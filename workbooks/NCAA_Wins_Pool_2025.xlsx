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t up check list" sheetId="1" r:id="rId4"/>
    <sheet state="visible" name="TAB-le of contents" sheetId="2" r:id="rId5"/>
    <sheet state="visible" name="Standings" sheetId="3" r:id="rId6"/>
    <sheet state="visible" name="Current Week" sheetId="4" r:id="rId7"/>
    <sheet state="visible" name="Translation" sheetId="5" r:id="rId8"/>
    <sheet state="hidden" name="temp cfb standings" sheetId="6" r:id="rId9"/>
    <sheet state="visible" name="DraftTracker" sheetId="7" r:id="rId10"/>
    <sheet state="hidden" name="Conferences Needed" sheetId="8" r:id="rId11"/>
    <sheet state="hidden" name="Picks by Player" sheetId="9" r:id="rId12"/>
    <sheet state="hidden" name="ALL Teams Available" sheetId="10" r:id="rId13"/>
    <sheet state="hidden" name="PXP sorted by Conf" sheetId="11" r:id="rId14"/>
    <sheet state="hidden" name="OnTheClocks Eligable Teams" sheetId="12" r:id="rId15"/>
    <sheet state="hidden" name="Teams" sheetId="13" r:id="rId16"/>
    <sheet state="hidden" name="Conf WC Eligibility" sheetId="14" r:id="rId17"/>
    <sheet state="hidden" name="Filtered Available Teams" sheetId="15" r:id="rId18"/>
    <sheet state="hidden" name="Email Opt-ins" sheetId="16" r:id="rId19"/>
    <sheet state="hidden" name="Draft Schedule Notes" sheetId="17" r:id="rId20"/>
    <sheet state="hidden" name="Active Games" sheetId="18" r:id="rId21"/>
    <sheet state="hidden" name="DoW Checks" sheetId="19" r:id="rId22"/>
    <sheet state="visible" name="Tuesday" sheetId="20" r:id="rId23"/>
    <sheet state="hidden" name="Wednesday" sheetId="21" r:id="rId24"/>
    <sheet state="visible" name="Thursday" sheetId="22" r:id="rId25"/>
    <sheet state="visible" name="Friday" sheetId="23" r:id="rId26"/>
    <sheet state="visible" name="Saturday" sheetId="24" r:id="rId27"/>
    <sheet state="hidden" name="Weekday color codes" sheetId="25" r:id="rId28"/>
    <sheet state="hidden" name="Sunday" sheetId="26" r:id="rId29"/>
    <sheet state="hidden" name="Monday" sheetId="27" r:id="rId30"/>
    <sheet state="hidden" name="Wednesday Export" sheetId="28" r:id="rId31"/>
    <sheet state="hidden" name="Weekly Log" sheetId="29" r:id="rId32"/>
    <sheet state="hidden" name="Monday Export" sheetId="30" r:id="rId33"/>
    <sheet state="hidden" name="Tuesday Export" sheetId="31" r:id="rId34"/>
    <sheet state="hidden" name="Thursday Export" sheetId="32" r:id="rId35"/>
    <sheet state="hidden" name="Friday Export" sheetId="33" r:id="rId36"/>
    <sheet state="hidden" name="Saturday Export" sheetId="34" r:id="rId37"/>
    <sheet state="hidden" name="Sunday Export" sheetId="35" r:id="rId38"/>
    <sheet state="hidden" name="ESPN rankings import" sheetId="36" r:id="rId39"/>
    <sheet state="visible" name="Import Lines API" sheetId="37" r:id="rId40"/>
    <sheet state="hidden" name="Import Totals" sheetId="38" r:id="rId41"/>
    <sheet state="hidden" name="Lines" sheetId="39" r:id="rId42"/>
    <sheet state="hidden" name="Actual Conferences" sheetId="40" r:id="rId43"/>
    <sheet state="hidden" name="Mid Lines" sheetId="41" r:id="rId44"/>
    <sheet state="hidden" name="Merge all odds" sheetId="42" r:id="rId45"/>
    <sheet state="hidden" name="Teams-Conference" sheetId="43" r:id="rId46"/>
    <sheet state="hidden" name="P5G5" sheetId="44" r:id="rId47"/>
    <sheet state="hidden" name="Draft Order" sheetId="45" r:id="rId48"/>
    <sheet state="hidden" name="SheetIDs" sheetId="46" r:id="rId49"/>
    <sheet state="hidden" name="team colors" sheetId="47" r:id="rId50"/>
    <sheet state="hidden" name="Conference Colors" sheetId="48" r:id="rId51"/>
    <sheet state="hidden" name="ACTranspose" sheetId="49" r:id="rId52"/>
    <sheet state="hidden" name="Picks by Player Raw" sheetId="50" r:id="rId53"/>
    <sheet state="hidden" name="Espn Ranking save" sheetId="51" r:id="rId54"/>
    <sheet state="hidden" name="Proj Log" sheetId="52" r:id="rId55"/>
    <sheet state="hidden" name="Conf-Color" sheetId="53" r:id="rId56"/>
    <sheet state="hidden" name="Team-Color" sheetId="54" r:id="rId57"/>
    <sheet state="hidden" name="Network Order" sheetId="55" r:id="rId58"/>
    <sheet state="hidden" name="team_colors_r" sheetId="56" r:id="rId59"/>
    <sheet state="hidden" name="conference_colors_r" sheetId="57" r:id="rId60"/>
  </sheets>
  <definedNames>
    <definedName hidden="1" localSheetId="3" name="_xlnm._FilterDatabase">'Current Week'!$A$1:$U$150</definedName>
    <definedName hidden="1" localSheetId="6" name="_xlnm._FilterDatabase">DraftTracker!$A$1:$F$138</definedName>
    <definedName hidden="1" localSheetId="15" name="_xlnm._FilterDatabase">'Email Opt-ins'!$A$1:$C$13</definedName>
    <definedName hidden="1" localSheetId="42" name="_xlnm._FilterDatabase">'Teams-Conference'!$A$1:$H$137</definedName>
    <definedName hidden="1" localSheetId="44" name="_xlnm._FilterDatabase">'Draft Order'!$A$1:$C$13</definedName>
    <definedName hidden="1" localSheetId="51" name="_xlnm._FilterDatabase">'Proj Log'!$A$1:$D$1919</definedName>
    <definedName hidden="1" localSheetId="53" name="_xlnm._FilterDatabase">'Team-Color'!$A$1:$D$142</definedName>
    <definedName hidden="1" localSheetId="54" name="_xlnm._FilterDatabase">'Network Order'!$A$1:$B$42</definedName>
    <definedName hidden="1" localSheetId="3" name="Z_964BB140_57B6_431D_8158_F7EE1FCCB703_.wvu.FilterData">'Current Week'!$A$1:$T$150</definedName>
    <definedName hidden="1" localSheetId="3" name="Z_EC13CE77_4D81_42DE_B9BA_B7702763AE5C_.wvu.FilterData">'Current Week'!$A$1:$T$150</definedName>
    <definedName hidden="1" localSheetId="3" name="Z_A824B0AA_3898_4954_AA44_6145A75DA8B1_.wvu.FilterData">'Current Week'!$A$1:$T$150</definedName>
    <definedName hidden="1" localSheetId="3" name="Z_742E0846_A56A_48E6_9375_1EEFBC6E8C9A_.wvu.FilterData">'Current Week'!$A$1:$T$150</definedName>
    <definedName hidden="1" localSheetId="3" name="Z_D5676172_B782_4854_842F_C3A871B7F5AA_.wvu.FilterData">'Current Week'!$A$1:$T$150</definedName>
    <definedName hidden="1" localSheetId="3" name="Z_05D3D248_1AF2_4731_9E92_565247A01D78_.wvu.FilterData">'Current Week'!$A$1:$T$150</definedName>
    <definedName hidden="1" localSheetId="3" name="Z_40F883B8_CD6E_4A12_83F2_088CD4690E13_.wvu.FilterData">'Current Week'!$A$1:$T$150</definedName>
    <definedName hidden="1" localSheetId="3" name="Z_0F497745_3098_4CD8_961B_92C148077702_.wvu.FilterData">'Current Week'!$A$1:$T$150</definedName>
    <definedName hidden="1" localSheetId="3" name="Z_07391437_BCD6_4BFC_8ECB_B45EE12E8328_.wvu.FilterData">'Current Week'!$A$1:$T$150</definedName>
    <definedName hidden="1" localSheetId="3" name="Z_249B1850_D54C_427B_BA76_D7CB1F65B88B_.wvu.FilterData">'Current Week'!$A$1:$T$150</definedName>
    <definedName hidden="1" localSheetId="3" name="Z_F6090FE6_DCE8_4E11_9FD8_DF01262F03BA_.wvu.FilterData">'Current Week'!$A$1:$T$150</definedName>
    <definedName hidden="1" localSheetId="3" name="Z_D6140299_CAE8_4584_B8BB_EFC6066CB77B_.wvu.FilterData">'Current Week'!$A$1:$T$150</definedName>
    <definedName hidden="1" localSheetId="3" name="Z_99C6FEE6_E8B2_4A07_9EBF_BDC0C3A3527D_.wvu.FilterData">'Current Week'!$A$1:$T$150</definedName>
    <definedName hidden="1" localSheetId="6" name="Z_E96F86DF_738F_4361_B7AE_8434D64E1E04_.wvu.FilterData">DraftTracker!$B$1:$G$111</definedName>
    <definedName hidden="1" localSheetId="3" name="Z_AF744617_ECF2_4F8D_A1CD_829599038B0F_.wvu.FilterData">'Current Week'!$B$1:$M$150</definedName>
    <definedName hidden="1" localSheetId="3" name="Z_E80B6B02_31C3_4C77_887F_FAA45D211E45_.wvu.FilterData">'Current Week'!$A$1:$T$150</definedName>
    <definedName hidden="1" localSheetId="3" name="Z_4D785B45_C80F_4C3B_B0FC_4D39820DD147_.wvu.FilterData">'Current Week'!$A$1:$T$150</definedName>
    <definedName hidden="1" localSheetId="3" name="Z_58F64268_C022_4A24_B2F4_492F250A3D32_.wvu.FilterData">'Current Week'!$A$1:$T$150</definedName>
    <definedName hidden="1" localSheetId="3" name="Z_8507C5FF_7FE7_4A35_A7B8_D6B645EBE540_.wvu.FilterData">'Current Week'!$A$1:$T$150</definedName>
    <definedName hidden="1" localSheetId="3" name="Z_FA242D78_3B8D_450F_900B_D5EB9BC7A898_.wvu.FilterData">'Current Week'!$A$1:$T$150</definedName>
    <definedName hidden="1" localSheetId="3" name="Z_BC404417_3352_4D2E_BE63_4E7260AA8052_.wvu.FilterData">'Current Week'!$A$1:$T$150</definedName>
  </definedNames>
  <calcPr/>
  <customWorkbookViews>
    <customWorkbookView activeSheetId="0" maximized="1" windowHeight="0" windowWidth="0" guid="{964BB140-57B6-431D-8158-F7EE1FCCB703}" name="Josh"/>
    <customWorkbookView activeSheetId="0" maximized="1" windowHeight="0" windowWidth="0" guid="{EC13CE77-4D81-42DE-B9BA-B7702763AE5C}" name="DavEmily"/>
    <customWorkbookView activeSheetId="0" maximized="1" windowHeight="0" windowWidth="0" guid="{A824B0AA-3898-4954-AA44-6145A75DA8B1}" name="Nick A."/>
    <customWorkbookView activeSheetId="0" maximized="1" windowHeight="0" windowWidth="0" guid="{742E0846-A56A-48E6-9375-1EEFBC6E8C9A}" name=".Upcoming Tuesday Games"/>
    <customWorkbookView activeSheetId="0" maximized="1" windowHeight="0" windowWidth="0" guid="{D5676172-B782-4854-842F-C3A871B7F5AA}" name="Nick G."/>
    <customWorkbookView activeSheetId="0" maximized="1" windowHeight="0" windowWidth="0" guid="{05D3D248-1AF2-4731-9E92-565247A01D78}" name=".Upcoming Wednesday Games"/>
    <customWorkbookView activeSheetId="0" maximized="1" windowHeight="0" windowWidth="0" guid="{40F883B8-CD6E-4A12-83F2-088CD4690E13}" name="Gary"/>
    <customWorkbookView activeSheetId="0" maximized="1" windowHeight="0" windowWidth="0" guid="{0F497745-3098-4CD8-961B-92C148077702}" name="Vu"/>
    <customWorkbookView activeSheetId="0" maximized="1" windowHeight="0" windowWidth="0" guid="{07391437-BCD6-4BFC-8ECB-B45EE12E8328}" name="Janice/Mike"/>
    <customWorkbookView activeSheetId="0" maximized="1" windowHeight="0" windowWidth="0" guid="{249B1850-D54C-427B-BA76-D7CB1F65B88B}" name="Justin"/>
    <customWorkbookView activeSheetId="0" maximized="1" windowHeight="0" windowWidth="0" guid="{F6090FE6-DCE8-4E11-9FD8-DF01262F03BA}" name="Dan"/>
    <customWorkbookView activeSheetId="0" maximized="1" windowHeight="0" windowWidth="0" guid="{D6140299-CAE8-4584-B8BB-EFC6066CB77B}" name="Jeannine"/>
    <customWorkbookView activeSheetId="0" maximized="1" windowHeight="0" windowWidth="0" guid="{99C6FEE6-E8B2-4A07-9EBF-BDC0C3A3527D}" name=".Upcoming Friday Games"/>
    <customWorkbookView activeSheetId="0" maximized="1" windowHeight="0" windowWidth="0" guid="{E96F86DF-738F-4361-B7AE-8434D64E1E04}" name="Filter 1"/>
    <customWorkbookView activeSheetId="0" maximized="1" windowHeight="0" windowWidth="0" guid="{AF744617-ECF2-4F8D-A1CD-829599038B0F}" name="home dog high over"/>
    <customWorkbookView activeSheetId="0" maximized="1" windowHeight="0" windowWidth="0" guid="{E80B6B02-31C3-4C77-887F-FAA45D211E45}" name="Brad"/>
    <customWorkbookView activeSheetId="0" maximized="1" windowHeight="0" windowWidth="0" guid="{4D785B45-C80F-4C3B-B0FC-4D39820DD147}" name="Masa"/>
    <customWorkbookView activeSheetId="0" maximized="1" windowHeight="0" windowWidth="0" guid="{58F64268-C022-4A24-B2F4-492F250A3D32}" name=".Upcoming Thursday Games"/>
    <customWorkbookView activeSheetId="0" maximized="1" windowHeight="0" windowWidth="0" guid="{8507C5FF-7FE7-4A35-A7B8-D6B645EBE540}" name=".Upcoming Saturday Games"/>
    <customWorkbookView activeSheetId="0" maximized="1" windowHeight="0" windowWidth="0" guid="{FA242D78-3B8D-450F-900B-D5EB9BC7A898}" name=".All Active Games"/>
    <customWorkbookView activeSheetId="0" maximized="1" windowHeight="0" windowWidth="0" guid="{BC404417-3352-4D2E-BE63-4E7260AA8052}" name="Nico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Includes completed games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http://www.lsufootball.net/tvschedule.htm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V1">
      <text>
        <t xml:space="preserve">I need to account for wildcards</t>
      </text>
    </comment>
  </commentList>
</comments>
</file>

<file path=xl/sharedStrings.xml><?xml version="1.0" encoding="utf-8"?>
<sst xmlns="http://schemas.openxmlformats.org/spreadsheetml/2006/main" count="72473" uniqueCount="2084">
  <si>
    <t>Task</t>
  </si>
  <si>
    <t>Done</t>
  </si>
  <si>
    <t>should I delete</t>
  </si>
  <si>
    <t>Copy last years version rename to this year</t>
  </si>
  <si>
    <t>x</t>
  </si>
  <si>
    <t>translation 2021</t>
  </si>
  <si>
    <t>Clear Logs</t>
  </si>
  <si>
    <t>Part of the Game</t>
  </si>
  <si>
    <t>-- Weekly Log</t>
  </si>
  <si>
    <t>Tab</t>
  </si>
  <si>
    <t>Description</t>
  </si>
  <si>
    <t>Draft</t>
  </si>
  <si>
    <t>Player</t>
  </si>
  <si>
    <t>Team</t>
  </si>
  <si>
    <t>DraftTracker</t>
  </si>
  <si>
    <t>W</t>
  </si>
  <si>
    <t>L</t>
  </si>
  <si>
    <t>matchup</t>
  </si>
  <si>
    <t>Status</t>
  </si>
  <si>
    <t>opponent</t>
  </si>
  <si>
    <t>network</t>
  </si>
  <si>
    <t>Opening
Spread</t>
  </si>
  <si>
    <t>Spread</t>
  </si>
  <si>
    <t>Current Total</t>
  </si>
  <si>
    <t>-- Proj Log</t>
  </si>
  <si>
    <t>Season</t>
  </si>
  <si>
    <t>Hide Logs</t>
  </si>
  <si>
    <t>Total</t>
  </si>
  <si>
    <t>New Teams Updates</t>
  </si>
  <si>
    <t>PF</t>
  </si>
  <si>
    <t>PA</t>
  </si>
  <si>
    <t>--Team colors</t>
  </si>
  <si>
    <t>sort2</t>
  </si>
  <si>
    <t>dupe</t>
  </si>
  <si>
    <t>activeSort</t>
  </si>
  <si>
    <t>-- Team Translations</t>
  </si>
  <si>
    <t>Conf</t>
  </si>
  <si>
    <r>
      <rPr>
        <b/>
      </rPr>
      <t>(Player Input)</t>
    </r>
    <r>
      <rPr/>
      <t xml:space="preserve"> Where we place picks by using the drop downs and checking the error section</t>
    </r>
  </si>
  <si>
    <t>Conf type</t>
  </si>
  <si>
    <t>Hide team data</t>
  </si>
  <si>
    <t>Win</t>
  </si>
  <si>
    <r>
      <rPr>
        <b/>
        <sz val="12.0"/>
      </rPr>
      <t xml:space="preserve">Current Week </t>
    </r>
    <r>
      <rPr>
        <b val="0"/>
        <sz val="8.0"/>
      </rPr>
      <t>(Projections based on vegas lines)</t>
    </r>
  </si>
  <si>
    <t>Update actual conference alignment (use 10 person column) and proposed alignment</t>
  </si>
  <si>
    <t>Nick G.</t>
  </si>
  <si>
    <t>Use this to check actual conferences</t>
  </si>
  <si>
    <t>Auburn</t>
  </si>
  <si>
    <t>OnTheClock's Eligable Teams</t>
  </si>
  <si>
    <t>Actaul + Chalk Projections</t>
  </si>
  <si>
    <t>Use this to check proposed changes</t>
  </si>
  <si>
    <t>Players</t>
  </si>
  <si>
    <t>Hide the red tabs</t>
  </si>
  <si>
    <t>Wins</t>
  </si>
  <si>
    <t>Any updates to these tabs?</t>
  </si>
  <si>
    <t>Losses</t>
  </si>
  <si>
    <t>A list of teams eligible for the player who's turn it is to draft</t>
  </si>
  <si>
    <r>
      <rPr>
        <color rgb="FF000000"/>
      </rPr>
      <t xml:space="preserve">-- </t>
    </r>
    <r>
      <rPr>
        <color rgb="FF1155CC"/>
        <u/>
      </rPr>
      <t>P5G5</t>
    </r>
  </si>
  <si>
    <t>P5 Ws</t>
  </si>
  <si>
    <t>(10) Alabama 27 Auburn 20</t>
  </si>
  <si>
    <t>Conf WC Eligibility</t>
  </si>
  <si>
    <t>G5 Ws</t>
  </si>
  <si>
    <t>Games</t>
  </si>
  <si>
    <t>FINAL</t>
  </si>
  <si>
    <t>Vu</t>
  </si>
  <si>
    <t>A tab that shows how many teams can be taken from each conference as a WildCard pick</t>
  </si>
  <si>
    <r>
      <rPr>
        <color rgb="FF000000"/>
      </rPr>
      <t xml:space="preserve">-- </t>
    </r>
    <r>
      <rPr>
        <color rgb="FF1155CC"/>
        <u/>
      </rPr>
      <t>Email Opt-Ins</t>
    </r>
  </si>
  <si>
    <t>Games Played</t>
  </si>
  <si>
    <t>Conferences Needed</t>
  </si>
  <si>
    <t xml:space="preserve"> </t>
  </si>
  <si>
    <t>Games Left</t>
  </si>
  <si>
    <t>A list of conferences that each player has NOT drafted from</t>
  </si>
  <si>
    <t>ALL Teams Available</t>
  </si>
  <si>
    <t>Expected Wins</t>
  </si>
  <si>
    <t>All the undrafted teams</t>
  </si>
  <si>
    <t>Upsets Won</t>
  </si>
  <si>
    <t>--Clear picks from draft tracker (column F)</t>
  </si>
  <si>
    <t>Picks by Player</t>
  </si>
  <si>
    <t>Upsets Lost</t>
  </si>
  <si>
    <t>A grouping of picks by player</t>
  </si>
  <si>
    <t>-- Set up draft order</t>
  </si>
  <si>
    <t>Teams</t>
  </si>
  <si>
    <t>GCP</t>
  </si>
  <si>
    <t>-- give gcp python correct spreadsheet</t>
  </si>
  <si>
    <t>All teams in their conference</t>
  </si>
  <si>
    <t>-- share spreadsheet with correct address for python to access</t>
  </si>
  <si>
    <t>Email Opt-ins</t>
  </si>
  <si>
    <r>
      <rPr>
        <b/>
      </rPr>
      <t>(Player Input)</t>
    </r>
    <r>
      <rPr/>
      <t xml:space="preserve"> The place to update your email preferences</t>
    </r>
  </si>
  <si>
    <t>Football</t>
  </si>
  <si>
    <t>Standings</t>
  </si>
  <si>
    <r>
      <rPr>
        <b/>
      </rPr>
      <t>(Updated Live-ish!)</t>
    </r>
    <r>
      <rPr/>
      <t xml:space="preserve"> The Standings of the pool - (sometimes takes an hour for a win to get updated)</t>
    </r>
  </si>
  <si>
    <t>Current Week</t>
  </si>
  <si>
    <r>
      <rPr>
        <b/>
      </rPr>
      <t>(Scores Updated Live!)</t>
    </r>
    <r>
      <rPr/>
      <t xml:space="preserve"> A look at the games this week grouped by player</t>
    </r>
  </si>
  <si>
    <t>Day of week tabs</t>
  </si>
  <si>
    <r>
      <rPr>
        <b/>
      </rPr>
      <t>(Scores Updated Live!)</t>
    </r>
    <r>
      <rPr/>
      <t xml:space="preserve"> A look at the games each day, grouped by time and network</t>
    </r>
  </si>
  <si>
    <t>Weekday color codes</t>
  </si>
  <si>
    <t>Description of the color codes in teh Day of week Tabs</t>
  </si>
  <si>
    <t>Gary</t>
  </si>
  <si>
    <t>Josh</t>
  </si>
  <si>
    <t>Bottom Line</t>
  </si>
  <si>
    <t>Cincinnati</t>
  </si>
  <si>
    <t>UConn</t>
  </si>
  <si>
    <t>East Carolina</t>
  </si>
  <si>
    <t>Houston</t>
  </si>
  <si>
    <t>Memphis</t>
  </si>
  <si>
    <t>Navy</t>
  </si>
  <si>
    <t>SMU</t>
  </si>
  <si>
    <t>South Florida</t>
  </si>
  <si>
    <t>Temple</t>
  </si>
  <si>
    <t>Tulane</t>
  </si>
  <si>
    <t>Tulsa</t>
  </si>
  <si>
    <t>UCF</t>
  </si>
  <si>
    <t>Boston College</t>
  </si>
  <si>
    <t>Clemson</t>
  </si>
  <si>
    <t>Duke</t>
  </si>
  <si>
    <t>Florida State</t>
  </si>
  <si>
    <t>Georgia Tech</t>
  </si>
  <si>
    <t>Louisville</t>
  </si>
  <si>
    <t>Miami</t>
  </si>
  <si>
    <t>NC State</t>
  </si>
  <si>
    <t>North Carolina</t>
  </si>
  <si>
    <t>Pittsburgh</t>
  </si>
  <si>
    <t>Syracuse</t>
  </si>
  <si>
    <t>Virginia</t>
  </si>
  <si>
    <t>Virginia Tech</t>
  </si>
  <si>
    <t>Wake Forest</t>
  </si>
  <si>
    <t>Baylor</t>
  </si>
  <si>
    <t>Iowa State</t>
  </si>
  <si>
    <t>Kansas</t>
  </si>
  <si>
    <t>Kansas State</t>
  </si>
  <si>
    <t>Oklahoma</t>
  </si>
  <si>
    <t>Oklahoma State</t>
  </si>
  <si>
    <t>TCU</t>
  </si>
  <si>
    <t>Texas</t>
  </si>
  <si>
    <t>Nico</t>
  </si>
  <si>
    <t>Texas Tech</t>
  </si>
  <si>
    <t>West Virginia</t>
  </si>
  <si>
    <t>Illinois</t>
  </si>
  <si>
    <t>Indiana</t>
  </si>
  <si>
    <t>Iowa</t>
  </si>
  <si>
    <t>Maryland</t>
  </si>
  <si>
    <t>Michigan</t>
  </si>
  <si>
    <t>Michigan State</t>
  </si>
  <si>
    <t>Minnesota</t>
  </si>
  <si>
    <t>Nebraska</t>
  </si>
  <si>
    <t>Northwestern</t>
  </si>
  <si>
    <t>Ohio State</t>
  </si>
  <si>
    <t>Penn State</t>
  </si>
  <si>
    <t>Purdue</t>
  </si>
  <si>
    <t>Rutgers</t>
  </si>
  <si>
    <t>Wisconsin</t>
  </si>
  <si>
    <t>Florida International</t>
  </si>
  <si>
    <t>Florida Atlantic</t>
  </si>
  <si>
    <t>Louisiana Tech</t>
  </si>
  <si>
    <t>Marshall</t>
  </si>
  <si>
    <t>Middle Tennessee</t>
  </si>
  <si>
    <t>North Texas</t>
  </si>
  <si>
    <t>Old Dominion</t>
  </si>
  <si>
    <t>Brad</t>
  </si>
  <si>
    <t>Rice</t>
  </si>
  <si>
    <t>Southern Miss</t>
  </si>
  <si>
    <t>Charlotte</t>
  </si>
  <si>
    <t>UTEP</t>
  </si>
  <si>
    <t>UTSA</t>
  </si>
  <si>
    <t>Western Kentucky</t>
  </si>
  <si>
    <t>UAB</t>
  </si>
  <si>
    <t>Akron</t>
  </si>
  <si>
    <t>Ball State</t>
  </si>
  <si>
    <t>Bowling Green</t>
  </si>
  <si>
    <t>Buffalo</t>
  </si>
  <si>
    <t>Central Michigan</t>
  </si>
  <si>
    <t>Eastern Michigan</t>
  </si>
  <si>
    <t>Kent State</t>
  </si>
  <si>
    <t>Miami OH</t>
  </si>
  <si>
    <t>Northern Illinois</t>
  </si>
  <si>
    <t>Ohio</t>
  </si>
  <si>
    <t>Toledo</t>
  </si>
  <si>
    <t>Western Michigan</t>
  </si>
  <si>
    <t>Air Force</t>
  </si>
  <si>
    <t>Boise State</t>
  </si>
  <si>
    <t>Colorado State</t>
  </si>
  <si>
    <t>Fresno State</t>
  </si>
  <si>
    <t>Hawai'i</t>
  </si>
  <si>
    <t>Nevada</t>
  </si>
  <si>
    <t>New Mexico</t>
  </si>
  <si>
    <t>San Diego State</t>
  </si>
  <si>
    <t>San Jose State</t>
  </si>
  <si>
    <t>UNLV</t>
  </si>
  <si>
    <t>Utah State</t>
  </si>
  <si>
    <t>Wyoming</t>
  </si>
  <si>
    <t>Arizona</t>
  </si>
  <si>
    <t>Arizona State</t>
  </si>
  <si>
    <t>California</t>
  </si>
  <si>
    <t>Colorado</t>
  </si>
  <si>
    <t>Oregon</t>
  </si>
  <si>
    <t>Nick A.</t>
  </si>
  <si>
    <t>Oregon State</t>
  </si>
  <si>
    <t>Stanford</t>
  </si>
  <si>
    <t>UCLA</t>
  </si>
  <si>
    <t>USC</t>
  </si>
  <si>
    <t>Utah</t>
  </si>
  <si>
    <t>Washington</t>
  </si>
  <si>
    <t>Washington State</t>
  </si>
  <si>
    <t>Alabama</t>
  </si>
  <si>
    <t>Arkansas</t>
  </si>
  <si>
    <t>Florida</t>
  </si>
  <si>
    <t>Georgia</t>
  </si>
  <si>
    <t>Kentucky</t>
  </si>
  <si>
    <t>LSU</t>
  </si>
  <si>
    <t>Mississippi State</t>
  </si>
  <si>
    <t>Missouri</t>
  </si>
  <si>
    <t>Ole Miss</t>
  </si>
  <si>
    <t>South Carolina</t>
  </si>
  <si>
    <t>Tennessee</t>
  </si>
  <si>
    <t>Texas AM</t>
  </si>
  <si>
    <t>Vanderbilt</t>
  </si>
  <si>
    <t>App State</t>
  </si>
  <si>
    <t>Arkansas State</t>
  </si>
  <si>
    <t>Georgia Southern</t>
  </si>
  <si>
    <t>Georgia State</t>
  </si>
  <si>
    <t>Louisiana</t>
  </si>
  <si>
    <t>UL Monroe</t>
  </si>
  <si>
    <t>South Alabama</t>
  </si>
  <si>
    <t>Texas State</t>
  </si>
  <si>
    <t>Troy</t>
  </si>
  <si>
    <t>Coastal Carolina</t>
  </si>
  <si>
    <t>Justin</t>
  </si>
  <si>
    <t>Army</t>
  </si>
  <si>
    <t>BYU</t>
  </si>
  <si>
    <t>Liberty</t>
  </si>
  <si>
    <t>New Mexico State</t>
  </si>
  <si>
    <t>Notre Dame</t>
  </si>
  <si>
    <t>Massachusetts</t>
  </si>
  <si>
    <t>James Madison</t>
  </si>
  <si>
    <t>Jacksonville State</t>
  </si>
  <si>
    <t>Kennesaw State</t>
  </si>
  <si>
    <t>Sam Houston</t>
  </si>
  <si>
    <t>Delaware</t>
  </si>
  <si>
    <t>Missouri State</t>
  </si>
  <si>
    <t>ESPNs HTML</t>
  </si>
  <si>
    <t>Mike</t>
  </si>
  <si>
    <t>CIN</t>
  </si>
  <si>
    <t>CONN</t>
  </si>
  <si>
    <t>ECU</t>
  </si>
  <si>
    <t>HOU</t>
  </si>
  <si>
    <t>MEM</t>
  </si>
  <si>
    <t>NAVY</t>
  </si>
  <si>
    <t>USF</t>
  </si>
  <si>
    <t>TEM</t>
  </si>
  <si>
    <t>TULN</t>
  </si>
  <si>
    <t>TLSA</t>
  </si>
  <si>
    <t>Masa</t>
  </si>
  <si>
    <t>BC</t>
  </si>
  <si>
    <t>CLEM</t>
  </si>
  <si>
    <t>DUKE</t>
  </si>
  <si>
    <t>FSU</t>
  </si>
  <si>
    <t>GT</t>
  </si>
  <si>
    <t>LOU</t>
  </si>
  <si>
    <t>MIA</t>
  </si>
  <si>
    <t>NCSU</t>
  </si>
  <si>
    <t>UNC</t>
  </si>
  <si>
    <t>PITT</t>
  </si>
  <si>
    <t>SYR</t>
  </si>
  <si>
    <t>UVA</t>
  </si>
  <si>
    <t>VT</t>
  </si>
  <si>
    <t>WAKE</t>
  </si>
  <si>
    <t>BAY</t>
  </si>
  <si>
    <t>ISU</t>
  </si>
  <si>
    <t>KU</t>
  </si>
  <si>
    <t>KSU</t>
  </si>
  <si>
    <t>OU</t>
  </si>
  <si>
    <t>OKST</t>
  </si>
  <si>
    <t>TEX</t>
  </si>
  <si>
    <t>TTU</t>
  </si>
  <si>
    <t>WVU</t>
  </si>
  <si>
    <t>North Carolina 19 NC State 42</t>
  </si>
  <si>
    <t>ILL</t>
  </si>
  <si>
    <t>IU</t>
  </si>
  <si>
    <t>IOWA</t>
  </si>
  <si>
    <t>MD</t>
  </si>
  <si>
    <t>MICH</t>
  </si>
  <si>
    <t>MSU</t>
  </si>
  <si>
    <t>MINN</t>
  </si>
  <si>
    <t>NEB</t>
  </si>
  <si>
    <t>NU</t>
  </si>
  <si>
    <t>OSU</t>
  </si>
  <si>
    <t>PSU</t>
  </si>
  <si>
    <t>PUR</t>
  </si>
  <si>
    <t>RUTG</t>
  </si>
  <si>
    <t>WIS</t>
  </si>
  <si>
    <t>FIU</t>
  </si>
  <si>
    <t>FAU</t>
  </si>
  <si>
    <t>LT</t>
  </si>
  <si>
    <t>MRSH</t>
  </si>
  <si>
    <t>MTSU</t>
  </si>
  <si>
    <t>UNT</t>
  </si>
  <si>
    <t>ODU</t>
  </si>
  <si>
    <t>RICE</t>
  </si>
  <si>
    <t>USM</t>
  </si>
  <si>
    <t>CLT</t>
  </si>
  <si>
    <t>WKU</t>
  </si>
  <si>
    <t>AKR</t>
  </si>
  <si>
    <t>BALL</t>
  </si>
  <si>
    <t>BGSU</t>
  </si>
  <si>
    <t>BUFF</t>
  </si>
  <si>
    <t>CMU</t>
  </si>
  <si>
    <t>EMU</t>
  </si>
  <si>
    <t>KENT</t>
  </si>
  <si>
    <t>M-OH</t>
  </si>
  <si>
    <t>NIU</t>
  </si>
  <si>
    <t>OHIO</t>
  </si>
  <si>
    <t>TOL</t>
  </si>
  <si>
    <t>WMU</t>
  </si>
  <si>
    <t>Jeannine</t>
  </si>
  <si>
    <t>AFA</t>
  </si>
  <si>
    <t>BOIS</t>
  </si>
  <si>
    <t>CSU</t>
  </si>
  <si>
    <t>FRES</t>
  </si>
  <si>
    <t>HAW</t>
  </si>
  <si>
    <t>ACC</t>
  </si>
  <si>
    <t>NEV</t>
  </si>
  <si>
    <t>UNM</t>
  </si>
  <si>
    <t>SDSU</t>
  </si>
  <si>
    <t>Power 4</t>
  </si>
  <si>
    <t>SJSU</t>
  </si>
  <si>
    <t>USU</t>
  </si>
  <si>
    <t>WYO</t>
  </si>
  <si>
    <t>ARIZ</t>
  </si>
  <si>
    <t>ASU</t>
  </si>
  <si>
    <t>American Conference</t>
  </si>
  <si>
    <t>CAL</t>
  </si>
  <si>
    <t>COLO</t>
  </si>
  <si>
    <t>ORE</t>
  </si>
  <si>
    <t>ORST</t>
  </si>
  <si>
    <t>STAN</t>
  </si>
  <si>
    <t>UTAH</t>
  </si>
  <si>
    <t>WASH</t>
  </si>
  <si>
    <t>WSU</t>
  </si>
  <si>
    <t>ALA</t>
  </si>
  <si>
    <t>Rice 3 South Florida 52</t>
  </si>
  <si>
    <t>ARK</t>
  </si>
  <si>
    <t>AUB</t>
  </si>
  <si>
    <t>FLA</t>
  </si>
  <si>
    <t>UGA</t>
  </si>
  <si>
    <t>UK</t>
  </si>
  <si>
    <t>MSST</t>
  </si>
  <si>
    <t>MIZ</t>
  </si>
  <si>
    <t>MISS</t>
  </si>
  <si>
    <t>SC</t>
  </si>
  <si>
    <t>TENN</t>
  </si>
  <si>
    <t>TA&amp;M</t>
  </si>
  <si>
    <t>VAN</t>
  </si>
  <si>
    <t>APP</t>
  </si>
  <si>
    <t>ARST</t>
  </si>
  <si>
    <t>GASO</t>
  </si>
  <si>
    <t>GAST</t>
  </si>
  <si>
    <t>UL</t>
  </si>
  <si>
    <t>ULM</t>
  </si>
  <si>
    <t>USA</t>
  </si>
  <si>
    <t>TXST</t>
  </si>
  <si>
    <t>TROY</t>
  </si>
  <si>
    <t>CCU</t>
  </si>
  <si>
    <t>ARMY</t>
  </si>
  <si>
    <t>AAC</t>
  </si>
  <si>
    <t>LIB</t>
  </si>
  <si>
    <r>
      <rPr>
        <rFont val="-apple-system, BlinkMacSystemFont, Roboto, Arial, &quot;Helvetica Neue&quot;, Helvetica, sans-serif"/>
        <color rgb="FF1155CC"/>
        <sz val="9.0"/>
        <u/>
      </rPr>
      <t>Memphis Tigers</t>
    </r>
  </si>
  <si>
    <t>NMSU</t>
  </si>
  <si>
    <t>Group of 6</t>
  </si>
  <si>
    <t>ND</t>
  </si>
  <si>
    <t>MASS</t>
  </si>
  <si>
    <t>JMU</t>
  </si>
  <si>
    <t>JVST</t>
  </si>
  <si>
    <t>KENN</t>
  </si>
  <si>
    <t>SHSU</t>
  </si>
  <si>
    <t>DEL</t>
  </si>
  <si>
    <t>MOST</t>
  </si>
  <si>
    <t>Lines</t>
  </si>
  <si>
    <t>Cincinnati Bearcats</t>
  </si>
  <si>
    <t>UConn Huskies</t>
  </si>
  <si>
    <t>East Carolina Pirates</t>
  </si>
  <si>
    <t>Houston Cougars</t>
  </si>
  <si>
    <t>Memphis Tigers</t>
  </si>
  <si>
    <t>Navy Midshipmen</t>
  </si>
  <si>
    <t>SMU Mustangs</t>
  </si>
  <si>
    <t>South Florida Bulls</t>
  </si>
  <si>
    <t>Temple Owls</t>
  </si>
  <si>
    <t>Tulane Green Wave</t>
  </si>
  <si>
    <t>Tulsa Golden Hurricane</t>
  </si>
  <si>
    <t>UCF Knights</t>
  </si>
  <si>
    <t>Boston College Eagles</t>
  </si>
  <si>
    <t>Clemson Tigers</t>
  </si>
  <si>
    <t>Duke Blue Devils</t>
  </si>
  <si>
    <t>Florida State Seminoles</t>
  </si>
  <si>
    <t>Georgia Tech Yellow Jackets</t>
  </si>
  <si>
    <t>Penn State 40 Rutgers 36</t>
  </si>
  <si>
    <t>Louisville Cardinals</t>
  </si>
  <si>
    <t>Miami Hurricanes</t>
  </si>
  <si>
    <t>Dan</t>
  </si>
  <si>
    <t>NC State Wolfpack</t>
  </si>
  <si>
    <t>North Carolina Tar Heels</t>
  </si>
  <si>
    <t>Pittsburgh Panthers</t>
  </si>
  <si>
    <t>Syracuse Orange</t>
  </si>
  <si>
    <t>Virginia Cavaliers</t>
  </si>
  <si>
    <t>Virginia Tech Hokies</t>
  </si>
  <si>
    <t>Wake Forest Demon Deacons</t>
  </si>
  <si>
    <t>Baylor Bears</t>
  </si>
  <si>
    <t>Iowa State Cyclones</t>
  </si>
  <si>
    <t>Kansas Jayhawks</t>
  </si>
  <si>
    <t>Kansas State Wildcats</t>
  </si>
  <si>
    <t>Big Ten</t>
  </si>
  <si>
    <t>Oklahoma Sooners</t>
  </si>
  <si>
    <t>Oklahoma State Cowboys</t>
  </si>
  <si>
    <t>TCU Horned Frogs</t>
  </si>
  <si>
    <t>Texas Longhorns</t>
  </si>
  <si>
    <t>Texas Tech Red Raiders</t>
  </si>
  <si>
    <t>West Virginia Mountaineers</t>
  </si>
  <si>
    <t>Illinois Fighting Illini</t>
  </si>
  <si>
    <t>Indiana Hoosiers</t>
  </si>
  <si>
    <t>Iowa Hawkeyes</t>
  </si>
  <si>
    <t>Maryland Terrapins</t>
  </si>
  <si>
    <t>Michigan Wolverines</t>
  </si>
  <si>
    <t>Michigan State Spartans</t>
  </si>
  <si>
    <t>Minnesota Golden Gophers</t>
  </si>
  <si>
    <t>Nebraska Cornhuskers</t>
  </si>
  <si>
    <t>Appalachian State</t>
  </si>
  <si>
    <t>Northwestern Wildcats</t>
  </si>
  <si>
    <t>Ohio State Buckeyes</t>
  </si>
  <si>
    <t>Penn State Nittany Lions</t>
  </si>
  <si>
    <t>Purdue Boilermakers</t>
  </si>
  <si>
    <t>Arkansas State 30 Appalachian State 29</t>
  </si>
  <si>
    <t>Rutgers Scarlet Knights</t>
  </si>
  <si>
    <t>Wisconsin Badgers</t>
  </si>
  <si>
    <t>Florida International Panthers</t>
  </si>
  <si>
    <t>Florida Atlantic Owls</t>
  </si>
  <si>
    <t>Louisiana Tech Bulldogs</t>
  </si>
  <si>
    <t>Marshall Thundering Herd</t>
  </si>
  <si>
    <t>Middle Tennessee Blue Raiders</t>
  </si>
  <si>
    <t>North Texas Mean Green</t>
  </si>
  <si>
    <t>Old Dominion Monarchs</t>
  </si>
  <si>
    <t>Rice Owls</t>
  </si>
  <si>
    <t>Southern Mississippi Golden Eagles</t>
  </si>
  <si>
    <t>Charlotte 49ers</t>
  </si>
  <si>
    <t>UTEP Miners</t>
  </si>
  <si>
    <t>Sun Belt</t>
  </si>
  <si>
    <t>UTSA Roadrunners</t>
  </si>
  <si>
    <t>Western Kentucky Hilltoppers</t>
  </si>
  <si>
    <t>UAB Blazers</t>
  </si>
  <si>
    <t>Akron Zips</t>
  </si>
  <si>
    <t>Ball State Cardinals</t>
  </si>
  <si>
    <t>Bowling Green Falcons</t>
  </si>
  <si>
    <t>Buffalo Bulls</t>
  </si>
  <si>
    <t>Central Michigan Chippewas</t>
  </si>
  <si>
    <t>Eastern Michigan Eagles</t>
  </si>
  <si>
    <t>Kent State Golden Flashes</t>
  </si>
  <si>
    <t>Miami (OH) RedHawks</t>
  </si>
  <si>
    <t>Northern Illinois Huskies</t>
  </si>
  <si>
    <t>Ohio Bobcats</t>
  </si>
  <si>
    <t>Toledo Rockets</t>
  </si>
  <si>
    <t>Western Michigan Broncos</t>
  </si>
  <si>
    <t>(7) Texas Tech 49 West Virginia 0</t>
  </si>
  <si>
    <t>Air Force Falcons</t>
  </si>
  <si>
    <t>Boise State Broncos</t>
  </si>
  <si>
    <t>Colorado State Rams</t>
  </si>
  <si>
    <r>
      <rPr>
        <rFont val="-apple-system, BlinkMacSystemFont, Roboto, Arial, &quot;Helvetica Neue&quot;, Helvetica, sans-serif"/>
        <color rgb="FF1155CC"/>
        <sz val="9.0"/>
        <u/>
      </rPr>
      <t>Navy Midshipmen</t>
    </r>
  </si>
  <si>
    <t>Fresno State Bulldogs</t>
  </si>
  <si>
    <t>Hawaii Rainbow Warriors</t>
  </si>
  <si>
    <t>Nevada Wolf Pack</t>
  </si>
  <si>
    <t>New Mexico Lobos</t>
  </si>
  <si>
    <t>San Diego State Aztecs</t>
  </si>
  <si>
    <t>San Jose State Spartans</t>
  </si>
  <si>
    <t>UNLV Rebels</t>
  </si>
  <si>
    <t>Utah State Aggies</t>
  </si>
  <si>
    <t>Wyoming Cowboys</t>
  </si>
  <si>
    <t>Big 12</t>
  </si>
  <si>
    <t>Arizona Wildcats</t>
  </si>
  <si>
    <t>Arizona State Sun Devils</t>
  </si>
  <si>
    <t>California Golden Bears</t>
  </si>
  <si>
    <t>Colorado Buffaloes</t>
  </si>
  <si>
    <t>Oregon Ducks</t>
  </si>
  <si>
    <t>Oregon State Beavers</t>
  </si>
  <si>
    <t>Stanford Cardinal</t>
  </si>
  <si>
    <t>UCLA Bruins</t>
  </si>
  <si>
    <t>USC Trojans</t>
  </si>
  <si>
    <t>Utah Utes</t>
  </si>
  <si>
    <t>Washington Huskies</t>
  </si>
  <si>
    <t>Washington State Cougars</t>
  </si>
  <si>
    <t>Alabama Crimson Tide</t>
  </si>
  <si>
    <t>Arkansas Razorbacks</t>
  </si>
  <si>
    <t>Auburn Tigers</t>
  </si>
  <si>
    <t>Florida Gators</t>
  </si>
  <si>
    <t>Georgia Bulldogs</t>
  </si>
  <si>
    <t>Kentucky Wildcats</t>
  </si>
  <si>
    <t>Arizona 23 Arizona State 7</t>
  </si>
  <si>
    <t>LSU Tigers</t>
  </si>
  <si>
    <t>Mississippi State Bulldogs</t>
  </si>
  <si>
    <t>Undrafted</t>
  </si>
  <si>
    <t>Missouri Tigers</t>
  </si>
  <si>
    <t>Ole Miss Rebels</t>
  </si>
  <si>
    <t>South Carolina Gamecocks</t>
  </si>
  <si>
    <t>Tennessee Volunteers</t>
  </si>
  <si>
    <t>Texas A&amp;M Aggies</t>
  </si>
  <si>
    <t>Vanderbilt Commodores</t>
  </si>
  <si>
    <t>Appalachian State Mountaineers</t>
  </si>
  <si>
    <t>Arkansas State Red Wolves</t>
  </si>
  <si>
    <t>Georgia Southern Eagles</t>
  </si>
  <si>
    <t>Georgia State Panthers</t>
  </si>
  <si>
    <t>Louisiana Ragin Cajuns</t>
  </si>
  <si>
    <r>
      <rPr>
        <rFont val="-apple-system, BlinkMacSystemFont, Roboto, Arial, &quot;Helvetica Neue&quot;, Helvetica, sans-serif"/>
        <color rgb="FF1155CC"/>
        <sz val="9.0"/>
        <u/>
      </rPr>
      <t>North Texas Mean Green</t>
    </r>
  </si>
  <si>
    <t>UL Monroe Warhawks</t>
  </si>
  <si>
    <t>South Alabama Jaguars</t>
  </si>
  <si>
    <t>Texas State Bobcats</t>
  </si>
  <si>
    <t>Troy Trojans</t>
  </si>
  <si>
    <t>Coastal Carolina Chanticleers</t>
  </si>
  <si>
    <t>Army Black Knights</t>
  </si>
  <si>
    <t>BYU Cougars</t>
  </si>
  <si>
    <t>Liberty Flames</t>
  </si>
  <si>
    <t>New Mexico State Aggies</t>
  </si>
  <si>
    <t>Notre Dame Fighting Irish</t>
  </si>
  <si>
    <t>UMass Minutemen</t>
  </si>
  <si>
    <t>James Madison Dukes</t>
  </si>
  <si>
    <t>Air Force 42 Colorado State 21</t>
  </si>
  <si>
    <t>Jacksonville State Gamecocks</t>
  </si>
  <si>
    <t>Kennesaw State Owls</t>
  </si>
  <si>
    <t>Sam Houston State Bearkats</t>
  </si>
  <si>
    <t>Delaware Fightin' Blue Hens</t>
  </si>
  <si>
    <t>Missouri State Bears</t>
  </si>
  <si>
    <t>Channel</t>
  </si>
  <si>
    <t>MWC</t>
  </si>
  <si>
    <r>
      <rPr>
        <rFont val="-apple-system, BlinkMacSystemFont, Roboto, Arial, &quot;Helvetica Neue&quot;, Helvetica, sans-serif"/>
        <color rgb="FF1155CC"/>
        <sz val="9.0"/>
        <u/>
      </rPr>
      <t>Rice Owls</t>
    </r>
  </si>
  <si>
    <t>UMASS</t>
  </si>
  <si>
    <t>Bowling Green 45 UMASS 14</t>
  </si>
  <si>
    <r>
      <rPr>
        <rFont val="-apple-system, BlinkMacSystemFont, Roboto, Arial, &quot;Helvetica Neue&quot;, Helvetica, sans-serif"/>
        <color rgb="FF1155CC"/>
        <sz val="9.0"/>
        <u/>
      </rPr>
      <t>South Florida Bulls</t>
    </r>
  </si>
  <si>
    <t>MAC</t>
  </si>
  <si>
    <t>Middle Tennessee 31 New Mexico State 24</t>
  </si>
  <si>
    <t>FINAL - OT</t>
  </si>
  <si>
    <r>
      <rPr>
        <rFont val="-apple-system, BlinkMacSystemFont, Roboto, Arial, &quot;Helvetica Neue&quot;, Helvetica, sans-serif"/>
        <color rgb="FF1155CC"/>
        <sz val="9.0"/>
        <u/>
      </rPr>
      <t>Temple Owls</t>
    </r>
  </si>
  <si>
    <t>Miami Ohio</t>
  </si>
  <si>
    <t>CUSA</t>
  </si>
  <si>
    <t>Hawaii</t>
  </si>
  <si>
    <t>Cal</t>
  </si>
  <si>
    <r>
      <rPr>
        <rFont val="-apple-system, BlinkMacSystemFont, Roboto, Arial, &quot;Helvetica Neue&quot;, Helvetica, sans-serif"/>
        <color rgb="FF1155CC"/>
        <sz val="9.0"/>
        <u/>
      </rPr>
      <t>Tulane Green Wave</t>
    </r>
  </si>
  <si>
    <t>Texas A&amp;M</t>
  </si>
  <si>
    <t>Louisiana Lafayette</t>
  </si>
  <si>
    <t>Louisiana Monroe</t>
  </si>
  <si>
    <t>UMass</t>
  </si>
  <si>
    <r>
      <rPr>
        <rFont val="-apple-system, BlinkMacSystemFont, Roboto, Arial, &quot;Helvetica Neue&quot;, Helvetica, sans-serif"/>
        <color rgb="FF1155CC"/>
        <sz val="9.0"/>
        <u/>
      </rPr>
      <t>Tulsa Golden Hurricane</t>
    </r>
  </si>
  <si>
    <r>
      <rPr>
        <rFont val="-apple-system, BlinkMacSystemFont, Roboto, Arial, &quot;Helvetica Neue&quot;, Helvetica, sans-serif"/>
        <color rgb="FF1155CC"/>
        <sz val="9.0"/>
        <u/>
      </rPr>
      <t>UAB Blazers</t>
    </r>
  </si>
  <si>
    <t>Florida Intl</t>
  </si>
  <si>
    <t>Southern Mississippi</t>
  </si>
  <si>
    <t>UCLA 10 (20) USC 29</t>
  </si>
  <si>
    <t>Miami-OH</t>
  </si>
  <si>
    <t>San José State</t>
  </si>
  <si>
    <r>
      <rPr>
        <rFont val="-apple-system, BlinkMacSystemFont, Roboto, Arial, &quot;Helvetica Neue&quot;, Helvetica, sans-serif"/>
        <color rgb="FF1155CC"/>
        <sz val="9.0"/>
        <u/>
      </rPr>
      <t>Army Black Knights</t>
    </r>
  </si>
  <si>
    <t>Cincinnati 23 TCU 45</t>
  </si>
  <si>
    <t>UL Lafayette</t>
  </si>
  <si>
    <t>FPI</t>
  </si>
  <si>
    <t>LSU 13 (8) Oklahoma 17</t>
  </si>
  <si>
    <r>
      <rPr>
        <rFont val="-apple-system, BlinkMacSystemFont, Roboto, Arial, &quot;Helvetica Neue&quot;, Helvetica, sans-serif"/>
        <color rgb="FF1155CC"/>
        <sz val="9.0"/>
        <u/>
      </rPr>
      <t>Charlotte 49ers</t>
    </r>
  </si>
  <si>
    <t>SEC</t>
  </si>
  <si>
    <t>South Alabama 26 Texas State 49</t>
  </si>
  <si>
    <r>
      <rPr>
        <rFont val="-apple-system, BlinkMacSystemFont, Roboto, Arial, &quot;Helvetica Neue&quot;, Helvetica, sans-serif"/>
        <color rgb="FF1155CC"/>
        <sz val="9.0"/>
        <u/>
      </rPr>
      <t>East Carolina Pirates</t>
    </r>
  </si>
  <si>
    <t>Southern Miss Golden Eagles</t>
  </si>
  <si>
    <t>Ball State 24 Miami-OH 45</t>
  </si>
  <si>
    <r>
      <rPr>
        <rFont val="-apple-system, BlinkMacSystemFont, Roboto, Arial, &quot;Helvetica Neue&quot;, Helvetica, sans-serif"/>
        <color rgb="FF1155CC"/>
        <sz val="9.0"/>
        <u/>
      </rPr>
      <t>Florida Atlantic Owls</t>
    </r>
  </si>
  <si>
    <t>Hawai'i Rainbow Warriors</t>
  </si>
  <si>
    <t>San José State Spartans</t>
  </si>
  <si>
    <t>East Carolina 42 Florida Atlantic 3</t>
  </si>
  <si>
    <r>
      <rPr>
        <rFont val="-apple-system, BlinkMacSystemFont, Roboto, Arial, &quot;Helvetica Neue&quot;, Helvetica, sans-serif"/>
        <color rgb="FF1155CC"/>
        <sz val="9.0"/>
        <u/>
      </rPr>
      <t>UTSA Roadrunners</t>
    </r>
  </si>
  <si>
    <t>App State Mountaineers</t>
  </si>
  <si>
    <t>Louisiana Ragin' Cajuns</t>
  </si>
  <si>
    <t>Massachusetts Minutemen</t>
  </si>
  <si>
    <t>Sam Houston Bearkats</t>
  </si>
  <si>
    <t>Boise State 25 Utah State 24</t>
  </si>
  <si>
    <t>Delaware Blue Hens</t>
  </si>
  <si>
    <t>NCAA Sched</t>
  </si>
  <si>
    <t>Conference</t>
  </si>
  <si>
    <t>South Fla.</t>
  </si>
  <si>
    <t>Florida St.</t>
  </si>
  <si>
    <t>Miami (FL)</t>
  </si>
  <si>
    <t>Iowa St.</t>
  </si>
  <si>
    <t>Overall</t>
  </si>
  <si>
    <t>Kansas St.</t>
  </si>
  <si>
    <t>(14) Utah 31 Kansas 21</t>
  </si>
  <si>
    <t>Oklahoma St.</t>
  </si>
  <si>
    <t>Michigan St.</t>
  </si>
  <si>
    <t>Polls</t>
  </si>
  <si>
    <t>Ohio St.</t>
  </si>
  <si>
    <t>Penn St.</t>
  </si>
  <si>
    <t>Fla. Atlantic</t>
  </si>
  <si>
    <t>W-L</t>
  </si>
  <si>
    <t>Middle Tenn.</t>
  </si>
  <si>
    <t>Southern Miss.</t>
  </si>
  <si>
    <t>Western Ky.</t>
  </si>
  <si>
    <t>Ball St.</t>
  </si>
  <si>
    <t>Central Mich.</t>
  </si>
  <si>
    <t>Eastern Mich.</t>
  </si>
  <si>
    <t>Kent St.</t>
  </si>
  <si>
    <t>Miami (OH)</t>
  </si>
  <si>
    <t>Kennesaw State 48 Liberty 42</t>
  </si>
  <si>
    <t>FINAL - 2ND OT</t>
  </si>
  <si>
    <t>Western Mich.</t>
  </si>
  <si>
    <t>HOME</t>
  </si>
  <si>
    <t>Boise St.</t>
  </si>
  <si>
    <t>AWAY</t>
  </si>
  <si>
    <t>Colorado St.</t>
  </si>
  <si>
    <t>STRK</t>
  </si>
  <si>
    <t>Fresno St.</t>
  </si>
  <si>
    <t>AP</t>
  </si>
  <si>
    <t>San Diego St.</t>
  </si>
  <si>
    <t>San Jose St.</t>
  </si>
  <si>
    <t>0-0</t>
  </si>
  <si>
    <t>Utah St.</t>
  </si>
  <si>
    <t>Arizona St.</t>
  </si>
  <si>
    <t>Oregon St.</t>
  </si>
  <si>
    <t>Southern California</t>
  </si>
  <si>
    <t>1-0</t>
  </si>
  <si>
    <t>Washington St.</t>
  </si>
  <si>
    <t>W1</t>
  </si>
  <si>
    <t>Mississippi St.</t>
  </si>
  <si>
    <t>Arkansas St.</t>
  </si>
  <si>
    <t>Ga. Southern</t>
  </si>
  <si>
    <t>Georgia St.</t>
  </si>
  <si>
    <t>Texas St.</t>
  </si>
  <si>
    <t>Army West Point</t>
  </si>
  <si>
    <t>New Mexico St.</t>
  </si>
  <si>
    <t>Jacksonville St.</t>
  </si>
  <si>
    <t>Kennesaw St.</t>
  </si>
  <si>
    <t>(25) SMU 35 California 38</t>
  </si>
  <si>
    <t>0-1</t>
  </si>
  <si>
    <t>L1</t>
  </si>
  <si>
    <t>(5) Oregon 26 Washington 14</t>
  </si>
  <si>
    <t>draft</t>
  </si>
  <si>
    <t>Atlantic Coast Conference</t>
  </si>
  <si>
    <t>rnd</t>
  </si>
  <si>
    <t>pick</t>
  </si>
  <si>
    <t>player</t>
  </si>
  <si>
    <r>
      <rPr>
        <rFont val="-apple-system, BlinkMacSystemFont, Roboto, Arial, &quot;Helvetica Neue&quot;, Helvetica, sans-serif"/>
        <color rgb="FF1155CC"/>
        <sz val="9.0"/>
        <u/>
      </rPr>
      <t>Boston College Eagles</t>
    </r>
  </si>
  <si>
    <t>conf</t>
  </si>
  <si>
    <t>team</t>
  </si>
  <si>
    <t>UAB 31 Tulsa 24</t>
  </si>
  <si>
    <t>Error Check</t>
  </si>
  <si>
    <t>Same confs picked within 10 after</t>
  </si>
  <si>
    <t>Same confs picked within 20 after</t>
  </si>
  <si>
    <t>Same confs picked within 10 before</t>
  </si>
  <si>
    <t>Same confs picked within 20 before</t>
  </si>
  <si>
    <t>wins</t>
  </si>
  <si>
    <t>picks_better_than</t>
  </si>
  <si>
    <r>
      <rPr>
        <rFont val="-apple-system, BlinkMacSystemFont, Roboto, Arial, &quot;Helvetica Neue&quot;, Helvetica, sans-serif"/>
        <color rgb="FF1155CC"/>
        <sz val="9.0"/>
        <u/>
      </rPr>
      <t>California Golden Bears</t>
    </r>
  </si>
  <si>
    <t>no_teams_slept_on</t>
  </si>
  <si>
    <t>email_status</t>
  </si>
  <si>
    <t>Extra teams in conf after pick</t>
  </si>
  <si>
    <t>Georgia State 10 Old Dominion 27</t>
  </si>
  <si>
    <t>Colorado 14 Kansas State 24</t>
  </si>
  <si>
    <r>
      <rPr>
        <rFont val="-apple-system, BlinkMacSystemFont, Roboto, Arial, &quot;Helvetica Neue&quot;, Helvetica, sans-serif"/>
        <color rgb="FF1155CC"/>
        <sz val="9.0"/>
        <u/>
      </rPr>
      <t>Duke Blue Devils</t>
    </r>
  </si>
  <si>
    <t>isFinal</t>
  </si>
  <si>
    <t>wins_missed</t>
  </si>
  <si>
    <r>
      <rPr>
        <rFont val="-apple-system, BlinkMacSystemFont, Roboto, Arial, &quot;Helvetica Neue&quot;, Helvetica, sans-serif"/>
        <color rgb="FF1155CC"/>
        <sz val="9.0"/>
        <u/>
      </rPr>
      <t>Florida State Seminoles</t>
    </r>
  </si>
  <si>
    <t>bestpick</t>
  </si>
  <si>
    <t>wins_gained</t>
  </si>
  <si>
    <t>teams_slept_on</t>
  </si>
  <si>
    <t>wins_missed_conf</t>
  </si>
  <si>
    <t>picks_better_than_conf</t>
  </si>
  <si>
    <t>no_teams_slept_on_conf</t>
  </si>
  <si>
    <t>bestpick_conf</t>
  </si>
  <si>
    <t>wins_gained_conf</t>
  </si>
  <si>
    <t>teams_slept_on_conf</t>
  </si>
  <si>
    <t>confs_avail</t>
  </si>
  <si>
    <t>wins_missed_confs_avail</t>
  </si>
  <si>
    <t>Western Michigan 31 EMU 21</t>
  </si>
  <si>
    <t>picks_better_than_confs_avail</t>
  </si>
  <si>
    <t>no_teams_slept_on_confs_avail</t>
  </si>
  <si>
    <t>bestpick_confs_avail</t>
  </si>
  <si>
    <r>
      <rPr>
        <rFont val="-apple-system, BlinkMacSystemFont, Roboto, Arial, &quot;Helvetica Neue&quot;, Helvetica, sans-serif"/>
        <color rgb="FF1155CC"/>
        <sz val="9.0"/>
        <u/>
      </rPr>
      <t>Georgia Tech Yellow Jackets</t>
    </r>
  </si>
  <si>
    <t>wins_gained_confs_avail</t>
  </si>
  <si>
    <t>teams_slept_on_confs_avail</t>
  </si>
  <si>
    <t>Has made WC</t>
  </si>
  <si>
    <t>Conferences that can be wildcards</t>
  </si>
  <si>
    <r>
      <rPr>
        <rFont val="-apple-system, BlinkMacSystemFont, Roboto, Arial, &quot;Helvetica Neue&quot;, Helvetica, sans-serif"/>
        <color rgb="FF1155CC"/>
        <sz val="9.0"/>
        <u/>
      </rPr>
      <t>Louisville Cardinals</t>
    </r>
  </si>
  <si>
    <r>
      <rPr>
        <rFont val="-apple-system, BlinkMacSystemFont, Roboto, Arial, &quot;Helvetica Neue&quot;, Helvetica, sans-serif"/>
        <color rgb="FF1155CC"/>
        <sz val="9.0"/>
        <u/>
      </rPr>
      <t>NC State Wolfpack</t>
    </r>
  </si>
  <si>
    <r>
      <rPr>
        <rFont val="-apple-system, BlinkMacSystemFont, Roboto, Arial, &quot;Helvetica Neue&quot;, Helvetica, sans-serif"/>
        <color rgb="FF1155CC"/>
        <sz val="9.0"/>
        <u/>
      </rPr>
      <t>Pittsburgh Panthers</t>
    </r>
  </si>
  <si>
    <r>
      <rPr>
        <rFont val="-apple-system, BlinkMacSystemFont, Roboto, Arial, &quot;Helvetica Neue&quot;, Helvetica, sans-serif"/>
        <color rgb="FF1155CC"/>
        <sz val="9.0"/>
        <u/>
      </rPr>
      <t>SMU Mustangs</t>
    </r>
  </si>
  <si>
    <t>Oregon State 8 Washington State 32</t>
  </si>
  <si>
    <t>Pac12</t>
  </si>
  <si>
    <t>(12) Vanderbilt 45 (18) Tennessee 24</t>
  </si>
  <si>
    <r>
      <rPr>
        <rFont val="-apple-system, BlinkMacSystemFont, Roboto, Arial, &quot;Helvetica Neue&quot;, Helvetica, sans-serif"/>
        <color rgb="FF1155CC"/>
        <sz val="9.0"/>
        <u/>
      </rPr>
      <t>Virginia Cavaliers</t>
    </r>
  </si>
  <si>
    <t>Louisiana Tech 42 Missouri State 30</t>
  </si>
  <si>
    <t>(1) Ohio State 27 (15) Michigan 9</t>
  </si>
  <si>
    <r>
      <rPr>
        <rFont val="-apple-system, BlinkMacSystemFont, Roboto, Arial, &quot;Helvetica Neue&quot;, Helvetica, sans-serif"/>
        <color rgb="FF1155CC"/>
        <sz val="9.0"/>
        <u/>
      </rPr>
      <t>Wake Forest Demon Deacons</t>
    </r>
  </si>
  <si>
    <r>
      <rPr>
        <rFont val="-apple-system, BlinkMacSystemFont, Roboto, Arial, &quot;Helvetica Neue&quot;, Helvetica, sans-serif"/>
        <color rgb="FF1155CC"/>
        <sz val="9.0"/>
        <u/>
      </rPr>
      <t>Miami Hurricanes</t>
    </r>
  </si>
  <si>
    <r>
      <rPr>
        <rFont val="-apple-system, BlinkMacSystemFont, Roboto, Arial, &quot;Helvetica Neue&quot;, Helvetica, sans-serif"/>
        <color rgb="FF1155CC"/>
        <sz val="9.0"/>
        <u/>
      </rPr>
      <t>North Carolina Tar Heels</t>
    </r>
  </si>
  <si>
    <t>San Diego State 17 New Mexico 23</t>
  </si>
  <si>
    <r>
      <rPr>
        <rFont val="-apple-system, BlinkMacSystemFont, Roboto, Arial, &quot;Helvetica Neue&quot;, Helvetica, sans-serif"/>
        <color rgb="FF1155CC"/>
        <sz val="9.0"/>
        <u/>
      </rPr>
      <t>Virginia Tech Hokies</t>
    </r>
  </si>
  <si>
    <t>UL Monroe 27 UL Lafayette 30</t>
  </si>
  <si>
    <r>
      <rPr>
        <rFont val="-apple-system, BlinkMacSystemFont, Roboto, Arial, &quot;Helvetica Neue&quot;, Helvetica, sans-serif"/>
        <color rgb="FF1155CC"/>
        <sz val="9.0"/>
        <u/>
      </rPr>
      <t>Clemson Tigers</t>
    </r>
  </si>
  <si>
    <r>
      <rPr>
        <rFont val="-apple-system, BlinkMacSystemFont, Roboto, Arial, &quot;Helvetica Neue&quot;, Helvetica, sans-serif"/>
        <color rgb="FF1155CC"/>
        <sz val="9.0"/>
        <u/>
      </rPr>
      <t>Stanford Cardinal</t>
    </r>
  </si>
  <si>
    <t>Virginia Tech 7 (17) Virginia 27</t>
  </si>
  <si>
    <r>
      <rPr>
        <rFont val="-apple-system, BlinkMacSystemFont, Roboto, Arial, &quot;Helvetica Neue&quot;, Helvetica, sans-serif"/>
        <color rgb="FF1155CC"/>
        <sz val="9.0"/>
        <u/>
      </rPr>
      <t>Syracuse Orange</t>
    </r>
  </si>
  <si>
    <t>Army 27 UTSA 24</t>
  </si>
  <si>
    <t>Georgia Southern 24 Marshall 19</t>
  </si>
  <si>
    <t>Florida Intl 56 Sam Houston 16</t>
  </si>
  <si>
    <t>-</t>
  </si>
  <si>
    <t>Iowa State 20 Oklahoma State 13</t>
  </si>
  <si>
    <t>Big 12 Conference</t>
  </si>
  <si>
    <r>
      <rPr>
        <rFont val="-apple-system, BlinkMacSystemFont, Roboto, Arial, &quot;Helvetica Neue&quot;, Helvetica, sans-serif"/>
        <color rgb="FF1155CC"/>
        <sz val="9.0"/>
        <u/>
      </rPr>
      <t>Iowa State Cyclones</t>
    </r>
  </si>
  <si>
    <t>Kent State 35 Northern Illinois 31</t>
  </si>
  <si>
    <r>
      <rPr>
        <rFont val="-apple-system, BlinkMacSystemFont, Roboto, Arial, &quot;Helvetica Neue&quot;, Helvetica, sans-serif"/>
        <color rgb="FF1155CC"/>
        <sz val="9.0"/>
        <u/>
      </rPr>
      <t>Kansas Jayhawks</t>
    </r>
  </si>
  <si>
    <r>
      <rPr>
        <rFont val="-apple-system, BlinkMacSystemFont, Roboto, Arial, &quot;Helvetica Neue&quot;, Helvetica, sans-serif"/>
        <color rgb="FF1155CC"/>
        <sz val="9.0"/>
        <u/>
      </rPr>
      <t>Arizona Wildcats</t>
    </r>
  </si>
  <si>
    <t>UNLV 42 Nevada 17</t>
  </si>
  <si>
    <r>
      <rPr>
        <rFont val="-apple-system, BlinkMacSystemFont, Roboto, Arial, &quot;Helvetica Neue&quot;, Helvetica, sans-serif"/>
        <color rgb="FF1155CC"/>
        <sz val="9.0"/>
        <u/>
      </rPr>
      <t>Arizona State Sun Devils</t>
    </r>
  </si>
  <si>
    <t>Maryland 28 Michigan State 38</t>
  </si>
  <si>
    <r>
      <rPr>
        <rFont val="-apple-system, BlinkMacSystemFont, Roboto, Arial, &quot;Helvetica Neue&quot;, Helvetica, sans-serif"/>
        <color rgb="FF1155CC"/>
        <sz val="9.0"/>
        <u/>
      </rPr>
      <t>BYU Cougars</t>
    </r>
  </si>
  <si>
    <t>Florida State 21 Florida 40</t>
  </si>
  <si>
    <r>
      <rPr>
        <rFont val="-apple-system, BlinkMacSystemFont, Roboto, Arial, &quot;Helvetica Neue&quot;, Helvetica, sans-serif"/>
        <color rgb="FF1155CC"/>
        <sz val="9.0"/>
        <u/>
      </rPr>
      <t>Houston Cougars</t>
    </r>
  </si>
  <si>
    <r>
      <rPr>
        <rFont val="-apple-system, BlinkMacSystemFont, Roboto, Arial, &quot;Helvetica Neue&quot;, Helvetica, sans-serif"/>
        <color rgb="FF1155CC"/>
        <sz val="9.0"/>
        <u/>
      </rPr>
      <t>Oklahoma State Cowboys</t>
    </r>
  </si>
  <si>
    <r>
      <rPr>
        <rFont val="-apple-system, BlinkMacSystemFont, Roboto, Arial, &quot;Helvetica Neue&quot;, Helvetica, sans-serif"/>
        <color rgb="FF1155CC"/>
        <sz val="9.0"/>
        <u/>
      </rPr>
      <t>Texas Tech Red Raiders</t>
    </r>
  </si>
  <si>
    <t>UTEP 31 Delaware 61</t>
  </si>
  <si>
    <t>UCF 21 (11) BYU 41</t>
  </si>
  <si>
    <r>
      <rPr>
        <rFont val="-apple-system, BlinkMacSystemFont, Roboto, Arial, &quot;Helvetica Neue&quot;, Helvetica, sans-serif"/>
        <color rgb="FF1155CC"/>
        <sz val="9.0"/>
        <u/>
      </rPr>
      <t>UCF Knights</t>
    </r>
  </si>
  <si>
    <r>
      <rPr>
        <rFont val="-apple-system, BlinkMacSystemFont, Roboto, Arial, &quot;Helvetica Neue&quot;, Helvetica, sans-serif"/>
        <color rgb="FF1155CC"/>
        <sz val="9.0"/>
        <u/>
      </rPr>
      <t>Utah Utes</t>
    </r>
  </si>
  <si>
    <t>Navy 28 Memphis 17</t>
  </si>
  <si>
    <r>
      <rPr>
        <rFont val="-apple-system, BlinkMacSystemFont, Roboto, Arial, &quot;Helvetica Neue&quot;, Helvetica, sans-serif"/>
        <color rgb="FF1155CC"/>
        <sz val="9.0"/>
        <u/>
      </rPr>
      <t>West Virginia Mountaineers</t>
    </r>
  </si>
  <si>
    <r>
      <rPr>
        <rFont val="-apple-system, BlinkMacSystemFont, Roboto, Arial, &quot;Helvetica Neue&quot;, Helvetica, sans-serif"/>
        <color rgb="FF1155CC"/>
        <sz val="9.0"/>
        <u/>
      </rPr>
      <t>TCU Horned Frogs</t>
    </r>
  </si>
  <si>
    <r>
      <rPr>
        <rFont val="-apple-system, BlinkMacSystemFont, Roboto, Arial, &quot;Helvetica Neue&quot;, Helvetica, sans-serif"/>
        <color rgb="FF1155CC"/>
        <sz val="9.0"/>
        <u/>
      </rPr>
      <t>Baylor Bears</t>
    </r>
  </si>
  <si>
    <t>Wyoming 7 Hawaii 27</t>
  </si>
  <si>
    <r>
      <rPr>
        <rFont val="-apple-system, BlinkMacSystemFont, Roboto, Arial, &quot;Helvetica Neue&quot;, Helvetica, sans-serif"/>
        <color rgb="FF1155CC"/>
        <sz val="9.0"/>
        <u/>
      </rPr>
      <t>Cincinnati Bearcats</t>
    </r>
  </si>
  <si>
    <t>(9) Notre Dame 49 Stanford 20</t>
  </si>
  <si>
    <r>
      <rPr>
        <rFont val="-apple-system, BlinkMacSystemFont, Roboto, Arial, &quot;Helvetica Neue&quot;, Helvetica, sans-serif"/>
        <color rgb="FF1155CC"/>
        <sz val="9.0"/>
        <u/>
      </rPr>
      <t>Colorado Buffaloes</t>
    </r>
  </si>
  <si>
    <t>zIndependent</t>
  </si>
  <si>
    <r>
      <rPr>
        <rFont val="-apple-system, BlinkMacSystemFont, Roboto, Arial, &quot;Helvetica Neue&quot;, Helvetica, sans-serif"/>
        <color rgb="FF1155CC"/>
        <sz val="9.0"/>
        <u/>
      </rPr>
      <t>Kansas State Wildcats</t>
    </r>
  </si>
  <si>
    <t>Troy 28 Southern Mississippi 18</t>
  </si>
  <si>
    <t>2-0</t>
  </si>
  <si>
    <t>W2</t>
  </si>
  <si>
    <t>(4) Georgia 16 (19) Georgia Tech 9</t>
  </si>
  <si>
    <t>Ohio 31 Buffalo 26</t>
  </si>
  <si>
    <t>Iowa 40 Nebraska 16</t>
  </si>
  <si>
    <t>Big Ten Conference</t>
  </si>
  <si>
    <r>
      <rPr>
        <rFont val="-apple-system, BlinkMacSystemFont, Roboto, Arial, &quot;Helvetica Neue&quot;, Helvetica, sans-serif"/>
        <color rgb="FF1155CC"/>
        <sz val="9.0"/>
        <u/>
      </rPr>
      <t>Illinois Fighting Illini</t>
    </r>
  </si>
  <si>
    <t>Fresno State 41 San José State 14</t>
  </si>
  <si>
    <r>
      <rPr>
        <rFont val="-apple-system, BlinkMacSystemFont, Roboto, Arial, &quot;Helvetica Neue&quot;, Helvetica, sans-serif"/>
        <color rgb="FF1155CC"/>
        <sz val="9.0"/>
        <u/>
      </rPr>
      <t>Indiana Hoosiers</t>
    </r>
  </si>
  <si>
    <r>
      <rPr>
        <rFont val="-apple-system, BlinkMacSystemFont, Roboto, Arial, &quot;Helvetica Neue&quot;, Helvetica, sans-serif"/>
        <color rgb="FF1155CC"/>
        <sz val="9.0"/>
        <u/>
      </rPr>
      <t>Iowa Hawkeyes</t>
    </r>
  </si>
  <si>
    <t>Wisconsin 7 Minnesota 17</t>
  </si>
  <si>
    <r>
      <rPr>
        <rFont val="-apple-system, BlinkMacSystemFont, Roboto, Arial, &quot;Helvetica Neue&quot;, Helvetica, sans-serif"/>
        <color rgb="FF1155CC"/>
        <sz val="9.0"/>
        <u/>
      </rPr>
      <t>Maryland Terrapins</t>
    </r>
  </si>
  <si>
    <r>
      <rPr>
        <rFont val="-apple-system, BlinkMacSystemFont, Roboto, Arial, &quot;Helvetica Neue&quot;, Helvetica, sans-serif"/>
        <color rgb="FF1155CC"/>
        <sz val="9.0"/>
        <u/>
      </rPr>
      <t>Michigan Wolverines</t>
    </r>
  </si>
  <si>
    <t>(13) Miami 38 (24) Pittsburgh 7</t>
  </si>
  <si>
    <r>
      <rPr>
        <rFont val="-apple-system, BlinkMacSystemFont, Roboto, Arial, &quot;Helvetica Neue&quot;, Helvetica, sans-serif"/>
        <color rgb="FF1155CC"/>
        <sz val="9.0"/>
        <u/>
      </rPr>
      <t>Michigan State Spartans</t>
    </r>
  </si>
  <si>
    <t>(3) Texas A&amp;M 17 (16) Texas 27</t>
  </si>
  <si>
    <r>
      <rPr>
        <rFont val="-apple-system, BlinkMacSystemFont, Roboto, Arial, &quot;Helvetica Neue&quot;, Helvetica, sans-serif"/>
        <color rgb="FF1155CC"/>
        <sz val="9.0"/>
        <u/>
      </rPr>
      <t>Minnesota Golden Gophers</t>
    </r>
  </si>
  <si>
    <r>
      <rPr>
        <rFont val="-apple-system, BlinkMacSystemFont, Roboto, Arial, &quot;Helvetica Neue&quot;, Helvetica, sans-serif"/>
        <color rgb="FF1155CC"/>
        <sz val="9.0"/>
        <u/>
      </rPr>
      <t>Nebraska Cornhuskers</t>
    </r>
  </si>
  <si>
    <t>Northwestern 13 Illinois 20</t>
  </si>
  <si>
    <r>
      <rPr>
        <rFont val="-apple-system, BlinkMacSystemFont, Roboto, Arial, &quot;Helvetica Neue&quot;, Helvetica, sans-serif"/>
        <color rgb="FF1155CC"/>
        <sz val="9.0"/>
        <u/>
      </rPr>
      <t>Ohio State Buckeyes</t>
    </r>
  </si>
  <si>
    <t>(21) James Madison 59 Coastal Carolina 10</t>
  </si>
  <si>
    <t>Missouri 31 Arkansas 17</t>
  </si>
  <si>
    <r>
      <rPr>
        <rFont val="-apple-system, BlinkMacSystemFont, Roboto, Arial, &quot;Helvetica Neue&quot;, Helvetica, sans-serif"/>
        <color rgb="FF1155CC"/>
        <sz val="9.0"/>
        <u/>
      </rPr>
      <t>Oregon Ducks</t>
    </r>
  </si>
  <si>
    <r>
      <rPr>
        <rFont val="-apple-system, BlinkMacSystemFont, Roboto, Arial, &quot;Helvetica Neue&quot;, Helvetica, sans-serif"/>
        <color rgb="FF1155CC"/>
        <sz val="9.0"/>
        <u/>
      </rPr>
      <t>Penn State Nittany Lions</t>
    </r>
  </si>
  <si>
    <t>Western Kentucky 34 Jacksonville State 37</t>
  </si>
  <si>
    <r>
      <rPr>
        <rFont val="-apple-system, BlinkMacSystemFont, Roboto, Arial, &quot;Helvetica Neue&quot;, Helvetica, sans-serif"/>
        <color rgb="FF1155CC"/>
        <sz val="9.0"/>
        <u/>
      </rPr>
      <t>Purdue Boilermakers</t>
    </r>
  </si>
  <si>
    <r>
      <rPr>
        <rFont val="-apple-system, BlinkMacSystemFont, Roboto, Arial, &quot;Helvetica Neue&quot;, Helvetica, sans-serif"/>
        <color rgb="FF1155CC"/>
        <sz val="9.0"/>
        <u/>
      </rPr>
      <t>Rutgers Scarlet Knights</t>
    </r>
  </si>
  <si>
    <t>Toledo 21 Central Michigan 3</t>
  </si>
  <si>
    <r>
      <rPr>
        <rFont val="-apple-system, BlinkMacSystemFont, Roboto, Arial, &quot;Helvetica Neue&quot;, Helvetica, sans-serif"/>
        <color rgb="FF1155CC"/>
        <sz val="9.0"/>
        <u/>
      </rPr>
      <t>USC Trojans</t>
    </r>
  </si>
  <si>
    <t>Temple 25 (22) North Texas 52</t>
  </si>
  <si>
    <t>Picked</t>
  </si>
  <si>
    <r>
      <rPr>
        <rFont val="-apple-system, BlinkMacSystemFont, Roboto, Arial, &quot;Helvetica Neue&quot;, Helvetica, sans-serif"/>
        <color rgb="FF1155CC"/>
        <sz val="9.0"/>
        <u/>
      </rPr>
      <t>Washington Huskies</t>
    </r>
  </si>
  <si>
    <t>Charlotte 0 (23) Tulane 27</t>
  </si>
  <si>
    <r>
      <rPr>
        <rFont val="-apple-system, BlinkMacSystemFont, Roboto, Arial, &quot;Helvetica Neue&quot;, Helvetica, sans-serif"/>
        <color rgb="FF1155CC"/>
        <sz val="9.0"/>
        <u/>
      </rPr>
      <t>Wisconsin Badgers</t>
    </r>
  </si>
  <si>
    <t>Wake Forest 32 Duke 49</t>
  </si>
  <si>
    <r>
      <rPr>
        <rFont val="-apple-system, BlinkMacSystemFont, Roboto, Arial, &quot;Helvetica Neue&quot;, Helvetica, sans-serif"/>
        <color rgb="FF1155CC"/>
        <sz val="9.0"/>
        <u/>
      </rPr>
      <t>Northwestern Wildcats</t>
    </r>
  </si>
  <si>
    <r>
      <rPr>
        <rFont val="-apple-system, BlinkMacSystemFont, Roboto, Arial, &quot;Helvetica Neue&quot;, Helvetica, sans-serif"/>
        <color rgb="FF1155CC"/>
        <sz val="9.0"/>
        <u/>
      </rPr>
      <t>UCLA Bruins</t>
    </r>
  </si>
  <si>
    <t>Clemson 28 South Carolina 14</t>
  </si>
  <si>
    <t>Houston 31 Baylor 24</t>
  </si>
  <si>
    <t>(6) Ole Miss 38 Mississippi State 19</t>
  </si>
  <si>
    <t>Conference USA</t>
  </si>
  <si>
    <r>
      <rPr>
        <rFont val="-apple-system, BlinkMacSystemFont, Roboto, Arial, &quot;Helvetica Neue&quot;, Helvetica, sans-serif"/>
        <color rgb="FF1155CC"/>
        <sz val="9.0"/>
        <u/>
      </rPr>
      <t>Western Kentucky Hilltoppers</t>
    </r>
  </si>
  <si>
    <r>
      <rPr>
        <rFont val="-apple-system, BlinkMacSystemFont, Roboto, Arial, &quot;Helvetica Neue&quot;, Helvetica, sans-serif"/>
        <color rgb="FF1155CC"/>
        <sz val="9.0"/>
        <u/>
      </rPr>
      <t>Delaware Blue Hens</t>
    </r>
  </si>
  <si>
    <r>
      <rPr>
        <rFont val="-apple-system, BlinkMacSystemFont, Roboto, Arial, &quot;Helvetica Neue&quot;, Helvetica, sans-serif"/>
        <color rgb="FF1155CC"/>
        <sz val="9.0"/>
        <u/>
      </rPr>
      <t>Florida International Panthers</t>
    </r>
  </si>
  <si>
    <r>
      <rPr>
        <rFont val="-apple-system, BlinkMacSystemFont, Roboto, Arial, &quot;Helvetica Neue&quot;, Helvetica, sans-serif"/>
        <color rgb="FF1155CC"/>
        <sz val="9.0"/>
        <u/>
      </rPr>
      <t>Liberty Flames</t>
    </r>
  </si>
  <si>
    <r>
      <rPr>
        <rFont val="-apple-system, BlinkMacSystemFont, Roboto, Arial, &quot;Helvetica Neue&quot;, Helvetica, sans-serif"/>
        <color rgb="FF1155CC"/>
        <sz val="9.0"/>
        <u/>
      </rPr>
      <t>Louisiana Tech Bulldogs</t>
    </r>
  </si>
  <si>
    <r>
      <rPr>
        <rFont val="-apple-system, BlinkMacSystemFont, Roboto, Arial, &quot;Helvetica Neue&quot;, Helvetica, sans-serif"/>
        <color rgb="FF1155CC"/>
        <sz val="9.0"/>
        <u/>
      </rPr>
      <t>New Mexico State Aggies</t>
    </r>
  </si>
  <si>
    <r>
      <rPr>
        <rFont val="-apple-system, BlinkMacSystemFont, Roboto, Arial, &quot;Helvetica Neue&quot;, Helvetica, sans-serif"/>
        <color rgb="FF1155CC"/>
        <sz val="9.0"/>
        <u/>
      </rPr>
      <t>Jacksonville State Gamecocks</t>
    </r>
  </si>
  <si>
    <r>
      <rPr>
        <rFont val="-apple-system, BlinkMacSystemFont, Roboto, Arial, &quot;Helvetica Neue&quot;, Helvetica, sans-serif"/>
        <color rgb="FF1155CC"/>
        <sz val="9.0"/>
        <u/>
      </rPr>
      <t>Kennesaw State Owls</t>
    </r>
  </si>
  <si>
    <t>Wild Card</t>
  </si>
  <si>
    <r>
      <rPr>
        <rFont val="-apple-system, BlinkMacSystemFont, Roboto, Arial, &quot;Helvetica Neue&quot;, Helvetica, sans-serif"/>
        <color rgb="FF1155CC"/>
        <sz val="9.0"/>
        <u/>
      </rPr>
      <t>Middle Tennessee Blue Raiders</t>
    </r>
  </si>
  <si>
    <r>
      <rPr>
        <rFont val="-apple-system, BlinkMacSystemFont, Roboto, Arial, &quot;Helvetica Neue&quot;, Helvetica, sans-serif"/>
        <color rgb="FF1155CC"/>
        <sz val="9.0"/>
        <u/>
      </rPr>
      <t>Missouri State Bears</t>
    </r>
  </si>
  <si>
    <r>
      <rPr>
        <rFont val="-apple-system, BlinkMacSystemFont, Roboto, Arial, &quot;Helvetica Neue&quot;, Helvetica, sans-serif"/>
        <color rgb="FF1155CC"/>
        <sz val="9.0"/>
        <u/>
      </rPr>
      <t>UTEP Miners</t>
    </r>
  </si>
  <si>
    <r>
      <rPr>
        <rFont val="-apple-system, BlinkMacSystemFont, Roboto, Arial, &quot;Helvetica Neue&quot;, Helvetica, sans-serif"/>
        <color rgb="FF1155CC"/>
        <sz val="9.0"/>
        <u/>
      </rPr>
      <t>Sam Houston Bearkats</t>
    </r>
  </si>
  <si>
    <t>Kentucky 0 Louisville 41</t>
  </si>
  <si>
    <t>0-2</t>
  </si>
  <si>
    <t>L2</t>
  </si>
  <si>
    <t>FBS Independents</t>
  </si>
  <si>
    <r>
      <rPr>
        <rFont val="-apple-system, BlinkMacSystemFont, Roboto, Arial, &quot;Helvetica Neue&quot;, Helvetica, sans-serif"/>
        <color rgb="FF1155CC"/>
        <sz val="9.0"/>
        <u/>
      </rPr>
      <t>UConn Huskies</t>
    </r>
  </si>
  <si>
    <r>
      <rPr>
        <rFont val="-apple-system, BlinkMacSystemFont, Roboto, Arial, &quot;Helvetica Neue&quot;, Helvetica, sans-serif"/>
        <color rgb="FF1155CC"/>
        <sz val="9.0"/>
        <u/>
      </rPr>
      <t>Notre Dame Fighting Irish</t>
    </r>
  </si>
  <si>
    <t>(2) Indiana 56 Purdue 3</t>
  </si>
  <si>
    <t>--</t>
  </si>
  <si>
    <t>Mid-American Conference</t>
  </si>
  <si>
    <r>
      <rPr>
        <rFont val="-apple-system, BlinkMacSystemFont, Roboto, Arial, &quot;Helvetica Neue&quot;, Helvetica, sans-serif"/>
        <color rgb="FF1155CC"/>
        <sz val="9.0"/>
        <u/>
      </rPr>
      <t>Bowling Green Falcons</t>
    </r>
  </si>
  <si>
    <r>
      <rPr>
        <rFont val="-apple-system, BlinkMacSystemFont, Roboto, Arial, &quot;Helvetica Neue&quot;, Helvetica, sans-serif"/>
        <color rgb="FF1155CC"/>
        <sz val="9.0"/>
        <u/>
      </rPr>
      <t>Central Michigan Chippewas</t>
    </r>
  </si>
  <si>
    <r>
      <rPr>
        <rFont val="-apple-system, BlinkMacSystemFont, Roboto, Arial, &quot;Helvetica Neue&quot;, Helvetica, sans-serif"/>
        <color rgb="FF1155CC"/>
        <sz val="9.0"/>
        <u/>
      </rPr>
      <t>Kent State Golden Flashes</t>
    </r>
  </si>
  <si>
    <t>Boston College 34 Syracuse 12</t>
  </si>
  <si>
    <r>
      <rPr>
        <rFont val="-apple-system, BlinkMacSystemFont, Roboto, Arial, &quot;Helvetica Neue&quot;, Helvetica, sans-serif"/>
        <color rgb="FF1155CC"/>
        <sz val="9.0"/>
        <u/>
      </rPr>
      <t>Northern Illinois Huskies</t>
    </r>
  </si>
  <si>
    <r>
      <rPr>
        <rFont val="-apple-system, BlinkMacSystemFont, Roboto, Arial, &quot;Helvetica Neue&quot;, Helvetica, sans-serif"/>
        <color rgb="FF1155CC"/>
        <sz val="9.0"/>
        <u/>
      </rPr>
      <t>Akron Zips</t>
    </r>
  </si>
  <si>
    <r>
      <rPr>
        <rFont val="-apple-system, BlinkMacSystemFont, Roboto, Arial, &quot;Helvetica Neue&quot;, Helvetica, sans-serif"/>
        <color rgb="FF1155CC"/>
        <sz val="9.0"/>
        <u/>
      </rPr>
      <t>Ball State Cardinals</t>
    </r>
  </si>
  <si>
    <r>
      <rPr>
        <rFont val="-apple-system, BlinkMacSystemFont, Roboto, Arial, &quot;Helvetica Neue&quot;, Helvetica, sans-serif"/>
        <color rgb="FF1155CC"/>
        <sz val="9.0"/>
        <u/>
      </rPr>
      <t>Buffalo Bulls</t>
    </r>
  </si>
  <si>
    <r>
      <rPr>
        <rFont val="-apple-system, BlinkMacSystemFont, Roboto, Arial, &quot;Helvetica Neue&quot;, Helvetica, sans-serif"/>
        <color rgb="FF1155CC"/>
        <sz val="9.0"/>
        <u/>
      </rPr>
      <t>Eastern Michigan Eagles</t>
    </r>
  </si>
  <si>
    <r>
      <rPr>
        <rFont val="-apple-system, BlinkMacSystemFont, Roboto, Arial, &quot;Helvetica Neue&quot;, Helvetica, sans-serif"/>
        <color rgb="FF1155CC"/>
        <sz val="9.0"/>
        <u/>
      </rPr>
      <t>Massachusetts Minutemen</t>
    </r>
  </si>
  <si>
    <r>
      <rPr>
        <rFont val="-apple-system, BlinkMacSystemFont, Roboto, Arial, &quot;Helvetica Neue&quot;, Helvetica, sans-serif"/>
        <color rgb="FF1155CC"/>
        <sz val="9.0"/>
        <u/>
      </rPr>
      <t>Miami (OH) RedHawks</t>
    </r>
  </si>
  <si>
    <r>
      <rPr>
        <rFont val="-apple-system, BlinkMacSystemFont, Roboto, Arial, &quot;Helvetica Neue&quot;, Helvetica, sans-serif"/>
        <color rgb="FF1155CC"/>
        <sz val="9.0"/>
        <u/>
      </rPr>
      <t>Ohio Bobcats</t>
    </r>
  </si>
  <si>
    <r>
      <rPr>
        <rFont val="-apple-system, BlinkMacSystemFont, Roboto, Arial, &quot;Helvetica Neue&quot;, Helvetica, sans-serif"/>
        <color rgb="FF1155CC"/>
        <sz val="9.0"/>
        <u/>
      </rPr>
      <t>Toledo Rockets</t>
    </r>
  </si>
  <si>
    <r>
      <rPr>
        <rFont val="-apple-system, BlinkMacSystemFont, Roboto, Arial, &quot;Helvetica Neue&quot;, Helvetica, sans-serif"/>
        <color rgb="FF1155CC"/>
        <sz val="9.0"/>
        <u/>
      </rPr>
      <t>Western Michigan Broncos</t>
    </r>
  </si>
  <si>
    <t>Mountain West Conference</t>
  </si>
  <si>
    <r>
      <rPr>
        <rFont val="-apple-system, BlinkMacSystemFont, Roboto, Arial, &quot;Helvetica Neue&quot;, Helvetica, sans-serif"/>
        <color rgb="FF1155CC"/>
        <sz val="9.0"/>
        <u/>
      </rPr>
      <t>UNLV Rebels</t>
    </r>
  </si>
  <si>
    <r>
      <rPr>
        <rFont val="-apple-system, BlinkMacSystemFont, Roboto, Arial, &quot;Helvetica Neue&quot;, Helvetica, sans-serif"/>
        <color rgb="FF1155CC"/>
        <sz val="9.0"/>
        <u/>
      </rPr>
      <t>Air Force Falcons</t>
    </r>
  </si>
  <si>
    <r>
      <rPr>
        <rFont val="-apple-system, BlinkMacSystemFont, Roboto, Arial, &quot;Helvetica Neue&quot;, Helvetica, sans-serif"/>
        <color rgb="FF1155CC"/>
        <sz val="9.0"/>
        <u/>
      </rPr>
      <t>San Diego State Aztecs</t>
    </r>
  </si>
  <si>
    <r>
      <rPr>
        <rFont val="-apple-system, BlinkMacSystemFont, Roboto, Arial, &quot;Helvetica Neue&quot;, Helvetica, sans-serif"/>
        <color rgb="FF1155CC"/>
        <sz val="9.0"/>
        <u/>
      </rPr>
      <t>Utah State Aggies</t>
    </r>
  </si>
  <si>
    <r>
      <rPr>
        <rFont val="-apple-system, BlinkMacSystemFont, Roboto, Arial, &quot;Helvetica Neue&quot;, Helvetica, sans-serif"/>
        <color rgb="FF1155CC"/>
        <sz val="9.0"/>
        <u/>
      </rPr>
      <t>Wyoming Cowboys</t>
    </r>
  </si>
  <si>
    <r>
      <rPr>
        <rFont val="-apple-system, BlinkMacSystemFont, Roboto, Arial, &quot;Helvetica Neue&quot;, Helvetica, sans-serif"/>
        <color rgb="FF1155CC"/>
        <sz val="9.0"/>
        <u/>
      </rPr>
      <t>Fresno State Bulldogs</t>
    </r>
  </si>
  <si>
    <r>
      <rPr>
        <rFont val="-apple-system, BlinkMacSystemFont, Roboto, Arial, &quot;Helvetica Neue&quot;, Helvetica, sans-serif"/>
        <color rgb="FF1155CC"/>
        <sz val="9.0"/>
        <u/>
      </rPr>
      <t>Hawai'i Rainbow Warriors</t>
    </r>
  </si>
  <si>
    <r>
      <rPr>
        <rFont val="-apple-system, BlinkMacSystemFont, Roboto, Arial, &quot;Helvetica Neue&quot;, Helvetica, sans-serif"/>
        <color rgb="FF1155CC"/>
        <sz val="9.0"/>
        <u/>
      </rPr>
      <t>Boise State Broncos</t>
    </r>
  </si>
  <si>
    <r>
      <rPr>
        <rFont val="-apple-system, BlinkMacSystemFont, Roboto, Arial, &quot;Helvetica Neue&quot;, Helvetica, sans-serif"/>
        <color rgb="FF1155CC"/>
        <sz val="9.0"/>
        <u/>
      </rPr>
      <t>Colorado State Rams</t>
    </r>
  </si>
  <si>
    <r>
      <rPr>
        <rFont val="-apple-system, BlinkMacSystemFont, Roboto, Arial, &quot;Helvetica Neue&quot;, Helvetica, sans-serif"/>
        <color rgb="FF1155CC"/>
        <sz val="9.0"/>
        <u/>
      </rPr>
      <t>Nevada Wolf Pack</t>
    </r>
  </si>
  <si>
    <r>
      <rPr>
        <rFont val="-apple-system, BlinkMacSystemFont, Roboto, Arial, &quot;Helvetica Neue&quot;, Helvetica, sans-serif"/>
        <color rgb="FF1155CC"/>
        <sz val="9.0"/>
        <u/>
      </rPr>
      <t>New Mexico Lobos</t>
    </r>
  </si>
  <si>
    <r>
      <rPr>
        <rFont val="-apple-system, BlinkMacSystemFont, Roboto, Arial, &quot;Helvetica Neue&quot;, Helvetica, sans-serif"/>
        <color rgb="FF1155CC"/>
        <sz val="9.0"/>
        <u/>
      </rPr>
      <t>San José State Spartans</t>
    </r>
  </si>
  <si>
    <t>Pac-12 Conference</t>
  </si>
  <si>
    <r>
      <rPr>
        <rFont val="-apple-system, BlinkMacSystemFont, Roboto, Arial, &quot;Helvetica Neue&quot;, Helvetica, sans-serif"/>
        <color rgb="FF1155CC"/>
        <sz val="9.0"/>
        <u/>
      </rPr>
      <t>Washington State Cougars</t>
    </r>
  </si>
  <si>
    <r>
      <rPr>
        <rFont val="-apple-system, BlinkMacSystemFont, Roboto, Arial, &quot;Helvetica Neue&quot;, Helvetica, sans-serif"/>
        <color rgb="FF1155CC"/>
        <sz val="9.0"/>
        <u/>
      </rPr>
      <t>Oregon State Beavers</t>
    </r>
  </si>
  <si>
    <t>Southeastern Conference</t>
  </si>
  <si>
    <r>
      <rPr>
        <rFont val="-apple-system, BlinkMacSystemFont, Roboto, Arial, &quot;Helvetica Neue&quot;, Helvetica, sans-serif"/>
        <color rgb="FF1155CC"/>
        <sz val="9.0"/>
        <u/>
      </rPr>
      <t>Arkansas Razorbacks</t>
    </r>
  </si>
  <si>
    <r>
      <rPr>
        <rFont val="-apple-system, BlinkMacSystemFont, Roboto, Arial, &quot;Helvetica Neue&quot;, Helvetica, sans-serif"/>
        <color rgb="FF1155CC"/>
        <sz val="9.0"/>
        <u/>
      </rPr>
      <t>Auburn Tigers</t>
    </r>
  </si>
  <si>
    <r>
      <rPr>
        <rFont val="-apple-system, BlinkMacSystemFont, Roboto, Arial, &quot;Helvetica Neue&quot;, Helvetica, sans-serif"/>
        <color rgb="FF1155CC"/>
        <sz val="9.0"/>
        <u/>
      </rPr>
      <t>Florida Gators</t>
    </r>
  </si>
  <si>
    <r>
      <rPr>
        <rFont val="-apple-system, BlinkMacSystemFont, Roboto, Arial, &quot;Helvetica Neue&quot;, Helvetica, sans-serif"/>
        <color rgb="FF1155CC"/>
        <sz val="9.0"/>
        <u/>
      </rPr>
      <t>Georgia Bulldogs</t>
    </r>
  </si>
  <si>
    <r>
      <rPr>
        <rFont val="-apple-system, BlinkMacSystemFont, Roboto, Arial, &quot;Helvetica Neue&quot;, Helvetica, sans-serif"/>
        <color rgb="FF1155CC"/>
        <sz val="9.0"/>
        <u/>
      </rPr>
      <t>Kentucky Wildcats</t>
    </r>
  </si>
  <si>
    <r>
      <rPr>
        <rFont val="-apple-system, BlinkMacSystemFont, Roboto, Arial, &quot;Helvetica Neue&quot;, Helvetica, sans-serif"/>
        <color rgb="FF1155CC"/>
        <sz val="9.0"/>
        <u/>
      </rPr>
      <t>LSU Tigers</t>
    </r>
  </si>
  <si>
    <r>
      <rPr>
        <rFont val="-apple-system, BlinkMacSystemFont, Roboto, Arial, &quot;Helvetica Neue&quot;, Helvetica, sans-serif"/>
        <color rgb="FF1155CC"/>
        <sz val="9.0"/>
        <u/>
      </rPr>
      <t>Mississippi State Bulldogs</t>
    </r>
  </si>
  <si>
    <r>
      <rPr>
        <rFont val="-apple-system, BlinkMacSystemFont, Roboto, Arial, &quot;Helvetica Neue&quot;, Helvetica, sans-serif"/>
        <color rgb="FF1155CC"/>
        <sz val="9.0"/>
        <u/>
      </rPr>
      <t>Missouri Tigers</t>
    </r>
  </si>
  <si>
    <r>
      <rPr>
        <rFont val="-apple-system, BlinkMacSystemFont, Roboto, Arial, &quot;Helvetica Neue&quot;, Helvetica, sans-serif"/>
        <color rgb="FF1155CC"/>
        <sz val="9.0"/>
        <u/>
      </rPr>
      <t>Oklahoma Sooners</t>
    </r>
  </si>
  <si>
    <r>
      <rPr>
        <rFont val="-apple-system, BlinkMacSystemFont, Roboto, Arial, &quot;Helvetica Neue&quot;, Helvetica, sans-serif"/>
        <color rgb="FF1155CC"/>
        <sz val="9.0"/>
        <u/>
      </rPr>
      <t>Ole Miss Rebels</t>
    </r>
  </si>
  <si>
    <r>
      <rPr>
        <rFont val="-apple-system, BlinkMacSystemFont, Roboto, Arial, &quot;Helvetica Neue&quot;, Helvetica, sans-serif"/>
        <color rgb="FF1155CC"/>
        <sz val="9.0"/>
        <u/>
      </rPr>
      <t>Tennessee Volunteers</t>
    </r>
  </si>
  <si>
    <r>
      <rPr>
        <rFont val="-apple-system, BlinkMacSystemFont, Roboto, Arial, &quot;Helvetica Neue&quot;, Helvetica, sans-serif"/>
        <color rgb="FF1155CC"/>
        <sz val="9.0"/>
        <u/>
      </rPr>
      <t>Texas A&amp;M Aggies</t>
    </r>
  </si>
  <si>
    <r>
      <rPr>
        <rFont val="-apple-system, BlinkMacSystemFont, Roboto, Arial, &quot;Helvetica Neue&quot;, Helvetica, sans-serif"/>
        <color rgb="FF1155CC"/>
        <sz val="9.0"/>
        <u/>
      </rPr>
      <t>Vanderbilt Commodores</t>
    </r>
  </si>
  <si>
    <r>
      <rPr>
        <rFont val="-apple-system, BlinkMacSystemFont, Roboto, Arial, &quot;Helvetica Neue&quot;, Helvetica, sans-serif"/>
        <color rgb="FF1155CC"/>
        <sz val="9.0"/>
        <u/>
      </rPr>
      <t>South Carolina Gamecocks</t>
    </r>
  </si>
  <si>
    <r>
      <rPr>
        <rFont val="-apple-system, BlinkMacSystemFont, Roboto, Arial, &quot;Helvetica Neue&quot;, Helvetica, sans-serif"/>
        <color rgb="FF1155CC"/>
        <sz val="9.0"/>
        <u/>
      </rPr>
      <t>Alabama Crimson Tide</t>
    </r>
  </si>
  <si>
    <r>
      <rPr>
        <rFont val="-apple-system, BlinkMacSystemFont, Roboto, Arial, &quot;Helvetica Neue&quot;, Helvetica, sans-serif"/>
        <color rgb="FF1155CC"/>
        <sz val="9.0"/>
        <u/>
      </rPr>
      <t>Texas Longhorns</t>
    </r>
  </si>
  <si>
    <t>Sun Belt Conference</t>
  </si>
  <si>
    <t>East</t>
  </si>
  <si>
    <r>
      <rPr>
        <rFont val="-apple-system, BlinkMacSystemFont, Roboto, Arial, &quot;Helvetica Neue&quot;, Helvetica, sans-serif"/>
        <color rgb="FF1155CC"/>
        <sz val="9.0"/>
        <u/>
      </rPr>
      <t>App State Mountaineers</t>
    </r>
  </si>
  <si>
    <r>
      <rPr>
        <rFont val="-apple-system, BlinkMacSystemFont, Roboto, Arial, &quot;Helvetica Neue&quot;, Helvetica, sans-serif"/>
        <color rgb="FF1155CC"/>
        <sz val="9.0"/>
        <u/>
      </rPr>
      <t>James Madison Dukes</t>
    </r>
  </si>
  <si>
    <r>
      <rPr>
        <rFont val="-apple-system, BlinkMacSystemFont, Roboto, Arial, &quot;Helvetica Neue&quot;, Helvetica, sans-serif"/>
        <color rgb="FF1155CC"/>
        <sz val="9.0"/>
        <u/>
      </rPr>
      <t>Coastal Carolina Chanticleers</t>
    </r>
  </si>
  <si>
    <r>
      <rPr>
        <rFont val="-apple-system, BlinkMacSystemFont, Roboto, Arial, &quot;Helvetica Neue&quot;, Helvetica, sans-serif"/>
        <color rgb="FF1155CC"/>
        <sz val="9.0"/>
        <u/>
      </rPr>
      <t>Georgia Southern Eagles</t>
    </r>
  </si>
  <si>
    <r>
      <rPr>
        <rFont val="-apple-system, BlinkMacSystemFont, Roboto, Arial, &quot;Helvetica Neue&quot;, Helvetica, sans-serif"/>
        <color rgb="FF1155CC"/>
        <sz val="9.0"/>
        <u/>
      </rPr>
      <t>Georgia State Panthers</t>
    </r>
  </si>
  <si>
    <r>
      <rPr>
        <rFont val="-apple-system, BlinkMacSystemFont, Roboto, Arial, &quot;Helvetica Neue&quot;, Helvetica, sans-serif"/>
        <color rgb="FF1155CC"/>
        <sz val="9.0"/>
        <u/>
      </rPr>
      <t>Marshall Thundering Herd</t>
    </r>
  </si>
  <si>
    <r>
      <rPr>
        <rFont val="-apple-system, BlinkMacSystemFont, Roboto, Arial, &quot;Helvetica Neue&quot;, Helvetica, sans-serif"/>
        <color rgb="FF1155CC"/>
        <sz val="9.0"/>
        <u/>
      </rPr>
      <t>Old Dominion Monarchs</t>
    </r>
  </si>
  <si>
    <t>West</t>
  </si>
  <si>
    <r>
      <rPr>
        <rFont val="-apple-system, BlinkMacSystemFont, Roboto, Arial, &quot;Helvetica Neue&quot;, Helvetica, sans-serif"/>
        <color rgb="FF1155CC"/>
        <sz val="9.0"/>
        <u/>
      </rPr>
      <t>Arkansas State Red Wolves</t>
    </r>
  </si>
  <si>
    <r>
      <rPr>
        <rFont val="-apple-system, BlinkMacSystemFont, Roboto, Arial, &quot;Helvetica Neue&quot;, Helvetica, sans-serif"/>
        <color rgb="FF1155CC"/>
        <sz val="9.0"/>
        <u/>
      </rPr>
      <t>South Alabama Jaguars</t>
    </r>
  </si>
  <si>
    <r>
      <rPr>
        <rFont val="-apple-system, BlinkMacSystemFont, Roboto, Arial, &quot;Helvetica Neue&quot;, Helvetica, sans-serif"/>
        <color rgb="FF1155CC"/>
        <sz val="9.0"/>
        <u/>
      </rPr>
      <t>Texas State Bobcats</t>
    </r>
  </si>
  <si>
    <r>
      <rPr>
        <rFont val="-apple-system, BlinkMacSystemFont, Roboto, Arial, &quot;Helvetica Neue&quot;, Helvetica, sans-serif"/>
        <color rgb="FF1155CC"/>
        <sz val="9.0"/>
        <u/>
      </rPr>
      <t>Troy Trojans</t>
    </r>
  </si>
  <si>
    <r>
      <rPr>
        <rFont val="-apple-system, BlinkMacSystemFont, Roboto, Arial, &quot;Helvetica Neue&quot;, Helvetica, sans-serif"/>
        <color rgb="FF1155CC"/>
        <sz val="9.0"/>
        <u/>
      </rPr>
      <t>UL Monroe Warhawks</t>
    </r>
  </si>
  <si>
    <r>
      <rPr>
        <rFont val="-apple-system, BlinkMacSystemFont, Roboto, Arial, &quot;Helvetica Neue&quot;, Helvetica, sans-serif"/>
        <color rgb="FF1155CC"/>
        <sz val="9.0"/>
        <u/>
      </rPr>
      <t>Louisiana Ragin' Cajuns</t>
    </r>
  </si>
  <si>
    <r>
      <rPr>
        <rFont val="-apple-system, BlinkMacSystemFont, Roboto, Arial, &quot;Helvetica Neue&quot;, Helvetica, sans-serif"/>
        <color rgb="FF1155CC"/>
        <sz val="9.0"/>
        <u/>
      </rPr>
      <t>Southern Miss Golden Eagles</t>
    </r>
  </si>
  <si>
    <t>Standings are updated with the completion of each game.</t>
  </si>
  <si>
    <t>Miami-OH 20 Ohio 23</t>
  </si>
  <si>
    <t>Has Made WC pick</t>
  </si>
  <si>
    <t>DavEmily</t>
  </si>
  <si>
    <t>WC available</t>
  </si>
  <si>
    <t>Teams in Conference</t>
  </si>
  <si>
    <t>Players picked Conference</t>
  </si>
  <si>
    <t>WC picked from conference</t>
  </si>
  <si>
    <t>email</t>
  </si>
  <si>
    <t>all_updates</t>
  </si>
  <si>
    <t>bradlytle@gmail.com,7733438853@vtext.com</t>
  </si>
  <si>
    <t>All Picks</t>
  </si>
  <si>
    <t>danielgeib1@gmail.com</t>
  </si>
  <si>
    <t>Only when I make a pick and it's my turn to pick</t>
  </si>
  <si>
    <t>garysfishin@gmail.com</t>
  </si>
  <si>
    <t>janicelombar@gmail.com,mlombardo@gmail.com</t>
  </si>
  <si>
    <t>jkusta@gmail.com</t>
  </si>
  <si>
    <t>rowe.jj@gmail.com,2069637332@vtext.com</t>
  </si>
  <si>
    <t>jrenglund28@gmail.com,2068171028@vtext.com</t>
  </si>
  <si>
    <t>mcwata7@gmail.com,7049627549@vtext.com</t>
  </si>
  <si>
    <t>nickaramovich@gmail.com</t>
  </si>
  <si>
    <t>nick.b.gates@gmail.com</t>
  </si>
  <si>
    <t>ntrebon@gmail.com</t>
  </si>
  <si>
    <t>vupham90@gmail.com,3604485281@vtext.com</t>
  </si>
  <si>
    <t>year</t>
  </si>
  <si>
    <t>N</t>
  </si>
  <si>
    <t>draft start</t>
  </si>
  <si>
    <t>draft end</t>
  </si>
  <si>
    <t>days</t>
  </si>
  <si>
    <t>output delay expected?</t>
  </si>
  <si>
    <t>week2</t>
  </si>
  <si>
    <t>week 2</t>
  </si>
  <si>
    <t>yes, no timeline</t>
  </si>
  <si>
    <t>no</t>
  </si>
  <si>
    <t>Game</t>
  </si>
  <si>
    <t>Player Matchup</t>
  </si>
  <si>
    <t>Network</t>
  </si>
  <si>
    <t>Spread Comp</t>
  </si>
  <si>
    <t>sort1</t>
  </si>
  <si>
    <t>Comp</t>
  </si>
  <si>
    <t>other</t>
  </si>
  <si>
    <t>dif</t>
  </si>
  <si>
    <t>line</t>
  </si>
  <si>
    <t/>
  </si>
  <si>
    <t>Teams with Gams</t>
  </si>
  <si>
    <t>games in Sched</t>
  </si>
  <si>
    <t>Teams with games not on schedule</t>
  </si>
  <si>
    <t>order</t>
  </si>
  <si>
    <t>Game features Oregon</t>
  </si>
  <si>
    <t>Game features a Pac 12 (but not Oregon)</t>
  </si>
  <si>
    <t>Game features a Power 5 team (but not Pac 12)</t>
  </si>
  <si>
    <t>Game features a Group of 5 team (but not a Power 5 team)</t>
  </si>
  <si>
    <t>upsets get borders:</t>
  </si>
  <si>
    <t>-- active game, potetntial upset (based on spread)</t>
  </si>
  <si>
    <t>-- more red/less black = bigger upset; less red/more black = smaller upset</t>
  </si>
  <si>
    <t>-- thicker line = closer to finish</t>
  </si>
  <si>
    <t>BOLD</t>
  </si>
  <si>
    <t>OT games are Bolded</t>
  </si>
  <si>
    <t>Finished Game, upset (based on spread)</t>
  </si>
  <si>
    <t>Date Entry</t>
  </si>
  <si>
    <t>Status (Time ET)</t>
  </si>
  <si>
    <t>Current
Spread</t>
  </si>
  <si>
    <t>Money Lines</t>
  </si>
  <si>
    <t xml:space="preserve">Lindenwood at Appalachian State </t>
  </si>
  <si>
    <t xml:space="preserve">Bryant at UMASS </t>
  </si>
  <si>
    <t>espn+</t>
  </si>
  <si>
    <t xml:space="preserve">North Carolina at Charlotte </t>
  </si>
  <si>
    <t xml:space="preserve">Houston at Rice </t>
  </si>
  <si>
    <t xml:space="preserve">(10) Arizona State at Mississippi State </t>
  </si>
  <si>
    <t>ESPN2</t>
  </si>
  <si>
    <t xml:space="preserve">Ball State at Auburn </t>
  </si>
  <si>
    <t>ESPNU</t>
  </si>
  <si>
    <t xml:space="preserve">Tulsa at New Mexico State </t>
  </si>
  <si>
    <t xml:space="preserve">Florida Intl at (2) Penn State </t>
  </si>
  <si>
    <t>BTN</t>
  </si>
  <si>
    <t xml:space="preserve">Kent State at (23) Texas Tech </t>
  </si>
  <si>
    <t>TNT TV</t>
  </si>
  <si>
    <t xml:space="preserve">Eastern Washington at Boise State </t>
  </si>
  <si>
    <t>FS1</t>
  </si>
  <si>
    <t xml:space="preserve">Texas State at UTSA </t>
  </si>
  <si>
    <t xml:space="preserve">Cal Poly at Utah </t>
  </si>
  <si>
    <t xml:space="preserve">Campbell at East Carolina </t>
  </si>
  <si>
    <t xml:space="preserve">Georgia Southern at USC </t>
  </si>
  <si>
    <t xml:space="preserve">(13) Michigan at (24) Oklahoma </t>
  </si>
  <si>
    <t>ABC</t>
  </si>
  <si>
    <t xml:space="preserve">Virginia at NC State </t>
  </si>
  <si>
    <t xml:space="preserve">Kennesaw State at (21) Indiana </t>
  </si>
  <si>
    <t xml:space="preserve">UAB at Navy </t>
  </si>
  <si>
    <t>CBSSN</t>
  </si>
  <si>
    <t xml:space="preserve">North Carolina Central at Old Dominion </t>
  </si>
  <si>
    <t xml:space="preserve">Texas Southern at California </t>
  </si>
  <si>
    <t>Video: ACCNX</t>
  </si>
  <si>
    <t xml:space="preserve">Army at Kansas State </t>
  </si>
  <si>
    <t>ESPN</t>
  </si>
  <si>
    <t xml:space="preserve">Northern Colorado at Colorado State </t>
  </si>
  <si>
    <t xml:space="preserve">Long Island University at EMU </t>
  </si>
  <si>
    <t xml:space="preserve">UL Monroe at (20) Alabama </t>
  </si>
  <si>
    <t>SECN</t>
  </si>
  <si>
    <t xml:space="preserve">UCLA at UNLV </t>
  </si>
  <si>
    <t xml:space="preserve">UC Davis at Washington </t>
  </si>
  <si>
    <t xml:space="preserve">Liberty at Jacksonville State </t>
  </si>
  <si>
    <t xml:space="preserve">Idaho State at New Mexico </t>
  </si>
  <si>
    <t>TBA</t>
  </si>
  <si>
    <t xml:space="preserve">Grambling at (1) Ohio State </t>
  </si>
  <si>
    <t xml:space="preserve">East Tennessee State at (17) Tennessee </t>
  </si>
  <si>
    <t xml:space="preserve">Kansas at Missouri </t>
  </si>
  <si>
    <t xml:space="preserve">Fresno State at Oregon State </t>
  </si>
  <si>
    <t>CWTV</t>
  </si>
  <si>
    <t xml:space="preserve">Florida A&amp;M at Florida Atlantic </t>
  </si>
  <si>
    <t xml:space="preserve">Akron at Nebraska </t>
  </si>
  <si>
    <t xml:space="preserve">McNeese at UL Lafayette </t>
  </si>
  <si>
    <t xml:space="preserve">Baylor at (16) SMU </t>
  </si>
  <si>
    <t xml:space="preserve">Northern Illinois at Maryland </t>
  </si>
  <si>
    <t xml:space="preserve">Oklahoma State at (5) Oregon </t>
  </si>
  <si>
    <t>CBS</t>
  </si>
  <si>
    <t xml:space="preserve">Missouri State at Marshall </t>
  </si>
  <si>
    <t xml:space="preserve">Louisiana Tech at (4) LSU </t>
  </si>
  <si>
    <t>Video: SECN+</t>
  </si>
  <si>
    <t xml:space="preserve">Vanderbilt at Virginia Tech </t>
  </si>
  <si>
    <t>ACCN</t>
  </si>
  <si>
    <t xml:space="preserve">Sam Houston at Hawaii </t>
  </si>
  <si>
    <t xml:space="preserve">Iowa at (18) Iowa State </t>
  </si>
  <si>
    <t>FOX</t>
  </si>
  <si>
    <t xml:space="preserve">Utah State at (22) Texas A&amp;M </t>
  </si>
  <si>
    <t xml:space="preserve">Bowling Green at Cincinnati </t>
  </si>
  <si>
    <t xml:space="preserve">Delaware at Colorado </t>
  </si>
  <si>
    <t xml:space="preserve">South Florida at (15) Florida </t>
  </si>
  <si>
    <t xml:space="preserve">Boston College at Michigan State </t>
  </si>
  <si>
    <t>NBC</t>
  </si>
  <si>
    <t xml:space="preserve">Stanford at (25) BYU </t>
  </si>
  <si>
    <t xml:space="preserve">East Texas A&amp;M at (19) Florida State </t>
  </si>
  <si>
    <t xml:space="preserve">Austin Peay at (3) Georgia </t>
  </si>
  <si>
    <t xml:space="preserve">Troy at (8) Clemson </t>
  </si>
  <si>
    <t xml:space="preserve">West Virginia at Ohio </t>
  </si>
  <si>
    <t xml:space="preserve">Middle Tennessee at Wisconsin </t>
  </si>
  <si>
    <t xml:space="preserve">Miami-OH at Rutgers </t>
  </si>
  <si>
    <t>Peacock</t>
  </si>
  <si>
    <t xml:space="preserve">Memphis at Georgia State </t>
  </si>
  <si>
    <t xml:space="preserve">Tulane at South Alabama </t>
  </si>
  <si>
    <t xml:space="preserve">UT Martin at UTEP </t>
  </si>
  <si>
    <t xml:space="preserve">San José State at (6) Texas </t>
  </si>
  <si>
    <t xml:space="preserve">Northwestern State at Minnesota </t>
  </si>
  <si>
    <t xml:space="preserve">Central Michigan at Pittsburgh </t>
  </si>
  <si>
    <t xml:space="preserve">North Texas at Western Michigan </t>
  </si>
  <si>
    <t xml:space="preserve">Arkansas State at Arkansas </t>
  </si>
  <si>
    <t xml:space="preserve">Sacramento State at Nevada </t>
  </si>
  <si>
    <t xml:space="preserve">Western Kentucky at Toledo </t>
  </si>
  <si>
    <t xml:space="preserve">Bethune-Cookman at (7) Miami </t>
  </si>
  <si>
    <t xml:space="preserve">North Carolina A&amp;T at UCF </t>
  </si>
  <si>
    <t xml:space="preserve">Charleston Southern at Coastal Carolina </t>
  </si>
  <si>
    <t xml:space="preserve">(12) Illinois at Duke </t>
  </si>
  <si>
    <t xml:space="preserve">Saint Francis at Buffalo </t>
  </si>
  <si>
    <t xml:space="preserve">(14) Ole Miss at Kentucky </t>
  </si>
  <si>
    <t xml:space="preserve">San Diego State at Washington State </t>
  </si>
  <si>
    <t xml:space="preserve">James Madison at Louisville </t>
  </si>
  <si>
    <t xml:space="preserve">Gardner-Webb at Georgia Tech </t>
  </si>
  <si>
    <t xml:space="preserve">UConn at Syracuse </t>
  </si>
  <si>
    <t xml:space="preserve">Northern Iowa at Wyoming </t>
  </si>
  <si>
    <t>ALT</t>
  </si>
  <si>
    <t xml:space="preserve">South Carolina State at (11) South Carolina </t>
  </si>
  <si>
    <t xml:space="preserve">Western Illinois at Northwestern </t>
  </si>
  <si>
    <t xml:space="preserve">Howard at Temple </t>
  </si>
  <si>
    <t xml:space="preserve">Western Carolina at Wake Forest </t>
  </si>
  <si>
    <t xml:space="preserve">Southern Illinois at Purdue </t>
  </si>
  <si>
    <t xml:space="preserve">Weber State at Arizona </t>
  </si>
  <si>
    <t xml:space="preserve">Jackson State at Southern Mississippi </t>
  </si>
  <si>
    <t>Tulsa 14 New Mexico State 21</t>
  </si>
  <si>
    <t>(10) Arizona State 20 Mississippi State 24</t>
  </si>
  <si>
    <t>Ball State 3 Auburn 42</t>
  </si>
  <si>
    <t>North Carolina 20 Charlotte 3</t>
  </si>
  <si>
    <t>Houston 35 Rice 9</t>
  </si>
  <si>
    <t>Lindenwood 13 Appalachian State 20</t>
  </si>
  <si>
    <t>Kent State 14 (23) Texas Tech 62</t>
  </si>
  <si>
    <t>Florida Intl 0 (2) Penn State 34</t>
  </si>
  <si>
    <t>Bryant 27 UMASS 26</t>
  </si>
  <si>
    <t>(13) Michigan 13 (24) Oklahoma 24</t>
  </si>
  <si>
    <t>Georgia Southern 20 USC 59</t>
  </si>
  <si>
    <t>Campbell 3 East Carolina 56</t>
  </si>
  <si>
    <t>Cal Poly 9 Utah 63</t>
  </si>
  <si>
    <t>Texas State 43 UTSA 36</t>
  </si>
  <si>
    <t>Kennesaw State 9 (21) Indiana 56</t>
  </si>
  <si>
    <t>Virginia 31 NC State 35</t>
  </si>
  <si>
    <t>Eastern Washington 14 Boise State 51</t>
  </si>
  <si>
    <t>UC Davis 10 Washington 70</t>
  </si>
  <si>
    <t>UCLA 23 UNLV 30</t>
  </si>
  <si>
    <t>UL Monroe 0 (20) Alabama 73</t>
  </si>
  <si>
    <t>Northern Colorado 17 Colorado State 21</t>
  </si>
  <si>
    <t>Army 24 Kansas State 21</t>
  </si>
  <si>
    <t>North Carolina Central 6 Old Dominion 54</t>
  </si>
  <si>
    <t>Texas Southern 3 California 35</t>
  </si>
  <si>
    <t>UAB 24 Navy 38</t>
  </si>
  <si>
    <t>Liberty 24 Jacksonville State 34</t>
  </si>
  <si>
    <t>Long Island University 28 EMU 23</t>
  </si>
  <si>
    <t>McNeese 10 UL Lafayette 34</t>
  </si>
  <si>
    <t>Florida A&amp;M 14 Florida Atlantic 56</t>
  </si>
  <si>
    <t>Kansas 31 Missouri 42</t>
  </si>
  <si>
    <t>Fresno State 36 Oregon State 27</t>
  </si>
  <si>
    <t>East Tennessee State 17 (17) Tennessee 72</t>
  </si>
  <si>
    <t>Grambling 0 (1) Ohio State 70</t>
  </si>
  <si>
    <t>Idaho State 22 New Mexico 32</t>
  </si>
  <si>
    <t>Akron 0 Nebraska 68</t>
  </si>
  <si>
    <t>Missouri State 21 Marshall 20</t>
  </si>
  <si>
    <t>Baylor 48 (16) SMU 45</t>
  </si>
  <si>
    <t>Sam Houston 20 Hawaii 37</t>
  </si>
  <si>
    <t>Vanderbilt 44 Virginia Tech 20</t>
  </si>
  <si>
    <t>Louisiana Tech 7 (4) LSU 23</t>
  </si>
  <si>
    <t>Oklahoma State 3 (5) Oregon 69</t>
  </si>
  <si>
    <t>Utah State 22 (22) Texas A&amp;M 44</t>
  </si>
  <si>
    <t>Iowa 13 (18) Iowa State 16</t>
  </si>
  <si>
    <t>Northern Illinois 9 Maryland 20</t>
  </si>
  <si>
    <t>Stanford 3 (25) BYU 27</t>
  </si>
  <si>
    <t>South Florida 18 (15) Florida 16</t>
  </si>
  <si>
    <t>Delaware 7 Colorado 31</t>
  </si>
  <si>
    <t>Bowling Green 20 Cincinnati 34</t>
  </si>
  <si>
    <t>East Texas A&amp;M 3 (19) Florida State 77</t>
  </si>
  <si>
    <t>Boston College 40 Michigan State 42</t>
  </si>
  <si>
    <t>Troy 16 (8) Clemson 27</t>
  </si>
  <si>
    <t>Middle Tennessee 10 Wisconsin 42</t>
  </si>
  <si>
    <t>West Virginia 10 Ohio 17</t>
  </si>
  <si>
    <t>Austin Peay 6 (3) Georgia 28</t>
  </si>
  <si>
    <t>UT Martin 17 UTEP 42</t>
  </si>
  <si>
    <t>Tulane 33 South Alabama 31</t>
  </si>
  <si>
    <t>Miami-OH 17 Rutgers 45</t>
  </si>
  <si>
    <t>San José State 7 (6) Texas 38</t>
  </si>
  <si>
    <t>Central Michigan 17 Pittsburgh 45</t>
  </si>
  <si>
    <t>Northwestern State 0 Minnesota 66</t>
  </si>
  <si>
    <t>Memphis 38 Georgia State 16</t>
  </si>
  <si>
    <t>North Carolina A&amp;T 7 UCF 68</t>
  </si>
  <si>
    <t>Charleston Southern 0 Coastal Carolina 13</t>
  </si>
  <si>
    <t>Western Kentucky 21 Toledo 45</t>
  </si>
  <si>
    <t>Bethune-Cookman 3 (7) Miami 45</t>
  </si>
  <si>
    <t>Arkansas State 14 Arkansas 56</t>
  </si>
  <si>
    <t>Sacramento State 17 Nevada 20</t>
  </si>
  <si>
    <t>(12) Illinois 45 Duke 19</t>
  </si>
  <si>
    <t>North Texas 33 Western Michigan 30</t>
  </si>
  <si>
    <t>San Diego State 13 Washington State 36</t>
  </si>
  <si>
    <t>(14) Ole Miss 30 Kentucky 23</t>
  </si>
  <si>
    <t>Saint Francis 6 Buffalo 45</t>
  </si>
  <si>
    <t>Gardner-Webb 12 Georgia Tech 59</t>
  </si>
  <si>
    <t>James Madison 14 Louisville 28</t>
  </si>
  <si>
    <t>UConn 20 Syracuse 27</t>
  </si>
  <si>
    <t>South Carolina State 10 (11) South Carolina 38</t>
  </si>
  <si>
    <t>Northern Iowa 7 Wyoming 31</t>
  </si>
  <si>
    <t>Southern Illinois 17 Purdue 34</t>
  </si>
  <si>
    <t>Western Carolina 10 Wake Forest 42</t>
  </si>
  <si>
    <t>Howard 7 Temple 55</t>
  </si>
  <si>
    <t>Western Illinois 7 Northwestern 42</t>
  </si>
  <si>
    <t>Weber State 3 Arizona 48</t>
  </si>
  <si>
    <t>Jackson State 20 Southern Mississippi 38</t>
  </si>
  <si>
    <t>Texas State 15 (24) Arizona State 34</t>
  </si>
  <si>
    <t>Air Force 30 Utah State 49</t>
  </si>
  <si>
    <t>New Mexico State 14 Louisiana Tech 49</t>
  </si>
  <si>
    <t>UMASS 7 Iowa 47</t>
  </si>
  <si>
    <t>Prairie View A&amp;M 17 Rice 38</t>
  </si>
  <si>
    <t>Appalachian State 22 Southern Mississippi 38</t>
  </si>
  <si>
    <t>Oregon State 14 (20) Texas Tech 45</t>
  </si>
  <si>
    <t>Villanova 6 (2) Penn State 52</t>
  </si>
  <si>
    <t>Richmond 6 North Carolina 41</t>
  </si>
  <si>
    <t>South Alabama 15 Auburn 31</t>
  </si>
  <si>
    <t>(21) Utah 31 Wyoming 6</t>
  </si>
  <si>
    <t>Abilene Christian 21 TCU 42</t>
  </si>
  <si>
    <t>East Carolina 38 Coastal Carolina 0</t>
  </si>
  <si>
    <t>USC 33 Purdue 17</t>
  </si>
  <si>
    <t>Merrimack 13 Kennesaw State 27</t>
  </si>
  <si>
    <t>New Hampshire 29 Ball State 34</t>
  </si>
  <si>
    <t>(16) Oklahoma 42 Temple 3</t>
  </si>
  <si>
    <t>NC State 34 Wake Forest 24</t>
  </si>
  <si>
    <t>Minnesota 14 California 27</t>
  </si>
  <si>
    <t>Akron 28 UAB 31</t>
  </si>
  <si>
    <t>EMU 23 Kentucky 48</t>
  </si>
  <si>
    <t>Old Dominion 45 Virginia Tech 26</t>
  </si>
  <si>
    <t>Liberty 13 Bowling Green 23</t>
  </si>
  <si>
    <t>Wisconsin 14 (18) Alabama 38</t>
  </si>
  <si>
    <t>New Mexico 35 UCLA 10</t>
  </si>
  <si>
    <t>Kansas State 17 Arizona 23</t>
  </si>
  <si>
    <t>Florida Atlantic 28 Florida Intl 38</t>
  </si>
  <si>
    <t>Ohio 9 (1) Ohio State 37</t>
  </si>
  <si>
    <t>SMU 28 Missouri State 10</t>
  </si>
  <si>
    <t>UL Lafayette 10 Missouri 52</t>
  </si>
  <si>
    <t>(3) Georgia 44 (15) Tennessee 41</t>
  </si>
  <si>
    <t>Florida 10 (4) LSU 20</t>
  </si>
  <si>
    <t>Eastern Kentucky 7 Marshall 38</t>
  </si>
  <si>
    <t>(14) Iowa State 24 Arkansas State 16</t>
  </si>
  <si>
    <t>Incarnate Word 20 UTSA 48</t>
  </si>
  <si>
    <t>(5) Oregon 34 Northwestern 14</t>
  </si>
  <si>
    <t>Central Michigan 3 (22) Michigan 63</t>
  </si>
  <si>
    <t>Navy 42 Tulsa 23</t>
  </si>
  <si>
    <t>Jacksonville State 34 Georgia Southern 41</t>
  </si>
  <si>
    <t>Youngstown State 24 Michigan State 41</t>
  </si>
  <si>
    <t>Colorado 20 Houston 36</t>
  </si>
  <si>
    <t>UConn 41 Delaware 44</t>
  </si>
  <si>
    <t>Portland State 3 Hawaii 23</t>
  </si>
  <si>
    <t>(17) Texas A&amp;M 41 (8) Notre Dame 40</t>
  </si>
  <si>
    <t>(23) South Florida 12 (6) Miami 49</t>
  </si>
  <si>
    <t>Houston Christian 7 Nebraska 59</t>
  </si>
  <si>
    <t>Memphis 28 Troy 7</t>
  </si>
  <si>
    <t>William &amp; Mary 16 Virginia 55</t>
  </si>
  <si>
    <t>Middle Tennessee 14 Nevada 13</t>
  </si>
  <si>
    <t>UTEP 10 (7) Texas 27</t>
  </si>
  <si>
    <t>Northwestern State 0 Cincinnati 70</t>
  </si>
  <si>
    <t>Pittsburgh 24 West Virginia 31</t>
  </si>
  <si>
    <t>Arkansas 35 (13) Ole Miss 41</t>
  </si>
  <si>
    <t>Western Michigan 0 (9) Illinois 38</t>
  </si>
  <si>
    <t>Morgan State 0 Toledo 60</t>
  </si>
  <si>
    <t>Washington State 10 North Texas 59</t>
  </si>
  <si>
    <t>Duke 27 Tulane 34</t>
  </si>
  <si>
    <t>Murray State 21 Georgia State 37</t>
  </si>
  <si>
    <t>Monmouth 35 Charlotte 42</t>
  </si>
  <si>
    <t>Buffalo 31 Kent State 28</t>
  </si>
  <si>
    <t>(11) Clemson 21 Georgia Tech 24</t>
  </si>
  <si>
    <t>Samford 7 Baylor 42</t>
  </si>
  <si>
    <t>Southern 7 Fresno State 56</t>
  </si>
  <si>
    <t>Vanderbilt 31 (10) South Carolina 7</t>
  </si>
  <si>
    <t>Norfolk State 10 Rutgers 60</t>
  </si>
  <si>
    <t>Indiana State 0 (19) Indiana 73</t>
  </si>
  <si>
    <t>Boston College 20 Stanford 30</t>
  </si>
  <si>
    <t>Towson 17 Maryland 44</t>
  </si>
  <si>
    <t>Colgate 24 Syracuse 66</t>
  </si>
  <si>
    <t>Alcorn State 0 Mississippi State 63</t>
  </si>
  <si>
    <t>Arizona State 27 Baylor 24</t>
  </si>
  <si>
    <t>Boise State 49 Air Force 37</t>
  </si>
  <si>
    <t>(25) Auburn 17 (12) Oklahoma 24</t>
  </si>
  <si>
    <t>North Carolina 9 UCF 34</t>
  </si>
  <si>
    <t>(16) Texas Tech 34 (18) Utah 10</t>
  </si>
  <si>
    <t>Rice 28 Charlotte 17</t>
  </si>
  <si>
    <t>Michigan State 31 USC 45</t>
  </si>
  <si>
    <t>Nicholls 3 Texas State 35</t>
  </si>
  <si>
    <t>BYU 34 East Carolina 13</t>
  </si>
  <si>
    <t>Arkansas State 21 Kennesaw State 28</t>
  </si>
  <si>
    <t>NC State 33 Duke 45</t>
  </si>
  <si>
    <t>Ball State 25 UConn 31</t>
  </si>
  <si>
    <t>SMU 24 TCU 35</t>
  </si>
  <si>
    <t>California 0 San Diego State 34</t>
  </si>
  <si>
    <t>UTSA 17 Colorado State 16</t>
  </si>
  <si>
    <t>Washington 59 Washington State 24</t>
  </si>
  <si>
    <t>UL Lafayette 31 EMU 34</t>
  </si>
  <si>
    <t>James Madison 31 Liberty 13</t>
  </si>
  <si>
    <t>UAB 24 (15) Tennessee 56</t>
  </si>
  <si>
    <t>UT Martin 10 Missouri State 42</t>
  </si>
  <si>
    <t>West Virginia 10 Kansas 41</t>
  </si>
  <si>
    <t>Duquesne 7 Akron 51</t>
  </si>
  <si>
    <t>Oregon State 7 (5) Oregon 41</t>
  </si>
  <si>
    <t>Marshall 42 Middle Tennessee 28</t>
  </si>
  <si>
    <t>Sam Houston 0 (7) Texas 55</t>
  </si>
  <si>
    <t>SE Louisiana 10 (4) LSU 56</t>
  </si>
  <si>
    <t>McNeese 7 Utah State 48</t>
  </si>
  <si>
    <t>Northern Illinois 10 Mississippi State 38</t>
  </si>
  <si>
    <t>(20) Michigan 30 Nebraska 27</t>
  </si>
  <si>
    <t>Wofford 6 Virginia Tech 38</t>
  </si>
  <si>
    <t>Wyoming 20 Colorado 37</t>
  </si>
  <si>
    <t>Florida 7 (6) Miami 26</t>
  </si>
  <si>
    <t>Maine 17 Georgia Southern 45</t>
  </si>
  <si>
    <t>Delaware 38 Florida Intl 16</t>
  </si>
  <si>
    <t>Kent State 10 (9) Florida State 66</t>
  </si>
  <si>
    <t>UNLV 41 Miami-OH 38</t>
  </si>
  <si>
    <t>Bowling Green 17 Louisville 40</t>
  </si>
  <si>
    <t>Fresno State 23 Hawaii 21</t>
  </si>
  <si>
    <t>Stanford 20 Virginia 48</t>
  </si>
  <si>
    <t>Purdue 30 (21) Notre Dame 56</t>
  </si>
  <si>
    <t>Gardner-Webb 35 Ohio 52</t>
  </si>
  <si>
    <t>Troy 21 Buffalo 17</t>
  </si>
  <si>
    <t>South Carolina State 14 South Florida 63</t>
  </si>
  <si>
    <t>Tulsa 19 Oklahoma State 12</t>
  </si>
  <si>
    <t>UL Monroe 31 UTEP 25</t>
  </si>
  <si>
    <t>Coastal Carolina 38 South Alabama 20</t>
  </si>
  <si>
    <t>Idaho 28 San José State 31</t>
  </si>
  <si>
    <t>Arkansas 31 Memphis 32</t>
  </si>
  <si>
    <t>Maryland 27 Wisconsin 10</t>
  </si>
  <si>
    <t>(8) Illinois 10 (17) Indiana 63</t>
  </si>
  <si>
    <t>(24) South Carolina 20 (22) Missouri 29</t>
  </si>
  <si>
    <t>Murray State 10 Jacksonville State 45</t>
  </si>
  <si>
    <t>Nevada 16 Western Kentucky 31</t>
  </si>
  <si>
    <t>Toledo 13 Western Michigan 14</t>
  </si>
  <si>
    <t>North Texas 45 Army 38</t>
  </si>
  <si>
    <t>Georgia State 21 (23) Vanderbilt 70</t>
  </si>
  <si>
    <t>Southern Mississippi 20 Louisiana Tech 30</t>
  </si>
  <si>
    <t>Tulane 10 (11) Ole Miss 45</t>
  </si>
  <si>
    <t>Syracuse 34 Clemson 21</t>
  </si>
  <si>
    <t>Iowa 38 Rutgers 28</t>
  </si>
  <si>
    <t>Temple 24 (19) Georgia Tech 45</t>
  </si>
  <si>
    <t>Wagner 10 Central Michigan 49</t>
  </si>
  <si>
    <t>Appalachian State 14 Boise State 47</t>
  </si>
  <si>
    <t>UMASS 6 (19) Missouri 42</t>
  </si>
  <si>
    <t>Hawaii 44 Air Force 35</t>
  </si>
  <si>
    <t>New Mexico State 20 New Mexico 38</t>
  </si>
  <si>
    <t>Auburn 10 (9) Texas A&amp;M 16</t>
  </si>
  <si>
    <t>Rice 13 Navy 21</t>
  </si>
  <si>
    <t>(25) TCU 24 Arizona State 27</t>
  </si>
  <si>
    <t>(5) Oregon 30 (2) Penn State 24</t>
  </si>
  <si>
    <t>Virginia Tech 23 NC State 21</t>
  </si>
  <si>
    <t>Middle Tennessee 16 Kennesaw State 24</t>
  </si>
  <si>
    <t>Utah 48 West Virginia 14</t>
  </si>
  <si>
    <t>(22) USC 32 (23) Illinois 34</t>
  </si>
  <si>
    <t>Army 6 East Carolina 28</t>
  </si>
  <si>
    <t>(16) Alabama 24 (3) Georgia 21</t>
  </si>
  <si>
    <t>Washington State 20 Colorado State 3</t>
  </si>
  <si>
    <t>Liberty 7 Old Dominion 21</t>
  </si>
  <si>
    <t>California 28 Boston College 24</t>
  </si>
  <si>
    <t>UCLA 14 Northwestern 17</t>
  </si>
  <si>
    <t>(1) Ohio State 24 Washington 6</t>
  </si>
  <si>
    <t>EMU 13 Central Michigan 24</t>
  </si>
  <si>
    <t>UCF 20 Kansas State 34</t>
  </si>
  <si>
    <t>Western Kentucky 27 Missouri State 22</t>
  </si>
  <si>
    <t>Memphis 55 Florida Atlantic 26</t>
  </si>
  <si>
    <t>Akron 3 Toledo 45</t>
  </si>
  <si>
    <t>Cincinnati 37 Kansas 34</t>
  </si>
  <si>
    <t>Marshall 51 UL Lafayette 54</t>
  </si>
  <si>
    <t>(15) Tennessee 41 Mississippi State 34</t>
  </si>
  <si>
    <t>Houston 27 Oregon State 24</t>
  </si>
  <si>
    <t>Arizona 14 (13) Iowa State 39</t>
  </si>
  <si>
    <t>(4) LSU 19 (11) Ole Miss 24</t>
  </si>
  <si>
    <t>San Diego State 6 Northern Illinois 3</t>
  </si>
  <si>
    <t>Utah State 35 (20) Vanderbilt 55</t>
  </si>
  <si>
    <t>(24) BYU 24 Colorado 21</t>
  </si>
  <si>
    <t>Georgia Southern 10 James Madison 35</t>
  </si>
  <si>
    <t>Bowling Green 20 Ohio 35</t>
  </si>
  <si>
    <t>(8) Florida State 38 Virginia 46</t>
  </si>
  <si>
    <t>Baylor 45 Oklahoma State 27</t>
  </si>
  <si>
    <t>(21) Notre Dame 56 Arkansas 13</t>
  </si>
  <si>
    <t>Louisiana Tech 30 UTEP 11</t>
  </si>
  <si>
    <t>San José State 29 Stanford 30</t>
  </si>
  <si>
    <t>Lindenwood 0 Miami-OH 38</t>
  </si>
  <si>
    <t>Louisville 34 Pittsburgh 27</t>
  </si>
  <si>
    <t>Rutgers 28 Minnesota 31</t>
  </si>
  <si>
    <t>South Alabama 22 North Texas 36</t>
  </si>
  <si>
    <t>Jacksonville State 25 Southern Mississippi 42</t>
  </si>
  <si>
    <t>(12) Indiana 20 Iowa 15</t>
  </si>
  <si>
    <t>UConn 20 Buffalo 17</t>
  </si>
  <si>
    <t>Duke 38 Syracuse 3</t>
  </si>
  <si>
    <t>Rhode Island 14 Western Michigan 47</t>
  </si>
  <si>
    <t>(17) Georgia Tech 30 Wake Forest 29</t>
  </si>
  <si>
    <t>Proj W</t>
  </si>
  <si>
    <t>Kentucky 13 South Carolina 35</t>
  </si>
  <si>
    <t>Tulane 31 Tulsa 14</t>
  </si>
  <si>
    <t>Arkansas State 16 UL Monroe 28</t>
  </si>
  <si>
    <t>Id</t>
  </si>
  <si>
    <t>Sport Key</t>
  </si>
  <si>
    <t>Sport Title</t>
  </si>
  <si>
    <t>Commence Time</t>
  </si>
  <si>
    <t>Home Team</t>
  </si>
  <si>
    <t>Away Team</t>
  </si>
  <si>
    <t>Bookmakers Key</t>
  </si>
  <si>
    <t>Bookmakers Title</t>
  </si>
  <si>
    <t>Bookmakers Last Update</t>
  </si>
  <si>
    <t>Bookmakers Markets Key</t>
  </si>
  <si>
    <t>Bookmakers Markets Last Update</t>
  </si>
  <si>
    <t>Bookmakers Markets Outcomes Name</t>
  </si>
  <si>
    <t>Bookmakers Markets Outcomes Price</t>
  </si>
  <si>
    <t>Bookmakers Markets Outcomes Point</t>
  </si>
  <si>
    <t>aa6121f597f3dd0a363e477797cd13f0</t>
  </si>
  <si>
    <t>americanfootball_ncaaf</t>
  </si>
  <si>
    <t>NCAAF</t>
  </si>
  <si>
    <t>2025-12-06T21:15:00Z</t>
  </si>
  <si>
    <t>fanduel</t>
  </si>
  <si>
    <t>FanDuel</t>
  </si>
  <si>
    <t>2025-12-06T21:14:36Z</t>
  </si>
  <si>
    <t>spreads</t>
  </si>
  <si>
    <t>729431d6cbefa242533b953561a18347</t>
  </si>
  <si>
    <t>2025-12-06T23:00:00Z</t>
  </si>
  <si>
    <t>Montana Grizzlies</t>
  </si>
  <si>
    <t>South Dakota State Jackrabbits</t>
  </si>
  <si>
    <t>cb3db4cd7e1781ff0fa5e3caaf2d74e4</t>
  </si>
  <si>
    <t>2025-12-07T01:00:00Z</t>
  </si>
  <si>
    <t>draftkings</t>
  </si>
  <si>
    <t>DraftKings</t>
  </si>
  <si>
    <t>ed821485171f0486828ac8bfae9537a3</t>
  </si>
  <si>
    <t>86b2f11373631509f973bd3e72f5732d</t>
  </si>
  <si>
    <t>2025-12-13T20:00:00Z</t>
  </si>
  <si>
    <t>ed11cbf3b02850670bf213622cf4517b</t>
  </si>
  <si>
    <t>2025-12-17T22:00:00Z</t>
  </si>
  <si>
    <t>5628d5990478df5a36dabdf0a89bb699</t>
  </si>
  <si>
    <t>2025-12-19T02:00:00Z</t>
  </si>
  <si>
    <t>a1dd323522b56837490d61ace49a97e0</t>
  </si>
  <si>
    <t>2025-12-25T01:00:00Z</t>
  </si>
  <si>
    <t>betrivers</t>
  </si>
  <si>
    <t>BetRivers</t>
  </si>
  <si>
    <t>2025-12-06T21:14:35Z</t>
  </si>
  <si>
    <t>betus</t>
  </si>
  <si>
    <t>BetUS</t>
  </si>
  <si>
    <t>2025-12-06T21:14:49Z</t>
  </si>
  <si>
    <t>bovada</t>
  </si>
  <si>
    <t>Bovada</t>
  </si>
  <si>
    <t>2025-12-06T21:14:06Z</t>
  </si>
  <si>
    <t>betmgm</t>
  </si>
  <si>
    <t>BetMGM</t>
  </si>
  <si>
    <t>(14) Texas Tech 35 Houston 11</t>
  </si>
  <si>
    <t>Florida Atlantic 27 Rice 21</t>
  </si>
  <si>
    <t>(6) Penn State 37 UCLA 42</t>
  </si>
  <si>
    <t>Oregon State 23 Appalachian State 27</t>
  </si>
  <si>
    <t>Western Michigan 21 UMASS 3</t>
  </si>
  <si>
    <t>Clemson 38 North Carolina 10</t>
  </si>
  <si>
    <t>Air Force 31 Navy 34</t>
  </si>
  <si>
    <t>Sam Houston 10 New Mexico State 37</t>
  </si>
  <si>
    <t>Colorado 21 TCU 35</t>
  </si>
  <si>
    <t>Texas State 30 Arkansas State 31</t>
  </si>
  <si>
    <t>Kent State 0 (8) Oklahoma 44</t>
  </si>
  <si>
    <t>Boise State 7 (21) Notre Dame 28</t>
  </si>
  <si>
    <t>Campbell 10 NC State 56</t>
  </si>
  <si>
    <t>Ohio 14 Ball State 20</t>
  </si>
  <si>
    <t>Duke 45 California 21</t>
  </si>
  <si>
    <t>Coastal Carolina 7 Old Dominion 47</t>
  </si>
  <si>
    <t>(17) Vanderbilt 14 (11) Alabama 30</t>
  </si>
  <si>
    <t>Washington 24 Maryland 20</t>
  </si>
  <si>
    <t>Kansas State 34 Baylor 35</t>
  </si>
  <si>
    <t>Army 31 UAB 13</t>
  </si>
  <si>
    <t>Colorado State 24 San Diego State 45</t>
  </si>
  <si>
    <t>EMU 30 Buffalo 31</t>
  </si>
  <si>
    <t>Kansas 27 UCF 20</t>
  </si>
  <si>
    <t>Minnesota 3 (1) Ohio State 42</t>
  </si>
  <si>
    <t>Syracuse 18 SMU 31</t>
  </si>
  <si>
    <t>Central Michigan 22 Akron 28</t>
  </si>
  <si>
    <t>New Mexico 28 San José State 35</t>
  </si>
  <si>
    <t>Miami-OH 25 Northern Illinois 14</t>
  </si>
  <si>
    <t>Wake Forest 30 Virginia Tech 23</t>
  </si>
  <si>
    <t>UTSA 21 Temple 27</t>
  </si>
  <si>
    <t>(12) Iowa State 30 Cincinnati 38</t>
  </si>
  <si>
    <t>Wisconsin 10 (20) Michigan 24</t>
  </si>
  <si>
    <t>(3) Miami 28 (19) Florida State 22</t>
  </si>
  <si>
    <t>UNLV 31 Wyoming 17</t>
  </si>
  <si>
    <t>Michigan State 27 Nebraska 38</t>
  </si>
  <si>
    <t>(7) Texas 21 Florida 29</t>
  </si>
  <si>
    <t>West Virginia 24 (23) BYU 38</t>
  </si>
  <si>
    <t>Western Kentucky 27 Delaware 24</t>
  </si>
  <si>
    <t>Oklahoma State 13 Arizona 41</t>
  </si>
  <si>
    <t>Kentucky 14 (10) Georgia 35</t>
  </si>
  <si>
    <t>Charlotte 26 South Florida 54</t>
  </si>
  <si>
    <t>South Alabama 24 Troy 31</t>
  </si>
  <si>
    <t>Virginia 30 Louisville 27</t>
  </si>
  <si>
    <t>Tulsa 7 Memphis 45</t>
  </si>
  <si>
    <t>Mississippi State 9 (5) Texas A&amp;M 31</t>
  </si>
  <si>
    <t>Boston College 7 Pittsburgh 48</t>
  </si>
  <si>
    <t>Nevada 17 Fresno State 20</t>
  </si>
  <si>
    <t>(22) Illinois 43 Purdue 27</t>
  </si>
  <si>
    <t>James Madison 14 Georgia State 7</t>
  </si>
  <si>
    <t>Florida Intl 10 UConn 51</t>
  </si>
  <si>
    <t>UL Monroe 7 Northwestern 42</t>
  </si>
  <si>
    <t>(23) Arizona State 10 Utah 42</t>
  </si>
  <si>
    <t>(9) Georgia 20 Auburn 10</t>
  </si>
  <si>
    <t>Kansas 17 (10) Texas Tech 42</t>
  </si>
  <si>
    <t>Rice 13 UTSA 61</t>
  </si>
  <si>
    <t>Air Force 48 UNLV 51</t>
  </si>
  <si>
    <t>Appalachian State 41 Georgia State 20</t>
  </si>
  <si>
    <t>Northwestern 22 (22) Penn State 21</t>
  </si>
  <si>
    <t>UMASS 6 Kent State 42</t>
  </si>
  <si>
    <t>totals</t>
  </si>
  <si>
    <t>Over</t>
  </si>
  <si>
    <t>New Mexico 25 Boise State 41</t>
  </si>
  <si>
    <t>(15) Michigan 13 USC 31</t>
  </si>
  <si>
    <t>TCU 28 Kansas State 41</t>
  </si>
  <si>
    <t>NC State 7 (16) Notre Dame 36</t>
  </si>
  <si>
    <t>(6) Oklahoma 6 (19) Texas 23</t>
  </si>
  <si>
    <t>Ball State 0 Western Michigan 42</t>
  </si>
  <si>
    <t>East Carolina 19 Tulane 26</t>
  </si>
  <si>
    <t>Under</t>
  </si>
  <si>
    <t>mybookieag</t>
  </si>
  <si>
    <t>MyBookie.ag</t>
  </si>
  <si>
    <t>Louisiana Tech 7 Kennesaw State 35</t>
  </si>
  <si>
    <t>Troy 48 Texas State 41</t>
  </si>
  <si>
    <t>UAB 33 Florida Atlantic 53</t>
  </si>
  <si>
    <t>Old Dominion 24 Marshall 48</t>
  </si>
  <si>
    <t>Northern Illinois 10 EMU 16</t>
  </si>
  <si>
    <t>(8) Alabama 27 (14) Missouri 24</t>
  </si>
  <si>
    <t>UCLA 38 Michigan State 13</t>
  </si>
  <si>
    <t>Fresno State 21 Colorado State 49</t>
  </si>
  <si>
    <t>Rutgers 19 Washington 38</t>
  </si>
  <si>
    <t>Liberty 19 UTEP 8</t>
  </si>
  <si>
    <t>Arkansas 31 (12) Tennessee 34</t>
  </si>
  <si>
    <t>Wake Forest 39 Oregon State 14</t>
  </si>
  <si>
    <t>UL Lafayette 14 James Madison 24</t>
  </si>
  <si>
    <t>(1) Ohio State 34 (17) Illinois 16</t>
  </si>
  <si>
    <t>Stanford 10 SMU 34</t>
  </si>
  <si>
    <t>Miami-OH 20 Akron 7</t>
  </si>
  <si>
    <t>Missouri State 22 Middle Tennessee 20</t>
  </si>
  <si>
    <t>Utah State 26 Hawaii 44</t>
  </si>
  <si>
    <t>South Carolina 10 (11) LSU 20</t>
  </si>
  <si>
    <t>(7) Indiana 30 (2) Oregon 20</t>
  </si>
  <si>
    <t>(21) Iowa State 17 Colorado 24</t>
  </si>
  <si>
    <t>Virginia Tech 20 (13) Georgia Tech 35</t>
  </si>
  <si>
    <t>Jacksonville State 29 Sam Houston 27</t>
  </si>
  <si>
    <t>Florida 17 (5) Texas A&amp;M 34</t>
  </si>
  <si>
    <t>Navy 32 Temple 31</t>
  </si>
  <si>
    <t>Toledo 23 Bowling Green 28</t>
  </si>
  <si>
    <t>Pittsburgh 34 Florida State 31</t>
  </si>
  <si>
    <t>Southern Mississippi 38 Georgia Southern 35</t>
  </si>
  <si>
    <t>(18) BYU 33 Arizona 27</t>
  </si>
  <si>
    <t>Nebraska 34 Maryland 31</t>
  </si>
  <si>
    <t>Houston 39 Oklahoma State 17</t>
  </si>
  <si>
    <t>South Florida 63 North Texas 36</t>
  </si>
  <si>
    <t>Purdue 20 Minnesota 27</t>
  </si>
  <si>
    <t>San José State 28 Wyoming 35</t>
  </si>
  <si>
    <t>Iowa 37 Wisconsin 0</t>
  </si>
  <si>
    <t>UCF 11 Cincinnati 20</t>
  </si>
  <si>
    <t>San Diego State 44 Nevada 10</t>
  </si>
  <si>
    <t>UL Monroe 8 Coastal Carolina 23</t>
  </si>
  <si>
    <t>Clemson 41 Boston College 10</t>
  </si>
  <si>
    <t>Washington State 21 (4) Ole Miss 24</t>
  </si>
  <si>
    <t>Charlotte 7 Army 24</t>
  </si>
  <si>
    <t>Penn State 24 Iowa 25</t>
  </si>
  <si>
    <t>(8) Texas Tech 22 Arizona State 26</t>
  </si>
  <si>
    <t>Coastal Carolina 45 Appalachian State 37</t>
  </si>
  <si>
    <t>Wyoming 21 Air Force 24</t>
  </si>
  <si>
    <t>Buffalo 28 UMASS 21</t>
  </si>
  <si>
    <t>North Carolina 18 California 21</t>
  </si>
  <si>
    <t>New Mexico State 27 Liberty 30</t>
  </si>
  <si>
    <t>(16) Missouri 23 Auburn 17</t>
  </si>
  <si>
    <t>(22) Utah 21 (14) BYU 24</t>
  </si>
  <si>
    <t>(21) USC 24 (15) Notre Dame 34</t>
  </si>
  <si>
    <t>Away</t>
  </si>
  <si>
    <t>Dog</t>
  </si>
  <si>
    <t>Line</t>
  </si>
  <si>
    <t>Matchup</t>
  </si>
  <si>
    <t>Akron 28 Ball State 42</t>
  </si>
  <si>
    <t>Both FBS</t>
  </si>
  <si>
    <t>UNLV 31 Boise State 56</t>
  </si>
  <si>
    <t>Baylor 36 TCU 42</t>
  </si>
  <si>
    <t>(13) Oklahoma 26 South Carolina 7</t>
  </si>
  <si>
    <t>Tulsa 27 East Carolina 41</t>
  </si>
  <si>
    <t>Texas State 37 Marshall 40</t>
  </si>
  <si>
    <t>(11) Tennessee 20 (6) Alabama 37</t>
  </si>
  <si>
    <t>Maryland 17 UCLA 20</t>
  </si>
  <si>
    <t>Hawaii 31 Colorado State 19</t>
  </si>
  <si>
    <t>(20) Memphis 24 UAB 31</t>
  </si>
  <si>
    <t>Old Dominion 27 James Madison 63</t>
  </si>
  <si>
    <t>EMU 30 Miami-OH 44</t>
  </si>
  <si>
    <t>Washington 7 Michigan 24</t>
  </si>
  <si>
    <t>Lafayette 13 Oregon State 45</t>
  </si>
  <si>
    <t>Nevada 22 New Mexico 24</t>
  </si>
  <si>
    <t>Florida Atlantic 13 (23) South Florida 48</t>
  </si>
  <si>
    <t>Southern Mississippi 22 UL Lafayette 10</t>
  </si>
  <si>
    <t>SMU 35 Clemson 24</t>
  </si>
  <si>
    <t>(1) Ohio State 34 Wisconsin 0</t>
  </si>
  <si>
    <t>(9) Oregon 56 Rutgers 10</t>
  </si>
  <si>
    <t>UTSA 17 North Texas 55</t>
  </si>
  <si>
    <t>Northern Illinois 21 Ohio 48</t>
  </si>
  <si>
    <t>(10) LSU 24 (18) Vanderbilt 31</t>
  </si>
  <si>
    <t>San José State 25 Utah State 30</t>
  </si>
  <si>
    <t>UTEP 35 Sam Houston 17</t>
  </si>
  <si>
    <t>Florida State 13 Stanford 20</t>
  </si>
  <si>
    <t>Georgia State 24 Georgia Southern 41</t>
  </si>
  <si>
    <t>Mississippi State 21 Florida 23</t>
  </si>
  <si>
    <t>Michigan State 13 (3) Indiana 38</t>
  </si>
  <si>
    <t>Central Michigan 27 Bowling Green 6</t>
  </si>
  <si>
    <t>Delaware 25 Jacksonville State 38</t>
  </si>
  <si>
    <t>(24) Cincinnati 49 Oklahoma State 17</t>
  </si>
  <si>
    <t>Washington State 20 (19) Virginia 22</t>
  </si>
  <si>
    <t>(5) Ole Miss 35 (7) Georgia 43</t>
  </si>
  <si>
    <t>Troy 37 UL Monroe 14</t>
  </si>
  <si>
    <t>Nebraska 6 Minnesota 24</t>
  </si>
  <si>
    <t>Pittsburgh 30 Syracuse 13</t>
  </si>
  <si>
    <t>(4) Texas A&amp;M 45 Arkansas 42</t>
  </si>
  <si>
    <t>Arkansas State 15 South Alabama 14</t>
  </si>
  <si>
    <t>Kent State 10 Toledo 45</t>
  </si>
  <si>
    <t>West Virginia 13 UCF 45</t>
  </si>
  <si>
    <t>Louisville 24 (2) Miami 21</t>
  </si>
  <si>
    <t>Temple 49 Charlotte 14</t>
  </si>
  <si>
    <t>(12) Georgia Tech 27 Duke 18</t>
  </si>
  <si>
    <t>Army 17 Tulane 24</t>
  </si>
  <si>
    <t>UConn 38 Boston College 23</t>
  </si>
  <si>
    <t>Arizona 28 Houston 31</t>
  </si>
  <si>
    <t>Florida Intl 25 Western Kentucky 6</t>
  </si>
  <si>
    <t>(17) Texas 16 Kentucky 13</t>
  </si>
  <si>
    <t>Purdue 0 Northwestern 19</t>
  </si>
  <si>
    <t>Houston 24 (25) Arizona State 16</t>
  </si>
  <si>
    <t>Oklahoma State 0 (15) Texas Tech 42</t>
  </si>
  <si>
    <t>UMASS 13 Central Michigan 38</t>
  </si>
  <si>
    <t>Appalachian State 21 Old Dominion 24</t>
  </si>
  <si>
    <t>Auburn 33 Arkansas 24</t>
  </si>
  <si>
    <t>UConn 34 Rice 37</t>
  </si>
  <si>
    <t>(16) Virginia 17 North Carolina 16</t>
  </si>
  <si>
    <t>Missouri State 24 New Mexico State 17</t>
  </si>
  <si>
    <t>Colorado 7 Utah 53</t>
  </si>
  <si>
    <t>TCU 23 West Virginia 17</t>
  </si>
  <si>
    <t>NC State 34 Pittsburgh 53</t>
  </si>
  <si>
    <t>Ball State 7 Northern Illinois 21</t>
  </si>
  <si>
    <t>(8) Ole Miss 34 (11) Oklahoma 26</t>
  </si>
  <si>
    <t>Boise State 24 Nevada 3</t>
  </si>
  <si>
    <t>Kennesaw State 45 Florida Intl 26</t>
  </si>
  <si>
    <t>Colorado State 0 Wyoming 28</t>
  </si>
  <si>
    <t>(4) Alabama 29 South Carolina 22</t>
  </si>
  <si>
    <t>(23) Illinois 25 Washington 42</t>
  </si>
  <si>
    <t>UCLA 6 (2) Indiana 56</t>
  </si>
  <si>
    <t>Ohio 28 EMU 21</t>
  </si>
  <si>
    <t>Kansas State 42 Kansas 17</t>
  </si>
  <si>
    <t>California 34 Virginia Tech 42</t>
  </si>
  <si>
    <t>(17) Tennessee 56 Kentucky 34</t>
  </si>
  <si>
    <t>UL Lafayette 23 Troy 35</t>
  </si>
  <si>
    <t>Florida Atlantic 32 Navy 42</t>
  </si>
  <si>
    <t>Utah State 14 New Mexico 33</t>
  </si>
  <si>
    <t>Akron 24 Buffalo 16</t>
  </si>
  <si>
    <t>SMU 12 Wake Forest 13</t>
  </si>
  <si>
    <t>(24) Michigan 31 Michigan State 20</t>
  </si>
  <si>
    <t>(3) Texas A&amp;M 49 (19) LSU 25</t>
  </si>
  <si>
    <t>Wisconsin 7 (6) Oregon 21</t>
  </si>
  <si>
    <t>(10) BYU 41 Iowa State 27</t>
  </si>
  <si>
    <t>Georgia Southern 24 Arkansas State 34</t>
  </si>
  <si>
    <t>Bowling Green 21 Kent State 24</t>
  </si>
  <si>
    <t>Middle Tennessee 28 Delaware 31</t>
  </si>
  <si>
    <t>(20) South Florida 31 Memphis 34</t>
  </si>
  <si>
    <t>Northwestern 21 Nebraska 28</t>
  </si>
  <si>
    <t>Baylor 20 (21) Cincinnati 41</t>
  </si>
  <si>
    <t>Western Michigan 17 Miami-OH 26</t>
  </si>
  <si>
    <t>Minnesota 3 Iowa 41</t>
  </si>
  <si>
    <t>South Alabama 38 Georgia State 31</t>
  </si>
  <si>
    <t>Stanford 7 (9) Miami 42</t>
  </si>
  <si>
    <t>(14) Missouri 10 (12) Vanderbilt 17</t>
  </si>
  <si>
    <t>Toledo 7 Washington State 28</t>
  </si>
  <si>
    <t>Current week</t>
  </si>
  <si>
    <t>Date</t>
  </si>
  <si>
    <t>Time</t>
  </si>
  <si>
    <t>Home</t>
  </si>
  <si>
    <t>Favorite</t>
  </si>
  <si>
    <t>Next monday</t>
  </si>
  <si>
    <t>North Texas 54 Charlotte 20</t>
  </si>
  <si>
    <t>San Diego State 23 Fresno State 0</t>
  </si>
  <si>
    <t>Western Kentucky 28 Louisiana Tech 27</t>
  </si>
  <si>
    <t>Syracuse 16 (7) Georgia Tech 41</t>
  </si>
  <si>
    <t>Rutgers 27 Purdue 24</t>
  </si>
  <si>
    <t>Boston College 24 (22) Louisville 38</t>
  </si>
  <si>
    <t>Key</t>
  </si>
  <si>
    <t>favorite</t>
  </si>
  <si>
    <t>dog</t>
  </si>
  <si>
    <t>open_spread</t>
  </si>
  <si>
    <t>consensus_spread</t>
  </si>
  <si>
    <t>consensus_total</t>
  </si>
  <si>
    <t>money_lines</t>
  </si>
  <si>
    <t>(18) Texas 45 Mississippi State 38</t>
  </si>
  <si>
    <t>South Dakota State Jackrabbits at Montana Grizzlies on 12/06 06:00 PM (CT)</t>
  </si>
  <si>
    <t>Duke at Virginia on 12/06 08:00 PM (CT)</t>
  </si>
  <si>
    <t>Temple 38 Tulsa 37</t>
  </si>
  <si>
    <t>Indiana at Ohio State on 12/06 08:00 PM (CT)</t>
  </si>
  <si>
    <t>Army at Navy on 12/13 03:00 PM (CT)</t>
  </si>
  <si>
    <t>Old Dominion at South Florida on 12/17 05:00 PM (CT)</t>
  </si>
  <si>
    <t>UL Monroe 21 Southern Mississippi 49</t>
  </si>
  <si>
    <t>Missouri State at Arkansas State on 12/18 09:00 PM (CT)</t>
  </si>
  <si>
    <t>California at Hawaii on 12/24 08:00 PM (CT)</t>
  </si>
  <si>
    <t>Kentucky 10 Auburn 3</t>
  </si>
  <si>
    <t>(13) Texas Tech 43 Kansas State 20</t>
  </si>
  <si>
    <t>New Mexico State 16 Western Kentucky 35</t>
  </si>
  <si>
    <t>Arizona State 24 Iowa State 19</t>
  </si>
  <si>
    <t>Penn State 14 (1) Ohio State 38</t>
  </si>
  <si>
    <t>Army 20 Air Force 17</t>
  </si>
  <si>
    <t>North Carolina 27 Syracuse 10</t>
  </si>
  <si>
    <t>(25) Memphis 38 Rice 14</t>
  </si>
  <si>
    <t>(16) Cincinnati 14 (24) Utah 45</t>
  </si>
  <si>
    <t>(18) Oklahoma 33 (14) Tennessee 27</t>
  </si>
  <si>
    <t>(7) Georgia Tech 36 NC State 48</t>
  </si>
  <si>
    <t>USC 21 Nebraska 17</t>
  </si>
  <si>
    <t>Fresno State 30 Boise State 7</t>
  </si>
  <si>
    <t>East Carolina 45 Temple 14</t>
  </si>
  <si>
    <t>James Madison 52 Texas State 20</t>
  </si>
  <si>
    <t>UTEP 20 Kennesaw State 33</t>
  </si>
  <si>
    <t>(15) Virginia 31 California 21</t>
  </si>
  <si>
    <t>Delaware 30 Liberty 59</t>
  </si>
  <si>
    <t>Old Dominion 31 UL Monroe 6</t>
  </si>
  <si>
    <t>UAB 19 UConn 38</t>
  </si>
  <si>
    <t>Washington State 7 Oregon State 10</t>
  </si>
  <si>
    <t>Oklahoma State 21 Kansas 38</t>
  </si>
  <si>
    <t>UL Lafayette 31 South Alabama 22</t>
  </si>
  <si>
    <t>New Mexico 40 UNLV 35</t>
  </si>
  <si>
    <t>Florida Intl 21 Missouri State 28</t>
  </si>
  <si>
    <t>(9) Miami 20 SMU 26</t>
  </si>
  <si>
    <t>Purdue 16 (21) Michigan 21</t>
  </si>
  <si>
    <t>(17) Louisville 28 Virginia Tech 16</t>
  </si>
  <si>
    <t>Sam Houston 14 Louisiana Tech 55</t>
  </si>
  <si>
    <t>Tulane 26 UTSA 48</t>
  </si>
  <si>
    <t>Marshall 27 Coastal Carolina 44</t>
  </si>
  <si>
    <t>Arizona 52 Colorado 17</t>
  </si>
  <si>
    <t>Wake Forest 7 Florida State 42</t>
  </si>
  <si>
    <t>(5) Georgia 24 Florida 20</t>
  </si>
  <si>
    <t>Buffalo 28 Bowling Green 3</t>
  </si>
  <si>
    <t>(23) Navy 17 North Texas 31</t>
  </si>
  <si>
    <t>Michigan State 20 Minnesota 23</t>
  </si>
  <si>
    <t>Hawaii 38 San José State 45</t>
  </si>
  <si>
    <t>Arkansas State 23 Troy 10</t>
  </si>
  <si>
    <t>(12) Notre Dame 25 Boston College 10</t>
  </si>
  <si>
    <t>Jacksonville State 24 Middle Tennessee 21</t>
  </si>
  <si>
    <t>Pittsburgh 35 Stanford 20</t>
  </si>
  <si>
    <t>Mississippi State 38 Arkansas 35</t>
  </si>
  <si>
    <t>Rutgers 13 Illinois 35</t>
  </si>
  <si>
    <t>UCF 3 Baylor 30</t>
  </si>
  <si>
    <t>Wyoming 7 San Diego State 24</t>
  </si>
  <si>
    <t>South Carolina 14 (8) Ole Miss 30</t>
  </si>
  <si>
    <t>Duke 46 Clemson 45</t>
  </si>
  <si>
    <t>Central Michigan 21 Western Michigan 24</t>
  </si>
  <si>
    <t>(11) Vanderbilt 31 (19) Texas 34</t>
  </si>
  <si>
    <t>West Virginia 45 (22) Houston 35</t>
  </si>
  <si>
    <t>(2) Indiana 55 Maryland 10</t>
  </si>
  <si>
    <t>Air Force 26 San José State 16</t>
  </si>
  <si>
    <t>Stanford 15 North Carolina 20</t>
  </si>
  <si>
    <t>Kennesaw State 24 New Mexico State 21</t>
  </si>
  <si>
    <t>UAB 17 Rice 24</t>
  </si>
  <si>
    <t>(2) Indiana 27 Penn State 24</t>
  </si>
  <si>
    <t>(8) BYU 7 (9) Texas Tech 29</t>
  </si>
  <si>
    <t>Georgia Southern 25 Appalachian State 23</t>
  </si>
  <si>
    <t>UMASS 10 Akron 44</t>
  </si>
  <si>
    <t>Auburn 38 (16) Vanderbilt 45</t>
  </si>
  <si>
    <t>Texas State 39 UL Lafayette 42</t>
  </si>
  <si>
    <t>Iowa State 20 TCU 17</t>
  </si>
  <si>
    <t>Charlotte 22 East Carolina 48</t>
  </si>
  <si>
    <t>Northwestern 17 (21) USC 38</t>
  </si>
  <si>
    <t>Kent State 13 Ball State 17</t>
  </si>
  <si>
    <t>LSU 9 (4) Alabama 20</t>
  </si>
  <si>
    <t>Nebraska 28 UCLA 21</t>
  </si>
  <si>
    <t>UNLV 42 Colorado State 10</t>
  </si>
  <si>
    <t>Washington 10 Wisconsin 13</t>
  </si>
  <si>
    <t>Missouri State 21 Liberty 17</t>
  </si>
  <si>
    <t>Bowling Green 21 EMU 27</t>
  </si>
  <si>
    <t>California 29 (15) Louisville 26</t>
  </si>
  <si>
    <t>Sam Houston 21 Oregon State 17</t>
  </si>
  <si>
    <t>Kansas 20 Arizona 24</t>
  </si>
  <si>
    <t>Tulsa 21 Florida Atlantic 40</t>
  </si>
  <si>
    <t>(1) Ohio State 34 Purdue 10</t>
  </si>
  <si>
    <t>SMU 45 Boston College 13</t>
  </si>
  <si>
    <t>Nevada 14 Utah State 51</t>
  </si>
  <si>
    <t>(6) Oregon 18 (24) Iowa 16</t>
  </si>
  <si>
    <t>James Madison 35 Marshall 23</t>
  </si>
  <si>
    <t>UTSA 23 South Florida 55</t>
  </si>
  <si>
    <t>Northern Illinois 3 Toledo 42</t>
  </si>
  <si>
    <t>Florida State 10 Clemson 24</t>
  </si>
  <si>
    <t>Navy 10 (10) Notre Dame 49</t>
  </si>
  <si>
    <t>Florida 7 Kentucky 38</t>
  </si>
  <si>
    <t>Louisiana Tech 24 Delaware 25</t>
  </si>
  <si>
    <t>Colorado 22 West Virginia 29</t>
  </si>
  <si>
    <t>San Diego State 6 Hawaii 38</t>
  </si>
  <si>
    <t>Wake Forest 16 (11) Virginia 9</t>
  </si>
  <si>
    <t>Florida Intl 56 Middle Tennessee 30</t>
  </si>
  <si>
    <t>(5) Georgia 41 Mississippi State 21</t>
  </si>
  <si>
    <t>Miami-OH 20 Ohio 24</t>
  </si>
  <si>
    <t>(3) Texas A&amp;M 38 (17) Missouri 17</t>
  </si>
  <si>
    <t>Jacksonville State 30 UTEP 27</t>
  </si>
  <si>
    <t>Tulane 38 (23) Memphis 32</t>
  </si>
  <si>
    <t>Georgia State 27 Coastal Carolina 40</t>
  </si>
  <si>
    <t>Syracuse 10 (18) Miami 38</t>
  </si>
  <si>
    <t>Houston 30 UCF 27</t>
  </si>
  <si>
    <t>Duke 34 UConn 37</t>
  </si>
  <si>
    <t>The Citadel 0 (7) Ole Miss 49</t>
  </si>
  <si>
    <t>Maryland 20 Rutgers 35</t>
  </si>
  <si>
    <t>Temple 13 Army 14</t>
  </si>
  <si>
    <t>Southern Mississippi 27 Arkansas State 21</t>
  </si>
  <si>
    <t>North Carolina 12 Wake Forest 28</t>
  </si>
  <si>
    <t>New Mexico State 9 (20) Tennessee 42</t>
  </si>
  <si>
    <t>Appalachian State 10 (25) James Madison 58</t>
  </si>
  <si>
    <t>UCF 9 (8) Texas Tech 48</t>
  </si>
  <si>
    <t>Penn State 28 Michigan State 10</t>
  </si>
  <si>
    <t>West Virginia 23 Arizona State 25</t>
  </si>
  <si>
    <t>Air Force 16 UConn 26</t>
  </si>
  <si>
    <t>Northern Illinois 45 UMASS 3</t>
  </si>
  <si>
    <t>TCU 13 (12) BYU 44</t>
  </si>
  <si>
    <t>Boise State 7 San Diego State 17</t>
  </si>
  <si>
    <t>Kennesaw State 26 Jacksonville State 35</t>
  </si>
  <si>
    <t>(15) Utah 55 Baylor 28</t>
  </si>
  <si>
    <t>Memphis 27 East Carolina 31</t>
  </si>
  <si>
    <t>(10) Oklahoma 23 (4) Alabama 21</t>
  </si>
  <si>
    <t>NC State 7 (16) Miami 41</t>
  </si>
  <si>
    <t>Texas State 41 Southern Mississippi 14</t>
  </si>
  <si>
    <t>Iowa 21 (18) USC 26</t>
  </si>
  <si>
    <t>EMU 24 Ball State 9</t>
  </si>
  <si>
    <t>UCLA 10 (1) Ohio State 48</t>
  </si>
  <si>
    <t>Purdue 13 Washington 49</t>
  </si>
  <si>
    <t>Colorado State 17 New Mexico 20</t>
  </si>
  <si>
    <t>North Texas 53 UAB 24</t>
  </si>
  <si>
    <t>Kansas State 14 Oklahoma State 6</t>
  </si>
  <si>
    <t>Troy 0 Old Dominion 33</t>
  </si>
  <si>
    <t>Liberty 27 Florida Intl 34</t>
  </si>
  <si>
    <t>Florida Atlantic 24 Tulane 35</t>
  </si>
  <si>
    <t>UTEP 24 Missouri State 38</t>
  </si>
  <si>
    <t>Oregon State 14 Tulsa 31</t>
  </si>
  <si>
    <t>Kent State 42 Akron 35</t>
  </si>
  <si>
    <t>Virginia Tech 14 Florida State 34</t>
  </si>
  <si>
    <t>Delaware 23 Sam Houston 26</t>
  </si>
  <si>
    <t>Marshall 30 Georgia State 18</t>
  </si>
  <si>
    <t>Arkansas 22 LSU 23</t>
  </si>
  <si>
    <t>(17) Michigan 24 Northwestern 22</t>
  </si>
  <si>
    <t>UTSA 28 Charlotte 7</t>
  </si>
  <si>
    <t>Minnesota 13 (6) Oregon 42</t>
  </si>
  <si>
    <t>Utah State 26 UNLV 29</t>
  </si>
  <si>
    <t>Florida 24 (7) Ole Miss 34</t>
  </si>
  <si>
    <t>Coastal Carolina 40 Georgia Southern 45</t>
  </si>
  <si>
    <t>South Florida 38 Navy 41</t>
  </si>
  <si>
    <t>(10) Texas 10 (5) Georgia 35</t>
  </si>
  <si>
    <t>Middle Tennessee 26 Western Kentucky 42</t>
  </si>
  <si>
    <t>(19) Virginia 34 Duke 17</t>
  </si>
  <si>
    <t>(9) Notre Dame 37 (23) Pittsburgh 15</t>
  </si>
  <si>
    <t>Ohio 13 Western Michigan 17</t>
  </si>
  <si>
    <t>San José State 10 Nevada 55</t>
  </si>
  <si>
    <t>South Alabama 26 UL Monroe 14</t>
  </si>
  <si>
    <t>South Carolina 30 (3) Texas A&amp;M 31</t>
  </si>
  <si>
    <t>Arizona 30 (22) Cincinnati 24</t>
  </si>
  <si>
    <t>Wisconsin 7 (2) Indiana 31</t>
  </si>
  <si>
    <t>Toledo 24 Miami-OH 3</t>
  </si>
  <si>
    <t>Mississippi State 27 (24) Missouri 49</t>
  </si>
  <si>
    <t>Maryland 6 Illinois 24</t>
  </si>
  <si>
    <t>Louisiana Tech 3 Washington State 28</t>
  </si>
  <si>
    <t>Clemson 20 (21) Louisville 19</t>
  </si>
  <si>
    <t>Buffalo 19 Central Michigan 38</t>
  </si>
  <si>
    <t>Wyoming 3 Fresno State 24</t>
  </si>
  <si>
    <t>(12) Georgia Tech 36 Boston College 34</t>
  </si>
  <si>
    <t>Tennessee Tech 10 Kentucky 42</t>
  </si>
  <si>
    <t>Arizona State 42 Colorado 17</t>
  </si>
  <si>
    <t>(23) North Texas 56 Rice 24</t>
  </si>
  <si>
    <t>Nebraska 10 Penn State 37</t>
  </si>
  <si>
    <t>New Mexico 20 Air Force 3</t>
  </si>
  <si>
    <t>Duke 32 North Carolina 25</t>
  </si>
  <si>
    <t>New Mexico State 34 UTEP 31</t>
  </si>
  <si>
    <t>Marshall 24 Appalachian State 26</t>
  </si>
  <si>
    <t>Mercer 17 Auburn 62</t>
  </si>
  <si>
    <t>UMASS 14 Ohio 42</t>
  </si>
  <si>
    <t>Colorado State 21 Boise State 49</t>
  </si>
  <si>
    <t>UL Monroe 14 Texas State 31</t>
  </si>
  <si>
    <t>Kansas State 47 (14) Utah 51</t>
  </si>
  <si>
    <t>(16) USC 27 (5) Oregon 42</t>
  </si>
  <si>
    <t>TCU 17 (24) Houston 14</t>
  </si>
  <si>
    <t>East Carolina 24 UTSA 58</t>
  </si>
  <si>
    <t>Missouri State 34 Kennesaw State 41</t>
  </si>
  <si>
    <t>Ball State 9 Toledo 38</t>
  </si>
  <si>
    <t>(21) Missouri 6 (8) Oklahoma 17</t>
  </si>
  <si>
    <t>Florida State 11 NC State 21</t>
  </si>
  <si>
    <t>Washington 48 UCLA 14</t>
  </si>
  <si>
    <t>California 10 Stanford 31</t>
  </si>
  <si>
    <t>South Florida 48 UAB 18</t>
  </si>
  <si>
    <t>Eastern Illinois 0 (10) Alabama 56</t>
  </si>
  <si>
    <t>Old Dominion 45 Georgia Southern 10</t>
  </si>
  <si>
    <t>Liberty 28 Louisiana Tech 34</t>
  </si>
  <si>
    <t>(20) Tennessee 31 Florida 11</t>
  </si>
  <si>
    <t>UConn 48 Florida Atlantic 45</t>
  </si>
  <si>
    <t>Rutgers 9 (1) Ohio State 42</t>
  </si>
  <si>
    <t>Louisville 6 SMU 38</t>
  </si>
  <si>
    <t>Kansas 14 Iowa State 38</t>
  </si>
  <si>
    <t>UL Lafayette 34 Arkansas State 30</t>
  </si>
  <si>
    <t>Akron 19 Bowling Green 16</t>
  </si>
  <si>
    <t>Utah State 28 Fresno State 17</t>
  </si>
  <si>
    <t>Western Kentucky 10 LSU 13</t>
  </si>
  <si>
    <t>(17) Michigan 45 Maryland 20</t>
  </si>
  <si>
    <t>Sam Houston 17 Middle Tennessee 31</t>
  </si>
  <si>
    <t>(15) Miami 34 Virginia Tech 17</t>
  </si>
  <si>
    <t>Western Michigan 35 Northern Illinois 19</t>
  </si>
  <si>
    <t>(11) BYU 26 Cincinnati 14</t>
  </si>
  <si>
    <t>Michigan State 17 Iowa 20</t>
  </si>
  <si>
    <t>Delaware 14 Wake Forest 52</t>
  </si>
  <si>
    <t>Hawaii 10 UNLV 38</t>
  </si>
  <si>
    <t>Georgia State 19 Troy 31</t>
  </si>
  <si>
    <t>Oklahoma State 14 UCF 17</t>
  </si>
  <si>
    <t>Syracuse 7 (9) Notre Dame 70</t>
  </si>
  <si>
    <t>Charlotte 3 (4) Georgia 35</t>
  </si>
  <si>
    <t>San José State 3 San Diego State 25</t>
  </si>
  <si>
    <t>Illinois 10 Wisconsin 27</t>
  </si>
  <si>
    <t>Pittsburgh 42 (12) Georgia Tech 28</t>
  </si>
  <si>
    <t>Southern Mississippi 35 South Alabama 42</t>
  </si>
  <si>
    <t>Minnesota 35 Northwestern 38</t>
  </si>
  <si>
    <t>Samford 0 (3) Texas A&amp;M 48</t>
  </si>
  <si>
    <t>Miami-OH 37 Buffalo 20</t>
  </si>
  <si>
    <t>Conf Type</t>
  </si>
  <si>
    <t>Independent</t>
  </si>
  <si>
    <t>Arkansas 37 (18) Texas 52</t>
  </si>
  <si>
    <t>Coastal Carolina 7 South Carolina 51</t>
  </si>
  <si>
    <t>Jacksonville State 21 Florida Intl 27</t>
  </si>
  <si>
    <t>Order Rnd()</t>
  </si>
  <si>
    <t>Nevada 13 Wyoming 7</t>
  </si>
  <si>
    <t>Furman 10 Clemson 45</t>
  </si>
  <si>
    <t>day</t>
  </si>
  <si>
    <t>ID</t>
  </si>
  <si>
    <t>Sunday</t>
  </si>
  <si>
    <t>Monday</t>
  </si>
  <si>
    <t>Tuesday</t>
  </si>
  <si>
    <t>Wednesday</t>
  </si>
  <si>
    <t>Thursday</t>
  </si>
  <si>
    <t>Friday</t>
  </si>
  <si>
    <t>Saturday</t>
  </si>
  <si>
    <t>color1</t>
  </si>
  <si>
    <t>color2</t>
  </si>
  <si>
    <t>#0055fa</t>
  </si>
  <si>
    <t>#8a8d8e</t>
  </si>
  <si>
    <t>#00285e</t>
  </si>
  <si>
    <t>#c9b280</t>
  </si>
  <si>
    <t>#7d110c</t>
  </si>
  <si>
    <t>#FFFFFF</t>
  </si>
  <si>
    <t>#ffce00</t>
  </si>
  <si>
    <t>#000000</t>
  </si>
  <si>
    <t>#cc0033</t>
  </si>
  <si>
    <t>#003366</t>
  </si>
  <si>
    <t>#802249</t>
  </si>
  <si>
    <t>#ffb310</t>
  </si>
  <si>
    <t>#cd1429</t>
  </si>
  <si>
    <t>#d4bf91</t>
  </si>
  <si>
    <t>Baylor 17 Arizona 41</t>
  </si>
  <si>
    <t>#002b5c</t>
  </si>
  <si>
    <t>#ff571f</t>
  </si>
  <si>
    <t>#ba0c2f</t>
  </si>
  <si>
    <t>#0d4018</t>
  </si>
  <si>
    <t>#ffb517</t>
  </si>
  <si>
    <t>#98002e</t>
  </si>
  <si>
    <t>#bfa464</t>
  </si>
  <si>
    <t>#ff5200</t>
  </si>
  <si>
    <t>#4f2c1d</t>
  </si>
  <si>
    <t>#041a9b</t>
  </si>
  <si>
    <t>#002255</t>
  </si>
  <si>
    <t>#0030a4</t>
  </si>
  <si>
    <t>#002675</t>
  </si>
  <si>
    <t>#ffc72c</t>
  </si>
  <si>
    <t>#71273d</t>
  </si>
  <si>
    <t>#00703c</t>
  </si>
  <si>
    <t>#9a8348</t>
  </si>
  <si>
    <t>#e00122</t>
  </si>
  <si>
    <t>#f66733</t>
  </si>
  <si>
    <t>#522d80</t>
  </si>
  <si>
    <t>#006f71</t>
  </si>
  <si>
    <t>#a27752</t>
  </si>
  <si>
    <t>#d2c694</t>
  </si>
  <si>
    <t>#187031</t>
  </si>
  <si>
    <t>#8d744a</t>
  </si>
  <si>
    <t>#00539f</t>
  </si>
  <si>
    <t>#ffd200</t>
  </si>
  <si>
    <t>#0736a4</t>
  </si>
  <si>
    <t>#592a86</t>
  </si>
  <si>
    <t>#ffc800</t>
  </si>
  <si>
    <t>#006a34</t>
  </si>
  <si>
    <t>#003087</t>
  </si>
  <si>
    <t>#ff5113</t>
  </si>
  <si>
    <t>#cc0000</t>
  </si>
  <si>
    <t>#002d62</t>
  </si>
  <si>
    <t>#c5960c</t>
  </si>
  <si>
    <t>#540115</t>
  </si>
  <si>
    <t>#CDC092</t>
  </si>
  <si>
    <t>#da062e</t>
  </si>
  <si>
    <t>#002e6f</t>
  </si>
  <si>
    <t>#da291c</t>
  </si>
  <si>
    <t>#2c2a29</t>
  </si>
  <si>
    <t>#000066</t>
  </si>
  <si>
    <t>#0039a6</t>
  </si>
  <si>
    <t>#bba16a</t>
  </si>
  <si>
    <t>#00254c</t>
  </si>
  <si>
    <t>#024731</t>
  </si>
  <si>
    <t>#c4c1ba</t>
  </si>
  <si>
    <t>#e34e35</t>
  </si>
  <si>
    <t>#ffe100</t>
  </si>
  <si>
    <t>#a71930</t>
  </si>
  <si>
    <t>#fdc82f</t>
  </si>
  <si>
    <t>#CC0000</t>
  </si>
  <si>
    <t>#450084</t>
  </si>
  <si>
    <t>#CBB677</t>
  </si>
  <si>
    <t>#0022b4</t>
  </si>
  <si>
    <t>#e8000d</t>
  </si>
  <si>
    <t>#512888</t>
  </si>
  <si>
    <t>#a8adad</t>
  </si>
  <si>
    <t>#fdbb30</t>
  </si>
  <si>
    <t>#0b1315</t>
  </si>
  <si>
    <t>#003876</t>
  </si>
  <si>
    <t>#f0b310</t>
  </si>
  <si>
    <t>#990000</t>
  </si>
  <si>
    <t>#0A254E</t>
  </si>
  <si>
    <t>#e31b23</t>
  </si>
  <si>
    <t>#002f8b</t>
  </si>
  <si>
    <t>#ad0000</t>
  </si>
  <si>
    <t>#472f92</t>
  </si>
  <si>
    <t>#fdd023</t>
  </si>
  <si>
    <t>#00b140</t>
  </si>
  <si>
    <t>#f5002f</t>
  </si>
  <si>
    <t>#f6d565</t>
  </si>
  <si>
    <t>#0a1691</t>
  </si>
  <si>
    <t>#cbcbcb</t>
  </si>
  <si>
    <t>#005030</t>
  </si>
  <si>
    <t>#f47321</t>
  </si>
  <si>
    <t>#050403</t>
  </si>
  <si>
    <t>#00274c</t>
  </si>
  <si>
    <t>#ffcb05</t>
  </si>
  <si>
    <t>#18453b</t>
  </si>
  <si>
    <t>#0066cc</t>
  </si>
  <si>
    <t>#72c6ef</t>
  </si>
  <si>
    <t>#7a0019</t>
  </si>
  <si>
    <t>#ffcc33</t>
  </si>
  <si>
    <t>#660000</t>
  </si>
  <si>
    <t>Kentucky 17 (13) Vanderbilt 45</t>
  </si>
  <si>
    <t>#f1b82d</t>
  </si>
  <si>
    <t>#5E0009</t>
  </si>
  <si>
    <t>#1d1756</t>
  </si>
  <si>
    <t>#ba8b00</t>
  </si>
  <si>
    <t>#cb092e</t>
  </si>
  <si>
    <t>#807f84</t>
  </si>
  <si>
    <t>#c10037</t>
  </si>
  <si>
    <t>#5e5d60</t>
  </si>
  <si>
    <t>#8b2346</t>
  </si>
  <si>
    <t>#6699cc</t>
  </si>
  <si>
    <t>#00a651</t>
  </si>
  <si>
    <t>#a5a7a8</t>
  </si>
  <si>
    <t>#520063</t>
  </si>
  <si>
    <t>#00246b</t>
  </si>
  <si>
    <t>#b18d03</t>
  </si>
  <si>
    <t>Washington State 20 (22) James Madison 24</t>
  </si>
  <si>
    <t>#00694e</t>
  </si>
  <si>
    <t>#bb0000</t>
  </si>
  <si>
    <t>#666666</t>
  </si>
  <si>
    <t>#841617</t>
  </si>
  <si>
    <t>#fe5c00</t>
  </si>
  <si>
    <t>#bebebe</t>
  </si>
  <si>
    <t>#004677</t>
  </si>
  <si>
    <t>#cc092f</t>
  </si>
  <si>
    <t>#002663</t>
  </si>
  <si>
    <t>#094c3a</t>
  </si>
  <si>
    <t>#fff200</t>
  </si>
  <si>
    <t>#c34500</t>
  </si>
  <si>
    <t>#011e41</t>
  </si>
  <si>
    <t>#003594</t>
  </si>
  <si>
    <t>#ffb81c</t>
  </si>
  <si>
    <t>#5e6062</t>
  </si>
  <si>
    <t>Tulsa 26 Army 25</t>
  </si>
  <si>
    <t>#d21034</t>
  </si>
  <si>
    <t>#5f6a72</t>
  </si>
  <si>
    <t>#fe5100</t>
  </si>
  <si>
    <t>#a81933</t>
  </si>
  <si>
    <t>#005a8b</t>
  </si>
  <si>
    <t>#c79900</t>
  </si>
  <si>
    <t>#e51932</t>
  </si>
  <si>
    <t>#005da9</t>
  </si>
  <si>
    <t>#bf0d3e</t>
  </si>
  <si>
    <t>#00205b</t>
  </si>
  <si>
    <t>#73000a</t>
  </si>
  <si>
    <t>#00573c</t>
  </si>
  <si>
    <t>#dfd0a5</t>
  </si>
  <si>
    <t>#ffab00</t>
  </si>
  <si>
    <t>#8c1515</t>
  </si>
  <si>
    <t>#4d4f53</t>
  </si>
  <si>
    <t>#ff5a00</t>
  </si>
  <si>
    <t>#0d1d37</t>
  </si>
  <si>
    <t>#4d1979</t>
  </si>
  <si>
    <t>#990033</t>
  </si>
  <si>
    <t>#f77f00</t>
  </si>
  <si>
    <t>#cc5500</t>
  </si>
  <si>
    <t>#500000</t>
  </si>
  <si>
    <t>#717073</t>
  </si>
  <si>
    <t>#571c1f</t>
  </si>
  <si>
    <t>#ac9055</t>
  </si>
  <si>
    <t>#002569</t>
  </si>
  <si>
    <t>#892034</t>
  </si>
  <si>
    <t>#84888b</t>
  </si>
  <si>
    <t>#00331a</t>
  </si>
  <si>
    <t>#224568</t>
  </si>
  <si>
    <t>#004a8f</t>
  </si>
  <si>
    <t>#ffe075</t>
  </si>
  <si>
    <t>#144B39</t>
  </si>
  <si>
    <t>#FFD400</t>
  </si>
  <si>
    <t>#0073CF</t>
  </si>
  <si>
    <t>#192b5f</t>
  </si>
  <si>
    <t>#7c878e</t>
  </si>
  <si>
    <t>#cf202f</t>
  </si>
  <si>
    <t>#c1c5c9</t>
  </si>
  <si>
    <t>#872434</t>
  </si>
  <si>
    <t>#828a8f</t>
  </si>
  <si>
    <t>#ffcc00</t>
  </si>
  <si>
    <t>#003359</t>
  </si>
  <si>
    <t>#a4aeb5</t>
  </si>
  <si>
    <t>#ff5600</t>
  </si>
  <si>
    <t>#002147</t>
  </si>
  <si>
    <t>#002244</t>
  </si>
  <si>
    <t>#997f3d</t>
  </si>
  <si>
    <t>#0d3268</t>
  </si>
  <si>
    <t>#ff7003</t>
  </si>
  <si>
    <t>#ff6600</t>
  </si>
  <si>
    <t>#9e7e38</t>
  </si>
  <si>
    <t>#363c74</t>
  </si>
  <si>
    <t>#e8d3a2</t>
  </si>
  <si>
    <t>#981e32</t>
  </si>
  <si>
    <t>#5e6a71</t>
  </si>
  <si>
    <t>#00447c</t>
  </si>
  <si>
    <t>#eeb111</t>
  </si>
  <si>
    <t>#b01e24</t>
  </si>
  <si>
    <t>#95774d</t>
  </si>
  <si>
    <t>#4a1a00</t>
  </si>
  <si>
    <t>#c4012f</t>
  </si>
  <si>
    <t>#492f24</t>
  </si>
  <si>
    <t>#ffc425</t>
  </si>
  <si>
    <t>(25) Tulane 37 Temple 13</t>
  </si>
  <si>
    <t>#ef483e</t>
  </si>
  <si>
    <t>#cfd4d8</t>
  </si>
  <si>
    <t>#013ca6</t>
  </si>
  <si>
    <t>#a5a9ab</t>
  </si>
  <si>
    <t>#e2231a</t>
  </si>
  <si>
    <t>#041e41</t>
  </si>
  <si>
    <t>#0c2342</t>
  </si>
  <si>
    <t>#f2a900</t>
  </si>
  <si>
    <t>#a6192e</t>
  </si>
  <si>
    <t>#bbbcbc</t>
  </si>
  <si>
    <t>#00a160</t>
  </si>
  <si>
    <t>#0d2647</t>
  </si>
  <si>
    <t>#0088ce</t>
  </si>
  <si>
    <t>#004b8d</t>
  </si>
  <si>
    <t>#ffd046</t>
  </si>
  <si>
    <t>#4f2d7f</t>
  </si>
  <si>
    <t>#afafaf</t>
  </si>
  <si>
    <t>#004b91</t>
  </si>
  <si>
    <t>#04223f</t>
  </si>
  <si>
    <t>Central Michigan 28 Kent State 16</t>
  </si>
  <si>
    <t>CONF</t>
  </si>
  <si>
    <t>Pojected Wins</t>
  </si>
  <si>
    <t>Pooler</t>
  </si>
  <si>
    <t>FBS Indep.</t>
  </si>
  <si>
    <t>undrafted</t>
  </si>
  <si>
    <t>American</t>
  </si>
  <si>
    <t>Color</t>
  </si>
  <si>
    <t>#e1ddcf</t>
  </si>
  <si>
    <t>#FFCC99</t>
  </si>
  <si>
    <t>#2cefff</t>
  </si>
  <si>
    <t>Priority</t>
  </si>
  <si>
    <t>Mountain West</t>
  </si>
  <si>
    <t>Pac-12</t>
  </si>
  <si>
    <t>Order</t>
  </si>
  <si>
    <t>FOX or FS1</t>
  </si>
  <si>
    <t>FS1 or FS2</t>
  </si>
  <si>
    <t>ACC Network</t>
  </si>
  <si>
    <t>FS2</t>
  </si>
  <si>
    <t>Stadium</t>
  </si>
  <si>
    <t>ACC RSN</t>
  </si>
  <si>
    <t>MW</t>
  </si>
  <si>
    <t>BTN alternate</t>
  </si>
  <si>
    <t>MTN</t>
  </si>
  <si>
    <t>truTV</t>
  </si>
  <si>
    <t>LonghorN</t>
  </si>
  <si>
    <t>NFL Network</t>
  </si>
  <si>
    <t>Pac-12 Now</t>
  </si>
  <si>
    <t>ACCNX</t>
  </si>
  <si>
    <t>espn+ Video</t>
  </si>
  <si>
    <t>espn3</t>
  </si>
  <si>
    <t>espn3 Video</t>
  </si>
  <si>
    <t>How to warch</t>
  </si>
  <si>
    <t>ATTRM</t>
  </si>
  <si>
    <t>Flo</t>
  </si>
  <si>
    <t>NESN+</t>
  </si>
  <si>
    <t>Stadium Video</t>
  </si>
  <si>
    <t>Video</t>
  </si>
  <si>
    <t>Facebook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</si>
</sst>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0000"/>
    <numFmt numFmtId="165" formatCode="ddd, mm/dd, h:mm am/pm"/>
    <numFmt numFmtId="166" formatCode="m-d"/>
    <numFmt numFmtId="167" formatCode="m/d/yyyy h:mm:ss"/>
    <numFmt numFmtId="168" formatCode="m/d/yy"/>
    <numFmt numFmtId="169" formatCode="h:mm am/pm"/>
    <numFmt numFmtId="170" formatCode="yyyy-mm-dd"/>
    <numFmt numFmtId="171" formatCode="M/d/yyyy"/>
    <numFmt numFmtId="172" formatCode="h:mm:ss am/pm"/>
  </numFmts>
  <fonts count="32">
    <font>
      <sz val="10.0"/>
      <color rgb="FF000000"/>
      <name val="Arial"/>
    </font>
    <font/>
    <font>
      <b/>
    </font>
    <font>
      <sz val="10.0"/>
    </font>
    <font>
      <b/>
      <name val="Arial"/>
    </font>
    <font>
      <u/>
      <color rgb="FF0000FF"/>
    </font>
    <font>
      <b/>
      <u/>
      <sz val="12.0"/>
      <color rgb="FF0000FF"/>
    </font>
    <font>
      <b/>
      <sz val="12.0"/>
    </font>
    <font>
      <name val="Arial"/>
    </font>
    <font>
      <sz val="12.0"/>
    </font>
    <font>
      <b/>
      <sz val="12.0"/>
      <color rgb="FF2B2C2D"/>
      <name val="Arial"/>
    </font>
    <font>
      <sz val="12.0"/>
      <color rgb="FF2B2C2D"/>
      <name val="-apple-system"/>
    </font>
    <font>
      <b/>
      <sz val="8.0"/>
      <color rgb="FF48494A"/>
      <name val="-apple-system"/>
    </font>
    <font>
      <u/>
      <sz val="9.0"/>
      <color rgb="FF0000FF"/>
      <name val="-apple-system"/>
    </font>
    <font>
      <sz val="8.0"/>
      <color rgb="FF48494A"/>
      <name val="-apple-system"/>
    </font>
    <font>
      <sz val="9.0"/>
      <color rgb="FF6C6D6F"/>
      <name val="-apple-system"/>
    </font>
    <font>
      <b/>
      <sz val="10.0"/>
    </font>
    <font>
      <b/>
      <sz val="11.0"/>
      <color rgb="FF000000"/>
      <name val="Arial"/>
    </font>
    <font>
      <color rgb="FF000000"/>
      <name val="Arial"/>
    </font>
    <font>
      <sz val="11.0"/>
      <color rgb="FF000000"/>
      <name val="Inconsolata"/>
    </font>
    <font>
      <sz val="8.0"/>
      <color rgb="FF151617"/>
      <name val="-apple-system"/>
    </font>
    <font>
      <sz val="9.0"/>
      <color rgb="FF48494A"/>
      <name val="-apple-system"/>
    </font>
    <font>
      <sz val="16.0"/>
    </font>
    <font>
      <sz val="18.0"/>
    </font>
    <font>
      <sz val="10.0"/>
      <color rgb="FF000000"/>
    </font>
    <font>
      <b/>
      <sz val="10.0"/>
      <color rgb="FF000000"/>
    </font>
    <font>
      <u/>
      <color rgb="FF0000FF"/>
    </font>
    <font>
      <sz val="11.0"/>
      <color rgb="FF1F1F1F"/>
      <name val="&quot;Google Sans&quot;"/>
    </font>
    <font>
      <sz val="9.0"/>
    </font>
    <font>
      <color rgb="FF000000"/>
    </font>
    <font>
      <color rgb="FFFFFFFF"/>
    </font>
    <font>
      <sz val="11.0"/>
      <color rgb="FFF7981D"/>
    </font>
  </fonts>
  <fills count="1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E1DDCF"/>
        <bgColor rgb="FFE1DDCF"/>
      </patternFill>
    </fill>
    <fill>
      <patternFill patternType="solid">
        <fgColor rgb="FFFFCC99"/>
        <bgColor rgb="FFFFCC99"/>
      </patternFill>
    </fill>
    <fill>
      <patternFill patternType="solid">
        <fgColor rgb="FFFEE123"/>
        <bgColor rgb="FFFEE123"/>
      </patternFill>
    </fill>
    <fill>
      <patternFill patternType="solid">
        <fgColor rgb="FF2CEFFF"/>
        <bgColor rgb="FF2CEFFF"/>
      </patternFill>
    </fill>
    <fill>
      <patternFill patternType="solid">
        <fgColor rgb="FFFCE122"/>
        <bgColor rgb="FFFCE122"/>
      </patternFill>
    </fill>
    <fill>
      <patternFill patternType="solid">
        <fgColor rgb="FFF3F3F3"/>
        <bgColor rgb="FFF3F3F3"/>
      </patternFill>
    </fill>
  </fills>
  <borders count="31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dotted">
        <color rgb="FF000000"/>
      </left>
    </border>
    <border>
      <right style="thin">
        <color rgb="FFDCDDDF"/>
      </right>
      <top style="thin">
        <color rgb="FFDCDDDF"/>
      </top>
      <bottom style="thin">
        <color rgb="FFDCDDDF"/>
      </bottom>
    </border>
    <border>
      <right style="thin">
        <color rgb="FFDCDDDF"/>
      </right>
      <bottom style="thin">
        <color rgb="FFF1F2F3"/>
      </bottom>
    </border>
    <border>
      <top style="thin">
        <color rgb="FFDCDDDF"/>
      </top>
      <bottom style="thin">
        <color rgb="FFDCDDDF"/>
      </bottom>
    </border>
    <border>
      <bottom style="thin">
        <color rgb="FFF1F2F3"/>
      </bottom>
    </border>
    <border>
      <left style="thin">
        <color rgb="FF000000"/>
      </left>
      <top style="thin">
        <color rgb="FF000000"/>
      </top>
    </border>
    <border>
      <right style="thin">
        <color rgb="FFDCDDDF"/>
      </right>
      <top style="thin">
        <color rgb="FFDCDDDF"/>
      </top>
      <bottom style="thin">
        <color rgb="FFF1F2F3"/>
      </bottom>
    </border>
    <border>
      <top style="thin">
        <color rgb="FFDCDDDF"/>
      </top>
      <bottom style="thin">
        <color rgb="FFF1F2F3"/>
      </bottom>
    </border>
    <border>
      <left style="medium">
        <color rgb="FF0000FF"/>
      </left>
      <top style="medium">
        <color rgb="FF0000FF"/>
      </top>
      <bottom style="medium">
        <color rgb="FF0000FF"/>
      </bottom>
    </border>
    <border>
      <top style="medium">
        <color rgb="FF0000FF"/>
      </top>
      <bottom style="medium">
        <color rgb="FF0000FF"/>
      </bottom>
    </border>
    <border>
      <right style="medium">
        <color rgb="FF0000FF"/>
      </right>
      <top style="medium">
        <color rgb="FF0000FF"/>
      </top>
      <bottom style="medium">
        <color rgb="FF0000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990000"/>
      </left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thick">
        <color rgb="FFFF3333"/>
      </left>
      <right style="thick">
        <color rgb="FFFF3333"/>
      </right>
      <bottom style="thick">
        <color rgb="FFFF3333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 vertical="bottom"/>
    </xf>
    <xf borderId="1" fillId="2" fontId="3" numFmtId="0" xfId="0" applyAlignment="1" applyBorder="1" applyFont="1">
      <alignment horizontal="left" readingOrder="0" vertical="bottom"/>
    </xf>
    <xf borderId="2" fillId="2" fontId="3" numFmtId="0" xfId="0" applyAlignment="1" applyBorder="1" applyFont="1">
      <alignment horizontal="left" readingOrder="0" vertical="bottom"/>
    </xf>
    <xf borderId="3" fillId="2" fontId="4" numFmtId="0" xfId="0" applyAlignment="1" applyBorder="1" applyFont="1">
      <alignment readingOrder="0" vertical="bottom"/>
    </xf>
    <xf borderId="1" fillId="2" fontId="4" numFmtId="0" xfId="0" applyAlignment="1" applyBorder="1" applyFont="1">
      <alignment readingOrder="0" vertical="bottom"/>
    </xf>
    <xf borderId="2" fillId="2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4" fillId="3" fontId="6" numFmtId="0" xfId="0" applyAlignment="1" applyBorder="1" applyFill="1" applyFont="1">
      <alignment readingOrder="0"/>
    </xf>
    <xf borderId="1" fillId="2" fontId="4" numFmtId="0" xfId="0" applyAlignment="1" applyBorder="1" applyFont="1">
      <alignment readingOrder="0" shrinkToFit="0" vertical="bottom" wrapText="1"/>
    </xf>
    <xf borderId="5" fillId="2" fontId="7" numFmtId="0" xfId="0" applyAlignment="1" applyBorder="1" applyFont="1">
      <alignment horizontal="center" readingOrder="0"/>
    </xf>
    <xf borderId="6" fillId="0" fontId="1" numFmtId="0" xfId="0" applyBorder="1" applyFont="1"/>
    <xf borderId="0" fillId="2" fontId="4" numFmtId="0" xfId="0" applyAlignment="1" applyFont="1">
      <alignment vertical="bottom"/>
    </xf>
    <xf borderId="7" fillId="0" fontId="1" numFmtId="0" xfId="0" applyBorder="1" applyFont="1"/>
    <xf borderId="0" fillId="0" fontId="1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5" fillId="5" fontId="7" numFmtId="0" xfId="0" applyAlignment="1" applyBorder="1" applyFill="1" applyFont="1">
      <alignment horizontal="center" readingOrder="0" shrinkToFit="0" wrapText="1"/>
    </xf>
    <xf borderId="8" fillId="4" fontId="1" numFmtId="164" xfId="0" applyAlignment="1" applyBorder="1" applyFont="1" applyNumberFormat="1">
      <alignment horizontal="center" readingOrder="0"/>
    </xf>
    <xf borderId="0" fillId="4" fontId="1" numFmtId="0" xfId="0" applyAlignment="1" applyFont="1">
      <alignment readingOrder="0"/>
    </xf>
    <xf borderId="0" fillId="4" fontId="3" numFmtId="3" xfId="0" applyAlignment="1" applyFont="1" applyNumberFormat="1">
      <alignment horizontal="center" readingOrder="0" vertical="bottom"/>
    </xf>
    <xf borderId="9" fillId="6" fontId="7" numFmtId="0" xfId="0" applyAlignment="1" applyBorder="1" applyFill="1" applyFont="1">
      <alignment horizontal="center" readingOrder="0" shrinkToFit="0" wrapText="1"/>
    </xf>
    <xf borderId="10" fillId="3" fontId="7" numFmtId="0" xfId="0" applyAlignment="1" applyBorder="1" applyFont="1">
      <alignment readingOrder="0"/>
    </xf>
    <xf borderId="3" fillId="2" fontId="7" numFmtId="0" xfId="0" applyAlignment="1" applyBorder="1" applyFont="1">
      <alignment readingOrder="0"/>
    </xf>
    <xf borderId="1" fillId="2" fontId="7" numFmtId="0" xfId="0" applyAlignment="1" applyBorder="1" applyFont="1">
      <alignment readingOrder="0"/>
    </xf>
    <xf borderId="9" fillId="4" fontId="3" numFmtId="0" xfId="0" applyAlignment="1" applyBorder="1" applyFont="1">
      <alignment readingOrder="0" vertical="bottom"/>
    </xf>
    <xf borderId="11" fillId="2" fontId="7" numFmtId="0" xfId="0" applyAlignment="1" applyBorder="1" applyFont="1">
      <alignment readingOrder="0"/>
    </xf>
    <xf borderId="8" fillId="4" fontId="8" numFmtId="0" xfId="0" applyAlignment="1" applyBorder="1" applyFont="1">
      <alignment readingOrder="0" vertical="bottom"/>
    </xf>
    <xf borderId="3" fillId="7" fontId="7" numFmtId="0" xfId="0" applyAlignment="1" applyBorder="1" applyFill="1" applyFont="1">
      <alignment readingOrder="0" shrinkToFit="0" wrapText="1"/>
    </xf>
    <xf borderId="12" fillId="4" fontId="8" numFmtId="0" xfId="0" applyAlignment="1" applyBorder="1" applyFont="1">
      <alignment readingOrder="0" vertical="bottom"/>
    </xf>
    <xf borderId="1" fillId="7" fontId="7" numFmtId="0" xfId="0" applyAlignment="1" applyBorder="1" applyFont="1">
      <alignment readingOrder="0" shrinkToFit="0" wrapText="1"/>
    </xf>
    <xf borderId="0" fillId="4" fontId="8" numFmtId="0" xfId="0" applyAlignment="1" applyFont="1">
      <alignment readingOrder="0" vertical="bottom"/>
    </xf>
    <xf borderId="9" fillId="4" fontId="8" numFmtId="0" xfId="0" applyAlignment="1" applyBorder="1" applyFont="1">
      <alignment readingOrder="0" vertical="bottom"/>
    </xf>
    <xf borderId="3" fillId="6" fontId="7" numFmtId="0" xfId="0" applyAlignment="1" applyBorder="1" applyFont="1">
      <alignment readingOrder="0" shrinkToFit="0" wrapText="1"/>
    </xf>
    <xf borderId="8" fillId="4" fontId="3" numFmtId="0" xfId="0" applyAlignment="1" applyBorder="1" applyFont="1">
      <alignment readingOrder="0" vertical="bottom"/>
    </xf>
    <xf borderId="1" fillId="6" fontId="7" numFmtId="0" xfId="0" applyAlignment="1" applyBorder="1" applyFont="1">
      <alignment readingOrder="0" shrinkToFit="0" wrapText="1"/>
    </xf>
    <xf borderId="0" fillId="4" fontId="3" numFmtId="0" xfId="0" applyAlignment="1" applyFont="1">
      <alignment readingOrder="0" vertical="bottom"/>
    </xf>
    <xf borderId="2" fillId="6" fontId="7" numFmtId="0" xfId="0" applyAlignment="1" applyBorder="1" applyFont="1">
      <alignment readingOrder="0" shrinkToFit="0" wrapText="1"/>
    </xf>
    <xf borderId="2" fillId="0" fontId="1" numFmtId="0" xfId="0" applyBorder="1" applyFont="1"/>
    <xf borderId="13" fillId="0" fontId="9" numFmtId="164" xfId="0" applyBorder="1" applyFont="1" applyNumberFormat="1"/>
    <xf borderId="14" fillId="0" fontId="9" numFmtId="1" xfId="0" applyAlignment="1" applyBorder="1" applyFont="1" applyNumberFormat="1">
      <alignment horizontal="center"/>
    </xf>
    <xf borderId="0" fillId="0" fontId="9" numFmtId="1" xfId="0" applyAlignment="1" applyFont="1" applyNumberFormat="1">
      <alignment horizontal="center"/>
    </xf>
    <xf borderId="15" fillId="0" fontId="9" numFmtId="1" xfId="0" applyAlignment="1" applyBorder="1" applyFont="1" applyNumberFormat="1">
      <alignment horizontal="center"/>
    </xf>
    <xf borderId="14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9" fillId="0" fontId="9" numFmtId="0" xfId="0" applyAlignment="1" applyBorder="1" applyFont="1">
      <alignment horizontal="center"/>
    </xf>
    <xf borderId="0" fillId="4" fontId="8" numFmtId="0" xfId="0" applyAlignment="1" applyFont="1">
      <alignment vertical="bottom"/>
    </xf>
    <xf borderId="0" fillId="4" fontId="10" numFmtId="0" xfId="0" applyAlignment="1" applyFont="1">
      <alignment horizontal="left" readingOrder="0" shrinkToFit="0" vertical="top" wrapText="0"/>
    </xf>
    <xf borderId="0" fillId="4" fontId="8" numFmtId="0" xfId="0" applyAlignment="1" applyFont="1">
      <alignment horizontal="center" vertical="bottom"/>
    </xf>
    <xf borderId="13" fillId="0" fontId="9" numFmtId="164" xfId="0" applyAlignment="1" applyBorder="1" applyFont="1" applyNumberFormat="1">
      <alignment readingOrder="0"/>
    </xf>
    <xf borderId="0" fillId="4" fontId="1" numFmtId="164" xfId="0" applyAlignment="1" applyFont="1" applyNumberFormat="1">
      <alignment horizontal="center" readingOrder="0"/>
    </xf>
    <xf borderId="0" fillId="4" fontId="1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14" fillId="4" fontId="8" numFmtId="0" xfId="0" applyAlignment="1" applyBorder="1" applyFont="1">
      <alignment readingOrder="0" vertical="bottom"/>
    </xf>
    <xf borderId="0" fillId="4" fontId="3" numFmtId="0" xfId="0" applyAlignment="1" applyFont="1">
      <alignment horizontal="left" readingOrder="0" vertical="bottom"/>
    </xf>
    <xf borderId="0" fillId="4" fontId="11" numFmtId="0" xfId="0" applyAlignment="1" applyFont="1">
      <alignment horizontal="left" readingOrder="0"/>
    </xf>
    <xf borderId="16" fillId="4" fontId="12" numFmtId="0" xfId="0" applyAlignment="1" applyBorder="1" applyFont="1">
      <alignment horizontal="left" shrinkToFit="0" wrapText="0"/>
    </xf>
    <xf borderId="9" fillId="0" fontId="9" numFmtId="1" xfId="0" applyAlignment="1" applyBorder="1" applyFont="1" applyNumberFormat="1">
      <alignment horizontal="center"/>
    </xf>
    <xf borderId="10" fillId="0" fontId="9" numFmtId="164" xfId="0" applyAlignment="1" applyBorder="1" applyFont="1" applyNumberFormat="1">
      <alignment readingOrder="0"/>
    </xf>
    <xf borderId="3" fillId="0" fontId="9" numFmtId="1" xfId="0" applyAlignment="1" applyBorder="1" applyFont="1" applyNumberFormat="1">
      <alignment horizontal="center"/>
    </xf>
    <xf borderId="1" fillId="0" fontId="9" numFmtId="1" xfId="0" applyAlignment="1" applyBorder="1" applyFont="1" applyNumberFormat="1">
      <alignment horizontal="center"/>
    </xf>
    <xf borderId="11" fillId="0" fontId="9" numFmtId="1" xfId="0" applyAlignment="1" applyBorder="1" applyFont="1" applyNumberFormat="1">
      <alignment horizontal="center"/>
    </xf>
    <xf borderId="3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2" fillId="0" fontId="9" numFmtId="1" xfId="0" applyAlignment="1" applyBorder="1" applyFont="1" applyNumberFormat="1">
      <alignment horizontal="center"/>
    </xf>
    <xf borderId="17" fillId="0" fontId="13" numFmtId="0" xfId="0" applyAlignment="1" applyBorder="1" applyFont="1">
      <alignment horizontal="left" readingOrder="0" shrinkToFit="0" wrapText="0"/>
    </xf>
    <xf borderId="9" fillId="0" fontId="9" numFmtId="0" xfId="0" applyAlignment="1" applyBorder="1" applyFont="1">
      <alignment readingOrder="0"/>
    </xf>
    <xf borderId="14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4" fillId="0" fontId="9" numFmtId="0" xfId="0" applyBorder="1" applyFont="1"/>
    <xf borderId="0" fillId="0" fontId="9" numFmtId="0" xfId="0" applyFont="1"/>
    <xf borderId="9" fillId="0" fontId="9" numFmtId="0" xfId="0" applyBorder="1" applyFont="1"/>
    <xf borderId="0" fillId="4" fontId="1" numFmtId="0" xfId="0" applyFont="1"/>
    <xf borderId="9" fillId="0" fontId="9" numFmtId="164" xfId="0" applyAlignment="1" applyBorder="1" applyFont="1" applyNumberFormat="1">
      <alignment readingOrder="0"/>
    </xf>
    <xf borderId="14" fillId="0" fontId="9" numFmtId="1" xfId="0" applyAlignment="1" applyBorder="1" applyFont="1" applyNumberFormat="1">
      <alignment readingOrder="0"/>
    </xf>
    <xf borderId="0" fillId="2" fontId="3" numFmtId="0" xfId="0" applyAlignment="1" applyFont="1">
      <alignment readingOrder="0" vertical="bottom"/>
    </xf>
    <xf borderId="0" fillId="2" fontId="3" numFmtId="164" xfId="0" applyAlignment="1" applyFont="1" applyNumberFormat="1">
      <alignment horizontal="left" readingOrder="0" vertical="bottom"/>
    </xf>
    <xf borderId="1" fillId="2" fontId="3" numFmtId="3" xfId="0" applyAlignment="1" applyBorder="1" applyFont="1" applyNumberFormat="1">
      <alignment horizontal="left" readingOrder="0" vertical="bottom"/>
    </xf>
    <xf borderId="3" fillId="2" fontId="8" numFmtId="0" xfId="0" applyAlignment="1" applyBorder="1" applyFont="1">
      <alignment vertical="bottom"/>
    </xf>
    <xf borderId="1" fillId="2" fontId="8" numFmtId="0" xfId="0" applyAlignment="1" applyBorder="1" applyFont="1">
      <alignment vertical="bottom"/>
    </xf>
    <xf borderId="2" fillId="2" fontId="8" numFmtId="0" xfId="0" applyAlignment="1" applyBorder="1" applyFont="1">
      <alignment vertical="bottom"/>
    </xf>
    <xf borderId="0" fillId="2" fontId="8" numFmtId="0" xfId="0" applyAlignment="1" applyFont="1">
      <alignment vertical="bottom"/>
    </xf>
    <xf borderId="8" fillId="4" fontId="3" numFmtId="0" xfId="0" applyAlignment="1" applyBorder="1" applyFont="1">
      <alignment horizontal="left" readingOrder="0" vertical="bottom"/>
    </xf>
    <xf borderId="14" fillId="0" fontId="8" numFmtId="0" xfId="0" applyAlignment="1" applyBorder="1" applyFont="1">
      <alignment readingOrder="0" vertical="bottom"/>
    </xf>
    <xf borderId="9" fillId="0" fontId="1" numFmtId="0" xfId="0" applyBorder="1" applyFont="1"/>
    <xf borderId="18" fillId="0" fontId="12" numFmtId="0" xfId="0" applyAlignment="1" applyBorder="1" applyFont="1">
      <alignment horizontal="right" readingOrder="0" shrinkToFit="0" wrapText="0"/>
    </xf>
    <xf borderId="18" fillId="0" fontId="1" numFmtId="0" xfId="0" applyBorder="1" applyFont="1"/>
    <xf borderId="18" fillId="0" fontId="14" numFmtId="0" xfId="0" applyAlignment="1" applyBorder="1" applyFont="1">
      <alignment readingOrder="0" shrinkToFit="0" wrapText="0"/>
    </xf>
    <xf borderId="19" fillId="0" fontId="15" numFmtId="0" xfId="0" applyAlignment="1" applyBorder="1" applyFont="1">
      <alignment horizontal="right" readingOrder="0" shrinkToFit="0" wrapText="0"/>
    </xf>
    <xf borderId="19" fillId="8" fontId="15" numFmtId="0" xfId="0" applyAlignment="1" applyBorder="1" applyFill="1" applyFont="1">
      <alignment horizontal="right" readingOrder="0" shrinkToFit="0" wrapText="0"/>
    </xf>
    <xf borderId="1" fillId="2" fontId="8" numFmtId="165" xfId="0" applyAlignment="1" applyBorder="1" applyFont="1" applyNumberFormat="1">
      <alignment vertical="bottom"/>
    </xf>
    <xf borderId="0" fillId="9" fontId="16" numFmtId="0" xfId="0" applyAlignment="1" applyFill="1" applyFont="1">
      <alignment readingOrder="0" vertical="bottom"/>
    </xf>
    <xf borderId="0" fillId="4" fontId="11" numFmtId="0" xfId="0" applyAlignment="1" applyFont="1">
      <alignment horizontal="left" readingOrder="0" vertical="top"/>
    </xf>
    <xf borderId="0" fillId="9" fontId="2" numFmtId="0" xfId="0" applyAlignment="1" applyFont="1">
      <alignment horizontal="left" readingOrder="0"/>
    </xf>
    <xf borderId="0" fillId="9" fontId="16" numFmtId="0" xfId="0" applyAlignment="1" applyFont="1">
      <alignment vertical="bottom"/>
    </xf>
    <xf borderId="0" fillId="4" fontId="17" numFmtId="0" xfId="0" applyAlignment="1" applyFont="1">
      <alignment readingOrder="0" vertical="bottom"/>
    </xf>
    <xf borderId="0" fillId="4" fontId="1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8" fillId="0" fontId="1" numFmtId="0" xfId="0" applyAlignment="1" applyBorder="1" applyFont="1">
      <alignment readingOrder="0"/>
    </xf>
    <xf borderId="8" fillId="4" fontId="1" numFmtId="0" xfId="0" applyAlignment="1" applyBorder="1" applyFont="1">
      <alignment horizontal="center" readingOrder="0"/>
    </xf>
    <xf borderId="8" fillId="0" fontId="3" numFmtId="164" xfId="0" applyAlignment="1" applyBorder="1" applyFont="1" applyNumberFormat="1">
      <alignment horizontal="left" readingOrder="0" vertical="bottom"/>
    </xf>
    <xf borderId="8" fillId="4" fontId="3" numFmtId="0" xfId="0" applyAlignment="1" applyBorder="1" applyFont="1">
      <alignment vertical="bottom"/>
    </xf>
    <xf borderId="8" fillId="2" fontId="3" numFmtId="0" xfId="0" applyAlignment="1" applyBorder="1" applyFont="1">
      <alignment readingOrder="0" vertical="bottom"/>
    </xf>
    <xf borderId="0" fillId="0" fontId="1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18" numFmtId="0" xfId="0" applyAlignment="1" applyFont="1">
      <alignment horizontal="right" vertical="bottom"/>
    </xf>
    <xf borderId="9" fillId="0" fontId="18" numFmtId="3" xfId="0" applyAlignment="1" applyBorder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4" fontId="19" numFmtId="0" xfId="0" applyAlignment="1" applyFon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1" numFmtId="0" xfId="0" applyFont="1"/>
    <xf borderId="9" fillId="0" fontId="18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horizontal="left" readingOrder="0" vertical="bottom"/>
    </xf>
    <xf borderId="0" fillId="4" fontId="3" numFmtId="0" xfId="0" applyAlignment="1" applyFont="1">
      <alignment vertical="bottom"/>
    </xf>
    <xf borderId="0" fillId="2" fontId="3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19" fillId="8" fontId="15" numFmtId="166" xfId="0" applyAlignment="1" applyBorder="1" applyFont="1" applyNumberFormat="1">
      <alignment horizontal="right" readingOrder="0" shrinkToFit="0" wrapText="0"/>
    </xf>
    <xf borderId="9" fillId="0" fontId="9" numFmtId="0" xfId="0" applyAlignment="1" applyBorder="1" applyFont="1">
      <alignment readingOrder="0"/>
    </xf>
    <xf borderId="1" fillId="10" fontId="1" numFmtId="0" xfId="0" applyAlignment="1" applyBorder="1" applyFill="1" applyFont="1">
      <alignment horizontal="center" readingOrder="0"/>
    </xf>
    <xf borderId="2" fillId="10" fontId="1" numFmtId="0" xfId="0" applyAlignment="1" applyBorder="1" applyFont="1">
      <alignment horizontal="center" readingOrder="0"/>
    </xf>
    <xf borderId="1" fillId="10" fontId="1" numFmtId="164" xfId="0" applyAlignment="1" applyBorder="1" applyFont="1" applyNumberFormat="1">
      <alignment horizontal="center" readingOrder="0"/>
    </xf>
    <xf borderId="20" fillId="11" fontId="16" numFmtId="164" xfId="0" applyAlignment="1" applyBorder="1" applyFill="1" applyFont="1" applyNumberFormat="1">
      <alignment horizontal="center" readingOrder="0" vertical="bottom"/>
    </xf>
    <xf borderId="12" fillId="0" fontId="1" numFmtId="0" xfId="0" applyBorder="1" applyFont="1"/>
    <xf borderId="20" fillId="11" fontId="16" numFmtId="0" xfId="0" applyAlignment="1" applyBorder="1" applyFont="1">
      <alignment horizontal="center" readingOrder="0" vertical="bottom"/>
    </xf>
    <xf borderId="14" fillId="9" fontId="16" numFmtId="0" xfId="0" applyAlignment="1" applyBorder="1" applyFont="1">
      <alignment horizontal="center" readingOrder="0" vertical="bottom"/>
    </xf>
    <xf borderId="9" fillId="9" fontId="16" numFmtId="0" xfId="0" applyAlignment="1" applyBorder="1" applyFont="1">
      <alignment horizontal="center" readingOrder="0" vertical="bottom"/>
    </xf>
    <xf borderId="2" fillId="9" fontId="16" numFmtId="0" xfId="0" applyAlignment="1" applyBorder="1" applyFont="1">
      <alignment horizontal="center" readingOrder="0" vertical="bottom"/>
    </xf>
    <xf borderId="3" fillId="9" fontId="16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left" readingOrder="0" vertical="bottom"/>
    </xf>
    <xf borderId="12" fillId="0" fontId="3" numFmtId="0" xfId="0" applyAlignment="1" applyBorder="1" applyFont="1">
      <alignment horizontal="left" readingOrder="0" vertical="bottom"/>
    </xf>
    <xf borderId="14" fillId="0" fontId="3" numFmtId="0" xfId="0" applyAlignment="1" applyBorder="1" applyFont="1">
      <alignment horizontal="left" readingOrder="0" vertical="bottom"/>
    </xf>
    <xf borderId="9" fillId="0" fontId="3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19" fillId="0" fontId="15" numFmtId="166" xfId="0" applyAlignment="1" applyBorder="1" applyFont="1" applyNumberFormat="1">
      <alignment horizontal="right" readingOrder="0" shrinkToFit="0" wrapText="0"/>
    </xf>
    <xf borderId="16" fillId="0" fontId="12" numFmtId="0" xfId="0" applyAlignment="1" applyBorder="1" applyFont="1">
      <alignment horizontal="left" shrinkToFit="0" wrapText="0"/>
    </xf>
    <xf borderId="21" fillId="0" fontId="20" numFmtId="0" xfId="0" applyAlignment="1" applyBorder="1" applyFont="1">
      <alignment horizontal="left" readingOrder="0" shrinkToFit="0" wrapText="0"/>
    </xf>
    <xf borderId="22" fillId="0" fontId="20" numFmtId="0" xfId="0" applyAlignment="1" applyBorder="1" applyFont="1">
      <alignment readingOrder="0" shrinkToFit="0" wrapText="0"/>
    </xf>
    <xf borderId="0" fillId="4" fontId="21" numFmtId="0" xfId="0" applyAlignment="1" applyFont="1">
      <alignment horizontal="left" readingOrder="0" vertical="top"/>
    </xf>
    <xf borderId="1" fillId="12" fontId="2" numFmtId="0" xfId="0" applyBorder="1" applyFill="1" applyFont="1"/>
    <xf borderId="0" fillId="12" fontId="2" numFmtId="0" xfId="0" applyFont="1"/>
    <xf borderId="0" fillId="11" fontId="16" numFmtId="0" xfId="0" applyAlignment="1" applyFont="1">
      <alignment horizontal="center" readingOrder="0" vertical="bottom"/>
    </xf>
    <xf borderId="0" fillId="9" fontId="16" numFmtId="0" xfId="0" applyAlignment="1" applyFont="1">
      <alignment horizontal="center" readingOrder="0" vertical="bottom"/>
    </xf>
    <xf borderId="20" fillId="0" fontId="1" numFmtId="0" xfId="0" applyBorder="1" applyFont="1"/>
    <xf borderId="12" fillId="0" fontId="3" numFmtId="0" xfId="0" applyAlignment="1" applyBorder="1" applyFont="1">
      <alignment horizontal="left" readingOrder="0" vertical="bottom"/>
    </xf>
    <xf borderId="20" fillId="0" fontId="1" numFmtId="0" xfId="0" applyBorder="1" applyFont="1"/>
    <xf borderId="14" fillId="0" fontId="1" numFmtId="0" xfId="0" applyBorder="1" applyFont="1"/>
    <xf borderId="9" fillId="0" fontId="3" numFmtId="0" xfId="0" applyAlignment="1" applyBorder="1" applyFont="1">
      <alignment horizontal="left" readingOrder="0" vertical="bottom"/>
    </xf>
    <xf borderId="14" fillId="0" fontId="1" numFmtId="0" xfId="0" applyBorder="1" applyFont="1"/>
    <xf borderId="0" fillId="0" fontId="1" numFmtId="167" xfId="0" applyAlignment="1" applyFont="1" applyNumberFormat="1">
      <alignment readingOrder="0" shrinkToFit="0" wrapText="1"/>
    </xf>
    <xf borderId="0" fillId="0" fontId="1" numFmtId="14" xfId="0" applyAlignment="1" applyFont="1" applyNumberFormat="1">
      <alignment readingOrder="0" shrinkToFit="0" wrapText="1"/>
    </xf>
    <xf borderId="0" fillId="12" fontId="16" numFmtId="0" xfId="0" applyAlignment="1" applyFont="1">
      <alignment readingOrder="0"/>
    </xf>
    <xf borderId="0" fillId="0" fontId="1" numFmtId="3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13" fillId="12" fontId="16" numFmtId="0" xfId="0" applyAlignment="1" applyBorder="1" applyFont="1">
      <alignment readingOrder="0"/>
    </xf>
    <xf borderId="1" fillId="12" fontId="16" numFmtId="164" xfId="0" applyAlignment="1" applyBorder="1" applyFont="1" applyNumberFormat="1">
      <alignment readingOrder="0"/>
    </xf>
    <xf borderId="0" fillId="4" fontId="3" numFmtId="0" xfId="0" applyFont="1"/>
    <xf borderId="1" fillId="12" fontId="16" numFmtId="0" xfId="0" applyAlignment="1" applyBorder="1" applyFont="1">
      <alignment readingOrder="0"/>
    </xf>
    <xf borderId="0" fillId="0" fontId="3" numFmtId="0" xfId="0" applyFont="1"/>
    <xf borderId="13" fillId="0" fontId="3" numFmtId="0" xfId="0" applyBorder="1" applyFont="1"/>
    <xf borderId="0" fillId="0" fontId="3" numFmtId="164" xfId="0" applyFont="1" applyNumberFormat="1"/>
    <xf borderId="13" fillId="4" fontId="3" numFmtId="0" xfId="0" applyBorder="1" applyFont="1"/>
    <xf borderId="0" fillId="4" fontId="3" numFmtId="164" xfId="0" applyFont="1" applyNumberFormat="1"/>
    <xf borderId="3" fillId="0" fontId="1" numFmtId="0" xfId="0" applyBorder="1" applyFont="1"/>
    <xf borderId="2" fillId="0" fontId="3" numFmtId="0" xfId="0" applyAlignment="1" applyBorder="1" applyFont="1">
      <alignment horizontal="left" readingOrder="0" vertical="bottom"/>
    </xf>
    <xf borderId="1" fillId="0" fontId="1" numFmtId="0" xfId="0" applyBorder="1" applyFont="1"/>
    <xf borderId="3" fillId="0" fontId="1" numFmtId="0" xfId="0" applyBorder="1" applyFont="1"/>
    <xf borderId="0" fillId="4" fontId="19" numFmtId="0" xfId="0" applyFont="1"/>
    <xf borderId="0" fillId="4" fontId="3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3" fillId="4" fontId="16" numFmtId="0" xfId="0" applyBorder="1" applyFont="1"/>
    <xf borderId="0" fillId="4" fontId="16" numFmtId="0" xfId="0" applyFont="1"/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2" numFmtId="0" xfId="0" applyAlignment="1" applyFont="1">
      <alignment readingOrder="0"/>
    </xf>
    <xf borderId="13" fillId="0" fontId="22" numFmtId="0" xfId="0" applyAlignment="1" applyBorder="1" applyFont="1">
      <alignment readingOrder="0"/>
    </xf>
    <xf borderId="0" fillId="0" fontId="23" numFmtId="0" xfId="0" applyAlignment="1" applyFont="1">
      <alignment readingOrder="0"/>
    </xf>
    <xf borderId="14" fillId="0" fontId="22" numFmtId="0" xfId="0" applyAlignment="1" applyBorder="1" applyFont="1">
      <alignment readingOrder="0"/>
    </xf>
    <xf borderId="0" fillId="0" fontId="22" numFmtId="0" xfId="0" applyFont="1"/>
    <xf borderId="13" fillId="0" fontId="22" numFmtId="0" xfId="0" applyBorder="1" applyFont="1"/>
    <xf borderId="14" fillId="0" fontId="22" numFmtId="0" xfId="0" applyBorder="1" applyFont="1"/>
    <xf borderId="0" fillId="0" fontId="23" numFmtId="0" xfId="0" applyFont="1"/>
    <xf borderId="13" fillId="0" fontId="23" numFmtId="0" xfId="0" applyBorder="1" applyFont="1"/>
    <xf borderId="14" fillId="0" fontId="23" numFmtId="0" xfId="0" applyAlignment="1" applyBorder="1" applyFont="1">
      <alignment readingOrder="0"/>
    </xf>
    <xf borderId="14" fillId="0" fontId="23" numFmtId="0" xfId="0" applyBorder="1" applyFont="1"/>
    <xf borderId="0" fillId="4" fontId="1" numFmtId="0" xfId="0" applyAlignment="1" applyFont="1">
      <alignment horizontal="center" readingOrder="0"/>
    </xf>
    <xf borderId="0" fillId="4" fontId="1" numFmtId="169" xfId="0" applyAlignment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13" fontId="1" numFmtId="0" xfId="0" applyAlignment="1" applyFill="1" applyFont="1">
      <alignment horizontal="center" readingOrder="0"/>
    </xf>
    <xf borderId="23" fillId="13" fontId="24" numFmtId="0" xfId="0" applyAlignment="1" applyBorder="1" applyFont="1">
      <alignment horizontal="center" readingOrder="0"/>
    </xf>
    <xf borderId="24" fillId="13" fontId="24" numFmtId="0" xfId="0" applyAlignment="1" applyBorder="1" applyFont="1">
      <alignment horizontal="center" readingOrder="0"/>
    </xf>
    <xf borderId="25" fillId="13" fontId="24" numFmtId="0" xfId="0" applyAlignment="1" applyBorder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23" fillId="14" fontId="24" numFmtId="0" xfId="0" applyAlignment="1" applyBorder="1" applyFont="1">
      <alignment horizontal="center" readingOrder="0"/>
    </xf>
    <xf borderId="24" fillId="14" fontId="24" numFmtId="0" xfId="0" applyAlignment="1" applyBorder="1" applyFont="1">
      <alignment horizontal="center" readingOrder="0"/>
    </xf>
    <xf borderId="25" fillId="14" fontId="24" numFmtId="0" xfId="0" applyAlignment="1" applyBorder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13" fontId="25" numFmtId="0" xfId="0" applyAlignment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28" fillId="0" fontId="1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30" fillId="0" fontId="1" numFmtId="0" xfId="0" applyAlignment="1" applyBorder="1" applyFont="1">
      <alignment horizontal="center" readingOrder="0"/>
    </xf>
    <xf borderId="0" fillId="0" fontId="1" numFmtId="169" xfId="0" applyAlignment="1" applyFont="1" applyNumberFormat="1">
      <alignment readingOrder="0"/>
    </xf>
    <xf borderId="0" fillId="0" fontId="3" numFmtId="0" xfId="0" applyAlignment="1" applyFont="1">
      <alignment horizontal="left" readingOrder="0" vertical="bottom"/>
    </xf>
    <xf borderId="2" fillId="0" fontId="3" numFmtId="0" xfId="0" applyAlignment="1" applyBorder="1" applyFont="1">
      <alignment horizontal="left" readingOrder="0" vertical="bottom"/>
    </xf>
    <xf borderId="3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vertical="bottom"/>
    </xf>
    <xf borderId="3" fillId="0" fontId="3" numFmtId="0" xfId="0" applyAlignment="1" applyBorder="1" applyFont="1">
      <alignment horizontal="left" readingOrder="0" shrinkToFit="0" vertical="bottom" wrapText="1"/>
    </xf>
    <xf borderId="1" fillId="0" fontId="3" numFmtId="0" xfId="0" applyAlignment="1" applyBorder="1" applyFont="1">
      <alignment horizontal="left" readingOrder="0" shrinkToFit="0" vertical="bottom" wrapText="1"/>
    </xf>
    <xf borderId="2" fillId="0" fontId="3" numFmtId="0" xfId="0" applyAlignment="1" applyBorder="1" applyFont="1">
      <alignment horizontal="left" readingOrder="0" shrinkToFit="0" vertical="bottom" wrapText="1"/>
    </xf>
    <xf borderId="0" fillId="0" fontId="3" numFmtId="14" xfId="0" applyAlignment="1" applyFont="1" applyNumberFormat="1">
      <alignment horizontal="left" readingOrder="0" vertical="bottom"/>
    </xf>
    <xf borderId="0" fillId="0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2" xfId="0" applyAlignment="1" applyFont="1" applyNumberFormat="1">
      <alignment readingOrder="0" vertical="bottom"/>
    </xf>
    <xf borderId="0" fillId="0" fontId="1" numFmtId="2" xfId="0" applyFont="1" applyNumberFormat="1"/>
    <xf borderId="0" fillId="0" fontId="1" numFmtId="0" xfId="0" applyAlignment="1" applyFont="1">
      <alignment readingOrder="0" shrinkToFit="0" wrapText="0"/>
    </xf>
    <xf borderId="0" fillId="0" fontId="8" numFmtId="166" xfId="0" applyAlignment="1" applyFont="1" applyNumberFormat="1">
      <alignment readingOrder="0" vertical="bottom"/>
    </xf>
    <xf borderId="0" fillId="0" fontId="1" numFmtId="170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0" fontId="8" numFmtId="166" xfId="0" applyAlignment="1" applyFont="1" applyNumberFormat="1">
      <alignment horizontal="right" readingOrder="0" vertical="bottom"/>
    </xf>
    <xf borderId="0" fillId="4" fontId="3" numFmtId="165" xfId="0" applyAlignment="1" applyFont="1" applyNumberFormat="1">
      <alignment readingOrder="0" vertical="bottom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4" xfId="0" applyFont="1" applyNumberFormat="1"/>
    <xf borderId="0" fillId="0" fontId="1" numFmtId="171" xfId="0" applyFont="1" applyNumberFormat="1"/>
    <xf borderId="0" fillId="0" fontId="1" numFmtId="172" xfId="0" applyFont="1" applyNumberFormat="1"/>
    <xf borderId="0" fillId="0" fontId="27" numFmtId="0" xfId="0" applyAlignment="1" applyFont="1">
      <alignment readingOrder="0"/>
    </xf>
    <xf borderId="0" fillId="0" fontId="18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18" fontId="3" numFmtId="0" xfId="0" applyAlignment="1" applyFill="1" applyFont="1">
      <alignment readingOrder="0" vertical="bottom"/>
    </xf>
    <xf borderId="0" fillId="0" fontId="28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0" fillId="18" fontId="3" numFmtId="0" xfId="0" applyAlignment="1" applyFont="1">
      <alignment horizontal="left" readingOrder="0" vertical="bottom"/>
    </xf>
    <xf borderId="0" fillId="0" fontId="28" numFmtId="0" xfId="0" applyAlignment="1" applyFont="1">
      <alignment readingOrder="0" vertical="bottom"/>
    </xf>
    <xf borderId="0" fillId="18" fontId="3" numFmtId="0" xfId="0" applyAlignment="1" applyFont="1">
      <alignment vertical="bottom"/>
    </xf>
    <xf borderId="1" fillId="0" fontId="3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horizontal="center" readingOrder="0" shrinkToFit="0" wrapText="1"/>
    </xf>
    <xf borderId="0" fillId="0" fontId="29" numFmtId="164" xfId="0" applyAlignment="1" applyFont="1" applyNumberFormat="1">
      <alignment horizontal="left" readingOrder="0"/>
    </xf>
    <xf borderId="0" fillId="0" fontId="30" numFmtId="164" xfId="0" applyAlignment="1" applyFont="1" applyNumberFormat="1">
      <alignment horizontal="center"/>
    </xf>
    <xf borderId="0" fillId="4" fontId="31" numFmtId="164" xfId="0" applyFont="1" applyNumberFormat="1"/>
    <xf borderId="0" fillId="0" fontId="1" numFmtId="14" xfId="0" applyAlignment="1" applyFont="1" applyNumberFormat="1">
      <alignment readingOrder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strike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3">
    <tableStyle count="2" pivot="0" name="Standings-style">
      <tableStyleElement dxfId="1" type="firstRowStripe"/>
      <tableStyleElement dxfId="2" type="secondRowStripe"/>
    </tableStyle>
    <tableStyle count="3" pivot="0" name="Conf WC Eligibility-style">
      <tableStyleElement dxfId="8" type="headerRow"/>
      <tableStyleElement dxfId="1" type="firstRowStripe"/>
      <tableStyleElement dxfId="9" type="secondRowStripe"/>
    </tableStyle>
    <tableStyle count="3" pivot="0" name="Active Games-style">
      <tableStyleElement dxfId="11" type="headerRow"/>
      <tableStyleElement dxfId="1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60" Type="http://schemas.openxmlformats.org/officeDocument/2006/relationships/worksheet" Target="worksheets/sheet57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M15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tandings-style" showColumnStripes="0" showFirstColumn="1" showLastColumn="1" showRowStripes="1"/>
</table>
</file>

<file path=xl/tables/table2.xml><?xml version="1.0" encoding="utf-8"?>
<table xmlns="http://schemas.openxmlformats.org/spreadsheetml/2006/main" ref="A1:E511" displayName="Table_2" name="Table_2" id="2">
  <tableColumns count="5">
    <tableColumn name="Conference" id="1"/>
    <tableColumn name="WC available" id="2"/>
    <tableColumn name="Teams in Conference" id="3"/>
    <tableColumn name="Players picked Conference" id="4"/>
    <tableColumn name="WC picked from conference" id="5"/>
  </tableColumns>
  <tableStyleInfo name="Conf WC Eligibility-style" showColumnStripes="0" showFirstColumn="1" showLastColumn="1" showRowStripes="1"/>
</table>
</file>

<file path=xl/tables/table3.xml><?xml version="1.0" encoding="utf-8"?>
<table xmlns="http://schemas.openxmlformats.org/spreadsheetml/2006/main" headerRowCount="0" ref="A1:S586" displayName="Table_3" name="Table_3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Active Gam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spn.com/college-football/team/_/id/2116/ucf-knights" TargetMode="External"/><Relationship Id="rId42" Type="http://schemas.openxmlformats.org/officeDocument/2006/relationships/hyperlink" Target="https://www.espn.com/college-football/team/_/id/277/west-virginia-mountaineers" TargetMode="External"/><Relationship Id="rId41" Type="http://schemas.openxmlformats.org/officeDocument/2006/relationships/hyperlink" Target="https://www.espn.com/college-football/team/_/id/254/utah-utes" TargetMode="External"/><Relationship Id="rId44" Type="http://schemas.openxmlformats.org/officeDocument/2006/relationships/hyperlink" Target="https://www.espn.com/college-football/team/_/id/239/baylor-bears" TargetMode="External"/><Relationship Id="rId43" Type="http://schemas.openxmlformats.org/officeDocument/2006/relationships/hyperlink" Target="https://www.espn.com/college-football/team/_/id/2628/tcu-horned-frogs" TargetMode="External"/><Relationship Id="rId46" Type="http://schemas.openxmlformats.org/officeDocument/2006/relationships/hyperlink" Target="https://www.espn.com/college-football/team/_/id/38/colorado-buffaloes" TargetMode="External"/><Relationship Id="rId45" Type="http://schemas.openxmlformats.org/officeDocument/2006/relationships/hyperlink" Target="https://www.espn.com/college-football/team/_/id/2132/cincinnati-bearcats" TargetMode="External"/><Relationship Id="rId107" Type="http://schemas.openxmlformats.org/officeDocument/2006/relationships/hyperlink" Target="https://www.espn.com/college-football/team/_/id/8/arkansas-razorbacks" TargetMode="External"/><Relationship Id="rId106" Type="http://schemas.openxmlformats.org/officeDocument/2006/relationships/hyperlink" Target="https://www.espn.com/college-football/team/_/id/204/oregon-state-beavers" TargetMode="External"/><Relationship Id="rId105" Type="http://schemas.openxmlformats.org/officeDocument/2006/relationships/hyperlink" Target="https://www.espn.com/college-football/team/_/id/265/washington-state-cougars" TargetMode="External"/><Relationship Id="rId104" Type="http://schemas.openxmlformats.org/officeDocument/2006/relationships/hyperlink" Target="https://www.espn.com/college-football/team/_/id/23/san-jose-state-spartans" TargetMode="External"/><Relationship Id="rId109" Type="http://schemas.openxmlformats.org/officeDocument/2006/relationships/hyperlink" Target="https://www.espn.com/college-football/team/_/id/57/florida-gators" TargetMode="External"/><Relationship Id="rId108" Type="http://schemas.openxmlformats.org/officeDocument/2006/relationships/hyperlink" Target="https://www.espn.com/college-football/team/_/id/2/auburn-tigers" TargetMode="External"/><Relationship Id="rId48" Type="http://schemas.openxmlformats.org/officeDocument/2006/relationships/hyperlink" Target="https://www.espn.com/college-football/team/_/id/356/illinois-fighting-illini" TargetMode="External"/><Relationship Id="rId47" Type="http://schemas.openxmlformats.org/officeDocument/2006/relationships/hyperlink" Target="https://www.espn.com/college-football/team/_/id/2306/kansas-state-wildcats" TargetMode="External"/><Relationship Id="rId49" Type="http://schemas.openxmlformats.org/officeDocument/2006/relationships/hyperlink" Target="https://www.espn.com/college-football/team/_/id/84/indiana-hoosiers" TargetMode="External"/><Relationship Id="rId103" Type="http://schemas.openxmlformats.org/officeDocument/2006/relationships/hyperlink" Target="https://www.espn.com/college-football/team/_/id/167/new-mexico-lobos" TargetMode="External"/><Relationship Id="rId102" Type="http://schemas.openxmlformats.org/officeDocument/2006/relationships/hyperlink" Target="https://www.espn.com/college-football/team/_/id/2440/nevada-wolf-pack" TargetMode="External"/><Relationship Id="rId101" Type="http://schemas.openxmlformats.org/officeDocument/2006/relationships/hyperlink" Target="https://www.espn.com/college-football/team/_/id/36/colorado-state-rams" TargetMode="External"/><Relationship Id="rId100" Type="http://schemas.openxmlformats.org/officeDocument/2006/relationships/hyperlink" Target="https://www.espn.com/college-football/team/_/id/68/boise-state-broncos" TargetMode="External"/><Relationship Id="rId31" Type="http://schemas.openxmlformats.org/officeDocument/2006/relationships/hyperlink" Target="https://www.espn.com/college-football/team/_/id/183/syracuse-orange" TargetMode="External"/><Relationship Id="rId30" Type="http://schemas.openxmlformats.org/officeDocument/2006/relationships/hyperlink" Target="https://www.espn.com/college-football/team/_/id/24/stanford-cardinal" TargetMode="External"/><Relationship Id="rId33" Type="http://schemas.openxmlformats.org/officeDocument/2006/relationships/hyperlink" Target="https://www.espn.com/college-football/team/_/id/2305/kansas-jayhawks" TargetMode="External"/><Relationship Id="rId32" Type="http://schemas.openxmlformats.org/officeDocument/2006/relationships/hyperlink" Target="https://www.espn.com/college-football/team/_/id/66/iowa-state-cyclones" TargetMode="External"/><Relationship Id="rId35" Type="http://schemas.openxmlformats.org/officeDocument/2006/relationships/hyperlink" Target="https://www.espn.com/college-football/team/_/id/9/arizona-state-sun-devils" TargetMode="External"/><Relationship Id="rId34" Type="http://schemas.openxmlformats.org/officeDocument/2006/relationships/hyperlink" Target="https://www.espn.com/college-football/team/_/id/12/arizona-wildcats" TargetMode="External"/><Relationship Id="rId37" Type="http://schemas.openxmlformats.org/officeDocument/2006/relationships/hyperlink" Target="https://www.espn.com/college-football/team/_/id/248/houston-cougars" TargetMode="External"/><Relationship Id="rId36" Type="http://schemas.openxmlformats.org/officeDocument/2006/relationships/hyperlink" Target="https://www.espn.com/college-football/team/_/id/252/byu-cougars" TargetMode="External"/><Relationship Id="rId39" Type="http://schemas.openxmlformats.org/officeDocument/2006/relationships/hyperlink" Target="https://www.espn.com/college-football/team/_/id/2641/texas-tech-red-raiders" TargetMode="External"/><Relationship Id="rId38" Type="http://schemas.openxmlformats.org/officeDocument/2006/relationships/hyperlink" Target="https://www.espn.com/college-football/team/_/id/197/oklahoma-state-cowboys" TargetMode="External"/><Relationship Id="rId20" Type="http://schemas.openxmlformats.org/officeDocument/2006/relationships/hyperlink" Target="https://www.espn.com/college-football/team/_/id/97/louisville-cardinals" TargetMode="External"/><Relationship Id="rId22" Type="http://schemas.openxmlformats.org/officeDocument/2006/relationships/hyperlink" Target="https://www.espn.com/college-football/team/_/id/221/pittsburgh-panthers" TargetMode="External"/><Relationship Id="rId21" Type="http://schemas.openxmlformats.org/officeDocument/2006/relationships/hyperlink" Target="https://www.espn.com/college-football/team/_/id/152/nc-state-wolfpack" TargetMode="External"/><Relationship Id="rId24" Type="http://schemas.openxmlformats.org/officeDocument/2006/relationships/hyperlink" Target="https://www.espn.com/college-football/team/_/id/258/virginia-cavaliers" TargetMode="External"/><Relationship Id="rId23" Type="http://schemas.openxmlformats.org/officeDocument/2006/relationships/hyperlink" Target="https://www.espn.com/college-football/team/_/id/2567/smu-mustangs" TargetMode="External"/><Relationship Id="rId129" Type="http://schemas.openxmlformats.org/officeDocument/2006/relationships/hyperlink" Target="https://www.espn.com/college-football/team/_/id/295/old-dominion-monarchs" TargetMode="External"/><Relationship Id="rId128" Type="http://schemas.openxmlformats.org/officeDocument/2006/relationships/hyperlink" Target="https://www.espn.com/college-football/team/_/id/276/marshall-thundering-herd" TargetMode="External"/><Relationship Id="rId127" Type="http://schemas.openxmlformats.org/officeDocument/2006/relationships/hyperlink" Target="https://www.espn.com/college-football/team/_/id/2247/georgia-state-panthers" TargetMode="External"/><Relationship Id="rId126" Type="http://schemas.openxmlformats.org/officeDocument/2006/relationships/hyperlink" Target="https://www.espn.com/college-football/team/_/id/290/georgia-southern-eagles" TargetMode="External"/><Relationship Id="rId26" Type="http://schemas.openxmlformats.org/officeDocument/2006/relationships/hyperlink" Target="https://www.espn.com/college-football/team/_/id/2390/miami-hurricanes" TargetMode="External"/><Relationship Id="rId121" Type="http://schemas.openxmlformats.org/officeDocument/2006/relationships/hyperlink" Target="https://www.espn.com/college-football/team/_/id/333/alabama-crimson-tide" TargetMode="External"/><Relationship Id="rId25" Type="http://schemas.openxmlformats.org/officeDocument/2006/relationships/hyperlink" Target="https://www.espn.com/college-football/team/_/id/154/wake-forest-demon-deacons" TargetMode="External"/><Relationship Id="rId120" Type="http://schemas.openxmlformats.org/officeDocument/2006/relationships/hyperlink" Target="https://www.espn.com/college-football/team/_/id/2579/south-carolina-gamecocks" TargetMode="External"/><Relationship Id="rId28" Type="http://schemas.openxmlformats.org/officeDocument/2006/relationships/hyperlink" Target="https://www.espn.com/college-football/team/_/id/259/virginia-tech-hokies" TargetMode="External"/><Relationship Id="rId27" Type="http://schemas.openxmlformats.org/officeDocument/2006/relationships/hyperlink" Target="https://www.espn.com/college-football/team/_/id/153/north-carolina-tar-heels" TargetMode="External"/><Relationship Id="rId125" Type="http://schemas.openxmlformats.org/officeDocument/2006/relationships/hyperlink" Target="https://www.espn.com/college-football/team/_/id/324/coastal-carolina-chanticleers" TargetMode="External"/><Relationship Id="rId29" Type="http://schemas.openxmlformats.org/officeDocument/2006/relationships/hyperlink" Target="https://www.espn.com/college-football/team/_/id/228/clemson-tigers" TargetMode="External"/><Relationship Id="rId124" Type="http://schemas.openxmlformats.org/officeDocument/2006/relationships/hyperlink" Target="https://www.espn.com/college-football/team/_/id/256/james-madison-dukes" TargetMode="External"/><Relationship Id="rId123" Type="http://schemas.openxmlformats.org/officeDocument/2006/relationships/hyperlink" Target="https://www.espn.com/college-football/team/_/id/2026/app-state-mountaineers" TargetMode="External"/><Relationship Id="rId122" Type="http://schemas.openxmlformats.org/officeDocument/2006/relationships/hyperlink" Target="https://www.espn.com/college-football/team/_/id/251/texas-longhorns" TargetMode="External"/><Relationship Id="rId95" Type="http://schemas.openxmlformats.org/officeDocument/2006/relationships/hyperlink" Target="https://www.espn.com/college-football/team/_/id/21/san-diego-state-aztecs" TargetMode="External"/><Relationship Id="rId94" Type="http://schemas.openxmlformats.org/officeDocument/2006/relationships/hyperlink" Target="https://www.espn.com/college-football/team/_/id/2005/air-force-falcons" TargetMode="External"/><Relationship Id="rId97" Type="http://schemas.openxmlformats.org/officeDocument/2006/relationships/hyperlink" Target="https://www.espn.com/college-football/team/_/id/2751/wyoming-cowboys" TargetMode="External"/><Relationship Id="rId96" Type="http://schemas.openxmlformats.org/officeDocument/2006/relationships/hyperlink" Target="https://www.espn.com/college-football/team/_/id/328/utah-state-aggies" TargetMode="External"/><Relationship Id="rId11" Type="http://schemas.openxmlformats.org/officeDocument/2006/relationships/hyperlink" Target="https://www.espn.com/college-football/team/_/id/2429/charlotte-49ers" TargetMode="External"/><Relationship Id="rId99" Type="http://schemas.openxmlformats.org/officeDocument/2006/relationships/hyperlink" Target="https://www.espn.com/college-football/team/_/id/62/hawaii-rainbow-warriors" TargetMode="External"/><Relationship Id="rId10" Type="http://schemas.openxmlformats.org/officeDocument/2006/relationships/hyperlink" Target="https://www.espn.com/college-football/team/_/id/349/army-black-knights" TargetMode="External"/><Relationship Id="rId98" Type="http://schemas.openxmlformats.org/officeDocument/2006/relationships/hyperlink" Target="https://www.espn.com/college-football/team/_/id/278/fresno-state-bulldogs" TargetMode="External"/><Relationship Id="rId13" Type="http://schemas.openxmlformats.org/officeDocument/2006/relationships/hyperlink" Target="https://www.espn.com/college-football/team/_/id/2226/florida-atlantic-owls" TargetMode="External"/><Relationship Id="rId12" Type="http://schemas.openxmlformats.org/officeDocument/2006/relationships/hyperlink" Target="https://www.espn.com/college-football/team/_/id/151/east-carolina-pirates" TargetMode="External"/><Relationship Id="rId91" Type="http://schemas.openxmlformats.org/officeDocument/2006/relationships/hyperlink" Target="https://www.espn.com/college-football/team/_/id/2649/toledo-rockets" TargetMode="External"/><Relationship Id="rId90" Type="http://schemas.openxmlformats.org/officeDocument/2006/relationships/hyperlink" Target="https://www.espn.com/college-football/team/_/id/195/ohio-bobcats" TargetMode="External"/><Relationship Id="rId93" Type="http://schemas.openxmlformats.org/officeDocument/2006/relationships/hyperlink" Target="https://www.espn.com/college-football/team/_/id/2439/unlv-rebels" TargetMode="External"/><Relationship Id="rId92" Type="http://schemas.openxmlformats.org/officeDocument/2006/relationships/hyperlink" Target="https://www.espn.com/college-football/team/_/id/2711/western-michigan-broncos" TargetMode="External"/><Relationship Id="rId118" Type="http://schemas.openxmlformats.org/officeDocument/2006/relationships/hyperlink" Target="https://www.espn.com/college-football/team/_/id/245/texas-am-aggies" TargetMode="External"/><Relationship Id="rId117" Type="http://schemas.openxmlformats.org/officeDocument/2006/relationships/hyperlink" Target="https://www.espn.com/college-football/team/_/id/2633/tennessee-volunteers" TargetMode="External"/><Relationship Id="rId116" Type="http://schemas.openxmlformats.org/officeDocument/2006/relationships/hyperlink" Target="https://www.espn.com/college-football/team/_/id/145/ole-miss-rebels" TargetMode="External"/><Relationship Id="rId115" Type="http://schemas.openxmlformats.org/officeDocument/2006/relationships/hyperlink" Target="https://www.espn.com/college-football/team/_/id/201/oklahoma-sooners" TargetMode="External"/><Relationship Id="rId119" Type="http://schemas.openxmlformats.org/officeDocument/2006/relationships/hyperlink" Target="https://www.espn.com/college-football/team/_/id/238/vanderbilt-commodores" TargetMode="External"/><Relationship Id="rId15" Type="http://schemas.openxmlformats.org/officeDocument/2006/relationships/hyperlink" Target="https://www.espn.com/college-football/team/_/id/103/boston-college-eagles" TargetMode="External"/><Relationship Id="rId110" Type="http://schemas.openxmlformats.org/officeDocument/2006/relationships/hyperlink" Target="https://www.espn.com/college-football/team/_/id/61/georgia-bulldogs" TargetMode="External"/><Relationship Id="rId14" Type="http://schemas.openxmlformats.org/officeDocument/2006/relationships/hyperlink" Target="https://www.espn.com/college-football/team/_/id/2636/utsa-roadrunners" TargetMode="External"/><Relationship Id="rId17" Type="http://schemas.openxmlformats.org/officeDocument/2006/relationships/hyperlink" Target="https://www.espn.com/college-football/team/_/id/150/duke-blue-devils" TargetMode="External"/><Relationship Id="rId16" Type="http://schemas.openxmlformats.org/officeDocument/2006/relationships/hyperlink" Target="https://www.espn.com/college-football/team/_/id/25/california-golden-bears" TargetMode="External"/><Relationship Id="rId19" Type="http://schemas.openxmlformats.org/officeDocument/2006/relationships/hyperlink" Target="https://www.espn.com/college-football/team/_/id/59/georgia-tech-yellow-jackets" TargetMode="External"/><Relationship Id="rId114" Type="http://schemas.openxmlformats.org/officeDocument/2006/relationships/hyperlink" Target="https://www.espn.com/college-football/team/_/id/142/missouri-tigers" TargetMode="External"/><Relationship Id="rId18" Type="http://schemas.openxmlformats.org/officeDocument/2006/relationships/hyperlink" Target="https://www.espn.com/college-football/team/_/id/52/florida-state-seminoles" TargetMode="External"/><Relationship Id="rId113" Type="http://schemas.openxmlformats.org/officeDocument/2006/relationships/hyperlink" Target="https://www.espn.com/college-football/team/_/id/344/mississippi-state-bulldogs" TargetMode="External"/><Relationship Id="rId112" Type="http://schemas.openxmlformats.org/officeDocument/2006/relationships/hyperlink" Target="https://www.espn.com/college-football/team/_/id/99/lsu-tigers" TargetMode="External"/><Relationship Id="rId111" Type="http://schemas.openxmlformats.org/officeDocument/2006/relationships/hyperlink" Target="https://www.espn.com/college-football/team/_/id/96/kentucky-wildcats" TargetMode="External"/><Relationship Id="rId84" Type="http://schemas.openxmlformats.org/officeDocument/2006/relationships/hyperlink" Target="https://www.espn.com/college-football/team/_/id/2006/akron-zips" TargetMode="External"/><Relationship Id="rId83" Type="http://schemas.openxmlformats.org/officeDocument/2006/relationships/hyperlink" Target="https://www.espn.com/college-football/team/_/id/2459/northern-illinois-huskies" TargetMode="External"/><Relationship Id="rId86" Type="http://schemas.openxmlformats.org/officeDocument/2006/relationships/hyperlink" Target="https://www.espn.com/college-football/team/_/id/2084/buffalo-bulls" TargetMode="External"/><Relationship Id="rId85" Type="http://schemas.openxmlformats.org/officeDocument/2006/relationships/hyperlink" Target="https://www.espn.com/college-football/team/_/id/2050/ball-state-cardinals" TargetMode="External"/><Relationship Id="rId88" Type="http://schemas.openxmlformats.org/officeDocument/2006/relationships/hyperlink" Target="https://www.espn.com/college-football/team/_/id/113/massachusetts-minutemen" TargetMode="External"/><Relationship Id="rId87" Type="http://schemas.openxmlformats.org/officeDocument/2006/relationships/hyperlink" Target="https://www.espn.com/college-football/team/_/id/2199/eastern-michigan-eagles" TargetMode="External"/><Relationship Id="rId89" Type="http://schemas.openxmlformats.org/officeDocument/2006/relationships/hyperlink" Target="https://www.espn.com/college-football/team/_/id/193/miami-oh-redhawks" TargetMode="External"/><Relationship Id="rId80" Type="http://schemas.openxmlformats.org/officeDocument/2006/relationships/hyperlink" Target="https://www.espn.com/college-football/team/_/id/189/bowling-green-falcons" TargetMode="External"/><Relationship Id="rId82" Type="http://schemas.openxmlformats.org/officeDocument/2006/relationships/hyperlink" Target="https://www.espn.com/college-football/team/_/id/2309/kent-state-golden-flashes" TargetMode="External"/><Relationship Id="rId81" Type="http://schemas.openxmlformats.org/officeDocument/2006/relationships/hyperlink" Target="https://www.espn.com/college-football/team/_/id/2117/central-michigan-chippewas" TargetMode="External"/><Relationship Id="rId1" Type="http://schemas.openxmlformats.org/officeDocument/2006/relationships/hyperlink" Target="https://www.espn.com/college-football/team/_/id/235/memphis-tigers" TargetMode="External"/><Relationship Id="rId2" Type="http://schemas.openxmlformats.org/officeDocument/2006/relationships/hyperlink" Target="https://www.espn.com/college-football/team/_/id/2426/navy-midshipmen" TargetMode="External"/><Relationship Id="rId3" Type="http://schemas.openxmlformats.org/officeDocument/2006/relationships/hyperlink" Target="https://www.espn.com/college-football/team/_/id/249/north-texas-mean-green" TargetMode="External"/><Relationship Id="rId4" Type="http://schemas.openxmlformats.org/officeDocument/2006/relationships/hyperlink" Target="https://www.espn.com/college-football/team/_/id/242/rice-owls" TargetMode="External"/><Relationship Id="rId9" Type="http://schemas.openxmlformats.org/officeDocument/2006/relationships/hyperlink" Target="https://www.espn.com/college-football/team/_/id/5/uab-blazers" TargetMode="External"/><Relationship Id="rId5" Type="http://schemas.openxmlformats.org/officeDocument/2006/relationships/hyperlink" Target="https://www.espn.com/college-football/team/_/id/58/south-florida-bulls" TargetMode="External"/><Relationship Id="rId6" Type="http://schemas.openxmlformats.org/officeDocument/2006/relationships/hyperlink" Target="https://www.espn.com/college-football/team/_/id/218/temple-owls" TargetMode="External"/><Relationship Id="rId7" Type="http://schemas.openxmlformats.org/officeDocument/2006/relationships/hyperlink" Target="https://www.espn.com/college-football/team/_/id/2655/tulane-green-wave" TargetMode="External"/><Relationship Id="rId8" Type="http://schemas.openxmlformats.org/officeDocument/2006/relationships/hyperlink" Target="https://www.espn.com/college-football/team/_/id/202/tulsa-golden-hurricane" TargetMode="External"/><Relationship Id="rId73" Type="http://schemas.openxmlformats.org/officeDocument/2006/relationships/hyperlink" Target="https://www.espn.com/college-football/team/_/id/338/kennesaw-state-owls" TargetMode="External"/><Relationship Id="rId72" Type="http://schemas.openxmlformats.org/officeDocument/2006/relationships/hyperlink" Target="https://www.espn.com/college-football/team/_/id/55/jacksonville-state-gamecocks" TargetMode="External"/><Relationship Id="rId75" Type="http://schemas.openxmlformats.org/officeDocument/2006/relationships/hyperlink" Target="https://www.espn.com/college-football/team/_/id/2623/missouri-state-bears" TargetMode="External"/><Relationship Id="rId74" Type="http://schemas.openxmlformats.org/officeDocument/2006/relationships/hyperlink" Target="https://www.espn.com/college-football/team/_/id/2393/middle-tennessee-blue-raiders" TargetMode="External"/><Relationship Id="rId77" Type="http://schemas.openxmlformats.org/officeDocument/2006/relationships/hyperlink" Target="https://www.espn.com/college-football/team/_/id/2534/sam-houston-bearkats" TargetMode="External"/><Relationship Id="rId76" Type="http://schemas.openxmlformats.org/officeDocument/2006/relationships/hyperlink" Target="https://www.espn.com/college-football/team/_/id/2638/utep-miners" TargetMode="External"/><Relationship Id="rId79" Type="http://schemas.openxmlformats.org/officeDocument/2006/relationships/hyperlink" Target="https://www.espn.com/college-football/team/_/id/87/notre-dame-fighting-irish" TargetMode="External"/><Relationship Id="rId78" Type="http://schemas.openxmlformats.org/officeDocument/2006/relationships/hyperlink" Target="https://www.espn.com/college-football/team/_/id/41/uconn-huskies" TargetMode="External"/><Relationship Id="rId71" Type="http://schemas.openxmlformats.org/officeDocument/2006/relationships/hyperlink" Target="https://www.espn.com/college-football/team/_/id/166/new-mexico-state-aggies" TargetMode="External"/><Relationship Id="rId70" Type="http://schemas.openxmlformats.org/officeDocument/2006/relationships/hyperlink" Target="https://www.espn.com/college-football/team/_/id/2348/louisiana-tech-bulldogs" TargetMode="External"/><Relationship Id="rId137" Type="http://schemas.openxmlformats.org/officeDocument/2006/relationships/drawing" Target="../drawings/drawing6.xml"/><Relationship Id="rId132" Type="http://schemas.openxmlformats.org/officeDocument/2006/relationships/hyperlink" Target="https://www.espn.com/college-football/team/_/id/326/texas-state-bobcats" TargetMode="External"/><Relationship Id="rId131" Type="http://schemas.openxmlformats.org/officeDocument/2006/relationships/hyperlink" Target="https://www.espn.com/college-football/team/_/id/6/south-alabama-jaguars" TargetMode="External"/><Relationship Id="rId130" Type="http://schemas.openxmlformats.org/officeDocument/2006/relationships/hyperlink" Target="https://www.espn.com/college-football/team/_/id/2032/arkansas-state-red-wolves" TargetMode="External"/><Relationship Id="rId136" Type="http://schemas.openxmlformats.org/officeDocument/2006/relationships/hyperlink" Target="https://www.espn.com/college-football/team/_/id/2572/southern-miss-golden-eagles" TargetMode="External"/><Relationship Id="rId135" Type="http://schemas.openxmlformats.org/officeDocument/2006/relationships/hyperlink" Target="https://www.espn.com/college-football/team/_/id/309/louisiana-ragin-cajuns" TargetMode="External"/><Relationship Id="rId134" Type="http://schemas.openxmlformats.org/officeDocument/2006/relationships/hyperlink" Target="https://www.espn.com/college-football/team/_/id/2433/ul-monroe-warhawks" TargetMode="External"/><Relationship Id="rId133" Type="http://schemas.openxmlformats.org/officeDocument/2006/relationships/hyperlink" Target="https://www.espn.com/college-football/team/_/id/2653/troy-trojans" TargetMode="External"/><Relationship Id="rId62" Type="http://schemas.openxmlformats.org/officeDocument/2006/relationships/hyperlink" Target="https://www.espn.com/college-football/team/_/id/264/washington-huskies" TargetMode="External"/><Relationship Id="rId61" Type="http://schemas.openxmlformats.org/officeDocument/2006/relationships/hyperlink" Target="https://www.espn.com/college-football/team/_/id/30/usc-trojans" TargetMode="External"/><Relationship Id="rId64" Type="http://schemas.openxmlformats.org/officeDocument/2006/relationships/hyperlink" Target="https://www.espn.com/college-football/team/_/id/77/northwestern-wildcats" TargetMode="External"/><Relationship Id="rId63" Type="http://schemas.openxmlformats.org/officeDocument/2006/relationships/hyperlink" Target="https://www.espn.com/college-football/team/_/id/275/wisconsin-badgers" TargetMode="External"/><Relationship Id="rId66" Type="http://schemas.openxmlformats.org/officeDocument/2006/relationships/hyperlink" Target="https://www.espn.com/college-football/team/_/id/98/western-kentucky-hilltoppers" TargetMode="External"/><Relationship Id="rId65" Type="http://schemas.openxmlformats.org/officeDocument/2006/relationships/hyperlink" Target="https://www.espn.com/college-football/team/_/id/26/ucla-bruins" TargetMode="External"/><Relationship Id="rId68" Type="http://schemas.openxmlformats.org/officeDocument/2006/relationships/hyperlink" Target="https://www.espn.com/college-football/team/_/id/2229/florida-international-panthers" TargetMode="External"/><Relationship Id="rId67" Type="http://schemas.openxmlformats.org/officeDocument/2006/relationships/hyperlink" Target="https://www.espn.com/college-football/team/_/id/48/delaware-blue-hens" TargetMode="External"/><Relationship Id="rId60" Type="http://schemas.openxmlformats.org/officeDocument/2006/relationships/hyperlink" Target="https://www.espn.com/college-football/team/_/id/164/rutgers-scarlet-knights" TargetMode="External"/><Relationship Id="rId69" Type="http://schemas.openxmlformats.org/officeDocument/2006/relationships/hyperlink" Target="https://www.espn.com/college-football/team/_/id/2335/liberty-flames" TargetMode="External"/><Relationship Id="rId51" Type="http://schemas.openxmlformats.org/officeDocument/2006/relationships/hyperlink" Target="https://www.espn.com/college-football/team/_/id/120/maryland-terrapins" TargetMode="External"/><Relationship Id="rId50" Type="http://schemas.openxmlformats.org/officeDocument/2006/relationships/hyperlink" Target="https://www.espn.com/college-football/team/_/id/2294/iowa-hawkeyes" TargetMode="External"/><Relationship Id="rId53" Type="http://schemas.openxmlformats.org/officeDocument/2006/relationships/hyperlink" Target="https://www.espn.com/college-football/team/_/id/127/michigan-state-spartans" TargetMode="External"/><Relationship Id="rId52" Type="http://schemas.openxmlformats.org/officeDocument/2006/relationships/hyperlink" Target="https://www.espn.com/college-football/team/_/id/130/michigan-wolverines" TargetMode="External"/><Relationship Id="rId55" Type="http://schemas.openxmlformats.org/officeDocument/2006/relationships/hyperlink" Target="https://www.espn.com/college-football/team/_/id/158/nebraska-cornhuskers" TargetMode="External"/><Relationship Id="rId54" Type="http://schemas.openxmlformats.org/officeDocument/2006/relationships/hyperlink" Target="https://www.espn.com/college-football/team/_/id/135/minnesota-golden-gophers" TargetMode="External"/><Relationship Id="rId57" Type="http://schemas.openxmlformats.org/officeDocument/2006/relationships/hyperlink" Target="https://www.espn.com/college-football/team/_/id/2483/oregon-ducks" TargetMode="External"/><Relationship Id="rId56" Type="http://schemas.openxmlformats.org/officeDocument/2006/relationships/hyperlink" Target="https://www.espn.com/college-football/team/_/id/194/ohio-state-buckeyes" TargetMode="External"/><Relationship Id="rId59" Type="http://schemas.openxmlformats.org/officeDocument/2006/relationships/hyperlink" Target="https://www.espn.com/college-football/team/_/id/2509/purdue-boilermakers" TargetMode="External"/><Relationship Id="rId58" Type="http://schemas.openxmlformats.org/officeDocument/2006/relationships/hyperlink" Target="https://www.espn.com/college-football/team/_/id/213/penn-state-nittany-lion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://mybookie.ag" TargetMode="Externa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</cols>
  <sheetData>
    <row r="1">
      <c r="A1" s="1" t="s">
        <v>0</v>
      </c>
      <c r="B1" s="1" t="s">
        <v>1</v>
      </c>
      <c r="E1" s="1" t="s">
        <v>2</v>
      </c>
    </row>
    <row r="2">
      <c r="A2" s="1" t="s">
        <v>3</v>
      </c>
      <c r="B2" s="1" t="s">
        <v>4</v>
      </c>
      <c r="E2" s="1" t="s">
        <v>5</v>
      </c>
    </row>
    <row r="3">
      <c r="A3" s="1" t="s">
        <v>6</v>
      </c>
      <c r="B3" s="1" t="s">
        <v>4</v>
      </c>
    </row>
    <row r="4">
      <c r="A4" s="9" t="s">
        <v>8</v>
      </c>
      <c r="B4" s="1" t="s">
        <v>4</v>
      </c>
    </row>
    <row r="5">
      <c r="A5" s="9" t="s">
        <v>24</v>
      </c>
      <c r="B5" s="1" t="s">
        <v>4</v>
      </c>
    </row>
    <row r="6">
      <c r="A6" s="1" t="s">
        <v>26</v>
      </c>
      <c r="B6" s="1" t="s">
        <v>4</v>
      </c>
    </row>
    <row r="7">
      <c r="A7" s="1" t="s">
        <v>28</v>
      </c>
      <c r="B7" s="1" t="s">
        <v>4</v>
      </c>
    </row>
    <row r="8">
      <c r="A8" s="9" t="s">
        <v>31</v>
      </c>
      <c r="B8" s="1" t="s">
        <v>4</v>
      </c>
    </row>
    <row r="9">
      <c r="A9" s="9" t="s">
        <v>35</v>
      </c>
      <c r="B9" s="1" t="s">
        <v>4</v>
      </c>
    </row>
    <row r="10">
      <c r="A10" s="16" t="s">
        <v>39</v>
      </c>
      <c r="B10" s="1" t="s">
        <v>4</v>
      </c>
    </row>
    <row r="11">
      <c r="A11" s="9" t="s">
        <v>42</v>
      </c>
      <c r="B11" s="1" t="s">
        <v>4</v>
      </c>
    </row>
    <row r="12">
      <c r="A12" s="9" t="s">
        <v>44</v>
      </c>
      <c r="B12" s="1" t="s">
        <v>4</v>
      </c>
    </row>
    <row r="13">
      <c r="A13" s="9" t="s">
        <v>48</v>
      </c>
      <c r="B13" s="1" t="s">
        <v>4</v>
      </c>
    </row>
    <row r="14">
      <c r="A14" s="1" t="s">
        <v>50</v>
      </c>
      <c r="B14" s="1" t="s">
        <v>4</v>
      </c>
    </row>
    <row r="15">
      <c r="A15" s="1" t="s">
        <v>52</v>
      </c>
      <c r="B15" s="1" t="s">
        <v>4</v>
      </c>
    </row>
    <row r="16">
      <c r="A16" s="9" t="s">
        <v>55</v>
      </c>
      <c r="B16" s="1" t="s">
        <v>4</v>
      </c>
    </row>
    <row r="17">
      <c r="A17" s="9" t="s">
        <v>64</v>
      </c>
      <c r="B17" s="1" t="s">
        <v>4</v>
      </c>
    </row>
    <row r="18">
      <c r="A18" s="1" t="s">
        <v>11</v>
      </c>
      <c r="B18" s="1" t="s">
        <v>4</v>
      </c>
    </row>
    <row r="19">
      <c r="A19" s="9" t="s">
        <v>74</v>
      </c>
      <c r="B19" s="1" t="s">
        <v>4</v>
      </c>
    </row>
    <row r="20">
      <c r="A20" s="9" t="s">
        <v>78</v>
      </c>
      <c r="B20" s="1" t="s">
        <v>4</v>
      </c>
    </row>
    <row r="21">
      <c r="A21" s="1" t="s">
        <v>80</v>
      </c>
    </row>
    <row r="22">
      <c r="A22" s="1" t="s">
        <v>81</v>
      </c>
      <c r="B22" s="1" t="s">
        <v>4</v>
      </c>
    </row>
    <row r="23">
      <c r="A23" s="1" t="s">
        <v>83</v>
      </c>
      <c r="B23" s="1" t="s">
        <v>4</v>
      </c>
    </row>
  </sheetData>
  <hyperlinks>
    <hyperlink display="-- Weekly Log" location="'Weekly Log'!A1" ref="A4"/>
    <hyperlink display="-- Proj Log" location="'Proj Log'!A1" ref="A5"/>
    <hyperlink display="--Team colors" location="'team colors'!A1" ref="A8"/>
    <hyperlink display="-- Team Translations" location="Translation!A1" ref="A9"/>
    <hyperlink display="Update actual conference alignment (use 10 person column) and proposed alignment" location="'Teams-Conference'!A1" ref="A11"/>
    <hyperlink display="Use this to check actual conferences" location="'Actual Conferences'!A1" ref="A12"/>
    <hyperlink display="Use this to check proposed changes" location="Teams!A1" ref="A13"/>
    <hyperlink display="-- P5G5" location="P5G5!A1" ref="A16"/>
    <hyperlink display="-- Email Opt-Ins" location="'Email Opt-ins'!A1" ref="A17"/>
    <hyperlink display="--Clear picks from draft tracker (column F)" location="DraftTracker!A1" ref="A19"/>
    <hyperlink display="-- Set up draft order" location="'Draft Order'!A1" ref="A2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13"/>
    <col customWidth="1" min="3" max="3" width="72.5"/>
  </cols>
  <sheetData>
    <row r="1">
      <c r="A1" s="2" t="s">
        <v>7</v>
      </c>
      <c r="B1" s="2" t="s">
        <v>9</v>
      </c>
      <c r="C1" s="2" t="s">
        <v>10</v>
      </c>
    </row>
    <row r="2">
      <c r="A2" s="1" t="s">
        <v>11</v>
      </c>
      <c r="B2" s="9" t="s">
        <v>14</v>
      </c>
      <c r="C2" s="1" t="s">
        <v>37</v>
      </c>
    </row>
    <row r="3">
      <c r="A3" s="1" t="s">
        <v>11</v>
      </c>
      <c r="B3" s="9" t="s">
        <v>46</v>
      </c>
      <c r="C3" s="1" t="s">
        <v>54</v>
      </c>
    </row>
    <row r="4">
      <c r="A4" s="1" t="s">
        <v>11</v>
      </c>
      <c r="B4" s="9" t="s">
        <v>58</v>
      </c>
      <c r="C4" s="1" t="s">
        <v>63</v>
      </c>
    </row>
    <row r="5">
      <c r="A5" s="1" t="s">
        <v>11</v>
      </c>
      <c r="B5" s="9" t="s">
        <v>66</v>
      </c>
      <c r="C5" s="1" t="s">
        <v>69</v>
      </c>
    </row>
    <row r="6">
      <c r="A6" s="1" t="s">
        <v>11</v>
      </c>
      <c r="B6" s="9" t="s">
        <v>70</v>
      </c>
      <c r="C6" s="1" t="s">
        <v>72</v>
      </c>
    </row>
    <row r="7">
      <c r="A7" s="1" t="s">
        <v>11</v>
      </c>
      <c r="B7" s="9" t="s">
        <v>75</v>
      </c>
      <c r="C7" s="1" t="s">
        <v>77</v>
      </c>
    </row>
    <row r="8">
      <c r="A8" s="1" t="s">
        <v>11</v>
      </c>
      <c r="B8" s="9" t="s">
        <v>79</v>
      </c>
      <c r="C8" s="1" t="s">
        <v>82</v>
      </c>
    </row>
    <row r="9" hidden="1">
      <c r="A9" s="1" t="s">
        <v>11</v>
      </c>
      <c r="B9" s="9" t="s">
        <v>84</v>
      </c>
      <c r="C9" s="1" t="s">
        <v>85</v>
      </c>
    </row>
    <row r="10">
      <c r="A10" s="1" t="s">
        <v>86</v>
      </c>
      <c r="B10" s="9" t="s">
        <v>87</v>
      </c>
      <c r="C10" s="1" t="s">
        <v>88</v>
      </c>
    </row>
    <row r="11">
      <c r="A11" s="1" t="s">
        <v>86</v>
      </c>
      <c r="B11" s="9" t="s">
        <v>89</v>
      </c>
      <c r="C11" s="1" t="s">
        <v>90</v>
      </c>
    </row>
    <row r="12">
      <c r="A12" s="1" t="s">
        <v>86</v>
      </c>
      <c r="B12" s="1" t="s">
        <v>91</v>
      </c>
      <c r="C12" s="1" t="s">
        <v>92</v>
      </c>
    </row>
    <row r="13">
      <c r="A13" s="1" t="s">
        <v>86</v>
      </c>
      <c r="B13" s="9" t="s">
        <v>93</v>
      </c>
      <c r="C13" s="1" t="s">
        <v>94</v>
      </c>
    </row>
  </sheetData>
  <dataValidations>
    <dataValidation type="list" allowBlank="1" showErrorMessage="1" sqref="A2:A13">
      <formula1>"Draft,Football"</formula1>
    </dataValidation>
  </dataValidations>
  <hyperlinks>
    <hyperlink display="DraftTracker" location="DraftTracker!A1" ref="B2"/>
    <hyperlink display="OnTheClock's Eligable Teams" location="'OnTheClocks Eligable Teams'!A1" ref="B3"/>
    <hyperlink display="Conf WC Eligibility" location="'Conf WC Eligibility'!A1" ref="B4"/>
    <hyperlink display="Conferences Needed" location="'Conferences Needed'!A1" ref="B5"/>
    <hyperlink display="ALL Teams Available" location="'ALL Teams Available'!A1" ref="B6"/>
    <hyperlink display="Picks by Player" location="'Picks by Player'!A1" ref="B7"/>
    <hyperlink display="Teams" location="Teams!A1" ref="B8"/>
    <hyperlink display="Email Opt-ins" location="'Email Opt-ins'!A1" ref="B9"/>
    <hyperlink display="Standings" location="Standings!A1" ref="B10"/>
    <hyperlink display="Current Week" location="'Current Week'!A1" ref="B11"/>
    <hyperlink display="Weekday color codes" location="'Weekday color codes'!A1" ref="B13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1.5"/>
    <col customWidth="1" min="2" max="2" width="5.5"/>
    <col customWidth="1" min="3" max="3" width="7.75"/>
    <col customWidth="1" min="4" max="4" width="7.0"/>
    <col customWidth="1" min="5" max="5" width="6.63"/>
    <col customWidth="1" min="6" max="6" width="7.88"/>
    <col customWidth="1" min="7" max="7" width="9.0"/>
    <col customWidth="1" min="8" max="8" width="5.88"/>
    <col customWidth="1" min="9" max="9" width="7.75"/>
    <col customWidth="1" min="10" max="10" width="9.88"/>
    <col customWidth="1" min="11" max="11" width="8.5"/>
    <col customWidth="1" min="12" max="12" width="7.75"/>
    <col customWidth="1" min="13" max="13" width="12.63"/>
  </cols>
  <sheetData>
    <row r="1">
      <c r="A1" s="10" t="str">
        <f>HYPERLINK("https://docs.google.com/document/d/1-e84tTr9zFoIfOR2Z7Z-1lI4YO7v6GoaThMqj1UrcXE/edit","Rules")</f>
        <v>Rules</v>
      </c>
      <c r="B1" s="12" t="s">
        <v>25</v>
      </c>
      <c r="C1" s="13"/>
      <c r="D1" s="13"/>
      <c r="E1" s="15"/>
      <c r="F1" s="18" t="s">
        <v>41</v>
      </c>
      <c r="G1" s="13"/>
      <c r="H1" s="13"/>
      <c r="I1" s="13"/>
      <c r="J1" s="13"/>
      <c r="K1" s="13"/>
      <c r="L1" s="15"/>
      <c r="M1" s="22" t="s">
        <v>47</v>
      </c>
    </row>
    <row r="2">
      <c r="A2" s="23" t="s">
        <v>49</v>
      </c>
      <c r="B2" s="24" t="s">
        <v>51</v>
      </c>
      <c r="C2" s="25" t="s">
        <v>53</v>
      </c>
      <c r="D2" s="27" t="s">
        <v>56</v>
      </c>
      <c r="E2" s="25" t="s">
        <v>59</v>
      </c>
      <c r="F2" s="29" t="s">
        <v>60</v>
      </c>
      <c r="G2" s="31" t="s">
        <v>65</v>
      </c>
      <c r="H2" s="31" t="s">
        <v>51</v>
      </c>
      <c r="I2" s="31" t="s">
        <v>68</v>
      </c>
      <c r="J2" s="34" t="s">
        <v>71</v>
      </c>
      <c r="K2" s="36" t="s">
        <v>73</v>
      </c>
      <c r="L2" s="38" t="s">
        <v>76</v>
      </c>
      <c r="M2" s="39"/>
    </row>
    <row r="3">
      <c r="A3" s="40" t="str">
        <f t="array" ref="A3:M15">sort(A17:M29,2,false,3,true,7,false,8,true,1,true)</f>
        <v>Dan</v>
      </c>
      <c r="B3" s="41">
        <v>83.0</v>
      </c>
      <c r="C3" s="42">
        <v>36.0</v>
      </c>
      <c r="D3" s="43">
        <v>0.0</v>
      </c>
      <c r="E3" s="42">
        <v>0.0</v>
      </c>
      <c r="F3" s="44">
        <v>9.0</v>
      </c>
      <c r="G3" s="45">
        <v>9.0</v>
      </c>
      <c r="H3" s="45">
        <v>6.0</v>
      </c>
      <c r="I3" s="45">
        <v>0.0</v>
      </c>
      <c r="J3" s="44">
        <v>4.0</v>
      </c>
      <c r="K3" s="45">
        <v>3.0</v>
      </c>
      <c r="L3" s="46">
        <v>1.0</v>
      </c>
      <c r="M3" s="46">
        <v>6.0</v>
      </c>
    </row>
    <row r="4">
      <c r="A4" s="40" t="s">
        <v>95</v>
      </c>
      <c r="B4" s="41">
        <v>79.0</v>
      </c>
      <c r="C4" s="42">
        <v>41.0</v>
      </c>
      <c r="D4" s="43">
        <v>0.0</v>
      </c>
      <c r="E4" s="42">
        <v>0.0</v>
      </c>
      <c r="F4" s="44">
        <v>10.0</v>
      </c>
      <c r="G4" s="45">
        <v>10.0</v>
      </c>
      <c r="H4" s="45">
        <v>9.0</v>
      </c>
      <c r="I4" s="45">
        <v>0.0</v>
      </c>
      <c r="J4" s="44">
        <v>9.0</v>
      </c>
      <c r="K4" s="45">
        <v>0.0</v>
      </c>
      <c r="L4" s="46">
        <v>0.0</v>
      </c>
      <c r="M4" s="46">
        <v>9.0</v>
      </c>
    </row>
    <row r="5">
      <c r="A5" s="40" t="s">
        <v>96</v>
      </c>
      <c r="B5" s="42">
        <v>75.0</v>
      </c>
      <c r="C5" s="42">
        <v>45.0</v>
      </c>
      <c r="D5" s="43">
        <v>0.0</v>
      </c>
      <c r="E5" s="42">
        <v>0.0</v>
      </c>
      <c r="F5" s="44">
        <v>10.0</v>
      </c>
      <c r="G5" s="45">
        <v>10.0</v>
      </c>
      <c r="H5" s="45">
        <v>8.0</v>
      </c>
      <c r="I5" s="45">
        <v>0.0</v>
      </c>
      <c r="J5" s="44">
        <v>6.0</v>
      </c>
      <c r="K5" s="45">
        <v>2.0</v>
      </c>
      <c r="L5" s="46">
        <v>0.0</v>
      </c>
      <c r="M5" s="46">
        <v>8.0</v>
      </c>
    </row>
    <row r="6">
      <c r="A6" s="40" t="s">
        <v>132</v>
      </c>
      <c r="B6" s="42">
        <v>71.0</v>
      </c>
      <c r="C6" s="42">
        <v>49.0</v>
      </c>
      <c r="D6" s="43">
        <v>0.0</v>
      </c>
      <c r="E6" s="42">
        <v>0.0</v>
      </c>
      <c r="F6" s="44">
        <v>10.0</v>
      </c>
      <c r="G6" s="45">
        <v>10.0</v>
      </c>
      <c r="H6" s="45">
        <v>6.0</v>
      </c>
      <c r="I6" s="45">
        <v>0.0</v>
      </c>
      <c r="J6" s="44">
        <v>5.0</v>
      </c>
      <c r="K6" s="45">
        <v>2.0</v>
      </c>
      <c r="L6" s="46">
        <v>1.0</v>
      </c>
      <c r="M6" s="46">
        <v>6.0</v>
      </c>
    </row>
    <row r="7">
      <c r="A7" s="40" t="s">
        <v>156</v>
      </c>
      <c r="B7" s="42">
        <v>69.0</v>
      </c>
      <c r="C7" s="42">
        <v>51.0</v>
      </c>
      <c r="D7" s="43">
        <v>0.0</v>
      </c>
      <c r="E7" s="42">
        <v>0.0</v>
      </c>
      <c r="F7" s="44">
        <v>10.0</v>
      </c>
      <c r="G7" s="45">
        <v>10.0</v>
      </c>
      <c r="H7" s="45">
        <v>6.0</v>
      </c>
      <c r="I7" s="45">
        <v>0.0</v>
      </c>
      <c r="J7" s="44">
        <v>5.0</v>
      </c>
      <c r="K7" s="45">
        <v>1.0</v>
      </c>
      <c r="L7" s="46">
        <v>0.0</v>
      </c>
      <c r="M7" s="46">
        <v>6.0</v>
      </c>
    </row>
    <row r="8">
      <c r="A8" s="40" t="s">
        <v>193</v>
      </c>
      <c r="B8" s="41">
        <v>66.0</v>
      </c>
      <c r="C8" s="42">
        <v>54.0</v>
      </c>
      <c r="D8" s="43">
        <v>0.0</v>
      </c>
      <c r="E8" s="42">
        <v>0.0</v>
      </c>
      <c r="F8" s="44">
        <v>9.0</v>
      </c>
      <c r="G8" s="45">
        <v>9.0</v>
      </c>
      <c r="H8" s="45">
        <v>3.0</v>
      </c>
      <c r="I8" s="45">
        <v>0.0</v>
      </c>
      <c r="J8" s="44">
        <v>5.0</v>
      </c>
      <c r="K8" s="45">
        <v>1.0</v>
      </c>
      <c r="L8" s="46">
        <v>3.0</v>
      </c>
      <c r="M8" s="46">
        <v>3.0</v>
      </c>
    </row>
    <row r="9">
      <c r="A9" s="40" t="s">
        <v>224</v>
      </c>
      <c r="B9" s="41">
        <v>62.0</v>
      </c>
      <c r="C9" s="42">
        <v>57.0</v>
      </c>
      <c r="D9" s="43">
        <v>0.0</v>
      </c>
      <c r="E9" s="42">
        <v>0.0</v>
      </c>
      <c r="F9" s="44">
        <v>10.0</v>
      </c>
      <c r="G9" s="45">
        <v>10.0</v>
      </c>
      <c r="H9" s="45">
        <v>8.0</v>
      </c>
      <c r="I9" s="45">
        <v>0.0</v>
      </c>
      <c r="J9" s="44">
        <v>5.0</v>
      </c>
      <c r="K9" s="45">
        <v>2.0</v>
      </c>
      <c r="L9" s="46">
        <v>0.0</v>
      </c>
      <c r="M9" s="46">
        <v>8.0</v>
      </c>
    </row>
    <row r="10">
      <c r="A10" s="40" t="s">
        <v>238</v>
      </c>
      <c r="B10" s="41">
        <v>61.0</v>
      </c>
      <c r="C10" s="42">
        <v>59.0</v>
      </c>
      <c r="D10" s="43">
        <v>0.0</v>
      </c>
      <c r="E10" s="42">
        <v>0.0</v>
      </c>
      <c r="F10" s="44">
        <v>10.0</v>
      </c>
      <c r="G10" s="45">
        <v>10.0</v>
      </c>
      <c r="H10" s="45">
        <v>2.0</v>
      </c>
      <c r="I10" s="45">
        <v>0.0</v>
      </c>
      <c r="J10" s="44">
        <v>4.0</v>
      </c>
      <c r="K10" s="45">
        <v>1.0</v>
      </c>
      <c r="L10" s="46">
        <v>3.0</v>
      </c>
      <c r="M10" s="46">
        <v>2.0</v>
      </c>
    </row>
    <row r="11">
      <c r="A11" s="50" t="s">
        <v>249</v>
      </c>
      <c r="B11" s="41">
        <v>61.0</v>
      </c>
      <c r="C11" s="42">
        <v>59.0</v>
      </c>
      <c r="D11" s="43">
        <v>0.0</v>
      </c>
      <c r="E11" s="42">
        <v>0.0</v>
      </c>
      <c r="F11" s="44">
        <v>10.0</v>
      </c>
      <c r="G11" s="45">
        <v>10.0</v>
      </c>
      <c r="H11" s="45">
        <v>5.0</v>
      </c>
      <c r="I11" s="45">
        <v>0.0</v>
      </c>
      <c r="J11" s="44">
        <v>5.0</v>
      </c>
      <c r="K11" s="45">
        <v>2.0</v>
      </c>
      <c r="L11" s="46">
        <v>2.0</v>
      </c>
      <c r="M11" s="46">
        <v>5.0</v>
      </c>
    </row>
    <row r="12">
      <c r="A12" s="50" t="s">
        <v>311</v>
      </c>
      <c r="B12" s="41">
        <v>60.0</v>
      </c>
      <c r="C12" s="42">
        <v>60.0</v>
      </c>
      <c r="D12" s="43">
        <v>0.0</v>
      </c>
      <c r="E12" s="42">
        <v>0.0</v>
      </c>
      <c r="F12" s="44">
        <v>10.0</v>
      </c>
      <c r="G12" s="45">
        <v>10.0</v>
      </c>
      <c r="H12" s="45">
        <v>2.0</v>
      </c>
      <c r="I12" s="45">
        <v>0.0</v>
      </c>
      <c r="J12" s="44">
        <v>5.0</v>
      </c>
      <c r="K12" s="45">
        <v>0.0</v>
      </c>
      <c r="L12" s="46">
        <v>3.0</v>
      </c>
      <c r="M12" s="46">
        <v>2.0</v>
      </c>
    </row>
    <row r="13">
      <c r="A13" s="50" t="s">
        <v>62</v>
      </c>
      <c r="B13" s="41">
        <v>57.0</v>
      </c>
      <c r="C13" s="42">
        <v>63.0</v>
      </c>
      <c r="D13" s="43">
        <v>0.0</v>
      </c>
      <c r="E13" s="42">
        <v>0.0</v>
      </c>
      <c r="F13" s="44">
        <v>10.0</v>
      </c>
      <c r="G13" s="45">
        <v>10.0</v>
      </c>
      <c r="H13" s="45">
        <v>5.0</v>
      </c>
      <c r="I13" s="45">
        <v>0.0</v>
      </c>
      <c r="J13" s="44">
        <v>3.0</v>
      </c>
      <c r="K13" s="45">
        <v>2.0</v>
      </c>
      <c r="L13" s="46">
        <v>0.0</v>
      </c>
      <c r="M13" s="46">
        <v>5.0</v>
      </c>
    </row>
    <row r="14">
      <c r="A14" s="50" t="s">
        <v>43</v>
      </c>
      <c r="B14" s="41">
        <v>52.0</v>
      </c>
      <c r="C14" s="42">
        <v>68.0</v>
      </c>
      <c r="D14" s="43">
        <v>0.0</v>
      </c>
      <c r="E14" s="42">
        <v>0.0</v>
      </c>
      <c r="F14" s="44">
        <v>10.0</v>
      </c>
      <c r="G14" s="45">
        <v>10.0</v>
      </c>
      <c r="H14" s="45">
        <v>3.0</v>
      </c>
      <c r="I14" s="45">
        <v>0.0</v>
      </c>
      <c r="J14" s="44">
        <v>5.0</v>
      </c>
      <c r="K14" s="45">
        <v>0.0</v>
      </c>
      <c r="L14" s="46">
        <v>2.0</v>
      </c>
      <c r="M14" s="58">
        <v>3.0</v>
      </c>
    </row>
    <row r="15" ht="18.75" hidden="1" customHeight="1">
      <c r="A15" s="59"/>
      <c r="B15" s="60">
        <v>0.0</v>
      </c>
      <c r="C15" s="61">
        <v>0.0</v>
      </c>
      <c r="D15" s="62">
        <v>0.0</v>
      </c>
      <c r="E15" s="61">
        <v>0.0</v>
      </c>
      <c r="F15" s="63">
        <v>10.0</v>
      </c>
      <c r="G15" s="64">
        <v>0.0</v>
      </c>
      <c r="H15" s="64">
        <v>0.0</v>
      </c>
      <c r="I15" s="64">
        <v>10.0</v>
      </c>
      <c r="J15" s="63">
        <v>0.0</v>
      </c>
      <c r="K15" s="64">
        <v>0.0</v>
      </c>
      <c r="L15" s="65">
        <v>0.0</v>
      </c>
      <c r="M15" s="66">
        <v>0.0</v>
      </c>
    </row>
    <row r="16" hidden="1">
      <c r="A16" s="68"/>
      <c r="B16" s="69"/>
      <c r="C16" s="70"/>
      <c r="D16" s="70"/>
      <c r="E16" s="70"/>
      <c r="F16" s="71"/>
      <c r="G16" s="72"/>
      <c r="H16" s="72"/>
      <c r="I16" s="72"/>
      <c r="J16" s="72"/>
      <c r="K16" s="72"/>
      <c r="L16" s="73"/>
      <c r="M16" s="73"/>
    </row>
    <row r="17" hidden="1">
      <c r="A17" s="75" t="str">
        <f t="array" ref="A17:A28">'Draft Order'!B2:B29</f>
        <v>Nick G.</v>
      </c>
      <c r="B17" s="76">
        <f>sumif('Current Week'!$B:$B,$A17,'Current Week'!D:D)</f>
        <v>52</v>
      </c>
      <c r="C17" s="76">
        <f>sumif('Current Week'!$B:$B,$A17,'Current Week'!E:E)</f>
        <v>68</v>
      </c>
      <c r="D17" s="76">
        <f>sumifs('Current Week'!D:D,'Current Week'!$B:$B,$A17,'Current Week'!T:T,"Power 5")</f>
        <v>0</v>
      </c>
      <c r="E17" s="76">
        <f>sumifs('Current Week'!D:D,'Current Week'!$B:$B,$A17,'Current Week'!T:T,"Group of 5")</f>
        <v>0</v>
      </c>
      <c r="F17" s="71">
        <f>10-countifs('Current Week'!B:B,A17,'Current Week'!G:G,"")</f>
        <v>10</v>
      </c>
      <c r="G17" s="72">
        <f>IFERROR(__xludf.DUMMYFUNCTION("COUNTA(iferror(filter('Current Week'!B:B,'Current Week'!B:B=A17,left('Current Week'!G:G,5)=""FINAL"")))"),10.0)</f>
        <v>10</v>
      </c>
      <c r="H17" s="72">
        <f>countifs('Current Week'!B:B,A17,'Current Week'!U:U,"=TRUE")</f>
        <v>3</v>
      </c>
      <c r="I17">
        <f t="shared" ref="I17:I29" si="1">F17-G17</f>
        <v>0</v>
      </c>
      <c r="J17">
        <f>IFERROR(__xludf.DUMMYFUNCTION("countifs('Current Week'!B:B,A17,'Current Week'!K:K,""&lt;0"")+counta(iferror(filter('Current Week'!B:B,'Current Week'!B:B=A17,'Current Week'!F:F&lt;&gt;"""",'Current Week'!K:K="""",'Current Week'!H:H="""")))"),5.0)</f>
        <v>5</v>
      </c>
      <c r="K17">
        <f>IFERROR(__xludf.DUMMYFUNCTION("counta(iferror(filter('Current Week'!B:B,'Current Week'!B:B=A17,'Current Week'!K:K&gt;0,not(iserror(find(""FINAL"",'Current Week'!G:G))),'Current Week'!U:U=TRUE)))+counta(iferror(filter('Current Week'!B:B,'Current Week'!B:B=A17,'Current Week'!K:K="""",not(is"&amp;"error(find(""FINAL"",'Current Week'!G:G))),'Current Week'!U:U=TRUE,'Current Week'!H:H="""")))"),0.0)</f>
        <v>0</v>
      </c>
      <c r="L17">
        <f>IFERROR(__xludf.DUMMYFUNCTION("counta(iferror(filter('Current Week'!B:B,'Current Week'!B:B=A17,'Current Week'!K:K&lt;0,not(iserror(find(""FINAL"",'Current Week'!G:G))),'Current Week'!U:U&lt;&gt;TRUE)))"),2.0)</f>
        <v>2</v>
      </c>
      <c r="M17" s="86">
        <f>IFERROR(__xludf.DUMMYFUNCTION("H17+counta(iferror(filter('Current Week'!B:B,'Current Week'!B:B=A17,'Current Week'!K:K&lt;0,iserror(find(""FINAL"",'Current Week'!G:G)))))+counta(iferror(filter('Current Week'!B:B,'Current Week'!B:B=A17,'Current Week'!F:F&lt;&gt;"""",'Current Week'!J:J="""",'Curre"&amp;"nt Week'!H:H="""",iserror(find(""FINAL"",'Current Week'!G:G)))))"),3.0)</f>
        <v>3</v>
      </c>
    </row>
    <row r="18" hidden="1">
      <c r="A18" s="75" t="s">
        <v>95</v>
      </c>
      <c r="B18" s="76">
        <f>sumif('Current Week'!$B:$B,$A18,'Current Week'!D:D)</f>
        <v>79</v>
      </c>
      <c r="C18" s="76">
        <f>sumif('Current Week'!$B:$B,$A18,'Current Week'!E:E)</f>
        <v>41</v>
      </c>
      <c r="D18" s="76">
        <f>sumifs('Current Week'!D:D,'Current Week'!$B:$B,$A18,'Current Week'!T:T,"Power 5")</f>
        <v>0</v>
      </c>
      <c r="E18" s="76">
        <f>sumifs('Current Week'!D:D,'Current Week'!$B:$B,$A18,'Current Week'!T:T,"Group of 5")</f>
        <v>0</v>
      </c>
      <c r="F18" s="71">
        <f>10-countifs('Current Week'!B:B,A18,'Current Week'!G:G,"")</f>
        <v>10</v>
      </c>
      <c r="G18" s="72">
        <f>IFERROR(__xludf.DUMMYFUNCTION("COUNTA(iferror(filter('Current Week'!B:B,'Current Week'!B:B=A18,left('Current Week'!G:G,5)=""FINAL"")))"),10.0)</f>
        <v>10</v>
      </c>
      <c r="H18" s="72">
        <f>countifs('Current Week'!B:B,A18,'Current Week'!U:U,"=TRUE")</f>
        <v>9</v>
      </c>
      <c r="I18">
        <f t="shared" si="1"/>
        <v>0</v>
      </c>
      <c r="J18">
        <f>IFERROR(__xludf.DUMMYFUNCTION("countifs('Current Week'!B:B,A18,'Current Week'!K:K,""&lt;0"")+counta(iferror(filter('Current Week'!B:B,'Current Week'!B:B=A18,'Current Week'!F:F&lt;&gt;"""",'Current Week'!K:K="""",'Current Week'!H:H="""")))"),9.0)</f>
        <v>9</v>
      </c>
      <c r="K18">
        <f>IFERROR(__xludf.DUMMYFUNCTION("counta(iferror(filter('Current Week'!B:B,'Current Week'!B:B=A18,'Current Week'!K:K&gt;0,not(iserror(find(""FINAL"",'Current Week'!G:G))),'Current Week'!U:U=TRUE)))+counta(iferror(filter('Current Week'!B:B,'Current Week'!B:B=A18,'Current Week'!K:K="""",not(is"&amp;"error(find(""FINAL"",'Current Week'!G:G))),'Current Week'!U:U=TRUE,'Current Week'!H:H="""")))"),0.0)</f>
        <v>0</v>
      </c>
      <c r="L18">
        <f>IFERROR(__xludf.DUMMYFUNCTION("counta(iferror(filter('Current Week'!B:B,'Current Week'!B:B=A18,'Current Week'!K:K&lt;0,not(iserror(find(""FINAL"",'Current Week'!G:G))),'Current Week'!U:U&lt;&gt;TRUE)))"),0.0)</f>
        <v>0</v>
      </c>
      <c r="M18" s="86">
        <f>IFERROR(__xludf.DUMMYFUNCTION("H18+counta(iferror(filter('Current Week'!B:B,'Current Week'!B:B=A18,'Current Week'!K:K&lt;0,iserror(find(""FINAL"",'Current Week'!G:G)))))+counta(iferror(filter('Current Week'!B:B,'Current Week'!B:B=A18,'Current Week'!F:F&lt;&gt;"""",'Current Week'!J:J="""",'Curre"&amp;"nt Week'!H:H="""",iserror(find(""FINAL"",'Current Week'!G:G)))))"),9.0)</f>
        <v>9</v>
      </c>
    </row>
    <row r="19" hidden="1">
      <c r="A19" s="75" t="s">
        <v>62</v>
      </c>
      <c r="B19" s="76">
        <f>sumif('Current Week'!$B:$B,$A19,'Current Week'!D:D)</f>
        <v>57</v>
      </c>
      <c r="C19" s="76">
        <f>sumif('Current Week'!$B:$B,$A19,'Current Week'!E:E)</f>
        <v>63</v>
      </c>
      <c r="D19" s="76">
        <f>sumifs('Current Week'!D:D,'Current Week'!$B:$B,$A19,'Current Week'!T:T,"Power 5")</f>
        <v>0</v>
      </c>
      <c r="E19" s="76">
        <f>sumifs('Current Week'!D:D,'Current Week'!$B:$B,$A19,'Current Week'!T:T,"Group of 5")</f>
        <v>0</v>
      </c>
      <c r="F19" s="71">
        <f>10-countifs('Current Week'!B:B,A19,'Current Week'!G:G,"")</f>
        <v>10</v>
      </c>
      <c r="G19" s="72">
        <f>IFERROR(__xludf.DUMMYFUNCTION("COUNTA(iferror(filter('Current Week'!B:B,'Current Week'!B:B=A19,left('Current Week'!G:G,5)=""FINAL"")))"),10.0)</f>
        <v>10</v>
      </c>
      <c r="H19" s="72">
        <f>countifs('Current Week'!B:B,A19,'Current Week'!U:U,"=TRUE")</f>
        <v>5</v>
      </c>
      <c r="I19">
        <f t="shared" si="1"/>
        <v>0</v>
      </c>
      <c r="J19">
        <f>IFERROR(__xludf.DUMMYFUNCTION("countifs('Current Week'!B:B,A19,'Current Week'!K:K,""&lt;0"")+counta(iferror(filter('Current Week'!B:B,'Current Week'!B:B=A19,'Current Week'!F:F&lt;&gt;"""",'Current Week'!K:K="""",'Current Week'!H:H="""")))"),3.0)</f>
        <v>3</v>
      </c>
      <c r="K19">
        <f>IFERROR(__xludf.DUMMYFUNCTION("counta(iferror(filter('Current Week'!B:B,'Current Week'!B:B=A19,'Current Week'!K:K&gt;0,not(iserror(find(""FINAL"",'Current Week'!G:G))),'Current Week'!U:U=TRUE)))+counta(iferror(filter('Current Week'!B:B,'Current Week'!B:B=A19,'Current Week'!K:K="""",not(is"&amp;"error(find(""FINAL"",'Current Week'!G:G))),'Current Week'!U:U=TRUE,'Current Week'!H:H="""")))"),2.0)</f>
        <v>2</v>
      </c>
      <c r="L19">
        <f>IFERROR(__xludf.DUMMYFUNCTION("counta(iferror(filter('Current Week'!B:B,'Current Week'!B:B=A19,'Current Week'!K:K&lt;0,not(iserror(find(""FINAL"",'Current Week'!G:G))),'Current Week'!U:U&lt;&gt;TRUE)))"),0.0)</f>
        <v>0</v>
      </c>
      <c r="M19" s="86">
        <f>IFERROR(__xludf.DUMMYFUNCTION("H19+counta(iferror(filter('Current Week'!B:B,'Current Week'!B:B=A19,'Current Week'!K:K&lt;0,iserror(find(""FINAL"",'Current Week'!G:G)))))+counta(iferror(filter('Current Week'!B:B,'Current Week'!B:B=A19,'Current Week'!F:F&lt;&gt;"""",'Current Week'!J:J="""",'Curre"&amp;"nt Week'!H:H="""",iserror(find(""FINAL"",'Current Week'!G:G)))))"),5.0)</f>
        <v>5</v>
      </c>
    </row>
    <row r="20" hidden="1">
      <c r="A20" s="75" t="s">
        <v>193</v>
      </c>
      <c r="B20" s="76">
        <f>sumif('Current Week'!$B:$B,$A20,'Current Week'!D:D)</f>
        <v>66</v>
      </c>
      <c r="C20" s="76">
        <f>sumif('Current Week'!$B:$B,$A20,'Current Week'!E:E)</f>
        <v>54</v>
      </c>
      <c r="D20" s="76">
        <f>sumifs('Current Week'!D:D,'Current Week'!$B:$B,$A20,'Current Week'!T:T,"Power 5")</f>
        <v>0</v>
      </c>
      <c r="E20" s="76">
        <f>sumifs('Current Week'!D:D,'Current Week'!$B:$B,$A20,'Current Week'!T:T,"Group of 5")</f>
        <v>0</v>
      </c>
      <c r="F20" s="71">
        <f>10-countifs('Current Week'!B:B,A20,'Current Week'!G:G,"")</f>
        <v>9</v>
      </c>
      <c r="G20" s="72">
        <f>IFERROR(__xludf.DUMMYFUNCTION("COUNTA(iferror(filter('Current Week'!B:B,'Current Week'!B:B=A20,left('Current Week'!G:G,5)=""FINAL"")))"),9.0)</f>
        <v>9</v>
      </c>
      <c r="H20" s="72">
        <f>countifs('Current Week'!B:B,A20,'Current Week'!U:U,"=TRUE")</f>
        <v>3</v>
      </c>
      <c r="I20">
        <f t="shared" si="1"/>
        <v>0</v>
      </c>
      <c r="J20">
        <f>IFERROR(__xludf.DUMMYFUNCTION("countifs('Current Week'!B:B,A20,'Current Week'!K:K,""&lt;0"")+counta(iferror(filter('Current Week'!B:B,'Current Week'!B:B=A20,'Current Week'!F:F&lt;&gt;"""",'Current Week'!K:K="""",'Current Week'!H:H="""")))"),5.0)</f>
        <v>5</v>
      </c>
      <c r="K20">
        <f>IFERROR(__xludf.DUMMYFUNCTION("counta(iferror(filter('Current Week'!B:B,'Current Week'!B:B=A20,'Current Week'!K:K&gt;0,not(iserror(find(""FINAL"",'Current Week'!G:G))),'Current Week'!U:U=TRUE)))+counta(iferror(filter('Current Week'!B:B,'Current Week'!B:B=A20,'Current Week'!K:K="""",not(is"&amp;"error(find(""FINAL"",'Current Week'!G:G))),'Current Week'!U:U=TRUE,'Current Week'!H:H="""")))"),1.0)</f>
        <v>1</v>
      </c>
      <c r="L20">
        <f>IFERROR(__xludf.DUMMYFUNCTION("counta(iferror(filter('Current Week'!B:B,'Current Week'!B:B=A20,'Current Week'!K:K&lt;0,not(iserror(find(""FINAL"",'Current Week'!G:G))),'Current Week'!U:U&lt;&gt;TRUE)))"),3.0)</f>
        <v>3</v>
      </c>
      <c r="M20" s="86">
        <f>IFERROR(__xludf.DUMMYFUNCTION("H20+counta(iferror(filter('Current Week'!B:B,'Current Week'!B:B=A20,'Current Week'!K:K&lt;0,iserror(find(""FINAL"",'Current Week'!G:G)))))+counta(iferror(filter('Current Week'!B:B,'Current Week'!B:B=A20,'Current Week'!F:F&lt;&gt;"""",'Current Week'!J:J="""",'Curre"&amp;"nt Week'!H:H="""",iserror(find(""FINAL"",'Current Week'!G:G)))))"),3.0)</f>
        <v>3</v>
      </c>
    </row>
    <row r="21" hidden="1">
      <c r="A21" s="75" t="s">
        <v>311</v>
      </c>
      <c r="B21" s="76">
        <f>sumif('Current Week'!$B:$B,$A21,'Current Week'!D:D)</f>
        <v>60</v>
      </c>
      <c r="C21" s="76">
        <f>sumif('Current Week'!$B:$B,$A21,'Current Week'!E:E)</f>
        <v>60</v>
      </c>
      <c r="D21" s="76">
        <f>sumifs('Current Week'!D:D,'Current Week'!$B:$B,$A21,'Current Week'!T:T,"Power 5")</f>
        <v>0</v>
      </c>
      <c r="E21" s="76">
        <f>sumifs('Current Week'!D:D,'Current Week'!$B:$B,$A21,'Current Week'!T:T,"Group of 5")</f>
        <v>0</v>
      </c>
      <c r="F21" s="71">
        <f>10-countifs('Current Week'!B:B,A21,'Current Week'!G:G,"")</f>
        <v>10</v>
      </c>
      <c r="G21" s="72">
        <f>IFERROR(__xludf.DUMMYFUNCTION("COUNTA(iferror(filter('Current Week'!B:B,'Current Week'!B:B=A21,left('Current Week'!G:G,5)=""FINAL"")))"),10.0)</f>
        <v>10</v>
      </c>
      <c r="H21" s="72">
        <f>countifs('Current Week'!B:B,A21,'Current Week'!U:U,"=TRUE")</f>
        <v>2</v>
      </c>
      <c r="I21">
        <f t="shared" si="1"/>
        <v>0</v>
      </c>
      <c r="J21">
        <f>IFERROR(__xludf.DUMMYFUNCTION("countifs('Current Week'!B:B,A21,'Current Week'!K:K,""&lt;0"")+counta(iferror(filter('Current Week'!B:B,'Current Week'!B:B=A21,'Current Week'!F:F&lt;&gt;"""",'Current Week'!K:K="""",'Current Week'!H:H="""")))"),5.0)</f>
        <v>5</v>
      </c>
      <c r="K21">
        <f>IFERROR(__xludf.DUMMYFUNCTION("counta(iferror(filter('Current Week'!B:B,'Current Week'!B:B=A21,'Current Week'!K:K&gt;0,not(iserror(find(""FINAL"",'Current Week'!G:G))),'Current Week'!U:U=TRUE)))+counta(iferror(filter('Current Week'!B:B,'Current Week'!B:B=A21,'Current Week'!K:K="""",not(is"&amp;"error(find(""FINAL"",'Current Week'!G:G))),'Current Week'!U:U=TRUE,'Current Week'!H:H="""")))"),0.0)</f>
        <v>0</v>
      </c>
      <c r="L21">
        <f>IFERROR(__xludf.DUMMYFUNCTION("counta(iferror(filter('Current Week'!B:B,'Current Week'!B:B=A21,'Current Week'!K:K&lt;0,not(iserror(find(""FINAL"",'Current Week'!G:G))),'Current Week'!U:U&lt;&gt;TRUE)))"),3.0)</f>
        <v>3</v>
      </c>
      <c r="M21" s="86">
        <f>IFERROR(__xludf.DUMMYFUNCTION("H21+counta(iferror(filter('Current Week'!B:B,'Current Week'!B:B=A21,'Current Week'!K:K&lt;0,iserror(find(""FINAL"",'Current Week'!G:G)))))+counta(iferror(filter('Current Week'!B:B,'Current Week'!B:B=A21,'Current Week'!F:F&lt;&gt;"""",'Current Week'!J:J="""",'Curre"&amp;"nt Week'!H:H="""",iserror(find(""FINAL"",'Current Week'!G:G)))))"),2.0)</f>
        <v>2</v>
      </c>
    </row>
    <row r="22" hidden="1">
      <c r="A22" s="75" t="s">
        <v>224</v>
      </c>
      <c r="B22" s="76">
        <f>sumif('Current Week'!$B:$B,$A22,'Current Week'!D:D)</f>
        <v>62</v>
      </c>
      <c r="C22" s="76">
        <f>sumif('Current Week'!$B:$B,$A22,'Current Week'!E:E)</f>
        <v>57</v>
      </c>
      <c r="D22" s="76">
        <f>sumifs('Current Week'!D:D,'Current Week'!$B:$B,$A22,'Current Week'!T:T,"Power 5")</f>
        <v>0</v>
      </c>
      <c r="E22" s="76">
        <f>sumifs('Current Week'!D:D,'Current Week'!$B:$B,$A22,'Current Week'!T:T,"Group of 5")</f>
        <v>0</v>
      </c>
      <c r="F22" s="71">
        <f>10-countifs('Current Week'!B:B,A22,'Current Week'!G:G,"")</f>
        <v>10</v>
      </c>
      <c r="G22" s="72">
        <f>IFERROR(__xludf.DUMMYFUNCTION("COUNTA(iferror(filter('Current Week'!B:B,'Current Week'!B:B=A22,left('Current Week'!G:G,5)=""FINAL"")))"),10.0)</f>
        <v>10</v>
      </c>
      <c r="H22" s="72">
        <f>countifs('Current Week'!B:B,A22,'Current Week'!U:U,"=TRUE")</f>
        <v>8</v>
      </c>
      <c r="I22">
        <f t="shared" si="1"/>
        <v>0</v>
      </c>
      <c r="J22">
        <f>IFERROR(__xludf.DUMMYFUNCTION("countifs('Current Week'!B:B,A22,'Current Week'!K:K,""&lt;0"")+counta(iferror(filter('Current Week'!B:B,'Current Week'!B:B=A22,'Current Week'!F:F&lt;&gt;"""",'Current Week'!K:K="""",'Current Week'!H:H="""")))"),5.0)</f>
        <v>5</v>
      </c>
      <c r="K22">
        <f>IFERROR(__xludf.DUMMYFUNCTION("counta(iferror(filter('Current Week'!B:B,'Current Week'!B:B=A22,'Current Week'!K:K&gt;0,not(iserror(find(""FINAL"",'Current Week'!G:G))),'Current Week'!U:U=TRUE)))+counta(iferror(filter('Current Week'!B:B,'Current Week'!B:B=A22,'Current Week'!K:K="""",not(is"&amp;"error(find(""FINAL"",'Current Week'!G:G))),'Current Week'!U:U=TRUE,'Current Week'!H:H="""")))"),2.0)</f>
        <v>2</v>
      </c>
      <c r="L22">
        <f>IFERROR(__xludf.DUMMYFUNCTION("counta(iferror(filter('Current Week'!B:B,'Current Week'!B:B=A22,'Current Week'!K:K&lt;0,not(iserror(find(""FINAL"",'Current Week'!G:G))),'Current Week'!U:U&lt;&gt;TRUE)))"),0.0)</f>
        <v>0</v>
      </c>
      <c r="M22" s="86">
        <f>IFERROR(__xludf.DUMMYFUNCTION("H22+counta(iferror(filter('Current Week'!B:B,'Current Week'!B:B=A22,'Current Week'!K:K&lt;0,iserror(find(""FINAL"",'Current Week'!G:G)))))+counta(iferror(filter('Current Week'!B:B,'Current Week'!B:B=A22,'Current Week'!F:F&lt;&gt;"""",'Current Week'!J:J="""",'Curre"&amp;"nt Week'!H:H="""",iserror(find(""FINAL"",'Current Week'!G:G)))))"),8.0)</f>
        <v>8</v>
      </c>
    </row>
    <row r="23" hidden="1">
      <c r="A23" s="75" t="s">
        <v>96</v>
      </c>
      <c r="B23" s="76">
        <f>sumif('Current Week'!$B:$B,$A23,'Current Week'!D:D)</f>
        <v>75</v>
      </c>
      <c r="C23" s="76">
        <f>sumif('Current Week'!$B:$B,$A23,'Current Week'!E:E)</f>
        <v>45</v>
      </c>
      <c r="D23" s="76">
        <f>sumifs('Current Week'!D:D,'Current Week'!$B:$B,$A23,'Current Week'!T:T,"Power 5")</f>
        <v>0</v>
      </c>
      <c r="E23" s="76">
        <f>sumifs('Current Week'!D:D,'Current Week'!$B:$B,$A23,'Current Week'!T:T,"Group of 5")</f>
        <v>0</v>
      </c>
      <c r="F23" s="71">
        <f>10-countifs('Current Week'!B:B,A23,'Current Week'!G:G,"")</f>
        <v>10</v>
      </c>
      <c r="G23" s="72">
        <f>IFERROR(__xludf.DUMMYFUNCTION("COUNTA(iferror(filter('Current Week'!B:B,'Current Week'!B:B=A23,left('Current Week'!G:G,5)=""FINAL"")))"),10.0)</f>
        <v>10</v>
      </c>
      <c r="H23" s="72">
        <f>countifs('Current Week'!B:B,A23,'Current Week'!U:U,"=TRUE")</f>
        <v>8</v>
      </c>
      <c r="I23">
        <f t="shared" si="1"/>
        <v>0</v>
      </c>
      <c r="J23">
        <f>IFERROR(__xludf.DUMMYFUNCTION("countifs('Current Week'!B:B,A23,'Current Week'!K:K,""&lt;0"")+counta(iferror(filter('Current Week'!B:B,'Current Week'!B:B=A23,'Current Week'!F:F&lt;&gt;"""",'Current Week'!K:K="""",'Current Week'!H:H="""")))"),6.0)</f>
        <v>6</v>
      </c>
      <c r="K23">
        <f>IFERROR(__xludf.DUMMYFUNCTION("counta(iferror(filter('Current Week'!B:B,'Current Week'!B:B=A23,'Current Week'!K:K&gt;0,not(iserror(find(""FINAL"",'Current Week'!G:G))),'Current Week'!U:U=TRUE)))+counta(iferror(filter('Current Week'!B:B,'Current Week'!B:B=A23,'Current Week'!K:K="""",not(is"&amp;"error(find(""FINAL"",'Current Week'!G:G))),'Current Week'!U:U=TRUE,'Current Week'!H:H="""")))"),2.0)</f>
        <v>2</v>
      </c>
      <c r="L23">
        <f>IFERROR(__xludf.DUMMYFUNCTION("counta(iferror(filter('Current Week'!B:B,'Current Week'!B:B=A23,'Current Week'!K:K&lt;0,not(iserror(find(""FINAL"",'Current Week'!G:G))),'Current Week'!U:U&lt;&gt;TRUE)))"),0.0)</f>
        <v>0</v>
      </c>
      <c r="M23" s="86">
        <f>IFERROR(__xludf.DUMMYFUNCTION("H23+counta(iferror(filter('Current Week'!B:B,'Current Week'!B:B=A23,'Current Week'!K:K&lt;0,iserror(find(""FINAL"",'Current Week'!G:G)))))+counta(iferror(filter('Current Week'!B:B,'Current Week'!B:B=A23,'Current Week'!F:F&lt;&gt;"""",'Current Week'!J:J="""",'Curre"&amp;"nt Week'!H:H="""",iserror(find(""FINAL"",'Current Week'!G:G)))))"),8.0)</f>
        <v>8</v>
      </c>
    </row>
    <row r="24" hidden="1">
      <c r="A24" s="75" t="s">
        <v>238</v>
      </c>
      <c r="B24" s="76">
        <f>sumif('Current Week'!$B:$B,$A24,'Current Week'!D:D)</f>
        <v>61</v>
      </c>
      <c r="C24" s="76">
        <f>sumif('Current Week'!$B:$B,$A24,'Current Week'!E:E)</f>
        <v>59</v>
      </c>
      <c r="D24" s="76">
        <f>sumifs('Current Week'!D:D,'Current Week'!$B:$B,$A24,'Current Week'!T:T,"Power 5")</f>
        <v>0</v>
      </c>
      <c r="E24" s="76">
        <f>sumifs('Current Week'!D:D,'Current Week'!$B:$B,$A24,'Current Week'!T:T,"Group of 5")</f>
        <v>0</v>
      </c>
      <c r="F24" s="71">
        <f>10-countifs('Current Week'!B:B,A24,'Current Week'!G:G,"")</f>
        <v>10</v>
      </c>
      <c r="G24" s="72">
        <f>IFERROR(__xludf.DUMMYFUNCTION("COUNTA(iferror(filter('Current Week'!B:B,'Current Week'!B:B=A24,left('Current Week'!G:G,5)=""FINAL"")))"),10.0)</f>
        <v>10</v>
      </c>
      <c r="H24" s="72">
        <f>countifs('Current Week'!B:B,A24,'Current Week'!U:U,"=TRUE")</f>
        <v>2</v>
      </c>
      <c r="I24">
        <f t="shared" si="1"/>
        <v>0</v>
      </c>
      <c r="J24">
        <f>IFERROR(__xludf.DUMMYFUNCTION("countifs('Current Week'!B:B,A24,'Current Week'!K:K,""&lt;0"")+counta(iferror(filter('Current Week'!B:B,'Current Week'!B:B=A24,'Current Week'!F:F&lt;&gt;"""",'Current Week'!K:K="""",'Current Week'!H:H="""")))"),4.0)</f>
        <v>4</v>
      </c>
      <c r="K24">
        <f>IFERROR(__xludf.DUMMYFUNCTION("counta(iferror(filter('Current Week'!B:B,'Current Week'!B:B=A24,'Current Week'!K:K&gt;0,not(iserror(find(""FINAL"",'Current Week'!G:G))),'Current Week'!U:U=TRUE)))+counta(iferror(filter('Current Week'!B:B,'Current Week'!B:B=A24,'Current Week'!K:K="""",not(is"&amp;"error(find(""FINAL"",'Current Week'!G:G))),'Current Week'!U:U=TRUE,'Current Week'!H:H="""")))"),1.0)</f>
        <v>1</v>
      </c>
      <c r="L24">
        <f>IFERROR(__xludf.DUMMYFUNCTION("counta(iferror(filter('Current Week'!B:B,'Current Week'!B:B=A24,'Current Week'!K:K&lt;0,not(iserror(find(""FINAL"",'Current Week'!G:G))),'Current Week'!U:U&lt;&gt;TRUE)))"),3.0)</f>
        <v>3</v>
      </c>
      <c r="M24" s="86">
        <f>IFERROR(__xludf.DUMMYFUNCTION("H24+counta(iferror(filter('Current Week'!B:B,'Current Week'!B:B=A24,'Current Week'!K:K&lt;0,iserror(find(""FINAL"",'Current Week'!G:G)))))+counta(iferror(filter('Current Week'!B:B,'Current Week'!B:B=A24,'Current Week'!F:F&lt;&gt;"""",'Current Week'!J:J="""",'Curre"&amp;"nt Week'!H:H="""",iserror(find(""FINAL"",'Current Week'!G:G)))))"),2.0)</f>
        <v>2</v>
      </c>
    </row>
    <row r="25" hidden="1">
      <c r="A25" s="75" t="s">
        <v>156</v>
      </c>
      <c r="B25" s="76">
        <f>sumif('Current Week'!$B:$B,$A25,'Current Week'!D:D)</f>
        <v>69</v>
      </c>
      <c r="C25" s="76">
        <f>sumif('Current Week'!$B:$B,$A25,'Current Week'!E:E)</f>
        <v>51</v>
      </c>
      <c r="D25" s="76">
        <f>sumifs('Current Week'!D:D,'Current Week'!$B:$B,$A25,'Current Week'!T:T,"Power 5")</f>
        <v>0</v>
      </c>
      <c r="E25" s="76">
        <f>sumifs('Current Week'!D:D,'Current Week'!$B:$B,$A25,'Current Week'!T:T,"Group of 5")</f>
        <v>0</v>
      </c>
      <c r="F25" s="71">
        <f>10-countifs('Current Week'!B:B,A25,'Current Week'!G:G,"")</f>
        <v>10</v>
      </c>
      <c r="G25" s="72">
        <f>IFERROR(__xludf.DUMMYFUNCTION("COUNTA(iferror(filter('Current Week'!B:B,'Current Week'!B:B=A25,left('Current Week'!G:G,5)=""FINAL"")))"),10.0)</f>
        <v>10</v>
      </c>
      <c r="H25" s="72">
        <f>countifs('Current Week'!B:B,A25,'Current Week'!U:U,"=TRUE")</f>
        <v>6</v>
      </c>
      <c r="I25">
        <f t="shared" si="1"/>
        <v>0</v>
      </c>
      <c r="J25">
        <f>IFERROR(__xludf.DUMMYFUNCTION("countifs('Current Week'!B:B,A25,'Current Week'!K:K,""&lt;0"")+counta(iferror(filter('Current Week'!B:B,'Current Week'!B:B=A25,'Current Week'!F:F&lt;&gt;"""",'Current Week'!K:K="""",'Current Week'!H:H="""")))"),5.0)</f>
        <v>5</v>
      </c>
      <c r="K25">
        <f>IFERROR(__xludf.DUMMYFUNCTION("counta(iferror(filter('Current Week'!B:B,'Current Week'!B:B=A25,'Current Week'!K:K&gt;0,not(iserror(find(""FINAL"",'Current Week'!G:G))),'Current Week'!U:U=TRUE)))+counta(iferror(filter('Current Week'!B:B,'Current Week'!B:B=A25,'Current Week'!K:K="""",not(is"&amp;"error(find(""FINAL"",'Current Week'!G:G))),'Current Week'!U:U=TRUE,'Current Week'!H:H="""")))"),1.0)</f>
        <v>1</v>
      </c>
      <c r="L25">
        <f>IFERROR(__xludf.DUMMYFUNCTION("counta(iferror(filter('Current Week'!B:B,'Current Week'!B:B=A25,'Current Week'!K:K&lt;0,not(iserror(find(""FINAL"",'Current Week'!G:G))),'Current Week'!U:U&lt;&gt;TRUE)))"),0.0)</f>
        <v>0</v>
      </c>
      <c r="M25" s="86">
        <f>IFERROR(__xludf.DUMMYFUNCTION("H25+counta(iferror(filter('Current Week'!B:B,'Current Week'!B:B=A25,'Current Week'!K:K&lt;0,iserror(find(""FINAL"",'Current Week'!G:G)))))+counta(iferror(filter('Current Week'!B:B,'Current Week'!B:B=A25,'Current Week'!F:F&lt;&gt;"""",'Current Week'!J:J="""",'Curre"&amp;"nt Week'!H:H="""",iserror(find(""FINAL"",'Current Week'!G:G)))))"),6.0)</f>
        <v>6</v>
      </c>
    </row>
    <row r="26" hidden="1">
      <c r="A26" s="75" t="s">
        <v>249</v>
      </c>
      <c r="B26" s="76">
        <f>sumif('Current Week'!$B:$B,$A26,'Current Week'!D:D)</f>
        <v>61</v>
      </c>
      <c r="C26" s="76">
        <f>sumif('Current Week'!$B:$B,$A26,'Current Week'!E:E)</f>
        <v>59</v>
      </c>
      <c r="D26" s="76">
        <f>sumifs('Current Week'!D:D,'Current Week'!$B:$B,$A26,'Current Week'!T:T,"Power 5")</f>
        <v>0</v>
      </c>
      <c r="E26" s="76">
        <f>sumifs('Current Week'!D:D,'Current Week'!$B:$B,$A26,'Current Week'!T:T,"Group of 5")</f>
        <v>0</v>
      </c>
      <c r="F26" s="71">
        <f>10-countifs('Current Week'!B:B,A26,'Current Week'!G:G,"")</f>
        <v>10</v>
      </c>
      <c r="G26" s="72">
        <f>IFERROR(__xludf.DUMMYFUNCTION("COUNTA(iferror(filter('Current Week'!B:B,'Current Week'!B:B=A26,left('Current Week'!G:G,5)=""FINAL"")))"),10.0)</f>
        <v>10</v>
      </c>
      <c r="H26" s="72">
        <f>countifs('Current Week'!B:B,A26,'Current Week'!U:U,"=TRUE")</f>
        <v>5</v>
      </c>
      <c r="I26">
        <f t="shared" si="1"/>
        <v>0</v>
      </c>
      <c r="J26">
        <f>IFERROR(__xludf.DUMMYFUNCTION("countifs('Current Week'!B:B,A26,'Current Week'!K:K,""&lt;0"")+counta(iferror(filter('Current Week'!B:B,'Current Week'!B:B=A26,'Current Week'!F:F&lt;&gt;"""",'Current Week'!K:K="""",'Current Week'!H:H="""")))"),5.0)</f>
        <v>5</v>
      </c>
      <c r="K26">
        <f>IFERROR(__xludf.DUMMYFUNCTION("counta(iferror(filter('Current Week'!B:B,'Current Week'!B:B=A26,'Current Week'!K:K&gt;0,not(iserror(find(""FINAL"",'Current Week'!G:G))),'Current Week'!U:U=TRUE)))+counta(iferror(filter('Current Week'!B:B,'Current Week'!B:B=A26,'Current Week'!K:K="""",not(is"&amp;"error(find(""FINAL"",'Current Week'!G:G))),'Current Week'!U:U=TRUE,'Current Week'!H:H="""")))"),2.0)</f>
        <v>2</v>
      </c>
      <c r="L26">
        <f>IFERROR(__xludf.DUMMYFUNCTION("counta(iferror(filter('Current Week'!B:B,'Current Week'!B:B=A26,'Current Week'!K:K&lt;0,not(iserror(find(""FINAL"",'Current Week'!G:G))),'Current Week'!U:U&lt;&gt;TRUE)))"),2.0)</f>
        <v>2</v>
      </c>
      <c r="M26" s="86">
        <f>IFERROR(__xludf.DUMMYFUNCTION("H26+counta(iferror(filter('Current Week'!B:B,'Current Week'!B:B=A26,'Current Week'!K:K&lt;0,iserror(find(""FINAL"",'Current Week'!G:G)))))+counta(iferror(filter('Current Week'!B:B,'Current Week'!B:B=A26,'Current Week'!F:F&lt;&gt;"""",'Current Week'!J:J="""",'Curre"&amp;"nt Week'!H:H="""",iserror(find(""FINAL"",'Current Week'!G:G)))))"),5.0)</f>
        <v>5</v>
      </c>
    </row>
    <row r="27" hidden="1">
      <c r="A27" s="75" t="s">
        <v>395</v>
      </c>
      <c r="B27" s="76">
        <f>sumif('Current Week'!$B:$B,$A27,'Current Week'!D:D)</f>
        <v>83</v>
      </c>
      <c r="C27" s="76">
        <f>sumif('Current Week'!$B:$B,$A27,'Current Week'!E:E)</f>
        <v>36</v>
      </c>
      <c r="D27" s="76">
        <f>sumifs('Current Week'!D:D,'Current Week'!$B:$B,$A27,'Current Week'!T:T,"Power 5")</f>
        <v>0</v>
      </c>
      <c r="E27" s="76">
        <f>sumifs('Current Week'!D:D,'Current Week'!$B:$B,$A27,'Current Week'!T:T,"Group of 5")</f>
        <v>0</v>
      </c>
      <c r="F27" s="71">
        <f>10-countifs('Current Week'!B:B,A27,'Current Week'!G:G,"")</f>
        <v>9</v>
      </c>
      <c r="G27" s="72">
        <f>IFERROR(__xludf.DUMMYFUNCTION("COUNTA(iferror(filter('Current Week'!B:B,'Current Week'!B:B=A27,left('Current Week'!G:G,5)=""FINAL"")))"),9.0)</f>
        <v>9</v>
      </c>
      <c r="H27" s="72">
        <f>countifs('Current Week'!B:B,A27,'Current Week'!U:U,"=TRUE")</f>
        <v>6</v>
      </c>
      <c r="I27">
        <f t="shared" si="1"/>
        <v>0</v>
      </c>
      <c r="J27">
        <f>IFERROR(__xludf.DUMMYFUNCTION("countifs('Current Week'!B:B,A27,'Current Week'!K:K,""&lt;0"")+counta(iferror(filter('Current Week'!B:B,'Current Week'!B:B=A27,'Current Week'!F:F&lt;&gt;"""",'Current Week'!K:K="""",'Current Week'!H:H="""")))"),4.0)</f>
        <v>4</v>
      </c>
      <c r="K27">
        <f>IFERROR(__xludf.DUMMYFUNCTION("counta(iferror(filter('Current Week'!B:B,'Current Week'!B:B=A27,'Current Week'!K:K&gt;0,not(iserror(find(""FINAL"",'Current Week'!G:G))),'Current Week'!U:U=TRUE)))+counta(iferror(filter('Current Week'!B:B,'Current Week'!B:B=A27,'Current Week'!K:K="""",not(is"&amp;"error(find(""FINAL"",'Current Week'!G:G))),'Current Week'!U:U=TRUE,'Current Week'!H:H="""")))"),3.0)</f>
        <v>3</v>
      </c>
      <c r="L27">
        <f>IFERROR(__xludf.DUMMYFUNCTION("counta(iferror(filter('Current Week'!B:B,'Current Week'!B:B=A27,'Current Week'!K:K&lt;0,not(iserror(find(""FINAL"",'Current Week'!G:G))),'Current Week'!U:U&lt;&gt;TRUE)))"),1.0)</f>
        <v>1</v>
      </c>
      <c r="M27" s="86">
        <f>IFERROR(__xludf.DUMMYFUNCTION("H27+counta(iferror(filter('Current Week'!B:B,'Current Week'!B:B=A27,'Current Week'!K:K&lt;0,iserror(find(""FINAL"",'Current Week'!G:G)))))+counta(iferror(filter('Current Week'!B:B,'Current Week'!B:B=A27,'Current Week'!F:F&lt;&gt;"""",'Current Week'!J:J="""",'Curre"&amp;"nt Week'!H:H="""",iserror(find(""FINAL"",'Current Week'!G:G)))))"),6.0)</f>
        <v>6</v>
      </c>
    </row>
    <row r="28" hidden="1">
      <c r="A28" s="75" t="s">
        <v>132</v>
      </c>
      <c r="B28" s="76">
        <f>sumif('Current Week'!$B:$B,$A28,'Current Week'!D:D)</f>
        <v>71</v>
      </c>
      <c r="C28" s="76">
        <f>sumif('Current Week'!$B:$B,$A28,'Current Week'!E:E)</f>
        <v>49</v>
      </c>
      <c r="D28" s="76">
        <f>sumifs('Current Week'!D:D,'Current Week'!$B:$B,$A28,'Current Week'!T:T,"Power 5")</f>
        <v>0</v>
      </c>
      <c r="E28" s="76">
        <f>sumifs('Current Week'!D:D,'Current Week'!$B:$B,$A28,'Current Week'!T:T,"Group of 5")</f>
        <v>0</v>
      </c>
      <c r="F28" s="71">
        <f>10-countifs('Current Week'!B:B,A28,'Current Week'!G:G,"")</f>
        <v>10</v>
      </c>
      <c r="G28" s="72">
        <f>IFERROR(__xludf.DUMMYFUNCTION("COUNTA(iferror(filter('Current Week'!B:B,'Current Week'!B:B=A28,left('Current Week'!G:G,5)=""FINAL"")))"),10.0)</f>
        <v>10</v>
      </c>
      <c r="H28" s="72">
        <f>countifs('Current Week'!B:B,A28,'Current Week'!U:U,"=TRUE")</f>
        <v>6</v>
      </c>
      <c r="I28">
        <f t="shared" si="1"/>
        <v>0</v>
      </c>
      <c r="J28">
        <f>IFERROR(__xludf.DUMMYFUNCTION("countifs('Current Week'!B:B,A28,'Current Week'!K:K,""&lt;0"")+counta(iferror(filter('Current Week'!B:B,'Current Week'!B:B=A28,'Current Week'!F:F&lt;&gt;"""",'Current Week'!K:K="""",'Current Week'!H:H="""")))"),5.0)</f>
        <v>5</v>
      </c>
      <c r="K28">
        <f>IFERROR(__xludf.DUMMYFUNCTION("counta(iferror(filter('Current Week'!B:B,'Current Week'!B:B=A28,'Current Week'!K:K&gt;0,not(iserror(find(""FINAL"",'Current Week'!G:G))),'Current Week'!U:U=TRUE)))+counta(iferror(filter('Current Week'!B:B,'Current Week'!B:B=A28,'Current Week'!K:K="""",not(is"&amp;"error(find(""FINAL"",'Current Week'!G:G))),'Current Week'!U:U=TRUE,'Current Week'!H:H="""")))"),2.0)</f>
        <v>2</v>
      </c>
      <c r="L28">
        <f>IFERROR(__xludf.DUMMYFUNCTION("counta(iferror(filter('Current Week'!B:B,'Current Week'!B:B=A28,'Current Week'!K:K&lt;0,not(iserror(find(""FINAL"",'Current Week'!G:G))),'Current Week'!U:U&lt;&gt;TRUE)))"),1.0)</f>
        <v>1</v>
      </c>
      <c r="M28" s="86">
        <f>IFERROR(__xludf.DUMMYFUNCTION("H28+counta(iferror(filter('Current Week'!B:B,'Current Week'!B:B=A28,'Current Week'!K:K&lt;0,iserror(find(""FINAL"",'Current Week'!G:G)))))+counta(iferror(filter('Current Week'!B:B,'Current Week'!B:B=A28,'Current Week'!F:F&lt;&gt;"""",'Current Week'!J:J="""",'Curre"&amp;"nt Week'!H:H="""",iserror(find(""FINAL"",'Current Week'!G:G)))))"),6.0)</f>
        <v>6</v>
      </c>
    </row>
    <row r="29" hidden="1">
      <c r="A29" s="120"/>
      <c r="B29" s="76">
        <f>sumif('Current Week'!$B:$B,$A29,'Current Week'!D:D)</f>
        <v>0</v>
      </c>
      <c r="C29" s="76">
        <f>sumif('Current Week'!$B:$B,$A29,'Current Week'!E:E)</f>
        <v>0</v>
      </c>
      <c r="D29" s="76">
        <f>sumifs('Current Week'!D:D,'Current Week'!$B:$B,$A29,'Current Week'!T:T,"Power 5")</f>
        <v>0</v>
      </c>
      <c r="E29" s="76">
        <f>sumifs('Current Week'!D:D,'Current Week'!$B:$B,$A29,'Current Week'!T:T,"Group of 5")</f>
        <v>0</v>
      </c>
      <c r="F29" s="71">
        <f>10-countifs('Current Week'!B:B,A29,'Current Week'!G:G,"")</f>
        <v>10</v>
      </c>
      <c r="G29" s="72">
        <f>IFERROR(__xludf.DUMMYFUNCTION("COUNTA(iferror(filter('Current Week'!B:B,'Current Week'!B:B=A29,left('Current Week'!G:G,5)=""FINAL"")))"),0.0)</f>
        <v>0</v>
      </c>
      <c r="H29" s="72">
        <f>countifs('Current Week'!B:B,A29,'Current Week'!U:U,"=TRUE")</f>
        <v>0</v>
      </c>
      <c r="I29">
        <f t="shared" si="1"/>
        <v>10</v>
      </c>
      <c r="J29">
        <f>IFERROR(__xludf.DUMMYFUNCTION("countifs('Current Week'!B:B,A29,'Current Week'!K:K,""&lt;0"")+counta(iferror(filter('Current Week'!B:B,'Current Week'!B:B=A29,'Current Week'!F:F&lt;&gt;"""",'Current Week'!K:K="""",'Current Week'!H:H="""")))"),0.0)</f>
        <v>0</v>
      </c>
      <c r="K29">
        <f>IFERROR(__xludf.DUMMYFUNCTION("counta(iferror(filter('Current Week'!B:B,'Current Week'!B:B=A29,'Current Week'!K:K&gt;0,not(iserror(find(""FINAL"",'Current Week'!G:G))),'Current Week'!U:U=TRUE)))+counta(iferror(filter('Current Week'!B:B,'Current Week'!B:B=A29,'Current Week'!K:K="""",not(is"&amp;"error(find(""FINAL"",'Current Week'!G:G))),'Current Week'!U:U=TRUE,'Current Week'!H:H="""")))"),0.0)</f>
        <v>0</v>
      </c>
      <c r="L29">
        <f>IFERROR(__xludf.DUMMYFUNCTION("counta(iferror(filter('Current Week'!B:B,'Current Week'!B:B=A29,'Current Week'!K:K&lt;0,not(iserror(find(""FINAL"",'Current Week'!G:G))),'Current Week'!U:U&lt;&gt;TRUE)))"),0.0)</f>
        <v>0</v>
      </c>
      <c r="M29" s="86">
        <f>IFERROR(__xludf.DUMMYFUNCTION("H29+counta(iferror(filter('Current Week'!B:B,'Current Week'!B:B=A29,'Current Week'!K:K&lt;0,iserror(find(""FINAL"",'Current Week'!G:G)))))+counta(iferror(filter('Current Week'!B:B,'Current Week'!B:B=A29,'Current Week'!F:F&lt;&gt;"""",'Current Week'!J:J="""",'Curre"&amp;"nt Week'!H:H="""",iserror(find(""FINAL"",'Current Week'!G:G)))))"),0.0)</f>
        <v>0</v>
      </c>
    </row>
  </sheetData>
  <mergeCells count="3">
    <mergeCell ref="B1:E1"/>
    <mergeCell ref="F1:L1"/>
    <mergeCell ref="M1:M2"/>
  </mergeCell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1.38"/>
    <col customWidth="1" min="2" max="2" width="10.63"/>
    <col customWidth="1" min="3" max="3" width="17.75"/>
    <col customWidth="1" min="4" max="4" width="3.88"/>
    <col customWidth="1" min="5" max="5" width="4.5"/>
    <col customWidth="1" min="6" max="6" width="35.38"/>
    <col customWidth="1" min="7" max="7" width="17.38"/>
    <col customWidth="1" min="8" max="8" width="11.13"/>
    <col customWidth="1" min="9" max="9" width="9.63"/>
    <col customWidth="1" hidden="1" min="10" max="10" width="8.0"/>
    <col customWidth="1" min="11" max="11" width="8.75"/>
    <col customWidth="1" hidden="1" min="12" max="12" width="10.38"/>
    <col customWidth="1" min="13" max="13" width="9.38"/>
    <col customWidth="1" min="14" max="14" width="5.63"/>
    <col customWidth="1" min="15" max="15" width="5.75"/>
    <col customWidth="1" hidden="1" min="16" max="21" width="9.63"/>
  </cols>
  <sheetData>
    <row r="1" ht="21.0" customHeight="1">
      <c r="A1" s="3">
        <v>100.0</v>
      </c>
      <c r="B1" s="3" t="s">
        <v>12</v>
      </c>
      <c r="C1" s="4" t="s">
        <v>13</v>
      </c>
      <c r="D1" s="4" t="s">
        <v>15</v>
      </c>
      <c r="E1" s="5" t="s">
        <v>16</v>
      </c>
      <c r="F1" s="6" t="s">
        <v>17</v>
      </c>
      <c r="G1" s="7" t="s">
        <v>18</v>
      </c>
      <c r="H1" s="7" t="s">
        <v>19</v>
      </c>
      <c r="I1" s="8" t="s">
        <v>20</v>
      </c>
      <c r="J1" s="6" t="s">
        <v>21</v>
      </c>
      <c r="K1" s="7" t="s">
        <v>22</v>
      </c>
      <c r="L1" s="11" t="s">
        <v>23</v>
      </c>
      <c r="M1" s="11" t="s">
        <v>27</v>
      </c>
      <c r="N1" s="4" t="s">
        <v>29</v>
      </c>
      <c r="O1" s="4" t="s">
        <v>30</v>
      </c>
      <c r="P1" s="4" t="s">
        <v>32</v>
      </c>
      <c r="Q1" s="4" t="s">
        <v>33</v>
      </c>
      <c r="R1" s="4" t="s">
        <v>34</v>
      </c>
      <c r="S1" s="14" t="s">
        <v>36</v>
      </c>
      <c r="T1" s="14" t="s">
        <v>38</v>
      </c>
      <c r="U1" s="14" t="s">
        <v>40</v>
      </c>
    </row>
    <row r="2" hidden="1">
      <c r="A2" s="17">
        <v>101.0</v>
      </c>
      <c r="B2" s="19" t="s">
        <v>43</v>
      </c>
      <c r="C2" s="20" t="s">
        <v>45</v>
      </c>
      <c r="D2" s="21">
        <v>5.0</v>
      </c>
      <c r="E2" s="26">
        <v>7.0</v>
      </c>
      <c r="F2" s="28" t="s">
        <v>57</v>
      </c>
      <c r="G2" s="28" t="s">
        <v>61</v>
      </c>
      <c r="H2" s="28" t="s">
        <v>62</v>
      </c>
      <c r="I2" s="30"/>
      <c r="J2" s="28" t="s">
        <v>67</v>
      </c>
      <c r="K2" s="32">
        <v>5.5</v>
      </c>
      <c r="L2" s="28" t="s">
        <v>67</v>
      </c>
      <c r="M2" s="33">
        <v>46.5</v>
      </c>
      <c r="N2" s="35">
        <v>321.0</v>
      </c>
      <c r="O2" s="35">
        <v>248.0</v>
      </c>
      <c r="P2" s="37">
        <v>2.0</v>
      </c>
      <c r="Q2" s="37" t="b">
        <v>1</v>
      </c>
      <c r="R2" s="37">
        <v>100.0</v>
      </c>
      <c r="S2" s="47" t="str">
        <f t="array" ref="S2:S150">byrow(C2:C150,lambda(rw,iferror(vlookup(rw,{DraftTracker!F:F,DraftTracker!E:E},2,0),"")))</f>
        <v>SEC</v>
      </c>
      <c r="T2" s="47" t="str">
        <f t="array" ref="T2:T150">byrow(S2:S150,lambda(rw,iferror(VLOOKUP(rw,P5G5!A:B,2,0),"")))</f>
        <v>Power 4</v>
      </c>
      <c r="U2" s="49" t="b">
        <f>IFERROR(__xludf.DUMMYFUNCTION("iferror(if(not(iserror(find(""FINAL"",G2))),max(arrayformula(value(REGEXEXTRACT(F2,""^""&amp;C2&amp;"" ([\d]+)|[^a-zA-Z] ""&amp;C2&amp;"" ([\d]+)""))))=max(value(REGEXEXTRACT(F2,"" ([\d]+)"")),value(REGEXEXTRACT(F2,""([\d]+)$""))),""""))"),FALSE)</f>
        <v>0</v>
      </c>
    </row>
    <row r="3" hidden="1">
      <c r="A3" s="17">
        <v>101.0</v>
      </c>
      <c r="B3" s="51" t="s">
        <v>43</v>
      </c>
      <c r="C3" s="52" t="s">
        <v>118</v>
      </c>
      <c r="D3" s="21">
        <v>4.0</v>
      </c>
      <c r="E3" s="26">
        <v>8.0</v>
      </c>
      <c r="F3" s="53" t="s">
        <v>273</v>
      </c>
      <c r="G3" s="32" t="s">
        <v>61</v>
      </c>
      <c r="H3" s="32" t="s">
        <v>95</v>
      </c>
      <c r="I3" s="33"/>
      <c r="J3" s="54" t="s">
        <v>67</v>
      </c>
      <c r="K3" s="32">
        <v>7.5</v>
      </c>
      <c r="L3" s="32" t="s">
        <v>67</v>
      </c>
      <c r="M3" s="33">
        <v>47.5</v>
      </c>
      <c r="N3" s="55">
        <v>231.0</v>
      </c>
      <c r="O3" s="37">
        <v>294.0</v>
      </c>
      <c r="P3" s="37">
        <v>2.0</v>
      </c>
      <c r="Q3" s="37" t="b">
        <v>0</v>
      </c>
      <c r="R3" s="37">
        <v>100.0</v>
      </c>
      <c r="S3" s="47" t="s">
        <v>317</v>
      </c>
      <c r="T3" s="47" t="s">
        <v>321</v>
      </c>
      <c r="U3" s="49" t="b">
        <f>IFERROR(__xludf.DUMMYFUNCTION("iferror(if(not(iserror(find(""FINAL"",G3))),max(arrayformula(value(REGEXEXTRACT(F3,""^""&amp;C3&amp;"" ([\d]+)|[^a-zA-Z] ""&amp;C3&amp;"" ([\d]+)""))))=max(value(REGEXEXTRACT(F3,"" ([\d]+)"")),value(REGEXEXTRACT(F3,""([\d]+)$""))),""""))"),FALSE)</f>
        <v>0</v>
      </c>
    </row>
    <row r="4" hidden="1">
      <c r="A4" s="17">
        <v>101.0</v>
      </c>
      <c r="B4" s="51" t="s">
        <v>43</v>
      </c>
      <c r="C4" s="20" t="s">
        <v>157</v>
      </c>
      <c r="D4" s="21">
        <v>5.0</v>
      </c>
      <c r="E4" s="26">
        <v>7.0</v>
      </c>
      <c r="F4" s="32" t="s">
        <v>337</v>
      </c>
      <c r="G4" s="32" t="s">
        <v>61</v>
      </c>
      <c r="H4" s="32" t="s">
        <v>96</v>
      </c>
      <c r="I4" s="33"/>
      <c r="J4" s="54" t="s">
        <v>67</v>
      </c>
      <c r="K4" s="32">
        <v>28.5</v>
      </c>
      <c r="L4" s="32" t="s">
        <v>67</v>
      </c>
      <c r="M4" s="33">
        <v>59.5</v>
      </c>
      <c r="N4" s="55">
        <v>238.0</v>
      </c>
      <c r="O4" s="37">
        <v>387.0</v>
      </c>
      <c r="P4" s="37">
        <v>2.0</v>
      </c>
      <c r="Q4" s="37" t="b">
        <v>0</v>
      </c>
      <c r="R4" s="37">
        <v>100.0</v>
      </c>
      <c r="S4" s="47" t="s">
        <v>361</v>
      </c>
      <c r="T4" s="47" t="s">
        <v>365</v>
      </c>
      <c r="U4" s="49" t="b">
        <f>IFERROR(__xludf.DUMMYFUNCTION("iferror(if(not(iserror(find(""FINAL"",G4))),max(arrayformula(value(REGEXEXTRACT(F4,""^""&amp;C4&amp;"" ([\d]+)|[^a-zA-Z] ""&amp;C4&amp;"" ([\d]+)""))))=max(value(REGEXEXTRACT(F4,"" ([\d]+)"")),value(REGEXEXTRACT(F4,""([\d]+)$""))),""""))"),FALSE)</f>
        <v>0</v>
      </c>
    </row>
    <row r="5" hidden="1">
      <c r="A5" s="17">
        <v>101.0</v>
      </c>
      <c r="B5" s="51" t="s">
        <v>43</v>
      </c>
      <c r="C5" s="20" t="s">
        <v>145</v>
      </c>
      <c r="D5" s="21">
        <v>6.0</v>
      </c>
      <c r="E5" s="26">
        <v>6.0</v>
      </c>
      <c r="F5" s="32" t="s">
        <v>392</v>
      </c>
      <c r="G5" s="32" t="s">
        <v>61</v>
      </c>
      <c r="H5" s="32" t="s">
        <v>395</v>
      </c>
      <c r="I5" s="33"/>
      <c r="J5" s="54" t="s">
        <v>67</v>
      </c>
      <c r="K5" s="32">
        <v>-14.0</v>
      </c>
      <c r="L5" s="32" t="s">
        <v>67</v>
      </c>
      <c r="M5" s="33">
        <v>55.5</v>
      </c>
      <c r="N5" s="55">
        <v>381.0</v>
      </c>
      <c r="O5" s="37">
        <v>257.0</v>
      </c>
      <c r="P5" s="37">
        <v>2.0</v>
      </c>
      <c r="Q5" s="37" t="b">
        <v>1</v>
      </c>
      <c r="R5" s="37">
        <v>100.0</v>
      </c>
      <c r="S5" s="47" t="s">
        <v>407</v>
      </c>
      <c r="T5" s="47" t="s">
        <v>321</v>
      </c>
      <c r="U5" s="49" t="b">
        <f>IFERROR(__xludf.DUMMYFUNCTION("iferror(if(not(iserror(find(""FINAL"",G5))),max(arrayformula(value(REGEXEXTRACT(F5,""^""&amp;C5&amp;"" ([\d]+)|[^a-zA-Z] ""&amp;C5&amp;"" ([\d]+)""))))=max(value(REGEXEXTRACT(F5,"" ([\d]+)"")),value(REGEXEXTRACT(F5,""([\d]+)$""))),""""))"),TRUE)</f>
        <v>1</v>
      </c>
    </row>
    <row r="6" hidden="1">
      <c r="A6" s="17">
        <v>101.0</v>
      </c>
      <c r="B6" s="51" t="s">
        <v>43</v>
      </c>
      <c r="C6" s="20" t="s">
        <v>422</v>
      </c>
      <c r="D6" s="21">
        <v>5.0</v>
      </c>
      <c r="E6" s="26">
        <v>7.0</v>
      </c>
      <c r="F6" s="32" t="s">
        <v>427</v>
      </c>
      <c r="G6" s="32" t="s">
        <v>61</v>
      </c>
      <c r="H6" s="32" t="s">
        <v>132</v>
      </c>
      <c r="I6" s="33"/>
      <c r="J6" s="54" t="s">
        <v>67</v>
      </c>
      <c r="K6" s="32">
        <v>-1.5</v>
      </c>
      <c r="L6" s="32" t="s">
        <v>67</v>
      </c>
      <c r="M6" s="33">
        <v>54.5</v>
      </c>
      <c r="N6" s="55">
        <v>304.0</v>
      </c>
      <c r="O6" s="37">
        <v>358.0</v>
      </c>
      <c r="P6" s="37">
        <v>2.0</v>
      </c>
      <c r="Q6" s="37" t="b">
        <v>0</v>
      </c>
      <c r="R6" s="37">
        <v>100.0</v>
      </c>
      <c r="S6" s="47" t="s">
        <v>441</v>
      </c>
      <c r="T6" s="47" t="s">
        <v>365</v>
      </c>
      <c r="U6" s="49" t="b">
        <f>IFERROR(__xludf.DUMMYFUNCTION("iferror(if(not(iserror(find(""FINAL"",G6))),max(arrayformula(value(REGEXEXTRACT(F6,""^""&amp;C6&amp;"" ([\d]+)|[^a-zA-Z] ""&amp;C6&amp;"" ([\d]+)""))))=max(value(REGEXEXTRACT(F6,"" ([\d]+)"")),value(REGEXEXTRACT(F6,""([\d]+)$""))),""""))"),FALSE)</f>
        <v>0</v>
      </c>
    </row>
    <row r="7" hidden="1">
      <c r="A7" s="17">
        <v>101.0</v>
      </c>
      <c r="B7" s="51" t="s">
        <v>43</v>
      </c>
      <c r="C7" s="20" t="s">
        <v>133</v>
      </c>
      <c r="D7" s="21">
        <v>11.0</v>
      </c>
      <c r="E7" s="26">
        <v>1.0</v>
      </c>
      <c r="F7" s="32" t="s">
        <v>457</v>
      </c>
      <c r="G7" s="32" t="s">
        <v>61</v>
      </c>
      <c r="H7" s="32" t="s">
        <v>132</v>
      </c>
      <c r="I7" s="33"/>
      <c r="J7" s="54" t="s">
        <v>67</v>
      </c>
      <c r="K7" s="32">
        <v>-23.5</v>
      </c>
      <c r="L7" s="32" t="s">
        <v>67</v>
      </c>
      <c r="M7" s="33">
        <v>52.5</v>
      </c>
      <c r="N7" s="55">
        <v>518.0</v>
      </c>
      <c r="O7" s="37">
        <v>135.0</v>
      </c>
      <c r="P7" s="37">
        <v>2.0</v>
      </c>
      <c r="Q7" s="37" t="b">
        <v>0</v>
      </c>
      <c r="R7" s="37">
        <v>100.0</v>
      </c>
      <c r="S7" s="47" t="s">
        <v>471</v>
      </c>
      <c r="T7" s="47" t="s">
        <v>321</v>
      </c>
      <c r="U7" s="49" t="b">
        <f>IFERROR(__xludf.DUMMYFUNCTION("iferror(if(not(iserror(find(""FINAL"",G7))),max(arrayformula(value(REGEXEXTRACT(F7,""^""&amp;C7&amp;"" ([\d]+)|[^a-zA-Z] ""&amp;C7&amp;"" ([\d]+)""))))=max(value(REGEXEXTRACT(F7,"" ([\d]+)"")),value(REGEXEXTRACT(F7,""([\d]+)$""))),""""))"),TRUE)</f>
        <v>1</v>
      </c>
    </row>
    <row r="8" hidden="1">
      <c r="A8" s="17">
        <v>101.0</v>
      </c>
      <c r="B8" s="51" t="s">
        <v>43</v>
      </c>
      <c r="C8" s="20" t="s">
        <v>189</v>
      </c>
      <c r="D8" s="21">
        <v>8.0</v>
      </c>
      <c r="E8" s="26">
        <v>4.0</v>
      </c>
      <c r="F8" s="32" t="s">
        <v>490</v>
      </c>
      <c r="G8" s="32" t="s">
        <v>61</v>
      </c>
      <c r="H8" s="32" t="s">
        <v>493</v>
      </c>
      <c r="I8" s="33"/>
      <c r="J8" s="54" t="s">
        <v>67</v>
      </c>
      <c r="K8" s="32">
        <v>1.5</v>
      </c>
      <c r="L8" s="32" t="s">
        <v>67</v>
      </c>
      <c r="M8" s="33">
        <v>47.5</v>
      </c>
      <c r="N8" s="55">
        <v>296.0</v>
      </c>
      <c r="O8" s="37">
        <v>276.0</v>
      </c>
      <c r="P8" s="37">
        <v>2.0</v>
      </c>
      <c r="Q8" s="37" t="b">
        <v>1</v>
      </c>
      <c r="R8" s="37">
        <v>100.0</v>
      </c>
      <c r="S8" s="47" t="s">
        <v>471</v>
      </c>
      <c r="T8" s="47" t="s">
        <v>321</v>
      </c>
      <c r="U8" s="49" t="b">
        <f>IFERROR(__xludf.DUMMYFUNCTION("iferror(if(not(iserror(find(""FINAL"",G8))),max(arrayformula(value(REGEXEXTRACT(F8,""^""&amp;C8&amp;"" ([\d]+)|[^a-zA-Z] ""&amp;C8&amp;"" ([\d]+)""))))=max(value(REGEXEXTRACT(F8,"" ([\d]+)"")),value(REGEXEXTRACT(F8,""([\d]+)$""))),""""))"),FALSE)</f>
        <v>0</v>
      </c>
    </row>
    <row r="9" hidden="1">
      <c r="A9" s="17">
        <v>101.0</v>
      </c>
      <c r="B9" s="51" t="s">
        <v>43</v>
      </c>
      <c r="C9" s="20" t="s">
        <v>176</v>
      </c>
      <c r="D9" s="21">
        <v>4.0</v>
      </c>
      <c r="E9" s="26">
        <v>8.0</v>
      </c>
      <c r="F9" s="32" t="s">
        <v>518</v>
      </c>
      <c r="G9" s="32" t="s">
        <v>61</v>
      </c>
      <c r="H9" s="32" t="s">
        <v>62</v>
      </c>
      <c r="I9" s="33"/>
      <c r="J9" s="54" t="s">
        <v>67</v>
      </c>
      <c r="K9" s="32">
        <v>-2.5</v>
      </c>
      <c r="L9" s="32" t="s">
        <v>67</v>
      </c>
      <c r="M9" s="33">
        <v>46.5</v>
      </c>
      <c r="N9" s="55">
        <v>358.0</v>
      </c>
      <c r="O9" s="37">
        <v>364.0</v>
      </c>
      <c r="P9" s="37">
        <v>2.0</v>
      </c>
      <c r="Q9" s="37" t="b">
        <v>1</v>
      </c>
      <c r="R9" s="37">
        <v>100.0</v>
      </c>
      <c r="S9" s="47" t="s">
        <v>525</v>
      </c>
      <c r="T9" s="47" t="s">
        <v>365</v>
      </c>
      <c r="U9" s="49" t="b">
        <f>IFERROR(__xludf.DUMMYFUNCTION("iferror(if(not(iserror(find(""FINAL"",G9))),max(arrayformula(value(REGEXEXTRACT(F9,""^""&amp;C9&amp;"" ([\d]+)|[^a-zA-Z] ""&amp;C9&amp;"" ([\d]+)""))))=max(value(REGEXEXTRACT(F9,"" ([\d]+)"")),value(REGEXEXTRACT(F9,""([\d]+)$""))),""""))"),TRUE)</f>
        <v>1</v>
      </c>
    </row>
    <row r="10" hidden="1">
      <c r="A10" s="17">
        <v>101.0</v>
      </c>
      <c r="B10" s="51" t="s">
        <v>43</v>
      </c>
      <c r="C10" s="20" t="s">
        <v>527</v>
      </c>
      <c r="D10" s="21">
        <v>0.0</v>
      </c>
      <c r="E10" s="26">
        <v>12.0</v>
      </c>
      <c r="F10" s="32" t="s">
        <v>528</v>
      </c>
      <c r="G10" s="32" t="s">
        <v>61</v>
      </c>
      <c r="H10" s="32" t="s">
        <v>224</v>
      </c>
      <c r="I10" s="33"/>
      <c r="J10" s="54" t="s">
        <v>67</v>
      </c>
      <c r="K10" s="32">
        <v>14.5</v>
      </c>
      <c r="L10" s="32" t="s">
        <v>67</v>
      </c>
      <c r="M10" s="33">
        <v>44.5</v>
      </c>
      <c r="N10" s="55">
        <v>133.0</v>
      </c>
      <c r="O10" s="37">
        <v>463.0</v>
      </c>
      <c r="P10" s="37">
        <v>2.0</v>
      </c>
      <c r="Q10" s="37" t="b">
        <v>0</v>
      </c>
      <c r="R10" s="37">
        <v>100.0</v>
      </c>
      <c r="S10" s="47" t="s">
        <v>530</v>
      </c>
      <c r="T10" s="47" t="s">
        <v>365</v>
      </c>
      <c r="U10" s="49" t="b">
        <f>IFERROR(__xludf.DUMMYFUNCTION("iferror(if(not(iserror(find(""FINAL"",G10))),max(arrayformula(value(REGEXEXTRACT(F10,""^""&amp;C10&amp;"" ([\d]+)|[^a-zA-Z] ""&amp;C10&amp;"" ([\d]+)""))))=max(value(REGEXEXTRACT(F10,"" ([\d]+)"")),value(REGEXEXTRACT(F10,""([\d]+)$""))),""""))"),FALSE)</f>
        <v>0</v>
      </c>
    </row>
    <row r="11" hidden="1">
      <c r="A11" s="17">
        <v>101.0</v>
      </c>
      <c r="B11" s="51" t="s">
        <v>43</v>
      </c>
      <c r="C11" s="20" t="s">
        <v>228</v>
      </c>
      <c r="D11" s="21">
        <v>4.0</v>
      </c>
      <c r="E11" s="26">
        <v>8.0</v>
      </c>
      <c r="F11" s="32" t="s">
        <v>531</v>
      </c>
      <c r="G11" s="32" t="s">
        <v>532</v>
      </c>
      <c r="H11" s="32" t="s">
        <v>96</v>
      </c>
      <c r="I11" s="33"/>
      <c r="J11" s="54" t="s">
        <v>67</v>
      </c>
      <c r="K11" s="32">
        <v>-3.5</v>
      </c>
      <c r="L11" s="32" t="s">
        <v>67</v>
      </c>
      <c r="M11" s="33">
        <v>52.5</v>
      </c>
      <c r="N11" s="55">
        <v>259.0</v>
      </c>
      <c r="O11" s="37">
        <v>331.0</v>
      </c>
      <c r="P11" s="37">
        <v>2.0</v>
      </c>
      <c r="Q11" s="37" t="b">
        <v>0</v>
      </c>
      <c r="R11" s="37">
        <v>100.0</v>
      </c>
      <c r="S11" s="47" t="s">
        <v>535</v>
      </c>
      <c r="T11" s="47" t="s">
        <v>365</v>
      </c>
      <c r="U11" s="49" t="b">
        <f>IFERROR(__xludf.DUMMYFUNCTION("iferror(if(not(iserror(find(""FINAL"",G11))),max(arrayformula(value(REGEXEXTRACT(F11,""^""&amp;C11&amp;"" ([\d]+)|[^a-zA-Z] ""&amp;C11&amp;"" ([\d]+)""))))=max(value(REGEXEXTRACT(F11,"" ([\d]+)"")),value(REGEXEXTRACT(F11,""([\d]+)$""))),""""))"),FALSE)</f>
        <v>0</v>
      </c>
    </row>
    <row r="12" hidden="1">
      <c r="A12" s="3">
        <v>102.0</v>
      </c>
      <c r="B12" s="78"/>
      <c r="C12" s="4"/>
      <c r="D12" s="79"/>
      <c r="E12" s="5"/>
      <c r="F12" s="80"/>
      <c r="G12" s="81"/>
      <c r="H12" s="81"/>
      <c r="I12" s="82"/>
      <c r="J12" s="80"/>
      <c r="K12" s="81"/>
      <c r="L12" s="81"/>
      <c r="M12" s="82"/>
      <c r="N12" s="4"/>
      <c r="O12" s="4"/>
      <c r="P12" s="4"/>
      <c r="Q12" s="4"/>
      <c r="R12" s="4"/>
      <c r="S12" s="83"/>
      <c r="T12" s="83"/>
      <c r="U12" s="49" t="str">
        <f>IFERROR(__xludf.DUMMYFUNCTION("iferror(if(not(iserror(find(""FINAL"",G12))),max(arrayformula(value(REGEXEXTRACT(F12,""^""&amp;C12&amp;"" ([\d]+)|[^a-zA-Z] ""&amp;C12&amp;"" ([\d]+)""))))=max(value(REGEXEXTRACT(F12,"" ([\d]+)"")),value(REGEXEXTRACT(F12,""([\d]+)$""))),""""))"),"")</f>
        <v/>
      </c>
    </row>
    <row r="13" hidden="1">
      <c r="A13" s="17">
        <v>103.0</v>
      </c>
      <c r="B13" s="19" t="s">
        <v>95</v>
      </c>
      <c r="C13" s="20" t="s">
        <v>117</v>
      </c>
      <c r="D13" s="21">
        <v>7.0</v>
      </c>
      <c r="E13" s="26">
        <v>5.0</v>
      </c>
      <c r="F13" s="28" t="s">
        <v>273</v>
      </c>
      <c r="G13" s="32" t="s">
        <v>61</v>
      </c>
      <c r="H13" s="28" t="s">
        <v>43</v>
      </c>
      <c r="I13" s="30"/>
      <c r="J13" s="54" t="s">
        <v>67</v>
      </c>
      <c r="K13" s="32">
        <v>-7.5</v>
      </c>
      <c r="L13" s="32" t="s">
        <v>67</v>
      </c>
      <c r="M13" s="33">
        <v>47.5</v>
      </c>
      <c r="N13" s="84">
        <v>362.0</v>
      </c>
      <c r="O13" s="35">
        <v>346.0</v>
      </c>
      <c r="P13" s="37">
        <v>2.0</v>
      </c>
      <c r="Q13" s="37" t="b">
        <v>1</v>
      </c>
      <c r="R13" s="37">
        <v>100.0</v>
      </c>
      <c r="S13" s="47" t="s">
        <v>317</v>
      </c>
      <c r="T13" s="47" t="s">
        <v>321</v>
      </c>
      <c r="U13" s="49" t="b">
        <f>IFERROR(__xludf.DUMMYFUNCTION("iferror(if(not(iserror(find(""FINAL"",G13))),max(arrayformula(value(REGEXEXTRACT(F13,""^""&amp;C13&amp;"" ([\d]+)|[^a-zA-Z] ""&amp;C13&amp;"" ([\d]+)""))))=max(value(REGEXEXTRACT(F13,"" ([\d]+)"")),value(REGEXEXTRACT(F13,""([\d]+)$""))),""""))"),TRUE)</f>
        <v>1</v>
      </c>
    </row>
    <row r="14" hidden="1">
      <c r="A14" s="17">
        <v>103.0</v>
      </c>
      <c r="B14" s="51" t="s">
        <v>95</v>
      </c>
      <c r="C14" s="20" t="s">
        <v>197</v>
      </c>
      <c r="D14" s="21">
        <v>9.0</v>
      </c>
      <c r="E14" s="26">
        <v>3.0</v>
      </c>
      <c r="F14" s="85" t="s">
        <v>547</v>
      </c>
      <c r="G14" s="32" t="s">
        <v>61</v>
      </c>
      <c r="H14" s="32" t="s">
        <v>62</v>
      </c>
      <c r="I14" s="33"/>
      <c r="J14" s="54" t="s">
        <v>67</v>
      </c>
      <c r="K14" s="32">
        <v>-21.5</v>
      </c>
      <c r="L14" s="32" t="s">
        <v>67</v>
      </c>
      <c r="M14" s="33">
        <v>58.5</v>
      </c>
      <c r="N14" s="55">
        <v>438.0</v>
      </c>
      <c r="O14" s="37">
        <v>269.0</v>
      </c>
      <c r="P14" s="37">
        <v>2.0</v>
      </c>
      <c r="Q14" s="37" t="b">
        <v>1</v>
      </c>
      <c r="R14" s="37">
        <v>100.0</v>
      </c>
      <c r="S14" s="47" t="s">
        <v>407</v>
      </c>
      <c r="T14" s="47" t="s">
        <v>321</v>
      </c>
      <c r="U14" s="49" t="b">
        <f>IFERROR(__xludf.DUMMYFUNCTION("iferror(if(not(iserror(find(""FINAL"",G14))),max(arrayformula(value(REGEXEXTRACT(F14,""^""&amp;C14&amp;"" ([\d]+)|[^a-zA-Z] ""&amp;C14&amp;"" ([\d]+)""))))=max(value(REGEXEXTRACT(F14,"" ([\d]+)"")),value(REGEXEXTRACT(F14,""([\d]+)$""))),""""))"),TRUE)</f>
        <v>1</v>
      </c>
    </row>
    <row r="15" hidden="1">
      <c r="A15" s="17">
        <v>103.0</v>
      </c>
      <c r="B15" s="51" t="s">
        <v>95</v>
      </c>
      <c r="C15" s="20" t="s">
        <v>130</v>
      </c>
      <c r="D15" s="21">
        <v>8.0</v>
      </c>
      <c r="E15" s="26">
        <v>4.0</v>
      </c>
      <c r="F15" s="54" t="s">
        <v>551</v>
      </c>
      <c r="G15" s="32" t="s">
        <v>61</v>
      </c>
      <c r="H15" s="32" t="s">
        <v>238</v>
      </c>
      <c r="I15" s="33"/>
      <c r="J15" s="54" t="s">
        <v>67</v>
      </c>
      <c r="K15" s="32">
        <v>-3.5</v>
      </c>
      <c r="L15" s="32" t="s">
        <v>67</v>
      </c>
      <c r="M15" s="33">
        <v>57.5</v>
      </c>
      <c r="N15" s="55">
        <v>369.0</v>
      </c>
      <c r="O15" s="37">
        <v>302.0</v>
      </c>
      <c r="P15" s="37">
        <v>2.0</v>
      </c>
      <c r="Q15" s="37" t="b">
        <v>1</v>
      </c>
      <c r="R15" s="37">
        <v>100.0</v>
      </c>
      <c r="S15" s="47" t="s">
        <v>471</v>
      </c>
      <c r="T15" s="47" t="s">
        <v>321</v>
      </c>
      <c r="U15" s="49" t="b">
        <f>IFERROR(__xludf.DUMMYFUNCTION("iferror(if(not(iserror(find(""FINAL"",G15))),max(arrayformula(value(REGEXEXTRACT(F15,""^""&amp;C15&amp;"" ([\d]+)|[^a-zA-Z] ""&amp;C15&amp;"" ([\d]+)""))))=max(value(REGEXEXTRACT(F15,"" ([\d]+)"")),value(REGEXEXTRACT(F15,""([\d]+)$""))),""""))"),TRUE)</f>
        <v>1</v>
      </c>
    </row>
    <row r="16" hidden="1">
      <c r="A16" s="17">
        <v>103.0</v>
      </c>
      <c r="B16" s="51" t="s">
        <v>95</v>
      </c>
      <c r="C16" s="20" t="s">
        <v>128</v>
      </c>
      <c r="D16" s="21">
        <v>10.0</v>
      </c>
      <c r="E16" s="26">
        <v>2.0</v>
      </c>
      <c r="F16" s="54" t="s">
        <v>554</v>
      </c>
      <c r="G16" s="32" t="s">
        <v>61</v>
      </c>
      <c r="H16" s="32" t="s">
        <v>311</v>
      </c>
      <c r="I16" s="33"/>
      <c r="J16" s="54" t="s">
        <v>67</v>
      </c>
      <c r="K16" s="32">
        <v>-10.5</v>
      </c>
      <c r="L16" s="32" t="s">
        <v>67</v>
      </c>
      <c r="M16" s="33">
        <v>35.5</v>
      </c>
      <c r="N16" s="55">
        <v>317.0</v>
      </c>
      <c r="O16" s="37">
        <v>167.0</v>
      </c>
      <c r="P16" s="37">
        <v>2.0</v>
      </c>
      <c r="Q16" s="37" t="b">
        <v>0</v>
      </c>
      <c r="R16" s="37">
        <v>100.0</v>
      </c>
      <c r="S16" s="47" t="s">
        <v>556</v>
      </c>
      <c r="T16" s="47" t="s">
        <v>321</v>
      </c>
      <c r="U16" s="49" t="b">
        <f>IFERROR(__xludf.DUMMYFUNCTION("iferror(if(not(iserror(find(""FINAL"",G16))),max(arrayformula(value(REGEXEXTRACT(F16,""^""&amp;C16&amp;"" ([\d]+)|[^a-zA-Z] ""&amp;C16&amp;"" ([\d]+)""))))=max(value(REGEXEXTRACT(F16,"" ([\d]+)"")),value(REGEXEXTRACT(F16,""([\d]+)$""))),""""))"),TRUE)</f>
        <v>1</v>
      </c>
    </row>
    <row r="17" hidden="1">
      <c r="A17" s="17">
        <v>103.0</v>
      </c>
      <c r="B17" s="51" t="s">
        <v>95</v>
      </c>
      <c r="C17" s="20" t="s">
        <v>221</v>
      </c>
      <c r="D17" s="21">
        <v>6.0</v>
      </c>
      <c r="E17" s="26">
        <v>6.0</v>
      </c>
      <c r="F17" s="54" t="s">
        <v>557</v>
      </c>
      <c r="G17" s="32" t="s">
        <v>61</v>
      </c>
      <c r="H17" s="32" t="s">
        <v>238</v>
      </c>
      <c r="I17" s="33"/>
      <c r="J17" s="54" t="s">
        <v>67</v>
      </c>
      <c r="K17" s="32">
        <v>-8.5</v>
      </c>
      <c r="L17" s="32" t="s">
        <v>67</v>
      </c>
      <c r="M17" s="33">
        <v>62.5</v>
      </c>
      <c r="N17" s="55">
        <v>433.0</v>
      </c>
      <c r="O17" s="37">
        <v>367.0</v>
      </c>
      <c r="P17" s="37">
        <v>2.0</v>
      </c>
      <c r="Q17" s="37" t="b">
        <v>0</v>
      </c>
      <c r="R17" s="37">
        <v>100.0</v>
      </c>
      <c r="S17" s="47" t="s">
        <v>441</v>
      </c>
      <c r="T17" s="47" t="s">
        <v>365</v>
      </c>
      <c r="U17" s="49" t="b">
        <f>IFERROR(__xludf.DUMMYFUNCTION("iferror(if(not(iserror(find(""FINAL"",G17))),max(arrayformula(value(REGEXEXTRACT(F17,""^""&amp;C17&amp;"" ([\d]+)|[^a-zA-Z] ""&amp;C17&amp;"" ([\d]+)""))))=max(value(REGEXEXTRACT(F17,"" ([\d]+)"")),value(REGEXEXTRACT(F17,""([\d]+)$""))),""""))"),TRUE)</f>
        <v>1</v>
      </c>
    </row>
    <row r="18" hidden="1">
      <c r="A18" s="17">
        <v>103.0</v>
      </c>
      <c r="B18" s="51" t="s">
        <v>95</v>
      </c>
      <c r="C18" s="20" t="s">
        <v>165</v>
      </c>
      <c r="D18" s="21">
        <v>4.0</v>
      </c>
      <c r="E18" s="26">
        <v>8.0</v>
      </c>
      <c r="F18" s="54" t="s">
        <v>560</v>
      </c>
      <c r="G18" s="32" t="s">
        <v>61</v>
      </c>
      <c r="H18" s="32" t="s">
        <v>238</v>
      </c>
      <c r="I18" s="33"/>
      <c r="J18" s="54" t="s">
        <v>67</v>
      </c>
      <c r="K18" s="32">
        <v>17.5</v>
      </c>
      <c r="L18" s="32" t="s">
        <v>67</v>
      </c>
      <c r="M18" s="33">
        <v>41.5</v>
      </c>
      <c r="N18" s="55">
        <v>190.0</v>
      </c>
      <c r="O18" s="37">
        <v>358.0</v>
      </c>
      <c r="P18" s="37">
        <v>2.0</v>
      </c>
      <c r="Q18" s="37" t="b">
        <v>0</v>
      </c>
      <c r="R18" s="37">
        <v>100.0</v>
      </c>
      <c r="S18" s="47" t="s">
        <v>530</v>
      </c>
      <c r="T18" s="47" t="s">
        <v>365</v>
      </c>
      <c r="U18" s="49" t="b">
        <f>IFERROR(__xludf.DUMMYFUNCTION("iferror(if(not(iserror(find(""FINAL"",G18))),max(arrayformula(value(REGEXEXTRACT(F18,""^""&amp;C18&amp;"" ([\d]+)|[^a-zA-Z] ""&amp;C18&amp;"" ([\d]+)""))))=max(value(REGEXEXTRACT(F18,"" ([\d]+)"")),value(REGEXEXTRACT(F18,""([\d]+)$""))),""""))"),FALSE)</f>
        <v>0</v>
      </c>
    </row>
    <row r="19" hidden="1">
      <c r="A19" s="17">
        <v>103.0</v>
      </c>
      <c r="B19" s="51" t="s">
        <v>95</v>
      </c>
      <c r="C19" s="20" t="s">
        <v>100</v>
      </c>
      <c r="D19" s="21">
        <v>8.0</v>
      </c>
      <c r="E19" s="26">
        <v>4.0</v>
      </c>
      <c r="F19" s="54" t="s">
        <v>564</v>
      </c>
      <c r="G19" s="32" t="s">
        <v>61</v>
      </c>
      <c r="H19" s="32" t="s">
        <v>193</v>
      </c>
      <c r="I19" s="33"/>
      <c r="J19" s="54" t="s">
        <v>67</v>
      </c>
      <c r="K19" s="32">
        <v>-6.5</v>
      </c>
      <c r="L19" s="32" t="s">
        <v>67</v>
      </c>
      <c r="M19" s="33">
        <v>65.5</v>
      </c>
      <c r="N19" s="55">
        <v>402.0</v>
      </c>
      <c r="O19" s="37">
        <v>244.0</v>
      </c>
      <c r="P19" s="37">
        <v>2.0</v>
      </c>
      <c r="Q19" s="37" t="b">
        <v>1</v>
      </c>
      <c r="R19" s="37">
        <v>100.0</v>
      </c>
      <c r="S19" s="47" t="s">
        <v>361</v>
      </c>
      <c r="T19" s="47" t="s">
        <v>365</v>
      </c>
      <c r="U19" s="49" t="b">
        <f>IFERROR(__xludf.DUMMYFUNCTION("iferror(if(not(iserror(find(""FINAL"",G19))),max(arrayformula(value(REGEXEXTRACT(F19,""^""&amp;C19&amp;"" ([\d]+)|[^a-zA-Z] ""&amp;C19&amp;"" ([\d]+)""))))=max(value(REGEXEXTRACT(F19,"" ([\d]+)"")),value(REGEXEXTRACT(F19,""([\d]+)$""))),""""))"),TRUE)</f>
        <v>1</v>
      </c>
    </row>
    <row r="20" hidden="1">
      <c r="A20" s="17">
        <v>103.0</v>
      </c>
      <c r="B20" s="51" t="s">
        <v>95</v>
      </c>
      <c r="C20" s="20" t="s">
        <v>177</v>
      </c>
      <c r="D20" s="21">
        <v>8.0</v>
      </c>
      <c r="E20" s="26">
        <v>4.0</v>
      </c>
      <c r="F20" s="54" t="s">
        <v>570</v>
      </c>
      <c r="G20" s="32" t="s">
        <v>61</v>
      </c>
      <c r="H20" s="32" t="s">
        <v>311</v>
      </c>
      <c r="I20" s="33"/>
      <c r="J20" s="54" t="s">
        <v>67</v>
      </c>
      <c r="K20" s="32">
        <v>-2.5</v>
      </c>
      <c r="L20" s="32" t="s">
        <v>67</v>
      </c>
      <c r="M20" s="33">
        <v>55.5</v>
      </c>
      <c r="N20" s="55">
        <v>370.0</v>
      </c>
      <c r="O20" s="37">
        <v>278.0</v>
      </c>
      <c r="P20" s="37">
        <v>2.0</v>
      </c>
      <c r="Q20" s="37" t="b">
        <v>1</v>
      </c>
      <c r="R20" s="37">
        <v>100.0</v>
      </c>
      <c r="S20" s="47" t="s">
        <v>525</v>
      </c>
      <c r="T20" s="47" t="s">
        <v>365</v>
      </c>
      <c r="U20" s="49" t="b">
        <f>IFERROR(__xludf.DUMMYFUNCTION("iferror(if(not(iserror(find(""FINAL"",G20))),max(arrayformula(value(REGEXEXTRACT(F20,""^""&amp;C20&amp;"" ([\d]+)|[^a-zA-Z] ""&amp;C20&amp;"" ([\d]+)""))))=max(value(REGEXEXTRACT(F20,"" ([\d]+)"")),value(REGEXEXTRACT(F20,""([\d]+)$""))),""""))"),TRUE)</f>
        <v>1</v>
      </c>
    </row>
    <row r="21" hidden="1">
      <c r="A21" s="17">
        <v>103.0</v>
      </c>
      <c r="B21" s="51" t="s">
        <v>95</v>
      </c>
      <c r="C21" s="20" t="s">
        <v>198</v>
      </c>
      <c r="D21" s="21">
        <v>10.0</v>
      </c>
      <c r="E21" s="26">
        <v>2.0</v>
      </c>
      <c r="F21" s="54" t="s">
        <v>580</v>
      </c>
      <c r="G21" s="32" t="s">
        <v>61</v>
      </c>
      <c r="H21" s="32" t="s">
        <v>193</v>
      </c>
      <c r="I21" s="33"/>
      <c r="J21" s="54" t="s">
        <v>67</v>
      </c>
      <c r="K21" s="32">
        <v>-10.5</v>
      </c>
      <c r="L21" s="32" t="s">
        <v>67</v>
      </c>
      <c r="M21" s="33">
        <v>60.5</v>
      </c>
      <c r="N21" s="55">
        <v>493.0</v>
      </c>
      <c r="O21" s="37">
        <v>224.0</v>
      </c>
      <c r="P21" s="37">
        <v>2.0</v>
      </c>
      <c r="Q21" s="37" t="b">
        <v>0</v>
      </c>
      <c r="R21" s="37">
        <v>100.0</v>
      </c>
      <c r="S21" s="47" t="s">
        <v>471</v>
      </c>
      <c r="T21" s="47" t="s">
        <v>321</v>
      </c>
      <c r="U21" s="49" t="b">
        <f>IFERROR(__xludf.DUMMYFUNCTION("iferror(if(not(iserror(find(""FINAL"",G21))),max(arrayformula(value(REGEXEXTRACT(F21,""^""&amp;C21&amp;"" ([\d]+)|[^a-zA-Z] ""&amp;C21&amp;"" ([\d]+)""))))=max(value(REGEXEXTRACT(F21,"" ([\d]+)"")),value(REGEXEXTRACT(F21,""([\d]+)$""))),""""))"),TRUE)</f>
        <v>1</v>
      </c>
    </row>
    <row r="22" hidden="1">
      <c r="A22" s="17">
        <v>103.0</v>
      </c>
      <c r="B22" s="51" t="s">
        <v>95</v>
      </c>
      <c r="C22" s="20" t="s">
        <v>233</v>
      </c>
      <c r="D22" s="21">
        <v>9.0</v>
      </c>
      <c r="E22" s="26">
        <v>3.0</v>
      </c>
      <c r="F22" s="54" t="s">
        <v>596</v>
      </c>
      <c r="G22" s="32" t="s">
        <v>597</v>
      </c>
      <c r="H22" s="32" t="s">
        <v>62</v>
      </c>
      <c r="I22" s="33"/>
      <c r="J22" s="54" t="s">
        <v>67</v>
      </c>
      <c r="K22" s="32">
        <v>-1.5</v>
      </c>
      <c r="L22" s="32" t="s">
        <v>67</v>
      </c>
      <c r="M22" s="33">
        <v>55.5</v>
      </c>
      <c r="N22" s="55">
        <v>349.0</v>
      </c>
      <c r="O22" s="37">
        <v>301.0</v>
      </c>
      <c r="P22" s="37">
        <v>2.0</v>
      </c>
      <c r="Q22" s="37" t="b">
        <v>1</v>
      </c>
      <c r="R22" s="37">
        <v>100.0</v>
      </c>
      <c r="S22" s="47" t="s">
        <v>535</v>
      </c>
      <c r="T22" s="47" t="s">
        <v>365</v>
      </c>
      <c r="U22" s="49" t="b">
        <f>IFERROR(__xludf.DUMMYFUNCTION("iferror(if(not(iserror(find(""FINAL"",G22))),max(arrayformula(value(REGEXEXTRACT(F22,""^""&amp;C22&amp;"" ([\d]+)|[^a-zA-Z] ""&amp;C22&amp;"" ([\d]+)""))))=max(value(REGEXEXTRACT(F22,"" ([\d]+)"")),value(REGEXEXTRACT(F22,""([\d]+)$""))),""""))"),TRUE)</f>
        <v>1</v>
      </c>
    </row>
    <row r="23" hidden="1">
      <c r="A23" s="3">
        <v>104.0</v>
      </c>
      <c r="B23" s="78"/>
      <c r="C23" s="4"/>
      <c r="D23" s="79"/>
      <c r="E23" s="5"/>
      <c r="F23" s="80"/>
      <c r="G23" s="92"/>
      <c r="H23" s="81"/>
      <c r="I23" s="82"/>
      <c r="J23" s="80"/>
      <c r="K23" s="81"/>
      <c r="L23" s="81"/>
      <c r="M23" s="82"/>
      <c r="N23" s="4"/>
      <c r="O23" s="4"/>
      <c r="P23" s="4"/>
      <c r="Q23" s="4"/>
      <c r="R23" s="4"/>
      <c r="S23" s="83"/>
      <c r="T23" s="83"/>
      <c r="U23" s="49" t="str">
        <f>IFERROR(__xludf.DUMMYFUNCTION("iferror(if(not(iserror(find(""FINAL"",G23))),max(arrayformula(value(REGEXEXTRACT(F23,""^""&amp;C23&amp;"" ([\d]+)|[^a-zA-Z] ""&amp;C23&amp;"" ([\d]+)""))))=max(value(REGEXEXTRACT(F23,"" ([\d]+)"")),value(REGEXEXTRACT(F23,""([\d]+)$""))),""""))"),"")</f>
        <v/>
      </c>
    </row>
    <row r="24" hidden="1">
      <c r="A24" s="17">
        <v>105.0</v>
      </c>
      <c r="B24" s="19" t="s">
        <v>62</v>
      </c>
      <c r="C24" s="20" t="s">
        <v>190</v>
      </c>
      <c r="D24" s="21">
        <v>7.0</v>
      </c>
      <c r="E24" s="26">
        <v>5.0</v>
      </c>
      <c r="F24" s="28" t="s">
        <v>625</v>
      </c>
      <c r="G24" s="32" t="s">
        <v>61</v>
      </c>
      <c r="H24" s="28" t="s">
        <v>193</v>
      </c>
      <c r="I24" s="30"/>
      <c r="J24" s="54" t="s">
        <v>67</v>
      </c>
      <c r="K24" s="32">
        <v>13.5</v>
      </c>
      <c r="L24" s="32" t="s">
        <v>67</v>
      </c>
      <c r="M24" s="33">
        <v>53.5</v>
      </c>
      <c r="N24" s="84">
        <v>298.0</v>
      </c>
      <c r="O24" s="35">
        <v>318.0</v>
      </c>
      <c r="P24" s="37">
        <v>2.0</v>
      </c>
      <c r="Q24" s="37" t="b">
        <v>0</v>
      </c>
      <c r="R24" s="37">
        <v>100.0</v>
      </c>
      <c r="S24" s="47" t="s">
        <v>317</v>
      </c>
      <c r="T24" s="47" t="s">
        <v>321</v>
      </c>
      <c r="U24" s="49" t="b">
        <f>IFERROR(__xludf.DUMMYFUNCTION("iferror(if(not(iserror(find(""FINAL"",G24))),max(arrayformula(value(REGEXEXTRACT(F24,""^""&amp;C24&amp;"" ([\d]+)|[^a-zA-Z] ""&amp;C24&amp;"" ([\d]+)""))))=max(value(REGEXEXTRACT(F24,"" ([\d]+)"")),value(REGEXEXTRACT(F24,""([\d]+)$""))),""""))"),TRUE)</f>
        <v>1</v>
      </c>
    </row>
    <row r="25" hidden="1">
      <c r="A25" s="17">
        <v>105.0</v>
      </c>
      <c r="B25" s="51" t="s">
        <v>62</v>
      </c>
      <c r="C25" s="20" t="s">
        <v>201</v>
      </c>
      <c r="D25" s="21">
        <v>10.0</v>
      </c>
      <c r="E25" s="26">
        <v>2.0</v>
      </c>
      <c r="F25" s="85" t="s">
        <v>57</v>
      </c>
      <c r="G25" s="32" t="s">
        <v>61</v>
      </c>
      <c r="H25" s="32" t="s">
        <v>43</v>
      </c>
      <c r="I25" s="33"/>
      <c r="J25" s="54" t="s">
        <v>67</v>
      </c>
      <c r="K25" s="32">
        <v>-5.5</v>
      </c>
      <c r="L25" s="32" t="s">
        <v>67</v>
      </c>
      <c r="M25" s="33">
        <v>46.5</v>
      </c>
      <c r="N25" s="55">
        <v>399.0</v>
      </c>
      <c r="O25" s="37">
        <v>198.0</v>
      </c>
      <c r="P25" s="37">
        <v>2.0</v>
      </c>
      <c r="Q25" s="37" t="b">
        <v>0</v>
      </c>
      <c r="R25" s="37">
        <v>100.0</v>
      </c>
      <c r="S25" s="47" t="s">
        <v>556</v>
      </c>
      <c r="T25" s="47" t="s">
        <v>321</v>
      </c>
      <c r="U25" s="49" t="b">
        <f>IFERROR(__xludf.DUMMYFUNCTION("iferror(if(not(iserror(find(""FINAL"",G25))),max(arrayformula(value(REGEXEXTRACT(F25,""^""&amp;C25&amp;"" ([\d]+)|[^a-zA-Z] ""&amp;C25&amp;"" ([\d]+)""))))=max(value(REGEXEXTRACT(F25,"" ([\d]+)"")),value(REGEXEXTRACT(F25,""([\d]+)$""))),""""))"),TRUE)</f>
        <v>1</v>
      </c>
    </row>
    <row r="26" hidden="1">
      <c r="A26" s="17">
        <v>105.0</v>
      </c>
      <c r="B26" s="51" t="s">
        <v>62</v>
      </c>
      <c r="C26" s="20" t="s">
        <v>196</v>
      </c>
      <c r="D26" s="21">
        <v>3.0</v>
      </c>
      <c r="E26" s="26">
        <v>9.0</v>
      </c>
      <c r="F26" s="54" t="s">
        <v>547</v>
      </c>
      <c r="G26" s="32" t="s">
        <v>61</v>
      </c>
      <c r="H26" s="32" t="s">
        <v>95</v>
      </c>
      <c r="I26" s="33"/>
      <c r="J26" s="54" t="s">
        <v>67</v>
      </c>
      <c r="K26" s="32">
        <v>21.5</v>
      </c>
      <c r="L26" s="32" t="s">
        <v>67</v>
      </c>
      <c r="M26" s="33">
        <v>58.5</v>
      </c>
      <c r="N26" s="55">
        <v>218.0</v>
      </c>
      <c r="O26" s="37">
        <v>401.0</v>
      </c>
      <c r="P26" s="37">
        <v>2.0</v>
      </c>
      <c r="Q26" s="37" t="b">
        <v>0</v>
      </c>
      <c r="R26" s="37">
        <v>100.0</v>
      </c>
      <c r="S26" s="47" t="s">
        <v>407</v>
      </c>
      <c r="T26" s="47" t="s">
        <v>321</v>
      </c>
      <c r="U26" s="49" t="b">
        <f>IFERROR(__xludf.DUMMYFUNCTION("iferror(if(not(iserror(find(""FINAL"",G26))),max(arrayformula(value(REGEXEXTRACT(F26,""^""&amp;C26&amp;"" ([\d]+)|[^a-zA-Z] ""&amp;C26&amp;"" ([\d]+)""))))=max(value(REGEXEXTRACT(F26,"" ([\d]+)"")),value(REGEXEXTRACT(F26,""([\d]+)$""))),""""))"),FALSE)</f>
        <v>0</v>
      </c>
    </row>
    <row r="27" hidden="1">
      <c r="A27" s="17">
        <v>105.0</v>
      </c>
      <c r="B27" s="51" t="s">
        <v>62</v>
      </c>
      <c r="C27" s="20" t="s">
        <v>199</v>
      </c>
      <c r="D27" s="21">
        <v>8.0</v>
      </c>
      <c r="E27" s="26">
        <v>4.0</v>
      </c>
      <c r="F27" s="54" t="s">
        <v>628</v>
      </c>
      <c r="G27" s="32" t="s">
        <v>61</v>
      </c>
      <c r="H27" s="32" t="s">
        <v>311</v>
      </c>
      <c r="I27" s="33"/>
      <c r="J27" s="54" t="s">
        <v>67</v>
      </c>
      <c r="K27" s="32">
        <v>7.0</v>
      </c>
      <c r="L27" s="32" t="s">
        <v>67</v>
      </c>
      <c r="M27" s="33">
        <v>51.5</v>
      </c>
      <c r="N27" s="55">
        <v>405.0</v>
      </c>
      <c r="O27" s="37">
        <v>233.0</v>
      </c>
      <c r="P27" s="37">
        <v>2.0</v>
      </c>
      <c r="Q27" s="37" t="b">
        <v>0</v>
      </c>
      <c r="R27" s="37">
        <v>100.0</v>
      </c>
      <c r="S27" s="47" t="s">
        <v>407</v>
      </c>
      <c r="T27" s="47" t="s">
        <v>321</v>
      </c>
      <c r="U27" s="49" t="b">
        <f>IFERROR(__xludf.DUMMYFUNCTION("iferror(if(not(iserror(find(""FINAL"",G27))),max(arrayformula(value(REGEXEXTRACT(F27,""^""&amp;C27&amp;"" ([\d]+)|[^a-zA-Z] ""&amp;C27&amp;"" ([\d]+)""))))=max(value(REGEXEXTRACT(F27,"" ([\d]+)"")),value(REGEXEXTRACT(F27,""([\d]+)$""))),""""))"),FALSE)</f>
        <v>0</v>
      </c>
    </row>
    <row r="28" hidden="1">
      <c r="A28" s="17">
        <v>105.0</v>
      </c>
      <c r="B28" s="51" t="s">
        <v>62</v>
      </c>
      <c r="C28" s="20" t="s">
        <v>163</v>
      </c>
      <c r="D28" s="21">
        <v>4.0</v>
      </c>
      <c r="E28" s="26">
        <v>8.0</v>
      </c>
      <c r="F28" s="54" t="s">
        <v>637</v>
      </c>
      <c r="G28" s="32" t="s">
        <v>61</v>
      </c>
      <c r="H28" s="32" t="s">
        <v>493</v>
      </c>
      <c r="I28" s="33"/>
      <c r="J28" s="54" t="s">
        <v>67</v>
      </c>
      <c r="K28" s="32">
        <v>9.5</v>
      </c>
      <c r="L28" s="32" t="s">
        <v>67</v>
      </c>
      <c r="M28" s="33">
        <v>58.5</v>
      </c>
      <c r="N28" s="55">
        <v>317.0</v>
      </c>
      <c r="O28" s="37">
        <v>459.0</v>
      </c>
      <c r="P28" s="37">
        <v>2.0</v>
      </c>
      <c r="Q28" s="37" t="b">
        <v>1</v>
      </c>
      <c r="R28" s="37">
        <v>100.0</v>
      </c>
      <c r="S28" s="47" t="s">
        <v>361</v>
      </c>
      <c r="T28" s="47" t="s">
        <v>365</v>
      </c>
      <c r="U28" s="49" t="b">
        <f>IFERROR(__xludf.DUMMYFUNCTION("iferror(if(not(iserror(find(""FINAL"",G28))),max(arrayformula(value(REGEXEXTRACT(F28,""^""&amp;C28&amp;"" ([\d]+)|[^a-zA-Z] ""&amp;C28&amp;"" ([\d]+)""))))=max(value(REGEXEXTRACT(F28,"" ([\d]+)"")),value(REGEXEXTRACT(F28,""([\d]+)$""))),""""))"),TRUE)</f>
        <v>1</v>
      </c>
    </row>
    <row r="29" hidden="1">
      <c r="A29" s="17">
        <v>105.0</v>
      </c>
      <c r="B29" s="51" t="s">
        <v>62</v>
      </c>
      <c r="C29" s="20" t="s">
        <v>155</v>
      </c>
      <c r="D29" s="21">
        <v>9.0</v>
      </c>
      <c r="E29" s="26">
        <v>3.0</v>
      </c>
      <c r="F29" s="54" t="s">
        <v>649</v>
      </c>
      <c r="G29" s="32" t="s">
        <v>61</v>
      </c>
      <c r="H29" s="32" t="s">
        <v>249</v>
      </c>
      <c r="I29" s="33"/>
      <c r="J29" s="54" t="s">
        <v>67</v>
      </c>
      <c r="K29" s="32">
        <v>-27.5</v>
      </c>
      <c r="L29" s="32" t="s">
        <v>67</v>
      </c>
      <c r="M29" s="33">
        <v>58.5</v>
      </c>
      <c r="N29" s="55">
        <v>392.0</v>
      </c>
      <c r="O29" s="37">
        <v>231.0</v>
      </c>
      <c r="P29" s="37">
        <v>2.0</v>
      </c>
      <c r="Q29" s="37" t="b">
        <v>1</v>
      </c>
      <c r="R29" s="37">
        <v>100.0</v>
      </c>
      <c r="S29" s="47" t="s">
        <v>441</v>
      </c>
      <c r="T29" s="47" t="s">
        <v>365</v>
      </c>
      <c r="U29" s="49" t="b">
        <f>IFERROR(__xludf.DUMMYFUNCTION("iferror(if(not(iserror(find(""FINAL"",G29))),max(arrayformula(value(REGEXEXTRACT(F29,""^""&amp;C29&amp;"" ([\d]+)|[^a-zA-Z] ""&amp;C29&amp;"" ([\d]+)""))))=max(value(REGEXEXTRACT(F29,"" ([\d]+)"")),value(REGEXEXTRACT(F29,""([\d]+)$""))),""""))"),TRUE)</f>
        <v>1</v>
      </c>
    </row>
    <row r="30" hidden="1">
      <c r="A30" s="17">
        <v>105.0</v>
      </c>
      <c r="B30" s="51" t="s">
        <v>62</v>
      </c>
      <c r="C30" s="20" t="s">
        <v>127</v>
      </c>
      <c r="D30" s="21">
        <v>6.0</v>
      </c>
      <c r="E30" s="26">
        <v>6.0</v>
      </c>
      <c r="F30" s="54" t="s">
        <v>650</v>
      </c>
      <c r="G30" s="32" t="s">
        <v>61</v>
      </c>
      <c r="H30" s="32" t="s">
        <v>224</v>
      </c>
      <c r="I30" s="33"/>
      <c r="J30" s="54" t="s">
        <v>67</v>
      </c>
      <c r="K30" s="32">
        <v>-16.5</v>
      </c>
      <c r="L30" s="32" t="s">
        <v>67</v>
      </c>
      <c r="M30" s="33">
        <v>50.5</v>
      </c>
      <c r="N30" s="55">
        <v>353.0</v>
      </c>
      <c r="O30" s="37">
        <v>320.0</v>
      </c>
      <c r="P30" s="37">
        <v>2.0</v>
      </c>
      <c r="Q30" s="37" t="b">
        <v>0</v>
      </c>
      <c r="R30" s="37">
        <v>100.0</v>
      </c>
      <c r="S30" s="47" t="s">
        <v>471</v>
      </c>
      <c r="T30" s="47" t="s">
        <v>321</v>
      </c>
      <c r="U30" s="49" t="b">
        <f>IFERROR(__xludf.DUMMYFUNCTION("iferror(if(not(iserror(find(""FINAL"",G30))),max(arrayformula(value(REGEXEXTRACT(F30,""^""&amp;C30&amp;"" ([\d]+)|[^a-zA-Z] ""&amp;C30&amp;"" ([\d]+)""))))=max(value(REGEXEXTRACT(F30,"" ([\d]+)"")),value(REGEXEXTRACT(F30,""([\d]+)$""))),""""))"),TRUE)</f>
        <v>1</v>
      </c>
    </row>
    <row r="31" hidden="1">
      <c r="A31" s="17">
        <v>105.0</v>
      </c>
      <c r="B31" s="51" t="s">
        <v>62</v>
      </c>
      <c r="C31" s="20" t="s">
        <v>178</v>
      </c>
      <c r="D31" s="21">
        <v>2.0</v>
      </c>
      <c r="E31" s="26">
        <v>10.0</v>
      </c>
      <c r="F31" s="54" t="s">
        <v>518</v>
      </c>
      <c r="G31" s="32" t="s">
        <v>61</v>
      </c>
      <c r="H31" s="32" t="s">
        <v>43</v>
      </c>
      <c r="I31" s="33"/>
      <c r="J31" s="54" t="s">
        <v>67</v>
      </c>
      <c r="K31" s="32">
        <v>2.5</v>
      </c>
      <c r="L31" s="32" t="s">
        <v>67</v>
      </c>
      <c r="M31" s="33">
        <v>46.5</v>
      </c>
      <c r="N31" s="55">
        <v>222.0</v>
      </c>
      <c r="O31" s="37">
        <v>370.0</v>
      </c>
      <c r="P31" s="37">
        <v>2.0</v>
      </c>
      <c r="Q31" s="37" t="b">
        <v>0</v>
      </c>
      <c r="R31" s="37">
        <v>100.0</v>
      </c>
      <c r="S31" s="47" t="s">
        <v>525</v>
      </c>
      <c r="T31" s="47" t="s">
        <v>365</v>
      </c>
      <c r="U31" s="49" t="b">
        <f>IFERROR(__xludf.DUMMYFUNCTION("iferror(if(not(iserror(find(""FINAL"",G31))),max(arrayformula(value(REGEXEXTRACT(F31,""^""&amp;C31&amp;"" ([\d]+)|[^a-zA-Z] ""&amp;C31&amp;"" ([\d]+)""))))=max(value(REGEXEXTRACT(F31,"" ([\d]+)"")),value(REGEXEXTRACT(F31,""([\d]+)$""))),""""))"),FALSE)</f>
        <v>0</v>
      </c>
    </row>
    <row r="32" hidden="1">
      <c r="A32" s="17">
        <v>105.0</v>
      </c>
      <c r="B32" s="51" t="s">
        <v>62</v>
      </c>
      <c r="C32" s="20" t="s">
        <v>304</v>
      </c>
      <c r="D32" s="21">
        <v>4.0</v>
      </c>
      <c r="E32" s="26">
        <v>8.0</v>
      </c>
      <c r="F32" s="54" t="s">
        <v>666</v>
      </c>
      <c r="G32" s="32" t="s">
        <v>61</v>
      </c>
      <c r="H32" s="32" t="s">
        <v>395</v>
      </c>
      <c r="I32" s="33"/>
      <c r="J32" s="54" t="s">
        <v>67</v>
      </c>
      <c r="K32" s="32">
        <v>7.5</v>
      </c>
      <c r="L32" s="32" t="s">
        <v>67</v>
      </c>
      <c r="M32" s="33">
        <v>46.5</v>
      </c>
      <c r="N32" s="55">
        <v>289.0</v>
      </c>
      <c r="O32" s="37">
        <v>357.0</v>
      </c>
      <c r="P32" s="37">
        <v>2.0</v>
      </c>
      <c r="Q32" s="37" t="b">
        <v>0</v>
      </c>
      <c r="R32" s="37">
        <v>100.0</v>
      </c>
      <c r="S32" s="47" t="s">
        <v>530</v>
      </c>
      <c r="T32" s="47" t="s">
        <v>365</v>
      </c>
      <c r="U32" s="49" t="b">
        <f>IFERROR(__xludf.DUMMYFUNCTION("iferror(if(not(iserror(find(""FINAL"",G32))),max(arrayformula(value(REGEXEXTRACT(F32,""^""&amp;C32&amp;"" ([\d]+)|[^a-zA-Z] ""&amp;C32&amp;"" ([\d]+)""))))=max(value(REGEXEXTRACT(F32,"" ([\d]+)"")),value(REGEXEXTRACT(F32,""([\d]+)$""))),""""))"),FALSE)</f>
        <v>0</v>
      </c>
    </row>
    <row r="33" hidden="1">
      <c r="A33" s="17">
        <v>105.0</v>
      </c>
      <c r="B33" s="51" t="s">
        <v>62</v>
      </c>
      <c r="C33" s="20" t="s">
        <v>227</v>
      </c>
      <c r="D33" s="21">
        <v>4.0</v>
      </c>
      <c r="E33" s="26">
        <v>8.0</v>
      </c>
      <c r="F33" s="54" t="s">
        <v>596</v>
      </c>
      <c r="G33" s="32" t="s">
        <v>597</v>
      </c>
      <c r="H33" s="32" t="s">
        <v>95</v>
      </c>
      <c r="I33" s="33"/>
      <c r="J33" s="54" t="s">
        <v>67</v>
      </c>
      <c r="K33" s="32">
        <v>1.5</v>
      </c>
      <c r="L33" s="32" t="s">
        <v>67</v>
      </c>
      <c r="M33" s="33">
        <v>55.5</v>
      </c>
      <c r="N33" s="55">
        <v>307.0</v>
      </c>
      <c r="O33" s="37">
        <v>318.0</v>
      </c>
      <c r="P33" s="37">
        <v>2.0</v>
      </c>
      <c r="Q33" s="37" t="b">
        <v>0</v>
      </c>
      <c r="R33" s="37">
        <v>100.0</v>
      </c>
      <c r="S33" s="47" t="s">
        <v>535</v>
      </c>
      <c r="T33" s="47" t="s">
        <v>365</v>
      </c>
      <c r="U33" s="49" t="b">
        <f>IFERROR(__xludf.DUMMYFUNCTION("iferror(if(not(iserror(find(""FINAL"",G33))),max(arrayformula(value(REGEXEXTRACT(F33,""^""&amp;C33&amp;"" ([\d]+)|[^a-zA-Z] ""&amp;C33&amp;"" ([\d]+)""))))=max(value(REGEXEXTRACT(F33,"" ([\d]+)"")),value(REGEXEXTRACT(F33,""([\d]+)$""))),""""))"),FALSE)</f>
        <v>0</v>
      </c>
    </row>
    <row r="34" hidden="1">
      <c r="A34" s="3">
        <v>106.0</v>
      </c>
      <c r="B34" s="3"/>
      <c r="C34" s="4"/>
      <c r="D34" s="79"/>
      <c r="E34" s="5"/>
      <c r="F34" s="80"/>
      <c r="G34" s="81"/>
      <c r="H34" s="81"/>
      <c r="I34" s="82"/>
      <c r="J34" s="80"/>
      <c r="K34" s="81"/>
      <c r="L34" s="81"/>
      <c r="M34" s="82"/>
      <c r="N34" s="4"/>
      <c r="O34" s="4"/>
      <c r="P34" s="4"/>
      <c r="Q34" s="4"/>
      <c r="R34" s="4"/>
      <c r="S34" s="83"/>
      <c r="T34" s="83"/>
      <c r="U34" s="49" t="str">
        <f>IFERROR(__xludf.DUMMYFUNCTION("iferror(if(not(iserror(find(""FINAL"",G34))),max(arrayformula(value(REGEXEXTRACT(F34,""^""&amp;C34&amp;"" ([\d]+)|[^a-zA-Z] ""&amp;C34&amp;"" ([\d]+)""))))=max(value(REGEXEXTRACT(F34,"" ([\d]+)"")),value(REGEXEXTRACT(F34,""([\d]+)$""))),""""))"),"")</f>
        <v/>
      </c>
    </row>
    <row r="35" hidden="1">
      <c r="A35" s="17">
        <v>107.0</v>
      </c>
      <c r="B35" s="102" t="s">
        <v>193</v>
      </c>
      <c r="C35" s="20" t="s">
        <v>164</v>
      </c>
      <c r="D35" s="21">
        <v>5.0</v>
      </c>
      <c r="E35" s="26">
        <v>7.0</v>
      </c>
      <c r="F35" s="28"/>
      <c r="G35" s="32"/>
      <c r="H35" s="28"/>
      <c r="I35" s="30"/>
      <c r="J35" s="54"/>
      <c r="K35" s="32"/>
      <c r="L35" s="32"/>
      <c r="M35" s="33"/>
      <c r="N35" s="84">
        <v>267.0</v>
      </c>
      <c r="O35" s="35">
        <v>329.0</v>
      </c>
      <c r="P35" s="37">
        <v>0.0</v>
      </c>
      <c r="Q35" s="37" t="b">
        <v>0</v>
      </c>
      <c r="R35" s="37">
        <v>59.0</v>
      </c>
      <c r="S35" s="47" t="s">
        <v>530</v>
      </c>
      <c r="T35" s="47" t="s">
        <v>365</v>
      </c>
      <c r="U35" s="49" t="str">
        <f>IFERROR(__xludf.DUMMYFUNCTION("iferror(if(not(iserror(find(""FINAL"",G35))),max(arrayformula(value(REGEXEXTRACT(F35,""^""&amp;C35&amp;"" ([\d]+)|[^a-zA-Z] ""&amp;C35&amp;"" ([\d]+)""))))=max(value(REGEXEXTRACT(F35,"" ([\d]+)"")),value(REGEXEXTRACT(F35,""([\d]+)$""))),""""))"),"")</f>
        <v/>
      </c>
    </row>
    <row r="36" hidden="1">
      <c r="A36" s="17">
        <v>107.0</v>
      </c>
      <c r="B36" s="17" t="s">
        <v>193</v>
      </c>
      <c r="C36" s="20" t="s">
        <v>104</v>
      </c>
      <c r="D36" s="21">
        <v>8.0</v>
      </c>
      <c r="E36" s="26">
        <v>4.0</v>
      </c>
      <c r="F36" s="85" t="s">
        <v>625</v>
      </c>
      <c r="G36" s="32" t="s">
        <v>61</v>
      </c>
      <c r="H36" s="32" t="s">
        <v>62</v>
      </c>
      <c r="I36" s="33"/>
      <c r="J36" s="54" t="s">
        <v>67</v>
      </c>
      <c r="K36" s="32">
        <v>-13.5</v>
      </c>
      <c r="L36" s="32" t="s">
        <v>67</v>
      </c>
      <c r="M36" s="33">
        <v>53.5</v>
      </c>
      <c r="N36" s="55">
        <v>395.0</v>
      </c>
      <c r="O36" s="37">
        <v>248.0</v>
      </c>
      <c r="P36" s="37">
        <v>2.0</v>
      </c>
      <c r="Q36" s="37" t="b">
        <v>1</v>
      </c>
      <c r="R36" s="37">
        <v>100.0</v>
      </c>
      <c r="S36" s="47" t="s">
        <v>317</v>
      </c>
      <c r="T36" s="47" t="s">
        <v>321</v>
      </c>
      <c r="U36" s="49" t="b">
        <f>IFERROR(__xludf.DUMMYFUNCTION("iferror(if(not(iserror(find(""FINAL"",G36))),max(arrayformula(value(REGEXEXTRACT(F36,""^""&amp;C36&amp;"" ([\d]+)|[^a-zA-Z] ""&amp;C36&amp;"" ([\d]+)""))))=max(value(REGEXEXTRACT(F36,"" ([\d]+)"")),value(REGEXEXTRACT(F36,""([\d]+)$""))),""""))"),FALSE)</f>
        <v>0</v>
      </c>
    </row>
    <row r="37" hidden="1">
      <c r="A37" s="17">
        <v>107.0</v>
      </c>
      <c r="B37" s="17" t="s">
        <v>193</v>
      </c>
      <c r="C37" s="20" t="s">
        <v>194</v>
      </c>
      <c r="D37" s="21">
        <v>2.0</v>
      </c>
      <c r="E37" s="26">
        <v>10.0</v>
      </c>
      <c r="F37" s="54" t="s">
        <v>679</v>
      </c>
      <c r="G37" s="32" t="s">
        <v>61</v>
      </c>
      <c r="H37" s="32" t="s">
        <v>493</v>
      </c>
      <c r="I37" s="33"/>
      <c r="J37" s="54" t="s">
        <v>67</v>
      </c>
      <c r="K37" s="32">
        <v>13.5</v>
      </c>
      <c r="L37" s="32" t="s">
        <v>67</v>
      </c>
      <c r="M37" s="33">
        <v>43.5</v>
      </c>
      <c r="N37" s="55">
        <v>218.0</v>
      </c>
      <c r="O37" s="37">
        <v>353.0</v>
      </c>
      <c r="P37" s="37">
        <v>2.0</v>
      </c>
      <c r="Q37" s="37" t="b">
        <v>0</v>
      </c>
      <c r="R37" s="37">
        <v>100.0</v>
      </c>
      <c r="S37" s="47" t="s">
        <v>680</v>
      </c>
      <c r="T37" s="47" t="s">
        <v>365</v>
      </c>
      <c r="U37" s="49" t="b">
        <f>IFERROR(__xludf.DUMMYFUNCTION("iferror(if(not(iserror(find(""FINAL"",G37))),max(arrayformula(value(REGEXEXTRACT(F37,""^""&amp;C37&amp;"" ([\d]+)|[^a-zA-Z] ""&amp;C37&amp;"" ([\d]+)""))))=max(value(REGEXEXTRACT(F37,"" ([\d]+)"")),value(REGEXEXTRACT(F37,""([\d]+)$""))),""""))"),FALSE)</f>
        <v>0</v>
      </c>
    </row>
    <row r="38" hidden="1">
      <c r="A38" s="17">
        <v>107.0</v>
      </c>
      <c r="B38" s="17" t="s">
        <v>193</v>
      </c>
      <c r="C38" s="20" t="s">
        <v>211</v>
      </c>
      <c r="D38" s="21">
        <v>8.0</v>
      </c>
      <c r="E38" s="26">
        <v>4.0</v>
      </c>
      <c r="F38" s="54" t="s">
        <v>681</v>
      </c>
      <c r="G38" s="32" t="s">
        <v>61</v>
      </c>
      <c r="H38" s="32" t="s">
        <v>395</v>
      </c>
      <c r="I38" s="33"/>
      <c r="J38" s="54" t="s">
        <v>67</v>
      </c>
      <c r="K38" s="32">
        <v>-3.0</v>
      </c>
      <c r="L38" s="32" t="s">
        <v>67</v>
      </c>
      <c r="M38" s="33">
        <v>65.5</v>
      </c>
      <c r="N38" s="55">
        <v>489.0</v>
      </c>
      <c r="O38" s="37">
        <v>345.0</v>
      </c>
      <c r="P38" s="37">
        <v>2.0</v>
      </c>
      <c r="Q38" s="37" t="b">
        <v>1</v>
      </c>
      <c r="R38" s="37">
        <v>100.0</v>
      </c>
      <c r="S38" s="47" t="s">
        <v>556</v>
      </c>
      <c r="T38" s="47" t="s">
        <v>321</v>
      </c>
      <c r="U38" s="49" t="b">
        <f>IFERROR(__xludf.DUMMYFUNCTION("iferror(if(not(iserror(find(""FINAL"",G38))),max(arrayformula(value(REGEXEXTRACT(F38,""^""&amp;C38&amp;"" ([\d]+)|[^a-zA-Z] ""&amp;C38&amp;"" ([\d]+)""))))=max(value(REGEXEXTRACT(F38,"" ([\d]+)"")),value(REGEXEXTRACT(F38,""([\d]+)$""))),""""))"),FALSE)</f>
        <v>0</v>
      </c>
    </row>
    <row r="39" hidden="1">
      <c r="A39" s="17">
        <v>107.0</v>
      </c>
      <c r="B39" s="17" t="s">
        <v>193</v>
      </c>
      <c r="C39" s="20" t="s">
        <v>236</v>
      </c>
      <c r="D39" s="21">
        <v>7.0</v>
      </c>
      <c r="E39" s="26">
        <v>5.0</v>
      </c>
      <c r="F39" s="54" t="s">
        <v>683</v>
      </c>
      <c r="G39" s="32" t="s">
        <v>61</v>
      </c>
      <c r="H39" s="32" t="s">
        <v>249</v>
      </c>
      <c r="I39" s="33"/>
      <c r="J39" s="54" t="s">
        <v>67</v>
      </c>
      <c r="K39" s="32">
        <v>-1.5</v>
      </c>
      <c r="L39" s="32" t="s">
        <v>67</v>
      </c>
      <c r="M39" s="33">
        <v>47.5</v>
      </c>
      <c r="N39" s="55">
        <v>305.0</v>
      </c>
      <c r="O39" s="37">
        <v>340.0</v>
      </c>
      <c r="P39" s="37">
        <v>2.0</v>
      </c>
      <c r="Q39" s="37" t="b">
        <v>1</v>
      </c>
      <c r="R39" s="37">
        <v>100.0</v>
      </c>
      <c r="S39" s="47" t="s">
        <v>535</v>
      </c>
      <c r="T39" s="47" t="s">
        <v>365</v>
      </c>
      <c r="U39" s="49" t="b">
        <f>IFERROR(__xludf.DUMMYFUNCTION("iferror(if(not(iserror(find(""FINAL"",G39))),max(arrayformula(value(REGEXEXTRACT(F39,""^""&amp;C39&amp;"" ([\d]+)|[^a-zA-Z] ""&amp;C39&amp;"" ([\d]+)""))))=max(value(REGEXEXTRACT(F39,"" ([\d]+)"")),value(REGEXEXTRACT(F39,""([\d]+)$""))),""""))"),FALSE)</f>
        <v>0</v>
      </c>
    </row>
    <row r="40" hidden="1">
      <c r="A40" s="17">
        <v>107.0</v>
      </c>
      <c r="B40" s="17" t="s">
        <v>193</v>
      </c>
      <c r="C40" s="20" t="s">
        <v>144</v>
      </c>
      <c r="D40" s="21">
        <v>12.0</v>
      </c>
      <c r="E40" s="26">
        <v>0.0</v>
      </c>
      <c r="F40" s="54" t="s">
        <v>684</v>
      </c>
      <c r="G40" s="32" t="s">
        <v>61</v>
      </c>
      <c r="H40" s="32" t="s">
        <v>311</v>
      </c>
      <c r="I40" s="33"/>
      <c r="J40" s="54" t="s">
        <v>67</v>
      </c>
      <c r="K40" s="32">
        <v>-10.5</v>
      </c>
      <c r="L40" s="32" t="s">
        <v>67</v>
      </c>
      <c r="M40" s="33">
        <v>43.5</v>
      </c>
      <c r="N40" s="55">
        <v>444.0</v>
      </c>
      <c r="O40" s="37">
        <v>93.0</v>
      </c>
      <c r="P40" s="37">
        <v>2.0</v>
      </c>
      <c r="Q40" s="37" t="b">
        <v>1</v>
      </c>
      <c r="R40" s="37">
        <v>100.0</v>
      </c>
      <c r="S40" s="47" t="s">
        <v>407</v>
      </c>
      <c r="T40" s="47" t="s">
        <v>321</v>
      </c>
      <c r="U40" s="49" t="b">
        <f>IFERROR(__xludf.DUMMYFUNCTION("iferror(if(not(iserror(find(""FINAL"",G40))),max(arrayformula(value(REGEXEXTRACT(F40,""^""&amp;C40&amp;"" ([\d]+)|[^a-zA-Z] ""&amp;C40&amp;"" ([\d]+)""))))=max(value(REGEXEXTRACT(F40,"" ([\d]+)"")),value(REGEXEXTRACT(F40,""([\d]+)$""))),""""))"),TRUE)</f>
        <v>1</v>
      </c>
    </row>
    <row r="41" hidden="1">
      <c r="A41" s="17">
        <v>107.0</v>
      </c>
      <c r="B41" s="17" t="s">
        <v>193</v>
      </c>
      <c r="C41" s="20" t="s">
        <v>150</v>
      </c>
      <c r="D41" s="21">
        <v>4.0</v>
      </c>
      <c r="E41" s="26">
        <v>8.0</v>
      </c>
      <c r="F41" s="54" t="s">
        <v>564</v>
      </c>
      <c r="G41" s="32" t="s">
        <v>61</v>
      </c>
      <c r="H41" s="32" t="s">
        <v>95</v>
      </c>
      <c r="I41" s="33"/>
      <c r="J41" s="54" t="s">
        <v>67</v>
      </c>
      <c r="K41" s="32">
        <v>6.5</v>
      </c>
      <c r="L41" s="32" t="s">
        <v>67</v>
      </c>
      <c r="M41" s="33">
        <v>65.5</v>
      </c>
      <c r="N41" s="55">
        <v>354.0</v>
      </c>
      <c r="O41" s="37">
        <v>436.0</v>
      </c>
      <c r="P41" s="37">
        <v>2.0</v>
      </c>
      <c r="Q41" s="37" t="b">
        <v>0</v>
      </c>
      <c r="R41" s="37">
        <v>100.0</v>
      </c>
      <c r="S41" s="47" t="s">
        <v>361</v>
      </c>
      <c r="T41" s="47" t="s">
        <v>365</v>
      </c>
      <c r="U41" s="49" t="b">
        <f>IFERROR(__xludf.DUMMYFUNCTION("iferror(if(not(iserror(find(""FINAL"",G41))),max(arrayformula(value(REGEXEXTRACT(F41,""^""&amp;C41&amp;"" ([\d]+)|[^a-zA-Z] ""&amp;C41&amp;"" ([\d]+)""))))=max(value(REGEXEXTRACT(F41,"" ([\d]+)"")),value(REGEXEXTRACT(F41,""([\d]+)$""))),""""))"),FALSE)</f>
        <v>0</v>
      </c>
    </row>
    <row r="42" hidden="1">
      <c r="A42" s="17">
        <v>107.0</v>
      </c>
      <c r="B42" s="17" t="s">
        <v>193</v>
      </c>
      <c r="C42" s="20" t="s">
        <v>126</v>
      </c>
      <c r="D42" s="21">
        <v>5.0</v>
      </c>
      <c r="E42" s="26">
        <v>7.0</v>
      </c>
      <c r="F42" s="54" t="s">
        <v>580</v>
      </c>
      <c r="G42" s="32" t="s">
        <v>61</v>
      </c>
      <c r="H42" s="32" t="s">
        <v>95</v>
      </c>
      <c r="I42" s="33"/>
      <c r="J42" s="54" t="s">
        <v>67</v>
      </c>
      <c r="K42" s="32">
        <v>10.5</v>
      </c>
      <c r="L42" s="32" t="s">
        <v>67</v>
      </c>
      <c r="M42" s="33">
        <v>60.5</v>
      </c>
      <c r="N42" s="55">
        <v>337.0</v>
      </c>
      <c r="O42" s="37">
        <v>321.0</v>
      </c>
      <c r="P42" s="37">
        <v>2.0</v>
      </c>
      <c r="Q42" s="37" t="b">
        <v>1</v>
      </c>
      <c r="R42" s="37">
        <v>100.0</v>
      </c>
      <c r="S42" s="47" t="s">
        <v>471</v>
      </c>
      <c r="T42" s="47" t="s">
        <v>321</v>
      </c>
      <c r="U42" s="49" t="b">
        <f>IFERROR(__xludf.DUMMYFUNCTION("iferror(if(not(iserror(find(""FINAL"",G42))),max(arrayformula(value(REGEXEXTRACT(F42,""^""&amp;C42&amp;"" ([\d]+)|[^a-zA-Z] ""&amp;C42&amp;"" ([\d]+)""))))=max(value(REGEXEXTRACT(F42,"" ([\d]+)"")),value(REGEXEXTRACT(F42,""([\d]+)$""))),""""))"),FALSE)</f>
        <v>0</v>
      </c>
    </row>
    <row r="43" hidden="1">
      <c r="A43" s="17">
        <v>107.0</v>
      </c>
      <c r="B43" s="17" t="s">
        <v>193</v>
      </c>
      <c r="C43" s="20" t="s">
        <v>182</v>
      </c>
      <c r="D43" s="21">
        <v>9.0</v>
      </c>
      <c r="E43" s="26">
        <v>3.0</v>
      </c>
      <c r="F43" s="54" t="s">
        <v>688</v>
      </c>
      <c r="G43" s="32" t="s">
        <v>597</v>
      </c>
      <c r="H43" s="32" t="s">
        <v>249</v>
      </c>
      <c r="I43" s="33"/>
      <c r="J43" s="54" t="s">
        <v>67</v>
      </c>
      <c r="K43" s="32">
        <v>1.5</v>
      </c>
      <c r="L43" s="32" t="s">
        <v>67</v>
      </c>
      <c r="M43" s="33">
        <v>41.5</v>
      </c>
      <c r="N43" s="55">
        <v>335.0</v>
      </c>
      <c r="O43" s="37">
        <v>270.0</v>
      </c>
      <c r="P43" s="37">
        <v>2.0</v>
      </c>
      <c r="Q43" s="37" t="b">
        <v>1</v>
      </c>
      <c r="R43" s="37">
        <v>100.0</v>
      </c>
      <c r="S43" s="47" t="s">
        <v>525</v>
      </c>
      <c r="T43" s="47" t="s">
        <v>365</v>
      </c>
      <c r="U43" s="49" t="b">
        <f>IFERROR(__xludf.DUMMYFUNCTION("iferror(if(not(iserror(find(""FINAL"",G43))),max(arrayformula(value(REGEXEXTRACT(F43,""^""&amp;C43&amp;"" ([\d]+)|[^a-zA-Z] ""&amp;C43&amp;"" ([\d]+)""))))=max(value(REGEXEXTRACT(F43,"" ([\d]+)"")),value(REGEXEXTRACT(F43,""([\d]+)$""))),""""))"),TRUE)</f>
        <v>1</v>
      </c>
    </row>
    <row r="44" hidden="1">
      <c r="A44" s="17">
        <v>107.0</v>
      </c>
      <c r="B44" s="17" t="s">
        <v>193</v>
      </c>
      <c r="C44" s="20" t="s">
        <v>552</v>
      </c>
      <c r="D44" s="21">
        <v>6.0</v>
      </c>
      <c r="E44" s="26">
        <v>6.0</v>
      </c>
      <c r="F44" s="54" t="s">
        <v>690</v>
      </c>
      <c r="G44" s="32" t="s">
        <v>532</v>
      </c>
      <c r="H44" s="32" t="s">
        <v>493</v>
      </c>
      <c r="I44" s="33"/>
      <c r="J44" s="54" t="s">
        <v>67</v>
      </c>
      <c r="K44" s="32">
        <v>-8.5</v>
      </c>
      <c r="L44" s="32" t="s">
        <v>67</v>
      </c>
      <c r="M44" s="33">
        <v>47.5</v>
      </c>
      <c r="N44" s="55">
        <v>325.0</v>
      </c>
      <c r="O44" s="37">
        <v>360.0</v>
      </c>
      <c r="P44" s="37">
        <v>2.0</v>
      </c>
      <c r="Q44" s="37" t="b">
        <v>0</v>
      </c>
      <c r="R44" s="37">
        <v>100.0</v>
      </c>
      <c r="S44" s="47" t="s">
        <v>441</v>
      </c>
      <c r="T44" s="47" t="s">
        <v>365</v>
      </c>
      <c r="U44" s="49" t="b">
        <f>IFERROR(__xludf.DUMMYFUNCTION("iferror(if(not(iserror(find(""FINAL"",G44))),max(arrayformula(value(REGEXEXTRACT(F44,""^""&amp;C44&amp;"" ([\d]+)|[^a-zA-Z] ""&amp;C44&amp;"" ([\d]+)""))))=max(value(REGEXEXTRACT(F44,"" ([\d]+)"")),value(REGEXEXTRACT(F44,""([\d]+)$""))),""""))"),TRUE)</f>
        <v>1</v>
      </c>
    </row>
    <row r="45" hidden="1">
      <c r="A45" s="3">
        <v>108.0</v>
      </c>
      <c r="B45" s="3"/>
      <c r="C45" s="4"/>
      <c r="D45" s="79"/>
      <c r="E45" s="5"/>
      <c r="F45" s="80"/>
      <c r="G45" s="81"/>
      <c r="H45" s="81"/>
      <c r="I45" s="82"/>
      <c r="J45" s="80"/>
      <c r="K45" s="81"/>
      <c r="L45" s="81"/>
      <c r="M45" s="82"/>
      <c r="N45" s="4"/>
      <c r="O45" s="4"/>
      <c r="P45" s="4"/>
      <c r="Q45" s="4"/>
      <c r="R45" s="4"/>
      <c r="S45" s="83"/>
      <c r="T45" s="83"/>
      <c r="U45" s="49" t="str">
        <f>IFERROR(__xludf.DUMMYFUNCTION("iferror(if(not(iserror(find(""FINAL"",G45))),max(arrayformula(value(REGEXEXTRACT(F45,""^""&amp;C45&amp;"" ([\d]+)|[^a-zA-Z] ""&amp;C45&amp;"" ([\d]+)""))))=max(value(REGEXEXTRACT(F45,"" ([\d]+)"")),value(REGEXEXTRACT(F45,""([\d]+)$""))),""""))"),"")</f>
        <v/>
      </c>
    </row>
    <row r="46" hidden="1">
      <c r="A46" s="17">
        <v>109.0</v>
      </c>
      <c r="B46" s="102" t="s">
        <v>311</v>
      </c>
      <c r="C46" s="20" t="s">
        <v>122</v>
      </c>
      <c r="D46" s="21">
        <v>3.0</v>
      </c>
      <c r="E46" s="26">
        <v>9.0</v>
      </c>
      <c r="F46" s="28" t="s">
        <v>693</v>
      </c>
      <c r="G46" s="32" t="s">
        <v>61</v>
      </c>
      <c r="H46" s="28" t="s">
        <v>96</v>
      </c>
      <c r="I46" s="30"/>
      <c r="J46" s="54" t="s">
        <v>67</v>
      </c>
      <c r="K46" s="32">
        <v>8.5</v>
      </c>
      <c r="L46" s="32" t="s">
        <v>67</v>
      </c>
      <c r="M46" s="33">
        <v>52.5</v>
      </c>
      <c r="N46" s="84">
        <v>257.0</v>
      </c>
      <c r="O46" s="35">
        <v>362.0</v>
      </c>
      <c r="P46" s="37">
        <v>2.0</v>
      </c>
      <c r="Q46" s="37" t="b">
        <v>0</v>
      </c>
      <c r="R46" s="37">
        <v>100.0</v>
      </c>
      <c r="S46" s="47" t="s">
        <v>317</v>
      </c>
      <c r="T46" s="47" t="s">
        <v>321</v>
      </c>
      <c r="U46" s="49" t="b">
        <f>IFERROR(__xludf.DUMMYFUNCTION("iferror(if(not(iserror(find(""FINAL"",G46))),max(arrayformula(value(REGEXEXTRACT(F46,""^""&amp;C46&amp;"" ([\d]+)|[^a-zA-Z] ""&amp;C46&amp;"" ([\d]+)""))))=max(value(REGEXEXTRACT(F46,"" ([\d]+)"")),value(REGEXEXTRACT(F46,""([\d]+)$""))),""""))"),FALSE)</f>
        <v>0</v>
      </c>
    </row>
    <row r="47" hidden="1">
      <c r="A47" s="17">
        <v>109.0</v>
      </c>
      <c r="B47" s="17" t="s">
        <v>311</v>
      </c>
      <c r="C47" s="20" t="s">
        <v>206</v>
      </c>
      <c r="D47" s="21">
        <v>7.0</v>
      </c>
      <c r="E47" s="26">
        <v>5.0</v>
      </c>
      <c r="F47" s="85" t="s">
        <v>554</v>
      </c>
      <c r="G47" s="32" t="s">
        <v>61</v>
      </c>
      <c r="H47" s="32" t="s">
        <v>95</v>
      </c>
      <c r="I47" s="33"/>
      <c r="J47" s="54" t="s">
        <v>67</v>
      </c>
      <c r="K47" s="32">
        <v>10.5</v>
      </c>
      <c r="L47" s="32" t="s">
        <v>67</v>
      </c>
      <c r="M47" s="33">
        <v>35.5</v>
      </c>
      <c r="N47" s="55">
        <v>262.0</v>
      </c>
      <c r="O47" s="37">
        <v>220.0</v>
      </c>
      <c r="P47" s="37">
        <v>2.0</v>
      </c>
      <c r="Q47" s="37" t="b">
        <v>1</v>
      </c>
      <c r="R47" s="37">
        <v>100.0</v>
      </c>
      <c r="S47" s="47" t="s">
        <v>556</v>
      </c>
      <c r="T47" s="47" t="s">
        <v>321</v>
      </c>
      <c r="U47" s="49" t="b">
        <f>IFERROR(__xludf.DUMMYFUNCTION("iferror(if(not(iserror(find(""FINAL"",G47))),max(arrayformula(value(REGEXEXTRACT(F47,""^""&amp;C47&amp;"" ([\d]+)|[^a-zA-Z] ""&amp;C47&amp;"" ([\d]+)""))))=max(value(REGEXEXTRACT(F47,"" ([\d]+)"")),value(REGEXEXTRACT(F47,""([\d]+)$""))),""""))"),FALSE)</f>
        <v>0</v>
      </c>
    </row>
    <row r="48" hidden="1">
      <c r="A48" s="17">
        <v>109.0</v>
      </c>
      <c r="B48" s="17" t="s">
        <v>311</v>
      </c>
      <c r="C48" s="20" t="s">
        <v>192</v>
      </c>
      <c r="D48" s="21">
        <v>11.0</v>
      </c>
      <c r="E48" s="26">
        <v>1.0</v>
      </c>
      <c r="F48" s="54" t="s">
        <v>628</v>
      </c>
      <c r="G48" s="32" t="s">
        <v>61</v>
      </c>
      <c r="H48" s="32" t="s">
        <v>62</v>
      </c>
      <c r="I48" s="33"/>
      <c r="J48" s="54" t="s">
        <v>67</v>
      </c>
      <c r="K48" s="32">
        <v>-7.0</v>
      </c>
      <c r="L48" s="32" t="s">
        <v>67</v>
      </c>
      <c r="M48" s="33">
        <v>51.5</v>
      </c>
      <c r="N48" s="55">
        <v>458.0</v>
      </c>
      <c r="O48" s="37">
        <v>178.0</v>
      </c>
      <c r="P48" s="37">
        <v>2.0</v>
      </c>
      <c r="Q48" s="37" t="b">
        <v>1</v>
      </c>
      <c r="R48" s="37">
        <v>100.0</v>
      </c>
      <c r="S48" s="47" t="s">
        <v>407</v>
      </c>
      <c r="T48" s="47" t="s">
        <v>321</v>
      </c>
      <c r="U48" s="49" t="b">
        <f>IFERROR(__xludf.DUMMYFUNCTION("iferror(if(not(iserror(find(""FINAL"",G48))),max(arrayformula(value(REGEXEXTRACT(F48,""^""&amp;C48&amp;"" ([\d]+)|[^a-zA-Z] ""&amp;C48&amp;"" ([\d]+)""))))=max(value(REGEXEXTRACT(F48,"" ([\d]+)"")),value(REGEXEXTRACT(F48,""([\d]+)$""))),""""))"),TRUE)</f>
        <v>1</v>
      </c>
    </row>
    <row r="49" hidden="1">
      <c r="A49" s="17">
        <v>109.0</v>
      </c>
      <c r="B49" s="17" t="s">
        <v>311</v>
      </c>
      <c r="C49" s="20" t="s">
        <v>161</v>
      </c>
      <c r="D49" s="21">
        <v>6.0</v>
      </c>
      <c r="E49" s="26">
        <v>6.0</v>
      </c>
      <c r="F49" s="54" t="s">
        <v>695</v>
      </c>
      <c r="G49" s="32" t="s">
        <v>61</v>
      </c>
      <c r="H49" s="32" t="s">
        <v>395</v>
      </c>
      <c r="I49" s="33"/>
      <c r="J49" s="54" t="s">
        <v>67</v>
      </c>
      <c r="K49" s="32">
        <v>-7.5</v>
      </c>
      <c r="L49" s="32" t="s">
        <v>67</v>
      </c>
      <c r="M49" s="33">
        <v>51.5</v>
      </c>
      <c r="N49" s="55">
        <v>405.0</v>
      </c>
      <c r="O49" s="37">
        <v>355.0</v>
      </c>
      <c r="P49" s="37">
        <v>2.0</v>
      </c>
      <c r="Q49" s="37" t="b">
        <v>0</v>
      </c>
      <c r="R49" s="37">
        <v>100.0</v>
      </c>
      <c r="S49" s="47" t="s">
        <v>361</v>
      </c>
      <c r="T49" s="47" t="s">
        <v>365</v>
      </c>
      <c r="U49" s="49" t="b">
        <f>IFERROR(__xludf.DUMMYFUNCTION("iferror(if(not(iserror(find(""FINAL"",G49))),max(arrayformula(value(REGEXEXTRACT(F49,""^""&amp;C49&amp;"" ([\d]+)|[^a-zA-Z] ""&amp;C49&amp;"" ([\d]+)""))))=max(value(REGEXEXTRACT(F49,"" ([\d]+)"")),value(REGEXEXTRACT(F49,""([\d]+)$""))),""""))"),FALSE)</f>
        <v>0</v>
      </c>
    </row>
    <row r="50" hidden="1">
      <c r="A50" s="17">
        <v>109.0</v>
      </c>
      <c r="B50" s="17" t="s">
        <v>311</v>
      </c>
      <c r="C50" s="20" t="s">
        <v>152</v>
      </c>
      <c r="D50" s="21">
        <v>5.0</v>
      </c>
      <c r="E50" s="26">
        <v>7.0</v>
      </c>
      <c r="F50" s="54" t="s">
        <v>696</v>
      </c>
      <c r="G50" s="32" t="s">
        <v>61</v>
      </c>
      <c r="H50" s="32" t="s">
        <v>224</v>
      </c>
      <c r="I50" s="33"/>
      <c r="J50" s="54" t="s">
        <v>67</v>
      </c>
      <c r="K50" s="32">
        <v>-10.5</v>
      </c>
      <c r="L50" s="32" t="s">
        <v>67</v>
      </c>
      <c r="M50" s="33">
        <v>62.5</v>
      </c>
      <c r="N50" s="55">
        <v>369.0</v>
      </c>
      <c r="O50" s="37">
        <v>363.0</v>
      </c>
      <c r="P50" s="37">
        <v>2.0</v>
      </c>
      <c r="Q50" s="37" t="b">
        <v>1</v>
      </c>
      <c r="R50" s="37">
        <v>100.0</v>
      </c>
      <c r="S50" s="47" t="s">
        <v>441</v>
      </c>
      <c r="T50" s="47" t="s">
        <v>365</v>
      </c>
      <c r="U50" s="49" t="b">
        <f>IFERROR(__xludf.DUMMYFUNCTION("iferror(if(not(iserror(find(""FINAL"",G50))),max(arrayformula(value(REGEXEXTRACT(F50,""^""&amp;C50&amp;"" ([\d]+)|[^a-zA-Z] ""&amp;C50&amp;"" ([\d]+)""))))=max(value(REGEXEXTRACT(F50,"" ([\d]+)"")),value(REGEXEXTRACT(F50,""([\d]+)$""))),""""))"),FALSE)</f>
        <v>0</v>
      </c>
    </row>
    <row r="51" hidden="1">
      <c r="A51" s="17">
        <v>109.0</v>
      </c>
      <c r="B51" s="17" t="s">
        <v>311</v>
      </c>
      <c r="C51" s="20" t="s">
        <v>234</v>
      </c>
      <c r="D51" s="21">
        <v>2.0</v>
      </c>
      <c r="E51" s="26">
        <v>10.0</v>
      </c>
      <c r="F51" s="54" t="s">
        <v>697</v>
      </c>
      <c r="G51" s="32" t="s">
        <v>61</v>
      </c>
      <c r="H51" s="32" t="s">
        <v>132</v>
      </c>
      <c r="I51" s="33"/>
      <c r="J51" s="54" t="s">
        <v>67</v>
      </c>
      <c r="K51" s="32">
        <v>11.5</v>
      </c>
      <c r="L51" s="32" t="s">
        <v>67</v>
      </c>
      <c r="M51" s="33">
        <v>51.5</v>
      </c>
      <c r="N51" s="55">
        <v>213.0</v>
      </c>
      <c r="O51" s="37">
        <v>454.0</v>
      </c>
      <c r="P51" s="37">
        <v>2.0</v>
      </c>
      <c r="Q51" s="37" t="b">
        <v>0</v>
      </c>
      <c r="R51" s="37">
        <v>100.0</v>
      </c>
      <c r="S51" s="47" t="s">
        <v>535</v>
      </c>
      <c r="T51" s="47" t="s">
        <v>365</v>
      </c>
      <c r="U51" s="49" t="b">
        <f>IFERROR(__xludf.DUMMYFUNCTION("iferror(if(not(iserror(find(""FINAL"",G51))),max(arrayformula(value(REGEXEXTRACT(F51,""^""&amp;C51&amp;"" ([\d]+)|[^a-zA-Z] ""&amp;C51&amp;"" ([\d]+)""))))=max(value(REGEXEXTRACT(F51,"" ([\d]+)"")),value(REGEXEXTRACT(F51,""([\d]+)$""))),""""))"),FALSE)</f>
        <v>0</v>
      </c>
    </row>
    <row r="52" hidden="1">
      <c r="A52" s="17">
        <v>109.0</v>
      </c>
      <c r="B52" s="17" t="s">
        <v>311</v>
      </c>
      <c r="C52" s="20" t="s">
        <v>139</v>
      </c>
      <c r="D52" s="21">
        <v>9.0</v>
      </c>
      <c r="E52" s="26">
        <v>3.0</v>
      </c>
      <c r="F52" s="54" t="s">
        <v>684</v>
      </c>
      <c r="G52" s="32" t="s">
        <v>61</v>
      </c>
      <c r="H52" s="32" t="s">
        <v>193</v>
      </c>
      <c r="I52" s="33"/>
      <c r="J52" s="54" t="s">
        <v>67</v>
      </c>
      <c r="K52" s="32">
        <v>10.5</v>
      </c>
      <c r="L52" s="32" t="s">
        <v>67</v>
      </c>
      <c r="M52" s="33">
        <v>43.5</v>
      </c>
      <c r="N52" s="55">
        <v>331.0</v>
      </c>
      <c r="O52" s="37">
        <v>224.0</v>
      </c>
      <c r="P52" s="37">
        <v>2.0</v>
      </c>
      <c r="Q52" s="37" t="b">
        <v>0</v>
      </c>
      <c r="R52" s="37">
        <v>100.0</v>
      </c>
      <c r="S52" s="47" t="s">
        <v>407</v>
      </c>
      <c r="T52" s="47" t="s">
        <v>321</v>
      </c>
      <c r="U52" s="49" t="b">
        <f>IFERROR(__xludf.DUMMYFUNCTION("iferror(if(not(iserror(find(""FINAL"",G52))),max(arrayformula(value(REGEXEXTRACT(F52,""^""&amp;C52&amp;"" ([\d]+)|[^a-zA-Z] ""&amp;C52&amp;"" ([\d]+)""))))=max(value(REGEXEXTRACT(F52,"" ([\d]+)"")),value(REGEXEXTRACT(F52,""([\d]+)$""))),""""))"),FALSE)</f>
        <v>0</v>
      </c>
    </row>
    <row r="53" hidden="1">
      <c r="A53" s="17">
        <v>109.0</v>
      </c>
      <c r="B53" s="17" t="s">
        <v>311</v>
      </c>
      <c r="C53" s="20" t="s">
        <v>125</v>
      </c>
      <c r="D53" s="21">
        <v>8.0</v>
      </c>
      <c r="E53" s="26">
        <v>4.0</v>
      </c>
      <c r="F53" s="54" t="s">
        <v>699</v>
      </c>
      <c r="G53" s="32" t="s">
        <v>61</v>
      </c>
      <c r="H53" s="32" t="s">
        <v>96</v>
      </c>
      <c r="I53" s="33"/>
      <c r="J53" s="54" t="s">
        <v>67</v>
      </c>
      <c r="K53" s="32">
        <v>-13.5</v>
      </c>
      <c r="L53" s="32" t="s">
        <v>67</v>
      </c>
      <c r="M53" s="33">
        <v>46.5</v>
      </c>
      <c r="N53" s="55">
        <v>329.0</v>
      </c>
      <c r="O53" s="37">
        <v>242.0</v>
      </c>
      <c r="P53" s="37">
        <v>2.0</v>
      </c>
      <c r="Q53" s="37" t="b">
        <v>0</v>
      </c>
      <c r="R53" s="37">
        <v>100.0</v>
      </c>
      <c r="S53" s="47" t="s">
        <v>471</v>
      </c>
      <c r="T53" s="47" t="s">
        <v>321</v>
      </c>
      <c r="U53" s="49" t="b">
        <f>IFERROR(__xludf.DUMMYFUNCTION("iferror(if(not(iserror(find(""FINAL"",G53))),max(arrayformula(value(REGEXEXTRACT(F53,""^""&amp;C53&amp;"" ([\d]+)|[^a-zA-Z] ""&amp;C53&amp;"" ([\d]+)""))))=max(value(REGEXEXTRACT(F53,"" ([\d]+)"")),value(REGEXEXTRACT(F53,""([\d]+)$""))),""""))"),TRUE)</f>
        <v>1</v>
      </c>
    </row>
    <row r="54" hidden="1">
      <c r="A54" s="17">
        <v>109.0</v>
      </c>
      <c r="B54" s="17" t="s">
        <v>311</v>
      </c>
      <c r="C54" s="20" t="s">
        <v>186</v>
      </c>
      <c r="D54" s="21">
        <v>6.0</v>
      </c>
      <c r="E54" s="26">
        <v>6.0</v>
      </c>
      <c r="F54" s="54" t="s">
        <v>570</v>
      </c>
      <c r="G54" s="32" t="s">
        <v>61</v>
      </c>
      <c r="H54" s="32" t="s">
        <v>95</v>
      </c>
      <c r="I54" s="33"/>
      <c r="J54" s="54" t="s">
        <v>67</v>
      </c>
      <c r="K54" s="32">
        <v>2.5</v>
      </c>
      <c r="L54" s="32" t="s">
        <v>67</v>
      </c>
      <c r="M54" s="33">
        <v>55.5</v>
      </c>
      <c r="N54" s="55">
        <v>381.0</v>
      </c>
      <c r="O54" s="37">
        <v>339.0</v>
      </c>
      <c r="P54" s="37">
        <v>2.0</v>
      </c>
      <c r="Q54" s="37" t="b">
        <v>0</v>
      </c>
      <c r="R54" s="37">
        <v>100.0</v>
      </c>
      <c r="S54" s="47" t="s">
        <v>525</v>
      </c>
      <c r="T54" s="47" t="s">
        <v>365</v>
      </c>
      <c r="U54" s="49" t="b">
        <f>IFERROR(__xludf.DUMMYFUNCTION("iferror(if(not(iserror(find(""FINAL"",G54))),max(arrayformula(value(REGEXEXTRACT(F54,""^""&amp;C54&amp;"" ([\d]+)|[^a-zA-Z] ""&amp;C54&amp;"" ([\d]+)""))))=max(value(REGEXEXTRACT(F54,"" ([\d]+)"")),value(REGEXEXTRACT(F54,""([\d]+)$""))),""""))"),FALSE)</f>
        <v>0</v>
      </c>
    </row>
    <row r="55" hidden="1">
      <c r="A55" s="17">
        <v>109.0</v>
      </c>
      <c r="B55" s="17" t="s">
        <v>311</v>
      </c>
      <c r="C55" s="20" t="s">
        <v>172</v>
      </c>
      <c r="D55" s="21">
        <v>3.0</v>
      </c>
      <c r="E55" s="26">
        <v>9.0</v>
      </c>
      <c r="F55" s="54" t="s">
        <v>702</v>
      </c>
      <c r="G55" s="32" t="s">
        <v>61</v>
      </c>
      <c r="H55" s="32" t="s">
        <v>493</v>
      </c>
      <c r="I55" s="33"/>
      <c r="J55" s="54" t="s">
        <v>67</v>
      </c>
      <c r="K55" s="32">
        <v>-5.5</v>
      </c>
      <c r="L55" s="32" t="s">
        <v>67</v>
      </c>
      <c r="M55" s="33">
        <v>45.5</v>
      </c>
      <c r="N55" s="55">
        <v>205.0</v>
      </c>
      <c r="O55" s="37">
        <v>292.0</v>
      </c>
      <c r="P55" s="37">
        <v>2.0</v>
      </c>
      <c r="Q55" s="37" t="b">
        <v>0</v>
      </c>
      <c r="R55" s="37">
        <v>100.0</v>
      </c>
      <c r="S55" s="47" t="s">
        <v>530</v>
      </c>
      <c r="T55" s="47" t="s">
        <v>365</v>
      </c>
      <c r="U55" s="49" t="b">
        <f>IFERROR(__xludf.DUMMYFUNCTION("iferror(if(not(iserror(find(""FINAL"",G55))),max(arrayformula(value(REGEXEXTRACT(F55,""^""&amp;C55&amp;"" ([\d]+)|[^a-zA-Z] ""&amp;C55&amp;"" ([\d]+)""))))=max(value(REGEXEXTRACT(F55,"" ([\d]+)"")),value(REGEXEXTRACT(F55,""([\d]+)$""))),""""))"),FALSE)</f>
        <v>0</v>
      </c>
    </row>
    <row r="56" hidden="1">
      <c r="A56" s="3">
        <v>110.0</v>
      </c>
      <c r="B56" s="3"/>
      <c r="C56" s="4"/>
      <c r="D56" s="79"/>
      <c r="E56" s="5"/>
      <c r="F56" s="80"/>
      <c r="G56" s="92"/>
      <c r="H56" s="81"/>
      <c r="I56" s="82"/>
      <c r="J56" s="80"/>
      <c r="K56" s="81"/>
      <c r="L56" s="81"/>
      <c r="M56" s="82"/>
      <c r="N56" s="4"/>
      <c r="O56" s="4"/>
      <c r="P56" s="4"/>
      <c r="Q56" s="4"/>
      <c r="R56" s="4"/>
      <c r="S56" s="83"/>
      <c r="T56" s="83"/>
      <c r="U56" s="49" t="str">
        <f>IFERROR(__xludf.DUMMYFUNCTION("iferror(if(not(iserror(find(""FINAL"",G56))),max(arrayformula(value(REGEXEXTRACT(F56,""^""&amp;C56&amp;"" ([\d]+)|[^a-zA-Z] ""&amp;C56&amp;"" ([\d]+)""))))=max(value(REGEXEXTRACT(F56,"" ([\d]+)"")),value(REGEXEXTRACT(F56,""([\d]+)$""))),""""))"),"")</f>
        <v/>
      </c>
    </row>
    <row r="57" hidden="1">
      <c r="A57" s="17">
        <v>111.0</v>
      </c>
      <c r="B57" s="102" t="s">
        <v>224</v>
      </c>
      <c r="C57" s="20" t="s">
        <v>185</v>
      </c>
      <c r="D57" s="21">
        <v>10.0</v>
      </c>
      <c r="E57" s="26">
        <v>2.0</v>
      </c>
      <c r="F57" s="28" t="s">
        <v>705</v>
      </c>
      <c r="G57" s="32" t="s">
        <v>61</v>
      </c>
      <c r="H57" s="28" t="s">
        <v>156</v>
      </c>
      <c r="I57" s="30"/>
      <c r="J57" s="54" t="s">
        <v>67</v>
      </c>
      <c r="K57" s="32">
        <v>-7.5</v>
      </c>
      <c r="L57" s="32" t="s">
        <v>67</v>
      </c>
      <c r="M57" s="33">
        <v>53.5</v>
      </c>
      <c r="N57" s="84">
        <v>446.0</v>
      </c>
      <c r="O57" s="35">
        <v>337.0</v>
      </c>
      <c r="P57" s="37">
        <v>2.0</v>
      </c>
      <c r="Q57" s="37" t="b">
        <v>1</v>
      </c>
      <c r="R57" s="37">
        <v>100.0</v>
      </c>
      <c r="S57" s="47" t="s">
        <v>525</v>
      </c>
      <c r="T57" s="47" t="s">
        <v>365</v>
      </c>
      <c r="U57" s="49" t="b">
        <f>IFERROR(__xludf.DUMMYFUNCTION("iferror(if(not(iserror(find(""FINAL"",G57))),max(arrayformula(value(REGEXEXTRACT(F57,""^""&amp;C57&amp;"" ([\d]+)|[^a-zA-Z] ""&amp;C57&amp;"" ([\d]+)""))))=max(value(REGEXEXTRACT(F57,"" ([\d]+)"")),value(REGEXEXTRACT(F57,""([\d]+)$""))),""""))"),TRUE)</f>
        <v>1</v>
      </c>
    </row>
    <row r="58" hidden="1">
      <c r="A58" s="17">
        <v>111.0</v>
      </c>
      <c r="B58" s="17" t="s">
        <v>224</v>
      </c>
      <c r="C58" s="20" t="s">
        <v>140</v>
      </c>
      <c r="D58" s="21">
        <v>4.0</v>
      </c>
      <c r="E58" s="26">
        <v>8.0</v>
      </c>
      <c r="F58" s="85" t="s">
        <v>707</v>
      </c>
      <c r="G58" s="32" t="s">
        <v>61</v>
      </c>
      <c r="H58" s="32" t="s">
        <v>493</v>
      </c>
      <c r="I58" s="33"/>
      <c r="J58" s="54" t="s">
        <v>67</v>
      </c>
      <c r="K58" s="32">
        <v>-3.5</v>
      </c>
      <c r="L58" s="32" t="s">
        <v>67</v>
      </c>
      <c r="M58" s="33">
        <v>48.5</v>
      </c>
      <c r="N58" s="55">
        <v>295.0</v>
      </c>
      <c r="O58" s="37">
        <v>359.0</v>
      </c>
      <c r="P58" s="37">
        <v>2.0</v>
      </c>
      <c r="Q58" s="37" t="b">
        <v>1</v>
      </c>
      <c r="R58" s="37">
        <v>100.0</v>
      </c>
      <c r="S58" s="47" t="s">
        <v>407</v>
      </c>
      <c r="T58" s="47" t="s">
        <v>321</v>
      </c>
      <c r="U58" s="49" t="b">
        <f>IFERROR(__xludf.DUMMYFUNCTION("iferror(if(not(iserror(find(""FINAL"",G58))),max(arrayformula(value(REGEXEXTRACT(F58,""^""&amp;C58&amp;"" ([\d]+)|[^a-zA-Z] ""&amp;C58&amp;"" ([\d]+)""))))=max(value(REGEXEXTRACT(F58,"" ([\d]+)"")),value(REGEXEXTRACT(F58,""([\d]+)$""))),""""))"),TRUE)</f>
        <v>1</v>
      </c>
    </row>
    <row r="59" hidden="1">
      <c r="A59" s="17">
        <v>111.0</v>
      </c>
      <c r="B59" s="17" t="s">
        <v>224</v>
      </c>
      <c r="C59" s="20" t="s">
        <v>203</v>
      </c>
      <c r="D59" s="21">
        <v>4.0</v>
      </c>
      <c r="E59" s="26">
        <v>8.0</v>
      </c>
      <c r="F59" s="54" t="s">
        <v>709</v>
      </c>
      <c r="G59" s="32" t="s">
        <v>61</v>
      </c>
      <c r="H59" s="32" t="s">
        <v>224</v>
      </c>
      <c r="I59" s="33"/>
      <c r="J59" s="54" t="s">
        <v>67</v>
      </c>
      <c r="K59" s="32">
        <v>-1.5</v>
      </c>
      <c r="L59" s="32" t="s">
        <v>67</v>
      </c>
      <c r="M59" s="33">
        <v>49.5</v>
      </c>
      <c r="N59" s="55">
        <v>259.0</v>
      </c>
      <c r="O59" s="37">
        <v>288.0</v>
      </c>
      <c r="P59" s="37">
        <v>2.0</v>
      </c>
      <c r="Q59" s="37" t="b">
        <v>0</v>
      </c>
      <c r="R59" s="37">
        <v>100.0</v>
      </c>
      <c r="S59" s="47" t="s">
        <v>556</v>
      </c>
      <c r="T59" s="47" t="s">
        <v>321</v>
      </c>
      <c r="U59" s="49" t="b">
        <f>IFERROR(__xludf.DUMMYFUNCTION("iferror(if(not(iserror(find(""FINAL"",G59))),max(arrayformula(value(REGEXEXTRACT(F59,""^""&amp;C59&amp;"" ([\d]+)|[^a-zA-Z] ""&amp;C59&amp;"" ([\d]+)""))))=max(value(REGEXEXTRACT(F59,"" ([\d]+)"")),value(REGEXEXTRACT(F59,""([\d]+)$""))),""""))"),TRUE)</f>
        <v>1</v>
      </c>
    </row>
    <row r="60" hidden="1">
      <c r="A60" s="17">
        <v>111.0</v>
      </c>
      <c r="B60" s="17" t="s">
        <v>224</v>
      </c>
      <c r="C60" s="20" t="s">
        <v>113</v>
      </c>
      <c r="D60" s="21">
        <v>5.0</v>
      </c>
      <c r="E60" s="26">
        <v>7.0</v>
      </c>
      <c r="F60" s="54" t="s">
        <v>709</v>
      </c>
      <c r="G60" s="32" t="s">
        <v>61</v>
      </c>
      <c r="H60" s="32" t="s">
        <v>224</v>
      </c>
      <c r="I60" s="33"/>
      <c r="J60" s="54" t="s">
        <v>67</v>
      </c>
      <c r="K60" s="32">
        <v>1.5</v>
      </c>
      <c r="L60" s="32" t="s">
        <v>67</v>
      </c>
      <c r="M60" s="33">
        <v>49.5</v>
      </c>
      <c r="N60" s="55">
        <v>396.0</v>
      </c>
      <c r="O60" s="37">
        <v>264.0</v>
      </c>
      <c r="P60" s="37">
        <v>2.0</v>
      </c>
      <c r="Q60" s="37" t="b">
        <v>1</v>
      </c>
      <c r="R60" s="37">
        <v>100.0</v>
      </c>
      <c r="S60" s="47" t="s">
        <v>317</v>
      </c>
      <c r="T60" s="47" t="s">
        <v>321</v>
      </c>
      <c r="U60" s="49" t="b">
        <f>IFERROR(__xludf.DUMMYFUNCTION("iferror(if(not(iserror(find(""FINAL"",G60))),max(arrayformula(value(REGEXEXTRACT(F60,""^""&amp;C60&amp;"" ([\d]+)|[^a-zA-Z] ""&amp;C60&amp;"" ([\d]+)""))))=max(value(REGEXEXTRACT(F60,"" ([\d]+)"")),value(REGEXEXTRACT(F60,""([\d]+)$""))),""""))"),FALSE)</f>
        <v>0</v>
      </c>
    </row>
    <row r="61" hidden="1">
      <c r="A61" s="17">
        <v>111.0</v>
      </c>
      <c r="B61" s="17" t="s">
        <v>224</v>
      </c>
      <c r="C61" s="20" t="s">
        <v>216</v>
      </c>
      <c r="D61" s="21">
        <v>6.0</v>
      </c>
      <c r="E61" s="26">
        <v>6.0</v>
      </c>
      <c r="F61" s="54" t="s">
        <v>696</v>
      </c>
      <c r="G61" s="32" t="s">
        <v>61</v>
      </c>
      <c r="H61" s="32" t="s">
        <v>311</v>
      </c>
      <c r="I61" s="33"/>
      <c r="J61" s="54" t="s">
        <v>67</v>
      </c>
      <c r="K61" s="32">
        <v>10.5</v>
      </c>
      <c r="L61" s="32" t="s">
        <v>67</v>
      </c>
      <c r="M61" s="33">
        <v>62.5</v>
      </c>
      <c r="N61" s="55">
        <v>334.0</v>
      </c>
      <c r="O61" s="37">
        <v>410.0</v>
      </c>
      <c r="P61" s="37">
        <v>2.0</v>
      </c>
      <c r="Q61" s="37" t="b">
        <v>0</v>
      </c>
      <c r="R61" s="37">
        <v>100.0</v>
      </c>
      <c r="S61" s="47" t="s">
        <v>441</v>
      </c>
      <c r="T61" s="47" t="s">
        <v>365</v>
      </c>
      <c r="U61" s="49" t="b">
        <f>IFERROR(__xludf.DUMMYFUNCTION("iferror(if(not(iserror(find(""FINAL"",G61))),max(arrayformula(value(REGEXEXTRACT(F61,""^""&amp;C61&amp;"" ([\d]+)|[^a-zA-Z] ""&amp;C61&amp;"" ([\d]+)""))))=max(value(REGEXEXTRACT(F61,"" ([\d]+)"")),value(REGEXEXTRACT(F61,""([\d]+)$""))),""""))"),TRUE)</f>
        <v>1</v>
      </c>
    </row>
    <row r="62" hidden="1">
      <c r="A62" s="17">
        <v>111.0</v>
      </c>
      <c r="B62" s="17" t="s">
        <v>224</v>
      </c>
      <c r="C62" s="20" t="s">
        <v>235</v>
      </c>
      <c r="D62" s="21">
        <v>6.0</v>
      </c>
      <c r="E62" s="26">
        <v>6.0</v>
      </c>
      <c r="F62" s="54" t="s">
        <v>713</v>
      </c>
      <c r="G62" s="32" t="s">
        <v>61</v>
      </c>
      <c r="H62" s="32" t="s">
        <v>238</v>
      </c>
      <c r="I62" s="33"/>
      <c r="J62" s="54"/>
      <c r="K62" s="32"/>
      <c r="L62" s="32"/>
      <c r="M62" s="33"/>
      <c r="N62" s="55">
        <v>357.0</v>
      </c>
      <c r="O62" s="37">
        <v>390.0</v>
      </c>
      <c r="P62" s="37">
        <v>2.0</v>
      </c>
      <c r="Q62" s="37" t="b">
        <v>1</v>
      </c>
      <c r="R62" s="37">
        <v>100.0</v>
      </c>
      <c r="S62" s="47" t="s">
        <v>535</v>
      </c>
      <c r="T62" s="47" t="s">
        <v>365</v>
      </c>
      <c r="U62" s="49" t="b">
        <f>IFERROR(__xludf.DUMMYFUNCTION("iferror(if(not(iserror(find(""FINAL"",G62))),max(arrayformula(value(REGEXEXTRACT(F62,""^""&amp;C62&amp;"" ([\d]+)|[^a-zA-Z] ""&amp;C62&amp;"" ([\d]+)""))))=max(value(REGEXEXTRACT(F62,"" ([\d]+)"")),value(REGEXEXTRACT(F62,""([\d]+)$""))),""""))"),TRUE)</f>
        <v>1</v>
      </c>
    </row>
    <row r="63" hidden="1">
      <c r="A63" s="17">
        <v>111.0</v>
      </c>
      <c r="B63" s="17" t="s">
        <v>224</v>
      </c>
      <c r="C63" s="20" t="s">
        <v>226</v>
      </c>
      <c r="D63" s="21">
        <v>11.0</v>
      </c>
      <c r="E63" s="26">
        <v>1.0</v>
      </c>
      <c r="F63" s="54" t="s">
        <v>714</v>
      </c>
      <c r="G63" s="32" t="s">
        <v>61</v>
      </c>
      <c r="H63" s="32" t="s">
        <v>156</v>
      </c>
      <c r="I63" s="33"/>
      <c r="J63" s="54" t="s">
        <v>67</v>
      </c>
      <c r="K63" s="32">
        <v>-17.5</v>
      </c>
      <c r="L63" s="32" t="s">
        <v>67</v>
      </c>
      <c r="M63" s="33">
        <v>47.5</v>
      </c>
      <c r="N63" s="55">
        <v>408.0</v>
      </c>
      <c r="O63" s="37">
        <v>213.0</v>
      </c>
      <c r="P63" s="37">
        <v>2.0</v>
      </c>
      <c r="Q63" s="37" t="b">
        <v>0</v>
      </c>
      <c r="R63" s="37">
        <v>100.0</v>
      </c>
      <c r="S63" s="47" t="s">
        <v>471</v>
      </c>
      <c r="T63" s="47" t="s">
        <v>321</v>
      </c>
      <c r="U63" s="49" t="b">
        <f>IFERROR(__xludf.DUMMYFUNCTION("iferror(if(not(iserror(find(""FINAL"",G63))),max(arrayformula(value(REGEXEXTRACT(F63,""^""&amp;C63&amp;"" ([\d]+)|[^a-zA-Z] ""&amp;C63&amp;"" ([\d]+)""))))=max(value(REGEXEXTRACT(F63,"" ([\d]+)"")),value(REGEXEXTRACT(F63,""([\d]+)$""))),""""))"),TRUE)</f>
        <v>1</v>
      </c>
    </row>
    <row r="64" hidden="1">
      <c r="A64" s="17">
        <v>111.0</v>
      </c>
      <c r="B64" s="17" t="s">
        <v>224</v>
      </c>
      <c r="C64" s="20" t="s">
        <v>191</v>
      </c>
      <c r="D64" s="21">
        <v>3.0</v>
      </c>
      <c r="E64" s="26">
        <v>9.0</v>
      </c>
      <c r="F64" s="54" t="s">
        <v>650</v>
      </c>
      <c r="G64" s="32" t="s">
        <v>61</v>
      </c>
      <c r="H64" s="32" t="s">
        <v>62</v>
      </c>
      <c r="I64" s="33"/>
      <c r="J64" s="54" t="s">
        <v>67</v>
      </c>
      <c r="K64" s="32">
        <v>16.5</v>
      </c>
      <c r="L64" s="32" t="s">
        <v>67</v>
      </c>
      <c r="M64" s="33">
        <v>50.5</v>
      </c>
      <c r="N64" s="55">
        <v>251.0</v>
      </c>
      <c r="O64" s="37">
        <v>366.0</v>
      </c>
      <c r="P64" s="37">
        <v>2.0</v>
      </c>
      <c r="Q64" s="37" t="b">
        <v>1</v>
      </c>
      <c r="R64" s="37">
        <v>100.0</v>
      </c>
      <c r="S64" s="47" t="s">
        <v>471</v>
      </c>
      <c r="T64" s="47" t="s">
        <v>321</v>
      </c>
      <c r="U64" s="49" t="b">
        <f>IFERROR(__xludf.DUMMYFUNCTION("iferror(if(not(iserror(find(""FINAL"",G64))),max(arrayformula(value(REGEXEXTRACT(F64,""^""&amp;C64&amp;"" ([\d]+)|[^a-zA-Z] ""&amp;C64&amp;"" ([\d]+)""))))=max(value(REGEXEXTRACT(F64,"" ([\d]+)"")),value(REGEXEXTRACT(F64,""([\d]+)$""))),""""))"),FALSE)</f>
        <v>0</v>
      </c>
    </row>
    <row r="65" hidden="1">
      <c r="A65" s="17">
        <v>111.0</v>
      </c>
      <c r="B65" s="17" t="s">
        <v>224</v>
      </c>
      <c r="C65" s="20" t="s">
        <v>103</v>
      </c>
      <c r="D65" s="21">
        <v>9.0</v>
      </c>
      <c r="E65" s="26">
        <v>2.0</v>
      </c>
      <c r="F65" s="54" t="s">
        <v>717</v>
      </c>
      <c r="G65" s="32" t="s">
        <v>61</v>
      </c>
      <c r="H65" s="32" t="s">
        <v>238</v>
      </c>
      <c r="I65" s="33"/>
      <c r="J65" s="54" t="s">
        <v>67</v>
      </c>
      <c r="K65" s="32">
        <v>3.5</v>
      </c>
      <c r="L65" s="32" t="s">
        <v>67</v>
      </c>
      <c r="M65" s="33">
        <v>57.5</v>
      </c>
      <c r="N65" s="55">
        <v>357.0</v>
      </c>
      <c r="O65" s="37">
        <v>296.0</v>
      </c>
      <c r="P65" s="37">
        <v>2.0</v>
      </c>
      <c r="Q65" s="37" t="b">
        <v>1</v>
      </c>
      <c r="R65" s="37">
        <v>100.0</v>
      </c>
      <c r="S65" s="47" t="s">
        <v>361</v>
      </c>
      <c r="T65" s="47" t="s">
        <v>365</v>
      </c>
      <c r="U65" s="49" t="b">
        <f>IFERROR(__xludf.DUMMYFUNCTION("iferror(if(not(iserror(find(""FINAL"",G65))),max(arrayformula(value(REGEXEXTRACT(F65,""^""&amp;C65&amp;"" ([\d]+)|[^a-zA-Z] ""&amp;C65&amp;"" ([\d]+)""))))=max(value(REGEXEXTRACT(F65,"" ([\d]+)"")),value(REGEXEXTRACT(F65,""([\d]+)$""))),""""))"),TRUE)</f>
        <v>1</v>
      </c>
    </row>
    <row r="66" hidden="1">
      <c r="A66" s="17">
        <v>111.0</v>
      </c>
      <c r="B66" s="17" t="s">
        <v>224</v>
      </c>
      <c r="C66" s="20" t="s">
        <v>166</v>
      </c>
      <c r="D66" s="21">
        <v>4.0</v>
      </c>
      <c r="E66" s="26">
        <v>8.0</v>
      </c>
      <c r="F66" s="54" t="s">
        <v>528</v>
      </c>
      <c r="G66" s="32" t="s">
        <v>61</v>
      </c>
      <c r="H66" s="32" t="s">
        <v>43</v>
      </c>
      <c r="I66" s="33"/>
      <c r="J66" s="54" t="s">
        <v>67</v>
      </c>
      <c r="K66" s="32">
        <v>-14.5</v>
      </c>
      <c r="L66" s="32" t="s">
        <v>67</v>
      </c>
      <c r="M66" s="33">
        <v>44.5</v>
      </c>
      <c r="N66" s="55">
        <v>246.0</v>
      </c>
      <c r="O66" s="37">
        <v>291.0</v>
      </c>
      <c r="P66" s="37">
        <v>2.0</v>
      </c>
      <c r="Q66" s="37" t="b">
        <v>1</v>
      </c>
      <c r="R66" s="37">
        <v>100.0</v>
      </c>
      <c r="S66" s="47" t="s">
        <v>530</v>
      </c>
      <c r="T66" s="47" t="s">
        <v>365</v>
      </c>
      <c r="U66" s="49" t="b">
        <f>IFERROR(__xludf.DUMMYFUNCTION("iferror(if(not(iserror(find(""FINAL"",G66))),max(arrayformula(value(REGEXEXTRACT(F66,""^""&amp;C66&amp;"" ([\d]+)|[^a-zA-Z] ""&amp;C66&amp;"" ([\d]+)""))))=max(value(REGEXEXTRACT(F66,"" ([\d]+)"")),value(REGEXEXTRACT(F66,""([\d]+)$""))),""""))"),TRUE)</f>
        <v>1</v>
      </c>
    </row>
    <row r="67" hidden="1">
      <c r="A67" s="3">
        <v>112.0</v>
      </c>
      <c r="B67" s="3"/>
      <c r="C67" s="4"/>
      <c r="D67" s="79"/>
      <c r="E67" s="5"/>
      <c r="F67" s="80"/>
      <c r="G67" s="92"/>
      <c r="H67" s="81"/>
      <c r="I67" s="82"/>
      <c r="J67" s="80"/>
      <c r="K67" s="81"/>
      <c r="L67" s="81"/>
      <c r="M67" s="82"/>
      <c r="N67" s="4"/>
      <c r="O67" s="4"/>
      <c r="P67" s="4"/>
      <c r="Q67" s="4"/>
      <c r="R67" s="4"/>
      <c r="S67" s="83"/>
      <c r="T67" s="83"/>
      <c r="U67" s="49" t="str">
        <f>IFERROR(__xludf.DUMMYFUNCTION("iferror(if(not(iserror(find(""FINAL"",G67))),max(arrayformula(value(REGEXEXTRACT(F67,""^""&amp;C67&amp;"" ([\d]+)|[^a-zA-Z] ""&amp;C67&amp;"" ([\d]+)""))))=max(value(REGEXEXTRACT(F67,"" ([\d]+)"")),value(REGEXEXTRACT(F67,""([\d]+)$""))),""""))"),"")</f>
        <v/>
      </c>
    </row>
    <row r="68" hidden="1">
      <c r="A68" s="17">
        <v>113.0</v>
      </c>
      <c r="B68" s="102" t="s">
        <v>96</v>
      </c>
      <c r="C68" s="20" t="s">
        <v>536</v>
      </c>
      <c r="D68" s="21">
        <v>8.0</v>
      </c>
      <c r="E68" s="26">
        <v>4.0</v>
      </c>
      <c r="F68" s="28" t="s">
        <v>721</v>
      </c>
      <c r="G68" s="32" t="s">
        <v>61</v>
      </c>
      <c r="H68" s="28" t="s">
        <v>132</v>
      </c>
      <c r="I68" s="30"/>
      <c r="J68" s="54" t="s">
        <v>67</v>
      </c>
      <c r="K68" s="32">
        <v>-7.5</v>
      </c>
      <c r="L68" s="32" t="s">
        <v>67</v>
      </c>
      <c r="M68" s="33">
        <v>44.5</v>
      </c>
      <c r="N68" s="84">
        <v>342.0</v>
      </c>
      <c r="O68" s="35">
        <v>282.0</v>
      </c>
      <c r="P68" s="37">
        <v>2.0</v>
      </c>
      <c r="Q68" s="37" t="b">
        <v>1</v>
      </c>
      <c r="R68" s="37">
        <v>100.0</v>
      </c>
      <c r="S68" s="47" t="s">
        <v>525</v>
      </c>
      <c r="T68" s="47" t="s">
        <v>365</v>
      </c>
      <c r="U68" s="49" t="b">
        <f>IFERROR(__xludf.DUMMYFUNCTION("iferror(if(not(iserror(find(""FINAL"",G68))),max(arrayformula(value(REGEXEXTRACT(F68,""^""&amp;C68&amp;"" ([\d]+)|[^a-zA-Z] ""&amp;C68&amp;"" ([\d]+)""))))=max(value(REGEXEXTRACT(F68,"" ([\d]+)"")),value(REGEXEXTRACT(F68,""([\d]+)$""))),""""))"),TRUE)</f>
        <v>1</v>
      </c>
    </row>
    <row r="69" hidden="1">
      <c r="A69" s="17">
        <v>113.0</v>
      </c>
      <c r="B69" s="17" t="s">
        <v>96</v>
      </c>
      <c r="C69" s="20" t="s">
        <v>229</v>
      </c>
      <c r="D69" s="21">
        <v>10.0</v>
      </c>
      <c r="E69" s="26">
        <v>2.0</v>
      </c>
      <c r="F69" s="85" t="s">
        <v>723</v>
      </c>
      <c r="G69" s="32" t="s">
        <v>61</v>
      </c>
      <c r="H69" s="32" t="s">
        <v>493</v>
      </c>
      <c r="I69" s="33"/>
      <c r="J69" s="54" t="s">
        <v>67</v>
      </c>
      <c r="K69" s="32">
        <v>-31.5</v>
      </c>
      <c r="L69" s="32" t="s">
        <v>67</v>
      </c>
      <c r="M69" s="33">
        <v>49.5</v>
      </c>
      <c r="N69" s="55">
        <v>504.0</v>
      </c>
      <c r="O69" s="37">
        <v>211.0</v>
      </c>
      <c r="P69" s="37">
        <v>2.0</v>
      </c>
      <c r="Q69" s="37" t="b">
        <v>0</v>
      </c>
      <c r="R69" s="37">
        <v>100.0</v>
      </c>
      <c r="S69" s="47" t="s">
        <v>725</v>
      </c>
      <c r="T69" s="47"/>
      <c r="U69" s="49" t="b">
        <f>IFERROR(__xludf.DUMMYFUNCTION("iferror(if(not(iserror(find(""FINAL"",G69))),max(arrayformula(value(REGEXEXTRACT(F69,""^""&amp;C69&amp;"" ([\d]+)|[^a-zA-Z] ""&amp;C69&amp;"" ([\d]+)""))))=max(value(REGEXEXTRACT(F69,"" ([\d]+)"")),value(REGEXEXTRACT(F69,""([\d]+)$""))),""""))"),TRUE)</f>
        <v>1</v>
      </c>
    </row>
    <row r="70" hidden="1">
      <c r="A70" s="17">
        <v>113.0</v>
      </c>
      <c r="B70" s="17" t="s">
        <v>96</v>
      </c>
      <c r="C70" s="20" t="s">
        <v>121</v>
      </c>
      <c r="D70" s="21">
        <v>10.0</v>
      </c>
      <c r="E70" s="26">
        <v>2.0</v>
      </c>
      <c r="F70" s="54" t="s">
        <v>693</v>
      </c>
      <c r="G70" s="32" t="s">
        <v>61</v>
      </c>
      <c r="H70" s="32" t="s">
        <v>311</v>
      </c>
      <c r="I70" s="33"/>
      <c r="J70" s="54" t="s">
        <v>67</v>
      </c>
      <c r="K70" s="32">
        <v>-8.5</v>
      </c>
      <c r="L70" s="32" t="s">
        <v>67</v>
      </c>
      <c r="M70" s="33">
        <v>52.5</v>
      </c>
      <c r="N70" s="55">
        <v>398.0</v>
      </c>
      <c r="O70" s="37">
        <v>240.0</v>
      </c>
      <c r="P70" s="37">
        <v>2.0</v>
      </c>
      <c r="Q70" s="37" t="b">
        <v>1</v>
      </c>
      <c r="R70" s="37">
        <v>100.0</v>
      </c>
      <c r="S70" s="47" t="s">
        <v>317</v>
      </c>
      <c r="T70" s="47" t="s">
        <v>321</v>
      </c>
      <c r="U70" s="49" t="b">
        <f>IFERROR(__xludf.DUMMYFUNCTION("iferror(if(not(iserror(find(""FINAL"",G70))),max(arrayformula(value(REGEXEXTRACT(F70,""^""&amp;C70&amp;"" ([\d]+)|[^a-zA-Z] ""&amp;C70&amp;"" ([\d]+)""))))=max(value(REGEXEXTRACT(F70,"" ([\d]+)"")),value(REGEXEXTRACT(F70,""([\d]+)$""))),""""))"),TRUE)</f>
        <v>1</v>
      </c>
    </row>
    <row r="71" hidden="1">
      <c r="A71" s="17">
        <v>113.0</v>
      </c>
      <c r="B71" s="17" t="s">
        <v>96</v>
      </c>
      <c r="C71" s="20" t="s">
        <v>105</v>
      </c>
      <c r="D71" s="21">
        <v>9.0</v>
      </c>
      <c r="E71" s="26">
        <v>3.0</v>
      </c>
      <c r="F71" s="54" t="s">
        <v>337</v>
      </c>
      <c r="G71" s="32" t="s">
        <v>61</v>
      </c>
      <c r="H71" s="32" t="s">
        <v>43</v>
      </c>
      <c r="I71" s="33"/>
      <c r="J71" s="54" t="s">
        <v>67</v>
      </c>
      <c r="K71" s="32">
        <v>-28.5</v>
      </c>
      <c r="L71" s="32" t="s">
        <v>67</v>
      </c>
      <c r="M71" s="33">
        <v>59.5</v>
      </c>
      <c r="N71" s="55">
        <v>516.0</v>
      </c>
      <c r="O71" s="37">
        <v>280.0</v>
      </c>
      <c r="P71" s="37">
        <v>2.0</v>
      </c>
      <c r="Q71" s="37" t="b">
        <v>1</v>
      </c>
      <c r="R71" s="37">
        <v>100.0</v>
      </c>
      <c r="S71" s="47" t="s">
        <v>361</v>
      </c>
      <c r="T71" s="47" t="s">
        <v>365</v>
      </c>
      <c r="U71" s="49" t="b">
        <f>IFERROR(__xludf.DUMMYFUNCTION("iferror(if(not(iserror(find(""FINAL"",G71))),max(arrayformula(value(REGEXEXTRACT(F71,""^""&amp;C71&amp;"" ([\d]+)|[^a-zA-Z] ""&amp;C71&amp;"" ([\d]+)""))))=max(value(REGEXEXTRACT(F71,"" ([\d]+)"")),value(REGEXEXTRACT(F71,""([\d]+)$""))),""""))"),TRUE)</f>
        <v>1</v>
      </c>
    </row>
    <row r="72" hidden="1">
      <c r="A72" s="17">
        <v>113.0</v>
      </c>
      <c r="B72" s="17" t="s">
        <v>96</v>
      </c>
      <c r="C72" s="20" t="s">
        <v>222</v>
      </c>
      <c r="D72" s="21">
        <v>8.0</v>
      </c>
      <c r="E72" s="26">
        <v>4.0</v>
      </c>
      <c r="F72" s="54" t="s">
        <v>727</v>
      </c>
      <c r="G72" s="32" t="s">
        <v>61</v>
      </c>
      <c r="H72" s="32" t="s">
        <v>493</v>
      </c>
      <c r="I72" s="33"/>
      <c r="J72" s="54" t="s">
        <v>67</v>
      </c>
      <c r="K72" s="32">
        <v>6.5</v>
      </c>
      <c r="L72" s="32" t="s">
        <v>67</v>
      </c>
      <c r="M72" s="33">
        <v>50.5</v>
      </c>
      <c r="N72" s="55">
        <v>302.0</v>
      </c>
      <c r="O72" s="37">
        <v>287.0</v>
      </c>
      <c r="P72" s="37">
        <v>2.0</v>
      </c>
      <c r="Q72" s="37" t="b">
        <v>0</v>
      </c>
      <c r="R72" s="37">
        <v>100.0</v>
      </c>
      <c r="S72" s="47" t="s">
        <v>441</v>
      </c>
      <c r="T72" s="47" t="s">
        <v>365</v>
      </c>
      <c r="U72" s="49" t="b">
        <f>IFERROR(__xludf.DUMMYFUNCTION("iferror(if(not(iserror(find(""FINAL"",G72))),max(arrayformula(value(REGEXEXTRACT(F72,""^""&amp;C72&amp;"" ([\d]+)|[^a-zA-Z] ""&amp;C72&amp;"" ([\d]+)""))))=max(value(REGEXEXTRACT(F72,"" ([\d]+)"")),value(REGEXEXTRACT(F72,""([\d]+)$""))),""""))"),TRUE)</f>
        <v>1</v>
      </c>
    </row>
    <row r="73" hidden="1">
      <c r="A73" s="17">
        <v>113.0</v>
      </c>
      <c r="B73" s="17" t="s">
        <v>96</v>
      </c>
      <c r="C73" s="20" t="s">
        <v>129</v>
      </c>
      <c r="D73" s="21">
        <v>1.0</v>
      </c>
      <c r="E73" s="26">
        <v>11.0</v>
      </c>
      <c r="F73" s="54" t="s">
        <v>699</v>
      </c>
      <c r="G73" s="32" t="s">
        <v>61</v>
      </c>
      <c r="H73" s="32" t="s">
        <v>311</v>
      </c>
      <c r="I73" s="33"/>
      <c r="J73" s="54" t="s">
        <v>67</v>
      </c>
      <c r="K73" s="32">
        <v>13.5</v>
      </c>
      <c r="L73" s="32" t="s">
        <v>67</v>
      </c>
      <c r="M73" s="33">
        <v>46.5</v>
      </c>
      <c r="N73" s="55">
        <v>170.0</v>
      </c>
      <c r="O73" s="37">
        <v>400.0</v>
      </c>
      <c r="P73" s="37">
        <v>2.0</v>
      </c>
      <c r="Q73" s="37" t="b">
        <v>1</v>
      </c>
      <c r="R73" s="37">
        <v>100.0</v>
      </c>
      <c r="S73" s="47" t="s">
        <v>471</v>
      </c>
      <c r="T73" s="47" t="s">
        <v>321</v>
      </c>
      <c r="U73" s="49" t="b">
        <f>IFERROR(__xludf.DUMMYFUNCTION("iferror(if(not(iserror(find(""FINAL"",G73))),max(arrayformula(value(REGEXEXTRACT(F73,""^""&amp;C73&amp;"" ([\d]+)|[^a-zA-Z] ""&amp;C73&amp;"" ([\d]+)""))))=max(value(REGEXEXTRACT(F73,"" ([\d]+)"")),value(REGEXEXTRACT(F73,""([\d]+)$""))),""""))"),FALSE)</f>
        <v>0</v>
      </c>
    </row>
    <row r="74" hidden="1">
      <c r="A74" s="17">
        <v>113.0</v>
      </c>
      <c r="B74" s="17" t="s">
        <v>96</v>
      </c>
      <c r="C74" s="20" t="s">
        <v>204</v>
      </c>
      <c r="D74" s="21">
        <v>11.0</v>
      </c>
      <c r="E74" s="26">
        <v>1.0</v>
      </c>
      <c r="F74" s="54" t="s">
        <v>730</v>
      </c>
      <c r="G74" s="32" t="s">
        <v>61</v>
      </c>
      <c r="H74" s="32" t="s">
        <v>395</v>
      </c>
      <c r="I74" s="33"/>
      <c r="J74" s="54" t="s">
        <v>67</v>
      </c>
      <c r="K74" s="32">
        <v>-14.0</v>
      </c>
      <c r="L74" s="32" t="s">
        <v>67</v>
      </c>
      <c r="M74" s="33">
        <v>59.5</v>
      </c>
      <c r="N74" s="55">
        <v>387.0</v>
      </c>
      <c r="O74" s="37">
        <v>200.0</v>
      </c>
      <c r="P74" s="37">
        <v>2.0</v>
      </c>
      <c r="Q74" s="37" t="b">
        <v>0</v>
      </c>
      <c r="R74" s="37">
        <v>100.0</v>
      </c>
      <c r="S74" s="47" t="s">
        <v>556</v>
      </c>
      <c r="T74" s="47" t="s">
        <v>321</v>
      </c>
      <c r="U74" s="49" t="b">
        <f>IFERROR(__xludf.DUMMYFUNCTION("iferror(if(not(iserror(find(""FINAL"",G74))),max(arrayformula(value(REGEXEXTRACT(F74,""^""&amp;C74&amp;"" ([\d]+)|[^a-zA-Z] ""&amp;C74&amp;"" ([\d]+)""))))=max(value(REGEXEXTRACT(F74,"" ([\d]+)"")),value(REGEXEXTRACT(F74,""([\d]+)$""))),""""))"),TRUE)</f>
        <v>1</v>
      </c>
    </row>
    <row r="75" hidden="1">
      <c r="A75" s="17">
        <v>113.0</v>
      </c>
      <c r="B75" s="17" t="s">
        <v>96</v>
      </c>
      <c r="C75" s="20" t="s">
        <v>173</v>
      </c>
      <c r="D75" s="21">
        <v>8.0</v>
      </c>
      <c r="E75" s="26">
        <v>4.0</v>
      </c>
      <c r="F75" s="54" t="s">
        <v>731</v>
      </c>
      <c r="G75" s="32" t="s">
        <v>61</v>
      </c>
      <c r="H75" s="32" t="s">
        <v>249</v>
      </c>
      <c r="I75" s="33"/>
      <c r="J75" s="54" t="s">
        <v>67</v>
      </c>
      <c r="K75" s="32">
        <v>-7.0</v>
      </c>
      <c r="L75" s="32" t="s">
        <v>67</v>
      </c>
      <c r="M75" s="33">
        <v>45.5</v>
      </c>
      <c r="N75" s="55">
        <v>344.0</v>
      </c>
      <c r="O75" s="37">
        <v>275.0</v>
      </c>
      <c r="P75" s="37">
        <v>2.0</v>
      </c>
      <c r="Q75" s="37" t="b">
        <v>1</v>
      </c>
      <c r="R75" s="37">
        <v>100.0</v>
      </c>
      <c r="S75" s="47" t="s">
        <v>530</v>
      </c>
      <c r="T75" s="47" t="s">
        <v>365</v>
      </c>
      <c r="U75" s="49" t="b">
        <f>IFERROR(__xludf.DUMMYFUNCTION("iferror(if(not(iserror(find(""FINAL"",G75))),max(arrayformula(value(REGEXEXTRACT(F75,""^""&amp;C75&amp;"" ([\d]+)|[^a-zA-Z] ""&amp;C75&amp;"" ([\d]+)""))))=max(value(REGEXEXTRACT(F75,"" ([\d]+)"")),value(REGEXEXTRACT(F75,""([\d]+)$""))),""""))"),TRUE)</f>
        <v>1</v>
      </c>
    </row>
    <row r="76" hidden="1">
      <c r="A76" s="17">
        <v>113.0</v>
      </c>
      <c r="B76" s="17" t="s">
        <v>96</v>
      </c>
      <c r="C76" s="20" t="s">
        <v>142</v>
      </c>
      <c r="D76" s="21">
        <v>7.0</v>
      </c>
      <c r="E76" s="26">
        <v>5.0</v>
      </c>
      <c r="F76" s="54" t="s">
        <v>732</v>
      </c>
      <c r="G76" s="32" t="s">
        <v>61</v>
      </c>
      <c r="H76" s="32" t="s">
        <v>249</v>
      </c>
      <c r="I76" s="33"/>
      <c r="J76" s="54" t="s">
        <v>67</v>
      </c>
      <c r="K76" s="32">
        <v>6.5</v>
      </c>
      <c r="L76" s="32" t="s">
        <v>67</v>
      </c>
      <c r="M76" s="33">
        <v>39.5</v>
      </c>
      <c r="N76" s="55">
        <v>351.0</v>
      </c>
      <c r="O76" s="37">
        <v>276.0</v>
      </c>
      <c r="P76" s="37">
        <v>2.0</v>
      </c>
      <c r="Q76" s="37" t="b">
        <v>1</v>
      </c>
      <c r="R76" s="37">
        <v>100.0</v>
      </c>
      <c r="S76" s="47" t="s">
        <v>407</v>
      </c>
      <c r="T76" s="47" t="s">
        <v>321</v>
      </c>
      <c r="U76" s="49" t="b">
        <f>IFERROR(__xludf.DUMMYFUNCTION("iferror(if(not(iserror(find(""FINAL"",G76))),max(arrayformula(value(REGEXEXTRACT(F76,""^""&amp;C76&amp;"" ([\d]+)|[^a-zA-Z] ""&amp;C76&amp;"" ([\d]+)""))))=max(value(REGEXEXTRACT(F76,"" ([\d]+)"")),value(REGEXEXTRACT(F76,""([\d]+)$""))),""""))"),FALSE)</f>
        <v>0</v>
      </c>
    </row>
    <row r="77" hidden="1">
      <c r="A77" s="17">
        <v>113.0</v>
      </c>
      <c r="B77" s="17" t="s">
        <v>96</v>
      </c>
      <c r="C77" s="20" t="s">
        <v>153</v>
      </c>
      <c r="D77" s="21">
        <v>3.0</v>
      </c>
      <c r="E77" s="26">
        <v>9.0</v>
      </c>
      <c r="F77" s="54" t="s">
        <v>531</v>
      </c>
      <c r="G77" s="32" t="s">
        <v>532</v>
      </c>
      <c r="H77" s="32" t="s">
        <v>43</v>
      </c>
      <c r="I77" s="33"/>
      <c r="J77" s="54" t="s">
        <v>67</v>
      </c>
      <c r="K77" s="32">
        <v>3.5</v>
      </c>
      <c r="L77" s="32" t="s">
        <v>67</v>
      </c>
      <c r="M77" s="33">
        <v>52.5</v>
      </c>
      <c r="N77" s="55">
        <v>269.0</v>
      </c>
      <c r="O77" s="37">
        <v>371.0</v>
      </c>
      <c r="P77" s="37">
        <v>2.0</v>
      </c>
      <c r="Q77" s="37" t="b">
        <v>1</v>
      </c>
      <c r="R77" s="37">
        <v>100.0</v>
      </c>
      <c r="S77" s="47" t="s">
        <v>535</v>
      </c>
      <c r="T77" s="47" t="s">
        <v>365</v>
      </c>
      <c r="U77" s="49" t="b">
        <f>IFERROR(__xludf.DUMMYFUNCTION("iferror(if(not(iserror(find(""FINAL"",G77))),max(arrayformula(value(REGEXEXTRACT(F77,""^""&amp;C77&amp;"" ([\d]+)|[^a-zA-Z] ""&amp;C77&amp;"" ([\d]+)""))))=max(value(REGEXEXTRACT(F77,"" ([\d]+)"")),value(REGEXEXTRACT(F77,""([\d]+)$""))),""""))"),TRUE)</f>
        <v>1</v>
      </c>
    </row>
    <row r="78" hidden="1">
      <c r="A78" s="3">
        <v>114.0</v>
      </c>
      <c r="B78" s="3"/>
      <c r="C78" s="4"/>
      <c r="D78" s="79"/>
      <c r="E78" s="5"/>
      <c r="F78" s="80"/>
      <c r="G78" s="92"/>
      <c r="H78" s="81"/>
      <c r="I78" s="82"/>
      <c r="J78" s="80"/>
      <c r="K78" s="81"/>
      <c r="L78" s="81"/>
      <c r="M78" s="82"/>
      <c r="N78" s="4"/>
      <c r="O78" s="4"/>
      <c r="P78" s="4"/>
      <c r="Q78" s="4"/>
      <c r="R78" s="4"/>
      <c r="S78" s="83"/>
      <c r="T78" s="83"/>
      <c r="U78" s="49" t="str">
        <f>IFERROR(__xludf.DUMMYFUNCTION("iferror(if(not(iserror(find(""FINAL"",G78))),max(arrayformula(value(REGEXEXTRACT(F78,""^""&amp;C78&amp;"" ([\d]+)|[^a-zA-Z] ""&amp;C78&amp;"" ([\d]+)""))))=max(value(REGEXEXTRACT(F78,"" ([\d]+)"")),value(REGEXEXTRACT(F78,""([\d]+)$""))),""""))"),"")</f>
        <v/>
      </c>
    </row>
    <row r="79">
      <c r="A79" s="17">
        <v>115.0</v>
      </c>
      <c r="B79" s="102" t="s">
        <v>238</v>
      </c>
      <c r="C79" s="20" t="s">
        <v>549</v>
      </c>
      <c r="D79" s="21">
        <v>3.0</v>
      </c>
      <c r="E79" s="26">
        <v>9.0</v>
      </c>
      <c r="F79" s="28" t="s">
        <v>735</v>
      </c>
      <c r="G79" s="32" t="s">
        <v>61</v>
      </c>
      <c r="H79" s="28" t="s">
        <v>395</v>
      </c>
      <c r="I79" s="30"/>
      <c r="J79" s="54" t="s">
        <v>67</v>
      </c>
      <c r="K79" s="32">
        <v>3.5</v>
      </c>
      <c r="L79" s="32" t="s">
        <v>67</v>
      </c>
      <c r="M79" s="33">
        <v>45.5</v>
      </c>
      <c r="N79" s="84">
        <v>257.0</v>
      </c>
      <c r="O79" s="35">
        <v>390.0</v>
      </c>
      <c r="P79" s="37">
        <v>2.0</v>
      </c>
      <c r="Q79" s="37" t="b">
        <v>0</v>
      </c>
      <c r="R79" s="37">
        <v>100.0</v>
      </c>
      <c r="S79" s="47" t="s">
        <v>525</v>
      </c>
      <c r="T79" s="47" t="s">
        <v>365</v>
      </c>
      <c r="U79" s="49" t="b">
        <f>IFERROR(__xludf.DUMMYFUNCTION("iferror(if(not(iserror(find(""FINAL"",G79))),max(arrayformula(value(REGEXEXTRACT(F79,""^""&amp;C79&amp;"" ([\d]+)|[^a-zA-Z] ""&amp;C79&amp;"" ([\d]+)""))))=max(value(REGEXEXTRACT(F79,"" ([\d]+)"")),value(REGEXEXTRACT(F79,""([\d]+)$""))),""""))"),FALSE)</f>
        <v>0</v>
      </c>
    </row>
    <row r="80">
      <c r="A80" s="17">
        <v>115.0</v>
      </c>
      <c r="B80" s="17" t="s">
        <v>238</v>
      </c>
      <c r="C80" s="20" t="s">
        <v>98</v>
      </c>
      <c r="D80" s="21">
        <v>7.0</v>
      </c>
      <c r="E80" s="26">
        <v>5.0</v>
      </c>
      <c r="F80" s="85" t="s">
        <v>551</v>
      </c>
      <c r="G80" s="32" t="s">
        <v>61</v>
      </c>
      <c r="H80" s="32" t="s">
        <v>95</v>
      </c>
      <c r="I80" s="33"/>
      <c r="J80" s="54" t="s">
        <v>67</v>
      </c>
      <c r="K80" s="32">
        <v>3.5</v>
      </c>
      <c r="L80" s="32" t="s">
        <v>67</v>
      </c>
      <c r="M80" s="33">
        <v>57.5</v>
      </c>
      <c r="N80" s="55">
        <v>381.0</v>
      </c>
      <c r="O80" s="37">
        <v>298.0</v>
      </c>
      <c r="P80" s="37">
        <v>2.0</v>
      </c>
      <c r="Q80" s="37" t="b">
        <v>0</v>
      </c>
      <c r="R80" s="37">
        <v>100.0</v>
      </c>
      <c r="S80" s="47" t="s">
        <v>471</v>
      </c>
      <c r="T80" s="47" t="s">
        <v>321</v>
      </c>
      <c r="U80" s="49" t="b">
        <f>IFERROR(__xludf.DUMMYFUNCTION("iferror(if(not(iserror(find(""FINAL"",G80))),max(arrayformula(value(REGEXEXTRACT(F80,""^""&amp;C80&amp;"" ([\d]+)|[^a-zA-Z] ""&amp;C80&amp;"" ([\d]+)""))))=max(value(REGEXEXTRACT(F80,"" ([\d]+)"")),value(REGEXEXTRACT(F80,""([\d]+)$""))),""""))"),FALSE)</f>
        <v>0</v>
      </c>
    </row>
    <row r="81">
      <c r="A81" s="17">
        <v>115.0</v>
      </c>
      <c r="B81" s="17" t="s">
        <v>238</v>
      </c>
      <c r="C81" s="20" t="s">
        <v>148</v>
      </c>
      <c r="D81" s="21">
        <v>4.0</v>
      </c>
      <c r="E81" s="26">
        <v>8.0</v>
      </c>
      <c r="F81" s="54" t="s">
        <v>738</v>
      </c>
      <c r="G81" s="32" t="s">
        <v>61</v>
      </c>
      <c r="H81" s="32" t="s">
        <v>238</v>
      </c>
      <c r="I81" s="33"/>
      <c r="J81" s="54" t="s">
        <v>67</v>
      </c>
      <c r="K81" s="32">
        <v>-1.5</v>
      </c>
      <c r="L81" s="32" t="s">
        <v>67</v>
      </c>
      <c r="M81" s="33">
        <v>37.5</v>
      </c>
      <c r="N81" s="55">
        <v>154.0</v>
      </c>
      <c r="O81" s="37">
        <v>259.0</v>
      </c>
      <c r="P81" s="37">
        <v>2.0</v>
      </c>
      <c r="Q81" s="37" t="b">
        <v>0</v>
      </c>
      <c r="R81" s="37">
        <v>100.0</v>
      </c>
      <c r="S81" s="47" t="s">
        <v>407</v>
      </c>
      <c r="T81" s="47" t="s">
        <v>321</v>
      </c>
      <c r="U81" s="49" t="b">
        <f>IFERROR(__xludf.DUMMYFUNCTION("iferror(if(not(iserror(find(""FINAL"",G81))),max(arrayformula(value(REGEXEXTRACT(F81,""^""&amp;C81&amp;"" ([\d]+)|[^a-zA-Z] ""&amp;C81&amp;"" ([\d]+)""))))=max(value(REGEXEXTRACT(F81,"" ([\d]+)"")),value(REGEXEXTRACT(F81,""([\d]+)$""))),""""))"),FALSE)</f>
        <v>0</v>
      </c>
    </row>
    <row r="82">
      <c r="A82" s="17">
        <v>115.0</v>
      </c>
      <c r="B82" s="17" t="s">
        <v>238</v>
      </c>
      <c r="C82" s="20" t="s">
        <v>141</v>
      </c>
      <c r="D82" s="21">
        <v>7.0</v>
      </c>
      <c r="E82" s="26">
        <v>5.0</v>
      </c>
      <c r="F82" s="54" t="s">
        <v>738</v>
      </c>
      <c r="G82" s="32" t="s">
        <v>61</v>
      </c>
      <c r="H82" s="32" t="s">
        <v>238</v>
      </c>
      <c r="I82" s="33"/>
      <c r="J82" s="54" t="s">
        <v>67</v>
      </c>
      <c r="K82" s="32">
        <v>1.5</v>
      </c>
      <c r="L82" s="32" t="s">
        <v>67</v>
      </c>
      <c r="M82" s="33">
        <v>37.5</v>
      </c>
      <c r="N82" s="55">
        <v>279.0</v>
      </c>
      <c r="O82" s="37">
        <v>281.0</v>
      </c>
      <c r="P82" s="37">
        <v>2.0</v>
      </c>
      <c r="Q82" s="37" t="b">
        <v>1</v>
      </c>
      <c r="R82" s="37">
        <v>100.0</v>
      </c>
      <c r="S82" s="47" t="s">
        <v>407</v>
      </c>
      <c r="T82" s="47" t="s">
        <v>321</v>
      </c>
      <c r="U82" s="49" t="b">
        <f>IFERROR(__xludf.DUMMYFUNCTION("iferror(if(not(iserror(find(""FINAL"",G82))),max(arrayformula(value(REGEXEXTRACT(F82,""^""&amp;C82&amp;"" ([\d]+)|[^a-zA-Z] ""&amp;C82&amp;"" ([\d]+)""))))=max(value(REGEXEXTRACT(F82,"" ([\d]+)"")),value(REGEXEXTRACT(F82,""([\d]+)$""))),""""))"),TRUE)</f>
        <v>1</v>
      </c>
    </row>
    <row r="83">
      <c r="A83" s="17">
        <v>115.0</v>
      </c>
      <c r="B83" s="17" t="s">
        <v>238</v>
      </c>
      <c r="C83" s="20" t="s">
        <v>220</v>
      </c>
      <c r="D83" s="21">
        <v>4.0</v>
      </c>
      <c r="E83" s="26">
        <v>8.0</v>
      </c>
      <c r="F83" s="54" t="s">
        <v>557</v>
      </c>
      <c r="G83" s="32" t="s">
        <v>61</v>
      </c>
      <c r="H83" s="32" t="s">
        <v>95</v>
      </c>
      <c r="I83" s="33"/>
      <c r="J83" s="54" t="s">
        <v>67</v>
      </c>
      <c r="K83" s="32">
        <v>8.5</v>
      </c>
      <c r="L83" s="32" t="s">
        <v>67</v>
      </c>
      <c r="M83" s="33">
        <v>62.5</v>
      </c>
      <c r="N83" s="55">
        <v>318.0</v>
      </c>
      <c r="O83" s="37">
        <v>365.0</v>
      </c>
      <c r="P83" s="37">
        <v>2.0</v>
      </c>
      <c r="Q83" s="37" t="b">
        <v>1</v>
      </c>
      <c r="R83" s="37">
        <v>100.0</v>
      </c>
      <c r="S83" s="47" t="s">
        <v>441</v>
      </c>
      <c r="T83" s="47" t="s">
        <v>365</v>
      </c>
      <c r="U83" s="49" t="b">
        <f>IFERROR(__xludf.DUMMYFUNCTION("iferror(if(not(iserror(find(""FINAL"",G83))),max(arrayformula(value(REGEXEXTRACT(F83,""^""&amp;C83&amp;"" ([\d]+)|[^a-zA-Z] ""&amp;C83&amp;"" ([\d]+)""))))=max(value(REGEXEXTRACT(F83,"" ([\d]+)"")),value(REGEXEXTRACT(F83,""([\d]+)$""))),""""))"),FALSE)</f>
        <v>0</v>
      </c>
    </row>
    <row r="84">
      <c r="A84" s="17">
        <v>115.0</v>
      </c>
      <c r="B84" s="17" t="s">
        <v>238</v>
      </c>
      <c r="C84" s="20" t="s">
        <v>160</v>
      </c>
      <c r="D84" s="21">
        <v>2.0</v>
      </c>
      <c r="E84" s="26">
        <v>10.0</v>
      </c>
      <c r="F84" s="54" t="s">
        <v>713</v>
      </c>
      <c r="G84" s="32" t="s">
        <v>61</v>
      </c>
      <c r="H84" s="32" t="s">
        <v>224</v>
      </c>
      <c r="I84" s="33"/>
      <c r="J84" s="54" t="s">
        <v>67</v>
      </c>
      <c r="K84" s="32">
        <v>3.5</v>
      </c>
      <c r="L84" s="32" t="s">
        <v>67</v>
      </c>
      <c r="M84" s="33">
        <v>55.5</v>
      </c>
      <c r="N84" s="55">
        <v>280.0</v>
      </c>
      <c r="O84" s="37">
        <v>365.0</v>
      </c>
      <c r="P84" s="37">
        <v>2.0</v>
      </c>
      <c r="Q84" s="37" t="b">
        <v>0</v>
      </c>
      <c r="R84" s="37">
        <v>100.0</v>
      </c>
      <c r="S84" s="47" t="s">
        <v>535</v>
      </c>
      <c r="T84" s="47" t="s">
        <v>365</v>
      </c>
      <c r="U84" s="49" t="b">
        <f>IFERROR(__xludf.DUMMYFUNCTION("iferror(if(not(iserror(find(""FINAL"",G84))),max(arrayformula(value(REGEXEXTRACT(F84,""^""&amp;C84&amp;"" ([\d]+)|[^a-zA-Z] ""&amp;C84&amp;"" ([\d]+)""))))=max(value(REGEXEXTRACT(F84,"" ([\d]+)"")),value(REGEXEXTRACT(F84,""([\d]+)$""))),""""))"),FALSE)</f>
        <v>0</v>
      </c>
    </row>
    <row r="85">
      <c r="A85" s="17">
        <v>115.0</v>
      </c>
      <c r="B85" s="17" t="s">
        <v>238</v>
      </c>
      <c r="C85" s="20" t="s">
        <v>119</v>
      </c>
      <c r="D85" s="21">
        <v>8.0</v>
      </c>
      <c r="E85" s="26">
        <v>4.0</v>
      </c>
      <c r="F85" s="54" t="s">
        <v>741</v>
      </c>
      <c r="G85" s="32" t="s">
        <v>61</v>
      </c>
      <c r="H85" s="32" t="s">
        <v>156</v>
      </c>
      <c r="I85" s="33"/>
      <c r="J85" s="54" t="s">
        <v>67</v>
      </c>
      <c r="K85" s="32">
        <v>7.0</v>
      </c>
      <c r="L85" s="32" t="s">
        <v>67</v>
      </c>
      <c r="M85" s="33">
        <v>49.5</v>
      </c>
      <c r="N85" s="55">
        <v>421.0</v>
      </c>
      <c r="O85" s="37">
        <v>299.0</v>
      </c>
      <c r="P85" s="37">
        <v>2.0</v>
      </c>
      <c r="Q85" s="37" t="b">
        <v>1</v>
      </c>
      <c r="R85" s="37">
        <v>100.0</v>
      </c>
      <c r="S85" s="47" t="s">
        <v>317</v>
      </c>
      <c r="T85" s="47" t="s">
        <v>321</v>
      </c>
      <c r="U85" s="49" t="b">
        <f>IFERROR(__xludf.DUMMYFUNCTION("iferror(if(not(iserror(find(""FINAL"",G85))),max(arrayformula(value(REGEXEXTRACT(F85,""^""&amp;C85&amp;"" ([\d]+)|[^a-zA-Z] ""&amp;C85&amp;"" ([\d]+)""))))=max(value(REGEXEXTRACT(F85,"" ([\d]+)"")),value(REGEXEXTRACT(F85,""([\d]+)$""))),""""))"),FALSE)</f>
        <v>0</v>
      </c>
    </row>
    <row r="86">
      <c r="A86" s="17">
        <v>115.0</v>
      </c>
      <c r="B86" s="17" t="s">
        <v>238</v>
      </c>
      <c r="C86" s="20" t="s">
        <v>548</v>
      </c>
      <c r="D86" s="21">
        <v>7.0</v>
      </c>
      <c r="E86" s="26">
        <v>5.0</v>
      </c>
      <c r="F86" s="54" t="s">
        <v>560</v>
      </c>
      <c r="G86" s="32" t="s">
        <v>61</v>
      </c>
      <c r="H86" s="32" t="s">
        <v>95</v>
      </c>
      <c r="I86" s="33"/>
      <c r="J86" s="54" t="s">
        <v>67</v>
      </c>
      <c r="K86" s="32">
        <v>-17.5</v>
      </c>
      <c r="L86" s="32" t="s">
        <v>67</v>
      </c>
      <c r="M86" s="33">
        <v>41.5</v>
      </c>
      <c r="N86" s="55">
        <v>313.0</v>
      </c>
      <c r="O86" s="37">
        <v>263.0</v>
      </c>
      <c r="P86" s="37">
        <v>2.0</v>
      </c>
      <c r="Q86" s="37" t="b">
        <v>1</v>
      </c>
      <c r="R86" s="37">
        <v>100.0</v>
      </c>
      <c r="S86" s="47" t="s">
        <v>530</v>
      </c>
      <c r="T86" s="47" t="s">
        <v>365</v>
      </c>
      <c r="U86" s="49" t="b">
        <f>IFERROR(__xludf.DUMMYFUNCTION("iferror(if(not(iserror(find(""FINAL"",G86))),max(arrayformula(value(REGEXEXTRACT(F86,""^""&amp;C86&amp;"" ([\d]+)|[^a-zA-Z] ""&amp;C86&amp;"" ([\d]+)""))))=max(value(REGEXEXTRACT(F86,"" ([\d]+)"")),value(REGEXEXTRACT(F86,""([\d]+)$""))),""""))"),TRUE)</f>
        <v>1</v>
      </c>
    </row>
    <row r="87">
      <c r="A87" s="17">
        <v>115.0</v>
      </c>
      <c r="B87" s="17" t="s">
        <v>238</v>
      </c>
      <c r="C87" s="20" t="s">
        <v>539</v>
      </c>
      <c r="D87" s="21">
        <v>11.0</v>
      </c>
      <c r="E87" s="26">
        <v>1.0</v>
      </c>
      <c r="F87" s="54" t="s">
        <v>743</v>
      </c>
      <c r="G87" s="32" t="s">
        <v>61</v>
      </c>
      <c r="H87" s="32" t="s">
        <v>132</v>
      </c>
      <c r="I87" s="33"/>
      <c r="J87" s="54" t="s">
        <v>67</v>
      </c>
      <c r="K87" s="32">
        <v>-2.5</v>
      </c>
      <c r="L87" s="32" t="s">
        <v>67</v>
      </c>
      <c r="M87" s="33">
        <v>52.5</v>
      </c>
      <c r="N87" s="55">
        <v>436.0</v>
      </c>
      <c r="O87" s="37">
        <v>263.0</v>
      </c>
      <c r="P87" s="37">
        <v>2.0</v>
      </c>
      <c r="Q87" s="37" t="b">
        <v>0</v>
      </c>
      <c r="R87" s="37">
        <v>100.0</v>
      </c>
      <c r="S87" s="47" t="s">
        <v>556</v>
      </c>
      <c r="T87" s="47" t="s">
        <v>321</v>
      </c>
      <c r="U87" s="49" t="b">
        <f>IFERROR(__xludf.DUMMYFUNCTION("iferror(if(not(iserror(find(""FINAL"",G87))),max(arrayformula(value(REGEXEXTRACT(F87,""^""&amp;C87&amp;"" ([\d]+)|[^a-zA-Z] ""&amp;C87&amp;"" ([\d]+)""))))=max(value(REGEXEXTRACT(F87,"" ([\d]+)"")),value(REGEXEXTRACT(F87,""([\d]+)$""))),""""))"),FALSE)</f>
        <v>0</v>
      </c>
    </row>
    <row r="88">
      <c r="A88" s="17">
        <v>115.0</v>
      </c>
      <c r="B88" s="17" t="s">
        <v>238</v>
      </c>
      <c r="C88" s="20" t="s">
        <v>102</v>
      </c>
      <c r="D88" s="21">
        <v>8.0</v>
      </c>
      <c r="E88" s="26">
        <v>4.0</v>
      </c>
      <c r="F88" s="54" t="s">
        <v>717</v>
      </c>
      <c r="G88" s="32" t="s">
        <v>61</v>
      </c>
      <c r="H88" s="32" t="s">
        <v>224</v>
      </c>
      <c r="I88" s="33"/>
      <c r="J88" s="54" t="s">
        <v>67</v>
      </c>
      <c r="K88" s="32">
        <v>-3.5</v>
      </c>
      <c r="L88" s="32" t="s">
        <v>67</v>
      </c>
      <c r="M88" s="33">
        <v>57.5</v>
      </c>
      <c r="N88" s="55">
        <v>415.0</v>
      </c>
      <c r="O88" s="37">
        <v>270.0</v>
      </c>
      <c r="P88" s="37">
        <v>2.0</v>
      </c>
      <c r="Q88" s="37" t="b">
        <v>0</v>
      </c>
      <c r="R88" s="37">
        <v>100.0</v>
      </c>
      <c r="S88" s="47" t="s">
        <v>361</v>
      </c>
      <c r="T88" s="47" t="s">
        <v>365</v>
      </c>
      <c r="U88" s="49" t="b">
        <f>IFERROR(__xludf.DUMMYFUNCTION("iferror(if(not(iserror(find(""FINAL"",G88))),max(arrayformula(value(REGEXEXTRACT(F88,""^""&amp;C88&amp;"" ([\d]+)|[^a-zA-Z] ""&amp;C88&amp;"" ([\d]+)""))))=max(value(REGEXEXTRACT(F88,"" ([\d]+)"")),value(REGEXEXTRACT(F88,""([\d]+)$""))),""""))"),FALSE)</f>
        <v>0</v>
      </c>
    </row>
    <row r="89" hidden="1">
      <c r="A89" s="3">
        <v>116.0</v>
      </c>
      <c r="B89" s="3"/>
      <c r="C89" s="4"/>
      <c r="D89" s="79"/>
      <c r="E89" s="5"/>
      <c r="F89" s="80"/>
      <c r="G89" s="92"/>
      <c r="H89" s="81"/>
      <c r="I89" s="82"/>
      <c r="J89" s="80"/>
      <c r="K89" s="81"/>
      <c r="L89" s="81"/>
      <c r="M89" s="82"/>
      <c r="N89" s="4"/>
      <c r="O89" s="4"/>
      <c r="P89" s="4"/>
      <c r="Q89" s="4"/>
      <c r="R89" s="4"/>
      <c r="S89" s="83"/>
      <c r="T89" s="83"/>
      <c r="U89" s="49" t="str">
        <f>IFERROR(__xludf.DUMMYFUNCTION("iferror(if(not(iserror(find(""FINAL"",G89))),max(arrayformula(value(REGEXEXTRACT(F89,""^""&amp;C89&amp;"" ([\d]+)|[^a-zA-Z] ""&amp;C89&amp;"" ([\d]+)""))))=max(value(REGEXEXTRACT(F89,"" ([\d]+)"")),value(REGEXEXTRACT(F89,""([\d]+)$""))),""""))"),"")</f>
        <v/>
      </c>
    </row>
    <row r="90" hidden="1">
      <c r="A90" s="17">
        <v>117.0</v>
      </c>
      <c r="B90" s="102" t="s">
        <v>156</v>
      </c>
      <c r="C90" s="20" t="s">
        <v>181</v>
      </c>
      <c r="D90" s="21">
        <v>3.0</v>
      </c>
      <c r="E90" s="26">
        <v>9.0</v>
      </c>
      <c r="F90" s="28" t="s">
        <v>705</v>
      </c>
      <c r="G90" s="32" t="s">
        <v>61</v>
      </c>
      <c r="H90" s="28" t="s">
        <v>224</v>
      </c>
      <c r="I90" s="30"/>
      <c r="J90" s="54" t="s">
        <v>67</v>
      </c>
      <c r="K90" s="32">
        <v>7.5</v>
      </c>
      <c r="L90" s="32" t="s">
        <v>67</v>
      </c>
      <c r="M90" s="33">
        <v>53.5</v>
      </c>
      <c r="N90" s="84">
        <v>211.0</v>
      </c>
      <c r="O90" s="35">
        <v>330.0</v>
      </c>
      <c r="P90" s="37">
        <v>2.0</v>
      </c>
      <c r="Q90" s="37" t="b">
        <v>0</v>
      </c>
      <c r="R90" s="37">
        <v>100.0</v>
      </c>
      <c r="S90" s="47" t="s">
        <v>525</v>
      </c>
      <c r="T90" s="47" t="s">
        <v>365</v>
      </c>
      <c r="U90" s="49" t="b">
        <f>IFERROR(__xludf.DUMMYFUNCTION("iferror(if(not(iserror(find(""FINAL"",G90))),max(arrayformula(value(REGEXEXTRACT(F90,""^""&amp;C90&amp;"" ([\d]+)|[^a-zA-Z] ""&amp;C90&amp;"" ([\d]+)""))))=max(value(REGEXEXTRACT(F90,"" ([\d]+)"")),value(REGEXEXTRACT(F90,""([\d]+)$""))),""""))"),FALSE)</f>
        <v>0</v>
      </c>
    </row>
    <row r="91" hidden="1">
      <c r="A91" s="17">
        <v>117.0</v>
      </c>
      <c r="B91" s="17" t="s">
        <v>156</v>
      </c>
      <c r="C91" s="20" t="s">
        <v>135</v>
      </c>
      <c r="D91" s="21">
        <v>8.0</v>
      </c>
      <c r="E91" s="26">
        <v>4.0</v>
      </c>
      <c r="F91" s="85" t="s">
        <v>746</v>
      </c>
      <c r="G91" s="32" t="s">
        <v>61</v>
      </c>
      <c r="H91" s="32" t="s">
        <v>493</v>
      </c>
      <c r="I91" s="33"/>
      <c r="J91" s="54" t="s">
        <v>67</v>
      </c>
      <c r="K91" s="32">
        <v>-7.5</v>
      </c>
      <c r="L91" s="32" t="s">
        <v>67</v>
      </c>
      <c r="M91" s="33">
        <v>44.5</v>
      </c>
      <c r="N91" s="55">
        <v>352.0</v>
      </c>
      <c r="O91" s="37">
        <v>279.0</v>
      </c>
      <c r="P91" s="37">
        <v>2.0</v>
      </c>
      <c r="Q91" s="37" t="b">
        <v>1</v>
      </c>
      <c r="R91" s="37">
        <v>100.0</v>
      </c>
      <c r="S91" s="47" t="s">
        <v>407</v>
      </c>
      <c r="T91" s="47" t="s">
        <v>321</v>
      </c>
      <c r="U91" s="49" t="b">
        <f>IFERROR(__xludf.DUMMYFUNCTION("iferror(if(not(iserror(find(""FINAL"",G91))),max(arrayformula(value(REGEXEXTRACT(F91,""^""&amp;C91&amp;"" ([\d]+)|[^a-zA-Z] ""&amp;C91&amp;"" ([\d]+)""))))=max(value(REGEXEXTRACT(F91,"" ([\d]+)"")),value(REGEXEXTRACT(F91,""([\d]+)$""))),""""))"),TRUE)</f>
        <v>1</v>
      </c>
    </row>
    <row r="92" hidden="1">
      <c r="A92" s="17">
        <v>117.0</v>
      </c>
      <c r="B92" s="17" t="s">
        <v>156</v>
      </c>
      <c r="C92" s="20" t="s">
        <v>223</v>
      </c>
      <c r="D92" s="21">
        <v>6.0</v>
      </c>
      <c r="E92" s="26">
        <v>6.0</v>
      </c>
      <c r="F92" s="54" t="s">
        <v>748</v>
      </c>
      <c r="G92" s="32" t="s">
        <v>61</v>
      </c>
      <c r="H92" s="32" t="s">
        <v>395</v>
      </c>
      <c r="I92" s="33"/>
      <c r="J92" s="54" t="s">
        <v>67</v>
      </c>
      <c r="K92" s="32">
        <v>21.5</v>
      </c>
      <c r="L92" s="32" t="s">
        <v>67</v>
      </c>
      <c r="M92" s="33">
        <v>53.5</v>
      </c>
      <c r="N92" s="55">
        <v>274.0</v>
      </c>
      <c r="O92" s="37">
        <v>407.0</v>
      </c>
      <c r="P92" s="37">
        <v>2.0</v>
      </c>
      <c r="Q92" s="37" t="b">
        <v>0</v>
      </c>
      <c r="R92" s="37">
        <v>100.0</v>
      </c>
      <c r="S92" s="47" t="s">
        <v>441</v>
      </c>
      <c r="T92" s="47" t="s">
        <v>365</v>
      </c>
      <c r="U92" s="49" t="b">
        <f>IFERROR(__xludf.DUMMYFUNCTION("iferror(if(not(iserror(find(""FINAL"",G92))),max(arrayformula(value(REGEXEXTRACT(F92,""^""&amp;C92&amp;"" ([\d]+)|[^a-zA-Z] ""&amp;C92&amp;"" ([\d]+)""))))=max(value(REGEXEXTRACT(F92,"" ([\d]+)"")),value(REGEXEXTRACT(F92,""([\d]+)$""))),""""))"),FALSE)</f>
        <v>0</v>
      </c>
    </row>
    <row r="93" hidden="1">
      <c r="A93" s="17">
        <v>117.0</v>
      </c>
      <c r="B93" s="17" t="s">
        <v>156</v>
      </c>
      <c r="C93" s="20" t="s">
        <v>202</v>
      </c>
      <c r="D93" s="21">
        <v>2.0</v>
      </c>
      <c r="E93" s="26">
        <v>10.0</v>
      </c>
      <c r="F93" s="54" t="s">
        <v>749</v>
      </c>
      <c r="G93" s="32" t="s">
        <v>61</v>
      </c>
      <c r="H93" s="32" t="s">
        <v>156</v>
      </c>
      <c r="I93" s="33"/>
      <c r="J93" s="54" t="s">
        <v>67</v>
      </c>
      <c r="K93" s="32">
        <v>2.5</v>
      </c>
      <c r="L93" s="32" t="s">
        <v>67</v>
      </c>
      <c r="M93" s="33">
        <v>55.5</v>
      </c>
      <c r="N93" s="55">
        <v>395.0</v>
      </c>
      <c r="O93" s="37">
        <v>406.0</v>
      </c>
      <c r="P93" s="37">
        <v>2.0</v>
      </c>
      <c r="Q93" s="37" t="b">
        <v>0</v>
      </c>
      <c r="R93" s="37">
        <v>100.0</v>
      </c>
      <c r="S93" s="47" t="s">
        <v>556</v>
      </c>
      <c r="T93" s="47" t="s">
        <v>321</v>
      </c>
      <c r="U93" s="49" t="b">
        <f>IFERROR(__xludf.DUMMYFUNCTION("iferror(if(not(iserror(find(""FINAL"",G93))),max(arrayformula(value(REGEXEXTRACT(F93,""^""&amp;C93&amp;"" ([\d]+)|[^a-zA-Z] ""&amp;C93&amp;"" ([\d]+)""))))=max(value(REGEXEXTRACT(F93,"" ([\d]+)"")),value(REGEXEXTRACT(F93,""([\d]+)$""))),""""))"),FALSE)</f>
        <v>0</v>
      </c>
    </row>
    <row r="94" hidden="1">
      <c r="A94" s="17">
        <v>117.0</v>
      </c>
      <c r="B94" s="17" t="s">
        <v>156</v>
      </c>
      <c r="C94" s="20" t="s">
        <v>208</v>
      </c>
      <c r="D94" s="21">
        <v>8.0</v>
      </c>
      <c r="E94" s="26">
        <v>4.0</v>
      </c>
      <c r="F94" s="54" t="s">
        <v>749</v>
      </c>
      <c r="G94" s="32" t="s">
        <v>61</v>
      </c>
      <c r="H94" s="32" t="s">
        <v>156</v>
      </c>
      <c r="I94" s="33"/>
      <c r="J94" s="54" t="s">
        <v>67</v>
      </c>
      <c r="K94" s="32">
        <v>-2.5</v>
      </c>
      <c r="L94" s="32" t="s">
        <v>67</v>
      </c>
      <c r="M94" s="33">
        <v>55.5</v>
      </c>
      <c r="N94" s="55">
        <v>386.0</v>
      </c>
      <c r="O94" s="37">
        <v>233.0</v>
      </c>
      <c r="P94" s="37">
        <v>2.0</v>
      </c>
      <c r="Q94" s="37" t="b">
        <v>1</v>
      </c>
      <c r="R94" s="37">
        <v>100.0</v>
      </c>
      <c r="S94" s="47" t="s">
        <v>556</v>
      </c>
      <c r="T94" s="47" t="s">
        <v>321</v>
      </c>
      <c r="U94" s="49" t="b">
        <f>IFERROR(__xludf.DUMMYFUNCTION("iferror(if(not(iserror(find(""FINAL"",G94))),max(arrayformula(value(REGEXEXTRACT(F94,""^""&amp;C94&amp;"" ([\d]+)|[^a-zA-Z] ""&amp;C94&amp;"" ([\d]+)""))))=max(value(REGEXEXTRACT(F94,"" ([\d]+)"")),value(REGEXEXTRACT(F94,""([\d]+)$""))),""""))"),TRUE)</f>
        <v>1</v>
      </c>
    </row>
    <row r="95" hidden="1">
      <c r="A95" s="17">
        <v>117.0</v>
      </c>
      <c r="B95" s="17" t="s">
        <v>156</v>
      </c>
      <c r="C95" s="20" t="s">
        <v>232</v>
      </c>
      <c r="D95" s="21">
        <v>8.0</v>
      </c>
      <c r="E95" s="26">
        <v>4.0</v>
      </c>
      <c r="F95" s="54" t="s">
        <v>752</v>
      </c>
      <c r="G95" s="32" t="s">
        <v>61</v>
      </c>
      <c r="H95" s="32" t="s">
        <v>395</v>
      </c>
      <c r="I95" s="33"/>
      <c r="J95" s="54" t="s">
        <v>67</v>
      </c>
      <c r="K95" s="32">
        <v>2.5</v>
      </c>
      <c r="L95" s="32" t="s">
        <v>67</v>
      </c>
      <c r="M95" s="33">
        <v>55.5</v>
      </c>
      <c r="N95" s="55">
        <v>362.0</v>
      </c>
      <c r="O95" s="37">
        <v>321.0</v>
      </c>
      <c r="P95" s="37">
        <v>2.0</v>
      </c>
      <c r="Q95" s="37" t="b">
        <v>1</v>
      </c>
      <c r="R95" s="37">
        <v>100.0</v>
      </c>
      <c r="S95" s="47" t="s">
        <v>535</v>
      </c>
      <c r="T95" s="47" t="s">
        <v>365</v>
      </c>
      <c r="U95" s="49" t="b">
        <f>IFERROR(__xludf.DUMMYFUNCTION("iferror(if(not(iserror(find(""FINAL"",G95))),max(arrayformula(value(REGEXEXTRACT(F95,""^""&amp;C95&amp;"" ([\d]+)|[^a-zA-Z] ""&amp;C95&amp;"" ([\d]+)""))))=max(value(REGEXEXTRACT(F95,"" ([\d]+)"")),value(REGEXEXTRACT(F95,""([\d]+)$""))),""""))"),TRUE)</f>
        <v>1</v>
      </c>
    </row>
    <row r="96" hidden="1">
      <c r="A96" s="17">
        <v>117.0</v>
      </c>
      <c r="B96" s="17" t="s">
        <v>156</v>
      </c>
      <c r="C96" s="20" t="s">
        <v>109</v>
      </c>
      <c r="D96" s="21">
        <v>5.0</v>
      </c>
      <c r="E96" s="26">
        <v>7.0</v>
      </c>
      <c r="F96" s="54" t="s">
        <v>714</v>
      </c>
      <c r="G96" s="32" t="s">
        <v>61</v>
      </c>
      <c r="H96" s="32" t="s">
        <v>224</v>
      </c>
      <c r="I96" s="33"/>
      <c r="J96" s="54" t="s">
        <v>67</v>
      </c>
      <c r="K96" s="32">
        <v>17.5</v>
      </c>
      <c r="L96" s="32" t="s">
        <v>67</v>
      </c>
      <c r="M96" s="33">
        <v>47.5</v>
      </c>
      <c r="N96" s="55">
        <v>292.0</v>
      </c>
      <c r="O96" s="37">
        <v>283.0</v>
      </c>
      <c r="P96" s="37">
        <v>2.0</v>
      </c>
      <c r="Q96" s="37" t="b">
        <v>1</v>
      </c>
      <c r="R96" s="37">
        <v>100.0</v>
      </c>
      <c r="S96" s="47" t="s">
        <v>471</v>
      </c>
      <c r="T96" s="47" t="s">
        <v>321</v>
      </c>
      <c r="U96" s="49" t="b">
        <f>IFERROR(__xludf.DUMMYFUNCTION("iferror(if(not(iserror(find(""FINAL"",G96))),max(arrayformula(value(REGEXEXTRACT(F96,""^""&amp;C96&amp;"" ([\d]+)|[^a-zA-Z] ""&amp;C96&amp;"" ([\d]+)""))))=max(value(REGEXEXTRACT(F96,"" ([\d]+)"")),value(REGEXEXTRACT(F96,""([\d]+)$""))),""""))"),FALSE)</f>
        <v>0</v>
      </c>
    </row>
    <row r="97" hidden="1">
      <c r="A97" s="17">
        <v>117.0</v>
      </c>
      <c r="B97" s="17" t="s">
        <v>156</v>
      </c>
      <c r="C97" s="20" t="s">
        <v>116</v>
      </c>
      <c r="D97" s="21">
        <v>10.0</v>
      </c>
      <c r="E97" s="26">
        <v>2.0</v>
      </c>
      <c r="F97" s="54" t="s">
        <v>741</v>
      </c>
      <c r="G97" s="32" t="s">
        <v>61</v>
      </c>
      <c r="H97" s="32" t="s">
        <v>238</v>
      </c>
      <c r="I97" s="33"/>
      <c r="J97" s="54" t="s">
        <v>67</v>
      </c>
      <c r="K97" s="32">
        <v>-7.0</v>
      </c>
      <c r="L97" s="32" t="s">
        <v>67</v>
      </c>
      <c r="M97" s="33">
        <v>49.5</v>
      </c>
      <c r="N97" s="55">
        <v>409.0</v>
      </c>
      <c r="O97" s="37">
        <v>166.0</v>
      </c>
      <c r="P97" s="37">
        <v>2.0</v>
      </c>
      <c r="Q97" s="37" t="b">
        <v>0</v>
      </c>
      <c r="R97" s="37">
        <v>100.0</v>
      </c>
      <c r="S97" s="47" t="s">
        <v>317</v>
      </c>
      <c r="T97" s="47" t="s">
        <v>321</v>
      </c>
      <c r="U97" s="49" t="b">
        <f>IFERROR(__xludf.DUMMYFUNCTION("iferror(if(not(iserror(find(""FINAL"",G97))),max(arrayformula(value(REGEXEXTRACT(F97,""^""&amp;C97&amp;"" ([\d]+)|[^a-zA-Z] ""&amp;C97&amp;"" ([\d]+)""))))=max(value(REGEXEXTRACT(F97,"" ([\d]+)"")),value(REGEXEXTRACT(F97,""([\d]+)$""))),""""))"),TRUE)</f>
        <v>1</v>
      </c>
    </row>
    <row r="98" hidden="1">
      <c r="A98" s="17">
        <v>117.0</v>
      </c>
      <c r="B98" s="17" t="s">
        <v>156</v>
      </c>
      <c r="C98" s="20" t="s">
        <v>174</v>
      </c>
      <c r="D98" s="21">
        <v>8.0</v>
      </c>
      <c r="E98" s="26">
        <v>4.0</v>
      </c>
      <c r="F98" s="54" t="s">
        <v>755</v>
      </c>
      <c r="G98" s="32" t="s">
        <v>61</v>
      </c>
      <c r="H98" s="32" t="s">
        <v>132</v>
      </c>
      <c r="I98" s="33"/>
      <c r="J98" s="54" t="s">
        <v>67</v>
      </c>
      <c r="K98" s="32">
        <v>-11.5</v>
      </c>
      <c r="L98" s="32" t="s">
        <v>67</v>
      </c>
      <c r="M98" s="33">
        <v>44.5</v>
      </c>
      <c r="N98" s="55">
        <v>379.0</v>
      </c>
      <c r="O98" s="37">
        <v>146.0</v>
      </c>
      <c r="P98" s="37">
        <v>2.0</v>
      </c>
      <c r="Q98" s="37" t="b">
        <v>1</v>
      </c>
      <c r="R98" s="37">
        <v>100.0</v>
      </c>
      <c r="S98" s="47" t="s">
        <v>530</v>
      </c>
      <c r="T98" s="47" t="s">
        <v>365</v>
      </c>
      <c r="U98" s="49" t="b">
        <f>IFERROR(__xludf.DUMMYFUNCTION("iferror(if(not(iserror(find(""FINAL"",G98))),max(arrayformula(value(REGEXEXTRACT(F98,""^""&amp;C98&amp;"" ([\d]+)|[^a-zA-Z] ""&amp;C98&amp;"" ([\d]+)""))))=max(value(REGEXEXTRACT(F98,"" ([\d]+)"")),value(REGEXEXTRACT(F98,""([\d]+)$""))),""""))"),TRUE)</f>
        <v>1</v>
      </c>
    </row>
    <row r="99" hidden="1">
      <c r="A99" s="17">
        <v>117.0</v>
      </c>
      <c r="B99" s="17" t="s">
        <v>156</v>
      </c>
      <c r="C99" s="20" t="s">
        <v>154</v>
      </c>
      <c r="D99" s="21">
        <v>11.0</v>
      </c>
      <c r="E99" s="26">
        <v>1.0</v>
      </c>
      <c r="F99" s="54" t="s">
        <v>757</v>
      </c>
      <c r="G99" s="32" t="s">
        <v>61</v>
      </c>
      <c r="H99" s="32" t="s">
        <v>493</v>
      </c>
      <c r="I99" s="33"/>
      <c r="J99" s="54" t="s">
        <v>67</v>
      </c>
      <c r="K99" s="32">
        <v>-19.5</v>
      </c>
      <c r="L99" s="32" t="s">
        <v>67</v>
      </c>
      <c r="M99" s="33">
        <v>65.5</v>
      </c>
      <c r="N99" s="55">
        <v>561.0</v>
      </c>
      <c r="O99" s="37">
        <v>290.0</v>
      </c>
      <c r="P99" s="37">
        <v>2.0</v>
      </c>
      <c r="Q99" s="37" t="b">
        <v>0</v>
      </c>
      <c r="R99" s="37">
        <v>100.0</v>
      </c>
      <c r="S99" s="47" t="s">
        <v>361</v>
      </c>
      <c r="T99" s="47" t="s">
        <v>365</v>
      </c>
      <c r="U99" s="49" t="b">
        <f>IFERROR(__xludf.DUMMYFUNCTION("iferror(if(not(iserror(find(""FINAL"",G99))),max(arrayformula(value(REGEXEXTRACT(F99,""^""&amp;C99&amp;"" ([\d]+)|[^a-zA-Z] ""&amp;C99&amp;"" ([\d]+)""))))=max(value(REGEXEXTRACT(F99,"" ([\d]+)"")),value(REGEXEXTRACT(F99,""([\d]+)$""))),""""))"),TRUE)</f>
        <v>1</v>
      </c>
    </row>
    <row r="100" hidden="1">
      <c r="A100" s="3">
        <v>117.0</v>
      </c>
      <c r="B100" s="3"/>
      <c r="C100" s="4"/>
      <c r="D100" s="79"/>
      <c r="E100" s="5"/>
      <c r="F100" s="80"/>
      <c r="G100" s="92"/>
      <c r="H100" s="81"/>
      <c r="I100" s="82"/>
      <c r="J100" s="80"/>
      <c r="K100" s="81"/>
      <c r="L100" s="81"/>
      <c r="M100" s="82"/>
      <c r="N100" s="4"/>
      <c r="O100" s="4"/>
      <c r="P100" s="4"/>
      <c r="Q100" s="4"/>
      <c r="R100" s="4"/>
      <c r="S100" s="83"/>
      <c r="T100" s="83"/>
      <c r="U100" s="49" t="str">
        <f>IFERROR(__xludf.DUMMYFUNCTION("iferror(if(not(iserror(find(""FINAL"",G100))),max(arrayformula(value(REGEXEXTRACT(F100,""^""&amp;C100&amp;"" ([\d]+)|[^a-zA-Z] ""&amp;C100&amp;"" ([\d]+)""))))=max(value(REGEXEXTRACT(F100,"" ([\d]+)"")),value(REGEXEXTRACT(F100,""([\d]+)$""))),""""))"),"")</f>
        <v/>
      </c>
    </row>
    <row r="101">
      <c r="A101" s="17">
        <v>119.0</v>
      </c>
      <c r="B101" s="102" t="s">
        <v>249</v>
      </c>
      <c r="C101" s="20" t="s">
        <v>159</v>
      </c>
      <c r="D101" s="21">
        <v>1.0</v>
      </c>
      <c r="E101" s="26">
        <v>11.0</v>
      </c>
      <c r="F101" s="28" t="s">
        <v>760</v>
      </c>
      <c r="G101" s="32" t="s">
        <v>61</v>
      </c>
      <c r="H101" s="28" t="s">
        <v>132</v>
      </c>
      <c r="I101" s="30"/>
      <c r="J101" s="54" t="s">
        <v>67</v>
      </c>
      <c r="K101" s="32">
        <v>30.5</v>
      </c>
      <c r="L101" s="32" t="s">
        <v>67</v>
      </c>
      <c r="M101" s="33">
        <v>52.5</v>
      </c>
      <c r="N101" s="84">
        <v>172.0</v>
      </c>
      <c r="O101" s="35">
        <v>436.0</v>
      </c>
      <c r="P101" s="37">
        <v>2.0</v>
      </c>
      <c r="Q101" s="37" t="b">
        <v>0</v>
      </c>
      <c r="R101" s="37">
        <v>100.0</v>
      </c>
      <c r="S101" s="47" t="s">
        <v>361</v>
      </c>
      <c r="T101" s="47" t="s">
        <v>365</v>
      </c>
      <c r="U101" s="49" t="b">
        <f>IFERROR(__xludf.DUMMYFUNCTION("iferror(if(not(iserror(find(""FINAL"",G101))),max(arrayformula(value(REGEXEXTRACT(F101,""^""&amp;C101&amp;"" ([\d]+)|[^a-zA-Z] ""&amp;C101&amp;"" ([\d]+)""))))=max(value(REGEXEXTRACT(F101,"" ([\d]+)"")),value(REGEXEXTRACT(F101,""([\d]+)$""))),""""))"),FALSE)</f>
        <v>0</v>
      </c>
    </row>
    <row r="102">
      <c r="A102" s="17">
        <v>119.0</v>
      </c>
      <c r="B102" s="17" t="s">
        <v>249</v>
      </c>
      <c r="C102" s="20" t="s">
        <v>112</v>
      </c>
      <c r="D102" s="21">
        <v>7.0</v>
      </c>
      <c r="E102" s="26">
        <v>5.0</v>
      </c>
      <c r="F102" s="85" t="s">
        <v>762</v>
      </c>
      <c r="G102" s="32" t="s">
        <v>61</v>
      </c>
      <c r="H102" s="32" t="s">
        <v>493</v>
      </c>
      <c r="I102" s="33"/>
      <c r="J102" s="54" t="s">
        <v>67</v>
      </c>
      <c r="K102" s="32">
        <v>-1.5</v>
      </c>
      <c r="L102" s="32" t="s">
        <v>67</v>
      </c>
      <c r="M102" s="33">
        <v>53.5</v>
      </c>
      <c r="N102" s="55">
        <v>415.0</v>
      </c>
      <c r="O102" s="37">
        <v>353.0</v>
      </c>
      <c r="P102" s="37">
        <v>2.0</v>
      </c>
      <c r="Q102" s="37" t="b">
        <v>1</v>
      </c>
      <c r="R102" s="37">
        <v>100.0</v>
      </c>
      <c r="S102" s="47" t="s">
        <v>317</v>
      </c>
      <c r="T102" s="47" t="s">
        <v>321</v>
      </c>
      <c r="U102" s="49" t="b">
        <f>IFERROR(__xludf.DUMMYFUNCTION("iferror(if(not(iserror(find(""FINAL"",G102))),max(arrayformula(value(REGEXEXTRACT(F102,""^""&amp;C102&amp;"" ([\d]+)|[^a-zA-Z] ""&amp;C102&amp;"" ([\d]+)""))))=max(value(REGEXEXTRACT(F102,"" ([\d]+)"")),value(REGEXEXTRACT(F102,""([\d]+)$""))),""""))"),TRUE)</f>
        <v>1</v>
      </c>
    </row>
    <row r="103">
      <c r="A103" s="17">
        <v>119.0</v>
      </c>
      <c r="B103" s="17" t="s">
        <v>249</v>
      </c>
      <c r="C103" s="20" t="s">
        <v>151</v>
      </c>
      <c r="D103" s="21">
        <v>7.0</v>
      </c>
      <c r="E103" s="26">
        <v>5.0</v>
      </c>
      <c r="F103" s="54" t="s">
        <v>683</v>
      </c>
      <c r="G103" s="32" t="s">
        <v>61</v>
      </c>
      <c r="H103" s="32" t="s">
        <v>193</v>
      </c>
      <c r="I103" s="33"/>
      <c r="J103" s="54" t="s">
        <v>67</v>
      </c>
      <c r="K103" s="32">
        <v>1.5</v>
      </c>
      <c r="L103" s="32" t="s">
        <v>67</v>
      </c>
      <c r="M103" s="33">
        <v>47.5</v>
      </c>
      <c r="N103" s="55">
        <v>332.0</v>
      </c>
      <c r="O103" s="37">
        <v>256.0</v>
      </c>
      <c r="P103" s="37">
        <v>2.0</v>
      </c>
      <c r="Q103" s="37" t="b">
        <v>0</v>
      </c>
      <c r="R103" s="37">
        <v>100.0</v>
      </c>
      <c r="S103" s="47" t="s">
        <v>535</v>
      </c>
      <c r="T103" s="47" t="s">
        <v>365</v>
      </c>
      <c r="U103" s="49" t="b">
        <f>IFERROR(__xludf.DUMMYFUNCTION("iferror(if(not(iserror(find(""FINAL"",G103))),max(arrayformula(value(REGEXEXTRACT(F103,""^""&amp;C103&amp;"" ([\d]+)|[^a-zA-Z] ""&amp;C103&amp;"" ([\d]+)""))))=max(value(REGEXEXTRACT(F103,"" ([\d]+)"")),value(REGEXEXTRACT(F103,""([\d]+)$""))),""""))"),TRUE)</f>
        <v>1</v>
      </c>
    </row>
    <row r="104">
      <c r="A104" s="17">
        <v>119.0</v>
      </c>
      <c r="B104" s="17" t="s">
        <v>249</v>
      </c>
      <c r="C104" s="20" t="s">
        <v>217</v>
      </c>
      <c r="D104" s="21">
        <v>1.0</v>
      </c>
      <c r="E104" s="26">
        <v>11.0</v>
      </c>
      <c r="F104" s="54" t="s">
        <v>649</v>
      </c>
      <c r="G104" s="32" t="s">
        <v>61</v>
      </c>
      <c r="H104" s="32" t="s">
        <v>62</v>
      </c>
      <c r="I104" s="33"/>
      <c r="J104" s="54" t="s">
        <v>67</v>
      </c>
      <c r="K104" s="32">
        <v>27.5</v>
      </c>
      <c r="L104" s="32" t="s">
        <v>67</v>
      </c>
      <c r="M104" s="33">
        <v>58.5</v>
      </c>
      <c r="N104" s="55">
        <v>237.0</v>
      </c>
      <c r="O104" s="37">
        <v>454.0</v>
      </c>
      <c r="P104" s="37">
        <v>2.0</v>
      </c>
      <c r="Q104" s="37" t="b">
        <v>0</v>
      </c>
      <c r="R104" s="37">
        <v>100.0</v>
      </c>
      <c r="S104" s="47" t="s">
        <v>441</v>
      </c>
      <c r="T104" s="47" t="s">
        <v>365</v>
      </c>
      <c r="U104" s="49" t="b">
        <f>IFERROR(__xludf.DUMMYFUNCTION("iferror(if(not(iserror(find(""FINAL"",G104))),max(arrayformula(value(REGEXEXTRACT(F104,""^""&amp;C104&amp;"" ([\d]+)|[^a-zA-Z] ""&amp;C104&amp;"" ([\d]+)""))))=max(value(REGEXEXTRACT(F104,"" ([\d]+)"")),value(REGEXEXTRACT(F104,""([\d]+)$""))),""""))"),FALSE)</f>
        <v>0</v>
      </c>
    </row>
    <row r="105">
      <c r="A105" s="17">
        <v>119.0</v>
      </c>
      <c r="B105" s="17" t="s">
        <v>249</v>
      </c>
      <c r="C105" s="20" t="s">
        <v>111</v>
      </c>
      <c r="D105" s="21">
        <v>7.0</v>
      </c>
      <c r="E105" s="26">
        <v>5.0</v>
      </c>
      <c r="F105" s="54" t="s">
        <v>765</v>
      </c>
      <c r="G105" s="32" t="s">
        <v>61</v>
      </c>
      <c r="H105" s="32" t="s">
        <v>132</v>
      </c>
      <c r="I105" s="33"/>
      <c r="J105" s="54" t="s">
        <v>67</v>
      </c>
      <c r="K105" s="32">
        <v>3.0</v>
      </c>
      <c r="L105" s="32" t="s">
        <v>67</v>
      </c>
      <c r="M105" s="33">
        <v>46.5</v>
      </c>
      <c r="N105" s="55">
        <v>344.0</v>
      </c>
      <c r="O105" s="37">
        <v>245.0</v>
      </c>
      <c r="P105" s="37">
        <v>2.0</v>
      </c>
      <c r="Q105" s="37" t="b">
        <v>1</v>
      </c>
      <c r="R105" s="37">
        <v>100.0</v>
      </c>
      <c r="S105" s="47" t="s">
        <v>317</v>
      </c>
      <c r="T105" s="47" t="s">
        <v>321</v>
      </c>
      <c r="U105" s="49" t="b">
        <f>IFERROR(__xludf.DUMMYFUNCTION("iferror(if(not(iserror(find(""FINAL"",G105))),max(arrayformula(value(REGEXEXTRACT(F105,""^""&amp;C105&amp;"" ([\d]+)|[^a-zA-Z] ""&amp;C105&amp;"" ([\d]+)""))))=max(value(REGEXEXTRACT(F105,"" ([\d]+)"")),value(REGEXEXTRACT(F105,""([\d]+)$""))),""""))"),TRUE)</f>
        <v>1</v>
      </c>
    </row>
    <row r="106">
      <c r="A106" s="17">
        <v>119.0</v>
      </c>
      <c r="B106" s="17" t="s">
        <v>249</v>
      </c>
      <c r="C106" s="20" t="s">
        <v>124</v>
      </c>
      <c r="D106" s="21">
        <v>5.0</v>
      </c>
      <c r="E106" s="26">
        <v>7.0</v>
      </c>
      <c r="F106" s="54" t="s">
        <v>766</v>
      </c>
      <c r="G106" s="32" t="s">
        <v>61</v>
      </c>
      <c r="H106" s="32" t="s">
        <v>395</v>
      </c>
      <c r="I106" s="33"/>
      <c r="J106" s="54" t="s">
        <v>67</v>
      </c>
      <c r="K106" s="32">
        <v>-2.5</v>
      </c>
      <c r="L106" s="32" t="s">
        <v>67</v>
      </c>
      <c r="M106" s="33">
        <v>58.5</v>
      </c>
      <c r="N106" s="55">
        <v>373.0</v>
      </c>
      <c r="O106" s="37">
        <v>391.0</v>
      </c>
      <c r="P106" s="37">
        <v>2.0</v>
      </c>
      <c r="Q106" s="37" t="b">
        <v>1</v>
      </c>
      <c r="R106" s="37">
        <v>100.0</v>
      </c>
      <c r="S106" s="47" t="s">
        <v>471</v>
      </c>
      <c r="T106" s="47" t="s">
        <v>321</v>
      </c>
      <c r="U106" s="49" t="b">
        <f>IFERROR(__xludf.DUMMYFUNCTION("iferror(if(not(iserror(find(""FINAL"",G106))),max(arrayformula(value(REGEXEXTRACT(F106,""^""&amp;C106&amp;"" ([\d]+)|[^a-zA-Z] ""&amp;C106&amp;"" ([\d]+)""))))=max(value(REGEXEXTRACT(F106,"" ([\d]+)"")),value(REGEXEXTRACT(F106,""([\d]+)$""))),""""))"),FALSE)</f>
        <v>0</v>
      </c>
    </row>
    <row r="107">
      <c r="A107" s="17">
        <v>119.0</v>
      </c>
      <c r="B107" s="17" t="s">
        <v>249</v>
      </c>
      <c r="C107" s="20" t="s">
        <v>209</v>
      </c>
      <c r="D107" s="21">
        <v>11.0</v>
      </c>
      <c r="E107" s="26">
        <v>1.0</v>
      </c>
      <c r="F107" s="54" t="s">
        <v>767</v>
      </c>
      <c r="G107" s="32" t="s">
        <v>61</v>
      </c>
      <c r="H107" s="32" t="s">
        <v>493</v>
      </c>
      <c r="I107" s="33"/>
      <c r="J107" s="54" t="s">
        <v>67</v>
      </c>
      <c r="K107" s="32">
        <v>-7.5</v>
      </c>
      <c r="L107" s="32" t="s">
        <v>67</v>
      </c>
      <c r="M107" s="33">
        <v>62.5</v>
      </c>
      <c r="N107" s="55">
        <v>447.0</v>
      </c>
      <c r="O107" s="37">
        <v>241.0</v>
      </c>
      <c r="P107" s="37">
        <v>2.0</v>
      </c>
      <c r="Q107" s="37" t="b">
        <v>0</v>
      </c>
      <c r="R107" s="37">
        <v>100.0</v>
      </c>
      <c r="S107" s="47" t="s">
        <v>556</v>
      </c>
      <c r="T107" s="47" t="s">
        <v>321</v>
      </c>
      <c r="U107" s="49" t="b">
        <f>IFERROR(__xludf.DUMMYFUNCTION("iferror(if(not(iserror(find(""FINAL"",G107))),max(arrayformula(value(REGEXEXTRACT(F107,""^""&amp;C107&amp;"" ([\d]+)|[^a-zA-Z] ""&amp;C107&amp;"" ([\d]+)""))))=max(value(REGEXEXTRACT(F107,"" ([\d]+)"")),value(REGEXEXTRACT(F107,""([\d]+)$""))),""""))"),TRUE)</f>
        <v>1</v>
      </c>
    </row>
    <row r="108">
      <c r="A108" s="17">
        <v>119.0</v>
      </c>
      <c r="B108" s="17" t="s">
        <v>249</v>
      </c>
      <c r="C108" s="20" t="s">
        <v>167</v>
      </c>
      <c r="D108" s="21">
        <v>5.0</v>
      </c>
      <c r="E108" s="26">
        <v>7.0</v>
      </c>
      <c r="F108" s="54" t="s">
        <v>731</v>
      </c>
      <c r="G108" s="32" t="s">
        <v>61</v>
      </c>
      <c r="H108" s="32" t="s">
        <v>96</v>
      </c>
      <c r="I108" s="33"/>
      <c r="J108" s="54" t="s">
        <v>67</v>
      </c>
      <c r="K108" s="32">
        <v>7.0</v>
      </c>
      <c r="L108" s="32" t="s">
        <v>67</v>
      </c>
      <c r="M108" s="33">
        <v>45.5</v>
      </c>
      <c r="N108" s="55">
        <v>288.0</v>
      </c>
      <c r="O108" s="37">
        <v>282.0</v>
      </c>
      <c r="P108" s="37">
        <v>2.0</v>
      </c>
      <c r="Q108" s="37" t="b">
        <v>0</v>
      </c>
      <c r="R108" s="37">
        <v>100.0</v>
      </c>
      <c r="S108" s="47" t="s">
        <v>530</v>
      </c>
      <c r="T108" s="47" t="s">
        <v>365</v>
      </c>
      <c r="U108" s="49" t="b">
        <f>IFERROR(__xludf.DUMMYFUNCTION("iferror(if(not(iserror(find(""FINAL"",G108))),max(arrayformula(value(REGEXEXTRACT(F108,""^""&amp;C108&amp;"" ([\d]+)|[^a-zA-Z] ""&amp;C108&amp;"" ([\d]+)""))))=max(value(REGEXEXTRACT(F108,"" ([\d]+)"")),value(REGEXEXTRACT(F108,""([\d]+)$""))),""""))"),FALSE)</f>
        <v>0</v>
      </c>
    </row>
    <row r="109">
      <c r="A109" s="17">
        <v>119.0</v>
      </c>
      <c r="B109" s="17" t="s">
        <v>249</v>
      </c>
      <c r="C109" s="20" t="s">
        <v>137</v>
      </c>
      <c r="D109" s="21">
        <v>8.0</v>
      </c>
      <c r="E109" s="26">
        <v>4.0</v>
      </c>
      <c r="F109" s="54" t="s">
        <v>732</v>
      </c>
      <c r="G109" s="32" t="s">
        <v>61</v>
      </c>
      <c r="H109" s="32" t="s">
        <v>96</v>
      </c>
      <c r="I109" s="33"/>
      <c r="J109" s="54" t="s">
        <v>67</v>
      </c>
      <c r="K109" s="32">
        <v>-6.5</v>
      </c>
      <c r="L109" s="32" t="s">
        <v>67</v>
      </c>
      <c r="M109" s="33">
        <v>39.5</v>
      </c>
      <c r="N109" s="55">
        <v>347.0</v>
      </c>
      <c r="O109" s="37">
        <v>182.0</v>
      </c>
      <c r="P109" s="37">
        <v>2.0</v>
      </c>
      <c r="Q109" s="37" t="b">
        <v>0</v>
      </c>
      <c r="R109" s="37">
        <v>100.0</v>
      </c>
      <c r="S109" s="47" t="s">
        <v>407</v>
      </c>
      <c r="T109" s="47" t="s">
        <v>321</v>
      </c>
      <c r="U109" s="49" t="b">
        <f>IFERROR(__xludf.DUMMYFUNCTION("iferror(if(not(iserror(find(""FINAL"",G109))),max(arrayformula(value(REGEXEXTRACT(F109,""^""&amp;C109&amp;"" ([\d]+)|[^a-zA-Z] ""&amp;C109&amp;"" ([\d]+)""))))=max(value(REGEXEXTRACT(F109,"" ([\d]+)"")),value(REGEXEXTRACT(F109,""([\d]+)$""))),""""))"),TRUE)</f>
        <v>1</v>
      </c>
    </row>
    <row r="110">
      <c r="A110" s="17">
        <v>119.0</v>
      </c>
      <c r="B110" s="17" t="s">
        <v>249</v>
      </c>
      <c r="C110" s="20" t="s">
        <v>183</v>
      </c>
      <c r="D110" s="21">
        <v>9.0</v>
      </c>
      <c r="E110" s="26">
        <v>3.0</v>
      </c>
      <c r="F110" s="54" t="s">
        <v>688</v>
      </c>
      <c r="G110" s="32" t="s">
        <v>597</v>
      </c>
      <c r="H110" s="32" t="s">
        <v>193</v>
      </c>
      <c r="I110" s="33"/>
      <c r="J110" s="54" t="s">
        <v>67</v>
      </c>
      <c r="K110" s="32">
        <v>-1.5</v>
      </c>
      <c r="L110" s="32" t="s">
        <v>67</v>
      </c>
      <c r="M110" s="33">
        <v>41.5</v>
      </c>
      <c r="N110" s="55">
        <v>296.0</v>
      </c>
      <c r="O110" s="37">
        <v>151.0</v>
      </c>
      <c r="P110" s="37">
        <v>2.0</v>
      </c>
      <c r="Q110" s="37" t="b">
        <v>0</v>
      </c>
      <c r="R110" s="37">
        <v>100.0</v>
      </c>
      <c r="S110" s="47" t="s">
        <v>525</v>
      </c>
      <c r="T110" s="47" t="s">
        <v>365</v>
      </c>
      <c r="U110" s="49" t="b">
        <f>IFERROR(__xludf.DUMMYFUNCTION("iferror(if(not(iserror(find(""FINAL"",G110))),max(arrayformula(value(REGEXEXTRACT(F110,""^""&amp;C110&amp;"" ([\d]+)|[^a-zA-Z] ""&amp;C110&amp;"" ([\d]+)""))))=max(value(REGEXEXTRACT(F110,"" ([\d]+)"")),value(REGEXEXTRACT(F110,""([\d]+)$""))),""""))"),FALSE)</f>
        <v>0</v>
      </c>
    </row>
    <row r="111" hidden="1">
      <c r="A111" s="3">
        <v>120.0</v>
      </c>
      <c r="B111" s="3"/>
      <c r="C111" s="4"/>
      <c r="D111" s="79"/>
      <c r="E111" s="5"/>
      <c r="F111" s="80"/>
      <c r="G111" s="81"/>
      <c r="H111" s="81"/>
      <c r="I111" s="82"/>
      <c r="J111" s="80"/>
      <c r="K111" s="81"/>
      <c r="L111" s="81"/>
      <c r="M111" s="82"/>
      <c r="N111" s="4"/>
      <c r="O111" s="4"/>
      <c r="P111" s="4"/>
      <c r="Q111" s="4"/>
      <c r="R111" s="4"/>
      <c r="S111" s="83"/>
      <c r="T111" s="83"/>
      <c r="U111" s="49" t="str">
        <f>IFERROR(__xludf.DUMMYFUNCTION("iferror(if(not(iserror(find(""FINAL"",G111))),max(arrayformula(value(REGEXEXTRACT(F111,""^""&amp;C111&amp;"" ([\d]+)|[^a-zA-Z] ""&amp;C111&amp;"" ([\d]+)""))))=max(value(REGEXEXTRACT(F111,"" ([\d]+)"")),value(REGEXEXTRACT(F111,""([\d]+)$""))),""""))"),"")</f>
        <v/>
      </c>
    </row>
    <row r="112" hidden="1">
      <c r="A112" s="17">
        <v>121.0</v>
      </c>
      <c r="B112" s="102" t="s">
        <v>395</v>
      </c>
      <c r="C112" s="20" t="s">
        <v>99</v>
      </c>
      <c r="D112" s="21">
        <v>9.0</v>
      </c>
      <c r="E112" s="26">
        <v>3.0</v>
      </c>
      <c r="F112" s="28"/>
      <c r="G112" s="32"/>
      <c r="H112" s="28"/>
      <c r="I112" s="30"/>
      <c r="J112" s="54"/>
      <c r="K112" s="32"/>
      <c r="L112" s="32"/>
      <c r="M112" s="33"/>
      <c r="N112" s="84">
        <v>443.0</v>
      </c>
      <c r="O112" s="35">
        <v>310.0</v>
      </c>
      <c r="P112" s="37">
        <v>0.0</v>
      </c>
      <c r="Q112" s="37" t="b">
        <v>1</v>
      </c>
      <c r="R112" s="37">
        <v>59.0</v>
      </c>
      <c r="S112" s="47" t="s">
        <v>725</v>
      </c>
      <c r="T112" s="47"/>
      <c r="U112" s="49" t="str">
        <f>IFERROR(__xludf.DUMMYFUNCTION("iferror(if(not(iserror(find(""FINAL"",G112))),max(arrayformula(value(REGEXEXTRACT(F112,""^""&amp;C112&amp;"" ([\d]+)|[^a-zA-Z] ""&amp;C112&amp;"" ([\d]+)""))))=max(value(REGEXEXTRACT(F112,"" ([\d]+)"")),value(REGEXEXTRACT(F112,""([\d]+)$""))),""""))"),"")</f>
        <v/>
      </c>
    </row>
    <row r="113" hidden="1">
      <c r="A113" s="17">
        <v>121.0</v>
      </c>
      <c r="B113" s="17" t="s">
        <v>395</v>
      </c>
      <c r="C113" s="20" t="s">
        <v>179</v>
      </c>
      <c r="D113" s="21">
        <v>8.0</v>
      </c>
      <c r="E113" s="26">
        <v>4.0</v>
      </c>
      <c r="F113" s="85" t="s">
        <v>735</v>
      </c>
      <c r="G113" s="32" t="s">
        <v>61</v>
      </c>
      <c r="H113" s="32" t="s">
        <v>238</v>
      </c>
      <c r="I113" s="33"/>
      <c r="J113" s="54" t="s">
        <v>67</v>
      </c>
      <c r="K113" s="32">
        <v>-3.5</v>
      </c>
      <c r="L113" s="32" t="s">
        <v>67</v>
      </c>
      <c r="M113" s="33">
        <v>45.5</v>
      </c>
      <c r="N113" s="55">
        <v>317.0</v>
      </c>
      <c r="O113" s="37">
        <v>241.0</v>
      </c>
      <c r="P113" s="37">
        <v>2.0</v>
      </c>
      <c r="Q113" s="37" t="b">
        <v>1</v>
      </c>
      <c r="R113" s="37">
        <v>100.0</v>
      </c>
      <c r="S113" s="47" t="s">
        <v>525</v>
      </c>
      <c r="T113" s="47" t="s">
        <v>365</v>
      </c>
      <c r="U113" s="49" t="b">
        <f>IFERROR(__xludf.DUMMYFUNCTION("iferror(if(not(iserror(find(""FINAL"",G113))),max(arrayformula(value(REGEXEXTRACT(F113,""^""&amp;C113&amp;"" ([\d]+)|[^a-zA-Z] ""&amp;C113&amp;"" ([\d]+)""))))=max(value(REGEXEXTRACT(F113,"" ([\d]+)"")),value(REGEXEXTRACT(F113,""([\d]+)$""))),""""))"),TRUE)</f>
        <v>1</v>
      </c>
    </row>
    <row r="114" hidden="1">
      <c r="A114" s="17">
        <v>121.0</v>
      </c>
      <c r="B114" s="17" t="s">
        <v>395</v>
      </c>
      <c r="C114" s="20" t="s">
        <v>231</v>
      </c>
      <c r="D114" s="21">
        <v>11.0</v>
      </c>
      <c r="E114" s="26">
        <v>1.0</v>
      </c>
      <c r="F114" s="54" t="s">
        <v>748</v>
      </c>
      <c r="G114" s="32" t="s">
        <v>61</v>
      </c>
      <c r="H114" s="32" t="s">
        <v>156</v>
      </c>
      <c r="I114" s="33"/>
      <c r="J114" s="54" t="s">
        <v>67</v>
      </c>
      <c r="K114" s="32">
        <v>-21.5</v>
      </c>
      <c r="L114" s="32" t="s">
        <v>67</v>
      </c>
      <c r="M114" s="33">
        <v>53.5</v>
      </c>
      <c r="N114" s="55">
        <v>454.0</v>
      </c>
      <c r="O114" s="37">
        <v>192.0</v>
      </c>
      <c r="P114" s="37">
        <v>2.0</v>
      </c>
      <c r="Q114" s="37" t="b">
        <v>1</v>
      </c>
      <c r="R114" s="37">
        <v>100.0</v>
      </c>
      <c r="S114" s="47" t="s">
        <v>441</v>
      </c>
      <c r="T114" s="47" t="s">
        <v>365</v>
      </c>
      <c r="U114" s="49" t="b">
        <f>IFERROR(__xludf.DUMMYFUNCTION("iferror(if(not(iserror(find(""FINAL"",G114))),max(arrayformula(value(REGEXEXTRACT(F114,""^""&amp;C114&amp;"" ([\d]+)|[^a-zA-Z] ""&amp;C114&amp;"" ([\d]+)""))))=max(value(REGEXEXTRACT(F114,"" ([\d]+)"")),value(REGEXEXTRACT(F114,""([\d]+)$""))),""""))"),TRUE)</f>
        <v>1</v>
      </c>
    </row>
    <row r="115" hidden="1">
      <c r="A115" s="17">
        <v>121.0</v>
      </c>
      <c r="B115" s="17" t="s">
        <v>395</v>
      </c>
      <c r="C115" s="20" t="s">
        <v>213</v>
      </c>
      <c r="D115" s="21">
        <v>10.0</v>
      </c>
      <c r="E115" s="26">
        <v>2.0</v>
      </c>
      <c r="F115" s="54" t="s">
        <v>681</v>
      </c>
      <c r="G115" s="32" t="s">
        <v>61</v>
      </c>
      <c r="H115" s="32" t="s">
        <v>193</v>
      </c>
      <c r="I115" s="33"/>
      <c r="J115" s="54" t="s">
        <v>67</v>
      </c>
      <c r="K115" s="32">
        <v>3.0</v>
      </c>
      <c r="L115" s="32" t="s">
        <v>67</v>
      </c>
      <c r="M115" s="32">
        <v>65.5</v>
      </c>
      <c r="N115" s="55">
        <v>473.0</v>
      </c>
      <c r="O115" s="37">
        <v>263.0</v>
      </c>
      <c r="P115" s="37">
        <v>2.0</v>
      </c>
      <c r="Q115" s="37" t="b">
        <v>0</v>
      </c>
      <c r="R115" s="37">
        <v>100.0</v>
      </c>
      <c r="S115" s="47" t="s">
        <v>556</v>
      </c>
      <c r="T115" s="47" t="s">
        <v>321</v>
      </c>
      <c r="U115" s="49" t="b">
        <f>IFERROR(__xludf.DUMMYFUNCTION("iferror(if(not(iserror(find(""FINAL"",G115))),max(arrayformula(value(REGEXEXTRACT(F115,""^""&amp;C115&amp;"" ([\d]+)|[^a-zA-Z] ""&amp;C115&amp;"" ([\d]+)""))))=max(value(REGEXEXTRACT(F115,"" ([\d]+)"")),value(REGEXEXTRACT(F115,""([\d]+)$""))),""""))"),TRUE)</f>
        <v>1</v>
      </c>
    </row>
    <row r="116" hidden="1">
      <c r="A116" s="17">
        <v>121.0</v>
      </c>
      <c r="B116" s="17" t="s">
        <v>395</v>
      </c>
      <c r="C116" s="20" t="s">
        <v>225</v>
      </c>
      <c r="D116" s="21">
        <v>6.0</v>
      </c>
      <c r="E116" s="26">
        <v>5.0</v>
      </c>
      <c r="F116" s="54" t="s">
        <v>695</v>
      </c>
      <c r="G116" s="32" t="s">
        <v>61</v>
      </c>
      <c r="H116" s="32" t="s">
        <v>311</v>
      </c>
      <c r="I116" s="33"/>
      <c r="J116" s="54" t="s">
        <v>67</v>
      </c>
      <c r="K116" s="32">
        <v>7.5</v>
      </c>
      <c r="L116" s="32" t="s">
        <v>67</v>
      </c>
      <c r="M116" s="33">
        <v>51.5</v>
      </c>
      <c r="N116" s="55">
        <v>253.0</v>
      </c>
      <c r="O116" s="37">
        <v>248.0</v>
      </c>
      <c r="P116" s="37">
        <v>2.0</v>
      </c>
      <c r="Q116" s="37" t="b">
        <v>1</v>
      </c>
      <c r="R116" s="37">
        <v>100.0</v>
      </c>
      <c r="S116" s="47" t="s">
        <v>361</v>
      </c>
      <c r="T116" s="47" t="s">
        <v>365</v>
      </c>
      <c r="U116" s="49" t="b">
        <f>IFERROR(__xludf.DUMMYFUNCTION("iferror(if(not(iserror(find(""FINAL"",G116))),max(arrayformula(value(REGEXEXTRACT(F116,""^""&amp;C116&amp;"" ([\d]+)|[^a-zA-Z] ""&amp;C116&amp;"" ([\d]+)""))))=max(value(REGEXEXTRACT(F116,"" ([\d]+)"")),value(REGEXEXTRACT(F116,""([\d]+)$""))),""""))"),TRUE)</f>
        <v>1</v>
      </c>
    </row>
    <row r="117" hidden="1">
      <c r="A117" s="17">
        <v>121.0</v>
      </c>
      <c r="B117" s="17" t="s">
        <v>395</v>
      </c>
      <c r="C117" s="20" t="s">
        <v>147</v>
      </c>
      <c r="D117" s="21">
        <v>5.0</v>
      </c>
      <c r="E117" s="26">
        <v>7.0</v>
      </c>
      <c r="F117" s="54" t="s">
        <v>392</v>
      </c>
      <c r="G117" s="32" t="s">
        <v>61</v>
      </c>
      <c r="H117" s="32" t="s">
        <v>43</v>
      </c>
      <c r="I117" s="33"/>
      <c r="J117" s="54" t="s">
        <v>67</v>
      </c>
      <c r="K117" s="32">
        <v>14.0</v>
      </c>
      <c r="L117" s="32" t="s">
        <v>67</v>
      </c>
      <c r="M117" s="33">
        <v>55.5</v>
      </c>
      <c r="N117" s="55">
        <v>344.0</v>
      </c>
      <c r="O117" s="37">
        <v>382.0</v>
      </c>
      <c r="P117" s="37">
        <v>2.0</v>
      </c>
      <c r="Q117" s="37" t="b">
        <v>0</v>
      </c>
      <c r="R117" s="37">
        <v>100.0</v>
      </c>
      <c r="S117" s="47" t="s">
        <v>407</v>
      </c>
      <c r="T117" s="47" t="s">
        <v>321</v>
      </c>
      <c r="U117" s="49" t="b">
        <f>IFERROR(__xludf.DUMMYFUNCTION("iferror(if(not(iserror(find(""FINAL"",G117))),max(arrayformula(value(REGEXEXTRACT(F117,""^""&amp;C117&amp;"" ([\d]+)|[^a-zA-Z] ""&amp;C117&amp;"" ([\d]+)""))))=max(value(REGEXEXTRACT(F117,"" ([\d]+)"")),value(REGEXEXTRACT(F117,""([\d]+)$""))),""""))"),FALSE)</f>
        <v>0</v>
      </c>
    </row>
    <row r="118" hidden="1">
      <c r="A118" s="17">
        <v>121.0</v>
      </c>
      <c r="B118" s="17" t="s">
        <v>395</v>
      </c>
      <c r="C118" s="20" t="s">
        <v>162</v>
      </c>
      <c r="D118" s="21">
        <v>8.0</v>
      </c>
      <c r="E118" s="26">
        <v>4.0</v>
      </c>
      <c r="F118" s="54" t="s">
        <v>752</v>
      </c>
      <c r="G118" s="32" t="s">
        <v>61</v>
      </c>
      <c r="H118" s="32" t="s">
        <v>156</v>
      </c>
      <c r="I118" s="33"/>
      <c r="J118" s="54" t="s">
        <v>67</v>
      </c>
      <c r="K118" s="32">
        <v>-2.5</v>
      </c>
      <c r="L118" s="32" t="s">
        <v>67</v>
      </c>
      <c r="M118" s="33">
        <v>55.5</v>
      </c>
      <c r="N118" s="55">
        <v>357.0</v>
      </c>
      <c r="O118" s="37">
        <v>281.0</v>
      </c>
      <c r="P118" s="37">
        <v>2.0</v>
      </c>
      <c r="Q118" s="37" t="b">
        <v>0</v>
      </c>
      <c r="R118" s="37">
        <v>100.0</v>
      </c>
      <c r="S118" s="47" t="s">
        <v>535</v>
      </c>
      <c r="T118" s="47" t="s">
        <v>365</v>
      </c>
      <c r="U118" s="49" t="b">
        <f>IFERROR(__xludf.DUMMYFUNCTION("iferror(if(not(iserror(find(""FINAL"",G118))),max(arrayformula(value(REGEXEXTRACT(F118,""^""&amp;C118&amp;"" ([\d]+)|[^a-zA-Z] ""&amp;C118&amp;"" ([\d]+)""))))=max(value(REGEXEXTRACT(F118,"" ([\d]+)"")),value(REGEXEXTRACT(F118,""([\d]+)$""))),""""))"),FALSE)</f>
        <v>0</v>
      </c>
    </row>
    <row r="119" hidden="1">
      <c r="A119" s="17">
        <v>121.0</v>
      </c>
      <c r="B119" s="17" t="s">
        <v>395</v>
      </c>
      <c r="C119" s="20" t="s">
        <v>101</v>
      </c>
      <c r="D119" s="21">
        <v>9.0</v>
      </c>
      <c r="E119" s="26">
        <v>3.0</v>
      </c>
      <c r="F119" s="54" t="s">
        <v>766</v>
      </c>
      <c r="G119" s="32" t="s">
        <v>61</v>
      </c>
      <c r="H119" s="32" t="s">
        <v>249</v>
      </c>
      <c r="I119" s="33"/>
      <c r="J119" s="54" t="s">
        <v>67</v>
      </c>
      <c r="K119" s="32">
        <v>2.5</v>
      </c>
      <c r="L119" s="32" t="s">
        <v>67</v>
      </c>
      <c r="M119" s="33">
        <v>58.5</v>
      </c>
      <c r="N119" s="55">
        <v>340.0</v>
      </c>
      <c r="O119" s="37">
        <v>262.0</v>
      </c>
      <c r="P119" s="37">
        <v>2.0</v>
      </c>
      <c r="Q119" s="37" t="b">
        <v>0</v>
      </c>
      <c r="R119" s="37">
        <v>100.0</v>
      </c>
      <c r="S119" s="47" t="s">
        <v>471</v>
      </c>
      <c r="T119" s="47" t="s">
        <v>321</v>
      </c>
      <c r="U119" s="49" t="b">
        <f>IFERROR(__xludf.DUMMYFUNCTION("iferror(if(not(iserror(find(""FINAL"",G119))),max(arrayformula(value(REGEXEXTRACT(F119,""^""&amp;C119&amp;"" ([\d]+)|[^a-zA-Z] ""&amp;C119&amp;"" ([\d]+)""))))=max(value(REGEXEXTRACT(F119,"" ([\d]+)"")),value(REGEXEXTRACT(F119,""([\d]+)$""))),""""))"),TRUE)</f>
        <v>1</v>
      </c>
    </row>
    <row r="120" hidden="1">
      <c r="A120" s="17">
        <v>121.0</v>
      </c>
      <c r="B120" s="17" t="s">
        <v>395</v>
      </c>
      <c r="C120" s="20" t="s">
        <v>114</v>
      </c>
      <c r="D120" s="21">
        <v>9.0</v>
      </c>
      <c r="E120" s="26">
        <v>3.0</v>
      </c>
      <c r="F120" s="54" t="s">
        <v>730</v>
      </c>
      <c r="G120" s="32" t="s">
        <v>61</v>
      </c>
      <c r="H120" s="32" t="s">
        <v>96</v>
      </c>
      <c r="I120" s="33"/>
      <c r="J120" s="54" t="s">
        <v>67</v>
      </c>
      <c r="K120" s="32">
        <v>14.0</v>
      </c>
      <c r="L120" s="32" t="s">
        <v>67</v>
      </c>
      <c r="M120" s="33">
        <v>59.5</v>
      </c>
      <c r="N120" s="55">
        <v>397.0</v>
      </c>
      <c r="O120" s="37">
        <v>300.0</v>
      </c>
      <c r="P120" s="37">
        <v>2.0</v>
      </c>
      <c r="Q120" s="37" t="b">
        <v>1</v>
      </c>
      <c r="R120" s="37">
        <v>100.0</v>
      </c>
      <c r="S120" s="47" t="s">
        <v>317</v>
      </c>
      <c r="T120" s="47" t="s">
        <v>321</v>
      </c>
      <c r="U120" s="49" t="b">
        <f>IFERROR(__xludf.DUMMYFUNCTION("iferror(if(not(iserror(find(""FINAL"",G120))),max(arrayformula(value(REGEXEXTRACT(F120,""^""&amp;C120&amp;"" ([\d]+)|[^a-zA-Z] ""&amp;C120&amp;"" ([\d]+)""))))=max(value(REGEXEXTRACT(F120,"" ([\d]+)"")),value(REGEXEXTRACT(F120,""([\d]+)$""))),""""))"),FALSE)</f>
        <v>0</v>
      </c>
    </row>
    <row r="121" hidden="1">
      <c r="A121" s="17">
        <v>121.0</v>
      </c>
      <c r="B121" s="17" t="s">
        <v>395</v>
      </c>
      <c r="C121" s="20" t="s">
        <v>175</v>
      </c>
      <c r="D121" s="21">
        <v>8.0</v>
      </c>
      <c r="E121" s="26">
        <v>4.0</v>
      </c>
      <c r="F121" s="54" t="s">
        <v>666</v>
      </c>
      <c r="G121" s="32" t="s">
        <v>61</v>
      </c>
      <c r="H121" s="32" t="s">
        <v>62</v>
      </c>
      <c r="I121" s="33"/>
      <c r="J121" s="54" t="s">
        <v>67</v>
      </c>
      <c r="K121" s="32">
        <v>-7.5</v>
      </c>
      <c r="L121" s="32" t="s">
        <v>67</v>
      </c>
      <c r="M121" s="33">
        <v>46.5</v>
      </c>
      <c r="N121" s="55">
        <v>284.0</v>
      </c>
      <c r="O121" s="37">
        <v>224.0</v>
      </c>
      <c r="P121" s="37">
        <v>2.0</v>
      </c>
      <c r="Q121" s="37" t="b">
        <v>1</v>
      </c>
      <c r="R121" s="37">
        <v>100.0</v>
      </c>
      <c r="S121" s="47" t="s">
        <v>530</v>
      </c>
      <c r="T121" s="47" t="s">
        <v>365</v>
      </c>
      <c r="U121" s="49" t="b">
        <f>IFERROR(__xludf.DUMMYFUNCTION("iferror(if(not(iserror(find(""FINAL"",G121))),max(arrayformula(value(REGEXEXTRACT(F121,""^""&amp;C121&amp;"" ([\d]+)|[^a-zA-Z] ""&amp;C121&amp;"" ([\d]+)""))))=max(value(REGEXEXTRACT(F121,"" ([\d]+)"")),value(REGEXEXTRACT(F121,""([\d]+)$""))),""""))"),TRUE)</f>
        <v>1</v>
      </c>
    </row>
    <row r="122" hidden="1">
      <c r="A122" s="3">
        <v>122.0</v>
      </c>
      <c r="B122" s="4"/>
      <c r="C122" s="4"/>
      <c r="D122" s="79"/>
      <c r="E122" s="5"/>
      <c r="F122" s="80"/>
      <c r="G122" s="81"/>
      <c r="H122" s="81"/>
      <c r="I122" s="82"/>
      <c r="J122" s="80"/>
      <c r="K122" s="81"/>
      <c r="L122" s="81"/>
      <c r="M122" s="82"/>
      <c r="N122" s="4"/>
      <c r="O122" s="4"/>
      <c r="P122" s="4"/>
      <c r="Q122" s="4"/>
      <c r="R122" s="4"/>
      <c r="S122" s="83"/>
      <c r="T122" s="83"/>
      <c r="U122" s="49" t="str">
        <f>IFERROR(__xludf.DUMMYFUNCTION("iferror(if(not(iserror(find(""FINAL"",G122))),max(arrayformula(value(REGEXEXTRACT(F122,""^""&amp;C122&amp;"" ([\d]+)|[^a-zA-Z] ""&amp;C122&amp;"" ([\d]+)""))))=max(value(REGEXEXTRACT(F122,"" ([\d]+)"")),value(REGEXEXTRACT(F122,""([\d]+)$""))),""""))"),"")</f>
        <v/>
      </c>
    </row>
    <row r="123" hidden="1">
      <c r="A123" s="17">
        <v>123.0</v>
      </c>
      <c r="B123" s="17" t="s">
        <v>132</v>
      </c>
      <c r="C123" s="20" t="s">
        <v>187</v>
      </c>
      <c r="D123" s="21">
        <v>4.0</v>
      </c>
      <c r="E123" s="26">
        <v>8.0</v>
      </c>
      <c r="F123" s="28" t="s">
        <v>721</v>
      </c>
      <c r="G123" s="32" t="s">
        <v>61</v>
      </c>
      <c r="H123" s="32" t="s">
        <v>96</v>
      </c>
      <c r="I123" s="33"/>
      <c r="J123" s="54" t="s">
        <v>67</v>
      </c>
      <c r="K123" s="32">
        <v>7.5</v>
      </c>
      <c r="L123" s="32" t="s">
        <v>67</v>
      </c>
      <c r="M123" s="33">
        <v>44.5</v>
      </c>
      <c r="N123" s="55">
        <v>192.0</v>
      </c>
      <c r="O123" s="37">
        <v>246.0</v>
      </c>
      <c r="P123" s="37">
        <v>2.0</v>
      </c>
      <c r="Q123" s="37" t="b">
        <v>0</v>
      </c>
      <c r="R123" s="37">
        <v>100.0</v>
      </c>
      <c r="S123" s="47" t="s">
        <v>525</v>
      </c>
      <c r="T123" s="47" t="s">
        <v>365</v>
      </c>
      <c r="U123" s="49" t="b">
        <f>IFERROR(__xludf.DUMMYFUNCTION("iferror(if(not(iserror(find(""FINAL"",G123))),max(arrayformula(value(REGEXEXTRACT(F123,""^""&amp;C123&amp;"" ([\d]+)|[^a-zA-Z] ""&amp;C123&amp;"" ([\d]+)""))))=max(value(REGEXEXTRACT(F123,"" ([\d]+)"")),value(REGEXEXTRACT(F123,""([\d]+)$""))),""""))"),FALSE)</f>
        <v>0</v>
      </c>
    </row>
    <row r="124" hidden="1">
      <c r="A124" s="17">
        <v>123.0</v>
      </c>
      <c r="B124" s="17" t="s">
        <v>132</v>
      </c>
      <c r="C124" s="20" t="s">
        <v>107</v>
      </c>
      <c r="D124" s="21">
        <v>10.0</v>
      </c>
      <c r="E124" s="26">
        <v>2.0</v>
      </c>
      <c r="F124" s="85" t="s">
        <v>760</v>
      </c>
      <c r="G124" s="32" t="s">
        <v>61</v>
      </c>
      <c r="H124" s="32" t="s">
        <v>249</v>
      </c>
      <c r="I124" s="33"/>
      <c r="J124" s="54" t="s">
        <v>67</v>
      </c>
      <c r="K124" s="32">
        <v>-30.5</v>
      </c>
      <c r="L124" s="32" t="s">
        <v>67</v>
      </c>
      <c r="M124" s="33">
        <v>52.5</v>
      </c>
      <c r="N124" s="55">
        <v>344.0</v>
      </c>
      <c r="O124" s="37">
        <v>273.0</v>
      </c>
      <c r="P124" s="37">
        <v>2.0</v>
      </c>
      <c r="Q124" s="37" t="b">
        <v>1</v>
      </c>
      <c r="R124" s="37">
        <v>100.0</v>
      </c>
      <c r="S124" s="47" t="s">
        <v>361</v>
      </c>
      <c r="T124" s="47" t="s">
        <v>365</v>
      </c>
      <c r="U124" s="49" t="b">
        <f>IFERROR(__xludf.DUMMYFUNCTION("iferror(if(not(iserror(find(""FINAL"",G124))),max(arrayformula(value(REGEXEXTRACT(F124,""^""&amp;C124&amp;"" ([\d]+)|[^a-zA-Z] ""&amp;C124&amp;"" ([\d]+)""))))=max(value(REGEXEXTRACT(F124,"" ([\d]+)"")),value(REGEXEXTRACT(F124,""([\d]+)$""))),""""))"),TRUE)</f>
        <v>1</v>
      </c>
    </row>
    <row r="125" hidden="1">
      <c r="A125" s="17">
        <v>123.0</v>
      </c>
      <c r="B125" s="17" t="s">
        <v>132</v>
      </c>
      <c r="C125" s="20" t="s">
        <v>215</v>
      </c>
      <c r="D125" s="21">
        <v>6.0</v>
      </c>
      <c r="E125" s="26">
        <v>6.0</v>
      </c>
      <c r="F125" s="54" t="s">
        <v>427</v>
      </c>
      <c r="G125" s="32" t="s">
        <v>61</v>
      </c>
      <c r="H125" s="32" t="s">
        <v>43</v>
      </c>
      <c r="I125" s="33"/>
      <c r="J125" s="54" t="s">
        <v>67</v>
      </c>
      <c r="K125" s="32">
        <v>1.5</v>
      </c>
      <c r="L125" s="32" t="s">
        <v>67</v>
      </c>
      <c r="M125" s="33">
        <v>54.5</v>
      </c>
      <c r="N125" s="55">
        <v>293.0</v>
      </c>
      <c r="O125" s="37">
        <v>328.0</v>
      </c>
      <c r="P125" s="37">
        <v>2.0</v>
      </c>
      <c r="Q125" s="37" t="b">
        <v>1</v>
      </c>
      <c r="R125" s="37">
        <v>100.0</v>
      </c>
      <c r="S125" s="47" t="s">
        <v>441</v>
      </c>
      <c r="T125" s="47" t="s">
        <v>365</v>
      </c>
      <c r="U125" s="49" t="b">
        <f>IFERROR(__xludf.DUMMYFUNCTION("iferror(if(not(iserror(find(""FINAL"",G125))),max(arrayformula(value(REGEXEXTRACT(F125,""^""&amp;C125&amp;"" ([\d]+)|[^a-zA-Z] ""&amp;C125&amp;"" ([\d]+)""))))=max(value(REGEXEXTRACT(F125,"" ([\d]+)"")),value(REGEXEXTRACT(F125,""([\d]+)$""))),""""))"),TRUE)</f>
        <v>1</v>
      </c>
    </row>
    <row r="126" hidden="1">
      <c r="A126" s="17">
        <v>123.0</v>
      </c>
      <c r="B126" s="17" t="s">
        <v>132</v>
      </c>
      <c r="C126" s="20" t="s">
        <v>545</v>
      </c>
      <c r="D126" s="21">
        <v>7.0</v>
      </c>
      <c r="E126" s="26">
        <v>5.0</v>
      </c>
      <c r="F126" s="54" t="s">
        <v>697</v>
      </c>
      <c r="G126" s="32" t="s">
        <v>61</v>
      </c>
      <c r="H126" s="32" t="s">
        <v>311</v>
      </c>
      <c r="I126" s="33"/>
      <c r="J126" s="54" t="s">
        <v>67</v>
      </c>
      <c r="K126" s="32">
        <v>-11.5</v>
      </c>
      <c r="L126" s="32" t="s">
        <v>67</v>
      </c>
      <c r="M126" s="33">
        <v>51.5</v>
      </c>
      <c r="N126" s="55">
        <v>351.0</v>
      </c>
      <c r="O126" s="37">
        <v>333.0</v>
      </c>
      <c r="P126" s="37">
        <v>2.0</v>
      </c>
      <c r="Q126" s="37" t="b">
        <v>1</v>
      </c>
      <c r="R126" s="37">
        <v>100.0</v>
      </c>
      <c r="S126" s="47" t="s">
        <v>535</v>
      </c>
      <c r="T126" s="47" t="s">
        <v>365</v>
      </c>
      <c r="U126" s="49" t="b">
        <f>IFERROR(__xludf.DUMMYFUNCTION("iferror(if(not(iserror(find(""FINAL"",G126))),max(arrayformula(value(REGEXEXTRACT(F126,""^""&amp;C126&amp;"" ([\d]+)|[^a-zA-Z] ""&amp;C126&amp;"" ([\d]+)""))))=max(value(REGEXEXTRACT(F126,"" ([\d]+)"")),value(REGEXEXTRACT(F126,""([\d]+)$""))),""""))"),TRUE)</f>
        <v>1</v>
      </c>
    </row>
    <row r="127" hidden="1">
      <c r="A127" s="17">
        <v>123.0</v>
      </c>
      <c r="B127" s="17" t="s">
        <v>132</v>
      </c>
      <c r="C127" s="20" t="s">
        <v>210</v>
      </c>
      <c r="D127" s="21">
        <v>4.0</v>
      </c>
      <c r="E127" s="26">
        <v>8.0</v>
      </c>
      <c r="F127" s="54" t="s">
        <v>765</v>
      </c>
      <c r="G127" s="32" t="s">
        <v>61</v>
      </c>
      <c r="H127" s="32" t="s">
        <v>249</v>
      </c>
      <c r="I127" s="33"/>
      <c r="J127" s="54" t="s">
        <v>67</v>
      </c>
      <c r="K127" s="32">
        <v>-3.0</v>
      </c>
      <c r="L127" s="32" t="s">
        <v>67</v>
      </c>
      <c r="M127" s="33">
        <v>46.5</v>
      </c>
      <c r="N127" s="55">
        <v>272.0</v>
      </c>
      <c r="O127" s="37">
        <v>265.0</v>
      </c>
      <c r="P127" s="37">
        <v>2.0</v>
      </c>
      <c r="Q127" s="37" t="b">
        <v>0</v>
      </c>
      <c r="R127" s="37">
        <v>100.0</v>
      </c>
      <c r="S127" s="47" t="s">
        <v>556</v>
      </c>
      <c r="T127" s="47" t="s">
        <v>321</v>
      </c>
      <c r="U127" s="49" t="b">
        <f>IFERROR(__xludf.DUMMYFUNCTION("iferror(if(not(iserror(find(""FINAL"",G127))),max(arrayformula(value(REGEXEXTRACT(F127,""^""&amp;C127&amp;"" ([\d]+)|[^a-zA-Z] ""&amp;C127&amp;"" ([\d]+)""))))=max(value(REGEXEXTRACT(F127,"" ([\d]+)"")),value(REGEXEXTRACT(F127,""([\d]+)$""))),""""))"),FALSE)</f>
        <v>0</v>
      </c>
    </row>
    <row r="128" hidden="1">
      <c r="A128" s="17">
        <v>123.0</v>
      </c>
      <c r="B128" s="17" t="s">
        <v>132</v>
      </c>
      <c r="C128" s="20" t="s">
        <v>134</v>
      </c>
      <c r="D128" s="21">
        <v>4.0</v>
      </c>
      <c r="E128" s="26">
        <v>8.0</v>
      </c>
      <c r="F128" s="54" t="s">
        <v>457</v>
      </c>
      <c r="G128" s="32" t="s">
        <v>61</v>
      </c>
      <c r="H128" s="32" t="s">
        <v>43</v>
      </c>
      <c r="I128" s="33"/>
      <c r="J128" s="54" t="s">
        <v>67</v>
      </c>
      <c r="K128" s="32">
        <v>23.5</v>
      </c>
      <c r="L128" s="32" t="s">
        <v>67</v>
      </c>
      <c r="M128" s="33">
        <v>52.5</v>
      </c>
      <c r="N128" s="55">
        <v>261.0</v>
      </c>
      <c r="O128" s="37">
        <v>370.0</v>
      </c>
      <c r="P128" s="37">
        <v>2.0</v>
      </c>
      <c r="Q128" s="37" t="b">
        <v>1</v>
      </c>
      <c r="R128" s="37">
        <v>100.0</v>
      </c>
      <c r="S128" s="47" t="s">
        <v>471</v>
      </c>
      <c r="T128" s="47" t="s">
        <v>321</v>
      </c>
      <c r="U128" s="49" t="b">
        <f>IFERROR(__xludf.DUMMYFUNCTION("iferror(if(not(iserror(find(""FINAL"",G128))),max(arrayformula(value(REGEXEXTRACT(F128,""^""&amp;C128&amp;"" ([\d]+)|[^a-zA-Z] ""&amp;C128&amp;"" ([\d]+)""))))=max(value(REGEXEXTRACT(F128,"" ([\d]+)"")),value(REGEXEXTRACT(F128,""([\d]+)$""))),""""))"),FALSE)</f>
        <v>0</v>
      </c>
    </row>
    <row r="129" hidden="1">
      <c r="A129" s="17">
        <v>123.0</v>
      </c>
      <c r="B129" s="17" t="s">
        <v>132</v>
      </c>
      <c r="C129" s="20" t="s">
        <v>115</v>
      </c>
      <c r="D129" s="21">
        <v>8.0</v>
      </c>
      <c r="E129" s="26">
        <v>4.0</v>
      </c>
      <c r="F129" s="54" t="s">
        <v>782</v>
      </c>
      <c r="G129" s="32" t="s">
        <v>61</v>
      </c>
      <c r="H129" s="32" t="s">
        <v>493</v>
      </c>
      <c r="I129" s="33"/>
      <c r="J129" s="54" t="s">
        <v>67</v>
      </c>
      <c r="K129" s="32">
        <v>-3.0</v>
      </c>
      <c r="L129" s="32" t="s">
        <v>67</v>
      </c>
      <c r="M129" s="33">
        <v>45.5</v>
      </c>
      <c r="N129" s="55">
        <v>362.0</v>
      </c>
      <c r="O129" s="37">
        <v>253.0</v>
      </c>
      <c r="P129" s="37">
        <v>2.0</v>
      </c>
      <c r="Q129" s="37" t="b">
        <v>1</v>
      </c>
      <c r="R129" s="37">
        <v>100.0</v>
      </c>
      <c r="S129" s="47" t="s">
        <v>317</v>
      </c>
      <c r="T129" s="47" t="s">
        <v>321</v>
      </c>
      <c r="U129" s="49" t="b">
        <f>IFERROR(__xludf.DUMMYFUNCTION("iferror(if(not(iserror(find(""FINAL"",G129))),max(arrayformula(value(REGEXEXTRACT(F129,""^""&amp;C129&amp;"" ([\d]+)|[^a-zA-Z] ""&amp;C129&amp;"" ([\d]+)""))))=max(value(REGEXEXTRACT(F129,"" ([\d]+)"")),value(REGEXEXTRACT(F129,""([\d]+)$""))),""""))"),TRUE)</f>
        <v>1</v>
      </c>
    </row>
    <row r="130" hidden="1">
      <c r="A130" s="17">
        <v>123.0</v>
      </c>
      <c r="B130" s="17" t="s">
        <v>132</v>
      </c>
      <c r="C130" s="20" t="s">
        <v>168</v>
      </c>
      <c r="D130" s="21">
        <v>7.0</v>
      </c>
      <c r="E130" s="26">
        <v>5.0</v>
      </c>
      <c r="F130" s="54" t="s">
        <v>755</v>
      </c>
      <c r="G130" s="32" t="s">
        <v>61</v>
      </c>
      <c r="H130" s="32" t="s">
        <v>156</v>
      </c>
      <c r="I130" s="33"/>
      <c r="J130" s="54" t="s">
        <v>67</v>
      </c>
      <c r="K130" s="32">
        <v>11.5</v>
      </c>
      <c r="L130" s="32" t="s">
        <v>67</v>
      </c>
      <c r="M130" s="33">
        <v>44.5</v>
      </c>
      <c r="N130" s="55">
        <v>286.0</v>
      </c>
      <c r="O130" s="37">
        <v>272.0</v>
      </c>
      <c r="P130" s="37">
        <v>2.0</v>
      </c>
      <c r="Q130" s="37" t="b">
        <v>0</v>
      </c>
      <c r="R130" s="37">
        <v>100.0</v>
      </c>
      <c r="S130" s="47" t="s">
        <v>530</v>
      </c>
      <c r="T130" s="47" t="s">
        <v>365</v>
      </c>
      <c r="U130" s="49" t="b">
        <f>IFERROR(__xludf.DUMMYFUNCTION("iferror(if(not(iserror(find(""FINAL"",G130))),max(arrayformula(value(REGEXEXTRACT(F130,""^""&amp;C130&amp;"" ([\d]+)|[^a-zA-Z] ""&amp;C130&amp;"" ([\d]+)""))))=max(value(REGEXEXTRACT(F130,"" ([\d]+)"")),value(REGEXEXTRACT(F130,""([\d]+)$""))),""""))"),FALSE)</f>
        <v>0</v>
      </c>
    </row>
    <row r="131" hidden="1">
      <c r="A131" s="17">
        <v>123.0</v>
      </c>
      <c r="B131" s="17" t="s">
        <v>132</v>
      </c>
      <c r="C131" s="20" t="s">
        <v>131</v>
      </c>
      <c r="D131" s="21">
        <v>9.0</v>
      </c>
      <c r="E131" s="26">
        <v>3.0</v>
      </c>
      <c r="F131" s="54" t="s">
        <v>743</v>
      </c>
      <c r="G131" s="32" t="s">
        <v>61</v>
      </c>
      <c r="H131" s="32" t="s">
        <v>238</v>
      </c>
      <c r="I131" s="33"/>
      <c r="J131" s="54" t="s">
        <v>67</v>
      </c>
      <c r="K131" s="32">
        <v>2.5</v>
      </c>
      <c r="L131" s="32" t="s">
        <v>67</v>
      </c>
      <c r="M131" s="33">
        <v>52.5</v>
      </c>
      <c r="N131" s="55">
        <v>355.0</v>
      </c>
      <c r="O131" s="37">
        <v>237.0</v>
      </c>
      <c r="P131" s="37">
        <v>2.0</v>
      </c>
      <c r="Q131" s="37" t="b">
        <v>1</v>
      </c>
      <c r="R131" s="37">
        <v>100.0</v>
      </c>
      <c r="S131" s="47" t="s">
        <v>556</v>
      </c>
      <c r="T131" s="47" t="s">
        <v>321</v>
      </c>
      <c r="U131" s="49" t="b">
        <f>IFERROR(__xludf.DUMMYFUNCTION("iferror(if(not(iserror(find(""FINAL"",G131))),max(arrayformula(value(REGEXEXTRACT(F131,""^""&amp;C131&amp;"" ([\d]+)|[^a-zA-Z] ""&amp;C131&amp;"" ([\d]+)""))))=max(value(REGEXEXTRACT(F131,"" ([\d]+)"")),value(REGEXEXTRACT(F131,""([\d]+)$""))),""""))"),TRUE)</f>
        <v>1</v>
      </c>
    </row>
    <row r="132" hidden="1">
      <c r="A132" s="17">
        <v>123.0</v>
      </c>
      <c r="B132" s="17" t="s">
        <v>132</v>
      </c>
      <c r="C132" s="20" t="s">
        <v>136</v>
      </c>
      <c r="D132" s="21">
        <v>12.0</v>
      </c>
      <c r="E132" s="26">
        <v>0.0</v>
      </c>
      <c r="F132" s="54" t="s">
        <v>788</v>
      </c>
      <c r="G132" s="32" t="s">
        <v>61</v>
      </c>
      <c r="H132" s="32" t="s">
        <v>493</v>
      </c>
      <c r="I132" s="33"/>
      <c r="J132" s="54" t="s">
        <v>67</v>
      </c>
      <c r="K132" s="32">
        <v>-28.5</v>
      </c>
      <c r="L132" s="32" t="s">
        <v>67</v>
      </c>
      <c r="M132" s="33">
        <v>53.5</v>
      </c>
      <c r="N132" s="55">
        <v>532.0</v>
      </c>
      <c r="O132" s="37">
        <v>131.0</v>
      </c>
      <c r="P132" s="37">
        <v>2.0</v>
      </c>
      <c r="Q132" s="37" t="b">
        <v>0</v>
      </c>
      <c r="R132" s="37">
        <v>100.0</v>
      </c>
      <c r="S132" s="47" t="s">
        <v>407</v>
      </c>
      <c r="T132" s="47" t="s">
        <v>321</v>
      </c>
      <c r="U132" s="49" t="b">
        <f>IFERROR(__xludf.DUMMYFUNCTION("iferror(if(not(iserror(find(""FINAL"",G132))),max(arrayformula(value(REGEXEXTRACT(F132,""^""&amp;C132&amp;"" ([\d]+)|[^a-zA-Z] ""&amp;C132&amp;"" ([\d]+)""))))=max(value(REGEXEXTRACT(F132,"" ([\d]+)"")),value(REGEXEXTRACT(F132,""([\d]+)$""))),""""))"),TRUE)</f>
        <v>1</v>
      </c>
    </row>
    <row r="133" hidden="1">
      <c r="A133" s="3">
        <v>124.0</v>
      </c>
      <c r="B133" s="3"/>
      <c r="C133" s="4"/>
      <c r="D133" s="79"/>
      <c r="E133" s="5"/>
      <c r="F133" s="80"/>
      <c r="G133" s="81"/>
      <c r="H133" s="81"/>
      <c r="I133" s="82"/>
      <c r="J133" s="80"/>
      <c r="K133" s="81"/>
      <c r="L133" s="81"/>
      <c r="M133" s="82"/>
      <c r="N133" s="4"/>
      <c r="O133" s="4"/>
      <c r="P133" s="4"/>
      <c r="Q133" s="4"/>
      <c r="R133" s="4"/>
      <c r="S133" s="83"/>
      <c r="T133" s="83"/>
      <c r="U133" s="49" t="str">
        <f>IFERROR(__xludf.DUMMYFUNCTION("iferror(if(not(iserror(find(""FINAL"",G133))),max(arrayformula(value(REGEXEXTRACT(F133,""^""&amp;C133&amp;"" ([\d]+)|[^a-zA-Z] ""&amp;C133&amp;"" ([\d]+)""))))=max(value(REGEXEXTRACT(F133,"" ([\d]+)"")),value(REGEXEXTRACT(F133,""([\d]+)$""))),""""))"),"")</f>
        <v/>
      </c>
    </row>
    <row r="134" hidden="1">
      <c r="A134" s="17">
        <v>125.0</v>
      </c>
      <c r="B134" s="19" t="s">
        <v>493</v>
      </c>
      <c r="C134" s="20" t="s">
        <v>195</v>
      </c>
      <c r="D134" s="21">
        <v>4.0</v>
      </c>
      <c r="E134" s="26">
        <v>8.0</v>
      </c>
      <c r="F134" s="28" t="s">
        <v>723</v>
      </c>
      <c r="G134" s="32" t="s">
        <v>61</v>
      </c>
      <c r="H134" s="28" t="s">
        <v>96</v>
      </c>
      <c r="I134" s="30"/>
      <c r="J134" s="54" t="s">
        <v>67</v>
      </c>
      <c r="K134" s="32">
        <v>31.5</v>
      </c>
      <c r="L134" s="32" t="s">
        <v>67</v>
      </c>
      <c r="M134" s="33">
        <v>49.5</v>
      </c>
      <c r="N134" s="84">
        <v>226.0</v>
      </c>
      <c r="O134" s="35">
        <v>350.0</v>
      </c>
      <c r="P134" s="37">
        <v>2.0</v>
      </c>
      <c r="Q134" s="37" t="b">
        <v>1</v>
      </c>
      <c r="R134" s="37">
        <v>100.0</v>
      </c>
      <c r="S134" s="47" t="s">
        <v>317</v>
      </c>
      <c r="T134" s="47" t="s">
        <v>321</v>
      </c>
      <c r="U134" s="49" t="b">
        <f>IFERROR(__xludf.DUMMYFUNCTION("iferror(if(not(iserror(find(""FINAL"",G134))),max(arrayformula(value(REGEXEXTRACT(F134,""^""&amp;C134&amp;"" ([\d]+)|[^a-zA-Z] ""&amp;C134&amp;"" ([\d]+)""))))=max(value(REGEXEXTRACT(F134,"" ([\d]+)"")),value(REGEXEXTRACT(F134,""([\d]+)$""))),""""))"),FALSE)</f>
        <v>0</v>
      </c>
    </row>
    <row r="135" hidden="1">
      <c r="A135" s="17">
        <v>125.0</v>
      </c>
      <c r="B135" s="51" t="s">
        <v>493</v>
      </c>
      <c r="C135" s="20" t="s">
        <v>143</v>
      </c>
      <c r="D135" s="21">
        <v>6.0</v>
      </c>
      <c r="E135" s="26">
        <v>6.0</v>
      </c>
      <c r="F135" s="85" t="s">
        <v>746</v>
      </c>
      <c r="G135" s="32" t="s">
        <v>61</v>
      </c>
      <c r="H135" s="32" t="s">
        <v>156</v>
      </c>
      <c r="I135" s="33"/>
      <c r="J135" s="54" t="s">
        <v>67</v>
      </c>
      <c r="K135" s="32">
        <v>7.5</v>
      </c>
      <c r="L135" s="32" t="s">
        <v>67</v>
      </c>
      <c r="M135" s="33">
        <v>44.5</v>
      </c>
      <c r="N135" s="55">
        <v>270.0</v>
      </c>
      <c r="O135" s="37">
        <v>251.0</v>
      </c>
      <c r="P135" s="37">
        <v>2.0</v>
      </c>
      <c r="Q135" s="37" t="b">
        <v>0</v>
      </c>
      <c r="R135" s="37">
        <v>100.0</v>
      </c>
      <c r="S135" s="47" t="s">
        <v>407</v>
      </c>
      <c r="T135" s="47" t="s">
        <v>321</v>
      </c>
      <c r="U135" s="49" t="b">
        <f>IFERROR(__xludf.DUMMYFUNCTION("iferror(if(not(iserror(find(""FINAL"",G135))),max(arrayformula(value(REGEXEXTRACT(F135,""^""&amp;C135&amp;"" ([\d]+)|[^a-zA-Z] ""&amp;C135&amp;"" ([\d]+)""))))=max(value(REGEXEXTRACT(F135,"" ([\d]+)"")),value(REGEXEXTRACT(F135,""([\d]+)$""))),""""))"),FALSE)</f>
        <v>0</v>
      </c>
    </row>
    <row r="136" hidden="1">
      <c r="A136" s="17">
        <v>125.0</v>
      </c>
      <c r="B136" s="51" t="s">
        <v>493</v>
      </c>
      <c r="C136" s="20" t="s">
        <v>138</v>
      </c>
      <c r="D136" s="21">
        <v>4.0</v>
      </c>
      <c r="E136" s="26">
        <v>8.0</v>
      </c>
      <c r="F136" s="54" t="s">
        <v>707</v>
      </c>
      <c r="G136" s="32" t="s">
        <v>61</v>
      </c>
      <c r="H136" s="32" t="s">
        <v>224</v>
      </c>
      <c r="I136" s="33"/>
      <c r="J136" s="54" t="s">
        <v>67</v>
      </c>
      <c r="K136" s="32">
        <v>3.5</v>
      </c>
      <c r="L136" s="32" t="s">
        <v>67</v>
      </c>
      <c r="M136" s="33">
        <v>48.5</v>
      </c>
      <c r="N136" s="55">
        <v>282.0</v>
      </c>
      <c r="O136" s="37">
        <v>318.0</v>
      </c>
      <c r="P136" s="37">
        <v>2.0</v>
      </c>
      <c r="Q136" s="37" t="b">
        <v>0</v>
      </c>
      <c r="R136" s="37">
        <v>100.0</v>
      </c>
      <c r="S136" s="47" t="s">
        <v>407</v>
      </c>
      <c r="T136" s="47" t="s">
        <v>321</v>
      </c>
      <c r="U136" s="49" t="b">
        <f>IFERROR(__xludf.DUMMYFUNCTION("iferror(if(not(iserror(find(""FINAL"",G136))),max(arrayformula(value(REGEXEXTRACT(F136,""^""&amp;C136&amp;"" ([\d]+)|[^a-zA-Z] ""&amp;C136&amp;"" ([\d]+)""))))=max(value(REGEXEXTRACT(F136,"" ([\d]+)"")),value(REGEXEXTRACT(F136,""([\d]+)$""))),""""))"),FALSE)</f>
        <v>0</v>
      </c>
    </row>
    <row r="137" hidden="1">
      <c r="A137" s="17">
        <v>125.0</v>
      </c>
      <c r="B137" s="51" t="s">
        <v>493</v>
      </c>
      <c r="C137" s="20" t="s">
        <v>123</v>
      </c>
      <c r="D137" s="21">
        <v>8.0</v>
      </c>
      <c r="E137" s="26">
        <v>4.0</v>
      </c>
      <c r="F137" s="54" t="s">
        <v>762</v>
      </c>
      <c r="G137" s="32" t="s">
        <v>61</v>
      </c>
      <c r="H137" s="32" t="s">
        <v>249</v>
      </c>
      <c r="I137" s="33"/>
      <c r="J137" s="54" t="s">
        <v>67</v>
      </c>
      <c r="K137" s="32">
        <v>1.5</v>
      </c>
      <c r="L137" s="32" t="s">
        <v>67</v>
      </c>
      <c r="M137" s="33">
        <v>53.5</v>
      </c>
      <c r="N137" s="55">
        <v>322.0</v>
      </c>
      <c r="O137" s="37">
        <v>258.0</v>
      </c>
      <c r="P137" s="37">
        <v>2.0</v>
      </c>
      <c r="Q137" s="37" t="b">
        <v>0</v>
      </c>
      <c r="R137" s="37">
        <v>100.0</v>
      </c>
      <c r="S137" s="47" t="s">
        <v>317</v>
      </c>
      <c r="T137" s="47" t="s">
        <v>321</v>
      </c>
      <c r="U137" s="49" t="b">
        <f>IFERROR(__xludf.DUMMYFUNCTION("iferror(if(not(iserror(find(""FINAL"",G137))),max(arrayformula(value(REGEXEXTRACT(F137,""^""&amp;C137&amp;"" ([\d]+)|[^a-zA-Z] ""&amp;C137&amp;"" ([\d]+)""))))=max(value(REGEXEXTRACT(F137,"" ([\d]+)"")),value(REGEXEXTRACT(F137,""([\d]+)$""))),""""))"),FALSE)</f>
        <v>0</v>
      </c>
    </row>
    <row r="138" hidden="1">
      <c r="A138" s="17">
        <v>125.0</v>
      </c>
      <c r="B138" s="51" t="s">
        <v>493</v>
      </c>
      <c r="C138" s="20" t="s">
        <v>110</v>
      </c>
      <c r="D138" s="21">
        <v>2.0</v>
      </c>
      <c r="E138" s="26">
        <v>10.0</v>
      </c>
      <c r="F138" s="54" t="s">
        <v>794</v>
      </c>
      <c r="G138" s="32" t="s">
        <v>61</v>
      </c>
      <c r="H138" s="32" t="s">
        <v>493</v>
      </c>
      <c r="I138" s="33"/>
      <c r="J138" s="54" t="s">
        <v>67</v>
      </c>
      <c r="K138" s="32">
        <v>-2.5</v>
      </c>
      <c r="L138" s="32" t="s">
        <v>67</v>
      </c>
      <c r="M138" s="33">
        <v>52.5</v>
      </c>
      <c r="N138" s="55">
        <v>305.0</v>
      </c>
      <c r="O138" s="37">
        <v>393.0</v>
      </c>
      <c r="P138" s="37">
        <v>2.0</v>
      </c>
      <c r="Q138" s="37" t="b">
        <v>1</v>
      </c>
      <c r="R138" s="37">
        <v>100.0</v>
      </c>
      <c r="S138" s="47" t="s">
        <v>317</v>
      </c>
      <c r="T138" s="47" t="s">
        <v>321</v>
      </c>
      <c r="U138" s="49" t="b">
        <f>IFERROR(__xludf.DUMMYFUNCTION("iferror(if(not(iserror(find(""FINAL"",G138))),max(arrayformula(value(REGEXEXTRACT(F138,""^""&amp;C138&amp;"" ([\d]+)|[^a-zA-Z] ""&amp;C138&amp;"" ([\d]+)""))))=max(value(REGEXEXTRACT(F138,"" ([\d]+)"")),value(REGEXEXTRACT(F138,""([\d]+)$""))),""""))"),TRUE)</f>
        <v>1</v>
      </c>
    </row>
    <row r="139" hidden="1">
      <c r="A139" s="17">
        <v>125.0</v>
      </c>
      <c r="B139" s="51" t="s">
        <v>493</v>
      </c>
      <c r="C139" s="20" t="s">
        <v>120</v>
      </c>
      <c r="D139" s="21">
        <v>3.0</v>
      </c>
      <c r="E139" s="26">
        <v>9.0</v>
      </c>
      <c r="F139" s="54" t="s">
        <v>794</v>
      </c>
      <c r="G139" s="32" t="s">
        <v>61</v>
      </c>
      <c r="H139" s="32" t="s">
        <v>493</v>
      </c>
      <c r="I139" s="33"/>
      <c r="J139" s="54" t="s">
        <v>67</v>
      </c>
      <c r="K139" s="32">
        <v>2.5</v>
      </c>
      <c r="L139" s="32" t="s">
        <v>67</v>
      </c>
      <c r="M139" s="33">
        <v>52.5</v>
      </c>
      <c r="N139" s="55">
        <v>242.0</v>
      </c>
      <c r="O139" s="37">
        <v>419.0</v>
      </c>
      <c r="P139" s="37">
        <v>2.0</v>
      </c>
      <c r="Q139" s="37" t="b">
        <v>0</v>
      </c>
      <c r="R139" s="37">
        <v>100.0</v>
      </c>
      <c r="S139" s="47" t="s">
        <v>317</v>
      </c>
      <c r="T139" s="47" t="s">
        <v>321</v>
      </c>
      <c r="U139" s="49" t="b">
        <f>IFERROR(__xludf.DUMMYFUNCTION("iferror(if(not(iserror(find(""FINAL"",G139))),max(arrayformula(value(REGEXEXTRACT(F139,""^""&amp;C139&amp;"" ([\d]+)|[^a-zA-Z] ""&amp;C139&amp;"" ([\d]+)""))))=max(value(REGEXEXTRACT(F139,"" ([\d]+)"")),value(REGEXEXTRACT(F139,""([\d]+)$""))),""""))"),FALSE)</f>
        <v>0</v>
      </c>
    </row>
    <row r="140" hidden="1">
      <c r="A140" s="17">
        <v>125.0</v>
      </c>
      <c r="B140" s="51" t="s">
        <v>493</v>
      </c>
      <c r="C140" s="20" t="s">
        <v>108</v>
      </c>
      <c r="D140" s="21">
        <v>4.0</v>
      </c>
      <c r="E140" s="26">
        <v>8.0</v>
      </c>
      <c r="F140" s="54" t="s">
        <v>637</v>
      </c>
      <c r="G140" s="32" t="s">
        <v>61</v>
      </c>
      <c r="H140" s="32" t="s">
        <v>62</v>
      </c>
      <c r="I140" s="33"/>
      <c r="J140" s="54" t="s">
        <v>67</v>
      </c>
      <c r="K140" s="32">
        <v>-9.5</v>
      </c>
      <c r="L140" s="32" t="s">
        <v>67</v>
      </c>
      <c r="M140" s="33">
        <v>58.5</v>
      </c>
      <c r="N140" s="55">
        <v>278.0</v>
      </c>
      <c r="O140" s="37">
        <v>347.0</v>
      </c>
      <c r="P140" s="37">
        <v>2.0</v>
      </c>
      <c r="Q140" s="37" t="b">
        <v>0</v>
      </c>
      <c r="R140" s="37">
        <v>100.0</v>
      </c>
      <c r="S140" s="47" t="s">
        <v>361</v>
      </c>
      <c r="T140" s="47" t="s">
        <v>365</v>
      </c>
      <c r="U140" s="49" t="b">
        <f>IFERROR(__xludf.DUMMYFUNCTION("iferror(if(not(iserror(find(""FINAL"",G140))),max(arrayformula(value(REGEXEXTRACT(F140,""^""&amp;C140&amp;"" ([\d]+)|[^a-zA-Z] ""&amp;C140&amp;"" ([\d]+)""))))=max(value(REGEXEXTRACT(F140,"" ([\d]+)"")),value(REGEXEXTRACT(F140,""([\d]+)$""))),""""))"),FALSE)</f>
        <v>0</v>
      </c>
    </row>
    <row r="141" hidden="1">
      <c r="A141" s="17">
        <v>125.0</v>
      </c>
      <c r="B141" s="51" t="s">
        <v>493</v>
      </c>
      <c r="C141" s="20" t="s">
        <v>188</v>
      </c>
      <c r="D141" s="21">
        <v>9.0</v>
      </c>
      <c r="E141" s="26">
        <v>3.0</v>
      </c>
      <c r="F141" s="54" t="s">
        <v>490</v>
      </c>
      <c r="G141" s="32" t="s">
        <v>61</v>
      </c>
      <c r="H141" s="32" t="s">
        <v>43</v>
      </c>
      <c r="I141" s="33"/>
      <c r="J141" s="54" t="s">
        <v>67</v>
      </c>
      <c r="K141" s="32">
        <v>-1.5</v>
      </c>
      <c r="L141" s="32" t="s">
        <v>67</v>
      </c>
      <c r="M141" s="33">
        <v>47.5</v>
      </c>
      <c r="N141" s="55">
        <v>391.0</v>
      </c>
      <c r="O141" s="37">
        <v>227.0</v>
      </c>
      <c r="P141" s="37">
        <v>2.0</v>
      </c>
      <c r="Q141" s="37" t="b">
        <v>0</v>
      </c>
      <c r="R141" s="37">
        <v>100.0</v>
      </c>
      <c r="S141" s="47" t="s">
        <v>471</v>
      </c>
      <c r="T141" s="47" t="s">
        <v>321</v>
      </c>
      <c r="U141" s="49" t="b">
        <f>IFERROR(__xludf.DUMMYFUNCTION("iferror(if(not(iserror(find(""FINAL"",G141))),max(arrayformula(value(REGEXEXTRACT(F141,""^""&amp;C141&amp;"" ([\d]+)|[^a-zA-Z] ""&amp;C141&amp;"" ([\d]+)""))))=max(value(REGEXEXTRACT(F141,"" ([\d]+)"")),value(REGEXEXTRACT(F141,""([\d]+)$""))),""""))"),TRUE)</f>
        <v>1</v>
      </c>
    </row>
    <row r="142" hidden="1">
      <c r="A142" s="17">
        <v>125.0</v>
      </c>
      <c r="B142" s="51" t="s">
        <v>493</v>
      </c>
      <c r="C142" s="20" t="s">
        <v>146</v>
      </c>
      <c r="D142" s="21">
        <v>2.0</v>
      </c>
      <c r="E142" s="26">
        <v>10.0</v>
      </c>
      <c r="F142" s="54" t="s">
        <v>788</v>
      </c>
      <c r="G142" s="32" t="s">
        <v>61</v>
      </c>
      <c r="H142" s="32" t="s">
        <v>132</v>
      </c>
      <c r="I142" s="33"/>
      <c r="J142" s="54" t="s">
        <v>67</v>
      </c>
      <c r="K142" s="32">
        <v>28.5</v>
      </c>
      <c r="L142" s="32" t="s">
        <v>67</v>
      </c>
      <c r="M142" s="33">
        <v>53.5</v>
      </c>
      <c r="N142" s="55">
        <v>225.0</v>
      </c>
      <c r="O142" s="37">
        <v>382.0</v>
      </c>
      <c r="P142" s="37">
        <v>2.0</v>
      </c>
      <c r="Q142" s="37" t="b">
        <v>1</v>
      </c>
      <c r="R142" s="37">
        <v>100.0</v>
      </c>
      <c r="S142" s="47" t="s">
        <v>407</v>
      </c>
      <c r="T142" s="47" t="s">
        <v>321</v>
      </c>
      <c r="U142" s="49" t="b">
        <f>IFERROR(__xludf.DUMMYFUNCTION("iferror(if(not(iserror(find(""FINAL"",G142))),max(arrayformula(value(REGEXEXTRACT(F142,""^""&amp;C142&amp;"" ([\d]+)|[^a-zA-Z] ""&amp;C142&amp;"" ([\d]+)""))))=max(value(REGEXEXTRACT(F142,"" ([\d]+)"")),value(REGEXEXTRACT(F142,""([\d]+)$""))),""""))"),FALSE)</f>
        <v>0</v>
      </c>
    </row>
    <row r="143" hidden="1">
      <c r="A143" s="17">
        <v>125.0</v>
      </c>
      <c r="B143" s="51" t="s">
        <v>493</v>
      </c>
      <c r="C143" s="20" t="s">
        <v>106</v>
      </c>
      <c r="D143" s="21">
        <v>5.0</v>
      </c>
      <c r="E143" s="26">
        <v>7.0</v>
      </c>
      <c r="F143" s="54" t="s">
        <v>757</v>
      </c>
      <c r="G143" s="32" t="s">
        <v>61</v>
      </c>
      <c r="H143" s="32" t="s">
        <v>156</v>
      </c>
      <c r="I143" s="33"/>
      <c r="J143" s="54" t="s">
        <v>67</v>
      </c>
      <c r="K143" s="32">
        <v>19.5</v>
      </c>
      <c r="L143" s="32" t="s">
        <v>67</v>
      </c>
      <c r="M143" s="33">
        <v>65.5</v>
      </c>
      <c r="N143" s="55">
        <v>334.0</v>
      </c>
      <c r="O143" s="37">
        <v>356.0</v>
      </c>
      <c r="P143" s="37">
        <v>2.0</v>
      </c>
      <c r="Q143" s="37" t="b">
        <v>1</v>
      </c>
      <c r="R143" s="37">
        <v>100.0</v>
      </c>
      <c r="S143" s="47" t="s">
        <v>361</v>
      </c>
      <c r="T143" s="47" t="s">
        <v>365</v>
      </c>
      <c r="U143" s="49" t="b">
        <f>IFERROR(__xludf.DUMMYFUNCTION("iferror(if(not(iserror(find(""FINAL"",G143))),max(arrayformula(value(REGEXEXTRACT(F143,""^""&amp;C143&amp;"" ([\d]+)|[^a-zA-Z] ""&amp;C143&amp;"" ([\d]+)""))))=max(value(REGEXEXTRACT(F143,"" ([\d]+)"")),value(REGEXEXTRACT(F143,""([\d]+)$""))),""""))"),FALSE)</f>
        <v>0</v>
      </c>
    </row>
    <row r="144" hidden="1">
      <c r="A144" s="3">
        <v>126.0</v>
      </c>
      <c r="B144" s="3"/>
      <c r="C144" s="4"/>
      <c r="D144" s="79"/>
      <c r="E144" s="5"/>
      <c r="F144" s="80"/>
      <c r="G144" s="81"/>
      <c r="H144" s="81"/>
      <c r="I144" s="82"/>
      <c r="J144" s="80"/>
      <c r="K144" s="81"/>
      <c r="L144" s="81"/>
      <c r="M144" s="82"/>
      <c r="N144" s="4"/>
      <c r="O144" s="4"/>
      <c r="P144" s="4"/>
      <c r="Q144" s="4"/>
      <c r="R144" s="4"/>
      <c r="S144" s="83"/>
      <c r="T144" s="83"/>
      <c r="U144" s="49" t="str">
        <f>IFERROR(__xludf.DUMMYFUNCTION("iferror(if(not(iserror(find(""FINAL"",G144))),max(arrayformula(value(REGEXEXTRACT(F144,""^""&amp;C144&amp;"" ([\d]+)|[^a-zA-Z] ""&amp;C144&amp;"" ([\d]+)""))))=max(value(REGEXEXTRACT(F144,"" ([\d]+)"")),value(REGEXEXTRACT(F144,""([\d]+)$""))),""""))"),"")</f>
        <v/>
      </c>
    </row>
    <row r="145" hidden="1">
      <c r="A145" s="17">
        <v>127.0</v>
      </c>
      <c r="B145" s="19" t="s">
        <v>493</v>
      </c>
      <c r="C145" s="20" t="s">
        <v>200</v>
      </c>
      <c r="D145" s="21">
        <v>6.0</v>
      </c>
      <c r="E145" s="26">
        <v>6.0</v>
      </c>
      <c r="F145" s="28" t="s">
        <v>679</v>
      </c>
      <c r="G145" s="32" t="s">
        <v>61</v>
      </c>
      <c r="H145" s="28" t="s">
        <v>193</v>
      </c>
      <c r="I145" s="30"/>
      <c r="J145" s="54" t="s">
        <v>67</v>
      </c>
      <c r="K145" s="32">
        <v>-13.5</v>
      </c>
      <c r="L145" s="32" t="s">
        <v>67</v>
      </c>
      <c r="M145" s="33">
        <v>43.5</v>
      </c>
      <c r="N145" s="84">
        <v>259.0</v>
      </c>
      <c r="O145" s="35">
        <v>242.0</v>
      </c>
      <c r="P145" s="37">
        <v>2.0</v>
      </c>
      <c r="Q145" s="37" t="b">
        <v>1</v>
      </c>
      <c r="R145" s="37">
        <v>100.0</v>
      </c>
      <c r="S145" s="47" t="s">
        <v>680</v>
      </c>
      <c r="T145" s="47" t="s">
        <v>365</v>
      </c>
      <c r="U145" s="49" t="b">
        <f>IFERROR(__xludf.DUMMYFUNCTION("iferror(if(not(iserror(find(""FINAL"",G145))),max(arrayformula(value(REGEXEXTRACT(F145,""^""&amp;C145&amp;"" ([\d]+)|[^a-zA-Z] ""&amp;C145&amp;"" ([\d]+)""))))=max(value(REGEXEXTRACT(F145,"" ([\d]+)"")),value(REGEXEXTRACT(F145,""([\d]+)$""))),""""))"),TRUE)</f>
        <v>1</v>
      </c>
    </row>
    <row r="146" hidden="1">
      <c r="A146" s="17">
        <v>127.0</v>
      </c>
      <c r="B146" s="51" t="s">
        <v>493</v>
      </c>
      <c r="C146" s="20" t="s">
        <v>546</v>
      </c>
      <c r="D146" s="21">
        <v>7.0</v>
      </c>
      <c r="E146" s="26">
        <v>5.0</v>
      </c>
      <c r="F146" s="85" t="s">
        <v>727</v>
      </c>
      <c r="G146" s="32" t="s">
        <v>61</v>
      </c>
      <c r="H146" s="32" t="s">
        <v>96</v>
      </c>
      <c r="I146" s="33"/>
      <c r="J146" s="54" t="s">
        <v>67</v>
      </c>
      <c r="K146" s="32">
        <v>-6.5</v>
      </c>
      <c r="L146" s="32" t="s">
        <v>67</v>
      </c>
      <c r="M146" s="33">
        <v>50.5</v>
      </c>
      <c r="N146" s="55">
        <v>358.0</v>
      </c>
      <c r="O146" s="37">
        <v>329.0</v>
      </c>
      <c r="P146" s="37">
        <v>2.0</v>
      </c>
      <c r="Q146" s="37" t="b">
        <v>1</v>
      </c>
      <c r="R146" s="37">
        <v>100.0</v>
      </c>
      <c r="S146" s="47" t="s">
        <v>441</v>
      </c>
      <c r="T146" s="47" t="s">
        <v>365</v>
      </c>
      <c r="U146" s="49" t="b">
        <f>IFERROR(__xludf.DUMMYFUNCTION("iferror(if(not(iserror(find(""FINAL"",G146))),max(arrayformula(value(REGEXEXTRACT(F146,""^""&amp;C146&amp;"" ([\d]+)|[^a-zA-Z] ""&amp;C146&amp;"" ([\d]+)""))))=max(value(REGEXEXTRACT(F146,"" ([\d]+)"")),value(REGEXEXTRACT(F146,""([\d]+)$""))),""""))"),FALSE)</f>
        <v>0</v>
      </c>
    </row>
    <row r="147" hidden="1">
      <c r="A147" s="17">
        <v>127.0</v>
      </c>
      <c r="B147" s="51" t="s">
        <v>493</v>
      </c>
      <c r="C147" s="20" t="s">
        <v>205</v>
      </c>
      <c r="D147" s="21">
        <v>5.0</v>
      </c>
      <c r="E147" s="26">
        <v>7.0</v>
      </c>
      <c r="F147" s="54" t="s">
        <v>782</v>
      </c>
      <c r="G147" s="32" t="s">
        <v>61</v>
      </c>
      <c r="H147" s="32" t="s">
        <v>132</v>
      </c>
      <c r="I147" s="33"/>
      <c r="J147" s="54" t="s">
        <v>67</v>
      </c>
      <c r="K147" s="32">
        <v>3.0</v>
      </c>
      <c r="L147" s="32" t="s">
        <v>67</v>
      </c>
      <c r="M147" s="33">
        <v>45.5</v>
      </c>
      <c r="N147" s="55">
        <v>276.0</v>
      </c>
      <c r="O147" s="37">
        <v>317.0</v>
      </c>
      <c r="P147" s="37">
        <v>2.0</v>
      </c>
      <c r="Q147" s="37" t="b">
        <v>0</v>
      </c>
      <c r="R147" s="37">
        <v>100.0</v>
      </c>
      <c r="S147" s="47" t="s">
        <v>556</v>
      </c>
      <c r="T147" s="47" t="s">
        <v>321</v>
      </c>
      <c r="U147" s="49" t="b">
        <f>IFERROR(__xludf.DUMMYFUNCTION("iferror(if(not(iserror(find(""FINAL"",G147))),max(arrayformula(value(REGEXEXTRACT(F147,""^""&amp;C147&amp;"" ([\d]+)|[^a-zA-Z] ""&amp;C147&amp;"" ([\d]+)""))))=max(value(REGEXEXTRACT(F147,"" ([\d]+)"")),value(REGEXEXTRACT(F147,""([\d]+)$""))),""""))"),FALSE)</f>
        <v>0</v>
      </c>
    </row>
    <row r="148" hidden="1">
      <c r="A148" s="17">
        <v>127.0</v>
      </c>
      <c r="B148" s="51" t="s">
        <v>493</v>
      </c>
      <c r="C148" s="20" t="s">
        <v>207</v>
      </c>
      <c r="D148" s="21">
        <v>5.0</v>
      </c>
      <c r="E148" s="26">
        <v>7.0</v>
      </c>
      <c r="F148" s="54" t="s">
        <v>767</v>
      </c>
      <c r="G148" s="32" t="s">
        <v>61</v>
      </c>
      <c r="H148" s="32" t="s">
        <v>249</v>
      </c>
      <c r="I148" s="33"/>
      <c r="J148" s="54" t="s">
        <v>67</v>
      </c>
      <c r="K148" s="32">
        <v>7.5</v>
      </c>
      <c r="L148" s="32" t="s">
        <v>67</v>
      </c>
      <c r="M148" s="33">
        <v>62.5</v>
      </c>
      <c r="N148" s="55">
        <v>366.0</v>
      </c>
      <c r="O148" s="37">
        <v>350.0</v>
      </c>
      <c r="P148" s="37">
        <v>2.0</v>
      </c>
      <c r="Q148" s="37" t="b">
        <v>1</v>
      </c>
      <c r="R148" s="37">
        <v>100.0</v>
      </c>
      <c r="S148" s="47" t="s">
        <v>556</v>
      </c>
      <c r="T148" s="47" t="s">
        <v>321</v>
      </c>
      <c r="U148" s="49" t="b">
        <f>IFERROR(__xludf.DUMMYFUNCTION("iferror(if(not(iserror(find(""FINAL"",G148))),max(arrayformula(value(REGEXEXTRACT(F148,""^""&amp;C148&amp;"" ([\d]+)|[^a-zA-Z] ""&amp;C148&amp;"" ([\d]+)""))))=max(value(REGEXEXTRACT(F148,"" ([\d]+)"")),value(REGEXEXTRACT(F148,""([\d]+)$""))),""""))"),FALSE)</f>
        <v>0</v>
      </c>
    </row>
    <row r="149" hidden="1">
      <c r="A149" s="17">
        <v>127.0</v>
      </c>
      <c r="B149" s="51" t="s">
        <v>493</v>
      </c>
      <c r="C149" s="20" t="s">
        <v>170</v>
      </c>
      <c r="D149" s="21">
        <v>5.0</v>
      </c>
      <c r="E149" s="26">
        <v>7.0</v>
      </c>
      <c r="F149" s="54" t="s">
        <v>702</v>
      </c>
      <c r="G149" s="32" t="s">
        <v>61</v>
      </c>
      <c r="H149" s="32" t="s">
        <v>311</v>
      </c>
      <c r="I149" s="33"/>
      <c r="J149" s="54" t="s">
        <v>67</v>
      </c>
      <c r="K149" s="32">
        <v>5.5</v>
      </c>
      <c r="L149" s="32" t="s">
        <v>67</v>
      </c>
      <c r="M149" s="33">
        <v>45.5</v>
      </c>
      <c r="N149" s="55">
        <v>255.0</v>
      </c>
      <c r="O149" s="37">
        <v>403.0</v>
      </c>
      <c r="P149" s="37">
        <v>2.0</v>
      </c>
      <c r="Q149" s="37" t="b">
        <v>1</v>
      </c>
      <c r="R149" s="37">
        <v>100.0</v>
      </c>
      <c r="S149" s="47" t="s">
        <v>530</v>
      </c>
      <c r="T149" s="47" t="s">
        <v>365</v>
      </c>
      <c r="U149" s="49" t="b">
        <f>IFERROR(__xludf.DUMMYFUNCTION("iferror(if(not(iserror(find(""FINAL"",G149))),max(arrayformula(value(REGEXEXTRACT(F149,""^""&amp;C149&amp;"" ([\d]+)|[^a-zA-Z] ""&amp;C149&amp;"" ([\d]+)""))))=max(value(REGEXEXTRACT(F149,"" ([\d]+)"")),value(REGEXEXTRACT(F149,""([\d]+)$""))),""""))"),TRUE)</f>
        <v>1</v>
      </c>
    </row>
    <row r="150" hidden="1">
      <c r="A150" s="17">
        <v>127.0</v>
      </c>
      <c r="B150" s="51" t="s">
        <v>493</v>
      </c>
      <c r="C150" s="20" t="s">
        <v>219</v>
      </c>
      <c r="D150" s="21">
        <v>3.0</v>
      </c>
      <c r="E150" s="26">
        <v>9.0</v>
      </c>
      <c r="F150" s="54" t="s">
        <v>690</v>
      </c>
      <c r="G150" s="32" t="s">
        <v>532</v>
      </c>
      <c r="H150" s="32" t="s">
        <v>193</v>
      </c>
      <c r="I150" s="33"/>
      <c r="J150" s="54" t="s">
        <v>67</v>
      </c>
      <c r="K150" s="32">
        <v>8.5</v>
      </c>
      <c r="L150" s="32" t="s">
        <v>67</v>
      </c>
      <c r="M150" s="33">
        <v>47.5</v>
      </c>
      <c r="N150" s="55">
        <v>199.0</v>
      </c>
      <c r="O150" s="37">
        <v>383.0</v>
      </c>
      <c r="P150" s="37">
        <v>2.0</v>
      </c>
      <c r="Q150" s="37" t="b">
        <v>1</v>
      </c>
      <c r="R150" s="37">
        <v>100.0</v>
      </c>
      <c r="S150" s="47" t="s">
        <v>441</v>
      </c>
      <c r="T150" s="47" t="s">
        <v>365</v>
      </c>
      <c r="U150" s="49" t="b">
        <f>IFERROR(__xludf.DUMMYFUNCTION("iferror(if(not(iserror(find(""FINAL"",G150))),max(arrayformula(value(REGEXEXTRACT(F150,""^""&amp;C150&amp;"" ([\d]+)|[^a-zA-Z] ""&amp;C150&amp;"" ([\d]+)""))))=max(value(REGEXEXTRACT(F150,"" ([\d]+)"")),value(REGEXEXTRACT(F150,""([\d]+)$""))),""""))"),FALSE)</f>
        <v>0</v>
      </c>
    </row>
  </sheetData>
  <autoFilter ref="$A$1:$U$150">
    <filterColumn colId="1">
      <filters>
        <filter val="Masa"/>
        <filter val="Mike"/>
      </filters>
    </filterColumn>
  </autoFilter>
  <customSheetViews>
    <customSheetView guid="{58F64268-C022-4A24-B2F4-492F250A3D32}" filter="1" showAutoFilter="1">
      <autoFilter ref="$A$1:$T$150">
        <filterColumn colId="6">
          <customFilters>
            <customFilter val="*Thu*"/>
          </customFilters>
        </filterColumn>
        <filterColumn colId="16">
          <customFilters>
            <customFilter val="FALSE"/>
          </customFilters>
        </filterColumn>
        <sortState ref="A1:T150">
          <sortCondition ref="H1:H150"/>
        </sortState>
      </autoFilter>
    </customSheetView>
    <customSheetView guid="{F6090FE6-DCE8-4E11-9FD8-DF01262F03BA}" filter="1" showAutoFilter="1">
      <autoFilter ref="$A$1:$T$150">
        <filterColumn colId="1">
          <customFilters>
            <customFilter val="Dan"/>
          </customFilters>
        </filterColumn>
        <sortState ref="A1:T150">
          <sortCondition descending="1" ref="J1:J150"/>
          <sortCondition ref="K1:K150"/>
          <sortCondition ref="H1:H150"/>
        </sortState>
      </autoFilter>
    </customSheetView>
    <customSheetView guid="{EC13CE77-4D81-42DE-B9BA-B7702763AE5C}" filter="1" showAutoFilter="1">
      <autoFilter ref="$A$1:$T$150">
        <filterColumn colId="1">
          <customFilters>
            <customFilter val="DavEmily"/>
          </customFilters>
        </filterColumn>
        <sortState ref="A1:T150">
          <sortCondition ref="J1:J150"/>
          <sortCondition ref="K1:K150"/>
          <sortCondition ref="H1:H150"/>
        </sortState>
      </autoFilter>
    </customSheetView>
    <customSheetView guid="{4D785B45-C80F-4C3B-B0FC-4D39820DD147}" filter="1" showAutoFilter="1">
      <autoFilter ref="$A$1:$T$150">
        <filterColumn colId="1">
          <customFilters>
            <customFilter val="Masa"/>
          </customFilters>
        </filterColumn>
        <sortState ref="A1:T150">
          <sortCondition ref="J1:J150"/>
          <sortCondition ref="K1:K150"/>
          <sortCondition ref="H1:H150"/>
        </sortState>
      </autoFilter>
    </customSheetView>
    <customSheetView guid="{40F883B8-CD6E-4A12-83F2-088CD4690E13}" filter="1" showAutoFilter="1">
      <autoFilter ref="$A$1:$T$150">
        <filterColumn colId="1">
          <customFilters>
            <customFilter val="Gary"/>
          </customFilters>
        </filterColumn>
        <sortState ref="A1:T150">
          <sortCondition ref="J1:J150"/>
          <sortCondition ref="K1:K150"/>
          <sortCondition ref="H1:H150"/>
        </sortState>
      </autoFilter>
    </customSheetView>
    <customSheetView guid="{742E0846-A56A-48E6-9375-1EEFBC6E8C9A}" filter="1" showAutoFilter="1">
      <autoFilter ref="$A$1:$T$150">
        <filterColumn colId="6">
          <customFilters>
            <customFilter val="*Tue*"/>
          </customFilters>
        </filterColumn>
        <filterColumn colId="16">
          <customFilters>
            <customFilter val="FALSE"/>
          </customFilters>
        </filterColumn>
        <sortState ref="A1:T150">
          <sortCondition ref="H1:H150"/>
        </sortState>
      </autoFilter>
    </customSheetView>
    <customSheetView guid="{FA242D78-3B8D-450F-900B-D5EB9BC7A898}" filter="1" showAutoFilter="1">
      <autoFilter ref="$A$1:$T$150">
        <filterColumn colId="5">
          <filters>
            <filter val="UCLA 10 (20) USC 29"/>
            <filter val="Wyoming 7 Hawaii 27"/>
            <filter val="Army 27 UTSA 24"/>
            <filter val="(9) Notre Dame 49 Stanford 20"/>
            <filter val="Wisconsin 7 Minnesota 17"/>
            <filter val="(10) Alabama 27 Auburn 20"/>
            <filter val="Charlotte 0 (23) Tulane 27"/>
            <filter val="Northwestern 13 Illinois 20"/>
            <filter val="North Carolina 19 NC State 42"/>
            <filter val="Florida State 21 Florida 40"/>
            <filter val="(2) Indiana 56 Purdue 3"/>
            <filter val="(7) Texas Tech 49 West Virginia 0"/>
            <filter val="Cincinnati 23 TCU 45"/>
            <filter val="Houston 31 Baylor 24"/>
            <filter val="Ball State 24 Miami-OH 45"/>
            <filter val="San Diego State 17 New Mexico 23"/>
            <filter val="Iowa 40 Nebraska 16"/>
            <filter val="(21) James Madison 59 Coastal Carolina 10"/>
            <filter val="UTEP 31 Delaware 61"/>
            <filter val="East Carolina 42 Florida Atlantic 3"/>
            <filter val="Georgia Southern 24 Marshall 19"/>
            <filter val="Western Kentucky 34 Jacksonville State 37"/>
            <filter val="Louisiana Tech 42 Missouri State 30"/>
            <filter val="(13) Miami 38 (24) Pittsburgh 7"/>
            <filter val="(14) Utah 31 Kansas 21"/>
            <filter val="Iowa State 20 Oklahoma State 13"/>
            <filter val="(3) Texas A&amp;M 17 (16) Texas 27"/>
            <filter val="(5) Oregon 26 Washington 14"/>
            <filter val="Rice 3 South Florida 52"/>
            <filter val="Penn State 40 Rutgers 36"/>
            <filter val="LSU 13 (8) Oklahoma 17"/>
            <filter val="Arizona 23 Arizona State 7"/>
            <filter val="Florida Intl 56 Sam Houston 16"/>
            <filter val="Ohio 31 Buffalo 26"/>
            <filter val="UL Monroe 27 UL Lafayette 30"/>
            <filter val="(4) Georgia 16 (19) Georgia Tech 9"/>
            <filter val="Clemson 28 South Carolina 14"/>
            <filter val="Georgia State 10 Old Dominion 27"/>
            <filter val="Toledo 21 Central Michigan 3"/>
            <filter val="(12) Vanderbilt 45 (18) Tennessee 24"/>
            <filter val="Middle Tennessee 31 New Mexico State 24"/>
            <filter val="South Alabama 26 Texas State 49"/>
            <filter val="UAB 31 Tulsa 24"/>
            <filter val="Air Force 42 Colorado State 21"/>
            <filter val="Arkansas State 30 Appalachian State 29"/>
            <filter val="Maryland 28 Michigan State 38"/>
            <filter val="UCF 21 (11) BYU 41"/>
            <filter val="Boston College 34 Syracuse 12"/>
            <filter val="Kennesaw State 48 Liberty 42"/>
            <filter val="Fresno State 41 San José State 14"/>
            <filter val="Kentucky 0 Louisville 41"/>
            <filter val="Boise State 25 Utah State 24"/>
            <filter val="Virginia Tech 7 (17) Virginia 27"/>
            <filter val="Temple 25 (22) North Texas 52"/>
            <filter val="Missouri 31 Arkansas 17"/>
            <filter val="Troy 28 Southern Mississippi 18"/>
            <filter val="Kent State 35 Northern Illinois 31"/>
            <filter val="UNLV 42 Nevada 17"/>
            <filter val="Colorado 14 Kansas State 24"/>
            <filter val="Western Michigan 31 EMU 21"/>
            <filter val="(6) Ole Miss 38 Mississippi State 19"/>
            <filter val="(1) Ohio State 27 (15) Michigan 9"/>
            <filter val="Navy 28 Memphis 17"/>
            <filter val="Bowling Green 45 UMASS 14"/>
            <filter val="Oregon State 8 Washington State 32"/>
            <filter val="(25) SMU 35 California 38"/>
            <filter val="Wake Forest 32 Duke 49"/>
          </filters>
        </filterColumn>
        <filterColumn colId="16">
          <customFilters>
            <customFilter val="FALSE"/>
          </customFilters>
        </filterColumn>
        <filterColumn colId="15">
          <customFilters>
            <customFilter val="0"/>
          </customFilters>
        </filterColumn>
        <sortState ref="A1:T150">
          <sortCondition ref="K1:K150"/>
        </sortState>
      </autoFilter>
    </customSheetView>
    <customSheetView guid="{D5676172-B782-4854-842F-C3A871B7F5AA}" filter="1" showAutoFilter="1">
      <autoFilter ref="$A$1:$T$150">
        <filterColumn colId="1">
          <customFilters>
            <customFilter val="Nick G."/>
          </customFilters>
        </filterColumn>
        <sortState ref="A1:T150">
          <sortCondition ref="J1:J150"/>
          <sortCondition ref="K1:K150"/>
          <sortCondition ref="H1:H150"/>
        </sortState>
      </autoFilter>
    </customSheetView>
    <customSheetView guid="{BC404417-3352-4D2E-BE63-4E7260AA8052}" filter="1" showAutoFilter="1">
      <autoFilter ref="$A$1:$T$150">
        <filterColumn colId="1">
          <customFilters>
            <customFilter val="Nico"/>
          </customFilters>
        </filterColumn>
        <sortState ref="A1:T150">
          <sortCondition ref="J1:J150"/>
          <sortCondition ref="K1:K150"/>
          <sortCondition ref="H1:H150"/>
        </sortState>
      </autoFilter>
    </customSheetView>
    <customSheetView guid="{07391437-BCD6-4BFC-8ECB-B45EE12E8328}" filter="1" showAutoFilter="1">
      <autoFilter ref="$A$1:$T$150">
        <filterColumn colId="1">
          <customFilters>
            <customFilter val="Janice/Mike"/>
          </customFilters>
        </filterColumn>
        <sortState ref="A1:T150">
          <sortCondition ref="J1:J150"/>
          <sortCondition ref="K1:K150"/>
          <sortCondition ref="H1:H150"/>
        </sortState>
      </autoFilter>
    </customSheetView>
    <customSheetView guid="{8507C5FF-7FE7-4A35-A7B8-D6B645EBE540}" filter="1" showAutoFilter="1">
      <autoFilter ref="$A$1:$T$150">
        <filterColumn colId="6">
          <customFilters>
            <customFilter val="*Sat*"/>
          </customFilters>
        </filterColumn>
        <filterColumn colId="11">
          <filters blank="1"/>
        </filterColumn>
        <sortState ref="A1:T150">
          <sortCondition ref="H1:H150"/>
        </sortState>
      </autoFilter>
    </customSheetView>
    <customSheetView guid="{964BB140-57B6-431D-8158-F7EE1FCCB703}" filter="1" showAutoFilter="1">
      <autoFilter ref="$A$1:$T$150">
        <filterColumn colId="1">
          <customFilters>
            <customFilter val="Josh"/>
          </customFilters>
        </filterColumn>
        <sortState ref="A1:T150">
          <sortCondition ref="J1:J150"/>
          <sortCondition ref="K1:K150"/>
          <sortCondition ref="H1:H150"/>
        </sortState>
      </autoFilter>
    </customSheetView>
    <customSheetView guid="{D6140299-CAE8-4584-B8BB-EFC6066CB77B}" filter="1" showAutoFilter="1">
      <autoFilter ref="$A$1:$T$150">
        <filterColumn colId="1">
          <customFilters>
            <customFilter val="Jeannine"/>
          </customFilters>
        </filterColumn>
        <sortState ref="A1:T150">
          <sortCondition ref="J1:J150"/>
          <sortCondition ref="K1:K150"/>
          <sortCondition ref="H1:H150"/>
        </sortState>
      </autoFilter>
    </customSheetView>
    <customSheetView guid="{05D3D248-1AF2-4731-9E92-565247A01D78}" filter="1" showAutoFilter="1">
      <autoFilter ref="$A$1:$T$150">
        <filterColumn colId="6">
          <customFilters>
            <customFilter val="*Wed*"/>
          </customFilters>
        </filterColumn>
        <filterColumn colId="16">
          <customFilters>
            <customFilter val="FALSE"/>
          </customFilters>
        </filterColumn>
        <sortState ref="A1:T150">
          <sortCondition ref="H1:H150"/>
        </sortState>
      </autoFilter>
    </customSheetView>
    <customSheetView guid="{E80B6B02-31C3-4C77-887F-FAA45D211E45}" filter="1" showAutoFilter="1">
      <autoFilter ref="$A$1:$T$150">
        <filterColumn colId="1">
          <customFilters>
            <customFilter val="Brad"/>
          </customFilters>
        </filterColumn>
        <sortState ref="A1:T150">
          <sortCondition ref="J1:J150"/>
          <sortCondition ref="K1:K150"/>
          <sortCondition ref="H1:H150"/>
        </sortState>
      </autoFilter>
    </customSheetView>
    <customSheetView guid="{AF744617-ECF2-4F8D-A1CD-829599038B0F}" filter="1" showAutoFilter="1">
      <autoFilter ref="$B$1:$M$150">
        <filterColumn colId="1">
          <filters/>
        </filterColumn>
        <filterColumn colId="11">
          <filters/>
        </filterColumn>
        <filterColumn colId="9">
          <filters>
            <filter val="28.5"/>
            <filter val="14"/>
            <filter val="10.5"/>
            <filter val="31.5"/>
            <filter val="7"/>
            <filter val="16.5"/>
            <filter val="5.5"/>
            <filter val="14.5"/>
            <filter val="7.5"/>
            <filter val="9.5"/>
            <filter val="21.5"/>
            <filter val="27.5"/>
            <filter val="23.5"/>
            <filter val="11.5"/>
            <filter val="30.5"/>
            <filter val="19.5"/>
            <filter val="17.5"/>
            <filter val="6.5"/>
            <filter val="13.5"/>
            <filter val="8.5"/>
          </filters>
        </filterColumn>
        <sortState ref="B1:M150">
          <sortCondition descending="1" ref="M1:M150"/>
        </sortState>
      </autoFilter>
    </customSheetView>
    <customSheetView guid="{0F497745-3098-4CD8-961B-92C148077702}" filter="1" showAutoFilter="1">
      <autoFilter ref="$A$1:$T$150">
        <filterColumn colId="1">
          <customFilters>
            <customFilter val="Vu"/>
          </customFilters>
        </filterColumn>
        <sortState ref="A1:T150">
          <sortCondition ref="J1:J150"/>
          <sortCondition ref="H1:H150"/>
        </sortState>
      </autoFilter>
    </customSheetView>
    <customSheetView guid="{99C6FEE6-E8B2-4A07-9EBF-BDC0C3A3527D}" filter="1" showAutoFilter="1">
      <autoFilter ref="$A$1:$T$150">
        <filterColumn colId="6">
          <customFilters>
            <customFilter val="*Fri*"/>
          </customFilters>
        </filterColumn>
        <filterColumn colId="16">
          <customFilters>
            <customFilter val="FALSE"/>
          </customFilters>
        </filterColumn>
        <sortState ref="A1:T150">
          <sortCondition ref="H1:H150"/>
        </sortState>
      </autoFilter>
    </customSheetView>
    <customSheetView guid="{A824B0AA-3898-4954-AA44-6145A75DA8B1}" filter="1" showAutoFilter="1">
      <autoFilter ref="$A$1:$T$150">
        <filterColumn colId="1">
          <customFilters>
            <customFilter val="Nick A."/>
          </customFilters>
        </filterColumn>
        <sortState ref="A1:T150">
          <sortCondition ref="J1:J150"/>
          <sortCondition ref="K1:K150"/>
          <sortCondition ref="H1:H150"/>
        </sortState>
      </autoFilter>
    </customSheetView>
    <customSheetView guid="{249B1850-D54C-427B-BA76-D7CB1F65B88B}" filter="1" showAutoFilter="1">
      <autoFilter ref="$A$1:$T$150">
        <filterColumn colId="1">
          <customFilters>
            <customFilter val="Justin"/>
          </customFilters>
        </filterColumn>
        <sortState ref="A1:T150">
          <sortCondition ref="J1:J150"/>
          <sortCondition ref="K1:K150"/>
          <sortCondition ref="H1:H150"/>
        </sortState>
      </autoFilter>
    </customSheetView>
  </customSheetViews>
  <conditionalFormatting sqref="C2:C11 C13:C22 C24:C33 C35:C44 C46:C55 C57:C66 C68:C77 C79:C88 C90:C99 C101:C110 C112:C121 C123:C132 C134:C150">
    <cfRule type="expression" dxfId="3" priority="1">
      <formula>and(not(U2),U2&lt;&gt;"")</formula>
    </cfRule>
  </conditionalFormatting>
  <conditionalFormatting sqref="C2:C11 C13:C22 C24:C33 C35:C44 C46:C55 C57:C66 C68:C77 C79:C88 C90:C99 C101:C110 C112:C121 C123:C132 C134:C150">
    <cfRule type="expression" dxfId="4" priority="2">
      <formula>U2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71" max="71" width="13.5"/>
  </cols>
  <sheetData>
    <row r="1">
      <c r="A1" s="2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133</v>
      </c>
      <c r="AK1" t="s">
        <v>134</v>
      </c>
      <c r="AL1" t="s">
        <v>135</v>
      </c>
      <c r="AM1" t="s">
        <v>136</v>
      </c>
      <c r="AN1" t="s">
        <v>137</v>
      </c>
      <c r="AO1" t="s">
        <v>138</v>
      </c>
      <c r="AP1" t="s">
        <v>139</v>
      </c>
      <c r="AQ1" t="s">
        <v>140</v>
      </c>
      <c r="AR1" t="s">
        <v>141</v>
      </c>
      <c r="AS1" t="s">
        <v>142</v>
      </c>
      <c r="AT1" t="s">
        <v>143</v>
      </c>
      <c r="AU1" t="s">
        <v>144</v>
      </c>
      <c r="AV1" t="s">
        <v>145</v>
      </c>
      <c r="AW1" t="s">
        <v>146</v>
      </c>
      <c r="AX1" t="s">
        <v>147</v>
      </c>
      <c r="AY1" t="s">
        <v>148</v>
      </c>
      <c r="AZ1" t="s">
        <v>149</v>
      </c>
      <c r="BA1" t="s">
        <v>150</v>
      </c>
      <c r="BB1" t="s">
        <v>151</v>
      </c>
      <c r="BC1" t="s">
        <v>152</v>
      </c>
      <c r="BD1" t="s">
        <v>153</v>
      </c>
      <c r="BE1" t="s">
        <v>154</v>
      </c>
      <c r="BF1" t="s">
        <v>155</v>
      </c>
      <c r="BG1" t="s">
        <v>157</v>
      </c>
      <c r="BH1" s="1" t="s">
        <v>158</v>
      </c>
      <c r="BI1" t="s">
        <v>159</v>
      </c>
      <c r="BJ1" t="s">
        <v>160</v>
      </c>
      <c r="BK1" t="s">
        <v>161</v>
      </c>
      <c r="BL1" t="s">
        <v>162</v>
      </c>
      <c r="BM1" t="s">
        <v>163</v>
      </c>
      <c r="BN1" t="s">
        <v>164</v>
      </c>
      <c r="BO1" t="s">
        <v>165</v>
      </c>
      <c r="BP1" t="s">
        <v>166</v>
      </c>
      <c r="BQ1" t="s">
        <v>167</v>
      </c>
      <c r="BR1" t="s">
        <v>168</v>
      </c>
      <c r="BS1" t="s">
        <v>169</v>
      </c>
      <c r="BT1" t="s">
        <v>170</v>
      </c>
      <c r="BU1" s="1" t="s">
        <v>171</v>
      </c>
      <c r="BV1" t="s">
        <v>172</v>
      </c>
      <c r="BW1" t="s">
        <v>173</v>
      </c>
      <c r="BX1" t="s">
        <v>174</v>
      </c>
      <c r="BY1" t="s">
        <v>175</v>
      </c>
      <c r="BZ1" t="s">
        <v>176</v>
      </c>
      <c r="CA1" t="s">
        <v>177</v>
      </c>
      <c r="CB1" t="s">
        <v>178</v>
      </c>
      <c r="CC1" t="s">
        <v>179</v>
      </c>
      <c r="CD1" t="s">
        <v>180</v>
      </c>
      <c r="CE1" t="s">
        <v>181</v>
      </c>
      <c r="CF1" t="s">
        <v>182</v>
      </c>
      <c r="CG1" s="1" t="s">
        <v>183</v>
      </c>
      <c r="CH1" t="s">
        <v>184</v>
      </c>
      <c r="CI1" t="s">
        <v>185</v>
      </c>
      <c r="CJ1" t="s">
        <v>186</v>
      </c>
      <c r="CK1" t="s">
        <v>187</v>
      </c>
      <c r="CL1" t="s">
        <v>188</v>
      </c>
      <c r="CM1" t="s">
        <v>189</v>
      </c>
      <c r="CN1" t="s">
        <v>190</v>
      </c>
      <c r="CO1" t="s">
        <v>191</v>
      </c>
      <c r="CP1" t="s">
        <v>192</v>
      </c>
      <c r="CQ1" t="s">
        <v>194</v>
      </c>
      <c r="CR1" t="s">
        <v>195</v>
      </c>
      <c r="CS1" t="s">
        <v>196</v>
      </c>
      <c r="CT1" t="s">
        <v>197</v>
      </c>
      <c r="CU1" t="s">
        <v>198</v>
      </c>
      <c r="CV1" t="s">
        <v>199</v>
      </c>
      <c r="CW1" t="s">
        <v>200</v>
      </c>
      <c r="CX1" t="s">
        <v>201</v>
      </c>
      <c r="CY1" t="s">
        <v>202</v>
      </c>
      <c r="CZ1" t="s">
        <v>45</v>
      </c>
      <c r="DA1" t="s">
        <v>203</v>
      </c>
      <c r="DB1" t="s">
        <v>204</v>
      </c>
      <c r="DC1" t="s">
        <v>205</v>
      </c>
      <c r="DD1" t="s">
        <v>206</v>
      </c>
      <c r="DE1" t="s">
        <v>207</v>
      </c>
      <c r="DF1" t="s">
        <v>208</v>
      </c>
      <c r="DG1" t="s">
        <v>209</v>
      </c>
      <c r="DH1" t="s">
        <v>210</v>
      </c>
      <c r="DI1" t="s">
        <v>211</v>
      </c>
      <c r="DJ1" s="1" t="s">
        <v>212</v>
      </c>
      <c r="DK1" t="s">
        <v>213</v>
      </c>
      <c r="DL1" s="1" t="s">
        <v>214</v>
      </c>
      <c r="DM1" t="s">
        <v>215</v>
      </c>
      <c r="DN1" t="s">
        <v>216</v>
      </c>
      <c r="DO1" t="s">
        <v>217</v>
      </c>
      <c r="DP1" t="s">
        <v>218</v>
      </c>
      <c r="DQ1" t="s">
        <v>219</v>
      </c>
      <c r="DR1" t="s">
        <v>220</v>
      </c>
      <c r="DS1" t="s">
        <v>221</v>
      </c>
      <c r="DT1" t="s">
        <v>222</v>
      </c>
      <c r="DU1" t="s">
        <v>223</v>
      </c>
      <c r="DV1" t="s">
        <v>225</v>
      </c>
      <c r="DW1" t="s">
        <v>226</v>
      </c>
      <c r="DX1" t="s">
        <v>227</v>
      </c>
      <c r="DY1" t="s">
        <v>228</v>
      </c>
      <c r="DZ1" t="s">
        <v>229</v>
      </c>
      <c r="EA1" s="1" t="s">
        <v>230</v>
      </c>
      <c r="EB1" s="1" t="s">
        <v>231</v>
      </c>
      <c r="EC1" s="20" t="s">
        <v>232</v>
      </c>
      <c r="ED1" s="1" t="s">
        <v>233</v>
      </c>
      <c r="EE1" s="1" t="s">
        <v>234</v>
      </c>
      <c r="EF1" s="1" t="s">
        <v>235</v>
      </c>
      <c r="EG1" s="1" t="s">
        <v>236</v>
      </c>
    </row>
    <row r="2">
      <c r="A2" s="48" t="s">
        <v>237</v>
      </c>
      <c r="B2" t="s">
        <v>239</v>
      </c>
      <c r="C2" t="s">
        <v>240</v>
      </c>
      <c r="D2" t="s">
        <v>241</v>
      </c>
      <c r="E2" t="s">
        <v>242</v>
      </c>
      <c r="F2" t="s">
        <v>243</v>
      </c>
      <c r="G2" t="s">
        <v>244</v>
      </c>
      <c r="H2" t="s">
        <v>104</v>
      </c>
      <c r="I2" t="s">
        <v>245</v>
      </c>
      <c r="J2" t="s">
        <v>246</v>
      </c>
      <c r="K2" t="s">
        <v>247</v>
      </c>
      <c r="L2" t="s">
        <v>248</v>
      </c>
      <c r="M2" t="s">
        <v>109</v>
      </c>
      <c r="N2" t="s">
        <v>250</v>
      </c>
      <c r="O2" t="s">
        <v>251</v>
      </c>
      <c r="P2" t="s">
        <v>252</v>
      </c>
      <c r="Q2" t="s">
        <v>253</v>
      </c>
      <c r="R2" t="s">
        <v>254</v>
      </c>
      <c r="S2" t="s">
        <v>255</v>
      </c>
      <c r="T2" s="1" t="s">
        <v>256</v>
      </c>
      <c r="U2" s="1" t="s">
        <v>257</v>
      </c>
      <c r="V2" t="s">
        <v>258</v>
      </c>
      <c r="W2" t="s">
        <v>259</v>
      </c>
      <c r="X2" t="s">
        <v>260</v>
      </c>
      <c r="Y2" t="s">
        <v>261</v>
      </c>
      <c r="Z2" t="s">
        <v>262</v>
      </c>
      <c r="AA2" t="s">
        <v>263</v>
      </c>
      <c r="AB2" t="s">
        <v>264</v>
      </c>
      <c r="AC2" t="s">
        <v>265</v>
      </c>
      <c r="AD2" t="s">
        <v>266</v>
      </c>
      <c r="AE2" t="s">
        <v>267</v>
      </c>
      <c r="AF2" s="1" t="s">
        <v>268</v>
      </c>
      <c r="AG2" t="s">
        <v>269</v>
      </c>
      <c r="AH2" t="s">
        <v>130</v>
      </c>
      <c r="AI2" t="s">
        <v>270</v>
      </c>
      <c r="AJ2" t="s">
        <v>271</v>
      </c>
      <c r="AK2" t="s">
        <v>272</v>
      </c>
      <c r="AL2" t="s">
        <v>274</v>
      </c>
      <c r="AM2" s="1" t="s">
        <v>275</v>
      </c>
      <c r="AN2" t="s">
        <v>276</v>
      </c>
      <c r="AO2" t="s">
        <v>277</v>
      </c>
      <c r="AP2" t="s">
        <v>278</v>
      </c>
      <c r="AQ2" t="s">
        <v>279</v>
      </c>
      <c r="AR2" t="s">
        <v>280</v>
      </c>
      <c r="AS2" t="s">
        <v>281</v>
      </c>
      <c r="AT2" s="1" t="s">
        <v>282</v>
      </c>
      <c r="AU2" t="s">
        <v>283</v>
      </c>
      <c r="AV2" t="s">
        <v>284</v>
      </c>
      <c r="AW2" t="s">
        <v>285</v>
      </c>
      <c r="AX2" t="s">
        <v>286</v>
      </c>
      <c r="AY2" s="1" t="s">
        <v>287</v>
      </c>
      <c r="AZ2" t="s">
        <v>288</v>
      </c>
      <c r="BA2" t="s">
        <v>289</v>
      </c>
      <c r="BB2" s="1" t="s">
        <v>290</v>
      </c>
      <c r="BC2" t="s">
        <v>291</v>
      </c>
      <c r="BD2" t="s">
        <v>292</v>
      </c>
      <c r="BE2" t="s">
        <v>293</v>
      </c>
      <c r="BF2" t="s">
        <v>294</v>
      </c>
      <c r="BG2" t="s">
        <v>295</v>
      </c>
      <c r="BH2" t="s">
        <v>296</v>
      </c>
      <c r="BI2" s="1" t="s">
        <v>297</v>
      </c>
      <c r="BJ2" t="s">
        <v>160</v>
      </c>
      <c r="BK2" t="s">
        <v>161</v>
      </c>
      <c r="BL2" t="s">
        <v>298</v>
      </c>
      <c r="BM2" t="s">
        <v>163</v>
      </c>
      <c r="BN2" s="1" t="s">
        <v>299</v>
      </c>
      <c r="BO2" t="s">
        <v>300</v>
      </c>
      <c r="BP2" t="s">
        <v>301</v>
      </c>
      <c r="BQ2" t="s">
        <v>302</v>
      </c>
      <c r="BR2" t="s">
        <v>303</v>
      </c>
      <c r="BS2" t="s">
        <v>304</v>
      </c>
      <c r="BT2" t="s">
        <v>305</v>
      </c>
      <c r="BU2" s="1" t="s">
        <v>306</v>
      </c>
      <c r="BV2" t="s">
        <v>307</v>
      </c>
      <c r="BW2" t="s">
        <v>308</v>
      </c>
      <c r="BX2" t="s">
        <v>309</v>
      </c>
      <c r="BY2" t="s">
        <v>310</v>
      </c>
      <c r="BZ2" t="s">
        <v>312</v>
      </c>
      <c r="CA2" s="1" t="s">
        <v>313</v>
      </c>
      <c r="CB2" t="s">
        <v>314</v>
      </c>
      <c r="CC2" t="s">
        <v>315</v>
      </c>
      <c r="CD2" t="s">
        <v>316</v>
      </c>
      <c r="CE2" t="s">
        <v>318</v>
      </c>
      <c r="CF2" t="s">
        <v>319</v>
      </c>
      <c r="CG2" t="s">
        <v>320</v>
      </c>
      <c r="CH2" t="s">
        <v>322</v>
      </c>
      <c r="CI2" t="s">
        <v>185</v>
      </c>
      <c r="CJ2" t="s">
        <v>323</v>
      </c>
      <c r="CK2" t="s">
        <v>324</v>
      </c>
      <c r="CL2" s="1" t="s">
        <v>325</v>
      </c>
      <c r="CM2" t="s">
        <v>326</v>
      </c>
      <c r="CN2" t="s">
        <v>328</v>
      </c>
      <c r="CO2" t="s">
        <v>329</v>
      </c>
      <c r="CP2" t="s">
        <v>330</v>
      </c>
      <c r="CQ2" t="s">
        <v>331</v>
      </c>
      <c r="CR2" t="s">
        <v>332</v>
      </c>
      <c r="CS2" t="s">
        <v>196</v>
      </c>
      <c r="CT2" t="s">
        <v>197</v>
      </c>
      <c r="CU2" t="s">
        <v>333</v>
      </c>
      <c r="CV2" t="s">
        <v>334</v>
      </c>
      <c r="CW2" t="s">
        <v>335</v>
      </c>
      <c r="CX2" t="s">
        <v>336</v>
      </c>
      <c r="CY2" t="s">
        <v>338</v>
      </c>
      <c r="CZ2" t="s">
        <v>339</v>
      </c>
      <c r="DA2" t="s">
        <v>340</v>
      </c>
      <c r="DB2" t="s">
        <v>341</v>
      </c>
      <c r="DC2" t="s">
        <v>342</v>
      </c>
      <c r="DD2" t="s">
        <v>206</v>
      </c>
      <c r="DE2" t="s">
        <v>343</v>
      </c>
      <c r="DF2" t="s">
        <v>344</v>
      </c>
      <c r="DG2" t="s">
        <v>345</v>
      </c>
      <c r="DH2" t="s">
        <v>346</v>
      </c>
      <c r="DI2" t="s">
        <v>347</v>
      </c>
      <c r="DJ2" s="1" t="s">
        <v>348</v>
      </c>
      <c r="DK2" t="s">
        <v>349</v>
      </c>
      <c r="DL2" t="s">
        <v>350</v>
      </c>
      <c r="DM2" s="1" t="s">
        <v>351</v>
      </c>
      <c r="DN2" t="s">
        <v>352</v>
      </c>
      <c r="DO2" t="s">
        <v>353</v>
      </c>
      <c r="DP2" s="1" t="s">
        <v>354</v>
      </c>
      <c r="DQ2" t="s">
        <v>355</v>
      </c>
      <c r="DR2" t="s">
        <v>356</v>
      </c>
      <c r="DS2" t="s">
        <v>357</v>
      </c>
      <c r="DT2" t="s">
        <v>358</v>
      </c>
      <c r="DU2" t="s">
        <v>359</v>
      </c>
      <c r="DV2" t="s">
        <v>360</v>
      </c>
      <c r="DW2" t="s">
        <v>226</v>
      </c>
      <c r="DX2" t="s">
        <v>362</v>
      </c>
      <c r="DY2" t="s">
        <v>364</v>
      </c>
      <c r="DZ2" t="s">
        <v>366</v>
      </c>
      <c r="EA2" t="s">
        <v>367</v>
      </c>
      <c r="EB2" s="1" t="s">
        <v>368</v>
      </c>
      <c r="EC2" s="20" t="s">
        <v>369</v>
      </c>
      <c r="ED2" s="20" t="s">
        <v>370</v>
      </c>
      <c r="EE2" s="20" t="s">
        <v>371</v>
      </c>
      <c r="EF2" s="20" t="s">
        <v>372</v>
      </c>
      <c r="EG2" s="20" t="s">
        <v>373</v>
      </c>
    </row>
    <row r="3">
      <c r="A3" s="48" t="s">
        <v>374</v>
      </c>
      <c r="B3" t="s">
        <v>375</v>
      </c>
      <c r="C3" t="s">
        <v>376</v>
      </c>
      <c r="D3" t="s">
        <v>377</v>
      </c>
      <c r="E3" t="s">
        <v>378</v>
      </c>
      <c r="F3" t="s">
        <v>379</v>
      </c>
      <c r="G3" t="s">
        <v>380</v>
      </c>
      <c r="H3" t="s">
        <v>381</v>
      </c>
      <c r="I3" t="s">
        <v>382</v>
      </c>
      <c r="J3" t="s">
        <v>383</v>
      </c>
      <c r="K3" t="s">
        <v>384</v>
      </c>
      <c r="L3" t="s">
        <v>385</v>
      </c>
      <c r="M3" t="s">
        <v>386</v>
      </c>
      <c r="N3" t="s">
        <v>387</v>
      </c>
      <c r="O3" t="s">
        <v>388</v>
      </c>
      <c r="P3" t="s">
        <v>389</v>
      </c>
      <c r="Q3" t="s">
        <v>390</v>
      </c>
      <c r="R3" t="s">
        <v>391</v>
      </c>
      <c r="S3" t="s">
        <v>393</v>
      </c>
      <c r="T3" t="s">
        <v>394</v>
      </c>
      <c r="U3" t="s">
        <v>396</v>
      </c>
      <c r="V3" t="s">
        <v>397</v>
      </c>
      <c r="W3" t="s">
        <v>398</v>
      </c>
      <c r="X3" t="s">
        <v>399</v>
      </c>
      <c r="Y3" t="s">
        <v>400</v>
      </c>
      <c r="Z3" t="s">
        <v>401</v>
      </c>
      <c r="AA3" t="s">
        <v>402</v>
      </c>
      <c r="AB3" t="s">
        <v>403</v>
      </c>
      <c r="AC3" t="s">
        <v>404</v>
      </c>
      <c r="AD3" t="s">
        <v>405</v>
      </c>
      <c r="AE3" t="s">
        <v>406</v>
      </c>
      <c r="AF3" t="s">
        <v>408</v>
      </c>
      <c r="AG3" t="s">
        <v>409</v>
      </c>
      <c r="AH3" t="s">
        <v>410</v>
      </c>
      <c r="AI3" t="s">
        <v>411</v>
      </c>
      <c r="AJ3" t="s">
        <v>412</v>
      </c>
      <c r="AK3" t="s">
        <v>413</v>
      </c>
      <c r="AL3" t="s">
        <v>414</v>
      </c>
      <c r="AM3" t="s">
        <v>415</v>
      </c>
      <c r="AN3" t="s">
        <v>416</v>
      </c>
      <c r="AO3" t="s">
        <v>417</v>
      </c>
      <c r="AP3" t="s">
        <v>418</v>
      </c>
      <c r="AQ3" t="s">
        <v>419</v>
      </c>
      <c r="AR3" t="s">
        <v>420</v>
      </c>
      <c r="AS3" t="s">
        <v>421</v>
      </c>
      <c r="AT3" t="s">
        <v>423</v>
      </c>
      <c r="AU3" t="s">
        <v>424</v>
      </c>
      <c r="AV3" t="s">
        <v>425</v>
      </c>
      <c r="AW3" t="s">
        <v>426</v>
      </c>
      <c r="AX3" t="s">
        <v>428</v>
      </c>
      <c r="AY3" t="s">
        <v>429</v>
      </c>
      <c r="AZ3" t="s">
        <v>430</v>
      </c>
      <c r="BA3" t="s">
        <v>431</v>
      </c>
      <c r="BB3" t="s">
        <v>432</v>
      </c>
      <c r="BC3" t="s">
        <v>433</v>
      </c>
      <c r="BD3" t="s">
        <v>434</v>
      </c>
      <c r="BE3" t="s">
        <v>435</v>
      </c>
      <c r="BF3" t="s">
        <v>436</v>
      </c>
      <c r="BG3" t="s">
        <v>437</v>
      </c>
      <c r="BH3" t="s">
        <v>438</v>
      </c>
      <c r="BI3" t="s">
        <v>439</v>
      </c>
      <c r="BJ3" t="s">
        <v>440</v>
      </c>
      <c r="BK3" t="s">
        <v>442</v>
      </c>
      <c r="BL3" t="s">
        <v>443</v>
      </c>
      <c r="BM3" t="s">
        <v>444</v>
      </c>
      <c r="BN3" t="s">
        <v>445</v>
      </c>
      <c r="BO3" t="s">
        <v>446</v>
      </c>
      <c r="BP3" t="s">
        <v>447</v>
      </c>
      <c r="BQ3" t="s">
        <v>448</v>
      </c>
      <c r="BR3" t="s">
        <v>449</v>
      </c>
      <c r="BS3" t="s">
        <v>450</v>
      </c>
      <c r="BT3" t="s">
        <v>451</v>
      </c>
      <c r="BU3" s="74" t="s">
        <v>452</v>
      </c>
      <c r="BV3" t="s">
        <v>453</v>
      </c>
      <c r="BW3" t="s">
        <v>454</v>
      </c>
      <c r="BX3" t="s">
        <v>455</v>
      </c>
      <c r="BY3" t="s">
        <v>456</v>
      </c>
      <c r="BZ3" t="s">
        <v>458</v>
      </c>
      <c r="CA3" t="s">
        <v>459</v>
      </c>
      <c r="CB3" t="s">
        <v>460</v>
      </c>
      <c r="CC3" t="s">
        <v>462</v>
      </c>
      <c r="CD3" s="1" t="s">
        <v>463</v>
      </c>
      <c r="CE3" t="s">
        <v>464</v>
      </c>
      <c r="CF3" t="s">
        <v>465</v>
      </c>
      <c r="CG3" t="s">
        <v>466</v>
      </c>
      <c r="CH3" t="s">
        <v>467</v>
      </c>
      <c r="CI3" t="s">
        <v>468</v>
      </c>
      <c r="CJ3" t="s">
        <v>469</v>
      </c>
      <c r="CK3" t="s">
        <v>470</v>
      </c>
      <c r="CL3" t="s">
        <v>472</v>
      </c>
      <c r="CM3" t="s">
        <v>473</v>
      </c>
      <c r="CN3" t="s">
        <v>474</v>
      </c>
      <c r="CO3" t="s">
        <v>475</v>
      </c>
      <c r="CP3" t="s">
        <v>476</v>
      </c>
      <c r="CQ3" t="s">
        <v>477</v>
      </c>
      <c r="CR3" t="s">
        <v>478</v>
      </c>
      <c r="CS3" t="s">
        <v>479</v>
      </c>
      <c r="CT3" t="s">
        <v>480</v>
      </c>
      <c r="CU3" t="s">
        <v>481</v>
      </c>
      <c r="CV3" t="s">
        <v>482</v>
      </c>
      <c r="CW3" t="s">
        <v>483</v>
      </c>
      <c r="CX3" t="s">
        <v>484</v>
      </c>
      <c r="CY3" t="s">
        <v>485</v>
      </c>
      <c r="CZ3" t="s">
        <v>486</v>
      </c>
      <c r="DA3" t="s">
        <v>487</v>
      </c>
      <c r="DB3" t="s">
        <v>488</v>
      </c>
      <c r="DC3" t="s">
        <v>489</v>
      </c>
      <c r="DD3" t="s">
        <v>491</v>
      </c>
      <c r="DE3" t="s">
        <v>492</v>
      </c>
      <c r="DF3" t="s">
        <v>494</v>
      </c>
      <c r="DG3" t="s">
        <v>495</v>
      </c>
      <c r="DH3" t="s">
        <v>496</v>
      </c>
      <c r="DI3" t="s">
        <v>497</v>
      </c>
      <c r="DJ3" t="s">
        <v>498</v>
      </c>
      <c r="DK3" t="s">
        <v>499</v>
      </c>
      <c r="DL3" t="s">
        <v>500</v>
      </c>
      <c r="DM3" t="s">
        <v>501</v>
      </c>
      <c r="DN3" t="s">
        <v>502</v>
      </c>
      <c r="DO3" t="s">
        <v>503</v>
      </c>
      <c r="DP3" t="s">
        <v>504</v>
      </c>
      <c r="DQ3" t="s">
        <v>506</v>
      </c>
      <c r="DR3" t="s">
        <v>507</v>
      </c>
      <c r="DS3" t="s">
        <v>508</v>
      </c>
      <c r="DT3" t="s">
        <v>509</v>
      </c>
      <c r="DU3" t="s">
        <v>510</v>
      </c>
      <c r="DV3" t="s">
        <v>511</v>
      </c>
      <c r="DW3" t="s">
        <v>512</v>
      </c>
      <c r="DX3" t="s">
        <v>513</v>
      </c>
      <c r="DY3" t="s">
        <v>514</v>
      </c>
      <c r="DZ3" t="s">
        <v>515</v>
      </c>
      <c r="EA3" t="s">
        <v>516</v>
      </c>
      <c r="EB3" s="77" t="s">
        <v>517</v>
      </c>
      <c r="EC3" s="20" t="s">
        <v>519</v>
      </c>
      <c r="ED3" s="20" t="s">
        <v>520</v>
      </c>
      <c r="EE3" s="74" t="s">
        <v>521</v>
      </c>
      <c r="EF3" s="1" t="s">
        <v>522</v>
      </c>
      <c r="EG3" s="1" t="s">
        <v>523</v>
      </c>
    </row>
    <row r="4">
      <c r="A4" s="2" t="s">
        <v>524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  <c r="J4" t="s">
        <v>106</v>
      </c>
      <c r="K4" t="s">
        <v>107</v>
      </c>
      <c r="L4" t="s">
        <v>108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114</v>
      </c>
      <c r="S4" t="s">
        <v>115</v>
      </c>
      <c r="T4" t="s">
        <v>116</v>
      </c>
      <c r="U4" t="s">
        <v>117</v>
      </c>
      <c r="V4" t="s">
        <v>118</v>
      </c>
      <c r="W4" t="s">
        <v>119</v>
      </c>
      <c r="X4" t="s">
        <v>120</v>
      </c>
      <c r="Y4" t="s">
        <v>121</v>
      </c>
      <c r="Z4" t="s">
        <v>122</v>
      </c>
      <c r="AA4" t="s">
        <v>123</v>
      </c>
      <c r="AB4" t="s">
        <v>124</v>
      </c>
      <c r="AC4" t="s">
        <v>125</v>
      </c>
      <c r="AD4" t="s">
        <v>126</v>
      </c>
      <c r="AE4" t="s">
        <v>127</v>
      </c>
      <c r="AF4" t="s">
        <v>128</v>
      </c>
      <c r="AG4" t="s">
        <v>129</v>
      </c>
      <c r="AH4" t="s">
        <v>130</v>
      </c>
      <c r="AI4" t="s">
        <v>131</v>
      </c>
      <c r="AJ4" t="s">
        <v>133</v>
      </c>
      <c r="AK4" t="s">
        <v>134</v>
      </c>
      <c r="AL4" t="s">
        <v>135</v>
      </c>
      <c r="AM4" t="s">
        <v>136</v>
      </c>
      <c r="AN4" t="s">
        <v>137</v>
      </c>
      <c r="AO4" t="s">
        <v>138</v>
      </c>
      <c r="AP4" t="s">
        <v>139</v>
      </c>
      <c r="AQ4" t="s">
        <v>140</v>
      </c>
      <c r="AR4" t="s">
        <v>141</v>
      </c>
      <c r="AS4" t="s">
        <v>142</v>
      </c>
      <c r="AT4" t="s">
        <v>143</v>
      </c>
      <c r="AU4" t="s">
        <v>144</v>
      </c>
      <c r="AV4" t="s">
        <v>145</v>
      </c>
      <c r="AW4" t="s">
        <v>146</v>
      </c>
      <c r="AX4" t="s">
        <v>147</v>
      </c>
      <c r="AY4" t="s">
        <v>148</v>
      </c>
      <c r="AZ4" t="s">
        <v>288</v>
      </c>
      <c r="BA4" t="s">
        <v>150</v>
      </c>
      <c r="BB4" t="s">
        <v>151</v>
      </c>
      <c r="BC4" t="s">
        <v>152</v>
      </c>
      <c r="BD4" s="1" t="s">
        <v>292</v>
      </c>
      <c r="BE4" t="s">
        <v>154</v>
      </c>
      <c r="BF4" t="s">
        <v>155</v>
      </c>
      <c r="BG4" t="s">
        <v>157</v>
      </c>
      <c r="BH4" t="s">
        <v>158</v>
      </c>
      <c r="BI4" t="s">
        <v>159</v>
      </c>
      <c r="BJ4" t="s">
        <v>160</v>
      </c>
      <c r="BK4" t="s">
        <v>161</v>
      </c>
      <c r="BL4" t="s">
        <v>162</v>
      </c>
      <c r="BM4" t="s">
        <v>163</v>
      </c>
      <c r="BN4" t="s">
        <v>164</v>
      </c>
      <c r="BO4" t="s">
        <v>165</v>
      </c>
      <c r="BP4" t="s">
        <v>166</v>
      </c>
      <c r="BQ4" t="s">
        <v>167</v>
      </c>
      <c r="BR4" t="s">
        <v>168</v>
      </c>
      <c r="BS4" t="s">
        <v>169</v>
      </c>
      <c r="BT4" t="s">
        <v>170</v>
      </c>
      <c r="BU4" t="s">
        <v>534</v>
      </c>
      <c r="BV4" t="s">
        <v>172</v>
      </c>
      <c r="BW4" t="s">
        <v>173</v>
      </c>
      <c r="BX4" t="s">
        <v>174</v>
      </c>
      <c r="BY4" t="s">
        <v>175</v>
      </c>
      <c r="BZ4" t="s">
        <v>176</v>
      </c>
      <c r="CA4" t="s">
        <v>177</v>
      </c>
      <c r="CB4" t="s">
        <v>178</v>
      </c>
      <c r="CC4" t="s">
        <v>179</v>
      </c>
      <c r="CD4" t="s">
        <v>536</v>
      </c>
      <c r="CE4" t="s">
        <v>181</v>
      </c>
      <c r="CF4" t="s">
        <v>182</v>
      </c>
      <c r="CG4" t="s">
        <v>183</v>
      </c>
      <c r="CH4" t="s">
        <v>184</v>
      </c>
      <c r="CI4" t="s">
        <v>185</v>
      </c>
      <c r="CJ4" t="s">
        <v>186</v>
      </c>
      <c r="CK4" t="s">
        <v>187</v>
      </c>
      <c r="CL4" t="s">
        <v>188</v>
      </c>
      <c r="CM4" t="s">
        <v>189</v>
      </c>
      <c r="CN4" s="1" t="s">
        <v>537</v>
      </c>
      <c r="CO4" t="s">
        <v>191</v>
      </c>
      <c r="CP4" t="s">
        <v>192</v>
      </c>
      <c r="CQ4" t="s">
        <v>194</v>
      </c>
      <c r="CR4" t="s">
        <v>195</v>
      </c>
      <c r="CS4" t="s">
        <v>196</v>
      </c>
      <c r="CT4" t="s">
        <v>197</v>
      </c>
      <c r="CU4" t="s">
        <v>198</v>
      </c>
      <c r="CV4" t="s">
        <v>199</v>
      </c>
      <c r="CW4" t="s">
        <v>200</v>
      </c>
      <c r="CX4" t="s">
        <v>201</v>
      </c>
      <c r="CY4" t="s">
        <v>202</v>
      </c>
      <c r="CZ4" t="s">
        <v>45</v>
      </c>
      <c r="DA4" t="s">
        <v>203</v>
      </c>
      <c r="DB4" t="s">
        <v>204</v>
      </c>
      <c r="DC4" t="s">
        <v>205</v>
      </c>
      <c r="DD4" t="s">
        <v>206</v>
      </c>
      <c r="DE4" t="s">
        <v>207</v>
      </c>
      <c r="DF4" t="s">
        <v>208</v>
      </c>
      <c r="DG4" t="s">
        <v>209</v>
      </c>
      <c r="DH4" t="s">
        <v>210</v>
      </c>
      <c r="DI4" t="s">
        <v>211</v>
      </c>
      <c r="DJ4" t="s">
        <v>539</v>
      </c>
      <c r="DK4" t="s">
        <v>213</v>
      </c>
      <c r="DL4" t="s">
        <v>422</v>
      </c>
      <c r="DM4" t="s">
        <v>215</v>
      </c>
      <c r="DN4" t="s">
        <v>216</v>
      </c>
      <c r="DO4" t="s">
        <v>217</v>
      </c>
      <c r="DP4" s="1" t="s">
        <v>540</v>
      </c>
      <c r="DQ4" t="s">
        <v>541</v>
      </c>
      <c r="DR4" t="s">
        <v>220</v>
      </c>
      <c r="DS4" t="s">
        <v>221</v>
      </c>
      <c r="DT4" t="s">
        <v>222</v>
      </c>
      <c r="DU4" t="s">
        <v>223</v>
      </c>
      <c r="DV4" t="s">
        <v>225</v>
      </c>
      <c r="DW4" t="s">
        <v>226</v>
      </c>
      <c r="DX4" t="s">
        <v>227</v>
      </c>
      <c r="DY4" t="s">
        <v>228</v>
      </c>
      <c r="DZ4" t="s">
        <v>229</v>
      </c>
      <c r="EA4" s="1" t="s">
        <v>542</v>
      </c>
      <c r="EB4" s="1" t="s">
        <v>231</v>
      </c>
      <c r="EC4" s="20" t="s">
        <v>232</v>
      </c>
      <c r="ED4" s="20" t="s">
        <v>233</v>
      </c>
      <c r="EE4" s="20" t="s">
        <v>234</v>
      </c>
      <c r="EF4" s="1" t="s">
        <v>235</v>
      </c>
      <c r="EG4" s="1" t="s">
        <v>236</v>
      </c>
    </row>
    <row r="5">
      <c r="A5" s="2" t="s">
        <v>11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M5" t="s">
        <v>109</v>
      </c>
      <c r="N5" t="s">
        <v>110</v>
      </c>
      <c r="O5" t="s">
        <v>111</v>
      </c>
      <c r="P5" t="s">
        <v>112</v>
      </c>
      <c r="Q5" t="s">
        <v>113</v>
      </c>
      <c r="R5" t="s">
        <v>114</v>
      </c>
      <c r="S5" t="s">
        <v>115</v>
      </c>
      <c r="T5" t="s">
        <v>116</v>
      </c>
      <c r="U5" t="s">
        <v>117</v>
      </c>
      <c r="V5" t="s">
        <v>118</v>
      </c>
      <c r="W5" t="s">
        <v>119</v>
      </c>
      <c r="X5" t="s">
        <v>120</v>
      </c>
      <c r="Y5" t="s">
        <v>121</v>
      </c>
      <c r="Z5" t="s">
        <v>122</v>
      </c>
      <c r="AA5" t="s">
        <v>123</v>
      </c>
      <c r="AB5" t="s">
        <v>124</v>
      </c>
      <c r="AC5" t="s">
        <v>125</v>
      </c>
      <c r="AD5" t="s">
        <v>126</v>
      </c>
      <c r="AE5" t="s">
        <v>127</v>
      </c>
      <c r="AF5" t="s">
        <v>128</v>
      </c>
      <c r="AG5" t="s">
        <v>129</v>
      </c>
      <c r="AH5" t="s">
        <v>130</v>
      </c>
      <c r="AI5" t="s">
        <v>131</v>
      </c>
      <c r="AJ5" t="s">
        <v>133</v>
      </c>
      <c r="AK5" t="s">
        <v>134</v>
      </c>
      <c r="AL5" t="s">
        <v>135</v>
      </c>
      <c r="AM5" t="s">
        <v>136</v>
      </c>
      <c r="AN5" t="s">
        <v>137</v>
      </c>
      <c r="AO5" t="s">
        <v>138</v>
      </c>
      <c r="AP5" t="s">
        <v>139</v>
      </c>
      <c r="AQ5" t="s">
        <v>140</v>
      </c>
      <c r="AR5" t="s">
        <v>141</v>
      </c>
      <c r="AS5" t="s">
        <v>142</v>
      </c>
      <c r="AT5" t="s">
        <v>143</v>
      </c>
      <c r="AU5" t="s">
        <v>144</v>
      </c>
      <c r="AV5" t="s">
        <v>145</v>
      </c>
      <c r="AW5" t="s">
        <v>146</v>
      </c>
      <c r="AX5" t="s">
        <v>147</v>
      </c>
      <c r="AY5" t="s">
        <v>148</v>
      </c>
      <c r="AZ5" t="s">
        <v>545</v>
      </c>
      <c r="BA5" t="s">
        <v>150</v>
      </c>
      <c r="BB5" t="s">
        <v>151</v>
      </c>
      <c r="BC5" t="s">
        <v>152</v>
      </c>
      <c r="BD5" t="s">
        <v>153</v>
      </c>
      <c r="BE5" t="s">
        <v>154</v>
      </c>
      <c r="BF5" t="s">
        <v>155</v>
      </c>
      <c r="BG5" t="s">
        <v>157</v>
      </c>
      <c r="BH5" t="s">
        <v>546</v>
      </c>
      <c r="BI5" t="s">
        <v>159</v>
      </c>
      <c r="BJ5" t="s">
        <v>160</v>
      </c>
      <c r="BK5" t="s">
        <v>161</v>
      </c>
      <c r="BL5" t="s">
        <v>162</v>
      </c>
      <c r="BM5" t="s">
        <v>163</v>
      </c>
      <c r="BN5" t="s">
        <v>164</v>
      </c>
      <c r="BO5" t="s">
        <v>165</v>
      </c>
      <c r="BP5" t="s">
        <v>166</v>
      </c>
      <c r="BQ5" t="s">
        <v>167</v>
      </c>
      <c r="BR5" t="s">
        <v>168</v>
      </c>
      <c r="BS5" t="s">
        <v>304</v>
      </c>
      <c r="BT5" t="s">
        <v>170</v>
      </c>
      <c r="BU5" s="20" t="s">
        <v>548</v>
      </c>
      <c r="BV5" t="s">
        <v>172</v>
      </c>
      <c r="BW5" t="s">
        <v>173</v>
      </c>
      <c r="BX5" t="s">
        <v>174</v>
      </c>
      <c r="BY5" t="s">
        <v>175</v>
      </c>
      <c r="BZ5" t="s">
        <v>176</v>
      </c>
      <c r="CA5" t="s">
        <v>177</v>
      </c>
      <c r="CB5" t="s">
        <v>178</v>
      </c>
      <c r="CC5" t="s">
        <v>179</v>
      </c>
      <c r="CD5" t="s">
        <v>536</v>
      </c>
      <c r="CE5" t="s">
        <v>181</v>
      </c>
      <c r="CF5" t="s">
        <v>182</v>
      </c>
      <c r="CG5" t="s">
        <v>183</v>
      </c>
      <c r="CH5" t="s">
        <v>549</v>
      </c>
      <c r="CI5" t="s">
        <v>185</v>
      </c>
      <c r="CJ5" t="s">
        <v>186</v>
      </c>
      <c r="CK5" t="s">
        <v>187</v>
      </c>
      <c r="CL5" t="s">
        <v>188</v>
      </c>
      <c r="CM5" t="s">
        <v>189</v>
      </c>
      <c r="CN5" t="s">
        <v>190</v>
      </c>
      <c r="CO5" t="s">
        <v>191</v>
      </c>
      <c r="CP5" t="s">
        <v>192</v>
      </c>
      <c r="CQ5" t="s">
        <v>194</v>
      </c>
      <c r="CR5" t="s">
        <v>195</v>
      </c>
      <c r="CS5" t="s">
        <v>196</v>
      </c>
      <c r="CT5" t="s">
        <v>197</v>
      </c>
      <c r="CU5" t="s">
        <v>198</v>
      </c>
      <c r="CV5" t="s">
        <v>199</v>
      </c>
      <c r="CW5" t="s">
        <v>200</v>
      </c>
      <c r="CX5" t="s">
        <v>201</v>
      </c>
      <c r="CY5" t="s">
        <v>202</v>
      </c>
      <c r="CZ5" t="s">
        <v>45</v>
      </c>
      <c r="DA5" t="s">
        <v>203</v>
      </c>
      <c r="DB5" t="s">
        <v>204</v>
      </c>
      <c r="DC5" t="s">
        <v>205</v>
      </c>
      <c r="DD5" t="s">
        <v>206</v>
      </c>
      <c r="DE5" t="s">
        <v>207</v>
      </c>
      <c r="DF5" t="s">
        <v>208</v>
      </c>
      <c r="DG5" t="s">
        <v>209</v>
      </c>
      <c r="DH5" t="s">
        <v>210</v>
      </c>
      <c r="DI5" t="s">
        <v>211</v>
      </c>
      <c r="DJ5" t="s">
        <v>539</v>
      </c>
      <c r="DK5" t="s">
        <v>213</v>
      </c>
      <c r="DL5" t="s">
        <v>422</v>
      </c>
      <c r="DM5" t="s">
        <v>215</v>
      </c>
      <c r="DN5" t="s">
        <v>216</v>
      </c>
      <c r="DO5" t="s">
        <v>217</v>
      </c>
      <c r="DP5" t="s">
        <v>552</v>
      </c>
      <c r="DQ5" t="s">
        <v>219</v>
      </c>
      <c r="DR5" t="s">
        <v>220</v>
      </c>
      <c r="DS5" t="s">
        <v>221</v>
      </c>
      <c r="DT5" t="s">
        <v>222</v>
      </c>
      <c r="DU5" t="s">
        <v>223</v>
      </c>
      <c r="DV5" t="s">
        <v>225</v>
      </c>
      <c r="DW5" t="s">
        <v>226</v>
      </c>
      <c r="DX5" t="s">
        <v>227</v>
      </c>
      <c r="DY5" t="s">
        <v>228</v>
      </c>
      <c r="DZ5" t="s">
        <v>229</v>
      </c>
      <c r="EA5" t="s">
        <v>527</v>
      </c>
      <c r="EB5" s="77" t="s">
        <v>231</v>
      </c>
      <c r="EC5" s="20" t="s">
        <v>232</v>
      </c>
      <c r="ED5" s="20" t="s">
        <v>233</v>
      </c>
      <c r="EE5" s="20" t="s">
        <v>234</v>
      </c>
      <c r="EF5" s="1" t="s">
        <v>235</v>
      </c>
      <c r="EG5" s="1" t="s">
        <v>236</v>
      </c>
    </row>
    <row r="6">
      <c r="A6" s="2" t="s">
        <v>553</v>
      </c>
      <c r="B6" t="s">
        <v>375</v>
      </c>
      <c r="C6" t="s">
        <v>376</v>
      </c>
      <c r="D6" t="s">
        <v>377</v>
      </c>
      <c r="E6" t="s">
        <v>378</v>
      </c>
      <c r="F6" t="s">
        <v>379</v>
      </c>
      <c r="G6" t="s">
        <v>380</v>
      </c>
      <c r="H6" t="s">
        <v>381</v>
      </c>
      <c r="I6" t="s">
        <v>382</v>
      </c>
      <c r="J6" t="s">
        <v>383</v>
      </c>
      <c r="K6" t="s">
        <v>384</v>
      </c>
      <c r="L6" t="s">
        <v>385</v>
      </c>
      <c r="M6" t="s">
        <v>386</v>
      </c>
      <c r="N6" t="s">
        <v>387</v>
      </c>
      <c r="O6" t="s">
        <v>388</v>
      </c>
      <c r="P6" t="s">
        <v>389</v>
      </c>
      <c r="Q6" t="s">
        <v>390</v>
      </c>
      <c r="R6" t="s">
        <v>391</v>
      </c>
      <c r="S6" t="s">
        <v>393</v>
      </c>
      <c r="T6" t="s">
        <v>394</v>
      </c>
      <c r="U6" t="s">
        <v>396</v>
      </c>
      <c r="V6" t="s">
        <v>397</v>
      </c>
      <c r="W6" t="s">
        <v>398</v>
      </c>
      <c r="X6" t="s">
        <v>399</v>
      </c>
      <c r="Y6" t="s">
        <v>400</v>
      </c>
      <c r="Z6" t="s">
        <v>401</v>
      </c>
      <c r="AA6" t="s">
        <v>402</v>
      </c>
      <c r="AB6" t="s">
        <v>403</v>
      </c>
      <c r="AC6" t="s">
        <v>404</v>
      </c>
      <c r="AD6" t="s">
        <v>405</v>
      </c>
      <c r="AE6" t="s">
        <v>406</v>
      </c>
      <c r="AF6" t="s">
        <v>408</v>
      </c>
      <c r="AG6" t="s">
        <v>409</v>
      </c>
      <c r="AH6" t="s">
        <v>410</v>
      </c>
      <c r="AI6" t="s">
        <v>411</v>
      </c>
      <c r="AJ6" t="s">
        <v>412</v>
      </c>
      <c r="AK6" t="s">
        <v>413</v>
      </c>
      <c r="AL6" t="s">
        <v>414</v>
      </c>
      <c r="AM6" t="s">
        <v>415</v>
      </c>
      <c r="AN6" t="s">
        <v>416</v>
      </c>
      <c r="AO6" t="s">
        <v>417</v>
      </c>
      <c r="AP6" t="s">
        <v>418</v>
      </c>
      <c r="AQ6" t="s">
        <v>419</v>
      </c>
      <c r="AR6" t="s">
        <v>420</v>
      </c>
      <c r="AS6" t="s">
        <v>421</v>
      </c>
      <c r="AT6" t="s">
        <v>423</v>
      </c>
      <c r="AU6" t="s">
        <v>424</v>
      </c>
      <c r="AV6" t="s">
        <v>425</v>
      </c>
      <c r="AW6" t="s">
        <v>426</v>
      </c>
      <c r="AX6" t="s">
        <v>428</v>
      </c>
      <c r="AY6" t="s">
        <v>429</v>
      </c>
      <c r="AZ6" t="s">
        <v>430</v>
      </c>
      <c r="BA6" t="s">
        <v>431</v>
      </c>
      <c r="BB6" t="s">
        <v>432</v>
      </c>
      <c r="BC6" t="s">
        <v>433</v>
      </c>
      <c r="BD6" t="s">
        <v>434</v>
      </c>
      <c r="BE6" t="s">
        <v>435</v>
      </c>
      <c r="BF6" t="s">
        <v>436</v>
      </c>
      <c r="BG6" t="s">
        <v>437</v>
      </c>
      <c r="BH6" t="s">
        <v>559</v>
      </c>
      <c r="BI6" t="s">
        <v>439</v>
      </c>
      <c r="BJ6" t="s">
        <v>440</v>
      </c>
      <c r="BK6" t="s">
        <v>442</v>
      </c>
      <c r="BL6" t="s">
        <v>443</v>
      </c>
      <c r="BM6" t="s">
        <v>444</v>
      </c>
      <c r="BN6" t="s">
        <v>445</v>
      </c>
      <c r="BO6" t="s">
        <v>446</v>
      </c>
      <c r="BP6" t="s">
        <v>447</v>
      </c>
      <c r="BQ6" t="s">
        <v>448</v>
      </c>
      <c r="BR6" t="s">
        <v>449</v>
      </c>
      <c r="BS6" t="s">
        <v>450</v>
      </c>
      <c r="BT6" t="s">
        <v>451</v>
      </c>
      <c r="BU6" t="s">
        <v>452</v>
      </c>
      <c r="BV6" t="s">
        <v>453</v>
      </c>
      <c r="BW6" t="s">
        <v>454</v>
      </c>
      <c r="BX6" t="s">
        <v>455</v>
      </c>
      <c r="BY6" t="s">
        <v>456</v>
      </c>
      <c r="BZ6" t="s">
        <v>458</v>
      </c>
      <c r="CA6" t="s">
        <v>459</v>
      </c>
      <c r="CB6" t="s">
        <v>460</v>
      </c>
      <c r="CC6" t="s">
        <v>462</v>
      </c>
      <c r="CD6" t="s">
        <v>562</v>
      </c>
      <c r="CE6" t="s">
        <v>464</v>
      </c>
      <c r="CF6" t="s">
        <v>465</v>
      </c>
      <c r="CG6" t="s">
        <v>466</v>
      </c>
      <c r="CH6" t="s">
        <v>563</v>
      </c>
      <c r="CI6" t="s">
        <v>468</v>
      </c>
      <c r="CJ6" t="s">
        <v>469</v>
      </c>
      <c r="CK6" t="s">
        <v>470</v>
      </c>
      <c r="CL6" t="s">
        <v>472</v>
      </c>
      <c r="CM6" t="s">
        <v>473</v>
      </c>
      <c r="CN6" t="s">
        <v>474</v>
      </c>
      <c r="CO6" t="s">
        <v>475</v>
      </c>
      <c r="CP6" t="s">
        <v>476</v>
      </c>
      <c r="CQ6" t="s">
        <v>477</v>
      </c>
      <c r="CR6" t="s">
        <v>478</v>
      </c>
      <c r="CS6" t="s">
        <v>479</v>
      </c>
      <c r="CT6" t="s">
        <v>480</v>
      </c>
      <c r="CU6" t="s">
        <v>481</v>
      </c>
      <c r="CV6" t="s">
        <v>482</v>
      </c>
      <c r="CW6" t="s">
        <v>483</v>
      </c>
      <c r="CX6" t="s">
        <v>484</v>
      </c>
      <c r="CY6" t="s">
        <v>485</v>
      </c>
      <c r="CZ6" t="s">
        <v>486</v>
      </c>
      <c r="DA6" t="s">
        <v>487</v>
      </c>
      <c r="DB6" t="s">
        <v>488</v>
      </c>
      <c r="DC6" t="s">
        <v>489</v>
      </c>
      <c r="DD6" t="s">
        <v>491</v>
      </c>
      <c r="DE6" t="s">
        <v>492</v>
      </c>
      <c r="DF6" t="s">
        <v>494</v>
      </c>
      <c r="DG6" t="s">
        <v>495</v>
      </c>
      <c r="DH6" t="s">
        <v>496</v>
      </c>
      <c r="DI6" t="s">
        <v>497</v>
      </c>
      <c r="DJ6" t="s">
        <v>498</v>
      </c>
      <c r="DK6" t="s">
        <v>499</v>
      </c>
      <c r="DL6" s="1" t="s">
        <v>566</v>
      </c>
      <c r="DM6" t="s">
        <v>501</v>
      </c>
      <c r="DN6" t="s">
        <v>502</v>
      </c>
      <c r="DO6" t="s">
        <v>503</v>
      </c>
      <c r="DP6" t="s">
        <v>567</v>
      </c>
      <c r="DQ6" t="s">
        <v>506</v>
      </c>
      <c r="DR6" t="s">
        <v>507</v>
      </c>
      <c r="DS6" t="s">
        <v>508</v>
      </c>
      <c r="DT6" t="s">
        <v>509</v>
      </c>
      <c r="DU6" t="s">
        <v>510</v>
      </c>
      <c r="DV6" t="s">
        <v>511</v>
      </c>
      <c r="DW6" t="s">
        <v>512</v>
      </c>
      <c r="DX6" t="s">
        <v>513</v>
      </c>
      <c r="DY6" t="s">
        <v>514</v>
      </c>
      <c r="DZ6" t="s">
        <v>515</v>
      </c>
      <c r="EA6" s="1" t="s">
        <v>568</v>
      </c>
      <c r="EB6" s="77" t="s">
        <v>517</v>
      </c>
      <c r="EC6" s="20" t="s">
        <v>519</v>
      </c>
      <c r="ED6" s="20" t="s">
        <v>520</v>
      </c>
      <c r="EE6" s="20" t="s">
        <v>569</v>
      </c>
      <c r="EF6" s="1" t="s">
        <v>571</v>
      </c>
      <c r="EG6" s="1" t="s">
        <v>523</v>
      </c>
    </row>
    <row r="7">
      <c r="A7" s="2" t="s">
        <v>572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s="1" t="s">
        <v>574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s="1" t="s">
        <v>575</v>
      </c>
      <c r="R7" t="s">
        <v>114</v>
      </c>
      <c r="S7" t="s">
        <v>115</v>
      </c>
      <c r="T7" s="1" t="s">
        <v>576</v>
      </c>
      <c r="U7" s="1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s="1" t="s">
        <v>577</v>
      </c>
      <c r="AD7" t="s">
        <v>126</v>
      </c>
      <c r="AE7" s="1" t="s">
        <v>579</v>
      </c>
      <c r="AF7" t="s">
        <v>128</v>
      </c>
      <c r="AG7" s="1" t="s">
        <v>581</v>
      </c>
      <c r="AH7" t="s">
        <v>130</v>
      </c>
      <c r="AI7" t="s">
        <v>131</v>
      </c>
      <c r="AJ7" t="s">
        <v>133</v>
      </c>
      <c r="AK7" t="s">
        <v>134</v>
      </c>
      <c r="AL7" t="s">
        <v>135</v>
      </c>
      <c r="AM7" t="s">
        <v>136</v>
      </c>
      <c r="AN7" t="s">
        <v>137</v>
      </c>
      <c r="AO7" t="s">
        <v>138</v>
      </c>
      <c r="AP7" t="s">
        <v>139</v>
      </c>
      <c r="AQ7" s="1" t="s">
        <v>582</v>
      </c>
      <c r="AR7" t="s">
        <v>141</v>
      </c>
      <c r="AS7" t="s">
        <v>142</v>
      </c>
      <c r="AT7" t="s">
        <v>143</v>
      </c>
      <c r="AU7" s="1" t="s">
        <v>584</v>
      </c>
      <c r="AV7" s="1" t="s">
        <v>585</v>
      </c>
      <c r="AW7" t="s">
        <v>146</v>
      </c>
      <c r="AX7" t="s">
        <v>147</v>
      </c>
      <c r="AY7" t="s">
        <v>148</v>
      </c>
      <c r="AZ7" s="1" t="s">
        <v>288</v>
      </c>
      <c r="BA7" s="1" t="s">
        <v>586</v>
      </c>
      <c r="BB7" t="s">
        <v>151</v>
      </c>
      <c r="BC7" t="s">
        <v>152</v>
      </c>
      <c r="BD7" s="1" t="s">
        <v>588</v>
      </c>
      <c r="BE7" t="s">
        <v>154</v>
      </c>
      <c r="BF7" t="s">
        <v>155</v>
      </c>
      <c r="BG7" t="s">
        <v>157</v>
      </c>
      <c r="BH7" s="1" t="s">
        <v>589</v>
      </c>
      <c r="BI7" t="s">
        <v>159</v>
      </c>
      <c r="BJ7" t="s">
        <v>160</v>
      </c>
      <c r="BK7" t="s">
        <v>161</v>
      </c>
      <c r="BL7" s="1" t="s">
        <v>590</v>
      </c>
      <c r="BM7" t="s">
        <v>163</v>
      </c>
      <c r="BN7" t="s">
        <v>164</v>
      </c>
      <c r="BO7" s="1" t="s">
        <v>591</v>
      </c>
      <c r="BP7" t="s">
        <v>166</v>
      </c>
      <c r="BQ7" t="s">
        <v>167</v>
      </c>
      <c r="BR7" s="1" t="s">
        <v>592</v>
      </c>
      <c r="BS7" s="1" t="s">
        <v>593</v>
      </c>
      <c r="BT7" s="1" t="s">
        <v>594</v>
      </c>
      <c r="BU7" s="20" t="s">
        <v>595</v>
      </c>
      <c r="BV7" s="1" t="s">
        <v>307</v>
      </c>
      <c r="BW7" t="s">
        <v>173</v>
      </c>
      <c r="BX7" t="s">
        <v>174</v>
      </c>
      <c r="BY7" s="1" t="s">
        <v>598</v>
      </c>
      <c r="BZ7" t="s">
        <v>176</v>
      </c>
      <c r="CA7" s="1" t="s">
        <v>600</v>
      </c>
      <c r="CB7" s="1" t="s">
        <v>602</v>
      </c>
      <c r="CC7" s="1" t="s">
        <v>604</v>
      </c>
      <c r="CD7" t="s">
        <v>536</v>
      </c>
      <c r="CE7" t="s">
        <v>181</v>
      </c>
      <c r="CF7" t="s">
        <v>182</v>
      </c>
      <c r="CG7" s="1" t="s">
        <v>606</v>
      </c>
      <c r="CH7" s="1" t="s">
        <v>607</v>
      </c>
      <c r="CI7" t="s">
        <v>185</v>
      </c>
      <c r="CJ7" s="1" t="s">
        <v>609</v>
      </c>
      <c r="CK7" t="s">
        <v>187</v>
      </c>
      <c r="CL7" t="s">
        <v>188</v>
      </c>
      <c r="CM7" s="1" t="s">
        <v>610</v>
      </c>
      <c r="CN7" t="s">
        <v>190</v>
      </c>
      <c r="CO7" t="s">
        <v>191</v>
      </c>
      <c r="CP7" t="s">
        <v>192</v>
      </c>
      <c r="CQ7" s="1" t="s">
        <v>611</v>
      </c>
      <c r="CR7" t="s">
        <v>195</v>
      </c>
      <c r="CS7" t="s">
        <v>196</v>
      </c>
      <c r="CT7" s="1" t="s">
        <v>612</v>
      </c>
      <c r="CU7" t="s">
        <v>198</v>
      </c>
      <c r="CV7" t="s">
        <v>199</v>
      </c>
      <c r="CW7" s="1" t="s">
        <v>614</v>
      </c>
      <c r="CX7" t="s">
        <v>201</v>
      </c>
      <c r="CY7" t="s">
        <v>202</v>
      </c>
      <c r="CZ7" t="s">
        <v>45</v>
      </c>
      <c r="DA7" t="s">
        <v>203</v>
      </c>
      <c r="DB7" t="s">
        <v>204</v>
      </c>
      <c r="DC7" t="s">
        <v>205</v>
      </c>
      <c r="DD7" t="s">
        <v>206</v>
      </c>
      <c r="DE7" s="1" t="s">
        <v>616</v>
      </c>
      <c r="DF7" t="s">
        <v>208</v>
      </c>
      <c r="DG7" t="s">
        <v>209</v>
      </c>
      <c r="DH7" t="s">
        <v>210</v>
      </c>
      <c r="DI7" t="s">
        <v>211</v>
      </c>
      <c r="DJ7" t="s">
        <v>539</v>
      </c>
      <c r="DK7" t="s">
        <v>213</v>
      </c>
      <c r="DL7" s="1" t="s">
        <v>214</v>
      </c>
      <c r="DM7" s="1" t="s">
        <v>617</v>
      </c>
      <c r="DN7" s="1" t="s">
        <v>618</v>
      </c>
      <c r="DO7" s="1" t="s">
        <v>619</v>
      </c>
      <c r="DP7" t="s">
        <v>218</v>
      </c>
      <c r="DQ7" s="1" t="s">
        <v>355</v>
      </c>
      <c r="DR7" t="s">
        <v>220</v>
      </c>
      <c r="DS7" s="1" t="s">
        <v>620</v>
      </c>
      <c r="DT7" t="s">
        <v>222</v>
      </c>
      <c r="DU7" t="s">
        <v>223</v>
      </c>
      <c r="DV7" s="1" t="s">
        <v>621</v>
      </c>
      <c r="DW7" t="s">
        <v>226</v>
      </c>
      <c r="DX7" t="s">
        <v>227</v>
      </c>
      <c r="DY7" s="1" t="s">
        <v>622</v>
      </c>
      <c r="DZ7" t="s">
        <v>229</v>
      </c>
      <c r="EA7" s="1" t="s">
        <v>230</v>
      </c>
      <c r="EB7" s="77" t="s">
        <v>231</v>
      </c>
      <c r="EC7" s="20" t="s">
        <v>623</v>
      </c>
      <c r="ED7" s="20" t="s">
        <v>624</v>
      </c>
      <c r="EE7" s="20" t="s">
        <v>234</v>
      </c>
      <c r="EF7" s="1" t="s">
        <v>235</v>
      </c>
      <c r="EG7" s="1" t="s">
        <v>236</v>
      </c>
    </row>
  </sheetData>
  <conditionalFormatting sqref="EC1:EC7 ED2:EE7 EF2:EG2">
    <cfRule type="expression" dxfId="3" priority="1">
      <formula>and(not(EX1),EX1&lt;&gt;"")</formula>
    </cfRule>
  </conditionalFormatting>
  <conditionalFormatting sqref="EC1:EC7 ED2:EE7 EF2:EG2">
    <cfRule type="expression" dxfId="4" priority="2">
      <formula>EX1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327</v>
      </c>
    </row>
    <row r="2">
      <c r="A2" s="57"/>
    </row>
    <row r="3">
      <c r="A3" s="57"/>
    </row>
    <row r="4">
      <c r="A4" s="67" t="s">
        <v>363</v>
      </c>
      <c r="B4">
        <f>IFERROR(__xludf.DUMMYFUNCTION("split(D20,""-"")"),1.0)</f>
        <v>1</v>
      </c>
      <c r="C4">
        <f>IFERROR(__xludf.DUMMYFUNCTION("""COMPUTED_VALUE"""),0.0)</f>
        <v>0</v>
      </c>
    </row>
    <row r="5">
      <c r="A5" s="67" t="s">
        <v>461</v>
      </c>
      <c r="B5">
        <f>IFERROR(__xludf.DUMMYFUNCTION("split(D21,""-"")"),1.0)</f>
        <v>1</v>
      </c>
      <c r="C5">
        <f>IFERROR(__xludf.DUMMYFUNCTION("""COMPUTED_VALUE"""),0.0)</f>
        <v>0</v>
      </c>
    </row>
    <row r="6">
      <c r="A6" s="67" t="s">
        <v>505</v>
      </c>
      <c r="B6">
        <f>IFERROR(__xludf.DUMMYFUNCTION("split(D22,""-"")"),1.0)</f>
        <v>1</v>
      </c>
      <c r="C6">
        <f>IFERROR(__xludf.DUMMYFUNCTION("""COMPUTED_VALUE"""),0.0)</f>
        <v>0</v>
      </c>
    </row>
    <row r="7">
      <c r="A7" s="67" t="s">
        <v>526</v>
      </c>
      <c r="B7">
        <f>IFERROR(__xludf.DUMMYFUNCTION("split(D23,""-"")"),1.0)</f>
        <v>1</v>
      </c>
      <c r="C7">
        <f>IFERROR(__xludf.DUMMYFUNCTION("""COMPUTED_VALUE"""),0.0)</f>
        <v>0</v>
      </c>
    </row>
    <row r="8">
      <c r="A8" s="67" t="s">
        <v>529</v>
      </c>
      <c r="B8">
        <f>IFERROR(__xludf.DUMMYFUNCTION("split(D24,""-"")"),1.0)</f>
        <v>1</v>
      </c>
      <c r="C8">
        <f>IFERROR(__xludf.DUMMYFUNCTION("""COMPUTED_VALUE"""),0.0)</f>
        <v>0</v>
      </c>
    </row>
    <row r="9">
      <c r="A9" s="67" t="s">
        <v>533</v>
      </c>
      <c r="B9">
        <f>IFERROR(__xludf.DUMMYFUNCTION("split(D25,""-"")"),1.0)</f>
        <v>1</v>
      </c>
      <c r="C9">
        <f>IFERROR(__xludf.DUMMYFUNCTION("""COMPUTED_VALUE"""),0.0)</f>
        <v>0</v>
      </c>
    </row>
    <row r="10">
      <c r="A10" s="67" t="s">
        <v>538</v>
      </c>
      <c r="B10">
        <f>IFERROR(__xludf.DUMMYFUNCTION("split(D26,""-"")"),1.0)</f>
        <v>1</v>
      </c>
      <c r="C10">
        <f>IFERROR(__xludf.DUMMYFUNCTION("""COMPUTED_VALUE"""),0.0)</f>
        <v>0</v>
      </c>
    </row>
    <row r="11">
      <c r="A11" s="67" t="s">
        <v>543</v>
      </c>
      <c r="B11">
        <f>IFERROR(__xludf.DUMMYFUNCTION("split(D27,""-"")"),1.0)</f>
        <v>1</v>
      </c>
      <c r="C11">
        <f>IFERROR(__xludf.DUMMYFUNCTION("""COMPUTED_VALUE"""),0.0)</f>
        <v>0</v>
      </c>
    </row>
    <row r="12">
      <c r="A12" s="67" t="s">
        <v>544</v>
      </c>
      <c r="B12">
        <f>IFERROR(__xludf.DUMMYFUNCTION("split(D28,""-"")"),1.0)</f>
        <v>1</v>
      </c>
      <c r="C12">
        <f>IFERROR(__xludf.DUMMYFUNCTION("""COMPUTED_VALUE"""),0.0)</f>
        <v>0</v>
      </c>
    </row>
    <row r="13">
      <c r="A13" s="67" t="s">
        <v>550</v>
      </c>
      <c r="B13">
        <f>IFERROR(__xludf.DUMMYFUNCTION("split(D29,""-"")"),0.0)</f>
        <v>0</v>
      </c>
      <c r="C13">
        <f>IFERROR(__xludf.DUMMYFUNCTION("""COMPUTED_VALUE"""),1.0)</f>
        <v>1</v>
      </c>
    </row>
    <row r="14">
      <c r="A14" s="67" t="s">
        <v>555</v>
      </c>
      <c r="B14">
        <f>IFERROR(__xludf.DUMMYFUNCTION("split(D30,""-"")"),0.0)</f>
        <v>0</v>
      </c>
      <c r="C14">
        <f>IFERROR(__xludf.DUMMYFUNCTION("""COMPUTED_VALUE"""),1.0)</f>
        <v>1</v>
      </c>
    </row>
    <row r="15">
      <c r="A15" s="67" t="s">
        <v>558</v>
      </c>
      <c r="B15">
        <f>IFERROR(__xludf.DUMMYFUNCTION("split(D31,""-"")"),0.0)</f>
        <v>0</v>
      </c>
      <c r="C15">
        <f>IFERROR(__xludf.DUMMYFUNCTION("""COMPUTED_VALUE"""),1.0)</f>
        <v>1</v>
      </c>
    </row>
    <row r="16">
      <c r="A16" s="67" t="s">
        <v>561</v>
      </c>
      <c r="B16">
        <f>IFERROR(__xludf.DUMMYFUNCTION("split(D32,""-"")"),0.0)</f>
        <v>0</v>
      </c>
      <c r="C16">
        <f>IFERROR(__xludf.DUMMYFUNCTION("""COMPUTED_VALUE"""),1.0)</f>
        <v>1</v>
      </c>
    </row>
    <row r="17">
      <c r="A17" s="67" t="s">
        <v>565</v>
      </c>
      <c r="B17">
        <f>IFERROR(__xludf.DUMMYFUNCTION("split(D33,""-"")"),0.0)</f>
        <v>0</v>
      </c>
      <c r="C17">
        <f>IFERROR(__xludf.DUMMYFUNCTION("""COMPUTED_VALUE"""),1.0)</f>
        <v>1</v>
      </c>
    </row>
    <row r="18">
      <c r="A18" s="87" t="s">
        <v>573</v>
      </c>
      <c r="B18" s="88"/>
      <c r="C18" s="88"/>
      <c r="D18" s="87" t="s">
        <v>578</v>
      </c>
      <c r="E18" s="88"/>
      <c r="F18" s="88"/>
      <c r="G18" s="88"/>
      <c r="H18" s="88"/>
      <c r="I18" s="88"/>
      <c r="J18" s="87" t="s">
        <v>583</v>
      </c>
      <c r="K18" s="88"/>
    </row>
    <row r="19">
      <c r="A19" s="89" t="s">
        <v>587</v>
      </c>
      <c r="B19" s="89" t="s">
        <v>29</v>
      </c>
      <c r="C19" s="89" t="s">
        <v>30</v>
      </c>
      <c r="D19" s="89" t="s">
        <v>587</v>
      </c>
      <c r="E19" s="89" t="s">
        <v>29</v>
      </c>
      <c r="F19" s="89" t="s">
        <v>30</v>
      </c>
      <c r="G19" s="89" t="s">
        <v>599</v>
      </c>
      <c r="H19" s="89" t="s">
        <v>601</v>
      </c>
      <c r="I19" s="89" t="s">
        <v>603</v>
      </c>
      <c r="J19" s="89" t="s">
        <v>605</v>
      </c>
      <c r="K19" s="89" t="s">
        <v>356</v>
      </c>
    </row>
    <row r="20">
      <c r="A20" s="90" t="s">
        <v>608</v>
      </c>
      <c r="B20" s="90">
        <v>0.0</v>
      </c>
      <c r="C20" s="90">
        <v>0.0</v>
      </c>
      <c r="D20" s="90" t="s">
        <v>613</v>
      </c>
      <c r="E20" s="90">
        <v>45.0</v>
      </c>
      <c r="F20" s="90">
        <v>10.0</v>
      </c>
      <c r="G20" s="90" t="s">
        <v>613</v>
      </c>
      <c r="H20" s="90" t="s">
        <v>608</v>
      </c>
      <c r="I20" s="90" t="s">
        <v>615</v>
      </c>
      <c r="J20" s="90" t="s">
        <v>608</v>
      </c>
      <c r="K20" s="90" t="s">
        <v>608</v>
      </c>
    </row>
    <row r="21">
      <c r="A21" s="91" t="s">
        <v>608</v>
      </c>
      <c r="B21" s="91">
        <v>0.0</v>
      </c>
      <c r="C21" s="91">
        <v>0.0</v>
      </c>
      <c r="D21" s="91" t="s">
        <v>613</v>
      </c>
      <c r="E21" s="91">
        <v>52.0</v>
      </c>
      <c r="F21" s="91">
        <v>7.0</v>
      </c>
      <c r="G21" s="91" t="s">
        <v>613</v>
      </c>
      <c r="H21" s="91" t="s">
        <v>608</v>
      </c>
      <c r="I21" s="91" t="s">
        <v>615</v>
      </c>
      <c r="J21" s="91" t="s">
        <v>608</v>
      </c>
      <c r="K21" s="91" t="s">
        <v>608</v>
      </c>
    </row>
    <row r="22">
      <c r="A22" s="90" t="s">
        <v>608</v>
      </c>
      <c r="B22" s="90">
        <v>0.0</v>
      </c>
      <c r="C22" s="90">
        <v>0.0</v>
      </c>
      <c r="D22" s="90" t="s">
        <v>613</v>
      </c>
      <c r="E22" s="90">
        <v>51.0</v>
      </c>
      <c r="F22" s="90">
        <v>0.0</v>
      </c>
      <c r="G22" s="90" t="s">
        <v>613</v>
      </c>
      <c r="H22" s="90" t="s">
        <v>608</v>
      </c>
      <c r="I22" s="90" t="s">
        <v>615</v>
      </c>
      <c r="J22" s="90" t="s">
        <v>608</v>
      </c>
      <c r="K22" s="90" t="s">
        <v>608</v>
      </c>
    </row>
    <row r="23">
      <c r="A23" s="91" t="s">
        <v>608</v>
      </c>
      <c r="B23" s="91">
        <v>0.0</v>
      </c>
      <c r="C23" s="91">
        <v>0.0</v>
      </c>
      <c r="D23" s="91" t="s">
        <v>613</v>
      </c>
      <c r="E23" s="91">
        <v>14.0</v>
      </c>
      <c r="F23" s="91">
        <v>12.0</v>
      </c>
      <c r="G23" s="91" t="s">
        <v>608</v>
      </c>
      <c r="H23" s="91" t="s">
        <v>613</v>
      </c>
      <c r="I23" s="91" t="s">
        <v>615</v>
      </c>
      <c r="J23" s="91" t="s">
        <v>608</v>
      </c>
      <c r="K23" s="91" t="s">
        <v>608</v>
      </c>
    </row>
    <row r="24">
      <c r="A24" s="90" t="s">
        <v>608</v>
      </c>
      <c r="B24" s="90">
        <v>0.0</v>
      </c>
      <c r="C24" s="90">
        <v>0.0</v>
      </c>
      <c r="D24" s="90" t="s">
        <v>613</v>
      </c>
      <c r="E24" s="90">
        <v>34.0</v>
      </c>
      <c r="F24" s="90">
        <v>7.0</v>
      </c>
      <c r="G24" s="90" t="s">
        <v>613</v>
      </c>
      <c r="H24" s="90" t="s">
        <v>608</v>
      </c>
      <c r="I24" s="90" t="s">
        <v>615</v>
      </c>
      <c r="J24" s="90" t="s">
        <v>613</v>
      </c>
      <c r="K24" s="90" t="s">
        <v>613</v>
      </c>
    </row>
    <row r="25">
      <c r="A25" s="91" t="s">
        <v>608</v>
      </c>
      <c r="B25" s="91">
        <v>0.0</v>
      </c>
      <c r="C25" s="91">
        <v>0.0</v>
      </c>
      <c r="D25" s="91" t="s">
        <v>613</v>
      </c>
      <c r="E25" s="91">
        <v>42.0</v>
      </c>
      <c r="F25" s="91">
        <v>10.0</v>
      </c>
      <c r="G25" s="91" t="s">
        <v>608</v>
      </c>
      <c r="H25" s="91" t="s">
        <v>613</v>
      </c>
      <c r="I25" s="91" t="s">
        <v>615</v>
      </c>
      <c r="J25" s="91" t="s">
        <v>608</v>
      </c>
      <c r="K25" s="91" t="s">
        <v>608</v>
      </c>
    </row>
    <row r="26">
      <c r="A26" s="90" t="s">
        <v>608</v>
      </c>
      <c r="B26" s="90">
        <v>0.0</v>
      </c>
      <c r="C26" s="90">
        <v>0.0</v>
      </c>
      <c r="D26" s="90" t="s">
        <v>613</v>
      </c>
      <c r="E26" s="90">
        <v>23.0</v>
      </c>
      <c r="F26" s="90">
        <v>3.0</v>
      </c>
      <c r="G26" s="90" t="s">
        <v>613</v>
      </c>
      <c r="H26" s="90" t="s">
        <v>608</v>
      </c>
      <c r="I26" s="90" t="s">
        <v>615</v>
      </c>
      <c r="J26" s="90" t="s">
        <v>608</v>
      </c>
      <c r="K26" s="90" t="s">
        <v>608</v>
      </c>
    </row>
    <row r="27">
      <c r="A27" s="91" t="s">
        <v>608</v>
      </c>
      <c r="B27" s="91">
        <v>0.0</v>
      </c>
      <c r="C27" s="91">
        <v>0.0</v>
      </c>
      <c r="D27" s="91" t="s">
        <v>613</v>
      </c>
      <c r="E27" s="91">
        <v>35.0</v>
      </c>
      <c r="F27" s="91">
        <v>7.0</v>
      </c>
      <c r="G27" s="91" t="s">
        <v>613</v>
      </c>
      <c r="H27" s="91" t="s">
        <v>608</v>
      </c>
      <c r="I27" s="91" t="s">
        <v>615</v>
      </c>
      <c r="J27" s="91" t="s">
        <v>608</v>
      </c>
      <c r="K27" s="91" t="s">
        <v>608</v>
      </c>
    </row>
    <row r="28">
      <c r="A28" s="90" t="s">
        <v>608</v>
      </c>
      <c r="B28" s="90">
        <v>0.0</v>
      </c>
      <c r="C28" s="90">
        <v>0.0</v>
      </c>
      <c r="D28" s="90" t="s">
        <v>613</v>
      </c>
      <c r="E28" s="90">
        <v>52.0</v>
      </c>
      <c r="F28" s="90">
        <v>42.0</v>
      </c>
      <c r="G28" s="90" t="s">
        <v>613</v>
      </c>
      <c r="H28" s="90" t="s">
        <v>608</v>
      </c>
      <c r="I28" s="90" t="s">
        <v>615</v>
      </c>
      <c r="J28" s="90" t="s">
        <v>608</v>
      </c>
      <c r="K28" s="90" t="s">
        <v>608</v>
      </c>
    </row>
    <row r="29">
      <c r="A29" s="91" t="s">
        <v>608</v>
      </c>
      <c r="B29" s="91">
        <v>0.0</v>
      </c>
      <c r="C29" s="91">
        <v>0.0</v>
      </c>
      <c r="D29" s="91" t="s">
        <v>626</v>
      </c>
      <c r="E29" s="91">
        <v>27.0</v>
      </c>
      <c r="F29" s="91">
        <v>30.0</v>
      </c>
      <c r="G29" s="91" t="s">
        <v>626</v>
      </c>
      <c r="H29" s="91" t="s">
        <v>608</v>
      </c>
      <c r="I29" s="91" t="s">
        <v>627</v>
      </c>
      <c r="J29" s="91" t="s">
        <v>608</v>
      </c>
      <c r="K29" s="91" t="s">
        <v>608</v>
      </c>
    </row>
    <row r="30">
      <c r="A30" s="90" t="s">
        <v>608</v>
      </c>
      <c r="B30" s="90">
        <v>0.0</v>
      </c>
      <c r="C30" s="90">
        <v>0.0</v>
      </c>
      <c r="D30" s="90" t="s">
        <v>626</v>
      </c>
      <c r="E30" s="90">
        <v>11.0</v>
      </c>
      <c r="F30" s="90">
        <v>34.0</v>
      </c>
      <c r="G30" s="90" t="s">
        <v>608</v>
      </c>
      <c r="H30" s="90" t="s">
        <v>608</v>
      </c>
      <c r="I30" s="90" t="s">
        <v>627</v>
      </c>
      <c r="J30" s="90" t="s">
        <v>608</v>
      </c>
      <c r="K30" s="90" t="s">
        <v>608</v>
      </c>
    </row>
    <row r="31">
      <c r="A31" s="91" t="s">
        <v>608</v>
      </c>
      <c r="B31" s="91">
        <v>0.0</v>
      </c>
      <c r="C31" s="91">
        <v>0.0</v>
      </c>
      <c r="D31" s="91" t="s">
        <v>626</v>
      </c>
      <c r="E31" s="91">
        <v>17.0</v>
      </c>
      <c r="F31" s="91">
        <v>24.0</v>
      </c>
      <c r="G31" s="91" t="s">
        <v>608</v>
      </c>
      <c r="H31" s="91" t="s">
        <v>626</v>
      </c>
      <c r="I31" s="91" t="s">
        <v>627</v>
      </c>
      <c r="J31" s="91" t="s">
        <v>608</v>
      </c>
      <c r="K31" s="91" t="s">
        <v>608</v>
      </c>
    </row>
    <row r="32">
      <c r="A32" s="90" t="s">
        <v>608</v>
      </c>
      <c r="B32" s="90">
        <v>0.0</v>
      </c>
      <c r="C32" s="90">
        <v>0.0</v>
      </c>
      <c r="D32" s="90" t="s">
        <v>626</v>
      </c>
      <c r="E32" s="90">
        <v>7.0</v>
      </c>
      <c r="F32" s="90">
        <v>39.0</v>
      </c>
      <c r="G32" s="90" t="s">
        <v>608</v>
      </c>
      <c r="H32" s="90" t="s">
        <v>626</v>
      </c>
      <c r="I32" s="90" t="s">
        <v>627</v>
      </c>
      <c r="J32" s="90" t="s">
        <v>608</v>
      </c>
      <c r="K32" s="90" t="s">
        <v>608</v>
      </c>
    </row>
    <row r="33">
      <c r="A33" s="91" t="s">
        <v>608</v>
      </c>
      <c r="B33" s="91">
        <v>0.0</v>
      </c>
      <c r="C33" s="91">
        <v>0.0</v>
      </c>
      <c r="D33" s="91" t="s">
        <v>626</v>
      </c>
      <c r="E33" s="91">
        <v>24.0</v>
      </c>
      <c r="F33" s="91">
        <v>42.0</v>
      </c>
      <c r="G33" s="91" t="s">
        <v>608</v>
      </c>
      <c r="H33" s="91" t="s">
        <v>626</v>
      </c>
      <c r="I33" s="91" t="s">
        <v>627</v>
      </c>
      <c r="J33" s="91" t="s">
        <v>626</v>
      </c>
      <c r="K33" s="91" t="s">
        <v>626</v>
      </c>
    </row>
    <row r="34">
      <c r="A34" s="94" t="s">
        <v>630</v>
      </c>
    </row>
    <row r="35">
      <c r="A35" s="57"/>
    </row>
    <row r="36">
      <c r="A36" s="57"/>
    </row>
    <row r="37">
      <c r="A37" s="67" t="s">
        <v>634</v>
      </c>
      <c r="B37">
        <f>IFERROR(__xludf.DUMMYFUNCTION("split(D56,""-"")"),1.0)</f>
        <v>1</v>
      </c>
      <c r="C37">
        <f>IFERROR(__xludf.DUMMYFUNCTION("""COMPUTED_VALUE"""),0.0)</f>
        <v>0</v>
      </c>
    </row>
    <row r="38">
      <c r="A38" s="67" t="s">
        <v>645</v>
      </c>
      <c r="B38">
        <f>IFERROR(__xludf.DUMMYFUNCTION("split(D57,""-"")"),1.0)</f>
        <v>1</v>
      </c>
      <c r="C38">
        <f>IFERROR(__xludf.DUMMYFUNCTION("""COMPUTED_VALUE"""),0.0)</f>
        <v>0</v>
      </c>
    </row>
    <row r="39">
      <c r="A39" s="67" t="s">
        <v>651</v>
      </c>
      <c r="B39">
        <f>IFERROR(__xludf.DUMMYFUNCTION("split(D58,""-"")"),1.0)</f>
        <v>1</v>
      </c>
      <c r="C39">
        <f>IFERROR(__xludf.DUMMYFUNCTION("""COMPUTED_VALUE"""),0.0)</f>
        <v>0</v>
      </c>
    </row>
    <row r="40">
      <c r="A40" s="67" t="s">
        <v>654</v>
      </c>
      <c r="B40">
        <f>IFERROR(__xludf.DUMMYFUNCTION("split(D59,""-"")"),1.0)</f>
        <v>1</v>
      </c>
      <c r="C40">
        <f>IFERROR(__xludf.DUMMYFUNCTION("""COMPUTED_VALUE"""),0.0)</f>
        <v>0</v>
      </c>
    </row>
    <row r="41">
      <c r="A41" s="67" t="s">
        <v>670</v>
      </c>
      <c r="B41">
        <f>IFERROR(__xludf.DUMMYFUNCTION("split(D60,""-"")"),1.0)</f>
        <v>1</v>
      </c>
      <c r="C41">
        <f>IFERROR(__xludf.DUMMYFUNCTION("""COMPUTED_VALUE"""),0.0)</f>
        <v>0</v>
      </c>
    </row>
    <row r="42">
      <c r="A42" s="67" t="s">
        <v>675</v>
      </c>
      <c r="B42">
        <f>IFERROR(__xludf.DUMMYFUNCTION("split(D61,""-"")"),1.0)</f>
        <v>1</v>
      </c>
      <c r="C42">
        <f>IFERROR(__xludf.DUMMYFUNCTION("""COMPUTED_VALUE"""),0.0)</f>
        <v>0</v>
      </c>
    </row>
    <row r="43">
      <c r="A43" s="67" t="s">
        <v>676</v>
      </c>
      <c r="B43">
        <f>IFERROR(__xludf.DUMMYFUNCTION("split(D62,""-"")"),1.0)</f>
        <v>1</v>
      </c>
      <c r="C43">
        <f>IFERROR(__xludf.DUMMYFUNCTION("""COMPUTED_VALUE"""),0.0)</f>
        <v>0</v>
      </c>
    </row>
    <row r="44">
      <c r="A44" s="67" t="s">
        <v>677</v>
      </c>
      <c r="B44">
        <f>IFERROR(__xludf.DUMMYFUNCTION("split(D63,""-"")"),1.0)</f>
        <v>1</v>
      </c>
      <c r="C44">
        <f>IFERROR(__xludf.DUMMYFUNCTION("""COMPUTED_VALUE"""),0.0)</f>
        <v>0</v>
      </c>
    </row>
    <row r="45">
      <c r="A45" s="67" t="s">
        <v>678</v>
      </c>
      <c r="B45">
        <f>IFERROR(__xludf.DUMMYFUNCTION("split(D64,""-"")"),1.0)</f>
        <v>1</v>
      </c>
      <c r="C45">
        <f>IFERROR(__xludf.DUMMYFUNCTION("""COMPUTED_VALUE"""),0.0)</f>
        <v>0</v>
      </c>
    </row>
    <row r="46">
      <c r="A46" s="67" t="s">
        <v>682</v>
      </c>
      <c r="B46">
        <f>IFERROR(__xludf.DUMMYFUNCTION("split(D65,""-"")"),1.0)</f>
        <v>1</v>
      </c>
      <c r="C46">
        <f>IFERROR(__xludf.DUMMYFUNCTION("""COMPUTED_VALUE"""),0.0)</f>
        <v>0</v>
      </c>
    </row>
    <row r="47">
      <c r="A47" s="67" t="s">
        <v>685</v>
      </c>
      <c r="B47">
        <f>IFERROR(__xludf.DUMMYFUNCTION("split(D66,""-"")"),1.0)</f>
        <v>1</v>
      </c>
      <c r="C47">
        <f>IFERROR(__xludf.DUMMYFUNCTION("""COMPUTED_VALUE"""),0.0)</f>
        <v>0</v>
      </c>
    </row>
    <row r="48">
      <c r="A48" s="67" t="s">
        <v>686</v>
      </c>
      <c r="B48">
        <f>IFERROR(__xludf.DUMMYFUNCTION("split(D67,""-"")"),0.0)</f>
        <v>0</v>
      </c>
      <c r="C48">
        <f>IFERROR(__xludf.DUMMYFUNCTION("""COMPUTED_VALUE"""),0.0)</f>
        <v>0</v>
      </c>
    </row>
    <row r="49">
      <c r="A49" s="67" t="s">
        <v>687</v>
      </c>
      <c r="B49">
        <f>IFERROR(__xludf.DUMMYFUNCTION("split(D68,""-"")"),0.0)</f>
        <v>0</v>
      </c>
      <c r="C49">
        <f>IFERROR(__xludf.DUMMYFUNCTION("""COMPUTED_VALUE"""),0.0)</f>
        <v>0</v>
      </c>
    </row>
    <row r="50">
      <c r="A50" s="67" t="s">
        <v>689</v>
      </c>
      <c r="B50">
        <f>IFERROR(__xludf.DUMMYFUNCTION("split(D69,""-"")"),0.0)</f>
        <v>0</v>
      </c>
      <c r="C50">
        <f>IFERROR(__xludf.DUMMYFUNCTION("""COMPUTED_VALUE"""),0.0)</f>
        <v>0</v>
      </c>
    </row>
    <row r="51">
      <c r="A51" s="67" t="s">
        <v>691</v>
      </c>
      <c r="B51">
        <f>IFERROR(__xludf.DUMMYFUNCTION("split(D70,""-"")"),0.0)</f>
        <v>0</v>
      </c>
      <c r="C51">
        <f>IFERROR(__xludf.DUMMYFUNCTION("""COMPUTED_VALUE"""),1.0)</f>
        <v>1</v>
      </c>
    </row>
    <row r="52">
      <c r="A52" s="67" t="s">
        <v>692</v>
      </c>
      <c r="B52">
        <f>IFERROR(__xludf.DUMMYFUNCTION("split(D71,""-"")"),0.0)</f>
        <v>0</v>
      </c>
      <c r="C52">
        <f>IFERROR(__xludf.DUMMYFUNCTION("""COMPUTED_VALUE"""),1.0)</f>
        <v>1</v>
      </c>
    </row>
    <row r="53">
      <c r="A53" s="67" t="s">
        <v>694</v>
      </c>
      <c r="B53">
        <f>IFERROR(__xludf.DUMMYFUNCTION("split(D72,""-"")"),0.0)</f>
        <v>0</v>
      </c>
      <c r="C53">
        <f>IFERROR(__xludf.DUMMYFUNCTION("""COMPUTED_VALUE"""),1.0)</f>
        <v>1</v>
      </c>
    </row>
    <row r="54">
      <c r="A54" s="87" t="s">
        <v>573</v>
      </c>
      <c r="B54" s="88"/>
      <c r="C54" s="88"/>
      <c r="D54" s="87" t="s">
        <v>578</v>
      </c>
      <c r="E54" s="88"/>
      <c r="F54" s="88"/>
      <c r="G54" s="88"/>
      <c r="H54" s="88"/>
      <c r="I54" s="88"/>
      <c r="J54" s="87" t="s">
        <v>583</v>
      </c>
      <c r="K54" s="88"/>
    </row>
    <row r="55">
      <c r="A55" s="89" t="s">
        <v>587</v>
      </c>
      <c r="B55" s="89" t="s">
        <v>29</v>
      </c>
      <c r="C55" s="89" t="s">
        <v>30</v>
      </c>
      <c r="D55" s="89" t="s">
        <v>587</v>
      </c>
      <c r="E55" s="89" t="s">
        <v>29</v>
      </c>
      <c r="F55" s="89" t="s">
        <v>30</v>
      </c>
      <c r="G55" s="89" t="s">
        <v>599</v>
      </c>
      <c r="H55" s="89" t="s">
        <v>601</v>
      </c>
      <c r="I55" s="89" t="s">
        <v>603</v>
      </c>
      <c r="J55" s="89" t="s">
        <v>605</v>
      </c>
      <c r="K55" s="89" t="s">
        <v>356</v>
      </c>
    </row>
    <row r="56">
      <c r="A56" s="90" t="s">
        <v>608</v>
      </c>
      <c r="B56" s="90">
        <v>0.0</v>
      </c>
      <c r="C56" s="90">
        <v>0.0</v>
      </c>
      <c r="D56" s="90" t="s">
        <v>613</v>
      </c>
      <c r="E56" s="90">
        <v>66.0</v>
      </c>
      <c r="F56" s="90">
        <v>10.0</v>
      </c>
      <c r="G56" s="90" t="s">
        <v>613</v>
      </c>
      <c r="H56" s="90" t="s">
        <v>608</v>
      </c>
      <c r="I56" s="90" t="s">
        <v>615</v>
      </c>
      <c r="J56" s="90" t="s">
        <v>608</v>
      </c>
      <c r="K56" s="90" t="s">
        <v>608</v>
      </c>
    </row>
    <row r="57">
      <c r="A57" s="91" t="s">
        <v>608</v>
      </c>
      <c r="B57" s="91">
        <v>0.0</v>
      </c>
      <c r="C57" s="91">
        <v>0.0</v>
      </c>
      <c r="D57" s="91" t="s">
        <v>613</v>
      </c>
      <c r="E57" s="91">
        <v>34.0</v>
      </c>
      <c r="F57" s="91">
        <v>15.0</v>
      </c>
      <c r="G57" s="91" t="s">
        <v>608</v>
      </c>
      <c r="H57" s="91" t="s">
        <v>613</v>
      </c>
      <c r="I57" s="91" t="s">
        <v>615</v>
      </c>
      <c r="J57" s="91" t="s">
        <v>608</v>
      </c>
      <c r="K57" s="91" t="s">
        <v>608</v>
      </c>
    </row>
    <row r="58">
      <c r="A58" s="90" t="s">
        <v>608</v>
      </c>
      <c r="B58" s="90">
        <v>0.0</v>
      </c>
      <c r="C58" s="90">
        <v>0.0</v>
      </c>
      <c r="D58" s="90" t="s">
        <v>613</v>
      </c>
      <c r="E58" s="90">
        <v>45.0</v>
      </c>
      <c r="F58" s="90">
        <v>17.0</v>
      </c>
      <c r="G58" s="90" t="s">
        <v>613</v>
      </c>
      <c r="H58" s="90" t="s">
        <v>608</v>
      </c>
      <c r="I58" s="90" t="s">
        <v>615</v>
      </c>
      <c r="J58" s="90" t="s">
        <v>608</v>
      </c>
      <c r="K58" s="90" t="s">
        <v>608</v>
      </c>
    </row>
    <row r="59">
      <c r="A59" s="91" t="s">
        <v>608</v>
      </c>
      <c r="B59" s="91">
        <v>0.0</v>
      </c>
      <c r="C59" s="91">
        <v>0.0</v>
      </c>
      <c r="D59" s="91" t="s">
        <v>613</v>
      </c>
      <c r="E59" s="91">
        <v>31.0</v>
      </c>
      <c r="F59" s="91">
        <v>17.0</v>
      </c>
      <c r="G59" s="91" t="s">
        <v>613</v>
      </c>
      <c r="H59" s="91" t="s">
        <v>608</v>
      </c>
      <c r="I59" s="91" t="s">
        <v>615</v>
      </c>
      <c r="J59" s="91" t="s">
        <v>613</v>
      </c>
      <c r="K59" s="91" t="s">
        <v>613</v>
      </c>
    </row>
    <row r="60">
      <c r="A60" s="90" t="s">
        <v>608</v>
      </c>
      <c r="B60" s="90">
        <v>0.0</v>
      </c>
      <c r="C60" s="90">
        <v>0.0</v>
      </c>
      <c r="D60" s="90" t="s">
        <v>613</v>
      </c>
      <c r="E60" s="90">
        <v>27.0</v>
      </c>
      <c r="F60" s="90">
        <v>20.0</v>
      </c>
      <c r="G60" s="90" t="s">
        <v>608</v>
      </c>
      <c r="H60" s="90" t="s">
        <v>613</v>
      </c>
      <c r="I60" s="90" t="s">
        <v>615</v>
      </c>
      <c r="J60" s="90" t="s">
        <v>608</v>
      </c>
      <c r="K60" s="90" t="s">
        <v>608</v>
      </c>
    </row>
    <row r="61">
      <c r="A61" s="91" t="s">
        <v>608</v>
      </c>
      <c r="B61" s="91">
        <v>0.0</v>
      </c>
      <c r="C61" s="91">
        <v>0.0</v>
      </c>
      <c r="D61" s="91" t="s">
        <v>613</v>
      </c>
      <c r="E61" s="91">
        <v>51.0</v>
      </c>
      <c r="F61" s="91">
        <v>17.0</v>
      </c>
      <c r="G61" s="91" t="s">
        <v>613</v>
      </c>
      <c r="H61" s="91" t="s">
        <v>608</v>
      </c>
      <c r="I61" s="91" t="s">
        <v>615</v>
      </c>
      <c r="J61" s="91" t="s">
        <v>608</v>
      </c>
      <c r="K61" s="91" t="s">
        <v>608</v>
      </c>
    </row>
    <row r="62">
      <c r="A62" s="90" t="s">
        <v>608</v>
      </c>
      <c r="B62" s="90">
        <v>0.0</v>
      </c>
      <c r="C62" s="90">
        <v>0.0</v>
      </c>
      <c r="D62" s="90" t="s">
        <v>613</v>
      </c>
      <c r="E62" s="90">
        <v>24.0</v>
      </c>
      <c r="F62" s="90">
        <v>17.0</v>
      </c>
      <c r="G62" s="90" t="s">
        <v>613</v>
      </c>
      <c r="H62" s="90" t="s">
        <v>608</v>
      </c>
      <c r="I62" s="90" t="s">
        <v>615</v>
      </c>
      <c r="J62" s="90" t="s">
        <v>608</v>
      </c>
      <c r="K62" s="90" t="s">
        <v>608</v>
      </c>
    </row>
    <row r="63">
      <c r="A63" s="91" t="s">
        <v>608</v>
      </c>
      <c r="B63" s="91">
        <v>0.0</v>
      </c>
      <c r="C63" s="91">
        <v>0.0</v>
      </c>
      <c r="D63" s="91" t="s">
        <v>613</v>
      </c>
      <c r="E63" s="91">
        <v>61.0</v>
      </c>
      <c r="F63" s="91">
        <v>9.0</v>
      </c>
      <c r="G63" s="91" t="s">
        <v>613</v>
      </c>
      <c r="H63" s="91" t="s">
        <v>608</v>
      </c>
      <c r="I63" s="91" t="s">
        <v>615</v>
      </c>
      <c r="J63" s="91" t="s">
        <v>608</v>
      </c>
      <c r="K63" s="91" t="s">
        <v>608</v>
      </c>
    </row>
    <row r="64">
      <c r="A64" s="90" t="s">
        <v>608</v>
      </c>
      <c r="B64" s="90">
        <v>0.0</v>
      </c>
      <c r="C64" s="90">
        <v>0.0</v>
      </c>
      <c r="D64" s="90" t="s">
        <v>613</v>
      </c>
      <c r="E64" s="90">
        <v>42.0</v>
      </c>
      <c r="F64" s="90">
        <v>13.0</v>
      </c>
      <c r="G64" s="90" t="s">
        <v>613</v>
      </c>
      <c r="H64" s="90" t="s">
        <v>608</v>
      </c>
      <c r="I64" s="90" t="s">
        <v>615</v>
      </c>
      <c r="J64" s="90" t="s">
        <v>608</v>
      </c>
      <c r="K64" s="90" t="s">
        <v>608</v>
      </c>
    </row>
    <row r="65">
      <c r="A65" s="91" t="s">
        <v>608</v>
      </c>
      <c r="B65" s="91">
        <v>0.0</v>
      </c>
      <c r="C65" s="91">
        <v>0.0</v>
      </c>
      <c r="D65" s="91" t="s">
        <v>613</v>
      </c>
      <c r="E65" s="91">
        <v>48.0</v>
      </c>
      <c r="F65" s="91">
        <v>7.0</v>
      </c>
      <c r="G65" s="91" t="s">
        <v>613</v>
      </c>
      <c r="H65" s="91" t="s">
        <v>608</v>
      </c>
      <c r="I65" s="91" t="s">
        <v>615</v>
      </c>
      <c r="J65" s="91" t="s">
        <v>608</v>
      </c>
      <c r="K65" s="91" t="s">
        <v>608</v>
      </c>
    </row>
    <row r="66">
      <c r="A66" s="90" t="s">
        <v>608</v>
      </c>
      <c r="B66" s="90">
        <v>0.0</v>
      </c>
      <c r="C66" s="90">
        <v>0.0</v>
      </c>
      <c r="D66" s="90" t="s">
        <v>613</v>
      </c>
      <c r="E66" s="90">
        <v>10.0</v>
      </c>
      <c r="F66" s="90">
        <v>9.0</v>
      </c>
      <c r="G66" s="90" t="s">
        <v>613</v>
      </c>
      <c r="H66" s="90" t="s">
        <v>608</v>
      </c>
      <c r="I66" s="90" t="s">
        <v>615</v>
      </c>
      <c r="J66" s="90" t="s">
        <v>608</v>
      </c>
      <c r="K66" s="90" t="s">
        <v>608</v>
      </c>
    </row>
    <row r="67">
      <c r="A67" s="91" t="s">
        <v>608</v>
      </c>
      <c r="B67" s="91">
        <v>0.0</v>
      </c>
      <c r="C67" s="91">
        <v>0.0</v>
      </c>
      <c r="D67" s="91" t="s">
        <v>608</v>
      </c>
      <c r="E67" s="91">
        <v>0.0</v>
      </c>
      <c r="F67" s="91">
        <v>0.0</v>
      </c>
      <c r="G67" s="91" t="s">
        <v>608</v>
      </c>
      <c r="H67" s="91" t="s">
        <v>608</v>
      </c>
      <c r="I67" s="91" t="s">
        <v>698</v>
      </c>
      <c r="J67" s="91" t="s">
        <v>608</v>
      </c>
      <c r="K67" s="91" t="s">
        <v>608</v>
      </c>
    </row>
    <row r="68">
      <c r="A68" s="90" t="s">
        <v>608</v>
      </c>
      <c r="B68" s="90">
        <v>0.0</v>
      </c>
      <c r="C68" s="90">
        <v>0.0</v>
      </c>
      <c r="D68" s="90" t="s">
        <v>608</v>
      </c>
      <c r="E68" s="90">
        <v>0.0</v>
      </c>
      <c r="F68" s="90">
        <v>0.0</v>
      </c>
      <c r="G68" s="90" t="s">
        <v>608</v>
      </c>
      <c r="H68" s="90" t="s">
        <v>608</v>
      </c>
      <c r="I68" s="90" t="s">
        <v>698</v>
      </c>
      <c r="J68" s="90" t="s">
        <v>608</v>
      </c>
      <c r="K68" s="90" t="s">
        <v>608</v>
      </c>
    </row>
    <row r="69">
      <c r="A69" s="91" t="s">
        <v>608</v>
      </c>
      <c r="B69" s="91">
        <v>0.0</v>
      </c>
      <c r="C69" s="91">
        <v>0.0</v>
      </c>
      <c r="D69" s="91" t="s">
        <v>608</v>
      </c>
      <c r="E69" s="91">
        <v>0.0</v>
      </c>
      <c r="F69" s="91">
        <v>0.0</v>
      </c>
      <c r="G69" s="91" t="s">
        <v>608</v>
      </c>
      <c r="H69" s="91" t="s">
        <v>608</v>
      </c>
      <c r="I69" s="91" t="s">
        <v>698</v>
      </c>
      <c r="J69" s="91" t="s">
        <v>608</v>
      </c>
      <c r="K69" s="91" t="s">
        <v>608</v>
      </c>
    </row>
    <row r="70">
      <c r="A70" s="90" t="s">
        <v>608</v>
      </c>
      <c r="B70" s="90">
        <v>0.0</v>
      </c>
      <c r="C70" s="90">
        <v>0.0</v>
      </c>
      <c r="D70" s="90" t="s">
        <v>626</v>
      </c>
      <c r="E70" s="90">
        <v>10.0</v>
      </c>
      <c r="F70" s="90">
        <v>17.0</v>
      </c>
      <c r="G70" s="90" t="s">
        <v>626</v>
      </c>
      <c r="H70" s="90" t="s">
        <v>608</v>
      </c>
      <c r="I70" s="90" t="s">
        <v>627</v>
      </c>
      <c r="J70" s="90" t="s">
        <v>626</v>
      </c>
      <c r="K70" s="90" t="s">
        <v>626</v>
      </c>
    </row>
    <row r="71">
      <c r="A71" s="91" t="s">
        <v>608</v>
      </c>
      <c r="B71" s="91">
        <v>0.0</v>
      </c>
      <c r="C71" s="91">
        <v>0.0</v>
      </c>
      <c r="D71" s="91" t="s">
        <v>626</v>
      </c>
      <c r="E71" s="91">
        <v>20.0</v>
      </c>
      <c r="F71" s="91">
        <v>23.0</v>
      </c>
      <c r="G71" s="91" t="s">
        <v>608</v>
      </c>
      <c r="H71" s="91" t="s">
        <v>626</v>
      </c>
      <c r="I71" s="91" t="s">
        <v>627</v>
      </c>
      <c r="J71" s="91" t="s">
        <v>608</v>
      </c>
      <c r="K71" s="91" t="s">
        <v>608</v>
      </c>
    </row>
    <row r="72">
      <c r="A72" s="90" t="s">
        <v>608</v>
      </c>
      <c r="B72" s="90">
        <v>0.0</v>
      </c>
      <c r="C72" s="90">
        <v>0.0</v>
      </c>
      <c r="D72" s="90" t="s">
        <v>626</v>
      </c>
      <c r="E72" s="90">
        <v>26.0</v>
      </c>
      <c r="F72" s="90">
        <v>45.0</v>
      </c>
      <c r="G72" s="90" t="s">
        <v>608</v>
      </c>
      <c r="H72" s="90" t="s">
        <v>608</v>
      </c>
      <c r="I72" s="90" t="s">
        <v>627</v>
      </c>
      <c r="J72" s="90" t="s">
        <v>626</v>
      </c>
      <c r="K72" s="90" t="s">
        <v>626</v>
      </c>
    </row>
    <row r="73">
      <c r="A73" s="94" t="s">
        <v>700</v>
      </c>
    </row>
    <row r="74">
      <c r="A74" s="57"/>
    </row>
    <row r="75">
      <c r="A75" s="57"/>
    </row>
    <row r="76">
      <c r="A76" s="67" t="s">
        <v>701</v>
      </c>
      <c r="B76">
        <f>IFERROR(__xludf.DUMMYFUNCTION("split(D94,""-"")"),2.0)</f>
        <v>2</v>
      </c>
      <c r="C76">
        <f>IFERROR(__xludf.DUMMYFUNCTION("""COMPUTED_VALUE"""),0.0)</f>
        <v>0</v>
      </c>
    </row>
    <row r="77">
      <c r="A77" s="67" t="s">
        <v>703</v>
      </c>
      <c r="B77">
        <f>IFERROR(__xludf.DUMMYFUNCTION("split(D95,""-"")"),2.0)</f>
        <v>2</v>
      </c>
      <c r="C77">
        <f>IFERROR(__xludf.DUMMYFUNCTION("""COMPUTED_VALUE"""),0.0)</f>
        <v>0</v>
      </c>
    </row>
    <row r="78">
      <c r="A78" s="67" t="s">
        <v>704</v>
      </c>
      <c r="B78">
        <f>IFERROR(__xludf.DUMMYFUNCTION("split(D96,""-"")"),1.0)</f>
        <v>1</v>
      </c>
      <c r="C78">
        <f>IFERROR(__xludf.DUMMYFUNCTION("""COMPUTED_VALUE"""),0.0)</f>
        <v>0</v>
      </c>
    </row>
    <row r="79">
      <c r="A79" s="67" t="s">
        <v>706</v>
      </c>
      <c r="B79">
        <f>IFERROR(__xludf.DUMMYFUNCTION("split(D97,""-"")"),1.0)</f>
        <v>1</v>
      </c>
      <c r="C79">
        <f>IFERROR(__xludf.DUMMYFUNCTION("""COMPUTED_VALUE"""),0.0)</f>
        <v>0</v>
      </c>
    </row>
    <row r="80">
      <c r="A80" s="67" t="s">
        <v>708</v>
      </c>
      <c r="B80">
        <f>IFERROR(__xludf.DUMMYFUNCTION("split(D98,""-"")"),1.0)</f>
        <v>1</v>
      </c>
      <c r="C80">
        <f>IFERROR(__xludf.DUMMYFUNCTION("""COMPUTED_VALUE"""),0.0)</f>
        <v>0</v>
      </c>
    </row>
    <row r="81">
      <c r="A81" s="67" t="s">
        <v>710</v>
      </c>
      <c r="B81">
        <f>IFERROR(__xludf.DUMMYFUNCTION("split(D99,""-"")"),1.0)</f>
        <v>1</v>
      </c>
      <c r="C81">
        <f>IFERROR(__xludf.DUMMYFUNCTION("""COMPUTED_VALUE"""),0.0)</f>
        <v>0</v>
      </c>
    </row>
    <row r="82">
      <c r="A82" s="67" t="s">
        <v>711</v>
      </c>
      <c r="B82">
        <f>IFERROR(__xludf.DUMMYFUNCTION("split(D100,""-"")"),1.0)</f>
        <v>1</v>
      </c>
      <c r="C82">
        <f>IFERROR(__xludf.DUMMYFUNCTION("""COMPUTED_VALUE"""),0.0)</f>
        <v>0</v>
      </c>
    </row>
    <row r="83">
      <c r="A83" s="67" t="s">
        <v>712</v>
      </c>
      <c r="B83">
        <f>IFERROR(__xludf.DUMMYFUNCTION("split(D101,""-"")"),1.0)</f>
        <v>1</v>
      </c>
      <c r="C83">
        <f>IFERROR(__xludf.DUMMYFUNCTION("""COMPUTED_VALUE"""),0.0)</f>
        <v>0</v>
      </c>
    </row>
    <row r="84">
      <c r="A84" s="67" t="s">
        <v>715</v>
      </c>
      <c r="B84">
        <f>IFERROR(__xludf.DUMMYFUNCTION("split(D102,""-"")"),1.0)</f>
        <v>1</v>
      </c>
      <c r="C84">
        <f>IFERROR(__xludf.DUMMYFUNCTION("""COMPUTED_VALUE"""),0.0)</f>
        <v>0</v>
      </c>
    </row>
    <row r="85">
      <c r="A85" s="67" t="s">
        <v>716</v>
      </c>
      <c r="B85">
        <f>IFERROR(__xludf.DUMMYFUNCTION("split(D103,""-"")"),1.0)</f>
        <v>1</v>
      </c>
      <c r="C85">
        <f>IFERROR(__xludf.DUMMYFUNCTION("""COMPUTED_VALUE"""),0.0)</f>
        <v>0</v>
      </c>
    </row>
    <row r="86">
      <c r="A86" s="67" t="s">
        <v>718</v>
      </c>
      <c r="B86">
        <f>IFERROR(__xludf.DUMMYFUNCTION("split(D104,""-"")"),1.0)</f>
        <v>1</v>
      </c>
      <c r="C86">
        <f>IFERROR(__xludf.DUMMYFUNCTION("""COMPUTED_VALUE"""),0.0)</f>
        <v>0</v>
      </c>
    </row>
    <row r="87">
      <c r="A87" s="67" t="s">
        <v>719</v>
      </c>
      <c r="B87">
        <f>IFERROR(__xludf.DUMMYFUNCTION("split(D105,""-"")"),0.0)</f>
        <v>0</v>
      </c>
      <c r="C87">
        <f>IFERROR(__xludf.DUMMYFUNCTION("""COMPUTED_VALUE"""),0.0)</f>
        <v>0</v>
      </c>
    </row>
    <row r="88">
      <c r="A88" s="67" t="s">
        <v>720</v>
      </c>
      <c r="B88">
        <f>IFERROR(__xludf.DUMMYFUNCTION("split(D106,""-"")"),0.0)</f>
        <v>0</v>
      </c>
      <c r="C88">
        <f>IFERROR(__xludf.DUMMYFUNCTION("""COMPUTED_VALUE"""),1.0)</f>
        <v>1</v>
      </c>
    </row>
    <row r="89">
      <c r="A89" s="67" t="s">
        <v>722</v>
      </c>
      <c r="B89">
        <f>IFERROR(__xludf.DUMMYFUNCTION("split(D107,""-"")"),0.0)</f>
        <v>0</v>
      </c>
      <c r="C89">
        <f>IFERROR(__xludf.DUMMYFUNCTION("""COMPUTED_VALUE"""),1.0)</f>
        <v>1</v>
      </c>
    </row>
    <row r="90">
      <c r="A90" s="67" t="s">
        <v>724</v>
      </c>
      <c r="B90">
        <f>IFERROR(__xludf.DUMMYFUNCTION("split(D108,""-"")"),0.0)</f>
        <v>0</v>
      </c>
      <c r="C90">
        <f>IFERROR(__xludf.DUMMYFUNCTION("""COMPUTED_VALUE"""),1.0)</f>
        <v>1</v>
      </c>
    </row>
    <row r="91">
      <c r="A91" s="67" t="s">
        <v>726</v>
      </c>
      <c r="B91">
        <f>IFERROR(__xludf.DUMMYFUNCTION("split(D109,""-"")"),1.0)</f>
        <v>1</v>
      </c>
      <c r="C91">
        <f>IFERROR(__xludf.DUMMYFUNCTION("""COMPUTED_VALUE"""),1.0)</f>
        <v>1</v>
      </c>
    </row>
    <row r="92">
      <c r="A92" s="87" t="s">
        <v>573</v>
      </c>
      <c r="B92" s="88"/>
      <c r="C92" s="88"/>
      <c r="D92" s="87" t="s">
        <v>578</v>
      </c>
      <c r="E92" s="88"/>
      <c r="F92" s="88"/>
      <c r="G92" s="88"/>
      <c r="H92" s="88"/>
      <c r="I92" s="88"/>
      <c r="J92" s="87" t="s">
        <v>583</v>
      </c>
      <c r="K92" s="88"/>
    </row>
    <row r="93">
      <c r="A93" s="89" t="s">
        <v>587</v>
      </c>
      <c r="B93" s="89" t="s">
        <v>29</v>
      </c>
      <c r="C93" s="89" t="s">
        <v>30</v>
      </c>
      <c r="D93" s="89" t="s">
        <v>587</v>
      </c>
      <c r="E93" s="89" t="s">
        <v>29</v>
      </c>
      <c r="F93" s="89" t="s">
        <v>30</v>
      </c>
      <c r="G93" s="89" t="s">
        <v>599</v>
      </c>
      <c r="H93" s="89" t="s">
        <v>601</v>
      </c>
      <c r="I93" s="89" t="s">
        <v>603</v>
      </c>
      <c r="J93" s="89" t="s">
        <v>605</v>
      </c>
      <c r="K93" s="89" t="s">
        <v>356</v>
      </c>
    </row>
    <row r="94">
      <c r="A94" s="90" t="s">
        <v>613</v>
      </c>
      <c r="B94" s="90">
        <v>24.0</v>
      </c>
      <c r="C94" s="90">
        <v>21.0</v>
      </c>
      <c r="D94" s="90" t="s">
        <v>728</v>
      </c>
      <c r="E94" s="90">
        <v>79.0</v>
      </c>
      <c r="F94" s="90">
        <v>28.0</v>
      </c>
      <c r="G94" s="90" t="s">
        <v>613</v>
      </c>
      <c r="H94" s="90" t="s">
        <v>608</v>
      </c>
      <c r="I94" s="90" t="s">
        <v>729</v>
      </c>
      <c r="J94" s="90" t="s">
        <v>613</v>
      </c>
      <c r="K94" s="90" t="s">
        <v>613</v>
      </c>
    </row>
    <row r="95">
      <c r="A95" s="91" t="s">
        <v>608</v>
      </c>
      <c r="B95" s="91">
        <v>0.0</v>
      </c>
      <c r="C95" s="91">
        <v>0.0</v>
      </c>
      <c r="D95" s="91" t="s">
        <v>728</v>
      </c>
      <c r="E95" s="91">
        <v>77.0</v>
      </c>
      <c r="F95" s="91">
        <v>14.0</v>
      </c>
      <c r="G95" s="91" t="s">
        <v>728</v>
      </c>
      <c r="H95" s="91" t="s">
        <v>608</v>
      </c>
      <c r="I95" s="91" t="s">
        <v>729</v>
      </c>
      <c r="J95" s="91" t="s">
        <v>608</v>
      </c>
      <c r="K95" s="91" t="s">
        <v>608</v>
      </c>
    </row>
    <row r="96">
      <c r="A96" s="90" t="s">
        <v>608</v>
      </c>
      <c r="B96" s="90">
        <v>0.0</v>
      </c>
      <c r="C96" s="90">
        <v>0.0</v>
      </c>
      <c r="D96" s="90" t="s">
        <v>613</v>
      </c>
      <c r="E96" s="90">
        <v>40.0</v>
      </c>
      <c r="F96" s="90">
        <v>6.0</v>
      </c>
      <c r="G96" s="90" t="s">
        <v>613</v>
      </c>
      <c r="H96" s="90" t="s">
        <v>608</v>
      </c>
      <c r="I96" s="90" t="s">
        <v>615</v>
      </c>
      <c r="J96" s="90" t="s">
        <v>608</v>
      </c>
      <c r="K96" s="90" t="s">
        <v>608</v>
      </c>
    </row>
    <row r="97">
      <c r="A97" s="91" t="s">
        <v>608</v>
      </c>
      <c r="B97" s="91">
        <v>0.0</v>
      </c>
      <c r="C97" s="91">
        <v>0.0</v>
      </c>
      <c r="D97" s="91" t="s">
        <v>613</v>
      </c>
      <c r="E97" s="91">
        <v>38.0</v>
      </c>
      <c r="F97" s="91">
        <v>19.0</v>
      </c>
      <c r="G97" s="91" t="s">
        <v>613</v>
      </c>
      <c r="H97" s="91" t="s">
        <v>608</v>
      </c>
      <c r="I97" s="91" t="s">
        <v>615</v>
      </c>
      <c r="J97" s="91" t="s">
        <v>608</v>
      </c>
      <c r="K97" s="91" t="s">
        <v>608</v>
      </c>
    </row>
    <row r="98">
      <c r="A98" s="90" t="s">
        <v>608</v>
      </c>
      <c r="B98" s="90">
        <v>0.0</v>
      </c>
      <c r="C98" s="90">
        <v>0.0</v>
      </c>
      <c r="D98" s="90" t="s">
        <v>613</v>
      </c>
      <c r="E98" s="90">
        <v>69.0</v>
      </c>
      <c r="F98" s="90">
        <v>0.0</v>
      </c>
      <c r="G98" s="90" t="s">
        <v>613</v>
      </c>
      <c r="H98" s="90" t="s">
        <v>608</v>
      </c>
      <c r="I98" s="90" t="s">
        <v>615</v>
      </c>
      <c r="J98" s="90" t="s">
        <v>608</v>
      </c>
      <c r="K98" s="90" t="s">
        <v>608</v>
      </c>
    </row>
    <row r="99">
      <c r="A99" s="91" t="s">
        <v>608</v>
      </c>
      <c r="B99" s="91">
        <v>0.0</v>
      </c>
      <c r="C99" s="91">
        <v>0.0</v>
      </c>
      <c r="D99" s="91" t="s">
        <v>613</v>
      </c>
      <c r="E99" s="91">
        <v>27.0</v>
      </c>
      <c r="F99" s="91">
        <v>0.0</v>
      </c>
      <c r="G99" s="91" t="s">
        <v>613</v>
      </c>
      <c r="H99" s="91" t="s">
        <v>608</v>
      </c>
      <c r="I99" s="91" t="s">
        <v>615</v>
      </c>
      <c r="J99" s="91" t="s">
        <v>608</v>
      </c>
      <c r="K99" s="91" t="s">
        <v>608</v>
      </c>
    </row>
    <row r="100">
      <c r="A100" s="90" t="s">
        <v>608</v>
      </c>
      <c r="B100" s="90">
        <v>0.0</v>
      </c>
      <c r="C100" s="90">
        <v>0.0</v>
      </c>
      <c r="D100" s="90" t="s">
        <v>613</v>
      </c>
      <c r="E100" s="90">
        <v>27.0</v>
      </c>
      <c r="F100" s="90">
        <v>7.0</v>
      </c>
      <c r="G100" s="90" t="s">
        <v>613</v>
      </c>
      <c r="H100" s="90" t="s">
        <v>608</v>
      </c>
      <c r="I100" s="90" t="s">
        <v>615</v>
      </c>
      <c r="J100" s="90" t="s">
        <v>608</v>
      </c>
      <c r="K100" s="90" t="s">
        <v>608</v>
      </c>
    </row>
    <row r="101">
      <c r="A101" s="91" t="s">
        <v>608</v>
      </c>
      <c r="B101" s="91">
        <v>0.0</v>
      </c>
      <c r="C101" s="91">
        <v>0.0</v>
      </c>
      <c r="D101" s="91" t="s">
        <v>613</v>
      </c>
      <c r="E101" s="91">
        <v>67.0</v>
      </c>
      <c r="F101" s="91">
        <v>7.0</v>
      </c>
      <c r="G101" s="91" t="s">
        <v>613</v>
      </c>
      <c r="H101" s="91" t="s">
        <v>608</v>
      </c>
      <c r="I101" s="91" t="s">
        <v>615</v>
      </c>
      <c r="J101" s="91" t="s">
        <v>608</v>
      </c>
      <c r="K101" s="91" t="s">
        <v>608</v>
      </c>
    </row>
    <row r="102">
      <c r="A102" s="90" t="s">
        <v>608</v>
      </c>
      <c r="B102" s="90">
        <v>0.0</v>
      </c>
      <c r="C102" s="90">
        <v>0.0</v>
      </c>
      <c r="D102" s="90" t="s">
        <v>613</v>
      </c>
      <c r="E102" s="90">
        <v>17.0</v>
      </c>
      <c r="F102" s="90">
        <v>10.0</v>
      </c>
      <c r="G102" s="90" t="s">
        <v>613</v>
      </c>
      <c r="H102" s="90" t="s">
        <v>608</v>
      </c>
      <c r="I102" s="90" t="s">
        <v>615</v>
      </c>
      <c r="J102" s="90" t="s">
        <v>608</v>
      </c>
      <c r="K102" s="90" t="s">
        <v>608</v>
      </c>
    </row>
    <row r="103">
      <c r="A103" s="91" t="s">
        <v>608</v>
      </c>
      <c r="B103" s="91">
        <v>0.0</v>
      </c>
      <c r="C103" s="91">
        <v>0.0</v>
      </c>
      <c r="D103" s="91" t="s">
        <v>613</v>
      </c>
      <c r="E103" s="91">
        <v>43.0</v>
      </c>
      <c r="F103" s="91">
        <v>10.0</v>
      </c>
      <c r="G103" s="91" t="s">
        <v>608</v>
      </c>
      <c r="H103" s="91" t="s">
        <v>613</v>
      </c>
      <c r="I103" s="91" t="s">
        <v>615</v>
      </c>
      <c r="J103" s="91" t="s">
        <v>608</v>
      </c>
      <c r="K103" s="91" t="s">
        <v>608</v>
      </c>
    </row>
    <row r="104">
      <c r="A104" s="90" t="s">
        <v>608</v>
      </c>
      <c r="B104" s="90">
        <v>0.0</v>
      </c>
      <c r="C104" s="90">
        <v>0.0</v>
      </c>
      <c r="D104" s="90" t="s">
        <v>613</v>
      </c>
      <c r="E104" s="90">
        <v>45.0</v>
      </c>
      <c r="F104" s="90">
        <v>3.0</v>
      </c>
      <c r="G104" s="90" t="s">
        <v>613</v>
      </c>
      <c r="H104" s="90" t="s">
        <v>608</v>
      </c>
      <c r="I104" s="90" t="s">
        <v>615</v>
      </c>
      <c r="J104" s="90" t="s">
        <v>608</v>
      </c>
      <c r="K104" s="90" t="s">
        <v>608</v>
      </c>
    </row>
    <row r="105">
      <c r="A105" s="91" t="s">
        <v>608</v>
      </c>
      <c r="B105" s="91">
        <v>0.0</v>
      </c>
      <c r="C105" s="91">
        <v>0.0</v>
      </c>
      <c r="D105" s="91" t="s">
        <v>608</v>
      </c>
      <c r="E105" s="91">
        <v>0.0</v>
      </c>
      <c r="F105" s="91">
        <v>0.0</v>
      </c>
      <c r="G105" s="91" t="s">
        <v>608</v>
      </c>
      <c r="H105" s="91" t="s">
        <v>608</v>
      </c>
      <c r="I105" s="91" t="s">
        <v>698</v>
      </c>
      <c r="J105" s="91" t="s">
        <v>608</v>
      </c>
      <c r="K105" s="91" t="s">
        <v>608</v>
      </c>
    </row>
    <row r="106">
      <c r="A106" s="90" t="s">
        <v>608</v>
      </c>
      <c r="B106" s="90">
        <v>0.0</v>
      </c>
      <c r="C106" s="90">
        <v>0.0</v>
      </c>
      <c r="D106" s="90" t="s">
        <v>626</v>
      </c>
      <c r="E106" s="90">
        <v>24.0</v>
      </c>
      <c r="F106" s="90">
        <v>38.0</v>
      </c>
      <c r="G106" s="90" t="s">
        <v>626</v>
      </c>
      <c r="H106" s="90" t="s">
        <v>608</v>
      </c>
      <c r="I106" s="90" t="s">
        <v>627</v>
      </c>
      <c r="J106" s="90" t="s">
        <v>608</v>
      </c>
      <c r="K106" s="90" t="s">
        <v>608</v>
      </c>
    </row>
    <row r="107">
      <c r="A107" s="91" t="s">
        <v>608</v>
      </c>
      <c r="B107" s="91">
        <v>0.0</v>
      </c>
      <c r="C107" s="91">
        <v>0.0</v>
      </c>
      <c r="D107" s="91" t="s">
        <v>626</v>
      </c>
      <c r="E107" s="91">
        <v>17.0</v>
      </c>
      <c r="F107" s="91">
        <v>20.0</v>
      </c>
      <c r="G107" s="91" t="s">
        <v>608</v>
      </c>
      <c r="H107" s="91" t="s">
        <v>608</v>
      </c>
      <c r="I107" s="91" t="s">
        <v>627</v>
      </c>
      <c r="J107" s="91" t="s">
        <v>608</v>
      </c>
      <c r="K107" s="91" t="s">
        <v>608</v>
      </c>
    </row>
    <row r="108">
      <c r="A108" s="90" t="s">
        <v>608</v>
      </c>
      <c r="B108" s="90">
        <v>0.0</v>
      </c>
      <c r="C108" s="90">
        <v>0.0</v>
      </c>
      <c r="D108" s="90" t="s">
        <v>626</v>
      </c>
      <c r="E108" s="90">
        <v>20.0</v>
      </c>
      <c r="F108" s="90">
        <v>27.0</v>
      </c>
      <c r="G108" s="90" t="s">
        <v>626</v>
      </c>
      <c r="H108" s="90" t="s">
        <v>608</v>
      </c>
      <c r="I108" s="90" t="s">
        <v>627</v>
      </c>
      <c r="J108" s="90" t="s">
        <v>608</v>
      </c>
      <c r="K108" s="90" t="s">
        <v>608</v>
      </c>
    </row>
    <row r="109">
      <c r="A109" s="91" t="s">
        <v>626</v>
      </c>
      <c r="B109" s="91">
        <v>21.0</v>
      </c>
      <c r="C109" s="91">
        <v>24.0</v>
      </c>
      <c r="D109" s="119">
        <v>45658.0</v>
      </c>
      <c r="E109" s="91">
        <v>59.0</v>
      </c>
      <c r="F109" s="91">
        <v>59.0</v>
      </c>
      <c r="G109" s="91" t="s">
        <v>613</v>
      </c>
      <c r="H109" s="91" t="s">
        <v>608</v>
      </c>
      <c r="I109" s="91" t="s">
        <v>615</v>
      </c>
      <c r="J109" s="91" t="s">
        <v>626</v>
      </c>
      <c r="K109" s="91" t="s">
        <v>626</v>
      </c>
    </row>
    <row r="110">
      <c r="A110" s="94" t="s">
        <v>733</v>
      </c>
    </row>
    <row r="111">
      <c r="A111" s="57"/>
    </row>
    <row r="112">
      <c r="A112" s="57"/>
    </row>
    <row r="113">
      <c r="A113" s="67" t="s">
        <v>734</v>
      </c>
      <c r="B113">
        <f>IFERROR(__xludf.DUMMYFUNCTION("split(D133,""-"")"),1.0)</f>
        <v>1</v>
      </c>
      <c r="C113">
        <f>IFERROR(__xludf.DUMMYFUNCTION("""COMPUTED_VALUE"""),0.0)</f>
        <v>0</v>
      </c>
    </row>
    <row r="114">
      <c r="A114" s="67" t="s">
        <v>736</v>
      </c>
      <c r="B114">
        <f>IFERROR(__xludf.DUMMYFUNCTION("split(D134,""-"")"),1.0)</f>
        <v>1</v>
      </c>
      <c r="C114">
        <f>IFERROR(__xludf.DUMMYFUNCTION("""COMPUTED_VALUE"""),0.0)</f>
        <v>0</v>
      </c>
    </row>
    <row r="115">
      <c r="A115" s="67" t="s">
        <v>737</v>
      </c>
      <c r="B115">
        <f>IFERROR(__xludf.DUMMYFUNCTION("split(D135,""-"")"),1.0)</f>
        <v>1</v>
      </c>
      <c r="C115">
        <f>IFERROR(__xludf.DUMMYFUNCTION("""COMPUTED_VALUE"""),0.0)</f>
        <v>0</v>
      </c>
    </row>
    <row r="116">
      <c r="A116" s="67" t="s">
        <v>739</v>
      </c>
      <c r="B116">
        <f>IFERROR(__xludf.DUMMYFUNCTION("split(D136,""-"")"),1.0)</f>
        <v>1</v>
      </c>
      <c r="C116">
        <f>IFERROR(__xludf.DUMMYFUNCTION("""COMPUTED_VALUE"""),0.0)</f>
        <v>0</v>
      </c>
    </row>
    <row r="117">
      <c r="A117" s="67" t="s">
        <v>740</v>
      </c>
      <c r="B117">
        <f>IFERROR(__xludf.DUMMYFUNCTION("split(D137,""-"")"),1.0)</f>
        <v>1</v>
      </c>
      <c r="C117">
        <f>IFERROR(__xludf.DUMMYFUNCTION("""COMPUTED_VALUE"""),0.0)</f>
        <v>0</v>
      </c>
    </row>
    <row r="118">
      <c r="A118" s="67" t="s">
        <v>742</v>
      </c>
      <c r="B118">
        <f>IFERROR(__xludf.DUMMYFUNCTION("split(D138,""-"")"),1.0)</f>
        <v>1</v>
      </c>
      <c r="C118">
        <f>IFERROR(__xludf.DUMMYFUNCTION("""COMPUTED_VALUE"""),0.0)</f>
        <v>0</v>
      </c>
    </row>
    <row r="119">
      <c r="A119" s="67" t="s">
        <v>744</v>
      </c>
      <c r="B119">
        <f>IFERROR(__xludf.DUMMYFUNCTION("split(D139,""-"")"),1.0)</f>
        <v>1</v>
      </c>
      <c r="C119">
        <f>IFERROR(__xludf.DUMMYFUNCTION("""COMPUTED_VALUE"""),0.0)</f>
        <v>0</v>
      </c>
    </row>
    <row r="120">
      <c r="A120" s="67" t="s">
        <v>745</v>
      </c>
      <c r="B120">
        <f>IFERROR(__xludf.DUMMYFUNCTION("split(D140,""-"")"),1.0)</f>
        <v>1</v>
      </c>
      <c r="C120">
        <f>IFERROR(__xludf.DUMMYFUNCTION("""COMPUTED_VALUE"""),0.0)</f>
        <v>0</v>
      </c>
    </row>
    <row r="121">
      <c r="A121" s="67" t="s">
        <v>747</v>
      </c>
      <c r="B121">
        <f>IFERROR(__xludf.DUMMYFUNCTION("split(D141,""-"")"),1.0)</f>
        <v>1</v>
      </c>
      <c r="C121">
        <f>IFERROR(__xludf.DUMMYFUNCTION("""COMPUTED_VALUE"""),0.0)</f>
        <v>0</v>
      </c>
    </row>
    <row r="122">
      <c r="A122" s="67" t="s">
        <v>750</v>
      </c>
      <c r="B122">
        <f>IFERROR(__xludf.DUMMYFUNCTION("split(D142,""-"")"),1.0)</f>
        <v>1</v>
      </c>
      <c r="C122">
        <f>IFERROR(__xludf.DUMMYFUNCTION("""COMPUTED_VALUE"""),0.0)</f>
        <v>0</v>
      </c>
    </row>
    <row r="123">
      <c r="A123" s="67" t="s">
        <v>751</v>
      </c>
      <c r="B123">
        <f>IFERROR(__xludf.DUMMYFUNCTION("split(D143,""-"")"),1.0)</f>
        <v>1</v>
      </c>
      <c r="C123">
        <f>IFERROR(__xludf.DUMMYFUNCTION("""COMPUTED_VALUE"""),0.0)</f>
        <v>0</v>
      </c>
    </row>
    <row r="124">
      <c r="A124" s="67" t="s">
        <v>753</v>
      </c>
      <c r="B124">
        <f>IFERROR(__xludf.DUMMYFUNCTION("split(D144,""-"")"),1.0)</f>
        <v>1</v>
      </c>
      <c r="C124">
        <f>IFERROR(__xludf.DUMMYFUNCTION("""COMPUTED_VALUE"""),0.0)</f>
        <v>0</v>
      </c>
    </row>
    <row r="125">
      <c r="A125" s="67" t="s">
        <v>754</v>
      </c>
      <c r="B125">
        <f>IFERROR(__xludf.DUMMYFUNCTION("split(D145,""-"")"),1.0)</f>
        <v>1</v>
      </c>
      <c r="C125">
        <f>IFERROR(__xludf.DUMMYFUNCTION("""COMPUTED_VALUE"""),0.0)</f>
        <v>0</v>
      </c>
    </row>
    <row r="126">
      <c r="A126" s="67" t="s">
        <v>756</v>
      </c>
      <c r="B126">
        <f>IFERROR(__xludf.DUMMYFUNCTION("split(D146,""-"")"),1.0)</f>
        <v>1</v>
      </c>
      <c r="C126">
        <f>IFERROR(__xludf.DUMMYFUNCTION("""COMPUTED_VALUE"""),0.0)</f>
        <v>0</v>
      </c>
    </row>
    <row r="127">
      <c r="A127" s="67" t="s">
        <v>759</v>
      </c>
      <c r="B127">
        <f>IFERROR(__xludf.DUMMYFUNCTION("split(D147,""-"")"),1.0)</f>
        <v>1</v>
      </c>
      <c r="C127">
        <f>IFERROR(__xludf.DUMMYFUNCTION("""COMPUTED_VALUE"""),0.0)</f>
        <v>0</v>
      </c>
    </row>
    <row r="128">
      <c r="A128" s="67" t="s">
        <v>761</v>
      </c>
      <c r="B128">
        <f>IFERROR(__xludf.DUMMYFUNCTION("split(D148,""-"")"),1.0)</f>
        <v>1</v>
      </c>
      <c r="C128">
        <f>IFERROR(__xludf.DUMMYFUNCTION("""COMPUTED_VALUE"""),0.0)</f>
        <v>0</v>
      </c>
    </row>
    <row r="129">
      <c r="A129" s="67" t="s">
        <v>763</v>
      </c>
      <c r="B129">
        <f>IFERROR(__xludf.DUMMYFUNCTION("split(D149,""-"")"),0.0)</f>
        <v>0</v>
      </c>
      <c r="C129">
        <f>IFERROR(__xludf.DUMMYFUNCTION("""COMPUTED_VALUE"""),1.0)</f>
        <v>1</v>
      </c>
    </row>
    <row r="130">
      <c r="A130" s="67" t="s">
        <v>764</v>
      </c>
      <c r="B130">
        <f>IFERROR(__xludf.DUMMYFUNCTION("split(D150,""-"")"),0.0)</f>
        <v>0</v>
      </c>
      <c r="C130">
        <f>IFERROR(__xludf.DUMMYFUNCTION("""COMPUTED_VALUE"""),1.0)</f>
        <v>1</v>
      </c>
    </row>
    <row r="131">
      <c r="A131" s="87" t="s">
        <v>573</v>
      </c>
      <c r="B131" s="88"/>
      <c r="C131" s="88"/>
      <c r="D131" s="87" t="s">
        <v>578</v>
      </c>
      <c r="E131" s="88"/>
      <c r="F131" s="88"/>
      <c r="G131" s="88"/>
      <c r="H131" s="88"/>
      <c r="I131" s="88"/>
      <c r="J131" s="87" t="s">
        <v>583</v>
      </c>
      <c r="K131" s="88"/>
    </row>
    <row r="132">
      <c r="A132" s="89" t="s">
        <v>587</v>
      </c>
      <c r="B132" s="89" t="s">
        <v>29</v>
      </c>
      <c r="C132" s="89" t="s">
        <v>30</v>
      </c>
      <c r="D132" s="89" t="s">
        <v>587</v>
      </c>
      <c r="E132" s="89" t="s">
        <v>29</v>
      </c>
      <c r="F132" s="89" t="s">
        <v>30</v>
      </c>
      <c r="G132" s="89" t="s">
        <v>599</v>
      </c>
      <c r="H132" s="89" t="s">
        <v>601</v>
      </c>
      <c r="I132" s="89" t="s">
        <v>603</v>
      </c>
      <c r="J132" s="89" t="s">
        <v>605</v>
      </c>
      <c r="K132" s="89" t="s">
        <v>356</v>
      </c>
    </row>
    <row r="133">
      <c r="A133" s="90" t="s">
        <v>608</v>
      </c>
      <c r="B133" s="90">
        <v>0.0</v>
      </c>
      <c r="C133" s="90">
        <v>0.0</v>
      </c>
      <c r="D133" s="90" t="s">
        <v>613</v>
      </c>
      <c r="E133" s="90">
        <v>52.0</v>
      </c>
      <c r="F133" s="90">
        <v>3.0</v>
      </c>
      <c r="G133" s="90" t="s">
        <v>613</v>
      </c>
      <c r="H133" s="90" t="s">
        <v>608</v>
      </c>
      <c r="I133" s="90" t="s">
        <v>615</v>
      </c>
      <c r="J133" s="90" t="s">
        <v>608</v>
      </c>
      <c r="K133" s="90" t="s">
        <v>608</v>
      </c>
    </row>
    <row r="134">
      <c r="A134" s="91" t="s">
        <v>608</v>
      </c>
      <c r="B134" s="91">
        <v>0.0</v>
      </c>
      <c r="C134" s="91">
        <v>0.0</v>
      </c>
      <c r="D134" s="91" t="s">
        <v>613</v>
      </c>
      <c r="E134" s="91">
        <v>27.0</v>
      </c>
      <c r="F134" s="91">
        <v>14.0</v>
      </c>
      <c r="G134" s="91" t="s">
        <v>613</v>
      </c>
      <c r="H134" s="91" t="s">
        <v>608</v>
      </c>
      <c r="I134" s="91" t="s">
        <v>615</v>
      </c>
      <c r="J134" s="91" t="s">
        <v>608</v>
      </c>
      <c r="K134" s="91" t="s">
        <v>608</v>
      </c>
    </row>
    <row r="135">
      <c r="A135" s="90" t="s">
        <v>608</v>
      </c>
      <c r="B135" s="90">
        <v>0.0</v>
      </c>
      <c r="C135" s="90">
        <v>0.0</v>
      </c>
      <c r="D135" s="90" t="s">
        <v>613</v>
      </c>
      <c r="E135" s="90">
        <v>34.0</v>
      </c>
      <c r="F135" s="90">
        <v>7.0</v>
      </c>
      <c r="G135" s="90" t="s">
        <v>613</v>
      </c>
      <c r="H135" s="90" t="s">
        <v>608</v>
      </c>
      <c r="I135" s="90" t="s">
        <v>615</v>
      </c>
      <c r="J135" s="90" t="s">
        <v>608</v>
      </c>
      <c r="K135" s="90" t="s">
        <v>608</v>
      </c>
    </row>
    <row r="136">
      <c r="A136" s="91" t="s">
        <v>608</v>
      </c>
      <c r="B136" s="91">
        <v>0.0</v>
      </c>
      <c r="C136" s="91">
        <v>0.0</v>
      </c>
      <c r="D136" s="91" t="s">
        <v>613</v>
      </c>
      <c r="E136" s="91">
        <v>39.0</v>
      </c>
      <c r="F136" s="91">
        <v>7.0</v>
      </c>
      <c r="G136" s="91" t="s">
        <v>613</v>
      </c>
      <c r="H136" s="91" t="s">
        <v>608</v>
      </c>
      <c r="I136" s="91" t="s">
        <v>615</v>
      </c>
      <c r="J136" s="91" t="s">
        <v>608</v>
      </c>
      <c r="K136" s="91" t="s">
        <v>608</v>
      </c>
    </row>
    <row r="137">
      <c r="A137" s="90" t="s">
        <v>608</v>
      </c>
      <c r="B137" s="90">
        <v>0.0</v>
      </c>
      <c r="C137" s="90">
        <v>0.0</v>
      </c>
      <c r="D137" s="90" t="s">
        <v>613</v>
      </c>
      <c r="E137" s="90">
        <v>34.0</v>
      </c>
      <c r="F137" s="90">
        <v>17.0</v>
      </c>
      <c r="G137" s="90" t="s">
        <v>613</v>
      </c>
      <c r="H137" s="90" t="s">
        <v>608</v>
      </c>
      <c r="I137" s="90" t="s">
        <v>615</v>
      </c>
      <c r="J137" s="90" t="s">
        <v>608</v>
      </c>
      <c r="K137" s="90" t="s">
        <v>608</v>
      </c>
    </row>
    <row r="138">
      <c r="A138" s="91" t="s">
        <v>608</v>
      </c>
      <c r="B138" s="91">
        <v>0.0</v>
      </c>
      <c r="C138" s="91">
        <v>0.0</v>
      </c>
      <c r="D138" s="91" t="s">
        <v>613</v>
      </c>
      <c r="E138" s="91">
        <v>23.0</v>
      </c>
      <c r="F138" s="91">
        <v>6.0</v>
      </c>
      <c r="G138" s="91" t="s">
        <v>613</v>
      </c>
      <c r="H138" s="91" t="s">
        <v>608</v>
      </c>
      <c r="I138" s="91" t="s">
        <v>615</v>
      </c>
      <c r="J138" s="91" t="s">
        <v>608</v>
      </c>
      <c r="K138" s="91" t="s">
        <v>608</v>
      </c>
    </row>
    <row r="139">
      <c r="A139" s="90" t="s">
        <v>608</v>
      </c>
      <c r="B139" s="90">
        <v>0.0</v>
      </c>
      <c r="C139" s="90">
        <v>0.0</v>
      </c>
      <c r="D139" s="90" t="s">
        <v>613</v>
      </c>
      <c r="E139" s="90">
        <v>23.0</v>
      </c>
      <c r="F139" s="90">
        <v>10.0</v>
      </c>
      <c r="G139" s="90" t="s">
        <v>613</v>
      </c>
      <c r="H139" s="90" t="s">
        <v>608</v>
      </c>
      <c r="I139" s="90" t="s">
        <v>615</v>
      </c>
      <c r="J139" s="90" t="s">
        <v>608</v>
      </c>
      <c r="K139" s="90" t="s">
        <v>608</v>
      </c>
    </row>
    <row r="140">
      <c r="A140" s="91" t="s">
        <v>608</v>
      </c>
      <c r="B140" s="91">
        <v>0.0</v>
      </c>
      <c r="C140" s="91">
        <v>0.0</v>
      </c>
      <c r="D140" s="91" t="s">
        <v>613</v>
      </c>
      <c r="E140" s="91">
        <v>20.0</v>
      </c>
      <c r="F140" s="91">
        <v>17.0</v>
      </c>
      <c r="G140" s="91" t="s">
        <v>608</v>
      </c>
      <c r="H140" s="91" t="s">
        <v>608</v>
      </c>
      <c r="I140" s="91" t="s">
        <v>615</v>
      </c>
      <c r="J140" s="91" t="s">
        <v>608</v>
      </c>
      <c r="K140" s="91" t="s">
        <v>608</v>
      </c>
    </row>
    <row r="141">
      <c r="A141" s="90" t="s">
        <v>608</v>
      </c>
      <c r="B141" s="90">
        <v>0.0</v>
      </c>
      <c r="C141" s="90">
        <v>0.0</v>
      </c>
      <c r="D141" s="90" t="s">
        <v>613</v>
      </c>
      <c r="E141" s="90">
        <v>14.0</v>
      </c>
      <c r="F141" s="90">
        <v>7.0</v>
      </c>
      <c r="G141" s="90" t="s">
        <v>613</v>
      </c>
      <c r="H141" s="90" t="s">
        <v>608</v>
      </c>
      <c r="I141" s="90" t="s">
        <v>615</v>
      </c>
      <c r="J141" s="90" t="s">
        <v>613</v>
      </c>
      <c r="K141" s="90" t="s">
        <v>613</v>
      </c>
    </row>
    <row r="142">
      <c r="A142" s="91" t="s">
        <v>608</v>
      </c>
      <c r="B142" s="91">
        <v>0.0</v>
      </c>
      <c r="C142" s="91">
        <v>0.0</v>
      </c>
      <c r="D142" s="91" t="s">
        <v>613</v>
      </c>
      <c r="E142" s="91">
        <v>59.0</v>
      </c>
      <c r="F142" s="91">
        <v>13.0</v>
      </c>
      <c r="G142" s="91" t="s">
        <v>613</v>
      </c>
      <c r="H142" s="91" t="s">
        <v>608</v>
      </c>
      <c r="I142" s="91" t="s">
        <v>615</v>
      </c>
      <c r="J142" s="91" t="s">
        <v>608</v>
      </c>
      <c r="K142" s="91" t="s">
        <v>608</v>
      </c>
    </row>
    <row r="143">
      <c r="A143" s="90" t="s">
        <v>608</v>
      </c>
      <c r="B143" s="90">
        <v>0.0</v>
      </c>
      <c r="C143" s="90">
        <v>0.0</v>
      </c>
      <c r="D143" s="90" t="s">
        <v>613</v>
      </c>
      <c r="E143" s="90">
        <v>46.0</v>
      </c>
      <c r="F143" s="90">
        <v>11.0</v>
      </c>
      <c r="G143" s="90" t="s">
        <v>613</v>
      </c>
      <c r="H143" s="90" t="s">
        <v>608</v>
      </c>
      <c r="I143" s="90" t="s">
        <v>615</v>
      </c>
      <c r="J143" s="90" t="s">
        <v>608</v>
      </c>
      <c r="K143" s="90" t="s">
        <v>608</v>
      </c>
    </row>
    <row r="144">
      <c r="A144" s="91" t="s">
        <v>608</v>
      </c>
      <c r="B144" s="91">
        <v>0.0</v>
      </c>
      <c r="C144" s="91">
        <v>0.0</v>
      </c>
      <c r="D144" s="91" t="s">
        <v>613</v>
      </c>
      <c r="E144" s="91">
        <v>31.0</v>
      </c>
      <c r="F144" s="91">
        <v>0.0</v>
      </c>
      <c r="G144" s="91" t="s">
        <v>613</v>
      </c>
      <c r="H144" s="91" t="s">
        <v>608</v>
      </c>
      <c r="I144" s="91" t="s">
        <v>615</v>
      </c>
      <c r="J144" s="91" t="s">
        <v>608</v>
      </c>
      <c r="K144" s="91" t="s">
        <v>608</v>
      </c>
    </row>
    <row r="145">
      <c r="A145" s="90" t="s">
        <v>608</v>
      </c>
      <c r="B145" s="90">
        <v>0.0</v>
      </c>
      <c r="C145" s="90">
        <v>0.0</v>
      </c>
      <c r="D145" s="90" t="s">
        <v>613</v>
      </c>
      <c r="E145" s="90">
        <v>34.0</v>
      </c>
      <c r="F145" s="90">
        <v>31.0</v>
      </c>
      <c r="G145" s="90" t="s">
        <v>613</v>
      </c>
      <c r="H145" s="90" t="s">
        <v>608</v>
      </c>
      <c r="I145" s="90" t="s">
        <v>615</v>
      </c>
      <c r="J145" s="90" t="s">
        <v>608</v>
      </c>
      <c r="K145" s="90" t="s">
        <v>608</v>
      </c>
    </row>
    <row r="146">
      <c r="A146" s="91" t="s">
        <v>608</v>
      </c>
      <c r="B146" s="91">
        <v>0.0</v>
      </c>
      <c r="C146" s="91">
        <v>0.0</v>
      </c>
      <c r="D146" s="91" t="s">
        <v>613</v>
      </c>
      <c r="E146" s="91">
        <v>73.0</v>
      </c>
      <c r="F146" s="91">
        <v>13.0</v>
      </c>
      <c r="G146" s="91" t="s">
        <v>613</v>
      </c>
      <c r="H146" s="91" t="s">
        <v>608</v>
      </c>
      <c r="I146" s="91" t="s">
        <v>615</v>
      </c>
      <c r="J146" s="91" t="s">
        <v>608</v>
      </c>
      <c r="K146" s="91" t="s">
        <v>608</v>
      </c>
    </row>
    <row r="147">
      <c r="A147" s="90" t="s">
        <v>608</v>
      </c>
      <c r="B147" s="90">
        <v>0.0</v>
      </c>
      <c r="C147" s="90">
        <v>0.0</v>
      </c>
      <c r="D147" s="90" t="s">
        <v>613</v>
      </c>
      <c r="E147" s="90">
        <v>38.0</v>
      </c>
      <c r="F147" s="90">
        <v>21.0</v>
      </c>
      <c r="G147" s="90" t="s">
        <v>613</v>
      </c>
      <c r="H147" s="90" t="s">
        <v>608</v>
      </c>
      <c r="I147" s="90" t="s">
        <v>615</v>
      </c>
      <c r="J147" s="90" t="s">
        <v>608</v>
      </c>
      <c r="K147" s="90" t="s">
        <v>608</v>
      </c>
    </row>
    <row r="148">
      <c r="A148" s="91" t="s">
        <v>608</v>
      </c>
      <c r="B148" s="91">
        <v>0.0</v>
      </c>
      <c r="C148" s="91">
        <v>0.0</v>
      </c>
      <c r="D148" s="91" t="s">
        <v>613</v>
      </c>
      <c r="E148" s="91">
        <v>17.0</v>
      </c>
      <c r="F148" s="91">
        <v>0.0</v>
      </c>
      <c r="G148" s="91" t="s">
        <v>613</v>
      </c>
      <c r="H148" s="91" t="s">
        <v>608</v>
      </c>
      <c r="I148" s="91" t="s">
        <v>615</v>
      </c>
      <c r="J148" s="91" t="s">
        <v>608</v>
      </c>
      <c r="K148" s="91" t="s">
        <v>608</v>
      </c>
    </row>
    <row r="149">
      <c r="A149" s="90" t="s">
        <v>608</v>
      </c>
      <c r="B149" s="90">
        <v>0.0</v>
      </c>
      <c r="C149" s="90">
        <v>0.0</v>
      </c>
      <c r="D149" s="90" t="s">
        <v>626</v>
      </c>
      <c r="E149" s="90">
        <v>3.0</v>
      </c>
      <c r="F149" s="90">
        <v>23.0</v>
      </c>
      <c r="G149" s="90" t="s">
        <v>608</v>
      </c>
      <c r="H149" s="90" t="s">
        <v>626</v>
      </c>
      <c r="I149" s="90" t="s">
        <v>627</v>
      </c>
      <c r="J149" s="90" t="s">
        <v>608</v>
      </c>
      <c r="K149" s="90" t="s">
        <v>608</v>
      </c>
    </row>
    <row r="150">
      <c r="A150" s="91" t="s">
        <v>608</v>
      </c>
      <c r="B150" s="91">
        <v>0.0</v>
      </c>
      <c r="C150" s="91">
        <v>0.0</v>
      </c>
      <c r="D150" s="91" t="s">
        <v>626</v>
      </c>
      <c r="E150" s="91">
        <v>10.0</v>
      </c>
      <c r="F150" s="91">
        <v>43.0</v>
      </c>
      <c r="G150" s="91" t="s">
        <v>626</v>
      </c>
      <c r="H150" s="91" t="s">
        <v>608</v>
      </c>
      <c r="I150" s="91" t="s">
        <v>627</v>
      </c>
      <c r="J150" s="91" t="s">
        <v>608</v>
      </c>
      <c r="K150" s="91" t="s">
        <v>608</v>
      </c>
    </row>
    <row r="151">
      <c r="A151" s="94" t="s">
        <v>768</v>
      </c>
    </row>
    <row r="152">
      <c r="A152" s="57"/>
    </row>
    <row r="153">
      <c r="A153" s="57"/>
    </row>
    <row r="154">
      <c r="A154" s="67" t="s">
        <v>769</v>
      </c>
      <c r="B154">
        <f>IFERROR(__xludf.DUMMYFUNCTION("split(D168,""-"")"),2.0)</f>
        <v>2</v>
      </c>
      <c r="C154">
        <f>IFERROR(__xludf.DUMMYFUNCTION("""COMPUTED_VALUE"""),0.0)</f>
        <v>0</v>
      </c>
    </row>
    <row r="155">
      <c r="A155" s="67" t="s">
        <v>770</v>
      </c>
      <c r="B155">
        <f>IFERROR(__xludf.DUMMYFUNCTION("split(D169,""-"")"),1.0)</f>
        <v>1</v>
      </c>
      <c r="C155">
        <f>IFERROR(__xludf.DUMMYFUNCTION("""COMPUTED_VALUE"""),0.0)</f>
        <v>0</v>
      </c>
    </row>
    <row r="156">
      <c r="A156" s="67" t="s">
        <v>771</v>
      </c>
      <c r="B156">
        <f>IFERROR(__xludf.DUMMYFUNCTION("split(D170,""-"")"),1.0)</f>
        <v>1</v>
      </c>
      <c r="C156">
        <f>IFERROR(__xludf.DUMMYFUNCTION("""COMPUTED_VALUE"""),0.0)</f>
        <v>0</v>
      </c>
    </row>
    <row r="157">
      <c r="A157" s="67" t="s">
        <v>772</v>
      </c>
      <c r="B157">
        <f>IFERROR(__xludf.DUMMYFUNCTION("split(D171,""-"")"),1.0)</f>
        <v>1</v>
      </c>
      <c r="C157">
        <f>IFERROR(__xludf.DUMMYFUNCTION("""COMPUTED_VALUE"""),0.0)</f>
        <v>0</v>
      </c>
    </row>
    <row r="158">
      <c r="A158" s="67" t="s">
        <v>773</v>
      </c>
      <c r="B158">
        <f>IFERROR(__xludf.DUMMYFUNCTION("split(D172,""-"")"),1.0)</f>
        <v>1</v>
      </c>
      <c r="C158">
        <f>IFERROR(__xludf.DUMMYFUNCTION("""COMPUTED_VALUE"""),0.0)</f>
        <v>0</v>
      </c>
    </row>
    <row r="159">
      <c r="A159" s="67" t="s">
        <v>774</v>
      </c>
      <c r="B159">
        <f>IFERROR(__xludf.DUMMYFUNCTION("split(D173,""-"")"),1.0)</f>
        <v>1</v>
      </c>
      <c r="C159">
        <f>IFERROR(__xludf.DUMMYFUNCTION("""COMPUTED_VALUE"""),0.0)</f>
        <v>0</v>
      </c>
    </row>
    <row r="160">
      <c r="A160" s="67" t="s">
        <v>775</v>
      </c>
      <c r="B160">
        <f>IFERROR(__xludf.DUMMYFUNCTION("split(D174,""-"")"),0.0)</f>
        <v>0</v>
      </c>
      <c r="C160">
        <f>IFERROR(__xludf.DUMMYFUNCTION("""COMPUTED_VALUE"""),1.0)</f>
        <v>1</v>
      </c>
    </row>
    <row r="161">
      <c r="A161" s="67" t="s">
        <v>776</v>
      </c>
      <c r="B161">
        <f>IFERROR(__xludf.DUMMYFUNCTION("split(D175,""-"")"),0.0)</f>
        <v>0</v>
      </c>
      <c r="C161">
        <f>IFERROR(__xludf.DUMMYFUNCTION("""COMPUTED_VALUE"""),1.0)</f>
        <v>1</v>
      </c>
    </row>
    <row r="162">
      <c r="A162" s="67" t="s">
        <v>778</v>
      </c>
      <c r="B162">
        <f>IFERROR(__xludf.DUMMYFUNCTION("split(D176,""-"")"),0.0)</f>
        <v>0</v>
      </c>
      <c r="C162">
        <f>IFERROR(__xludf.DUMMYFUNCTION("""COMPUTED_VALUE"""),1.0)</f>
        <v>1</v>
      </c>
    </row>
    <row r="163">
      <c r="A163" s="67" t="s">
        <v>779</v>
      </c>
      <c r="B163">
        <f>IFERROR(__xludf.DUMMYFUNCTION("split(D177,""-"")"),0.0)</f>
        <v>0</v>
      </c>
      <c r="C163">
        <f>IFERROR(__xludf.DUMMYFUNCTION("""COMPUTED_VALUE"""),1.0)</f>
        <v>1</v>
      </c>
    </row>
    <row r="164">
      <c r="A164" s="67" t="s">
        <v>780</v>
      </c>
      <c r="B164">
        <f>IFERROR(__xludf.DUMMYFUNCTION("split(D178,""-"")"),0.0)</f>
        <v>0</v>
      </c>
      <c r="C164">
        <f>IFERROR(__xludf.DUMMYFUNCTION("""COMPUTED_VALUE"""),1.0)</f>
        <v>1</v>
      </c>
    </row>
    <row r="165">
      <c r="A165" s="67" t="s">
        <v>781</v>
      </c>
      <c r="B165">
        <f>IFERROR(__xludf.DUMMYFUNCTION("split(D179,""-"")"),0.0)</f>
        <v>0</v>
      </c>
      <c r="C165">
        <f>IFERROR(__xludf.DUMMYFUNCTION("""COMPUTED_VALUE"""),2.0)</f>
        <v>2</v>
      </c>
    </row>
    <row r="166">
      <c r="A166" s="87" t="s">
        <v>573</v>
      </c>
      <c r="B166" s="88"/>
      <c r="C166" s="88"/>
      <c r="D166" s="87" t="s">
        <v>578</v>
      </c>
      <c r="E166" s="88"/>
      <c r="F166" s="88"/>
      <c r="G166" s="88"/>
      <c r="H166" s="88"/>
      <c r="I166" s="88"/>
      <c r="J166" s="87" t="s">
        <v>583</v>
      </c>
      <c r="K166" s="88"/>
    </row>
    <row r="167">
      <c r="A167" s="89" t="s">
        <v>587</v>
      </c>
      <c r="B167" s="89" t="s">
        <v>29</v>
      </c>
      <c r="C167" s="89" t="s">
        <v>30</v>
      </c>
      <c r="D167" s="89" t="s">
        <v>587</v>
      </c>
      <c r="E167" s="89" t="s">
        <v>29</v>
      </c>
      <c r="F167" s="89" t="s">
        <v>30</v>
      </c>
      <c r="G167" s="89" t="s">
        <v>599</v>
      </c>
      <c r="H167" s="89" t="s">
        <v>601</v>
      </c>
      <c r="I167" s="89" t="s">
        <v>603</v>
      </c>
      <c r="J167" s="89" t="s">
        <v>605</v>
      </c>
      <c r="K167" s="89" t="s">
        <v>356</v>
      </c>
    </row>
    <row r="168">
      <c r="A168" s="90" t="s">
        <v>613</v>
      </c>
      <c r="B168" s="90">
        <v>41.0</v>
      </c>
      <c r="C168" s="90">
        <v>24.0</v>
      </c>
      <c r="D168" s="90" t="s">
        <v>728</v>
      </c>
      <c r="E168" s="90">
        <v>96.0</v>
      </c>
      <c r="F168" s="90">
        <v>30.0</v>
      </c>
      <c r="G168" s="90" t="s">
        <v>728</v>
      </c>
      <c r="H168" s="90" t="s">
        <v>608</v>
      </c>
      <c r="I168" s="90" t="s">
        <v>729</v>
      </c>
      <c r="J168" s="90" t="s">
        <v>608</v>
      </c>
      <c r="K168" s="90" t="s">
        <v>608</v>
      </c>
    </row>
    <row r="169">
      <c r="A169" s="91" t="s">
        <v>608</v>
      </c>
      <c r="B169" s="91">
        <v>0.0</v>
      </c>
      <c r="C169" s="91">
        <v>0.0</v>
      </c>
      <c r="D169" s="91" t="s">
        <v>613</v>
      </c>
      <c r="E169" s="91">
        <v>35.0</v>
      </c>
      <c r="F169" s="91">
        <v>17.0</v>
      </c>
      <c r="G169" s="91" t="s">
        <v>613</v>
      </c>
      <c r="H169" s="91" t="s">
        <v>608</v>
      </c>
      <c r="I169" s="91" t="s">
        <v>615</v>
      </c>
      <c r="J169" s="91" t="s">
        <v>608</v>
      </c>
      <c r="K169" s="91" t="s">
        <v>608</v>
      </c>
    </row>
    <row r="170">
      <c r="A170" s="90" t="s">
        <v>608</v>
      </c>
      <c r="B170" s="90">
        <v>0.0</v>
      </c>
      <c r="C170" s="90">
        <v>0.0</v>
      </c>
      <c r="D170" s="90" t="s">
        <v>613</v>
      </c>
      <c r="E170" s="90">
        <v>42.0</v>
      </c>
      <c r="F170" s="90">
        <v>9.0</v>
      </c>
      <c r="G170" s="90" t="s">
        <v>613</v>
      </c>
      <c r="H170" s="90" t="s">
        <v>608</v>
      </c>
      <c r="I170" s="90" t="s">
        <v>615</v>
      </c>
      <c r="J170" s="90" t="s">
        <v>608</v>
      </c>
      <c r="K170" s="90" t="s">
        <v>608</v>
      </c>
    </row>
    <row r="171">
      <c r="A171" s="91" t="s">
        <v>608</v>
      </c>
      <c r="B171" s="91">
        <v>0.0</v>
      </c>
      <c r="C171" s="91">
        <v>0.0</v>
      </c>
      <c r="D171" s="91" t="s">
        <v>613</v>
      </c>
      <c r="E171" s="91">
        <v>28.0</v>
      </c>
      <c r="F171" s="91">
        <v>7.0</v>
      </c>
      <c r="G171" s="91" t="s">
        <v>613</v>
      </c>
      <c r="H171" s="91" t="s">
        <v>608</v>
      </c>
      <c r="I171" s="91" t="s">
        <v>615</v>
      </c>
      <c r="J171" s="91" t="s">
        <v>608</v>
      </c>
      <c r="K171" s="91" t="s">
        <v>608</v>
      </c>
    </row>
    <row r="172">
      <c r="A172" s="90" t="s">
        <v>608</v>
      </c>
      <c r="B172" s="90">
        <v>0.0</v>
      </c>
      <c r="C172" s="90">
        <v>0.0</v>
      </c>
      <c r="D172" s="90" t="s">
        <v>613</v>
      </c>
      <c r="E172" s="90">
        <v>24.0</v>
      </c>
      <c r="F172" s="90">
        <v>0.0</v>
      </c>
      <c r="G172" s="90" t="s">
        <v>613</v>
      </c>
      <c r="H172" s="90" t="s">
        <v>608</v>
      </c>
      <c r="I172" s="90" t="s">
        <v>615</v>
      </c>
      <c r="J172" s="90" t="s">
        <v>608</v>
      </c>
      <c r="K172" s="90" t="s">
        <v>608</v>
      </c>
    </row>
    <row r="173">
      <c r="A173" s="91" t="s">
        <v>608</v>
      </c>
      <c r="B173" s="91">
        <v>0.0</v>
      </c>
      <c r="C173" s="91">
        <v>0.0</v>
      </c>
      <c r="D173" s="91" t="s">
        <v>613</v>
      </c>
      <c r="E173" s="91">
        <v>19.0</v>
      </c>
      <c r="F173" s="91">
        <v>3.0</v>
      </c>
      <c r="G173" s="91" t="s">
        <v>613</v>
      </c>
      <c r="H173" s="91" t="s">
        <v>608</v>
      </c>
      <c r="I173" s="91" t="s">
        <v>615</v>
      </c>
      <c r="J173" s="91" t="s">
        <v>608</v>
      </c>
      <c r="K173" s="91" t="s">
        <v>608</v>
      </c>
    </row>
    <row r="174">
      <c r="A174" s="90" t="s">
        <v>608</v>
      </c>
      <c r="B174" s="90">
        <v>0.0</v>
      </c>
      <c r="C174" s="90">
        <v>0.0</v>
      </c>
      <c r="D174" s="90" t="s">
        <v>626</v>
      </c>
      <c r="E174" s="90">
        <v>10.0</v>
      </c>
      <c r="F174" s="90">
        <v>17.0</v>
      </c>
      <c r="G174" s="90" t="s">
        <v>608</v>
      </c>
      <c r="H174" s="90" t="s">
        <v>626</v>
      </c>
      <c r="I174" s="90" t="s">
        <v>627</v>
      </c>
      <c r="J174" s="90" t="s">
        <v>608</v>
      </c>
      <c r="K174" s="90" t="s">
        <v>608</v>
      </c>
    </row>
    <row r="175">
      <c r="A175" s="91" t="s">
        <v>608</v>
      </c>
      <c r="B175" s="91">
        <v>0.0</v>
      </c>
      <c r="C175" s="91">
        <v>0.0</v>
      </c>
      <c r="D175" s="91" t="s">
        <v>626</v>
      </c>
      <c r="E175" s="91">
        <v>9.0</v>
      </c>
      <c r="F175" s="91">
        <v>10.0</v>
      </c>
      <c r="G175" s="91" t="s">
        <v>608</v>
      </c>
      <c r="H175" s="91" t="s">
        <v>626</v>
      </c>
      <c r="I175" s="91" t="s">
        <v>627</v>
      </c>
      <c r="J175" s="91" t="s">
        <v>608</v>
      </c>
      <c r="K175" s="91" t="s">
        <v>608</v>
      </c>
    </row>
    <row r="176">
      <c r="A176" s="90" t="s">
        <v>608</v>
      </c>
      <c r="B176" s="90">
        <v>0.0</v>
      </c>
      <c r="C176" s="90">
        <v>0.0</v>
      </c>
      <c r="D176" s="90" t="s">
        <v>626</v>
      </c>
      <c r="E176" s="90">
        <v>14.0</v>
      </c>
      <c r="F176" s="90">
        <v>34.0</v>
      </c>
      <c r="G176" s="90" t="s">
        <v>626</v>
      </c>
      <c r="H176" s="90" t="s">
        <v>608</v>
      </c>
      <c r="I176" s="90" t="s">
        <v>627</v>
      </c>
      <c r="J176" s="90" t="s">
        <v>608</v>
      </c>
      <c r="K176" s="90" t="s">
        <v>608</v>
      </c>
    </row>
    <row r="177">
      <c r="A177" s="91" t="s">
        <v>608</v>
      </c>
      <c r="B177" s="91">
        <v>0.0</v>
      </c>
      <c r="C177" s="91">
        <v>0.0</v>
      </c>
      <c r="D177" s="91" t="s">
        <v>626</v>
      </c>
      <c r="E177" s="91">
        <v>13.0</v>
      </c>
      <c r="F177" s="91">
        <v>73.0</v>
      </c>
      <c r="G177" s="91" t="s">
        <v>608</v>
      </c>
      <c r="H177" s="91" t="s">
        <v>626</v>
      </c>
      <c r="I177" s="91" t="s">
        <v>627</v>
      </c>
      <c r="J177" s="91" t="s">
        <v>608</v>
      </c>
      <c r="K177" s="91" t="s">
        <v>608</v>
      </c>
    </row>
    <row r="178">
      <c r="A178" s="90" t="s">
        <v>608</v>
      </c>
      <c r="B178" s="90">
        <v>0.0</v>
      </c>
      <c r="C178" s="90">
        <v>0.0</v>
      </c>
      <c r="D178" s="90" t="s">
        <v>626</v>
      </c>
      <c r="E178" s="90">
        <v>16.0</v>
      </c>
      <c r="F178" s="90">
        <v>28.0</v>
      </c>
      <c r="G178" s="90" t="s">
        <v>608</v>
      </c>
      <c r="H178" s="90" t="s">
        <v>626</v>
      </c>
      <c r="I178" s="90" t="s">
        <v>627</v>
      </c>
      <c r="J178" s="90" t="s">
        <v>608</v>
      </c>
      <c r="K178" s="90" t="s">
        <v>608</v>
      </c>
    </row>
    <row r="179">
      <c r="A179" s="91" t="s">
        <v>626</v>
      </c>
      <c r="B179" s="91">
        <v>24.0</v>
      </c>
      <c r="C179" s="91">
        <v>41.0</v>
      </c>
      <c r="D179" s="91" t="s">
        <v>783</v>
      </c>
      <c r="E179" s="91">
        <v>45.0</v>
      </c>
      <c r="F179" s="91">
        <v>79.0</v>
      </c>
      <c r="G179" s="91" t="s">
        <v>626</v>
      </c>
      <c r="H179" s="91" t="s">
        <v>626</v>
      </c>
      <c r="I179" s="91" t="s">
        <v>784</v>
      </c>
      <c r="J179" s="91" t="s">
        <v>608</v>
      </c>
      <c r="K179" s="91" t="s">
        <v>608</v>
      </c>
    </row>
    <row r="180">
      <c r="A180" s="94" t="s">
        <v>785</v>
      </c>
    </row>
    <row r="181">
      <c r="A181" s="57"/>
    </row>
    <row r="182">
      <c r="A182" s="57"/>
    </row>
    <row r="183">
      <c r="A183" s="67" t="s">
        <v>786</v>
      </c>
      <c r="B183">
        <f>IFERROR(__xludf.DUMMYFUNCTION("split(D187,""-"")"),1.0)</f>
        <v>1</v>
      </c>
      <c r="C183">
        <f>IFERROR(__xludf.DUMMYFUNCTION("""COMPUTED_VALUE"""),0.0)</f>
        <v>0</v>
      </c>
    </row>
    <row r="184">
      <c r="A184" s="67" t="s">
        <v>787</v>
      </c>
      <c r="B184">
        <f>IFERROR(__xludf.DUMMYFUNCTION("split(D188,""-"")"),0.0)</f>
        <v>0</v>
      </c>
      <c r="C184">
        <f>IFERROR(__xludf.DUMMYFUNCTION("""COMPUTED_VALUE"""),0.0)</f>
        <v>0</v>
      </c>
    </row>
    <row r="185">
      <c r="A185" s="87" t="s">
        <v>573</v>
      </c>
      <c r="B185" s="88"/>
      <c r="C185" s="88"/>
      <c r="D185" s="87" t="s">
        <v>578</v>
      </c>
      <c r="E185" s="88"/>
      <c r="F185" s="88"/>
      <c r="G185" s="88"/>
      <c r="H185" s="88"/>
      <c r="I185" s="88"/>
      <c r="J185" s="87" t="s">
        <v>583</v>
      </c>
      <c r="K185" s="88"/>
    </row>
    <row r="186">
      <c r="A186" s="89" t="s">
        <v>587</v>
      </c>
      <c r="B186" s="89" t="s">
        <v>29</v>
      </c>
      <c r="C186" s="89" t="s">
        <v>30</v>
      </c>
      <c r="D186" s="89" t="s">
        <v>587</v>
      </c>
      <c r="E186" s="89" t="s">
        <v>29</v>
      </c>
      <c r="F186" s="89" t="s">
        <v>30</v>
      </c>
      <c r="G186" s="89" t="s">
        <v>599</v>
      </c>
      <c r="H186" s="89" t="s">
        <v>601</v>
      </c>
      <c r="I186" s="89" t="s">
        <v>603</v>
      </c>
      <c r="J186" s="89" t="s">
        <v>605</v>
      </c>
      <c r="K186" s="89" t="s">
        <v>356</v>
      </c>
    </row>
    <row r="187">
      <c r="A187" s="90" t="s">
        <v>789</v>
      </c>
      <c r="B187" s="90" t="s">
        <v>789</v>
      </c>
      <c r="C187" s="90" t="s">
        <v>789</v>
      </c>
      <c r="D187" s="90" t="s">
        <v>613</v>
      </c>
      <c r="E187" s="90">
        <v>59.0</v>
      </c>
      <c r="F187" s="90">
        <v>13.0</v>
      </c>
      <c r="G187" s="90" t="s">
        <v>613</v>
      </c>
      <c r="H187" s="90" t="s">
        <v>608</v>
      </c>
      <c r="I187" s="90" t="s">
        <v>615</v>
      </c>
      <c r="J187" s="90" t="s">
        <v>608</v>
      </c>
      <c r="K187" s="90" t="s">
        <v>608</v>
      </c>
    </row>
    <row r="188">
      <c r="A188" s="91" t="s">
        <v>789</v>
      </c>
      <c r="B188" s="91" t="s">
        <v>789</v>
      </c>
      <c r="C188" s="91" t="s">
        <v>789</v>
      </c>
      <c r="D188" s="91" t="s">
        <v>608</v>
      </c>
      <c r="E188" s="91">
        <v>0.0</v>
      </c>
      <c r="F188" s="91">
        <v>0.0</v>
      </c>
      <c r="G188" s="91" t="s">
        <v>608</v>
      </c>
      <c r="H188" s="91" t="s">
        <v>608</v>
      </c>
      <c r="I188" s="91" t="s">
        <v>698</v>
      </c>
      <c r="J188" s="91" t="s">
        <v>608</v>
      </c>
      <c r="K188" s="91" t="s">
        <v>608</v>
      </c>
    </row>
    <row r="189">
      <c r="A189" s="94" t="s">
        <v>790</v>
      </c>
    </row>
    <row r="190">
      <c r="A190" s="57"/>
    </row>
    <row r="191">
      <c r="A191" s="57"/>
    </row>
    <row r="192">
      <c r="A192" s="67" t="s">
        <v>791</v>
      </c>
      <c r="B192">
        <f>IFERROR(__xludf.DUMMYFUNCTION("split(D207,""-"")"),1.0)</f>
        <v>1</v>
      </c>
      <c r="C192">
        <f>IFERROR(__xludf.DUMMYFUNCTION("""COMPUTED_VALUE"""),0.0)</f>
        <v>0</v>
      </c>
    </row>
    <row r="193">
      <c r="A193" s="67" t="s">
        <v>792</v>
      </c>
      <c r="B193">
        <f>IFERROR(__xludf.DUMMYFUNCTION("split(D208,""-"")"),1.0)</f>
        <v>1</v>
      </c>
      <c r="C193">
        <f>IFERROR(__xludf.DUMMYFUNCTION("""COMPUTED_VALUE"""),0.0)</f>
        <v>0</v>
      </c>
    </row>
    <row r="194">
      <c r="A194" s="67" t="s">
        <v>793</v>
      </c>
      <c r="B194">
        <f>IFERROR(__xludf.DUMMYFUNCTION("split(D209,""-"")"),1.0)</f>
        <v>1</v>
      </c>
      <c r="C194">
        <f>IFERROR(__xludf.DUMMYFUNCTION("""COMPUTED_VALUE"""),0.0)</f>
        <v>0</v>
      </c>
    </row>
    <row r="195">
      <c r="A195" s="67" t="s">
        <v>795</v>
      </c>
      <c r="B195">
        <f>IFERROR(__xludf.DUMMYFUNCTION("split(D210,""-"")"),1.0)</f>
        <v>1</v>
      </c>
      <c r="C195">
        <f>IFERROR(__xludf.DUMMYFUNCTION("""COMPUTED_VALUE"""),0.0)</f>
        <v>0</v>
      </c>
    </row>
    <row r="196">
      <c r="A196" s="67" t="s">
        <v>796</v>
      </c>
      <c r="B196">
        <f>IFERROR(__xludf.DUMMYFUNCTION("split(D211,""-"")"),0.0)</f>
        <v>0</v>
      </c>
      <c r="C196">
        <f>IFERROR(__xludf.DUMMYFUNCTION("""COMPUTED_VALUE"""),1.0)</f>
        <v>1</v>
      </c>
    </row>
    <row r="197">
      <c r="A197" s="67" t="s">
        <v>797</v>
      </c>
      <c r="B197">
        <f>IFERROR(__xludf.DUMMYFUNCTION("split(D212,""-"")"),0.0)</f>
        <v>0</v>
      </c>
      <c r="C197">
        <f>IFERROR(__xludf.DUMMYFUNCTION("""COMPUTED_VALUE"""),1.0)</f>
        <v>1</v>
      </c>
    </row>
    <row r="198">
      <c r="A198" s="67" t="s">
        <v>798</v>
      </c>
      <c r="B198">
        <f>IFERROR(__xludf.DUMMYFUNCTION("split(D213,""-"")"),0.0)</f>
        <v>0</v>
      </c>
      <c r="C198">
        <f>IFERROR(__xludf.DUMMYFUNCTION("""COMPUTED_VALUE"""),1.0)</f>
        <v>1</v>
      </c>
    </row>
    <row r="199">
      <c r="A199" s="67" t="s">
        <v>799</v>
      </c>
      <c r="B199">
        <f>IFERROR(__xludf.DUMMYFUNCTION("split(D214,""-"")"),0.0)</f>
        <v>0</v>
      </c>
      <c r="C199">
        <f>IFERROR(__xludf.DUMMYFUNCTION("""COMPUTED_VALUE"""),1.0)</f>
        <v>1</v>
      </c>
    </row>
    <row r="200">
      <c r="A200" s="67" t="s">
        <v>800</v>
      </c>
      <c r="B200">
        <f>IFERROR(__xludf.DUMMYFUNCTION("split(D215,""-"")"),0.0)</f>
        <v>0</v>
      </c>
      <c r="C200">
        <f>IFERROR(__xludf.DUMMYFUNCTION("""COMPUTED_VALUE"""),1.0)</f>
        <v>1</v>
      </c>
    </row>
    <row r="201">
      <c r="A201" s="67" t="s">
        <v>801</v>
      </c>
      <c r="B201">
        <f>IFERROR(__xludf.DUMMYFUNCTION("split(D216,""-"")"),0.0)</f>
        <v>0</v>
      </c>
      <c r="C201">
        <f>IFERROR(__xludf.DUMMYFUNCTION("""COMPUTED_VALUE"""),1.0)</f>
        <v>1</v>
      </c>
    </row>
    <row r="202">
      <c r="A202" s="67" t="s">
        <v>802</v>
      </c>
      <c r="B202">
        <f>IFERROR(__xludf.DUMMYFUNCTION("split(D217,""-"")"),0.0)</f>
        <v>0</v>
      </c>
      <c r="C202">
        <f>IFERROR(__xludf.DUMMYFUNCTION("""COMPUTED_VALUE"""),1.0)</f>
        <v>1</v>
      </c>
    </row>
    <row r="203">
      <c r="A203" s="67" t="s">
        <v>803</v>
      </c>
      <c r="B203">
        <f>IFERROR(__xludf.DUMMYFUNCTION("split(D218,""-"")"),0.0)</f>
        <v>0</v>
      </c>
      <c r="C203">
        <f>IFERROR(__xludf.DUMMYFUNCTION("""COMPUTED_VALUE"""),1.0)</f>
        <v>1</v>
      </c>
    </row>
    <row r="204">
      <c r="A204" s="67" t="s">
        <v>804</v>
      </c>
      <c r="B204">
        <f>IFERROR(__xludf.DUMMYFUNCTION("split(D219,""-"")"),0.0)</f>
        <v>0</v>
      </c>
      <c r="C204">
        <f>IFERROR(__xludf.DUMMYFUNCTION("""COMPUTED_VALUE"""),1.0)</f>
        <v>1</v>
      </c>
    </row>
    <row r="205">
      <c r="A205" s="87" t="s">
        <v>573</v>
      </c>
      <c r="B205" s="88"/>
      <c r="C205" s="88"/>
      <c r="D205" s="87" t="s">
        <v>578</v>
      </c>
      <c r="E205" s="88"/>
      <c r="F205" s="88"/>
      <c r="G205" s="88"/>
      <c r="H205" s="88"/>
      <c r="I205" s="88"/>
      <c r="J205" s="87" t="s">
        <v>583</v>
      </c>
      <c r="K205" s="88"/>
    </row>
    <row r="206">
      <c r="A206" s="89" t="s">
        <v>587</v>
      </c>
      <c r="B206" s="89" t="s">
        <v>29</v>
      </c>
      <c r="C206" s="89" t="s">
        <v>30</v>
      </c>
      <c r="D206" s="89" t="s">
        <v>587</v>
      </c>
      <c r="E206" s="89" t="s">
        <v>29</v>
      </c>
      <c r="F206" s="89" t="s">
        <v>30</v>
      </c>
      <c r="G206" s="89" t="s">
        <v>599</v>
      </c>
      <c r="H206" s="89" t="s">
        <v>601</v>
      </c>
      <c r="I206" s="89" t="s">
        <v>603</v>
      </c>
      <c r="J206" s="89" t="s">
        <v>605</v>
      </c>
      <c r="K206" s="89" t="s">
        <v>356</v>
      </c>
    </row>
    <row r="207">
      <c r="A207" s="90" t="s">
        <v>608</v>
      </c>
      <c r="B207" s="90">
        <v>0.0</v>
      </c>
      <c r="C207" s="90">
        <v>0.0</v>
      </c>
      <c r="D207" s="90" t="s">
        <v>613</v>
      </c>
      <c r="E207" s="90">
        <v>26.0</v>
      </c>
      <c r="F207" s="90">
        <v>7.0</v>
      </c>
      <c r="G207" s="90" t="s">
        <v>613</v>
      </c>
      <c r="H207" s="90" t="s">
        <v>608</v>
      </c>
      <c r="I207" s="90" t="s">
        <v>615</v>
      </c>
      <c r="J207" s="90" t="s">
        <v>608</v>
      </c>
      <c r="K207" s="90" t="s">
        <v>608</v>
      </c>
    </row>
    <row r="208">
      <c r="A208" s="91" t="s">
        <v>608</v>
      </c>
      <c r="B208" s="91">
        <v>0.0</v>
      </c>
      <c r="C208" s="91">
        <v>0.0</v>
      </c>
      <c r="D208" s="91" t="s">
        <v>613</v>
      </c>
      <c r="E208" s="91">
        <v>16.0</v>
      </c>
      <c r="F208" s="91">
        <v>14.0</v>
      </c>
      <c r="G208" s="91" t="s">
        <v>608</v>
      </c>
      <c r="H208" s="91" t="s">
        <v>613</v>
      </c>
      <c r="I208" s="91" t="s">
        <v>615</v>
      </c>
      <c r="J208" s="91" t="s">
        <v>608</v>
      </c>
      <c r="K208" s="91" t="s">
        <v>608</v>
      </c>
    </row>
    <row r="209">
      <c r="A209" s="90" t="s">
        <v>608</v>
      </c>
      <c r="B209" s="90">
        <v>0.0</v>
      </c>
      <c r="C209" s="90">
        <v>0.0</v>
      </c>
      <c r="D209" s="90" t="s">
        <v>613</v>
      </c>
      <c r="E209" s="90">
        <v>21.0</v>
      </c>
      <c r="F209" s="90">
        <v>17.0</v>
      </c>
      <c r="G209" s="90" t="s">
        <v>613</v>
      </c>
      <c r="H209" s="90" t="s">
        <v>608</v>
      </c>
      <c r="I209" s="90" t="s">
        <v>615</v>
      </c>
      <c r="J209" s="90" t="s">
        <v>608</v>
      </c>
      <c r="K209" s="90" t="s">
        <v>608</v>
      </c>
    </row>
    <row r="210">
      <c r="A210" s="91" t="s">
        <v>608</v>
      </c>
      <c r="B210" s="91">
        <v>0.0</v>
      </c>
      <c r="C210" s="91">
        <v>0.0</v>
      </c>
      <c r="D210" s="91" t="s">
        <v>613</v>
      </c>
      <c r="E210" s="91">
        <v>19.0</v>
      </c>
      <c r="F210" s="91">
        <v>17.0</v>
      </c>
      <c r="G210" s="91" t="s">
        <v>613</v>
      </c>
      <c r="H210" s="91" t="s">
        <v>608</v>
      </c>
      <c r="I210" s="91" t="s">
        <v>615</v>
      </c>
      <c r="J210" s="91" t="s">
        <v>608</v>
      </c>
      <c r="K210" s="91" t="s">
        <v>608</v>
      </c>
    </row>
    <row r="211">
      <c r="A211" s="90" t="s">
        <v>608</v>
      </c>
      <c r="B211" s="90">
        <v>0.0</v>
      </c>
      <c r="C211" s="90">
        <v>0.0</v>
      </c>
      <c r="D211" s="90" t="s">
        <v>626</v>
      </c>
      <c r="E211" s="90">
        <v>0.0</v>
      </c>
      <c r="F211" s="90">
        <v>10.0</v>
      </c>
      <c r="G211" s="90" t="s">
        <v>626</v>
      </c>
      <c r="H211" s="90" t="s">
        <v>608</v>
      </c>
      <c r="I211" s="90" t="s">
        <v>627</v>
      </c>
      <c r="J211" s="90" t="s">
        <v>608</v>
      </c>
      <c r="K211" s="90" t="s">
        <v>608</v>
      </c>
    </row>
    <row r="212">
      <c r="A212" s="91" t="s">
        <v>608</v>
      </c>
      <c r="B212" s="91">
        <v>0.0</v>
      </c>
      <c r="C212" s="91">
        <v>0.0</v>
      </c>
      <c r="D212" s="91" t="s">
        <v>626</v>
      </c>
      <c r="E212" s="91">
        <v>0.0</v>
      </c>
      <c r="F212" s="91">
        <v>31.0</v>
      </c>
      <c r="G212" s="91" t="s">
        <v>608</v>
      </c>
      <c r="H212" s="91" t="s">
        <v>626</v>
      </c>
      <c r="I212" s="91" t="s">
        <v>627</v>
      </c>
      <c r="J212" s="91" t="s">
        <v>608</v>
      </c>
      <c r="K212" s="91" t="s">
        <v>608</v>
      </c>
    </row>
    <row r="213">
      <c r="A213" s="90" t="s">
        <v>608</v>
      </c>
      <c r="B213" s="90">
        <v>0.0</v>
      </c>
      <c r="C213" s="90">
        <v>0.0</v>
      </c>
      <c r="D213" s="90" t="s">
        <v>626</v>
      </c>
      <c r="E213" s="90">
        <v>10.0</v>
      </c>
      <c r="F213" s="90">
        <v>23.0</v>
      </c>
      <c r="G213" s="90" t="s">
        <v>608</v>
      </c>
      <c r="H213" s="90" t="s">
        <v>626</v>
      </c>
      <c r="I213" s="90" t="s">
        <v>627</v>
      </c>
      <c r="J213" s="90" t="s">
        <v>608</v>
      </c>
      <c r="K213" s="90" t="s">
        <v>608</v>
      </c>
    </row>
    <row r="214">
      <c r="A214" s="91" t="s">
        <v>608</v>
      </c>
      <c r="B214" s="91">
        <v>0.0</v>
      </c>
      <c r="C214" s="91">
        <v>0.0</v>
      </c>
      <c r="D214" s="91" t="s">
        <v>626</v>
      </c>
      <c r="E214" s="91">
        <v>27.0</v>
      </c>
      <c r="F214" s="91">
        <v>52.0</v>
      </c>
      <c r="G214" s="91" t="s">
        <v>608</v>
      </c>
      <c r="H214" s="91" t="s">
        <v>626</v>
      </c>
      <c r="I214" s="91" t="s">
        <v>627</v>
      </c>
      <c r="J214" s="91" t="s">
        <v>608</v>
      </c>
      <c r="K214" s="91" t="s">
        <v>608</v>
      </c>
    </row>
    <row r="215">
      <c r="A215" s="90" t="s">
        <v>608</v>
      </c>
      <c r="B215" s="90">
        <v>0.0</v>
      </c>
      <c r="C215" s="90">
        <v>0.0</v>
      </c>
      <c r="D215" s="90" t="s">
        <v>626</v>
      </c>
      <c r="E215" s="90">
        <v>10.0</v>
      </c>
      <c r="F215" s="90">
        <v>42.0</v>
      </c>
      <c r="G215" s="90" t="s">
        <v>626</v>
      </c>
      <c r="H215" s="90" t="s">
        <v>608</v>
      </c>
      <c r="I215" s="90" t="s">
        <v>627</v>
      </c>
      <c r="J215" s="90" t="s">
        <v>608</v>
      </c>
      <c r="K215" s="90" t="s">
        <v>608</v>
      </c>
    </row>
    <row r="216">
      <c r="A216" s="91" t="s">
        <v>608</v>
      </c>
      <c r="B216" s="91">
        <v>0.0</v>
      </c>
      <c r="C216" s="91">
        <v>0.0</v>
      </c>
      <c r="D216" s="91" t="s">
        <v>626</v>
      </c>
      <c r="E216" s="91">
        <v>0.0</v>
      </c>
      <c r="F216" s="91">
        <v>17.0</v>
      </c>
      <c r="G216" s="91" t="s">
        <v>608</v>
      </c>
      <c r="H216" s="91" t="s">
        <v>626</v>
      </c>
      <c r="I216" s="91" t="s">
        <v>627</v>
      </c>
      <c r="J216" s="91" t="s">
        <v>608</v>
      </c>
      <c r="K216" s="91" t="s">
        <v>608</v>
      </c>
    </row>
    <row r="217">
      <c r="A217" s="90" t="s">
        <v>608</v>
      </c>
      <c r="B217" s="90">
        <v>0.0</v>
      </c>
      <c r="C217" s="90">
        <v>0.0</v>
      </c>
      <c r="D217" s="90" t="s">
        <v>626</v>
      </c>
      <c r="E217" s="90">
        <v>31.0</v>
      </c>
      <c r="F217" s="90">
        <v>34.0</v>
      </c>
      <c r="G217" s="90" t="s">
        <v>608</v>
      </c>
      <c r="H217" s="90" t="s">
        <v>626</v>
      </c>
      <c r="I217" s="90" t="s">
        <v>627</v>
      </c>
      <c r="J217" s="90" t="s">
        <v>608</v>
      </c>
      <c r="K217" s="90" t="s">
        <v>608</v>
      </c>
    </row>
    <row r="218">
      <c r="A218" s="91" t="s">
        <v>608</v>
      </c>
      <c r="B218" s="91">
        <v>0.0</v>
      </c>
      <c r="C218" s="91">
        <v>0.0</v>
      </c>
      <c r="D218" s="91" t="s">
        <v>626</v>
      </c>
      <c r="E218" s="91">
        <v>16.0</v>
      </c>
      <c r="F218" s="91">
        <v>24.0</v>
      </c>
      <c r="G218" s="91" t="s">
        <v>608</v>
      </c>
      <c r="H218" s="91" t="s">
        <v>626</v>
      </c>
      <c r="I218" s="91" t="s">
        <v>627</v>
      </c>
      <c r="J218" s="91" t="s">
        <v>608</v>
      </c>
      <c r="K218" s="91" t="s">
        <v>608</v>
      </c>
    </row>
    <row r="219">
      <c r="A219" s="90" t="s">
        <v>608</v>
      </c>
      <c r="B219" s="90">
        <v>0.0</v>
      </c>
      <c r="C219" s="90">
        <v>0.0</v>
      </c>
      <c r="D219" s="90" t="s">
        <v>626</v>
      </c>
      <c r="E219" s="90">
        <v>6.0</v>
      </c>
      <c r="F219" s="90">
        <v>23.0</v>
      </c>
      <c r="G219" s="90" t="s">
        <v>608</v>
      </c>
      <c r="H219" s="90" t="s">
        <v>626</v>
      </c>
      <c r="I219" s="90" t="s">
        <v>627</v>
      </c>
      <c r="J219" s="90" t="s">
        <v>608</v>
      </c>
      <c r="K219" s="90" t="s">
        <v>608</v>
      </c>
    </row>
    <row r="220">
      <c r="A220" s="94" t="s">
        <v>805</v>
      </c>
    </row>
    <row r="221">
      <c r="A221" s="57"/>
    </row>
    <row r="222">
      <c r="A222" s="57"/>
    </row>
    <row r="223">
      <c r="A223" s="67" t="s">
        <v>806</v>
      </c>
      <c r="B223">
        <f>IFERROR(__xludf.DUMMYFUNCTION("split(D237,""-"")"),2.0)</f>
        <v>2</v>
      </c>
      <c r="C223">
        <f>IFERROR(__xludf.DUMMYFUNCTION("""COMPUTED_VALUE"""),0.0)</f>
        <v>0</v>
      </c>
    </row>
    <row r="224">
      <c r="A224" s="67" t="s">
        <v>807</v>
      </c>
      <c r="B224">
        <f>IFERROR(__xludf.DUMMYFUNCTION("split(D238,""-"")"),1.0)</f>
        <v>1</v>
      </c>
      <c r="C224">
        <f>IFERROR(__xludf.DUMMYFUNCTION("""COMPUTED_VALUE"""),0.0)</f>
        <v>0</v>
      </c>
    </row>
    <row r="225">
      <c r="A225" s="67" t="s">
        <v>808</v>
      </c>
      <c r="B225">
        <f>IFERROR(__xludf.DUMMYFUNCTION("split(D239,""-"")"),1.0)</f>
        <v>1</v>
      </c>
      <c r="C225">
        <f>IFERROR(__xludf.DUMMYFUNCTION("""COMPUTED_VALUE"""),0.0)</f>
        <v>0</v>
      </c>
    </row>
    <row r="226">
      <c r="A226" s="67" t="s">
        <v>809</v>
      </c>
      <c r="B226">
        <f>IFERROR(__xludf.DUMMYFUNCTION("split(D240,""-"")"),1.0)</f>
        <v>1</v>
      </c>
      <c r="C226">
        <f>IFERROR(__xludf.DUMMYFUNCTION("""COMPUTED_VALUE"""),0.0)</f>
        <v>0</v>
      </c>
    </row>
    <row r="227">
      <c r="A227" s="67" t="s">
        <v>810</v>
      </c>
      <c r="B227">
        <f>IFERROR(__xludf.DUMMYFUNCTION("split(D241,""-"")"),1.0)</f>
        <v>1</v>
      </c>
      <c r="C227">
        <f>IFERROR(__xludf.DUMMYFUNCTION("""COMPUTED_VALUE"""),0.0)</f>
        <v>0</v>
      </c>
    </row>
    <row r="228">
      <c r="A228" s="67" t="s">
        <v>811</v>
      </c>
      <c r="B228">
        <f>IFERROR(__xludf.DUMMYFUNCTION("split(D242,""-"")"),1.0)</f>
        <v>1</v>
      </c>
      <c r="C228">
        <f>IFERROR(__xludf.DUMMYFUNCTION("""COMPUTED_VALUE"""),1.0)</f>
        <v>1</v>
      </c>
    </row>
    <row r="229">
      <c r="A229" s="67" t="s">
        <v>812</v>
      </c>
      <c r="B229">
        <f>IFERROR(__xludf.DUMMYFUNCTION("split(D243,""-"")"),1.0)</f>
        <v>1</v>
      </c>
      <c r="C229">
        <f>IFERROR(__xludf.DUMMYFUNCTION("""COMPUTED_VALUE"""),1.0)</f>
        <v>1</v>
      </c>
    </row>
    <row r="230">
      <c r="A230" s="67" t="s">
        <v>813</v>
      </c>
      <c r="B230">
        <f>IFERROR(__xludf.DUMMYFUNCTION("split(D244,""-"")"),0.0)</f>
        <v>0</v>
      </c>
      <c r="C230">
        <f>IFERROR(__xludf.DUMMYFUNCTION("""COMPUTED_VALUE"""),1.0)</f>
        <v>1</v>
      </c>
    </row>
    <row r="231">
      <c r="A231" s="67" t="s">
        <v>814</v>
      </c>
      <c r="B231">
        <f>IFERROR(__xludf.DUMMYFUNCTION("split(D245,""-"")"),0.0)</f>
        <v>0</v>
      </c>
      <c r="C231">
        <f>IFERROR(__xludf.DUMMYFUNCTION("""COMPUTED_VALUE"""),1.0)</f>
        <v>1</v>
      </c>
    </row>
    <row r="232">
      <c r="A232" s="67" t="s">
        <v>815</v>
      </c>
      <c r="B232">
        <f>IFERROR(__xludf.DUMMYFUNCTION("split(D246,""-"")"),0.0)</f>
        <v>0</v>
      </c>
      <c r="C232">
        <f>IFERROR(__xludf.DUMMYFUNCTION("""COMPUTED_VALUE"""),1.0)</f>
        <v>1</v>
      </c>
    </row>
    <row r="233">
      <c r="A233" s="67" t="s">
        <v>816</v>
      </c>
      <c r="B233">
        <f>IFERROR(__xludf.DUMMYFUNCTION("split(D247,""-"")"),0.0)</f>
        <v>0</v>
      </c>
      <c r="C233">
        <f>IFERROR(__xludf.DUMMYFUNCTION("""COMPUTED_VALUE"""),1.0)</f>
        <v>1</v>
      </c>
    </row>
    <row r="234">
      <c r="A234" s="67" t="s">
        <v>817</v>
      </c>
      <c r="B234">
        <f>IFERROR(__xludf.DUMMYFUNCTION("split(D248,""-"")"),0.0)</f>
        <v>0</v>
      </c>
      <c r="C234">
        <f>IFERROR(__xludf.DUMMYFUNCTION("""COMPUTED_VALUE"""),1.0)</f>
        <v>1</v>
      </c>
    </row>
    <row r="235">
      <c r="A235" s="87" t="s">
        <v>573</v>
      </c>
      <c r="B235" s="88"/>
      <c r="C235" s="88"/>
      <c r="D235" s="87" t="s">
        <v>578</v>
      </c>
      <c r="E235" s="88"/>
      <c r="F235" s="88"/>
      <c r="G235" s="88"/>
      <c r="H235" s="88"/>
      <c r="I235" s="88"/>
      <c r="J235" s="87" t="s">
        <v>583</v>
      </c>
      <c r="K235" s="88"/>
    </row>
    <row r="236">
      <c r="A236" s="89" t="s">
        <v>587</v>
      </c>
      <c r="B236" s="89" t="s">
        <v>29</v>
      </c>
      <c r="C236" s="89" t="s">
        <v>30</v>
      </c>
      <c r="D236" s="89" t="s">
        <v>587</v>
      </c>
      <c r="E236" s="89" t="s">
        <v>29</v>
      </c>
      <c r="F236" s="89" t="s">
        <v>30</v>
      </c>
      <c r="G236" s="89" t="s">
        <v>599</v>
      </c>
      <c r="H236" s="89" t="s">
        <v>601</v>
      </c>
      <c r="I236" s="89" t="s">
        <v>603</v>
      </c>
      <c r="J236" s="89" t="s">
        <v>605</v>
      </c>
      <c r="K236" s="89" t="s">
        <v>356</v>
      </c>
    </row>
    <row r="237">
      <c r="A237" s="90" t="s">
        <v>608</v>
      </c>
      <c r="B237" s="90">
        <v>0.0</v>
      </c>
      <c r="C237" s="90">
        <v>0.0</v>
      </c>
      <c r="D237" s="90" t="s">
        <v>728</v>
      </c>
      <c r="E237" s="90">
        <v>76.0</v>
      </c>
      <c r="F237" s="90">
        <v>52.0</v>
      </c>
      <c r="G237" s="90" t="s">
        <v>613</v>
      </c>
      <c r="H237" s="90" t="s">
        <v>613</v>
      </c>
      <c r="I237" s="90" t="s">
        <v>729</v>
      </c>
      <c r="J237" s="90" t="s">
        <v>608</v>
      </c>
      <c r="K237" s="90" t="s">
        <v>608</v>
      </c>
    </row>
    <row r="238">
      <c r="A238" s="91" t="s">
        <v>608</v>
      </c>
      <c r="B238" s="91">
        <v>0.0</v>
      </c>
      <c r="C238" s="91">
        <v>0.0</v>
      </c>
      <c r="D238" s="91" t="s">
        <v>613</v>
      </c>
      <c r="E238" s="91">
        <v>49.0</v>
      </c>
      <c r="F238" s="91">
        <v>13.0</v>
      </c>
      <c r="G238" s="91" t="s">
        <v>613</v>
      </c>
      <c r="H238" s="91" t="s">
        <v>608</v>
      </c>
      <c r="I238" s="91" t="s">
        <v>615</v>
      </c>
      <c r="J238" s="91" t="s">
        <v>608</v>
      </c>
      <c r="K238" s="91" t="s">
        <v>608</v>
      </c>
    </row>
    <row r="239">
      <c r="A239" s="90" t="s">
        <v>608</v>
      </c>
      <c r="B239" s="90">
        <v>0.0</v>
      </c>
      <c r="C239" s="90">
        <v>0.0</v>
      </c>
      <c r="D239" s="90" t="s">
        <v>613</v>
      </c>
      <c r="E239" s="90">
        <v>42.0</v>
      </c>
      <c r="F239" s="90">
        <v>0.0</v>
      </c>
      <c r="G239" s="90" t="s">
        <v>613</v>
      </c>
      <c r="H239" s="90" t="s">
        <v>608</v>
      </c>
      <c r="I239" s="90" t="s">
        <v>615</v>
      </c>
      <c r="J239" s="90" t="s">
        <v>608</v>
      </c>
      <c r="K239" s="90" t="s">
        <v>608</v>
      </c>
    </row>
    <row r="240">
      <c r="A240" s="91" t="s">
        <v>608</v>
      </c>
      <c r="B240" s="91">
        <v>0.0</v>
      </c>
      <c r="C240" s="91">
        <v>0.0</v>
      </c>
      <c r="D240" s="91" t="s">
        <v>613</v>
      </c>
      <c r="E240" s="91">
        <v>28.0</v>
      </c>
      <c r="F240" s="91">
        <v>16.0</v>
      </c>
      <c r="G240" s="91" t="s">
        <v>613</v>
      </c>
      <c r="H240" s="91" t="s">
        <v>608</v>
      </c>
      <c r="I240" s="91" t="s">
        <v>615</v>
      </c>
      <c r="J240" s="91" t="s">
        <v>608</v>
      </c>
      <c r="K240" s="91" t="s">
        <v>608</v>
      </c>
    </row>
    <row r="241">
      <c r="A241" s="90" t="s">
        <v>608</v>
      </c>
      <c r="B241" s="90">
        <v>0.0</v>
      </c>
      <c r="C241" s="90">
        <v>0.0</v>
      </c>
      <c r="D241" s="90" t="s">
        <v>613</v>
      </c>
      <c r="E241" s="90">
        <v>10.0</v>
      </c>
      <c r="F241" s="90">
        <v>0.0</v>
      </c>
      <c r="G241" s="90" t="s">
        <v>608</v>
      </c>
      <c r="H241" s="90" t="s">
        <v>613</v>
      </c>
      <c r="I241" s="90" t="s">
        <v>615</v>
      </c>
      <c r="J241" s="90" t="s">
        <v>608</v>
      </c>
      <c r="K241" s="90" t="s">
        <v>608</v>
      </c>
    </row>
    <row r="242">
      <c r="A242" s="91" t="s">
        <v>608</v>
      </c>
      <c r="B242" s="91">
        <v>0.0</v>
      </c>
      <c r="C242" s="91">
        <v>0.0</v>
      </c>
      <c r="D242" s="119">
        <v>45658.0</v>
      </c>
      <c r="E242" s="91">
        <v>49.0</v>
      </c>
      <c r="F242" s="91">
        <v>45.0</v>
      </c>
      <c r="G242" s="91" t="s">
        <v>613</v>
      </c>
      <c r="H242" s="91" t="s">
        <v>626</v>
      </c>
      <c r="I242" s="91" t="s">
        <v>615</v>
      </c>
      <c r="J242" s="91" t="s">
        <v>608</v>
      </c>
      <c r="K242" s="91" t="s">
        <v>608</v>
      </c>
    </row>
    <row r="243">
      <c r="A243" s="90" t="s">
        <v>608</v>
      </c>
      <c r="B243" s="90">
        <v>0.0</v>
      </c>
      <c r="C243" s="90">
        <v>0.0</v>
      </c>
      <c r="D243" s="136">
        <v>45658.0</v>
      </c>
      <c r="E243" s="90">
        <v>29.0</v>
      </c>
      <c r="F243" s="90">
        <v>60.0</v>
      </c>
      <c r="G243" s="90" t="s">
        <v>613</v>
      </c>
      <c r="H243" s="90" t="s">
        <v>626</v>
      </c>
      <c r="I243" s="90" t="s">
        <v>627</v>
      </c>
      <c r="J243" s="90" t="s">
        <v>608</v>
      </c>
      <c r="K243" s="90" t="s">
        <v>608</v>
      </c>
    </row>
    <row r="244">
      <c r="A244" s="91" t="s">
        <v>608</v>
      </c>
      <c r="B244" s="91">
        <v>0.0</v>
      </c>
      <c r="C244" s="91">
        <v>0.0</v>
      </c>
      <c r="D244" s="91" t="s">
        <v>626</v>
      </c>
      <c r="E244" s="91">
        <v>7.0</v>
      </c>
      <c r="F244" s="91">
        <v>34.0</v>
      </c>
      <c r="G244" s="91" t="s">
        <v>608</v>
      </c>
      <c r="H244" s="91" t="s">
        <v>626</v>
      </c>
      <c r="I244" s="91" t="s">
        <v>627</v>
      </c>
      <c r="J244" s="91" t="s">
        <v>608</v>
      </c>
      <c r="K244" s="91" t="s">
        <v>608</v>
      </c>
    </row>
    <row r="245">
      <c r="A245" s="90" t="s">
        <v>608</v>
      </c>
      <c r="B245" s="90">
        <v>0.0</v>
      </c>
      <c r="C245" s="90">
        <v>0.0</v>
      </c>
      <c r="D245" s="90" t="s">
        <v>626</v>
      </c>
      <c r="E245" s="90">
        <v>21.0</v>
      </c>
      <c r="F245" s="90">
        <v>38.0</v>
      </c>
      <c r="G245" s="90" t="s">
        <v>608</v>
      </c>
      <c r="H245" s="90" t="s">
        <v>626</v>
      </c>
      <c r="I245" s="90" t="s">
        <v>627</v>
      </c>
      <c r="J245" s="90" t="s">
        <v>608</v>
      </c>
      <c r="K245" s="90" t="s">
        <v>608</v>
      </c>
    </row>
    <row r="246">
      <c r="A246" s="91" t="s">
        <v>608</v>
      </c>
      <c r="B246" s="91">
        <v>0.0</v>
      </c>
      <c r="C246" s="91">
        <v>0.0</v>
      </c>
      <c r="D246" s="91" t="s">
        <v>626</v>
      </c>
      <c r="E246" s="91">
        <v>11.0</v>
      </c>
      <c r="F246" s="91">
        <v>46.0</v>
      </c>
      <c r="G246" s="91" t="s">
        <v>608</v>
      </c>
      <c r="H246" s="91" t="s">
        <v>626</v>
      </c>
      <c r="I246" s="91" t="s">
        <v>627</v>
      </c>
      <c r="J246" s="91" t="s">
        <v>626</v>
      </c>
      <c r="K246" s="91" t="s">
        <v>626</v>
      </c>
    </row>
    <row r="247">
      <c r="A247" s="90" t="s">
        <v>608</v>
      </c>
      <c r="B247" s="90">
        <v>0.0</v>
      </c>
      <c r="C247" s="90">
        <v>0.0</v>
      </c>
      <c r="D247" s="90" t="s">
        <v>626</v>
      </c>
      <c r="E247" s="90">
        <v>17.0</v>
      </c>
      <c r="F247" s="90">
        <v>34.0</v>
      </c>
      <c r="G247" s="90" t="s">
        <v>608</v>
      </c>
      <c r="H247" s="90" t="s">
        <v>626</v>
      </c>
      <c r="I247" s="90" t="s">
        <v>627</v>
      </c>
      <c r="J247" s="90" t="s">
        <v>626</v>
      </c>
      <c r="K247" s="90" t="s">
        <v>626</v>
      </c>
    </row>
    <row r="248">
      <c r="A248" s="91" t="s">
        <v>608</v>
      </c>
      <c r="B248" s="91">
        <v>0.0</v>
      </c>
      <c r="C248" s="91">
        <v>0.0</v>
      </c>
      <c r="D248" s="91" t="s">
        <v>626</v>
      </c>
      <c r="E248" s="91">
        <v>14.0</v>
      </c>
      <c r="F248" s="91">
        <v>16.0</v>
      </c>
      <c r="G248" s="91" t="s">
        <v>626</v>
      </c>
      <c r="H248" s="91" t="s">
        <v>608</v>
      </c>
      <c r="I248" s="91" t="s">
        <v>627</v>
      </c>
      <c r="J248" s="91" t="s">
        <v>608</v>
      </c>
      <c r="K248" s="91" t="s">
        <v>608</v>
      </c>
    </row>
    <row r="249">
      <c r="A249" s="94" t="s">
        <v>818</v>
      </c>
    </row>
    <row r="250">
      <c r="A250" s="57"/>
    </row>
    <row r="251">
      <c r="A251" s="57"/>
    </row>
    <row r="252">
      <c r="A252" s="67" t="s">
        <v>819</v>
      </c>
      <c r="B252">
        <f>IFERROR(__xludf.DUMMYFUNCTION("split(D256,""-"")"),1.0)</f>
        <v>1</v>
      </c>
      <c r="C252">
        <f>IFERROR(__xludf.DUMMYFUNCTION("""COMPUTED_VALUE"""),0.0)</f>
        <v>0</v>
      </c>
    </row>
    <row r="253">
      <c r="A253" s="67" t="s">
        <v>820</v>
      </c>
      <c r="B253">
        <f>IFERROR(__xludf.DUMMYFUNCTION("split(D257,""-"")"),0.0)</f>
        <v>0</v>
      </c>
      <c r="C253">
        <f>IFERROR(__xludf.DUMMYFUNCTION("""COMPUTED_VALUE"""),1.0)</f>
        <v>1</v>
      </c>
    </row>
    <row r="254">
      <c r="A254" s="87" t="s">
        <v>573</v>
      </c>
      <c r="B254" s="88"/>
      <c r="C254" s="88"/>
      <c r="D254" s="87" t="s">
        <v>578</v>
      </c>
      <c r="E254" s="88"/>
      <c r="F254" s="88"/>
      <c r="G254" s="88"/>
      <c r="H254" s="88"/>
      <c r="I254" s="88"/>
      <c r="J254" s="87" t="s">
        <v>583</v>
      </c>
      <c r="K254" s="88"/>
    </row>
    <row r="255">
      <c r="A255" s="89" t="s">
        <v>587</v>
      </c>
      <c r="B255" s="89" t="s">
        <v>29</v>
      </c>
      <c r="C255" s="89" t="s">
        <v>30</v>
      </c>
      <c r="D255" s="89" t="s">
        <v>587</v>
      </c>
      <c r="E255" s="89" t="s">
        <v>29</v>
      </c>
      <c r="F255" s="89" t="s">
        <v>30</v>
      </c>
      <c r="G255" s="89" t="s">
        <v>599</v>
      </c>
      <c r="H255" s="89" t="s">
        <v>601</v>
      </c>
      <c r="I255" s="89" t="s">
        <v>603</v>
      </c>
      <c r="J255" s="89" t="s">
        <v>605</v>
      </c>
      <c r="K255" s="89" t="s">
        <v>356</v>
      </c>
    </row>
    <row r="256">
      <c r="A256" s="90" t="s">
        <v>608</v>
      </c>
      <c r="B256" s="90">
        <v>0.0</v>
      </c>
      <c r="C256" s="90">
        <v>0.0</v>
      </c>
      <c r="D256" s="90" t="s">
        <v>613</v>
      </c>
      <c r="E256" s="90">
        <v>13.0</v>
      </c>
      <c r="F256" s="90">
        <v>10.0</v>
      </c>
      <c r="G256" s="90" t="s">
        <v>613</v>
      </c>
      <c r="H256" s="90" t="s">
        <v>608</v>
      </c>
      <c r="I256" s="90" t="s">
        <v>615</v>
      </c>
      <c r="J256" s="90" t="s">
        <v>608</v>
      </c>
      <c r="K256" s="90" t="s">
        <v>608</v>
      </c>
    </row>
    <row r="257">
      <c r="A257" s="91" t="s">
        <v>608</v>
      </c>
      <c r="B257" s="91">
        <v>0.0</v>
      </c>
      <c r="C257" s="91">
        <v>0.0</v>
      </c>
      <c r="D257" s="91" t="s">
        <v>626</v>
      </c>
      <c r="E257" s="91">
        <v>15.0</v>
      </c>
      <c r="F257" s="91">
        <v>34.0</v>
      </c>
      <c r="G257" s="91" t="s">
        <v>626</v>
      </c>
      <c r="H257" s="91" t="s">
        <v>608</v>
      </c>
      <c r="I257" s="91" t="s">
        <v>627</v>
      </c>
      <c r="J257" s="91" t="s">
        <v>608</v>
      </c>
      <c r="K257" s="91" t="s">
        <v>608</v>
      </c>
    </row>
    <row r="258">
      <c r="A258" s="94" t="s">
        <v>821</v>
      </c>
    </row>
    <row r="259">
      <c r="A259" s="57"/>
    </row>
    <row r="260">
      <c r="A260" s="57"/>
    </row>
    <row r="261">
      <c r="A261" s="67" t="s">
        <v>822</v>
      </c>
      <c r="B261">
        <f>IFERROR(__xludf.DUMMYFUNCTION("split(D279,""-"")"),1.0)</f>
        <v>1</v>
      </c>
      <c r="C261">
        <f>IFERROR(__xludf.DUMMYFUNCTION("""COMPUTED_VALUE"""),0.0)</f>
        <v>0</v>
      </c>
    </row>
    <row r="262">
      <c r="A262" s="67" t="s">
        <v>823</v>
      </c>
      <c r="B262">
        <f>IFERROR(__xludf.DUMMYFUNCTION("split(D280,""-"")"),1.0)</f>
        <v>1</v>
      </c>
      <c r="C262">
        <f>IFERROR(__xludf.DUMMYFUNCTION("""COMPUTED_VALUE"""),0.0)</f>
        <v>0</v>
      </c>
    </row>
    <row r="263">
      <c r="A263" s="67" t="s">
        <v>824</v>
      </c>
      <c r="B263">
        <f>IFERROR(__xludf.DUMMYFUNCTION("split(D281,""-"")"),1.0)</f>
        <v>1</v>
      </c>
      <c r="C263">
        <f>IFERROR(__xludf.DUMMYFUNCTION("""COMPUTED_VALUE"""),0.0)</f>
        <v>0</v>
      </c>
    </row>
    <row r="264">
      <c r="A264" s="67" t="s">
        <v>825</v>
      </c>
      <c r="B264">
        <f>IFERROR(__xludf.DUMMYFUNCTION("split(D282,""-"")"),1.0)</f>
        <v>1</v>
      </c>
      <c r="C264">
        <f>IFERROR(__xludf.DUMMYFUNCTION("""COMPUTED_VALUE"""),0.0)</f>
        <v>0</v>
      </c>
    </row>
    <row r="265">
      <c r="A265" s="67" t="s">
        <v>826</v>
      </c>
      <c r="B265">
        <f>IFERROR(__xludf.DUMMYFUNCTION("split(D283,""-"")"),1.0)</f>
        <v>1</v>
      </c>
      <c r="C265">
        <f>IFERROR(__xludf.DUMMYFUNCTION("""COMPUTED_VALUE"""),0.0)</f>
        <v>0</v>
      </c>
    </row>
    <row r="266">
      <c r="A266" s="67" t="s">
        <v>827</v>
      </c>
      <c r="B266">
        <f>IFERROR(__xludf.DUMMYFUNCTION("split(D284,""-"")"),1.0)</f>
        <v>1</v>
      </c>
      <c r="C266">
        <f>IFERROR(__xludf.DUMMYFUNCTION("""COMPUTED_VALUE"""),0.0)</f>
        <v>0</v>
      </c>
    </row>
    <row r="267">
      <c r="A267" s="67" t="s">
        <v>828</v>
      </c>
      <c r="B267">
        <f>IFERROR(__xludf.DUMMYFUNCTION("split(D285,""-"")"),1.0)</f>
        <v>1</v>
      </c>
      <c r="C267">
        <f>IFERROR(__xludf.DUMMYFUNCTION("""COMPUTED_VALUE"""),0.0)</f>
        <v>0</v>
      </c>
    </row>
    <row r="268">
      <c r="A268" s="67" t="s">
        <v>829</v>
      </c>
      <c r="B268">
        <f>IFERROR(__xludf.DUMMYFUNCTION("split(D286,""-"")"),1.0)</f>
        <v>1</v>
      </c>
      <c r="C268">
        <f>IFERROR(__xludf.DUMMYFUNCTION("""COMPUTED_VALUE"""),0.0)</f>
        <v>0</v>
      </c>
    </row>
    <row r="269">
      <c r="A269" s="67" t="s">
        <v>830</v>
      </c>
      <c r="B269">
        <f>IFERROR(__xludf.DUMMYFUNCTION("split(D287,""-"")"),1.0)</f>
        <v>1</v>
      </c>
      <c r="C269">
        <f>IFERROR(__xludf.DUMMYFUNCTION("""COMPUTED_VALUE"""),0.0)</f>
        <v>0</v>
      </c>
    </row>
    <row r="270">
      <c r="A270" s="67" t="s">
        <v>831</v>
      </c>
      <c r="B270">
        <f>IFERROR(__xludf.DUMMYFUNCTION("split(D288,""-"")"),1.0)</f>
        <v>1</v>
      </c>
      <c r="C270">
        <f>IFERROR(__xludf.DUMMYFUNCTION("""COMPUTED_VALUE"""),0.0)</f>
        <v>0</v>
      </c>
    </row>
    <row r="271">
      <c r="A271" s="67" t="s">
        <v>832</v>
      </c>
      <c r="B271">
        <f>IFERROR(__xludf.DUMMYFUNCTION("split(D289,""-"")"),1.0)</f>
        <v>1</v>
      </c>
      <c r="C271">
        <f>IFERROR(__xludf.DUMMYFUNCTION("""COMPUTED_VALUE"""),0.0)</f>
        <v>0</v>
      </c>
    </row>
    <row r="272">
      <c r="A272" s="67" t="s">
        <v>833</v>
      </c>
      <c r="B272">
        <f>IFERROR(__xludf.DUMMYFUNCTION("split(D290,""-"")"),1.0)</f>
        <v>1</v>
      </c>
      <c r="C272">
        <f>IFERROR(__xludf.DUMMYFUNCTION("""COMPUTED_VALUE"""),0.0)</f>
        <v>0</v>
      </c>
    </row>
    <row r="273">
      <c r="A273" s="67" t="s">
        <v>834</v>
      </c>
      <c r="B273">
        <f>IFERROR(__xludf.DUMMYFUNCTION("split(D291,""-"")"),1.0)</f>
        <v>1</v>
      </c>
      <c r="C273">
        <f>IFERROR(__xludf.DUMMYFUNCTION("""COMPUTED_VALUE"""),0.0)</f>
        <v>0</v>
      </c>
    </row>
    <row r="274">
      <c r="A274" s="67" t="s">
        <v>835</v>
      </c>
      <c r="B274">
        <f>IFERROR(__xludf.DUMMYFUNCTION("split(D292,""-"")"),0.0)</f>
        <v>0</v>
      </c>
      <c r="C274">
        <f>IFERROR(__xludf.DUMMYFUNCTION("""COMPUTED_VALUE"""),0.0)</f>
        <v>0</v>
      </c>
    </row>
    <row r="275">
      <c r="A275" s="67" t="s">
        <v>836</v>
      </c>
      <c r="B275">
        <f>IFERROR(__xludf.DUMMYFUNCTION("split(D293,""-"")"),0.0)</f>
        <v>0</v>
      </c>
      <c r="C275">
        <f>IFERROR(__xludf.DUMMYFUNCTION("""COMPUTED_VALUE"""),1.0)</f>
        <v>1</v>
      </c>
    </row>
    <row r="276">
      <c r="A276" s="67" t="s">
        <v>837</v>
      </c>
      <c r="B276">
        <f>IFERROR(__xludf.DUMMYFUNCTION("split(D294,""-"")"),0.0)</f>
        <v>0</v>
      </c>
      <c r="C276">
        <f>IFERROR(__xludf.DUMMYFUNCTION("""COMPUTED_VALUE"""),1.0)</f>
        <v>1</v>
      </c>
    </row>
    <row r="277">
      <c r="A277" s="87" t="s">
        <v>573</v>
      </c>
      <c r="B277" s="88"/>
      <c r="C277" s="88"/>
      <c r="D277" s="87" t="s">
        <v>578</v>
      </c>
      <c r="E277" s="88"/>
      <c r="F277" s="88"/>
      <c r="G277" s="88"/>
      <c r="H277" s="88"/>
      <c r="I277" s="88"/>
      <c r="J277" s="87" t="s">
        <v>583</v>
      </c>
      <c r="K277" s="88"/>
    </row>
    <row r="278">
      <c r="A278" s="89" t="s">
        <v>587</v>
      </c>
      <c r="B278" s="89" t="s">
        <v>29</v>
      </c>
      <c r="C278" s="89" t="s">
        <v>30</v>
      </c>
      <c r="D278" s="89" t="s">
        <v>587</v>
      </c>
      <c r="E278" s="89" t="s">
        <v>29</v>
      </c>
      <c r="F278" s="89" t="s">
        <v>30</v>
      </c>
      <c r="G278" s="89" t="s">
        <v>599</v>
      </c>
      <c r="H278" s="89" t="s">
        <v>601</v>
      </c>
      <c r="I278" s="89" t="s">
        <v>603</v>
      </c>
      <c r="J278" s="89" t="s">
        <v>605</v>
      </c>
      <c r="K278" s="89" t="s">
        <v>356</v>
      </c>
    </row>
    <row r="279">
      <c r="A279" s="90" t="s">
        <v>608</v>
      </c>
      <c r="B279" s="90">
        <v>0.0</v>
      </c>
      <c r="C279" s="90">
        <v>0.0</v>
      </c>
      <c r="D279" s="90" t="s">
        <v>613</v>
      </c>
      <c r="E279" s="90">
        <v>52.0</v>
      </c>
      <c r="F279" s="90">
        <v>7.0</v>
      </c>
      <c r="G279" s="90" t="s">
        <v>613</v>
      </c>
      <c r="H279" s="90" t="s">
        <v>608</v>
      </c>
      <c r="I279" s="90" t="s">
        <v>615</v>
      </c>
      <c r="J279" s="90" t="s">
        <v>608</v>
      </c>
      <c r="K279" s="90" t="s">
        <v>608</v>
      </c>
    </row>
    <row r="280">
      <c r="A280" s="91" t="s">
        <v>608</v>
      </c>
      <c r="B280" s="91">
        <v>0.0</v>
      </c>
      <c r="C280" s="91">
        <v>0.0</v>
      </c>
      <c r="D280" s="91" t="s">
        <v>613</v>
      </c>
      <c r="E280" s="91">
        <v>38.0</v>
      </c>
      <c r="F280" s="91">
        <v>24.0</v>
      </c>
      <c r="G280" s="91" t="s">
        <v>608</v>
      </c>
      <c r="H280" s="91" t="s">
        <v>613</v>
      </c>
      <c r="I280" s="91" t="s">
        <v>615</v>
      </c>
      <c r="J280" s="91" t="s">
        <v>608</v>
      </c>
      <c r="K280" s="91" t="s">
        <v>608</v>
      </c>
    </row>
    <row r="281">
      <c r="A281" s="90" t="s">
        <v>608</v>
      </c>
      <c r="B281" s="90">
        <v>0.0</v>
      </c>
      <c r="C281" s="90">
        <v>0.0</v>
      </c>
      <c r="D281" s="90" t="s">
        <v>613</v>
      </c>
      <c r="E281" s="90">
        <v>55.0</v>
      </c>
      <c r="F281" s="90">
        <v>0.0</v>
      </c>
      <c r="G281" s="90" t="s">
        <v>613</v>
      </c>
      <c r="H281" s="90" t="s">
        <v>608</v>
      </c>
      <c r="I281" s="90" t="s">
        <v>615</v>
      </c>
      <c r="J281" s="90" t="s">
        <v>608</v>
      </c>
      <c r="K281" s="90" t="s">
        <v>608</v>
      </c>
    </row>
    <row r="282">
      <c r="A282" s="91" t="s">
        <v>608</v>
      </c>
      <c r="B282" s="91">
        <v>0.0</v>
      </c>
      <c r="C282" s="91">
        <v>0.0</v>
      </c>
      <c r="D282" s="91" t="s">
        <v>613</v>
      </c>
      <c r="E282" s="91">
        <v>45.0</v>
      </c>
      <c r="F282" s="91">
        <v>7.0</v>
      </c>
      <c r="G282" s="91" t="s">
        <v>613</v>
      </c>
      <c r="H282" s="91" t="s">
        <v>608</v>
      </c>
      <c r="I282" s="91" t="s">
        <v>615</v>
      </c>
      <c r="J282" s="91" t="s">
        <v>608</v>
      </c>
      <c r="K282" s="91" t="s">
        <v>608</v>
      </c>
    </row>
    <row r="283">
      <c r="A283" s="90" t="s">
        <v>608</v>
      </c>
      <c r="B283" s="90">
        <v>0.0</v>
      </c>
      <c r="C283" s="90">
        <v>0.0</v>
      </c>
      <c r="D283" s="90" t="s">
        <v>613</v>
      </c>
      <c r="E283" s="90">
        <v>24.0</v>
      </c>
      <c r="F283" s="90">
        <v>16.0</v>
      </c>
      <c r="G283" s="90" t="s">
        <v>613</v>
      </c>
      <c r="H283" s="90" t="s">
        <v>608</v>
      </c>
      <c r="I283" s="90" t="s">
        <v>615</v>
      </c>
      <c r="J283" s="90" t="s">
        <v>608</v>
      </c>
      <c r="K283" s="90" t="s">
        <v>608</v>
      </c>
    </row>
    <row r="284">
      <c r="A284" s="91" t="s">
        <v>608</v>
      </c>
      <c r="B284" s="91">
        <v>0.0</v>
      </c>
      <c r="C284" s="91">
        <v>0.0</v>
      </c>
      <c r="D284" s="91" t="s">
        <v>613</v>
      </c>
      <c r="E284" s="91">
        <v>17.0</v>
      </c>
      <c r="F284" s="91">
        <v>10.0</v>
      </c>
      <c r="G284" s="91" t="s">
        <v>608</v>
      </c>
      <c r="H284" s="91" t="s">
        <v>613</v>
      </c>
      <c r="I284" s="91" t="s">
        <v>615</v>
      </c>
      <c r="J284" s="91" t="s">
        <v>613</v>
      </c>
      <c r="K284" s="91" t="s">
        <v>613</v>
      </c>
    </row>
    <row r="285">
      <c r="A285" s="90" t="s">
        <v>608</v>
      </c>
      <c r="B285" s="90">
        <v>0.0</v>
      </c>
      <c r="C285" s="90">
        <v>0.0</v>
      </c>
      <c r="D285" s="90" t="s">
        <v>613</v>
      </c>
      <c r="E285" s="90">
        <v>34.0</v>
      </c>
      <c r="F285" s="90">
        <v>17.0</v>
      </c>
      <c r="G285" s="90" t="s">
        <v>608</v>
      </c>
      <c r="H285" s="90" t="s">
        <v>613</v>
      </c>
      <c r="I285" s="90" t="s">
        <v>615</v>
      </c>
      <c r="J285" s="90" t="s">
        <v>608</v>
      </c>
      <c r="K285" s="90" t="s">
        <v>608</v>
      </c>
    </row>
    <row r="286">
      <c r="A286" s="91" t="s">
        <v>608</v>
      </c>
      <c r="B286" s="91">
        <v>0.0</v>
      </c>
      <c r="C286" s="91">
        <v>0.0</v>
      </c>
      <c r="D286" s="91" t="s">
        <v>613</v>
      </c>
      <c r="E286" s="91">
        <v>61.0</v>
      </c>
      <c r="F286" s="91">
        <v>6.0</v>
      </c>
      <c r="G286" s="91" t="s">
        <v>613</v>
      </c>
      <c r="H286" s="91" t="s">
        <v>608</v>
      </c>
      <c r="I286" s="91" t="s">
        <v>615</v>
      </c>
      <c r="J286" s="91" t="s">
        <v>608</v>
      </c>
      <c r="K286" s="91" t="s">
        <v>608</v>
      </c>
    </row>
    <row r="287">
      <c r="A287" s="90" t="s">
        <v>608</v>
      </c>
      <c r="B287" s="90">
        <v>0.0</v>
      </c>
      <c r="C287" s="90">
        <v>0.0</v>
      </c>
      <c r="D287" s="90" t="s">
        <v>613</v>
      </c>
      <c r="E287" s="90">
        <v>35.0</v>
      </c>
      <c r="F287" s="90">
        <v>3.0</v>
      </c>
      <c r="G287" s="90" t="s">
        <v>613</v>
      </c>
      <c r="H287" s="90" t="s">
        <v>608</v>
      </c>
      <c r="I287" s="90" t="s">
        <v>615</v>
      </c>
      <c r="J287" s="90" t="s">
        <v>608</v>
      </c>
      <c r="K287" s="90" t="s">
        <v>608</v>
      </c>
    </row>
    <row r="288">
      <c r="A288" s="91" t="s">
        <v>608</v>
      </c>
      <c r="B288" s="91">
        <v>0.0</v>
      </c>
      <c r="C288" s="91">
        <v>0.0</v>
      </c>
      <c r="D288" s="91" t="s">
        <v>613</v>
      </c>
      <c r="E288" s="91">
        <v>63.0</v>
      </c>
      <c r="F288" s="91">
        <v>7.0</v>
      </c>
      <c r="G288" s="91" t="s">
        <v>613</v>
      </c>
      <c r="H288" s="91" t="s">
        <v>608</v>
      </c>
      <c r="I288" s="91" t="s">
        <v>615</v>
      </c>
      <c r="J288" s="91" t="s">
        <v>608</v>
      </c>
      <c r="K288" s="91" t="s">
        <v>608</v>
      </c>
    </row>
    <row r="289">
      <c r="A289" s="90" t="s">
        <v>608</v>
      </c>
      <c r="B289" s="90">
        <v>0.0</v>
      </c>
      <c r="C289" s="90">
        <v>0.0</v>
      </c>
      <c r="D289" s="90" t="s">
        <v>613</v>
      </c>
      <c r="E289" s="90">
        <v>45.0</v>
      </c>
      <c r="F289" s="90">
        <v>26.0</v>
      </c>
      <c r="G289" s="90" t="s">
        <v>608</v>
      </c>
      <c r="H289" s="90" t="s">
        <v>608</v>
      </c>
      <c r="I289" s="90" t="s">
        <v>615</v>
      </c>
      <c r="J289" s="90" t="s">
        <v>608</v>
      </c>
      <c r="K289" s="90" t="s">
        <v>608</v>
      </c>
    </row>
    <row r="290">
      <c r="A290" s="91" t="s">
        <v>608</v>
      </c>
      <c r="B290" s="91">
        <v>0.0</v>
      </c>
      <c r="C290" s="91">
        <v>0.0</v>
      </c>
      <c r="D290" s="91" t="s">
        <v>613</v>
      </c>
      <c r="E290" s="91">
        <v>42.0</v>
      </c>
      <c r="F290" s="91">
        <v>24.0</v>
      </c>
      <c r="G290" s="91" t="s">
        <v>613</v>
      </c>
      <c r="H290" s="91" t="s">
        <v>608</v>
      </c>
      <c r="I290" s="91" t="s">
        <v>615</v>
      </c>
      <c r="J290" s="91" t="s">
        <v>608</v>
      </c>
      <c r="K290" s="91" t="s">
        <v>608</v>
      </c>
    </row>
    <row r="291">
      <c r="A291" s="90" t="s">
        <v>608</v>
      </c>
      <c r="B291" s="90">
        <v>0.0</v>
      </c>
      <c r="C291" s="90">
        <v>0.0</v>
      </c>
      <c r="D291" s="90" t="s">
        <v>613</v>
      </c>
      <c r="E291" s="90">
        <v>45.0</v>
      </c>
      <c r="F291" s="90">
        <v>3.0</v>
      </c>
      <c r="G291" s="90" t="s">
        <v>613</v>
      </c>
      <c r="H291" s="90" t="s">
        <v>608</v>
      </c>
      <c r="I291" s="90" t="s">
        <v>615</v>
      </c>
      <c r="J291" s="90" t="s">
        <v>608</v>
      </c>
      <c r="K291" s="90" t="s">
        <v>608</v>
      </c>
    </row>
    <row r="292">
      <c r="A292" s="91" t="s">
        <v>608</v>
      </c>
      <c r="B292" s="91">
        <v>0.0</v>
      </c>
      <c r="C292" s="91">
        <v>0.0</v>
      </c>
      <c r="D292" s="91" t="s">
        <v>608</v>
      </c>
      <c r="E292" s="91">
        <v>0.0</v>
      </c>
      <c r="F292" s="91">
        <v>0.0</v>
      </c>
      <c r="G292" s="91" t="s">
        <v>608</v>
      </c>
      <c r="H292" s="91" t="s">
        <v>608</v>
      </c>
      <c r="I292" s="91" t="s">
        <v>698</v>
      </c>
      <c r="J292" s="91" t="s">
        <v>608</v>
      </c>
      <c r="K292" s="91" t="s">
        <v>608</v>
      </c>
    </row>
    <row r="293">
      <c r="A293" s="90" t="s">
        <v>608</v>
      </c>
      <c r="B293" s="90">
        <v>0.0</v>
      </c>
      <c r="C293" s="90">
        <v>0.0</v>
      </c>
      <c r="D293" s="90" t="s">
        <v>626</v>
      </c>
      <c r="E293" s="90">
        <v>17.0</v>
      </c>
      <c r="F293" s="90">
        <v>31.0</v>
      </c>
      <c r="G293" s="90" t="s">
        <v>608</v>
      </c>
      <c r="H293" s="90" t="s">
        <v>626</v>
      </c>
      <c r="I293" s="90" t="s">
        <v>627</v>
      </c>
      <c r="J293" s="90" t="s">
        <v>608</v>
      </c>
      <c r="K293" s="90" t="s">
        <v>608</v>
      </c>
    </row>
    <row r="294">
      <c r="A294" s="91" t="s">
        <v>608</v>
      </c>
      <c r="B294" s="91">
        <v>0.0</v>
      </c>
      <c r="C294" s="91">
        <v>0.0</v>
      </c>
      <c r="D294" s="91" t="s">
        <v>626</v>
      </c>
      <c r="E294" s="91">
        <v>7.0</v>
      </c>
      <c r="F294" s="91">
        <v>14.0</v>
      </c>
      <c r="G294" s="91" t="s">
        <v>608</v>
      </c>
      <c r="H294" s="91" t="s">
        <v>626</v>
      </c>
      <c r="I294" s="91" t="s">
        <v>627</v>
      </c>
      <c r="J294" s="91" t="s">
        <v>626</v>
      </c>
      <c r="K294" s="91" t="s">
        <v>626</v>
      </c>
    </row>
    <row r="295">
      <c r="A295" s="94" t="s">
        <v>838</v>
      </c>
    </row>
    <row r="296">
      <c r="A296" s="137"/>
    </row>
    <row r="297">
      <c r="A297" s="138" t="s">
        <v>839</v>
      </c>
    </row>
    <row r="298">
      <c r="A298" s="67" t="s">
        <v>840</v>
      </c>
      <c r="B298">
        <f>IFERROR(__xludf.DUMMYFUNCTION("split(D315,""-"")"),1.0)</f>
        <v>1</v>
      </c>
      <c r="C298">
        <f>IFERROR(__xludf.DUMMYFUNCTION("""COMPUTED_VALUE"""),0.0)</f>
        <v>0</v>
      </c>
    </row>
    <row r="299">
      <c r="A299" s="67" t="s">
        <v>841</v>
      </c>
      <c r="B299">
        <f>IFERROR(__xludf.DUMMYFUNCTION("split(D316,""-"")"),1.0)</f>
        <v>1</v>
      </c>
      <c r="C299">
        <f>IFERROR(__xludf.DUMMYFUNCTION("""COMPUTED_VALUE"""),0.0)</f>
        <v>0</v>
      </c>
    </row>
    <row r="300">
      <c r="A300" s="67" t="s">
        <v>842</v>
      </c>
      <c r="B300">
        <f>IFERROR(__xludf.DUMMYFUNCTION("split(D317,""-"")"),0.0)</f>
        <v>0</v>
      </c>
      <c r="C300">
        <f>IFERROR(__xludf.DUMMYFUNCTION("""COMPUTED_VALUE"""),1.0)</f>
        <v>1</v>
      </c>
    </row>
    <row r="301">
      <c r="A301" s="67" t="s">
        <v>843</v>
      </c>
      <c r="B301">
        <f>IFERROR(__xludf.DUMMYFUNCTION("split(D318,""-"")"),0.0)</f>
        <v>0</v>
      </c>
      <c r="C301">
        <f>IFERROR(__xludf.DUMMYFUNCTION("""COMPUTED_VALUE"""),1.0)</f>
        <v>1</v>
      </c>
    </row>
    <row r="302">
      <c r="A302" s="67" t="s">
        <v>844</v>
      </c>
      <c r="B302">
        <f>IFERROR(__xludf.DUMMYFUNCTION("split(D319,""-"")"),0.0)</f>
        <v>0</v>
      </c>
      <c r="C302">
        <f>IFERROR(__xludf.DUMMYFUNCTION("""COMPUTED_VALUE"""),1.0)</f>
        <v>1</v>
      </c>
    </row>
    <row r="303">
      <c r="A303" s="67" t="s">
        <v>845</v>
      </c>
      <c r="B303">
        <f>IFERROR(__xludf.DUMMYFUNCTION("split(D320,""-"")"),0.0)</f>
        <v>0</v>
      </c>
      <c r="C303">
        <f>IFERROR(__xludf.DUMMYFUNCTION("""COMPUTED_VALUE"""),1.0)</f>
        <v>1</v>
      </c>
    </row>
    <row r="304">
      <c r="A304" s="67" t="s">
        <v>846</v>
      </c>
      <c r="B304">
        <f>IFERROR(__xludf.DUMMYFUNCTION("split(D321,""-"")"),0.0)</f>
        <v>0</v>
      </c>
      <c r="C304">
        <f>IFERROR(__xludf.DUMMYFUNCTION("""COMPUTED_VALUE"""),1.0)</f>
        <v>1</v>
      </c>
    </row>
    <row r="305">
      <c r="A305" s="138" t="s">
        <v>847</v>
      </c>
      <c r="B305" t="str">
        <f>IFERROR(__xludf.DUMMYFUNCTION("split(D322,""-"")"),"W")</f>
        <v>W</v>
      </c>
      <c r="C305" t="str">
        <f>IFERROR(__xludf.DUMMYFUNCTION("""COMPUTED_VALUE"""),"L")</f>
        <v>L</v>
      </c>
    </row>
    <row r="306">
      <c r="A306" s="67" t="s">
        <v>848</v>
      </c>
      <c r="B306">
        <f>IFERROR(__xludf.DUMMYFUNCTION("split(D323,""-"")"),1.0)</f>
        <v>1</v>
      </c>
      <c r="C306">
        <f>IFERROR(__xludf.DUMMYFUNCTION("""COMPUTED_VALUE"""),0.0)</f>
        <v>0</v>
      </c>
    </row>
    <row r="307">
      <c r="A307" s="67" t="s">
        <v>849</v>
      </c>
      <c r="B307">
        <f>IFERROR(__xludf.DUMMYFUNCTION("split(D324,""-"")"),1.0)</f>
        <v>1</v>
      </c>
      <c r="C307">
        <f>IFERROR(__xludf.DUMMYFUNCTION("""COMPUTED_VALUE"""),0.0)</f>
        <v>0</v>
      </c>
    </row>
    <row r="308">
      <c r="A308" s="67" t="s">
        <v>850</v>
      </c>
      <c r="B308">
        <f>IFERROR(__xludf.DUMMYFUNCTION("split(D325,""-"")"),1.0)</f>
        <v>1</v>
      </c>
      <c r="C308">
        <f>IFERROR(__xludf.DUMMYFUNCTION("""COMPUTED_VALUE"""),0.0)</f>
        <v>0</v>
      </c>
    </row>
    <row r="309">
      <c r="A309" s="67" t="s">
        <v>851</v>
      </c>
      <c r="B309">
        <f>IFERROR(__xludf.DUMMYFUNCTION("split(D326,""-"")"),1.0)</f>
        <v>1</v>
      </c>
      <c r="C309">
        <f>IFERROR(__xludf.DUMMYFUNCTION("""COMPUTED_VALUE"""),0.0)</f>
        <v>0</v>
      </c>
    </row>
    <row r="310">
      <c r="A310" s="67" t="s">
        <v>852</v>
      </c>
      <c r="B310">
        <f>IFERROR(__xludf.DUMMYFUNCTION("split(D327,""-"")"),1.0)</f>
        <v>1</v>
      </c>
      <c r="C310">
        <f>IFERROR(__xludf.DUMMYFUNCTION("""COMPUTED_VALUE"""),0.0)</f>
        <v>0</v>
      </c>
    </row>
    <row r="311">
      <c r="A311" s="67" t="s">
        <v>853</v>
      </c>
      <c r="B311">
        <f>IFERROR(__xludf.DUMMYFUNCTION("split(D328,""-"")"),0.0)</f>
        <v>0</v>
      </c>
      <c r="C311">
        <f>IFERROR(__xludf.DUMMYFUNCTION("""COMPUTED_VALUE"""),1.0)</f>
        <v>1</v>
      </c>
    </row>
    <row r="312">
      <c r="A312" s="67" t="s">
        <v>854</v>
      </c>
      <c r="B312">
        <f>IFERROR(__xludf.DUMMYFUNCTION("split(D329,""-"")"),0.0)</f>
        <v>0</v>
      </c>
      <c r="C312">
        <f>IFERROR(__xludf.DUMMYFUNCTION("""COMPUTED_VALUE"""),1.0)</f>
        <v>1</v>
      </c>
    </row>
    <row r="313">
      <c r="A313" s="87" t="s">
        <v>573</v>
      </c>
      <c r="B313" s="88"/>
      <c r="C313" s="88"/>
      <c r="D313" s="87" t="s">
        <v>578</v>
      </c>
      <c r="E313" s="88"/>
      <c r="F313" s="88"/>
      <c r="G313" s="88"/>
      <c r="H313" s="88"/>
      <c r="I313" s="88"/>
      <c r="J313" s="87" t="s">
        <v>583</v>
      </c>
      <c r="K313" s="88"/>
    </row>
    <row r="314">
      <c r="A314" s="139" t="s">
        <v>587</v>
      </c>
      <c r="B314" s="139" t="s">
        <v>29</v>
      </c>
      <c r="C314" s="139" t="s">
        <v>30</v>
      </c>
      <c r="D314" s="139" t="s">
        <v>587</v>
      </c>
      <c r="E314" s="139" t="s">
        <v>29</v>
      </c>
      <c r="F314" s="139" t="s">
        <v>30</v>
      </c>
      <c r="G314" s="139" t="s">
        <v>599</v>
      </c>
      <c r="H314" s="139" t="s">
        <v>601</v>
      </c>
      <c r="I314" s="139" t="s">
        <v>603</v>
      </c>
      <c r="J314" s="139" t="s">
        <v>605</v>
      </c>
      <c r="K314" s="139" t="s">
        <v>356</v>
      </c>
    </row>
    <row r="315">
      <c r="A315" s="90" t="s">
        <v>608</v>
      </c>
      <c r="B315" s="90">
        <v>0.0</v>
      </c>
      <c r="C315" s="90">
        <v>0.0</v>
      </c>
      <c r="D315" s="90" t="s">
        <v>613</v>
      </c>
      <c r="E315" s="90">
        <v>34.0</v>
      </c>
      <c r="F315" s="90">
        <v>11.0</v>
      </c>
      <c r="G315" s="90" t="s">
        <v>608</v>
      </c>
      <c r="H315" s="90" t="s">
        <v>608</v>
      </c>
      <c r="I315" s="90" t="s">
        <v>615</v>
      </c>
      <c r="J315" s="90" t="s">
        <v>608</v>
      </c>
      <c r="K315" s="90" t="s">
        <v>608</v>
      </c>
    </row>
    <row r="316">
      <c r="A316" s="91" t="s">
        <v>608</v>
      </c>
      <c r="B316" s="91">
        <v>0.0</v>
      </c>
      <c r="C316" s="91">
        <v>0.0</v>
      </c>
      <c r="D316" s="91" t="s">
        <v>613</v>
      </c>
      <c r="E316" s="91">
        <v>45.0</v>
      </c>
      <c r="F316" s="91">
        <v>10.0</v>
      </c>
      <c r="G316" s="91" t="s">
        <v>613</v>
      </c>
      <c r="H316" s="91" t="s">
        <v>608</v>
      </c>
      <c r="I316" s="91" t="s">
        <v>615</v>
      </c>
      <c r="J316" s="91" t="s">
        <v>608</v>
      </c>
      <c r="K316" s="91" t="s">
        <v>608</v>
      </c>
    </row>
    <row r="317">
      <c r="A317" s="90" t="s">
        <v>608</v>
      </c>
      <c r="B317" s="90">
        <v>0.0</v>
      </c>
      <c r="C317" s="90">
        <v>0.0</v>
      </c>
      <c r="D317" s="90" t="s">
        <v>626</v>
      </c>
      <c r="E317" s="90">
        <v>7.0</v>
      </c>
      <c r="F317" s="90">
        <v>48.0</v>
      </c>
      <c r="G317" s="90" t="s">
        <v>608</v>
      </c>
      <c r="H317" s="90" t="s">
        <v>626</v>
      </c>
      <c r="I317" s="90" t="s">
        <v>627</v>
      </c>
      <c r="J317" s="90" t="s">
        <v>608</v>
      </c>
      <c r="K317" s="90" t="s">
        <v>608</v>
      </c>
    </row>
    <row r="318">
      <c r="A318" s="91" t="s">
        <v>608</v>
      </c>
      <c r="B318" s="91">
        <v>0.0</v>
      </c>
      <c r="C318" s="91">
        <v>0.0</v>
      </c>
      <c r="D318" s="91" t="s">
        <v>626</v>
      </c>
      <c r="E318" s="91">
        <v>14.0</v>
      </c>
      <c r="F318" s="91">
        <v>42.0</v>
      </c>
      <c r="G318" s="91" t="s">
        <v>608</v>
      </c>
      <c r="H318" s="91" t="s">
        <v>626</v>
      </c>
      <c r="I318" s="91" t="s">
        <v>627</v>
      </c>
      <c r="J318" s="91" t="s">
        <v>608</v>
      </c>
      <c r="K318" s="91" t="s">
        <v>608</v>
      </c>
    </row>
    <row r="319">
      <c r="A319" s="90" t="s">
        <v>608</v>
      </c>
      <c r="B319" s="90">
        <v>0.0</v>
      </c>
      <c r="C319" s="90">
        <v>0.0</v>
      </c>
      <c r="D319" s="90" t="s">
        <v>626</v>
      </c>
      <c r="E319" s="90">
        <v>7.0</v>
      </c>
      <c r="F319" s="90">
        <v>63.0</v>
      </c>
      <c r="G319" s="90" t="s">
        <v>608</v>
      </c>
      <c r="H319" s="90" t="s">
        <v>626</v>
      </c>
      <c r="I319" s="90" t="s">
        <v>627</v>
      </c>
      <c r="J319" s="90" t="s">
        <v>626</v>
      </c>
      <c r="K319" s="90" t="s">
        <v>626</v>
      </c>
    </row>
    <row r="320">
      <c r="A320" s="91" t="s">
        <v>608</v>
      </c>
      <c r="B320" s="91">
        <v>0.0</v>
      </c>
      <c r="C320" s="91">
        <v>0.0</v>
      </c>
      <c r="D320" s="91" t="s">
        <v>626</v>
      </c>
      <c r="E320" s="91">
        <v>7.0</v>
      </c>
      <c r="F320" s="91">
        <v>45.0</v>
      </c>
      <c r="G320" s="91" t="s">
        <v>608</v>
      </c>
      <c r="H320" s="91" t="s">
        <v>626</v>
      </c>
      <c r="I320" s="91" t="s">
        <v>627</v>
      </c>
      <c r="J320" s="91" t="s">
        <v>626</v>
      </c>
      <c r="K320" s="91" t="s">
        <v>626</v>
      </c>
    </row>
    <row r="321">
      <c r="A321" s="90" t="s">
        <v>608</v>
      </c>
      <c r="B321" s="90">
        <v>0.0</v>
      </c>
      <c r="C321" s="90">
        <v>0.0</v>
      </c>
      <c r="D321" s="90" t="s">
        <v>626</v>
      </c>
      <c r="E321" s="90">
        <v>14.0</v>
      </c>
      <c r="F321" s="90">
        <v>27.0</v>
      </c>
      <c r="G321" s="90" t="s">
        <v>608</v>
      </c>
      <c r="H321" s="90" t="s">
        <v>626</v>
      </c>
      <c r="I321" s="90" t="s">
        <v>627</v>
      </c>
      <c r="J321" s="90" t="s">
        <v>626</v>
      </c>
      <c r="K321" s="90" t="s">
        <v>626</v>
      </c>
    </row>
    <row r="322">
      <c r="A322" s="139" t="s">
        <v>587</v>
      </c>
      <c r="B322" s="139" t="s">
        <v>29</v>
      </c>
      <c r="C322" s="139" t="s">
        <v>30</v>
      </c>
      <c r="D322" s="139" t="s">
        <v>587</v>
      </c>
      <c r="E322" s="139" t="s">
        <v>29</v>
      </c>
      <c r="F322" s="139" t="s">
        <v>30</v>
      </c>
      <c r="G322" s="139" t="s">
        <v>599</v>
      </c>
      <c r="H322" s="139" t="s">
        <v>601</v>
      </c>
      <c r="I322" s="139" t="s">
        <v>603</v>
      </c>
      <c r="J322" s="139" t="s">
        <v>605</v>
      </c>
      <c r="K322" s="139" t="s">
        <v>356</v>
      </c>
    </row>
    <row r="323">
      <c r="A323" s="90" t="s">
        <v>608</v>
      </c>
      <c r="B323" s="90">
        <v>0.0</v>
      </c>
      <c r="C323" s="90">
        <v>0.0</v>
      </c>
      <c r="D323" s="90" t="s">
        <v>613</v>
      </c>
      <c r="E323" s="90">
        <v>42.0</v>
      </c>
      <c r="F323" s="90">
        <v>24.0</v>
      </c>
      <c r="G323" s="90" t="s">
        <v>613</v>
      </c>
      <c r="H323" s="90" t="s">
        <v>608</v>
      </c>
      <c r="I323" s="90" t="s">
        <v>615</v>
      </c>
      <c r="J323" s="90" t="s">
        <v>608</v>
      </c>
      <c r="K323" s="90" t="s">
        <v>608</v>
      </c>
    </row>
    <row r="324">
      <c r="A324" s="91" t="s">
        <v>608</v>
      </c>
      <c r="B324" s="91">
        <v>0.0</v>
      </c>
      <c r="C324" s="91">
        <v>0.0</v>
      </c>
      <c r="D324" s="91" t="s">
        <v>613</v>
      </c>
      <c r="E324" s="91">
        <v>38.0</v>
      </c>
      <c r="F324" s="91">
        <v>21.0</v>
      </c>
      <c r="G324" s="91" t="s">
        <v>613</v>
      </c>
      <c r="H324" s="91" t="s">
        <v>608</v>
      </c>
      <c r="I324" s="91" t="s">
        <v>615</v>
      </c>
      <c r="J324" s="91" t="s">
        <v>608</v>
      </c>
      <c r="K324" s="91" t="s">
        <v>608</v>
      </c>
    </row>
    <row r="325">
      <c r="A325" s="90" t="s">
        <v>608</v>
      </c>
      <c r="B325" s="90">
        <v>0.0</v>
      </c>
      <c r="C325" s="90">
        <v>0.0</v>
      </c>
      <c r="D325" s="90" t="s">
        <v>613</v>
      </c>
      <c r="E325" s="90">
        <v>52.0</v>
      </c>
      <c r="F325" s="90">
        <v>27.0</v>
      </c>
      <c r="G325" s="90" t="s">
        <v>613</v>
      </c>
      <c r="H325" s="90" t="s">
        <v>608</v>
      </c>
      <c r="I325" s="90" t="s">
        <v>615</v>
      </c>
      <c r="J325" s="90" t="s">
        <v>608</v>
      </c>
      <c r="K325" s="90" t="s">
        <v>608</v>
      </c>
    </row>
    <row r="326">
      <c r="A326" s="91" t="s">
        <v>608</v>
      </c>
      <c r="B326" s="91">
        <v>0.0</v>
      </c>
      <c r="C326" s="91">
        <v>0.0</v>
      </c>
      <c r="D326" s="91" t="s">
        <v>613</v>
      </c>
      <c r="E326" s="91">
        <v>38.0</v>
      </c>
      <c r="F326" s="91">
        <v>20.0</v>
      </c>
      <c r="G326" s="91" t="s">
        <v>613</v>
      </c>
      <c r="H326" s="91" t="s">
        <v>608</v>
      </c>
      <c r="I326" s="91" t="s">
        <v>615</v>
      </c>
      <c r="J326" s="91" t="s">
        <v>608</v>
      </c>
      <c r="K326" s="91" t="s">
        <v>608</v>
      </c>
    </row>
    <row r="327">
      <c r="A327" s="90" t="s">
        <v>608</v>
      </c>
      <c r="B327" s="90">
        <v>0.0</v>
      </c>
      <c r="C327" s="90">
        <v>0.0</v>
      </c>
      <c r="D327" s="90" t="s">
        <v>613</v>
      </c>
      <c r="E327" s="90">
        <v>29.0</v>
      </c>
      <c r="F327" s="90">
        <v>0.0</v>
      </c>
      <c r="G327" s="90" t="s">
        <v>613</v>
      </c>
      <c r="H327" s="90" t="s">
        <v>608</v>
      </c>
      <c r="I327" s="90" t="s">
        <v>615</v>
      </c>
      <c r="J327" s="90" t="s">
        <v>608</v>
      </c>
      <c r="K327" s="90" t="s">
        <v>608</v>
      </c>
    </row>
    <row r="328">
      <c r="A328" s="91" t="s">
        <v>608</v>
      </c>
      <c r="B328" s="91">
        <v>0.0</v>
      </c>
      <c r="C328" s="91">
        <v>0.0</v>
      </c>
      <c r="D328" s="91" t="s">
        <v>626</v>
      </c>
      <c r="E328" s="91">
        <v>12.0</v>
      </c>
      <c r="F328" s="91">
        <v>14.0</v>
      </c>
      <c r="G328" s="91" t="s">
        <v>626</v>
      </c>
      <c r="H328" s="91" t="s">
        <v>608</v>
      </c>
      <c r="I328" s="91" t="s">
        <v>627</v>
      </c>
      <c r="J328" s="91" t="s">
        <v>608</v>
      </c>
      <c r="K328" s="91" t="s">
        <v>608</v>
      </c>
    </row>
    <row r="329">
      <c r="A329" s="90" t="s">
        <v>608</v>
      </c>
      <c r="B329" s="90">
        <v>0.0</v>
      </c>
      <c r="C329" s="90">
        <v>0.0</v>
      </c>
      <c r="D329" s="90" t="s">
        <v>626</v>
      </c>
      <c r="E329" s="90">
        <v>17.0</v>
      </c>
      <c r="F329" s="90">
        <v>34.0</v>
      </c>
      <c r="G329" s="90" t="s">
        <v>626</v>
      </c>
      <c r="H329" s="90" t="s">
        <v>608</v>
      </c>
      <c r="I329" s="90" t="s">
        <v>627</v>
      </c>
      <c r="J329" s="90" t="s">
        <v>608</v>
      </c>
      <c r="K329" s="90" t="s">
        <v>608</v>
      </c>
    </row>
    <row r="330">
      <c r="A330" s="140" t="s">
        <v>855</v>
      </c>
    </row>
  </sheetData>
  <mergeCells count="33">
    <mergeCell ref="D92:I92"/>
    <mergeCell ref="J92:K92"/>
    <mergeCell ref="A18:C18"/>
    <mergeCell ref="D18:I18"/>
    <mergeCell ref="J18:K18"/>
    <mergeCell ref="A54:C54"/>
    <mergeCell ref="D54:I54"/>
    <mergeCell ref="J54:K54"/>
    <mergeCell ref="A92:C92"/>
    <mergeCell ref="D185:I185"/>
    <mergeCell ref="J185:K185"/>
    <mergeCell ref="A131:C131"/>
    <mergeCell ref="D131:I131"/>
    <mergeCell ref="J131:K131"/>
    <mergeCell ref="A166:C166"/>
    <mergeCell ref="D166:I166"/>
    <mergeCell ref="J166:K166"/>
    <mergeCell ref="A185:C185"/>
    <mergeCell ref="D254:I254"/>
    <mergeCell ref="J254:K254"/>
    <mergeCell ref="A277:C277"/>
    <mergeCell ref="D277:I277"/>
    <mergeCell ref="J277:K277"/>
    <mergeCell ref="A313:C313"/>
    <mergeCell ref="D313:I313"/>
    <mergeCell ref="J313:K313"/>
    <mergeCell ref="A205:C205"/>
    <mergeCell ref="D205:I205"/>
    <mergeCell ref="J205:K205"/>
    <mergeCell ref="A235:C235"/>
    <mergeCell ref="D235:I235"/>
    <mergeCell ref="J235:K235"/>
    <mergeCell ref="A254:C254"/>
  </mergeCells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37"/>
    <hyperlink r:id="rId16" ref="A38"/>
    <hyperlink r:id="rId17" ref="A39"/>
    <hyperlink r:id="rId18" ref="A40"/>
    <hyperlink r:id="rId19" ref="A41"/>
    <hyperlink r:id="rId20" ref="A42"/>
    <hyperlink r:id="rId21" ref="A43"/>
    <hyperlink r:id="rId22" ref="A44"/>
    <hyperlink r:id="rId23" ref="A45"/>
    <hyperlink r:id="rId24" ref="A46"/>
    <hyperlink r:id="rId25" ref="A47"/>
    <hyperlink r:id="rId26" ref="A48"/>
    <hyperlink r:id="rId27" ref="A49"/>
    <hyperlink r:id="rId28" ref="A50"/>
    <hyperlink r:id="rId29" ref="A51"/>
    <hyperlink r:id="rId30" ref="A52"/>
    <hyperlink r:id="rId31" ref="A53"/>
    <hyperlink r:id="rId32" ref="A76"/>
    <hyperlink r:id="rId33" ref="A77"/>
    <hyperlink r:id="rId34" ref="A78"/>
    <hyperlink r:id="rId35" ref="A79"/>
    <hyperlink r:id="rId36" ref="A80"/>
    <hyperlink r:id="rId37" ref="A81"/>
    <hyperlink r:id="rId38" ref="A82"/>
    <hyperlink r:id="rId39" ref="A83"/>
    <hyperlink r:id="rId40" ref="A84"/>
    <hyperlink r:id="rId41" ref="A85"/>
    <hyperlink r:id="rId42" ref="A86"/>
    <hyperlink r:id="rId43" ref="A87"/>
    <hyperlink r:id="rId44" ref="A88"/>
    <hyperlink r:id="rId45" ref="A89"/>
    <hyperlink r:id="rId46" ref="A90"/>
    <hyperlink r:id="rId47" ref="A91"/>
    <hyperlink r:id="rId48" ref="A113"/>
    <hyperlink r:id="rId49" ref="A114"/>
    <hyperlink r:id="rId50" ref="A115"/>
    <hyperlink r:id="rId51" ref="A116"/>
    <hyperlink r:id="rId52" ref="A117"/>
    <hyperlink r:id="rId53" ref="A118"/>
    <hyperlink r:id="rId54" ref="A119"/>
    <hyperlink r:id="rId55" ref="A120"/>
    <hyperlink r:id="rId56" ref="A121"/>
    <hyperlink r:id="rId57" ref="A122"/>
    <hyperlink r:id="rId58" ref="A123"/>
    <hyperlink r:id="rId59" ref="A124"/>
    <hyperlink r:id="rId60" ref="A125"/>
    <hyperlink r:id="rId61" ref="A126"/>
    <hyperlink r:id="rId62" ref="A127"/>
    <hyperlink r:id="rId63" ref="A128"/>
    <hyperlink r:id="rId64" ref="A129"/>
    <hyperlink r:id="rId65" ref="A130"/>
    <hyperlink r:id="rId66" ref="A154"/>
    <hyperlink r:id="rId67" ref="A155"/>
    <hyperlink r:id="rId68" ref="A156"/>
    <hyperlink r:id="rId69" ref="A157"/>
    <hyperlink r:id="rId70" ref="A158"/>
    <hyperlink r:id="rId71" ref="A159"/>
    <hyperlink r:id="rId72" ref="A160"/>
    <hyperlink r:id="rId73" ref="A161"/>
    <hyperlink r:id="rId74" ref="A162"/>
    <hyperlink r:id="rId75" ref="A163"/>
    <hyperlink r:id="rId76" ref="A164"/>
    <hyperlink r:id="rId77" ref="A165"/>
    <hyperlink r:id="rId78" ref="A183"/>
    <hyperlink r:id="rId79" ref="A184"/>
    <hyperlink r:id="rId80" ref="A192"/>
    <hyperlink r:id="rId81" ref="A193"/>
    <hyperlink r:id="rId82" ref="A194"/>
    <hyperlink r:id="rId83" ref="A195"/>
    <hyperlink r:id="rId84" ref="A196"/>
    <hyperlink r:id="rId85" ref="A197"/>
    <hyperlink r:id="rId86" ref="A198"/>
    <hyperlink r:id="rId87" ref="A199"/>
    <hyperlink r:id="rId88" ref="A200"/>
    <hyperlink r:id="rId89" ref="A201"/>
    <hyperlink r:id="rId90" ref="A202"/>
    <hyperlink r:id="rId91" ref="A203"/>
    <hyperlink r:id="rId92" ref="A204"/>
    <hyperlink r:id="rId93" ref="A223"/>
    <hyperlink r:id="rId94" ref="A224"/>
    <hyperlink r:id="rId95" ref="A225"/>
    <hyperlink r:id="rId96" ref="A226"/>
    <hyperlink r:id="rId97" ref="A227"/>
    <hyperlink r:id="rId98" ref="A228"/>
    <hyperlink r:id="rId99" ref="A229"/>
    <hyperlink r:id="rId100" ref="A230"/>
    <hyperlink r:id="rId101" ref="A231"/>
    <hyperlink r:id="rId102" ref="A232"/>
    <hyperlink r:id="rId103" ref="A233"/>
    <hyperlink r:id="rId104" ref="A234"/>
    <hyperlink r:id="rId105" ref="A252"/>
    <hyperlink r:id="rId106" ref="A253"/>
    <hyperlink r:id="rId107" ref="A261"/>
    <hyperlink r:id="rId108" ref="A262"/>
    <hyperlink r:id="rId109" ref="A263"/>
    <hyperlink r:id="rId110" ref="A264"/>
    <hyperlink r:id="rId111" ref="A265"/>
    <hyperlink r:id="rId112" ref="A266"/>
    <hyperlink r:id="rId113" ref="A267"/>
    <hyperlink r:id="rId114" ref="A268"/>
    <hyperlink r:id="rId115" ref="A269"/>
    <hyperlink r:id="rId116" ref="A270"/>
    <hyperlink r:id="rId117" ref="A271"/>
    <hyperlink r:id="rId118" ref="A272"/>
    <hyperlink r:id="rId119" ref="A273"/>
    <hyperlink r:id="rId120" ref="A274"/>
    <hyperlink r:id="rId121" ref="A275"/>
    <hyperlink r:id="rId122" ref="A276"/>
    <hyperlink r:id="rId123" ref="A298"/>
    <hyperlink r:id="rId124" ref="A299"/>
    <hyperlink r:id="rId125" ref="A300"/>
    <hyperlink r:id="rId126" ref="A301"/>
    <hyperlink r:id="rId127" ref="A302"/>
    <hyperlink r:id="rId128" ref="A303"/>
    <hyperlink r:id="rId129" ref="A304"/>
    <hyperlink r:id="rId130" ref="A306"/>
    <hyperlink r:id="rId131" ref="A307"/>
    <hyperlink r:id="rId132" ref="A308"/>
    <hyperlink r:id="rId133" ref="A309"/>
    <hyperlink r:id="rId134" ref="A310"/>
    <hyperlink r:id="rId135" ref="A311"/>
    <hyperlink r:id="rId136" ref="A312"/>
  </hyperlinks>
  <drawing r:id="rId13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.0"/>
    <col customWidth="1" min="3" max="3" width="4.25"/>
    <col customWidth="1" min="4" max="4" width="10.63"/>
    <col customWidth="1" min="5" max="5" width="9.0"/>
    <col customWidth="1" min="6" max="6" width="19.88"/>
    <col customWidth="1" min="7" max="11" width="36.0"/>
    <col customWidth="1" min="12" max="12" width="4.75"/>
    <col customWidth="1" min="13" max="16" width="36.0"/>
    <col customWidth="1" min="17" max="50" width="24.38"/>
  </cols>
  <sheetData>
    <row r="1" ht="1.5" customHeight="1">
      <c r="A1" s="93" t="s">
        <v>629</v>
      </c>
      <c r="B1" s="93" t="s">
        <v>631</v>
      </c>
      <c r="C1" s="93" t="s">
        <v>632</v>
      </c>
      <c r="D1" s="95" t="s">
        <v>633</v>
      </c>
      <c r="E1" s="93" t="s">
        <v>635</v>
      </c>
      <c r="F1" s="93" t="s">
        <v>636</v>
      </c>
      <c r="G1" s="96" t="s">
        <v>638</v>
      </c>
      <c r="H1" s="93" t="s">
        <v>639</v>
      </c>
      <c r="I1" s="93" t="s">
        <v>640</v>
      </c>
      <c r="J1" s="93" t="s">
        <v>641</v>
      </c>
      <c r="K1" s="93" t="s">
        <v>642</v>
      </c>
      <c r="L1" s="93" t="s">
        <v>643</v>
      </c>
      <c r="M1" s="93" t="s">
        <v>644</v>
      </c>
      <c r="N1" s="93" t="s">
        <v>646</v>
      </c>
      <c r="O1" s="93" t="s">
        <v>647</v>
      </c>
      <c r="P1" s="93" t="s">
        <v>648</v>
      </c>
      <c r="Q1" s="4" t="s">
        <v>15</v>
      </c>
      <c r="R1" s="5" t="s">
        <v>16</v>
      </c>
      <c r="S1" s="6" t="s">
        <v>17</v>
      </c>
      <c r="T1" s="7" t="s">
        <v>18</v>
      </c>
      <c r="U1" s="7" t="s">
        <v>19</v>
      </c>
      <c r="V1" s="8" t="s">
        <v>20</v>
      </c>
      <c r="W1" s="6" t="s">
        <v>21</v>
      </c>
      <c r="X1" s="7" t="s">
        <v>22</v>
      </c>
      <c r="Y1" s="11" t="s">
        <v>23</v>
      </c>
      <c r="Z1" s="11" t="s">
        <v>27</v>
      </c>
      <c r="AA1" s="4" t="s">
        <v>29</v>
      </c>
      <c r="AB1" s="4" t="s">
        <v>30</v>
      </c>
      <c r="AC1" s="97" t="s">
        <v>652</v>
      </c>
      <c r="AD1" s="98" t="s">
        <v>653</v>
      </c>
      <c r="AE1" s="99" t="s">
        <v>644</v>
      </c>
      <c r="AF1" s="99" t="s">
        <v>646</v>
      </c>
      <c r="AG1" s="99" t="s">
        <v>655</v>
      </c>
      <c r="AH1" s="98" t="s">
        <v>656</v>
      </c>
      <c r="AI1" s="98" t="s">
        <v>657</v>
      </c>
      <c r="AJ1" s="97" t="s">
        <v>658</v>
      </c>
      <c r="AK1" s="100" t="s">
        <v>659</v>
      </c>
      <c r="AL1" s="100" t="s">
        <v>660</v>
      </c>
      <c r="AM1" s="100" t="s">
        <v>661</v>
      </c>
      <c r="AN1" s="97" t="s">
        <v>662</v>
      </c>
      <c r="AO1" s="97" t="s">
        <v>663</v>
      </c>
      <c r="AP1" s="97" t="s">
        <v>664</v>
      </c>
      <c r="AQ1" s="97" t="s">
        <v>665</v>
      </c>
      <c r="AR1" s="100" t="s">
        <v>667</v>
      </c>
      <c r="AS1" s="100" t="s">
        <v>668</v>
      </c>
      <c r="AT1" s="100" t="s">
        <v>669</v>
      </c>
      <c r="AU1" s="97" t="s">
        <v>671</v>
      </c>
      <c r="AV1" s="97" t="s">
        <v>672</v>
      </c>
      <c r="AW1" s="97" t="s">
        <v>673</v>
      </c>
      <c r="AX1" s="97" t="s">
        <v>674</v>
      </c>
    </row>
    <row r="2">
      <c r="A2" s="101">
        <v>1.0</v>
      </c>
      <c r="B2" s="101">
        <v>1.0</v>
      </c>
      <c r="C2" s="101">
        <v>1.0</v>
      </c>
      <c r="D2" s="103" t="str">
        <f t="array" ref="D2:D13">index(sort('Draft Order'!$A$2:$B$13,1,1),0,2)</f>
        <v>Nick G.</v>
      </c>
      <c r="E2" s="104" t="str">
        <f>if(F2&lt;&gt;"",VLOOKUP(F2,offset('Teams-Conference'!A:B,0,(counta('Draft Order'!B$2:B622)-10)*2),2,0),"")</f>
        <v>Big Ten</v>
      </c>
      <c r="F2" s="105" t="s">
        <v>145</v>
      </c>
      <c r="G2" s="106" t="str">
        <f t="shared" ref="G2:G93" si="1">if(F2="","",let(wc_check,or(COUNTIFS(E$1:E2,"="&amp;E2,D$1:D2,"="&amp;D2)&gt;1,E2="zIndependent"),let(error_text, if(F1="","ERROR: Previous pick is blank.   ","")&amp;if(match(F2,F:F,0)&lt;ROW(F2),"ERROR: Team already selected in row " &amp; ROW(F2)&amp;".  ","")&amp;if(and(wc_check,countIFS(G$1:G1,"This is your wild card pick",D$1:D1,"="&amp;D2)&gt;0),"ERROR: Player picked from this conference more than once and already made their wild card pick.  ","")&amp;if(and(wc_check,not(P2)),"ERROR: This conference is not eligible for a wild card pick.",""),if(error_text="",if(wc_check,"This is your wild card pick","Regular Pick"),error_text))))</f>
        <v>Regular Pick</v>
      </c>
      <c r="H2" s="106">
        <f t="shared" ref="H2:H3" si="2">countif(E3:E12,E2)</f>
        <v>2</v>
      </c>
      <c r="I2" s="106">
        <f t="shared" ref="I2:I4" si="3">countif(E3:E23,E2)</f>
        <v>3</v>
      </c>
      <c r="J2" s="106"/>
      <c r="K2" s="106"/>
      <c r="L2" s="106">
        <f t="array" ref="L2:L622">iferror(VLOOKUP(F2:F622,'Current Week'!C:D,2,0),"")</f>
        <v>6</v>
      </c>
      <c r="M2" s="106">
        <f>IFERROR(__xludf.DUMMYFUNCTION("counta(iferror(filter(L1:L$2,E1:E$2=E2,L1:L$2&lt;L2)))"),0.0)</f>
        <v>0</v>
      </c>
      <c r="N2" s="106">
        <f>IFERROR(__xludf.DUMMYFUNCTION("counta(iferror(filter(L3:L$121,E3:E$121=E2,L3:L$624&gt;L2)))"),0.0)</f>
        <v>0</v>
      </c>
      <c r="O2" s="106"/>
      <c r="P2" s="106" t="b">
        <f>IFERROR(__xludf.DUMMYFUNCTION("if(F2="""","""",let(wc_picked, countifs(E$1:E1,E2,G$1:G1,""This is your wild card pick""), let(spots_filled,counta(unique(filter(D$2:E2,E$2:E2=E2)))/2,let(total,VLOOKUP(E2,'Conf WC Eligibility'!A:C,3,0),if(E2=""zIndependent"", TRUE,total-wc_picked&gt;12)))))"),TRUE)</f>
        <v>1</v>
      </c>
      <c r="Q2" s="107">
        <f t="array" ref="Q2:AB2">XLOOKUP(F2,'Current Week'!C:C,'Current Week'!D:O)</f>
        <v>6</v>
      </c>
      <c r="R2" s="106">
        <v>6.0</v>
      </c>
      <c r="S2" s="106" t="s">
        <v>392</v>
      </c>
      <c r="T2" s="106" t="s">
        <v>61</v>
      </c>
      <c r="U2" s="106" t="s">
        <v>395</v>
      </c>
      <c r="V2" s="106"/>
      <c r="W2" s="106" t="s">
        <v>67</v>
      </c>
      <c r="X2" s="106">
        <v>-14.0</v>
      </c>
      <c r="Y2" s="106" t="s">
        <v>67</v>
      </c>
      <c r="Z2" s="106">
        <v>55.5</v>
      </c>
      <c r="AA2" s="106">
        <v>381.0</v>
      </c>
      <c r="AB2" s="106">
        <v>257.0</v>
      </c>
      <c r="AC2" s="108" t="b">
        <f t="array" ref="AC2:AC622">if(T2:T622="",,left(T2:T622,5)="FINAL")</f>
        <v>1</v>
      </c>
      <c r="AD2" s="109">
        <f t="shared" ref="AD2:AD137" si="4">$Q2-max($Q2:$Q$400)</f>
        <v>-6</v>
      </c>
      <c r="AE2" s="110">
        <f t="shared" ref="AE2:AE137" si="5">countif($Q1:$Q$2,"&lt;"&amp;$Q2)</f>
        <v>0</v>
      </c>
      <c r="AF2" s="110">
        <f>IFERROR(__xludf.DUMMYFUNCTION("iferror(COUNT(filter($Q3:$Q$400,$Q3:$Q$400&gt;$Q2)))"),68.0)</f>
        <v>68</v>
      </c>
      <c r="AG2" s="111">
        <f t="shared" ref="AG2:AG137" si="6">if(AD2=0,1,0)</f>
        <v>0</v>
      </c>
      <c r="AH2" s="112">
        <f t="shared" ref="AH2:AH137" si="7">$Q2-min($Q$2:$Q2)</f>
        <v>0</v>
      </c>
      <c r="AI2" s="113" t="str">
        <f>IFERROR(__xludf.DUMMYFUNCTION("iferror(join("","",index(sort(filter($F3:$F$400,$Q3:$Q$400&gt;$Q2),2,false),0,1)))"),"Boise State,Ohio State,Oregon,UNLV,Notre Dame,Memphis,Toledo,Clemson,James Madison,Tulane,Texas,Western Kentucky,Miami,Georgia,Navy,Michigan,SMU,Alabama,Utah,Arizona State,Texas Tech,USC,Illinois,Louisiana Tech,Indiana,Louisville,Fresno State,Ole Miss,Nor"&amp;"th Texas,Miami-OH,South Florida,BYU,Tennessee,East Carolina,Washington,LSU,Nebraska,Texas A&amp;M,Jacksonville State,Georgia Tech,Central Michigan,Western Michigan,Iowa,Missouri,Minnesota,Hawaii,Iowa State,Oklahoma,TCU,Old Dominion,Troy,Cincinnati,Duke,UConn,"&amp;"Florida Intl,Houston,San Diego State,Virginia,NC State,California,Missouri State,Pittsburgh,Vanderbilt,New Mexico,Kennesaw State,Wake Forest,Arizona,Southern Mississippi")</f>
        <v>Boise State,Ohio State,Oregon,UNLV,Notre Dame,Memphis,Toledo,Clemson,James Madison,Tulane,Texas,Western Kentucky,Miami,Georgia,Navy,Michigan,SMU,Alabama,Utah,Arizona State,Texas Tech,USC,Illinois,Louisiana Tech,Indiana,Louisville,Fresno State,Ole Miss,North Texas,Miami-OH,South Florida,BYU,Tennessee,East Carolina,Washington,LSU,Nebraska,Texas A&amp;M,Jacksonville State,Georgia Tech,Central Michigan,Western Michigan,Iowa,Missouri,Minnesota,Hawaii,Iowa State,Oklahoma,TCU,Old Dominion,Troy,Cincinnati,Duke,UConn,Florida Intl,Houston,San Diego State,Virginia,NC State,California,Missouri State,Pittsburgh,Vanderbilt,New Mexico,Kennesaw State,Wake Forest,Arizona,Southern Mississippi</v>
      </c>
      <c r="AJ2" s="114">
        <f>IFERROR(__xludf.DUMMYFUNCTION("iferror($Q2-max(filter($Q2:$Q$400,$E2:$E$400=$E$2)))"),-6.0)</f>
        <v>-6</v>
      </c>
      <c r="AK2" s="110">
        <f t="shared" ref="AK2:AK137" si="8">countifs($Q1:$Q$2,"&lt;"&amp;$Q2,$E1:$E$2,$E$2)</f>
        <v>0</v>
      </c>
      <c r="AL2" s="110">
        <f>IFERROR(__xludf.DUMMYFUNCTION("iferror(COUNT(filter($Q3:$Q$400,$Q3:$Q$400&gt;$Q2,$E2:$E$400=$E$2)))"),0.0)</f>
        <v>0</v>
      </c>
      <c r="AM2" s="111">
        <f t="shared" ref="AM2:AM137" si="9">if(AJ2=0,1,0)</f>
        <v>0</v>
      </c>
      <c r="AN2" s="110">
        <f>IFERROR(__xludf.DUMMYFUNCTION("iferror($Q2-min(filter($Q2:$Q$400,$E2:$E$400=$E$2)))"),4.0)</f>
        <v>4</v>
      </c>
      <c r="AO2" s="113" t="str">
        <f>IFERROR(__xludf.DUMMYFUNCTION("iferror(join("","",index(sort(filter($F3:$F$400,$Q3:$Q$400&gt;$Q2,$E3:$E$400=$E$2),2,false),0,1)))"),"Ohio State,Oregon,Michigan,USC,Illinois,Indiana,Washington,Nebraska,Iowa,Minnesota")</f>
        <v>Ohio State,Oregon,Michigan,USC,Illinois,Indiana,Washington,Nebraska,Iowa,Minnesota</v>
      </c>
      <c r="AP2" s="113" t="str">
        <f>IFERROR(__xludf.DUMMYFUNCTION("REGEXREPLACE(join("","",unique({let(conf_picked,filter(E$1:E1,D$1:D1=D2), byrow(unique(TRANSPOSe(Teams!$1:$1)),lambda(rw,if(ISERROR(match(rw,conf_picked,0)),rw,))));if(AW2,,transpose(split(AX2,"","",1,1)))})), ""^,"", """")"),"AAC,ACC,Big 12,Big Ten,CUSA,MAC,MWC,Pac12,SEC,Sun Belt,zIndependent,")</f>
        <v>AAC,ACC,Big 12,Big Ten,CUSA,MAC,MWC,Pac12,SEC,Sun Belt,zIndependent,</v>
      </c>
      <c r="AQ2" s="114">
        <f>IFERROR(__xludf.DUMMYFUNCTION("iferror($Q2-max(filter($Q2:$Q$400,arrayformula(isnumber(FIND($E2:$E$400,AP2))))))"),-6.0)</f>
        <v>-6</v>
      </c>
      <c r="AR2" s="110">
        <f t="array" ref="AR2">countifs($Q1:$Q$2,"&lt;"&amp;$Q2,isnumber(FIND($E1:$E$2,AP2)),TRUE)</f>
        <v>0</v>
      </c>
      <c r="AS2" s="110">
        <f>IFERROR(__xludf.DUMMYFUNCTION("iferror(COUNT(filter($Q3:$Q$400,$Q3:$Q$400&gt;$Q2,arrayformula(isnumber(FIND($E3:$E$400,AP2))))))"),68.0)</f>
        <v>68</v>
      </c>
      <c r="AT2" s="111">
        <f t="shared" ref="AT2:AT137" si="10">if(AQ2=0,1,0)</f>
        <v>0</v>
      </c>
      <c r="AU2" s="110">
        <f>IFERROR(__xludf.DUMMYFUNCTION("iferror($Q2-min(filter($Q2:$Q$400,arrayformula(isnumber(FIND($E2:$E$400,AP2))))))"),6.0)</f>
        <v>6</v>
      </c>
      <c r="AV2" s="113" t="str">
        <f>IFERROR(__xludf.DUMMYFUNCTION("iferror(join("","",index(sort(filter($F3:$F$400,$Q3:$Q$400&gt;$Q2,arrayformula(isnumber(FIND($E3:$E$400,AP2)))),2,false),0,1)))"),"Boise State,Ohio State,Oregon,UNLV,Notre Dame,Memphis,Toledo,Clemson,James Madison,Tulane,Texas,Western Kentucky,Miami,Georgia,Navy,Michigan,SMU,Alabama,Utah,Arizona State,Texas Tech,USC,Illinois,Louisiana Tech,Indiana,Louisville,Fresno State,Ole Miss,Nor"&amp;"th Texas,Miami-OH,South Florida,BYU,Tennessee,East Carolina,Washington,LSU,Nebraska,Texas A&amp;M,Jacksonville State,Georgia Tech,Central Michigan,Western Michigan,Iowa,Missouri,Minnesota,Hawaii,Iowa State,Oklahoma,TCU,Old Dominion,Troy,Cincinnati,Duke,UConn,"&amp;"Florida Intl,Houston,San Diego State,Virginia,NC State,California,Missouri State,Pittsburgh,Vanderbilt,New Mexico,Kennesaw State,Wake Forest,Arizona,Southern Mississippi")</f>
        <v>Boise State,Ohio State,Oregon,UNLV,Notre Dame,Memphis,Toledo,Clemson,James Madison,Tulane,Texas,Western Kentucky,Miami,Georgia,Navy,Michigan,SMU,Alabama,Utah,Arizona State,Texas Tech,USC,Illinois,Louisiana Tech,Indiana,Louisville,Fresno State,Ole Miss,North Texas,Miami-OH,South Florida,BYU,Tennessee,East Carolina,Washington,LSU,Nebraska,Texas A&amp;M,Jacksonville State,Georgia Tech,Central Michigan,Western Michigan,Iowa,Missouri,Minnesota,Hawaii,Iowa State,Oklahoma,TCU,Old Dominion,Troy,Cincinnati,Duke,UConn,Florida Intl,Houston,San Diego State,Virginia,NC State,California,Missouri State,Pittsburgh,Vanderbilt,New Mexico,Kennesaw State,Wake Forest,Arizona,Southern Mississippi</v>
      </c>
      <c r="AW2" s="113" t="b">
        <f>IFERROR(__xludf.DUMMYFUNCTION("isnumber(find(""wild card"",join("","",filter($G$1:$G1,$D$1:$D1=D2))))"),FALSE)</f>
        <v>0</v>
      </c>
      <c r="AX2" s="113" t="str">
        <f>IFERROR(__xludf.DUMMYFUNCTION("join("","",let(confs,unique(TRANSPOSe(Teams!$1:$1)), confs_count, BYROW(confs,lambda(conf,xlookup(conf,'Conf WC Eligibility'!A:A,'Conf WC Eligibility'!C:C,,))),confs_picked,byrow(confs,lambda(conf,countif(E$1:E1,conf))),p_needs_conf_count,byrow(confs,lamb"&amp;"da(conf,counta('Draft Order'!B$2:B622)-COUNTUNIQUE(filter(D1:D$2,E1:E$2=conf)))),query({confs,confs_count,confs_picked,p_needs_conf_count},""select Col1 where Col2 =2 or Col2-Col3 &gt;Col4"")))"),"AAC,ACC,Big 12,Big Ten,CUSA,MAC,MWC,Pac12,SEC,Sun Belt,zIndependent")</f>
        <v>AAC,ACC,Big 12,Big Ten,CUSA,MAC,MWC,Pac12,SEC,Sun Belt,zIndependent</v>
      </c>
    </row>
    <row r="3">
      <c r="A3" s="1">
        <v>2.0</v>
      </c>
      <c r="B3" s="1">
        <v>1.0</v>
      </c>
      <c r="C3" s="1">
        <v>2.0</v>
      </c>
      <c r="D3" s="115" t="s">
        <v>95</v>
      </c>
      <c r="E3" s="116" t="str">
        <f>if(F3&lt;&gt;"",VLOOKUP(F3,offset('Teams-Conference'!A:B,0,(counta('Draft Order'!B$2:B622)-10)*2),2,0),"")</f>
        <v>MWC</v>
      </c>
      <c r="F3" s="117" t="s">
        <v>177</v>
      </c>
      <c r="G3" s="106" t="str">
        <f t="shared" si="1"/>
        <v>Regular Pick</v>
      </c>
      <c r="H3" s="106">
        <f t="shared" si="2"/>
        <v>1</v>
      </c>
      <c r="I3" s="106">
        <f t="shared" si="3"/>
        <v>2</v>
      </c>
      <c r="J3" s="106"/>
      <c r="K3" s="106"/>
      <c r="L3" s="106">
        <v>8.0</v>
      </c>
      <c r="M3" s="106">
        <f>IFERROR(__xludf.DUMMYFUNCTION("counta(iferror(filter(L2:L$2,E2:E$2=E3,L2:L$2&lt;L3)))"),0.0)</f>
        <v>0</v>
      </c>
      <c r="N3" s="106">
        <f>IFERROR(__xludf.DUMMYFUNCTION("counta(iferror(filter(L4:L$121,E4:E$121=E3,L4:L$624&gt;L3)))"),0.0)</f>
        <v>0</v>
      </c>
      <c r="O3" s="106"/>
      <c r="P3" s="106" t="b">
        <f>IFERROR(__xludf.DUMMYFUNCTION("if(F3="""","""",let(wc_picked, countifs(E$1:E2,E3,G$1:G2,""This is your wild card pick""), let(spots_filled,counta(unique(filter(D$2:E3,E$2:E3=E3)))/2,let(total,VLOOKUP(E3,'Conf WC Eligibility'!A:C,3,0),if(E3=""zIndependent"", TRUE,total-wc_picked&gt;12)))))"),FALSE)</f>
        <v>0</v>
      </c>
      <c r="Q3" s="107">
        <f t="array" ref="Q3:AB3">XLOOKUP(F3,'Current Week'!C:C,'Current Week'!D:O)</f>
        <v>8</v>
      </c>
      <c r="R3" s="106">
        <v>4.0</v>
      </c>
      <c r="S3" s="106" t="s">
        <v>570</v>
      </c>
      <c r="T3" s="106" t="s">
        <v>61</v>
      </c>
      <c r="U3" s="106" t="s">
        <v>311</v>
      </c>
      <c r="V3" s="106"/>
      <c r="W3" s="106" t="s">
        <v>67</v>
      </c>
      <c r="X3" s="106">
        <v>-2.5</v>
      </c>
      <c r="Y3" s="106" t="s">
        <v>67</v>
      </c>
      <c r="Z3" s="106">
        <v>55.5</v>
      </c>
      <c r="AA3" s="106">
        <v>370.0</v>
      </c>
      <c r="AB3" s="106">
        <v>278.0</v>
      </c>
      <c r="AC3" s="108" t="b">
        <v>1</v>
      </c>
      <c r="AD3" s="109">
        <f t="shared" si="4"/>
        <v>-4</v>
      </c>
      <c r="AE3" s="110">
        <f t="shared" si="5"/>
        <v>1</v>
      </c>
      <c r="AF3" s="110">
        <f>IFERROR(__xludf.DUMMYFUNCTION("iferror(COUNT(filter($Q4:$Q$400,$Q4:$Q$400&gt;$Q3)))"),32.0)</f>
        <v>32</v>
      </c>
      <c r="AG3" s="111">
        <f t="shared" si="6"/>
        <v>0</v>
      </c>
      <c r="AH3" s="112">
        <f t="shared" si="7"/>
        <v>2</v>
      </c>
      <c r="AI3" s="113" t="str">
        <f>IFERROR(__xludf.DUMMYFUNCTION("iferror(join("","",index(sort(filter($F4:$F$401,$Q4:$Q$401&gt;$Q3),2,false),0,1)))"),"Ohio State,Oregon,UNLV,Notre Dame,James Madison,Tulane,Texas,Miami,Georgia,Navy,Michigan,Alabama,Utah,Texas Tech,USC,Indiana,Ole Miss,North Texas,South Florida,BYU,Texas A&amp;M,Georgia Tech,Oklahoma,Old Dominion,UConn,Houston,San Diego State,Virginia,Vanderb"&amp;"ilt,New Mexico,Kennesaw State,Arizona")</f>
        <v>Ohio State,Oregon,UNLV,Notre Dame,James Madison,Tulane,Texas,Miami,Georgia,Navy,Michigan,Alabama,Utah,Texas Tech,USC,Indiana,Ole Miss,North Texas,South Florida,BYU,Texas A&amp;M,Georgia Tech,Oklahoma,Old Dominion,UConn,Houston,San Diego State,Virginia,Vanderbilt,New Mexico,Kennesaw State,Arizona</v>
      </c>
      <c r="AJ3" s="114">
        <f>IFERROR(__xludf.DUMMYFUNCTION("iferror($Q3-max(filter($Q3:$Q$400,$E3:$E$400=$E$2)))"),-4.0)</f>
        <v>-4</v>
      </c>
      <c r="AK3" s="110">
        <f t="shared" si="8"/>
        <v>1</v>
      </c>
      <c r="AL3" s="110">
        <f>IFERROR(__xludf.DUMMYFUNCTION("iferror(COUNT(filter($Q4:$Q$400,$Q4:$Q$400&gt;$Q3,$E3:$E$400=$E$2)))"),0.0)</f>
        <v>0</v>
      </c>
      <c r="AM3" s="111">
        <f t="shared" si="9"/>
        <v>0</v>
      </c>
      <c r="AN3" s="110">
        <f>IFERROR(__xludf.DUMMYFUNCTION("iferror($Q3-min(filter($Q3:$Q$400,$E3:$E$400=$E$2)))"),6.0)</f>
        <v>6</v>
      </c>
      <c r="AO3" s="113" t="str">
        <f>IFERROR(__xludf.DUMMYFUNCTION("iferror(join("","",index(sort(filter($F4:$F$400,$Q4:$Q$400&gt;$Q3,$E4:$E$400=$E$2),2,false),0,1)))"),"Ohio State,Oregon,Michigan,USC,Indiana")</f>
        <v>Ohio State,Oregon,Michigan,USC,Indiana</v>
      </c>
      <c r="AP3" s="113" t="str">
        <f>IFERROR(__xludf.DUMMYFUNCTION("REGEXREPLACE(join("","",unique({let(conf_picked,filter(E$1:E2,D$1:D2=D3), byrow(unique(TRANSPOSe(Teams!$1:$1)),lambda(rw,if(ISERROR(match(rw,conf_picked,0)),rw,))));if(AW3,,transpose(split(AX3,"","",1,1)))})), ""^,"", """")"),"AAC,ACC,Big 12,Big Ten,CUSA,MAC,MWC,Pac12,SEC,Sun Belt,zIndependent,")</f>
        <v>AAC,ACC,Big 12,Big Ten,CUSA,MAC,MWC,Pac12,SEC,Sun Belt,zIndependent,</v>
      </c>
      <c r="AQ3" s="114">
        <f>IFERROR(__xludf.DUMMYFUNCTION("iferror($Q3-max(filter($Q3:$Q$400,arrayformula(isnumber(FIND($E3:$E$400,AP3))))))"),-4.0)</f>
        <v>-4</v>
      </c>
      <c r="AR3" s="110">
        <f t="array" ref="AR3">countifs($Q2:$Q$2,"&lt;"&amp;$Q3,isnumber(FIND($E2:$E$2,AP3)),TRUE)</f>
        <v>1</v>
      </c>
      <c r="AS3" s="110">
        <f>IFERROR(__xludf.DUMMYFUNCTION("iferror(COUNT(filter($Q4:$Q$400,$Q4:$Q$400&gt;$Q3,arrayformula(isnumber(FIND($E4:$E$400,AP3))))))"),32.0)</f>
        <v>32</v>
      </c>
      <c r="AT3" s="111">
        <f t="shared" si="10"/>
        <v>0</v>
      </c>
      <c r="AU3" s="110">
        <f>IFERROR(__xludf.DUMMYFUNCTION("iferror($Q3-min(filter($Q3:$Q$400,arrayformula(isnumber(FIND($E3:$E$400,AP3))))))"),8.0)</f>
        <v>8</v>
      </c>
      <c r="AV3" s="113" t="str">
        <f>IFERROR(__xludf.DUMMYFUNCTION("iferror(join("","",index(sort(filter($F4:$F$400,$Q4:$Q$400&gt;$Q3,arrayformula(isnumber(FIND($E4:$E$400,AP3)))),2,false),0,1)))"),"Ohio State,Oregon,UNLV,Notre Dame,James Madison,Tulane,Texas,Miami,Georgia,Navy,Michigan,Alabama,Utah,Texas Tech,USC,Indiana,Ole Miss,North Texas,South Florida,BYU,Texas A&amp;M,Georgia Tech,Oklahoma,Old Dominion,UConn,Houston,San Diego State,Virginia,Vanderb"&amp;"ilt,New Mexico,Kennesaw State,Arizona")</f>
        <v>Ohio State,Oregon,UNLV,Notre Dame,James Madison,Tulane,Texas,Miami,Georgia,Navy,Michigan,Alabama,Utah,Texas Tech,USC,Indiana,Ole Miss,North Texas,South Florida,BYU,Texas A&amp;M,Georgia Tech,Oklahoma,Old Dominion,UConn,Houston,San Diego State,Virginia,Vanderbilt,New Mexico,Kennesaw State,Arizona</v>
      </c>
      <c r="AW3" s="113" t="b">
        <f>IFERROR(__xludf.DUMMYFUNCTION("isnumber(find(""wild card"",join("","",filter($G$1:$G2,$D$1:$D2=D3))))"),FALSE)</f>
        <v>0</v>
      </c>
      <c r="AX3" s="113" t="str">
        <f>IFERROR(__xludf.DUMMYFUNCTION("join("","",let(confs,unique(TRANSPOSe(Teams!$1:$1)), confs_count, BYROW(confs,lambda(conf,xlookup(conf,'Conf WC Eligibility'!A:A,'Conf WC Eligibility'!C:C,,))),confs_picked,byrow(confs,lambda(conf,countif(E$1:E2,conf))),p_needs_conf_count,byrow(confs,lamb"&amp;"da(conf,counta('Draft Order'!B$2:B622)-COUNTUNIQUE(filter(D$2:D2,E$2:E2=conf)))),query({confs,confs_count,confs_picked,p_needs_conf_count},""select Col1 where Col2 =2 or Col2-Col3 &gt;Col4"")))"),"AAC,ACC,Big 12,Big Ten,CUSA,MAC,MWC,Pac12,SEC,Sun Belt,zIndependent")</f>
        <v>AAC,ACC,Big 12,Big Ten,CUSA,MAC,MWC,Pac12,SEC,Sun Belt,zIndependent</v>
      </c>
    </row>
    <row r="4">
      <c r="A4" s="1">
        <v>3.0</v>
      </c>
      <c r="B4" s="1">
        <v>1.0</v>
      </c>
      <c r="C4" s="1">
        <v>3.0</v>
      </c>
      <c r="D4" s="118" t="s">
        <v>62</v>
      </c>
      <c r="E4" s="116" t="str">
        <f>if(F4&lt;&gt;"",VLOOKUP(F4,offset('Teams-Conference'!A:B,0,(counta('Draft Order'!B$2:B622)-10)*2),2,0),"")</f>
        <v>CUSA</v>
      </c>
      <c r="F4" s="117" t="s">
        <v>227</v>
      </c>
      <c r="G4" s="106" t="str">
        <f t="shared" si="1"/>
        <v>Regular Pick</v>
      </c>
      <c r="H4" s="106">
        <f t="shared" ref="H4:H13" si="11">countif(E5:E13,E4)</f>
        <v>0</v>
      </c>
      <c r="I4" s="106">
        <f t="shared" si="3"/>
        <v>1</v>
      </c>
      <c r="J4" s="106"/>
      <c r="K4" s="106"/>
      <c r="L4" s="106">
        <v>4.0</v>
      </c>
      <c r="M4" s="106">
        <f>IFERROR(__xludf.DUMMYFUNCTION("counta(iferror(filter(L$2:L3,E$2:E3=E4,L$2:L3&lt;L4)))"),0.0)</f>
        <v>0</v>
      </c>
      <c r="N4" s="106">
        <f>IFERROR(__xludf.DUMMYFUNCTION("counta(iferror(filter(L5:L$121,E5:E$121=E4,L5:L$624&gt;L4)))"),0.0)</f>
        <v>0</v>
      </c>
      <c r="O4" s="106"/>
      <c r="P4" s="106" t="b">
        <f>IFERROR(__xludf.DUMMYFUNCTION("if(F4="""","""",let(wc_picked, countifs(E$1:E3,E4,G$1:G3,""This is your wild card pick""), let(spots_filled,counta(unique(filter(D$2:E4,E$2:E4=E4)))/2,let(total,VLOOKUP(E4,'Conf WC Eligibility'!A:C,3,0),if(E4=""zIndependent"", TRUE,total-wc_picked&gt;12)))))"),FALSE)</f>
        <v>0</v>
      </c>
      <c r="Q4" s="107">
        <f t="array" ref="Q4:AB4">XLOOKUP(F4,'Current Week'!C:C,'Current Week'!D:O)</f>
        <v>4</v>
      </c>
      <c r="R4" s="106">
        <v>8.0</v>
      </c>
      <c r="S4" s="106" t="s">
        <v>596</v>
      </c>
      <c r="T4" s="106" t="s">
        <v>597</v>
      </c>
      <c r="U4" s="106" t="s">
        <v>95</v>
      </c>
      <c r="V4" s="106"/>
      <c r="W4" s="106" t="s">
        <v>67</v>
      </c>
      <c r="X4" s="106">
        <v>1.5</v>
      </c>
      <c r="Y4" s="106" t="s">
        <v>67</v>
      </c>
      <c r="Z4" s="106">
        <v>55.5</v>
      </c>
      <c r="AA4" s="106">
        <v>307.0</v>
      </c>
      <c r="AB4" s="106">
        <v>318.0</v>
      </c>
      <c r="AC4" s="108" t="b">
        <v>1</v>
      </c>
      <c r="AD4" s="109">
        <f t="shared" si="4"/>
        <v>-8</v>
      </c>
      <c r="AE4" s="110">
        <f t="shared" si="5"/>
        <v>0</v>
      </c>
      <c r="AF4" s="110">
        <f>IFERROR(__xludf.DUMMYFUNCTION("iferror(COUNT(filter($Q5:$Q$400,$Q5:$Q$400&gt;$Q4)))"),95.0)</f>
        <v>95</v>
      </c>
      <c r="AG4" s="111">
        <f t="shared" si="6"/>
        <v>0</v>
      </c>
      <c r="AH4" s="112">
        <f t="shared" si="7"/>
        <v>0</v>
      </c>
      <c r="AI4" s="113" t="str">
        <f>IFERROR(__xludf.DUMMYFUNCTION("iferror(join("","",index(sort(filter($F5:$F$401,$Q5:$Q$401&gt;$Q4),2,false),0,1)))"),"Ohio State,Oregon,UNLV,Notre Dame,Memphis,Toledo,Clemson,James Madison,Tulane,Texas,Western Kentucky,Buffalo,Miami,Georgia,Navy,Michigan,SMU,Alabama,Utah,Arizona State,Texas Tech,USC,Kansas State,UL Lafayette,UTSA,Georgia Southern,Ohio,Illinois,Louisiana "&amp;"Tech,Army,Indiana,Louisville,Fresno State,Ole Miss,North Texas,Miami-OH,South Florida,BYU,Tennessee,Texas State,Auburn,East Carolina,Washington,Kansas,LSU,Nebraska,Texas A&amp;M,Jacksonville State,Baylor,Georgia Tech,Central Michigan,Western Michigan,Iowa,Mis"&amp;"souri,Minnesota,Hawaii,Iowa State,Oklahoma,Appalachian State,TCU,Old Dominion,Akron,Florida State,Troy,Cincinnati,UCF,Duke,UConn,Florida Intl,Houston,San Diego State,Coastal Carolina,Virginia,Utah State,NC State,California,Missouri State,Marshall,Pittsbur"&amp;"gh,Rutgers,Arkansas State,Vanderbilt,Delaware,New Mexico,Kennesaw State,Rice,Temple,Wake Forest,Arizona,Northwestern,Kent State,Washington State,Kentucky,Mississippi State,Southern Mississippi")</f>
        <v>Ohio State,Oregon,UNLV,Notre Dame,Memphis,Toledo,Clemson,James Madison,Tulane,Texas,Western Kentucky,Buffalo,Miami,Georgia,Navy,Michigan,SMU,Alabama,Utah,Arizona State,Texas Tech,USC,Kansas State,UL Lafayette,UTSA,Georgia Southern,Ohio,Illinois,Louisiana Tech,Army,Indiana,Louisville,Fresno State,Ole Miss,North Texas,Miami-OH,South Florida,BYU,Tennessee,Texas State,Auburn,East Carolina,Washington,Kansas,LSU,Nebraska,Texas A&amp;M,Jacksonville State,Baylor,Georgia Tech,Central Michigan,Western Michigan,Iowa,Missouri,Minnesota,Hawaii,Iowa State,Oklahoma,Appalachian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J4" s="114">
        <f>IFERROR(__xludf.DUMMYFUNCTION("iferror($Q4-max(filter($Q4:$Q$400,$E4:$E$400=$E$2)))"),-8.0)</f>
        <v>-8</v>
      </c>
      <c r="AK4" s="110">
        <f t="shared" si="8"/>
        <v>0</v>
      </c>
      <c r="AL4" s="110">
        <f>IFERROR(__xludf.DUMMYFUNCTION("iferror(COUNT(filter($Q5:$Q$400,$Q5:$Q$400&gt;$Q4,$E4:$E$400=$E$2)))"),0.0)</f>
        <v>0</v>
      </c>
      <c r="AM4" s="111">
        <f t="shared" si="9"/>
        <v>0</v>
      </c>
      <c r="AN4" s="110">
        <f>IFERROR(__xludf.DUMMYFUNCTION("iferror($Q4-min(filter($Q4:$Q$400,$E4:$E$400=$E$2)))"),2.0)</f>
        <v>2</v>
      </c>
      <c r="AO4" s="113" t="str">
        <f>IFERROR(__xludf.DUMMYFUNCTION("iferror(join("","",index(sort(filter($F5:$F$400,$Q5:$Q$400&gt;$Q4,$E5:$E$400=$E$2),2,false),0,1)))"),"Ohio State,Oregon,Michigan,USC,Illinois,Indiana,Washington,Nebraska,Iowa,Minnesota,Rutgers,Northwestern")</f>
        <v>Ohio State,Oregon,Michigan,USC,Illinois,Indiana,Washington,Nebraska,Iowa,Minnesota,Rutgers,Northwestern</v>
      </c>
      <c r="AP4" s="113" t="str">
        <f>IFERROR(__xludf.DUMMYFUNCTION("REGEXREPLACE(join("","",unique({let(conf_picked,filter(E$1:E3,D$1:D3=D4), byrow(unique(TRANSPOSe(Teams!$1:$1)),lambda(rw,if(ISERROR(match(rw,conf_picked,0)),rw,))));if(AW4,,transpose(split(AX4,"","",1,1)))})), ""^,"", """")"),"AAC,ACC,Big 12,Big Ten,CUSA,MAC,MWC,Pac12,SEC,Sun Belt,zIndependent,")</f>
        <v>AAC,ACC,Big 12,Big Ten,CUSA,MAC,MWC,Pac12,SEC,Sun Belt,zIndependent,</v>
      </c>
      <c r="AQ4" s="114">
        <f>IFERROR(__xludf.DUMMYFUNCTION("iferror($Q4-max(filter($Q4:$Q$400,arrayformula(isnumber(FIND($E4:$E$400,AP4))))))"),-8.0)</f>
        <v>-8</v>
      </c>
      <c r="AR4" s="110">
        <f t="array" ref="AR4">countifs($Q$2:$Q3,"&lt;"&amp;$Q4,isnumber(FIND($E$2:$E3,AP4)),TRUE)</f>
        <v>0</v>
      </c>
      <c r="AS4" s="110">
        <f>IFERROR(__xludf.DUMMYFUNCTION("iferror(COUNT(filter($Q5:$Q$400,$Q5:$Q$400&gt;$Q4,arrayformula(isnumber(FIND($E5:$E$400,AP4))))))"),95.0)</f>
        <v>95</v>
      </c>
      <c r="AT4" s="111">
        <f t="shared" si="10"/>
        <v>0</v>
      </c>
      <c r="AU4" s="110">
        <f>IFERROR(__xludf.DUMMYFUNCTION("iferror($Q4-min(filter($Q4:$Q$400,arrayformula(isnumber(FIND($E4:$E$400,AP4))))))"),4.0)</f>
        <v>4</v>
      </c>
      <c r="AV4" s="113" t="str">
        <f>IFERROR(__xludf.DUMMYFUNCTION("iferror(join("","",index(sort(filter($F5:$F$400,$Q5:$Q$400&gt;$Q4,arrayformula(isnumber(FIND($E5:$E$400,AP4)))),2,false),0,1)))"),"Ohio State,Oregon,UNLV,Notre Dame,Memphis,Toledo,Clemson,James Madison,Tulane,Texas,Western Kentucky,Buffalo,Miami,Georgia,Navy,Michigan,SMU,Alabama,Utah,Arizona State,Texas Tech,USC,Kansas State,UL Lafayette,UTSA,Georgia Southern,Ohio,Illinois,Louisiana "&amp;"Tech,Army,Indiana,Louisville,Fresno State,Ole Miss,North Texas,Miami-OH,South Florida,BYU,Tennessee,Texas State,Auburn,East Carolina,Washington,Kansas,LSU,Nebraska,Texas A&amp;M,Jacksonville State,Baylor,Georgia Tech,Central Michigan,Western Michigan,Iowa,Mis"&amp;"souri,Minnesota,Hawaii,Iowa State,Oklahoma,Appalachian State,TCU,Old Dominion,Akron,Florida State,Troy,Cincinnati,UCF,Duke,UConn,Florida Intl,Houston,San Diego State,Coastal Carolina,Virginia,Utah State,NC State,California,Missouri State,Marshall,Pittsbur"&amp;"gh,Rutgers,Arkansas State,Vanderbilt,Delaware,New Mexico,Kennesaw State,Rice,Temple,Wake Forest,Arizona,Northwestern,Kent State,Washington State,Kentucky,Mississippi State,Southern Mississippi")</f>
        <v>Ohio State,Oregon,UNLV,Notre Dame,Memphis,Toledo,Clemson,James Madison,Tulane,Texas,Western Kentucky,Buffalo,Miami,Georgia,Navy,Michigan,SMU,Alabama,Utah,Arizona State,Texas Tech,USC,Kansas State,UL Lafayette,UTSA,Georgia Southern,Ohio,Illinois,Louisiana Tech,Army,Indiana,Louisville,Fresno State,Ole Miss,North Texas,Miami-OH,South Florida,BYU,Tennessee,Texas State,Auburn,East Carolina,Washington,Kansas,LSU,Nebraska,Texas A&amp;M,Jacksonville State,Baylor,Georgia Tech,Central Michigan,Western Michigan,Iowa,Missouri,Minnesota,Hawaii,Iowa State,Oklahoma,Appalachian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W4" s="113" t="b">
        <f>IFERROR(__xludf.DUMMYFUNCTION("isnumber(find(""wild card"",join("","",filter($G$1:$G3,$D$1:$D3=D4))))"),FALSE)</f>
        <v>0</v>
      </c>
      <c r="AX4" s="113" t="str">
        <f>IFERROR(__xludf.DUMMYFUNCTION("join("","",let(confs,unique(TRANSPOSe(Teams!$1:$1)), confs_count, BYROW(confs,lambda(conf,xlookup(conf,'Conf WC Eligibility'!A:A,'Conf WC Eligibility'!C:C,,))),confs_picked,byrow(confs,lambda(conf,countif(E$1:E3,conf))),p_needs_conf_count,byrow(confs,lamb"&amp;"da(conf,counta('Draft Order'!B$2:B622)-COUNTUNIQUE(filter(D$2:D3,E$2:E3=conf)))),query({confs,confs_count,confs_picked,p_needs_conf_count},""select Col1 where Col2 =2 or Col2-Col3 &gt;Col4"")))"),"AAC,ACC,Big 12,Big Ten,CUSA,MAC,Pac12,SEC,Sun Belt,zIndependent")</f>
        <v>AAC,ACC,Big 12,Big Ten,CUSA,MAC,Pac12,SEC,Sun Belt,zIndependent</v>
      </c>
    </row>
    <row r="5">
      <c r="A5" s="1">
        <v>4.0</v>
      </c>
      <c r="B5" s="1">
        <v>1.0</v>
      </c>
      <c r="C5" s="1">
        <v>4.0</v>
      </c>
      <c r="D5" s="115" t="s">
        <v>193</v>
      </c>
      <c r="E5" s="116" t="str">
        <f>if(F5&lt;&gt;"",VLOOKUP(F5,offset('Teams-Conference'!A:B,0,(counta('Draft Order'!B$2:B622)-10)*2),2,0),"")</f>
        <v>Big Ten</v>
      </c>
      <c r="F5" s="117" t="s">
        <v>144</v>
      </c>
      <c r="G5" s="106" t="str">
        <f t="shared" si="1"/>
        <v>Regular Pick</v>
      </c>
      <c r="H5" s="106">
        <f t="shared" si="11"/>
        <v>1</v>
      </c>
      <c r="I5" s="106">
        <f t="shared" ref="I5:I13" si="12">countif(E6:E25,E5)</f>
        <v>2</v>
      </c>
      <c r="J5" s="106"/>
      <c r="K5" s="106"/>
      <c r="L5" s="106">
        <v>12.0</v>
      </c>
      <c r="M5" s="106">
        <f>IFERROR(__xludf.DUMMYFUNCTION("counta(iferror(filter(L$2:L4,E$2:E4=E5,L$2:L4&lt;L5)))"),1.0)</f>
        <v>1</v>
      </c>
      <c r="N5" s="106">
        <f>IFERROR(__xludf.DUMMYFUNCTION("counta(iferror(filter(L6:L$121,E6:E$121=E5,L6:L$624&gt;L5)))"),0.0)</f>
        <v>0</v>
      </c>
      <c r="O5" s="106"/>
      <c r="P5" s="106" t="b">
        <f>IFERROR(__xludf.DUMMYFUNCTION("if(F5="""","""",let(wc_picked, countifs(E$1:E4,E5,G$1:G4,""This is your wild card pick""), let(spots_filled,counta(unique(filter(D$2:E5,E$2:E5=E5)))/2,let(total,VLOOKUP(E5,'Conf WC Eligibility'!A:C,3,0),if(E5=""zIndependent"", TRUE,total-wc_picked&gt;12)))))"),TRUE)</f>
        <v>1</v>
      </c>
      <c r="Q5" s="107">
        <f t="array" ref="Q5:AB5">XLOOKUP(F5,'Current Week'!C:C,'Current Week'!D:O)</f>
        <v>12</v>
      </c>
      <c r="R5" s="106">
        <v>0.0</v>
      </c>
      <c r="S5" s="106" t="s">
        <v>684</v>
      </c>
      <c r="T5" s="106" t="s">
        <v>61</v>
      </c>
      <c r="U5" s="106" t="s">
        <v>311</v>
      </c>
      <c r="V5" s="106"/>
      <c r="W5" s="106" t="s">
        <v>67</v>
      </c>
      <c r="X5" s="106">
        <v>-10.5</v>
      </c>
      <c r="Y5" s="106" t="s">
        <v>67</v>
      </c>
      <c r="Z5" s="106">
        <v>43.5</v>
      </c>
      <c r="AA5" s="106">
        <v>444.0</v>
      </c>
      <c r="AB5" s="106">
        <v>93.0</v>
      </c>
      <c r="AC5" s="108" t="b">
        <v>1</v>
      </c>
      <c r="AD5" s="109">
        <f t="shared" si="4"/>
        <v>0</v>
      </c>
      <c r="AE5" s="110">
        <f t="shared" si="5"/>
        <v>3</v>
      </c>
      <c r="AF5" s="110">
        <f>IFERROR(__xludf.DUMMYFUNCTION("iferror(COUNT(filter($Q6:$Q$400,$Q6:$Q$400&gt;$Q5)))"),0.0)</f>
        <v>0</v>
      </c>
      <c r="AG5" s="111">
        <f t="shared" si="6"/>
        <v>1</v>
      </c>
      <c r="AH5" s="112">
        <f t="shared" si="7"/>
        <v>8</v>
      </c>
      <c r="AI5" s="113" t="str">
        <f>IFERROR(__xludf.DUMMYFUNCTION("iferror(join("","",index(sort(filter($F6:$F$401,$Q6:$Q$401&gt;$Q5),2,false),0,1)))"),"")</f>
        <v/>
      </c>
      <c r="AJ5" s="114">
        <f>IFERROR(__xludf.DUMMYFUNCTION("iferror($Q5-max(filter($Q5:$Q$400,$E5:$E$400=$E$2)))"),0.0)</f>
        <v>0</v>
      </c>
      <c r="AK5" s="110">
        <f t="shared" si="8"/>
        <v>1</v>
      </c>
      <c r="AL5" s="110">
        <f>IFERROR(__xludf.DUMMYFUNCTION("iferror(COUNT(filter($Q6:$Q$400,$Q6:$Q$400&gt;$Q5,$E5:$E$400=$E$2)))"),0.0)</f>
        <v>0</v>
      </c>
      <c r="AM5" s="111">
        <f t="shared" si="9"/>
        <v>1</v>
      </c>
      <c r="AN5" s="110">
        <f>IFERROR(__xludf.DUMMYFUNCTION("iferror($Q5-min(filter($Q5:$Q$400,$E5:$E$400=$E$2)))"),10.0)</f>
        <v>10</v>
      </c>
      <c r="AO5" s="113" t="str">
        <f>IFERROR(__xludf.DUMMYFUNCTION("iferror(join("","",index(sort(filter($F6:$F$400,$Q6:$Q$400&gt;$Q5,$E6:$E$400=$E$2),2,false),0,1)))"),"")</f>
        <v/>
      </c>
      <c r="AP5" s="113" t="str">
        <f>IFERROR(__xludf.DUMMYFUNCTION("REGEXREPLACE(join("","",unique({let(conf_picked,filter(E$1:E4,D$1:D4=D5), byrow(unique(TRANSPOSe(Teams!$1:$1)),lambda(rw,if(ISERROR(match(rw,conf_picked,0)),rw,))));if(AW5,,transpose(split(AX5,"","",1,1)))})), ""^,"", """")"),"AAC,ACC,Big 12,Big Ten,CUSA,MAC,MWC,Pac12,SEC,Sun Belt,zIndependent,")</f>
        <v>AAC,ACC,Big 12,Big Ten,CUSA,MAC,MWC,Pac12,SEC,Sun Belt,zIndependent,</v>
      </c>
      <c r="AQ5" s="114">
        <f>IFERROR(__xludf.DUMMYFUNCTION("iferror($Q5-max(filter($Q5:$Q$400,arrayformula(isnumber(FIND($E5:$E$400,AP5))))))"),0.0)</f>
        <v>0</v>
      </c>
      <c r="AR5" s="110">
        <f t="array" ref="AR5">countifs($Q$2:$Q4,"&lt;"&amp;$Q5,isnumber(FIND($E$2:$E4,AP5)),TRUE)</f>
        <v>3</v>
      </c>
      <c r="AS5" s="110">
        <f>IFERROR(__xludf.DUMMYFUNCTION("iferror(COUNT(filter($Q6:$Q$400,$Q6:$Q$400&gt;$Q5,arrayformula(isnumber(FIND($E6:$E$400,AP5))))))"),0.0)</f>
        <v>0</v>
      </c>
      <c r="AT5" s="111">
        <f t="shared" si="10"/>
        <v>1</v>
      </c>
      <c r="AU5" s="110">
        <f>IFERROR(__xludf.DUMMYFUNCTION("iferror($Q5-min(filter($Q5:$Q$400,arrayformula(isnumber(FIND($E5:$E$400,AP5))))))"),12.0)</f>
        <v>12</v>
      </c>
      <c r="AV5" s="113" t="str">
        <f>IFERROR(__xludf.DUMMYFUNCTION("iferror(join("","",index(sort(filter($F6:$F$400,$Q6:$Q$400&gt;$Q5,arrayformula(isnumber(FIND($E6:$E$400,AP5)))),2,false),0,1)))"),"")</f>
        <v/>
      </c>
      <c r="AW5" s="113" t="b">
        <f>IFERROR(__xludf.DUMMYFUNCTION("isnumber(find(""wild card"",join("","",filter($G$1:$G4,$D$1:$D4=D5))))"),FALSE)</f>
        <v>0</v>
      </c>
      <c r="AX5" s="113" t="str">
        <f>IFERROR(__xludf.DUMMYFUNCTION("join("","",let(confs,unique(TRANSPOSe(Teams!$1:$1)), confs_count, BYROW(confs,lambda(conf,xlookup(conf,'Conf WC Eligibility'!A:A,'Conf WC Eligibility'!C:C,,))),confs_picked,byrow(confs,lambda(conf,countif(E$1:E4,conf))),p_needs_conf_count,byrow(confs,lamb"&amp;"da(conf,counta('Draft Order'!B$2:B622)-COUNTUNIQUE(filter(D$2:D4,E$2:E4=conf)))),query({confs,confs_count,confs_picked,p_needs_conf_count},""select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">
      <c r="A6" s="1">
        <v>5.0</v>
      </c>
      <c r="B6" s="1">
        <v>1.0</v>
      </c>
      <c r="C6" s="1">
        <v>5.0</v>
      </c>
      <c r="D6" s="115" t="s">
        <v>311</v>
      </c>
      <c r="E6" s="116" t="str">
        <f>if(F6&lt;&gt;"",VLOOKUP(F6,offset('Teams-Conference'!A:B,0,(counta('Draft Order'!B$2:B622)-10)*2),2,0),"")</f>
        <v>Big Ten</v>
      </c>
      <c r="F6" s="77" t="s">
        <v>192</v>
      </c>
      <c r="G6" s="106" t="str">
        <f t="shared" si="1"/>
        <v>Regular Pick</v>
      </c>
      <c r="H6" s="106">
        <f t="shared" si="11"/>
        <v>0</v>
      </c>
      <c r="I6" s="106">
        <f t="shared" si="12"/>
        <v>1</v>
      </c>
      <c r="J6" s="106"/>
      <c r="K6" s="106"/>
      <c r="L6" s="106">
        <v>11.0</v>
      </c>
      <c r="M6" s="106">
        <f>IFERROR(__xludf.DUMMYFUNCTION("counta(iferror(filter(L$2:L5,E$2:E5=E6,L$2:L5&lt;L6)))"),1.0)</f>
        <v>1</v>
      </c>
      <c r="N6" s="106">
        <f>IFERROR(__xludf.DUMMYFUNCTION("counta(iferror(filter(L7:L$121,E7:E$121=E6,L7:L$624&gt;L6)))"),0.0)</f>
        <v>0</v>
      </c>
      <c r="O6" s="106"/>
      <c r="P6" s="106" t="b">
        <f>IFERROR(__xludf.DUMMYFUNCTION("if(F6="""","""",let(wc_picked, countifs(E$1:E5,E6,G$1:G5,""This is your wild card pick""), let(spots_filled,counta(unique(filter(D$2:E6,E$2:E6=E6)))/2,let(total,VLOOKUP(E6,'Conf WC Eligibility'!A:C,3,0),if(E6=""zIndependent"", TRUE,total-wc_picked&gt;12)))))"),TRUE)</f>
        <v>1</v>
      </c>
      <c r="Q6" s="107">
        <f t="array" ref="Q6:AB6">XLOOKUP(F6,'Current Week'!C:C,'Current Week'!D:O)</f>
        <v>11</v>
      </c>
      <c r="R6" s="106">
        <v>1.0</v>
      </c>
      <c r="S6" s="106" t="s">
        <v>628</v>
      </c>
      <c r="T6" s="106" t="s">
        <v>61</v>
      </c>
      <c r="U6" s="106" t="s">
        <v>62</v>
      </c>
      <c r="V6" s="106"/>
      <c r="W6" s="106" t="s">
        <v>67</v>
      </c>
      <c r="X6" s="106">
        <v>-7.0</v>
      </c>
      <c r="Y6" s="106" t="s">
        <v>67</v>
      </c>
      <c r="Z6" s="106">
        <v>51.5</v>
      </c>
      <c r="AA6" s="106">
        <v>458.0</v>
      </c>
      <c r="AB6" s="106">
        <v>178.0</v>
      </c>
      <c r="AC6" s="108" t="b">
        <v>1</v>
      </c>
      <c r="AD6" s="109">
        <f t="shared" si="4"/>
        <v>-1</v>
      </c>
      <c r="AE6" s="110">
        <f t="shared" si="5"/>
        <v>3</v>
      </c>
      <c r="AF6" s="110">
        <f>IFERROR(__xludf.DUMMYFUNCTION("iferror(COUNT(filter($Q7:$Q$400,$Q7:$Q$400&gt;$Q6)))"),1.0)</f>
        <v>1</v>
      </c>
      <c r="AG6" s="111">
        <f t="shared" si="6"/>
        <v>0</v>
      </c>
      <c r="AH6" s="112">
        <f t="shared" si="7"/>
        <v>7</v>
      </c>
      <c r="AI6" s="113" t="str">
        <f>IFERROR(__xludf.DUMMYFUNCTION("iferror(join("","",index(sort(filter($F7:$F$401,$Q7:$Q$401&gt;$Q6),2,false),0,1)))"),"Indiana")</f>
        <v>Indiana</v>
      </c>
      <c r="AJ6" s="114">
        <f>IFERROR(__xludf.DUMMYFUNCTION("iferror($Q6-max(filter($Q6:$Q$400,$E6:$E$400=$E$2)))"),-1.0)</f>
        <v>-1</v>
      </c>
      <c r="AK6" s="110">
        <f t="shared" si="8"/>
        <v>1</v>
      </c>
      <c r="AL6" s="110">
        <f>IFERROR(__xludf.DUMMYFUNCTION("iferror(COUNT(filter($Q7:$Q$400,$Q7:$Q$400&gt;$Q6,$E6:$E$400=$E$2)))"),0.0)</f>
        <v>0</v>
      </c>
      <c r="AM6" s="111">
        <f t="shared" si="9"/>
        <v>0</v>
      </c>
      <c r="AN6" s="110">
        <f>IFERROR(__xludf.DUMMYFUNCTION("iferror($Q6-min(filter($Q6:$Q$400,$E6:$E$400=$E$2)))"),9.0)</f>
        <v>9</v>
      </c>
      <c r="AO6" s="113" t="str">
        <f>IFERROR(__xludf.DUMMYFUNCTION("iferror(join("","",index(sort(filter($F7:$F$400,$Q7:$Q$400&gt;$Q6,$E7:$E$400=$E$2),2,false),0,1)))"),"Indiana")</f>
        <v>Indiana</v>
      </c>
      <c r="AP6" s="113" t="str">
        <f>IFERROR(__xludf.DUMMYFUNCTION("REGEXREPLACE(join("","",unique({let(conf_picked,filter(E$1:E5,D$1:D5=D6), byrow(unique(TRANSPOSe(Teams!$1:$1)),lambda(rw,if(ISERROR(match(rw,conf_picked,0)),rw,))));if(AW6,,transpose(split(AX6,"","",1,1)))})), ""^,"", """")"),"AAC,ACC,Big 12,Big Ten,CUSA,MAC,MWC,Pac12,SEC,Sun Belt,zIndependent,")</f>
        <v>AAC,ACC,Big 12,Big Ten,CUSA,MAC,MWC,Pac12,SEC,Sun Belt,zIndependent,</v>
      </c>
      <c r="AQ6" s="114">
        <f>IFERROR(__xludf.DUMMYFUNCTION("iferror($Q6-max(filter($Q6:$Q$400,arrayformula(isnumber(FIND($E6:$E$400,AP6))))))"),-1.0)</f>
        <v>-1</v>
      </c>
      <c r="AR6" s="110">
        <f t="array" ref="AR6">countifs($Q$2:$Q5,"&lt;"&amp;$Q6,isnumber(FIND($E$2:$E5,AP6)),TRUE)</f>
        <v>3</v>
      </c>
      <c r="AS6" s="110">
        <f>IFERROR(__xludf.DUMMYFUNCTION("iferror(COUNT(filter($Q7:$Q$400,$Q7:$Q$400&gt;$Q6,arrayformula(isnumber(FIND($E7:$E$400,AP6))))))"),1.0)</f>
        <v>1</v>
      </c>
      <c r="AT6" s="111">
        <f t="shared" si="10"/>
        <v>0</v>
      </c>
      <c r="AU6" s="110">
        <f>IFERROR(__xludf.DUMMYFUNCTION("iferror($Q6-min(filter($Q6:$Q$400,arrayformula(isnumber(FIND($E6:$E$400,AP6))))))"),11.0)</f>
        <v>11</v>
      </c>
      <c r="AV6" s="113" t="str">
        <f>IFERROR(__xludf.DUMMYFUNCTION("iferror(join("","",index(sort(filter($F7:$F$400,$Q7:$Q$400&gt;$Q6,arrayformula(isnumber(FIND($E7:$E$400,AP6)))),2,false),0,1)))"),"Indiana")</f>
        <v>Indiana</v>
      </c>
      <c r="AW6" s="113" t="b">
        <f>IFERROR(__xludf.DUMMYFUNCTION("isnumber(find(""wild card"",join("","",filter($G$1:$G5,$D$1:$D5=D6))))"),FALSE)</f>
        <v>0</v>
      </c>
      <c r="AX6" s="113" t="str">
        <f>IFERROR(__xludf.DUMMYFUNCTION("join("","",let(confs,unique(TRANSPOSe(Teams!$1:$1)), confs_count, BYROW(confs,lambda(conf,xlookup(conf,'Conf WC Eligibility'!A:A,'Conf WC Eligibility'!C:C,,))),confs_picked,byrow(confs,lambda(conf,countif(E$1:E5,conf))),p_needs_conf_count,byrow(confs,lamb"&amp;"da(conf,counta('Draft Order'!B$2:B622)-COUNTUNIQUE(filter(D$2:D5,E$2:E5=conf)))),query({confs,confs_count,confs_picked,p_needs_conf_count},""select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">
      <c r="A7" s="1">
        <v>6.0</v>
      </c>
      <c r="B7" s="1">
        <v>1.0</v>
      </c>
      <c r="C7" s="1">
        <v>6.0</v>
      </c>
      <c r="D7" s="115" t="s">
        <v>224</v>
      </c>
      <c r="E7" s="116" t="str">
        <f>if(F7&lt;&gt;"",VLOOKUP(F7,offset('Teams-Conference'!A:B,0,(counta('Draft Order'!B$2:B622)-10)*2),2,0),"")</f>
        <v>MWC</v>
      </c>
      <c r="F7" s="117" t="s">
        <v>185</v>
      </c>
      <c r="G7" s="106" t="str">
        <f t="shared" si="1"/>
        <v>Regular Pick</v>
      </c>
      <c r="H7" s="106">
        <f t="shared" si="11"/>
        <v>0</v>
      </c>
      <c r="I7" s="106">
        <f t="shared" si="12"/>
        <v>1</v>
      </c>
      <c r="J7" s="106"/>
      <c r="K7" s="106"/>
      <c r="L7" s="106">
        <v>10.0</v>
      </c>
      <c r="M7" s="106">
        <f>IFERROR(__xludf.DUMMYFUNCTION("counta(iferror(filter(L$2:L6,E$2:E6=E7,L$2:L6&lt;L7)))"),1.0)</f>
        <v>1</v>
      </c>
      <c r="N7" s="106">
        <f>IFERROR(__xludf.DUMMYFUNCTION("counta(iferror(filter(L8:L$121,E8:E$121=E7,L8:L$624&gt;L7)))"),0.0)</f>
        <v>0</v>
      </c>
      <c r="O7" s="106"/>
      <c r="P7" s="106" t="b">
        <f>IFERROR(__xludf.DUMMYFUNCTION("if(F7="""","""",let(wc_picked, countifs(E$1:E6,E7,G$1:G6,""This is your wild card pick""), let(spots_filled,counta(unique(filter(D$2:E7,E$2:E7=E7)))/2,let(total,VLOOKUP(E7,'Conf WC Eligibility'!A:C,3,0),if(E7=""zIndependent"", TRUE,total-wc_picked&gt;12)))))"),FALSE)</f>
        <v>0</v>
      </c>
      <c r="Q7" s="107">
        <f t="array" ref="Q7:AB7">XLOOKUP(F7,'Current Week'!C:C,'Current Week'!D:O)</f>
        <v>10</v>
      </c>
      <c r="R7" s="106">
        <v>2.0</v>
      </c>
      <c r="S7" s="106" t="s">
        <v>705</v>
      </c>
      <c r="T7" s="106" t="s">
        <v>61</v>
      </c>
      <c r="U7" s="106" t="s">
        <v>156</v>
      </c>
      <c r="V7" s="106"/>
      <c r="W7" s="106" t="s">
        <v>67</v>
      </c>
      <c r="X7" s="106">
        <v>-7.5</v>
      </c>
      <c r="Y7" s="106" t="s">
        <v>67</v>
      </c>
      <c r="Z7" s="106">
        <v>53.5</v>
      </c>
      <c r="AA7" s="106">
        <v>446.0</v>
      </c>
      <c r="AB7" s="106">
        <v>337.0</v>
      </c>
      <c r="AC7" s="108" t="b">
        <v>1</v>
      </c>
      <c r="AD7" s="109">
        <f t="shared" si="4"/>
        <v>-2</v>
      </c>
      <c r="AE7" s="110">
        <f t="shared" si="5"/>
        <v>3</v>
      </c>
      <c r="AF7" s="110">
        <f>IFERROR(__xludf.DUMMYFUNCTION("iferror(COUNT(filter($Q8:$Q$400,$Q8:$Q$400&gt;$Q7)))"),8.0)</f>
        <v>8</v>
      </c>
      <c r="AG7" s="111">
        <f t="shared" si="6"/>
        <v>0</v>
      </c>
      <c r="AH7" s="112">
        <f t="shared" si="7"/>
        <v>6</v>
      </c>
      <c r="AI7" s="113" t="str">
        <f>IFERROR(__xludf.DUMMYFUNCTION("iferror(join("","",index(sort(filter($F8:$F$401,$Q8:$Q$401&gt;$Q7),2,false),0,1)))"),"James Madison,Georgia,Texas Tech,Indiana,Ole Miss,North Texas,BYU,Texas A&amp;M")</f>
        <v>James Madison,Georgia,Texas Tech,Indiana,Ole Miss,North Texas,BYU,Texas A&amp;M</v>
      </c>
      <c r="AJ7" s="114">
        <f>IFERROR(__xludf.DUMMYFUNCTION("iferror($Q7-max(filter($Q7:$Q$400,$E7:$E$400=$E$2)))"),-2.0)</f>
        <v>-2</v>
      </c>
      <c r="AK7" s="110">
        <f t="shared" si="8"/>
        <v>1</v>
      </c>
      <c r="AL7" s="110">
        <f>IFERROR(__xludf.DUMMYFUNCTION("iferror(COUNT(filter($Q8:$Q$400,$Q8:$Q$400&gt;$Q7,$E7:$E$400=$E$2)))"),0.0)</f>
        <v>0</v>
      </c>
      <c r="AM7" s="111">
        <f t="shared" si="9"/>
        <v>0</v>
      </c>
      <c r="AN7" s="110">
        <f>IFERROR(__xludf.DUMMYFUNCTION("iferror($Q7-min(filter($Q7:$Q$400,$E7:$E$400=$E$2)))"),8.0)</f>
        <v>8</v>
      </c>
      <c r="AO7" s="113" t="str">
        <f>IFERROR(__xludf.DUMMYFUNCTION("iferror(join("","",index(sort(filter($F8:$F$400,$Q8:$Q$400&gt;$Q7,$E8:$E$400=$E$2),2,false),0,1)))"),"Indiana")</f>
        <v>Indiana</v>
      </c>
      <c r="AP7" s="113" t="str">
        <f>IFERROR(__xludf.DUMMYFUNCTION("REGEXREPLACE(join("","",unique({let(conf_picked,filter(E$1:E6,D$1:D6=D7), byrow(unique(TRANSPOSe(Teams!$1:$1)),lambda(rw,if(ISERROR(match(rw,conf_picked,0)),rw,))));if(AW7,,transpose(split(AX7,"","",1,1)))})), ""^,"", """")"),"AAC,ACC,Big 12,Big Ten,CUSA,MAC,MWC,Pac12,SEC,Sun Belt,zIndependent,")</f>
        <v>AAC,ACC,Big 12,Big Ten,CUSA,MAC,MWC,Pac12,SEC,Sun Belt,zIndependent,</v>
      </c>
      <c r="AQ7" s="114">
        <f>IFERROR(__xludf.DUMMYFUNCTION("iferror($Q7-max(filter($Q7:$Q$400,arrayformula(isnumber(FIND($E7:$E$400,AP7))))))"),-2.0)</f>
        <v>-2</v>
      </c>
      <c r="AR7" s="110">
        <f t="array" ref="AR7">countifs($Q$2:$Q6,"&lt;"&amp;$Q7,isnumber(FIND($E$2:$E6,AP7)),TRUE)</f>
        <v>3</v>
      </c>
      <c r="AS7" s="110">
        <f>IFERROR(__xludf.DUMMYFUNCTION("iferror(COUNT(filter($Q8:$Q$400,$Q8:$Q$400&gt;$Q7,arrayformula(isnumber(FIND($E8:$E$400,AP7))))))"),8.0)</f>
        <v>8</v>
      </c>
      <c r="AT7" s="111">
        <f t="shared" si="10"/>
        <v>0</v>
      </c>
      <c r="AU7" s="110">
        <f>IFERROR(__xludf.DUMMYFUNCTION("iferror($Q7-min(filter($Q7:$Q$400,arrayformula(isnumber(FIND($E7:$E$400,AP7))))))"),10.0)</f>
        <v>10</v>
      </c>
      <c r="AV7" s="113" t="str">
        <f>IFERROR(__xludf.DUMMYFUNCTION("iferror(join("","",index(sort(filter($F8:$F$400,$Q8:$Q$400&gt;$Q7,arrayformula(isnumber(FIND($E8:$E$400,AP7)))),2,false),0,1)))"),"James Madison,Georgia,Texas Tech,Indiana,Ole Miss,North Texas,BYU,Texas A&amp;M")</f>
        <v>James Madison,Georgia,Texas Tech,Indiana,Ole Miss,North Texas,BYU,Texas A&amp;M</v>
      </c>
      <c r="AW7" s="113" t="b">
        <f>IFERROR(__xludf.DUMMYFUNCTION("isnumber(find(""wild card"",join("","",filter($G$1:$G6,$D$1:$D6=D7))))"),FALSE)</f>
        <v>0</v>
      </c>
      <c r="AX7" s="113" t="str">
        <f>IFERROR(__xludf.DUMMYFUNCTION("join("","",let(confs,unique(TRANSPOSe(Teams!$1:$1)), confs_count, BYROW(confs,lambda(conf,xlookup(conf,'Conf WC Eligibility'!A:A,'Conf WC Eligibility'!C:C,,))),confs_picked,byrow(confs,lambda(conf,countif(E$1:E6,conf))),p_needs_conf_count,byrow(confs,lamb"&amp;"da(conf,counta('Draft Order'!B$2:B622)-COUNTUNIQUE(filter(D$2:D6,E$2:E6=conf)))),query({confs,confs_count,confs_picked,p_needs_conf_count},""select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">
      <c r="A8" s="1">
        <v>7.0</v>
      </c>
      <c r="B8" s="1">
        <v>1.0</v>
      </c>
      <c r="C8" s="1">
        <v>7.0</v>
      </c>
      <c r="D8" s="115" t="s">
        <v>96</v>
      </c>
      <c r="E8" s="116" t="str">
        <f>if(F8&lt;&gt;"",VLOOKUP(F8,offset('Teams-Conference'!A:B,0,(counta('Draft Order'!B$2:B622)-10)*2),2,0),"")</f>
        <v>zIndependent</v>
      </c>
      <c r="F8" s="77" t="s">
        <v>229</v>
      </c>
      <c r="G8" s="106" t="str">
        <f t="shared" si="1"/>
        <v>This is your wild card pick</v>
      </c>
      <c r="H8" s="106">
        <f t="shared" si="11"/>
        <v>0</v>
      </c>
      <c r="I8" s="106">
        <f t="shared" si="12"/>
        <v>0</v>
      </c>
      <c r="J8" s="106"/>
      <c r="K8" s="106"/>
      <c r="L8" s="106">
        <v>10.0</v>
      </c>
      <c r="M8" s="106">
        <f>IFERROR(__xludf.DUMMYFUNCTION("counta(iferror(filter(L$2:L7,E$2:E7=E8,L$2:L7&lt;L8)))"),0.0)</f>
        <v>0</v>
      </c>
      <c r="N8" s="106">
        <f>IFERROR(__xludf.DUMMYFUNCTION("counta(iferror(filter(L9:L$121,E9:E$121=E8,L9:L$624&gt;L8)))"),0.0)</f>
        <v>0</v>
      </c>
      <c r="O8" s="106"/>
      <c r="P8" s="106" t="b">
        <f>IFERROR(__xludf.DUMMYFUNCTION("if(F8="""","""",let(wc_picked, countifs(E$1:E7,E8,G$1:G7,""This is your wild card pick""), let(spots_filled,counta(unique(filter(D$2:E8,E$2:E8=E8)))/2,let(total,VLOOKUP(E8,'Conf WC Eligibility'!A:C,3,0),if(E8=""zIndependent"", TRUE,total-wc_picked&gt;12)))))"),TRUE)</f>
        <v>1</v>
      </c>
      <c r="Q8" s="107">
        <f t="array" ref="Q8:AB8">XLOOKUP(F8,'Current Week'!C:C,'Current Week'!D:O)</f>
        <v>10</v>
      </c>
      <c r="R8" s="106">
        <v>2.0</v>
      </c>
      <c r="S8" s="106" t="s">
        <v>723</v>
      </c>
      <c r="T8" s="106" t="s">
        <v>61</v>
      </c>
      <c r="U8" s="106" t="s">
        <v>493</v>
      </c>
      <c r="V8" s="106"/>
      <c r="W8" s="106" t="s">
        <v>67</v>
      </c>
      <c r="X8" s="106">
        <v>-31.5</v>
      </c>
      <c r="Y8" s="106" t="s">
        <v>67</v>
      </c>
      <c r="Z8" s="106">
        <v>49.5</v>
      </c>
      <c r="AA8" s="106">
        <v>504.0</v>
      </c>
      <c r="AB8" s="106">
        <v>211.0</v>
      </c>
      <c r="AC8" s="108" t="b">
        <v>1</v>
      </c>
      <c r="AD8" s="109">
        <f t="shared" si="4"/>
        <v>-2</v>
      </c>
      <c r="AE8" s="110">
        <f t="shared" si="5"/>
        <v>3</v>
      </c>
      <c r="AF8" s="110">
        <f>IFERROR(__xludf.DUMMYFUNCTION("iferror(COUNT(filter($Q9:$Q$400,$Q9:$Q$400&gt;$Q8)))"),8.0)</f>
        <v>8</v>
      </c>
      <c r="AG8" s="111">
        <f t="shared" si="6"/>
        <v>0</v>
      </c>
      <c r="AH8" s="112">
        <f t="shared" si="7"/>
        <v>6</v>
      </c>
      <c r="AI8" s="113" t="str">
        <f>IFERROR(__xludf.DUMMYFUNCTION("iferror(join("","",index(sort(filter($F9:$F$401,$Q9:$Q$401&gt;$Q8),2,false),0,1)))"),"James Madison,Georgia,Texas Tech,Indiana,Ole Miss,North Texas,BYU,Texas A&amp;M")</f>
        <v>James Madison,Georgia,Texas Tech,Indiana,Ole Miss,North Texas,BYU,Texas A&amp;M</v>
      </c>
      <c r="AJ8" s="114">
        <f>IFERROR(__xludf.DUMMYFUNCTION("iferror($Q8-max(filter($Q8:$Q$400,$E8:$E$400=$E$2)))"),-2.0)</f>
        <v>-2</v>
      </c>
      <c r="AK8" s="110">
        <f t="shared" si="8"/>
        <v>1</v>
      </c>
      <c r="AL8" s="110">
        <f>IFERROR(__xludf.DUMMYFUNCTION("iferror(COUNT(filter($Q9:$Q$400,$Q9:$Q$400&gt;$Q8,$E8:$E$400=$E$2)))"),0.0)</f>
        <v>0</v>
      </c>
      <c r="AM8" s="111">
        <f t="shared" si="9"/>
        <v>0</v>
      </c>
      <c r="AN8" s="110">
        <f>IFERROR(__xludf.DUMMYFUNCTION("iferror($Q8-min(filter($Q8:$Q$400,$E8:$E$400=$E$2)))"),8.0)</f>
        <v>8</v>
      </c>
      <c r="AO8" s="113" t="str">
        <f>IFERROR(__xludf.DUMMYFUNCTION("iferror(join("","",index(sort(filter($F9:$F$400,$Q9:$Q$400&gt;$Q8,$E9:$E$400=$E$2),2,false),0,1)))"),"Indiana")</f>
        <v>Indiana</v>
      </c>
      <c r="AP8" s="113" t="str">
        <f>IFERROR(__xludf.DUMMYFUNCTION("REGEXREPLACE(join("","",unique({let(conf_picked,filter(E$1:E7,D$1:D7=D8), byrow(unique(TRANSPOSe(Teams!$1:$1)),lambda(rw,if(ISERROR(match(rw,conf_picked,0)),rw,))));if(AW8,,transpose(split(AX8,"","",1,1)))})), ""^,"", """")"),"AAC,ACC,Big 12,Big Ten,CUSA,MAC,MWC,Pac12,SEC,Sun Belt,zIndependent,")</f>
        <v>AAC,ACC,Big 12,Big Ten,CUSA,MAC,MWC,Pac12,SEC,Sun Belt,zIndependent,</v>
      </c>
      <c r="AQ8" s="114">
        <f>IFERROR(__xludf.DUMMYFUNCTION("iferror($Q8-max(filter($Q8:$Q$400,arrayformula(isnumber(FIND($E8:$E$400,AP8))))))"),-2.0)</f>
        <v>-2</v>
      </c>
      <c r="AR8" s="110">
        <f t="array" ref="AR8">countifs($Q$2:$Q7,"&lt;"&amp;$Q8,isnumber(FIND($E$2:$E7,AP8)),TRUE)</f>
        <v>3</v>
      </c>
      <c r="AS8" s="110">
        <f>IFERROR(__xludf.DUMMYFUNCTION("iferror(COUNT(filter($Q9:$Q$400,$Q9:$Q$400&gt;$Q8,arrayformula(isnumber(FIND($E9:$E$400,AP8))))))"),8.0)</f>
        <v>8</v>
      </c>
      <c r="AT8" s="111">
        <f t="shared" si="10"/>
        <v>0</v>
      </c>
      <c r="AU8" s="110">
        <f>IFERROR(__xludf.DUMMYFUNCTION("iferror($Q8-min(filter($Q8:$Q$400,arrayformula(isnumber(FIND($E8:$E$400,AP8))))))"),10.0)</f>
        <v>10</v>
      </c>
      <c r="AV8" s="113" t="str">
        <f>IFERROR(__xludf.DUMMYFUNCTION("iferror(join("","",index(sort(filter($F9:$F$400,$Q9:$Q$400&gt;$Q8,arrayformula(isnumber(FIND($E9:$E$400,AP8)))),2,false),0,1)))"),"James Madison,Georgia,Texas Tech,Indiana,Ole Miss,North Texas,BYU,Texas A&amp;M")</f>
        <v>James Madison,Georgia,Texas Tech,Indiana,Ole Miss,North Texas,BYU,Texas A&amp;M</v>
      </c>
      <c r="AW8" s="113" t="b">
        <f>IFERROR(__xludf.DUMMYFUNCTION("isnumber(find(""wild card"",join("","",filter($G$1:$G7,$D$1:$D7=D8))))"),FALSE)</f>
        <v>0</v>
      </c>
      <c r="AX8" s="113" t="str">
        <f>IFERROR(__xludf.DUMMYFUNCTION("join("","",let(confs,unique(TRANSPOSe(Teams!$1:$1)), confs_count, BYROW(confs,lambda(conf,xlookup(conf,'Conf WC Eligibility'!A:A,'Conf WC Eligibility'!C:C,,))),confs_picked,byrow(confs,lambda(conf,countif(E$1:E7,conf))),p_needs_conf_count,byrow(confs,lamb"&amp;"da(conf,counta('Draft Order'!B$2:B622)-COUNTUNIQUE(filter(D$2:D7,E$2:E7=conf)))),query({confs,confs_count,confs_picked,p_needs_conf_count},""select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" ht="18.0" customHeight="1">
      <c r="A9" s="1">
        <v>8.0</v>
      </c>
      <c r="B9" s="1">
        <v>1.0</v>
      </c>
      <c r="C9" s="1">
        <v>8.0</v>
      </c>
      <c r="D9" s="115" t="s">
        <v>238</v>
      </c>
      <c r="E9" s="116" t="str">
        <f>if(F9&lt;&gt;"",VLOOKUP(F9,offset('Teams-Conference'!A:B,0,(counta('Draft Order'!B$2:B622)-10)*2),2,0),"")</f>
        <v>AAC</v>
      </c>
      <c r="F9" s="77" t="s">
        <v>102</v>
      </c>
      <c r="G9" s="106" t="str">
        <f t="shared" si="1"/>
        <v>Regular Pick</v>
      </c>
      <c r="H9" s="106">
        <f t="shared" si="11"/>
        <v>1</v>
      </c>
      <c r="I9" s="106">
        <f t="shared" si="12"/>
        <v>2</v>
      </c>
      <c r="J9" s="106"/>
      <c r="K9" s="106"/>
      <c r="L9" s="106">
        <v>8.0</v>
      </c>
      <c r="M9" s="106">
        <f>IFERROR(__xludf.DUMMYFUNCTION("counta(iferror(filter(L$2:L8,E$2:E8=E9,L$2:L8&lt;L9)))"),0.0)</f>
        <v>0</v>
      </c>
      <c r="N9" s="106">
        <f>IFERROR(__xludf.DUMMYFUNCTION("counta(iferror(filter(L10:L$121,E10:E$121=E9,L10:L$624&gt;L9)))"),0.0)</f>
        <v>0</v>
      </c>
      <c r="O9" s="106"/>
      <c r="P9" s="106" t="b">
        <f>IFERROR(__xludf.DUMMYFUNCTION("if(F9="""","""",let(wc_picked, countifs(E$1:E8,E9,G$1:G8,""This is your wild card pick""), let(spots_filled,counta(unique(filter(D$2:E9,E$2:E9=E9)))/2,let(total,VLOOKUP(E9,'Conf WC Eligibility'!A:C,3,0),if(E9=""zIndependent"", TRUE,total-wc_picked&gt;12)))))"),TRUE)</f>
        <v>1</v>
      </c>
      <c r="Q9" s="107">
        <f t="array" ref="Q9:AB9">XLOOKUP(F9,'Current Week'!C:C,'Current Week'!D:O)</f>
        <v>8</v>
      </c>
      <c r="R9" s="106">
        <v>4.0</v>
      </c>
      <c r="S9" s="106" t="s">
        <v>717</v>
      </c>
      <c r="T9" s="106" t="s">
        <v>61</v>
      </c>
      <c r="U9" s="106" t="s">
        <v>224</v>
      </c>
      <c r="V9" s="106"/>
      <c r="W9" s="106" t="s">
        <v>67</v>
      </c>
      <c r="X9" s="106">
        <v>-3.5</v>
      </c>
      <c r="Y9" s="106" t="s">
        <v>67</v>
      </c>
      <c r="Z9" s="106">
        <v>57.5</v>
      </c>
      <c r="AA9" s="106">
        <v>415.0</v>
      </c>
      <c r="AB9" s="106">
        <v>270.0</v>
      </c>
      <c r="AC9" s="108" t="b">
        <v>1</v>
      </c>
      <c r="AD9" s="109">
        <f t="shared" si="4"/>
        <v>-4</v>
      </c>
      <c r="AE9" s="110">
        <f t="shared" si="5"/>
        <v>2</v>
      </c>
      <c r="AF9" s="110">
        <f>IFERROR(__xludf.DUMMYFUNCTION("iferror(COUNT(filter($Q10:$Q$400,$Q10:$Q$400&gt;$Q9)))"),28.0)</f>
        <v>28</v>
      </c>
      <c r="AG9" s="111">
        <f t="shared" si="6"/>
        <v>0</v>
      </c>
      <c r="AH9" s="112">
        <f t="shared" si="7"/>
        <v>4</v>
      </c>
      <c r="AI9" s="113" t="str">
        <f>IFERROR(__xludf.DUMMYFUNCTION("iferror(join("","",index(sort(filter($F10:$F$401,$Q10:$Q$401&gt;$Q9),2,false),0,1)))"),"James Madison,Tulane,Texas,Miami,Georgia,Navy,Michigan,Alabama,Utah,Texas Tech,USC,Indiana,Ole Miss,North Texas,South Florida,BYU,Texas A&amp;M,Georgia Tech,Oklahoma,Old Dominion,UConn,Houston,San Diego State,Virginia,Vanderbilt,New Mexico,Kennesaw State,Ariz"&amp;"ona")</f>
        <v>James Madison,Tulane,Texas,Miami,Georgia,Navy,Michigan,Alabama,Utah,Texas Tech,USC,Indiana,Ole Miss,North Texas,South Florida,BYU,Texas A&amp;M,Georgia Tech,Oklahoma,Old Dominion,UConn,Houston,San Diego State,Virginia,Vanderbilt,New Mexico,Kennesaw State,Arizona</v>
      </c>
      <c r="AJ9" s="114">
        <f>IFERROR(__xludf.DUMMYFUNCTION("iferror($Q9-max(filter($Q9:$Q$400,$E9:$E$400=$E$2)))"),-4.0)</f>
        <v>-4</v>
      </c>
      <c r="AK9" s="110">
        <f t="shared" si="8"/>
        <v>1</v>
      </c>
      <c r="AL9" s="110">
        <f>IFERROR(__xludf.DUMMYFUNCTION("iferror(COUNT(filter($Q10:$Q$400,$Q10:$Q$400&gt;$Q9,$E9:$E$400=$E$2)))"),0.0)</f>
        <v>0</v>
      </c>
      <c r="AM9" s="111">
        <f t="shared" si="9"/>
        <v>0</v>
      </c>
      <c r="AN9" s="110">
        <f>IFERROR(__xludf.DUMMYFUNCTION("iferror($Q9-min(filter($Q9:$Q$400,$E9:$E$400=$E$2)))"),6.0)</f>
        <v>6</v>
      </c>
      <c r="AO9" s="113" t="str">
        <f>IFERROR(__xludf.DUMMYFUNCTION("iferror(join("","",index(sort(filter($F10:$F$400,$Q10:$Q$400&gt;$Q9,$E10:$E$400=$E$2),2,false),0,1)))"),"Michigan,USC,Indiana")</f>
        <v>Michigan,USC,Indiana</v>
      </c>
      <c r="AP9" s="113" t="str">
        <f>IFERROR(__xludf.DUMMYFUNCTION("REGEXREPLACE(join("","",unique({let(conf_picked,filter(E$1:E8,D$1:D8=D9), byrow(unique(TRANSPOSe(Teams!$1:$1)),lambda(rw,if(ISERROR(match(rw,conf_picked,0)),rw,))));if(AW9,,transpose(split(AX9,"","",1,1)))})), ""^,"", """")"),"AAC,ACC,Big 12,Big Ten,CUSA,MAC,MWC,Pac12,SEC,Sun Belt,zIndependent,")</f>
        <v>AAC,ACC,Big 12,Big Ten,CUSA,MAC,MWC,Pac12,SEC,Sun Belt,zIndependent,</v>
      </c>
      <c r="AQ9" s="114">
        <f>IFERROR(__xludf.DUMMYFUNCTION("iferror($Q9-max(filter($Q9:$Q$400,arrayformula(isnumber(FIND($E9:$E$400,AP9))))))"),-4.0)</f>
        <v>-4</v>
      </c>
      <c r="AR9" s="110">
        <f t="array" ref="AR9">countifs($Q$2:$Q8,"&lt;"&amp;$Q9,isnumber(FIND($E$2:$E8,AP9)),TRUE)</f>
        <v>2</v>
      </c>
      <c r="AS9" s="110">
        <f>IFERROR(__xludf.DUMMYFUNCTION("iferror(COUNT(filter($Q10:$Q$400,$Q10:$Q$400&gt;$Q9,arrayformula(isnumber(FIND($E10:$E$400,AP9))))))"),28.0)</f>
        <v>28</v>
      </c>
      <c r="AT9" s="111">
        <f t="shared" si="10"/>
        <v>0</v>
      </c>
      <c r="AU9" s="110">
        <f>IFERROR(__xludf.DUMMYFUNCTION("iferror($Q9-min(filter($Q9:$Q$400,arrayformula(isnumber(FIND($E9:$E$400,AP9))))))"),8.0)</f>
        <v>8</v>
      </c>
      <c r="AV9" s="113" t="str">
        <f>IFERROR(__xludf.DUMMYFUNCTION("iferror(join("","",index(sort(filter($F10:$F$400,$Q10:$Q$400&gt;$Q9,arrayformula(isnumber(FIND($E10:$E$400,AP9)))),2,false),0,1)))"),"James Madison,Tulane,Texas,Miami,Georgia,Navy,Michigan,Alabama,Utah,Texas Tech,USC,Indiana,Ole Miss,North Texas,South Florida,BYU,Texas A&amp;M,Georgia Tech,Oklahoma,Old Dominion,UConn,Houston,San Diego State,Virginia,Vanderbilt,New Mexico,Kennesaw State,Ariz"&amp;"ona")</f>
        <v>James Madison,Tulane,Texas,Miami,Georgia,Navy,Michigan,Alabama,Utah,Texas Tech,USC,Indiana,Ole Miss,North Texas,South Florida,BYU,Texas A&amp;M,Georgia Tech,Oklahoma,Old Dominion,UConn,Houston,San Diego State,Virginia,Vanderbilt,New Mexico,Kennesaw State,Arizona</v>
      </c>
      <c r="AW9" s="113" t="b">
        <f>IFERROR(__xludf.DUMMYFUNCTION("isnumber(find(""wild card"",join("","",filter($G$1:$G8,$D$1:$D8=D9))))"),FALSE)</f>
        <v>0</v>
      </c>
      <c r="AX9" s="113" t="str">
        <f>IFERROR(__xludf.DUMMYFUNCTION("join("","",let(confs,unique(TRANSPOSe(Teams!$1:$1)), confs_count, BYROW(confs,lambda(conf,xlookup(conf,'Conf WC Eligibility'!A:A,'Conf WC Eligibility'!C:C,,))),confs_picked,byrow(confs,lambda(conf,countif(E$1:E8,conf))),p_needs_conf_count,byrow(confs,lamb"&amp;"da(conf,counta('Draft Order'!B$2:B622)-COUNTUNIQUE(filter(D$2:D8,E$2:E8=conf)))),query({confs,confs_count,confs_picked,p_needs_conf_count},""select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" ht="18.0" customHeight="1">
      <c r="A10" s="1">
        <v>9.0</v>
      </c>
      <c r="B10" s="1">
        <v>1.0</v>
      </c>
      <c r="C10" s="1">
        <v>9.0</v>
      </c>
      <c r="D10" s="115" t="s">
        <v>156</v>
      </c>
      <c r="E10" s="116" t="str">
        <f>if(F10&lt;&gt;"",VLOOKUP(F10,offset('Teams-Conference'!A:B,0,(counta('Draft Order'!B$2:B622)-10)*2),2,0),"")</f>
        <v>MAC</v>
      </c>
      <c r="F10" s="77" t="s">
        <v>174</v>
      </c>
      <c r="G10" s="106" t="str">
        <f t="shared" si="1"/>
        <v>Regular Pick</v>
      </c>
      <c r="H10" s="106">
        <f t="shared" si="11"/>
        <v>1</v>
      </c>
      <c r="I10" s="106">
        <f t="shared" si="12"/>
        <v>1</v>
      </c>
      <c r="J10" s="106"/>
      <c r="K10" s="106"/>
      <c r="L10" s="106">
        <v>8.0</v>
      </c>
      <c r="M10" s="106">
        <f>IFERROR(__xludf.DUMMYFUNCTION("counta(iferror(filter(L$2:L10,E$2:E10=E10,L$2:L10&lt;L10)))"),0.0)</f>
        <v>0</v>
      </c>
      <c r="N10" s="106">
        <f>IFERROR(__xludf.DUMMYFUNCTION("counta(iferror(filter(L11:L$121,E11:E$121=E10,L11:L$624&gt;L10)))"),0.0)</f>
        <v>0</v>
      </c>
      <c r="O10" s="106"/>
      <c r="P10" s="106" t="b">
        <f>IFERROR(__xludf.DUMMYFUNCTION("if(F10="""","""",let(wc_picked, countifs(E$1:E9,E10,G$1:G9,""This is your wild card pick""), let(spots_filled,counta(unique(filter(D$2:E10,E$2:E10=E10)))/2,let(total,VLOOKUP(E10,'Conf WC Eligibility'!A:C,3,0),if(E10=""zIndependent"", TRUE,total-wc_picked&gt;"&amp;"12)))))"),TRUE)</f>
        <v>1</v>
      </c>
      <c r="Q10" s="107">
        <f t="array" ref="Q10:AB10">XLOOKUP(F10,'Current Week'!C:C,'Current Week'!D:O)</f>
        <v>8</v>
      </c>
      <c r="R10" s="106">
        <v>4.0</v>
      </c>
      <c r="S10" s="106" t="s">
        <v>755</v>
      </c>
      <c r="T10" s="106" t="s">
        <v>61</v>
      </c>
      <c r="U10" s="106" t="s">
        <v>132</v>
      </c>
      <c r="V10" s="106"/>
      <c r="W10" s="106" t="s">
        <v>67</v>
      </c>
      <c r="X10" s="106">
        <v>-11.5</v>
      </c>
      <c r="Y10" s="106" t="s">
        <v>67</v>
      </c>
      <c r="Z10" s="106">
        <v>44.5</v>
      </c>
      <c r="AA10" s="106">
        <v>379.0</v>
      </c>
      <c r="AB10" s="106">
        <v>146.0</v>
      </c>
      <c r="AC10" s="108" t="b">
        <v>1</v>
      </c>
      <c r="AD10" s="109">
        <f t="shared" si="4"/>
        <v>-4</v>
      </c>
      <c r="AE10" s="110">
        <f t="shared" si="5"/>
        <v>2</v>
      </c>
      <c r="AF10" s="110">
        <f>IFERROR(__xludf.DUMMYFUNCTION("iferror(COUNT(filter($Q11:$Q$400,$Q11:$Q$400&gt;$Q10)))"),28.0)</f>
        <v>28</v>
      </c>
      <c r="AG10" s="111">
        <f t="shared" si="6"/>
        <v>0</v>
      </c>
      <c r="AH10" s="112">
        <f t="shared" si="7"/>
        <v>4</v>
      </c>
      <c r="AI10" s="113" t="str">
        <f>IFERROR(__xludf.DUMMYFUNCTION("iferror(join("","",index(sort(filter($F11:$F$401,$Q11:$Q$401&gt;$Q10),2,false),0,1)))"),"James Madison,Tulane,Texas,Miami,Georgia,Navy,Michigan,Alabama,Utah,Texas Tech,USC,Indiana,Ole Miss,North Texas,South Florida,BYU,Texas A&amp;M,Georgia Tech,Oklahoma,Old Dominion,UConn,Houston,San Diego State,Virginia,Vanderbilt,New Mexico,Kennesaw State,Ariz"&amp;"ona")</f>
        <v>James Madison,Tulane,Texas,Miami,Georgia,Navy,Michigan,Alabama,Utah,Texas Tech,USC,Indiana,Ole Miss,North Texas,South Florida,BYU,Texas A&amp;M,Georgia Tech,Oklahoma,Old Dominion,UConn,Houston,San Diego State,Virginia,Vanderbilt,New Mexico,Kennesaw State,Arizona</v>
      </c>
      <c r="AJ10" s="114">
        <f>IFERROR(__xludf.DUMMYFUNCTION("iferror($Q10-max(filter($Q10:$Q$400,$E10:$E$400=$E$2)))"),-4.0)</f>
        <v>-4</v>
      </c>
      <c r="AK10" s="110">
        <f t="shared" si="8"/>
        <v>1</v>
      </c>
      <c r="AL10" s="110">
        <f>IFERROR(__xludf.DUMMYFUNCTION("iferror(COUNT(filter($Q11:$Q$400,$Q11:$Q$400&gt;$Q10,$E10:$E$400=$E$2)))"),0.0)</f>
        <v>0</v>
      </c>
      <c r="AM10" s="111">
        <f t="shared" si="9"/>
        <v>0</v>
      </c>
      <c r="AN10" s="110">
        <f>IFERROR(__xludf.DUMMYFUNCTION("iferror($Q10-min(filter($Q10:$Q$400,$E10:$E$400=$E$2)))"),6.0)</f>
        <v>6</v>
      </c>
      <c r="AO10" s="113" t="str">
        <f>IFERROR(__xludf.DUMMYFUNCTION("iferror(join("","",index(sort(filter($F11:$F$400,$Q11:$Q$400&gt;$Q10,$E11:$E$400=$E$2),2,false),0,1)))"),"Michigan,USC,Indiana")</f>
        <v>Michigan,USC,Indiana</v>
      </c>
      <c r="AP10" s="113" t="str">
        <f>IFERROR(__xludf.DUMMYFUNCTION("REGEXREPLACE(join("","",unique({let(conf_picked,filter(E$1:E9,D$1:D9=D10), byrow(unique(TRANSPOSe(Teams!$1:$1)),lambda(rw,if(ISERROR(match(rw,conf_picked,0)),rw,))));if(AW10,,transpose(split(AX10,"","",1,1)))})), ""^,"", """")"),"AAC,ACC,Big 12,Big Ten,CUSA,MAC,MWC,Pac12,SEC,Sun Belt,zIndependent,")</f>
        <v>AAC,ACC,Big 12,Big Ten,CUSA,MAC,MWC,Pac12,SEC,Sun Belt,zIndependent,</v>
      </c>
      <c r="AQ10" s="114">
        <f>IFERROR(__xludf.DUMMYFUNCTION("iferror($Q10-max(filter($Q10:$Q$400,arrayformula(isnumber(FIND($E10:$E$400,AP10))))))"),-4.0)</f>
        <v>-4</v>
      </c>
      <c r="AR10" s="110">
        <f t="array" ref="AR10">countifs($Q$2:$Q9,"&lt;"&amp;$Q10,isnumber(FIND($E$2:$E9,AP10)),TRUE)</f>
        <v>2</v>
      </c>
      <c r="AS10" s="110">
        <f>IFERROR(__xludf.DUMMYFUNCTION("iferror(COUNT(filter($Q11:$Q$400,$Q11:$Q$400&gt;$Q10,arrayformula(isnumber(FIND($E11:$E$400,AP10))))))"),28.0)</f>
        <v>28</v>
      </c>
      <c r="AT10" s="111">
        <f t="shared" si="10"/>
        <v>0</v>
      </c>
      <c r="AU10" s="110">
        <f>IFERROR(__xludf.DUMMYFUNCTION("iferror($Q10-min(filter($Q10:$Q$400,arrayformula(isnumber(FIND($E10:$E$400,AP10))))))"),8.0)</f>
        <v>8</v>
      </c>
      <c r="AV10" s="113" t="str">
        <f>IFERROR(__xludf.DUMMYFUNCTION("iferror(join("","",index(sort(filter($F11:$F$400,$Q11:$Q$400&gt;$Q10,arrayformula(isnumber(FIND($E11:$E$400,AP10)))),2,false),0,1)))"),"James Madison,Tulane,Texas,Miami,Georgia,Navy,Michigan,Alabama,Utah,Texas Tech,USC,Indiana,Ole Miss,North Texas,South Florida,BYU,Texas A&amp;M,Georgia Tech,Oklahoma,Old Dominion,UConn,Houston,San Diego State,Virginia,Vanderbilt,New Mexico,Kennesaw State,Ariz"&amp;"ona")</f>
        <v>James Madison,Tulane,Texas,Miami,Georgia,Navy,Michigan,Alabama,Utah,Texas Tech,USC,Indiana,Ole Miss,North Texas,South Florida,BYU,Texas A&amp;M,Georgia Tech,Oklahoma,Old Dominion,UConn,Houston,San Diego State,Virginia,Vanderbilt,New Mexico,Kennesaw State,Arizona</v>
      </c>
      <c r="AW10" s="113" t="b">
        <f>IFERROR(__xludf.DUMMYFUNCTION("isnumber(find(""wild card"",join("","",filter($G$1:$G9,$D$1:$D9=D10))))"),FALSE)</f>
        <v>0</v>
      </c>
      <c r="AX10" s="113" t="str">
        <f>IFERROR(__xludf.DUMMYFUNCTION("join("","",let(confs,unique(TRANSPOSe(Teams!$1:$1)), confs_count, BYROW(confs,lambda(conf,xlookup(conf,'Conf WC Eligibility'!A:A,'Conf WC Eligibility'!C:C,,))),confs_picked,byrow(confs,lambda(conf,countif(E$1:E9,conf))),p_needs_conf_count,byrow(confs,lamb"&amp;"da(conf,counta('Draft Order'!B$2:B622)-COUNTUNIQUE(filter(D$2:D9,E$2:E9=conf)))),query({confs,confs_count,confs_picked,p_needs_conf_count},""select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">
      <c r="A11" s="1">
        <v>10.0</v>
      </c>
      <c r="B11" s="1">
        <v>1.0</v>
      </c>
      <c r="C11" s="1">
        <v>10.0</v>
      </c>
      <c r="D11" s="115" t="s">
        <v>249</v>
      </c>
      <c r="E11" s="116" t="str">
        <f>if(F11&lt;&gt;"",VLOOKUP(F11,offset('Teams-Conference'!A:B,0,(counta('Draft Order'!B$2:B622)-10)*2),2,0),"")</f>
        <v>ACC</v>
      </c>
      <c r="F11" s="77" t="s">
        <v>111</v>
      </c>
      <c r="G11" s="106" t="str">
        <f t="shared" si="1"/>
        <v>Regular Pick</v>
      </c>
      <c r="H11" s="106">
        <f t="shared" si="11"/>
        <v>1</v>
      </c>
      <c r="I11" s="106">
        <f t="shared" si="12"/>
        <v>2</v>
      </c>
      <c r="J11" s="106"/>
      <c r="K11" s="106"/>
      <c r="L11" s="106">
        <v>7.0</v>
      </c>
      <c r="M11" s="106">
        <f>IFERROR(__xludf.DUMMYFUNCTION("counta(iferror(filter(L$2:L10,E$2:E10=E11,L$2:L10&lt;L11)))"),0.0)</f>
        <v>0</v>
      </c>
      <c r="N11" s="106">
        <f>IFERROR(__xludf.DUMMYFUNCTION("counta(iferror(filter(L12:L$121,E12:E$121=E11,L12:L$624&gt;L11)))"),0.0)</f>
        <v>0</v>
      </c>
      <c r="O11" s="106"/>
      <c r="P11" s="106" t="b">
        <f>IFERROR(__xludf.DUMMYFUNCTION("if(F11="""","""",let(wc_picked, countifs(E$1:E10,E11,G$1:G10,""This is your wild card pick""), let(spots_filled,counta(unique(filter(D$2:E11,E$2:E11=E11)))/2,let(total,VLOOKUP(E11,'Conf WC Eligibility'!A:C,3,0),if(E11=""zIndependent"", TRUE,total-wc_picke"&amp;"d&gt;12)))))"),TRUE)</f>
        <v>1</v>
      </c>
      <c r="Q11" s="107">
        <f t="array" ref="Q11:AB11">XLOOKUP(F11,'Current Week'!C:C,'Current Week'!D:O)</f>
        <v>7</v>
      </c>
      <c r="R11" s="106">
        <v>5.0</v>
      </c>
      <c r="S11" s="106" t="s">
        <v>765</v>
      </c>
      <c r="T11" s="106" t="s">
        <v>61</v>
      </c>
      <c r="U11" s="106" t="s">
        <v>132</v>
      </c>
      <c r="V11" s="106"/>
      <c r="W11" s="106" t="s">
        <v>67</v>
      </c>
      <c r="X11" s="106">
        <v>3.0</v>
      </c>
      <c r="Y11" s="106" t="s">
        <v>67</v>
      </c>
      <c r="Z11" s="106">
        <v>46.5</v>
      </c>
      <c r="AA11" s="106">
        <v>344.0</v>
      </c>
      <c r="AB11" s="106">
        <v>245.0</v>
      </c>
      <c r="AC11" s="108" t="b">
        <v>1</v>
      </c>
      <c r="AD11" s="109">
        <f t="shared" si="4"/>
        <v>-5</v>
      </c>
      <c r="AE11" s="110">
        <f t="shared" si="5"/>
        <v>2</v>
      </c>
      <c r="AF11" s="110">
        <f>IFERROR(__xludf.DUMMYFUNCTION("iferror(COUNT(filter($Q12:$Q$400,$Q12:$Q$400&gt;$Q11)))"),47.0)</f>
        <v>47</v>
      </c>
      <c r="AG11" s="111">
        <f t="shared" si="6"/>
        <v>0</v>
      </c>
      <c r="AH11" s="112">
        <f t="shared" si="7"/>
        <v>3</v>
      </c>
      <c r="AI11" s="113" t="str">
        <f>IFERROR(__xludf.DUMMYFUNCTION("iferror(join("","",index(sort(filter($F12:$F$401,$Q12:$Q$401&gt;$Q11),2,false),0,1)))"),"James Madison,Tulane,Texas,Western Kentucky,Miami,Georgia,Navy,Michigan,SMU,Alabama,Utah,Arizona State,Texas Tech,USC,Illinois,Indiana,Louisville,Fresno State,Ole Miss,North Texas,South Florida,BYU,Tennessee,East Carolina,Washington,Texas A&amp;M,Jacksonville"&amp;" State,Georgia Tech,Western Michigan,Iowa,Missouri,Hawaii,Iowa State,Oklahoma,TCU,Old Dominion,Troy,UConn,Houston,San Diego State,Virginia,Pittsburgh,Vanderbilt,New Mexico,Kennesaw State,Wake Forest,Arizona")</f>
        <v>James Madison,Tulane,Texas,Western Kentucky,Miami,Georgia,Navy,Michigan,SMU,Alabama,Utah,Arizona State,Texas Tech,USC,Illinois,Indiana,Louisville,Fresno State,Ole Miss,North Texas,South Florida,BYU,Tennessee,East Carolina,Washington,Texas A&amp;M,Jacksonville State,Georgia Tech,Western Michigan,Iowa,Missouri,Hawaii,Iowa State,Oklahoma,TCU,Old Dominion,Troy,UConn,Houston,San Diego State,Virginia,Pittsburgh,Vanderbilt,New Mexico,Kennesaw State,Wake Forest,Arizona</v>
      </c>
      <c r="AJ11" s="114">
        <f>IFERROR(__xludf.DUMMYFUNCTION("iferror($Q11-max(filter($Q11:$Q$400,$E11:$E$400=$E$2)))"),-5.0)</f>
        <v>-5</v>
      </c>
      <c r="AK11" s="110">
        <f t="shared" si="8"/>
        <v>1</v>
      </c>
      <c r="AL11" s="110">
        <f>IFERROR(__xludf.DUMMYFUNCTION("iferror(COUNT(filter($Q12:$Q$400,$Q12:$Q$400&gt;$Q11,$E11:$E$400=$E$2)))"),0.0)</f>
        <v>0</v>
      </c>
      <c r="AM11" s="111">
        <f t="shared" si="9"/>
        <v>0</v>
      </c>
      <c r="AN11" s="110">
        <f>IFERROR(__xludf.DUMMYFUNCTION("iferror($Q11-min(filter($Q11:$Q$400,$E11:$E$400=$E$2)))"),5.0)</f>
        <v>5</v>
      </c>
      <c r="AO11" s="113" t="str">
        <f>IFERROR(__xludf.DUMMYFUNCTION("iferror(join("","",index(sort(filter($F12:$F$400,$Q12:$Q$400&gt;$Q11,$E12:$E$400=$E$2),2,false),0,1)))"),"Michigan,USC,Illinois,Indiana,Washington,Iowa")</f>
        <v>Michigan,USC,Illinois,Indiana,Washington,Iowa</v>
      </c>
      <c r="AP11" s="113" t="str">
        <f>IFERROR(__xludf.DUMMYFUNCTION("REGEXREPLACE(join("","",unique({let(conf_picked,filter(E$1:E10,D$1:D10=D11), byrow(unique(TRANSPOSe(Teams!$1:$1)),lambda(rw,if(ISERROR(match(rw,conf_picked,0)),rw,))));if(AW11,,transpose(split(AX11,"","",1,1)))})), ""^,"", """")"),"AAC,ACC,Big 12,Big Ten,CUSA,MAC,MWC,Pac12,SEC,Sun Belt,zIndependent,")</f>
        <v>AAC,ACC,Big 12,Big Ten,CUSA,MAC,MWC,Pac12,SEC,Sun Belt,zIndependent,</v>
      </c>
      <c r="AQ11" s="114">
        <f>IFERROR(__xludf.DUMMYFUNCTION("iferror($Q11-max(filter($Q11:$Q$400,arrayformula(isnumber(FIND($E11:$E$400,AP11))))))"),-5.0)</f>
        <v>-5</v>
      </c>
      <c r="AR11" s="110">
        <f t="array" ref="AR11">countifs($Q$2:$Q10,"&lt;"&amp;$Q11,isnumber(FIND($E$2:$E10,AP11)),TRUE)</f>
        <v>2</v>
      </c>
      <c r="AS11" s="110">
        <f>IFERROR(__xludf.DUMMYFUNCTION("iferror(COUNT(filter($Q12:$Q$400,$Q12:$Q$400&gt;$Q11,arrayformula(isnumber(FIND($E12:$E$400,AP11))))))"),47.0)</f>
        <v>47</v>
      </c>
      <c r="AT11" s="111">
        <f t="shared" si="10"/>
        <v>0</v>
      </c>
      <c r="AU11" s="110">
        <f>IFERROR(__xludf.DUMMYFUNCTION("iferror($Q11-min(filter($Q11:$Q$400,arrayformula(isnumber(FIND($E11:$E$400,AP11))))))"),7.0)</f>
        <v>7</v>
      </c>
      <c r="AV11" s="113" t="str">
        <f>IFERROR(__xludf.DUMMYFUNCTION("iferror(join("","",index(sort(filter($F12:$F$400,$Q12:$Q$400&gt;$Q11,arrayformula(isnumber(FIND($E12:$E$400,AP11)))),2,false),0,1)))"),"James Madison,Tulane,Texas,Western Kentucky,Miami,Georgia,Navy,Michigan,SMU,Alabama,Utah,Arizona State,Texas Tech,USC,Illinois,Indiana,Louisville,Fresno State,Ole Miss,North Texas,South Florida,BYU,Tennessee,East Carolina,Washington,Texas A&amp;M,Jacksonville"&amp;" State,Georgia Tech,Western Michigan,Iowa,Missouri,Hawaii,Iowa State,Oklahoma,TCU,Old Dominion,Troy,UConn,Houston,San Diego State,Virginia,Pittsburgh,Vanderbilt,New Mexico,Kennesaw State,Wake Forest,Arizona")</f>
        <v>James Madison,Tulane,Texas,Western Kentucky,Miami,Georgia,Navy,Michigan,SMU,Alabama,Utah,Arizona State,Texas Tech,USC,Illinois,Indiana,Louisville,Fresno State,Ole Miss,North Texas,South Florida,BYU,Tennessee,East Carolina,Washington,Texas A&amp;M,Jacksonville State,Georgia Tech,Western Michigan,Iowa,Missouri,Hawaii,Iowa State,Oklahoma,TCU,Old Dominion,Troy,UConn,Houston,San Diego State,Virginia,Pittsburgh,Vanderbilt,New Mexico,Kennesaw State,Wake Forest,Arizona</v>
      </c>
      <c r="AW11" s="113" t="b">
        <f>IFERROR(__xludf.DUMMYFUNCTION("isnumber(find(""wild card"",join("","",filter($G$1:$G10,$D$1:$D10=D11))))"),FALSE)</f>
        <v>0</v>
      </c>
      <c r="AX11" s="113" t="str">
        <f>IFERROR(__xludf.DUMMYFUNCTION("join("","",let(confs,unique(TRANSPOSe(Teams!$1:$1)), confs_count, BYROW(confs,lambda(conf,xlookup(conf,'Conf WC Eligibility'!A:A,'Conf WC Eligibility'!C:C,,))),confs_picked,byrow(confs,lambda(conf,countif(E$1:E10,conf))),p_needs_conf_count,byrow(confs,lam"&amp;"bda(conf,counta('Draft Order'!B$2:B622)-COUNTUNIQUE(filter(D$2:D10,E$2:E10=conf)))),query({confs,confs_count,confs_picked,p_needs_conf_count},""select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" ht="18.0" customHeight="1">
      <c r="A12" s="1">
        <v>11.0</v>
      </c>
      <c r="B12" s="1">
        <v>1.0</v>
      </c>
      <c r="C12" s="1">
        <v>11.0</v>
      </c>
      <c r="D12" s="115" t="s">
        <v>395</v>
      </c>
      <c r="E12" s="116" t="str">
        <f>if(F12&lt;&gt;"",VLOOKUP(F12,offset('Teams-Conference'!A:B,0,(counta('Draft Order'!B$2:B622)-10)*2),2,0),"")</f>
        <v>Sun Belt</v>
      </c>
      <c r="F12" s="77" t="s">
        <v>231</v>
      </c>
      <c r="G12" s="106" t="str">
        <f t="shared" si="1"/>
        <v>Regular Pick</v>
      </c>
      <c r="H12" s="106">
        <f t="shared" si="11"/>
        <v>0</v>
      </c>
      <c r="I12" s="106">
        <f t="shared" si="12"/>
        <v>2</v>
      </c>
      <c r="J12" s="106">
        <f t="shared" ref="J12:J13" si="13">countif(E2:E11,E12)</f>
        <v>0</v>
      </c>
      <c r="K12" s="106"/>
      <c r="L12" s="106">
        <v>11.0</v>
      </c>
      <c r="M12" s="106">
        <f>IFERROR(__xludf.DUMMYFUNCTION("counta(iferror(filter(L$2:L11,E$2:E11=E12,L$2:L11&lt;L12)))"),0.0)</f>
        <v>0</v>
      </c>
      <c r="N12" s="106">
        <f>IFERROR(__xludf.DUMMYFUNCTION("counta(iferror(filter(L13:L$121,E13:E$121=E12,L13:L$624&gt;L12)))"),0.0)</f>
        <v>0</v>
      </c>
      <c r="O12" s="106"/>
      <c r="P12" s="106" t="b">
        <f>IFERROR(__xludf.DUMMYFUNCTION("if(F12="""","""",let(wc_picked, countifs(E$1:E11,E12,G$1:G11,""This is your wild card pick""), let(spots_filled,counta(unique(filter(D$2:E12,E$2:E12=E12)))/2,let(total,VLOOKUP(E12,'Conf WC Eligibility'!A:C,3,0),if(E12=""zIndependent"", TRUE,total-wc_picke"&amp;"d&gt;12)))))"),TRUE)</f>
        <v>1</v>
      </c>
      <c r="Q12" s="107">
        <f t="array" ref="Q12:AB12">XLOOKUP(F12,'Current Week'!C:C,'Current Week'!D:O)</f>
        <v>11</v>
      </c>
      <c r="R12" s="106">
        <v>1.0</v>
      </c>
      <c r="S12" s="106" t="s">
        <v>748</v>
      </c>
      <c r="T12" s="106" t="s">
        <v>61</v>
      </c>
      <c r="U12" s="106" t="s">
        <v>156</v>
      </c>
      <c r="V12" s="106"/>
      <c r="W12" s="106" t="s">
        <v>67</v>
      </c>
      <c r="X12" s="106">
        <v>-21.5</v>
      </c>
      <c r="Y12" s="106" t="s">
        <v>67</v>
      </c>
      <c r="Z12" s="106">
        <v>53.5</v>
      </c>
      <c r="AA12" s="106">
        <v>454.0</v>
      </c>
      <c r="AB12" s="106">
        <v>192.0</v>
      </c>
      <c r="AC12" s="108" t="b">
        <v>1</v>
      </c>
      <c r="AD12" s="109">
        <f t="shared" si="4"/>
        <v>-1</v>
      </c>
      <c r="AE12" s="110">
        <f t="shared" si="5"/>
        <v>8</v>
      </c>
      <c r="AF12" s="110">
        <f>IFERROR(__xludf.DUMMYFUNCTION("iferror(COUNT(filter($Q13:$Q$400,$Q13:$Q$400&gt;$Q12)))"),1.0)</f>
        <v>1</v>
      </c>
      <c r="AG12" s="111">
        <f t="shared" si="6"/>
        <v>0</v>
      </c>
      <c r="AH12" s="112">
        <f t="shared" si="7"/>
        <v>7</v>
      </c>
      <c r="AI12" s="113" t="str">
        <f>IFERROR(__xludf.DUMMYFUNCTION("iferror(join("","",index(sort(filter($F13:$F$401,$Q13:$Q$401&gt;$Q12),2,false),0,1)))"),"Indiana")</f>
        <v>Indiana</v>
      </c>
      <c r="AJ12" s="114">
        <f>IFERROR(__xludf.DUMMYFUNCTION("iferror($Q12-max(filter($Q12:$Q$400,$E12:$E$400=$E$2)))"),-1.0)</f>
        <v>-1</v>
      </c>
      <c r="AK12" s="110">
        <f t="shared" si="8"/>
        <v>1</v>
      </c>
      <c r="AL12" s="110">
        <f>IFERROR(__xludf.DUMMYFUNCTION("iferror(COUNT(filter($Q13:$Q$400,$Q13:$Q$400&gt;$Q12,$E12:$E$400=$E$2)))"),0.0)</f>
        <v>0</v>
      </c>
      <c r="AM12" s="111">
        <f t="shared" si="9"/>
        <v>0</v>
      </c>
      <c r="AN12" s="110">
        <f>IFERROR(__xludf.DUMMYFUNCTION("iferror($Q12-min(filter($Q12:$Q$400,$E12:$E$400=$E$2)))"),9.0)</f>
        <v>9</v>
      </c>
      <c r="AO12" s="113" t="str">
        <f>IFERROR(__xludf.DUMMYFUNCTION("iferror(join("","",index(sort(filter($F13:$F$400,$Q13:$Q$400&gt;$Q12,$E13:$E$400=$E$2),2,false),0,1)))"),"Indiana")</f>
        <v>Indiana</v>
      </c>
      <c r="AP12" s="113" t="str">
        <f>IFERROR(__xludf.DUMMYFUNCTION("REGEXREPLACE(join("","",unique({let(conf_picked,filter(E$1:E11,D$1:D11=D12), byrow(unique(TRANSPOSe(Teams!$1:$1)),lambda(rw,if(ISERROR(match(rw,conf_picked,0)),rw,))));if(AW12,,transpose(split(AX12,"","",1,1)))})), ""^,"", """")"),"AAC,ACC,Big 12,Big Ten,CUSA,MAC,MWC,Pac12,SEC,Sun Belt,zIndependent,")</f>
        <v>AAC,ACC,Big 12,Big Ten,CUSA,MAC,MWC,Pac12,SEC,Sun Belt,zIndependent,</v>
      </c>
      <c r="AQ12" s="114">
        <f>IFERROR(__xludf.DUMMYFUNCTION("iferror($Q12-max(filter($Q12:$Q$400,arrayformula(isnumber(FIND($E12:$E$400,AP12))))))"),-1.0)</f>
        <v>-1</v>
      </c>
      <c r="AR12" s="110">
        <f t="array" ref="AR12">countifs($Q$2:$Q11,"&lt;"&amp;$Q12,isnumber(FIND($E$2:$E11,AP12)),TRUE)</f>
        <v>8</v>
      </c>
      <c r="AS12" s="110">
        <f>IFERROR(__xludf.DUMMYFUNCTION("iferror(COUNT(filter($Q13:$Q$400,$Q13:$Q$400&gt;$Q12,arrayformula(isnumber(FIND($E13:$E$400,AP12))))))"),1.0)</f>
        <v>1</v>
      </c>
      <c r="AT12" s="111">
        <f t="shared" si="10"/>
        <v>0</v>
      </c>
      <c r="AU12" s="110">
        <f>IFERROR(__xludf.DUMMYFUNCTION("iferror($Q12-min(filter($Q12:$Q$400,arrayformula(isnumber(FIND($E12:$E$400,AP12))))))"),11.0)</f>
        <v>11</v>
      </c>
      <c r="AV12" s="113" t="str">
        <f>IFERROR(__xludf.DUMMYFUNCTION("iferror(join("","",index(sort(filter($F13:$F$400,$Q13:$Q$400&gt;$Q12,arrayformula(isnumber(FIND($E13:$E$400,AP12)))),2,false),0,1)))"),"Indiana")</f>
        <v>Indiana</v>
      </c>
      <c r="AW12" s="113" t="b">
        <f>IFERROR(__xludf.DUMMYFUNCTION("isnumber(find(""wild card"",join("","",filter($G$1:$G11,$D$1:$D11=D12))))"),FALSE)</f>
        <v>0</v>
      </c>
      <c r="AX12" s="113" t="str">
        <f>IFERROR(__xludf.DUMMYFUNCTION("join("","",let(confs,unique(TRANSPOSe(Teams!$1:$1)), confs_count, BYROW(confs,lambda(conf,xlookup(conf,'Conf WC Eligibility'!A:A,'Conf WC Eligibility'!C:C,,))),confs_picked,byrow(confs,lambda(conf,countif(E$1:E11,conf))),p_needs_conf_count,byrow(confs,lam"&amp;"bda(conf,counta('Draft Order'!B$2:B622)-COUNTUNIQUE(filter(D$2:D11,E$2:E11=conf)))),query({confs,confs_count,confs_picked,p_needs_conf_count},""select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">
      <c r="A13" s="1">
        <v>12.0</v>
      </c>
      <c r="B13" s="1">
        <v>1.0</v>
      </c>
      <c r="C13" s="1">
        <v>12.0</v>
      </c>
      <c r="D13" s="115" t="s">
        <v>132</v>
      </c>
      <c r="E13" s="116" t="str">
        <f>if(F13&lt;&gt;"",VLOOKUP(F13,offset('Teams-Conference'!A:B,0,(counta('Draft Order'!B$2:B622)-10)*2),2,0),"")</f>
        <v>AAC</v>
      </c>
      <c r="F13" s="77" t="s">
        <v>107</v>
      </c>
      <c r="G13" s="106" t="str">
        <f t="shared" si="1"/>
        <v>Regular Pick</v>
      </c>
      <c r="H13" s="106">
        <f t="shared" si="11"/>
        <v>1</v>
      </c>
      <c r="I13" s="106">
        <f t="shared" si="12"/>
        <v>2</v>
      </c>
      <c r="J13" s="106">
        <f t="shared" si="13"/>
        <v>1</v>
      </c>
      <c r="K13" s="106"/>
      <c r="L13" s="106">
        <v>10.0</v>
      </c>
      <c r="M13" s="106">
        <f>IFERROR(__xludf.DUMMYFUNCTION("counta(iferror(filter(L$2:L12,E$2:E12=E13,L$2:L12&lt;L13)))"),1.0)</f>
        <v>1</v>
      </c>
      <c r="N13" s="106">
        <f>IFERROR(__xludf.DUMMYFUNCTION("counta(iferror(filter(L14:L$121,E14:E$121=E13,L14:L$624&gt;L13)))"),0.0)</f>
        <v>0</v>
      </c>
      <c r="O13" s="106"/>
      <c r="P13" s="106" t="b">
        <f>IFERROR(__xludf.DUMMYFUNCTION("if(F13="""","""",let(wc_picked, countifs(E$1:E12,E13,G$1:G12,""This is your wild card pick""), let(spots_filled,counta(unique(filter(D$2:E13,E$2:E13=E13)))/2,let(total,VLOOKUP(E13,'Conf WC Eligibility'!A:C,3,0),if(E13=""zIndependent"", TRUE,total-wc_picke"&amp;"d&gt;12)))))"),TRUE)</f>
        <v>1</v>
      </c>
      <c r="Q13" s="107">
        <f t="array" ref="Q13:AB13">XLOOKUP(F13,'Current Week'!C:C,'Current Week'!D:O)</f>
        <v>10</v>
      </c>
      <c r="R13" s="106">
        <v>2.0</v>
      </c>
      <c r="S13" s="106" t="s">
        <v>760</v>
      </c>
      <c r="T13" s="106" t="s">
        <v>61</v>
      </c>
      <c r="U13" s="106" t="s">
        <v>249</v>
      </c>
      <c r="V13" s="106"/>
      <c r="W13" s="106" t="s">
        <v>67</v>
      </c>
      <c r="X13" s="106">
        <v>-30.5</v>
      </c>
      <c r="Y13" s="106" t="s">
        <v>67</v>
      </c>
      <c r="Z13" s="106">
        <v>52.5</v>
      </c>
      <c r="AA13" s="106">
        <v>344.0</v>
      </c>
      <c r="AB13" s="106">
        <v>273.0</v>
      </c>
      <c r="AC13" s="108" t="b">
        <v>1</v>
      </c>
      <c r="AD13" s="109">
        <f t="shared" si="4"/>
        <v>-2</v>
      </c>
      <c r="AE13" s="110">
        <f t="shared" si="5"/>
        <v>6</v>
      </c>
      <c r="AF13" s="110">
        <f>IFERROR(__xludf.DUMMYFUNCTION("iferror(COUNT(filter($Q14:$Q$400,$Q14:$Q$400&gt;$Q13)))"),7.0)</f>
        <v>7</v>
      </c>
      <c r="AG13" s="111">
        <f t="shared" si="6"/>
        <v>0</v>
      </c>
      <c r="AH13" s="112">
        <f t="shared" si="7"/>
        <v>6</v>
      </c>
      <c r="AI13" s="113" t="str">
        <f>IFERROR(__xludf.DUMMYFUNCTION("iferror(join("","",index(sort(filter($F14:$F$401,$Q14:$Q$401&gt;$Q13),2,false),0,1)))"),"Georgia,Texas Tech,Indiana,Ole Miss,North Texas,BYU,Texas A&amp;M")</f>
        <v>Georgia,Texas Tech,Indiana,Ole Miss,North Texas,BYU,Texas A&amp;M</v>
      </c>
      <c r="AJ13" s="114">
        <f>IFERROR(__xludf.DUMMYFUNCTION("iferror($Q13-max(filter($Q13:$Q$400,$E13:$E$400=$E$2)))"),-2.0)</f>
        <v>-2</v>
      </c>
      <c r="AK13" s="110">
        <f t="shared" si="8"/>
        <v>1</v>
      </c>
      <c r="AL13" s="110">
        <f>IFERROR(__xludf.DUMMYFUNCTION("iferror(COUNT(filter($Q14:$Q$400,$Q14:$Q$400&gt;$Q13,$E13:$E$400=$E$2)))"),0.0)</f>
        <v>0</v>
      </c>
      <c r="AM13" s="111">
        <f t="shared" si="9"/>
        <v>0</v>
      </c>
      <c r="AN13" s="110">
        <f>IFERROR(__xludf.DUMMYFUNCTION("iferror($Q13-min(filter($Q13:$Q$400,$E13:$E$400=$E$2)))"),8.0)</f>
        <v>8</v>
      </c>
      <c r="AO13" s="113" t="str">
        <f>IFERROR(__xludf.DUMMYFUNCTION("iferror(join("","",index(sort(filter($F14:$F$400,$Q14:$Q$400&gt;$Q13,$E14:$E$400=$E$2),2,false),0,1)))"),"Indiana")</f>
        <v>Indiana</v>
      </c>
      <c r="AP13" s="113" t="str">
        <f>IFERROR(__xludf.DUMMYFUNCTION("REGEXREPLACE(join("","",unique({let(conf_picked,filter(E$1:E12,D$1:D12=D13), byrow(unique(TRANSPOSe(Teams!$1:$1)),lambda(rw,if(ISERROR(match(rw,conf_picked,0)),rw,))));if(AW13,,transpose(split(AX13,"","",1,1)))})), ""^,"", """")"),"AAC,ACC,Big 12,Big Ten,CUSA,MAC,MWC,Pac12,SEC,Sun Belt,zIndependent,")</f>
        <v>AAC,ACC,Big 12,Big Ten,CUSA,MAC,MWC,Pac12,SEC,Sun Belt,zIndependent,</v>
      </c>
      <c r="AQ13" s="114">
        <f>IFERROR(__xludf.DUMMYFUNCTION("iferror($Q13-max(filter($Q13:$Q$400,arrayformula(isnumber(FIND($E13:$E$400,AP13))))))"),-2.0)</f>
        <v>-2</v>
      </c>
      <c r="AR13" s="110">
        <f t="array" ref="AR13">countifs($Q$2:$Q12,"&lt;"&amp;$Q13,isnumber(FIND($E$2:$E12,AP13)),TRUE)</f>
        <v>6</v>
      </c>
      <c r="AS13" s="110">
        <f>IFERROR(__xludf.DUMMYFUNCTION("iferror(COUNT(filter($Q14:$Q$400,$Q14:$Q$400&gt;$Q13,arrayformula(isnumber(FIND($E14:$E$400,AP13))))))"),7.0)</f>
        <v>7</v>
      </c>
      <c r="AT13" s="111">
        <f t="shared" si="10"/>
        <v>0</v>
      </c>
      <c r="AU13" s="110">
        <f>IFERROR(__xludf.DUMMYFUNCTION("iferror($Q13-min(filter($Q13:$Q$400,arrayformula(isnumber(FIND($E13:$E$400,AP13))))))"),10.0)</f>
        <v>10</v>
      </c>
      <c r="AV13" s="113" t="str">
        <f>IFERROR(__xludf.DUMMYFUNCTION("iferror(join("","",index(sort(filter($F14:$F$400,$Q14:$Q$400&gt;$Q13,arrayformula(isnumber(FIND($E14:$E$400,AP13)))),2,false),0,1)))"),"Georgia,Texas Tech,Indiana,Ole Miss,North Texas,BYU,Texas A&amp;M")</f>
        <v>Georgia,Texas Tech,Indiana,Ole Miss,North Texas,BYU,Texas A&amp;M</v>
      </c>
      <c r="AW13" s="113" t="b">
        <f>IFERROR(__xludf.DUMMYFUNCTION("isnumber(find(""wild card"",join("","",filter($G$1:$G12,$D$1:$D12=D13))))"),FALSE)</f>
        <v>0</v>
      </c>
      <c r="AX13" s="113" t="str">
        <f>IFERROR(__xludf.DUMMYFUNCTION("join("","",let(confs,unique(TRANSPOSe(Teams!$1:$1)), confs_count, BYROW(confs,lambda(conf,xlookup(conf,'Conf WC Eligibility'!A:A,'Conf WC Eligibility'!C:C,,))),confs_picked,byrow(confs,lambda(conf,countif(E$1:E12,conf))),p_needs_conf_count,byrow(confs,lam"&amp;"bda(conf,counta('Draft Order'!B$2:B622)-COUNTUNIQUE(filter(D$2:D12,E$2:E12=conf)))),query({confs,confs_count,confs_picked,p_needs_conf_count},""select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">
      <c r="A14" s="101">
        <v>13.0</v>
      </c>
      <c r="B14" s="101">
        <v>2.0</v>
      </c>
      <c r="C14" s="101">
        <v>1.0</v>
      </c>
      <c r="D14" s="103" t="str">
        <f t="array" ref="D14:D25">index(sort('Draft Order'!$A$2:$B$13,1,0),0,2)</f>
        <v>Nico</v>
      </c>
      <c r="E14" s="104" t="str">
        <f>if(F14&lt;&gt;"",VLOOKUP(F14,offset('Teams-Conference'!A:B,0,(counta('Draft Order'!B$2:B622)-10)*2),2,0),"")</f>
        <v>SEC</v>
      </c>
      <c r="F14" s="105" t="s">
        <v>131</v>
      </c>
      <c r="G14" s="106" t="str">
        <f t="shared" si="1"/>
        <v>Regular Pick</v>
      </c>
      <c r="H14" s="106">
        <f t="shared" ref="H14:H15" si="14">countif(E15:E24,E14)</f>
        <v>2</v>
      </c>
      <c r="I14" s="106">
        <f t="shared" ref="I14:I16" si="15">countif(E15:E35,E14)</f>
        <v>2</v>
      </c>
      <c r="J14" s="106">
        <f t="shared" ref="J14:J23" si="16">countif(E5:E13,E14)</f>
        <v>0</v>
      </c>
      <c r="K14" s="106"/>
      <c r="L14" s="106">
        <v>9.0</v>
      </c>
      <c r="M14" s="106">
        <f>IFERROR(__xludf.DUMMYFUNCTION("counta(iferror(filter(L$2:L13,E$2:E13=E14,L$2:L13&lt;L14)))"),0.0)</f>
        <v>0</v>
      </c>
      <c r="N14" s="106">
        <f>IFERROR(__xludf.DUMMYFUNCTION("counta(iferror(filter(L15:L$121,E15:E$121=E14,L15:L$624&gt;L14)))"),0.0)</f>
        <v>0</v>
      </c>
      <c r="O14" s="106"/>
      <c r="P14" s="106" t="b">
        <f>IFERROR(__xludf.DUMMYFUNCTION("if(F14="""","""",let(wc_picked, countifs(E$1:E13,E14,G$1:G13,""This is your wild card pick""), let(spots_filled,counta(unique(filter(D$2:E14,E$2:E14=E14)))/2,let(total,VLOOKUP(E14,'Conf WC Eligibility'!A:C,3,0),if(E14=""zIndependent"", TRUE,total-wc_picke"&amp;"d&gt;12)))))"),TRUE)</f>
        <v>1</v>
      </c>
      <c r="Q14" s="107">
        <f t="array" ref="Q14:AB14">XLOOKUP(F14,'Current Week'!C:C,'Current Week'!D:O)</f>
        <v>9</v>
      </c>
      <c r="R14" s="106">
        <v>3.0</v>
      </c>
      <c r="S14" s="106" t="s">
        <v>743</v>
      </c>
      <c r="T14" s="106" t="s">
        <v>61</v>
      </c>
      <c r="U14" s="106" t="s">
        <v>238</v>
      </c>
      <c r="V14" s="106"/>
      <c r="W14" s="106" t="s">
        <v>67</v>
      </c>
      <c r="X14" s="106">
        <v>2.5</v>
      </c>
      <c r="Y14" s="106" t="s">
        <v>67</v>
      </c>
      <c r="Z14" s="106">
        <v>52.5</v>
      </c>
      <c r="AA14" s="106">
        <v>355.0</v>
      </c>
      <c r="AB14" s="106">
        <v>237.0</v>
      </c>
      <c r="AC14" s="108" t="b">
        <v>1</v>
      </c>
      <c r="AD14" s="109">
        <f t="shared" si="4"/>
        <v>-3</v>
      </c>
      <c r="AE14" s="110">
        <f t="shared" si="5"/>
        <v>6</v>
      </c>
      <c r="AF14" s="110">
        <f>IFERROR(__xludf.DUMMYFUNCTION("iferror(COUNT(filter($Q15:$Q$400,$Q15:$Q$400&gt;$Q14)))"),13.0)</f>
        <v>13</v>
      </c>
      <c r="AG14" s="111">
        <f t="shared" si="6"/>
        <v>0</v>
      </c>
      <c r="AH14" s="112">
        <f t="shared" si="7"/>
        <v>5</v>
      </c>
      <c r="AI14" s="113" t="str">
        <f>IFERROR(__xludf.DUMMYFUNCTION("iferror(join("","",index(sort(filter($F15:$F$401,$Q15:$Q$401&gt;$Q14),2,false),0,1)))"),"Miami,Georgia,Alabama,Utah,Texas Tech,Indiana,Ole Miss,North Texas,BYU,Texas A&amp;M,Oklahoma,Virginia,Vanderbilt")</f>
        <v>Miami,Georgia,Alabama,Utah,Texas Tech,Indiana,Ole Miss,North Texas,BYU,Texas A&amp;M,Oklahoma,Virginia,Vanderbilt</v>
      </c>
      <c r="AJ14" s="114">
        <f>IFERROR(__xludf.DUMMYFUNCTION("iferror($Q14-max(filter($Q14:$Q$400,$E14:$E$400=$E$2)))"),-3.0)</f>
        <v>-3</v>
      </c>
      <c r="AK14" s="110">
        <f t="shared" si="8"/>
        <v>1</v>
      </c>
      <c r="AL14" s="110">
        <f>IFERROR(__xludf.DUMMYFUNCTION("iferror(COUNT(filter($Q15:$Q$400,$Q15:$Q$400&gt;$Q14,$E14:$E$400=$E$2)))"),0.0)</f>
        <v>0</v>
      </c>
      <c r="AM14" s="111">
        <f t="shared" si="9"/>
        <v>0</v>
      </c>
      <c r="AN14" s="110">
        <f>IFERROR(__xludf.DUMMYFUNCTION("iferror($Q14-min(filter($Q14:$Q$400,$E14:$E$400=$E$2)))"),7.0)</f>
        <v>7</v>
      </c>
      <c r="AO14" s="113" t="str">
        <f>IFERROR(__xludf.DUMMYFUNCTION("iferror(join("","",index(sort(filter($F15:$F$400,$Q15:$Q$400&gt;$Q14,$E15:$E$400=$E$2),2,false),0,1)))"),"Indiana")</f>
        <v>Indiana</v>
      </c>
      <c r="AP14" s="113" t="str">
        <f>IFERROR(__xludf.DUMMYFUNCTION("REGEXREPLACE(join("","",unique({let(conf_picked,filter(E$1:E13,D$1:D13=D14), byrow(unique(TRANSPOSe(Teams!$1:$1)),lambda(rw,if(ISERROR(match(rw,conf_picked,0)),rw,))));if(AW14,,transpose(split(AX14,"","",1,1)))})), ""^,"", """")"),"ACC,Big 12,Big Ten,CUSA,MAC,MWC,Pac12,SEC,Sun Belt,zIndependent,AAC")</f>
        <v>ACC,Big 12,Big Ten,CUSA,MAC,MWC,Pac12,SEC,Sun Belt,zIndependent,AAC</v>
      </c>
      <c r="AQ14" s="114">
        <f>IFERROR(__xludf.DUMMYFUNCTION("iferror($Q14-max(filter($Q14:$Q$400,arrayformula(isnumber(FIND($E14:$E$400,AP14))))))"),-3.0)</f>
        <v>-3</v>
      </c>
      <c r="AR14" s="110">
        <f t="array" ref="AR14">countifs($Q$2:$Q13,"&lt;"&amp;$Q14,isnumber(FIND($E$2:$E13,AP14)),TRUE)</f>
        <v>6</v>
      </c>
      <c r="AS14" s="110">
        <f>IFERROR(__xludf.DUMMYFUNCTION("iferror(COUNT(filter($Q15:$Q$400,$Q15:$Q$400&gt;$Q14,arrayformula(isnumber(FIND($E15:$E$400,AP14))))))"),13.0)</f>
        <v>13</v>
      </c>
      <c r="AT14" s="111">
        <f t="shared" si="10"/>
        <v>0</v>
      </c>
      <c r="AU14" s="110">
        <f>IFERROR(__xludf.DUMMYFUNCTION("iferror($Q14-min(filter($Q14:$Q$400,arrayformula(isnumber(FIND($E14:$E$400,AP14))))))"),9.0)</f>
        <v>9</v>
      </c>
      <c r="AV14" s="113" t="str">
        <f>IFERROR(__xludf.DUMMYFUNCTION("iferror(join("","",index(sort(filter($F15:$F$400,$Q15:$Q$400&gt;$Q14,arrayformula(isnumber(FIND($E15:$E$400,AP14)))),2,false),0,1)))"),"Miami,Georgia,Alabama,Utah,Texas Tech,Indiana,Ole Miss,North Texas,BYU,Texas A&amp;M,Oklahoma,Virginia,Vanderbilt")</f>
        <v>Miami,Georgia,Alabama,Utah,Texas Tech,Indiana,Ole Miss,North Texas,BYU,Texas A&amp;M,Oklahoma,Virginia,Vanderbilt</v>
      </c>
      <c r="AW14" s="113" t="b">
        <f>IFERROR(__xludf.DUMMYFUNCTION("isnumber(find(""wild card"",join("","",filter($G$1:$G13,$D$1:$D13=D14))))"),FALSE)</f>
        <v>0</v>
      </c>
      <c r="AX14" s="113" t="str">
        <f>IFERROR(__xludf.DUMMYFUNCTION("join("","",let(confs,unique(TRANSPOSe(Teams!$1:$1)), confs_count, BYROW(confs,lambda(conf,xlookup(conf,'Conf WC Eligibility'!A:A,'Conf WC Eligibility'!C:C,,))),confs_picked,byrow(confs,lambda(conf,countif(E$1:E13,conf))),p_needs_conf_count,byrow(confs,lam"&amp;"bda(conf,counta('Draft Order'!B$2:B622)-COUNTUNIQUE(filter(D$2:D13,E$2:E13=conf)))),query({confs,confs_count,confs_picked,p_needs_conf_count},""select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">
      <c r="A15" s="1">
        <v>14.0</v>
      </c>
      <c r="B15" s="1">
        <v>2.0</v>
      </c>
      <c r="C15" s="1">
        <v>2.0</v>
      </c>
      <c r="D15" s="115" t="s">
        <v>395</v>
      </c>
      <c r="E15" s="116" t="str">
        <f>if(F15&lt;&gt;"",VLOOKUP(F15,offset('Teams-Conference'!A:B,0,(counta('Draft Order'!B$2:B622)-10)*2),2,0),"")</f>
        <v>CUSA</v>
      </c>
      <c r="F15" s="117" t="s">
        <v>162</v>
      </c>
      <c r="G15" s="106" t="str">
        <f t="shared" si="1"/>
        <v>Regular Pick</v>
      </c>
      <c r="H15" s="106">
        <f t="shared" si="14"/>
        <v>0</v>
      </c>
      <c r="I15" s="106">
        <f t="shared" si="15"/>
        <v>1</v>
      </c>
      <c r="J15" s="106">
        <f t="shared" si="16"/>
        <v>0</v>
      </c>
      <c r="K15" s="106"/>
      <c r="L15" s="106">
        <v>8.0</v>
      </c>
      <c r="M15" s="106">
        <f>IFERROR(__xludf.DUMMYFUNCTION("counta(iferror(filter(L$2:L14,E$2:E14=E15,L$2:L14&lt;L15)))"),1.0)</f>
        <v>1</v>
      </c>
      <c r="N15" s="106">
        <f>IFERROR(__xludf.DUMMYFUNCTION("counta(iferror(filter(L16:L$121,E16:E$121=E15,L16:L$624&gt;L15)))"),0.0)</f>
        <v>0</v>
      </c>
      <c r="O15" s="106"/>
      <c r="P15" s="106" t="b">
        <f>IFERROR(__xludf.DUMMYFUNCTION("if(F15="""","""",let(wc_picked, countifs(E$1:E14,E15,G$1:G14,""This is your wild card pick""), let(spots_filled,counta(unique(filter(D$2:E15,E$2:E15=E15)))/2,let(total,VLOOKUP(E15,'Conf WC Eligibility'!A:C,3,0),if(E15=""zIndependent"", TRUE,total-wc_picke"&amp;"d&gt;12)))))"),FALSE)</f>
        <v>0</v>
      </c>
      <c r="Q15" s="107">
        <f t="array" ref="Q15:AB15">XLOOKUP(F15,'Current Week'!C:C,'Current Week'!D:O)</f>
        <v>8</v>
      </c>
      <c r="R15" s="106">
        <v>4.0</v>
      </c>
      <c r="S15" s="106" t="s">
        <v>752</v>
      </c>
      <c r="T15" s="106" t="s">
        <v>61</v>
      </c>
      <c r="U15" s="106" t="s">
        <v>156</v>
      </c>
      <c r="V15" s="106"/>
      <c r="W15" s="106" t="s">
        <v>67</v>
      </c>
      <c r="X15" s="106">
        <v>-2.5</v>
      </c>
      <c r="Y15" s="106" t="s">
        <v>67</v>
      </c>
      <c r="Z15" s="106">
        <v>55.5</v>
      </c>
      <c r="AA15" s="106">
        <v>357.0</v>
      </c>
      <c r="AB15" s="106">
        <v>281.0</v>
      </c>
      <c r="AC15" s="108" t="b">
        <v>1</v>
      </c>
      <c r="AD15" s="109">
        <f t="shared" si="4"/>
        <v>-4</v>
      </c>
      <c r="AE15" s="110">
        <f t="shared" si="5"/>
        <v>3</v>
      </c>
      <c r="AF15" s="110">
        <f>IFERROR(__xludf.DUMMYFUNCTION("iferror(COUNT(filter($Q16:$Q$400,$Q16:$Q$400&gt;$Q15)))"),25.0)</f>
        <v>25</v>
      </c>
      <c r="AG15" s="111">
        <f t="shared" si="6"/>
        <v>0</v>
      </c>
      <c r="AH15" s="112">
        <f t="shared" si="7"/>
        <v>4</v>
      </c>
      <c r="AI15" s="113" t="str">
        <f>IFERROR(__xludf.DUMMYFUNCTION("iferror(join("","",index(sort(filter($F16:$F$401,$Q16:$Q$401&gt;$Q15),2,false),0,1)))"),"Miami,Georgia,Navy,Michigan,Alabama,Utah,Texas Tech,USC,Indiana,Ole Miss,North Texas,South Florida,BYU,Texas A&amp;M,Georgia Tech,Oklahoma,Old Dominion,UConn,Houston,San Diego State,Virginia,Vanderbilt,New Mexico,Kennesaw State,Arizona")</f>
        <v>Miami,Georgia,Navy,Michigan,Alabama,Utah,Texas Tech,USC,Indiana,Ole Miss,North Texas,South Florida,BYU,Texas A&amp;M,Georgia Tech,Oklahoma,Old Dominion,UConn,Houston,San Diego State,Virginia,Vanderbilt,New Mexico,Kennesaw State,Arizona</v>
      </c>
      <c r="AJ15" s="114">
        <f>IFERROR(__xludf.DUMMYFUNCTION("iferror($Q15-max(filter($Q15:$Q$400,$E15:$E$400=$E$2)))"),-4.0)</f>
        <v>-4</v>
      </c>
      <c r="AK15" s="110">
        <f t="shared" si="8"/>
        <v>1</v>
      </c>
      <c r="AL15" s="110">
        <f>IFERROR(__xludf.DUMMYFUNCTION("iferror(COUNT(filter($Q16:$Q$400,$Q16:$Q$400&gt;$Q15,$E15:$E$400=$E$2)))"),0.0)</f>
        <v>0</v>
      </c>
      <c r="AM15" s="111">
        <f t="shared" si="9"/>
        <v>0</v>
      </c>
      <c r="AN15" s="110">
        <f>IFERROR(__xludf.DUMMYFUNCTION("iferror($Q15-min(filter($Q15:$Q$400,$E15:$E$400=$E$2)))"),6.0)</f>
        <v>6</v>
      </c>
      <c r="AO15" s="113" t="str">
        <f>IFERROR(__xludf.DUMMYFUNCTION("iferror(join("","",index(sort(filter($F16:$F$400,$Q16:$Q$400&gt;$Q15,$E16:$E$400=$E$2),2,false),0,1)))"),"Michigan,USC,Indiana")</f>
        <v>Michigan,USC,Indiana</v>
      </c>
      <c r="AP15" s="113" t="str">
        <f>IFERROR(__xludf.DUMMYFUNCTION("REGEXREPLACE(join("","",unique({let(conf_picked,filter(E$1:E14,D$1:D14=D15), byrow(unique(TRANSPOSe(Teams!$1:$1)),lambda(rw,if(ISERROR(match(rw,conf_picked,0)),rw,))));if(AW15,,transpose(split(AX15,"","",1,1)))})), ""^,"", """")"),"AAC,ACC,Big 12,Big Ten,CUSA,MAC,MWC,Pac12,SEC,,zIndependent,Sun Belt")</f>
        <v>AAC,ACC,Big 12,Big Ten,CUSA,MAC,MWC,Pac12,SEC,,zIndependent,Sun Belt</v>
      </c>
      <c r="AQ15" s="114">
        <f>IFERROR(__xludf.DUMMYFUNCTION("iferror($Q15-max(filter($Q15:$Q$400,arrayformula(isnumber(FIND($E15:$E$400,AP15))))))"),-4.0)</f>
        <v>-4</v>
      </c>
      <c r="AR15" s="110">
        <f t="array" ref="AR15">countifs($Q$2:$Q14,"&lt;"&amp;$Q15,isnumber(FIND($E$2:$E14,AP15)),TRUE)</f>
        <v>3</v>
      </c>
      <c r="AS15" s="110">
        <f>IFERROR(__xludf.DUMMYFUNCTION("iferror(COUNT(filter($Q16:$Q$400,$Q16:$Q$400&gt;$Q15,arrayformula(isnumber(FIND($E16:$E$400,AP15))))))"),25.0)</f>
        <v>25</v>
      </c>
      <c r="AT15" s="111">
        <f t="shared" si="10"/>
        <v>0</v>
      </c>
      <c r="AU15" s="110">
        <f>IFERROR(__xludf.DUMMYFUNCTION("iferror($Q15-min(filter($Q15:$Q$400,arrayformula(isnumber(FIND($E15:$E$400,AP15))))))"),8.0)</f>
        <v>8</v>
      </c>
      <c r="AV15" s="113" t="str">
        <f>IFERROR(__xludf.DUMMYFUNCTION("iferror(join("","",index(sort(filter($F16:$F$400,$Q16:$Q$400&gt;$Q15,arrayformula(isnumber(FIND($E16:$E$400,AP15)))),2,false),0,1)))"),"Miami,Georgia,Navy,Michigan,Alabama,Utah,Texas Tech,USC,Indiana,Ole Miss,North Texas,South Florida,BYU,Texas A&amp;M,Georgia Tech,Oklahoma,Old Dominion,UConn,Houston,San Diego State,Virginia,Vanderbilt,New Mexico,Kennesaw State,Arizona")</f>
        <v>Miami,Georgia,Navy,Michigan,Alabama,Utah,Texas Tech,USC,Indiana,Ole Miss,North Texas,South Florida,BYU,Texas A&amp;M,Georgia Tech,Oklahoma,Old Dominion,UConn,Houston,San Diego State,Virginia,Vanderbilt,New Mexico,Kennesaw State,Arizona</v>
      </c>
      <c r="AW15" s="113" t="b">
        <f>IFERROR(__xludf.DUMMYFUNCTION("isnumber(find(""wild card"",join("","",filter($G$1:$G14,$D$1:$D14=D15))))"),FALSE)</f>
        <v>0</v>
      </c>
      <c r="AX15" s="113" t="str">
        <f>IFERROR(__xludf.DUMMYFUNCTION("join("","",let(confs,unique(TRANSPOSe(Teams!$1:$1)), confs_count, BYROW(confs,lambda(conf,xlookup(conf,'Conf WC Eligibility'!A:A,'Conf WC Eligibility'!C:C,,))),confs_picked,byrow(confs,lambda(conf,countif(E$1:E14,conf))),p_needs_conf_count,byrow(confs,lam"&amp;"bda(conf,counta('Draft Order'!B$2:B622)-COUNTUNIQUE(filter(D$2:D14,E$2:E14=conf)))),query({confs,confs_count,confs_picked,p_needs_conf_count},""select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">
      <c r="A16" s="1">
        <v>15.0</v>
      </c>
      <c r="B16" s="1">
        <v>2.0</v>
      </c>
      <c r="C16" s="1">
        <v>3.0</v>
      </c>
      <c r="D16" s="118" t="s">
        <v>249</v>
      </c>
      <c r="E16" s="116" t="str">
        <f>if(F16&lt;&gt;"",VLOOKUP(F16,offset('Teams-Conference'!A:B,0,(counta('Draft Order'!B$2:B622)-10)*2),2,0),"")</f>
        <v>MAC</v>
      </c>
      <c r="F16" s="117" t="s">
        <v>167</v>
      </c>
      <c r="G16" s="106" t="str">
        <f t="shared" si="1"/>
        <v>Regular Pick</v>
      </c>
      <c r="H16" s="106">
        <f t="shared" ref="H16:H25" si="17">countif(E17:E25,E16)</f>
        <v>0</v>
      </c>
      <c r="I16" s="106">
        <f t="shared" si="15"/>
        <v>1</v>
      </c>
      <c r="J16" s="106">
        <f t="shared" si="16"/>
        <v>1</v>
      </c>
      <c r="K16" s="106"/>
      <c r="L16" s="106">
        <v>5.0</v>
      </c>
      <c r="M16" s="106">
        <f>IFERROR(__xludf.DUMMYFUNCTION("counta(iferror(filter(L$2:L15,E$2:E15=E16,L$2:L15&lt;L16)))"),0.0)</f>
        <v>0</v>
      </c>
      <c r="N16" s="106">
        <f>IFERROR(__xludf.DUMMYFUNCTION("counta(iferror(filter(L17:L$121,E17:E$121=E16,L17:L$624&gt;L16)))"),0.0)</f>
        <v>0</v>
      </c>
      <c r="O16" s="106"/>
      <c r="P16" s="106" t="b">
        <f>IFERROR(__xludf.DUMMYFUNCTION("if(F16="""","""",let(wc_picked, countifs(E$1:E15,E16,G$1:G15,""This is your wild card pick""), let(spots_filled,counta(unique(filter(D$2:E16,E$2:E16=E16)))/2,let(total,VLOOKUP(E16,'Conf WC Eligibility'!A:C,3,0),if(E16=""zIndependent"", TRUE,total-wc_picke"&amp;"d&gt;12)))))"),TRUE)</f>
        <v>1</v>
      </c>
      <c r="Q16" s="107">
        <f t="array" ref="Q16:AB16">XLOOKUP(F16,'Current Week'!C:C,'Current Week'!D:O)</f>
        <v>5</v>
      </c>
      <c r="R16" s="106">
        <v>7.0</v>
      </c>
      <c r="S16" s="106" t="s">
        <v>731</v>
      </c>
      <c r="T16" s="106" t="s">
        <v>61</v>
      </c>
      <c r="U16" s="106" t="s">
        <v>96</v>
      </c>
      <c r="V16" s="106"/>
      <c r="W16" s="106" t="s">
        <v>67</v>
      </c>
      <c r="X16" s="106">
        <v>7.0</v>
      </c>
      <c r="Y16" s="106" t="s">
        <v>67</v>
      </c>
      <c r="Z16" s="106">
        <v>45.5</v>
      </c>
      <c r="AA16" s="106">
        <v>288.0</v>
      </c>
      <c r="AB16" s="106">
        <v>282.0</v>
      </c>
      <c r="AC16" s="108" t="b">
        <v>1</v>
      </c>
      <c r="AD16" s="109">
        <f t="shared" si="4"/>
        <v>-7</v>
      </c>
      <c r="AE16" s="110">
        <f t="shared" si="5"/>
        <v>1</v>
      </c>
      <c r="AF16" s="110">
        <f>IFERROR(__xludf.DUMMYFUNCTION("iferror(COUNT(filter($Q17:$Q$400,$Q17:$Q$400&gt;$Q16)))"),69.0)</f>
        <v>69</v>
      </c>
      <c r="AG16" s="111">
        <f t="shared" si="6"/>
        <v>0</v>
      </c>
      <c r="AH16" s="112">
        <f t="shared" si="7"/>
        <v>1</v>
      </c>
      <c r="AI16" s="113" t="str">
        <f>IFERROR(__xludf.DUMMYFUNCTION("iferror(join("","",index(sort(filter($F17:$F$401,$Q17:$Q$401&gt;$Q16),2,false),0,1)))"),"Miami,Georgia,Navy,Michigan,SMU,Alabama,Utah,Arizona State,Texas Tech,USC,Kansas State,UL Lafayette,UTSA,Georgia Southern,Ohio,Illinois,Louisiana Tech,Army,Indiana,Louisville,Fresno State,Ole Miss,North Texas,Miami-OH,South Florida,BYU,Tennessee,Texas Sta"&amp;"te,East Carolina,Washington,LSU,Nebraska,Texas A&amp;M,Jacksonville State,Georgia Tech,Central Michigan,Western Michigan,Iowa,Missouri,Minnesota,Hawaii,Iowa State,Oklahoma,TCU,Old Dominion,Troy,Cincinnati,Duke,UConn,Florida Intl,Houston,San Diego State,Coasta"&amp;"l Carolina,Virginia,Utah State,NC State,California,Missouri State,Pittsburgh,Arkansas State,Vanderbilt,Delaware,New Mexico,Kennesaw State,Wake Forest,Arizona,Northwestern,Washington State,Southern Mississippi")</f>
        <v>Miami,Georgia,Navy,Michigan,SMU,Alabama,Utah,Arizona State,Texas Tech,USC,Kansas State,UL Lafayette,UTSA,Georgia Southern,Ohio,Illinois,Louisiana Tech,Army,Indiana,Louisville,Fresno State,Ole Miss,North Texas,Miami-OH,South Florida,BYU,Tennessee,Texas State,East Carolina,Washington,LSU,Nebraska,Texas A&amp;M,Jacksonville State,Georgia Tech,Central Michigan,Western Michigan,Iowa,Missouri,Minnesota,Hawaii,Iowa State,Oklahoma,TCU,Old Dominion,Troy,Cincinnati,Duke,UConn,Florida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J16" s="114">
        <f>IFERROR(__xludf.DUMMYFUNCTION("iferror($Q16-max(filter($Q16:$Q$400,$E16:$E$400=$E$2)))"),-7.0)</f>
        <v>-7</v>
      </c>
      <c r="AK16" s="110">
        <f t="shared" si="8"/>
        <v>0</v>
      </c>
      <c r="AL16" s="110">
        <f>IFERROR(__xludf.DUMMYFUNCTION("iferror(COUNT(filter($Q17:$Q$400,$Q17:$Q$400&gt;$Q16,$E16:$E$400=$E$2)))"),0.0)</f>
        <v>0</v>
      </c>
      <c r="AM16" s="111">
        <f t="shared" si="9"/>
        <v>0</v>
      </c>
      <c r="AN16" s="110">
        <f>IFERROR(__xludf.DUMMYFUNCTION("iferror($Q16-min(filter($Q16:$Q$400,$E16:$E$400=$E$2)))"),3.0)</f>
        <v>3</v>
      </c>
      <c r="AO16" s="113" t="str">
        <f>IFERROR(__xludf.DUMMYFUNCTION("iferror(join("","",index(sort(filter($F17:$F$400,$Q17:$Q$400&gt;$Q16,$E17:$E$400=$E$2),2,false),0,1)))"),"Michigan,USC,Illinois,Indiana,Washington,Nebraska,Iowa,Minnesota,Northwestern")</f>
        <v>Michigan,USC,Illinois,Indiana,Washington,Nebraska,Iowa,Minnesota,Northwestern</v>
      </c>
      <c r="AP16" s="113" t="str">
        <f>IFERROR(__xludf.DUMMYFUNCTION("REGEXREPLACE(join("","",unique({let(conf_picked,filter(E$1:E15,D$1:D15=D16), byrow(unique(TRANSPOSe(Teams!$1:$1)),lambda(rw,if(ISERROR(match(rw,conf_picked,0)),rw,))));if(AW16,,transpose(split(AX16,"","",1,1)))})), ""^,"", """")"),"AAC,,Big 12,Big Ten,CUSA,MAC,MWC,Pac12,SEC,Sun Belt,zIndependent,ACC")</f>
        <v>AAC,,Big 12,Big Ten,CUSA,MAC,MWC,Pac12,SEC,Sun Belt,zIndependent,ACC</v>
      </c>
      <c r="AQ16" s="114">
        <f>IFERROR(__xludf.DUMMYFUNCTION("iferror($Q16-max(filter($Q16:$Q$400,arrayformula(isnumber(FIND($E16:$E$400,AP16))))))"),-7.0)</f>
        <v>-7</v>
      </c>
      <c r="AR16" s="110">
        <f t="array" ref="AR16">countifs($Q$2:$Q15,"&lt;"&amp;$Q16,isnumber(FIND($E$2:$E15,AP16)),TRUE)</f>
        <v>1</v>
      </c>
      <c r="AS16" s="110">
        <f>IFERROR(__xludf.DUMMYFUNCTION("iferror(COUNT(filter($Q17:$Q$400,$Q17:$Q$400&gt;$Q16,arrayformula(isnumber(FIND($E17:$E$400,AP16))))))"),69.0)</f>
        <v>69</v>
      </c>
      <c r="AT16" s="111">
        <f t="shared" si="10"/>
        <v>0</v>
      </c>
      <c r="AU16" s="110">
        <f>IFERROR(__xludf.DUMMYFUNCTION("iferror($Q16-min(filter($Q16:$Q$400,arrayformula(isnumber(FIND($E16:$E$400,AP16))))))"),5.0)</f>
        <v>5</v>
      </c>
      <c r="AV16" s="113" t="str">
        <f>IFERROR(__xludf.DUMMYFUNCTION("iferror(join("","",index(sort(filter($F17:$F$400,$Q17:$Q$400&gt;$Q16,arrayformula(isnumber(FIND($E17:$E$400,AP16)))),2,false),0,1)))"),"Miami,Georgia,Navy,Michigan,SMU,Alabama,Utah,Arizona State,Texas Tech,USC,Kansas State,UL Lafayette,UTSA,Georgia Southern,Ohio,Illinois,Louisiana Tech,Army,Indiana,Louisville,Fresno State,Ole Miss,North Texas,Miami-OH,South Florida,BYU,Tennessee,Texas Sta"&amp;"te,East Carolina,Washington,LSU,Nebraska,Texas A&amp;M,Jacksonville State,Georgia Tech,Central Michigan,Western Michigan,Iowa,Missouri,Minnesota,Hawaii,Iowa State,Oklahoma,TCU,Old Dominion,Troy,Cincinnati,Duke,UConn,Florida Intl,Houston,San Diego State,Coasta"&amp;"l Carolina,Virginia,Utah State,NC State,California,Missouri State,Pittsburgh,Arkansas State,Vanderbilt,Delaware,New Mexico,Kennesaw State,Wake Forest,Arizona,Northwestern,Washington State,Southern Mississippi")</f>
        <v>Miami,Georgia,Navy,Michigan,SMU,Alabama,Utah,Arizona State,Texas Tech,USC,Kansas State,UL Lafayette,UTSA,Georgia Southern,Ohio,Illinois,Louisiana Tech,Army,Indiana,Louisville,Fresno State,Ole Miss,North Texas,Miami-OH,South Florida,BYU,Tennessee,Texas State,East Carolina,Washington,LSU,Nebraska,Texas A&amp;M,Jacksonville State,Georgia Tech,Central Michigan,Western Michigan,Iowa,Missouri,Minnesota,Hawaii,Iowa State,Oklahoma,TCU,Old Dominion,Troy,Cincinnati,Duke,UConn,Florida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W16" s="113" t="b">
        <f>IFERROR(__xludf.DUMMYFUNCTION("isnumber(find(""wild card"",join("","",filter($G$1:$G15,$D$1:$D15=D16))))"),FALSE)</f>
        <v>0</v>
      </c>
      <c r="AX16" s="113" t="str">
        <f>IFERROR(__xludf.DUMMYFUNCTION("join("","",let(confs,unique(TRANSPOSe(Teams!$1:$1)), confs_count, BYROW(confs,lambda(conf,xlookup(conf,'Conf WC Eligibility'!A:A,'Conf WC Eligibility'!C:C,,))),confs_picked,byrow(confs,lambda(conf,countif(E$1:E15,conf))),p_needs_conf_count,byrow(confs,lam"&amp;"bda(conf,counta('Draft Order'!B$2:B622)-COUNTUNIQUE(filter(D$2:D15,E$2:E15=conf)))),query({confs,confs_count,confs_picked,p_needs_conf_count},""select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">
      <c r="A17" s="1">
        <v>16.0</v>
      </c>
      <c r="B17" s="1">
        <v>2.0</v>
      </c>
      <c r="C17" s="1">
        <v>4.0</v>
      </c>
      <c r="D17" s="115" t="s">
        <v>156</v>
      </c>
      <c r="E17" s="116" t="str">
        <f>if(F17&lt;&gt;"",VLOOKUP(F17,offset('Teams-Conference'!A:B,0,(counta('Draft Order'!B$2:B622)-10)*2),2,0),"")</f>
        <v>ACC</v>
      </c>
      <c r="F17" s="117" t="s">
        <v>116</v>
      </c>
      <c r="G17" s="106" t="str">
        <f t="shared" si="1"/>
        <v>Regular Pick</v>
      </c>
      <c r="H17" s="106">
        <f t="shared" si="17"/>
        <v>1</v>
      </c>
      <c r="I17" s="106">
        <f t="shared" ref="I17:I25" si="18">countif(E18:E37,E17)</f>
        <v>1</v>
      </c>
      <c r="J17" s="106">
        <f t="shared" si="16"/>
        <v>1</v>
      </c>
      <c r="K17" s="106"/>
      <c r="L17" s="106">
        <v>10.0</v>
      </c>
      <c r="M17" s="106">
        <f>IFERROR(__xludf.DUMMYFUNCTION("counta(iferror(filter(L$2:L16,E$2:E16=E17,L$2:L16&lt;L17)))"),1.0)</f>
        <v>1</v>
      </c>
      <c r="N17" s="106">
        <f>IFERROR(__xludf.DUMMYFUNCTION("counta(iferror(filter(L18:L$121,E18:E$121=E17,L18:L$624&gt;L17)))"),0.0)</f>
        <v>0</v>
      </c>
      <c r="O17" s="106"/>
      <c r="P17" s="106" t="b">
        <f>IFERROR(__xludf.DUMMYFUNCTION("if(F17="""","""",let(wc_picked, countifs(E$1:E16,E17,G$1:G16,""This is your wild card pick""), let(spots_filled,counta(unique(filter(D$2:E17,E$2:E17=E17)))/2,let(total,VLOOKUP(E17,'Conf WC Eligibility'!A:C,3,0),if(E17=""zIndependent"", TRUE,total-wc_picke"&amp;"d&gt;12)))))"),TRUE)</f>
        <v>1</v>
      </c>
      <c r="Q17" s="107">
        <f t="array" ref="Q17:AB17">XLOOKUP(F17,'Current Week'!C:C,'Current Week'!D:O)</f>
        <v>10</v>
      </c>
      <c r="R17" s="106">
        <v>2.0</v>
      </c>
      <c r="S17" s="106" t="s">
        <v>741</v>
      </c>
      <c r="T17" s="106" t="s">
        <v>61</v>
      </c>
      <c r="U17" s="106" t="s">
        <v>238</v>
      </c>
      <c r="V17" s="106"/>
      <c r="W17" s="106" t="s">
        <v>67</v>
      </c>
      <c r="X17" s="106">
        <v>-7.0</v>
      </c>
      <c r="Y17" s="106" t="s">
        <v>67</v>
      </c>
      <c r="Z17" s="106">
        <v>49.5</v>
      </c>
      <c r="AA17" s="106">
        <v>409.0</v>
      </c>
      <c r="AB17" s="106">
        <v>166.0</v>
      </c>
      <c r="AC17" s="108" t="b">
        <v>1</v>
      </c>
      <c r="AD17" s="109">
        <f t="shared" si="4"/>
        <v>-2</v>
      </c>
      <c r="AE17" s="110">
        <f t="shared" si="5"/>
        <v>9</v>
      </c>
      <c r="AF17" s="110">
        <f>IFERROR(__xludf.DUMMYFUNCTION("iferror(COUNT(filter($Q18:$Q$400,$Q18:$Q$400&gt;$Q17)))"),7.0)</f>
        <v>7</v>
      </c>
      <c r="AG17" s="111">
        <f t="shared" si="6"/>
        <v>0</v>
      </c>
      <c r="AH17" s="112">
        <f t="shared" si="7"/>
        <v>6</v>
      </c>
      <c r="AI17" s="113" t="str">
        <f>IFERROR(__xludf.DUMMYFUNCTION("iferror(join("","",index(sort(filter($F18:$F$401,$Q18:$Q$401&gt;$Q17),2,false),0,1)))"),"Georgia,Texas Tech,Indiana,Ole Miss,North Texas,BYU,Texas A&amp;M")</f>
        <v>Georgia,Texas Tech,Indiana,Ole Miss,North Texas,BYU,Texas A&amp;M</v>
      </c>
      <c r="AJ17" s="114">
        <f>IFERROR(__xludf.DUMMYFUNCTION("iferror($Q17-max(filter($Q17:$Q$400,$E17:$E$400=$E$2)))"),-2.0)</f>
        <v>-2</v>
      </c>
      <c r="AK17" s="110">
        <f t="shared" si="8"/>
        <v>1</v>
      </c>
      <c r="AL17" s="110">
        <f>IFERROR(__xludf.DUMMYFUNCTION("iferror(COUNT(filter($Q18:$Q$400,$Q18:$Q$400&gt;$Q17,$E17:$E$400=$E$2)))"),0.0)</f>
        <v>0</v>
      </c>
      <c r="AM17" s="111">
        <f t="shared" si="9"/>
        <v>0</v>
      </c>
      <c r="AN17" s="110">
        <f>IFERROR(__xludf.DUMMYFUNCTION("iferror($Q17-min(filter($Q17:$Q$400,$E17:$E$400=$E$2)))"),8.0)</f>
        <v>8</v>
      </c>
      <c r="AO17" s="113" t="str">
        <f>IFERROR(__xludf.DUMMYFUNCTION("iferror(join("","",index(sort(filter($F18:$F$400,$Q18:$Q$400&gt;$Q17,$E18:$E$400=$E$2),2,false),0,1)))"),"Indiana")</f>
        <v>Indiana</v>
      </c>
      <c r="AP17" s="113" t="str">
        <f>IFERROR(__xludf.DUMMYFUNCTION("REGEXREPLACE(join("","",unique({let(conf_picked,filter(E$1:E16,D$1:D16=D17), byrow(unique(TRANSPOSe(Teams!$1:$1)),lambda(rw,if(ISERROR(match(rw,conf_picked,0)),rw,))));if(AW17,,transpose(split(AX17,"","",1,1)))})), ""^,"", """")"),"AAC,ACC,Big 12,Big Ten,CUSA,,MWC,Pac12,SEC,Sun Belt,zIndependent,MAC")</f>
        <v>AAC,ACC,Big 12,Big Ten,CUSA,,MWC,Pac12,SEC,Sun Belt,zIndependent,MAC</v>
      </c>
      <c r="AQ17" s="114">
        <f>IFERROR(__xludf.DUMMYFUNCTION("iferror($Q17-max(filter($Q17:$Q$400,arrayformula(isnumber(FIND($E17:$E$400,AP17))))))"),-2.0)</f>
        <v>-2</v>
      </c>
      <c r="AR17" s="110">
        <f t="array" ref="AR17">countifs($Q$2:$Q16,"&lt;"&amp;$Q17,isnumber(FIND($E$2:$E16,AP17)),TRUE)</f>
        <v>9</v>
      </c>
      <c r="AS17" s="110">
        <f>IFERROR(__xludf.DUMMYFUNCTION("iferror(COUNT(filter($Q18:$Q$400,$Q18:$Q$400&gt;$Q17,arrayformula(isnumber(FIND($E18:$E$400,AP17))))))"),7.0)</f>
        <v>7</v>
      </c>
      <c r="AT17" s="111">
        <f t="shared" si="10"/>
        <v>0</v>
      </c>
      <c r="AU17" s="110">
        <f>IFERROR(__xludf.DUMMYFUNCTION("iferror($Q17-min(filter($Q17:$Q$400,arrayformula(isnumber(FIND($E17:$E$400,AP17))))))"),10.0)</f>
        <v>10</v>
      </c>
      <c r="AV17" s="113" t="str">
        <f>IFERROR(__xludf.DUMMYFUNCTION("iferror(join("","",index(sort(filter($F18:$F$400,$Q18:$Q$400&gt;$Q17,arrayformula(isnumber(FIND($E18:$E$400,AP17)))),2,false),0,1)))"),"Georgia,Texas Tech,Indiana,Ole Miss,North Texas,BYU,Texas A&amp;M")</f>
        <v>Georgia,Texas Tech,Indiana,Ole Miss,North Texas,BYU,Texas A&amp;M</v>
      </c>
      <c r="AW17" s="113" t="b">
        <f>IFERROR(__xludf.DUMMYFUNCTION("isnumber(find(""wild card"",join("","",filter($G$1:$G16,$D$1:$D16=D17))))"),FALSE)</f>
        <v>0</v>
      </c>
      <c r="AX17" s="113" t="str">
        <f>IFERROR(__xludf.DUMMYFUNCTION("join("","",let(confs,unique(TRANSPOSe(Teams!$1:$1)), confs_count, BYROW(confs,lambda(conf,xlookup(conf,'Conf WC Eligibility'!A:A,'Conf WC Eligibility'!C:C,,))),confs_picked,byrow(confs,lambda(conf,countif(E$1:E16,conf))),p_needs_conf_count,byrow(confs,lam"&amp;"bda(conf,counta('Draft Order'!B$2:B622)-COUNTUNIQUE(filter(D$2:D16,E$2:E16=conf)))),query({confs,confs_count,confs_picked,p_needs_conf_count},""select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">
      <c r="A18" s="1">
        <v>17.0</v>
      </c>
      <c r="B18" s="1">
        <v>2.0</v>
      </c>
      <c r="C18" s="1">
        <v>5.0</v>
      </c>
      <c r="D18" s="115" t="s">
        <v>238</v>
      </c>
      <c r="E18" s="116" t="str">
        <f>if(F18&lt;&gt;"",VLOOKUP(F18,offset('Teams-Conference'!A:B,0,(counta('Draft Order'!B$2:B622)-10)*2),2,0),"")</f>
        <v>MWC</v>
      </c>
      <c r="F18" s="77" t="s">
        <v>549</v>
      </c>
      <c r="G18" s="106" t="str">
        <f t="shared" si="1"/>
        <v>Regular Pick</v>
      </c>
      <c r="H18" s="106">
        <f t="shared" si="17"/>
        <v>0</v>
      </c>
      <c r="I18" s="106">
        <f t="shared" si="18"/>
        <v>0</v>
      </c>
      <c r="J18" s="106">
        <f t="shared" si="16"/>
        <v>0</v>
      </c>
      <c r="K18" s="106"/>
      <c r="L18" s="106">
        <v>3.0</v>
      </c>
      <c r="M18" s="106">
        <f>IFERROR(__xludf.DUMMYFUNCTION("counta(iferror(filter(L$2:L17,E$2:E17=E18,L$2:L17&lt;L18)))"),0.0)</f>
        <v>0</v>
      </c>
      <c r="N18" s="106">
        <f>IFERROR(__xludf.DUMMYFUNCTION("counta(iferror(filter(L19:L$121,E19:E$121=E18,L19:L$624&gt;L18)))"),0.0)</f>
        <v>0</v>
      </c>
      <c r="O18" s="106"/>
      <c r="P18" s="106" t="b">
        <f>IFERROR(__xludf.DUMMYFUNCTION("if(F18="""","""",let(wc_picked, countifs(E$1:E17,E18,G$1:G17,""This is your wild card pick""), let(spots_filled,counta(unique(filter(D$2:E18,E$2:E18=E18)))/2,let(total,VLOOKUP(E18,'Conf WC Eligibility'!A:C,3,0),if(E18=""zIndependent"", TRUE,total-wc_picke"&amp;"d&gt;12)))))"),FALSE)</f>
        <v>0</v>
      </c>
      <c r="Q18" s="107">
        <f t="array" ref="Q18:AB18">XLOOKUP(F18,'Current Week'!C:C,'Current Week'!D:O)</f>
        <v>3</v>
      </c>
      <c r="R18" s="106">
        <v>9.0</v>
      </c>
      <c r="S18" s="106" t="s">
        <v>735</v>
      </c>
      <c r="T18" s="106" t="s">
        <v>61</v>
      </c>
      <c r="U18" s="106" t="s">
        <v>395</v>
      </c>
      <c r="V18" s="106"/>
      <c r="W18" s="106" t="s">
        <v>67</v>
      </c>
      <c r="X18" s="106">
        <v>3.5</v>
      </c>
      <c r="Y18" s="106" t="s">
        <v>67</v>
      </c>
      <c r="Z18" s="106">
        <v>45.5</v>
      </c>
      <c r="AA18" s="106">
        <v>257.0</v>
      </c>
      <c r="AB18" s="106">
        <v>390.0</v>
      </c>
      <c r="AC18" s="108" t="b">
        <v>1</v>
      </c>
      <c r="AD18" s="109">
        <f t="shared" si="4"/>
        <v>-9</v>
      </c>
      <c r="AE18" s="110">
        <f t="shared" si="5"/>
        <v>0</v>
      </c>
      <c r="AF18" s="110">
        <f>IFERROR(__xludf.DUMMYFUNCTION("iferror(COUNT(filter($Q19:$Q$400,$Q19:$Q$400&gt;$Q18)))"),100.0)</f>
        <v>100</v>
      </c>
      <c r="AG18" s="111">
        <f t="shared" si="6"/>
        <v>0</v>
      </c>
      <c r="AH18" s="112">
        <f t="shared" si="7"/>
        <v>0</v>
      </c>
      <c r="AI18" s="113" t="str">
        <f>IFERROR(__xludf.DUMMYFUNCTION("iferror(join("","",index(sort(filter($F19:$F$401,$Q19:$Q$401&gt;$Q18),2,false),0,1)))"),"Georgia,Navy,Michigan,SMU,Alabama,Utah,Arizona State,Texas Tech,USC,Kansas State,UL Lafayette,UTSA,Georgia Southern,Ohio,South Alabama,Illinois,Louisiana Tech,Army,Indiana,Louisville,Fresno State,Ole Miss,North Texas,Miami-OH,South Florida,BYU,Tennessee,T"&amp;"exas State,Auburn,North Carolina,East Carolina,Washington,Kansas,LSU,Bowling Green,Nebraska,Texas A&amp;M,Jacksonville State,Baylor,Georgia Tech,Central Michigan,South Carolina,Western Michigan,Iowa,Missouri,Minnesota,Hawaii,Florida,Iowa State,Florida Atlanti"&amp;"c,EMU,Oklahoma,Appalachian State,Air Force,TCU,Old Dominion,Akron,Florida State,Troy,Cincinnati,UCF,Duke,UConn,Florida Intl,Wyoming,Houston,San Diego State,Coastal Carolina,Virginia,Utah State,UAB,Ball State,New Mexico State,NC State,California,Missouri S"&amp;"tate,Marshall,Michigan State,Pittsburgh,Rutgers,Arkansas State,West Virginia,Vanderbilt,Wisconsin,Delaware,New Mexico,Kennesaw State,Rice,Temple,Tulsa,Stanford,Wake Forest,Arizona,Maryland,Northwestern,Kent State,Washington State,Kentucky,Mississippi Stat"&amp;"e,Southern Mississippi")</f>
        <v>Georgia,Navy,Michigan,SMU,Alabama,Utah,Arizona State,Texas Tech,USC,Kansas State,UL Lafayette,UTSA,Georgia Southern,Ohio,South Alabama,Illinois,Louisiana Tech,Army,Indiana,Louisville,Fresno State,Ole Miss,North Texas,Miami-OH,South Florida,BYU,Tennessee,Texas State,Auburn,North Carolina,East Carolina,Washington,Kansas,LSU,Bowling Green,Nebraska,Texas A&amp;M,Jacksonville State,Baylor,Georgia Tech,Central Michigan,South Carolina,Western Michigan,Iowa,Missouri,Minnesota,Hawaii,Florida,Iowa State,Florida Atlantic,EMU,Oklahoma,Appalachian State,Air Force,TCU,Old Dominion,Akron,Florida State,Troy,Cincinnati,UCF,Duke,UConn,Florida Intl,Wyoming,Houston,San Diego State,Coastal Carolina,Virginia,Utah State,UAB,Ball State,New Mexico State,NC State,California,Missouri State,Marshall,Michigan State,Pittsburgh,Rutgers,Arkansas State,West Virginia,Vanderbilt,Wisconsin,Delaware,New Mexico,Kennesaw State,Rice,Temple,Tulsa,Stanford,Wake Forest,Arizona,Maryland,Northwestern,Kent State,Washington State,Kentucky,Mississippi State,Southern Mississippi</v>
      </c>
      <c r="AJ18" s="114">
        <f>IFERROR(__xludf.DUMMYFUNCTION("iferror($Q18-max(filter($Q18:$Q$400,$E18:$E$400=$E$2)))"),-9.0)</f>
        <v>-9</v>
      </c>
      <c r="AK18" s="110">
        <f t="shared" si="8"/>
        <v>0</v>
      </c>
      <c r="AL18" s="110">
        <f>IFERROR(__xludf.DUMMYFUNCTION("iferror(COUNT(filter($Q19:$Q$400,$Q19:$Q$400&gt;$Q18,$E18:$E$400=$E$2)))"),0.0)</f>
        <v>0</v>
      </c>
      <c r="AM18" s="111">
        <f t="shared" si="9"/>
        <v>0</v>
      </c>
      <c r="AN18" s="110">
        <f>IFERROR(__xludf.DUMMYFUNCTION("iferror($Q18-min(filter($Q18:$Q$400,$E18:$E$400=$E$2)))"),1.0)</f>
        <v>1</v>
      </c>
      <c r="AO18" s="113" t="str">
        <f>IFERROR(__xludf.DUMMYFUNCTION("iferror(join("","",index(sort(filter($F19:$F$400,$Q19:$Q$400&gt;$Q18,$E19:$E$400=$E$2),2,false),0,1)))"),"Michigan,USC,Illinois,Indiana,Washington,Nebraska,Iowa,Minnesota,Michigan State,Rutgers,Wisconsin,Maryland,Northwestern")</f>
        <v>Michigan,USC,Illinois,Indiana,Washington,Nebraska,Iowa,Minnesota,Michigan State,Rutgers,Wisconsin,Maryland,Northwestern</v>
      </c>
      <c r="AP18" s="113" t="str">
        <f>IFERROR(__xludf.DUMMYFUNCTION("REGEXREPLACE(join("","",unique({let(conf_picked,filter(E$1:E17,D$1:D17=D18), byrow(unique(TRANSPOSe(Teams!$1:$1)),lambda(rw,if(ISERROR(match(rw,conf_picked,0)),rw,))));if(AW18,,transpose(split(AX18,"","",1,1)))})), ""^,"", """")"),"ACC,Big 12,Big Ten,CUSA,MAC,MWC,Pac12,SEC,Sun Belt,zIndependent,AAC")</f>
        <v>ACC,Big 12,Big Ten,CUSA,MAC,MWC,Pac12,SEC,Sun Belt,zIndependent,AAC</v>
      </c>
      <c r="AQ18" s="114">
        <f>IFERROR(__xludf.DUMMYFUNCTION("iferror($Q18-max(filter($Q18:$Q$400,arrayformula(isnumber(FIND($E18:$E$400,AP18))))))"),-9.0)</f>
        <v>-9</v>
      </c>
      <c r="AR18" s="110">
        <f t="array" ref="AR18">countifs($Q$2:$Q17,"&lt;"&amp;$Q18,isnumber(FIND($E$2:$E17,AP18)),TRUE)</f>
        <v>0</v>
      </c>
      <c r="AS18" s="110">
        <f>IFERROR(__xludf.DUMMYFUNCTION("iferror(COUNT(filter($Q19:$Q$400,$Q19:$Q$400&gt;$Q18,arrayformula(isnumber(FIND($E19:$E$400,AP18))))))"),100.0)</f>
        <v>100</v>
      </c>
      <c r="AT18" s="111">
        <f t="shared" si="10"/>
        <v>0</v>
      </c>
      <c r="AU18" s="110">
        <f>IFERROR(__xludf.DUMMYFUNCTION("iferror($Q18-min(filter($Q18:$Q$400,arrayformula(isnumber(FIND($E18:$E$400,AP18))))))"),3.0)</f>
        <v>3</v>
      </c>
      <c r="AV18" s="113" t="str">
        <f>IFERROR(__xludf.DUMMYFUNCTION("iferror(join("","",index(sort(filter($F19:$F$400,$Q19:$Q$400&gt;$Q18,arrayformula(isnumber(FIND($E19:$E$400,AP18)))),2,false),0,1)))"),"Georgia,Navy,Michigan,SMU,Alabama,Utah,Arizona State,Texas Tech,USC,Kansas State,UL Lafayette,UTSA,Georgia Southern,Ohio,South Alabama,Illinois,Louisiana Tech,Army,Indiana,Louisville,Fresno State,Ole Miss,North Texas,Miami-OH,South Florida,BYU,Tennessee,T"&amp;"exas State,Auburn,North Carolina,East Carolina,Washington,Kansas,LSU,Bowling Green,Nebraska,Texas A&amp;M,Jacksonville State,Baylor,Georgia Tech,Central Michigan,South Carolina,Western Michigan,Iowa,Missouri,Minnesota,Hawaii,Florida,Iowa State,Florida Atlanti"&amp;"c,EMU,Oklahoma,Appalachian State,Air Force,TCU,Old Dominion,Akron,Florida State,Troy,Cincinnati,UCF,Duke,UConn,Florida Intl,Wyoming,Houston,San Diego State,Coastal Carolina,Virginia,Utah State,UAB,Ball State,New Mexico State,NC State,California,Missouri S"&amp;"tate,Marshall,Michigan State,Pittsburgh,Rutgers,Arkansas State,West Virginia,Vanderbilt,Wisconsin,Delaware,New Mexico,Kennesaw State,Rice,Temple,Tulsa,Stanford,Wake Forest,Arizona,Maryland,Northwestern,Kent State,Washington State,Kentucky,Mississippi Stat"&amp;"e,Southern Mississippi")</f>
        <v>Georgia,Navy,Michigan,SMU,Alabama,Utah,Arizona State,Texas Tech,USC,Kansas State,UL Lafayette,UTSA,Georgia Southern,Ohio,South Alabama,Illinois,Louisiana Tech,Army,Indiana,Louisville,Fresno State,Ole Miss,North Texas,Miami-OH,South Florida,BYU,Tennessee,Texas State,Auburn,North Carolina,East Carolina,Washington,Kansas,LSU,Bowling Green,Nebraska,Texas A&amp;M,Jacksonville State,Baylor,Georgia Tech,Central Michigan,South Carolina,Western Michigan,Iowa,Missouri,Minnesota,Hawaii,Florida,Iowa State,Florida Atlantic,EMU,Oklahoma,Appalachian State,Air Force,TCU,Old Dominion,Akron,Florida State,Troy,Cincinnati,UCF,Duke,UConn,Florida Intl,Wyoming,Houston,San Diego State,Coastal Carolina,Virginia,Utah State,UAB,Ball State,New Mexico State,NC State,California,Missouri State,Marshall,Michigan State,Pittsburgh,Rutgers,Arkansas State,West Virginia,Vanderbilt,Wisconsin,Delaware,New Mexico,Kennesaw State,Rice,Temple,Tulsa,Stanford,Wake Forest,Arizona,Maryland,Northwestern,Kent State,Washington State,Kentucky,Mississippi State,Southern Mississippi</v>
      </c>
      <c r="AW18" s="113" t="b">
        <f>IFERROR(__xludf.DUMMYFUNCTION("isnumber(find(""wild card"",join("","",filter($G$1:$G17,$D$1:$D17=D18))))"),FALSE)</f>
        <v>0</v>
      </c>
      <c r="AX18" s="113" t="str">
        <f>IFERROR(__xludf.DUMMYFUNCTION("join("","",let(confs,unique(TRANSPOSe(Teams!$1:$1)), confs_count, BYROW(confs,lambda(conf,xlookup(conf,'Conf WC Eligibility'!A:A,'Conf WC Eligibility'!C:C,,))),confs_picked,byrow(confs,lambda(conf,countif(E$1:E17,conf))),p_needs_conf_count,byrow(confs,lam"&amp;"bda(conf,counta('Draft Order'!B$2:B622)-COUNTUNIQUE(filter(D$2:D17,E$2:E17=conf)))),query({confs,confs_count,confs_picked,p_needs_conf_count},""select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">
      <c r="A19" s="1">
        <v>18.0</v>
      </c>
      <c r="B19" s="1">
        <v>2.0</v>
      </c>
      <c r="C19" s="1">
        <v>6.0</v>
      </c>
      <c r="D19" s="115" t="s">
        <v>96</v>
      </c>
      <c r="E19" s="116" t="str">
        <f>if(F19&lt;&gt;"",VLOOKUP(F19,offset('Teams-Conference'!A:B,0,(counta('Draft Order'!B$2:B622)-10)*2),2,0),"")</f>
        <v>SEC</v>
      </c>
      <c r="F19" s="117" t="s">
        <v>204</v>
      </c>
      <c r="G19" s="106" t="str">
        <f t="shared" si="1"/>
        <v>Regular Pick</v>
      </c>
      <c r="H19" s="106">
        <f t="shared" si="17"/>
        <v>1</v>
      </c>
      <c r="I19" s="106">
        <f t="shared" si="18"/>
        <v>1</v>
      </c>
      <c r="J19" s="106">
        <f t="shared" si="16"/>
        <v>1</v>
      </c>
      <c r="K19" s="106"/>
      <c r="L19" s="106">
        <v>11.0</v>
      </c>
      <c r="M19" s="106">
        <f>IFERROR(__xludf.DUMMYFUNCTION("counta(iferror(filter(L$2:L18,E$2:E18=E19,L$2:L18&lt;L19)))"),1.0)</f>
        <v>1</v>
      </c>
      <c r="N19" s="106">
        <f>IFERROR(__xludf.DUMMYFUNCTION("counta(iferror(filter(L20:L$121,E20:E$121=E19,L20:L$624&gt;L19)))"),0.0)</f>
        <v>0</v>
      </c>
      <c r="O19" s="106"/>
      <c r="P19" s="106" t="b">
        <f>IFERROR(__xludf.DUMMYFUNCTION("if(F19="""","""",let(wc_picked, countifs(E$1:E18,E19,G$1:G18,""This is your wild card pick""), let(spots_filled,counta(unique(filter(D$2:E19,E$2:E19=E19)))/2,let(total,VLOOKUP(E19,'Conf WC Eligibility'!A:C,3,0),if(E19=""zIndependent"", TRUE,total-wc_picke"&amp;"d&gt;12)))))"),TRUE)</f>
        <v>1</v>
      </c>
      <c r="Q19" s="107">
        <f t="array" ref="Q19:AB19">XLOOKUP(F19,'Current Week'!C:C,'Current Week'!D:O)</f>
        <v>11</v>
      </c>
      <c r="R19" s="106">
        <v>1.0</v>
      </c>
      <c r="S19" s="106" t="s">
        <v>730</v>
      </c>
      <c r="T19" s="106" t="s">
        <v>61</v>
      </c>
      <c r="U19" s="106" t="s">
        <v>395</v>
      </c>
      <c r="V19" s="106"/>
      <c r="W19" s="106" t="s">
        <v>67</v>
      </c>
      <c r="X19" s="106">
        <v>-14.0</v>
      </c>
      <c r="Y19" s="106" t="s">
        <v>67</v>
      </c>
      <c r="Z19" s="106">
        <v>59.5</v>
      </c>
      <c r="AA19" s="106">
        <v>387.0</v>
      </c>
      <c r="AB19" s="106">
        <v>200.0</v>
      </c>
      <c r="AC19" s="108" t="b">
        <v>1</v>
      </c>
      <c r="AD19" s="109">
        <f t="shared" si="4"/>
        <v>-1</v>
      </c>
      <c r="AE19" s="110">
        <f t="shared" si="5"/>
        <v>14</v>
      </c>
      <c r="AF19" s="110">
        <f>IFERROR(__xludf.DUMMYFUNCTION("iferror(COUNT(filter($Q20:$Q$400,$Q20:$Q$400&gt;$Q19)))"),1.0)</f>
        <v>1</v>
      </c>
      <c r="AG19" s="111">
        <f t="shared" si="6"/>
        <v>0</v>
      </c>
      <c r="AH19" s="112">
        <f t="shared" si="7"/>
        <v>8</v>
      </c>
      <c r="AI19" s="113" t="str">
        <f>IFERROR(__xludf.DUMMYFUNCTION("iferror(join("","",index(sort(filter($F20:$F$401,$Q20:$Q$401&gt;$Q19),2,false),0,1)))"),"Indiana")</f>
        <v>Indiana</v>
      </c>
      <c r="AJ19" s="114">
        <f>IFERROR(__xludf.DUMMYFUNCTION("iferror($Q19-max(filter($Q19:$Q$400,$E19:$E$400=$E$2)))"),-1.0)</f>
        <v>-1</v>
      </c>
      <c r="AK19" s="110">
        <f t="shared" si="8"/>
        <v>1</v>
      </c>
      <c r="AL19" s="110">
        <f>IFERROR(__xludf.DUMMYFUNCTION("iferror(COUNT(filter($Q20:$Q$400,$Q20:$Q$400&gt;$Q19,$E19:$E$400=$E$2)))"),0.0)</f>
        <v>0</v>
      </c>
      <c r="AM19" s="111">
        <f t="shared" si="9"/>
        <v>0</v>
      </c>
      <c r="AN19" s="110">
        <f>IFERROR(__xludf.DUMMYFUNCTION("iferror($Q19-min(filter($Q19:$Q$400,$E19:$E$400=$E$2)))"),9.0)</f>
        <v>9</v>
      </c>
      <c r="AO19" s="113" t="str">
        <f>IFERROR(__xludf.DUMMYFUNCTION("iferror(join("","",index(sort(filter($F20:$F$400,$Q20:$Q$400&gt;$Q19,$E20:$E$400=$E$2),2,false),0,1)))"),"Indiana")</f>
        <v>Indiana</v>
      </c>
      <c r="AP19" s="113" t="str">
        <f>IFERROR(__xludf.DUMMYFUNCTION("REGEXREPLACE(join("","",unique({let(conf_picked,filter(E$1:E18,D$1:D18=D19), byrow(unique(TRANSPOSe(Teams!$1:$1)),lambda(rw,if(ISERROR(match(rw,conf_picked,0)),rw,))));if(AW19,,transpose(split(AX19,"","",1,1)))})), ""^,"", """")"),"AAC,ACC,Big 12,Big Ten,CUSA,MAC,MWC,Pac12,SEC,Sun Belt,")</f>
        <v>AAC,ACC,Big 12,Big Ten,CUSA,MAC,MWC,Pac12,SEC,Sun Belt,</v>
      </c>
      <c r="AQ19" s="114">
        <f>IFERROR(__xludf.DUMMYFUNCTION("iferror($Q19-max(filter($Q19:$Q$400,arrayformula(isnumber(FIND($E19:$E$400,AP19))))))"),-1.0)</f>
        <v>-1</v>
      </c>
      <c r="AR19" s="110">
        <f t="array" ref="AR19">countifs($Q$2:$Q18,"&lt;"&amp;$Q19,isnumber(FIND($E$2:$E18,AP19)),TRUE)</f>
        <v>13</v>
      </c>
      <c r="AS19" s="110">
        <f>IFERROR(__xludf.DUMMYFUNCTION("iferror(COUNT(filter($Q20:$Q$400,$Q20:$Q$400&gt;$Q19,arrayformula(isnumber(FIND($E20:$E$400,AP19))))))"),1.0)</f>
        <v>1</v>
      </c>
      <c r="AT19" s="111">
        <f t="shared" si="10"/>
        <v>0</v>
      </c>
      <c r="AU19" s="110">
        <f>IFERROR(__xludf.DUMMYFUNCTION("iferror($Q19-min(filter($Q19:$Q$400,arrayformula(isnumber(FIND($E19:$E$400,AP19))))))"),11.0)</f>
        <v>11</v>
      </c>
      <c r="AV19" s="113" t="str">
        <f>IFERROR(__xludf.DUMMYFUNCTION("iferror(join("","",index(sort(filter($F20:$F$400,$Q20:$Q$400&gt;$Q19,arrayformula(isnumber(FIND($E20:$E$400,AP19)))),2,false),0,1)))"),"Indiana")</f>
        <v>Indiana</v>
      </c>
      <c r="AW19" s="113" t="b">
        <f>IFERROR(__xludf.DUMMYFUNCTION("isnumber(find(""wild card"",join("","",filter($G$1:$G18,$D$1:$D18=D19))))"),TRUE)</f>
        <v>1</v>
      </c>
      <c r="AX19" s="113" t="str">
        <f>IFERROR(__xludf.DUMMYFUNCTION("join("","",let(confs,unique(TRANSPOSe(Teams!$1:$1)), confs_count, BYROW(confs,lambda(conf,xlookup(conf,'Conf WC Eligibility'!A:A,'Conf WC Eligibility'!C:C,,))),confs_picked,byrow(confs,lambda(conf,countif(E$1:E18,conf))),p_needs_conf_count,byrow(confs,lam"&amp;"bda(conf,counta('Draft Order'!B$2:B622)-COUNTUNIQUE(filter(D$2:D18,E$2:E18=conf)))),query({confs,confs_count,confs_picked,p_needs_conf_count},""select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">
      <c r="A20" s="1">
        <v>19.0</v>
      </c>
      <c r="B20" s="1">
        <v>2.0</v>
      </c>
      <c r="C20" s="1">
        <v>7.0</v>
      </c>
      <c r="D20" s="115" t="s">
        <v>224</v>
      </c>
      <c r="E20" s="116" t="str">
        <f>if(F20&lt;&gt;"",VLOOKUP(F20,offset('Teams-Conference'!A:B,0,(counta('Draft Order'!B$2:B622)-10)*2),2,0),"")</f>
        <v>AAC</v>
      </c>
      <c r="F20" s="77" t="s">
        <v>103</v>
      </c>
      <c r="G20" s="106" t="str">
        <f t="shared" si="1"/>
        <v>Regular Pick</v>
      </c>
      <c r="H20" s="106">
        <f t="shared" si="17"/>
        <v>0</v>
      </c>
      <c r="I20" s="106">
        <f t="shared" si="18"/>
        <v>2</v>
      </c>
      <c r="J20" s="106">
        <f t="shared" si="16"/>
        <v>1</v>
      </c>
      <c r="K20" s="106"/>
      <c r="L20" s="106">
        <v>9.0</v>
      </c>
      <c r="M20" s="106">
        <f>IFERROR(__xludf.DUMMYFUNCTION("counta(iferror(filter(L$2:L19,E$2:E19=E20,L$2:L19&lt;L20)))"),1.0)</f>
        <v>1</v>
      </c>
      <c r="N20" s="106">
        <f>IFERROR(__xludf.DUMMYFUNCTION("counta(iferror(filter(L21:L$121,E21:E$121=E20,L21:L$624&gt;L20)))"),0.0)</f>
        <v>0</v>
      </c>
      <c r="O20" s="106"/>
      <c r="P20" s="106" t="b">
        <f>IFERROR(__xludf.DUMMYFUNCTION("if(F20="""","""",let(wc_picked, countifs(E$1:E19,E20,G$1:G19,""This is your wild card pick""), let(spots_filled,counta(unique(filter(D$2:E20,E$2:E20=E20)))/2,let(total,VLOOKUP(E20,'Conf WC Eligibility'!A:C,3,0),if(E20=""zIndependent"", TRUE,total-wc_picke"&amp;"d&gt;12)))))"),TRUE)</f>
        <v>1</v>
      </c>
      <c r="Q20" s="107">
        <f t="array" ref="Q20:AB20">XLOOKUP(F20,'Current Week'!C:C,'Current Week'!D:O)</f>
        <v>9</v>
      </c>
      <c r="R20" s="106">
        <v>2.0</v>
      </c>
      <c r="S20" s="106" t="s">
        <v>717</v>
      </c>
      <c r="T20" s="106" t="s">
        <v>61</v>
      </c>
      <c r="U20" s="106" t="s">
        <v>238</v>
      </c>
      <c r="V20" s="106"/>
      <c r="W20" s="106" t="s">
        <v>67</v>
      </c>
      <c r="X20" s="106">
        <v>3.5</v>
      </c>
      <c r="Y20" s="106" t="s">
        <v>67</v>
      </c>
      <c r="Z20" s="106">
        <v>57.5</v>
      </c>
      <c r="AA20" s="106">
        <v>357.0</v>
      </c>
      <c r="AB20" s="106">
        <v>296.0</v>
      </c>
      <c r="AC20" s="108" t="b">
        <v>1</v>
      </c>
      <c r="AD20" s="109">
        <f t="shared" si="4"/>
        <v>-3</v>
      </c>
      <c r="AE20" s="110">
        <f t="shared" si="5"/>
        <v>9</v>
      </c>
      <c r="AF20" s="110">
        <f>IFERROR(__xludf.DUMMYFUNCTION("iferror(COUNT(filter($Q21:$Q$400,$Q21:$Q$400&gt;$Q20)))"),11.0)</f>
        <v>11</v>
      </c>
      <c r="AG20" s="111">
        <f t="shared" si="6"/>
        <v>0</v>
      </c>
      <c r="AH20" s="112">
        <f t="shared" si="7"/>
        <v>6</v>
      </c>
      <c r="AI20" s="113" t="str">
        <f>IFERROR(__xludf.DUMMYFUNCTION("iferror(join("","",index(sort(filter($F21:$F$401,$Q21:$Q$401&gt;$Q20),2,false),0,1)))"),"Alabama,Utah,Texas Tech,Indiana,Ole Miss,North Texas,BYU,Texas A&amp;M,Oklahoma,Virginia,Vanderbilt")</f>
        <v>Alabama,Utah,Texas Tech,Indiana,Ole Miss,North Texas,BYU,Texas A&amp;M,Oklahoma,Virginia,Vanderbilt</v>
      </c>
      <c r="AJ20" s="114">
        <f>IFERROR(__xludf.DUMMYFUNCTION("iferror($Q20-max(filter($Q20:$Q$400,$E20:$E$400=$E$2)))"),-3.0)</f>
        <v>-3</v>
      </c>
      <c r="AK20" s="110">
        <f t="shared" si="8"/>
        <v>1</v>
      </c>
      <c r="AL20" s="110">
        <f>IFERROR(__xludf.DUMMYFUNCTION("iferror(COUNT(filter($Q21:$Q$400,$Q21:$Q$400&gt;$Q20,$E20:$E$400=$E$2)))"),0.0)</f>
        <v>0</v>
      </c>
      <c r="AM20" s="111">
        <f t="shared" si="9"/>
        <v>0</v>
      </c>
      <c r="AN20" s="110">
        <f>IFERROR(__xludf.DUMMYFUNCTION("iferror($Q20-min(filter($Q20:$Q$400,$E20:$E$400=$E$2)))"),7.0)</f>
        <v>7</v>
      </c>
      <c r="AO20" s="113" t="str">
        <f>IFERROR(__xludf.DUMMYFUNCTION("iferror(join("","",index(sort(filter($F21:$F$400,$Q21:$Q$400&gt;$Q20,$E21:$E$400=$E$2),2,false),0,1)))"),"Indiana")</f>
        <v>Indiana</v>
      </c>
      <c r="AP20" s="113" t="str">
        <f>IFERROR(__xludf.DUMMYFUNCTION("REGEXREPLACE(join("","",unique({let(conf_picked,filter(E$1:E19,D$1:D19=D20), byrow(unique(TRANSPOSe(Teams!$1:$1)),lambda(rw,if(ISERROR(match(rw,conf_picked,0)),rw,))));if(AW20,,transpose(split(AX20,"","",1,1)))})), ""^,"", """")"),"AAC,ACC,Big 12,Big Ten,CUSA,MAC,,Pac12,SEC,Sun Belt,zIndependent")</f>
        <v>AAC,ACC,Big 12,Big Ten,CUSA,MAC,,Pac12,SEC,Sun Belt,zIndependent</v>
      </c>
      <c r="AQ20" s="114">
        <f>IFERROR(__xludf.DUMMYFUNCTION("iferror($Q20-max(filter($Q20:$Q$400,arrayformula(isnumber(FIND($E20:$E$400,AP20))))))"),-3.0)</f>
        <v>-3</v>
      </c>
      <c r="AR20" s="110">
        <f t="array" ref="AR20">countifs($Q$2:$Q19,"&lt;"&amp;$Q20,isnumber(FIND($E$2:$E19,AP20)),TRUE)</f>
        <v>7</v>
      </c>
      <c r="AS20" s="110">
        <f>IFERROR(__xludf.DUMMYFUNCTION("iferror(COUNT(filter($Q21:$Q$400,$Q21:$Q$400&gt;$Q20,arrayformula(isnumber(FIND($E21:$E$400,AP20))))))"),11.0)</f>
        <v>11</v>
      </c>
      <c r="AT20" s="111">
        <f t="shared" si="10"/>
        <v>0</v>
      </c>
      <c r="AU20" s="110">
        <f>IFERROR(__xludf.DUMMYFUNCTION("iferror($Q20-min(filter($Q20:$Q$400,arrayformula(isnumber(FIND($E20:$E$400,AP20))))))"),9.0)</f>
        <v>9</v>
      </c>
      <c r="AV20" s="113" t="str">
        <f>IFERROR(__xludf.DUMMYFUNCTION("iferror(join("","",index(sort(filter($F21:$F$400,$Q21:$Q$400&gt;$Q20,arrayformula(isnumber(FIND($E21:$E$400,AP20)))),2,false),0,1)))"),"Alabama,Utah,Texas Tech,Indiana,Ole Miss,North Texas,BYU,Texas A&amp;M,Oklahoma,Virginia,Vanderbilt")</f>
        <v>Alabama,Utah,Texas Tech,Indiana,Ole Miss,North Texas,BYU,Texas A&amp;M,Oklahoma,Virginia,Vanderbilt</v>
      </c>
      <c r="AW20" s="113" t="b">
        <f>IFERROR(__xludf.DUMMYFUNCTION("isnumber(find(""wild card"",join("","",filter($G$1:$G19,$D$1:$D19=D20))))"),FALSE)</f>
        <v>0</v>
      </c>
      <c r="AX20" s="113" t="str">
        <f>IFERROR(__xludf.DUMMYFUNCTION("join("","",let(confs,unique(TRANSPOSe(Teams!$1:$1)), confs_count, BYROW(confs,lambda(conf,xlookup(conf,'Conf WC Eligibility'!A:A,'Conf WC Eligibility'!C:C,,))),confs_picked,byrow(confs,lambda(conf,countif(E$1:E19,conf))),p_needs_conf_count,byrow(confs,lam"&amp;"bda(conf,counta('Draft Order'!B$2:B622)-COUNTUNIQUE(filter(D$2:D19,E$2:E19=conf)))),query({confs,confs_count,confs_picked,p_needs_conf_count},""select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">
      <c r="A21" s="1">
        <v>20.0</v>
      </c>
      <c r="B21" s="1">
        <v>2.0</v>
      </c>
      <c r="C21" s="1">
        <v>8.0</v>
      </c>
      <c r="D21" s="115" t="s">
        <v>311</v>
      </c>
      <c r="E21" s="116" t="str">
        <f>if(F21&lt;&gt;"",VLOOKUP(F21,offset('Teams-Conference'!A:B,0,(counta('Draft Order'!B$2:B622)-10)*2),2,0),"")</f>
        <v>Big Ten</v>
      </c>
      <c r="F21" s="77" t="s">
        <v>139</v>
      </c>
      <c r="G21" s="106" t="str">
        <f t="shared" si="1"/>
        <v>This is your wild card pick</v>
      </c>
      <c r="H21" s="106">
        <f t="shared" si="17"/>
        <v>1</v>
      </c>
      <c r="I21" s="106">
        <f t="shared" si="18"/>
        <v>3</v>
      </c>
      <c r="J21" s="106">
        <f t="shared" si="16"/>
        <v>0</v>
      </c>
      <c r="K21" s="106"/>
      <c r="L21" s="106">
        <v>9.0</v>
      </c>
      <c r="M21" s="106">
        <f>IFERROR(__xludf.DUMMYFUNCTION("counta(iferror(filter(L$2:L20,E$2:E20=E21,L$2:L20&lt;L21)))"),1.0)</f>
        <v>1</v>
      </c>
      <c r="N21" s="106">
        <f>IFERROR(__xludf.DUMMYFUNCTION("counta(iferror(filter(L22:L$121,E22:E$121=E21,L22:L$624&gt;L21)))"),0.0)</f>
        <v>0</v>
      </c>
      <c r="O21" s="106"/>
      <c r="P21" s="106" t="b">
        <f>IFERROR(__xludf.DUMMYFUNCTION("if(F21="""","""",let(wc_picked, countifs(E$1:E20,E21,G$1:G20,""This is your wild card pick""), let(spots_filled,counta(unique(filter(D$2:E21,E$2:E21=E21)))/2,let(total,VLOOKUP(E21,'Conf WC Eligibility'!A:C,3,0),if(E21=""zIndependent"", TRUE,total-wc_picke"&amp;"d&gt;12)))))"),TRUE)</f>
        <v>1</v>
      </c>
      <c r="Q21" s="107">
        <f t="array" ref="Q21:AB21">XLOOKUP(F21,'Current Week'!C:C,'Current Week'!D:O)</f>
        <v>9</v>
      </c>
      <c r="R21" s="106">
        <v>3.0</v>
      </c>
      <c r="S21" s="106" t="s">
        <v>684</v>
      </c>
      <c r="T21" s="106" t="s">
        <v>61</v>
      </c>
      <c r="U21" s="106" t="s">
        <v>193</v>
      </c>
      <c r="V21" s="106"/>
      <c r="W21" s="106" t="s">
        <v>67</v>
      </c>
      <c r="X21" s="106">
        <v>10.5</v>
      </c>
      <c r="Y21" s="106" t="s">
        <v>67</v>
      </c>
      <c r="Z21" s="106">
        <v>43.5</v>
      </c>
      <c r="AA21" s="106">
        <v>331.0</v>
      </c>
      <c r="AB21" s="106">
        <v>224.0</v>
      </c>
      <c r="AC21" s="108" t="b">
        <v>1</v>
      </c>
      <c r="AD21" s="109">
        <f t="shared" si="4"/>
        <v>-3</v>
      </c>
      <c r="AE21" s="110">
        <f t="shared" si="5"/>
        <v>9</v>
      </c>
      <c r="AF21" s="110">
        <f>IFERROR(__xludf.DUMMYFUNCTION("iferror(COUNT(filter($Q22:$Q$400,$Q22:$Q$400&gt;$Q21)))"),11.0)</f>
        <v>11</v>
      </c>
      <c r="AG21" s="111">
        <f t="shared" si="6"/>
        <v>0</v>
      </c>
      <c r="AH21" s="112">
        <f t="shared" si="7"/>
        <v>6</v>
      </c>
      <c r="AI21" s="113" t="str">
        <f>IFERROR(__xludf.DUMMYFUNCTION("iferror(join("","",index(sort(filter($F22:$F$401,$Q22:$Q$401&gt;$Q21),2,false),0,1)))"),"Alabama,Utah,Texas Tech,Indiana,Ole Miss,North Texas,BYU,Texas A&amp;M,Oklahoma,Virginia,Vanderbilt")</f>
        <v>Alabama,Utah,Texas Tech,Indiana,Ole Miss,North Texas,BYU,Texas A&amp;M,Oklahoma,Virginia,Vanderbilt</v>
      </c>
      <c r="AJ21" s="114">
        <f>IFERROR(__xludf.DUMMYFUNCTION("iferror($Q21-max(filter($Q21:$Q$400,$E21:$E$400=$E$2)))"),-3.0)</f>
        <v>-3</v>
      </c>
      <c r="AK21" s="110">
        <f t="shared" si="8"/>
        <v>1</v>
      </c>
      <c r="AL21" s="110">
        <f>IFERROR(__xludf.DUMMYFUNCTION("iferror(COUNT(filter($Q22:$Q$400,$Q22:$Q$400&gt;$Q21,$E21:$E$400=$E$2)))"),0.0)</f>
        <v>0</v>
      </c>
      <c r="AM21" s="111">
        <f t="shared" si="9"/>
        <v>0</v>
      </c>
      <c r="AN21" s="110">
        <f>IFERROR(__xludf.DUMMYFUNCTION("iferror($Q21-min(filter($Q21:$Q$400,$E21:$E$400=$E$2)))"),7.0)</f>
        <v>7</v>
      </c>
      <c r="AO21" s="113" t="str">
        <f>IFERROR(__xludf.DUMMYFUNCTION("iferror(join("","",index(sort(filter($F22:$F$400,$Q22:$Q$400&gt;$Q21,$E22:$E$400=$E$2),2,false),0,1)))"),"Indiana")</f>
        <v>Indiana</v>
      </c>
      <c r="AP21" s="113" t="str">
        <f>IFERROR(__xludf.DUMMYFUNCTION("REGEXREPLACE(join("","",unique({let(conf_picked,filter(E$1:E20,D$1:D20=D21), byrow(unique(TRANSPOSe(Teams!$1:$1)),lambda(rw,if(ISERROR(match(rw,conf_picked,0)),rw,))));if(AW21,,transpose(split(AX21,"","",1,1)))})), ""^,"", """")"),"AAC,ACC,Big 12,,CUSA,MAC,MWC,Pac12,SEC,Sun Belt,zIndependent,Big Ten")</f>
        <v>AAC,ACC,Big 12,,CUSA,MAC,MWC,Pac12,SEC,Sun Belt,zIndependent,Big Ten</v>
      </c>
      <c r="AQ21" s="114">
        <f>IFERROR(__xludf.DUMMYFUNCTION("iferror($Q21-max(filter($Q21:$Q$400,arrayformula(isnumber(FIND($E21:$E$400,AP21))))))"),-3.0)</f>
        <v>-3</v>
      </c>
      <c r="AR21" s="110">
        <f t="array" ref="AR21">countifs($Q$2:$Q20,"&lt;"&amp;$Q21,isnumber(FIND($E$2:$E20,AP21)),TRUE)</f>
        <v>9</v>
      </c>
      <c r="AS21" s="110">
        <f>IFERROR(__xludf.DUMMYFUNCTION("iferror(COUNT(filter($Q22:$Q$400,$Q22:$Q$400&gt;$Q21,arrayformula(isnumber(FIND($E22:$E$400,AP21))))))"),11.0)</f>
        <v>11</v>
      </c>
      <c r="AT21" s="111">
        <f t="shared" si="10"/>
        <v>0</v>
      </c>
      <c r="AU21" s="110">
        <f>IFERROR(__xludf.DUMMYFUNCTION("iferror($Q21-min(filter($Q21:$Q$400,arrayformula(isnumber(FIND($E21:$E$400,AP21))))))"),9.0)</f>
        <v>9</v>
      </c>
      <c r="AV21" s="113" t="str">
        <f>IFERROR(__xludf.DUMMYFUNCTION("iferror(join("","",index(sort(filter($F22:$F$400,$Q22:$Q$400&gt;$Q21,arrayformula(isnumber(FIND($E22:$E$400,AP21)))),2,false),0,1)))"),"Alabama,Utah,Texas Tech,Indiana,Ole Miss,North Texas,BYU,Texas A&amp;M,Oklahoma,Virginia,Vanderbilt")</f>
        <v>Alabama,Utah,Texas Tech,Indiana,Ole Miss,North Texas,BYU,Texas A&amp;M,Oklahoma,Virginia,Vanderbilt</v>
      </c>
      <c r="AW21" s="113" t="b">
        <f>IFERROR(__xludf.DUMMYFUNCTION("isnumber(find(""wild card"",join("","",filter($G$1:$G20,$D$1:$D20=D21))))"),FALSE)</f>
        <v>0</v>
      </c>
      <c r="AX21" s="113" t="str">
        <f>IFERROR(__xludf.DUMMYFUNCTION("join("","",let(confs,unique(TRANSPOSe(Teams!$1:$1)), confs_count, BYROW(confs,lambda(conf,xlookup(conf,'Conf WC Eligibility'!A:A,'Conf WC Eligibility'!C:C,,))),confs_picked,byrow(confs,lambda(conf,countif(E$1:E20,conf))),p_needs_conf_count,byrow(confs,lam"&amp;"bda(conf,counta('Draft Order'!B$2:B622)-COUNTUNIQUE(filter(D$2:D20,E$2:E20=conf)))),query({confs,confs_count,confs_picked,p_needs_conf_count},""select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">
      <c r="A22" s="1">
        <v>21.0</v>
      </c>
      <c r="B22" s="1">
        <v>2.0</v>
      </c>
      <c r="C22" s="1">
        <v>9.0</v>
      </c>
      <c r="D22" s="115" t="s">
        <v>193</v>
      </c>
      <c r="E22" s="116" t="str">
        <f>if(F22&lt;&gt;"",VLOOKUP(F22,offset('Teams-Conference'!A:B,0,(counta('Draft Order'!B$2:B622)-10)*2),2,0),"")</f>
        <v>ACC</v>
      </c>
      <c r="F22" s="77" t="s">
        <v>104</v>
      </c>
      <c r="G22" s="106" t="str">
        <f t="shared" si="1"/>
        <v>Regular Pick</v>
      </c>
      <c r="H22" s="106">
        <f t="shared" si="17"/>
        <v>0</v>
      </c>
      <c r="I22" s="106">
        <f t="shared" si="18"/>
        <v>1</v>
      </c>
      <c r="J22" s="106">
        <f t="shared" si="16"/>
        <v>1</v>
      </c>
      <c r="K22" s="106">
        <f t="shared" ref="K22:K31" si="19">countif(E3:E22,E23)</f>
        <v>2</v>
      </c>
      <c r="L22" s="106">
        <v>8.0</v>
      </c>
      <c r="M22" s="106">
        <f>IFERROR(__xludf.DUMMYFUNCTION("counta(iferror(filter(L$2:L21,E$2:E21=E22,L$2:L21&lt;L22)))"),1.0)</f>
        <v>1</v>
      </c>
      <c r="N22" s="106">
        <f>IFERROR(__xludf.DUMMYFUNCTION("counta(iferror(filter(L23:L$121,E23:E$121=E22,L23:L$624&gt;L22)))"),0.0)</f>
        <v>0</v>
      </c>
      <c r="O22" s="106"/>
      <c r="P22" s="106" t="b">
        <f>IFERROR(__xludf.DUMMYFUNCTION("if(F22="""","""",let(wc_picked, countifs(E$1:E21,E22,G$1:G21,""This is your wild card pick""), let(spots_filled,counta(unique(filter(D$2:E22,E$2:E22=E22)))/2,let(total,VLOOKUP(E22,'Conf WC Eligibility'!A:C,3,0),if(E22=""zIndependent"", TRUE,total-wc_picke"&amp;"d&gt;12)))))"),TRUE)</f>
        <v>1</v>
      </c>
      <c r="Q22" s="107">
        <f t="array" ref="Q22:AB22">XLOOKUP(F22,'Current Week'!C:C,'Current Week'!D:O)</f>
        <v>8</v>
      </c>
      <c r="R22" s="106">
        <v>4.0</v>
      </c>
      <c r="S22" s="106" t="s">
        <v>625</v>
      </c>
      <c r="T22" s="106" t="s">
        <v>61</v>
      </c>
      <c r="U22" s="106" t="s">
        <v>62</v>
      </c>
      <c r="V22" s="106"/>
      <c r="W22" s="106" t="s">
        <v>67</v>
      </c>
      <c r="X22" s="106">
        <v>-13.5</v>
      </c>
      <c r="Y22" s="106" t="s">
        <v>67</v>
      </c>
      <c r="Z22" s="106">
        <v>53.5</v>
      </c>
      <c r="AA22" s="106">
        <v>395.0</v>
      </c>
      <c r="AB22" s="106">
        <v>248.0</v>
      </c>
      <c r="AC22" s="108" t="b">
        <v>1</v>
      </c>
      <c r="AD22" s="109">
        <f t="shared" si="4"/>
        <v>-4</v>
      </c>
      <c r="AE22" s="110">
        <f t="shared" si="5"/>
        <v>5</v>
      </c>
      <c r="AF22" s="110">
        <f>IFERROR(__xludf.DUMMYFUNCTION("iferror(COUNT(filter($Q23:$Q$400,$Q23:$Q$400&gt;$Q22)))"),21.0)</f>
        <v>21</v>
      </c>
      <c r="AG22" s="111">
        <f t="shared" si="6"/>
        <v>0</v>
      </c>
      <c r="AH22" s="112">
        <f t="shared" si="7"/>
        <v>5</v>
      </c>
      <c r="AI22" s="113" t="str">
        <f>IFERROR(__xludf.DUMMYFUNCTION("iferror(join("","",index(sort(filter($F23:$F$401,$Q23:$Q$401&gt;$Q22),2,false),0,1)))"),"Alabama,Utah,Texas Tech,USC,Indiana,Ole Miss,North Texas,South Florida,BYU,Texas A&amp;M,Georgia Tech,Oklahoma,Old Dominion,UConn,Houston,San Diego State,Virginia,Vanderbilt,New Mexico,Kennesaw State,Arizona")</f>
        <v>Alabama,Utah,Texas Tech,USC,Indiana,Ole Miss,North Texas,South Florida,BYU,Texas A&amp;M,Georgia Tech,Oklahoma,Old Dominion,UConn,Houston,San Diego State,Virginia,Vanderbilt,New Mexico,Kennesaw State,Arizona</v>
      </c>
      <c r="AJ22" s="114">
        <f>IFERROR(__xludf.DUMMYFUNCTION("iferror($Q22-max(filter($Q22:$Q$400,$E22:$E$400=$E$2)))"),-4.0)</f>
        <v>-4</v>
      </c>
      <c r="AK22" s="110">
        <f t="shared" si="8"/>
        <v>1</v>
      </c>
      <c r="AL22" s="110">
        <f>IFERROR(__xludf.DUMMYFUNCTION("iferror(COUNT(filter($Q23:$Q$400,$Q23:$Q$400&gt;$Q22,$E22:$E$400=$E$2)))"),0.0)</f>
        <v>0</v>
      </c>
      <c r="AM22" s="111">
        <f t="shared" si="9"/>
        <v>0</v>
      </c>
      <c r="AN22" s="110">
        <f>IFERROR(__xludf.DUMMYFUNCTION("iferror($Q22-min(filter($Q22:$Q$400,$E22:$E$400=$E$2)))"),6.0)</f>
        <v>6</v>
      </c>
      <c r="AO22" s="113" t="str">
        <f>IFERROR(__xludf.DUMMYFUNCTION("iferror(join("","",index(sort(filter($F23:$F$400,$Q23:$Q$400&gt;$Q22,$E23:$E$400=$E$2),2,false),0,1)))"),"USC,Indiana")</f>
        <v>USC,Indiana</v>
      </c>
      <c r="AP22" s="113" t="str">
        <f>IFERROR(__xludf.DUMMYFUNCTION("REGEXREPLACE(join("","",unique({let(conf_picked,filter(E$1:E21,D$1:D21=D22), byrow(unique(TRANSPOSe(Teams!$1:$1)),lambda(rw,if(ISERROR(match(rw,conf_picked,0)),rw,))));if(AW22,,transpose(split(AX22,"","",1,1)))})), ""^,"", """")"),"AAC,ACC,Big 12,,CUSA,MAC,MWC,Pac12,SEC,Sun Belt,zIndependent,Big Ten")</f>
        <v>AAC,ACC,Big 12,,CUSA,MAC,MWC,Pac12,SEC,Sun Belt,zIndependent,Big Ten</v>
      </c>
      <c r="AQ22" s="114">
        <f>IFERROR(__xludf.DUMMYFUNCTION("iferror($Q22-max(filter($Q22:$Q$400,arrayformula(isnumber(FIND($E22:$E$400,AP22))))))"),-4.0)</f>
        <v>-4</v>
      </c>
      <c r="AR22" s="110">
        <f t="array" ref="AR22">countifs($Q$2:$Q21,"&lt;"&amp;$Q22,isnumber(FIND($E$2:$E21,AP22)),TRUE)</f>
        <v>5</v>
      </c>
      <c r="AS22" s="110">
        <f>IFERROR(__xludf.DUMMYFUNCTION("iferror(COUNT(filter($Q23:$Q$400,$Q23:$Q$400&gt;$Q22,arrayformula(isnumber(FIND($E23:$E$400,AP22))))))"),21.0)</f>
        <v>21</v>
      </c>
      <c r="AT22" s="111">
        <f t="shared" si="10"/>
        <v>0</v>
      </c>
      <c r="AU22" s="110">
        <f>IFERROR(__xludf.DUMMYFUNCTION("iferror($Q22-min(filter($Q22:$Q$400,arrayformula(isnumber(FIND($E22:$E$400,AP22))))))"),8.0)</f>
        <v>8</v>
      </c>
      <c r="AV22" s="113" t="str">
        <f>IFERROR(__xludf.DUMMYFUNCTION("iferror(join("","",index(sort(filter($F23:$F$400,$Q23:$Q$400&gt;$Q22,arrayformula(isnumber(FIND($E23:$E$400,AP22)))),2,false),0,1)))"),"Alabama,Utah,Texas Tech,USC,Indiana,Ole Miss,North Texas,South Florida,BYU,Texas A&amp;M,Georgia Tech,Oklahoma,Old Dominion,UConn,Houston,San Diego State,Virginia,Vanderbilt,New Mexico,Kennesaw State,Arizona")</f>
        <v>Alabama,Utah,Texas Tech,USC,Indiana,Ole Miss,North Texas,South Florida,BYU,Texas A&amp;M,Georgia Tech,Oklahoma,Old Dominion,UConn,Houston,San Diego State,Virginia,Vanderbilt,New Mexico,Kennesaw State,Arizona</v>
      </c>
      <c r="AW22" s="113" t="b">
        <f>IFERROR(__xludf.DUMMYFUNCTION("isnumber(find(""wild card"",join("","",filter($G$1:$G21,$D$1:$D21=D22))))"),FALSE)</f>
        <v>0</v>
      </c>
      <c r="AX22" s="113" t="str">
        <f>IFERROR(__xludf.DUMMYFUNCTION("join("","",let(confs,unique(TRANSPOSe(Teams!$1:$1)), confs_count, BYROW(confs,lambda(conf,xlookup(conf,'Conf WC Eligibility'!A:A,'Conf WC Eligibility'!C:C,,))),confs_picked,byrow(confs,lambda(conf,countif(E$1:E21,conf))),p_needs_conf_count,byrow(confs,lam"&amp;"bda(conf,counta('Draft Order'!B$2:B622)-COUNTUNIQUE(filter(D$2:D21,E$2:E21=conf)))),query({confs,confs_count,confs_picked,p_needs_conf_count},""select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">
      <c r="A23" s="1">
        <v>22.0</v>
      </c>
      <c r="B23" s="1">
        <v>2.0</v>
      </c>
      <c r="C23" s="1">
        <v>10.0</v>
      </c>
      <c r="D23" s="115" t="s">
        <v>62</v>
      </c>
      <c r="E23" s="116" t="str">
        <f>if(F23&lt;&gt;"",VLOOKUP(F23,offset('Teams-Conference'!A:B,0,(counta('Draft Order'!B$2:B622)-10)*2),2,0),"")</f>
        <v>SEC</v>
      </c>
      <c r="F23" s="77" t="s">
        <v>201</v>
      </c>
      <c r="G23" s="106" t="str">
        <f t="shared" si="1"/>
        <v>Regular Pick</v>
      </c>
      <c r="H23" s="106">
        <f t="shared" si="17"/>
        <v>0</v>
      </c>
      <c r="I23" s="106">
        <f t="shared" si="18"/>
        <v>1</v>
      </c>
      <c r="J23" s="106">
        <f t="shared" si="16"/>
        <v>2</v>
      </c>
      <c r="K23" s="106">
        <f t="shared" si="19"/>
        <v>0</v>
      </c>
      <c r="L23" s="106">
        <v>10.0</v>
      </c>
      <c r="M23" s="106">
        <f>IFERROR(__xludf.DUMMYFUNCTION("counta(iferror(filter(L$2:L22,E$2:E22=E23,L$2:L22&lt;L23)))"),1.0)</f>
        <v>1</v>
      </c>
      <c r="N23" s="106">
        <f>IFERROR(__xludf.DUMMYFUNCTION("counta(iferror(filter(L24:L$121,E24:E$121=E23,L24:L$624&gt;L23)))"),0.0)</f>
        <v>0</v>
      </c>
      <c r="O23" s="106"/>
      <c r="P23" s="106" t="b">
        <f>IFERROR(__xludf.DUMMYFUNCTION("if(F23="""","""",let(wc_picked, countifs(E$1:E22,E23,G$1:G22,""This is your wild card pick""), let(spots_filled,counta(unique(filter(D$2:E23,E$2:E23=E23)))/2,let(total,VLOOKUP(E23,'Conf WC Eligibility'!A:C,3,0),if(E23=""zIndependent"", TRUE,total-wc_picke"&amp;"d&gt;12)))))"),TRUE)</f>
        <v>1</v>
      </c>
      <c r="Q23" s="107">
        <f t="array" ref="Q23:AB23">XLOOKUP(F23,'Current Week'!C:C,'Current Week'!D:O)</f>
        <v>10</v>
      </c>
      <c r="R23" s="106">
        <v>2.0</v>
      </c>
      <c r="S23" s="106" t="s">
        <v>57</v>
      </c>
      <c r="T23" s="106" t="s">
        <v>61</v>
      </c>
      <c r="U23" s="106" t="s">
        <v>43</v>
      </c>
      <c r="V23" s="106"/>
      <c r="W23" s="106" t="s">
        <v>67</v>
      </c>
      <c r="X23" s="106">
        <v>-5.5</v>
      </c>
      <c r="Y23" s="106" t="s">
        <v>67</v>
      </c>
      <c r="Z23" s="106">
        <v>46.5</v>
      </c>
      <c r="AA23" s="106">
        <v>399.0</v>
      </c>
      <c r="AB23" s="106">
        <v>198.0</v>
      </c>
      <c r="AC23" s="108" t="b">
        <v>1</v>
      </c>
      <c r="AD23" s="109">
        <f t="shared" si="4"/>
        <v>-2</v>
      </c>
      <c r="AE23" s="110">
        <f t="shared" si="5"/>
        <v>13</v>
      </c>
      <c r="AF23" s="110">
        <f>IFERROR(__xludf.DUMMYFUNCTION("iferror(COUNT(filter($Q24:$Q$400,$Q24:$Q$400&gt;$Q23)))"),6.0)</f>
        <v>6</v>
      </c>
      <c r="AG23" s="111">
        <f t="shared" si="6"/>
        <v>0</v>
      </c>
      <c r="AH23" s="112">
        <f t="shared" si="7"/>
        <v>7</v>
      </c>
      <c r="AI23" s="113" t="str">
        <f>IFERROR(__xludf.DUMMYFUNCTION("iferror(join("","",index(sort(filter($F24:$F$401,$Q24:$Q$401&gt;$Q23),2,false),0,1)))"),"Texas Tech,Indiana,Ole Miss,North Texas,BYU,Texas A&amp;M")</f>
        <v>Texas Tech,Indiana,Ole Miss,North Texas,BYU,Texas A&amp;M</v>
      </c>
      <c r="AJ23" s="114">
        <f>IFERROR(__xludf.DUMMYFUNCTION("iferror($Q23-max(filter($Q23:$Q$400,$E23:$E$400=$E$2)))"),-2.0)</f>
        <v>-2</v>
      </c>
      <c r="AK23" s="110">
        <f t="shared" si="8"/>
        <v>2</v>
      </c>
      <c r="AL23" s="110">
        <f>IFERROR(__xludf.DUMMYFUNCTION("iferror(COUNT(filter($Q24:$Q$400,$Q24:$Q$400&gt;$Q23,$E23:$E$400=$E$2)))"),0.0)</f>
        <v>0</v>
      </c>
      <c r="AM23" s="111">
        <f t="shared" si="9"/>
        <v>0</v>
      </c>
      <c r="AN23" s="110">
        <f>IFERROR(__xludf.DUMMYFUNCTION("iferror($Q23-min(filter($Q23:$Q$400,$E23:$E$400=$E$2)))"),8.0)</f>
        <v>8</v>
      </c>
      <c r="AO23" s="113" t="str">
        <f>IFERROR(__xludf.DUMMYFUNCTION("iferror(join("","",index(sort(filter($F24:$F$400,$Q24:$Q$400&gt;$Q23,$E24:$E$400=$E$2),2,false),0,1)))"),"Indiana")</f>
        <v>Indiana</v>
      </c>
      <c r="AP23" s="113" t="str">
        <f>IFERROR(__xludf.DUMMYFUNCTION("REGEXREPLACE(join("","",unique({let(conf_picked,filter(E$1:E22,D$1:D22=D23), byrow(unique(TRANSPOSe(Teams!$1:$1)),lambda(rw,if(ISERROR(match(rw,conf_picked,0)),rw,))));if(AW23,,transpose(split(AX23,"","",1,1)))})), ""^,"", """")"),"AAC,ACC,Big 12,Big Ten,,MAC,MWC,Pac12,SEC,Sun Belt,zIndependent")</f>
        <v>AAC,ACC,Big 12,Big Ten,,MAC,MWC,Pac12,SEC,Sun Belt,zIndependent</v>
      </c>
      <c r="AQ23" s="114">
        <f>IFERROR(__xludf.DUMMYFUNCTION("iferror($Q23-max(filter($Q23:$Q$400,arrayformula(isnumber(FIND($E23:$E$400,AP23))))))"),-2.0)</f>
        <v>-2</v>
      </c>
      <c r="AR23" s="110">
        <f t="array" ref="AR23">countifs($Q$2:$Q22,"&lt;"&amp;$Q23,isnumber(FIND($E$2:$E22,AP23)),TRUE)</f>
        <v>11</v>
      </c>
      <c r="AS23" s="110">
        <f>IFERROR(__xludf.DUMMYFUNCTION("iferror(COUNT(filter($Q24:$Q$400,$Q24:$Q$400&gt;$Q23,arrayformula(isnumber(FIND($E24:$E$400,AP23))))))"),6.0)</f>
        <v>6</v>
      </c>
      <c r="AT23" s="111">
        <f t="shared" si="10"/>
        <v>0</v>
      </c>
      <c r="AU23" s="110">
        <f>IFERROR(__xludf.DUMMYFUNCTION("iferror($Q23-min(filter($Q23:$Q$400,arrayformula(isnumber(FIND($E23:$E$400,AP23))))))"),10.0)</f>
        <v>10</v>
      </c>
      <c r="AV23" s="113" t="str">
        <f>IFERROR(__xludf.DUMMYFUNCTION("iferror(join("","",index(sort(filter($F24:$F$400,$Q24:$Q$400&gt;$Q23,arrayformula(isnumber(FIND($E24:$E$400,AP23)))),2,false),0,1)))"),"Texas Tech,Indiana,Ole Miss,North Texas,BYU,Texas A&amp;M")</f>
        <v>Texas Tech,Indiana,Ole Miss,North Texas,BYU,Texas A&amp;M</v>
      </c>
      <c r="AW23" s="113" t="b">
        <f>IFERROR(__xludf.DUMMYFUNCTION("isnumber(find(""wild card"",join("","",filter($G$1:$G22,$D$1:$D22=D23))))"),FALSE)</f>
        <v>0</v>
      </c>
      <c r="AX23" s="113" t="str">
        <f>IFERROR(__xludf.DUMMYFUNCTION("join("","",let(confs,unique(TRANSPOSe(Teams!$1:$1)), confs_count, BYROW(confs,lambda(conf,xlookup(conf,'Conf WC Eligibility'!A:A,'Conf WC Eligibility'!C:C,,))),confs_picked,byrow(confs,lambda(conf,countif(E$1:E22,conf))),p_needs_conf_count,byrow(confs,lam"&amp;"bda(conf,counta('Draft Order'!B$2:B622)-COUNTUNIQUE(filter(D$2:D22,E$2:E22=conf)))),query({confs,confs_count,confs_picked,p_needs_conf_count},""select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">
      <c r="A24" s="1">
        <v>23.0</v>
      </c>
      <c r="B24" s="1">
        <v>2.0</v>
      </c>
      <c r="C24" s="1">
        <v>11.0</v>
      </c>
      <c r="D24" s="115" t="s">
        <v>95</v>
      </c>
      <c r="E24" s="116" t="str">
        <f>if(F24&lt;&gt;"",VLOOKUP(F24,offset('Teams-Conference'!A:B,0,(counta('Draft Order'!B$2:B622)-10)*2),2,0),"")</f>
        <v>Big 12</v>
      </c>
      <c r="F24" s="77" t="s">
        <v>198</v>
      </c>
      <c r="G24" s="106" t="str">
        <f t="shared" si="1"/>
        <v>Regular Pick</v>
      </c>
      <c r="H24" s="106">
        <f t="shared" si="17"/>
        <v>3</v>
      </c>
      <c r="I24" s="106">
        <f t="shared" si="18"/>
        <v>4</v>
      </c>
      <c r="J24" s="106">
        <f t="shared" ref="J24:J25" si="20">countif(E14:E23,E24)</f>
        <v>0</v>
      </c>
      <c r="K24" s="106">
        <f t="shared" si="19"/>
        <v>1</v>
      </c>
      <c r="L24" s="106">
        <v>10.0</v>
      </c>
      <c r="M24" s="106">
        <f>IFERROR(__xludf.DUMMYFUNCTION("counta(iferror(filter(L$2:L23,E$2:E23=E24,L$2:L23&lt;L24)))"),0.0)</f>
        <v>0</v>
      </c>
      <c r="N24" s="106">
        <f>IFERROR(__xludf.DUMMYFUNCTION("counta(iferror(filter(L25:L$121,E25:E$121=E24,L25:L$624&gt;L24)))"),0.0)</f>
        <v>0</v>
      </c>
      <c r="O24" s="106"/>
      <c r="P24" s="106" t="b">
        <f>IFERROR(__xludf.DUMMYFUNCTION("if(F24="""","""",let(wc_picked, countifs(E$1:E23,E24,G$1:G23,""This is your wild card pick""), let(spots_filled,counta(unique(filter(D$2:E24,E$2:E24=E24)))/2,let(total,VLOOKUP(E24,'Conf WC Eligibility'!A:C,3,0),if(E24=""zIndependent"", TRUE,total-wc_picke"&amp;"d&gt;12)))))"),TRUE)</f>
        <v>1</v>
      </c>
      <c r="Q24" s="107">
        <f t="array" ref="Q24:AB24">XLOOKUP(F24,'Current Week'!C:C,'Current Week'!D:O)</f>
        <v>10</v>
      </c>
      <c r="R24" s="106">
        <v>2.0</v>
      </c>
      <c r="S24" s="106" t="s">
        <v>580</v>
      </c>
      <c r="T24" s="106" t="s">
        <v>61</v>
      </c>
      <c r="U24" s="106" t="s">
        <v>193</v>
      </c>
      <c r="V24" s="106"/>
      <c r="W24" s="106" t="s">
        <v>67</v>
      </c>
      <c r="X24" s="106">
        <v>-10.5</v>
      </c>
      <c r="Y24" s="106" t="s">
        <v>67</v>
      </c>
      <c r="Z24" s="106">
        <v>60.5</v>
      </c>
      <c r="AA24" s="106">
        <v>493.0</v>
      </c>
      <c r="AB24" s="106">
        <v>224.0</v>
      </c>
      <c r="AC24" s="108" t="b">
        <v>1</v>
      </c>
      <c r="AD24" s="109">
        <f t="shared" si="4"/>
        <v>-2</v>
      </c>
      <c r="AE24" s="110">
        <f t="shared" si="5"/>
        <v>13</v>
      </c>
      <c r="AF24" s="110">
        <f>IFERROR(__xludf.DUMMYFUNCTION("iferror(COUNT(filter($Q25:$Q$400,$Q25:$Q$400&gt;$Q24)))"),6.0)</f>
        <v>6</v>
      </c>
      <c r="AG24" s="111">
        <f t="shared" si="6"/>
        <v>0</v>
      </c>
      <c r="AH24" s="112">
        <f t="shared" si="7"/>
        <v>7</v>
      </c>
      <c r="AI24" s="113" t="str">
        <f>IFERROR(__xludf.DUMMYFUNCTION("iferror(join("","",index(sort(filter($F25:$F$401,$Q25:$Q$401&gt;$Q24),2,false),0,1)))"),"Texas Tech,Indiana,Ole Miss,North Texas,BYU,Texas A&amp;M")</f>
        <v>Texas Tech,Indiana,Ole Miss,North Texas,BYU,Texas A&amp;M</v>
      </c>
      <c r="AJ24" s="114">
        <f>IFERROR(__xludf.DUMMYFUNCTION("iferror($Q24-max(filter($Q24:$Q$400,$E24:$E$400=$E$2)))"),-2.0)</f>
        <v>-2</v>
      </c>
      <c r="AK24" s="110">
        <f t="shared" si="8"/>
        <v>2</v>
      </c>
      <c r="AL24" s="110">
        <f>IFERROR(__xludf.DUMMYFUNCTION("iferror(COUNT(filter($Q25:$Q$400,$Q25:$Q$400&gt;$Q24,$E24:$E$400=$E$2)))"),0.0)</f>
        <v>0</v>
      </c>
      <c r="AM24" s="111">
        <f t="shared" si="9"/>
        <v>0</v>
      </c>
      <c r="AN24" s="110">
        <f>IFERROR(__xludf.DUMMYFUNCTION("iferror($Q24-min(filter($Q24:$Q$400,$E24:$E$400=$E$2)))"),8.0)</f>
        <v>8</v>
      </c>
      <c r="AO24" s="113" t="str">
        <f>IFERROR(__xludf.DUMMYFUNCTION("iferror(join("","",index(sort(filter($F25:$F$400,$Q25:$Q$400&gt;$Q24,$E25:$E$400=$E$2),2,false),0,1)))"),"Indiana")</f>
        <v>Indiana</v>
      </c>
      <c r="AP24" s="113" t="str">
        <f>IFERROR(__xludf.DUMMYFUNCTION("REGEXREPLACE(join("","",unique({let(conf_picked,filter(E$1:E23,D$1:D23=D24), byrow(unique(TRANSPOSe(Teams!$1:$1)),lambda(rw,if(ISERROR(match(rw,conf_picked,0)),rw,))));if(AW24,,transpose(split(AX24,"","",1,1)))})), ""^,"", """")"),"AAC,ACC,Big 12,Big Ten,CUSA,MAC,,Pac12,SEC,Sun Belt,zIndependent")</f>
        <v>AAC,ACC,Big 12,Big Ten,CUSA,MAC,,Pac12,SEC,Sun Belt,zIndependent</v>
      </c>
      <c r="AQ24" s="114">
        <f>IFERROR(__xludf.DUMMYFUNCTION("iferror($Q24-max(filter($Q24:$Q$400,arrayformula(isnumber(FIND($E24:$E$400,AP24))))))"),-2.0)</f>
        <v>-2</v>
      </c>
      <c r="AR24" s="110">
        <f t="array" ref="AR24">countifs($Q$2:$Q23,"&lt;"&amp;$Q24,isnumber(FIND($E$2:$E23,AP24)),TRUE)</f>
        <v>11</v>
      </c>
      <c r="AS24" s="110">
        <f>IFERROR(__xludf.DUMMYFUNCTION("iferror(COUNT(filter($Q25:$Q$400,$Q25:$Q$400&gt;$Q24,arrayformula(isnumber(FIND($E25:$E$400,AP24))))))"),6.0)</f>
        <v>6</v>
      </c>
      <c r="AT24" s="111">
        <f t="shared" si="10"/>
        <v>0</v>
      </c>
      <c r="AU24" s="110">
        <f>IFERROR(__xludf.DUMMYFUNCTION("iferror($Q24-min(filter($Q24:$Q$400,arrayformula(isnumber(FIND($E24:$E$400,AP24))))))"),10.0)</f>
        <v>10</v>
      </c>
      <c r="AV24" s="113" t="str">
        <f>IFERROR(__xludf.DUMMYFUNCTION("iferror(join("","",index(sort(filter($F25:$F$400,$Q25:$Q$400&gt;$Q24,arrayformula(isnumber(FIND($E25:$E$400,AP24)))),2,false),0,1)))"),"Texas Tech,Indiana,Ole Miss,North Texas,BYU,Texas A&amp;M")</f>
        <v>Texas Tech,Indiana,Ole Miss,North Texas,BYU,Texas A&amp;M</v>
      </c>
      <c r="AW24" s="113" t="b">
        <f>IFERROR(__xludf.DUMMYFUNCTION("isnumber(find(""wild card"",join("","",filter($G$1:$G23,$D$1:$D23=D24))))"),FALSE)</f>
        <v>0</v>
      </c>
      <c r="AX24" s="113" t="str">
        <f>IFERROR(__xludf.DUMMYFUNCTION("join("","",let(confs,unique(TRANSPOSe(Teams!$1:$1)), confs_count, BYROW(confs,lambda(conf,xlookup(conf,'Conf WC Eligibility'!A:A,'Conf WC Eligibility'!C:C,,))),confs_picked,byrow(confs,lambda(conf,countif(E$1:E23,conf))),p_needs_conf_count,byrow(confs,lam"&amp;"bda(conf,counta('Draft Order'!B$2:B622)-COUNTUNIQUE(filter(D$2:D23,E$2:E23=conf)))),query({confs,confs_count,confs_picked,p_needs_conf_count},""select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">
      <c r="A25" s="1">
        <v>24.0</v>
      </c>
      <c r="B25" s="1">
        <v>2.0</v>
      </c>
      <c r="C25" s="1">
        <v>12.0</v>
      </c>
      <c r="D25" s="115" t="s">
        <v>43</v>
      </c>
      <c r="E25" t="str">
        <f>if(F25&lt;&gt;"",VLOOKUP(F25,offset('Teams-Conference'!A:B,0,(counta('Draft Order'!B$2:B622)-10)*2),2,0),"")</f>
        <v>Big 12</v>
      </c>
      <c r="F25" s="77" t="s">
        <v>189</v>
      </c>
      <c r="G25" s="106" t="str">
        <f t="shared" si="1"/>
        <v>Regular Pick</v>
      </c>
      <c r="H25" s="106">
        <f t="shared" si="17"/>
        <v>2</v>
      </c>
      <c r="I25" s="106">
        <f t="shared" si="18"/>
        <v>3</v>
      </c>
      <c r="J25" s="106">
        <f t="shared" si="20"/>
        <v>1</v>
      </c>
      <c r="K25" s="106">
        <f t="shared" si="19"/>
        <v>2</v>
      </c>
      <c r="L25" s="106">
        <v>8.0</v>
      </c>
      <c r="M25" s="106">
        <f>IFERROR(__xludf.DUMMYFUNCTION("counta(iferror(filter(L$2:L24,E$2:E24=E25,L$2:L24&lt;L25)))"),0.0)</f>
        <v>0</v>
      </c>
      <c r="N25" s="106">
        <f>IFERROR(__xludf.DUMMYFUNCTION("counta(iferror(filter(L26:L$121,E26:E$121=E25,L26:L$624&gt;L25)))"),0.0)</f>
        <v>0</v>
      </c>
      <c r="O25" s="106"/>
      <c r="P25" s="106" t="b">
        <f>IFERROR(__xludf.DUMMYFUNCTION("if(F25="""","""",let(wc_picked, countifs(E$1:E24,E25,G$1:G24,""This is your wild card pick""), let(spots_filled,counta(unique(filter(D$2:E25,E$2:E25=E25)))/2,let(total,VLOOKUP(E25,'Conf WC Eligibility'!A:C,3,0),if(E25=""zIndependent"", TRUE,total-wc_picke"&amp;"d&gt;12)))))"),TRUE)</f>
        <v>1</v>
      </c>
      <c r="Q25" s="107">
        <f t="array" ref="Q25:AB25">XLOOKUP(F25,'Current Week'!C:C,'Current Week'!D:O)</f>
        <v>8</v>
      </c>
      <c r="R25" s="106">
        <v>4.0</v>
      </c>
      <c r="S25" s="106" t="s">
        <v>490</v>
      </c>
      <c r="T25" s="106" t="s">
        <v>61</v>
      </c>
      <c r="U25" s="106" t="s">
        <v>493</v>
      </c>
      <c r="V25" s="106"/>
      <c r="W25" s="106" t="s">
        <v>67</v>
      </c>
      <c r="X25" s="106">
        <v>1.5</v>
      </c>
      <c r="Y25" s="106" t="s">
        <v>67</v>
      </c>
      <c r="Z25" s="106">
        <v>47.5</v>
      </c>
      <c r="AA25" s="106">
        <v>296.0</v>
      </c>
      <c r="AB25" s="106">
        <v>276.0</v>
      </c>
      <c r="AC25" s="108" t="b">
        <v>1</v>
      </c>
      <c r="AD25" s="109">
        <f t="shared" si="4"/>
        <v>-4</v>
      </c>
      <c r="AE25" s="110">
        <f t="shared" si="5"/>
        <v>5</v>
      </c>
      <c r="AF25" s="110">
        <f>IFERROR(__xludf.DUMMYFUNCTION("iferror(COUNT(filter($Q26:$Q$400,$Q26:$Q$400&gt;$Q25)))"),19.0)</f>
        <v>19</v>
      </c>
      <c r="AG25" s="111">
        <f t="shared" si="6"/>
        <v>0</v>
      </c>
      <c r="AH25" s="112">
        <f t="shared" si="7"/>
        <v>5</v>
      </c>
      <c r="AI25" s="113" t="str">
        <f>IFERROR(__xludf.DUMMYFUNCTION("iferror(join("","",index(sort(filter($F26:$F$401,$Q26:$Q$401&gt;$Q25),2,false),0,1)))"),"Texas Tech,USC,Indiana,Ole Miss,North Texas,South Florida,BYU,Texas A&amp;M,Georgia Tech,Oklahoma,Old Dominion,UConn,Houston,San Diego State,Virginia,Vanderbilt,New Mexico,Kennesaw State,Arizona")</f>
        <v>Texas Tech,USC,Indiana,Ole Miss,North Texas,South Florida,BYU,Texas A&amp;M,Georgia Tech,Oklahoma,Old Dominion,UConn,Houston,San Diego State,Virginia,Vanderbilt,New Mexico,Kennesaw State,Arizona</v>
      </c>
      <c r="AJ25" s="114">
        <f>IFERROR(__xludf.DUMMYFUNCTION("iferror($Q25-max(filter($Q25:$Q$400,$E25:$E$400=$E$2)))"),-4.0)</f>
        <v>-4</v>
      </c>
      <c r="AK25" s="110">
        <f t="shared" si="8"/>
        <v>1</v>
      </c>
      <c r="AL25" s="110">
        <f>IFERROR(__xludf.DUMMYFUNCTION("iferror(COUNT(filter($Q26:$Q$400,$Q26:$Q$400&gt;$Q25,$E25:$E$400=$E$2)))"),0.0)</f>
        <v>0</v>
      </c>
      <c r="AM25" s="111">
        <f t="shared" si="9"/>
        <v>0</v>
      </c>
      <c r="AN25" s="110">
        <f>IFERROR(__xludf.DUMMYFUNCTION("iferror($Q25-min(filter($Q25:$Q$400,$E25:$E$400=$E$2)))"),6.0)</f>
        <v>6</v>
      </c>
      <c r="AO25" s="113" t="str">
        <f>IFERROR(__xludf.DUMMYFUNCTION("iferror(join("","",index(sort(filter($F26:$F$400,$Q26:$Q$400&gt;$Q25,$E26:$E$400=$E$2),2,false),0,1)))"),"USC,Indiana")</f>
        <v>USC,Indiana</v>
      </c>
      <c r="AP25" s="113" t="str">
        <f>IFERROR(__xludf.DUMMYFUNCTION("REGEXREPLACE(join("","",unique({let(conf_picked,filter(E$1:E24,D$1:D24=D25), byrow(unique(TRANSPOSe(Teams!$1:$1)),lambda(rw,if(ISERROR(match(rw,conf_picked,0)),rw,))));if(AW25,,transpose(split(AX25,"","",1,1)))})), ""^,"", """")"),"AAC,ACC,Big 12,,CUSA,MAC,MWC,Pac12,SEC,Sun Belt,zIndependent,Big Ten")</f>
        <v>AAC,ACC,Big 12,,CUSA,MAC,MWC,Pac12,SEC,Sun Belt,zIndependent,Big Ten</v>
      </c>
      <c r="AQ25" s="114">
        <f>IFERROR(__xludf.DUMMYFUNCTION("iferror($Q25-max(filter($Q25:$Q$400,arrayformula(isnumber(FIND($E25:$E$400,AP25))))))"),-4.0)</f>
        <v>-4</v>
      </c>
      <c r="AR25" s="110">
        <f t="array" ref="AR25">countifs($Q$2:$Q24,"&lt;"&amp;$Q25,isnumber(FIND($E$2:$E24,AP25)),TRUE)</f>
        <v>5</v>
      </c>
      <c r="AS25" s="110">
        <f>IFERROR(__xludf.DUMMYFUNCTION("iferror(COUNT(filter($Q26:$Q$400,$Q26:$Q$400&gt;$Q25,arrayformula(isnumber(FIND($E26:$E$400,AP25))))))"),19.0)</f>
        <v>19</v>
      </c>
      <c r="AT25" s="111">
        <f t="shared" si="10"/>
        <v>0</v>
      </c>
      <c r="AU25" s="110">
        <f>IFERROR(__xludf.DUMMYFUNCTION("iferror($Q25-min(filter($Q25:$Q$400,arrayformula(isnumber(FIND($E25:$E$400,AP25))))))"),8.0)</f>
        <v>8</v>
      </c>
      <c r="AV25" s="113" t="str">
        <f>IFERROR(__xludf.DUMMYFUNCTION("iferror(join("","",index(sort(filter($F26:$F$400,$Q26:$Q$400&gt;$Q25,arrayformula(isnumber(FIND($E26:$E$400,AP25)))),2,false),0,1)))"),"Texas Tech,USC,Indiana,Ole Miss,North Texas,South Florida,BYU,Texas A&amp;M,Georgia Tech,Oklahoma,Old Dominion,UConn,Houston,San Diego State,Virginia,Vanderbilt,New Mexico,Kennesaw State,Arizona")</f>
        <v>Texas Tech,USC,Indiana,Ole Miss,North Texas,South Florida,BYU,Texas A&amp;M,Georgia Tech,Oklahoma,Old Dominion,UConn,Houston,San Diego State,Virginia,Vanderbilt,New Mexico,Kennesaw State,Arizona</v>
      </c>
      <c r="AW25" s="113" t="b">
        <f>IFERROR(__xludf.DUMMYFUNCTION("isnumber(find(""wild card"",join("","",filter($G$1:$G24,$D$1:$D24=D25))))"),FALSE)</f>
        <v>0</v>
      </c>
      <c r="AX25" s="113" t="str">
        <f>IFERROR(__xludf.DUMMYFUNCTION("join("","",let(confs,unique(TRANSPOSe(Teams!$1:$1)), confs_count, BYROW(confs,lambda(conf,xlookup(conf,'Conf WC Eligibility'!A:A,'Conf WC Eligibility'!C:C,,))),confs_picked,byrow(confs,lambda(conf,countif(E$1:E24,conf))),p_needs_conf_count,byrow(confs,lam"&amp;"bda(conf,counta('Draft Order'!B$2:B622)-COUNTUNIQUE(filter(D$2:D24,E$2:E24=conf)))),query({confs,confs_count,confs_picked,p_needs_conf_count},""select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">
      <c r="A26" s="101">
        <v>25.0</v>
      </c>
      <c r="B26" s="101">
        <v>3.0</v>
      </c>
      <c r="C26" s="101">
        <v>1.0</v>
      </c>
      <c r="D26" s="103" t="str">
        <f t="array" ref="D26:D37">index(sort('Draft Order'!$A$2:$B$13,1,1),0,2)</f>
        <v>Nick G.</v>
      </c>
      <c r="E26" s="104" t="str">
        <f>if(F26&lt;&gt;"",VLOOKUP(F26,offset('Teams-Conference'!A:B,0,(counta('Draft Order'!B$2:B622)-10)*2),2,0),"")</f>
        <v>Big 12</v>
      </c>
      <c r="F26" s="105" t="s">
        <v>133</v>
      </c>
      <c r="G26" s="106" t="str">
        <f t="shared" si="1"/>
        <v>This is your wild card pick</v>
      </c>
      <c r="H26" s="106">
        <f t="shared" ref="H26:H27" si="21">countif(E27:E36,E26)</f>
        <v>1</v>
      </c>
      <c r="I26" s="106">
        <f t="shared" ref="I26:I28" si="22">countif(E27:E47,E26)</f>
        <v>2</v>
      </c>
      <c r="J26" s="106">
        <f t="shared" ref="J26:J35" si="23">countif(E17:E25,E26)</f>
        <v>2</v>
      </c>
      <c r="K26" s="106">
        <f t="shared" si="19"/>
        <v>1</v>
      </c>
      <c r="L26" s="106">
        <v>11.0</v>
      </c>
      <c r="M26" s="106">
        <f>IFERROR(__xludf.DUMMYFUNCTION("counta(iferror(filter(L$2:L25,E$2:E25=E26,L$2:L25&lt;L26)))"),2.0)</f>
        <v>2</v>
      </c>
      <c r="N26" s="106">
        <f>IFERROR(__xludf.DUMMYFUNCTION("counta(iferror(filter(L27:L$121,E27:E$121=E26,L27:L$624&gt;L26)))"),0.0)</f>
        <v>0</v>
      </c>
      <c r="O26" s="106"/>
      <c r="P26" s="106" t="b">
        <f>IFERROR(__xludf.DUMMYFUNCTION("if(F26="""","""",let(wc_picked, countifs(E$1:E25,E26,G$1:G25,""This is your wild card pick""), let(spots_filled,counta(unique(filter(D$2:E26,E$2:E26=E26)))/2,let(total,VLOOKUP(E26,'Conf WC Eligibility'!A:C,3,0),if(E26=""zIndependent"", TRUE,total-wc_picke"&amp;"d&gt;12)))))"),TRUE)</f>
        <v>1</v>
      </c>
      <c r="Q26" s="107">
        <f t="array" ref="Q26:AB26">XLOOKUP(F26,'Current Week'!C:C,'Current Week'!D:O)</f>
        <v>11</v>
      </c>
      <c r="R26" s="106">
        <v>1.0</v>
      </c>
      <c r="S26" s="106" t="s">
        <v>457</v>
      </c>
      <c r="T26" s="106" t="s">
        <v>61</v>
      </c>
      <c r="U26" s="106" t="s">
        <v>132</v>
      </c>
      <c r="V26" s="106"/>
      <c r="W26" s="106" t="s">
        <v>67</v>
      </c>
      <c r="X26" s="106">
        <v>-23.5</v>
      </c>
      <c r="Y26" s="106" t="s">
        <v>67</v>
      </c>
      <c r="Z26" s="106">
        <v>52.5</v>
      </c>
      <c r="AA26" s="106">
        <v>518.0</v>
      </c>
      <c r="AB26" s="106">
        <v>135.0</v>
      </c>
      <c r="AC26" s="108" t="b">
        <v>1</v>
      </c>
      <c r="AD26" s="109">
        <f t="shared" si="4"/>
        <v>-1</v>
      </c>
      <c r="AE26" s="110">
        <f t="shared" si="5"/>
        <v>20</v>
      </c>
      <c r="AF26" s="110">
        <f>IFERROR(__xludf.DUMMYFUNCTION("iferror(COUNT(filter($Q27:$Q$400,$Q27:$Q$400&gt;$Q26)))"),1.0)</f>
        <v>1</v>
      </c>
      <c r="AG26" s="111">
        <f t="shared" si="6"/>
        <v>0</v>
      </c>
      <c r="AH26" s="112">
        <f t="shared" si="7"/>
        <v>8</v>
      </c>
      <c r="AI26" s="113" t="str">
        <f>IFERROR(__xludf.DUMMYFUNCTION("iferror(join("","",index(sort(filter($F27:$F$401,$Q27:$Q$401&gt;$Q26),2,false),0,1)))"),"Indiana")</f>
        <v>Indiana</v>
      </c>
      <c r="AJ26" s="114">
        <f>IFERROR(__xludf.DUMMYFUNCTION("iferror($Q26-max(filter($Q26:$Q$400,$E26:$E$400=$E$2)))"),-1.0)</f>
        <v>-1</v>
      </c>
      <c r="AK26" s="110">
        <f t="shared" si="8"/>
        <v>2</v>
      </c>
      <c r="AL26" s="110">
        <f>IFERROR(__xludf.DUMMYFUNCTION("iferror(COUNT(filter($Q27:$Q$400,$Q27:$Q$400&gt;$Q26,$E26:$E$400=$E$2)))"),0.0)</f>
        <v>0</v>
      </c>
      <c r="AM26" s="111">
        <f t="shared" si="9"/>
        <v>0</v>
      </c>
      <c r="AN26" s="110">
        <f>IFERROR(__xludf.DUMMYFUNCTION("iferror($Q26-min(filter($Q26:$Q$400,$E26:$E$400=$E$2)))"),9.0)</f>
        <v>9</v>
      </c>
      <c r="AO26" s="113" t="str">
        <f>IFERROR(__xludf.DUMMYFUNCTION("iferror(join("","",index(sort(filter($F27:$F$400,$Q27:$Q$400&gt;$Q26,$E27:$E$400=$E$2),2,false),0,1)))"),"Indiana")</f>
        <v>Indiana</v>
      </c>
      <c r="AP26" s="113" t="str">
        <f>IFERROR(__xludf.DUMMYFUNCTION("REGEXREPLACE(join("","",unique({let(conf_picked,filter(E$1:E25,D$1:D25=D26), byrow(unique(TRANSPOSe(Teams!$1:$1)),lambda(rw,if(ISERROR(match(rw,conf_picked,0)),rw,))));if(AW26,,transpose(split(AX26,"","",1,1)))})), ""^,"", """")"),"AAC,ACC,,CUSA,MAC,MWC,Pac12,SEC,Sun Belt,zIndependent,Big 12,Big Ten")</f>
        <v>AAC,ACC,,CUSA,MAC,MWC,Pac12,SEC,Sun Belt,zIndependent,Big 12,Big Ten</v>
      </c>
      <c r="AQ26" s="114">
        <f>IFERROR(__xludf.DUMMYFUNCTION("iferror($Q26-max(filter($Q26:$Q$400,arrayformula(isnumber(FIND($E26:$E$400,AP26))))))"),-1.0)</f>
        <v>-1</v>
      </c>
      <c r="AR26" s="110">
        <f t="array" ref="AR26">countifs($Q$2:$Q25,"&lt;"&amp;$Q26,isnumber(FIND($E$2:$E25,AP26)),TRUE)</f>
        <v>20</v>
      </c>
      <c r="AS26" s="110">
        <f>IFERROR(__xludf.DUMMYFUNCTION("iferror(COUNT(filter($Q27:$Q$400,$Q27:$Q$400&gt;$Q26,arrayformula(isnumber(FIND($E27:$E$400,AP26))))))"),1.0)</f>
        <v>1</v>
      </c>
      <c r="AT26" s="111">
        <f t="shared" si="10"/>
        <v>0</v>
      </c>
      <c r="AU26" s="110">
        <f>IFERROR(__xludf.DUMMYFUNCTION("iferror($Q26-min(filter($Q26:$Q$400,arrayformula(isnumber(FIND($E26:$E$400,AP26))))))"),11.0)</f>
        <v>11</v>
      </c>
      <c r="AV26" s="113" t="str">
        <f>IFERROR(__xludf.DUMMYFUNCTION("iferror(join("","",index(sort(filter($F27:$F$400,$Q27:$Q$400&gt;$Q26,arrayformula(isnumber(FIND($E27:$E$400,AP26)))),2,false),0,1)))"),"Indiana")</f>
        <v>Indiana</v>
      </c>
      <c r="AW26" s="113" t="b">
        <f>IFERROR(__xludf.DUMMYFUNCTION("isnumber(find(""wild card"",join("","",filter($G$1:$G25,$D$1:$D25=D26))))"),FALSE)</f>
        <v>0</v>
      </c>
      <c r="AX26" s="113" t="str">
        <f>IFERROR(__xludf.DUMMYFUNCTION("join("","",let(confs,unique(TRANSPOSe(Teams!$1:$1)), confs_count, BYROW(confs,lambda(conf,xlookup(conf,'Conf WC Eligibility'!A:A,'Conf WC Eligibility'!C:C,,))),confs_picked,byrow(confs,lambda(conf,countif(E$1:E25,conf))),p_needs_conf_count,byrow(confs,lam"&amp;"bda(conf,counta('Draft Order'!B$2:B622)-COUNTUNIQUE(filter(D$2:D25,E$2:E25=conf)))),query({confs,confs_count,confs_picked,p_needs_conf_count},""select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">
      <c r="A27" s="1">
        <v>26.0</v>
      </c>
      <c r="B27" s="1">
        <v>3.0</v>
      </c>
      <c r="C27" s="1">
        <v>2.0</v>
      </c>
      <c r="D27" s="115" t="s">
        <v>95</v>
      </c>
      <c r="E27" s="116" t="str">
        <f>if(F27&lt;&gt;"",VLOOKUP(F27,offset('Teams-Conference'!A:B,0,(counta('Draft Order'!B$2:B622)-10)*2),2,0),"")</f>
        <v>Big Ten</v>
      </c>
      <c r="F27" s="117" t="s">
        <v>197</v>
      </c>
      <c r="G27" s="106" t="str">
        <f t="shared" si="1"/>
        <v>Regular Pick</v>
      </c>
      <c r="H27" s="106">
        <f t="shared" si="21"/>
        <v>2</v>
      </c>
      <c r="I27" s="106">
        <f t="shared" si="22"/>
        <v>2</v>
      </c>
      <c r="J27" s="106">
        <f t="shared" si="23"/>
        <v>1</v>
      </c>
      <c r="K27" s="106">
        <f t="shared" si="19"/>
        <v>3</v>
      </c>
      <c r="L27" s="106">
        <v>9.0</v>
      </c>
      <c r="M27" s="106">
        <f>IFERROR(__xludf.DUMMYFUNCTION("counta(iferror(filter(L$2:L26,E$2:E26=E27,L$2:L26&lt;L27)))"),1.0)</f>
        <v>1</v>
      </c>
      <c r="N27" s="106">
        <f>IFERROR(__xludf.DUMMYFUNCTION("counta(iferror(filter(L28:L$121,E28:E$121=E27,L28:L$624&gt;L27)))"),0.0)</f>
        <v>0</v>
      </c>
      <c r="O27" s="106"/>
      <c r="P27" s="106" t="b">
        <f>IFERROR(__xludf.DUMMYFUNCTION("if(F27="""","""",let(wc_picked, countifs(E$1:E26,E27,G$1:G26,""This is your wild card pick""), let(spots_filled,counta(unique(filter(D$2:E27,E$2:E27=E27)))/2,let(total,VLOOKUP(E27,'Conf WC Eligibility'!A:C,3,0),if(E27=""zIndependent"", TRUE,total-wc_picke"&amp;"d&gt;12)))))"),TRUE)</f>
        <v>1</v>
      </c>
      <c r="Q27" s="107">
        <f t="array" ref="Q27:AB27">XLOOKUP(F27,'Current Week'!C:C,'Current Week'!D:O)</f>
        <v>9</v>
      </c>
      <c r="R27" s="106">
        <v>3.0</v>
      </c>
      <c r="S27" s="106" t="s">
        <v>547</v>
      </c>
      <c r="T27" s="106" t="s">
        <v>61</v>
      </c>
      <c r="U27" s="106" t="s">
        <v>62</v>
      </c>
      <c r="V27" s="106"/>
      <c r="W27" s="106" t="s">
        <v>67</v>
      </c>
      <c r="X27" s="106">
        <v>-21.5</v>
      </c>
      <c r="Y27" s="106" t="s">
        <v>67</v>
      </c>
      <c r="Z27" s="106">
        <v>58.5</v>
      </c>
      <c r="AA27" s="106">
        <v>438.0</v>
      </c>
      <c r="AB27" s="106">
        <v>269.0</v>
      </c>
      <c r="AC27" s="108" t="b">
        <v>1</v>
      </c>
      <c r="AD27" s="109">
        <f t="shared" si="4"/>
        <v>-3</v>
      </c>
      <c r="AE27" s="110">
        <f t="shared" si="5"/>
        <v>11</v>
      </c>
      <c r="AF27" s="110">
        <f>IFERROR(__xludf.DUMMYFUNCTION("iferror(COUNT(filter($Q28:$Q$400,$Q28:$Q$400&gt;$Q27)))"),8.0)</f>
        <v>8</v>
      </c>
      <c r="AG27" s="111">
        <f t="shared" si="6"/>
        <v>0</v>
      </c>
      <c r="AH27" s="112">
        <f t="shared" si="7"/>
        <v>6</v>
      </c>
      <c r="AI27" s="113" t="str">
        <f>IFERROR(__xludf.DUMMYFUNCTION("iferror(join("","",index(sort(filter($F28:$F$401,$Q28:$Q$401&gt;$Q27),2,false),0,1)))"),"Indiana,Ole Miss,North Texas,BYU,Texas A&amp;M,Oklahoma,Virginia,Vanderbilt")</f>
        <v>Indiana,Ole Miss,North Texas,BYU,Texas A&amp;M,Oklahoma,Virginia,Vanderbilt</v>
      </c>
      <c r="AJ27" s="114">
        <f>IFERROR(__xludf.DUMMYFUNCTION("iferror($Q27-max(filter($Q27:$Q$400,$E27:$E$400=$E$2)))"),-3.0)</f>
        <v>-3</v>
      </c>
      <c r="AK27" s="110">
        <f t="shared" si="8"/>
        <v>1</v>
      </c>
      <c r="AL27" s="110">
        <f>IFERROR(__xludf.DUMMYFUNCTION("iferror(COUNT(filter($Q28:$Q$400,$Q28:$Q$400&gt;$Q27,$E27:$E$400=$E$2)))"),0.0)</f>
        <v>0</v>
      </c>
      <c r="AM27" s="111">
        <f t="shared" si="9"/>
        <v>0</v>
      </c>
      <c r="AN27" s="110">
        <f>IFERROR(__xludf.DUMMYFUNCTION("iferror($Q27-min(filter($Q27:$Q$400,$E27:$E$400=$E$2)))"),7.0)</f>
        <v>7</v>
      </c>
      <c r="AO27" s="113" t="str">
        <f>IFERROR(__xludf.DUMMYFUNCTION("iferror(join("","",index(sort(filter($F28:$F$400,$Q28:$Q$400&gt;$Q27,$E28:$E$400=$E$2),2,false),0,1)))"),"Indiana")</f>
        <v>Indiana</v>
      </c>
      <c r="AP27" s="113" t="str">
        <f>IFERROR(__xludf.DUMMYFUNCTION("REGEXREPLACE(join("","",unique({let(conf_picked,filter(E$1:E26,D$1:D26=D27), byrow(unique(TRANSPOSe(Teams!$1:$1)),lambda(rw,if(ISERROR(match(rw,conf_picked,0)),rw,))));if(AW27,,transpose(split(AX27,"","",1,1)))})), ""^,"", """")"),"AAC,ACC,,Big Ten,CUSA,MAC,Pac12,SEC,Sun Belt,zIndependent,Big 12")</f>
        <v>AAC,ACC,,Big Ten,CUSA,MAC,Pac12,SEC,Sun Belt,zIndependent,Big 12</v>
      </c>
      <c r="AQ27" s="114">
        <f>IFERROR(__xludf.DUMMYFUNCTION("iferror($Q27-max(filter($Q27:$Q$400,arrayformula(isnumber(FIND($E27:$E$400,AP27))))))"),-3.0)</f>
        <v>-3</v>
      </c>
      <c r="AR27" s="110">
        <f t="array" ref="AR27">countifs($Q$2:$Q26,"&lt;"&amp;$Q27,isnumber(FIND($E$2:$E26,AP27)),TRUE)</f>
        <v>9</v>
      </c>
      <c r="AS27" s="110">
        <f>IFERROR(__xludf.DUMMYFUNCTION("iferror(COUNT(filter($Q28:$Q$400,$Q28:$Q$400&gt;$Q27,arrayformula(isnumber(FIND($E28:$E$400,AP27))))))"),8.0)</f>
        <v>8</v>
      </c>
      <c r="AT27" s="111">
        <f t="shared" si="10"/>
        <v>0</v>
      </c>
      <c r="AU27" s="110">
        <f>IFERROR(__xludf.DUMMYFUNCTION("iferror($Q27-min(filter($Q27:$Q$400,arrayformula(isnumber(FIND($E27:$E$400,AP27))))))"),9.0)</f>
        <v>9</v>
      </c>
      <c r="AV27" s="113" t="str">
        <f>IFERROR(__xludf.DUMMYFUNCTION("iferror(join("","",index(sort(filter($F28:$F$400,$Q28:$Q$400&gt;$Q27,arrayformula(isnumber(FIND($E28:$E$400,AP27)))),2,false),0,1)))"),"Indiana,Ole Miss,North Texas,BYU,Texas A&amp;M,Oklahoma,Virginia,Vanderbilt")</f>
        <v>Indiana,Ole Miss,North Texas,BYU,Texas A&amp;M,Oklahoma,Virginia,Vanderbilt</v>
      </c>
      <c r="AW27" s="113" t="b">
        <f>IFERROR(__xludf.DUMMYFUNCTION("isnumber(find(""wild card"",join("","",filter($G$1:$G26,$D$1:$D26=D27))))"),FALSE)</f>
        <v>0</v>
      </c>
      <c r="AX27" s="113" t="str">
        <f>IFERROR(__xludf.DUMMYFUNCTION("join("","",let(confs,unique(TRANSPOSe(Teams!$1:$1)), confs_count, BYROW(confs,lambda(conf,xlookup(conf,'Conf WC Eligibility'!A:A,'Conf WC Eligibility'!C:C,,))),confs_picked,byrow(confs,lambda(conf,countif(E$1:E26,conf))),p_needs_conf_count,byrow(confs,lam"&amp;"bda(conf,counta('Draft Order'!B$2:B622)-COUNTUNIQUE(filter(D$2:D26,E$2:E26=conf)))),query({confs,confs_count,confs_picked,p_needs_conf_count},""select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">
      <c r="A28" s="1">
        <v>27.0</v>
      </c>
      <c r="B28" s="1">
        <v>3.0</v>
      </c>
      <c r="C28" s="1">
        <v>3.0</v>
      </c>
      <c r="D28" s="118" t="s">
        <v>62</v>
      </c>
      <c r="E28" s="116" t="str">
        <f>if(F28&lt;&gt;"",VLOOKUP(F28,offset('Teams-Conference'!A:B,0,(counta('Draft Order'!B$2:B622)-10)*2),2,0),"")</f>
        <v>Big 12</v>
      </c>
      <c r="F28" s="117" t="s">
        <v>127</v>
      </c>
      <c r="G28" s="106" t="str">
        <f t="shared" si="1"/>
        <v>Regular Pick</v>
      </c>
      <c r="H28" s="106">
        <f t="shared" ref="H28:H37" si="24">countif(E29:E37,E28)</f>
        <v>0</v>
      </c>
      <c r="I28" s="106">
        <f t="shared" si="22"/>
        <v>1</v>
      </c>
      <c r="J28" s="106">
        <f t="shared" si="23"/>
        <v>3</v>
      </c>
      <c r="K28" s="106">
        <f t="shared" si="19"/>
        <v>1</v>
      </c>
      <c r="L28" s="106">
        <v>6.0</v>
      </c>
      <c r="M28" s="106">
        <f>IFERROR(__xludf.DUMMYFUNCTION("counta(iferror(filter(L$2:L27,E$2:E27=E28,L$2:L27&lt;L28)))"),0.0)</f>
        <v>0</v>
      </c>
      <c r="N28" s="106">
        <f>IFERROR(__xludf.DUMMYFUNCTION("counta(iferror(filter(L29:L$121,E29:E$121=E28,L29:L$624&gt;L28)))"),0.0)</f>
        <v>0</v>
      </c>
      <c r="O28" s="106"/>
      <c r="P28" s="106" t="b">
        <f>IFERROR(__xludf.DUMMYFUNCTION("if(F28="""","""",let(wc_picked, countifs(E$1:E27,E28,G$1:G27,""This is your wild card pick""), let(spots_filled,counta(unique(filter(D$2:E28,E$2:E28=E28)))/2,let(total,VLOOKUP(E28,'Conf WC Eligibility'!A:C,3,0),if(E28=""zIndependent"", TRUE,total-wc_picke"&amp;"d&gt;12)))))"),TRUE)</f>
        <v>1</v>
      </c>
      <c r="Q28" s="107">
        <f t="array" ref="Q28:AB28">XLOOKUP(F28,'Current Week'!C:C,'Current Week'!D:O)</f>
        <v>6</v>
      </c>
      <c r="R28" s="106">
        <v>6.0</v>
      </c>
      <c r="S28" s="106" t="s">
        <v>650</v>
      </c>
      <c r="T28" s="106" t="s">
        <v>61</v>
      </c>
      <c r="U28" s="106" t="s">
        <v>224</v>
      </c>
      <c r="V28" s="106"/>
      <c r="W28" s="106" t="s">
        <v>67</v>
      </c>
      <c r="X28" s="106">
        <v>-16.5</v>
      </c>
      <c r="Y28" s="106" t="s">
        <v>67</v>
      </c>
      <c r="Z28" s="106">
        <v>50.5</v>
      </c>
      <c r="AA28" s="106">
        <v>353.0</v>
      </c>
      <c r="AB28" s="106">
        <v>320.0</v>
      </c>
      <c r="AC28" s="108" t="b">
        <v>1</v>
      </c>
      <c r="AD28" s="109">
        <f t="shared" si="4"/>
        <v>-6</v>
      </c>
      <c r="AE28" s="110">
        <f t="shared" si="5"/>
        <v>3</v>
      </c>
      <c r="AF28" s="110">
        <f>IFERROR(__xludf.DUMMYFUNCTION("iferror(COUNT(filter($Q29:$Q$400,$Q29:$Q$400&gt;$Q28)))"),46.0)</f>
        <v>46</v>
      </c>
      <c r="AG28" s="111">
        <f t="shared" si="6"/>
        <v>0</v>
      </c>
      <c r="AH28" s="112">
        <f t="shared" si="7"/>
        <v>3</v>
      </c>
      <c r="AI28" s="113" t="str">
        <f>IFERROR(__xludf.DUMMYFUNCTION("iferror(join("","",index(sort(filter($F29:$F$401,$Q29:$Q$401&gt;$Q28),2,false),0,1)))"),"Illinois,Louisiana Tech,Indiana,Louisville,Fresno State,Ole Miss,North Texas,Miami-OH,South Florida,BYU,Tennessee,East Carolina,Washington,LSU,Nebraska,Texas A&amp;M,Jacksonville State,Georgia Tech,Central Michigan,Western Michigan,Iowa,Missouri,Minnesota,Haw"&amp;"aii,Iowa State,Oklahoma,TCU,Old Dominion,Troy,Cincinnati,Duke,UConn,Florida Intl,Houston,San Diego State,Virginia,NC State,California,Missouri State,Pittsburgh,Vanderbilt,New Mexico,Kennesaw State,Wake Forest,Arizona,Southern Mississippi")</f>
        <v>Illinois,Louisiana Tech,Indiana,Louisville,Fresno State,Ole Miss,North Texas,Miami-OH,South Florida,BYU,Tennessee,East Carolina,Washington,LSU,Nebraska,Texas A&amp;M,Jacksonville State,Georgia Tech,Central Michigan,Western Michigan,Iowa,Missouri,Minnesota,Hawaii,Iowa State,Oklahoma,TCU,Old Dominion,Troy,Cincinnati,Duke,UConn,Florida Intl,Houston,San Diego State,Virginia,NC State,California,Missouri State,Pittsburgh,Vanderbilt,New Mexico,Kennesaw State,Wake Forest,Arizona,Southern Mississippi</v>
      </c>
      <c r="AJ28" s="114">
        <f>IFERROR(__xludf.DUMMYFUNCTION("iferror($Q28-max(filter($Q28:$Q$400,$E28:$E$400=$E$2)))"),-6.0)</f>
        <v>-6</v>
      </c>
      <c r="AK28" s="110">
        <f t="shared" si="8"/>
        <v>0</v>
      </c>
      <c r="AL28" s="110">
        <f>IFERROR(__xludf.DUMMYFUNCTION("iferror(COUNT(filter($Q29:$Q$400,$Q29:$Q$400&gt;$Q28,$E28:$E$400=$E$2)))"),0.0)</f>
        <v>0</v>
      </c>
      <c r="AM28" s="111">
        <f t="shared" si="9"/>
        <v>0</v>
      </c>
      <c r="AN28" s="110">
        <f>IFERROR(__xludf.DUMMYFUNCTION("iferror($Q28-min(filter($Q28:$Q$400,$E28:$E$400=$E$2)))"),4.0)</f>
        <v>4</v>
      </c>
      <c r="AO28" s="113" t="str">
        <f>IFERROR(__xludf.DUMMYFUNCTION("iferror(join("","",index(sort(filter($F29:$F$400,$Q29:$Q$400&gt;$Q28,$E29:$E$400=$E$2),2,false),0,1)))"),"Illinois,Indiana,Washington,Nebraska,Iowa,Minnesota")</f>
        <v>Illinois,Indiana,Washington,Nebraska,Iowa,Minnesota</v>
      </c>
      <c r="AP28" s="113" t="str">
        <f>IFERROR(__xludf.DUMMYFUNCTION("REGEXREPLACE(join("","",unique({let(conf_picked,filter(E$1:E27,D$1:D27=D28), byrow(unique(TRANSPOSe(Teams!$1:$1)),lambda(rw,if(ISERROR(match(rw,conf_picked,0)),rw,))));if(AW28,,transpose(split(AX28,"","",1,1)))})), ""^,"", """")"),"AAC,ACC,Big 12,Big Ten,,MAC,MWC,Pac12,Sun Belt,zIndependent,SEC")</f>
        <v>AAC,ACC,Big 12,Big Ten,,MAC,MWC,Pac12,Sun Belt,zIndependent,SEC</v>
      </c>
      <c r="AQ28" s="114">
        <f>IFERROR(__xludf.DUMMYFUNCTION("iferror($Q28-max(filter($Q28:$Q$400,arrayformula(isnumber(FIND($E28:$E$400,AP28))))))"),-6.0)</f>
        <v>-6</v>
      </c>
      <c r="AR28" s="110">
        <f t="array" ref="AR28">countifs($Q$2:$Q27,"&lt;"&amp;$Q28,isnumber(FIND($E$2:$E27,AP28)),TRUE)</f>
        <v>2</v>
      </c>
      <c r="AS28" s="110">
        <f>IFERROR(__xludf.DUMMYFUNCTION("iferror(COUNT(filter($Q29:$Q$400,$Q29:$Q$400&gt;$Q28,arrayformula(isnumber(FIND($E29:$E$400,AP28))))))"),41.0)</f>
        <v>41</v>
      </c>
      <c r="AT28" s="111">
        <f t="shared" si="10"/>
        <v>0</v>
      </c>
      <c r="AU28" s="110">
        <f>IFERROR(__xludf.DUMMYFUNCTION("iferror($Q28-min(filter($Q28:$Q$400,arrayformula(isnumber(FIND($E28:$E$400,AP28))))))"),6.0)</f>
        <v>6</v>
      </c>
      <c r="AV28" s="113" t="str">
        <f>IFERROR(__xludf.DUMMYFUNCTION("iferror(join("","",index(sort(filter($F29:$F$400,$Q29:$Q$400&gt;$Q28,arrayformula(isnumber(FIND($E29:$E$400,AP28)))),2,false),0,1)))"),"Illinois,Indiana,Louisville,Fresno State,Ole Miss,North Texas,Miami-OH,South Florida,BYU,Tennessee,East Carolina,Washington,LSU,Nebraska,Texas A&amp;M,Georgia Tech,Central Michigan,Western Michigan,Iowa,Missouri,Minnesota,Hawaii,Iowa State,Oklahoma,TCU,Old Do"&amp;"minion,Troy,Cincinnati,Duke,UConn,Houston,San Diego State,Virginia,NC State,California,Pittsburgh,Vanderbilt,New Mexico,Wake Forest,Arizona,Southern Mississippi")</f>
        <v>Illinois,Indiana,Louisville,Fresno State,Ole Miss,North Texas,Miami-OH,South Florida,BYU,Tennessee,East Carolina,Washington,LSU,Nebraska,Texas A&amp;M,Georgia Tech,Central Michigan,Western Michigan,Iowa,Missouri,Minnesota,Hawaii,Iowa State,Oklahoma,TCU,Old Dominion,Troy,Cincinnati,Duke,UConn,Houston,San Diego State,Virginia,NC State,California,Pittsburgh,Vanderbilt,New Mexico,Wake Forest,Arizona,Southern Mississippi</v>
      </c>
      <c r="AW28" s="113" t="b">
        <f>IFERROR(__xludf.DUMMYFUNCTION("isnumber(find(""wild card"",join("","",filter($G$1:$G27,$D$1:$D27=D28))))"),FALSE)</f>
        <v>0</v>
      </c>
      <c r="AX28" s="113" t="str">
        <f>IFERROR(__xludf.DUMMYFUNCTION("join("","",let(confs,unique(TRANSPOSe(Teams!$1:$1)), confs_count, BYROW(confs,lambda(conf,xlookup(conf,'Conf WC Eligibility'!A:A,'Conf WC Eligibility'!C:C,,))),confs_picked,byrow(confs,lambda(conf,countif(E$1:E27,conf))),p_needs_conf_count,byrow(confs,lam"&amp;"bda(conf,counta('Draft Order'!B$2:B622)-COUNTUNIQUE(filter(D$2:D27,E$2:E27=conf)))),query({confs,confs_count,confs_picked,p_needs_conf_count},""select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">
      <c r="A29" s="1">
        <v>28.0</v>
      </c>
      <c r="B29" s="1">
        <v>3.0</v>
      </c>
      <c r="C29" s="1">
        <v>4.0</v>
      </c>
      <c r="D29" s="115" t="s">
        <v>193</v>
      </c>
      <c r="E29" s="116" t="str">
        <f>if(F29&lt;&gt;"",VLOOKUP(F29,offset('Teams-Conference'!A:B,0,(counta('Draft Order'!B$2:B622)-10)*2),2,0),"")</f>
        <v>Sun Belt</v>
      </c>
      <c r="F29" s="117" t="s">
        <v>552</v>
      </c>
      <c r="G29" s="106" t="str">
        <f t="shared" si="1"/>
        <v>Regular Pick</v>
      </c>
      <c r="H29" s="106">
        <f t="shared" si="24"/>
        <v>2</v>
      </c>
      <c r="I29" s="106">
        <f t="shared" ref="I29:I37" si="25">countif(E30:E49,E29)</f>
        <v>3</v>
      </c>
      <c r="J29" s="106">
        <f t="shared" si="23"/>
        <v>0</v>
      </c>
      <c r="K29" s="106">
        <f t="shared" si="19"/>
        <v>2</v>
      </c>
      <c r="L29" s="106">
        <v>6.0</v>
      </c>
      <c r="M29" s="106">
        <f>IFERROR(__xludf.DUMMYFUNCTION("counta(iferror(filter(L$2:L28,E$2:E28=E29,L$2:L28&lt;L29)))"),0.0)</f>
        <v>0</v>
      </c>
      <c r="N29" s="106">
        <f>IFERROR(__xludf.DUMMYFUNCTION("counta(iferror(filter(L30:L$121,E30:E$121=E29,L30:L$624&gt;L29)))"),0.0)</f>
        <v>0</v>
      </c>
      <c r="O29" s="106"/>
      <c r="P29" s="106" t="b">
        <f>IFERROR(__xludf.DUMMYFUNCTION("if(F29="""","""",let(wc_picked, countifs(E$1:E28,E29,G$1:G28,""This is your wild card pick""), let(spots_filled,counta(unique(filter(D$2:E29,E$2:E29=E29)))/2,let(total,VLOOKUP(E29,'Conf WC Eligibility'!A:C,3,0),if(E29=""zIndependent"", TRUE,total-wc_picke"&amp;"d&gt;12)))))"),TRUE)</f>
        <v>1</v>
      </c>
      <c r="Q29" s="107">
        <f t="array" ref="Q29:AB29">XLOOKUP(F29,'Current Week'!C:C,'Current Week'!D:O)</f>
        <v>6</v>
      </c>
      <c r="R29" s="106">
        <v>6.0</v>
      </c>
      <c r="S29" s="106" t="s">
        <v>690</v>
      </c>
      <c r="T29" s="106" t="s">
        <v>532</v>
      </c>
      <c r="U29" s="106" t="s">
        <v>493</v>
      </c>
      <c r="V29" s="106"/>
      <c r="W29" s="106" t="s">
        <v>67</v>
      </c>
      <c r="X29" s="106">
        <v>-8.5</v>
      </c>
      <c r="Y29" s="106" t="s">
        <v>67</v>
      </c>
      <c r="Z29" s="106">
        <v>47.5</v>
      </c>
      <c r="AA29" s="106">
        <v>325.0</v>
      </c>
      <c r="AB29" s="106">
        <v>360.0</v>
      </c>
      <c r="AC29" s="108" t="b">
        <v>1</v>
      </c>
      <c r="AD29" s="109">
        <f t="shared" si="4"/>
        <v>-6</v>
      </c>
      <c r="AE29" s="110">
        <f t="shared" si="5"/>
        <v>3</v>
      </c>
      <c r="AF29" s="110">
        <f>IFERROR(__xludf.DUMMYFUNCTION("iferror(COUNT(filter($Q30:$Q$400,$Q30:$Q$400&gt;$Q29)))"),46.0)</f>
        <v>46</v>
      </c>
      <c r="AG29" s="111">
        <f t="shared" si="6"/>
        <v>0</v>
      </c>
      <c r="AH29" s="112">
        <f t="shared" si="7"/>
        <v>3</v>
      </c>
      <c r="AI29" s="113" t="str">
        <f>IFERROR(__xludf.DUMMYFUNCTION("iferror(join("","",index(sort(filter($F30:$F$401,$Q30:$Q$401&gt;$Q29),2,false),0,1)))"),"Illinois,Louisiana Tech,Indiana,Louisville,Fresno State,Ole Miss,North Texas,Miami-OH,South Florida,BYU,Tennessee,East Carolina,Washington,LSU,Nebraska,Texas A&amp;M,Jacksonville State,Georgia Tech,Central Michigan,Western Michigan,Iowa,Missouri,Minnesota,Haw"&amp;"aii,Iowa State,Oklahoma,TCU,Old Dominion,Troy,Cincinnati,Duke,UConn,Florida Intl,Houston,San Diego State,Virginia,NC State,California,Missouri State,Pittsburgh,Vanderbilt,New Mexico,Kennesaw State,Wake Forest,Arizona,Southern Mississippi")</f>
        <v>Illinois,Louisiana Tech,Indiana,Louisville,Fresno State,Ole Miss,North Texas,Miami-OH,South Florida,BYU,Tennessee,East Carolina,Washington,LSU,Nebraska,Texas A&amp;M,Jacksonville State,Georgia Tech,Central Michigan,Western Michigan,Iowa,Missouri,Minnesota,Hawaii,Iowa State,Oklahoma,TCU,Old Dominion,Troy,Cincinnati,Duke,UConn,Florida Intl,Houston,San Diego State,Virginia,NC State,California,Missouri State,Pittsburgh,Vanderbilt,New Mexico,Kennesaw State,Wake Forest,Arizona,Southern Mississippi</v>
      </c>
      <c r="AJ29" s="114">
        <f>IFERROR(__xludf.DUMMYFUNCTION("iferror($Q29-max(filter($Q29:$Q$400,$E29:$E$400=$E$2)))"),-6.0)</f>
        <v>-6</v>
      </c>
      <c r="AK29" s="110">
        <f t="shared" si="8"/>
        <v>0</v>
      </c>
      <c r="AL29" s="110">
        <f>IFERROR(__xludf.DUMMYFUNCTION("iferror(COUNT(filter($Q30:$Q$400,$Q30:$Q$400&gt;$Q29,$E29:$E$400=$E$2)))"),0.0)</f>
        <v>0</v>
      </c>
      <c r="AM29" s="111">
        <f t="shared" si="9"/>
        <v>0</v>
      </c>
      <c r="AN29" s="110">
        <f>IFERROR(__xludf.DUMMYFUNCTION("iferror($Q29-min(filter($Q29:$Q$400,$E29:$E$400=$E$2)))"),4.0)</f>
        <v>4</v>
      </c>
      <c r="AO29" s="113" t="str">
        <f>IFERROR(__xludf.DUMMYFUNCTION("iferror(join("","",index(sort(filter($F30:$F$400,$Q30:$Q$400&gt;$Q29,$E30:$E$400=$E$2),2,false),0,1)))"),"Illinois,Indiana,Washington,Nebraska,Iowa,Minnesota")</f>
        <v>Illinois,Indiana,Washington,Nebraska,Iowa,Minnesota</v>
      </c>
      <c r="AP29" s="113" t="str">
        <f>IFERROR(__xludf.DUMMYFUNCTION("REGEXREPLACE(join("","",unique({let(conf_picked,filter(E$1:E28,D$1:D28=D29), byrow(unique(TRANSPOSe(Teams!$1:$1)),lambda(rw,if(ISERROR(match(rw,conf_picked,0)),rw,))));if(AW29,,transpose(split(AX29,"","",1,1)))})), ""^,"", """")"),"AAC,,Big 12,CUSA,MAC,MWC,Pac12,SEC,Sun Belt,zIndependent,ACC,Big Ten")</f>
        <v>AAC,,Big 12,CUSA,MAC,MWC,Pac12,SEC,Sun Belt,zIndependent,ACC,Big Ten</v>
      </c>
      <c r="AQ29" s="114">
        <f>IFERROR(__xludf.DUMMYFUNCTION("iferror($Q29-max(filter($Q29:$Q$400,arrayformula(isnumber(FIND($E29:$E$400,AP29))))))"),-6.0)</f>
        <v>-6</v>
      </c>
      <c r="AR29" s="110">
        <f t="array" ref="AR29">countifs($Q$2:$Q28,"&lt;"&amp;$Q29,isnumber(FIND($E$2:$E28,AP29)),TRUE)</f>
        <v>3</v>
      </c>
      <c r="AS29" s="110">
        <f>IFERROR(__xludf.DUMMYFUNCTION("iferror(COUNT(filter($Q30:$Q$400,$Q30:$Q$400&gt;$Q29,arrayformula(isnumber(FIND($E30:$E$400,AP29))))))"),46.0)</f>
        <v>46</v>
      </c>
      <c r="AT29" s="111">
        <f t="shared" si="10"/>
        <v>0</v>
      </c>
      <c r="AU29" s="110">
        <f>IFERROR(__xludf.DUMMYFUNCTION("iferror($Q29-min(filter($Q29:$Q$400,arrayformula(isnumber(FIND($E29:$E$400,AP29))))))"),6.0)</f>
        <v>6</v>
      </c>
      <c r="AV29" s="113" t="str">
        <f>IFERROR(__xludf.DUMMYFUNCTION("iferror(join("","",index(sort(filter($F30:$F$400,$Q30:$Q$400&gt;$Q29,arrayformula(isnumber(FIND($E30:$E$400,AP29)))),2,false),0,1)))"),"Illinois,Louisiana Tech,Indiana,Louisville,Fresno State,Ole Miss,North Texas,Miami-OH,South Florida,BYU,Tennessee,East Carolina,Washington,LSU,Nebraska,Texas A&amp;M,Jacksonville State,Georgia Tech,Central Michigan,Western Michigan,Iowa,Missouri,Minnesota,Haw"&amp;"aii,Iowa State,Oklahoma,TCU,Old Dominion,Troy,Cincinnati,Duke,UConn,Florida Intl,Houston,San Diego State,Virginia,NC State,California,Missouri State,Pittsburgh,Vanderbilt,New Mexico,Kennesaw State,Wake Forest,Arizona,Southern Mississippi")</f>
        <v>Illinois,Louisiana Tech,Indiana,Louisville,Fresno State,Ole Miss,North Texas,Miami-OH,South Florida,BYU,Tennessee,East Carolina,Washington,LSU,Nebraska,Texas A&amp;M,Jacksonville State,Georgia Tech,Central Michigan,Western Michigan,Iowa,Missouri,Minnesota,Hawaii,Iowa State,Oklahoma,TCU,Old Dominion,Troy,Cincinnati,Duke,UConn,Florida Intl,Houston,San Diego State,Virginia,NC State,California,Missouri State,Pittsburgh,Vanderbilt,New Mexico,Kennesaw State,Wake Forest,Arizona,Southern Mississippi</v>
      </c>
      <c r="AW29" s="113" t="b">
        <f>IFERROR(__xludf.DUMMYFUNCTION("isnumber(find(""wild card"",join("","",filter($G$1:$G28,$D$1:$D28=D29))))"),FALSE)</f>
        <v>0</v>
      </c>
      <c r="AX29" s="113" t="str">
        <f>IFERROR(__xludf.DUMMYFUNCTION("join("","",let(confs,unique(TRANSPOSe(Teams!$1:$1)), confs_count, BYROW(confs,lambda(conf,xlookup(conf,'Conf WC Eligibility'!A:A,'Conf WC Eligibility'!C:C,,))),confs_picked,byrow(confs,lambda(conf,countif(E$1:E28,conf))),p_needs_conf_count,byrow(confs,lam"&amp;"bda(conf,counta('Draft Order'!B$2:B622)-COUNTUNIQUE(filter(D$2:D28,E$2:E28=conf)))),query({confs,confs_count,confs_picked,p_needs_conf_count},""select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">
      <c r="A30" s="1">
        <v>29.0</v>
      </c>
      <c r="B30" s="1">
        <v>3.0</v>
      </c>
      <c r="C30" s="1">
        <v>5.0</v>
      </c>
      <c r="D30" s="115" t="s">
        <v>311</v>
      </c>
      <c r="E30" s="116" t="str">
        <f>if(F30&lt;&gt;"",VLOOKUP(F30,offset('Teams-Conference'!A:B,0,(counta('Draft Order'!B$2:B622)-10)*2),2,0),"")</f>
        <v>AAC</v>
      </c>
      <c r="F30" s="77" t="s">
        <v>161</v>
      </c>
      <c r="G30" s="106" t="str">
        <f t="shared" si="1"/>
        <v>Regular Pick</v>
      </c>
      <c r="H30" s="106">
        <f t="shared" si="24"/>
        <v>1</v>
      </c>
      <c r="I30" s="106">
        <f t="shared" si="25"/>
        <v>3</v>
      </c>
      <c r="J30" s="106">
        <f t="shared" si="23"/>
        <v>0</v>
      </c>
      <c r="K30" s="106">
        <f t="shared" si="19"/>
        <v>2</v>
      </c>
      <c r="L30" s="106">
        <v>6.0</v>
      </c>
      <c r="M30" s="106">
        <f>IFERROR(__xludf.DUMMYFUNCTION("counta(iferror(filter(L$2:L29,E$2:E29=E30,L$2:L29&lt;L30)))"),0.0)</f>
        <v>0</v>
      </c>
      <c r="N30" s="106">
        <f>IFERROR(__xludf.DUMMYFUNCTION("counta(iferror(filter(L31:L$121,E31:E$121=E30,L31:L$624&gt;L30)))"),0.0)</f>
        <v>0</v>
      </c>
      <c r="O30" s="151"/>
      <c r="P30" s="106" t="b">
        <f>IFERROR(__xludf.DUMMYFUNCTION("if(F30="""","""",let(wc_picked, countifs(E$1:E29,E30,G$1:G29,""This is your wild card pick""), let(spots_filled,counta(unique(filter(D$2:E30,E$2:E30=E30)))/2,let(total,VLOOKUP(E30,'Conf WC Eligibility'!A:C,3,0),if(E30=""zIndependent"", TRUE,total-wc_picke"&amp;"d&gt;12)))))"),TRUE)</f>
        <v>1</v>
      </c>
      <c r="Q30" s="107">
        <f t="array" ref="Q30:AB30">XLOOKUP(F30,'Current Week'!C:C,'Current Week'!D:O)</f>
        <v>6</v>
      </c>
      <c r="R30" s="106">
        <v>6.0</v>
      </c>
      <c r="S30" s="106" t="s">
        <v>695</v>
      </c>
      <c r="T30" s="106" t="s">
        <v>61</v>
      </c>
      <c r="U30" s="106" t="s">
        <v>395</v>
      </c>
      <c r="V30" s="106"/>
      <c r="W30" s="106" t="s">
        <v>67</v>
      </c>
      <c r="X30" s="106">
        <v>-7.5</v>
      </c>
      <c r="Y30" s="106" t="s">
        <v>67</v>
      </c>
      <c r="Z30" s="106">
        <v>51.5</v>
      </c>
      <c r="AA30" s="106">
        <v>405.0</v>
      </c>
      <c r="AB30" s="106">
        <v>355.0</v>
      </c>
      <c r="AC30" s="108" t="b">
        <v>1</v>
      </c>
      <c r="AD30" s="109">
        <f t="shared" si="4"/>
        <v>-6</v>
      </c>
      <c r="AE30" s="110">
        <f t="shared" si="5"/>
        <v>3</v>
      </c>
      <c r="AF30" s="110">
        <f>IFERROR(__xludf.DUMMYFUNCTION("iferror(COUNT(filter($Q31:$Q$400,$Q31:$Q$400&gt;$Q30)))"),46.0)</f>
        <v>46</v>
      </c>
      <c r="AG30" s="111">
        <f t="shared" si="6"/>
        <v>0</v>
      </c>
      <c r="AH30" s="112">
        <f t="shared" si="7"/>
        <v>3</v>
      </c>
      <c r="AI30" s="113" t="str">
        <f>IFERROR(__xludf.DUMMYFUNCTION("iferror(join("","",index(sort(filter($F31:$F$401,$Q31:$Q$401&gt;$Q30),2,false),0,1)))"),"Illinois,Louisiana Tech,Indiana,Louisville,Fresno State,Ole Miss,North Texas,Miami-OH,South Florida,BYU,Tennessee,East Carolina,Washington,LSU,Nebraska,Texas A&amp;M,Jacksonville State,Georgia Tech,Central Michigan,Western Michigan,Iowa,Missouri,Minnesota,Haw"&amp;"aii,Iowa State,Oklahoma,TCU,Old Dominion,Troy,Cincinnati,Duke,UConn,Florida Intl,Houston,San Diego State,Virginia,NC State,California,Missouri State,Pittsburgh,Vanderbilt,New Mexico,Kennesaw State,Wake Forest,Arizona,Southern Mississippi")</f>
        <v>Illinois,Louisiana Tech,Indiana,Louisville,Fresno State,Ole Miss,North Texas,Miami-OH,South Florida,BYU,Tennessee,East Carolina,Washington,LSU,Nebraska,Texas A&amp;M,Jacksonville State,Georgia Tech,Central Michigan,Western Michigan,Iowa,Missouri,Minnesota,Hawaii,Iowa State,Oklahoma,TCU,Old Dominion,Troy,Cincinnati,Duke,UConn,Florida Intl,Houston,San Diego State,Virginia,NC State,California,Missouri State,Pittsburgh,Vanderbilt,New Mexico,Kennesaw State,Wake Forest,Arizona,Southern Mississippi</v>
      </c>
      <c r="AJ30" s="114">
        <f>IFERROR(__xludf.DUMMYFUNCTION("iferror($Q30-max(filter($Q30:$Q$400,$E30:$E$400=$E$2)))"),-6.0)</f>
        <v>-6</v>
      </c>
      <c r="AK30" s="110">
        <f t="shared" si="8"/>
        <v>0</v>
      </c>
      <c r="AL30" s="110">
        <f>IFERROR(__xludf.DUMMYFUNCTION("iferror(COUNT(filter($Q31:$Q$400,$Q31:$Q$400&gt;$Q30,$E30:$E$400=$E$2)))"),0.0)</f>
        <v>0</v>
      </c>
      <c r="AM30" s="111">
        <f t="shared" si="9"/>
        <v>0</v>
      </c>
      <c r="AN30" s="110">
        <f>IFERROR(__xludf.DUMMYFUNCTION("iferror($Q30-min(filter($Q30:$Q$400,$E30:$E$400=$E$2)))"),4.0)</f>
        <v>4</v>
      </c>
      <c r="AO30" s="113" t="str">
        <f>IFERROR(__xludf.DUMMYFUNCTION("iferror(join("","",index(sort(filter($F31:$F$400,$Q31:$Q$400&gt;$Q30,$E31:$E$400=$E$2),2,false),0,1)))"),"Illinois,Indiana,Washington,Nebraska,Iowa,Minnesota")</f>
        <v>Illinois,Indiana,Washington,Nebraska,Iowa,Minnesota</v>
      </c>
      <c r="AP30" s="113" t="str">
        <f>IFERROR(__xludf.DUMMYFUNCTION("REGEXREPLACE(join("","",unique({let(conf_picked,filter(E$1:E29,D$1:D29=D30), byrow(unique(TRANSPOSe(Teams!$1:$1)),lambda(rw,if(ISERROR(match(rw,conf_picked,0)),rw,))));if(AW30,,transpose(split(AX30,"","",1,1)))})), ""^,"", """")"),"AAC,ACC,Big 12,,CUSA,MAC,MWC,Pac12,SEC,Sun Belt,zIndependent")</f>
        <v>AAC,ACC,Big 12,,CUSA,MAC,MWC,Pac12,SEC,Sun Belt,zIndependent</v>
      </c>
      <c r="AQ30" s="114">
        <f>IFERROR(__xludf.DUMMYFUNCTION("iferror($Q30-max(filter($Q30:$Q$400,arrayformula(isnumber(FIND($E30:$E$400,AP30))))))"),-5.0)</f>
        <v>-5</v>
      </c>
      <c r="AR30" s="110">
        <f t="array" ref="AR30">countifs($Q$2:$Q29,"&lt;"&amp;$Q30,isnumber(FIND($E$2:$E29,AP30)),TRUE)</f>
        <v>3</v>
      </c>
      <c r="AS30" s="110">
        <f>IFERROR(__xludf.DUMMYFUNCTION("iferror(COUNT(filter($Q31:$Q$400,$Q31:$Q$400&gt;$Q30,arrayformula(isnumber(FIND($E31:$E$400,AP30))))))"),40.0)</f>
        <v>40</v>
      </c>
      <c r="AT30" s="111">
        <f t="shared" si="10"/>
        <v>0</v>
      </c>
      <c r="AU30" s="110">
        <f>IFERROR(__xludf.DUMMYFUNCTION("iferror($Q30-min(filter($Q30:$Q$400,arrayformula(isnumber(FIND($E30:$E$400,AP30))))))"),6.0)</f>
        <v>6</v>
      </c>
      <c r="AV30" s="113" t="str">
        <f>IFERROR(__xludf.DUMMYFUNCTION("iferror(join("","",index(sort(filter($F31:$F$400,$Q31:$Q$400&gt;$Q30,arrayformula(isnumber(FIND($E31:$E$400,AP30)))),2,false),0,1)))"),"Louisiana Tech,Louisville,Fresno State,Ole Miss,North Texas,Miami-OH,South Florida,BYU,Tennessee,East Carolina,LSU,Texas A&amp;M,Jacksonville State,Georgia Tech,Central Michigan,Western Michigan,Missouri,Hawaii,Iowa State,Oklahoma,TCU,Old Dominion,Troy,Cincin"&amp;"nati,Duke,UConn,Florida Intl,Houston,San Diego State,Virginia,NC State,California,Missouri State,Pittsburgh,Vanderbilt,New Mexico,Kennesaw State,Wake Forest,Arizona,Southern Mississippi")</f>
        <v>Louisiana Tech,Louisville,Fresno State,Ole Miss,North Texas,Miami-OH,South Florida,BYU,Tennessee,East Carolina,LSU,Texas A&amp;M,Jacksonville State,Georgia Tech,Central Michigan,Western Michigan,Missouri,Hawaii,Iowa State,Oklahoma,TCU,Old Dominion,Troy,Cincinnati,Duke,UConn,Florida Intl,Houston,San Diego State,Virginia,NC State,California,Missouri State,Pittsburgh,Vanderbilt,New Mexico,Kennesaw State,Wake Forest,Arizona,Southern Mississippi</v>
      </c>
      <c r="AW30" s="113" t="b">
        <f>IFERROR(__xludf.DUMMYFUNCTION("isnumber(find(""wild card"",join("","",filter($G$1:$G29,$D$1:$D29=D30))))"),TRUE)</f>
        <v>1</v>
      </c>
      <c r="AX30" s="113" t="str">
        <f>IFERROR(__xludf.DUMMYFUNCTION("join("","",let(confs,unique(TRANSPOSe(Teams!$1:$1)), confs_count, BYROW(confs,lambda(conf,xlookup(conf,'Conf WC Eligibility'!A:A,'Conf WC Eligibility'!C:C,,))),confs_picked,byrow(confs,lambda(conf,countif(E$1:E29,conf))),p_needs_conf_count,byrow(confs,lam"&amp;"bda(conf,counta('Draft Order'!B$2:B622)-COUNTUNIQUE(filter(D$2:D29,E$2:E29=conf)))),query({confs,confs_count,confs_picked,p_needs_conf_count},""select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">
      <c r="A31" s="1">
        <v>30.0</v>
      </c>
      <c r="B31" s="1">
        <v>3.0</v>
      </c>
      <c r="C31" s="1">
        <v>6.0</v>
      </c>
      <c r="D31" s="115" t="s">
        <v>224</v>
      </c>
      <c r="E31" s="116" t="str">
        <f>if(F31&lt;&gt;"",VLOOKUP(F31,offset('Teams-Conference'!A:B,0,(counta('Draft Order'!B$2:B622)-10)*2),2,0),"")</f>
        <v>Sun Belt</v>
      </c>
      <c r="F31" s="117" t="s">
        <v>216</v>
      </c>
      <c r="G31" s="106" t="str">
        <f t="shared" si="1"/>
        <v>Regular Pick</v>
      </c>
      <c r="H31" s="106">
        <f t="shared" si="24"/>
        <v>1</v>
      </c>
      <c r="I31" s="106">
        <f t="shared" si="25"/>
        <v>2</v>
      </c>
      <c r="J31" s="106">
        <f t="shared" si="23"/>
        <v>1</v>
      </c>
      <c r="K31" s="106">
        <f t="shared" si="19"/>
        <v>1</v>
      </c>
      <c r="L31" s="106">
        <v>6.0</v>
      </c>
      <c r="M31" s="106">
        <f>IFERROR(__xludf.DUMMYFUNCTION("counta(iferror(filter(L$2:L30,E$2:E30=E31,L$2:L30&lt;L31)))"),0.0)</f>
        <v>0</v>
      </c>
      <c r="N31" s="106">
        <f>IFERROR(__xludf.DUMMYFUNCTION("counta(iferror(filter(L32:L$121,E32:E$121=E31,L32:L$624&gt;L31)))"),0.0)</f>
        <v>0</v>
      </c>
      <c r="O31" s="152"/>
      <c r="P31" s="106" t="b">
        <f>IFERROR(__xludf.DUMMYFUNCTION("if(F31="""","""",let(wc_picked, countifs(E$1:E30,E31,G$1:G30,""This is your wild card pick""), let(spots_filled,counta(unique(filter(D$2:E31,E$2:E31=E31)))/2,let(total,VLOOKUP(E31,'Conf WC Eligibility'!A:C,3,0),if(E31=""zIndependent"", TRUE,total-wc_picke"&amp;"d&gt;12)))))"),TRUE)</f>
        <v>1</v>
      </c>
      <c r="Q31" s="107">
        <f t="array" ref="Q31:AB31">XLOOKUP(F31,'Current Week'!C:C,'Current Week'!D:O)</f>
        <v>6</v>
      </c>
      <c r="R31" s="106">
        <v>6.0</v>
      </c>
      <c r="S31" s="106" t="s">
        <v>696</v>
      </c>
      <c r="T31" s="106" t="s">
        <v>61</v>
      </c>
      <c r="U31" s="106" t="s">
        <v>311</v>
      </c>
      <c r="V31" s="106"/>
      <c r="W31" s="106" t="s">
        <v>67</v>
      </c>
      <c r="X31" s="106">
        <v>10.5</v>
      </c>
      <c r="Y31" s="106" t="s">
        <v>67</v>
      </c>
      <c r="Z31" s="106">
        <v>62.5</v>
      </c>
      <c r="AA31" s="106">
        <v>334.0</v>
      </c>
      <c r="AB31" s="106">
        <v>410.0</v>
      </c>
      <c r="AC31" s="108" t="b">
        <v>1</v>
      </c>
      <c r="AD31" s="109">
        <f t="shared" si="4"/>
        <v>-6</v>
      </c>
      <c r="AE31" s="110">
        <f t="shared" si="5"/>
        <v>3</v>
      </c>
      <c r="AF31" s="110">
        <f>IFERROR(__xludf.DUMMYFUNCTION("iferror(COUNT(filter($Q32:$Q$400,$Q32:$Q$400&gt;$Q31)))"),46.0)</f>
        <v>46</v>
      </c>
      <c r="AG31" s="111">
        <f t="shared" si="6"/>
        <v>0</v>
      </c>
      <c r="AH31" s="112">
        <f t="shared" si="7"/>
        <v>3</v>
      </c>
      <c r="AI31" s="113" t="str">
        <f>IFERROR(__xludf.DUMMYFUNCTION("iferror(join("","",index(sort(filter($F32:$F$401,$Q32:$Q$401&gt;$Q31),2,false),0,1)))"),"Illinois,Louisiana Tech,Indiana,Louisville,Fresno State,Ole Miss,North Texas,Miami-OH,South Florida,BYU,Tennessee,East Carolina,Washington,LSU,Nebraska,Texas A&amp;M,Jacksonville State,Georgia Tech,Central Michigan,Western Michigan,Iowa,Missouri,Minnesota,Haw"&amp;"aii,Iowa State,Oklahoma,TCU,Old Dominion,Troy,Cincinnati,Duke,UConn,Florida Intl,Houston,San Diego State,Virginia,NC State,California,Missouri State,Pittsburgh,Vanderbilt,New Mexico,Kennesaw State,Wake Forest,Arizona,Southern Mississippi")</f>
        <v>Illinois,Louisiana Tech,Indiana,Louisville,Fresno State,Ole Miss,North Texas,Miami-OH,South Florida,BYU,Tennessee,East Carolina,Washington,LSU,Nebraska,Texas A&amp;M,Jacksonville State,Georgia Tech,Central Michigan,Western Michigan,Iowa,Missouri,Minnesota,Hawaii,Iowa State,Oklahoma,TCU,Old Dominion,Troy,Cincinnati,Duke,UConn,Florida Intl,Houston,San Diego State,Virginia,NC State,California,Missouri State,Pittsburgh,Vanderbilt,New Mexico,Kennesaw State,Wake Forest,Arizona,Southern Mississippi</v>
      </c>
      <c r="AJ31" s="114">
        <f>IFERROR(__xludf.DUMMYFUNCTION("iferror($Q31-max(filter($Q31:$Q$400,$E31:$E$400=$E$2)))"),-6.0)</f>
        <v>-6</v>
      </c>
      <c r="AK31" s="110">
        <f t="shared" si="8"/>
        <v>0</v>
      </c>
      <c r="AL31" s="110">
        <f>IFERROR(__xludf.DUMMYFUNCTION("iferror(COUNT(filter($Q32:$Q$400,$Q32:$Q$400&gt;$Q31,$E31:$E$400=$E$2)))"),0.0)</f>
        <v>0</v>
      </c>
      <c r="AM31" s="111">
        <f t="shared" si="9"/>
        <v>0</v>
      </c>
      <c r="AN31" s="110">
        <f>IFERROR(__xludf.DUMMYFUNCTION("iferror($Q31-min(filter($Q31:$Q$400,$E31:$E$400=$E$2)))"),4.0)</f>
        <v>4</v>
      </c>
      <c r="AO31" s="113" t="str">
        <f>IFERROR(__xludf.DUMMYFUNCTION("iferror(join("","",index(sort(filter($F32:$F$400,$Q32:$Q$400&gt;$Q31,$E32:$E$400=$E$2),2,false),0,1)))"),"Illinois,Indiana,Washington,Nebraska,Iowa,Minnesota")</f>
        <v>Illinois,Indiana,Washington,Nebraska,Iowa,Minnesota</v>
      </c>
      <c r="AP31" s="113" t="str">
        <f>IFERROR(__xludf.DUMMYFUNCTION("REGEXREPLACE(join("","",unique({let(conf_picked,filter(E$1:E30,D$1:D30=D31), byrow(unique(TRANSPOSe(Teams!$1:$1)),lambda(rw,if(ISERROR(match(rw,conf_picked,0)),rw,))));if(AW31,,transpose(split(AX31,"","",1,1)))})), ""^,"", """")"),"ACC,Big 12,Big Ten,CUSA,MAC,Pac12,SEC,Sun Belt,zIndependent,AAC")</f>
        <v>ACC,Big 12,Big Ten,CUSA,MAC,Pac12,SEC,Sun Belt,zIndependent,AAC</v>
      </c>
      <c r="AQ31" s="114">
        <f>IFERROR(__xludf.DUMMYFUNCTION("iferror($Q31-max(filter($Q31:$Q$400,arrayformula(isnumber(FIND($E31:$E$400,AP31))))))"),-6.0)</f>
        <v>-6</v>
      </c>
      <c r="AR31" s="110">
        <f t="array" ref="AR31">countifs($Q$2:$Q30,"&lt;"&amp;$Q31,isnumber(FIND($E$2:$E30,AP31)),TRUE)</f>
        <v>2</v>
      </c>
      <c r="AS31" s="110">
        <f>IFERROR(__xludf.DUMMYFUNCTION("iferror(COUNT(filter($Q32:$Q$400,$Q32:$Q$400&gt;$Q31,arrayformula(isnumber(FIND($E32:$E$400,AP31))))))"),42.0)</f>
        <v>42</v>
      </c>
      <c r="AT31" s="111">
        <f t="shared" si="10"/>
        <v>0</v>
      </c>
      <c r="AU31" s="110">
        <f>IFERROR(__xludf.DUMMYFUNCTION("iferror($Q31-min(filter($Q31:$Q$400,arrayformula(isnumber(FIND($E31:$E$400,AP31))))))"),6.0)</f>
        <v>6</v>
      </c>
      <c r="AV31" s="113" t="str">
        <f>IFERROR(__xludf.DUMMYFUNCTION("iferror(join("","",index(sort(filter($F32:$F$400,$Q32:$Q$400&gt;$Q31,arrayformula(isnumber(FIND($E32:$E$400,AP31)))),2,false),0,1)))"),"Illinois,Louisiana Tech,Indiana,Louisville,Ole Miss,North Texas,Miami-OH,South Florida,BYU,Tennessee,East Carolina,Washington,LSU,Nebraska,Texas A&amp;M,Jacksonville State,Georgia Tech,Central Michigan,Western Michigan,Iowa,Missouri,Minnesota,Iowa State,Oklah"&amp;"oma,TCU,Old Dominion,Troy,Cincinnati,Duke,UConn,Florida Intl,Houston,Virginia,NC State,California,Missouri State,Pittsburgh,Vanderbilt,Kennesaw State,Wake Forest,Arizona,Southern Mississippi")</f>
        <v>Illinois,Louisiana Tech,Indiana,Louisville,Ole Miss,North Texas,Miami-OH,South Florida,BYU,Tennessee,East Carolina,Washington,LSU,Nebraska,Texas A&amp;M,Jacksonville State,Georgia Tech,Central Michigan,Western Michigan,Iowa,Missouri,Minnesota,Iowa State,Oklahoma,TCU,Old Dominion,Troy,Cincinnati,Duke,UConn,Florida Intl,Houston,Virginia,NC State,California,Missouri State,Pittsburgh,Vanderbilt,Kennesaw State,Wake Forest,Arizona,Southern Mississippi</v>
      </c>
      <c r="AW31" s="113" t="b">
        <f>IFERROR(__xludf.DUMMYFUNCTION("isnumber(find(""wild card"",join("","",filter($G$1:$G30,$D$1:$D30=D31))))"),FALSE)</f>
        <v>0</v>
      </c>
      <c r="AX31" s="113" t="str">
        <f>IFERROR(__xludf.DUMMYFUNCTION("join("","",let(confs,unique(TRANSPOSe(Teams!$1:$1)), confs_count, BYROW(confs,lambda(conf,xlookup(conf,'Conf WC Eligibility'!A:A,'Conf WC Eligibility'!C:C,,))),confs_picked,byrow(confs,lambda(conf,countif(E$1:E30,conf))),p_needs_conf_count,byrow(confs,lam"&amp;"bda(conf,counta('Draft Order'!B$2:B622)-COUNTUNIQUE(filter(D$2:D30,E$2:E30=conf)))),query({confs,confs_count,confs_picked,p_needs_conf_count},""select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">
      <c r="A32" s="1">
        <v>31.0</v>
      </c>
      <c r="B32" s="1">
        <v>3.0</v>
      </c>
      <c r="C32" s="1">
        <v>7.0</v>
      </c>
      <c r="D32" s="115" t="s">
        <v>96</v>
      </c>
      <c r="E32" s="116" t="str">
        <f>if(F32&lt;&gt;"",VLOOKUP(F32,offset('Teams-Conference'!A:B,0,(counta('Draft Order'!B$2:B622)-10)*2),2,0),"")</f>
        <v>MAC</v>
      </c>
      <c r="F32" s="77" t="s">
        <v>173</v>
      </c>
      <c r="G32" s="106" t="str">
        <f t="shared" si="1"/>
        <v>Regular Pick</v>
      </c>
      <c r="H32" s="106">
        <f t="shared" si="24"/>
        <v>0</v>
      </c>
      <c r="I32" s="106">
        <f t="shared" si="25"/>
        <v>2</v>
      </c>
      <c r="J32" s="106">
        <f t="shared" si="23"/>
        <v>0</v>
      </c>
      <c r="K32" s="106">
        <f>countif(E14:E32,E34)</f>
        <v>2</v>
      </c>
      <c r="L32" s="106">
        <v>8.0</v>
      </c>
      <c r="M32" s="106">
        <f>IFERROR(__xludf.DUMMYFUNCTION("counta(iferror(filter(L$2:L31,E$2:E31=E32,L$2:L31&lt;L32)))"),1.0)</f>
        <v>1</v>
      </c>
      <c r="N32" s="106">
        <f>IFERROR(__xludf.DUMMYFUNCTION("counta(iferror(filter(L34:L$121,E34:E$121=E32,L34:L$624&gt;L32)))"),0.0)</f>
        <v>0</v>
      </c>
      <c r="O32" s="152"/>
      <c r="P32" s="106" t="b">
        <f>IFERROR(__xludf.DUMMYFUNCTION("if(F32="""","""",let(wc_picked, countifs(E$1:E31,E32,G$1:G31,""This is your wild card pick""), let(spots_filled,counta(unique(filter(D$2:E32,E$2:E32=E32)))/2,let(total,VLOOKUP(E32,'Conf WC Eligibility'!A:C,3,0),if(E32=""zIndependent"", TRUE,total-wc_picke"&amp;"d&gt;12)))))"),TRUE)</f>
        <v>1</v>
      </c>
      <c r="Q32" s="154">
        <v>6.0</v>
      </c>
      <c r="R32" s="155">
        <v>3.0</v>
      </c>
      <c r="S32" s="106" t="s">
        <v>856</v>
      </c>
      <c r="T32" s="106" t="s">
        <v>61</v>
      </c>
      <c r="U32" s="155" t="s">
        <v>238</v>
      </c>
      <c r="V32" s="155"/>
      <c r="W32" s="155" t="s">
        <v>67</v>
      </c>
      <c r="X32" s="155">
        <v>-2.5</v>
      </c>
      <c r="Y32" s="155" t="s">
        <v>67</v>
      </c>
      <c r="Z32" s="155">
        <v>49.5</v>
      </c>
      <c r="AA32" s="155">
        <v>258.0</v>
      </c>
      <c r="AB32" s="155">
        <v>218.0</v>
      </c>
      <c r="AC32" s="108" t="b">
        <v>1</v>
      </c>
      <c r="AD32" s="109">
        <f t="shared" si="4"/>
        <v>-6</v>
      </c>
      <c r="AE32" s="110">
        <f t="shared" si="5"/>
        <v>3</v>
      </c>
      <c r="AF32" s="110">
        <f>IFERROR(__xludf.DUMMYFUNCTION("iferror(COUNT(filter($Q33:$Q$400,$Q33:$Q$400&gt;$Q32)))"),46.0)</f>
        <v>46</v>
      </c>
      <c r="AG32" s="111">
        <f t="shared" si="6"/>
        <v>0</v>
      </c>
      <c r="AH32" s="112">
        <f t="shared" si="7"/>
        <v>3</v>
      </c>
      <c r="AI32" s="113" t="str">
        <f>IFERROR(__xludf.DUMMYFUNCTION("iferror(join("","",index(sort(filter($F33:$F$401,$Q33:$Q$401&gt;$Q32),2,false),0,1)))"),"Illinois,Louisiana Tech,Indiana,Louisville,Fresno State,Ole Miss,North Texas,Miami-OH,South Florida,BYU,Tennessee,East Carolina,Washington,LSU,Nebraska,Texas A&amp;M,Jacksonville State,Georgia Tech,Central Michigan,Western Michigan,Iowa,Missouri,Minnesota,Haw"&amp;"aii,Iowa State,Oklahoma,TCU,Old Dominion,Troy,Cincinnati,Duke,UConn,Florida Intl,Houston,San Diego State,Virginia,NC State,California,Missouri State,Pittsburgh,Vanderbilt,New Mexico,Kennesaw State,Wake Forest,Arizona,Southern Mississippi")</f>
        <v>Illinois,Louisiana Tech,Indiana,Louisville,Fresno State,Ole Miss,North Texas,Miami-OH,South Florida,BYU,Tennessee,East Carolina,Washington,LSU,Nebraska,Texas A&amp;M,Jacksonville State,Georgia Tech,Central Michigan,Western Michigan,Iowa,Missouri,Minnesota,Hawaii,Iowa State,Oklahoma,TCU,Old Dominion,Troy,Cincinnati,Duke,UConn,Florida Intl,Houston,San Diego State,Virginia,NC State,California,Missouri State,Pittsburgh,Vanderbilt,New Mexico,Kennesaw State,Wake Forest,Arizona,Southern Mississippi</v>
      </c>
      <c r="AJ32" s="114">
        <f>IFERROR(__xludf.DUMMYFUNCTION("iferror($Q32-max(filter($Q32:$Q$400,$E32:$E$400=$E$2)))"),-6.0)</f>
        <v>-6</v>
      </c>
      <c r="AK32" s="110">
        <f t="shared" si="8"/>
        <v>0</v>
      </c>
      <c r="AL32" s="110">
        <f>IFERROR(__xludf.DUMMYFUNCTION("iferror(COUNT(filter($Q33:$Q$400,$Q33:$Q$400&gt;$Q32,$E32:$E$400=$E$2)))"),0.0)</f>
        <v>0</v>
      </c>
      <c r="AM32" s="111">
        <f t="shared" si="9"/>
        <v>0</v>
      </c>
      <c r="AN32" s="110">
        <f>IFERROR(__xludf.DUMMYFUNCTION("iferror($Q32-min(filter($Q32:$Q$400,$E32:$E$400=$E$2)))"),4.0)</f>
        <v>4</v>
      </c>
      <c r="AO32" s="113" t="str">
        <f>IFERROR(__xludf.DUMMYFUNCTION("iferror(join("","",index(sort(filter($F33:$F$400,$Q33:$Q$400&gt;$Q32,$E33:$E$400=$E$2),2,false),0,1)))"),"Illinois,Indiana,Washington,Nebraska,Iowa,Minnesota")</f>
        <v>Illinois,Indiana,Washington,Nebraska,Iowa,Minnesota</v>
      </c>
      <c r="AP32" s="113" t="str">
        <f>IFERROR(__xludf.DUMMYFUNCTION("REGEXREPLACE(join("","",unique({let(conf_picked,filter(E$1:E31,D$1:D31=D32), byrow(unique(TRANSPOSe(Teams!$1:$1)),lambda(rw,if(ISERROR(match(rw,conf_picked,0)),rw,))));if(AW32,,transpose(split(AX32,"","",1,1)))})), ""^,"", """")"),"AAC,ACC,Big 12,Big Ten,CUSA,MAC,MWC,Pac12,,Sun Belt")</f>
        <v>AAC,ACC,Big 12,Big Ten,CUSA,MAC,MWC,Pac12,,Sun Belt</v>
      </c>
      <c r="AQ32" s="114">
        <f>IFERROR(__xludf.DUMMYFUNCTION("iferror($Q32-max(filter($Q32:$Q$400,arrayformula(isnumber(FIND($E32:$E$400,AP32))))))"),-6.0)</f>
        <v>-6</v>
      </c>
      <c r="AR32" s="110">
        <f t="array" ref="AR32">countifs($Q$2:$Q31,"&lt;"&amp;$Q32,isnumber(FIND($E$2:$E31,AP32)),TRUE)</f>
        <v>3</v>
      </c>
      <c r="AS32" s="110">
        <f>IFERROR(__xludf.DUMMYFUNCTION("iferror(COUNT(filter($Q33:$Q$400,$Q33:$Q$400&gt;$Q32,arrayformula(isnumber(FIND($E33:$E$400,AP32))))))"),38.0)</f>
        <v>38</v>
      </c>
      <c r="AT32" s="111">
        <f t="shared" si="10"/>
        <v>0</v>
      </c>
      <c r="AU32" s="110">
        <f>IFERROR(__xludf.DUMMYFUNCTION("iferror($Q32-min(filter($Q32:$Q$400,arrayformula(isnumber(FIND($E32:$E$400,AP32))))))"),6.0)</f>
        <v>6</v>
      </c>
      <c r="AV32" s="113" t="str">
        <f>IFERROR(__xludf.DUMMYFUNCTION("iferror(join("","",index(sort(filter($F33:$F$400,$Q33:$Q$400&gt;$Q32,arrayformula(isnumber(FIND($E33:$E$400,AP32)))),2,false),0,1)))"),"Illinois,Louisiana Tech,Indiana,Louisville,Fresno State,North Texas,Miami-OH,South Florida,BYU,East Carolina,Washington,Nebraska,Jacksonville State,Georgia Tech,Central Michigan,Western Michigan,Iowa,Minnesota,Hawaii,Iowa State,TCU,Old Dominion,Troy,Cinci"&amp;"nnati,Duke,Florida Intl,Houston,San Diego State,Virginia,NC State,California,Missouri State,Pittsburgh,New Mexico,Kennesaw State,Wake Forest,Arizona,Southern Mississippi")</f>
        <v>Illinois,Louisiana Tech,Indiana,Louisville,Fresno State,North Texas,Miami-OH,South Florida,BYU,East Carolina,Washington,Nebraska,Jacksonville State,Georgia Tech,Central Michigan,Western Michigan,Iowa,Minnesota,Hawaii,Iowa State,TCU,Old Dominion,Troy,Cincinnati,Duke,Florida Intl,Houston,San Diego State,Virginia,NC State,California,Missouri State,Pittsburgh,New Mexico,Kennesaw State,Wake Forest,Arizona,Southern Mississippi</v>
      </c>
      <c r="AW32" s="113" t="b">
        <f>IFERROR(__xludf.DUMMYFUNCTION("isnumber(find(""wild card"",join("","",filter($G$1:$G31,$D$1:$D31=D32))))"),TRUE)</f>
        <v>1</v>
      </c>
      <c r="AX32" s="113" t="str">
        <f>IFERROR(__xludf.DUMMYFUNCTION("join("","",let(confs,unique(TRANSPOSe(Teams!$1:$1)), confs_count, BYROW(confs,lambda(conf,xlookup(conf,'Conf WC Eligibility'!A:A,'Conf WC Eligibility'!C:C,,))),confs_picked,byrow(confs,lambda(conf,countif(E$1:E31,conf))),p_needs_conf_count,byrow(confs,lam"&amp;"bda(conf,counta('Draft Order'!B$2:B622)-COUNTUNIQUE(filter(D$2:D31,E$2:E31=conf)))),query({confs,confs_count,confs_picked,p_needs_conf_count},""select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">
      <c r="A33" s="1">
        <v>32.0</v>
      </c>
      <c r="B33" s="1">
        <v>3.0</v>
      </c>
      <c r="C33" s="1">
        <v>8.0</v>
      </c>
      <c r="D33" s="115" t="s">
        <v>238</v>
      </c>
      <c r="E33" s="116" t="str">
        <f>if(F33&lt;&gt;"",VLOOKUP(F33,offset('Teams-Conference'!A:B,0,(counta('Draft Order'!B$2:B622)-10)*2),2,0),"")</f>
        <v>Sun Belt</v>
      </c>
      <c r="F33" s="77" t="s">
        <v>220</v>
      </c>
      <c r="G33" s="106" t="str">
        <f t="shared" si="1"/>
        <v>Regular Pick</v>
      </c>
      <c r="H33" s="106">
        <f t="shared" si="24"/>
        <v>0</v>
      </c>
      <c r="I33" s="106">
        <f t="shared" si="25"/>
        <v>1</v>
      </c>
      <c r="J33" s="106">
        <f t="shared" si="23"/>
        <v>2</v>
      </c>
      <c r="K33" s="106">
        <f>countif(E16:E34,E35)</f>
        <v>0</v>
      </c>
      <c r="L33" s="106">
        <v>4.0</v>
      </c>
      <c r="M33" s="106">
        <f>IFERROR(__xludf.DUMMYFUNCTION("counta(iferror(filter(L$2:L34,E$2:E34=E33,L$2:L34&lt;L33)))"),0.0)</f>
        <v>0</v>
      </c>
      <c r="N33" s="106">
        <f>IFERROR(__xludf.DUMMYFUNCTION("counta(iferror(filter(L35:L$121,E35:E$121=E33,L35:L$624&gt;L33)))"),0.0)</f>
        <v>0</v>
      </c>
      <c r="O33" s="152"/>
      <c r="P33" s="106" t="b">
        <f>IFERROR(__xludf.DUMMYFUNCTION("if(F33="""","""",let(wc_picked, countifs(E$1:E32,E33,G$1:G32,""This is your wild card pick""), let(spots_filled,counta(unique(filter(D$2:E33,E$2:E33=E33)))/2,let(total,VLOOKUP(E33,'Conf WC Eligibility'!A:C,3,0),if(E33=""zIndependent"", TRUE,total-wc_picke"&amp;"d&gt;12)))))"),TRUE)</f>
        <v>1</v>
      </c>
      <c r="Q33" s="107">
        <f t="array" ref="Q33:AB33">XLOOKUP(F33,'Current Week'!C:C,'Current Week'!D:O)</f>
        <v>4</v>
      </c>
      <c r="R33" s="106">
        <v>8.0</v>
      </c>
      <c r="S33" s="106" t="s">
        <v>557</v>
      </c>
      <c r="T33" s="106" t="s">
        <v>61</v>
      </c>
      <c r="U33" s="106" t="s">
        <v>95</v>
      </c>
      <c r="V33" s="106"/>
      <c r="W33" s="106" t="s">
        <v>67</v>
      </c>
      <c r="X33" s="106">
        <v>8.5</v>
      </c>
      <c r="Y33" s="106" t="s">
        <v>67</v>
      </c>
      <c r="Z33" s="106">
        <v>62.5</v>
      </c>
      <c r="AA33" s="106">
        <v>318.0</v>
      </c>
      <c r="AB33" s="106">
        <v>365.0</v>
      </c>
      <c r="AC33" s="108" t="b">
        <v>1</v>
      </c>
      <c r="AD33" s="109">
        <f t="shared" si="4"/>
        <v>-8</v>
      </c>
      <c r="AE33" s="110">
        <f t="shared" si="5"/>
        <v>1</v>
      </c>
      <c r="AF33" s="110">
        <f>IFERROR(__xludf.DUMMYFUNCTION("iferror(COUNT(filter($Q34:$Q$400,$Q34:$Q$400&gt;$Q33)))"),68.0)</f>
        <v>68</v>
      </c>
      <c r="AG33" s="111">
        <f t="shared" si="6"/>
        <v>0</v>
      </c>
      <c r="AH33" s="112">
        <f t="shared" si="7"/>
        <v>1</v>
      </c>
      <c r="AI33" s="113" t="str">
        <f>IFERROR(__xludf.DUMMYFUNCTION("iferror(join("","",index(sort(filter($F34:$F$401,$Q34:$Q$401&gt;$Q33),2,false),0,1)))"),"Illinois,Louisiana Tech,Army,Indiana,Louisville,Fresno State,Ole Miss,North Texas,Miami-OH,South Florida,BYU,Tennessee,Texas State,Auburn,East Carolina,Washington,Kansas,LSU,Nebraska,Texas A&amp;M,Jacksonville State,Baylor,Georgia Tech,Central Michigan,Wester"&amp;"n Michigan,Iowa,Missouri,Minnesota,Hawaii,Iowa State,Oklahoma,Appalachian State,TCU,Old Dominion,Akron,Florida State,Troy,Cincinnati,UCF,Duke,UConn,Florida Intl,Houston,San Diego State,Coastal Carolina,Virginia,Utah State,NC State,California,Missouri Stat"&amp;"e,Marshall,Pittsburgh,Rutgers,Arkansas State,Vanderbilt,Delaware,New Mexico,Kennesaw State,Rice,Temple,Wake Forest,Arizona,Northwestern,Kent State,Washington State,Kentucky,Mississippi State,Southern Mississippi")</f>
        <v>Illinois,Louisiana Tech,Army,Indiana,Louisville,Fresno State,Ole Miss,North Texas,Miami-OH,South Florida,BYU,Tennessee,Texas State,Auburn,East Carolina,Washington,Kansas,LSU,Nebraska,Texas A&amp;M,Jacksonville State,Baylor,Georgia Tech,Central Michigan,Western Michigan,Iowa,Missouri,Minnesota,Hawaii,Iowa State,Oklahoma,Appalachian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J33" s="114">
        <f>IFERROR(__xludf.DUMMYFUNCTION("iferror($Q33-max(filter($Q33:$Q$400,$E33:$E$400=$E$2)))"),-8.0)</f>
        <v>-8</v>
      </c>
      <c r="AK33" s="110">
        <f t="shared" si="8"/>
        <v>0</v>
      </c>
      <c r="AL33" s="110">
        <f>IFERROR(__xludf.DUMMYFUNCTION("iferror(COUNT(filter($Q34:$Q$400,$Q34:$Q$400&gt;$Q33,$E33:$E$400=$E$2)))"),0.0)</f>
        <v>0</v>
      </c>
      <c r="AM33" s="111">
        <f t="shared" si="9"/>
        <v>0</v>
      </c>
      <c r="AN33" s="110">
        <f>IFERROR(__xludf.DUMMYFUNCTION("iferror($Q33-min(filter($Q33:$Q$400,$E33:$E$400=$E$2)))"),2.0)</f>
        <v>2</v>
      </c>
      <c r="AO33" s="113" t="str">
        <f>IFERROR(__xludf.DUMMYFUNCTION("iferror(join("","",index(sort(filter($F34:$F$400,$Q34:$Q$400&gt;$Q33,$E34:$E$400=$E$2),2,false),0,1)))"),"Illinois,Indiana,Washington,Nebraska,Iowa,Minnesota,Rutgers,Northwestern")</f>
        <v>Illinois,Indiana,Washington,Nebraska,Iowa,Minnesota,Rutgers,Northwestern</v>
      </c>
      <c r="AP33" s="113" t="str">
        <f>IFERROR(__xludf.DUMMYFUNCTION("REGEXREPLACE(join("","",unique({let(conf_picked,filter(E$1:E32,D$1:D32=D33), byrow(unique(TRANSPOSe(Teams!$1:$1)),lambda(rw,if(ISERROR(match(rw,conf_picked,0)),rw,))));if(AW33,,transpose(split(AX33,"","",1,1)))})), ""^,"", """")"),"ACC,Big 12,Big Ten,CUSA,MAC,Pac12,SEC,Sun Belt,zIndependent,AAC")</f>
        <v>ACC,Big 12,Big Ten,CUSA,MAC,Pac12,SEC,Sun Belt,zIndependent,AAC</v>
      </c>
      <c r="AQ33" s="114">
        <f>IFERROR(__xludf.DUMMYFUNCTION("iferror($Q33-max(filter($Q33:$Q$400,arrayformula(isnumber(FIND($E33:$E$400,AP33))))))"),-8.0)</f>
        <v>-8</v>
      </c>
      <c r="AR33" s="110">
        <f t="array" ref="AR33">countifs($Q$2:$Q32,"&lt;"&amp;$Q33,isnumber(FIND($E$2:$E32,AP33)),TRUE)</f>
        <v>0</v>
      </c>
      <c r="AS33" s="110">
        <f>IFERROR(__xludf.DUMMYFUNCTION("iferror(COUNT(filter($Q34:$Q$400,$Q34:$Q$400&gt;$Q33,arrayformula(isnumber(FIND($E34:$E$400,AP33))))))"),63.0)</f>
        <v>63</v>
      </c>
      <c r="AT33" s="111">
        <f t="shared" si="10"/>
        <v>0</v>
      </c>
      <c r="AU33" s="110">
        <f>IFERROR(__xludf.DUMMYFUNCTION("iferror($Q33-min(filter($Q33:$Q$400,arrayformula(isnumber(FIND($E33:$E$400,AP33))))))"),4.0)</f>
        <v>4</v>
      </c>
      <c r="AV33" s="113" t="str">
        <f>IFERROR(__xludf.DUMMYFUNCTION("iferror(join("","",index(sort(filter($F34:$F$400,$Q34:$Q$400&gt;$Q33,arrayformula(isnumber(FIND($E34:$E$400,AP33)))),2,false),0,1)))"),"Illinois,Louisiana Tech,Army,Indiana,Louisville,Ole Miss,North Texas,Miami-OH,South Florida,BYU,Tennessee,Texas State,Auburn,East Carolina,Washington,Kansas,LSU,Nebraska,Texas A&amp;M,Jacksonville State,Baylor,Georgia Tech,Central Michigan,Western Michigan,Io"&amp;"wa,Missouri,Minnesota,Iowa State,Oklahoma,Appalachian State,TCU,Old Dominion,Akron,Florida State,Troy,Cincinnati,UCF,Duke,UConn,Florida Intl,Houston,Coastal Carolina,Virginia,NC State,California,Missouri State,Marshall,Pittsburgh,Rutgers,Arkansas State,Va"&amp;"nderbilt,Delaware,Kennesaw State,Rice,Temple,Wake Forest,Arizona,Northwestern,Kent State,Washington State,Kentucky,Mississippi State,Southern Mississippi")</f>
        <v>Illinois,Louisiana Tech,Army,Indiana,Louisville,Ole Miss,North Texas,Miami-OH,South Florida,BYU,Tennessee,Texas State,Auburn,East Carolina,Washington,Kansas,LSU,Nebraska,Texas A&amp;M,Jacksonville State,Baylor,Georgia Tech,Central Michigan,Western Michigan,Iowa,Missouri,Minnesota,Iowa State,Oklahoma,Appalachian State,TCU,Old Dominion,Akron,Florida State,Troy,Cincinnati,UCF,Duke,UConn,Florida Intl,Houston,Coastal Carolina,Virginia,NC State,California,Missouri State,Marshall,Pittsburgh,Rutgers,Arkansas State,Vanderbilt,Delaware,Kennesaw State,Rice,Temple,Wake Forest,Arizona,Northwestern,Kent State,Washington State,Kentucky,Mississippi State,Southern Mississippi</v>
      </c>
      <c r="AW33" s="113" t="b">
        <f>IFERROR(__xludf.DUMMYFUNCTION("isnumber(find(""wild card"",join("","",filter($G$1:$G32,$D$1:$D32=D33))))"),FALSE)</f>
        <v>0</v>
      </c>
      <c r="AX33" s="113" t="str">
        <f>IFERROR(__xludf.DUMMYFUNCTION("join("","",let(confs,unique(TRANSPOSe(Teams!$1:$1)), confs_count, BYROW(confs,lambda(conf,xlookup(conf,'Conf WC Eligibility'!A:A,'Conf WC Eligibility'!C:C,,))),confs_picked,byrow(confs,lambda(conf,countif(E$1:E32,conf))),p_needs_conf_count,byrow(confs,lam"&amp;"bda(conf,counta('Draft Order'!B$2:B622)-COUNTUNIQUE(filter(D$2:D32,E$2:E32=conf)))),query({confs,confs_count,confs_picked,p_needs_conf_count},""select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">
      <c r="A34" s="1">
        <v>33.0</v>
      </c>
      <c r="B34" s="1">
        <v>3.0</v>
      </c>
      <c r="C34" s="1">
        <v>9.0</v>
      </c>
      <c r="D34" s="115" t="s">
        <v>156</v>
      </c>
      <c r="E34" s="116" t="str">
        <f>if(F34&lt;&gt;"",VLOOKUP(F34,offset('Teams-Conference'!A:B,0,(counta('Draft Order'!B$2:B622)-10)*2),2,0),"")</f>
        <v>Big Ten</v>
      </c>
      <c r="F34" s="77" t="s">
        <v>135</v>
      </c>
      <c r="G34" s="106" t="str">
        <f t="shared" si="1"/>
        <v>Regular Pick</v>
      </c>
      <c r="H34" s="106">
        <f t="shared" si="24"/>
        <v>1</v>
      </c>
      <c r="I34" s="106">
        <f t="shared" si="25"/>
        <v>2</v>
      </c>
      <c r="J34" s="106">
        <f t="shared" si="23"/>
        <v>1</v>
      </c>
      <c r="K34" s="106">
        <f>countif(E15:E34,E33)</f>
        <v>3</v>
      </c>
      <c r="L34" s="106">
        <v>8.0</v>
      </c>
      <c r="M34" s="106">
        <f>IFERROR(__xludf.DUMMYFUNCTION("counta(iferror(filter(L$2:L32,E$2:E32=E34,L$2:L32&lt;L34)))"),1.0)</f>
        <v>1</v>
      </c>
      <c r="N34" s="106">
        <f>IFERROR(__xludf.DUMMYFUNCTION("counta(iferror(filter(L33:L$121,E33:E$121=E34,L33:L$624&gt;L34)))"),0.0)</f>
        <v>0</v>
      </c>
      <c r="O34" s="152"/>
      <c r="P34" s="106" t="b">
        <f>IFERROR(__xludf.DUMMYFUNCTION("if(F34="""","""",let(wc_picked, countifs(E$1:E33,E34,G$1:G33,""This is your wild card pick""), let(spots_filled,counta(unique(filter(D$2:E34,E$2:E34=E34)))/2,let(total,VLOOKUP(E34,'Conf WC Eligibility'!A:C,3,0),if(E34=""zIndependent"", TRUE,total-wc_picke"&amp;"d&gt;12)))))"),TRUE)</f>
        <v>1</v>
      </c>
      <c r="Q34" s="107">
        <f t="array" ref="Q34:AB34">XLOOKUP(F34,'Current Week'!C:C,'Current Week'!D:O)</f>
        <v>8</v>
      </c>
      <c r="R34" s="106">
        <v>4.0</v>
      </c>
      <c r="S34" s="106" t="s">
        <v>746</v>
      </c>
      <c r="T34" s="106" t="s">
        <v>61</v>
      </c>
      <c r="U34" s="106" t="s">
        <v>493</v>
      </c>
      <c r="V34" s="106"/>
      <c r="W34" s="106" t="s">
        <v>67</v>
      </c>
      <c r="X34" s="106">
        <v>-7.5</v>
      </c>
      <c r="Y34" s="106" t="s">
        <v>67</v>
      </c>
      <c r="Z34" s="106">
        <v>44.5</v>
      </c>
      <c r="AA34" s="106">
        <v>352.0</v>
      </c>
      <c r="AB34" s="106">
        <v>279.0</v>
      </c>
      <c r="AC34" s="108" t="b">
        <v>1</v>
      </c>
      <c r="AD34" s="109">
        <f t="shared" si="4"/>
        <v>-4</v>
      </c>
      <c r="AE34" s="110">
        <f t="shared" si="5"/>
        <v>11</v>
      </c>
      <c r="AF34" s="110">
        <f>IFERROR(__xludf.DUMMYFUNCTION("iferror(COUNT(filter($Q35:$Q$400,$Q35:$Q$400&gt;$Q34)))"),17.0)</f>
        <v>17</v>
      </c>
      <c r="AG34" s="111">
        <f t="shared" si="6"/>
        <v>0</v>
      </c>
      <c r="AH34" s="112">
        <f t="shared" si="7"/>
        <v>5</v>
      </c>
      <c r="AI34" s="113" t="str">
        <f>IFERROR(__xludf.DUMMYFUNCTION("iferror(join("","",index(sort(filter($F35:$F$401,$Q35:$Q$401&gt;$Q34),2,false),0,1)))"),"Indiana,Ole Miss,North Texas,South Florida,BYU,Texas A&amp;M,Georgia Tech,Oklahoma,Old Dominion,UConn,Houston,San Diego State,Virginia,Vanderbilt,New Mexico,Kennesaw State,Arizona")</f>
        <v>Indiana,Ole Miss,North Texas,South Florida,BYU,Texas A&amp;M,Georgia Tech,Oklahoma,Old Dominion,UConn,Houston,San Diego State,Virginia,Vanderbilt,New Mexico,Kennesaw State,Arizona</v>
      </c>
      <c r="AJ34" s="114">
        <f>IFERROR(__xludf.DUMMYFUNCTION("iferror($Q34-max(filter($Q34:$Q$400,$E34:$E$400=$E$2)))"),-4.0)</f>
        <v>-4</v>
      </c>
      <c r="AK34" s="110">
        <f t="shared" si="8"/>
        <v>1</v>
      </c>
      <c r="AL34" s="110">
        <f>IFERROR(__xludf.DUMMYFUNCTION("iferror(COUNT(filter($Q35:$Q$400,$Q35:$Q$400&gt;$Q34,$E34:$E$400=$E$2)))"),0.0)</f>
        <v>0</v>
      </c>
      <c r="AM34" s="111">
        <f t="shared" si="9"/>
        <v>0</v>
      </c>
      <c r="AN34" s="110">
        <f>IFERROR(__xludf.DUMMYFUNCTION("iferror($Q34-min(filter($Q34:$Q$400,$E34:$E$400=$E$2)))"),6.0)</f>
        <v>6</v>
      </c>
      <c r="AO34" s="113" t="str">
        <f>IFERROR(__xludf.DUMMYFUNCTION("iferror(join("","",index(sort(filter($F35:$F$400,$Q35:$Q$400&gt;$Q34,$E35:$E$400=$E$2),2,false),0,1)))"),"Indiana")</f>
        <v>Indiana</v>
      </c>
      <c r="AP34" s="113" t="str">
        <f>IFERROR(__xludf.DUMMYFUNCTION("REGEXREPLACE(join("","",unique({let(conf_picked,filter(E$1:E33,D$1:D33=D34), byrow(unique(TRANSPOSe(Teams!$1:$1)),lambda(rw,if(ISERROR(match(rw,conf_picked,0)),rw,))));if(AW34,,transpose(split(AX34,"","",1,1)))})), ""^,"", """")"),"AAC,,Big 12,Big Ten,CUSA,MWC,Pac12,SEC,Sun Belt,zIndependent,ACC,MAC")</f>
        <v>AAC,,Big 12,Big Ten,CUSA,MWC,Pac12,SEC,Sun Belt,zIndependent,ACC,MAC</v>
      </c>
      <c r="AQ34" s="114">
        <f>IFERROR(__xludf.DUMMYFUNCTION("iferror($Q34-max(filter($Q34:$Q$400,arrayformula(isnumber(FIND($E34:$E$400,AP34))))))"),-4.0)</f>
        <v>-4</v>
      </c>
      <c r="AR34" s="110">
        <f t="array" ref="AR34">countifs($Q$2:$Q33,"&lt;"&amp;$Q34,isnumber(FIND($E$2:$E33,AP34)),TRUE)</f>
        <v>11</v>
      </c>
      <c r="AS34" s="110">
        <f>IFERROR(__xludf.DUMMYFUNCTION("iferror(COUNT(filter($Q35:$Q$400,$Q35:$Q$400&gt;$Q34,arrayformula(isnumber(FIND($E35:$E$400,AP34))))))"),17.0)</f>
        <v>17</v>
      </c>
      <c r="AT34" s="111">
        <f t="shared" si="10"/>
        <v>0</v>
      </c>
      <c r="AU34" s="110">
        <f>IFERROR(__xludf.DUMMYFUNCTION("iferror($Q34-min(filter($Q34:$Q$400,arrayformula(isnumber(FIND($E34:$E$400,AP34))))))"),8.0)</f>
        <v>8</v>
      </c>
      <c r="AV34" s="113" t="str">
        <f>IFERROR(__xludf.DUMMYFUNCTION("iferror(join("","",index(sort(filter($F35:$F$400,$Q35:$Q$400&gt;$Q34,arrayformula(isnumber(FIND($E35:$E$400,AP34)))),2,false),0,1)))"),"Indiana,Ole Miss,North Texas,South Florida,BYU,Texas A&amp;M,Georgia Tech,Oklahoma,Old Dominion,UConn,Houston,San Diego State,Virginia,Vanderbilt,New Mexico,Kennesaw State,Arizona")</f>
        <v>Indiana,Ole Miss,North Texas,South Florida,BYU,Texas A&amp;M,Georgia Tech,Oklahoma,Old Dominion,UConn,Houston,San Diego State,Virginia,Vanderbilt,New Mexico,Kennesaw State,Arizona</v>
      </c>
      <c r="AW34" s="113" t="b">
        <f>IFERROR(__xludf.DUMMYFUNCTION("isnumber(find(""wild card"",join("","",filter($G$1:$G33,$D$1:$D33=D34))))"),FALSE)</f>
        <v>0</v>
      </c>
      <c r="AX34" s="113" t="str">
        <f>IFERROR(__xludf.DUMMYFUNCTION("join("","",let(confs,unique(TRANSPOSe(Teams!$1:$1)), confs_count, BYROW(confs,lambda(conf,xlookup(conf,'Conf WC Eligibility'!A:A,'Conf WC Eligibility'!C:C,,))),confs_picked,byrow(confs,lambda(conf,countif(E$1:E33,conf))),p_needs_conf_count,byrow(confs,lam"&amp;"bda(conf,counta('Draft Order'!B$2:B622)-COUNTUNIQUE(filter(D$2:D33,E$2:E33=conf)))),query({confs,confs_count,confs_picked,p_needs_conf_count},""select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">
      <c r="A35" s="1">
        <v>34.0</v>
      </c>
      <c r="B35" s="1">
        <v>3.0</v>
      </c>
      <c r="C35" s="1">
        <v>10.0</v>
      </c>
      <c r="D35" s="115" t="s">
        <v>249</v>
      </c>
      <c r="E35" s="116" t="str">
        <f>if(F35&lt;&gt;"",VLOOKUP(F35,offset('Teams-Conference'!A:B,0,(counta('Draft Order'!B$2:B622)-10)*2),2,0),"")</f>
        <v>CUSA</v>
      </c>
      <c r="F35" s="77" t="s">
        <v>151</v>
      </c>
      <c r="G35" s="106" t="str">
        <f t="shared" si="1"/>
        <v>Regular Pick</v>
      </c>
      <c r="H35" s="106">
        <f t="shared" si="24"/>
        <v>0</v>
      </c>
      <c r="I35" s="106">
        <f t="shared" si="25"/>
        <v>0</v>
      </c>
      <c r="J35" s="106">
        <f t="shared" si="23"/>
        <v>0</v>
      </c>
      <c r="K35" s="106">
        <f t="shared" ref="K35:K50" si="26">countif(E17:E35,E36)</f>
        <v>2</v>
      </c>
      <c r="L35" s="106">
        <v>7.0</v>
      </c>
      <c r="M35" s="106">
        <f>IFERROR(__xludf.DUMMYFUNCTION("counta(iferror(filter(L$2:L34,E$2:E34=E35,L$2:L34&lt;L35)))"),1.0)</f>
        <v>1</v>
      </c>
      <c r="N35" s="106">
        <f>IFERROR(__xludf.DUMMYFUNCTION("counta(iferror(filter(L36:L$121,E36:E$121=E35,L36:L$624&gt;L35)))"),0.0)</f>
        <v>0</v>
      </c>
      <c r="O35" s="152"/>
      <c r="P35" s="106" t="b">
        <f>IFERROR(__xludf.DUMMYFUNCTION("if(F35="""","""",let(wc_picked, countifs(E$1:E34,E35,G$1:G34,""This is your wild card pick""), let(spots_filled,counta(unique(filter(D$2:E35,E$2:E35=E35)))/2,let(total,VLOOKUP(E35,'Conf WC Eligibility'!A:C,3,0),if(E35=""zIndependent"", TRUE,total-wc_picke"&amp;"d&gt;12)))))"),FALSE)</f>
        <v>0</v>
      </c>
      <c r="Q35" s="107">
        <f t="array" ref="Q35:AB35">XLOOKUP(F35,'Current Week'!C:C,'Current Week'!D:O)</f>
        <v>7</v>
      </c>
      <c r="R35" s="106">
        <v>5.0</v>
      </c>
      <c r="S35" s="106" t="s">
        <v>683</v>
      </c>
      <c r="T35" s="106" t="s">
        <v>61</v>
      </c>
      <c r="U35" s="106" t="s">
        <v>193</v>
      </c>
      <c r="V35" s="106"/>
      <c r="W35" s="106" t="s">
        <v>67</v>
      </c>
      <c r="X35" s="106">
        <v>1.5</v>
      </c>
      <c r="Y35" s="106" t="s">
        <v>67</v>
      </c>
      <c r="Z35" s="106">
        <v>47.5</v>
      </c>
      <c r="AA35" s="106">
        <v>332.0</v>
      </c>
      <c r="AB35" s="106">
        <v>256.0</v>
      </c>
      <c r="AC35" s="108" t="b">
        <v>1</v>
      </c>
      <c r="AD35" s="109">
        <f t="shared" si="4"/>
        <v>-5</v>
      </c>
      <c r="AE35" s="110">
        <f t="shared" si="5"/>
        <v>10</v>
      </c>
      <c r="AF35" s="110">
        <f>IFERROR(__xludf.DUMMYFUNCTION("iferror(COUNT(filter($Q36:$Q$400,$Q36:$Q$400&gt;$Q35)))"),32.0)</f>
        <v>32</v>
      </c>
      <c r="AG35" s="111">
        <f t="shared" si="6"/>
        <v>0</v>
      </c>
      <c r="AH35" s="112">
        <f t="shared" si="7"/>
        <v>4</v>
      </c>
      <c r="AI35" s="113" t="str">
        <f>IFERROR(__xludf.DUMMYFUNCTION("iferror(join("","",index(sort(filter($F36:$F$401,$Q36:$Q$401&gt;$Q35),2,false),0,1)))"),"Indiana,Louisville,Fresno State,Ole Miss,North Texas,South Florida,BYU,Tennessee,East Carolina,Washington,Texas A&amp;M,Jacksonville State,Georgia Tech,Western Michigan,Iowa,Missouri,Hawaii,Iowa State,Oklahoma,TCU,Old Dominion,Troy,UConn,Houston,San Diego Sta"&amp;"te,Virginia,Pittsburgh,Vanderbilt,New Mexico,Kennesaw State,Wake Forest,Arizona")</f>
        <v>Indiana,Louisville,Fresno State,Ole Miss,North Texas,South Florida,BYU,Tennessee,East Carolina,Washington,Texas A&amp;M,Jacksonville State,Georgia Tech,Western Michigan,Iowa,Missouri,Hawaii,Iowa State,Oklahoma,TCU,Old Dominion,Troy,UConn,Houston,San Diego State,Virginia,Pittsburgh,Vanderbilt,New Mexico,Kennesaw State,Wake Forest,Arizona</v>
      </c>
      <c r="AJ35" s="114">
        <f>IFERROR(__xludf.DUMMYFUNCTION("iferror($Q35-max(filter($Q35:$Q$400,$E35:$E$400=$E$2)))"),-5.0)</f>
        <v>-5</v>
      </c>
      <c r="AK35" s="110">
        <f t="shared" si="8"/>
        <v>1</v>
      </c>
      <c r="AL35" s="110">
        <f>IFERROR(__xludf.DUMMYFUNCTION("iferror(COUNT(filter($Q36:$Q$400,$Q36:$Q$400&gt;$Q35,$E35:$E$400=$E$2)))"),0.0)</f>
        <v>0</v>
      </c>
      <c r="AM35" s="111">
        <f t="shared" si="9"/>
        <v>0</v>
      </c>
      <c r="AN35" s="110">
        <f>IFERROR(__xludf.DUMMYFUNCTION("iferror($Q35-min(filter($Q35:$Q$400,$E35:$E$400=$E$2)))"),5.0)</f>
        <v>5</v>
      </c>
      <c r="AO35" s="113" t="str">
        <f>IFERROR(__xludf.DUMMYFUNCTION("iferror(join("","",index(sort(filter($F36:$F$400,$Q36:$Q$400&gt;$Q35,$E36:$E$400=$E$2),2,false),0,1)))"),"Indiana,Washington,Iowa")</f>
        <v>Indiana,Washington,Iowa</v>
      </c>
      <c r="AP35" s="113" t="str">
        <f>IFERROR(__xludf.DUMMYFUNCTION("REGEXREPLACE(join("","",unique({let(conf_picked,filter(E$1:E34,D$1:D34=D35), byrow(unique(TRANSPOSe(Teams!$1:$1)),lambda(rw,if(ISERROR(match(rw,conf_picked,0)),rw,))));if(AW35,,transpose(split(AX35,"","",1,1)))})), ""^,"", """")"),"AAC,,Big 12,Big Ten,CUSA,MWC,Pac12,SEC,Sun Belt,zIndependent,ACC,MAC")</f>
        <v>AAC,,Big 12,Big Ten,CUSA,MWC,Pac12,SEC,Sun Belt,zIndependent,ACC,MAC</v>
      </c>
      <c r="AQ35" s="114">
        <f>IFERROR(__xludf.DUMMYFUNCTION("iferror($Q35-max(filter($Q35:$Q$400,arrayformula(isnumber(FIND($E35:$E$400,AP35))))))"),-5.0)</f>
        <v>-5</v>
      </c>
      <c r="AR35" s="110">
        <f t="array" ref="AR35">countifs($Q$2:$Q34,"&lt;"&amp;$Q35,isnumber(FIND($E$2:$E34,AP35)),TRUE)</f>
        <v>10</v>
      </c>
      <c r="AS35" s="110">
        <f>IFERROR(__xludf.DUMMYFUNCTION("iferror(COUNT(filter($Q36:$Q$400,$Q36:$Q$400&gt;$Q35,arrayformula(isnumber(FIND($E36:$E$400,AP35))))))"),32.0)</f>
        <v>32</v>
      </c>
      <c r="AT35" s="111">
        <f t="shared" si="10"/>
        <v>0</v>
      </c>
      <c r="AU35" s="110">
        <f>IFERROR(__xludf.DUMMYFUNCTION("iferror($Q35-min(filter($Q35:$Q$400,arrayformula(isnumber(FIND($E35:$E$400,AP35))))))"),7.0)</f>
        <v>7</v>
      </c>
      <c r="AV35" s="113" t="str">
        <f>IFERROR(__xludf.DUMMYFUNCTION("iferror(join("","",index(sort(filter($F36:$F$400,$Q36:$Q$400&gt;$Q35,arrayformula(isnumber(FIND($E36:$E$400,AP35)))),2,false),0,1)))"),"Indiana,Louisville,Fresno State,Ole Miss,North Texas,South Florida,BYU,Tennessee,East Carolina,Washington,Texas A&amp;M,Jacksonville State,Georgia Tech,Western Michigan,Iowa,Missouri,Hawaii,Iowa State,Oklahoma,TCU,Old Dominion,Troy,UConn,Houston,San Diego Sta"&amp;"te,Virginia,Pittsburgh,Vanderbilt,New Mexico,Kennesaw State,Wake Forest,Arizona")</f>
        <v>Indiana,Louisville,Fresno State,Ole Miss,North Texas,South Florida,BYU,Tennessee,East Carolina,Washington,Texas A&amp;M,Jacksonville State,Georgia Tech,Western Michigan,Iowa,Missouri,Hawaii,Iowa State,Oklahoma,TCU,Old Dominion,Troy,UConn,Houston,San Diego State,Virginia,Pittsburgh,Vanderbilt,New Mexico,Kennesaw State,Wake Forest,Arizona</v>
      </c>
      <c r="AW35" s="113" t="b">
        <f>IFERROR(__xludf.DUMMYFUNCTION("isnumber(find(""wild card"",join("","",filter($G$1:$G34,$D$1:$D34=D35))))"),FALSE)</f>
        <v>0</v>
      </c>
      <c r="AX35" s="113" t="str">
        <f>IFERROR(__xludf.DUMMYFUNCTION("join("","",let(confs,unique(TRANSPOSe(Teams!$1:$1)), confs_count, BYROW(confs,lambda(conf,xlookup(conf,'Conf WC Eligibility'!A:A,'Conf WC Eligibility'!C:C,,))),confs_picked,byrow(confs,lambda(conf,countif(E$1:E34,conf))),p_needs_conf_count,byrow(confs,lam"&amp;"bda(conf,counta('Draft Order'!B$2:B622)-COUNTUNIQUE(filter(D$2:D34,E$2:E34=conf)))),query({confs,confs_count,confs_picked,p_needs_conf_count},""select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">
      <c r="A36" s="1">
        <v>35.0</v>
      </c>
      <c r="B36" s="1">
        <v>3.0</v>
      </c>
      <c r="C36" s="1">
        <v>11.0</v>
      </c>
      <c r="D36" s="115" t="s">
        <v>395</v>
      </c>
      <c r="E36" s="116" t="str">
        <f>if(F36&lt;&gt;"",VLOOKUP(F36,offset('Teams-Conference'!A:B,0,(counta('Draft Order'!B$2:B622)-10)*2),2,0),"")</f>
        <v>AAC</v>
      </c>
      <c r="F36" s="77" t="s">
        <v>225</v>
      </c>
      <c r="G36" s="106" t="str">
        <f t="shared" si="1"/>
        <v>Regular Pick</v>
      </c>
      <c r="H36" s="106">
        <f t="shared" si="24"/>
        <v>2</v>
      </c>
      <c r="I36" s="106">
        <f t="shared" si="25"/>
        <v>3</v>
      </c>
      <c r="J36" s="106">
        <f t="shared" ref="J36:J37" si="27">countif(E26:E35,E36)</f>
        <v>1</v>
      </c>
      <c r="K36" s="106">
        <f t="shared" si="26"/>
        <v>3</v>
      </c>
      <c r="L36" s="106">
        <v>6.0</v>
      </c>
      <c r="M36" s="106">
        <f>IFERROR(__xludf.DUMMYFUNCTION("counta(iferror(filter(L$2:L35,E$2:E35=E36,L$2:L35&lt;L36)))"),0.0)</f>
        <v>0</v>
      </c>
      <c r="N36" s="106">
        <f>IFERROR(__xludf.DUMMYFUNCTION("counta(iferror(filter(L37:L$121,E37:E$121=E36,L37:L$624&gt;L36)))"),0.0)</f>
        <v>0</v>
      </c>
      <c r="O36" s="152"/>
      <c r="P36" s="106" t="b">
        <f>IFERROR(__xludf.DUMMYFUNCTION("if(F36="""","""",let(wc_picked, countifs(E$1:E35,E36,G$1:G35,""This is your wild card pick""), let(spots_filled,counta(unique(filter(D$2:E36,E$2:E36=E36)))/2,let(total,VLOOKUP(E36,'Conf WC Eligibility'!A:C,3,0),if(E36=""zIndependent"", TRUE,total-wc_picke"&amp;"d&gt;12)))))"),TRUE)</f>
        <v>1</v>
      </c>
      <c r="Q36" s="107">
        <f t="array" ref="Q36:AB36">XLOOKUP(F36,'Current Week'!C:C,'Current Week'!D:O)</f>
        <v>6</v>
      </c>
      <c r="R36" s="106">
        <v>5.0</v>
      </c>
      <c r="S36" s="106" t="s">
        <v>695</v>
      </c>
      <c r="T36" s="106" t="s">
        <v>61</v>
      </c>
      <c r="U36" s="106" t="s">
        <v>311</v>
      </c>
      <c r="V36" s="106"/>
      <c r="W36" s="106" t="s">
        <v>67</v>
      </c>
      <c r="X36" s="106">
        <v>7.5</v>
      </c>
      <c r="Y36" s="106" t="s">
        <v>67</v>
      </c>
      <c r="Z36" s="106">
        <v>51.5</v>
      </c>
      <c r="AA36" s="106">
        <v>253.0</v>
      </c>
      <c r="AB36" s="106">
        <v>248.0</v>
      </c>
      <c r="AC36" s="108" t="b">
        <v>1</v>
      </c>
      <c r="AD36" s="109">
        <f t="shared" si="4"/>
        <v>-6</v>
      </c>
      <c r="AE36" s="110">
        <f t="shared" si="5"/>
        <v>4</v>
      </c>
      <c r="AF36" s="110">
        <f>IFERROR(__xludf.DUMMYFUNCTION("iferror(COUNT(filter($Q37:$Q$400,$Q37:$Q$400&gt;$Q36)))"),44.0)</f>
        <v>44</v>
      </c>
      <c r="AG36" s="111">
        <f t="shared" si="6"/>
        <v>0</v>
      </c>
      <c r="AH36" s="112">
        <f t="shared" si="7"/>
        <v>3</v>
      </c>
      <c r="AI36" s="113" t="str">
        <f>IFERROR(__xludf.DUMMYFUNCTION("iferror(join("","",index(sort(filter($F37:$F$401,$Q37:$Q$401&gt;$Q36),2,false),0,1)))"),"Indiana,Louisville,Fresno State,Ole Miss,North Texas,Miami-OH,South Florida,BYU,Tennessee,East Carolina,Washington,LSU,Nebraska,Texas A&amp;M,Jacksonville State,Georgia Tech,Central Michigan,Western Michigan,Iowa,Missouri,Minnesota,Hawaii,Iowa State,Oklahoma,"&amp;"TCU,Old Dominion,Troy,Cincinnati,Duke,UConn,Florida Intl,Houston,San Diego State,Virginia,NC State,California,Missouri State,Pittsburgh,Vanderbilt,New Mexico,Kennesaw State,Wake Forest,Arizona,Southern Mississippi")</f>
        <v>Indiana,Louisville,Fresno State,Ole Miss,North Texas,Miami-OH,South Florida,BYU,Tennessee,East Carolina,Washington,LSU,Nebraska,Texas A&amp;M,Jacksonville State,Georgia Tech,Central Michigan,Western Michigan,Iowa,Missouri,Minnesota,Hawaii,Iowa State,Oklahoma,TCU,Old Dominion,Troy,Cincinnati,Duke,UConn,Florida Intl,Houston,San Diego State,Virginia,NC State,California,Missouri State,Pittsburgh,Vanderbilt,New Mexico,Kennesaw State,Wake Forest,Arizona,Southern Mississippi</v>
      </c>
      <c r="AJ36" s="114">
        <f>IFERROR(__xludf.DUMMYFUNCTION("iferror($Q36-max(filter($Q36:$Q$400,$E36:$E$400=$E$2)))"),-6.0)</f>
        <v>-6</v>
      </c>
      <c r="AK36" s="110">
        <f t="shared" si="8"/>
        <v>0</v>
      </c>
      <c r="AL36" s="110">
        <f>IFERROR(__xludf.DUMMYFUNCTION("iferror(COUNT(filter($Q37:$Q$400,$Q37:$Q$400&gt;$Q36,$E36:$E$400=$E$2)))"),0.0)</f>
        <v>0</v>
      </c>
      <c r="AM36" s="111">
        <f t="shared" si="9"/>
        <v>0</v>
      </c>
      <c r="AN36" s="110">
        <f>IFERROR(__xludf.DUMMYFUNCTION("iferror($Q36-min(filter($Q36:$Q$400,$E36:$E$400=$E$2)))"),4.0)</f>
        <v>4</v>
      </c>
      <c r="AO36" s="113" t="str">
        <f>IFERROR(__xludf.DUMMYFUNCTION("iferror(join("","",index(sort(filter($F37:$F$400,$Q37:$Q$400&gt;$Q36,$E37:$E$400=$E$2),2,false),0,1)))"),"Indiana,Washington,Nebraska,Iowa,Minnesota")</f>
        <v>Indiana,Washington,Nebraska,Iowa,Minnesota</v>
      </c>
      <c r="AP36" s="113" t="str">
        <f>IFERROR(__xludf.DUMMYFUNCTION("REGEXREPLACE(join("","",unique({let(conf_picked,filter(E$1:E35,D$1:D35=D36), byrow(unique(TRANSPOSe(Teams!$1:$1)),lambda(rw,if(ISERROR(match(rw,conf_picked,0)),rw,))));if(AW36,,transpose(split(AX36,"","",1,1)))})), ""^,"", """")"),"AAC,ACC,Big 12,Big Ten,,MAC,MWC,Pac12,SEC,zIndependent,Sun Belt")</f>
        <v>AAC,ACC,Big 12,Big Ten,,MAC,MWC,Pac12,SEC,zIndependent,Sun Belt</v>
      </c>
      <c r="AQ36" s="114">
        <f>IFERROR(__xludf.DUMMYFUNCTION("iferror($Q36-max(filter($Q36:$Q$400,arrayformula(isnumber(FIND($E36:$E$400,AP36))))))"),-6.0)</f>
        <v>-6</v>
      </c>
      <c r="AR36" s="110">
        <f t="array" ref="AR36">countifs($Q$2:$Q35,"&lt;"&amp;$Q36,isnumber(FIND($E$2:$E35,AP36)),TRUE)</f>
        <v>3</v>
      </c>
      <c r="AS36" s="110">
        <f>IFERROR(__xludf.DUMMYFUNCTION("iferror(COUNT(filter($Q37:$Q$400,$Q37:$Q$400&gt;$Q36,arrayformula(isnumber(FIND($E37:$E$400,AP36))))))"),40.0)</f>
        <v>40</v>
      </c>
      <c r="AT36" s="111">
        <f t="shared" si="10"/>
        <v>0</v>
      </c>
      <c r="AU36" s="110">
        <f>IFERROR(__xludf.DUMMYFUNCTION("iferror($Q36-min(filter($Q36:$Q$400,arrayformula(isnumber(FIND($E36:$E$400,AP36))))))"),6.0)</f>
        <v>6</v>
      </c>
      <c r="AV36" s="113" t="str">
        <f>IFERROR(__xludf.DUMMYFUNCTION("iferror(join("","",index(sort(filter($F37:$F$400,$Q37:$Q$400&gt;$Q36,arrayformula(isnumber(FIND($E37:$E$400,AP36)))),2,false),0,1)))"),"Indiana,Louisville,Fresno State,Ole Miss,North Texas,Miami-OH,South Florida,BYU,Tennessee,East Carolina,Washington,LSU,Nebraska,Texas A&amp;M,Georgia Tech,Central Michigan,Western Michigan,Iowa,Missouri,Minnesota,Hawaii,Iowa State,Oklahoma,TCU,Old Dominion,Tr"&amp;"oy,Cincinnati,Duke,UConn,Houston,San Diego State,Virginia,NC State,California,Pittsburgh,Vanderbilt,New Mexico,Wake Forest,Arizona,Southern Mississippi")</f>
        <v>Indiana,Louisville,Fresno State,Ole Miss,North Texas,Miami-OH,South Florida,BYU,Tennessee,East Carolina,Washington,LSU,Nebraska,Texas A&amp;M,Georgia Tech,Central Michigan,Western Michigan,Iowa,Missouri,Minnesota,Hawaii,Iowa State,Oklahoma,TCU,Old Dominion,Troy,Cincinnati,Duke,UConn,Houston,San Diego State,Virginia,NC State,California,Pittsburgh,Vanderbilt,New Mexico,Wake Forest,Arizona,Southern Mississippi</v>
      </c>
      <c r="AW36" s="113" t="b">
        <f>IFERROR(__xludf.DUMMYFUNCTION("isnumber(find(""wild card"",join("","",filter($G$1:$G35,$D$1:$D35=D36))))"),FALSE)</f>
        <v>0</v>
      </c>
      <c r="AX36" s="113" t="str">
        <f>IFERROR(__xludf.DUMMYFUNCTION("join("","",let(confs,unique(TRANSPOSe(Teams!$1:$1)), confs_count, BYROW(confs,lambda(conf,xlookup(conf,'Conf WC Eligibility'!A:A,'Conf WC Eligibility'!C:C,,))),confs_picked,byrow(confs,lambda(conf,countif(E$1:E35,conf))),p_needs_conf_count,byrow(confs,lam"&amp;"bda(conf,counta('Draft Order'!B$2:B622)-COUNTUNIQUE(filter(D$2:D35,E$2:E35=conf)))),query({confs,confs_count,confs_picked,p_needs_conf_count},""select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">
      <c r="A37" s="1">
        <v>36.0</v>
      </c>
      <c r="B37" s="1">
        <v>3.0</v>
      </c>
      <c r="C37" s="1">
        <v>12.0</v>
      </c>
      <c r="D37" s="115" t="s">
        <v>132</v>
      </c>
      <c r="E37" t="str">
        <f>if(F37&lt;&gt;"",VLOOKUP(F37,offset('Teams-Conference'!A:B,0,(counta('Draft Order'!B$2:B622)-10)*2),2,0),"")</f>
        <v>Big Ten</v>
      </c>
      <c r="F37" s="77" t="s">
        <v>136</v>
      </c>
      <c r="G37" s="106" t="str">
        <f t="shared" si="1"/>
        <v>Regular Pick</v>
      </c>
      <c r="H37" s="106">
        <f t="shared" si="24"/>
        <v>0</v>
      </c>
      <c r="I37" s="106">
        <f t="shared" si="25"/>
        <v>2</v>
      </c>
      <c r="J37" s="106">
        <f t="shared" si="27"/>
        <v>2</v>
      </c>
      <c r="K37" s="106">
        <f t="shared" si="26"/>
        <v>1</v>
      </c>
      <c r="L37" s="106">
        <v>12.0</v>
      </c>
      <c r="M37" s="106">
        <f>IFERROR(__xludf.DUMMYFUNCTION("counta(iferror(filter(L$2:L36,E$2:E36=E37,L$2:L36&lt;L37)))"),5.0)</f>
        <v>5</v>
      </c>
      <c r="N37" s="106">
        <f>IFERROR(__xludf.DUMMYFUNCTION("counta(iferror(filter(L38:L$121,E38:E$121=E37,L38:L$624&gt;L37)))"),0.0)</f>
        <v>0</v>
      </c>
      <c r="O37" s="152"/>
      <c r="P37" s="106" t="b">
        <f>IFERROR(__xludf.DUMMYFUNCTION("if(F37="""","""",let(wc_picked, countifs(E$1:E36,E37,G$1:G36,""This is your wild card pick""), let(spots_filled,counta(unique(filter(D$2:E37,E$2:E37=E37)))/2,let(total,VLOOKUP(E37,'Conf WC Eligibility'!A:C,3,0),if(E37=""zIndependent"", TRUE,total-wc_picke"&amp;"d&gt;12)))))"),TRUE)</f>
        <v>1</v>
      </c>
      <c r="Q37" s="107">
        <f t="array" ref="Q37:AB37">XLOOKUP(F37,'Current Week'!C:C,'Current Week'!D:O)</f>
        <v>12</v>
      </c>
      <c r="R37" s="106">
        <v>0.0</v>
      </c>
      <c r="S37" s="106" t="s">
        <v>788</v>
      </c>
      <c r="T37" s="106" t="s">
        <v>61</v>
      </c>
      <c r="U37" s="106" t="s">
        <v>493</v>
      </c>
      <c r="V37" s="106"/>
      <c r="W37" s="106" t="s">
        <v>67</v>
      </c>
      <c r="X37" s="106">
        <v>-28.5</v>
      </c>
      <c r="Y37" s="106" t="s">
        <v>67</v>
      </c>
      <c r="Z37" s="106">
        <v>53.5</v>
      </c>
      <c r="AA37" s="106">
        <v>532.0</v>
      </c>
      <c r="AB37" s="106">
        <v>131.0</v>
      </c>
      <c r="AC37" s="108" t="b">
        <v>1</v>
      </c>
      <c r="AD37" s="109">
        <f t="shared" si="4"/>
        <v>0</v>
      </c>
      <c r="AE37" s="110">
        <f t="shared" si="5"/>
        <v>34</v>
      </c>
      <c r="AF37" s="110">
        <f>IFERROR(__xludf.DUMMYFUNCTION("iferror(COUNT(filter($Q38:$Q$400,$Q38:$Q$400&gt;$Q37)))"),0.0)</f>
        <v>0</v>
      </c>
      <c r="AG37" s="111">
        <f t="shared" si="6"/>
        <v>1</v>
      </c>
      <c r="AH37" s="112">
        <f t="shared" si="7"/>
        <v>9</v>
      </c>
      <c r="AI37" s="113" t="str">
        <f>IFERROR(__xludf.DUMMYFUNCTION("iferror(join("","",index(sort(filter($F38:$F$401,$Q38:$Q$401&gt;$Q37),2,false),0,1)))"),"")</f>
        <v/>
      </c>
      <c r="AJ37" s="114">
        <f>IFERROR(__xludf.DUMMYFUNCTION("iferror($Q37-max(filter($Q37:$Q$400,$E37:$E$400=$E$2)))"),0.0)</f>
        <v>0</v>
      </c>
      <c r="AK37" s="110">
        <f t="shared" si="8"/>
        <v>5</v>
      </c>
      <c r="AL37" s="110">
        <f>IFERROR(__xludf.DUMMYFUNCTION("iferror(COUNT(filter($Q38:$Q$400,$Q38:$Q$400&gt;$Q37,$E37:$E$400=$E$2)))"),0.0)</f>
        <v>0</v>
      </c>
      <c r="AM37" s="111">
        <f t="shared" si="9"/>
        <v>1</v>
      </c>
      <c r="AN37" s="110">
        <f>IFERROR(__xludf.DUMMYFUNCTION("iferror($Q37-min(filter($Q37:$Q$400,$E37:$E$400=$E$2)))"),10.0)</f>
        <v>10</v>
      </c>
      <c r="AO37" s="113" t="str">
        <f>IFERROR(__xludf.DUMMYFUNCTION("iferror(join("","",index(sort(filter($F38:$F$400,$Q38:$Q$400&gt;$Q37,$E38:$E$400=$E$2),2,false),0,1)))"),"")</f>
        <v/>
      </c>
      <c r="AP37" s="113" t="str">
        <f>IFERROR(__xludf.DUMMYFUNCTION("REGEXREPLACE(join("","",unique({let(conf_picked,filter(E$1:E36,D$1:D36=D37), byrow(unique(TRANSPOSe(Teams!$1:$1)),lambda(rw,if(ISERROR(match(rw,conf_picked,0)),rw,))));if(AW37,,transpose(split(AX37,"","",1,1)))})), ""^,"", """")"),"ACC,Big 12,Big Ten,CUSA,MAC,MWC,Pac12,Sun Belt,zIndependent,AAC,SEC")</f>
        <v>ACC,Big 12,Big Ten,CUSA,MAC,MWC,Pac12,Sun Belt,zIndependent,AAC,SEC</v>
      </c>
      <c r="AQ37" s="114">
        <f>IFERROR(__xludf.DUMMYFUNCTION("iferror($Q37-max(filter($Q37:$Q$400,arrayformula(isnumber(FIND($E37:$E$400,AP37))))))"),0.0)</f>
        <v>0</v>
      </c>
      <c r="AR37" s="110">
        <f t="array" ref="AR37">countifs($Q$2:$Q36,"&lt;"&amp;$Q37,isnumber(FIND($E$2:$E36,AP37)),TRUE)</f>
        <v>34</v>
      </c>
      <c r="AS37" s="110">
        <f>IFERROR(__xludf.DUMMYFUNCTION("iferror(COUNT(filter($Q38:$Q$400,$Q38:$Q$400&gt;$Q37,arrayformula(isnumber(FIND($E38:$E$400,AP37))))))"),0.0)</f>
        <v>0</v>
      </c>
      <c r="AT37" s="111">
        <f t="shared" si="10"/>
        <v>1</v>
      </c>
      <c r="AU37" s="110">
        <f>IFERROR(__xludf.DUMMYFUNCTION("iferror($Q37-min(filter($Q37:$Q$400,arrayformula(isnumber(FIND($E37:$E$400,AP37))))))"),12.0)</f>
        <v>12</v>
      </c>
      <c r="AV37" s="113" t="str">
        <f>IFERROR(__xludf.DUMMYFUNCTION("iferror(join("","",index(sort(filter($F38:$F$400,$Q38:$Q$400&gt;$Q37,arrayformula(isnumber(FIND($E38:$E$400,AP37)))),2,false),0,1)))"),"")</f>
        <v/>
      </c>
      <c r="AW37" s="113" t="b">
        <f>IFERROR(__xludf.DUMMYFUNCTION("isnumber(find(""wild card"",join("","",filter($G$1:$G36,$D$1:$D36=D37))))"),FALSE)</f>
        <v>0</v>
      </c>
      <c r="AX37" s="113" t="str">
        <f>IFERROR(__xludf.DUMMYFUNCTION("join("","",let(confs,unique(TRANSPOSe(Teams!$1:$1)), confs_count, BYROW(confs,lambda(conf,xlookup(conf,'Conf WC Eligibility'!A:A,'Conf WC Eligibility'!C:C,,))),confs_picked,byrow(confs,lambda(conf,countif(E$1:E36,conf))),p_needs_conf_count,byrow(confs,lam"&amp;"bda(conf,counta('Draft Order'!B$2:B622)-COUNTUNIQUE(filter(D$2:D36,E$2:E36=conf)))),query({confs,confs_count,confs_picked,p_needs_conf_count},""select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">
      <c r="A38" s="101">
        <v>37.0</v>
      </c>
      <c r="B38" s="101">
        <v>4.0</v>
      </c>
      <c r="C38" s="101">
        <v>1.0</v>
      </c>
      <c r="D38" s="103" t="str">
        <f t="array" ref="D38:D49">index(sort('Draft Order'!$A$2:$B$13,1,0),0,2)</f>
        <v>Nico</v>
      </c>
      <c r="E38" s="104" t="str">
        <f>if(F38&lt;&gt;"",VLOOKUP(F38,offset('Teams-Conference'!A:B,0,(counta('Draft Order'!B$2:B622)-10)*2),2,0),"")</f>
        <v>ACC</v>
      </c>
      <c r="F38" s="105" t="s">
        <v>115</v>
      </c>
      <c r="G38" s="106" t="str">
        <f t="shared" si="1"/>
        <v>Regular Pick</v>
      </c>
      <c r="H38" s="106">
        <f t="shared" ref="H38:H39" si="28">countif(E39:E48,E38)</f>
        <v>0</v>
      </c>
      <c r="I38" s="106">
        <f t="shared" ref="I38:I40" si="29">countif(E39:E59,E38)</f>
        <v>1</v>
      </c>
      <c r="J38" s="106">
        <f t="shared" ref="J38:J47" si="30">countif(E29:E37,E38)</f>
        <v>0</v>
      </c>
      <c r="K38" s="106">
        <f t="shared" si="26"/>
        <v>0</v>
      </c>
      <c r="L38" s="106">
        <v>8.0</v>
      </c>
      <c r="M38" s="106">
        <f>IFERROR(__xludf.DUMMYFUNCTION("counta(iferror(filter(L$2:L37,E$2:E37=E38,L$2:L37&lt;L38)))"),1.0)</f>
        <v>1</v>
      </c>
      <c r="N38" s="106">
        <f>IFERROR(__xludf.DUMMYFUNCTION("counta(iferror(filter(L39:L$121,E39:E$121=E38,L39:L$624&gt;L38)))"),0.0)</f>
        <v>0</v>
      </c>
      <c r="O38" s="152"/>
      <c r="P38" s="106" t="b">
        <f>IFERROR(__xludf.DUMMYFUNCTION("if(F38="""","""",let(wc_picked, countifs(E$1:E37,E38,G$1:G37,""This is your wild card pick""), let(spots_filled,counta(unique(filter(D$2:E38,E$2:E38=E38)))/2,let(total,VLOOKUP(E38,'Conf WC Eligibility'!A:C,3,0),if(E38=""zIndependent"", TRUE,total-wc_picke"&amp;"d&gt;12)))))"),TRUE)</f>
        <v>1</v>
      </c>
      <c r="Q38" s="107">
        <f t="array" ref="Q38:AB38">XLOOKUP(F38,'Current Week'!C:C,'Current Week'!D:O)</f>
        <v>8</v>
      </c>
      <c r="R38" s="106">
        <v>4.0</v>
      </c>
      <c r="S38" s="106" t="s">
        <v>782</v>
      </c>
      <c r="T38" s="106" t="s">
        <v>61</v>
      </c>
      <c r="U38" s="106" t="s">
        <v>493</v>
      </c>
      <c r="V38" s="106"/>
      <c r="W38" s="106" t="s">
        <v>67</v>
      </c>
      <c r="X38" s="106">
        <v>-3.0</v>
      </c>
      <c r="Y38" s="106" t="s">
        <v>67</v>
      </c>
      <c r="Z38" s="106">
        <v>45.5</v>
      </c>
      <c r="AA38" s="106">
        <v>362.0</v>
      </c>
      <c r="AB38" s="106">
        <v>253.0</v>
      </c>
      <c r="AC38" s="108" t="b">
        <v>1</v>
      </c>
      <c r="AD38" s="109">
        <f t="shared" si="4"/>
        <v>-3</v>
      </c>
      <c r="AE38" s="110">
        <f t="shared" si="5"/>
        <v>13</v>
      </c>
      <c r="AF38" s="110">
        <f>IFERROR(__xludf.DUMMYFUNCTION("iferror(COUNT(filter($Q39:$Q$400,$Q39:$Q$400&gt;$Q38)))"),16.0)</f>
        <v>16</v>
      </c>
      <c r="AG38" s="111">
        <f t="shared" si="6"/>
        <v>0</v>
      </c>
      <c r="AH38" s="112">
        <f t="shared" si="7"/>
        <v>5</v>
      </c>
      <c r="AI38" s="113" t="str">
        <f>IFERROR(__xludf.DUMMYFUNCTION("iferror(join("","",index(sort(filter($F39:$F$401,$Q39:$Q$401&gt;$Q38),2,false),0,1)))"),"Ole Miss,North Texas,South Florida,BYU,Texas A&amp;M,Georgia Tech,Oklahoma,Old Dominion,UConn,Houston,San Diego State,Virginia,Vanderbilt,New Mexico,Kennesaw State,Arizona")</f>
        <v>Ole Miss,North Texas,South Florida,BYU,Texas A&amp;M,Georgia Tech,Oklahoma,Old Dominion,UConn,Houston,San Diego State,Virginia,Vanderbilt,New Mexico,Kennesaw State,Arizona</v>
      </c>
      <c r="AJ38" s="114">
        <f>IFERROR(__xludf.DUMMYFUNCTION("iferror($Q38-max(filter($Q38:$Q$400,$E38:$E$400=$E$2)))"),0.0)</f>
        <v>0</v>
      </c>
      <c r="AK38" s="110">
        <f t="shared" si="8"/>
        <v>1</v>
      </c>
      <c r="AL38" s="110">
        <f>IFERROR(__xludf.DUMMYFUNCTION("iferror(COUNT(filter($Q39:$Q$400,$Q39:$Q$400&gt;$Q38,$E38:$E$400=$E$2)))"),0.0)</f>
        <v>0</v>
      </c>
      <c r="AM38" s="111">
        <f t="shared" si="9"/>
        <v>1</v>
      </c>
      <c r="AN38" s="110">
        <f>IFERROR(__xludf.DUMMYFUNCTION("iferror($Q38-min(filter($Q38:$Q$400,$E38:$E$400=$E$2)))"),6.0)</f>
        <v>6</v>
      </c>
      <c r="AO38" s="113" t="str">
        <f>IFERROR(__xludf.DUMMYFUNCTION("iferror(join("","",index(sort(filter($F39:$F$400,$Q39:$Q$400&gt;$Q38,$E39:$E$400=$E$2),2,false),0,1)))"),"")</f>
        <v/>
      </c>
      <c r="AP38" s="113" t="str">
        <f>IFERROR(__xludf.DUMMYFUNCTION("REGEXREPLACE(join("","",unique({let(conf_picked,filter(E$1:E37,D$1:D37=D38), byrow(unique(TRANSPOSe(Teams!$1:$1)),lambda(rw,if(ISERROR(match(rw,conf_picked,0)),rw,))));if(AW38,,transpose(split(AX38,"","",1,1)))})), ""^,"", """")"),"ACC,Big 12,CUSA,MAC,MWC,Pac12,Sun Belt,zIndependent,AAC,Big Ten,SEC")</f>
        <v>ACC,Big 12,CUSA,MAC,MWC,Pac12,Sun Belt,zIndependent,AAC,Big Ten,SEC</v>
      </c>
      <c r="AQ38" s="114">
        <f>IFERROR(__xludf.DUMMYFUNCTION("iferror($Q38-max(filter($Q38:$Q$400,arrayformula(isnumber(FIND($E38:$E$400,AP38))))))"),-3.0)</f>
        <v>-3</v>
      </c>
      <c r="AR38" s="110">
        <f t="array" ref="AR38">countifs($Q$2:$Q37,"&lt;"&amp;$Q38,isnumber(FIND($E$2:$E37,AP38)),TRUE)</f>
        <v>13</v>
      </c>
      <c r="AS38" s="110">
        <f>IFERROR(__xludf.DUMMYFUNCTION("iferror(COUNT(filter($Q39:$Q$400,$Q39:$Q$400&gt;$Q38,arrayformula(isnumber(FIND($E39:$E$400,AP38))))))"),16.0)</f>
        <v>16</v>
      </c>
      <c r="AT38" s="111">
        <f t="shared" si="10"/>
        <v>0</v>
      </c>
      <c r="AU38" s="110">
        <f>IFERROR(__xludf.DUMMYFUNCTION("iferror($Q38-min(filter($Q38:$Q$400,arrayformula(isnumber(FIND($E38:$E$400,AP38))))))"),8.0)</f>
        <v>8</v>
      </c>
      <c r="AV38" s="113" t="str">
        <f>IFERROR(__xludf.DUMMYFUNCTION("iferror(join("","",index(sort(filter($F39:$F$400,$Q39:$Q$400&gt;$Q38,arrayformula(isnumber(FIND($E39:$E$400,AP38)))),2,false),0,1)))"),"Ole Miss,North Texas,South Florida,BYU,Texas A&amp;M,Georgia Tech,Oklahoma,Old Dominion,UConn,Houston,San Diego State,Virginia,Vanderbilt,New Mexico,Kennesaw State,Arizona")</f>
        <v>Ole Miss,North Texas,South Florida,BYU,Texas A&amp;M,Georgia Tech,Oklahoma,Old Dominion,UConn,Houston,San Diego State,Virginia,Vanderbilt,New Mexico,Kennesaw State,Arizona</v>
      </c>
      <c r="AW38" s="113" t="b">
        <f>IFERROR(__xludf.DUMMYFUNCTION("isnumber(find(""wild card"",join("","",filter($G$1:$G37,$D$1:$D37=D38))))"),FALSE)</f>
        <v>0</v>
      </c>
      <c r="AX38" s="113" t="str">
        <f>IFERROR(__xludf.DUMMYFUNCTION("join("","",let(confs,unique(TRANSPOSe(Teams!$1:$1)), confs_count, BYROW(confs,lambda(conf,xlookup(conf,'Conf WC Eligibility'!A:A,'Conf WC Eligibility'!C:C,,))),confs_picked,byrow(confs,lambda(conf,countif(E$1:E37,conf))),p_needs_conf_count,byrow(confs,lam"&amp;"bda(conf,counta('Draft Order'!B$2:B622)-COUNTUNIQUE(filter(D$2:D37,E$2:E37=conf)))),query({confs,confs_count,confs_picked,p_needs_conf_count},""select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">
      <c r="A39" s="1">
        <v>38.0</v>
      </c>
      <c r="B39" s="1">
        <v>4.0</v>
      </c>
      <c r="C39" s="1">
        <v>2.0</v>
      </c>
      <c r="D39" s="115" t="s">
        <v>395</v>
      </c>
      <c r="E39" s="116" t="str">
        <f>if(F39&lt;&gt;"",VLOOKUP(F39,offset('Teams-Conference'!A:B,0,(counta('Draft Order'!B$2:B622)-10)*2),2,0),"")</f>
        <v>MWC</v>
      </c>
      <c r="F39" s="117" t="s">
        <v>179</v>
      </c>
      <c r="G39" s="106" t="str">
        <f t="shared" si="1"/>
        <v>Regular Pick</v>
      </c>
      <c r="H39" s="106">
        <f t="shared" si="28"/>
        <v>1</v>
      </c>
      <c r="I39" s="106">
        <f t="shared" si="29"/>
        <v>1</v>
      </c>
      <c r="J39" s="106">
        <f t="shared" si="30"/>
        <v>0</v>
      </c>
      <c r="K39" s="106">
        <f t="shared" si="26"/>
        <v>1</v>
      </c>
      <c r="L39" s="106">
        <v>8.0</v>
      </c>
      <c r="M39" s="106">
        <f>IFERROR(__xludf.DUMMYFUNCTION("counta(iferror(filter(L$2:L38,E$2:E38=E39,L$2:L38&lt;L39)))"),1.0)</f>
        <v>1</v>
      </c>
      <c r="N39" s="106">
        <f>IFERROR(__xludf.DUMMYFUNCTION("counta(iferror(filter(L40:L$121,E40:E$121=E39,L40:L$624&gt;L39)))"),0.0)</f>
        <v>0</v>
      </c>
      <c r="O39" s="106"/>
      <c r="P39" s="106" t="b">
        <f>IFERROR(__xludf.DUMMYFUNCTION("if(F39="""","""",let(wc_picked, countifs(E$1:E38,E39,G$1:G38,""This is your wild card pick""), let(spots_filled,counta(unique(filter(D$2:E39,E$2:E39=E39)))/2,let(total,VLOOKUP(E39,'Conf WC Eligibility'!A:C,3,0),if(E39=""zIndependent"", TRUE,total-wc_picke"&amp;"d&gt;12)))))"),FALSE)</f>
        <v>0</v>
      </c>
      <c r="Q39" s="107">
        <f t="array" ref="Q39:AB39">XLOOKUP(F39,'Current Week'!C:C,'Current Week'!D:O)</f>
        <v>8</v>
      </c>
      <c r="R39" s="106">
        <v>4.0</v>
      </c>
      <c r="S39" s="106" t="s">
        <v>735</v>
      </c>
      <c r="T39" s="106" t="s">
        <v>61</v>
      </c>
      <c r="U39" s="106" t="s">
        <v>238</v>
      </c>
      <c r="V39" s="106"/>
      <c r="W39" s="106" t="s">
        <v>67</v>
      </c>
      <c r="X39" s="106">
        <v>-3.5</v>
      </c>
      <c r="Y39" s="106" t="s">
        <v>67</v>
      </c>
      <c r="Z39" s="106">
        <v>45.5</v>
      </c>
      <c r="AA39" s="106">
        <v>317.0</v>
      </c>
      <c r="AB39" s="106">
        <v>241.0</v>
      </c>
      <c r="AC39" s="108" t="b">
        <v>1</v>
      </c>
      <c r="AD39" s="109">
        <f t="shared" si="4"/>
        <v>-3</v>
      </c>
      <c r="AE39" s="110">
        <f t="shared" si="5"/>
        <v>13</v>
      </c>
      <c r="AF39" s="110">
        <f>IFERROR(__xludf.DUMMYFUNCTION("iferror(COUNT(filter($Q40:$Q$400,$Q40:$Q$400&gt;$Q39)))"),16.0)</f>
        <v>16</v>
      </c>
      <c r="AG39" s="111">
        <f t="shared" si="6"/>
        <v>0</v>
      </c>
      <c r="AH39" s="112">
        <f t="shared" si="7"/>
        <v>5</v>
      </c>
      <c r="AI39" s="113" t="str">
        <f>IFERROR(__xludf.DUMMYFUNCTION("iferror(join("","",index(sort(filter($F40:$F$401,$Q40:$Q$401&gt;$Q39),2,false),0,1)))"),"Ole Miss,North Texas,South Florida,BYU,Texas A&amp;M,Georgia Tech,Oklahoma,Old Dominion,UConn,Houston,San Diego State,Virginia,Vanderbilt,New Mexico,Kennesaw State,Arizona")</f>
        <v>Ole Miss,North Texas,South Florida,BYU,Texas A&amp;M,Georgia Tech,Oklahoma,Old Dominion,UConn,Houston,San Diego State,Virginia,Vanderbilt,New Mexico,Kennesaw State,Arizona</v>
      </c>
      <c r="AJ39" s="114">
        <f>IFERROR(__xludf.DUMMYFUNCTION("iferror($Q39-max(filter($Q39:$Q$400,$E39:$E$400=$E$2)))"),0.0)</f>
        <v>0</v>
      </c>
      <c r="AK39" s="110">
        <f t="shared" si="8"/>
        <v>1</v>
      </c>
      <c r="AL39" s="110">
        <f>IFERROR(__xludf.DUMMYFUNCTION("iferror(COUNT(filter($Q40:$Q$400,$Q40:$Q$400&gt;$Q39,$E39:$E$400=$E$2)))"),0.0)</f>
        <v>0</v>
      </c>
      <c r="AM39" s="111">
        <f t="shared" si="9"/>
        <v>1</v>
      </c>
      <c r="AN39" s="110">
        <f>IFERROR(__xludf.DUMMYFUNCTION("iferror($Q39-min(filter($Q39:$Q$400,$E39:$E$400=$E$2)))"),6.0)</f>
        <v>6</v>
      </c>
      <c r="AO39" s="113" t="str">
        <f>IFERROR(__xludf.DUMMYFUNCTION("iferror(join("","",index(sort(filter($F40:$F$400,$Q40:$Q$400&gt;$Q39,$E40:$E$400=$E$2),2,false),0,1)))"),"")</f>
        <v/>
      </c>
      <c r="AP39" s="113" t="str">
        <f>IFERROR(__xludf.DUMMYFUNCTION("REGEXREPLACE(join("","",unique({let(conf_picked,filter(E$1:E38,D$1:D38=D39), byrow(unique(TRANSPOSe(Teams!$1:$1)),lambda(rw,if(ISERROR(match(rw,conf_picked,0)),rw,))));if(AW39,,transpose(split(AX39,"","",1,1)))})), ""^,"", """")"),"ACC,Big 12,Big Ten,MAC,MWC,Pac12,SEC,zIndependent,AAC,Sun Belt")</f>
        <v>ACC,Big 12,Big Ten,MAC,MWC,Pac12,SEC,zIndependent,AAC,Sun Belt</v>
      </c>
      <c r="AQ39" s="114">
        <f>IFERROR(__xludf.DUMMYFUNCTION("iferror($Q39-max(filter($Q39:$Q$400,arrayformula(isnumber(FIND($E39:$E$400,AP39))))))"),-3.0)</f>
        <v>-3</v>
      </c>
      <c r="AR39" s="110">
        <f t="array" ref="AR39">countifs($Q$2:$Q38,"&lt;"&amp;$Q39,isnumber(FIND($E$2:$E38,AP39)),TRUE)</f>
        <v>11</v>
      </c>
      <c r="AS39" s="110">
        <f>IFERROR(__xludf.DUMMYFUNCTION("iferror(COUNT(filter($Q40:$Q$400,$Q40:$Q$400&gt;$Q39,arrayformula(isnumber(FIND($E40:$E$400,AP39))))))"),15.0)</f>
        <v>15</v>
      </c>
      <c r="AT39" s="111">
        <f t="shared" si="10"/>
        <v>0</v>
      </c>
      <c r="AU39" s="110">
        <f>IFERROR(__xludf.DUMMYFUNCTION("iferror($Q39-min(filter($Q39:$Q$400,arrayformula(isnumber(FIND($E39:$E$400,AP39))))))"),8.0)</f>
        <v>8</v>
      </c>
      <c r="AV39" s="113" t="str">
        <f>IFERROR(__xludf.DUMMYFUNCTION("iferror(join("","",index(sort(filter($F40:$F$400,$Q40:$Q$400&gt;$Q39,arrayformula(isnumber(FIND($E40:$E$400,AP39)))),2,false),0,1)))"),"Ole Miss,North Texas,South Florida,BYU,Texas A&amp;M,Georgia Tech,Oklahoma,Old Dominion,UConn,Houston,San Diego State,Virginia,Vanderbilt,New Mexico,Arizona")</f>
        <v>Ole Miss,North Texas,South Florida,BYU,Texas A&amp;M,Georgia Tech,Oklahoma,Old Dominion,UConn,Houston,San Diego State,Virginia,Vanderbilt,New Mexico,Arizona</v>
      </c>
      <c r="AW39" s="113" t="b">
        <f>IFERROR(__xludf.DUMMYFUNCTION("isnumber(find(""wild card"",join("","",filter($G$1:$G38,$D$1:$D38=D39))))"),FALSE)</f>
        <v>0</v>
      </c>
      <c r="AX39" s="113" t="str">
        <f>IFERROR(__xludf.DUMMYFUNCTION("join("","",let(confs,unique(TRANSPOSe(Teams!$1:$1)), confs_count, BYROW(confs,lambda(conf,xlookup(conf,'Conf WC Eligibility'!A:A,'Conf WC Eligibility'!C:C,,))),confs_picked,byrow(confs,lambda(conf,countif(E$1:E38,conf))),p_needs_conf_count,byrow(confs,lam"&amp;"bda(conf,counta('Draft Order'!B$2:B622)-COUNTUNIQUE(filter(D$2:D38,E$2:E38=conf)))),query({confs,confs_count,confs_picked,p_needs_conf_count},""select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">
      <c r="A40" s="1">
        <v>39.0</v>
      </c>
      <c r="B40" s="1">
        <v>4.0</v>
      </c>
      <c r="C40" s="1">
        <v>3.0</v>
      </c>
      <c r="D40" s="118" t="s">
        <v>249</v>
      </c>
      <c r="E40" s="116" t="str">
        <f>if(F40&lt;&gt;"",VLOOKUP(F40,offset('Teams-Conference'!A:B,0,(counta('Draft Order'!B$2:B622)-10)*2),2,0),"")</f>
        <v>SEC</v>
      </c>
      <c r="F40" s="117" t="s">
        <v>209</v>
      </c>
      <c r="G40" s="106" t="str">
        <f t="shared" si="1"/>
        <v>Regular Pick</v>
      </c>
      <c r="H40" s="106">
        <f t="shared" ref="H40:H49" si="31">countif(E41:E49,E40)</f>
        <v>2</v>
      </c>
      <c r="I40" s="106">
        <f t="shared" si="29"/>
        <v>4</v>
      </c>
      <c r="J40" s="106">
        <f t="shared" si="30"/>
        <v>0</v>
      </c>
      <c r="K40" s="106">
        <f t="shared" si="26"/>
        <v>2</v>
      </c>
      <c r="L40" s="106">
        <v>11.0</v>
      </c>
      <c r="M40" s="106">
        <f>IFERROR(__xludf.DUMMYFUNCTION("counta(iferror(filter(L$2:L39,E$2:E39=E40,L$2:L39&lt;L40)))"),2.0)</f>
        <v>2</v>
      </c>
      <c r="N40" s="106">
        <f>IFERROR(__xludf.DUMMYFUNCTION("counta(iferror(filter(L41:L$121,E41:E$121=E40,L41:L$624&gt;L40)))"),0.0)</f>
        <v>0</v>
      </c>
      <c r="O40" s="152"/>
      <c r="P40" s="106" t="b">
        <f>IFERROR(__xludf.DUMMYFUNCTION("if(F40="""","""",let(wc_picked, countifs(E$1:E39,E40,G$1:G39,""This is your wild card pick""), let(spots_filled,counta(unique(filter(D$2:E40,E$2:E40=E40)))/2,let(total,VLOOKUP(E40,'Conf WC Eligibility'!A:C,3,0),if(E40=""zIndependent"", TRUE,total-wc_picke"&amp;"d&gt;12)))))"),TRUE)</f>
        <v>1</v>
      </c>
      <c r="Q40" s="107">
        <f t="array" ref="Q40:AB40">XLOOKUP(F40,'Current Week'!C:C,'Current Week'!D:O)</f>
        <v>11</v>
      </c>
      <c r="R40" s="106">
        <v>1.0</v>
      </c>
      <c r="S40" s="106" t="s">
        <v>767</v>
      </c>
      <c r="T40" s="106" t="s">
        <v>61</v>
      </c>
      <c r="U40" s="106" t="s">
        <v>493</v>
      </c>
      <c r="V40" s="106"/>
      <c r="W40" s="106" t="s">
        <v>67</v>
      </c>
      <c r="X40" s="106">
        <v>-7.5</v>
      </c>
      <c r="Y40" s="106" t="s">
        <v>67</v>
      </c>
      <c r="Z40" s="106">
        <v>62.5</v>
      </c>
      <c r="AA40" s="106">
        <v>447.0</v>
      </c>
      <c r="AB40" s="106">
        <v>241.0</v>
      </c>
      <c r="AC40" s="108" t="b">
        <v>1</v>
      </c>
      <c r="AD40" s="109">
        <f t="shared" si="4"/>
        <v>0</v>
      </c>
      <c r="AE40" s="110">
        <f t="shared" si="5"/>
        <v>32</v>
      </c>
      <c r="AF40" s="110">
        <f>IFERROR(__xludf.DUMMYFUNCTION("iferror(COUNT(filter($Q41:$Q$400,$Q41:$Q$400&gt;$Q40)))"),0.0)</f>
        <v>0</v>
      </c>
      <c r="AG40" s="111">
        <f t="shared" si="6"/>
        <v>1</v>
      </c>
      <c r="AH40" s="112">
        <f t="shared" si="7"/>
        <v>8</v>
      </c>
      <c r="AI40" s="113" t="str">
        <f>IFERROR(__xludf.DUMMYFUNCTION("iferror(join("","",index(sort(filter($F41:$F$401,$Q41:$Q$401&gt;$Q40),2,false),0,1)))"),"")</f>
        <v/>
      </c>
      <c r="AJ40" s="114">
        <f>IFERROR(__xludf.DUMMYFUNCTION("iferror($Q40-max(filter($Q40:$Q$400,$E40:$E$400=$E$2)))"),3.0)</f>
        <v>3</v>
      </c>
      <c r="AK40" s="110">
        <f t="shared" si="8"/>
        <v>4</v>
      </c>
      <c r="AL40" s="110">
        <f>IFERROR(__xludf.DUMMYFUNCTION("iferror(COUNT(filter($Q41:$Q$400,$Q41:$Q$400&gt;$Q40,$E40:$E$400=$E$2)))"),0.0)</f>
        <v>0</v>
      </c>
      <c r="AM40" s="111">
        <f t="shared" si="9"/>
        <v>0</v>
      </c>
      <c r="AN40" s="110">
        <f>IFERROR(__xludf.DUMMYFUNCTION("iferror($Q40-min(filter($Q40:$Q$400,$E40:$E$400=$E$2)))"),9.0)</f>
        <v>9</v>
      </c>
      <c r="AO40" s="113" t="str">
        <f>IFERROR(__xludf.DUMMYFUNCTION("iferror(join("","",index(sort(filter($F41:$F$400,$Q41:$Q$400&gt;$Q40,$E41:$E$400=$E$2),2,false),0,1)))"),"")</f>
        <v/>
      </c>
      <c r="AP40" s="113" t="str">
        <f>IFERROR(__xludf.DUMMYFUNCTION("REGEXREPLACE(join("","",unique({let(conf_picked,filter(E$1:E39,D$1:D39=D40), byrow(unique(TRANSPOSe(Teams!$1:$1)),lambda(rw,if(ISERROR(match(rw,conf_picked,0)),rw,))));if(AW40,,transpose(split(AX40,"","",1,1)))})), ""^,"", """")"),"AAC,,Big 12,Big Ten,MWC,Pac12,SEC,Sun Belt,zIndependent,ACC,MAC")</f>
        <v>AAC,,Big 12,Big Ten,MWC,Pac12,SEC,Sun Belt,zIndependent,ACC,MAC</v>
      </c>
      <c r="AQ40" s="114">
        <f>IFERROR(__xludf.DUMMYFUNCTION("iferror($Q40-max(filter($Q40:$Q$400,arrayformula(isnumber(FIND($E40:$E$400,AP40))))))"),0.0)</f>
        <v>0</v>
      </c>
      <c r="AR40" s="110">
        <f t="array" ref="AR40">countifs($Q$2:$Q39,"&lt;"&amp;$Q40,isnumber(FIND($E$2:$E39,AP40)),TRUE)</f>
        <v>29</v>
      </c>
      <c r="AS40" s="110">
        <f>IFERROR(__xludf.DUMMYFUNCTION("iferror(COUNT(filter($Q41:$Q$400,$Q41:$Q$400&gt;$Q40,arrayformula(isnumber(FIND($E41:$E$400,AP40))))))"),0.0)</f>
        <v>0</v>
      </c>
      <c r="AT40" s="111">
        <f t="shared" si="10"/>
        <v>1</v>
      </c>
      <c r="AU40" s="110">
        <f>IFERROR(__xludf.DUMMYFUNCTION("iferror($Q40-min(filter($Q40:$Q$400,arrayformula(isnumber(FIND($E40:$E$400,AP40))))))"),11.0)</f>
        <v>11</v>
      </c>
      <c r="AV40" s="113" t="str">
        <f>IFERROR(__xludf.DUMMYFUNCTION("iferror(join("","",index(sort(filter($F41:$F$400,$Q41:$Q$400&gt;$Q40,arrayformula(isnumber(FIND($E41:$E$400,AP40)))),2,false),0,1)))"),"")</f>
        <v/>
      </c>
      <c r="AW40" s="113" t="b">
        <f>IFERROR(__xludf.DUMMYFUNCTION("isnumber(find(""wild card"",join("","",filter($G$1:$G39,$D$1:$D39=D40))))"),FALSE)</f>
        <v>0</v>
      </c>
      <c r="AX40" s="113" t="str">
        <f>IFERROR(__xludf.DUMMYFUNCTION("join("","",let(confs,unique(TRANSPOSe(Teams!$1:$1)), confs_count, BYROW(confs,lambda(conf,xlookup(conf,'Conf WC Eligibility'!A:A,'Conf WC Eligibility'!C:C,,))),confs_picked,byrow(confs,lambda(conf,countif(E$1:E39,conf))),p_needs_conf_count,byrow(confs,lam"&amp;"bda(conf,counta('Draft Order'!B$2:B622)-COUNTUNIQUE(filter(D$2:D39,E$2:E39=conf)))),query({confs,confs_count,confs_picked,p_needs_conf_count},""select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">
      <c r="A41" s="1">
        <v>40.0</v>
      </c>
      <c r="B41" s="1">
        <v>4.0</v>
      </c>
      <c r="C41" s="1">
        <v>4.0</v>
      </c>
      <c r="D41" s="115" t="s">
        <v>156</v>
      </c>
      <c r="E41" s="116" t="str">
        <f>if(F41&lt;&gt;"",VLOOKUP(F41,offset('Teams-Conference'!A:B,0,(counta('Draft Order'!B$2:B622)-10)*2),2,0),"")</f>
        <v>AAC</v>
      </c>
      <c r="F41" s="117" t="s">
        <v>154</v>
      </c>
      <c r="G41" s="106" t="str">
        <f t="shared" si="1"/>
        <v>Regular Pick</v>
      </c>
      <c r="H41" s="106">
        <f t="shared" si="31"/>
        <v>1</v>
      </c>
      <c r="I41" s="106">
        <f t="shared" ref="I41:I49" si="32">countif(E42:E61,E41)</f>
        <v>2</v>
      </c>
      <c r="J41" s="106">
        <f t="shared" si="30"/>
        <v>1</v>
      </c>
      <c r="K41" s="106">
        <f t="shared" si="26"/>
        <v>1</v>
      </c>
      <c r="L41" s="106">
        <v>11.0</v>
      </c>
      <c r="M41" s="106">
        <f>IFERROR(__xludf.DUMMYFUNCTION("counta(iferror(filter(L$2:L40,E$2:E40=E41,L$2:L40&lt;L41)))"),5.0)</f>
        <v>5</v>
      </c>
      <c r="N41" s="106">
        <f>IFERROR(__xludf.DUMMYFUNCTION("counta(iferror(filter(L42:L$121,E42:E$121=E41,L42:L$624&gt;L41)))"),0.0)</f>
        <v>0</v>
      </c>
      <c r="O41" s="152"/>
      <c r="P41" s="106" t="b">
        <f>IFERROR(__xludf.DUMMYFUNCTION("if(F41="""","""",let(wc_picked, countifs(E$1:E40,E41,G$1:G40,""This is your wild card pick""), let(spots_filled,counta(unique(filter(D$2:E41,E$2:E41=E41)))/2,let(total,VLOOKUP(E41,'Conf WC Eligibility'!A:C,3,0),if(E41=""zIndependent"", TRUE,total-wc_picke"&amp;"d&gt;12)))))"),TRUE)</f>
        <v>1</v>
      </c>
      <c r="Q41" s="107">
        <f t="array" ref="Q41:AB41">XLOOKUP(F41,'Current Week'!C:C,'Current Week'!D:O)</f>
        <v>11</v>
      </c>
      <c r="R41" s="106">
        <v>1.0</v>
      </c>
      <c r="S41" s="106" t="s">
        <v>757</v>
      </c>
      <c r="T41" s="106" t="s">
        <v>61</v>
      </c>
      <c r="U41" s="106" t="s">
        <v>493</v>
      </c>
      <c r="V41" s="106"/>
      <c r="W41" s="106" t="s">
        <v>67</v>
      </c>
      <c r="X41" s="106">
        <v>-19.5</v>
      </c>
      <c r="Y41" s="106" t="s">
        <v>67</v>
      </c>
      <c r="Z41" s="106">
        <v>65.5</v>
      </c>
      <c r="AA41" s="106">
        <v>561.0</v>
      </c>
      <c r="AB41" s="106">
        <v>290.0</v>
      </c>
      <c r="AC41" s="108" t="b">
        <v>1</v>
      </c>
      <c r="AD41" s="109">
        <f t="shared" si="4"/>
        <v>0</v>
      </c>
      <c r="AE41" s="110">
        <f t="shared" si="5"/>
        <v>32</v>
      </c>
      <c r="AF41" s="110">
        <f>IFERROR(__xludf.DUMMYFUNCTION("iferror(COUNT(filter($Q42:$Q$400,$Q42:$Q$400&gt;$Q41)))"),0.0)</f>
        <v>0</v>
      </c>
      <c r="AG41" s="111">
        <f t="shared" si="6"/>
        <v>1</v>
      </c>
      <c r="AH41" s="112">
        <f t="shared" si="7"/>
        <v>8</v>
      </c>
      <c r="AI41" s="113" t="str">
        <f>IFERROR(__xludf.DUMMYFUNCTION("iferror(join("","",index(sort(filter($F42:$F$401,$Q42:$Q$401&gt;$Q41),2,false),0,1)))"),"")</f>
        <v/>
      </c>
      <c r="AJ41" s="114">
        <f>IFERROR(__xludf.DUMMYFUNCTION("iferror($Q41-max(filter($Q41:$Q$400,$E41:$E$400=$E$2)))"),3.0)</f>
        <v>3</v>
      </c>
      <c r="AK41" s="110">
        <f t="shared" si="8"/>
        <v>4</v>
      </c>
      <c r="AL41" s="110">
        <f>IFERROR(__xludf.DUMMYFUNCTION("iferror(COUNT(filter($Q42:$Q$400,$Q42:$Q$400&gt;$Q41,$E41:$E$400=$E$2)))"),0.0)</f>
        <v>0</v>
      </c>
      <c r="AM41" s="111">
        <f t="shared" si="9"/>
        <v>0</v>
      </c>
      <c r="AN41" s="110">
        <f>IFERROR(__xludf.DUMMYFUNCTION("iferror($Q41-min(filter($Q41:$Q$400,$E41:$E$400=$E$2)))"),9.0)</f>
        <v>9</v>
      </c>
      <c r="AO41" s="113" t="str">
        <f>IFERROR(__xludf.DUMMYFUNCTION("iferror(join("","",index(sort(filter($F42:$F$400,$Q42:$Q$400&gt;$Q41,$E42:$E$400=$E$2),2,false),0,1)))"),"")</f>
        <v/>
      </c>
      <c r="AP41" s="113" t="str">
        <f>IFERROR(__xludf.DUMMYFUNCTION("REGEXREPLACE(join("","",unique({let(conf_picked,filter(E$1:E40,D$1:D40=D41), byrow(unique(TRANSPOSe(Teams!$1:$1)),lambda(rw,if(ISERROR(match(rw,conf_picked,0)),rw,))));if(AW41,,transpose(split(AX41,"","",1,1)))})), ""^,"", """")"),"AAC,,Big 12,CUSA,MWC,Pac12,SEC,Sun Belt,zIndependent,ACC,Big Ten,MAC")</f>
        <v>AAC,,Big 12,CUSA,MWC,Pac12,SEC,Sun Belt,zIndependent,ACC,Big Ten,MAC</v>
      </c>
      <c r="AQ41" s="114">
        <f>IFERROR(__xludf.DUMMYFUNCTION("iferror($Q41-max(filter($Q41:$Q$400,arrayformula(isnumber(FIND($E41:$E$400,AP41))))))"),0.0)</f>
        <v>0</v>
      </c>
      <c r="AR41" s="110">
        <f t="array" ref="AR41">countifs($Q$2:$Q40,"&lt;"&amp;$Q41,isnumber(FIND($E$2:$E40,AP41)),TRUE)</f>
        <v>32</v>
      </c>
      <c r="AS41" s="110">
        <f>IFERROR(__xludf.DUMMYFUNCTION("iferror(COUNT(filter($Q42:$Q$400,$Q42:$Q$400&gt;$Q41,arrayformula(isnumber(FIND($E42:$E$400,AP41))))))"),0.0)</f>
        <v>0</v>
      </c>
      <c r="AT41" s="111">
        <f t="shared" si="10"/>
        <v>1</v>
      </c>
      <c r="AU41" s="110">
        <f>IFERROR(__xludf.DUMMYFUNCTION("iferror($Q41-min(filter($Q41:$Q$400,arrayformula(isnumber(FIND($E41:$E$400,AP41))))))"),11.0)</f>
        <v>11</v>
      </c>
      <c r="AV41" s="113" t="str">
        <f>IFERROR(__xludf.DUMMYFUNCTION("iferror(join("","",index(sort(filter($F42:$F$400,$Q42:$Q$400&gt;$Q41,arrayformula(isnumber(FIND($E42:$E$400,AP41)))),2,false),0,1)))"),"")</f>
        <v/>
      </c>
      <c r="AW41" s="113" t="b">
        <f>IFERROR(__xludf.DUMMYFUNCTION("isnumber(find(""wild card"",join("","",filter($G$1:$G40,$D$1:$D40=D41))))"),FALSE)</f>
        <v>0</v>
      </c>
      <c r="AX41" s="113" t="str">
        <f>IFERROR(__xludf.DUMMYFUNCTION("join("","",let(confs,unique(TRANSPOSe(Teams!$1:$1)), confs_count, BYROW(confs,lambda(conf,xlookup(conf,'Conf WC Eligibility'!A:A,'Conf WC Eligibility'!C:C,,))),confs_picked,byrow(confs,lambda(conf,countif(E$1:E40,conf))),p_needs_conf_count,byrow(confs,lam"&amp;"bda(conf,counta('Draft Order'!B$2:B622)-COUNTUNIQUE(filter(D$2:D40,E$2:E40=conf)))),query({confs,confs_count,confs_picked,p_needs_conf_count},""select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">
      <c r="A42" s="1">
        <v>41.0</v>
      </c>
      <c r="B42" s="1">
        <v>4.0</v>
      </c>
      <c r="C42" s="1">
        <v>5.0</v>
      </c>
      <c r="D42" s="115" t="s">
        <v>238</v>
      </c>
      <c r="E42" s="116" t="str">
        <f>if(F42&lt;&gt;"",VLOOKUP(F42,offset('Teams-Conference'!A:B,0,(counta('Draft Order'!B$2:B622)-10)*2),2,0),"")</f>
        <v>MAC</v>
      </c>
      <c r="F42" s="77" t="s">
        <v>548</v>
      </c>
      <c r="G42" s="106" t="str">
        <f t="shared" si="1"/>
        <v>Regular Pick</v>
      </c>
      <c r="H42" s="106">
        <f t="shared" si="31"/>
        <v>1</v>
      </c>
      <c r="I42" s="106">
        <f t="shared" si="32"/>
        <v>3</v>
      </c>
      <c r="J42" s="106">
        <f t="shared" si="30"/>
        <v>0</v>
      </c>
      <c r="K42" s="106">
        <f t="shared" si="26"/>
        <v>3</v>
      </c>
      <c r="L42" s="106">
        <v>7.0</v>
      </c>
      <c r="M42" s="106">
        <f>IFERROR(__xludf.DUMMYFUNCTION("counta(iferror(filter(L$2:L41,E$2:E41=E42,L$2:L41&lt;L42)))"),1.0)</f>
        <v>1</v>
      </c>
      <c r="N42" s="106">
        <f>IFERROR(__xludf.DUMMYFUNCTION("counta(iferror(filter(L43:L$121,E43:E$121=E42,L43:L$624&gt;L42)))"),0.0)</f>
        <v>0</v>
      </c>
      <c r="O42" s="152"/>
      <c r="P42" s="106" t="b">
        <f>IFERROR(__xludf.DUMMYFUNCTION("if(F42="""","""",let(wc_picked, countifs(E$1:E41,E42,G$1:G41,""This is your wild card pick""), let(spots_filled,counta(unique(filter(D$2:E42,E$2:E42=E42)))/2,let(total,VLOOKUP(E42,'Conf WC Eligibility'!A:C,3,0),if(E42=""zIndependent"", TRUE,total-wc_picke"&amp;"d&gt;12)))))"),TRUE)</f>
        <v>1</v>
      </c>
      <c r="Q42" s="107">
        <f t="array" ref="Q42:AB42">XLOOKUP(F42,'Current Week'!C:C,'Current Week'!D:O)</f>
        <v>7</v>
      </c>
      <c r="R42" s="106">
        <v>5.0</v>
      </c>
      <c r="S42" s="106" t="s">
        <v>560</v>
      </c>
      <c r="T42" s="106" t="s">
        <v>61</v>
      </c>
      <c r="U42" s="106" t="s">
        <v>95</v>
      </c>
      <c r="V42" s="106"/>
      <c r="W42" s="106" t="s">
        <v>67</v>
      </c>
      <c r="X42" s="106">
        <v>-17.5</v>
      </c>
      <c r="Y42" s="106" t="s">
        <v>67</v>
      </c>
      <c r="Z42" s="106">
        <v>41.5</v>
      </c>
      <c r="AA42" s="106">
        <v>313.0</v>
      </c>
      <c r="AB42" s="106">
        <v>263.0</v>
      </c>
      <c r="AC42" s="108" t="b">
        <v>1</v>
      </c>
      <c r="AD42" s="109">
        <f t="shared" si="4"/>
        <v>-4</v>
      </c>
      <c r="AE42" s="110">
        <f t="shared" si="5"/>
        <v>11</v>
      </c>
      <c r="AF42" s="110">
        <f>IFERROR(__xludf.DUMMYFUNCTION("iferror(COUNT(filter($Q43:$Q$400,$Q43:$Q$400&gt;$Q42)))"),27.0)</f>
        <v>27</v>
      </c>
      <c r="AG42" s="111">
        <f t="shared" si="6"/>
        <v>0</v>
      </c>
      <c r="AH42" s="112">
        <f t="shared" si="7"/>
        <v>4</v>
      </c>
      <c r="AI42" s="113" t="str">
        <f>IFERROR(__xludf.DUMMYFUNCTION("iferror(join("","",index(sort(filter($F43:$F$401,$Q43:$Q$401&gt;$Q42),2,false),0,1)))"),"South Florida,BYU,Tennessee,East Carolina,Washington,Texas A&amp;M,Jacksonville State,Georgia Tech,Western Michigan,Iowa,Missouri,Hawaii,Iowa State,Oklahoma,TCU,Old Dominion,Troy,UConn,Houston,San Diego State,Virginia,Pittsburgh,Vanderbilt,New Mexico,Kennesaw"&amp;" State,Wake Forest,Arizona")</f>
        <v>South Florida,BYU,Tennessee,East Carolina,Washington,Texas A&amp;M,Jacksonville State,Georgia Tech,Western Michigan,Iowa,Missouri,Hawaii,Iowa State,Oklahoma,TCU,Old Dominion,Troy,UConn,Houston,San Diego State,Virginia,Pittsburgh,Vanderbilt,New Mexico,Kennesaw State,Wake Forest,Arizona</v>
      </c>
      <c r="AJ42" s="114">
        <f>IFERROR(__xludf.DUMMYFUNCTION("iferror($Q42-max(filter($Q42:$Q$400,$E42:$E$400=$E$2)))"),-1.0)</f>
        <v>-1</v>
      </c>
      <c r="AK42" s="110">
        <f t="shared" si="8"/>
        <v>1</v>
      </c>
      <c r="AL42" s="110">
        <f>IFERROR(__xludf.DUMMYFUNCTION("iferror(COUNT(filter($Q43:$Q$400,$Q43:$Q$400&gt;$Q42,$E42:$E$400=$E$2)))"),0.0)</f>
        <v>0</v>
      </c>
      <c r="AM42" s="111">
        <f t="shared" si="9"/>
        <v>0</v>
      </c>
      <c r="AN42" s="110">
        <f>IFERROR(__xludf.DUMMYFUNCTION("iferror($Q42-min(filter($Q42:$Q$400,$E42:$E$400=$E$2)))"),5.0)</f>
        <v>5</v>
      </c>
      <c r="AO42" s="113" t="str">
        <f>IFERROR(__xludf.DUMMYFUNCTION("iferror(join("","",index(sort(filter($F43:$F$400,$Q43:$Q$400&gt;$Q42,$E43:$E$400=$E$2),2,false),0,1)))"),"Washington,Iowa")</f>
        <v>Washington,Iowa</v>
      </c>
      <c r="AP42" s="113" t="str">
        <f>IFERROR(__xludf.DUMMYFUNCTION("REGEXREPLACE(join("","",unique({let(conf_picked,filter(E$1:E41,D$1:D41=D42), byrow(unique(TRANSPOSe(Teams!$1:$1)),lambda(rw,if(ISERROR(match(rw,conf_picked,0)),rw,))));if(AW42,,transpose(split(AX42,"","",1,1)))})), ""^,"", """")"),"ACC,Big 12,Big Ten,CUSA,MAC,Pac12,SEC,zIndependent,AAC,Sun Belt")</f>
        <v>ACC,Big 12,Big Ten,CUSA,MAC,Pac12,SEC,zIndependent,AAC,Sun Belt</v>
      </c>
      <c r="AQ42" s="114">
        <f>IFERROR(__xludf.DUMMYFUNCTION("iferror($Q42-max(filter($Q42:$Q$400,arrayformula(isnumber(FIND($E42:$E$400,AP42))))))"),-4.0)</f>
        <v>-4</v>
      </c>
      <c r="AR42" s="110">
        <f t="array" ref="AR42">countifs($Q$2:$Q41,"&lt;"&amp;$Q42,isnumber(FIND($E$2:$E41,AP42)),TRUE)</f>
        <v>10</v>
      </c>
      <c r="AS42" s="110">
        <f>IFERROR(__xludf.DUMMYFUNCTION("iferror(COUNT(filter($Q43:$Q$400,$Q43:$Q$400&gt;$Q42,arrayformula(isnumber(FIND($E43:$E$400,AP42))))))"),24.0)</f>
        <v>24</v>
      </c>
      <c r="AT42" s="111">
        <f t="shared" si="10"/>
        <v>0</v>
      </c>
      <c r="AU42" s="110">
        <f>IFERROR(__xludf.DUMMYFUNCTION("iferror($Q42-min(filter($Q42:$Q$400,arrayformula(isnumber(FIND($E42:$E$400,AP42))))))"),7.0)</f>
        <v>7</v>
      </c>
      <c r="AV42" s="113" t="str">
        <f>IFERROR(__xludf.DUMMYFUNCTION("iferror(join("","",index(sort(filter($F43:$F$400,$Q43:$Q$400&gt;$Q42,arrayformula(isnumber(FIND($E43:$E$400,AP42)))),2,false),0,1)))"),"South Florida,BYU,Tennessee,East Carolina,Washington,Texas A&amp;M,Jacksonville State,Georgia Tech,Western Michigan,Iowa,Missouri,Iowa State,Oklahoma,TCU,Old Dominion,Troy,UConn,Houston,Virginia,Pittsburgh,Vanderbilt,Kennesaw State,Wake Forest,Arizona")</f>
        <v>South Florida,BYU,Tennessee,East Carolina,Washington,Texas A&amp;M,Jacksonville State,Georgia Tech,Western Michigan,Iowa,Missouri,Iowa State,Oklahoma,TCU,Old Dominion,Troy,UConn,Houston,Virginia,Pittsburgh,Vanderbilt,Kennesaw State,Wake Forest,Arizona</v>
      </c>
      <c r="AW42" s="113" t="b">
        <f>IFERROR(__xludf.DUMMYFUNCTION("isnumber(find(""wild card"",join("","",filter($G$1:$G41,$D$1:$D41=D42))))"),FALSE)</f>
        <v>0</v>
      </c>
      <c r="AX42" s="113" t="str">
        <f>IFERROR(__xludf.DUMMYFUNCTION("join("","",let(confs,unique(TRANSPOSe(Teams!$1:$1)), confs_count, BYROW(confs,lambda(conf,xlookup(conf,'Conf WC Eligibility'!A:A,'Conf WC Eligibility'!C:C,,))),confs_picked,byrow(confs,lambda(conf,countif(E$1:E41,conf))),p_needs_conf_count,byrow(confs,lam"&amp;"bda(conf,counta('Draft Order'!B$2:B622)-COUNTUNIQUE(filter(D$2:D41,E$2:E41=conf)))),query({confs,confs_count,confs_picked,p_needs_conf_count},""select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">
      <c r="A43" s="1">
        <v>42.0</v>
      </c>
      <c r="B43" s="1">
        <v>4.0</v>
      </c>
      <c r="C43" s="1">
        <v>6.0</v>
      </c>
      <c r="D43" s="115" t="s">
        <v>96</v>
      </c>
      <c r="E43" s="116" t="str">
        <f>if(F43&lt;&gt;"",VLOOKUP(F43,offset('Teams-Conference'!A:B,0,(counta('Draft Order'!B$2:B622)-10)*2),2,0),"")</f>
        <v>AAC</v>
      </c>
      <c r="F43" s="117" t="s">
        <v>105</v>
      </c>
      <c r="G43" s="106" t="str">
        <f t="shared" si="1"/>
        <v>Regular Pick</v>
      </c>
      <c r="H43" s="106">
        <f t="shared" si="31"/>
        <v>1</v>
      </c>
      <c r="I43" s="106">
        <f t="shared" si="32"/>
        <v>1</v>
      </c>
      <c r="J43" s="106">
        <f t="shared" si="30"/>
        <v>2</v>
      </c>
      <c r="K43" s="106">
        <f t="shared" si="26"/>
        <v>3</v>
      </c>
      <c r="L43" s="106">
        <v>9.0</v>
      </c>
      <c r="M43" s="106">
        <f>IFERROR(__xludf.DUMMYFUNCTION("counta(iferror(filter(L$2:L42,E$2:E42=E43,L$2:L42&lt;L43)))"),3.0)</f>
        <v>3</v>
      </c>
      <c r="N43" s="106">
        <f>IFERROR(__xludf.DUMMYFUNCTION("counta(iferror(filter(L44:L$121,E44:E$121=E43,L44:L$624&gt;L43)))"),0.0)</f>
        <v>0</v>
      </c>
      <c r="O43" s="152"/>
      <c r="P43" s="106" t="b">
        <f>IFERROR(__xludf.DUMMYFUNCTION("if(F43="""","""",let(wc_picked, countifs(E$1:E42,E43,G$1:G42,""This is your wild card pick""), let(spots_filled,counta(unique(filter(D$2:E43,E$2:E43=E43)))/2,let(total,VLOOKUP(E43,'Conf WC Eligibility'!A:C,3,0),if(E43=""zIndependent"", TRUE,total-wc_picke"&amp;"d&gt;12)))))"),TRUE)</f>
        <v>1</v>
      </c>
      <c r="Q43" s="107">
        <f t="array" ref="Q43:AB43">XLOOKUP(F43,'Current Week'!C:C,'Current Week'!D:O)</f>
        <v>9</v>
      </c>
      <c r="R43" s="106">
        <v>3.0</v>
      </c>
      <c r="S43" s="106" t="s">
        <v>337</v>
      </c>
      <c r="T43" s="106" t="s">
        <v>61</v>
      </c>
      <c r="U43" s="106" t="s">
        <v>43</v>
      </c>
      <c r="V43" s="106"/>
      <c r="W43" s="106" t="s">
        <v>67</v>
      </c>
      <c r="X43" s="106">
        <v>-28.5</v>
      </c>
      <c r="Y43" s="106" t="s">
        <v>67</v>
      </c>
      <c r="Z43" s="106">
        <v>59.5</v>
      </c>
      <c r="AA43" s="106">
        <v>516.0</v>
      </c>
      <c r="AB43" s="106">
        <v>280.0</v>
      </c>
      <c r="AC43" s="108" t="b">
        <v>1</v>
      </c>
      <c r="AD43" s="109">
        <f t="shared" si="4"/>
        <v>-2</v>
      </c>
      <c r="AE43" s="110">
        <f t="shared" si="5"/>
        <v>23</v>
      </c>
      <c r="AF43" s="110">
        <f>IFERROR(__xludf.DUMMYFUNCTION("iferror(COUNT(filter($Q44:$Q$400,$Q44:$Q$400&gt;$Q43)))"),5.0)</f>
        <v>5</v>
      </c>
      <c r="AG43" s="111">
        <f t="shared" si="6"/>
        <v>0</v>
      </c>
      <c r="AH43" s="112">
        <f t="shared" si="7"/>
        <v>6</v>
      </c>
      <c r="AI43" s="113" t="str">
        <f>IFERROR(__xludf.DUMMYFUNCTION("iferror(join("","",index(sort(filter($F44:$F$401,$Q44:$Q$401&gt;$Q43),2,false),0,1)))"),"BYU,Texas A&amp;M,Oklahoma,Virginia,Vanderbilt")</f>
        <v>BYU,Texas A&amp;M,Oklahoma,Virginia,Vanderbilt</v>
      </c>
      <c r="AJ43" s="114">
        <f>IFERROR(__xludf.DUMMYFUNCTION("iferror($Q43-max(filter($Q43:$Q$400,$E43:$E$400=$E$2)))"),1.0)</f>
        <v>1</v>
      </c>
      <c r="AK43" s="110">
        <f t="shared" si="8"/>
        <v>2</v>
      </c>
      <c r="AL43" s="110">
        <f>IFERROR(__xludf.DUMMYFUNCTION("iferror(COUNT(filter($Q44:$Q$400,$Q44:$Q$400&gt;$Q43,$E43:$E$400=$E$2)))"),0.0)</f>
        <v>0</v>
      </c>
      <c r="AM43" s="111">
        <f t="shared" si="9"/>
        <v>0</v>
      </c>
      <c r="AN43" s="110">
        <f>IFERROR(__xludf.DUMMYFUNCTION("iferror($Q43-min(filter($Q43:$Q$400,$E43:$E$400=$E$2)))"),7.0)</f>
        <v>7</v>
      </c>
      <c r="AO43" s="113" t="str">
        <f>IFERROR(__xludf.DUMMYFUNCTION("iferror(join("","",index(sort(filter($F44:$F$400,$Q44:$Q$400&gt;$Q43,$E44:$E$400=$E$2),2,false),0,1)))"),"")</f>
        <v/>
      </c>
      <c r="AP43" s="113" t="str">
        <f>IFERROR(__xludf.DUMMYFUNCTION("REGEXREPLACE(join("","",unique({let(conf_picked,filter(E$1:E42,D$1:D42=D43), byrow(unique(TRANSPOSe(Teams!$1:$1)),lambda(rw,if(ISERROR(match(rw,conf_picked,0)),rw,))));if(AW43,,transpose(split(AX43,"","",1,1)))})), ""^,"", """")"),"AAC,ACC,Big 12,Big Ten,CUSA,,MWC,Pac12,Sun Belt")</f>
        <v>AAC,ACC,Big 12,Big Ten,CUSA,,MWC,Pac12,Sun Belt</v>
      </c>
      <c r="AQ43" s="114">
        <f>IFERROR(__xludf.DUMMYFUNCTION("iferror($Q43-max(filter($Q43:$Q$400,arrayformula(isnumber(FIND($E43:$E$400,AP43))))))"),-2.0)</f>
        <v>-2</v>
      </c>
      <c r="AR43" s="110">
        <f t="array" ref="AR43">countifs($Q$2:$Q42,"&lt;"&amp;$Q43,isnumber(FIND($E$2:$E42,AP43)),TRUE)</f>
        <v>19</v>
      </c>
      <c r="AS43" s="110">
        <f>IFERROR(__xludf.DUMMYFUNCTION("iferror(COUNT(filter($Q44:$Q$400,$Q44:$Q$400&gt;$Q43,arrayformula(isnumber(FIND($E44:$E$400,AP43))))))"),2.0)</f>
        <v>2</v>
      </c>
      <c r="AT43" s="111">
        <f t="shared" si="10"/>
        <v>0</v>
      </c>
      <c r="AU43" s="110">
        <f>IFERROR(__xludf.DUMMYFUNCTION("iferror($Q43-min(filter($Q43:$Q$400,arrayformula(isnumber(FIND($E43:$E$400,AP43))))))"),8.0)</f>
        <v>8</v>
      </c>
      <c r="AV43" s="113" t="str">
        <f>IFERROR(__xludf.DUMMYFUNCTION("iferror(join("","",index(sort(filter($F44:$F$400,$Q44:$Q$400&gt;$Q43,arrayformula(isnumber(FIND($E44:$E$400,AP43)))),2,false),0,1)))"),"BYU,Virginia")</f>
        <v>BYU,Virginia</v>
      </c>
      <c r="AW43" s="113" t="b">
        <f>IFERROR(__xludf.DUMMYFUNCTION("isnumber(find(""wild card"",join("","",filter($G$1:$G42,$D$1:$D42=D43))))"),TRUE)</f>
        <v>1</v>
      </c>
      <c r="AX43" s="113" t="str">
        <f>IFERROR(__xludf.DUMMYFUNCTION("join("","",let(confs,unique(TRANSPOSe(Teams!$1:$1)), confs_count, BYROW(confs,lambda(conf,xlookup(conf,'Conf WC Eligibility'!A:A,'Conf WC Eligibility'!C:C,,))),confs_picked,byrow(confs,lambda(conf,countif(E$1:E42,conf))),p_needs_conf_count,byrow(confs,lam"&amp;"bda(conf,counta('Draft Order'!B$2:B622)-COUNTUNIQUE(filter(D$2:D42,E$2:E42=conf)))),query({confs,confs_count,confs_picked,p_needs_conf_count},""select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">
      <c r="A44" s="1">
        <v>43.0</v>
      </c>
      <c r="B44" s="1">
        <v>4.0</v>
      </c>
      <c r="C44" s="1">
        <v>7.0</v>
      </c>
      <c r="D44" s="115" t="s">
        <v>224</v>
      </c>
      <c r="E44" s="116" t="str">
        <f>if(F44&lt;&gt;"",VLOOKUP(F44,offset('Teams-Conference'!A:B,0,(counta('Draft Order'!B$2:B622)-10)*2),2,0),"")</f>
        <v>Big 12</v>
      </c>
      <c r="F44" s="77" t="s">
        <v>226</v>
      </c>
      <c r="G44" s="106" t="str">
        <f t="shared" si="1"/>
        <v>Regular Pick</v>
      </c>
      <c r="H44" s="106">
        <f t="shared" si="31"/>
        <v>1</v>
      </c>
      <c r="I44" s="106">
        <f t="shared" si="32"/>
        <v>2</v>
      </c>
      <c r="J44" s="106">
        <f t="shared" si="30"/>
        <v>0</v>
      </c>
      <c r="K44" s="106">
        <f t="shared" si="26"/>
        <v>2</v>
      </c>
      <c r="L44" s="106">
        <v>11.0</v>
      </c>
      <c r="M44" s="106">
        <f>IFERROR(__xludf.DUMMYFUNCTION("counta(iferror(filter(L$2:L43,E$2:E43=E44,L$2:L43&lt;L44)))"),3.0)</f>
        <v>3</v>
      </c>
      <c r="N44" s="106">
        <f>IFERROR(__xludf.DUMMYFUNCTION("counta(iferror(filter(L45:L$121,E45:E$121=E44,L45:L$624&gt;L44)))"),0.0)</f>
        <v>0</v>
      </c>
      <c r="O44" s="152"/>
      <c r="P44" s="106" t="b">
        <f>IFERROR(__xludf.DUMMYFUNCTION("if(F44="""","""",let(wc_picked, countifs(E$1:E43,E44,G$1:G43,""This is your wild card pick""), let(spots_filled,counta(unique(filter(D$2:E44,E$2:E44=E44)))/2,let(total,VLOOKUP(E44,'Conf WC Eligibility'!A:C,3,0),if(E44=""zIndependent"", TRUE,total-wc_picke"&amp;"d&gt;12)))))"),TRUE)</f>
        <v>1</v>
      </c>
      <c r="Q44" s="107">
        <f t="array" ref="Q44:AB44">XLOOKUP(F44,'Current Week'!C:C,'Current Week'!D:O)</f>
        <v>11</v>
      </c>
      <c r="R44" s="106">
        <v>1.0</v>
      </c>
      <c r="S44" s="106" t="s">
        <v>714</v>
      </c>
      <c r="T44" s="106" t="s">
        <v>61</v>
      </c>
      <c r="U44" s="106" t="s">
        <v>156</v>
      </c>
      <c r="V44" s="106"/>
      <c r="W44" s="106" t="s">
        <v>67</v>
      </c>
      <c r="X44" s="106">
        <v>-17.5</v>
      </c>
      <c r="Y44" s="106" t="s">
        <v>67</v>
      </c>
      <c r="Z44" s="106">
        <v>47.5</v>
      </c>
      <c r="AA44" s="106">
        <v>408.0</v>
      </c>
      <c r="AB44" s="106">
        <v>213.0</v>
      </c>
      <c r="AC44" s="108" t="b">
        <v>1</v>
      </c>
      <c r="AD44" s="109">
        <f t="shared" si="4"/>
        <v>0</v>
      </c>
      <c r="AE44" s="110">
        <f t="shared" si="5"/>
        <v>34</v>
      </c>
      <c r="AF44" s="110">
        <f>IFERROR(__xludf.DUMMYFUNCTION("iferror(COUNT(filter($Q45:$Q$400,$Q45:$Q$400&gt;$Q44)))"),0.0)</f>
        <v>0</v>
      </c>
      <c r="AG44" s="111">
        <f t="shared" si="6"/>
        <v>1</v>
      </c>
      <c r="AH44" s="112">
        <f t="shared" si="7"/>
        <v>8</v>
      </c>
      <c r="AI44" s="113" t="str">
        <f>IFERROR(__xludf.DUMMYFUNCTION("iferror(join("","",index(sort(filter($F45:$F$401,$Q45:$Q$401&gt;$Q44),2,false),0,1)))"),"")</f>
        <v/>
      </c>
      <c r="AJ44" s="114">
        <f>IFERROR(__xludf.DUMMYFUNCTION("iferror($Q44-max(filter($Q44:$Q$400,$E44:$E$400=$E$2)))"),3.0)</f>
        <v>3</v>
      </c>
      <c r="AK44" s="110">
        <f t="shared" si="8"/>
        <v>4</v>
      </c>
      <c r="AL44" s="110">
        <f>IFERROR(__xludf.DUMMYFUNCTION("iferror(COUNT(filter($Q45:$Q$400,$Q45:$Q$400&gt;$Q44,$E44:$E$400=$E$2)))"),0.0)</f>
        <v>0</v>
      </c>
      <c r="AM44" s="111">
        <f t="shared" si="9"/>
        <v>0</v>
      </c>
      <c r="AN44" s="110">
        <f>IFERROR(__xludf.DUMMYFUNCTION("iferror($Q44-min(filter($Q44:$Q$400,$E44:$E$400=$E$2)))"),9.0)</f>
        <v>9</v>
      </c>
      <c r="AO44" s="113" t="str">
        <f>IFERROR(__xludf.DUMMYFUNCTION("iferror(join("","",index(sort(filter($F45:$F$400,$Q45:$Q$400&gt;$Q44,$E45:$E$400=$E$2),2,false),0,1)))"),"")</f>
        <v/>
      </c>
      <c r="AP44" s="113" t="str">
        <f>IFERROR(__xludf.DUMMYFUNCTION("REGEXREPLACE(join("","",unique({let(conf_picked,filter(E$1:E43,D$1:D43=D44), byrow(unique(TRANSPOSe(Teams!$1:$1)),lambda(rw,if(ISERROR(match(rw,conf_picked,0)),rw,))));if(AW44,,transpose(split(AX44,"","",1,1)))})), ""^,"", """")"),"ACC,Big 12,Big Ten,CUSA,MAC,Pac12,SEC,zIndependent,AAC,Sun Belt")</f>
        <v>ACC,Big 12,Big Ten,CUSA,MAC,Pac12,SEC,zIndependent,AAC,Sun Belt</v>
      </c>
      <c r="AQ44" s="114">
        <f>IFERROR(__xludf.DUMMYFUNCTION("iferror($Q44-max(filter($Q44:$Q$400,arrayformula(isnumber(FIND($E44:$E$400,AP44))))))"),0.0)</f>
        <v>0</v>
      </c>
      <c r="AR44" s="110">
        <f t="array" ref="AR44">countifs($Q$2:$Q43,"&lt;"&amp;$Q44,isnumber(FIND($E$2:$E43,AP44)),TRUE)</f>
        <v>30</v>
      </c>
      <c r="AS44" s="110">
        <f>IFERROR(__xludf.DUMMYFUNCTION("iferror(COUNT(filter($Q45:$Q$400,$Q45:$Q$400&gt;$Q44,arrayformula(isnumber(FIND($E45:$E$400,AP44))))))"),0.0)</f>
        <v>0</v>
      </c>
      <c r="AT44" s="111">
        <f t="shared" si="10"/>
        <v>1</v>
      </c>
      <c r="AU44" s="110">
        <f>IFERROR(__xludf.DUMMYFUNCTION("iferror($Q44-min(filter($Q44:$Q$400,arrayformula(isnumber(FIND($E44:$E$400,AP44))))))"),11.0)</f>
        <v>11</v>
      </c>
      <c r="AV44" s="113" t="str">
        <f>IFERROR(__xludf.DUMMYFUNCTION("iferror(join("","",index(sort(filter($F45:$F$400,$Q45:$Q$400&gt;$Q44,arrayformula(isnumber(FIND($E45:$E$400,AP44)))),2,false),0,1)))"),"")</f>
        <v/>
      </c>
      <c r="AW44" s="113" t="b">
        <f>IFERROR(__xludf.DUMMYFUNCTION("isnumber(find(""wild card"",join("","",filter($G$1:$G43,$D$1:$D43=D44))))"),FALSE)</f>
        <v>0</v>
      </c>
      <c r="AX44" s="113" t="str">
        <f>IFERROR(__xludf.DUMMYFUNCTION("join("","",let(confs,unique(TRANSPOSe(Teams!$1:$1)), confs_count, BYROW(confs,lambda(conf,xlookup(conf,'Conf WC Eligibility'!A:A,'Conf WC Eligibility'!C:C,,))),confs_picked,byrow(confs,lambda(conf,countif(E$1:E43,conf))),p_needs_conf_count,byrow(confs,lam"&amp;"bda(conf,counta('Draft Order'!B$2:B622)-COUNTUNIQUE(filter(D$2:D43,E$2:E43=conf)))),query({confs,confs_count,confs_picked,p_needs_conf_count},""select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">
      <c r="A45" s="1">
        <v>44.0</v>
      </c>
      <c r="B45" s="1">
        <v>4.0</v>
      </c>
      <c r="C45" s="1">
        <v>8.0</v>
      </c>
      <c r="D45" s="115" t="s">
        <v>311</v>
      </c>
      <c r="E45" s="116" t="str">
        <f>if(F45&lt;&gt;"",VLOOKUP(F45,offset('Teams-Conference'!A:B,0,(counta('Draft Order'!B$2:B622)-10)*2),2,0),"")</f>
        <v>MAC</v>
      </c>
      <c r="F45" s="77" t="s">
        <v>172</v>
      </c>
      <c r="G45" s="106" t="str">
        <f t="shared" si="1"/>
        <v>Regular Pick</v>
      </c>
      <c r="H45" s="106">
        <f t="shared" si="31"/>
        <v>0</v>
      </c>
      <c r="I45" s="106">
        <f t="shared" si="32"/>
        <v>3</v>
      </c>
      <c r="J45" s="106">
        <f t="shared" si="30"/>
        <v>1</v>
      </c>
      <c r="K45" s="106">
        <f t="shared" si="26"/>
        <v>1</v>
      </c>
      <c r="L45" s="106">
        <v>3.0</v>
      </c>
      <c r="M45" s="106">
        <f>IFERROR(__xludf.DUMMYFUNCTION("counta(iferror(filter(L$2:L44,E$2:E44=E45,L$2:L44&lt;L45)))"),0.0)</f>
        <v>0</v>
      </c>
      <c r="N45" s="106">
        <f>IFERROR(__xludf.DUMMYFUNCTION("counta(iferror(filter(L46:L$121,E46:E$121=E45,L46:L$624&gt;L45)))"),0.0)</f>
        <v>0</v>
      </c>
      <c r="O45" s="152"/>
      <c r="P45" s="106" t="b">
        <f>IFERROR(__xludf.DUMMYFUNCTION("if(F45="""","""",let(wc_picked, countifs(E$1:E44,E45,G$1:G44,""This is your wild card pick""), let(spots_filled,counta(unique(filter(D$2:E45,E$2:E45=E45)))/2,let(total,VLOOKUP(E45,'Conf WC Eligibility'!A:C,3,0),if(E45=""zIndependent"", TRUE,total-wc_picke"&amp;"d&gt;12)))))"),TRUE)</f>
        <v>1</v>
      </c>
      <c r="Q45" s="107">
        <f t="array" ref="Q45:AB45">XLOOKUP(F45,'Current Week'!C:C,'Current Week'!D:O)</f>
        <v>3</v>
      </c>
      <c r="R45" s="106">
        <v>9.0</v>
      </c>
      <c r="S45" s="106" t="s">
        <v>702</v>
      </c>
      <c r="T45" s="106" t="s">
        <v>61</v>
      </c>
      <c r="U45" s="106" t="s">
        <v>493</v>
      </c>
      <c r="V45" s="106"/>
      <c r="W45" s="106" t="s">
        <v>67</v>
      </c>
      <c r="X45" s="106">
        <v>-5.5</v>
      </c>
      <c r="Y45" s="106" t="s">
        <v>67</v>
      </c>
      <c r="Z45" s="106">
        <v>45.5</v>
      </c>
      <c r="AA45" s="106">
        <v>205.0</v>
      </c>
      <c r="AB45" s="106">
        <v>292.0</v>
      </c>
      <c r="AC45" s="108" t="b">
        <v>1</v>
      </c>
      <c r="AD45" s="109">
        <f t="shared" si="4"/>
        <v>-8</v>
      </c>
      <c r="AE45" s="110">
        <f t="shared" si="5"/>
        <v>0</v>
      </c>
      <c r="AF45" s="110">
        <f>IFERROR(__xludf.DUMMYFUNCTION("iferror(COUNT(filter($Q46:$Q$400,$Q46:$Q$400&gt;$Q45)))"),74.0)</f>
        <v>74</v>
      </c>
      <c r="AG45" s="111">
        <f t="shared" si="6"/>
        <v>0</v>
      </c>
      <c r="AH45" s="112">
        <f t="shared" si="7"/>
        <v>0</v>
      </c>
      <c r="AI45" s="113" t="str">
        <f>IFERROR(__xludf.DUMMYFUNCTION("iferror(join("","",index(sort(filter($F46:$F$401,$Q46:$Q$401&gt;$Q45),2,false),0,1)))"),"Tennessee,Texas State,Auburn,North Carolina,East Carolina,Washington,Kansas,LSU,Bowling Green,Nebraska,Texas A&amp;M,Jacksonville State,Baylor,Georgia Tech,Central Michigan,South Carolina,Western Michigan,Iowa,Missouri,Minnesota,Hawaii,Florida,Iowa State,Flor"&amp;"ida Atlantic,EMU,Oklahoma,Appalachian State,Air Force,TCU,Old Dominion,Akron,Florida State,Troy,Cincinnati,UCF,Duke,UConn,Florida Intl,Wyoming,Houston,San Diego State,Coastal Carolina,Virginia,Utah State,UAB,Ball State,New Mexico State,NC State,California"&amp;",Missouri State,Marshall,Michigan State,Pittsburgh,Rutgers,Arkansas State,West Virginia,Vanderbilt,Wisconsin,Delaware,New Mexico,Kennesaw State,Rice,Temple,Tulsa,Stanford,Wake Forest,Arizona,Maryland,Northwestern,Kent State,Washington State,Kentucky,Missi"&amp;"ssippi State,Southern Mississippi")</f>
        <v>Tennessee,Texas State,Auburn,North Carolina,East Carolina,Washington,Kansas,LSU,Bowling Green,Nebraska,Texas A&amp;M,Jacksonville State,Baylor,Georgia Tech,Central Michigan,South Carolina,Western Michigan,Iowa,Missouri,Minnesota,Hawaii,Florida,Iowa State,Florida Atlantic,EMU,Oklahoma,Appalachian State,Air Force,TCU,Old Dominion,Akron,Florida State,Troy,Cincinnati,UCF,Duke,UConn,Florida Intl,Wyoming,Houston,San Diego State,Coastal Carolina,Virginia,Utah State,UAB,Ball State,New Mexico State,NC State,California,Missouri State,Marshall,Michigan State,Pittsburgh,Rutgers,Arkansas State,West Virginia,Vanderbilt,Wisconsin,Delaware,New Mexico,Kennesaw State,Rice,Temple,Tulsa,Stanford,Wake Forest,Arizona,Maryland,Northwestern,Kent State,Washington State,Kentucky,Mississippi State,Southern Mississippi</v>
      </c>
      <c r="AJ45" s="114">
        <f>IFERROR(__xludf.DUMMYFUNCTION("iferror($Q45-max(filter($Q45:$Q$400,$E45:$E$400=$E$2)))"),-5.0)</f>
        <v>-5</v>
      </c>
      <c r="AK45" s="110">
        <f t="shared" si="8"/>
        <v>0</v>
      </c>
      <c r="AL45" s="110">
        <f>IFERROR(__xludf.DUMMYFUNCTION("iferror(COUNT(filter($Q46:$Q$400,$Q46:$Q$400&gt;$Q45,$E45:$E$400=$E$2)))"),0.0)</f>
        <v>0</v>
      </c>
      <c r="AM45" s="111">
        <f t="shared" si="9"/>
        <v>0</v>
      </c>
      <c r="AN45" s="110">
        <f>IFERROR(__xludf.DUMMYFUNCTION("iferror($Q45-min(filter($Q45:$Q$400,$E45:$E$400=$E$2)))"),1.0)</f>
        <v>1</v>
      </c>
      <c r="AO45" s="113" t="str">
        <f>IFERROR(__xludf.DUMMYFUNCTION("iferror(join("","",index(sort(filter($F46:$F$400,$Q46:$Q$400&gt;$Q45,$E46:$E$400=$E$2),2,false),0,1)))"),"Washington,Nebraska,Iowa,Minnesota,Michigan State,Rutgers,Wisconsin,Maryland,Northwestern")</f>
        <v>Washington,Nebraska,Iowa,Minnesota,Michigan State,Rutgers,Wisconsin,Maryland,Northwestern</v>
      </c>
      <c r="AP45" s="113" t="str">
        <f>IFERROR(__xludf.DUMMYFUNCTION("REGEXREPLACE(join("","",unique({let(conf_picked,filter(E$1:E44,D$1:D44=D45), byrow(unique(TRANSPOSe(Teams!$1:$1)),lambda(rw,if(ISERROR(match(rw,conf_picked,0)),rw,))));if(AW45,,transpose(split(AX45,"","",1,1)))})), ""^,"", """")"),"ACC,Big 12,CUSA,MAC,MWC,Pac12,SEC,Sun Belt,zIndependent")</f>
        <v>ACC,Big 12,CUSA,MAC,MWC,Pac12,SEC,Sun Belt,zIndependent</v>
      </c>
      <c r="AQ45" s="114">
        <f>IFERROR(__xludf.DUMMYFUNCTION("iferror($Q45-max(filter($Q45:$Q$400,arrayformula(isnumber(FIND($E45:$E$400,AP45))))))"),-8.0)</f>
        <v>-8</v>
      </c>
      <c r="AR45" s="110">
        <f t="array" ref="AR45">countifs($Q$2:$Q44,"&lt;"&amp;$Q45,isnumber(FIND($E$2:$E44,AP45)),TRUE)</f>
        <v>0</v>
      </c>
      <c r="AS45" s="110">
        <f>IFERROR(__xludf.DUMMYFUNCTION("iferror(COUNT(filter($Q46:$Q$400,$Q46:$Q$400&gt;$Q45,arrayformula(isnumber(FIND($E46:$E$400,AP45))))))"),59.0)</f>
        <v>59</v>
      </c>
      <c r="AT45" s="111">
        <f t="shared" si="10"/>
        <v>0</v>
      </c>
      <c r="AU45" s="110">
        <f>IFERROR(__xludf.DUMMYFUNCTION("iferror($Q45-min(filter($Q45:$Q$400,arrayformula(isnumber(FIND($E45:$E$400,AP45))))))"),3.0)</f>
        <v>3</v>
      </c>
      <c r="AV45" s="113" t="str">
        <f>IFERROR(__xludf.DUMMYFUNCTION("iferror(join("","",index(sort(filter($F46:$F$400,$Q46:$Q$400&gt;$Q45,arrayformula(isnumber(FIND($E46:$E$400,AP45)))),2,false),0,1)))"),"Tennessee,Texas State,Auburn,North Carolina,Kansas,LSU,Bowling Green,Texas A&amp;M,Jacksonville State,Baylor,Georgia Tech,Central Michigan,South Carolina,Western Michigan,Missouri,Hawaii,Florida,Iowa State,EMU,Oklahoma,Appalachian State,Air Force,TCU,Old Domi"&amp;"nion,Akron,Florida State,Troy,Cincinnati,UCF,Duke,UConn,Florida Intl,Wyoming,Houston,San Diego State,Coastal Carolina,Virginia,Utah State,Ball State,New Mexico State,NC State,California,Missouri State,Marshall,Pittsburgh,Arkansas State,West Virginia,Vande"&amp;"rbilt,Delaware,New Mexico,Kennesaw State,Stanford,Wake Forest,Arizona,Kent State,Washington State,Kentucky,Mississippi State,Southern Mississippi")</f>
        <v>Tennessee,Texas State,Auburn,North Carolina,Kansas,LSU,Bowling Green,Texas A&amp;M,Jacksonville State,Baylor,Georgia Tech,Central Michigan,South Carolina,Western Michigan,Missouri,Hawaii,Florida,Iowa State,EMU,Oklahoma,Appalachian State,Air Force,TCU,Old Dominion,Akron,Florida State,Troy,Cincinnati,UCF,Duke,UConn,Florida Intl,Wyoming,Houston,San Diego State,Coastal Carolina,Virginia,Utah State,Ball State,New Mexico State,NC State,California,Missouri State,Marshall,Pittsburgh,Arkansas State,West Virginia,Vanderbilt,Delaware,New Mexico,Kennesaw State,Stanford,Wake Forest,Arizona,Kent State,Washington State,Kentucky,Mississippi State,Southern Mississippi</v>
      </c>
      <c r="AW45" s="113" t="b">
        <f>IFERROR(__xludf.DUMMYFUNCTION("isnumber(find(""wild card"",join("","",filter($G$1:$G44,$D$1:$D44=D45))))"),TRUE)</f>
        <v>1</v>
      </c>
      <c r="AX45" s="113" t="str">
        <f>IFERROR(__xludf.DUMMYFUNCTION("join("","",let(confs,unique(TRANSPOSe(Teams!$1:$1)), confs_count, BYROW(confs,lambda(conf,xlookup(conf,'Conf WC Eligibility'!A:A,'Conf WC Eligibility'!C:C,,))),confs_picked,byrow(confs,lambda(conf,countif(E$1:E44,conf))),p_needs_conf_count,byrow(confs,lam"&amp;"bda(conf,counta('Draft Order'!B$2:B622)-COUNTUNIQUE(filter(D$2:D44,E$2:E44=conf)))),query({confs,confs_count,confs_picked,p_needs_conf_count},""select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">
      <c r="A46" s="1">
        <v>45.0</v>
      </c>
      <c r="B46" s="1">
        <v>4.0</v>
      </c>
      <c r="C46" s="1">
        <v>9.0</v>
      </c>
      <c r="D46" s="115" t="s">
        <v>193</v>
      </c>
      <c r="E46" s="116" t="str">
        <f>if(F46&lt;&gt;"",VLOOKUP(F46,offset('Teams-Conference'!A:B,0,(counta('Draft Order'!B$2:B622)-10)*2),2,0),"")</f>
        <v>SEC</v>
      </c>
      <c r="F46" s="77" t="s">
        <v>211</v>
      </c>
      <c r="G46" s="106" t="str">
        <f t="shared" si="1"/>
        <v>Regular Pick</v>
      </c>
      <c r="H46" s="106">
        <f t="shared" si="31"/>
        <v>2</v>
      </c>
      <c r="I46" s="106">
        <f t="shared" si="32"/>
        <v>5</v>
      </c>
      <c r="J46" s="106">
        <f t="shared" si="30"/>
        <v>1</v>
      </c>
      <c r="K46" s="106">
        <f t="shared" si="26"/>
        <v>1</v>
      </c>
      <c r="L46" s="106">
        <v>8.0</v>
      </c>
      <c r="M46" s="106">
        <f>IFERROR(__xludf.DUMMYFUNCTION("counta(iferror(filter(L$2:L45,E$2:E45=E46,L$2:L45&lt;L46)))"),0.0)</f>
        <v>0</v>
      </c>
      <c r="N46" s="106">
        <f>IFERROR(__xludf.DUMMYFUNCTION("counta(iferror(filter(L47:L$121,E47:E$121=E46,L47:L$624&gt;L46)))"),0.0)</f>
        <v>0</v>
      </c>
      <c r="O46" s="152"/>
      <c r="P46" s="106" t="b">
        <f>IFERROR(__xludf.DUMMYFUNCTION("if(F46="""","""",let(wc_picked, countifs(E$1:E45,E46,G$1:G45,""This is your wild card pick""), let(spots_filled,counta(unique(filter(D$2:E46,E$2:E46=E46)))/2,let(total,VLOOKUP(E46,'Conf WC Eligibility'!A:C,3,0),if(E46=""zIndependent"", TRUE,total-wc_picke"&amp;"d&gt;12)))))"),TRUE)</f>
        <v>1</v>
      </c>
      <c r="Q46" s="107">
        <f t="array" ref="Q46:AB46">XLOOKUP(F46,'Current Week'!C:C,'Current Week'!D:O)</f>
        <v>8</v>
      </c>
      <c r="R46" s="106">
        <v>4.0</v>
      </c>
      <c r="S46" s="106" t="s">
        <v>681</v>
      </c>
      <c r="T46" s="106" t="s">
        <v>61</v>
      </c>
      <c r="U46" s="106" t="s">
        <v>395</v>
      </c>
      <c r="V46" s="106"/>
      <c r="W46" s="106" t="s">
        <v>67</v>
      </c>
      <c r="X46" s="106">
        <v>-3.0</v>
      </c>
      <c r="Y46" s="106" t="s">
        <v>67</v>
      </c>
      <c r="Z46" s="106">
        <v>65.5</v>
      </c>
      <c r="AA46" s="106">
        <v>489.0</v>
      </c>
      <c r="AB46" s="106">
        <v>345.0</v>
      </c>
      <c r="AC46" s="108" t="b">
        <v>1</v>
      </c>
      <c r="AD46" s="109">
        <f t="shared" si="4"/>
        <v>-3</v>
      </c>
      <c r="AE46" s="110">
        <f t="shared" si="5"/>
        <v>15</v>
      </c>
      <c r="AF46" s="110">
        <f>IFERROR(__xludf.DUMMYFUNCTION("iferror(COUNT(filter($Q47:$Q$400,$Q47:$Q$400&gt;$Q46)))"),12.0)</f>
        <v>12</v>
      </c>
      <c r="AG46" s="111">
        <f t="shared" si="6"/>
        <v>0</v>
      </c>
      <c r="AH46" s="112">
        <f t="shared" si="7"/>
        <v>5</v>
      </c>
      <c r="AI46" s="113" t="str">
        <f>IFERROR(__xludf.DUMMYFUNCTION("iferror(join("","",index(sort(filter($F47:$F$401,$Q47:$Q$401&gt;$Q46),2,false),0,1)))"),"Texas A&amp;M,Georgia Tech,Oklahoma,Old Dominion,UConn,Houston,San Diego State,Virginia,Vanderbilt,New Mexico,Kennesaw State,Arizona")</f>
        <v>Texas A&amp;M,Georgia Tech,Oklahoma,Old Dominion,UConn,Houston,San Diego State,Virginia,Vanderbilt,New Mexico,Kennesaw State,Arizona</v>
      </c>
      <c r="AJ46" s="114">
        <f>IFERROR(__xludf.DUMMYFUNCTION("iferror($Q46-max(filter($Q46:$Q$400,$E46:$E$400=$E$2)))"),0.0)</f>
        <v>0</v>
      </c>
      <c r="AK46" s="110">
        <f t="shared" si="8"/>
        <v>1</v>
      </c>
      <c r="AL46" s="110">
        <f>IFERROR(__xludf.DUMMYFUNCTION("iferror(COUNT(filter($Q47:$Q$400,$Q47:$Q$400&gt;$Q46,$E46:$E$400=$E$2)))"),0.0)</f>
        <v>0</v>
      </c>
      <c r="AM46" s="111">
        <f t="shared" si="9"/>
        <v>1</v>
      </c>
      <c r="AN46" s="110">
        <f>IFERROR(__xludf.DUMMYFUNCTION("iferror($Q46-min(filter($Q46:$Q$400,$E46:$E$400=$E$2)))"),6.0)</f>
        <v>6</v>
      </c>
      <c r="AO46" s="113" t="str">
        <f>IFERROR(__xludf.DUMMYFUNCTION("iferror(join("","",index(sort(filter($F47:$F$400,$Q47:$Q$400&gt;$Q46,$E47:$E$400=$E$2),2,false),0,1)))"),"")</f>
        <v/>
      </c>
      <c r="AP46" s="113" t="str">
        <f>IFERROR(__xludf.DUMMYFUNCTION("REGEXREPLACE(join("","",unique({let(conf_picked,filter(E$1:E45,D$1:D45=D46), byrow(unique(TRANSPOSe(Teams!$1:$1)),lambda(rw,if(ISERROR(match(rw,conf_picked,0)),rw,))));if(AW46,,transpose(split(AX46,"","",1,1)))})), ""^,"", """")"),"AAC,,Big 12,CUSA,MAC,MWC,Pac12,SEC,zIndependent,ACC,Big Ten,Sun Belt")</f>
        <v>AAC,,Big 12,CUSA,MAC,MWC,Pac12,SEC,zIndependent,ACC,Big Ten,Sun Belt</v>
      </c>
      <c r="AQ46" s="114">
        <f>IFERROR(__xludf.DUMMYFUNCTION("iferror($Q46-max(filter($Q46:$Q$400,arrayformula(isnumber(FIND($E46:$E$400,AP46))))))"),-3.0)</f>
        <v>-3</v>
      </c>
      <c r="AR46" s="110">
        <f t="array" ref="AR46">countifs($Q$2:$Q45,"&lt;"&amp;$Q46,isnumber(FIND($E$2:$E45,AP46)),TRUE)</f>
        <v>15</v>
      </c>
      <c r="AS46" s="110">
        <f>IFERROR(__xludf.DUMMYFUNCTION("iferror(COUNT(filter($Q47:$Q$400,$Q47:$Q$400&gt;$Q46,arrayformula(isnumber(FIND($E47:$E$400,AP46))))))"),12.0)</f>
        <v>12</v>
      </c>
      <c r="AT46" s="111">
        <f t="shared" si="10"/>
        <v>0</v>
      </c>
      <c r="AU46" s="110">
        <f>IFERROR(__xludf.DUMMYFUNCTION("iferror($Q46-min(filter($Q46:$Q$400,arrayformula(isnumber(FIND($E46:$E$400,AP46))))))"),8.0)</f>
        <v>8</v>
      </c>
      <c r="AV46" s="113" t="str">
        <f>IFERROR(__xludf.DUMMYFUNCTION("iferror(join("","",index(sort(filter($F47:$F$400,$Q47:$Q$400&gt;$Q46,arrayformula(isnumber(FIND($E47:$E$400,AP46)))),2,false),0,1)))"),"Texas A&amp;M,Georgia Tech,Oklahoma,Old Dominion,UConn,Houston,San Diego State,Virginia,Vanderbilt,New Mexico,Kennesaw State,Arizona")</f>
        <v>Texas A&amp;M,Georgia Tech,Oklahoma,Old Dominion,UConn,Houston,San Diego State,Virginia,Vanderbilt,New Mexico,Kennesaw State,Arizona</v>
      </c>
      <c r="AW46" s="113" t="b">
        <f>IFERROR(__xludf.DUMMYFUNCTION("isnumber(find(""wild card"",join("","",filter($G$1:$G45,$D$1:$D45=D46))))"),FALSE)</f>
        <v>0</v>
      </c>
      <c r="AX46" s="113" t="str">
        <f>IFERROR(__xludf.DUMMYFUNCTION("join("","",let(confs,unique(TRANSPOSe(Teams!$1:$1)), confs_count, BYROW(confs,lambda(conf,xlookup(conf,'Conf WC Eligibility'!A:A,'Conf WC Eligibility'!C:C,,))),confs_picked,byrow(confs,lambda(conf,countif(E$1:E45,conf))),p_needs_conf_count,byrow(confs,lam"&amp;"bda(conf,counta('Draft Order'!B$2:B622)-COUNTUNIQUE(filter(D$2:D45,E$2:E45=conf)))),query({confs,confs_count,confs_picked,p_needs_conf_count},""select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">
      <c r="A47" s="1">
        <v>46.0</v>
      </c>
      <c r="B47" s="1">
        <v>4.0</v>
      </c>
      <c r="C47" s="1">
        <v>10.0</v>
      </c>
      <c r="D47" s="115" t="s">
        <v>62</v>
      </c>
      <c r="E47" s="116" t="str">
        <f>if(F47&lt;&gt;"",VLOOKUP(F47,offset('Teams-Conference'!A:B,0,(counta('Draft Order'!B$2:B622)-10)*2),2,0),"")</f>
        <v>MWC</v>
      </c>
      <c r="F47" s="77" t="s">
        <v>178</v>
      </c>
      <c r="G47" s="106" t="str">
        <f t="shared" si="1"/>
        <v>Regular Pick</v>
      </c>
      <c r="H47" s="106">
        <f t="shared" si="31"/>
        <v>0</v>
      </c>
      <c r="I47" s="106">
        <f t="shared" si="32"/>
        <v>1</v>
      </c>
      <c r="J47" s="106">
        <f t="shared" si="30"/>
        <v>1</v>
      </c>
      <c r="K47" s="106">
        <f t="shared" si="26"/>
        <v>3</v>
      </c>
      <c r="L47" s="106">
        <v>2.0</v>
      </c>
      <c r="M47" s="106">
        <f>IFERROR(__xludf.DUMMYFUNCTION("counta(iferror(filter(L$2:L46,E$2:E46=E47,L$2:L46&lt;L47)))"),0.0)</f>
        <v>0</v>
      </c>
      <c r="N47" s="106">
        <f>IFERROR(__xludf.DUMMYFUNCTION("counta(iferror(filter(L48:L$121,E48:E$121=E47,L48:L$624&gt;L47)))"),0.0)</f>
        <v>0</v>
      </c>
      <c r="O47" s="152"/>
      <c r="P47" s="106" t="b">
        <f>IFERROR(__xludf.DUMMYFUNCTION("if(F47="""","""",let(wc_picked, countifs(E$1:E46,E47,G$1:G46,""This is your wild card pick""), let(spots_filled,counta(unique(filter(D$2:E47,E$2:E47=E47)))/2,let(total,VLOOKUP(E47,'Conf WC Eligibility'!A:C,3,0),if(E47=""zIndependent"", TRUE,total-wc_picke"&amp;"d&gt;12)))))"),FALSE)</f>
        <v>0</v>
      </c>
      <c r="Q47" s="107">
        <f t="array" ref="Q47:AB47">XLOOKUP(F47,'Current Week'!C:C,'Current Week'!D:O)</f>
        <v>2</v>
      </c>
      <c r="R47" s="106">
        <v>10.0</v>
      </c>
      <c r="S47" s="106" t="s">
        <v>518</v>
      </c>
      <c r="T47" s="106" t="s">
        <v>61</v>
      </c>
      <c r="U47" s="106" t="s">
        <v>43</v>
      </c>
      <c r="V47" s="106"/>
      <c r="W47" s="106" t="s">
        <v>67</v>
      </c>
      <c r="X47" s="106">
        <v>2.5</v>
      </c>
      <c r="Y47" s="106" t="s">
        <v>67</v>
      </c>
      <c r="Z47" s="106">
        <v>46.5</v>
      </c>
      <c r="AA47" s="106">
        <v>222.0</v>
      </c>
      <c r="AB47" s="106">
        <v>370.0</v>
      </c>
      <c r="AC47" s="108" t="b">
        <v>1</v>
      </c>
      <c r="AD47" s="109">
        <f t="shared" si="4"/>
        <v>-9</v>
      </c>
      <c r="AE47" s="110">
        <f t="shared" si="5"/>
        <v>0</v>
      </c>
      <c r="AF47" s="110">
        <f>IFERROR(__xludf.DUMMYFUNCTION("iferror(COUNT(filter($Q48:$Q$400,$Q48:$Q$400&gt;$Q47)))"),80.0)</f>
        <v>80</v>
      </c>
      <c r="AG47" s="111">
        <f t="shared" si="6"/>
        <v>0</v>
      </c>
      <c r="AH47" s="112">
        <f t="shared" si="7"/>
        <v>0</v>
      </c>
      <c r="AI47" s="113" t="str">
        <f>IFERROR(__xludf.DUMMYFUNCTION("iferror(join("","",index(sort(filter($F48:$F$401,$Q48:$Q$401&gt;$Q47),2,false),0,1)))"),"Texas State,Auburn,North Carolina,East Carolina,Washington,Kansas,LSU,Bowling Green,Nebraska,Texas A&amp;M,Jacksonville State,Baylor,Georgia Tech,Central Michigan,South Carolina,Western Michigan,Iowa,Missouri,Minnesota,Hawaii,Florida,Iowa State,Florida Atlant"&amp;"ic,EMU,Oklahoma,Appalachian State,Air Force,TCU,Old Dominion,Akron,Virginia Tech,Florida State,Troy,Cincinnati,UCF,Duke,UConn,Florida Intl,Wyoming,Houston,San Diego State,Coastal Carolina,Virginia,Colorado,Utah State,UAB,Ball State,New Mexico State,NC Sta"&amp;"te,California,Missouri State,Marshall,Michigan State,Pittsburgh,Rutgers,Arkansas State,West Virginia,Vanderbilt,Nevada,Wisconsin,Middle Tennessee,Delaware,New Mexico,UCLA,Kennesaw State,Rice,Temple,Tulsa,Stanford,Syracuse,Wake Forest,Arizona,Maryland,Nort"&amp;"hwestern,Kent State,Washington State,Kentucky,Mississippi State,Southern Mississippi,UL Monroe")</f>
        <v>Texas State,Auburn,North Carolina,East Carolina,Washington,Kansas,LSU,Bowling Green,Nebraska,Texas A&amp;M,Jacksonville State,Baylor,Georgia Tech,Central Michigan,South Carolina,Western Michigan,Iowa,Missouri,Minnesota,Hawaii,Florida,Iowa State,Florida Atlantic,EMU,Oklahoma,Appalachian State,Air Force,TCU,Old Dominion,Akron,Virginia Tech,Florida State,Troy,Cincinnati,UCF,Duke,UConn,Florida Intl,Wyoming,Houston,San Diego State,Coastal Carolina,Virginia,Colorado,Utah State,UAB,Ball State,New Mexico State,NC State,California,Missouri State,Marshall,Michigan State,Pittsburgh,Rutgers,Arkansas State,West Virginia,Vanderbilt,Nevada,Wisconsin,Middle Tennessee,Delaware,New Mexico,UCLA,Kennesaw State,Rice,Temple,Tulsa,Stanford,Syracuse,Wake Forest,Arizona,Maryland,Northwestern,Kent State,Washington State,Kentucky,Mississippi State,Southern Mississippi,UL Monroe</v>
      </c>
      <c r="AJ47" s="114">
        <f>IFERROR(__xludf.DUMMYFUNCTION("iferror($Q47-max(filter($Q47:$Q$400,$E47:$E$400=$E$2)))"),-6.0)</f>
        <v>-6</v>
      </c>
      <c r="AK47" s="110">
        <f t="shared" si="8"/>
        <v>0</v>
      </c>
      <c r="AL47" s="110">
        <f>IFERROR(__xludf.DUMMYFUNCTION("iferror(COUNT(filter($Q48:$Q$400,$Q48:$Q$400&gt;$Q47,$E47:$E$400=$E$2)))"),0.0)</f>
        <v>0</v>
      </c>
      <c r="AM47" s="111">
        <f t="shared" si="9"/>
        <v>0</v>
      </c>
      <c r="AN47" s="110">
        <f>IFERROR(__xludf.DUMMYFUNCTION("iferror($Q47-min(filter($Q47:$Q$400,$E47:$E$400=$E$2)))"),0.0)</f>
        <v>0</v>
      </c>
      <c r="AO47" s="113" t="str">
        <f>IFERROR(__xludf.DUMMYFUNCTION("iferror(join("","",index(sort(filter($F48:$F$400,$Q48:$Q$400&gt;$Q47,$E48:$E$400=$E$2),2,false),0,1)))"),"Washington,Nebraska,Iowa,Minnesota,Michigan State,Rutgers,Wisconsin,UCLA,Maryland,Northwestern")</f>
        <v>Washington,Nebraska,Iowa,Minnesota,Michigan State,Rutgers,Wisconsin,UCLA,Maryland,Northwestern</v>
      </c>
      <c r="AP47" s="113" t="str">
        <f>IFERROR(__xludf.DUMMYFUNCTION("REGEXREPLACE(join("","",unique({let(conf_picked,filter(E$1:E46,D$1:D46=D47), byrow(unique(TRANSPOSe(Teams!$1:$1)),lambda(rw,if(ISERROR(match(rw,conf_picked,0)),rw,))));if(AW47,,transpose(split(AX47,"","",1,1)))})), ""^,"", """")"),"AAC,ACC,,Big Ten,MAC,MWC,Pac12,Sun Belt,zIndependent,Big 12,SEC")</f>
        <v>AAC,ACC,,Big Ten,MAC,MWC,Pac12,Sun Belt,zIndependent,Big 12,SEC</v>
      </c>
      <c r="AQ47" s="114">
        <f>IFERROR(__xludf.DUMMYFUNCTION("iferror($Q47-max(filter($Q47:$Q$400,arrayformula(isnumber(FIND($E47:$E$400,AP47))))))"),-9.0)</f>
        <v>-9</v>
      </c>
      <c r="AR47" s="110">
        <f t="array" ref="AR47">countifs($Q$2:$Q46,"&lt;"&amp;$Q47,isnumber(FIND($E$2:$E46,AP47)),TRUE)</f>
        <v>0</v>
      </c>
      <c r="AS47" s="110">
        <f>IFERROR(__xludf.DUMMYFUNCTION("iferror(COUNT(filter($Q48:$Q$400,$Q48:$Q$400&gt;$Q47,arrayformula(isnumber(FIND($E48:$E$400,AP47))))))"),73.0)</f>
        <v>73</v>
      </c>
      <c r="AT47" s="111">
        <f t="shared" si="10"/>
        <v>0</v>
      </c>
      <c r="AU47" s="110">
        <f>IFERROR(__xludf.DUMMYFUNCTION("iferror($Q47-min(filter($Q47:$Q$400,arrayformula(isnumber(FIND($E47:$E$400,AP47))))))"),2.0)</f>
        <v>2</v>
      </c>
      <c r="AV47" s="113" t="str">
        <f>IFERROR(__xludf.DUMMYFUNCTION("iferror(join("","",index(sort(filter($F48:$F$400,$Q48:$Q$400&gt;$Q47,arrayformula(isnumber(FIND($E48:$E$400,AP47)))),2,false),0,1)))"),"Texas State,Auburn,North Carolina,East Carolina,Washington,Kansas,LSU,Bowling Green,Nebraska,Texas A&amp;M,Baylor,Georgia Tech,Central Michigan,South Carolina,Western Michigan,Iowa,Missouri,Minnesota,Hawaii,Florida,Iowa State,Florida Atlantic,EMU,Oklahoma,App"&amp;"alachian State,Air Force,TCU,Old Dominion,Akron,Virginia Tech,Florida State,Troy,Cincinnati,UCF,Duke,UConn,Wyoming,Houston,San Diego State,Coastal Carolina,Virginia,Colorado,Utah State,UAB,Ball State,NC State,California,Marshall,Michigan State,Pittsburgh,"&amp;"Rutgers,Arkansas State,West Virginia,Vanderbilt,Nevada,Wisconsin,New Mexico,UCLA,Rice,Temple,Tulsa,Stanford,Syracuse,Wake Forest,Arizona,Maryland,Northwestern,Kent State,Washington State,Kentucky,Mississippi State,Southern Mississippi,UL Monroe")</f>
        <v>Texas State,Auburn,North Carolina,East Carolina,Washington,Kansas,LSU,Bowling Green,Nebraska,Texas A&amp;M,Baylor,Georgia Tech,Central Michigan,South Carolina,Western Michigan,Iowa,Missouri,Minnesota,Hawaii,Florida,Iowa State,Florida Atlantic,EMU,Oklahoma,Appalachian State,Air Force,TCU,Old Dominion,Akron,Virginia Tech,Florida State,Troy,Cincinnati,UCF,Duke,UConn,Wyoming,Houston,San Diego State,Coastal Carolina,Virginia,Colorado,Utah State,UAB,Ball State,NC State,California,Marshall,Michigan State,Pittsburgh,Rutgers,Arkansas State,West Virginia,Vanderbilt,Nevada,Wisconsin,New Mexico,UCLA,Rice,Temple,Tulsa,Stanford,Syracuse,Wake Forest,Arizona,Maryland,Northwestern,Kent State,Washington State,Kentucky,Mississippi State,Southern Mississippi,UL Monroe</v>
      </c>
      <c r="AW47" s="113" t="b">
        <f>IFERROR(__xludf.DUMMYFUNCTION("isnumber(find(""wild card"",join("","",filter($G$1:$G46,$D$1:$D46=D47))))"),FALSE)</f>
        <v>0</v>
      </c>
      <c r="AX47" s="113" t="str">
        <f>IFERROR(__xludf.DUMMYFUNCTION("join("","",let(confs,unique(TRANSPOSe(Teams!$1:$1)), confs_count, BYROW(confs,lambda(conf,xlookup(conf,'Conf WC Eligibility'!A:A,'Conf WC Eligibility'!C:C,,))),confs_picked,byrow(confs,lambda(conf,countif(E$1:E46,conf))),p_needs_conf_count,byrow(confs,lam"&amp;"bda(conf,counta('Draft Order'!B$2:B622)-COUNTUNIQUE(filter(D$2:D46,E$2:E46=conf)))),query({confs,confs_count,confs_picked,p_needs_conf_count},""select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">
      <c r="A48" s="1">
        <v>47.0</v>
      </c>
      <c r="B48" s="1">
        <v>4.0</v>
      </c>
      <c r="C48" s="1">
        <v>11.0</v>
      </c>
      <c r="D48" s="115" t="s">
        <v>95</v>
      </c>
      <c r="E48" s="116" t="str">
        <f>if(F48&lt;&gt;"",VLOOKUP(F48,offset('Teams-Conference'!A:B,0,(counta('Draft Order'!B$2:B622)-10)*2),2,0),"")</f>
        <v>Sun Belt</v>
      </c>
      <c r="F48" s="77" t="s">
        <v>221</v>
      </c>
      <c r="G48" s="106" t="str">
        <f t="shared" si="1"/>
        <v>Regular Pick</v>
      </c>
      <c r="H48" s="106">
        <f t="shared" si="31"/>
        <v>0</v>
      </c>
      <c r="I48" s="106">
        <f t="shared" si="32"/>
        <v>0</v>
      </c>
      <c r="J48" s="106">
        <f t="shared" ref="J48:J49" si="33">countif(E38:E47,E48)</f>
        <v>0</v>
      </c>
      <c r="K48" s="106">
        <f t="shared" si="26"/>
        <v>2</v>
      </c>
      <c r="L48" s="106">
        <v>6.0</v>
      </c>
      <c r="M48" s="106">
        <f>IFERROR(__xludf.DUMMYFUNCTION("counta(iferror(filter(L$2:L47,E$2:E47=E48,L$2:L47&lt;L48)))"),1.0)</f>
        <v>1</v>
      </c>
      <c r="N48" s="106">
        <f>IFERROR(__xludf.DUMMYFUNCTION("counta(iferror(filter(L49:L$121,E49:E$121=E48,L49:L$624&gt;L48)))"),0.0)</f>
        <v>0</v>
      </c>
      <c r="O48" s="152"/>
      <c r="P48" s="106" t="b">
        <f>IFERROR(__xludf.DUMMYFUNCTION("if(F48="""","""",let(wc_picked, countifs(E$1:E47,E48,G$1:G47,""This is your wild card pick""), let(spots_filled,counta(unique(filter(D$2:E48,E$2:E48=E48)))/2,let(total,VLOOKUP(E48,'Conf WC Eligibility'!A:C,3,0),if(E48=""zIndependent"", TRUE,total-wc_picke"&amp;"d&gt;12)))))"),TRUE)</f>
        <v>1</v>
      </c>
      <c r="Q48" s="107">
        <f t="array" ref="Q48:AB48">XLOOKUP(F48,'Current Week'!C:C,'Current Week'!D:O)</f>
        <v>6</v>
      </c>
      <c r="R48" s="106">
        <v>6.0</v>
      </c>
      <c r="S48" s="106" t="s">
        <v>557</v>
      </c>
      <c r="T48" s="106" t="s">
        <v>61</v>
      </c>
      <c r="U48" s="106" t="s">
        <v>238</v>
      </c>
      <c r="V48" s="106"/>
      <c r="W48" s="106" t="s">
        <v>67</v>
      </c>
      <c r="X48" s="106">
        <v>-8.5</v>
      </c>
      <c r="Y48" s="106" t="s">
        <v>67</v>
      </c>
      <c r="Z48" s="106">
        <v>62.5</v>
      </c>
      <c r="AA48" s="106">
        <v>433.0</v>
      </c>
      <c r="AB48" s="106">
        <v>367.0</v>
      </c>
      <c r="AC48" s="108" t="b">
        <v>1</v>
      </c>
      <c r="AD48" s="109">
        <f t="shared" si="4"/>
        <v>-5</v>
      </c>
      <c r="AE48" s="110">
        <f t="shared" si="5"/>
        <v>6</v>
      </c>
      <c r="AF48" s="110">
        <f>IFERROR(__xludf.DUMMYFUNCTION("iferror(COUNT(filter($Q49:$Q$400,$Q49:$Q$400&gt;$Q48)))"),35.0)</f>
        <v>35</v>
      </c>
      <c r="AG48" s="111">
        <f t="shared" si="6"/>
        <v>0</v>
      </c>
      <c r="AH48" s="112">
        <f t="shared" si="7"/>
        <v>4</v>
      </c>
      <c r="AI48" s="113" t="str">
        <f>IFERROR(__xludf.DUMMYFUNCTION("iferror(join("","",index(sort(filter($F49:$F$401,$Q49:$Q$401&gt;$Q48),2,false),0,1)))"),"East Carolina,Washington,LSU,Nebraska,Texas A&amp;M,Jacksonville State,Georgia Tech,Central Michigan,Western Michigan,Iowa,Missouri,Minnesota,Hawaii,Iowa State,Oklahoma,TCU,Old Dominion,Troy,Cincinnati,Duke,UConn,Florida Intl,Houston,San Diego State,Virginia,"&amp;"NC State,California,Missouri State,Pittsburgh,Vanderbilt,New Mexico,Kennesaw State,Wake Forest,Arizona,Southern Mississippi")</f>
        <v>East Carolina,Washington,LSU,Nebraska,Texas A&amp;M,Jacksonville State,Georgia Tech,Central Michigan,Western Michigan,Iowa,Missouri,Minnesota,Hawaii,Iowa State,Oklahoma,TCU,Old Dominion,Troy,Cincinnati,Duke,UConn,Florida Intl,Houston,San Diego State,Virginia,NC State,California,Missouri State,Pittsburgh,Vanderbilt,New Mexico,Kennesaw State,Wake Forest,Arizona,Southern Mississippi</v>
      </c>
      <c r="AJ48" s="114">
        <f>IFERROR(__xludf.DUMMYFUNCTION("iferror($Q48-max(filter($Q48:$Q$400,$E48:$E$400=$E$2)))"),-2.0)</f>
        <v>-2</v>
      </c>
      <c r="AK48" s="110">
        <f t="shared" si="8"/>
        <v>0</v>
      </c>
      <c r="AL48" s="110">
        <f>IFERROR(__xludf.DUMMYFUNCTION("iferror(COUNT(filter($Q49:$Q$400,$Q49:$Q$400&gt;$Q48,$E48:$E$400=$E$2)))"),0.0)</f>
        <v>0</v>
      </c>
      <c r="AM48" s="111">
        <f t="shared" si="9"/>
        <v>0</v>
      </c>
      <c r="AN48" s="110">
        <f>IFERROR(__xludf.DUMMYFUNCTION("iferror($Q48-min(filter($Q48:$Q$400,$E48:$E$400=$E$2)))"),4.0)</f>
        <v>4</v>
      </c>
      <c r="AO48" s="113" t="str">
        <f>IFERROR(__xludf.DUMMYFUNCTION("iferror(join("","",index(sort(filter($F49:$F$400,$Q49:$Q$400&gt;$Q48,$E49:$E$400=$E$2),2,false),0,1)))"),"Washington,Nebraska,Iowa,Minnesota")</f>
        <v>Washington,Nebraska,Iowa,Minnesota</v>
      </c>
      <c r="AP48" s="113" t="str">
        <f>IFERROR(__xludf.DUMMYFUNCTION("REGEXREPLACE(join("","",unique({let(conf_picked,filter(E$1:E47,D$1:D47=D48), byrow(unique(TRANSPOSe(Teams!$1:$1)),lambda(rw,if(ISERROR(match(rw,conf_picked,0)),rw,))));if(AW48,,transpose(split(AX48,"","",1,1)))})), ""^,"", """")"),"AAC,ACC,,CUSA,MAC,Pac12,SEC,Sun Belt,zIndependent,Big 12,Big Ten")</f>
        <v>AAC,ACC,,CUSA,MAC,Pac12,SEC,Sun Belt,zIndependent,Big 12,Big Ten</v>
      </c>
      <c r="AQ48" s="114">
        <f>IFERROR(__xludf.DUMMYFUNCTION("iferror($Q48-max(filter($Q48:$Q$400,arrayformula(isnumber(FIND($E48:$E$400,AP48))))))"),-5.0)</f>
        <v>-5</v>
      </c>
      <c r="AR48" s="110">
        <f t="array" ref="AR48">countifs($Q$2:$Q47,"&lt;"&amp;$Q48,isnumber(FIND($E$2:$E47,AP48)),TRUE)</f>
        <v>4</v>
      </c>
      <c r="AS48" s="110">
        <f>IFERROR(__xludf.DUMMYFUNCTION("iferror(COUNT(filter($Q49:$Q$400,$Q49:$Q$400&gt;$Q48,arrayformula(isnumber(FIND($E49:$E$400,AP48))))))"),32.0)</f>
        <v>32</v>
      </c>
      <c r="AT48" s="111">
        <f t="shared" si="10"/>
        <v>0</v>
      </c>
      <c r="AU48" s="110">
        <f>IFERROR(__xludf.DUMMYFUNCTION("iferror($Q48-min(filter($Q48:$Q$400,arrayformula(isnumber(FIND($E48:$E$400,AP48))))))"),6.0)</f>
        <v>6</v>
      </c>
      <c r="AV48" s="113" t="str">
        <f>IFERROR(__xludf.DUMMYFUNCTION("iferror(join("","",index(sort(filter($F49:$F$400,$Q49:$Q$400&gt;$Q48,arrayformula(isnumber(FIND($E49:$E$400,AP48)))),2,false),0,1)))"),"East Carolina,Washington,LSU,Nebraska,Texas A&amp;M,Jacksonville State,Georgia Tech,Central Michigan,Western Michigan,Iowa,Missouri,Minnesota,Iowa State,Oklahoma,TCU,Old Dominion,Troy,Cincinnati,Duke,UConn,Florida Intl,Houston,Virginia,NC State,California,Mis"&amp;"souri State,Pittsburgh,Vanderbilt,Kennesaw State,Wake Forest,Arizona,Southern Mississippi")</f>
        <v>East Carolina,Washington,LSU,Nebraska,Texas A&amp;M,Jacksonville State,Georgia Tech,Central Michigan,Western Michigan,Iowa,Missouri,Minnesota,Iowa State,Oklahoma,TCU,Old Dominion,Troy,Cincinnati,Duke,UConn,Florida Intl,Houston,Virginia,NC State,California,Missouri State,Pittsburgh,Vanderbilt,Kennesaw State,Wake Forest,Arizona,Southern Mississippi</v>
      </c>
      <c r="AW48" s="113" t="b">
        <f>IFERROR(__xludf.DUMMYFUNCTION("isnumber(find(""wild card"",join("","",filter($G$1:$G47,$D$1:$D47=D48))))"),FALSE)</f>
        <v>0</v>
      </c>
      <c r="AX48" s="113" t="str">
        <f>IFERROR(__xludf.DUMMYFUNCTION("join("","",let(confs,unique(TRANSPOSe(Teams!$1:$1)), confs_count, BYROW(confs,lambda(conf,xlookup(conf,'Conf WC Eligibility'!A:A,'Conf WC Eligibility'!C:C,,))),confs_picked,byrow(confs,lambda(conf,countif(E$1:E47,conf))),p_needs_conf_count,byrow(confs,lam"&amp;"bda(conf,counta('Draft Order'!B$2:B622)-COUNTUNIQUE(filter(D$2:D47,E$2:E47=conf)))),query({confs,confs_count,confs_picked,p_needs_conf_count},""select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">
      <c r="A49" s="1">
        <v>48.0</v>
      </c>
      <c r="B49" s="1">
        <v>4.0</v>
      </c>
      <c r="C49" s="1">
        <v>12.0</v>
      </c>
      <c r="D49" s="115" t="s">
        <v>43</v>
      </c>
      <c r="E49" t="str">
        <f>if(F49&lt;&gt;"",VLOOKUP(F49,offset('Teams-Conference'!A:B,0,(counta('Draft Order'!B$2:B622)-10)*2),2,0),"")</f>
        <v>SEC</v>
      </c>
      <c r="F49" s="77" t="s">
        <v>45</v>
      </c>
      <c r="G49" s="106" t="str">
        <f t="shared" si="1"/>
        <v>Regular Pick</v>
      </c>
      <c r="H49" s="106">
        <f t="shared" si="31"/>
        <v>2</v>
      </c>
      <c r="I49" s="106">
        <f t="shared" si="32"/>
        <v>5</v>
      </c>
      <c r="J49" s="106">
        <f t="shared" si="33"/>
        <v>2</v>
      </c>
      <c r="K49" s="106">
        <f t="shared" si="26"/>
        <v>1</v>
      </c>
      <c r="L49" s="106">
        <v>5.0</v>
      </c>
      <c r="M49" s="106">
        <f>IFERROR(__xludf.DUMMYFUNCTION("counta(iferror(filter(L$2:L48,E$2:E48=E49,L$2:L48&lt;L49)))"),0.0)</f>
        <v>0</v>
      </c>
      <c r="N49" s="106">
        <f>IFERROR(__xludf.DUMMYFUNCTION("counta(iferror(filter(L50:L$121,E50:E$121=E49,L50:L$624&gt;L49)))"),0.0)</f>
        <v>0</v>
      </c>
      <c r="O49" s="152"/>
      <c r="P49" s="106" t="b">
        <f>IFERROR(__xludf.DUMMYFUNCTION("if(F49="""","""",let(wc_picked, countifs(E$1:E48,E49,G$1:G48,""This is your wild card pick""), let(spots_filled,counta(unique(filter(D$2:E49,E$2:E49=E49)))/2,let(total,VLOOKUP(E49,'Conf WC Eligibility'!A:C,3,0),if(E49=""zIndependent"", TRUE,total-wc_picke"&amp;"d&gt;12)))))"),TRUE)</f>
        <v>1</v>
      </c>
      <c r="Q49" s="107">
        <f t="array" ref="Q49:AB49">XLOOKUP(F49,'Current Week'!C:C,'Current Week'!D:O)</f>
        <v>5</v>
      </c>
      <c r="R49" s="106">
        <v>7.0</v>
      </c>
      <c r="S49" s="106" t="s">
        <v>57</v>
      </c>
      <c r="T49" s="106" t="s">
        <v>61</v>
      </c>
      <c r="U49" s="106" t="s">
        <v>62</v>
      </c>
      <c r="V49" s="106"/>
      <c r="W49" s="106" t="s">
        <v>67</v>
      </c>
      <c r="X49" s="106">
        <v>5.5</v>
      </c>
      <c r="Y49" s="106" t="s">
        <v>67</v>
      </c>
      <c r="Z49" s="106">
        <v>46.5</v>
      </c>
      <c r="AA49" s="106">
        <v>321.0</v>
      </c>
      <c r="AB49" s="106">
        <v>248.0</v>
      </c>
      <c r="AC49" s="108" t="b">
        <v>1</v>
      </c>
      <c r="AD49" s="109">
        <f t="shared" si="4"/>
        <v>-6</v>
      </c>
      <c r="AE49" s="110">
        <f t="shared" si="5"/>
        <v>5</v>
      </c>
      <c r="AF49" s="110">
        <f>IFERROR(__xludf.DUMMYFUNCTION("iferror(COUNT(filter($Q50:$Q$400,$Q50:$Q$400&gt;$Q49)))"),41.0)</f>
        <v>41</v>
      </c>
      <c r="AG49" s="111">
        <f t="shared" si="6"/>
        <v>0</v>
      </c>
      <c r="AH49" s="112">
        <f t="shared" si="7"/>
        <v>3</v>
      </c>
      <c r="AI49" s="113" t="str">
        <f>IFERROR(__xludf.DUMMYFUNCTION("iferror(join("","",index(sort(filter($F50:$F$401,$Q50:$Q$401&gt;$Q49),2,false),0,1)))"),"East Carolina,Washington,LSU,Nebraska,Texas A&amp;M,Jacksonville State,Georgia Tech,Central Michigan,Western Michigan,Iowa,Missouri,Minnesota,Hawaii,Iowa State,Oklahoma,TCU,Old Dominion,Troy,Cincinnati,Duke,UConn,Florida Intl,Houston,San Diego State,Coastal C"&amp;"arolina,Virginia,Utah State,NC State,California,Missouri State,Pittsburgh,Arkansas State,Vanderbilt,Delaware,New Mexico,Kennesaw State,Wake Forest,Arizona,Northwestern,Washington State,Southern Mississippi")</f>
        <v>East Carolina,Washington,LSU,Nebraska,Texas A&amp;M,Jacksonville State,Georgia Tech,Central Michigan,Western Michigan,Iowa,Missouri,Minnesota,Hawaii,Iowa State,Oklahoma,TCU,Old Dominion,Troy,Cincinnati,Duke,UConn,Florida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J49" s="114">
        <f>IFERROR(__xludf.DUMMYFUNCTION("iferror($Q49-max(filter($Q49:$Q$400,$E49:$E$400=$E$2)))"),-3.0)</f>
        <v>-3</v>
      </c>
      <c r="AK49" s="110">
        <f t="shared" si="8"/>
        <v>0</v>
      </c>
      <c r="AL49" s="110">
        <f>IFERROR(__xludf.DUMMYFUNCTION("iferror(COUNT(filter($Q50:$Q$400,$Q50:$Q$400&gt;$Q49,$E49:$E$400=$E$2)))"),0.0)</f>
        <v>0</v>
      </c>
      <c r="AM49" s="111">
        <f t="shared" si="9"/>
        <v>0</v>
      </c>
      <c r="AN49" s="110">
        <f>IFERROR(__xludf.DUMMYFUNCTION("iferror($Q49-min(filter($Q49:$Q$400,$E49:$E$400=$E$2)))"),3.0)</f>
        <v>3</v>
      </c>
      <c r="AO49" s="113" t="str">
        <f>IFERROR(__xludf.DUMMYFUNCTION("iferror(join("","",index(sort(filter($F50:$F$400,$Q50:$Q$400&gt;$Q49,$E50:$E$400=$E$2),2,false),0,1)))"),"Washington,Nebraska,Iowa,Minnesota,Northwestern")</f>
        <v>Washington,Nebraska,Iowa,Minnesota,Northwestern</v>
      </c>
      <c r="AP49" s="113" t="str">
        <f>IFERROR(__xludf.DUMMYFUNCTION("REGEXREPLACE(join("","",unique({let(conf_picked,filter(E$1:E48,D$1:D48=D49), byrow(unique(TRANSPOSe(Teams!$1:$1)),lambda(rw,if(ISERROR(match(rw,conf_picked,0)),rw,))));if(AW49,,transpose(split(AX49,"","",1,1)))})), ""^,"", """")"),"AAC,ACC,,CUSA,MAC,MWC,Pac12,SEC,Sun Belt,zIndependent")</f>
        <v>AAC,ACC,,CUSA,MAC,MWC,Pac12,SEC,Sun Belt,zIndependent</v>
      </c>
      <c r="AQ49" s="114">
        <f>IFERROR(__xludf.DUMMYFUNCTION("iferror($Q49-max(filter($Q49:$Q$400,arrayformula(isnumber(FIND($E49:$E$400,AP49))))))"),-6.0)</f>
        <v>-6</v>
      </c>
      <c r="AR49" s="110">
        <f t="array" ref="AR49">countifs($Q$2:$Q48,"&lt;"&amp;$Q49,isnumber(FIND($E$2:$E48,AP49)),TRUE)</f>
        <v>5</v>
      </c>
      <c r="AS49" s="110">
        <f>IFERROR(__xludf.DUMMYFUNCTION("iferror(COUNT(filter($Q50:$Q$400,$Q50:$Q$400&gt;$Q49,arrayformula(isnumber(FIND($E50:$E$400,AP49))))))"),31.0)</f>
        <v>31</v>
      </c>
      <c r="AT49" s="111">
        <f t="shared" si="10"/>
        <v>0</v>
      </c>
      <c r="AU49" s="110">
        <f>IFERROR(__xludf.DUMMYFUNCTION("iferror($Q49-min(filter($Q49:$Q$400,arrayformula(isnumber(FIND($E49:$E$400,AP49))))))"),5.0)</f>
        <v>5</v>
      </c>
      <c r="AV49" s="113" t="str">
        <f>IFERROR(__xludf.DUMMYFUNCTION("iferror(join("","",index(sort(filter($F50:$F$400,$Q50:$Q$400&gt;$Q49,arrayformula(isnumber(FIND($E50:$E$400,AP49)))),2,false),0,1)))"),"East Carolina,LSU,Texas A&amp;M,Jacksonville State,Georgia Tech,Central Michigan,Western Michigan,Missouri,Hawaii,Oklahoma,Old Dominion,Troy,Duke,UConn,Florida Intl,San Diego State,Coastal Carolina,Virginia,Utah State,NC State,California,Missouri State,Pittsb"&amp;"urgh,Arkansas State,Vanderbilt,Delaware,New Mexico,Kennesaw State,Wake Forest,Washington State,Southern Mississippi")</f>
        <v>East Carolina,LSU,Texas A&amp;M,Jacksonville State,Georgia Tech,Central Michigan,Western Michigan,Missouri,Hawaii,Oklahoma,Old Dominion,Troy,Duke,UConn,Florida Intl,San Diego State,Coastal Carolina,Virginia,Utah State,NC State,California,Missouri State,Pittsburgh,Arkansas State,Vanderbilt,Delaware,New Mexico,Kennesaw State,Wake Forest,Washington State,Southern Mississippi</v>
      </c>
      <c r="AW49" s="113" t="b">
        <f>IFERROR(__xludf.DUMMYFUNCTION("isnumber(find(""wild card"",join("","",filter($G$1:$G48,$D$1:$D48=D49))))"),TRUE)</f>
        <v>1</v>
      </c>
      <c r="AX49" s="113" t="str">
        <f>IFERROR(__xludf.DUMMYFUNCTION("join("","",let(confs,unique(TRANSPOSe(Teams!$1:$1)), confs_count, BYROW(confs,lambda(conf,xlookup(conf,'Conf WC Eligibility'!A:A,'Conf WC Eligibility'!C:C,,))),confs_picked,byrow(confs,lambda(conf,countif(E$1:E48,conf))),p_needs_conf_count,byrow(confs,lam"&amp;"bda(conf,counta('Draft Order'!B$2:B622)-COUNTUNIQUE(filter(D$2:D48,E$2:E48=conf)))),query({confs,confs_count,confs_picked,p_needs_conf_count},""select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">
      <c r="A50" s="101">
        <v>49.0</v>
      </c>
      <c r="B50" s="101">
        <v>5.0</v>
      </c>
      <c r="C50" s="101">
        <v>1.0</v>
      </c>
      <c r="D50" s="103" t="str">
        <f t="array" ref="D50:D61">index(sort('Draft Order'!$A$2:$B$13,1,1),0,2)</f>
        <v>Nick G.</v>
      </c>
      <c r="E50" s="104" t="str">
        <f>if(F50&lt;&gt;"",VLOOKUP(F50,offset('Teams-Conference'!A:B,0,(counta('Draft Order'!B$2:B622)-10)*2),2,0),"")</f>
        <v>ACC</v>
      </c>
      <c r="F50" s="105" t="s">
        <v>118</v>
      </c>
      <c r="G50" s="106" t="str">
        <f t="shared" si="1"/>
        <v>Regular Pick</v>
      </c>
      <c r="H50" s="106">
        <f t="shared" ref="H50:H51" si="34">countif(E51:E60,E50)</f>
        <v>1</v>
      </c>
      <c r="I50" s="106">
        <f t="shared" ref="I50:I52" si="35">countif(E51:E71,E50)</f>
        <v>1</v>
      </c>
      <c r="J50" s="106">
        <f t="shared" ref="J50:J59" si="36">countif(E41:E49,E50)</f>
        <v>0</v>
      </c>
      <c r="K50" s="106">
        <f t="shared" si="26"/>
        <v>3</v>
      </c>
      <c r="L50" s="106">
        <v>4.0</v>
      </c>
      <c r="M50" s="106">
        <f>IFERROR(__xludf.DUMMYFUNCTION("counta(iferror(filter(L$2:L49,E$2:E49=E50,L$2:L49&lt;L50)))"),0.0)</f>
        <v>0</v>
      </c>
      <c r="N50" s="106">
        <f>IFERROR(__xludf.DUMMYFUNCTION("counta(iferror(filter(L51:L$121,E51:E$121=E50,L51:L$624&gt;L50)))"),0.0)</f>
        <v>0</v>
      </c>
      <c r="O50" s="152"/>
      <c r="P50" s="106" t="b">
        <f>IFERROR(__xludf.DUMMYFUNCTION("if(F50="""","""",let(wc_picked, countifs(E$1:E49,E50,G$1:G49,""This is your wild card pick""), let(spots_filled,counta(unique(filter(D$2:E50,E$2:E50=E50)))/2,let(total,VLOOKUP(E50,'Conf WC Eligibility'!A:C,3,0),if(E50=""zIndependent"", TRUE,total-wc_picke"&amp;"d&gt;12)))))"),TRUE)</f>
        <v>1</v>
      </c>
      <c r="Q50" s="107">
        <f t="array" ref="Q50:AB50">XLOOKUP(F50,'Current Week'!C:C,'Current Week'!D:O)</f>
        <v>4</v>
      </c>
      <c r="R50" s="106">
        <v>8.0</v>
      </c>
      <c r="S50" s="106" t="s">
        <v>273</v>
      </c>
      <c r="T50" s="106" t="s">
        <v>61</v>
      </c>
      <c r="U50" s="106" t="s">
        <v>95</v>
      </c>
      <c r="V50" s="106"/>
      <c r="W50" s="106" t="s">
        <v>67</v>
      </c>
      <c r="X50" s="106">
        <v>7.5</v>
      </c>
      <c r="Y50" s="106" t="s">
        <v>67</v>
      </c>
      <c r="Z50" s="106">
        <v>47.5</v>
      </c>
      <c r="AA50" s="106">
        <v>231.0</v>
      </c>
      <c r="AB50" s="106">
        <v>294.0</v>
      </c>
      <c r="AC50" s="108" t="b">
        <v>1</v>
      </c>
      <c r="AD50" s="109">
        <f t="shared" si="4"/>
        <v>-7</v>
      </c>
      <c r="AE50" s="110">
        <f t="shared" si="5"/>
        <v>3</v>
      </c>
      <c r="AF50" s="110">
        <f>IFERROR(__xludf.DUMMYFUNCTION("iferror(COUNT(filter($Q51:$Q$400,$Q51:$Q$400&gt;$Q50)))"),54.0)</f>
        <v>54</v>
      </c>
      <c r="AG50" s="111">
        <f t="shared" si="6"/>
        <v>0</v>
      </c>
      <c r="AH50" s="112">
        <f t="shared" si="7"/>
        <v>2</v>
      </c>
      <c r="AI50" s="113" t="str">
        <f>IFERROR(__xludf.DUMMYFUNCTION("iferror(join("","",index(sort(filter($F51:$F$401,$Q51:$Q$401&gt;$Q50),2,false),0,1)))"),"East Carolina,Washington,Kansas,LSU,Nebraska,Texas A&amp;M,Jacksonville State,Baylor,Georgia Tech,Central Michigan,Western Michigan,Iowa,Missouri,Minnesota,Hawaii,Iowa State,Oklahoma,Appalachian State,TCU,Old Dominion,Akron,Florida State,Troy,Cincinnati,UCF,D"&amp;"uke,UConn,Florida Intl,Houston,San Diego State,Coastal Carolina,Virginia,Utah State,NC State,California,Missouri State,Marshall,Pittsburgh,Rutgers,Arkansas State,Vanderbilt,Delaware,New Mexico,Kennesaw State,Rice,Temple,Wake Forest,Arizona,Northwestern,Ke"&amp;"nt State,Washington State,Kentucky,Mississippi State,Southern Mississippi")</f>
        <v>East Carolina,Washington,Kansas,LSU,Nebraska,Texas A&amp;M,Jacksonville State,Baylor,Georgia Tech,Central Michigan,Western Michigan,Iowa,Missouri,Minnesota,Hawaii,Iowa State,Oklahoma,Appalachian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J50" s="114">
        <f>IFERROR(__xludf.DUMMYFUNCTION("iferror($Q50-max(filter($Q50:$Q$400,$E50:$E$400=$E$2)))"),-4.0)</f>
        <v>-4</v>
      </c>
      <c r="AK50" s="110">
        <f t="shared" si="8"/>
        <v>0</v>
      </c>
      <c r="AL50" s="110">
        <f>IFERROR(__xludf.DUMMYFUNCTION("iferror(COUNT(filter($Q51:$Q$400,$Q51:$Q$400&gt;$Q50,$E50:$E$400=$E$2)))"),0.0)</f>
        <v>0</v>
      </c>
      <c r="AM50" s="111">
        <f t="shared" si="9"/>
        <v>0</v>
      </c>
      <c r="AN50" s="110">
        <f>IFERROR(__xludf.DUMMYFUNCTION("iferror($Q50-min(filter($Q50:$Q$400,$E50:$E$400=$E$2)))"),2.0)</f>
        <v>2</v>
      </c>
      <c r="AO50" s="113" t="str">
        <f>IFERROR(__xludf.DUMMYFUNCTION("iferror(join("","",index(sort(filter($F51:$F$400,$Q51:$Q$400&gt;$Q50,$E51:$E$400=$E$2),2,false),0,1)))"),"Washington,Nebraska,Iowa,Minnesota,Rutgers,Northwestern")</f>
        <v>Washington,Nebraska,Iowa,Minnesota,Rutgers,Northwestern</v>
      </c>
      <c r="AP50" s="113" t="str">
        <f>IFERROR(__xludf.DUMMYFUNCTION("REGEXREPLACE(join("","",unique({let(conf_picked,filter(E$1:E49,D$1:D49=D50), byrow(unique(TRANSPOSe(Teams!$1:$1)),lambda(rw,if(ISERROR(match(rw,conf_picked,0)),rw,))));if(AW50,,transpose(split(AX50,"","",1,1)))})), ""^,"", """")"),"AAC,ACC,,CUSA,MAC,MWC,Pac12,Sun Belt,zIndependent")</f>
        <v>AAC,ACC,,CUSA,MAC,MWC,Pac12,Sun Belt,zIndependent</v>
      </c>
      <c r="AQ50" s="114">
        <f>IFERROR(__xludf.DUMMYFUNCTION("iferror($Q50-max(filter($Q50:$Q$400,arrayformula(isnumber(FIND($E50:$E$400,AP50))))))"),-6.0)</f>
        <v>-6</v>
      </c>
      <c r="AR50" s="110">
        <f t="array" ref="AR50">countifs($Q$2:$Q49,"&lt;"&amp;$Q50,isnumber(FIND($E$2:$E49,AP50)),TRUE)</f>
        <v>3</v>
      </c>
      <c r="AS50" s="110">
        <f>IFERROR(__xludf.DUMMYFUNCTION("iferror(COUNT(filter($Q51:$Q$400,$Q51:$Q$400&gt;$Q50,arrayformula(isnumber(FIND($E51:$E$400,AP50))))))"),33.0)</f>
        <v>33</v>
      </c>
      <c r="AT50" s="111">
        <f t="shared" si="10"/>
        <v>0</v>
      </c>
      <c r="AU50" s="110">
        <f>IFERROR(__xludf.DUMMYFUNCTION("iferror($Q50-min(filter($Q50:$Q$400,arrayformula(isnumber(FIND($E50:$E$400,AP50))))))"),4.0)</f>
        <v>4</v>
      </c>
      <c r="AV50" s="113" t="str">
        <f>IFERROR(__xludf.DUMMYFUNCTION("iferror(join("","",index(sort(filter($F51:$F$400,$Q51:$Q$400&gt;$Q50,arrayformula(isnumber(FIND($E51:$E$400,AP50)))),2,false),0,1)))"),"East Carolina,Jacksonville State,Georgia Tech,Central Michigan,Western Michigan,Hawaii,Appalachian State,Old Dominion,Akron,Florida State,Troy,Duke,UConn,Florida Intl,San Diego State,Coastal Carolina,Virginia,Utah State,NC State,California,Missouri State,"&amp;"Marshall,Pittsburgh,Arkansas State,Delaware,New Mexico,Kennesaw State,Rice,Temple,Wake Forest,Kent State,Washington State,Southern Mississippi")</f>
        <v>East Carolina,Jacksonville State,Georgia Tech,Central Michigan,Western Michigan,Hawaii,Appalachian State,Old Dominion,Akron,Florida State,Troy,Duke,UConn,Florida Intl,San Diego State,Coastal Carolina,Virginia,Utah State,NC State,California,Missouri State,Marshall,Pittsburgh,Arkansas State,Delaware,New Mexico,Kennesaw State,Rice,Temple,Wake Forest,Kent State,Washington State,Southern Mississippi</v>
      </c>
      <c r="AW50" s="113" t="b">
        <f>IFERROR(__xludf.DUMMYFUNCTION("isnumber(find(""wild card"",join("","",filter($G$1:$G49,$D$1:$D49=D50))))"),TRUE)</f>
        <v>1</v>
      </c>
      <c r="AX50" s="113" t="str">
        <f>IFERROR(__xludf.DUMMYFUNCTION("join("","",let(confs,unique(TRANSPOSe(Teams!$1:$1)), confs_count, BYROW(confs,lambda(conf,xlookup(conf,'Conf WC Eligibility'!A:A,'Conf WC Eligibility'!C:C,,))),confs_picked,byrow(confs,lambda(conf,countif(E$1:E49,conf))),p_needs_conf_count,byrow(confs,lam"&amp;"bda(conf,counta('Draft Order'!B$2:B622)-COUNTUNIQUE(filter(D$2:D49,E$2:E49=conf)))),query({confs,confs_count,confs_picked,p_needs_conf_count},""select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">
      <c r="A51" s="1">
        <v>50.0</v>
      </c>
      <c r="B51" s="1">
        <v>5.0</v>
      </c>
      <c r="C51" s="1">
        <v>2.0</v>
      </c>
      <c r="D51" s="115" t="s">
        <v>95</v>
      </c>
      <c r="E51" s="116" t="str">
        <f>if(F51&lt;&gt;"",VLOOKUP(F51,offset('Teams-Conference'!A:B,0,(counta('Draft Order'!B$2:B622)-10)*2),2,0),"")</f>
        <v>AAC</v>
      </c>
      <c r="F51" s="117" t="s">
        <v>100</v>
      </c>
      <c r="G51" s="106" t="str">
        <f t="shared" si="1"/>
        <v>Regular Pick</v>
      </c>
      <c r="H51" s="106">
        <f t="shared" si="34"/>
        <v>0</v>
      </c>
      <c r="I51" s="106">
        <f t="shared" si="35"/>
        <v>1</v>
      </c>
      <c r="J51" s="106">
        <f t="shared" si="36"/>
        <v>1</v>
      </c>
      <c r="K51" s="106">
        <f>countif(E34:E51,E52)</f>
        <v>2</v>
      </c>
      <c r="L51" s="106">
        <v>8.0</v>
      </c>
      <c r="M51" s="106">
        <f>IFERROR(__xludf.DUMMYFUNCTION("counta(iferror(filter(L$2:L50,E$2:E50=E51,L$2:L50&lt;L51)))"),2.0)</f>
        <v>2</v>
      </c>
      <c r="N51" s="106">
        <f>IFERROR(__xludf.DUMMYFUNCTION("counta(iferror(filter(L52:L$121,E52:E$121=E51,L52:L$624&gt;L51)))"),0.0)</f>
        <v>0</v>
      </c>
      <c r="O51" s="152"/>
      <c r="P51" s="106" t="b">
        <f>IFERROR(__xludf.DUMMYFUNCTION("if(F51="""","""",let(wc_picked, countifs(E$1:E50,E51,G$1:G50,""This is your wild card pick""), let(spots_filled,counta(unique(filter(D$2:E51,E$2:E51=E51)))/2,let(total,VLOOKUP(E51,'Conf WC Eligibility'!A:C,3,0),if(E51=""zIndependent"", TRUE,total-wc_picke"&amp;"d&gt;12)))))"),TRUE)</f>
        <v>1</v>
      </c>
      <c r="Q51" s="107">
        <f t="array" ref="Q51:AB51">XLOOKUP(F51,'Current Week'!C:C,'Current Week'!D:O)</f>
        <v>8</v>
      </c>
      <c r="R51" s="106">
        <v>4.0</v>
      </c>
      <c r="S51" s="106" t="s">
        <v>564</v>
      </c>
      <c r="T51" s="106" t="s">
        <v>61</v>
      </c>
      <c r="U51" s="106" t="s">
        <v>193</v>
      </c>
      <c r="V51" s="106"/>
      <c r="W51" s="106" t="s">
        <v>67</v>
      </c>
      <c r="X51" s="106">
        <v>-6.5</v>
      </c>
      <c r="Y51" s="106" t="s">
        <v>67</v>
      </c>
      <c r="Z51" s="106">
        <v>65.5</v>
      </c>
      <c r="AA51" s="106">
        <v>402.0</v>
      </c>
      <c r="AB51" s="106">
        <v>244.0</v>
      </c>
      <c r="AC51" s="108" t="b">
        <v>1</v>
      </c>
      <c r="AD51" s="109">
        <f t="shared" si="4"/>
        <v>-3</v>
      </c>
      <c r="AE51" s="110">
        <f t="shared" si="5"/>
        <v>19</v>
      </c>
      <c r="AF51" s="110">
        <f>IFERROR(__xludf.DUMMYFUNCTION("iferror(COUNT(filter($Q52:$Q$400,$Q52:$Q$400&gt;$Q51)))"),12.0)</f>
        <v>12</v>
      </c>
      <c r="AG51" s="111">
        <f t="shared" si="6"/>
        <v>0</v>
      </c>
      <c r="AH51" s="112">
        <f t="shared" si="7"/>
        <v>6</v>
      </c>
      <c r="AI51" s="113" t="str">
        <f>IFERROR(__xludf.DUMMYFUNCTION("iferror(join("","",index(sort(filter($F52:$F$401,$Q52:$Q$401&gt;$Q51),2,false),0,1)))"),"Texas A&amp;M,Georgia Tech,Oklahoma,Old Dominion,UConn,Houston,San Diego State,Virginia,Vanderbilt,New Mexico,Kennesaw State,Arizona")</f>
        <v>Texas A&amp;M,Georgia Tech,Oklahoma,Old Dominion,UConn,Houston,San Diego State,Virginia,Vanderbilt,New Mexico,Kennesaw State,Arizona</v>
      </c>
      <c r="AJ51" s="114">
        <f>IFERROR(__xludf.DUMMYFUNCTION("iferror($Q51-max(filter($Q51:$Q$400,$E51:$E$400=$E$2)))"),0.0)</f>
        <v>0</v>
      </c>
      <c r="AK51" s="110">
        <f t="shared" si="8"/>
        <v>1</v>
      </c>
      <c r="AL51" s="110">
        <f>IFERROR(__xludf.DUMMYFUNCTION("iferror(COUNT(filter($Q52:$Q$400,$Q52:$Q$400&gt;$Q51,$E51:$E$400=$E$2)))"),0.0)</f>
        <v>0</v>
      </c>
      <c r="AM51" s="111">
        <f t="shared" si="9"/>
        <v>1</v>
      </c>
      <c r="AN51" s="110">
        <f>IFERROR(__xludf.DUMMYFUNCTION("iferror($Q51-min(filter($Q51:$Q$400,$E51:$E$400=$E$2)))"),6.0)</f>
        <v>6</v>
      </c>
      <c r="AO51" s="113" t="str">
        <f>IFERROR(__xludf.DUMMYFUNCTION("iferror(join("","",index(sort(filter($F52:$F$400,$Q52:$Q$400&gt;$Q51,$E52:$E$400=$E$2),2,false),0,1)))"),"")</f>
        <v/>
      </c>
      <c r="AP51" s="113" t="str">
        <f>IFERROR(__xludf.DUMMYFUNCTION("REGEXREPLACE(join("","",unique({let(conf_picked,filter(E$1:E50,D$1:D50=D51), byrow(unique(TRANSPOSe(Teams!$1:$1)),lambda(rw,if(ISERROR(match(rw,conf_picked,0)),rw,))));if(AW51,,transpose(split(AX51,"","",1,1)))})), ""^,"", """")"),"AAC,ACC,,CUSA,MAC,Pac12,SEC,zIndependent,Big 12,Big Ten,Sun Belt")</f>
        <v>AAC,ACC,,CUSA,MAC,Pac12,SEC,zIndependent,Big 12,Big Ten,Sun Belt</v>
      </c>
      <c r="AQ51" s="114">
        <f>IFERROR(__xludf.DUMMYFUNCTION("iferror($Q51-max(filter($Q51:$Q$400,arrayformula(isnumber(FIND($E51:$E$400,AP51))))))"),-3.0)</f>
        <v>-3</v>
      </c>
      <c r="AR51" s="110">
        <f t="array" ref="AR51">countifs($Q$2:$Q50,"&lt;"&amp;$Q51,isnumber(FIND($E$2:$E50,AP51)),TRUE)</f>
        <v>17</v>
      </c>
      <c r="AS51" s="110">
        <f>IFERROR(__xludf.DUMMYFUNCTION("iferror(COUNT(filter($Q52:$Q$400,$Q52:$Q$400&gt;$Q51,arrayformula(isnumber(FIND($E52:$E$400,AP51))))))"),10.0)</f>
        <v>10</v>
      </c>
      <c r="AT51" s="111">
        <f t="shared" si="10"/>
        <v>0</v>
      </c>
      <c r="AU51" s="110">
        <f>IFERROR(__xludf.DUMMYFUNCTION("iferror($Q51-min(filter($Q51:$Q$400,arrayformula(isnumber(FIND($E51:$E$400,AP51))))))"),8.0)</f>
        <v>8</v>
      </c>
      <c r="AV51" s="113" t="str">
        <f>IFERROR(__xludf.DUMMYFUNCTION("iferror(join("","",index(sort(filter($F52:$F$400,$Q52:$Q$400&gt;$Q51,arrayformula(isnumber(FIND($E52:$E$400,AP51)))),2,false),0,1)))"),"Texas A&amp;M,Georgia Tech,Oklahoma,Old Dominion,UConn,Houston,Virginia,Vanderbilt,Kennesaw State,Arizona")</f>
        <v>Texas A&amp;M,Georgia Tech,Oklahoma,Old Dominion,UConn,Houston,Virginia,Vanderbilt,Kennesaw State,Arizona</v>
      </c>
      <c r="AW51" s="113" t="b">
        <f>IFERROR(__xludf.DUMMYFUNCTION("isnumber(find(""wild card"",join("","",filter($G$1:$G50,$D$1:$D50=D51))))"),FALSE)</f>
        <v>0</v>
      </c>
      <c r="AX51" s="113" t="str">
        <f>IFERROR(__xludf.DUMMYFUNCTION("join("","",let(confs,unique(TRANSPOSe(Teams!$1:$1)), confs_count, BYROW(confs,lambda(conf,xlookup(conf,'Conf WC Eligibility'!A:A,'Conf WC Eligibility'!C:C,,))),confs_picked,byrow(confs,lambda(conf,countif(E$1:E50,conf))),p_needs_conf_count,byrow(confs,lam"&amp;"bda(conf,counta('Draft Order'!B$2:B622)-COUNTUNIQUE(filter(D$2:D50,E$2:E50=conf)))),query({confs,confs_count,confs_picked,p_needs_conf_count},""select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">
      <c r="A52" s="1">
        <v>51.0</v>
      </c>
      <c r="B52" s="1">
        <v>5.0</v>
      </c>
      <c r="C52" s="1">
        <v>3.0</v>
      </c>
      <c r="D52" s="118" t="s">
        <v>62</v>
      </c>
      <c r="E52" s="116" t="str">
        <f>if(F52&lt;&gt;"",VLOOKUP(F52,offset('Teams-Conference'!A:B,0,(counta('Draft Order'!B$2:B622)-10)*2),2,0),"")</f>
        <v>Big Ten</v>
      </c>
      <c r="F52" s="117" t="s">
        <v>199</v>
      </c>
      <c r="G52" s="106" t="str">
        <f t="shared" si="1"/>
        <v>Regular Pick</v>
      </c>
      <c r="H52" s="106">
        <f t="shared" ref="H52:H61" si="37">countif(E53:E61,E52)</f>
        <v>1</v>
      </c>
      <c r="I52" s="106">
        <f t="shared" si="35"/>
        <v>3</v>
      </c>
      <c r="J52" s="106">
        <f t="shared" si="36"/>
        <v>0</v>
      </c>
      <c r="K52" s="106">
        <f>countif(E33:E52,E53)</f>
        <v>1</v>
      </c>
      <c r="L52" s="106">
        <v>8.0</v>
      </c>
      <c r="M52" s="106">
        <f>IFERROR(__xludf.DUMMYFUNCTION("counta(iferror(filter(L$2:L51,E$2:E51=E52,L$2:L51&lt;L52)))"),1.0)</f>
        <v>1</v>
      </c>
      <c r="N52" s="106">
        <f>IFERROR(__xludf.DUMMYFUNCTION("counta(iferror(filter(L53:L$121,E53:E$121=E52,L53:L$624&gt;L52)))"),0.0)</f>
        <v>0</v>
      </c>
      <c r="O52" s="152"/>
      <c r="P52" s="106" t="b">
        <f>IFERROR(__xludf.DUMMYFUNCTION("if(F52="""","""",let(wc_picked, countifs(E$1:E51,E52,G$1:G51,""This is your wild card pick""), let(spots_filled,counta(unique(filter(D$2:E52,E$2:E52=E52)))/2,let(total,VLOOKUP(E52,'Conf WC Eligibility'!A:C,3,0),if(E52=""zIndependent"", TRUE,total-wc_picke"&amp;"d&gt;12)))))"),TRUE)</f>
        <v>1</v>
      </c>
      <c r="Q52" s="107">
        <f t="array" ref="Q52:AB52">XLOOKUP(F52,'Current Week'!C:C,'Current Week'!D:O)</f>
        <v>8</v>
      </c>
      <c r="R52" s="106">
        <v>4.0</v>
      </c>
      <c r="S52" s="106" t="s">
        <v>628</v>
      </c>
      <c r="T52" s="106" t="s">
        <v>61</v>
      </c>
      <c r="U52" s="106" t="s">
        <v>311</v>
      </c>
      <c r="V52" s="106"/>
      <c r="W52" s="106" t="s">
        <v>67</v>
      </c>
      <c r="X52" s="106">
        <v>7.0</v>
      </c>
      <c r="Y52" s="106" t="s">
        <v>67</v>
      </c>
      <c r="Z52" s="106">
        <v>51.5</v>
      </c>
      <c r="AA52" s="106">
        <v>405.0</v>
      </c>
      <c r="AB52" s="106">
        <v>233.0</v>
      </c>
      <c r="AC52" s="108" t="b">
        <v>1</v>
      </c>
      <c r="AD52" s="109">
        <f t="shared" si="4"/>
        <v>-3</v>
      </c>
      <c r="AE52" s="110">
        <f t="shared" si="5"/>
        <v>19</v>
      </c>
      <c r="AF52" s="110">
        <f>IFERROR(__xludf.DUMMYFUNCTION("iferror(COUNT(filter($Q53:$Q$400,$Q53:$Q$400&gt;$Q52)))"),12.0)</f>
        <v>12</v>
      </c>
      <c r="AG52" s="111">
        <f t="shared" si="6"/>
        <v>0</v>
      </c>
      <c r="AH52" s="112">
        <f t="shared" si="7"/>
        <v>6</v>
      </c>
      <c r="AI52" s="113" t="str">
        <f>IFERROR(__xludf.DUMMYFUNCTION("iferror(join("","",index(sort(filter($F53:$F$401,$Q53:$Q$401&gt;$Q52),2,false),0,1)))"),"Texas A&amp;M,Georgia Tech,Oklahoma,Old Dominion,UConn,Houston,San Diego State,Virginia,Vanderbilt,New Mexico,Kennesaw State,Arizona")</f>
        <v>Texas A&amp;M,Georgia Tech,Oklahoma,Old Dominion,UConn,Houston,San Diego State,Virginia,Vanderbilt,New Mexico,Kennesaw State,Arizona</v>
      </c>
      <c r="AJ52" s="114">
        <f>IFERROR(__xludf.DUMMYFUNCTION("iferror($Q52-max(filter($Q52:$Q$400,$E52:$E$400=$E$2)))"),0.0)</f>
        <v>0</v>
      </c>
      <c r="AK52" s="110">
        <f t="shared" si="8"/>
        <v>1</v>
      </c>
      <c r="AL52" s="110">
        <f>IFERROR(__xludf.DUMMYFUNCTION("iferror(COUNT(filter($Q53:$Q$400,$Q53:$Q$400&gt;$Q52,$E52:$E$400=$E$2)))"),0.0)</f>
        <v>0</v>
      </c>
      <c r="AM52" s="111">
        <f t="shared" si="9"/>
        <v>1</v>
      </c>
      <c r="AN52" s="110">
        <f>IFERROR(__xludf.DUMMYFUNCTION("iferror($Q52-min(filter($Q52:$Q$400,$E52:$E$400=$E$2)))"),6.0)</f>
        <v>6</v>
      </c>
      <c r="AO52" s="113" t="str">
        <f>IFERROR(__xludf.DUMMYFUNCTION("iferror(join("","",index(sort(filter($F53:$F$400,$Q53:$Q$400&gt;$Q52,$E53:$E$400=$E$2),2,false),0,1)))"),"")</f>
        <v/>
      </c>
      <c r="AP52" s="113" t="str">
        <f>IFERROR(__xludf.DUMMYFUNCTION("REGEXREPLACE(join("","",unique({let(conf_picked,filter(E$1:E51,D$1:D51=D52), byrow(unique(TRANSPOSe(Teams!$1:$1)),lambda(rw,if(ISERROR(match(rw,conf_picked,0)),rw,))));if(AW52,,transpose(split(AX52,"","",1,1)))})), ""^,"", """")"),"AAC,ACC,,Big Ten,MAC,Pac12,Sun Belt,zIndependent,Big 12,SEC")</f>
        <v>AAC,ACC,,Big Ten,MAC,Pac12,Sun Belt,zIndependent,Big 12,SEC</v>
      </c>
      <c r="AQ52" s="114">
        <f>IFERROR(__xludf.DUMMYFUNCTION("iferror($Q52-max(filter($Q52:$Q$400,arrayformula(isnumber(FIND($E52:$E$400,AP52))))))"),-3.0)</f>
        <v>-3</v>
      </c>
      <c r="AR52" s="110">
        <f t="array" ref="AR52">countifs($Q$2:$Q51,"&lt;"&amp;$Q52,isnumber(FIND($E$2:$E51,AP52)),TRUE)</f>
        <v>15</v>
      </c>
      <c r="AS52" s="110">
        <f>IFERROR(__xludf.DUMMYFUNCTION("iferror(COUNT(filter($Q53:$Q$400,$Q53:$Q$400&gt;$Q52,arrayformula(isnumber(FIND($E53:$E$400,AP52))))))"),9.0)</f>
        <v>9</v>
      </c>
      <c r="AT52" s="111">
        <f t="shared" si="10"/>
        <v>0</v>
      </c>
      <c r="AU52" s="110">
        <f>IFERROR(__xludf.DUMMYFUNCTION("iferror($Q52-min(filter($Q52:$Q$400,arrayformula(isnumber(FIND($E52:$E$400,AP52))))))"),8.0)</f>
        <v>8</v>
      </c>
      <c r="AV52" s="113" t="str">
        <f>IFERROR(__xludf.DUMMYFUNCTION("iferror(join("","",index(sort(filter($F53:$F$400,$Q53:$Q$400&gt;$Q52,arrayformula(isnumber(FIND($E53:$E$400,AP52)))),2,false),0,1)))"),"Texas A&amp;M,Georgia Tech,Oklahoma,Old Dominion,UConn,Houston,Virginia,Vanderbilt,Arizona")</f>
        <v>Texas A&amp;M,Georgia Tech,Oklahoma,Old Dominion,UConn,Houston,Virginia,Vanderbilt,Arizona</v>
      </c>
      <c r="AW52" s="113" t="b">
        <f>IFERROR(__xludf.DUMMYFUNCTION("isnumber(find(""wild card"",join("","",filter($G$1:$G51,$D$1:$D51=D52))))"),FALSE)</f>
        <v>0</v>
      </c>
      <c r="AX52" s="113" t="str">
        <f>IFERROR(__xludf.DUMMYFUNCTION("join("","",let(confs,unique(TRANSPOSe(Teams!$1:$1)), confs_count, BYROW(confs,lambda(conf,xlookup(conf,'Conf WC Eligibility'!A:A,'Conf WC Eligibility'!C:C,,))),confs_picked,byrow(confs,lambda(conf,countif(E$1:E51,conf))),p_needs_conf_count,byrow(confs,lam"&amp;"bda(conf,counta('Draft Order'!B$2:B622)-COUNTUNIQUE(filter(D$2:D51,E$2:E51=conf)))),query({confs,confs_count,confs_picked,p_needs_conf_count},""select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">
      <c r="A53" s="1">
        <v>52.0</v>
      </c>
      <c r="B53" s="1">
        <v>5.0</v>
      </c>
      <c r="C53" s="1">
        <v>4.0</v>
      </c>
      <c r="D53" s="115" t="s">
        <v>193</v>
      </c>
      <c r="E53" s="116" t="str">
        <f>if(F53&lt;&gt;"",VLOOKUP(F53,offset('Teams-Conference'!A:B,0,(counta('Draft Order'!B$2:B622)-10)*2),2,0),"")</f>
        <v>Big 12</v>
      </c>
      <c r="F53" s="117" t="s">
        <v>126</v>
      </c>
      <c r="G53" s="106" t="str">
        <f t="shared" si="1"/>
        <v>Regular Pick</v>
      </c>
      <c r="H53" s="106">
        <f t="shared" si="37"/>
        <v>1</v>
      </c>
      <c r="I53" s="106">
        <f t="shared" ref="I53:I61" si="38">countif(E54:E73,E53)</f>
        <v>2</v>
      </c>
      <c r="J53" s="106">
        <f t="shared" si="36"/>
        <v>1</v>
      </c>
      <c r="K53" s="106">
        <f t="shared" ref="K53:K110" si="39">countif(E35:E53,E54)</f>
        <v>3</v>
      </c>
      <c r="L53" s="106">
        <v>5.0</v>
      </c>
      <c r="M53" s="106">
        <f>IFERROR(__xludf.DUMMYFUNCTION("counta(iferror(filter(L$2:L52,E$2:E52=E53,L$2:L52&lt;L53)))"),0.0)</f>
        <v>0</v>
      </c>
      <c r="N53" s="106">
        <f>IFERROR(__xludf.DUMMYFUNCTION("counta(iferror(filter(L54:L$121,E54:E$121=E53,L54:L$624&gt;L53)))"),0.0)</f>
        <v>0</v>
      </c>
      <c r="O53" s="152"/>
      <c r="P53" s="106" t="b">
        <f>IFERROR(__xludf.DUMMYFUNCTION("if(F53="""","""",let(wc_picked, countifs(E$1:E52,E53,G$1:G52,""This is your wild card pick""), let(spots_filled,counta(unique(filter(D$2:E53,E$2:E53=E53)))/2,let(total,VLOOKUP(E53,'Conf WC Eligibility'!A:C,3,0),if(E53=""zIndependent"", TRUE,total-wc_picke"&amp;"d&gt;12)))))"),TRUE)</f>
        <v>1</v>
      </c>
      <c r="Q53" s="107">
        <f t="array" ref="Q53:AB53">XLOOKUP(F53,'Current Week'!C:C,'Current Week'!D:O)</f>
        <v>5</v>
      </c>
      <c r="R53" s="106">
        <v>7.0</v>
      </c>
      <c r="S53" s="106" t="s">
        <v>580</v>
      </c>
      <c r="T53" s="106" t="s">
        <v>61</v>
      </c>
      <c r="U53" s="106" t="s">
        <v>95</v>
      </c>
      <c r="V53" s="106"/>
      <c r="W53" s="106" t="s">
        <v>67</v>
      </c>
      <c r="X53" s="106">
        <v>10.5</v>
      </c>
      <c r="Y53" s="106" t="s">
        <v>67</v>
      </c>
      <c r="Z53" s="106">
        <v>60.5</v>
      </c>
      <c r="AA53" s="106">
        <v>337.0</v>
      </c>
      <c r="AB53" s="106">
        <v>321.0</v>
      </c>
      <c r="AC53" s="108" t="b">
        <v>1</v>
      </c>
      <c r="AD53" s="109">
        <f t="shared" si="4"/>
        <v>-6</v>
      </c>
      <c r="AE53" s="110">
        <f t="shared" si="5"/>
        <v>6</v>
      </c>
      <c r="AF53" s="110">
        <f>IFERROR(__xludf.DUMMYFUNCTION("iferror(COUNT(filter($Q54:$Q$400,$Q54:$Q$400&gt;$Q53)))"),39.0)</f>
        <v>39</v>
      </c>
      <c r="AG53" s="111">
        <f t="shared" si="6"/>
        <v>0</v>
      </c>
      <c r="AH53" s="112">
        <f t="shared" si="7"/>
        <v>3</v>
      </c>
      <c r="AI53" s="113" t="str">
        <f>IFERROR(__xludf.DUMMYFUNCTION("iferror(join("","",index(sort(filter($F54:$F$401,$Q54:$Q$401&gt;$Q53),2,false),0,1)))"),"LSU,Nebraska,Texas A&amp;M,Jacksonville State,Georgia Tech,Central Michigan,Western Michigan,Iowa,Missouri,Minnesota,Hawaii,Iowa State,Oklahoma,TCU,Old Dominion,Troy,Cincinnati,Duke,UConn,Florida Intl,Houston,San Diego State,Coastal Carolina,Virginia,Utah Sta"&amp;"te,NC State,California,Missouri State,Pittsburgh,Arkansas State,Vanderbilt,Delaware,New Mexico,Kennesaw State,Wake Forest,Arizona,Northwestern,Washington State,Southern Mississippi")</f>
        <v>LSU,Nebraska,Texas A&amp;M,Jacksonville State,Georgia Tech,Central Michigan,Western Michigan,Iowa,Missouri,Minnesota,Hawaii,Iowa State,Oklahoma,TCU,Old Dominion,Troy,Cincinnati,Duke,UConn,Florida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J53" s="114">
        <f>IFERROR(__xludf.DUMMYFUNCTION("iferror($Q53-max(filter($Q53:$Q$400,$E53:$E$400=$E$2)))"),-3.0)</f>
        <v>-3</v>
      </c>
      <c r="AK53" s="110">
        <f t="shared" si="8"/>
        <v>0</v>
      </c>
      <c r="AL53" s="110">
        <f>IFERROR(__xludf.DUMMYFUNCTION("iferror(COUNT(filter($Q54:$Q$400,$Q54:$Q$400&gt;$Q53,$E53:$E$400=$E$2)))"),0.0)</f>
        <v>0</v>
      </c>
      <c r="AM53" s="111">
        <f t="shared" si="9"/>
        <v>0</v>
      </c>
      <c r="AN53" s="110">
        <f>IFERROR(__xludf.DUMMYFUNCTION("iferror($Q53-min(filter($Q53:$Q$400,$E53:$E$400=$E$2)))"),3.0)</f>
        <v>3</v>
      </c>
      <c r="AO53" s="113" t="str">
        <f>IFERROR(__xludf.DUMMYFUNCTION("iferror(join("","",index(sort(filter($F54:$F$400,$Q54:$Q$400&gt;$Q53,$E54:$E$400=$E$2),2,false),0,1)))"),"Nebraska,Iowa,Minnesota,Northwestern")</f>
        <v>Nebraska,Iowa,Minnesota,Northwestern</v>
      </c>
      <c r="AP53" s="113" t="str">
        <f>IFERROR(__xludf.DUMMYFUNCTION("REGEXREPLACE(join("","",unique({let(conf_picked,filter(E$1:E52,D$1:D52=D53), byrow(unique(TRANSPOSe(Teams!$1:$1)),lambda(rw,if(ISERROR(match(rw,conf_picked,0)),rw,))));if(AW53,,transpose(split(AX53,"","",1,1)))})), ""^,"", """")"),"AAC,,Big 12,CUSA,MAC,MWC,Pac12,zIndependent,ACC,Big Ten,SEC,Sun Belt")</f>
        <v>AAC,,Big 12,CUSA,MAC,MWC,Pac12,zIndependent,ACC,Big Ten,SEC,Sun Belt</v>
      </c>
      <c r="AQ53" s="114">
        <f>IFERROR(__xludf.DUMMYFUNCTION("iferror($Q53-max(filter($Q53:$Q$400,arrayformula(isnumber(FIND($E53:$E$400,AP53))))))"),-6.0)</f>
        <v>-6</v>
      </c>
      <c r="AR53" s="110">
        <f t="array" ref="AR53">countifs($Q$2:$Q52,"&lt;"&amp;$Q53,isnumber(FIND($E$2:$E52,AP53)),TRUE)</f>
        <v>6</v>
      </c>
      <c r="AS53" s="110">
        <f>IFERROR(__xludf.DUMMYFUNCTION("iferror(COUNT(filter($Q54:$Q$400,$Q54:$Q$400&gt;$Q53,arrayformula(isnumber(FIND($E54:$E$400,AP53))))))"),39.0)</f>
        <v>39</v>
      </c>
      <c r="AT53" s="111">
        <f t="shared" si="10"/>
        <v>0</v>
      </c>
      <c r="AU53" s="110">
        <f>IFERROR(__xludf.DUMMYFUNCTION("iferror($Q53-min(filter($Q53:$Q$400,arrayformula(isnumber(FIND($E53:$E$400,AP53))))))"),5.0)</f>
        <v>5</v>
      </c>
      <c r="AV53" s="113" t="str">
        <f>IFERROR(__xludf.DUMMYFUNCTION("iferror(join("","",index(sort(filter($F54:$F$400,$Q54:$Q$400&gt;$Q53,arrayformula(isnumber(FIND($E54:$E$400,AP53)))),2,false),0,1)))"),"LSU,Nebraska,Texas A&amp;M,Jacksonville State,Georgia Tech,Central Michigan,Western Michigan,Iowa,Missouri,Minnesota,Hawaii,Iowa State,Oklahoma,TCU,Old Dominion,Troy,Cincinnati,Duke,UConn,Florida Intl,Houston,San Diego State,Coastal Carolina,Virginia,Utah Sta"&amp;"te,NC State,California,Missouri State,Pittsburgh,Arkansas State,Vanderbilt,Delaware,New Mexico,Kennesaw State,Wake Forest,Arizona,Northwestern,Washington State,Southern Mississippi")</f>
        <v>LSU,Nebraska,Texas A&amp;M,Jacksonville State,Georgia Tech,Central Michigan,Western Michigan,Iowa,Missouri,Minnesota,Hawaii,Iowa State,Oklahoma,TCU,Old Dominion,Troy,Cincinnati,Duke,UConn,Florida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W53" s="113" t="b">
        <f>IFERROR(__xludf.DUMMYFUNCTION("isnumber(find(""wild card"",join("","",filter($G$1:$G52,$D$1:$D52=D53))))"),FALSE)</f>
        <v>0</v>
      </c>
      <c r="AX53" s="113" t="str">
        <f>IFERROR(__xludf.DUMMYFUNCTION("join("","",let(confs,unique(TRANSPOSe(Teams!$1:$1)), confs_count, BYROW(confs,lambda(conf,xlookup(conf,'Conf WC Eligibility'!A:A,'Conf WC Eligibility'!C:C,,))),confs_picked,byrow(confs,lambda(conf,countif(E$1:E52,conf))),p_needs_conf_count,byrow(confs,lam"&amp;"bda(conf,counta('Draft Order'!B$2:B622)-COUNTUNIQUE(filter(D$2:D52,E$2:E52=conf)))),query({confs,confs_count,confs_picked,p_needs_conf_count},""select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">
      <c r="A54" s="1">
        <v>53.0</v>
      </c>
      <c r="B54" s="1">
        <v>5.0</v>
      </c>
      <c r="C54" s="1">
        <v>5.0</v>
      </c>
      <c r="D54" s="115" t="s">
        <v>311</v>
      </c>
      <c r="E54" s="116" t="str">
        <f>if(F54&lt;&gt;"",VLOOKUP(F54,offset('Teams-Conference'!A:B,0,(counta('Draft Order'!B$2:B622)-10)*2),2,0),"")</f>
        <v>SEC</v>
      </c>
      <c r="F54" s="77" t="s">
        <v>206</v>
      </c>
      <c r="G54" s="106" t="str">
        <f t="shared" si="1"/>
        <v>Regular Pick</v>
      </c>
      <c r="H54" s="106">
        <f t="shared" si="37"/>
        <v>2</v>
      </c>
      <c r="I54" s="106">
        <f t="shared" si="38"/>
        <v>5</v>
      </c>
      <c r="J54" s="106">
        <f t="shared" si="36"/>
        <v>2</v>
      </c>
      <c r="K54" s="106">
        <f t="shared" si="39"/>
        <v>2</v>
      </c>
      <c r="L54" s="106">
        <v>7.0</v>
      </c>
      <c r="M54" s="106">
        <f>IFERROR(__xludf.DUMMYFUNCTION("counta(iferror(filter(L$2:L53,E$2:E53=E54,L$2:L53&lt;L54)))"),1.0)</f>
        <v>1</v>
      </c>
      <c r="N54" s="106">
        <f>IFERROR(__xludf.DUMMYFUNCTION("counta(iferror(filter(L55:L$121,E55:E$121=E54,L55:L$624&gt;L54)))"),0.0)</f>
        <v>0</v>
      </c>
      <c r="O54" s="152"/>
      <c r="P54" s="106" t="b">
        <f>IFERROR(__xludf.DUMMYFUNCTION("if(F54="""","""",let(wc_picked, countifs(E$1:E53,E54,G$1:G53,""This is your wild card pick""), let(spots_filled,counta(unique(filter(D$2:E54,E$2:E54=E54)))/2,let(total,VLOOKUP(E54,'Conf WC Eligibility'!A:C,3,0),if(E54=""zIndependent"", TRUE,total-wc_picke"&amp;"d&gt;12)))))"),TRUE)</f>
        <v>1</v>
      </c>
      <c r="Q54" s="107">
        <f t="array" ref="Q54:AB54">XLOOKUP(F54,'Current Week'!C:C,'Current Week'!D:O)</f>
        <v>7</v>
      </c>
      <c r="R54" s="106">
        <v>5.0</v>
      </c>
      <c r="S54" s="106" t="s">
        <v>554</v>
      </c>
      <c r="T54" s="106" t="s">
        <v>61</v>
      </c>
      <c r="U54" s="106" t="s">
        <v>95</v>
      </c>
      <c r="V54" s="106"/>
      <c r="W54" s="106" t="s">
        <v>67</v>
      </c>
      <c r="X54" s="106">
        <v>10.5</v>
      </c>
      <c r="Y54" s="106" t="s">
        <v>67</v>
      </c>
      <c r="Z54" s="106">
        <v>35.5</v>
      </c>
      <c r="AA54" s="106">
        <v>262.0</v>
      </c>
      <c r="AB54" s="106">
        <v>220.0</v>
      </c>
      <c r="AC54" s="108" t="b">
        <v>1</v>
      </c>
      <c r="AD54" s="109">
        <f t="shared" si="4"/>
        <v>-4</v>
      </c>
      <c r="AE54" s="110">
        <f t="shared" si="5"/>
        <v>17</v>
      </c>
      <c r="AF54" s="110">
        <f>IFERROR(__xludf.DUMMYFUNCTION("iferror(COUNT(filter($Q55:$Q$400,$Q55:$Q$400&gt;$Q54)))"),22.0)</f>
        <v>22</v>
      </c>
      <c r="AG54" s="111">
        <f t="shared" si="6"/>
        <v>0</v>
      </c>
      <c r="AH54" s="112">
        <f t="shared" si="7"/>
        <v>5</v>
      </c>
      <c r="AI54" s="113" t="str">
        <f>IFERROR(__xludf.DUMMYFUNCTION("iferror(join("","",index(sort(filter($F55:$F$401,$Q55:$Q$401&gt;$Q54),2,false),0,1)))"),"Texas A&amp;M,Jacksonville State,Georgia Tech,Western Michigan,Iowa,Missouri,Hawaii,Iowa State,Oklahoma,TCU,Old Dominion,Troy,UConn,Houston,San Diego State,Virginia,Pittsburgh,Vanderbilt,New Mexico,Kennesaw State,Wake Forest,Arizona")</f>
        <v>Texas A&amp;M,Jacksonville State,Georgia Tech,Western Michigan,Iowa,Missouri,Hawaii,Iowa State,Oklahoma,TCU,Old Dominion,Troy,UConn,Houston,San Diego State,Virginia,Pittsburgh,Vanderbilt,New Mexico,Kennesaw State,Wake Forest,Arizona</v>
      </c>
      <c r="AJ54" s="114">
        <f>IFERROR(__xludf.DUMMYFUNCTION("iferror($Q54-max(filter($Q54:$Q$400,$E54:$E$400=$E$2)))"),-1.0)</f>
        <v>-1</v>
      </c>
      <c r="AK54" s="110">
        <f t="shared" si="8"/>
        <v>1</v>
      </c>
      <c r="AL54" s="110">
        <f>IFERROR(__xludf.DUMMYFUNCTION("iferror(COUNT(filter($Q55:$Q$400,$Q55:$Q$400&gt;$Q54,$E54:$E$400=$E$2)))"),0.0)</f>
        <v>0</v>
      </c>
      <c r="AM54" s="111">
        <f t="shared" si="9"/>
        <v>0</v>
      </c>
      <c r="AN54" s="110">
        <f>IFERROR(__xludf.DUMMYFUNCTION("iferror($Q54-min(filter($Q54:$Q$400,$E54:$E$400=$E$2)))"),5.0)</f>
        <v>5</v>
      </c>
      <c r="AO54" s="113" t="str">
        <f>IFERROR(__xludf.DUMMYFUNCTION("iferror(join("","",index(sort(filter($F55:$F$400,$Q55:$Q$400&gt;$Q54,$E55:$E$400=$E$2),2,false),0,1)))"),"Iowa")</f>
        <v>Iowa</v>
      </c>
      <c r="AP54" s="113" t="str">
        <f>IFERROR(__xludf.DUMMYFUNCTION("REGEXREPLACE(join("","",unique({let(conf_picked,filter(E$1:E53,D$1:D53=D54), byrow(unique(TRANSPOSe(Teams!$1:$1)),lambda(rw,if(ISERROR(match(rw,conf_picked,0)),rw,))));if(AW54,,transpose(split(AX54,"","",1,1)))})), ""^,"", """")"),"ACC,Big 12,CUSA,MWC,Pac12,SEC,Sun Belt,zIndependent")</f>
        <v>ACC,Big 12,CUSA,MWC,Pac12,SEC,Sun Belt,zIndependent</v>
      </c>
      <c r="AQ54" s="114">
        <f>IFERROR(__xludf.DUMMYFUNCTION("iferror($Q54-max(filter($Q54:$Q$400,arrayformula(isnumber(FIND($E54:$E$400,AP54))))))"),-4.0)</f>
        <v>-4</v>
      </c>
      <c r="AR54" s="110">
        <f t="array" ref="AR54">countifs($Q$2:$Q53,"&lt;"&amp;$Q54,isnumber(FIND($E$2:$E53,AP54)),TRUE)</f>
        <v>11</v>
      </c>
      <c r="AS54" s="110">
        <f>IFERROR(__xludf.DUMMYFUNCTION("iferror(COUNT(filter($Q55:$Q$400,$Q55:$Q$400&gt;$Q54,arrayformula(isnumber(FIND($E55:$E$400,AP54))))))"),20.0)</f>
        <v>20</v>
      </c>
      <c r="AT54" s="111">
        <f t="shared" si="10"/>
        <v>0</v>
      </c>
      <c r="AU54" s="110">
        <f>IFERROR(__xludf.DUMMYFUNCTION("iferror($Q54-min(filter($Q54:$Q$400,arrayformula(isnumber(FIND($E54:$E$400,AP54))))))"),6.0)</f>
        <v>6</v>
      </c>
      <c r="AV54" s="113" t="str">
        <f>IFERROR(__xludf.DUMMYFUNCTION("iferror(join("","",index(sort(filter($F55:$F$400,$Q55:$Q$400&gt;$Q54,arrayformula(isnumber(FIND($E55:$E$400,AP54)))),2,false),0,1)))"),"Texas A&amp;M,Jacksonville State,Georgia Tech,Missouri,Hawaii,Iowa State,Oklahoma,TCU,Old Dominion,Troy,UConn,Houston,San Diego State,Virginia,Pittsburgh,Vanderbilt,New Mexico,Kennesaw State,Wake Forest,Arizona")</f>
        <v>Texas A&amp;M,Jacksonville State,Georgia Tech,Missouri,Hawaii,Iowa State,Oklahoma,TCU,Old Dominion,Troy,UConn,Houston,San Diego State,Virginia,Pittsburgh,Vanderbilt,New Mexico,Kennesaw State,Wake Forest,Arizona</v>
      </c>
      <c r="AW54" s="113" t="b">
        <f>IFERROR(__xludf.DUMMYFUNCTION("isnumber(find(""wild card"",join("","",filter($G$1:$G53,$D$1:$D53=D54))))"),TRUE)</f>
        <v>1</v>
      </c>
      <c r="AX54" s="113" t="str">
        <f>IFERROR(__xludf.DUMMYFUNCTION("join("","",let(confs,unique(TRANSPOSe(Teams!$1:$1)), confs_count, BYROW(confs,lambda(conf,xlookup(conf,'Conf WC Eligibility'!A:A,'Conf WC Eligibility'!C:C,,))),confs_picked,byrow(confs,lambda(conf,countif(E$1:E53,conf))),p_needs_conf_count,byrow(confs,lam"&amp;"bda(conf,counta('Draft Order'!B$2:B622)-COUNTUNIQUE(filter(D$2:D53,E$2:E53=conf)))),query({confs,confs_count,confs_picked,p_needs_conf_count},""select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">
      <c r="A55" s="1">
        <v>54.0</v>
      </c>
      <c r="B55" s="1">
        <v>5.0</v>
      </c>
      <c r="C55" s="1">
        <v>6.0</v>
      </c>
      <c r="D55" s="115" t="s">
        <v>224</v>
      </c>
      <c r="E55" s="116" t="str">
        <f>if(F55&lt;&gt;"",VLOOKUP(F55,offset('Teams-Conference'!A:B,0,(counta('Draft Order'!B$2:B622)-10)*2),2,0),"")</f>
        <v>MAC</v>
      </c>
      <c r="F55" s="117" t="s">
        <v>166</v>
      </c>
      <c r="G55" s="106" t="str">
        <f t="shared" si="1"/>
        <v>Regular Pick</v>
      </c>
      <c r="H55" s="106">
        <f t="shared" si="37"/>
        <v>2</v>
      </c>
      <c r="I55" s="106">
        <f t="shared" si="38"/>
        <v>3</v>
      </c>
      <c r="J55" s="106">
        <f t="shared" si="36"/>
        <v>0</v>
      </c>
      <c r="K55" s="106">
        <f t="shared" si="39"/>
        <v>2</v>
      </c>
      <c r="L55" s="106">
        <v>4.0</v>
      </c>
      <c r="M55" s="106">
        <f>IFERROR(__xludf.DUMMYFUNCTION("counta(iferror(filter(L$2:L54,E$2:E54=E55,L$2:L54&lt;L55)))"),1.0)</f>
        <v>1</v>
      </c>
      <c r="N55" s="106">
        <f>IFERROR(__xludf.DUMMYFUNCTION("counta(iferror(filter(L56:L$121,E56:E$121=E55,L56:L$624&gt;L55)))"),0.0)</f>
        <v>0</v>
      </c>
      <c r="O55" s="152"/>
      <c r="P55" s="106" t="b">
        <f>IFERROR(__xludf.DUMMYFUNCTION("if(F55="""","""",let(wc_picked, countifs(E$1:E54,E55,G$1:G54,""This is your wild card pick""), let(spots_filled,counta(unique(filter(D$2:E55,E$2:E55=E55)))/2,let(total,VLOOKUP(E55,'Conf WC Eligibility'!A:C,3,0),if(E55=""zIndependent"", TRUE,total-wc_picke"&amp;"d&gt;12)))))"),TRUE)</f>
        <v>1</v>
      </c>
      <c r="Q55" s="107">
        <f t="array" ref="Q55:AB55">XLOOKUP(F55,'Current Week'!C:C,'Current Week'!D:O)</f>
        <v>4</v>
      </c>
      <c r="R55" s="106">
        <v>8.0</v>
      </c>
      <c r="S55" s="106" t="s">
        <v>528</v>
      </c>
      <c r="T55" s="106" t="s">
        <v>61</v>
      </c>
      <c r="U55" s="106" t="s">
        <v>43</v>
      </c>
      <c r="V55" s="106"/>
      <c r="W55" s="106" t="s">
        <v>67</v>
      </c>
      <c r="X55" s="106">
        <v>-14.5</v>
      </c>
      <c r="Y55" s="106" t="s">
        <v>67</v>
      </c>
      <c r="Z55" s="106">
        <v>44.5</v>
      </c>
      <c r="AA55" s="106">
        <v>246.0</v>
      </c>
      <c r="AB55" s="106">
        <v>291.0</v>
      </c>
      <c r="AC55" s="108" t="b">
        <v>1</v>
      </c>
      <c r="AD55" s="109">
        <f t="shared" si="4"/>
        <v>-7</v>
      </c>
      <c r="AE55" s="110">
        <f t="shared" si="5"/>
        <v>3</v>
      </c>
      <c r="AF55" s="110">
        <f>IFERROR(__xludf.DUMMYFUNCTION("iferror(COUNT(filter($Q56:$Q$400,$Q56:$Q$400&gt;$Q55)))"),50.0)</f>
        <v>50</v>
      </c>
      <c r="AG55" s="111">
        <f t="shared" si="6"/>
        <v>0</v>
      </c>
      <c r="AH55" s="112">
        <f t="shared" si="7"/>
        <v>2</v>
      </c>
      <c r="AI55" s="113" t="str">
        <f>IFERROR(__xludf.DUMMYFUNCTION("iferror(join("","",index(sort(filter($F56:$F$401,$Q56:$Q$401&gt;$Q55),2,false),0,1)))"),"Nebraska,Texas A&amp;M,Jacksonville State,Baylor,Georgia Tech,Central Michigan,Western Michigan,Iowa,Missouri,Minnesota,Hawaii,Iowa State,Oklahoma,Appalachian State,TCU,Old Dominion,Akron,Florida State,Troy,Cincinnati,UCF,Duke,UConn,Florida Intl,Houston,San D"&amp;"iego State,Coastal Carolina,Virginia,Utah State,NC State,California,Missouri State,Marshall,Pittsburgh,Rutgers,Arkansas State,Vanderbilt,Delaware,New Mexico,Kennesaw State,Rice,Temple,Wake Forest,Arizona,Northwestern,Kent State,Washington State,Kentucky,M"&amp;"ississippi State,Southern Mississippi")</f>
        <v>Nebraska,Texas A&amp;M,Jacksonville State,Baylor,Georgia Tech,Central Michigan,Western Michigan,Iowa,Missouri,Minnesota,Hawaii,Iowa State,Oklahoma,Appalachian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J55" s="114">
        <f>IFERROR(__xludf.DUMMYFUNCTION("iferror($Q55-max(filter($Q55:$Q$400,$E55:$E$400=$E$2)))"),-4.0)</f>
        <v>-4</v>
      </c>
      <c r="AK55" s="110">
        <f t="shared" si="8"/>
        <v>0</v>
      </c>
      <c r="AL55" s="110">
        <f>IFERROR(__xludf.DUMMYFUNCTION("iferror(COUNT(filter($Q56:$Q$400,$Q56:$Q$400&gt;$Q55,$E55:$E$400=$E$2)))"),0.0)</f>
        <v>0</v>
      </c>
      <c r="AM55" s="111">
        <f t="shared" si="9"/>
        <v>0</v>
      </c>
      <c r="AN55" s="110">
        <f>IFERROR(__xludf.DUMMYFUNCTION("iferror($Q55-min(filter($Q55:$Q$400,$E55:$E$400=$E$2)))"),2.0)</f>
        <v>2</v>
      </c>
      <c r="AO55" s="113" t="str">
        <f>IFERROR(__xludf.DUMMYFUNCTION("iferror(join("","",index(sort(filter($F56:$F$400,$Q56:$Q$400&gt;$Q55,$E56:$E$400=$E$2),2,false),0,1)))"),"Nebraska,Iowa,Minnesota,Rutgers,Northwestern")</f>
        <v>Nebraska,Iowa,Minnesota,Rutgers,Northwestern</v>
      </c>
      <c r="AP55" s="113" t="str">
        <f>IFERROR(__xludf.DUMMYFUNCTION("REGEXREPLACE(join("","",unique({let(conf_picked,filter(E$1:E54,D$1:D54=D55), byrow(unique(TRANSPOSe(Teams!$1:$1)),lambda(rw,if(ISERROR(match(rw,conf_picked,0)),rw,))));if(AW55,,transpose(split(AX55,"","",1,1)))})), ""^,"", """")"),"ACC,Big Ten,CUSA,MAC,Pac12,SEC,zIndependent,AAC,Big 12,Sun Belt")</f>
        <v>ACC,Big Ten,CUSA,MAC,Pac12,SEC,zIndependent,AAC,Big 12,Sun Belt</v>
      </c>
      <c r="AQ55" s="114">
        <f>IFERROR(__xludf.DUMMYFUNCTION("iferror($Q55-max(filter($Q55:$Q$400,arrayformula(isnumber(FIND($E55:$E$400,AP55))))))"),-7.0)</f>
        <v>-7</v>
      </c>
      <c r="AR55" s="110">
        <f t="array" ref="AR55">countifs($Q$2:$Q54,"&lt;"&amp;$Q55,isnumber(FIND($E$2:$E54,AP55)),TRUE)</f>
        <v>1</v>
      </c>
      <c r="AS55" s="110">
        <f>IFERROR(__xludf.DUMMYFUNCTION("iferror(COUNT(filter($Q56:$Q$400,$Q56:$Q$400&gt;$Q55,arrayformula(isnumber(FIND($E56:$E$400,AP55))))))"),46.0)</f>
        <v>46</v>
      </c>
      <c r="AT55" s="111">
        <f t="shared" si="10"/>
        <v>0</v>
      </c>
      <c r="AU55" s="110">
        <f>IFERROR(__xludf.DUMMYFUNCTION("iferror($Q55-min(filter($Q55:$Q$400,arrayformula(isnumber(FIND($E55:$E$400,AP55))))))"),4.0)</f>
        <v>4</v>
      </c>
      <c r="AV55" s="113" t="str">
        <f>IFERROR(__xludf.DUMMYFUNCTION("iferror(join("","",index(sort(filter($F56:$F$400,$Q56:$Q$400&gt;$Q55,arrayformula(isnumber(FIND($E56:$E$400,AP55)))),2,false),0,1)))"),"Nebraska,Texas A&amp;M,Jacksonville State,Baylor,Georgia Tech,Central Michigan,Western Michigan,Iowa,Missouri,Minnesota,Iowa State,Oklahoma,Appalachian State,TCU,Old Dominion,Akron,Florida State,Troy,Cincinnati,UCF,Duke,UConn,Florida Intl,Houston,Coastal Caro"&amp;"lina,Virginia,NC State,California,Missouri State,Marshall,Pittsburgh,Rutgers,Arkansas State,Vanderbilt,Delaware,Kennesaw State,Rice,Temple,Wake Forest,Arizona,Northwestern,Kent State,Washington State,Kentucky,Mississippi State,Southern Mississippi")</f>
        <v>Nebraska,Texas A&amp;M,Jacksonville State,Baylor,Georgia Tech,Central Michigan,Western Michigan,Iowa,Missouri,Minnesota,Iowa State,Oklahoma,Appalachian State,TCU,Old Dominion,Akron,Florida State,Troy,Cincinnati,UCF,Duke,UConn,Florida Intl,Houston,Coastal Carolina,Virginia,NC State,California,Missouri State,Marshall,Pittsburgh,Rutgers,Arkansas State,Vanderbilt,Delaware,Kennesaw State,Rice,Temple,Wake Forest,Arizona,Northwestern,Kent State,Washington State,Kentucky,Mississippi State,Southern Mississippi</v>
      </c>
      <c r="AW55" s="113" t="b">
        <f>IFERROR(__xludf.DUMMYFUNCTION("isnumber(find(""wild card"",join("","",filter($G$1:$G54,$D$1:$D54=D55))))"),FALSE)</f>
        <v>0</v>
      </c>
      <c r="AX55" s="113" t="str">
        <f>IFERROR(__xludf.DUMMYFUNCTION("join("","",let(confs,unique(TRANSPOSe(Teams!$1:$1)), confs_count, BYROW(confs,lambda(conf,xlookup(conf,'Conf WC Eligibility'!A:A,'Conf WC Eligibility'!C:C,,))),confs_picked,byrow(confs,lambda(conf,countif(E$1:E54,conf))),p_needs_conf_count,byrow(confs,lam"&amp;"bda(conf,counta('Draft Order'!B$2:B622)-COUNTUNIQUE(filter(D$2:D54,E$2:E54=conf)))),query({confs,confs_count,confs_picked,p_needs_conf_count},""select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">
      <c r="A56" s="1">
        <v>55.0</v>
      </c>
      <c r="B56" s="1">
        <v>5.0</v>
      </c>
      <c r="C56" s="1">
        <v>7.0</v>
      </c>
      <c r="D56" s="115" t="s">
        <v>96</v>
      </c>
      <c r="E56" s="116" t="str">
        <f>if(F56&lt;&gt;"",VLOOKUP(F56,offset('Teams-Conference'!A:B,0,(counta('Draft Order'!B$2:B622)-10)*2),2,0),"")</f>
        <v>Big Ten</v>
      </c>
      <c r="F56" s="77" t="s">
        <v>142</v>
      </c>
      <c r="G56" s="106" t="str">
        <f t="shared" si="1"/>
        <v>Regular Pick</v>
      </c>
      <c r="H56" s="106">
        <f t="shared" si="37"/>
        <v>1</v>
      </c>
      <c r="I56" s="106">
        <f t="shared" si="38"/>
        <v>2</v>
      </c>
      <c r="J56" s="106">
        <f t="shared" si="36"/>
        <v>1</v>
      </c>
      <c r="K56" s="106">
        <f t="shared" si="39"/>
        <v>4</v>
      </c>
      <c r="L56" s="106">
        <v>7.0</v>
      </c>
      <c r="M56" s="106">
        <f>IFERROR(__xludf.DUMMYFUNCTION("counta(iferror(filter(L$2:L55,E$2:E55=E56,L$2:L55&lt;L56)))"),1.0)</f>
        <v>1</v>
      </c>
      <c r="N56" s="106">
        <f>IFERROR(__xludf.DUMMYFUNCTION("counta(iferror(filter(L57:L$121,E57:E$121=E56,L57:L$624&gt;L56)))"),0.0)</f>
        <v>0</v>
      </c>
      <c r="O56" s="152"/>
      <c r="P56" s="106" t="b">
        <f>IFERROR(__xludf.DUMMYFUNCTION("if(F56="""","""",let(wc_picked, countifs(E$1:E55,E56,G$1:G55,""This is your wild card pick""), let(spots_filled,counta(unique(filter(D$2:E56,E$2:E56=E56)))/2,let(total,VLOOKUP(E56,'Conf WC Eligibility'!A:C,3,0),if(E56=""zIndependent"", TRUE,total-wc_picke"&amp;"d&gt;12)))))"),TRUE)</f>
        <v>1</v>
      </c>
      <c r="Q56" s="107">
        <f t="array" ref="Q56:AB56">XLOOKUP(F56,'Current Week'!C:C,'Current Week'!D:O)</f>
        <v>7</v>
      </c>
      <c r="R56" s="106">
        <v>5.0</v>
      </c>
      <c r="S56" s="106" t="s">
        <v>732</v>
      </c>
      <c r="T56" s="106" t="s">
        <v>61</v>
      </c>
      <c r="U56" s="106" t="s">
        <v>249</v>
      </c>
      <c r="V56" s="106"/>
      <c r="W56" s="106" t="s">
        <v>67</v>
      </c>
      <c r="X56" s="106">
        <v>6.5</v>
      </c>
      <c r="Y56" s="106" t="s">
        <v>67</v>
      </c>
      <c r="Z56" s="106">
        <v>39.5</v>
      </c>
      <c r="AA56" s="106">
        <v>351.0</v>
      </c>
      <c r="AB56" s="106">
        <v>276.0</v>
      </c>
      <c r="AC56" s="108" t="b">
        <v>1</v>
      </c>
      <c r="AD56" s="109">
        <f t="shared" si="4"/>
        <v>-4</v>
      </c>
      <c r="AE56" s="110">
        <f t="shared" si="5"/>
        <v>18</v>
      </c>
      <c r="AF56" s="110">
        <f>IFERROR(__xludf.DUMMYFUNCTION("iferror(COUNT(filter($Q57:$Q$400,$Q57:$Q$400&gt;$Q56)))"),22.0)</f>
        <v>22</v>
      </c>
      <c r="AG56" s="111">
        <f t="shared" si="6"/>
        <v>0</v>
      </c>
      <c r="AH56" s="112">
        <f t="shared" si="7"/>
        <v>5</v>
      </c>
      <c r="AI56" s="113" t="str">
        <f>IFERROR(__xludf.DUMMYFUNCTION("iferror(join("","",index(sort(filter($F57:$F$401,$Q57:$Q$401&gt;$Q56),2,false),0,1)))"),"Texas A&amp;M,Jacksonville State,Georgia Tech,Western Michigan,Iowa,Missouri,Hawaii,Iowa State,Oklahoma,TCU,Old Dominion,Troy,UConn,Houston,San Diego State,Virginia,Pittsburgh,Vanderbilt,New Mexico,Kennesaw State,Wake Forest,Arizona")</f>
        <v>Texas A&amp;M,Jacksonville State,Georgia Tech,Western Michigan,Iowa,Missouri,Hawaii,Iowa State,Oklahoma,TCU,Old Dominion,Troy,UConn,Houston,San Diego State,Virginia,Pittsburgh,Vanderbilt,New Mexico,Kennesaw State,Wake Forest,Arizona</v>
      </c>
      <c r="AJ56" s="114">
        <f>IFERROR(__xludf.DUMMYFUNCTION("iferror($Q56-max(filter($Q56:$Q$400,$E56:$E$400=$E$2)))"),-1.0)</f>
        <v>-1</v>
      </c>
      <c r="AK56" s="110">
        <f t="shared" si="8"/>
        <v>1</v>
      </c>
      <c r="AL56" s="110">
        <f>IFERROR(__xludf.DUMMYFUNCTION("iferror(COUNT(filter($Q57:$Q$400,$Q57:$Q$400&gt;$Q56,$E56:$E$400=$E$2)))"),0.0)</f>
        <v>0</v>
      </c>
      <c r="AM56" s="111">
        <f t="shared" si="9"/>
        <v>0</v>
      </c>
      <c r="AN56" s="110">
        <f>IFERROR(__xludf.DUMMYFUNCTION("iferror($Q56-min(filter($Q56:$Q$400,$E56:$E$400=$E$2)))"),5.0)</f>
        <v>5</v>
      </c>
      <c r="AO56" s="113" t="str">
        <f>IFERROR(__xludf.DUMMYFUNCTION("iferror(join("","",index(sort(filter($F57:$F$400,$Q57:$Q$400&gt;$Q56,$E57:$E$400=$E$2),2,false),0,1)))"),"Iowa")</f>
        <v>Iowa</v>
      </c>
      <c r="AP56" s="113" t="str">
        <f>IFERROR(__xludf.DUMMYFUNCTION("REGEXREPLACE(join("","",unique({let(conf_picked,filter(E$1:E55,D$1:D55=D56), byrow(unique(TRANSPOSe(Teams!$1:$1)),lambda(rw,if(ISERROR(match(rw,conf_picked,0)),rw,))));if(AW56,,transpose(split(AX56,"","",1,1)))})), ""^,"", """")"),"ACC,Big 12,Big Ten,CUSA,MWC,Pac12,Sun Belt")</f>
        <v>ACC,Big 12,Big Ten,CUSA,MWC,Pac12,Sun Belt</v>
      </c>
      <c r="AQ56" s="114">
        <f>IFERROR(__xludf.DUMMYFUNCTION("iferror($Q56-max(filter($Q56:$Q$400,arrayformula(isnumber(FIND($E56:$E$400,AP56))))))"),-3.0)</f>
        <v>-3</v>
      </c>
      <c r="AR56" s="110">
        <f t="array" ref="AR56">countifs($Q$2:$Q55,"&lt;"&amp;$Q56,isnumber(FIND($E$2:$E55,AP56)),TRUE)</f>
        <v>11</v>
      </c>
      <c r="AS56" s="110">
        <f>IFERROR(__xludf.DUMMYFUNCTION("iferror(COUNT(filter($Q57:$Q$400,$Q57:$Q$400&gt;$Q56,arrayformula(isnumber(FIND($E57:$E$400,AP56))))))"),16.0)</f>
        <v>16</v>
      </c>
      <c r="AT56" s="111">
        <f t="shared" si="10"/>
        <v>0</v>
      </c>
      <c r="AU56" s="110">
        <f>IFERROR(__xludf.DUMMYFUNCTION("iferror($Q56-min(filter($Q56:$Q$400,arrayformula(isnumber(FIND($E56:$E$400,AP56))))))"),6.0)</f>
        <v>6</v>
      </c>
      <c r="AV56" s="113" t="str">
        <f>IFERROR(__xludf.DUMMYFUNCTION("iferror(join("","",index(sort(filter($F57:$F$400,$Q57:$Q$400&gt;$Q56,arrayformula(isnumber(FIND($E57:$E$400,AP56)))),2,false),0,1)))"),"Jacksonville State,Georgia Tech,Iowa,Hawaii,Iowa State,TCU,Old Dominion,Troy,Houston,San Diego State,Virginia,Pittsburgh,New Mexico,Kennesaw State,Wake Forest,Arizona")</f>
        <v>Jacksonville State,Georgia Tech,Iowa,Hawaii,Iowa State,TCU,Old Dominion,Troy,Houston,San Diego State,Virginia,Pittsburgh,New Mexico,Kennesaw State,Wake Forest,Arizona</v>
      </c>
      <c r="AW56" s="113" t="b">
        <f>IFERROR(__xludf.DUMMYFUNCTION("isnumber(find(""wild card"",join("","",filter($G$1:$G55,$D$1:$D55=D56))))"),TRUE)</f>
        <v>1</v>
      </c>
      <c r="AX56" s="113" t="str">
        <f>IFERROR(__xludf.DUMMYFUNCTION("join("","",let(confs,unique(TRANSPOSe(Teams!$1:$1)), confs_count, BYROW(confs,lambda(conf,xlookup(conf,'Conf WC Eligibility'!A:A,'Conf WC Eligibility'!C:C,,))),confs_picked,byrow(confs,lambda(conf,countif(E$1:E55,conf))),p_needs_conf_count,byrow(confs,lam"&amp;"bda(conf,counta('Draft Order'!B$2:B622)-COUNTUNIQUE(filter(D$2:D55,E$2:E55=conf)))),query({confs,confs_count,confs_picked,p_needs_conf_count},""select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">
      <c r="A57" s="1">
        <v>56.0</v>
      </c>
      <c r="B57" s="1">
        <v>5.0</v>
      </c>
      <c r="C57" s="1">
        <v>8.0</v>
      </c>
      <c r="D57" s="115" t="s">
        <v>238</v>
      </c>
      <c r="E57" s="116" t="str">
        <f>if(F57&lt;&gt;"",VLOOKUP(F57,offset('Teams-Conference'!A:B,0,(counta('Draft Order'!B$2:B622)-10)*2),2,0),"")</f>
        <v>SEC</v>
      </c>
      <c r="F57" s="77" t="s">
        <v>539</v>
      </c>
      <c r="G57" s="106" t="str">
        <f t="shared" si="1"/>
        <v>Regular Pick</v>
      </c>
      <c r="H57" s="106">
        <f t="shared" si="37"/>
        <v>2</v>
      </c>
      <c r="I57" s="106">
        <f t="shared" si="38"/>
        <v>4</v>
      </c>
      <c r="J57" s="106">
        <f t="shared" si="36"/>
        <v>2</v>
      </c>
      <c r="K57" s="106">
        <f t="shared" si="39"/>
        <v>0</v>
      </c>
      <c r="L57" s="106">
        <v>11.0</v>
      </c>
      <c r="M57" s="106">
        <f>IFERROR(__xludf.DUMMYFUNCTION("counta(iferror(filter(L$2:L56,E$2:E56=E57,L$2:L56&lt;L57)))"),5.0)</f>
        <v>5</v>
      </c>
      <c r="N57" s="106">
        <f>IFERROR(__xludf.DUMMYFUNCTION("counta(iferror(filter(L58:L$121,E58:E$121=E57,L58:L$624&gt;L57)))"),0.0)</f>
        <v>0</v>
      </c>
      <c r="O57" s="152"/>
      <c r="P57" s="106" t="b">
        <f>IFERROR(__xludf.DUMMYFUNCTION("if(F57="""","""",let(wc_picked, countifs(E$1:E56,E57,G$1:G56,""This is your wild card pick""), let(spots_filled,counta(unique(filter(D$2:E57,E$2:E57=E57)))/2,let(total,VLOOKUP(E57,'Conf WC Eligibility'!A:C,3,0),if(E57=""zIndependent"", TRUE,total-wc_picke"&amp;"d&gt;12)))))"),TRUE)</f>
        <v>1</v>
      </c>
      <c r="Q57" s="107">
        <f t="array" ref="Q57:AB57">XLOOKUP(F57,'Current Week'!C:C,'Current Week'!D:O)</f>
        <v>11</v>
      </c>
      <c r="R57" s="106">
        <v>1.0</v>
      </c>
      <c r="S57" s="106" t="s">
        <v>743</v>
      </c>
      <c r="T57" s="106" t="s">
        <v>61</v>
      </c>
      <c r="U57" s="106" t="s">
        <v>132</v>
      </c>
      <c r="V57" s="106"/>
      <c r="W57" s="106" t="s">
        <v>67</v>
      </c>
      <c r="X57" s="106">
        <v>-2.5</v>
      </c>
      <c r="Y57" s="106" t="s">
        <v>67</v>
      </c>
      <c r="Z57" s="106">
        <v>52.5</v>
      </c>
      <c r="AA57" s="106">
        <v>436.0</v>
      </c>
      <c r="AB57" s="106">
        <v>263.0</v>
      </c>
      <c r="AC57" s="108" t="b">
        <v>1</v>
      </c>
      <c r="AD57" s="109">
        <f t="shared" si="4"/>
        <v>0</v>
      </c>
      <c r="AE57" s="110">
        <f t="shared" si="5"/>
        <v>46</v>
      </c>
      <c r="AF57" s="110">
        <f>IFERROR(__xludf.DUMMYFUNCTION("iferror(COUNT(filter($Q58:$Q$400,$Q58:$Q$400&gt;$Q57)))"),0.0)</f>
        <v>0</v>
      </c>
      <c r="AG57" s="111">
        <f t="shared" si="6"/>
        <v>1</v>
      </c>
      <c r="AH57" s="112">
        <f t="shared" si="7"/>
        <v>9</v>
      </c>
      <c r="AI57" s="113" t="str">
        <f>IFERROR(__xludf.DUMMYFUNCTION("iferror(join("","",index(sort(filter($F58:$F$401,$Q58:$Q$401&gt;$Q57),2,false),0,1)))"),"")</f>
        <v/>
      </c>
      <c r="AJ57" s="114">
        <f>IFERROR(__xludf.DUMMYFUNCTION("iferror($Q57-max(filter($Q57:$Q$400,$E57:$E$400=$E$2)))"),3.0)</f>
        <v>3</v>
      </c>
      <c r="AK57" s="110">
        <f t="shared" si="8"/>
        <v>6</v>
      </c>
      <c r="AL57" s="110">
        <f>IFERROR(__xludf.DUMMYFUNCTION("iferror(COUNT(filter($Q58:$Q$400,$Q58:$Q$400&gt;$Q57,$E57:$E$400=$E$2)))"),0.0)</f>
        <v>0</v>
      </c>
      <c r="AM57" s="111">
        <f t="shared" si="9"/>
        <v>0</v>
      </c>
      <c r="AN57" s="110">
        <f>IFERROR(__xludf.DUMMYFUNCTION("iferror($Q57-min(filter($Q57:$Q$400,$E57:$E$400=$E$2)))"),9.0)</f>
        <v>9</v>
      </c>
      <c r="AO57" s="113" t="str">
        <f>IFERROR(__xludf.DUMMYFUNCTION("iferror(join("","",index(sort(filter($F58:$F$400,$Q58:$Q$400&gt;$Q57,$E58:$E$400=$E$2),2,false),0,1)))"),"")</f>
        <v/>
      </c>
      <c r="AP57" s="113" t="str">
        <f>IFERROR(__xludf.DUMMYFUNCTION("REGEXREPLACE(join("","",unique({let(conf_picked,filter(E$1:E56,D$1:D56=D57), byrow(unique(TRANSPOSe(Teams!$1:$1)),lambda(rw,if(ISERROR(match(rw,conf_picked,0)),rw,))));if(AW57,,transpose(split(AX57,"","",1,1)))})), ""^,"", """")"),"ACC,Big 12,Big Ten,CUSA,Pac12,SEC,zIndependent,AAC,MAC,Sun Belt")</f>
        <v>ACC,Big 12,Big Ten,CUSA,Pac12,SEC,zIndependent,AAC,MAC,Sun Belt</v>
      </c>
      <c r="AQ57" s="114">
        <f>IFERROR(__xludf.DUMMYFUNCTION("iferror($Q57-max(filter($Q57:$Q$400,arrayformula(isnumber(FIND($E57:$E$400,AP57))))))"),0.0)</f>
        <v>0</v>
      </c>
      <c r="AR57" s="110">
        <f t="array" ref="AR57">countifs($Q$2:$Q56,"&lt;"&amp;$Q57,isnumber(FIND($E$2:$E56,AP57)),TRUE)</f>
        <v>41</v>
      </c>
      <c r="AS57" s="110">
        <f>IFERROR(__xludf.DUMMYFUNCTION("iferror(COUNT(filter($Q58:$Q$400,$Q58:$Q$400&gt;$Q57,arrayformula(isnumber(FIND($E58:$E$400,AP57))))))"),0.0)</f>
        <v>0</v>
      </c>
      <c r="AT57" s="111">
        <f t="shared" si="10"/>
        <v>1</v>
      </c>
      <c r="AU57" s="110">
        <f>IFERROR(__xludf.DUMMYFUNCTION("iferror($Q57-min(filter($Q57:$Q$400,arrayformula(isnumber(FIND($E57:$E$400,AP57))))))"),11.0)</f>
        <v>11</v>
      </c>
      <c r="AV57" s="113" t="str">
        <f>IFERROR(__xludf.DUMMYFUNCTION("iferror(join("","",index(sort(filter($F58:$F$400,$Q58:$Q$400&gt;$Q57,arrayformula(isnumber(FIND($E58:$E$400,AP57)))),2,false),0,1)))"),"")</f>
        <v/>
      </c>
      <c r="AW57" s="113" t="b">
        <f>IFERROR(__xludf.DUMMYFUNCTION("isnumber(find(""wild card"",join("","",filter($G$1:$G56,$D$1:$D56=D57))))"),FALSE)</f>
        <v>0</v>
      </c>
      <c r="AX57" s="113" t="str">
        <f>IFERROR(__xludf.DUMMYFUNCTION("join("","",let(confs,unique(TRANSPOSe(Teams!$1:$1)), confs_count, BYROW(confs,lambda(conf,xlookup(conf,'Conf WC Eligibility'!A:A,'Conf WC Eligibility'!C:C,,))),confs_picked,byrow(confs,lambda(conf,countif(E$1:E56,conf))),p_needs_conf_count,byrow(confs,lam"&amp;"bda(conf,counta('Draft Order'!B$2:B622)-COUNTUNIQUE(filter(D$2:D56,E$2:E56=conf)))),query({confs,confs_count,confs_picked,p_needs_conf_count},""select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">
      <c r="A58" s="1">
        <v>57.0</v>
      </c>
      <c r="B58" s="1">
        <v>5.0</v>
      </c>
      <c r="C58" s="1">
        <v>9.0</v>
      </c>
      <c r="D58" s="115" t="s">
        <v>156</v>
      </c>
      <c r="E58" s="116" t="str">
        <f>if(F58&lt;&gt;"",VLOOKUP(F58,offset('Teams-Conference'!A:B,0,(counta('Draft Order'!B$2:B622)-10)*2),2,0),"")</f>
        <v>CUSA</v>
      </c>
      <c r="F58" s="77" t="s">
        <v>232</v>
      </c>
      <c r="G58" s="106" t="str">
        <f t="shared" si="1"/>
        <v>Regular Pick</v>
      </c>
      <c r="H58" s="106">
        <f t="shared" si="37"/>
        <v>0</v>
      </c>
      <c r="I58" s="106">
        <f t="shared" si="38"/>
        <v>0</v>
      </c>
      <c r="J58" s="106">
        <f t="shared" si="36"/>
        <v>0</v>
      </c>
      <c r="K58" s="106">
        <f t="shared" si="39"/>
        <v>2</v>
      </c>
      <c r="L58" s="106">
        <v>8.0</v>
      </c>
      <c r="M58" s="106">
        <f>IFERROR(__xludf.DUMMYFUNCTION("counta(iferror(filter(L$2:L57,E$2:E57=E58,L$2:L57&lt;L58)))"),2.0)</f>
        <v>2</v>
      </c>
      <c r="N58" s="106">
        <f>IFERROR(__xludf.DUMMYFUNCTION("counta(iferror(filter(L59:L$121,E59:E$121=E58,L59:L$624&gt;L58)))"),0.0)</f>
        <v>0</v>
      </c>
      <c r="O58" s="152"/>
      <c r="P58" s="106" t="b">
        <f>IFERROR(__xludf.DUMMYFUNCTION("if(F58="""","""",let(wc_picked, countifs(E$1:E57,E58,G$1:G57,""This is your wild card pick""), let(spots_filled,counta(unique(filter(D$2:E58,E$2:E58=E58)))/2,let(total,VLOOKUP(E58,'Conf WC Eligibility'!A:C,3,0),if(E58=""zIndependent"", TRUE,total-wc_picke"&amp;"d&gt;12)))))"),FALSE)</f>
        <v>0</v>
      </c>
      <c r="Q58" s="107">
        <f t="array" ref="Q58:AB58">XLOOKUP(F58,'Current Week'!C:C,'Current Week'!D:O)</f>
        <v>8</v>
      </c>
      <c r="R58" s="106">
        <v>4.0</v>
      </c>
      <c r="S58" s="106" t="s">
        <v>752</v>
      </c>
      <c r="T58" s="106" t="s">
        <v>61</v>
      </c>
      <c r="U58" s="106" t="s">
        <v>395</v>
      </c>
      <c r="V58" s="106"/>
      <c r="W58" s="106" t="s">
        <v>67</v>
      </c>
      <c r="X58" s="106">
        <v>2.5</v>
      </c>
      <c r="Y58" s="106" t="s">
        <v>67</v>
      </c>
      <c r="Z58" s="106">
        <v>55.5</v>
      </c>
      <c r="AA58" s="106">
        <v>362.0</v>
      </c>
      <c r="AB58" s="106">
        <v>321.0</v>
      </c>
      <c r="AC58" s="108" t="b">
        <v>1</v>
      </c>
      <c r="AD58" s="109">
        <f t="shared" si="4"/>
        <v>-2</v>
      </c>
      <c r="AE58" s="110">
        <f t="shared" si="5"/>
        <v>23</v>
      </c>
      <c r="AF58" s="110">
        <f>IFERROR(__xludf.DUMMYFUNCTION("iferror(COUNT(filter($Q59:$Q$400,$Q59:$Q$400&gt;$Q58)))"),11.0)</f>
        <v>11</v>
      </c>
      <c r="AG58" s="111">
        <f t="shared" si="6"/>
        <v>0</v>
      </c>
      <c r="AH58" s="112">
        <f t="shared" si="7"/>
        <v>6</v>
      </c>
      <c r="AI58" s="113" t="str">
        <f>IFERROR(__xludf.DUMMYFUNCTION("iferror(join("","",index(sort(filter($F59:$F$401,$Q59:$Q$401&gt;$Q58),2,false),0,1)))"),"Georgia Tech,Oklahoma,Old Dominion,UConn,Houston,San Diego State,Virginia,Vanderbilt,New Mexico,Kennesaw State,Arizona")</f>
        <v>Georgia Tech,Oklahoma,Old Dominion,UConn,Houston,San Diego State,Virginia,Vanderbilt,New Mexico,Kennesaw State,Arizona</v>
      </c>
      <c r="AJ58" s="114">
        <f>IFERROR(__xludf.DUMMYFUNCTION("iferror($Q58-max(filter($Q58:$Q$400,$E58:$E$400=$E$2)))"),0.0)</f>
        <v>0</v>
      </c>
      <c r="AK58" s="110">
        <f t="shared" si="8"/>
        <v>2</v>
      </c>
      <c r="AL58" s="110">
        <f>IFERROR(__xludf.DUMMYFUNCTION("iferror(COUNT(filter($Q59:$Q$400,$Q59:$Q$400&gt;$Q58,$E58:$E$400=$E$2)))"),0.0)</f>
        <v>0</v>
      </c>
      <c r="AM58" s="111">
        <f t="shared" si="9"/>
        <v>1</v>
      </c>
      <c r="AN58" s="110">
        <f>IFERROR(__xludf.DUMMYFUNCTION("iferror($Q58-min(filter($Q58:$Q$400,$E58:$E$400=$E$2)))"),6.0)</f>
        <v>6</v>
      </c>
      <c r="AO58" s="113" t="str">
        <f>IFERROR(__xludf.DUMMYFUNCTION("iferror(join("","",index(sort(filter($F59:$F$400,$Q59:$Q$400&gt;$Q58,$E59:$E$400=$E$2),2,false),0,1)))"),"")</f>
        <v/>
      </c>
      <c r="AP58" s="113" t="str">
        <f>IFERROR(__xludf.DUMMYFUNCTION("REGEXREPLACE(join("","",unique({let(conf_picked,filter(E$1:E57,D$1:D57=D58), byrow(unique(TRANSPOSe(Teams!$1:$1)),lambda(rw,if(ISERROR(match(rw,conf_picked,0)),rw,))));if(AW58,,transpose(split(AX58,"","",1,1)))})), ""^,"", """")"),"Big 12,CUSA,MWC,Pac12,SEC,Sun Belt,zIndependent,AAC,ACC,Big Ten,MAC")</f>
        <v>Big 12,CUSA,MWC,Pac12,SEC,Sun Belt,zIndependent,AAC,ACC,Big Ten,MAC</v>
      </c>
      <c r="AQ58" s="114">
        <f>IFERROR(__xludf.DUMMYFUNCTION("iferror($Q58-max(filter($Q58:$Q$400,arrayformula(isnumber(FIND($E58:$E$400,AP58))))))"),-2.0)</f>
        <v>-2</v>
      </c>
      <c r="AR58" s="110">
        <f t="array" ref="AR58">countifs($Q$2:$Q57,"&lt;"&amp;$Q58,isnumber(FIND($E$2:$E57,AP58)),TRUE)</f>
        <v>23</v>
      </c>
      <c r="AS58" s="110">
        <f>IFERROR(__xludf.DUMMYFUNCTION("iferror(COUNT(filter($Q59:$Q$400,$Q59:$Q$400&gt;$Q58,arrayformula(isnumber(FIND($E59:$E$400,AP58))))))"),11.0)</f>
        <v>11</v>
      </c>
      <c r="AT58" s="111">
        <f t="shared" si="10"/>
        <v>0</v>
      </c>
      <c r="AU58" s="110">
        <f>IFERROR(__xludf.DUMMYFUNCTION("iferror($Q58-min(filter($Q58:$Q$400,arrayformula(isnumber(FIND($E58:$E$400,AP58))))))"),8.0)</f>
        <v>8</v>
      </c>
      <c r="AV58" s="113" t="str">
        <f>IFERROR(__xludf.DUMMYFUNCTION("iferror(join("","",index(sort(filter($F59:$F$400,$Q59:$Q$400&gt;$Q58,arrayformula(isnumber(FIND($E59:$E$400,AP58)))),2,false),0,1)))"),"Georgia Tech,Oklahoma,Old Dominion,UConn,Houston,San Diego State,Virginia,Vanderbilt,New Mexico,Kennesaw State,Arizona")</f>
        <v>Georgia Tech,Oklahoma,Old Dominion,UConn,Houston,San Diego State,Virginia,Vanderbilt,New Mexico,Kennesaw State,Arizona</v>
      </c>
      <c r="AW58" s="113" t="b">
        <f>IFERROR(__xludf.DUMMYFUNCTION("isnumber(find(""wild card"",join("","",filter($G$1:$G57,$D$1:$D57=D58))))"),FALSE)</f>
        <v>0</v>
      </c>
      <c r="AX58" s="113" t="str">
        <f>IFERROR(__xludf.DUMMYFUNCTION("join("","",let(confs,unique(TRANSPOSe(Teams!$1:$1)), confs_count, BYROW(confs,lambda(conf,xlookup(conf,'Conf WC Eligibility'!A:A,'Conf WC Eligibility'!C:C,,))),confs_picked,byrow(confs,lambda(conf,countif(E$1:E57,conf))),p_needs_conf_count,byrow(confs,lam"&amp;"bda(conf,counta('Draft Order'!B$2:B622)-COUNTUNIQUE(filter(D$2:D57,E$2:E57=conf)))),query({confs,confs_count,confs_picked,p_needs_conf_count},""select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">
      <c r="A59" s="1">
        <v>58.0</v>
      </c>
      <c r="B59" s="1">
        <v>5.0</v>
      </c>
      <c r="C59" s="1">
        <v>10.0</v>
      </c>
      <c r="D59" s="115" t="s">
        <v>249</v>
      </c>
      <c r="E59" s="116" t="str">
        <f>if(F59&lt;&gt;"",VLOOKUP(F59,offset('Teams-Conference'!A:B,0,(counta('Draft Order'!B$2:B622)-10)*2),2,0),"")</f>
        <v>Big 12</v>
      </c>
      <c r="F59" s="77" t="s">
        <v>124</v>
      </c>
      <c r="G59" s="106" t="str">
        <f t="shared" si="1"/>
        <v>Regular Pick</v>
      </c>
      <c r="H59" s="106">
        <f t="shared" si="37"/>
        <v>0</v>
      </c>
      <c r="I59" s="106">
        <f t="shared" si="38"/>
        <v>2</v>
      </c>
      <c r="J59" s="106">
        <f t="shared" si="36"/>
        <v>1</v>
      </c>
      <c r="K59" s="106">
        <f t="shared" si="39"/>
        <v>1</v>
      </c>
      <c r="L59" s="106">
        <v>5.0</v>
      </c>
      <c r="M59" s="106">
        <f>IFERROR(__xludf.DUMMYFUNCTION("counta(iferror(filter(L$2:L58,E$2:E58=E59,L$2:L58&lt;L59)))"),0.0)</f>
        <v>0</v>
      </c>
      <c r="N59" s="106">
        <f>IFERROR(__xludf.DUMMYFUNCTION("counta(iferror(filter(L60:L$121,E60:E$121=E59,L60:L$624&gt;L59)))"),0.0)</f>
        <v>0</v>
      </c>
      <c r="O59" s="152"/>
      <c r="P59" s="106" t="b">
        <f>IFERROR(__xludf.DUMMYFUNCTION("if(F59="""","""",let(wc_picked, countifs(E$1:E58,E59,G$1:G58,""This is your wild card pick""), let(spots_filled,counta(unique(filter(D$2:E59,E$2:E59=E59)))/2,let(total,VLOOKUP(E59,'Conf WC Eligibility'!A:C,3,0),if(E59=""zIndependent"", TRUE,total-wc_picke"&amp;"d&gt;12)))))"),TRUE)</f>
        <v>1</v>
      </c>
      <c r="Q59" s="107">
        <f t="array" ref="Q59:AB59">XLOOKUP(F59,'Current Week'!C:C,'Current Week'!D:O)</f>
        <v>5</v>
      </c>
      <c r="R59" s="106">
        <v>7.0</v>
      </c>
      <c r="S59" s="106" t="s">
        <v>766</v>
      </c>
      <c r="T59" s="106" t="s">
        <v>61</v>
      </c>
      <c r="U59" s="106" t="s">
        <v>395</v>
      </c>
      <c r="V59" s="106"/>
      <c r="W59" s="106" t="s">
        <v>67</v>
      </c>
      <c r="X59" s="106">
        <v>-2.5</v>
      </c>
      <c r="Y59" s="106" t="s">
        <v>67</v>
      </c>
      <c r="Z59" s="106">
        <v>58.5</v>
      </c>
      <c r="AA59" s="106">
        <v>373.0</v>
      </c>
      <c r="AB59" s="106">
        <v>391.0</v>
      </c>
      <c r="AC59" s="108" t="b">
        <v>1</v>
      </c>
      <c r="AD59" s="109">
        <f t="shared" si="4"/>
        <v>-5</v>
      </c>
      <c r="AE59" s="110">
        <f t="shared" si="5"/>
        <v>7</v>
      </c>
      <c r="AF59" s="110">
        <f>IFERROR(__xludf.DUMMYFUNCTION("iferror(COUNT(filter($Q60:$Q$400,$Q60:$Q$400&gt;$Q59)))"),35.0)</f>
        <v>35</v>
      </c>
      <c r="AG59" s="111">
        <f t="shared" si="6"/>
        <v>0</v>
      </c>
      <c r="AH59" s="112">
        <f t="shared" si="7"/>
        <v>3</v>
      </c>
      <c r="AI59" s="113" t="str">
        <f>IFERROR(__xludf.DUMMYFUNCTION("iferror(join("","",index(sort(filter($F60:$F$401,$Q60:$Q$401&gt;$Q59),2,false),0,1)))"),"Georgia Tech,Central Michigan,Western Michigan,Iowa,Missouri,Minnesota,Hawaii,Iowa State,Oklahoma,TCU,Old Dominion,Troy,Cincinnati,Duke,UConn,Florida Intl,Houston,San Diego State,Coastal Carolina,Virginia,Utah State,NC State,California,Missouri State,Pitt"&amp;"sburgh,Arkansas State,Vanderbilt,Delaware,New Mexico,Kennesaw State,Wake Forest,Arizona,Northwestern,Washington State,Southern Mississippi")</f>
        <v>Georgia Tech,Central Michigan,Western Michigan,Iowa,Missouri,Minnesota,Hawaii,Iowa State,Oklahoma,TCU,Old Dominion,Troy,Cincinnati,Duke,UConn,Florida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J59" s="114">
        <f>IFERROR(__xludf.DUMMYFUNCTION("iferror($Q59-max(filter($Q59:$Q$400,$E59:$E$400=$E$2)))"),-3.0)</f>
        <v>-3</v>
      </c>
      <c r="AK59" s="110">
        <f t="shared" si="8"/>
        <v>0</v>
      </c>
      <c r="AL59" s="110">
        <f>IFERROR(__xludf.DUMMYFUNCTION("iferror(COUNT(filter($Q60:$Q$400,$Q60:$Q$400&gt;$Q59,$E59:$E$400=$E$2)))"),0.0)</f>
        <v>0</v>
      </c>
      <c r="AM59" s="111">
        <f t="shared" si="9"/>
        <v>0</v>
      </c>
      <c r="AN59" s="110">
        <f>IFERROR(__xludf.DUMMYFUNCTION("iferror($Q59-min(filter($Q59:$Q$400,$E59:$E$400=$E$2)))"),3.0)</f>
        <v>3</v>
      </c>
      <c r="AO59" s="113" t="str">
        <f>IFERROR(__xludf.DUMMYFUNCTION("iferror(join("","",index(sort(filter($F60:$F$400,$Q60:$Q$400&gt;$Q59,$E60:$E$400=$E$2),2,false),0,1)))"),"Iowa,Minnesota,Northwestern")</f>
        <v>Iowa,Minnesota,Northwestern</v>
      </c>
      <c r="AP59" s="113" t="str">
        <f>IFERROR(__xludf.DUMMYFUNCTION("REGEXREPLACE(join("","",unique({let(conf_picked,filter(E$1:E58,D$1:D58=D59), byrow(unique(TRANSPOSe(Teams!$1:$1)),lambda(rw,if(ISERROR(match(rw,conf_picked,0)),rw,))));if(AW59,,transpose(split(AX59,"","",1,1)))})), ""^,"", """")"),"AAC,,Big 12,Big Ten,MWC,Pac12,Sun Belt,zIndependent,ACC,MAC,SEC")</f>
        <v>AAC,,Big 12,Big Ten,MWC,Pac12,Sun Belt,zIndependent,ACC,MAC,SEC</v>
      </c>
      <c r="AQ59" s="114">
        <f>IFERROR(__xludf.DUMMYFUNCTION("iferror($Q59-max(filter($Q59:$Q$400,arrayformula(isnumber(FIND($E59:$E$400,AP59))))))"),-5.0)</f>
        <v>-5</v>
      </c>
      <c r="AR59" s="110">
        <f t="array" ref="AR59">countifs($Q$2:$Q58,"&lt;"&amp;$Q59,isnumber(FIND($E$2:$E58,AP59)),TRUE)</f>
        <v>6</v>
      </c>
      <c r="AS59" s="110">
        <f>IFERROR(__xludf.DUMMYFUNCTION("iferror(COUNT(filter($Q60:$Q$400,$Q60:$Q$400&gt;$Q59,arrayformula(isnumber(FIND($E60:$E$400,AP59))))))"),31.0)</f>
        <v>31</v>
      </c>
      <c r="AT59" s="111">
        <f t="shared" si="10"/>
        <v>0</v>
      </c>
      <c r="AU59" s="110">
        <f>IFERROR(__xludf.DUMMYFUNCTION("iferror($Q59-min(filter($Q59:$Q$400,arrayformula(isnumber(FIND($E59:$E$400,AP59))))))"),5.0)</f>
        <v>5</v>
      </c>
      <c r="AV59" s="113" t="str">
        <f>IFERROR(__xludf.DUMMYFUNCTION("iferror(join("","",index(sort(filter($F60:$F$400,$Q60:$Q$400&gt;$Q59,arrayformula(isnumber(FIND($E60:$E$400,AP59)))),2,false),0,1)))"),"Georgia Tech,Central Michigan,Western Michigan,Iowa,Missouri,Minnesota,Hawaii,Iowa State,Oklahoma,TCU,Old Dominion,Troy,Cincinnati,Duke,UConn,Houston,San Diego State,Coastal Carolina,Virginia,Utah State,NC State,California,Pittsburgh,Arkansas State,Vander"&amp;"bilt,New Mexico,Wake Forest,Arizona,Northwestern,Washington State,Southern Mississippi")</f>
        <v>Georgia Tech,Central Michigan,Western Michigan,Iowa,Missouri,Minnesota,Hawaii,Iowa State,Oklahoma,TCU,Old Dominion,Troy,Cincinnati,Duke,UConn,Houston,San Diego State,Coastal Carolina,Virginia,Utah State,NC State,California,Pittsburgh,Arkansas State,Vanderbilt,New Mexico,Wake Forest,Arizona,Northwestern,Washington State,Southern Mississippi</v>
      </c>
      <c r="AW59" s="113" t="b">
        <f>IFERROR(__xludf.DUMMYFUNCTION("isnumber(find(""wild card"",join("","",filter($G$1:$G58,$D$1:$D58=D59))))"),FALSE)</f>
        <v>0</v>
      </c>
      <c r="AX59" s="113" t="str">
        <f>IFERROR(__xludf.DUMMYFUNCTION("join("","",let(confs,unique(TRANSPOSe(Teams!$1:$1)), confs_count, BYROW(confs,lambda(conf,xlookup(conf,'Conf WC Eligibility'!A:A,'Conf WC Eligibility'!C:C,,))),confs_picked,byrow(confs,lambda(conf,countif(E$1:E58,conf))),p_needs_conf_count,byrow(confs,lam"&amp;"bda(conf,counta('Draft Order'!B$2:B622)-COUNTUNIQUE(filter(D$2:D58,E$2:E58=conf)))),query({confs,confs_count,confs_picked,p_needs_conf_count},""select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">
      <c r="A60" s="1">
        <v>59.0</v>
      </c>
      <c r="B60" s="1">
        <v>5.0</v>
      </c>
      <c r="C60" s="1">
        <v>11.0</v>
      </c>
      <c r="D60" s="115" t="s">
        <v>395</v>
      </c>
      <c r="E60" s="116" t="str">
        <f>if(F60&lt;&gt;"",VLOOKUP(F60,offset('Teams-Conference'!A:B,0,(counta('Draft Order'!B$2:B622)-10)*2),2,0),"")</f>
        <v>ACC</v>
      </c>
      <c r="F60" s="77" t="s">
        <v>114</v>
      </c>
      <c r="G60" s="106" t="str">
        <f t="shared" si="1"/>
        <v>Regular Pick</v>
      </c>
      <c r="H60" s="106">
        <f t="shared" si="37"/>
        <v>0</v>
      </c>
      <c r="I60" s="106">
        <f t="shared" si="38"/>
        <v>2</v>
      </c>
      <c r="J60" s="106">
        <f t="shared" ref="J60:J61" si="40">countif(E50:E59,E60)</f>
        <v>1</v>
      </c>
      <c r="K60" s="106">
        <f t="shared" si="39"/>
        <v>3</v>
      </c>
      <c r="L60" s="106">
        <v>9.0</v>
      </c>
      <c r="M60" s="106">
        <f>IFERROR(__xludf.DUMMYFUNCTION("counta(iferror(filter(L$2:L59,E$2:E59=E60,L$2:L59&lt;L60)))"),4.0)</f>
        <v>4</v>
      </c>
      <c r="N60" s="106">
        <f>IFERROR(__xludf.DUMMYFUNCTION("counta(iferror(filter(L61:L$121,E61:E$121=E60,L61:L$624&gt;L60)))"),0.0)</f>
        <v>0</v>
      </c>
      <c r="O60" s="152"/>
      <c r="P60" s="106" t="b">
        <f>IFERROR(__xludf.DUMMYFUNCTION("if(F60="""","""",let(wc_picked, countifs(E$1:E59,E60,G$1:G59,""This is your wild card pick""), let(spots_filled,counta(unique(filter(D$2:E60,E$2:E60=E60)))/2,let(total,VLOOKUP(E60,'Conf WC Eligibility'!A:C,3,0),if(E60=""zIndependent"", TRUE,total-wc_picke"&amp;"d&gt;12)))))"),TRUE)</f>
        <v>1</v>
      </c>
      <c r="Q60" s="107">
        <f t="array" ref="Q60:AB60">XLOOKUP(F60,'Current Week'!C:C,'Current Week'!D:O)</f>
        <v>9</v>
      </c>
      <c r="R60" s="106">
        <v>3.0</v>
      </c>
      <c r="S60" s="106" t="s">
        <v>730</v>
      </c>
      <c r="T60" s="106" t="s">
        <v>61</v>
      </c>
      <c r="U60" s="106" t="s">
        <v>96</v>
      </c>
      <c r="V60" s="106"/>
      <c r="W60" s="106" t="s">
        <v>67</v>
      </c>
      <c r="X60" s="106">
        <v>14.0</v>
      </c>
      <c r="Y60" s="106" t="s">
        <v>67</v>
      </c>
      <c r="Z60" s="106">
        <v>59.5</v>
      </c>
      <c r="AA60" s="106">
        <v>397.0</v>
      </c>
      <c r="AB60" s="106">
        <v>300.0</v>
      </c>
      <c r="AC60" s="108" t="b">
        <v>1</v>
      </c>
      <c r="AD60" s="109">
        <f t="shared" si="4"/>
        <v>-1</v>
      </c>
      <c r="AE60" s="110">
        <f t="shared" si="5"/>
        <v>37</v>
      </c>
      <c r="AF60" s="110">
        <f>IFERROR(__xludf.DUMMYFUNCTION("iferror(COUNT(filter($Q61:$Q$400,$Q61:$Q$400&gt;$Q60)))"),3.0)</f>
        <v>3</v>
      </c>
      <c r="AG60" s="111">
        <f t="shared" si="6"/>
        <v>0</v>
      </c>
      <c r="AH60" s="112">
        <f t="shared" si="7"/>
        <v>7</v>
      </c>
      <c r="AI60" s="113" t="str">
        <f>IFERROR(__xludf.DUMMYFUNCTION("iferror(join("","",index(sort(filter($F61:$F$401,$Q61:$Q$401&gt;$Q60),2,false),0,1)))"),"Oklahoma,Virginia,Vanderbilt")</f>
        <v>Oklahoma,Virginia,Vanderbilt</v>
      </c>
      <c r="AJ60" s="114">
        <f>IFERROR(__xludf.DUMMYFUNCTION("iferror($Q60-max(filter($Q60:$Q$400,$E60:$E$400=$E$2)))"),1.0)</f>
        <v>1</v>
      </c>
      <c r="AK60" s="110">
        <f t="shared" si="8"/>
        <v>4</v>
      </c>
      <c r="AL60" s="110">
        <f>IFERROR(__xludf.DUMMYFUNCTION("iferror(COUNT(filter($Q61:$Q$400,$Q61:$Q$400&gt;$Q60,$E60:$E$400=$E$2)))"),0.0)</f>
        <v>0</v>
      </c>
      <c r="AM60" s="111">
        <f t="shared" si="9"/>
        <v>0</v>
      </c>
      <c r="AN60" s="110">
        <f>IFERROR(__xludf.DUMMYFUNCTION("iferror($Q60-min(filter($Q60:$Q$400,$E60:$E$400=$E$2)))"),7.0)</f>
        <v>7</v>
      </c>
      <c r="AO60" s="113" t="str">
        <f>IFERROR(__xludf.DUMMYFUNCTION("iferror(join("","",index(sort(filter($F61:$F$400,$Q61:$Q$400&gt;$Q60,$E61:$E$400=$E$2),2,false),0,1)))"),"")</f>
        <v/>
      </c>
      <c r="AP60" s="113" t="str">
        <f>IFERROR(__xludf.DUMMYFUNCTION("REGEXREPLACE(join("","",unique({let(conf_picked,filter(E$1:E59,D$1:D59=D60), byrow(unique(TRANSPOSe(Teams!$1:$1)),lambda(rw,if(ISERROR(match(rw,conf_picked,0)),rw,))));if(AW60,,transpose(split(AX60,"","",1,1)))})), ""^,"", """")"),"ACC,Big 12,Big Ten,MAC,Pac12,SEC,zIndependent,AAC,Sun Belt")</f>
        <v>ACC,Big 12,Big Ten,MAC,Pac12,SEC,zIndependent,AAC,Sun Belt</v>
      </c>
      <c r="AQ60" s="114">
        <f>IFERROR(__xludf.DUMMYFUNCTION("iferror($Q60-max(filter($Q60:$Q$400,arrayformula(isnumber(FIND($E60:$E$400,AP60))))))"),-1.0)</f>
        <v>-1</v>
      </c>
      <c r="AR60" s="110">
        <f t="array" ref="AR60">countifs($Q$2:$Q59,"&lt;"&amp;$Q60,isnumber(FIND($E$2:$E59,AP60)),TRUE)</f>
        <v>29</v>
      </c>
      <c r="AS60" s="110">
        <f>IFERROR(__xludf.DUMMYFUNCTION("iferror(COUNT(filter($Q61:$Q$400,$Q61:$Q$400&gt;$Q60,arrayformula(isnumber(FIND($E61:$E$400,AP60))))))"),3.0)</f>
        <v>3</v>
      </c>
      <c r="AT60" s="111">
        <f t="shared" si="10"/>
        <v>0</v>
      </c>
      <c r="AU60" s="110">
        <f>IFERROR(__xludf.DUMMYFUNCTION("iferror($Q60-min(filter($Q60:$Q$400,arrayformula(isnumber(FIND($E60:$E$400,AP60))))))"),9.0)</f>
        <v>9</v>
      </c>
      <c r="AV60" s="113" t="str">
        <f>IFERROR(__xludf.DUMMYFUNCTION("iferror(join("","",index(sort(filter($F61:$F$400,$Q61:$Q$400&gt;$Q60,arrayformula(isnumber(FIND($E61:$E$400,AP60)))),2,false),0,1)))"),"Oklahoma,Virginia,Vanderbilt")</f>
        <v>Oklahoma,Virginia,Vanderbilt</v>
      </c>
      <c r="AW60" s="113" t="b">
        <f>IFERROR(__xludf.DUMMYFUNCTION("isnumber(find(""wild card"",join("","",filter($G$1:$G59,$D$1:$D59=D60))))"),FALSE)</f>
        <v>0</v>
      </c>
      <c r="AX60" s="113" t="str">
        <f>IFERROR(__xludf.DUMMYFUNCTION("join("","",let(confs,unique(TRANSPOSe(Teams!$1:$1)), confs_count, BYROW(confs,lambda(conf,xlookup(conf,'Conf WC Eligibility'!A:A,'Conf WC Eligibility'!C:C,,))),confs_picked,byrow(confs,lambda(conf,countif(E$1:E59,conf))),p_needs_conf_count,byrow(confs,lam"&amp;"bda(conf,counta('Draft Order'!B$2:B622)-COUNTUNIQUE(filter(D$2:D59,E$2:E59=conf)))),query({confs,confs_count,confs_picked,p_needs_conf_count},""select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">
      <c r="A61" s="1">
        <v>60.0</v>
      </c>
      <c r="B61" s="1">
        <v>5.0</v>
      </c>
      <c r="C61" s="1">
        <v>12.0</v>
      </c>
      <c r="D61" s="115" t="s">
        <v>132</v>
      </c>
      <c r="E61" t="str">
        <f>if(F61&lt;&gt;"",VLOOKUP(F61,offset('Teams-Conference'!A:B,0,(counta('Draft Order'!B$2:B622)-10)*2),2,0),"")</f>
        <v>MAC</v>
      </c>
      <c r="F61" s="77" t="s">
        <v>168</v>
      </c>
      <c r="G61" s="106" t="str">
        <f t="shared" si="1"/>
        <v>Regular Pick</v>
      </c>
      <c r="H61" s="106">
        <f t="shared" si="37"/>
        <v>1</v>
      </c>
      <c r="I61" s="106">
        <f t="shared" si="38"/>
        <v>3</v>
      </c>
      <c r="J61" s="106">
        <f t="shared" si="40"/>
        <v>1</v>
      </c>
      <c r="K61" s="106">
        <f t="shared" si="39"/>
        <v>4</v>
      </c>
      <c r="L61" s="106">
        <v>7.0</v>
      </c>
      <c r="M61" s="106">
        <f>IFERROR(__xludf.DUMMYFUNCTION("counta(iferror(filter(L$2:L60,E$2:E60=E61,L$2:L60&lt;L61)))"),3.0)</f>
        <v>3</v>
      </c>
      <c r="N61" s="106">
        <f>IFERROR(__xludf.DUMMYFUNCTION("counta(iferror(filter(L62:L$121,E62:E$121=E61,L62:L$624&gt;L61)))"),0.0)</f>
        <v>0</v>
      </c>
      <c r="O61" s="152"/>
      <c r="P61" s="106" t="b">
        <f>IFERROR(__xludf.DUMMYFUNCTION("if(F61="""","""",let(wc_picked, countifs(E$1:E60,E61,G$1:G60,""This is your wild card pick""), let(spots_filled,counta(unique(filter(D$2:E61,E$2:E61=E61)))/2,let(total,VLOOKUP(E61,'Conf WC Eligibility'!A:C,3,0),if(E61=""zIndependent"", TRUE,total-wc_picke"&amp;"d&gt;12)))))"),TRUE)</f>
        <v>1</v>
      </c>
      <c r="Q61" s="107">
        <f t="array" ref="Q61:AB61">XLOOKUP(F61,'Current Week'!C:C,'Current Week'!D:O)</f>
        <v>7</v>
      </c>
      <c r="R61" s="106">
        <v>5.0</v>
      </c>
      <c r="S61" s="106" t="s">
        <v>755</v>
      </c>
      <c r="T61" s="106" t="s">
        <v>61</v>
      </c>
      <c r="U61" s="106" t="s">
        <v>156</v>
      </c>
      <c r="V61" s="106"/>
      <c r="W61" s="106" t="s">
        <v>67</v>
      </c>
      <c r="X61" s="106">
        <v>11.5</v>
      </c>
      <c r="Y61" s="106" t="s">
        <v>67</v>
      </c>
      <c r="Z61" s="106">
        <v>44.5</v>
      </c>
      <c r="AA61" s="106">
        <v>286.0</v>
      </c>
      <c r="AB61" s="106">
        <v>272.0</v>
      </c>
      <c r="AC61" s="108" t="b">
        <v>1</v>
      </c>
      <c r="AD61" s="109">
        <f t="shared" si="4"/>
        <v>-3</v>
      </c>
      <c r="AE61" s="110">
        <f t="shared" si="5"/>
        <v>19</v>
      </c>
      <c r="AF61" s="110">
        <f>IFERROR(__xludf.DUMMYFUNCTION("iferror(COUNT(filter($Q62:$Q$400,$Q62:$Q$400&gt;$Q61)))"),19.0)</f>
        <v>19</v>
      </c>
      <c r="AG61" s="111">
        <f t="shared" si="6"/>
        <v>0</v>
      </c>
      <c r="AH61" s="112">
        <f t="shared" si="7"/>
        <v>5</v>
      </c>
      <c r="AI61" s="113" t="str">
        <f>IFERROR(__xludf.DUMMYFUNCTION("iferror(join("","",index(sort(filter($F62:$F$401,$Q62:$Q$401&gt;$Q61),2,false),0,1)))"),"Western Michigan,Iowa,Missouri,Hawaii,Iowa State,Oklahoma,TCU,Old Dominion,Troy,UConn,Houston,San Diego State,Virginia,Pittsburgh,Vanderbilt,New Mexico,Kennesaw State,Wake Forest,Arizona")</f>
        <v>Western Michigan,Iowa,Missouri,Hawaii,Iowa State,Oklahoma,TCU,Old Dominion,Troy,UConn,Houston,San Diego State,Virginia,Pittsburgh,Vanderbilt,New Mexico,Kennesaw State,Wake Forest,Arizona</v>
      </c>
      <c r="AJ61" s="114">
        <f>IFERROR(__xludf.DUMMYFUNCTION("iferror($Q61-max(filter($Q61:$Q$400,$E61:$E$400=$E$2)))"),-1.0)</f>
        <v>-1</v>
      </c>
      <c r="AK61" s="110">
        <f t="shared" si="8"/>
        <v>1</v>
      </c>
      <c r="AL61" s="110">
        <f>IFERROR(__xludf.DUMMYFUNCTION("iferror(COUNT(filter($Q62:$Q$400,$Q62:$Q$400&gt;$Q61,$E61:$E$400=$E$2)))"),0.0)</f>
        <v>0</v>
      </c>
      <c r="AM61" s="111">
        <f t="shared" si="9"/>
        <v>0</v>
      </c>
      <c r="AN61" s="110">
        <f>IFERROR(__xludf.DUMMYFUNCTION("iferror($Q61-min(filter($Q61:$Q$400,$E61:$E$400=$E$2)))"),5.0)</f>
        <v>5</v>
      </c>
      <c r="AO61" s="113" t="str">
        <f>IFERROR(__xludf.DUMMYFUNCTION("iferror(join("","",index(sort(filter($F62:$F$400,$Q62:$Q$400&gt;$Q61,$E62:$E$400=$E$2),2,false),0,1)))"),"Iowa")</f>
        <v>Iowa</v>
      </c>
      <c r="AP61" s="113" t="str">
        <f>IFERROR(__xludf.DUMMYFUNCTION("REGEXREPLACE(join("","",unique({let(conf_picked,filter(E$1:E60,D$1:D60=D61), byrow(unique(TRANSPOSe(Teams!$1:$1)),lambda(rw,if(ISERROR(match(rw,conf_picked,0)),rw,))));if(AW61,,transpose(split(AX61,"","",1,1)))})), ""^,"", """")"),"Big 12,CUSA,MAC,MWC,Pac12,Sun Belt,zIndependent,AAC,ACC,Big Ten,SEC")</f>
        <v>Big 12,CUSA,MAC,MWC,Pac12,Sun Belt,zIndependent,AAC,ACC,Big Ten,SEC</v>
      </c>
      <c r="AQ61" s="114">
        <f>IFERROR(__xludf.DUMMYFUNCTION("iferror($Q61-max(filter($Q61:$Q$400,arrayformula(isnumber(FIND($E61:$E$400,AP61))))))"),-3.0)</f>
        <v>-3</v>
      </c>
      <c r="AR61" s="110">
        <f t="array" ref="AR61">countifs($Q$2:$Q60,"&lt;"&amp;$Q61,isnumber(FIND($E$2:$E60,AP61)),TRUE)</f>
        <v>19</v>
      </c>
      <c r="AS61" s="110">
        <f>IFERROR(__xludf.DUMMYFUNCTION("iferror(COUNT(filter($Q62:$Q$400,$Q62:$Q$400&gt;$Q61,arrayformula(isnumber(FIND($E62:$E$400,AP61))))))"),19.0)</f>
        <v>19</v>
      </c>
      <c r="AT61" s="111">
        <f t="shared" si="10"/>
        <v>0</v>
      </c>
      <c r="AU61" s="110">
        <f>IFERROR(__xludf.DUMMYFUNCTION("iferror($Q61-min(filter($Q61:$Q$400,arrayformula(isnumber(FIND($E61:$E$400,AP61))))))"),7.0)</f>
        <v>7</v>
      </c>
      <c r="AV61" s="113" t="str">
        <f>IFERROR(__xludf.DUMMYFUNCTION("iferror(join("","",index(sort(filter($F62:$F$400,$Q62:$Q$400&gt;$Q61,arrayformula(isnumber(FIND($E62:$E$400,AP61)))),2,false),0,1)))"),"Western Michigan,Iowa,Missouri,Hawaii,Iowa State,Oklahoma,TCU,Old Dominion,Troy,UConn,Houston,San Diego State,Virginia,Pittsburgh,Vanderbilt,New Mexico,Kennesaw State,Wake Forest,Arizona")</f>
        <v>Western Michigan,Iowa,Missouri,Hawaii,Iowa State,Oklahoma,TCU,Old Dominion,Troy,UConn,Houston,San Diego State,Virginia,Pittsburgh,Vanderbilt,New Mexico,Kennesaw State,Wake Forest,Arizona</v>
      </c>
      <c r="AW61" s="113" t="b">
        <f>IFERROR(__xludf.DUMMYFUNCTION("isnumber(find(""wild card"",join("","",filter($G$1:$G60,$D$1:$D60=D61))))"),FALSE)</f>
        <v>0</v>
      </c>
      <c r="AX61" s="113" t="str">
        <f>IFERROR(__xludf.DUMMYFUNCTION("join("","",let(confs,unique(TRANSPOSe(Teams!$1:$1)), confs_count, BYROW(confs,lambda(conf,xlookup(conf,'Conf WC Eligibility'!A:A,'Conf WC Eligibility'!C:C,,))),confs_picked,byrow(confs,lambda(conf,countif(E$1:E60,conf))),p_needs_conf_count,byrow(confs,lam"&amp;"bda(conf,counta('Draft Order'!B$2:B622)-COUNTUNIQUE(filter(D$2:D60,E$2:E60=conf)))),query({confs,confs_count,confs_picked,p_needs_conf_count},""select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2">
      <c r="A62" s="101">
        <v>61.0</v>
      </c>
      <c r="B62" s="101">
        <v>6.0</v>
      </c>
      <c r="C62" s="101">
        <v>1.0</v>
      </c>
      <c r="D62" s="103" t="str">
        <f t="array" ref="D62:D73">index(sort('Draft Order'!$A$2:$B$13,1,0),0,2)</f>
        <v>Nico</v>
      </c>
      <c r="E62" s="104" t="str">
        <f>if(F62&lt;&gt;"",VLOOKUP(F62,offset('Teams-Conference'!A:B,0,(counta('Draft Order'!B$2:B622)-10)*2),2,0),"")</f>
        <v>SEC</v>
      </c>
      <c r="F62" s="105" t="s">
        <v>210</v>
      </c>
      <c r="G62" s="106" t="str">
        <f t="shared" si="1"/>
        <v>This is your wild card pick</v>
      </c>
      <c r="H62" s="106">
        <f t="shared" ref="H62:H63" si="41">countif(E63:E72,E62)</f>
        <v>3</v>
      </c>
      <c r="I62" s="106">
        <f t="shared" ref="I62:I64" si="42">countif(E63:E83,E62)</f>
        <v>3</v>
      </c>
      <c r="J62" s="106">
        <f t="shared" ref="J62:J71" si="43">countif(E53:E61,E62)</f>
        <v>2</v>
      </c>
      <c r="K62" s="106">
        <f t="shared" si="39"/>
        <v>3</v>
      </c>
      <c r="L62" s="106">
        <v>4.0</v>
      </c>
      <c r="M62" s="106">
        <f>IFERROR(__xludf.DUMMYFUNCTION("counta(iferror(filter(L$2:L61,E$2:E61=E62,L$2:L61&lt;L62)))"),0.0)</f>
        <v>0</v>
      </c>
      <c r="N62" s="106">
        <f>IFERROR(__xludf.DUMMYFUNCTION("counta(iferror(filter(L63:L$121,E63:E$121=E62,L63:L$624&gt;L62)))"),0.0)</f>
        <v>0</v>
      </c>
      <c r="O62" s="152"/>
      <c r="P62" s="106" t="b">
        <f>IFERROR(__xludf.DUMMYFUNCTION("if(F62="""","""",let(wc_picked, countifs(E$1:E61,E62,G$1:G61,""This is your wild card pick""), let(spots_filled,counta(unique(filter(D$2:E62,E$2:E62=E62)))/2,let(total,VLOOKUP(E62,'Conf WC Eligibility'!A:C,3,0),if(E62=""zIndependent"", TRUE,total-wc_picke"&amp;"d&gt;12)))))"),TRUE)</f>
        <v>1</v>
      </c>
      <c r="Q62" s="107">
        <f t="array" ref="Q62:AB62">XLOOKUP(F62,'Current Week'!C:C,'Current Week'!D:O)</f>
        <v>4</v>
      </c>
      <c r="R62" s="106">
        <v>8.0</v>
      </c>
      <c r="S62" s="106" t="s">
        <v>765</v>
      </c>
      <c r="T62" s="106" t="s">
        <v>61</v>
      </c>
      <c r="U62" s="106" t="s">
        <v>249</v>
      </c>
      <c r="V62" s="106"/>
      <c r="W62" s="106" t="s">
        <v>67</v>
      </c>
      <c r="X62" s="106">
        <v>-3.0</v>
      </c>
      <c r="Y62" s="106" t="s">
        <v>67</v>
      </c>
      <c r="Z62" s="106">
        <v>46.5</v>
      </c>
      <c r="AA62" s="106">
        <v>272.0</v>
      </c>
      <c r="AB62" s="106">
        <v>265.0</v>
      </c>
      <c r="AC62" s="108" t="b">
        <v>1</v>
      </c>
      <c r="AD62" s="109">
        <f t="shared" si="4"/>
        <v>-6</v>
      </c>
      <c r="AE62" s="110">
        <f t="shared" si="5"/>
        <v>3</v>
      </c>
      <c r="AF62" s="110">
        <f>IFERROR(__xludf.DUMMYFUNCTION("iferror(COUNT(filter($Q63:$Q$400,$Q63:$Q$400&gt;$Q62)))"),44.0)</f>
        <v>44</v>
      </c>
      <c r="AG62" s="111">
        <f t="shared" si="6"/>
        <v>0</v>
      </c>
      <c r="AH62" s="112">
        <f t="shared" si="7"/>
        <v>2</v>
      </c>
      <c r="AI62" s="113" t="str">
        <f>IFERROR(__xludf.DUMMYFUNCTION("iferror(join("","",index(sort(filter($F63:$F$401,$Q63:$Q$401&gt;$Q62),2,false),0,1)))"),"Western Michigan,Iowa,Missouri,Minnesota,Hawaii,Iowa State,Oklahoma,Appalachian State,TCU,Old Dominion,Akron,Florida State,Troy,Cincinnati,UCF,Duke,UConn,Florida Intl,Houston,San Diego State,Coastal Carolina,Virginia,Utah State,NC State,California,Missour"&amp;"i State,Marshall,Pittsburgh,Rutgers,Arkansas State,Vanderbilt,Delaware,New Mexico,Kennesaw State,Rice,Temple,Wake Forest,Arizona,Northwestern,Kent State,Washington State,Kentucky,Mississippi State,Southern Mississippi")</f>
        <v>Western Michigan,Iowa,Missouri,Minnesota,Hawaii,Iowa State,Oklahoma,Appalachian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J62" s="114">
        <f>IFERROR(__xludf.DUMMYFUNCTION("iferror($Q62-max(filter($Q62:$Q$400,$E62:$E$400=$E$2)))"),-4.0)</f>
        <v>-4</v>
      </c>
      <c r="AK62" s="110">
        <f t="shared" si="8"/>
        <v>0</v>
      </c>
      <c r="AL62" s="110">
        <f>IFERROR(__xludf.DUMMYFUNCTION("iferror(COUNT(filter($Q63:$Q$400,$Q63:$Q$400&gt;$Q62,$E62:$E$400=$E$2)))"),0.0)</f>
        <v>0</v>
      </c>
      <c r="AM62" s="111">
        <f t="shared" si="9"/>
        <v>0</v>
      </c>
      <c r="AN62" s="110">
        <f>IFERROR(__xludf.DUMMYFUNCTION("iferror($Q62-min(filter($Q62:$Q$400,$E62:$E$400=$E$2)))"),2.0)</f>
        <v>2</v>
      </c>
      <c r="AO62" s="113" t="str">
        <f>IFERROR(__xludf.DUMMYFUNCTION("iferror(join("","",index(sort(filter($F63:$F$400,$Q63:$Q$400&gt;$Q62,$E63:$E$400=$E$2),2,false),0,1)))"),"Iowa,Minnesota,Rutgers,Northwestern")</f>
        <v>Iowa,Minnesota,Rutgers,Northwestern</v>
      </c>
      <c r="AP62" s="113" t="str">
        <f>IFERROR(__xludf.DUMMYFUNCTION("REGEXREPLACE(join("","",unique({let(conf_picked,filter(E$1:E61,D$1:D61=D62), byrow(unique(TRANSPOSe(Teams!$1:$1)),lambda(rw,if(ISERROR(match(rw,conf_picked,0)),rw,))));if(AW62,,transpose(split(AX62,"","",1,1)))})), ""^,"", """")"),"Big 12,CUSA,MWC,Pac12,Sun Belt,zIndependent,AAC,ACC,Big Ten,MAC,SEC")</f>
        <v>Big 12,CUSA,MWC,Pac12,Sun Belt,zIndependent,AAC,ACC,Big Ten,MAC,SEC</v>
      </c>
      <c r="AQ62" s="114">
        <f>IFERROR(__xludf.DUMMYFUNCTION("iferror($Q62-max(filter($Q62:$Q$400,arrayformula(isnumber(FIND($E62:$E$400,AP62))))))"),-6.0)</f>
        <v>-6</v>
      </c>
      <c r="AR62" s="110">
        <f t="array" ref="AR62">countifs($Q$2:$Q61,"&lt;"&amp;$Q62,isnumber(FIND($E$2:$E61,AP62)),TRUE)</f>
        <v>3</v>
      </c>
      <c r="AS62" s="110">
        <f>IFERROR(__xludf.DUMMYFUNCTION("iferror(COUNT(filter($Q63:$Q$400,$Q63:$Q$400&gt;$Q62,arrayformula(isnumber(FIND($E63:$E$400,AP62))))))"),44.0)</f>
        <v>44</v>
      </c>
      <c r="AT62" s="111">
        <f t="shared" si="10"/>
        <v>0</v>
      </c>
      <c r="AU62" s="110">
        <f>IFERROR(__xludf.DUMMYFUNCTION("iferror($Q62-min(filter($Q62:$Q$400,arrayformula(isnumber(FIND($E62:$E$400,AP62))))))"),4.0)</f>
        <v>4</v>
      </c>
      <c r="AV62" s="113" t="str">
        <f>IFERROR(__xludf.DUMMYFUNCTION("iferror(join("","",index(sort(filter($F63:$F$400,$Q63:$Q$400&gt;$Q62,arrayformula(isnumber(FIND($E63:$E$400,AP62)))),2,false),0,1)))"),"Western Michigan,Iowa,Missouri,Minnesota,Hawaii,Iowa State,Oklahoma,Appalachian State,TCU,Old Dominion,Akron,Florida State,Troy,Cincinnati,UCF,Duke,UConn,Florida Intl,Houston,San Diego State,Coastal Carolina,Virginia,Utah State,NC State,California,Missour"&amp;"i State,Marshall,Pittsburgh,Rutgers,Arkansas State,Vanderbilt,Delaware,New Mexico,Kennesaw State,Rice,Temple,Wake Forest,Arizona,Northwestern,Kent State,Washington State,Kentucky,Mississippi State,Southern Mississippi")</f>
        <v>Western Michigan,Iowa,Missouri,Minnesota,Hawaii,Iowa State,Oklahoma,Appalachian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W62" s="113" t="b">
        <f>IFERROR(__xludf.DUMMYFUNCTION("isnumber(find(""wild card"",join("","",filter($G$1:$G61,$D$1:$D61=D62))))"),FALSE)</f>
        <v>0</v>
      </c>
      <c r="AX62" s="113" t="str">
        <f>IFERROR(__xludf.DUMMYFUNCTION("join("","",let(confs,unique(TRANSPOSe(Teams!$1:$1)), confs_count, BYROW(confs,lambda(conf,xlookup(conf,'Conf WC Eligibility'!A:A,'Conf WC Eligibility'!C:C,,))),confs_picked,byrow(confs,lambda(conf,countif(E$1:E61,conf))),p_needs_conf_count,byrow(confs,lam"&amp;"bda(conf,counta('Draft Order'!B$2:B622)-COUNTUNIQUE(filter(D$2:D61,E$2:E61=conf)))),query({confs,confs_count,confs_picked,p_needs_conf_count},""select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3">
      <c r="A63" s="1">
        <v>62.0</v>
      </c>
      <c r="B63" s="1">
        <v>6.0</v>
      </c>
      <c r="C63" s="1">
        <v>2.0</v>
      </c>
      <c r="D63" s="115" t="s">
        <v>395</v>
      </c>
      <c r="E63" s="116" t="str">
        <f>if(F63&lt;&gt;"",VLOOKUP(F63,offset('Teams-Conference'!A:B,0,(counta('Draft Order'!B$2:B622)-10)*2),2,0),"")</f>
        <v>MAC</v>
      </c>
      <c r="F63" s="117" t="s">
        <v>175</v>
      </c>
      <c r="G63" s="106" t="str">
        <f t="shared" si="1"/>
        <v>Regular Pick</v>
      </c>
      <c r="H63" s="106">
        <f t="shared" si="41"/>
        <v>1</v>
      </c>
      <c r="I63" s="106">
        <f t="shared" si="42"/>
        <v>2</v>
      </c>
      <c r="J63" s="106">
        <f t="shared" si="43"/>
        <v>2</v>
      </c>
      <c r="K63" s="106">
        <f t="shared" si="39"/>
        <v>2</v>
      </c>
      <c r="L63" s="106">
        <v>8.0</v>
      </c>
      <c r="M63" s="106">
        <f>IFERROR(__xludf.DUMMYFUNCTION("counta(iferror(filter(L$2:L62,E$2:E62=E63,L$2:L62&lt;L63)))"),5.0)</f>
        <v>5</v>
      </c>
      <c r="N63" s="106">
        <f>IFERROR(__xludf.DUMMYFUNCTION("counta(iferror(filter(L64:L$121,E64:E$121=E63,L64:L$624&gt;L63)))"),0.0)</f>
        <v>0</v>
      </c>
      <c r="O63" s="152"/>
      <c r="P63" s="106" t="b">
        <f>IFERROR(__xludf.DUMMYFUNCTION("if(F63="""","""",let(wc_picked, countifs(E$1:E62,E63,G$1:G62,""This is your wild card pick""), let(spots_filled,counta(unique(filter(D$2:E63,E$2:E63=E63)))/2,let(total,VLOOKUP(E63,'Conf WC Eligibility'!A:C,3,0),if(E63=""zIndependent"", TRUE,total-wc_picke"&amp;"d&gt;12)))))"),TRUE)</f>
        <v>1</v>
      </c>
      <c r="Q63" s="107">
        <f t="array" ref="Q63:AB63">XLOOKUP(F63,'Current Week'!C:C,'Current Week'!D:O)</f>
        <v>8</v>
      </c>
      <c r="R63" s="106">
        <v>4.0</v>
      </c>
      <c r="S63" s="106" t="s">
        <v>666</v>
      </c>
      <c r="T63" s="106" t="s">
        <v>61</v>
      </c>
      <c r="U63" s="106" t="s">
        <v>62</v>
      </c>
      <c r="V63" s="106"/>
      <c r="W63" s="106" t="s">
        <v>67</v>
      </c>
      <c r="X63" s="106">
        <v>-7.5</v>
      </c>
      <c r="Y63" s="106" t="s">
        <v>67</v>
      </c>
      <c r="Z63" s="106">
        <v>46.5</v>
      </c>
      <c r="AA63" s="106">
        <v>284.0</v>
      </c>
      <c r="AB63" s="106">
        <v>224.0</v>
      </c>
      <c r="AC63" s="108" t="b">
        <v>1</v>
      </c>
      <c r="AD63" s="109">
        <f t="shared" si="4"/>
        <v>-2</v>
      </c>
      <c r="AE63" s="110">
        <f t="shared" si="5"/>
        <v>26</v>
      </c>
      <c r="AF63" s="110">
        <f>IFERROR(__xludf.DUMMYFUNCTION("iferror(COUNT(filter($Q64:$Q$400,$Q64:$Q$400&gt;$Q63)))"),10.0)</f>
        <v>10</v>
      </c>
      <c r="AG63" s="111">
        <f t="shared" si="6"/>
        <v>0</v>
      </c>
      <c r="AH63" s="112">
        <f t="shared" si="7"/>
        <v>6</v>
      </c>
      <c r="AI63" s="113" t="str">
        <f>IFERROR(__xludf.DUMMYFUNCTION("iferror(join("","",index(sort(filter($F64:$F$401,$Q64:$Q$401&gt;$Q63),2,false),0,1)))"),"Oklahoma,Old Dominion,UConn,Houston,San Diego State,Virginia,Vanderbilt,New Mexico,Kennesaw State,Arizona")</f>
        <v>Oklahoma,Old Dominion,UConn,Houston,San Diego State,Virginia,Vanderbilt,New Mexico,Kennesaw State,Arizona</v>
      </c>
      <c r="AJ63" s="114">
        <f>IFERROR(__xludf.DUMMYFUNCTION("iferror($Q63-max(filter($Q63:$Q$400,$E63:$E$400=$E$2)))"),0.0)</f>
        <v>0</v>
      </c>
      <c r="AK63" s="110">
        <f t="shared" si="8"/>
        <v>2</v>
      </c>
      <c r="AL63" s="110">
        <f>IFERROR(__xludf.DUMMYFUNCTION("iferror(COUNT(filter($Q64:$Q$400,$Q64:$Q$400&gt;$Q63,$E63:$E$400=$E$2)))"),0.0)</f>
        <v>0</v>
      </c>
      <c r="AM63" s="111">
        <f t="shared" si="9"/>
        <v>1</v>
      </c>
      <c r="AN63" s="110">
        <f>IFERROR(__xludf.DUMMYFUNCTION("iferror($Q63-min(filter($Q63:$Q$400,$E63:$E$400=$E$2)))"),6.0)</f>
        <v>6</v>
      </c>
      <c r="AO63" s="113" t="str">
        <f>IFERROR(__xludf.DUMMYFUNCTION("iferror(join("","",index(sort(filter($F64:$F$400,$Q64:$Q$400&gt;$Q63,$E64:$E$400=$E$2),2,false),0,1)))"),"")</f>
        <v/>
      </c>
      <c r="AP63" s="113" t="str">
        <f>IFERROR(__xludf.DUMMYFUNCTION("REGEXREPLACE(join("","",unique({let(conf_picked,filter(E$1:E62,D$1:D62=D63), byrow(unique(TRANSPOSe(Teams!$1:$1)),lambda(rw,if(ISERROR(match(rw,conf_picked,0)),rw,))));if(AW63,,transpose(split(AX63,"","",1,1)))})), ""^,"", """")"),"Big 12,Big Ten,MAC,Pac12,SEC,zIndependent,AAC,ACC,Sun Belt")</f>
        <v>Big 12,Big Ten,MAC,Pac12,SEC,zIndependent,AAC,ACC,Sun Belt</v>
      </c>
      <c r="AQ63" s="114">
        <f>IFERROR(__xludf.DUMMYFUNCTION("iferror($Q63-max(filter($Q63:$Q$400,arrayformula(isnumber(FIND($E63:$E$400,AP63))))))"),-2.0)</f>
        <v>-2</v>
      </c>
      <c r="AR63" s="110">
        <f t="array" ref="AR63">countifs($Q$2:$Q62,"&lt;"&amp;$Q63,isnumber(FIND($E$2:$E62,AP63)),TRUE)</f>
        <v>22</v>
      </c>
      <c r="AS63" s="110">
        <f>IFERROR(__xludf.DUMMYFUNCTION("iferror(COUNT(filter($Q64:$Q$400,$Q64:$Q$400&gt;$Q63,arrayformula(isnumber(FIND($E64:$E$400,AP63))))))"),7.0)</f>
        <v>7</v>
      </c>
      <c r="AT63" s="111">
        <f t="shared" si="10"/>
        <v>0</v>
      </c>
      <c r="AU63" s="110">
        <f>IFERROR(__xludf.DUMMYFUNCTION("iferror($Q63-min(filter($Q63:$Q$400,arrayformula(isnumber(FIND($E63:$E$400,AP63))))))"),8.0)</f>
        <v>8</v>
      </c>
      <c r="AV63" s="113" t="str">
        <f>IFERROR(__xludf.DUMMYFUNCTION("iferror(join("","",index(sort(filter($F64:$F$400,$Q64:$Q$400&gt;$Q63,arrayformula(isnumber(FIND($E64:$E$400,AP63)))),2,false),0,1)))"),"Oklahoma,Old Dominion,UConn,Houston,Virginia,Vanderbilt,Arizona")</f>
        <v>Oklahoma,Old Dominion,UConn,Houston,Virginia,Vanderbilt,Arizona</v>
      </c>
      <c r="AW63" s="113" t="b">
        <f>IFERROR(__xludf.DUMMYFUNCTION("isnumber(find(""wild card"",join("","",filter($G$1:$G62,$D$1:$D62=D63))))"),FALSE)</f>
        <v>0</v>
      </c>
      <c r="AX63" s="113" t="str">
        <f>IFERROR(__xludf.DUMMYFUNCTION("join("","",let(confs,unique(TRANSPOSe(Teams!$1:$1)), confs_count, BYROW(confs,lambda(conf,xlookup(conf,'Conf WC Eligibility'!A:A,'Conf WC Eligibility'!C:C,,))),confs_picked,byrow(confs,lambda(conf,countif(E$1:E62,conf))),p_needs_conf_count,byrow(confs,lam"&amp;"bda(conf,counta('Draft Order'!B$2:B622)-COUNTUNIQUE(filter(D$2:D62,E$2:E62=conf)))),query({confs,confs_count,confs_picked,p_needs_conf_count},""select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4">
      <c r="A64" s="1">
        <v>63.0</v>
      </c>
      <c r="B64" s="1">
        <v>6.0</v>
      </c>
      <c r="C64" s="1">
        <v>3.0</v>
      </c>
      <c r="D64" s="118" t="s">
        <v>249</v>
      </c>
      <c r="E64" s="116" t="str">
        <f>if(F64&lt;&gt;"",VLOOKUP(F64,offset('Teams-Conference'!A:B,0,(counta('Draft Order'!B$2:B622)-10)*2),2,0),"")</f>
        <v>Big Ten</v>
      </c>
      <c r="F64" s="117" t="s">
        <v>137</v>
      </c>
      <c r="G64" s="106" t="str">
        <f t="shared" si="1"/>
        <v>Regular Pick</v>
      </c>
      <c r="H64" s="106">
        <f t="shared" ref="H64:H73" si="44">countif(E65:E73,E64)</f>
        <v>1</v>
      </c>
      <c r="I64" s="106">
        <f t="shared" si="42"/>
        <v>1</v>
      </c>
      <c r="J64" s="106">
        <f t="shared" si="43"/>
        <v>1</v>
      </c>
      <c r="K64" s="106">
        <f t="shared" si="39"/>
        <v>5</v>
      </c>
      <c r="L64" s="106">
        <v>8.0</v>
      </c>
      <c r="M64" s="106">
        <f>IFERROR(__xludf.DUMMYFUNCTION("counta(iferror(filter(L$2:L63,E$2:E63=E64,L$2:L63&lt;L64)))"),2.0)</f>
        <v>2</v>
      </c>
      <c r="N64" s="106">
        <f>IFERROR(__xludf.DUMMYFUNCTION("counta(iferror(filter(L65:L$121,E65:E$121=E64,L65:L$624&gt;L64)))"),0.0)</f>
        <v>0</v>
      </c>
      <c r="O64" s="152"/>
      <c r="P64" s="106" t="b">
        <f>IFERROR(__xludf.DUMMYFUNCTION("if(F64="""","""",let(wc_picked, countifs(E$1:E63,E64,G$1:G63,""This is your wild card pick""), let(spots_filled,counta(unique(filter(D$2:E64,E$2:E64=E64)))/2,let(total,VLOOKUP(E64,'Conf WC Eligibility'!A:C,3,0),if(E64=""zIndependent"", TRUE,total-wc_picke"&amp;"d&gt;12)))))"),TRUE)</f>
        <v>1</v>
      </c>
      <c r="Q64" s="107">
        <f t="array" ref="Q64:AB64">XLOOKUP(F64,'Current Week'!C:C,'Current Week'!D:O)</f>
        <v>8</v>
      </c>
      <c r="R64" s="106">
        <v>4.0</v>
      </c>
      <c r="S64" s="106" t="s">
        <v>732</v>
      </c>
      <c r="T64" s="106" t="s">
        <v>61</v>
      </c>
      <c r="U64" s="106" t="s">
        <v>96</v>
      </c>
      <c r="V64" s="106"/>
      <c r="W64" s="106" t="s">
        <v>67</v>
      </c>
      <c r="X64" s="106">
        <v>-6.5</v>
      </c>
      <c r="Y64" s="106" t="s">
        <v>67</v>
      </c>
      <c r="Z64" s="106">
        <v>39.5</v>
      </c>
      <c r="AA64" s="106">
        <v>347.0</v>
      </c>
      <c r="AB64" s="106">
        <v>182.0</v>
      </c>
      <c r="AC64" s="108" t="b">
        <v>1</v>
      </c>
      <c r="AD64" s="109">
        <f t="shared" si="4"/>
        <v>-2</v>
      </c>
      <c r="AE64" s="110">
        <f t="shared" si="5"/>
        <v>26</v>
      </c>
      <c r="AF64" s="110">
        <f>IFERROR(__xludf.DUMMYFUNCTION("iferror(COUNT(filter($Q65:$Q$400,$Q65:$Q$400&gt;$Q64)))"),10.0)</f>
        <v>10</v>
      </c>
      <c r="AG64" s="111">
        <f t="shared" si="6"/>
        <v>0</v>
      </c>
      <c r="AH64" s="112">
        <f t="shared" si="7"/>
        <v>6</v>
      </c>
      <c r="AI64" s="113" t="str">
        <f>IFERROR(__xludf.DUMMYFUNCTION("iferror(join("","",index(sort(filter($F65:$F$401,$Q65:$Q$401&gt;$Q64),2,false),0,1)))"),"Oklahoma,Old Dominion,UConn,Houston,San Diego State,Virginia,Vanderbilt,New Mexico,Kennesaw State,Arizona")</f>
        <v>Oklahoma,Old Dominion,UConn,Houston,San Diego State,Virginia,Vanderbilt,New Mexico,Kennesaw State,Arizona</v>
      </c>
      <c r="AJ64" s="114">
        <f>IFERROR(__xludf.DUMMYFUNCTION("iferror($Q64-max(filter($Q64:$Q$400,$E64:$E$400=$E$2)))"),0.0)</f>
        <v>0</v>
      </c>
      <c r="AK64" s="110">
        <f t="shared" si="8"/>
        <v>2</v>
      </c>
      <c r="AL64" s="110">
        <f>IFERROR(__xludf.DUMMYFUNCTION("iferror(COUNT(filter($Q65:$Q$400,$Q65:$Q$400&gt;$Q64,$E64:$E$400=$E$2)))"),0.0)</f>
        <v>0</v>
      </c>
      <c r="AM64" s="111">
        <f t="shared" si="9"/>
        <v>1</v>
      </c>
      <c r="AN64" s="110">
        <f>IFERROR(__xludf.DUMMYFUNCTION("iferror($Q64-min(filter($Q64:$Q$400,$E64:$E$400=$E$2)))"),6.0)</f>
        <v>6</v>
      </c>
      <c r="AO64" s="113" t="str">
        <f>IFERROR(__xludf.DUMMYFUNCTION("iferror(join("","",index(sort(filter($F65:$F$400,$Q65:$Q$400&gt;$Q64,$E65:$E$400=$E$2),2,false),0,1)))"),"")</f>
        <v/>
      </c>
      <c r="AP64" s="113" t="str">
        <f>IFERROR(__xludf.DUMMYFUNCTION("REGEXREPLACE(join("","",unique({let(conf_picked,filter(E$1:E63,D$1:D63=D64), byrow(unique(TRANSPOSe(Teams!$1:$1)),lambda(rw,if(ISERROR(match(rw,conf_picked,0)),rw,))));if(AW64,,transpose(split(AX64,"","",1,1)))})), ""^,"", """")"),"AAC,,Big Ten,MWC,Pac12,Sun Belt,zIndependent,ACC,Big 12,MAC,SEC")</f>
        <v>AAC,,Big Ten,MWC,Pac12,Sun Belt,zIndependent,ACC,Big 12,MAC,SEC</v>
      </c>
      <c r="AQ64" s="114">
        <f>IFERROR(__xludf.DUMMYFUNCTION("iferror($Q64-max(filter($Q64:$Q$400,arrayformula(isnumber(FIND($E64:$E$400,AP64))))))"),-2.0)</f>
        <v>-2</v>
      </c>
      <c r="AR64" s="110">
        <f t="array" ref="AR64">countifs($Q$2:$Q63,"&lt;"&amp;$Q64,isnumber(FIND($E$2:$E63,AP64)),TRUE)</f>
        <v>24</v>
      </c>
      <c r="AS64" s="110">
        <f>IFERROR(__xludf.DUMMYFUNCTION("iferror(COUNT(filter($Q65:$Q$400,$Q65:$Q$400&gt;$Q64,arrayformula(isnumber(FIND($E65:$E$400,AP64))))))"),9.0)</f>
        <v>9</v>
      </c>
      <c r="AT64" s="111">
        <f t="shared" si="10"/>
        <v>0</v>
      </c>
      <c r="AU64" s="110">
        <f>IFERROR(__xludf.DUMMYFUNCTION("iferror($Q64-min(filter($Q64:$Q$400,arrayformula(isnumber(FIND($E64:$E$400,AP64))))))"),8.0)</f>
        <v>8</v>
      </c>
      <c r="AV64" s="113" t="str">
        <f>IFERROR(__xludf.DUMMYFUNCTION("iferror(join("","",index(sort(filter($F65:$F$400,$Q65:$Q$400&gt;$Q64,arrayformula(isnumber(FIND($E65:$E$400,AP64)))),2,false),0,1)))"),"Oklahoma,Old Dominion,UConn,Houston,San Diego State,Virginia,Vanderbilt,New Mexico,Arizona")</f>
        <v>Oklahoma,Old Dominion,UConn,Houston,San Diego State,Virginia,Vanderbilt,New Mexico,Arizona</v>
      </c>
      <c r="AW64" s="113" t="b">
        <f>IFERROR(__xludf.DUMMYFUNCTION("isnumber(find(""wild card"",join("","",filter($G$1:$G63,$D$1:$D63=D64))))"),FALSE)</f>
        <v>0</v>
      </c>
      <c r="AX64" s="113" t="str">
        <f>IFERROR(__xludf.DUMMYFUNCTION("join("","",let(confs,unique(TRANSPOSe(Teams!$1:$1)), confs_count, BYROW(confs,lambda(conf,xlookup(conf,'Conf WC Eligibility'!A:A,'Conf WC Eligibility'!C:C,,))),confs_picked,byrow(confs,lambda(conf,countif(E$1:E63,conf))),p_needs_conf_count,byrow(confs,lam"&amp;"bda(conf,counta('Draft Order'!B$2:B622)-COUNTUNIQUE(filter(D$2:D63,E$2:E63=conf)))),query({confs,confs_count,confs_picked,p_needs_conf_count},""select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5">
      <c r="A65" s="1">
        <v>64.0</v>
      </c>
      <c r="B65" s="1">
        <v>6.0</v>
      </c>
      <c r="C65" s="1">
        <v>4.0</v>
      </c>
      <c r="D65" s="115" t="s">
        <v>156</v>
      </c>
      <c r="E65" s="116" t="str">
        <f>if(F65&lt;&gt;"",VLOOKUP(F65,offset('Teams-Conference'!A:B,0,(counta('Draft Order'!B$2:B622)-10)*2),2,0),"")</f>
        <v>SEC</v>
      </c>
      <c r="F65" s="117" t="s">
        <v>208</v>
      </c>
      <c r="G65" s="106" t="str">
        <f t="shared" si="1"/>
        <v>Regular Pick</v>
      </c>
      <c r="H65" s="106">
        <f t="shared" si="44"/>
        <v>2</v>
      </c>
      <c r="I65" s="106">
        <f t="shared" ref="I65:I73" si="45">countif(E66:E85,E65)</f>
        <v>2</v>
      </c>
      <c r="J65" s="106">
        <f t="shared" si="43"/>
        <v>2</v>
      </c>
      <c r="K65" s="106">
        <f t="shared" si="39"/>
        <v>3</v>
      </c>
      <c r="L65" s="106">
        <v>8.0</v>
      </c>
      <c r="M65" s="106">
        <f>IFERROR(__xludf.DUMMYFUNCTION("counta(iferror(filter(L$2:L64,E$2:E64=E65,L$2:L64&lt;L65)))"),3.0)</f>
        <v>3</v>
      </c>
      <c r="N65" s="106">
        <f>IFERROR(__xludf.DUMMYFUNCTION("counta(iferror(filter(L66:L$121,E66:E$121=E65,L66:L$624&gt;L65)))"),0.0)</f>
        <v>0</v>
      </c>
      <c r="O65" s="152"/>
      <c r="P65" s="106" t="b">
        <f>IFERROR(__xludf.DUMMYFUNCTION("if(F65="""","""",let(wc_picked, countifs(E$1:E64,E65,G$1:G64,""This is your wild card pick""), let(spots_filled,counta(unique(filter(D$2:E65,E$2:E65=E65)))/2,let(total,VLOOKUP(E65,'Conf WC Eligibility'!A:C,3,0),if(E65=""zIndependent"", TRUE,total-wc_picke"&amp;"d&gt;12)))))"),TRUE)</f>
        <v>1</v>
      </c>
      <c r="Q65" s="107">
        <f t="array" ref="Q65:AB65">XLOOKUP(F65,'Current Week'!C:C,'Current Week'!D:O)</f>
        <v>8</v>
      </c>
      <c r="R65" s="106">
        <v>4.0</v>
      </c>
      <c r="S65" s="106" t="s">
        <v>749</v>
      </c>
      <c r="T65" s="106" t="s">
        <v>61</v>
      </c>
      <c r="U65" s="106" t="s">
        <v>156</v>
      </c>
      <c r="V65" s="106"/>
      <c r="W65" s="106" t="s">
        <v>67</v>
      </c>
      <c r="X65" s="106">
        <v>-2.5</v>
      </c>
      <c r="Y65" s="106" t="s">
        <v>67</v>
      </c>
      <c r="Z65" s="106">
        <v>55.5</v>
      </c>
      <c r="AA65" s="106">
        <v>386.0</v>
      </c>
      <c r="AB65" s="106">
        <v>233.0</v>
      </c>
      <c r="AC65" s="108" t="b">
        <v>1</v>
      </c>
      <c r="AD65" s="109">
        <f t="shared" si="4"/>
        <v>-2</v>
      </c>
      <c r="AE65" s="110">
        <f t="shared" si="5"/>
        <v>26</v>
      </c>
      <c r="AF65" s="110">
        <f>IFERROR(__xludf.DUMMYFUNCTION("iferror(COUNT(filter($Q66:$Q$400,$Q66:$Q$400&gt;$Q65)))"),10.0)</f>
        <v>10</v>
      </c>
      <c r="AG65" s="111">
        <f t="shared" si="6"/>
        <v>0</v>
      </c>
      <c r="AH65" s="112">
        <f t="shared" si="7"/>
        <v>6</v>
      </c>
      <c r="AI65" s="113" t="str">
        <f>IFERROR(__xludf.DUMMYFUNCTION("iferror(join("","",index(sort(filter($F66:$F$401,$Q66:$Q$401&gt;$Q65),2,false),0,1)))"),"Oklahoma,Old Dominion,UConn,Houston,San Diego State,Virginia,Vanderbilt,New Mexico,Kennesaw State,Arizona")</f>
        <v>Oklahoma,Old Dominion,UConn,Houston,San Diego State,Virginia,Vanderbilt,New Mexico,Kennesaw State,Arizona</v>
      </c>
      <c r="AJ65" s="114">
        <f>IFERROR(__xludf.DUMMYFUNCTION("iferror($Q65-max(filter($Q65:$Q$400,$E65:$E$400=$E$2)))"),1.0)</f>
        <v>1</v>
      </c>
      <c r="AK65" s="110">
        <f t="shared" si="8"/>
        <v>2</v>
      </c>
      <c r="AL65" s="110">
        <f>IFERROR(__xludf.DUMMYFUNCTION("iferror(COUNT(filter($Q66:$Q$400,$Q66:$Q$400&gt;$Q65,$E65:$E$400=$E$2)))"),0.0)</f>
        <v>0</v>
      </c>
      <c r="AM65" s="111">
        <f t="shared" si="9"/>
        <v>0</v>
      </c>
      <c r="AN65" s="110">
        <f>IFERROR(__xludf.DUMMYFUNCTION("iferror($Q65-min(filter($Q65:$Q$400,$E65:$E$400=$E$2)))"),6.0)</f>
        <v>6</v>
      </c>
      <c r="AO65" s="113" t="str">
        <f>IFERROR(__xludf.DUMMYFUNCTION("iferror(join("","",index(sort(filter($F66:$F$400,$Q66:$Q$400&gt;$Q65,$E66:$E$400=$E$2),2,false),0,1)))"),"")</f>
        <v/>
      </c>
      <c r="AP65" s="113" t="str">
        <f>IFERROR(__xludf.DUMMYFUNCTION("REGEXREPLACE(join("","",unique({let(conf_picked,filter(E$1:E64,D$1:D64=D65), byrow(unique(TRANSPOSe(Teams!$1:$1)),lambda(rw,if(ISERROR(match(rw,conf_picked,0)),rw,))));if(AW65,,transpose(split(AX65,"","",1,1)))})), ""^,"", """")"),"Big 12,MWC,Pac12,SEC,Sun Belt,zIndependent,AAC,ACC,Big Ten,MAC")</f>
        <v>Big 12,MWC,Pac12,SEC,Sun Belt,zIndependent,AAC,ACC,Big Ten,MAC</v>
      </c>
      <c r="AQ65" s="114">
        <f>IFERROR(__xludf.DUMMYFUNCTION("iferror($Q65-max(filter($Q65:$Q$400,arrayformula(isnumber(FIND($E65:$E$400,AP65))))))"),-2.0)</f>
        <v>-2</v>
      </c>
      <c r="AR65" s="110">
        <f t="array" ref="AR65">countifs($Q$2:$Q64,"&lt;"&amp;$Q65,isnumber(FIND($E$2:$E64,AP65)),TRUE)</f>
        <v>24</v>
      </c>
      <c r="AS65" s="110">
        <f>IFERROR(__xludf.DUMMYFUNCTION("iferror(COUNT(filter($Q66:$Q$400,$Q66:$Q$400&gt;$Q65,arrayformula(isnumber(FIND($E66:$E$400,AP65))))))"),9.0)</f>
        <v>9</v>
      </c>
      <c r="AT65" s="111">
        <f t="shared" si="10"/>
        <v>0</v>
      </c>
      <c r="AU65" s="110">
        <f>IFERROR(__xludf.DUMMYFUNCTION("iferror($Q65-min(filter($Q65:$Q$400,arrayformula(isnumber(FIND($E65:$E$400,AP65))))))"),8.0)</f>
        <v>8</v>
      </c>
      <c r="AV65" s="113" t="str">
        <f>IFERROR(__xludf.DUMMYFUNCTION("iferror(join("","",index(sort(filter($F66:$F$400,$Q66:$Q$400&gt;$Q65,arrayformula(isnumber(FIND($E66:$E$400,AP65)))),2,false),0,1)))"),"Oklahoma,Old Dominion,UConn,Houston,San Diego State,Virginia,Vanderbilt,New Mexico,Arizona")</f>
        <v>Oklahoma,Old Dominion,UConn,Houston,San Diego State,Virginia,Vanderbilt,New Mexico,Arizona</v>
      </c>
      <c r="AW65" s="113" t="b">
        <f>IFERROR(__xludf.DUMMYFUNCTION("isnumber(find(""wild card"",join("","",filter($G$1:$G64,$D$1:$D64=D65))))"),FALSE)</f>
        <v>0</v>
      </c>
      <c r="AX65" s="113" t="str">
        <f>IFERROR(__xludf.DUMMYFUNCTION("join("","",let(confs,unique(TRANSPOSe(Teams!$1:$1)), confs_count, BYROW(confs,lambda(conf,xlookup(conf,'Conf WC Eligibility'!A:A,'Conf WC Eligibility'!C:C,,))),confs_picked,byrow(confs,lambda(conf,countif(E$1:E64,conf))),p_needs_conf_count,byrow(confs,lam"&amp;"bda(conf,counta('Draft Order'!B$2:B622)-COUNTUNIQUE(filter(D$2:D64,E$2:E64=conf)))),query({confs,confs_count,confs_picked,p_needs_conf_count},""select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6">
      <c r="A66" s="1">
        <v>65.0</v>
      </c>
      <c r="B66" s="1">
        <v>6.0</v>
      </c>
      <c r="C66" s="1">
        <v>5.0</v>
      </c>
      <c r="D66" s="115" t="s">
        <v>238</v>
      </c>
      <c r="E66" s="116" t="str">
        <f>if(F66&lt;&gt;"",VLOOKUP(F66,offset('Teams-Conference'!A:B,0,(counta('Draft Order'!B$2:B622)-10)*2),2,0),"")</f>
        <v>Big Ten</v>
      </c>
      <c r="F66" s="77" t="s">
        <v>141</v>
      </c>
      <c r="G66" s="106" t="str">
        <f t="shared" si="1"/>
        <v>Regular Pick</v>
      </c>
      <c r="H66" s="106">
        <f t="shared" si="44"/>
        <v>0</v>
      </c>
      <c r="I66" s="106">
        <f t="shared" si="45"/>
        <v>0</v>
      </c>
      <c r="J66" s="106">
        <f t="shared" si="43"/>
        <v>1</v>
      </c>
      <c r="K66" s="106">
        <f t="shared" si="39"/>
        <v>0</v>
      </c>
      <c r="L66" s="106">
        <v>7.0</v>
      </c>
      <c r="M66" s="106">
        <f>IFERROR(__xludf.DUMMYFUNCTION("counta(iferror(filter(L$2:L65,E$2:E65=E66,L$2:L65&lt;L66)))"),1.0)</f>
        <v>1</v>
      </c>
      <c r="N66" s="106">
        <f>IFERROR(__xludf.DUMMYFUNCTION("counta(iferror(filter(L67:L$121,E67:E$121=E66,L67:L$624&gt;L66)))"),0.0)</f>
        <v>0</v>
      </c>
      <c r="O66" s="152"/>
      <c r="P66" s="106" t="b">
        <f>IFERROR(__xludf.DUMMYFUNCTION("if(F66="""","""",let(wc_picked, countifs(E$1:E65,E66,G$1:G65,""This is your wild card pick""), let(spots_filled,counta(unique(filter(D$2:E66,E$2:E66=E66)))/2,let(total,VLOOKUP(E66,'Conf WC Eligibility'!A:C,3,0),if(E66=""zIndependent"", TRUE,total-wc_picke"&amp;"d&gt;12)))))"),TRUE)</f>
        <v>1</v>
      </c>
      <c r="Q66" s="107">
        <f t="array" ref="Q66:AB66">XLOOKUP(F66,'Current Week'!C:C,'Current Week'!D:O)</f>
        <v>7</v>
      </c>
      <c r="R66" s="106">
        <v>5.0</v>
      </c>
      <c r="S66" s="106" t="s">
        <v>738</v>
      </c>
      <c r="T66" s="106" t="s">
        <v>61</v>
      </c>
      <c r="U66" s="106" t="s">
        <v>238</v>
      </c>
      <c r="V66" s="106"/>
      <c r="W66" s="106" t="s">
        <v>67</v>
      </c>
      <c r="X66" s="106">
        <v>1.5</v>
      </c>
      <c r="Y66" s="106" t="s">
        <v>67</v>
      </c>
      <c r="Z66" s="106">
        <v>37.5</v>
      </c>
      <c r="AA66" s="106">
        <v>279.0</v>
      </c>
      <c r="AB66" s="106">
        <v>281.0</v>
      </c>
      <c r="AC66" s="108" t="b">
        <v>1</v>
      </c>
      <c r="AD66" s="109">
        <f t="shared" si="4"/>
        <v>-3</v>
      </c>
      <c r="AE66" s="110">
        <f t="shared" si="5"/>
        <v>20</v>
      </c>
      <c r="AF66" s="110">
        <f>IFERROR(__xludf.DUMMYFUNCTION("iferror(COUNT(filter($Q67:$Q$400,$Q67:$Q$400&gt;$Q66)))"),16.0)</f>
        <v>16</v>
      </c>
      <c r="AG66" s="111">
        <f t="shared" si="6"/>
        <v>0</v>
      </c>
      <c r="AH66" s="112">
        <f t="shared" si="7"/>
        <v>5</v>
      </c>
      <c r="AI66" s="113" t="str">
        <f>IFERROR(__xludf.DUMMYFUNCTION("iferror(join("","",index(sort(filter($F67:$F$401,$Q67:$Q$401&gt;$Q66),2,false),0,1)))"),"Hawaii,Iowa State,Oklahoma,TCU,Old Dominion,Troy,UConn,Houston,San Diego State,Virginia,Pittsburgh,Vanderbilt,New Mexico,Kennesaw State,Wake Forest,Arizona")</f>
        <v>Hawaii,Iowa State,Oklahoma,TCU,Old Dominion,Troy,UConn,Houston,San Diego State,Virginia,Pittsburgh,Vanderbilt,New Mexico,Kennesaw State,Wake Forest,Arizona</v>
      </c>
      <c r="AJ66" s="114">
        <f>IFERROR(__xludf.DUMMYFUNCTION("iferror($Q66-max(filter($Q66:$Q$400,$E66:$E$400=$E$2)))"),0.0)</f>
        <v>0</v>
      </c>
      <c r="AK66" s="110">
        <f t="shared" si="8"/>
        <v>1</v>
      </c>
      <c r="AL66" s="110">
        <f>IFERROR(__xludf.DUMMYFUNCTION("iferror(COUNT(filter($Q67:$Q$400,$Q67:$Q$400&gt;$Q66,$E66:$E$400=$E$2)))"),0.0)</f>
        <v>0</v>
      </c>
      <c r="AM66" s="111">
        <f t="shared" si="9"/>
        <v>1</v>
      </c>
      <c r="AN66" s="110">
        <f>IFERROR(__xludf.DUMMYFUNCTION("iferror($Q66-min(filter($Q66:$Q$400,$E66:$E$400=$E$2)))"),5.0)</f>
        <v>5</v>
      </c>
      <c r="AO66" s="113" t="str">
        <f>IFERROR(__xludf.DUMMYFUNCTION("iferror(join("","",index(sort(filter($F67:$F$400,$Q67:$Q$400&gt;$Q66,$E67:$E$400=$E$2),2,false),0,1)))"),"")</f>
        <v/>
      </c>
      <c r="AP66" s="113" t="str">
        <f>IFERROR(__xludf.DUMMYFUNCTION("REGEXREPLACE(join("","",unique({let(conf_picked,filter(E$1:E65,D$1:D65=D66), byrow(unique(TRANSPOSe(Teams!$1:$1)),lambda(rw,if(ISERROR(match(rw,conf_picked,0)),rw,))));if(AW66,,transpose(split(AX66,"","",1,1)))})), ""^,"", """")"),"ACC,Big 12,Big Ten,CUSA,Pac12,zIndependent,AAC,MAC,SEC,Sun Belt")</f>
        <v>ACC,Big 12,Big Ten,CUSA,Pac12,zIndependent,AAC,MAC,SEC,Sun Belt</v>
      </c>
      <c r="AQ66" s="114">
        <f>IFERROR(__xludf.DUMMYFUNCTION("iferror($Q66-max(filter($Q66:$Q$400,arrayformula(isnumber(FIND($E66:$E$400,AP66))))))"),-3.0)</f>
        <v>-3</v>
      </c>
      <c r="AR66" s="110">
        <f t="array" ref="AR66">countifs($Q$2:$Q65,"&lt;"&amp;$Q66,isnumber(FIND($E$2:$E65,AP66)),TRUE)</f>
        <v>18</v>
      </c>
      <c r="AS66" s="110">
        <f>IFERROR(__xludf.DUMMYFUNCTION("iferror(COUNT(filter($Q67:$Q$400,$Q67:$Q$400&gt;$Q66,arrayformula(isnumber(FIND($E67:$E$400,AP66))))))"),13.0)</f>
        <v>13</v>
      </c>
      <c r="AT66" s="111">
        <f t="shared" si="10"/>
        <v>0</v>
      </c>
      <c r="AU66" s="110">
        <f>IFERROR(__xludf.DUMMYFUNCTION("iferror($Q66-min(filter($Q66:$Q$400,arrayformula(isnumber(FIND($E66:$E$400,AP66))))))"),7.0)</f>
        <v>7</v>
      </c>
      <c r="AV66" s="113" t="str">
        <f>IFERROR(__xludf.DUMMYFUNCTION("iferror(join("","",index(sort(filter($F67:$F$400,$Q67:$Q$400&gt;$Q66,arrayformula(isnumber(FIND($E67:$E$400,AP66)))),2,false),0,1)))"),"Iowa State,Oklahoma,TCU,Old Dominion,Troy,UConn,Houston,Virginia,Pittsburgh,Vanderbilt,Kennesaw State,Wake Forest,Arizona")</f>
        <v>Iowa State,Oklahoma,TCU,Old Dominion,Troy,UConn,Houston,Virginia,Pittsburgh,Vanderbilt,Kennesaw State,Wake Forest,Arizona</v>
      </c>
      <c r="AW66" s="113" t="b">
        <f>IFERROR(__xludf.DUMMYFUNCTION("isnumber(find(""wild card"",join("","",filter($G$1:$G65,$D$1:$D65=D66))))"),FALSE)</f>
        <v>0</v>
      </c>
      <c r="AX66" s="113" t="str">
        <f>IFERROR(__xludf.DUMMYFUNCTION("join("","",let(confs,unique(TRANSPOSe(Teams!$1:$1)), confs_count, BYROW(confs,lambda(conf,xlookup(conf,'Conf WC Eligibility'!A:A,'Conf WC Eligibility'!C:C,,))),confs_picked,byrow(confs,lambda(conf,countif(E$1:E65,conf))),p_needs_conf_count,byrow(confs,lam"&amp;"bda(conf,counta('Draft Order'!B$2:B622)-COUNTUNIQUE(filter(D$2:D65,E$2:E65=conf)))),query({confs,confs_count,confs_picked,p_needs_conf_count},""select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7">
      <c r="A67" s="1">
        <v>66.0</v>
      </c>
      <c r="B67" s="1">
        <v>6.0</v>
      </c>
      <c r="C67" s="1">
        <v>6.0</v>
      </c>
      <c r="D67" s="115" t="s">
        <v>96</v>
      </c>
      <c r="E67" s="116" t="str">
        <f>if(F67&lt;&gt;"",VLOOKUP(F67,offset('Teams-Conference'!A:B,0,(counta('Draft Order'!B$2:B622)-10)*2),2,0),"")</f>
        <v>MWC</v>
      </c>
      <c r="F67" s="117" t="s">
        <v>536</v>
      </c>
      <c r="G67" s="106" t="str">
        <f t="shared" si="1"/>
        <v>Regular Pick</v>
      </c>
      <c r="H67" s="106">
        <f t="shared" si="44"/>
        <v>1</v>
      </c>
      <c r="I67" s="106">
        <f t="shared" si="45"/>
        <v>2</v>
      </c>
      <c r="J67" s="106">
        <f t="shared" si="43"/>
        <v>0</v>
      </c>
      <c r="K67" s="106">
        <f t="shared" si="39"/>
        <v>5</v>
      </c>
      <c r="L67" s="106">
        <v>8.0</v>
      </c>
      <c r="M67" s="106">
        <f>IFERROR(__xludf.DUMMYFUNCTION("counta(iferror(filter(L$2:L66,E$2:E66=E67,L$2:L66&lt;L67)))"),2.0)</f>
        <v>2</v>
      </c>
      <c r="N67" s="106">
        <f>IFERROR(__xludf.DUMMYFUNCTION("counta(iferror(filter(L68:L$121,E68:E$121=E67,L68:L$624&gt;L67)))"),0.0)</f>
        <v>0</v>
      </c>
      <c r="O67" s="152"/>
      <c r="P67" s="106" t="b">
        <f>IFERROR(__xludf.DUMMYFUNCTION("if(F67="""","""",let(wc_picked, countifs(E$1:E66,E67,G$1:G66,""This is your wild card pick""), let(spots_filled,counta(unique(filter(D$2:E67,E$2:E67=E67)))/2,let(total,VLOOKUP(E67,'Conf WC Eligibility'!A:C,3,0),if(E67=""zIndependent"", TRUE,total-wc_picke"&amp;"d&gt;12)))))"),FALSE)</f>
        <v>0</v>
      </c>
      <c r="Q67" s="107">
        <f t="array" ref="Q67:AB67">XLOOKUP(F67,'Current Week'!C:C,'Current Week'!D:O)</f>
        <v>8</v>
      </c>
      <c r="R67" s="106">
        <v>4.0</v>
      </c>
      <c r="S67" s="106" t="s">
        <v>721</v>
      </c>
      <c r="T67" s="106" t="s">
        <v>61</v>
      </c>
      <c r="U67" s="106" t="s">
        <v>132</v>
      </c>
      <c r="V67" s="106"/>
      <c r="W67" s="106" t="s">
        <v>67</v>
      </c>
      <c r="X67" s="106">
        <v>-7.5</v>
      </c>
      <c r="Y67" s="106" t="s">
        <v>67</v>
      </c>
      <c r="Z67" s="106">
        <v>44.5</v>
      </c>
      <c r="AA67" s="106">
        <v>342.0</v>
      </c>
      <c r="AB67" s="106">
        <v>282.0</v>
      </c>
      <c r="AC67" s="108" t="b">
        <v>1</v>
      </c>
      <c r="AD67" s="109">
        <f t="shared" si="4"/>
        <v>-2</v>
      </c>
      <c r="AE67" s="110">
        <f t="shared" si="5"/>
        <v>27</v>
      </c>
      <c r="AF67" s="110">
        <f>IFERROR(__xludf.DUMMYFUNCTION("iferror(COUNT(filter($Q68:$Q$400,$Q68:$Q$400&gt;$Q67)))"),10.0)</f>
        <v>10</v>
      </c>
      <c r="AG67" s="111">
        <f t="shared" si="6"/>
        <v>0</v>
      </c>
      <c r="AH67" s="112">
        <f t="shared" si="7"/>
        <v>6</v>
      </c>
      <c r="AI67" s="113" t="str">
        <f>IFERROR(__xludf.DUMMYFUNCTION("iferror(join("","",index(sort(filter($F68:$F$401,$Q68:$Q$401&gt;$Q67),2,false),0,1)))"),"Oklahoma,Old Dominion,UConn,Houston,San Diego State,Virginia,Vanderbilt,New Mexico,Kennesaw State,Arizona")</f>
        <v>Oklahoma,Old Dominion,UConn,Houston,San Diego State,Virginia,Vanderbilt,New Mexico,Kennesaw State,Arizona</v>
      </c>
      <c r="AJ67" s="114">
        <f>IFERROR(__xludf.DUMMYFUNCTION("iferror($Q67-max(filter($Q67:$Q$400,$E67:$E$400=$E$2)))"),2.0)</f>
        <v>2</v>
      </c>
      <c r="AK67" s="110">
        <f t="shared" si="8"/>
        <v>3</v>
      </c>
      <c r="AL67" s="110">
        <f>IFERROR(__xludf.DUMMYFUNCTION("iferror(COUNT(filter($Q68:$Q$400,$Q68:$Q$400&gt;$Q67,$E67:$E$400=$E$2)))"),0.0)</f>
        <v>0</v>
      </c>
      <c r="AM67" s="111">
        <f t="shared" si="9"/>
        <v>0</v>
      </c>
      <c r="AN67" s="110">
        <f>IFERROR(__xludf.DUMMYFUNCTION("iferror($Q67-min(filter($Q67:$Q$400,$E67:$E$400=$E$2)))"),6.0)</f>
        <v>6</v>
      </c>
      <c r="AO67" s="113" t="str">
        <f>IFERROR(__xludf.DUMMYFUNCTION("iferror(join("","",index(sort(filter($F68:$F$400,$Q68:$Q$400&gt;$Q67,$E68:$E$400=$E$2),2,false),0,1)))"),"")</f>
        <v/>
      </c>
      <c r="AP67" s="113" t="str">
        <f>IFERROR(__xludf.DUMMYFUNCTION("REGEXREPLACE(join("","",unique({let(conf_picked,filter(E$1:E66,D$1:D66=D67), byrow(unique(TRANSPOSe(Teams!$1:$1)),lambda(rw,if(ISERROR(match(rw,conf_picked,0)),rw,))));if(AW67,,transpose(split(AX67,"","",1,1)))})), ""^,"", """")"),"ACC,Big 12,CUSA,MWC,Pac12,Sun Belt")</f>
        <v>ACC,Big 12,CUSA,MWC,Pac12,Sun Belt</v>
      </c>
      <c r="AQ67" s="114">
        <f>IFERROR(__xludf.DUMMYFUNCTION("iferror($Q67-max(filter($Q67:$Q$400,arrayformula(isnumber(FIND($E67:$E$400,AP67))))))"),-2.0)</f>
        <v>-2</v>
      </c>
      <c r="AR67" s="110">
        <f t="array" ref="AR67">countifs($Q$2:$Q66,"&lt;"&amp;$Q67,isnumber(FIND($E$2:$E66,AP67)),TRUE)</f>
        <v>13</v>
      </c>
      <c r="AS67" s="110">
        <f>IFERROR(__xludf.DUMMYFUNCTION("iferror(COUNT(filter($Q68:$Q$400,$Q68:$Q$400&gt;$Q67,arrayformula(isnumber(FIND($E68:$E$400,AP67))))))"),7.0)</f>
        <v>7</v>
      </c>
      <c r="AT67" s="111">
        <f t="shared" si="10"/>
        <v>0</v>
      </c>
      <c r="AU67" s="110">
        <f>IFERROR(__xludf.DUMMYFUNCTION("iferror($Q67-min(filter($Q67:$Q$400,arrayformula(isnumber(FIND($E67:$E$400,AP67))))))"),7.0)</f>
        <v>7</v>
      </c>
      <c r="AV67" s="113" t="str">
        <f>IFERROR(__xludf.DUMMYFUNCTION("iferror(join("","",index(sort(filter($F68:$F$400,$Q68:$Q$400&gt;$Q67,arrayformula(isnumber(FIND($E68:$E$400,AP67)))),2,false),0,1)))"),"Old Dominion,Houston,San Diego State,Virginia,New Mexico,Kennesaw State,Arizona")</f>
        <v>Old Dominion,Houston,San Diego State,Virginia,New Mexico,Kennesaw State,Arizona</v>
      </c>
      <c r="AW67" s="113" t="b">
        <f>IFERROR(__xludf.DUMMYFUNCTION("isnumber(find(""wild card"",join("","",filter($G$1:$G66,$D$1:$D66=D67))))"),TRUE)</f>
        <v>1</v>
      </c>
      <c r="AX67" s="113" t="str">
        <f>IFERROR(__xludf.DUMMYFUNCTION("join("","",let(confs,unique(TRANSPOSe(Teams!$1:$1)), confs_count, BYROW(confs,lambda(conf,xlookup(conf,'Conf WC Eligibility'!A:A,'Conf WC Eligibility'!C:C,,))),confs_picked,byrow(confs,lambda(conf,countif(E$1:E66,conf))),p_needs_conf_count,byrow(confs,lam"&amp;"bda(conf,counta('Draft Order'!B$2:B622)-COUNTUNIQUE(filter(D$2:D66,E$2:E66=conf)))),query({confs,confs_count,confs_picked,p_needs_conf_count},""select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8">
      <c r="A68" s="1">
        <v>67.0</v>
      </c>
      <c r="B68" s="1">
        <v>6.0</v>
      </c>
      <c r="C68" s="1">
        <v>7.0</v>
      </c>
      <c r="D68" s="115" t="s">
        <v>224</v>
      </c>
      <c r="E68" s="116" t="str">
        <f>if(F68&lt;&gt;"",VLOOKUP(F68,offset('Teams-Conference'!A:B,0,(counta('Draft Order'!B$2:B622)-10)*2),2,0),"")</f>
        <v>SEC</v>
      </c>
      <c r="F68" s="77" t="s">
        <v>203</v>
      </c>
      <c r="G68" s="106" t="str">
        <f t="shared" si="1"/>
        <v>Regular Pick</v>
      </c>
      <c r="H68" s="106">
        <f t="shared" si="44"/>
        <v>1</v>
      </c>
      <c r="I68" s="106">
        <f t="shared" si="45"/>
        <v>1</v>
      </c>
      <c r="J68" s="106">
        <f t="shared" si="43"/>
        <v>2</v>
      </c>
      <c r="K68" s="106">
        <f t="shared" si="39"/>
        <v>2</v>
      </c>
      <c r="L68" s="106">
        <v>4.0</v>
      </c>
      <c r="M68" s="106">
        <f>IFERROR(__xludf.DUMMYFUNCTION("counta(iferror(filter(L$2:L67,E$2:E67=E68,L$2:L67&lt;L68)))"),0.0)</f>
        <v>0</v>
      </c>
      <c r="N68" s="106">
        <f>IFERROR(__xludf.DUMMYFUNCTION("counta(iferror(filter(L69:L$121,E69:E$121=E68,L69:L$624&gt;L68)))"),0.0)</f>
        <v>0</v>
      </c>
      <c r="O68" s="152"/>
      <c r="P68" s="106" t="b">
        <f>IFERROR(__xludf.DUMMYFUNCTION("if(F68="""","""",let(wc_picked, countifs(E$1:E67,E68,G$1:G67,""This is your wild card pick""), let(spots_filled,counta(unique(filter(D$2:E68,E$2:E68=E68)))/2,let(total,VLOOKUP(E68,'Conf WC Eligibility'!A:C,3,0),if(E68=""zIndependent"", TRUE,total-wc_picke"&amp;"d&gt;12)))))"),TRUE)</f>
        <v>1</v>
      </c>
      <c r="Q68" s="107">
        <f t="array" ref="Q68:AB68">XLOOKUP(F68,'Current Week'!C:C,'Current Week'!D:O)</f>
        <v>4</v>
      </c>
      <c r="R68" s="106">
        <v>8.0</v>
      </c>
      <c r="S68" s="106" t="s">
        <v>709</v>
      </c>
      <c r="T68" s="106" t="s">
        <v>61</v>
      </c>
      <c r="U68" s="106" t="s">
        <v>224</v>
      </c>
      <c r="V68" s="106"/>
      <c r="W68" s="106" t="s">
        <v>67</v>
      </c>
      <c r="X68" s="106">
        <v>-1.5</v>
      </c>
      <c r="Y68" s="106" t="s">
        <v>67</v>
      </c>
      <c r="Z68" s="106">
        <v>49.5</v>
      </c>
      <c r="AA68" s="106">
        <v>259.0</v>
      </c>
      <c r="AB68" s="106">
        <v>288.0</v>
      </c>
      <c r="AC68" s="108" t="b">
        <v>1</v>
      </c>
      <c r="AD68" s="109">
        <f t="shared" si="4"/>
        <v>-6</v>
      </c>
      <c r="AE68" s="110">
        <f t="shared" si="5"/>
        <v>3</v>
      </c>
      <c r="AF68" s="110">
        <f>IFERROR(__xludf.DUMMYFUNCTION("iferror(COUNT(filter($Q69:$Q$400,$Q69:$Q$400&gt;$Q68)))"),39.0)</f>
        <v>39</v>
      </c>
      <c r="AG68" s="111">
        <f t="shared" si="6"/>
        <v>0</v>
      </c>
      <c r="AH68" s="112">
        <f t="shared" si="7"/>
        <v>2</v>
      </c>
      <c r="AI68" s="113" t="str">
        <f>IFERROR(__xludf.DUMMYFUNCTION("iferror(join("","",index(sort(filter($F69:$F$401,$Q69:$Q$401&gt;$Q68),2,false),0,1)))"),"Iowa State,Oklahoma,Appalachian State,TCU,Old Dominion,Akron,Florida State,Troy,Cincinnati,UCF,Duke,UConn,Florida Intl,Houston,San Diego State,Coastal Carolina,Virginia,Utah State,NC State,California,Missouri State,Marshall,Pittsburgh,Rutgers,Arkansas Sta"&amp;"te,Vanderbilt,Delaware,New Mexico,Kennesaw State,Rice,Temple,Wake Forest,Arizona,Northwestern,Kent State,Washington State,Kentucky,Mississippi State,Southern Mississippi")</f>
        <v>Iowa State,Oklahoma,Appalachian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J68" s="114">
        <f>IFERROR(__xludf.DUMMYFUNCTION("iferror($Q68-max(filter($Q68:$Q$400,$E68:$E$400=$E$2)))"),-2.0)</f>
        <v>-2</v>
      </c>
      <c r="AK68" s="110">
        <f t="shared" si="8"/>
        <v>0</v>
      </c>
      <c r="AL68" s="110">
        <f>IFERROR(__xludf.DUMMYFUNCTION("iferror(COUNT(filter($Q69:$Q$400,$Q69:$Q$400&gt;$Q68,$E68:$E$400=$E$2)))"),0.0)</f>
        <v>0</v>
      </c>
      <c r="AM68" s="111">
        <f t="shared" si="9"/>
        <v>0</v>
      </c>
      <c r="AN68" s="110">
        <f>IFERROR(__xludf.DUMMYFUNCTION("iferror($Q68-min(filter($Q68:$Q$400,$E68:$E$400=$E$2)))"),2.0)</f>
        <v>2</v>
      </c>
      <c r="AO68" s="113" t="str">
        <f>IFERROR(__xludf.DUMMYFUNCTION("iferror(join("","",index(sort(filter($F69:$F$400,$Q69:$Q$400&gt;$Q68,$E69:$E$400=$E$2),2,false),0,1)))"),"Rutgers,Northwestern")</f>
        <v>Rutgers,Northwestern</v>
      </c>
      <c r="AP68" s="113" t="str">
        <f>IFERROR(__xludf.DUMMYFUNCTION("REGEXREPLACE(join("","",unique({let(conf_picked,filter(E$1:E67,D$1:D67=D68), byrow(unique(TRANSPOSe(Teams!$1:$1)),lambda(rw,if(ISERROR(match(rw,conf_picked,0)),rw,))));if(AW68,,transpose(split(AX68,"","",1,1)))})), ""^,"", """")"),"ACC,Big Ten,CUSA,Pac12,SEC,zIndependent,AAC,Big 12,MAC,Sun Belt")</f>
        <v>ACC,Big Ten,CUSA,Pac12,SEC,zIndependent,AAC,Big 12,MAC,Sun Belt</v>
      </c>
      <c r="AQ68" s="114">
        <f>IFERROR(__xludf.DUMMYFUNCTION("iferror($Q68-max(filter($Q68:$Q$400,arrayformula(isnumber(FIND($E68:$E$400,AP68))))))"),-6.0)</f>
        <v>-6</v>
      </c>
      <c r="AR68" s="110">
        <f t="array" ref="AR68">countifs($Q$2:$Q67,"&lt;"&amp;$Q68,isnumber(FIND($E$2:$E67,AP68)),TRUE)</f>
        <v>1</v>
      </c>
      <c r="AS68" s="110">
        <f>IFERROR(__xludf.DUMMYFUNCTION("iferror(COUNT(filter($Q69:$Q$400,$Q69:$Q$400&gt;$Q68,arrayformula(isnumber(FIND($E69:$E$400,AP68))))))"),36.0)</f>
        <v>36</v>
      </c>
      <c r="AT68" s="111">
        <f t="shared" si="10"/>
        <v>0</v>
      </c>
      <c r="AU68" s="110">
        <f>IFERROR(__xludf.DUMMYFUNCTION("iferror($Q68-min(filter($Q68:$Q$400,arrayformula(isnumber(FIND($E68:$E$400,AP68))))))"),4.0)</f>
        <v>4</v>
      </c>
      <c r="AV68" s="113" t="str">
        <f>IFERROR(__xludf.DUMMYFUNCTION("iferror(join("","",index(sort(filter($F69:$F$400,$Q69:$Q$400&gt;$Q68,arrayformula(isnumber(FIND($E69:$E$400,AP68)))),2,false),0,1)))"),"Iowa State,Oklahoma,Appalachian State,TCU,Old Dominion,Akron,Florida State,Troy,Cincinnati,UCF,Duke,UConn,Florida Intl,Houston,Coastal Carolina,Virginia,NC State,California,Missouri State,Marshall,Pittsburgh,Rutgers,Arkansas State,Vanderbilt,Delaware,Kenn"&amp;"esaw State,Rice,Temple,Wake Forest,Arizona,Northwestern,Kent State,Washington State,Kentucky,Mississippi State,Southern Mississippi")</f>
        <v>Iowa State,Oklahoma,Appalachian State,TCU,Old Dominion,Akron,Florida State,Troy,Cincinnati,UCF,Duke,UConn,Florida Intl,Houston,Coastal Carolina,Virginia,NC State,California,Missouri State,Marshall,Pittsburgh,Rutgers,Arkansas State,Vanderbilt,Delaware,Kennesaw State,Rice,Temple,Wake Forest,Arizona,Northwestern,Kent State,Washington State,Kentucky,Mississippi State,Southern Mississippi</v>
      </c>
      <c r="AW68" s="113" t="b">
        <f>IFERROR(__xludf.DUMMYFUNCTION("isnumber(find(""wild card"",join("","",filter($G$1:$G67,$D$1:$D67=D68))))"),FALSE)</f>
        <v>0</v>
      </c>
      <c r="AX68" s="113" t="str">
        <f>IFERROR(__xludf.DUMMYFUNCTION("join("","",let(confs,unique(TRANSPOSe(Teams!$1:$1)), confs_count, BYROW(confs,lambda(conf,xlookup(conf,'Conf WC Eligibility'!A:A,'Conf WC Eligibility'!C:C,,))),confs_picked,byrow(confs,lambda(conf,countif(E$1:E67,conf))),p_needs_conf_count,byrow(confs,lam"&amp;"bda(conf,counta('Draft Order'!B$2:B622)-COUNTUNIQUE(filter(D$2:D67,E$2:E67=conf)))),query({confs,confs_count,confs_picked,p_needs_conf_count},""select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9">
      <c r="A69" s="1">
        <v>68.0</v>
      </c>
      <c r="B69" s="1">
        <v>6.0</v>
      </c>
      <c r="C69" s="1">
        <v>8.0</v>
      </c>
      <c r="D69" s="115" t="s">
        <v>311</v>
      </c>
      <c r="E69" s="116" t="str">
        <f>if(F69&lt;&gt;"",VLOOKUP(F69,offset('Teams-Conference'!A:B,0,(counta('Draft Order'!B$2:B622)-10)*2),2,0),"")</f>
        <v>Big 12</v>
      </c>
      <c r="F69" s="77" t="s">
        <v>125</v>
      </c>
      <c r="G69" s="106" t="str">
        <f t="shared" si="1"/>
        <v>Regular Pick</v>
      </c>
      <c r="H69" s="106">
        <f t="shared" si="44"/>
        <v>1</v>
      </c>
      <c r="I69" s="106">
        <f t="shared" si="45"/>
        <v>4</v>
      </c>
      <c r="J69" s="106">
        <f t="shared" si="43"/>
        <v>0</v>
      </c>
      <c r="K69" s="106">
        <f t="shared" si="39"/>
        <v>1</v>
      </c>
      <c r="L69" s="106">
        <v>8.0</v>
      </c>
      <c r="M69" s="106">
        <f>IFERROR(__xludf.DUMMYFUNCTION("counta(iferror(filter(L$2:L68,E$2:E68=E69,L$2:L68&lt;L69)))"),3.0)</f>
        <v>3</v>
      </c>
      <c r="N69" s="106">
        <f>IFERROR(__xludf.DUMMYFUNCTION("counta(iferror(filter(L70:L$121,E70:E$121=E69,L70:L$624&gt;L69)))"),0.0)</f>
        <v>0</v>
      </c>
      <c r="O69" s="152"/>
      <c r="P69" s="106" t="b">
        <f>IFERROR(__xludf.DUMMYFUNCTION("if(F69="""","""",let(wc_picked, countifs(E$1:E68,E69,G$1:G68,""This is your wild card pick""), let(spots_filled,counta(unique(filter(D$2:E69,E$2:E69=E69)))/2,let(total,VLOOKUP(E69,'Conf WC Eligibility'!A:C,3,0),if(E69=""zIndependent"", TRUE,total-wc_picke"&amp;"d&gt;12)))))"),TRUE)</f>
        <v>1</v>
      </c>
      <c r="Q69" s="107">
        <f t="array" ref="Q69:AB69">XLOOKUP(F69,'Current Week'!C:C,'Current Week'!D:O)</f>
        <v>8</v>
      </c>
      <c r="R69" s="106">
        <v>4.0</v>
      </c>
      <c r="S69" s="106" t="s">
        <v>699</v>
      </c>
      <c r="T69" s="106" t="s">
        <v>61</v>
      </c>
      <c r="U69" s="106" t="s">
        <v>96</v>
      </c>
      <c r="V69" s="106"/>
      <c r="W69" s="106" t="s">
        <v>67</v>
      </c>
      <c r="X69" s="106">
        <v>-13.5</v>
      </c>
      <c r="Y69" s="106" t="s">
        <v>67</v>
      </c>
      <c r="Z69" s="106">
        <v>46.5</v>
      </c>
      <c r="AA69" s="106">
        <v>329.0</v>
      </c>
      <c r="AB69" s="106">
        <v>242.0</v>
      </c>
      <c r="AC69" s="108" t="b">
        <v>1</v>
      </c>
      <c r="AD69" s="109">
        <f t="shared" si="4"/>
        <v>-2</v>
      </c>
      <c r="AE69" s="110">
        <f t="shared" si="5"/>
        <v>28</v>
      </c>
      <c r="AF69" s="110">
        <f>IFERROR(__xludf.DUMMYFUNCTION("iferror(COUNT(filter($Q70:$Q$400,$Q70:$Q$400&gt;$Q69)))"),10.0)</f>
        <v>10</v>
      </c>
      <c r="AG69" s="111">
        <f t="shared" si="6"/>
        <v>0</v>
      </c>
      <c r="AH69" s="112">
        <f t="shared" si="7"/>
        <v>6</v>
      </c>
      <c r="AI69" s="113" t="str">
        <f>IFERROR(__xludf.DUMMYFUNCTION("iferror(join("","",index(sort(filter($F70:$F$401,$Q70:$Q$401&gt;$Q69),2,false),0,1)))"),"Oklahoma,Old Dominion,UConn,Houston,San Diego State,Virginia,Vanderbilt,New Mexico,Kennesaw State,Arizona")</f>
        <v>Oklahoma,Old Dominion,UConn,Houston,San Diego State,Virginia,Vanderbilt,New Mexico,Kennesaw State,Arizona</v>
      </c>
      <c r="AJ69" s="114">
        <f>IFERROR(__xludf.DUMMYFUNCTION("iferror($Q69-max(filter($Q69:$Q$400,$E69:$E$400=$E$2)))"),2.0)</f>
        <v>2</v>
      </c>
      <c r="AK69" s="110">
        <f t="shared" si="8"/>
        <v>3</v>
      </c>
      <c r="AL69" s="110">
        <f>IFERROR(__xludf.DUMMYFUNCTION("iferror(COUNT(filter($Q70:$Q$400,$Q70:$Q$400&gt;$Q69,$E69:$E$400=$E$2)))"),0.0)</f>
        <v>0</v>
      </c>
      <c r="AM69" s="111">
        <f t="shared" si="9"/>
        <v>0</v>
      </c>
      <c r="AN69" s="110">
        <f>IFERROR(__xludf.DUMMYFUNCTION("iferror($Q69-min(filter($Q69:$Q$400,$E69:$E$400=$E$2)))"),6.0)</f>
        <v>6</v>
      </c>
      <c r="AO69" s="113" t="str">
        <f>IFERROR(__xludf.DUMMYFUNCTION("iferror(join("","",index(sort(filter($F70:$F$400,$Q70:$Q$400&gt;$Q69,$E70:$E$400=$E$2),2,false),0,1)))"),"")</f>
        <v/>
      </c>
      <c r="AP69" s="113" t="str">
        <f>IFERROR(__xludf.DUMMYFUNCTION("REGEXREPLACE(join("","",unique({let(conf_picked,filter(E$1:E68,D$1:D68=D69), byrow(unique(TRANSPOSe(Teams!$1:$1)),lambda(rw,if(ISERROR(match(rw,conf_picked,0)),rw,))));if(AW69,,transpose(split(AX69,"","",1,1)))})), ""^,"", """")"),"ACC,Big 12,CUSA,MWC,Pac12,Sun Belt,zIndependent")</f>
        <v>ACC,Big 12,CUSA,MWC,Pac12,Sun Belt,zIndependent</v>
      </c>
      <c r="AQ69" s="114">
        <f>IFERROR(__xludf.DUMMYFUNCTION("iferror($Q69-max(filter($Q69:$Q$400,arrayformula(isnumber(FIND($E69:$E$400,AP69))))))"),-2.0)</f>
        <v>-2</v>
      </c>
      <c r="AR69" s="110">
        <f t="array" ref="AR69">countifs($Q$2:$Q68,"&lt;"&amp;$Q69,isnumber(FIND($E$2:$E68,AP69)),TRUE)</f>
        <v>13</v>
      </c>
      <c r="AS69" s="110">
        <f>IFERROR(__xludf.DUMMYFUNCTION("iferror(COUNT(filter($Q70:$Q$400,$Q70:$Q$400&gt;$Q69,arrayformula(isnumber(FIND($E70:$E$400,AP69))))))"),8.0)</f>
        <v>8</v>
      </c>
      <c r="AT69" s="111">
        <f t="shared" si="10"/>
        <v>0</v>
      </c>
      <c r="AU69" s="110">
        <f>IFERROR(__xludf.DUMMYFUNCTION("iferror($Q69-min(filter($Q69:$Q$400,arrayformula(isnumber(FIND($E69:$E$400,AP69))))))"),7.0)</f>
        <v>7</v>
      </c>
      <c r="AV69" s="113" t="str">
        <f>IFERROR(__xludf.DUMMYFUNCTION("iferror(join("","",index(sort(filter($F70:$F$400,$Q70:$Q$400&gt;$Q69,arrayformula(isnumber(FIND($E70:$E$400,AP69)))),2,false),0,1)))"),"Old Dominion,UConn,Houston,San Diego State,Virginia,New Mexico,Kennesaw State,Arizona")</f>
        <v>Old Dominion,UConn,Houston,San Diego State,Virginia,New Mexico,Kennesaw State,Arizona</v>
      </c>
      <c r="AW69" s="113" t="b">
        <f>IFERROR(__xludf.DUMMYFUNCTION("isnumber(find(""wild card"",join("","",filter($G$1:$G68,$D$1:$D68=D69))))"),TRUE)</f>
        <v>1</v>
      </c>
      <c r="AX69" s="113" t="str">
        <f>IFERROR(__xludf.DUMMYFUNCTION("join("","",let(confs,unique(TRANSPOSe(Teams!$1:$1)), confs_count, BYROW(confs,lambda(conf,xlookup(conf,'Conf WC Eligibility'!A:A,'Conf WC Eligibility'!C:C,,))),confs_picked,byrow(confs,lambda(conf,countif(E$1:E68,conf))),p_needs_conf_count,byrow(confs,lam"&amp;"bda(conf,counta('Draft Order'!B$2:B622)-COUNTUNIQUE(filter(D$2:D68,E$2:E68=conf)))),query({confs,confs_count,confs_picked,p_needs_conf_count},""select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0">
      <c r="A70" s="1">
        <v>69.0</v>
      </c>
      <c r="B70" s="1">
        <v>6.0</v>
      </c>
      <c r="C70" s="1">
        <v>9.0</v>
      </c>
      <c r="D70" s="115" t="s">
        <v>193</v>
      </c>
      <c r="E70" s="116" t="str">
        <f>if(F70&lt;&gt;"",VLOOKUP(F70,offset('Teams-Conference'!A:B,0,(counta('Draft Order'!B$2:B622)-10)*2),2,0),"")</f>
        <v>AAC</v>
      </c>
      <c r="F70" s="77" t="s">
        <v>150</v>
      </c>
      <c r="G70" s="106" t="str">
        <f t="shared" si="1"/>
        <v>Regular Pick</v>
      </c>
      <c r="H70" s="106">
        <f t="shared" si="44"/>
        <v>0</v>
      </c>
      <c r="I70" s="106">
        <f t="shared" si="45"/>
        <v>0</v>
      </c>
      <c r="J70" s="106">
        <f t="shared" si="43"/>
        <v>0</v>
      </c>
      <c r="K70" s="106">
        <f t="shared" si="39"/>
        <v>3</v>
      </c>
      <c r="L70" s="106">
        <v>4.0</v>
      </c>
      <c r="M70" s="106">
        <f>IFERROR(__xludf.DUMMYFUNCTION("counta(iferror(filter(L$2:L69,E$2:E69=E70,L$2:L69&lt;L70)))"),0.0)</f>
        <v>0</v>
      </c>
      <c r="N70" s="106">
        <f>IFERROR(__xludf.DUMMYFUNCTION("counta(iferror(filter(L71:L$121,E71:E$121=E70,L71:L$624&gt;L70)))"),0.0)</f>
        <v>0</v>
      </c>
      <c r="O70" s="152"/>
      <c r="P70" s="106" t="b">
        <f>IFERROR(__xludf.DUMMYFUNCTION("if(F70="""","""",let(wc_picked, countifs(E$1:E69,E70,G$1:G69,""This is your wild card pick""), let(spots_filled,counta(unique(filter(D$2:E70,E$2:E70=E70)))/2,let(total,VLOOKUP(E70,'Conf WC Eligibility'!A:C,3,0),if(E70=""zIndependent"", TRUE,total-wc_picke"&amp;"d&gt;12)))))"),TRUE)</f>
        <v>1</v>
      </c>
      <c r="Q70" s="107">
        <f t="array" ref="Q70:AB70">XLOOKUP(F70,'Current Week'!C:C,'Current Week'!D:O)</f>
        <v>4</v>
      </c>
      <c r="R70" s="106">
        <v>8.0</v>
      </c>
      <c r="S70" s="106" t="s">
        <v>564</v>
      </c>
      <c r="T70" s="106" t="s">
        <v>61</v>
      </c>
      <c r="U70" s="106" t="s">
        <v>95</v>
      </c>
      <c r="V70" s="106"/>
      <c r="W70" s="106" t="s">
        <v>67</v>
      </c>
      <c r="X70" s="106">
        <v>6.5</v>
      </c>
      <c r="Y70" s="106" t="s">
        <v>67</v>
      </c>
      <c r="Z70" s="106">
        <v>65.5</v>
      </c>
      <c r="AA70" s="106">
        <v>354.0</v>
      </c>
      <c r="AB70" s="106">
        <v>436.0</v>
      </c>
      <c r="AC70" s="108" t="b">
        <v>1</v>
      </c>
      <c r="AD70" s="109">
        <f t="shared" si="4"/>
        <v>-6</v>
      </c>
      <c r="AE70" s="110">
        <f t="shared" si="5"/>
        <v>3</v>
      </c>
      <c r="AF70" s="110">
        <f>IFERROR(__xludf.DUMMYFUNCTION("iferror(COUNT(filter($Q71:$Q$400,$Q71:$Q$400&gt;$Q70)))"),38.0)</f>
        <v>38</v>
      </c>
      <c r="AG70" s="111">
        <f t="shared" si="6"/>
        <v>0</v>
      </c>
      <c r="AH70" s="112">
        <f t="shared" si="7"/>
        <v>2</v>
      </c>
      <c r="AI70" s="113" t="str">
        <f>IFERROR(__xludf.DUMMYFUNCTION("iferror(join("","",index(sort(filter($F71:$F$401,$Q71:$Q$401&gt;$Q70),2,false),0,1)))"),"Oklahoma,Appalachian State,TCU,Old Dominion,Akron,Florida State,Troy,Cincinnati,UCF,Duke,UConn,Florida Intl,Houston,San Diego State,Coastal Carolina,Virginia,Utah State,NC State,California,Missouri State,Marshall,Pittsburgh,Rutgers,Arkansas State,Vanderbi"&amp;"lt,Delaware,New Mexico,Kennesaw State,Rice,Temple,Wake Forest,Arizona,Northwestern,Kent State,Washington State,Kentucky,Mississippi State,Southern Mississippi")</f>
        <v>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J70" s="114">
        <f>IFERROR(__xludf.DUMMYFUNCTION("iferror($Q70-max(filter($Q70:$Q$400,$E70:$E$400=$E$2)))"),-2.0)</f>
        <v>-2</v>
      </c>
      <c r="AK70" s="110">
        <f t="shared" si="8"/>
        <v>0</v>
      </c>
      <c r="AL70" s="110">
        <f>IFERROR(__xludf.DUMMYFUNCTION("iferror(COUNT(filter($Q71:$Q$400,$Q71:$Q$400&gt;$Q70,$E70:$E$400=$E$2)))"),0.0)</f>
        <v>0</v>
      </c>
      <c r="AM70" s="111">
        <f t="shared" si="9"/>
        <v>0</v>
      </c>
      <c r="AN70" s="110">
        <f>IFERROR(__xludf.DUMMYFUNCTION("iferror($Q70-min(filter($Q70:$Q$400,$E70:$E$400=$E$2)))"),2.0)</f>
        <v>2</v>
      </c>
      <c r="AO70" s="113" t="str">
        <f>IFERROR(__xludf.DUMMYFUNCTION("iferror(join("","",index(sort(filter($F71:$F$400,$Q71:$Q$400&gt;$Q70,$E71:$E$400=$E$2),2,false),0,1)))"),"Rutgers,Northwestern")</f>
        <v>Rutgers,Northwestern</v>
      </c>
      <c r="AP70" s="113" t="str">
        <f>IFERROR(__xludf.DUMMYFUNCTION("REGEXREPLACE(join("","",unique({let(conf_picked,filter(E$1:E69,D$1:D69=D70), byrow(unique(TRANSPOSe(Teams!$1:$1)),lambda(rw,if(ISERROR(match(rw,conf_picked,0)),rw,))));if(AW70,,transpose(split(AX70,"","",1,1)))})), ""^,"", """")"),"AAC,,CUSA,MAC,MWC,Pac12,zIndependent,ACC,Big 12,Big Ten,SEC,Sun Belt")</f>
        <v>AAC,,CUSA,MAC,MWC,Pac12,zIndependent,ACC,Big 12,Big Ten,SEC,Sun Belt</v>
      </c>
      <c r="AQ70" s="114">
        <f>IFERROR(__xludf.DUMMYFUNCTION("iferror($Q70-max(filter($Q70:$Q$400,arrayformula(isnumber(FIND($E70:$E$400,AP70))))))"),-6.0)</f>
        <v>-6</v>
      </c>
      <c r="AR70" s="110">
        <f t="array" ref="AR70">countifs($Q$2:$Q69,"&lt;"&amp;$Q70,isnumber(FIND($E$2:$E69,AP70)),TRUE)</f>
        <v>3</v>
      </c>
      <c r="AS70" s="110">
        <f>IFERROR(__xludf.DUMMYFUNCTION("iferror(COUNT(filter($Q71:$Q$400,$Q71:$Q$400&gt;$Q70,arrayformula(isnumber(FIND($E71:$E$400,AP70))))))"),38.0)</f>
        <v>38</v>
      </c>
      <c r="AT70" s="111">
        <f t="shared" si="10"/>
        <v>0</v>
      </c>
      <c r="AU70" s="110">
        <f>IFERROR(__xludf.DUMMYFUNCTION("iferror($Q70-min(filter($Q70:$Q$400,arrayformula(isnumber(FIND($E70:$E$400,AP70))))))"),4.0)</f>
        <v>4</v>
      </c>
      <c r="AV70" s="113" t="str">
        <f>IFERROR(__xludf.DUMMYFUNCTION("iferror(join("","",index(sort(filter($F71:$F$400,$Q71:$Q$400&gt;$Q70,arrayformula(isnumber(FIND($E71:$E$400,AP70)))),2,false),0,1)))"),"Oklahoma,Appalachian State,TCU,Old Dominion,Akron,Florida State,Troy,Cincinnati,UCF,Duke,UConn,Florida Intl,Houston,San Diego State,Coastal Carolina,Virginia,Utah State,NC State,California,Missouri State,Marshall,Pittsburgh,Rutgers,Arkansas State,Vanderbi"&amp;"lt,Delaware,New Mexico,Kennesaw State,Rice,Temple,Wake Forest,Arizona,Northwestern,Kent State,Washington State,Kentucky,Mississippi State,Southern Mississippi")</f>
        <v>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W70" s="113" t="b">
        <f>IFERROR(__xludf.DUMMYFUNCTION("isnumber(find(""wild card"",join("","",filter($G$1:$G69,$D$1:$D69=D70))))"),FALSE)</f>
        <v>0</v>
      </c>
      <c r="AX70" s="113" t="str">
        <f>IFERROR(__xludf.DUMMYFUNCTION("join("","",let(confs,unique(TRANSPOSe(Teams!$1:$1)), confs_count, BYROW(confs,lambda(conf,xlookup(conf,'Conf WC Eligibility'!A:A,'Conf WC Eligibility'!C:C,,))),confs_picked,byrow(confs,lambda(conf,countif(E$1:E69,conf))),p_needs_conf_count,byrow(confs,lam"&amp;"bda(conf,counta('Draft Order'!B$2:B622)-COUNTUNIQUE(filter(D$2:D69,E$2:E69=conf)))),query({confs,confs_count,confs_picked,p_needs_conf_count},""select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1">
      <c r="A71" s="1">
        <v>70.0</v>
      </c>
      <c r="B71" s="1">
        <v>6.0</v>
      </c>
      <c r="C71" s="1">
        <v>10.0</v>
      </c>
      <c r="D71" s="115" t="s">
        <v>62</v>
      </c>
      <c r="E71" s="116" t="str">
        <f>if(F71&lt;&gt;"",VLOOKUP(F71,offset('Teams-Conference'!A:B,0,(counta('Draft Order'!B$2:B622)-10)*2),2,0),"")</f>
        <v>MAC</v>
      </c>
      <c r="F71" s="77" t="s">
        <v>304</v>
      </c>
      <c r="G71" s="106" t="str">
        <f t="shared" si="1"/>
        <v>Regular Pick</v>
      </c>
      <c r="H71" s="106">
        <f t="shared" si="44"/>
        <v>1</v>
      </c>
      <c r="I71" s="106">
        <f t="shared" si="45"/>
        <v>1</v>
      </c>
      <c r="J71" s="106">
        <f t="shared" si="43"/>
        <v>1</v>
      </c>
      <c r="K71" s="106">
        <f t="shared" si="39"/>
        <v>5</v>
      </c>
      <c r="L71" s="106">
        <v>4.0</v>
      </c>
      <c r="M71" s="106">
        <f>IFERROR(__xludf.DUMMYFUNCTION("counta(iferror(filter(L$2:L70,E$2:E70=E71,L$2:L70&lt;L71)))"),1.0)</f>
        <v>1</v>
      </c>
      <c r="N71" s="106">
        <f>IFERROR(__xludf.DUMMYFUNCTION("counta(iferror(filter(L72:L$121,E72:E$121=E71,L72:L$624&gt;L71)))"),0.0)</f>
        <v>0</v>
      </c>
      <c r="O71" s="152"/>
      <c r="P71" s="106" t="b">
        <f>IFERROR(__xludf.DUMMYFUNCTION("if(F71="""","""",let(wc_picked, countifs(E$1:E70,E71,G$1:G70,""This is your wild card pick""), let(spots_filled,counta(unique(filter(D$2:E71,E$2:E71=E71)))/2,let(total,VLOOKUP(E71,'Conf WC Eligibility'!A:C,3,0),if(E71=""zIndependent"", TRUE,total-wc_picke"&amp;"d&gt;12)))))"),TRUE)</f>
        <v>1</v>
      </c>
      <c r="Q71" s="107">
        <f t="array" ref="Q71:AB71">XLOOKUP(F71,'Current Week'!C:C,'Current Week'!D:O)</f>
        <v>4</v>
      </c>
      <c r="R71" s="106">
        <v>8.0</v>
      </c>
      <c r="S71" s="106" t="s">
        <v>666</v>
      </c>
      <c r="T71" s="106" t="s">
        <v>61</v>
      </c>
      <c r="U71" s="106" t="s">
        <v>395</v>
      </c>
      <c r="V71" s="106"/>
      <c r="W71" s="106" t="s">
        <v>67</v>
      </c>
      <c r="X71" s="106">
        <v>7.5</v>
      </c>
      <c r="Y71" s="106" t="s">
        <v>67</v>
      </c>
      <c r="Z71" s="106">
        <v>46.5</v>
      </c>
      <c r="AA71" s="106">
        <v>289.0</v>
      </c>
      <c r="AB71" s="106">
        <v>357.0</v>
      </c>
      <c r="AC71" s="108" t="b">
        <v>1</v>
      </c>
      <c r="AD71" s="109">
        <f t="shared" si="4"/>
        <v>-6</v>
      </c>
      <c r="AE71" s="110">
        <f t="shared" si="5"/>
        <v>3</v>
      </c>
      <c r="AF71" s="110">
        <f>IFERROR(__xludf.DUMMYFUNCTION("iferror(COUNT(filter($Q72:$Q$400,$Q72:$Q$400&gt;$Q71)))"),38.0)</f>
        <v>38</v>
      </c>
      <c r="AG71" s="111">
        <f t="shared" si="6"/>
        <v>0</v>
      </c>
      <c r="AH71" s="112">
        <f t="shared" si="7"/>
        <v>2</v>
      </c>
      <c r="AI71" s="113" t="str">
        <f>IFERROR(__xludf.DUMMYFUNCTION("iferror(join("","",index(sort(filter($F72:$F$401,$Q72:$Q$401&gt;$Q71),2,false),0,1)))"),"Oklahoma,Appalachian State,TCU,Old Dominion,Akron,Florida State,Troy,Cincinnati,UCF,Duke,UConn,Florida Intl,Houston,San Diego State,Coastal Carolina,Virginia,Utah State,NC State,California,Missouri State,Marshall,Pittsburgh,Rutgers,Arkansas State,Vanderbi"&amp;"lt,Delaware,New Mexico,Kennesaw State,Rice,Temple,Wake Forest,Arizona,Northwestern,Kent State,Washington State,Kentucky,Mississippi State,Southern Mississippi")</f>
        <v>Oklahoma,Appalachian State,TCU,Old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J71" s="114">
        <f>IFERROR(__xludf.DUMMYFUNCTION("iferror($Q71-max(filter($Q71:$Q$400,$E71:$E$400=$E$2)))"),-2.0)</f>
        <v>-2</v>
      </c>
      <c r="AK71" s="110">
        <f t="shared" si="8"/>
        <v>0</v>
      </c>
      <c r="AL71" s="110">
        <f>IFERROR(__xludf.DUMMYFUNCTION("iferror(COUNT(filter($Q72:$Q$400,$Q72:$Q$400&gt;$Q71,$E71:$E$400=$E$2)))"),0.0)</f>
        <v>0</v>
      </c>
      <c r="AM71" s="111">
        <f t="shared" si="9"/>
        <v>0</v>
      </c>
      <c r="AN71" s="110">
        <f>IFERROR(__xludf.DUMMYFUNCTION("iferror($Q71-min(filter($Q71:$Q$400,$E71:$E$400=$E$2)))"),2.0)</f>
        <v>2</v>
      </c>
      <c r="AO71" s="113" t="str">
        <f>IFERROR(__xludf.DUMMYFUNCTION("iferror(join("","",index(sort(filter($F72:$F$400,$Q72:$Q$400&gt;$Q71,$E72:$E$400=$E$2),2,false),0,1)))"),"Rutgers,Northwestern")</f>
        <v>Rutgers,Northwestern</v>
      </c>
      <c r="AP71" s="113" t="str">
        <f>IFERROR(__xludf.DUMMYFUNCTION("REGEXREPLACE(join("","",unique({let(conf_picked,filter(E$1:E70,D$1:D70=D71), byrow(unique(TRANSPOSe(Teams!$1:$1)),lambda(rw,if(ISERROR(match(rw,conf_picked,0)),rw,))));if(AW71,,transpose(split(AX71,"","",1,1)))})), ""^,"", """")"),"AAC,ACC,,MAC,Pac12,Sun Belt,zIndependent,Big 12,Big Ten,SEC")</f>
        <v>AAC,ACC,,MAC,Pac12,Sun Belt,zIndependent,Big 12,Big Ten,SEC</v>
      </c>
      <c r="AQ71" s="114">
        <f>IFERROR(__xludf.DUMMYFUNCTION("iferror($Q71-max(filter($Q71:$Q$400,arrayformula(isnumber(FIND($E71:$E$400,AP71))))))"),-6.0)</f>
        <v>-6</v>
      </c>
      <c r="AR71" s="110">
        <f t="array" ref="AR71">countifs($Q$2:$Q70,"&lt;"&amp;$Q71,isnumber(FIND($E$2:$E70,AP71)),TRUE)</f>
        <v>1</v>
      </c>
      <c r="AS71" s="110">
        <f>IFERROR(__xludf.DUMMYFUNCTION("iferror(COUNT(filter($Q72:$Q$400,$Q72:$Q$400&gt;$Q71,arrayformula(isnumber(FIND($E72:$E$400,AP71))))))"),31.0)</f>
        <v>31</v>
      </c>
      <c r="AT71" s="111">
        <f t="shared" si="10"/>
        <v>0</v>
      </c>
      <c r="AU71" s="110">
        <f>IFERROR(__xludf.DUMMYFUNCTION("iferror($Q71-min(filter($Q71:$Q$400,arrayformula(isnumber(FIND($E71:$E$400,AP71))))))"),4.0)</f>
        <v>4</v>
      </c>
      <c r="AV71" s="113" t="str">
        <f>IFERROR(__xludf.DUMMYFUNCTION("iferror(join("","",index(sort(filter($F72:$F$400,$Q72:$Q$400&gt;$Q71,arrayformula(isnumber(FIND($E72:$E$400,AP71)))),2,false),0,1)))"),"Oklahoma,Appalachian State,TCU,Old Dominion,Akron,Florida State,Troy,Cincinnati,UCF,Duke,UConn,Houston,Coastal Carolina,Virginia,NC State,California,Marshall,Pittsburgh,Rutgers,Arkansas State,Vanderbilt,Rice,Temple,Wake Forest,Arizona,Northwestern,Kent St"&amp;"ate,Washington State,Kentucky,Mississippi State,Southern Mississippi")</f>
        <v>Oklahoma,Appalachian State,TCU,Old Dominion,Akron,Florida State,Troy,Cincinnati,UCF,Duke,UConn,Houston,Coastal Carolina,Virginia,NC State,California,Marshall,Pittsburgh,Rutgers,Arkansas State,Vanderbilt,Rice,Temple,Wake Forest,Arizona,Northwestern,Kent State,Washington State,Kentucky,Mississippi State,Southern Mississippi</v>
      </c>
      <c r="AW71" s="113" t="b">
        <f>IFERROR(__xludf.DUMMYFUNCTION("isnumber(find(""wild card"",join("","",filter($G$1:$G70,$D$1:$D70=D71))))"),FALSE)</f>
        <v>0</v>
      </c>
      <c r="AX71" s="113" t="str">
        <f>IFERROR(__xludf.DUMMYFUNCTION("join("","",let(confs,unique(TRANSPOSe(Teams!$1:$1)), confs_count, BYROW(confs,lambda(conf,xlookup(conf,'Conf WC Eligibility'!A:A,'Conf WC Eligibility'!C:C,,))),confs_picked,byrow(confs,lambda(conf,countif(E$1:E70,conf))),p_needs_conf_count,byrow(confs,lam"&amp;"bda(conf,counta('Draft Order'!B$2:B622)-COUNTUNIQUE(filter(D$2:D70,E$2:E70=conf)))),query({confs,confs_count,confs_picked,p_needs_conf_count},""select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2">
      <c r="A72" s="1">
        <v>71.0</v>
      </c>
      <c r="B72" s="1">
        <v>6.0</v>
      </c>
      <c r="C72" s="1">
        <v>11.0</v>
      </c>
      <c r="D72" s="115" t="s">
        <v>95</v>
      </c>
      <c r="E72" s="116" t="str">
        <f>if(F72&lt;&gt;"",VLOOKUP(F72,offset('Teams-Conference'!A:B,0,(counta('Draft Order'!B$2:B622)-10)*2),2,0),"")</f>
        <v>SEC</v>
      </c>
      <c r="F72" s="77" t="s">
        <v>128</v>
      </c>
      <c r="G72" s="106" t="str">
        <f t="shared" si="1"/>
        <v>Regular Pick</v>
      </c>
      <c r="H72" s="106">
        <f t="shared" si="44"/>
        <v>0</v>
      </c>
      <c r="I72" s="106">
        <f t="shared" si="45"/>
        <v>0</v>
      </c>
      <c r="J72" s="106">
        <f t="shared" ref="J72:J73" si="46">countif(E62:E71,E72)</f>
        <v>3</v>
      </c>
      <c r="K72" s="106">
        <f t="shared" si="39"/>
        <v>0</v>
      </c>
      <c r="L72" s="106">
        <v>10.0</v>
      </c>
      <c r="M72" s="106">
        <f>IFERROR(__xludf.DUMMYFUNCTION("counta(iferror(filter(L$2:L71,E$2:E71=E72,L$2:L71&lt;L72)))"),7.0)</f>
        <v>7</v>
      </c>
      <c r="N72" s="106">
        <f>IFERROR(__xludf.DUMMYFUNCTION("counta(iferror(filter(L73:L$121,E73:E$121=E72,L73:L$624&gt;L72)))"),0.0)</f>
        <v>0</v>
      </c>
      <c r="O72" s="152"/>
      <c r="P72" s="106" t="b">
        <f>IFERROR(__xludf.DUMMYFUNCTION("if(F72="""","""",let(wc_picked, countifs(E$1:E71,E72,G$1:G71,""This is your wild card pick""), let(spots_filled,counta(unique(filter(D$2:E72,E$2:E72=E72)))/2,let(total,VLOOKUP(E72,'Conf WC Eligibility'!A:C,3,0),if(E72=""zIndependent"", TRUE,total-wc_picke"&amp;"d&gt;12)))))"),TRUE)</f>
        <v>1</v>
      </c>
      <c r="Q72" s="107">
        <f t="array" ref="Q72:AB72">XLOOKUP(F72,'Current Week'!C:C,'Current Week'!D:O)</f>
        <v>10</v>
      </c>
      <c r="R72" s="106">
        <v>2.0</v>
      </c>
      <c r="S72" s="106" t="s">
        <v>554</v>
      </c>
      <c r="T72" s="106" t="s">
        <v>61</v>
      </c>
      <c r="U72" s="106" t="s">
        <v>311</v>
      </c>
      <c r="V72" s="106"/>
      <c r="W72" s="106" t="s">
        <v>67</v>
      </c>
      <c r="X72" s="106">
        <v>-10.5</v>
      </c>
      <c r="Y72" s="106" t="s">
        <v>67</v>
      </c>
      <c r="Z72" s="106">
        <v>35.5</v>
      </c>
      <c r="AA72" s="106">
        <v>317.0</v>
      </c>
      <c r="AB72" s="106">
        <v>167.0</v>
      </c>
      <c r="AC72" s="108" t="b">
        <v>1</v>
      </c>
      <c r="AD72" s="109">
        <f t="shared" si="4"/>
        <v>0</v>
      </c>
      <c r="AE72" s="110">
        <f t="shared" si="5"/>
        <v>54</v>
      </c>
      <c r="AF72" s="110">
        <f>IFERROR(__xludf.DUMMYFUNCTION("iferror(COUNT(filter($Q73:$Q$400,$Q73:$Q$400&gt;$Q72)))"),0.0)</f>
        <v>0</v>
      </c>
      <c r="AG72" s="111">
        <f t="shared" si="6"/>
        <v>1</v>
      </c>
      <c r="AH72" s="112">
        <f t="shared" si="7"/>
        <v>8</v>
      </c>
      <c r="AI72" s="113" t="str">
        <f>IFERROR(__xludf.DUMMYFUNCTION("iferror(join("","",index(sort(filter($F73:$F$401,$Q73:$Q$401&gt;$Q72),2,false),0,1)))"),"")</f>
        <v/>
      </c>
      <c r="AJ72" s="114">
        <f>IFERROR(__xludf.DUMMYFUNCTION("iferror($Q72-max(filter($Q72:$Q$400,$E72:$E$400=$E$2)))"),4.0)</f>
        <v>4</v>
      </c>
      <c r="AK72" s="110">
        <f t="shared" si="8"/>
        <v>8</v>
      </c>
      <c r="AL72" s="110">
        <f>IFERROR(__xludf.DUMMYFUNCTION("iferror(COUNT(filter($Q73:$Q$400,$Q73:$Q$400&gt;$Q72,$E72:$E$400=$E$2)))"),0.0)</f>
        <v>0</v>
      </c>
      <c r="AM72" s="111">
        <f t="shared" si="9"/>
        <v>0</v>
      </c>
      <c r="AN72" s="110">
        <f>IFERROR(__xludf.DUMMYFUNCTION("iferror($Q72-min(filter($Q72:$Q$400,$E72:$E$400=$E$2)))"),8.0)</f>
        <v>8</v>
      </c>
      <c r="AO72" s="113" t="str">
        <f>IFERROR(__xludf.DUMMYFUNCTION("iferror(join("","",index(sort(filter($F73:$F$400,$Q73:$Q$400&gt;$Q72,$E73:$E$400=$E$2),2,false),0,1)))"),"")</f>
        <v/>
      </c>
      <c r="AP72" s="113" t="str">
        <f>IFERROR(__xludf.DUMMYFUNCTION("REGEXREPLACE(join("","",unique({let(conf_picked,filter(E$1:E71,D$1:D71=D72), byrow(unique(TRANSPOSe(Teams!$1:$1)),lambda(rw,if(ISERROR(match(rw,conf_picked,0)),rw,))));if(AW72,,transpose(split(AX72,"","",1,1)))})), ""^,"", """")"),"ACC,CUSA,MAC,Pac12,SEC,zIndependent,AAC,Big 12,Big Ten,Sun Belt")</f>
        <v>ACC,CUSA,MAC,Pac12,SEC,zIndependent,AAC,Big 12,Big Ten,Sun Belt</v>
      </c>
      <c r="AQ72" s="114">
        <f>IFERROR(__xludf.DUMMYFUNCTION("iferror($Q72-max(filter($Q72:$Q$400,arrayformula(isnumber(FIND($E72:$E$400,AP72))))))"),0.0)</f>
        <v>0</v>
      </c>
      <c r="AR72" s="110">
        <f t="array" ref="AR72">countifs($Q$2:$Q71,"&lt;"&amp;$Q72,isnumber(FIND($E$2:$E71,AP72)),TRUE)</f>
        <v>49</v>
      </c>
      <c r="AS72" s="110">
        <f>IFERROR(__xludf.DUMMYFUNCTION("iferror(COUNT(filter($Q73:$Q$400,$Q73:$Q$400&gt;$Q72,arrayformula(isnumber(FIND($E73:$E$400,AP72))))))"),0.0)</f>
        <v>0</v>
      </c>
      <c r="AT72" s="111">
        <f t="shared" si="10"/>
        <v>1</v>
      </c>
      <c r="AU72" s="110">
        <f>IFERROR(__xludf.DUMMYFUNCTION("iferror($Q72-min(filter($Q72:$Q$400,arrayformula(isnumber(FIND($E72:$E$400,AP72))))))"),10.0)</f>
        <v>10</v>
      </c>
      <c r="AV72" s="113" t="str">
        <f>IFERROR(__xludf.DUMMYFUNCTION("iferror(join("","",index(sort(filter($F73:$F$400,$Q73:$Q$400&gt;$Q72,arrayformula(isnumber(FIND($E73:$E$400,AP72)))),2,false),0,1)))"),"")</f>
        <v/>
      </c>
      <c r="AW72" s="113" t="b">
        <f>IFERROR(__xludf.DUMMYFUNCTION("isnumber(find(""wild card"",join("","",filter($G$1:$G71,$D$1:$D71=D72))))"),FALSE)</f>
        <v>0</v>
      </c>
      <c r="AX72" s="113" t="str">
        <f>IFERROR(__xludf.DUMMYFUNCTION("join("","",let(confs,unique(TRANSPOSe(Teams!$1:$1)), confs_count, BYROW(confs,lambda(conf,xlookup(conf,'Conf WC Eligibility'!A:A,'Conf WC Eligibility'!C:C,,))),confs_picked,byrow(confs,lambda(conf,countif(E$1:E71,conf))),p_needs_conf_count,byrow(confs,lam"&amp;"bda(conf,counta('Draft Order'!B$2:B622)-COUNTUNIQUE(filter(D$2:D71,E$2:E71=conf)))),query({confs,confs_count,confs_picked,p_needs_conf_count},""select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3">
      <c r="A73" s="1">
        <v>72.0</v>
      </c>
      <c r="B73" s="1">
        <v>6.0</v>
      </c>
      <c r="C73" s="1">
        <v>12.0</v>
      </c>
      <c r="D73" s="115" t="s">
        <v>43</v>
      </c>
      <c r="E73" t="str">
        <f>if(F73&lt;&gt;"",VLOOKUP(F73,offset('Teams-Conference'!A:B,0,(counta('Draft Order'!B$2:B622)-10)*2),2,0),"")</f>
        <v>Sun Belt</v>
      </c>
      <c r="F73" s="77" t="s">
        <v>422</v>
      </c>
      <c r="G73" s="106" t="str">
        <f t="shared" si="1"/>
        <v>Regular Pick</v>
      </c>
      <c r="H73" s="106">
        <f t="shared" si="44"/>
        <v>2</v>
      </c>
      <c r="I73" s="106">
        <f t="shared" si="45"/>
        <v>3</v>
      </c>
      <c r="J73" s="106">
        <f t="shared" si="46"/>
        <v>0</v>
      </c>
      <c r="K73" s="106">
        <f t="shared" si="39"/>
        <v>1</v>
      </c>
      <c r="L73" s="106">
        <v>5.0</v>
      </c>
      <c r="M73" s="106">
        <f>IFERROR(__xludf.DUMMYFUNCTION("counta(iferror(filter(L$2:L72,E$2:E72=E73,L$2:L72&lt;L73)))"),1.0)</f>
        <v>1</v>
      </c>
      <c r="N73" s="106">
        <f>IFERROR(__xludf.DUMMYFUNCTION("counta(iferror(filter(L74:L$121,E74:E$121=E73,L74:L$624&gt;L73)))"),0.0)</f>
        <v>0</v>
      </c>
      <c r="O73" s="152"/>
      <c r="P73" s="106" t="b">
        <f>IFERROR(__xludf.DUMMYFUNCTION("if(F73="""","""",let(wc_picked, countifs(E$1:E72,E73,G$1:G72,""This is your wild card pick""), let(spots_filled,counta(unique(filter(D$2:E73,E$2:E73=E73)))/2,let(total,VLOOKUP(E73,'Conf WC Eligibility'!A:C,3,0),if(E73=""zIndependent"", TRUE,total-wc_picke"&amp;"d&gt;12)))))"),TRUE)</f>
        <v>1</v>
      </c>
      <c r="Q73" s="107">
        <f t="array" ref="Q73:AB73">XLOOKUP(F73,'Current Week'!C:C,'Current Week'!D:O)</f>
        <v>5</v>
      </c>
      <c r="R73" s="106">
        <v>7.0</v>
      </c>
      <c r="S73" s="106" t="s">
        <v>427</v>
      </c>
      <c r="T73" s="106" t="s">
        <v>61</v>
      </c>
      <c r="U73" s="106" t="s">
        <v>132</v>
      </c>
      <c r="V73" s="106"/>
      <c r="W73" s="106" t="s">
        <v>67</v>
      </c>
      <c r="X73" s="106">
        <v>-1.5</v>
      </c>
      <c r="Y73" s="106" t="s">
        <v>67</v>
      </c>
      <c r="Z73" s="106">
        <v>54.5</v>
      </c>
      <c r="AA73" s="106">
        <v>304.0</v>
      </c>
      <c r="AB73" s="106">
        <v>358.0</v>
      </c>
      <c r="AC73" s="108" t="b">
        <v>1</v>
      </c>
      <c r="AD73" s="109">
        <f t="shared" si="4"/>
        <v>-5</v>
      </c>
      <c r="AE73" s="110">
        <f t="shared" si="5"/>
        <v>11</v>
      </c>
      <c r="AF73" s="110">
        <f>IFERROR(__xludf.DUMMYFUNCTION("iferror(COUNT(filter($Q74:$Q$400,$Q74:$Q$400&gt;$Q73)))"),26.0)</f>
        <v>26</v>
      </c>
      <c r="AG73" s="111">
        <f t="shared" si="6"/>
        <v>0</v>
      </c>
      <c r="AH73" s="112">
        <f t="shared" si="7"/>
        <v>3</v>
      </c>
      <c r="AI73" s="113" t="str">
        <f>IFERROR(__xludf.DUMMYFUNCTION("iferror(join("","",index(sort(filter($F74:$F$401,$Q74:$Q$401&gt;$Q73),2,false),0,1)))"),"TCU,Old Dominion,Troy,Cincinnati,Duke,UConn,Florida Intl,Houston,San Diego State,Coastal Carolina,Virginia,Utah State,NC State,California,Missouri State,Pittsburgh,Arkansas State,Vanderbilt,Delaware,New Mexico,Kennesaw State,Wake Forest,Arizona,Northweste"&amp;"rn,Washington State,Southern Mississippi")</f>
        <v>TCU,Old Dominion,Troy,Cincinnati,Duke,UConn,Florida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J73" s="114">
        <f>IFERROR(__xludf.DUMMYFUNCTION("iferror($Q73-max(filter($Q73:$Q$400,$E73:$E$400=$E$2)))"),-1.0)</f>
        <v>-1</v>
      </c>
      <c r="AK73" s="110">
        <f t="shared" si="8"/>
        <v>0</v>
      </c>
      <c r="AL73" s="110">
        <f>IFERROR(__xludf.DUMMYFUNCTION("iferror(COUNT(filter($Q74:$Q$400,$Q74:$Q$400&gt;$Q73,$E73:$E$400=$E$2)))"),0.0)</f>
        <v>0</v>
      </c>
      <c r="AM73" s="111">
        <f t="shared" si="9"/>
        <v>0</v>
      </c>
      <c r="AN73" s="110">
        <f>IFERROR(__xludf.DUMMYFUNCTION("iferror($Q73-min(filter($Q73:$Q$400,$E73:$E$400=$E$2)))"),3.0)</f>
        <v>3</v>
      </c>
      <c r="AO73" s="113" t="str">
        <f>IFERROR(__xludf.DUMMYFUNCTION("iferror(join("","",index(sort(filter($F74:$F$400,$Q74:$Q$400&gt;$Q73,$E74:$E$400=$E$2),2,false),0,1)))"),"Northwestern")</f>
        <v>Northwestern</v>
      </c>
      <c r="AP73" s="113" t="str">
        <f>IFERROR(__xludf.DUMMYFUNCTION("REGEXREPLACE(join("","",unique({let(conf_picked,filter(E$1:E72,D$1:D72=D73), byrow(unique(TRANSPOSe(Teams!$1:$1)),lambda(rw,if(ISERROR(match(rw,conf_picked,0)),rw,))));if(AW73,,transpose(split(AX73,"","",1,1)))})), ""^,"", """")"),"AAC,,CUSA,MAC,MWC,Pac12,Sun Belt,zIndependent")</f>
        <v>AAC,,CUSA,MAC,MWC,Pac12,Sun Belt,zIndependent</v>
      </c>
      <c r="AQ73" s="114">
        <f>IFERROR(__xludf.DUMMYFUNCTION("iferror($Q73-max(filter($Q73:$Q$400,arrayformula(isnumber(FIND($E73:$E$400,AP73))))))"),-4.0)</f>
        <v>-4</v>
      </c>
      <c r="AR73" s="110">
        <f t="array" ref="AR73">countifs($Q$2:$Q72,"&lt;"&amp;$Q73,isnumber(FIND($E$2:$E72,AP73)),TRUE)</f>
        <v>8</v>
      </c>
      <c r="AS73" s="110">
        <f>IFERROR(__xludf.DUMMYFUNCTION("iferror(COUNT(filter($Q74:$Q$400,$Q74:$Q$400&gt;$Q73,arrayformula(isnumber(FIND($E74:$E$400,AP73))))))"),14.0)</f>
        <v>14</v>
      </c>
      <c r="AT73" s="111">
        <f t="shared" si="10"/>
        <v>0</v>
      </c>
      <c r="AU73" s="110">
        <f>IFERROR(__xludf.DUMMYFUNCTION("iferror($Q73-min(filter($Q73:$Q$400,arrayformula(isnumber(FIND($E73:$E$400,AP73))))))"),5.0)</f>
        <v>5</v>
      </c>
      <c r="AV73" s="113" t="str">
        <f>IFERROR(__xludf.DUMMYFUNCTION("iferror(join("","",index(sort(filter($F74:$F$400,$Q74:$Q$400&gt;$Q73,arrayformula(isnumber(FIND($E74:$E$400,AP73)))),2,false),0,1)))"),"Old Dominion,Troy,UConn,Florida Intl,San Diego State,Coastal Carolina,Utah State,Missouri State,Arkansas State,Delaware,New Mexico,Kennesaw State,Washington State,Southern Mississippi")</f>
        <v>Old Dominion,Troy,UConn,Florida Intl,San Diego State,Coastal Carolina,Utah State,Missouri State,Arkansas State,Delaware,New Mexico,Kennesaw State,Washington State,Southern Mississippi</v>
      </c>
      <c r="AW73" s="113" t="b">
        <f>IFERROR(__xludf.DUMMYFUNCTION("isnumber(find(""wild card"",join("","",filter($G$1:$G72,$D$1:$D72=D73))))"),TRUE)</f>
        <v>1</v>
      </c>
      <c r="AX73" s="113" t="str">
        <f>IFERROR(__xludf.DUMMYFUNCTION("join("","",let(confs,unique(TRANSPOSe(Teams!$1:$1)), confs_count, BYROW(confs,lambda(conf,xlookup(conf,'Conf WC Eligibility'!A:A,'Conf WC Eligibility'!C:C,,))),confs_picked,byrow(confs,lambda(conf,countif(E$1:E72,conf))),p_needs_conf_count,byrow(confs,lam"&amp;"bda(conf,counta('Draft Order'!B$2:B622)-COUNTUNIQUE(filter(D$2:D72,E$2:E72=conf)))),query({confs,confs_count,confs_picked,p_needs_conf_count},""select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4">
      <c r="A74" s="101">
        <v>73.0</v>
      </c>
      <c r="B74" s="101">
        <v>7.0</v>
      </c>
      <c r="C74" s="101">
        <v>1.0</v>
      </c>
      <c r="D74" s="103" t="str">
        <f t="array" ref="D74:D85">index(sort('Draft Order'!$A$2:$B$13,1,1),0,2)</f>
        <v>Nick G.</v>
      </c>
      <c r="E74" s="104" t="str">
        <f>if(F74&lt;&gt;"",VLOOKUP(F74,offset('Teams-Conference'!A:B,0,(counta('Draft Order'!B$2:B622)-10)*2),2,0),"")</f>
        <v>MWC</v>
      </c>
      <c r="F74" s="105" t="s">
        <v>176</v>
      </c>
      <c r="G74" s="106" t="str">
        <f t="shared" si="1"/>
        <v>Regular Pick</v>
      </c>
      <c r="H74" s="106">
        <f t="shared" ref="H74:H75" si="47">countif(E75:E84,E74)</f>
        <v>0</v>
      </c>
      <c r="I74" s="106">
        <f t="shared" ref="I74:I76" si="48">countif(E75:E95,E74)</f>
        <v>3</v>
      </c>
      <c r="J74" s="106">
        <f t="shared" ref="J74:J83" si="49">countif(E65:E73,E74)</f>
        <v>1</v>
      </c>
      <c r="K74" s="106">
        <f t="shared" si="39"/>
        <v>2</v>
      </c>
      <c r="L74" s="106">
        <v>4.0</v>
      </c>
      <c r="M74" s="106">
        <f>IFERROR(__xludf.DUMMYFUNCTION("counta(iferror(filter(L$2:L73,E$2:E73=E74,L$2:L73&lt;L74)))"),2.0)</f>
        <v>2</v>
      </c>
      <c r="N74" s="106">
        <f>IFERROR(__xludf.DUMMYFUNCTION("counta(iferror(filter(L75:L$121,E75:E$121=E74,L75:L$624&gt;L74)))"),0.0)</f>
        <v>0</v>
      </c>
      <c r="O74" s="152"/>
      <c r="P74" s="106" t="b">
        <f>IFERROR(__xludf.DUMMYFUNCTION("if(F74="""","""",let(wc_picked, countifs(E$1:E73,E74,G$1:G73,""This is your wild card pick""), let(spots_filled,counta(unique(filter(D$2:E74,E$2:E74=E74)))/2,let(total,VLOOKUP(E74,'Conf WC Eligibility'!A:C,3,0),if(E74=""zIndependent"", TRUE,total-wc_picke"&amp;"d&gt;12)))))"),FALSE)</f>
        <v>0</v>
      </c>
      <c r="Q74" s="107">
        <f t="array" ref="Q74:AB74">XLOOKUP(F74,'Current Week'!C:C,'Current Week'!D:O)</f>
        <v>4</v>
      </c>
      <c r="R74" s="106">
        <v>8.0</v>
      </c>
      <c r="S74" s="106" t="s">
        <v>518</v>
      </c>
      <c r="T74" s="106" t="s">
        <v>61</v>
      </c>
      <c r="U74" s="106" t="s">
        <v>62</v>
      </c>
      <c r="V74" s="106"/>
      <c r="W74" s="106" t="s">
        <v>67</v>
      </c>
      <c r="X74" s="106">
        <v>-2.5</v>
      </c>
      <c r="Y74" s="106" t="s">
        <v>67</v>
      </c>
      <c r="Z74" s="106">
        <v>46.5</v>
      </c>
      <c r="AA74" s="106">
        <v>358.0</v>
      </c>
      <c r="AB74" s="106">
        <v>364.0</v>
      </c>
      <c r="AC74" s="108" t="b">
        <v>1</v>
      </c>
      <c r="AD74" s="109">
        <f t="shared" si="4"/>
        <v>-6</v>
      </c>
      <c r="AE74" s="110">
        <f t="shared" si="5"/>
        <v>3</v>
      </c>
      <c r="AF74" s="110">
        <f>IFERROR(__xludf.DUMMYFUNCTION("iferror(COUNT(filter($Q75:$Q$400,$Q75:$Q$400&gt;$Q74)))"),36.0)</f>
        <v>36</v>
      </c>
      <c r="AG74" s="111">
        <f t="shared" si="6"/>
        <v>0</v>
      </c>
      <c r="AH74" s="112">
        <f t="shared" si="7"/>
        <v>2</v>
      </c>
      <c r="AI74" s="113" t="str">
        <f>IFERROR(__xludf.DUMMYFUNCTION("iferror(join("","",index(sort(filter($F75:$F$401,$Q75:$Q$401&gt;$Q74),2,false),0,1)))"),"TCU,Old Dominion,Akron,Florida State,Troy,Cincinnati,UCF,Duke,UConn,Florida Intl,Houston,San Diego State,Coastal Carolina,Virginia,Utah State,NC State,California,Missouri State,Marshall,Pittsburgh,Rutgers,Arkansas State,Vanderbilt,Delaware,New Mexico,Kenn"&amp;"esaw State,Rice,Temple,Wake Forest,Arizona,Northwestern,Kent State,Washington State,Kentucky,Mississippi State,Southern Mississippi")</f>
        <v>TCU,Old Dominion,Akron,Florida State,Troy,Cincinnati,UCF,Duke,UConn,Florida Intl,Houston,San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J74" s="114">
        <f>IFERROR(__xludf.DUMMYFUNCTION("iferror($Q74-max(filter($Q74:$Q$400,$E74:$E$400=$E$2)))"),-2.0)</f>
        <v>-2</v>
      </c>
      <c r="AK74" s="110">
        <f t="shared" si="8"/>
        <v>0</v>
      </c>
      <c r="AL74" s="110">
        <f>IFERROR(__xludf.DUMMYFUNCTION("iferror(COUNT(filter($Q75:$Q$400,$Q75:$Q$400&gt;$Q74,$E74:$E$400=$E$2)))"),0.0)</f>
        <v>0</v>
      </c>
      <c r="AM74" s="111">
        <f t="shared" si="9"/>
        <v>0</v>
      </c>
      <c r="AN74" s="110">
        <f>IFERROR(__xludf.DUMMYFUNCTION("iferror($Q74-min(filter($Q74:$Q$400,$E74:$E$400=$E$2)))"),2.0)</f>
        <v>2</v>
      </c>
      <c r="AO74" s="113" t="str">
        <f>IFERROR(__xludf.DUMMYFUNCTION("iferror(join("","",index(sort(filter($F75:$F$400,$Q75:$Q$400&gt;$Q74,$E75:$E$400=$E$2),2,false),0,1)))"),"Rutgers,Northwestern")</f>
        <v>Rutgers,Northwestern</v>
      </c>
      <c r="AP74" s="113" t="str">
        <f>IFERROR(__xludf.DUMMYFUNCTION("REGEXREPLACE(join("","",unique({let(conf_picked,filter(E$1:E73,D$1:D73=D74), byrow(unique(TRANSPOSe(Teams!$1:$1)),lambda(rw,if(ISERROR(match(rw,conf_picked,0)),rw,))));if(AW74,,transpose(split(AX74,"","",1,1)))})), ""^,"", """")"),"AAC,,CUSA,MAC,MWC,Pac12,zIndependent")</f>
        <v>AAC,,CUSA,MAC,MWC,Pac12,zIndependent</v>
      </c>
      <c r="AQ74" s="114">
        <f>IFERROR(__xludf.DUMMYFUNCTION("iferror($Q74-max(filter($Q74:$Q$400,arrayformula(isnumber(FIND($E74:$E$400,AP74))))))"),-5.0)</f>
        <v>-5</v>
      </c>
      <c r="AR74" s="110">
        <f t="array" ref="AR74">countifs($Q$2:$Q73,"&lt;"&amp;$Q74,isnumber(FIND($E$2:$E73,AP74)),TRUE)</f>
        <v>3</v>
      </c>
      <c r="AS74" s="110">
        <f>IFERROR(__xludf.DUMMYFUNCTION("iferror(COUNT(filter($Q75:$Q$400,$Q75:$Q$400&gt;$Q74,arrayformula(isnumber(FIND($E75:$E$400,AP74))))))"),13.0)</f>
        <v>13</v>
      </c>
      <c r="AT74" s="111">
        <f t="shared" si="10"/>
        <v>0</v>
      </c>
      <c r="AU74" s="110">
        <f>IFERROR(__xludf.DUMMYFUNCTION("iferror($Q74-min(filter($Q74:$Q$400,arrayformula(isnumber(FIND($E74:$E$400,AP74))))))"),4.0)</f>
        <v>4</v>
      </c>
      <c r="AV74" s="113" t="str">
        <f>IFERROR(__xludf.DUMMYFUNCTION("iferror(join("","",index(sort(filter($F75:$F$400,$Q75:$Q$400&gt;$Q74,arrayformula(isnumber(FIND($E75:$E$400,AP74)))),2,false),0,1)))"),"Akron,UConn,Florida Intl,San Diego State,Utah State,Missouri State,Delaware,New Mexico,Kennesaw State,Rice,Temple,Kent State,Washington State")</f>
        <v>Akron,UConn,Florida Intl,San Diego State,Utah State,Missouri State,Delaware,New Mexico,Kennesaw State,Rice,Temple,Kent State,Washington State</v>
      </c>
      <c r="AW74" s="113" t="b">
        <f>IFERROR(__xludf.DUMMYFUNCTION("isnumber(find(""wild card"",join("","",filter($G$1:$G73,$D$1:$D73=D74))))"),TRUE)</f>
        <v>1</v>
      </c>
      <c r="AX74" s="113" t="str">
        <f>IFERROR(__xludf.DUMMYFUNCTION("join("","",let(confs,unique(TRANSPOSe(Teams!$1:$1)), confs_count, BYROW(confs,lambda(conf,xlookup(conf,'Conf WC Eligibility'!A:A,'Conf WC Eligibility'!C:C,,))),confs_picked,byrow(confs,lambda(conf,countif(E$1:E73,conf))),p_needs_conf_count,byrow(confs,lam"&amp;"bda(conf,counta('Draft Order'!B$2:B622)-COUNTUNIQUE(filter(D$2:D73,E$2:E73=conf)))),query({confs,confs_count,confs_picked,p_needs_conf_count},""select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5">
      <c r="A75" s="1">
        <v>74.0</v>
      </c>
      <c r="B75" s="1">
        <v>7.0</v>
      </c>
      <c r="C75" s="1">
        <v>2.0</v>
      </c>
      <c r="D75" s="115" t="s">
        <v>95</v>
      </c>
      <c r="E75" s="116" t="str">
        <f>if(F75&lt;&gt;"",VLOOKUP(F75,offset('Teams-Conference'!A:B,0,(counta('Draft Order'!B$2:B622)-10)*2),2,0),"")</f>
        <v>Big 12</v>
      </c>
      <c r="F75" s="117" t="s">
        <v>130</v>
      </c>
      <c r="G75" s="106" t="str">
        <f t="shared" si="1"/>
        <v>This is your wild card pick</v>
      </c>
      <c r="H75" s="106">
        <f t="shared" si="47"/>
        <v>2</v>
      </c>
      <c r="I75" s="106">
        <f t="shared" si="48"/>
        <v>4</v>
      </c>
      <c r="J75" s="106">
        <f t="shared" si="49"/>
        <v>1</v>
      </c>
      <c r="K75" s="106">
        <f t="shared" si="39"/>
        <v>1</v>
      </c>
      <c r="L75" s="106">
        <v>8.0</v>
      </c>
      <c r="M75" s="106">
        <f>IFERROR(__xludf.DUMMYFUNCTION("counta(iferror(filter(L$2:L74,E$2:E74=E75,L$2:L74&lt;L75)))"),3.0)</f>
        <v>3</v>
      </c>
      <c r="N75" s="106">
        <f>IFERROR(__xludf.DUMMYFUNCTION("counta(iferror(filter(L76:L$121,E76:E$121=E75,L76:L$624&gt;L75)))"),0.0)</f>
        <v>0</v>
      </c>
      <c r="O75" s="152"/>
      <c r="P75" s="106" t="b">
        <f>IFERROR(__xludf.DUMMYFUNCTION("if(F75="""","""",let(wc_picked, countifs(E$1:E74,E75,G$1:G74,""This is your wild card pick""), let(spots_filled,counta(unique(filter(D$2:E75,E$2:E75=E75)))/2,let(total,VLOOKUP(E75,'Conf WC Eligibility'!A:C,3,0),if(E75=""zIndependent"", TRUE,total-wc_picke"&amp;"d&gt;12)))))"),TRUE)</f>
        <v>1</v>
      </c>
      <c r="Q75" s="107">
        <f t="array" ref="Q75:AB75">XLOOKUP(F75,'Current Week'!C:C,'Current Week'!D:O)</f>
        <v>8</v>
      </c>
      <c r="R75" s="106">
        <v>4.0</v>
      </c>
      <c r="S75" s="106" t="s">
        <v>551</v>
      </c>
      <c r="T75" s="106" t="s">
        <v>61</v>
      </c>
      <c r="U75" s="106" t="s">
        <v>238</v>
      </c>
      <c r="V75" s="106"/>
      <c r="W75" s="106" t="s">
        <v>67</v>
      </c>
      <c r="X75" s="106">
        <v>-3.5</v>
      </c>
      <c r="Y75" s="106" t="s">
        <v>67</v>
      </c>
      <c r="Z75" s="106">
        <v>57.5</v>
      </c>
      <c r="AA75" s="106">
        <v>369.0</v>
      </c>
      <c r="AB75" s="106">
        <v>302.0</v>
      </c>
      <c r="AC75" s="108" t="b">
        <v>1</v>
      </c>
      <c r="AD75" s="109">
        <f t="shared" si="4"/>
        <v>-2</v>
      </c>
      <c r="AE75" s="110">
        <f t="shared" si="5"/>
        <v>32</v>
      </c>
      <c r="AF75" s="110">
        <f>IFERROR(__xludf.DUMMYFUNCTION("iferror(COUNT(filter($Q76:$Q$400,$Q76:$Q$400&gt;$Q75)))"),9.0)</f>
        <v>9</v>
      </c>
      <c r="AG75" s="111">
        <f t="shared" si="6"/>
        <v>0</v>
      </c>
      <c r="AH75" s="112">
        <f t="shared" si="7"/>
        <v>6</v>
      </c>
      <c r="AI75" s="113" t="str">
        <f>IFERROR(__xludf.DUMMYFUNCTION("iferror(join("","",index(sort(filter($F76:$F$401,$Q76:$Q$401&gt;$Q75),2,false),0,1)))"),"Old Dominion,UConn,Houston,San Diego State,Virginia,Vanderbilt,New Mexico,Kennesaw State,Arizona")</f>
        <v>Old Dominion,UConn,Houston,San Diego State,Virginia,Vanderbilt,New Mexico,Kennesaw State,Arizona</v>
      </c>
      <c r="AJ75" s="114">
        <f>IFERROR(__xludf.DUMMYFUNCTION("iferror($Q75-max(filter($Q75:$Q$400,$E75:$E$400=$E$2)))"),2.0)</f>
        <v>2</v>
      </c>
      <c r="AK75" s="110">
        <f t="shared" si="8"/>
        <v>3</v>
      </c>
      <c r="AL75" s="110">
        <f>IFERROR(__xludf.DUMMYFUNCTION("iferror(COUNT(filter($Q76:$Q$400,$Q76:$Q$400&gt;$Q75,$E75:$E$400=$E$2)))"),0.0)</f>
        <v>0</v>
      </c>
      <c r="AM75" s="111">
        <f t="shared" si="9"/>
        <v>0</v>
      </c>
      <c r="AN75" s="110">
        <f>IFERROR(__xludf.DUMMYFUNCTION("iferror($Q75-min(filter($Q75:$Q$400,$E75:$E$400=$E$2)))"),6.0)</f>
        <v>6</v>
      </c>
      <c r="AO75" s="113" t="str">
        <f>IFERROR(__xludf.DUMMYFUNCTION("iferror(join("","",index(sort(filter($F76:$F$400,$Q76:$Q$400&gt;$Q75,$E76:$E$400=$E$2),2,false),0,1)))"),"")</f>
        <v/>
      </c>
      <c r="AP75" s="113" t="str">
        <f>IFERROR(__xludf.DUMMYFUNCTION("REGEXREPLACE(join("","",unique({let(conf_picked,filter(E$1:E74,D$1:D74=D75), byrow(unique(TRANSPOSe(Teams!$1:$1)),lambda(rw,if(ISERROR(match(rw,conf_picked,0)),rw,))));if(AW75,,transpose(split(AX75,"","",1,1)))})), ""^,"", """")"),"ACC,CUSA,MAC,Pac12,zIndependent,AAC,Big 12,Big Ten,SEC,Sun Belt")</f>
        <v>ACC,CUSA,MAC,Pac12,zIndependent,AAC,Big 12,Big Ten,SEC,Sun Belt</v>
      </c>
      <c r="AQ75" s="114">
        <f>IFERROR(__xludf.DUMMYFUNCTION("iferror($Q75-max(filter($Q75:$Q$400,arrayformula(isnumber(FIND($E75:$E$400,AP75))))))"),-2.0)</f>
        <v>-2</v>
      </c>
      <c r="AR75" s="110">
        <f t="array" ref="AR75">countifs($Q$2:$Q74,"&lt;"&amp;$Q75,isnumber(FIND($E$2:$E74,AP75)),TRUE)</f>
        <v>29</v>
      </c>
      <c r="AS75" s="110">
        <f>IFERROR(__xludf.DUMMYFUNCTION("iferror(COUNT(filter($Q76:$Q$400,$Q76:$Q$400&gt;$Q75,arrayformula(isnumber(FIND($E76:$E$400,AP75))))))"),7.0)</f>
        <v>7</v>
      </c>
      <c r="AT75" s="111">
        <f t="shared" si="10"/>
        <v>0</v>
      </c>
      <c r="AU75" s="110">
        <f>IFERROR(__xludf.DUMMYFUNCTION("iferror($Q75-min(filter($Q75:$Q$400,arrayformula(isnumber(FIND($E75:$E$400,AP75))))))"),8.0)</f>
        <v>8</v>
      </c>
      <c r="AV75" s="113" t="str">
        <f>IFERROR(__xludf.DUMMYFUNCTION("iferror(join("","",index(sort(filter($F76:$F$400,$Q76:$Q$400&gt;$Q75,arrayformula(isnumber(FIND($E76:$E$400,AP75)))),2,false),0,1)))"),"Old Dominion,UConn,Houston,Virginia,Vanderbilt,Kennesaw State,Arizona")</f>
        <v>Old Dominion,UConn,Houston,Virginia,Vanderbilt,Kennesaw State,Arizona</v>
      </c>
      <c r="AW75" s="113" t="b">
        <f>IFERROR(__xludf.DUMMYFUNCTION("isnumber(find(""wild card"",join("","",filter($G$1:$G74,$D$1:$D74=D75))))"),FALSE)</f>
        <v>0</v>
      </c>
      <c r="AX75" s="113" t="str">
        <f>IFERROR(__xludf.DUMMYFUNCTION("join("","",let(confs,unique(TRANSPOSe(Teams!$1:$1)), confs_count, BYROW(confs,lambda(conf,xlookup(conf,'Conf WC Eligibility'!A:A,'Conf WC Eligibility'!C:C,,))),confs_picked,byrow(confs,lambda(conf,countif(E$1:E74,conf))),p_needs_conf_count,byrow(confs,lam"&amp;"bda(conf,counta('Draft Order'!B$2:B622)-COUNTUNIQUE(filter(D$2:D74,E$2:E74=conf)))),query({confs,confs_count,confs_picked,p_needs_conf_count},""select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6">
      <c r="A76" s="1">
        <v>75.0</v>
      </c>
      <c r="B76" s="1">
        <v>7.0</v>
      </c>
      <c r="C76" s="1">
        <v>3.0</v>
      </c>
      <c r="D76" s="118" t="s">
        <v>62</v>
      </c>
      <c r="E76" s="116" t="str">
        <f>if(F76&lt;&gt;"",VLOOKUP(F76,offset('Teams-Conference'!A:B,0,(counta('Draft Order'!B$2:B622)-10)*2),2,0),"")</f>
        <v>Sun Belt</v>
      </c>
      <c r="F76" s="117" t="s">
        <v>155</v>
      </c>
      <c r="G76" s="106" t="str">
        <f t="shared" si="1"/>
        <v>Regular Pick</v>
      </c>
      <c r="H76" s="106">
        <f t="shared" ref="H76:H85" si="50">countif(E77:E85,E76)</f>
        <v>1</v>
      </c>
      <c r="I76" s="106">
        <f t="shared" si="48"/>
        <v>2</v>
      </c>
      <c r="J76" s="106">
        <f t="shared" si="49"/>
        <v>1</v>
      </c>
      <c r="K76" s="106">
        <f t="shared" si="39"/>
        <v>3</v>
      </c>
      <c r="L76" s="106">
        <v>9.0</v>
      </c>
      <c r="M76" s="106">
        <f>IFERROR(__xludf.DUMMYFUNCTION("counta(iferror(filter(L$2:L75,E$2:E75=E76,L$2:L75&lt;L76)))"),5.0)</f>
        <v>5</v>
      </c>
      <c r="N76" s="106">
        <f>IFERROR(__xludf.DUMMYFUNCTION("counta(iferror(filter(L77:L$121,E77:E$121=E76,L77:L$624&gt;L76)))"),0.0)</f>
        <v>0</v>
      </c>
      <c r="O76" s="152"/>
      <c r="P76" s="106" t="b">
        <f>IFERROR(__xludf.DUMMYFUNCTION("if(F76="""","""",let(wc_picked, countifs(E$1:E75,E76,G$1:G75,""This is your wild card pick""), let(spots_filled,counta(unique(filter(D$2:E76,E$2:E76=E76)))/2,let(total,VLOOKUP(E76,'Conf WC Eligibility'!A:C,3,0),if(E76=""zIndependent"", TRUE,total-wc_picke"&amp;"d&gt;12)))))"),TRUE)</f>
        <v>1</v>
      </c>
      <c r="Q76" s="107">
        <f t="array" ref="Q76:AB76">XLOOKUP(F76,'Current Week'!C:C,'Current Week'!D:O)</f>
        <v>9</v>
      </c>
      <c r="R76" s="106">
        <v>3.0</v>
      </c>
      <c r="S76" s="106" t="s">
        <v>649</v>
      </c>
      <c r="T76" s="106" t="s">
        <v>61</v>
      </c>
      <c r="U76" s="106" t="s">
        <v>249</v>
      </c>
      <c r="V76" s="106"/>
      <c r="W76" s="106" t="s">
        <v>67</v>
      </c>
      <c r="X76" s="106">
        <v>-27.5</v>
      </c>
      <c r="Y76" s="106" t="s">
        <v>67</v>
      </c>
      <c r="Z76" s="106">
        <v>58.5</v>
      </c>
      <c r="AA76" s="106">
        <v>392.0</v>
      </c>
      <c r="AB76" s="106">
        <v>231.0</v>
      </c>
      <c r="AC76" s="108" t="b">
        <v>1</v>
      </c>
      <c r="AD76" s="109">
        <f t="shared" si="4"/>
        <v>-1</v>
      </c>
      <c r="AE76" s="110">
        <f t="shared" si="5"/>
        <v>51</v>
      </c>
      <c r="AF76" s="110">
        <f>IFERROR(__xludf.DUMMYFUNCTION("iferror(COUNT(filter($Q77:$Q$400,$Q77:$Q$400&gt;$Q76)))"),2.0)</f>
        <v>2</v>
      </c>
      <c r="AG76" s="111">
        <f t="shared" si="6"/>
        <v>0</v>
      </c>
      <c r="AH76" s="112">
        <f t="shared" si="7"/>
        <v>7</v>
      </c>
      <c r="AI76" s="113" t="str">
        <f>IFERROR(__xludf.DUMMYFUNCTION("iferror(join("","",index(sort(filter($F77:$F$401,$Q77:$Q$401&gt;$Q76),2,false),0,1)))"),"Virginia,Vanderbilt")</f>
        <v>Virginia,Vanderbilt</v>
      </c>
      <c r="AJ76" s="114">
        <f>IFERROR(__xludf.DUMMYFUNCTION("iferror($Q76-max(filter($Q76:$Q$400,$E76:$E$400=$E$2)))"),3.0)</f>
        <v>3</v>
      </c>
      <c r="AK76" s="110">
        <f t="shared" si="8"/>
        <v>6</v>
      </c>
      <c r="AL76" s="110">
        <f>IFERROR(__xludf.DUMMYFUNCTION("iferror(COUNT(filter($Q77:$Q$400,$Q77:$Q$400&gt;$Q76,$E76:$E$400=$E$2)))"),0.0)</f>
        <v>0</v>
      </c>
      <c r="AM76" s="111">
        <f t="shared" si="9"/>
        <v>0</v>
      </c>
      <c r="AN76" s="110">
        <f>IFERROR(__xludf.DUMMYFUNCTION("iferror($Q76-min(filter($Q76:$Q$400,$E76:$E$400=$E$2)))"),7.0)</f>
        <v>7</v>
      </c>
      <c r="AO76" s="113" t="str">
        <f>IFERROR(__xludf.DUMMYFUNCTION("iferror(join("","",index(sort(filter($F77:$F$400,$Q77:$Q$400&gt;$Q76,$E77:$E$400=$E$2),2,false),0,1)))"),"")</f>
        <v/>
      </c>
      <c r="AP76" s="113" t="str">
        <f>IFERROR(__xludf.DUMMYFUNCTION("REGEXREPLACE(join("","",unique({let(conf_picked,filter(E$1:E75,D$1:D75=D76), byrow(unique(TRANSPOSe(Teams!$1:$1)),lambda(rw,if(ISERROR(match(rw,conf_picked,0)),rw,))));if(AW76,,transpose(split(AX76,"","",1,1)))})), ""^,"", """")"),"AAC,ACC,,Pac12,Sun Belt,zIndependent,Big 12,Big Ten,MAC,SEC")</f>
        <v>AAC,ACC,,Pac12,Sun Belt,zIndependent,Big 12,Big Ten,MAC,SEC</v>
      </c>
      <c r="AQ76" s="114">
        <f>IFERROR(__xludf.DUMMYFUNCTION("iferror($Q76-max(filter($Q76:$Q$400,arrayformula(isnumber(FIND($E76:$E$400,AP76))))))"),-1.0)</f>
        <v>-1</v>
      </c>
      <c r="AR76" s="110">
        <f t="array" ref="AR76">countifs($Q$2:$Q75,"&lt;"&amp;$Q76,isnumber(FIND($E$2:$E75,AP76)),TRUE)</f>
        <v>41</v>
      </c>
      <c r="AS76" s="110">
        <f>IFERROR(__xludf.DUMMYFUNCTION("iferror(COUNT(filter($Q77:$Q$400,$Q77:$Q$400&gt;$Q76,arrayformula(isnumber(FIND($E77:$E$400,AP76))))))"),2.0)</f>
        <v>2</v>
      </c>
      <c r="AT76" s="111">
        <f t="shared" si="10"/>
        <v>0</v>
      </c>
      <c r="AU76" s="110">
        <f>IFERROR(__xludf.DUMMYFUNCTION("iferror($Q76-min(filter($Q76:$Q$400,arrayformula(isnumber(FIND($E76:$E$400,AP76))))))"),9.0)</f>
        <v>9</v>
      </c>
      <c r="AV76" s="113" t="str">
        <f>IFERROR(__xludf.DUMMYFUNCTION("iferror(join("","",index(sort(filter($F77:$F$400,$Q77:$Q$400&gt;$Q76,arrayformula(isnumber(FIND($E77:$E$400,AP76)))),2,false),0,1)))"),"Virginia,Vanderbilt")</f>
        <v>Virginia,Vanderbilt</v>
      </c>
      <c r="AW76" s="113" t="b">
        <f>IFERROR(__xludf.DUMMYFUNCTION("isnumber(find(""wild card"",join("","",filter($G$1:$G75,$D$1:$D75=D76))))"),FALSE)</f>
        <v>0</v>
      </c>
      <c r="AX76" s="113" t="str">
        <f>IFERROR(__xludf.DUMMYFUNCTION("join("","",let(confs,unique(TRANSPOSe(Teams!$1:$1)), confs_count, BYROW(confs,lambda(conf,xlookup(conf,'Conf WC Eligibility'!A:A,'Conf WC Eligibility'!C:C,,))),confs_picked,byrow(confs,lambda(conf,countif(E$1:E75,conf))),p_needs_conf_count,byrow(confs,lam"&amp;"bda(conf,counta('Draft Order'!B$2:B622)-COUNTUNIQUE(filter(D$2:D75,E$2:E75=conf)))),query({confs,confs_count,confs_picked,p_needs_conf_count},""select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7">
      <c r="A77" s="1">
        <v>76.0</v>
      </c>
      <c r="B77" s="1">
        <v>7.0</v>
      </c>
      <c r="C77" s="1">
        <v>4.0</v>
      </c>
      <c r="D77" s="115" t="s">
        <v>193</v>
      </c>
      <c r="E77" s="116" t="str">
        <f>if(F77&lt;&gt;"",VLOOKUP(F77,offset('Teams-Conference'!A:B,0,(counta('Draft Order'!B$2:B622)-10)*2),2,0),"")</f>
        <v>MAC</v>
      </c>
      <c r="F77" s="117" t="s">
        <v>164</v>
      </c>
      <c r="G77" s="106" t="str">
        <f t="shared" si="1"/>
        <v>Regular Pick</v>
      </c>
      <c r="H77" s="106">
        <f t="shared" si="50"/>
        <v>0</v>
      </c>
      <c r="I77" s="106">
        <f t="shared" ref="I77:I85" si="51">countif(E78:E97,E77)</f>
        <v>1</v>
      </c>
      <c r="J77" s="106">
        <f t="shared" si="49"/>
        <v>1</v>
      </c>
      <c r="K77" s="106">
        <f t="shared" si="39"/>
        <v>1</v>
      </c>
      <c r="L77" s="106">
        <v>5.0</v>
      </c>
      <c r="M77" s="106">
        <f>IFERROR(__xludf.DUMMYFUNCTION("counta(iferror(filter(L$2:L76,E$2:E76=E77,L$2:L76&lt;L77)))"),3.0)</f>
        <v>3</v>
      </c>
      <c r="N77" s="106">
        <f>IFERROR(__xludf.DUMMYFUNCTION("counta(iferror(filter(L78:L$121,E78:E$121=E77,L78:L$624&gt;L77)))"),0.0)</f>
        <v>0</v>
      </c>
      <c r="O77" s="152"/>
      <c r="P77" s="106" t="b">
        <f>IFERROR(__xludf.DUMMYFUNCTION("if(F77="""","""",let(wc_picked, countifs(E$1:E76,E77,G$1:G76,""This is your wild card pick""), let(spots_filled,counta(unique(filter(D$2:E77,E$2:E77=E77)))/2,let(total,VLOOKUP(E77,'Conf WC Eligibility'!A:C,3,0),if(E77=""zIndependent"", TRUE,total-wc_picke"&amp;"d&gt;12)))))"),TRUE)</f>
        <v>1</v>
      </c>
      <c r="Q77" s="107">
        <f t="array" ref="Q77:AB77">XLOOKUP(F77,'Current Week'!C:C,'Current Week'!D:O)</f>
        <v>5</v>
      </c>
      <c r="R77" s="106">
        <v>7.0</v>
      </c>
      <c r="S77" s="106"/>
      <c r="T77" s="106"/>
      <c r="U77" s="106"/>
      <c r="V77" s="106"/>
      <c r="W77" s="106"/>
      <c r="X77" s="106"/>
      <c r="Y77" s="106"/>
      <c r="Z77" s="106"/>
      <c r="AA77" s="106">
        <v>267.0</v>
      </c>
      <c r="AB77" s="106">
        <v>329.0</v>
      </c>
      <c r="AC77" s="108"/>
      <c r="AD77" s="109">
        <f t="shared" si="4"/>
        <v>-5</v>
      </c>
      <c r="AE77" s="110">
        <f t="shared" si="5"/>
        <v>12</v>
      </c>
      <c r="AF77" s="110">
        <f>IFERROR(__xludf.DUMMYFUNCTION("iferror(COUNT(filter($Q78:$Q$400,$Q78:$Q$400&gt;$Q77)))"),24.0)</f>
        <v>24</v>
      </c>
      <c r="AG77" s="111">
        <f t="shared" si="6"/>
        <v>0</v>
      </c>
      <c r="AH77" s="112">
        <f t="shared" si="7"/>
        <v>3</v>
      </c>
      <c r="AI77" s="113" t="str">
        <f>IFERROR(__xludf.DUMMYFUNCTION("iferror(join("","",index(sort(filter($F78:$F$401,$Q78:$Q$401&gt;$Q77),2,false),0,1)))"),"Troy,Cincinnati,Duke,UConn,Florida Intl,Houston,San Diego State,Coastal Carolina,Virginia,Utah State,NC State,California,Missouri State,Pittsburgh,Arkansas State,Vanderbilt,Delaware,New Mexico,Kennesaw State,Wake Forest,Arizona,Northwestern,Washington Sta"&amp;"te,Southern Mississippi")</f>
        <v>Troy,Cincinnati,Duke,UConn,Florida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J77" s="114">
        <f>IFERROR(__xludf.DUMMYFUNCTION("iferror($Q77-max(filter($Q77:$Q$400,$E77:$E$400=$E$2)))"),-1.0)</f>
        <v>-1</v>
      </c>
      <c r="AK77" s="110">
        <f t="shared" si="8"/>
        <v>0</v>
      </c>
      <c r="AL77" s="110">
        <f>IFERROR(__xludf.DUMMYFUNCTION("iferror(COUNT(filter($Q78:$Q$400,$Q78:$Q$400&gt;$Q77,$E77:$E$400=$E$2)))"),0.0)</f>
        <v>0</v>
      </c>
      <c r="AM77" s="111">
        <f t="shared" si="9"/>
        <v>0</v>
      </c>
      <c r="AN77" s="110">
        <f>IFERROR(__xludf.DUMMYFUNCTION("iferror($Q77-min(filter($Q77:$Q$400,$E77:$E$400=$E$2)))"),3.0)</f>
        <v>3</v>
      </c>
      <c r="AO77" s="113" t="str">
        <f>IFERROR(__xludf.DUMMYFUNCTION("iferror(join("","",index(sort(filter($F78:$F$400,$Q78:$Q$400&gt;$Q77,$E78:$E$400=$E$2),2,false),0,1)))"),"Northwestern")</f>
        <v>Northwestern</v>
      </c>
      <c r="AP77" s="113" t="str">
        <f>IFERROR(__xludf.DUMMYFUNCTION("REGEXREPLACE(join("","",unique({let(conf_picked,filter(E$1:E76,D$1:D76=D77), byrow(unique(TRANSPOSe(Teams!$1:$1)),lambda(rw,if(ISERROR(match(rw,conf_picked,0)),rw,))));if(AW77,,transpose(split(AX77,"","",1,1)))})), ""^,"", """")"),"CUSA,MAC,MWC,Pac12,zIndependent,AAC,ACC,Big 12,Big Ten,SEC,Sun Belt")</f>
        <v>CUSA,MAC,MWC,Pac12,zIndependent,AAC,ACC,Big 12,Big Ten,SEC,Sun Belt</v>
      </c>
      <c r="AQ77" s="114">
        <f>IFERROR(__xludf.DUMMYFUNCTION("iferror($Q77-max(filter($Q77:$Q$400,arrayformula(isnumber(FIND($E77:$E$400,AP77))))))"),-5.0)</f>
        <v>-5</v>
      </c>
      <c r="AR77" s="110">
        <f t="array" ref="AR77">countifs($Q$2:$Q76,"&lt;"&amp;$Q77,isnumber(FIND($E$2:$E76,AP77)),TRUE)</f>
        <v>12</v>
      </c>
      <c r="AS77" s="110">
        <f>IFERROR(__xludf.DUMMYFUNCTION("iferror(COUNT(filter($Q78:$Q$400,$Q78:$Q$400&gt;$Q77,arrayformula(isnumber(FIND($E78:$E$400,AP77))))))"),24.0)</f>
        <v>24</v>
      </c>
      <c r="AT77" s="111">
        <f t="shared" si="10"/>
        <v>0</v>
      </c>
      <c r="AU77" s="110">
        <f>IFERROR(__xludf.DUMMYFUNCTION("iferror($Q77-min(filter($Q77:$Q$400,arrayformula(isnumber(FIND($E77:$E$400,AP77))))))"),5.0)</f>
        <v>5</v>
      </c>
      <c r="AV77" s="113" t="str">
        <f>IFERROR(__xludf.DUMMYFUNCTION("iferror(join("","",index(sort(filter($F78:$F$400,$Q78:$Q$400&gt;$Q77,arrayformula(isnumber(FIND($E78:$E$400,AP77)))),2,false),0,1)))"),"Troy,Cincinnati,Duke,UConn,Florida Intl,Houston,San Diego State,Coastal Carolina,Virginia,Utah State,NC State,California,Missouri State,Pittsburgh,Arkansas State,Vanderbilt,Delaware,New Mexico,Kennesaw State,Wake Forest,Arizona,Northwestern,Washington Sta"&amp;"te,Southern Mississippi")</f>
        <v>Troy,Cincinnati,Duke,UConn,Florida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W77" s="113" t="b">
        <f>IFERROR(__xludf.DUMMYFUNCTION("isnumber(find(""wild card"",join("","",filter($G$1:$G76,$D$1:$D76=D77))))"),FALSE)</f>
        <v>0</v>
      </c>
      <c r="AX77" s="113" t="str">
        <f>IFERROR(__xludf.DUMMYFUNCTION("join("","",let(confs,unique(TRANSPOSe(Teams!$1:$1)), confs_count, BYROW(confs,lambda(conf,xlookup(conf,'Conf WC Eligibility'!A:A,'Conf WC Eligibility'!C:C,,))),confs_picked,byrow(confs,lambda(conf,countif(E$1:E76,conf))),p_needs_conf_count,byrow(confs,lam"&amp;"bda(conf,counta('Draft Order'!B$2:B622)-COUNTUNIQUE(filter(D$2:D76,E$2:E76=conf)))),query({confs,confs_count,confs_picked,p_needs_conf_count},""select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8">
      <c r="A78" s="1">
        <v>77.0</v>
      </c>
      <c r="B78" s="1">
        <v>7.0</v>
      </c>
      <c r="C78" s="1">
        <v>5.0</v>
      </c>
      <c r="D78" s="115" t="s">
        <v>311</v>
      </c>
      <c r="E78" s="116" t="str">
        <f>if(F78&lt;&gt;"",VLOOKUP(F78,offset('Teams-Conference'!A:B,0,(counta('Draft Order'!B$2:B622)-10)*2),2,0),"")</f>
        <v>ACC</v>
      </c>
      <c r="F78" s="77" t="s">
        <v>122</v>
      </c>
      <c r="G78" s="106" t="str">
        <f t="shared" si="1"/>
        <v>Regular Pick</v>
      </c>
      <c r="H78" s="106">
        <f t="shared" si="50"/>
        <v>2</v>
      </c>
      <c r="I78" s="106">
        <f t="shared" si="51"/>
        <v>3</v>
      </c>
      <c r="J78" s="106">
        <f t="shared" si="49"/>
        <v>0</v>
      </c>
      <c r="K78" s="106">
        <f t="shared" si="39"/>
        <v>2</v>
      </c>
      <c r="L78" s="106">
        <v>3.0</v>
      </c>
      <c r="M78" s="106">
        <f>IFERROR(__xludf.DUMMYFUNCTION("counta(iferror(filter(L$2:L77,E$2:E77=E78,L$2:L77&lt;L78)))"),0.0)</f>
        <v>0</v>
      </c>
      <c r="N78" s="106">
        <f>IFERROR(__xludf.DUMMYFUNCTION("counta(iferror(filter(L79:L$121,E79:E$121=E78,L79:L$624&gt;L78)))"),0.0)</f>
        <v>0</v>
      </c>
      <c r="O78" s="152"/>
      <c r="P78" s="106" t="b">
        <f>IFERROR(__xludf.DUMMYFUNCTION("if(F78="""","""",let(wc_picked, countifs(E$1:E77,E78,G$1:G77,""This is your wild card pick""), let(spots_filled,counta(unique(filter(D$2:E78,E$2:E78=E78)))/2,let(total,VLOOKUP(E78,'Conf WC Eligibility'!A:C,3,0),if(E78=""zIndependent"", TRUE,total-wc_picke"&amp;"d&gt;12)))))"),TRUE)</f>
        <v>1</v>
      </c>
      <c r="Q78" s="107">
        <f t="array" ref="Q78:AB78">XLOOKUP(F78,'Current Week'!C:C,'Current Week'!D:O)</f>
        <v>3</v>
      </c>
      <c r="R78" s="106">
        <v>9.0</v>
      </c>
      <c r="S78" s="106" t="s">
        <v>693</v>
      </c>
      <c r="T78" s="106" t="s">
        <v>61</v>
      </c>
      <c r="U78" s="106" t="s">
        <v>96</v>
      </c>
      <c r="V78" s="106"/>
      <c r="W78" s="106" t="s">
        <v>67</v>
      </c>
      <c r="X78" s="106">
        <v>8.5</v>
      </c>
      <c r="Y78" s="106" t="s">
        <v>67</v>
      </c>
      <c r="Z78" s="106">
        <v>52.5</v>
      </c>
      <c r="AA78" s="106">
        <v>257.0</v>
      </c>
      <c r="AB78" s="106">
        <v>362.0</v>
      </c>
      <c r="AC78" s="108" t="b">
        <v>1</v>
      </c>
      <c r="AD78" s="109">
        <f t="shared" si="4"/>
        <v>-7</v>
      </c>
      <c r="AE78" s="110">
        <f t="shared" si="5"/>
        <v>1</v>
      </c>
      <c r="AF78" s="110">
        <f>IFERROR(__xludf.DUMMYFUNCTION("iferror(COUNT(filter($Q79:$Q$400,$Q79:$Q$400&gt;$Q78)))"),43.0)</f>
        <v>43</v>
      </c>
      <c r="AG78" s="111">
        <f t="shared" si="6"/>
        <v>0</v>
      </c>
      <c r="AH78" s="112">
        <f t="shared" si="7"/>
        <v>1</v>
      </c>
      <c r="AI78" s="113" t="str">
        <f>IFERROR(__xludf.DUMMYFUNCTION("iferror(join("","",index(sort(filter($F79:$F$401,$Q79:$Q$401&gt;$Q78),2,false),0,1)))"),"Florida State,Troy,Cincinnati,UCF,Duke,UConn,Florida Intl,Wyoming,Houston,San Diego State,Coastal Carolina,Virginia,Utah State,UAB,Ball State,New Mexico State,NC State,California,Missouri State,Marshall,Michigan State,Pittsburgh,Rutgers,Arkansas State,Wes"&amp;"t Virginia,Vanderbilt,Wisconsin,Delaware,New Mexico,Kennesaw State,Rice,Temple,Tulsa,Stanford,Wake Forest,Arizona,Maryland,Northwestern,Kent State,Washington State,Kentucky,Mississippi State,Southern Mississippi")</f>
        <v>Florida State,Troy,Cincinnati,UCF,Duke,UConn,Florida Intl,Wyoming,Houston,San Diego State,Coastal Carolina,Virginia,Utah State,UAB,Ball State,New Mexico State,NC State,California,Missouri State,Marshall,Michigan State,Pittsburgh,Rutgers,Arkansas State,West Virginia,Vanderbilt,Wisconsin,Delaware,New Mexico,Kennesaw State,Rice,Temple,Tulsa,Stanford,Wake Forest,Arizona,Maryland,Northwestern,Kent State,Washington State,Kentucky,Mississippi State,Southern Mississippi</v>
      </c>
      <c r="AJ78" s="114">
        <f>IFERROR(__xludf.DUMMYFUNCTION("iferror($Q78-max(filter($Q78:$Q$400,$E78:$E$400=$E$2)))"),-3.0)</f>
        <v>-3</v>
      </c>
      <c r="AK78" s="110">
        <f t="shared" si="8"/>
        <v>0</v>
      </c>
      <c r="AL78" s="110">
        <f>IFERROR(__xludf.DUMMYFUNCTION("iferror(COUNT(filter($Q79:$Q$400,$Q79:$Q$400&gt;$Q78,$E78:$E$400=$E$2)))"),0.0)</f>
        <v>0</v>
      </c>
      <c r="AM78" s="111">
        <f t="shared" si="9"/>
        <v>0</v>
      </c>
      <c r="AN78" s="110">
        <f>IFERROR(__xludf.DUMMYFUNCTION("iferror($Q78-min(filter($Q78:$Q$400,$E78:$E$400=$E$2)))"),1.0)</f>
        <v>1</v>
      </c>
      <c r="AO78" s="113" t="str">
        <f>IFERROR(__xludf.DUMMYFUNCTION("iferror(join("","",index(sort(filter($F79:$F$400,$Q79:$Q$400&gt;$Q78,$E79:$E$400=$E$2),2,false),0,1)))"),"Michigan State,Rutgers,Wisconsin,Maryland,Northwestern")</f>
        <v>Michigan State,Rutgers,Wisconsin,Maryland,Northwestern</v>
      </c>
      <c r="AP78" s="113" t="str">
        <f>IFERROR(__xludf.DUMMYFUNCTION("REGEXREPLACE(join("","",unique({let(conf_picked,filter(E$1:E77,D$1:D77=D78), byrow(unique(TRANSPOSe(Teams!$1:$1)),lambda(rw,if(ISERROR(match(rw,conf_picked,0)),rw,))));if(AW78,,transpose(split(AX78,"","",1,1)))})), ""^,"", """")"),"ACC,CUSA,MWC,Pac12,Sun Belt,zIndependent")</f>
        <v>ACC,CUSA,MWC,Pac12,Sun Belt,zIndependent</v>
      </c>
      <c r="AQ78" s="114">
        <f>IFERROR(__xludf.DUMMYFUNCTION("iferror($Q78-max(filter($Q78:$Q$400,arrayformula(isnumber(FIND($E78:$E$400,AP78))))))"),-7.0)</f>
        <v>-7</v>
      </c>
      <c r="AR78" s="110">
        <f t="array" ref="AR78">countifs($Q$2:$Q77,"&lt;"&amp;$Q78,isnumber(FIND($E$2:$E77,AP78)),TRUE)</f>
        <v>1</v>
      </c>
      <c r="AS78" s="110">
        <f>IFERROR(__xludf.DUMMYFUNCTION("iferror(COUNT(filter($Q79:$Q$400,$Q79:$Q$400&gt;$Q78,arrayformula(isnumber(FIND($E79:$E$400,AP78))))))"),24.0)</f>
        <v>24</v>
      </c>
      <c r="AT78" s="111">
        <f t="shared" si="10"/>
        <v>0</v>
      </c>
      <c r="AU78" s="110">
        <f>IFERROR(__xludf.DUMMYFUNCTION("iferror($Q78-min(filter($Q78:$Q$400,arrayformula(isnumber(FIND($E78:$E$400,AP78))))))"),2.0)</f>
        <v>2</v>
      </c>
      <c r="AV78" s="113" t="str">
        <f>IFERROR(__xludf.DUMMYFUNCTION("iferror(join("","",index(sort(filter($F79:$F$400,$Q79:$Q$400&gt;$Q78,arrayformula(isnumber(FIND($E79:$E$400,AP78)))),2,false),0,1)))"),"Florida State,Troy,Duke,UConn,Florida Intl,Wyoming,San Diego State,Coastal Carolina,Virginia,Utah State,New Mexico State,NC State,California,Missouri State,Marshall,Pittsburgh,Arkansas State,Delaware,New Mexico,Kennesaw State,Stanford,Wake Forest,Washingt"&amp;"on State,Southern Mississippi")</f>
        <v>Florida State,Troy,Duke,UConn,Florida Intl,Wyoming,San Diego State,Coastal Carolina,Virginia,Utah State,New Mexico State,NC State,California,Missouri State,Marshall,Pittsburgh,Arkansas State,Delaware,New Mexico,Kennesaw State,Stanford,Wake Forest,Washington State,Southern Mississippi</v>
      </c>
      <c r="AW78" s="113" t="b">
        <f>IFERROR(__xludf.DUMMYFUNCTION("isnumber(find(""wild card"",join("","",filter($G$1:$G77,$D$1:$D77=D78))))"),TRUE)</f>
        <v>1</v>
      </c>
      <c r="AX78" s="113" t="str">
        <f>IFERROR(__xludf.DUMMYFUNCTION("join("","",let(confs,unique(TRANSPOSe(Teams!$1:$1)), confs_count, BYROW(confs,lambda(conf,xlookup(conf,'Conf WC Eligibility'!A:A,'Conf WC Eligibility'!C:C,,))),confs_picked,byrow(confs,lambda(conf,countif(E$1:E77,conf))),p_needs_conf_count,byrow(confs,lam"&amp;"bda(conf,counta('Draft Order'!B$2:B622)-COUNTUNIQUE(filter(D$2:D77,E$2:E77=conf)))),query({confs,confs_count,confs_picked,p_needs_conf_count},""select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79">
      <c r="A79" s="1">
        <v>78.0</v>
      </c>
      <c r="B79" s="1">
        <v>7.0</v>
      </c>
      <c r="C79" s="1">
        <v>6.0</v>
      </c>
      <c r="D79" s="115" t="s">
        <v>224</v>
      </c>
      <c r="E79" s="116" t="str">
        <f>if(F79&lt;&gt;"",VLOOKUP(F79,offset('Teams-Conference'!A:B,0,(counta('Draft Order'!B$2:B622)-10)*2),2,0),"")</f>
        <v>ACC</v>
      </c>
      <c r="F79" s="117" t="s">
        <v>113</v>
      </c>
      <c r="G79" s="106" t="str">
        <f t="shared" si="1"/>
        <v>Regular Pick</v>
      </c>
      <c r="H79" s="106">
        <f t="shared" si="50"/>
        <v>1</v>
      </c>
      <c r="I79" s="106">
        <f t="shared" si="51"/>
        <v>3</v>
      </c>
      <c r="J79" s="106">
        <f t="shared" si="49"/>
        <v>1</v>
      </c>
      <c r="K79" s="106">
        <f t="shared" si="39"/>
        <v>2</v>
      </c>
      <c r="L79" s="106">
        <v>5.0</v>
      </c>
      <c r="M79" s="106">
        <f>IFERROR(__xludf.DUMMYFUNCTION("counta(iferror(filter(L$2:L78,E$2:E78=E79,L$2:L78&lt;L79)))"),2.0)</f>
        <v>2</v>
      </c>
      <c r="N79" s="106">
        <f>IFERROR(__xludf.DUMMYFUNCTION("counta(iferror(filter(L80:L$121,E80:E$121=E79,L80:L$624&gt;L79)))"),0.0)</f>
        <v>0</v>
      </c>
      <c r="O79" s="152"/>
      <c r="P79" s="106" t="b">
        <f>IFERROR(__xludf.DUMMYFUNCTION("if(F79="""","""",let(wc_picked, countifs(E$1:E78,E79,G$1:G78,""This is your wild card pick""), let(spots_filled,counta(unique(filter(D$2:E79,E$2:E79=E79)))/2,let(total,VLOOKUP(E79,'Conf WC Eligibility'!A:C,3,0),if(E79=""zIndependent"", TRUE,total-wc_picke"&amp;"d&gt;12)))))"),TRUE)</f>
        <v>1</v>
      </c>
      <c r="Q79" s="107">
        <f t="array" ref="Q79:AB79">XLOOKUP(F79,'Current Week'!C:C,'Current Week'!D:O)</f>
        <v>5</v>
      </c>
      <c r="R79" s="106">
        <v>7.0</v>
      </c>
      <c r="S79" s="106" t="s">
        <v>709</v>
      </c>
      <c r="T79" s="106" t="s">
        <v>61</v>
      </c>
      <c r="U79" s="106" t="s">
        <v>224</v>
      </c>
      <c r="V79" s="106"/>
      <c r="W79" s="106" t="s">
        <v>67</v>
      </c>
      <c r="X79" s="106">
        <v>1.5</v>
      </c>
      <c r="Y79" s="106" t="s">
        <v>67</v>
      </c>
      <c r="Z79" s="106">
        <v>49.5</v>
      </c>
      <c r="AA79" s="106">
        <v>396.0</v>
      </c>
      <c r="AB79" s="106">
        <v>264.0</v>
      </c>
      <c r="AC79" s="108" t="b">
        <v>1</v>
      </c>
      <c r="AD79" s="109">
        <f t="shared" si="4"/>
        <v>-5</v>
      </c>
      <c r="AE79" s="110">
        <f t="shared" si="5"/>
        <v>13</v>
      </c>
      <c r="AF79" s="110">
        <f>IFERROR(__xludf.DUMMYFUNCTION("iferror(COUNT(filter($Q80:$Q$400,$Q80:$Q$400&gt;$Q79)))"),24.0)</f>
        <v>24</v>
      </c>
      <c r="AG79" s="111">
        <f t="shared" si="6"/>
        <v>0</v>
      </c>
      <c r="AH79" s="112">
        <f t="shared" si="7"/>
        <v>3</v>
      </c>
      <c r="AI79" s="113" t="str">
        <f>IFERROR(__xludf.DUMMYFUNCTION("iferror(join("","",index(sort(filter($F80:$F$401,$Q80:$Q$401&gt;$Q79),2,false),0,1)))"),"Troy,Cincinnati,Duke,UConn,Florida Intl,Houston,San Diego State,Coastal Carolina,Virginia,Utah State,NC State,California,Missouri State,Pittsburgh,Arkansas State,Vanderbilt,Delaware,New Mexico,Kennesaw State,Wake Forest,Arizona,Northwestern,Washington Sta"&amp;"te,Southern Mississippi")</f>
        <v>Troy,Cincinnati,Duke,UConn,Florida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J79" s="114">
        <f>IFERROR(__xludf.DUMMYFUNCTION("iferror($Q79-max(filter($Q79:$Q$400,$E79:$E$400=$E$2)))"),-1.0)</f>
        <v>-1</v>
      </c>
      <c r="AK79" s="110">
        <f t="shared" si="8"/>
        <v>0</v>
      </c>
      <c r="AL79" s="110">
        <f>IFERROR(__xludf.DUMMYFUNCTION("iferror(COUNT(filter($Q80:$Q$400,$Q80:$Q$400&gt;$Q79,$E79:$E$400=$E$2)))"),0.0)</f>
        <v>0</v>
      </c>
      <c r="AM79" s="111">
        <f t="shared" si="9"/>
        <v>0</v>
      </c>
      <c r="AN79" s="110">
        <f>IFERROR(__xludf.DUMMYFUNCTION("iferror($Q79-min(filter($Q79:$Q$400,$E79:$E$400=$E$2)))"),3.0)</f>
        <v>3</v>
      </c>
      <c r="AO79" s="113" t="str">
        <f>IFERROR(__xludf.DUMMYFUNCTION("iferror(join("","",index(sort(filter($F80:$F$400,$Q80:$Q$400&gt;$Q79,$E80:$E$400=$E$2),2,false),0,1)))"),"Northwestern")</f>
        <v>Northwestern</v>
      </c>
      <c r="AP79" s="113" t="str">
        <f>IFERROR(__xludf.DUMMYFUNCTION("REGEXREPLACE(join("","",unique({let(conf_picked,filter(E$1:E78,D$1:D78=D79), byrow(unique(TRANSPOSe(Teams!$1:$1)),lambda(rw,if(ISERROR(match(rw,conf_picked,0)),rw,))));if(AW79,,transpose(split(AX79,"","",1,1)))})), ""^,"", """")"),"ACC,Big Ten,CUSA,Pac12,zIndependent,AAC,Big 12,MAC,SEC,Sun Belt")</f>
        <v>ACC,Big Ten,CUSA,Pac12,zIndependent,AAC,Big 12,MAC,SEC,Sun Belt</v>
      </c>
      <c r="AQ79" s="114">
        <f>IFERROR(__xludf.DUMMYFUNCTION("iferror($Q79-max(filter($Q79:$Q$400,arrayformula(isnumber(FIND($E79:$E$400,AP79))))))"),-5.0)</f>
        <v>-5</v>
      </c>
      <c r="AR79" s="110">
        <f t="array" ref="AR79">countifs($Q$2:$Q78,"&lt;"&amp;$Q79,isnumber(FIND($E$2:$E78,AP79)),TRUE)</f>
        <v>10</v>
      </c>
      <c r="AS79" s="110">
        <f>IFERROR(__xludf.DUMMYFUNCTION("iferror(COUNT(filter($Q80:$Q$400,$Q80:$Q$400&gt;$Q79,arrayformula(isnumber(FIND($E80:$E$400,AP79))))))"),21.0)</f>
        <v>21</v>
      </c>
      <c r="AT79" s="111">
        <f t="shared" si="10"/>
        <v>0</v>
      </c>
      <c r="AU79" s="110">
        <f>IFERROR(__xludf.DUMMYFUNCTION("iferror($Q79-min(filter($Q79:$Q$400,arrayformula(isnumber(FIND($E79:$E$400,AP79))))))"),5.0)</f>
        <v>5</v>
      </c>
      <c r="AV79" s="113" t="str">
        <f>IFERROR(__xludf.DUMMYFUNCTION("iferror(join("","",index(sort(filter($F80:$F$400,$Q80:$Q$400&gt;$Q79,arrayformula(isnumber(FIND($E80:$E$400,AP79)))),2,false),0,1)))"),"Troy,Cincinnati,Duke,UConn,Florida Intl,Houston,Coastal Carolina,Virginia,NC State,California,Missouri State,Pittsburgh,Arkansas State,Vanderbilt,Delaware,Kennesaw State,Wake Forest,Arizona,Northwestern,Washington State,Southern Mississippi")</f>
        <v>Troy,Cincinnati,Duke,UConn,Florida Intl,Houston,Coastal Carolina,Virginia,NC State,California,Missouri State,Pittsburgh,Arkansas State,Vanderbilt,Delaware,Kennesaw State,Wake Forest,Arizona,Northwestern,Washington State,Southern Mississippi</v>
      </c>
      <c r="AW79" s="113" t="b">
        <f>IFERROR(__xludf.DUMMYFUNCTION("isnumber(find(""wild card"",join("","",filter($G$1:$G78,$D$1:$D78=D79))))"),FALSE)</f>
        <v>0</v>
      </c>
      <c r="AX79" s="113" t="str">
        <f>IFERROR(__xludf.DUMMYFUNCTION("join("","",let(confs,unique(TRANSPOSe(Teams!$1:$1)), confs_count, BYROW(confs,lambda(conf,xlookup(conf,'Conf WC Eligibility'!A:A,'Conf WC Eligibility'!C:C,,))),confs_picked,byrow(confs,lambda(conf,countif(E$1:E78,conf))),p_needs_conf_count,byrow(confs,lam"&amp;"bda(conf,counta('Draft Order'!B$2:B622)-COUNTUNIQUE(filter(D$2:D78,E$2:E78=conf)))),query({confs,confs_count,confs_picked,p_needs_conf_count},""select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0">
      <c r="A80" s="1">
        <v>79.0</v>
      </c>
      <c r="B80" s="1">
        <v>7.0</v>
      </c>
      <c r="C80" s="1">
        <v>7.0</v>
      </c>
      <c r="D80" s="115" t="s">
        <v>96</v>
      </c>
      <c r="E80" s="116" t="str">
        <f>if(F80&lt;&gt;"",VLOOKUP(F80,offset('Teams-Conference'!A:B,0,(counta('Draft Order'!B$2:B622)-10)*2),2,0),"")</f>
        <v>Sun Belt</v>
      </c>
      <c r="F80" s="77" t="s">
        <v>222</v>
      </c>
      <c r="G80" s="106" t="str">
        <f t="shared" si="1"/>
        <v>Regular Pick</v>
      </c>
      <c r="H80" s="106">
        <f t="shared" si="50"/>
        <v>1</v>
      </c>
      <c r="I80" s="106">
        <f t="shared" si="51"/>
        <v>1</v>
      </c>
      <c r="J80" s="106">
        <f t="shared" si="49"/>
        <v>2</v>
      </c>
      <c r="K80" s="106">
        <f t="shared" si="39"/>
        <v>2</v>
      </c>
      <c r="L80" s="106">
        <v>8.0</v>
      </c>
      <c r="M80" s="106">
        <f>IFERROR(__xludf.DUMMYFUNCTION("counta(iferror(filter(L$2:L79,E$2:E79=E80,L$2:L79&lt;L80)))"),5.0)</f>
        <v>5</v>
      </c>
      <c r="N80" s="106">
        <f>IFERROR(__xludf.DUMMYFUNCTION("counta(iferror(filter(L81:L$121,E81:E$121=E80,L81:L$624&gt;L80)))"),0.0)</f>
        <v>0</v>
      </c>
      <c r="O80" s="152"/>
      <c r="P80" s="106" t="b">
        <f>IFERROR(__xludf.DUMMYFUNCTION("if(F80="""","""",let(wc_picked, countifs(E$1:E79,E80,G$1:G79,""This is your wild card pick""), let(spots_filled,counta(unique(filter(D$2:E80,E$2:E80=E80)))/2,let(total,VLOOKUP(E80,'Conf WC Eligibility'!A:C,3,0),if(E80=""zIndependent"", TRUE,total-wc_picke"&amp;"d&gt;12)))))"),TRUE)</f>
        <v>1</v>
      </c>
      <c r="Q80" s="107">
        <f t="array" ref="Q80:AB80">XLOOKUP(F80,'Current Week'!C:C,'Current Week'!D:O)</f>
        <v>8</v>
      </c>
      <c r="R80" s="106">
        <v>4.0</v>
      </c>
      <c r="S80" s="106" t="s">
        <v>727</v>
      </c>
      <c r="T80" s="106" t="s">
        <v>61</v>
      </c>
      <c r="U80" s="106" t="s">
        <v>493</v>
      </c>
      <c r="V80" s="106"/>
      <c r="W80" s="106" t="s">
        <v>67</v>
      </c>
      <c r="X80" s="106">
        <v>6.5</v>
      </c>
      <c r="Y80" s="106" t="s">
        <v>67</v>
      </c>
      <c r="Z80" s="106">
        <v>50.5</v>
      </c>
      <c r="AA80" s="106">
        <v>302.0</v>
      </c>
      <c r="AB80" s="106">
        <v>287.0</v>
      </c>
      <c r="AC80" s="108" t="b">
        <v>1</v>
      </c>
      <c r="AD80" s="109">
        <f t="shared" si="4"/>
        <v>-2</v>
      </c>
      <c r="AE80" s="110">
        <f t="shared" si="5"/>
        <v>35</v>
      </c>
      <c r="AF80" s="110">
        <f>IFERROR(__xludf.DUMMYFUNCTION("iferror(COUNT(filter($Q81:$Q$400,$Q81:$Q$400&gt;$Q80)))"),8.0)</f>
        <v>8</v>
      </c>
      <c r="AG80" s="111">
        <f t="shared" si="6"/>
        <v>0</v>
      </c>
      <c r="AH80" s="112">
        <f t="shared" si="7"/>
        <v>6</v>
      </c>
      <c r="AI80" s="113" t="str">
        <f>IFERROR(__xludf.DUMMYFUNCTION("iferror(join("","",index(sort(filter($F81:$F$401,$Q81:$Q$401&gt;$Q80),2,false),0,1)))"),"UConn,Houston,San Diego State,Virginia,Vanderbilt,New Mexico,Kennesaw State,Arizona")</f>
        <v>UConn,Houston,San Diego State,Virginia,Vanderbilt,New Mexico,Kennesaw State,Arizona</v>
      </c>
      <c r="AJ80" s="114">
        <f>IFERROR(__xludf.DUMMYFUNCTION("iferror($Q80-max(filter($Q80:$Q$400,$E80:$E$400=$E$2)))"),2.0)</f>
        <v>2</v>
      </c>
      <c r="AK80" s="110">
        <f t="shared" si="8"/>
        <v>3</v>
      </c>
      <c r="AL80" s="110">
        <f>IFERROR(__xludf.DUMMYFUNCTION("iferror(COUNT(filter($Q81:$Q$400,$Q81:$Q$400&gt;$Q80,$E80:$E$400=$E$2)))"),0.0)</f>
        <v>0</v>
      </c>
      <c r="AM80" s="111">
        <f t="shared" si="9"/>
        <v>0</v>
      </c>
      <c r="AN80" s="110">
        <f>IFERROR(__xludf.DUMMYFUNCTION("iferror($Q80-min(filter($Q80:$Q$400,$E80:$E$400=$E$2)))"),6.0)</f>
        <v>6</v>
      </c>
      <c r="AO80" s="113" t="str">
        <f>IFERROR(__xludf.DUMMYFUNCTION("iferror(join("","",index(sort(filter($F81:$F$400,$Q81:$Q$400&gt;$Q80,$E81:$E$400=$E$2),2,false),0,1)))"),"")</f>
        <v/>
      </c>
      <c r="AP80" s="113" t="str">
        <f>IFERROR(__xludf.DUMMYFUNCTION("REGEXREPLACE(join("","",unique({let(conf_picked,filter(E$1:E79,D$1:D79=D80), byrow(unique(TRANSPOSe(Teams!$1:$1)),lambda(rw,if(ISERROR(match(rw,conf_picked,0)),rw,))));if(AW80,,transpose(split(AX80,"","",1,1)))})), ""^,"", """")"),"ACC,Big 12,CUSA,Pac12,Sun Belt")</f>
        <v>ACC,Big 12,CUSA,Pac12,Sun Belt</v>
      </c>
      <c r="AQ80" s="114">
        <f>IFERROR(__xludf.DUMMYFUNCTION("iferror($Q80-max(filter($Q80:$Q$400,arrayformula(isnumber(FIND($E80:$E$400,AP80))))))"),-2.0)</f>
        <v>-2</v>
      </c>
      <c r="AR80" s="110">
        <f t="array" ref="AR80">countifs($Q$2:$Q79,"&lt;"&amp;$Q80,isnumber(FIND($E$2:$E79,AP80)),TRUE)</f>
        <v>14</v>
      </c>
      <c r="AS80" s="110">
        <f>IFERROR(__xludf.DUMMYFUNCTION("iferror(COUNT(filter($Q81:$Q$400,$Q81:$Q$400&gt;$Q80,arrayformula(isnumber(FIND($E81:$E$400,AP80))))))"),4.0)</f>
        <v>4</v>
      </c>
      <c r="AT80" s="111">
        <f t="shared" si="10"/>
        <v>0</v>
      </c>
      <c r="AU80" s="110">
        <f>IFERROR(__xludf.DUMMYFUNCTION("iferror($Q80-min(filter($Q80:$Q$400,arrayformula(isnumber(FIND($E80:$E$400,AP80))))))"),7.0)</f>
        <v>7</v>
      </c>
      <c r="AV80" s="113" t="str">
        <f>IFERROR(__xludf.DUMMYFUNCTION("iferror(join("","",index(sort(filter($F81:$F$400,$Q81:$Q$400&gt;$Q80,arrayformula(isnumber(FIND($E81:$E$400,AP80)))),2,false),0,1)))"),"Houston,Virginia,Kennesaw State,Arizona")</f>
        <v>Houston,Virginia,Kennesaw State,Arizona</v>
      </c>
      <c r="AW80" s="113" t="b">
        <f>IFERROR(__xludf.DUMMYFUNCTION("isnumber(find(""wild card"",join("","",filter($G$1:$G79,$D$1:$D79=D80))))"),TRUE)</f>
        <v>1</v>
      </c>
      <c r="AX80" s="113" t="str">
        <f>IFERROR(__xludf.DUMMYFUNCTION("join("","",let(confs,unique(TRANSPOSe(Teams!$1:$1)), confs_count, BYROW(confs,lambda(conf,xlookup(conf,'Conf WC Eligibility'!A:A,'Conf WC Eligibility'!C:C,,))),confs_picked,byrow(confs,lambda(conf,countif(E$1:E79,conf))),p_needs_conf_count,byrow(confs,lam"&amp;"bda(conf,counta('Draft Order'!B$2:B622)-COUNTUNIQUE(filter(D$2:D79,E$2:E79=conf)))),query({confs,confs_count,confs_picked,p_needs_conf_count},""select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1">
      <c r="A81" s="1">
        <v>80.0</v>
      </c>
      <c r="B81" s="1">
        <v>7.0</v>
      </c>
      <c r="C81" s="1">
        <v>8.0</v>
      </c>
      <c r="D81" s="115" t="s">
        <v>238</v>
      </c>
      <c r="E81" s="116" t="str">
        <f>if(F81&lt;&gt;"",VLOOKUP(F81,offset('Teams-Conference'!A:B,0,(counta('Draft Order'!B$2:B622)-10)*2),2,0),"")</f>
        <v>Big 12</v>
      </c>
      <c r="F81" s="117" t="s">
        <v>98</v>
      </c>
      <c r="G81" s="106" t="str">
        <f t="shared" si="1"/>
        <v>Regular Pick</v>
      </c>
      <c r="H81" s="106">
        <f t="shared" si="50"/>
        <v>2</v>
      </c>
      <c r="I81" s="106">
        <f t="shared" si="51"/>
        <v>3</v>
      </c>
      <c r="J81" s="106">
        <f t="shared" si="49"/>
        <v>1</v>
      </c>
      <c r="K81" s="106">
        <f t="shared" si="39"/>
        <v>3</v>
      </c>
      <c r="L81" s="106">
        <v>7.0</v>
      </c>
      <c r="M81" s="106">
        <f>IFERROR(__xludf.DUMMYFUNCTION("counta(iferror(filter(L$2:L80,E$2:E80=E81,L$2:L80&lt;L81)))"),3.0)</f>
        <v>3</v>
      </c>
      <c r="N81" s="106">
        <f>IFERROR(__xludf.DUMMYFUNCTION("counta(iferror(filter(L82:L$121,E82:E$121=E81,L82:L$624&gt;L81)))"),0.0)</f>
        <v>0</v>
      </c>
      <c r="O81" s="152"/>
      <c r="P81" s="106" t="b">
        <f>IFERROR(__xludf.DUMMYFUNCTION("if(F81="""","""",let(wc_picked, countifs(E$1:E80,E81,G$1:G80,""This is your wild card pick""), let(spots_filled,counta(unique(filter(D$2:E81,E$2:E81=E81)))/2,let(total,VLOOKUP(E81,'Conf WC Eligibility'!A:C,3,0),if(E81=""zIndependent"", TRUE,total-wc_picke"&amp;"d&gt;12)))))"),TRUE)</f>
        <v>1</v>
      </c>
      <c r="Q81" s="107">
        <f t="array" ref="Q81:AB81">XLOOKUP(F81,'Current Week'!C:C,'Current Week'!D:O)</f>
        <v>7</v>
      </c>
      <c r="R81" s="106">
        <v>5.0</v>
      </c>
      <c r="S81" s="106" t="s">
        <v>551</v>
      </c>
      <c r="T81" s="106" t="s">
        <v>61</v>
      </c>
      <c r="U81" s="106" t="s">
        <v>95</v>
      </c>
      <c r="V81" s="106"/>
      <c r="W81" s="106" t="s">
        <v>67</v>
      </c>
      <c r="X81" s="106">
        <v>3.5</v>
      </c>
      <c r="Y81" s="106" t="s">
        <v>67</v>
      </c>
      <c r="Z81" s="106">
        <v>57.5</v>
      </c>
      <c r="AA81" s="106">
        <v>381.0</v>
      </c>
      <c r="AB81" s="106">
        <v>298.0</v>
      </c>
      <c r="AC81" s="108" t="b">
        <v>1</v>
      </c>
      <c r="AD81" s="109">
        <f t="shared" si="4"/>
        <v>-3</v>
      </c>
      <c r="AE81" s="110">
        <f t="shared" si="5"/>
        <v>28</v>
      </c>
      <c r="AF81" s="110">
        <f>IFERROR(__xludf.DUMMYFUNCTION("iferror(COUNT(filter($Q82:$Q$400,$Q82:$Q$400&gt;$Q81)))"),10.0)</f>
        <v>10</v>
      </c>
      <c r="AG81" s="111">
        <f t="shared" si="6"/>
        <v>0</v>
      </c>
      <c r="AH81" s="112">
        <f t="shared" si="7"/>
        <v>5</v>
      </c>
      <c r="AI81" s="113" t="str">
        <f>IFERROR(__xludf.DUMMYFUNCTION("iferror(join("","",index(sort(filter($F82:$F$401,$Q82:$Q$401&gt;$Q81),2,false),0,1)))"),"UConn,Houston,San Diego State,Virginia,Pittsburgh,Vanderbilt,New Mexico,Kennesaw State,Wake Forest,Arizona")</f>
        <v>UConn,Houston,San Diego State,Virginia,Pittsburgh,Vanderbilt,New Mexico,Kennesaw State,Wake Forest,Arizona</v>
      </c>
      <c r="AJ81" s="114">
        <f>IFERROR(__xludf.DUMMYFUNCTION("iferror($Q81-max(filter($Q81:$Q$400,$E81:$E$400=$E$2)))"),1.0)</f>
        <v>1</v>
      </c>
      <c r="AK81" s="110">
        <f t="shared" si="8"/>
        <v>1</v>
      </c>
      <c r="AL81" s="110">
        <f>IFERROR(__xludf.DUMMYFUNCTION("iferror(COUNT(filter($Q82:$Q$400,$Q82:$Q$400&gt;$Q81,$E81:$E$400=$E$2)))"),0.0)</f>
        <v>0</v>
      </c>
      <c r="AM81" s="111">
        <f t="shared" si="9"/>
        <v>0</v>
      </c>
      <c r="AN81" s="110">
        <f>IFERROR(__xludf.DUMMYFUNCTION("iferror($Q81-min(filter($Q81:$Q$400,$E81:$E$400=$E$2)))"),5.0)</f>
        <v>5</v>
      </c>
      <c r="AO81" s="113" t="str">
        <f>IFERROR(__xludf.DUMMYFUNCTION("iferror(join("","",index(sort(filter($F82:$F$400,$Q82:$Q$400&gt;$Q81,$E82:$E$400=$E$2),2,false),0,1)))"),"")</f>
        <v/>
      </c>
      <c r="AP81" s="113" t="str">
        <f>IFERROR(__xludf.DUMMYFUNCTION("REGEXREPLACE(join("","",unique({let(conf_picked,filter(E$1:E80,D$1:D80=D81), byrow(unique(TRANSPOSe(Teams!$1:$1)),lambda(rw,if(ISERROR(match(rw,conf_picked,0)),rw,))));if(AW81,,transpose(split(AX81,"","",1,1)))})), ""^,"", """")"),"ACC,Big 12,CUSA,Pac12,zIndependent,AAC,Big Ten,MAC,SEC,Sun Belt")</f>
        <v>ACC,Big 12,CUSA,Pac12,zIndependent,AAC,Big Ten,MAC,SEC,Sun Belt</v>
      </c>
      <c r="AQ81" s="114">
        <f>IFERROR(__xludf.DUMMYFUNCTION("iferror($Q81-max(filter($Q81:$Q$400,arrayformula(isnumber(FIND($E81:$E$400,AP81))))))"),-3.0)</f>
        <v>-3</v>
      </c>
      <c r="AR81" s="110">
        <f t="array" ref="AR81">countifs($Q$2:$Q80,"&lt;"&amp;$Q81,isnumber(FIND($E$2:$E80,AP81)),TRUE)</f>
        <v>25</v>
      </c>
      <c r="AS81" s="110">
        <f>IFERROR(__xludf.DUMMYFUNCTION("iferror(COUNT(filter($Q82:$Q$400,$Q82:$Q$400&gt;$Q81,arrayformula(isnumber(FIND($E82:$E$400,AP81))))))"),8.0)</f>
        <v>8</v>
      </c>
      <c r="AT81" s="111">
        <f t="shared" si="10"/>
        <v>0</v>
      </c>
      <c r="AU81" s="110">
        <f>IFERROR(__xludf.DUMMYFUNCTION("iferror($Q81-min(filter($Q81:$Q$400,arrayformula(isnumber(FIND($E81:$E$400,AP81))))))"),7.0)</f>
        <v>7</v>
      </c>
      <c r="AV81" s="113" t="str">
        <f>IFERROR(__xludf.DUMMYFUNCTION("iferror(join("","",index(sort(filter($F82:$F$400,$Q82:$Q$400&gt;$Q81,arrayformula(isnumber(FIND($E82:$E$400,AP81)))),2,false),0,1)))"),"UConn,Houston,Virginia,Pittsburgh,Vanderbilt,Kennesaw State,Wake Forest,Arizona")</f>
        <v>UConn,Houston,Virginia,Pittsburgh,Vanderbilt,Kennesaw State,Wake Forest,Arizona</v>
      </c>
      <c r="AW81" s="113" t="b">
        <f>IFERROR(__xludf.DUMMYFUNCTION("isnumber(find(""wild card"",join("","",filter($G$1:$G80,$D$1:$D80=D81))))"),FALSE)</f>
        <v>0</v>
      </c>
      <c r="AX81" s="113" t="str">
        <f>IFERROR(__xludf.DUMMYFUNCTION("join("","",let(confs,unique(TRANSPOSe(Teams!$1:$1)), confs_count, BYROW(confs,lambda(conf,xlookup(conf,'Conf WC Eligibility'!A:A,'Conf WC Eligibility'!C:C,,))),confs_picked,byrow(confs,lambda(conf,countif(E$1:E80,conf))),p_needs_conf_count,byrow(confs,lam"&amp;"bda(conf,counta('Draft Order'!B$2:B622)-COUNTUNIQUE(filter(D$2:D80,E$2:E80=conf)))),query({confs,confs_count,confs_picked,p_needs_conf_count},""select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2">
      <c r="A82" s="1">
        <v>81.0</v>
      </c>
      <c r="B82" s="1">
        <v>7.0</v>
      </c>
      <c r="C82" s="1">
        <v>9.0</v>
      </c>
      <c r="D82" s="115" t="s">
        <v>156</v>
      </c>
      <c r="E82" s="116" t="str">
        <f>if(F82&lt;&gt;"",VLOOKUP(F82,offset('Teams-Conference'!A:B,0,(counta('Draft Order'!B$2:B622)-10)*2),2,0),"")</f>
        <v>Big 12</v>
      </c>
      <c r="F82" s="77" t="s">
        <v>109</v>
      </c>
      <c r="G82" s="106" t="str">
        <f t="shared" si="1"/>
        <v>Regular Pick</v>
      </c>
      <c r="H82" s="106">
        <f t="shared" si="50"/>
        <v>1</v>
      </c>
      <c r="I82" s="106">
        <f t="shared" si="51"/>
        <v>2</v>
      </c>
      <c r="J82" s="106">
        <f t="shared" si="49"/>
        <v>2</v>
      </c>
      <c r="K82" s="106">
        <f t="shared" si="39"/>
        <v>2</v>
      </c>
      <c r="L82" s="106">
        <v>5.0</v>
      </c>
      <c r="M82" s="106">
        <f>IFERROR(__xludf.DUMMYFUNCTION("counta(iferror(filter(L$2:L81,E$2:E81=E82,L$2:L81&lt;L82)))"),0.0)</f>
        <v>0</v>
      </c>
      <c r="N82" s="106">
        <f>IFERROR(__xludf.DUMMYFUNCTION("counta(iferror(filter(L83:L$121,E83:E$121=E82,L83:L$624&gt;L82)))"),0.0)</f>
        <v>0</v>
      </c>
      <c r="O82" s="152"/>
      <c r="P82" s="106" t="b">
        <f>IFERROR(__xludf.DUMMYFUNCTION("if(F82="""","""",let(wc_picked, countifs(E$1:E81,E82,G$1:G81,""This is your wild card pick""), let(spots_filled,counta(unique(filter(D$2:E82,E$2:E82=E82)))/2,let(total,VLOOKUP(E82,'Conf WC Eligibility'!A:C,3,0),if(E82=""zIndependent"", TRUE,total-wc_picke"&amp;"d&gt;12)))))"),TRUE)</f>
        <v>1</v>
      </c>
      <c r="Q82" s="107">
        <f t="array" ref="Q82:AB82">XLOOKUP(F82,'Current Week'!C:C,'Current Week'!D:O)</f>
        <v>5</v>
      </c>
      <c r="R82" s="106">
        <v>7.0</v>
      </c>
      <c r="S82" s="106" t="s">
        <v>714</v>
      </c>
      <c r="T82" s="106" t="s">
        <v>61</v>
      </c>
      <c r="U82" s="106" t="s">
        <v>224</v>
      </c>
      <c r="V82" s="106"/>
      <c r="W82" s="106" t="s">
        <v>67</v>
      </c>
      <c r="X82" s="106">
        <v>17.5</v>
      </c>
      <c r="Y82" s="106" t="s">
        <v>67</v>
      </c>
      <c r="Z82" s="106">
        <v>47.5</v>
      </c>
      <c r="AA82" s="106">
        <v>292.0</v>
      </c>
      <c r="AB82" s="106">
        <v>283.0</v>
      </c>
      <c r="AC82" s="108" t="b">
        <v>1</v>
      </c>
      <c r="AD82" s="109">
        <f t="shared" si="4"/>
        <v>-5</v>
      </c>
      <c r="AE82" s="110">
        <f t="shared" si="5"/>
        <v>13</v>
      </c>
      <c r="AF82" s="110">
        <f>IFERROR(__xludf.DUMMYFUNCTION("iferror(COUNT(filter($Q83:$Q$400,$Q83:$Q$400&gt;$Q82)))"),22.0)</f>
        <v>22</v>
      </c>
      <c r="AG82" s="111">
        <f t="shared" si="6"/>
        <v>0</v>
      </c>
      <c r="AH82" s="112">
        <f t="shared" si="7"/>
        <v>3</v>
      </c>
      <c r="AI82" s="113" t="str">
        <f>IFERROR(__xludf.DUMMYFUNCTION("iferror(join("","",index(sort(filter($F83:$F$401,$Q83:$Q$401&gt;$Q82),2,false),0,1)))"),"Duke,UConn,Florida Intl,Houston,San Diego State,Coastal Carolina,Virginia,Utah State,NC State,California,Missouri State,Pittsburgh,Arkansas State,Vanderbilt,Delaware,New Mexico,Kennesaw State,Wake Forest,Arizona,Northwestern,Washington State,Southern Miss"&amp;"issippi")</f>
        <v>Duke,UConn,Florida Intl,Houston,San Diego State,Coastal Carolina,Virginia,Utah State,NC State,California,Missouri State,Pittsburgh,Arkansas State,Vanderbilt,Delaware,New Mexico,Kennesaw State,Wake Forest,Arizona,Northwestern,Washington State,Southern Mississippi</v>
      </c>
      <c r="AJ82" s="114">
        <f>IFERROR(__xludf.DUMMYFUNCTION("iferror($Q82-max(filter($Q82:$Q$400,$E82:$E$400=$E$2)))"),-1.0)</f>
        <v>-1</v>
      </c>
      <c r="AK82" s="110">
        <f t="shared" si="8"/>
        <v>0</v>
      </c>
      <c r="AL82" s="110">
        <f>IFERROR(__xludf.DUMMYFUNCTION("iferror(COUNT(filter($Q83:$Q$400,$Q83:$Q$400&gt;$Q82,$E82:$E$400=$E$2)))"),0.0)</f>
        <v>0</v>
      </c>
      <c r="AM82" s="111">
        <f t="shared" si="9"/>
        <v>0</v>
      </c>
      <c r="AN82" s="110">
        <f>IFERROR(__xludf.DUMMYFUNCTION("iferror($Q82-min(filter($Q82:$Q$400,$E82:$E$400=$E$2)))"),3.0)</f>
        <v>3</v>
      </c>
      <c r="AO82" s="113" t="str">
        <f>IFERROR(__xludf.DUMMYFUNCTION("iferror(join("","",index(sort(filter($F83:$F$400,$Q83:$Q$400&gt;$Q82,$E83:$E$400=$E$2),2,false),0,1)))"),"Northwestern")</f>
        <v>Northwestern</v>
      </c>
      <c r="AP82" s="113" t="str">
        <f>IFERROR(__xludf.DUMMYFUNCTION("REGEXREPLACE(join("","",unique({let(conf_picked,filter(E$1:E81,D$1:D81=D82), byrow(unique(TRANSPOSe(Teams!$1:$1)),lambda(rw,if(ISERROR(match(rw,conf_picked,0)),rw,))));if(AW82,,transpose(split(AX82,"","",1,1)))})), ""^,"", """")"),"Big 12,MWC,Pac12,Sun Belt,zIndependent,AAC,ACC,Big Ten,MAC,SEC")</f>
        <v>Big 12,MWC,Pac12,Sun Belt,zIndependent,AAC,ACC,Big Ten,MAC,SEC</v>
      </c>
      <c r="AQ82" s="114">
        <f>IFERROR(__xludf.DUMMYFUNCTION("iferror($Q82-max(filter($Q82:$Q$400,arrayformula(isnumber(FIND($E82:$E$400,AP82))))))"),-5.0)</f>
        <v>-5</v>
      </c>
      <c r="AR82" s="110">
        <f t="array" ref="AR82">countifs($Q$2:$Q81,"&lt;"&amp;$Q82,isnumber(FIND($E$2:$E81,AP82)),TRUE)</f>
        <v>12</v>
      </c>
      <c r="AS82" s="110">
        <f>IFERROR(__xludf.DUMMYFUNCTION("iferror(COUNT(filter($Q83:$Q$400,$Q83:$Q$400&gt;$Q82,arrayformula(isnumber(FIND($E83:$E$400,AP82))))))"),18.0)</f>
        <v>18</v>
      </c>
      <c r="AT82" s="111">
        <f t="shared" si="10"/>
        <v>0</v>
      </c>
      <c r="AU82" s="110">
        <f>IFERROR(__xludf.DUMMYFUNCTION("iferror($Q82-min(filter($Q82:$Q$400,arrayformula(isnumber(FIND($E82:$E$400,AP82))))))"),5.0)</f>
        <v>5</v>
      </c>
      <c r="AV82" s="113" t="str">
        <f>IFERROR(__xludf.DUMMYFUNCTION("iferror(join("","",index(sort(filter($F83:$F$400,$Q83:$Q$400&gt;$Q82,arrayformula(isnumber(FIND($E83:$E$400,AP82)))),2,false),0,1)))"),"Duke,UConn,Houston,San Diego State,Coastal Carolina,Virginia,Utah State,NC State,California,Pittsburgh,Arkansas State,Vanderbilt,New Mexico,Wake Forest,Arizona,Northwestern,Washington State,Southern Mississippi")</f>
        <v>Duke,UConn,Houston,San Diego State,Coastal Carolina,Virginia,Utah State,NC State,California,Pittsburgh,Arkansas State,Vanderbilt,New Mexico,Wake Forest,Arizona,Northwestern,Washington State,Southern Mississippi</v>
      </c>
      <c r="AW82" s="113" t="b">
        <f>IFERROR(__xludf.DUMMYFUNCTION("isnumber(find(""wild card"",join("","",filter($G$1:$G81,$D$1:$D81=D82))))"),FALSE)</f>
        <v>0</v>
      </c>
      <c r="AX82" s="113" t="str">
        <f>IFERROR(__xludf.DUMMYFUNCTION("join("","",let(confs,unique(TRANSPOSe(Teams!$1:$1)), confs_count, BYROW(confs,lambda(conf,xlookup(conf,'Conf WC Eligibility'!A:A,'Conf WC Eligibility'!C:C,,))),confs_picked,byrow(confs,lambda(conf,countif(E$1:E81,conf))),p_needs_conf_count,byrow(confs,lam"&amp;"bda(conf,counta('Draft Order'!B$2:B622)-COUNTUNIQUE(filter(D$2:D81,E$2:E81=conf)))),query({confs,confs_count,confs_picked,p_needs_conf_count},""select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3">
      <c r="A83" s="1">
        <v>82.0</v>
      </c>
      <c r="B83" s="1">
        <v>7.0</v>
      </c>
      <c r="C83" s="1">
        <v>10.0</v>
      </c>
      <c r="D83" s="115" t="s">
        <v>249</v>
      </c>
      <c r="E83" s="116" t="str">
        <f>if(F83&lt;&gt;"",VLOOKUP(F83,offset('Teams-Conference'!A:B,0,(counta('Draft Order'!B$2:B622)-10)*2),2,0),"")</f>
        <v>ACC</v>
      </c>
      <c r="F83" s="77" t="s">
        <v>112</v>
      </c>
      <c r="G83" s="106" t="str">
        <f t="shared" si="1"/>
        <v>This is your wild card pick</v>
      </c>
      <c r="H83" s="106">
        <f t="shared" si="50"/>
        <v>1</v>
      </c>
      <c r="I83" s="106">
        <f t="shared" si="51"/>
        <v>3</v>
      </c>
      <c r="J83" s="106">
        <f t="shared" si="49"/>
        <v>2</v>
      </c>
      <c r="K83" s="106">
        <f t="shared" si="39"/>
        <v>0</v>
      </c>
      <c r="L83" s="106">
        <v>7.0</v>
      </c>
      <c r="M83" s="106">
        <f>IFERROR(__xludf.DUMMYFUNCTION("counta(iferror(filter(L$2:L82,E$2:E82=E83,L$2:L82&lt;L83)))"),3.0)</f>
        <v>3</v>
      </c>
      <c r="N83" s="106">
        <f>IFERROR(__xludf.DUMMYFUNCTION("counta(iferror(filter(L84:L$121,E84:E$121=E83,L84:L$624&gt;L83)))"),0.0)</f>
        <v>0</v>
      </c>
      <c r="O83" s="152"/>
      <c r="P83" s="106" t="b">
        <f>IFERROR(__xludf.DUMMYFUNCTION("if(F83="""","""",let(wc_picked, countifs(E$1:E82,E83,G$1:G82,""This is your wild card pick""), let(spots_filled,counta(unique(filter(D$2:E83,E$2:E83=E83)))/2,let(total,VLOOKUP(E83,'Conf WC Eligibility'!A:C,3,0),if(E83=""zIndependent"", TRUE,total-wc_picke"&amp;"d&gt;12)))))"),TRUE)</f>
        <v>1</v>
      </c>
      <c r="Q83" s="107">
        <f t="array" ref="Q83:AB83">XLOOKUP(F83,'Current Week'!C:C,'Current Week'!D:O)</f>
        <v>7</v>
      </c>
      <c r="R83" s="106">
        <v>5.0</v>
      </c>
      <c r="S83" s="106" t="s">
        <v>762</v>
      </c>
      <c r="T83" s="106" t="s">
        <v>61</v>
      </c>
      <c r="U83" s="106" t="s">
        <v>493</v>
      </c>
      <c r="V83" s="106"/>
      <c r="W83" s="106" t="s">
        <v>67</v>
      </c>
      <c r="X83" s="106">
        <v>-1.5</v>
      </c>
      <c r="Y83" s="106" t="s">
        <v>67</v>
      </c>
      <c r="Z83" s="106">
        <v>53.5</v>
      </c>
      <c r="AA83" s="106">
        <v>415.0</v>
      </c>
      <c r="AB83" s="106">
        <v>353.0</v>
      </c>
      <c r="AC83" s="108" t="b">
        <v>1</v>
      </c>
      <c r="AD83" s="109">
        <f t="shared" si="4"/>
        <v>-3</v>
      </c>
      <c r="AE83" s="110">
        <f t="shared" si="5"/>
        <v>29</v>
      </c>
      <c r="AF83" s="110">
        <f>IFERROR(__xludf.DUMMYFUNCTION("iferror(COUNT(filter($Q84:$Q$400,$Q84:$Q$400&gt;$Q83)))"),10.0)</f>
        <v>10</v>
      </c>
      <c r="AG83" s="111">
        <f t="shared" si="6"/>
        <v>0</v>
      </c>
      <c r="AH83" s="112">
        <f t="shared" si="7"/>
        <v>5</v>
      </c>
      <c r="AI83" s="113" t="str">
        <f>IFERROR(__xludf.DUMMYFUNCTION("iferror(join("","",index(sort(filter($F84:$F$401,$Q84:$Q$401&gt;$Q83),2,false),0,1)))"),"UConn,Houston,San Diego State,Virginia,Pittsburgh,Vanderbilt,New Mexico,Kennesaw State,Wake Forest,Arizona")</f>
        <v>UConn,Houston,San Diego State,Virginia,Pittsburgh,Vanderbilt,New Mexico,Kennesaw State,Wake Forest,Arizona</v>
      </c>
      <c r="AJ83" s="114">
        <f>IFERROR(__xludf.DUMMYFUNCTION("iferror($Q83-max(filter($Q83:$Q$400,$E83:$E$400=$E$2)))"),1.0)</f>
        <v>1</v>
      </c>
      <c r="AK83" s="110">
        <f t="shared" si="8"/>
        <v>1</v>
      </c>
      <c r="AL83" s="110">
        <f>IFERROR(__xludf.DUMMYFUNCTION("iferror(COUNT(filter($Q84:$Q$400,$Q84:$Q$400&gt;$Q83,$E83:$E$400=$E$2)))"),0.0)</f>
        <v>0</v>
      </c>
      <c r="AM83" s="111">
        <f t="shared" si="9"/>
        <v>0</v>
      </c>
      <c r="AN83" s="110">
        <f>IFERROR(__xludf.DUMMYFUNCTION("iferror($Q83-min(filter($Q83:$Q$400,$E83:$E$400=$E$2)))"),5.0)</f>
        <v>5</v>
      </c>
      <c r="AO83" s="113" t="str">
        <f>IFERROR(__xludf.DUMMYFUNCTION("iferror(join("","",index(sort(filter($F84:$F$400,$Q84:$Q$400&gt;$Q83,$E84:$E$400=$E$2),2,false),0,1)))"),"")</f>
        <v/>
      </c>
      <c r="AP83" s="113" t="str">
        <f>IFERROR(__xludf.DUMMYFUNCTION("REGEXREPLACE(join("","",unique({let(conf_picked,filter(E$1:E82,D$1:D82=D83), byrow(unique(TRANSPOSe(Teams!$1:$1)),lambda(rw,if(ISERROR(match(rw,conf_picked,0)),rw,))));if(AW83,,transpose(split(AX83,"","",1,1)))})), ""^,"", """")"),"AAC,,MWC,Pac12,Sun Belt,zIndependent,ACC,Big 12,Big Ten,MAC,SEC")</f>
        <v>AAC,,MWC,Pac12,Sun Belt,zIndependent,ACC,Big 12,Big Ten,MAC,SEC</v>
      </c>
      <c r="AQ83" s="114">
        <f>IFERROR(__xludf.DUMMYFUNCTION("iferror($Q83-max(filter($Q83:$Q$400,arrayformula(isnumber(FIND($E83:$E$400,AP83))))))"),-3.0)</f>
        <v>-3</v>
      </c>
      <c r="AR83" s="110">
        <f t="array" ref="AR83">countifs($Q$2:$Q82,"&lt;"&amp;$Q83,isnumber(FIND($E$2:$E82,AP83)),TRUE)</f>
        <v>28</v>
      </c>
      <c r="AS83" s="110">
        <f>IFERROR(__xludf.DUMMYFUNCTION("iferror(COUNT(filter($Q84:$Q$400,$Q84:$Q$400&gt;$Q83,arrayformula(isnumber(FIND($E84:$E$400,AP83))))))"),9.0)</f>
        <v>9</v>
      </c>
      <c r="AT83" s="111">
        <f t="shared" si="10"/>
        <v>0</v>
      </c>
      <c r="AU83" s="110">
        <f>IFERROR(__xludf.DUMMYFUNCTION("iferror($Q83-min(filter($Q83:$Q$400,arrayformula(isnumber(FIND($E83:$E$400,AP83))))))"),7.0)</f>
        <v>7</v>
      </c>
      <c r="AV83" s="113" t="str">
        <f>IFERROR(__xludf.DUMMYFUNCTION("iferror(join("","",index(sort(filter($F84:$F$400,$Q84:$Q$400&gt;$Q83,arrayformula(isnumber(FIND($E84:$E$400,AP83)))),2,false),0,1)))"),"UConn,Houston,San Diego State,Virginia,Pittsburgh,Vanderbilt,New Mexico,Wake Forest,Arizona")</f>
        <v>UConn,Houston,San Diego State,Virginia,Pittsburgh,Vanderbilt,New Mexico,Wake Forest,Arizona</v>
      </c>
      <c r="AW83" s="113" t="b">
        <f>IFERROR(__xludf.DUMMYFUNCTION("isnumber(find(""wild card"",join("","",filter($G$1:$G82,$D$1:$D82=D83))))"),FALSE)</f>
        <v>0</v>
      </c>
      <c r="AX83" s="113" t="str">
        <f>IFERROR(__xludf.DUMMYFUNCTION("join("","",let(confs,unique(TRANSPOSe(Teams!$1:$1)), confs_count, BYROW(confs,lambda(conf,xlookup(conf,'Conf WC Eligibility'!A:A,'Conf WC Eligibility'!C:C,,))),confs_picked,byrow(confs,lambda(conf,countif(E$1:E82,conf))),p_needs_conf_count,byrow(confs,lam"&amp;"bda(conf,counta('Draft Order'!B$2:B622)-COUNTUNIQUE(filter(D$2:D82,E$2:E82=conf)))),query({confs,confs_count,confs_picked,p_needs_conf_count},""select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4">
      <c r="A84" s="1">
        <v>83.0</v>
      </c>
      <c r="B84" s="1">
        <v>7.0</v>
      </c>
      <c r="C84" s="1">
        <v>11.0</v>
      </c>
      <c r="D84" s="115" t="s">
        <v>395</v>
      </c>
      <c r="E84" s="116" t="str">
        <f>if(F84&lt;&gt;"",VLOOKUP(F84,offset('Teams-Conference'!A:B,0,(counta('Draft Order'!B$2:B622)-10)*2),2,0),"")</f>
        <v>zIndependent</v>
      </c>
      <c r="F84" s="77" t="s">
        <v>99</v>
      </c>
      <c r="G84" s="106" t="str">
        <f t="shared" si="1"/>
        <v>This is your wild card pick</v>
      </c>
      <c r="H84" s="106">
        <f t="shared" si="50"/>
        <v>0</v>
      </c>
      <c r="I84" s="106">
        <f t="shared" si="51"/>
        <v>0</v>
      </c>
      <c r="J84" s="106">
        <f t="shared" ref="J84:J85" si="52">countif(E74:E83,E84)</f>
        <v>0</v>
      </c>
      <c r="K84" s="106">
        <f t="shared" si="39"/>
        <v>0</v>
      </c>
      <c r="L84" s="106">
        <v>9.0</v>
      </c>
      <c r="M84" s="106">
        <f>IFERROR(__xludf.DUMMYFUNCTION("counta(iferror(filter(L$2:L83,E$2:E83=E84,L$2:L83&lt;L84)))"),0.0)</f>
        <v>0</v>
      </c>
      <c r="N84" s="106">
        <f>IFERROR(__xludf.DUMMYFUNCTION("counta(iferror(filter(L85:L$121,E85:E$121=E84,L85:L$624&gt;L84)))"),0.0)</f>
        <v>0</v>
      </c>
      <c r="O84" s="106"/>
      <c r="P84" s="106" t="b">
        <f>IFERROR(__xludf.DUMMYFUNCTION("if(F84="""","""",let(wc_picked, countifs(E$1:E83,E84,G$1:G83,""This is your wild card pick""), let(spots_filled,counta(unique(filter(D$2:E84,E$2:E84=E84)))/2,let(total,VLOOKUP(E84,'Conf WC Eligibility'!A:C,3,0),if(E84=""zIndependent"", TRUE,total-wc_picke"&amp;"d&gt;12)))))"),TRUE)</f>
        <v>1</v>
      </c>
      <c r="Q84" s="107">
        <f t="array" ref="Q84:AB84">XLOOKUP(F84,'Current Week'!C:C,'Current Week'!D:O)</f>
        <v>9</v>
      </c>
      <c r="R84" s="106">
        <v>3.0</v>
      </c>
      <c r="S84" s="106"/>
      <c r="T84" s="106"/>
      <c r="U84" s="106"/>
      <c r="V84" s="106"/>
      <c r="W84" s="106"/>
      <c r="X84" s="106"/>
      <c r="Y84" s="106"/>
      <c r="Z84" s="106"/>
      <c r="AA84" s="106">
        <v>443.0</v>
      </c>
      <c r="AB84" s="106">
        <v>310.0</v>
      </c>
      <c r="AC84" s="108"/>
      <c r="AD84" s="109">
        <f t="shared" si="4"/>
        <v>-1</v>
      </c>
      <c r="AE84" s="110">
        <f t="shared" si="5"/>
        <v>58</v>
      </c>
      <c r="AF84" s="110">
        <f>IFERROR(__xludf.DUMMYFUNCTION("iferror(COUNT(filter($Q85:$Q$400,$Q85:$Q$400&gt;$Q84)))"),2.0)</f>
        <v>2</v>
      </c>
      <c r="AG84" s="111">
        <f t="shared" si="6"/>
        <v>0</v>
      </c>
      <c r="AH84" s="112">
        <f t="shared" si="7"/>
        <v>7</v>
      </c>
      <c r="AI84" s="113" t="str">
        <f>IFERROR(__xludf.DUMMYFUNCTION("iferror(join("","",index(sort(filter($F85:$F$401,$Q85:$Q$401&gt;$Q84),2,false),0,1)))"),"Virginia,Vanderbilt")</f>
        <v>Virginia,Vanderbilt</v>
      </c>
      <c r="AJ84" s="114">
        <f>IFERROR(__xludf.DUMMYFUNCTION("iferror($Q84-max(filter($Q84:$Q$400,$E84:$E$400=$E$2)))"),3.0)</f>
        <v>3</v>
      </c>
      <c r="AK84" s="110">
        <f t="shared" si="8"/>
        <v>6</v>
      </c>
      <c r="AL84" s="110">
        <f>IFERROR(__xludf.DUMMYFUNCTION("iferror(COUNT(filter($Q85:$Q$400,$Q85:$Q$400&gt;$Q84,$E84:$E$400=$E$2)))"),0.0)</f>
        <v>0</v>
      </c>
      <c r="AM84" s="111">
        <f t="shared" si="9"/>
        <v>0</v>
      </c>
      <c r="AN84" s="110">
        <f>IFERROR(__xludf.DUMMYFUNCTION("iferror($Q84-min(filter($Q84:$Q$400,$E84:$E$400=$E$2)))"),7.0)</f>
        <v>7</v>
      </c>
      <c r="AO84" s="113" t="str">
        <f>IFERROR(__xludf.DUMMYFUNCTION("iferror(join("","",index(sort(filter($F85:$F$400,$Q85:$Q$400&gt;$Q84,$E85:$E$400=$E$2),2,false),0,1)))"),"")</f>
        <v/>
      </c>
      <c r="AP84" s="113" t="str">
        <f>IFERROR(__xludf.DUMMYFUNCTION("REGEXREPLACE(join("","",unique({let(conf_picked,filter(E$1:E83,D$1:D83=D84), byrow(unique(TRANSPOSe(Teams!$1:$1)),lambda(rw,if(ISERROR(match(rw,conf_picked,0)),rw,))));if(AW84,,transpose(split(AX84,"","",1,1)))})), ""^,"", """")"),"Big 12,Big Ten,Pac12,SEC,zIndependent,AAC,ACC,MAC,Sun Belt")</f>
        <v>Big 12,Big Ten,Pac12,SEC,zIndependent,AAC,ACC,MAC,Sun Belt</v>
      </c>
      <c r="AQ84" s="114">
        <f>IFERROR(__xludf.DUMMYFUNCTION("iferror($Q84-max(filter($Q84:$Q$400,arrayformula(isnumber(FIND($E84:$E$400,AP84))))))"),-1.0)</f>
        <v>-1</v>
      </c>
      <c r="AR84" s="110">
        <f t="array" ref="AR84">countifs($Q$2:$Q83,"&lt;"&amp;$Q84,isnumber(FIND($E$2:$E83,AP84)),TRUE)</f>
        <v>48</v>
      </c>
      <c r="AS84" s="110">
        <f>IFERROR(__xludf.DUMMYFUNCTION("iferror(COUNT(filter($Q85:$Q$400,$Q85:$Q$400&gt;$Q84,arrayformula(isnumber(FIND($E85:$E$400,AP84))))))"),2.0)</f>
        <v>2</v>
      </c>
      <c r="AT84" s="111">
        <f t="shared" si="10"/>
        <v>0</v>
      </c>
      <c r="AU84" s="110">
        <f>IFERROR(__xludf.DUMMYFUNCTION("iferror($Q84-min(filter($Q84:$Q$400,arrayformula(isnumber(FIND($E84:$E$400,AP84))))))"),9.0)</f>
        <v>9</v>
      </c>
      <c r="AV84" s="113" t="str">
        <f>IFERROR(__xludf.DUMMYFUNCTION("iferror(join("","",index(sort(filter($F85:$F$400,$Q85:$Q$400&gt;$Q84,arrayformula(isnumber(FIND($E85:$E$400,AP84)))),2,false),0,1)))"),"Virginia,Vanderbilt")</f>
        <v>Virginia,Vanderbilt</v>
      </c>
      <c r="AW84" s="113" t="b">
        <f>IFERROR(__xludf.DUMMYFUNCTION("isnumber(find(""wild card"",join("","",filter($G$1:$G83,$D$1:$D83=D84))))"),FALSE)</f>
        <v>0</v>
      </c>
      <c r="AX84" s="113" t="str">
        <f>IFERROR(__xludf.DUMMYFUNCTION("join("","",let(confs,unique(TRANSPOSe(Teams!$1:$1)), confs_count, BYROW(confs,lambda(conf,xlookup(conf,'Conf WC Eligibility'!A:A,'Conf WC Eligibility'!C:C,,))),confs_picked,byrow(confs,lambda(conf,countif(E$1:E83,conf))),p_needs_conf_count,byrow(confs,lam"&amp;"bda(conf,counta('Draft Order'!B$2:B622)-COUNTUNIQUE(filter(D$2:D83,E$2:E83=conf)))),query({confs,confs_count,confs_picked,p_needs_conf_count},""select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5">
      <c r="A85" s="1">
        <v>84.0</v>
      </c>
      <c r="B85" s="1">
        <v>7.0</v>
      </c>
      <c r="C85" s="1">
        <v>12.0</v>
      </c>
      <c r="D85" s="115" t="s">
        <v>132</v>
      </c>
      <c r="E85" t="str">
        <f>if(F85&lt;&gt;"",VLOOKUP(F85,offset('Teams-Conference'!A:B,0,(counta('Draft Order'!B$2:B622)-10)*2),2,0),"")</f>
        <v>CUSA</v>
      </c>
      <c r="F85" s="77" t="s">
        <v>545</v>
      </c>
      <c r="G85" s="106" t="str">
        <f t="shared" si="1"/>
        <v>Regular Pick</v>
      </c>
      <c r="H85" s="106">
        <f t="shared" si="50"/>
        <v>1</v>
      </c>
      <c r="I85" s="106">
        <f t="shared" si="51"/>
        <v>3</v>
      </c>
      <c r="J85" s="106">
        <f t="shared" si="52"/>
        <v>0</v>
      </c>
      <c r="K85" s="106">
        <f t="shared" si="39"/>
        <v>2</v>
      </c>
      <c r="L85" s="106">
        <v>7.0</v>
      </c>
      <c r="M85" s="106">
        <f>IFERROR(__xludf.DUMMYFUNCTION("counta(iferror(filter(L$2:L84,E$2:E84=E85,L$2:L84&lt;L85)))"),1.0)</f>
        <v>1</v>
      </c>
      <c r="N85" s="106">
        <f>IFERROR(__xludf.DUMMYFUNCTION("counta(iferror(filter(L86:L$121,E86:E$121=E85,L86:L$624&gt;L85)))"),0.0)</f>
        <v>0</v>
      </c>
      <c r="O85" s="152"/>
      <c r="P85" s="106" t="b">
        <f>IFERROR(__xludf.DUMMYFUNCTION("if(F85="""","""",let(wc_picked, countifs(E$1:E84,E85,G$1:G84,""This is your wild card pick""), let(spots_filled,counta(unique(filter(D$2:E85,E$2:E85=E85)))/2,let(total,VLOOKUP(E85,'Conf WC Eligibility'!A:C,3,0),if(E85=""zIndependent"", TRUE,total-wc_picke"&amp;"d&gt;12)))))"),FALSE)</f>
        <v>0</v>
      </c>
      <c r="Q85" s="107">
        <f t="array" ref="Q85:AB85">XLOOKUP(F85,'Current Week'!C:C,'Current Week'!D:O)</f>
        <v>7</v>
      </c>
      <c r="R85" s="106">
        <v>5.0</v>
      </c>
      <c r="S85" s="106" t="s">
        <v>697</v>
      </c>
      <c r="T85" s="106" t="s">
        <v>61</v>
      </c>
      <c r="U85" s="106" t="s">
        <v>311</v>
      </c>
      <c r="V85" s="106"/>
      <c r="W85" s="106" t="s">
        <v>67</v>
      </c>
      <c r="X85" s="106">
        <v>-11.5</v>
      </c>
      <c r="Y85" s="106" t="s">
        <v>67</v>
      </c>
      <c r="Z85" s="106">
        <v>51.5</v>
      </c>
      <c r="AA85" s="106">
        <v>351.0</v>
      </c>
      <c r="AB85" s="106">
        <v>333.0</v>
      </c>
      <c r="AC85" s="108" t="b">
        <v>1</v>
      </c>
      <c r="AD85" s="109">
        <f t="shared" si="4"/>
        <v>-3</v>
      </c>
      <c r="AE85" s="110">
        <f t="shared" si="5"/>
        <v>29</v>
      </c>
      <c r="AF85" s="110">
        <f>IFERROR(__xludf.DUMMYFUNCTION("iferror(COUNT(filter($Q86:$Q$400,$Q86:$Q$400&gt;$Q85)))"),9.0)</f>
        <v>9</v>
      </c>
      <c r="AG85" s="111">
        <f t="shared" si="6"/>
        <v>0</v>
      </c>
      <c r="AH85" s="112">
        <f t="shared" si="7"/>
        <v>5</v>
      </c>
      <c r="AI85" s="113" t="str">
        <f>IFERROR(__xludf.DUMMYFUNCTION("iferror(join("","",index(sort(filter($F86:$F$401,$Q86:$Q$401&gt;$Q85),2,false),0,1)))"),"Houston,San Diego State,Virginia,Pittsburgh,Vanderbilt,New Mexico,Kennesaw State,Wake Forest,Arizona")</f>
        <v>Houston,San Diego State,Virginia,Pittsburgh,Vanderbilt,New Mexico,Kennesaw State,Wake Forest,Arizona</v>
      </c>
      <c r="AJ85" s="114">
        <f>IFERROR(__xludf.DUMMYFUNCTION("iferror($Q85-max(filter($Q85:$Q$400,$E85:$E$400=$E$2)))"),1.0)</f>
        <v>1</v>
      </c>
      <c r="AK85" s="110">
        <f t="shared" si="8"/>
        <v>1</v>
      </c>
      <c r="AL85" s="110">
        <f>IFERROR(__xludf.DUMMYFUNCTION("iferror(COUNT(filter($Q86:$Q$400,$Q86:$Q$400&gt;$Q85,$E85:$E$400=$E$2)))"),0.0)</f>
        <v>0</v>
      </c>
      <c r="AM85" s="111">
        <f t="shared" si="9"/>
        <v>0</v>
      </c>
      <c r="AN85" s="110">
        <f>IFERROR(__xludf.DUMMYFUNCTION("iferror($Q85-min(filter($Q85:$Q$400,$E85:$E$400=$E$2)))"),5.0)</f>
        <v>5</v>
      </c>
      <c r="AO85" s="113" t="str">
        <f>IFERROR(__xludf.DUMMYFUNCTION("iferror(join("","",index(sort(filter($F86:$F$400,$Q86:$Q$400&gt;$Q85,$E86:$E$400=$E$2),2,false),0,1)))"),"")</f>
        <v/>
      </c>
      <c r="AP85" s="113" t="str">
        <f>IFERROR(__xludf.DUMMYFUNCTION("REGEXREPLACE(join("","",unique({let(conf_picked,filter(E$1:E84,D$1:D84=D85), byrow(unique(TRANSPOSe(Teams!$1:$1)),lambda(rw,if(ISERROR(match(rw,conf_picked,0)),rw,))));if(AW85,,transpose(split(AX85,"","",1,1)))})), ""^,"", """")"),"Big 12,CUSA,MWC,Pac12,Sun Belt,zIndependent")</f>
        <v>Big 12,CUSA,MWC,Pac12,Sun Belt,zIndependent</v>
      </c>
      <c r="AQ85" s="114">
        <f>IFERROR(__xludf.DUMMYFUNCTION("iferror($Q85-max(filter($Q85:$Q$400,arrayformula(isnumber(FIND($E85:$E$400,AP85))))))"),-2.0)</f>
        <v>-2</v>
      </c>
      <c r="AR85" s="110">
        <f t="array" ref="AR85">countifs($Q$2:$Q84,"&lt;"&amp;$Q85,isnumber(FIND($E$2:$E84,AP85)),TRUE)</f>
        <v>13</v>
      </c>
      <c r="AS85" s="110">
        <f>IFERROR(__xludf.DUMMYFUNCTION("iferror(COUNT(filter($Q86:$Q$400,$Q86:$Q$400&gt;$Q85,arrayformula(isnumber(FIND($E86:$E$400,AP85))))))"),5.0)</f>
        <v>5</v>
      </c>
      <c r="AT85" s="111">
        <f t="shared" si="10"/>
        <v>0</v>
      </c>
      <c r="AU85" s="110">
        <f>IFERROR(__xludf.DUMMYFUNCTION("iferror($Q85-min(filter($Q85:$Q$400,arrayformula(isnumber(FIND($E85:$E$400,AP85))))))"),6.0)</f>
        <v>6</v>
      </c>
      <c r="AV85" s="113" t="str">
        <f>IFERROR(__xludf.DUMMYFUNCTION("iferror(join("","",index(sort(filter($F86:$F$400,$Q86:$Q$400&gt;$Q85,arrayformula(isnumber(FIND($E86:$E$400,AP85)))),2,false),0,1)))"),"Houston,San Diego State,New Mexico,Kennesaw State,Arizona")</f>
        <v>Houston,San Diego State,New Mexico,Kennesaw State,Arizona</v>
      </c>
      <c r="AW85" s="113" t="b">
        <f>IFERROR(__xludf.DUMMYFUNCTION("isnumber(find(""wild card"",join("","",filter($G$1:$G84,$D$1:$D84=D85))))"),TRUE)</f>
        <v>1</v>
      </c>
      <c r="AX85" s="113" t="str">
        <f>IFERROR(__xludf.DUMMYFUNCTION("join("","",let(confs,unique(TRANSPOSe(Teams!$1:$1)), confs_count, BYROW(confs,lambda(conf,xlookup(conf,'Conf WC Eligibility'!A:A,'Conf WC Eligibility'!C:C,,))),confs_picked,byrow(confs,lambda(conf,countif(E$1:E84,conf))),p_needs_conf_count,byrow(confs,lam"&amp;"bda(conf,counta('Draft Order'!B$2:B622)-COUNTUNIQUE(filter(D$2:D84,E$2:E84=conf)))),query({confs,confs_count,confs_picked,p_needs_conf_count},""select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6">
      <c r="A86" s="101">
        <v>85.0</v>
      </c>
      <c r="B86" s="101">
        <v>8.0</v>
      </c>
      <c r="C86" s="101">
        <v>1.0</v>
      </c>
      <c r="D86" s="103" t="str">
        <f t="array" ref="D86:D97">index(sort('Draft Order'!$A$2:$B$13,1,0),0,2)</f>
        <v>Nico</v>
      </c>
      <c r="E86" s="104" t="str">
        <f>if(F86&lt;&gt;"",VLOOKUP(F86,offset('Teams-Conference'!A:B,0,(counta('Draft Order'!B$2:B622)-10)*2),2,0),"")</f>
        <v>MWC</v>
      </c>
      <c r="F86" s="105" t="s">
        <v>187</v>
      </c>
      <c r="G86" s="106" t="str">
        <f t="shared" si="1"/>
        <v>Regular Pick</v>
      </c>
      <c r="H86" s="106">
        <f t="shared" ref="H86:H87" si="53">countif(E87:E96,E86)</f>
        <v>2</v>
      </c>
      <c r="I86" s="106">
        <f t="shared" ref="I86:I88" si="54">countif(E87:E107,E86)</f>
        <v>2</v>
      </c>
      <c r="J86" s="106">
        <f t="shared" ref="J86:J95" si="55">countif(E77:E85,E86)</f>
        <v>0</v>
      </c>
      <c r="K86" s="106">
        <f t="shared" si="39"/>
        <v>4</v>
      </c>
      <c r="L86" s="106">
        <v>4.0</v>
      </c>
      <c r="M86" s="106">
        <f>IFERROR(__xludf.DUMMYFUNCTION("counta(iferror(filter(L$2:L85,E$2:E85=E86,L$2:L85&lt;L86)))"),2.0)</f>
        <v>2</v>
      </c>
      <c r="N86" s="106">
        <f>IFERROR(__xludf.DUMMYFUNCTION("counta(iferror(filter(L87:L$121,E87:E$121=E86,L87:L$624&gt;L86)))"),0.0)</f>
        <v>0</v>
      </c>
      <c r="O86" s="106"/>
      <c r="P86" s="106" t="b">
        <f>IFERROR(__xludf.DUMMYFUNCTION("if(F86="""","""",let(wc_picked, countifs(E$1:E85,E86,G$1:G85,""This is your wild card pick""), let(spots_filled,counta(unique(filter(D$2:E86,E$2:E86=E86)))/2,let(total,VLOOKUP(E86,'Conf WC Eligibility'!A:C,3,0),if(E86=""zIndependent"", TRUE,total-wc_picke"&amp;"d&gt;12)))))"),FALSE)</f>
        <v>0</v>
      </c>
      <c r="Q86" s="107">
        <f t="array" ref="Q86:AB86">XLOOKUP(F86,'Current Week'!C:C,'Current Week'!D:O)</f>
        <v>4</v>
      </c>
      <c r="R86" s="106">
        <v>8.0</v>
      </c>
      <c r="S86" s="106" t="s">
        <v>721</v>
      </c>
      <c r="T86" s="106" t="s">
        <v>61</v>
      </c>
      <c r="U86" s="106" t="s">
        <v>96</v>
      </c>
      <c r="V86" s="106"/>
      <c r="W86" s="106" t="s">
        <v>67</v>
      </c>
      <c r="X86" s="106">
        <v>7.5</v>
      </c>
      <c r="Y86" s="106" t="s">
        <v>67</v>
      </c>
      <c r="Z86" s="106">
        <v>44.5</v>
      </c>
      <c r="AA86" s="106">
        <v>192.0</v>
      </c>
      <c r="AB86" s="106">
        <v>246.0</v>
      </c>
      <c r="AC86" s="108" t="b">
        <v>1</v>
      </c>
      <c r="AD86" s="109">
        <f t="shared" si="4"/>
        <v>-6</v>
      </c>
      <c r="AE86" s="110">
        <f t="shared" si="5"/>
        <v>4</v>
      </c>
      <c r="AF86" s="110">
        <f>IFERROR(__xludf.DUMMYFUNCTION("iferror(COUNT(filter($Q87:$Q$400,$Q87:$Q$400&gt;$Q86)))"),26.0)</f>
        <v>26</v>
      </c>
      <c r="AG86" s="111">
        <f t="shared" si="6"/>
        <v>0</v>
      </c>
      <c r="AH86" s="112">
        <f t="shared" si="7"/>
        <v>2</v>
      </c>
      <c r="AI86" s="113" t="str">
        <f>IFERROR(__xludf.DUMMYFUNCTION("iferror(join("","",index(sort(filter($F87:$F$401,$Q87:$Q$401&gt;$Q86),2,false),0,1)))"),"Houston,San Diego State,Coastal Carolina,Virginia,Utah State,NC State,California,Missouri State,Marshall,Pittsburgh,Rutgers,Arkansas State,Vanderbilt,Delaware,New Mexico,Kennesaw State,Rice,Temple,Wake Forest,Arizona,Northwestern,Kent State,Washington Sta"&amp;"te,Kentucky,Mississippi State,Southern Mississippi")</f>
        <v>Houston,San Diego State,Coastal Carolina,Virginia,Utah State,NC State,California,Missouri State,Marshall,Pittsburgh,Rutgers,Arkansas State,Vanderbilt,Delaware,New Mexico,Kennesaw State,Rice,Temple,Wake Forest,Arizona,Northwestern,Kent State,Washington State,Kentucky,Mississippi State,Southern Mississippi</v>
      </c>
      <c r="AJ86" s="114">
        <f>IFERROR(__xludf.DUMMYFUNCTION("iferror($Q86-max(filter($Q86:$Q$400,$E86:$E$400=$E$2)))"),-2.0)</f>
        <v>-2</v>
      </c>
      <c r="AK86" s="110">
        <f t="shared" si="8"/>
        <v>0</v>
      </c>
      <c r="AL86" s="110">
        <f>IFERROR(__xludf.DUMMYFUNCTION("iferror(COUNT(filter($Q87:$Q$400,$Q87:$Q$400&gt;$Q86,$E86:$E$400=$E$2)))"),0.0)</f>
        <v>0</v>
      </c>
      <c r="AM86" s="111">
        <f t="shared" si="9"/>
        <v>0</v>
      </c>
      <c r="AN86" s="110">
        <f>IFERROR(__xludf.DUMMYFUNCTION("iferror($Q86-min(filter($Q86:$Q$400,$E86:$E$400=$E$2)))"),2.0)</f>
        <v>2</v>
      </c>
      <c r="AO86" s="113" t="str">
        <f>IFERROR(__xludf.DUMMYFUNCTION("iferror(join("","",index(sort(filter($F87:$F$400,$Q87:$Q$400&gt;$Q86,$E87:$E$400=$E$2),2,false),0,1)))"),"Rutgers,Northwestern")</f>
        <v>Rutgers,Northwestern</v>
      </c>
      <c r="AP86" s="113" t="str">
        <f>IFERROR(__xludf.DUMMYFUNCTION("REGEXREPLACE(join("","",unique({let(conf_picked,filter(E$1:E85,D$1:D85=D86), byrow(unique(TRANSPOSe(Teams!$1:$1)),lambda(rw,if(ISERROR(match(rw,conf_picked,0)),rw,))));if(AW86,,transpose(split(AX86,"","",1,1)))})), ""^,"", """")"),"Big 12,MWC,Pac12,Sun Belt,zIndependent")</f>
        <v>Big 12,MWC,Pac12,Sun Belt,zIndependent</v>
      </c>
      <c r="AQ86" s="114">
        <f>IFERROR(__xludf.DUMMYFUNCTION("iferror($Q86-max(filter($Q86:$Q$400,arrayformula(isnumber(FIND($E86:$E$400,AP86))))))"),-5.0)</f>
        <v>-5</v>
      </c>
      <c r="AR86" s="110">
        <f t="array" ref="AR86">countifs($Q$2:$Q85,"&lt;"&amp;$Q86,isnumber(FIND($E$2:$E85,AP86)),TRUE)</f>
        <v>2</v>
      </c>
      <c r="AS86" s="110">
        <f>IFERROR(__xludf.DUMMYFUNCTION("iferror(COUNT(filter($Q87:$Q$400,$Q87:$Q$400&gt;$Q86,arrayformula(isnumber(FIND($E87:$E$400,AP86))))))"),10.0)</f>
        <v>10</v>
      </c>
      <c r="AT86" s="111">
        <f t="shared" si="10"/>
        <v>0</v>
      </c>
      <c r="AU86" s="110">
        <f>IFERROR(__xludf.DUMMYFUNCTION("iferror($Q86-min(filter($Q86:$Q$400,arrayformula(isnumber(FIND($E86:$E$400,AP86))))))"),3.0)</f>
        <v>3</v>
      </c>
      <c r="AV86" s="113" t="str">
        <f>IFERROR(__xludf.DUMMYFUNCTION("iferror(join("","",index(sort(filter($F87:$F$400,$Q87:$Q$400&gt;$Q86,arrayformula(isnumber(FIND($E87:$E$400,AP86)))),2,false),0,1)))"),"Houston,San Diego State,Coastal Carolina,Utah State,Marshall,Arkansas State,New Mexico,Arizona,Washington State,Southern Mississippi")</f>
        <v>Houston,San Diego State,Coastal Carolina,Utah State,Marshall,Arkansas State,New Mexico,Arizona,Washington State,Southern Mississippi</v>
      </c>
      <c r="AW86" s="113" t="b">
        <f>IFERROR(__xludf.DUMMYFUNCTION("isnumber(find(""wild card"",join("","",filter($G$1:$G85,$D$1:$D85=D86))))"),TRUE)</f>
        <v>1</v>
      </c>
      <c r="AX86" s="113" t="str">
        <f>IFERROR(__xludf.DUMMYFUNCTION("join("","",let(confs,unique(TRANSPOSe(Teams!$1:$1)), confs_count, BYROW(confs,lambda(conf,xlookup(conf,'Conf WC Eligibility'!A:A,'Conf WC Eligibility'!C:C,,))),confs_picked,byrow(confs,lambda(conf,countif(E$1:E85,conf))),p_needs_conf_count,byrow(confs,lam"&amp;"bda(conf,counta('Draft Order'!B$2:B622)-COUNTUNIQUE(filter(D$2:D85,E$2:E85=conf)))),query({confs,confs_count,confs_picked,p_needs_conf_count},""select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7">
      <c r="A87" s="1">
        <v>86.0</v>
      </c>
      <c r="B87" s="1">
        <v>8.0</v>
      </c>
      <c r="C87" s="1">
        <v>2.0</v>
      </c>
      <c r="D87" s="115" t="s">
        <v>395</v>
      </c>
      <c r="E87" s="116" t="str">
        <f>if(F87&lt;&gt;"",VLOOKUP(F87,offset('Teams-Conference'!A:B,0,(counta('Draft Order'!B$2:B622)-10)*2),2,0),"")</f>
        <v>Big 12</v>
      </c>
      <c r="F87" s="117" t="s">
        <v>101</v>
      </c>
      <c r="G87" s="106" t="str">
        <f t="shared" si="1"/>
        <v>Regular Pick</v>
      </c>
      <c r="H87" s="106">
        <f t="shared" si="53"/>
        <v>1</v>
      </c>
      <c r="I87" s="106">
        <f t="shared" si="54"/>
        <v>2</v>
      </c>
      <c r="J87" s="106">
        <f t="shared" si="55"/>
        <v>2</v>
      </c>
      <c r="K87" s="106">
        <f t="shared" si="39"/>
        <v>2</v>
      </c>
      <c r="L87" s="106">
        <v>9.0</v>
      </c>
      <c r="M87" s="106">
        <f>IFERROR(__xludf.DUMMYFUNCTION("counta(iferror(filter(L$2:L86,E$2:E86=E87,L$2:L86&lt;L87)))"),8.0)</f>
        <v>8</v>
      </c>
      <c r="N87" s="106">
        <f>IFERROR(__xludf.DUMMYFUNCTION("counta(iferror(filter(L88:L$121,E88:E$121=E87,L88:L$624&gt;L87)))"),0.0)</f>
        <v>0</v>
      </c>
      <c r="O87" s="106"/>
      <c r="P87" s="106" t="b">
        <f>IFERROR(__xludf.DUMMYFUNCTION("if(F87="""","""",let(wc_picked, countifs(E$1:E86,E87,G$1:G86,""This is your wild card pick""), let(spots_filled,counta(unique(filter(D$2:E87,E$2:E87=E87)))/2,let(total,VLOOKUP(E87,'Conf WC Eligibility'!A:C,3,0),if(E87=""zIndependent"", TRUE,total-wc_picke"&amp;"d&gt;12)))))"),TRUE)</f>
        <v>1</v>
      </c>
      <c r="Q87" s="107">
        <f t="array" ref="Q87:AB87">XLOOKUP(F87,'Current Week'!C:C,'Current Week'!D:O)</f>
        <v>9</v>
      </c>
      <c r="R87" s="106">
        <v>3.0</v>
      </c>
      <c r="S87" s="106" t="s">
        <v>766</v>
      </c>
      <c r="T87" s="106" t="s">
        <v>61</v>
      </c>
      <c r="U87" s="106" t="s">
        <v>249</v>
      </c>
      <c r="V87" s="106"/>
      <c r="W87" s="106" t="s">
        <v>67</v>
      </c>
      <c r="X87" s="106">
        <v>2.5</v>
      </c>
      <c r="Y87" s="106" t="s">
        <v>67</v>
      </c>
      <c r="Z87" s="106">
        <v>58.5</v>
      </c>
      <c r="AA87" s="106">
        <v>340.0</v>
      </c>
      <c r="AB87" s="106">
        <v>262.0</v>
      </c>
      <c r="AC87" s="108" t="b">
        <v>1</v>
      </c>
      <c r="AD87" s="109">
        <f t="shared" si="4"/>
        <v>-1</v>
      </c>
      <c r="AE87" s="110">
        <f t="shared" si="5"/>
        <v>60</v>
      </c>
      <c r="AF87" s="110">
        <f>IFERROR(__xludf.DUMMYFUNCTION("iferror(COUNT(filter($Q88:$Q$400,$Q88:$Q$400&gt;$Q87)))"),2.0)</f>
        <v>2</v>
      </c>
      <c r="AG87" s="111">
        <f t="shared" si="6"/>
        <v>0</v>
      </c>
      <c r="AH87" s="112">
        <f t="shared" si="7"/>
        <v>7</v>
      </c>
      <c r="AI87" s="113" t="str">
        <f>IFERROR(__xludf.DUMMYFUNCTION("iferror(join("","",index(sort(filter($F88:$F$401,$Q88:$Q$401&gt;$Q87),2,false),0,1)))"),"Virginia,Vanderbilt")</f>
        <v>Virginia,Vanderbilt</v>
      </c>
      <c r="AJ87" s="114">
        <f>IFERROR(__xludf.DUMMYFUNCTION("iferror($Q87-max(filter($Q87:$Q$400,$E87:$E$400=$E$2)))"),3.0)</f>
        <v>3</v>
      </c>
      <c r="AK87" s="110">
        <f t="shared" si="8"/>
        <v>6</v>
      </c>
      <c r="AL87" s="110">
        <f>IFERROR(__xludf.DUMMYFUNCTION("iferror(COUNT(filter($Q88:$Q$400,$Q88:$Q$400&gt;$Q87,$E87:$E$400=$E$2)))"),0.0)</f>
        <v>0</v>
      </c>
      <c r="AM87" s="111">
        <f t="shared" si="9"/>
        <v>0</v>
      </c>
      <c r="AN87" s="110">
        <f>IFERROR(__xludf.DUMMYFUNCTION("iferror($Q87-min(filter($Q87:$Q$400,$E87:$E$400=$E$2)))"),7.0)</f>
        <v>7</v>
      </c>
      <c r="AO87" s="113" t="str">
        <f>IFERROR(__xludf.DUMMYFUNCTION("iferror(join("","",index(sort(filter($F88:$F$400,$Q88:$Q$400&gt;$Q87,$E88:$E$400=$E$2),2,false),0,1)))"),"")</f>
        <v/>
      </c>
      <c r="AP87" s="113" t="str">
        <f>IFERROR(__xludf.DUMMYFUNCTION("REGEXREPLACE(join("","",unique({let(conf_picked,filter(E$1:E86,D$1:D86=D87), byrow(unique(TRANSPOSe(Teams!$1:$1)),lambda(rw,if(ISERROR(match(rw,conf_picked,0)),rw,))));if(AW87,,transpose(split(AX87,"","",1,1)))})), ""^,"", """")"),"Big 12,Big Ten,Pac12,SEC")</f>
        <v>Big 12,Big Ten,Pac12,SEC</v>
      </c>
      <c r="AQ87" s="114">
        <f>IFERROR(__xludf.DUMMYFUNCTION("iferror($Q87-max(filter($Q87:$Q$400,arrayformula(isnumber(FIND($E87:$E$400,AP87))))))"),-1.0)</f>
        <v>-1</v>
      </c>
      <c r="AR87" s="110">
        <f t="array" ref="AR87">countifs($Q$2:$Q86,"&lt;"&amp;$Q87,isnumber(FIND($E$2:$E86,AP87)),TRUE)</f>
        <v>20</v>
      </c>
      <c r="AS87" s="110">
        <f>IFERROR(__xludf.DUMMYFUNCTION("iferror(COUNT(filter($Q88:$Q$400,$Q88:$Q$400&gt;$Q87,arrayformula(isnumber(FIND($E88:$E$400,AP87))))))"),1.0)</f>
        <v>1</v>
      </c>
      <c r="AT87" s="111">
        <f t="shared" si="10"/>
        <v>0</v>
      </c>
      <c r="AU87" s="110">
        <f>IFERROR(__xludf.DUMMYFUNCTION("iferror($Q87-min(filter($Q87:$Q$400,arrayformula(isnumber(FIND($E87:$E$400,AP87))))))"),8.0)</f>
        <v>8</v>
      </c>
      <c r="AV87" s="113" t="str">
        <f>IFERROR(__xludf.DUMMYFUNCTION("iferror(join("","",index(sort(filter($F88:$F$400,$Q88:$Q$400&gt;$Q87,arrayformula(isnumber(FIND($E88:$E$400,AP87)))),2,false),0,1)))"),"Vanderbilt")</f>
        <v>Vanderbilt</v>
      </c>
      <c r="AW87" s="113" t="b">
        <f>IFERROR(__xludf.DUMMYFUNCTION("isnumber(find(""wild card"",join("","",filter($G$1:$G86,$D$1:$D86=D87))))"),TRUE)</f>
        <v>1</v>
      </c>
      <c r="AX87" s="113" t="str">
        <f>IFERROR(__xludf.DUMMYFUNCTION("join("","",let(confs,unique(TRANSPOSe(Teams!$1:$1)), confs_count, BYROW(confs,lambda(conf,xlookup(conf,'Conf WC Eligibility'!A:A,'Conf WC Eligibility'!C:C,,))),confs_picked,byrow(confs,lambda(conf,countif(E$1:E86,conf))),p_needs_conf_count,byrow(confs,lam"&amp;"bda(conf,counta('Draft Order'!B$2:B622)-COUNTUNIQUE(filter(D$2:D86,E$2:E86=conf)))),query({confs,confs_count,confs_picked,p_needs_conf_count},""select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8">
      <c r="A88" s="1">
        <v>87.0</v>
      </c>
      <c r="B88" s="1">
        <v>8.0</v>
      </c>
      <c r="C88" s="1">
        <v>3.0</v>
      </c>
      <c r="D88" s="118" t="s">
        <v>249</v>
      </c>
      <c r="E88" s="116" t="str">
        <f>if(F88&lt;&gt;"",VLOOKUP(F88,offset('Teams-Conference'!A:B,0,(counta('Draft Order'!B$2:B622)-10)*2),2,0),"")</f>
        <v>MWC</v>
      </c>
      <c r="F88" s="77" t="s">
        <v>183</v>
      </c>
      <c r="G88" s="106" t="str">
        <f t="shared" si="1"/>
        <v>Regular Pick</v>
      </c>
      <c r="H88" s="106">
        <f t="shared" ref="H88:H97" si="56">countif(E89:E97,E88)</f>
        <v>1</v>
      </c>
      <c r="I88" s="106">
        <f t="shared" si="54"/>
        <v>1</v>
      </c>
      <c r="J88" s="106">
        <f t="shared" si="55"/>
        <v>1</v>
      </c>
      <c r="K88" s="106">
        <f t="shared" si="39"/>
        <v>3</v>
      </c>
      <c r="L88" s="106">
        <v>9.0</v>
      </c>
      <c r="M88" s="106">
        <f>IFERROR(__xludf.DUMMYFUNCTION("counta(iferror(filter(L$2:L87,E$2:E87=E88,L$2:L87&lt;L88)))"),7.0)</f>
        <v>7</v>
      </c>
      <c r="N88" s="106">
        <f>IFERROR(__xludf.DUMMYFUNCTION("counta(iferror(filter(L89:L$121,E89:E$121=E88,L89:L$624&gt;L88)))"),0.0)</f>
        <v>0</v>
      </c>
      <c r="O88" s="106"/>
      <c r="P88" s="106" t="b">
        <f>IFERROR(__xludf.DUMMYFUNCTION("if(F88="""","""",let(wc_picked, countifs(E$1:E87,E88,G$1:G87,""This is your wild card pick""), let(spots_filled,counta(unique(filter(D$2:E88,E$2:E88=E88)))/2,let(total,VLOOKUP(E88,'Conf WC Eligibility'!A:C,3,0),if(E88=""zIndependent"", TRUE,total-wc_picke"&amp;"d&gt;12)))))"),FALSE)</f>
        <v>0</v>
      </c>
      <c r="Q88" s="107">
        <f t="array" ref="Q88:AB88">XLOOKUP(F88,'Current Week'!C:C,'Current Week'!D:O)</f>
        <v>9</v>
      </c>
      <c r="R88" s="106">
        <v>3.0</v>
      </c>
      <c r="S88" s="106" t="s">
        <v>688</v>
      </c>
      <c r="T88" s="106" t="s">
        <v>597</v>
      </c>
      <c r="U88" s="106" t="s">
        <v>193</v>
      </c>
      <c r="V88" s="106"/>
      <c r="W88" s="106" t="s">
        <v>67</v>
      </c>
      <c r="X88" s="106">
        <v>-1.5</v>
      </c>
      <c r="Y88" s="106" t="s">
        <v>67</v>
      </c>
      <c r="Z88" s="106">
        <v>41.5</v>
      </c>
      <c r="AA88" s="106">
        <v>296.0</v>
      </c>
      <c r="AB88" s="106">
        <v>151.0</v>
      </c>
      <c r="AC88" s="108" t="b">
        <v>1</v>
      </c>
      <c r="AD88" s="109">
        <f t="shared" si="4"/>
        <v>-1</v>
      </c>
      <c r="AE88" s="110">
        <f t="shared" si="5"/>
        <v>60</v>
      </c>
      <c r="AF88" s="110">
        <f>IFERROR(__xludf.DUMMYFUNCTION("iferror(COUNT(filter($Q89:$Q$400,$Q89:$Q$400&gt;$Q88)))"),2.0)</f>
        <v>2</v>
      </c>
      <c r="AG88" s="111">
        <f t="shared" si="6"/>
        <v>0</v>
      </c>
      <c r="AH88" s="112">
        <f t="shared" si="7"/>
        <v>7</v>
      </c>
      <c r="AI88" s="113" t="str">
        <f>IFERROR(__xludf.DUMMYFUNCTION("iferror(join("","",index(sort(filter($F89:$F$401,$Q89:$Q$401&gt;$Q88),2,false),0,1)))"),"Virginia,Vanderbilt")</f>
        <v>Virginia,Vanderbilt</v>
      </c>
      <c r="AJ88" s="114">
        <f>IFERROR(__xludf.DUMMYFUNCTION("iferror($Q88-max(filter($Q88:$Q$400,$E88:$E$400=$E$2)))"),3.0)</f>
        <v>3</v>
      </c>
      <c r="AK88" s="110">
        <f t="shared" si="8"/>
        <v>6</v>
      </c>
      <c r="AL88" s="110">
        <f>IFERROR(__xludf.DUMMYFUNCTION("iferror(COUNT(filter($Q89:$Q$400,$Q89:$Q$400&gt;$Q88,$E88:$E$400=$E$2)))"),0.0)</f>
        <v>0</v>
      </c>
      <c r="AM88" s="111">
        <f t="shared" si="9"/>
        <v>0</v>
      </c>
      <c r="AN88" s="110">
        <f>IFERROR(__xludf.DUMMYFUNCTION("iferror($Q88-min(filter($Q88:$Q$400,$E88:$E$400=$E$2)))"),7.0)</f>
        <v>7</v>
      </c>
      <c r="AO88" s="113" t="str">
        <f>IFERROR(__xludf.DUMMYFUNCTION("iferror(join("","",index(sort(filter($F89:$F$400,$Q89:$Q$400&gt;$Q88,$E89:$E$400=$E$2),2,false),0,1)))"),"")</f>
        <v/>
      </c>
      <c r="AP88" s="113" t="str">
        <f>IFERROR(__xludf.DUMMYFUNCTION("REGEXREPLACE(join("","",unique({let(conf_picked,filter(E$1:E87,D$1:D87=D88), byrow(unique(TRANSPOSe(Teams!$1:$1)),lambda(rw,if(ISERROR(match(rw,conf_picked,0)),rw,))));if(AW88,,transpose(split(AX88,"","",1,1)))})), ""^,"", """")"),"AAC,,MWC,Pac12,Sun Belt,zIndependent")</f>
        <v>AAC,,MWC,Pac12,Sun Belt,zIndependent</v>
      </c>
      <c r="AQ88" s="114">
        <f>IFERROR(__xludf.DUMMYFUNCTION("iferror($Q88-max(filter($Q88:$Q$400,arrayformula(isnumber(FIND($E88:$E$400,AP88))))))"),0.0)</f>
        <v>0</v>
      </c>
      <c r="AR88" s="110">
        <f t="array" ref="AR88">countifs($Q$2:$Q87,"&lt;"&amp;$Q88,isnumber(FIND($E$2:$E87,AP88)),TRUE)</f>
        <v>18</v>
      </c>
      <c r="AS88" s="110">
        <f>IFERROR(__xludf.DUMMYFUNCTION("iferror(COUNT(filter($Q89:$Q$400,$Q89:$Q$400&gt;$Q88,arrayformula(isnumber(FIND($E89:$E$400,AP88))))))"),0.0)</f>
        <v>0</v>
      </c>
      <c r="AT88" s="111">
        <f t="shared" si="10"/>
        <v>1</v>
      </c>
      <c r="AU88" s="110">
        <f>IFERROR(__xludf.DUMMYFUNCTION("iferror($Q88-min(filter($Q88:$Q$400,arrayformula(isnumber(FIND($E88:$E$400,AP88))))))"),8.0)</f>
        <v>8</v>
      </c>
      <c r="AV88" s="113" t="str">
        <f>IFERROR(__xludf.DUMMYFUNCTION("iferror(join("","",index(sort(filter($F89:$F$400,$Q89:$Q$400&gt;$Q88,arrayformula(isnumber(FIND($E89:$E$400,AP88)))),2,false),0,1)))"),"")</f>
        <v/>
      </c>
      <c r="AW88" s="113" t="b">
        <f>IFERROR(__xludf.DUMMYFUNCTION("isnumber(find(""wild card"",join("","",filter($G$1:$G87,$D$1:$D87=D88))))"),TRUE)</f>
        <v>1</v>
      </c>
      <c r="AX88" s="113" t="str">
        <f>IFERROR(__xludf.DUMMYFUNCTION("join("","",let(confs,unique(TRANSPOSe(Teams!$1:$1)), confs_count, BYROW(confs,lambda(conf,xlookup(conf,'Conf WC Eligibility'!A:A,'Conf WC Eligibility'!C:C,,))),confs_picked,byrow(confs,lambda(conf,countif(E$1:E87,conf))),p_needs_conf_count,byrow(confs,lam"&amp;"bda(conf,counta('Draft Order'!B$2:B622)-COUNTUNIQUE(filter(D$2:D87,E$2:E87=conf)))),query({confs,confs_count,confs_picked,p_needs_conf_count},""select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89">
      <c r="A89" s="1">
        <v>88.0</v>
      </c>
      <c r="B89" s="1">
        <v>8.0</v>
      </c>
      <c r="C89" s="1">
        <v>4.0</v>
      </c>
      <c r="D89" s="115" t="s">
        <v>156</v>
      </c>
      <c r="E89" s="116" t="str">
        <f>if(F89&lt;&gt;"",VLOOKUP(F89,offset('Teams-Conference'!A:B,0,(counta('Draft Order'!B$2:B622)-10)*2),2,0),"")</f>
        <v>Sun Belt</v>
      </c>
      <c r="F89" s="77" t="s">
        <v>223</v>
      </c>
      <c r="G89" s="106" t="str">
        <f t="shared" si="1"/>
        <v>Regular Pick</v>
      </c>
      <c r="H89" s="106">
        <f t="shared" si="56"/>
        <v>0</v>
      </c>
      <c r="I89" s="106">
        <f t="shared" ref="I89:I97" si="57">countif(E90:E109,E89)</f>
        <v>2</v>
      </c>
      <c r="J89" s="106">
        <f t="shared" si="55"/>
        <v>1</v>
      </c>
      <c r="K89" s="106">
        <f t="shared" si="39"/>
        <v>1</v>
      </c>
      <c r="L89" s="106">
        <v>6.0</v>
      </c>
      <c r="M89" s="106">
        <f>IFERROR(__xludf.DUMMYFUNCTION("counta(iferror(filter(L$2:L88,E$2:E88=E89,L$2:L88&lt;L89)))"),2.0)</f>
        <v>2</v>
      </c>
      <c r="N89" s="106">
        <f>IFERROR(__xludf.DUMMYFUNCTION("counta(iferror(filter(L90:L$121,E90:E$121=E89,L90:L$624&gt;L89)))"),0.0)</f>
        <v>0</v>
      </c>
      <c r="O89" s="106"/>
      <c r="P89" s="106" t="b">
        <f>IFERROR(__xludf.DUMMYFUNCTION("if(F89="""","""",let(wc_picked, countifs(E$1:E88,E89,G$1:G88,""This is your wild card pick""), let(spots_filled,counta(unique(filter(D$2:E89,E$2:E89=E89)))/2,let(total,VLOOKUP(E89,'Conf WC Eligibility'!A:C,3,0),if(E89=""zIndependent"", TRUE,total-wc_picke"&amp;"d&gt;12)))))"),TRUE)</f>
        <v>1</v>
      </c>
      <c r="Q89" s="107">
        <f t="array" ref="Q89:AB89">XLOOKUP(F89,'Current Week'!C:C,'Current Week'!D:O)</f>
        <v>6</v>
      </c>
      <c r="R89" s="106">
        <v>6.0</v>
      </c>
      <c r="S89" s="106" t="s">
        <v>748</v>
      </c>
      <c r="T89" s="106" t="s">
        <v>61</v>
      </c>
      <c r="U89" s="106" t="s">
        <v>395</v>
      </c>
      <c r="V89" s="106"/>
      <c r="W89" s="106" t="s">
        <v>67</v>
      </c>
      <c r="X89" s="106">
        <v>21.5</v>
      </c>
      <c r="Y89" s="106" t="s">
        <v>67</v>
      </c>
      <c r="Z89" s="106">
        <v>53.5</v>
      </c>
      <c r="AA89" s="106">
        <v>274.0</v>
      </c>
      <c r="AB89" s="106">
        <v>407.0</v>
      </c>
      <c r="AC89" s="108" t="b">
        <v>1</v>
      </c>
      <c r="AD89" s="109">
        <f t="shared" si="4"/>
        <v>-4</v>
      </c>
      <c r="AE89" s="110">
        <f t="shared" si="5"/>
        <v>22</v>
      </c>
      <c r="AF89" s="110">
        <f>IFERROR(__xludf.DUMMYFUNCTION("iferror(COUNT(filter($Q90:$Q$400,$Q90:$Q$400&gt;$Q89)))"),11.0)</f>
        <v>11</v>
      </c>
      <c r="AG89" s="111">
        <f t="shared" si="6"/>
        <v>0</v>
      </c>
      <c r="AH89" s="112">
        <f t="shared" si="7"/>
        <v>4</v>
      </c>
      <c r="AI89" s="113" t="str">
        <f>IFERROR(__xludf.DUMMYFUNCTION("iferror(join("","",index(sort(filter($F90:$F$401,$Q90:$Q$401&gt;$Q89),2,false),0,1)))"),"Virginia,NC State,California,Missouri State,Pittsburgh,Vanderbilt,New Mexico,Kennesaw State,Wake Forest,Arizona,Southern Mississippi")</f>
        <v>Virginia,NC State,California,Missouri State,Pittsburgh,Vanderbilt,New Mexico,Kennesaw State,Wake Forest,Arizona,Southern Mississippi</v>
      </c>
      <c r="AJ89" s="114">
        <f>IFERROR(__xludf.DUMMYFUNCTION("iferror($Q89-max(filter($Q89:$Q$400,$E89:$E$400=$E$2)))"),0.0)</f>
        <v>0</v>
      </c>
      <c r="AK89" s="110">
        <f t="shared" si="8"/>
        <v>0</v>
      </c>
      <c r="AL89" s="110">
        <f>IFERROR(__xludf.DUMMYFUNCTION("iferror(COUNT(filter($Q90:$Q$400,$Q90:$Q$400&gt;$Q89,$E89:$E$400=$E$2)))"),0.0)</f>
        <v>0</v>
      </c>
      <c r="AM89" s="111">
        <f t="shared" si="9"/>
        <v>1</v>
      </c>
      <c r="AN89" s="110">
        <f>IFERROR(__xludf.DUMMYFUNCTION("iferror($Q89-min(filter($Q89:$Q$400,$E89:$E$400=$E$2)))"),4.0)</f>
        <v>4</v>
      </c>
      <c r="AO89" s="113" t="str">
        <f>IFERROR(__xludf.DUMMYFUNCTION("iferror(join("","",index(sort(filter($F90:$F$400,$Q90:$Q$400&gt;$Q89,$E90:$E$400=$E$2),2,false),0,1)))"),"")</f>
        <v/>
      </c>
      <c r="AP89" s="113" t="str">
        <f>IFERROR(__xludf.DUMMYFUNCTION("REGEXREPLACE(join("","",unique({let(conf_picked,filter(E$1:E88,D$1:D88=D89), byrow(unique(TRANSPOSe(Teams!$1:$1)),lambda(rw,if(ISERROR(match(rw,conf_picked,0)),rw,))));if(AW89,,transpose(split(AX89,"","",1,1)))})), ""^,"", """")"),"MWC,Pac12,Sun Belt,zIndependent,AAC,ACC,Big 12,Big Ten,MAC,SEC")</f>
        <v>MWC,Pac12,Sun Belt,zIndependent,AAC,ACC,Big 12,Big Ten,MAC,SEC</v>
      </c>
      <c r="AQ89" s="114">
        <f>IFERROR(__xludf.DUMMYFUNCTION("iferror($Q89-max(filter($Q89:$Q$400,arrayformula(isnumber(FIND($E89:$E$400,AP89))))))"),-4.0)</f>
        <v>-4</v>
      </c>
      <c r="AR89" s="110">
        <f t="array" ref="AR89">countifs($Q$2:$Q88,"&lt;"&amp;$Q89,isnumber(FIND($E$2:$E88,AP89)),TRUE)</f>
        <v>21</v>
      </c>
      <c r="AS89" s="110">
        <f>IFERROR(__xludf.DUMMYFUNCTION("iferror(COUNT(filter($Q90:$Q$400,$Q90:$Q$400&gt;$Q89,arrayformula(isnumber(FIND($E90:$E$400,AP89))))))"),9.0)</f>
        <v>9</v>
      </c>
      <c r="AT89" s="111">
        <f t="shared" si="10"/>
        <v>0</v>
      </c>
      <c r="AU89" s="110">
        <f>IFERROR(__xludf.DUMMYFUNCTION("iferror($Q89-min(filter($Q89:$Q$400,arrayformula(isnumber(FIND($E89:$E$400,AP89))))))"),6.0)</f>
        <v>6</v>
      </c>
      <c r="AV89" s="113" t="str">
        <f>IFERROR(__xludf.DUMMYFUNCTION("iferror(join("","",index(sort(filter($F90:$F$400,$Q90:$Q$400&gt;$Q89,arrayformula(isnumber(FIND($E90:$E$400,AP89)))),2,false),0,1)))"),"Virginia,NC State,California,Pittsburgh,Vanderbilt,New Mexico,Wake Forest,Arizona,Southern Mississippi")</f>
        <v>Virginia,NC State,California,Pittsburgh,Vanderbilt,New Mexico,Wake Forest,Arizona,Southern Mississippi</v>
      </c>
      <c r="AW89" s="113" t="b">
        <f>IFERROR(__xludf.DUMMYFUNCTION("isnumber(find(""wild card"",join("","",filter($G$1:$G88,$D$1:$D88=D89))))"),FALSE)</f>
        <v>0</v>
      </c>
      <c r="AX89" s="113" t="str">
        <f>IFERROR(__xludf.DUMMYFUNCTION("join("","",let(confs,unique(TRANSPOSe(Teams!$1:$1)), confs_count, BYROW(confs,lambda(conf,xlookup(conf,'Conf WC Eligibility'!A:A,'Conf WC Eligibility'!C:C,,))),confs_picked,byrow(confs,lambda(conf,countif(E$1:E88,conf))),p_needs_conf_count,byrow(confs,lam"&amp;"bda(conf,counta('Draft Order'!B$2:B622)-COUNTUNIQUE(filter(D$2:D88,E$2:E88=conf)))),query({confs,confs_count,confs_picked,p_needs_conf_count},""select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0">
      <c r="A90" s="1">
        <v>89.0</v>
      </c>
      <c r="B90" s="1">
        <v>8.0</v>
      </c>
      <c r="C90" s="1">
        <v>5.0</v>
      </c>
      <c r="D90" s="115" t="s">
        <v>238</v>
      </c>
      <c r="E90" s="116" t="str">
        <f>if(F90&lt;&gt;"",VLOOKUP(F90,offset('Teams-Conference'!A:B,0,(counta('Draft Order'!B$2:B622)-10)*2),2,0),"")</f>
        <v>CUSA</v>
      </c>
      <c r="F90" s="77" t="s">
        <v>160</v>
      </c>
      <c r="G90" s="106" t="str">
        <f t="shared" si="1"/>
        <v>Regular Pick</v>
      </c>
      <c r="H90" s="106">
        <f t="shared" si="56"/>
        <v>1</v>
      </c>
      <c r="I90" s="106">
        <f t="shared" si="57"/>
        <v>2</v>
      </c>
      <c r="J90" s="106">
        <f t="shared" si="55"/>
        <v>1</v>
      </c>
      <c r="K90" s="106">
        <f t="shared" si="39"/>
        <v>3</v>
      </c>
      <c r="L90" s="106">
        <v>2.0</v>
      </c>
      <c r="M90" s="106">
        <f>IFERROR(__xludf.DUMMYFUNCTION("counta(iferror(filter(L$2:L89,E$2:E89=E90,L$2:L89&lt;L90)))"),0.0)</f>
        <v>0</v>
      </c>
      <c r="N90" s="106">
        <f>IFERROR(__xludf.DUMMYFUNCTION("counta(iferror(filter(L91:L$121,E91:E$121=E90,L91:L$624&gt;L90)))"),0.0)</f>
        <v>0</v>
      </c>
      <c r="O90" s="106"/>
      <c r="P90" s="106" t="b">
        <f>IFERROR(__xludf.DUMMYFUNCTION("if(F90="""","""",let(wc_picked, countifs(E$1:E89,E90,G$1:G89,""This is your wild card pick""), let(spots_filled,counta(unique(filter(D$2:E90,E$2:E90=E90)))/2,let(total,VLOOKUP(E90,'Conf WC Eligibility'!A:C,3,0),if(E90=""zIndependent"", TRUE,total-wc_picke"&amp;"d&gt;12)))))"),FALSE)</f>
        <v>0</v>
      </c>
      <c r="Q90" s="107">
        <f t="array" ref="Q90:AB90">XLOOKUP(F90,'Current Week'!C:C,'Current Week'!D:O)</f>
        <v>2</v>
      </c>
      <c r="R90" s="106">
        <v>10.0</v>
      </c>
      <c r="S90" s="106" t="s">
        <v>713</v>
      </c>
      <c r="T90" s="106" t="s">
        <v>61</v>
      </c>
      <c r="U90" s="106" t="s">
        <v>224</v>
      </c>
      <c r="V90" s="106"/>
      <c r="W90" s="106" t="s">
        <v>67</v>
      </c>
      <c r="X90" s="106">
        <v>3.5</v>
      </c>
      <c r="Y90" s="106" t="s">
        <v>67</v>
      </c>
      <c r="Z90" s="106">
        <v>55.5</v>
      </c>
      <c r="AA90" s="106">
        <v>280.0</v>
      </c>
      <c r="AB90" s="106">
        <v>365.0</v>
      </c>
      <c r="AC90" s="108" t="b">
        <v>1</v>
      </c>
      <c r="AD90" s="109">
        <f t="shared" si="4"/>
        <v>-8</v>
      </c>
      <c r="AE90" s="110">
        <f t="shared" si="5"/>
        <v>0</v>
      </c>
      <c r="AF90" s="110">
        <f>IFERROR(__xludf.DUMMYFUNCTION("iferror(COUNT(filter($Q91:$Q$400,$Q91:$Q$400&gt;$Q90)))"),38.0)</f>
        <v>38</v>
      </c>
      <c r="AG90" s="111">
        <f t="shared" si="6"/>
        <v>0</v>
      </c>
      <c r="AH90" s="112">
        <f t="shared" si="7"/>
        <v>0</v>
      </c>
      <c r="AI90" s="113" t="str">
        <f>IFERROR(__xludf.DUMMYFUNCTION("iferror(join("","",index(sort(filter($F91:$F$401,$Q91:$Q$401&gt;$Q90),2,false),0,1)))"),"Virginia,Colorado,Utah State,UAB,Ball State,New Mexico State,NC State,California,Missouri State,Marshall,Michigan State,Pittsburgh,Rutgers,Arkansas State,West Virginia,Vanderbilt,Nevada,Wisconsin,Middle Tennessee,Delaware,New Mexico,UCLA,Kennesaw State,Ri"&amp;"ce,Temple,Tulsa,Stanford,Syracuse,Wake Forest,Arizona,Maryland,Northwestern,Kent State,Washington State,Kentucky,Mississippi State,Southern Mississippi,UL Monroe")</f>
        <v>Virginia,Colorado,Utah State,UAB,Ball State,New Mexico State,NC State,California,Missouri State,Marshall,Michigan State,Pittsburgh,Rutgers,Arkansas State,West Virginia,Vanderbilt,Nevada,Wisconsin,Middle Tennessee,Delaware,New Mexico,UCLA,Kennesaw State,Rice,Temple,Tulsa,Stanford,Syracuse,Wake Forest,Arizona,Maryland,Northwestern,Kent State,Washington State,Kentucky,Mississippi State,Southern Mississippi,UL Monroe</v>
      </c>
      <c r="AJ90" s="114">
        <f>IFERROR(__xludf.DUMMYFUNCTION("iferror($Q90-max(filter($Q90:$Q$400,$E90:$E$400=$E$2)))"),-4.0)</f>
        <v>-4</v>
      </c>
      <c r="AK90" s="110">
        <f t="shared" si="8"/>
        <v>0</v>
      </c>
      <c r="AL90" s="110">
        <f>IFERROR(__xludf.DUMMYFUNCTION("iferror(COUNT(filter($Q91:$Q$400,$Q91:$Q$400&gt;$Q90,$E90:$E$400=$E$2)))"),0.0)</f>
        <v>0</v>
      </c>
      <c r="AM90" s="111">
        <f t="shared" si="9"/>
        <v>0</v>
      </c>
      <c r="AN90" s="110">
        <f>IFERROR(__xludf.DUMMYFUNCTION("iferror($Q90-min(filter($Q90:$Q$400,$E90:$E$400=$E$2)))"),0.0)</f>
        <v>0</v>
      </c>
      <c r="AO90" s="113" t="str">
        <f>IFERROR(__xludf.DUMMYFUNCTION("iferror(join("","",index(sort(filter($F91:$F$400,$Q91:$Q$400&gt;$Q90,$E91:$E$400=$E$2),2,false),0,1)))"),"Michigan State,Rutgers,Wisconsin,UCLA,Maryland,Northwestern")</f>
        <v>Michigan State,Rutgers,Wisconsin,UCLA,Maryland,Northwestern</v>
      </c>
      <c r="AP90" s="113" t="str">
        <f>IFERROR(__xludf.DUMMYFUNCTION("REGEXREPLACE(join("","",unique({let(conf_picked,filter(E$1:E89,D$1:D89=D90), byrow(unique(TRANSPOSe(Teams!$1:$1)),lambda(rw,if(ISERROR(match(rw,conf_picked,0)),rw,))));if(AW90,,transpose(split(AX90,"","",1,1)))})), ""^,"", """")"),"ACC,CUSA,Pac12,zIndependent,AAC,Big 12,Big Ten,MAC,SEC,Sun Belt")</f>
        <v>ACC,CUSA,Pac12,zIndependent,AAC,Big 12,Big Ten,MAC,SEC,Sun Belt</v>
      </c>
      <c r="AQ90" s="114">
        <f>IFERROR(__xludf.DUMMYFUNCTION("iferror($Q90-max(filter($Q90:$Q$400,arrayformula(isnumber(FIND($E90:$E$400,AP90))))))"),-8.0)</f>
        <v>-8</v>
      </c>
      <c r="AR90" s="110">
        <f t="array" ref="AR90">countifs($Q$2:$Q89,"&lt;"&amp;$Q90,isnumber(FIND($E$2:$E89,AP90)),TRUE)</f>
        <v>0</v>
      </c>
      <c r="AS90" s="110">
        <f>IFERROR(__xludf.DUMMYFUNCTION("iferror(COUNT(filter($Q91:$Q$400,$Q91:$Q$400&gt;$Q90,arrayformula(isnumber(FIND($E91:$E$400,AP90))))))"),35.0)</f>
        <v>35</v>
      </c>
      <c r="AT90" s="111">
        <f t="shared" si="10"/>
        <v>0</v>
      </c>
      <c r="AU90" s="110">
        <f>IFERROR(__xludf.DUMMYFUNCTION("iferror($Q90-min(filter($Q90:$Q$400,arrayformula(isnumber(FIND($E90:$E$400,AP90))))))"),2.0)</f>
        <v>2</v>
      </c>
      <c r="AV90" s="113" t="str">
        <f>IFERROR(__xludf.DUMMYFUNCTION("iferror(join("","",index(sort(filter($F91:$F$400,$Q91:$Q$400&gt;$Q90,arrayformula(isnumber(FIND($E91:$E$400,AP90)))),2,false),0,1)))"),"Virginia,Colorado,UAB,Ball State,New Mexico State,NC State,California,Missouri State,Marshall,Michigan State,Pittsburgh,Rutgers,Arkansas State,West Virginia,Vanderbilt,Wisconsin,Middle Tennessee,Delaware,UCLA,Kennesaw State,Rice,Temple,Tulsa,Stanford,Syra"&amp;"cuse,Wake Forest,Arizona,Maryland,Northwestern,Kent State,Washington State,Kentucky,Mississippi State,Southern Mississippi,UL Monroe")</f>
        <v>Virginia,Colorado,UAB,Ball State,New Mexico State,NC State,California,Missouri State,Marshall,Michigan State,Pittsburgh,Rutgers,Arkansas State,West Virginia,Vanderbilt,Wisconsin,Middle Tennessee,Delaware,UCLA,Kennesaw State,Rice,Temple,Tulsa,Stanford,Syracuse,Wake Forest,Arizona,Maryland,Northwestern,Kent State,Washington State,Kentucky,Mississippi State,Southern Mississippi,UL Monroe</v>
      </c>
      <c r="AW90" s="113" t="b">
        <f>IFERROR(__xludf.DUMMYFUNCTION("isnumber(find(""wild card"",join("","",filter($G$1:$G89,$D$1:$D89=D90))))"),FALSE)</f>
        <v>0</v>
      </c>
      <c r="AX90" s="113" t="str">
        <f>IFERROR(__xludf.DUMMYFUNCTION("join("","",let(confs,unique(TRANSPOSe(Teams!$1:$1)), confs_count, BYROW(confs,lambda(conf,xlookup(conf,'Conf WC Eligibility'!A:A,'Conf WC Eligibility'!C:C,,))),confs_picked,byrow(confs,lambda(conf,countif(E$1:E89,conf))),p_needs_conf_count,byrow(confs,lam"&amp;"bda(conf,counta('Draft Order'!B$2:B622)-COUNTUNIQUE(filter(D$2:D89,E$2:E89=conf)))),query({confs,confs_count,confs_picked,p_needs_conf_count},""select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1">
      <c r="A91" s="1">
        <v>90.0</v>
      </c>
      <c r="B91" s="1">
        <v>8.0</v>
      </c>
      <c r="C91" s="1">
        <v>6.0</v>
      </c>
      <c r="D91" s="115" t="s">
        <v>96</v>
      </c>
      <c r="E91" s="116" t="str">
        <f>if(F91&lt;&gt;"",VLOOKUP(F91,offset('Teams-Conference'!A:B,0,(counta('Draft Order'!B$2:B622)-10)*2),2,0),"")</f>
        <v>ACC</v>
      </c>
      <c r="F91" s="117" t="s">
        <v>121</v>
      </c>
      <c r="G91" s="106" t="str">
        <f t="shared" si="1"/>
        <v>Regular Pick</v>
      </c>
      <c r="H91" s="106">
        <f t="shared" si="56"/>
        <v>2</v>
      </c>
      <c r="I91" s="106">
        <f t="shared" si="57"/>
        <v>3</v>
      </c>
      <c r="J91" s="106">
        <f t="shared" si="55"/>
        <v>1</v>
      </c>
      <c r="K91" s="106">
        <f t="shared" si="39"/>
        <v>4</v>
      </c>
      <c r="L91" s="106">
        <v>10.0</v>
      </c>
      <c r="M91" s="106">
        <f>IFERROR(__xludf.DUMMYFUNCTION("counta(iferror(filter(L$2:L90,E$2:E90=E91,L$2:L90&lt;L91)))"),8.0)</f>
        <v>8</v>
      </c>
      <c r="N91" s="106">
        <f>IFERROR(__xludf.DUMMYFUNCTION("counta(iferror(filter(L92:L$121,E92:E$121=E91,L92:L$624&gt;L91)))"),0.0)</f>
        <v>0</v>
      </c>
      <c r="O91" s="152"/>
      <c r="P91" s="106" t="b">
        <f>IFERROR(__xludf.DUMMYFUNCTION("if(F91="""","""",let(wc_picked, countifs(E$1:E90,E91,G$1:G90,""This is your wild card pick""), let(spots_filled,counta(unique(filter(D$2:E91,E$2:E91=E91)))/2,let(total,VLOOKUP(E91,'Conf WC Eligibility'!A:C,3,0),if(E91=""zIndependent"", TRUE,total-wc_picke"&amp;"d&gt;12)))))"),TRUE)</f>
        <v>1</v>
      </c>
      <c r="Q91" s="107">
        <f t="array" ref="Q91:AB91">XLOOKUP(F91,'Current Week'!C:C,'Current Week'!D:O)</f>
        <v>10</v>
      </c>
      <c r="R91" s="106">
        <v>2.0</v>
      </c>
      <c r="S91" s="106" t="s">
        <v>693</v>
      </c>
      <c r="T91" s="106" t="s">
        <v>61</v>
      </c>
      <c r="U91" s="106" t="s">
        <v>311</v>
      </c>
      <c r="V91" s="106"/>
      <c r="W91" s="106" t="s">
        <v>67</v>
      </c>
      <c r="X91" s="106">
        <v>-8.5</v>
      </c>
      <c r="Y91" s="106" t="s">
        <v>67</v>
      </c>
      <c r="Z91" s="106">
        <v>52.5</v>
      </c>
      <c r="AA91" s="106">
        <v>398.0</v>
      </c>
      <c r="AB91" s="106">
        <v>240.0</v>
      </c>
      <c r="AC91" s="108" t="b">
        <v>1</v>
      </c>
      <c r="AD91" s="109">
        <f t="shared" si="4"/>
        <v>0</v>
      </c>
      <c r="AE91" s="110">
        <f t="shared" si="5"/>
        <v>72</v>
      </c>
      <c r="AF91" s="110">
        <f>IFERROR(__xludf.DUMMYFUNCTION("iferror(COUNT(filter($Q92:$Q$400,$Q92:$Q$400&gt;$Q91)))"),0.0)</f>
        <v>0</v>
      </c>
      <c r="AG91" s="111">
        <f t="shared" si="6"/>
        <v>1</v>
      </c>
      <c r="AH91" s="112">
        <f t="shared" si="7"/>
        <v>8</v>
      </c>
      <c r="AI91" s="113" t="str">
        <f>IFERROR(__xludf.DUMMYFUNCTION("iferror(join("","",index(sort(filter($F92:$F$401,$Q92:$Q$401&gt;$Q91),2,false),0,1)))"),"")</f>
        <v/>
      </c>
      <c r="AJ91" s="114">
        <f>IFERROR(__xludf.DUMMYFUNCTION("iferror($Q91-max(filter($Q91:$Q$400,$E91:$E$400=$E$2)))"),4.0)</f>
        <v>4</v>
      </c>
      <c r="AK91" s="110">
        <f t="shared" si="8"/>
        <v>8</v>
      </c>
      <c r="AL91" s="110">
        <f>IFERROR(__xludf.DUMMYFUNCTION("iferror(COUNT(filter($Q92:$Q$400,$Q92:$Q$400&gt;$Q91,$E91:$E$400=$E$2)))"),0.0)</f>
        <v>0</v>
      </c>
      <c r="AM91" s="111">
        <f t="shared" si="9"/>
        <v>0</v>
      </c>
      <c r="AN91" s="110">
        <f>IFERROR(__xludf.DUMMYFUNCTION("iferror($Q91-min(filter($Q91:$Q$400,$E91:$E$400=$E$2)))"),8.0)</f>
        <v>8</v>
      </c>
      <c r="AO91" s="113" t="str">
        <f>IFERROR(__xludf.DUMMYFUNCTION("iferror(join("","",index(sort(filter($F92:$F$400,$Q92:$Q$400&gt;$Q91,$E92:$E$400=$E$2),2,false),0,1)))"),"")</f>
        <v/>
      </c>
      <c r="AP91" s="113" t="str">
        <f>IFERROR(__xludf.DUMMYFUNCTION("REGEXREPLACE(join("","",unique({let(conf_picked,filter(E$1:E90,D$1:D90=D91), byrow(unique(TRANSPOSe(Teams!$1:$1)),lambda(rw,if(ISERROR(match(rw,conf_picked,0)),rw,))));if(AW91,,transpose(split(AX91,"","",1,1)))})), ""^,"", """")"),"ACC,Big 12,CUSA,Pac12")</f>
        <v>ACC,Big 12,CUSA,Pac12</v>
      </c>
      <c r="AQ91" s="114">
        <f>IFERROR(__xludf.DUMMYFUNCTION("iferror($Q91-max(filter($Q91:$Q$400,arrayformula(isnumber(FIND($E91:$E$400,AP91))))))"),0.0)</f>
        <v>0</v>
      </c>
      <c r="AR91" s="110">
        <f t="array" ref="AR91">countifs($Q$2:$Q90,"&lt;"&amp;$Q91,isnumber(FIND($E$2:$E90,AP91)),TRUE)</f>
        <v>23</v>
      </c>
      <c r="AS91" s="110">
        <f>IFERROR(__xludf.DUMMYFUNCTION("iferror(COUNT(filter($Q92:$Q$400,$Q92:$Q$400&gt;$Q91,arrayformula(isnumber(FIND($E92:$E$400,AP91))))))"),0.0)</f>
        <v>0</v>
      </c>
      <c r="AT91" s="111">
        <f t="shared" si="10"/>
        <v>1</v>
      </c>
      <c r="AU91" s="110">
        <f>IFERROR(__xludf.DUMMYFUNCTION("iferror($Q91-min(filter($Q91:$Q$400,arrayformula(isnumber(FIND($E91:$E$400,AP91))))))"),9.0)</f>
        <v>9</v>
      </c>
      <c r="AV91" s="113" t="str">
        <f>IFERROR(__xludf.DUMMYFUNCTION("iferror(join("","",index(sort(filter($F92:$F$400,$Q92:$Q$400&gt;$Q91,arrayformula(isnumber(FIND($E92:$E$400,AP91)))),2,false),0,1)))"),"")</f>
        <v/>
      </c>
      <c r="AW91" s="113" t="b">
        <f>IFERROR(__xludf.DUMMYFUNCTION("isnumber(find(""wild card"",join("","",filter($G$1:$G90,$D$1:$D90=D91))))"),TRUE)</f>
        <v>1</v>
      </c>
      <c r="AX91" s="113" t="str">
        <f>IFERROR(__xludf.DUMMYFUNCTION("join("","",let(confs,unique(TRANSPOSe(Teams!$1:$1)), confs_count, BYROW(confs,lambda(conf,xlookup(conf,'Conf WC Eligibility'!A:A,'Conf WC Eligibility'!C:C,,))),confs_picked,byrow(confs,lambda(conf,countif(E$1:E90,conf))),p_needs_conf_count,byrow(confs,lam"&amp;"bda(conf,counta('Draft Order'!B$2:B622)-COUNTUNIQUE(filter(D$2:D90,E$2:E90=conf)))),query({confs,confs_count,confs_picked,p_needs_conf_count},""select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2">
      <c r="A92" s="1">
        <v>91.0</v>
      </c>
      <c r="B92" s="1">
        <v>8.0</v>
      </c>
      <c r="C92" s="1">
        <v>7.0</v>
      </c>
      <c r="D92" s="115" t="s">
        <v>224</v>
      </c>
      <c r="E92" s="116" t="str">
        <f>if(F92&lt;&gt;"",VLOOKUP(F92,offset('Teams-Conference'!A:B,0,(counta('Draft Order'!B$2:B622)-10)*2),2,0),"")</f>
        <v>Big 12</v>
      </c>
      <c r="F92" s="77" t="s">
        <v>191</v>
      </c>
      <c r="G92" s="106" t="str">
        <f t="shared" si="1"/>
        <v>This is your wild card pick</v>
      </c>
      <c r="H92" s="106">
        <f t="shared" si="56"/>
        <v>0</v>
      </c>
      <c r="I92" s="106">
        <f t="shared" si="57"/>
        <v>2</v>
      </c>
      <c r="J92" s="106">
        <f t="shared" si="55"/>
        <v>1</v>
      </c>
      <c r="K92" s="106">
        <f t="shared" si="39"/>
        <v>3</v>
      </c>
      <c r="L92" s="106">
        <v>3.0</v>
      </c>
      <c r="M92" s="106">
        <f>IFERROR(__xludf.DUMMYFUNCTION("counta(iferror(filter(L$2:L91,E$2:E91=E92,L$2:L91&lt;L92)))"),0.0)</f>
        <v>0</v>
      </c>
      <c r="N92" s="106">
        <f>IFERROR(__xludf.DUMMYFUNCTION("counta(iferror(filter(L93:L$121,E93:E$121=E92,L93:L$624&gt;L92)))"),0.0)</f>
        <v>0</v>
      </c>
      <c r="O92" s="152"/>
      <c r="P92" s="106" t="b">
        <f>IFERROR(__xludf.DUMMYFUNCTION("if(F92="""","""",let(wc_picked, countifs(E$1:E91,E92,G$1:G91,""This is your wild card pick""), let(spots_filled,counta(unique(filter(D$2:E92,E$2:E92=E92)))/2,let(total,VLOOKUP(E92,'Conf WC Eligibility'!A:C,3,0),if(E92=""zIndependent"", TRUE,total-wc_picke"&amp;"d&gt;12)))))"),TRUE)</f>
        <v>1</v>
      </c>
      <c r="Q92" s="107">
        <f t="array" ref="Q92:AB92">XLOOKUP(F92,'Current Week'!C:C,'Current Week'!D:O)</f>
        <v>3</v>
      </c>
      <c r="R92" s="106">
        <v>9.0</v>
      </c>
      <c r="S92" s="106" t="s">
        <v>650</v>
      </c>
      <c r="T92" s="106" t="s">
        <v>61</v>
      </c>
      <c r="U92" s="106" t="s">
        <v>62</v>
      </c>
      <c r="V92" s="106"/>
      <c r="W92" s="106" t="s">
        <v>67</v>
      </c>
      <c r="X92" s="106">
        <v>16.5</v>
      </c>
      <c r="Y92" s="106" t="s">
        <v>67</v>
      </c>
      <c r="Z92" s="106">
        <v>50.5</v>
      </c>
      <c r="AA92" s="106">
        <v>251.0</v>
      </c>
      <c r="AB92" s="106">
        <v>366.0</v>
      </c>
      <c r="AC92" s="108" t="b">
        <v>1</v>
      </c>
      <c r="AD92" s="109">
        <f t="shared" si="4"/>
        <v>-7</v>
      </c>
      <c r="AE92" s="110">
        <f t="shared" si="5"/>
        <v>2</v>
      </c>
      <c r="AF92" s="110">
        <f>IFERROR(__xludf.DUMMYFUNCTION("iferror(COUNT(filter($Q93:$Q$400,$Q93:$Q$400&gt;$Q92)))"),31.0)</f>
        <v>31</v>
      </c>
      <c r="AG92" s="111">
        <f t="shared" si="6"/>
        <v>0</v>
      </c>
      <c r="AH92" s="112">
        <f t="shared" si="7"/>
        <v>1</v>
      </c>
      <c r="AI92" s="113" t="str">
        <f>IFERROR(__xludf.DUMMYFUNCTION("iferror(join("","",index(sort(filter($F93:$F$401,$Q93:$Q$401&gt;$Q92),2,false),0,1)))"),"Utah State,UAB,Ball State,New Mexico State,NC State,California,Missouri State,Marshall,Michigan State,Pittsburgh,Rutgers,Arkansas State,West Virginia,Vanderbilt,Wisconsin,Delaware,New Mexico,Kennesaw State,Rice,Temple,Tulsa,Stanford,Wake Forest,Arizona,Ma"&amp;"ryland,Northwestern,Kent State,Washington State,Kentucky,Mississippi State,Southern Mississippi")</f>
        <v>Utah State,UAB,Ball State,New Mexico State,NC State,California,Missouri State,Marshall,Michigan State,Pittsburgh,Rutgers,Arkansas State,West Virginia,Vanderbilt,Wisconsin,Delaware,New Mexico,Kennesaw State,Rice,Temple,Tulsa,Stanford,Wake Forest,Arizona,Maryland,Northwestern,Kent State,Washington State,Kentucky,Mississippi State,Southern Mississippi</v>
      </c>
      <c r="AJ92" s="114">
        <f>IFERROR(__xludf.DUMMYFUNCTION("iferror($Q92-max(filter($Q92:$Q$400,$E92:$E$400=$E$2)))"),-3.0)</f>
        <v>-3</v>
      </c>
      <c r="AK92" s="110">
        <f t="shared" si="8"/>
        <v>0</v>
      </c>
      <c r="AL92" s="110">
        <f>IFERROR(__xludf.DUMMYFUNCTION("iferror(COUNT(filter($Q93:$Q$400,$Q93:$Q$400&gt;$Q92,$E92:$E$400=$E$2)))"),0.0)</f>
        <v>0</v>
      </c>
      <c r="AM92" s="111">
        <f t="shared" si="9"/>
        <v>0</v>
      </c>
      <c r="AN92" s="110">
        <f>IFERROR(__xludf.DUMMYFUNCTION("iferror($Q92-min(filter($Q92:$Q$400,$E92:$E$400=$E$2)))"),1.0)</f>
        <v>1</v>
      </c>
      <c r="AO92" s="113" t="str">
        <f>IFERROR(__xludf.DUMMYFUNCTION("iferror(join("","",index(sort(filter($F93:$F$400,$Q93:$Q$400&gt;$Q92,$E93:$E$400=$E$2),2,false),0,1)))"),"Michigan State,Rutgers,Wisconsin,Maryland,Northwestern")</f>
        <v>Michigan State,Rutgers,Wisconsin,Maryland,Northwestern</v>
      </c>
      <c r="AP92" s="113" t="str">
        <f>IFERROR(__xludf.DUMMYFUNCTION("REGEXREPLACE(join("","",unique({let(conf_picked,filter(E$1:E91,D$1:D91=D92), byrow(unique(TRANSPOSe(Teams!$1:$1)),lambda(rw,if(ISERROR(match(rw,conf_picked,0)),rw,))));if(AW92,,transpose(split(AX92,"","",1,1)))})), ""^,"", """")"),"Big Ten,CUSA,Pac12,zIndependent,AAC,ACC,Big 12,MAC,SEC,Sun Belt")</f>
        <v>Big Ten,CUSA,Pac12,zIndependent,AAC,ACC,Big 12,MAC,SEC,Sun Belt</v>
      </c>
      <c r="AQ92" s="114">
        <f>IFERROR(__xludf.DUMMYFUNCTION("iferror($Q92-max(filter($Q92:$Q$400,arrayformula(isnumber(FIND($E92:$E$400,AP92))))))"),-7.0)</f>
        <v>-7</v>
      </c>
      <c r="AR92" s="110">
        <f t="array" ref="AR92">countifs($Q$2:$Q91,"&lt;"&amp;$Q92,isnumber(FIND($E$2:$E91,AP92)),TRUE)</f>
        <v>1</v>
      </c>
      <c r="AS92" s="110">
        <f>IFERROR(__xludf.DUMMYFUNCTION("iferror(COUNT(filter($Q93:$Q$400,$Q93:$Q$400&gt;$Q92,arrayformula(isnumber(FIND($E93:$E$400,AP92))))))"),29.0)</f>
        <v>29</v>
      </c>
      <c r="AT92" s="111">
        <f t="shared" si="10"/>
        <v>0</v>
      </c>
      <c r="AU92" s="110">
        <f>IFERROR(__xludf.DUMMYFUNCTION("iferror($Q92-min(filter($Q92:$Q$400,arrayformula(isnumber(FIND($E92:$E$400,AP92))))))"),3.0)</f>
        <v>3</v>
      </c>
      <c r="AV92" s="113" t="str">
        <f>IFERROR(__xludf.DUMMYFUNCTION("iferror(join("","",index(sort(filter($F93:$F$400,$Q93:$Q$400&gt;$Q92,arrayformula(isnumber(FIND($E93:$E$400,AP92)))),2,false),0,1)))"),"UAB,Ball State,New Mexico State,NC State,California,Missouri State,Marshall,Michigan State,Pittsburgh,Rutgers,Arkansas State,West Virginia,Vanderbilt,Wisconsin,Delaware,Kennesaw State,Rice,Temple,Tulsa,Stanford,Wake Forest,Arizona,Maryland,Northwestern,Ke"&amp;"nt State,Washington State,Kentucky,Mississippi State,Southern Mississippi")</f>
        <v>UAB,Ball State,New Mexico State,NC State,California,Missouri State,Marshall,Michigan State,Pittsburgh,Rutgers,Arkansas State,West Virginia,Vanderbilt,Wisconsin,Delaware,Kennesaw State,Rice,Temple,Tulsa,Stanford,Wake Forest,Arizona,Maryland,Northwestern,Kent State,Washington State,Kentucky,Mississippi State,Southern Mississippi</v>
      </c>
      <c r="AW92" s="113" t="b">
        <f>IFERROR(__xludf.DUMMYFUNCTION("isnumber(find(""wild card"",join("","",filter($G$1:$G91,$D$1:$D91=D92))))"),FALSE)</f>
        <v>0</v>
      </c>
      <c r="AX92" s="113" t="str">
        <f>IFERROR(__xludf.DUMMYFUNCTION("join("","",let(confs,unique(TRANSPOSe(Teams!$1:$1)), confs_count, BYROW(confs,lambda(conf,xlookup(conf,'Conf WC Eligibility'!A:A,'Conf WC Eligibility'!C:C,,))),confs_picked,byrow(confs,lambda(conf,countif(E$1:E91,conf))),p_needs_conf_count,byrow(confs,lam"&amp;"bda(conf,counta('Draft Order'!B$2:B622)-COUNTUNIQUE(filter(D$2:D91,E$2:E91=conf)))),query({confs,confs_count,confs_picked,p_needs_conf_count},""select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3">
      <c r="A93" s="1">
        <v>92.0</v>
      </c>
      <c r="B93" s="1">
        <v>8.0</v>
      </c>
      <c r="C93" s="1">
        <v>8.0</v>
      </c>
      <c r="D93" s="115" t="s">
        <v>311</v>
      </c>
      <c r="E93" s="116" t="str">
        <f>if(F93&lt;&gt;"",VLOOKUP(F93,offset('Teams-Conference'!A:B,0,(counta('Draft Order'!B$2:B622)-10)*2),2,0),"")</f>
        <v>MWC</v>
      </c>
      <c r="F93" s="77" t="s">
        <v>186</v>
      </c>
      <c r="G93" s="106" t="str">
        <f t="shared" si="1"/>
        <v>Regular Pick</v>
      </c>
      <c r="H93" s="106">
        <f t="shared" si="56"/>
        <v>0</v>
      </c>
      <c r="I93" s="106">
        <f t="shared" si="57"/>
        <v>1</v>
      </c>
      <c r="J93" s="106">
        <f t="shared" si="55"/>
        <v>2</v>
      </c>
      <c r="K93" s="106">
        <f t="shared" si="39"/>
        <v>0</v>
      </c>
      <c r="L93" s="106">
        <v>6.0</v>
      </c>
      <c r="M93" s="106">
        <f>IFERROR(__xludf.DUMMYFUNCTION("counta(iferror(filter(L$2:L92,E$2:E92=E93,L$2:L92&lt;L93)))"),4.0)</f>
        <v>4</v>
      </c>
      <c r="N93" s="106">
        <f>IFERROR(__xludf.DUMMYFUNCTION("counta(iferror(filter(L94:L$121,E94:E$121=E93,L94:L$624&gt;L93)))"),0.0)</f>
        <v>0</v>
      </c>
      <c r="O93" s="152"/>
      <c r="P93" s="106" t="b">
        <f>IFERROR(__xludf.DUMMYFUNCTION("if(F93="""","""",let(wc_picked, countifs(E$1:E92,E93,G$1:G92,""This is your wild card pick""), let(spots_filled,counta(unique(filter(D$2:E93,E$2:E93=E93)))/2,let(total,VLOOKUP(E93,'Conf WC Eligibility'!A:C,3,0),if(E93=""zIndependent"", TRUE,total-wc_picke"&amp;"d&gt;12)))))"),FALSE)</f>
        <v>0</v>
      </c>
      <c r="Q93" s="107">
        <f t="array" ref="Q93:AB93">XLOOKUP(F93,'Current Week'!C:C,'Current Week'!D:O)</f>
        <v>6</v>
      </c>
      <c r="R93" s="106">
        <v>6.0</v>
      </c>
      <c r="S93" s="106" t="s">
        <v>570</v>
      </c>
      <c r="T93" s="106" t="s">
        <v>61</v>
      </c>
      <c r="U93" s="106" t="s">
        <v>95</v>
      </c>
      <c r="V93" s="106"/>
      <c r="W93" s="106" t="s">
        <v>67</v>
      </c>
      <c r="X93" s="106">
        <v>2.5</v>
      </c>
      <c r="Y93" s="106" t="s">
        <v>67</v>
      </c>
      <c r="Z93" s="106">
        <v>55.5</v>
      </c>
      <c r="AA93" s="106">
        <v>381.0</v>
      </c>
      <c r="AB93" s="106">
        <v>339.0</v>
      </c>
      <c r="AC93" s="108" t="b">
        <v>1</v>
      </c>
      <c r="AD93" s="109">
        <f t="shared" si="4"/>
        <v>-4</v>
      </c>
      <c r="AE93" s="110">
        <f t="shared" si="5"/>
        <v>24</v>
      </c>
      <c r="AF93" s="110">
        <f>IFERROR(__xludf.DUMMYFUNCTION("iferror(COUNT(filter($Q94:$Q$400,$Q94:$Q$400&gt;$Q93)))"),10.0)</f>
        <v>10</v>
      </c>
      <c r="AG93" s="111">
        <f t="shared" si="6"/>
        <v>0</v>
      </c>
      <c r="AH93" s="112">
        <f t="shared" si="7"/>
        <v>4</v>
      </c>
      <c r="AI93" s="113" t="str">
        <f>IFERROR(__xludf.DUMMYFUNCTION("iferror(join("","",index(sort(filter($F94:$F$401,$Q94:$Q$401&gt;$Q93),2,false),0,1)))"),"NC State,California,Missouri State,Pittsburgh,Vanderbilt,New Mexico,Kennesaw State,Wake Forest,Arizona,Southern Mississippi")</f>
        <v>NC State,California,Missouri State,Pittsburgh,Vanderbilt,New Mexico,Kennesaw State,Wake Forest,Arizona,Southern Mississippi</v>
      </c>
      <c r="AJ93" s="114">
        <f>IFERROR(__xludf.DUMMYFUNCTION("iferror($Q93-max(filter($Q93:$Q$400,$E93:$E$400=$E$2)))"),0.0)</f>
        <v>0</v>
      </c>
      <c r="AK93" s="110">
        <f t="shared" si="8"/>
        <v>0</v>
      </c>
      <c r="AL93" s="110">
        <f>IFERROR(__xludf.DUMMYFUNCTION("iferror(COUNT(filter($Q94:$Q$400,$Q94:$Q$400&gt;$Q93,$E93:$E$400=$E$2)))"),0.0)</f>
        <v>0</v>
      </c>
      <c r="AM93" s="111">
        <f t="shared" si="9"/>
        <v>1</v>
      </c>
      <c r="AN93" s="110">
        <f>IFERROR(__xludf.DUMMYFUNCTION("iferror($Q93-min(filter($Q93:$Q$400,$E93:$E$400=$E$2)))"),4.0)</f>
        <v>4</v>
      </c>
      <c r="AO93" s="113" t="str">
        <f>IFERROR(__xludf.DUMMYFUNCTION("iferror(join("","",index(sort(filter($F94:$F$400,$Q94:$Q$400&gt;$Q93,$E94:$E$400=$E$2),2,false),0,1)))"),"")</f>
        <v/>
      </c>
      <c r="AP93" s="113" t="str">
        <f>IFERROR(__xludf.DUMMYFUNCTION("REGEXREPLACE(join("","",unique({let(conf_picked,filter(E$1:E92,D$1:D92=D93), byrow(unique(TRANSPOSe(Teams!$1:$1)),lambda(rw,if(ISERROR(match(rw,conf_picked,0)),rw,))));if(AW93,,transpose(split(AX93,"","",1,1)))})), ""^,"", """")"),"CUSA,MWC,Pac12,Sun Belt,zIndependent")</f>
        <v>CUSA,MWC,Pac12,Sun Belt,zIndependent</v>
      </c>
      <c r="AQ93" s="114">
        <f>IFERROR(__xludf.DUMMYFUNCTION("iferror($Q93-max(filter($Q93:$Q$400,arrayformula(isnumber(FIND($E93:$E$400,AP93))))))"),-3.0)</f>
        <v>-3</v>
      </c>
      <c r="AR93" s="110">
        <f t="array" ref="AR93">countifs($Q$2:$Q92,"&lt;"&amp;$Q93,isnumber(FIND($E$2:$E92,AP93)),TRUE)</f>
        <v>8</v>
      </c>
      <c r="AS93" s="110">
        <f>IFERROR(__xludf.DUMMYFUNCTION("iferror(COUNT(filter($Q94:$Q$400,$Q94:$Q$400&gt;$Q93,arrayformula(isnumber(FIND($E94:$E$400,AP93))))))"),4.0)</f>
        <v>4</v>
      </c>
      <c r="AT93" s="111">
        <f t="shared" si="10"/>
        <v>0</v>
      </c>
      <c r="AU93" s="110">
        <f>IFERROR(__xludf.DUMMYFUNCTION("iferror($Q93-min(filter($Q93:$Q$400,arrayformula(isnumber(FIND($E93:$E$400,AP93))))))"),5.0)</f>
        <v>5</v>
      </c>
      <c r="AV93" s="113" t="str">
        <f>IFERROR(__xludf.DUMMYFUNCTION("iferror(join("","",index(sort(filter($F94:$F$400,$Q94:$Q$400&gt;$Q93,arrayformula(isnumber(FIND($E94:$E$400,AP93)))),2,false),0,1)))"),"Missouri State,New Mexico,Kennesaw State,Southern Mississippi")</f>
        <v>Missouri State,New Mexico,Kennesaw State,Southern Mississippi</v>
      </c>
      <c r="AW93" s="113" t="b">
        <f>IFERROR(__xludf.DUMMYFUNCTION("isnumber(find(""wild card"",join("","",filter($G$1:$G92,$D$1:$D92=D93))))"),TRUE)</f>
        <v>1</v>
      </c>
      <c r="AX93" s="113" t="str">
        <f>IFERROR(__xludf.DUMMYFUNCTION("join("","",let(confs,unique(TRANSPOSe(Teams!$1:$1)), confs_count, BYROW(confs,lambda(conf,xlookup(conf,'Conf WC Eligibility'!A:A,'Conf WC Eligibility'!C:C,,))),confs_picked,byrow(confs,lambda(conf,countif(E$1:E92,conf))),p_needs_conf_count,byrow(confs,lam"&amp;"bda(conf,counta('Draft Order'!B$2:B622)-COUNTUNIQUE(filter(D$2:D92,E$2:E92=conf)))),query({confs,confs_count,confs_picked,p_needs_conf_count},""select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4">
      <c r="A94" s="1">
        <v>93.0</v>
      </c>
      <c r="B94" s="1">
        <v>8.0</v>
      </c>
      <c r="C94" s="1">
        <v>9.0</v>
      </c>
      <c r="D94" s="115" t="s">
        <v>193</v>
      </c>
      <c r="E94" s="116" t="str">
        <f>if(F94&lt;&gt;"",VLOOKUP(F94,offset('Teams-Conference'!A:B,0,(counta('Draft Order'!B$2:B622)-10)*2),2,0),"")</f>
        <v>Pac12</v>
      </c>
      <c r="F94" s="77" t="s">
        <v>194</v>
      </c>
      <c r="G94" s="106" t="str">
        <f>if(F94="","",let(wc_check,or(COUNTIFS(E$1:E94,"="&amp;E94,D$1:D94,"="&amp;D94)&gt;1,E94="zIndependent",E94="Pac12"),let(error_text, if(F93="","ERROR: Previous pick is blank.   ","")&amp;if(match(F94,F:F,0)&lt;ROW(F94),"ERROR: Team already selected in row " &amp; ROW(F94)&amp;".  ","")&amp;if(and(wc_check,countIFS(G$1:G93,"This is your wild card pick",D$1:D93,"="&amp;D94)&gt;0),"ERROR: Player picked from this conference more than once and already made their wild card pick.  ","")&amp;if(and(wc_check,not(P94)),"ERROR: This conference is not eligible for a wild card pick.",""),if(error_text="",if(wc_check,"This is your wild card pick","Regular Pick"),error_text))))</f>
        <v>This is your wild card pick</v>
      </c>
      <c r="H94" s="106">
        <f t="shared" si="56"/>
        <v>0</v>
      </c>
      <c r="I94" s="106">
        <f t="shared" si="57"/>
        <v>0</v>
      </c>
      <c r="J94" s="106">
        <f t="shared" si="55"/>
        <v>0</v>
      </c>
      <c r="K94" s="106">
        <f t="shared" si="39"/>
        <v>0</v>
      </c>
      <c r="L94" s="106">
        <v>2.0</v>
      </c>
      <c r="M94" s="106">
        <f>IFERROR(__xludf.DUMMYFUNCTION("counta(iferror(filter(L$2:L93,E$2:E93=E94,L$2:L93&lt;L94)))"),0.0)</f>
        <v>0</v>
      </c>
      <c r="N94" s="106">
        <f>IFERROR(__xludf.DUMMYFUNCTION("counta(iferror(filter(L95:L$121,E95:E$121=E94,L95:L$624&gt;L94)))"),0.0)</f>
        <v>0</v>
      </c>
      <c r="O94" s="152"/>
      <c r="P94" s="106" t="b">
        <f>IFERROR(__xludf.DUMMYFUNCTION("if(F94="""","""",let(wc_picked, countifs(E$1:E93,E94,G$1:G93,""This is your wild card pick""), let(spots_filled,counta(unique(filter(D$2:E94,E$2:E94=E94)))/2,let(total,VLOOKUP(E94,'Conf WC Eligibility'!A:C,3,0),if(or(E94=""zIndependent"", E94=""Pac12""),T"&amp;"RUE,total-wc_picked&gt;12)))))"),TRUE)</f>
        <v>1</v>
      </c>
      <c r="Q94" s="107">
        <f t="array" ref="Q94:AB94">XLOOKUP(F94,'Current Week'!C:C,'Current Week'!D:O)</f>
        <v>2</v>
      </c>
      <c r="R94" s="106">
        <v>10.0</v>
      </c>
      <c r="S94" s="106" t="s">
        <v>679</v>
      </c>
      <c r="T94" s="106" t="s">
        <v>61</v>
      </c>
      <c r="U94" s="106" t="s">
        <v>493</v>
      </c>
      <c r="V94" s="106"/>
      <c r="W94" s="106" t="s">
        <v>67</v>
      </c>
      <c r="X94" s="106">
        <v>13.5</v>
      </c>
      <c r="Y94" s="106" t="s">
        <v>67</v>
      </c>
      <c r="Z94" s="106">
        <v>43.5</v>
      </c>
      <c r="AA94" s="106">
        <v>218.0</v>
      </c>
      <c r="AB94" s="106">
        <v>353.0</v>
      </c>
      <c r="AC94" s="108" t="b">
        <v>1</v>
      </c>
      <c r="AD94" s="109">
        <f t="shared" si="4"/>
        <v>-8</v>
      </c>
      <c r="AE94" s="110">
        <f t="shared" si="5"/>
        <v>0</v>
      </c>
      <c r="AF94" s="110">
        <f>IFERROR(__xludf.DUMMYFUNCTION("iferror(COUNT(filter($Q95:$Q$400,$Q95:$Q$400&gt;$Q94)))"),35.0)</f>
        <v>35</v>
      </c>
      <c r="AG94" s="111">
        <f t="shared" si="6"/>
        <v>0</v>
      </c>
      <c r="AH94" s="112">
        <f t="shared" si="7"/>
        <v>0</v>
      </c>
      <c r="AI94" s="113" t="str">
        <f>IFERROR(__xludf.DUMMYFUNCTION("iferror(join("","",index(sort(filter($F95:$F$401,$Q95:$Q$401&gt;$Q94),2,false),0,1)))"),"UAB,Ball State,New Mexico State,NC State,California,Missouri State,Marshall,Michigan State,Pittsburgh,Rutgers,Arkansas State,West Virginia,Vanderbilt,Nevada,Wisconsin,Middle Tennessee,Delaware,New Mexico,UCLA,Kennesaw State,Rice,Temple,Tulsa,Stanford,Syra"&amp;"cuse,Wake Forest,Arizona,Maryland,Northwestern,Kent State,Washington State,Kentucky,Mississippi State,Southern Mississippi,UL Monroe")</f>
        <v>UAB,Ball State,New Mexico State,NC State,California,Missouri State,Marshall,Michigan State,Pittsburgh,Rutgers,Arkansas State,West Virginia,Vanderbilt,Nevada,Wisconsin,Middle Tennessee,Delaware,New Mexico,UCLA,Kennesaw State,Rice,Temple,Tulsa,Stanford,Syracuse,Wake Forest,Arizona,Maryland,Northwestern,Kent State,Washington State,Kentucky,Mississippi State,Southern Mississippi,UL Monroe</v>
      </c>
      <c r="AJ94" s="114">
        <f>IFERROR(__xludf.DUMMYFUNCTION("iferror($Q94-max(filter($Q94:$Q$400,$E94:$E$400=$E$2)))"),-4.0)</f>
        <v>-4</v>
      </c>
      <c r="AK94" s="110">
        <f t="shared" si="8"/>
        <v>0</v>
      </c>
      <c r="AL94" s="110">
        <f>IFERROR(__xludf.DUMMYFUNCTION("iferror(COUNT(filter($Q95:$Q$400,$Q95:$Q$400&gt;$Q94,$E94:$E$400=$E$2)))"),0.0)</f>
        <v>0</v>
      </c>
      <c r="AM94" s="111">
        <f t="shared" si="9"/>
        <v>0</v>
      </c>
      <c r="AN94" s="110">
        <f>IFERROR(__xludf.DUMMYFUNCTION("iferror($Q94-min(filter($Q94:$Q$400,$E94:$E$400=$E$2)))"),0.0)</f>
        <v>0</v>
      </c>
      <c r="AO94" s="113" t="str">
        <f>IFERROR(__xludf.DUMMYFUNCTION("iferror(join("","",index(sort(filter($F95:$F$400,$Q95:$Q$400&gt;$Q94,$E95:$E$400=$E$2),2,false),0,1)))"),"Michigan State,Rutgers,Wisconsin,UCLA,Maryland,Northwestern")</f>
        <v>Michigan State,Rutgers,Wisconsin,UCLA,Maryland,Northwestern</v>
      </c>
      <c r="AP94" s="113" t="str">
        <f>IFERROR(__xludf.DUMMYFUNCTION("REGEXREPLACE(join("","",unique({let(conf_picked,filter(E$1:E93,D$1:D93=D94), byrow(unique(TRANSPOSe(Teams!$1:$1)),lambda(rw,if(ISERROR(match(rw,conf_picked,0)),rw,))));if(AW94,,transpose(split(AX94,"","",1,1)))})), ""^,"", """")"),"CUSA,MWC,Pac12,zIndependent,AAC,ACC,Big 12,Big Ten,MAC,SEC,Sun Belt")</f>
        <v>CUSA,MWC,Pac12,zIndependent,AAC,ACC,Big 12,Big Ten,MAC,SEC,Sun Belt</v>
      </c>
      <c r="AQ94" s="114">
        <f>IFERROR(__xludf.DUMMYFUNCTION("iferror($Q94-max(filter($Q94:$Q$400,arrayformula(isnumber(FIND($E94:$E$400,AP94))))))"),-8.0)</f>
        <v>-8</v>
      </c>
      <c r="AR94" s="110">
        <f t="array" ref="AR94">countifs($Q$2:$Q93,"&lt;"&amp;$Q94,isnumber(FIND($E$2:$E93,AP94)),TRUE)</f>
        <v>0</v>
      </c>
      <c r="AS94" s="110">
        <f>IFERROR(__xludf.DUMMYFUNCTION("iferror(COUNT(filter($Q95:$Q$400,$Q95:$Q$400&gt;$Q94,arrayformula(isnumber(FIND($E95:$E$400,AP94))))))"),35.0)</f>
        <v>35</v>
      </c>
      <c r="AT94" s="111">
        <f t="shared" si="10"/>
        <v>0</v>
      </c>
      <c r="AU94" s="110">
        <f>IFERROR(__xludf.DUMMYFUNCTION("iferror($Q94-min(filter($Q94:$Q$400,arrayformula(isnumber(FIND($E94:$E$400,AP94))))))"),2.0)</f>
        <v>2</v>
      </c>
      <c r="AV94" s="113" t="str">
        <f>IFERROR(__xludf.DUMMYFUNCTION("iferror(join("","",index(sort(filter($F95:$F$400,$Q95:$Q$400&gt;$Q94,arrayformula(isnumber(FIND($E95:$E$400,AP94)))),2,false),0,1)))"),"UAB,Ball State,New Mexico State,NC State,California,Missouri State,Marshall,Michigan State,Pittsburgh,Rutgers,Arkansas State,West Virginia,Vanderbilt,Nevada,Wisconsin,Middle Tennessee,Delaware,New Mexico,UCLA,Kennesaw State,Rice,Temple,Tulsa,Stanford,Syra"&amp;"cuse,Wake Forest,Arizona,Maryland,Northwestern,Kent State,Washington State,Kentucky,Mississippi State,Southern Mississippi,UL Monroe")</f>
        <v>UAB,Ball State,New Mexico State,NC State,California,Missouri State,Marshall,Michigan State,Pittsburgh,Rutgers,Arkansas State,West Virginia,Vanderbilt,Nevada,Wisconsin,Middle Tennessee,Delaware,New Mexico,UCLA,Kennesaw State,Rice,Temple,Tulsa,Stanford,Syracuse,Wake Forest,Arizona,Maryland,Northwestern,Kent State,Washington State,Kentucky,Mississippi State,Southern Mississippi,UL Monroe</v>
      </c>
      <c r="AW94" s="113" t="b">
        <f>IFERROR(__xludf.DUMMYFUNCTION("isnumber(find(""wild card"",join("","",filter($G$1:$G93,$D$1:$D93=D94))))"),FALSE)</f>
        <v>0</v>
      </c>
      <c r="AX94" s="113" t="str">
        <f>IFERROR(__xludf.DUMMYFUNCTION("join("","",let(confs,unique(TRANSPOSe(Teams!$1:$1)), confs_count, BYROW(confs,lambda(conf,xlookup(conf,'Conf WC Eligibility'!A:A,'Conf WC Eligibility'!C:C,,))),confs_picked,byrow(confs,lambda(conf,countif(E$1:E93,conf))),p_needs_conf_count,byrow(confs,lam"&amp;"bda(conf,counta('Draft Order'!B$2:B622)-COUNTUNIQUE(filter(D$2:D93,E$2:E93=conf)))),query({confs,confs_count,confs_picked,p_needs_conf_count},""select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5">
      <c r="A95" s="1">
        <v>94.0</v>
      </c>
      <c r="B95" s="1">
        <v>8.0</v>
      </c>
      <c r="C95" s="1">
        <v>10.0</v>
      </c>
      <c r="D95" s="115" t="s">
        <v>62</v>
      </c>
      <c r="E95" s="116" t="str">
        <f>if(F95&lt;&gt;"",VLOOKUP(F95,offset('Teams-Conference'!A:B,0,(counta('Draft Order'!B$2:B622)-10)*2),2,0),"")</f>
        <v>AAC</v>
      </c>
      <c r="F95" s="77" t="s">
        <v>163</v>
      </c>
      <c r="G95" s="106" t="str">
        <f t="shared" ref="G95:G124" si="58">if(F95="","",let(wc_check,or(COUNTIFS(E$1:E95,"="&amp;E95,D$1:D95,"="&amp;D95)&gt;1,E95="zIndependent"),let(error_text, if(F94="","ERROR: Previous pick is blank.   ","")&amp;if(match(F95,F:F,0)&lt;ROW(F95),"ERROR: Team already selected in row " &amp; ROW(F95)&amp;".  ","")&amp;if(and(wc_check,countIFS(G$1:G94,"This is your wild card pick",D$1:D94,"="&amp;D95)&gt;0),"ERROR: Player picked from this conference more than once and already made their wild card pick.  ","")&amp;if(and(wc_check,not(P95)),"ERROR: This conference is not eligible for a wild card pick.",""),if(error_text="",if(wc_check,"This is your wild card pick","Regular Pick"),error_text))))</f>
        <v>Regular Pick</v>
      </c>
      <c r="H95" s="106">
        <f t="shared" si="56"/>
        <v>0</v>
      </c>
      <c r="I95" s="106">
        <f t="shared" si="57"/>
        <v>1</v>
      </c>
      <c r="J95" s="106">
        <f t="shared" si="55"/>
        <v>0</v>
      </c>
      <c r="K95" s="106">
        <f t="shared" si="39"/>
        <v>1</v>
      </c>
      <c r="L95" s="106">
        <v>4.0</v>
      </c>
      <c r="M95" s="106">
        <f>IFERROR(__xludf.DUMMYFUNCTION("counta(iferror(filter(L$2:L94,E$2:E94=E95,L$2:L94&lt;L95)))"),0.0)</f>
        <v>0</v>
      </c>
      <c r="N95" s="106">
        <f>IFERROR(__xludf.DUMMYFUNCTION("counta(iferror(filter(L96:L$121,E96:E$121=E95,L96:L$624&gt;L95)))"),0.0)</f>
        <v>0</v>
      </c>
      <c r="O95" s="152"/>
      <c r="P95" s="106" t="b">
        <f>IFERROR(__xludf.DUMMYFUNCTION("if(F95="""","""",let(wc_picked, countifs(E$1:E94,E95,G$1:G94,""This is your wild card pick""), let(spots_filled,counta(unique(filter(D$2:E95,E$2:E95=E95)))/2,let(total,VLOOKUP(E95,'Conf WC Eligibility'!A:C,3,0),if(E95=""zIndependent"", TRUE,total-wc_picke"&amp;"d&gt;12)))))"),TRUE)</f>
        <v>1</v>
      </c>
      <c r="Q95" s="107">
        <f t="array" ref="Q95:AB95">XLOOKUP(F95,'Current Week'!C:C,'Current Week'!D:O)</f>
        <v>4</v>
      </c>
      <c r="R95" s="106">
        <v>8.0</v>
      </c>
      <c r="S95" s="106" t="s">
        <v>637</v>
      </c>
      <c r="T95" s="106" t="s">
        <v>61</v>
      </c>
      <c r="U95" s="106" t="s">
        <v>493</v>
      </c>
      <c r="V95" s="106"/>
      <c r="W95" s="106" t="s">
        <v>67</v>
      </c>
      <c r="X95" s="106">
        <v>9.5</v>
      </c>
      <c r="Y95" s="106" t="s">
        <v>67</v>
      </c>
      <c r="Z95" s="106">
        <v>58.5</v>
      </c>
      <c r="AA95" s="106">
        <v>317.0</v>
      </c>
      <c r="AB95" s="106">
        <v>459.0</v>
      </c>
      <c r="AC95" s="108" t="b">
        <v>1</v>
      </c>
      <c r="AD95" s="109">
        <f t="shared" si="4"/>
        <v>-6</v>
      </c>
      <c r="AE95" s="110">
        <f t="shared" si="5"/>
        <v>7</v>
      </c>
      <c r="AF95" s="110">
        <f>IFERROR(__xludf.DUMMYFUNCTION("iferror(COUNT(filter($Q96:$Q$400,$Q96:$Q$400&gt;$Q95)))"),21.0)</f>
        <v>21</v>
      </c>
      <c r="AG95" s="111">
        <f t="shared" si="6"/>
        <v>0</v>
      </c>
      <c r="AH95" s="112">
        <f t="shared" si="7"/>
        <v>2</v>
      </c>
      <c r="AI95" s="113" t="str">
        <f>IFERROR(__xludf.DUMMYFUNCTION("iferror(join("","",index(sort(filter($F96:$F$401,$Q96:$Q$401&gt;$Q95),2,false),0,1)))"),"NC State,California,Missouri State,Marshall,Pittsburgh,Rutgers,Arkansas State,Vanderbilt,Delaware,New Mexico,Kennesaw State,Rice,Temple,Wake Forest,Arizona,Northwestern,Kent State,Washington State,Kentucky,Mississippi State,Southern Mississippi")</f>
        <v>NC State,California,Missouri State,Marshall,Pittsburgh,Rutgers,Arkansas State,Vanderbilt,Delaware,New Mexico,Kennesaw State,Rice,Temple,Wake Forest,Arizona,Northwestern,Kent State,Washington State,Kentucky,Mississippi State,Southern Mississippi</v>
      </c>
      <c r="AJ95" s="114">
        <f>IFERROR(__xludf.DUMMYFUNCTION("iferror($Q95-max(filter($Q95:$Q$400,$E95:$E$400=$E$2)))"),-2.0)</f>
        <v>-2</v>
      </c>
      <c r="AK95" s="110">
        <f t="shared" si="8"/>
        <v>0</v>
      </c>
      <c r="AL95" s="110">
        <f>IFERROR(__xludf.DUMMYFUNCTION("iferror(COUNT(filter($Q96:$Q$400,$Q96:$Q$400&gt;$Q95,$E95:$E$400=$E$2)))"),0.0)</f>
        <v>0</v>
      </c>
      <c r="AM95" s="111">
        <f t="shared" si="9"/>
        <v>0</v>
      </c>
      <c r="AN95" s="110">
        <f>IFERROR(__xludf.DUMMYFUNCTION("iferror($Q95-min(filter($Q95:$Q$400,$E95:$E$400=$E$2)))"),2.0)</f>
        <v>2</v>
      </c>
      <c r="AO95" s="113" t="str">
        <f>IFERROR(__xludf.DUMMYFUNCTION("iferror(join("","",index(sort(filter($F96:$F$400,$Q96:$Q$400&gt;$Q95,$E96:$E$400=$E$2),2,false),0,1)))"),"Rutgers,Northwestern")</f>
        <v>Rutgers,Northwestern</v>
      </c>
      <c r="AP95" s="113" t="str">
        <f>IFERROR(__xludf.DUMMYFUNCTION("REGEXREPLACE(join("","",unique({let(conf_picked,filter(E$1:E94,D$1:D94=D95), byrow(unique(TRANSPOSe(Teams!$1:$1)),lambda(rw,if(ISERROR(match(rw,conf_picked,0)),rw,))));if(AW95,,transpose(split(AX95,"","",1,1)))})), ""^,"", """")"),"AAC,ACC,,Pac12,zIndependent,Big 12,Big Ten,MAC,SEC,Sun Belt")</f>
        <v>AAC,ACC,,Pac12,zIndependent,Big 12,Big Ten,MAC,SEC,Sun Belt</v>
      </c>
      <c r="AQ95" s="114">
        <f>IFERROR(__xludf.DUMMYFUNCTION("iferror($Q95-max(filter($Q95:$Q$400,arrayformula(isnumber(FIND($E95:$E$400,AP95))))))"),-6.0)</f>
        <v>-6</v>
      </c>
      <c r="AR95" s="110">
        <f t="array" ref="AR95">countifs($Q$2:$Q94,"&lt;"&amp;$Q95,isnumber(FIND($E$2:$E94,AP95)),TRUE)</f>
        <v>4</v>
      </c>
      <c r="AS95" s="110">
        <f>IFERROR(__xludf.DUMMYFUNCTION("iferror(COUNT(filter($Q96:$Q$400,$Q96:$Q$400&gt;$Q95,arrayformula(isnumber(FIND($E96:$E$400,AP95))))))"),17.0)</f>
        <v>17</v>
      </c>
      <c r="AT95" s="111">
        <f t="shared" si="10"/>
        <v>0</v>
      </c>
      <c r="AU95" s="110">
        <f>IFERROR(__xludf.DUMMYFUNCTION("iferror($Q95-min(filter($Q95:$Q$400,arrayformula(isnumber(FIND($E95:$E$400,AP95))))))"),4.0)</f>
        <v>4</v>
      </c>
      <c r="AV95" s="113" t="str">
        <f>IFERROR(__xludf.DUMMYFUNCTION("iferror(join("","",index(sort(filter($F96:$F$400,$Q96:$Q$400&gt;$Q95,arrayformula(isnumber(FIND($E96:$E$400,AP95)))),2,false),0,1)))"),"NC State,California,Marshall,Pittsburgh,Rutgers,Arkansas State,Vanderbilt,Rice,Temple,Wake Forest,Arizona,Northwestern,Kent State,Washington State,Kentucky,Mississippi State,Southern Mississippi")</f>
        <v>NC State,California,Marshall,Pittsburgh,Rutgers,Arkansas State,Vanderbilt,Rice,Temple,Wake Forest,Arizona,Northwestern,Kent State,Washington State,Kentucky,Mississippi State,Southern Mississippi</v>
      </c>
      <c r="AW95" s="113" t="b">
        <f>IFERROR(__xludf.DUMMYFUNCTION("isnumber(find(""wild card"",join("","",filter($G$1:$G94,$D$1:$D94=D95))))"),FALSE)</f>
        <v>0</v>
      </c>
      <c r="AX95" s="113" t="str">
        <f>IFERROR(__xludf.DUMMYFUNCTION("join("","",let(confs,unique(TRANSPOSe(Teams!$1:$1)), confs_count, BYROW(confs,lambda(conf,xlookup(conf,'Conf WC Eligibility'!A:A,'Conf WC Eligibility'!C:C,,))),confs_picked,byrow(confs,lambda(conf,countif(E$1:E94,conf))),p_needs_conf_count,byrow(confs,lam"&amp;"bda(conf,counta('Draft Order'!B$2:B622)-COUNTUNIQUE(filter(D$2:D94,E$2:E94=conf)))),query({confs,confs_count,confs_picked,p_needs_conf_count},""select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6">
      <c r="A96" s="1">
        <v>95.0</v>
      </c>
      <c r="B96" s="1">
        <v>8.0</v>
      </c>
      <c r="C96" s="1">
        <v>11.0</v>
      </c>
      <c r="D96" s="115" t="s">
        <v>95</v>
      </c>
      <c r="E96" s="116" t="str">
        <f>if(F96&lt;&gt;"",VLOOKUP(F96,offset('Teams-Conference'!A:B,0,(counta('Draft Order'!B$2:B622)-10)*2),2,0),"")</f>
        <v>MAC</v>
      </c>
      <c r="F96" s="77" t="s">
        <v>165</v>
      </c>
      <c r="G96" s="106" t="str">
        <f t="shared" si="58"/>
        <v>Regular Pick</v>
      </c>
      <c r="H96" s="106">
        <f t="shared" si="56"/>
        <v>1</v>
      </c>
      <c r="I96" s="106">
        <f t="shared" si="57"/>
        <v>1</v>
      </c>
      <c r="J96" s="106">
        <f t="shared" ref="J96:J97" si="59">countif(E86:E95,E96)</f>
        <v>0</v>
      </c>
      <c r="K96" s="106">
        <f t="shared" si="39"/>
        <v>2</v>
      </c>
      <c r="L96" s="106">
        <v>4.0</v>
      </c>
      <c r="M96" s="106">
        <f>IFERROR(__xludf.DUMMYFUNCTION("counta(iferror(filter(L$2:L95,E$2:E95=E96,L$2:L95&lt;L96)))"),1.0)</f>
        <v>1</v>
      </c>
      <c r="N96" s="106">
        <f>IFERROR(__xludf.DUMMYFUNCTION("counta(iferror(filter(L97:L$121,E97:E$121=E96,L97:L$624&gt;L96)))"),0.0)</f>
        <v>0</v>
      </c>
      <c r="O96" s="152"/>
      <c r="P96" s="106" t="b">
        <f>IFERROR(__xludf.DUMMYFUNCTION("if(F96="""","""",let(wc_picked, countifs(E$1:E95,E96,G$1:G95,""This is your wild card pick""), let(spots_filled,counta(unique(filter(D$2:E96,E$2:E96=E96)))/2,let(total,VLOOKUP(E96,'Conf WC Eligibility'!A:C,3,0),if(E96=""zIndependent"", TRUE,total-wc_picke"&amp;"d&gt;12)))))"),TRUE)</f>
        <v>1</v>
      </c>
      <c r="Q96" s="107">
        <f t="array" ref="Q96:AB96">XLOOKUP(F96,'Current Week'!C:C,'Current Week'!D:O)</f>
        <v>4</v>
      </c>
      <c r="R96" s="106">
        <v>8.0</v>
      </c>
      <c r="S96" s="106" t="s">
        <v>560</v>
      </c>
      <c r="T96" s="106" t="s">
        <v>61</v>
      </c>
      <c r="U96" s="106" t="s">
        <v>238</v>
      </c>
      <c r="V96" s="106"/>
      <c r="W96" s="106" t="s">
        <v>67</v>
      </c>
      <c r="X96" s="106">
        <v>17.5</v>
      </c>
      <c r="Y96" s="106" t="s">
        <v>67</v>
      </c>
      <c r="Z96" s="106">
        <v>41.5</v>
      </c>
      <c r="AA96" s="106">
        <v>190.0</v>
      </c>
      <c r="AB96" s="106">
        <v>358.0</v>
      </c>
      <c r="AC96" s="108" t="b">
        <v>1</v>
      </c>
      <c r="AD96" s="109">
        <f t="shared" si="4"/>
        <v>-6</v>
      </c>
      <c r="AE96" s="110">
        <f t="shared" si="5"/>
        <v>7</v>
      </c>
      <c r="AF96" s="110">
        <f>IFERROR(__xludf.DUMMYFUNCTION("iferror(COUNT(filter($Q97:$Q$400,$Q97:$Q$400&gt;$Q96)))"),21.0)</f>
        <v>21</v>
      </c>
      <c r="AG96" s="111">
        <f t="shared" si="6"/>
        <v>0</v>
      </c>
      <c r="AH96" s="112">
        <f t="shared" si="7"/>
        <v>2</v>
      </c>
      <c r="AI96" s="113" t="str">
        <f>IFERROR(__xludf.DUMMYFUNCTION("iferror(join("","",index(sort(filter($F97:$F$401,$Q97:$Q$401&gt;$Q96),2,false),0,1)))"),"NC State,California,Missouri State,Marshall,Pittsburgh,Rutgers,Arkansas State,Vanderbilt,Delaware,New Mexico,Kennesaw State,Rice,Temple,Wake Forest,Arizona,Northwestern,Kent State,Washington State,Kentucky,Mississippi State,Southern Mississippi")</f>
        <v>NC State,California,Missouri State,Marshall,Pittsburgh,Rutgers,Arkansas State,Vanderbilt,Delaware,New Mexico,Kennesaw State,Rice,Temple,Wake Forest,Arizona,Northwestern,Kent State,Washington State,Kentucky,Mississippi State,Southern Mississippi</v>
      </c>
      <c r="AJ96" s="114">
        <f>IFERROR(__xludf.DUMMYFUNCTION("iferror($Q96-max(filter($Q96:$Q$400,$E96:$E$400=$E$2)))"),-2.0)</f>
        <v>-2</v>
      </c>
      <c r="AK96" s="110">
        <f t="shared" si="8"/>
        <v>0</v>
      </c>
      <c r="AL96" s="110">
        <f>IFERROR(__xludf.DUMMYFUNCTION("iferror(COUNT(filter($Q97:$Q$400,$Q97:$Q$400&gt;$Q96,$E96:$E$400=$E$2)))"),0.0)</f>
        <v>0</v>
      </c>
      <c r="AM96" s="111">
        <f t="shared" si="9"/>
        <v>0</v>
      </c>
      <c r="AN96" s="110">
        <f>IFERROR(__xludf.DUMMYFUNCTION("iferror($Q96-min(filter($Q96:$Q$400,$E96:$E$400=$E$2)))"),2.0)</f>
        <v>2</v>
      </c>
      <c r="AO96" s="113" t="str">
        <f>IFERROR(__xludf.DUMMYFUNCTION("iferror(join("","",index(sort(filter($F97:$F$400,$Q97:$Q$400&gt;$Q96,$E97:$E$400=$E$2),2,false),0,1)))"),"Rutgers,Northwestern")</f>
        <v>Rutgers,Northwestern</v>
      </c>
      <c r="AP96" s="113" t="str">
        <f>IFERROR(__xludf.DUMMYFUNCTION("REGEXREPLACE(join("","",unique({let(conf_picked,filter(E$1:E95,D$1:D95=D96), byrow(unique(TRANSPOSe(Teams!$1:$1)),lambda(rw,if(ISERROR(match(rw,conf_picked,0)),rw,))));if(AW96,,transpose(split(AX96,"","",1,1)))})), ""^,"", """")"),"ACC,CUSA,MAC,Pac12,zIndependent")</f>
        <v>ACC,CUSA,MAC,Pac12,zIndependent</v>
      </c>
      <c r="AQ96" s="114">
        <f>IFERROR(__xludf.DUMMYFUNCTION("iferror($Q96-max(filter($Q96:$Q$400,arrayformula(isnumber(FIND($E96:$E$400,AP96))))))"),-5.0)</f>
        <v>-5</v>
      </c>
      <c r="AR96" s="110">
        <f t="array" ref="AR96">countifs($Q$2:$Q95,"&lt;"&amp;$Q96,isnumber(FIND($E$2:$E95,AP96)),TRUE)</f>
        <v>4</v>
      </c>
      <c r="AS96" s="110">
        <f>IFERROR(__xludf.DUMMYFUNCTION("iferror(COUNT(filter($Q97:$Q$400,$Q97:$Q$400&gt;$Q96,arrayformula(isnumber(FIND($E97:$E$400,AP96))))))"),9.0)</f>
        <v>9</v>
      </c>
      <c r="AT96" s="111">
        <f t="shared" si="10"/>
        <v>0</v>
      </c>
      <c r="AU96" s="110">
        <f>IFERROR(__xludf.DUMMYFUNCTION("iferror($Q96-min(filter($Q96:$Q$400,arrayformula(isnumber(FIND($E96:$E$400,AP96))))))"),4.0)</f>
        <v>4</v>
      </c>
      <c r="AV96" s="113" t="str">
        <f>IFERROR(__xludf.DUMMYFUNCTION("iferror(join("","",index(sort(filter($F97:$F$400,$Q97:$Q$400&gt;$Q96,arrayformula(isnumber(FIND($E97:$E$400,AP96)))),2,false),0,1)))"),"NC State,California,Missouri State,Pittsburgh,Delaware,Kennesaw State,Wake Forest,Kent State,Washington State")</f>
        <v>NC State,California,Missouri State,Pittsburgh,Delaware,Kennesaw State,Wake Forest,Kent State,Washington State</v>
      </c>
      <c r="AW96" s="113" t="b">
        <f>IFERROR(__xludf.DUMMYFUNCTION("isnumber(find(""wild card"",join("","",filter($G$1:$G95,$D$1:$D95=D96))))"),TRUE)</f>
        <v>1</v>
      </c>
      <c r="AX96" s="113" t="str">
        <f>IFERROR(__xludf.DUMMYFUNCTION("join("","",let(confs,unique(TRANSPOSe(Teams!$1:$1)), confs_count, BYROW(confs,lambda(conf,xlookup(conf,'Conf WC Eligibility'!A:A,'Conf WC Eligibility'!C:C,,))),confs_picked,byrow(confs,lambda(conf,countif(E$1:E95,conf))),p_needs_conf_count,byrow(confs,lam"&amp;"bda(conf,counta('Draft Order'!B$2:B622)-COUNTUNIQUE(filter(D$2:D95,E$2:E95=conf)))),query({confs,confs_count,confs_picked,p_needs_conf_count},""select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7">
      <c r="A97" s="1">
        <v>96.0</v>
      </c>
      <c r="B97" s="1">
        <v>8.0</v>
      </c>
      <c r="C97" s="1">
        <v>12.0</v>
      </c>
      <c r="D97" s="115" t="s">
        <v>43</v>
      </c>
      <c r="E97" t="str">
        <f>if(F97&lt;&gt;"",VLOOKUP(F97,offset('Teams-Conference'!A:B,0,(counta('Draft Order'!B$2:B622)-10)*2),2,0),"")</f>
        <v>CUSA</v>
      </c>
      <c r="F97" s="77" t="s">
        <v>228</v>
      </c>
      <c r="G97" s="106" t="str">
        <f t="shared" si="58"/>
        <v>Regular Pick</v>
      </c>
      <c r="H97" s="106">
        <f t="shared" si="56"/>
        <v>1</v>
      </c>
      <c r="I97" s="106">
        <f t="shared" si="57"/>
        <v>4</v>
      </c>
      <c r="J97" s="106">
        <f t="shared" si="59"/>
        <v>1</v>
      </c>
      <c r="K97" s="106">
        <f t="shared" si="39"/>
        <v>1</v>
      </c>
      <c r="L97" s="106">
        <v>4.0</v>
      </c>
      <c r="M97" s="106">
        <f>IFERROR(__xludf.DUMMYFUNCTION("counta(iferror(filter(L$2:L96,E$2:E96=E97,L$2:L96&lt;L97)))"),1.0)</f>
        <v>1</v>
      </c>
      <c r="N97" s="106">
        <f>IFERROR(__xludf.DUMMYFUNCTION("counta(iferror(filter(L98:L$121,E98:E$121=E97,L98:L$624&gt;L97)))"),0.0)</f>
        <v>0</v>
      </c>
      <c r="O97" s="152"/>
      <c r="P97" s="106" t="b">
        <f>IFERROR(__xludf.DUMMYFUNCTION("if(F97="""","""",let(wc_picked, countifs(E$1:E96,E97,G$1:G96,""This is your wild card pick""), let(spots_filled,counta(unique(filter(D$2:E97,E$2:E97=E97)))/2,let(total,VLOOKUP(E97,'Conf WC Eligibility'!A:C,3,0),if(E97=""zIndependent"", TRUE,total-wc_picke"&amp;"d&gt;12)))))"),FALSE)</f>
        <v>0</v>
      </c>
      <c r="Q97" s="107">
        <f t="array" ref="Q97:AB97">XLOOKUP(F97,'Current Week'!C:C,'Current Week'!D:O)</f>
        <v>4</v>
      </c>
      <c r="R97" s="106">
        <v>8.0</v>
      </c>
      <c r="S97" s="106" t="s">
        <v>531</v>
      </c>
      <c r="T97" s="106" t="s">
        <v>532</v>
      </c>
      <c r="U97" s="106" t="s">
        <v>96</v>
      </c>
      <c r="V97" s="106"/>
      <c r="W97" s="106" t="s">
        <v>67</v>
      </c>
      <c r="X97" s="106">
        <v>-3.5</v>
      </c>
      <c r="Y97" s="106" t="s">
        <v>67</v>
      </c>
      <c r="Z97" s="106">
        <v>52.5</v>
      </c>
      <c r="AA97" s="106">
        <v>259.0</v>
      </c>
      <c r="AB97" s="106">
        <v>331.0</v>
      </c>
      <c r="AC97" s="108" t="b">
        <v>1</v>
      </c>
      <c r="AD97" s="109">
        <f t="shared" si="4"/>
        <v>-6</v>
      </c>
      <c r="AE97" s="110">
        <f t="shared" si="5"/>
        <v>7</v>
      </c>
      <c r="AF97" s="110">
        <f>IFERROR(__xludf.DUMMYFUNCTION("iferror(COUNT(filter($Q98:$Q$400,$Q98:$Q$400&gt;$Q97)))"),21.0)</f>
        <v>21</v>
      </c>
      <c r="AG97" s="111">
        <f t="shared" si="6"/>
        <v>0</v>
      </c>
      <c r="AH97" s="112">
        <f t="shared" si="7"/>
        <v>2</v>
      </c>
      <c r="AI97" s="113" t="str">
        <f>IFERROR(__xludf.DUMMYFUNCTION("iferror(join("","",index(sort(filter($F98:$F$401,$Q98:$Q$401&gt;$Q97),2,false),0,1)))"),"NC State,California,Missouri State,Marshall,Pittsburgh,Rutgers,Arkansas State,Vanderbilt,Delaware,New Mexico,Kennesaw State,Rice,Temple,Wake Forest,Arizona,Northwestern,Kent State,Washington State,Kentucky,Mississippi State,Southern Mississippi")</f>
        <v>NC State,California,Missouri State,Marshall,Pittsburgh,Rutgers,Arkansas State,Vanderbilt,Delaware,New Mexico,Kennesaw State,Rice,Temple,Wake Forest,Arizona,Northwestern,Kent State,Washington State,Kentucky,Mississippi State,Southern Mississippi</v>
      </c>
      <c r="AJ97" s="114">
        <f>IFERROR(__xludf.DUMMYFUNCTION("iferror($Q97-max(filter($Q97:$Q$400,$E97:$E$400=$E$2)))"),-2.0)</f>
        <v>-2</v>
      </c>
      <c r="AK97" s="110">
        <f t="shared" si="8"/>
        <v>0</v>
      </c>
      <c r="AL97" s="110">
        <f>IFERROR(__xludf.DUMMYFUNCTION("iferror(COUNT(filter($Q98:$Q$400,$Q98:$Q$400&gt;$Q97,$E97:$E$400=$E$2)))"),0.0)</f>
        <v>0</v>
      </c>
      <c r="AM97" s="111">
        <f t="shared" si="9"/>
        <v>0</v>
      </c>
      <c r="AN97" s="110">
        <f>IFERROR(__xludf.DUMMYFUNCTION("iferror($Q97-min(filter($Q97:$Q$400,$E97:$E$400=$E$2)))"),2.0)</f>
        <v>2</v>
      </c>
      <c r="AO97" s="113" t="str">
        <f>IFERROR(__xludf.DUMMYFUNCTION("iferror(join("","",index(sort(filter($F98:$F$400,$Q98:$Q$400&gt;$Q97,$E98:$E$400=$E$2),2,false),0,1)))"),"Rutgers,Northwestern")</f>
        <v>Rutgers,Northwestern</v>
      </c>
      <c r="AP97" s="113" t="str">
        <f>IFERROR(__xludf.DUMMYFUNCTION("REGEXREPLACE(join("","",unique({let(conf_picked,filter(E$1:E96,D$1:D96=D97), byrow(unique(TRANSPOSe(Teams!$1:$1)),lambda(rw,if(ISERROR(match(rw,conf_picked,0)),rw,))));if(AW97,,transpose(split(AX97,"","",1,1)))})), ""^,"", """")"),"AAC,,CUSA,MAC,Pac12,zIndependent")</f>
        <v>AAC,,CUSA,MAC,Pac12,zIndependent</v>
      </c>
      <c r="AQ97" s="114">
        <f>IFERROR(__xludf.DUMMYFUNCTION("iferror($Q97-max(filter($Q97:$Q$400,arrayformula(isnumber(FIND($E97:$E$400,AP97))))))"),-5.0)</f>
        <v>-5</v>
      </c>
      <c r="AR97" s="110">
        <f t="array" ref="AR97">countifs($Q$2:$Q96,"&lt;"&amp;$Q97,isnumber(FIND($E$2:$E96,AP97)),TRUE)</f>
        <v>3</v>
      </c>
      <c r="AS97" s="110">
        <f>IFERROR(__xludf.DUMMYFUNCTION("iferror(COUNT(filter($Q98:$Q$400,$Q98:$Q$400&gt;$Q97,arrayformula(isnumber(FIND($E98:$E$400,AP97))))))"),7.0)</f>
        <v>7</v>
      </c>
      <c r="AT97" s="111">
        <f t="shared" si="10"/>
        <v>0</v>
      </c>
      <c r="AU97" s="110">
        <f>IFERROR(__xludf.DUMMYFUNCTION("iferror($Q97-min(filter($Q97:$Q$400,arrayformula(isnumber(FIND($E97:$E$400,AP97))))))"),4.0)</f>
        <v>4</v>
      </c>
      <c r="AV97" s="113" t="str">
        <f>IFERROR(__xludf.DUMMYFUNCTION("iferror(join("","",index(sort(filter($F98:$F$400,$Q98:$Q$400&gt;$Q97,arrayformula(isnumber(FIND($E98:$E$400,AP97)))),2,false),0,1)))"),"Missouri State,Delaware,Kennesaw State,Rice,Temple,Kent State,Washington State")</f>
        <v>Missouri State,Delaware,Kennesaw State,Rice,Temple,Kent State,Washington State</v>
      </c>
      <c r="AW97" s="113" t="b">
        <f>IFERROR(__xludf.DUMMYFUNCTION("isnumber(find(""wild card"",join("","",filter($G$1:$G96,$D$1:$D96=D97))))"),TRUE)</f>
        <v>1</v>
      </c>
      <c r="AX97" s="113" t="str">
        <f>IFERROR(__xludf.DUMMYFUNCTION("join("","",let(confs,unique(TRANSPOSe(Teams!$1:$1)), confs_count, BYROW(confs,lambda(conf,xlookup(conf,'Conf WC Eligibility'!A:A,'Conf WC Eligibility'!C:C,,))),confs_picked,byrow(confs,lambda(conf,countif(E$1:E96,conf))),p_needs_conf_count,byrow(confs,lam"&amp;"bda(conf,counta('Draft Order'!B$2:B622)-COUNTUNIQUE(filter(D$2:D96,E$2:E96=conf)))),query({confs,confs_count,confs_picked,p_needs_conf_count},""select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8">
      <c r="A98" s="101">
        <v>97.0</v>
      </c>
      <c r="B98" s="101">
        <v>9.0</v>
      </c>
      <c r="C98" s="101">
        <v>1.0</v>
      </c>
      <c r="D98" s="103" t="str">
        <f t="array" ref="D98:D109">index(sort('Draft Order'!$A$2:$B$13,1,1),0,2)</f>
        <v>Nick G.</v>
      </c>
      <c r="E98" s="104" t="str">
        <f>if(F98&lt;&gt;"",VLOOKUP(F98,offset('Teams-Conference'!A:B,0,(counta('Draft Order'!B$2:B622)-10)*2),2,0),"")</f>
        <v>MAC</v>
      </c>
      <c r="F98" s="105" t="s">
        <v>527</v>
      </c>
      <c r="G98" s="106" t="str">
        <f t="shared" si="58"/>
        <v>Regular Pick</v>
      </c>
      <c r="H98" s="106">
        <f t="shared" ref="H98:H99" si="60">countif(E99:E108,E98)</f>
        <v>0</v>
      </c>
      <c r="I98" s="106">
        <f t="shared" ref="I98:I100" si="61">countif(E99:E119,E98)</f>
        <v>0</v>
      </c>
      <c r="J98" s="106">
        <f t="shared" ref="J98:J107" si="62">countif(E89:E97,E98)</f>
        <v>1</v>
      </c>
      <c r="K98" s="106">
        <f t="shared" si="39"/>
        <v>2</v>
      </c>
      <c r="L98" s="106">
        <v>0.0</v>
      </c>
      <c r="M98" s="106">
        <f>IFERROR(__xludf.DUMMYFUNCTION("counta(iferror(filter(L$2:L97,E$2:E97=E98,L$2:L97&lt;L98)))"),0.0)</f>
        <v>0</v>
      </c>
      <c r="N98" s="106">
        <f>IFERROR(__xludf.DUMMYFUNCTION("counta(iferror(filter(L99:L$121,E99:E$121=E98,L99:L$624&gt;L98)))"),0.0)</f>
        <v>0</v>
      </c>
      <c r="O98" s="106"/>
      <c r="P98" s="106" t="b">
        <f>IFERROR(__xludf.DUMMYFUNCTION("if(F98="""","""",let(wc_picked, countifs(E$1:E97,E98,G$1:G97,""This is your wild card pick""), let(spots_filled,counta(unique(filter(D$2:E98,E$2:E98=E98)))/2,let(total,VLOOKUP(E98,'Conf WC Eligibility'!A:C,3,0),if(E98=""zIndependent"", TRUE,total-wc_picke"&amp;"d&gt;12)))))"),TRUE)</f>
        <v>1</v>
      </c>
      <c r="Q98" s="107">
        <f t="array" ref="Q98:AB98">XLOOKUP(F98,'Current Week'!C:C,'Current Week'!D:O)</f>
        <v>0</v>
      </c>
      <c r="R98" s="106">
        <v>12.0</v>
      </c>
      <c r="S98" s="106" t="s">
        <v>528</v>
      </c>
      <c r="T98" s="106" t="s">
        <v>61</v>
      </c>
      <c r="U98" s="106" t="s">
        <v>224</v>
      </c>
      <c r="V98" s="106"/>
      <c r="W98" s="106" t="s">
        <v>67</v>
      </c>
      <c r="X98" s="106">
        <v>14.5</v>
      </c>
      <c r="Y98" s="106" t="s">
        <v>67</v>
      </c>
      <c r="Z98" s="106">
        <v>44.5</v>
      </c>
      <c r="AA98" s="106">
        <v>133.0</v>
      </c>
      <c r="AB98" s="106">
        <v>463.0</v>
      </c>
      <c r="AC98" s="108" t="b">
        <v>1</v>
      </c>
      <c r="AD98" s="109">
        <f t="shared" si="4"/>
        <v>-10</v>
      </c>
      <c r="AE98" s="110">
        <f t="shared" si="5"/>
        <v>0</v>
      </c>
      <c r="AF98" s="110">
        <f>IFERROR(__xludf.DUMMYFUNCTION("iferror(COUNT(filter($Q99:$Q$400,$Q99:$Q$400&gt;$Q98)))"),39.0)</f>
        <v>39</v>
      </c>
      <c r="AG98" s="111">
        <f t="shared" si="6"/>
        <v>0</v>
      </c>
      <c r="AH98" s="112">
        <f t="shared" si="7"/>
        <v>0</v>
      </c>
      <c r="AI98" s="113" t="str">
        <f>IFERROR(__xludf.DUMMYFUNCTION("iferror(join("","",index(sort(filter($F99:$F$401,$Q99:$Q$401&gt;$Q98),2,false),0,1)))"),"NC State,California,Missouri State,Marshall,Michigan State,Oklahoma State,Pittsburgh,Arkansas,Charlotte,Rutgers,Arkansas State,West Virginia,Vanderbilt,Georgia State,Nevada,Wisconsin,Middle Tennessee,Delaware,Sam Houston,New Mexico,UCLA,Kennesaw State,Ric"&amp;"e,Temple,Tulsa,Boston College,Stanford,Syracuse,Wake Forest,Arizona,Maryland,Northwestern,Purdue,Kent State,Washington State,Kentucky,Mississippi State,Southern Mississippi,UL Monroe")</f>
        <v>NC State,California,Missouri State,Marshall,Michigan State,Oklahoma State,Pittsburgh,Arkansas,Charlotte,Rutgers,Arkansas State,West Virginia,Vanderbilt,Georgia State,Nevada,Wisconsin,Middle Tennessee,Delaware,Sam Houston,New Mexico,UCLA,Kennesaw State,Rice,Temple,Tulsa,Boston College,Stanford,Syracuse,Wake Forest,Arizona,Maryland,Northwestern,Purdue,Kent State,Washington State,Kentucky,Mississippi State,Southern Mississippi,UL Monroe</v>
      </c>
      <c r="AJ98" s="114">
        <f>IFERROR(__xludf.DUMMYFUNCTION("iferror($Q98-max(filter($Q98:$Q$400,$E98:$E$400=$E$2)))"),-6.0)</f>
        <v>-6</v>
      </c>
      <c r="AK98" s="110">
        <f t="shared" si="8"/>
        <v>0</v>
      </c>
      <c r="AL98" s="110">
        <f>IFERROR(__xludf.DUMMYFUNCTION("iferror(COUNT(filter($Q99:$Q$400,$Q99:$Q$400&gt;$Q98,$E98:$E$400=$E$2)))"),0.0)</f>
        <v>0</v>
      </c>
      <c r="AM98" s="111">
        <f t="shared" si="9"/>
        <v>0</v>
      </c>
      <c r="AN98" s="110">
        <f>IFERROR(__xludf.DUMMYFUNCTION("iferror($Q98-min(filter($Q98:$Q$400,$E98:$E$400=$E$2)))"),-2.0)</f>
        <v>-2</v>
      </c>
      <c r="AO98" s="113" t="str">
        <f>IFERROR(__xludf.DUMMYFUNCTION("iferror(join("","",index(sort(filter($F99:$F$400,$Q99:$Q$400&gt;$Q98,$E99:$E$400=$E$2),2,false),0,1)))"),"Michigan State,Rutgers,Wisconsin,UCLA,Maryland,Northwestern,Purdue")</f>
        <v>Michigan State,Rutgers,Wisconsin,UCLA,Maryland,Northwestern,Purdue</v>
      </c>
      <c r="AP98" s="113" t="str">
        <f>IFERROR(__xludf.DUMMYFUNCTION("REGEXREPLACE(join("","",unique({let(conf_picked,filter(E$1:E97,D$1:D97=D98), byrow(unique(TRANSPOSe(Teams!$1:$1)),lambda(rw,if(ISERROR(match(rw,conf_picked,0)),rw,))));if(AW98,,transpose(split(AX98,"","",1,1)))})), ""^,"", """")"),"AAC,,MAC,Pac12,zIndependent")</f>
        <v>AAC,,MAC,Pac12,zIndependent</v>
      </c>
      <c r="AQ98" s="114">
        <f>IFERROR(__xludf.DUMMYFUNCTION("iferror($Q98-max(filter($Q98:$Q$400,arrayformula(isnumber(FIND($E98:$E$400,AP98))))))"),-6.0)</f>
        <v>-6</v>
      </c>
      <c r="AR98" s="110">
        <f t="array" ref="AR98">countifs($Q$2:$Q97,"&lt;"&amp;$Q98,isnumber(FIND($E$2:$E97,AP98)),TRUE)</f>
        <v>0</v>
      </c>
      <c r="AS98" s="110">
        <f>IFERROR(__xludf.DUMMYFUNCTION("iferror(COUNT(filter($Q99:$Q$400,$Q99:$Q$400&gt;$Q98,arrayformula(isnumber(FIND($E99:$E$400,AP98))))))"),6.0)</f>
        <v>6</v>
      </c>
      <c r="AT98" s="111">
        <f t="shared" si="10"/>
        <v>0</v>
      </c>
      <c r="AU98" s="110">
        <f>IFERROR(__xludf.DUMMYFUNCTION("iferror($Q98-min(filter($Q98:$Q$400,arrayformula(isnumber(FIND($E98:$E$400,AP98))))))"),0.0)</f>
        <v>0</v>
      </c>
      <c r="AV98" s="113" t="str">
        <f>IFERROR(__xludf.DUMMYFUNCTION("iferror(join("","",index(sort(filter($F99:$F$400,$Q99:$Q$400&gt;$Q98,arrayformula(isnumber(FIND($E99:$E$400,AP98)))),2,false),0,1)))"),"Charlotte,Rice,Temple,Tulsa,Kent State,Washington State")</f>
        <v>Charlotte,Rice,Temple,Tulsa,Kent State,Washington State</v>
      </c>
      <c r="AW98" s="113" t="b">
        <f>IFERROR(__xludf.DUMMYFUNCTION("isnumber(find(""wild card"",join("","",filter($G$1:$G97,$D$1:$D97=D98))))"),TRUE)</f>
        <v>1</v>
      </c>
      <c r="AX98" s="113" t="str">
        <f>IFERROR(__xludf.DUMMYFUNCTION("join("","",let(confs,unique(TRANSPOSe(Teams!$1:$1)), confs_count, BYROW(confs,lambda(conf,xlookup(conf,'Conf WC Eligibility'!A:A,'Conf WC Eligibility'!C:C,,))),confs_picked,byrow(confs,lambda(conf,countif(E$1:E97,conf))),p_needs_conf_count,byrow(confs,lam"&amp;"bda(conf,counta('Draft Order'!B$2:B622)-COUNTUNIQUE(filter(D$2:D97,E$2:E97=conf)))),query({confs,confs_count,confs_picked,p_needs_conf_count},""select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99">
      <c r="A99" s="1">
        <v>98.0</v>
      </c>
      <c r="B99" s="1">
        <v>9.0</v>
      </c>
      <c r="C99" s="1">
        <v>2.0</v>
      </c>
      <c r="D99" s="115" t="s">
        <v>95</v>
      </c>
      <c r="E99" s="116" t="str">
        <f>if(F99&lt;&gt;"",VLOOKUP(F99,offset('Teams-Conference'!A:B,0,(counta('Draft Order'!B$2:B622)-10)*2),2,0),"")</f>
        <v>ACC</v>
      </c>
      <c r="F99" s="117" t="s">
        <v>117</v>
      </c>
      <c r="G99" s="106" t="str">
        <f t="shared" si="58"/>
        <v>Regular Pick</v>
      </c>
      <c r="H99" s="106">
        <f t="shared" si="60"/>
        <v>2</v>
      </c>
      <c r="I99" s="106">
        <f t="shared" si="61"/>
        <v>2</v>
      </c>
      <c r="J99" s="106">
        <f t="shared" si="62"/>
        <v>1</v>
      </c>
      <c r="K99" s="106">
        <f t="shared" si="39"/>
        <v>3</v>
      </c>
      <c r="L99" s="106">
        <v>7.0</v>
      </c>
      <c r="M99" s="106">
        <f>IFERROR(__xludf.DUMMYFUNCTION("counta(iferror(filter(L$2:L98,E$2:E98=E99,L$2:L98&lt;L99)))"),3.0)</f>
        <v>3</v>
      </c>
      <c r="N99" s="106">
        <f>IFERROR(__xludf.DUMMYFUNCTION("counta(iferror(filter(L100:L$121,E100:E$121=E99,L100:L$624&gt;L99)))"),0.0)</f>
        <v>0</v>
      </c>
      <c r="O99" s="152"/>
      <c r="P99" s="106" t="b">
        <f>IFERROR(__xludf.DUMMYFUNCTION("if(F99="""","""",let(wc_picked, countifs(E$1:E98,E99,G$1:G98,""This is your wild card pick""), let(spots_filled,counta(unique(filter(D$2:E99,E$2:E99=E99)))/2,let(total,VLOOKUP(E99,'Conf WC Eligibility'!A:C,3,0),if(E99=""zIndependent"", TRUE,total-wc_picke"&amp;"d&gt;12)))))"),TRUE)</f>
        <v>1</v>
      </c>
      <c r="Q99" s="107">
        <f t="array" ref="Q99:AB99">XLOOKUP(F99,'Current Week'!C:C,'Current Week'!D:O)</f>
        <v>7</v>
      </c>
      <c r="R99" s="106">
        <v>5.0</v>
      </c>
      <c r="S99" s="106" t="s">
        <v>273</v>
      </c>
      <c r="T99" s="106" t="s">
        <v>61</v>
      </c>
      <c r="U99" s="106" t="s">
        <v>43</v>
      </c>
      <c r="V99" s="106"/>
      <c r="W99" s="106" t="s">
        <v>67</v>
      </c>
      <c r="X99" s="106">
        <v>-7.5</v>
      </c>
      <c r="Y99" s="106" t="s">
        <v>67</v>
      </c>
      <c r="Z99" s="106">
        <v>47.5</v>
      </c>
      <c r="AA99" s="106">
        <v>362.0</v>
      </c>
      <c r="AB99" s="106">
        <v>346.0</v>
      </c>
      <c r="AC99" s="108" t="b">
        <v>1</v>
      </c>
      <c r="AD99" s="109">
        <f t="shared" si="4"/>
        <v>-3</v>
      </c>
      <c r="AE99" s="110">
        <f t="shared" si="5"/>
        <v>39</v>
      </c>
      <c r="AF99" s="110">
        <f>IFERROR(__xludf.DUMMYFUNCTION("iferror(COUNT(filter($Q100:$Q$400,$Q100:$Q$400&gt;$Q99)))"),6.0)</f>
        <v>6</v>
      </c>
      <c r="AG99" s="111">
        <f t="shared" si="6"/>
        <v>0</v>
      </c>
      <c r="AH99" s="112">
        <f t="shared" si="7"/>
        <v>7</v>
      </c>
      <c r="AI99" s="113" t="str">
        <f>IFERROR(__xludf.DUMMYFUNCTION("iferror(join("","",index(sort(filter($F100:$F$401,$Q100:$Q$401&gt;$Q99),2,false),0,1)))"),"Pittsburgh,Vanderbilt,New Mexico,Kennesaw State,Wake Forest,Arizona")</f>
        <v>Pittsburgh,Vanderbilt,New Mexico,Kennesaw State,Wake Forest,Arizona</v>
      </c>
      <c r="AJ99" s="114">
        <f>IFERROR(__xludf.DUMMYFUNCTION("iferror($Q99-max(filter($Q99:$Q$400,$E99:$E$400=$E$2)))"),1.0)</f>
        <v>1</v>
      </c>
      <c r="AK99" s="110">
        <f t="shared" si="8"/>
        <v>1</v>
      </c>
      <c r="AL99" s="110">
        <f>IFERROR(__xludf.DUMMYFUNCTION("iferror(COUNT(filter($Q100:$Q$400,$Q100:$Q$400&gt;$Q99,$E99:$E$400=$E$2)))"),0.0)</f>
        <v>0</v>
      </c>
      <c r="AM99" s="111">
        <f t="shared" si="9"/>
        <v>0</v>
      </c>
      <c r="AN99" s="110">
        <f>IFERROR(__xludf.DUMMYFUNCTION("iferror($Q99-min(filter($Q99:$Q$400,$E99:$E$400=$E$2)))"),5.0)</f>
        <v>5</v>
      </c>
      <c r="AO99" s="113" t="str">
        <f>IFERROR(__xludf.DUMMYFUNCTION("iferror(join("","",index(sort(filter($F100:$F$400,$Q100:$Q$400&gt;$Q99,$E100:$E$400=$E$2),2,false),0,1)))"),"")</f>
        <v/>
      </c>
      <c r="AP99" s="113" t="str">
        <f>IFERROR(__xludf.DUMMYFUNCTION("REGEXREPLACE(join("","",unique({let(conf_picked,filter(E$1:E98,D$1:D98=D99), byrow(unique(TRANSPOSe(Teams!$1:$1)),lambda(rw,if(ISERROR(match(rw,conf_picked,0)),rw,))));if(AW99,,transpose(split(AX99,"","",1,1)))})), ""^,"", """")"),"ACC,CUSA,Pac12,zIndependent")</f>
        <v>ACC,CUSA,Pac12,zIndependent</v>
      </c>
      <c r="AQ99" s="114">
        <f>IFERROR(__xludf.DUMMYFUNCTION("iferror($Q99-max(filter($Q99:$Q$400,arrayformula(isnumber(FIND($E99:$E$400,AP99))))))"),-2.0)</f>
        <v>-2</v>
      </c>
      <c r="AR99" s="110">
        <f t="array" ref="AR99">countifs($Q$2:$Q98,"&lt;"&amp;$Q99,isnumber(FIND($E$2:$E98,AP99)),TRUE)</f>
        <v>7</v>
      </c>
      <c r="AS99" s="110">
        <f>IFERROR(__xludf.DUMMYFUNCTION("iferror(COUNT(filter($Q100:$Q$400,$Q100:$Q$400&gt;$Q99,arrayformula(isnumber(FIND($E100:$E$400,AP99))))))"),3.0)</f>
        <v>3</v>
      </c>
      <c r="AT99" s="111">
        <f t="shared" si="10"/>
        <v>0</v>
      </c>
      <c r="AU99" s="110">
        <f>IFERROR(__xludf.DUMMYFUNCTION("iferror($Q99-min(filter($Q99:$Q$400,arrayformula(isnumber(FIND($E99:$E$400,AP99))))))"),5.0)</f>
        <v>5</v>
      </c>
      <c r="AV99" s="113" t="str">
        <f>IFERROR(__xludf.DUMMYFUNCTION("iferror(join("","",index(sort(filter($F100:$F$400,$Q100:$Q$400&gt;$Q99,arrayformula(isnumber(FIND($E100:$E$400,AP99)))),2,false),0,1)))"),"Pittsburgh,Kennesaw State,Wake Forest")</f>
        <v>Pittsburgh,Kennesaw State,Wake Forest</v>
      </c>
      <c r="AW99" s="113" t="b">
        <f>IFERROR(__xludf.DUMMYFUNCTION("isnumber(find(""wild card"",join("","",filter($G$1:$G98,$D$1:$D98=D99))))"),TRUE)</f>
        <v>1</v>
      </c>
      <c r="AX99" s="113" t="str">
        <f>IFERROR(__xludf.DUMMYFUNCTION("join("","",let(confs,unique(TRANSPOSe(Teams!$1:$1)), confs_count, BYROW(confs,lambda(conf,xlookup(conf,'Conf WC Eligibility'!A:A,'Conf WC Eligibility'!C:C,,))),confs_picked,byrow(confs,lambda(conf,countif(E$1:E98,conf))),p_needs_conf_count,byrow(confs,lam"&amp;"bda(conf,counta('Draft Order'!B$2:B622)-COUNTUNIQUE(filter(D$2:D98,E$2:E98=conf)))),query({confs,confs_count,confs_picked,p_needs_conf_count},""select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0">
      <c r="A100" s="1">
        <v>99.0</v>
      </c>
      <c r="B100" s="1">
        <v>9.0</v>
      </c>
      <c r="C100" s="1">
        <v>3.0</v>
      </c>
      <c r="D100" s="118" t="s">
        <v>62</v>
      </c>
      <c r="E100" s="116" t="str">
        <f>if(F100&lt;&gt;"",VLOOKUP(F100,offset('Teams-Conference'!A:B,0,(counta('Draft Order'!B$2:B622)-10)*2),2,0),"")</f>
        <v>ACC</v>
      </c>
      <c r="F100" s="117" t="s">
        <v>190</v>
      </c>
      <c r="G100" s="106" t="str">
        <f t="shared" si="58"/>
        <v>Regular Pick</v>
      </c>
      <c r="H100" s="106">
        <f t="shared" ref="H100:H109" si="63">countif(E101:E109,E100)</f>
        <v>1</v>
      </c>
      <c r="I100" s="106">
        <f t="shared" si="61"/>
        <v>1</v>
      </c>
      <c r="J100" s="106">
        <f t="shared" si="62"/>
        <v>2</v>
      </c>
      <c r="K100" s="106">
        <f t="shared" si="39"/>
        <v>3</v>
      </c>
      <c r="L100" s="106">
        <v>7.0</v>
      </c>
      <c r="M100" s="106">
        <f>IFERROR(__xludf.DUMMYFUNCTION("counta(iferror(filter(L$2:L99,E$2:E99=E100,L$2:L99&lt;L100)))"),3.0)</f>
        <v>3</v>
      </c>
      <c r="N100" s="106">
        <f>IFERROR(__xludf.DUMMYFUNCTION("counta(iferror(filter(L101:L$121,E101:E$121=E100,L101:L$624&gt;L100)))"),0.0)</f>
        <v>0</v>
      </c>
      <c r="O100" s="152"/>
      <c r="P100" s="106" t="b">
        <f>IFERROR(__xludf.DUMMYFUNCTION("if(F100="""","""",let(wc_picked, countifs(E$1:E99,E100,G$1:G99,""This is your wild card pick""), let(spots_filled,counta(unique(filter(D$2:E100,E$2:E100=E100)))/2,let(total,VLOOKUP(E100,'Conf WC Eligibility'!A:C,3,0),if(E100=""zIndependent"", TRUE,total-w"&amp;"c_picked&gt;12)))))"),TRUE)</f>
        <v>1</v>
      </c>
      <c r="Q100" s="107">
        <f t="array" ref="Q100:AB100">XLOOKUP(F100,'Current Week'!C:C,'Current Week'!D:O)</f>
        <v>7</v>
      </c>
      <c r="R100" s="106">
        <v>5.0</v>
      </c>
      <c r="S100" s="106" t="s">
        <v>625</v>
      </c>
      <c r="T100" s="106" t="s">
        <v>61</v>
      </c>
      <c r="U100" s="106" t="s">
        <v>193</v>
      </c>
      <c r="V100" s="106"/>
      <c r="W100" s="106" t="s">
        <v>67</v>
      </c>
      <c r="X100" s="106">
        <v>13.5</v>
      </c>
      <c r="Y100" s="106" t="s">
        <v>67</v>
      </c>
      <c r="Z100" s="106">
        <v>53.5</v>
      </c>
      <c r="AA100" s="106">
        <v>298.0</v>
      </c>
      <c r="AB100" s="106">
        <v>318.0</v>
      </c>
      <c r="AC100" s="108" t="b">
        <v>1</v>
      </c>
      <c r="AD100" s="109">
        <f t="shared" si="4"/>
        <v>-3</v>
      </c>
      <c r="AE100" s="110">
        <f t="shared" si="5"/>
        <v>39</v>
      </c>
      <c r="AF100" s="110">
        <f>IFERROR(__xludf.DUMMYFUNCTION("iferror(COUNT(filter($Q101:$Q$400,$Q101:$Q$400&gt;$Q100)))"),6.0)</f>
        <v>6</v>
      </c>
      <c r="AG100" s="111">
        <f t="shared" si="6"/>
        <v>0</v>
      </c>
      <c r="AH100" s="112">
        <f t="shared" si="7"/>
        <v>7</v>
      </c>
      <c r="AI100" s="113" t="str">
        <f>IFERROR(__xludf.DUMMYFUNCTION("iferror(join("","",index(sort(filter($F101:$F$401,$Q101:$Q$401&gt;$Q100),2,false),0,1)))"),"Pittsburgh,Vanderbilt,New Mexico,Kennesaw State,Wake Forest,Arizona")</f>
        <v>Pittsburgh,Vanderbilt,New Mexico,Kennesaw State,Wake Forest,Arizona</v>
      </c>
      <c r="AJ100" s="114">
        <f>IFERROR(__xludf.DUMMYFUNCTION("iferror($Q100-max(filter($Q100:$Q$400,$E100:$E$400=$E$2)))"),1.0)</f>
        <v>1</v>
      </c>
      <c r="AK100" s="110">
        <f t="shared" si="8"/>
        <v>1</v>
      </c>
      <c r="AL100" s="110">
        <f>IFERROR(__xludf.DUMMYFUNCTION("iferror(COUNT(filter($Q101:$Q$400,$Q101:$Q$400&gt;$Q100,$E100:$E$400=$E$2)))"),0.0)</f>
        <v>0</v>
      </c>
      <c r="AM100" s="111">
        <f t="shared" si="9"/>
        <v>0</v>
      </c>
      <c r="AN100" s="110">
        <f>IFERROR(__xludf.DUMMYFUNCTION("iferror($Q100-min(filter($Q100:$Q$400,$E100:$E$400=$E$2)))"),5.0)</f>
        <v>5</v>
      </c>
      <c r="AO100" s="113" t="str">
        <f>IFERROR(__xludf.DUMMYFUNCTION("iferror(join("","",index(sort(filter($F101:$F$400,$Q101:$Q$400&gt;$Q100,$E101:$E$400=$E$2),2,false),0,1)))"),"")</f>
        <v/>
      </c>
      <c r="AP100" s="113" t="str">
        <f>IFERROR(__xludf.DUMMYFUNCTION("REGEXREPLACE(join("","",unique({let(conf_picked,filter(E$1:E99,D$1:D99=D100), byrow(unique(TRANSPOSe(Teams!$1:$1)),lambda(rw,if(ISERROR(match(rw,conf_picked,0)),rw,))));if(AW100,,transpose(split(AX100,"","",1,1)))})), ""^,"", """")"),"ACC,Pac12,zIndependent,AAC,Big 12,Big Ten,MAC,SEC,Sun Belt")</f>
        <v>ACC,Pac12,zIndependent,AAC,Big 12,Big Ten,MAC,SEC,Sun Belt</v>
      </c>
      <c r="AQ100" s="114">
        <f>IFERROR(__xludf.DUMMYFUNCTION("iferror($Q100-max(filter($Q100:$Q$400,arrayformula(isnumber(FIND($E100:$E$400,AP100))))))"),-3.0)</f>
        <v>-3</v>
      </c>
      <c r="AR100" s="110">
        <f t="array" ref="AR100">countifs($Q$2:$Q99,"&lt;"&amp;$Q100,isnumber(FIND($E$2:$E99,AP100)),TRUE)</f>
        <v>31</v>
      </c>
      <c r="AS100" s="110">
        <f>IFERROR(__xludf.DUMMYFUNCTION("iferror(COUNT(filter($Q101:$Q$400,$Q101:$Q$400&gt;$Q100,arrayformula(isnumber(FIND($E101:$E$400,AP100))))))"),4.0)</f>
        <v>4</v>
      </c>
      <c r="AT100" s="111">
        <f t="shared" si="10"/>
        <v>0</v>
      </c>
      <c r="AU100" s="110">
        <f>IFERROR(__xludf.DUMMYFUNCTION("iferror($Q100-min(filter($Q100:$Q$400,arrayformula(isnumber(FIND($E100:$E$400,AP100))))))"),6.0)</f>
        <v>6</v>
      </c>
      <c r="AV100" s="113" t="str">
        <f>IFERROR(__xludf.DUMMYFUNCTION("iferror(join("","",index(sort(filter($F101:$F$400,$Q101:$Q$400&gt;$Q100,arrayformula(isnumber(FIND($E101:$E$400,AP100)))),2,false),0,1)))"),"Pittsburgh,Vanderbilt,Wake Forest,Arizona")</f>
        <v>Pittsburgh,Vanderbilt,Wake Forest,Arizona</v>
      </c>
      <c r="AW100" s="113" t="b">
        <f>IFERROR(__xludf.DUMMYFUNCTION("isnumber(find(""wild card"",join("","",filter($G$1:$G99,$D$1:$D99=D100))))"),FALSE)</f>
        <v>0</v>
      </c>
      <c r="AX100" s="113" t="str">
        <f>IFERROR(__xludf.DUMMYFUNCTION("join("","",let(confs,unique(TRANSPOSe(Teams!$1:$1)), confs_count, BYROW(confs,lambda(conf,xlookup(conf,'Conf WC Eligibility'!A:A,'Conf WC Eligibility'!C:C,,))),confs_picked,byrow(confs,lambda(conf,countif(E$1:E99,conf))),p_needs_conf_count,byrow(confs,lam"&amp;"bda(conf,counta('Draft Order'!B$2:B622)-COUNTUNIQUE(filter(D$2:D99,E$2:E99=conf)))),query({confs,confs_count,confs_picked,p_needs_conf_count},""select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1">
      <c r="A101" s="1">
        <v>100.0</v>
      </c>
      <c r="B101" s="1">
        <v>9.0</v>
      </c>
      <c r="C101" s="1">
        <v>4.0</v>
      </c>
      <c r="D101" s="115" t="s">
        <v>193</v>
      </c>
      <c r="E101" s="116" t="str">
        <f>if(F101&lt;&gt;"",VLOOKUP(F101,offset('Teams-Conference'!A:B,0,(counta('Draft Order'!B$2:B622)-10)*2),2,0),"")</f>
        <v>CUSA</v>
      </c>
      <c r="F101" s="117" t="s">
        <v>236</v>
      </c>
      <c r="G101" s="106" t="str">
        <f t="shared" si="58"/>
        <v>Regular Pick</v>
      </c>
      <c r="H101" s="106">
        <f t="shared" si="63"/>
        <v>0</v>
      </c>
      <c r="I101" s="106">
        <f>countif(E102:E121,E101)</f>
        <v>4</v>
      </c>
      <c r="J101" s="106">
        <f t="shared" si="62"/>
        <v>1</v>
      </c>
      <c r="K101" s="106">
        <f t="shared" si="39"/>
        <v>1</v>
      </c>
      <c r="L101" s="106">
        <v>7.0</v>
      </c>
      <c r="M101" s="106">
        <f>IFERROR(__xludf.DUMMYFUNCTION("counta(iferror(filter(L$2:L100,E$2:E100=E101,L$2:L100&lt;L101)))"),3.0)</f>
        <v>3</v>
      </c>
      <c r="N101" s="106">
        <f>IFERROR(__xludf.DUMMYFUNCTION("counta(iferror(filter(L102:L$121,E102:E$121=E101,L102:L$624&gt;L101)))"),0.0)</f>
        <v>0</v>
      </c>
      <c r="O101" s="152"/>
      <c r="P101" s="106" t="b">
        <f>IFERROR(__xludf.DUMMYFUNCTION("if(F101="""","""",let(wc_picked, countifs(E$1:E100,E101,G$1:G100,""This is your wild card pick""), let(spots_filled,counta(unique(filter(D$2:E101,E$2:E101=E101)))/2,let(total,VLOOKUP(E101,'Conf WC Eligibility'!A:C,3,0),if(E101=""zIndependent"", TRUE,total"&amp;"-wc_picked&gt;12)))))"),FALSE)</f>
        <v>0</v>
      </c>
      <c r="Q101" s="107">
        <f t="array" ref="Q101:AB101">XLOOKUP(F101,'Current Week'!C:C,'Current Week'!D:O)</f>
        <v>7</v>
      </c>
      <c r="R101" s="106">
        <v>5.0</v>
      </c>
      <c r="S101" s="106" t="s">
        <v>683</v>
      </c>
      <c r="T101" s="106" t="s">
        <v>61</v>
      </c>
      <c r="U101" s="106" t="s">
        <v>249</v>
      </c>
      <c r="V101" s="106"/>
      <c r="W101" s="106" t="s">
        <v>67</v>
      </c>
      <c r="X101" s="106">
        <v>-1.5</v>
      </c>
      <c r="Y101" s="106" t="s">
        <v>67</v>
      </c>
      <c r="Z101" s="106">
        <v>47.5</v>
      </c>
      <c r="AA101" s="106">
        <v>305.0</v>
      </c>
      <c r="AB101" s="106">
        <v>340.0</v>
      </c>
      <c r="AC101" s="108" t="b">
        <v>1</v>
      </c>
      <c r="AD101" s="109">
        <f t="shared" si="4"/>
        <v>-3</v>
      </c>
      <c r="AE101" s="110">
        <f t="shared" si="5"/>
        <v>39</v>
      </c>
      <c r="AF101" s="110">
        <f>IFERROR(__xludf.DUMMYFUNCTION("iferror(COUNT(filter($Q102:$Q$400,$Q102:$Q$400&gt;$Q101)))"),6.0)</f>
        <v>6</v>
      </c>
      <c r="AG101" s="111">
        <f t="shared" si="6"/>
        <v>0</v>
      </c>
      <c r="AH101" s="112">
        <f t="shared" si="7"/>
        <v>7</v>
      </c>
      <c r="AI101" s="113" t="str">
        <f>IFERROR(__xludf.DUMMYFUNCTION("iferror(join("","",index(sort(filter($F102:$F$401,$Q102:$Q$401&gt;$Q101),2,false),0,1)))"),"Pittsburgh,Vanderbilt,New Mexico,Kennesaw State,Wake Forest,Arizona")</f>
        <v>Pittsburgh,Vanderbilt,New Mexico,Kennesaw State,Wake Forest,Arizona</v>
      </c>
      <c r="AJ101" s="114">
        <f>IFERROR(__xludf.DUMMYFUNCTION("iferror($Q101-max(filter($Q101:$Q$400,$E101:$E$400=$E$2)))"),1.0)</f>
        <v>1</v>
      </c>
      <c r="AK101" s="110">
        <f t="shared" si="8"/>
        <v>1</v>
      </c>
      <c r="AL101" s="110">
        <f>IFERROR(__xludf.DUMMYFUNCTION("iferror(COUNT(filter($Q102:$Q$400,$Q102:$Q$400&gt;$Q101,$E101:$E$400=$E$2)))"),0.0)</f>
        <v>0</v>
      </c>
      <c r="AM101" s="111">
        <f t="shared" si="9"/>
        <v>0</v>
      </c>
      <c r="AN101" s="110">
        <f>IFERROR(__xludf.DUMMYFUNCTION("iferror($Q101-min(filter($Q101:$Q$400,$E101:$E$400=$E$2)))"),5.0)</f>
        <v>5</v>
      </c>
      <c r="AO101" s="113" t="str">
        <f>IFERROR(__xludf.DUMMYFUNCTION("iferror(join("","",index(sort(filter($F102:$F$400,$Q102:$Q$400&gt;$Q101,$E102:$E$400=$E$2),2,false),0,1)))"),"")</f>
        <v/>
      </c>
      <c r="AP101" s="113" t="str">
        <f>IFERROR(__xludf.DUMMYFUNCTION("REGEXREPLACE(join("","",unique({let(conf_picked,filter(E$1:E100,D$1:D100=D101), byrow(unique(TRANSPOSe(Teams!$1:$1)),lambda(rw,if(ISERROR(match(rw,conf_picked,0)),rw,))));if(AW101,,transpose(split(AX101,"","",1,1)))})), ""^,"", """")"),"CUSA,MWC,zIndependent")</f>
        <v>CUSA,MWC,zIndependent</v>
      </c>
      <c r="AQ101" s="114">
        <f>IFERROR(__xludf.DUMMYFUNCTION("iferror($Q101-max(filter($Q101:$Q$400,arrayformula(isnumber(FIND($E101:$E$400,AP101))))))"),-2.0)</f>
        <v>-2</v>
      </c>
      <c r="AR101" s="110">
        <f t="array" ref="AR101">countifs($Q$2:$Q100,"&lt;"&amp;$Q101,isnumber(FIND($E$2:$E100,AP101)),TRUE)</f>
        <v>8</v>
      </c>
      <c r="AS101" s="110">
        <f>IFERROR(__xludf.DUMMYFUNCTION("iferror(COUNT(filter($Q102:$Q$400,$Q102:$Q$400&gt;$Q101,arrayformula(isnumber(FIND($E102:$E$400,AP101))))))"),2.0)</f>
        <v>2</v>
      </c>
      <c r="AT101" s="111">
        <f t="shared" si="10"/>
        <v>0</v>
      </c>
      <c r="AU101" s="110">
        <f>IFERROR(__xludf.DUMMYFUNCTION("iferror($Q101-min(filter($Q101:$Q$400,arrayformula(isnumber(FIND($E101:$E$400,AP101))))))"),5.0)</f>
        <v>5</v>
      </c>
      <c r="AV101" s="113" t="str">
        <f>IFERROR(__xludf.DUMMYFUNCTION("iferror(join("","",index(sort(filter($F102:$F$400,$Q102:$Q$400&gt;$Q101,arrayformula(isnumber(FIND($E102:$E$400,AP101)))),2,false),0,1)))"),"New Mexico,Kennesaw State")</f>
        <v>New Mexico,Kennesaw State</v>
      </c>
      <c r="AW101" s="113" t="b">
        <f>IFERROR(__xludf.DUMMYFUNCTION("isnumber(find(""wild card"",join("","",filter($G$1:$G100,$D$1:$D100=D101))))"),TRUE)</f>
        <v>1</v>
      </c>
      <c r="AX101" s="113" t="str">
        <f>IFERROR(__xludf.DUMMYFUNCTION("join("","",let(confs,unique(TRANSPOSe(Teams!$1:$1)), confs_count, BYROW(confs,lambda(conf,xlookup(conf,'Conf WC Eligibility'!A:A,'Conf WC Eligibility'!C:C,,))),confs_picked,byrow(confs,lambda(conf,countif(E$1:E100,conf))),p_needs_conf_count,byrow(confs,la"&amp;"mbda(conf,counta('Draft Order'!B$2:B622)-COUNTUNIQUE(filter(D$2:D100,E$2:E100=conf)))),query({confs,confs_count,confs_picked,p_needs_conf_count},""select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2">
      <c r="A102" s="1">
        <v>101.0</v>
      </c>
      <c r="B102" s="1">
        <v>9.0</v>
      </c>
      <c r="C102" s="1">
        <v>5.0</v>
      </c>
      <c r="D102" s="115" t="s">
        <v>311</v>
      </c>
      <c r="E102" s="116" t="str">
        <f>if(F102&lt;&gt;"",VLOOKUP(F102,offset('Teams-Conference'!A:B,0,(counta('Draft Order'!B$2:B622)-10)*2),2,0),"")</f>
        <v>Sun Belt</v>
      </c>
      <c r="F102" s="77" t="s">
        <v>152</v>
      </c>
      <c r="G102" s="106" t="str">
        <f t="shared" si="58"/>
        <v>Regular Pick</v>
      </c>
      <c r="H102" s="106">
        <f t="shared" si="63"/>
        <v>1</v>
      </c>
      <c r="I102" s="106">
        <f t="shared" ref="I102:I109" si="64">countif(E103:E623,E102)</f>
        <v>4</v>
      </c>
      <c r="J102" s="106">
        <f t="shared" si="62"/>
        <v>0</v>
      </c>
      <c r="K102" s="106">
        <f t="shared" si="39"/>
        <v>0</v>
      </c>
      <c r="L102" s="106">
        <v>5.0</v>
      </c>
      <c r="M102" s="106">
        <f>IFERROR(__xludf.DUMMYFUNCTION("counta(iferror(filter(L$2:L101,E$2:E101=E102,L$2:L101&lt;L102)))"),1.0)</f>
        <v>1</v>
      </c>
      <c r="N102" s="106">
        <f>IFERROR(__xludf.DUMMYFUNCTION("counta(iferror(filter(L103:L$121,E103:E$121=E102,L103:L$624&gt;L102)))"),0.0)</f>
        <v>0</v>
      </c>
      <c r="O102" s="152"/>
      <c r="P102" s="106" t="b">
        <f>IFERROR(__xludf.DUMMYFUNCTION("if(F102="""","""",let(wc_picked, countifs(E$1:E101,E102,G$1:G101,""This is your wild card pick""), let(spots_filled,counta(unique(filter(D$2:E102,E$2:E102=E102)))/2,let(total,VLOOKUP(E102,'Conf WC Eligibility'!A:C,3,0),if(E102=""zIndependent"", TRUE,total"&amp;"-wc_picked&gt;12)))))"),TRUE)</f>
        <v>1</v>
      </c>
      <c r="Q102" s="107">
        <f t="array" ref="Q102:AB102">XLOOKUP(F102,'Current Week'!C:C,'Current Week'!D:O)</f>
        <v>5</v>
      </c>
      <c r="R102" s="106">
        <v>7.0</v>
      </c>
      <c r="S102" s="106" t="s">
        <v>696</v>
      </c>
      <c r="T102" s="106" t="s">
        <v>61</v>
      </c>
      <c r="U102" s="106" t="s">
        <v>224</v>
      </c>
      <c r="V102" s="106"/>
      <c r="W102" s="106" t="s">
        <v>67</v>
      </c>
      <c r="X102" s="106">
        <v>-10.5</v>
      </c>
      <c r="Y102" s="106" t="s">
        <v>67</v>
      </c>
      <c r="Z102" s="106">
        <v>62.5</v>
      </c>
      <c r="AA102" s="106">
        <v>369.0</v>
      </c>
      <c r="AB102" s="106">
        <v>363.0</v>
      </c>
      <c r="AC102" s="108" t="b">
        <v>1</v>
      </c>
      <c r="AD102" s="109">
        <f t="shared" si="4"/>
        <v>-5</v>
      </c>
      <c r="AE102" s="110">
        <f t="shared" si="5"/>
        <v>21</v>
      </c>
      <c r="AF102" s="110">
        <f>IFERROR(__xludf.DUMMYFUNCTION("iferror(COUNT(filter($Q103:$Q$400,$Q103:$Q$400&gt;$Q102)))"),11.0)</f>
        <v>11</v>
      </c>
      <c r="AG102" s="111">
        <f t="shared" si="6"/>
        <v>0</v>
      </c>
      <c r="AH102" s="112">
        <f t="shared" si="7"/>
        <v>5</v>
      </c>
      <c r="AI102" s="113" t="str">
        <f>IFERROR(__xludf.DUMMYFUNCTION("iferror(join("","",index(sort(filter($F103:$F$401,$Q103:$Q$401&gt;$Q102),2,false),0,1)))"),"Pittsburgh,Arkansas State,Vanderbilt,Delaware,New Mexico,Kennesaw State,Wake Forest,Arizona,Northwestern,Washington State,Southern Mississippi")</f>
        <v>Pittsburgh,Arkansas State,Vanderbilt,Delaware,New Mexico,Kennesaw State,Wake Forest,Arizona,Northwestern,Washington State,Southern Mississippi</v>
      </c>
      <c r="AJ102" s="114">
        <f>IFERROR(__xludf.DUMMYFUNCTION("iferror($Q102-max(filter($Q102:$Q$400,$E102:$E$400=$E$2)))"),-1.0)</f>
        <v>-1</v>
      </c>
      <c r="AK102" s="110">
        <f t="shared" si="8"/>
        <v>0</v>
      </c>
      <c r="AL102" s="110">
        <f>IFERROR(__xludf.DUMMYFUNCTION("iferror(COUNT(filter($Q103:$Q$400,$Q103:$Q$400&gt;$Q102,$E102:$E$400=$E$2)))"),0.0)</f>
        <v>0</v>
      </c>
      <c r="AM102" s="111">
        <f t="shared" si="9"/>
        <v>0</v>
      </c>
      <c r="AN102" s="110">
        <f>IFERROR(__xludf.DUMMYFUNCTION("iferror($Q102-min(filter($Q102:$Q$400,$E102:$E$400=$E$2)))"),3.0)</f>
        <v>3</v>
      </c>
      <c r="AO102" s="113" t="str">
        <f>IFERROR(__xludf.DUMMYFUNCTION("iferror(join("","",index(sort(filter($F103:$F$400,$Q103:$Q$400&gt;$Q102,$E103:$E$400=$E$2),2,false),0,1)))"),"Northwestern")</f>
        <v>Northwestern</v>
      </c>
      <c r="AP102" s="113" t="str">
        <f>IFERROR(__xludf.DUMMYFUNCTION("REGEXREPLACE(join("","",unique({let(conf_picked,filter(E$1:E101,D$1:D101=D102), byrow(unique(TRANSPOSe(Teams!$1:$1)),lambda(rw,if(ISERROR(match(rw,conf_picked,0)),rw,))));if(AW102,,transpose(split(AX102,"","",1,1)))})), ""^,"", """")"),"CUSA,Pac12,Sun Belt,zIndependent")</f>
        <v>CUSA,Pac12,Sun Belt,zIndependent</v>
      </c>
      <c r="AQ102" s="114">
        <f>IFERROR(__xludf.DUMMYFUNCTION("iferror($Q102-max(filter($Q102:$Q$400,arrayformula(isnumber(FIND($E102:$E$400,AP102))))))"),-4.0)</f>
        <v>-4</v>
      </c>
      <c r="AR102" s="110">
        <f t="array" ref="AR102">countifs($Q$2:$Q101,"&lt;"&amp;$Q102,isnumber(FIND($E$2:$E101,AP102)),TRUE)</f>
        <v>5</v>
      </c>
      <c r="AS102" s="110">
        <f>IFERROR(__xludf.DUMMYFUNCTION("iferror(COUNT(filter($Q103:$Q$400,$Q103:$Q$400&gt;$Q102,arrayformula(isnumber(FIND($E103:$E$400,AP102))))))"),5.0)</f>
        <v>5</v>
      </c>
      <c r="AT102" s="111">
        <f t="shared" si="10"/>
        <v>0</v>
      </c>
      <c r="AU102" s="110">
        <f>IFERROR(__xludf.DUMMYFUNCTION("iferror($Q102-min(filter($Q102:$Q$400,arrayformula(isnumber(FIND($E102:$E$400,AP102))))))"),4.0)</f>
        <v>4</v>
      </c>
      <c r="AV102" s="113" t="str">
        <f>IFERROR(__xludf.DUMMYFUNCTION("iferror(join("","",index(sort(filter($F103:$F$400,$Q103:$Q$400&gt;$Q102,arrayformula(isnumber(FIND($E103:$E$400,AP102)))),2,false),0,1)))"),"Arkansas State,Delaware,Kennesaw State,Washington State,Southern Mississippi")</f>
        <v>Arkansas State,Delaware,Kennesaw State,Washington State,Southern Mississippi</v>
      </c>
      <c r="AW102" s="113" t="b">
        <f>IFERROR(__xludf.DUMMYFUNCTION("isnumber(find(""wild card"",join("","",filter($G$1:$G101,$D$1:$D101=D102))))"),TRUE)</f>
        <v>1</v>
      </c>
      <c r="AX102" s="113" t="str">
        <f>IFERROR(__xludf.DUMMYFUNCTION("join("","",let(confs,unique(TRANSPOSe(Teams!$1:$1)), confs_count, BYROW(confs,lambda(conf,xlookup(conf,'Conf WC Eligibility'!A:A,'Conf WC Eligibility'!C:C,,))),confs_picked,byrow(confs,lambda(conf,countif(E$1:E101,conf))),p_needs_conf_count,byrow(confs,la"&amp;"mbda(conf,counta('Draft Order'!B$2:B622)-COUNTUNIQUE(filter(D$2:D101,E$2:E101=conf)))),query({confs,confs_count,confs_picked,p_needs_conf_count},""select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3">
      <c r="A103" s="1">
        <v>102.0</v>
      </c>
      <c r="B103" s="1">
        <v>9.0</v>
      </c>
      <c r="C103" s="1">
        <v>6.0</v>
      </c>
      <c r="D103" s="115" t="s">
        <v>224</v>
      </c>
      <c r="E103" s="116" t="str">
        <f>if(F103&lt;&gt;"",VLOOKUP(F103,offset('Teams-Conference'!A:B,0,(counta('Draft Order'!B$2:B622)-10)*2),2,0),"")</f>
        <v>Big Ten</v>
      </c>
      <c r="F103" s="117" t="s">
        <v>140</v>
      </c>
      <c r="G103" s="106" t="str">
        <f t="shared" si="58"/>
        <v>Regular Pick</v>
      </c>
      <c r="H103" s="106">
        <f t="shared" si="63"/>
        <v>1</v>
      </c>
      <c r="I103" s="106">
        <f t="shared" si="64"/>
        <v>6</v>
      </c>
      <c r="J103" s="106">
        <f t="shared" si="62"/>
        <v>0</v>
      </c>
      <c r="K103" s="106">
        <f t="shared" si="39"/>
        <v>2</v>
      </c>
      <c r="L103" s="106">
        <v>4.0</v>
      </c>
      <c r="M103" s="106">
        <f>IFERROR(__xludf.DUMMYFUNCTION("counta(iferror(filter(L$2:L102,E$2:E102=E103,L$2:L102&lt;L103)))"),0.0)</f>
        <v>0</v>
      </c>
      <c r="N103" s="106">
        <f>IFERROR(__xludf.DUMMYFUNCTION("counta(iferror(filter(L104:L$121,E104:E$121=E103,L104:L$624&gt;L103)))"),0.0)</f>
        <v>0</v>
      </c>
      <c r="O103" s="152"/>
      <c r="P103" s="106" t="b">
        <f>IFERROR(__xludf.DUMMYFUNCTION("if(F103="""","""",let(wc_picked, countifs(E$1:E102,E103,G$1:G102,""This is your wild card pick""), let(spots_filled,counta(unique(filter(D$2:E103,E$2:E103=E103)))/2,let(total,VLOOKUP(E103,'Conf WC Eligibility'!A:C,3,0),if(E103=""zIndependent"", TRUE,total"&amp;"-wc_picked&gt;12)))))"),TRUE)</f>
        <v>1</v>
      </c>
      <c r="Q103" s="107">
        <f t="array" ref="Q103:AB103">XLOOKUP(F103,'Current Week'!C:C,'Current Week'!D:O)</f>
        <v>4</v>
      </c>
      <c r="R103" s="106">
        <v>8.0</v>
      </c>
      <c r="S103" s="106" t="s">
        <v>707</v>
      </c>
      <c r="T103" s="106" t="s">
        <v>61</v>
      </c>
      <c r="U103" s="106" t="s">
        <v>493</v>
      </c>
      <c r="V103" s="106"/>
      <c r="W103" s="106" t="s">
        <v>67</v>
      </c>
      <c r="X103" s="106">
        <v>-3.5</v>
      </c>
      <c r="Y103" s="106" t="s">
        <v>67</v>
      </c>
      <c r="Z103" s="106">
        <v>48.5</v>
      </c>
      <c r="AA103" s="106">
        <v>295.0</v>
      </c>
      <c r="AB103" s="106">
        <v>359.0</v>
      </c>
      <c r="AC103" s="108" t="b">
        <v>1</v>
      </c>
      <c r="AD103" s="109">
        <f t="shared" si="4"/>
        <v>-6</v>
      </c>
      <c r="AE103" s="110">
        <f t="shared" si="5"/>
        <v>8</v>
      </c>
      <c r="AF103" s="110">
        <f>IFERROR(__xludf.DUMMYFUNCTION("iferror(COUNT(filter($Q104:$Q$400,$Q104:$Q$400&gt;$Q103)))"),17.0)</f>
        <v>17</v>
      </c>
      <c r="AG103" s="111">
        <f t="shared" si="6"/>
        <v>0</v>
      </c>
      <c r="AH103" s="112">
        <f t="shared" si="7"/>
        <v>4</v>
      </c>
      <c r="AI103" s="113" t="str">
        <f>IFERROR(__xludf.DUMMYFUNCTION("iferror(join("","",index(sort(filter($F104:$F$401,$Q104:$Q$401&gt;$Q103),2,false),0,1)))"),"Pittsburgh,Rutgers,Arkansas State,Vanderbilt,Delaware,New Mexico,Kennesaw State,Rice,Temple,Wake Forest,Arizona,Northwestern,Kent State,Washington State,Kentucky,Mississippi State,Southern Mississippi")</f>
        <v>Pittsburgh,Rutgers,Arkansas State,Vanderbilt,Delaware,New Mexico,Kennesaw State,Rice,Temple,Wake Forest,Arizona,Northwestern,Kent State,Washington State,Kentucky,Mississippi State,Southern Mississippi</v>
      </c>
      <c r="AJ103" s="114">
        <f>IFERROR(__xludf.DUMMYFUNCTION("iferror($Q103-max(filter($Q103:$Q$400,$E103:$E$400=$E$2)))"),-2.0)</f>
        <v>-2</v>
      </c>
      <c r="AK103" s="110">
        <f t="shared" si="8"/>
        <v>0</v>
      </c>
      <c r="AL103" s="110">
        <f>IFERROR(__xludf.DUMMYFUNCTION("iferror(COUNT(filter($Q104:$Q$400,$Q104:$Q$400&gt;$Q103,$E103:$E$400=$E$2)))"),0.0)</f>
        <v>0</v>
      </c>
      <c r="AM103" s="111">
        <f t="shared" si="9"/>
        <v>0</v>
      </c>
      <c r="AN103" s="110">
        <f>IFERROR(__xludf.DUMMYFUNCTION("iferror($Q103-min(filter($Q103:$Q$400,$E103:$E$400=$E$2)))"),2.0)</f>
        <v>2</v>
      </c>
      <c r="AO103" s="113" t="str">
        <f>IFERROR(__xludf.DUMMYFUNCTION("iferror(join("","",index(sort(filter($F104:$F$400,$Q104:$Q$400&gt;$Q103,$E104:$E$400=$E$2),2,false),0,1)))"),"Rutgers,Northwestern")</f>
        <v>Rutgers,Northwestern</v>
      </c>
      <c r="AP103" s="113" t="str">
        <f>IFERROR(__xludf.DUMMYFUNCTION("REGEXREPLACE(join("","",unique({let(conf_picked,filter(E$1:E102,D$1:D102=D103), byrow(unique(TRANSPOSe(Teams!$1:$1)),lambda(rw,if(ISERROR(match(rw,conf_picked,0)),rw,))));if(AW103,,transpose(split(AX103,"","",1,1)))})), ""^,"", """")"),"Big Ten,CUSA,Pac12,zIndependent")</f>
        <v>Big Ten,CUSA,Pac12,zIndependent</v>
      </c>
      <c r="AQ103" s="114">
        <f>IFERROR(__xludf.DUMMYFUNCTION("iferror($Q103-max(filter($Q103:$Q$400,arrayformula(isnumber(FIND($E103:$E$400,AP103))))))"),-5.0)</f>
        <v>-5</v>
      </c>
      <c r="AR103" s="110">
        <f t="array" ref="AR103">countifs($Q$2:$Q102,"&lt;"&amp;$Q103,isnumber(FIND($E$2:$E102,AP103)),TRUE)</f>
        <v>2</v>
      </c>
      <c r="AS103" s="110">
        <f>IFERROR(__xludf.DUMMYFUNCTION("iferror(COUNT(filter($Q104:$Q$400,$Q104:$Q$400&gt;$Q103,arrayformula(isnumber(FIND($E104:$E$400,AP103))))))"),5.0)</f>
        <v>5</v>
      </c>
      <c r="AT103" s="111">
        <f t="shared" si="10"/>
        <v>0</v>
      </c>
      <c r="AU103" s="110">
        <f>IFERROR(__xludf.DUMMYFUNCTION("iferror($Q103-min(filter($Q103:$Q$400,arrayformula(isnumber(FIND($E103:$E$400,AP103))))))"),2.0)</f>
        <v>2</v>
      </c>
      <c r="AV103" s="113" t="str">
        <f>IFERROR(__xludf.DUMMYFUNCTION("iferror(join("","",index(sort(filter($F104:$F$400,$Q104:$Q$400&gt;$Q103,arrayformula(isnumber(FIND($E104:$E$400,AP103)))),2,false),0,1)))"),"Rutgers,Delaware,Kennesaw State,Northwestern,Washington State")</f>
        <v>Rutgers,Delaware,Kennesaw State,Northwestern,Washington State</v>
      </c>
      <c r="AW103" s="113" t="b">
        <f>IFERROR(__xludf.DUMMYFUNCTION("isnumber(find(""wild card"",join("","",filter($G$1:$G102,$D$1:$D102=D103))))"),TRUE)</f>
        <v>1</v>
      </c>
      <c r="AX103" s="113" t="str">
        <f>IFERROR(__xludf.DUMMYFUNCTION("join("","",let(confs,unique(TRANSPOSe(Teams!$1:$1)), confs_count, BYROW(confs,lambda(conf,xlookup(conf,'Conf WC Eligibility'!A:A,'Conf WC Eligibility'!C:C,,))),confs_picked,byrow(confs,lambda(conf,countif(E$1:E102,conf))),p_needs_conf_count,byrow(confs,la"&amp;"mbda(conf,counta('Draft Order'!B$2:B622)-COUNTUNIQUE(filter(D$2:D102,E$2:E102=conf)))),query({confs,confs_count,confs_picked,p_needs_conf_count},""select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4">
      <c r="A104" s="1">
        <v>103.0</v>
      </c>
      <c r="B104" s="1">
        <v>9.0</v>
      </c>
      <c r="C104" s="1">
        <v>7.0</v>
      </c>
      <c r="D104" s="115" t="s">
        <v>96</v>
      </c>
      <c r="E104" s="116" t="str">
        <f>if(F104&lt;&gt;"",VLOOKUP(F104,offset('Teams-Conference'!A:B,0,(counta('Draft Order'!B$2:B622)-10)*2),2,0),"")</f>
        <v>Big 12</v>
      </c>
      <c r="F104" s="77" t="s">
        <v>129</v>
      </c>
      <c r="G104" s="106" t="str">
        <f t="shared" si="58"/>
        <v>Regular Pick</v>
      </c>
      <c r="H104" s="106">
        <f t="shared" si="63"/>
        <v>1</v>
      </c>
      <c r="I104" s="106">
        <f t="shared" si="64"/>
        <v>2</v>
      </c>
      <c r="J104" s="106">
        <f t="shared" si="62"/>
        <v>0</v>
      </c>
      <c r="K104" s="106">
        <f t="shared" si="39"/>
        <v>3</v>
      </c>
      <c r="L104" s="106">
        <v>1.0</v>
      </c>
      <c r="M104" s="106">
        <f>IFERROR(__xludf.DUMMYFUNCTION("counta(iferror(filter(L$2:L103,E$2:E103=E104,L$2:L103&lt;L104)))"),0.0)</f>
        <v>0</v>
      </c>
      <c r="N104" s="106">
        <f>IFERROR(__xludf.DUMMYFUNCTION("counta(iferror(filter(L105:L$121,E105:E$121=E104,L105:L$624&gt;L104)))"),0.0)</f>
        <v>0</v>
      </c>
      <c r="O104" s="152"/>
      <c r="P104" s="106" t="b">
        <f>IFERROR(__xludf.DUMMYFUNCTION("if(F104="""","""",let(wc_picked, countifs(E$1:E103,E104,G$1:G103,""This is your wild card pick""), let(spots_filled,counta(unique(filter(D$2:E104,E$2:E104=E104)))/2,let(total,VLOOKUP(E104,'Conf WC Eligibility'!A:C,3,0),if(E104=""zIndependent"", TRUE,total"&amp;"-wc_picked&gt;12)))))"),TRUE)</f>
        <v>1</v>
      </c>
      <c r="Q104" s="107">
        <f t="array" ref="Q104:AB104">XLOOKUP(F104,'Current Week'!C:C,'Current Week'!D:O)</f>
        <v>1</v>
      </c>
      <c r="R104" s="106">
        <v>11.0</v>
      </c>
      <c r="S104" s="106" t="s">
        <v>699</v>
      </c>
      <c r="T104" s="106" t="s">
        <v>61</v>
      </c>
      <c r="U104" s="106" t="s">
        <v>311</v>
      </c>
      <c r="V104" s="106"/>
      <c r="W104" s="106" t="s">
        <v>67</v>
      </c>
      <c r="X104" s="106">
        <v>13.5</v>
      </c>
      <c r="Y104" s="106" t="s">
        <v>67</v>
      </c>
      <c r="Z104" s="106">
        <v>46.5</v>
      </c>
      <c r="AA104" s="106">
        <v>170.0</v>
      </c>
      <c r="AB104" s="106">
        <v>400.0</v>
      </c>
      <c r="AC104" s="108" t="b">
        <v>1</v>
      </c>
      <c r="AD104" s="109">
        <f t="shared" si="4"/>
        <v>-9</v>
      </c>
      <c r="AE104" s="110">
        <f t="shared" si="5"/>
        <v>1</v>
      </c>
      <c r="AF104" s="110">
        <f>IFERROR(__xludf.DUMMYFUNCTION("iferror(COUNT(filter($Q105:$Q$400,$Q105:$Q$400&gt;$Q104)))"),31.0)</f>
        <v>31</v>
      </c>
      <c r="AG104" s="111">
        <f t="shared" si="6"/>
        <v>0</v>
      </c>
      <c r="AH104" s="112">
        <f t="shared" si="7"/>
        <v>1</v>
      </c>
      <c r="AI104" s="113" t="str">
        <f>IFERROR(__xludf.DUMMYFUNCTION("iferror(join("","",index(sort(filter($F105:$F$401,$Q105:$Q$401&gt;$Q104),2,false),0,1)))"),"Pittsburgh,Arkansas,Rutgers,Arkansas State,West Virginia,Vanderbilt,Nevada,Wisconsin,Middle Tennessee,Delaware,Sam Houston,New Mexico,UCLA,Kennesaw State,Rice,Temple,Tulsa,Boston College,Stanford,Syracuse,Wake Forest,Arizona,Maryland,Northwestern,Purdue,K"&amp;"ent State,Washington State,Kentucky,Mississippi State,Southern Mississippi,UL Monroe")</f>
        <v>Pittsburgh,Arkansas,Rutgers,Arkansas State,West Virginia,Vanderbilt,Nevada,Wisconsin,Middle Tennessee,Delaware,Sam Houston,New Mexico,UCLA,Kennesaw State,Rice,Temple,Tulsa,Boston College,Stanford,Syracuse,Wake Forest,Arizona,Maryland,Northwestern,Purdue,Kent State,Washington State,Kentucky,Mississippi State,Southern Mississippi,UL Monroe</v>
      </c>
      <c r="AJ104" s="114">
        <f>IFERROR(__xludf.DUMMYFUNCTION("iferror($Q104-max(filter($Q104:$Q$400,$E104:$E$400=$E$2)))"),-5.0)</f>
        <v>-5</v>
      </c>
      <c r="AK104" s="110">
        <f t="shared" si="8"/>
        <v>0</v>
      </c>
      <c r="AL104" s="110">
        <f>IFERROR(__xludf.DUMMYFUNCTION("iferror(COUNT(filter($Q105:$Q$400,$Q105:$Q$400&gt;$Q104,$E104:$E$400=$E$2)))"),0.0)</f>
        <v>0</v>
      </c>
      <c r="AM104" s="111">
        <f t="shared" si="9"/>
        <v>0</v>
      </c>
      <c r="AN104" s="110">
        <f>IFERROR(__xludf.DUMMYFUNCTION("iferror($Q104-min(filter($Q104:$Q$400,$E104:$E$400=$E$2)))"),-1.0)</f>
        <v>-1</v>
      </c>
      <c r="AO104" s="113" t="str">
        <f>IFERROR(__xludf.DUMMYFUNCTION("iferror(join("","",index(sort(filter($F105:$F$400,$Q105:$Q$400&gt;$Q104,$E105:$E$400=$E$2),2,false),0,1)))"),"Rutgers,Wisconsin,UCLA,Maryland,Northwestern,Purdue")</f>
        <v>Rutgers,Wisconsin,UCLA,Maryland,Northwestern,Purdue</v>
      </c>
      <c r="AP104" s="113" t="str">
        <f>IFERROR(__xludf.DUMMYFUNCTION("REGEXREPLACE(join("","",unique({let(conf_picked,filter(E$1:E103,D$1:D103=D104), byrow(unique(TRANSPOSe(Teams!$1:$1)),lambda(rw,if(ISERROR(match(rw,conf_picked,0)),rw,))));if(AW104,,transpose(split(AX104,"","",1,1)))})), ""^,"", """")"),"Big 12,CUSA,Pac12")</f>
        <v>Big 12,CUSA,Pac12</v>
      </c>
      <c r="AQ104" s="114">
        <f>IFERROR(__xludf.DUMMYFUNCTION("iferror($Q104-max(filter($Q104:$Q$400,arrayformula(isnumber(FIND($E104:$E$400,AP104))))))"),-8.0)</f>
        <v>-8</v>
      </c>
      <c r="AR104" s="110">
        <f t="array" ref="AR104">countifs($Q$2:$Q103,"&lt;"&amp;$Q104,isnumber(FIND($E$2:$E103,AP104)),TRUE)</f>
        <v>0</v>
      </c>
      <c r="AS104" s="110">
        <f>IFERROR(__xludf.DUMMYFUNCTION("iferror(COUNT(filter($Q105:$Q$400,$Q105:$Q$400&gt;$Q104,arrayformula(isnumber(FIND($E105:$E$400,AP104))))))"),7.0)</f>
        <v>7</v>
      </c>
      <c r="AT104" s="111">
        <f t="shared" si="10"/>
        <v>0</v>
      </c>
      <c r="AU104" s="110">
        <f>IFERROR(__xludf.DUMMYFUNCTION("iferror($Q104-min(filter($Q104:$Q$400,arrayformula(isnumber(FIND($E104:$E$400,AP104))))))"),0.0)</f>
        <v>0</v>
      </c>
      <c r="AV104" s="113" t="str">
        <f>IFERROR(__xludf.DUMMYFUNCTION("iferror(join("","",index(sort(filter($F105:$F$400,$Q105:$Q$400&gt;$Q104,arrayformula(isnumber(FIND($E105:$E$400,AP104)))),2,false),0,1)))"),"West Virginia,Middle Tennessee,Delaware,Sam Houston,Kennesaw State,Arizona,Washington State")</f>
        <v>West Virginia,Middle Tennessee,Delaware,Sam Houston,Kennesaw State,Arizona,Washington State</v>
      </c>
      <c r="AW104" s="113" t="b">
        <f>IFERROR(__xludf.DUMMYFUNCTION("isnumber(find(""wild card"",join("","",filter($G$1:$G103,$D$1:$D103=D104))))"),TRUE)</f>
        <v>1</v>
      </c>
      <c r="AX104" s="113" t="str">
        <f>IFERROR(__xludf.DUMMYFUNCTION("join("","",let(confs,unique(TRANSPOSe(Teams!$1:$1)), confs_count, BYROW(confs,lambda(conf,xlookup(conf,'Conf WC Eligibility'!A:A,'Conf WC Eligibility'!C:C,,))),confs_picked,byrow(confs,lambda(conf,countif(E$1:E103,conf))),p_needs_conf_count,byrow(confs,la"&amp;"mbda(conf,counta('Draft Order'!B$2:B622)-COUNTUNIQUE(filter(D$2:D103,E$2:E103=conf)))),query({confs,confs_count,confs_picked,p_needs_conf_count},""select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5">
      <c r="A105" s="1">
        <v>104.0</v>
      </c>
      <c r="B105" s="1">
        <v>9.0</v>
      </c>
      <c r="C105" s="1">
        <v>8.0</v>
      </c>
      <c r="D105" s="115" t="s">
        <v>238</v>
      </c>
      <c r="E105" s="116" t="str">
        <f>if(F105&lt;&gt;"",VLOOKUP(F105,offset('Teams-Conference'!A:B,0,(counta('Draft Order'!B$2:B622)-10)*2),2,0),"")</f>
        <v>ACC</v>
      </c>
      <c r="F105" s="77" t="s">
        <v>119</v>
      </c>
      <c r="G105" s="106" t="str">
        <f t="shared" si="58"/>
        <v>Regular Pick</v>
      </c>
      <c r="H105" s="106">
        <f t="shared" si="63"/>
        <v>0</v>
      </c>
      <c r="I105" s="106">
        <f t="shared" si="64"/>
        <v>4</v>
      </c>
      <c r="J105" s="106">
        <f t="shared" si="62"/>
        <v>2</v>
      </c>
      <c r="K105" s="106">
        <f t="shared" si="39"/>
        <v>0</v>
      </c>
      <c r="L105" s="106">
        <v>8.0</v>
      </c>
      <c r="M105" s="106">
        <f>IFERROR(__xludf.DUMMYFUNCTION("counta(iferror(filter(L$2:L104,E$2:E104=E105,L$2:L104&lt;L105)))"),7.0)</f>
        <v>7</v>
      </c>
      <c r="N105" s="106">
        <f>IFERROR(__xludf.DUMMYFUNCTION("counta(iferror(filter(L106:L$121,E106:E$121=E105,L106:L$624&gt;L105)))"),0.0)</f>
        <v>0</v>
      </c>
      <c r="O105" s="152"/>
      <c r="P105" s="106" t="b">
        <f>IFERROR(__xludf.DUMMYFUNCTION("if(F105="""","""",let(wc_picked, countifs(E$1:E104,E105,G$1:G104,""This is your wild card pick""), let(spots_filled,counta(unique(filter(D$2:E105,E$2:E105=E105)))/2,let(total,VLOOKUP(E105,'Conf WC Eligibility'!A:C,3,0),if(E105=""zIndependent"", TRUE,total"&amp;"-wc_picked&gt;12)))))"),TRUE)</f>
        <v>1</v>
      </c>
      <c r="Q105" s="107">
        <f t="array" ref="Q105:AB105">XLOOKUP(F105,'Current Week'!C:C,'Current Week'!D:O)</f>
        <v>8</v>
      </c>
      <c r="R105" s="106">
        <v>4.0</v>
      </c>
      <c r="S105" s="106" t="s">
        <v>741</v>
      </c>
      <c r="T105" s="106" t="s">
        <v>61</v>
      </c>
      <c r="U105" s="106" t="s">
        <v>156</v>
      </c>
      <c r="V105" s="106"/>
      <c r="W105" s="106" t="s">
        <v>67</v>
      </c>
      <c r="X105" s="106">
        <v>7.0</v>
      </c>
      <c r="Y105" s="106" t="s">
        <v>67</v>
      </c>
      <c r="Z105" s="106">
        <v>49.5</v>
      </c>
      <c r="AA105" s="106">
        <v>421.0</v>
      </c>
      <c r="AB105" s="106">
        <v>299.0</v>
      </c>
      <c r="AC105" s="108" t="b">
        <v>1</v>
      </c>
      <c r="AD105" s="109">
        <f t="shared" si="4"/>
        <v>-2</v>
      </c>
      <c r="AE105" s="110">
        <f t="shared" si="5"/>
        <v>55</v>
      </c>
      <c r="AF105" s="110">
        <f>IFERROR(__xludf.DUMMYFUNCTION("iferror(COUNT(filter($Q106:$Q$400,$Q106:$Q$400&gt;$Q105)))"),4.0)</f>
        <v>4</v>
      </c>
      <c r="AG105" s="111">
        <f t="shared" si="6"/>
        <v>0</v>
      </c>
      <c r="AH105" s="112">
        <f t="shared" si="7"/>
        <v>8</v>
      </c>
      <c r="AI105" s="113" t="str">
        <f>IFERROR(__xludf.DUMMYFUNCTION("iferror(join("","",index(sort(filter($F106:$F$401,$Q106:$Q$401&gt;$Q105),2,false),0,1)))"),"Vanderbilt,New Mexico,Kennesaw State,Arizona")</f>
        <v>Vanderbilt,New Mexico,Kennesaw State,Arizona</v>
      </c>
      <c r="AJ105" s="114">
        <f>IFERROR(__xludf.DUMMYFUNCTION("iferror($Q105-max(filter($Q105:$Q$400,$E105:$E$400=$E$2)))"),2.0)</f>
        <v>2</v>
      </c>
      <c r="AK105" s="110">
        <f t="shared" si="8"/>
        <v>4</v>
      </c>
      <c r="AL105" s="110">
        <f>IFERROR(__xludf.DUMMYFUNCTION("iferror(COUNT(filter($Q106:$Q$400,$Q106:$Q$400&gt;$Q105,$E105:$E$400=$E$2)))"),0.0)</f>
        <v>0</v>
      </c>
      <c r="AM105" s="111">
        <f t="shared" si="9"/>
        <v>0</v>
      </c>
      <c r="AN105" s="110">
        <f>IFERROR(__xludf.DUMMYFUNCTION("iferror($Q105-min(filter($Q105:$Q$400,$E105:$E$400=$E$2)))"),6.0)</f>
        <v>6</v>
      </c>
      <c r="AO105" s="113" t="str">
        <f>IFERROR(__xludf.DUMMYFUNCTION("iferror(join("","",index(sort(filter($F106:$F$400,$Q106:$Q$400&gt;$Q105,$E106:$E$400=$E$2),2,false),0,1)))"),"")</f>
        <v/>
      </c>
      <c r="AP105" s="113" t="str">
        <f>IFERROR(__xludf.DUMMYFUNCTION("REGEXREPLACE(join("","",unique({let(conf_picked,filter(E$1:E104,D$1:D104=D105), byrow(unique(TRANSPOSe(Teams!$1:$1)),lambda(rw,if(ISERROR(match(rw,conf_picked,0)),rw,))));if(AW105,,transpose(split(AX105,"","",1,1)))})), ""^,"", """")"),"ACC,Pac12,zIndependent,AAC,Big 12,Big Ten,MAC,SEC,Sun Belt")</f>
        <v>ACC,Pac12,zIndependent,AAC,Big 12,Big Ten,MAC,SEC,Sun Belt</v>
      </c>
      <c r="AQ105" s="114">
        <f>IFERROR(__xludf.DUMMYFUNCTION("iferror($Q105-max(filter($Q105:$Q$400,arrayformula(isnumber(FIND($E105:$E$400,AP105))))))"),-2.0)</f>
        <v>-2</v>
      </c>
      <c r="AR105" s="110">
        <f t="array" ref="AR105">countifs($Q$2:$Q104,"&lt;"&amp;$Q105,isnumber(FIND($E$2:$E104,AP105)),TRUE)</f>
        <v>44</v>
      </c>
      <c r="AS105" s="110">
        <f>IFERROR(__xludf.DUMMYFUNCTION("iferror(COUNT(filter($Q106:$Q$400,$Q106:$Q$400&gt;$Q105,arrayformula(isnumber(FIND($E106:$E$400,AP105))))))"),2.0)</f>
        <v>2</v>
      </c>
      <c r="AT105" s="111">
        <f t="shared" si="10"/>
        <v>0</v>
      </c>
      <c r="AU105" s="110">
        <f>IFERROR(__xludf.DUMMYFUNCTION("iferror($Q105-min(filter($Q105:$Q$400,arrayformula(isnumber(FIND($E105:$E$400,AP105))))))"),7.0)</f>
        <v>7</v>
      </c>
      <c r="AV105" s="113" t="str">
        <f>IFERROR(__xludf.DUMMYFUNCTION("iferror(join("","",index(sort(filter($F106:$F$400,$Q106:$Q$400&gt;$Q105,arrayformula(isnumber(FIND($E106:$E$400,AP105)))),2,false),0,1)))"),"Vanderbilt,Arizona")</f>
        <v>Vanderbilt,Arizona</v>
      </c>
      <c r="AW105" s="113" t="b">
        <f>IFERROR(__xludf.DUMMYFUNCTION("isnumber(find(""wild card"",join("","",filter($G$1:$G104,$D$1:$D104=D105))))"),FALSE)</f>
        <v>0</v>
      </c>
      <c r="AX105" s="113" t="str">
        <f>IFERROR(__xludf.DUMMYFUNCTION("join("","",let(confs,unique(TRANSPOSe(Teams!$1:$1)), confs_count, BYROW(confs,lambda(conf,xlookup(conf,'Conf WC Eligibility'!A:A,'Conf WC Eligibility'!C:C,,))),confs_picked,byrow(confs,lambda(conf,countif(E$1:E104,conf))),p_needs_conf_count,byrow(confs,la"&amp;"mbda(conf,counta('Draft Order'!B$2:B622)-COUNTUNIQUE(filter(D$2:D104,E$2:E104=conf)))),query({confs,confs_count,confs_picked,p_needs_conf_count},""select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6">
      <c r="A106" s="1">
        <v>105.0</v>
      </c>
      <c r="B106" s="1">
        <v>9.0</v>
      </c>
      <c r="C106" s="1">
        <v>9.0</v>
      </c>
      <c r="D106" s="115" t="s">
        <v>156</v>
      </c>
      <c r="E106" s="116" t="str">
        <f>if(F106&lt;&gt;"",VLOOKUP(F106,offset('Teams-Conference'!A:B,0,(counta('Draft Order'!B$2:B622)-10)*2),2,0),"")</f>
        <v>SEC</v>
      </c>
      <c r="F106" s="77" t="s">
        <v>202</v>
      </c>
      <c r="G106" s="106" t="str">
        <f t="shared" si="58"/>
        <v>This is your wild card pick</v>
      </c>
      <c r="H106" s="106">
        <f t="shared" si="63"/>
        <v>1</v>
      </c>
      <c r="I106" s="106">
        <f t="shared" si="64"/>
        <v>3</v>
      </c>
      <c r="J106" s="106">
        <f t="shared" si="62"/>
        <v>0</v>
      </c>
      <c r="K106" s="106">
        <f t="shared" si="39"/>
        <v>1</v>
      </c>
      <c r="L106" s="106">
        <v>2.0</v>
      </c>
      <c r="M106" s="106">
        <f>IFERROR(__xludf.DUMMYFUNCTION("counta(iferror(filter(L$2:L105,E$2:E105=E106,L$2:L105&lt;L106)))"),0.0)</f>
        <v>0</v>
      </c>
      <c r="N106" s="106">
        <f>IFERROR(__xludf.DUMMYFUNCTION("counta(iferror(filter(L107:L$121,E107:E$121=E106,L107:L$624&gt;L106)))"),0.0)</f>
        <v>0</v>
      </c>
      <c r="O106" s="152"/>
      <c r="P106" s="106" t="b">
        <f>IFERROR(__xludf.DUMMYFUNCTION("if(F106="""","""",let(wc_picked, countifs(E$1:E105,E106,G$1:G105,""This is your wild card pick""), let(spots_filled,counta(unique(filter(D$2:E106,E$2:E106=E106)))/2,let(total,VLOOKUP(E106,'Conf WC Eligibility'!A:C,3,0),if(E106=""zIndependent"", TRUE,total"&amp;"-wc_picked&gt;12)))))"),TRUE)</f>
        <v>1</v>
      </c>
      <c r="Q106" s="107">
        <f t="array" ref="Q106:AB106">XLOOKUP(F106,'Current Week'!C:C,'Current Week'!D:O)</f>
        <v>2</v>
      </c>
      <c r="R106" s="106">
        <v>10.0</v>
      </c>
      <c r="S106" s="106" t="s">
        <v>749</v>
      </c>
      <c r="T106" s="106" t="s">
        <v>61</v>
      </c>
      <c r="U106" s="106" t="s">
        <v>156</v>
      </c>
      <c r="V106" s="106"/>
      <c r="W106" s="106" t="s">
        <v>67</v>
      </c>
      <c r="X106" s="106">
        <v>2.5</v>
      </c>
      <c r="Y106" s="106" t="s">
        <v>67</v>
      </c>
      <c r="Z106" s="106">
        <v>55.5</v>
      </c>
      <c r="AA106" s="106">
        <v>395.0</v>
      </c>
      <c r="AB106" s="106">
        <v>406.0</v>
      </c>
      <c r="AC106" s="108" t="b">
        <v>1</v>
      </c>
      <c r="AD106" s="109">
        <f t="shared" si="4"/>
        <v>-8</v>
      </c>
      <c r="AE106" s="110">
        <f t="shared" si="5"/>
        <v>2</v>
      </c>
      <c r="AF106" s="110">
        <f>IFERROR(__xludf.DUMMYFUNCTION("iferror(COUNT(filter($Q107:$Q$400,$Q107:$Q$400&gt;$Q106)))"),26.0)</f>
        <v>26</v>
      </c>
      <c r="AG106" s="111">
        <f t="shared" si="6"/>
        <v>0</v>
      </c>
      <c r="AH106" s="112">
        <f t="shared" si="7"/>
        <v>2</v>
      </c>
      <c r="AI106" s="113" t="str">
        <f>IFERROR(__xludf.DUMMYFUNCTION("iferror(join("","",index(sort(filter($F107:$F$401,$Q107:$Q$401&gt;$Q106),2,false),0,1)))"),"Rutgers,Arkansas State,West Virginia,Vanderbilt,Nevada,Wisconsin,Middle Tennessee,Delaware,New Mexico,UCLA,Kennesaw State,Rice,Temple,Tulsa,Stanford,Syracuse,Wake Forest,Arizona,Maryland,Northwestern,Kent State,Washington State,Kentucky,Mississippi State,"&amp;"Southern Mississippi,UL Monroe")</f>
        <v>Rutgers,Arkansas State,West Virginia,Vanderbilt,Nevada,Wisconsin,Middle Tennessee,Delaware,New Mexico,UCLA,Kennesaw State,Rice,Temple,Tulsa,Stanford,Syracuse,Wake Forest,Arizona,Maryland,Northwestern,Kent State,Washington State,Kentucky,Mississippi State,Southern Mississippi,UL Monroe</v>
      </c>
      <c r="AJ106" s="114">
        <f>IFERROR(__xludf.DUMMYFUNCTION("iferror($Q106-max(filter($Q106:$Q$400,$E106:$E$400=$E$2)))"),-4.0)</f>
        <v>-4</v>
      </c>
      <c r="AK106" s="110">
        <f t="shared" si="8"/>
        <v>0</v>
      </c>
      <c r="AL106" s="110">
        <f>IFERROR(__xludf.DUMMYFUNCTION("iferror(COUNT(filter($Q107:$Q$400,$Q107:$Q$400&gt;$Q106,$E106:$E$400=$E$2)))"),0.0)</f>
        <v>0</v>
      </c>
      <c r="AM106" s="111">
        <f t="shared" si="9"/>
        <v>0</v>
      </c>
      <c r="AN106" s="110">
        <f>IFERROR(__xludf.DUMMYFUNCTION("iferror($Q106-min(filter($Q106:$Q$400,$E106:$E$400=$E$2)))"),0.0)</f>
        <v>0</v>
      </c>
      <c r="AO106" s="113" t="str">
        <f>IFERROR(__xludf.DUMMYFUNCTION("iferror(join("","",index(sort(filter($F107:$F$400,$Q107:$Q$400&gt;$Q106,$E107:$E$400=$E$2),2,false),0,1)))"),"Rutgers,Wisconsin,UCLA,Maryland,Northwestern")</f>
        <v>Rutgers,Wisconsin,UCLA,Maryland,Northwestern</v>
      </c>
      <c r="AP106" s="113" t="str">
        <f>IFERROR(__xludf.DUMMYFUNCTION("REGEXREPLACE(join("","",unique({let(conf_picked,filter(E$1:E105,D$1:D105=D106), byrow(unique(TRANSPOSe(Teams!$1:$1)),lambda(rw,if(ISERROR(match(rw,conf_picked,0)),rw,))));if(AW106,,transpose(split(AX106,"","",1,1)))})), ""^,"", """")"),"MWC,Pac12,zIndependent,AAC,ACC,Big 12,Big Ten,MAC,SEC,Sun Belt")</f>
        <v>MWC,Pac12,zIndependent,AAC,ACC,Big 12,Big Ten,MAC,SEC,Sun Belt</v>
      </c>
      <c r="AQ106" s="114">
        <f>IFERROR(__xludf.DUMMYFUNCTION("iferror($Q106-max(filter($Q106:$Q$400,arrayformula(isnumber(FIND($E106:$E$400,AP106))))))"),-8.0)</f>
        <v>-8</v>
      </c>
      <c r="AR106" s="110">
        <f t="array" ref="AR106">countifs($Q$2:$Q105,"&lt;"&amp;$Q106,isnumber(FIND($E$2:$E105,AP106)),TRUE)</f>
        <v>2</v>
      </c>
      <c r="AS106" s="110">
        <f>IFERROR(__xludf.DUMMYFUNCTION("iferror(COUNT(filter($Q107:$Q$400,$Q107:$Q$400&gt;$Q106,arrayformula(isnumber(FIND($E107:$E$400,AP106))))))"),23.0)</f>
        <v>23</v>
      </c>
      <c r="AT106" s="111">
        <f t="shared" si="10"/>
        <v>0</v>
      </c>
      <c r="AU106" s="110">
        <f>IFERROR(__xludf.DUMMYFUNCTION("iferror($Q106-min(filter($Q106:$Q$400,arrayformula(isnumber(FIND($E106:$E$400,AP106))))))"),1.0)</f>
        <v>1</v>
      </c>
      <c r="AV106" s="113" t="str">
        <f>IFERROR(__xludf.DUMMYFUNCTION("iferror(join("","",index(sort(filter($F107:$F$400,$Q107:$Q$400&gt;$Q106,arrayformula(isnumber(FIND($E107:$E$400,AP106)))),2,false),0,1)))"),"Rutgers,Arkansas State,West Virginia,Vanderbilt,Nevada,Wisconsin,New Mexico,UCLA,Rice,Temple,Tulsa,Stanford,Syracuse,Wake Forest,Arizona,Maryland,Northwestern,Kent State,Washington State,Kentucky,Mississippi State,Southern Mississippi,UL Monroe")</f>
        <v>Rutgers,Arkansas State,West Virginia,Vanderbilt,Nevada,Wisconsin,New Mexico,UCLA,Rice,Temple,Tulsa,Stanford,Syracuse,Wake Forest,Arizona,Maryland,Northwestern,Kent State,Washington State,Kentucky,Mississippi State,Southern Mississippi,UL Monroe</v>
      </c>
      <c r="AW106" s="113" t="b">
        <f>IFERROR(__xludf.DUMMYFUNCTION("isnumber(find(""wild card"",join("","",filter($G$1:$G105,$D$1:$D105=D106))))"),FALSE)</f>
        <v>0</v>
      </c>
      <c r="AX106" s="113" t="str">
        <f>IFERROR(__xludf.DUMMYFUNCTION("join("","",let(confs,unique(TRANSPOSe(Teams!$1:$1)), confs_count, BYROW(confs,lambda(conf,xlookup(conf,'Conf WC Eligibility'!A:A,'Conf WC Eligibility'!C:C,,))),confs_picked,byrow(confs,lambda(conf,countif(E$1:E105,conf))),p_needs_conf_count,byrow(confs,la"&amp;"mbda(conf,counta('Draft Order'!B$2:B622)-COUNTUNIQUE(filter(D$2:D105,E$2:E105=conf)))),query({confs,confs_count,confs_picked,p_needs_conf_count},""select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7">
      <c r="A107" s="1">
        <v>106.0</v>
      </c>
      <c r="B107" s="1">
        <v>9.0</v>
      </c>
      <c r="C107" s="1">
        <v>10.0</v>
      </c>
      <c r="D107" s="115" t="s">
        <v>249</v>
      </c>
      <c r="E107" s="116" t="str">
        <f>if(F107&lt;&gt;"",VLOOKUP(F107,offset('Teams-Conference'!A:B,0,(counta('Draft Order'!B$2:B622)-10)*2),2,0),"")</f>
        <v>AAC</v>
      </c>
      <c r="F107" s="77" t="s">
        <v>159</v>
      </c>
      <c r="G107" s="106" t="str">
        <f t="shared" si="58"/>
        <v>Regular Pick</v>
      </c>
      <c r="H107" s="106">
        <f t="shared" si="63"/>
        <v>0</v>
      </c>
      <c r="I107" s="106">
        <f t="shared" si="64"/>
        <v>3</v>
      </c>
      <c r="J107" s="106">
        <f t="shared" si="62"/>
        <v>0</v>
      </c>
      <c r="K107" s="106">
        <f t="shared" si="39"/>
        <v>1</v>
      </c>
      <c r="L107" s="106">
        <v>1.0</v>
      </c>
      <c r="M107" s="106">
        <f>IFERROR(__xludf.DUMMYFUNCTION("counta(iferror(filter(L$2:L106,E$2:E106=E107,L$2:L106&lt;L107)))"),0.0)</f>
        <v>0</v>
      </c>
      <c r="N107" s="106">
        <f>IFERROR(__xludf.DUMMYFUNCTION("counta(iferror(filter(L108:L$121,E108:E$121=E107,L108:L$624&gt;L107)))"),0.0)</f>
        <v>0</v>
      </c>
      <c r="O107" s="106"/>
      <c r="P107" s="106" t="b">
        <f>IFERROR(__xludf.DUMMYFUNCTION("if(F107="""","""",let(wc_picked, countifs(E$1:E106,E107,G$1:G106,""This is your wild card pick""), let(spots_filled,counta(unique(filter(D$2:E107,E$2:E107=E107)))/2,let(total,VLOOKUP(E107,'Conf WC Eligibility'!A:C,3,0),if(E107=""zIndependent"", TRUE,total"&amp;"-wc_picked&gt;12)))))"),TRUE)</f>
        <v>1</v>
      </c>
      <c r="Q107" s="107">
        <f t="array" ref="Q107:AB107">XLOOKUP(F107,'Current Week'!C:C,'Current Week'!D:O)</f>
        <v>1</v>
      </c>
      <c r="R107" s="106">
        <v>11.0</v>
      </c>
      <c r="S107" s="106" t="s">
        <v>760</v>
      </c>
      <c r="T107" s="106" t="s">
        <v>61</v>
      </c>
      <c r="U107" s="106" t="s">
        <v>132</v>
      </c>
      <c r="V107" s="106"/>
      <c r="W107" s="106" t="s">
        <v>67</v>
      </c>
      <c r="X107" s="106">
        <v>30.5</v>
      </c>
      <c r="Y107" s="106" t="s">
        <v>67</v>
      </c>
      <c r="Z107" s="106">
        <v>52.5</v>
      </c>
      <c r="AA107" s="106">
        <v>172.0</v>
      </c>
      <c r="AB107" s="106">
        <v>436.0</v>
      </c>
      <c r="AC107" s="108" t="b">
        <v>1</v>
      </c>
      <c r="AD107" s="109">
        <f t="shared" si="4"/>
        <v>-9</v>
      </c>
      <c r="AE107" s="110">
        <f t="shared" si="5"/>
        <v>1</v>
      </c>
      <c r="AF107" s="110">
        <f>IFERROR(__xludf.DUMMYFUNCTION("iferror(COUNT(filter($Q108:$Q$400,$Q108:$Q$400&gt;$Q107)))"),29.0)</f>
        <v>29</v>
      </c>
      <c r="AG107" s="111">
        <f t="shared" si="6"/>
        <v>0</v>
      </c>
      <c r="AH107" s="112">
        <f t="shared" si="7"/>
        <v>1</v>
      </c>
      <c r="AI107" s="113" t="str">
        <f>IFERROR(__xludf.DUMMYFUNCTION("iferror(join("","",index(sort(filter($F108:$F$401,$Q108:$Q$401&gt;$Q107),2,false),0,1)))"),"Rutgers,Arkansas State,West Virginia,Vanderbilt,Nevada,Wisconsin,Middle Tennessee,Delaware,Sam Houston,New Mexico,UCLA,Kennesaw State,Rice,Temple,Tulsa,Boston College,Stanford,Syracuse,Wake Forest,Arizona,Maryland,Northwestern,Purdue,Kent State,Washington"&amp;" State,Kentucky,Mississippi State,Southern Mississippi,UL Monroe")</f>
        <v>Rutgers,Arkansas State,West Virginia,Vanderbilt,Nevada,Wisconsin,Middle Tennessee,Delaware,Sam Houston,New Mexico,UCLA,Kennesaw State,Rice,Temple,Tulsa,Boston College,Stanford,Syracuse,Wake Forest,Arizona,Maryland,Northwestern,Purdue,Kent State,Washington State,Kentucky,Mississippi State,Southern Mississippi,UL Monroe</v>
      </c>
      <c r="AJ107" s="114">
        <f>IFERROR(__xludf.DUMMYFUNCTION("iferror($Q107-max(filter($Q107:$Q$400,$E107:$E$400=$E$2)))"),-5.0)</f>
        <v>-5</v>
      </c>
      <c r="AK107" s="110">
        <f t="shared" si="8"/>
        <v>0</v>
      </c>
      <c r="AL107" s="110">
        <f>IFERROR(__xludf.DUMMYFUNCTION("iferror(COUNT(filter($Q108:$Q$400,$Q108:$Q$400&gt;$Q107,$E107:$E$400=$E$2)))"),0.0)</f>
        <v>0</v>
      </c>
      <c r="AM107" s="111">
        <f t="shared" si="9"/>
        <v>0</v>
      </c>
      <c r="AN107" s="110">
        <f>IFERROR(__xludf.DUMMYFUNCTION("iferror($Q107-min(filter($Q107:$Q$400,$E107:$E$400=$E$2)))"),-1.0)</f>
        <v>-1</v>
      </c>
      <c r="AO107" s="113" t="str">
        <f>IFERROR(__xludf.DUMMYFUNCTION("iferror(join("","",index(sort(filter($F108:$F$400,$Q108:$Q$400&gt;$Q107,$E108:$E$400=$E$2),2,false),0,1)))"),"Rutgers,Wisconsin,UCLA,Maryland,Northwestern,Purdue")</f>
        <v>Rutgers,Wisconsin,UCLA,Maryland,Northwestern,Purdue</v>
      </c>
      <c r="AP107" s="113" t="str">
        <f>IFERROR(__xludf.DUMMYFUNCTION("REGEXREPLACE(join("","",unique({let(conf_picked,filter(E$1:E106,D$1:D106=D107), byrow(unique(TRANSPOSe(Teams!$1:$1)),lambda(rw,if(ISERROR(match(rw,conf_picked,0)),rw,))));if(AW107,,transpose(split(AX107,"","",1,1)))})), ""^,"", """")"),"AAC,,Pac12,Sun Belt,zIndependent")</f>
        <v>AAC,,Pac12,Sun Belt,zIndependent</v>
      </c>
      <c r="AQ107" s="114">
        <f>IFERROR(__xludf.DUMMYFUNCTION("iferror($Q107-max(filter($Q107:$Q$400,arrayformula(isnumber(FIND($E107:$E$400,AP107))))))"),-6.0)</f>
        <v>-6</v>
      </c>
      <c r="AR107" s="110">
        <f t="array" ref="AR107">countifs($Q$2:$Q106,"&lt;"&amp;$Q107,isnumber(FIND($E$2:$E106,AP107)),TRUE)</f>
        <v>0</v>
      </c>
      <c r="AS107" s="110">
        <f>IFERROR(__xludf.DUMMYFUNCTION("iferror(COUNT(filter($Q108:$Q$400,$Q108:$Q$400&gt;$Q107,arrayformula(isnumber(FIND($E108:$E$400,AP107))))))"),7.0)</f>
        <v>7</v>
      </c>
      <c r="AT107" s="111">
        <f t="shared" si="10"/>
        <v>0</v>
      </c>
      <c r="AU107" s="110">
        <f>IFERROR(__xludf.DUMMYFUNCTION("iferror($Q107-min(filter($Q107:$Q$400,arrayformula(isnumber(FIND($E107:$E$400,AP107))))))"),0.0)</f>
        <v>0</v>
      </c>
      <c r="AV107" s="113" t="str">
        <f>IFERROR(__xludf.DUMMYFUNCTION("iferror(join("","",index(sort(filter($F108:$F$400,$Q108:$Q$400&gt;$Q107,arrayformula(isnumber(FIND($E108:$E$400,AP107)))),2,false),0,1)))"),"Arkansas State,Rice,Temple,Tulsa,Washington State,Southern Mississippi,UL Monroe")</f>
        <v>Arkansas State,Rice,Temple,Tulsa,Washington State,Southern Mississippi,UL Monroe</v>
      </c>
      <c r="AW107" s="113" t="b">
        <f>IFERROR(__xludf.DUMMYFUNCTION("isnumber(find(""wild card"",join("","",filter($G$1:$G106,$D$1:$D106=D107))))"),TRUE)</f>
        <v>1</v>
      </c>
      <c r="AX107" s="113" t="str">
        <f>IFERROR(__xludf.DUMMYFUNCTION("join("","",let(confs,unique(TRANSPOSe(Teams!$1:$1)), confs_count, BYROW(confs,lambda(conf,xlookup(conf,'Conf WC Eligibility'!A:A,'Conf WC Eligibility'!C:C,,))),confs_picked,byrow(confs,lambda(conf,countif(E$1:E106,conf))),p_needs_conf_count,byrow(confs,la"&amp;"mbda(conf,counta('Draft Order'!B$2:B622)-COUNTUNIQUE(filter(D$2:D106,E$2:E106=conf)))),query({confs,confs_count,confs_picked,p_needs_conf_count},""select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8">
      <c r="A108" s="1">
        <v>107.0</v>
      </c>
      <c r="B108" s="1">
        <v>9.0</v>
      </c>
      <c r="C108" s="1">
        <v>11.0</v>
      </c>
      <c r="D108" s="115" t="s">
        <v>395</v>
      </c>
      <c r="E108" s="116" t="str">
        <f>if(F108&lt;&gt;"",VLOOKUP(F108,offset('Teams-Conference'!A:B,0,(counta('Draft Order'!B$2:B622)-10)*2),2,0),"")</f>
        <v>Big Ten</v>
      </c>
      <c r="F108" s="117" t="s">
        <v>147</v>
      </c>
      <c r="G108" s="106" t="str">
        <f t="shared" si="58"/>
        <v>Regular Pick</v>
      </c>
      <c r="H108" s="106">
        <f t="shared" si="63"/>
        <v>1</v>
      </c>
      <c r="I108" s="106">
        <f t="shared" si="64"/>
        <v>5</v>
      </c>
      <c r="J108" s="106">
        <f t="shared" ref="J108:J109" si="65">countif(E98:E107,E108)</f>
        <v>1</v>
      </c>
      <c r="K108" s="106">
        <f t="shared" si="39"/>
        <v>1</v>
      </c>
      <c r="L108" s="106">
        <v>5.0</v>
      </c>
      <c r="M108" s="106">
        <f>IFERROR(__xludf.DUMMYFUNCTION("counta(iferror(filter(L$2:L107,E$2:E107=E108,L$2:L107&lt;L108)))"),1.0)</f>
        <v>1</v>
      </c>
      <c r="N108" s="106">
        <f>IFERROR(__xludf.DUMMYFUNCTION("counta(iferror(filter(L109:L$121,E109:E$121=E108,L109:L$624&gt;L108)))"),0.0)</f>
        <v>0</v>
      </c>
      <c r="O108" s="152"/>
      <c r="P108" s="106" t="b">
        <f>IFERROR(__xludf.DUMMYFUNCTION("if(F108="""","""",let(wc_picked, countifs(E$1:E107,E108,G$1:G107,""This is your wild card pick""), let(spots_filled,counta(unique(filter(D$2:E108,E$2:E108=E108)))/2,let(total,VLOOKUP(E108,'Conf WC Eligibility'!A:C,3,0),if(E108=""zIndependent"", TRUE,total"&amp;"-wc_picked&gt;12)))))"),TRUE)</f>
        <v>1</v>
      </c>
      <c r="Q108" s="107">
        <f t="array" ref="Q108:AB108">XLOOKUP(F108,'Current Week'!C:C,'Current Week'!D:O)</f>
        <v>5</v>
      </c>
      <c r="R108" s="106">
        <v>7.0</v>
      </c>
      <c r="S108" s="106" t="s">
        <v>392</v>
      </c>
      <c r="T108" s="106" t="s">
        <v>61</v>
      </c>
      <c r="U108" s="106" t="s">
        <v>43</v>
      </c>
      <c r="V108" s="106"/>
      <c r="W108" s="106" t="s">
        <v>67</v>
      </c>
      <c r="X108" s="106">
        <v>14.0</v>
      </c>
      <c r="Y108" s="106" t="s">
        <v>67</v>
      </c>
      <c r="Z108" s="106">
        <v>55.5</v>
      </c>
      <c r="AA108" s="106">
        <v>344.0</v>
      </c>
      <c r="AB108" s="106">
        <v>382.0</v>
      </c>
      <c r="AC108" s="108" t="b">
        <v>1</v>
      </c>
      <c r="AD108" s="109">
        <f t="shared" si="4"/>
        <v>-5</v>
      </c>
      <c r="AE108" s="110">
        <f t="shared" si="5"/>
        <v>25</v>
      </c>
      <c r="AF108" s="110">
        <f>IFERROR(__xludf.DUMMYFUNCTION("iferror(COUNT(filter($Q109:$Q$400,$Q109:$Q$400&gt;$Q108)))"),10.0)</f>
        <v>10</v>
      </c>
      <c r="AG108" s="111">
        <f t="shared" si="6"/>
        <v>0</v>
      </c>
      <c r="AH108" s="112">
        <f t="shared" si="7"/>
        <v>5</v>
      </c>
      <c r="AI108" s="113" t="str">
        <f>IFERROR(__xludf.DUMMYFUNCTION("iferror(join("","",index(sort(filter($F109:$F$401,$Q109:$Q$401&gt;$Q108),2,false),0,1)))"),"Arkansas State,Vanderbilt,Delaware,New Mexico,Kennesaw State,Wake Forest,Arizona,Northwestern,Washington State,Southern Mississippi")</f>
        <v>Arkansas State,Vanderbilt,Delaware,New Mexico,Kennesaw State,Wake Forest,Arizona,Northwestern,Washington State,Southern Mississippi</v>
      </c>
      <c r="AJ108" s="114">
        <f>IFERROR(__xludf.DUMMYFUNCTION("iferror($Q108-max(filter($Q108:$Q$400,$E108:$E$400=$E$2)))"),-1.0)</f>
        <v>-1</v>
      </c>
      <c r="AK108" s="110">
        <f t="shared" si="8"/>
        <v>1</v>
      </c>
      <c r="AL108" s="110">
        <f>IFERROR(__xludf.DUMMYFUNCTION("iferror(COUNT(filter($Q109:$Q$400,$Q109:$Q$400&gt;$Q108,$E108:$E$400=$E$2)))"),0.0)</f>
        <v>0</v>
      </c>
      <c r="AM108" s="111">
        <f t="shared" si="9"/>
        <v>0</v>
      </c>
      <c r="AN108" s="110">
        <f>IFERROR(__xludf.DUMMYFUNCTION("iferror($Q108-min(filter($Q108:$Q$400,$E108:$E$400=$E$2)))"),3.0)</f>
        <v>3</v>
      </c>
      <c r="AO108" s="113" t="str">
        <f>IFERROR(__xludf.DUMMYFUNCTION("iferror(join("","",index(sort(filter($F109:$F$400,$Q109:$Q$400&gt;$Q108,$E109:$E$400=$E$2),2,false),0,1)))"),"Northwestern")</f>
        <v>Northwestern</v>
      </c>
      <c r="AP108" s="113" t="str">
        <f>IFERROR(__xludf.DUMMYFUNCTION("REGEXREPLACE(join("","",unique({let(conf_picked,filter(E$1:E107,D$1:D107=D108), byrow(unique(TRANSPOSe(Teams!$1:$1)),lambda(rw,if(ISERROR(match(rw,conf_picked,0)),rw,))));if(AW108,,transpose(split(AX108,"","",1,1)))})), ""^,"", """")"),"Big Ten,Pac12,SEC")</f>
        <v>Big Ten,Pac12,SEC</v>
      </c>
      <c r="AQ108" s="114">
        <f>IFERROR(__xludf.DUMMYFUNCTION("iferror($Q108-max(filter($Q108:$Q$400,arrayformula(isnumber(FIND($E108:$E$400,AP108))))))"),-5.0)</f>
        <v>-5</v>
      </c>
      <c r="AR108" s="110">
        <f t="array" ref="AR108">countifs($Q$2:$Q107,"&lt;"&amp;$Q108,isnumber(FIND($E$2:$E107,AP108)),TRUE)</f>
        <v>5</v>
      </c>
      <c r="AS108" s="110">
        <f>IFERROR(__xludf.DUMMYFUNCTION("iferror(COUNT(filter($Q109:$Q$400,$Q109:$Q$400&gt;$Q108,arrayformula(isnumber(FIND($E109:$E$400,AP108))))))"),3.0)</f>
        <v>3</v>
      </c>
      <c r="AT108" s="111">
        <f t="shared" si="10"/>
        <v>0</v>
      </c>
      <c r="AU108" s="110">
        <f>IFERROR(__xludf.DUMMYFUNCTION("iferror($Q108-min(filter($Q108:$Q$400,arrayformula(isnumber(FIND($E108:$E$400,AP108))))))"),3.0)</f>
        <v>3</v>
      </c>
      <c r="AV108" s="113" t="str">
        <f>IFERROR(__xludf.DUMMYFUNCTION("iferror(join("","",index(sort(filter($F109:$F$400,$Q109:$Q$400&gt;$Q108,arrayformula(isnumber(FIND($E109:$E$400,AP108)))),2,false),0,1)))"),"Vanderbilt,Northwestern,Washington State")</f>
        <v>Vanderbilt,Northwestern,Washington State</v>
      </c>
      <c r="AW108" s="113" t="b">
        <f>IFERROR(__xludf.DUMMYFUNCTION("isnumber(find(""wild card"",join("","",filter($G$1:$G107,$D$1:$D107=D108))))"),TRUE)</f>
        <v>1</v>
      </c>
      <c r="AX108" s="113" t="str">
        <f>IFERROR(__xludf.DUMMYFUNCTION("join("","",let(confs,unique(TRANSPOSe(Teams!$1:$1)), confs_count, BYROW(confs,lambda(conf,xlookup(conf,'Conf WC Eligibility'!A:A,'Conf WC Eligibility'!C:C,,))),confs_picked,byrow(confs,lambda(conf,countif(E$1:E107,conf))),p_needs_conf_count,byrow(confs,la"&amp;"mbda(conf,counta('Draft Order'!B$2:B622)-COUNTUNIQUE(filter(D$2:D107,E$2:E107=conf)))),query({confs,confs_count,confs_picked,p_needs_conf_count},""select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09">
      <c r="A109" s="1">
        <v>108.0</v>
      </c>
      <c r="B109" s="1">
        <v>9.0</v>
      </c>
      <c r="C109" s="1">
        <v>12.0</v>
      </c>
      <c r="D109" s="115" t="s">
        <v>132</v>
      </c>
      <c r="E109" s="116" t="str">
        <f>if(F109&lt;&gt;"",VLOOKUP(F109,offset('Teams-Conference'!A:B,0,(counta('Draft Order'!B$2:B622)-10)*2),2,0),"")</f>
        <v>Sun Belt</v>
      </c>
      <c r="F109" s="77" t="s">
        <v>215</v>
      </c>
      <c r="G109" s="106" t="str">
        <f t="shared" si="58"/>
        <v>Regular Pick</v>
      </c>
      <c r="H109" s="106">
        <f t="shared" si="63"/>
        <v>1</v>
      </c>
      <c r="I109" s="106">
        <f t="shared" si="64"/>
        <v>3</v>
      </c>
      <c r="J109" s="106">
        <f t="shared" si="65"/>
        <v>1</v>
      </c>
      <c r="K109" s="106">
        <f t="shared" si="39"/>
        <v>2</v>
      </c>
      <c r="L109" s="106">
        <v>6.0</v>
      </c>
      <c r="M109" s="106">
        <f>IFERROR(__xludf.DUMMYFUNCTION("counta(iferror(filter(L$2:L108,E$2:E108=E109,L$2:L108&lt;L109)))"),3.0)</f>
        <v>3</v>
      </c>
      <c r="N109" s="106">
        <f>IFERROR(__xludf.DUMMYFUNCTION("counta(iferror(filter(L110:L$121,E110:E$121=E109,L110:L$624&gt;L109)))"),0.0)</f>
        <v>0</v>
      </c>
      <c r="O109" s="152"/>
      <c r="P109" s="106" t="b">
        <f>IFERROR(__xludf.DUMMYFUNCTION("if(F109="""","""",let(wc_picked, countifs(E$1:E108,E109,G$1:G108,""This is your wild card pick""), let(spots_filled,counta(unique(filter(D$2:E109,E$2:E109=E109)))/2,let(total,VLOOKUP(E109,'Conf WC Eligibility'!A:C,3,0),if(E109=""zIndependent"", TRUE,total"&amp;"-wc_picked&gt;12)))))"),TRUE)</f>
        <v>1</v>
      </c>
      <c r="Q109" s="107">
        <f t="array" ref="Q109:AB109">XLOOKUP(F109,'Current Week'!C:C,'Current Week'!D:O)</f>
        <v>6</v>
      </c>
      <c r="R109" s="106">
        <v>6.0</v>
      </c>
      <c r="S109" s="106" t="s">
        <v>427</v>
      </c>
      <c r="T109" s="106" t="s">
        <v>61</v>
      </c>
      <c r="U109" s="106" t="s">
        <v>43</v>
      </c>
      <c r="V109" s="106"/>
      <c r="W109" s="106" t="s">
        <v>67</v>
      </c>
      <c r="X109" s="106">
        <v>1.5</v>
      </c>
      <c r="Y109" s="106" t="s">
        <v>67</v>
      </c>
      <c r="Z109" s="106">
        <v>54.5</v>
      </c>
      <c r="AA109" s="106">
        <v>293.0</v>
      </c>
      <c r="AB109" s="106">
        <v>328.0</v>
      </c>
      <c r="AC109" s="108" t="b">
        <v>1</v>
      </c>
      <c r="AD109" s="109">
        <f t="shared" si="4"/>
        <v>-4</v>
      </c>
      <c r="AE109" s="110">
        <f t="shared" si="5"/>
        <v>35</v>
      </c>
      <c r="AF109" s="110">
        <f>IFERROR(__xludf.DUMMYFUNCTION("iferror(COUNT(filter($Q110:$Q$400,$Q110:$Q$400&gt;$Q109)))"),6.0)</f>
        <v>6</v>
      </c>
      <c r="AG109" s="111">
        <f t="shared" si="6"/>
        <v>0</v>
      </c>
      <c r="AH109" s="112">
        <f t="shared" si="7"/>
        <v>6</v>
      </c>
      <c r="AI109" s="113" t="str">
        <f>IFERROR(__xludf.DUMMYFUNCTION("iferror(join("","",index(sort(filter($F110:$F$401,$Q110:$Q$401&gt;$Q109),2,false),0,1)))"),"Vanderbilt,New Mexico,Kennesaw State,Wake Forest,Arizona,Southern Mississippi")</f>
        <v>Vanderbilt,New Mexico,Kennesaw State,Wake Forest,Arizona,Southern Mississippi</v>
      </c>
      <c r="AJ109" s="114">
        <f>IFERROR(__xludf.DUMMYFUNCTION("iferror($Q109-max(filter($Q109:$Q$400,$E109:$E$400=$E$2)))"),0.0)</f>
        <v>0</v>
      </c>
      <c r="AK109" s="110">
        <f t="shared" si="8"/>
        <v>2</v>
      </c>
      <c r="AL109" s="110">
        <f>IFERROR(__xludf.DUMMYFUNCTION("iferror(COUNT(filter($Q110:$Q$400,$Q110:$Q$400&gt;$Q109,$E109:$E$400=$E$2)))"),0.0)</f>
        <v>0</v>
      </c>
      <c r="AM109" s="111">
        <f t="shared" si="9"/>
        <v>1</v>
      </c>
      <c r="AN109" s="110">
        <f>IFERROR(__xludf.DUMMYFUNCTION("iferror($Q109-min(filter($Q109:$Q$400,$E109:$E$400=$E$2)))"),4.0)</f>
        <v>4</v>
      </c>
      <c r="AO109" s="113" t="str">
        <f>IFERROR(__xludf.DUMMYFUNCTION("iferror(join("","",index(sort(filter($F110:$F$400,$Q110:$Q$400&gt;$Q109,$E110:$E$400=$E$2),2,false),0,1)))"),"")</f>
        <v/>
      </c>
      <c r="AP109" s="113" t="str">
        <f>IFERROR(__xludf.DUMMYFUNCTION("REGEXREPLACE(join("","",unique({let(conf_picked,filter(E$1:E108,D$1:D108=D109), byrow(unique(TRANSPOSe(Teams!$1:$1)),lambda(rw,if(ISERROR(match(rw,conf_picked,0)),rw,))));if(AW109,,transpose(split(AX109,"","",1,1)))})), ""^,"", """")"),"Big 12,Pac12,Sun Belt,zIndependent")</f>
        <v>Big 12,Pac12,Sun Belt,zIndependent</v>
      </c>
      <c r="AQ109" s="114">
        <f>IFERROR(__xludf.DUMMYFUNCTION("iferror($Q109-max(filter($Q109:$Q$400,arrayformula(isnumber(FIND($E109:$E$400,AP109))))))"),-3.0)</f>
        <v>-3</v>
      </c>
      <c r="AR109" s="110">
        <f t="array" ref="AR109">countifs($Q$2:$Q108,"&lt;"&amp;$Q109,isnumber(FIND($E$2:$E108,AP109)),TRUE)</f>
        <v>9</v>
      </c>
      <c r="AS109" s="110">
        <f>IFERROR(__xludf.DUMMYFUNCTION("iferror(COUNT(filter($Q110:$Q$400,$Q110:$Q$400&gt;$Q109,arrayformula(isnumber(FIND($E110:$E$400,AP109))))))"),2.0)</f>
        <v>2</v>
      </c>
      <c r="AT109" s="111">
        <f t="shared" si="10"/>
        <v>0</v>
      </c>
      <c r="AU109" s="110">
        <f>IFERROR(__xludf.DUMMYFUNCTION("iferror($Q109-min(filter($Q109:$Q$400,arrayformula(isnumber(FIND($E109:$E$400,AP109))))))"),5.0)</f>
        <v>5</v>
      </c>
      <c r="AV109" s="113" t="str">
        <f>IFERROR(__xludf.DUMMYFUNCTION("iferror(join("","",index(sort(filter($F110:$F$400,$Q110:$Q$400&gt;$Q109,arrayformula(isnumber(FIND($E110:$E$400,AP109)))),2,false),0,1)))"),"Arizona,Southern Mississippi")</f>
        <v>Arizona,Southern Mississippi</v>
      </c>
      <c r="AW109" s="113" t="b">
        <f>IFERROR(__xludf.DUMMYFUNCTION("isnumber(find(""wild card"",join("","",filter($G$1:$G108,$D$1:$D108=D109))))"),TRUE)</f>
        <v>1</v>
      </c>
      <c r="AX109" s="113" t="str">
        <f>IFERROR(__xludf.DUMMYFUNCTION("join("","",let(confs,unique(TRANSPOSe(Teams!$1:$1)), confs_count, BYROW(confs,lambda(conf,xlookup(conf,'Conf WC Eligibility'!A:A,'Conf WC Eligibility'!C:C,,))),confs_picked,byrow(confs,lambda(conf,countif(E$1:E108,conf))),p_needs_conf_count,byrow(confs,la"&amp;"mbda(conf,counta('Draft Order'!B$2:B622)-COUNTUNIQUE(filter(D$2:D108,E$2:E108=conf)))),query({confs,confs_count,confs_picked,p_needs_conf_count},""select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0">
      <c r="A110" s="101">
        <v>109.0</v>
      </c>
      <c r="B110" s="101">
        <v>10.0</v>
      </c>
      <c r="C110" s="101">
        <v>1.0</v>
      </c>
      <c r="D110" s="103" t="str">
        <f t="array" ref="D110:D121">index(sort('Draft Order'!$A$2:$B$13,1,0),0,2)</f>
        <v>Nico</v>
      </c>
      <c r="E110" s="104" t="str">
        <f>if(F110&lt;&gt;"",VLOOKUP(F110,offset('Teams-Conference'!A:B,0,(counta('Draft Order'!B$2:B622)-10)*2),2,0),"")</f>
        <v>Big 12</v>
      </c>
      <c r="F110" s="105" t="s">
        <v>134</v>
      </c>
      <c r="G110" s="106" t="str">
        <f t="shared" si="58"/>
        <v>Regular Pick</v>
      </c>
      <c r="H110" s="106">
        <f t="shared" ref="H110:H111" si="66">countif(E111:E120,E110)</f>
        <v>0</v>
      </c>
      <c r="I110" s="106">
        <f t="shared" ref="I110:I120" si="67">countif(E111:E632,E110)</f>
        <v>1</v>
      </c>
      <c r="J110" s="106">
        <f t="shared" ref="J110:J119" si="68">countif(E101:E109,E110)</f>
        <v>1</v>
      </c>
      <c r="K110" s="106">
        <f t="shared" si="39"/>
        <v>1</v>
      </c>
      <c r="L110" s="106">
        <v>4.0</v>
      </c>
      <c r="M110" s="106">
        <f>IFERROR(__xludf.DUMMYFUNCTION("counta(iferror(filter(L$2:L109,E$2:E109=E110,L$2:L109&lt;L110)))"),2.0)</f>
        <v>2</v>
      </c>
      <c r="N110" s="106">
        <f>IFERROR(__xludf.DUMMYFUNCTION("counta(iferror(filter(L111:L$121,E111:E$121=E110,L111:L$624&gt;L110)))"),0.0)</f>
        <v>0</v>
      </c>
      <c r="O110" s="152"/>
      <c r="P110" s="106" t="b">
        <f>IFERROR(__xludf.DUMMYFUNCTION("if(F110="""","""",let(wc_picked, countifs(E$1:E109,E110,G$1:G109,""This is your wild card pick""), let(spots_filled,counta(unique(filter(D$2:E110,E$2:E110=E110)))/2,let(total,VLOOKUP(E110,'Conf WC Eligibility'!A:C,3,0),if(E110=""zIndependent"", TRUE,total"&amp;"-wc_picked&gt;12)))))"),TRUE)</f>
        <v>1</v>
      </c>
      <c r="Q110" s="107">
        <f t="array" ref="Q110:AB110">XLOOKUP(F110,'Current Week'!C:C,'Current Week'!D:O)</f>
        <v>4</v>
      </c>
      <c r="R110" s="106">
        <v>8.0</v>
      </c>
      <c r="S110" s="106" t="s">
        <v>457</v>
      </c>
      <c r="T110" s="106" t="s">
        <v>61</v>
      </c>
      <c r="U110" s="106" t="s">
        <v>43</v>
      </c>
      <c r="V110" s="106"/>
      <c r="W110" s="106" t="s">
        <v>67</v>
      </c>
      <c r="X110" s="106">
        <v>23.5</v>
      </c>
      <c r="Y110" s="106" t="s">
        <v>67</v>
      </c>
      <c r="Z110" s="106">
        <v>52.5</v>
      </c>
      <c r="AA110" s="106">
        <v>261.0</v>
      </c>
      <c r="AB110" s="106">
        <v>370.0</v>
      </c>
      <c r="AC110" s="108" t="b">
        <v>1</v>
      </c>
      <c r="AD110" s="109">
        <f t="shared" si="4"/>
        <v>-6</v>
      </c>
      <c r="AE110" s="110">
        <f t="shared" si="5"/>
        <v>11</v>
      </c>
      <c r="AF110" s="110">
        <f>IFERROR(__xludf.DUMMYFUNCTION("iferror(COUNT(filter($Q111:$Q$400,$Q111:$Q$400&gt;$Q110)))"),14.0)</f>
        <v>14</v>
      </c>
      <c r="AG110" s="111">
        <f t="shared" si="6"/>
        <v>0</v>
      </c>
      <c r="AH110" s="112">
        <f t="shared" si="7"/>
        <v>4</v>
      </c>
      <c r="AI110" s="113" t="str">
        <f>IFERROR(__xludf.DUMMYFUNCTION("iferror(join("","",index(sort(filter($F111:$F$401,$Q111:$Q$401&gt;$Q110),2,false),0,1)))"),"Vanderbilt,Delaware,New Mexico,Kennesaw State,Rice,Temple,Wake Forest,Arizona,Northwestern,Kent State,Washington State,Kentucky,Mississippi State,Southern Mississippi")</f>
        <v>Vanderbilt,Delaware,New Mexico,Kennesaw State,Rice,Temple,Wake Forest,Arizona,Northwestern,Kent State,Washington State,Kentucky,Mississippi State,Southern Mississippi</v>
      </c>
      <c r="AJ110" s="114">
        <f>IFERROR(__xludf.DUMMYFUNCTION("iferror($Q110-max(filter($Q110:$Q$400,$E110:$E$400=$E$2)))"),-2.0)</f>
        <v>-2</v>
      </c>
      <c r="AK110" s="110">
        <f t="shared" si="8"/>
        <v>0</v>
      </c>
      <c r="AL110" s="110">
        <f>IFERROR(__xludf.DUMMYFUNCTION("iferror(COUNT(filter($Q111:$Q$400,$Q111:$Q$400&gt;$Q110,$E110:$E$400=$E$2)))"),0.0)</f>
        <v>0</v>
      </c>
      <c r="AM110" s="111">
        <f t="shared" si="9"/>
        <v>0</v>
      </c>
      <c r="AN110" s="110">
        <f>IFERROR(__xludf.DUMMYFUNCTION("iferror($Q110-min(filter($Q110:$Q$400,$E110:$E$400=$E$2)))"),2.0)</f>
        <v>2</v>
      </c>
      <c r="AO110" s="113" t="str">
        <f>IFERROR(__xludf.DUMMYFUNCTION("iferror(join("","",index(sort(filter($F111:$F$400,$Q111:$Q$400&gt;$Q110,$E111:$E$400=$E$2),2,false),0,1)))"),"Northwestern")</f>
        <v>Northwestern</v>
      </c>
      <c r="AP110" s="113" t="str">
        <f>IFERROR(__xludf.DUMMYFUNCTION("REGEXREPLACE(join("","",unique({let(conf_picked,filter(E$1:E109,D$1:D109=D110), byrow(unique(TRANSPOSe(Teams!$1:$1)),lambda(rw,if(ISERROR(match(rw,conf_picked,0)),rw,))));if(AW110,,transpose(split(AX110,"","",1,1)))})), ""^,"", """")"),"Big 12,Pac12,zIndependent")</f>
        <v>Big 12,Pac12,zIndependent</v>
      </c>
      <c r="AQ110" s="114">
        <f>IFERROR(__xludf.DUMMYFUNCTION("iferror($Q110-max(filter($Q110:$Q$400,arrayformula(isnumber(FIND($E110:$E$400,AP110))))))"),-5.0)</f>
        <v>-5</v>
      </c>
      <c r="AR110" s="110">
        <f t="array" ref="AR110">countifs($Q$2:$Q109,"&lt;"&amp;$Q110,isnumber(FIND($E$2:$E109,AP110)),TRUE)</f>
        <v>3</v>
      </c>
      <c r="AS110" s="110">
        <f>IFERROR(__xludf.DUMMYFUNCTION("iferror(COUNT(filter($Q111:$Q$400,$Q111:$Q$400&gt;$Q110,arrayformula(isnumber(FIND($E111:$E$400,AP110))))))"),2.0)</f>
        <v>2</v>
      </c>
      <c r="AT110" s="111">
        <f t="shared" si="10"/>
        <v>0</v>
      </c>
      <c r="AU110" s="110">
        <f>IFERROR(__xludf.DUMMYFUNCTION("iferror($Q110-min(filter($Q110:$Q$400,arrayformula(isnumber(FIND($E110:$E$400,AP110))))))"),0.0)</f>
        <v>0</v>
      </c>
      <c r="AV110" s="113" t="str">
        <f>IFERROR(__xludf.DUMMYFUNCTION("iferror(join("","",index(sort(filter($F111:$F$400,$Q111:$Q$400&gt;$Q110,arrayformula(isnumber(FIND($E111:$E$400,AP110)))),2,false),0,1)))"),"Arizona,Washington State")</f>
        <v>Arizona,Washington State</v>
      </c>
      <c r="AW110" s="113" t="b">
        <f>IFERROR(__xludf.DUMMYFUNCTION("isnumber(find(""wild card"",join("","",filter($G$1:$G109,$D$1:$D109=D110))))"),TRUE)</f>
        <v>1</v>
      </c>
      <c r="AX110" s="113" t="str">
        <f>IFERROR(__xludf.DUMMYFUNCTION("join("","",let(confs,unique(TRANSPOSe(Teams!$1:$1)), confs_count, BYROW(confs,lambda(conf,xlookup(conf,'Conf WC Eligibility'!A:A,'Conf WC Eligibility'!C:C,,))),confs_picked,byrow(confs,lambda(conf,countif(E$1:E109,conf))),p_needs_conf_count,byrow(confs,la"&amp;"mbda(conf,counta('Draft Order'!B$2:B622)-COUNTUNIQUE(filter(D$2:D109,E$2:E109=conf)))),query({confs,confs_count,confs_picked,p_needs_conf_count},""select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1">
      <c r="A111" s="1">
        <v>110.0</v>
      </c>
      <c r="B111" s="1">
        <v>10.0</v>
      </c>
      <c r="C111" s="1">
        <v>2.0</v>
      </c>
      <c r="D111" s="115" t="s">
        <v>395</v>
      </c>
      <c r="E111" s="116" t="str">
        <f>if(F111&lt;&gt;"",VLOOKUP(F111,offset('Teams-Conference'!A:B,0,(counta('Draft Order'!B$2:B622)-10)*2),2,0),"")</f>
        <v>SEC</v>
      </c>
      <c r="F111" s="117" t="s">
        <v>213</v>
      </c>
      <c r="G111" s="106" t="str">
        <f t="shared" si="58"/>
        <v>Regular Pick</v>
      </c>
      <c r="H111" s="106">
        <f t="shared" si="66"/>
        <v>0</v>
      </c>
      <c r="I111" s="106">
        <f t="shared" si="67"/>
        <v>2</v>
      </c>
      <c r="J111" s="106">
        <f t="shared" si="68"/>
        <v>1</v>
      </c>
      <c r="K111" s="106">
        <f>countif(E93:E111,E623)</f>
        <v>0</v>
      </c>
      <c r="L111" s="106">
        <v>10.0</v>
      </c>
      <c r="M111" s="106">
        <f>IFERROR(__xludf.DUMMYFUNCTION("counta(iferror(filter(L$2:L110,E$2:E110=E111,L$2:L110&lt;L111)))"),8.0)</f>
        <v>8</v>
      </c>
      <c r="N111" s="106">
        <f>IFERROR(__xludf.DUMMYFUNCTION("counta(iferror(filter(L112:L$121,E112:E$121=E111,L112:L$624&gt;L111)))"),0.0)</f>
        <v>0</v>
      </c>
      <c r="O111" s="152"/>
      <c r="P111" s="106" t="b">
        <f>IFERROR(__xludf.DUMMYFUNCTION("if(F111="""","""",let(wc_picked, countifs(E$1:E110,E111,G$1:G110,""This is your wild card pick""), let(spots_filled,counta(unique(filter(D$2:E111,E$2:E111=E111)))/2,let(total,VLOOKUP(E111,'Conf WC Eligibility'!A:C,3,0),if(E111=""zIndependent"", TRUE,total"&amp;"-wc_picked&gt;12)))))"),TRUE)</f>
        <v>1</v>
      </c>
      <c r="Q111" s="107">
        <f t="array" ref="Q111:AB111">XLOOKUP(F111,'Current Week'!C:C,'Current Week'!D:O)</f>
        <v>10</v>
      </c>
      <c r="R111" s="106">
        <v>2.0</v>
      </c>
      <c r="S111" s="106" t="s">
        <v>681</v>
      </c>
      <c r="T111" s="106" t="s">
        <v>61</v>
      </c>
      <c r="U111" s="106" t="s">
        <v>193</v>
      </c>
      <c r="V111" s="106"/>
      <c r="W111" s="106" t="s">
        <v>67</v>
      </c>
      <c r="X111" s="106">
        <v>3.0</v>
      </c>
      <c r="Y111" s="106" t="s">
        <v>67</v>
      </c>
      <c r="Z111" s="106">
        <v>65.5</v>
      </c>
      <c r="AA111" s="106">
        <v>473.0</v>
      </c>
      <c r="AB111" s="106">
        <v>263.0</v>
      </c>
      <c r="AC111" s="108" t="b">
        <v>1</v>
      </c>
      <c r="AD111" s="109">
        <f t="shared" si="4"/>
        <v>0</v>
      </c>
      <c r="AE111" s="110">
        <f t="shared" si="5"/>
        <v>91</v>
      </c>
      <c r="AF111" s="110">
        <f>IFERROR(__xludf.DUMMYFUNCTION("iferror(COUNT(filter($Q112:$Q$400,$Q112:$Q$400&gt;$Q111)))"),0.0)</f>
        <v>0</v>
      </c>
      <c r="AG111" s="111">
        <f t="shared" si="6"/>
        <v>1</v>
      </c>
      <c r="AH111" s="112">
        <f t="shared" si="7"/>
        <v>10</v>
      </c>
      <c r="AI111" s="113" t="str">
        <f>IFERROR(__xludf.DUMMYFUNCTION("iferror(join("","",index(sort(filter($F112:$F$401,$Q112:$Q$401&gt;$Q111),2,false),0,1)))"),"")</f>
        <v/>
      </c>
      <c r="AJ111" s="114">
        <f>IFERROR(__xludf.DUMMYFUNCTION("iferror($Q111-max(filter($Q111:$Q$400,$E111:$E$400=$E$2)))"),4.0)</f>
        <v>4</v>
      </c>
      <c r="AK111" s="110">
        <f t="shared" si="8"/>
        <v>10</v>
      </c>
      <c r="AL111" s="110">
        <f>IFERROR(__xludf.DUMMYFUNCTION("iferror(COUNT(filter($Q112:$Q$400,$Q112:$Q$400&gt;$Q111,$E111:$E$400=$E$2)))"),0.0)</f>
        <v>0</v>
      </c>
      <c r="AM111" s="111">
        <f t="shared" si="9"/>
        <v>0</v>
      </c>
      <c r="AN111" s="110">
        <f>IFERROR(__xludf.DUMMYFUNCTION("iferror($Q111-min(filter($Q111:$Q$400,$E111:$E$400=$E$2)))"),8.0)</f>
        <v>8</v>
      </c>
      <c r="AO111" s="113" t="str">
        <f>IFERROR(__xludf.DUMMYFUNCTION("iferror(join("","",index(sort(filter($F112:$F$400,$Q112:$Q$400&gt;$Q111,$E112:$E$400=$E$2),2,false),0,1)))"),"")</f>
        <v/>
      </c>
      <c r="AP111" s="113" t="str">
        <f>IFERROR(__xludf.DUMMYFUNCTION("REGEXREPLACE(join("","",unique({let(conf_picked,filter(E$1:E110,D$1:D110=D111), byrow(unique(TRANSPOSe(Teams!$1:$1)),lambda(rw,if(ISERROR(match(rw,conf_picked,0)),rw,))));if(AW111,,transpose(split(AX111,"","",1,1)))})), ""^,"", """")"),"Pac12,SEC")</f>
        <v>Pac12,SEC</v>
      </c>
      <c r="AQ111" s="114">
        <f>IFERROR(__xludf.DUMMYFUNCTION("iferror($Q111-max(filter($Q111:$Q$400,arrayformula(isnumber(FIND($E111:$E$400,AP111))))))"),0.0)</f>
        <v>0</v>
      </c>
      <c r="AR111" s="110">
        <f t="array" ref="AR111">countifs($Q$2:$Q110,"&lt;"&amp;$Q111,isnumber(FIND($E$2:$E110,AP111)),TRUE)</f>
        <v>9</v>
      </c>
      <c r="AS111" s="110">
        <f>IFERROR(__xludf.DUMMYFUNCTION("iferror(COUNT(filter($Q112:$Q$400,$Q112:$Q$400&gt;$Q111,arrayformula(isnumber(FIND($E112:$E$400,AP111))))))"),0.0)</f>
        <v>0</v>
      </c>
      <c r="AT111" s="111">
        <f t="shared" si="10"/>
        <v>1</v>
      </c>
      <c r="AU111" s="110">
        <f>IFERROR(__xludf.DUMMYFUNCTION("iferror($Q111-min(filter($Q111:$Q$400,arrayformula(isnumber(FIND($E111:$E$400,AP111))))))"),5.0)</f>
        <v>5</v>
      </c>
      <c r="AV111" s="113" t="str">
        <f>IFERROR(__xludf.DUMMYFUNCTION("iferror(join("","",index(sort(filter($F112:$F$400,$Q112:$Q$400&gt;$Q111,arrayformula(isnumber(FIND($E112:$E$400,AP111)))),2,false),0,1)))"),"")</f>
        <v/>
      </c>
      <c r="AW111" s="113" t="b">
        <f>IFERROR(__xludf.DUMMYFUNCTION("isnumber(find(""wild card"",join("","",filter($G$1:$G110,$D$1:$D110=D111))))"),TRUE)</f>
        <v>1</v>
      </c>
      <c r="AX111" s="113" t="str">
        <f>IFERROR(__xludf.DUMMYFUNCTION("join("","",let(confs,unique(TRANSPOSe(Teams!$1:$1)), confs_count, BYROW(confs,lambda(conf,xlookup(conf,'Conf WC Eligibility'!A:A,'Conf WC Eligibility'!C:C,,))),confs_picked,byrow(confs,lambda(conf,countif(E$1:E110,conf))),p_needs_conf_count,byrow(confs,la"&amp;"mbda(conf,counta('Draft Order'!B$2:B622)-COUNTUNIQUE(filter(D$2:D110,E$2:E110=conf)))),query({confs,confs_count,confs_picked,p_needs_conf_count},""select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2">
      <c r="A112" s="1">
        <v>111.0</v>
      </c>
      <c r="B112" s="1">
        <v>10.0</v>
      </c>
      <c r="C112" s="1">
        <v>3.0</v>
      </c>
      <c r="D112" s="118" t="s">
        <v>249</v>
      </c>
      <c r="E112" s="116" t="str">
        <f>if(F112&lt;&gt;"",VLOOKUP(F112,offset('Teams-Conference'!A:B,0,(counta('Draft Order'!B$2:B622)-10)*2),2,0),"")</f>
        <v>Sun Belt</v>
      </c>
      <c r="F112" s="117" t="s">
        <v>217</v>
      </c>
      <c r="G112" s="106" t="str">
        <f t="shared" si="58"/>
        <v>Regular Pick</v>
      </c>
      <c r="H112" s="106">
        <f>countif(E113:E121,E112)</f>
        <v>0</v>
      </c>
      <c r="I112" s="106">
        <f t="shared" si="67"/>
        <v>2</v>
      </c>
      <c r="J112" s="106">
        <f t="shared" si="68"/>
        <v>1</v>
      </c>
      <c r="K112" s="106"/>
      <c r="L112" s="106">
        <v>1.0</v>
      </c>
      <c r="M112" s="106">
        <f>IFERROR(__xludf.DUMMYFUNCTION("counta(iferror(filter(L$2:L111,E$2:E111=E112,L$2:L111&lt;L112)))"),0.0)</f>
        <v>0</v>
      </c>
      <c r="N112" s="106">
        <f>IFERROR(__xludf.DUMMYFUNCTION("counta(iferror(filter(L113:L$121,E113:E$121=E112,L113:L$624&gt;L112)))"),0.0)</f>
        <v>0</v>
      </c>
      <c r="O112" s="106"/>
      <c r="P112" s="106" t="b">
        <f>IFERROR(__xludf.DUMMYFUNCTION("if(F112="""","""",let(wc_picked, countifs(E$1:E111,E112,G$1:G111,""This is your wild card pick""), let(spots_filled,counta(unique(filter(D$2:E112,E$2:E112=E112)))/2,let(total,VLOOKUP(E112,'Conf WC Eligibility'!A:C,3,0),if(E112=""zIndependent"", TRUE,total"&amp;"-wc_picked&gt;12)))))"),TRUE)</f>
        <v>1</v>
      </c>
      <c r="Q112" s="107">
        <f t="array" ref="Q112:AB112">XLOOKUP(F112,'Current Week'!C:C,'Current Week'!D:O)</f>
        <v>1</v>
      </c>
      <c r="R112" s="106">
        <v>11.0</v>
      </c>
      <c r="S112" s="106" t="s">
        <v>649</v>
      </c>
      <c r="T112" s="106" t="s">
        <v>61</v>
      </c>
      <c r="U112" s="106" t="s">
        <v>62</v>
      </c>
      <c r="V112" s="106"/>
      <c r="W112" s="106" t="s">
        <v>67</v>
      </c>
      <c r="X112" s="106">
        <v>27.5</v>
      </c>
      <c r="Y112" s="106" t="s">
        <v>67</v>
      </c>
      <c r="Z112" s="106">
        <v>58.5</v>
      </c>
      <c r="AA112" s="106">
        <v>237.0</v>
      </c>
      <c r="AB112" s="106">
        <v>454.0</v>
      </c>
      <c r="AC112" s="108" t="b">
        <v>1</v>
      </c>
      <c r="AD112" s="109">
        <f t="shared" si="4"/>
        <v>-8</v>
      </c>
      <c r="AE112" s="110">
        <f t="shared" si="5"/>
        <v>1</v>
      </c>
      <c r="AF112" s="110">
        <f>IFERROR(__xludf.DUMMYFUNCTION("iferror(COUNT(filter($Q113:$Q$400,$Q113:$Q$400&gt;$Q112)))"),25.0)</f>
        <v>25</v>
      </c>
      <c r="AG112" s="111">
        <f t="shared" si="6"/>
        <v>0</v>
      </c>
      <c r="AH112" s="112">
        <f t="shared" si="7"/>
        <v>1</v>
      </c>
      <c r="AI112" s="113" t="str">
        <f>IFERROR(__xludf.DUMMYFUNCTION("iferror(join("","",index(sort(filter($F113:$F$401,$Q113:$Q$401&gt;$Q112),2,false),0,1)))"),"Nevada,Wisconsin,Middle Tennessee,Delaware,Sam Houston,New Mexico,UCLA,Kennesaw State,Rice,Temple,Tulsa,Boston College,Stanford,Syracuse,Wake Forest,Arizona,Maryland,Northwestern,Purdue,Kent State,Washington State,Kentucky,Mississippi State,Southern Missi"&amp;"ssippi,UL Monroe")</f>
        <v>Nevada,Wisconsin,Middle Tennessee,Delaware,Sam Houston,New Mexico,UCLA,Kennesaw State,Rice,Temple,Tulsa,Boston College,Stanford,Syracuse,Wake Forest,Arizona,Maryland,Northwestern,Purdue,Kent State,Washington State,Kentucky,Mississippi State,Southern Mississippi,UL Monroe</v>
      </c>
      <c r="AJ112" s="114">
        <f>IFERROR(__xludf.DUMMYFUNCTION("iferror($Q112-max(filter($Q112:$Q$400,$E112:$E$400=$E$2)))"),-5.0)</f>
        <v>-5</v>
      </c>
      <c r="AK112" s="110">
        <f t="shared" si="8"/>
        <v>0</v>
      </c>
      <c r="AL112" s="110">
        <f>IFERROR(__xludf.DUMMYFUNCTION("iferror(COUNT(filter($Q113:$Q$400,$Q113:$Q$400&gt;$Q112,$E112:$E$400=$E$2)))"),0.0)</f>
        <v>0</v>
      </c>
      <c r="AM112" s="111">
        <f t="shared" si="9"/>
        <v>0</v>
      </c>
      <c r="AN112" s="110">
        <f>IFERROR(__xludf.DUMMYFUNCTION("iferror($Q112-min(filter($Q112:$Q$400,$E112:$E$400=$E$2)))"),-1.0)</f>
        <v>-1</v>
      </c>
      <c r="AO112" s="113" t="str">
        <f>IFERROR(__xludf.DUMMYFUNCTION("iferror(join("","",index(sort(filter($F113:$F$400,$Q113:$Q$400&gt;$Q112,$E113:$E$400=$E$2),2,false),0,1)))"),"Wisconsin,UCLA,Maryland,Northwestern,Purdue")</f>
        <v>Wisconsin,UCLA,Maryland,Northwestern,Purdue</v>
      </c>
      <c r="AP112" s="113" t="str">
        <f>IFERROR(__xludf.DUMMYFUNCTION("REGEXREPLACE(join("","",unique({let(conf_picked,filter(E$1:E111,D$1:D111=D112), byrow(unique(TRANSPOSe(Teams!$1:$1)),lambda(rw,if(ISERROR(match(rw,conf_picked,0)),rw,))));if(AW112,,transpose(split(AX112,"","",1,1)))})), ""^,"", """")"),"Pac12,Sun Belt,zIndependent")</f>
        <v>Pac12,Sun Belt,zIndependent</v>
      </c>
      <c r="AQ112" s="114">
        <f>IFERROR(__xludf.DUMMYFUNCTION("iferror($Q112-max(filter($Q112:$Q$400,arrayformula(isnumber(FIND($E112:$E$400,AP112))))))"),-6.0)</f>
        <v>-6</v>
      </c>
      <c r="AR112" s="110">
        <f t="array" ref="AR112">countifs($Q$2:$Q111,"&lt;"&amp;$Q112,isnumber(FIND($E$2:$E111,AP112)),TRUE)</f>
        <v>0</v>
      </c>
      <c r="AS112" s="110">
        <f>IFERROR(__xludf.DUMMYFUNCTION("iferror(COUNT(filter($Q113:$Q$400,$Q113:$Q$400&gt;$Q112,arrayformula(isnumber(FIND($E113:$E$400,AP112))))))"),3.0)</f>
        <v>3</v>
      </c>
      <c r="AT112" s="111">
        <f t="shared" si="10"/>
        <v>0</v>
      </c>
      <c r="AU112" s="110">
        <f>IFERROR(__xludf.DUMMYFUNCTION("iferror($Q112-min(filter($Q112:$Q$400,arrayformula(isnumber(FIND($E112:$E$400,AP112))))))"),0.0)</f>
        <v>0</v>
      </c>
      <c r="AV112" s="113" t="str">
        <f>IFERROR(__xludf.DUMMYFUNCTION("iferror(join("","",index(sort(filter($F113:$F$400,$Q113:$Q$400&gt;$Q112,arrayformula(isnumber(FIND($E113:$E$400,AP112)))),2,false),0,1)))"),"Washington State,Southern Mississippi,UL Monroe")</f>
        <v>Washington State,Southern Mississippi,UL Monroe</v>
      </c>
      <c r="AW112" s="113" t="b">
        <f>IFERROR(__xludf.DUMMYFUNCTION("isnumber(find(""wild card"",join("","",filter($G$1:$G111,$D$1:$D111=D112))))"),TRUE)</f>
        <v>1</v>
      </c>
      <c r="AX112" s="113" t="str">
        <f>IFERROR(__xludf.DUMMYFUNCTION("join("","",let(confs,unique(TRANSPOSe(Teams!$1:$1)), confs_count, BYROW(confs,lambda(conf,xlookup(conf,'Conf WC Eligibility'!A:A,'Conf WC Eligibility'!C:C,,))),confs_picked,byrow(confs,lambda(conf,countif(E$1:E111,conf))),p_needs_conf_count,byrow(confs,la"&amp;"mbda(conf,counta('Draft Order'!B$2:B622)-COUNTUNIQUE(filter(D$2:D111,E$2:E111=conf)))),query({confs,confs_count,confs_picked,p_needs_conf_count},""select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3">
      <c r="A113" s="1">
        <v>112.0</v>
      </c>
      <c r="B113" s="1">
        <v>10.0</v>
      </c>
      <c r="C113" s="1">
        <v>4.0</v>
      </c>
      <c r="D113" s="115" t="s">
        <v>156</v>
      </c>
      <c r="E113" s="116" t="str">
        <f>if(F113&lt;&gt;"",VLOOKUP(F113,offset('Teams-Conference'!A:B,0,(counta('Draft Order'!B$2:B622)-10)*2),2,0),"")</f>
        <v>MWC</v>
      </c>
      <c r="F113" s="117" t="s">
        <v>181</v>
      </c>
      <c r="G113" s="106" t="str">
        <f t="shared" si="58"/>
        <v>Regular Pick</v>
      </c>
      <c r="H113" s="106">
        <f t="shared" ref="H113:H120" si="69">countif(E114:E623,E113)</f>
        <v>1</v>
      </c>
      <c r="I113" s="106">
        <f t="shared" si="67"/>
        <v>1</v>
      </c>
      <c r="J113" s="106">
        <f t="shared" si="68"/>
        <v>0</v>
      </c>
      <c r="K113" s="106"/>
      <c r="L113" s="106">
        <v>3.0</v>
      </c>
      <c r="M113" s="106">
        <f>IFERROR(__xludf.DUMMYFUNCTION("counta(iferror(filter(L$2:L112,E$2:E112=E113,L$2:L112&lt;L113)))"),1.0)</f>
        <v>1</v>
      </c>
      <c r="N113" s="106">
        <f>IFERROR(__xludf.DUMMYFUNCTION("counta(iferror(filter(L114:L$121,E114:E$121=E113,L114:L$624&gt;L113)))"),0.0)</f>
        <v>0</v>
      </c>
      <c r="O113" s="106"/>
      <c r="P113" s="106" t="b">
        <f>IFERROR(__xludf.DUMMYFUNCTION("if(F113="""","""",let(wc_picked, countifs(E$1:E112,E113,G$1:G112,""This is your wild card pick""), let(spots_filled,counta(unique(filter(D$2:E113,E$2:E113=E113)))/2,let(total,VLOOKUP(E113,'Conf WC Eligibility'!A:C,3,0),if(E113=""zIndependent"", TRUE,total"&amp;"-wc_picked&gt;12)))))"),FALSE)</f>
        <v>0</v>
      </c>
      <c r="Q113" s="107">
        <f t="array" ref="Q113:AB113">XLOOKUP(F113,'Current Week'!C:C,'Current Week'!D:O)</f>
        <v>3</v>
      </c>
      <c r="R113" s="106">
        <v>9.0</v>
      </c>
      <c r="S113" s="106" t="s">
        <v>705</v>
      </c>
      <c r="T113" s="106" t="s">
        <v>61</v>
      </c>
      <c r="U113" s="106" t="s">
        <v>224</v>
      </c>
      <c r="V113" s="106"/>
      <c r="W113" s="106" t="s">
        <v>67</v>
      </c>
      <c r="X113" s="106">
        <v>7.5</v>
      </c>
      <c r="Y113" s="106" t="s">
        <v>67</v>
      </c>
      <c r="Z113" s="106">
        <v>53.5</v>
      </c>
      <c r="AA113" s="106">
        <v>211.0</v>
      </c>
      <c r="AB113" s="106">
        <v>330.0</v>
      </c>
      <c r="AC113" s="108" t="b">
        <v>1</v>
      </c>
      <c r="AD113" s="109">
        <f t="shared" si="4"/>
        <v>-6</v>
      </c>
      <c r="AE113" s="110">
        <f t="shared" si="5"/>
        <v>8</v>
      </c>
      <c r="AF113" s="110">
        <f>IFERROR(__xludf.DUMMYFUNCTION("iferror(COUNT(filter($Q114:$Q$400,$Q114:$Q$400&gt;$Q113)))"),17.0)</f>
        <v>17</v>
      </c>
      <c r="AG113" s="111">
        <f t="shared" si="6"/>
        <v>0</v>
      </c>
      <c r="AH113" s="112">
        <f t="shared" si="7"/>
        <v>3</v>
      </c>
      <c r="AI113" s="113" t="str">
        <f>IFERROR(__xludf.DUMMYFUNCTION("iferror(join("","",index(sort(filter($F114:$F$401,$Q114:$Q$401&gt;$Q113),2,false),0,1)))"),"Wisconsin,Delaware,New Mexico,Kennesaw State,Rice,Temple,Tulsa,Stanford,Wake Forest,Arizona,Maryland,Northwestern,Kent State,Washington State,Kentucky,Mississippi State,Southern Mississippi")</f>
        <v>Wisconsin,Delaware,New Mexico,Kennesaw State,Rice,Temple,Tulsa,Stanford,Wake Forest,Arizona,Maryland,Northwestern,Kent State,Washington State,Kentucky,Mississippi State,Southern Mississippi</v>
      </c>
      <c r="AJ113" s="114">
        <f>IFERROR(__xludf.DUMMYFUNCTION("iferror($Q113-max(filter($Q113:$Q$400,$E113:$E$400=$E$2)))"),-3.0)</f>
        <v>-3</v>
      </c>
      <c r="AK113" s="110">
        <f t="shared" si="8"/>
        <v>0</v>
      </c>
      <c r="AL113" s="110">
        <f>IFERROR(__xludf.DUMMYFUNCTION("iferror(COUNT(filter($Q114:$Q$400,$Q114:$Q$400&gt;$Q113,$E113:$E$400=$E$2)))"),0.0)</f>
        <v>0</v>
      </c>
      <c r="AM113" s="111">
        <f t="shared" si="9"/>
        <v>0</v>
      </c>
      <c r="AN113" s="110">
        <f>IFERROR(__xludf.DUMMYFUNCTION("iferror($Q113-min(filter($Q113:$Q$400,$E113:$E$400=$E$2)))"),1.0)</f>
        <v>1</v>
      </c>
      <c r="AO113" s="113" t="str">
        <f>IFERROR(__xludf.DUMMYFUNCTION("iferror(join("","",index(sort(filter($F114:$F$400,$Q114:$Q$400&gt;$Q113,$E114:$E$400=$E$2),2,false),0,1)))"),"Wisconsin,Maryland,Northwestern")</f>
        <v>Wisconsin,Maryland,Northwestern</v>
      </c>
      <c r="AP113" s="113" t="str">
        <f>IFERROR(__xludf.DUMMYFUNCTION("REGEXREPLACE(join("","",unique({let(conf_picked,filter(E$1:E112,D$1:D112=D113), byrow(unique(TRANSPOSe(Teams!$1:$1)),lambda(rw,if(ISERROR(match(rw,conf_picked,0)),rw,))));if(AW113,,transpose(split(AX113,"","",1,1)))})), ""^,"", """")"),"MWC,Pac12,zIndependent")</f>
        <v>MWC,Pac12,zIndependent</v>
      </c>
      <c r="AQ113" s="114">
        <f>IFERROR(__xludf.DUMMYFUNCTION("iferror($Q113-max(filter($Q113:$Q$400,arrayformula(isnumber(FIND($E113:$E$400,AP113))))))"),-6.0)</f>
        <v>-6</v>
      </c>
      <c r="AR113" s="110">
        <f t="array" ref="AR113">countifs($Q$2:$Q112,"&lt;"&amp;$Q113,isnumber(FIND($E$2:$E112,AP113)),TRUE)</f>
        <v>2</v>
      </c>
      <c r="AS113" s="110">
        <f>IFERROR(__xludf.DUMMYFUNCTION("iferror(COUNT(filter($Q114:$Q$400,$Q114:$Q$400&gt;$Q113,arrayformula(isnumber(FIND($E114:$E$400,AP113))))))"),2.0)</f>
        <v>2</v>
      </c>
      <c r="AT113" s="111">
        <f t="shared" si="10"/>
        <v>0</v>
      </c>
      <c r="AU113" s="110">
        <f>IFERROR(__xludf.DUMMYFUNCTION("iferror($Q113-min(filter($Q113:$Q$400,arrayformula(isnumber(FIND($E113:$E$400,AP113))))))"),0.0)</f>
        <v>0</v>
      </c>
      <c r="AV113" s="113" t="str">
        <f>IFERROR(__xludf.DUMMYFUNCTION("iferror(join("","",index(sort(filter($F114:$F$400,$Q114:$Q$400&gt;$Q113,arrayformula(isnumber(FIND($E114:$E$400,AP113)))),2,false),0,1)))"),"New Mexico,Washington State")</f>
        <v>New Mexico,Washington State</v>
      </c>
      <c r="AW113" s="113" t="b">
        <f>IFERROR(__xludf.DUMMYFUNCTION("isnumber(find(""wild card"",join("","",filter($G$1:$G112,$D$1:$D112=D113))))"),TRUE)</f>
        <v>1</v>
      </c>
      <c r="AX113" s="113" t="str">
        <f>IFERROR(__xludf.DUMMYFUNCTION("join("","",let(confs,unique(TRANSPOSe(Teams!$1:$1)), confs_count, BYROW(confs,lambda(conf,xlookup(conf,'Conf WC Eligibility'!A:A,'Conf WC Eligibility'!C:C,,))),confs_picked,byrow(confs,lambda(conf,countif(E$1:E112,conf))),p_needs_conf_count,byrow(confs,la"&amp;"mbda(conf,counta('Draft Order'!B$2:B622)-COUNTUNIQUE(filter(D$2:D112,E$2:E112=conf)))),query({confs,confs_count,confs_picked,p_needs_conf_count},""select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4">
      <c r="A114" s="1">
        <v>113.0</v>
      </c>
      <c r="B114" s="1">
        <v>10.0</v>
      </c>
      <c r="C114" s="1">
        <v>5.0</v>
      </c>
      <c r="D114" s="115" t="s">
        <v>238</v>
      </c>
      <c r="E114" s="116" t="str">
        <f>if(F114&lt;&gt;"",VLOOKUP(F114,offset('Teams-Conference'!A:B,0,(counta('Draft Order'!B$2:B622)-10)*2),2,0),"")</f>
        <v>Big Ten</v>
      </c>
      <c r="F114" s="77" t="s">
        <v>148</v>
      </c>
      <c r="G114" s="106" t="str">
        <f t="shared" si="58"/>
        <v>This is your wild card pick</v>
      </c>
      <c r="H114" s="106">
        <f t="shared" si="69"/>
        <v>4</v>
      </c>
      <c r="I114" s="106">
        <f t="shared" si="67"/>
        <v>4</v>
      </c>
      <c r="J114" s="106">
        <f t="shared" si="68"/>
        <v>1</v>
      </c>
      <c r="K114" s="106"/>
      <c r="L114" s="106">
        <v>4.0</v>
      </c>
      <c r="M114" s="106">
        <f>IFERROR(__xludf.DUMMYFUNCTION("counta(iferror(filter(L$2:L113,E$2:E113=E114,L$2:L113&lt;L114)))"),0.0)</f>
        <v>0</v>
      </c>
      <c r="N114" s="106">
        <f>IFERROR(__xludf.DUMMYFUNCTION("counta(iferror(filter(L115:L$121,E115:E$121=E114,L115:L$624&gt;L114)))"),0.0)</f>
        <v>0</v>
      </c>
      <c r="O114" s="106"/>
      <c r="P114" s="106" t="b">
        <f>IFERROR(__xludf.DUMMYFUNCTION("if(F114="""","""",let(wc_picked, countifs(E$1:E113,E114,G$1:G113,""This is your wild card pick""), let(spots_filled,counta(unique(filter(D$2:E114,E$2:E114=E114)))/2,let(total,VLOOKUP(E114,'Conf WC Eligibility'!A:C,3,0),if(E114=""zIndependent"", TRUE,total"&amp;"-wc_picked&gt;12)))))"),TRUE)</f>
        <v>1</v>
      </c>
      <c r="Q114" s="107">
        <f t="array" ref="Q114:AB114">XLOOKUP(F114,'Current Week'!C:C,'Current Week'!D:O)</f>
        <v>4</v>
      </c>
      <c r="R114" s="106">
        <v>8.0</v>
      </c>
      <c r="S114" s="106" t="s">
        <v>738</v>
      </c>
      <c r="T114" s="106" t="s">
        <v>61</v>
      </c>
      <c r="U114" s="106" t="s">
        <v>238</v>
      </c>
      <c r="V114" s="106"/>
      <c r="W114" s="106" t="s">
        <v>67</v>
      </c>
      <c r="X114" s="106">
        <v>-1.5</v>
      </c>
      <c r="Y114" s="106" t="s">
        <v>67</v>
      </c>
      <c r="Z114" s="106">
        <v>37.5</v>
      </c>
      <c r="AA114" s="106">
        <v>154.0</v>
      </c>
      <c r="AB114" s="106">
        <v>259.0</v>
      </c>
      <c r="AC114" s="108" t="b">
        <v>1</v>
      </c>
      <c r="AD114" s="109">
        <f t="shared" si="4"/>
        <v>-5</v>
      </c>
      <c r="AE114" s="110">
        <f t="shared" si="5"/>
        <v>13</v>
      </c>
      <c r="AF114" s="110">
        <f>IFERROR(__xludf.DUMMYFUNCTION("iferror(COUNT(filter($Q115:$Q$400,$Q115:$Q$400&gt;$Q114)))"),13.0)</f>
        <v>13</v>
      </c>
      <c r="AG114" s="111">
        <f t="shared" si="6"/>
        <v>0</v>
      </c>
      <c r="AH114" s="112">
        <f t="shared" si="7"/>
        <v>4</v>
      </c>
      <c r="AI114" s="113" t="str">
        <f>IFERROR(__xludf.DUMMYFUNCTION("iferror(join("","",index(sort(filter($F115:$F$401,$Q115:$Q$401&gt;$Q114),2,false),0,1)))"),"Delaware,New Mexico,Kennesaw State,Rice,Temple,Wake Forest,Arizona,Northwestern,Kent State,Washington State,Kentucky,Mississippi State,Southern Mississippi")</f>
        <v>Delaware,New Mexico,Kennesaw State,Rice,Temple,Wake Forest,Arizona,Northwestern,Kent State,Washington State,Kentucky,Mississippi State,Southern Mississippi</v>
      </c>
      <c r="AJ114" s="114">
        <f>IFERROR(__xludf.DUMMYFUNCTION("iferror($Q114-max(filter($Q114:$Q$400,$E114:$E$400=$E$2)))"),-2.0)</f>
        <v>-2</v>
      </c>
      <c r="AK114" s="110">
        <f t="shared" si="8"/>
        <v>0</v>
      </c>
      <c r="AL114" s="110">
        <f>IFERROR(__xludf.DUMMYFUNCTION("iferror(COUNT(filter($Q115:$Q$400,$Q115:$Q$400&gt;$Q114,$E114:$E$400=$E$2)))"),0.0)</f>
        <v>0</v>
      </c>
      <c r="AM114" s="111">
        <f t="shared" si="9"/>
        <v>0</v>
      </c>
      <c r="AN114" s="110">
        <f>IFERROR(__xludf.DUMMYFUNCTION("iferror($Q114-min(filter($Q114:$Q$400,$E114:$E$400=$E$2)))"),2.0)</f>
        <v>2</v>
      </c>
      <c r="AO114" s="113" t="str">
        <f>IFERROR(__xludf.DUMMYFUNCTION("iferror(join("","",index(sort(filter($F115:$F$400,$Q115:$Q$400&gt;$Q114,$E115:$E$400=$E$2),2,false),0,1)))"),"Northwestern")</f>
        <v>Northwestern</v>
      </c>
      <c r="AP114" s="113" t="str">
        <f>IFERROR(__xludf.DUMMYFUNCTION("REGEXREPLACE(join("","",unique({let(conf_picked,filter(E$1:E113,D$1:D113=D114), byrow(unique(TRANSPOSe(Teams!$1:$1)),lambda(rw,if(ISERROR(match(rw,conf_picked,0)),rw,))));if(AW114,,transpose(split(AX114,"","",1,1)))})), ""^,"", """")"),"Pac12,zIndependent,AAC,ACC,Big 12,Big Ten,MAC,SEC,Sun Belt")</f>
        <v>Pac12,zIndependent,AAC,ACC,Big 12,Big Ten,MAC,SEC,Sun Belt</v>
      </c>
      <c r="AQ114" s="114">
        <f>IFERROR(__xludf.DUMMYFUNCTION("iferror($Q114-max(filter($Q114:$Q$400,arrayformula(isnumber(FIND($E114:$E$400,AP114))))))"),-5.0)</f>
        <v>-5</v>
      </c>
      <c r="AR114" s="110">
        <f t="array" ref="AR114">countifs($Q$2:$Q113,"&lt;"&amp;$Q114,isnumber(FIND($E$2:$E113,AP114)),TRUE)</f>
        <v>9</v>
      </c>
      <c r="AS114" s="110">
        <f>IFERROR(__xludf.DUMMYFUNCTION("iferror(COUNT(filter($Q115:$Q$400,$Q115:$Q$400&gt;$Q114,arrayformula(isnumber(FIND($E115:$E$400,AP114))))))"),10.0)</f>
        <v>10</v>
      </c>
      <c r="AT114" s="111">
        <f t="shared" si="10"/>
        <v>0</v>
      </c>
      <c r="AU114" s="110">
        <f>IFERROR(__xludf.DUMMYFUNCTION("iferror($Q114-min(filter($Q114:$Q$400,arrayformula(isnumber(FIND($E114:$E$400,AP114))))))"),2.0)</f>
        <v>2</v>
      </c>
      <c r="AV114" s="113" t="str">
        <f>IFERROR(__xludf.DUMMYFUNCTION("iferror(join("","",index(sort(filter($F115:$F$400,$Q115:$Q$400&gt;$Q114,arrayformula(isnumber(FIND($E115:$E$400,AP114)))),2,false),0,1)))"),"Rice,Temple,Wake Forest,Arizona,Northwestern,Kent State,Washington State,Kentucky,Mississippi State,Southern Mississippi")</f>
        <v>Rice,Temple,Wake Forest,Arizona,Northwestern,Kent State,Washington State,Kentucky,Mississippi State,Southern Mississippi</v>
      </c>
      <c r="AW114" s="113" t="b">
        <f>IFERROR(__xludf.DUMMYFUNCTION("isnumber(find(""wild card"",join("","",filter($G$1:$G113,$D$1:$D113=D114))))"),FALSE)</f>
        <v>0</v>
      </c>
      <c r="AX114" s="113" t="str">
        <f>IFERROR(__xludf.DUMMYFUNCTION("join("","",let(confs,unique(TRANSPOSe(Teams!$1:$1)), confs_count, BYROW(confs,lambda(conf,xlookup(conf,'Conf WC Eligibility'!A:A,'Conf WC Eligibility'!C:C,,))),confs_picked,byrow(confs,lambda(conf,countif(E$1:E113,conf))),p_needs_conf_count,byrow(confs,la"&amp;"mbda(conf,counta('Draft Order'!B$2:B622)-COUNTUNIQUE(filter(D$2:D113,E$2:E113=conf)))),query({confs,confs_count,confs_picked,p_needs_conf_count},""select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5">
      <c r="A115" s="1">
        <v>114.0</v>
      </c>
      <c r="B115" s="1">
        <v>10.0</v>
      </c>
      <c r="C115" s="1">
        <v>6.0</v>
      </c>
      <c r="D115" s="115" t="s">
        <v>96</v>
      </c>
      <c r="E115" s="116" t="str">
        <f>if(F115&lt;&gt;"",VLOOKUP(F115,offset('Teams-Conference'!A:B,0,(counta('Draft Order'!B$2:B622)-10)*2),2,0),"")</f>
        <v>CUSA</v>
      </c>
      <c r="F115" s="117" t="s">
        <v>153</v>
      </c>
      <c r="G115" s="106" t="str">
        <f t="shared" si="58"/>
        <v>Regular Pick</v>
      </c>
      <c r="H115" s="106">
        <f t="shared" si="69"/>
        <v>3</v>
      </c>
      <c r="I115" s="106">
        <f t="shared" si="67"/>
        <v>3</v>
      </c>
      <c r="J115" s="106">
        <f t="shared" si="68"/>
        <v>0</v>
      </c>
      <c r="K115" s="106"/>
      <c r="L115" s="106">
        <v>3.0</v>
      </c>
      <c r="M115" s="106">
        <f>IFERROR(__xludf.DUMMYFUNCTION("counta(iferror(filter(L$2:L114,E$2:E114=E115,L$2:L114&lt;L115)))"),1.0)</f>
        <v>1</v>
      </c>
      <c r="N115" s="106">
        <f>IFERROR(__xludf.DUMMYFUNCTION("counta(iferror(filter(L116:L$121,E116:E$121=E115,L116:L$624&gt;L115)))"),0.0)</f>
        <v>0</v>
      </c>
      <c r="O115" s="152"/>
      <c r="P115" s="106" t="b">
        <f>IFERROR(__xludf.DUMMYFUNCTION("if(F115="""","""",let(wc_picked, countifs(E$1:E114,E115,G$1:G114,""This is your wild card pick""), let(spots_filled,counta(unique(filter(D$2:E115,E$2:E115=E115)))/2,let(total,VLOOKUP(E115,'Conf WC Eligibility'!A:C,3,0),if(E115=""zIndependent"", TRUE,total"&amp;"-wc_picked&gt;12)))))"),FALSE)</f>
        <v>0</v>
      </c>
      <c r="Q115" s="107">
        <f t="array" ref="Q115:AB115">XLOOKUP(F115,'Current Week'!C:C,'Current Week'!D:O)</f>
        <v>3</v>
      </c>
      <c r="R115" s="106">
        <v>9.0</v>
      </c>
      <c r="S115" s="106" t="s">
        <v>531</v>
      </c>
      <c r="T115" s="106" t="s">
        <v>532</v>
      </c>
      <c r="U115" s="106" t="s">
        <v>43</v>
      </c>
      <c r="V115" s="106"/>
      <c r="W115" s="106" t="s">
        <v>67</v>
      </c>
      <c r="X115" s="106">
        <v>3.5</v>
      </c>
      <c r="Y115" s="106" t="s">
        <v>67</v>
      </c>
      <c r="Z115" s="106">
        <v>52.5</v>
      </c>
      <c r="AA115" s="106">
        <v>269.0</v>
      </c>
      <c r="AB115" s="106">
        <v>371.0</v>
      </c>
      <c r="AC115" s="108" t="b">
        <v>1</v>
      </c>
      <c r="AD115" s="109">
        <f t="shared" si="4"/>
        <v>-6</v>
      </c>
      <c r="AE115" s="110">
        <f t="shared" si="5"/>
        <v>8</v>
      </c>
      <c r="AF115" s="110">
        <f>IFERROR(__xludf.DUMMYFUNCTION("iferror(COUNT(filter($Q116:$Q$400,$Q116:$Q$400&gt;$Q115)))"),16.0)</f>
        <v>16</v>
      </c>
      <c r="AG115" s="111">
        <f t="shared" si="6"/>
        <v>0</v>
      </c>
      <c r="AH115" s="112">
        <f t="shared" si="7"/>
        <v>3</v>
      </c>
      <c r="AI115" s="113" t="str">
        <f>IFERROR(__xludf.DUMMYFUNCTION("iferror(join("","",index(sort(filter($F116:$F$401,$Q116:$Q$401&gt;$Q115),2,false),0,1)))"),"Delaware,New Mexico,Kennesaw State,Rice,Temple,Tulsa,Stanford,Wake Forest,Arizona,Maryland,Northwestern,Kent State,Washington State,Kentucky,Mississippi State,Southern Mississippi")</f>
        <v>Delaware,New Mexico,Kennesaw State,Rice,Temple,Tulsa,Stanford,Wake Forest,Arizona,Maryland,Northwestern,Kent State,Washington State,Kentucky,Mississippi State,Southern Mississippi</v>
      </c>
      <c r="AJ115" s="114">
        <f>IFERROR(__xludf.DUMMYFUNCTION("iferror($Q115-max(filter($Q115:$Q$400,$E115:$E$400=$E$2)))"),-3.0)</f>
        <v>-3</v>
      </c>
      <c r="AK115" s="110">
        <f t="shared" si="8"/>
        <v>0</v>
      </c>
      <c r="AL115" s="110">
        <f>IFERROR(__xludf.DUMMYFUNCTION("iferror(COUNT(filter($Q116:$Q$400,$Q116:$Q$400&gt;$Q115,$E115:$E$400=$E$2)))"),0.0)</f>
        <v>0</v>
      </c>
      <c r="AM115" s="111">
        <f t="shared" si="9"/>
        <v>0</v>
      </c>
      <c r="AN115" s="110">
        <f>IFERROR(__xludf.DUMMYFUNCTION("iferror($Q115-min(filter($Q115:$Q$400,$E115:$E$400=$E$2)))"),1.0)</f>
        <v>1</v>
      </c>
      <c r="AO115" s="113" t="str">
        <f>IFERROR(__xludf.DUMMYFUNCTION("iferror(join("","",index(sort(filter($F116:$F$400,$Q116:$Q$400&gt;$Q115,$E116:$E$400=$E$2),2,false),0,1)))"),"Maryland,Northwestern")</f>
        <v>Maryland,Northwestern</v>
      </c>
      <c r="AP115" s="113" t="str">
        <f>IFERROR(__xludf.DUMMYFUNCTION("REGEXREPLACE(join("","",unique({let(conf_picked,filter(E$1:E114,D$1:D114=D115), byrow(unique(TRANSPOSe(Teams!$1:$1)),lambda(rw,if(ISERROR(match(rw,conf_picked,0)),rw,))));if(AW115,,transpose(split(AX115,"","",1,1)))})), ""^,"", """")"),"CUSA,Pac12")</f>
        <v>CUSA,Pac12</v>
      </c>
      <c r="AQ115" s="114">
        <f>IFERROR(__xludf.DUMMYFUNCTION("iferror($Q115-max(filter($Q115:$Q$400,arrayformula(isnumber(FIND($E115:$E$400,AP115))))))"),-6.0)</f>
        <v>-6</v>
      </c>
      <c r="AR115" s="110">
        <f t="array" ref="AR115">countifs($Q$2:$Q114,"&lt;"&amp;$Q115,isnumber(FIND($E$2:$E114,AP115)),TRUE)</f>
        <v>2</v>
      </c>
      <c r="AS115" s="110">
        <f>IFERROR(__xludf.DUMMYFUNCTION("iferror(COUNT(filter($Q116:$Q$400,$Q116:$Q$400&gt;$Q115,arrayformula(isnumber(FIND($E116:$E$400,AP115))))))"),3.0)</f>
        <v>3</v>
      </c>
      <c r="AT115" s="111">
        <f t="shared" si="10"/>
        <v>0</v>
      </c>
      <c r="AU115" s="110">
        <f>IFERROR(__xludf.DUMMYFUNCTION("iferror($Q115-min(filter($Q115:$Q$400,arrayformula(isnumber(FIND($E115:$E$400,AP115))))))"),1.0)</f>
        <v>1</v>
      </c>
      <c r="AV115" s="113" t="str">
        <f>IFERROR(__xludf.DUMMYFUNCTION("iferror(join("","",index(sort(filter($F116:$F$400,$Q116:$Q$400&gt;$Q115,arrayformula(isnumber(FIND($E116:$E$400,AP115)))),2,false),0,1)))"),"Delaware,Kennesaw State,Washington State")</f>
        <v>Delaware,Kennesaw State,Washington State</v>
      </c>
      <c r="AW115" s="113" t="b">
        <f>IFERROR(__xludf.DUMMYFUNCTION("isnumber(find(""wild card"",join("","",filter($G$1:$G114,$D$1:$D114=D115))))"),TRUE)</f>
        <v>1</v>
      </c>
      <c r="AX115" s="113" t="str">
        <f>IFERROR(__xludf.DUMMYFUNCTION("join("","",let(confs,unique(TRANSPOSe(Teams!$1:$1)), confs_count, BYROW(confs,lambda(conf,xlookup(conf,'Conf WC Eligibility'!A:A,'Conf WC Eligibility'!C:C,,))),confs_picked,byrow(confs,lambda(conf,countif(E$1:E114,conf))),p_needs_conf_count,byrow(confs,la"&amp;"mbda(conf,counta('Draft Order'!B$2:B622)-COUNTUNIQUE(filter(D$2:D114,E$2:E114=conf)))),query({confs,confs_count,confs_picked,p_needs_conf_count},""select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6">
      <c r="A116" s="1">
        <v>115.0</v>
      </c>
      <c r="B116" s="1">
        <v>10.0</v>
      </c>
      <c r="C116" s="1">
        <v>7.0</v>
      </c>
      <c r="D116" s="115" t="s">
        <v>224</v>
      </c>
      <c r="E116" s="116" t="str">
        <f>if(F116&lt;&gt;"",VLOOKUP(F116,offset('Teams-Conference'!A:B,0,(counta('Draft Order'!B$2:B622)-10)*2),2,0),"")</f>
        <v>CUSA</v>
      </c>
      <c r="F116" s="77" t="s">
        <v>235</v>
      </c>
      <c r="G116" s="106" t="str">
        <f t="shared" si="58"/>
        <v>Regular Pick</v>
      </c>
      <c r="H116" s="106">
        <f t="shared" si="69"/>
        <v>2</v>
      </c>
      <c r="I116" s="106">
        <f t="shared" si="67"/>
        <v>2</v>
      </c>
      <c r="J116" s="106">
        <f t="shared" si="68"/>
        <v>1</v>
      </c>
      <c r="K116" s="106"/>
      <c r="L116" s="106">
        <v>6.0</v>
      </c>
      <c r="M116" s="106">
        <f>IFERROR(__xludf.DUMMYFUNCTION("counta(iferror(filter(L$2:L115,E$2:E115=E116,L$2:L115&lt;L116)))"),4.0)</f>
        <v>4</v>
      </c>
      <c r="N116" s="106">
        <f>IFERROR(__xludf.DUMMYFUNCTION("counta(iferror(filter(L117:L$121,E117:E$121=E116,L117:L$624&gt;L116)))"),0.0)</f>
        <v>0</v>
      </c>
      <c r="O116" s="152"/>
      <c r="P116" s="106" t="b">
        <f>IFERROR(__xludf.DUMMYFUNCTION("if(F116="""","""",let(wc_picked, countifs(E$1:E115,E116,G$1:G115,""This is your wild card pick""), let(spots_filled,counta(unique(filter(D$2:E116,E$2:E116=E116)))/2,let(total,VLOOKUP(E116,'Conf WC Eligibility'!A:C,3,0),if(E116=""zIndependent"", TRUE,total"&amp;"-wc_picked&gt;12)))))"),FALSE)</f>
        <v>0</v>
      </c>
      <c r="Q116" s="107">
        <f t="array" ref="Q116:AB116">XLOOKUP(F116,'Current Week'!C:C,'Current Week'!D:O)</f>
        <v>6</v>
      </c>
      <c r="R116" s="106">
        <v>6.0</v>
      </c>
      <c r="S116" s="106" t="s">
        <v>713</v>
      </c>
      <c r="T116" s="106" t="s">
        <v>61</v>
      </c>
      <c r="U116" s="106" t="s">
        <v>238</v>
      </c>
      <c r="V116" s="106"/>
      <c r="W116" s="106"/>
      <c r="X116" s="106"/>
      <c r="Y116" s="106"/>
      <c r="Z116" s="106"/>
      <c r="AA116" s="106">
        <v>357.0</v>
      </c>
      <c r="AB116" s="106">
        <v>390.0</v>
      </c>
      <c r="AC116" s="108" t="b">
        <v>1</v>
      </c>
      <c r="AD116" s="109">
        <f t="shared" si="4"/>
        <v>-3</v>
      </c>
      <c r="AE116" s="110">
        <f t="shared" si="5"/>
        <v>40</v>
      </c>
      <c r="AF116" s="110">
        <f>IFERROR(__xludf.DUMMYFUNCTION("iferror(COUNT(filter($Q117:$Q$400,$Q117:$Q$400&gt;$Q116)))"),5.0)</f>
        <v>5</v>
      </c>
      <c r="AG116" s="111">
        <f t="shared" si="6"/>
        <v>0</v>
      </c>
      <c r="AH116" s="112">
        <f t="shared" si="7"/>
        <v>6</v>
      </c>
      <c r="AI116" s="113" t="str">
        <f>IFERROR(__xludf.DUMMYFUNCTION("iferror(join("","",index(sort(filter($F117:$F$401,$Q117:$Q$401&gt;$Q116),2,false),0,1)))"),"New Mexico,Kennesaw State,Wake Forest,Arizona,Southern Mississippi")</f>
        <v>New Mexico,Kennesaw State,Wake Forest,Arizona,Southern Mississippi</v>
      </c>
      <c r="AJ116" s="114">
        <f>IFERROR(__xludf.DUMMYFUNCTION("iferror($Q116-max(filter($Q116:$Q$400,$E116:$E$400=$E$2)))"),0.0)</f>
        <v>0</v>
      </c>
      <c r="AK116" s="110">
        <f t="shared" si="8"/>
        <v>3</v>
      </c>
      <c r="AL116" s="110">
        <f>IFERROR(__xludf.DUMMYFUNCTION("iferror(COUNT(filter($Q117:$Q$400,$Q117:$Q$400&gt;$Q116,$E116:$E$400=$E$2)))"),0.0)</f>
        <v>0</v>
      </c>
      <c r="AM116" s="111">
        <f t="shared" si="9"/>
        <v>1</v>
      </c>
      <c r="AN116" s="110">
        <f>IFERROR(__xludf.DUMMYFUNCTION("iferror($Q116-min(filter($Q116:$Q$400,$E116:$E$400=$E$2)))"),4.0)</f>
        <v>4</v>
      </c>
      <c r="AO116" s="113" t="str">
        <f>IFERROR(__xludf.DUMMYFUNCTION("iferror(join("","",index(sort(filter($F117:$F$400,$Q117:$Q$400&gt;$Q116,$E117:$E$400=$E$2),2,false),0,1)))"),"")</f>
        <v/>
      </c>
      <c r="AP116" s="113" t="str">
        <f>IFERROR(__xludf.DUMMYFUNCTION("REGEXREPLACE(join("","",unique({let(conf_picked,filter(E$1:E115,D$1:D115=D116), byrow(unique(TRANSPOSe(Teams!$1:$1)),lambda(rw,if(ISERROR(match(rw,conf_picked,0)),rw,))));if(AW116,,transpose(split(AX116,"","",1,1)))})), ""^,"", """")"),"CUSA,Pac12,zIndependent")</f>
        <v>CUSA,Pac12,zIndependent</v>
      </c>
      <c r="AQ116" s="114">
        <f>IFERROR(__xludf.DUMMYFUNCTION("iferror($Q116-max(filter($Q116:$Q$400,arrayformula(isnumber(FIND($E116:$E$400,AP116))))))"),-3.0)</f>
        <v>-3</v>
      </c>
      <c r="AR116" s="110">
        <f t="array" ref="AR116">countifs($Q$2:$Q115,"&lt;"&amp;$Q116,isnumber(FIND($E$2:$E115,AP116)),TRUE)</f>
        <v>5</v>
      </c>
      <c r="AS116" s="110">
        <f>IFERROR(__xludf.DUMMYFUNCTION("iferror(COUNT(filter($Q117:$Q$400,$Q117:$Q$400&gt;$Q116,arrayformula(isnumber(FIND($E117:$E$400,AP116))))))"),1.0)</f>
        <v>1</v>
      </c>
      <c r="AT116" s="111">
        <f t="shared" si="10"/>
        <v>0</v>
      </c>
      <c r="AU116" s="110">
        <f>IFERROR(__xludf.DUMMYFUNCTION("iferror($Q116-min(filter($Q116:$Q$400,arrayformula(isnumber(FIND($E116:$E$400,AP116))))))"),4.0)</f>
        <v>4</v>
      </c>
      <c r="AV116" s="113" t="str">
        <f>IFERROR(__xludf.DUMMYFUNCTION("iferror(join("","",index(sort(filter($F117:$F$400,$Q117:$Q$400&gt;$Q116,arrayformula(isnumber(FIND($E117:$E$400,AP116)))),2,false),0,1)))"),"Kennesaw State")</f>
        <v>Kennesaw State</v>
      </c>
      <c r="AW116" s="113" t="b">
        <f>IFERROR(__xludf.DUMMYFUNCTION("isnumber(find(""wild card"",join("","",filter($G$1:$G115,$D$1:$D115=D116))))"),TRUE)</f>
        <v>1</v>
      </c>
      <c r="AX116" s="113" t="str">
        <f>IFERROR(__xludf.DUMMYFUNCTION("join("","",let(confs,unique(TRANSPOSe(Teams!$1:$1)), confs_count, BYROW(confs,lambda(conf,xlookup(conf,'Conf WC Eligibility'!A:A,'Conf WC Eligibility'!C:C,,))),confs_picked,byrow(confs,lambda(conf,countif(E$1:E115,conf))),p_needs_conf_count,byrow(confs,la"&amp;"mbda(conf,counta('Draft Order'!B$2:B622)-COUNTUNIQUE(filter(D$2:D115,E$2:E115=conf)))),query({confs,confs_count,confs_picked,p_needs_conf_count},""select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7">
      <c r="A117" s="1">
        <v>116.0</v>
      </c>
      <c r="B117" s="1">
        <v>10.0</v>
      </c>
      <c r="C117" s="1">
        <v>8.0</v>
      </c>
      <c r="D117" s="115" t="s">
        <v>311</v>
      </c>
      <c r="E117" s="116" t="str">
        <f>if(F117&lt;&gt;"",VLOOKUP(F117,offset('Teams-Conference'!A:B,0,(counta('Draft Order'!B$2:B622)-10)*2),2,0),"")</f>
        <v>CUSA</v>
      </c>
      <c r="F117" s="77" t="s">
        <v>234</v>
      </c>
      <c r="G117" s="106" t="str">
        <f t="shared" si="58"/>
        <v>Regular Pick</v>
      </c>
      <c r="H117" s="106">
        <f t="shared" si="69"/>
        <v>1</v>
      </c>
      <c r="I117" s="106">
        <f t="shared" si="67"/>
        <v>1</v>
      </c>
      <c r="J117" s="106">
        <f t="shared" si="68"/>
        <v>2</v>
      </c>
      <c r="K117" s="106"/>
      <c r="L117" s="106">
        <v>2.0</v>
      </c>
      <c r="M117" s="106">
        <f>IFERROR(__xludf.DUMMYFUNCTION("counta(iferror(filter(L$2:L116,E$2:E116=E117,L$2:L116&lt;L117)))"),0.0)</f>
        <v>0</v>
      </c>
      <c r="N117" s="106">
        <f>IFERROR(__xludf.DUMMYFUNCTION("counta(iferror(filter(L118:L$121,E118:E$121=E117,L118:L$624&gt;L117)))"),0.0)</f>
        <v>0</v>
      </c>
      <c r="O117" s="152"/>
      <c r="P117" s="106" t="b">
        <f>IFERROR(__xludf.DUMMYFUNCTION("if(F117="""","""",let(wc_picked, countifs(E$1:E116,E117,G$1:G116,""This is your wild card pick""), let(spots_filled,counta(unique(filter(D$2:E117,E$2:E117=E117)))/2,let(total,VLOOKUP(E117,'Conf WC Eligibility'!A:C,3,0),if(E117=""zIndependent"", TRUE,total"&amp;"-wc_picked&gt;12)))))"),FALSE)</f>
        <v>0</v>
      </c>
      <c r="Q117" s="107">
        <f t="array" ref="Q117:AB117">XLOOKUP(F117,'Current Week'!C:C,'Current Week'!D:O)</f>
        <v>2</v>
      </c>
      <c r="R117" s="106">
        <v>10.0</v>
      </c>
      <c r="S117" s="106" t="s">
        <v>697</v>
      </c>
      <c r="T117" s="106" t="s">
        <v>61</v>
      </c>
      <c r="U117" s="106" t="s">
        <v>132</v>
      </c>
      <c r="V117" s="106"/>
      <c r="W117" s="106" t="s">
        <v>67</v>
      </c>
      <c r="X117" s="106">
        <v>11.5</v>
      </c>
      <c r="Y117" s="106" t="s">
        <v>67</v>
      </c>
      <c r="Z117" s="106">
        <v>51.5</v>
      </c>
      <c r="AA117" s="106">
        <v>213.0</v>
      </c>
      <c r="AB117" s="106">
        <v>454.0</v>
      </c>
      <c r="AC117" s="108" t="b">
        <v>1</v>
      </c>
      <c r="AD117" s="109">
        <f t="shared" si="4"/>
        <v>-7</v>
      </c>
      <c r="AE117" s="110">
        <f t="shared" si="5"/>
        <v>4</v>
      </c>
      <c r="AF117" s="110">
        <f>IFERROR(__xludf.DUMMYFUNCTION("iferror(COUNT(filter($Q118:$Q$400,$Q118:$Q$400&gt;$Q117)))"),18.0)</f>
        <v>18</v>
      </c>
      <c r="AG117" s="111">
        <f t="shared" si="6"/>
        <v>0</v>
      </c>
      <c r="AH117" s="112">
        <f t="shared" si="7"/>
        <v>2</v>
      </c>
      <c r="AI117" s="113" t="str">
        <f>IFERROR(__xludf.DUMMYFUNCTION("iferror(join("","",index(sort(filter($F118:$F$401,$Q118:$Q$401&gt;$Q117),2,false),0,1)))"),"New Mexico,UCLA,Kennesaw State,Rice,Temple,Tulsa,Stanford,Syracuse,Wake Forest,Arizona,Maryland,Northwestern,Kent State,Washington State,Kentucky,Mississippi State,Southern Mississippi,UL Monroe")</f>
        <v>New Mexico,UCLA,Kennesaw State,Rice,Temple,Tulsa,Stanford,Syracuse,Wake Forest,Arizona,Maryland,Northwestern,Kent State,Washington State,Kentucky,Mississippi State,Southern Mississippi,UL Monroe</v>
      </c>
      <c r="AJ117" s="114">
        <f>IFERROR(__xludf.DUMMYFUNCTION("iferror($Q117-max(filter($Q117:$Q$400,$E117:$E$400=$E$2)))"),-4.0)</f>
        <v>-4</v>
      </c>
      <c r="AK117" s="110">
        <f t="shared" si="8"/>
        <v>0</v>
      </c>
      <c r="AL117" s="110">
        <f>IFERROR(__xludf.DUMMYFUNCTION("iferror(COUNT(filter($Q118:$Q$400,$Q118:$Q$400&gt;$Q117,$E117:$E$400=$E$2)))"),0.0)</f>
        <v>0</v>
      </c>
      <c r="AM117" s="111">
        <f t="shared" si="9"/>
        <v>0</v>
      </c>
      <c r="AN117" s="110">
        <f>IFERROR(__xludf.DUMMYFUNCTION("iferror($Q117-min(filter($Q117:$Q$400,$E117:$E$400=$E$2)))"),0.0)</f>
        <v>0</v>
      </c>
      <c r="AO117" s="113" t="str">
        <f>IFERROR(__xludf.DUMMYFUNCTION("iferror(join("","",index(sort(filter($F118:$F$400,$Q118:$Q$400&gt;$Q117,$E118:$E$400=$E$2),2,false),0,1)))"),"UCLA,Maryland,Northwestern")</f>
        <v>UCLA,Maryland,Northwestern</v>
      </c>
      <c r="AP117" s="113" t="str">
        <f>IFERROR(__xludf.DUMMYFUNCTION("REGEXREPLACE(join("","",unique({let(conf_picked,filter(E$1:E116,D$1:D116=D117), byrow(unique(TRANSPOSe(Teams!$1:$1)),lambda(rw,if(ISERROR(match(rw,conf_picked,0)),rw,))));if(AW117,,transpose(split(AX117,"","",1,1)))})), ""^,"", """")"),"CUSA,Pac12,zIndependent")</f>
        <v>CUSA,Pac12,zIndependent</v>
      </c>
      <c r="AQ117" s="114">
        <f>IFERROR(__xludf.DUMMYFUNCTION("iferror($Q117-max(filter($Q117:$Q$400,arrayformula(isnumber(FIND($E117:$E$400,AP117))))))"),-7.0)</f>
        <v>-7</v>
      </c>
      <c r="AR117" s="110">
        <f t="array" ref="AR117">countifs($Q$2:$Q116,"&lt;"&amp;$Q117,isnumber(FIND($E$2:$E116,AP117)),TRUE)</f>
        <v>0</v>
      </c>
      <c r="AS117" s="110">
        <f>IFERROR(__xludf.DUMMYFUNCTION("iferror(COUNT(filter($Q118:$Q$400,$Q118:$Q$400&gt;$Q117,arrayformula(isnumber(FIND($E118:$E$400,AP117))))))"),2.0)</f>
        <v>2</v>
      </c>
      <c r="AT117" s="111">
        <f t="shared" si="10"/>
        <v>0</v>
      </c>
      <c r="AU117" s="110">
        <f>IFERROR(__xludf.DUMMYFUNCTION("iferror($Q117-min(filter($Q117:$Q$400,arrayformula(isnumber(FIND($E117:$E$400,AP117))))))"),0.0)</f>
        <v>0</v>
      </c>
      <c r="AV117" s="113" t="str">
        <f>IFERROR(__xludf.DUMMYFUNCTION("iferror(join("","",index(sort(filter($F118:$F$400,$Q118:$Q$400&gt;$Q117,arrayformula(isnumber(FIND($E118:$E$400,AP117)))),2,false),0,1)))"),"Kennesaw State,Washington State")</f>
        <v>Kennesaw State,Washington State</v>
      </c>
      <c r="AW117" s="113" t="b">
        <f>IFERROR(__xludf.DUMMYFUNCTION("isnumber(find(""wild card"",join("","",filter($G$1:$G116,$D$1:$D116=D117))))"),TRUE)</f>
        <v>1</v>
      </c>
      <c r="AX117" s="113" t="str">
        <f>IFERROR(__xludf.DUMMYFUNCTION("join("","",let(confs,unique(TRANSPOSe(Teams!$1:$1)), confs_count, BYROW(confs,lambda(conf,xlookup(conf,'Conf WC Eligibility'!A:A,'Conf WC Eligibility'!C:C,,))),confs_picked,byrow(confs,lambda(conf,countif(E$1:E116,conf))),p_needs_conf_count,byrow(confs,la"&amp;"mbda(conf,counta('Draft Order'!B$2:B622)-COUNTUNIQUE(filter(D$2:D116,E$2:E116=conf)))),query({confs,confs_count,confs_picked,p_needs_conf_count},""select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8">
      <c r="A118" s="1">
        <v>117.0</v>
      </c>
      <c r="B118" s="1">
        <v>10.0</v>
      </c>
      <c r="C118" s="1">
        <v>9.0</v>
      </c>
      <c r="D118" s="115" t="s">
        <v>193</v>
      </c>
      <c r="E118" s="116" t="str">
        <f>if(F118&lt;&gt;"",VLOOKUP(F118,offset('Teams-Conference'!A:B,0,(counta('Draft Order'!B$2:B622)-10)*2),2,0),"")</f>
        <v>MWC</v>
      </c>
      <c r="F118" s="223" t="s">
        <v>182</v>
      </c>
      <c r="G118" s="106" t="str">
        <f t="shared" si="58"/>
        <v>Regular Pick</v>
      </c>
      <c r="H118" s="106">
        <f t="shared" si="69"/>
        <v>0</v>
      </c>
      <c r="I118" s="106">
        <f t="shared" si="67"/>
        <v>0</v>
      </c>
      <c r="J118" s="106">
        <f t="shared" si="68"/>
        <v>1</v>
      </c>
      <c r="K118" s="106"/>
      <c r="L118" s="106">
        <v>9.0</v>
      </c>
      <c r="M118" s="106">
        <f>IFERROR(__xludf.DUMMYFUNCTION("counta(iferror(filter(L$2:L117,E$2:E117=E118,L$2:L117&lt;L118)))"),9.0)</f>
        <v>9</v>
      </c>
      <c r="N118" s="106">
        <f>IFERROR(__xludf.DUMMYFUNCTION("counta(iferror(filter(L119:L$121,E119:E$121=E118,L119:L$624&gt;L118)))"),0.0)</f>
        <v>0</v>
      </c>
      <c r="O118" s="152"/>
      <c r="P118" s="106" t="b">
        <f>IFERROR(__xludf.DUMMYFUNCTION("if(F118="""","""",let(wc_picked, countifs(E$1:E117,E118,G$1:G117,""This is your wild card pick""), let(spots_filled,counta(unique(filter(D$2:E118,E$2:E118=E118)))/2,let(total,VLOOKUP(E118,'Conf WC Eligibility'!A:C,3,0),if(E118=""zIndependent"", TRUE,total"&amp;"-wc_picked&gt;12)))))"),FALSE)</f>
        <v>0</v>
      </c>
      <c r="Q118" s="107">
        <f t="array" ref="Q118:AB118">XLOOKUP(F118,'Current Week'!C:C,'Current Week'!D:O)</f>
        <v>9</v>
      </c>
      <c r="R118" s="106">
        <v>3.0</v>
      </c>
      <c r="S118" s="106" t="s">
        <v>688</v>
      </c>
      <c r="T118" s="106" t="s">
        <v>597</v>
      </c>
      <c r="U118" s="106" t="s">
        <v>249</v>
      </c>
      <c r="V118" s="106"/>
      <c r="W118" s="106" t="s">
        <v>67</v>
      </c>
      <c r="X118" s="106">
        <v>1.5</v>
      </c>
      <c r="Y118" s="106" t="s">
        <v>67</v>
      </c>
      <c r="Z118" s="106">
        <v>41.5</v>
      </c>
      <c r="AA118" s="106">
        <v>335.0</v>
      </c>
      <c r="AB118" s="106">
        <v>270.0</v>
      </c>
      <c r="AC118" s="108" t="b">
        <v>1</v>
      </c>
      <c r="AD118" s="109">
        <f t="shared" si="4"/>
        <v>0</v>
      </c>
      <c r="AE118" s="110">
        <f t="shared" si="5"/>
        <v>87</v>
      </c>
      <c r="AF118" s="110">
        <f>IFERROR(__xludf.DUMMYFUNCTION("iferror(COUNT(filter($Q119:$Q$400,$Q119:$Q$400&gt;$Q118)))"),0.0)</f>
        <v>0</v>
      </c>
      <c r="AG118" s="111">
        <f t="shared" si="6"/>
        <v>1</v>
      </c>
      <c r="AH118" s="112">
        <f t="shared" si="7"/>
        <v>9</v>
      </c>
      <c r="AI118" s="113" t="str">
        <f>IFERROR(__xludf.DUMMYFUNCTION("iferror(join("","",index(sort(filter($F119:$F$401,$Q119:$Q$401&gt;$Q118),2,false),0,1)))"),"")</f>
        <v/>
      </c>
      <c r="AJ118" s="114">
        <f>IFERROR(__xludf.DUMMYFUNCTION("iferror($Q118-max(filter($Q118:$Q$400,$E118:$E$400=$E$2)))"),3.0)</f>
        <v>3</v>
      </c>
      <c r="AK118" s="110">
        <f t="shared" si="8"/>
        <v>9</v>
      </c>
      <c r="AL118" s="110">
        <f>IFERROR(__xludf.DUMMYFUNCTION("iferror(COUNT(filter($Q119:$Q$400,$Q119:$Q$400&gt;$Q118,$E118:$E$400=$E$2)))"),0.0)</f>
        <v>0</v>
      </c>
      <c r="AM118" s="111">
        <f t="shared" si="9"/>
        <v>0</v>
      </c>
      <c r="AN118" s="110">
        <f>IFERROR(__xludf.DUMMYFUNCTION("iferror($Q118-min(filter($Q118:$Q$400,$E118:$E$400=$E$2)))"),7.0)</f>
        <v>7</v>
      </c>
      <c r="AO118" s="113" t="str">
        <f>IFERROR(__xludf.DUMMYFUNCTION("iferror(join("","",index(sort(filter($F119:$F$400,$Q119:$Q$400&gt;$Q118,$E119:$E$400=$E$2),2,false),0,1)))"),"")</f>
        <v/>
      </c>
      <c r="AP118" s="113" t="str">
        <f>IFERROR(__xludf.DUMMYFUNCTION("REGEXREPLACE(join("","",unique({let(conf_picked,filter(E$1:E117,D$1:D117=D118), byrow(unique(TRANSPOSe(Teams!$1:$1)),lambda(rw,if(ISERROR(match(rw,conf_picked,0)),rw,))));if(AW118,,transpose(split(AX118,"","",1,1)))})), ""^,"", """")"),"MWC,zIndependent")</f>
        <v>MWC,zIndependent</v>
      </c>
      <c r="AQ118" s="114">
        <f>IFERROR(__xludf.DUMMYFUNCTION("iferror($Q118-max(filter($Q118:$Q$400,arrayformula(isnumber(FIND($E118:$E$400,AP118))))))"),0.0)</f>
        <v>0</v>
      </c>
      <c r="AR118" s="110">
        <f t="array" ref="AR118">countifs($Q$2:$Q117,"&lt;"&amp;$Q118,isnumber(FIND($E$2:$E117,AP118)),TRUE)</f>
        <v>9</v>
      </c>
      <c r="AS118" s="110">
        <f>IFERROR(__xludf.DUMMYFUNCTION("iferror(COUNT(filter($Q119:$Q$400,$Q119:$Q$400&gt;$Q118,arrayformula(isnumber(FIND($E119:$E$400,AP118))))))"),0.0)</f>
        <v>0</v>
      </c>
      <c r="AT118" s="111">
        <f t="shared" si="10"/>
        <v>1</v>
      </c>
      <c r="AU118" s="110">
        <f>IFERROR(__xludf.DUMMYFUNCTION("iferror($Q118-min(filter($Q118:$Q$400,arrayformula(isnumber(FIND($E118:$E$400,AP118))))))"),0.0)</f>
        <v>0</v>
      </c>
      <c r="AV118" s="113" t="str">
        <f>IFERROR(__xludf.DUMMYFUNCTION("iferror(join("","",index(sort(filter($F119:$F$400,$Q119:$Q$400&gt;$Q118,arrayformula(isnumber(FIND($E119:$E$400,AP118)))),2,false),0,1)))"),"")</f>
        <v/>
      </c>
      <c r="AW118" s="113" t="b">
        <f>IFERROR(__xludf.DUMMYFUNCTION("isnumber(find(""wild card"",join("","",filter($G$1:$G117,$D$1:$D117=D118))))"),TRUE)</f>
        <v>1</v>
      </c>
      <c r="AX118" s="113" t="str">
        <f>IFERROR(__xludf.DUMMYFUNCTION("join("","",let(confs,unique(TRANSPOSe(Teams!$1:$1)), confs_count, BYROW(confs,lambda(conf,xlookup(conf,'Conf WC Eligibility'!A:A,'Conf WC Eligibility'!C:C,,))),confs_picked,byrow(confs,lambda(conf,countif(E$1:E117,conf))),p_needs_conf_count,byrow(confs,la"&amp;"mbda(conf,counta('Draft Order'!B$2:B622)-COUNTUNIQUE(filter(D$2:D117,E$2:E117=conf)))),query({confs,confs_count,confs_picked,p_needs_conf_count},""select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19">
      <c r="A119" s="1">
        <v>118.0</v>
      </c>
      <c r="B119" s="1">
        <v>10.0</v>
      </c>
      <c r="C119" s="1">
        <v>10.0</v>
      </c>
      <c r="D119" s="115" t="s">
        <v>62</v>
      </c>
      <c r="E119" s="116" t="str">
        <f>if(F119&lt;&gt;"",VLOOKUP(F119,offset('Teams-Conference'!A:B,0,(counta('Draft Order'!B$2:B622)-10)*2),2,0),"")</f>
        <v>Big Ten</v>
      </c>
      <c r="F119" s="77" t="s">
        <v>196</v>
      </c>
      <c r="G119" s="106" t="str">
        <f t="shared" si="58"/>
        <v>This is your wild card pick</v>
      </c>
      <c r="H119" s="106">
        <f t="shared" si="69"/>
        <v>3</v>
      </c>
      <c r="I119" s="106">
        <f t="shared" si="67"/>
        <v>3</v>
      </c>
      <c r="J119" s="106">
        <f t="shared" si="68"/>
        <v>1</v>
      </c>
      <c r="K119" s="106"/>
      <c r="L119" s="106">
        <v>3.0</v>
      </c>
      <c r="M119" s="106">
        <f>IFERROR(__xludf.DUMMYFUNCTION("counta(iferror(filter(L$2:L118,E$2:E118=E119,L$2:L118&lt;L119)))"),0.0)</f>
        <v>0</v>
      </c>
      <c r="N119" s="106">
        <f>IFERROR(__xludf.DUMMYFUNCTION("counta(iferror(filter(L120:L$121,E120:E$121=E119,L120:L$624&gt;L119)))"),0.0)</f>
        <v>0</v>
      </c>
      <c r="O119" s="152"/>
      <c r="P119" s="106" t="b">
        <f>IFERROR(__xludf.DUMMYFUNCTION("if(F119="""","""",let(wc_picked, countifs(E$1:E118,E119,G$1:G118,""This is your wild card pick""), let(spots_filled,counta(unique(filter(D$2:E119,E$2:E119=E119)))/2,let(total,VLOOKUP(E119,'Conf WC Eligibility'!A:C,3,0),if(E119=""zIndependent"", TRUE,total"&amp;"-wc_picked&gt;12)))))"),TRUE)</f>
        <v>1</v>
      </c>
      <c r="Q119" s="107">
        <f t="array" ref="Q119:AB119">XLOOKUP(F119,'Current Week'!C:C,'Current Week'!D:O)</f>
        <v>3</v>
      </c>
      <c r="R119" s="106">
        <v>9.0</v>
      </c>
      <c r="S119" s="106" t="s">
        <v>547</v>
      </c>
      <c r="T119" s="106" t="s">
        <v>61</v>
      </c>
      <c r="U119" s="106" t="s">
        <v>95</v>
      </c>
      <c r="V119" s="106"/>
      <c r="W119" s="106" t="s">
        <v>67</v>
      </c>
      <c r="X119" s="106">
        <v>21.5</v>
      </c>
      <c r="Y119" s="106" t="s">
        <v>67</v>
      </c>
      <c r="Z119" s="106">
        <v>58.5</v>
      </c>
      <c r="AA119" s="106">
        <v>218.0</v>
      </c>
      <c r="AB119" s="106">
        <v>401.0</v>
      </c>
      <c r="AC119" s="108" t="b">
        <v>1</v>
      </c>
      <c r="AD119" s="109">
        <f t="shared" si="4"/>
        <v>-6</v>
      </c>
      <c r="AE119" s="110">
        <f t="shared" si="5"/>
        <v>9</v>
      </c>
      <c r="AF119" s="110">
        <f>IFERROR(__xludf.DUMMYFUNCTION("iferror(COUNT(filter($Q120:$Q$400,$Q120:$Q$400&gt;$Q119)))"),14.0)</f>
        <v>14</v>
      </c>
      <c r="AG119" s="111">
        <f t="shared" si="6"/>
        <v>0</v>
      </c>
      <c r="AH119" s="112">
        <f t="shared" si="7"/>
        <v>3</v>
      </c>
      <c r="AI119" s="113" t="str">
        <f>IFERROR(__xludf.DUMMYFUNCTION("iferror(join("","",index(sort(filter($F120:$F$401,$Q120:$Q$401&gt;$Q119),2,false),0,1)))"),"Kennesaw State,Rice,Temple,Tulsa,Stanford,Wake Forest,Arizona,Maryland,Northwestern,Kent State,Washington State,Kentucky,Mississippi State,Southern Mississippi")</f>
        <v>Kennesaw State,Rice,Temple,Tulsa,Stanford,Wake Forest,Arizona,Maryland,Northwestern,Kent State,Washington State,Kentucky,Mississippi State,Southern Mississippi</v>
      </c>
      <c r="AJ119" s="114">
        <f>IFERROR(__xludf.DUMMYFUNCTION("iferror($Q119-max(filter($Q119:$Q$400,$E119:$E$400=$E$2)))"),-3.0)</f>
        <v>-3</v>
      </c>
      <c r="AK119" s="110">
        <f t="shared" si="8"/>
        <v>0</v>
      </c>
      <c r="AL119" s="110">
        <f>IFERROR(__xludf.DUMMYFUNCTION("iferror(COUNT(filter($Q120:$Q$400,$Q120:$Q$400&gt;$Q119,$E119:$E$400=$E$2)))"),0.0)</f>
        <v>0</v>
      </c>
      <c r="AM119" s="111">
        <f t="shared" si="9"/>
        <v>0</v>
      </c>
      <c r="AN119" s="110">
        <f>IFERROR(__xludf.DUMMYFUNCTION("iferror($Q119-min(filter($Q119:$Q$400,$E119:$E$400=$E$2)))"),1.0)</f>
        <v>1</v>
      </c>
      <c r="AO119" s="113" t="str">
        <f>IFERROR(__xludf.DUMMYFUNCTION("iferror(join("","",index(sort(filter($F120:$F$400,$Q120:$Q$400&gt;$Q119,$E120:$E$400=$E$2),2,false),0,1)))"),"Maryland,Northwestern")</f>
        <v>Maryland,Northwestern</v>
      </c>
      <c r="AP119" s="113" t="str">
        <f>IFERROR(__xludf.DUMMYFUNCTION("REGEXREPLACE(join("","",unique({let(conf_picked,filter(E$1:E118,D$1:D118=D119), byrow(unique(TRANSPOSe(Teams!$1:$1)),lambda(rw,if(ISERROR(match(rw,conf_picked,0)),rw,))));if(AW119,,transpose(split(AX119,"","",1,1)))})), ""^,"", """")"),"Pac12,zIndependent,AAC,ACC,Big 12,Big Ten,MAC,SEC,Sun Belt")</f>
        <v>Pac12,zIndependent,AAC,ACC,Big 12,Big Ten,MAC,SEC,Sun Belt</v>
      </c>
      <c r="AQ119" s="114">
        <f>IFERROR(__xludf.DUMMYFUNCTION("iferror($Q119-max(filter($Q119:$Q$400,arrayformula(isnumber(FIND($E119:$E$400,AP119))))))"),-6.0)</f>
        <v>-6</v>
      </c>
      <c r="AR119" s="110">
        <f t="array" ref="AR119">countifs($Q$2:$Q118,"&lt;"&amp;$Q119,isnumber(FIND($E$2:$E118,AP119)),TRUE)</f>
        <v>6</v>
      </c>
      <c r="AS119" s="110">
        <f>IFERROR(__xludf.DUMMYFUNCTION("iferror(COUNT(filter($Q120:$Q$400,$Q120:$Q$400&gt;$Q119,arrayformula(isnumber(FIND($E120:$E$400,AP119))))))"),13.0)</f>
        <v>13</v>
      </c>
      <c r="AT119" s="111">
        <f t="shared" si="10"/>
        <v>0</v>
      </c>
      <c r="AU119" s="110">
        <f>IFERROR(__xludf.DUMMYFUNCTION("iferror($Q119-min(filter($Q119:$Q$400,arrayformula(isnumber(FIND($E119:$E$400,AP119))))))"),1.0)</f>
        <v>1</v>
      </c>
      <c r="AV119" s="113" t="str">
        <f>IFERROR(__xludf.DUMMYFUNCTION("iferror(join("","",index(sort(filter($F120:$F$400,$Q120:$Q$400&gt;$Q119,arrayformula(isnumber(FIND($E120:$E$400,AP119)))),2,false),0,1)))"),"Rice,Temple,Tulsa,Stanford,Wake Forest,Arizona,Maryland,Northwestern,Kent State,Washington State,Kentucky,Mississippi State,Southern Mississippi")</f>
        <v>Rice,Temple,Tulsa,Stanford,Wake Forest,Arizona,Maryland,Northwestern,Kent State,Washington State,Kentucky,Mississippi State,Southern Mississippi</v>
      </c>
      <c r="AW119" s="113" t="b">
        <f>IFERROR(__xludf.DUMMYFUNCTION("isnumber(find(""wild card"",join("","",filter($G$1:$G118,$D$1:$D118=D119))))"),FALSE)</f>
        <v>0</v>
      </c>
      <c r="AX119" s="113" t="str">
        <f>IFERROR(__xludf.DUMMYFUNCTION("join("","",let(confs,unique(TRANSPOSe(Teams!$1:$1)), confs_count, BYROW(confs,lambda(conf,xlookup(conf,'Conf WC Eligibility'!A:A,'Conf WC Eligibility'!C:C,,))),confs_picked,byrow(confs,lambda(conf,countif(E$1:E118,conf))),p_needs_conf_count,byrow(confs,la"&amp;"mbda(conf,counta('Draft Order'!B$2:B622)-COUNTUNIQUE(filter(D$2:D118,E$2:E118=conf)))),query({confs,confs_count,confs_picked,p_needs_conf_count},""select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0">
      <c r="A120" s="1">
        <v>119.0</v>
      </c>
      <c r="B120" s="1">
        <v>10.0</v>
      </c>
      <c r="C120" s="1">
        <v>11.0</v>
      </c>
      <c r="D120" s="115" t="s">
        <v>95</v>
      </c>
      <c r="E120" s="116" t="str">
        <f>if(F120&lt;&gt;"",VLOOKUP(F120,offset('Teams-Conference'!A:B,0,(counta('Draft Order'!B$2:B622)-10)*2),2,0),"")</f>
        <v>CUSA</v>
      </c>
      <c r="F120" s="223" t="s">
        <v>233</v>
      </c>
      <c r="G120" s="106" t="str">
        <f t="shared" si="58"/>
        <v>Regular Pick</v>
      </c>
      <c r="H120" s="106">
        <f t="shared" si="69"/>
        <v>0</v>
      </c>
      <c r="I120" s="106">
        <f t="shared" si="67"/>
        <v>0</v>
      </c>
      <c r="J120" s="106">
        <f t="shared" ref="J120:J139" si="70">countif(E110:E119,E120)</f>
        <v>3</v>
      </c>
      <c r="K120" s="106"/>
      <c r="L120" s="106">
        <v>9.0</v>
      </c>
      <c r="M120" s="106">
        <f>IFERROR(__xludf.DUMMYFUNCTION("counta(iferror(filter(L$2:L119,E$2:E119=E120,L$2:L119&lt;L120)))"),11.0)</f>
        <v>11</v>
      </c>
      <c r="N120" s="106">
        <f>IFERROR(__xludf.DUMMYFUNCTION("counta(iferror(filter(L121:L$121,E121:E$121=E120,L121:L$624&gt;L120)))"),0.0)</f>
        <v>0</v>
      </c>
      <c r="O120" s="106"/>
      <c r="P120" s="106" t="b">
        <f>IFERROR(__xludf.DUMMYFUNCTION("if(F120="""","""",let(wc_picked, countifs(E$1:E119,E120,G$1:G119,""This is your wild card pick""), let(spots_filled,counta(unique(filter(D$2:E120,E$2:E120=E120)))/2,let(total,VLOOKUP(E120,'Conf WC Eligibility'!A:C,3,0),if(E120=""zIndependent"", TRUE,total"&amp;"-wc_picked&gt;12)))))"),FALSE)</f>
        <v>0</v>
      </c>
      <c r="Q120" s="107">
        <f t="array" ref="Q120:AB120">XLOOKUP(F120,'Current Week'!C:C,'Current Week'!D:O)</f>
        <v>9</v>
      </c>
      <c r="R120" s="106">
        <v>3.0</v>
      </c>
      <c r="S120" s="106" t="s">
        <v>596</v>
      </c>
      <c r="T120" s="106" t="s">
        <v>597</v>
      </c>
      <c r="U120" s="106" t="s">
        <v>62</v>
      </c>
      <c r="V120" s="106"/>
      <c r="W120" s="106" t="s">
        <v>67</v>
      </c>
      <c r="X120" s="106">
        <v>-1.5</v>
      </c>
      <c r="Y120" s="106" t="s">
        <v>67</v>
      </c>
      <c r="Z120" s="106">
        <v>55.5</v>
      </c>
      <c r="AA120" s="106">
        <v>349.0</v>
      </c>
      <c r="AB120" s="106">
        <v>301.0</v>
      </c>
      <c r="AC120" s="108" t="b">
        <v>1</v>
      </c>
      <c r="AD120" s="109">
        <f t="shared" si="4"/>
        <v>0</v>
      </c>
      <c r="AE120" s="110">
        <f t="shared" si="5"/>
        <v>88</v>
      </c>
      <c r="AF120" s="110">
        <f>IFERROR(__xludf.DUMMYFUNCTION("iferror(COUNT(filter($Q121:$Q$400,$Q121:$Q$400&gt;$Q120)))"),0.0)</f>
        <v>0</v>
      </c>
      <c r="AG120" s="111">
        <f t="shared" si="6"/>
        <v>1</v>
      </c>
      <c r="AH120" s="112">
        <f t="shared" si="7"/>
        <v>9</v>
      </c>
      <c r="AI120" s="113" t="str">
        <f>IFERROR(__xludf.DUMMYFUNCTION("iferror(join("","",index(sort(filter($F121:$F$401,$Q121:$Q$401&gt;$Q120),2,false),0,1)))"),"")</f>
        <v/>
      </c>
      <c r="AJ120" s="114">
        <f>IFERROR(__xludf.DUMMYFUNCTION("iferror($Q120-max(filter($Q120:$Q$400,$E120:$E$400=$E$2)))"),3.0)</f>
        <v>3</v>
      </c>
      <c r="AK120" s="110">
        <f t="shared" si="8"/>
        <v>10</v>
      </c>
      <c r="AL120" s="110">
        <f>IFERROR(__xludf.DUMMYFUNCTION("iferror(COUNT(filter($Q121:$Q$400,$Q121:$Q$400&gt;$Q120,$E120:$E$400=$E$2)))"),0.0)</f>
        <v>0</v>
      </c>
      <c r="AM120" s="111">
        <f t="shared" si="9"/>
        <v>0</v>
      </c>
      <c r="AN120" s="110">
        <f>IFERROR(__xludf.DUMMYFUNCTION("iferror($Q120-min(filter($Q120:$Q$400,$E120:$E$400=$E$2)))"),7.0)</f>
        <v>7</v>
      </c>
      <c r="AO120" s="113" t="str">
        <f>IFERROR(__xludf.DUMMYFUNCTION("iferror(join("","",index(sort(filter($F121:$F$400,$Q121:$Q$400&gt;$Q120,$E121:$E$400=$E$2),2,false),0,1)))"),"")</f>
        <v/>
      </c>
      <c r="AP120" s="113" t="str">
        <f>IFERROR(__xludf.DUMMYFUNCTION("REGEXREPLACE(join("","",unique({let(conf_picked,filter(E$1:E119,D$1:D119=D120), byrow(unique(TRANSPOSe(Teams!$1:$1)),lambda(rw,if(ISERROR(match(rw,conf_picked,0)),rw,))));if(AW120,,transpose(split(AX120,"","",1,1)))})), ""^,"", """")"),"CUSA,Pac12,zIndependent")</f>
        <v>CUSA,Pac12,zIndependent</v>
      </c>
      <c r="AQ120" s="114">
        <f>IFERROR(__xludf.DUMMYFUNCTION("iferror($Q120-max(filter($Q120:$Q$400,arrayformula(isnumber(FIND($E120:$E$400,AP120))))))"),0.0)</f>
        <v>0</v>
      </c>
      <c r="AR120" s="110">
        <f t="array" ref="AR120">countifs($Q$2:$Q119,"&lt;"&amp;$Q120,isnumber(FIND($E$2:$E119,AP120)),TRUE)</f>
        <v>12</v>
      </c>
      <c r="AS120" s="110">
        <f>IFERROR(__xludf.DUMMYFUNCTION("iferror(COUNT(filter($Q121:$Q$400,$Q121:$Q$400&gt;$Q120,arrayformula(isnumber(FIND($E121:$E$400,AP120))))))"),0.0)</f>
        <v>0</v>
      </c>
      <c r="AT120" s="111">
        <f t="shared" si="10"/>
        <v>1</v>
      </c>
      <c r="AU120" s="110">
        <f>IFERROR(__xludf.DUMMYFUNCTION("iferror($Q120-min(filter($Q120:$Q$400,arrayformula(isnumber(FIND($E120:$E$400,AP120))))))"),3.0)</f>
        <v>3</v>
      </c>
      <c r="AV120" s="113" t="str">
        <f>IFERROR(__xludf.DUMMYFUNCTION("iferror(join("","",index(sort(filter($F121:$F$400,$Q121:$Q$400&gt;$Q120,arrayformula(isnumber(FIND($E121:$E$400,AP120)))),2,false),0,1)))"),"")</f>
        <v/>
      </c>
      <c r="AW120" s="113" t="b">
        <f>IFERROR(__xludf.DUMMYFUNCTION("isnumber(find(""wild card"",join("","",filter($G$1:$G119,$D$1:$D119=D120))))"),TRUE)</f>
        <v>1</v>
      </c>
      <c r="AX120" s="113" t="str">
        <f>IFERROR(__xludf.DUMMYFUNCTION("join("","",let(confs,unique(TRANSPOSe(Teams!$1:$1)), confs_count, BYROW(confs,lambda(conf,xlookup(conf,'Conf WC Eligibility'!A:A,'Conf WC Eligibility'!C:C,,))),confs_picked,byrow(confs,lambda(conf,countif(E$1:E119,conf))),p_needs_conf_count,byrow(confs,la"&amp;"mbda(conf,counta('Draft Order'!B$2:B622)-COUNTUNIQUE(filter(D$2:D119,E$2:E119=conf)))),query({confs,confs_count,confs_picked,p_needs_conf_count},""select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1">
      <c r="A121" s="1">
        <v>120.0</v>
      </c>
      <c r="B121" s="1">
        <v>10.0</v>
      </c>
      <c r="C121" s="1">
        <v>12.0</v>
      </c>
      <c r="D121" s="115" t="s">
        <v>43</v>
      </c>
      <c r="E121" t="str">
        <f>if(F121&lt;&gt;"",VLOOKUP(F121,offset('Teams-Conference'!A:B,0,(counta('Draft Order'!B$2:B622)-10)*2),2,0),"")</f>
        <v>AAC</v>
      </c>
      <c r="F121" s="77" t="s">
        <v>157</v>
      </c>
      <c r="G121" s="106" t="str">
        <f t="shared" si="58"/>
        <v>Regular Pick</v>
      </c>
      <c r="H121" s="106">
        <f t="shared" ref="H121:H139" si="71">countif(E623:E631,E121)</f>
        <v>0</v>
      </c>
      <c r="I121" s="106">
        <f t="shared" ref="I121:I139" si="72">countif(E623:E643,E121)</f>
        <v>0</v>
      </c>
      <c r="J121" s="106">
        <f t="shared" si="70"/>
        <v>0</v>
      </c>
      <c r="K121" s="106"/>
      <c r="L121" s="106">
        <v>5.0</v>
      </c>
      <c r="M121" s="106">
        <f>IFERROR(__xludf.DUMMYFUNCTION("counta(iferror(filter(L$2:L120,E$2:E120=E121,L$2:L120&lt;L121)))"),3.0)</f>
        <v>3</v>
      </c>
      <c r="N121" s="106">
        <f>IFERROR(__xludf.DUMMYFUNCTION("counta(iferror(filter(#REF!,#REF!=E121,L623:L$624&gt;L121)))"),0.0)</f>
        <v>0</v>
      </c>
      <c r="O121" s="106"/>
      <c r="P121" s="106" t="b">
        <f>IFERROR(__xludf.DUMMYFUNCTION("if(F121="""","""",let(wc_picked, countifs(E$1:E120,E121,G$1:G120,""This is your wild card pick""), let(spots_filled,counta(unique(filter(D$2:E121,E$2:E121=E121)))/2,let(total,VLOOKUP(E121,'Conf WC Eligibility'!A:C,3,0),if(E121=""zIndependent"", TRUE,total"&amp;"-wc_picked&gt;12)))))"),TRUE)</f>
        <v>1</v>
      </c>
      <c r="Q121" s="107">
        <f t="array" ref="Q121:AB121">XLOOKUP(F121,'Current Week'!C:C,'Current Week'!D:O)</f>
        <v>5</v>
      </c>
      <c r="R121" s="106">
        <v>7.0</v>
      </c>
      <c r="S121" s="106" t="s">
        <v>337</v>
      </c>
      <c r="T121" s="106" t="s">
        <v>61</v>
      </c>
      <c r="U121" s="106" t="s">
        <v>96</v>
      </c>
      <c r="V121" s="106"/>
      <c r="W121" s="106" t="s">
        <v>67</v>
      </c>
      <c r="X121" s="106">
        <v>28.5</v>
      </c>
      <c r="Y121" s="106" t="s">
        <v>67</v>
      </c>
      <c r="Z121" s="106">
        <v>59.5</v>
      </c>
      <c r="AA121" s="106">
        <v>238.0</v>
      </c>
      <c r="AB121" s="106">
        <v>387.0</v>
      </c>
      <c r="AC121" s="108" t="b">
        <v>1</v>
      </c>
      <c r="AD121" s="109">
        <f t="shared" si="4"/>
        <v>-4</v>
      </c>
      <c r="AE121" s="110">
        <f t="shared" si="5"/>
        <v>32</v>
      </c>
      <c r="AF121" s="110">
        <f>IFERROR(__xludf.DUMMYFUNCTION("iferror(COUNT(filter($Q122:$Q$400,$Q122:$Q$400&gt;$Q121)))"),5.0)</f>
        <v>5</v>
      </c>
      <c r="AG121" s="111">
        <f t="shared" si="6"/>
        <v>0</v>
      </c>
      <c r="AH121" s="112">
        <f t="shared" si="7"/>
        <v>5</v>
      </c>
      <c r="AI121" s="113" t="str">
        <f>IFERROR(__xludf.DUMMYFUNCTION("iferror(join("","",index(sort(filter($F122:$F$401,$Q122:$Q$401&gt;$Q121),2,false),0,1)))"),"Wake Forest,Arizona,Northwestern,Washington State,Southern Mississippi")</f>
        <v>Wake Forest,Arizona,Northwestern,Washington State,Southern Mississippi</v>
      </c>
      <c r="AJ121" s="114">
        <f>IFERROR(__xludf.DUMMYFUNCTION("iferror($Q121-max(filter($Q121:$Q$400,$E121:$E$400=$E$2)))"),-1.0)</f>
        <v>-1</v>
      </c>
      <c r="AK121" s="110">
        <f t="shared" si="8"/>
        <v>3</v>
      </c>
      <c r="AL121" s="110">
        <f>IFERROR(__xludf.DUMMYFUNCTION("iferror(COUNT(filter($Q122:$Q$400,$Q122:$Q$400&gt;$Q121,$E121:$E$400=$E$2)))"),0.0)</f>
        <v>0</v>
      </c>
      <c r="AM121" s="111">
        <f t="shared" si="9"/>
        <v>0</v>
      </c>
      <c r="AN121" s="110">
        <f>IFERROR(__xludf.DUMMYFUNCTION("iferror($Q121-min(filter($Q121:$Q$400,$E121:$E$400=$E$2)))"),3.0)</f>
        <v>3</v>
      </c>
      <c r="AO121" s="113" t="str">
        <f>IFERROR(__xludf.DUMMYFUNCTION("iferror(join("","",index(sort(filter($F122:$F$400,$Q122:$Q$400&gt;$Q121,$E122:$E$400=$E$2),2,false),0,1)))"),"Northwestern")</f>
        <v>Northwestern</v>
      </c>
      <c r="AP121" s="113" t="str">
        <f>IFERROR(__xludf.DUMMYFUNCTION("REGEXREPLACE(join("","",unique({let(conf_picked,filter(E$1:E120,D$1:D120=D121), byrow(unique(TRANSPOSe(Teams!$1:$1)),lambda(rw,if(ISERROR(match(rw,conf_picked,0)),rw,))));if(AW121,,transpose(split(AX121,"","",1,1)))})), ""^,"", """")"),"AAC,,Pac12,zIndependent")</f>
        <v>AAC,,Pac12,zIndependent</v>
      </c>
      <c r="AQ121" s="114">
        <f>IFERROR(__xludf.DUMMYFUNCTION("iferror($Q121-max(filter($Q121:$Q$400,arrayformula(isnumber(FIND($E121:$E$400,AP121))))))"),-1.0)</f>
        <v>-1</v>
      </c>
      <c r="AR121" s="110">
        <f t="array" ref="AR121">countifs($Q$2:$Q120,"&lt;"&amp;$Q121,isnumber(FIND($E$2:$E120,AP121)),TRUE)</f>
        <v>4</v>
      </c>
      <c r="AS121" s="110">
        <f>IFERROR(__xludf.DUMMYFUNCTION("iferror(COUNT(filter($Q122:$Q$400,$Q122:$Q$400&gt;$Q121,arrayformula(isnumber(FIND($E122:$E$400,AP121))))))"),1.0)</f>
        <v>1</v>
      </c>
      <c r="AT121" s="111">
        <f t="shared" si="10"/>
        <v>0</v>
      </c>
      <c r="AU121" s="110">
        <f>IFERROR(__xludf.DUMMYFUNCTION("iferror($Q121-min(filter($Q121:$Q$400,arrayformula(isnumber(FIND($E121:$E$400,AP121))))))"),1.0)</f>
        <v>1</v>
      </c>
      <c r="AV121" s="113" t="str">
        <f>IFERROR(__xludf.DUMMYFUNCTION("iferror(join("","",index(sort(filter($F122:$F$400,$Q122:$Q$400&gt;$Q121,arrayformula(isnumber(FIND($E122:$E$400,AP121)))),2,false),0,1)))"),"Washington State")</f>
        <v>Washington State</v>
      </c>
      <c r="AW121" s="113" t="b">
        <f>IFERROR(__xludf.DUMMYFUNCTION("isnumber(find(""wild card"",join("","",filter($G$1:$G120,$D$1:$D120=D121))))"),TRUE)</f>
        <v>1</v>
      </c>
      <c r="AX121" s="113" t="str">
        <f>IFERROR(__xludf.DUMMYFUNCTION("join("","",let(confs,unique(TRANSPOSe(Teams!$1:$1)), confs_count, BYROW(confs,lambda(conf,xlookup(conf,'Conf WC Eligibility'!A:A,'Conf WC Eligibility'!C:C,,))),confs_picked,byrow(confs,lambda(conf,countif(E$1:E120,conf))),p_needs_conf_count,byrow(confs,la"&amp;"mbda(conf,counta('Draft Order'!B$2:B622)-COUNTUNIQUE(filter(D$2:D120,E$2:E120=conf)))),query({confs,confs_count,confs_picked,p_needs_conf_count},""select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2">
      <c r="A122" s="1">
        <v>121.0</v>
      </c>
      <c r="B122" s="1">
        <v>11.0</v>
      </c>
      <c r="C122" s="101">
        <v>1.0</v>
      </c>
      <c r="D122" s="115" t="s">
        <v>493</v>
      </c>
      <c r="E122" t="str">
        <f>if(F122&lt;&gt;"",VLOOKUP(F122,offset('Teams-Conference'!A:B,0,(counta('Draft Order'!B$2:B622)-10)*2),2,0),"")</f>
        <v>AAC</v>
      </c>
      <c r="F122" s="77" t="s">
        <v>106</v>
      </c>
      <c r="G122" s="106" t="str">
        <f t="shared" si="58"/>
        <v>Regular Pick</v>
      </c>
      <c r="H122" s="106">
        <f t="shared" si="71"/>
        <v>0</v>
      </c>
      <c r="I122" s="106">
        <f t="shared" si="72"/>
        <v>0</v>
      </c>
      <c r="J122" s="106">
        <f t="shared" si="70"/>
        <v>1</v>
      </c>
      <c r="K122" s="106"/>
      <c r="L122" s="106">
        <v>5.0</v>
      </c>
      <c r="M122" s="106">
        <f>IFERROR(__xludf.DUMMYFUNCTION("counta(iferror(filter(L$2:L121,E$2:E121=E122,L$2:L121&lt;L122)))"),3.0)</f>
        <v>3</v>
      </c>
      <c r="N122" s="106">
        <f>IFERROR(__xludf.DUMMYFUNCTION("counta(iferror(filter(#REF!,#REF!=E122,L624:L$624&gt;L122)))"),0.0)</f>
        <v>0</v>
      </c>
      <c r="O122" s="106"/>
      <c r="P122" s="106" t="b">
        <f>IFERROR(__xludf.DUMMYFUNCTION("if(F122="""","""",let(wc_picked, countifs(E$1:E121,E122,G$1:G121,""This is your wild card pick""), let(spots_filled,counta(unique(filter(D$2:E122,E$2:E122=E122)))/2,let(total,VLOOKUP(E122,'Conf WC Eligibility'!A:C,3,0),if(E122=""zIndependent"", TRUE,total"&amp;"-wc_picked&gt;12)))))"),TRUE)</f>
        <v>1</v>
      </c>
      <c r="Q122" s="107">
        <f t="array" ref="Q122:AB122">XLOOKUP(F122,'Current Week'!C:C,'Current Week'!D:O)</f>
        <v>5</v>
      </c>
      <c r="R122" s="106">
        <v>7.0</v>
      </c>
      <c r="S122" s="106" t="s">
        <v>757</v>
      </c>
      <c r="T122" s="106" t="s">
        <v>61</v>
      </c>
      <c r="U122" s="106" t="s">
        <v>156</v>
      </c>
      <c r="V122" s="106"/>
      <c r="W122" s="106" t="s">
        <v>67</v>
      </c>
      <c r="X122" s="106">
        <v>19.5</v>
      </c>
      <c r="Y122" s="106" t="s">
        <v>67</v>
      </c>
      <c r="Z122" s="106">
        <v>65.5</v>
      </c>
      <c r="AA122" s="106">
        <v>334.0</v>
      </c>
      <c r="AB122" s="106">
        <v>356.0</v>
      </c>
      <c r="AC122" s="108" t="b">
        <v>1</v>
      </c>
      <c r="AD122" s="109">
        <f t="shared" si="4"/>
        <v>-4</v>
      </c>
      <c r="AE122" s="110">
        <f t="shared" si="5"/>
        <v>32</v>
      </c>
      <c r="AF122" s="110">
        <f>IFERROR(__xludf.DUMMYFUNCTION("iferror(COUNT(filter($Q123:$Q$400,$Q123:$Q$400&gt;$Q122)))"),5.0)</f>
        <v>5</v>
      </c>
      <c r="AG122" s="111">
        <f t="shared" si="6"/>
        <v>0</v>
      </c>
      <c r="AH122" s="112">
        <f t="shared" si="7"/>
        <v>5</v>
      </c>
      <c r="AI122" s="113" t="str">
        <f>IFERROR(__xludf.DUMMYFUNCTION("iferror(join("","",index(sort(filter($F123:$F$401,$Q123:$Q$401&gt;$Q122),2,false),0,1)))"),"Wake Forest,Arizona,Northwestern,Washington State,Southern Mississippi")</f>
        <v>Wake Forest,Arizona,Northwestern,Washington State,Southern Mississippi</v>
      </c>
      <c r="AJ122" s="114">
        <f>IFERROR(__xludf.DUMMYFUNCTION("iferror($Q122-max(filter($Q122:$Q$400,$E122:$E$400=$E$2)))"),-1.0)</f>
        <v>-1</v>
      </c>
      <c r="AK122" s="110">
        <f t="shared" si="8"/>
        <v>3</v>
      </c>
      <c r="AL122" s="110">
        <f>IFERROR(__xludf.DUMMYFUNCTION("iferror(COUNT(filter($Q123:$Q$400,$Q123:$Q$400&gt;$Q122,$E122:$E$400=$E$2)))"),0.0)</f>
        <v>0</v>
      </c>
      <c r="AM122" s="111">
        <f t="shared" si="9"/>
        <v>0</v>
      </c>
      <c r="AN122" s="110">
        <f>IFERROR(__xludf.DUMMYFUNCTION("iferror($Q122-min(filter($Q122:$Q$400,$E122:$E$400=$E$2)))"),3.0)</f>
        <v>3</v>
      </c>
      <c r="AO122" s="113" t="str">
        <f>IFERROR(__xludf.DUMMYFUNCTION("iferror(join("","",index(sort(filter($F123:$F$400,$Q123:$Q$400&gt;$Q122,$E123:$E$400=$E$2),2,false),0,1)))"),"Northwestern")</f>
        <v>Northwestern</v>
      </c>
      <c r="AP122" s="113" t="str">
        <f>IFERROR(__xludf.DUMMYFUNCTION("REGEXREPLACE(join("","",unique({let(conf_picked,filter(E$1:E121,D$1:D121=D122), byrow(unique(TRANSPOSe(Teams!$1:$1)),lambda(rw,if(ISERROR(match(rw,conf_picked,0)),rw,))));if(AW122,,transpose(split(AX122,"","",1,1)))})), ""^,"", """")"),"AAC,ACC,Big 12,Big Ten,CUSA,MAC,MWC,Pac12,SEC,Sun Belt,zIndependent,")</f>
        <v>AAC,ACC,Big 12,Big Ten,CUSA,MAC,MWC,Pac12,SEC,Sun Belt,zIndependent,</v>
      </c>
      <c r="AQ122" s="114">
        <f>IFERROR(__xludf.DUMMYFUNCTION("iferror($Q122-max(filter($Q122:$Q$400,arrayformula(isnumber(FIND($E122:$E$400,AP122))))))"),-4.0)</f>
        <v>-4</v>
      </c>
      <c r="AR122" s="110">
        <f t="array" ref="AR122">countifs($Q$2:$Q121,"&lt;"&amp;$Q122,isnumber(FIND($E$2:$E121,AP122)),TRUE)</f>
        <v>32</v>
      </c>
      <c r="AS122" s="110">
        <f>IFERROR(__xludf.DUMMYFUNCTION("iferror(COUNT(filter($Q123:$Q$400,$Q123:$Q$400&gt;$Q122,arrayformula(isnumber(FIND($E123:$E$400,AP122))))))"),5.0)</f>
        <v>5</v>
      </c>
      <c r="AT122" s="111">
        <f t="shared" si="10"/>
        <v>0</v>
      </c>
      <c r="AU122" s="110">
        <f>IFERROR(__xludf.DUMMYFUNCTION("iferror($Q122-min(filter($Q122:$Q$400,arrayformula(isnumber(FIND($E122:$E$400,AP122))))))"),3.0)</f>
        <v>3</v>
      </c>
      <c r="AV122" s="113" t="str">
        <f>IFERROR(__xludf.DUMMYFUNCTION("iferror(join("","",index(sort(filter($F123:$F$400,$Q123:$Q$400&gt;$Q122,arrayformula(isnumber(FIND($E123:$E$400,AP122)))),2,false),0,1)))"),"Wake Forest,Arizona,Northwestern,Washington State,Southern Mississippi")</f>
        <v>Wake Forest,Arizona,Northwestern,Washington State,Southern Mississippi</v>
      </c>
      <c r="AW122" s="113" t="b">
        <f>IFERROR(__xludf.DUMMYFUNCTION("isnumber(find(""wild card"",join("","",filter($G$1:$G121,$D$1:$D121=D122))))"),FALSE)</f>
        <v>0</v>
      </c>
      <c r="AX122" s="113" t="str">
        <f>IFERROR(__xludf.DUMMYFUNCTION("join("","",let(confs,unique(TRANSPOSe(Teams!$1:$1)), confs_count, BYROW(confs,lambda(conf,xlookup(conf,'Conf WC Eligibility'!A:A,'Conf WC Eligibility'!C:C,,))),confs_picked,byrow(confs,lambda(conf,countif(E$1:E121,conf))),p_needs_conf_count,byrow(confs,la"&amp;"mbda(conf,counta('Draft Order'!B$2:B622)-COUNTUNIQUE(filter(D$2:D121,E$2:E121=conf)))),query({confs,confs_count,confs_picked,p_needs_conf_count},""select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3">
      <c r="A123" s="1">
        <v>122.0</v>
      </c>
      <c r="B123" s="1">
        <v>11.0</v>
      </c>
      <c r="C123" s="1">
        <v>2.0</v>
      </c>
      <c r="D123" s="115" t="s">
        <v>493</v>
      </c>
      <c r="E123" t="str">
        <f>if(F123&lt;&gt;"",VLOOKUP(F123,offset('Teams-Conference'!A:B,0,(counta('Draft Order'!B$2:B622)-10)*2),2,0),"")</f>
        <v>AAC</v>
      </c>
      <c r="F123" s="77" t="s">
        <v>108</v>
      </c>
      <c r="G123" s="106" t="str">
        <f t="shared" si="58"/>
        <v>This is your wild card pick</v>
      </c>
      <c r="H123" s="106">
        <f t="shared" si="71"/>
        <v>0</v>
      </c>
      <c r="I123" s="106">
        <f t="shared" si="72"/>
        <v>0</v>
      </c>
      <c r="J123" s="106">
        <f t="shared" si="70"/>
        <v>2</v>
      </c>
      <c r="K123" s="106"/>
      <c r="L123" s="106">
        <v>4.0</v>
      </c>
      <c r="M123" s="106">
        <f>IFERROR(__xludf.DUMMYFUNCTION("counta(iferror(filter(L$2:L122,E$2:E122=E123,L$2:L122&lt;L123)))"),1.0)</f>
        <v>1</v>
      </c>
      <c r="N123" s="106">
        <f>IFERROR(__xludf.DUMMYFUNCTION("counta(iferror(filter(#REF!,#REF!=E123,L$624:L625&gt;L123)))"),0.0)</f>
        <v>0</v>
      </c>
      <c r="O123" s="106"/>
      <c r="P123" s="106" t="b">
        <f>IFERROR(__xludf.DUMMYFUNCTION("if(F123="""","""",let(wc_picked, countifs(E$1:E122,E123,G$1:G122,""This is your wild card pick""), let(spots_filled,counta(unique(filter(D$2:E123,E$2:E123=E123)))/2,let(total,VLOOKUP(E123,'Conf WC Eligibility'!A:C,3,0),if(E123=""zIndependent"", TRUE,total"&amp;"-wc_picked&gt;12)))))"),TRUE)</f>
        <v>1</v>
      </c>
      <c r="Q123" s="107">
        <f t="array" ref="Q123:AB123">XLOOKUP(F123,'Current Week'!C:C,'Current Week'!D:O)</f>
        <v>4</v>
      </c>
      <c r="R123" s="106">
        <v>8.0</v>
      </c>
      <c r="S123" s="106" t="s">
        <v>637</v>
      </c>
      <c r="T123" s="106" t="s">
        <v>61</v>
      </c>
      <c r="U123" s="106" t="s">
        <v>62</v>
      </c>
      <c r="V123" s="106"/>
      <c r="W123" s="106" t="s">
        <v>67</v>
      </c>
      <c r="X123" s="106">
        <v>-9.5</v>
      </c>
      <c r="Y123" s="106" t="s">
        <v>67</v>
      </c>
      <c r="Z123" s="106">
        <v>58.5</v>
      </c>
      <c r="AA123" s="106">
        <v>278.0</v>
      </c>
      <c r="AB123" s="106">
        <v>347.0</v>
      </c>
      <c r="AC123" s="108" t="b">
        <v>1</v>
      </c>
      <c r="AD123" s="109">
        <f t="shared" si="4"/>
        <v>-5</v>
      </c>
      <c r="AE123" s="110">
        <f t="shared" si="5"/>
        <v>16</v>
      </c>
      <c r="AF123" s="110">
        <f>IFERROR(__xludf.DUMMYFUNCTION("iferror(COUNT(filter($Q124:$Q$400,$Q124:$Q$400&gt;$Q123)))"),8.0)</f>
        <v>8</v>
      </c>
      <c r="AG123" s="111">
        <f t="shared" si="6"/>
        <v>0</v>
      </c>
      <c r="AH123" s="112">
        <f t="shared" si="7"/>
        <v>4</v>
      </c>
      <c r="AI123" s="113" t="str">
        <f>IFERROR(__xludf.DUMMYFUNCTION("iferror(join("","",index(sort(filter($F124:$F$401,$Q124:$Q$401&gt;$Q123),2,false),0,1)))"),"Wake Forest,Arizona,Northwestern,Kent State,Washington State,Kentucky,Mississippi State,Southern Mississippi")</f>
        <v>Wake Forest,Arizona,Northwestern,Kent State,Washington State,Kentucky,Mississippi State,Southern Mississippi</v>
      </c>
      <c r="AJ123" s="114">
        <f>IFERROR(__xludf.DUMMYFUNCTION("iferror($Q123-max(filter($Q123:$Q$400,$E123:$E$400=$E$2)))"),-2.0)</f>
        <v>-2</v>
      </c>
      <c r="AK123" s="110">
        <f t="shared" si="8"/>
        <v>1</v>
      </c>
      <c r="AL123" s="110">
        <f>IFERROR(__xludf.DUMMYFUNCTION("iferror(COUNT(filter($Q124:$Q$400,$Q124:$Q$400&gt;$Q123,$E123:$E$400=$E$2)))"),0.0)</f>
        <v>0</v>
      </c>
      <c r="AM123" s="111">
        <f t="shared" si="9"/>
        <v>0</v>
      </c>
      <c r="AN123" s="110">
        <f>IFERROR(__xludf.DUMMYFUNCTION("iferror($Q123-min(filter($Q123:$Q$400,$E123:$E$400=$E$2)))"),2.0)</f>
        <v>2</v>
      </c>
      <c r="AO123" s="113" t="str">
        <f>IFERROR(__xludf.DUMMYFUNCTION("iferror(join("","",index(sort(filter($F124:$F$400,$Q124:$Q$400&gt;$Q123,$E124:$E$400=$E$2),2,false),0,1)))"),"Northwestern")</f>
        <v>Northwestern</v>
      </c>
      <c r="AP123" s="113" t="str">
        <f>IFERROR(__xludf.DUMMYFUNCTION("REGEXREPLACE(join("","",unique({let(conf_picked,filter(E$1:E122,D$1:D122=D123), byrow(unique(TRANSPOSe(Teams!$1:$1)),lambda(rw,if(ISERROR(match(rw,conf_picked,0)),rw,))));if(AW123,,transpose(split(AX123,"","",1,1)))})), ""^,"", """")"),"ACC,Big 12,Big Ten,CUSA,MAC,MWC,Pac12,SEC,Sun Belt,zIndependent,AAC")</f>
        <v>ACC,Big 12,Big Ten,CUSA,MAC,MWC,Pac12,SEC,Sun Belt,zIndependent,AAC</v>
      </c>
      <c r="AQ123" s="114">
        <f>IFERROR(__xludf.DUMMYFUNCTION("iferror($Q123-max(filter($Q123:$Q$400,arrayformula(isnumber(FIND($E123:$E$400,AP123))))))"),-5.0)</f>
        <v>-5</v>
      </c>
      <c r="AR123" s="110">
        <f t="array" ref="AR123">countifs($Q$2:$Q122,"&lt;"&amp;$Q123,isnumber(FIND($E$2:$E122,AP123)),TRUE)</f>
        <v>16</v>
      </c>
      <c r="AS123" s="110">
        <f>IFERROR(__xludf.DUMMYFUNCTION("iferror(COUNT(filter($Q124:$Q$400,$Q124:$Q$400&gt;$Q123,arrayformula(isnumber(FIND($E124:$E$400,AP123))))))"),8.0)</f>
        <v>8</v>
      </c>
      <c r="AT123" s="111">
        <f t="shared" si="10"/>
        <v>0</v>
      </c>
      <c r="AU123" s="110">
        <f>IFERROR(__xludf.DUMMYFUNCTION("iferror($Q123-min(filter($Q123:$Q$400,arrayformula(isnumber(FIND($E123:$E$400,AP123))))))"),2.0)</f>
        <v>2</v>
      </c>
      <c r="AV123" s="113" t="str">
        <f>IFERROR(__xludf.DUMMYFUNCTION("iferror(join("","",index(sort(filter($F124:$F$400,$Q124:$Q$400&gt;$Q123,arrayformula(isnumber(FIND($E124:$E$400,AP123)))),2,false),0,1)))"),"Wake Forest,Arizona,Northwestern,Kent State,Washington State,Kentucky,Mississippi State,Southern Mississippi")</f>
        <v>Wake Forest,Arizona,Northwestern,Kent State,Washington State,Kentucky,Mississippi State,Southern Mississippi</v>
      </c>
      <c r="AW123" s="113" t="b">
        <f>IFERROR(__xludf.DUMMYFUNCTION("isnumber(find(""wild card"",join("","",filter($G$1:$G122,$D$1:$D122=D123))))"),FALSE)</f>
        <v>0</v>
      </c>
      <c r="AX123" s="113" t="str">
        <f>IFERROR(__xludf.DUMMYFUNCTION("join("","",let(confs,unique(TRANSPOSe(Teams!$1:$1)), confs_count, BYROW(confs,lambda(conf,xlookup(conf,'Conf WC Eligibility'!A:A,'Conf WC Eligibility'!C:C,,))),confs_picked,byrow(confs,lambda(conf,countif(E$1:E122,conf))),p_needs_conf_count,byrow(confs,la"&amp;"mbda(conf,counta('Draft Order'!B$2:B622)-COUNTUNIQUE(filter(D$2:D122,E$2:E122=conf)))),query({confs,confs_count,confs_picked,p_needs_conf_count},""select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4">
      <c r="A124" s="1">
        <v>123.0</v>
      </c>
      <c r="B124" s="1">
        <v>11.0</v>
      </c>
      <c r="C124" s="1">
        <v>3.0</v>
      </c>
      <c r="D124" s="115" t="s">
        <v>493</v>
      </c>
      <c r="E124" t="str">
        <f>if(F124&lt;&gt;"",VLOOKUP(F124,offset('Teams-Conference'!A:B,0,(counta('Draft Order'!B$2:B622)-10)*2),2,0),"")</f>
        <v>ACC</v>
      </c>
      <c r="F124" s="77" t="s">
        <v>110</v>
      </c>
      <c r="G124" s="106" t="str">
        <f t="shared" si="58"/>
        <v>Regular Pick</v>
      </c>
      <c r="H124" s="106">
        <f t="shared" si="71"/>
        <v>0</v>
      </c>
      <c r="I124" s="106">
        <f t="shared" si="72"/>
        <v>0</v>
      </c>
      <c r="J124" s="106">
        <f t="shared" si="70"/>
        <v>0</v>
      </c>
      <c r="K124" s="106"/>
      <c r="L124" s="106">
        <v>2.0</v>
      </c>
      <c r="M124" s="106">
        <f>IFERROR(__xludf.DUMMYFUNCTION("counta(iferror(filter(L$2:L123,E$2:E123=E124,L$2:L123&lt;L124)))"),0.0)</f>
        <v>0</v>
      </c>
      <c r="N124" s="106">
        <f>IFERROR(__xludf.DUMMYFUNCTION("counta(iferror(filter(#REF!,#REF!=E124,L$624:L626&gt;L124)))"),0.0)</f>
        <v>0</v>
      </c>
      <c r="O124" s="106"/>
      <c r="P124" s="106" t="b">
        <f>IFERROR(__xludf.DUMMYFUNCTION("if(F124="""","""",let(wc_picked, countifs(E$1:E123,E124,G$1:G123,""This is your wild card pick""), let(spots_filled,counta(unique(filter(D$2:E124,E$2:E124=E124)))/2,let(total,VLOOKUP(E124,'Conf WC Eligibility'!A:C,3,0),if(E124=""zIndependent"", TRUE,total"&amp;"-wc_picked&gt;12)))))"),TRUE)</f>
        <v>1</v>
      </c>
      <c r="Q124" s="107">
        <f t="array" ref="Q124:AB124">XLOOKUP(F124,'Current Week'!C:C,'Current Week'!D:O)</f>
        <v>2</v>
      </c>
      <c r="R124" s="106">
        <v>10.0</v>
      </c>
      <c r="S124" s="106" t="s">
        <v>794</v>
      </c>
      <c r="T124" s="106" t="s">
        <v>61</v>
      </c>
      <c r="U124" s="106" t="s">
        <v>493</v>
      </c>
      <c r="V124" s="106"/>
      <c r="W124" s="106" t="s">
        <v>67</v>
      </c>
      <c r="X124" s="106">
        <v>-2.5</v>
      </c>
      <c r="Y124" s="106" t="s">
        <v>67</v>
      </c>
      <c r="Z124" s="106">
        <v>52.5</v>
      </c>
      <c r="AA124" s="106">
        <v>305.0</v>
      </c>
      <c r="AB124" s="106">
        <v>393.0</v>
      </c>
      <c r="AC124" s="108" t="b">
        <v>1</v>
      </c>
      <c r="AD124" s="109">
        <f t="shared" si="4"/>
        <v>-7</v>
      </c>
      <c r="AE124" s="110">
        <f t="shared" si="5"/>
        <v>4</v>
      </c>
      <c r="AF124" s="110">
        <f>IFERROR(__xludf.DUMMYFUNCTION("iferror(COUNT(filter($Q125:$Q$400,$Q125:$Q$400&gt;$Q124)))"),12.0)</f>
        <v>12</v>
      </c>
      <c r="AG124" s="111">
        <f t="shared" si="6"/>
        <v>0</v>
      </c>
      <c r="AH124" s="112">
        <f t="shared" si="7"/>
        <v>2</v>
      </c>
      <c r="AI124" s="113" t="str">
        <f>IFERROR(__xludf.DUMMYFUNCTION("iferror(join("","",index(sort(filter($F125:$F$401,$Q125:$Q$401&gt;$Q124),2,false),0,1)))"),"Stanford,Syracuse,Wake Forest,Arizona,Maryland,Northwestern,Kent State,Washington State,Kentucky,Mississippi State,Southern Mississippi,UL Monroe")</f>
        <v>Stanford,Syracuse,Wake Forest,Arizona,Maryland,Northwestern,Kent State,Washington State,Kentucky,Mississippi State,Southern Mississippi,UL Monroe</v>
      </c>
      <c r="AJ124" s="114">
        <f>IFERROR(__xludf.DUMMYFUNCTION("iferror($Q124-max(filter($Q124:$Q$400,$E124:$E$400=$E$2)))"),-4.0)</f>
        <v>-4</v>
      </c>
      <c r="AK124" s="110">
        <f t="shared" si="8"/>
        <v>0</v>
      </c>
      <c r="AL124" s="110">
        <f>IFERROR(__xludf.DUMMYFUNCTION("iferror(COUNT(filter($Q125:$Q$400,$Q125:$Q$400&gt;$Q124,$E124:$E$400=$E$2)))"),0.0)</f>
        <v>0</v>
      </c>
      <c r="AM124" s="111">
        <f t="shared" si="9"/>
        <v>0</v>
      </c>
      <c r="AN124" s="110">
        <f>IFERROR(__xludf.DUMMYFUNCTION("iferror($Q124-min(filter($Q124:$Q$400,$E124:$E$400=$E$2)))"),0.0)</f>
        <v>0</v>
      </c>
      <c r="AO124" s="113" t="str">
        <f>IFERROR(__xludf.DUMMYFUNCTION("iferror(join("","",index(sort(filter($F125:$F$400,$Q125:$Q$400&gt;$Q124,$E125:$E$400=$E$2),2,false),0,1)))"),"Maryland,Northwestern")</f>
        <v>Maryland,Northwestern</v>
      </c>
      <c r="AP124" s="113" t="str">
        <f>IFERROR(__xludf.DUMMYFUNCTION("REGEXREPLACE(join("","",unique({let(conf_picked,filter(E$1:E123,D$1:D123=D124), byrow(unique(TRANSPOSe(Teams!$1:$1)),lambda(rw,if(ISERROR(match(rw,conf_picked,0)),rw,))));if(AW124,,transpose(split(AX124,"","",1,1)))})), ""^,"", """")"),"ACC,Big 12,Big Ten,CUSA,MAC,MWC,Pac12,SEC,Sun Belt,zIndependent")</f>
        <v>ACC,Big 12,Big Ten,CUSA,MAC,MWC,Pac12,SEC,Sun Belt,zIndependent</v>
      </c>
      <c r="AQ124" s="114">
        <f>IFERROR(__xludf.DUMMYFUNCTION("iferror($Q124-max(filter($Q124:$Q$400,arrayformula(isnumber(FIND($E124:$E$400,AP124))))))"),-7.0)</f>
        <v>-7</v>
      </c>
      <c r="AR124" s="110">
        <f t="array" ref="AR124">countifs($Q$2:$Q123,"&lt;"&amp;$Q124,isnumber(FIND($E$2:$E123,AP124)),TRUE)</f>
        <v>3</v>
      </c>
      <c r="AS124" s="110">
        <f>IFERROR(__xludf.DUMMYFUNCTION("iferror(COUNT(filter($Q125:$Q$400,$Q125:$Q$400&gt;$Q124,arrayformula(isnumber(FIND($E125:$E$400,AP124))))))"),12.0)</f>
        <v>12</v>
      </c>
      <c r="AT124" s="111">
        <f t="shared" si="10"/>
        <v>0</v>
      </c>
      <c r="AU124" s="110">
        <f>IFERROR(__xludf.DUMMYFUNCTION("iferror($Q124-min(filter($Q124:$Q$400,arrayformula(isnumber(FIND($E124:$E$400,AP124))))))"),0.0)</f>
        <v>0</v>
      </c>
      <c r="AV124" s="113" t="str">
        <f>IFERROR(__xludf.DUMMYFUNCTION("iferror(join("","",index(sort(filter($F125:$F$400,$Q125:$Q$400&gt;$Q124,arrayformula(isnumber(FIND($E125:$E$400,AP124)))),2,false),0,1)))"),"Stanford,Syracuse,Wake Forest,Arizona,Maryland,Northwestern,Kent State,Washington State,Kentucky,Mississippi State,Southern Mississippi,UL Monroe")</f>
        <v>Stanford,Syracuse,Wake Forest,Arizona,Maryland,Northwestern,Kent State,Washington State,Kentucky,Mississippi State,Southern Mississippi,UL Monroe</v>
      </c>
      <c r="AW124" s="113" t="b">
        <f>IFERROR(__xludf.DUMMYFUNCTION("isnumber(find(""wild card"",join("","",filter($G$1:$G123,$D$1:$D123=D124))))"),TRUE)</f>
        <v>1</v>
      </c>
      <c r="AX124" s="113" t="str">
        <f>IFERROR(__xludf.DUMMYFUNCTION("join("","",let(confs,unique(TRANSPOSe(Teams!$1:$1)), confs_count, BYROW(confs,lambda(conf,xlookup(conf,'Conf WC Eligibility'!A:A,'Conf WC Eligibility'!C:C,,))),confs_picked,byrow(confs,lambda(conf,countif(E$1:E123,conf))),p_needs_conf_count,byrow(confs,la"&amp;"mbda(conf,counta('Draft Order'!B$2:B622)-COUNTUNIQUE(filter(D$2:D123,E$2:E123=conf)))),query({confs,confs_count,confs_picked,p_needs_conf_count},""select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5">
      <c r="A125" s="1">
        <v>124.0</v>
      </c>
      <c r="B125" s="1">
        <v>11.0</v>
      </c>
      <c r="C125" s="1">
        <v>4.0</v>
      </c>
      <c r="D125" s="115" t="s">
        <v>493</v>
      </c>
      <c r="E125" t="str">
        <f>if(F125&lt;&gt;"",VLOOKUP(F125,offset('Teams-Conference'!A:B,0,(counta('Draft Order'!B$2:B622)-10)*2),2,0),"")</f>
        <v>ACC</v>
      </c>
      <c r="F125" s="77" t="s">
        <v>195</v>
      </c>
      <c r="G125" s="106" t="str">
        <f t="shared" ref="G125:G139" si="73">if(F125="","",IF(D125="Undrafted","Regular Pick",let(wc_check,or(COUNTIFS(E$1:E125,"="&amp;E125,D$1:D125,"="&amp;D125)&gt;1,E125="zIndependent"),let(error_text, if(F124="","ERROR: Previous pick is blank.   ","")&amp;if(match(F125,F:F,0)&lt;ROW(F125),"ERROR: Team already selected in row " &amp; ROW(F125)&amp;".  ","")&amp;if(and(wc_check,countIFS(G$1:G124,"This is your wild card pick",D$1:D124,"="&amp;D125)&gt;0),"ERROR: Player picked from this conference more than once and already made their wild card pick.  ","")&amp;if(and(wc_check,not(P125)),"ERROR: This conference is not eligible for a wild card pick.",""),if(error_text="",if(wc_check,"This is your wild card pick","Regular Pick"),error_text)))))</f>
        <v>Regular Pick</v>
      </c>
      <c r="H125" s="106">
        <f t="shared" si="71"/>
        <v>0</v>
      </c>
      <c r="I125" s="106">
        <f t="shared" si="72"/>
        <v>0</v>
      </c>
      <c r="J125" s="106">
        <f t="shared" si="70"/>
        <v>1</v>
      </c>
      <c r="K125" s="106"/>
      <c r="L125" s="106">
        <v>4.0</v>
      </c>
      <c r="M125" s="106">
        <f>IFERROR(__xludf.DUMMYFUNCTION("counta(iferror(filter(L$2:L124,E$2:E124=E125,L$2:L124&lt;L125)))"),2.0)</f>
        <v>2</v>
      </c>
      <c r="N125" s="106">
        <f>IFERROR(__xludf.DUMMYFUNCTION("counta(iferror(filter(#REF!,#REF!=E125,L$624:L627&gt;L125)))"),0.0)</f>
        <v>0</v>
      </c>
      <c r="O125" s="106"/>
      <c r="P125" s="106" t="b">
        <f>IFERROR(__xludf.DUMMYFUNCTION("if(F125="""","""",let(wc_picked, countifs(E$1:E124,E125,G$1:G124,""This is your wild card pick""), let(spots_filled,counta(unique(filter(D$2:E125,E$2:E125=E125)))/2,let(total,VLOOKUP(E125,'Conf WC Eligibility'!A:C,3,0),if(E125=""zIndependent"", TRUE,total"&amp;"-wc_picked&gt;12)))))"),TRUE)</f>
        <v>1</v>
      </c>
      <c r="Q125" s="107">
        <f t="array" ref="Q125:AB125">XLOOKUP(F125,'Current Week'!C:C,'Current Week'!D:O)</f>
        <v>4</v>
      </c>
      <c r="R125" s="106">
        <v>8.0</v>
      </c>
      <c r="S125" s="106" t="s">
        <v>723</v>
      </c>
      <c r="T125" s="106" t="s">
        <v>61</v>
      </c>
      <c r="U125" s="106" t="s">
        <v>96</v>
      </c>
      <c r="V125" s="106"/>
      <c r="W125" s="106" t="s">
        <v>67</v>
      </c>
      <c r="X125" s="106">
        <v>31.5</v>
      </c>
      <c r="Y125" s="106" t="s">
        <v>67</v>
      </c>
      <c r="Z125" s="106">
        <v>49.5</v>
      </c>
      <c r="AA125" s="106">
        <v>226.0</v>
      </c>
      <c r="AB125" s="106">
        <v>350.0</v>
      </c>
      <c r="AC125" s="108" t="b">
        <v>1</v>
      </c>
      <c r="AD125" s="109">
        <f t="shared" si="4"/>
        <v>-5</v>
      </c>
      <c r="AE125" s="110">
        <f t="shared" si="5"/>
        <v>17</v>
      </c>
      <c r="AF125" s="110">
        <f>IFERROR(__xludf.DUMMYFUNCTION("iferror(COUNT(filter($Q126:$Q$400,$Q126:$Q$400&gt;$Q125)))"),8.0)</f>
        <v>8</v>
      </c>
      <c r="AG125" s="111">
        <f t="shared" si="6"/>
        <v>0</v>
      </c>
      <c r="AH125" s="112">
        <f t="shared" si="7"/>
        <v>4</v>
      </c>
      <c r="AI125" s="113" t="str">
        <f>IFERROR(__xludf.DUMMYFUNCTION("iferror(join("","",index(sort(filter($F126:$F$401,$Q126:$Q$401&gt;$Q125),2,false),0,1)))"),"Wake Forest,Arizona,Northwestern,Kent State,Washington State,Kentucky,Mississippi State,Southern Mississippi")</f>
        <v>Wake Forest,Arizona,Northwestern,Kent State,Washington State,Kentucky,Mississippi State,Southern Mississippi</v>
      </c>
      <c r="AJ125" s="114">
        <f>IFERROR(__xludf.DUMMYFUNCTION("iferror($Q125-max(filter($Q125:$Q$400,$E125:$E$400=$E$2)))"),-2.0)</f>
        <v>-2</v>
      </c>
      <c r="AK125" s="110">
        <f t="shared" si="8"/>
        <v>1</v>
      </c>
      <c r="AL125" s="110">
        <f>IFERROR(__xludf.DUMMYFUNCTION("iferror(COUNT(filter($Q126:$Q$400,$Q126:$Q$400&gt;$Q125,$E125:$E$400=$E$2)))"),0.0)</f>
        <v>0</v>
      </c>
      <c r="AM125" s="111">
        <f t="shared" si="9"/>
        <v>0</v>
      </c>
      <c r="AN125" s="110">
        <f>IFERROR(__xludf.DUMMYFUNCTION("iferror($Q125-min(filter($Q125:$Q$400,$E125:$E$400=$E$2)))"),2.0)</f>
        <v>2</v>
      </c>
      <c r="AO125" s="113" t="str">
        <f>IFERROR(__xludf.DUMMYFUNCTION("iferror(join("","",index(sort(filter($F126:$F$400,$Q126:$Q$400&gt;$Q125,$E126:$E$400=$E$2),2,false),0,1)))"),"Northwestern")</f>
        <v>Northwestern</v>
      </c>
      <c r="AP125" s="113" t="str">
        <f>IFERROR(__xludf.DUMMYFUNCTION("REGEXREPLACE(join("","",unique({let(conf_picked,filter(E$1:E124,D$1:D124=D125), byrow(unique(TRANSPOSe(Teams!$1:$1)),lambda(rw,if(ISERROR(match(rw,conf_picked,0)),rw,))));if(AW125,,transpose(split(AX125,"","",1,1)))})), ""^,"", """")"),"Big 12,Big Ten,CUSA,MAC,MWC,Pac12,SEC,Sun Belt,zIndependent")</f>
        <v>Big 12,Big Ten,CUSA,MAC,MWC,Pac12,SEC,Sun Belt,zIndependent</v>
      </c>
      <c r="AQ125" s="114">
        <f>IFERROR(__xludf.DUMMYFUNCTION("iferror($Q125-max(filter($Q125:$Q$400,arrayformula(isnumber(FIND($E125:$E$400,AP125))))))"),-5.0)</f>
        <v>-5</v>
      </c>
      <c r="AR125" s="110">
        <f t="array" ref="AR125">countifs($Q$2:$Q124,"&lt;"&amp;$Q125,isnumber(FIND($E$2:$E124,AP125)),TRUE)</f>
        <v>14</v>
      </c>
      <c r="AS125" s="110">
        <f>IFERROR(__xludf.DUMMYFUNCTION("iferror(COUNT(filter($Q126:$Q$400,$Q126:$Q$400&gt;$Q125,arrayformula(isnumber(FIND($E126:$E$400,AP125))))))"),7.0)</f>
        <v>7</v>
      </c>
      <c r="AT125" s="111">
        <f t="shared" si="10"/>
        <v>0</v>
      </c>
      <c r="AU125" s="110">
        <f>IFERROR(__xludf.DUMMYFUNCTION("iferror($Q125-min(filter($Q125:$Q$400,arrayformula(isnumber(FIND($E125:$E$400,AP125))))))"),2.0)</f>
        <v>2</v>
      </c>
      <c r="AV125" s="113" t="str">
        <f>IFERROR(__xludf.DUMMYFUNCTION("iferror(join("","",index(sort(filter($F126:$F$400,$Q126:$Q$400&gt;$Q125,arrayformula(isnumber(FIND($E126:$E$400,AP125)))),2,false),0,1)))"),"Arizona,Northwestern,Kent State,Washington State,Kentucky,Mississippi State,Southern Mississippi")</f>
        <v>Arizona,Northwestern,Kent State,Washington State,Kentucky,Mississippi State,Southern Mississippi</v>
      </c>
      <c r="AW125" s="113" t="b">
        <f>IFERROR(__xludf.DUMMYFUNCTION("isnumber(find(""wild card"",join("","",filter($G$1:$G124,$D$1:$D124=D125))))"),TRUE)</f>
        <v>1</v>
      </c>
      <c r="AX125" s="113" t="str">
        <f>IFERROR(__xludf.DUMMYFUNCTION("join("","",let(confs,unique(TRANSPOSe(Teams!$1:$1)), confs_count, BYROW(confs,lambda(conf,xlookup(conf,'Conf WC Eligibility'!A:A,'Conf WC Eligibility'!C:C,,))),confs_picked,byrow(confs,lambda(conf,countif(E$1:E124,conf))),p_needs_conf_count,byrow(confs,la"&amp;"mbda(conf,counta('Draft Order'!B$2:B622)-COUNTUNIQUE(filter(D$2:D124,E$2:E124=conf)))),query({confs,confs_count,confs_picked,p_needs_conf_count},""select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6">
      <c r="A126" s="1">
        <v>125.0</v>
      </c>
      <c r="B126" s="1">
        <v>11.0</v>
      </c>
      <c r="C126" s="1">
        <v>5.0</v>
      </c>
      <c r="D126" s="115" t="s">
        <v>493</v>
      </c>
      <c r="E126" t="str">
        <f>if(F126&lt;&gt;"",VLOOKUP(F126,offset('Teams-Conference'!A:B,0,(counta('Draft Order'!B$2:B622)-10)*2),2,0),"")</f>
        <v>ACC</v>
      </c>
      <c r="F126" s="77" t="s">
        <v>120</v>
      </c>
      <c r="G126" s="106" t="str">
        <f t="shared" si="73"/>
        <v>Regular Pick</v>
      </c>
      <c r="H126" s="106">
        <f t="shared" si="71"/>
        <v>0</v>
      </c>
      <c r="I126" s="106">
        <f t="shared" si="72"/>
        <v>0</v>
      </c>
      <c r="J126" s="106">
        <f t="shared" si="70"/>
        <v>2</v>
      </c>
      <c r="K126" s="106"/>
      <c r="L126" s="106">
        <v>3.0</v>
      </c>
      <c r="M126" s="106">
        <f>IFERROR(__xludf.DUMMYFUNCTION("counta(iferror(filter(L$2:L125,E$2:E125=E126,L$2:L125&lt;L126)))"),1.0)</f>
        <v>1</v>
      </c>
      <c r="N126" s="106">
        <f>IFERROR(__xludf.DUMMYFUNCTION("counta(iferror(filter(#REF!,#REF!=E126,L$624:L628&gt;L126)))"),0.0)</f>
        <v>0</v>
      </c>
      <c r="O126" s="106"/>
      <c r="P126" s="106" t="b">
        <f>IFERROR(__xludf.DUMMYFUNCTION("if(F126="""","""",let(wc_picked, countifs(E$1:E125,E126,G$1:G125,""This is your wild card pick""), let(spots_filled,counta(unique(filter(D$2:E126,E$2:E126=E126)))/2,let(total,VLOOKUP(E126,'Conf WC Eligibility'!A:C,3,0),if(E126=""zIndependent"", TRUE,total"&amp;"-wc_picked&gt;12)))))"),TRUE)</f>
        <v>1</v>
      </c>
      <c r="Q126" s="107">
        <f t="array" ref="Q126:AB126">XLOOKUP(F126,'Current Week'!C:C,'Current Week'!D:O)</f>
        <v>3</v>
      </c>
      <c r="R126" s="106">
        <v>9.0</v>
      </c>
      <c r="S126" s="106" t="s">
        <v>794</v>
      </c>
      <c r="T126" s="106" t="s">
        <v>61</v>
      </c>
      <c r="U126" s="106" t="s">
        <v>493</v>
      </c>
      <c r="V126" s="106"/>
      <c r="W126" s="106" t="s">
        <v>67</v>
      </c>
      <c r="X126" s="106">
        <v>2.5</v>
      </c>
      <c r="Y126" s="106" t="s">
        <v>67</v>
      </c>
      <c r="Z126" s="106">
        <v>52.5</v>
      </c>
      <c r="AA126" s="106">
        <v>242.0</v>
      </c>
      <c r="AB126" s="106">
        <v>419.0</v>
      </c>
      <c r="AC126" s="108" t="b">
        <v>1</v>
      </c>
      <c r="AD126" s="109">
        <f t="shared" si="4"/>
        <v>-6</v>
      </c>
      <c r="AE126" s="110">
        <f t="shared" si="5"/>
        <v>10</v>
      </c>
      <c r="AF126" s="110">
        <f>IFERROR(__xludf.DUMMYFUNCTION("iferror(COUNT(filter($Q127:$Q$400,$Q127:$Q$400&gt;$Q126)))"),9.0)</f>
        <v>9</v>
      </c>
      <c r="AG126" s="111">
        <f t="shared" si="6"/>
        <v>0</v>
      </c>
      <c r="AH126" s="112">
        <f t="shared" si="7"/>
        <v>3</v>
      </c>
      <c r="AI126" s="113" t="str">
        <f>IFERROR(__xludf.DUMMYFUNCTION("iferror(join("","",index(sort(filter($F127:$F$401,$Q127:$Q$401&gt;$Q126),2,false),0,1)))"),"Wake Forest,Arizona,Maryland,Northwestern,Kent State,Washington State,Kentucky,Mississippi State,Southern Mississippi")</f>
        <v>Wake Forest,Arizona,Maryland,Northwestern,Kent State,Washington State,Kentucky,Mississippi State,Southern Mississippi</v>
      </c>
      <c r="AJ126" s="114">
        <f>IFERROR(__xludf.DUMMYFUNCTION("iferror($Q126-max(filter($Q126:$Q$400,$E126:$E$400=$E$2)))"),-3.0)</f>
        <v>-3</v>
      </c>
      <c r="AK126" s="110">
        <f t="shared" si="8"/>
        <v>0</v>
      </c>
      <c r="AL126" s="110">
        <f>IFERROR(__xludf.DUMMYFUNCTION("iferror(COUNT(filter($Q127:$Q$400,$Q127:$Q$400&gt;$Q126,$E126:$E$400=$E$2)))"),0.0)</f>
        <v>0</v>
      </c>
      <c r="AM126" s="111">
        <f t="shared" si="9"/>
        <v>0</v>
      </c>
      <c r="AN126" s="110">
        <f>IFERROR(__xludf.DUMMYFUNCTION("iferror($Q126-min(filter($Q126:$Q$400,$E126:$E$400=$E$2)))"),1.0)</f>
        <v>1</v>
      </c>
      <c r="AO126" s="113" t="str">
        <f>IFERROR(__xludf.DUMMYFUNCTION("iferror(join("","",index(sort(filter($F127:$F$400,$Q127:$Q$400&gt;$Q126,$E127:$E$400=$E$2),2,false),0,1)))"),"Maryland,Northwestern")</f>
        <v>Maryland,Northwestern</v>
      </c>
      <c r="AP126" s="113" t="str">
        <f>IFERROR(__xludf.DUMMYFUNCTION("REGEXREPLACE(join("","",unique({let(conf_picked,filter(E$1:E125,D$1:D125=D126), byrow(unique(TRANSPOSe(Teams!$1:$1)),lambda(rw,if(ISERROR(match(rw,conf_picked,0)),rw,))));if(AW126,,transpose(split(AX126,"","",1,1)))})), ""^,"", """")"),"Big 12,Big Ten,CUSA,MAC,MWC,Pac12,SEC,Sun Belt,zIndependent")</f>
        <v>Big 12,Big Ten,CUSA,MAC,MWC,Pac12,SEC,Sun Belt,zIndependent</v>
      </c>
      <c r="AQ126" s="114">
        <f>IFERROR(__xludf.DUMMYFUNCTION("iferror($Q126-max(filter($Q126:$Q$400,arrayformula(isnumber(FIND($E126:$E$400,AP126))))))"),-6.0)</f>
        <v>-6</v>
      </c>
      <c r="AR126" s="110">
        <f t="array" ref="AR126">countifs($Q$2:$Q125,"&lt;"&amp;$Q126,isnumber(FIND($E$2:$E125,AP126)),TRUE)</f>
        <v>8</v>
      </c>
      <c r="AS126" s="110">
        <f>IFERROR(__xludf.DUMMYFUNCTION("iferror(COUNT(filter($Q127:$Q$400,$Q127:$Q$400&gt;$Q126,arrayformula(isnumber(FIND($E127:$E$400,AP126))))))"),8.0)</f>
        <v>8</v>
      </c>
      <c r="AT126" s="111">
        <f t="shared" si="10"/>
        <v>0</v>
      </c>
      <c r="AU126" s="110">
        <f>IFERROR(__xludf.DUMMYFUNCTION("iferror($Q126-min(filter($Q126:$Q$400,arrayformula(isnumber(FIND($E126:$E$400,AP126))))))"),1.0)</f>
        <v>1</v>
      </c>
      <c r="AV126" s="113" t="str">
        <f>IFERROR(__xludf.DUMMYFUNCTION("iferror(join("","",index(sort(filter($F127:$F$400,$Q127:$Q$400&gt;$Q126,arrayformula(isnumber(FIND($E127:$E$400,AP126)))),2,false),0,1)))"),"Arizona,Maryland,Northwestern,Kent State,Washington State,Kentucky,Mississippi State,Southern Mississippi")</f>
        <v>Arizona,Maryland,Northwestern,Kent State,Washington State,Kentucky,Mississippi State,Southern Mississippi</v>
      </c>
      <c r="AW126" s="113" t="b">
        <f>IFERROR(__xludf.DUMMYFUNCTION("isnumber(find(""wild card"",join("","",filter($G$1:$G125,$D$1:$D125=D126))))"),TRUE)</f>
        <v>1</v>
      </c>
      <c r="AX126" s="113" t="str">
        <f>IFERROR(__xludf.DUMMYFUNCTION("join("","",let(confs,unique(TRANSPOSe(Teams!$1:$1)), confs_count, BYROW(confs,lambda(conf,xlookup(conf,'Conf WC Eligibility'!A:A,'Conf WC Eligibility'!C:C,,))),confs_picked,byrow(confs,lambda(conf,countif(E$1:E125,conf))),p_needs_conf_count,byrow(confs,la"&amp;"mbda(conf,counta('Draft Order'!B$2:B622)-COUNTUNIQUE(filter(D$2:D125,E$2:E125=conf)))),query({confs,confs_count,confs_picked,p_needs_conf_count},""select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7">
      <c r="A127" s="1">
        <v>126.0</v>
      </c>
      <c r="B127" s="1">
        <v>11.0</v>
      </c>
      <c r="C127" s="1">
        <v>6.0</v>
      </c>
      <c r="D127" s="115" t="s">
        <v>493</v>
      </c>
      <c r="E127" t="str">
        <f>if(F127&lt;&gt;"",VLOOKUP(F127,offset('Teams-Conference'!A:B,0,(counta('Draft Order'!B$2:B622)-10)*2),2,0),"")</f>
        <v>ACC</v>
      </c>
      <c r="F127" s="77" t="s">
        <v>123</v>
      </c>
      <c r="G127" s="106" t="str">
        <f t="shared" si="73"/>
        <v>Regular Pick</v>
      </c>
      <c r="H127" s="106">
        <f t="shared" si="71"/>
        <v>0</v>
      </c>
      <c r="I127" s="106">
        <f t="shared" si="72"/>
        <v>0</v>
      </c>
      <c r="J127" s="106">
        <f t="shared" si="70"/>
        <v>3</v>
      </c>
      <c r="K127" s="106"/>
      <c r="L127" s="106">
        <v>8.0</v>
      </c>
      <c r="M127" s="106">
        <f>IFERROR(__xludf.DUMMYFUNCTION("counta(iferror(filter(L$2:L126,E$2:E126=E127,L$2:L126&lt;L127)))"),10.0)</f>
        <v>10</v>
      </c>
      <c r="N127" s="106">
        <f>IFERROR(__xludf.DUMMYFUNCTION("counta(iferror(filter(#REF!,#REF!=E127,L$624:L629&gt;L127)))"),0.0)</f>
        <v>0</v>
      </c>
      <c r="O127" s="106"/>
      <c r="P127" s="106" t="b">
        <f>IFERROR(__xludf.DUMMYFUNCTION("if(F127="""","""",let(wc_picked, countifs(E$1:E126,E127,G$1:G126,""This is your wild card pick""), let(spots_filled,counta(unique(filter(D$2:E127,E$2:E127=E127)))/2,let(total,VLOOKUP(E127,'Conf WC Eligibility'!A:C,3,0),if(E127=""zIndependent"", TRUE,total"&amp;"-wc_picked&gt;12)))))"),TRUE)</f>
        <v>1</v>
      </c>
      <c r="Q127" s="107">
        <f t="array" ref="Q127:AB127">XLOOKUP(F127,'Current Week'!C:C,'Current Week'!D:O)</f>
        <v>8</v>
      </c>
      <c r="R127" s="106">
        <v>4.0</v>
      </c>
      <c r="S127" s="106" t="s">
        <v>762</v>
      </c>
      <c r="T127" s="106" t="s">
        <v>61</v>
      </c>
      <c r="U127" s="106" t="s">
        <v>249</v>
      </c>
      <c r="V127" s="106"/>
      <c r="W127" s="106" t="s">
        <v>67</v>
      </c>
      <c r="X127" s="106">
        <v>1.5</v>
      </c>
      <c r="Y127" s="106" t="s">
        <v>67</v>
      </c>
      <c r="Z127" s="106">
        <v>53.5</v>
      </c>
      <c r="AA127" s="106">
        <v>322.0</v>
      </c>
      <c r="AB127" s="106">
        <v>258.0</v>
      </c>
      <c r="AC127" s="108" t="b">
        <v>1</v>
      </c>
      <c r="AD127" s="109">
        <f t="shared" si="4"/>
        <v>-1</v>
      </c>
      <c r="AE127" s="110">
        <f t="shared" si="5"/>
        <v>73</v>
      </c>
      <c r="AF127" s="110">
        <f>IFERROR(__xludf.DUMMYFUNCTION("iferror(COUNT(filter($Q128:$Q$400,$Q128:$Q$400&gt;$Q127)))"),1.0)</f>
        <v>1</v>
      </c>
      <c r="AG127" s="111">
        <f t="shared" si="6"/>
        <v>0</v>
      </c>
      <c r="AH127" s="112">
        <f t="shared" si="7"/>
        <v>8</v>
      </c>
      <c r="AI127" s="113" t="str">
        <f>IFERROR(__xludf.DUMMYFUNCTION("iferror(join("","",index(sort(filter($F128:$F$401,$Q128:$Q$401&gt;$Q127),2,false),0,1)))"),"Arizona")</f>
        <v>Arizona</v>
      </c>
      <c r="AJ127" s="114">
        <f>IFERROR(__xludf.DUMMYFUNCTION("iferror($Q127-max(filter($Q127:$Q$400,$E127:$E$400=$E$2)))"),2.0)</f>
        <v>2</v>
      </c>
      <c r="AK127" s="110">
        <f t="shared" si="8"/>
        <v>7</v>
      </c>
      <c r="AL127" s="110">
        <f>IFERROR(__xludf.DUMMYFUNCTION("iferror(COUNT(filter($Q128:$Q$400,$Q128:$Q$400&gt;$Q127,$E127:$E$400=$E$2)))"),0.0)</f>
        <v>0</v>
      </c>
      <c r="AM127" s="111">
        <f t="shared" si="9"/>
        <v>0</v>
      </c>
      <c r="AN127" s="110">
        <f>IFERROR(__xludf.DUMMYFUNCTION("iferror($Q127-min(filter($Q127:$Q$400,$E127:$E$400=$E$2)))"),6.0)</f>
        <v>6</v>
      </c>
      <c r="AO127" s="113" t="str">
        <f>IFERROR(__xludf.DUMMYFUNCTION("iferror(join("","",index(sort(filter($F128:$F$400,$Q128:$Q$400&gt;$Q127,$E128:$E$400=$E$2),2,false),0,1)))"),"")</f>
        <v/>
      </c>
      <c r="AP127" s="113" t="str">
        <f>IFERROR(__xludf.DUMMYFUNCTION("REGEXREPLACE(join("","",unique({let(conf_picked,filter(E$1:E126,D$1:D126=D127), byrow(unique(TRANSPOSe(Teams!$1:$1)),lambda(rw,if(ISERROR(match(rw,conf_picked,0)),rw,))));if(AW127,,transpose(split(AX127,"","",1,1)))})), ""^,"", """")"),"Big 12,Big Ten,CUSA,MAC,MWC,Pac12,SEC,Sun Belt,zIndependent")</f>
        <v>Big 12,Big Ten,CUSA,MAC,MWC,Pac12,SEC,Sun Belt,zIndependent</v>
      </c>
      <c r="AQ127" s="114">
        <f>IFERROR(__xludf.DUMMYFUNCTION("iferror($Q127-max(filter($Q127:$Q$400,arrayformula(isnumber(FIND($E127:$E$400,AP127))))))"),-1.0)</f>
        <v>-1</v>
      </c>
      <c r="AR127" s="110">
        <f t="array" ref="AR127">countifs($Q$2:$Q126,"&lt;"&amp;$Q127,isnumber(FIND($E$2:$E126,AP127)),TRUE)</f>
        <v>55</v>
      </c>
      <c r="AS127" s="110">
        <f>IFERROR(__xludf.DUMMYFUNCTION("iferror(COUNT(filter($Q128:$Q$400,$Q128:$Q$400&gt;$Q127,arrayformula(isnumber(FIND($E128:$E$400,AP127))))))"),1.0)</f>
        <v>1</v>
      </c>
      <c r="AT127" s="111">
        <f t="shared" si="10"/>
        <v>0</v>
      </c>
      <c r="AU127" s="110">
        <f>IFERROR(__xludf.DUMMYFUNCTION("iferror($Q127-min(filter($Q127:$Q$400,arrayformula(isnumber(FIND($E127:$E$400,AP127))))))"),6.0)</f>
        <v>6</v>
      </c>
      <c r="AV127" s="113" t="str">
        <f>IFERROR(__xludf.DUMMYFUNCTION("iferror(join("","",index(sort(filter($F128:$F$400,$Q128:$Q$400&gt;$Q127,arrayformula(isnumber(FIND($E128:$E$400,AP127)))),2,false),0,1)))"),"Arizona")</f>
        <v>Arizona</v>
      </c>
      <c r="AW127" s="113" t="b">
        <f>IFERROR(__xludf.DUMMYFUNCTION("isnumber(find(""wild card"",join("","",filter($G$1:$G126,$D$1:$D126=D127))))"),TRUE)</f>
        <v>1</v>
      </c>
      <c r="AX127" s="113" t="str">
        <f>IFERROR(__xludf.DUMMYFUNCTION("join("","",let(confs,unique(TRANSPOSe(Teams!$1:$1)), confs_count, BYROW(confs,lambda(conf,xlookup(conf,'Conf WC Eligibility'!A:A,'Conf WC Eligibility'!C:C,,))),confs_picked,byrow(confs,lambda(conf,countif(E$1:E126,conf))),p_needs_conf_count,byrow(confs,la"&amp;"mbda(conf,counta('Draft Order'!B$2:B622)-COUNTUNIQUE(filter(D$2:D126,E$2:E126=conf)))),query({confs,confs_count,confs_picked,p_needs_conf_count},""select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8">
      <c r="A128" s="1">
        <v>127.0</v>
      </c>
      <c r="B128" s="1">
        <v>11.0</v>
      </c>
      <c r="C128" s="1">
        <v>7.0</v>
      </c>
      <c r="D128" s="115" t="s">
        <v>493</v>
      </c>
      <c r="E128" t="str">
        <f>if(F128&lt;&gt;"",VLOOKUP(F128,offset('Teams-Conference'!A:B,0,(counta('Draft Order'!B$2:B622)-10)*2),2,0),"")</f>
        <v>Big 12</v>
      </c>
      <c r="F128" s="77" t="s">
        <v>188</v>
      </c>
      <c r="G128" s="106" t="str">
        <f t="shared" si="73"/>
        <v>Regular Pick</v>
      </c>
      <c r="H128" s="106">
        <f t="shared" si="71"/>
        <v>0</v>
      </c>
      <c r="I128" s="106">
        <f t="shared" si="72"/>
        <v>0</v>
      </c>
      <c r="J128" s="106">
        <f t="shared" si="70"/>
        <v>0</v>
      </c>
      <c r="K128" s="106"/>
      <c r="L128" s="106">
        <v>9.0</v>
      </c>
      <c r="M128" s="106">
        <f>IFERROR(__xludf.DUMMYFUNCTION("counta(iferror(filter(L$2:L127,E$2:E127=E128,L$2:L127&lt;L128)))"),11.0)</f>
        <v>11</v>
      </c>
      <c r="N128" s="106">
        <f>IFERROR(__xludf.DUMMYFUNCTION("counta(iferror(filter(#REF!,#REF!=E128,L$624:L630&gt;L128)))"),0.0)</f>
        <v>0</v>
      </c>
      <c r="O128" s="106"/>
      <c r="P128" s="106" t="b">
        <f>IFERROR(__xludf.DUMMYFUNCTION("if(F128="""","""",let(wc_picked, countifs(E$1:E127,E128,G$1:G127,""This is your wild card pick""), let(spots_filled,counta(unique(filter(D$2:E128,E$2:E128=E128)))/2,let(total,VLOOKUP(E128,'Conf WC Eligibility'!A:C,3,0),if(E128=""zIndependent"", TRUE,total"&amp;"-wc_picked&gt;12)))))"),TRUE)</f>
        <v>1</v>
      </c>
      <c r="Q128" s="107">
        <f t="array" ref="Q128:AB128">XLOOKUP(F128,'Current Week'!C:C,'Current Week'!D:O)</f>
        <v>9</v>
      </c>
      <c r="R128" s="106">
        <v>3.0</v>
      </c>
      <c r="S128" s="106" t="s">
        <v>490</v>
      </c>
      <c r="T128" s="106" t="s">
        <v>61</v>
      </c>
      <c r="U128" s="106" t="s">
        <v>43</v>
      </c>
      <c r="V128" s="106"/>
      <c r="W128" s="106" t="s">
        <v>67</v>
      </c>
      <c r="X128" s="106">
        <v>-1.5</v>
      </c>
      <c r="Y128" s="106" t="s">
        <v>67</v>
      </c>
      <c r="Z128" s="106">
        <v>47.5</v>
      </c>
      <c r="AA128" s="106">
        <v>391.0</v>
      </c>
      <c r="AB128" s="106">
        <v>227.0</v>
      </c>
      <c r="AC128" s="108" t="b">
        <v>1</v>
      </c>
      <c r="AD128" s="109">
        <f t="shared" si="4"/>
        <v>0</v>
      </c>
      <c r="AE128" s="110">
        <f t="shared" si="5"/>
        <v>95</v>
      </c>
      <c r="AF128" s="110">
        <f>IFERROR(__xludf.DUMMYFUNCTION("iferror(COUNT(filter($Q129:$Q$400,$Q129:$Q$400&gt;$Q128)))"),0.0)</f>
        <v>0</v>
      </c>
      <c r="AG128" s="111">
        <f t="shared" si="6"/>
        <v>1</v>
      </c>
      <c r="AH128" s="112">
        <f t="shared" si="7"/>
        <v>9</v>
      </c>
      <c r="AI128" s="113" t="str">
        <f>IFERROR(__xludf.DUMMYFUNCTION("iferror(join("","",index(sort(filter($F129:$F$401,$Q129:$Q$401&gt;$Q128),2,false),0,1)))"),"")</f>
        <v/>
      </c>
      <c r="AJ128" s="114">
        <f>IFERROR(__xludf.DUMMYFUNCTION("iferror($Q128-max(filter($Q128:$Q$400,$E128:$E$400=$E$2)))"),3.0)</f>
        <v>3</v>
      </c>
      <c r="AK128" s="110">
        <f t="shared" si="8"/>
        <v>10</v>
      </c>
      <c r="AL128" s="110">
        <f>IFERROR(__xludf.DUMMYFUNCTION("iferror(COUNT(filter($Q129:$Q$400,$Q129:$Q$400&gt;$Q128,$E128:$E$400=$E$2)))"),0.0)</f>
        <v>0</v>
      </c>
      <c r="AM128" s="111">
        <f t="shared" si="9"/>
        <v>0</v>
      </c>
      <c r="AN128" s="110">
        <f>IFERROR(__xludf.DUMMYFUNCTION("iferror($Q128-min(filter($Q128:$Q$400,$E128:$E$400=$E$2)))"),7.0)</f>
        <v>7</v>
      </c>
      <c r="AO128" s="113" t="str">
        <f>IFERROR(__xludf.DUMMYFUNCTION("iferror(join("","",index(sort(filter($F129:$F$400,$Q129:$Q$400&gt;$Q128,$E129:$E$400=$E$2),2,false),0,1)))"),"")</f>
        <v/>
      </c>
      <c r="AP128" s="113" t="str">
        <f>IFERROR(__xludf.DUMMYFUNCTION("REGEXREPLACE(join("","",unique({let(conf_picked,filter(E$1:E127,D$1:D127=D128), byrow(unique(TRANSPOSe(Teams!$1:$1)),lambda(rw,if(ISERROR(match(rw,conf_picked,0)),rw,))));if(AW128,,transpose(split(AX128,"","",1,1)))})), ""^,"", """")"),"Big 12,Big Ten,CUSA,MAC,MWC,Pac12,SEC,Sun Belt,zIndependent")</f>
        <v>Big 12,Big Ten,CUSA,MAC,MWC,Pac12,SEC,Sun Belt,zIndependent</v>
      </c>
      <c r="AQ128" s="114">
        <f>IFERROR(__xludf.DUMMYFUNCTION("iferror($Q128-max(filter($Q128:$Q$400,arrayformula(isnumber(FIND($E128:$E$400,AP128))))))"),0.0)</f>
        <v>0</v>
      </c>
      <c r="AR128" s="110">
        <f t="array" ref="AR128">countifs($Q$2:$Q127,"&lt;"&amp;$Q128,isnumber(FIND($E$2:$E127,AP128)),TRUE)</f>
        <v>71</v>
      </c>
      <c r="AS128" s="110">
        <f>IFERROR(__xludf.DUMMYFUNCTION("iferror(COUNT(filter($Q129:$Q$400,$Q129:$Q$400&gt;$Q128,arrayformula(isnumber(FIND($E129:$E$400,AP128))))))"),0.0)</f>
        <v>0</v>
      </c>
      <c r="AT128" s="111">
        <f t="shared" si="10"/>
        <v>1</v>
      </c>
      <c r="AU128" s="110">
        <f>IFERROR(__xludf.DUMMYFUNCTION("iferror($Q128-min(filter($Q128:$Q$400,arrayformula(isnumber(FIND($E128:$E$400,AP128))))))"),7.0)</f>
        <v>7</v>
      </c>
      <c r="AV128" s="113" t="str">
        <f>IFERROR(__xludf.DUMMYFUNCTION("iferror(join("","",index(sort(filter($F129:$F$400,$Q129:$Q$400&gt;$Q128,arrayformula(isnumber(FIND($E129:$E$400,AP128)))),2,false),0,1)))"),"")</f>
        <v/>
      </c>
      <c r="AW128" s="113" t="b">
        <f>IFERROR(__xludf.DUMMYFUNCTION("isnumber(find(""wild card"",join("","",filter($G$1:$G127,$D$1:$D127=D128))))"),TRUE)</f>
        <v>1</v>
      </c>
      <c r="AX128" s="113" t="str">
        <f>IFERROR(__xludf.DUMMYFUNCTION("join("","",let(confs,unique(TRANSPOSe(Teams!$1:$1)), confs_count, BYROW(confs,lambda(conf,xlookup(conf,'Conf WC Eligibility'!A:A,'Conf WC Eligibility'!C:C,,))),confs_picked,byrow(confs,lambda(conf,countif(E$1:E127,conf))),p_needs_conf_count,byrow(confs,la"&amp;"mbda(conf,counta('Draft Order'!B$2:B622)-COUNTUNIQUE(filter(D$2:D127,E$2:E127=conf)))),query({confs,confs_count,confs_picked,p_needs_conf_count},""select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29">
      <c r="A129" s="1">
        <v>128.0</v>
      </c>
      <c r="B129" s="1">
        <v>11.0</v>
      </c>
      <c r="C129" s="1">
        <v>8.0</v>
      </c>
      <c r="D129" s="115" t="s">
        <v>493</v>
      </c>
      <c r="E129" t="str">
        <f>if(F129&lt;&gt;"",VLOOKUP(F129,offset('Teams-Conference'!A:B,0,(counta('Draft Order'!B$2:B622)-10)*2),2,0),"")</f>
        <v>Big Ten</v>
      </c>
      <c r="F129" s="77" t="s">
        <v>138</v>
      </c>
      <c r="G129" s="106" t="str">
        <f t="shared" si="73"/>
        <v>Regular Pick</v>
      </c>
      <c r="H129" s="106">
        <f t="shared" si="71"/>
        <v>0</v>
      </c>
      <c r="I129" s="106">
        <f t="shared" si="72"/>
        <v>0</v>
      </c>
      <c r="J129" s="106">
        <f t="shared" si="70"/>
        <v>1</v>
      </c>
      <c r="K129" s="106"/>
      <c r="L129" s="106">
        <v>4.0</v>
      </c>
      <c r="M129" s="106">
        <f>IFERROR(__xludf.DUMMYFUNCTION("counta(iferror(filter(L$2:L128,E$2:E128=E129,L$2:L128&lt;L129)))"),1.0)</f>
        <v>1</v>
      </c>
      <c r="N129" s="106">
        <f>IFERROR(__xludf.DUMMYFUNCTION("counta(iferror(filter(#REF!,#REF!=E129,L$624:L631&gt;L129)))"),0.0)</f>
        <v>0</v>
      </c>
      <c r="O129" s="106"/>
      <c r="P129" s="106" t="b">
        <f>IFERROR(__xludf.DUMMYFUNCTION("if(F129="""","""",let(wc_picked, countifs(E$1:E128,E129,G$1:G128,""This is your wild card pick""), let(spots_filled,counta(unique(filter(D$2:E129,E$2:E129=E129)))/2,let(total,VLOOKUP(E129,'Conf WC Eligibility'!A:C,3,0),if(E129=""zIndependent"", TRUE,total"&amp;"-wc_picked&gt;12)))))"),TRUE)</f>
        <v>1</v>
      </c>
      <c r="Q129" s="107">
        <f t="array" ref="Q129:AB129">XLOOKUP(F129,'Current Week'!C:C,'Current Week'!D:O)</f>
        <v>4</v>
      </c>
      <c r="R129" s="106">
        <v>8.0</v>
      </c>
      <c r="S129" s="106" t="s">
        <v>707</v>
      </c>
      <c r="T129" s="106" t="s">
        <v>61</v>
      </c>
      <c r="U129" s="106" t="s">
        <v>224</v>
      </c>
      <c r="V129" s="106"/>
      <c r="W129" s="106" t="s">
        <v>67</v>
      </c>
      <c r="X129" s="106">
        <v>3.5</v>
      </c>
      <c r="Y129" s="106" t="s">
        <v>67</v>
      </c>
      <c r="Z129" s="106">
        <v>48.5</v>
      </c>
      <c r="AA129" s="106">
        <v>282.0</v>
      </c>
      <c r="AB129" s="106">
        <v>318.0</v>
      </c>
      <c r="AC129" s="108" t="b">
        <v>1</v>
      </c>
      <c r="AD129" s="109">
        <f t="shared" si="4"/>
        <v>-3</v>
      </c>
      <c r="AE129" s="110">
        <f t="shared" si="5"/>
        <v>18</v>
      </c>
      <c r="AF129" s="110">
        <f>IFERROR(__xludf.DUMMYFUNCTION("iferror(COUNT(filter($Q130:$Q$400,$Q130:$Q$400&gt;$Q129)))"),6.0)</f>
        <v>6</v>
      </c>
      <c r="AG129" s="111">
        <f t="shared" si="6"/>
        <v>0</v>
      </c>
      <c r="AH129" s="112">
        <f t="shared" si="7"/>
        <v>4</v>
      </c>
      <c r="AI129" s="113" t="str">
        <f>IFERROR(__xludf.DUMMYFUNCTION("iferror(join("","",index(sort(filter($F130:$F$401,$Q130:$Q$401&gt;$Q129),2,false),0,1)))"),"Northwestern,Kent State,Washington State,Kentucky,Mississippi State,Southern Mississippi")</f>
        <v>Northwestern,Kent State,Washington State,Kentucky,Mississippi State,Southern Mississippi</v>
      </c>
      <c r="AJ129" s="114">
        <f>IFERROR(__xludf.DUMMYFUNCTION("iferror($Q129-max(filter($Q129:$Q$400,$E129:$E$400=$E$2)))"),-2.0)</f>
        <v>-2</v>
      </c>
      <c r="AK129" s="110">
        <f t="shared" si="8"/>
        <v>1</v>
      </c>
      <c r="AL129" s="110">
        <f>IFERROR(__xludf.DUMMYFUNCTION("iferror(COUNT(filter($Q130:$Q$400,$Q130:$Q$400&gt;$Q129,$E129:$E$400=$E$2)))"),0.0)</f>
        <v>0</v>
      </c>
      <c r="AM129" s="111">
        <f t="shared" si="9"/>
        <v>0</v>
      </c>
      <c r="AN129" s="110">
        <f>IFERROR(__xludf.DUMMYFUNCTION("iferror($Q129-min(filter($Q129:$Q$400,$E129:$E$400=$E$2)))"),2.0)</f>
        <v>2</v>
      </c>
      <c r="AO129" s="113" t="str">
        <f>IFERROR(__xludf.DUMMYFUNCTION("iferror(join("","",index(sort(filter($F130:$F$400,$Q130:$Q$400&gt;$Q129,$E130:$E$400=$E$2),2,false),0,1)))"),"Northwestern")</f>
        <v>Northwestern</v>
      </c>
      <c r="AP129" s="113" t="str">
        <f>IFERROR(__xludf.DUMMYFUNCTION("REGEXREPLACE(join("","",unique({let(conf_picked,filter(E$1:E128,D$1:D128=D129), byrow(unique(TRANSPOSe(Teams!$1:$1)),lambda(rw,if(ISERROR(match(rw,conf_picked,0)),rw,))));if(AW129,,transpose(split(AX129,"","",1,1)))})), ""^,"", """")"),"Big Ten,CUSA,MAC,MWC,Pac12,SEC,Sun Belt,zIndependent")</f>
        <v>Big Ten,CUSA,MAC,MWC,Pac12,SEC,Sun Belt,zIndependent</v>
      </c>
      <c r="AQ129" s="114">
        <f>IFERROR(__xludf.DUMMYFUNCTION("iferror($Q129-max(filter($Q129:$Q$400,arrayformula(isnumber(FIND($E129:$E$400,AP129))))))"),-3.0)</f>
        <v>-3</v>
      </c>
      <c r="AR129" s="110">
        <f t="array" ref="AR129">countifs($Q$2:$Q128,"&lt;"&amp;$Q129,isnumber(FIND($E$2:$E128,AP129)),TRUE)</f>
        <v>12</v>
      </c>
      <c r="AS129" s="110">
        <f>IFERROR(__xludf.DUMMYFUNCTION("iferror(COUNT(filter($Q130:$Q$400,$Q130:$Q$400&gt;$Q129,arrayformula(isnumber(FIND($E130:$E$400,AP129))))))"),6.0)</f>
        <v>6</v>
      </c>
      <c r="AT129" s="111">
        <f t="shared" si="10"/>
        <v>0</v>
      </c>
      <c r="AU129" s="110">
        <f>IFERROR(__xludf.DUMMYFUNCTION("iferror($Q129-min(filter($Q129:$Q$400,arrayformula(isnumber(FIND($E129:$E$400,AP129))))))"),2.0)</f>
        <v>2</v>
      </c>
      <c r="AV129" s="113" t="str">
        <f>IFERROR(__xludf.DUMMYFUNCTION("iferror(join("","",index(sort(filter($F130:$F$400,$Q130:$Q$400&gt;$Q129,arrayformula(isnumber(FIND($E130:$E$400,AP129)))),2,false),0,1)))"),"Northwestern,Kent State,Washington State,Kentucky,Mississippi State,Southern Mississippi")</f>
        <v>Northwestern,Kent State,Washington State,Kentucky,Mississippi State,Southern Mississippi</v>
      </c>
      <c r="AW129" s="113" t="b">
        <f>IFERROR(__xludf.DUMMYFUNCTION("isnumber(find(""wild card"",join("","",filter($G$1:$G128,$D$1:$D128=D129))))"),TRUE)</f>
        <v>1</v>
      </c>
      <c r="AX129" s="113" t="str">
        <f>IFERROR(__xludf.DUMMYFUNCTION("join("","",let(confs,unique(TRANSPOSe(Teams!$1:$1)), confs_count, BYROW(confs,lambda(conf,xlookup(conf,'Conf WC Eligibility'!A:A,'Conf WC Eligibility'!C:C,,))),confs_picked,byrow(confs,lambda(conf,countif(E$1:E128,conf))),p_needs_conf_count,byrow(confs,la"&amp;"mbda(conf,counta('Draft Order'!B$2:B622)-COUNTUNIQUE(filter(D$2:D128,E$2:E128=conf)))),query({confs,confs_count,confs_picked,p_needs_conf_count},""select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0">
      <c r="A130" s="1">
        <v>129.0</v>
      </c>
      <c r="B130" s="1">
        <v>11.0</v>
      </c>
      <c r="C130" s="1">
        <v>9.0</v>
      </c>
      <c r="D130" s="115" t="s">
        <v>493</v>
      </c>
      <c r="E130" t="str">
        <f>if(F130&lt;&gt;"",VLOOKUP(F130,offset('Teams-Conference'!A:B,0,(counta('Draft Order'!B$2:B622)-10)*2),2,0),"")</f>
        <v>Big Ten</v>
      </c>
      <c r="F130" s="77" t="s">
        <v>143</v>
      </c>
      <c r="G130" s="106" t="str">
        <f t="shared" si="73"/>
        <v>Regular Pick</v>
      </c>
      <c r="H130" s="106">
        <f t="shared" si="71"/>
        <v>0</v>
      </c>
      <c r="I130" s="106">
        <f t="shared" si="72"/>
        <v>0</v>
      </c>
      <c r="J130" s="106">
        <f t="shared" si="70"/>
        <v>1</v>
      </c>
      <c r="K130" s="106"/>
      <c r="L130" s="106">
        <v>6.0</v>
      </c>
      <c r="M130" s="106">
        <f>IFERROR(__xludf.DUMMYFUNCTION("counta(iferror(filter(L$2:L129,E$2:E129=E130,L$2:L129&lt;L130)))"),5.0)</f>
        <v>5</v>
      </c>
      <c r="N130" s="106">
        <f>IFERROR(__xludf.DUMMYFUNCTION("counta(iferror(filter(#REF!,#REF!=E130,L$624:L632&gt;L130)))"),0.0)</f>
        <v>0</v>
      </c>
      <c r="O130" s="106"/>
      <c r="P130" s="106" t="b">
        <f>IFERROR(__xludf.DUMMYFUNCTION("if(F130="""","""",let(wc_picked, countifs(E$1:E129,E130,G$1:G129,""This is your wild card pick""), let(spots_filled,counta(unique(filter(D$2:E130,E$2:E130=E130)))/2,let(total,VLOOKUP(E130,'Conf WC Eligibility'!A:C,3,0),if(E130=""zIndependent"", TRUE,total"&amp;"-wc_picked&gt;12)))))"),TRUE)</f>
        <v>1</v>
      </c>
      <c r="Q130" s="107">
        <f t="array" ref="Q130:AB130">XLOOKUP(F130,'Current Week'!C:C,'Current Week'!D:O)</f>
        <v>6</v>
      </c>
      <c r="R130" s="106">
        <v>6.0</v>
      </c>
      <c r="S130" s="106" t="s">
        <v>746</v>
      </c>
      <c r="T130" s="106" t="s">
        <v>61</v>
      </c>
      <c r="U130" s="106" t="s">
        <v>156</v>
      </c>
      <c r="V130" s="106"/>
      <c r="W130" s="106" t="s">
        <v>67</v>
      </c>
      <c r="X130" s="106">
        <v>7.5</v>
      </c>
      <c r="Y130" s="106" t="s">
        <v>67</v>
      </c>
      <c r="Z130" s="106">
        <v>44.5</v>
      </c>
      <c r="AA130" s="106">
        <v>270.0</v>
      </c>
      <c r="AB130" s="106">
        <v>251.0</v>
      </c>
      <c r="AC130" s="108" t="b">
        <v>1</v>
      </c>
      <c r="AD130" s="109">
        <f t="shared" si="4"/>
        <v>-1</v>
      </c>
      <c r="AE130" s="110">
        <f t="shared" si="5"/>
        <v>49</v>
      </c>
      <c r="AF130" s="110">
        <f>IFERROR(__xludf.DUMMYFUNCTION("iferror(COUNT(filter($Q131:$Q$400,$Q131:$Q$400&gt;$Q130)))"),1.0)</f>
        <v>1</v>
      </c>
      <c r="AG130" s="111">
        <f t="shared" si="6"/>
        <v>0</v>
      </c>
      <c r="AH130" s="112">
        <f t="shared" si="7"/>
        <v>6</v>
      </c>
      <c r="AI130" s="113" t="str">
        <f>IFERROR(__xludf.DUMMYFUNCTION("iferror(join("","",index(sort(filter($F131:$F$401,$Q131:$Q$401&gt;$Q130),2,false),0,1)))"),"Southern Mississippi")</f>
        <v>Southern Mississippi</v>
      </c>
      <c r="AJ130" s="114">
        <f>IFERROR(__xludf.DUMMYFUNCTION("iferror($Q130-max(filter($Q130:$Q$400,$E130:$E$400=$E$2)))"),0.0)</f>
        <v>0</v>
      </c>
      <c r="AK130" s="110">
        <f t="shared" si="8"/>
        <v>5</v>
      </c>
      <c r="AL130" s="110">
        <f>IFERROR(__xludf.DUMMYFUNCTION("iferror(COUNT(filter($Q131:$Q$400,$Q131:$Q$400&gt;$Q130,$E130:$E$400=$E$2)))"),0.0)</f>
        <v>0</v>
      </c>
      <c r="AM130" s="111">
        <f t="shared" si="9"/>
        <v>1</v>
      </c>
      <c r="AN130" s="110">
        <f>IFERROR(__xludf.DUMMYFUNCTION("iferror($Q130-min(filter($Q130:$Q$400,$E130:$E$400=$E$2)))"),4.0)</f>
        <v>4</v>
      </c>
      <c r="AO130" s="113" t="str">
        <f>IFERROR(__xludf.DUMMYFUNCTION("iferror(join("","",index(sort(filter($F131:$F$400,$Q131:$Q$400&gt;$Q130,$E131:$E$400=$E$2),2,false),0,1)))"),"")</f>
        <v/>
      </c>
      <c r="AP130" s="113" t="str">
        <f>IFERROR(__xludf.DUMMYFUNCTION("REGEXREPLACE(join("","",unique({let(conf_picked,filter(E$1:E129,D$1:D129=D130), byrow(unique(TRANSPOSe(Teams!$1:$1)),lambda(rw,if(ISERROR(match(rw,conf_picked,0)),rw,))));if(AW130,,transpose(split(AX130,"","",1,1)))})), ""^,"", """")"),"CUSA,MAC,MWC,Pac12,SEC,Sun Belt,zIndependent")</f>
        <v>CUSA,MAC,MWC,Pac12,SEC,Sun Belt,zIndependent</v>
      </c>
      <c r="AQ130" s="114">
        <f>IFERROR(__xludf.DUMMYFUNCTION("iferror($Q130-max(filter($Q130:$Q$400,arrayformula(isnumber(FIND($E130:$E$400,AP130))))))"),-1.0)</f>
        <v>-1</v>
      </c>
      <c r="AR130" s="110">
        <f t="array" ref="AR130">countifs($Q$2:$Q129,"&lt;"&amp;$Q130,isnumber(FIND($E$2:$E129,AP130)),TRUE)</f>
        <v>26</v>
      </c>
      <c r="AS130" s="110">
        <f>IFERROR(__xludf.DUMMYFUNCTION("iferror(COUNT(filter($Q131:$Q$400,$Q131:$Q$400&gt;$Q130,arrayformula(isnumber(FIND($E131:$E$400,AP130))))))"),1.0)</f>
        <v>1</v>
      </c>
      <c r="AT130" s="111">
        <f t="shared" si="10"/>
        <v>0</v>
      </c>
      <c r="AU130" s="110">
        <f>IFERROR(__xludf.DUMMYFUNCTION("iferror($Q130-min(filter($Q130:$Q$400,arrayformula(isnumber(FIND($E130:$E$400,AP130))))))"),3.0)</f>
        <v>3</v>
      </c>
      <c r="AV130" s="113" t="str">
        <f>IFERROR(__xludf.DUMMYFUNCTION("iferror(join("","",index(sort(filter($F131:$F$400,$Q131:$Q$400&gt;$Q130,arrayformula(isnumber(FIND($E131:$E$400,AP130)))),2,false),0,1)))"),"Southern Mississippi")</f>
        <v>Southern Mississippi</v>
      </c>
      <c r="AW130" s="113" t="b">
        <f>IFERROR(__xludf.DUMMYFUNCTION("isnumber(find(""wild card"",join("","",filter($G$1:$G129,$D$1:$D129=D130))))"),TRUE)</f>
        <v>1</v>
      </c>
      <c r="AX130" s="113" t="str">
        <f>IFERROR(__xludf.DUMMYFUNCTION("join("","",let(confs,unique(TRANSPOSe(Teams!$1:$1)), confs_count, BYROW(confs,lambda(conf,xlookup(conf,'Conf WC Eligibility'!A:A,'Conf WC Eligibility'!C:C,,))),confs_picked,byrow(confs,lambda(conf,countif(E$1:E129,conf))),p_needs_conf_count,byrow(confs,la"&amp;"mbda(conf,counta('Draft Order'!B$2:B622)-COUNTUNIQUE(filter(D$2:D129,E$2:E129=conf)))),query({confs,confs_count,confs_picked,p_needs_conf_count},""select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1">
      <c r="A131" s="1">
        <v>130.0</v>
      </c>
      <c r="B131" s="1">
        <v>11.0</v>
      </c>
      <c r="C131" s="1">
        <v>10.0</v>
      </c>
      <c r="D131" s="115" t="s">
        <v>493</v>
      </c>
      <c r="E131" t="str">
        <f>if(F131&lt;&gt;"",VLOOKUP(F131,offset('Teams-Conference'!A:B,0,(counta('Draft Order'!B$2:B622)-10)*2),2,0),"")</f>
        <v>Big Ten</v>
      </c>
      <c r="F131" s="77" t="s">
        <v>146</v>
      </c>
      <c r="G131" s="106" t="str">
        <f t="shared" si="73"/>
        <v>Regular Pick</v>
      </c>
      <c r="H131" s="106">
        <f t="shared" si="71"/>
        <v>0</v>
      </c>
      <c r="I131" s="106">
        <f t="shared" si="72"/>
        <v>0</v>
      </c>
      <c r="J131" s="106">
        <f t="shared" si="70"/>
        <v>2</v>
      </c>
      <c r="K131" s="106"/>
      <c r="L131" s="106">
        <v>2.0</v>
      </c>
      <c r="M131" s="106">
        <f>IFERROR(__xludf.DUMMYFUNCTION("counta(iferror(filter(L$2:L130,E$2:E130=E131,L$2:L130&lt;L131)))"),0.0)</f>
        <v>0</v>
      </c>
      <c r="N131" s="106">
        <f>IFERROR(__xludf.DUMMYFUNCTION("counta(iferror(filter(#REF!,#REF!=E131,L$624:L633&gt;L131)))"),0.0)</f>
        <v>0</v>
      </c>
      <c r="O131" s="106"/>
      <c r="P131" s="106" t="b">
        <f>IFERROR(__xludf.DUMMYFUNCTION("if(F131="""","""",let(wc_picked, countifs(E$1:E130,E131,G$1:G130,""This is your wild card pick""), let(spots_filled,counta(unique(filter(D$2:E131,E$2:E131=E131)))/2,let(total,VLOOKUP(E131,'Conf WC Eligibility'!A:C,3,0),if(E131=""zIndependent"", TRUE,total"&amp;"-wc_picked&gt;12)))))"),TRUE)</f>
        <v>1</v>
      </c>
      <c r="Q131" s="107">
        <f t="array" ref="Q131:AB131">XLOOKUP(F131,'Current Week'!C:C,'Current Week'!D:O)</f>
        <v>2</v>
      </c>
      <c r="R131" s="106">
        <v>10.0</v>
      </c>
      <c r="S131" s="106" t="s">
        <v>788</v>
      </c>
      <c r="T131" s="106" t="s">
        <v>61</v>
      </c>
      <c r="U131" s="106" t="s">
        <v>132</v>
      </c>
      <c r="V131" s="106"/>
      <c r="W131" s="106" t="s">
        <v>67</v>
      </c>
      <c r="X131" s="106">
        <v>28.5</v>
      </c>
      <c r="Y131" s="106" t="s">
        <v>67</v>
      </c>
      <c r="Z131" s="106">
        <v>53.5</v>
      </c>
      <c r="AA131" s="106">
        <v>225.0</v>
      </c>
      <c r="AB131" s="106">
        <v>382.0</v>
      </c>
      <c r="AC131" s="108" t="b">
        <v>1</v>
      </c>
      <c r="AD131" s="109">
        <f t="shared" si="4"/>
        <v>-5</v>
      </c>
      <c r="AE131" s="110">
        <f t="shared" si="5"/>
        <v>4</v>
      </c>
      <c r="AF131" s="110">
        <f>IFERROR(__xludf.DUMMYFUNCTION("iferror(COUNT(filter($Q132:$Q$400,$Q132:$Q$400&gt;$Q131)))"),6.0)</f>
        <v>6</v>
      </c>
      <c r="AG131" s="111">
        <f t="shared" si="6"/>
        <v>0</v>
      </c>
      <c r="AH131" s="112">
        <f t="shared" si="7"/>
        <v>2</v>
      </c>
      <c r="AI131" s="113" t="str">
        <f>IFERROR(__xludf.DUMMYFUNCTION("iferror(join("","",index(sort(filter($F132:$F$401,$Q132:$Q$401&gt;$Q131),2,false),0,1)))"),"Kent State,Washington State,Kentucky,Mississippi State,Southern Mississippi,UL Monroe")</f>
        <v>Kent State,Washington State,Kentucky,Mississippi State,Southern Mississippi,UL Monroe</v>
      </c>
      <c r="AJ131" s="114">
        <f>IFERROR(__xludf.DUMMYFUNCTION("iferror($Q131-max(filter($Q131:$Q$400,$E131:$E$400=$E$2)))"),0.0)</f>
        <v>0</v>
      </c>
      <c r="AK131" s="110">
        <f t="shared" si="8"/>
        <v>0</v>
      </c>
      <c r="AL131" s="110">
        <f>IFERROR(__xludf.DUMMYFUNCTION("iferror(COUNT(filter($Q132:$Q$400,$Q132:$Q$400&gt;$Q131,$E131:$E$400=$E$2)))"),0.0)</f>
        <v>0</v>
      </c>
      <c r="AM131" s="111">
        <f t="shared" si="9"/>
        <v>1</v>
      </c>
      <c r="AN131" s="110">
        <f>IFERROR(__xludf.DUMMYFUNCTION("iferror($Q131-min(filter($Q131:$Q$400,$E131:$E$400=$E$2)))"),0.0)</f>
        <v>0</v>
      </c>
      <c r="AO131" s="113" t="str">
        <f>IFERROR(__xludf.DUMMYFUNCTION("iferror(join("","",index(sort(filter($F132:$F$400,$Q132:$Q$400&gt;$Q131,$E132:$E$400=$E$2),2,false),0,1)))"),"")</f>
        <v/>
      </c>
      <c r="AP131" s="113" t="str">
        <f>IFERROR(__xludf.DUMMYFUNCTION("REGEXREPLACE(join("","",unique({let(conf_picked,filter(E$1:E130,D$1:D130=D131), byrow(unique(TRANSPOSe(Teams!$1:$1)),lambda(rw,if(ISERROR(match(rw,conf_picked,0)),rw,))));if(AW131,,transpose(split(AX131,"","",1,1)))})), ""^,"", """")"),"CUSA,MAC,MWC,Pac12,SEC,Sun Belt,zIndependent")</f>
        <v>CUSA,MAC,MWC,Pac12,SEC,Sun Belt,zIndependent</v>
      </c>
      <c r="AQ131" s="114">
        <f>IFERROR(__xludf.DUMMYFUNCTION("iferror($Q131-max(filter($Q131:$Q$400,arrayformula(isnumber(FIND($E131:$E$400,AP131))))))"),-5.0)</f>
        <v>-5</v>
      </c>
      <c r="AR131" s="110">
        <f t="array" ref="AR131">countifs($Q$2:$Q130,"&lt;"&amp;$Q131,isnumber(FIND($E$2:$E130,AP131)),TRUE)</f>
        <v>2</v>
      </c>
      <c r="AS131" s="110">
        <f>IFERROR(__xludf.DUMMYFUNCTION("iferror(COUNT(filter($Q132:$Q$400,$Q132:$Q$400&gt;$Q131,arrayformula(isnumber(FIND($E132:$E$400,AP131))))))"),6.0)</f>
        <v>6</v>
      </c>
      <c r="AT131" s="111">
        <f t="shared" si="10"/>
        <v>0</v>
      </c>
      <c r="AU131" s="110">
        <f>IFERROR(__xludf.DUMMYFUNCTION("iferror($Q131-min(filter($Q131:$Q$400,arrayformula(isnumber(FIND($E131:$E$400,AP131))))))"),-1.0)</f>
        <v>-1</v>
      </c>
      <c r="AV131" s="113" t="str">
        <f>IFERROR(__xludf.DUMMYFUNCTION("iferror(join("","",index(sort(filter($F132:$F$400,$Q132:$Q$400&gt;$Q131,arrayformula(isnumber(FIND($E132:$E$400,AP131)))),2,false),0,1)))"),"Kent State,Washington State,Kentucky,Mississippi State,Southern Mississippi,UL Monroe")</f>
        <v>Kent State,Washington State,Kentucky,Mississippi State,Southern Mississippi,UL Monroe</v>
      </c>
      <c r="AW131" s="113" t="b">
        <f>IFERROR(__xludf.DUMMYFUNCTION("isnumber(find(""wild card"",join("","",filter($G$1:$G130,$D$1:$D130=D131))))"),TRUE)</f>
        <v>1</v>
      </c>
      <c r="AX131" s="113" t="str">
        <f>IFERROR(__xludf.DUMMYFUNCTION("join("","",let(confs,unique(TRANSPOSe(Teams!$1:$1)), confs_count, BYROW(confs,lambda(conf,xlookup(conf,'Conf WC Eligibility'!A:A,'Conf WC Eligibility'!C:C,,))),confs_picked,byrow(confs,lambda(conf,countif(E$1:E130,conf))),p_needs_conf_count,byrow(confs,la"&amp;"mbda(conf,counta('Draft Order'!B$2:B622)-COUNTUNIQUE(filter(D$2:D130,E$2:E130=conf)))),query({confs,confs_count,confs_picked,p_needs_conf_count},""select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2">
      <c r="A132" s="1">
        <v>131.0</v>
      </c>
      <c r="B132" s="1">
        <v>11.0</v>
      </c>
      <c r="C132" s="1">
        <v>11.0</v>
      </c>
      <c r="D132" s="115" t="s">
        <v>493</v>
      </c>
      <c r="E132" t="str">
        <f>if(F132&lt;&gt;"",VLOOKUP(F132,offset('Teams-Conference'!A:B,0,(counta('Draft Order'!B$2:B622)-10)*2),2,0),"")</f>
        <v>MAC</v>
      </c>
      <c r="F132" s="77" t="s">
        <v>170</v>
      </c>
      <c r="G132" s="106" t="str">
        <f t="shared" si="73"/>
        <v>Regular Pick</v>
      </c>
      <c r="H132" s="106">
        <f t="shared" si="71"/>
        <v>0</v>
      </c>
      <c r="I132" s="106">
        <f t="shared" si="72"/>
        <v>0</v>
      </c>
      <c r="J132" s="106">
        <f t="shared" si="70"/>
        <v>0</v>
      </c>
      <c r="K132" s="106"/>
      <c r="L132" s="106">
        <v>5.0</v>
      </c>
      <c r="M132" s="106">
        <f>IFERROR(__xludf.DUMMYFUNCTION("counta(iferror(filter(L$2:L131,E$2:E131=E132,L$2:L131&lt;L132)))"),5.0)</f>
        <v>5</v>
      </c>
      <c r="N132" s="106">
        <f>IFERROR(__xludf.DUMMYFUNCTION("counta(iferror(filter(#REF!,#REF!=E132,L$624:L634&gt;L132)))"),0.0)</f>
        <v>0</v>
      </c>
      <c r="O132" s="106"/>
      <c r="P132" s="106" t="b">
        <f>IFERROR(__xludf.DUMMYFUNCTION("if(F132="""","""",let(wc_picked, countifs(E$1:E131,E132,G$1:G131,""This is your wild card pick""), let(spots_filled,counta(unique(filter(D$2:E132,E$2:E132=E132)))/2,let(total,VLOOKUP(E132,'Conf WC Eligibility'!A:C,3,0),if(E132=""zIndependent"", TRUE,total"&amp;"-wc_picked&gt;12)))))"),TRUE)</f>
        <v>1</v>
      </c>
      <c r="Q132" s="107">
        <f t="array" ref="Q132:AB132">XLOOKUP(F132,'Current Week'!C:C,'Current Week'!D:O)</f>
        <v>5</v>
      </c>
      <c r="R132" s="106">
        <v>7.0</v>
      </c>
      <c r="S132" s="106" t="s">
        <v>702</v>
      </c>
      <c r="T132" s="106" t="s">
        <v>61</v>
      </c>
      <c r="U132" s="106" t="s">
        <v>311</v>
      </c>
      <c r="V132" s="106"/>
      <c r="W132" s="106" t="s">
        <v>67</v>
      </c>
      <c r="X132" s="106">
        <v>5.5</v>
      </c>
      <c r="Y132" s="106" t="s">
        <v>67</v>
      </c>
      <c r="Z132" s="106">
        <v>45.5</v>
      </c>
      <c r="AA132" s="106">
        <v>255.0</v>
      </c>
      <c r="AB132" s="106">
        <v>403.0</v>
      </c>
      <c r="AC132" s="108" t="b">
        <v>1</v>
      </c>
      <c r="AD132" s="109">
        <f t="shared" si="4"/>
        <v>-2</v>
      </c>
      <c r="AE132" s="110">
        <f t="shared" si="5"/>
        <v>38</v>
      </c>
      <c r="AF132" s="110">
        <f>IFERROR(__xludf.DUMMYFUNCTION("iferror(COUNT(filter($Q133:$Q$400,$Q133:$Q$400&gt;$Q132)))"),2.0)</f>
        <v>2</v>
      </c>
      <c r="AG132" s="111">
        <f t="shared" si="6"/>
        <v>0</v>
      </c>
      <c r="AH132" s="112">
        <f t="shared" si="7"/>
        <v>5</v>
      </c>
      <c r="AI132" s="113" t="str">
        <f>IFERROR(__xludf.DUMMYFUNCTION("iferror(join("","",index(sort(filter($F133:$F$401,$Q133:$Q$401&gt;$Q132),2,false),0,1)))"),"Washington State,Southern Mississippi")</f>
        <v>Washington State,Southern Mississippi</v>
      </c>
      <c r="AJ132" s="114" t="str">
        <f>IFERROR(__xludf.DUMMYFUNCTION("iferror($Q132-max(filter($Q132:$Q$400,$E132:$E$400=$E$2)))"),"")</f>
        <v/>
      </c>
      <c r="AK132" s="110">
        <f t="shared" si="8"/>
        <v>5</v>
      </c>
      <c r="AL132" s="110">
        <f>IFERROR(__xludf.DUMMYFUNCTION("iferror(COUNT(filter($Q133:$Q$400,$Q133:$Q$400&gt;$Q132,$E132:$E$400=$E$2)))"),0.0)</f>
        <v>0</v>
      </c>
      <c r="AM132" s="111">
        <f t="shared" si="9"/>
        <v>1</v>
      </c>
      <c r="AN132" s="110" t="str">
        <f>IFERROR(__xludf.DUMMYFUNCTION("iferror($Q132-min(filter($Q132:$Q$400,$E132:$E$400=$E$2)))"),"")</f>
        <v/>
      </c>
      <c r="AO132" s="113" t="str">
        <f>IFERROR(__xludf.DUMMYFUNCTION("iferror(join("","",index(sort(filter($F133:$F$400,$Q133:$Q$400&gt;$Q132,$E133:$E$400=$E$2),2,false),0,1)))"),"")</f>
        <v/>
      </c>
      <c r="AP132" s="113" t="str">
        <f>IFERROR(__xludf.DUMMYFUNCTION("REGEXREPLACE(join("","",unique({let(conf_picked,filter(E$1:E131,D$1:D131=D132), byrow(unique(TRANSPOSe(Teams!$1:$1)),lambda(rw,if(ISERROR(match(rw,conf_picked,0)),rw,))));if(AW132,,transpose(split(AX132,"","",1,1)))})), ""^,"", """")"),"CUSA,MAC,MWC,Pac12,SEC,Sun Belt,zIndependent")</f>
        <v>CUSA,MAC,MWC,Pac12,SEC,Sun Belt,zIndependent</v>
      </c>
      <c r="AQ132" s="114">
        <f>IFERROR(__xludf.DUMMYFUNCTION("iferror($Q132-max(filter($Q132:$Q$400,arrayformula(isnumber(FIND($E132:$E$400,AP132))))))"),-2.0)</f>
        <v>-2</v>
      </c>
      <c r="AR132" s="110">
        <f t="array" ref="AR132">countifs($Q$2:$Q131,"&lt;"&amp;$Q132,isnumber(FIND($E$2:$E131,AP132)),TRUE)</f>
        <v>21</v>
      </c>
      <c r="AS132" s="110">
        <f>IFERROR(__xludf.DUMMYFUNCTION("iferror(COUNT(filter($Q133:$Q$400,$Q133:$Q$400&gt;$Q132,arrayformula(isnumber(FIND($E133:$E$400,AP132))))))"),2.0)</f>
        <v>2</v>
      </c>
      <c r="AT132" s="111">
        <f t="shared" si="10"/>
        <v>0</v>
      </c>
      <c r="AU132" s="110">
        <f>IFERROR(__xludf.DUMMYFUNCTION("iferror($Q132-min(filter($Q132:$Q$400,arrayformula(isnumber(FIND($E132:$E$400,AP132))))))"),2.0)</f>
        <v>2</v>
      </c>
      <c r="AV132" s="113" t="str">
        <f>IFERROR(__xludf.DUMMYFUNCTION("iferror(join("","",index(sort(filter($F133:$F$400,$Q133:$Q$400&gt;$Q132,arrayformula(isnumber(FIND($E133:$E$400,AP132)))),2,false),0,1)))"),"Washington State,Southern Mississippi")</f>
        <v>Washington State,Southern Mississippi</v>
      </c>
      <c r="AW132" s="113" t="b">
        <f>IFERROR(__xludf.DUMMYFUNCTION("isnumber(find(""wild card"",join("","",filter($G$1:$G131,$D$1:$D131=D132))))"),TRUE)</f>
        <v>1</v>
      </c>
      <c r="AX132" s="113" t="str">
        <f>IFERROR(__xludf.DUMMYFUNCTION("join("","",let(confs,unique(TRANSPOSe(Teams!$1:$1)), confs_count, BYROW(confs,lambda(conf,xlookup(conf,'Conf WC Eligibility'!A:A,'Conf WC Eligibility'!C:C,,))),confs_picked,byrow(confs,lambda(conf,countif(E$1:E131,conf))),p_needs_conf_count,byrow(confs,la"&amp;"mbda(conf,counta('Draft Order'!B$2:B622)-COUNTUNIQUE(filter(D$2:D131,E$2:E131=conf)))),query({confs,confs_count,confs_picked,p_needs_conf_count},""select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3">
      <c r="A133" s="1">
        <v>132.0</v>
      </c>
      <c r="B133" s="1">
        <v>11.0</v>
      </c>
      <c r="C133" s="1">
        <v>12.0</v>
      </c>
      <c r="D133" s="115" t="s">
        <v>493</v>
      </c>
      <c r="E133" t="str">
        <f>if(F133&lt;&gt;"",VLOOKUP(F133,offset('Teams-Conference'!A:B,0,(counta('Draft Order'!B$2:B622)-10)*2),2,0),"")</f>
        <v>Pac12</v>
      </c>
      <c r="F133" s="77" t="s">
        <v>200</v>
      </c>
      <c r="G133" s="106" t="str">
        <f t="shared" si="73"/>
        <v>Regular Pick</v>
      </c>
      <c r="H133" s="106">
        <f t="shared" si="71"/>
        <v>0</v>
      </c>
      <c r="I133" s="106">
        <f t="shared" si="72"/>
        <v>0</v>
      </c>
      <c r="J133" s="106">
        <f t="shared" si="70"/>
        <v>0</v>
      </c>
      <c r="K133" s="106"/>
      <c r="L133" s="106">
        <v>6.0</v>
      </c>
      <c r="M133" s="106">
        <f>IFERROR(__xludf.DUMMYFUNCTION("counta(iferror(filter(L$2:L132,E$2:E132=E133,L$2:L132&lt;L133)))"),1.0)</f>
        <v>1</v>
      </c>
      <c r="N133" s="106">
        <f>IFERROR(__xludf.DUMMYFUNCTION("counta(iferror(filter(#REF!,#REF!=E133,L$624:L635&gt;L133)))"),0.0)</f>
        <v>0</v>
      </c>
      <c r="O133" s="106"/>
      <c r="P133" s="106" t="b">
        <f>IFERROR(__xludf.DUMMYFUNCTION("if(F133="""","""",let(wc_picked, countifs(E$1:E132,E133,G$1:G132,""This is your wild card pick""), let(spots_filled,counta(unique(filter(D$2:E133,E$2:E133=E133)))/2,let(total,VLOOKUP(E133,'Conf WC Eligibility'!A:C,3,0),if(E133=""zIndependent"", TRUE,total"&amp;"-wc_picked&gt;12)))))"),FALSE)</f>
        <v>0</v>
      </c>
      <c r="Q133" s="107">
        <f t="array" ref="Q133:AB133">XLOOKUP(F133,'Current Week'!C:C,'Current Week'!D:O)</f>
        <v>6</v>
      </c>
      <c r="R133" s="106">
        <v>6.0</v>
      </c>
      <c r="S133" s="106" t="s">
        <v>679</v>
      </c>
      <c r="T133" s="106" t="s">
        <v>61</v>
      </c>
      <c r="U133" s="106" t="s">
        <v>193</v>
      </c>
      <c r="V133" s="106"/>
      <c r="W133" s="106" t="s">
        <v>67</v>
      </c>
      <c r="X133" s="106">
        <v>-13.5</v>
      </c>
      <c r="Y133" s="106" t="s">
        <v>67</v>
      </c>
      <c r="Z133" s="106">
        <v>43.5</v>
      </c>
      <c r="AA133" s="106">
        <v>259.0</v>
      </c>
      <c r="AB133" s="106">
        <v>242.0</v>
      </c>
      <c r="AC133" s="108" t="b">
        <v>1</v>
      </c>
      <c r="AD133" s="109">
        <f t="shared" si="4"/>
        <v>-1</v>
      </c>
      <c r="AE133" s="110">
        <f t="shared" si="5"/>
        <v>51</v>
      </c>
      <c r="AF133" s="110">
        <f>IFERROR(__xludf.DUMMYFUNCTION("iferror(COUNT(filter($Q134:$Q$400,$Q134:$Q$400&gt;$Q133)))"),1.0)</f>
        <v>1</v>
      </c>
      <c r="AG133" s="111">
        <f t="shared" si="6"/>
        <v>0</v>
      </c>
      <c r="AH133" s="112">
        <f t="shared" si="7"/>
        <v>6</v>
      </c>
      <c r="AI133" s="113" t="str">
        <f>IFERROR(__xludf.DUMMYFUNCTION("iferror(join("","",index(sort(filter($F134:$F$401,$Q134:$Q$401&gt;$Q133),2,false),0,1)))"),"Southern Mississippi")</f>
        <v>Southern Mississippi</v>
      </c>
      <c r="AJ133" s="114" t="str">
        <f>IFERROR(__xludf.DUMMYFUNCTION("iferror($Q133-max(filter($Q133:$Q$400,$E133:$E$400=$E$2)))"),"")</f>
        <v/>
      </c>
      <c r="AK133" s="110">
        <f t="shared" si="8"/>
        <v>6</v>
      </c>
      <c r="AL133" s="110">
        <f>IFERROR(__xludf.DUMMYFUNCTION("iferror(COUNT(filter($Q134:$Q$400,$Q134:$Q$400&gt;$Q133,$E133:$E$400=$E$2)))"),0.0)</f>
        <v>0</v>
      </c>
      <c r="AM133" s="111">
        <f t="shared" si="9"/>
        <v>1</v>
      </c>
      <c r="AN133" s="110" t="str">
        <f>IFERROR(__xludf.DUMMYFUNCTION("iferror($Q133-min(filter($Q133:$Q$400,$E133:$E$400=$E$2)))"),"")</f>
        <v/>
      </c>
      <c r="AO133" s="113" t="str">
        <f>IFERROR(__xludf.DUMMYFUNCTION("iferror(join("","",index(sort(filter($F134:$F$400,$Q134:$Q$400&gt;$Q133,$E134:$E$400=$E$2),2,false),0,1)))"),"")</f>
        <v/>
      </c>
      <c r="AP133" s="113" t="str">
        <f>IFERROR(__xludf.DUMMYFUNCTION("REGEXREPLACE(join("","",unique({let(conf_picked,filter(E$1:E132,D$1:D132=D133), byrow(unique(TRANSPOSe(Teams!$1:$1)),lambda(rw,if(ISERROR(match(rw,conf_picked,0)),rw,))));if(AW133,,transpose(split(AX133,"","",1,1)))})), ""^,"", """")"),"CUSA,MWC,Pac12,SEC,Sun Belt,zIndependent")</f>
        <v>CUSA,MWC,Pac12,SEC,Sun Belt,zIndependent</v>
      </c>
      <c r="AQ133" s="114">
        <f>IFERROR(__xludf.DUMMYFUNCTION("iferror($Q133-max(filter($Q133:$Q$400,arrayformula(isnumber(FIND($E133:$E$400,AP133))))))"),-1.0)</f>
        <v>-1</v>
      </c>
      <c r="AR133" s="110">
        <f t="array" ref="AR133">countifs($Q$2:$Q132,"&lt;"&amp;$Q133,isnumber(FIND($E$2:$E132,AP133)),TRUE)</f>
        <v>19</v>
      </c>
      <c r="AS133" s="110">
        <f>IFERROR(__xludf.DUMMYFUNCTION("iferror(COUNT(filter($Q134:$Q$400,$Q134:$Q$400&gt;$Q133,arrayformula(isnumber(FIND($E134:$E$400,AP133))))))"),1.0)</f>
        <v>1</v>
      </c>
      <c r="AT133" s="111">
        <f t="shared" si="10"/>
        <v>0</v>
      </c>
      <c r="AU133" s="110">
        <f>IFERROR(__xludf.DUMMYFUNCTION("iferror($Q133-min(filter($Q133:$Q$400,arrayformula(isnumber(FIND($E133:$E$400,AP133))))))"),3.0)</f>
        <v>3</v>
      </c>
      <c r="AV133" s="113" t="str">
        <f>IFERROR(__xludf.DUMMYFUNCTION("iferror(join("","",index(sort(filter($F134:$F$400,$Q134:$Q$400&gt;$Q133,arrayformula(isnumber(FIND($E134:$E$400,AP133)))),2,false),0,1)))"),"Southern Mississippi")</f>
        <v>Southern Mississippi</v>
      </c>
      <c r="AW133" s="113" t="b">
        <f>IFERROR(__xludf.DUMMYFUNCTION("isnumber(find(""wild card"",join("","",filter($G$1:$G132,$D$1:$D132=D133))))"),TRUE)</f>
        <v>1</v>
      </c>
      <c r="AX133" s="113" t="str">
        <f>IFERROR(__xludf.DUMMYFUNCTION("join("","",let(confs,unique(TRANSPOSe(Teams!$1:$1)), confs_count, BYROW(confs,lambda(conf,xlookup(conf,'Conf WC Eligibility'!A:A,'Conf WC Eligibility'!C:C,,))),confs_picked,byrow(confs,lambda(conf,countif(E$1:E132,conf))),p_needs_conf_count,byrow(confs,la"&amp;"mbda(conf,counta('Draft Order'!B$2:B622)-COUNTUNIQUE(filter(D$2:D132,E$2:E132=conf)))),query({confs,confs_count,confs_picked,p_needs_conf_count},""select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4">
      <c r="A134" s="1">
        <v>133.0</v>
      </c>
      <c r="B134" s="1">
        <v>12.0</v>
      </c>
      <c r="C134" s="101">
        <v>1.0</v>
      </c>
      <c r="D134" s="115" t="s">
        <v>493</v>
      </c>
      <c r="E134" t="str">
        <f>if(F134&lt;&gt;"",VLOOKUP(F134,offset('Teams-Conference'!A:B,0,(counta('Draft Order'!B$2:B622)-10)*2),2,0),"")</f>
        <v>SEC</v>
      </c>
      <c r="F134" s="77" t="s">
        <v>205</v>
      </c>
      <c r="G134" s="106" t="str">
        <f t="shared" si="73"/>
        <v>Regular Pick</v>
      </c>
      <c r="H134" s="106">
        <f t="shared" si="71"/>
        <v>0</v>
      </c>
      <c r="I134" s="106">
        <f t="shared" si="72"/>
        <v>0</v>
      </c>
      <c r="J134" s="106">
        <f t="shared" si="70"/>
        <v>0</v>
      </c>
      <c r="K134" s="106"/>
      <c r="L134" s="106">
        <v>5.0</v>
      </c>
      <c r="M134" s="106">
        <f>IFERROR(__xludf.DUMMYFUNCTION("counta(iferror(filter(L$2:L133,E$2:E133=E134,L$2:L133&lt;L134)))"),3.0)</f>
        <v>3</v>
      </c>
      <c r="N134" s="106">
        <f>IFERROR(__xludf.DUMMYFUNCTION("counta(iferror(filter(#REF!,#REF!=E134,L$624:L636&gt;L134)))"),0.0)</f>
        <v>0</v>
      </c>
      <c r="O134" s="106"/>
      <c r="P134" s="106" t="b">
        <f>IFERROR(__xludf.DUMMYFUNCTION("if(F134="""","""",let(wc_picked, countifs(E$1:E133,E134,G$1:G133,""This is your wild card pick""), let(spots_filled,counta(unique(filter(D$2:E134,E$2:E134=E134)))/2,let(total,VLOOKUP(E134,'Conf WC Eligibility'!A:C,3,0),if(E134=""zIndependent"", TRUE,total"&amp;"-wc_picked&gt;12)))))"),TRUE)</f>
        <v>1</v>
      </c>
      <c r="Q134" s="107">
        <f t="array" ref="Q134:AB134">XLOOKUP(F134,'Current Week'!C:C,'Current Week'!D:O)</f>
        <v>5</v>
      </c>
      <c r="R134" s="106">
        <v>7.0</v>
      </c>
      <c r="S134" s="106" t="s">
        <v>782</v>
      </c>
      <c r="T134" s="106" t="s">
        <v>61</v>
      </c>
      <c r="U134" s="106" t="s">
        <v>132</v>
      </c>
      <c r="V134" s="106"/>
      <c r="W134" s="106" t="s">
        <v>67</v>
      </c>
      <c r="X134" s="106">
        <v>3.0</v>
      </c>
      <c r="Y134" s="106" t="s">
        <v>67</v>
      </c>
      <c r="Z134" s="106">
        <v>45.5</v>
      </c>
      <c r="AA134" s="106">
        <v>276.0</v>
      </c>
      <c r="AB134" s="106">
        <v>317.0</v>
      </c>
      <c r="AC134" s="108" t="b">
        <v>1</v>
      </c>
      <c r="AD134" s="109">
        <f t="shared" si="4"/>
        <v>-2</v>
      </c>
      <c r="AE134" s="110">
        <f t="shared" si="5"/>
        <v>38</v>
      </c>
      <c r="AF134" s="110">
        <f>IFERROR(__xludf.DUMMYFUNCTION("iferror(COUNT(filter($Q135:$Q$400,$Q135:$Q$400&gt;$Q134)))"),1.0)</f>
        <v>1</v>
      </c>
      <c r="AG134" s="111">
        <f t="shared" si="6"/>
        <v>0</v>
      </c>
      <c r="AH134" s="112">
        <f t="shared" si="7"/>
        <v>5</v>
      </c>
      <c r="AI134" s="113" t="str">
        <f>IFERROR(__xludf.DUMMYFUNCTION("iferror(join("","",index(sort(filter($F135:$F$401,$Q135:$Q$401&gt;$Q134),2,false),0,1)))"),"Southern Mississippi")</f>
        <v>Southern Mississippi</v>
      </c>
      <c r="AJ134" s="114" t="str">
        <f>IFERROR(__xludf.DUMMYFUNCTION("iferror($Q134-max(filter($Q134:$Q$400,$E134:$E$400=$E$2)))"),"")</f>
        <v/>
      </c>
      <c r="AK134" s="110">
        <f t="shared" si="8"/>
        <v>5</v>
      </c>
      <c r="AL134" s="110">
        <f>IFERROR(__xludf.DUMMYFUNCTION("iferror(COUNT(filter($Q135:$Q$400,$Q135:$Q$400&gt;$Q134,$E134:$E$400=$E$2)))"),0.0)</f>
        <v>0</v>
      </c>
      <c r="AM134" s="111">
        <f t="shared" si="9"/>
        <v>1</v>
      </c>
      <c r="AN134" s="110" t="str">
        <f>IFERROR(__xludf.DUMMYFUNCTION("iferror($Q134-min(filter($Q134:$Q$400,$E134:$E$400=$E$2)))"),"")</f>
        <v/>
      </c>
      <c r="AO134" s="113" t="str">
        <f>IFERROR(__xludf.DUMMYFUNCTION("iferror(join("","",index(sort(filter($F135:$F$400,$Q135:$Q$400&gt;$Q134,$E135:$E$400=$E$2),2,false),0,1)))"),"")</f>
        <v/>
      </c>
      <c r="AP134" s="113" t="str">
        <f>IFERROR(__xludf.DUMMYFUNCTION("REGEXREPLACE(join("","",unique({let(conf_picked,filter(E$1:E133,D$1:D133=D134), byrow(unique(TRANSPOSe(Teams!$1:$1)),lambda(rw,if(ISERROR(match(rw,conf_picked,0)),rw,))));if(AW134,,transpose(split(AX134,"","",1,1)))})), ""^,"", """")"),"CUSA,MWC,SEC,Sun Belt,zIndependent")</f>
        <v>CUSA,MWC,SEC,Sun Belt,zIndependent</v>
      </c>
      <c r="AQ134" s="114">
        <f>IFERROR(__xludf.DUMMYFUNCTION("iferror($Q134-max(filter($Q134:$Q$400,arrayformula(isnumber(FIND($E134:$E$400,AP134))))))"),-2.0)</f>
        <v>-2</v>
      </c>
      <c r="AR134" s="110">
        <f t="array" ref="AR134">countifs($Q$2:$Q133,"&lt;"&amp;$Q134,isnumber(FIND($E$2:$E133,AP134)),TRUE)</f>
        <v>15</v>
      </c>
      <c r="AS134" s="110">
        <f>IFERROR(__xludf.DUMMYFUNCTION("iferror(COUNT(filter($Q135:$Q$400,$Q135:$Q$400&gt;$Q134,arrayformula(isnumber(FIND($E135:$E$400,AP134))))))"),1.0)</f>
        <v>1</v>
      </c>
      <c r="AT134" s="111">
        <f t="shared" si="10"/>
        <v>0</v>
      </c>
      <c r="AU134" s="110">
        <f>IFERROR(__xludf.DUMMYFUNCTION("iferror($Q134-min(filter($Q134:$Q$400,arrayformula(isnumber(FIND($E134:$E$400,AP134))))))"),2.0)</f>
        <v>2</v>
      </c>
      <c r="AV134" s="113" t="str">
        <f>IFERROR(__xludf.DUMMYFUNCTION("iferror(join("","",index(sort(filter($F135:$F$400,$Q135:$Q$400&gt;$Q134,arrayformula(isnumber(FIND($E135:$E$400,AP134)))),2,false),0,1)))"),"Southern Mississippi")</f>
        <v>Southern Mississippi</v>
      </c>
      <c r="AW134" s="113" t="b">
        <f>IFERROR(__xludf.DUMMYFUNCTION("isnumber(find(""wild card"",join("","",filter($G$1:$G133,$D$1:$D133=D134))))"),TRUE)</f>
        <v>1</v>
      </c>
      <c r="AX134" s="113" t="str">
        <f>IFERROR(__xludf.DUMMYFUNCTION("join("","",let(confs,unique(TRANSPOSe(Teams!$1:$1)), confs_count, BYROW(confs,lambda(conf,xlookup(conf,'Conf WC Eligibility'!A:A,'Conf WC Eligibility'!C:C,,))),confs_picked,byrow(confs,lambda(conf,countif(E$1:E133,conf))),p_needs_conf_count,byrow(confs,la"&amp;"mbda(conf,counta('Draft Order'!B$2:B622)-COUNTUNIQUE(filter(D$2:D133,E$2:E133=conf)))),query({confs,confs_count,confs_picked,p_needs_conf_count},""select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5">
      <c r="A135" s="1">
        <v>134.0</v>
      </c>
      <c r="B135" s="1">
        <v>12.0</v>
      </c>
      <c r="C135" s="1">
        <v>2.0</v>
      </c>
      <c r="D135" s="115" t="s">
        <v>493</v>
      </c>
      <c r="E135" t="str">
        <f>if(F135&lt;&gt;"",VLOOKUP(F135,offset('Teams-Conference'!A:B,0,(counta('Draft Order'!B$2:B622)-10)*2),2,0),"")</f>
        <v>SEC</v>
      </c>
      <c r="F135" s="77" t="s">
        <v>207</v>
      </c>
      <c r="G135" s="106" t="str">
        <f t="shared" si="73"/>
        <v>Regular Pick</v>
      </c>
      <c r="H135" s="106">
        <f t="shared" si="71"/>
        <v>0</v>
      </c>
      <c r="I135" s="106">
        <f t="shared" si="72"/>
        <v>0</v>
      </c>
      <c r="J135" s="106">
        <f t="shared" si="70"/>
        <v>1</v>
      </c>
      <c r="K135" s="106"/>
      <c r="L135" s="106">
        <v>5.0</v>
      </c>
      <c r="M135" s="106">
        <f>IFERROR(__xludf.DUMMYFUNCTION("counta(iferror(filter(L$2:L134,E$2:E134=E135,L$2:L134&lt;L135)))"),3.0)</f>
        <v>3</v>
      </c>
      <c r="N135" s="106">
        <f>IFERROR(__xludf.DUMMYFUNCTION("counta(iferror(filter(#REF!,#REF!=E135,L$624:L637&gt;L135)))"),0.0)</f>
        <v>0</v>
      </c>
      <c r="O135" s="106"/>
      <c r="P135" s="106" t="b">
        <f>IFERROR(__xludf.DUMMYFUNCTION("if(F135="""","""",let(wc_picked, countifs(E$1:E134,E135,G$1:G134,""This is your wild card pick""), let(spots_filled,counta(unique(filter(D$2:E135,E$2:E135=E135)))/2,let(total,VLOOKUP(E135,'Conf WC Eligibility'!A:C,3,0),if(E135=""zIndependent"", TRUE,total"&amp;"-wc_picked&gt;12)))))"),TRUE)</f>
        <v>1</v>
      </c>
      <c r="Q135" s="107">
        <f t="array" ref="Q135:AB135">XLOOKUP(F135,'Current Week'!C:C,'Current Week'!D:O)</f>
        <v>5</v>
      </c>
      <c r="R135" s="106">
        <v>7.0</v>
      </c>
      <c r="S135" s="106" t="s">
        <v>767</v>
      </c>
      <c r="T135" s="106" t="s">
        <v>61</v>
      </c>
      <c r="U135" s="106" t="s">
        <v>249</v>
      </c>
      <c r="V135" s="106"/>
      <c r="W135" s="106" t="s">
        <v>67</v>
      </c>
      <c r="X135" s="106">
        <v>7.5</v>
      </c>
      <c r="Y135" s="106" t="s">
        <v>67</v>
      </c>
      <c r="Z135" s="106">
        <v>62.5</v>
      </c>
      <c r="AA135" s="106">
        <v>366.0</v>
      </c>
      <c r="AB135" s="106">
        <v>350.0</v>
      </c>
      <c r="AC135" s="108" t="b">
        <v>1</v>
      </c>
      <c r="AD135" s="109">
        <f t="shared" si="4"/>
        <v>-2</v>
      </c>
      <c r="AE135" s="110">
        <f t="shared" si="5"/>
        <v>38</v>
      </c>
      <c r="AF135" s="110">
        <f>IFERROR(__xludf.DUMMYFUNCTION("iferror(COUNT(filter($Q136:$Q$400,$Q136:$Q$400&gt;$Q135)))"),1.0)</f>
        <v>1</v>
      </c>
      <c r="AG135" s="111">
        <f t="shared" si="6"/>
        <v>0</v>
      </c>
      <c r="AH135" s="112">
        <f t="shared" si="7"/>
        <v>5</v>
      </c>
      <c r="AI135" s="113" t="str">
        <f>IFERROR(__xludf.DUMMYFUNCTION("iferror(join("","",index(sort(filter($F136:$F$401,$Q136:$Q$401&gt;$Q135),2,false),0,1)))"),"Southern Mississippi")</f>
        <v>Southern Mississippi</v>
      </c>
      <c r="AJ135" s="114" t="str">
        <f>IFERROR(__xludf.DUMMYFUNCTION("iferror($Q135-max(filter($Q135:$Q$400,$E135:$E$400=$E$2)))"),"")</f>
        <v/>
      </c>
      <c r="AK135" s="110">
        <f t="shared" si="8"/>
        <v>5</v>
      </c>
      <c r="AL135" s="110">
        <f>IFERROR(__xludf.DUMMYFUNCTION("iferror(COUNT(filter($Q136:$Q$400,$Q136:$Q$400&gt;$Q135,$E135:$E$400=$E$2)))"),0.0)</f>
        <v>0</v>
      </c>
      <c r="AM135" s="111">
        <f t="shared" si="9"/>
        <v>1</v>
      </c>
      <c r="AN135" s="110" t="str">
        <f>IFERROR(__xludf.DUMMYFUNCTION("iferror($Q135-min(filter($Q135:$Q$400,$E135:$E$400=$E$2)))"),"")</f>
        <v/>
      </c>
      <c r="AO135" s="113" t="str">
        <f>IFERROR(__xludf.DUMMYFUNCTION("iferror(join("","",index(sort(filter($F136:$F$400,$Q136:$Q$400&gt;$Q135,$E136:$E$400=$E$2),2,false),0,1)))"),"")</f>
        <v/>
      </c>
      <c r="AP135" s="113" t="str">
        <f>IFERROR(__xludf.DUMMYFUNCTION("REGEXREPLACE(join("","",unique({let(conf_picked,filter(E$1:E134,D$1:D134=D135), byrow(unique(TRANSPOSe(Teams!$1:$1)),lambda(rw,if(ISERROR(match(rw,conf_picked,0)),rw,))));if(AW135,,transpose(split(AX135,"","",1,1)))})), ""^,"", """")"),"CUSA,MWC,Sun Belt,zIndependent")</f>
        <v>CUSA,MWC,Sun Belt,zIndependent</v>
      </c>
      <c r="AQ135" s="114">
        <f>IFERROR(__xludf.DUMMYFUNCTION("iferror($Q135-max(filter($Q135:$Q$400,arrayformula(isnumber(FIND($E135:$E$400,AP135))))))"),-2.0)</f>
        <v>-2</v>
      </c>
      <c r="AR135" s="110">
        <f t="array" ref="AR135">countifs($Q$2:$Q134,"&lt;"&amp;$Q135,isnumber(FIND($E$2:$E134,AP135)),TRUE)</f>
        <v>12</v>
      </c>
      <c r="AS135" s="110">
        <f>IFERROR(__xludf.DUMMYFUNCTION("iferror(COUNT(filter($Q136:$Q$400,$Q136:$Q$400&gt;$Q135,arrayformula(isnumber(FIND($E136:$E$400,AP135))))))"),1.0)</f>
        <v>1</v>
      </c>
      <c r="AT135" s="111">
        <f t="shared" si="10"/>
        <v>0</v>
      </c>
      <c r="AU135" s="110">
        <f>IFERROR(__xludf.DUMMYFUNCTION("iferror($Q135-min(filter($Q135:$Q$400,arrayformula(isnumber(FIND($E135:$E$400,AP135))))))"),2.0)</f>
        <v>2</v>
      </c>
      <c r="AV135" s="113" t="str">
        <f>IFERROR(__xludf.DUMMYFUNCTION("iferror(join("","",index(sort(filter($F136:$F$400,$Q136:$Q$400&gt;$Q135,arrayformula(isnumber(FIND($E136:$E$400,AP135)))),2,false),0,1)))"),"Southern Mississippi")</f>
        <v>Southern Mississippi</v>
      </c>
      <c r="AW135" s="113" t="b">
        <f>IFERROR(__xludf.DUMMYFUNCTION("isnumber(find(""wild card"",join("","",filter($G$1:$G134,$D$1:$D134=D135))))"),TRUE)</f>
        <v>1</v>
      </c>
      <c r="AX135" s="113" t="str">
        <f>IFERROR(__xludf.DUMMYFUNCTION("join("","",let(confs,unique(TRANSPOSe(Teams!$1:$1)), confs_count, BYROW(confs,lambda(conf,xlookup(conf,'Conf WC Eligibility'!A:A,'Conf WC Eligibility'!C:C,,))),confs_picked,byrow(confs,lambda(conf,countif(E$1:E134,conf))),p_needs_conf_count,byrow(confs,la"&amp;"mbda(conf,counta('Draft Order'!B$2:B622)-COUNTUNIQUE(filter(D$2:D134,E$2:E134=conf)))),query({confs,confs_count,confs_picked,p_needs_conf_count},""select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6">
      <c r="A136" s="1">
        <v>135.0</v>
      </c>
      <c r="B136" s="1">
        <v>12.0</v>
      </c>
      <c r="C136" s="1">
        <v>3.0</v>
      </c>
      <c r="D136" s="115" t="s">
        <v>493</v>
      </c>
      <c r="E136" t="str">
        <f>if(F136&lt;&gt;"",VLOOKUP(F136,offset('Teams-Conference'!A:B,0,(counta('Draft Order'!B$2:B622)-10)*2),2,0),"")</f>
        <v>Sun Belt</v>
      </c>
      <c r="F136" s="77" t="s">
        <v>546</v>
      </c>
      <c r="G136" s="106" t="str">
        <f t="shared" si="73"/>
        <v>Regular Pick</v>
      </c>
      <c r="H136" s="106">
        <f t="shared" si="71"/>
        <v>0</v>
      </c>
      <c r="I136" s="106">
        <f t="shared" si="72"/>
        <v>0</v>
      </c>
      <c r="J136" s="106">
        <f t="shared" si="70"/>
        <v>0</v>
      </c>
      <c r="K136" s="106"/>
      <c r="L136" s="106">
        <v>7.0</v>
      </c>
      <c r="M136" s="106">
        <f>IFERROR(__xludf.DUMMYFUNCTION("counta(iferror(filter(L$2:L135,E$2:E135=E136,L$2:L135&lt;L136)))"),9.0)</f>
        <v>9</v>
      </c>
      <c r="N136" s="106">
        <f>IFERROR(__xludf.DUMMYFUNCTION("counta(iferror(filter(#REF!,#REF!=E136,L$624:L638&gt;L136)))"),0.0)</f>
        <v>0</v>
      </c>
      <c r="O136" s="106"/>
      <c r="P136" s="106" t="b">
        <f>IFERROR(__xludf.DUMMYFUNCTION("if(F136="""","""",let(wc_picked, countifs(E$1:E135,E136,G$1:G135,""This is your wild card pick""), let(spots_filled,counta(unique(filter(D$2:E136,E$2:E136=E136)))/2,let(total,VLOOKUP(E136,'Conf WC Eligibility'!A:C,3,0),if(E136=""zIndependent"", TRUE,total"&amp;"-wc_picked&gt;12)))))"),TRUE)</f>
        <v>1</v>
      </c>
      <c r="Q136" s="107">
        <f t="array" ref="Q136:AB136">XLOOKUP(F136,'Current Week'!C:C,'Current Week'!D:O)</f>
        <v>7</v>
      </c>
      <c r="R136" s="106">
        <v>5.0</v>
      </c>
      <c r="S136" s="106" t="s">
        <v>727</v>
      </c>
      <c r="T136" s="106" t="s">
        <v>61</v>
      </c>
      <c r="U136" s="106" t="s">
        <v>96</v>
      </c>
      <c r="V136" s="106"/>
      <c r="W136" s="106" t="s">
        <v>67</v>
      </c>
      <c r="X136" s="106">
        <v>-6.5</v>
      </c>
      <c r="Y136" s="106" t="s">
        <v>67</v>
      </c>
      <c r="Z136" s="106">
        <v>50.5</v>
      </c>
      <c r="AA136" s="106">
        <v>358.0</v>
      </c>
      <c r="AB136" s="106">
        <v>329.0</v>
      </c>
      <c r="AC136" s="108" t="b">
        <v>1</v>
      </c>
      <c r="AD136" s="109">
        <f t="shared" si="4"/>
        <v>0</v>
      </c>
      <c r="AE136" s="110">
        <f t="shared" si="5"/>
        <v>67</v>
      </c>
      <c r="AF136" s="110">
        <f>IFERROR(__xludf.DUMMYFUNCTION("iferror(COUNT(filter($Q137:$Q$400,$Q137:$Q$400&gt;$Q136)))"),0.0)</f>
        <v>0</v>
      </c>
      <c r="AG136" s="111">
        <f t="shared" si="6"/>
        <v>1</v>
      </c>
      <c r="AH136" s="112">
        <f t="shared" si="7"/>
        <v>7</v>
      </c>
      <c r="AI136" s="113" t="str">
        <f>IFERROR(__xludf.DUMMYFUNCTION("iferror(join("","",index(sort(filter($F137:$F$401,$Q137:$Q$401&gt;$Q136),2,false),0,1)))"),"")</f>
        <v/>
      </c>
      <c r="AJ136" s="114" t="str">
        <f>IFERROR(__xludf.DUMMYFUNCTION("iferror($Q136-max(filter($Q136:$Q$400,$E136:$E$400=$E$2)))"),"")</f>
        <v/>
      </c>
      <c r="AK136" s="110">
        <f t="shared" si="8"/>
        <v>8</v>
      </c>
      <c r="AL136" s="110">
        <f>IFERROR(__xludf.DUMMYFUNCTION("iferror(COUNT(filter($Q137:$Q$400,$Q137:$Q$400&gt;$Q136,$E136:$E$400=$E$2)))"),0.0)</f>
        <v>0</v>
      </c>
      <c r="AM136" s="111">
        <f t="shared" si="9"/>
        <v>1</v>
      </c>
      <c r="AN136" s="110" t="str">
        <f>IFERROR(__xludf.DUMMYFUNCTION("iferror($Q136-min(filter($Q136:$Q$400,$E136:$E$400=$E$2)))"),"")</f>
        <v/>
      </c>
      <c r="AO136" s="113" t="str">
        <f>IFERROR(__xludf.DUMMYFUNCTION("iferror(join("","",index(sort(filter($F137:$F$400,$Q137:$Q$400&gt;$Q136,$E137:$E$400=$E$2),2,false),0,1)))"),"")</f>
        <v/>
      </c>
      <c r="AP136" s="113" t="str">
        <f>IFERROR(__xludf.DUMMYFUNCTION("REGEXREPLACE(join("","",unique({let(conf_picked,filter(E$1:E135,D$1:D135=D136), byrow(unique(TRANSPOSe(Teams!$1:$1)),lambda(rw,if(ISERROR(match(rw,conf_picked,0)),rw,))));if(AW136,,transpose(split(AX136,"","",1,1)))})), ""^,"", """")"),"CUSA,MWC,Sun Belt,zIndependent")</f>
        <v>CUSA,MWC,Sun Belt,zIndependent</v>
      </c>
      <c r="AQ136" s="114">
        <f>IFERROR(__xludf.DUMMYFUNCTION("iferror($Q136-max(filter($Q136:$Q$400,arrayformula(isnumber(FIND($E136:$E$400,AP136))))))"),0.0)</f>
        <v>0</v>
      </c>
      <c r="AR136" s="110">
        <f t="array" ref="AR136">countifs($Q$2:$Q135,"&lt;"&amp;$Q136,isnumber(FIND($E$2:$E135,AP136)),TRUE)</f>
        <v>21</v>
      </c>
      <c r="AS136" s="110">
        <f>IFERROR(__xludf.DUMMYFUNCTION("iferror(COUNT(filter($Q137:$Q$400,$Q137:$Q$400&gt;$Q136,arrayformula(isnumber(FIND($E137:$E$400,AP136))))))"),0.0)</f>
        <v>0</v>
      </c>
      <c r="AT136" s="111">
        <f t="shared" si="10"/>
        <v>1</v>
      </c>
      <c r="AU136" s="110">
        <f>IFERROR(__xludf.DUMMYFUNCTION("iferror($Q136-min(filter($Q136:$Q$400,arrayformula(isnumber(FIND($E136:$E$400,AP136))))))"),4.0)</f>
        <v>4</v>
      </c>
      <c r="AV136" s="113" t="str">
        <f>IFERROR(__xludf.DUMMYFUNCTION("iferror(join("","",index(sort(filter($F137:$F$400,$Q137:$Q$400&gt;$Q136,arrayformula(isnumber(FIND($E137:$E$400,AP136)))),2,false),0,1)))"),"")</f>
        <v/>
      </c>
      <c r="AW136" s="113" t="b">
        <f>IFERROR(__xludf.DUMMYFUNCTION("isnumber(find(""wild card"",join("","",filter($G$1:$G135,$D$1:$D135=D136))))"),TRUE)</f>
        <v>1</v>
      </c>
      <c r="AX136" s="113" t="str">
        <f>IFERROR(__xludf.DUMMYFUNCTION("join("","",let(confs,unique(TRANSPOSe(Teams!$1:$1)), confs_count, BYROW(confs,lambda(conf,xlookup(conf,'Conf WC Eligibility'!A:A,'Conf WC Eligibility'!C:C,,))),confs_picked,byrow(confs,lambda(conf,countif(E$1:E135,conf))),p_needs_conf_count,byrow(confs,la"&amp;"mbda(conf,counta('Draft Order'!B$2:B622)-COUNTUNIQUE(filter(D$2:D135,E$2:E135=conf)))),query({confs,confs_count,confs_picked,p_needs_conf_count},""select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7">
      <c r="A137" s="1">
        <v>136.0</v>
      </c>
      <c r="B137" s="1">
        <v>12.0</v>
      </c>
      <c r="C137" s="1">
        <v>4.0</v>
      </c>
      <c r="D137" s="115" t="s">
        <v>493</v>
      </c>
      <c r="E137" t="str">
        <f>if(F137&lt;&gt;"",VLOOKUP(F137,offset('Teams-Conference'!A:B,0,(counta('Draft Order'!B$2:B622)-10)*2),2,0),"")</f>
        <v>Sun Belt</v>
      </c>
      <c r="F137" s="77" t="s">
        <v>219</v>
      </c>
      <c r="G137" s="106" t="str">
        <f t="shared" si="73"/>
        <v>Regular Pick</v>
      </c>
      <c r="H137" s="106">
        <f t="shared" si="71"/>
        <v>0</v>
      </c>
      <c r="I137" s="106">
        <f t="shared" si="72"/>
        <v>0</v>
      </c>
      <c r="J137" s="106">
        <f t="shared" si="70"/>
        <v>1</v>
      </c>
      <c r="K137" s="106"/>
      <c r="L137" s="106">
        <v>3.0</v>
      </c>
      <c r="M137" s="106">
        <f>IFERROR(__xludf.DUMMYFUNCTION("counta(iferror(filter(L$2:L136,E$2:E136=E137,L$2:L136&lt;L137)))"),1.0)</f>
        <v>1</v>
      </c>
      <c r="N137" s="106">
        <f>IFERROR(__xludf.DUMMYFUNCTION("counta(iferror(filter(#REF!,#REF!=E137,L$624:L639&gt;L137)))"),0.0)</f>
        <v>0</v>
      </c>
      <c r="O137" s="106"/>
      <c r="P137" s="106" t="b">
        <f>IFERROR(__xludf.DUMMYFUNCTION("if(F137="""","""",let(wc_picked, countifs(E$1:E136,E137,G$1:G136,""This is your wild card pick""), let(spots_filled,counta(unique(filter(D$2:E137,E$2:E137=E137)))/2,let(total,VLOOKUP(E137,'Conf WC Eligibility'!A:C,3,0),if(E137=""zIndependent"", TRUE,total"&amp;"-wc_picked&gt;12)))))"),TRUE)</f>
        <v>1</v>
      </c>
      <c r="Q137" s="107">
        <f t="array" ref="Q137:AB137">XLOOKUP(F137,'Current Week'!C:C,'Current Week'!D:O)</f>
        <v>3</v>
      </c>
      <c r="R137" s="106">
        <v>9.0</v>
      </c>
      <c r="S137" s="106" t="s">
        <v>690</v>
      </c>
      <c r="T137" s="106" t="s">
        <v>532</v>
      </c>
      <c r="U137" s="106" t="s">
        <v>193</v>
      </c>
      <c r="V137" s="106"/>
      <c r="W137" s="106" t="s">
        <v>67</v>
      </c>
      <c r="X137" s="106">
        <v>8.5</v>
      </c>
      <c r="Y137" s="106" t="s">
        <v>67</v>
      </c>
      <c r="Z137" s="106">
        <v>47.5</v>
      </c>
      <c r="AA137" s="106">
        <v>199.0</v>
      </c>
      <c r="AB137" s="106">
        <v>383.0</v>
      </c>
      <c r="AC137" s="108" t="b">
        <v>1</v>
      </c>
      <c r="AD137" s="109">
        <f t="shared" si="4"/>
        <v>0</v>
      </c>
      <c r="AE137" s="110">
        <f t="shared" si="5"/>
        <v>11</v>
      </c>
      <c r="AF137" s="110">
        <f>IFERROR(__xludf.DUMMYFUNCTION("iferror(COUNT(filter($Q138:$Q$400,$Q138:$Q$400&gt;$Q137)))"),0.0)</f>
        <v>0</v>
      </c>
      <c r="AG137" s="111">
        <f t="shared" si="6"/>
        <v>1</v>
      </c>
      <c r="AH137" s="112">
        <f t="shared" si="7"/>
        <v>3</v>
      </c>
      <c r="AI137" s="113" t="str">
        <f>IFERROR(__xludf.DUMMYFUNCTION("iferror(join("","",index(sort(filter($F138:$F$401,$Q138:$Q$401&gt;$Q137),2,false),0,1)))"),"")</f>
        <v/>
      </c>
      <c r="AJ137" s="114" t="str">
        <f>IFERROR(__xludf.DUMMYFUNCTION("iferror($Q137-max(filter($Q137:$Q$400,$E137:$E$400=$E$2)))"),"")</f>
        <v/>
      </c>
      <c r="AK137" s="110">
        <f t="shared" si="8"/>
        <v>1</v>
      </c>
      <c r="AL137" s="110">
        <f>IFERROR(__xludf.DUMMYFUNCTION("iferror(COUNT(filter($Q138:$Q$400,$Q138:$Q$400&gt;$Q137,$E137:$E$400=$E$2)))"),0.0)</f>
        <v>0</v>
      </c>
      <c r="AM137" s="111">
        <f t="shared" si="9"/>
        <v>1</v>
      </c>
      <c r="AN137" s="110" t="str">
        <f>IFERROR(__xludf.DUMMYFUNCTION("iferror($Q137-min(filter($Q137:$Q$400,$E137:$E$400=$E$2)))"),"")</f>
        <v/>
      </c>
      <c r="AO137" s="113" t="str">
        <f>IFERROR(__xludf.DUMMYFUNCTION("iferror(join("","",index(sort(filter($F138:$F$400,$Q138:$Q$400&gt;$Q137,$E138:$E$400=$E$2),2,false),0,1)))"),"")</f>
        <v/>
      </c>
      <c r="AP137" s="113" t="str">
        <f>IFERROR(__xludf.DUMMYFUNCTION("REGEXREPLACE(join("","",unique({let(conf_picked,filter(E$1:E136,D$1:D136=D137), byrow(unique(TRANSPOSe(Teams!$1:$1)),lambda(rw,if(ISERROR(match(rw,conf_picked,0)),rw,))));if(AW137,,transpose(split(AX137,"","",1,1)))})), ""^,"", """")"),"CUSA,MWC,zIndependent")</f>
        <v>CUSA,MWC,zIndependent</v>
      </c>
      <c r="AQ137" s="114">
        <f>IFERROR(__xludf.DUMMYFUNCTION("iferror($Q137-max(filter($Q137:$Q$400,arrayformula(isnumber(FIND($E137:$E$400,AP137))))))"),3.0)</f>
        <v>3</v>
      </c>
      <c r="AR137" s="110">
        <f t="array" ref="AR137">countifs($Q$2:$Q136,"&lt;"&amp;$Q137,isnumber(FIND($E$2:$E136,AP137)),TRUE)</f>
        <v>3</v>
      </c>
      <c r="AS137" s="110">
        <f>IFERROR(__xludf.DUMMYFUNCTION("iferror(COUNT(filter($Q138:$Q$400,$Q138:$Q$400&gt;$Q137,arrayformula(isnumber(FIND($E138:$E$400,AP137))))))"),0.0)</f>
        <v>0</v>
      </c>
      <c r="AT137" s="111">
        <f t="shared" si="10"/>
        <v>0</v>
      </c>
      <c r="AU137" s="110">
        <f>IFERROR(__xludf.DUMMYFUNCTION("iferror($Q137-min(filter($Q137:$Q$400,arrayformula(isnumber(FIND($E137:$E$400,AP137))))))"),3.0)</f>
        <v>3</v>
      </c>
      <c r="AV137" s="113" t="str">
        <f>IFERROR(__xludf.DUMMYFUNCTION("iferror(join("","",index(sort(filter($F138:$F$400,$Q138:$Q$400&gt;$Q137,arrayformula(isnumber(FIND($E138:$E$400,AP137)))),2,false),0,1)))"),"")</f>
        <v/>
      </c>
      <c r="AW137" s="113" t="b">
        <f>IFERROR(__xludf.DUMMYFUNCTION("isnumber(find(""wild card"",join("","",filter($G$1:$G136,$D$1:$D136=D137))))"),TRUE)</f>
        <v>1</v>
      </c>
      <c r="AX137" s="113" t="str">
        <f>IFERROR(__xludf.DUMMYFUNCTION("join("","",let(confs,unique(TRANSPOSe(Teams!$1:$1)), confs_count, BYROW(confs,lambda(conf,xlookup(conf,'Conf WC Eligibility'!A:A,'Conf WC Eligibility'!C:C,,))),confs_picked,byrow(confs,lambda(conf,countif(E$1:E136,conf))),p_needs_conf_count,byrow(confs,la"&amp;"mbda(conf,counta('Draft Order'!B$2:B622)-COUNTUNIQUE(filter(D$2:D136,E$2:E136=conf)))),query({confs,confs_count,confs_picked,p_needs_conf_count},""select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8">
      <c r="A138" s="1"/>
      <c r="B138" s="1"/>
      <c r="D138" s="115"/>
      <c r="E138" s="116"/>
      <c r="F138" s="77"/>
      <c r="G138" s="106" t="str">
        <f t="shared" si="73"/>
        <v/>
      </c>
      <c r="H138" s="106">
        <f t="shared" si="71"/>
        <v>0</v>
      </c>
      <c r="I138" s="106">
        <f t="shared" si="72"/>
        <v>0</v>
      </c>
      <c r="J138" s="106">
        <f t="shared" si="70"/>
        <v>0</v>
      </c>
      <c r="K138" s="106"/>
      <c r="L138" s="106"/>
      <c r="M138" s="106">
        <f>IFERROR(__xludf.DUMMYFUNCTION("counta(iferror(filter(L$2:L137,E$2:E137=E138,L$2:L137&lt;L138)))"),0.0)</f>
        <v>0</v>
      </c>
      <c r="N138" s="106">
        <f>IFERROR(__xludf.DUMMYFUNCTION("counta(iferror(filter(#REF!,#REF!=E138,L$624:L640&gt;L138)))"),0.0)</f>
        <v>0</v>
      </c>
      <c r="O138" s="106"/>
      <c r="P138" s="106" t="str">
        <f>IFERROR(__xludf.DUMMYFUNCTION("if(F138="""","""",let(wc_picked, countifs(E$1:E137,E138,G$1:G137,""This is your wild card pick""), let(spots_filled,counta(unique(filter(D$2:E138,E$2:E138=E138)))/2,let(total,VLOOKUP(E138,'Conf WC Eligibility'!A:C,3,0),if(E138=""zIndependent"", TRUE,total"&amp;"-wc_picked&gt;12)))))"),"")</f>
        <v/>
      </c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13" t="str">
        <f>IFERROR(__xludf.DUMMYFUNCTION("iferror(join("","",index(sort(filter($F139:$F$400,$Q139:$Q$400&gt;$Q138,arrayformula(isnumber(FIND($E139:$E$400,AP138)))),2,false),0,1)))"),"")</f>
        <v/>
      </c>
      <c r="AW138" s="113" t="b">
        <f>IFERROR(__xludf.DUMMYFUNCTION("isnumber(find(""wild card"",join("","",filter($G$1:$G137,$D$1:$D137=D138))))"),FALSE)</f>
        <v>0</v>
      </c>
      <c r="AX138" s="113" t="str">
        <f>IFERROR(__xludf.DUMMYFUNCTION("join("","",let(confs,unique(TRANSPOSe(Teams!$1:$1)), confs_count, BYROW(confs,lambda(conf,xlookup(conf,'Conf WC Eligibility'!A:A,'Conf WC Eligibility'!C:C,,))),confs_picked,byrow(confs,lambda(conf,countif(E$1:E137,conf))),p_needs_conf_count,byrow(confs,la"&amp;"mbda(conf,counta('Draft Order'!B$2:B622)-COUNTUNIQUE(filter(D$2:D137,E$2:E137=conf)))),query({confs,confs_count,confs_picked,p_needs_conf_count},""select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39">
      <c r="A139" s="1"/>
      <c r="B139" s="1"/>
      <c r="C139" s="1"/>
      <c r="D139" s="115"/>
      <c r="E139" s="116"/>
      <c r="F139" s="77"/>
      <c r="G139" s="106" t="str">
        <f t="shared" si="73"/>
        <v/>
      </c>
      <c r="H139" s="106">
        <f t="shared" si="71"/>
        <v>0</v>
      </c>
      <c r="I139" s="106">
        <f t="shared" si="72"/>
        <v>0</v>
      </c>
      <c r="J139" s="106">
        <f t="shared" si="70"/>
        <v>0</v>
      </c>
      <c r="K139" s="106"/>
      <c r="L139" s="106"/>
      <c r="M139" s="106">
        <f>IFERROR(__xludf.DUMMYFUNCTION("counta(iferror(filter(L$2:L138,E$2:E138=E139,L$2:L138&lt;L139)))"),0.0)</f>
        <v>0</v>
      </c>
      <c r="N139" s="106">
        <f>IFERROR(__xludf.DUMMYFUNCTION("counta(iferror(filter(#REF!,#REF!=E139,L$624:L641&gt;L139)))"),0.0)</f>
        <v>0</v>
      </c>
      <c r="O139" s="106"/>
      <c r="P139" s="106" t="str">
        <f>IFERROR(__xludf.DUMMYFUNCTION("if(F139="""","""",let(wc_picked, countifs(E$1:E138,E139,G$1:G138,""This is your wild card pick""), let(spots_filled,counta(unique(filter(D$2:E139,E$2:E139=E139)))/2,let(total,VLOOKUP(E139,'Conf WC Eligibility'!A:C,3,0),if(E139=""zIndependent"", TRUE,total"&amp;"-wc_picked&gt;12)))))"),"")</f>
        <v/>
      </c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13" t="str">
        <f>IFERROR(__xludf.DUMMYFUNCTION("iferror(join("","",index(sort(filter($F140:$F$400,$Q140:$Q$400&gt;$Q139,arrayformula(isnumber(FIND($E140:$E$400,AP139)))),2,false),0,1)))"),"")</f>
        <v/>
      </c>
      <c r="AW139" s="113" t="b">
        <f>IFERROR(__xludf.DUMMYFUNCTION("isnumber(find(""wild card"",join("","",filter($G$1:$G138,$D$1:$D138=D139))))"),FALSE)</f>
        <v>0</v>
      </c>
      <c r="AX139" s="113" t="str">
        <f>IFERROR(__xludf.DUMMYFUNCTION("join("","",let(confs,unique(TRANSPOSe(Teams!$1:$1)), confs_count, BYROW(confs,lambda(conf,xlookup(conf,'Conf WC Eligibility'!A:A,'Conf WC Eligibility'!C:C,,))),confs_picked,byrow(confs,lambda(conf,countif(E$1:E138,conf))),p_needs_conf_count,byrow(confs,la"&amp;"mbda(conf,counta('Draft Order'!B$2:B622)-COUNTUNIQUE(filter(D$2:D138,E$2:E138=conf)))),query({confs,confs_count,confs_picked,p_needs_conf_count},""select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0">
      <c r="A140" s="1"/>
      <c r="B140" s="1"/>
      <c r="C140" s="1"/>
      <c r="D140" s="115"/>
      <c r="E140" s="116"/>
      <c r="F140" s="77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13" t="str">
        <f>IFERROR(__xludf.DUMMYFUNCTION("iferror(join("","",index(sort(filter($F141:$F$400,$Q141:$Q$400&gt;$Q140,arrayformula(isnumber(FIND($E141:$E$400,AP140)))),2,false),0,1)))"),"")</f>
        <v/>
      </c>
      <c r="AW140" s="113" t="b">
        <f>IFERROR(__xludf.DUMMYFUNCTION("isnumber(find(""wild card"",join("","",filter($G$1:$G139,$D$1:$D139=D140))))"),FALSE)</f>
        <v>0</v>
      </c>
      <c r="AX140" s="113" t="str">
        <f>IFERROR(__xludf.DUMMYFUNCTION("join("","",let(confs,unique(TRANSPOSe(Teams!$1:$1)), confs_count, BYROW(confs,lambda(conf,xlookup(conf,'Conf WC Eligibility'!A:A,'Conf WC Eligibility'!C:C,,))),confs_picked,byrow(confs,lambda(conf,countif(E$1:E139,conf))),p_needs_conf_count,byrow(confs,la"&amp;"mbda(conf,counta('Draft Order'!B$2:B622)-COUNTUNIQUE(filter(D$2:D139,E$2:E139=conf)))),query({confs,confs_count,confs_picked,p_needs_conf_count},""select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1">
      <c r="A141" s="1"/>
      <c r="B141" s="1"/>
      <c r="C141" s="1"/>
      <c r="D141" s="115"/>
      <c r="E141" s="116"/>
      <c r="F141" s="77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13" t="str">
        <f>IFERROR(__xludf.DUMMYFUNCTION("iferror(join("","",index(sort(filter($F142:$F$400,$Q142:$Q$400&gt;$Q141,arrayformula(isnumber(FIND($E142:$E$400,AP141)))),2,false),0,1)))"),"")</f>
        <v/>
      </c>
      <c r="AW141" s="113" t="b">
        <f>IFERROR(__xludf.DUMMYFUNCTION("isnumber(find(""wild card"",join("","",filter($G$1:$G140,$D$1:$D140=D141))))"),FALSE)</f>
        <v>0</v>
      </c>
      <c r="AX141" s="113" t="str">
        <f>IFERROR(__xludf.DUMMYFUNCTION("join("","",let(confs,unique(TRANSPOSe(Teams!$1:$1)), confs_count, BYROW(confs,lambda(conf,xlookup(conf,'Conf WC Eligibility'!A:A,'Conf WC Eligibility'!C:C,,))),confs_picked,byrow(confs,lambda(conf,countif(E$1:E140,conf))),p_needs_conf_count,byrow(confs,la"&amp;"mbda(conf,counta('Draft Order'!B$2:B622)-COUNTUNIQUE(filter(D$2:D140,E$2:E140=conf)))),query({confs,confs_count,confs_picked,p_needs_conf_count},""select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2">
      <c r="A142" s="1"/>
      <c r="B142" s="1"/>
      <c r="C142" s="1"/>
      <c r="D142" s="115"/>
      <c r="E142" s="116"/>
      <c r="F142" s="77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13" t="str">
        <f>IFERROR(__xludf.DUMMYFUNCTION("iferror(join("","",index(sort(filter($F143:$F$400,$Q143:$Q$400&gt;$Q142,arrayformula(isnumber(FIND($E143:$E$400,AP142)))),2,false),0,1)))"),"")</f>
        <v/>
      </c>
      <c r="AW142" s="113" t="b">
        <f>IFERROR(__xludf.DUMMYFUNCTION("isnumber(find(""wild card"",join("","",filter($G$1:$G141,$D$1:$D141=D142))))"),FALSE)</f>
        <v>0</v>
      </c>
      <c r="AX142" s="113" t="str">
        <f>IFERROR(__xludf.DUMMYFUNCTION("join("","",let(confs,unique(TRANSPOSe(Teams!$1:$1)), confs_count, BYROW(confs,lambda(conf,xlookup(conf,'Conf WC Eligibility'!A:A,'Conf WC Eligibility'!C:C,,))),confs_picked,byrow(confs,lambda(conf,countif(E$1:E141,conf))),p_needs_conf_count,byrow(confs,la"&amp;"mbda(conf,counta('Draft Order'!B$2:B622)-COUNTUNIQUE(filter(D$2:D141,E$2:E141=conf)))),query({confs,confs_count,confs_picked,p_needs_conf_count},""select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3">
      <c r="A143" s="1"/>
      <c r="B143" s="1"/>
      <c r="C143" s="1"/>
      <c r="D143" s="115"/>
      <c r="E143" s="116"/>
      <c r="F143" s="77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13" t="str">
        <f>IFERROR(__xludf.DUMMYFUNCTION("iferror(join("","",index(sort(filter($F144:$F$400,$Q144:$Q$400&gt;$Q143,arrayformula(isnumber(FIND($E144:$E$400,AP143)))),2,false),0,1)))"),"")</f>
        <v/>
      </c>
      <c r="AW143" s="113" t="b">
        <f>IFERROR(__xludf.DUMMYFUNCTION("isnumber(find(""wild card"",join("","",filter($G$1:$G142,$D$1:$D142=D143))))"),FALSE)</f>
        <v>0</v>
      </c>
      <c r="AX143" s="113" t="str">
        <f>IFERROR(__xludf.DUMMYFUNCTION("join("","",let(confs,unique(TRANSPOSe(Teams!$1:$1)), confs_count, BYROW(confs,lambda(conf,xlookup(conf,'Conf WC Eligibility'!A:A,'Conf WC Eligibility'!C:C,,))),confs_picked,byrow(confs,lambda(conf,countif(E$1:E142,conf))),p_needs_conf_count,byrow(confs,la"&amp;"mbda(conf,counta('Draft Order'!B$2:B622)-COUNTUNIQUE(filter(D$2:D142,E$2:E142=conf)))),query({confs,confs_count,confs_picked,p_needs_conf_count},""select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4">
      <c r="A144" s="1"/>
      <c r="B144" s="1"/>
      <c r="C144" s="1"/>
      <c r="D144" s="115"/>
      <c r="E144" s="116"/>
      <c r="F144" s="77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13" t="str">
        <f>IFERROR(__xludf.DUMMYFUNCTION("iferror(join("","",index(sort(filter($F145:$F$400,$Q145:$Q$400&gt;$Q144,arrayformula(isnumber(FIND($E145:$E$400,AP144)))),2,false),0,1)))"),"")</f>
        <v/>
      </c>
      <c r="AW144" s="113" t="b">
        <f>IFERROR(__xludf.DUMMYFUNCTION("isnumber(find(""wild card"",join("","",filter($G$1:$G143,$D$1:$D143=D144))))"),FALSE)</f>
        <v>0</v>
      </c>
      <c r="AX144" s="113" t="str">
        <f>IFERROR(__xludf.DUMMYFUNCTION("join("","",let(confs,unique(TRANSPOSe(Teams!$1:$1)), confs_count, BYROW(confs,lambda(conf,xlookup(conf,'Conf WC Eligibility'!A:A,'Conf WC Eligibility'!C:C,,))),confs_picked,byrow(confs,lambda(conf,countif(E$1:E143,conf))),p_needs_conf_count,byrow(confs,la"&amp;"mbda(conf,counta('Draft Order'!B$2:B622)-COUNTUNIQUE(filter(D$2:D143,E$2:E143=conf)))),query({confs,confs_count,confs_picked,p_needs_conf_count},""select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5">
      <c r="A145" s="1"/>
      <c r="B145" s="1"/>
      <c r="C145" s="1"/>
      <c r="D145" s="115"/>
      <c r="E145" s="116"/>
      <c r="F145" s="77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13" t="str">
        <f>IFERROR(__xludf.DUMMYFUNCTION("iferror(join("","",index(sort(filter($F146:$F$400,$Q146:$Q$400&gt;$Q145,arrayformula(isnumber(FIND($E146:$E$400,AP145)))),2,false),0,1)))"),"")</f>
        <v/>
      </c>
      <c r="AW145" s="113" t="b">
        <f>IFERROR(__xludf.DUMMYFUNCTION("isnumber(find(""wild card"",join("","",filter($G$1:$G144,$D$1:$D144=D145))))"),FALSE)</f>
        <v>0</v>
      </c>
      <c r="AX145" s="113" t="str">
        <f>IFERROR(__xludf.DUMMYFUNCTION("join("","",let(confs,unique(TRANSPOSe(Teams!$1:$1)), confs_count, BYROW(confs,lambda(conf,xlookup(conf,'Conf WC Eligibility'!A:A,'Conf WC Eligibility'!C:C,,))),confs_picked,byrow(confs,lambda(conf,countif(E$1:E144,conf))),p_needs_conf_count,byrow(confs,la"&amp;"mbda(conf,counta('Draft Order'!B$2:B622)-COUNTUNIQUE(filter(D$2:D144,E$2:E144=conf)))),query({confs,confs_count,confs_picked,p_needs_conf_count},""select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6">
      <c r="A146" s="1"/>
      <c r="B146" s="1"/>
      <c r="C146" s="1"/>
      <c r="D146" s="115"/>
      <c r="E146" s="116"/>
      <c r="F146" s="77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13" t="str">
        <f>IFERROR(__xludf.DUMMYFUNCTION("iferror(join("","",index(sort(filter($F147:$F$400,$Q147:$Q$400&gt;$Q146,arrayformula(isnumber(FIND($E147:$E$400,AP146)))),2,false),0,1)))"),"")</f>
        <v/>
      </c>
      <c r="AW146" s="113" t="b">
        <f>IFERROR(__xludf.DUMMYFUNCTION("isnumber(find(""wild card"",join("","",filter($G$1:$G145,$D$1:$D145=D146))))"),FALSE)</f>
        <v>0</v>
      </c>
      <c r="AX146" s="113" t="str">
        <f>IFERROR(__xludf.DUMMYFUNCTION("join("","",let(confs,unique(TRANSPOSe(Teams!$1:$1)), confs_count, BYROW(confs,lambda(conf,xlookup(conf,'Conf WC Eligibility'!A:A,'Conf WC Eligibility'!C:C,,))),confs_picked,byrow(confs,lambda(conf,countif(E$1:E145,conf))),p_needs_conf_count,byrow(confs,la"&amp;"mbda(conf,counta('Draft Order'!B$2:B622)-COUNTUNIQUE(filter(D$2:D145,E$2:E145=conf)))),query({confs,confs_count,confs_picked,p_needs_conf_count},""select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7">
      <c r="A147" s="1"/>
      <c r="B147" s="1"/>
      <c r="C147" s="1"/>
      <c r="D147" s="115"/>
      <c r="E147" s="116"/>
      <c r="F147" s="77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13" t="str">
        <f>IFERROR(__xludf.DUMMYFUNCTION("iferror(join("","",index(sort(filter($F148:$F$400,$Q148:$Q$400&gt;$Q147,arrayformula(isnumber(FIND($E148:$E$400,AP147)))),2,false),0,1)))"),"")</f>
        <v/>
      </c>
      <c r="AW147" s="113" t="b">
        <f>IFERROR(__xludf.DUMMYFUNCTION("isnumber(find(""wild card"",join("","",filter($G$1:$G146,$D$1:$D146=D147))))"),FALSE)</f>
        <v>0</v>
      </c>
      <c r="AX147" s="113" t="str">
        <f>IFERROR(__xludf.DUMMYFUNCTION("join("","",let(confs,unique(TRANSPOSe(Teams!$1:$1)), confs_count, BYROW(confs,lambda(conf,xlookup(conf,'Conf WC Eligibility'!A:A,'Conf WC Eligibility'!C:C,,))),confs_picked,byrow(confs,lambda(conf,countif(E$1:E146,conf))),p_needs_conf_count,byrow(confs,la"&amp;"mbda(conf,counta('Draft Order'!B$2:B622)-COUNTUNIQUE(filter(D$2:D146,E$2:E146=conf)))),query({confs,confs_count,confs_picked,p_needs_conf_count},""select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8">
      <c r="A148" s="1"/>
      <c r="B148" s="1"/>
      <c r="C148" s="1"/>
      <c r="D148" s="115"/>
      <c r="E148" s="116"/>
      <c r="F148" s="77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13" t="str">
        <f>IFERROR(__xludf.DUMMYFUNCTION("iferror(join("","",index(sort(filter($F149:$F$400,$Q149:$Q$400&gt;$Q148,arrayformula(isnumber(FIND($E149:$E$400,AP148)))),2,false),0,1)))"),"")</f>
        <v/>
      </c>
      <c r="AW148" s="113" t="b">
        <f>IFERROR(__xludf.DUMMYFUNCTION("isnumber(find(""wild card"",join("","",filter($G$1:$G147,$D$1:$D147=D148))))"),FALSE)</f>
        <v>0</v>
      </c>
      <c r="AX148" s="113" t="str">
        <f>IFERROR(__xludf.DUMMYFUNCTION("join("","",let(confs,unique(TRANSPOSe(Teams!$1:$1)), confs_count, BYROW(confs,lambda(conf,xlookup(conf,'Conf WC Eligibility'!A:A,'Conf WC Eligibility'!C:C,,))),confs_picked,byrow(confs,lambda(conf,countif(E$1:E147,conf))),p_needs_conf_count,byrow(confs,la"&amp;"mbda(conf,counta('Draft Order'!B$2:B622)-COUNTUNIQUE(filter(D$2:D147,E$2:E147=conf)))),query({confs,confs_count,confs_picked,p_needs_conf_count},""select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49">
      <c r="A149" s="1"/>
      <c r="B149" s="1"/>
      <c r="C149" s="1"/>
      <c r="D149" s="115"/>
      <c r="E149" s="116"/>
      <c r="F149" s="77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13" t="str">
        <f>IFERROR(__xludf.DUMMYFUNCTION("iferror(join("","",index(sort(filter($F150:$F$400,$Q150:$Q$400&gt;$Q149,arrayformula(isnumber(FIND($E150:$E$400,AP149)))),2,false),0,1)))"),"")</f>
        <v/>
      </c>
      <c r="AW149" s="113" t="b">
        <f>IFERROR(__xludf.DUMMYFUNCTION("isnumber(find(""wild card"",join("","",filter($G$1:$G148,$D$1:$D148=D149))))"),FALSE)</f>
        <v>0</v>
      </c>
      <c r="AX149" s="113" t="str">
        <f>IFERROR(__xludf.DUMMYFUNCTION("join("","",let(confs,unique(TRANSPOSe(Teams!$1:$1)), confs_count, BYROW(confs,lambda(conf,xlookup(conf,'Conf WC Eligibility'!A:A,'Conf WC Eligibility'!C:C,,))),confs_picked,byrow(confs,lambda(conf,countif(E$1:E148,conf))),p_needs_conf_count,byrow(confs,la"&amp;"mbda(conf,counta('Draft Order'!B$2:B622)-COUNTUNIQUE(filter(D$2:D148,E$2:E148=conf)))),query({confs,confs_count,confs_picked,p_needs_conf_count},""select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0">
      <c r="A150" s="1"/>
      <c r="B150" s="1"/>
      <c r="C150" s="1"/>
      <c r="D150" s="115"/>
      <c r="E150" s="116"/>
      <c r="F150" s="77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13" t="str">
        <f>IFERROR(__xludf.DUMMYFUNCTION("iferror(join("","",index(sort(filter($F151:$F$400,$Q151:$Q$400&gt;$Q150,arrayformula(isnumber(FIND($E151:$E$400,AP150)))),2,false),0,1)))"),"")</f>
        <v/>
      </c>
      <c r="AW150" s="113" t="b">
        <f>IFERROR(__xludf.DUMMYFUNCTION("isnumber(find(""wild card"",join("","",filter($G$1:$G149,$D$1:$D149=D150))))"),FALSE)</f>
        <v>0</v>
      </c>
      <c r="AX150" s="113" t="str">
        <f>IFERROR(__xludf.DUMMYFUNCTION("join("","",let(confs,unique(TRANSPOSe(Teams!$1:$1)), confs_count, BYROW(confs,lambda(conf,xlookup(conf,'Conf WC Eligibility'!A:A,'Conf WC Eligibility'!C:C,,))),confs_picked,byrow(confs,lambda(conf,countif(E$1:E149,conf))),p_needs_conf_count,byrow(confs,la"&amp;"mbda(conf,counta('Draft Order'!B$2:B622)-COUNTUNIQUE(filter(D$2:D149,E$2:E149=conf)))),query({confs,confs_count,confs_picked,p_needs_conf_count},""select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1">
      <c r="A151" s="1"/>
      <c r="B151" s="1"/>
      <c r="C151" s="1"/>
      <c r="D151" s="115"/>
      <c r="E151" s="116"/>
      <c r="F151" s="77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13" t="str">
        <f>IFERROR(__xludf.DUMMYFUNCTION("iferror(join("","",index(sort(filter($F152:$F$400,$Q152:$Q$400&gt;$Q151,arrayformula(isnumber(FIND($E152:$E$400,AP151)))),2,false),0,1)))"),"")</f>
        <v/>
      </c>
      <c r="AW151" s="113" t="b">
        <f>IFERROR(__xludf.DUMMYFUNCTION("isnumber(find(""wild card"",join("","",filter($G$1:$G150,$D$1:$D150=D151))))"),FALSE)</f>
        <v>0</v>
      </c>
      <c r="AX151" s="113" t="str">
        <f>IFERROR(__xludf.DUMMYFUNCTION("join("","",let(confs,unique(TRANSPOSe(Teams!$1:$1)), confs_count, BYROW(confs,lambda(conf,xlookup(conf,'Conf WC Eligibility'!A:A,'Conf WC Eligibility'!C:C,,))),confs_picked,byrow(confs,lambda(conf,countif(E$1:E150,conf))),p_needs_conf_count,byrow(confs,la"&amp;"mbda(conf,counta('Draft Order'!B$2:B622)-COUNTUNIQUE(filter(D$2:D150,E$2:E150=conf)))),query({confs,confs_count,confs_picked,p_needs_conf_count},""select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2">
      <c r="A152" s="1"/>
      <c r="B152" s="1"/>
      <c r="C152" s="1"/>
      <c r="D152" s="115"/>
      <c r="E152" s="116"/>
      <c r="F152" s="77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13" t="str">
        <f>IFERROR(__xludf.DUMMYFUNCTION("iferror(join("","",index(sort(filter($F153:$F$400,$Q153:$Q$400&gt;$Q152,arrayformula(isnumber(FIND($E153:$E$400,AP152)))),2,false),0,1)))"),"")</f>
        <v/>
      </c>
      <c r="AW152" s="113" t="b">
        <f>IFERROR(__xludf.DUMMYFUNCTION("isnumber(find(""wild card"",join("","",filter($G$1:$G151,$D$1:$D151=D152))))"),FALSE)</f>
        <v>0</v>
      </c>
      <c r="AX152" s="113" t="str">
        <f>IFERROR(__xludf.DUMMYFUNCTION("join("","",let(confs,unique(TRANSPOSe(Teams!$1:$1)), confs_count, BYROW(confs,lambda(conf,xlookup(conf,'Conf WC Eligibility'!A:A,'Conf WC Eligibility'!C:C,,))),confs_picked,byrow(confs,lambda(conf,countif(E$1:E151,conf))),p_needs_conf_count,byrow(confs,la"&amp;"mbda(conf,counta('Draft Order'!B$2:B622)-COUNTUNIQUE(filter(D$2:D151,E$2:E151=conf)))),query({confs,confs_count,confs_picked,p_needs_conf_count},""select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3">
      <c r="A153" s="1"/>
      <c r="B153" s="1"/>
      <c r="C153" s="1"/>
      <c r="D153" s="115"/>
      <c r="E153" s="116"/>
      <c r="F153" s="77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13" t="str">
        <f>IFERROR(__xludf.DUMMYFUNCTION("iferror(join("","",index(sort(filter($F154:$F$400,$Q154:$Q$400&gt;$Q153,arrayformula(isnumber(FIND($E154:$E$400,AP153)))),2,false),0,1)))"),"")</f>
        <v/>
      </c>
      <c r="AW153" s="113" t="b">
        <f>IFERROR(__xludf.DUMMYFUNCTION("isnumber(find(""wild card"",join("","",filter($G$1:$G152,$D$1:$D152=D153))))"),FALSE)</f>
        <v>0</v>
      </c>
      <c r="AX153" s="113" t="str">
        <f>IFERROR(__xludf.DUMMYFUNCTION("join("","",let(confs,unique(TRANSPOSe(Teams!$1:$1)), confs_count, BYROW(confs,lambda(conf,xlookup(conf,'Conf WC Eligibility'!A:A,'Conf WC Eligibility'!C:C,,))),confs_picked,byrow(confs,lambda(conf,countif(E$1:E152,conf))),p_needs_conf_count,byrow(confs,la"&amp;"mbda(conf,counta('Draft Order'!B$2:B622)-COUNTUNIQUE(filter(D$2:D152,E$2:E152=conf)))),query({confs,confs_count,confs_picked,p_needs_conf_count},""select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4">
      <c r="A154" s="1"/>
      <c r="B154" s="1"/>
      <c r="C154" s="1"/>
      <c r="D154" s="115"/>
      <c r="E154" s="116"/>
      <c r="F154" s="77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13" t="str">
        <f>IFERROR(__xludf.DUMMYFUNCTION("iferror(join("","",index(sort(filter($F155:$F$400,$Q155:$Q$400&gt;$Q154,arrayformula(isnumber(FIND($E155:$E$400,AP154)))),2,false),0,1)))"),"")</f>
        <v/>
      </c>
      <c r="AW154" s="113" t="b">
        <f>IFERROR(__xludf.DUMMYFUNCTION("isnumber(find(""wild card"",join("","",filter($G$1:$G153,$D$1:$D153=D154))))"),FALSE)</f>
        <v>0</v>
      </c>
      <c r="AX154" s="113" t="str">
        <f>IFERROR(__xludf.DUMMYFUNCTION("join("","",let(confs,unique(TRANSPOSe(Teams!$1:$1)), confs_count, BYROW(confs,lambda(conf,xlookup(conf,'Conf WC Eligibility'!A:A,'Conf WC Eligibility'!C:C,,))),confs_picked,byrow(confs,lambda(conf,countif(E$1:E153,conf))),p_needs_conf_count,byrow(confs,la"&amp;"mbda(conf,counta('Draft Order'!B$2:B622)-COUNTUNIQUE(filter(D$2:D153,E$2:E153=conf)))),query({confs,confs_count,confs_picked,p_needs_conf_count},""select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5">
      <c r="A155" s="1"/>
      <c r="B155" s="1"/>
      <c r="C155" s="1"/>
      <c r="D155" s="115"/>
      <c r="E155" s="116"/>
      <c r="F155" s="77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13" t="str">
        <f>IFERROR(__xludf.DUMMYFUNCTION("iferror(join("","",index(sort(filter($F156:$F$400,$Q156:$Q$400&gt;$Q155,arrayformula(isnumber(FIND($E156:$E$400,AP155)))),2,false),0,1)))"),"")</f>
        <v/>
      </c>
      <c r="AW155" s="113" t="b">
        <f>IFERROR(__xludf.DUMMYFUNCTION("isnumber(find(""wild card"",join("","",filter($G$1:$G154,$D$1:$D154=D155))))"),FALSE)</f>
        <v>0</v>
      </c>
      <c r="AX155" s="113" t="str">
        <f>IFERROR(__xludf.DUMMYFUNCTION("join("","",let(confs,unique(TRANSPOSe(Teams!$1:$1)), confs_count, BYROW(confs,lambda(conf,xlookup(conf,'Conf WC Eligibility'!A:A,'Conf WC Eligibility'!C:C,,))),confs_picked,byrow(confs,lambda(conf,countif(E$1:E154,conf))),p_needs_conf_count,byrow(confs,la"&amp;"mbda(conf,counta('Draft Order'!B$2:B622)-COUNTUNIQUE(filter(D$2:D154,E$2:E154=conf)))),query({confs,confs_count,confs_picked,p_needs_conf_count},""select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6">
      <c r="A156" s="1"/>
      <c r="B156" s="1"/>
      <c r="C156" s="1"/>
      <c r="D156" s="115"/>
      <c r="E156" s="116"/>
      <c r="F156" s="77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13" t="str">
        <f>IFERROR(__xludf.DUMMYFUNCTION("iferror(join("","",index(sort(filter($F157:$F$400,$Q157:$Q$400&gt;$Q156,arrayformula(isnumber(FIND($E157:$E$400,AP156)))),2,false),0,1)))"),"")</f>
        <v/>
      </c>
      <c r="AW156" s="113" t="b">
        <f>IFERROR(__xludf.DUMMYFUNCTION("isnumber(find(""wild card"",join("","",filter($G$1:$G155,$D$1:$D155=D156))))"),FALSE)</f>
        <v>0</v>
      </c>
      <c r="AX156" s="113" t="str">
        <f>IFERROR(__xludf.DUMMYFUNCTION("join("","",let(confs,unique(TRANSPOSe(Teams!$1:$1)), confs_count, BYROW(confs,lambda(conf,xlookup(conf,'Conf WC Eligibility'!A:A,'Conf WC Eligibility'!C:C,,))),confs_picked,byrow(confs,lambda(conf,countif(E$1:E155,conf))),p_needs_conf_count,byrow(confs,la"&amp;"mbda(conf,counta('Draft Order'!B$2:B622)-COUNTUNIQUE(filter(D$2:D155,E$2:E155=conf)))),query({confs,confs_count,confs_picked,p_needs_conf_count},""select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7">
      <c r="A157" s="1"/>
      <c r="B157" s="1"/>
      <c r="C157" s="1"/>
      <c r="D157" s="115"/>
      <c r="E157" s="116"/>
      <c r="F157" s="77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13" t="str">
        <f>IFERROR(__xludf.DUMMYFUNCTION("iferror(join("","",index(sort(filter($F158:$F$400,$Q158:$Q$400&gt;$Q157,arrayformula(isnumber(FIND($E158:$E$400,AP157)))),2,false),0,1)))"),"")</f>
        <v/>
      </c>
      <c r="AW157" s="113" t="b">
        <f>IFERROR(__xludf.DUMMYFUNCTION("isnumber(find(""wild card"",join("","",filter($G$1:$G156,$D$1:$D156=D157))))"),FALSE)</f>
        <v>0</v>
      </c>
      <c r="AX157" s="113" t="str">
        <f>IFERROR(__xludf.DUMMYFUNCTION("join("","",let(confs,unique(TRANSPOSe(Teams!$1:$1)), confs_count, BYROW(confs,lambda(conf,xlookup(conf,'Conf WC Eligibility'!A:A,'Conf WC Eligibility'!C:C,,))),confs_picked,byrow(confs,lambda(conf,countif(E$1:E156,conf))),p_needs_conf_count,byrow(confs,la"&amp;"mbda(conf,counta('Draft Order'!B$2:B622)-COUNTUNIQUE(filter(D$2:D156,E$2:E156=conf)))),query({confs,confs_count,confs_picked,p_needs_conf_count},""select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8">
      <c r="A158" s="1"/>
      <c r="B158" s="1"/>
      <c r="C158" s="1"/>
      <c r="D158" s="115"/>
      <c r="E158" s="116"/>
      <c r="F158" s="77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13" t="str">
        <f>IFERROR(__xludf.DUMMYFUNCTION("iferror(join("","",index(sort(filter($F159:$F$400,$Q159:$Q$400&gt;$Q158,arrayformula(isnumber(FIND($E159:$E$400,AP158)))),2,false),0,1)))"),"")</f>
        <v/>
      </c>
      <c r="AW158" s="113" t="b">
        <f>IFERROR(__xludf.DUMMYFUNCTION("isnumber(find(""wild card"",join("","",filter($G$1:$G157,$D$1:$D157=D158))))"),FALSE)</f>
        <v>0</v>
      </c>
      <c r="AX158" s="113" t="str">
        <f>IFERROR(__xludf.DUMMYFUNCTION("join("","",let(confs,unique(TRANSPOSe(Teams!$1:$1)), confs_count, BYROW(confs,lambda(conf,xlookup(conf,'Conf WC Eligibility'!A:A,'Conf WC Eligibility'!C:C,,))),confs_picked,byrow(confs,lambda(conf,countif(E$1:E157,conf))),p_needs_conf_count,byrow(confs,la"&amp;"mbda(conf,counta('Draft Order'!B$2:B622)-COUNTUNIQUE(filter(D$2:D157,E$2:E157=conf)))),query({confs,confs_count,confs_picked,p_needs_conf_count},""select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59">
      <c r="A159" s="1"/>
      <c r="B159" s="1"/>
      <c r="C159" s="1"/>
      <c r="D159" s="115"/>
      <c r="E159" s="116"/>
      <c r="F159" s="77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13" t="str">
        <f>IFERROR(__xludf.DUMMYFUNCTION("iferror(join("","",index(sort(filter($F160:$F$400,$Q160:$Q$400&gt;$Q159,arrayformula(isnumber(FIND($E160:$E$400,AP159)))),2,false),0,1)))"),"")</f>
        <v/>
      </c>
      <c r="AW159" s="113" t="b">
        <f>IFERROR(__xludf.DUMMYFUNCTION("isnumber(find(""wild card"",join("","",filter($G$1:$G158,$D$1:$D158=D159))))"),FALSE)</f>
        <v>0</v>
      </c>
      <c r="AX159" s="113" t="str">
        <f>IFERROR(__xludf.DUMMYFUNCTION("join("","",let(confs,unique(TRANSPOSe(Teams!$1:$1)), confs_count, BYROW(confs,lambda(conf,xlookup(conf,'Conf WC Eligibility'!A:A,'Conf WC Eligibility'!C:C,,))),confs_picked,byrow(confs,lambda(conf,countif(E$1:E158,conf))),p_needs_conf_count,byrow(confs,la"&amp;"mbda(conf,counta('Draft Order'!B$2:B622)-COUNTUNIQUE(filter(D$2:D158,E$2:E158=conf)))),query({confs,confs_count,confs_picked,p_needs_conf_count},""select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0">
      <c r="A160" s="1"/>
      <c r="B160" s="1"/>
      <c r="C160" s="1"/>
      <c r="D160" s="115"/>
      <c r="E160" s="116"/>
      <c r="F160" s="77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13" t="str">
        <f>IFERROR(__xludf.DUMMYFUNCTION("iferror(join("","",index(sort(filter($F161:$F$400,$Q161:$Q$400&gt;$Q160,arrayformula(isnumber(FIND($E161:$E$400,AP160)))),2,false),0,1)))"),"")</f>
        <v/>
      </c>
      <c r="AW160" s="113" t="b">
        <f>IFERROR(__xludf.DUMMYFUNCTION("isnumber(find(""wild card"",join("","",filter($G$1:$G159,$D$1:$D159=D160))))"),FALSE)</f>
        <v>0</v>
      </c>
      <c r="AX160" s="113" t="str">
        <f>IFERROR(__xludf.DUMMYFUNCTION("join("","",let(confs,unique(TRANSPOSe(Teams!$1:$1)), confs_count, BYROW(confs,lambda(conf,xlookup(conf,'Conf WC Eligibility'!A:A,'Conf WC Eligibility'!C:C,,))),confs_picked,byrow(confs,lambda(conf,countif(E$1:E159,conf))),p_needs_conf_count,byrow(confs,la"&amp;"mbda(conf,counta('Draft Order'!B$2:B622)-COUNTUNIQUE(filter(D$2:D159,E$2:E159=conf)))),query({confs,confs_count,confs_picked,p_needs_conf_count},""select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1">
      <c r="A161" s="1"/>
      <c r="B161" s="1"/>
      <c r="C161" s="1"/>
      <c r="D161" s="115"/>
      <c r="E161" s="116"/>
      <c r="F161" s="77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13" t="str">
        <f>IFERROR(__xludf.DUMMYFUNCTION("iferror(join("","",index(sort(filter($F162:$F$400,$Q162:$Q$400&gt;$Q161,arrayformula(isnumber(FIND($E162:$E$400,AP161)))),2,false),0,1)))"),"")</f>
        <v/>
      </c>
      <c r="AW161" s="113" t="b">
        <f>IFERROR(__xludf.DUMMYFUNCTION("isnumber(find(""wild card"",join("","",filter($G$1:$G160,$D$1:$D160=D161))))"),FALSE)</f>
        <v>0</v>
      </c>
      <c r="AX161" s="113" t="str">
        <f>IFERROR(__xludf.DUMMYFUNCTION("join("","",let(confs,unique(TRANSPOSe(Teams!$1:$1)), confs_count, BYROW(confs,lambda(conf,xlookup(conf,'Conf WC Eligibility'!A:A,'Conf WC Eligibility'!C:C,,))),confs_picked,byrow(confs,lambda(conf,countif(E$1:E160,conf))),p_needs_conf_count,byrow(confs,la"&amp;"mbda(conf,counta('Draft Order'!B$2:B622)-COUNTUNIQUE(filter(D$2:D160,E$2:E160=conf)))),query({confs,confs_count,confs_picked,p_needs_conf_count},""select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2">
      <c r="A162" s="1"/>
      <c r="B162" s="1"/>
      <c r="C162" s="1"/>
      <c r="D162" s="115"/>
      <c r="E162" s="116"/>
      <c r="F162" s="77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13" t="str">
        <f>IFERROR(__xludf.DUMMYFUNCTION("iferror(join("","",index(sort(filter($F163:$F$400,$Q163:$Q$400&gt;$Q162,arrayformula(isnumber(FIND($E163:$E$400,AP162)))),2,false),0,1)))"),"")</f>
        <v/>
      </c>
      <c r="AW162" s="113" t="b">
        <f>IFERROR(__xludf.DUMMYFUNCTION("isnumber(find(""wild card"",join("","",filter($G$1:$G161,$D$1:$D161=D162))))"),FALSE)</f>
        <v>0</v>
      </c>
      <c r="AX162" s="113" t="str">
        <f>IFERROR(__xludf.DUMMYFUNCTION("join("","",let(confs,unique(TRANSPOSe(Teams!$1:$1)), confs_count, BYROW(confs,lambda(conf,xlookup(conf,'Conf WC Eligibility'!A:A,'Conf WC Eligibility'!C:C,,))),confs_picked,byrow(confs,lambda(conf,countif(E$1:E161,conf))),p_needs_conf_count,byrow(confs,la"&amp;"mbda(conf,counta('Draft Order'!B$2:B622)-COUNTUNIQUE(filter(D$2:D161,E$2:E161=conf)))),query({confs,confs_count,confs_picked,p_needs_conf_count},""select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3">
      <c r="A163" s="1"/>
      <c r="B163" s="1"/>
      <c r="C163" s="1"/>
      <c r="D163" s="115"/>
      <c r="E163" s="116"/>
      <c r="F163" s="77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13" t="str">
        <f>IFERROR(__xludf.DUMMYFUNCTION("iferror(join("","",index(sort(filter($F164:$F$400,$Q164:$Q$400&gt;$Q163,arrayformula(isnumber(FIND($E164:$E$400,AP163)))),2,false),0,1)))"),"")</f>
        <v/>
      </c>
      <c r="AW163" s="113" t="b">
        <f>IFERROR(__xludf.DUMMYFUNCTION("isnumber(find(""wild card"",join("","",filter($G$1:$G162,$D$1:$D162=D163))))"),FALSE)</f>
        <v>0</v>
      </c>
      <c r="AX163" s="113" t="str">
        <f>IFERROR(__xludf.DUMMYFUNCTION("join("","",let(confs,unique(TRANSPOSe(Teams!$1:$1)), confs_count, BYROW(confs,lambda(conf,xlookup(conf,'Conf WC Eligibility'!A:A,'Conf WC Eligibility'!C:C,,))),confs_picked,byrow(confs,lambda(conf,countif(E$1:E162,conf))),p_needs_conf_count,byrow(confs,la"&amp;"mbda(conf,counta('Draft Order'!B$2:B622)-COUNTUNIQUE(filter(D$2:D162,E$2:E162=conf)))),query({confs,confs_count,confs_picked,p_needs_conf_count},""select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4">
      <c r="A164" s="1"/>
      <c r="B164" s="1"/>
      <c r="C164" s="1"/>
      <c r="D164" s="115"/>
      <c r="E164" s="116"/>
      <c r="F164" s="77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13" t="str">
        <f>IFERROR(__xludf.DUMMYFUNCTION("iferror(join("","",index(sort(filter($F165:$F$400,$Q165:$Q$400&gt;$Q164,arrayformula(isnumber(FIND($E165:$E$400,AP164)))),2,false),0,1)))"),"")</f>
        <v/>
      </c>
      <c r="AW164" s="113" t="b">
        <f>IFERROR(__xludf.DUMMYFUNCTION("isnumber(find(""wild card"",join("","",filter($G$1:$G163,$D$1:$D163=D164))))"),FALSE)</f>
        <v>0</v>
      </c>
      <c r="AX164" s="113" t="str">
        <f>IFERROR(__xludf.DUMMYFUNCTION("join("","",let(confs,unique(TRANSPOSe(Teams!$1:$1)), confs_count, BYROW(confs,lambda(conf,xlookup(conf,'Conf WC Eligibility'!A:A,'Conf WC Eligibility'!C:C,,))),confs_picked,byrow(confs,lambda(conf,countif(E$1:E163,conf))),p_needs_conf_count,byrow(confs,la"&amp;"mbda(conf,counta('Draft Order'!B$2:B622)-COUNTUNIQUE(filter(D$2:D163,E$2:E163=conf)))),query({confs,confs_count,confs_picked,p_needs_conf_count},""select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5">
      <c r="A165" s="1"/>
      <c r="B165" s="1"/>
      <c r="C165" s="1"/>
      <c r="D165" s="115"/>
      <c r="E165" s="116"/>
      <c r="F165" s="77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13" t="str">
        <f>IFERROR(__xludf.DUMMYFUNCTION("iferror(join("","",index(sort(filter($F166:$F$400,$Q166:$Q$400&gt;$Q165,arrayformula(isnumber(FIND($E166:$E$400,AP165)))),2,false),0,1)))"),"")</f>
        <v/>
      </c>
      <c r="AW165" s="113" t="b">
        <f>IFERROR(__xludf.DUMMYFUNCTION("isnumber(find(""wild card"",join("","",filter($G$1:$G164,$D$1:$D164=D165))))"),FALSE)</f>
        <v>0</v>
      </c>
      <c r="AX165" s="113" t="str">
        <f>IFERROR(__xludf.DUMMYFUNCTION("join("","",let(confs,unique(TRANSPOSe(Teams!$1:$1)), confs_count, BYROW(confs,lambda(conf,xlookup(conf,'Conf WC Eligibility'!A:A,'Conf WC Eligibility'!C:C,,))),confs_picked,byrow(confs,lambda(conf,countif(E$1:E164,conf))),p_needs_conf_count,byrow(confs,la"&amp;"mbda(conf,counta('Draft Order'!B$2:B622)-COUNTUNIQUE(filter(D$2:D164,E$2:E164=conf)))),query({confs,confs_count,confs_picked,p_needs_conf_count},""select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6">
      <c r="A166" s="1"/>
      <c r="B166" s="1"/>
      <c r="C166" s="1"/>
      <c r="D166" s="115"/>
      <c r="E166" s="116"/>
      <c r="F166" s="77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13" t="str">
        <f>IFERROR(__xludf.DUMMYFUNCTION("iferror(join("","",index(sort(filter($F167:$F$400,$Q167:$Q$400&gt;$Q166,arrayformula(isnumber(FIND($E167:$E$400,AP166)))),2,false),0,1)))"),"")</f>
        <v/>
      </c>
      <c r="AW166" s="113" t="b">
        <f>IFERROR(__xludf.DUMMYFUNCTION("isnumber(find(""wild card"",join("","",filter($G$1:$G165,$D$1:$D165=D166))))"),FALSE)</f>
        <v>0</v>
      </c>
      <c r="AX166" s="113" t="str">
        <f>IFERROR(__xludf.DUMMYFUNCTION("join("","",let(confs,unique(TRANSPOSe(Teams!$1:$1)), confs_count, BYROW(confs,lambda(conf,xlookup(conf,'Conf WC Eligibility'!A:A,'Conf WC Eligibility'!C:C,,))),confs_picked,byrow(confs,lambda(conf,countif(E$1:E165,conf))),p_needs_conf_count,byrow(confs,la"&amp;"mbda(conf,counta('Draft Order'!B$2:B622)-COUNTUNIQUE(filter(D$2:D165,E$2:E165=conf)))),query({confs,confs_count,confs_picked,p_needs_conf_count},""select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7">
      <c r="A167" s="1"/>
      <c r="B167" s="1"/>
      <c r="C167" s="1"/>
      <c r="D167" s="115"/>
      <c r="E167" s="116"/>
      <c r="F167" s="77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13" t="str">
        <f>IFERROR(__xludf.DUMMYFUNCTION("iferror(join("","",index(sort(filter($F168:$F$400,$Q168:$Q$400&gt;$Q167,arrayformula(isnumber(FIND($E168:$E$400,AP167)))),2,false),0,1)))"),"")</f>
        <v/>
      </c>
      <c r="AW167" s="113" t="b">
        <f>IFERROR(__xludf.DUMMYFUNCTION("isnumber(find(""wild card"",join("","",filter($G$1:$G166,$D$1:$D166=D167))))"),FALSE)</f>
        <v>0</v>
      </c>
      <c r="AX167" s="113" t="str">
        <f>IFERROR(__xludf.DUMMYFUNCTION("join("","",let(confs,unique(TRANSPOSe(Teams!$1:$1)), confs_count, BYROW(confs,lambda(conf,xlookup(conf,'Conf WC Eligibility'!A:A,'Conf WC Eligibility'!C:C,,))),confs_picked,byrow(confs,lambda(conf,countif(E$1:E166,conf))),p_needs_conf_count,byrow(confs,la"&amp;"mbda(conf,counta('Draft Order'!B$2:B622)-COUNTUNIQUE(filter(D$2:D166,E$2:E166=conf)))),query({confs,confs_count,confs_picked,p_needs_conf_count},""select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8">
      <c r="A168" s="1"/>
      <c r="B168" s="1"/>
      <c r="C168" s="1"/>
      <c r="D168" s="115"/>
      <c r="E168" s="116"/>
      <c r="F168" s="77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13" t="str">
        <f>IFERROR(__xludf.DUMMYFUNCTION("iferror(join("","",index(sort(filter($F169:$F$400,$Q169:$Q$400&gt;$Q168,arrayformula(isnumber(FIND($E169:$E$400,AP168)))),2,false),0,1)))"),"")</f>
        <v/>
      </c>
      <c r="AW168" s="113" t="b">
        <f>IFERROR(__xludf.DUMMYFUNCTION("isnumber(find(""wild card"",join("","",filter($G$1:$G167,$D$1:$D167=D168))))"),FALSE)</f>
        <v>0</v>
      </c>
      <c r="AX168" s="113" t="str">
        <f>IFERROR(__xludf.DUMMYFUNCTION("join("","",let(confs,unique(TRANSPOSe(Teams!$1:$1)), confs_count, BYROW(confs,lambda(conf,xlookup(conf,'Conf WC Eligibility'!A:A,'Conf WC Eligibility'!C:C,,))),confs_picked,byrow(confs,lambda(conf,countif(E$1:E167,conf))),p_needs_conf_count,byrow(confs,la"&amp;"mbda(conf,counta('Draft Order'!B$2:B622)-COUNTUNIQUE(filter(D$2:D167,E$2:E167=conf)))),query({confs,confs_count,confs_picked,p_needs_conf_count},""select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69">
      <c r="A169" s="1"/>
      <c r="B169" s="1"/>
      <c r="C169" s="1"/>
      <c r="D169" s="115"/>
      <c r="E169" s="116"/>
      <c r="F169" s="77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13" t="str">
        <f>IFERROR(__xludf.DUMMYFUNCTION("iferror(join("","",index(sort(filter($F170:$F$400,$Q170:$Q$400&gt;$Q169,arrayformula(isnumber(FIND($E170:$E$400,AP169)))),2,false),0,1)))"),"")</f>
        <v/>
      </c>
      <c r="AW169" s="113" t="b">
        <f>IFERROR(__xludf.DUMMYFUNCTION("isnumber(find(""wild card"",join("","",filter($G$1:$G168,$D$1:$D168=D169))))"),FALSE)</f>
        <v>0</v>
      </c>
      <c r="AX169" s="113" t="str">
        <f>IFERROR(__xludf.DUMMYFUNCTION("join("","",let(confs,unique(TRANSPOSe(Teams!$1:$1)), confs_count, BYROW(confs,lambda(conf,xlookup(conf,'Conf WC Eligibility'!A:A,'Conf WC Eligibility'!C:C,,))),confs_picked,byrow(confs,lambda(conf,countif(E$1:E168,conf))),p_needs_conf_count,byrow(confs,la"&amp;"mbda(conf,counta('Draft Order'!B$2:B622)-COUNTUNIQUE(filter(D$2:D168,E$2:E168=conf)))),query({confs,confs_count,confs_picked,p_needs_conf_count},""select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0">
      <c r="A170" s="1"/>
      <c r="B170" s="1"/>
      <c r="C170" s="1"/>
      <c r="D170" s="115"/>
      <c r="E170" s="116"/>
      <c r="F170" s="77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13" t="str">
        <f>IFERROR(__xludf.DUMMYFUNCTION("iferror(join("","",index(sort(filter($F171:$F$400,$Q171:$Q$400&gt;$Q170,arrayformula(isnumber(FIND($E171:$E$400,AP170)))),2,false),0,1)))"),"")</f>
        <v/>
      </c>
      <c r="AW170" s="113" t="b">
        <f>IFERROR(__xludf.DUMMYFUNCTION("isnumber(find(""wild card"",join("","",filter($G$1:$G169,$D$1:$D169=D170))))"),FALSE)</f>
        <v>0</v>
      </c>
      <c r="AX170" s="113" t="str">
        <f>IFERROR(__xludf.DUMMYFUNCTION("join("","",let(confs,unique(TRANSPOSe(Teams!$1:$1)), confs_count, BYROW(confs,lambda(conf,xlookup(conf,'Conf WC Eligibility'!A:A,'Conf WC Eligibility'!C:C,,))),confs_picked,byrow(confs,lambda(conf,countif(E$1:E169,conf))),p_needs_conf_count,byrow(confs,la"&amp;"mbda(conf,counta('Draft Order'!B$2:B622)-COUNTUNIQUE(filter(D$2:D169,E$2:E169=conf)))),query({confs,confs_count,confs_picked,p_needs_conf_count},""select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1">
      <c r="A171" s="1"/>
      <c r="B171" s="1"/>
      <c r="C171" s="1"/>
      <c r="D171" s="115"/>
      <c r="E171" s="116"/>
      <c r="F171" s="77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13" t="str">
        <f>IFERROR(__xludf.DUMMYFUNCTION("iferror(join("","",index(sort(filter($F172:$F$400,$Q172:$Q$400&gt;$Q171,arrayformula(isnumber(FIND($E172:$E$400,AP171)))),2,false),0,1)))"),"")</f>
        <v/>
      </c>
      <c r="AW171" s="113" t="b">
        <f>IFERROR(__xludf.DUMMYFUNCTION("isnumber(find(""wild card"",join("","",filter($G$1:$G170,$D$1:$D170=D171))))"),FALSE)</f>
        <v>0</v>
      </c>
      <c r="AX171" s="113" t="str">
        <f>IFERROR(__xludf.DUMMYFUNCTION("join("","",let(confs,unique(TRANSPOSe(Teams!$1:$1)), confs_count, BYROW(confs,lambda(conf,xlookup(conf,'Conf WC Eligibility'!A:A,'Conf WC Eligibility'!C:C,,))),confs_picked,byrow(confs,lambda(conf,countif(E$1:E170,conf))),p_needs_conf_count,byrow(confs,la"&amp;"mbda(conf,counta('Draft Order'!B$2:B622)-COUNTUNIQUE(filter(D$2:D170,E$2:E170=conf)))),query({confs,confs_count,confs_picked,p_needs_conf_count},""select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2">
      <c r="A172" s="1"/>
      <c r="B172" s="1"/>
      <c r="C172" s="1"/>
      <c r="D172" s="115"/>
      <c r="E172" s="116"/>
      <c r="F172" s="77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13" t="str">
        <f>IFERROR(__xludf.DUMMYFUNCTION("iferror(join("","",index(sort(filter($F173:$F$400,$Q173:$Q$400&gt;$Q172,arrayformula(isnumber(FIND($E173:$E$400,AP172)))),2,false),0,1)))"),"")</f>
        <v/>
      </c>
      <c r="AW172" s="113" t="b">
        <f>IFERROR(__xludf.DUMMYFUNCTION("isnumber(find(""wild card"",join("","",filter($G$1:$G171,$D$1:$D171=D172))))"),FALSE)</f>
        <v>0</v>
      </c>
      <c r="AX172" s="113" t="str">
        <f>IFERROR(__xludf.DUMMYFUNCTION("join("","",let(confs,unique(TRANSPOSe(Teams!$1:$1)), confs_count, BYROW(confs,lambda(conf,xlookup(conf,'Conf WC Eligibility'!A:A,'Conf WC Eligibility'!C:C,,))),confs_picked,byrow(confs,lambda(conf,countif(E$1:E171,conf))),p_needs_conf_count,byrow(confs,la"&amp;"mbda(conf,counta('Draft Order'!B$2:B622)-COUNTUNIQUE(filter(D$2:D171,E$2:E171=conf)))),query({confs,confs_count,confs_picked,p_needs_conf_count},""select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3">
      <c r="A173" s="1"/>
      <c r="B173" s="1"/>
      <c r="C173" s="1"/>
      <c r="D173" s="115"/>
      <c r="E173" s="116"/>
      <c r="F173" s="77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13" t="str">
        <f>IFERROR(__xludf.DUMMYFUNCTION("iferror(join("","",index(sort(filter($F174:$F$400,$Q174:$Q$400&gt;$Q173,arrayformula(isnumber(FIND($E174:$E$400,AP173)))),2,false),0,1)))"),"")</f>
        <v/>
      </c>
      <c r="AW173" s="113" t="b">
        <f>IFERROR(__xludf.DUMMYFUNCTION("isnumber(find(""wild card"",join("","",filter($G$1:$G172,$D$1:$D172=D173))))"),FALSE)</f>
        <v>0</v>
      </c>
      <c r="AX173" s="113" t="str">
        <f>IFERROR(__xludf.DUMMYFUNCTION("join("","",let(confs,unique(TRANSPOSe(Teams!$1:$1)), confs_count, BYROW(confs,lambda(conf,xlookup(conf,'Conf WC Eligibility'!A:A,'Conf WC Eligibility'!C:C,,))),confs_picked,byrow(confs,lambda(conf,countif(E$1:E172,conf))),p_needs_conf_count,byrow(confs,la"&amp;"mbda(conf,counta('Draft Order'!B$2:B622)-COUNTUNIQUE(filter(D$2:D172,E$2:E172=conf)))),query({confs,confs_count,confs_picked,p_needs_conf_count},""select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4">
      <c r="A174" s="1"/>
      <c r="B174" s="1"/>
      <c r="C174" s="1"/>
      <c r="D174" s="115"/>
      <c r="E174" s="116"/>
      <c r="F174" s="77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13" t="str">
        <f>IFERROR(__xludf.DUMMYFUNCTION("iferror(join("","",index(sort(filter($F175:$F$400,$Q175:$Q$400&gt;$Q174,arrayformula(isnumber(FIND($E175:$E$400,AP174)))),2,false),0,1)))"),"")</f>
        <v/>
      </c>
      <c r="AW174" s="113" t="b">
        <f>IFERROR(__xludf.DUMMYFUNCTION("isnumber(find(""wild card"",join("","",filter($G$1:$G173,$D$1:$D173=D174))))"),FALSE)</f>
        <v>0</v>
      </c>
      <c r="AX174" s="113" t="str">
        <f>IFERROR(__xludf.DUMMYFUNCTION("join("","",let(confs,unique(TRANSPOSe(Teams!$1:$1)), confs_count, BYROW(confs,lambda(conf,xlookup(conf,'Conf WC Eligibility'!A:A,'Conf WC Eligibility'!C:C,,))),confs_picked,byrow(confs,lambda(conf,countif(E$1:E173,conf))),p_needs_conf_count,byrow(confs,la"&amp;"mbda(conf,counta('Draft Order'!B$2:B622)-COUNTUNIQUE(filter(D$2:D173,E$2:E173=conf)))),query({confs,confs_count,confs_picked,p_needs_conf_count},""select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5">
      <c r="A175" s="1"/>
      <c r="B175" s="1"/>
      <c r="C175" s="1"/>
      <c r="D175" s="115"/>
      <c r="E175" s="116"/>
      <c r="F175" s="77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13" t="str">
        <f>IFERROR(__xludf.DUMMYFUNCTION("iferror(join("","",index(sort(filter($F176:$F$400,$Q176:$Q$400&gt;$Q175,arrayformula(isnumber(FIND($E176:$E$400,AP175)))),2,false),0,1)))"),"")</f>
        <v/>
      </c>
      <c r="AW175" s="113" t="b">
        <f>IFERROR(__xludf.DUMMYFUNCTION("isnumber(find(""wild card"",join("","",filter($G$1:$G174,$D$1:$D174=D175))))"),FALSE)</f>
        <v>0</v>
      </c>
      <c r="AX175" s="113" t="str">
        <f>IFERROR(__xludf.DUMMYFUNCTION("join("","",let(confs,unique(TRANSPOSe(Teams!$1:$1)), confs_count, BYROW(confs,lambda(conf,xlookup(conf,'Conf WC Eligibility'!A:A,'Conf WC Eligibility'!C:C,,))),confs_picked,byrow(confs,lambda(conf,countif(E$1:E174,conf))),p_needs_conf_count,byrow(confs,la"&amp;"mbda(conf,counta('Draft Order'!B$2:B622)-COUNTUNIQUE(filter(D$2:D174,E$2:E174=conf)))),query({confs,confs_count,confs_picked,p_needs_conf_count},""select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6">
      <c r="A176" s="1"/>
      <c r="B176" s="1"/>
      <c r="C176" s="1"/>
      <c r="D176" s="115"/>
      <c r="E176" s="116"/>
      <c r="F176" s="77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13" t="str">
        <f>IFERROR(__xludf.DUMMYFUNCTION("iferror(join("","",index(sort(filter($F177:$F$400,$Q177:$Q$400&gt;$Q176,arrayformula(isnumber(FIND($E177:$E$400,AP176)))),2,false),0,1)))"),"")</f>
        <v/>
      </c>
      <c r="AW176" s="113" t="b">
        <f>IFERROR(__xludf.DUMMYFUNCTION("isnumber(find(""wild card"",join("","",filter($G$1:$G175,$D$1:$D175=D176))))"),FALSE)</f>
        <v>0</v>
      </c>
      <c r="AX176" s="113" t="str">
        <f>IFERROR(__xludf.DUMMYFUNCTION("join("","",let(confs,unique(TRANSPOSe(Teams!$1:$1)), confs_count, BYROW(confs,lambda(conf,xlookup(conf,'Conf WC Eligibility'!A:A,'Conf WC Eligibility'!C:C,,))),confs_picked,byrow(confs,lambda(conf,countif(E$1:E175,conf))),p_needs_conf_count,byrow(confs,la"&amp;"mbda(conf,counta('Draft Order'!B$2:B622)-COUNTUNIQUE(filter(D$2:D175,E$2:E175=conf)))),query({confs,confs_count,confs_picked,p_needs_conf_count},""select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7">
      <c r="A177" s="1"/>
      <c r="B177" s="1"/>
      <c r="C177" s="1"/>
      <c r="D177" s="115"/>
      <c r="E177" s="116"/>
      <c r="F177" s="77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13" t="str">
        <f>IFERROR(__xludf.DUMMYFUNCTION("iferror(join("","",index(sort(filter($F178:$F$400,$Q178:$Q$400&gt;$Q177,arrayformula(isnumber(FIND($E178:$E$400,AP177)))),2,false),0,1)))"),"")</f>
        <v/>
      </c>
      <c r="AW177" s="113" t="b">
        <f>IFERROR(__xludf.DUMMYFUNCTION("isnumber(find(""wild card"",join("","",filter($G$1:$G176,$D$1:$D176=D177))))"),FALSE)</f>
        <v>0</v>
      </c>
      <c r="AX177" s="113" t="str">
        <f>IFERROR(__xludf.DUMMYFUNCTION("join("","",let(confs,unique(TRANSPOSe(Teams!$1:$1)), confs_count, BYROW(confs,lambda(conf,xlookup(conf,'Conf WC Eligibility'!A:A,'Conf WC Eligibility'!C:C,,))),confs_picked,byrow(confs,lambda(conf,countif(E$1:E176,conf))),p_needs_conf_count,byrow(confs,la"&amp;"mbda(conf,counta('Draft Order'!B$2:B622)-COUNTUNIQUE(filter(D$2:D176,E$2:E176=conf)))),query({confs,confs_count,confs_picked,p_needs_conf_count},""select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8">
      <c r="A178" s="1"/>
      <c r="B178" s="1"/>
      <c r="C178" s="1"/>
      <c r="D178" s="115"/>
      <c r="E178" s="116"/>
      <c r="F178" s="77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13" t="str">
        <f>IFERROR(__xludf.DUMMYFUNCTION("iferror(join("","",index(sort(filter($F179:$F$400,$Q179:$Q$400&gt;$Q178,arrayformula(isnumber(FIND($E179:$E$400,AP178)))),2,false),0,1)))"),"")</f>
        <v/>
      </c>
      <c r="AW178" s="113" t="b">
        <f>IFERROR(__xludf.DUMMYFUNCTION("isnumber(find(""wild card"",join("","",filter($G$1:$G177,$D$1:$D177=D178))))"),FALSE)</f>
        <v>0</v>
      </c>
      <c r="AX178" s="113" t="str">
        <f>IFERROR(__xludf.DUMMYFUNCTION("join("","",let(confs,unique(TRANSPOSe(Teams!$1:$1)), confs_count, BYROW(confs,lambda(conf,xlookup(conf,'Conf WC Eligibility'!A:A,'Conf WC Eligibility'!C:C,,))),confs_picked,byrow(confs,lambda(conf,countif(E$1:E177,conf))),p_needs_conf_count,byrow(confs,la"&amp;"mbda(conf,counta('Draft Order'!B$2:B622)-COUNTUNIQUE(filter(D$2:D177,E$2:E177=conf)))),query({confs,confs_count,confs_picked,p_needs_conf_count},""select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79">
      <c r="A179" s="1"/>
      <c r="B179" s="1"/>
      <c r="C179" s="1"/>
      <c r="D179" s="115"/>
      <c r="E179" s="116"/>
      <c r="F179" s="77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13" t="str">
        <f>IFERROR(__xludf.DUMMYFUNCTION("iferror(join("","",index(sort(filter($F180:$F$400,$Q180:$Q$400&gt;$Q179,arrayformula(isnumber(FIND($E180:$E$400,AP179)))),2,false),0,1)))"),"")</f>
        <v/>
      </c>
      <c r="AW179" s="113" t="b">
        <f>IFERROR(__xludf.DUMMYFUNCTION("isnumber(find(""wild card"",join("","",filter($G$1:$G178,$D$1:$D178=D179))))"),FALSE)</f>
        <v>0</v>
      </c>
      <c r="AX179" s="113" t="str">
        <f>IFERROR(__xludf.DUMMYFUNCTION("join("","",let(confs,unique(TRANSPOSe(Teams!$1:$1)), confs_count, BYROW(confs,lambda(conf,xlookup(conf,'Conf WC Eligibility'!A:A,'Conf WC Eligibility'!C:C,,))),confs_picked,byrow(confs,lambda(conf,countif(E$1:E178,conf))),p_needs_conf_count,byrow(confs,la"&amp;"mbda(conf,counta('Draft Order'!B$2:B622)-COUNTUNIQUE(filter(D$2:D178,E$2:E178=conf)))),query({confs,confs_count,confs_picked,p_needs_conf_count},""select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0">
      <c r="A180" s="1"/>
      <c r="B180" s="1"/>
      <c r="C180" s="1"/>
      <c r="D180" s="115"/>
      <c r="E180" s="116"/>
      <c r="F180" s="77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13" t="str">
        <f>IFERROR(__xludf.DUMMYFUNCTION("iferror(join("","",index(sort(filter($F181:$F$400,$Q181:$Q$400&gt;$Q180,arrayformula(isnumber(FIND($E181:$E$400,AP180)))),2,false),0,1)))"),"")</f>
        <v/>
      </c>
      <c r="AW180" s="113" t="b">
        <f>IFERROR(__xludf.DUMMYFUNCTION("isnumber(find(""wild card"",join("","",filter($G$1:$G179,$D$1:$D179=D180))))"),FALSE)</f>
        <v>0</v>
      </c>
      <c r="AX180" s="113" t="str">
        <f>IFERROR(__xludf.DUMMYFUNCTION("join("","",let(confs,unique(TRANSPOSe(Teams!$1:$1)), confs_count, BYROW(confs,lambda(conf,xlookup(conf,'Conf WC Eligibility'!A:A,'Conf WC Eligibility'!C:C,,))),confs_picked,byrow(confs,lambda(conf,countif(E$1:E179,conf))),p_needs_conf_count,byrow(confs,la"&amp;"mbda(conf,counta('Draft Order'!B$2:B622)-COUNTUNIQUE(filter(D$2:D179,E$2:E179=conf)))),query({confs,confs_count,confs_picked,p_needs_conf_count},""select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1">
      <c r="A181" s="1"/>
      <c r="B181" s="1"/>
      <c r="C181" s="1"/>
      <c r="D181" s="115"/>
      <c r="E181" s="116"/>
      <c r="F181" s="77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13" t="str">
        <f>IFERROR(__xludf.DUMMYFUNCTION("iferror(join("","",index(sort(filter($F182:$F$400,$Q182:$Q$400&gt;$Q181,arrayformula(isnumber(FIND($E182:$E$400,AP181)))),2,false),0,1)))"),"")</f>
        <v/>
      </c>
      <c r="AW181" s="113" t="b">
        <f>IFERROR(__xludf.DUMMYFUNCTION("isnumber(find(""wild card"",join("","",filter($G$1:$G180,$D$1:$D180=D181))))"),FALSE)</f>
        <v>0</v>
      </c>
      <c r="AX181" s="113" t="str">
        <f>IFERROR(__xludf.DUMMYFUNCTION("join("","",let(confs,unique(TRANSPOSe(Teams!$1:$1)), confs_count, BYROW(confs,lambda(conf,xlookup(conf,'Conf WC Eligibility'!A:A,'Conf WC Eligibility'!C:C,,))),confs_picked,byrow(confs,lambda(conf,countif(E$1:E180,conf))),p_needs_conf_count,byrow(confs,la"&amp;"mbda(conf,counta('Draft Order'!B$2:B622)-COUNTUNIQUE(filter(D$2:D180,E$2:E180=conf)))),query({confs,confs_count,confs_picked,p_needs_conf_count},""select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2">
      <c r="A182" s="1"/>
      <c r="B182" s="1"/>
      <c r="C182" s="1"/>
      <c r="D182" s="115"/>
      <c r="E182" s="116"/>
      <c r="F182" s="77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13" t="str">
        <f>IFERROR(__xludf.DUMMYFUNCTION("iferror(join("","",index(sort(filter($F183:$F$400,$Q183:$Q$400&gt;$Q182,arrayformula(isnumber(FIND($E183:$E$400,AP182)))),2,false),0,1)))"),"")</f>
        <v/>
      </c>
      <c r="AW182" s="113" t="b">
        <f>IFERROR(__xludf.DUMMYFUNCTION("isnumber(find(""wild card"",join("","",filter($G$1:$G181,$D$1:$D181=D182))))"),FALSE)</f>
        <v>0</v>
      </c>
      <c r="AX182" s="113" t="str">
        <f>IFERROR(__xludf.DUMMYFUNCTION("join("","",let(confs,unique(TRANSPOSe(Teams!$1:$1)), confs_count, BYROW(confs,lambda(conf,xlookup(conf,'Conf WC Eligibility'!A:A,'Conf WC Eligibility'!C:C,,))),confs_picked,byrow(confs,lambda(conf,countif(E$1:E181,conf))),p_needs_conf_count,byrow(confs,la"&amp;"mbda(conf,counta('Draft Order'!B$2:B622)-COUNTUNIQUE(filter(D$2:D181,E$2:E181=conf)))),query({confs,confs_count,confs_picked,p_needs_conf_count},""select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3">
      <c r="A183" s="1"/>
      <c r="B183" s="1"/>
      <c r="C183" s="1"/>
      <c r="D183" s="115"/>
      <c r="E183" s="116"/>
      <c r="F183" s="77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13" t="str">
        <f>IFERROR(__xludf.DUMMYFUNCTION("iferror(join("","",index(sort(filter($F184:$F$400,$Q184:$Q$400&gt;$Q183,arrayformula(isnumber(FIND($E184:$E$400,AP183)))),2,false),0,1)))"),"")</f>
        <v/>
      </c>
      <c r="AW183" s="113" t="b">
        <f>IFERROR(__xludf.DUMMYFUNCTION("isnumber(find(""wild card"",join("","",filter($G$1:$G182,$D$1:$D182=D183))))"),FALSE)</f>
        <v>0</v>
      </c>
      <c r="AX183" s="113" t="str">
        <f>IFERROR(__xludf.DUMMYFUNCTION("join("","",let(confs,unique(TRANSPOSe(Teams!$1:$1)), confs_count, BYROW(confs,lambda(conf,xlookup(conf,'Conf WC Eligibility'!A:A,'Conf WC Eligibility'!C:C,,))),confs_picked,byrow(confs,lambda(conf,countif(E$1:E182,conf))),p_needs_conf_count,byrow(confs,la"&amp;"mbda(conf,counta('Draft Order'!B$2:B622)-COUNTUNIQUE(filter(D$2:D182,E$2:E182=conf)))),query({confs,confs_count,confs_picked,p_needs_conf_count},""select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4">
      <c r="A184" s="1"/>
      <c r="B184" s="1"/>
      <c r="C184" s="1"/>
      <c r="D184" s="115"/>
      <c r="E184" s="116"/>
      <c r="F184" s="77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13" t="str">
        <f>IFERROR(__xludf.DUMMYFUNCTION("iferror(join("","",index(sort(filter($F185:$F$400,$Q185:$Q$400&gt;$Q184,arrayformula(isnumber(FIND($E185:$E$400,AP184)))),2,false),0,1)))"),"")</f>
        <v/>
      </c>
      <c r="AW184" s="113" t="b">
        <f>IFERROR(__xludf.DUMMYFUNCTION("isnumber(find(""wild card"",join("","",filter($G$1:$G183,$D$1:$D183=D184))))"),FALSE)</f>
        <v>0</v>
      </c>
      <c r="AX184" s="113" t="str">
        <f>IFERROR(__xludf.DUMMYFUNCTION("join("","",let(confs,unique(TRANSPOSe(Teams!$1:$1)), confs_count, BYROW(confs,lambda(conf,xlookup(conf,'Conf WC Eligibility'!A:A,'Conf WC Eligibility'!C:C,,))),confs_picked,byrow(confs,lambda(conf,countif(E$1:E183,conf))),p_needs_conf_count,byrow(confs,la"&amp;"mbda(conf,counta('Draft Order'!B$2:B622)-COUNTUNIQUE(filter(D$2:D183,E$2:E183=conf)))),query({confs,confs_count,confs_picked,p_needs_conf_count},""select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5">
      <c r="A185" s="1"/>
      <c r="B185" s="1"/>
      <c r="C185" s="1"/>
      <c r="D185" s="115"/>
      <c r="E185" s="116"/>
      <c r="F185" s="77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13" t="str">
        <f>IFERROR(__xludf.DUMMYFUNCTION("iferror(join("","",index(sort(filter($F186:$F$400,$Q186:$Q$400&gt;$Q185,arrayformula(isnumber(FIND($E186:$E$400,AP185)))),2,false),0,1)))"),"")</f>
        <v/>
      </c>
      <c r="AW185" s="113" t="b">
        <f>IFERROR(__xludf.DUMMYFUNCTION("isnumber(find(""wild card"",join("","",filter($G$1:$G184,$D$1:$D184=D185))))"),FALSE)</f>
        <v>0</v>
      </c>
      <c r="AX185" s="113" t="str">
        <f>IFERROR(__xludf.DUMMYFUNCTION("join("","",let(confs,unique(TRANSPOSe(Teams!$1:$1)), confs_count, BYROW(confs,lambda(conf,xlookup(conf,'Conf WC Eligibility'!A:A,'Conf WC Eligibility'!C:C,,))),confs_picked,byrow(confs,lambda(conf,countif(E$1:E184,conf))),p_needs_conf_count,byrow(confs,la"&amp;"mbda(conf,counta('Draft Order'!B$2:B622)-COUNTUNIQUE(filter(D$2:D184,E$2:E184=conf)))),query({confs,confs_count,confs_picked,p_needs_conf_count},""select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6">
      <c r="A186" s="1"/>
      <c r="B186" s="1"/>
      <c r="C186" s="1"/>
      <c r="D186" s="115"/>
      <c r="E186" s="116"/>
      <c r="F186" s="77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13" t="str">
        <f>IFERROR(__xludf.DUMMYFUNCTION("iferror(join("","",index(sort(filter($F187:$F$400,$Q187:$Q$400&gt;$Q186,arrayformula(isnumber(FIND($E187:$E$400,AP186)))),2,false),0,1)))"),"")</f>
        <v/>
      </c>
      <c r="AW186" s="113" t="b">
        <f>IFERROR(__xludf.DUMMYFUNCTION("isnumber(find(""wild card"",join("","",filter($G$1:$G185,$D$1:$D185=D186))))"),FALSE)</f>
        <v>0</v>
      </c>
      <c r="AX186" s="113" t="str">
        <f>IFERROR(__xludf.DUMMYFUNCTION("join("","",let(confs,unique(TRANSPOSe(Teams!$1:$1)), confs_count, BYROW(confs,lambda(conf,xlookup(conf,'Conf WC Eligibility'!A:A,'Conf WC Eligibility'!C:C,,))),confs_picked,byrow(confs,lambda(conf,countif(E$1:E185,conf))),p_needs_conf_count,byrow(confs,la"&amp;"mbda(conf,counta('Draft Order'!B$2:B622)-COUNTUNIQUE(filter(D$2:D185,E$2:E185=conf)))),query({confs,confs_count,confs_picked,p_needs_conf_count},""select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7">
      <c r="A187" s="1"/>
      <c r="B187" s="1"/>
      <c r="C187" s="1"/>
      <c r="D187" s="115"/>
      <c r="E187" s="116"/>
      <c r="F187" s="77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13" t="str">
        <f>IFERROR(__xludf.DUMMYFUNCTION("iferror(join("","",index(sort(filter($F188:$F$400,$Q188:$Q$400&gt;$Q187,arrayformula(isnumber(FIND($E188:$E$400,AP187)))),2,false),0,1)))"),"")</f>
        <v/>
      </c>
      <c r="AW187" s="113" t="b">
        <f>IFERROR(__xludf.DUMMYFUNCTION("isnumber(find(""wild card"",join("","",filter($G$1:$G186,$D$1:$D186=D187))))"),FALSE)</f>
        <v>0</v>
      </c>
      <c r="AX187" s="113" t="str">
        <f>IFERROR(__xludf.DUMMYFUNCTION("join("","",let(confs,unique(TRANSPOSe(Teams!$1:$1)), confs_count, BYROW(confs,lambda(conf,xlookup(conf,'Conf WC Eligibility'!A:A,'Conf WC Eligibility'!C:C,,))),confs_picked,byrow(confs,lambda(conf,countif(E$1:E186,conf))),p_needs_conf_count,byrow(confs,la"&amp;"mbda(conf,counta('Draft Order'!B$2:B622)-COUNTUNIQUE(filter(D$2:D186,E$2:E186=conf)))),query({confs,confs_count,confs_picked,p_needs_conf_count},""select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8">
      <c r="A188" s="1"/>
      <c r="B188" s="1"/>
      <c r="C188" s="1"/>
      <c r="D188" s="115"/>
      <c r="E188" s="116"/>
      <c r="F188" s="77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13" t="str">
        <f>IFERROR(__xludf.DUMMYFUNCTION("iferror(join("","",index(sort(filter($F189:$F$400,$Q189:$Q$400&gt;$Q188,arrayformula(isnumber(FIND($E189:$E$400,AP188)))),2,false),0,1)))"),"")</f>
        <v/>
      </c>
      <c r="AW188" s="113" t="b">
        <f>IFERROR(__xludf.DUMMYFUNCTION("isnumber(find(""wild card"",join("","",filter($G$1:$G187,$D$1:$D187=D188))))"),FALSE)</f>
        <v>0</v>
      </c>
      <c r="AX188" s="113" t="str">
        <f>IFERROR(__xludf.DUMMYFUNCTION("join("","",let(confs,unique(TRANSPOSe(Teams!$1:$1)), confs_count, BYROW(confs,lambda(conf,xlookup(conf,'Conf WC Eligibility'!A:A,'Conf WC Eligibility'!C:C,,))),confs_picked,byrow(confs,lambda(conf,countif(E$1:E187,conf))),p_needs_conf_count,byrow(confs,la"&amp;"mbda(conf,counta('Draft Order'!B$2:B622)-COUNTUNIQUE(filter(D$2:D187,E$2:E187=conf)))),query({confs,confs_count,confs_picked,p_needs_conf_count},""select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89">
      <c r="A189" s="1"/>
      <c r="B189" s="1"/>
      <c r="C189" s="1"/>
      <c r="D189" s="115"/>
      <c r="E189" s="116"/>
      <c r="F189" s="77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13" t="str">
        <f>IFERROR(__xludf.DUMMYFUNCTION("iferror(join("","",index(sort(filter($F190:$F$400,$Q190:$Q$400&gt;$Q189,arrayformula(isnumber(FIND($E190:$E$400,AP189)))),2,false),0,1)))"),"")</f>
        <v/>
      </c>
      <c r="AW189" s="113" t="b">
        <f>IFERROR(__xludf.DUMMYFUNCTION("isnumber(find(""wild card"",join("","",filter($G$1:$G188,$D$1:$D188=D189))))"),FALSE)</f>
        <v>0</v>
      </c>
      <c r="AX189" s="113" t="str">
        <f>IFERROR(__xludf.DUMMYFUNCTION("join("","",let(confs,unique(TRANSPOSe(Teams!$1:$1)), confs_count, BYROW(confs,lambda(conf,xlookup(conf,'Conf WC Eligibility'!A:A,'Conf WC Eligibility'!C:C,,))),confs_picked,byrow(confs,lambda(conf,countif(E$1:E188,conf))),p_needs_conf_count,byrow(confs,la"&amp;"mbda(conf,counta('Draft Order'!B$2:B622)-COUNTUNIQUE(filter(D$2:D188,E$2:E188=conf)))),query({confs,confs_count,confs_picked,p_needs_conf_count},""select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0">
      <c r="A190" s="1"/>
      <c r="B190" s="1"/>
      <c r="C190" s="1"/>
      <c r="D190" s="115"/>
      <c r="E190" s="116"/>
      <c r="F190" s="77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13" t="str">
        <f>IFERROR(__xludf.DUMMYFUNCTION("iferror(join("","",index(sort(filter($F191:$F$400,$Q191:$Q$400&gt;$Q190,arrayformula(isnumber(FIND($E191:$E$400,AP190)))),2,false),0,1)))"),"")</f>
        <v/>
      </c>
      <c r="AW190" s="113" t="b">
        <f>IFERROR(__xludf.DUMMYFUNCTION("isnumber(find(""wild card"",join("","",filter($G$1:$G189,$D$1:$D189=D190))))"),FALSE)</f>
        <v>0</v>
      </c>
      <c r="AX190" s="113" t="str">
        <f>IFERROR(__xludf.DUMMYFUNCTION("join("","",let(confs,unique(TRANSPOSe(Teams!$1:$1)), confs_count, BYROW(confs,lambda(conf,xlookup(conf,'Conf WC Eligibility'!A:A,'Conf WC Eligibility'!C:C,,))),confs_picked,byrow(confs,lambda(conf,countif(E$1:E189,conf))),p_needs_conf_count,byrow(confs,la"&amp;"mbda(conf,counta('Draft Order'!B$2:B622)-COUNTUNIQUE(filter(D$2:D189,E$2:E189=conf)))),query({confs,confs_count,confs_picked,p_needs_conf_count},""select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1">
      <c r="A191" s="1"/>
      <c r="B191" s="1"/>
      <c r="C191" s="1"/>
      <c r="D191" s="115"/>
      <c r="E191" s="116"/>
      <c r="F191" s="77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13" t="str">
        <f>IFERROR(__xludf.DUMMYFUNCTION("iferror(join("","",index(sort(filter($F192:$F$400,$Q192:$Q$400&gt;$Q191,arrayformula(isnumber(FIND($E192:$E$400,AP191)))),2,false),0,1)))"),"")</f>
        <v/>
      </c>
      <c r="AW191" s="113" t="b">
        <f>IFERROR(__xludf.DUMMYFUNCTION("isnumber(find(""wild card"",join("","",filter($G$1:$G190,$D$1:$D190=D191))))"),FALSE)</f>
        <v>0</v>
      </c>
      <c r="AX191" s="113" t="str">
        <f>IFERROR(__xludf.DUMMYFUNCTION("join("","",let(confs,unique(TRANSPOSe(Teams!$1:$1)), confs_count, BYROW(confs,lambda(conf,xlookup(conf,'Conf WC Eligibility'!A:A,'Conf WC Eligibility'!C:C,,))),confs_picked,byrow(confs,lambda(conf,countif(E$1:E190,conf))),p_needs_conf_count,byrow(confs,la"&amp;"mbda(conf,counta('Draft Order'!B$2:B622)-COUNTUNIQUE(filter(D$2:D190,E$2:E190=conf)))),query({confs,confs_count,confs_picked,p_needs_conf_count},""select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2">
      <c r="A192" s="1"/>
      <c r="B192" s="1"/>
      <c r="C192" s="1"/>
      <c r="D192" s="115"/>
      <c r="E192" s="116"/>
      <c r="F192" s="77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13" t="str">
        <f>IFERROR(__xludf.DUMMYFUNCTION("iferror(join("","",index(sort(filter($F193:$F$400,$Q193:$Q$400&gt;$Q192,arrayformula(isnumber(FIND($E193:$E$400,AP192)))),2,false),0,1)))"),"")</f>
        <v/>
      </c>
      <c r="AW192" s="113" t="b">
        <f>IFERROR(__xludf.DUMMYFUNCTION("isnumber(find(""wild card"",join("","",filter($G$1:$G191,$D$1:$D191=D192))))"),FALSE)</f>
        <v>0</v>
      </c>
      <c r="AX192" s="113" t="str">
        <f>IFERROR(__xludf.DUMMYFUNCTION("join("","",let(confs,unique(TRANSPOSe(Teams!$1:$1)), confs_count, BYROW(confs,lambda(conf,xlookup(conf,'Conf WC Eligibility'!A:A,'Conf WC Eligibility'!C:C,,))),confs_picked,byrow(confs,lambda(conf,countif(E$1:E191,conf))),p_needs_conf_count,byrow(confs,la"&amp;"mbda(conf,counta('Draft Order'!B$2:B622)-COUNTUNIQUE(filter(D$2:D191,E$2:E191=conf)))),query({confs,confs_count,confs_picked,p_needs_conf_count},""select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3">
      <c r="A193" s="1"/>
      <c r="B193" s="1"/>
      <c r="C193" s="1"/>
      <c r="D193" s="115"/>
      <c r="E193" s="116"/>
      <c r="F193" s="77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13" t="str">
        <f>IFERROR(__xludf.DUMMYFUNCTION("iferror(join("","",index(sort(filter($F194:$F$400,$Q194:$Q$400&gt;$Q193,arrayformula(isnumber(FIND($E194:$E$400,AP193)))),2,false),0,1)))"),"")</f>
        <v/>
      </c>
      <c r="AW193" s="113" t="b">
        <f>IFERROR(__xludf.DUMMYFUNCTION("isnumber(find(""wild card"",join("","",filter($G$1:$G192,$D$1:$D192=D193))))"),FALSE)</f>
        <v>0</v>
      </c>
      <c r="AX193" s="113" t="str">
        <f>IFERROR(__xludf.DUMMYFUNCTION("join("","",let(confs,unique(TRANSPOSe(Teams!$1:$1)), confs_count, BYROW(confs,lambda(conf,xlookup(conf,'Conf WC Eligibility'!A:A,'Conf WC Eligibility'!C:C,,))),confs_picked,byrow(confs,lambda(conf,countif(E$1:E192,conf))),p_needs_conf_count,byrow(confs,la"&amp;"mbda(conf,counta('Draft Order'!B$2:B622)-COUNTUNIQUE(filter(D$2:D192,E$2:E192=conf)))),query({confs,confs_count,confs_picked,p_needs_conf_count},""select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4">
      <c r="A194" s="1"/>
      <c r="B194" s="1"/>
      <c r="C194" s="1"/>
      <c r="D194" s="115"/>
      <c r="E194" s="116"/>
      <c r="F194" s="77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13" t="str">
        <f>IFERROR(__xludf.DUMMYFUNCTION("iferror(join("","",index(sort(filter($F195:$F$400,$Q195:$Q$400&gt;$Q194,arrayformula(isnumber(FIND($E195:$E$400,AP194)))),2,false),0,1)))"),"")</f>
        <v/>
      </c>
      <c r="AW194" s="113" t="b">
        <f>IFERROR(__xludf.DUMMYFUNCTION("isnumber(find(""wild card"",join("","",filter($G$1:$G193,$D$1:$D193=D194))))"),FALSE)</f>
        <v>0</v>
      </c>
      <c r="AX194" s="113" t="str">
        <f>IFERROR(__xludf.DUMMYFUNCTION("join("","",let(confs,unique(TRANSPOSe(Teams!$1:$1)), confs_count, BYROW(confs,lambda(conf,xlookup(conf,'Conf WC Eligibility'!A:A,'Conf WC Eligibility'!C:C,,))),confs_picked,byrow(confs,lambda(conf,countif(E$1:E193,conf))),p_needs_conf_count,byrow(confs,la"&amp;"mbda(conf,counta('Draft Order'!B$2:B622)-COUNTUNIQUE(filter(D$2:D193,E$2:E193=conf)))),query({confs,confs_count,confs_picked,p_needs_conf_count},""select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5">
      <c r="A195" s="1"/>
      <c r="B195" s="1"/>
      <c r="C195" s="1"/>
      <c r="D195" s="115"/>
      <c r="E195" s="116"/>
      <c r="F195" s="77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13" t="str">
        <f>IFERROR(__xludf.DUMMYFUNCTION("iferror(join("","",index(sort(filter($F196:$F$400,$Q196:$Q$400&gt;$Q195,arrayformula(isnumber(FIND($E196:$E$400,AP195)))),2,false),0,1)))"),"")</f>
        <v/>
      </c>
      <c r="AW195" s="113" t="b">
        <f>IFERROR(__xludf.DUMMYFUNCTION("isnumber(find(""wild card"",join("","",filter($G$1:$G194,$D$1:$D194=D195))))"),FALSE)</f>
        <v>0</v>
      </c>
      <c r="AX195" s="113" t="str">
        <f>IFERROR(__xludf.DUMMYFUNCTION("join("","",let(confs,unique(TRANSPOSe(Teams!$1:$1)), confs_count, BYROW(confs,lambda(conf,xlookup(conf,'Conf WC Eligibility'!A:A,'Conf WC Eligibility'!C:C,,))),confs_picked,byrow(confs,lambda(conf,countif(E$1:E194,conf))),p_needs_conf_count,byrow(confs,la"&amp;"mbda(conf,counta('Draft Order'!B$2:B622)-COUNTUNIQUE(filter(D$2:D194,E$2:E194=conf)))),query({confs,confs_count,confs_picked,p_needs_conf_count},""select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6">
      <c r="A196" s="1"/>
      <c r="B196" s="1"/>
      <c r="C196" s="1"/>
      <c r="D196" s="115"/>
      <c r="E196" s="116"/>
      <c r="F196" s="77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13" t="str">
        <f>IFERROR(__xludf.DUMMYFUNCTION("iferror(join("","",index(sort(filter($F197:$F$400,$Q197:$Q$400&gt;$Q196,arrayformula(isnumber(FIND($E197:$E$400,AP196)))),2,false),0,1)))"),"")</f>
        <v/>
      </c>
      <c r="AW196" s="113" t="b">
        <f>IFERROR(__xludf.DUMMYFUNCTION("isnumber(find(""wild card"",join("","",filter($G$1:$G195,$D$1:$D195=D196))))"),FALSE)</f>
        <v>0</v>
      </c>
      <c r="AX196" s="113" t="str">
        <f>IFERROR(__xludf.DUMMYFUNCTION("join("","",let(confs,unique(TRANSPOSe(Teams!$1:$1)), confs_count, BYROW(confs,lambda(conf,xlookup(conf,'Conf WC Eligibility'!A:A,'Conf WC Eligibility'!C:C,,))),confs_picked,byrow(confs,lambda(conf,countif(E$1:E195,conf))),p_needs_conf_count,byrow(confs,la"&amp;"mbda(conf,counta('Draft Order'!B$2:B622)-COUNTUNIQUE(filter(D$2:D195,E$2:E195=conf)))),query({confs,confs_count,confs_picked,p_needs_conf_count},""select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7">
      <c r="A197" s="1"/>
      <c r="B197" s="1"/>
      <c r="C197" s="1"/>
      <c r="D197" s="115"/>
      <c r="E197" s="116"/>
      <c r="F197" s="77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13" t="str">
        <f>IFERROR(__xludf.DUMMYFUNCTION("iferror(join("","",index(sort(filter($F198:$F$400,$Q198:$Q$400&gt;$Q197,arrayformula(isnumber(FIND($E198:$E$400,AP197)))),2,false),0,1)))"),"")</f>
        <v/>
      </c>
      <c r="AW197" s="113" t="b">
        <f>IFERROR(__xludf.DUMMYFUNCTION("isnumber(find(""wild card"",join("","",filter($G$1:$G196,$D$1:$D196=D197))))"),FALSE)</f>
        <v>0</v>
      </c>
      <c r="AX197" s="113" t="str">
        <f>IFERROR(__xludf.DUMMYFUNCTION("join("","",let(confs,unique(TRANSPOSe(Teams!$1:$1)), confs_count, BYROW(confs,lambda(conf,xlookup(conf,'Conf WC Eligibility'!A:A,'Conf WC Eligibility'!C:C,,))),confs_picked,byrow(confs,lambda(conf,countif(E$1:E196,conf))),p_needs_conf_count,byrow(confs,la"&amp;"mbda(conf,counta('Draft Order'!B$2:B622)-COUNTUNIQUE(filter(D$2:D196,E$2:E196=conf)))),query({confs,confs_count,confs_picked,p_needs_conf_count},""select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8">
      <c r="A198" s="1"/>
      <c r="B198" s="1"/>
      <c r="C198" s="1"/>
      <c r="D198" s="115"/>
      <c r="E198" s="116"/>
      <c r="F198" s="77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13" t="str">
        <f>IFERROR(__xludf.DUMMYFUNCTION("iferror(join("","",index(sort(filter($F199:$F$400,$Q199:$Q$400&gt;$Q198,arrayformula(isnumber(FIND($E199:$E$400,AP198)))),2,false),0,1)))"),"")</f>
        <v/>
      </c>
      <c r="AW198" s="113" t="b">
        <f>IFERROR(__xludf.DUMMYFUNCTION("isnumber(find(""wild card"",join("","",filter($G$1:$G197,$D$1:$D197=D198))))"),FALSE)</f>
        <v>0</v>
      </c>
      <c r="AX198" s="113" t="str">
        <f>IFERROR(__xludf.DUMMYFUNCTION("join("","",let(confs,unique(TRANSPOSe(Teams!$1:$1)), confs_count, BYROW(confs,lambda(conf,xlookup(conf,'Conf WC Eligibility'!A:A,'Conf WC Eligibility'!C:C,,))),confs_picked,byrow(confs,lambda(conf,countif(E$1:E197,conf))),p_needs_conf_count,byrow(confs,la"&amp;"mbda(conf,counta('Draft Order'!B$2:B622)-COUNTUNIQUE(filter(D$2:D197,E$2:E197=conf)))),query({confs,confs_count,confs_picked,p_needs_conf_count},""select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199">
      <c r="A199" s="1"/>
      <c r="B199" s="1"/>
      <c r="C199" s="1"/>
      <c r="D199" s="115"/>
      <c r="E199" s="116"/>
      <c r="F199" s="77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13" t="str">
        <f>IFERROR(__xludf.DUMMYFUNCTION("iferror(join("","",index(sort(filter($F200:$F$400,$Q200:$Q$400&gt;$Q199,arrayformula(isnumber(FIND($E200:$E$400,AP199)))),2,false),0,1)))"),"")</f>
        <v/>
      </c>
      <c r="AW199" s="113" t="b">
        <f>IFERROR(__xludf.DUMMYFUNCTION("isnumber(find(""wild card"",join("","",filter($G$1:$G198,$D$1:$D198=D199))))"),FALSE)</f>
        <v>0</v>
      </c>
      <c r="AX199" s="113" t="str">
        <f>IFERROR(__xludf.DUMMYFUNCTION("join("","",let(confs,unique(TRANSPOSe(Teams!$1:$1)), confs_count, BYROW(confs,lambda(conf,xlookup(conf,'Conf WC Eligibility'!A:A,'Conf WC Eligibility'!C:C,,))),confs_picked,byrow(confs,lambda(conf,countif(E$1:E198,conf))),p_needs_conf_count,byrow(confs,la"&amp;"mbda(conf,counta('Draft Order'!B$2:B622)-COUNTUNIQUE(filter(D$2:D198,E$2:E198=conf)))),query({confs,confs_count,confs_picked,p_needs_conf_count},""select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0">
      <c r="A200" s="1"/>
      <c r="B200" s="1"/>
      <c r="C200" s="1"/>
      <c r="D200" s="115"/>
      <c r="E200" s="116"/>
      <c r="F200" s="77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13" t="str">
        <f>IFERROR(__xludf.DUMMYFUNCTION("iferror(join("","",index(sort(filter($F201:$F$400,$Q201:$Q$400&gt;$Q200,arrayformula(isnumber(FIND($E201:$E$400,AP200)))),2,false),0,1)))"),"")</f>
        <v/>
      </c>
      <c r="AW200" s="113" t="b">
        <f>IFERROR(__xludf.DUMMYFUNCTION("isnumber(find(""wild card"",join("","",filter($G$1:$G199,$D$1:$D199=D200))))"),FALSE)</f>
        <v>0</v>
      </c>
      <c r="AX200" s="113" t="str">
        <f>IFERROR(__xludf.DUMMYFUNCTION("join("","",let(confs,unique(TRANSPOSe(Teams!$1:$1)), confs_count, BYROW(confs,lambda(conf,xlookup(conf,'Conf WC Eligibility'!A:A,'Conf WC Eligibility'!C:C,,))),confs_picked,byrow(confs,lambda(conf,countif(E$1:E199,conf))),p_needs_conf_count,byrow(confs,la"&amp;"mbda(conf,counta('Draft Order'!B$2:B622)-COUNTUNIQUE(filter(D$2:D199,E$2:E199=conf)))),query({confs,confs_count,confs_picked,p_needs_conf_count},""select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1">
      <c r="A201" s="1"/>
      <c r="B201" s="1"/>
      <c r="C201" s="1"/>
      <c r="D201" s="115"/>
      <c r="E201" s="116"/>
      <c r="F201" s="77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13" t="str">
        <f>IFERROR(__xludf.DUMMYFUNCTION("iferror(join("","",index(sort(filter($F202:$F$400,$Q202:$Q$400&gt;$Q201,arrayformula(isnumber(FIND($E202:$E$400,AP201)))),2,false),0,1)))"),"")</f>
        <v/>
      </c>
      <c r="AW201" s="113" t="b">
        <f>IFERROR(__xludf.DUMMYFUNCTION("isnumber(find(""wild card"",join("","",filter($G$1:$G200,$D$1:$D200=D201))))"),FALSE)</f>
        <v>0</v>
      </c>
      <c r="AX201" s="113" t="str">
        <f>IFERROR(__xludf.DUMMYFUNCTION("join("","",let(confs,unique(TRANSPOSe(Teams!$1:$1)), confs_count, BYROW(confs,lambda(conf,xlookup(conf,'Conf WC Eligibility'!A:A,'Conf WC Eligibility'!C:C,,))),confs_picked,byrow(confs,lambda(conf,countif(E$1:E200,conf))),p_needs_conf_count,byrow(confs,la"&amp;"mbda(conf,counta('Draft Order'!B$2:B622)-COUNTUNIQUE(filter(D$2:D200,E$2:E200=conf)))),query({confs,confs_count,confs_picked,p_needs_conf_count},""select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2">
      <c r="A202" s="1"/>
      <c r="B202" s="1"/>
      <c r="C202" s="1"/>
      <c r="D202" s="115"/>
      <c r="E202" s="116"/>
      <c r="F202" s="77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13" t="str">
        <f>IFERROR(__xludf.DUMMYFUNCTION("iferror(join("","",index(sort(filter($F203:$F$400,$Q203:$Q$400&gt;$Q202,arrayformula(isnumber(FIND($E203:$E$400,AP202)))),2,false),0,1)))"),"")</f>
        <v/>
      </c>
      <c r="AW202" s="113" t="b">
        <f>IFERROR(__xludf.DUMMYFUNCTION("isnumber(find(""wild card"",join("","",filter($G$1:$G201,$D$1:$D201=D202))))"),FALSE)</f>
        <v>0</v>
      </c>
      <c r="AX202" s="113" t="str">
        <f>IFERROR(__xludf.DUMMYFUNCTION("join("","",let(confs,unique(TRANSPOSe(Teams!$1:$1)), confs_count, BYROW(confs,lambda(conf,xlookup(conf,'Conf WC Eligibility'!A:A,'Conf WC Eligibility'!C:C,,))),confs_picked,byrow(confs,lambda(conf,countif(E$1:E201,conf))),p_needs_conf_count,byrow(confs,la"&amp;"mbda(conf,counta('Draft Order'!B$2:B622)-COUNTUNIQUE(filter(D$2:D201,E$2:E201=conf)))),query({confs,confs_count,confs_picked,p_needs_conf_count},""select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3">
      <c r="A203" s="1"/>
      <c r="B203" s="1"/>
      <c r="C203" s="1"/>
      <c r="D203" s="115"/>
      <c r="E203" s="116"/>
      <c r="F203" s="77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13" t="str">
        <f>IFERROR(__xludf.DUMMYFUNCTION("iferror(join("","",index(sort(filter($F204:$F$400,$Q204:$Q$400&gt;$Q203,arrayformula(isnumber(FIND($E204:$E$400,AP203)))),2,false),0,1)))"),"")</f>
        <v/>
      </c>
      <c r="AW203" s="113" t="b">
        <f>IFERROR(__xludf.DUMMYFUNCTION("isnumber(find(""wild card"",join("","",filter($G$1:$G202,$D$1:$D202=D203))))"),FALSE)</f>
        <v>0</v>
      </c>
      <c r="AX203" s="113" t="str">
        <f>IFERROR(__xludf.DUMMYFUNCTION("join("","",let(confs,unique(TRANSPOSe(Teams!$1:$1)), confs_count, BYROW(confs,lambda(conf,xlookup(conf,'Conf WC Eligibility'!A:A,'Conf WC Eligibility'!C:C,,))),confs_picked,byrow(confs,lambda(conf,countif(E$1:E202,conf))),p_needs_conf_count,byrow(confs,la"&amp;"mbda(conf,counta('Draft Order'!B$2:B622)-COUNTUNIQUE(filter(D$2:D202,E$2:E202=conf)))),query({confs,confs_count,confs_picked,p_needs_conf_count},""select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4">
      <c r="A204" s="1"/>
      <c r="B204" s="1"/>
      <c r="C204" s="1"/>
      <c r="D204" s="115"/>
      <c r="E204" s="116"/>
      <c r="F204" s="77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13" t="str">
        <f>IFERROR(__xludf.DUMMYFUNCTION("iferror(join("","",index(sort(filter($F205:$F$400,$Q205:$Q$400&gt;$Q204,arrayformula(isnumber(FIND($E205:$E$400,AP204)))),2,false),0,1)))"),"")</f>
        <v/>
      </c>
      <c r="AW204" s="113" t="b">
        <f>IFERROR(__xludf.DUMMYFUNCTION("isnumber(find(""wild card"",join("","",filter($G$1:$G203,$D$1:$D203=D204))))"),FALSE)</f>
        <v>0</v>
      </c>
      <c r="AX204" s="113" t="str">
        <f>IFERROR(__xludf.DUMMYFUNCTION("join("","",let(confs,unique(TRANSPOSe(Teams!$1:$1)), confs_count, BYROW(confs,lambda(conf,xlookup(conf,'Conf WC Eligibility'!A:A,'Conf WC Eligibility'!C:C,,))),confs_picked,byrow(confs,lambda(conf,countif(E$1:E203,conf))),p_needs_conf_count,byrow(confs,la"&amp;"mbda(conf,counta('Draft Order'!B$2:B622)-COUNTUNIQUE(filter(D$2:D203,E$2:E203=conf)))),query({confs,confs_count,confs_picked,p_needs_conf_count},""select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5">
      <c r="A205" s="1"/>
      <c r="B205" s="1"/>
      <c r="C205" s="1"/>
      <c r="D205" s="115"/>
      <c r="E205" s="116"/>
      <c r="F205" s="77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13" t="str">
        <f>IFERROR(__xludf.DUMMYFUNCTION("iferror(join("","",index(sort(filter($F206:$F$400,$Q206:$Q$400&gt;$Q205,arrayformula(isnumber(FIND($E206:$E$400,AP205)))),2,false),0,1)))"),"")</f>
        <v/>
      </c>
      <c r="AW205" s="113" t="b">
        <f>IFERROR(__xludf.DUMMYFUNCTION("isnumber(find(""wild card"",join("","",filter($G$1:$G204,$D$1:$D204=D205))))"),FALSE)</f>
        <v>0</v>
      </c>
      <c r="AX205" s="113" t="str">
        <f>IFERROR(__xludf.DUMMYFUNCTION("join("","",let(confs,unique(TRANSPOSe(Teams!$1:$1)), confs_count, BYROW(confs,lambda(conf,xlookup(conf,'Conf WC Eligibility'!A:A,'Conf WC Eligibility'!C:C,,))),confs_picked,byrow(confs,lambda(conf,countif(E$1:E204,conf))),p_needs_conf_count,byrow(confs,la"&amp;"mbda(conf,counta('Draft Order'!B$2:B622)-COUNTUNIQUE(filter(D$2:D204,E$2:E204=conf)))),query({confs,confs_count,confs_picked,p_needs_conf_count},""select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6">
      <c r="A206" s="1"/>
      <c r="B206" s="1"/>
      <c r="C206" s="1"/>
      <c r="D206" s="115"/>
      <c r="E206" s="116"/>
      <c r="F206" s="77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13" t="str">
        <f>IFERROR(__xludf.DUMMYFUNCTION("iferror(join("","",index(sort(filter($F207:$F$400,$Q207:$Q$400&gt;$Q206,arrayformula(isnumber(FIND($E207:$E$400,AP206)))),2,false),0,1)))"),"")</f>
        <v/>
      </c>
      <c r="AW206" s="113" t="b">
        <f>IFERROR(__xludf.DUMMYFUNCTION("isnumber(find(""wild card"",join("","",filter($G$1:$G205,$D$1:$D205=D206))))"),FALSE)</f>
        <v>0</v>
      </c>
      <c r="AX206" s="113" t="str">
        <f>IFERROR(__xludf.DUMMYFUNCTION("join("","",let(confs,unique(TRANSPOSe(Teams!$1:$1)), confs_count, BYROW(confs,lambda(conf,xlookup(conf,'Conf WC Eligibility'!A:A,'Conf WC Eligibility'!C:C,,))),confs_picked,byrow(confs,lambda(conf,countif(E$1:E205,conf))),p_needs_conf_count,byrow(confs,la"&amp;"mbda(conf,counta('Draft Order'!B$2:B622)-COUNTUNIQUE(filter(D$2:D205,E$2:E205=conf)))),query({confs,confs_count,confs_picked,p_needs_conf_count},""select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7">
      <c r="A207" s="1"/>
      <c r="B207" s="1"/>
      <c r="C207" s="1"/>
      <c r="D207" s="115"/>
      <c r="E207" s="116"/>
      <c r="F207" s="77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13" t="str">
        <f>IFERROR(__xludf.DUMMYFUNCTION("iferror(join("","",index(sort(filter($F208:$F$400,$Q208:$Q$400&gt;$Q207,arrayformula(isnumber(FIND($E208:$E$400,AP207)))),2,false),0,1)))"),"")</f>
        <v/>
      </c>
      <c r="AW207" s="113" t="b">
        <f>IFERROR(__xludf.DUMMYFUNCTION("isnumber(find(""wild card"",join("","",filter($G$1:$G206,$D$1:$D206=D207))))"),FALSE)</f>
        <v>0</v>
      </c>
      <c r="AX207" s="113" t="str">
        <f>IFERROR(__xludf.DUMMYFUNCTION("join("","",let(confs,unique(TRANSPOSe(Teams!$1:$1)), confs_count, BYROW(confs,lambda(conf,xlookup(conf,'Conf WC Eligibility'!A:A,'Conf WC Eligibility'!C:C,,))),confs_picked,byrow(confs,lambda(conf,countif(E$1:E206,conf))),p_needs_conf_count,byrow(confs,la"&amp;"mbda(conf,counta('Draft Order'!B$2:B622)-COUNTUNIQUE(filter(D$2:D206,E$2:E206=conf)))),query({confs,confs_count,confs_picked,p_needs_conf_count},""select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8">
      <c r="A208" s="1"/>
      <c r="B208" s="1"/>
      <c r="C208" s="1"/>
      <c r="D208" s="115"/>
      <c r="E208" s="116"/>
      <c r="F208" s="77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13" t="str">
        <f>IFERROR(__xludf.DUMMYFUNCTION("iferror(join("","",index(sort(filter($F209:$F$400,$Q209:$Q$400&gt;$Q208,arrayformula(isnumber(FIND($E209:$E$400,AP208)))),2,false),0,1)))"),"")</f>
        <v/>
      </c>
      <c r="AW208" s="113" t="b">
        <f>IFERROR(__xludf.DUMMYFUNCTION("isnumber(find(""wild card"",join("","",filter($G$1:$G207,$D$1:$D207=D208))))"),FALSE)</f>
        <v>0</v>
      </c>
      <c r="AX208" s="113" t="str">
        <f>IFERROR(__xludf.DUMMYFUNCTION("join("","",let(confs,unique(TRANSPOSe(Teams!$1:$1)), confs_count, BYROW(confs,lambda(conf,xlookup(conf,'Conf WC Eligibility'!A:A,'Conf WC Eligibility'!C:C,,))),confs_picked,byrow(confs,lambda(conf,countif(E$1:E207,conf))),p_needs_conf_count,byrow(confs,la"&amp;"mbda(conf,counta('Draft Order'!B$2:B622)-COUNTUNIQUE(filter(D$2:D207,E$2:E207=conf)))),query({confs,confs_count,confs_picked,p_needs_conf_count},""select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09">
      <c r="A209" s="1"/>
      <c r="B209" s="1"/>
      <c r="C209" s="1"/>
      <c r="D209" s="115"/>
      <c r="E209" s="116"/>
      <c r="F209" s="77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13" t="str">
        <f>IFERROR(__xludf.DUMMYFUNCTION("iferror(join("","",index(sort(filter($F210:$F$400,$Q210:$Q$400&gt;$Q209,arrayformula(isnumber(FIND($E210:$E$400,AP209)))),2,false),0,1)))"),"")</f>
        <v/>
      </c>
      <c r="AW209" s="113" t="b">
        <f>IFERROR(__xludf.DUMMYFUNCTION("isnumber(find(""wild card"",join("","",filter($G$1:$G208,$D$1:$D208=D209))))"),FALSE)</f>
        <v>0</v>
      </c>
      <c r="AX209" s="113" t="str">
        <f>IFERROR(__xludf.DUMMYFUNCTION("join("","",let(confs,unique(TRANSPOSe(Teams!$1:$1)), confs_count, BYROW(confs,lambda(conf,xlookup(conf,'Conf WC Eligibility'!A:A,'Conf WC Eligibility'!C:C,,))),confs_picked,byrow(confs,lambda(conf,countif(E$1:E208,conf))),p_needs_conf_count,byrow(confs,la"&amp;"mbda(conf,counta('Draft Order'!B$2:B622)-COUNTUNIQUE(filter(D$2:D208,E$2:E208=conf)))),query({confs,confs_count,confs_picked,p_needs_conf_count},""select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0">
      <c r="A210" s="1"/>
      <c r="B210" s="1"/>
      <c r="C210" s="1"/>
      <c r="D210" s="115"/>
      <c r="E210" s="116"/>
      <c r="F210" s="77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13" t="str">
        <f>IFERROR(__xludf.DUMMYFUNCTION("iferror(join("","",index(sort(filter($F211:$F$400,$Q211:$Q$400&gt;$Q210,arrayformula(isnumber(FIND($E211:$E$400,AP210)))),2,false),0,1)))"),"")</f>
        <v/>
      </c>
      <c r="AW210" s="113" t="b">
        <f>IFERROR(__xludf.DUMMYFUNCTION("isnumber(find(""wild card"",join("","",filter($G$1:$G209,$D$1:$D209=D210))))"),FALSE)</f>
        <v>0</v>
      </c>
      <c r="AX210" s="113" t="str">
        <f>IFERROR(__xludf.DUMMYFUNCTION("join("","",let(confs,unique(TRANSPOSe(Teams!$1:$1)), confs_count, BYROW(confs,lambda(conf,xlookup(conf,'Conf WC Eligibility'!A:A,'Conf WC Eligibility'!C:C,,))),confs_picked,byrow(confs,lambda(conf,countif(E$1:E209,conf))),p_needs_conf_count,byrow(confs,la"&amp;"mbda(conf,counta('Draft Order'!B$2:B622)-COUNTUNIQUE(filter(D$2:D209,E$2:E209=conf)))),query({confs,confs_count,confs_picked,p_needs_conf_count},""select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1">
      <c r="A211" s="1"/>
      <c r="B211" s="1"/>
      <c r="C211" s="1"/>
      <c r="D211" s="115"/>
      <c r="E211" s="116"/>
      <c r="F211" s="77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13" t="str">
        <f>IFERROR(__xludf.DUMMYFUNCTION("iferror(join("","",index(sort(filter($F212:$F$400,$Q212:$Q$400&gt;$Q211,arrayformula(isnumber(FIND($E212:$E$400,AP211)))),2,false),0,1)))"),"")</f>
        <v/>
      </c>
      <c r="AW211" s="113" t="b">
        <f>IFERROR(__xludf.DUMMYFUNCTION("isnumber(find(""wild card"",join("","",filter($G$1:$G210,$D$1:$D210=D211))))"),FALSE)</f>
        <v>0</v>
      </c>
      <c r="AX211" s="113" t="str">
        <f>IFERROR(__xludf.DUMMYFUNCTION("join("","",let(confs,unique(TRANSPOSe(Teams!$1:$1)), confs_count, BYROW(confs,lambda(conf,xlookup(conf,'Conf WC Eligibility'!A:A,'Conf WC Eligibility'!C:C,,))),confs_picked,byrow(confs,lambda(conf,countif(E$1:E210,conf))),p_needs_conf_count,byrow(confs,la"&amp;"mbda(conf,counta('Draft Order'!B$2:B622)-COUNTUNIQUE(filter(D$2:D210,E$2:E210=conf)))),query({confs,confs_count,confs_picked,p_needs_conf_count},""select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2">
      <c r="A212" s="1"/>
      <c r="B212" s="1"/>
      <c r="C212" s="1"/>
      <c r="D212" s="115"/>
      <c r="E212" s="116"/>
      <c r="F212" s="77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13" t="str">
        <f>IFERROR(__xludf.DUMMYFUNCTION("iferror(join("","",index(sort(filter($F213:$F$400,$Q213:$Q$400&gt;$Q212,arrayformula(isnumber(FIND($E213:$E$400,AP212)))),2,false),0,1)))"),"")</f>
        <v/>
      </c>
      <c r="AW212" s="113" t="b">
        <f>IFERROR(__xludf.DUMMYFUNCTION("isnumber(find(""wild card"",join("","",filter($G$1:$G211,$D$1:$D211=D212))))"),FALSE)</f>
        <v>0</v>
      </c>
      <c r="AX212" s="113" t="str">
        <f>IFERROR(__xludf.DUMMYFUNCTION("join("","",let(confs,unique(TRANSPOSe(Teams!$1:$1)), confs_count, BYROW(confs,lambda(conf,xlookup(conf,'Conf WC Eligibility'!A:A,'Conf WC Eligibility'!C:C,,))),confs_picked,byrow(confs,lambda(conf,countif(E$1:E211,conf))),p_needs_conf_count,byrow(confs,la"&amp;"mbda(conf,counta('Draft Order'!B$2:B622)-COUNTUNIQUE(filter(D$2:D211,E$2:E211=conf)))),query({confs,confs_count,confs_picked,p_needs_conf_count},""select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3">
      <c r="A213" s="1"/>
      <c r="B213" s="1"/>
      <c r="C213" s="1"/>
      <c r="D213" s="115"/>
      <c r="E213" s="116"/>
      <c r="F213" s="77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13" t="str">
        <f>IFERROR(__xludf.DUMMYFUNCTION("iferror(join("","",index(sort(filter($F214:$F$400,$Q214:$Q$400&gt;$Q213,arrayformula(isnumber(FIND($E214:$E$400,AP213)))),2,false),0,1)))"),"")</f>
        <v/>
      </c>
      <c r="AW213" s="113" t="b">
        <f>IFERROR(__xludf.DUMMYFUNCTION("isnumber(find(""wild card"",join("","",filter($G$1:$G212,$D$1:$D212=D213))))"),FALSE)</f>
        <v>0</v>
      </c>
      <c r="AX213" s="113" t="str">
        <f>IFERROR(__xludf.DUMMYFUNCTION("join("","",let(confs,unique(TRANSPOSe(Teams!$1:$1)), confs_count, BYROW(confs,lambda(conf,xlookup(conf,'Conf WC Eligibility'!A:A,'Conf WC Eligibility'!C:C,,))),confs_picked,byrow(confs,lambda(conf,countif(E$1:E212,conf))),p_needs_conf_count,byrow(confs,la"&amp;"mbda(conf,counta('Draft Order'!B$2:B622)-COUNTUNIQUE(filter(D$2:D212,E$2:E212=conf)))),query({confs,confs_count,confs_picked,p_needs_conf_count},""select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4">
      <c r="A214" s="1"/>
      <c r="B214" s="1"/>
      <c r="C214" s="1"/>
      <c r="D214" s="115"/>
      <c r="E214" s="116"/>
      <c r="F214" s="77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13" t="str">
        <f>IFERROR(__xludf.DUMMYFUNCTION("iferror(join("","",index(sort(filter($F215:$F$400,$Q215:$Q$400&gt;$Q214,arrayformula(isnumber(FIND($E215:$E$400,AP214)))),2,false),0,1)))"),"")</f>
        <v/>
      </c>
      <c r="AW214" s="113" t="b">
        <f>IFERROR(__xludf.DUMMYFUNCTION("isnumber(find(""wild card"",join("","",filter($G$1:$G213,$D$1:$D213=D214))))"),FALSE)</f>
        <v>0</v>
      </c>
      <c r="AX214" s="113" t="str">
        <f>IFERROR(__xludf.DUMMYFUNCTION("join("","",let(confs,unique(TRANSPOSe(Teams!$1:$1)), confs_count, BYROW(confs,lambda(conf,xlookup(conf,'Conf WC Eligibility'!A:A,'Conf WC Eligibility'!C:C,,))),confs_picked,byrow(confs,lambda(conf,countif(E$1:E213,conf))),p_needs_conf_count,byrow(confs,la"&amp;"mbda(conf,counta('Draft Order'!B$2:B622)-COUNTUNIQUE(filter(D$2:D213,E$2:E213=conf)))),query({confs,confs_count,confs_picked,p_needs_conf_count},""select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5">
      <c r="A215" s="1"/>
      <c r="B215" s="1"/>
      <c r="C215" s="1"/>
      <c r="D215" s="115"/>
      <c r="E215" s="116"/>
      <c r="F215" s="77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13" t="str">
        <f>IFERROR(__xludf.DUMMYFUNCTION("iferror(join("","",index(sort(filter($F216:$F$400,$Q216:$Q$400&gt;$Q215,arrayformula(isnumber(FIND($E216:$E$400,AP215)))),2,false),0,1)))"),"")</f>
        <v/>
      </c>
      <c r="AW215" s="113" t="b">
        <f>IFERROR(__xludf.DUMMYFUNCTION("isnumber(find(""wild card"",join("","",filter($G$1:$G214,$D$1:$D214=D215))))"),FALSE)</f>
        <v>0</v>
      </c>
      <c r="AX215" s="113" t="str">
        <f>IFERROR(__xludf.DUMMYFUNCTION("join("","",let(confs,unique(TRANSPOSe(Teams!$1:$1)), confs_count, BYROW(confs,lambda(conf,xlookup(conf,'Conf WC Eligibility'!A:A,'Conf WC Eligibility'!C:C,,))),confs_picked,byrow(confs,lambda(conf,countif(E$1:E214,conf))),p_needs_conf_count,byrow(confs,la"&amp;"mbda(conf,counta('Draft Order'!B$2:B622)-COUNTUNIQUE(filter(D$2:D214,E$2:E214=conf)))),query({confs,confs_count,confs_picked,p_needs_conf_count},""select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6">
      <c r="A216" s="1"/>
      <c r="B216" s="1"/>
      <c r="C216" s="1"/>
      <c r="D216" s="115"/>
      <c r="E216" s="116"/>
      <c r="F216" s="77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13" t="str">
        <f>IFERROR(__xludf.DUMMYFUNCTION("iferror(join("","",index(sort(filter($F217:$F$400,$Q217:$Q$400&gt;$Q216,arrayformula(isnumber(FIND($E217:$E$400,AP216)))),2,false),0,1)))"),"")</f>
        <v/>
      </c>
      <c r="AW216" s="113" t="b">
        <f>IFERROR(__xludf.DUMMYFUNCTION("isnumber(find(""wild card"",join("","",filter($G$1:$G215,$D$1:$D215=D216))))"),FALSE)</f>
        <v>0</v>
      </c>
      <c r="AX216" s="113" t="str">
        <f>IFERROR(__xludf.DUMMYFUNCTION("join("","",let(confs,unique(TRANSPOSe(Teams!$1:$1)), confs_count, BYROW(confs,lambda(conf,xlookup(conf,'Conf WC Eligibility'!A:A,'Conf WC Eligibility'!C:C,,))),confs_picked,byrow(confs,lambda(conf,countif(E$1:E215,conf))),p_needs_conf_count,byrow(confs,la"&amp;"mbda(conf,counta('Draft Order'!B$2:B622)-COUNTUNIQUE(filter(D$2:D215,E$2:E215=conf)))),query({confs,confs_count,confs_picked,p_needs_conf_count},""select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7">
      <c r="A217" s="1"/>
      <c r="B217" s="1"/>
      <c r="C217" s="1"/>
      <c r="D217" s="115"/>
      <c r="E217" s="116"/>
      <c r="F217" s="77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13" t="str">
        <f>IFERROR(__xludf.DUMMYFUNCTION("iferror(join("","",index(sort(filter($F218:$F$400,$Q218:$Q$400&gt;$Q217,arrayformula(isnumber(FIND($E218:$E$400,AP217)))),2,false),0,1)))"),"")</f>
        <v/>
      </c>
      <c r="AW217" s="113" t="b">
        <f>IFERROR(__xludf.DUMMYFUNCTION("isnumber(find(""wild card"",join("","",filter($G$1:$G216,$D$1:$D216=D217))))"),FALSE)</f>
        <v>0</v>
      </c>
      <c r="AX217" s="113" t="str">
        <f>IFERROR(__xludf.DUMMYFUNCTION("join("","",let(confs,unique(TRANSPOSe(Teams!$1:$1)), confs_count, BYROW(confs,lambda(conf,xlookup(conf,'Conf WC Eligibility'!A:A,'Conf WC Eligibility'!C:C,,))),confs_picked,byrow(confs,lambda(conf,countif(E$1:E216,conf))),p_needs_conf_count,byrow(confs,la"&amp;"mbda(conf,counta('Draft Order'!B$2:B622)-COUNTUNIQUE(filter(D$2:D216,E$2:E216=conf)))),query({confs,confs_count,confs_picked,p_needs_conf_count},""select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8">
      <c r="A218" s="1"/>
      <c r="B218" s="1"/>
      <c r="C218" s="1"/>
      <c r="D218" s="115"/>
      <c r="E218" s="116"/>
      <c r="F218" s="77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13" t="str">
        <f>IFERROR(__xludf.DUMMYFUNCTION("iferror(join("","",index(sort(filter($F219:$F$400,$Q219:$Q$400&gt;$Q218,arrayformula(isnumber(FIND($E219:$E$400,AP218)))),2,false),0,1)))"),"")</f>
        <v/>
      </c>
      <c r="AW218" s="113" t="b">
        <f>IFERROR(__xludf.DUMMYFUNCTION("isnumber(find(""wild card"",join("","",filter($G$1:$G217,$D$1:$D217=D218))))"),FALSE)</f>
        <v>0</v>
      </c>
      <c r="AX218" s="113" t="str">
        <f>IFERROR(__xludf.DUMMYFUNCTION("join("","",let(confs,unique(TRANSPOSe(Teams!$1:$1)), confs_count, BYROW(confs,lambda(conf,xlookup(conf,'Conf WC Eligibility'!A:A,'Conf WC Eligibility'!C:C,,))),confs_picked,byrow(confs,lambda(conf,countif(E$1:E217,conf))),p_needs_conf_count,byrow(confs,la"&amp;"mbda(conf,counta('Draft Order'!B$2:B622)-COUNTUNIQUE(filter(D$2:D217,E$2:E217=conf)))),query({confs,confs_count,confs_picked,p_needs_conf_count},""select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19">
      <c r="A219" s="1"/>
      <c r="B219" s="1"/>
      <c r="C219" s="1"/>
      <c r="D219" s="115"/>
      <c r="E219" s="116"/>
      <c r="F219" s="77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13" t="str">
        <f>IFERROR(__xludf.DUMMYFUNCTION("iferror(join("","",index(sort(filter($F220:$F$400,$Q220:$Q$400&gt;$Q219,arrayformula(isnumber(FIND($E220:$E$400,AP219)))),2,false),0,1)))"),"")</f>
        <v/>
      </c>
      <c r="AW219" s="113" t="b">
        <f>IFERROR(__xludf.DUMMYFUNCTION("isnumber(find(""wild card"",join("","",filter($G$1:$G218,$D$1:$D218=D219))))"),FALSE)</f>
        <v>0</v>
      </c>
      <c r="AX219" s="113" t="str">
        <f>IFERROR(__xludf.DUMMYFUNCTION("join("","",let(confs,unique(TRANSPOSe(Teams!$1:$1)), confs_count, BYROW(confs,lambda(conf,xlookup(conf,'Conf WC Eligibility'!A:A,'Conf WC Eligibility'!C:C,,))),confs_picked,byrow(confs,lambda(conf,countif(E$1:E218,conf))),p_needs_conf_count,byrow(confs,la"&amp;"mbda(conf,counta('Draft Order'!B$2:B622)-COUNTUNIQUE(filter(D$2:D218,E$2:E218=conf)))),query({confs,confs_count,confs_picked,p_needs_conf_count},""select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0">
      <c r="A220" s="1"/>
      <c r="B220" s="1"/>
      <c r="C220" s="1"/>
      <c r="D220" s="115"/>
      <c r="E220" s="116"/>
      <c r="F220" s="77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13" t="str">
        <f>IFERROR(__xludf.DUMMYFUNCTION("iferror(join("","",index(sort(filter($F221:$F$400,$Q221:$Q$400&gt;$Q220,arrayformula(isnumber(FIND($E221:$E$400,AP220)))),2,false),0,1)))"),"")</f>
        <v/>
      </c>
      <c r="AW220" s="113" t="b">
        <f>IFERROR(__xludf.DUMMYFUNCTION("isnumber(find(""wild card"",join("","",filter($G$1:$G219,$D$1:$D219=D220))))"),FALSE)</f>
        <v>0</v>
      </c>
      <c r="AX220" s="113" t="str">
        <f>IFERROR(__xludf.DUMMYFUNCTION("join("","",let(confs,unique(TRANSPOSe(Teams!$1:$1)), confs_count, BYROW(confs,lambda(conf,xlookup(conf,'Conf WC Eligibility'!A:A,'Conf WC Eligibility'!C:C,,))),confs_picked,byrow(confs,lambda(conf,countif(E$1:E219,conf))),p_needs_conf_count,byrow(confs,la"&amp;"mbda(conf,counta('Draft Order'!B$2:B622)-COUNTUNIQUE(filter(D$2:D219,E$2:E219=conf)))),query({confs,confs_count,confs_picked,p_needs_conf_count},""select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1">
      <c r="A221" s="1"/>
      <c r="B221" s="1"/>
      <c r="C221" s="1"/>
      <c r="D221" s="115"/>
      <c r="E221" s="116"/>
      <c r="F221" s="77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13" t="str">
        <f>IFERROR(__xludf.DUMMYFUNCTION("iferror(join("","",index(sort(filter($F222:$F$400,$Q222:$Q$400&gt;$Q221,arrayformula(isnumber(FIND($E222:$E$400,AP221)))),2,false),0,1)))"),"")</f>
        <v/>
      </c>
      <c r="AW221" s="113" t="b">
        <f>IFERROR(__xludf.DUMMYFUNCTION("isnumber(find(""wild card"",join("","",filter($G$1:$G220,$D$1:$D220=D221))))"),FALSE)</f>
        <v>0</v>
      </c>
      <c r="AX221" s="113" t="str">
        <f>IFERROR(__xludf.DUMMYFUNCTION("join("","",let(confs,unique(TRANSPOSe(Teams!$1:$1)), confs_count, BYROW(confs,lambda(conf,xlookup(conf,'Conf WC Eligibility'!A:A,'Conf WC Eligibility'!C:C,,))),confs_picked,byrow(confs,lambda(conf,countif(E$1:E220,conf))),p_needs_conf_count,byrow(confs,la"&amp;"mbda(conf,counta('Draft Order'!B$2:B622)-COUNTUNIQUE(filter(D$2:D220,E$2:E220=conf)))),query({confs,confs_count,confs_picked,p_needs_conf_count},""select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2">
      <c r="A222" s="1"/>
      <c r="B222" s="1"/>
      <c r="C222" s="1"/>
      <c r="D222" s="115"/>
      <c r="E222" s="116"/>
      <c r="F222" s="77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13" t="str">
        <f>IFERROR(__xludf.DUMMYFUNCTION("iferror(join("","",index(sort(filter($F223:$F$400,$Q223:$Q$400&gt;$Q222,arrayformula(isnumber(FIND($E223:$E$400,AP222)))),2,false),0,1)))"),"")</f>
        <v/>
      </c>
      <c r="AW222" s="113" t="b">
        <f>IFERROR(__xludf.DUMMYFUNCTION("isnumber(find(""wild card"",join("","",filter($G$1:$G221,$D$1:$D221=D222))))"),FALSE)</f>
        <v>0</v>
      </c>
      <c r="AX222" s="113" t="str">
        <f>IFERROR(__xludf.DUMMYFUNCTION("join("","",let(confs,unique(TRANSPOSe(Teams!$1:$1)), confs_count, BYROW(confs,lambda(conf,xlookup(conf,'Conf WC Eligibility'!A:A,'Conf WC Eligibility'!C:C,,))),confs_picked,byrow(confs,lambda(conf,countif(E$1:E221,conf))),p_needs_conf_count,byrow(confs,la"&amp;"mbda(conf,counta('Draft Order'!B$2:B622)-COUNTUNIQUE(filter(D$2:D221,E$2:E221=conf)))),query({confs,confs_count,confs_picked,p_needs_conf_count},""select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3">
      <c r="A223" s="1"/>
      <c r="B223" s="1"/>
      <c r="C223" s="1"/>
      <c r="D223" s="115"/>
      <c r="E223" s="116"/>
      <c r="F223" s="77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13" t="str">
        <f>IFERROR(__xludf.DUMMYFUNCTION("iferror(join("","",index(sort(filter($F224:$F$400,$Q224:$Q$400&gt;$Q223,arrayformula(isnumber(FIND($E224:$E$400,AP223)))),2,false),0,1)))"),"")</f>
        <v/>
      </c>
      <c r="AW223" s="113" t="b">
        <f>IFERROR(__xludf.DUMMYFUNCTION("isnumber(find(""wild card"",join("","",filter($G$1:$G222,$D$1:$D222=D223))))"),FALSE)</f>
        <v>0</v>
      </c>
      <c r="AX223" s="113" t="str">
        <f>IFERROR(__xludf.DUMMYFUNCTION("join("","",let(confs,unique(TRANSPOSe(Teams!$1:$1)), confs_count, BYROW(confs,lambda(conf,xlookup(conf,'Conf WC Eligibility'!A:A,'Conf WC Eligibility'!C:C,,))),confs_picked,byrow(confs,lambda(conf,countif(E$1:E222,conf))),p_needs_conf_count,byrow(confs,la"&amp;"mbda(conf,counta('Draft Order'!B$2:B622)-COUNTUNIQUE(filter(D$2:D222,E$2:E222=conf)))),query({confs,confs_count,confs_picked,p_needs_conf_count},""select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4">
      <c r="A224" s="1"/>
      <c r="B224" s="1"/>
      <c r="C224" s="1"/>
      <c r="D224" s="115"/>
      <c r="E224" s="116"/>
      <c r="F224" s="77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13" t="str">
        <f>IFERROR(__xludf.DUMMYFUNCTION("iferror(join("","",index(sort(filter($F225:$F$400,$Q225:$Q$400&gt;$Q224,arrayformula(isnumber(FIND($E225:$E$400,AP224)))),2,false),0,1)))"),"")</f>
        <v/>
      </c>
      <c r="AW224" s="113" t="b">
        <f>IFERROR(__xludf.DUMMYFUNCTION("isnumber(find(""wild card"",join("","",filter($G$1:$G223,$D$1:$D223=D224))))"),FALSE)</f>
        <v>0</v>
      </c>
      <c r="AX224" s="113" t="str">
        <f>IFERROR(__xludf.DUMMYFUNCTION("join("","",let(confs,unique(TRANSPOSe(Teams!$1:$1)), confs_count, BYROW(confs,lambda(conf,xlookup(conf,'Conf WC Eligibility'!A:A,'Conf WC Eligibility'!C:C,,))),confs_picked,byrow(confs,lambda(conf,countif(E$1:E223,conf))),p_needs_conf_count,byrow(confs,la"&amp;"mbda(conf,counta('Draft Order'!B$2:B622)-COUNTUNIQUE(filter(D$2:D223,E$2:E223=conf)))),query({confs,confs_count,confs_picked,p_needs_conf_count},""select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5">
      <c r="A225" s="1"/>
      <c r="B225" s="1"/>
      <c r="C225" s="1"/>
      <c r="D225" s="115"/>
      <c r="E225" s="116"/>
      <c r="F225" s="77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13" t="str">
        <f>IFERROR(__xludf.DUMMYFUNCTION("iferror(join("","",index(sort(filter($F226:$F$400,$Q226:$Q$400&gt;$Q225,arrayformula(isnumber(FIND($E226:$E$400,AP225)))),2,false),0,1)))"),"")</f>
        <v/>
      </c>
      <c r="AW225" s="113" t="b">
        <f>IFERROR(__xludf.DUMMYFUNCTION("isnumber(find(""wild card"",join("","",filter($G$1:$G224,$D$1:$D224=D225))))"),FALSE)</f>
        <v>0</v>
      </c>
      <c r="AX225" s="113" t="str">
        <f>IFERROR(__xludf.DUMMYFUNCTION("join("","",let(confs,unique(TRANSPOSe(Teams!$1:$1)), confs_count, BYROW(confs,lambda(conf,xlookup(conf,'Conf WC Eligibility'!A:A,'Conf WC Eligibility'!C:C,,))),confs_picked,byrow(confs,lambda(conf,countif(E$1:E224,conf))),p_needs_conf_count,byrow(confs,la"&amp;"mbda(conf,counta('Draft Order'!B$2:B622)-COUNTUNIQUE(filter(D$2:D224,E$2:E224=conf)))),query({confs,confs_count,confs_picked,p_needs_conf_count},""select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6">
      <c r="A226" s="1"/>
      <c r="B226" s="1"/>
      <c r="C226" s="1"/>
      <c r="D226" s="115"/>
      <c r="E226" s="116"/>
      <c r="F226" s="77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13" t="str">
        <f>IFERROR(__xludf.DUMMYFUNCTION("iferror(join("","",index(sort(filter($F227:$F$400,$Q227:$Q$400&gt;$Q226,arrayformula(isnumber(FIND($E227:$E$400,AP226)))),2,false),0,1)))"),"")</f>
        <v/>
      </c>
      <c r="AW226" s="113" t="b">
        <f>IFERROR(__xludf.DUMMYFUNCTION("isnumber(find(""wild card"",join("","",filter($G$1:$G225,$D$1:$D225=D226))))"),FALSE)</f>
        <v>0</v>
      </c>
      <c r="AX226" s="113" t="str">
        <f>IFERROR(__xludf.DUMMYFUNCTION("join("","",let(confs,unique(TRANSPOSe(Teams!$1:$1)), confs_count, BYROW(confs,lambda(conf,xlookup(conf,'Conf WC Eligibility'!A:A,'Conf WC Eligibility'!C:C,,))),confs_picked,byrow(confs,lambda(conf,countif(E$1:E225,conf))),p_needs_conf_count,byrow(confs,la"&amp;"mbda(conf,counta('Draft Order'!B$2:B622)-COUNTUNIQUE(filter(D$2:D225,E$2:E225=conf)))),query({confs,confs_count,confs_picked,p_needs_conf_count},""select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7">
      <c r="A227" s="1"/>
      <c r="B227" s="1"/>
      <c r="C227" s="1"/>
      <c r="D227" s="115"/>
      <c r="E227" s="116"/>
      <c r="F227" s="77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13" t="str">
        <f>IFERROR(__xludf.DUMMYFUNCTION("iferror(join("","",index(sort(filter($F228:$F$400,$Q228:$Q$400&gt;$Q227,arrayformula(isnumber(FIND($E228:$E$400,AP227)))),2,false),0,1)))"),"")</f>
        <v/>
      </c>
      <c r="AW227" s="113" t="b">
        <f>IFERROR(__xludf.DUMMYFUNCTION("isnumber(find(""wild card"",join("","",filter($G$1:$G226,$D$1:$D226=D227))))"),FALSE)</f>
        <v>0</v>
      </c>
      <c r="AX227" s="113" t="str">
        <f>IFERROR(__xludf.DUMMYFUNCTION("join("","",let(confs,unique(TRANSPOSe(Teams!$1:$1)), confs_count, BYROW(confs,lambda(conf,xlookup(conf,'Conf WC Eligibility'!A:A,'Conf WC Eligibility'!C:C,,))),confs_picked,byrow(confs,lambda(conf,countif(E$1:E226,conf))),p_needs_conf_count,byrow(confs,la"&amp;"mbda(conf,counta('Draft Order'!B$2:B622)-COUNTUNIQUE(filter(D$2:D226,E$2:E226=conf)))),query({confs,confs_count,confs_picked,p_needs_conf_count},""select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8">
      <c r="A228" s="1"/>
      <c r="B228" s="1"/>
      <c r="C228" s="1"/>
      <c r="D228" s="115"/>
      <c r="E228" s="116"/>
      <c r="F228" s="77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13" t="str">
        <f>IFERROR(__xludf.DUMMYFUNCTION("iferror(join("","",index(sort(filter($F229:$F$400,$Q229:$Q$400&gt;$Q228,arrayformula(isnumber(FIND($E229:$E$400,AP228)))),2,false),0,1)))"),"")</f>
        <v/>
      </c>
      <c r="AW228" s="113" t="b">
        <f>IFERROR(__xludf.DUMMYFUNCTION("isnumber(find(""wild card"",join("","",filter($G$1:$G227,$D$1:$D227=D228))))"),FALSE)</f>
        <v>0</v>
      </c>
      <c r="AX228" s="113" t="str">
        <f>IFERROR(__xludf.DUMMYFUNCTION("join("","",let(confs,unique(TRANSPOSe(Teams!$1:$1)), confs_count, BYROW(confs,lambda(conf,xlookup(conf,'Conf WC Eligibility'!A:A,'Conf WC Eligibility'!C:C,,))),confs_picked,byrow(confs,lambda(conf,countif(E$1:E227,conf))),p_needs_conf_count,byrow(confs,la"&amp;"mbda(conf,counta('Draft Order'!B$2:B622)-COUNTUNIQUE(filter(D$2:D227,E$2:E227=conf)))),query({confs,confs_count,confs_picked,p_needs_conf_count},""select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29">
      <c r="A229" s="1"/>
      <c r="B229" s="1"/>
      <c r="C229" s="1"/>
      <c r="D229" s="115"/>
      <c r="E229" s="116"/>
      <c r="F229" s="77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13" t="str">
        <f>IFERROR(__xludf.DUMMYFUNCTION("iferror(join("","",index(sort(filter($F230:$F$400,$Q230:$Q$400&gt;$Q229,arrayformula(isnumber(FIND($E230:$E$400,AP229)))),2,false),0,1)))"),"")</f>
        <v/>
      </c>
      <c r="AW229" s="113" t="b">
        <f>IFERROR(__xludf.DUMMYFUNCTION("isnumber(find(""wild card"",join("","",filter($G$1:$G228,$D$1:$D228=D229))))"),FALSE)</f>
        <v>0</v>
      </c>
      <c r="AX229" s="113" t="str">
        <f>IFERROR(__xludf.DUMMYFUNCTION("join("","",let(confs,unique(TRANSPOSe(Teams!$1:$1)), confs_count, BYROW(confs,lambda(conf,xlookup(conf,'Conf WC Eligibility'!A:A,'Conf WC Eligibility'!C:C,,))),confs_picked,byrow(confs,lambda(conf,countif(E$1:E228,conf))),p_needs_conf_count,byrow(confs,la"&amp;"mbda(conf,counta('Draft Order'!B$2:B622)-COUNTUNIQUE(filter(D$2:D228,E$2:E228=conf)))),query({confs,confs_count,confs_picked,p_needs_conf_count},""select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0">
      <c r="A230" s="1"/>
      <c r="B230" s="1"/>
      <c r="C230" s="1"/>
      <c r="D230" s="115"/>
      <c r="E230" s="116"/>
      <c r="F230" s="77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13" t="str">
        <f>IFERROR(__xludf.DUMMYFUNCTION("iferror(join("","",index(sort(filter($F231:$F$400,$Q231:$Q$400&gt;$Q230,arrayformula(isnumber(FIND($E231:$E$400,AP230)))),2,false),0,1)))"),"")</f>
        <v/>
      </c>
      <c r="AW230" s="113" t="b">
        <f>IFERROR(__xludf.DUMMYFUNCTION("isnumber(find(""wild card"",join("","",filter($G$1:$G229,$D$1:$D229=D230))))"),FALSE)</f>
        <v>0</v>
      </c>
      <c r="AX230" s="113" t="str">
        <f>IFERROR(__xludf.DUMMYFUNCTION("join("","",let(confs,unique(TRANSPOSe(Teams!$1:$1)), confs_count, BYROW(confs,lambda(conf,xlookup(conf,'Conf WC Eligibility'!A:A,'Conf WC Eligibility'!C:C,,))),confs_picked,byrow(confs,lambda(conf,countif(E$1:E229,conf))),p_needs_conf_count,byrow(confs,la"&amp;"mbda(conf,counta('Draft Order'!B$2:B622)-COUNTUNIQUE(filter(D$2:D229,E$2:E229=conf)))),query({confs,confs_count,confs_picked,p_needs_conf_count},""select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1">
      <c r="A231" s="1"/>
      <c r="B231" s="1"/>
      <c r="C231" s="1"/>
      <c r="D231" s="115"/>
      <c r="E231" s="116"/>
      <c r="F231" s="77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13" t="str">
        <f>IFERROR(__xludf.DUMMYFUNCTION("iferror(join("","",index(sort(filter($F232:$F$400,$Q232:$Q$400&gt;$Q231,arrayformula(isnumber(FIND($E232:$E$400,AP231)))),2,false),0,1)))"),"")</f>
        <v/>
      </c>
      <c r="AW231" s="113" t="b">
        <f>IFERROR(__xludf.DUMMYFUNCTION("isnumber(find(""wild card"",join("","",filter($G$1:$G230,$D$1:$D230=D231))))"),FALSE)</f>
        <v>0</v>
      </c>
      <c r="AX231" s="113" t="str">
        <f>IFERROR(__xludf.DUMMYFUNCTION("join("","",let(confs,unique(TRANSPOSe(Teams!$1:$1)), confs_count, BYROW(confs,lambda(conf,xlookup(conf,'Conf WC Eligibility'!A:A,'Conf WC Eligibility'!C:C,,))),confs_picked,byrow(confs,lambda(conf,countif(E$1:E230,conf))),p_needs_conf_count,byrow(confs,la"&amp;"mbda(conf,counta('Draft Order'!B$2:B622)-COUNTUNIQUE(filter(D$2:D230,E$2:E230=conf)))),query({confs,confs_count,confs_picked,p_needs_conf_count},""select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2">
      <c r="A232" s="1"/>
      <c r="B232" s="1"/>
      <c r="C232" s="1"/>
      <c r="D232" s="115"/>
      <c r="E232" s="116"/>
      <c r="F232" s="77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13" t="str">
        <f>IFERROR(__xludf.DUMMYFUNCTION("iferror(join("","",index(sort(filter($F233:$F$400,$Q233:$Q$400&gt;$Q232,arrayformula(isnumber(FIND($E233:$E$400,AP232)))),2,false),0,1)))"),"")</f>
        <v/>
      </c>
      <c r="AW232" s="113" t="b">
        <f>IFERROR(__xludf.DUMMYFUNCTION("isnumber(find(""wild card"",join("","",filter($G$1:$G231,$D$1:$D231=D232))))"),FALSE)</f>
        <v>0</v>
      </c>
      <c r="AX232" s="113" t="str">
        <f>IFERROR(__xludf.DUMMYFUNCTION("join("","",let(confs,unique(TRANSPOSe(Teams!$1:$1)), confs_count, BYROW(confs,lambda(conf,xlookup(conf,'Conf WC Eligibility'!A:A,'Conf WC Eligibility'!C:C,,))),confs_picked,byrow(confs,lambda(conf,countif(E$1:E231,conf))),p_needs_conf_count,byrow(confs,la"&amp;"mbda(conf,counta('Draft Order'!B$2:B622)-COUNTUNIQUE(filter(D$2:D231,E$2:E231=conf)))),query({confs,confs_count,confs_picked,p_needs_conf_count},""select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3">
      <c r="A233" s="1"/>
      <c r="B233" s="1"/>
      <c r="C233" s="1"/>
      <c r="D233" s="115"/>
      <c r="E233" s="116"/>
      <c r="F233" s="77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13" t="str">
        <f>IFERROR(__xludf.DUMMYFUNCTION("iferror(join("","",index(sort(filter($F234:$F$400,$Q234:$Q$400&gt;$Q233,arrayformula(isnumber(FIND($E234:$E$400,AP233)))),2,false),0,1)))"),"")</f>
        <v/>
      </c>
      <c r="AW233" s="113" t="b">
        <f>IFERROR(__xludf.DUMMYFUNCTION("isnumber(find(""wild card"",join("","",filter($G$1:$G232,$D$1:$D232=D233))))"),FALSE)</f>
        <v>0</v>
      </c>
      <c r="AX233" s="113" t="str">
        <f>IFERROR(__xludf.DUMMYFUNCTION("join("","",let(confs,unique(TRANSPOSe(Teams!$1:$1)), confs_count, BYROW(confs,lambda(conf,xlookup(conf,'Conf WC Eligibility'!A:A,'Conf WC Eligibility'!C:C,,))),confs_picked,byrow(confs,lambda(conf,countif(E$1:E232,conf))),p_needs_conf_count,byrow(confs,la"&amp;"mbda(conf,counta('Draft Order'!B$2:B622)-COUNTUNIQUE(filter(D$2:D232,E$2:E232=conf)))),query({confs,confs_count,confs_picked,p_needs_conf_count},""select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4">
      <c r="A234" s="1"/>
      <c r="B234" s="1"/>
      <c r="C234" s="1"/>
      <c r="D234" s="115"/>
      <c r="E234" s="116"/>
      <c r="F234" s="77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13" t="str">
        <f>IFERROR(__xludf.DUMMYFUNCTION("iferror(join("","",index(sort(filter($F235:$F$400,$Q235:$Q$400&gt;$Q234,arrayformula(isnumber(FIND($E235:$E$400,AP234)))),2,false),0,1)))"),"")</f>
        <v/>
      </c>
      <c r="AW234" s="113" t="b">
        <f>IFERROR(__xludf.DUMMYFUNCTION("isnumber(find(""wild card"",join("","",filter($G$1:$G233,$D$1:$D233=D234))))"),FALSE)</f>
        <v>0</v>
      </c>
      <c r="AX234" s="113" t="str">
        <f>IFERROR(__xludf.DUMMYFUNCTION("join("","",let(confs,unique(TRANSPOSe(Teams!$1:$1)), confs_count, BYROW(confs,lambda(conf,xlookup(conf,'Conf WC Eligibility'!A:A,'Conf WC Eligibility'!C:C,,))),confs_picked,byrow(confs,lambda(conf,countif(E$1:E233,conf))),p_needs_conf_count,byrow(confs,la"&amp;"mbda(conf,counta('Draft Order'!B$2:B622)-COUNTUNIQUE(filter(D$2:D233,E$2:E233=conf)))),query({confs,confs_count,confs_picked,p_needs_conf_count},""select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5">
      <c r="A235" s="1"/>
      <c r="B235" s="1"/>
      <c r="C235" s="1"/>
      <c r="D235" s="115"/>
      <c r="E235" s="116"/>
      <c r="F235" s="77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13" t="str">
        <f>IFERROR(__xludf.DUMMYFUNCTION("iferror(join("","",index(sort(filter($F236:$F$400,$Q236:$Q$400&gt;$Q235,arrayformula(isnumber(FIND($E236:$E$400,AP235)))),2,false),0,1)))"),"")</f>
        <v/>
      </c>
      <c r="AW235" s="113" t="b">
        <f>IFERROR(__xludf.DUMMYFUNCTION("isnumber(find(""wild card"",join("","",filter($G$1:$G234,$D$1:$D234=D235))))"),FALSE)</f>
        <v>0</v>
      </c>
      <c r="AX235" s="113" t="str">
        <f>IFERROR(__xludf.DUMMYFUNCTION("join("","",let(confs,unique(TRANSPOSe(Teams!$1:$1)), confs_count, BYROW(confs,lambda(conf,xlookup(conf,'Conf WC Eligibility'!A:A,'Conf WC Eligibility'!C:C,,))),confs_picked,byrow(confs,lambda(conf,countif(E$1:E234,conf))),p_needs_conf_count,byrow(confs,la"&amp;"mbda(conf,counta('Draft Order'!B$2:B622)-COUNTUNIQUE(filter(D$2:D234,E$2:E234=conf)))),query({confs,confs_count,confs_picked,p_needs_conf_count},""select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6">
      <c r="A236" s="1"/>
      <c r="B236" s="1"/>
      <c r="C236" s="1"/>
      <c r="D236" s="115"/>
      <c r="E236" s="116"/>
      <c r="F236" s="77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13" t="str">
        <f>IFERROR(__xludf.DUMMYFUNCTION("iferror(join("","",index(sort(filter($F237:$F$400,$Q237:$Q$400&gt;$Q236,arrayformula(isnumber(FIND($E237:$E$400,AP236)))),2,false),0,1)))"),"")</f>
        <v/>
      </c>
      <c r="AW236" s="113" t="b">
        <f>IFERROR(__xludf.DUMMYFUNCTION("isnumber(find(""wild card"",join("","",filter($G$1:$G235,$D$1:$D235=D236))))"),FALSE)</f>
        <v>0</v>
      </c>
      <c r="AX236" s="113" t="str">
        <f>IFERROR(__xludf.DUMMYFUNCTION("join("","",let(confs,unique(TRANSPOSe(Teams!$1:$1)), confs_count, BYROW(confs,lambda(conf,xlookup(conf,'Conf WC Eligibility'!A:A,'Conf WC Eligibility'!C:C,,))),confs_picked,byrow(confs,lambda(conf,countif(E$1:E235,conf))),p_needs_conf_count,byrow(confs,la"&amp;"mbda(conf,counta('Draft Order'!B$2:B622)-COUNTUNIQUE(filter(D$2:D235,E$2:E235=conf)))),query({confs,confs_count,confs_picked,p_needs_conf_count},""select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7">
      <c r="A237" s="1"/>
      <c r="B237" s="1"/>
      <c r="C237" s="1"/>
      <c r="D237" s="115"/>
      <c r="E237" s="116"/>
      <c r="F237" s="77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13" t="str">
        <f>IFERROR(__xludf.DUMMYFUNCTION("iferror(join("","",index(sort(filter($F238:$F$400,$Q238:$Q$400&gt;$Q237,arrayformula(isnumber(FIND($E238:$E$400,AP237)))),2,false),0,1)))"),"")</f>
        <v/>
      </c>
      <c r="AW237" s="113" t="b">
        <f>IFERROR(__xludf.DUMMYFUNCTION("isnumber(find(""wild card"",join("","",filter($G$1:$G236,$D$1:$D236=D237))))"),FALSE)</f>
        <v>0</v>
      </c>
      <c r="AX237" s="113" t="str">
        <f>IFERROR(__xludf.DUMMYFUNCTION("join("","",let(confs,unique(TRANSPOSe(Teams!$1:$1)), confs_count, BYROW(confs,lambda(conf,xlookup(conf,'Conf WC Eligibility'!A:A,'Conf WC Eligibility'!C:C,,))),confs_picked,byrow(confs,lambda(conf,countif(E$1:E236,conf))),p_needs_conf_count,byrow(confs,la"&amp;"mbda(conf,counta('Draft Order'!B$2:B622)-COUNTUNIQUE(filter(D$2:D236,E$2:E236=conf)))),query({confs,confs_count,confs_picked,p_needs_conf_count},""select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8">
      <c r="A238" s="1"/>
      <c r="B238" s="1"/>
      <c r="C238" s="1"/>
      <c r="D238" s="115"/>
      <c r="E238" s="116"/>
      <c r="F238" s="77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13" t="str">
        <f>IFERROR(__xludf.DUMMYFUNCTION("iferror(join("","",index(sort(filter($F239:$F$400,$Q239:$Q$400&gt;$Q238,arrayformula(isnumber(FIND($E239:$E$400,AP238)))),2,false),0,1)))"),"")</f>
        <v/>
      </c>
      <c r="AW238" s="113" t="b">
        <f>IFERROR(__xludf.DUMMYFUNCTION("isnumber(find(""wild card"",join("","",filter($G$1:$G237,$D$1:$D237=D238))))"),FALSE)</f>
        <v>0</v>
      </c>
      <c r="AX238" s="113" t="str">
        <f>IFERROR(__xludf.DUMMYFUNCTION("join("","",let(confs,unique(TRANSPOSe(Teams!$1:$1)), confs_count, BYROW(confs,lambda(conf,xlookup(conf,'Conf WC Eligibility'!A:A,'Conf WC Eligibility'!C:C,,))),confs_picked,byrow(confs,lambda(conf,countif(E$1:E237,conf))),p_needs_conf_count,byrow(confs,la"&amp;"mbda(conf,counta('Draft Order'!B$2:B622)-COUNTUNIQUE(filter(D$2:D237,E$2:E237=conf)))),query({confs,confs_count,confs_picked,p_needs_conf_count},""select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39">
      <c r="A239" s="1"/>
      <c r="B239" s="1"/>
      <c r="C239" s="1"/>
      <c r="D239" s="115"/>
      <c r="E239" s="116"/>
      <c r="F239" s="77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13" t="str">
        <f>IFERROR(__xludf.DUMMYFUNCTION("iferror(join("","",index(sort(filter($F240:$F$400,$Q240:$Q$400&gt;$Q239,arrayformula(isnumber(FIND($E240:$E$400,AP239)))),2,false),0,1)))"),"")</f>
        <v/>
      </c>
      <c r="AW239" s="113" t="b">
        <f>IFERROR(__xludf.DUMMYFUNCTION("isnumber(find(""wild card"",join("","",filter($G$1:$G238,$D$1:$D238=D239))))"),FALSE)</f>
        <v>0</v>
      </c>
      <c r="AX239" s="113" t="str">
        <f>IFERROR(__xludf.DUMMYFUNCTION("join("","",let(confs,unique(TRANSPOSe(Teams!$1:$1)), confs_count, BYROW(confs,lambda(conf,xlookup(conf,'Conf WC Eligibility'!A:A,'Conf WC Eligibility'!C:C,,))),confs_picked,byrow(confs,lambda(conf,countif(E$1:E238,conf))),p_needs_conf_count,byrow(confs,la"&amp;"mbda(conf,counta('Draft Order'!B$2:B622)-COUNTUNIQUE(filter(D$2:D238,E$2:E238=conf)))),query({confs,confs_count,confs_picked,p_needs_conf_count},""select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0">
      <c r="A240" s="1"/>
      <c r="B240" s="1"/>
      <c r="C240" s="1"/>
      <c r="D240" s="115"/>
      <c r="E240" s="116"/>
      <c r="F240" s="77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13" t="str">
        <f>IFERROR(__xludf.DUMMYFUNCTION("iferror(join("","",index(sort(filter($F241:$F$400,$Q241:$Q$400&gt;$Q240,arrayformula(isnumber(FIND($E241:$E$400,AP240)))),2,false),0,1)))"),"")</f>
        <v/>
      </c>
      <c r="AW240" s="113" t="b">
        <f>IFERROR(__xludf.DUMMYFUNCTION("isnumber(find(""wild card"",join("","",filter($G$1:$G239,$D$1:$D239=D240))))"),FALSE)</f>
        <v>0</v>
      </c>
      <c r="AX240" s="113" t="str">
        <f>IFERROR(__xludf.DUMMYFUNCTION("join("","",let(confs,unique(TRANSPOSe(Teams!$1:$1)), confs_count, BYROW(confs,lambda(conf,xlookup(conf,'Conf WC Eligibility'!A:A,'Conf WC Eligibility'!C:C,,))),confs_picked,byrow(confs,lambda(conf,countif(E$1:E239,conf))),p_needs_conf_count,byrow(confs,la"&amp;"mbda(conf,counta('Draft Order'!B$2:B622)-COUNTUNIQUE(filter(D$2:D239,E$2:E239=conf)))),query({confs,confs_count,confs_picked,p_needs_conf_count},""select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1">
      <c r="A241" s="1"/>
      <c r="B241" s="1"/>
      <c r="C241" s="1"/>
      <c r="D241" s="115"/>
      <c r="E241" s="116"/>
      <c r="F241" s="77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13" t="str">
        <f>IFERROR(__xludf.DUMMYFUNCTION("iferror(join("","",index(sort(filter($F242:$F$400,$Q242:$Q$400&gt;$Q241,arrayformula(isnumber(FIND($E242:$E$400,AP241)))),2,false),0,1)))"),"")</f>
        <v/>
      </c>
      <c r="AW241" s="113" t="b">
        <f>IFERROR(__xludf.DUMMYFUNCTION("isnumber(find(""wild card"",join("","",filter($G$1:$G240,$D$1:$D240=D241))))"),FALSE)</f>
        <v>0</v>
      </c>
      <c r="AX241" s="113" t="str">
        <f>IFERROR(__xludf.DUMMYFUNCTION("join("","",let(confs,unique(TRANSPOSe(Teams!$1:$1)), confs_count, BYROW(confs,lambda(conf,xlookup(conf,'Conf WC Eligibility'!A:A,'Conf WC Eligibility'!C:C,,))),confs_picked,byrow(confs,lambda(conf,countif(E$1:E240,conf))),p_needs_conf_count,byrow(confs,la"&amp;"mbda(conf,counta('Draft Order'!B$2:B622)-COUNTUNIQUE(filter(D$2:D240,E$2:E240=conf)))),query({confs,confs_count,confs_picked,p_needs_conf_count},""select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2">
      <c r="A242" s="1"/>
      <c r="B242" s="1"/>
      <c r="C242" s="1"/>
      <c r="D242" s="115"/>
      <c r="E242" s="116"/>
      <c r="F242" s="77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13" t="str">
        <f>IFERROR(__xludf.DUMMYFUNCTION("iferror(join("","",index(sort(filter($F243:$F$400,$Q243:$Q$400&gt;$Q242,arrayformula(isnumber(FIND($E243:$E$400,AP242)))),2,false),0,1)))"),"")</f>
        <v/>
      </c>
      <c r="AW242" s="113" t="b">
        <f>IFERROR(__xludf.DUMMYFUNCTION("isnumber(find(""wild card"",join("","",filter($G$1:$G241,$D$1:$D241=D242))))"),FALSE)</f>
        <v>0</v>
      </c>
      <c r="AX242" s="113" t="str">
        <f>IFERROR(__xludf.DUMMYFUNCTION("join("","",let(confs,unique(TRANSPOSe(Teams!$1:$1)), confs_count, BYROW(confs,lambda(conf,xlookup(conf,'Conf WC Eligibility'!A:A,'Conf WC Eligibility'!C:C,,))),confs_picked,byrow(confs,lambda(conf,countif(E$1:E241,conf))),p_needs_conf_count,byrow(confs,la"&amp;"mbda(conf,counta('Draft Order'!B$2:B622)-COUNTUNIQUE(filter(D$2:D241,E$2:E241=conf)))),query({confs,confs_count,confs_picked,p_needs_conf_count},""select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3">
      <c r="A243" s="1"/>
      <c r="B243" s="1"/>
      <c r="C243" s="1"/>
      <c r="D243" s="115"/>
      <c r="E243" s="116"/>
      <c r="F243" s="77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13" t="str">
        <f>IFERROR(__xludf.DUMMYFUNCTION("iferror(join("","",index(sort(filter($F244:$F$400,$Q244:$Q$400&gt;$Q243,arrayformula(isnumber(FIND($E244:$E$400,AP243)))),2,false),0,1)))"),"")</f>
        <v/>
      </c>
      <c r="AW243" s="113" t="b">
        <f>IFERROR(__xludf.DUMMYFUNCTION("isnumber(find(""wild card"",join("","",filter($G$1:$G242,$D$1:$D242=D243))))"),FALSE)</f>
        <v>0</v>
      </c>
      <c r="AX243" s="113" t="str">
        <f>IFERROR(__xludf.DUMMYFUNCTION("join("","",let(confs,unique(TRANSPOSe(Teams!$1:$1)), confs_count, BYROW(confs,lambda(conf,xlookup(conf,'Conf WC Eligibility'!A:A,'Conf WC Eligibility'!C:C,,))),confs_picked,byrow(confs,lambda(conf,countif(E$1:E242,conf))),p_needs_conf_count,byrow(confs,la"&amp;"mbda(conf,counta('Draft Order'!B$2:B622)-COUNTUNIQUE(filter(D$2:D242,E$2:E242=conf)))),query({confs,confs_count,confs_picked,p_needs_conf_count},""select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4">
      <c r="A244" s="1"/>
      <c r="B244" s="1"/>
      <c r="C244" s="1"/>
      <c r="D244" s="115"/>
      <c r="E244" s="116"/>
      <c r="F244" s="77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13" t="str">
        <f>IFERROR(__xludf.DUMMYFUNCTION("iferror(join("","",index(sort(filter($F245:$F$400,$Q245:$Q$400&gt;$Q244,arrayformula(isnumber(FIND($E245:$E$400,AP244)))),2,false),0,1)))"),"")</f>
        <v/>
      </c>
      <c r="AW244" s="113" t="b">
        <f>IFERROR(__xludf.DUMMYFUNCTION("isnumber(find(""wild card"",join("","",filter($G$1:$G243,$D$1:$D243=D244))))"),FALSE)</f>
        <v>0</v>
      </c>
      <c r="AX244" s="113" t="str">
        <f>IFERROR(__xludf.DUMMYFUNCTION("join("","",let(confs,unique(TRANSPOSe(Teams!$1:$1)), confs_count, BYROW(confs,lambda(conf,xlookup(conf,'Conf WC Eligibility'!A:A,'Conf WC Eligibility'!C:C,,))),confs_picked,byrow(confs,lambda(conf,countif(E$1:E243,conf))),p_needs_conf_count,byrow(confs,la"&amp;"mbda(conf,counta('Draft Order'!B$2:B622)-COUNTUNIQUE(filter(D$2:D243,E$2:E243=conf)))),query({confs,confs_count,confs_picked,p_needs_conf_count},""select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5">
      <c r="A245" s="1"/>
      <c r="B245" s="1"/>
      <c r="C245" s="1"/>
      <c r="D245" s="115"/>
      <c r="E245" s="116"/>
      <c r="F245" s="77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13" t="str">
        <f>IFERROR(__xludf.DUMMYFUNCTION("iferror(join("","",index(sort(filter($F246:$F$400,$Q246:$Q$400&gt;$Q245,arrayformula(isnumber(FIND($E246:$E$400,AP245)))),2,false),0,1)))"),"")</f>
        <v/>
      </c>
      <c r="AW245" s="113" t="b">
        <f>IFERROR(__xludf.DUMMYFUNCTION("isnumber(find(""wild card"",join("","",filter($G$1:$G244,$D$1:$D244=D245))))"),FALSE)</f>
        <v>0</v>
      </c>
      <c r="AX245" s="113" t="str">
        <f>IFERROR(__xludf.DUMMYFUNCTION("join("","",let(confs,unique(TRANSPOSe(Teams!$1:$1)), confs_count, BYROW(confs,lambda(conf,xlookup(conf,'Conf WC Eligibility'!A:A,'Conf WC Eligibility'!C:C,,))),confs_picked,byrow(confs,lambda(conf,countif(E$1:E244,conf))),p_needs_conf_count,byrow(confs,la"&amp;"mbda(conf,counta('Draft Order'!B$2:B622)-COUNTUNIQUE(filter(D$2:D244,E$2:E244=conf)))),query({confs,confs_count,confs_picked,p_needs_conf_count},""select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6">
      <c r="A246" s="1"/>
      <c r="B246" s="1"/>
      <c r="C246" s="1"/>
      <c r="D246" s="115"/>
      <c r="E246" s="116"/>
      <c r="F246" s="77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13" t="str">
        <f>IFERROR(__xludf.DUMMYFUNCTION("iferror(join("","",index(sort(filter($F247:$F$400,$Q247:$Q$400&gt;$Q246,arrayformula(isnumber(FIND($E247:$E$400,AP246)))),2,false),0,1)))"),"")</f>
        <v/>
      </c>
      <c r="AW246" s="113" t="b">
        <f>IFERROR(__xludf.DUMMYFUNCTION("isnumber(find(""wild card"",join("","",filter($G$1:$G245,$D$1:$D245=D246))))"),FALSE)</f>
        <v>0</v>
      </c>
      <c r="AX246" s="113" t="str">
        <f>IFERROR(__xludf.DUMMYFUNCTION("join("","",let(confs,unique(TRANSPOSe(Teams!$1:$1)), confs_count, BYROW(confs,lambda(conf,xlookup(conf,'Conf WC Eligibility'!A:A,'Conf WC Eligibility'!C:C,,))),confs_picked,byrow(confs,lambda(conf,countif(E$1:E245,conf))),p_needs_conf_count,byrow(confs,la"&amp;"mbda(conf,counta('Draft Order'!B$2:B622)-COUNTUNIQUE(filter(D$2:D245,E$2:E245=conf)))),query({confs,confs_count,confs_picked,p_needs_conf_count},""select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7">
      <c r="A247" s="1"/>
      <c r="B247" s="1"/>
      <c r="C247" s="1"/>
      <c r="D247" s="115"/>
      <c r="E247" s="116"/>
      <c r="F247" s="77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13" t="str">
        <f>IFERROR(__xludf.DUMMYFUNCTION("iferror(join("","",index(sort(filter($F248:$F$400,$Q248:$Q$400&gt;$Q247,arrayformula(isnumber(FIND($E248:$E$400,AP247)))),2,false),0,1)))"),"")</f>
        <v/>
      </c>
      <c r="AW247" s="113" t="b">
        <f>IFERROR(__xludf.DUMMYFUNCTION("isnumber(find(""wild card"",join("","",filter($G$1:$G246,$D$1:$D246=D247))))"),FALSE)</f>
        <v>0</v>
      </c>
      <c r="AX247" s="113" t="str">
        <f>IFERROR(__xludf.DUMMYFUNCTION("join("","",let(confs,unique(TRANSPOSe(Teams!$1:$1)), confs_count, BYROW(confs,lambda(conf,xlookup(conf,'Conf WC Eligibility'!A:A,'Conf WC Eligibility'!C:C,,))),confs_picked,byrow(confs,lambda(conf,countif(E$1:E246,conf))),p_needs_conf_count,byrow(confs,la"&amp;"mbda(conf,counta('Draft Order'!B$2:B622)-COUNTUNIQUE(filter(D$2:D246,E$2:E246=conf)))),query({confs,confs_count,confs_picked,p_needs_conf_count},""select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8">
      <c r="A248" s="1"/>
      <c r="B248" s="1"/>
      <c r="C248" s="1"/>
      <c r="D248" s="115"/>
      <c r="E248" s="116"/>
      <c r="F248" s="77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13" t="str">
        <f>IFERROR(__xludf.DUMMYFUNCTION("iferror(join("","",index(sort(filter($F249:$F$400,$Q249:$Q$400&gt;$Q248,arrayformula(isnumber(FIND($E249:$E$400,AP248)))),2,false),0,1)))"),"")</f>
        <v/>
      </c>
      <c r="AW248" s="113" t="b">
        <f>IFERROR(__xludf.DUMMYFUNCTION("isnumber(find(""wild card"",join("","",filter($G$1:$G247,$D$1:$D247=D248))))"),FALSE)</f>
        <v>0</v>
      </c>
      <c r="AX248" s="113" t="str">
        <f>IFERROR(__xludf.DUMMYFUNCTION("join("","",let(confs,unique(TRANSPOSe(Teams!$1:$1)), confs_count, BYROW(confs,lambda(conf,xlookup(conf,'Conf WC Eligibility'!A:A,'Conf WC Eligibility'!C:C,,))),confs_picked,byrow(confs,lambda(conf,countif(E$1:E247,conf))),p_needs_conf_count,byrow(confs,la"&amp;"mbda(conf,counta('Draft Order'!B$2:B622)-COUNTUNIQUE(filter(D$2:D247,E$2:E247=conf)))),query({confs,confs_count,confs_picked,p_needs_conf_count},""select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49">
      <c r="A249" s="1"/>
      <c r="B249" s="1"/>
      <c r="C249" s="1"/>
      <c r="D249" s="115"/>
      <c r="E249" s="116"/>
      <c r="F249" s="77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13" t="str">
        <f>IFERROR(__xludf.DUMMYFUNCTION("iferror(join("","",index(sort(filter($F250:$F$400,$Q250:$Q$400&gt;$Q249,arrayformula(isnumber(FIND($E250:$E$400,AP249)))),2,false),0,1)))"),"")</f>
        <v/>
      </c>
      <c r="AW249" s="113" t="b">
        <f>IFERROR(__xludf.DUMMYFUNCTION("isnumber(find(""wild card"",join("","",filter($G$1:$G248,$D$1:$D248=D249))))"),FALSE)</f>
        <v>0</v>
      </c>
      <c r="AX249" s="113" t="str">
        <f>IFERROR(__xludf.DUMMYFUNCTION("join("","",let(confs,unique(TRANSPOSe(Teams!$1:$1)), confs_count, BYROW(confs,lambda(conf,xlookup(conf,'Conf WC Eligibility'!A:A,'Conf WC Eligibility'!C:C,,))),confs_picked,byrow(confs,lambda(conf,countif(E$1:E248,conf))),p_needs_conf_count,byrow(confs,la"&amp;"mbda(conf,counta('Draft Order'!B$2:B622)-COUNTUNIQUE(filter(D$2:D248,E$2:E248=conf)))),query({confs,confs_count,confs_picked,p_needs_conf_count},""select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0">
      <c r="A250" s="1"/>
      <c r="B250" s="1"/>
      <c r="C250" s="1"/>
      <c r="D250" s="115"/>
      <c r="E250" s="116"/>
      <c r="F250" s="77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13" t="str">
        <f>IFERROR(__xludf.DUMMYFUNCTION("iferror(join("","",index(sort(filter($F251:$F$400,$Q251:$Q$400&gt;$Q250,arrayformula(isnumber(FIND($E251:$E$400,AP250)))),2,false),0,1)))"),"")</f>
        <v/>
      </c>
      <c r="AW250" s="113" t="b">
        <f>IFERROR(__xludf.DUMMYFUNCTION("isnumber(find(""wild card"",join("","",filter($G$1:$G249,$D$1:$D249=D250))))"),FALSE)</f>
        <v>0</v>
      </c>
      <c r="AX250" s="113" t="str">
        <f>IFERROR(__xludf.DUMMYFUNCTION("join("","",let(confs,unique(TRANSPOSe(Teams!$1:$1)), confs_count, BYROW(confs,lambda(conf,xlookup(conf,'Conf WC Eligibility'!A:A,'Conf WC Eligibility'!C:C,,))),confs_picked,byrow(confs,lambda(conf,countif(E$1:E249,conf))),p_needs_conf_count,byrow(confs,la"&amp;"mbda(conf,counta('Draft Order'!B$2:B622)-COUNTUNIQUE(filter(D$2:D249,E$2:E249=conf)))),query({confs,confs_count,confs_picked,p_needs_conf_count},""select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1">
      <c r="A251" s="1"/>
      <c r="B251" s="1"/>
      <c r="C251" s="1"/>
      <c r="D251" s="115"/>
      <c r="E251" s="116"/>
      <c r="F251" s="77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13" t="str">
        <f>IFERROR(__xludf.DUMMYFUNCTION("iferror(join("","",index(sort(filter($F252:$F$400,$Q252:$Q$400&gt;$Q251,arrayformula(isnumber(FIND($E252:$E$400,AP251)))),2,false),0,1)))"),"")</f>
        <v/>
      </c>
      <c r="AW251" s="113" t="b">
        <f>IFERROR(__xludf.DUMMYFUNCTION("isnumber(find(""wild card"",join("","",filter($G$1:$G250,$D$1:$D250=D251))))"),FALSE)</f>
        <v>0</v>
      </c>
      <c r="AX251" s="113" t="str">
        <f>IFERROR(__xludf.DUMMYFUNCTION("join("","",let(confs,unique(TRANSPOSe(Teams!$1:$1)), confs_count, BYROW(confs,lambda(conf,xlookup(conf,'Conf WC Eligibility'!A:A,'Conf WC Eligibility'!C:C,,))),confs_picked,byrow(confs,lambda(conf,countif(E$1:E250,conf))),p_needs_conf_count,byrow(confs,la"&amp;"mbda(conf,counta('Draft Order'!B$2:B622)-COUNTUNIQUE(filter(D$2:D250,E$2:E250=conf)))),query({confs,confs_count,confs_picked,p_needs_conf_count},""select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2">
      <c r="A252" s="1"/>
      <c r="B252" s="1"/>
      <c r="C252" s="1"/>
      <c r="D252" s="115"/>
      <c r="E252" s="116"/>
      <c r="F252" s="77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13" t="str">
        <f>IFERROR(__xludf.DUMMYFUNCTION("iferror(join("","",index(sort(filter($F253:$F$400,$Q253:$Q$400&gt;$Q252,arrayformula(isnumber(FIND($E253:$E$400,AP252)))),2,false),0,1)))"),"")</f>
        <v/>
      </c>
      <c r="AW252" s="113" t="b">
        <f>IFERROR(__xludf.DUMMYFUNCTION("isnumber(find(""wild card"",join("","",filter($G$1:$G251,$D$1:$D251=D252))))"),FALSE)</f>
        <v>0</v>
      </c>
      <c r="AX252" s="113" t="str">
        <f>IFERROR(__xludf.DUMMYFUNCTION("join("","",let(confs,unique(TRANSPOSe(Teams!$1:$1)), confs_count, BYROW(confs,lambda(conf,xlookup(conf,'Conf WC Eligibility'!A:A,'Conf WC Eligibility'!C:C,,))),confs_picked,byrow(confs,lambda(conf,countif(E$1:E251,conf))),p_needs_conf_count,byrow(confs,la"&amp;"mbda(conf,counta('Draft Order'!B$2:B622)-COUNTUNIQUE(filter(D$2:D251,E$2:E251=conf)))),query({confs,confs_count,confs_picked,p_needs_conf_count},""select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3">
      <c r="A253" s="1"/>
      <c r="B253" s="1"/>
      <c r="C253" s="1"/>
      <c r="D253" s="115"/>
      <c r="E253" s="116"/>
      <c r="F253" s="77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13" t="str">
        <f>IFERROR(__xludf.DUMMYFUNCTION("iferror(join("","",index(sort(filter($F254:$F$400,$Q254:$Q$400&gt;$Q253,arrayformula(isnumber(FIND($E254:$E$400,AP253)))),2,false),0,1)))"),"")</f>
        <v/>
      </c>
      <c r="AW253" s="113" t="b">
        <f>IFERROR(__xludf.DUMMYFUNCTION("isnumber(find(""wild card"",join("","",filter($G$1:$G252,$D$1:$D252=D253))))"),FALSE)</f>
        <v>0</v>
      </c>
      <c r="AX253" s="113" t="str">
        <f>IFERROR(__xludf.DUMMYFUNCTION("join("","",let(confs,unique(TRANSPOSe(Teams!$1:$1)), confs_count, BYROW(confs,lambda(conf,xlookup(conf,'Conf WC Eligibility'!A:A,'Conf WC Eligibility'!C:C,,))),confs_picked,byrow(confs,lambda(conf,countif(E$1:E252,conf))),p_needs_conf_count,byrow(confs,la"&amp;"mbda(conf,counta('Draft Order'!B$2:B622)-COUNTUNIQUE(filter(D$2:D252,E$2:E252=conf)))),query({confs,confs_count,confs_picked,p_needs_conf_count},""select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4">
      <c r="A254" s="1"/>
      <c r="B254" s="1"/>
      <c r="C254" s="1"/>
      <c r="D254" s="115"/>
      <c r="E254" s="116"/>
      <c r="F254" s="77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13" t="str">
        <f>IFERROR(__xludf.DUMMYFUNCTION("iferror(join("","",index(sort(filter($F255:$F$400,$Q255:$Q$400&gt;$Q254,arrayformula(isnumber(FIND($E255:$E$400,AP254)))),2,false),0,1)))"),"")</f>
        <v/>
      </c>
      <c r="AW254" s="113" t="b">
        <f>IFERROR(__xludf.DUMMYFUNCTION("isnumber(find(""wild card"",join("","",filter($G$1:$G253,$D$1:$D253=D254))))"),FALSE)</f>
        <v>0</v>
      </c>
      <c r="AX254" s="113" t="str">
        <f>IFERROR(__xludf.DUMMYFUNCTION("join("","",let(confs,unique(TRANSPOSe(Teams!$1:$1)), confs_count, BYROW(confs,lambda(conf,xlookup(conf,'Conf WC Eligibility'!A:A,'Conf WC Eligibility'!C:C,,))),confs_picked,byrow(confs,lambda(conf,countif(E$1:E253,conf))),p_needs_conf_count,byrow(confs,la"&amp;"mbda(conf,counta('Draft Order'!B$2:B622)-COUNTUNIQUE(filter(D$2:D253,E$2:E253=conf)))),query({confs,confs_count,confs_picked,p_needs_conf_count},""select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5">
      <c r="A255" s="1"/>
      <c r="B255" s="1"/>
      <c r="C255" s="1"/>
      <c r="D255" s="115"/>
      <c r="E255" s="116"/>
      <c r="F255" s="77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13" t="str">
        <f>IFERROR(__xludf.DUMMYFUNCTION("iferror(join("","",index(sort(filter($F256:$F$400,$Q256:$Q$400&gt;$Q255,arrayformula(isnumber(FIND($E256:$E$400,AP255)))),2,false),0,1)))"),"")</f>
        <v/>
      </c>
      <c r="AW255" s="113" t="b">
        <f>IFERROR(__xludf.DUMMYFUNCTION("isnumber(find(""wild card"",join("","",filter($G$1:$G254,$D$1:$D254=D255))))"),FALSE)</f>
        <v>0</v>
      </c>
      <c r="AX255" s="113" t="str">
        <f>IFERROR(__xludf.DUMMYFUNCTION("join("","",let(confs,unique(TRANSPOSe(Teams!$1:$1)), confs_count, BYROW(confs,lambda(conf,xlookup(conf,'Conf WC Eligibility'!A:A,'Conf WC Eligibility'!C:C,,))),confs_picked,byrow(confs,lambda(conf,countif(E$1:E254,conf))),p_needs_conf_count,byrow(confs,la"&amp;"mbda(conf,counta('Draft Order'!B$2:B622)-COUNTUNIQUE(filter(D$2:D254,E$2:E254=conf)))),query({confs,confs_count,confs_picked,p_needs_conf_count},""select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6">
      <c r="A256" s="1"/>
      <c r="B256" s="1"/>
      <c r="C256" s="1"/>
      <c r="D256" s="115"/>
      <c r="E256" s="116"/>
      <c r="F256" s="77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13" t="str">
        <f>IFERROR(__xludf.DUMMYFUNCTION("iferror(join("","",index(sort(filter($F257:$F$400,$Q257:$Q$400&gt;$Q256,arrayformula(isnumber(FIND($E257:$E$400,AP256)))),2,false),0,1)))"),"")</f>
        <v/>
      </c>
      <c r="AW256" s="113" t="b">
        <f>IFERROR(__xludf.DUMMYFUNCTION("isnumber(find(""wild card"",join("","",filter($G$1:$G255,$D$1:$D255=D256))))"),FALSE)</f>
        <v>0</v>
      </c>
      <c r="AX256" s="113" t="str">
        <f>IFERROR(__xludf.DUMMYFUNCTION("join("","",let(confs,unique(TRANSPOSe(Teams!$1:$1)), confs_count, BYROW(confs,lambda(conf,xlookup(conf,'Conf WC Eligibility'!A:A,'Conf WC Eligibility'!C:C,,))),confs_picked,byrow(confs,lambda(conf,countif(E$1:E255,conf))),p_needs_conf_count,byrow(confs,la"&amp;"mbda(conf,counta('Draft Order'!B$2:B622)-COUNTUNIQUE(filter(D$2:D255,E$2:E255=conf)))),query({confs,confs_count,confs_picked,p_needs_conf_count},""select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7">
      <c r="A257" s="1"/>
      <c r="B257" s="1"/>
      <c r="C257" s="1"/>
      <c r="D257" s="115"/>
      <c r="E257" s="116"/>
      <c r="F257" s="77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13" t="str">
        <f>IFERROR(__xludf.DUMMYFUNCTION("iferror(join("","",index(sort(filter($F258:$F$400,$Q258:$Q$400&gt;$Q257,arrayformula(isnumber(FIND($E258:$E$400,AP257)))),2,false),0,1)))"),"")</f>
        <v/>
      </c>
      <c r="AW257" s="113" t="b">
        <f>IFERROR(__xludf.DUMMYFUNCTION("isnumber(find(""wild card"",join("","",filter($G$1:$G256,$D$1:$D256=D257))))"),FALSE)</f>
        <v>0</v>
      </c>
      <c r="AX257" s="113" t="str">
        <f>IFERROR(__xludf.DUMMYFUNCTION("join("","",let(confs,unique(TRANSPOSe(Teams!$1:$1)), confs_count, BYROW(confs,lambda(conf,xlookup(conf,'Conf WC Eligibility'!A:A,'Conf WC Eligibility'!C:C,,))),confs_picked,byrow(confs,lambda(conf,countif(E$1:E256,conf))),p_needs_conf_count,byrow(confs,la"&amp;"mbda(conf,counta('Draft Order'!B$2:B622)-COUNTUNIQUE(filter(D$2:D256,E$2:E256=conf)))),query({confs,confs_count,confs_picked,p_needs_conf_count},""select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8">
      <c r="A258" s="1"/>
      <c r="B258" s="1"/>
      <c r="C258" s="1"/>
      <c r="D258" s="115"/>
      <c r="E258" s="116"/>
      <c r="F258" s="77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13" t="str">
        <f>IFERROR(__xludf.DUMMYFUNCTION("iferror(join("","",index(sort(filter($F259:$F$400,$Q259:$Q$400&gt;$Q258,arrayformula(isnumber(FIND($E259:$E$400,AP258)))),2,false),0,1)))"),"")</f>
        <v/>
      </c>
      <c r="AW258" s="113" t="b">
        <f>IFERROR(__xludf.DUMMYFUNCTION("isnumber(find(""wild card"",join("","",filter($G$1:$G257,$D$1:$D257=D258))))"),FALSE)</f>
        <v>0</v>
      </c>
      <c r="AX258" s="113" t="str">
        <f>IFERROR(__xludf.DUMMYFUNCTION("join("","",let(confs,unique(TRANSPOSe(Teams!$1:$1)), confs_count, BYROW(confs,lambda(conf,xlookup(conf,'Conf WC Eligibility'!A:A,'Conf WC Eligibility'!C:C,,))),confs_picked,byrow(confs,lambda(conf,countif(E$1:E257,conf))),p_needs_conf_count,byrow(confs,la"&amp;"mbda(conf,counta('Draft Order'!B$2:B622)-COUNTUNIQUE(filter(D$2:D257,E$2:E257=conf)))),query({confs,confs_count,confs_picked,p_needs_conf_count},""select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59">
      <c r="A259" s="1"/>
      <c r="B259" s="1"/>
      <c r="C259" s="1"/>
      <c r="D259" s="115"/>
      <c r="E259" s="116"/>
      <c r="F259" s="77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13" t="str">
        <f>IFERROR(__xludf.DUMMYFUNCTION("iferror(join("","",index(sort(filter($F260:$F$400,$Q260:$Q$400&gt;$Q259,arrayformula(isnumber(FIND($E260:$E$400,AP259)))),2,false),0,1)))"),"")</f>
        <v/>
      </c>
      <c r="AW259" s="113" t="b">
        <f>IFERROR(__xludf.DUMMYFUNCTION("isnumber(find(""wild card"",join("","",filter($G$1:$G258,$D$1:$D258=D259))))"),FALSE)</f>
        <v>0</v>
      </c>
      <c r="AX259" s="113" t="str">
        <f>IFERROR(__xludf.DUMMYFUNCTION("join("","",let(confs,unique(TRANSPOSe(Teams!$1:$1)), confs_count, BYROW(confs,lambda(conf,xlookup(conf,'Conf WC Eligibility'!A:A,'Conf WC Eligibility'!C:C,,))),confs_picked,byrow(confs,lambda(conf,countif(E$1:E258,conf))),p_needs_conf_count,byrow(confs,la"&amp;"mbda(conf,counta('Draft Order'!B$2:B622)-COUNTUNIQUE(filter(D$2:D258,E$2:E258=conf)))),query({confs,confs_count,confs_picked,p_needs_conf_count},""select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0">
      <c r="A260" s="1"/>
      <c r="B260" s="1"/>
      <c r="C260" s="1"/>
      <c r="D260" s="115"/>
      <c r="E260" s="116"/>
      <c r="F260" s="77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13" t="str">
        <f>IFERROR(__xludf.DUMMYFUNCTION("iferror(join("","",index(sort(filter($F261:$F$400,$Q261:$Q$400&gt;$Q260,arrayformula(isnumber(FIND($E261:$E$400,AP260)))),2,false),0,1)))"),"")</f>
        <v/>
      </c>
      <c r="AW260" s="113" t="b">
        <f>IFERROR(__xludf.DUMMYFUNCTION("isnumber(find(""wild card"",join("","",filter($G$1:$G259,$D$1:$D259=D260))))"),FALSE)</f>
        <v>0</v>
      </c>
      <c r="AX260" s="113" t="str">
        <f>IFERROR(__xludf.DUMMYFUNCTION("join("","",let(confs,unique(TRANSPOSe(Teams!$1:$1)), confs_count, BYROW(confs,lambda(conf,xlookup(conf,'Conf WC Eligibility'!A:A,'Conf WC Eligibility'!C:C,,))),confs_picked,byrow(confs,lambda(conf,countif(E$1:E259,conf))),p_needs_conf_count,byrow(confs,la"&amp;"mbda(conf,counta('Draft Order'!B$2:B622)-COUNTUNIQUE(filter(D$2:D259,E$2:E259=conf)))),query({confs,confs_count,confs_picked,p_needs_conf_count},""select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1">
      <c r="A261" s="1"/>
      <c r="B261" s="1"/>
      <c r="C261" s="1"/>
      <c r="D261" s="115"/>
      <c r="E261" s="116"/>
      <c r="F261" s="77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13" t="str">
        <f>IFERROR(__xludf.DUMMYFUNCTION("iferror(join("","",index(sort(filter($F262:$F$400,$Q262:$Q$400&gt;$Q261,arrayformula(isnumber(FIND($E262:$E$400,AP261)))),2,false),0,1)))"),"")</f>
        <v/>
      </c>
      <c r="AW261" s="113" t="b">
        <f>IFERROR(__xludf.DUMMYFUNCTION("isnumber(find(""wild card"",join("","",filter($G$1:$G260,$D$1:$D260=D261))))"),FALSE)</f>
        <v>0</v>
      </c>
      <c r="AX261" s="113" t="str">
        <f>IFERROR(__xludf.DUMMYFUNCTION("join("","",let(confs,unique(TRANSPOSe(Teams!$1:$1)), confs_count, BYROW(confs,lambda(conf,xlookup(conf,'Conf WC Eligibility'!A:A,'Conf WC Eligibility'!C:C,,))),confs_picked,byrow(confs,lambda(conf,countif(E$1:E260,conf))),p_needs_conf_count,byrow(confs,la"&amp;"mbda(conf,counta('Draft Order'!B$2:B622)-COUNTUNIQUE(filter(D$2:D260,E$2:E260=conf)))),query({confs,confs_count,confs_picked,p_needs_conf_count},""select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2">
      <c r="A262" s="1"/>
      <c r="B262" s="1"/>
      <c r="C262" s="1"/>
      <c r="D262" s="115"/>
      <c r="E262" s="116"/>
      <c r="F262" s="77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13" t="str">
        <f>IFERROR(__xludf.DUMMYFUNCTION("iferror(join("","",index(sort(filter($F263:$F$400,$Q263:$Q$400&gt;$Q262,arrayformula(isnumber(FIND($E263:$E$400,AP262)))),2,false),0,1)))"),"")</f>
        <v/>
      </c>
      <c r="AW262" s="113" t="b">
        <f>IFERROR(__xludf.DUMMYFUNCTION("isnumber(find(""wild card"",join("","",filter($G$1:$G261,$D$1:$D261=D262))))"),FALSE)</f>
        <v>0</v>
      </c>
      <c r="AX262" s="113" t="str">
        <f>IFERROR(__xludf.DUMMYFUNCTION("join("","",let(confs,unique(TRANSPOSe(Teams!$1:$1)), confs_count, BYROW(confs,lambda(conf,xlookup(conf,'Conf WC Eligibility'!A:A,'Conf WC Eligibility'!C:C,,))),confs_picked,byrow(confs,lambda(conf,countif(E$1:E261,conf))),p_needs_conf_count,byrow(confs,la"&amp;"mbda(conf,counta('Draft Order'!B$2:B622)-COUNTUNIQUE(filter(D$2:D261,E$2:E261=conf)))),query({confs,confs_count,confs_picked,p_needs_conf_count},""select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3">
      <c r="A263" s="1"/>
      <c r="B263" s="1"/>
      <c r="C263" s="1"/>
      <c r="D263" s="115"/>
      <c r="E263" s="116"/>
      <c r="F263" s="77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13" t="str">
        <f>IFERROR(__xludf.DUMMYFUNCTION("iferror(join("","",index(sort(filter($F264:$F$400,$Q264:$Q$400&gt;$Q263,arrayformula(isnumber(FIND($E264:$E$400,AP263)))),2,false),0,1)))"),"")</f>
        <v/>
      </c>
      <c r="AW263" s="113" t="b">
        <f>IFERROR(__xludf.DUMMYFUNCTION("isnumber(find(""wild card"",join("","",filter($G$1:$G262,$D$1:$D262=D263))))"),FALSE)</f>
        <v>0</v>
      </c>
      <c r="AX263" s="113" t="str">
        <f>IFERROR(__xludf.DUMMYFUNCTION("join("","",let(confs,unique(TRANSPOSe(Teams!$1:$1)), confs_count, BYROW(confs,lambda(conf,xlookup(conf,'Conf WC Eligibility'!A:A,'Conf WC Eligibility'!C:C,,))),confs_picked,byrow(confs,lambda(conf,countif(E$1:E262,conf))),p_needs_conf_count,byrow(confs,la"&amp;"mbda(conf,counta('Draft Order'!B$2:B622)-COUNTUNIQUE(filter(D$2:D262,E$2:E262=conf)))),query({confs,confs_count,confs_picked,p_needs_conf_count},""select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4">
      <c r="A264" s="1"/>
      <c r="B264" s="1"/>
      <c r="C264" s="1"/>
      <c r="D264" s="115"/>
      <c r="E264" s="116"/>
      <c r="F264" s="77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13" t="str">
        <f>IFERROR(__xludf.DUMMYFUNCTION("iferror(join("","",index(sort(filter($F265:$F$400,$Q265:$Q$400&gt;$Q264,arrayformula(isnumber(FIND($E265:$E$400,AP264)))),2,false),0,1)))"),"")</f>
        <v/>
      </c>
      <c r="AW264" s="113" t="b">
        <f>IFERROR(__xludf.DUMMYFUNCTION("isnumber(find(""wild card"",join("","",filter($G$1:$G263,$D$1:$D263=D264))))"),FALSE)</f>
        <v>0</v>
      </c>
      <c r="AX264" s="113" t="str">
        <f>IFERROR(__xludf.DUMMYFUNCTION("join("","",let(confs,unique(TRANSPOSe(Teams!$1:$1)), confs_count, BYROW(confs,lambda(conf,xlookup(conf,'Conf WC Eligibility'!A:A,'Conf WC Eligibility'!C:C,,))),confs_picked,byrow(confs,lambda(conf,countif(E$1:E263,conf))),p_needs_conf_count,byrow(confs,la"&amp;"mbda(conf,counta('Draft Order'!B$2:B622)-COUNTUNIQUE(filter(D$2:D263,E$2:E263=conf)))),query({confs,confs_count,confs_picked,p_needs_conf_count},""select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5">
      <c r="A265" s="1"/>
      <c r="B265" s="1"/>
      <c r="C265" s="1"/>
      <c r="D265" s="115"/>
      <c r="E265" s="116"/>
      <c r="F265" s="77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13" t="str">
        <f>IFERROR(__xludf.DUMMYFUNCTION("iferror(join("","",index(sort(filter($F266:$F$400,$Q266:$Q$400&gt;$Q265,arrayformula(isnumber(FIND($E266:$E$400,AP265)))),2,false),0,1)))"),"")</f>
        <v/>
      </c>
      <c r="AW265" s="113" t="b">
        <f>IFERROR(__xludf.DUMMYFUNCTION("isnumber(find(""wild card"",join("","",filter($G$1:$G264,$D$1:$D264=D265))))"),FALSE)</f>
        <v>0</v>
      </c>
      <c r="AX265" s="113" t="str">
        <f>IFERROR(__xludf.DUMMYFUNCTION("join("","",let(confs,unique(TRANSPOSe(Teams!$1:$1)), confs_count, BYROW(confs,lambda(conf,xlookup(conf,'Conf WC Eligibility'!A:A,'Conf WC Eligibility'!C:C,,))),confs_picked,byrow(confs,lambda(conf,countif(E$1:E264,conf))),p_needs_conf_count,byrow(confs,la"&amp;"mbda(conf,counta('Draft Order'!B$2:B622)-COUNTUNIQUE(filter(D$2:D264,E$2:E264=conf)))),query({confs,confs_count,confs_picked,p_needs_conf_count},""select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6">
      <c r="A266" s="1"/>
      <c r="B266" s="1"/>
      <c r="C266" s="1"/>
      <c r="D266" s="115"/>
      <c r="E266" s="116"/>
      <c r="F266" s="77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13" t="str">
        <f>IFERROR(__xludf.DUMMYFUNCTION("iferror(join("","",index(sort(filter($F267:$F$400,$Q267:$Q$400&gt;$Q266,arrayformula(isnumber(FIND($E267:$E$400,AP266)))),2,false),0,1)))"),"")</f>
        <v/>
      </c>
      <c r="AW266" s="113" t="b">
        <f>IFERROR(__xludf.DUMMYFUNCTION("isnumber(find(""wild card"",join("","",filter($G$1:$G265,$D$1:$D265=D266))))"),FALSE)</f>
        <v>0</v>
      </c>
      <c r="AX266" s="113" t="str">
        <f>IFERROR(__xludf.DUMMYFUNCTION("join("","",let(confs,unique(TRANSPOSe(Teams!$1:$1)), confs_count, BYROW(confs,lambda(conf,xlookup(conf,'Conf WC Eligibility'!A:A,'Conf WC Eligibility'!C:C,,))),confs_picked,byrow(confs,lambda(conf,countif(E$1:E265,conf))),p_needs_conf_count,byrow(confs,la"&amp;"mbda(conf,counta('Draft Order'!B$2:B622)-COUNTUNIQUE(filter(D$2:D265,E$2:E265=conf)))),query({confs,confs_count,confs_picked,p_needs_conf_count},""select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7">
      <c r="A267" s="1"/>
      <c r="B267" s="1"/>
      <c r="C267" s="1"/>
      <c r="D267" s="115"/>
      <c r="E267" s="116"/>
      <c r="F267" s="77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13" t="str">
        <f>IFERROR(__xludf.DUMMYFUNCTION("iferror(join("","",index(sort(filter($F268:$F$400,$Q268:$Q$400&gt;$Q267,arrayformula(isnumber(FIND($E268:$E$400,AP267)))),2,false),0,1)))"),"")</f>
        <v/>
      </c>
      <c r="AW267" s="113" t="b">
        <f>IFERROR(__xludf.DUMMYFUNCTION("isnumber(find(""wild card"",join("","",filter($G$1:$G266,$D$1:$D266=D267))))"),FALSE)</f>
        <v>0</v>
      </c>
      <c r="AX267" s="113" t="str">
        <f>IFERROR(__xludf.DUMMYFUNCTION("join("","",let(confs,unique(TRANSPOSe(Teams!$1:$1)), confs_count, BYROW(confs,lambda(conf,xlookup(conf,'Conf WC Eligibility'!A:A,'Conf WC Eligibility'!C:C,,))),confs_picked,byrow(confs,lambda(conf,countif(E$1:E266,conf))),p_needs_conf_count,byrow(confs,la"&amp;"mbda(conf,counta('Draft Order'!B$2:B622)-COUNTUNIQUE(filter(D$2:D266,E$2:E266=conf)))),query({confs,confs_count,confs_picked,p_needs_conf_count},""select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8">
      <c r="A268" s="1"/>
      <c r="B268" s="1"/>
      <c r="C268" s="1"/>
      <c r="D268" s="115"/>
      <c r="E268" s="116"/>
      <c r="F268" s="77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13" t="str">
        <f>IFERROR(__xludf.DUMMYFUNCTION("iferror(join("","",index(sort(filter($F269:$F$400,$Q269:$Q$400&gt;$Q268,arrayformula(isnumber(FIND($E269:$E$400,AP268)))),2,false),0,1)))"),"")</f>
        <v/>
      </c>
      <c r="AW268" s="113" t="b">
        <f>IFERROR(__xludf.DUMMYFUNCTION("isnumber(find(""wild card"",join("","",filter($G$1:$G267,$D$1:$D267=D268))))"),FALSE)</f>
        <v>0</v>
      </c>
      <c r="AX268" s="113" t="str">
        <f>IFERROR(__xludf.DUMMYFUNCTION("join("","",let(confs,unique(TRANSPOSe(Teams!$1:$1)), confs_count, BYROW(confs,lambda(conf,xlookup(conf,'Conf WC Eligibility'!A:A,'Conf WC Eligibility'!C:C,,))),confs_picked,byrow(confs,lambda(conf,countif(E$1:E267,conf))),p_needs_conf_count,byrow(confs,la"&amp;"mbda(conf,counta('Draft Order'!B$2:B622)-COUNTUNIQUE(filter(D$2:D267,E$2:E267=conf)))),query({confs,confs_count,confs_picked,p_needs_conf_count},""select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69">
      <c r="A269" s="1"/>
      <c r="B269" s="1"/>
      <c r="C269" s="1"/>
      <c r="D269" s="115"/>
      <c r="E269" s="116"/>
      <c r="F269" s="77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13" t="str">
        <f>IFERROR(__xludf.DUMMYFUNCTION("iferror(join("","",index(sort(filter($F270:$F$400,$Q270:$Q$400&gt;$Q269,arrayformula(isnumber(FIND($E270:$E$400,AP269)))),2,false),0,1)))"),"")</f>
        <v/>
      </c>
      <c r="AW269" s="113" t="b">
        <f>IFERROR(__xludf.DUMMYFUNCTION("isnumber(find(""wild card"",join("","",filter($G$1:$G268,$D$1:$D268=D269))))"),FALSE)</f>
        <v>0</v>
      </c>
      <c r="AX269" s="113" t="str">
        <f>IFERROR(__xludf.DUMMYFUNCTION("join("","",let(confs,unique(TRANSPOSe(Teams!$1:$1)), confs_count, BYROW(confs,lambda(conf,xlookup(conf,'Conf WC Eligibility'!A:A,'Conf WC Eligibility'!C:C,,))),confs_picked,byrow(confs,lambda(conf,countif(E$1:E268,conf))),p_needs_conf_count,byrow(confs,la"&amp;"mbda(conf,counta('Draft Order'!B$2:B622)-COUNTUNIQUE(filter(D$2:D268,E$2:E268=conf)))),query({confs,confs_count,confs_picked,p_needs_conf_count},""select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0">
      <c r="A270" s="1"/>
      <c r="B270" s="1"/>
      <c r="C270" s="1"/>
      <c r="D270" s="115"/>
      <c r="E270" s="116"/>
      <c r="F270" s="77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13" t="str">
        <f>IFERROR(__xludf.DUMMYFUNCTION("iferror(join("","",index(sort(filter($F271:$F$400,$Q271:$Q$400&gt;$Q270,arrayformula(isnumber(FIND($E271:$E$400,AP270)))),2,false),0,1)))"),"")</f>
        <v/>
      </c>
      <c r="AW270" s="113" t="b">
        <f>IFERROR(__xludf.DUMMYFUNCTION("isnumber(find(""wild card"",join("","",filter($G$1:$G269,$D$1:$D269=D270))))"),FALSE)</f>
        <v>0</v>
      </c>
      <c r="AX270" s="113" t="str">
        <f>IFERROR(__xludf.DUMMYFUNCTION("join("","",let(confs,unique(TRANSPOSe(Teams!$1:$1)), confs_count, BYROW(confs,lambda(conf,xlookup(conf,'Conf WC Eligibility'!A:A,'Conf WC Eligibility'!C:C,,))),confs_picked,byrow(confs,lambda(conf,countif(E$1:E269,conf))),p_needs_conf_count,byrow(confs,la"&amp;"mbda(conf,counta('Draft Order'!B$2:B622)-COUNTUNIQUE(filter(D$2:D269,E$2:E269=conf)))),query({confs,confs_count,confs_picked,p_needs_conf_count},""select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1">
      <c r="A271" s="1"/>
      <c r="B271" s="1"/>
      <c r="C271" s="1"/>
      <c r="D271" s="115"/>
      <c r="E271" s="116"/>
      <c r="F271" s="77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13" t="str">
        <f>IFERROR(__xludf.DUMMYFUNCTION("iferror(join("","",index(sort(filter($F272:$F$400,$Q272:$Q$400&gt;$Q271,arrayformula(isnumber(FIND($E272:$E$400,AP271)))),2,false),0,1)))"),"")</f>
        <v/>
      </c>
      <c r="AW271" s="113" t="b">
        <f>IFERROR(__xludf.DUMMYFUNCTION("isnumber(find(""wild card"",join("","",filter($G$1:$G270,$D$1:$D270=D271))))"),FALSE)</f>
        <v>0</v>
      </c>
      <c r="AX271" s="113" t="str">
        <f>IFERROR(__xludf.DUMMYFUNCTION("join("","",let(confs,unique(TRANSPOSe(Teams!$1:$1)), confs_count, BYROW(confs,lambda(conf,xlookup(conf,'Conf WC Eligibility'!A:A,'Conf WC Eligibility'!C:C,,))),confs_picked,byrow(confs,lambda(conf,countif(E$1:E270,conf))),p_needs_conf_count,byrow(confs,la"&amp;"mbda(conf,counta('Draft Order'!B$2:B622)-COUNTUNIQUE(filter(D$2:D270,E$2:E270=conf)))),query({confs,confs_count,confs_picked,p_needs_conf_count},""select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2">
      <c r="A272" s="1"/>
      <c r="B272" s="1"/>
      <c r="C272" s="1"/>
      <c r="D272" s="115"/>
      <c r="E272" s="116"/>
      <c r="F272" s="77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13" t="str">
        <f>IFERROR(__xludf.DUMMYFUNCTION("iferror(join("","",index(sort(filter($F273:$F$400,$Q273:$Q$400&gt;$Q272,arrayformula(isnumber(FIND($E273:$E$400,AP272)))),2,false),0,1)))"),"")</f>
        <v/>
      </c>
      <c r="AW272" s="113" t="b">
        <f>IFERROR(__xludf.DUMMYFUNCTION("isnumber(find(""wild card"",join("","",filter($G$1:$G271,$D$1:$D271=D272))))"),FALSE)</f>
        <v>0</v>
      </c>
      <c r="AX272" s="113" t="str">
        <f>IFERROR(__xludf.DUMMYFUNCTION("join("","",let(confs,unique(TRANSPOSe(Teams!$1:$1)), confs_count, BYROW(confs,lambda(conf,xlookup(conf,'Conf WC Eligibility'!A:A,'Conf WC Eligibility'!C:C,,))),confs_picked,byrow(confs,lambda(conf,countif(E$1:E271,conf))),p_needs_conf_count,byrow(confs,la"&amp;"mbda(conf,counta('Draft Order'!B$2:B622)-COUNTUNIQUE(filter(D$2:D271,E$2:E271=conf)))),query({confs,confs_count,confs_picked,p_needs_conf_count},""select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3">
      <c r="A273" s="1"/>
      <c r="B273" s="1"/>
      <c r="C273" s="1"/>
      <c r="D273" s="115"/>
      <c r="E273" s="116"/>
      <c r="F273" s="77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13" t="str">
        <f>IFERROR(__xludf.DUMMYFUNCTION("iferror(join("","",index(sort(filter($F274:$F$400,$Q274:$Q$400&gt;$Q273,arrayformula(isnumber(FIND($E274:$E$400,AP273)))),2,false),0,1)))"),"")</f>
        <v/>
      </c>
      <c r="AW273" s="113" t="b">
        <f>IFERROR(__xludf.DUMMYFUNCTION("isnumber(find(""wild card"",join("","",filter($G$1:$G272,$D$1:$D272=D273))))"),FALSE)</f>
        <v>0</v>
      </c>
      <c r="AX273" s="113" t="str">
        <f>IFERROR(__xludf.DUMMYFUNCTION("join("","",let(confs,unique(TRANSPOSe(Teams!$1:$1)), confs_count, BYROW(confs,lambda(conf,xlookup(conf,'Conf WC Eligibility'!A:A,'Conf WC Eligibility'!C:C,,))),confs_picked,byrow(confs,lambda(conf,countif(E$1:E272,conf))),p_needs_conf_count,byrow(confs,la"&amp;"mbda(conf,counta('Draft Order'!B$2:B622)-COUNTUNIQUE(filter(D$2:D272,E$2:E272=conf)))),query({confs,confs_count,confs_picked,p_needs_conf_count},""select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4">
      <c r="A274" s="1"/>
      <c r="B274" s="1"/>
      <c r="C274" s="1"/>
      <c r="D274" s="115"/>
      <c r="E274" s="116"/>
      <c r="F274" s="77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13" t="str">
        <f>IFERROR(__xludf.DUMMYFUNCTION("iferror(join("","",index(sort(filter($F275:$F$400,$Q275:$Q$400&gt;$Q274,arrayformula(isnumber(FIND($E275:$E$400,AP274)))),2,false),0,1)))"),"")</f>
        <v/>
      </c>
      <c r="AW274" s="113" t="b">
        <f>IFERROR(__xludf.DUMMYFUNCTION("isnumber(find(""wild card"",join("","",filter($G$1:$G273,$D$1:$D273=D274))))"),FALSE)</f>
        <v>0</v>
      </c>
      <c r="AX274" s="113" t="str">
        <f>IFERROR(__xludf.DUMMYFUNCTION("join("","",let(confs,unique(TRANSPOSe(Teams!$1:$1)), confs_count, BYROW(confs,lambda(conf,xlookup(conf,'Conf WC Eligibility'!A:A,'Conf WC Eligibility'!C:C,,))),confs_picked,byrow(confs,lambda(conf,countif(E$1:E273,conf))),p_needs_conf_count,byrow(confs,la"&amp;"mbda(conf,counta('Draft Order'!B$2:B622)-COUNTUNIQUE(filter(D$2:D273,E$2:E273=conf)))),query({confs,confs_count,confs_picked,p_needs_conf_count},""select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5">
      <c r="A275" s="1"/>
      <c r="B275" s="1"/>
      <c r="C275" s="1"/>
      <c r="D275" s="115"/>
      <c r="E275" s="116"/>
      <c r="F275" s="77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13" t="str">
        <f>IFERROR(__xludf.DUMMYFUNCTION("iferror(join("","",index(sort(filter($F276:$F$400,$Q276:$Q$400&gt;$Q275,arrayformula(isnumber(FIND($E276:$E$400,AP275)))),2,false),0,1)))"),"")</f>
        <v/>
      </c>
      <c r="AW275" s="113" t="b">
        <f>IFERROR(__xludf.DUMMYFUNCTION("isnumber(find(""wild card"",join("","",filter($G$1:$G274,$D$1:$D274=D275))))"),FALSE)</f>
        <v>0</v>
      </c>
      <c r="AX275" s="113" t="str">
        <f>IFERROR(__xludf.DUMMYFUNCTION("join("","",let(confs,unique(TRANSPOSe(Teams!$1:$1)), confs_count, BYROW(confs,lambda(conf,xlookup(conf,'Conf WC Eligibility'!A:A,'Conf WC Eligibility'!C:C,,))),confs_picked,byrow(confs,lambda(conf,countif(E$1:E274,conf))),p_needs_conf_count,byrow(confs,la"&amp;"mbda(conf,counta('Draft Order'!B$2:B622)-COUNTUNIQUE(filter(D$2:D274,E$2:E274=conf)))),query({confs,confs_count,confs_picked,p_needs_conf_count},""select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6">
      <c r="A276" s="1"/>
      <c r="B276" s="1"/>
      <c r="C276" s="1"/>
      <c r="D276" s="115"/>
      <c r="E276" s="116"/>
      <c r="F276" s="77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13" t="str">
        <f>IFERROR(__xludf.DUMMYFUNCTION("iferror(join("","",index(sort(filter($F277:$F$400,$Q277:$Q$400&gt;$Q276,arrayformula(isnumber(FIND($E277:$E$400,AP276)))),2,false),0,1)))"),"")</f>
        <v/>
      </c>
      <c r="AW276" s="113" t="b">
        <f>IFERROR(__xludf.DUMMYFUNCTION("isnumber(find(""wild card"",join("","",filter($G$1:$G275,$D$1:$D275=D276))))"),FALSE)</f>
        <v>0</v>
      </c>
      <c r="AX276" s="113" t="str">
        <f>IFERROR(__xludf.DUMMYFUNCTION("join("","",let(confs,unique(TRANSPOSe(Teams!$1:$1)), confs_count, BYROW(confs,lambda(conf,xlookup(conf,'Conf WC Eligibility'!A:A,'Conf WC Eligibility'!C:C,,))),confs_picked,byrow(confs,lambda(conf,countif(E$1:E275,conf))),p_needs_conf_count,byrow(confs,la"&amp;"mbda(conf,counta('Draft Order'!B$2:B622)-COUNTUNIQUE(filter(D$2:D275,E$2:E275=conf)))),query({confs,confs_count,confs_picked,p_needs_conf_count},""select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7">
      <c r="A277" s="1"/>
      <c r="B277" s="1"/>
      <c r="C277" s="1"/>
      <c r="D277" s="115"/>
      <c r="E277" s="116"/>
      <c r="F277" s="77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13" t="str">
        <f>IFERROR(__xludf.DUMMYFUNCTION("iferror(join("","",index(sort(filter($F278:$F$400,$Q278:$Q$400&gt;$Q277,arrayformula(isnumber(FIND($E278:$E$400,AP277)))),2,false),0,1)))"),"")</f>
        <v/>
      </c>
      <c r="AW277" s="113" t="b">
        <f>IFERROR(__xludf.DUMMYFUNCTION("isnumber(find(""wild card"",join("","",filter($G$1:$G276,$D$1:$D276=D277))))"),FALSE)</f>
        <v>0</v>
      </c>
      <c r="AX277" s="113" t="str">
        <f>IFERROR(__xludf.DUMMYFUNCTION("join("","",let(confs,unique(TRANSPOSe(Teams!$1:$1)), confs_count, BYROW(confs,lambda(conf,xlookup(conf,'Conf WC Eligibility'!A:A,'Conf WC Eligibility'!C:C,,))),confs_picked,byrow(confs,lambda(conf,countif(E$1:E276,conf))),p_needs_conf_count,byrow(confs,la"&amp;"mbda(conf,counta('Draft Order'!B$2:B622)-COUNTUNIQUE(filter(D$2:D276,E$2:E276=conf)))),query({confs,confs_count,confs_picked,p_needs_conf_count},""select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8">
      <c r="A278" s="1"/>
      <c r="B278" s="1"/>
      <c r="C278" s="1"/>
      <c r="D278" s="115"/>
      <c r="E278" s="116"/>
      <c r="F278" s="77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13" t="str">
        <f>IFERROR(__xludf.DUMMYFUNCTION("iferror(join("","",index(sort(filter($F279:$F$400,$Q279:$Q$400&gt;$Q278,arrayformula(isnumber(FIND($E279:$E$400,AP278)))),2,false),0,1)))"),"")</f>
        <v/>
      </c>
      <c r="AW278" s="113" t="b">
        <f>IFERROR(__xludf.DUMMYFUNCTION("isnumber(find(""wild card"",join("","",filter($G$1:$G277,$D$1:$D277=D278))))"),FALSE)</f>
        <v>0</v>
      </c>
      <c r="AX278" s="113" t="str">
        <f>IFERROR(__xludf.DUMMYFUNCTION("join("","",let(confs,unique(TRANSPOSe(Teams!$1:$1)), confs_count, BYROW(confs,lambda(conf,xlookup(conf,'Conf WC Eligibility'!A:A,'Conf WC Eligibility'!C:C,,))),confs_picked,byrow(confs,lambda(conf,countif(E$1:E277,conf))),p_needs_conf_count,byrow(confs,la"&amp;"mbda(conf,counta('Draft Order'!B$2:B622)-COUNTUNIQUE(filter(D$2:D277,E$2:E277=conf)))),query({confs,confs_count,confs_picked,p_needs_conf_count},""select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79">
      <c r="A279" s="1"/>
      <c r="B279" s="1"/>
      <c r="C279" s="1"/>
      <c r="D279" s="115"/>
      <c r="E279" s="116"/>
      <c r="F279" s="77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13" t="str">
        <f>IFERROR(__xludf.DUMMYFUNCTION("iferror(join("","",index(sort(filter($F280:$F$400,$Q280:$Q$400&gt;$Q279,arrayformula(isnumber(FIND($E280:$E$400,AP279)))),2,false),0,1)))"),"")</f>
        <v/>
      </c>
      <c r="AW279" s="113" t="b">
        <f>IFERROR(__xludf.DUMMYFUNCTION("isnumber(find(""wild card"",join("","",filter($G$1:$G278,$D$1:$D278=D279))))"),FALSE)</f>
        <v>0</v>
      </c>
      <c r="AX279" s="113" t="str">
        <f>IFERROR(__xludf.DUMMYFUNCTION("join("","",let(confs,unique(TRANSPOSe(Teams!$1:$1)), confs_count, BYROW(confs,lambda(conf,xlookup(conf,'Conf WC Eligibility'!A:A,'Conf WC Eligibility'!C:C,,))),confs_picked,byrow(confs,lambda(conf,countif(E$1:E278,conf))),p_needs_conf_count,byrow(confs,la"&amp;"mbda(conf,counta('Draft Order'!B$2:B622)-COUNTUNIQUE(filter(D$2:D278,E$2:E278=conf)))),query({confs,confs_count,confs_picked,p_needs_conf_count},""select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0">
      <c r="A280" s="1"/>
      <c r="B280" s="1"/>
      <c r="C280" s="1"/>
      <c r="D280" s="115"/>
      <c r="E280" s="116"/>
      <c r="F280" s="77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13" t="str">
        <f>IFERROR(__xludf.DUMMYFUNCTION("iferror(join("","",index(sort(filter($F281:$F$400,$Q281:$Q$400&gt;$Q280,arrayformula(isnumber(FIND($E281:$E$400,AP280)))),2,false),0,1)))"),"")</f>
        <v/>
      </c>
      <c r="AW280" s="113" t="b">
        <f>IFERROR(__xludf.DUMMYFUNCTION("isnumber(find(""wild card"",join("","",filter($G$1:$G279,$D$1:$D279=D280))))"),FALSE)</f>
        <v>0</v>
      </c>
      <c r="AX280" s="113" t="str">
        <f>IFERROR(__xludf.DUMMYFUNCTION("join("","",let(confs,unique(TRANSPOSe(Teams!$1:$1)), confs_count, BYROW(confs,lambda(conf,xlookup(conf,'Conf WC Eligibility'!A:A,'Conf WC Eligibility'!C:C,,))),confs_picked,byrow(confs,lambda(conf,countif(E$1:E279,conf))),p_needs_conf_count,byrow(confs,la"&amp;"mbda(conf,counta('Draft Order'!B$2:B622)-COUNTUNIQUE(filter(D$2:D279,E$2:E279=conf)))),query({confs,confs_count,confs_picked,p_needs_conf_count},""select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1">
      <c r="A281" s="1"/>
      <c r="B281" s="1"/>
      <c r="C281" s="1"/>
      <c r="D281" s="115"/>
      <c r="E281" s="116"/>
      <c r="F281" s="77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13" t="str">
        <f>IFERROR(__xludf.DUMMYFUNCTION("iferror(join("","",index(sort(filter($F282:$F$400,$Q282:$Q$400&gt;$Q281,arrayformula(isnumber(FIND($E282:$E$400,AP281)))),2,false),0,1)))"),"")</f>
        <v/>
      </c>
      <c r="AW281" s="113" t="b">
        <f>IFERROR(__xludf.DUMMYFUNCTION("isnumber(find(""wild card"",join("","",filter($G$1:$G280,$D$1:$D280=D281))))"),FALSE)</f>
        <v>0</v>
      </c>
      <c r="AX281" s="113" t="str">
        <f>IFERROR(__xludf.DUMMYFUNCTION("join("","",let(confs,unique(TRANSPOSe(Teams!$1:$1)), confs_count, BYROW(confs,lambda(conf,xlookup(conf,'Conf WC Eligibility'!A:A,'Conf WC Eligibility'!C:C,,))),confs_picked,byrow(confs,lambda(conf,countif(E$1:E280,conf))),p_needs_conf_count,byrow(confs,la"&amp;"mbda(conf,counta('Draft Order'!B$2:B622)-COUNTUNIQUE(filter(D$2:D280,E$2:E280=conf)))),query({confs,confs_count,confs_picked,p_needs_conf_count},""select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2">
      <c r="A282" s="1"/>
      <c r="B282" s="1"/>
      <c r="C282" s="1"/>
      <c r="D282" s="115"/>
      <c r="E282" s="116"/>
      <c r="F282" s="77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13" t="str">
        <f>IFERROR(__xludf.DUMMYFUNCTION("iferror(join("","",index(sort(filter($F283:$F$400,$Q283:$Q$400&gt;$Q282,arrayformula(isnumber(FIND($E283:$E$400,AP282)))),2,false),0,1)))"),"")</f>
        <v/>
      </c>
      <c r="AW282" s="113" t="b">
        <f>IFERROR(__xludf.DUMMYFUNCTION("isnumber(find(""wild card"",join("","",filter($G$1:$G281,$D$1:$D281=D282))))"),FALSE)</f>
        <v>0</v>
      </c>
      <c r="AX282" s="113" t="str">
        <f>IFERROR(__xludf.DUMMYFUNCTION("join("","",let(confs,unique(TRANSPOSe(Teams!$1:$1)), confs_count, BYROW(confs,lambda(conf,xlookup(conf,'Conf WC Eligibility'!A:A,'Conf WC Eligibility'!C:C,,))),confs_picked,byrow(confs,lambda(conf,countif(E$1:E281,conf))),p_needs_conf_count,byrow(confs,la"&amp;"mbda(conf,counta('Draft Order'!B$2:B622)-COUNTUNIQUE(filter(D$2:D281,E$2:E281=conf)))),query({confs,confs_count,confs_picked,p_needs_conf_count},""select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3">
      <c r="A283" s="1"/>
      <c r="B283" s="1"/>
      <c r="C283" s="1"/>
      <c r="D283" s="115"/>
      <c r="E283" s="116"/>
      <c r="F283" s="77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13" t="str">
        <f>IFERROR(__xludf.DUMMYFUNCTION("iferror(join("","",index(sort(filter($F284:$F$400,$Q284:$Q$400&gt;$Q283,arrayformula(isnumber(FIND($E284:$E$400,AP283)))),2,false),0,1)))"),"")</f>
        <v/>
      </c>
      <c r="AW283" s="113" t="b">
        <f>IFERROR(__xludf.DUMMYFUNCTION("isnumber(find(""wild card"",join("","",filter($G$1:$G282,$D$1:$D282=D283))))"),FALSE)</f>
        <v>0</v>
      </c>
      <c r="AX283" s="113" t="str">
        <f>IFERROR(__xludf.DUMMYFUNCTION("join("","",let(confs,unique(TRANSPOSe(Teams!$1:$1)), confs_count, BYROW(confs,lambda(conf,xlookup(conf,'Conf WC Eligibility'!A:A,'Conf WC Eligibility'!C:C,,))),confs_picked,byrow(confs,lambda(conf,countif(E$1:E282,conf))),p_needs_conf_count,byrow(confs,la"&amp;"mbda(conf,counta('Draft Order'!B$2:B622)-COUNTUNIQUE(filter(D$2:D282,E$2:E282=conf)))),query({confs,confs_count,confs_picked,p_needs_conf_count},""select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4">
      <c r="A284" s="1"/>
      <c r="B284" s="1"/>
      <c r="C284" s="1"/>
      <c r="D284" s="115"/>
      <c r="E284" s="116"/>
      <c r="F284" s="77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13" t="str">
        <f>IFERROR(__xludf.DUMMYFUNCTION("iferror(join("","",index(sort(filter($F285:$F$400,$Q285:$Q$400&gt;$Q284,arrayformula(isnumber(FIND($E285:$E$400,AP284)))),2,false),0,1)))"),"")</f>
        <v/>
      </c>
      <c r="AW284" s="113" t="b">
        <f>IFERROR(__xludf.DUMMYFUNCTION("isnumber(find(""wild card"",join("","",filter($G$1:$G283,$D$1:$D283=D284))))"),FALSE)</f>
        <v>0</v>
      </c>
      <c r="AX284" s="113" t="str">
        <f>IFERROR(__xludf.DUMMYFUNCTION("join("","",let(confs,unique(TRANSPOSe(Teams!$1:$1)), confs_count, BYROW(confs,lambda(conf,xlookup(conf,'Conf WC Eligibility'!A:A,'Conf WC Eligibility'!C:C,,))),confs_picked,byrow(confs,lambda(conf,countif(E$1:E283,conf))),p_needs_conf_count,byrow(confs,la"&amp;"mbda(conf,counta('Draft Order'!B$2:B622)-COUNTUNIQUE(filter(D$2:D283,E$2:E283=conf)))),query({confs,confs_count,confs_picked,p_needs_conf_count},""select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5">
      <c r="A285" s="1"/>
      <c r="B285" s="1"/>
      <c r="C285" s="1"/>
      <c r="D285" s="115"/>
      <c r="E285" s="116"/>
      <c r="F285" s="77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13" t="str">
        <f>IFERROR(__xludf.DUMMYFUNCTION("iferror(join("","",index(sort(filter($F286:$F$400,$Q286:$Q$400&gt;$Q285,arrayformula(isnumber(FIND($E286:$E$400,AP285)))),2,false),0,1)))"),"")</f>
        <v/>
      </c>
      <c r="AW285" s="113" t="b">
        <f>IFERROR(__xludf.DUMMYFUNCTION("isnumber(find(""wild card"",join("","",filter($G$1:$G284,$D$1:$D284=D285))))"),FALSE)</f>
        <v>0</v>
      </c>
      <c r="AX285" s="113" t="str">
        <f>IFERROR(__xludf.DUMMYFUNCTION("join("","",let(confs,unique(TRANSPOSe(Teams!$1:$1)), confs_count, BYROW(confs,lambda(conf,xlookup(conf,'Conf WC Eligibility'!A:A,'Conf WC Eligibility'!C:C,,))),confs_picked,byrow(confs,lambda(conf,countif(E$1:E284,conf))),p_needs_conf_count,byrow(confs,la"&amp;"mbda(conf,counta('Draft Order'!B$2:B622)-COUNTUNIQUE(filter(D$2:D284,E$2:E284=conf)))),query({confs,confs_count,confs_picked,p_needs_conf_count},""select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6">
      <c r="A286" s="1"/>
      <c r="B286" s="1"/>
      <c r="C286" s="1"/>
      <c r="D286" s="115"/>
      <c r="E286" s="116"/>
      <c r="F286" s="77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13" t="str">
        <f>IFERROR(__xludf.DUMMYFUNCTION("iferror(join("","",index(sort(filter($F287:$F$400,$Q287:$Q$400&gt;$Q286,arrayformula(isnumber(FIND($E287:$E$400,AP286)))),2,false),0,1)))"),"")</f>
        <v/>
      </c>
      <c r="AW286" s="113" t="b">
        <f>IFERROR(__xludf.DUMMYFUNCTION("isnumber(find(""wild card"",join("","",filter($G$1:$G285,$D$1:$D285=D286))))"),FALSE)</f>
        <v>0</v>
      </c>
      <c r="AX286" s="113" t="str">
        <f>IFERROR(__xludf.DUMMYFUNCTION("join("","",let(confs,unique(TRANSPOSe(Teams!$1:$1)), confs_count, BYROW(confs,lambda(conf,xlookup(conf,'Conf WC Eligibility'!A:A,'Conf WC Eligibility'!C:C,,))),confs_picked,byrow(confs,lambda(conf,countif(E$1:E285,conf))),p_needs_conf_count,byrow(confs,la"&amp;"mbda(conf,counta('Draft Order'!B$2:B622)-COUNTUNIQUE(filter(D$2:D285,E$2:E285=conf)))),query({confs,confs_count,confs_picked,p_needs_conf_count},""select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7">
      <c r="A287" s="1"/>
      <c r="B287" s="1"/>
      <c r="C287" s="1"/>
      <c r="D287" s="115"/>
      <c r="E287" s="116"/>
      <c r="F287" s="77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13" t="str">
        <f>IFERROR(__xludf.DUMMYFUNCTION("iferror(join("","",index(sort(filter($F288:$F$400,$Q288:$Q$400&gt;$Q287,arrayformula(isnumber(FIND($E288:$E$400,AP287)))),2,false),0,1)))"),"")</f>
        <v/>
      </c>
      <c r="AW287" s="113" t="b">
        <f>IFERROR(__xludf.DUMMYFUNCTION("isnumber(find(""wild card"",join("","",filter($G$1:$G286,$D$1:$D286=D287))))"),FALSE)</f>
        <v>0</v>
      </c>
      <c r="AX287" s="113" t="str">
        <f>IFERROR(__xludf.DUMMYFUNCTION("join("","",let(confs,unique(TRANSPOSe(Teams!$1:$1)), confs_count, BYROW(confs,lambda(conf,xlookup(conf,'Conf WC Eligibility'!A:A,'Conf WC Eligibility'!C:C,,))),confs_picked,byrow(confs,lambda(conf,countif(E$1:E286,conf))),p_needs_conf_count,byrow(confs,la"&amp;"mbda(conf,counta('Draft Order'!B$2:B622)-COUNTUNIQUE(filter(D$2:D286,E$2:E286=conf)))),query({confs,confs_count,confs_picked,p_needs_conf_count},""select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8">
      <c r="A288" s="1"/>
      <c r="B288" s="1"/>
      <c r="C288" s="1"/>
      <c r="D288" s="115"/>
      <c r="E288" s="116"/>
      <c r="F288" s="77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13" t="str">
        <f>IFERROR(__xludf.DUMMYFUNCTION("iferror(join("","",index(sort(filter($F289:$F$400,$Q289:$Q$400&gt;$Q288,arrayformula(isnumber(FIND($E289:$E$400,AP288)))),2,false),0,1)))"),"")</f>
        <v/>
      </c>
      <c r="AW288" s="113" t="b">
        <f>IFERROR(__xludf.DUMMYFUNCTION("isnumber(find(""wild card"",join("","",filter($G$1:$G287,$D$1:$D287=D288))))"),FALSE)</f>
        <v>0</v>
      </c>
      <c r="AX288" s="113" t="str">
        <f>IFERROR(__xludf.DUMMYFUNCTION("join("","",let(confs,unique(TRANSPOSe(Teams!$1:$1)), confs_count, BYROW(confs,lambda(conf,xlookup(conf,'Conf WC Eligibility'!A:A,'Conf WC Eligibility'!C:C,,))),confs_picked,byrow(confs,lambda(conf,countif(E$1:E287,conf))),p_needs_conf_count,byrow(confs,la"&amp;"mbda(conf,counta('Draft Order'!B$2:B622)-COUNTUNIQUE(filter(D$2:D287,E$2:E287=conf)))),query({confs,confs_count,confs_picked,p_needs_conf_count},""select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89">
      <c r="A289" s="1"/>
      <c r="B289" s="1"/>
      <c r="C289" s="1"/>
      <c r="D289" s="115"/>
      <c r="E289" s="116"/>
      <c r="F289" s="77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13" t="str">
        <f>IFERROR(__xludf.DUMMYFUNCTION("iferror(join("","",index(sort(filter($F290:$F$400,$Q290:$Q$400&gt;$Q289,arrayformula(isnumber(FIND($E290:$E$400,AP289)))),2,false),0,1)))"),"")</f>
        <v/>
      </c>
      <c r="AW289" s="113" t="b">
        <f>IFERROR(__xludf.DUMMYFUNCTION("isnumber(find(""wild card"",join("","",filter($G$1:$G288,$D$1:$D288=D289))))"),FALSE)</f>
        <v>0</v>
      </c>
      <c r="AX289" s="113" t="str">
        <f>IFERROR(__xludf.DUMMYFUNCTION("join("","",let(confs,unique(TRANSPOSe(Teams!$1:$1)), confs_count, BYROW(confs,lambda(conf,xlookup(conf,'Conf WC Eligibility'!A:A,'Conf WC Eligibility'!C:C,,))),confs_picked,byrow(confs,lambda(conf,countif(E$1:E288,conf))),p_needs_conf_count,byrow(confs,la"&amp;"mbda(conf,counta('Draft Order'!B$2:B622)-COUNTUNIQUE(filter(D$2:D288,E$2:E288=conf)))),query({confs,confs_count,confs_picked,p_needs_conf_count},""select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0">
      <c r="A290" s="1"/>
      <c r="B290" s="1"/>
      <c r="C290" s="1"/>
      <c r="D290" s="115"/>
      <c r="E290" s="116"/>
      <c r="F290" s="77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13" t="str">
        <f>IFERROR(__xludf.DUMMYFUNCTION("iferror(join("","",index(sort(filter($F291:$F$400,$Q291:$Q$400&gt;$Q290,arrayformula(isnumber(FIND($E291:$E$400,AP290)))),2,false),0,1)))"),"")</f>
        <v/>
      </c>
      <c r="AW290" s="113" t="b">
        <f>IFERROR(__xludf.DUMMYFUNCTION("isnumber(find(""wild card"",join("","",filter($G$1:$G289,$D$1:$D289=D290))))"),FALSE)</f>
        <v>0</v>
      </c>
      <c r="AX290" s="113" t="str">
        <f>IFERROR(__xludf.DUMMYFUNCTION("join("","",let(confs,unique(TRANSPOSe(Teams!$1:$1)), confs_count, BYROW(confs,lambda(conf,xlookup(conf,'Conf WC Eligibility'!A:A,'Conf WC Eligibility'!C:C,,))),confs_picked,byrow(confs,lambda(conf,countif(E$1:E289,conf))),p_needs_conf_count,byrow(confs,la"&amp;"mbda(conf,counta('Draft Order'!B$2:B622)-COUNTUNIQUE(filter(D$2:D289,E$2:E289=conf)))),query({confs,confs_count,confs_picked,p_needs_conf_count},""select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1">
      <c r="A291" s="1"/>
      <c r="B291" s="1"/>
      <c r="C291" s="1"/>
      <c r="D291" s="115"/>
      <c r="E291" s="116"/>
      <c r="F291" s="77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13" t="str">
        <f>IFERROR(__xludf.DUMMYFUNCTION("iferror(join("","",index(sort(filter($F292:$F$400,$Q292:$Q$400&gt;$Q291,arrayformula(isnumber(FIND($E292:$E$400,AP291)))),2,false),0,1)))"),"")</f>
        <v/>
      </c>
      <c r="AW291" s="113" t="b">
        <f>IFERROR(__xludf.DUMMYFUNCTION("isnumber(find(""wild card"",join("","",filter($G$1:$G290,$D$1:$D290=D291))))"),FALSE)</f>
        <v>0</v>
      </c>
      <c r="AX291" s="113" t="str">
        <f>IFERROR(__xludf.DUMMYFUNCTION("join("","",let(confs,unique(TRANSPOSe(Teams!$1:$1)), confs_count, BYROW(confs,lambda(conf,xlookup(conf,'Conf WC Eligibility'!A:A,'Conf WC Eligibility'!C:C,,))),confs_picked,byrow(confs,lambda(conf,countif(E$1:E290,conf))),p_needs_conf_count,byrow(confs,la"&amp;"mbda(conf,counta('Draft Order'!B$2:B622)-COUNTUNIQUE(filter(D$2:D290,E$2:E290=conf)))),query({confs,confs_count,confs_picked,p_needs_conf_count},""select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2">
      <c r="A292" s="1"/>
      <c r="B292" s="1"/>
      <c r="C292" s="1"/>
      <c r="D292" s="115"/>
      <c r="E292" s="116"/>
      <c r="F292" s="77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13" t="str">
        <f>IFERROR(__xludf.DUMMYFUNCTION("iferror(join("","",index(sort(filter($F293:$F$400,$Q293:$Q$400&gt;$Q292,arrayformula(isnumber(FIND($E293:$E$400,AP292)))),2,false),0,1)))"),"")</f>
        <v/>
      </c>
      <c r="AW292" s="113" t="b">
        <f>IFERROR(__xludf.DUMMYFUNCTION("isnumber(find(""wild card"",join("","",filter($G$1:$G291,$D$1:$D291=D292))))"),FALSE)</f>
        <v>0</v>
      </c>
      <c r="AX292" s="113" t="str">
        <f>IFERROR(__xludf.DUMMYFUNCTION("join("","",let(confs,unique(TRANSPOSe(Teams!$1:$1)), confs_count, BYROW(confs,lambda(conf,xlookup(conf,'Conf WC Eligibility'!A:A,'Conf WC Eligibility'!C:C,,))),confs_picked,byrow(confs,lambda(conf,countif(E$1:E291,conf))),p_needs_conf_count,byrow(confs,la"&amp;"mbda(conf,counta('Draft Order'!B$2:B622)-COUNTUNIQUE(filter(D$2:D291,E$2:E291=conf)))),query({confs,confs_count,confs_picked,p_needs_conf_count},""select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3">
      <c r="A293" s="1"/>
      <c r="B293" s="1"/>
      <c r="C293" s="1"/>
      <c r="D293" s="115"/>
      <c r="E293" s="116"/>
      <c r="F293" s="77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13" t="str">
        <f>IFERROR(__xludf.DUMMYFUNCTION("iferror(join("","",index(sort(filter($F294:$F$400,$Q294:$Q$400&gt;$Q293,arrayformula(isnumber(FIND($E294:$E$400,AP293)))),2,false),0,1)))"),"")</f>
        <v/>
      </c>
      <c r="AW293" s="113" t="b">
        <f>IFERROR(__xludf.DUMMYFUNCTION("isnumber(find(""wild card"",join("","",filter($G$1:$G292,$D$1:$D292=D293))))"),FALSE)</f>
        <v>0</v>
      </c>
      <c r="AX293" s="113" t="str">
        <f>IFERROR(__xludf.DUMMYFUNCTION("join("","",let(confs,unique(TRANSPOSe(Teams!$1:$1)), confs_count, BYROW(confs,lambda(conf,xlookup(conf,'Conf WC Eligibility'!A:A,'Conf WC Eligibility'!C:C,,))),confs_picked,byrow(confs,lambda(conf,countif(E$1:E292,conf))),p_needs_conf_count,byrow(confs,la"&amp;"mbda(conf,counta('Draft Order'!B$2:B622)-COUNTUNIQUE(filter(D$2:D292,E$2:E292=conf)))),query({confs,confs_count,confs_picked,p_needs_conf_count},""select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4">
      <c r="A294" s="1"/>
      <c r="B294" s="1"/>
      <c r="C294" s="1"/>
      <c r="D294" s="115"/>
      <c r="E294" s="116"/>
      <c r="F294" s="77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13" t="str">
        <f>IFERROR(__xludf.DUMMYFUNCTION("iferror(join("","",index(sort(filter($F295:$F$400,$Q295:$Q$400&gt;$Q294,arrayformula(isnumber(FIND($E295:$E$400,AP294)))),2,false),0,1)))"),"")</f>
        <v/>
      </c>
      <c r="AW294" s="113" t="b">
        <f>IFERROR(__xludf.DUMMYFUNCTION("isnumber(find(""wild card"",join("","",filter($G$1:$G293,$D$1:$D293=D294))))"),FALSE)</f>
        <v>0</v>
      </c>
      <c r="AX294" s="113" t="str">
        <f>IFERROR(__xludf.DUMMYFUNCTION("join("","",let(confs,unique(TRANSPOSe(Teams!$1:$1)), confs_count, BYROW(confs,lambda(conf,xlookup(conf,'Conf WC Eligibility'!A:A,'Conf WC Eligibility'!C:C,,))),confs_picked,byrow(confs,lambda(conf,countif(E$1:E293,conf))),p_needs_conf_count,byrow(confs,la"&amp;"mbda(conf,counta('Draft Order'!B$2:B622)-COUNTUNIQUE(filter(D$2:D293,E$2:E293=conf)))),query({confs,confs_count,confs_picked,p_needs_conf_count},""select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5">
      <c r="A295" s="1"/>
      <c r="B295" s="1"/>
      <c r="C295" s="1"/>
      <c r="D295" s="115"/>
      <c r="E295" s="116"/>
      <c r="F295" s="77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13" t="str">
        <f>IFERROR(__xludf.DUMMYFUNCTION("iferror(join("","",index(sort(filter($F296:$F$400,$Q296:$Q$400&gt;$Q295,arrayformula(isnumber(FIND($E296:$E$400,AP295)))),2,false),0,1)))"),"")</f>
        <v/>
      </c>
      <c r="AW295" s="113" t="b">
        <f>IFERROR(__xludf.DUMMYFUNCTION("isnumber(find(""wild card"",join("","",filter($G$1:$G294,$D$1:$D294=D295))))"),FALSE)</f>
        <v>0</v>
      </c>
      <c r="AX295" s="113" t="str">
        <f>IFERROR(__xludf.DUMMYFUNCTION("join("","",let(confs,unique(TRANSPOSe(Teams!$1:$1)), confs_count, BYROW(confs,lambda(conf,xlookup(conf,'Conf WC Eligibility'!A:A,'Conf WC Eligibility'!C:C,,))),confs_picked,byrow(confs,lambda(conf,countif(E$1:E294,conf))),p_needs_conf_count,byrow(confs,la"&amp;"mbda(conf,counta('Draft Order'!B$2:B622)-COUNTUNIQUE(filter(D$2:D294,E$2:E294=conf)))),query({confs,confs_count,confs_picked,p_needs_conf_count},""select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6">
      <c r="A296" s="1"/>
      <c r="B296" s="1"/>
      <c r="C296" s="1"/>
      <c r="D296" s="115"/>
      <c r="E296" s="116"/>
      <c r="F296" s="77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13" t="str">
        <f>IFERROR(__xludf.DUMMYFUNCTION("iferror(join("","",index(sort(filter($F297:$F$400,$Q297:$Q$400&gt;$Q296,arrayformula(isnumber(FIND($E297:$E$400,AP296)))),2,false),0,1)))"),"")</f>
        <v/>
      </c>
      <c r="AW296" s="113" t="b">
        <f>IFERROR(__xludf.DUMMYFUNCTION("isnumber(find(""wild card"",join("","",filter($G$1:$G295,$D$1:$D295=D296))))"),FALSE)</f>
        <v>0</v>
      </c>
      <c r="AX296" s="113" t="str">
        <f>IFERROR(__xludf.DUMMYFUNCTION("join("","",let(confs,unique(TRANSPOSe(Teams!$1:$1)), confs_count, BYROW(confs,lambda(conf,xlookup(conf,'Conf WC Eligibility'!A:A,'Conf WC Eligibility'!C:C,,))),confs_picked,byrow(confs,lambda(conf,countif(E$1:E295,conf))),p_needs_conf_count,byrow(confs,la"&amp;"mbda(conf,counta('Draft Order'!B$2:B622)-COUNTUNIQUE(filter(D$2:D295,E$2:E295=conf)))),query({confs,confs_count,confs_picked,p_needs_conf_count},""select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7">
      <c r="A297" s="1"/>
      <c r="B297" s="1"/>
      <c r="C297" s="1"/>
      <c r="D297" s="115"/>
      <c r="E297" s="116"/>
      <c r="F297" s="77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13" t="str">
        <f>IFERROR(__xludf.DUMMYFUNCTION("iferror(join("","",index(sort(filter($F298:$F$400,$Q298:$Q$400&gt;$Q297,arrayformula(isnumber(FIND($E298:$E$400,AP297)))),2,false),0,1)))"),"")</f>
        <v/>
      </c>
      <c r="AW297" s="113" t="b">
        <f>IFERROR(__xludf.DUMMYFUNCTION("isnumber(find(""wild card"",join("","",filter($G$1:$G296,$D$1:$D296=D297))))"),FALSE)</f>
        <v>0</v>
      </c>
      <c r="AX297" s="113" t="str">
        <f>IFERROR(__xludf.DUMMYFUNCTION("join("","",let(confs,unique(TRANSPOSe(Teams!$1:$1)), confs_count, BYROW(confs,lambda(conf,xlookup(conf,'Conf WC Eligibility'!A:A,'Conf WC Eligibility'!C:C,,))),confs_picked,byrow(confs,lambda(conf,countif(E$1:E296,conf))),p_needs_conf_count,byrow(confs,la"&amp;"mbda(conf,counta('Draft Order'!B$2:B622)-COUNTUNIQUE(filter(D$2:D296,E$2:E296=conf)))),query({confs,confs_count,confs_picked,p_needs_conf_count},""select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8">
      <c r="A298" s="1"/>
      <c r="B298" s="1"/>
      <c r="C298" s="1"/>
      <c r="D298" s="115"/>
      <c r="E298" s="116"/>
      <c r="F298" s="77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13" t="str">
        <f>IFERROR(__xludf.DUMMYFUNCTION("iferror(join("","",index(sort(filter($F299:$F$400,$Q299:$Q$400&gt;$Q298,arrayformula(isnumber(FIND($E299:$E$400,AP298)))),2,false),0,1)))"),"")</f>
        <v/>
      </c>
      <c r="AW298" s="113" t="b">
        <f>IFERROR(__xludf.DUMMYFUNCTION("isnumber(find(""wild card"",join("","",filter($G$1:$G297,$D$1:$D297=D298))))"),FALSE)</f>
        <v>0</v>
      </c>
      <c r="AX298" s="113" t="str">
        <f>IFERROR(__xludf.DUMMYFUNCTION("join("","",let(confs,unique(TRANSPOSe(Teams!$1:$1)), confs_count, BYROW(confs,lambda(conf,xlookup(conf,'Conf WC Eligibility'!A:A,'Conf WC Eligibility'!C:C,,))),confs_picked,byrow(confs,lambda(conf,countif(E$1:E297,conf))),p_needs_conf_count,byrow(confs,la"&amp;"mbda(conf,counta('Draft Order'!B$2:B622)-COUNTUNIQUE(filter(D$2:D297,E$2:E297=conf)))),query({confs,confs_count,confs_picked,p_needs_conf_count},""select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299">
      <c r="A299" s="1"/>
      <c r="B299" s="1"/>
      <c r="C299" s="1"/>
      <c r="D299" s="115"/>
      <c r="E299" s="116"/>
      <c r="F299" s="77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13" t="str">
        <f>IFERROR(__xludf.DUMMYFUNCTION("iferror(join("","",index(sort(filter($F300:$F$400,$Q300:$Q$400&gt;$Q299,arrayformula(isnumber(FIND($E300:$E$400,AP299)))),2,false),0,1)))"),"")</f>
        <v/>
      </c>
      <c r="AW299" s="113" t="b">
        <f>IFERROR(__xludf.DUMMYFUNCTION("isnumber(find(""wild card"",join("","",filter($G$1:$G298,$D$1:$D298=D299))))"),FALSE)</f>
        <v>0</v>
      </c>
      <c r="AX299" s="113" t="str">
        <f>IFERROR(__xludf.DUMMYFUNCTION("join("","",let(confs,unique(TRANSPOSe(Teams!$1:$1)), confs_count, BYROW(confs,lambda(conf,xlookup(conf,'Conf WC Eligibility'!A:A,'Conf WC Eligibility'!C:C,,))),confs_picked,byrow(confs,lambda(conf,countif(E$1:E298,conf))),p_needs_conf_count,byrow(confs,la"&amp;"mbda(conf,counta('Draft Order'!B$2:B622)-COUNTUNIQUE(filter(D$2:D298,E$2:E298=conf)))),query({confs,confs_count,confs_picked,p_needs_conf_count},""select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0">
      <c r="A300" s="1"/>
      <c r="B300" s="1"/>
      <c r="C300" s="1"/>
      <c r="D300" s="115"/>
      <c r="E300" s="116"/>
      <c r="F300" s="77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13" t="str">
        <f>IFERROR(__xludf.DUMMYFUNCTION("iferror(join("","",index(sort(filter($F301:$F$400,$Q301:$Q$400&gt;$Q300,arrayformula(isnumber(FIND($E301:$E$400,AP300)))),2,false),0,1)))"),"")</f>
        <v/>
      </c>
      <c r="AW300" s="113" t="b">
        <f>IFERROR(__xludf.DUMMYFUNCTION("isnumber(find(""wild card"",join("","",filter($G$1:$G299,$D$1:$D299=D300))))"),FALSE)</f>
        <v>0</v>
      </c>
      <c r="AX300" s="113" t="str">
        <f>IFERROR(__xludf.DUMMYFUNCTION("join("","",let(confs,unique(TRANSPOSe(Teams!$1:$1)), confs_count, BYROW(confs,lambda(conf,xlookup(conf,'Conf WC Eligibility'!A:A,'Conf WC Eligibility'!C:C,,))),confs_picked,byrow(confs,lambda(conf,countif(E$1:E299,conf))),p_needs_conf_count,byrow(confs,la"&amp;"mbda(conf,counta('Draft Order'!B$2:B622)-COUNTUNIQUE(filter(D$2:D299,E$2:E299=conf)))),query({confs,confs_count,confs_picked,p_needs_conf_count},""select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1">
      <c r="A301" s="1"/>
      <c r="B301" s="1"/>
      <c r="C301" s="1"/>
      <c r="D301" s="115"/>
      <c r="E301" s="116"/>
      <c r="F301" s="77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13" t="str">
        <f>IFERROR(__xludf.DUMMYFUNCTION("iferror(join("","",index(sort(filter($F302:$F$400,$Q302:$Q$400&gt;$Q301,arrayformula(isnumber(FIND($E302:$E$400,AP301)))),2,false),0,1)))"),"")</f>
        <v/>
      </c>
      <c r="AW301" s="113" t="b">
        <f>IFERROR(__xludf.DUMMYFUNCTION("isnumber(find(""wild card"",join("","",filter($G$1:$G300,$D$1:$D300=D301))))"),FALSE)</f>
        <v>0</v>
      </c>
      <c r="AX301" s="113" t="str">
        <f>IFERROR(__xludf.DUMMYFUNCTION("join("","",let(confs,unique(TRANSPOSe(Teams!$1:$1)), confs_count, BYROW(confs,lambda(conf,xlookup(conf,'Conf WC Eligibility'!A:A,'Conf WC Eligibility'!C:C,,))),confs_picked,byrow(confs,lambda(conf,countif(E$1:E300,conf))),p_needs_conf_count,byrow(confs,la"&amp;"mbda(conf,counta('Draft Order'!B$2:B622)-COUNTUNIQUE(filter(D$2:D300,E$2:E300=conf)))),query({confs,confs_count,confs_picked,p_needs_conf_count},""select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2">
      <c r="A302" s="1"/>
      <c r="B302" s="1"/>
      <c r="C302" s="1"/>
      <c r="D302" s="115"/>
      <c r="E302" s="116"/>
      <c r="F302" s="77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13" t="str">
        <f>IFERROR(__xludf.DUMMYFUNCTION("iferror(join("","",index(sort(filter($F303:$F$400,$Q303:$Q$400&gt;$Q302,arrayformula(isnumber(FIND($E303:$E$400,AP302)))),2,false),0,1)))"),"")</f>
        <v/>
      </c>
      <c r="AW302" s="113" t="b">
        <f>IFERROR(__xludf.DUMMYFUNCTION("isnumber(find(""wild card"",join("","",filter($G$1:$G301,$D$1:$D301=D302))))"),FALSE)</f>
        <v>0</v>
      </c>
      <c r="AX302" s="113" t="str">
        <f>IFERROR(__xludf.DUMMYFUNCTION("join("","",let(confs,unique(TRANSPOSe(Teams!$1:$1)), confs_count, BYROW(confs,lambda(conf,xlookup(conf,'Conf WC Eligibility'!A:A,'Conf WC Eligibility'!C:C,,))),confs_picked,byrow(confs,lambda(conf,countif(E$1:E301,conf))),p_needs_conf_count,byrow(confs,la"&amp;"mbda(conf,counta('Draft Order'!B$2:B622)-COUNTUNIQUE(filter(D$2:D301,E$2:E301=conf)))),query({confs,confs_count,confs_picked,p_needs_conf_count},""select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3">
      <c r="A303" s="1"/>
      <c r="B303" s="1"/>
      <c r="C303" s="1"/>
      <c r="D303" s="115"/>
      <c r="E303" s="116"/>
      <c r="F303" s="77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13" t="str">
        <f>IFERROR(__xludf.DUMMYFUNCTION("iferror(join("","",index(sort(filter($F304:$F$400,$Q304:$Q$400&gt;$Q303,arrayformula(isnumber(FIND($E304:$E$400,AP303)))),2,false),0,1)))"),"")</f>
        <v/>
      </c>
      <c r="AW303" s="113" t="b">
        <f>IFERROR(__xludf.DUMMYFUNCTION("isnumber(find(""wild card"",join("","",filter($G$1:$G302,$D$1:$D302=D303))))"),FALSE)</f>
        <v>0</v>
      </c>
      <c r="AX303" s="113" t="str">
        <f>IFERROR(__xludf.DUMMYFUNCTION("join("","",let(confs,unique(TRANSPOSe(Teams!$1:$1)), confs_count, BYROW(confs,lambda(conf,xlookup(conf,'Conf WC Eligibility'!A:A,'Conf WC Eligibility'!C:C,,))),confs_picked,byrow(confs,lambda(conf,countif(E$1:E302,conf))),p_needs_conf_count,byrow(confs,la"&amp;"mbda(conf,counta('Draft Order'!B$2:B622)-COUNTUNIQUE(filter(D$2:D302,E$2:E302=conf)))),query({confs,confs_count,confs_picked,p_needs_conf_count},""select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4">
      <c r="A304" s="1"/>
      <c r="B304" s="1"/>
      <c r="C304" s="1"/>
      <c r="D304" s="115"/>
      <c r="E304" s="116"/>
      <c r="F304" s="77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13" t="str">
        <f>IFERROR(__xludf.DUMMYFUNCTION("iferror(join("","",index(sort(filter($F305:$F$400,$Q305:$Q$400&gt;$Q304,arrayformula(isnumber(FIND($E305:$E$400,AP304)))),2,false),0,1)))"),"")</f>
        <v/>
      </c>
      <c r="AW304" s="113" t="b">
        <f>IFERROR(__xludf.DUMMYFUNCTION("isnumber(find(""wild card"",join("","",filter($G$1:$G303,$D$1:$D303=D304))))"),FALSE)</f>
        <v>0</v>
      </c>
      <c r="AX304" s="113" t="str">
        <f>IFERROR(__xludf.DUMMYFUNCTION("join("","",let(confs,unique(TRANSPOSe(Teams!$1:$1)), confs_count, BYROW(confs,lambda(conf,xlookup(conf,'Conf WC Eligibility'!A:A,'Conf WC Eligibility'!C:C,,))),confs_picked,byrow(confs,lambda(conf,countif(E$1:E303,conf))),p_needs_conf_count,byrow(confs,la"&amp;"mbda(conf,counta('Draft Order'!B$2:B622)-COUNTUNIQUE(filter(D$2:D303,E$2:E303=conf)))),query({confs,confs_count,confs_picked,p_needs_conf_count},""select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5">
      <c r="A305" s="1"/>
      <c r="B305" s="1"/>
      <c r="C305" s="1"/>
      <c r="D305" s="115"/>
      <c r="E305" s="116"/>
      <c r="F305" s="77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13" t="str">
        <f>IFERROR(__xludf.DUMMYFUNCTION("iferror(join("","",index(sort(filter($F306:$F$400,$Q306:$Q$400&gt;$Q305,arrayformula(isnumber(FIND($E306:$E$400,AP305)))),2,false),0,1)))"),"")</f>
        <v/>
      </c>
      <c r="AW305" s="113" t="b">
        <f>IFERROR(__xludf.DUMMYFUNCTION("isnumber(find(""wild card"",join("","",filter($G$1:$G304,$D$1:$D304=D305))))"),FALSE)</f>
        <v>0</v>
      </c>
      <c r="AX305" s="113" t="str">
        <f>IFERROR(__xludf.DUMMYFUNCTION("join("","",let(confs,unique(TRANSPOSe(Teams!$1:$1)), confs_count, BYROW(confs,lambda(conf,xlookup(conf,'Conf WC Eligibility'!A:A,'Conf WC Eligibility'!C:C,,))),confs_picked,byrow(confs,lambda(conf,countif(E$1:E304,conf))),p_needs_conf_count,byrow(confs,la"&amp;"mbda(conf,counta('Draft Order'!B$2:B622)-COUNTUNIQUE(filter(D$2:D304,E$2:E304=conf)))),query({confs,confs_count,confs_picked,p_needs_conf_count},""select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6">
      <c r="A306" s="1"/>
      <c r="B306" s="1"/>
      <c r="C306" s="1"/>
      <c r="D306" s="115"/>
      <c r="E306" s="116"/>
      <c r="F306" s="77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13" t="str">
        <f>IFERROR(__xludf.DUMMYFUNCTION("iferror(join("","",index(sort(filter($F307:$F$400,$Q307:$Q$400&gt;$Q306,arrayformula(isnumber(FIND($E307:$E$400,AP306)))),2,false),0,1)))"),"")</f>
        <v/>
      </c>
      <c r="AW306" s="113" t="b">
        <f>IFERROR(__xludf.DUMMYFUNCTION("isnumber(find(""wild card"",join("","",filter($G$1:$G305,$D$1:$D305=D306))))"),FALSE)</f>
        <v>0</v>
      </c>
      <c r="AX306" s="113" t="str">
        <f>IFERROR(__xludf.DUMMYFUNCTION("join("","",let(confs,unique(TRANSPOSe(Teams!$1:$1)), confs_count, BYROW(confs,lambda(conf,xlookup(conf,'Conf WC Eligibility'!A:A,'Conf WC Eligibility'!C:C,,))),confs_picked,byrow(confs,lambda(conf,countif(E$1:E305,conf))),p_needs_conf_count,byrow(confs,la"&amp;"mbda(conf,counta('Draft Order'!B$2:B622)-COUNTUNIQUE(filter(D$2:D305,E$2:E305=conf)))),query({confs,confs_count,confs_picked,p_needs_conf_count},""select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7">
      <c r="A307" s="1"/>
      <c r="B307" s="1"/>
      <c r="C307" s="1"/>
      <c r="D307" s="115"/>
      <c r="E307" s="116"/>
      <c r="F307" s="77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13" t="str">
        <f>IFERROR(__xludf.DUMMYFUNCTION("iferror(join("","",index(sort(filter($F308:$F$400,$Q308:$Q$400&gt;$Q307,arrayformula(isnumber(FIND($E308:$E$400,AP307)))),2,false),0,1)))"),"")</f>
        <v/>
      </c>
      <c r="AW307" s="113" t="b">
        <f>IFERROR(__xludf.DUMMYFUNCTION("isnumber(find(""wild card"",join("","",filter($G$1:$G306,$D$1:$D306=D307))))"),FALSE)</f>
        <v>0</v>
      </c>
      <c r="AX307" s="113" t="str">
        <f>IFERROR(__xludf.DUMMYFUNCTION("join("","",let(confs,unique(TRANSPOSe(Teams!$1:$1)), confs_count, BYROW(confs,lambda(conf,xlookup(conf,'Conf WC Eligibility'!A:A,'Conf WC Eligibility'!C:C,,))),confs_picked,byrow(confs,lambda(conf,countif(E$1:E306,conf))),p_needs_conf_count,byrow(confs,la"&amp;"mbda(conf,counta('Draft Order'!B$2:B622)-COUNTUNIQUE(filter(D$2:D306,E$2:E306=conf)))),query({confs,confs_count,confs_picked,p_needs_conf_count},""select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8">
      <c r="A308" s="1"/>
      <c r="B308" s="1"/>
      <c r="C308" s="1"/>
      <c r="D308" s="115"/>
      <c r="E308" s="116"/>
      <c r="F308" s="77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13" t="str">
        <f>IFERROR(__xludf.DUMMYFUNCTION("iferror(join("","",index(sort(filter($F309:$F$400,$Q309:$Q$400&gt;$Q308,arrayformula(isnumber(FIND($E309:$E$400,AP308)))),2,false),0,1)))"),"")</f>
        <v/>
      </c>
      <c r="AW308" s="113" t="b">
        <f>IFERROR(__xludf.DUMMYFUNCTION("isnumber(find(""wild card"",join("","",filter($G$1:$G307,$D$1:$D307=D308))))"),FALSE)</f>
        <v>0</v>
      </c>
      <c r="AX308" s="113" t="str">
        <f>IFERROR(__xludf.DUMMYFUNCTION("join("","",let(confs,unique(TRANSPOSe(Teams!$1:$1)), confs_count, BYROW(confs,lambda(conf,xlookup(conf,'Conf WC Eligibility'!A:A,'Conf WC Eligibility'!C:C,,))),confs_picked,byrow(confs,lambda(conf,countif(E$1:E307,conf))),p_needs_conf_count,byrow(confs,la"&amp;"mbda(conf,counta('Draft Order'!B$2:B622)-COUNTUNIQUE(filter(D$2:D307,E$2:E307=conf)))),query({confs,confs_count,confs_picked,p_needs_conf_count},""select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09">
      <c r="A309" s="1"/>
      <c r="B309" s="1"/>
      <c r="C309" s="1"/>
      <c r="D309" s="115"/>
      <c r="E309" s="116"/>
      <c r="F309" s="77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13" t="str">
        <f>IFERROR(__xludf.DUMMYFUNCTION("iferror(join("","",index(sort(filter($F310:$F$400,$Q310:$Q$400&gt;$Q309,arrayformula(isnumber(FIND($E310:$E$400,AP309)))),2,false),0,1)))"),"")</f>
        <v/>
      </c>
      <c r="AW309" s="113" t="b">
        <f>IFERROR(__xludf.DUMMYFUNCTION("isnumber(find(""wild card"",join("","",filter($G$1:$G308,$D$1:$D308=D309))))"),FALSE)</f>
        <v>0</v>
      </c>
      <c r="AX309" s="113" t="str">
        <f>IFERROR(__xludf.DUMMYFUNCTION("join("","",let(confs,unique(TRANSPOSe(Teams!$1:$1)), confs_count, BYROW(confs,lambda(conf,xlookup(conf,'Conf WC Eligibility'!A:A,'Conf WC Eligibility'!C:C,,))),confs_picked,byrow(confs,lambda(conf,countif(E$1:E308,conf))),p_needs_conf_count,byrow(confs,la"&amp;"mbda(conf,counta('Draft Order'!B$2:B622)-COUNTUNIQUE(filter(D$2:D308,E$2:E308=conf)))),query({confs,confs_count,confs_picked,p_needs_conf_count},""select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0">
      <c r="A310" s="1"/>
      <c r="B310" s="1"/>
      <c r="C310" s="1"/>
      <c r="D310" s="115"/>
      <c r="E310" s="116"/>
      <c r="F310" s="77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13" t="str">
        <f>IFERROR(__xludf.DUMMYFUNCTION("iferror(join("","",index(sort(filter($F311:$F$400,$Q311:$Q$400&gt;$Q310,arrayformula(isnumber(FIND($E311:$E$400,AP310)))),2,false),0,1)))"),"")</f>
        <v/>
      </c>
      <c r="AW310" s="113" t="b">
        <f>IFERROR(__xludf.DUMMYFUNCTION("isnumber(find(""wild card"",join("","",filter($G$1:$G309,$D$1:$D309=D310))))"),FALSE)</f>
        <v>0</v>
      </c>
      <c r="AX310" s="113" t="str">
        <f>IFERROR(__xludf.DUMMYFUNCTION("join("","",let(confs,unique(TRANSPOSe(Teams!$1:$1)), confs_count, BYROW(confs,lambda(conf,xlookup(conf,'Conf WC Eligibility'!A:A,'Conf WC Eligibility'!C:C,,))),confs_picked,byrow(confs,lambda(conf,countif(E$1:E309,conf))),p_needs_conf_count,byrow(confs,la"&amp;"mbda(conf,counta('Draft Order'!B$2:B622)-COUNTUNIQUE(filter(D$2:D309,E$2:E309=conf)))),query({confs,confs_count,confs_picked,p_needs_conf_count},""select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1">
      <c r="A311" s="1"/>
      <c r="B311" s="1"/>
      <c r="C311" s="1"/>
      <c r="D311" s="115"/>
      <c r="E311" s="116"/>
      <c r="F311" s="77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13" t="str">
        <f>IFERROR(__xludf.DUMMYFUNCTION("iferror(join("","",index(sort(filter($F312:$F$400,$Q312:$Q$400&gt;$Q311,arrayformula(isnumber(FIND($E312:$E$400,AP311)))),2,false),0,1)))"),"")</f>
        <v/>
      </c>
      <c r="AW311" s="113" t="b">
        <f>IFERROR(__xludf.DUMMYFUNCTION("isnumber(find(""wild card"",join("","",filter($G$1:$G310,$D$1:$D310=D311))))"),FALSE)</f>
        <v>0</v>
      </c>
      <c r="AX311" s="113" t="str">
        <f>IFERROR(__xludf.DUMMYFUNCTION("join("","",let(confs,unique(TRANSPOSe(Teams!$1:$1)), confs_count, BYROW(confs,lambda(conf,xlookup(conf,'Conf WC Eligibility'!A:A,'Conf WC Eligibility'!C:C,,))),confs_picked,byrow(confs,lambda(conf,countif(E$1:E310,conf))),p_needs_conf_count,byrow(confs,la"&amp;"mbda(conf,counta('Draft Order'!B$2:B622)-COUNTUNIQUE(filter(D$2:D310,E$2:E310=conf)))),query({confs,confs_count,confs_picked,p_needs_conf_count},""select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2">
      <c r="A312" s="1"/>
      <c r="B312" s="1"/>
      <c r="C312" s="1"/>
      <c r="D312" s="115"/>
      <c r="E312" s="116"/>
      <c r="F312" s="77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13" t="str">
        <f>IFERROR(__xludf.DUMMYFUNCTION("iferror(join("","",index(sort(filter($F313:$F$400,$Q313:$Q$400&gt;$Q312,arrayformula(isnumber(FIND($E313:$E$400,AP312)))),2,false),0,1)))"),"")</f>
        <v/>
      </c>
      <c r="AW312" s="113" t="b">
        <f>IFERROR(__xludf.DUMMYFUNCTION("isnumber(find(""wild card"",join("","",filter($G$1:$G311,$D$1:$D311=D312))))"),FALSE)</f>
        <v>0</v>
      </c>
      <c r="AX312" s="113" t="str">
        <f>IFERROR(__xludf.DUMMYFUNCTION("join("","",let(confs,unique(TRANSPOSe(Teams!$1:$1)), confs_count, BYROW(confs,lambda(conf,xlookup(conf,'Conf WC Eligibility'!A:A,'Conf WC Eligibility'!C:C,,))),confs_picked,byrow(confs,lambda(conf,countif(E$1:E311,conf))),p_needs_conf_count,byrow(confs,la"&amp;"mbda(conf,counta('Draft Order'!B$2:B622)-COUNTUNIQUE(filter(D$2:D311,E$2:E311=conf)))),query({confs,confs_count,confs_picked,p_needs_conf_count},""select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3">
      <c r="A313" s="1"/>
      <c r="B313" s="1"/>
      <c r="C313" s="1"/>
      <c r="D313" s="115"/>
      <c r="E313" s="116"/>
      <c r="F313" s="77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13" t="str">
        <f>IFERROR(__xludf.DUMMYFUNCTION("iferror(join("","",index(sort(filter($F314:$F$400,$Q314:$Q$400&gt;$Q313,arrayformula(isnumber(FIND($E314:$E$400,AP313)))),2,false),0,1)))"),"")</f>
        <v/>
      </c>
      <c r="AW313" s="113" t="b">
        <f>IFERROR(__xludf.DUMMYFUNCTION("isnumber(find(""wild card"",join("","",filter($G$1:$G312,$D$1:$D312=D313))))"),FALSE)</f>
        <v>0</v>
      </c>
      <c r="AX313" s="113" t="str">
        <f>IFERROR(__xludf.DUMMYFUNCTION("join("","",let(confs,unique(TRANSPOSe(Teams!$1:$1)), confs_count, BYROW(confs,lambda(conf,xlookup(conf,'Conf WC Eligibility'!A:A,'Conf WC Eligibility'!C:C,,))),confs_picked,byrow(confs,lambda(conf,countif(E$1:E312,conf))),p_needs_conf_count,byrow(confs,la"&amp;"mbda(conf,counta('Draft Order'!B$2:B622)-COUNTUNIQUE(filter(D$2:D312,E$2:E312=conf)))),query({confs,confs_count,confs_picked,p_needs_conf_count},""select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4">
      <c r="A314" s="1"/>
      <c r="B314" s="1"/>
      <c r="C314" s="1"/>
      <c r="D314" s="115"/>
      <c r="E314" s="116"/>
      <c r="F314" s="77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13" t="str">
        <f>IFERROR(__xludf.DUMMYFUNCTION("iferror(join("","",index(sort(filter($F315:$F$400,$Q315:$Q$400&gt;$Q314,arrayformula(isnumber(FIND($E315:$E$400,AP314)))),2,false),0,1)))"),"")</f>
        <v/>
      </c>
      <c r="AW314" s="113" t="b">
        <f>IFERROR(__xludf.DUMMYFUNCTION("isnumber(find(""wild card"",join("","",filter($G$1:$G313,$D$1:$D313=D314))))"),FALSE)</f>
        <v>0</v>
      </c>
      <c r="AX314" s="113" t="str">
        <f>IFERROR(__xludf.DUMMYFUNCTION("join("","",let(confs,unique(TRANSPOSe(Teams!$1:$1)), confs_count, BYROW(confs,lambda(conf,xlookup(conf,'Conf WC Eligibility'!A:A,'Conf WC Eligibility'!C:C,,))),confs_picked,byrow(confs,lambda(conf,countif(E$1:E313,conf))),p_needs_conf_count,byrow(confs,la"&amp;"mbda(conf,counta('Draft Order'!B$2:B622)-COUNTUNIQUE(filter(D$2:D313,E$2:E313=conf)))),query({confs,confs_count,confs_picked,p_needs_conf_count},""select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5">
      <c r="A315" s="1"/>
      <c r="B315" s="1"/>
      <c r="C315" s="1"/>
      <c r="D315" s="115"/>
      <c r="E315" s="116"/>
      <c r="F315" s="77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13" t="str">
        <f>IFERROR(__xludf.DUMMYFUNCTION("iferror(join("","",index(sort(filter($F316:$F$400,$Q316:$Q$400&gt;$Q315,arrayformula(isnumber(FIND($E316:$E$400,AP315)))),2,false),0,1)))"),"")</f>
        <v/>
      </c>
      <c r="AW315" s="113" t="b">
        <f>IFERROR(__xludf.DUMMYFUNCTION("isnumber(find(""wild card"",join("","",filter($G$1:$G314,$D$1:$D314=D315))))"),FALSE)</f>
        <v>0</v>
      </c>
      <c r="AX315" s="113" t="str">
        <f>IFERROR(__xludf.DUMMYFUNCTION("join("","",let(confs,unique(TRANSPOSe(Teams!$1:$1)), confs_count, BYROW(confs,lambda(conf,xlookup(conf,'Conf WC Eligibility'!A:A,'Conf WC Eligibility'!C:C,,))),confs_picked,byrow(confs,lambda(conf,countif(E$1:E314,conf))),p_needs_conf_count,byrow(confs,la"&amp;"mbda(conf,counta('Draft Order'!B$2:B622)-COUNTUNIQUE(filter(D$2:D314,E$2:E314=conf)))),query({confs,confs_count,confs_picked,p_needs_conf_count},""select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6">
      <c r="A316" s="1"/>
      <c r="B316" s="1"/>
      <c r="C316" s="1"/>
      <c r="D316" s="115"/>
      <c r="E316" s="116"/>
      <c r="F316" s="77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13" t="str">
        <f>IFERROR(__xludf.DUMMYFUNCTION("iferror(join("","",index(sort(filter($F317:$F$400,$Q317:$Q$400&gt;$Q316,arrayformula(isnumber(FIND($E317:$E$400,AP316)))),2,false),0,1)))"),"")</f>
        <v/>
      </c>
      <c r="AW316" s="113" t="b">
        <f>IFERROR(__xludf.DUMMYFUNCTION("isnumber(find(""wild card"",join("","",filter($G$1:$G315,$D$1:$D315=D316))))"),FALSE)</f>
        <v>0</v>
      </c>
      <c r="AX316" s="113" t="str">
        <f>IFERROR(__xludf.DUMMYFUNCTION("join("","",let(confs,unique(TRANSPOSe(Teams!$1:$1)), confs_count, BYROW(confs,lambda(conf,xlookup(conf,'Conf WC Eligibility'!A:A,'Conf WC Eligibility'!C:C,,))),confs_picked,byrow(confs,lambda(conf,countif(E$1:E315,conf))),p_needs_conf_count,byrow(confs,la"&amp;"mbda(conf,counta('Draft Order'!B$2:B622)-COUNTUNIQUE(filter(D$2:D315,E$2:E315=conf)))),query({confs,confs_count,confs_picked,p_needs_conf_count},""select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7">
      <c r="A317" s="1"/>
      <c r="B317" s="1"/>
      <c r="C317" s="1"/>
      <c r="D317" s="115"/>
      <c r="E317" s="116"/>
      <c r="F317" s="77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13" t="str">
        <f>IFERROR(__xludf.DUMMYFUNCTION("iferror(join("","",index(sort(filter($F318:$F$400,$Q318:$Q$400&gt;$Q317,arrayformula(isnumber(FIND($E318:$E$400,AP317)))),2,false),0,1)))"),"")</f>
        <v/>
      </c>
      <c r="AW317" s="113" t="b">
        <f>IFERROR(__xludf.DUMMYFUNCTION("isnumber(find(""wild card"",join("","",filter($G$1:$G316,$D$1:$D316=D317))))"),FALSE)</f>
        <v>0</v>
      </c>
      <c r="AX317" s="113" t="str">
        <f>IFERROR(__xludf.DUMMYFUNCTION("join("","",let(confs,unique(TRANSPOSe(Teams!$1:$1)), confs_count, BYROW(confs,lambda(conf,xlookup(conf,'Conf WC Eligibility'!A:A,'Conf WC Eligibility'!C:C,,))),confs_picked,byrow(confs,lambda(conf,countif(E$1:E316,conf))),p_needs_conf_count,byrow(confs,la"&amp;"mbda(conf,counta('Draft Order'!B$2:B622)-COUNTUNIQUE(filter(D$2:D316,E$2:E316=conf)))),query({confs,confs_count,confs_picked,p_needs_conf_count},""select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8">
      <c r="A318" s="1"/>
      <c r="B318" s="1"/>
      <c r="C318" s="1"/>
      <c r="D318" s="115"/>
      <c r="E318" s="116"/>
      <c r="F318" s="77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13" t="str">
        <f>IFERROR(__xludf.DUMMYFUNCTION("iferror(join("","",index(sort(filter($F319:$F$400,$Q319:$Q$400&gt;$Q318,arrayformula(isnumber(FIND($E319:$E$400,AP318)))),2,false),0,1)))"),"")</f>
        <v/>
      </c>
      <c r="AW318" s="113" t="b">
        <f>IFERROR(__xludf.DUMMYFUNCTION("isnumber(find(""wild card"",join("","",filter($G$1:$G317,$D$1:$D317=D318))))"),FALSE)</f>
        <v>0</v>
      </c>
      <c r="AX318" s="113" t="str">
        <f>IFERROR(__xludf.DUMMYFUNCTION("join("","",let(confs,unique(TRANSPOSe(Teams!$1:$1)), confs_count, BYROW(confs,lambda(conf,xlookup(conf,'Conf WC Eligibility'!A:A,'Conf WC Eligibility'!C:C,,))),confs_picked,byrow(confs,lambda(conf,countif(E$1:E317,conf))),p_needs_conf_count,byrow(confs,la"&amp;"mbda(conf,counta('Draft Order'!B$2:B622)-COUNTUNIQUE(filter(D$2:D317,E$2:E317=conf)))),query({confs,confs_count,confs_picked,p_needs_conf_count},""select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19">
      <c r="A319" s="1"/>
      <c r="B319" s="1"/>
      <c r="C319" s="1"/>
      <c r="D319" s="115"/>
      <c r="E319" s="116"/>
      <c r="F319" s="77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13" t="str">
        <f>IFERROR(__xludf.DUMMYFUNCTION("iferror(join("","",index(sort(filter($F320:$F$400,$Q320:$Q$400&gt;$Q319,arrayformula(isnumber(FIND($E320:$E$400,AP319)))),2,false),0,1)))"),"")</f>
        <v/>
      </c>
      <c r="AW319" s="113" t="b">
        <f>IFERROR(__xludf.DUMMYFUNCTION("isnumber(find(""wild card"",join("","",filter($G$1:$G318,$D$1:$D318=D319))))"),FALSE)</f>
        <v>0</v>
      </c>
      <c r="AX319" s="113" t="str">
        <f>IFERROR(__xludf.DUMMYFUNCTION("join("","",let(confs,unique(TRANSPOSe(Teams!$1:$1)), confs_count, BYROW(confs,lambda(conf,xlookup(conf,'Conf WC Eligibility'!A:A,'Conf WC Eligibility'!C:C,,))),confs_picked,byrow(confs,lambda(conf,countif(E$1:E318,conf))),p_needs_conf_count,byrow(confs,la"&amp;"mbda(conf,counta('Draft Order'!B$2:B622)-COUNTUNIQUE(filter(D$2:D318,E$2:E318=conf)))),query({confs,confs_count,confs_picked,p_needs_conf_count},""select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0">
      <c r="A320" s="1"/>
      <c r="B320" s="1"/>
      <c r="C320" s="1"/>
      <c r="D320" s="115"/>
      <c r="E320" s="116"/>
      <c r="F320" s="77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13" t="str">
        <f>IFERROR(__xludf.DUMMYFUNCTION("iferror(join("","",index(sort(filter($F321:$F$400,$Q321:$Q$400&gt;$Q320,arrayformula(isnumber(FIND($E321:$E$400,AP320)))),2,false),0,1)))"),"")</f>
        <v/>
      </c>
      <c r="AW320" s="113" t="b">
        <f>IFERROR(__xludf.DUMMYFUNCTION("isnumber(find(""wild card"",join("","",filter($G$1:$G319,$D$1:$D319=D320))))"),FALSE)</f>
        <v>0</v>
      </c>
      <c r="AX320" s="113" t="str">
        <f>IFERROR(__xludf.DUMMYFUNCTION("join("","",let(confs,unique(TRANSPOSe(Teams!$1:$1)), confs_count, BYROW(confs,lambda(conf,xlookup(conf,'Conf WC Eligibility'!A:A,'Conf WC Eligibility'!C:C,,))),confs_picked,byrow(confs,lambda(conf,countif(E$1:E319,conf))),p_needs_conf_count,byrow(confs,la"&amp;"mbda(conf,counta('Draft Order'!B$2:B622)-COUNTUNIQUE(filter(D$2:D319,E$2:E319=conf)))),query({confs,confs_count,confs_picked,p_needs_conf_count},""select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1">
      <c r="A321" s="1"/>
      <c r="B321" s="1"/>
      <c r="C321" s="1"/>
      <c r="D321" s="115"/>
      <c r="E321" s="116"/>
      <c r="F321" s="77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13" t="str">
        <f>IFERROR(__xludf.DUMMYFUNCTION("iferror(join("","",index(sort(filter($F322:$F$400,$Q322:$Q$400&gt;$Q321,arrayformula(isnumber(FIND($E322:$E$400,AP321)))),2,false),0,1)))"),"")</f>
        <v/>
      </c>
      <c r="AW321" s="113" t="b">
        <f>IFERROR(__xludf.DUMMYFUNCTION("isnumber(find(""wild card"",join("","",filter($G$1:$G320,$D$1:$D320=D321))))"),FALSE)</f>
        <v>0</v>
      </c>
      <c r="AX321" s="113" t="str">
        <f>IFERROR(__xludf.DUMMYFUNCTION("join("","",let(confs,unique(TRANSPOSe(Teams!$1:$1)), confs_count, BYROW(confs,lambda(conf,xlookup(conf,'Conf WC Eligibility'!A:A,'Conf WC Eligibility'!C:C,,))),confs_picked,byrow(confs,lambda(conf,countif(E$1:E320,conf))),p_needs_conf_count,byrow(confs,la"&amp;"mbda(conf,counta('Draft Order'!B$2:B622)-COUNTUNIQUE(filter(D$2:D320,E$2:E320=conf)))),query({confs,confs_count,confs_picked,p_needs_conf_count},""select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2">
      <c r="A322" s="1"/>
      <c r="B322" s="1"/>
      <c r="C322" s="1"/>
      <c r="D322" s="115"/>
      <c r="E322" s="116"/>
      <c r="F322" s="77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13" t="str">
        <f>IFERROR(__xludf.DUMMYFUNCTION("iferror(join("","",index(sort(filter($F323:$F$400,$Q323:$Q$400&gt;$Q322,arrayformula(isnumber(FIND($E323:$E$400,AP322)))),2,false),0,1)))"),"")</f>
        <v/>
      </c>
      <c r="AW322" s="113" t="b">
        <f>IFERROR(__xludf.DUMMYFUNCTION("isnumber(find(""wild card"",join("","",filter($G$1:$G321,$D$1:$D321=D322))))"),FALSE)</f>
        <v>0</v>
      </c>
      <c r="AX322" s="113" t="str">
        <f>IFERROR(__xludf.DUMMYFUNCTION("join("","",let(confs,unique(TRANSPOSe(Teams!$1:$1)), confs_count, BYROW(confs,lambda(conf,xlookup(conf,'Conf WC Eligibility'!A:A,'Conf WC Eligibility'!C:C,,))),confs_picked,byrow(confs,lambda(conf,countif(E$1:E321,conf))),p_needs_conf_count,byrow(confs,la"&amp;"mbda(conf,counta('Draft Order'!B$2:B622)-COUNTUNIQUE(filter(D$2:D321,E$2:E321=conf)))),query({confs,confs_count,confs_picked,p_needs_conf_count},""select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3">
      <c r="A323" s="1"/>
      <c r="B323" s="1"/>
      <c r="C323" s="1"/>
      <c r="D323" s="115"/>
      <c r="E323" s="116"/>
      <c r="F323" s="77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13" t="str">
        <f>IFERROR(__xludf.DUMMYFUNCTION("iferror(join("","",index(sort(filter($F324:$F$400,$Q324:$Q$400&gt;$Q323,arrayformula(isnumber(FIND($E324:$E$400,AP323)))),2,false),0,1)))"),"")</f>
        <v/>
      </c>
      <c r="AW323" s="113" t="b">
        <f>IFERROR(__xludf.DUMMYFUNCTION("isnumber(find(""wild card"",join("","",filter($G$1:$G322,$D$1:$D322=D323))))"),FALSE)</f>
        <v>0</v>
      </c>
      <c r="AX323" s="113" t="str">
        <f>IFERROR(__xludf.DUMMYFUNCTION("join("","",let(confs,unique(TRANSPOSe(Teams!$1:$1)), confs_count, BYROW(confs,lambda(conf,xlookup(conf,'Conf WC Eligibility'!A:A,'Conf WC Eligibility'!C:C,,))),confs_picked,byrow(confs,lambda(conf,countif(E$1:E322,conf))),p_needs_conf_count,byrow(confs,la"&amp;"mbda(conf,counta('Draft Order'!B$2:B622)-COUNTUNIQUE(filter(D$2:D322,E$2:E322=conf)))),query({confs,confs_count,confs_picked,p_needs_conf_count},""select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4">
      <c r="A324" s="1"/>
      <c r="B324" s="1"/>
      <c r="C324" s="1"/>
      <c r="D324" s="115"/>
      <c r="E324" s="116"/>
      <c r="F324" s="77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13" t="str">
        <f>IFERROR(__xludf.DUMMYFUNCTION("iferror(join("","",index(sort(filter($F325:$F$400,$Q325:$Q$400&gt;$Q324,arrayformula(isnumber(FIND($E325:$E$400,AP324)))),2,false),0,1)))"),"")</f>
        <v/>
      </c>
      <c r="AW324" s="113" t="b">
        <f>IFERROR(__xludf.DUMMYFUNCTION("isnumber(find(""wild card"",join("","",filter($G$1:$G323,$D$1:$D323=D324))))"),FALSE)</f>
        <v>0</v>
      </c>
      <c r="AX324" s="113" t="str">
        <f>IFERROR(__xludf.DUMMYFUNCTION("join("","",let(confs,unique(TRANSPOSe(Teams!$1:$1)), confs_count, BYROW(confs,lambda(conf,xlookup(conf,'Conf WC Eligibility'!A:A,'Conf WC Eligibility'!C:C,,))),confs_picked,byrow(confs,lambda(conf,countif(E$1:E323,conf))),p_needs_conf_count,byrow(confs,la"&amp;"mbda(conf,counta('Draft Order'!B$2:B622)-COUNTUNIQUE(filter(D$2:D323,E$2:E323=conf)))),query({confs,confs_count,confs_picked,p_needs_conf_count},""select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5">
      <c r="A325" s="1"/>
      <c r="B325" s="1"/>
      <c r="C325" s="1"/>
      <c r="D325" s="115"/>
      <c r="E325" s="116"/>
      <c r="F325" s="77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13" t="str">
        <f>IFERROR(__xludf.DUMMYFUNCTION("iferror(join("","",index(sort(filter($F326:$F$400,$Q326:$Q$400&gt;$Q325,arrayformula(isnumber(FIND($E326:$E$400,AP325)))),2,false),0,1)))"),"")</f>
        <v/>
      </c>
      <c r="AW325" s="113" t="b">
        <f>IFERROR(__xludf.DUMMYFUNCTION("isnumber(find(""wild card"",join("","",filter($G$1:$G324,$D$1:$D324=D325))))"),FALSE)</f>
        <v>0</v>
      </c>
      <c r="AX325" s="113" t="str">
        <f>IFERROR(__xludf.DUMMYFUNCTION("join("","",let(confs,unique(TRANSPOSe(Teams!$1:$1)), confs_count, BYROW(confs,lambda(conf,xlookup(conf,'Conf WC Eligibility'!A:A,'Conf WC Eligibility'!C:C,,))),confs_picked,byrow(confs,lambda(conf,countif(E$1:E324,conf))),p_needs_conf_count,byrow(confs,la"&amp;"mbda(conf,counta('Draft Order'!B$2:B622)-COUNTUNIQUE(filter(D$2:D324,E$2:E324=conf)))),query({confs,confs_count,confs_picked,p_needs_conf_count},""select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6">
      <c r="A326" s="1"/>
      <c r="B326" s="1"/>
      <c r="C326" s="1"/>
      <c r="D326" s="115"/>
      <c r="E326" s="116"/>
      <c r="F326" s="77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13" t="str">
        <f>IFERROR(__xludf.DUMMYFUNCTION("iferror(join("","",index(sort(filter($F327:$F$400,$Q327:$Q$400&gt;$Q326,arrayformula(isnumber(FIND($E327:$E$400,AP326)))),2,false),0,1)))"),"")</f>
        <v/>
      </c>
      <c r="AW326" s="113" t="b">
        <f>IFERROR(__xludf.DUMMYFUNCTION("isnumber(find(""wild card"",join("","",filter($G$1:$G325,$D$1:$D325=D326))))"),FALSE)</f>
        <v>0</v>
      </c>
      <c r="AX326" s="113" t="str">
        <f>IFERROR(__xludf.DUMMYFUNCTION("join("","",let(confs,unique(TRANSPOSe(Teams!$1:$1)), confs_count, BYROW(confs,lambda(conf,xlookup(conf,'Conf WC Eligibility'!A:A,'Conf WC Eligibility'!C:C,,))),confs_picked,byrow(confs,lambda(conf,countif(E$1:E325,conf))),p_needs_conf_count,byrow(confs,la"&amp;"mbda(conf,counta('Draft Order'!B$2:B622)-COUNTUNIQUE(filter(D$2:D325,E$2:E325=conf)))),query({confs,confs_count,confs_picked,p_needs_conf_count},""select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7">
      <c r="A327" s="1"/>
      <c r="B327" s="1"/>
      <c r="C327" s="1"/>
      <c r="D327" s="115"/>
      <c r="E327" s="116"/>
      <c r="F327" s="77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13" t="str">
        <f>IFERROR(__xludf.DUMMYFUNCTION("iferror(join("","",index(sort(filter($F328:$F$400,$Q328:$Q$400&gt;$Q327,arrayformula(isnumber(FIND($E328:$E$400,AP327)))),2,false),0,1)))"),"")</f>
        <v/>
      </c>
      <c r="AW327" s="113" t="b">
        <f>IFERROR(__xludf.DUMMYFUNCTION("isnumber(find(""wild card"",join("","",filter($G$1:$G326,$D$1:$D326=D327))))"),FALSE)</f>
        <v>0</v>
      </c>
      <c r="AX327" s="113" t="str">
        <f>IFERROR(__xludf.DUMMYFUNCTION("join("","",let(confs,unique(TRANSPOSe(Teams!$1:$1)), confs_count, BYROW(confs,lambda(conf,xlookup(conf,'Conf WC Eligibility'!A:A,'Conf WC Eligibility'!C:C,,))),confs_picked,byrow(confs,lambda(conf,countif(E$1:E326,conf))),p_needs_conf_count,byrow(confs,la"&amp;"mbda(conf,counta('Draft Order'!B$2:B622)-COUNTUNIQUE(filter(D$2:D326,E$2:E326=conf)))),query({confs,confs_count,confs_picked,p_needs_conf_count},""select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8">
      <c r="A328" s="1"/>
      <c r="B328" s="1"/>
      <c r="C328" s="1"/>
      <c r="D328" s="115"/>
      <c r="E328" s="116"/>
      <c r="F328" s="77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13" t="str">
        <f>IFERROR(__xludf.DUMMYFUNCTION("iferror(join("","",index(sort(filter($F329:$F$400,$Q329:$Q$400&gt;$Q328,arrayformula(isnumber(FIND($E329:$E$400,AP328)))),2,false),0,1)))"),"")</f>
        <v/>
      </c>
      <c r="AW328" s="113" t="b">
        <f>IFERROR(__xludf.DUMMYFUNCTION("isnumber(find(""wild card"",join("","",filter($G$1:$G327,$D$1:$D327=D328))))"),FALSE)</f>
        <v>0</v>
      </c>
      <c r="AX328" s="113" t="str">
        <f>IFERROR(__xludf.DUMMYFUNCTION("join("","",let(confs,unique(TRANSPOSe(Teams!$1:$1)), confs_count, BYROW(confs,lambda(conf,xlookup(conf,'Conf WC Eligibility'!A:A,'Conf WC Eligibility'!C:C,,))),confs_picked,byrow(confs,lambda(conf,countif(E$1:E327,conf))),p_needs_conf_count,byrow(confs,la"&amp;"mbda(conf,counta('Draft Order'!B$2:B622)-COUNTUNIQUE(filter(D$2:D327,E$2:E327=conf)))),query({confs,confs_count,confs_picked,p_needs_conf_count},""select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29">
      <c r="A329" s="1"/>
      <c r="B329" s="1"/>
      <c r="C329" s="1"/>
      <c r="D329" s="115"/>
      <c r="E329" s="116"/>
      <c r="F329" s="77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13" t="str">
        <f>IFERROR(__xludf.DUMMYFUNCTION("iferror(join("","",index(sort(filter($F330:$F$400,$Q330:$Q$400&gt;$Q329,arrayformula(isnumber(FIND($E330:$E$400,AP329)))),2,false),0,1)))"),"")</f>
        <v/>
      </c>
      <c r="AW329" s="113" t="b">
        <f>IFERROR(__xludf.DUMMYFUNCTION("isnumber(find(""wild card"",join("","",filter($G$1:$G328,$D$1:$D328=D329))))"),FALSE)</f>
        <v>0</v>
      </c>
      <c r="AX329" s="113" t="str">
        <f>IFERROR(__xludf.DUMMYFUNCTION("join("","",let(confs,unique(TRANSPOSe(Teams!$1:$1)), confs_count, BYROW(confs,lambda(conf,xlookup(conf,'Conf WC Eligibility'!A:A,'Conf WC Eligibility'!C:C,,))),confs_picked,byrow(confs,lambda(conf,countif(E$1:E328,conf))),p_needs_conf_count,byrow(confs,la"&amp;"mbda(conf,counta('Draft Order'!B$2:B622)-COUNTUNIQUE(filter(D$2:D328,E$2:E328=conf)))),query({confs,confs_count,confs_picked,p_needs_conf_count},""select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0">
      <c r="A330" s="1"/>
      <c r="B330" s="1"/>
      <c r="C330" s="1"/>
      <c r="D330" s="115"/>
      <c r="E330" s="116"/>
      <c r="F330" s="77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13" t="str">
        <f>IFERROR(__xludf.DUMMYFUNCTION("iferror(join("","",index(sort(filter($F331:$F$400,$Q331:$Q$400&gt;$Q330,arrayformula(isnumber(FIND($E331:$E$400,AP330)))),2,false),0,1)))"),"")</f>
        <v/>
      </c>
      <c r="AW330" s="113" t="b">
        <f>IFERROR(__xludf.DUMMYFUNCTION("isnumber(find(""wild card"",join("","",filter($G$1:$G329,$D$1:$D329=D330))))"),FALSE)</f>
        <v>0</v>
      </c>
      <c r="AX330" s="113" t="str">
        <f>IFERROR(__xludf.DUMMYFUNCTION("join("","",let(confs,unique(TRANSPOSe(Teams!$1:$1)), confs_count, BYROW(confs,lambda(conf,xlookup(conf,'Conf WC Eligibility'!A:A,'Conf WC Eligibility'!C:C,,))),confs_picked,byrow(confs,lambda(conf,countif(E$1:E329,conf))),p_needs_conf_count,byrow(confs,la"&amp;"mbda(conf,counta('Draft Order'!B$2:B622)-COUNTUNIQUE(filter(D$2:D329,E$2:E329=conf)))),query({confs,confs_count,confs_picked,p_needs_conf_count},""select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1">
      <c r="A331" s="1"/>
      <c r="B331" s="1"/>
      <c r="C331" s="1"/>
      <c r="D331" s="115"/>
      <c r="E331" s="116"/>
      <c r="F331" s="77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13" t="str">
        <f>IFERROR(__xludf.DUMMYFUNCTION("iferror(join("","",index(sort(filter($F332:$F$400,$Q332:$Q$400&gt;$Q331,arrayformula(isnumber(FIND($E332:$E$400,AP331)))),2,false),0,1)))"),"")</f>
        <v/>
      </c>
      <c r="AW331" s="113" t="b">
        <f>IFERROR(__xludf.DUMMYFUNCTION("isnumber(find(""wild card"",join("","",filter($G$1:$G330,$D$1:$D330=D331))))"),FALSE)</f>
        <v>0</v>
      </c>
      <c r="AX331" s="113" t="str">
        <f>IFERROR(__xludf.DUMMYFUNCTION("join("","",let(confs,unique(TRANSPOSe(Teams!$1:$1)), confs_count, BYROW(confs,lambda(conf,xlookup(conf,'Conf WC Eligibility'!A:A,'Conf WC Eligibility'!C:C,,))),confs_picked,byrow(confs,lambda(conf,countif(E$1:E330,conf))),p_needs_conf_count,byrow(confs,la"&amp;"mbda(conf,counta('Draft Order'!B$2:B622)-COUNTUNIQUE(filter(D$2:D330,E$2:E330=conf)))),query({confs,confs_count,confs_picked,p_needs_conf_count},""select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2">
      <c r="A332" s="1"/>
      <c r="B332" s="1"/>
      <c r="C332" s="1"/>
      <c r="D332" s="115"/>
      <c r="E332" s="116"/>
      <c r="F332" s="77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13" t="str">
        <f>IFERROR(__xludf.DUMMYFUNCTION("iferror(join("","",index(sort(filter($F333:$F$400,$Q333:$Q$400&gt;$Q332,arrayformula(isnumber(FIND($E333:$E$400,AP332)))),2,false),0,1)))"),"")</f>
        <v/>
      </c>
      <c r="AW332" s="113" t="b">
        <f>IFERROR(__xludf.DUMMYFUNCTION("isnumber(find(""wild card"",join("","",filter($G$1:$G331,$D$1:$D331=D332))))"),FALSE)</f>
        <v>0</v>
      </c>
      <c r="AX332" s="113" t="str">
        <f>IFERROR(__xludf.DUMMYFUNCTION("join("","",let(confs,unique(TRANSPOSe(Teams!$1:$1)), confs_count, BYROW(confs,lambda(conf,xlookup(conf,'Conf WC Eligibility'!A:A,'Conf WC Eligibility'!C:C,,))),confs_picked,byrow(confs,lambda(conf,countif(E$1:E331,conf))),p_needs_conf_count,byrow(confs,la"&amp;"mbda(conf,counta('Draft Order'!B$2:B622)-COUNTUNIQUE(filter(D$2:D331,E$2:E331=conf)))),query({confs,confs_count,confs_picked,p_needs_conf_count},""select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3">
      <c r="A333" s="1"/>
      <c r="B333" s="1"/>
      <c r="C333" s="1"/>
      <c r="D333" s="115"/>
      <c r="E333" s="116"/>
      <c r="F333" s="77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13" t="str">
        <f>IFERROR(__xludf.DUMMYFUNCTION("iferror(join("","",index(sort(filter($F334:$F$400,$Q334:$Q$400&gt;$Q333,arrayformula(isnumber(FIND($E334:$E$400,AP333)))),2,false),0,1)))"),"")</f>
        <v/>
      </c>
      <c r="AW333" s="113" t="b">
        <f>IFERROR(__xludf.DUMMYFUNCTION("isnumber(find(""wild card"",join("","",filter($G$1:$G332,$D$1:$D332=D333))))"),FALSE)</f>
        <v>0</v>
      </c>
      <c r="AX333" s="113" t="str">
        <f>IFERROR(__xludf.DUMMYFUNCTION("join("","",let(confs,unique(TRANSPOSe(Teams!$1:$1)), confs_count, BYROW(confs,lambda(conf,xlookup(conf,'Conf WC Eligibility'!A:A,'Conf WC Eligibility'!C:C,,))),confs_picked,byrow(confs,lambda(conf,countif(E$1:E332,conf))),p_needs_conf_count,byrow(confs,la"&amp;"mbda(conf,counta('Draft Order'!B$2:B622)-COUNTUNIQUE(filter(D$2:D332,E$2:E332=conf)))),query({confs,confs_count,confs_picked,p_needs_conf_count},""select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4">
      <c r="A334" s="1"/>
      <c r="B334" s="1"/>
      <c r="C334" s="1"/>
      <c r="D334" s="115"/>
      <c r="E334" s="116"/>
      <c r="F334" s="77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13" t="str">
        <f>IFERROR(__xludf.DUMMYFUNCTION("iferror(join("","",index(sort(filter($F335:$F$400,$Q335:$Q$400&gt;$Q334,arrayformula(isnumber(FIND($E335:$E$400,AP334)))),2,false),0,1)))"),"")</f>
        <v/>
      </c>
      <c r="AW334" s="113" t="b">
        <f>IFERROR(__xludf.DUMMYFUNCTION("isnumber(find(""wild card"",join("","",filter($G$1:$G333,$D$1:$D333=D334))))"),FALSE)</f>
        <v>0</v>
      </c>
      <c r="AX334" s="113" t="str">
        <f>IFERROR(__xludf.DUMMYFUNCTION("join("","",let(confs,unique(TRANSPOSe(Teams!$1:$1)), confs_count, BYROW(confs,lambda(conf,xlookup(conf,'Conf WC Eligibility'!A:A,'Conf WC Eligibility'!C:C,,))),confs_picked,byrow(confs,lambda(conf,countif(E$1:E333,conf))),p_needs_conf_count,byrow(confs,la"&amp;"mbda(conf,counta('Draft Order'!B$2:B622)-COUNTUNIQUE(filter(D$2:D333,E$2:E333=conf)))),query({confs,confs_count,confs_picked,p_needs_conf_count},""select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5">
      <c r="A335" s="1"/>
      <c r="B335" s="1"/>
      <c r="C335" s="1"/>
      <c r="D335" s="115"/>
      <c r="E335" s="116"/>
      <c r="F335" s="77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13" t="str">
        <f>IFERROR(__xludf.DUMMYFUNCTION("iferror(join("","",index(sort(filter($F336:$F$400,$Q336:$Q$400&gt;$Q335,arrayformula(isnumber(FIND($E336:$E$400,AP335)))),2,false),0,1)))"),"")</f>
        <v/>
      </c>
      <c r="AW335" s="113" t="b">
        <f>IFERROR(__xludf.DUMMYFUNCTION("isnumber(find(""wild card"",join("","",filter($G$1:$G334,$D$1:$D334=D335))))"),FALSE)</f>
        <v>0</v>
      </c>
      <c r="AX335" s="113" t="str">
        <f>IFERROR(__xludf.DUMMYFUNCTION("join("","",let(confs,unique(TRANSPOSe(Teams!$1:$1)), confs_count, BYROW(confs,lambda(conf,xlookup(conf,'Conf WC Eligibility'!A:A,'Conf WC Eligibility'!C:C,,))),confs_picked,byrow(confs,lambda(conf,countif(E$1:E334,conf))),p_needs_conf_count,byrow(confs,la"&amp;"mbda(conf,counta('Draft Order'!B$2:B622)-COUNTUNIQUE(filter(D$2:D334,E$2:E334=conf)))),query({confs,confs_count,confs_picked,p_needs_conf_count},""select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6">
      <c r="A336" s="1"/>
      <c r="B336" s="1"/>
      <c r="C336" s="1"/>
      <c r="D336" s="115"/>
      <c r="E336" s="116"/>
      <c r="F336" s="77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13" t="str">
        <f>IFERROR(__xludf.DUMMYFUNCTION("iferror(join("","",index(sort(filter($F337:$F$400,$Q337:$Q$400&gt;$Q336,arrayformula(isnumber(FIND($E337:$E$400,AP336)))),2,false),0,1)))"),"")</f>
        <v/>
      </c>
      <c r="AW336" s="113" t="b">
        <f>IFERROR(__xludf.DUMMYFUNCTION("isnumber(find(""wild card"",join("","",filter($G$1:$G335,$D$1:$D335=D336))))"),FALSE)</f>
        <v>0</v>
      </c>
      <c r="AX336" s="113" t="str">
        <f>IFERROR(__xludf.DUMMYFUNCTION("join("","",let(confs,unique(TRANSPOSe(Teams!$1:$1)), confs_count, BYROW(confs,lambda(conf,xlookup(conf,'Conf WC Eligibility'!A:A,'Conf WC Eligibility'!C:C,,))),confs_picked,byrow(confs,lambda(conf,countif(E$1:E335,conf))),p_needs_conf_count,byrow(confs,la"&amp;"mbda(conf,counta('Draft Order'!B$2:B622)-COUNTUNIQUE(filter(D$2:D335,E$2:E335=conf)))),query({confs,confs_count,confs_picked,p_needs_conf_count},""select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7">
      <c r="A337" s="1"/>
      <c r="B337" s="1"/>
      <c r="C337" s="1"/>
      <c r="D337" s="115"/>
      <c r="E337" s="116"/>
      <c r="F337" s="77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13" t="str">
        <f>IFERROR(__xludf.DUMMYFUNCTION("iferror(join("","",index(sort(filter($F338:$F$400,$Q338:$Q$400&gt;$Q337,arrayformula(isnumber(FIND($E338:$E$400,AP337)))),2,false),0,1)))"),"")</f>
        <v/>
      </c>
      <c r="AW337" s="113" t="b">
        <f>IFERROR(__xludf.DUMMYFUNCTION("isnumber(find(""wild card"",join("","",filter($G$1:$G336,$D$1:$D336=D337))))"),FALSE)</f>
        <v>0</v>
      </c>
      <c r="AX337" s="113" t="str">
        <f>IFERROR(__xludf.DUMMYFUNCTION("join("","",let(confs,unique(TRANSPOSe(Teams!$1:$1)), confs_count, BYROW(confs,lambda(conf,xlookup(conf,'Conf WC Eligibility'!A:A,'Conf WC Eligibility'!C:C,,))),confs_picked,byrow(confs,lambda(conf,countif(E$1:E336,conf))),p_needs_conf_count,byrow(confs,la"&amp;"mbda(conf,counta('Draft Order'!B$2:B622)-COUNTUNIQUE(filter(D$2:D336,E$2:E336=conf)))),query({confs,confs_count,confs_picked,p_needs_conf_count},""select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8">
      <c r="A338" s="1"/>
      <c r="B338" s="1"/>
      <c r="C338" s="1"/>
      <c r="D338" s="115"/>
      <c r="E338" s="116"/>
      <c r="F338" s="77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13" t="str">
        <f>IFERROR(__xludf.DUMMYFUNCTION("iferror(join("","",index(sort(filter($F339:$F$400,$Q339:$Q$400&gt;$Q338,arrayformula(isnumber(FIND($E339:$E$400,AP338)))),2,false),0,1)))"),"")</f>
        <v/>
      </c>
      <c r="AW338" s="113" t="b">
        <f>IFERROR(__xludf.DUMMYFUNCTION("isnumber(find(""wild card"",join("","",filter($G$1:$G337,$D$1:$D337=D338))))"),FALSE)</f>
        <v>0</v>
      </c>
      <c r="AX338" s="113" t="str">
        <f>IFERROR(__xludf.DUMMYFUNCTION("join("","",let(confs,unique(TRANSPOSe(Teams!$1:$1)), confs_count, BYROW(confs,lambda(conf,xlookup(conf,'Conf WC Eligibility'!A:A,'Conf WC Eligibility'!C:C,,))),confs_picked,byrow(confs,lambda(conf,countif(E$1:E337,conf))),p_needs_conf_count,byrow(confs,la"&amp;"mbda(conf,counta('Draft Order'!B$2:B622)-COUNTUNIQUE(filter(D$2:D337,E$2:E337=conf)))),query({confs,confs_count,confs_picked,p_needs_conf_count},""select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39">
      <c r="A339" s="1"/>
      <c r="B339" s="1"/>
      <c r="C339" s="1"/>
      <c r="D339" s="115"/>
      <c r="E339" s="116"/>
      <c r="F339" s="77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13" t="str">
        <f>IFERROR(__xludf.DUMMYFUNCTION("iferror(join("","",index(sort(filter($F340:$F$400,$Q340:$Q$400&gt;$Q339,arrayformula(isnumber(FIND($E340:$E$400,AP339)))),2,false),0,1)))"),"")</f>
        <v/>
      </c>
      <c r="AW339" s="113" t="b">
        <f>IFERROR(__xludf.DUMMYFUNCTION("isnumber(find(""wild card"",join("","",filter($G$1:$G338,$D$1:$D338=D339))))"),FALSE)</f>
        <v>0</v>
      </c>
      <c r="AX339" s="113" t="str">
        <f>IFERROR(__xludf.DUMMYFUNCTION("join("","",let(confs,unique(TRANSPOSe(Teams!$1:$1)), confs_count, BYROW(confs,lambda(conf,xlookup(conf,'Conf WC Eligibility'!A:A,'Conf WC Eligibility'!C:C,,))),confs_picked,byrow(confs,lambda(conf,countif(E$1:E338,conf))),p_needs_conf_count,byrow(confs,la"&amp;"mbda(conf,counta('Draft Order'!B$2:B622)-COUNTUNIQUE(filter(D$2:D338,E$2:E338=conf)))),query({confs,confs_count,confs_picked,p_needs_conf_count},""select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0">
      <c r="A340" s="1"/>
      <c r="B340" s="1"/>
      <c r="C340" s="1"/>
      <c r="D340" s="115"/>
      <c r="E340" s="116"/>
      <c r="F340" s="77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13" t="str">
        <f>IFERROR(__xludf.DUMMYFUNCTION("iferror(join("","",index(sort(filter($F341:$F$400,$Q341:$Q$400&gt;$Q340,arrayformula(isnumber(FIND($E341:$E$400,AP340)))),2,false),0,1)))"),"")</f>
        <v/>
      </c>
      <c r="AW340" s="113" t="b">
        <f>IFERROR(__xludf.DUMMYFUNCTION("isnumber(find(""wild card"",join("","",filter($G$1:$G339,$D$1:$D339=D340))))"),FALSE)</f>
        <v>0</v>
      </c>
      <c r="AX340" s="113" t="str">
        <f>IFERROR(__xludf.DUMMYFUNCTION("join("","",let(confs,unique(TRANSPOSe(Teams!$1:$1)), confs_count, BYROW(confs,lambda(conf,xlookup(conf,'Conf WC Eligibility'!A:A,'Conf WC Eligibility'!C:C,,))),confs_picked,byrow(confs,lambda(conf,countif(E$1:E339,conf))),p_needs_conf_count,byrow(confs,la"&amp;"mbda(conf,counta('Draft Order'!B$2:B622)-COUNTUNIQUE(filter(D$2:D339,E$2:E339=conf)))),query({confs,confs_count,confs_picked,p_needs_conf_count},""select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1">
      <c r="A341" s="1"/>
      <c r="B341" s="1"/>
      <c r="C341" s="1"/>
      <c r="D341" s="115"/>
      <c r="E341" s="116"/>
      <c r="F341" s="77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13" t="str">
        <f>IFERROR(__xludf.DUMMYFUNCTION("iferror(join("","",index(sort(filter($F342:$F$400,$Q342:$Q$400&gt;$Q341,arrayformula(isnumber(FIND($E342:$E$400,AP341)))),2,false),0,1)))"),"")</f>
        <v/>
      </c>
      <c r="AW341" s="113" t="b">
        <f>IFERROR(__xludf.DUMMYFUNCTION("isnumber(find(""wild card"",join("","",filter($G$1:$G340,$D$1:$D340=D341))))"),FALSE)</f>
        <v>0</v>
      </c>
      <c r="AX341" s="113" t="str">
        <f>IFERROR(__xludf.DUMMYFUNCTION("join("","",let(confs,unique(TRANSPOSe(Teams!$1:$1)), confs_count, BYROW(confs,lambda(conf,xlookup(conf,'Conf WC Eligibility'!A:A,'Conf WC Eligibility'!C:C,,))),confs_picked,byrow(confs,lambda(conf,countif(E$1:E340,conf))),p_needs_conf_count,byrow(confs,la"&amp;"mbda(conf,counta('Draft Order'!B$2:B622)-COUNTUNIQUE(filter(D$2:D340,E$2:E340=conf)))),query({confs,confs_count,confs_picked,p_needs_conf_count},""select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2">
      <c r="A342" s="1"/>
      <c r="B342" s="1"/>
      <c r="C342" s="1"/>
      <c r="D342" s="115"/>
      <c r="E342" s="116"/>
      <c r="F342" s="77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13" t="str">
        <f>IFERROR(__xludf.DUMMYFUNCTION("iferror(join("","",index(sort(filter($F343:$F$400,$Q343:$Q$400&gt;$Q342,arrayformula(isnumber(FIND($E343:$E$400,AP342)))),2,false),0,1)))"),"")</f>
        <v/>
      </c>
      <c r="AW342" s="113" t="b">
        <f>IFERROR(__xludf.DUMMYFUNCTION("isnumber(find(""wild card"",join("","",filter($G$1:$G341,$D$1:$D341=D342))))"),FALSE)</f>
        <v>0</v>
      </c>
      <c r="AX342" s="113" t="str">
        <f>IFERROR(__xludf.DUMMYFUNCTION("join("","",let(confs,unique(TRANSPOSe(Teams!$1:$1)), confs_count, BYROW(confs,lambda(conf,xlookup(conf,'Conf WC Eligibility'!A:A,'Conf WC Eligibility'!C:C,,))),confs_picked,byrow(confs,lambda(conf,countif(E$1:E341,conf))),p_needs_conf_count,byrow(confs,la"&amp;"mbda(conf,counta('Draft Order'!B$2:B622)-COUNTUNIQUE(filter(D$2:D341,E$2:E341=conf)))),query({confs,confs_count,confs_picked,p_needs_conf_count},""select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3">
      <c r="A343" s="1"/>
      <c r="B343" s="1"/>
      <c r="C343" s="1"/>
      <c r="D343" s="115"/>
      <c r="E343" s="116"/>
      <c r="F343" s="77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13" t="str">
        <f>IFERROR(__xludf.DUMMYFUNCTION("iferror(join("","",index(sort(filter($F344:$F$400,$Q344:$Q$400&gt;$Q343,arrayformula(isnumber(FIND($E344:$E$400,AP343)))),2,false),0,1)))"),"")</f>
        <v/>
      </c>
      <c r="AW343" s="113" t="b">
        <f>IFERROR(__xludf.DUMMYFUNCTION("isnumber(find(""wild card"",join("","",filter($G$1:$G342,$D$1:$D342=D343))))"),FALSE)</f>
        <v>0</v>
      </c>
      <c r="AX343" s="113" t="str">
        <f>IFERROR(__xludf.DUMMYFUNCTION("join("","",let(confs,unique(TRANSPOSe(Teams!$1:$1)), confs_count, BYROW(confs,lambda(conf,xlookup(conf,'Conf WC Eligibility'!A:A,'Conf WC Eligibility'!C:C,,))),confs_picked,byrow(confs,lambda(conf,countif(E$1:E342,conf))),p_needs_conf_count,byrow(confs,la"&amp;"mbda(conf,counta('Draft Order'!B$2:B622)-COUNTUNIQUE(filter(D$2:D342,E$2:E342=conf)))),query({confs,confs_count,confs_picked,p_needs_conf_count},""select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4">
      <c r="A344" s="1"/>
      <c r="B344" s="1"/>
      <c r="C344" s="1"/>
      <c r="D344" s="115"/>
      <c r="E344" s="116"/>
      <c r="F344" s="77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13" t="str">
        <f>IFERROR(__xludf.DUMMYFUNCTION("iferror(join("","",index(sort(filter($F345:$F$400,$Q345:$Q$400&gt;$Q344,arrayformula(isnumber(FIND($E345:$E$400,AP344)))),2,false),0,1)))"),"")</f>
        <v/>
      </c>
      <c r="AW344" s="113" t="b">
        <f>IFERROR(__xludf.DUMMYFUNCTION("isnumber(find(""wild card"",join("","",filter($G$1:$G343,$D$1:$D343=D344))))"),FALSE)</f>
        <v>0</v>
      </c>
      <c r="AX344" s="113" t="str">
        <f>IFERROR(__xludf.DUMMYFUNCTION("join("","",let(confs,unique(TRANSPOSe(Teams!$1:$1)), confs_count, BYROW(confs,lambda(conf,xlookup(conf,'Conf WC Eligibility'!A:A,'Conf WC Eligibility'!C:C,,))),confs_picked,byrow(confs,lambda(conf,countif(E$1:E343,conf))),p_needs_conf_count,byrow(confs,la"&amp;"mbda(conf,counta('Draft Order'!B$2:B622)-COUNTUNIQUE(filter(D$2:D343,E$2:E343=conf)))),query({confs,confs_count,confs_picked,p_needs_conf_count},""select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5">
      <c r="A345" s="1"/>
      <c r="B345" s="1"/>
      <c r="C345" s="1"/>
      <c r="D345" s="115"/>
      <c r="E345" s="116"/>
      <c r="F345" s="77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13" t="str">
        <f>IFERROR(__xludf.DUMMYFUNCTION("iferror(join("","",index(sort(filter($F346:$F$400,$Q346:$Q$400&gt;$Q345,arrayformula(isnumber(FIND($E346:$E$400,AP345)))),2,false),0,1)))"),"")</f>
        <v/>
      </c>
      <c r="AW345" s="113" t="b">
        <f>IFERROR(__xludf.DUMMYFUNCTION("isnumber(find(""wild card"",join("","",filter($G$1:$G344,$D$1:$D344=D345))))"),FALSE)</f>
        <v>0</v>
      </c>
      <c r="AX345" s="113" t="str">
        <f>IFERROR(__xludf.DUMMYFUNCTION("join("","",let(confs,unique(TRANSPOSe(Teams!$1:$1)), confs_count, BYROW(confs,lambda(conf,xlookup(conf,'Conf WC Eligibility'!A:A,'Conf WC Eligibility'!C:C,,))),confs_picked,byrow(confs,lambda(conf,countif(E$1:E344,conf))),p_needs_conf_count,byrow(confs,la"&amp;"mbda(conf,counta('Draft Order'!B$2:B622)-COUNTUNIQUE(filter(D$2:D344,E$2:E344=conf)))),query({confs,confs_count,confs_picked,p_needs_conf_count},""select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6">
      <c r="A346" s="1"/>
      <c r="B346" s="1"/>
      <c r="C346" s="1"/>
      <c r="D346" s="115"/>
      <c r="E346" s="116"/>
      <c r="F346" s="77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13" t="str">
        <f>IFERROR(__xludf.DUMMYFUNCTION("iferror(join("","",index(sort(filter($F347:$F$400,$Q347:$Q$400&gt;$Q346,arrayformula(isnumber(FIND($E347:$E$400,AP346)))),2,false),0,1)))"),"")</f>
        <v/>
      </c>
      <c r="AW346" s="113" t="b">
        <f>IFERROR(__xludf.DUMMYFUNCTION("isnumber(find(""wild card"",join("","",filter($G$1:$G345,$D$1:$D345=D346))))"),FALSE)</f>
        <v>0</v>
      </c>
      <c r="AX346" s="113" t="str">
        <f>IFERROR(__xludf.DUMMYFUNCTION("join("","",let(confs,unique(TRANSPOSe(Teams!$1:$1)), confs_count, BYROW(confs,lambda(conf,xlookup(conf,'Conf WC Eligibility'!A:A,'Conf WC Eligibility'!C:C,,))),confs_picked,byrow(confs,lambda(conf,countif(E$1:E345,conf))),p_needs_conf_count,byrow(confs,la"&amp;"mbda(conf,counta('Draft Order'!B$2:B622)-COUNTUNIQUE(filter(D$2:D345,E$2:E345=conf)))),query({confs,confs_count,confs_picked,p_needs_conf_count},""select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7">
      <c r="A347" s="1"/>
      <c r="B347" s="1"/>
      <c r="C347" s="1"/>
      <c r="D347" s="115"/>
      <c r="E347" s="116"/>
      <c r="F347" s="77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13" t="str">
        <f>IFERROR(__xludf.DUMMYFUNCTION("iferror(join("","",index(sort(filter($F348:$F$400,$Q348:$Q$400&gt;$Q347,arrayformula(isnumber(FIND($E348:$E$400,AP347)))),2,false),0,1)))"),"")</f>
        <v/>
      </c>
      <c r="AW347" s="113" t="b">
        <f>IFERROR(__xludf.DUMMYFUNCTION("isnumber(find(""wild card"",join("","",filter($G$1:$G346,$D$1:$D346=D347))))"),FALSE)</f>
        <v>0</v>
      </c>
      <c r="AX347" s="113" t="str">
        <f>IFERROR(__xludf.DUMMYFUNCTION("join("","",let(confs,unique(TRANSPOSe(Teams!$1:$1)), confs_count, BYROW(confs,lambda(conf,xlookup(conf,'Conf WC Eligibility'!A:A,'Conf WC Eligibility'!C:C,,))),confs_picked,byrow(confs,lambda(conf,countif(E$1:E346,conf))),p_needs_conf_count,byrow(confs,la"&amp;"mbda(conf,counta('Draft Order'!B$2:B622)-COUNTUNIQUE(filter(D$2:D346,E$2:E346=conf)))),query({confs,confs_count,confs_picked,p_needs_conf_count},""select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8">
      <c r="A348" s="1"/>
      <c r="B348" s="1"/>
      <c r="C348" s="1"/>
      <c r="D348" s="115"/>
      <c r="E348" s="116"/>
      <c r="F348" s="77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13" t="str">
        <f>IFERROR(__xludf.DUMMYFUNCTION("iferror(join("","",index(sort(filter($F349:$F$400,$Q349:$Q$400&gt;$Q348,arrayformula(isnumber(FIND($E349:$E$400,AP348)))),2,false),0,1)))"),"")</f>
        <v/>
      </c>
      <c r="AW348" s="113" t="b">
        <f>IFERROR(__xludf.DUMMYFUNCTION("isnumber(find(""wild card"",join("","",filter($G$1:$G347,$D$1:$D347=D348))))"),FALSE)</f>
        <v>0</v>
      </c>
      <c r="AX348" s="113" t="str">
        <f>IFERROR(__xludf.DUMMYFUNCTION("join("","",let(confs,unique(TRANSPOSe(Teams!$1:$1)), confs_count, BYROW(confs,lambda(conf,xlookup(conf,'Conf WC Eligibility'!A:A,'Conf WC Eligibility'!C:C,,))),confs_picked,byrow(confs,lambda(conf,countif(E$1:E347,conf))),p_needs_conf_count,byrow(confs,la"&amp;"mbda(conf,counta('Draft Order'!B$2:B622)-COUNTUNIQUE(filter(D$2:D347,E$2:E347=conf)))),query({confs,confs_count,confs_picked,p_needs_conf_count},""select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49">
      <c r="A349" s="1"/>
      <c r="B349" s="1"/>
      <c r="C349" s="1"/>
      <c r="D349" s="115"/>
      <c r="E349" s="116"/>
      <c r="F349" s="77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13" t="str">
        <f>IFERROR(__xludf.DUMMYFUNCTION("iferror(join("","",index(sort(filter($F350:$F$400,$Q350:$Q$400&gt;$Q349,arrayformula(isnumber(FIND($E350:$E$400,AP349)))),2,false),0,1)))"),"")</f>
        <v/>
      </c>
      <c r="AW349" s="113" t="b">
        <f>IFERROR(__xludf.DUMMYFUNCTION("isnumber(find(""wild card"",join("","",filter($G$1:$G348,$D$1:$D348=D349))))"),FALSE)</f>
        <v>0</v>
      </c>
      <c r="AX349" s="113" t="str">
        <f>IFERROR(__xludf.DUMMYFUNCTION("join("","",let(confs,unique(TRANSPOSe(Teams!$1:$1)), confs_count, BYROW(confs,lambda(conf,xlookup(conf,'Conf WC Eligibility'!A:A,'Conf WC Eligibility'!C:C,,))),confs_picked,byrow(confs,lambda(conf,countif(E$1:E348,conf))),p_needs_conf_count,byrow(confs,la"&amp;"mbda(conf,counta('Draft Order'!B$2:B622)-COUNTUNIQUE(filter(D$2:D348,E$2:E348=conf)))),query({confs,confs_count,confs_picked,p_needs_conf_count},""select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0">
      <c r="A350" s="1"/>
      <c r="B350" s="1"/>
      <c r="C350" s="1"/>
      <c r="D350" s="115"/>
      <c r="E350" s="116"/>
      <c r="F350" s="77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13" t="str">
        <f>IFERROR(__xludf.DUMMYFUNCTION("iferror(join("","",index(sort(filter($F351:$F$400,$Q351:$Q$400&gt;$Q350,arrayformula(isnumber(FIND($E351:$E$400,AP350)))),2,false),0,1)))"),"")</f>
        <v/>
      </c>
      <c r="AW350" s="113" t="b">
        <f>IFERROR(__xludf.DUMMYFUNCTION("isnumber(find(""wild card"",join("","",filter($G$1:$G349,$D$1:$D349=D350))))"),FALSE)</f>
        <v>0</v>
      </c>
      <c r="AX350" s="113" t="str">
        <f>IFERROR(__xludf.DUMMYFUNCTION("join("","",let(confs,unique(TRANSPOSe(Teams!$1:$1)), confs_count, BYROW(confs,lambda(conf,xlookup(conf,'Conf WC Eligibility'!A:A,'Conf WC Eligibility'!C:C,,))),confs_picked,byrow(confs,lambda(conf,countif(E$1:E349,conf))),p_needs_conf_count,byrow(confs,la"&amp;"mbda(conf,counta('Draft Order'!B$2:B622)-COUNTUNIQUE(filter(D$2:D349,E$2:E349=conf)))),query({confs,confs_count,confs_picked,p_needs_conf_count},""select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1">
      <c r="A351" s="1"/>
      <c r="B351" s="1"/>
      <c r="C351" s="1"/>
      <c r="D351" s="115"/>
      <c r="E351" s="116"/>
      <c r="F351" s="77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13" t="str">
        <f>IFERROR(__xludf.DUMMYFUNCTION("iferror(join("","",index(sort(filter($F352:$F$400,$Q352:$Q$400&gt;$Q351,arrayformula(isnumber(FIND($E352:$E$400,AP351)))),2,false),0,1)))"),"")</f>
        <v/>
      </c>
      <c r="AW351" s="113" t="b">
        <f>IFERROR(__xludf.DUMMYFUNCTION("isnumber(find(""wild card"",join("","",filter($G$1:$G350,$D$1:$D350=D351))))"),FALSE)</f>
        <v>0</v>
      </c>
      <c r="AX351" s="113" t="str">
        <f>IFERROR(__xludf.DUMMYFUNCTION("join("","",let(confs,unique(TRANSPOSe(Teams!$1:$1)), confs_count, BYROW(confs,lambda(conf,xlookup(conf,'Conf WC Eligibility'!A:A,'Conf WC Eligibility'!C:C,,))),confs_picked,byrow(confs,lambda(conf,countif(E$1:E350,conf))),p_needs_conf_count,byrow(confs,la"&amp;"mbda(conf,counta('Draft Order'!B$2:B622)-COUNTUNIQUE(filter(D$2:D350,E$2:E350=conf)))),query({confs,confs_count,confs_picked,p_needs_conf_count},""select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2">
      <c r="A352" s="1"/>
      <c r="B352" s="1"/>
      <c r="C352" s="1"/>
      <c r="D352" s="115"/>
      <c r="E352" s="116"/>
      <c r="F352" s="77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13" t="str">
        <f>IFERROR(__xludf.DUMMYFUNCTION("iferror(join("","",index(sort(filter($F353:$F$400,$Q353:$Q$400&gt;$Q352,arrayformula(isnumber(FIND($E353:$E$400,AP352)))),2,false),0,1)))"),"")</f>
        <v/>
      </c>
      <c r="AW352" s="113" t="b">
        <f>IFERROR(__xludf.DUMMYFUNCTION("isnumber(find(""wild card"",join("","",filter($G$1:$G351,$D$1:$D351=D352))))"),FALSE)</f>
        <v>0</v>
      </c>
      <c r="AX352" s="113" t="str">
        <f>IFERROR(__xludf.DUMMYFUNCTION("join("","",let(confs,unique(TRANSPOSe(Teams!$1:$1)), confs_count, BYROW(confs,lambda(conf,xlookup(conf,'Conf WC Eligibility'!A:A,'Conf WC Eligibility'!C:C,,))),confs_picked,byrow(confs,lambda(conf,countif(E$1:E351,conf))),p_needs_conf_count,byrow(confs,la"&amp;"mbda(conf,counta('Draft Order'!B$2:B622)-COUNTUNIQUE(filter(D$2:D351,E$2:E351=conf)))),query({confs,confs_count,confs_picked,p_needs_conf_count},""select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3">
      <c r="A353" s="1"/>
      <c r="B353" s="1"/>
      <c r="C353" s="1"/>
      <c r="D353" s="115"/>
      <c r="E353" s="116"/>
      <c r="F353" s="77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13" t="str">
        <f>IFERROR(__xludf.DUMMYFUNCTION("iferror(join("","",index(sort(filter($F354:$F$400,$Q354:$Q$400&gt;$Q353,arrayformula(isnumber(FIND($E354:$E$400,AP353)))),2,false),0,1)))"),"")</f>
        <v/>
      </c>
      <c r="AW353" s="113" t="b">
        <f>IFERROR(__xludf.DUMMYFUNCTION("isnumber(find(""wild card"",join("","",filter($G$1:$G352,$D$1:$D352=D353))))"),FALSE)</f>
        <v>0</v>
      </c>
      <c r="AX353" s="113" t="str">
        <f>IFERROR(__xludf.DUMMYFUNCTION("join("","",let(confs,unique(TRANSPOSe(Teams!$1:$1)), confs_count, BYROW(confs,lambda(conf,xlookup(conf,'Conf WC Eligibility'!A:A,'Conf WC Eligibility'!C:C,,))),confs_picked,byrow(confs,lambda(conf,countif(E$1:E352,conf))),p_needs_conf_count,byrow(confs,la"&amp;"mbda(conf,counta('Draft Order'!B$2:B622)-COUNTUNIQUE(filter(D$2:D352,E$2:E352=conf)))),query({confs,confs_count,confs_picked,p_needs_conf_count},""select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4">
      <c r="A354" s="1"/>
      <c r="B354" s="1"/>
      <c r="C354" s="1"/>
      <c r="D354" s="115"/>
      <c r="E354" s="116"/>
      <c r="F354" s="77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13" t="str">
        <f>IFERROR(__xludf.DUMMYFUNCTION("iferror(join("","",index(sort(filter($F355:$F$400,$Q355:$Q$400&gt;$Q354,arrayformula(isnumber(FIND($E355:$E$400,AP354)))),2,false),0,1)))"),"")</f>
        <v/>
      </c>
      <c r="AW354" s="113" t="b">
        <f>IFERROR(__xludf.DUMMYFUNCTION("isnumber(find(""wild card"",join("","",filter($G$1:$G353,$D$1:$D353=D354))))"),FALSE)</f>
        <v>0</v>
      </c>
      <c r="AX354" s="113" t="str">
        <f>IFERROR(__xludf.DUMMYFUNCTION("join("","",let(confs,unique(TRANSPOSe(Teams!$1:$1)), confs_count, BYROW(confs,lambda(conf,xlookup(conf,'Conf WC Eligibility'!A:A,'Conf WC Eligibility'!C:C,,))),confs_picked,byrow(confs,lambda(conf,countif(E$1:E353,conf))),p_needs_conf_count,byrow(confs,la"&amp;"mbda(conf,counta('Draft Order'!B$2:B622)-COUNTUNIQUE(filter(D$2:D353,E$2:E353=conf)))),query({confs,confs_count,confs_picked,p_needs_conf_count},""select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5">
      <c r="A355" s="1"/>
      <c r="B355" s="1"/>
      <c r="C355" s="1"/>
      <c r="D355" s="115"/>
      <c r="E355" s="116"/>
      <c r="F355" s="77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13" t="str">
        <f>IFERROR(__xludf.DUMMYFUNCTION("iferror(join("","",index(sort(filter($F356:$F$400,$Q356:$Q$400&gt;$Q355,arrayformula(isnumber(FIND($E356:$E$400,AP355)))),2,false),0,1)))"),"")</f>
        <v/>
      </c>
      <c r="AW355" s="113" t="b">
        <f>IFERROR(__xludf.DUMMYFUNCTION("isnumber(find(""wild card"",join("","",filter($G$1:$G354,$D$1:$D354=D355))))"),FALSE)</f>
        <v>0</v>
      </c>
      <c r="AX355" s="113" t="str">
        <f>IFERROR(__xludf.DUMMYFUNCTION("join("","",let(confs,unique(TRANSPOSe(Teams!$1:$1)), confs_count, BYROW(confs,lambda(conf,xlookup(conf,'Conf WC Eligibility'!A:A,'Conf WC Eligibility'!C:C,,))),confs_picked,byrow(confs,lambda(conf,countif(E$1:E354,conf))),p_needs_conf_count,byrow(confs,la"&amp;"mbda(conf,counta('Draft Order'!B$2:B622)-COUNTUNIQUE(filter(D$2:D354,E$2:E354=conf)))),query({confs,confs_count,confs_picked,p_needs_conf_count},""select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6">
      <c r="A356" s="1"/>
      <c r="B356" s="1"/>
      <c r="C356" s="1"/>
      <c r="D356" s="115"/>
      <c r="E356" s="116"/>
      <c r="F356" s="77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13" t="str">
        <f>IFERROR(__xludf.DUMMYFUNCTION("iferror(join("","",index(sort(filter($F357:$F$400,$Q357:$Q$400&gt;$Q356,arrayformula(isnumber(FIND($E357:$E$400,AP356)))),2,false),0,1)))"),"")</f>
        <v/>
      </c>
      <c r="AW356" s="113" t="b">
        <f>IFERROR(__xludf.DUMMYFUNCTION("isnumber(find(""wild card"",join("","",filter($G$1:$G355,$D$1:$D355=D356))))"),FALSE)</f>
        <v>0</v>
      </c>
      <c r="AX356" s="113" t="str">
        <f>IFERROR(__xludf.DUMMYFUNCTION("join("","",let(confs,unique(TRANSPOSe(Teams!$1:$1)), confs_count, BYROW(confs,lambda(conf,xlookup(conf,'Conf WC Eligibility'!A:A,'Conf WC Eligibility'!C:C,,))),confs_picked,byrow(confs,lambda(conf,countif(E$1:E355,conf))),p_needs_conf_count,byrow(confs,la"&amp;"mbda(conf,counta('Draft Order'!B$2:B622)-COUNTUNIQUE(filter(D$2:D355,E$2:E355=conf)))),query({confs,confs_count,confs_picked,p_needs_conf_count},""select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7">
      <c r="A357" s="1"/>
      <c r="B357" s="1"/>
      <c r="C357" s="1"/>
      <c r="D357" s="115"/>
      <c r="E357" s="116"/>
      <c r="F357" s="77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13" t="str">
        <f>IFERROR(__xludf.DUMMYFUNCTION("iferror(join("","",index(sort(filter($F358:$F$400,$Q358:$Q$400&gt;$Q357,arrayformula(isnumber(FIND($E358:$E$400,AP357)))),2,false),0,1)))"),"")</f>
        <v/>
      </c>
      <c r="AW357" s="113" t="b">
        <f>IFERROR(__xludf.DUMMYFUNCTION("isnumber(find(""wild card"",join("","",filter($G$1:$G356,$D$1:$D356=D357))))"),FALSE)</f>
        <v>0</v>
      </c>
      <c r="AX357" s="113" t="str">
        <f>IFERROR(__xludf.DUMMYFUNCTION("join("","",let(confs,unique(TRANSPOSe(Teams!$1:$1)), confs_count, BYROW(confs,lambda(conf,xlookup(conf,'Conf WC Eligibility'!A:A,'Conf WC Eligibility'!C:C,,))),confs_picked,byrow(confs,lambda(conf,countif(E$1:E356,conf))),p_needs_conf_count,byrow(confs,la"&amp;"mbda(conf,counta('Draft Order'!B$2:B622)-COUNTUNIQUE(filter(D$2:D356,E$2:E356=conf)))),query({confs,confs_count,confs_picked,p_needs_conf_count},""select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8">
      <c r="A358" s="1"/>
      <c r="B358" s="1"/>
      <c r="C358" s="1"/>
      <c r="D358" s="115"/>
      <c r="E358" s="116"/>
      <c r="F358" s="77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13" t="str">
        <f>IFERROR(__xludf.DUMMYFUNCTION("iferror(join("","",index(sort(filter($F359:$F$400,$Q359:$Q$400&gt;$Q358,arrayformula(isnumber(FIND($E359:$E$400,AP358)))),2,false),0,1)))"),"")</f>
        <v/>
      </c>
      <c r="AW358" s="113" t="b">
        <f>IFERROR(__xludf.DUMMYFUNCTION("isnumber(find(""wild card"",join("","",filter($G$1:$G357,$D$1:$D357=D358))))"),FALSE)</f>
        <v>0</v>
      </c>
      <c r="AX358" s="113" t="str">
        <f>IFERROR(__xludf.DUMMYFUNCTION("join("","",let(confs,unique(TRANSPOSe(Teams!$1:$1)), confs_count, BYROW(confs,lambda(conf,xlookup(conf,'Conf WC Eligibility'!A:A,'Conf WC Eligibility'!C:C,,))),confs_picked,byrow(confs,lambda(conf,countif(E$1:E357,conf))),p_needs_conf_count,byrow(confs,la"&amp;"mbda(conf,counta('Draft Order'!B$2:B622)-COUNTUNIQUE(filter(D$2:D357,E$2:E357=conf)))),query({confs,confs_count,confs_picked,p_needs_conf_count},""select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59">
      <c r="A359" s="1"/>
      <c r="B359" s="1"/>
      <c r="C359" s="1"/>
      <c r="D359" s="115"/>
      <c r="E359" s="116"/>
      <c r="F359" s="77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13" t="str">
        <f>IFERROR(__xludf.DUMMYFUNCTION("iferror(join("","",index(sort(filter($F360:$F$400,$Q360:$Q$400&gt;$Q359,arrayformula(isnumber(FIND($E360:$E$400,AP359)))),2,false),0,1)))"),"")</f>
        <v/>
      </c>
      <c r="AW359" s="113" t="b">
        <f>IFERROR(__xludf.DUMMYFUNCTION("isnumber(find(""wild card"",join("","",filter($G$1:$G358,$D$1:$D358=D359))))"),FALSE)</f>
        <v>0</v>
      </c>
      <c r="AX359" s="113" t="str">
        <f>IFERROR(__xludf.DUMMYFUNCTION("join("","",let(confs,unique(TRANSPOSe(Teams!$1:$1)), confs_count, BYROW(confs,lambda(conf,xlookup(conf,'Conf WC Eligibility'!A:A,'Conf WC Eligibility'!C:C,,))),confs_picked,byrow(confs,lambda(conf,countif(E$1:E358,conf))),p_needs_conf_count,byrow(confs,la"&amp;"mbda(conf,counta('Draft Order'!B$2:B622)-COUNTUNIQUE(filter(D$2:D358,E$2:E358=conf)))),query({confs,confs_count,confs_picked,p_needs_conf_count},""select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0">
      <c r="A360" s="1"/>
      <c r="B360" s="1"/>
      <c r="C360" s="1"/>
      <c r="D360" s="115"/>
      <c r="E360" s="116"/>
      <c r="F360" s="77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13" t="str">
        <f>IFERROR(__xludf.DUMMYFUNCTION("iferror(join("","",index(sort(filter($F361:$F$400,$Q361:$Q$400&gt;$Q360,arrayformula(isnumber(FIND($E361:$E$400,AP360)))),2,false),0,1)))"),"")</f>
        <v/>
      </c>
      <c r="AW360" s="113" t="b">
        <f>IFERROR(__xludf.DUMMYFUNCTION("isnumber(find(""wild card"",join("","",filter($G$1:$G359,$D$1:$D359=D360))))"),FALSE)</f>
        <v>0</v>
      </c>
      <c r="AX360" s="113" t="str">
        <f>IFERROR(__xludf.DUMMYFUNCTION("join("","",let(confs,unique(TRANSPOSe(Teams!$1:$1)), confs_count, BYROW(confs,lambda(conf,xlookup(conf,'Conf WC Eligibility'!A:A,'Conf WC Eligibility'!C:C,,))),confs_picked,byrow(confs,lambda(conf,countif(E$1:E359,conf))),p_needs_conf_count,byrow(confs,la"&amp;"mbda(conf,counta('Draft Order'!B$2:B622)-COUNTUNIQUE(filter(D$2:D359,E$2:E359=conf)))),query({confs,confs_count,confs_picked,p_needs_conf_count},""select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1">
      <c r="A361" s="1"/>
      <c r="B361" s="1"/>
      <c r="C361" s="1"/>
      <c r="D361" s="115"/>
      <c r="E361" s="116"/>
      <c r="F361" s="77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13" t="str">
        <f>IFERROR(__xludf.DUMMYFUNCTION("iferror(join("","",index(sort(filter($F362:$F$400,$Q362:$Q$400&gt;$Q361,arrayformula(isnumber(FIND($E362:$E$400,AP361)))),2,false),0,1)))"),"")</f>
        <v/>
      </c>
      <c r="AW361" s="113" t="b">
        <f>IFERROR(__xludf.DUMMYFUNCTION("isnumber(find(""wild card"",join("","",filter($G$1:$G360,$D$1:$D360=D361))))"),FALSE)</f>
        <v>0</v>
      </c>
      <c r="AX361" s="113" t="str">
        <f>IFERROR(__xludf.DUMMYFUNCTION("join("","",let(confs,unique(TRANSPOSe(Teams!$1:$1)), confs_count, BYROW(confs,lambda(conf,xlookup(conf,'Conf WC Eligibility'!A:A,'Conf WC Eligibility'!C:C,,))),confs_picked,byrow(confs,lambda(conf,countif(E$1:E360,conf))),p_needs_conf_count,byrow(confs,la"&amp;"mbda(conf,counta('Draft Order'!B$2:B622)-COUNTUNIQUE(filter(D$2:D360,E$2:E360=conf)))),query({confs,confs_count,confs_picked,p_needs_conf_count},""select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2">
      <c r="A362" s="1"/>
      <c r="B362" s="1"/>
      <c r="C362" s="1"/>
      <c r="D362" s="115"/>
      <c r="E362" s="116"/>
      <c r="F362" s="77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13" t="str">
        <f>IFERROR(__xludf.DUMMYFUNCTION("iferror(join("","",index(sort(filter($F363:$F$400,$Q363:$Q$400&gt;$Q362,arrayformula(isnumber(FIND($E363:$E$400,AP362)))),2,false),0,1)))"),"")</f>
        <v/>
      </c>
      <c r="AW362" s="113" t="b">
        <f>IFERROR(__xludf.DUMMYFUNCTION("isnumber(find(""wild card"",join("","",filter($G$1:$G361,$D$1:$D361=D362))))"),FALSE)</f>
        <v>0</v>
      </c>
      <c r="AX362" s="113" t="str">
        <f>IFERROR(__xludf.DUMMYFUNCTION("join("","",let(confs,unique(TRANSPOSe(Teams!$1:$1)), confs_count, BYROW(confs,lambda(conf,xlookup(conf,'Conf WC Eligibility'!A:A,'Conf WC Eligibility'!C:C,,))),confs_picked,byrow(confs,lambda(conf,countif(E$1:E361,conf))),p_needs_conf_count,byrow(confs,la"&amp;"mbda(conf,counta('Draft Order'!B$2:B622)-COUNTUNIQUE(filter(D$2:D361,E$2:E361=conf)))),query({confs,confs_count,confs_picked,p_needs_conf_count},""select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3">
      <c r="A363" s="1"/>
      <c r="B363" s="1"/>
      <c r="C363" s="1"/>
      <c r="D363" s="115"/>
      <c r="E363" s="116"/>
      <c r="F363" s="77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13" t="str">
        <f>IFERROR(__xludf.DUMMYFUNCTION("iferror(join("","",index(sort(filter($F364:$F$400,$Q364:$Q$400&gt;$Q363,arrayformula(isnumber(FIND($E364:$E$400,AP363)))),2,false),0,1)))"),"")</f>
        <v/>
      </c>
      <c r="AW363" s="113" t="b">
        <f>IFERROR(__xludf.DUMMYFUNCTION("isnumber(find(""wild card"",join("","",filter($G$1:$G362,$D$1:$D362=D363))))"),FALSE)</f>
        <v>0</v>
      </c>
      <c r="AX363" s="113" t="str">
        <f>IFERROR(__xludf.DUMMYFUNCTION("join("","",let(confs,unique(TRANSPOSe(Teams!$1:$1)), confs_count, BYROW(confs,lambda(conf,xlookup(conf,'Conf WC Eligibility'!A:A,'Conf WC Eligibility'!C:C,,))),confs_picked,byrow(confs,lambda(conf,countif(E$1:E362,conf))),p_needs_conf_count,byrow(confs,la"&amp;"mbda(conf,counta('Draft Order'!B$2:B622)-COUNTUNIQUE(filter(D$2:D362,E$2:E362=conf)))),query({confs,confs_count,confs_picked,p_needs_conf_count},""select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4">
      <c r="A364" s="1"/>
      <c r="B364" s="1"/>
      <c r="C364" s="1"/>
      <c r="D364" s="115"/>
      <c r="E364" s="116"/>
      <c r="F364" s="77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13" t="str">
        <f>IFERROR(__xludf.DUMMYFUNCTION("iferror(join("","",index(sort(filter($F365:$F$400,$Q365:$Q$400&gt;$Q364,arrayformula(isnumber(FIND($E365:$E$400,AP364)))),2,false),0,1)))"),"")</f>
        <v/>
      </c>
      <c r="AW364" s="113" t="b">
        <f>IFERROR(__xludf.DUMMYFUNCTION("isnumber(find(""wild card"",join("","",filter($G$1:$G363,$D$1:$D363=D364))))"),FALSE)</f>
        <v>0</v>
      </c>
      <c r="AX364" s="113" t="str">
        <f>IFERROR(__xludf.DUMMYFUNCTION("join("","",let(confs,unique(TRANSPOSe(Teams!$1:$1)), confs_count, BYROW(confs,lambda(conf,xlookup(conf,'Conf WC Eligibility'!A:A,'Conf WC Eligibility'!C:C,,))),confs_picked,byrow(confs,lambda(conf,countif(E$1:E363,conf))),p_needs_conf_count,byrow(confs,la"&amp;"mbda(conf,counta('Draft Order'!B$2:B622)-COUNTUNIQUE(filter(D$2:D363,E$2:E363=conf)))),query({confs,confs_count,confs_picked,p_needs_conf_count},""select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5">
      <c r="A365" s="1"/>
      <c r="B365" s="1"/>
      <c r="C365" s="1"/>
      <c r="D365" s="115"/>
      <c r="E365" s="116"/>
      <c r="F365" s="77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13" t="str">
        <f>IFERROR(__xludf.DUMMYFUNCTION("iferror(join("","",index(sort(filter($F366:$F$400,$Q366:$Q$400&gt;$Q365,arrayformula(isnumber(FIND($E366:$E$400,AP365)))),2,false),0,1)))"),"")</f>
        <v/>
      </c>
      <c r="AW365" s="113" t="b">
        <f>IFERROR(__xludf.DUMMYFUNCTION("isnumber(find(""wild card"",join("","",filter($G$1:$G364,$D$1:$D364=D365))))"),FALSE)</f>
        <v>0</v>
      </c>
      <c r="AX365" s="113" t="str">
        <f>IFERROR(__xludf.DUMMYFUNCTION("join("","",let(confs,unique(TRANSPOSe(Teams!$1:$1)), confs_count, BYROW(confs,lambda(conf,xlookup(conf,'Conf WC Eligibility'!A:A,'Conf WC Eligibility'!C:C,,))),confs_picked,byrow(confs,lambda(conf,countif(E$1:E364,conf))),p_needs_conf_count,byrow(confs,la"&amp;"mbda(conf,counta('Draft Order'!B$2:B622)-COUNTUNIQUE(filter(D$2:D364,E$2:E364=conf)))),query({confs,confs_count,confs_picked,p_needs_conf_count},""select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6">
      <c r="A366" s="1"/>
      <c r="B366" s="1"/>
      <c r="C366" s="1"/>
      <c r="D366" s="115"/>
      <c r="E366" s="116"/>
      <c r="F366" s="77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13" t="str">
        <f>IFERROR(__xludf.DUMMYFUNCTION("iferror(join("","",index(sort(filter($F367:$F$400,$Q367:$Q$400&gt;$Q366,arrayformula(isnumber(FIND($E367:$E$400,AP366)))),2,false),0,1)))"),"")</f>
        <v/>
      </c>
      <c r="AW366" s="113" t="b">
        <f>IFERROR(__xludf.DUMMYFUNCTION("isnumber(find(""wild card"",join("","",filter($G$1:$G365,$D$1:$D365=D366))))"),FALSE)</f>
        <v>0</v>
      </c>
      <c r="AX366" s="113" t="str">
        <f>IFERROR(__xludf.DUMMYFUNCTION("join("","",let(confs,unique(TRANSPOSe(Teams!$1:$1)), confs_count, BYROW(confs,lambda(conf,xlookup(conf,'Conf WC Eligibility'!A:A,'Conf WC Eligibility'!C:C,,))),confs_picked,byrow(confs,lambda(conf,countif(E$1:E365,conf))),p_needs_conf_count,byrow(confs,la"&amp;"mbda(conf,counta('Draft Order'!B$2:B622)-COUNTUNIQUE(filter(D$2:D365,E$2:E365=conf)))),query({confs,confs_count,confs_picked,p_needs_conf_count},""select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7">
      <c r="A367" s="1"/>
      <c r="B367" s="1"/>
      <c r="C367" s="1"/>
      <c r="D367" s="115"/>
      <c r="E367" s="116"/>
      <c r="F367" s="77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13" t="str">
        <f>IFERROR(__xludf.DUMMYFUNCTION("iferror(join("","",index(sort(filter($F368:$F$400,$Q368:$Q$400&gt;$Q367,arrayformula(isnumber(FIND($E368:$E$400,AP367)))),2,false),0,1)))"),"")</f>
        <v/>
      </c>
      <c r="AW367" s="113" t="b">
        <f>IFERROR(__xludf.DUMMYFUNCTION("isnumber(find(""wild card"",join("","",filter($G$1:$G366,$D$1:$D366=D367))))"),FALSE)</f>
        <v>0</v>
      </c>
      <c r="AX367" s="113" t="str">
        <f>IFERROR(__xludf.DUMMYFUNCTION("join("","",let(confs,unique(TRANSPOSe(Teams!$1:$1)), confs_count, BYROW(confs,lambda(conf,xlookup(conf,'Conf WC Eligibility'!A:A,'Conf WC Eligibility'!C:C,,))),confs_picked,byrow(confs,lambda(conf,countif(E$1:E366,conf))),p_needs_conf_count,byrow(confs,la"&amp;"mbda(conf,counta('Draft Order'!B$2:B622)-COUNTUNIQUE(filter(D$2:D366,E$2:E366=conf)))),query({confs,confs_count,confs_picked,p_needs_conf_count},""select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8">
      <c r="A368" s="1"/>
      <c r="B368" s="1"/>
      <c r="C368" s="1"/>
      <c r="D368" s="115"/>
      <c r="E368" s="116"/>
      <c r="F368" s="77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13" t="str">
        <f>IFERROR(__xludf.DUMMYFUNCTION("iferror(join("","",index(sort(filter($F369:$F$400,$Q369:$Q$400&gt;$Q368,arrayformula(isnumber(FIND($E369:$E$400,AP368)))),2,false),0,1)))"),"")</f>
        <v/>
      </c>
      <c r="AW368" s="113" t="b">
        <f>IFERROR(__xludf.DUMMYFUNCTION("isnumber(find(""wild card"",join("","",filter($G$1:$G367,$D$1:$D367=D368))))"),FALSE)</f>
        <v>0</v>
      </c>
      <c r="AX368" s="113" t="str">
        <f>IFERROR(__xludf.DUMMYFUNCTION("join("","",let(confs,unique(TRANSPOSe(Teams!$1:$1)), confs_count, BYROW(confs,lambda(conf,xlookup(conf,'Conf WC Eligibility'!A:A,'Conf WC Eligibility'!C:C,,))),confs_picked,byrow(confs,lambda(conf,countif(E$1:E367,conf))),p_needs_conf_count,byrow(confs,la"&amp;"mbda(conf,counta('Draft Order'!B$2:B622)-COUNTUNIQUE(filter(D$2:D367,E$2:E367=conf)))),query({confs,confs_count,confs_picked,p_needs_conf_count},""select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69">
      <c r="A369" s="1"/>
      <c r="B369" s="1"/>
      <c r="C369" s="1"/>
      <c r="D369" s="115"/>
      <c r="E369" s="116"/>
      <c r="F369" s="77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13" t="str">
        <f>IFERROR(__xludf.DUMMYFUNCTION("iferror(join("","",index(sort(filter($F370:$F$400,$Q370:$Q$400&gt;$Q369,arrayformula(isnumber(FIND($E370:$E$400,AP369)))),2,false),0,1)))"),"")</f>
        <v/>
      </c>
      <c r="AW369" s="113" t="b">
        <f>IFERROR(__xludf.DUMMYFUNCTION("isnumber(find(""wild card"",join("","",filter($G$1:$G368,$D$1:$D368=D369))))"),FALSE)</f>
        <v>0</v>
      </c>
      <c r="AX369" s="113" t="str">
        <f>IFERROR(__xludf.DUMMYFUNCTION("join("","",let(confs,unique(TRANSPOSe(Teams!$1:$1)), confs_count, BYROW(confs,lambda(conf,xlookup(conf,'Conf WC Eligibility'!A:A,'Conf WC Eligibility'!C:C,,))),confs_picked,byrow(confs,lambda(conf,countif(E$1:E368,conf))),p_needs_conf_count,byrow(confs,la"&amp;"mbda(conf,counta('Draft Order'!B$2:B622)-COUNTUNIQUE(filter(D$2:D368,E$2:E368=conf)))),query({confs,confs_count,confs_picked,p_needs_conf_count},""select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0">
      <c r="A370" s="1"/>
      <c r="B370" s="1"/>
      <c r="C370" s="1"/>
      <c r="D370" s="115"/>
      <c r="E370" s="116"/>
      <c r="F370" s="77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13" t="str">
        <f>IFERROR(__xludf.DUMMYFUNCTION("iferror(join("","",index(sort(filter($F371:$F$400,$Q371:$Q$400&gt;$Q370,arrayformula(isnumber(FIND($E371:$E$400,AP370)))),2,false),0,1)))"),"")</f>
        <v/>
      </c>
      <c r="AW370" s="113" t="b">
        <f>IFERROR(__xludf.DUMMYFUNCTION("isnumber(find(""wild card"",join("","",filter($G$1:$G369,$D$1:$D369=D370))))"),FALSE)</f>
        <v>0</v>
      </c>
      <c r="AX370" s="113" t="str">
        <f>IFERROR(__xludf.DUMMYFUNCTION("join("","",let(confs,unique(TRANSPOSe(Teams!$1:$1)), confs_count, BYROW(confs,lambda(conf,xlookup(conf,'Conf WC Eligibility'!A:A,'Conf WC Eligibility'!C:C,,))),confs_picked,byrow(confs,lambda(conf,countif(E$1:E369,conf))),p_needs_conf_count,byrow(confs,la"&amp;"mbda(conf,counta('Draft Order'!B$2:B622)-COUNTUNIQUE(filter(D$2:D369,E$2:E369=conf)))),query({confs,confs_count,confs_picked,p_needs_conf_count},""select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1">
      <c r="A371" s="1"/>
      <c r="B371" s="1"/>
      <c r="C371" s="1"/>
      <c r="D371" s="115"/>
      <c r="E371" s="116"/>
      <c r="F371" s="77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13" t="str">
        <f>IFERROR(__xludf.DUMMYFUNCTION("iferror(join("","",index(sort(filter($F372:$F$400,$Q372:$Q$400&gt;$Q371,arrayformula(isnumber(FIND($E372:$E$400,AP371)))),2,false),0,1)))"),"")</f>
        <v/>
      </c>
      <c r="AW371" s="113" t="b">
        <f>IFERROR(__xludf.DUMMYFUNCTION("isnumber(find(""wild card"",join("","",filter($G$1:$G370,$D$1:$D370=D371))))"),FALSE)</f>
        <v>0</v>
      </c>
      <c r="AX371" s="113" t="str">
        <f>IFERROR(__xludf.DUMMYFUNCTION("join("","",let(confs,unique(TRANSPOSe(Teams!$1:$1)), confs_count, BYROW(confs,lambda(conf,xlookup(conf,'Conf WC Eligibility'!A:A,'Conf WC Eligibility'!C:C,,))),confs_picked,byrow(confs,lambda(conf,countif(E$1:E370,conf))),p_needs_conf_count,byrow(confs,la"&amp;"mbda(conf,counta('Draft Order'!B$2:B622)-COUNTUNIQUE(filter(D$2:D370,E$2:E370=conf)))),query({confs,confs_count,confs_picked,p_needs_conf_count},""select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2">
      <c r="A372" s="1"/>
      <c r="B372" s="1"/>
      <c r="C372" s="1"/>
      <c r="D372" s="115"/>
      <c r="E372" s="116"/>
      <c r="F372" s="77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13" t="str">
        <f>IFERROR(__xludf.DUMMYFUNCTION("iferror(join("","",index(sort(filter($F373:$F$400,$Q373:$Q$400&gt;$Q372,arrayformula(isnumber(FIND($E373:$E$400,AP372)))),2,false),0,1)))"),"")</f>
        <v/>
      </c>
      <c r="AW372" s="113" t="b">
        <f>IFERROR(__xludf.DUMMYFUNCTION("isnumber(find(""wild card"",join("","",filter($G$1:$G371,$D$1:$D371=D372))))"),FALSE)</f>
        <v>0</v>
      </c>
      <c r="AX372" s="113" t="str">
        <f>IFERROR(__xludf.DUMMYFUNCTION("join("","",let(confs,unique(TRANSPOSe(Teams!$1:$1)), confs_count, BYROW(confs,lambda(conf,xlookup(conf,'Conf WC Eligibility'!A:A,'Conf WC Eligibility'!C:C,,))),confs_picked,byrow(confs,lambda(conf,countif(E$1:E371,conf))),p_needs_conf_count,byrow(confs,la"&amp;"mbda(conf,counta('Draft Order'!B$2:B622)-COUNTUNIQUE(filter(D$2:D371,E$2:E371=conf)))),query({confs,confs_count,confs_picked,p_needs_conf_count},""select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3">
      <c r="A373" s="1"/>
      <c r="B373" s="1"/>
      <c r="C373" s="1"/>
      <c r="D373" s="115"/>
      <c r="E373" s="116"/>
      <c r="F373" s="77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13" t="str">
        <f>IFERROR(__xludf.DUMMYFUNCTION("iferror(join("","",index(sort(filter($F374:$F$400,$Q374:$Q$400&gt;$Q373,arrayformula(isnumber(FIND($E374:$E$400,AP373)))),2,false),0,1)))"),"")</f>
        <v/>
      </c>
      <c r="AW373" s="113" t="b">
        <f>IFERROR(__xludf.DUMMYFUNCTION("isnumber(find(""wild card"",join("","",filter($G$1:$G372,$D$1:$D372=D373))))"),FALSE)</f>
        <v>0</v>
      </c>
      <c r="AX373" s="113" t="str">
        <f>IFERROR(__xludf.DUMMYFUNCTION("join("","",let(confs,unique(TRANSPOSe(Teams!$1:$1)), confs_count, BYROW(confs,lambda(conf,xlookup(conf,'Conf WC Eligibility'!A:A,'Conf WC Eligibility'!C:C,,))),confs_picked,byrow(confs,lambda(conf,countif(E$1:E372,conf))),p_needs_conf_count,byrow(confs,la"&amp;"mbda(conf,counta('Draft Order'!B$2:B622)-COUNTUNIQUE(filter(D$2:D372,E$2:E372=conf)))),query({confs,confs_count,confs_picked,p_needs_conf_count},""select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4">
      <c r="A374" s="1"/>
      <c r="B374" s="1"/>
      <c r="C374" s="1"/>
      <c r="D374" s="115"/>
      <c r="E374" s="116"/>
      <c r="F374" s="77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13" t="str">
        <f>IFERROR(__xludf.DUMMYFUNCTION("iferror(join("","",index(sort(filter($F375:$F$400,$Q375:$Q$400&gt;$Q374,arrayformula(isnumber(FIND($E375:$E$400,AP374)))),2,false),0,1)))"),"")</f>
        <v/>
      </c>
      <c r="AW374" s="113" t="b">
        <f>IFERROR(__xludf.DUMMYFUNCTION("isnumber(find(""wild card"",join("","",filter($G$1:$G373,$D$1:$D373=D374))))"),FALSE)</f>
        <v>0</v>
      </c>
      <c r="AX374" s="113" t="str">
        <f>IFERROR(__xludf.DUMMYFUNCTION("join("","",let(confs,unique(TRANSPOSe(Teams!$1:$1)), confs_count, BYROW(confs,lambda(conf,xlookup(conf,'Conf WC Eligibility'!A:A,'Conf WC Eligibility'!C:C,,))),confs_picked,byrow(confs,lambda(conf,countif(E$1:E373,conf))),p_needs_conf_count,byrow(confs,la"&amp;"mbda(conf,counta('Draft Order'!B$2:B622)-COUNTUNIQUE(filter(D$2:D373,E$2:E373=conf)))),query({confs,confs_count,confs_picked,p_needs_conf_count},""select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5">
      <c r="A375" s="1"/>
      <c r="B375" s="1"/>
      <c r="C375" s="1"/>
      <c r="D375" s="115"/>
      <c r="E375" s="116"/>
      <c r="F375" s="77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13" t="str">
        <f>IFERROR(__xludf.DUMMYFUNCTION("iferror(join("","",index(sort(filter($F376:$F$400,$Q376:$Q$400&gt;$Q375,arrayformula(isnumber(FIND($E376:$E$400,AP375)))),2,false),0,1)))"),"")</f>
        <v/>
      </c>
      <c r="AW375" s="113" t="b">
        <f>IFERROR(__xludf.DUMMYFUNCTION("isnumber(find(""wild card"",join("","",filter($G$1:$G374,$D$1:$D374=D375))))"),FALSE)</f>
        <v>0</v>
      </c>
      <c r="AX375" s="113" t="str">
        <f>IFERROR(__xludf.DUMMYFUNCTION("join("","",let(confs,unique(TRANSPOSe(Teams!$1:$1)), confs_count, BYROW(confs,lambda(conf,xlookup(conf,'Conf WC Eligibility'!A:A,'Conf WC Eligibility'!C:C,,))),confs_picked,byrow(confs,lambda(conf,countif(E$1:E374,conf))),p_needs_conf_count,byrow(confs,la"&amp;"mbda(conf,counta('Draft Order'!B$2:B622)-COUNTUNIQUE(filter(D$2:D374,E$2:E374=conf)))),query({confs,confs_count,confs_picked,p_needs_conf_count},""select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6">
      <c r="A376" s="1"/>
      <c r="B376" s="1"/>
      <c r="C376" s="1"/>
      <c r="D376" s="115"/>
      <c r="E376" s="116"/>
      <c r="F376" s="77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13" t="str">
        <f>IFERROR(__xludf.DUMMYFUNCTION("iferror(join("","",index(sort(filter($F377:$F$400,$Q377:$Q$400&gt;$Q376,arrayformula(isnumber(FIND($E377:$E$400,AP376)))),2,false),0,1)))"),"")</f>
        <v/>
      </c>
      <c r="AW376" s="113" t="b">
        <f>IFERROR(__xludf.DUMMYFUNCTION("isnumber(find(""wild card"",join("","",filter($G$1:$G375,$D$1:$D375=D376))))"),FALSE)</f>
        <v>0</v>
      </c>
      <c r="AX376" s="113" t="str">
        <f>IFERROR(__xludf.DUMMYFUNCTION("join("","",let(confs,unique(TRANSPOSe(Teams!$1:$1)), confs_count, BYROW(confs,lambda(conf,xlookup(conf,'Conf WC Eligibility'!A:A,'Conf WC Eligibility'!C:C,,))),confs_picked,byrow(confs,lambda(conf,countif(E$1:E375,conf))),p_needs_conf_count,byrow(confs,la"&amp;"mbda(conf,counta('Draft Order'!B$2:B622)-COUNTUNIQUE(filter(D$2:D375,E$2:E375=conf)))),query({confs,confs_count,confs_picked,p_needs_conf_count},""select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7">
      <c r="A377" s="1"/>
      <c r="B377" s="1"/>
      <c r="C377" s="1"/>
      <c r="D377" s="115"/>
      <c r="E377" s="116"/>
      <c r="F377" s="77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13" t="str">
        <f>IFERROR(__xludf.DUMMYFUNCTION("iferror(join("","",index(sort(filter($F378:$F$400,$Q378:$Q$400&gt;$Q377,arrayformula(isnumber(FIND($E378:$E$400,AP377)))),2,false),0,1)))"),"")</f>
        <v/>
      </c>
      <c r="AW377" s="113" t="b">
        <f>IFERROR(__xludf.DUMMYFUNCTION("isnumber(find(""wild card"",join("","",filter($G$1:$G376,$D$1:$D376=D377))))"),FALSE)</f>
        <v>0</v>
      </c>
      <c r="AX377" s="113" t="str">
        <f>IFERROR(__xludf.DUMMYFUNCTION("join("","",let(confs,unique(TRANSPOSe(Teams!$1:$1)), confs_count, BYROW(confs,lambda(conf,xlookup(conf,'Conf WC Eligibility'!A:A,'Conf WC Eligibility'!C:C,,))),confs_picked,byrow(confs,lambda(conf,countif(E$1:E376,conf))),p_needs_conf_count,byrow(confs,la"&amp;"mbda(conf,counta('Draft Order'!B$2:B622)-COUNTUNIQUE(filter(D$2:D376,E$2:E376=conf)))),query({confs,confs_count,confs_picked,p_needs_conf_count},""select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8">
      <c r="A378" s="1"/>
      <c r="B378" s="1"/>
      <c r="C378" s="1"/>
      <c r="D378" s="115"/>
      <c r="E378" s="116"/>
      <c r="F378" s="77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13" t="str">
        <f>IFERROR(__xludf.DUMMYFUNCTION("iferror(join("","",index(sort(filter($F379:$F$400,$Q379:$Q$400&gt;$Q378,arrayformula(isnumber(FIND($E379:$E$400,AP378)))),2,false),0,1)))"),"")</f>
        <v/>
      </c>
      <c r="AW378" s="113" t="b">
        <f>IFERROR(__xludf.DUMMYFUNCTION("isnumber(find(""wild card"",join("","",filter($G$1:$G377,$D$1:$D377=D378))))"),FALSE)</f>
        <v>0</v>
      </c>
      <c r="AX378" s="113" t="str">
        <f>IFERROR(__xludf.DUMMYFUNCTION("join("","",let(confs,unique(TRANSPOSe(Teams!$1:$1)), confs_count, BYROW(confs,lambda(conf,xlookup(conf,'Conf WC Eligibility'!A:A,'Conf WC Eligibility'!C:C,,))),confs_picked,byrow(confs,lambda(conf,countif(E$1:E377,conf))),p_needs_conf_count,byrow(confs,la"&amp;"mbda(conf,counta('Draft Order'!B$2:B622)-COUNTUNIQUE(filter(D$2:D377,E$2:E377=conf)))),query({confs,confs_count,confs_picked,p_needs_conf_count},""select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79">
      <c r="A379" s="1"/>
      <c r="B379" s="1"/>
      <c r="C379" s="1"/>
      <c r="D379" s="115"/>
      <c r="E379" s="116"/>
      <c r="F379" s="77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13" t="str">
        <f>IFERROR(__xludf.DUMMYFUNCTION("iferror(join("","",index(sort(filter($F380:$F$400,$Q380:$Q$400&gt;$Q379,arrayformula(isnumber(FIND($E380:$E$400,AP379)))),2,false),0,1)))"),"")</f>
        <v/>
      </c>
      <c r="AW379" s="113" t="b">
        <f>IFERROR(__xludf.DUMMYFUNCTION("isnumber(find(""wild card"",join("","",filter($G$1:$G378,$D$1:$D378=D379))))"),FALSE)</f>
        <v>0</v>
      </c>
      <c r="AX379" s="113" t="str">
        <f>IFERROR(__xludf.DUMMYFUNCTION("join("","",let(confs,unique(TRANSPOSe(Teams!$1:$1)), confs_count, BYROW(confs,lambda(conf,xlookup(conf,'Conf WC Eligibility'!A:A,'Conf WC Eligibility'!C:C,,))),confs_picked,byrow(confs,lambda(conf,countif(E$1:E378,conf))),p_needs_conf_count,byrow(confs,la"&amp;"mbda(conf,counta('Draft Order'!B$2:B622)-COUNTUNIQUE(filter(D$2:D378,E$2:E378=conf)))),query({confs,confs_count,confs_picked,p_needs_conf_count},""select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0">
      <c r="A380" s="1"/>
      <c r="B380" s="1"/>
      <c r="C380" s="1"/>
      <c r="D380" s="115"/>
      <c r="E380" s="116"/>
      <c r="F380" s="77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13" t="str">
        <f>IFERROR(__xludf.DUMMYFUNCTION("iferror(join("","",index(sort(filter($F381:$F$400,$Q381:$Q$400&gt;$Q380,arrayformula(isnumber(FIND($E381:$E$400,AP380)))),2,false),0,1)))"),"")</f>
        <v/>
      </c>
      <c r="AW380" s="113" t="b">
        <f>IFERROR(__xludf.DUMMYFUNCTION("isnumber(find(""wild card"",join("","",filter($G$1:$G379,$D$1:$D379=D380))))"),FALSE)</f>
        <v>0</v>
      </c>
      <c r="AX380" s="113" t="str">
        <f>IFERROR(__xludf.DUMMYFUNCTION("join("","",let(confs,unique(TRANSPOSe(Teams!$1:$1)), confs_count, BYROW(confs,lambda(conf,xlookup(conf,'Conf WC Eligibility'!A:A,'Conf WC Eligibility'!C:C,,))),confs_picked,byrow(confs,lambda(conf,countif(E$1:E379,conf))),p_needs_conf_count,byrow(confs,la"&amp;"mbda(conf,counta('Draft Order'!B$2:B622)-COUNTUNIQUE(filter(D$2:D379,E$2:E379=conf)))),query({confs,confs_count,confs_picked,p_needs_conf_count},""select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1">
      <c r="A381" s="1"/>
      <c r="B381" s="1"/>
      <c r="C381" s="1"/>
      <c r="D381" s="115"/>
      <c r="E381" s="116"/>
      <c r="F381" s="77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13" t="str">
        <f>IFERROR(__xludf.DUMMYFUNCTION("iferror(join("","",index(sort(filter($F382:$F$400,$Q382:$Q$400&gt;$Q381,arrayformula(isnumber(FIND($E382:$E$400,AP381)))),2,false),0,1)))"),"")</f>
        <v/>
      </c>
      <c r="AW381" s="113" t="b">
        <f>IFERROR(__xludf.DUMMYFUNCTION("isnumber(find(""wild card"",join("","",filter($G$1:$G380,$D$1:$D380=D381))))"),FALSE)</f>
        <v>0</v>
      </c>
      <c r="AX381" s="113" t="str">
        <f>IFERROR(__xludf.DUMMYFUNCTION("join("","",let(confs,unique(TRANSPOSe(Teams!$1:$1)), confs_count, BYROW(confs,lambda(conf,xlookup(conf,'Conf WC Eligibility'!A:A,'Conf WC Eligibility'!C:C,,))),confs_picked,byrow(confs,lambda(conf,countif(E$1:E380,conf))),p_needs_conf_count,byrow(confs,la"&amp;"mbda(conf,counta('Draft Order'!B$2:B622)-COUNTUNIQUE(filter(D$2:D380,E$2:E380=conf)))),query({confs,confs_count,confs_picked,p_needs_conf_count},""select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2">
      <c r="A382" s="1"/>
      <c r="B382" s="1"/>
      <c r="C382" s="1"/>
      <c r="D382" s="115"/>
      <c r="E382" s="116"/>
      <c r="F382" s="77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13" t="str">
        <f>IFERROR(__xludf.DUMMYFUNCTION("iferror(join("","",index(sort(filter($F383:$F$400,$Q383:$Q$400&gt;$Q382,arrayformula(isnumber(FIND($E383:$E$400,AP382)))),2,false),0,1)))"),"")</f>
        <v/>
      </c>
      <c r="AW382" s="113" t="b">
        <f>IFERROR(__xludf.DUMMYFUNCTION("isnumber(find(""wild card"",join("","",filter($G$1:$G381,$D$1:$D381=D382))))"),FALSE)</f>
        <v>0</v>
      </c>
      <c r="AX382" s="113" t="str">
        <f>IFERROR(__xludf.DUMMYFUNCTION("join("","",let(confs,unique(TRANSPOSe(Teams!$1:$1)), confs_count, BYROW(confs,lambda(conf,xlookup(conf,'Conf WC Eligibility'!A:A,'Conf WC Eligibility'!C:C,,))),confs_picked,byrow(confs,lambda(conf,countif(E$1:E381,conf))),p_needs_conf_count,byrow(confs,la"&amp;"mbda(conf,counta('Draft Order'!B$2:B622)-COUNTUNIQUE(filter(D$2:D381,E$2:E381=conf)))),query({confs,confs_count,confs_picked,p_needs_conf_count},""select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3">
      <c r="A383" s="1"/>
      <c r="B383" s="1"/>
      <c r="C383" s="1"/>
      <c r="D383" s="115"/>
      <c r="E383" s="116"/>
      <c r="F383" s="77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13" t="str">
        <f>IFERROR(__xludf.DUMMYFUNCTION("iferror(join("","",index(sort(filter($F384:$F$400,$Q384:$Q$400&gt;$Q383,arrayformula(isnumber(FIND($E384:$E$400,AP383)))),2,false),0,1)))"),"")</f>
        <v/>
      </c>
      <c r="AW383" s="113" t="b">
        <f>IFERROR(__xludf.DUMMYFUNCTION("isnumber(find(""wild card"",join("","",filter($G$1:$G382,$D$1:$D382=D383))))"),FALSE)</f>
        <v>0</v>
      </c>
      <c r="AX383" s="113" t="str">
        <f>IFERROR(__xludf.DUMMYFUNCTION("join("","",let(confs,unique(TRANSPOSe(Teams!$1:$1)), confs_count, BYROW(confs,lambda(conf,xlookup(conf,'Conf WC Eligibility'!A:A,'Conf WC Eligibility'!C:C,,))),confs_picked,byrow(confs,lambda(conf,countif(E$1:E382,conf))),p_needs_conf_count,byrow(confs,la"&amp;"mbda(conf,counta('Draft Order'!B$2:B622)-COUNTUNIQUE(filter(D$2:D382,E$2:E382=conf)))),query({confs,confs_count,confs_picked,p_needs_conf_count},""select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4">
      <c r="A384" s="1"/>
      <c r="B384" s="1"/>
      <c r="C384" s="1"/>
      <c r="D384" s="115"/>
      <c r="E384" s="116"/>
      <c r="F384" s="77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13" t="str">
        <f>IFERROR(__xludf.DUMMYFUNCTION("iferror(join("","",index(sort(filter($F385:$F$400,$Q385:$Q$400&gt;$Q384,arrayformula(isnumber(FIND($E385:$E$400,AP384)))),2,false),0,1)))"),"")</f>
        <v/>
      </c>
      <c r="AW384" s="113" t="b">
        <f>IFERROR(__xludf.DUMMYFUNCTION("isnumber(find(""wild card"",join("","",filter($G$1:$G383,$D$1:$D383=D384))))"),FALSE)</f>
        <v>0</v>
      </c>
      <c r="AX384" s="113" t="str">
        <f>IFERROR(__xludf.DUMMYFUNCTION("join("","",let(confs,unique(TRANSPOSe(Teams!$1:$1)), confs_count, BYROW(confs,lambda(conf,xlookup(conf,'Conf WC Eligibility'!A:A,'Conf WC Eligibility'!C:C,,))),confs_picked,byrow(confs,lambda(conf,countif(E$1:E383,conf))),p_needs_conf_count,byrow(confs,la"&amp;"mbda(conf,counta('Draft Order'!B$2:B622)-COUNTUNIQUE(filter(D$2:D383,E$2:E383=conf)))),query({confs,confs_count,confs_picked,p_needs_conf_count},""select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5">
      <c r="A385" s="1"/>
      <c r="B385" s="1"/>
      <c r="C385" s="1"/>
      <c r="D385" s="115"/>
      <c r="E385" s="116"/>
      <c r="F385" s="77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13" t="str">
        <f>IFERROR(__xludf.DUMMYFUNCTION("iferror(join("","",index(sort(filter($F386:$F$400,$Q386:$Q$400&gt;$Q385,arrayformula(isnumber(FIND($E386:$E$400,AP385)))),2,false),0,1)))"),"")</f>
        <v/>
      </c>
      <c r="AW385" s="113" t="b">
        <f>IFERROR(__xludf.DUMMYFUNCTION("isnumber(find(""wild card"",join("","",filter($G$1:$G384,$D$1:$D384=D385))))"),FALSE)</f>
        <v>0</v>
      </c>
      <c r="AX385" s="113" t="str">
        <f>IFERROR(__xludf.DUMMYFUNCTION("join("","",let(confs,unique(TRANSPOSe(Teams!$1:$1)), confs_count, BYROW(confs,lambda(conf,xlookup(conf,'Conf WC Eligibility'!A:A,'Conf WC Eligibility'!C:C,,))),confs_picked,byrow(confs,lambda(conf,countif(E$1:E384,conf))),p_needs_conf_count,byrow(confs,la"&amp;"mbda(conf,counta('Draft Order'!B$2:B622)-COUNTUNIQUE(filter(D$2:D384,E$2:E384=conf)))),query({confs,confs_count,confs_picked,p_needs_conf_count},""select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6">
      <c r="A386" s="1"/>
      <c r="B386" s="1"/>
      <c r="C386" s="1"/>
      <c r="D386" s="115"/>
      <c r="E386" s="116"/>
      <c r="F386" s="77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13" t="str">
        <f>IFERROR(__xludf.DUMMYFUNCTION("iferror(join("","",index(sort(filter($F387:$F$400,$Q387:$Q$400&gt;$Q386,arrayformula(isnumber(FIND($E387:$E$400,AP386)))),2,false),0,1)))"),"")</f>
        <v/>
      </c>
      <c r="AW386" s="113" t="b">
        <f>IFERROR(__xludf.DUMMYFUNCTION("isnumber(find(""wild card"",join("","",filter($G$1:$G385,$D$1:$D385=D386))))"),FALSE)</f>
        <v>0</v>
      </c>
      <c r="AX386" s="113" t="str">
        <f>IFERROR(__xludf.DUMMYFUNCTION("join("","",let(confs,unique(TRANSPOSe(Teams!$1:$1)), confs_count, BYROW(confs,lambda(conf,xlookup(conf,'Conf WC Eligibility'!A:A,'Conf WC Eligibility'!C:C,,))),confs_picked,byrow(confs,lambda(conf,countif(E$1:E385,conf))),p_needs_conf_count,byrow(confs,la"&amp;"mbda(conf,counta('Draft Order'!B$2:B622)-COUNTUNIQUE(filter(D$2:D385,E$2:E385=conf)))),query({confs,confs_count,confs_picked,p_needs_conf_count},""select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7">
      <c r="A387" s="1"/>
      <c r="B387" s="1"/>
      <c r="C387" s="1"/>
      <c r="D387" s="115"/>
      <c r="E387" s="116"/>
      <c r="F387" s="77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13" t="str">
        <f>IFERROR(__xludf.DUMMYFUNCTION("iferror(join("","",index(sort(filter($F388:$F$400,$Q388:$Q$400&gt;$Q387,arrayformula(isnumber(FIND($E388:$E$400,AP387)))),2,false),0,1)))"),"")</f>
        <v/>
      </c>
      <c r="AW387" s="113" t="b">
        <f>IFERROR(__xludf.DUMMYFUNCTION("isnumber(find(""wild card"",join("","",filter($G$1:$G386,$D$1:$D386=D387))))"),FALSE)</f>
        <v>0</v>
      </c>
      <c r="AX387" s="113" t="str">
        <f>IFERROR(__xludf.DUMMYFUNCTION("join("","",let(confs,unique(TRANSPOSe(Teams!$1:$1)), confs_count, BYROW(confs,lambda(conf,xlookup(conf,'Conf WC Eligibility'!A:A,'Conf WC Eligibility'!C:C,,))),confs_picked,byrow(confs,lambda(conf,countif(E$1:E386,conf))),p_needs_conf_count,byrow(confs,la"&amp;"mbda(conf,counta('Draft Order'!B$2:B622)-COUNTUNIQUE(filter(D$2:D386,E$2:E386=conf)))),query({confs,confs_count,confs_picked,p_needs_conf_count},""select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8">
      <c r="A388" s="1"/>
      <c r="B388" s="1"/>
      <c r="C388" s="1"/>
      <c r="D388" s="115"/>
      <c r="E388" s="116"/>
      <c r="F388" s="77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13" t="str">
        <f>IFERROR(__xludf.DUMMYFUNCTION("iferror(join("","",index(sort(filter($F389:$F$400,$Q389:$Q$400&gt;$Q388,arrayformula(isnumber(FIND($E389:$E$400,AP388)))),2,false),0,1)))"),"")</f>
        <v/>
      </c>
      <c r="AW388" s="113" t="b">
        <f>IFERROR(__xludf.DUMMYFUNCTION("isnumber(find(""wild card"",join("","",filter($G$1:$G387,$D$1:$D387=D388))))"),FALSE)</f>
        <v>0</v>
      </c>
      <c r="AX388" s="113" t="str">
        <f>IFERROR(__xludf.DUMMYFUNCTION("join("","",let(confs,unique(TRANSPOSe(Teams!$1:$1)), confs_count, BYROW(confs,lambda(conf,xlookup(conf,'Conf WC Eligibility'!A:A,'Conf WC Eligibility'!C:C,,))),confs_picked,byrow(confs,lambda(conf,countif(E$1:E387,conf))),p_needs_conf_count,byrow(confs,la"&amp;"mbda(conf,counta('Draft Order'!B$2:B622)-COUNTUNIQUE(filter(D$2:D387,E$2:E387=conf)))),query({confs,confs_count,confs_picked,p_needs_conf_count},""select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89">
      <c r="A389" s="1"/>
      <c r="B389" s="1"/>
      <c r="C389" s="1"/>
      <c r="D389" s="115"/>
      <c r="E389" s="116"/>
      <c r="F389" s="77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13" t="str">
        <f>IFERROR(__xludf.DUMMYFUNCTION("iferror(join("","",index(sort(filter($F390:$F$400,$Q390:$Q$400&gt;$Q389,arrayformula(isnumber(FIND($E390:$E$400,AP389)))),2,false),0,1)))"),"")</f>
        <v/>
      </c>
      <c r="AW389" s="113" t="b">
        <f>IFERROR(__xludf.DUMMYFUNCTION("isnumber(find(""wild card"",join("","",filter($G$1:$G388,$D$1:$D388=D389))))"),FALSE)</f>
        <v>0</v>
      </c>
      <c r="AX389" s="113" t="str">
        <f>IFERROR(__xludf.DUMMYFUNCTION("join("","",let(confs,unique(TRANSPOSe(Teams!$1:$1)), confs_count, BYROW(confs,lambda(conf,xlookup(conf,'Conf WC Eligibility'!A:A,'Conf WC Eligibility'!C:C,,))),confs_picked,byrow(confs,lambda(conf,countif(E$1:E388,conf))),p_needs_conf_count,byrow(confs,la"&amp;"mbda(conf,counta('Draft Order'!B$2:B622)-COUNTUNIQUE(filter(D$2:D388,E$2:E388=conf)))),query({confs,confs_count,confs_picked,p_needs_conf_count},""select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0">
      <c r="A390" s="1"/>
      <c r="B390" s="1"/>
      <c r="C390" s="1"/>
      <c r="D390" s="115"/>
      <c r="E390" s="116"/>
      <c r="F390" s="77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13" t="str">
        <f>IFERROR(__xludf.DUMMYFUNCTION("iferror(join("","",index(sort(filter($F391:$F$400,$Q391:$Q$400&gt;$Q390,arrayformula(isnumber(FIND($E391:$E$400,AP390)))),2,false),0,1)))"),"")</f>
        <v/>
      </c>
      <c r="AW390" s="113" t="b">
        <f>IFERROR(__xludf.DUMMYFUNCTION("isnumber(find(""wild card"",join("","",filter($G$1:$G389,$D$1:$D389=D390))))"),FALSE)</f>
        <v>0</v>
      </c>
      <c r="AX390" s="113" t="str">
        <f>IFERROR(__xludf.DUMMYFUNCTION("join("","",let(confs,unique(TRANSPOSe(Teams!$1:$1)), confs_count, BYROW(confs,lambda(conf,xlookup(conf,'Conf WC Eligibility'!A:A,'Conf WC Eligibility'!C:C,,))),confs_picked,byrow(confs,lambda(conf,countif(E$1:E389,conf))),p_needs_conf_count,byrow(confs,la"&amp;"mbda(conf,counta('Draft Order'!B$2:B622)-COUNTUNIQUE(filter(D$2:D389,E$2:E389=conf)))),query({confs,confs_count,confs_picked,p_needs_conf_count},""select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1">
      <c r="A391" s="1"/>
      <c r="B391" s="1"/>
      <c r="C391" s="1"/>
      <c r="D391" s="115"/>
      <c r="E391" s="116"/>
      <c r="F391" s="77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13" t="str">
        <f>IFERROR(__xludf.DUMMYFUNCTION("iferror(join("","",index(sort(filter($F392:$F$400,$Q392:$Q$400&gt;$Q391,arrayformula(isnumber(FIND($E392:$E$400,AP391)))),2,false),0,1)))"),"")</f>
        <v/>
      </c>
      <c r="AW391" s="113" t="b">
        <f>IFERROR(__xludf.DUMMYFUNCTION("isnumber(find(""wild card"",join("","",filter($G$1:$G390,$D$1:$D390=D391))))"),FALSE)</f>
        <v>0</v>
      </c>
      <c r="AX391" s="113" t="str">
        <f>IFERROR(__xludf.DUMMYFUNCTION("join("","",let(confs,unique(TRANSPOSe(Teams!$1:$1)), confs_count, BYROW(confs,lambda(conf,xlookup(conf,'Conf WC Eligibility'!A:A,'Conf WC Eligibility'!C:C,,))),confs_picked,byrow(confs,lambda(conf,countif(E$1:E390,conf))),p_needs_conf_count,byrow(confs,la"&amp;"mbda(conf,counta('Draft Order'!B$2:B622)-COUNTUNIQUE(filter(D$2:D390,E$2:E390=conf)))),query({confs,confs_count,confs_picked,p_needs_conf_count},""select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2">
      <c r="A392" s="1"/>
      <c r="B392" s="1"/>
      <c r="C392" s="1"/>
      <c r="D392" s="115"/>
      <c r="E392" s="116"/>
      <c r="F392" s="77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13" t="str">
        <f>IFERROR(__xludf.DUMMYFUNCTION("iferror(join("","",index(sort(filter($F393:$F$400,$Q393:$Q$400&gt;$Q392,arrayformula(isnumber(FIND($E393:$E$400,AP392)))),2,false),0,1)))"),"")</f>
        <v/>
      </c>
      <c r="AW392" s="113" t="b">
        <f>IFERROR(__xludf.DUMMYFUNCTION("isnumber(find(""wild card"",join("","",filter($G$1:$G391,$D$1:$D391=D392))))"),FALSE)</f>
        <v>0</v>
      </c>
      <c r="AX392" s="113" t="str">
        <f>IFERROR(__xludf.DUMMYFUNCTION("join("","",let(confs,unique(TRANSPOSe(Teams!$1:$1)), confs_count, BYROW(confs,lambda(conf,xlookup(conf,'Conf WC Eligibility'!A:A,'Conf WC Eligibility'!C:C,,))),confs_picked,byrow(confs,lambda(conf,countif(E$1:E391,conf))),p_needs_conf_count,byrow(confs,la"&amp;"mbda(conf,counta('Draft Order'!B$2:B622)-COUNTUNIQUE(filter(D$2:D391,E$2:E391=conf)))),query({confs,confs_count,confs_picked,p_needs_conf_count},""select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3">
      <c r="A393" s="1"/>
      <c r="B393" s="1"/>
      <c r="C393" s="1"/>
      <c r="D393" s="115"/>
      <c r="E393" s="116"/>
      <c r="F393" s="77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13" t="str">
        <f>IFERROR(__xludf.DUMMYFUNCTION("iferror(join("","",index(sort(filter($F394:$F$400,$Q394:$Q$400&gt;$Q393,arrayformula(isnumber(FIND($E394:$E$400,AP393)))),2,false),0,1)))"),"")</f>
        <v/>
      </c>
      <c r="AW393" s="113" t="b">
        <f>IFERROR(__xludf.DUMMYFUNCTION("isnumber(find(""wild card"",join("","",filter($G$1:$G392,$D$1:$D392=D393))))"),FALSE)</f>
        <v>0</v>
      </c>
      <c r="AX393" s="113" t="str">
        <f>IFERROR(__xludf.DUMMYFUNCTION("join("","",let(confs,unique(TRANSPOSe(Teams!$1:$1)), confs_count, BYROW(confs,lambda(conf,xlookup(conf,'Conf WC Eligibility'!A:A,'Conf WC Eligibility'!C:C,,))),confs_picked,byrow(confs,lambda(conf,countif(E$1:E392,conf))),p_needs_conf_count,byrow(confs,la"&amp;"mbda(conf,counta('Draft Order'!B$2:B622)-COUNTUNIQUE(filter(D$2:D392,E$2:E392=conf)))),query({confs,confs_count,confs_picked,p_needs_conf_count},""select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4">
      <c r="A394" s="1"/>
      <c r="B394" s="1"/>
      <c r="C394" s="1"/>
      <c r="D394" s="115"/>
      <c r="E394" s="116"/>
      <c r="F394" s="77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13" t="str">
        <f>IFERROR(__xludf.DUMMYFUNCTION("iferror(join("","",index(sort(filter($F395:$F$400,$Q395:$Q$400&gt;$Q394,arrayformula(isnumber(FIND($E395:$E$400,AP394)))),2,false),0,1)))"),"")</f>
        <v/>
      </c>
      <c r="AW394" s="113" t="b">
        <f>IFERROR(__xludf.DUMMYFUNCTION("isnumber(find(""wild card"",join("","",filter($G$1:$G393,$D$1:$D393=D394))))"),FALSE)</f>
        <v>0</v>
      </c>
      <c r="AX394" s="113" t="str">
        <f>IFERROR(__xludf.DUMMYFUNCTION("join("","",let(confs,unique(TRANSPOSe(Teams!$1:$1)), confs_count, BYROW(confs,lambda(conf,xlookup(conf,'Conf WC Eligibility'!A:A,'Conf WC Eligibility'!C:C,,))),confs_picked,byrow(confs,lambda(conf,countif(E$1:E393,conf))),p_needs_conf_count,byrow(confs,la"&amp;"mbda(conf,counta('Draft Order'!B$2:B622)-COUNTUNIQUE(filter(D$2:D393,E$2:E393=conf)))),query({confs,confs_count,confs_picked,p_needs_conf_count},""select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5">
      <c r="A395" s="1"/>
      <c r="B395" s="1"/>
      <c r="C395" s="1"/>
      <c r="D395" s="115"/>
      <c r="E395" s="116"/>
      <c r="F395" s="77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13" t="str">
        <f>IFERROR(__xludf.DUMMYFUNCTION("iferror(join("","",index(sort(filter($F396:$F$400,$Q396:$Q$400&gt;$Q395,arrayformula(isnumber(FIND($E396:$E$400,AP395)))),2,false),0,1)))"),"")</f>
        <v/>
      </c>
      <c r="AW395" s="113" t="b">
        <f>IFERROR(__xludf.DUMMYFUNCTION("isnumber(find(""wild card"",join("","",filter($G$1:$G394,$D$1:$D394=D395))))"),FALSE)</f>
        <v>0</v>
      </c>
      <c r="AX395" s="113" t="str">
        <f>IFERROR(__xludf.DUMMYFUNCTION("join("","",let(confs,unique(TRANSPOSe(Teams!$1:$1)), confs_count, BYROW(confs,lambda(conf,xlookup(conf,'Conf WC Eligibility'!A:A,'Conf WC Eligibility'!C:C,,))),confs_picked,byrow(confs,lambda(conf,countif(E$1:E394,conf))),p_needs_conf_count,byrow(confs,la"&amp;"mbda(conf,counta('Draft Order'!B$2:B622)-COUNTUNIQUE(filter(D$2:D394,E$2:E394=conf)))),query({confs,confs_count,confs_picked,p_needs_conf_count},""select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6">
      <c r="A396" s="1"/>
      <c r="B396" s="1"/>
      <c r="C396" s="1"/>
      <c r="D396" s="115"/>
      <c r="E396" s="116"/>
      <c r="F396" s="77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13" t="str">
        <f>IFERROR(__xludf.DUMMYFUNCTION("iferror(join("","",index(sort(filter($F397:$F$400,$Q397:$Q$400&gt;$Q396,arrayformula(isnumber(FIND($E397:$E$400,AP396)))),2,false),0,1)))"),"")</f>
        <v/>
      </c>
      <c r="AW396" s="113" t="b">
        <f>IFERROR(__xludf.DUMMYFUNCTION("isnumber(find(""wild card"",join("","",filter($G$1:$G395,$D$1:$D395=D396))))"),FALSE)</f>
        <v>0</v>
      </c>
      <c r="AX396" s="113" t="str">
        <f>IFERROR(__xludf.DUMMYFUNCTION("join("","",let(confs,unique(TRANSPOSe(Teams!$1:$1)), confs_count, BYROW(confs,lambda(conf,xlookup(conf,'Conf WC Eligibility'!A:A,'Conf WC Eligibility'!C:C,,))),confs_picked,byrow(confs,lambda(conf,countif(E$1:E395,conf))),p_needs_conf_count,byrow(confs,la"&amp;"mbda(conf,counta('Draft Order'!B$2:B622)-COUNTUNIQUE(filter(D$2:D395,E$2:E395=conf)))),query({confs,confs_count,confs_picked,p_needs_conf_count},""select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7">
      <c r="A397" s="1"/>
      <c r="B397" s="1"/>
      <c r="C397" s="1"/>
      <c r="D397" s="115"/>
      <c r="E397" s="116"/>
      <c r="F397" s="77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13" t="str">
        <f>IFERROR(__xludf.DUMMYFUNCTION("iferror(join("","",index(sort(filter($F398:$F$400,$Q398:$Q$400&gt;$Q397,arrayformula(isnumber(FIND($E398:$E$400,AP397)))),2,false),0,1)))"),"")</f>
        <v/>
      </c>
      <c r="AW397" s="113" t="b">
        <f>IFERROR(__xludf.DUMMYFUNCTION("isnumber(find(""wild card"",join("","",filter($G$1:$G396,$D$1:$D396=D397))))"),FALSE)</f>
        <v>0</v>
      </c>
      <c r="AX397" s="113" t="str">
        <f>IFERROR(__xludf.DUMMYFUNCTION("join("","",let(confs,unique(TRANSPOSe(Teams!$1:$1)), confs_count, BYROW(confs,lambda(conf,xlookup(conf,'Conf WC Eligibility'!A:A,'Conf WC Eligibility'!C:C,,))),confs_picked,byrow(confs,lambda(conf,countif(E$1:E396,conf))),p_needs_conf_count,byrow(confs,la"&amp;"mbda(conf,counta('Draft Order'!B$2:B622)-COUNTUNIQUE(filter(D$2:D396,E$2:E396=conf)))),query({confs,confs_count,confs_picked,p_needs_conf_count},""select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8">
      <c r="A398" s="1"/>
      <c r="B398" s="1"/>
      <c r="C398" s="1"/>
      <c r="D398" s="115"/>
      <c r="E398" s="116"/>
      <c r="F398" s="77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13" t="str">
        <f>IFERROR(__xludf.DUMMYFUNCTION("iferror(join("","",index(sort(filter($F399:$F$400,$Q399:$Q$400&gt;$Q398,arrayformula(isnumber(FIND($E399:$E$400,AP398)))),2,false),0,1)))"),"")</f>
        <v/>
      </c>
      <c r="AW398" s="113" t="b">
        <f>IFERROR(__xludf.DUMMYFUNCTION("isnumber(find(""wild card"",join("","",filter($G$1:$G397,$D$1:$D397=D398))))"),FALSE)</f>
        <v>0</v>
      </c>
      <c r="AX398" s="113" t="str">
        <f>IFERROR(__xludf.DUMMYFUNCTION("join("","",let(confs,unique(TRANSPOSe(Teams!$1:$1)), confs_count, BYROW(confs,lambda(conf,xlookup(conf,'Conf WC Eligibility'!A:A,'Conf WC Eligibility'!C:C,,))),confs_picked,byrow(confs,lambda(conf,countif(E$1:E397,conf))),p_needs_conf_count,byrow(confs,la"&amp;"mbda(conf,counta('Draft Order'!B$2:B622)-COUNTUNIQUE(filter(D$2:D397,E$2:E397=conf)))),query({confs,confs_count,confs_picked,p_needs_conf_count},""select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399">
      <c r="A399" s="1"/>
      <c r="B399" s="1"/>
      <c r="C399" s="1"/>
      <c r="D399" s="115"/>
      <c r="E399" s="116"/>
      <c r="F399" s="77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13" t="str">
        <f>IFERROR(__xludf.DUMMYFUNCTION("iferror(join("","",index(sort(filter($F400:$F$400,$Q400:$Q$400&gt;$Q399,arrayformula(isnumber(FIND($E400:$E$400,AP399)))),2,false),0,1)))"),"")</f>
        <v/>
      </c>
      <c r="AW399" s="113" t="b">
        <f>IFERROR(__xludf.DUMMYFUNCTION("isnumber(find(""wild card"",join("","",filter($G$1:$G398,$D$1:$D398=D399))))"),FALSE)</f>
        <v>0</v>
      </c>
      <c r="AX399" s="113" t="str">
        <f>IFERROR(__xludf.DUMMYFUNCTION("join("","",let(confs,unique(TRANSPOSe(Teams!$1:$1)), confs_count, BYROW(confs,lambda(conf,xlookup(conf,'Conf WC Eligibility'!A:A,'Conf WC Eligibility'!C:C,,))),confs_picked,byrow(confs,lambda(conf,countif(E$1:E398,conf))),p_needs_conf_count,byrow(confs,la"&amp;"mbda(conf,counta('Draft Order'!B$2:B622)-COUNTUNIQUE(filter(D$2:D398,E$2:E398=conf)))),query({confs,confs_count,confs_picked,p_needs_conf_count},""select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0">
      <c r="A400" s="1"/>
      <c r="B400" s="1"/>
      <c r="C400" s="1"/>
      <c r="D400" s="115"/>
      <c r="E400" s="116"/>
      <c r="F400" s="77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13" t="str">
        <f>IFERROR(__xludf.DUMMYFUNCTION("iferror(join("","",index(sort(filter($F$400:$F401,$Q$400:$Q401&gt;$Q400,arrayformula(isnumber(FIND($E$400:$E401,AP400)))),2,false),0,1)))"),"")</f>
        <v/>
      </c>
      <c r="AW400" s="113" t="b">
        <f>IFERROR(__xludf.DUMMYFUNCTION("isnumber(find(""wild card"",join("","",filter($G$1:$G399,$D$1:$D399=D400))))"),FALSE)</f>
        <v>0</v>
      </c>
      <c r="AX400" s="113" t="str">
        <f>IFERROR(__xludf.DUMMYFUNCTION("join("","",let(confs,unique(TRANSPOSe(Teams!$1:$1)), confs_count, BYROW(confs,lambda(conf,xlookup(conf,'Conf WC Eligibility'!A:A,'Conf WC Eligibility'!C:C,,))),confs_picked,byrow(confs,lambda(conf,countif(E$1:E399,conf))),p_needs_conf_count,byrow(confs,la"&amp;"mbda(conf,counta('Draft Order'!B$2:B622)-COUNTUNIQUE(filter(D$2:D399,E$2:E399=conf)))),query({confs,confs_count,confs_picked,p_needs_conf_count},""select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1">
      <c r="A401" s="1"/>
      <c r="B401" s="1"/>
      <c r="C401" s="1"/>
      <c r="D401" s="115"/>
      <c r="E401" s="116"/>
      <c r="F401" s="77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13" t="str">
        <f>IFERROR(__xludf.DUMMYFUNCTION("iferror(join("","",index(sort(filter($F$400:$F402,$Q$400:$Q402&gt;$Q401,arrayformula(isnumber(FIND($E$400:$E402,AP401)))),2,false),0,1)))"),"")</f>
        <v/>
      </c>
      <c r="AW401" s="113" t="b">
        <f>IFERROR(__xludf.DUMMYFUNCTION("isnumber(find(""wild card"",join("","",filter($G$1:$G400,$D$1:$D400=D401))))"),FALSE)</f>
        <v>0</v>
      </c>
      <c r="AX401" s="113" t="str">
        <f>IFERROR(__xludf.DUMMYFUNCTION("join("","",let(confs,unique(TRANSPOSe(Teams!$1:$1)), confs_count, BYROW(confs,lambda(conf,xlookup(conf,'Conf WC Eligibility'!A:A,'Conf WC Eligibility'!C:C,,))),confs_picked,byrow(confs,lambda(conf,countif(E$1:E400,conf))),p_needs_conf_count,byrow(confs,la"&amp;"mbda(conf,counta('Draft Order'!B$2:B622)-COUNTUNIQUE(filter(D$2:D400,E$2:E400=conf)))),query({confs,confs_count,confs_picked,p_needs_conf_count},""select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2">
      <c r="A402" s="1"/>
      <c r="B402" s="1"/>
      <c r="C402" s="1"/>
      <c r="D402" s="115"/>
      <c r="E402" s="116"/>
      <c r="F402" s="77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13" t="str">
        <f>IFERROR(__xludf.DUMMYFUNCTION("iferror(join("","",index(sort(filter($F$400:$F403,$Q$400:$Q403&gt;$Q402,arrayformula(isnumber(FIND($E$400:$E403,AP402)))),2,false),0,1)))"),"")</f>
        <v/>
      </c>
      <c r="AW402" s="113" t="b">
        <f>IFERROR(__xludf.DUMMYFUNCTION("isnumber(find(""wild card"",join("","",filter($G$1:$G401,$D$1:$D401=D402))))"),FALSE)</f>
        <v>0</v>
      </c>
      <c r="AX402" s="113" t="str">
        <f>IFERROR(__xludf.DUMMYFUNCTION("join("","",let(confs,unique(TRANSPOSe(Teams!$1:$1)), confs_count, BYROW(confs,lambda(conf,xlookup(conf,'Conf WC Eligibility'!A:A,'Conf WC Eligibility'!C:C,,))),confs_picked,byrow(confs,lambda(conf,countif(E$1:E401,conf))),p_needs_conf_count,byrow(confs,la"&amp;"mbda(conf,counta('Draft Order'!B$2:B622)-COUNTUNIQUE(filter(D$2:D401,E$2:E401=conf)))),query({confs,confs_count,confs_picked,p_needs_conf_count},""select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3">
      <c r="A403" s="1"/>
      <c r="B403" s="1"/>
      <c r="C403" s="1"/>
      <c r="D403" s="115"/>
      <c r="E403" s="116"/>
      <c r="F403" s="77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13" t="str">
        <f>IFERROR(__xludf.DUMMYFUNCTION("iferror(join("","",index(sort(filter($F$400:$F404,$Q$400:$Q404&gt;$Q403,arrayformula(isnumber(FIND($E$400:$E404,AP403)))),2,false),0,1)))"),"")</f>
        <v/>
      </c>
      <c r="AW403" s="113" t="b">
        <f>IFERROR(__xludf.DUMMYFUNCTION("isnumber(find(""wild card"",join("","",filter($G$1:$G402,$D$1:$D402=D403))))"),FALSE)</f>
        <v>0</v>
      </c>
      <c r="AX403" s="113" t="str">
        <f>IFERROR(__xludf.DUMMYFUNCTION("join("","",let(confs,unique(TRANSPOSe(Teams!$1:$1)), confs_count, BYROW(confs,lambda(conf,xlookup(conf,'Conf WC Eligibility'!A:A,'Conf WC Eligibility'!C:C,,))),confs_picked,byrow(confs,lambda(conf,countif(E$1:E402,conf))),p_needs_conf_count,byrow(confs,la"&amp;"mbda(conf,counta('Draft Order'!B$2:B622)-COUNTUNIQUE(filter(D$2:D402,E$2:E402=conf)))),query({confs,confs_count,confs_picked,p_needs_conf_count},""select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4">
      <c r="A404" s="1"/>
      <c r="B404" s="1"/>
      <c r="C404" s="1"/>
      <c r="D404" s="115"/>
      <c r="E404" s="116"/>
      <c r="F404" s="77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13" t="str">
        <f>IFERROR(__xludf.DUMMYFUNCTION("iferror(join("","",index(sort(filter($F$400:$F405,$Q$400:$Q405&gt;$Q404,arrayformula(isnumber(FIND($E$400:$E405,AP404)))),2,false),0,1)))"),"")</f>
        <v/>
      </c>
      <c r="AW404" s="113" t="b">
        <f>IFERROR(__xludf.DUMMYFUNCTION("isnumber(find(""wild card"",join("","",filter($G$1:$G403,$D$1:$D403=D404))))"),FALSE)</f>
        <v>0</v>
      </c>
      <c r="AX404" s="113" t="str">
        <f>IFERROR(__xludf.DUMMYFUNCTION("join("","",let(confs,unique(TRANSPOSe(Teams!$1:$1)), confs_count, BYROW(confs,lambda(conf,xlookup(conf,'Conf WC Eligibility'!A:A,'Conf WC Eligibility'!C:C,,))),confs_picked,byrow(confs,lambda(conf,countif(E$1:E403,conf))),p_needs_conf_count,byrow(confs,la"&amp;"mbda(conf,counta('Draft Order'!B$2:B622)-COUNTUNIQUE(filter(D$2:D403,E$2:E403=conf)))),query({confs,confs_count,confs_picked,p_needs_conf_count},""select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5">
      <c r="A405" s="1"/>
      <c r="B405" s="1"/>
      <c r="C405" s="1"/>
      <c r="D405" s="115"/>
      <c r="E405" s="116"/>
      <c r="F405" s="77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13" t="str">
        <f>IFERROR(__xludf.DUMMYFUNCTION("iferror(join("","",index(sort(filter($F$400:$F406,$Q$400:$Q406&gt;$Q405,arrayformula(isnumber(FIND($E$400:$E406,AP405)))),2,false),0,1)))"),"")</f>
        <v/>
      </c>
      <c r="AW405" s="113" t="b">
        <f>IFERROR(__xludf.DUMMYFUNCTION("isnumber(find(""wild card"",join("","",filter($G$1:$G404,$D$1:$D404=D405))))"),FALSE)</f>
        <v>0</v>
      </c>
      <c r="AX405" s="113" t="str">
        <f>IFERROR(__xludf.DUMMYFUNCTION("join("","",let(confs,unique(TRANSPOSe(Teams!$1:$1)), confs_count, BYROW(confs,lambda(conf,xlookup(conf,'Conf WC Eligibility'!A:A,'Conf WC Eligibility'!C:C,,))),confs_picked,byrow(confs,lambda(conf,countif(E$1:E404,conf))),p_needs_conf_count,byrow(confs,la"&amp;"mbda(conf,counta('Draft Order'!B$2:B622)-COUNTUNIQUE(filter(D$2:D404,E$2:E404=conf)))),query({confs,confs_count,confs_picked,p_needs_conf_count},""select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6">
      <c r="A406" s="1"/>
      <c r="B406" s="1"/>
      <c r="C406" s="1"/>
      <c r="D406" s="115"/>
      <c r="E406" s="116"/>
      <c r="F406" s="77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13" t="str">
        <f>IFERROR(__xludf.DUMMYFUNCTION("iferror(join("","",index(sort(filter($F$400:$F407,$Q$400:$Q407&gt;$Q406,arrayformula(isnumber(FIND($E$400:$E407,AP406)))),2,false),0,1)))"),"")</f>
        <v/>
      </c>
      <c r="AW406" s="113" t="b">
        <f>IFERROR(__xludf.DUMMYFUNCTION("isnumber(find(""wild card"",join("","",filter($G$1:$G405,$D$1:$D405=D406))))"),FALSE)</f>
        <v>0</v>
      </c>
      <c r="AX406" s="113" t="str">
        <f>IFERROR(__xludf.DUMMYFUNCTION("join("","",let(confs,unique(TRANSPOSe(Teams!$1:$1)), confs_count, BYROW(confs,lambda(conf,xlookup(conf,'Conf WC Eligibility'!A:A,'Conf WC Eligibility'!C:C,,))),confs_picked,byrow(confs,lambda(conf,countif(E$1:E405,conf))),p_needs_conf_count,byrow(confs,la"&amp;"mbda(conf,counta('Draft Order'!B$2:B622)-COUNTUNIQUE(filter(D$2:D405,E$2:E405=conf)))),query({confs,confs_count,confs_picked,p_needs_conf_count},""select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7">
      <c r="A407" s="1"/>
      <c r="B407" s="1"/>
      <c r="C407" s="1"/>
      <c r="D407" s="115"/>
      <c r="E407" s="116"/>
      <c r="F407" s="77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13" t="str">
        <f>IFERROR(__xludf.DUMMYFUNCTION("iferror(join("","",index(sort(filter($F$400:$F408,$Q$400:$Q408&gt;$Q407,arrayformula(isnumber(FIND($E$400:$E408,AP407)))),2,false),0,1)))"),"")</f>
        <v/>
      </c>
      <c r="AW407" s="113" t="b">
        <f>IFERROR(__xludf.DUMMYFUNCTION("isnumber(find(""wild card"",join("","",filter($G$1:$G406,$D$1:$D406=D407))))"),FALSE)</f>
        <v>0</v>
      </c>
      <c r="AX407" s="113" t="str">
        <f>IFERROR(__xludf.DUMMYFUNCTION("join("","",let(confs,unique(TRANSPOSe(Teams!$1:$1)), confs_count, BYROW(confs,lambda(conf,xlookup(conf,'Conf WC Eligibility'!A:A,'Conf WC Eligibility'!C:C,,))),confs_picked,byrow(confs,lambda(conf,countif(E$1:E406,conf))),p_needs_conf_count,byrow(confs,la"&amp;"mbda(conf,counta('Draft Order'!B$2:B622)-COUNTUNIQUE(filter(D$2:D406,E$2:E406=conf)))),query({confs,confs_count,confs_picked,p_needs_conf_count},""select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8">
      <c r="A408" s="1"/>
      <c r="B408" s="1"/>
      <c r="C408" s="1"/>
      <c r="D408" s="115"/>
      <c r="E408" s="116"/>
      <c r="F408" s="77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13" t="str">
        <f>IFERROR(__xludf.DUMMYFUNCTION("iferror(join("","",index(sort(filter($F$400:$F409,$Q$400:$Q409&gt;$Q408,arrayformula(isnumber(FIND($E$400:$E409,AP408)))),2,false),0,1)))"),"")</f>
        <v/>
      </c>
      <c r="AW408" s="113" t="b">
        <f>IFERROR(__xludf.DUMMYFUNCTION("isnumber(find(""wild card"",join("","",filter($G$1:$G407,$D$1:$D407=D408))))"),FALSE)</f>
        <v>0</v>
      </c>
      <c r="AX408" s="113" t="str">
        <f>IFERROR(__xludf.DUMMYFUNCTION("join("","",let(confs,unique(TRANSPOSe(Teams!$1:$1)), confs_count, BYROW(confs,lambda(conf,xlookup(conf,'Conf WC Eligibility'!A:A,'Conf WC Eligibility'!C:C,,))),confs_picked,byrow(confs,lambda(conf,countif(E$1:E407,conf))),p_needs_conf_count,byrow(confs,la"&amp;"mbda(conf,counta('Draft Order'!B$2:B622)-COUNTUNIQUE(filter(D$2:D407,E$2:E407=conf)))),query({confs,confs_count,confs_picked,p_needs_conf_count},""select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09">
      <c r="A409" s="1"/>
      <c r="B409" s="1"/>
      <c r="C409" s="1"/>
      <c r="D409" s="115"/>
      <c r="E409" s="116"/>
      <c r="F409" s="77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13" t="str">
        <f>IFERROR(__xludf.DUMMYFUNCTION("iferror(join("","",index(sort(filter($F$400:$F410,$Q$400:$Q410&gt;$Q409,arrayformula(isnumber(FIND($E$400:$E410,AP409)))),2,false),0,1)))"),"")</f>
        <v/>
      </c>
      <c r="AW409" s="113" t="b">
        <f>IFERROR(__xludf.DUMMYFUNCTION("isnumber(find(""wild card"",join("","",filter($G$1:$G408,$D$1:$D408=D409))))"),FALSE)</f>
        <v>0</v>
      </c>
      <c r="AX409" s="113" t="str">
        <f>IFERROR(__xludf.DUMMYFUNCTION("join("","",let(confs,unique(TRANSPOSe(Teams!$1:$1)), confs_count, BYROW(confs,lambda(conf,xlookup(conf,'Conf WC Eligibility'!A:A,'Conf WC Eligibility'!C:C,,))),confs_picked,byrow(confs,lambda(conf,countif(E$1:E408,conf))),p_needs_conf_count,byrow(confs,la"&amp;"mbda(conf,counta('Draft Order'!B$2:B622)-COUNTUNIQUE(filter(D$2:D408,E$2:E408=conf)))),query({confs,confs_count,confs_picked,p_needs_conf_count},""select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0">
      <c r="A410" s="1"/>
      <c r="B410" s="1"/>
      <c r="C410" s="1"/>
      <c r="D410" s="115"/>
      <c r="E410" s="116"/>
      <c r="F410" s="77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13" t="str">
        <f>IFERROR(__xludf.DUMMYFUNCTION("iferror(join("","",index(sort(filter($F$400:$F411,$Q$400:$Q411&gt;$Q410,arrayformula(isnumber(FIND($E$400:$E411,AP410)))),2,false),0,1)))"),"")</f>
        <v/>
      </c>
      <c r="AW410" s="113" t="b">
        <f>IFERROR(__xludf.DUMMYFUNCTION("isnumber(find(""wild card"",join("","",filter($G$1:$G409,$D$1:$D409=D410))))"),FALSE)</f>
        <v>0</v>
      </c>
      <c r="AX410" s="113" t="str">
        <f>IFERROR(__xludf.DUMMYFUNCTION("join("","",let(confs,unique(TRANSPOSe(Teams!$1:$1)), confs_count, BYROW(confs,lambda(conf,xlookup(conf,'Conf WC Eligibility'!A:A,'Conf WC Eligibility'!C:C,,))),confs_picked,byrow(confs,lambda(conf,countif(E$1:E409,conf))),p_needs_conf_count,byrow(confs,la"&amp;"mbda(conf,counta('Draft Order'!B$2:B622)-COUNTUNIQUE(filter(D$2:D409,E$2:E409=conf)))),query({confs,confs_count,confs_picked,p_needs_conf_count},""select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1">
      <c r="A411" s="1"/>
      <c r="B411" s="1"/>
      <c r="C411" s="1"/>
      <c r="D411" s="115"/>
      <c r="E411" s="116"/>
      <c r="F411" s="77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13" t="str">
        <f>IFERROR(__xludf.DUMMYFUNCTION("iferror(join("","",index(sort(filter($F$400:$F412,$Q$400:$Q412&gt;$Q411,arrayformula(isnumber(FIND($E$400:$E412,AP411)))),2,false),0,1)))"),"")</f>
        <v/>
      </c>
      <c r="AW411" s="113" t="b">
        <f>IFERROR(__xludf.DUMMYFUNCTION("isnumber(find(""wild card"",join("","",filter($G$1:$G410,$D$1:$D410=D411))))"),FALSE)</f>
        <v>0</v>
      </c>
      <c r="AX411" s="113" t="str">
        <f>IFERROR(__xludf.DUMMYFUNCTION("join("","",let(confs,unique(TRANSPOSe(Teams!$1:$1)), confs_count, BYROW(confs,lambda(conf,xlookup(conf,'Conf WC Eligibility'!A:A,'Conf WC Eligibility'!C:C,,))),confs_picked,byrow(confs,lambda(conf,countif(E$1:E410,conf))),p_needs_conf_count,byrow(confs,la"&amp;"mbda(conf,counta('Draft Order'!B$2:B622)-COUNTUNIQUE(filter(D$2:D410,E$2:E410=conf)))),query({confs,confs_count,confs_picked,p_needs_conf_count},""select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2">
      <c r="A412" s="1"/>
      <c r="B412" s="1"/>
      <c r="C412" s="1"/>
      <c r="D412" s="115"/>
      <c r="E412" s="116"/>
      <c r="F412" s="77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13" t="str">
        <f>IFERROR(__xludf.DUMMYFUNCTION("iferror(join("","",index(sort(filter($F$400:$F413,$Q$400:$Q413&gt;$Q412,arrayformula(isnumber(FIND($E$400:$E413,AP412)))),2,false),0,1)))"),"")</f>
        <v/>
      </c>
      <c r="AW412" s="113" t="b">
        <f>IFERROR(__xludf.DUMMYFUNCTION("isnumber(find(""wild card"",join("","",filter($G$1:$G411,$D$1:$D411=D412))))"),FALSE)</f>
        <v>0</v>
      </c>
      <c r="AX412" s="113" t="str">
        <f>IFERROR(__xludf.DUMMYFUNCTION("join("","",let(confs,unique(TRANSPOSe(Teams!$1:$1)), confs_count, BYROW(confs,lambda(conf,xlookup(conf,'Conf WC Eligibility'!A:A,'Conf WC Eligibility'!C:C,,))),confs_picked,byrow(confs,lambda(conf,countif(E$1:E411,conf))),p_needs_conf_count,byrow(confs,la"&amp;"mbda(conf,counta('Draft Order'!B$2:B622)-COUNTUNIQUE(filter(D$2:D411,E$2:E411=conf)))),query({confs,confs_count,confs_picked,p_needs_conf_count},""select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3">
      <c r="A413" s="1"/>
      <c r="B413" s="1"/>
      <c r="C413" s="1"/>
      <c r="D413" s="115"/>
      <c r="E413" s="116"/>
      <c r="F413" s="77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13" t="str">
        <f>IFERROR(__xludf.DUMMYFUNCTION("iferror(join("","",index(sort(filter($F$400:$F414,$Q$400:$Q414&gt;$Q413,arrayformula(isnumber(FIND($E$400:$E414,AP413)))),2,false),0,1)))"),"")</f>
        <v/>
      </c>
      <c r="AW413" s="113" t="b">
        <f>IFERROR(__xludf.DUMMYFUNCTION("isnumber(find(""wild card"",join("","",filter($G$1:$G412,$D$1:$D412=D413))))"),FALSE)</f>
        <v>0</v>
      </c>
      <c r="AX413" s="113" t="str">
        <f>IFERROR(__xludf.DUMMYFUNCTION("join("","",let(confs,unique(TRANSPOSe(Teams!$1:$1)), confs_count, BYROW(confs,lambda(conf,xlookup(conf,'Conf WC Eligibility'!A:A,'Conf WC Eligibility'!C:C,,))),confs_picked,byrow(confs,lambda(conf,countif(E$1:E412,conf))),p_needs_conf_count,byrow(confs,la"&amp;"mbda(conf,counta('Draft Order'!B$2:B622)-COUNTUNIQUE(filter(D$2:D412,E$2:E412=conf)))),query({confs,confs_count,confs_picked,p_needs_conf_count},""select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4">
      <c r="A414" s="1"/>
      <c r="B414" s="1"/>
      <c r="C414" s="1"/>
      <c r="D414" s="115"/>
      <c r="E414" s="116"/>
      <c r="F414" s="77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13" t="str">
        <f>IFERROR(__xludf.DUMMYFUNCTION("iferror(join("","",index(sort(filter($F$400:$F415,$Q$400:$Q415&gt;$Q414,arrayformula(isnumber(FIND($E$400:$E415,AP414)))),2,false),0,1)))"),"")</f>
        <v/>
      </c>
      <c r="AW414" s="113" t="b">
        <f>IFERROR(__xludf.DUMMYFUNCTION("isnumber(find(""wild card"",join("","",filter($G$1:$G413,$D$1:$D413=D414))))"),FALSE)</f>
        <v>0</v>
      </c>
      <c r="AX414" s="113" t="str">
        <f>IFERROR(__xludf.DUMMYFUNCTION("join("","",let(confs,unique(TRANSPOSe(Teams!$1:$1)), confs_count, BYROW(confs,lambda(conf,xlookup(conf,'Conf WC Eligibility'!A:A,'Conf WC Eligibility'!C:C,,))),confs_picked,byrow(confs,lambda(conf,countif(E$1:E413,conf))),p_needs_conf_count,byrow(confs,la"&amp;"mbda(conf,counta('Draft Order'!B$2:B622)-COUNTUNIQUE(filter(D$2:D413,E$2:E413=conf)))),query({confs,confs_count,confs_picked,p_needs_conf_count},""select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5">
      <c r="A415" s="1"/>
      <c r="B415" s="1"/>
      <c r="C415" s="1"/>
      <c r="D415" s="115"/>
      <c r="E415" s="116"/>
      <c r="F415" s="77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13" t="str">
        <f>IFERROR(__xludf.DUMMYFUNCTION("iferror(join("","",index(sort(filter($F$400:$F416,$Q$400:$Q416&gt;$Q415,arrayformula(isnumber(FIND($E$400:$E416,AP415)))),2,false),0,1)))"),"")</f>
        <v/>
      </c>
      <c r="AW415" s="113" t="b">
        <f>IFERROR(__xludf.DUMMYFUNCTION("isnumber(find(""wild card"",join("","",filter($G$1:$G414,$D$1:$D414=D415))))"),FALSE)</f>
        <v>0</v>
      </c>
      <c r="AX415" s="113" t="str">
        <f>IFERROR(__xludf.DUMMYFUNCTION("join("","",let(confs,unique(TRANSPOSe(Teams!$1:$1)), confs_count, BYROW(confs,lambda(conf,xlookup(conf,'Conf WC Eligibility'!A:A,'Conf WC Eligibility'!C:C,,))),confs_picked,byrow(confs,lambda(conf,countif(E$1:E414,conf))),p_needs_conf_count,byrow(confs,la"&amp;"mbda(conf,counta('Draft Order'!B$2:B622)-COUNTUNIQUE(filter(D$2:D414,E$2:E414=conf)))),query({confs,confs_count,confs_picked,p_needs_conf_count},""select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6">
      <c r="A416" s="1"/>
      <c r="B416" s="1"/>
      <c r="C416" s="1"/>
      <c r="D416" s="115"/>
      <c r="E416" s="116"/>
      <c r="F416" s="77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13" t="str">
        <f>IFERROR(__xludf.DUMMYFUNCTION("iferror(join("","",index(sort(filter($F$400:$F417,$Q$400:$Q417&gt;$Q416,arrayformula(isnumber(FIND($E$400:$E417,AP416)))),2,false),0,1)))"),"")</f>
        <v/>
      </c>
      <c r="AW416" s="113" t="b">
        <f>IFERROR(__xludf.DUMMYFUNCTION("isnumber(find(""wild card"",join("","",filter($G$1:$G415,$D$1:$D415=D416))))"),FALSE)</f>
        <v>0</v>
      </c>
      <c r="AX416" s="113" t="str">
        <f>IFERROR(__xludf.DUMMYFUNCTION("join("","",let(confs,unique(TRANSPOSe(Teams!$1:$1)), confs_count, BYROW(confs,lambda(conf,xlookup(conf,'Conf WC Eligibility'!A:A,'Conf WC Eligibility'!C:C,,))),confs_picked,byrow(confs,lambda(conf,countif(E$1:E415,conf))),p_needs_conf_count,byrow(confs,la"&amp;"mbda(conf,counta('Draft Order'!B$2:B622)-COUNTUNIQUE(filter(D$2:D415,E$2:E415=conf)))),query({confs,confs_count,confs_picked,p_needs_conf_count},""select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7">
      <c r="A417" s="1"/>
      <c r="B417" s="1"/>
      <c r="C417" s="1"/>
      <c r="D417" s="115"/>
      <c r="E417" s="116"/>
      <c r="F417" s="77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13" t="str">
        <f>IFERROR(__xludf.DUMMYFUNCTION("iferror(join("","",index(sort(filter($F$400:$F418,$Q$400:$Q418&gt;$Q417,arrayformula(isnumber(FIND($E$400:$E418,AP417)))),2,false),0,1)))"),"")</f>
        <v/>
      </c>
      <c r="AW417" s="113" t="b">
        <f>IFERROR(__xludf.DUMMYFUNCTION("isnumber(find(""wild card"",join("","",filter($G$1:$G416,$D$1:$D416=D417))))"),FALSE)</f>
        <v>0</v>
      </c>
      <c r="AX417" s="113" t="str">
        <f>IFERROR(__xludf.DUMMYFUNCTION("join("","",let(confs,unique(TRANSPOSe(Teams!$1:$1)), confs_count, BYROW(confs,lambda(conf,xlookup(conf,'Conf WC Eligibility'!A:A,'Conf WC Eligibility'!C:C,,))),confs_picked,byrow(confs,lambda(conf,countif(E$1:E416,conf))),p_needs_conf_count,byrow(confs,la"&amp;"mbda(conf,counta('Draft Order'!B$2:B622)-COUNTUNIQUE(filter(D$2:D416,E$2:E416=conf)))),query({confs,confs_count,confs_picked,p_needs_conf_count},""select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8">
      <c r="A418" s="1"/>
      <c r="B418" s="1"/>
      <c r="C418" s="1"/>
      <c r="D418" s="115"/>
      <c r="E418" s="116"/>
      <c r="F418" s="77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13" t="str">
        <f>IFERROR(__xludf.DUMMYFUNCTION("iferror(join("","",index(sort(filter($F$400:$F419,$Q$400:$Q419&gt;$Q418,arrayformula(isnumber(FIND($E$400:$E419,AP418)))),2,false),0,1)))"),"")</f>
        <v/>
      </c>
      <c r="AW418" s="113" t="b">
        <f>IFERROR(__xludf.DUMMYFUNCTION("isnumber(find(""wild card"",join("","",filter($G$1:$G417,$D$1:$D417=D418))))"),FALSE)</f>
        <v>0</v>
      </c>
      <c r="AX418" s="113" t="str">
        <f>IFERROR(__xludf.DUMMYFUNCTION("join("","",let(confs,unique(TRANSPOSe(Teams!$1:$1)), confs_count, BYROW(confs,lambda(conf,xlookup(conf,'Conf WC Eligibility'!A:A,'Conf WC Eligibility'!C:C,,))),confs_picked,byrow(confs,lambda(conf,countif(E$1:E417,conf))),p_needs_conf_count,byrow(confs,la"&amp;"mbda(conf,counta('Draft Order'!B$2:B622)-COUNTUNIQUE(filter(D$2:D417,E$2:E417=conf)))),query({confs,confs_count,confs_picked,p_needs_conf_count},""select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19">
      <c r="A419" s="1"/>
      <c r="B419" s="1"/>
      <c r="C419" s="1"/>
      <c r="D419" s="115"/>
      <c r="E419" s="116"/>
      <c r="F419" s="77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13" t="str">
        <f>IFERROR(__xludf.DUMMYFUNCTION("iferror(join("","",index(sort(filter($F$400:$F420,$Q$400:$Q420&gt;$Q419,arrayformula(isnumber(FIND($E$400:$E420,AP419)))),2,false),0,1)))"),"")</f>
        <v/>
      </c>
      <c r="AW419" s="113" t="b">
        <f>IFERROR(__xludf.DUMMYFUNCTION("isnumber(find(""wild card"",join("","",filter($G$1:$G418,$D$1:$D418=D419))))"),FALSE)</f>
        <v>0</v>
      </c>
      <c r="AX419" s="113" t="str">
        <f>IFERROR(__xludf.DUMMYFUNCTION("join("","",let(confs,unique(TRANSPOSe(Teams!$1:$1)), confs_count, BYROW(confs,lambda(conf,xlookup(conf,'Conf WC Eligibility'!A:A,'Conf WC Eligibility'!C:C,,))),confs_picked,byrow(confs,lambda(conf,countif(E$1:E418,conf))),p_needs_conf_count,byrow(confs,la"&amp;"mbda(conf,counta('Draft Order'!B$2:B622)-COUNTUNIQUE(filter(D$2:D418,E$2:E418=conf)))),query({confs,confs_count,confs_picked,p_needs_conf_count},""select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0">
      <c r="A420" s="1"/>
      <c r="B420" s="1"/>
      <c r="C420" s="1"/>
      <c r="D420" s="115"/>
      <c r="E420" s="116"/>
      <c r="F420" s="77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13" t="str">
        <f>IFERROR(__xludf.DUMMYFUNCTION("iferror(join("","",index(sort(filter($F$400:$F421,$Q$400:$Q421&gt;$Q420,arrayformula(isnumber(FIND($E$400:$E421,AP420)))),2,false),0,1)))"),"")</f>
        <v/>
      </c>
      <c r="AW420" s="113" t="b">
        <f>IFERROR(__xludf.DUMMYFUNCTION("isnumber(find(""wild card"",join("","",filter($G$1:$G419,$D$1:$D419=D420))))"),FALSE)</f>
        <v>0</v>
      </c>
      <c r="AX420" s="113" t="str">
        <f>IFERROR(__xludf.DUMMYFUNCTION("join("","",let(confs,unique(TRANSPOSe(Teams!$1:$1)), confs_count, BYROW(confs,lambda(conf,xlookup(conf,'Conf WC Eligibility'!A:A,'Conf WC Eligibility'!C:C,,))),confs_picked,byrow(confs,lambda(conf,countif(E$1:E419,conf))),p_needs_conf_count,byrow(confs,la"&amp;"mbda(conf,counta('Draft Order'!B$2:B622)-COUNTUNIQUE(filter(D$2:D419,E$2:E419=conf)))),query({confs,confs_count,confs_picked,p_needs_conf_count},""select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1">
      <c r="A421" s="1"/>
      <c r="B421" s="1"/>
      <c r="C421" s="1"/>
      <c r="D421" s="115"/>
      <c r="E421" s="116"/>
      <c r="F421" s="77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13" t="str">
        <f>IFERROR(__xludf.DUMMYFUNCTION("iferror(join("","",index(sort(filter($F$400:$F422,$Q$400:$Q422&gt;$Q421,arrayformula(isnumber(FIND($E$400:$E422,AP421)))),2,false),0,1)))"),"")</f>
        <v/>
      </c>
      <c r="AW421" s="113" t="b">
        <f>IFERROR(__xludf.DUMMYFUNCTION("isnumber(find(""wild card"",join("","",filter($G$1:$G420,$D$1:$D420=D421))))"),FALSE)</f>
        <v>0</v>
      </c>
      <c r="AX421" s="113" t="str">
        <f>IFERROR(__xludf.DUMMYFUNCTION("join("","",let(confs,unique(TRANSPOSe(Teams!$1:$1)), confs_count, BYROW(confs,lambda(conf,xlookup(conf,'Conf WC Eligibility'!A:A,'Conf WC Eligibility'!C:C,,))),confs_picked,byrow(confs,lambda(conf,countif(E$1:E420,conf))),p_needs_conf_count,byrow(confs,la"&amp;"mbda(conf,counta('Draft Order'!B$2:B622)-COUNTUNIQUE(filter(D$2:D420,E$2:E420=conf)))),query({confs,confs_count,confs_picked,p_needs_conf_count},""select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2">
      <c r="A422" s="1"/>
      <c r="B422" s="1"/>
      <c r="C422" s="1"/>
      <c r="D422" s="115"/>
      <c r="E422" s="116"/>
      <c r="F422" s="77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13" t="str">
        <f>IFERROR(__xludf.DUMMYFUNCTION("iferror(join("","",index(sort(filter($F$400:$F423,$Q$400:$Q423&gt;$Q422,arrayformula(isnumber(FIND($E$400:$E423,AP422)))),2,false),0,1)))"),"")</f>
        <v/>
      </c>
      <c r="AW422" s="113" t="b">
        <f>IFERROR(__xludf.DUMMYFUNCTION("isnumber(find(""wild card"",join("","",filter($G$1:$G421,$D$1:$D421=D422))))"),FALSE)</f>
        <v>0</v>
      </c>
      <c r="AX422" s="113" t="str">
        <f>IFERROR(__xludf.DUMMYFUNCTION("join("","",let(confs,unique(TRANSPOSe(Teams!$1:$1)), confs_count, BYROW(confs,lambda(conf,xlookup(conf,'Conf WC Eligibility'!A:A,'Conf WC Eligibility'!C:C,,))),confs_picked,byrow(confs,lambda(conf,countif(E$1:E421,conf))),p_needs_conf_count,byrow(confs,la"&amp;"mbda(conf,counta('Draft Order'!B$2:B622)-COUNTUNIQUE(filter(D$2:D421,E$2:E421=conf)))),query({confs,confs_count,confs_picked,p_needs_conf_count},""select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3">
      <c r="A423" s="1"/>
      <c r="B423" s="1"/>
      <c r="C423" s="1"/>
      <c r="D423" s="115"/>
      <c r="E423" s="116"/>
      <c r="F423" s="77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13" t="str">
        <f>IFERROR(__xludf.DUMMYFUNCTION("iferror(join("","",index(sort(filter($F$400:$F424,$Q$400:$Q424&gt;$Q423,arrayformula(isnumber(FIND($E$400:$E424,AP423)))),2,false),0,1)))"),"")</f>
        <v/>
      </c>
      <c r="AW423" s="113" t="b">
        <f>IFERROR(__xludf.DUMMYFUNCTION("isnumber(find(""wild card"",join("","",filter($G$1:$G422,$D$1:$D422=D423))))"),FALSE)</f>
        <v>0</v>
      </c>
      <c r="AX423" s="113" t="str">
        <f>IFERROR(__xludf.DUMMYFUNCTION("join("","",let(confs,unique(TRANSPOSe(Teams!$1:$1)), confs_count, BYROW(confs,lambda(conf,xlookup(conf,'Conf WC Eligibility'!A:A,'Conf WC Eligibility'!C:C,,))),confs_picked,byrow(confs,lambda(conf,countif(E$1:E422,conf))),p_needs_conf_count,byrow(confs,la"&amp;"mbda(conf,counta('Draft Order'!B$2:B622)-COUNTUNIQUE(filter(D$2:D422,E$2:E422=conf)))),query({confs,confs_count,confs_picked,p_needs_conf_count},""select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4">
      <c r="A424" s="1"/>
      <c r="B424" s="1"/>
      <c r="C424" s="1"/>
      <c r="D424" s="115"/>
      <c r="E424" s="116"/>
      <c r="F424" s="77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13" t="str">
        <f>IFERROR(__xludf.DUMMYFUNCTION("iferror(join("","",index(sort(filter($F$400:$F425,$Q$400:$Q425&gt;$Q424,arrayformula(isnumber(FIND($E$400:$E425,AP424)))),2,false),0,1)))"),"")</f>
        <v/>
      </c>
      <c r="AW424" s="113" t="b">
        <f>IFERROR(__xludf.DUMMYFUNCTION("isnumber(find(""wild card"",join("","",filter($G$1:$G423,$D$1:$D423=D424))))"),FALSE)</f>
        <v>0</v>
      </c>
      <c r="AX424" s="113" t="str">
        <f>IFERROR(__xludf.DUMMYFUNCTION("join("","",let(confs,unique(TRANSPOSe(Teams!$1:$1)), confs_count, BYROW(confs,lambda(conf,xlookup(conf,'Conf WC Eligibility'!A:A,'Conf WC Eligibility'!C:C,,))),confs_picked,byrow(confs,lambda(conf,countif(E$1:E423,conf))),p_needs_conf_count,byrow(confs,la"&amp;"mbda(conf,counta('Draft Order'!B$2:B622)-COUNTUNIQUE(filter(D$2:D423,E$2:E423=conf)))),query({confs,confs_count,confs_picked,p_needs_conf_count},""select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5">
      <c r="A425" s="1"/>
      <c r="B425" s="1"/>
      <c r="C425" s="1"/>
      <c r="D425" s="115"/>
      <c r="E425" s="116"/>
      <c r="F425" s="77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13" t="str">
        <f>IFERROR(__xludf.DUMMYFUNCTION("iferror(join("","",index(sort(filter($F$400:$F426,$Q$400:$Q426&gt;$Q425,arrayformula(isnumber(FIND($E$400:$E426,AP425)))),2,false),0,1)))"),"")</f>
        <v/>
      </c>
      <c r="AW425" s="113" t="b">
        <f>IFERROR(__xludf.DUMMYFUNCTION("isnumber(find(""wild card"",join("","",filter($G$1:$G424,$D$1:$D424=D425))))"),FALSE)</f>
        <v>0</v>
      </c>
      <c r="AX425" s="113" t="str">
        <f>IFERROR(__xludf.DUMMYFUNCTION("join("","",let(confs,unique(TRANSPOSe(Teams!$1:$1)), confs_count, BYROW(confs,lambda(conf,xlookup(conf,'Conf WC Eligibility'!A:A,'Conf WC Eligibility'!C:C,,))),confs_picked,byrow(confs,lambda(conf,countif(E$1:E424,conf))),p_needs_conf_count,byrow(confs,la"&amp;"mbda(conf,counta('Draft Order'!B$2:B622)-COUNTUNIQUE(filter(D$2:D424,E$2:E424=conf)))),query({confs,confs_count,confs_picked,p_needs_conf_count},""select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6">
      <c r="A426" s="1"/>
      <c r="B426" s="1"/>
      <c r="C426" s="1"/>
      <c r="D426" s="115"/>
      <c r="E426" s="116"/>
      <c r="F426" s="77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13" t="str">
        <f>IFERROR(__xludf.DUMMYFUNCTION("iferror(join("","",index(sort(filter($F$400:$F427,$Q$400:$Q427&gt;$Q426,arrayformula(isnumber(FIND($E$400:$E427,AP426)))),2,false),0,1)))"),"")</f>
        <v/>
      </c>
      <c r="AW426" s="113" t="b">
        <f>IFERROR(__xludf.DUMMYFUNCTION("isnumber(find(""wild card"",join("","",filter($G$1:$G425,$D$1:$D425=D426))))"),FALSE)</f>
        <v>0</v>
      </c>
      <c r="AX426" s="113" t="str">
        <f>IFERROR(__xludf.DUMMYFUNCTION("join("","",let(confs,unique(TRANSPOSe(Teams!$1:$1)), confs_count, BYROW(confs,lambda(conf,xlookup(conf,'Conf WC Eligibility'!A:A,'Conf WC Eligibility'!C:C,,))),confs_picked,byrow(confs,lambda(conf,countif(E$1:E425,conf))),p_needs_conf_count,byrow(confs,la"&amp;"mbda(conf,counta('Draft Order'!B$2:B622)-COUNTUNIQUE(filter(D$2:D425,E$2:E425=conf)))),query({confs,confs_count,confs_picked,p_needs_conf_count},""select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7">
      <c r="A427" s="1"/>
      <c r="B427" s="1"/>
      <c r="C427" s="1"/>
      <c r="D427" s="115"/>
      <c r="E427" s="116"/>
      <c r="F427" s="77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13" t="str">
        <f>IFERROR(__xludf.DUMMYFUNCTION("iferror(join("","",index(sort(filter($F$400:$F428,$Q$400:$Q428&gt;$Q427,arrayformula(isnumber(FIND($E$400:$E428,AP427)))),2,false),0,1)))"),"")</f>
        <v/>
      </c>
      <c r="AW427" s="113" t="b">
        <f>IFERROR(__xludf.DUMMYFUNCTION("isnumber(find(""wild card"",join("","",filter($G$1:$G426,$D$1:$D426=D427))))"),FALSE)</f>
        <v>0</v>
      </c>
      <c r="AX427" s="113" t="str">
        <f>IFERROR(__xludf.DUMMYFUNCTION("join("","",let(confs,unique(TRANSPOSe(Teams!$1:$1)), confs_count, BYROW(confs,lambda(conf,xlookup(conf,'Conf WC Eligibility'!A:A,'Conf WC Eligibility'!C:C,,))),confs_picked,byrow(confs,lambda(conf,countif(E$1:E426,conf))),p_needs_conf_count,byrow(confs,la"&amp;"mbda(conf,counta('Draft Order'!B$2:B622)-COUNTUNIQUE(filter(D$2:D426,E$2:E426=conf)))),query({confs,confs_count,confs_picked,p_needs_conf_count},""select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8">
      <c r="A428" s="1"/>
      <c r="B428" s="1"/>
      <c r="C428" s="1"/>
      <c r="D428" s="115"/>
      <c r="E428" s="116"/>
      <c r="F428" s="77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13" t="str">
        <f>IFERROR(__xludf.DUMMYFUNCTION("iferror(join("","",index(sort(filter($F$400:$F429,$Q$400:$Q429&gt;$Q428,arrayformula(isnumber(FIND($E$400:$E429,AP428)))),2,false),0,1)))"),"")</f>
        <v/>
      </c>
      <c r="AW428" s="113" t="b">
        <f>IFERROR(__xludf.DUMMYFUNCTION("isnumber(find(""wild card"",join("","",filter($G$1:$G427,$D$1:$D427=D428))))"),FALSE)</f>
        <v>0</v>
      </c>
      <c r="AX428" s="113" t="str">
        <f>IFERROR(__xludf.DUMMYFUNCTION("join("","",let(confs,unique(TRANSPOSe(Teams!$1:$1)), confs_count, BYROW(confs,lambda(conf,xlookup(conf,'Conf WC Eligibility'!A:A,'Conf WC Eligibility'!C:C,,))),confs_picked,byrow(confs,lambda(conf,countif(E$1:E427,conf))),p_needs_conf_count,byrow(confs,la"&amp;"mbda(conf,counta('Draft Order'!B$2:B622)-COUNTUNIQUE(filter(D$2:D427,E$2:E427=conf)))),query({confs,confs_count,confs_picked,p_needs_conf_count},""select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29">
      <c r="A429" s="1"/>
      <c r="B429" s="1"/>
      <c r="C429" s="1"/>
      <c r="D429" s="115"/>
      <c r="E429" s="116"/>
      <c r="F429" s="77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13" t="str">
        <f>IFERROR(__xludf.DUMMYFUNCTION("iferror(join("","",index(sort(filter($F$400:$F430,$Q$400:$Q430&gt;$Q429,arrayformula(isnumber(FIND($E$400:$E430,AP429)))),2,false),0,1)))"),"")</f>
        <v/>
      </c>
      <c r="AW429" s="113" t="b">
        <f>IFERROR(__xludf.DUMMYFUNCTION("isnumber(find(""wild card"",join("","",filter($G$1:$G428,$D$1:$D428=D429))))"),FALSE)</f>
        <v>0</v>
      </c>
      <c r="AX429" s="113" t="str">
        <f>IFERROR(__xludf.DUMMYFUNCTION("join("","",let(confs,unique(TRANSPOSe(Teams!$1:$1)), confs_count, BYROW(confs,lambda(conf,xlookup(conf,'Conf WC Eligibility'!A:A,'Conf WC Eligibility'!C:C,,))),confs_picked,byrow(confs,lambda(conf,countif(E$1:E428,conf))),p_needs_conf_count,byrow(confs,la"&amp;"mbda(conf,counta('Draft Order'!B$2:B622)-COUNTUNIQUE(filter(D$2:D428,E$2:E428=conf)))),query({confs,confs_count,confs_picked,p_needs_conf_count},""select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0">
      <c r="A430" s="1"/>
      <c r="B430" s="1"/>
      <c r="C430" s="1"/>
      <c r="D430" s="115"/>
      <c r="E430" s="116"/>
      <c r="F430" s="77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13" t="str">
        <f>IFERROR(__xludf.DUMMYFUNCTION("iferror(join("","",index(sort(filter($F$400:$F431,$Q$400:$Q431&gt;$Q430,arrayformula(isnumber(FIND($E$400:$E431,AP430)))),2,false),0,1)))"),"")</f>
        <v/>
      </c>
      <c r="AW430" s="113" t="b">
        <f>IFERROR(__xludf.DUMMYFUNCTION("isnumber(find(""wild card"",join("","",filter($G$1:$G429,$D$1:$D429=D430))))"),FALSE)</f>
        <v>0</v>
      </c>
      <c r="AX430" s="113" t="str">
        <f>IFERROR(__xludf.DUMMYFUNCTION("join("","",let(confs,unique(TRANSPOSe(Teams!$1:$1)), confs_count, BYROW(confs,lambda(conf,xlookup(conf,'Conf WC Eligibility'!A:A,'Conf WC Eligibility'!C:C,,))),confs_picked,byrow(confs,lambda(conf,countif(E$1:E429,conf))),p_needs_conf_count,byrow(confs,la"&amp;"mbda(conf,counta('Draft Order'!B$2:B622)-COUNTUNIQUE(filter(D$2:D429,E$2:E429=conf)))),query({confs,confs_count,confs_picked,p_needs_conf_count},""select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1">
      <c r="A431" s="1"/>
      <c r="B431" s="1"/>
      <c r="C431" s="1"/>
      <c r="D431" s="115"/>
      <c r="E431" s="116"/>
      <c r="F431" s="77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13" t="str">
        <f>IFERROR(__xludf.DUMMYFUNCTION("iferror(join("","",index(sort(filter($F$400:$F432,$Q$400:$Q432&gt;$Q431,arrayformula(isnumber(FIND($E$400:$E432,AP431)))),2,false),0,1)))"),"")</f>
        <v/>
      </c>
      <c r="AW431" s="113" t="b">
        <f>IFERROR(__xludf.DUMMYFUNCTION("isnumber(find(""wild card"",join("","",filter($G$1:$G430,$D$1:$D430=D431))))"),FALSE)</f>
        <v>0</v>
      </c>
      <c r="AX431" s="113" t="str">
        <f>IFERROR(__xludf.DUMMYFUNCTION("join("","",let(confs,unique(TRANSPOSe(Teams!$1:$1)), confs_count, BYROW(confs,lambda(conf,xlookup(conf,'Conf WC Eligibility'!A:A,'Conf WC Eligibility'!C:C,,))),confs_picked,byrow(confs,lambda(conf,countif(E$1:E430,conf))),p_needs_conf_count,byrow(confs,la"&amp;"mbda(conf,counta('Draft Order'!B$2:B622)-COUNTUNIQUE(filter(D$2:D430,E$2:E430=conf)))),query({confs,confs_count,confs_picked,p_needs_conf_count},""select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2">
      <c r="A432" s="1"/>
      <c r="B432" s="1"/>
      <c r="C432" s="1"/>
      <c r="D432" s="115"/>
      <c r="E432" s="116"/>
      <c r="F432" s="77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13" t="str">
        <f>IFERROR(__xludf.DUMMYFUNCTION("iferror(join("","",index(sort(filter($F$400:$F433,$Q$400:$Q433&gt;$Q432,arrayformula(isnumber(FIND($E$400:$E433,AP432)))),2,false),0,1)))"),"")</f>
        <v/>
      </c>
      <c r="AW432" s="113" t="b">
        <f>IFERROR(__xludf.DUMMYFUNCTION("isnumber(find(""wild card"",join("","",filter($G$1:$G431,$D$1:$D431=D432))))"),FALSE)</f>
        <v>0</v>
      </c>
      <c r="AX432" s="113" t="str">
        <f>IFERROR(__xludf.DUMMYFUNCTION("join("","",let(confs,unique(TRANSPOSe(Teams!$1:$1)), confs_count, BYROW(confs,lambda(conf,xlookup(conf,'Conf WC Eligibility'!A:A,'Conf WC Eligibility'!C:C,,))),confs_picked,byrow(confs,lambda(conf,countif(E$1:E431,conf))),p_needs_conf_count,byrow(confs,la"&amp;"mbda(conf,counta('Draft Order'!B$2:B622)-COUNTUNIQUE(filter(D$2:D431,E$2:E431=conf)))),query({confs,confs_count,confs_picked,p_needs_conf_count},""select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3">
      <c r="A433" s="1"/>
      <c r="B433" s="1"/>
      <c r="C433" s="1"/>
      <c r="D433" s="115"/>
      <c r="E433" s="116"/>
      <c r="F433" s="77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13" t="str">
        <f>IFERROR(__xludf.DUMMYFUNCTION("iferror(join("","",index(sort(filter($F$400:$F434,$Q$400:$Q434&gt;$Q433,arrayformula(isnumber(FIND($E$400:$E434,AP433)))),2,false),0,1)))"),"")</f>
        <v/>
      </c>
      <c r="AW433" s="113" t="b">
        <f>IFERROR(__xludf.DUMMYFUNCTION("isnumber(find(""wild card"",join("","",filter($G$1:$G432,$D$1:$D432=D433))))"),FALSE)</f>
        <v>0</v>
      </c>
      <c r="AX433" s="113" t="str">
        <f>IFERROR(__xludf.DUMMYFUNCTION("join("","",let(confs,unique(TRANSPOSe(Teams!$1:$1)), confs_count, BYROW(confs,lambda(conf,xlookup(conf,'Conf WC Eligibility'!A:A,'Conf WC Eligibility'!C:C,,))),confs_picked,byrow(confs,lambda(conf,countif(E$1:E432,conf))),p_needs_conf_count,byrow(confs,la"&amp;"mbda(conf,counta('Draft Order'!B$2:B622)-COUNTUNIQUE(filter(D$2:D432,E$2:E432=conf)))),query({confs,confs_count,confs_picked,p_needs_conf_count},""select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4">
      <c r="A434" s="1"/>
      <c r="B434" s="1"/>
      <c r="C434" s="1"/>
      <c r="D434" s="115"/>
      <c r="E434" s="116"/>
      <c r="F434" s="77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13" t="str">
        <f>IFERROR(__xludf.DUMMYFUNCTION("iferror(join("","",index(sort(filter($F$400:$F435,$Q$400:$Q435&gt;$Q434,arrayformula(isnumber(FIND($E$400:$E435,AP434)))),2,false),0,1)))"),"")</f>
        <v/>
      </c>
      <c r="AW434" s="113" t="b">
        <f>IFERROR(__xludf.DUMMYFUNCTION("isnumber(find(""wild card"",join("","",filter($G$1:$G433,$D$1:$D433=D434))))"),FALSE)</f>
        <v>0</v>
      </c>
      <c r="AX434" s="113" t="str">
        <f>IFERROR(__xludf.DUMMYFUNCTION("join("","",let(confs,unique(TRANSPOSe(Teams!$1:$1)), confs_count, BYROW(confs,lambda(conf,xlookup(conf,'Conf WC Eligibility'!A:A,'Conf WC Eligibility'!C:C,,))),confs_picked,byrow(confs,lambda(conf,countif(E$1:E433,conf))),p_needs_conf_count,byrow(confs,la"&amp;"mbda(conf,counta('Draft Order'!B$2:B622)-COUNTUNIQUE(filter(D$2:D433,E$2:E433=conf)))),query({confs,confs_count,confs_picked,p_needs_conf_count},""select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5">
      <c r="A435" s="1"/>
      <c r="B435" s="1"/>
      <c r="C435" s="1"/>
      <c r="D435" s="115"/>
      <c r="E435" s="116"/>
      <c r="F435" s="77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13" t="str">
        <f>IFERROR(__xludf.DUMMYFUNCTION("iferror(join("","",index(sort(filter($F$400:$F436,$Q$400:$Q436&gt;$Q435,arrayformula(isnumber(FIND($E$400:$E436,AP435)))),2,false),0,1)))"),"")</f>
        <v/>
      </c>
      <c r="AW435" s="113" t="b">
        <f>IFERROR(__xludf.DUMMYFUNCTION("isnumber(find(""wild card"",join("","",filter($G$1:$G434,$D$1:$D434=D435))))"),FALSE)</f>
        <v>0</v>
      </c>
      <c r="AX435" s="113" t="str">
        <f>IFERROR(__xludf.DUMMYFUNCTION("join("","",let(confs,unique(TRANSPOSe(Teams!$1:$1)), confs_count, BYROW(confs,lambda(conf,xlookup(conf,'Conf WC Eligibility'!A:A,'Conf WC Eligibility'!C:C,,))),confs_picked,byrow(confs,lambda(conf,countif(E$1:E434,conf))),p_needs_conf_count,byrow(confs,la"&amp;"mbda(conf,counta('Draft Order'!B$2:B622)-COUNTUNIQUE(filter(D$2:D434,E$2:E434=conf)))),query({confs,confs_count,confs_picked,p_needs_conf_count},""select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6">
      <c r="A436" s="1"/>
      <c r="B436" s="1"/>
      <c r="C436" s="1"/>
      <c r="D436" s="115"/>
      <c r="E436" s="116"/>
      <c r="F436" s="77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13" t="str">
        <f>IFERROR(__xludf.DUMMYFUNCTION("iferror(join("","",index(sort(filter($F$400:$F437,$Q$400:$Q437&gt;$Q436,arrayformula(isnumber(FIND($E$400:$E437,AP436)))),2,false),0,1)))"),"")</f>
        <v/>
      </c>
      <c r="AW436" s="113" t="b">
        <f>IFERROR(__xludf.DUMMYFUNCTION("isnumber(find(""wild card"",join("","",filter($G$1:$G435,$D$1:$D435=D436))))"),FALSE)</f>
        <v>0</v>
      </c>
      <c r="AX436" s="113" t="str">
        <f>IFERROR(__xludf.DUMMYFUNCTION("join("","",let(confs,unique(TRANSPOSe(Teams!$1:$1)), confs_count, BYROW(confs,lambda(conf,xlookup(conf,'Conf WC Eligibility'!A:A,'Conf WC Eligibility'!C:C,,))),confs_picked,byrow(confs,lambda(conf,countif(E$1:E435,conf))),p_needs_conf_count,byrow(confs,la"&amp;"mbda(conf,counta('Draft Order'!B$2:B622)-COUNTUNIQUE(filter(D$2:D435,E$2:E435=conf)))),query({confs,confs_count,confs_picked,p_needs_conf_count},""select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7">
      <c r="A437" s="1"/>
      <c r="B437" s="1"/>
      <c r="C437" s="1"/>
      <c r="D437" s="115"/>
      <c r="E437" s="116"/>
      <c r="F437" s="77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13" t="str">
        <f>IFERROR(__xludf.DUMMYFUNCTION("iferror(join("","",index(sort(filter($F$400:$F438,$Q$400:$Q438&gt;$Q437,arrayformula(isnumber(FIND($E$400:$E438,AP437)))),2,false),0,1)))"),"")</f>
        <v/>
      </c>
      <c r="AW437" s="113" t="b">
        <f>IFERROR(__xludf.DUMMYFUNCTION("isnumber(find(""wild card"",join("","",filter($G$1:$G436,$D$1:$D436=D437))))"),FALSE)</f>
        <v>0</v>
      </c>
      <c r="AX437" s="113" t="str">
        <f>IFERROR(__xludf.DUMMYFUNCTION("join("","",let(confs,unique(TRANSPOSe(Teams!$1:$1)), confs_count, BYROW(confs,lambda(conf,xlookup(conf,'Conf WC Eligibility'!A:A,'Conf WC Eligibility'!C:C,,))),confs_picked,byrow(confs,lambda(conf,countif(E$1:E436,conf))),p_needs_conf_count,byrow(confs,la"&amp;"mbda(conf,counta('Draft Order'!B$2:B622)-COUNTUNIQUE(filter(D$2:D436,E$2:E436=conf)))),query({confs,confs_count,confs_picked,p_needs_conf_count},""select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8">
      <c r="A438" s="1"/>
      <c r="B438" s="1"/>
      <c r="C438" s="1"/>
      <c r="D438" s="115"/>
      <c r="E438" s="116"/>
      <c r="F438" s="77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13" t="str">
        <f>IFERROR(__xludf.DUMMYFUNCTION("iferror(join("","",index(sort(filter($F$400:$F439,$Q$400:$Q439&gt;$Q438,arrayformula(isnumber(FIND($E$400:$E439,AP438)))),2,false),0,1)))"),"")</f>
        <v/>
      </c>
      <c r="AW438" s="113" t="b">
        <f>IFERROR(__xludf.DUMMYFUNCTION("isnumber(find(""wild card"",join("","",filter($G$1:$G437,$D$1:$D437=D438))))"),FALSE)</f>
        <v>0</v>
      </c>
      <c r="AX438" s="113" t="str">
        <f>IFERROR(__xludf.DUMMYFUNCTION("join("","",let(confs,unique(TRANSPOSe(Teams!$1:$1)), confs_count, BYROW(confs,lambda(conf,xlookup(conf,'Conf WC Eligibility'!A:A,'Conf WC Eligibility'!C:C,,))),confs_picked,byrow(confs,lambda(conf,countif(E$1:E437,conf))),p_needs_conf_count,byrow(confs,la"&amp;"mbda(conf,counta('Draft Order'!B$2:B622)-COUNTUNIQUE(filter(D$2:D437,E$2:E437=conf)))),query({confs,confs_count,confs_picked,p_needs_conf_count},""select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39">
      <c r="A439" s="1"/>
      <c r="B439" s="1"/>
      <c r="C439" s="1"/>
      <c r="D439" s="115"/>
      <c r="E439" s="116"/>
      <c r="F439" s="77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13" t="str">
        <f>IFERROR(__xludf.DUMMYFUNCTION("iferror(join("","",index(sort(filter($F$400:$F440,$Q$400:$Q440&gt;$Q439,arrayformula(isnumber(FIND($E$400:$E440,AP439)))),2,false),0,1)))"),"")</f>
        <v/>
      </c>
      <c r="AW439" s="113" t="b">
        <f>IFERROR(__xludf.DUMMYFUNCTION("isnumber(find(""wild card"",join("","",filter($G$1:$G438,$D$1:$D438=D439))))"),FALSE)</f>
        <v>0</v>
      </c>
      <c r="AX439" s="113" t="str">
        <f>IFERROR(__xludf.DUMMYFUNCTION("join("","",let(confs,unique(TRANSPOSe(Teams!$1:$1)), confs_count, BYROW(confs,lambda(conf,xlookup(conf,'Conf WC Eligibility'!A:A,'Conf WC Eligibility'!C:C,,))),confs_picked,byrow(confs,lambda(conf,countif(E$1:E438,conf))),p_needs_conf_count,byrow(confs,la"&amp;"mbda(conf,counta('Draft Order'!B$2:B622)-COUNTUNIQUE(filter(D$2:D438,E$2:E438=conf)))),query({confs,confs_count,confs_picked,p_needs_conf_count},""select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0">
      <c r="A440" s="1"/>
      <c r="B440" s="1"/>
      <c r="C440" s="1"/>
      <c r="D440" s="115"/>
      <c r="E440" s="116"/>
      <c r="F440" s="77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13" t="str">
        <f>IFERROR(__xludf.DUMMYFUNCTION("iferror(join("","",index(sort(filter($F$400:$F441,$Q$400:$Q441&gt;$Q440,arrayformula(isnumber(FIND($E$400:$E441,AP440)))),2,false),0,1)))"),"")</f>
        <v/>
      </c>
      <c r="AW440" s="113" t="b">
        <f>IFERROR(__xludf.DUMMYFUNCTION("isnumber(find(""wild card"",join("","",filter($G$1:$G439,$D$1:$D439=D440))))"),FALSE)</f>
        <v>0</v>
      </c>
      <c r="AX440" s="113" t="str">
        <f>IFERROR(__xludf.DUMMYFUNCTION("join("","",let(confs,unique(TRANSPOSe(Teams!$1:$1)), confs_count, BYROW(confs,lambda(conf,xlookup(conf,'Conf WC Eligibility'!A:A,'Conf WC Eligibility'!C:C,,))),confs_picked,byrow(confs,lambda(conf,countif(E$1:E439,conf))),p_needs_conf_count,byrow(confs,la"&amp;"mbda(conf,counta('Draft Order'!B$2:B622)-COUNTUNIQUE(filter(D$2:D439,E$2:E439=conf)))),query({confs,confs_count,confs_picked,p_needs_conf_count},""select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1">
      <c r="A441" s="1"/>
      <c r="B441" s="1"/>
      <c r="C441" s="1"/>
      <c r="D441" s="115"/>
      <c r="E441" s="116"/>
      <c r="F441" s="77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13" t="str">
        <f>IFERROR(__xludf.DUMMYFUNCTION("iferror(join("","",index(sort(filter($F$400:$F442,$Q$400:$Q442&gt;$Q441,arrayformula(isnumber(FIND($E$400:$E442,AP441)))),2,false),0,1)))"),"")</f>
        <v/>
      </c>
      <c r="AW441" s="113" t="b">
        <f>IFERROR(__xludf.DUMMYFUNCTION("isnumber(find(""wild card"",join("","",filter($G$1:$G440,$D$1:$D440=D441))))"),FALSE)</f>
        <v>0</v>
      </c>
      <c r="AX441" s="113" t="str">
        <f>IFERROR(__xludf.DUMMYFUNCTION("join("","",let(confs,unique(TRANSPOSe(Teams!$1:$1)), confs_count, BYROW(confs,lambda(conf,xlookup(conf,'Conf WC Eligibility'!A:A,'Conf WC Eligibility'!C:C,,))),confs_picked,byrow(confs,lambda(conf,countif(E$1:E440,conf))),p_needs_conf_count,byrow(confs,la"&amp;"mbda(conf,counta('Draft Order'!B$2:B622)-COUNTUNIQUE(filter(D$2:D440,E$2:E440=conf)))),query({confs,confs_count,confs_picked,p_needs_conf_count},""select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2">
      <c r="A442" s="1"/>
      <c r="B442" s="1"/>
      <c r="C442" s="1"/>
      <c r="D442" s="115"/>
      <c r="E442" s="116"/>
      <c r="F442" s="77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13" t="str">
        <f>IFERROR(__xludf.DUMMYFUNCTION("iferror(join("","",index(sort(filter($F$400:$F443,$Q$400:$Q443&gt;$Q442,arrayformula(isnumber(FIND($E$400:$E443,AP442)))),2,false),0,1)))"),"")</f>
        <v/>
      </c>
      <c r="AW442" s="113" t="b">
        <f>IFERROR(__xludf.DUMMYFUNCTION("isnumber(find(""wild card"",join("","",filter($G$1:$G441,$D$1:$D441=D442))))"),FALSE)</f>
        <v>0</v>
      </c>
      <c r="AX442" s="113" t="str">
        <f>IFERROR(__xludf.DUMMYFUNCTION("join("","",let(confs,unique(TRANSPOSe(Teams!$1:$1)), confs_count, BYROW(confs,lambda(conf,xlookup(conf,'Conf WC Eligibility'!A:A,'Conf WC Eligibility'!C:C,,))),confs_picked,byrow(confs,lambda(conf,countif(E$1:E441,conf))),p_needs_conf_count,byrow(confs,la"&amp;"mbda(conf,counta('Draft Order'!B$2:B622)-COUNTUNIQUE(filter(D$2:D441,E$2:E441=conf)))),query({confs,confs_count,confs_picked,p_needs_conf_count},""select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3">
      <c r="A443" s="1"/>
      <c r="B443" s="1"/>
      <c r="C443" s="1"/>
      <c r="D443" s="115"/>
      <c r="E443" s="116"/>
      <c r="F443" s="77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13" t="str">
        <f>IFERROR(__xludf.DUMMYFUNCTION("iferror(join("","",index(sort(filter($F$400:$F444,$Q$400:$Q444&gt;$Q443,arrayformula(isnumber(FIND($E$400:$E444,AP443)))),2,false),0,1)))"),"")</f>
        <v/>
      </c>
      <c r="AW443" s="113" t="b">
        <f>IFERROR(__xludf.DUMMYFUNCTION("isnumber(find(""wild card"",join("","",filter($G$1:$G442,$D$1:$D442=D443))))"),FALSE)</f>
        <v>0</v>
      </c>
      <c r="AX443" s="113" t="str">
        <f>IFERROR(__xludf.DUMMYFUNCTION("join("","",let(confs,unique(TRANSPOSe(Teams!$1:$1)), confs_count, BYROW(confs,lambda(conf,xlookup(conf,'Conf WC Eligibility'!A:A,'Conf WC Eligibility'!C:C,,))),confs_picked,byrow(confs,lambda(conf,countif(E$1:E442,conf))),p_needs_conf_count,byrow(confs,la"&amp;"mbda(conf,counta('Draft Order'!B$2:B622)-COUNTUNIQUE(filter(D$2:D442,E$2:E442=conf)))),query({confs,confs_count,confs_picked,p_needs_conf_count},""select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4">
      <c r="A444" s="1"/>
      <c r="B444" s="1"/>
      <c r="C444" s="1"/>
      <c r="D444" s="115"/>
      <c r="E444" s="116"/>
      <c r="F444" s="77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13" t="str">
        <f>IFERROR(__xludf.DUMMYFUNCTION("iferror(join("","",index(sort(filter($F$400:$F445,$Q$400:$Q445&gt;$Q444,arrayformula(isnumber(FIND($E$400:$E445,AP444)))),2,false),0,1)))"),"")</f>
        <v/>
      </c>
      <c r="AW444" s="113" t="b">
        <f>IFERROR(__xludf.DUMMYFUNCTION("isnumber(find(""wild card"",join("","",filter($G$1:$G443,$D$1:$D443=D444))))"),FALSE)</f>
        <v>0</v>
      </c>
      <c r="AX444" s="113" t="str">
        <f>IFERROR(__xludf.DUMMYFUNCTION("join("","",let(confs,unique(TRANSPOSe(Teams!$1:$1)), confs_count, BYROW(confs,lambda(conf,xlookup(conf,'Conf WC Eligibility'!A:A,'Conf WC Eligibility'!C:C,,))),confs_picked,byrow(confs,lambda(conf,countif(E$1:E443,conf))),p_needs_conf_count,byrow(confs,la"&amp;"mbda(conf,counta('Draft Order'!B$2:B622)-COUNTUNIQUE(filter(D$2:D443,E$2:E443=conf)))),query({confs,confs_count,confs_picked,p_needs_conf_count},""select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5">
      <c r="A445" s="1"/>
      <c r="B445" s="1"/>
      <c r="C445" s="1"/>
      <c r="D445" s="115"/>
      <c r="E445" s="116"/>
      <c r="F445" s="77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13" t="str">
        <f>IFERROR(__xludf.DUMMYFUNCTION("iferror(join("","",index(sort(filter($F$400:$F446,$Q$400:$Q446&gt;$Q445,arrayformula(isnumber(FIND($E$400:$E446,AP445)))),2,false),0,1)))"),"")</f>
        <v/>
      </c>
      <c r="AW445" s="113" t="b">
        <f>IFERROR(__xludf.DUMMYFUNCTION("isnumber(find(""wild card"",join("","",filter($G$1:$G444,$D$1:$D444=D445))))"),FALSE)</f>
        <v>0</v>
      </c>
      <c r="AX445" s="113" t="str">
        <f>IFERROR(__xludf.DUMMYFUNCTION("join("","",let(confs,unique(TRANSPOSe(Teams!$1:$1)), confs_count, BYROW(confs,lambda(conf,xlookup(conf,'Conf WC Eligibility'!A:A,'Conf WC Eligibility'!C:C,,))),confs_picked,byrow(confs,lambda(conf,countif(E$1:E444,conf))),p_needs_conf_count,byrow(confs,la"&amp;"mbda(conf,counta('Draft Order'!B$2:B622)-COUNTUNIQUE(filter(D$2:D444,E$2:E444=conf)))),query({confs,confs_count,confs_picked,p_needs_conf_count},""select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6">
      <c r="A446" s="1"/>
      <c r="B446" s="1"/>
      <c r="C446" s="1"/>
      <c r="D446" s="115"/>
      <c r="E446" s="116"/>
      <c r="F446" s="77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13" t="str">
        <f>IFERROR(__xludf.DUMMYFUNCTION("iferror(join("","",index(sort(filter($F$400:$F447,$Q$400:$Q447&gt;$Q446,arrayformula(isnumber(FIND($E$400:$E447,AP446)))),2,false),0,1)))"),"")</f>
        <v/>
      </c>
      <c r="AW446" s="113" t="b">
        <f>IFERROR(__xludf.DUMMYFUNCTION("isnumber(find(""wild card"",join("","",filter($G$1:$G445,$D$1:$D445=D446))))"),FALSE)</f>
        <v>0</v>
      </c>
      <c r="AX446" s="113" t="str">
        <f>IFERROR(__xludf.DUMMYFUNCTION("join("","",let(confs,unique(TRANSPOSe(Teams!$1:$1)), confs_count, BYROW(confs,lambda(conf,xlookup(conf,'Conf WC Eligibility'!A:A,'Conf WC Eligibility'!C:C,,))),confs_picked,byrow(confs,lambda(conf,countif(E$1:E445,conf))),p_needs_conf_count,byrow(confs,la"&amp;"mbda(conf,counta('Draft Order'!B$2:B622)-COUNTUNIQUE(filter(D$2:D445,E$2:E445=conf)))),query({confs,confs_count,confs_picked,p_needs_conf_count},""select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7">
      <c r="A447" s="1"/>
      <c r="B447" s="1"/>
      <c r="C447" s="1"/>
      <c r="D447" s="115"/>
      <c r="E447" s="116"/>
      <c r="F447" s="77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13" t="str">
        <f>IFERROR(__xludf.DUMMYFUNCTION("iferror(join("","",index(sort(filter($F$400:$F448,$Q$400:$Q448&gt;$Q447,arrayformula(isnumber(FIND($E$400:$E448,AP447)))),2,false),0,1)))"),"")</f>
        <v/>
      </c>
      <c r="AW447" s="113" t="b">
        <f>IFERROR(__xludf.DUMMYFUNCTION("isnumber(find(""wild card"",join("","",filter($G$1:$G446,$D$1:$D446=D447))))"),FALSE)</f>
        <v>0</v>
      </c>
      <c r="AX447" s="113" t="str">
        <f>IFERROR(__xludf.DUMMYFUNCTION("join("","",let(confs,unique(TRANSPOSe(Teams!$1:$1)), confs_count, BYROW(confs,lambda(conf,xlookup(conf,'Conf WC Eligibility'!A:A,'Conf WC Eligibility'!C:C,,))),confs_picked,byrow(confs,lambda(conf,countif(E$1:E446,conf))),p_needs_conf_count,byrow(confs,la"&amp;"mbda(conf,counta('Draft Order'!B$2:B622)-COUNTUNIQUE(filter(D$2:D446,E$2:E446=conf)))),query({confs,confs_count,confs_picked,p_needs_conf_count},""select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8">
      <c r="A448" s="1"/>
      <c r="B448" s="1"/>
      <c r="C448" s="1"/>
      <c r="D448" s="115"/>
      <c r="E448" s="116"/>
      <c r="F448" s="77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13" t="str">
        <f>IFERROR(__xludf.DUMMYFUNCTION("iferror(join("","",index(sort(filter($F$400:$F449,$Q$400:$Q449&gt;$Q448,arrayformula(isnumber(FIND($E$400:$E449,AP448)))),2,false),0,1)))"),"")</f>
        <v/>
      </c>
      <c r="AW448" s="113" t="b">
        <f>IFERROR(__xludf.DUMMYFUNCTION("isnumber(find(""wild card"",join("","",filter($G$1:$G447,$D$1:$D447=D448))))"),FALSE)</f>
        <v>0</v>
      </c>
      <c r="AX448" s="113" t="str">
        <f>IFERROR(__xludf.DUMMYFUNCTION("join("","",let(confs,unique(TRANSPOSe(Teams!$1:$1)), confs_count, BYROW(confs,lambda(conf,xlookup(conf,'Conf WC Eligibility'!A:A,'Conf WC Eligibility'!C:C,,))),confs_picked,byrow(confs,lambda(conf,countif(E$1:E447,conf))),p_needs_conf_count,byrow(confs,la"&amp;"mbda(conf,counta('Draft Order'!B$2:B622)-COUNTUNIQUE(filter(D$2:D447,E$2:E447=conf)))),query({confs,confs_count,confs_picked,p_needs_conf_count},""select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49">
      <c r="A449" s="1"/>
      <c r="B449" s="1"/>
      <c r="C449" s="1"/>
      <c r="D449" s="115"/>
      <c r="E449" s="116"/>
      <c r="F449" s="77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13" t="str">
        <f>IFERROR(__xludf.DUMMYFUNCTION("iferror(join("","",index(sort(filter($F$400:$F450,$Q$400:$Q450&gt;$Q449,arrayformula(isnumber(FIND($E$400:$E450,AP449)))),2,false),0,1)))"),"")</f>
        <v/>
      </c>
      <c r="AW449" s="113" t="b">
        <f>IFERROR(__xludf.DUMMYFUNCTION("isnumber(find(""wild card"",join("","",filter($G$1:$G448,$D$1:$D448=D449))))"),FALSE)</f>
        <v>0</v>
      </c>
      <c r="AX449" s="113" t="str">
        <f>IFERROR(__xludf.DUMMYFUNCTION("join("","",let(confs,unique(TRANSPOSe(Teams!$1:$1)), confs_count, BYROW(confs,lambda(conf,xlookup(conf,'Conf WC Eligibility'!A:A,'Conf WC Eligibility'!C:C,,))),confs_picked,byrow(confs,lambda(conf,countif(E$1:E448,conf))),p_needs_conf_count,byrow(confs,la"&amp;"mbda(conf,counta('Draft Order'!B$2:B622)-COUNTUNIQUE(filter(D$2:D448,E$2:E448=conf)))),query({confs,confs_count,confs_picked,p_needs_conf_count},""select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0">
      <c r="A450" s="1"/>
      <c r="B450" s="1"/>
      <c r="C450" s="1"/>
      <c r="D450" s="115"/>
      <c r="E450" s="116"/>
      <c r="F450" s="77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13" t="str">
        <f>IFERROR(__xludf.DUMMYFUNCTION("iferror(join("","",index(sort(filter($F$400:$F451,$Q$400:$Q451&gt;$Q450,arrayformula(isnumber(FIND($E$400:$E451,AP450)))),2,false),0,1)))"),"")</f>
        <v/>
      </c>
      <c r="AW450" s="113" t="b">
        <f>IFERROR(__xludf.DUMMYFUNCTION("isnumber(find(""wild card"",join("","",filter($G$1:$G449,$D$1:$D449=D450))))"),FALSE)</f>
        <v>0</v>
      </c>
      <c r="AX450" s="113" t="str">
        <f>IFERROR(__xludf.DUMMYFUNCTION("join("","",let(confs,unique(TRANSPOSe(Teams!$1:$1)), confs_count, BYROW(confs,lambda(conf,xlookup(conf,'Conf WC Eligibility'!A:A,'Conf WC Eligibility'!C:C,,))),confs_picked,byrow(confs,lambda(conf,countif(E$1:E449,conf))),p_needs_conf_count,byrow(confs,la"&amp;"mbda(conf,counta('Draft Order'!B$2:B622)-COUNTUNIQUE(filter(D$2:D449,E$2:E449=conf)))),query({confs,confs_count,confs_picked,p_needs_conf_count},""select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1">
      <c r="A451" s="1"/>
      <c r="B451" s="1"/>
      <c r="C451" s="1"/>
      <c r="D451" s="115"/>
      <c r="E451" s="116"/>
      <c r="F451" s="77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13" t="str">
        <f>IFERROR(__xludf.DUMMYFUNCTION("iferror(join("","",index(sort(filter($F$400:$F452,$Q$400:$Q452&gt;$Q451,arrayformula(isnumber(FIND($E$400:$E452,AP451)))),2,false),0,1)))"),"")</f>
        <v/>
      </c>
      <c r="AW451" s="113" t="b">
        <f>IFERROR(__xludf.DUMMYFUNCTION("isnumber(find(""wild card"",join("","",filter($G$1:$G450,$D$1:$D450=D451))))"),FALSE)</f>
        <v>0</v>
      </c>
      <c r="AX451" s="113" t="str">
        <f>IFERROR(__xludf.DUMMYFUNCTION("join("","",let(confs,unique(TRANSPOSe(Teams!$1:$1)), confs_count, BYROW(confs,lambda(conf,xlookup(conf,'Conf WC Eligibility'!A:A,'Conf WC Eligibility'!C:C,,))),confs_picked,byrow(confs,lambda(conf,countif(E$1:E450,conf))),p_needs_conf_count,byrow(confs,la"&amp;"mbda(conf,counta('Draft Order'!B$2:B622)-COUNTUNIQUE(filter(D$2:D450,E$2:E450=conf)))),query({confs,confs_count,confs_picked,p_needs_conf_count},""select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2">
      <c r="A452" s="1"/>
      <c r="B452" s="1"/>
      <c r="C452" s="1"/>
      <c r="D452" s="115"/>
      <c r="E452" s="116"/>
      <c r="F452" s="77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13" t="str">
        <f>IFERROR(__xludf.DUMMYFUNCTION("iferror(join("","",index(sort(filter($F$400:$F453,$Q$400:$Q453&gt;$Q452,arrayformula(isnumber(FIND($E$400:$E453,AP452)))),2,false),0,1)))"),"")</f>
        <v/>
      </c>
      <c r="AW452" s="113" t="b">
        <f>IFERROR(__xludf.DUMMYFUNCTION("isnumber(find(""wild card"",join("","",filter($G$1:$G451,$D$1:$D451=D452))))"),FALSE)</f>
        <v>0</v>
      </c>
      <c r="AX452" s="113" t="str">
        <f>IFERROR(__xludf.DUMMYFUNCTION("join("","",let(confs,unique(TRANSPOSe(Teams!$1:$1)), confs_count, BYROW(confs,lambda(conf,xlookup(conf,'Conf WC Eligibility'!A:A,'Conf WC Eligibility'!C:C,,))),confs_picked,byrow(confs,lambda(conf,countif(E$1:E451,conf))),p_needs_conf_count,byrow(confs,la"&amp;"mbda(conf,counta('Draft Order'!B$2:B622)-COUNTUNIQUE(filter(D$2:D451,E$2:E451=conf)))),query({confs,confs_count,confs_picked,p_needs_conf_count},""select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3">
      <c r="A453" s="1"/>
      <c r="B453" s="1"/>
      <c r="C453" s="1"/>
      <c r="D453" s="115"/>
      <c r="E453" s="116"/>
      <c r="F453" s="77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13" t="str">
        <f>IFERROR(__xludf.DUMMYFUNCTION("iferror(join("","",index(sort(filter($F$400:$F454,$Q$400:$Q454&gt;$Q453,arrayformula(isnumber(FIND($E$400:$E454,AP453)))),2,false),0,1)))"),"")</f>
        <v/>
      </c>
      <c r="AW453" s="113" t="b">
        <f>IFERROR(__xludf.DUMMYFUNCTION("isnumber(find(""wild card"",join("","",filter($G$1:$G452,$D$1:$D452=D453))))"),FALSE)</f>
        <v>0</v>
      </c>
      <c r="AX453" s="113" t="str">
        <f>IFERROR(__xludf.DUMMYFUNCTION("join("","",let(confs,unique(TRANSPOSe(Teams!$1:$1)), confs_count, BYROW(confs,lambda(conf,xlookup(conf,'Conf WC Eligibility'!A:A,'Conf WC Eligibility'!C:C,,))),confs_picked,byrow(confs,lambda(conf,countif(E$1:E452,conf))),p_needs_conf_count,byrow(confs,la"&amp;"mbda(conf,counta('Draft Order'!B$2:B622)-COUNTUNIQUE(filter(D$2:D452,E$2:E452=conf)))),query({confs,confs_count,confs_picked,p_needs_conf_count},""select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4">
      <c r="A454" s="1"/>
      <c r="B454" s="1"/>
      <c r="C454" s="1"/>
      <c r="D454" s="115"/>
      <c r="E454" s="116"/>
      <c r="F454" s="77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13" t="str">
        <f>IFERROR(__xludf.DUMMYFUNCTION("iferror(join("","",index(sort(filter($F$400:$F455,$Q$400:$Q455&gt;$Q454,arrayformula(isnumber(FIND($E$400:$E455,AP454)))),2,false),0,1)))"),"")</f>
        <v/>
      </c>
      <c r="AW454" s="113" t="b">
        <f>IFERROR(__xludf.DUMMYFUNCTION("isnumber(find(""wild card"",join("","",filter($G$1:$G453,$D$1:$D453=D454))))"),FALSE)</f>
        <v>0</v>
      </c>
      <c r="AX454" s="113" t="str">
        <f>IFERROR(__xludf.DUMMYFUNCTION("join("","",let(confs,unique(TRANSPOSe(Teams!$1:$1)), confs_count, BYROW(confs,lambda(conf,xlookup(conf,'Conf WC Eligibility'!A:A,'Conf WC Eligibility'!C:C,,))),confs_picked,byrow(confs,lambda(conf,countif(E$1:E453,conf))),p_needs_conf_count,byrow(confs,la"&amp;"mbda(conf,counta('Draft Order'!B$2:B622)-COUNTUNIQUE(filter(D$2:D453,E$2:E453=conf)))),query({confs,confs_count,confs_picked,p_needs_conf_count},""select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5">
      <c r="A455" s="1"/>
      <c r="B455" s="1"/>
      <c r="C455" s="1"/>
      <c r="D455" s="115"/>
      <c r="E455" s="116"/>
      <c r="F455" s="77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13" t="str">
        <f>IFERROR(__xludf.DUMMYFUNCTION("iferror(join("","",index(sort(filter($F$400:$F456,$Q$400:$Q456&gt;$Q455,arrayformula(isnumber(FIND($E$400:$E456,AP455)))),2,false),0,1)))"),"")</f>
        <v/>
      </c>
      <c r="AW455" s="113" t="b">
        <f>IFERROR(__xludf.DUMMYFUNCTION("isnumber(find(""wild card"",join("","",filter($G$1:$G454,$D$1:$D454=D455))))"),FALSE)</f>
        <v>0</v>
      </c>
      <c r="AX455" s="113" t="str">
        <f>IFERROR(__xludf.DUMMYFUNCTION("join("","",let(confs,unique(TRANSPOSe(Teams!$1:$1)), confs_count, BYROW(confs,lambda(conf,xlookup(conf,'Conf WC Eligibility'!A:A,'Conf WC Eligibility'!C:C,,))),confs_picked,byrow(confs,lambda(conf,countif(E$1:E454,conf))),p_needs_conf_count,byrow(confs,la"&amp;"mbda(conf,counta('Draft Order'!B$2:B622)-COUNTUNIQUE(filter(D$2:D454,E$2:E454=conf)))),query({confs,confs_count,confs_picked,p_needs_conf_count},""select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6">
      <c r="A456" s="1"/>
      <c r="B456" s="1"/>
      <c r="C456" s="1"/>
      <c r="D456" s="115"/>
      <c r="E456" s="116"/>
      <c r="F456" s="77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13" t="str">
        <f>IFERROR(__xludf.DUMMYFUNCTION("iferror(join("","",index(sort(filter($F$400:$F457,$Q$400:$Q457&gt;$Q456,arrayformula(isnumber(FIND($E$400:$E457,AP456)))),2,false),0,1)))"),"")</f>
        <v/>
      </c>
      <c r="AW456" s="113" t="b">
        <f>IFERROR(__xludf.DUMMYFUNCTION("isnumber(find(""wild card"",join("","",filter($G$1:$G455,$D$1:$D455=D456))))"),FALSE)</f>
        <v>0</v>
      </c>
      <c r="AX456" s="113" t="str">
        <f>IFERROR(__xludf.DUMMYFUNCTION("join("","",let(confs,unique(TRANSPOSe(Teams!$1:$1)), confs_count, BYROW(confs,lambda(conf,xlookup(conf,'Conf WC Eligibility'!A:A,'Conf WC Eligibility'!C:C,,))),confs_picked,byrow(confs,lambda(conf,countif(E$1:E455,conf))),p_needs_conf_count,byrow(confs,la"&amp;"mbda(conf,counta('Draft Order'!B$2:B622)-COUNTUNIQUE(filter(D$2:D455,E$2:E455=conf)))),query({confs,confs_count,confs_picked,p_needs_conf_count},""select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7">
      <c r="A457" s="1"/>
      <c r="B457" s="1"/>
      <c r="C457" s="1"/>
      <c r="D457" s="115"/>
      <c r="E457" s="116"/>
      <c r="F457" s="77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13" t="str">
        <f>IFERROR(__xludf.DUMMYFUNCTION("iferror(join("","",index(sort(filter($F$400:$F458,$Q$400:$Q458&gt;$Q457,arrayformula(isnumber(FIND($E$400:$E458,AP457)))),2,false),0,1)))"),"")</f>
        <v/>
      </c>
      <c r="AW457" s="113" t="b">
        <f>IFERROR(__xludf.DUMMYFUNCTION("isnumber(find(""wild card"",join("","",filter($G$1:$G456,$D$1:$D456=D457))))"),FALSE)</f>
        <v>0</v>
      </c>
      <c r="AX457" s="113" t="str">
        <f>IFERROR(__xludf.DUMMYFUNCTION("join("","",let(confs,unique(TRANSPOSe(Teams!$1:$1)), confs_count, BYROW(confs,lambda(conf,xlookup(conf,'Conf WC Eligibility'!A:A,'Conf WC Eligibility'!C:C,,))),confs_picked,byrow(confs,lambda(conf,countif(E$1:E456,conf))),p_needs_conf_count,byrow(confs,la"&amp;"mbda(conf,counta('Draft Order'!B$2:B622)-COUNTUNIQUE(filter(D$2:D456,E$2:E456=conf)))),query({confs,confs_count,confs_picked,p_needs_conf_count},""select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8">
      <c r="A458" s="1"/>
      <c r="B458" s="1"/>
      <c r="C458" s="1"/>
      <c r="D458" s="115"/>
      <c r="E458" s="116"/>
      <c r="F458" s="77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13" t="str">
        <f>IFERROR(__xludf.DUMMYFUNCTION("iferror(join("","",index(sort(filter($F$400:$F459,$Q$400:$Q459&gt;$Q458,arrayformula(isnumber(FIND($E$400:$E459,AP458)))),2,false),0,1)))"),"")</f>
        <v/>
      </c>
      <c r="AW458" s="113" t="b">
        <f>IFERROR(__xludf.DUMMYFUNCTION("isnumber(find(""wild card"",join("","",filter($G$1:$G457,$D$1:$D457=D458))))"),FALSE)</f>
        <v>0</v>
      </c>
      <c r="AX458" s="113" t="str">
        <f>IFERROR(__xludf.DUMMYFUNCTION("join("","",let(confs,unique(TRANSPOSe(Teams!$1:$1)), confs_count, BYROW(confs,lambda(conf,xlookup(conf,'Conf WC Eligibility'!A:A,'Conf WC Eligibility'!C:C,,))),confs_picked,byrow(confs,lambda(conf,countif(E$1:E457,conf))),p_needs_conf_count,byrow(confs,la"&amp;"mbda(conf,counta('Draft Order'!B$2:B622)-COUNTUNIQUE(filter(D$2:D457,E$2:E457=conf)))),query({confs,confs_count,confs_picked,p_needs_conf_count},""select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59">
      <c r="A459" s="1"/>
      <c r="B459" s="1"/>
      <c r="C459" s="1"/>
      <c r="D459" s="115"/>
      <c r="E459" s="116"/>
      <c r="F459" s="77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13" t="str">
        <f>IFERROR(__xludf.DUMMYFUNCTION("iferror(join("","",index(sort(filter($F$400:$F460,$Q$400:$Q460&gt;$Q459,arrayformula(isnumber(FIND($E$400:$E460,AP459)))),2,false),0,1)))"),"")</f>
        <v/>
      </c>
      <c r="AW459" s="113" t="b">
        <f>IFERROR(__xludf.DUMMYFUNCTION("isnumber(find(""wild card"",join("","",filter($G$1:$G458,$D$1:$D458=D459))))"),FALSE)</f>
        <v>0</v>
      </c>
      <c r="AX459" s="113" t="str">
        <f>IFERROR(__xludf.DUMMYFUNCTION("join("","",let(confs,unique(TRANSPOSe(Teams!$1:$1)), confs_count, BYROW(confs,lambda(conf,xlookup(conf,'Conf WC Eligibility'!A:A,'Conf WC Eligibility'!C:C,,))),confs_picked,byrow(confs,lambda(conf,countif(E$1:E458,conf))),p_needs_conf_count,byrow(confs,la"&amp;"mbda(conf,counta('Draft Order'!B$2:B622)-COUNTUNIQUE(filter(D$2:D458,E$2:E458=conf)))),query({confs,confs_count,confs_picked,p_needs_conf_count},""select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0">
      <c r="A460" s="1"/>
      <c r="B460" s="1"/>
      <c r="C460" s="1"/>
      <c r="D460" s="115"/>
      <c r="E460" s="116"/>
      <c r="F460" s="77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13" t="str">
        <f>IFERROR(__xludf.DUMMYFUNCTION("iferror(join("","",index(sort(filter($F$400:$F461,$Q$400:$Q461&gt;$Q460,arrayformula(isnumber(FIND($E$400:$E461,AP460)))),2,false),0,1)))"),"")</f>
        <v/>
      </c>
      <c r="AW460" s="113" t="b">
        <f>IFERROR(__xludf.DUMMYFUNCTION("isnumber(find(""wild card"",join("","",filter($G$1:$G459,$D$1:$D459=D460))))"),FALSE)</f>
        <v>0</v>
      </c>
      <c r="AX460" s="113" t="str">
        <f>IFERROR(__xludf.DUMMYFUNCTION("join("","",let(confs,unique(TRANSPOSe(Teams!$1:$1)), confs_count, BYROW(confs,lambda(conf,xlookup(conf,'Conf WC Eligibility'!A:A,'Conf WC Eligibility'!C:C,,))),confs_picked,byrow(confs,lambda(conf,countif(E$1:E459,conf))),p_needs_conf_count,byrow(confs,la"&amp;"mbda(conf,counta('Draft Order'!B$2:B622)-COUNTUNIQUE(filter(D$2:D459,E$2:E459=conf)))),query({confs,confs_count,confs_picked,p_needs_conf_count},""select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1">
      <c r="A461" s="1"/>
      <c r="B461" s="1"/>
      <c r="C461" s="1"/>
      <c r="D461" s="115"/>
      <c r="E461" s="116"/>
      <c r="F461" s="77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13" t="str">
        <f>IFERROR(__xludf.DUMMYFUNCTION("iferror(join("","",index(sort(filter($F$400:$F462,$Q$400:$Q462&gt;$Q461,arrayformula(isnumber(FIND($E$400:$E462,AP461)))),2,false),0,1)))"),"")</f>
        <v/>
      </c>
      <c r="AW461" s="113" t="b">
        <f>IFERROR(__xludf.DUMMYFUNCTION("isnumber(find(""wild card"",join("","",filter($G$1:$G460,$D$1:$D460=D461))))"),FALSE)</f>
        <v>0</v>
      </c>
      <c r="AX461" s="113" t="str">
        <f>IFERROR(__xludf.DUMMYFUNCTION("join("","",let(confs,unique(TRANSPOSe(Teams!$1:$1)), confs_count, BYROW(confs,lambda(conf,xlookup(conf,'Conf WC Eligibility'!A:A,'Conf WC Eligibility'!C:C,,))),confs_picked,byrow(confs,lambda(conf,countif(E$1:E460,conf))),p_needs_conf_count,byrow(confs,la"&amp;"mbda(conf,counta('Draft Order'!B$2:B622)-COUNTUNIQUE(filter(D$2:D460,E$2:E460=conf)))),query({confs,confs_count,confs_picked,p_needs_conf_count},""select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2">
      <c r="A462" s="1"/>
      <c r="B462" s="1"/>
      <c r="C462" s="1"/>
      <c r="D462" s="115"/>
      <c r="E462" s="116"/>
      <c r="F462" s="77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13" t="str">
        <f>IFERROR(__xludf.DUMMYFUNCTION("iferror(join("","",index(sort(filter($F$400:$F463,$Q$400:$Q463&gt;$Q462,arrayformula(isnumber(FIND($E$400:$E463,AP462)))),2,false),0,1)))"),"")</f>
        <v/>
      </c>
      <c r="AW462" s="113" t="b">
        <f>IFERROR(__xludf.DUMMYFUNCTION("isnumber(find(""wild card"",join("","",filter($G$1:$G461,$D$1:$D461=D462))))"),FALSE)</f>
        <v>0</v>
      </c>
      <c r="AX462" s="113" t="str">
        <f>IFERROR(__xludf.DUMMYFUNCTION("join("","",let(confs,unique(TRANSPOSe(Teams!$1:$1)), confs_count, BYROW(confs,lambda(conf,xlookup(conf,'Conf WC Eligibility'!A:A,'Conf WC Eligibility'!C:C,,))),confs_picked,byrow(confs,lambda(conf,countif(E$1:E461,conf))),p_needs_conf_count,byrow(confs,la"&amp;"mbda(conf,counta('Draft Order'!B$2:B622)-COUNTUNIQUE(filter(D$2:D461,E$2:E461=conf)))),query({confs,confs_count,confs_picked,p_needs_conf_count},""select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3">
      <c r="A463" s="1"/>
      <c r="B463" s="1"/>
      <c r="C463" s="1"/>
      <c r="D463" s="115"/>
      <c r="E463" s="116"/>
      <c r="F463" s="77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13" t="str">
        <f>IFERROR(__xludf.DUMMYFUNCTION("iferror(join("","",index(sort(filter($F$400:$F464,$Q$400:$Q464&gt;$Q463,arrayformula(isnumber(FIND($E$400:$E464,AP463)))),2,false),0,1)))"),"")</f>
        <v/>
      </c>
      <c r="AW463" s="113" t="b">
        <f>IFERROR(__xludf.DUMMYFUNCTION("isnumber(find(""wild card"",join("","",filter($G$1:$G462,$D$1:$D462=D463))))"),FALSE)</f>
        <v>0</v>
      </c>
      <c r="AX463" s="113" t="str">
        <f>IFERROR(__xludf.DUMMYFUNCTION("join("","",let(confs,unique(TRANSPOSe(Teams!$1:$1)), confs_count, BYROW(confs,lambda(conf,xlookup(conf,'Conf WC Eligibility'!A:A,'Conf WC Eligibility'!C:C,,))),confs_picked,byrow(confs,lambda(conf,countif(E$1:E462,conf))),p_needs_conf_count,byrow(confs,la"&amp;"mbda(conf,counta('Draft Order'!B$2:B622)-COUNTUNIQUE(filter(D$2:D462,E$2:E462=conf)))),query({confs,confs_count,confs_picked,p_needs_conf_count},""select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4">
      <c r="A464" s="1"/>
      <c r="B464" s="1"/>
      <c r="C464" s="1"/>
      <c r="D464" s="115"/>
      <c r="E464" s="116"/>
      <c r="F464" s="77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13" t="str">
        <f>IFERROR(__xludf.DUMMYFUNCTION("iferror(join("","",index(sort(filter($F$400:$F465,$Q$400:$Q465&gt;$Q464,arrayformula(isnumber(FIND($E$400:$E465,AP464)))),2,false),0,1)))"),"")</f>
        <v/>
      </c>
      <c r="AW464" s="113" t="b">
        <f>IFERROR(__xludf.DUMMYFUNCTION("isnumber(find(""wild card"",join("","",filter($G$1:$G463,$D$1:$D463=D464))))"),FALSE)</f>
        <v>0</v>
      </c>
      <c r="AX464" s="113" t="str">
        <f>IFERROR(__xludf.DUMMYFUNCTION("join("","",let(confs,unique(TRANSPOSe(Teams!$1:$1)), confs_count, BYROW(confs,lambda(conf,xlookup(conf,'Conf WC Eligibility'!A:A,'Conf WC Eligibility'!C:C,,))),confs_picked,byrow(confs,lambda(conf,countif(E$1:E463,conf))),p_needs_conf_count,byrow(confs,la"&amp;"mbda(conf,counta('Draft Order'!B$2:B622)-COUNTUNIQUE(filter(D$2:D463,E$2:E463=conf)))),query({confs,confs_count,confs_picked,p_needs_conf_count},""select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5">
      <c r="A465" s="1"/>
      <c r="B465" s="1"/>
      <c r="C465" s="1"/>
      <c r="D465" s="115"/>
      <c r="E465" s="116"/>
      <c r="F465" s="77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13" t="str">
        <f>IFERROR(__xludf.DUMMYFUNCTION("iferror(join("","",index(sort(filter($F$400:$F466,$Q$400:$Q466&gt;$Q465,arrayformula(isnumber(FIND($E$400:$E466,AP465)))),2,false),0,1)))"),"")</f>
        <v/>
      </c>
      <c r="AW465" s="113" t="b">
        <f>IFERROR(__xludf.DUMMYFUNCTION("isnumber(find(""wild card"",join("","",filter($G$1:$G464,$D$1:$D464=D465))))"),FALSE)</f>
        <v>0</v>
      </c>
      <c r="AX465" s="113" t="str">
        <f>IFERROR(__xludf.DUMMYFUNCTION("join("","",let(confs,unique(TRANSPOSe(Teams!$1:$1)), confs_count, BYROW(confs,lambda(conf,xlookup(conf,'Conf WC Eligibility'!A:A,'Conf WC Eligibility'!C:C,,))),confs_picked,byrow(confs,lambda(conf,countif(E$1:E464,conf))),p_needs_conf_count,byrow(confs,la"&amp;"mbda(conf,counta('Draft Order'!B$2:B622)-COUNTUNIQUE(filter(D$2:D464,E$2:E464=conf)))),query({confs,confs_count,confs_picked,p_needs_conf_count},""select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6">
      <c r="A466" s="1"/>
      <c r="B466" s="1"/>
      <c r="C466" s="1"/>
      <c r="D466" s="115"/>
      <c r="E466" s="116"/>
      <c r="F466" s="77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13" t="str">
        <f>IFERROR(__xludf.DUMMYFUNCTION("iferror(join("","",index(sort(filter($F$400:$F467,$Q$400:$Q467&gt;$Q466,arrayformula(isnumber(FIND($E$400:$E467,AP466)))),2,false),0,1)))"),"")</f>
        <v/>
      </c>
      <c r="AW466" s="113" t="b">
        <f>IFERROR(__xludf.DUMMYFUNCTION("isnumber(find(""wild card"",join("","",filter($G$1:$G465,$D$1:$D465=D466))))"),FALSE)</f>
        <v>0</v>
      </c>
      <c r="AX466" s="113" t="str">
        <f>IFERROR(__xludf.DUMMYFUNCTION("join("","",let(confs,unique(TRANSPOSe(Teams!$1:$1)), confs_count, BYROW(confs,lambda(conf,xlookup(conf,'Conf WC Eligibility'!A:A,'Conf WC Eligibility'!C:C,,))),confs_picked,byrow(confs,lambda(conf,countif(E$1:E465,conf))),p_needs_conf_count,byrow(confs,la"&amp;"mbda(conf,counta('Draft Order'!B$2:B622)-COUNTUNIQUE(filter(D$2:D465,E$2:E465=conf)))),query({confs,confs_count,confs_picked,p_needs_conf_count},""select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7">
      <c r="A467" s="1"/>
      <c r="B467" s="1"/>
      <c r="C467" s="1"/>
      <c r="D467" s="115"/>
      <c r="E467" s="116"/>
      <c r="F467" s="77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13" t="str">
        <f>IFERROR(__xludf.DUMMYFUNCTION("iferror(join("","",index(sort(filter($F$400:$F468,$Q$400:$Q468&gt;$Q467,arrayformula(isnumber(FIND($E$400:$E468,AP467)))),2,false),0,1)))"),"")</f>
        <v/>
      </c>
      <c r="AW467" s="113" t="b">
        <f>IFERROR(__xludf.DUMMYFUNCTION("isnumber(find(""wild card"",join("","",filter($G$1:$G466,$D$1:$D466=D467))))"),FALSE)</f>
        <v>0</v>
      </c>
      <c r="AX467" s="113" t="str">
        <f>IFERROR(__xludf.DUMMYFUNCTION("join("","",let(confs,unique(TRANSPOSe(Teams!$1:$1)), confs_count, BYROW(confs,lambda(conf,xlookup(conf,'Conf WC Eligibility'!A:A,'Conf WC Eligibility'!C:C,,))),confs_picked,byrow(confs,lambda(conf,countif(E$1:E466,conf))),p_needs_conf_count,byrow(confs,la"&amp;"mbda(conf,counta('Draft Order'!B$2:B622)-COUNTUNIQUE(filter(D$2:D466,E$2:E466=conf)))),query({confs,confs_count,confs_picked,p_needs_conf_count},""select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8">
      <c r="A468" s="1"/>
      <c r="B468" s="1"/>
      <c r="C468" s="1"/>
      <c r="D468" s="115"/>
      <c r="E468" s="116"/>
      <c r="F468" s="77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13" t="str">
        <f>IFERROR(__xludf.DUMMYFUNCTION("iferror(join("","",index(sort(filter($F$400:$F469,$Q$400:$Q469&gt;$Q468,arrayformula(isnumber(FIND($E$400:$E469,AP468)))),2,false),0,1)))"),"")</f>
        <v/>
      </c>
      <c r="AW468" s="113" t="b">
        <f>IFERROR(__xludf.DUMMYFUNCTION("isnumber(find(""wild card"",join("","",filter($G$1:$G467,$D$1:$D467=D468))))"),FALSE)</f>
        <v>0</v>
      </c>
      <c r="AX468" s="113" t="str">
        <f>IFERROR(__xludf.DUMMYFUNCTION("join("","",let(confs,unique(TRANSPOSe(Teams!$1:$1)), confs_count, BYROW(confs,lambda(conf,xlookup(conf,'Conf WC Eligibility'!A:A,'Conf WC Eligibility'!C:C,,))),confs_picked,byrow(confs,lambda(conf,countif(E$1:E467,conf))),p_needs_conf_count,byrow(confs,la"&amp;"mbda(conf,counta('Draft Order'!B$2:B622)-COUNTUNIQUE(filter(D$2:D467,E$2:E467=conf)))),query({confs,confs_count,confs_picked,p_needs_conf_count},""select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69">
      <c r="A469" s="1"/>
      <c r="B469" s="1"/>
      <c r="C469" s="1"/>
      <c r="D469" s="115"/>
      <c r="E469" s="116"/>
      <c r="F469" s="77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13" t="str">
        <f>IFERROR(__xludf.DUMMYFUNCTION("iferror(join("","",index(sort(filter($F$400:$F470,$Q$400:$Q470&gt;$Q469,arrayformula(isnumber(FIND($E$400:$E470,AP469)))),2,false),0,1)))"),"")</f>
        <v/>
      </c>
      <c r="AW469" s="113" t="b">
        <f>IFERROR(__xludf.DUMMYFUNCTION("isnumber(find(""wild card"",join("","",filter($G$1:$G468,$D$1:$D468=D469))))"),FALSE)</f>
        <v>0</v>
      </c>
      <c r="AX469" s="113" t="str">
        <f>IFERROR(__xludf.DUMMYFUNCTION("join("","",let(confs,unique(TRANSPOSe(Teams!$1:$1)), confs_count, BYROW(confs,lambda(conf,xlookup(conf,'Conf WC Eligibility'!A:A,'Conf WC Eligibility'!C:C,,))),confs_picked,byrow(confs,lambda(conf,countif(E$1:E468,conf))),p_needs_conf_count,byrow(confs,la"&amp;"mbda(conf,counta('Draft Order'!B$2:B622)-COUNTUNIQUE(filter(D$2:D468,E$2:E468=conf)))),query({confs,confs_count,confs_picked,p_needs_conf_count},""select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0">
      <c r="A470" s="1"/>
      <c r="B470" s="1"/>
      <c r="C470" s="1"/>
      <c r="D470" s="115"/>
      <c r="E470" s="116"/>
      <c r="F470" s="77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13" t="str">
        <f>IFERROR(__xludf.DUMMYFUNCTION("iferror(join("","",index(sort(filter($F$400:$F471,$Q$400:$Q471&gt;$Q470,arrayformula(isnumber(FIND($E$400:$E471,AP470)))),2,false),0,1)))"),"")</f>
        <v/>
      </c>
      <c r="AW470" s="113" t="b">
        <f>IFERROR(__xludf.DUMMYFUNCTION("isnumber(find(""wild card"",join("","",filter($G$1:$G469,$D$1:$D469=D470))))"),FALSE)</f>
        <v>0</v>
      </c>
      <c r="AX470" s="113" t="str">
        <f>IFERROR(__xludf.DUMMYFUNCTION("join("","",let(confs,unique(TRANSPOSe(Teams!$1:$1)), confs_count, BYROW(confs,lambda(conf,xlookup(conf,'Conf WC Eligibility'!A:A,'Conf WC Eligibility'!C:C,,))),confs_picked,byrow(confs,lambda(conf,countif(E$1:E469,conf))),p_needs_conf_count,byrow(confs,la"&amp;"mbda(conf,counta('Draft Order'!B$2:B622)-COUNTUNIQUE(filter(D$2:D469,E$2:E469=conf)))),query({confs,confs_count,confs_picked,p_needs_conf_count},""select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1">
      <c r="A471" s="1"/>
      <c r="B471" s="1"/>
      <c r="C471" s="1"/>
      <c r="D471" s="115"/>
      <c r="E471" s="116"/>
      <c r="F471" s="77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13" t="str">
        <f>IFERROR(__xludf.DUMMYFUNCTION("iferror(join("","",index(sort(filter($F$400:$F472,$Q$400:$Q472&gt;$Q471,arrayformula(isnumber(FIND($E$400:$E472,AP471)))),2,false),0,1)))"),"")</f>
        <v/>
      </c>
      <c r="AW471" s="113" t="b">
        <f>IFERROR(__xludf.DUMMYFUNCTION("isnumber(find(""wild card"",join("","",filter($G$1:$G470,$D$1:$D470=D471))))"),FALSE)</f>
        <v>0</v>
      </c>
      <c r="AX471" s="113" t="str">
        <f>IFERROR(__xludf.DUMMYFUNCTION("join("","",let(confs,unique(TRANSPOSe(Teams!$1:$1)), confs_count, BYROW(confs,lambda(conf,xlookup(conf,'Conf WC Eligibility'!A:A,'Conf WC Eligibility'!C:C,,))),confs_picked,byrow(confs,lambda(conf,countif(E$1:E470,conf))),p_needs_conf_count,byrow(confs,la"&amp;"mbda(conf,counta('Draft Order'!B$2:B622)-COUNTUNIQUE(filter(D$2:D470,E$2:E470=conf)))),query({confs,confs_count,confs_picked,p_needs_conf_count},""select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2">
      <c r="A472" s="1"/>
      <c r="B472" s="1"/>
      <c r="C472" s="1"/>
      <c r="D472" s="115"/>
      <c r="E472" s="116"/>
      <c r="F472" s="77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13" t="str">
        <f>IFERROR(__xludf.DUMMYFUNCTION("iferror(join("","",index(sort(filter($F$400:$F473,$Q$400:$Q473&gt;$Q472,arrayformula(isnumber(FIND($E$400:$E473,AP472)))),2,false),0,1)))"),"")</f>
        <v/>
      </c>
      <c r="AW472" s="113" t="b">
        <f>IFERROR(__xludf.DUMMYFUNCTION("isnumber(find(""wild card"",join("","",filter($G$1:$G471,$D$1:$D471=D472))))"),FALSE)</f>
        <v>0</v>
      </c>
      <c r="AX472" s="113" t="str">
        <f>IFERROR(__xludf.DUMMYFUNCTION("join("","",let(confs,unique(TRANSPOSe(Teams!$1:$1)), confs_count, BYROW(confs,lambda(conf,xlookup(conf,'Conf WC Eligibility'!A:A,'Conf WC Eligibility'!C:C,,))),confs_picked,byrow(confs,lambda(conf,countif(E$1:E471,conf))),p_needs_conf_count,byrow(confs,la"&amp;"mbda(conf,counta('Draft Order'!B$2:B622)-COUNTUNIQUE(filter(D$2:D471,E$2:E471=conf)))),query({confs,confs_count,confs_picked,p_needs_conf_count},""select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3">
      <c r="A473" s="1"/>
      <c r="B473" s="1"/>
      <c r="C473" s="1"/>
      <c r="D473" s="115"/>
      <c r="E473" s="116"/>
      <c r="F473" s="77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13" t="str">
        <f>IFERROR(__xludf.DUMMYFUNCTION("iferror(join("","",index(sort(filter($F$400:$F474,$Q$400:$Q474&gt;$Q473,arrayformula(isnumber(FIND($E$400:$E474,AP473)))),2,false),0,1)))"),"")</f>
        <v/>
      </c>
      <c r="AW473" s="113" t="b">
        <f>IFERROR(__xludf.DUMMYFUNCTION("isnumber(find(""wild card"",join("","",filter($G$1:$G472,$D$1:$D472=D473))))"),FALSE)</f>
        <v>0</v>
      </c>
      <c r="AX473" s="113" t="str">
        <f>IFERROR(__xludf.DUMMYFUNCTION("join("","",let(confs,unique(TRANSPOSe(Teams!$1:$1)), confs_count, BYROW(confs,lambda(conf,xlookup(conf,'Conf WC Eligibility'!A:A,'Conf WC Eligibility'!C:C,,))),confs_picked,byrow(confs,lambda(conf,countif(E$1:E472,conf))),p_needs_conf_count,byrow(confs,la"&amp;"mbda(conf,counta('Draft Order'!B$2:B622)-COUNTUNIQUE(filter(D$2:D472,E$2:E472=conf)))),query({confs,confs_count,confs_picked,p_needs_conf_count},""select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4">
      <c r="A474" s="1"/>
      <c r="B474" s="1"/>
      <c r="C474" s="1"/>
      <c r="D474" s="115"/>
      <c r="E474" s="116"/>
      <c r="F474" s="77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13" t="str">
        <f>IFERROR(__xludf.DUMMYFUNCTION("iferror(join("","",index(sort(filter($F$400:$F475,$Q$400:$Q475&gt;$Q474,arrayformula(isnumber(FIND($E$400:$E475,AP474)))),2,false),0,1)))"),"")</f>
        <v/>
      </c>
      <c r="AW474" s="113" t="b">
        <f>IFERROR(__xludf.DUMMYFUNCTION("isnumber(find(""wild card"",join("","",filter($G$1:$G473,$D$1:$D473=D474))))"),FALSE)</f>
        <v>0</v>
      </c>
      <c r="AX474" s="113" t="str">
        <f>IFERROR(__xludf.DUMMYFUNCTION("join("","",let(confs,unique(TRANSPOSe(Teams!$1:$1)), confs_count, BYROW(confs,lambda(conf,xlookup(conf,'Conf WC Eligibility'!A:A,'Conf WC Eligibility'!C:C,,))),confs_picked,byrow(confs,lambda(conf,countif(E$1:E473,conf))),p_needs_conf_count,byrow(confs,la"&amp;"mbda(conf,counta('Draft Order'!B$2:B622)-COUNTUNIQUE(filter(D$2:D473,E$2:E473=conf)))),query({confs,confs_count,confs_picked,p_needs_conf_count},""select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5">
      <c r="A475" s="1"/>
      <c r="B475" s="1"/>
      <c r="C475" s="1"/>
      <c r="D475" s="115"/>
      <c r="E475" s="116"/>
      <c r="F475" s="77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13" t="str">
        <f>IFERROR(__xludf.DUMMYFUNCTION("iferror(join("","",index(sort(filter($F$400:$F476,$Q$400:$Q476&gt;$Q475,arrayformula(isnumber(FIND($E$400:$E476,AP475)))),2,false),0,1)))"),"")</f>
        <v/>
      </c>
      <c r="AW475" s="113" t="b">
        <f>IFERROR(__xludf.DUMMYFUNCTION("isnumber(find(""wild card"",join("","",filter($G$1:$G474,$D$1:$D474=D475))))"),FALSE)</f>
        <v>0</v>
      </c>
      <c r="AX475" s="113" t="str">
        <f>IFERROR(__xludf.DUMMYFUNCTION("join("","",let(confs,unique(TRANSPOSe(Teams!$1:$1)), confs_count, BYROW(confs,lambda(conf,xlookup(conf,'Conf WC Eligibility'!A:A,'Conf WC Eligibility'!C:C,,))),confs_picked,byrow(confs,lambda(conf,countif(E$1:E474,conf))),p_needs_conf_count,byrow(confs,la"&amp;"mbda(conf,counta('Draft Order'!B$2:B622)-COUNTUNIQUE(filter(D$2:D474,E$2:E474=conf)))),query({confs,confs_count,confs_picked,p_needs_conf_count},""select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6">
      <c r="A476" s="1"/>
      <c r="B476" s="1"/>
      <c r="C476" s="1"/>
      <c r="D476" s="115"/>
      <c r="E476" s="116"/>
      <c r="F476" s="77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13" t="str">
        <f>IFERROR(__xludf.DUMMYFUNCTION("iferror(join("","",index(sort(filter($F$400:$F477,$Q$400:$Q477&gt;$Q476,arrayformula(isnumber(FIND($E$400:$E477,AP476)))),2,false),0,1)))"),"")</f>
        <v/>
      </c>
      <c r="AW476" s="113" t="b">
        <f>IFERROR(__xludf.DUMMYFUNCTION("isnumber(find(""wild card"",join("","",filter($G$1:$G475,$D$1:$D475=D476))))"),FALSE)</f>
        <v>0</v>
      </c>
      <c r="AX476" s="113" t="str">
        <f>IFERROR(__xludf.DUMMYFUNCTION("join("","",let(confs,unique(TRANSPOSe(Teams!$1:$1)), confs_count, BYROW(confs,lambda(conf,xlookup(conf,'Conf WC Eligibility'!A:A,'Conf WC Eligibility'!C:C,,))),confs_picked,byrow(confs,lambda(conf,countif(E$1:E475,conf))),p_needs_conf_count,byrow(confs,la"&amp;"mbda(conf,counta('Draft Order'!B$2:B622)-COUNTUNIQUE(filter(D$2:D475,E$2:E475=conf)))),query({confs,confs_count,confs_picked,p_needs_conf_count},""select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7">
      <c r="A477" s="1"/>
      <c r="B477" s="1"/>
      <c r="C477" s="1"/>
      <c r="D477" s="115"/>
      <c r="E477" s="116"/>
      <c r="F477" s="77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13" t="str">
        <f>IFERROR(__xludf.DUMMYFUNCTION("iferror(join("","",index(sort(filter($F$400:$F478,$Q$400:$Q478&gt;$Q477,arrayformula(isnumber(FIND($E$400:$E478,AP477)))),2,false),0,1)))"),"")</f>
        <v/>
      </c>
      <c r="AW477" s="113" t="b">
        <f>IFERROR(__xludf.DUMMYFUNCTION("isnumber(find(""wild card"",join("","",filter($G$1:$G476,$D$1:$D476=D477))))"),FALSE)</f>
        <v>0</v>
      </c>
      <c r="AX477" s="113" t="str">
        <f>IFERROR(__xludf.DUMMYFUNCTION("join("","",let(confs,unique(TRANSPOSe(Teams!$1:$1)), confs_count, BYROW(confs,lambda(conf,xlookup(conf,'Conf WC Eligibility'!A:A,'Conf WC Eligibility'!C:C,,))),confs_picked,byrow(confs,lambda(conf,countif(E$1:E476,conf))),p_needs_conf_count,byrow(confs,la"&amp;"mbda(conf,counta('Draft Order'!B$2:B622)-COUNTUNIQUE(filter(D$2:D476,E$2:E476=conf)))),query({confs,confs_count,confs_picked,p_needs_conf_count},""select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8">
      <c r="A478" s="1"/>
      <c r="B478" s="1"/>
      <c r="C478" s="1"/>
      <c r="D478" s="115"/>
      <c r="E478" s="116"/>
      <c r="F478" s="77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13" t="str">
        <f>IFERROR(__xludf.DUMMYFUNCTION("iferror(join("","",index(sort(filter($F$400:$F479,$Q$400:$Q479&gt;$Q478,arrayformula(isnumber(FIND($E$400:$E479,AP478)))),2,false),0,1)))"),"")</f>
        <v/>
      </c>
      <c r="AW478" s="113" t="b">
        <f>IFERROR(__xludf.DUMMYFUNCTION("isnumber(find(""wild card"",join("","",filter($G$1:$G477,$D$1:$D477=D478))))"),FALSE)</f>
        <v>0</v>
      </c>
      <c r="AX478" s="113" t="str">
        <f>IFERROR(__xludf.DUMMYFUNCTION("join("","",let(confs,unique(TRANSPOSe(Teams!$1:$1)), confs_count, BYROW(confs,lambda(conf,xlookup(conf,'Conf WC Eligibility'!A:A,'Conf WC Eligibility'!C:C,,))),confs_picked,byrow(confs,lambda(conf,countif(E$1:E477,conf))),p_needs_conf_count,byrow(confs,la"&amp;"mbda(conf,counta('Draft Order'!B$2:B622)-COUNTUNIQUE(filter(D$2:D477,E$2:E477=conf)))),query({confs,confs_count,confs_picked,p_needs_conf_count},""select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79">
      <c r="A479" s="1"/>
      <c r="B479" s="1"/>
      <c r="C479" s="1"/>
      <c r="D479" s="115"/>
      <c r="E479" s="116"/>
      <c r="F479" s="77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13" t="str">
        <f>IFERROR(__xludf.DUMMYFUNCTION("iferror(join("","",index(sort(filter($F$400:$F480,$Q$400:$Q480&gt;$Q479,arrayformula(isnumber(FIND($E$400:$E480,AP479)))),2,false),0,1)))"),"")</f>
        <v/>
      </c>
      <c r="AW479" s="113" t="b">
        <f>IFERROR(__xludf.DUMMYFUNCTION("isnumber(find(""wild card"",join("","",filter($G$1:$G478,$D$1:$D478=D479))))"),FALSE)</f>
        <v>0</v>
      </c>
      <c r="AX479" s="113" t="str">
        <f>IFERROR(__xludf.DUMMYFUNCTION("join("","",let(confs,unique(TRANSPOSe(Teams!$1:$1)), confs_count, BYROW(confs,lambda(conf,xlookup(conf,'Conf WC Eligibility'!A:A,'Conf WC Eligibility'!C:C,,))),confs_picked,byrow(confs,lambda(conf,countif(E$1:E478,conf))),p_needs_conf_count,byrow(confs,la"&amp;"mbda(conf,counta('Draft Order'!B$2:B622)-COUNTUNIQUE(filter(D$2:D478,E$2:E478=conf)))),query({confs,confs_count,confs_picked,p_needs_conf_count},""select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0">
      <c r="A480" s="1"/>
      <c r="B480" s="1"/>
      <c r="C480" s="1"/>
      <c r="D480" s="115"/>
      <c r="E480" s="116"/>
      <c r="F480" s="77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13" t="str">
        <f>IFERROR(__xludf.DUMMYFUNCTION("iferror(join("","",index(sort(filter($F$400:$F481,$Q$400:$Q481&gt;$Q480,arrayformula(isnumber(FIND($E$400:$E481,AP480)))),2,false),0,1)))"),"")</f>
        <v/>
      </c>
      <c r="AW480" s="113" t="b">
        <f>IFERROR(__xludf.DUMMYFUNCTION("isnumber(find(""wild card"",join("","",filter($G$1:$G479,$D$1:$D479=D480))))"),FALSE)</f>
        <v>0</v>
      </c>
      <c r="AX480" s="113" t="str">
        <f>IFERROR(__xludf.DUMMYFUNCTION("join("","",let(confs,unique(TRANSPOSe(Teams!$1:$1)), confs_count, BYROW(confs,lambda(conf,xlookup(conf,'Conf WC Eligibility'!A:A,'Conf WC Eligibility'!C:C,,))),confs_picked,byrow(confs,lambda(conf,countif(E$1:E479,conf))),p_needs_conf_count,byrow(confs,la"&amp;"mbda(conf,counta('Draft Order'!B$2:B622)-COUNTUNIQUE(filter(D$2:D479,E$2:E479=conf)))),query({confs,confs_count,confs_picked,p_needs_conf_count},""select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1">
      <c r="A481" s="1"/>
      <c r="B481" s="1"/>
      <c r="C481" s="1"/>
      <c r="D481" s="115"/>
      <c r="E481" s="116"/>
      <c r="F481" s="77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13" t="str">
        <f>IFERROR(__xludf.DUMMYFUNCTION("iferror(join("","",index(sort(filter($F$400:$F482,$Q$400:$Q482&gt;$Q481,arrayformula(isnumber(FIND($E$400:$E482,AP481)))),2,false),0,1)))"),"")</f>
        <v/>
      </c>
      <c r="AW481" s="113" t="b">
        <f>IFERROR(__xludf.DUMMYFUNCTION("isnumber(find(""wild card"",join("","",filter($G$1:$G480,$D$1:$D480=D481))))"),FALSE)</f>
        <v>0</v>
      </c>
      <c r="AX481" s="113" t="str">
        <f>IFERROR(__xludf.DUMMYFUNCTION("join("","",let(confs,unique(TRANSPOSe(Teams!$1:$1)), confs_count, BYROW(confs,lambda(conf,xlookup(conf,'Conf WC Eligibility'!A:A,'Conf WC Eligibility'!C:C,,))),confs_picked,byrow(confs,lambda(conf,countif(E$1:E480,conf))),p_needs_conf_count,byrow(confs,la"&amp;"mbda(conf,counta('Draft Order'!B$2:B622)-COUNTUNIQUE(filter(D$2:D480,E$2:E480=conf)))),query({confs,confs_count,confs_picked,p_needs_conf_count},""select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2">
      <c r="A482" s="1"/>
      <c r="B482" s="1"/>
      <c r="C482" s="1"/>
      <c r="D482" s="115"/>
      <c r="E482" s="116"/>
      <c r="F482" s="77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13" t="str">
        <f>IFERROR(__xludf.DUMMYFUNCTION("iferror(join("","",index(sort(filter($F$400:$F483,$Q$400:$Q483&gt;$Q482,arrayformula(isnumber(FIND($E$400:$E483,AP482)))),2,false),0,1)))"),"")</f>
        <v/>
      </c>
      <c r="AW482" s="113" t="b">
        <f>IFERROR(__xludf.DUMMYFUNCTION("isnumber(find(""wild card"",join("","",filter($G$1:$G481,$D$1:$D481=D482))))"),FALSE)</f>
        <v>0</v>
      </c>
      <c r="AX482" s="113" t="str">
        <f>IFERROR(__xludf.DUMMYFUNCTION("join("","",let(confs,unique(TRANSPOSe(Teams!$1:$1)), confs_count, BYROW(confs,lambda(conf,xlookup(conf,'Conf WC Eligibility'!A:A,'Conf WC Eligibility'!C:C,,))),confs_picked,byrow(confs,lambda(conf,countif(E$1:E481,conf))),p_needs_conf_count,byrow(confs,la"&amp;"mbda(conf,counta('Draft Order'!B$2:B622)-COUNTUNIQUE(filter(D$2:D481,E$2:E481=conf)))),query({confs,confs_count,confs_picked,p_needs_conf_count},""select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3">
      <c r="A483" s="1"/>
      <c r="B483" s="1"/>
      <c r="C483" s="1"/>
      <c r="D483" s="115"/>
      <c r="E483" s="116"/>
      <c r="F483" s="77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13" t="str">
        <f>IFERROR(__xludf.DUMMYFUNCTION("iferror(join("","",index(sort(filter($F$400:$F484,$Q$400:$Q484&gt;$Q483,arrayformula(isnumber(FIND($E$400:$E484,AP483)))),2,false),0,1)))"),"")</f>
        <v/>
      </c>
      <c r="AW483" s="113" t="b">
        <f>IFERROR(__xludf.DUMMYFUNCTION("isnumber(find(""wild card"",join("","",filter($G$1:$G482,$D$1:$D482=D483))))"),FALSE)</f>
        <v>0</v>
      </c>
      <c r="AX483" s="113" t="str">
        <f>IFERROR(__xludf.DUMMYFUNCTION("join("","",let(confs,unique(TRANSPOSe(Teams!$1:$1)), confs_count, BYROW(confs,lambda(conf,xlookup(conf,'Conf WC Eligibility'!A:A,'Conf WC Eligibility'!C:C,,))),confs_picked,byrow(confs,lambda(conf,countif(E$1:E482,conf))),p_needs_conf_count,byrow(confs,la"&amp;"mbda(conf,counta('Draft Order'!B$2:B622)-COUNTUNIQUE(filter(D$2:D482,E$2:E482=conf)))),query({confs,confs_count,confs_picked,p_needs_conf_count},""select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4">
      <c r="A484" s="1"/>
      <c r="B484" s="1"/>
      <c r="C484" s="1"/>
      <c r="D484" s="115"/>
      <c r="E484" s="116"/>
      <c r="F484" s="77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13" t="str">
        <f>IFERROR(__xludf.DUMMYFUNCTION("iferror(join("","",index(sort(filter($F$400:$F485,$Q$400:$Q485&gt;$Q484,arrayformula(isnumber(FIND($E$400:$E485,AP484)))),2,false),0,1)))"),"")</f>
        <v/>
      </c>
      <c r="AW484" s="113" t="b">
        <f>IFERROR(__xludf.DUMMYFUNCTION("isnumber(find(""wild card"",join("","",filter($G$1:$G483,$D$1:$D483=D484))))"),FALSE)</f>
        <v>0</v>
      </c>
      <c r="AX484" s="113" t="str">
        <f>IFERROR(__xludf.DUMMYFUNCTION("join("","",let(confs,unique(TRANSPOSe(Teams!$1:$1)), confs_count, BYROW(confs,lambda(conf,xlookup(conf,'Conf WC Eligibility'!A:A,'Conf WC Eligibility'!C:C,,))),confs_picked,byrow(confs,lambda(conf,countif(E$1:E483,conf))),p_needs_conf_count,byrow(confs,la"&amp;"mbda(conf,counta('Draft Order'!B$2:B622)-COUNTUNIQUE(filter(D$2:D483,E$2:E483=conf)))),query({confs,confs_count,confs_picked,p_needs_conf_count},""select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5">
      <c r="A485" s="1"/>
      <c r="B485" s="1"/>
      <c r="C485" s="1"/>
      <c r="D485" s="115"/>
      <c r="E485" s="116"/>
      <c r="F485" s="77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13" t="str">
        <f>IFERROR(__xludf.DUMMYFUNCTION("iferror(join("","",index(sort(filter($F$400:$F486,$Q$400:$Q486&gt;$Q485,arrayformula(isnumber(FIND($E$400:$E486,AP485)))),2,false),0,1)))"),"")</f>
        <v/>
      </c>
      <c r="AW485" s="113" t="b">
        <f>IFERROR(__xludf.DUMMYFUNCTION("isnumber(find(""wild card"",join("","",filter($G$1:$G484,$D$1:$D484=D485))))"),FALSE)</f>
        <v>0</v>
      </c>
      <c r="AX485" s="113" t="str">
        <f>IFERROR(__xludf.DUMMYFUNCTION("join("","",let(confs,unique(TRANSPOSe(Teams!$1:$1)), confs_count, BYROW(confs,lambda(conf,xlookup(conf,'Conf WC Eligibility'!A:A,'Conf WC Eligibility'!C:C,,))),confs_picked,byrow(confs,lambda(conf,countif(E$1:E484,conf))),p_needs_conf_count,byrow(confs,la"&amp;"mbda(conf,counta('Draft Order'!B$2:B622)-COUNTUNIQUE(filter(D$2:D484,E$2:E484=conf)))),query({confs,confs_count,confs_picked,p_needs_conf_count},""select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6">
      <c r="A486" s="1"/>
      <c r="B486" s="1"/>
      <c r="C486" s="1"/>
      <c r="D486" s="115"/>
      <c r="E486" s="116"/>
      <c r="F486" s="77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13" t="str">
        <f>IFERROR(__xludf.DUMMYFUNCTION("iferror(join("","",index(sort(filter($F$400:$F487,$Q$400:$Q487&gt;$Q486,arrayformula(isnumber(FIND($E$400:$E487,AP486)))),2,false),0,1)))"),"")</f>
        <v/>
      </c>
      <c r="AW486" s="113" t="b">
        <f>IFERROR(__xludf.DUMMYFUNCTION("isnumber(find(""wild card"",join("","",filter($G$1:$G485,$D$1:$D485=D486))))"),FALSE)</f>
        <v>0</v>
      </c>
      <c r="AX486" s="113" t="str">
        <f>IFERROR(__xludf.DUMMYFUNCTION("join("","",let(confs,unique(TRANSPOSe(Teams!$1:$1)), confs_count, BYROW(confs,lambda(conf,xlookup(conf,'Conf WC Eligibility'!A:A,'Conf WC Eligibility'!C:C,,))),confs_picked,byrow(confs,lambda(conf,countif(E$1:E485,conf))),p_needs_conf_count,byrow(confs,la"&amp;"mbda(conf,counta('Draft Order'!B$2:B622)-COUNTUNIQUE(filter(D$2:D485,E$2:E485=conf)))),query({confs,confs_count,confs_picked,p_needs_conf_count},""select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7">
      <c r="A487" s="1"/>
      <c r="B487" s="1"/>
      <c r="C487" s="1"/>
      <c r="D487" s="115"/>
      <c r="E487" s="116"/>
      <c r="F487" s="77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13" t="str">
        <f>IFERROR(__xludf.DUMMYFUNCTION("iferror(join("","",index(sort(filter($F$400:$F488,$Q$400:$Q488&gt;$Q487,arrayformula(isnumber(FIND($E$400:$E488,AP487)))),2,false),0,1)))"),"")</f>
        <v/>
      </c>
      <c r="AW487" s="113" t="b">
        <f>IFERROR(__xludf.DUMMYFUNCTION("isnumber(find(""wild card"",join("","",filter($G$1:$G486,$D$1:$D486=D487))))"),FALSE)</f>
        <v>0</v>
      </c>
      <c r="AX487" s="113" t="str">
        <f>IFERROR(__xludf.DUMMYFUNCTION("join("","",let(confs,unique(TRANSPOSe(Teams!$1:$1)), confs_count, BYROW(confs,lambda(conf,xlookup(conf,'Conf WC Eligibility'!A:A,'Conf WC Eligibility'!C:C,,))),confs_picked,byrow(confs,lambda(conf,countif(E$1:E486,conf))),p_needs_conf_count,byrow(confs,la"&amp;"mbda(conf,counta('Draft Order'!B$2:B622)-COUNTUNIQUE(filter(D$2:D486,E$2:E486=conf)))),query({confs,confs_count,confs_picked,p_needs_conf_count},""select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8">
      <c r="A488" s="1"/>
      <c r="B488" s="1"/>
      <c r="C488" s="1"/>
      <c r="D488" s="115"/>
      <c r="E488" s="116"/>
      <c r="F488" s="77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13" t="str">
        <f>IFERROR(__xludf.DUMMYFUNCTION("iferror(join("","",index(sort(filter($F$400:$F489,$Q$400:$Q489&gt;$Q488,arrayformula(isnumber(FIND($E$400:$E489,AP488)))),2,false),0,1)))"),"")</f>
        <v/>
      </c>
      <c r="AW488" s="113" t="b">
        <f>IFERROR(__xludf.DUMMYFUNCTION("isnumber(find(""wild card"",join("","",filter($G$1:$G487,$D$1:$D487=D488))))"),FALSE)</f>
        <v>0</v>
      </c>
      <c r="AX488" s="113" t="str">
        <f>IFERROR(__xludf.DUMMYFUNCTION("join("","",let(confs,unique(TRANSPOSe(Teams!$1:$1)), confs_count, BYROW(confs,lambda(conf,xlookup(conf,'Conf WC Eligibility'!A:A,'Conf WC Eligibility'!C:C,,))),confs_picked,byrow(confs,lambda(conf,countif(E$1:E487,conf))),p_needs_conf_count,byrow(confs,la"&amp;"mbda(conf,counta('Draft Order'!B$2:B622)-COUNTUNIQUE(filter(D$2:D487,E$2:E487=conf)))),query({confs,confs_count,confs_picked,p_needs_conf_count},""select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89">
      <c r="A489" s="1"/>
      <c r="B489" s="1"/>
      <c r="C489" s="1"/>
      <c r="D489" s="115"/>
      <c r="E489" s="116"/>
      <c r="F489" s="77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13" t="str">
        <f>IFERROR(__xludf.DUMMYFUNCTION("iferror(join("","",index(sort(filter($F$400:$F490,$Q$400:$Q490&gt;$Q489,arrayformula(isnumber(FIND($E$400:$E490,AP489)))),2,false),0,1)))"),"")</f>
        <v/>
      </c>
      <c r="AW489" s="113" t="b">
        <f>IFERROR(__xludf.DUMMYFUNCTION("isnumber(find(""wild card"",join("","",filter($G$1:$G488,$D$1:$D488=D489))))"),FALSE)</f>
        <v>0</v>
      </c>
      <c r="AX489" s="113" t="str">
        <f>IFERROR(__xludf.DUMMYFUNCTION("join("","",let(confs,unique(TRANSPOSe(Teams!$1:$1)), confs_count, BYROW(confs,lambda(conf,xlookup(conf,'Conf WC Eligibility'!A:A,'Conf WC Eligibility'!C:C,,))),confs_picked,byrow(confs,lambda(conf,countif(E$1:E488,conf))),p_needs_conf_count,byrow(confs,la"&amp;"mbda(conf,counta('Draft Order'!B$2:B622)-COUNTUNIQUE(filter(D$2:D488,E$2:E488=conf)))),query({confs,confs_count,confs_picked,p_needs_conf_count},""select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0">
      <c r="A490" s="1"/>
      <c r="B490" s="1"/>
      <c r="C490" s="1"/>
      <c r="D490" s="115"/>
      <c r="E490" s="116"/>
      <c r="F490" s="77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13" t="str">
        <f>IFERROR(__xludf.DUMMYFUNCTION("iferror(join("","",index(sort(filter($F$400:$F491,$Q$400:$Q491&gt;$Q490,arrayformula(isnumber(FIND($E$400:$E491,AP490)))),2,false),0,1)))"),"")</f>
        <v/>
      </c>
      <c r="AW490" s="113" t="b">
        <f>IFERROR(__xludf.DUMMYFUNCTION("isnumber(find(""wild card"",join("","",filter($G$1:$G489,$D$1:$D489=D490))))"),FALSE)</f>
        <v>0</v>
      </c>
      <c r="AX490" s="113" t="str">
        <f>IFERROR(__xludf.DUMMYFUNCTION("join("","",let(confs,unique(TRANSPOSe(Teams!$1:$1)), confs_count, BYROW(confs,lambda(conf,xlookup(conf,'Conf WC Eligibility'!A:A,'Conf WC Eligibility'!C:C,,))),confs_picked,byrow(confs,lambda(conf,countif(E$1:E489,conf))),p_needs_conf_count,byrow(confs,la"&amp;"mbda(conf,counta('Draft Order'!B$2:B622)-COUNTUNIQUE(filter(D$2:D489,E$2:E489=conf)))),query({confs,confs_count,confs_picked,p_needs_conf_count},""select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1">
      <c r="A491" s="1"/>
      <c r="B491" s="1"/>
      <c r="C491" s="1"/>
      <c r="D491" s="115"/>
      <c r="E491" s="116"/>
      <c r="F491" s="77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13" t="str">
        <f>IFERROR(__xludf.DUMMYFUNCTION("iferror(join("","",index(sort(filter($F$400:$F492,$Q$400:$Q492&gt;$Q491,arrayformula(isnumber(FIND($E$400:$E492,AP491)))),2,false),0,1)))"),"")</f>
        <v/>
      </c>
      <c r="AW491" s="113" t="b">
        <f>IFERROR(__xludf.DUMMYFUNCTION("isnumber(find(""wild card"",join("","",filter($G$1:$G490,$D$1:$D490=D491))))"),FALSE)</f>
        <v>0</v>
      </c>
      <c r="AX491" s="113" t="str">
        <f>IFERROR(__xludf.DUMMYFUNCTION("join("","",let(confs,unique(TRANSPOSe(Teams!$1:$1)), confs_count, BYROW(confs,lambda(conf,xlookup(conf,'Conf WC Eligibility'!A:A,'Conf WC Eligibility'!C:C,,))),confs_picked,byrow(confs,lambda(conf,countif(E$1:E490,conf))),p_needs_conf_count,byrow(confs,la"&amp;"mbda(conf,counta('Draft Order'!B$2:B622)-COUNTUNIQUE(filter(D$2:D490,E$2:E490=conf)))),query({confs,confs_count,confs_picked,p_needs_conf_count},""select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2">
      <c r="A492" s="1"/>
      <c r="B492" s="1"/>
      <c r="C492" s="1"/>
      <c r="D492" s="115"/>
      <c r="E492" s="116"/>
      <c r="F492" s="77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13" t="str">
        <f>IFERROR(__xludf.DUMMYFUNCTION("iferror(join("","",index(sort(filter($F$400:$F493,$Q$400:$Q493&gt;$Q492,arrayformula(isnumber(FIND($E$400:$E493,AP492)))),2,false),0,1)))"),"")</f>
        <v/>
      </c>
      <c r="AW492" s="113" t="b">
        <f>IFERROR(__xludf.DUMMYFUNCTION("isnumber(find(""wild card"",join("","",filter($G$1:$G491,$D$1:$D491=D492))))"),FALSE)</f>
        <v>0</v>
      </c>
      <c r="AX492" s="113" t="str">
        <f>IFERROR(__xludf.DUMMYFUNCTION("join("","",let(confs,unique(TRANSPOSe(Teams!$1:$1)), confs_count, BYROW(confs,lambda(conf,xlookup(conf,'Conf WC Eligibility'!A:A,'Conf WC Eligibility'!C:C,,))),confs_picked,byrow(confs,lambda(conf,countif(E$1:E491,conf))),p_needs_conf_count,byrow(confs,la"&amp;"mbda(conf,counta('Draft Order'!B$2:B622)-COUNTUNIQUE(filter(D$2:D491,E$2:E491=conf)))),query({confs,confs_count,confs_picked,p_needs_conf_count},""select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3">
      <c r="A493" s="1"/>
      <c r="B493" s="1"/>
      <c r="C493" s="1"/>
      <c r="D493" s="115"/>
      <c r="E493" s="116"/>
      <c r="F493" s="77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13" t="str">
        <f>IFERROR(__xludf.DUMMYFUNCTION("iferror(join("","",index(sort(filter($F$400:$F494,$Q$400:$Q494&gt;$Q493,arrayformula(isnumber(FIND($E$400:$E494,AP493)))),2,false),0,1)))"),"")</f>
        <v/>
      </c>
      <c r="AW493" s="113" t="b">
        <f>IFERROR(__xludf.DUMMYFUNCTION("isnumber(find(""wild card"",join("","",filter($G$1:$G492,$D$1:$D492=D493))))"),FALSE)</f>
        <v>0</v>
      </c>
      <c r="AX493" s="113" t="str">
        <f>IFERROR(__xludf.DUMMYFUNCTION("join("","",let(confs,unique(TRANSPOSe(Teams!$1:$1)), confs_count, BYROW(confs,lambda(conf,xlookup(conf,'Conf WC Eligibility'!A:A,'Conf WC Eligibility'!C:C,,))),confs_picked,byrow(confs,lambda(conf,countif(E$1:E492,conf))),p_needs_conf_count,byrow(confs,la"&amp;"mbda(conf,counta('Draft Order'!B$2:B622)-COUNTUNIQUE(filter(D$2:D492,E$2:E492=conf)))),query({confs,confs_count,confs_picked,p_needs_conf_count},""select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4">
      <c r="A494" s="1"/>
      <c r="B494" s="1"/>
      <c r="C494" s="1"/>
      <c r="D494" s="115"/>
      <c r="E494" s="116"/>
      <c r="F494" s="77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13" t="str">
        <f>IFERROR(__xludf.DUMMYFUNCTION("iferror(join("","",index(sort(filter($F$400:$F495,$Q$400:$Q495&gt;$Q494,arrayformula(isnumber(FIND($E$400:$E495,AP494)))),2,false),0,1)))"),"")</f>
        <v/>
      </c>
      <c r="AW494" s="113" t="b">
        <f>IFERROR(__xludf.DUMMYFUNCTION("isnumber(find(""wild card"",join("","",filter($G$1:$G493,$D$1:$D493=D494))))"),FALSE)</f>
        <v>0</v>
      </c>
      <c r="AX494" s="113" t="str">
        <f>IFERROR(__xludf.DUMMYFUNCTION("join("","",let(confs,unique(TRANSPOSe(Teams!$1:$1)), confs_count, BYROW(confs,lambda(conf,xlookup(conf,'Conf WC Eligibility'!A:A,'Conf WC Eligibility'!C:C,,))),confs_picked,byrow(confs,lambda(conf,countif(E$1:E493,conf))),p_needs_conf_count,byrow(confs,la"&amp;"mbda(conf,counta('Draft Order'!B$2:B622)-COUNTUNIQUE(filter(D$2:D493,E$2:E493=conf)))),query({confs,confs_count,confs_picked,p_needs_conf_count},""select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5">
      <c r="A495" s="1"/>
      <c r="B495" s="1"/>
      <c r="C495" s="1"/>
      <c r="D495" s="115"/>
      <c r="E495" s="116"/>
      <c r="F495" s="77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13" t="str">
        <f>IFERROR(__xludf.DUMMYFUNCTION("iferror(join("","",index(sort(filter($F$400:$F496,$Q$400:$Q496&gt;$Q495,arrayformula(isnumber(FIND($E$400:$E496,AP495)))),2,false),0,1)))"),"")</f>
        <v/>
      </c>
      <c r="AW495" s="113" t="b">
        <f>IFERROR(__xludf.DUMMYFUNCTION("isnumber(find(""wild card"",join("","",filter($G$1:$G494,$D$1:$D494=D495))))"),FALSE)</f>
        <v>0</v>
      </c>
      <c r="AX495" s="113" t="str">
        <f>IFERROR(__xludf.DUMMYFUNCTION("join("","",let(confs,unique(TRANSPOSe(Teams!$1:$1)), confs_count, BYROW(confs,lambda(conf,xlookup(conf,'Conf WC Eligibility'!A:A,'Conf WC Eligibility'!C:C,,))),confs_picked,byrow(confs,lambda(conf,countif(E$1:E494,conf))),p_needs_conf_count,byrow(confs,la"&amp;"mbda(conf,counta('Draft Order'!B$2:B622)-COUNTUNIQUE(filter(D$2:D494,E$2:E494=conf)))),query({confs,confs_count,confs_picked,p_needs_conf_count},""select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6">
      <c r="A496" s="1"/>
      <c r="B496" s="1"/>
      <c r="C496" s="1"/>
      <c r="D496" s="115"/>
      <c r="E496" s="116"/>
      <c r="F496" s="77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13" t="str">
        <f>IFERROR(__xludf.DUMMYFUNCTION("iferror(join("","",index(sort(filter($F$400:$F497,$Q$400:$Q497&gt;$Q496,arrayformula(isnumber(FIND($E$400:$E497,AP496)))),2,false),0,1)))"),"")</f>
        <v/>
      </c>
      <c r="AW496" s="113" t="b">
        <f>IFERROR(__xludf.DUMMYFUNCTION("isnumber(find(""wild card"",join("","",filter($G$1:$G495,$D$1:$D495=D496))))"),FALSE)</f>
        <v>0</v>
      </c>
      <c r="AX496" s="113" t="str">
        <f>IFERROR(__xludf.DUMMYFUNCTION("join("","",let(confs,unique(TRANSPOSe(Teams!$1:$1)), confs_count, BYROW(confs,lambda(conf,xlookup(conf,'Conf WC Eligibility'!A:A,'Conf WC Eligibility'!C:C,,))),confs_picked,byrow(confs,lambda(conf,countif(E$1:E495,conf))),p_needs_conf_count,byrow(confs,la"&amp;"mbda(conf,counta('Draft Order'!B$2:B622)-COUNTUNIQUE(filter(D$2:D495,E$2:E495=conf)))),query({confs,confs_count,confs_picked,p_needs_conf_count},""select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7">
      <c r="A497" s="1"/>
      <c r="B497" s="1"/>
      <c r="C497" s="1"/>
      <c r="D497" s="115"/>
      <c r="E497" s="116"/>
      <c r="F497" s="77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13" t="str">
        <f>IFERROR(__xludf.DUMMYFUNCTION("iferror(join("","",index(sort(filter($F$400:$F498,$Q$400:$Q498&gt;$Q497,arrayformula(isnumber(FIND($E$400:$E498,AP497)))),2,false),0,1)))"),"")</f>
        <v/>
      </c>
      <c r="AW497" s="113" t="b">
        <f>IFERROR(__xludf.DUMMYFUNCTION("isnumber(find(""wild card"",join("","",filter($G$1:$G496,$D$1:$D496=D497))))"),FALSE)</f>
        <v>0</v>
      </c>
      <c r="AX497" s="113" t="str">
        <f>IFERROR(__xludf.DUMMYFUNCTION("join("","",let(confs,unique(TRANSPOSe(Teams!$1:$1)), confs_count, BYROW(confs,lambda(conf,xlookup(conf,'Conf WC Eligibility'!A:A,'Conf WC Eligibility'!C:C,,))),confs_picked,byrow(confs,lambda(conf,countif(E$1:E496,conf))),p_needs_conf_count,byrow(confs,la"&amp;"mbda(conf,counta('Draft Order'!B$2:B622)-COUNTUNIQUE(filter(D$2:D496,E$2:E496=conf)))),query({confs,confs_count,confs_picked,p_needs_conf_count},""select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8">
      <c r="A498" s="1"/>
      <c r="B498" s="1"/>
      <c r="C498" s="1"/>
      <c r="D498" s="115"/>
      <c r="E498" s="116"/>
      <c r="F498" s="77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13" t="str">
        <f>IFERROR(__xludf.DUMMYFUNCTION("iferror(join("","",index(sort(filter($F$400:$F499,$Q$400:$Q499&gt;$Q498,arrayformula(isnumber(FIND($E$400:$E499,AP498)))),2,false),0,1)))"),"")</f>
        <v/>
      </c>
      <c r="AW498" s="113" t="b">
        <f>IFERROR(__xludf.DUMMYFUNCTION("isnumber(find(""wild card"",join("","",filter($G$1:$G497,$D$1:$D497=D498))))"),FALSE)</f>
        <v>0</v>
      </c>
      <c r="AX498" s="113" t="str">
        <f>IFERROR(__xludf.DUMMYFUNCTION("join("","",let(confs,unique(TRANSPOSe(Teams!$1:$1)), confs_count, BYROW(confs,lambda(conf,xlookup(conf,'Conf WC Eligibility'!A:A,'Conf WC Eligibility'!C:C,,))),confs_picked,byrow(confs,lambda(conf,countif(E$1:E497,conf))),p_needs_conf_count,byrow(confs,la"&amp;"mbda(conf,counta('Draft Order'!B$2:B622)-COUNTUNIQUE(filter(D$2:D497,E$2:E497=conf)))),query({confs,confs_count,confs_picked,p_needs_conf_count},""select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499">
      <c r="A499" s="1"/>
      <c r="B499" s="1"/>
      <c r="C499" s="1"/>
      <c r="D499" s="115"/>
      <c r="E499" s="116"/>
      <c r="F499" s="77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13" t="str">
        <f>IFERROR(__xludf.DUMMYFUNCTION("iferror(join("","",index(sort(filter($F$400:$F500,$Q$400:$Q500&gt;$Q499,arrayformula(isnumber(FIND($E$400:$E500,AP499)))),2,false),0,1)))"),"")</f>
        <v/>
      </c>
      <c r="AW499" s="113" t="b">
        <f>IFERROR(__xludf.DUMMYFUNCTION("isnumber(find(""wild card"",join("","",filter($G$1:$G498,$D$1:$D498=D499))))"),FALSE)</f>
        <v>0</v>
      </c>
      <c r="AX499" s="113" t="str">
        <f>IFERROR(__xludf.DUMMYFUNCTION("join("","",let(confs,unique(TRANSPOSe(Teams!$1:$1)), confs_count, BYROW(confs,lambda(conf,xlookup(conf,'Conf WC Eligibility'!A:A,'Conf WC Eligibility'!C:C,,))),confs_picked,byrow(confs,lambda(conf,countif(E$1:E498,conf))),p_needs_conf_count,byrow(confs,la"&amp;"mbda(conf,counta('Draft Order'!B$2:B622)-COUNTUNIQUE(filter(D$2:D498,E$2:E498=conf)))),query({confs,confs_count,confs_picked,p_needs_conf_count},""select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0">
      <c r="A500" s="1"/>
      <c r="B500" s="1"/>
      <c r="C500" s="1"/>
      <c r="D500" s="115"/>
      <c r="E500" s="116"/>
      <c r="F500" s="77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13" t="str">
        <f>IFERROR(__xludf.DUMMYFUNCTION("iferror(join("","",index(sort(filter($F$400:$F501,$Q$400:$Q501&gt;$Q500,arrayformula(isnumber(FIND($E$400:$E501,AP500)))),2,false),0,1)))"),"")</f>
        <v/>
      </c>
      <c r="AW500" s="113" t="b">
        <f>IFERROR(__xludf.DUMMYFUNCTION("isnumber(find(""wild card"",join("","",filter($G$1:$G499,$D$1:$D499=D500))))"),FALSE)</f>
        <v>0</v>
      </c>
      <c r="AX500" s="113" t="str">
        <f>IFERROR(__xludf.DUMMYFUNCTION("join("","",let(confs,unique(TRANSPOSe(Teams!$1:$1)), confs_count, BYROW(confs,lambda(conf,xlookup(conf,'Conf WC Eligibility'!A:A,'Conf WC Eligibility'!C:C,,))),confs_picked,byrow(confs,lambda(conf,countif(E$1:E499,conf))),p_needs_conf_count,byrow(confs,la"&amp;"mbda(conf,counta('Draft Order'!B$2:B622)-COUNTUNIQUE(filter(D$2:D499,E$2:E499=conf)))),query({confs,confs_count,confs_picked,p_needs_conf_count},""select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1">
      <c r="A501" s="1"/>
      <c r="B501" s="1"/>
      <c r="C501" s="1"/>
      <c r="D501" s="115"/>
      <c r="E501" s="116"/>
      <c r="F501" s="77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13" t="str">
        <f>IFERROR(__xludf.DUMMYFUNCTION("iferror(join("","",index(sort(filter($F$400:$F502,$Q$400:$Q502&gt;$Q501,arrayformula(isnumber(FIND($E$400:$E502,AP501)))),2,false),0,1)))"),"")</f>
        <v/>
      </c>
      <c r="AW501" s="113" t="b">
        <f>IFERROR(__xludf.DUMMYFUNCTION("isnumber(find(""wild card"",join("","",filter($G$1:$G500,$D$1:$D500=D501))))"),FALSE)</f>
        <v>0</v>
      </c>
      <c r="AX501" s="113" t="str">
        <f>IFERROR(__xludf.DUMMYFUNCTION("join("","",let(confs,unique(TRANSPOSe(Teams!$1:$1)), confs_count, BYROW(confs,lambda(conf,xlookup(conf,'Conf WC Eligibility'!A:A,'Conf WC Eligibility'!C:C,,))),confs_picked,byrow(confs,lambda(conf,countif(E$1:E500,conf))),p_needs_conf_count,byrow(confs,la"&amp;"mbda(conf,counta('Draft Order'!B$2:B622)-COUNTUNIQUE(filter(D$2:D500,E$2:E500=conf)))),query({confs,confs_count,confs_picked,p_needs_conf_count},""select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2">
      <c r="A502" s="1"/>
      <c r="B502" s="1"/>
      <c r="C502" s="1"/>
      <c r="D502" s="115"/>
      <c r="E502" s="116"/>
      <c r="F502" s="77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13" t="str">
        <f>IFERROR(__xludf.DUMMYFUNCTION("iferror(join("","",index(sort(filter($F$400:$F503,$Q$400:$Q503&gt;$Q502,arrayformula(isnumber(FIND($E$400:$E503,AP502)))),2,false),0,1)))"),"")</f>
        <v/>
      </c>
      <c r="AW502" s="113" t="b">
        <f>IFERROR(__xludf.DUMMYFUNCTION("isnumber(find(""wild card"",join("","",filter($G$1:$G501,$D$1:$D501=D502))))"),FALSE)</f>
        <v>0</v>
      </c>
      <c r="AX502" s="113" t="str">
        <f>IFERROR(__xludf.DUMMYFUNCTION("join("","",let(confs,unique(TRANSPOSe(Teams!$1:$1)), confs_count, BYROW(confs,lambda(conf,xlookup(conf,'Conf WC Eligibility'!A:A,'Conf WC Eligibility'!C:C,,))),confs_picked,byrow(confs,lambda(conf,countif(E$1:E501,conf))),p_needs_conf_count,byrow(confs,la"&amp;"mbda(conf,counta('Draft Order'!B$2:B622)-COUNTUNIQUE(filter(D$2:D501,E$2:E501=conf)))),query({confs,confs_count,confs_picked,p_needs_conf_count},""select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3">
      <c r="A503" s="1"/>
      <c r="B503" s="1"/>
      <c r="C503" s="1"/>
      <c r="D503" s="115"/>
      <c r="E503" s="116"/>
      <c r="F503" s="77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13" t="str">
        <f>IFERROR(__xludf.DUMMYFUNCTION("iferror(join("","",index(sort(filter($F$400:$F504,$Q$400:$Q504&gt;$Q503,arrayformula(isnumber(FIND($E$400:$E504,AP503)))),2,false),0,1)))"),"")</f>
        <v/>
      </c>
      <c r="AW503" s="113" t="b">
        <f>IFERROR(__xludf.DUMMYFUNCTION("isnumber(find(""wild card"",join("","",filter($G$1:$G502,$D$1:$D502=D503))))"),FALSE)</f>
        <v>0</v>
      </c>
      <c r="AX503" s="113" t="str">
        <f>IFERROR(__xludf.DUMMYFUNCTION("join("","",let(confs,unique(TRANSPOSe(Teams!$1:$1)), confs_count, BYROW(confs,lambda(conf,xlookup(conf,'Conf WC Eligibility'!A:A,'Conf WC Eligibility'!C:C,,))),confs_picked,byrow(confs,lambda(conf,countif(E$1:E502,conf))),p_needs_conf_count,byrow(confs,la"&amp;"mbda(conf,counta('Draft Order'!B$2:B622)-COUNTUNIQUE(filter(D$2:D502,E$2:E502=conf)))),query({confs,confs_count,confs_picked,p_needs_conf_count},""select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4">
      <c r="A504" s="1"/>
      <c r="B504" s="1"/>
      <c r="C504" s="1"/>
      <c r="D504" s="115"/>
      <c r="E504" s="116"/>
      <c r="F504" s="77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13" t="str">
        <f>IFERROR(__xludf.DUMMYFUNCTION("iferror(join("","",index(sort(filter($F$400:$F505,$Q$400:$Q505&gt;$Q504,arrayformula(isnumber(FIND($E$400:$E505,AP504)))),2,false),0,1)))"),"")</f>
        <v/>
      </c>
      <c r="AW504" s="113" t="b">
        <f>IFERROR(__xludf.DUMMYFUNCTION("isnumber(find(""wild card"",join("","",filter($G$1:$G503,$D$1:$D503=D504))))"),FALSE)</f>
        <v>0</v>
      </c>
      <c r="AX504" s="113" t="str">
        <f>IFERROR(__xludf.DUMMYFUNCTION("join("","",let(confs,unique(TRANSPOSe(Teams!$1:$1)), confs_count, BYROW(confs,lambda(conf,xlookup(conf,'Conf WC Eligibility'!A:A,'Conf WC Eligibility'!C:C,,))),confs_picked,byrow(confs,lambda(conf,countif(E$1:E503,conf))),p_needs_conf_count,byrow(confs,la"&amp;"mbda(conf,counta('Draft Order'!B$2:B622)-COUNTUNIQUE(filter(D$2:D503,E$2:E503=conf)))),query({confs,confs_count,confs_picked,p_needs_conf_count},""select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5">
      <c r="A505" s="1"/>
      <c r="B505" s="1"/>
      <c r="C505" s="1"/>
      <c r="D505" s="115"/>
      <c r="E505" s="116"/>
      <c r="F505" s="77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13" t="str">
        <f>IFERROR(__xludf.DUMMYFUNCTION("iferror(join("","",index(sort(filter($F$400:$F506,$Q$400:$Q506&gt;$Q505,arrayformula(isnumber(FIND($E$400:$E506,AP505)))),2,false),0,1)))"),"")</f>
        <v/>
      </c>
      <c r="AW505" s="113" t="b">
        <f>IFERROR(__xludf.DUMMYFUNCTION("isnumber(find(""wild card"",join("","",filter($G$1:$G504,$D$1:$D504=D505))))"),FALSE)</f>
        <v>0</v>
      </c>
      <c r="AX505" s="113" t="str">
        <f>IFERROR(__xludf.DUMMYFUNCTION("join("","",let(confs,unique(TRANSPOSe(Teams!$1:$1)), confs_count, BYROW(confs,lambda(conf,xlookup(conf,'Conf WC Eligibility'!A:A,'Conf WC Eligibility'!C:C,,))),confs_picked,byrow(confs,lambda(conf,countif(E$1:E504,conf))),p_needs_conf_count,byrow(confs,la"&amp;"mbda(conf,counta('Draft Order'!B$2:B622)-COUNTUNIQUE(filter(D$2:D504,E$2:E504=conf)))),query({confs,confs_count,confs_picked,p_needs_conf_count},""select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6">
      <c r="A506" s="1"/>
      <c r="B506" s="1"/>
      <c r="C506" s="1"/>
      <c r="D506" s="115"/>
      <c r="E506" s="116"/>
      <c r="F506" s="77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13" t="str">
        <f>IFERROR(__xludf.DUMMYFUNCTION("iferror(join("","",index(sort(filter($F$400:$F507,$Q$400:$Q507&gt;$Q506,arrayformula(isnumber(FIND($E$400:$E507,AP506)))),2,false),0,1)))"),"")</f>
        <v/>
      </c>
      <c r="AW506" s="113" t="b">
        <f>IFERROR(__xludf.DUMMYFUNCTION("isnumber(find(""wild card"",join("","",filter($G$1:$G505,$D$1:$D505=D506))))"),FALSE)</f>
        <v>0</v>
      </c>
      <c r="AX506" s="113" t="str">
        <f>IFERROR(__xludf.DUMMYFUNCTION("join("","",let(confs,unique(TRANSPOSe(Teams!$1:$1)), confs_count, BYROW(confs,lambda(conf,xlookup(conf,'Conf WC Eligibility'!A:A,'Conf WC Eligibility'!C:C,,))),confs_picked,byrow(confs,lambda(conf,countif(E$1:E505,conf))),p_needs_conf_count,byrow(confs,la"&amp;"mbda(conf,counta('Draft Order'!B$2:B622)-COUNTUNIQUE(filter(D$2:D505,E$2:E505=conf)))),query({confs,confs_count,confs_picked,p_needs_conf_count},""select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7">
      <c r="A507" s="1"/>
      <c r="B507" s="1"/>
      <c r="C507" s="1"/>
      <c r="D507" s="115"/>
      <c r="E507" s="116"/>
      <c r="F507" s="77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13" t="str">
        <f>IFERROR(__xludf.DUMMYFUNCTION("iferror(join("","",index(sort(filter($F$400:$F508,$Q$400:$Q508&gt;$Q507,arrayformula(isnumber(FIND($E$400:$E508,AP507)))),2,false),0,1)))"),"")</f>
        <v/>
      </c>
      <c r="AW507" s="113" t="b">
        <f>IFERROR(__xludf.DUMMYFUNCTION("isnumber(find(""wild card"",join("","",filter($G$1:$G506,$D$1:$D506=D507))))"),FALSE)</f>
        <v>0</v>
      </c>
      <c r="AX507" s="113" t="str">
        <f>IFERROR(__xludf.DUMMYFUNCTION("join("","",let(confs,unique(TRANSPOSe(Teams!$1:$1)), confs_count, BYROW(confs,lambda(conf,xlookup(conf,'Conf WC Eligibility'!A:A,'Conf WC Eligibility'!C:C,,))),confs_picked,byrow(confs,lambda(conf,countif(E$1:E506,conf))),p_needs_conf_count,byrow(confs,la"&amp;"mbda(conf,counta('Draft Order'!B$2:B622)-COUNTUNIQUE(filter(D$2:D506,E$2:E506=conf)))),query({confs,confs_count,confs_picked,p_needs_conf_count},""select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8">
      <c r="A508" s="1"/>
      <c r="B508" s="1"/>
      <c r="C508" s="1"/>
      <c r="D508" s="115"/>
      <c r="E508" s="116"/>
      <c r="F508" s="77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13" t="str">
        <f>IFERROR(__xludf.DUMMYFUNCTION("iferror(join("","",index(sort(filter($F$400:$F509,$Q$400:$Q509&gt;$Q508,arrayformula(isnumber(FIND($E$400:$E509,AP508)))),2,false),0,1)))"),"")</f>
        <v/>
      </c>
      <c r="AW508" s="113" t="b">
        <f>IFERROR(__xludf.DUMMYFUNCTION("isnumber(find(""wild card"",join("","",filter($G$1:$G507,$D$1:$D507=D508))))"),FALSE)</f>
        <v>0</v>
      </c>
      <c r="AX508" s="113" t="str">
        <f>IFERROR(__xludf.DUMMYFUNCTION("join("","",let(confs,unique(TRANSPOSe(Teams!$1:$1)), confs_count, BYROW(confs,lambda(conf,xlookup(conf,'Conf WC Eligibility'!A:A,'Conf WC Eligibility'!C:C,,))),confs_picked,byrow(confs,lambda(conf,countif(E$1:E507,conf))),p_needs_conf_count,byrow(confs,la"&amp;"mbda(conf,counta('Draft Order'!B$2:B622)-COUNTUNIQUE(filter(D$2:D507,E$2:E507=conf)))),query({confs,confs_count,confs_picked,p_needs_conf_count},""select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09">
      <c r="A509" s="1"/>
      <c r="B509" s="1"/>
      <c r="C509" s="1"/>
      <c r="D509" s="115"/>
      <c r="E509" s="116"/>
      <c r="F509" s="77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13" t="str">
        <f>IFERROR(__xludf.DUMMYFUNCTION("iferror(join("","",index(sort(filter($F$400:$F510,$Q$400:$Q510&gt;$Q509,arrayformula(isnumber(FIND($E$400:$E510,AP509)))),2,false),0,1)))"),"")</f>
        <v/>
      </c>
      <c r="AW509" s="113" t="b">
        <f>IFERROR(__xludf.DUMMYFUNCTION("isnumber(find(""wild card"",join("","",filter($G$1:$G508,$D$1:$D508=D509))))"),FALSE)</f>
        <v>0</v>
      </c>
      <c r="AX509" s="113" t="str">
        <f>IFERROR(__xludf.DUMMYFUNCTION("join("","",let(confs,unique(TRANSPOSe(Teams!$1:$1)), confs_count, BYROW(confs,lambda(conf,xlookup(conf,'Conf WC Eligibility'!A:A,'Conf WC Eligibility'!C:C,,))),confs_picked,byrow(confs,lambda(conf,countif(E$1:E508,conf))),p_needs_conf_count,byrow(confs,la"&amp;"mbda(conf,counta('Draft Order'!B$2:B622)-COUNTUNIQUE(filter(D$2:D508,E$2:E508=conf)))),query({confs,confs_count,confs_picked,p_needs_conf_count},""select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0">
      <c r="A510" s="1"/>
      <c r="B510" s="1"/>
      <c r="C510" s="1"/>
      <c r="D510" s="115"/>
      <c r="E510" s="116"/>
      <c r="F510" s="77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13" t="str">
        <f>IFERROR(__xludf.DUMMYFUNCTION("iferror(join("","",index(sort(filter($F$400:$F511,$Q$400:$Q511&gt;$Q510,arrayformula(isnumber(FIND($E$400:$E511,AP510)))),2,false),0,1)))"),"")</f>
        <v/>
      </c>
      <c r="AW510" s="113" t="b">
        <f>IFERROR(__xludf.DUMMYFUNCTION("isnumber(find(""wild card"",join("","",filter($G$1:$G509,$D$1:$D509=D510))))"),FALSE)</f>
        <v>0</v>
      </c>
      <c r="AX510" s="113" t="str">
        <f>IFERROR(__xludf.DUMMYFUNCTION("join("","",let(confs,unique(TRANSPOSe(Teams!$1:$1)), confs_count, BYROW(confs,lambda(conf,xlookup(conf,'Conf WC Eligibility'!A:A,'Conf WC Eligibility'!C:C,,))),confs_picked,byrow(confs,lambda(conf,countif(E$1:E509,conf))),p_needs_conf_count,byrow(confs,la"&amp;"mbda(conf,counta('Draft Order'!B$2:B622)-COUNTUNIQUE(filter(D$2:D509,E$2:E509=conf)))),query({confs,confs_count,confs_picked,p_needs_conf_count},""select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1">
      <c r="A511" s="1"/>
      <c r="B511" s="1"/>
      <c r="C511" s="1"/>
      <c r="D511" s="115"/>
      <c r="E511" s="116"/>
      <c r="F511" s="77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13" t="str">
        <f>IFERROR(__xludf.DUMMYFUNCTION("iferror(join("","",index(sort(filter($F$400:$F512,$Q$400:$Q512&gt;$Q511,arrayformula(isnumber(FIND($E$400:$E512,AP511)))),2,false),0,1)))"),"")</f>
        <v/>
      </c>
      <c r="AW511" s="113" t="b">
        <f>IFERROR(__xludf.DUMMYFUNCTION("isnumber(find(""wild card"",join("","",filter($G$1:$G510,$D$1:$D510=D511))))"),FALSE)</f>
        <v>0</v>
      </c>
      <c r="AX511" s="113" t="str">
        <f>IFERROR(__xludf.DUMMYFUNCTION("join("","",let(confs,unique(TRANSPOSe(Teams!$1:$1)), confs_count, BYROW(confs,lambda(conf,xlookup(conf,'Conf WC Eligibility'!A:A,'Conf WC Eligibility'!C:C,,))),confs_picked,byrow(confs,lambda(conf,countif(E$1:E510,conf))),p_needs_conf_count,byrow(confs,la"&amp;"mbda(conf,counta('Draft Order'!B$2:B622)-COUNTUNIQUE(filter(D$2:D510,E$2:E510=conf)))),query({confs,confs_count,confs_picked,p_needs_conf_count},""select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2">
      <c r="A512" s="1"/>
      <c r="B512" s="1"/>
      <c r="C512" s="1"/>
      <c r="D512" s="115"/>
      <c r="E512" s="116"/>
      <c r="F512" s="77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13" t="str">
        <f>IFERROR(__xludf.DUMMYFUNCTION("iferror(join("","",index(sort(filter($F$400:$F513,$Q$400:$Q513&gt;$Q512,arrayformula(isnumber(FIND($E$400:$E513,AP512)))),2,false),0,1)))"),"")</f>
        <v/>
      </c>
      <c r="AW512" s="113" t="b">
        <f>IFERROR(__xludf.DUMMYFUNCTION("isnumber(find(""wild card"",join("","",filter($G$1:$G511,$D$1:$D511=D512))))"),FALSE)</f>
        <v>0</v>
      </c>
      <c r="AX512" s="113" t="str">
        <f>IFERROR(__xludf.DUMMYFUNCTION("join("","",let(confs,unique(TRANSPOSe(Teams!$1:$1)), confs_count, BYROW(confs,lambda(conf,xlookup(conf,'Conf WC Eligibility'!A:A,'Conf WC Eligibility'!C:C,,))),confs_picked,byrow(confs,lambda(conf,countif(E$1:E511,conf))),p_needs_conf_count,byrow(confs,la"&amp;"mbda(conf,counta('Draft Order'!B$2:B622)-COUNTUNIQUE(filter(D$2:D511,E$2:E511=conf)))),query({confs,confs_count,confs_picked,p_needs_conf_count},""select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3">
      <c r="A513" s="1"/>
      <c r="B513" s="1"/>
      <c r="C513" s="1"/>
      <c r="D513" s="115"/>
      <c r="E513" s="116"/>
      <c r="F513" s="77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13" t="str">
        <f>IFERROR(__xludf.DUMMYFUNCTION("iferror(join("","",index(sort(filter($F$400:$F514,$Q$400:$Q514&gt;$Q513,arrayformula(isnumber(FIND($E$400:$E514,AP513)))),2,false),0,1)))"),"")</f>
        <v/>
      </c>
      <c r="AW513" s="113" t="b">
        <f>IFERROR(__xludf.DUMMYFUNCTION("isnumber(find(""wild card"",join("","",filter($G$1:$G512,$D$1:$D512=D513))))"),FALSE)</f>
        <v>0</v>
      </c>
      <c r="AX513" s="113" t="str">
        <f>IFERROR(__xludf.DUMMYFUNCTION("join("","",let(confs,unique(TRANSPOSe(Teams!$1:$1)), confs_count, BYROW(confs,lambda(conf,xlookup(conf,'Conf WC Eligibility'!A:A,'Conf WC Eligibility'!C:C,,))),confs_picked,byrow(confs,lambda(conf,countif(E$1:E512,conf))),p_needs_conf_count,byrow(confs,la"&amp;"mbda(conf,counta('Draft Order'!B$2:B622)-COUNTUNIQUE(filter(D$2:D512,E$2:E512=conf)))),query({confs,confs_count,confs_picked,p_needs_conf_count},""select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4">
      <c r="A514" s="1"/>
      <c r="B514" s="1"/>
      <c r="C514" s="1"/>
      <c r="D514" s="115"/>
      <c r="E514" s="116"/>
      <c r="F514" s="77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13" t="str">
        <f>IFERROR(__xludf.DUMMYFUNCTION("iferror(join("","",index(sort(filter($F$400:$F515,$Q$400:$Q515&gt;$Q514,arrayformula(isnumber(FIND($E$400:$E515,AP514)))),2,false),0,1)))"),"")</f>
        <v/>
      </c>
      <c r="AW514" s="113" t="b">
        <f>IFERROR(__xludf.DUMMYFUNCTION("isnumber(find(""wild card"",join("","",filter($G$1:$G513,$D$1:$D513=D514))))"),FALSE)</f>
        <v>0</v>
      </c>
      <c r="AX514" s="113" t="str">
        <f>IFERROR(__xludf.DUMMYFUNCTION("join("","",let(confs,unique(TRANSPOSe(Teams!$1:$1)), confs_count, BYROW(confs,lambda(conf,xlookup(conf,'Conf WC Eligibility'!A:A,'Conf WC Eligibility'!C:C,,))),confs_picked,byrow(confs,lambda(conf,countif(E$1:E513,conf))),p_needs_conf_count,byrow(confs,la"&amp;"mbda(conf,counta('Draft Order'!B$2:B622)-COUNTUNIQUE(filter(D$2:D513,E$2:E513=conf)))),query({confs,confs_count,confs_picked,p_needs_conf_count},""select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5">
      <c r="A515" s="1"/>
      <c r="B515" s="1"/>
      <c r="C515" s="1"/>
      <c r="D515" s="115"/>
      <c r="E515" s="116"/>
      <c r="F515" s="77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13" t="str">
        <f>IFERROR(__xludf.DUMMYFUNCTION("iferror(join("","",index(sort(filter($F$400:$F516,$Q$400:$Q516&gt;$Q515,arrayformula(isnumber(FIND($E$400:$E516,AP515)))),2,false),0,1)))"),"")</f>
        <v/>
      </c>
      <c r="AW515" s="113" t="b">
        <f>IFERROR(__xludf.DUMMYFUNCTION("isnumber(find(""wild card"",join("","",filter($G$1:$G514,$D$1:$D514=D515))))"),FALSE)</f>
        <v>0</v>
      </c>
      <c r="AX515" s="113" t="str">
        <f>IFERROR(__xludf.DUMMYFUNCTION("join("","",let(confs,unique(TRANSPOSe(Teams!$1:$1)), confs_count, BYROW(confs,lambda(conf,xlookup(conf,'Conf WC Eligibility'!A:A,'Conf WC Eligibility'!C:C,,))),confs_picked,byrow(confs,lambda(conf,countif(E$1:E514,conf))),p_needs_conf_count,byrow(confs,la"&amp;"mbda(conf,counta('Draft Order'!B$2:B622)-COUNTUNIQUE(filter(D$2:D514,E$2:E514=conf)))),query({confs,confs_count,confs_picked,p_needs_conf_count},""select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6">
      <c r="A516" s="1"/>
      <c r="B516" s="1"/>
      <c r="C516" s="1"/>
      <c r="D516" s="115"/>
      <c r="E516" s="116"/>
      <c r="F516" s="77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13" t="str">
        <f>IFERROR(__xludf.DUMMYFUNCTION("iferror(join("","",index(sort(filter($F$400:$F517,$Q$400:$Q517&gt;$Q516,arrayformula(isnumber(FIND($E$400:$E517,AP516)))),2,false),0,1)))"),"")</f>
        <v/>
      </c>
      <c r="AW516" s="113" t="b">
        <f>IFERROR(__xludf.DUMMYFUNCTION("isnumber(find(""wild card"",join("","",filter($G$1:$G515,$D$1:$D515=D516))))"),FALSE)</f>
        <v>0</v>
      </c>
      <c r="AX516" s="113" t="str">
        <f>IFERROR(__xludf.DUMMYFUNCTION("join("","",let(confs,unique(TRANSPOSe(Teams!$1:$1)), confs_count, BYROW(confs,lambda(conf,xlookup(conf,'Conf WC Eligibility'!A:A,'Conf WC Eligibility'!C:C,,))),confs_picked,byrow(confs,lambda(conf,countif(E$1:E515,conf))),p_needs_conf_count,byrow(confs,la"&amp;"mbda(conf,counta('Draft Order'!B$2:B622)-COUNTUNIQUE(filter(D$2:D515,E$2:E515=conf)))),query({confs,confs_count,confs_picked,p_needs_conf_count},""select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7">
      <c r="A517" s="1"/>
      <c r="B517" s="1"/>
      <c r="C517" s="1"/>
      <c r="D517" s="115"/>
      <c r="E517" s="116"/>
      <c r="F517" s="77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13" t="str">
        <f>IFERROR(__xludf.DUMMYFUNCTION("iferror(join("","",index(sort(filter($F$400:$F518,$Q$400:$Q518&gt;$Q517,arrayformula(isnumber(FIND($E$400:$E518,AP517)))),2,false),0,1)))"),"")</f>
        <v/>
      </c>
      <c r="AW517" s="113" t="b">
        <f>IFERROR(__xludf.DUMMYFUNCTION("isnumber(find(""wild card"",join("","",filter($G$1:$G516,$D$1:$D516=D517))))"),FALSE)</f>
        <v>0</v>
      </c>
      <c r="AX517" s="113" t="str">
        <f>IFERROR(__xludf.DUMMYFUNCTION("join("","",let(confs,unique(TRANSPOSe(Teams!$1:$1)), confs_count, BYROW(confs,lambda(conf,xlookup(conf,'Conf WC Eligibility'!A:A,'Conf WC Eligibility'!C:C,,))),confs_picked,byrow(confs,lambda(conf,countif(E$1:E516,conf))),p_needs_conf_count,byrow(confs,la"&amp;"mbda(conf,counta('Draft Order'!B$2:B622)-COUNTUNIQUE(filter(D$2:D516,E$2:E516=conf)))),query({confs,confs_count,confs_picked,p_needs_conf_count},""select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8">
      <c r="A518" s="1"/>
      <c r="B518" s="1"/>
      <c r="C518" s="1"/>
      <c r="D518" s="115"/>
      <c r="E518" s="116"/>
      <c r="F518" s="77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13" t="str">
        <f>IFERROR(__xludf.DUMMYFUNCTION("iferror(join("","",index(sort(filter($F$400:$F519,$Q$400:$Q519&gt;$Q518,arrayformula(isnumber(FIND($E$400:$E519,AP518)))),2,false),0,1)))"),"")</f>
        <v/>
      </c>
      <c r="AW518" s="113" t="b">
        <f>IFERROR(__xludf.DUMMYFUNCTION("isnumber(find(""wild card"",join("","",filter($G$1:$G517,$D$1:$D517=D518))))"),FALSE)</f>
        <v>0</v>
      </c>
      <c r="AX518" s="113" t="str">
        <f>IFERROR(__xludf.DUMMYFUNCTION("join("","",let(confs,unique(TRANSPOSe(Teams!$1:$1)), confs_count, BYROW(confs,lambda(conf,xlookup(conf,'Conf WC Eligibility'!A:A,'Conf WC Eligibility'!C:C,,))),confs_picked,byrow(confs,lambda(conf,countif(E$1:E517,conf))),p_needs_conf_count,byrow(confs,la"&amp;"mbda(conf,counta('Draft Order'!B$2:B622)-COUNTUNIQUE(filter(D$2:D517,E$2:E517=conf)))),query({confs,confs_count,confs_picked,p_needs_conf_count},""select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19">
      <c r="A519" s="1"/>
      <c r="B519" s="1"/>
      <c r="C519" s="1"/>
      <c r="D519" s="115"/>
      <c r="E519" s="116"/>
      <c r="F519" s="77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13" t="str">
        <f>IFERROR(__xludf.DUMMYFUNCTION("iferror(join("","",index(sort(filter($F$400:$F520,$Q$400:$Q520&gt;$Q519,arrayformula(isnumber(FIND($E$400:$E520,AP519)))),2,false),0,1)))"),"")</f>
        <v/>
      </c>
      <c r="AW519" s="113" t="b">
        <f>IFERROR(__xludf.DUMMYFUNCTION("isnumber(find(""wild card"",join("","",filter($G$1:$G518,$D$1:$D518=D519))))"),FALSE)</f>
        <v>0</v>
      </c>
      <c r="AX519" s="113" t="str">
        <f>IFERROR(__xludf.DUMMYFUNCTION("join("","",let(confs,unique(TRANSPOSe(Teams!$1:$1)), confs_count, BYROW(confs,lambda(conf,xlookup(conf,'Conf WC Eligibility'!A:A,'Conf WC Eligibility'!C:C,,))),confs_picked,byrow(confs,lambda(conf,countif(E$1:E518,conf))),p_needs_conf_count,byrow(confs,la"&amp;"mbda(conf,counta('Draft Order'!B$2:B622)-COUNTUNIQUE(filter(D$2:D518,E$2:E518=conf)))),query({confs,confs_count,confs_picked,p_needs_conf_count},""select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0">
      <c r="A520" s="1"/>
      <c r="B520" s="1"/>
      <c r="C520" s="1"/>
      <c r="D520" s="115"/>
      <c r="E520" s="116"/>
      <c r="F520" s="77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13" t="str">
        <f>IFERROR(__xludf.DUMMYFUNCTION("iferror(join("","",index(sort(filter($F$400:$F521,$Q$400:$Q521&gt;$Q520,arrayformula(isnumber(FIND($E$400:$E521,AP520)))),2,false),0,1)))"),"")</f>
        <v/>
      </c>
      <c r="AW520" s="113" t="b">
        <f>IFERROR(__xludf.DUMMYFUNCTION("isnumber(find(""wild card"",join("","",filter($G$1:$G519,$D$1:$D519=D520))))"),FALSE)</f>
        <v>0</v>
      </c>
      <c r="AX520" s="113" t="str">
        <f>IFERROR(__xludf.DUMMYFUNCTION("join("","",let(confs,unique(TRANSPOSe(Teams!$1:$1)), confs_count, BYROW(confs,lambda(conf,xlookup(conf,'Conf WC Eligibility'!A:A,'Conf WC Eligibility'!C:C,,))),confs_picked,byrow(confs,lambda(conf,countif(E$1:E519,conf))),p_needs_conf_count,byrow(confs,la"&amp;"mbda(conf,counta('Draft Order'!B$2:B622)-COUNTUNIQUE(filter(D$2:D519,E$2:E519=conf)))),query({confs,confs_count,confs_picked,p_needs_conf_count},""select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1">
      <c r="A521" s="1"/>
      <c r="B521" s="1"/>
      <c r="C521" s="1"/>
      <c r="D521" s="115"/>
      <c r="E521" s="116"/>
      <c r="F521" s="77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13" t="str">
        <f>IFERROR(__xludf.DUMMYFUNCTION("iferror(join("","",index(sort(filter($F$400:$F522,$Q$400:$Q522&gt;$Q521,arrayformula(isnumber(FIND($E$400:$E522,AP521)))),2,false),0,1)))"),"")</f>
        <v/>
      </c>
      <c r="AW521" s="113" t="b">
        <f>IFERROR(__xludf.DUMMYFUNCTION("isnumber(find(""wild card"",join("","",filter($G$1:$G520,$D$1:$D520=D521))))"),FALSE)</f>
        <v>0</v>
      </c>
      <c r="AX521" s="113" t="str">
        <f>IFERROR(__xludf.DUMMYFUNCTION("join("","",let(confs,unique(TRANSPOSe(Teams!$1:$1)), confs_count, BYROW(confs,lambda(conf,xlookup(conf,'Conf WC Eligibility'!A:A,'Conf WC Eligibility'!C:C,,))),confs_picked,byrow(confs,lambda(conf,countif(E$1:E520,conf))),p_needs_conf_count,byrow(confs,la"&amp;"mbda(conf,counta('Draft Order'!B$2:B622)-COUNTUNIQUE(filter(D$2:D520,E$2:E520=conf)))),query({confs,confs_count,confs_picked,p_needs_conf_count},""select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2">
      <c r="A522" s="1"/>
      <c r="B522" s="1"/>
      <c r="C522" s="1"/>
      <c r="D522" s="115"/>
      <c r="E522" s="116"/>
      <c r="F522" s="77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13" t="str">
        <f>IFERROR(__xludf.DUMMYFUNCTION("iferror(join("","",index(sort(filter($F$400:$F523,$Q$400:$Q523&gt;$Q522,arrayformula(isnumber(FIND($E$400:$E523,AP522)))),2,false),0,1)))"),"")</f>
        <v/>
      </c>
      <c r="AW522" s="113" t="b">
        <f>IFERROR(__xludf.DUMMYFUNCTION("isnumber(find(""wild card"",join("","",filter($G$1:$G521,$D$1:$D521=D522))))"),FALSE)</f>
        <v>0</v>
      </c>
      <c r="AX522" s="113" t="str">
        <f>IFERROR(__xludf.DUMMYFUNCTION("join("","",let(confs,unique(TRANSPOSe(Teams!$1:$1)), confs_count, BYROW(confs,lambda(conf,xlookup(conf,'Conf WC Eligibility'!A:A,'Conf WC Eligibility'!C:C,,))),confs_picked,byrow(confs,lambda(conf,countif(E$1:E521,conf))),p_needs_conf_count,byrow(confs,la"&amp;"mbda(conf,counta('Draft Order'!B$2:B622)-COUNTUNIQUE(filter(D$2:D521,E$2:E521=conf)))),query({confs,confs_count,confs_picked,p_needs_conf_count},""select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3">
      <c r="A523" s="1"/>
      <c r="B523" s="1"/>
      <c r="C523" s="1"/>
      <c r="D523" s="115"/>
      <c r="E523" s="116"/>
      <c r="F523" s="77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13" t="str">
        <f>IFERROR(__xludf.DUMMYFUNCTION("iferror(join("","",index(sort(filter($F$400:$F524,$Q$400:$Q524&gt;$Q523,arrayformula(isnumber(FIND($E$400:$E524,AP523)))),2,false),0,1)))"),"")</f>
        <v/>
      </c>
      <c r="AW523" s="113" t="b">
        <f>IFERROR(__xludf.DUMMYFUNCTION("isnumber(find(""wild card"",join("","",filter($G$1:$G522,$D$1:$D522=D523))))"),FALSE)</f>
        <v>0</v>
      </c>
      <c r="AX523" s="113" t="str">
        <f>IFERROR(__xludf.DUMMYFUNCTION("join("","",let(confs,unique(TRANSPOSe(Teams!$1:$1)), confs_count, BYROW(confs,lambda(conf,xlookup(conf,'Conf WC Eligibility'!A:A,'Conf WC Eligibility'!C:C,,))),confs_picked,byrow(confs,lambda(conf,countif(E$1:E522,conf))),p_needs_conf_count,byrow(confs,la"&amp;"mbda(conf,counta('Draft Order'!B$2:B622)-COUNTUNIQUE(filter(D$2:D522,E$2:E522=conf)))),query({confs,confs_count,confs_picked,p_needs_conf_count},""select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4">
      <c r="A524" s="1"/>
      <c r="B524" s="1"/>
      <c r="C524" s="1"/>
      <c r="D524" s="115"/>
      <c r="E524" s="116"/>
      <c r="F524" s="77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13" t="str">
        <f>IFERROR(__xludf.DUMMYFUNCTION("iferror(join("","",index(sort(filter($F$400:$F525,$Q$400:$Q525&gt;$Q524,arrayformula(isnumber(FIND($E$400:$E525,AP524)))),2,false),0,1)))"),"")</f>
        <v/>
      </c>
      <c r="AW524" s="113" t="b">
        <f>IFERROR(__xludf.DUMMYFUNCTION("isnumber(find(""wild card"",join("","",filter($G$1:$G523,$D$1:$D523=D524))))"),FALSE)</f>
        <v>0</v>
      </c>
      <c r="AX524" s="113" t="str">
        <f>IFERROR(__xludf.DUMMYFUNCTION("join("","",let(confs,unique(TRANSPOSe(Teams!$1:$1)), confs_count, BYROW(confs,lambda(conf,xlookup(conf,'Conf WC Eligibility'!A:A,'Conf WC Eligibility'!C:C,,))),confs_picked,byrow(confs,lambda(conf,countif(E$1:E523,conf))),p_needs_conf_count,byrow(confs,la"&amp;"mbda(conf,counta('Draft Order'!B$2:B622)-COUNTUNIQUE(filter(D$2:D523,E$2:E523=conf)))),query({confs,confs_count,confs_picked,p_needs_conf_count},""select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5">
      <c r="A525" s="1"/>
      <c r="B525" s="1"/>
      <c r="C525" s="1"/>
      <c r="D525" s="115"/>
      <c r="E525" s="116"/>
      <c r="F525" s="77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13" t="str">
        <f>IFERROR(__xludf.DUMMYFUNCTION("iferror(join("","",index(sort(filter($F$400:$F526,$Q$400:$Q526&gt;$Q525,arrayformula(isnumber(FIND($E$400:$E526,AP525)))),2,false),0,1)))"),"")</f>
        <v/>
      </c>
      <c r="AW525" s="113" t="b">
        <f>IFERROR(__xludf.DUMMYFUNCTION("isnumber(find(""wild card"",join("","",filter($G$1:$G524,$D$1:$D524=D525))))"),FALSE)</f>
        <v>0</v>
      </c>
      <c r="AX525" s="113" t="str">
        <f>IFERROR(__xludf.DUMMYFUNCTION("join("","",let(confs,unique(TRANSPOSe(Teams!$1:$1)), confs_count, BYROW(confs,lambda(conf,xlookup(conf,'Conf WC Eligibility'!A:A,'Conf WC Eligibility'!C:C,,))),confs_picked,byrow(confs,lambda(conf,countif(E$1:E524,conf))),p_needs_conf_count,byrow(confs,la"&amp;"mbda(conf,counta('Draft Order'!B$2:B622)-COUNTUNIQUE(filter(D$2:D524,E$2:E524=conf)))),query({confs,confs_count,confs_picked,p_needs_conf_count},""select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6">
      <c r="A526" s="1"/>
      <c r="B526" s="1"/>
      <c r="C526" s="1"/>
      <c r="D526" s="115"/>
      <c r="E526" s="116"/>
      <c r="F526" s="77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13" t="str">
        <f>IFERROR(__xludf.DUMMYFUNCTION("iferror(join("","",index(sort(filter($F$400:$F527,$Q$400:$Q527&gt;$Q526,arrayformula(isnumber(FIND($E$400:$E527,AP526)))),2,false),0,1)))"),"")</f>
        <v/>
      </c>
      <c r="AW526" s="113" t="b">
        <f>IFERROR(__xludf.DUMMYFUNCTION("isnumber(find(""wild card"",join("","",filter($G$1:$G525,$D$1:$D525=D526))))"),FALSE)</f>
        <v>0</v>
      </c>
      <c r="AX526" s="113" t="str">
        <f>IFERROR(__xludf.DUMMYFUNCTION("join("","",let(confs,unique(TRANSPOSe(Teams!$1:$1)), confs_count, BYROW(confs,lambda(conf,xlookup(conf,'Conf WC Eligibility'!A:A,'Conf WC Eligibility'!C:C,,))),confs_picked,byrow(confs,lambda(conf,countif(E$1:E525,conf))),p_needs_conf_count,byrow(confs,la"&amp;"mbda(conf,counta('Draft Order'!B$2:B622)-COUNTUNIQUE(filter(D$2:D525,E$2:E525=conf)))),query({confs,confs_count,confs_picked,p_needs_conf_count},""select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7">
      <c r="A527" s="1"/>
      <c r="B527" s="1"/>
      <c r="C527" s="1"/>
      <c r="D527" s="115"/>
      <c r="E527" s="116"/>
      <c r="F527" s="77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13" t="str">
        <f>IFERROR(__xludf.DUMMYFUNCTION("iferror(join("","",index(sort(filter($F$400:$F528,$Q$400:$Q528&gt;$Q527,arrayformula(isnumber(FIND($E$400:$E528,AP527)))),2,false),0,1)))"),"")</f>
        <v/>
      </c>
      <c r="AW527" s="113" t="b">
        <f>IFERROR(__xludf.DUMMYFUNCTION("isnumber(find(""wild card"",join("","",filter($G$1:$G526,$D$1:$D526=D527))))"),FALSE)</f>
        <v>0</v>
      </c>
      <c r="AX527" s="113" t="str">
        <f>IFERROR(__xludf.DUMMYFUNCTION("join("","",let(confs,unique(TRANSPOSe(Teams!$1:$1)), confs_count, BYROW(confs,lambda(conf,xlookup(conf,'Conf WC Eligibility'!A:A,'Conf WC Eligibility'!C:C,,))),confs_picked,byrow(confs,lambda(conf,countif(E$1:E526,conf))),p_needs_conf_count,byrow(confs,la"&amp;"mbda(conf,counta('Draft Order'!B$2:B622)-COUNTUNIQUE(filter(D$2:D526,E$2:E526=conf)))),query({confs,confs_count,confs_picked,p_needs_conf_count},""select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8">
      <c r="A528" s="1"/>
      <c r="B528" s="1"/>
      <c r="C528" s="1"/>
      <c r="D528" s="115"/>
      <c r="E528" s="116"/>
      <c r="F528" s="77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13" t="str">
        <f>IFERROR(__xludf.DUMMYFUNCTION("iferror(join("","",index(sort(filter($F$400:$F529,$Q$400:$Q529&gt;$Q528,arrayformula(isnumber(FIND($E$400:$E529,AP528)))),2,false),0,1)))"),"")</f>
        <v/>
      </c>
      <c r="AW528" s="113" t="b">
        <f>IFERROR(__xludf.DUMMYFUNCTION("isnumber(find(""wild card"",join("","",filter($G$1:$G527,$D$1:$D527=D528))))"),FALSE)</f>
        <v>0</v>
      </c>
      <c r="AX528" s="113" t="str">
        <f>IFERROR(__xludf.DUMMYFUNCTION("join("","",let(confs,unique(TRANSPOSe(Teams!$1:$1)), confs_count, BYROW(confs,lambda(conf,xlookup(conf,'Conf WC Eligibility'!A:A,'Conf WC Eligibility'!C:C,,))),confs_picked,byrow(confs,lambda(conf,countif(E$1:E527,conf))),p_needs_conf_count,byrow(confs,la"&amp;"mbda(conf,counta('Draft Order'!B$2:B622)-COUNTUNIQUE(filter(D$2:D527,E$2:E527=conf)))),query({confs,confs_count,confs_picked,p_needs_conf_count},""select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29">
      <c r="A529" s="1"/>
      <c r="B529" s="1"/>
      <c r="C529" s="1"/>
      <c r="D529" s="115"/>
      <c r="E529" s="116"/>
      <c r="F529" s="77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13" t="str">
        <f>IFERROR(__xludf.DUMMYFUNCTION("iferror(join("","",index(sort(filter($F$400:$F530,$Q$400:$Q530&gt;$Q529,arrayformula(isnumber(FIND($E$400:$E530,AP529)))),2,false),0,1)))"),"")</f>
        <v/>
      </c>
      <c r="AW529" s="113" t="b">
        <f>IFERROR(__xludf.DUMMYFUNCTION("isnumber(find(""wild card"",join("","",filter($G$1:$G528,$D$1:$D528=D529))))"),FALSE)</f>
        <v>0</v>
      </c>
      <c r="AX529" s="113" t="str">
        <f>IFERROR(__xludf.DUMMYFUNCTION("join("","",let(confs,unique(TRANSPOSe(Teams!$1:$1)), confs_count, BYROW(confs,lambda(conf,xlookup(conf,'Conf WC Eligibility'!A:A,'Conf WC Eligibility'!C:C,,))),confs_picked,byrow(confs,lambda(conf,countif(E$1:E528,conf))),p_needs_conf_count,byrow(confs,la"&amp;"mbda(conf,counta('Draft Order'!B$2:B622)-COUNTUNIQUE(filter(D$2:D528,E$2:E528=conf)))),query({confs,confs_count,confs_picked,p_needs_conf_count},""select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0">
      <c r="A530" s="1"/>
      <c r="B530" s="1"/>
      <c r="C530" s="1"/>
      <c r="D530" s="115"/>
      <c r="E530" s="116"/>
      <c r="F530" s="77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13" t="str">
        <f>IFERROR(__xludf.DUMMYFUNCTION("iferror(join("","",index(sort(filter($F$400:$F531,$Q$400:$Q531&gt;$Q530,arrayformula(isnumber(FIND($E$400:$E531,AP530)))),2,false),0,1)))"),"")</f>
        <v/>
      </c>
      <c r="AW530" s="113" t="b">
        <f>IFERROR(__xludf.DUMMYFUNCTION("isnumber(find(""wild card"",join("","",filter($G$1:$G529,$D$1:$D529=D530))))"),FALSE)</f>
        <v>0</v>
      </c>
      <c r="AX530" s="113" t="str">
        <f>IFERROR(__xludf.DUMMYFUNCTION("join("","",let(confs,unique(TRANSPOSe(Teams!$1:$1)), confs_count, BYROW(confs,lambda(conf,xlookup(conf,'Conf WC Eligibility'!A:A,'Conf WC Eligibility'!C:C,,))),confs_picked,byrow(confs,lambda(conf,countif(E$1:E529,conf))),p_needs_conf_count,byrow(confs,la"&amp;"mbda(conf,counta('Draft Order'!B$2:B622)-COUNTUNIQUE(filter(D$2:D529,E$2:E529=conf)))),query({confs,confs_count,confs_picked,p_needs_conf_count},""select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1">
      <c r="A531" s="1"/>
      <c r="B531" s="1"/>
      <c r="C531" s="1"/>
      <c r="D531" s="115"/>
      <c r="E531" s="116"/>
      <c r="F531" s="77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13" t="str">
        <f>IFERROR(__xludf.DUMMYFUNCTION("iferror(join("","",index(sort(filter($F$400:$F532,$Q$400:$Q532&gt;$Q531,arrayformula(isnumber(FIND($E$400:$E532,AP531)))),2,false),0,1)))"),"")</f>
        <v/>
      </c>
      <c r="AW531" s="113" t="b">
        <f>IFERROR(__xludf.DUMMYFUNCTION("isnumber(find(""wild card"",join("","",filter($G$1:$G530,$D$1:$D530=D531))))"),FALSE)</f>
        <v>0</v>
      </c>
      <c r="AX531" s="113" t="str">
        <f>IFERROR(__xludf.DUMMYFUNCTION("join("","",let(confs,unique(TRANSPOSe(Teams!$1:$1)), confs_count, BYROW(confs,lambda(conf,xlookup(conf,'Conf WC Eligibility'!A:A,'Conf WC Eligibility'!C:C,,))),confs_picked,byrow(confs,lambda(conf,countif(E$1:E530,conf))),p_needs_conf_count,byrow(confs,la"&amp;"mbda(conf,counta('Draft Order'!B$2:B622)-COUNTUNIQUE(filter(D$2:D530,E$2:E530=conf)))),query({confs,confs_count,confs_picked,p_needs_conf_count},""select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2">
      <c r="A532" s="1"/>
      <c r="B532" s="1"/>
      <c r="C532" s="1"/>
      <c r="D532" s="115"/>
      <c r="E532" s="116"/>
      <c r="F532" s="77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13" t="str">
        <f>IFERROR(__xludf.DUMMYFUNCTION("iferror(join("","",index(sort(filter($F$400:$F533,$Q$400:$Q533&gt;$Q532,arrayformula(isnumber(FIND($E$400:$E533,AP532)))),2,false),0,1)))"),"")</f>
        <v/>
      </c>
      <c r="AW532" s="113" t="b">
        <f>IFERROR(__xludf.DUMMYFUNCTION("isnumber(find(""wild card"",join("","",filter($G$1:$G531,$D$1:$D531=D532))))"),FALSE)</f>
        <v>0</v>
      </c>
      <c r="AX532" s="113" t="str">
        <f>IFERROR(__xludf.DUMMYFUNCTION("join("","",let(confs,unique(TRANSPOSe(Teams!$1:$1)), confs_count, BYROW(confs,lambda(conf,xlookup(conf,'Conf WC Eligibility'!A:A,'Conf WC Eligibility'!C:C,,))),confs_picked,byrow(confs,lambda(conf,countif(E$1:E531,conf))),p_needs_conf_count,byrow(confs,la"&amp;"mbda(conf,counta('Draft Order'!B$2:B622)-COUNTUNIQUE(filter(D$2:D531,E$2:E531=conf)))),query({confs,confs_count,confs_picked,p_needs_conf_count},""select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3">
      <c r="A533" s="1"/>
      <c r="B533" s="1"/>
      <c r="C533" s="1"/>
      <c r="D533" s="115"/>
      <c r="E533" s="116"/>
      <c r="F533" s="77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13" t="str">
        <f>IFERROR(__xludf.DUMMYFUNCTION("iferror(join("","",index(sort(filter($F$400:$F534,$Q$400:$Q534&gt;$Q533,arrayformula(isnumber(FIND($E$400:$E534,AP533)))),2,false),0,1)))"),"")</f>
        <v/>
      </c>
      <c r="AW533" s="113" t="b">
        <f>IFERROR(__xludf.DUMMYFUNCTION("isnumber(find(""wild card"",join("","",filter($G$1:$G532,$D$1:$D532=D533))))"),FALSE)</f>
        <v>0</v>
      </c>
      <c r="AX533" s="113" t="str">
        <f>IFERROR(__xludf.DUMMYFUNCTION("join("","",let(confs,unique(TRANSPOSe(Teams!$1:$1)), confs_count, BYROW(confs,lambda(conf,xlookup(conf,'Conf WC Eligibility'!A:A,'Conf WC Eligibility'!C:C,,))),confs_picked,byrow(confs,lambda(conf,countif(E$1:E532,conf))),p_needs_conf_count,byrow(confs,la"&amp;"mbda(conf,counta('Draft Order'!B$2:B622)-COUNTUNIQUE(filter(D$2:D532,E$2:E532=conf)))),query({confs,confs_count,confs_picked,p_needs_conf_count},""select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4">
      <c r="A534" s="1"/>
      <c r="B534" s="1"/>
      <c r="C534" s="1"/>
      <c r="D534" s="115"/>
      <c r="E534" s="116"/>
      <c r="F534" s="77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13" t="str">
        <f>IFERROR(__xludf.DUMMYFUNCTION("iferror(join("","",index(sort(filter($F$400:$F535,$Q$400:$Q535&gt;$Q534,arrayformula(isnumber(FIND($E$400:$E535,AP534)))),2,false),0,1)))"),"")</f>
        <v/>
      </c>
      <c r="AW534" s="113" t="b">
        <f>IFERROR(__xludf.DUMMYFUNCTION("isnumber(find(""wild card"",join("","",filter($G$1:$G533,$D$1:$D533=D534))))"),FALSE)</f>
        <v>0</v>
      </c>
      <c r="AX534" s="113" t="str">
        <f>IFERROR(__xludf.DUMMYFUNCTION("join("","",let(confs,unique(TRANSPOSe(Teams!$1:$1)), confs_count, BYROW(confs,lambda(conf,xlookup(conf,'Conf WC Eligibility'!A:A,'Conf WC Eligibility'!C:C,,))),confs_picked,byrow(confs,lambda(conf,countif(E$1:E533,conf))),p_needs_conf_count,byrow(confs,la"&amp;"mbda(conf,counta('Draft Order'!B$2:B622)-COUNTUNIQUE(filter(D$2:D533,E$2:E533=conf)))),query({confs,confs_count,confs_picked,p_needs_conf_count},""select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5">
      <c r="A535" s="1"/>
      <c r="B535" s="1"/>
      <c r="C535" s="1"/>
      <c r="D535" s="115"/>
      <c r="E535" s="116"/>
      <c r="F535" s="77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13" t="str">
        <f>IFERROR(__xludf.DUMMYFUNCTION("iferror(join("","",index(sort(filter($F$400:$F536,$Q$400:$Q536&gt;$Q535,arrayformula(isnumber(FIND($E$400:$E536,AP535)))),2,false),0,1)))"),"")</f>
        <v/>
      </c>
      <c r="AW535" s="113" t="b">
        <f>IFERROR(__xludf.DUMMYFUNCTION("isnumber(find(""wild card"",join("","",filter($G$1:$G534,$D$1:$D534=D535))))"),FALSE)</f>
        <v>0</v>
      </c>
      <c r="AX535" s="113" t="str">
        <f>IFERROR(__xludf.DUMMYFUNCTION("join("","",let(confs,unique(TRANSPOSe(Teams!$1:$1)), confs_count, BYROW(confs,lambda(conf,xlookup(conf,'Conf WC Eligibility'!A:A,'Conf WC Eligibility'!C:C,,))),confs_picked,byrow(confs,lambda(conf,countif(E$1:E534,conf))),p_needs_conf_count,byrow(confs,la"&amp;"mbda(conf,counta('Draft Order'!B$2:B622)-COUNTUNIQUE(filter(D$2:D534,E$2:E534=conf)))),query({confs,confs_count,confs_picked,p_needs_conf_count},""select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6">
      <c r="A536" s="1"/>
      <c r="B536" s="1"/>
      <c r="C536" s="1"/>
      <c r="D536" s="115"/>
      <c r="E536" s="116"/>
      <c r="F536" s="77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13" t="str">
        <f>IFERROR(__xludf.DUMMYFUNCTION("iferror(join("","",index(sort(filter($F$400:$F537,$Q$400:$Q537&gt;$Q536,arrayformula(isnumber(FIND($E$400:$E537,AP536)))),2,false),0,1)))"),"")</f>
        <v/>
      </c>
      <c r="AW536" s="113" t="b">
        <f>IFERROR(__xludf.DUMMYFUNCTION("isnumber(find(""wild card"",join("","",filter($G$1:$G535,$D$1:$D535=D536))))"),FALSE)</f>
        <v>0</v>
      </c>
      <c r="AX536" s="113" t="str">
        <f>IFERROR(__xludf.DUMMYFUNCTION("join("","",let(confs,unique(TRANSPOSe(Teams!$1:$1)), confs_count, BYROW(confs,lambda(conf,xlookup(conf,'Conf WC Eligibility'!A:A,'Conf WC Eligibility'!C:C,,))),confs_picked,byrow(confs,lambda(conf,countif(E$1:E535,conf))),p_needs_conf_count,byrow(confs,la"&amp;"mbda(conf,counta('Draft Order'!B$2:B622)-COUNTUNIQUE(filter(D$2:D535,E$2:E535=conf)))),query({confs,confs_count,confs_picked,p_needs_conf_count},""select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7">
      <c r="A537" s="1"/>
      <c r="B537" s="1"/>
      <c r="C537" s="1"/>
      <c r="D537" s="115"/>
      <c r="E537" s="116"/>
      <c r="F537" s="77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13" t="str">
        <f>IFERROR(__xludf.DUMMYFUNCTION("iferror(join("","",index(sort(filter($F$400:$F538,$Q$400:$Q538&gt;$Q537,arrayformula(isnumber(FIND($E$400:$E538,AP537)))),2,false),0,1)))"),"")</f>
        <v/>
      </c>
      <c r="AW537" s="113" t="b">
        <f>IFERROR(__xludf.DUMMYFUNCTION("isnumber(find(""wild card"",join("","",filter($G$1:$G536,$D$1:$D536=D537))))"),FALSE)</f>
        <v>0</v>
      </c>
      <c r="AX537" s="113" t="str">
        <f>IFERROR(__xludf.DUMMYFUNCTION("join("","",let(confs,unique(TRANSPOSe(Teams!$1:$1)), confs_count, BYROW(confs,lambda(conf,xlookup(conf,'Conf WC Eligibility'!A:A,'Conf WC Eligibility'!C:C,,))),confs_picked,byrow(confs,lambda(conf,countif(E$1:E536,conf))),p_needs_conf_count,byrow(confs,la"&amp;"mbda(conf,counta('Draft Order'!B$2:B622)-COUNTUNIQUE(filter(D$2:D536,E$2:E536=conf)))),query({confs,confs_count,confs_picked,p_needs_conf_count},""select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8">
      <c r="A538" s="1"/>
      <c r="B538" s="1"/>
      <c r="C538" s="1"/>
      <c r="D538" s="115"/>
      <c r="E538" s="116"/>
      <c r="F538" s="77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13" t="str">
        <f>IFERROR(__xludf.DUMMYFUNCTION("iferror(join("","",index(sort(filter($F$400:$F539,$Q$400:$Q539&gt;$Q538,arrayformula(isnumber(FIND($E$400:$E539,AP538)))),2,false),0,1)))"),"")</f>
        <v/>
      </c>
      <c r="AW538" s="113" t="b">
        <f>IFERROR(__xludf.DUMMYFUNCTION("isnumber(find(""wild card"",join("","",filter($G$1:$G537,$D$1:$D537=D538))))"),FALSE)</f>
        <v>0</v>
      </c>
      <c r="AX538" s="113" t="str">
        <f>IFERROR(__xludf.DUMMYFUNCTION("join("","",let(confs,unique(TRANSPOSe(Teams!$1:$1)), confs_count, BYROW(confs,lambda(conf,xlookup(conf,'Conf WC Eligibility'!A:A,'Conf WC Eligibility'!C:C,,))),confs_picked,byrow(confs,lambda(conf,countif(E$1:E537,conf))),p_needs_conf_count,byrow(confs,la"&amp;"mbda(conf,counta('Draft Order'!B$2:B622)-COUNTUNIQUE(filter(D$2:D537,E$2:E537=conf)))),query({confs,confs_count,confs_picked,p_needs_conf_count},""select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39">
      <c r="A539" s="1"/>
      <c r="B539" s="1"/>
      <c r="C539" s="1"/>
      <c r="D539" s="115"/>
      <c r="E539" s="116"/>
      <c r="F539" s="77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13" t="str">
        <f>IFERROR(__xludf.DUMMYFUNCTION("iferror(join("","",index(sort(filter($F$400:$F540,$Q$400:$Q540&gt;$Q539,arrayformula(isnumber(FIND($E$400:$E540,AP539)))),2,false),0,1)))"),"")</f>
        <v/>
      </c>
      <c r="AW539" s="113" t="b">
        <f>IFERROR(__xludf.DUMMYFUNCTION("isnumber(find(""wild card"",join("","",filter($G$1:$G538,$D$1:$D538=D539))))"),FALSE)</f>
        <v>0</v>
      </c>
      <c r="AX539" s="113" t="str">
        <f>IFERROR(__xludf.DUMMYFUNCTION("join("","",let(confs,unique(TRANSPOSe(Teams!$1:$1)), confs_count, BYROW(confs,lambda(conf,xlookup(conf,'Conf WC Eligibility'!A:A,'Conf WC Eligibility'!C:C,,))),confs_picked,byrow(confs,lambda(conf,countif(E$1:E538,conf))),p_needs_conf_count,byrow(confs,la"&amp;"mbda(conf,counta('Draft Order'!B$2:B622)-COUNTUNIQUE(filter(D$2:D538,E$2:E538=conf)))),query({confs,confs_count,confs_picked,p_needs_conf_count},""select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0">
      <c r="A540" s="1"/>
      <c r="B540" s="1"/>
      <c r="C540" s="1"/>
      <c r="D540" s="115"/>
      <c r="E540" s="116"/>
      <c r="F540" s="77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13" t="str">
        <f>IFERROR(__xludf.DUMMYFUNCTION("iferror(join("","",index(sort(filter($F$400:$F541,$Q$400:$Q541&gt;$Q540,arrayformula(isnumber(FIND($E$400:$E541,AP540)))),2,false),0,1)))"),"")</f>
        <v/>
      </c>
      <c r="AW540" s="113" t="b">
        <f>IFERROR(__xludf.DUMMYFUNCTION("isnumber(find(""wild card"",join("","",filter($G$1:$G539,$D$1:$D539=D540))))"),FALSE)</f>
        <v>0</v>
      </c>
      <c r="AX540" s="113" t="str">
        <f>IFERROR(__xludf.DUMMYFUNCTION("join("","",let(confs,unique(TRANSPOSe(Teams!$1:$1)), confs_count, BYROW(confs,lambda(conf,xlookup(conf,'Conf WC Eligibility'!A:A,'Conf WC Eligibility'!C:C,,))),confs_picked,byrow(confs,lambda(conf,countif(E$1:E539,conf))),p_needs_conf_count,byrow(confs,la"&amp;"mbda(conf,counta('Draft Order'!B$2:B622)-COUNTUNIQUE(filter(D$2:D539,E$2:E539=conf)))),query({confs,confs_count,confs_picked,p_needs_conf_count},""select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1">
      <c r="A541" s="1"/>
      <c r="B541" s="1"/>
      <c r="C541" s="1"/>
      <c r="D541" s="115"/>
      <c r="E541" s="116"/>
      <c r="F541" s="77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13" t="str">
        <f>IFERROR(__xludf.DUMMYFUNCTION("iferror(join("","",index(sort(filter($F$400:$F542,$Q$400:$Q542&gt;$Q541,arrayformula(isnumber(FIND($E$400:$E542,AP541)))),2,false),0,1)))"),"")</f>
        <v/>
      </c>
      <c r="AW541" s="113" t="b">
        <f>IFERROR(__xludf.DUMMYFUNCTION("isnumber(find(""wild card"",join("","",filter($G$1:$G540,$D$1:$D540=D541))))"),FALSE)</f>
        <v>0</v>
      </c>
      <c r="AX541" s="113" t="str">
        <f>IFERROR(__xludf.DUMMYFUNCTION("join("","",let(confs,unique(TRANSPOSe(Teams!$1:$1)), confs_count, BYROW(confs,lambda(conf,xlookup(conf,'Conf WC Eligibility'!A:A,'Conf WC Eligibility'!C:C,,))),confs_picked,byrow(confs,lambda(conf,countif(E$1:E540,conf))),p_needs_conf_count,byrow(confs,la"&amp;"mbda(conf,counta('Draft Order'!B$2:B622)-COUNTUNIQUE(filter(D$2:D540,E$2:E540=conf)))),query({confs,confs_count,confs_picked,p_needs_conf_count},""select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2">
      <c r="A542" s="1"/>
      <c r="B542" s="1"/>
      <c r="C542" s="1"/>
      <c r="D542" s="115"/>
      <c r="E542" s="116"/>
      <c r="F542" s="77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13" t="str">
        <f>IFERROR(__xludf.DUMMYFUNCTION("iferror(join("","",index(sort(filter($F$400:$F543,$Q$400:$Q543&gt;$Q542,arrayformula(isnumber(FIND($E$400:$E543,AP542)))),2,false),0,1)))"),"")</f>
        <v/>
      </c>
      <c r="AW542" s="113" t="b">
        <f>IFERROR(__xludf.DUMMYFUNCTION("isnumber(find(""wild card"",join("","",filter($G$1:$G541,$D$1:$D541=D542))))"),FALSE)</f>
        <v>0</v>
      </c>
      <c r="AX542" s="113" t="str">
        <f>IFERROR(__xludf.DUMMYFUNCTION("join("","",let(confs,unique(TRANSPOSe(Teams!$1:$1)), confs_count, BYROW(confs,lambda(conf,xlookup(conf,'Conf WC Eligibility'!A:A,'Conf WC Eligibility'!C:C,,))),confs_picked,byrow(confs,lambda(conf,countif(E$1:E541,conf))),p_needs_conf_count,byrow(confs,la"&amp;"mbda(conf,counta('Draft Order'!B$2:B622)-COUNTUNIQUE(filter(D$2:D541,E$2:E541=conf)))),query({confs,confs_count,confs_picked,p_needs_conf_count},""select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3">
      <c r="A543" s="1"/>
      <c r="B543" s="1"/>
      <c r="C543" s="1"/>
      <c r="D543" s="115"/>
      <c r="E543" s="116"/>
      <c r="F543" s="77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13" t="str">
        <f>IFERROR(__xludf.DUMMYFUNCTION("iferror(join("","",index(sort(filter($F$400:$F544,$Q$400:$Q544&gt;$Q543,arrayformula(isnumber(FIND($E$400:$E544,AP543)))),2,false),0,1)))"),"")</f>
        <v/>
      </c>
      <c r="AW543" s="113" t="b">
        <f>IFERROR(__xludf.DUMMYFUNCTION("isnumber(find(""wild card"",join("","",filter($G$1:$G542,$D$1:$D542=D543))))"),FALSE)</f>
        <v>0</v>
      </c>
      <c r="AX543" s="113" t="str">
        <f>IFERROR(__xludf.DUMMYFUNCTION("join("","",let(confs,unique(TRANSPOSe(Teams!$1:$1)), confs_count, BYROW(confs,lambda(conf,xlookup(conf,'Conf WC Eligibility'!A:A,'Conf WC Eligibility'!C:C,,))),confs_picked,byrow(confs,lambda(conf,countif(E$1:E542,conf))),p_needs_conf_count,byrow(confs,la"&amp;"mbda(conf,counta('Draft Order'!B$2:B622)-COUNTUNIQUE(filter(D$2:D542,E$2:E542=conf)))),query({confs,confs_count,confs_picked,p_needs_conf_count},""select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4">
      <c r="A544" s="1"/>
      <c r="B544" s="1"/>
      <c r="C544" s="1"/>
      <c r="D544" s="115"/>
      <c r="E544" s="116"/>
      <c r="F544" s="77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13" t="str">
        <f>IFERROR(__xludf.DUMMYFUNCTION("iferror(join("","",index(sort(filter($F$400:$F545,$Q$400:$Q545&gt;$Q544,arrayformula(isnumber(FIND($E$400:$E545,AP544)))),2,false),0,1)))"),"")</f>
        <v/>
      </c>
      <c r="AW544" s="113" t="b">
        <f>IFERROR(__xludf.DUMMYFUNCTION("isnumber(find(""wild card"",join("","",filter($G$1:$G543,$D$1:$D543=D544))))"),FALSE)</f>
        <v>0</v>
      </c>
      <c r="AX544" s="113" t="str">
        <f>IFERROR(__xludf.DUMMYFUNCTION("join("","",let(confs,unique(TRANSPOSe(Teams!$1:$1)), confs_count, BYROW(confs,lambda(conf,xlookup(conf,'Conf WC Eligibility'!A:A,'Conf WC Eligibility'!C:C,,))),confs_picked,byrow(confs,lambda(conf,countif(E$1:E543,conf))),p_needs_conf_count,byrow(confs,la"&amp;"mbda(conf,counta('Draft Order'!B$2:B622)-COUNTUNIQUE(filter(D$2:D543,E$2:E543=conf)))),query({confs,confs_count,confs_picked,p_needs_conf_count},""select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5">
      <c r="A545" s="1"/>
      <c r="B545" s="1"/>
      <c r="C545" s="1"/>
      <c r="D545" s="115"/>
      <c r="E545" s="116"/>
      <c r="F545" s="77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13" t="str">
        <f>IFERROR(__xludf.DUMMYFUNCTION("iferror(join("","",index(sort(filter($F$400:$F546,$Q$400:$Q546&gt;$Q545,arrayformula(isnumber(FIND($E$400:$E546,AP545)))),2,false),0,1)))"),"")</f>
        <v/>
      </c>
      <c r="AW545" s="113" t="b">
        <f>IFERROR(__xludf.DUMMYFUNCTION("isnumber(find(""wild card"",join("","",filter($G$1:$G544,$D$1:$D544=D545))))"),FALSE)</f>
        <v>0</v>
      </c>
      <c r="AX545" s="113" t="str">
        <f>IFERROR(__xludf.DUMMYFUNCTION("join("","",let(confs,unique(TRANSPOSe(Teams!$1:$1)), confs_count, BYROW(confs,lambda(conf,xlookup(conf,'Conf WC Eligibility'!A:A,'Conf WC Eligibility'!C:C,,))),confs_picked,byrow(confs,lambda(conf,countif(E$1:E544,conf))),p_needs_conf_count,byrow(confs,la"&amp;"mbda(conf,counta('Draft Order'!B$2:B622)-COUNTUNIQUE(filter(D$2:D544,E$2:E544=conf)))),query({confs,confs_count,confs_picked,p_needs_conf_count},""select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6">
      <c r="A546" s="1"/>
      <c r="B546" s="1"/>
      <c r="C546" s="1"/>
      <c r="D546" s="115"/>
      <c r="E546" s="116"/>
      <c r="F546" s="77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13" t="str">
        <f>IFERROR(__xludf.DUMMYFUNCTION("iferror(join("","",index(sort(filter($F$400:$F547,$Q$400:$Q547&gt;$Q546,arrayformula(isnumber(FIND($E$400:$E547,AP546)))),2,false),0,1)))"),"")</f>
        <v/>
      </c>
      <c r="AW546" s="113" t="b">
        <f>IFERROR(__xludf.DUMMYFUNCTION("isnumber(find(""wild card"",join("","",filter($G$1:$G545,$D$1:$D545=D546))))"),FALSE)</f>
        <v>0</v>
      </c>
      <c r="AX546" s="113" t="str">
        <f>IFERROR(__xludf.DUMMYFUNCTION("join("","",let(confs,unique(TRANSPOSe(Teams!$1:$1)), confs_count, BYROW(confs,lambda(conf,xlookup(conf,'Conf WC Eligibility'!A:A,'Conf WC Eligibility'!C:C,,))),confs_picked,byrow(confs,lambda(conf,countif(E$1:E545,conf))),p_needs_conf_count,byrow(confs,la"&amp;"mbda(conf,counta('Draft Order'!B$2:B622)-COUNTUNIQUE(filter(D$2:D545,E$2:E545=conf)))),query({confs,confs_count,confs_picked,p_needs_conf_count},""select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7">
      <c r="A547" s="1"/>
      <c r="B547" s="1"/>
      <c r="C547" s="1"/>
      <c r="D547" s="115"/>
      <c r="E547" s="116"/>
      <c r="F547" s="77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13" t="str">
        <f>IFERROR(__xludf.DUMMYFUNCTION("iferror(join("","",index(sort(filter($F$400:$F548,$Q$400:$Q548&gt;$Q547,arrayformula(isnumber(FIND($E$400:$E548,AP547)))),2,false),0,1)))"),"")</f>
        <v/>
      </c>
      <c r="AW547" s="113" t="b">
        <f>IFERROR(__xludf.DUMMYFUNCTION("isnumber(find(""wild card"",join("","",filter($G$1:$G546,$D$1:$D546=D547))))"),FALSE)</f>
        <v>0</v>
      </c>
      <c r="AX547" s="113" t="str">
        <f>IFERROR(__xludf.DUMMYFUNCTION("join("","",let(confs,unique(TRANSPOSe(Teams!$1:$1)), confs_count, BYROW(confs,lambda(conf,xlookup(conf,'Conf WC Eligibility'!A:A,'Conf WC Eligibility'!C:C,,))),confs_picked,byrow(confs,lambda(conf,countif(E$1:E546,conf))),p_needs_conf_count,byrow(confs,la"&amp;"mbda(conf,counta('Draft Order'!B$2:B622)-COUNTUNIQUE(filter(D$2:D546,E$2:E546=conf)))),query({confs,confs_count,confs_picked,p_needs_conf_count},""select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8">
      <c r="A548" s="1"/>
      <c r="B548" s="1"/>
      <c r="C548" s="1"/>
      <c r="D548" s="115"/>
      <c r="E548" s="116"/>
      <c r="F548" s="77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13" t="str">
        <f>IFERROR(__xludf.DUMMYFUNCTION("iferror(join("","",index(sort(filter($F$400:$F549,$Q$400:$Q549&gt;$Q548,arrayformula(isnumber(FIND($E$400:$E549,AP548)))),2,false),0,1)))"),"")</f>
        <v/>
      </c>
      <c r="AW548" s="113" t="b">
        <f>IFERROR(__xludf.DUMMYFUNCTION("isnumber(find(""wild card"",join("","",filter($G$1:$G547,$D$1:$D547=D548))))"),FALSE)</f>
        <v>0</v>
      </c>
      <c r="AX548" s="113" t="str">
        <f>IFERROR(__xludf.DUMMYFUNCTION("join("","",let(confs,unique(TRANSPOSe(Teams!$1:$1)), confs_count, BYROW(confs,lambda(conf,xlookup(conf,'Conf WC Eligibility'!A:A,'Conf WC Eligibility'!C:C,,))),confs_picked,byrow(confs,lambda(conf,countif(E$1:E547,conf))),p_needs_conf_count,byrow(confs,la"&amp;"mbda(conf,counta('Draft Order'!B$2:B622)-COUNTUNIQUE(filter(D$2:D547,E$2:E547=conf)))),query({confs,confs_count,confs_picked,p_needs_conf_count},""select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49">
      <c r="A549" s="1"/>
      <c r="B549" s="1"/>
      <c r="C549" s="1"/>
      <c r="D549" s="115"/>
      <c r="E549" s="116"/>
      <c r="F549" s="77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13" t="str">
        <f>IFERROR(__xludf.DUMMYFUNCTION("iferror(join("","",index(sort(filter($F$400:$F550,$Q$400:$Q550&gt;$Q549,arrayformula(isnumber(FIND($E$400:$E550,AP549)))),2,false),0,1)))"),"")</f>
        <v/>
      </c>
      <c r="AW549" s="113" t="b">
        <f>IFERROR(__xludf.DUMMYFUNCTION("isnumber(find(""wild card"",join("","",filter($G$1:$G548,$D$1:$D548=D549))))"),FALSE)</f>
        <v>0</v>
      </c>
      <c r="AX549" s="113" t="str">
        <f>IFERROR(__xludf.DUMMYFUNCTION("join("","",let(confs,unique(TRANSPOSe(Teams!$1:$1)), confs_count, BYROW(confs,lambda(conf,xlookup(conf,'Conf WC Eligibility'!A:A,'Conf WC Eligibility'!C:C,,))),confs_picked,byrow(confs,lambda(conf,countif(E$1:E548,conf))),p_needs_conf_count,byrow(confs,la"&amp;"mbda(conf,counta('Draft Order'!B$2:B622)-COUNTUNIQUE(filter(D$2:D548,E$2:E548=conf)))),query({confs,confs_count,confs_picked,p_needs_conf_count},""select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0">
      <c r="A550" s="1"/>
      <c r="B550" s="1"/>
      <c r="C550" s="1"/>
      <c r="D550" s="115"/>
      <c r="E550" s="116"/>
      <c r="F550" s="77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13" t="str">
        <f>IFERROR(__xludf.DUMMYFUNCTION("iferror(join("","",index(sort(filter($F$400:$F551,$Q$400:$Q551&gt;$Q550,arrayformula(isnumber(FIND($E$400:$E551,AP550)))),2,false),0,1)))"),"")</f>
        <v/>
      </c>
      <c r="AW550" s="113" t="b">
        <f>IFERROR(__xludf.DUMMYFUNCTION("isnumber(find(""wild card"",join("","",filter($G$1:$G549,$D$1:$D549=D550))))"),FALSE)</f>
        <v>0</v>
      </c>
      <c r="AX550" s="113" t="str">
        <f>IFERROR(__xludf.DUMMYFUNCTION("join("","",let(confs,unique(TRANSPOSe(Teams!$1:$1)), confs_count, BYROW(confs,lambda(conf,xlookup(conf,'Conf WC Eligibility'!A:A,'Conf WC Eligibility'!C:C,,))),confs_picked,byrow(confs,lambda(conf,countif(E$1:E549,conf))),p_needs_conf_count,byrow(confs,la"&amp;"mbda(conf,counta('Draft Order'!B$2:B622)-COUNTUNIQUE(filter(D$2:D549,E$2:E549=conf)))),query({confs,confs_count,confs_picked,p_needs_conf_count},""select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1">
      <c r="A551" s="1"/>
      <c r="B551" s="1"/>
      <c r="C551" s="1"/>
      <c r="D551" s="115"/>
      <c r="E551" s="116"/>
      <c r="F551" s="77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13" t="str">
        <f>IFERROR(__xludf.DUMMYFUNCTION("iferror(join("","",index(sort(filter($F$400:$F552,$Q$400:$Q552&gt;$Q551,arrayformula(isnumber(FIND($E$400:$E552,AP551)))),2,false),0,1)))"),"")</f>
        <v/>
      </c>
      <c r="AW551" s="113" t="b">
        <f>IFERROR(__xludf.DUMMYFUNCTION("isnumber(find(""wild card"",join("","",filter($G$1:$G550,$D$1:$D550=D551))))"),FALSE)</f>
        <v>0</v>
      </c>
      <c r="AX551" s="113" t="str">
        <f>IFERROR(__xludf.DUMMYFUNCTION("join("","",let(confs,unique(TRANSPOSe(Teams!$1:$1)), confs_count, BYROW(confs,lambda(conf,xlookup(conf,'Conf WC Eligibility'!A:A,'Conf WC Eligibility'!C:C,,))),confs_picked,byrow(confs,lambda(conf,countif(E$1:E550,conf))),p_needs_conf_count,byrow(confs,la"&amp;"mbda(conf,counta('Draft Order'!B$2:B622)-COUNTUNIQUE(filter(D$2:D550,E$2:E550=conf)))),query({confs,confs_count,confs_picked,p_needs_conf_count},""select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2">
      <c r="A552" s="1"/>
      <c r="B552" s="1"/>
      <c r="C552" s="1"/>
      <c r="D552" s="115"/>
      <c r="E552" s="116"/>
      <c r="F552" s="77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13" t="str">
        <f>IFERROR(__xludf.DUMMYFUNCTION("iferror(join("","",index(sort(filter($F$400:$F553,$Q$400:$Q553&gt;$Q552,arrayformula(isnumber(FIND($E$400:$E553,AP552)))),2,false),0,1)))"),"")</f>
        <v/>
      </c>
      <c r="AW552" s="113" t="b">
        <f>IFERROR(__xludf.DUMMYFUNCTION("isnumber(find(""wild card"",join("","",filter($G$1:$G551,$D$1:$D551=D552))))"),FALSE)</f>
        <v>0</v>
      </c>
      <c r="AX552" s="113" t="str">
        <f>IFERROR(__xludf.DUMMYFUNCTION("join("","",let(confs,unique(TRANSPOSe(Teams!$1:$1)), confs_count, BYROW(confs,lambda(conf,xlookup(conf,'Conf WC Eligibility'!A:A,'Conf WC Eligibility'!C:C,,))),confs_picked,byrow(confs,lambda(conf,countif(E$1:E551,conf))),p_needs_conf_count,byrow(confs,la"&amp;"mbda(conf,counta('Draft Order'!B$2:B622)-COUNTUNIQUE(filter(D$2:D551,E$2:E551=conf)))),query({confs,confs_count,confs_picked,p_needs_conf_count},""select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3">
      <c r="A553" s="1"/>
      <c r="B553" s="1"/>
      <c r="C553" s="1"/>
      <c r="D553" s="115"/>
      <c r="E553" s="116"/>
      <c r="F553" s="77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13" t="str">
        <f>IFERROR(__xludf.DUMMYFUNCTION("iferror(join("","",index(sort(filter($F$400:$F554,$Q$400:$Q554&gt;$Q553,arrayformula(isnumber(FIND($E$400:$E554,AP553)))),2,false),0,1)))"),"")</f>
        <v/>
      </c>
      <c r="AW553" s="113" t="b">
        <f>IFERROR(__xludf.DUMMYFUNCTION("isnumber(find(""wild card"",join("","",filter($G$1:$G552,$D$1:$D552=D553))))"),FALSE)</f>
        <v>0</v>
      </c>
      <c r="AX553" s="113" t="str">
        <f>IFERROR(__xludf.DUMMYFUNCTION("join("","",let(confs,unique(TRANSPOSe(Teams!$1:$1)), confs_count, BYROW(confs,lambda(conf,xlookup(conf,'Conf WC Eligibility'!A:A,'Conf WC Eligibility'!C:C,,))),confs_picked,byrow(confs,lambda(conf,countif(E$1:E552,conf))),p_needs_conf_count,byrow(confs,la"&amp;"mbda(conf,counta('Draft Order'!B$2:B622)-COUNTUNIQUE(filter(D$2:D552,E$2:E552=conf)))),query({confs,confs_count,confs_picked,p_needs_conf_count},""select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4">
      <c r="A554" s="1"/>
      <c r="B554" s="1"/>
      <c r="C554" s="1"/>
      <c r="D554" s="115"/>
      <c r="E554" s="116"/>
      <c r="F554" s="77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13" t="str">
        <f>IFERROR(__xludf.DUMMYFUNCTION("iferror(join("","",index(sort(filter($F$400:$F555,$Q$400:$Q555&gt;$Q554,arrayformula(isnumber(FIND($E$400:$E555,AP554)))),2,false),0,1)))"),"")</f>
        <v/>
      </c>
      <c r="AW554" s="113" t="b">
        <f>IFERROR(__xludf.DUMMYFUNCTION("isnumber(find(""wild card"",join("","",filter($G$1:$G553,$D$1:$D553=D554))))"),FALSE)</f>
        <v>0</v>
      </c>
      <c r="AX554" s="113" t="str">
        <f>IFERROR(__xludf.DUMMYFUNCTION("join("","",let(confs,unique(TRANSPOSe(Teams!$1:$1)), confs_count, BYROW(confs,lambda(conf,xlookup(conf,'Conf WC Eligibility'!A:A,'Conf WC Eligibility'!C:C,,))),confs_picked,byrow(confs,lambda(conf,countif(E$1:E553,conf))),p_needs_conf_count,byrow(confs,la"&amp;"mbda(conf,counta('Draft Order'!B$2:B622)-COUNTUNIQUE(filter(D$2:D553,E$2:E553=conf)))),query({confs,confs_count,confs_picked,p_needs_conf_count},""select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5">
      <c r="A555" s="1"/>
      <c r="B555" s="1"/>
      <c r="C555" s="1"/>
      <c r="D555" s="115"/>
      <c r="E555" s="116"/>
      <c r="F555" s="77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13" t="str">
        <f>IFERROR(__xludf.DUMMYFUNCTION("iferror(join("","",index(sort(filter($F$400:$F556,$Q$400:$Q556&gt;$Q555,arrayformula(isnumber(FIND($E$400:$E556,AP555)))),2,false),0,1)))"),"")</f>
        <v/>
      </c>
      <c r="AW555" s="113" t="b">
        <f>IFERROR(__xludf.DUMMYFUNCTION("isnumber(find(""wild card"",join("","",filter($G$1:$G554,$D$1:$D554=D555))))"),FALSE)</f>
        <v>0</v>
      </c>
      <c r="AX555" s="113" t="str">
        <f>IFERROR(__xludf.DUMMYFUNCTION("join("","",let(confs,unique(TRANSPOSe(Teams!$1:$1)), confs_count, BYROW(confs,lambda(conf,xlookup(conf,'Conf WC Eligibility'!A:A,'Conf WC Eligibility'!C:C,,))),confs_picked,byrow(confs,lambda(conf,countif(E$1:E554,conf))),p_needs_conf_count,byrow(confs,la"&amp;"mbda(conf,counta('Draft Order'!B$2:B622)-COUNTUNIQUE(filter(D$2:D554,E$2:E554=conf)))),query({confs,confs_count,confs_picked,p_needs_conf_count},""select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6">
      <c r="A556" s="1"/>
      <c r="B556" s="1"/>
      <c r="C556" s="1"/>
      <c r="D556" s="115"/>
      <c r="E556" s="116"/>
      <c r="F556" s="77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13" t="str">
        <f>IFERROR(__xludf.DUMMYFUNCTION("iferror(join("","",index(sort(filter($F$400:$F557,$Q$400:$Q557&gt;$Q556,arrayformula(isnumber(FIND($E$400:$E557,AP556)))),2,false),0,1)))"),"")</f>
        <v/>
      </c>
      <c r="AW556" s="113" t="b">
        <f>IFERROR(__xludf.DUMMYFUNCTION("isnumber(find(""wild card"",join("","",filter($G$1:$G555,$D$1:$D555=D556))))"),FALSE)</f>
        <v>0</v>
      </c>
      <c r="AX556" s="113" t="str">
        <f>IFERROR(__xludf.DUMMYFUNCTION("join("","",let(confs,unique(TRANSPOSe(Teams!$1:$1)), confs_count, BYROW(confs,lambda(conf,xlookup(conf,'Conf WC Eligibility'!A:A,'Conf WC Eligibility'!C:C,,))),confs_picked,byrow(confs,lambda(conf,countif(E$1:E555,conf))),p_needs_conf_count,byrow(confs,la"&amp;"mbda(conf,counta('Draft Order'!B$2:B622)-COUNTUNIQUE(filter(D$2:D555,E$2:E555=conf)))),query({confs,confs_count,confs_picked,p_needs_conf_count},""select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7">
      <c r="A557" s="1"/>
      <c r="B557" s="1"/>
      <c r="C557" s="1"/>
      <c r="D557" s="115"/>
      <c r="E557" s="116"/>
      <c r="F557" s="77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13" t="str">
        <f>IFERROR(__xludf.DUMMYFUNCTION("iferror(join("","",index(sort(filter($F$400:$F558,$Q$400:$Q558&gt;$Q557,arrayformula(isnumber(FIND($E$400:$E558,AP557)))),2,false),0,1)))"),"")</f>
        <v/>
      </c>
      <c r="AW557" s="113" t="b">
        <f>IFERROR(__xludf.DUMMYFUNCTION("isnumber(find(""wild card"",join("","",filter($G$1:$G556,$D$1:$D556=D557))))"),FALSE)</f>
        <v>0</v>
      </c>
      <c r="AX557" s="113" t="str">
        <f>IFERROR(__xludf.DUMMYFUNCTION("join("","",let(confs,unique(TRANSPOSe(Teams!$1:$1)), confs_count, BYROW(confs,lambda(conf,xlookup(conf,'Conf WC Eligibility'!A:A,'Conf WC Eligibility'!C:C,,))),confs_picked,byrow(confs,lambda(conf,countif(E$1:E556,conf))),p_needs_conf_count,byrow(confs,la"&amp;"mbda(conf,counta('Draft Order'!B$2:B622)-COUNTUNIQUE(filter(D$2:D556,E$2:E556=conf)))),query({confs,confs_count,confs_picked,p_needs_conf_count},""select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8">
      <c r="A558" s="1"/>
      <c r="B558" s="1"/>
      <c r="C558" s="1"/>
      <c r="D558" s="115"/>
      <c r="E558" s="116"/>
      <c r="F558" s="77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13" t="str">
        <f>IFERROR(__xludf.DUMMYFUNCTION("iferror(join("","",index(sort(filter($F$400:$F559,$Q$400:$Q559&gt;$Q558,arrayformula(isnumber(FIND($E$400:$E559,AP558)))),2,false),0,1)))"),"")</f>
        <v/>
      </c>
      <c r="AW558" s="113" t="b">
        <f>IFERROR(__xludf.DUMMYFUNCTION("isnumber(find(""wild card"",join("","",filter($G$1:$G557,$D$1:$D557=D558))))"),FALSE)</f>
        <v>0</v>
      </c>
      <c r="AX558" s="113" t="str">
        <f>IFERROR(__xludf.DUMMYFUNCTION("join("","",let(confs,unique(TRANSPOSe(Teams!$1:$1)), confs_count, BYROW(confs,lambda(conf,xlookup(conf,'Conf WC Eligibility'!A:A,'Conf WC Eligibility'!C:C,,))),confs_picked,byrow(confs,lambda(conf,countif(E$1:E557,conf))),p_needs_conf_count,byrow(confs,la"&amp;"mbda(conf,counta('Draft Order'!B$2:B622)-COUNTUNIQUE(filter(D$2:D557,E$2:E557=conf)))),query({confs,confs_count,confs_picked,p_needs_conf_count},""select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59">
      <c r="A559" s="1"/>
      <c r="B559" s="1"/>
      <c r="C559" s="1"/>
      <c r="D559" s="115"/>
      <c r="E559" s="116"/>
      <c r="F559" s="77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13" t="str">
        <f>IFERROR(__xludf.DUMMYFUNCTION("iferror(join("","",index(sort(filter($F$400:$F560,$Q$400:$Q560&gt;$Q559,arrayformula(isnumber(FIND($E$400:$E560,AP559)))),2,false),0,1)))"),"")</f>
        <v/>
      </c>
      <c r="AW559" s="113" t="b">
        <f>IFERROR(__xludf.DUMMYFUNCTION("isnumber(find(""wild card"",join("","",filter($G$1:$G558,$D$1:$D558=D559))))"),FALSE)</f>
        <v>0</v>
      </c>
      <c r="AX559" s="113" t="str">
        <f>IFERROR(__xludf.DUMMYFUNCTION("join("","",let(confs,unique(TRANSPOSe(Teams!$1:$1)), confs_count, BYROW(confs,lambda(conf,xlookup(conf,'Conf WC Eligibility'!A:A,'Conf WC Eligibility'!C:C,,))),confs_picked,byrow(confs,lambda(conf,countif(E$1:E558,conf))),p_needs_conf_count,byrow(confs,la"&amp;"mbda(conf,counta('Draft Order'!B$2:B622)-COUNTUNIQUE(filter(D$2:D558,E$2:E558=conf)))),query({confs,confs_count,confs_picked,p_needs_conf_count},""select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0">
      <c r="A560" s="1"/>
      <c r="B560" s="1"/>
      <c r="C560" s="1"/>
      <c r="D560" s="115"/>
      <c r="E560" s="116"/>
      <c r="F560" s="77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13" t="str">
        <f>IFERROR(__xludf.DUMMYFUNCTION("iferror(join("","",index(sort(filter($F$400:$F561,$Q$400:$Q561&gt;$Q560,arrayformula(isnumber(FIND($E$400:$E561,AP560)))),2,false),0,1)))"),"")</f>
        <v/>
      </c>
      <c r="AW560" s="113" t="b">
        <f>IFERROR(__xludf.DUMMYFUNCTION("isnumber(find(""wild card"",join("","",filter($G$1:$G559,$D$1:$D559=D560))))"),FALSE)</f>
        <v>0</v>
      </c>
      <c r="AX560" s="113" t="str">
        <f>IFERROR(__xludf.DUMMYFUNCTION("join("","",let(confs,unique(TRANSPOSe(Teams!$1:$1)), confs_count, BYROW(confs,lambda(conf,xlookup(conf,'Conf WC Eligibility'!A:A,'Conf WC Eligibility'!C:C,,))),confs_picked,byrow(confs,lambda(conf,countif(E$1:E559,conf))),p_needs_conf_count,byrow(confs,la"&amp;"mbda(conf,counta('Draft Order'!B$2:B622)-COUNTUNIQUE(filter(D$2:D559,E$2:E559=conf)))),query({confs,confs_count,confs_picked,p_needs_conf_count},""select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1">
      <c r="A561" s="1"/>
      <c r="B561" s="1"/>
      <c r="C561" s="1"/>
      <c r="D561" s="115"/>
      <c r="E561" s="116"/>
      <c r="F561" s="77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13" t="str">
        <f>IFERROR(__xludf.DUMMYFUNCTION("iferror(join("","",index(sort(filter($F$400:$F562,$Q$400:$Q562&gt;$Q561,arrayformula(isnumber(FIND($E$400:$E562,AP561)))),2,false),0,1)))"),"")</f>
        <v/>
      </c>
      <c r="AW561" s="113" t="b">
        <f>IFERROR(__xludf.DUMMYFUNCTION("isnumber(find(""wild card"",join("","",filter($G$1:$G560,$D$1:$D560=D561))))"),FALSE)</f>
        <v>0</v>
      </c>
      <c r="AX561" s="113" t="str">
        <f>IFERROR(__xludf.DUMMYFUNCTION("join("","",let(confs,unique(TRANSPOSe(Teams!$1:$1)), confs_count, BYROW(confs,lambda(conf,xlookup(conf,'Conf WC Eligibility'!A:A,'Conf WC Eligibility'!C:C,,))),confs_picked,byrow(confs,lambda(conf,countif(E$1:E560,conf))),p_needs_conf_count,byrow(confs,la"&amp;"mbda(conf,counta('Draft Order'!B$2:B622)-COUNTUNIQUE(filter(D$2:D560,E$2:E560=conf)))),query({confs,confs_count,confs_picked,p_needs_conf_count},""select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2">
      <c r="A562" s="1"/>
      <c r="B562" s="1"/>
      <c r="C562" s="1"/>
      <c r="D562" s="115"/>
      <c r="E562" s="116"/>
      <c r="F562" s="77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13" t="str">
        <f>IFERROR(__xludf.DUMMYFUNCTION("iferror(join("","",index(sort(filter($F$400:$F563,$Q$400:$Q563&gt;$Q562,arrayformula(isnumber(FIND($E$400:$E563,AP562)))),2,false),0,1)))"),"")</f>
        <v/>
      </c>
      <c r="AW562" s="113" t="b">
        <f>IFERROR(__xludf.DUMMYFUNCTION("isnumber(find(""wild card"",join("","",filter($G$1:$G561,$D$1:$D561=D562))))"),FALSE)</f>
        <v>0</v>
      </c>
      <c r="AX562" s="113" t="str">
        <f>IFERROR(__xludf.DUMMYFUNCTION("join("","",let(confs,unique(TRANSPOSe(Teams!$1:$1)), confs_count, BYROW(confs,lambda(conf,xlookup(conf,'Conf WC Eligibility'!A:A,'Conf WC Eligibility'!C:C,,))),confs_picked,byrow(confs,lambda(conf,countif(E$1:E561,conf))),p_needs_conf_count,byrow(confs,la"&amp;"mbda(conf,counta('Draft Order'!B$2:B622)-COUNTUNIQUE(filter(D$2:D561,E$2:E561=conf)))),query({confs,confs_count,confs_picked,p_needs_conf_count},""select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3">
      <c r="A563" s="1"/>
      <c r="B563" s="1"/>
      <c r="C563" s="1"/>
      <c r="D563" s="115"/>
      <c r="E563" s="116"/>
      <c r="F563" s="77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13" t="str">
        <f>IFERROR(__xludf.DUMMYFUNCTION("iferror(join("","",index(sort(filter($F$400:$F564,$Q$400:$Q564&gt;$Q563,arrayformula(isnumber(FIND($E$400:$E564,AP563)))),2,false),0,1)))"),"")</f>
        <v/>
      </c>
      <c r="AW563" s="113" t="b">
        <f>IFERROR(__xludf.DUMMYFUNCTION("isnumber(find(""wild card"",join("","",filter($G$1:$G562,$D$1:$D562=D563))))"),FALSE)</f>
        <v>0</v>
      </c>
      <c r="AX563" s="113" t="str">
        <f>IFERROR(__xludf.DUMMYFUNCTION("join("","",let(confs,unique(TRANSPOSe(Teams!$1:$1)), confs_count, BYROW(confs,lambda(conf,xlookup(conf,'Conf WC Eligibility'!A:A,'Conf WC Eligibility'!C:C,,))),confs_picked,byrow(confs,lambda(conf,countif(E$1:E562,conf))),p_needs_conf_count,byrow(confs,la"&amp;"mbda(conf,counta('Draft Order'!B$2:B622)-COUNTUNIQUE(filter(D$2:D562,E$2:E562=conf)))),query({confs,confs_count,confs_picked,p_needs_conf_count},""select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4">
      <c r="A564" s="1"/>
      <c r="B564" s="1"/>
      <c r="C564" s="1"/>
      <c r="D564" s="115"/>
      <c r="E564" s="116"/>
      <c r="F564" s="77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13" t="str">
        <f>IFERROR(__xludf.DUMMYFUNCTION("iferror(join("","",index(sort(filter($F$400:$F565,$Q$400:$Q565&gt;$Q564,arrayformula(isnumber(FIND($E$400:$E565,AP564)))),2,false),0,1)))"),"")</f>
        <v/>
      </c>
      <c r="AW564" s="113" t="b">
        <f>IFERROR(__xludf.DUMMYFUNCTION("isnumber(find(""wild card"",join("","",filter($G$1:$G563,$D$1:$D563=D564))))"),FALSE)</f>
        <v>0</v>
      </c>
      <c r="AX564" s="113" t="str">
        <f>IFERROR(__xludf.DUMMYFUNCTION("join("","",let(confs,unique(TRANSPOSe(Teams!$1:$1)), confs_count, BYROW(confs,lambda(conf,xlookup(conf,'Conf WC Eligibility'!A:A,'Conf WC Eligibility'!C:C,,))),confs_picked,byrow(confs,lambda(conf,countif(E$1:E563,conf))),p_needs_conf_count,byrow(confs,la"&amp;"mbda(conf,counta('Draft Order'!B$2:B622)-COUNTUNIQUE(filter(D$2:D563,E$2:E563=conf)))),query({confs,confs_count,confs_picked,p_needs_conf_count},""select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5">
      <c r="A565" s="1"/>
      <c r="B565" s="1"/>
      <c r="C565" s="1"/>
      <c r="D565" s="115"/>
      <c r="E565" s="116"/>
      <c r="F565" s="77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13" t="str">
        <f>IFERROR(__xludf.DUMMYFUNCTION("iferror(join("","",index(sort(filter($F$400:$F566,$Q$400:$Q566&gt;$Q565,arrayformula(isnumber(FIND($E$400:$E566,AP565)))),2,false),0,1)))"),"")</f>
        <v/>
      </c>
      <c r="AW565" s="113" t="b">
        <f>IFERROR(__xludf.DUMMYFUNCTION("isnumber(find(""wild card"",join("","",filter($G$1:$G564,$D$1:$D564=D565))))"),FALSE)</f>
        <v>0</v>
      </c>
      <c r="AX565" s="113" t="str">
        <f>IFERROR(__xludf.DUMMYFUNCTION("join("","",let(confs,unique(TRANSPOSe(Teams!$1:$1)), confs_count, BYROW(confs,lambda(conf,xlookup(conf,'Conf WC Eligibility'!A:A,'Conf WC Eligibility'!C:C,,))),confs_picked,byrow(confs,lambda(conf,countif(E$1:E564,conf))),p_needs_conf_count,byrow(confs,la"&amp;"mbda(conf,counta('Draft Order'!B$2:B622)-COUNTUNIQUE(filter(D$2:D564,E$2:E564=conf)))),query({confs,confs_count,confs_picked,p_needs_conf_count},""select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6">
      <c r="A566" s="1"/>
      <c r="B566" s="1"/>
      <c r="C566" s="1"/>
      <c r="D566" s="115"/>
      <c r="E566" s="116"/>
      <c r="F566" s="77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13" t="str">
        <f>IFERROR(__xludf.DUMMYFUNCTION("iferror(join("","",index(sort(filter($F$400:$F567,$Q$400:$Q567&gt;$Q566,arrayformula(isnumber(FIND($E$400:$E567,AP566)))),2,false),0,1)))"),"")</f>
        <v/>
      </c>
      <c r="AW566" s="113" t="b">
        <f>IFERROR(__xludf.DUMMYFUNCTION("isnumber(find(""wild card"",join("","",filter($G$1:$G565,$D$1:$D565=D566))))"),FALSE)</f>
        <v>0</v>
      </c>
      <c r="AX566" s="113" t="str">
        <f>IFERROR(__xludf.DUMMYFUNCTION("join("","",let(confs,unique(TRANSPOSe(Teams!$1:$1)), confs_count, BYROW(confs,lambda(conf,xlookup(conf,'Conf WC Eligibility'!A:A,'Conf WC Eligibility'!C:C,,))),confs_picked,byrow(confs,lambda(conf,countif(E$1:E565,conf))),p_needs_conf_count,byrow(confs,la"&amp;"mbda(conf,counta('Draft Order'!B$2:B622)-COUNTUNIQUE(filter(D$2:D565,E$2:E565=conf)))),query({confs,confs_count,confs_picked,p_needs_conf_count},""select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7">
      <c r="A567" s="1"/>
      <c r="B567" s="1"/>
      <c r="C567" s="1"/>
      <c r="D567" s="115"/>
      <c r="E567" s="116"/>
      <c r="F567" s="77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13" t="str">
        <f>IFERROR(__xludf.DUMMYFUNCTION("iferror(join("","",index(sort(filter($F$400:$F568,$Q$400:$Q568&gt;$Q567,arrayformula(isnumber(FIND($E$400:$E568,AP567)))),2,false),0,1)))"),"")</f>
        <v/>
      </c>
      <c r="AW567" s="113" t="b">
        <f>IFERROR(__xludf.DUMMYFUNCTION("isnumber(find(""wild card"",join("","",filter($G$1:$G566,$D$1:$D566=D567))))"),FALSE)</f>
        <v>0</v>
      </c>
      <c r="AX567" s="113" t="str">
        <f>IFERROR(__xludf.DUMMYFUNCTION("join("","",let(confs,unique(TRANSPOSe(Teams!$1:$1)), confs_count, BYROW(confs,lambda(conf,xlookup(conf,'Conf WC Eligibility'!A:A,'Conf WC Eligibility'!C:C,,))),confs_picked,byrow(confs,lambda(conf,countif(E$1:E566,conf))),p_needs_conf_count,byrow(confs,la"&amp;"mbda(conf,counta('Draft Order'!B$2:B622)-COUNTUNIQUE(filter(D$2:D566,E$2:E566=conf)))),query({confs,confs_count,confs_picked,p_needs_conf_count},""select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8">
      <c r="A568" s="1"/>
      <c r="B568" s="1"/>
      <c r="C568" s="1"/>
      <c r="D568" s="115"/>
      <c r="E568" s="116"/>
      <c r="F568" s="77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13" t="str">
        <f>IFERROR(__xludf.DUMMYFUNCTION("iferror(join("","",index(sort(filter($F$400:$F569,$Q$400:$Q569&gt;$Q568,arrayformula(isnumber(FIND($E$400:$E569,AP568)))),2,false),0,1)))"),"")</f>
        <v/>
      </c>
      <c r="AW568" s="113" t="b">
        <f>IFERROR(__xludf.DUMMYFUNCTION("isnumber(find(""wild card"",join("","",filter($G$1:$G567,$D$1:$D567=D568))))"),FALSE)</f>
        <v>0</v>
      </c>
      <c r="AX568" s="113" t="str">
        <f>IFERROR(__xludf.DUMMYFUNCTION("join("","",let(confs,unique(TRANSPOSe(Teams!$1:$1)), confs_count, BYROW(confs,lambda(conf,xlookup(conf,'Conf WC Eligibility'!A:A,'Conf WC Eligibility'!C:C,,))),confs_picked,byrow(confs,lambda(conf,countif(E$1:E567,conf))),p_needs_conf_count,byrow(confs,la"&amp;"mbda(conf,counta('Draft Order'!B$2:B622)-COUNTUNIQUE(filter(D$2:D567,E$2:E567=conf)))),query({confs,confs_count,confs_picked,p_needs_conf_count},""select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69">
      <c r="A569" s="1"/>
      <c r="B569" s="1"/>
      <c r="C569" s="1"/>
      <c r="D569" s="115"/>
      <c r="E569" s="116"/>
      <c r="F569" s="77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13" t="str">
        <f>IFERROR(__xludf.DUMMYFUNCTION("iferror(join("","",index(sort(filter($F$400:$F570,$Q$400:$Q570&gt;$Q569,arrayformula(isnumber(FIND($E$400:$E570,AP569)))),2,false),0,1)))"),"")</f>
        <v/>
      </c>
      <c r="AW569" s="113" t="b">
        <f>IFERROR(__xludf.DUMMYFUNCTION("isnumber(find(""wild card"",join("","",filter($G$1:$G568,$D$1:$D568=D569))))"),FALSE)</f>
        <v>0</v>
      </c>
      <c r="AX569" s="113" t="str">
        <f>IFERROR(__xludf.DUMMYFUNCTION("join("","",let(confs,unique(TRANSPOSe(Teams!$1:$1)), confs_count, BYROW(confs,lambda(conf,xlookup(conf,'Conf WC Eligibility'!A:A,'Conf WC Eligibility'!C:C,,))),confs_picked,byrow(confs,lambda(conf,countif(E$1:E568,conf))),p_needs_conf_count,byrow(confs,la"&amp;"mbda(conf,counta('Draft Order'!B$2:B622)-COUNTUNIQUE(filter(D$2:D568,E$2:E568=conf)))),query({confs,confs_count,confs_picked,p_needs_conf_count},""select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0">
      <c r="A570" s="1"/>
      <c r="B570" s="1"/>
      <c r="C570" s="1"/>
      <c r="D570" s="115"/>
      <c r="E570" s="116"/>
      <c r="F570" s="77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13" t="str">
        <f>IFERROR(__xludf.DUMMYFUNCTION("iferror(join("","",index(sort(filter($F$400:$F571,$Q$400:$Q571&gt;$Q570,arrayformula(isnumber(FIND($E$400:$E571,AP570)))),2,false),0,1)))"),"")</f>
        <v/>
      </c>
      <c r="AW570" s="113" t="b">
        <f>IFERROR(__xludf.DUMMYFUNCTION("isnumber(find(""wild card"",join("","",filter($G$1:$G569,$D$1:$D569=D570))))"),FALSE)</f>
        <v>0</v>
      </c>
      <c r="AX570" s="113" t="str">
        <f>IFERROR(__xludf.DUMMYFUNCTION("join("","",let(confs,unique(TRANSPOSe(Teams!$1:$1)), confs_count, BYROW(confs,lambda(conf,xlookup(conf,'Conf WC Eligibility'!A:A,'Conf WC Eligibility'!C:C,,))),confs_picked,byrow(confs,lambda(conf,countif(E$1:E569,conf))),p_needs_conf_count,byrow(confs,la"&amp;"mbda(conf,counta('Draft Order'!B$2:B622)-COUNTUNIQUE(filter(D$2:D569,E$2:E569=conf)))),query({confs,confs_count,confs_picked,p_needs_conf_count},""select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1">
      <c r="A571" s="1"/>
      <c r="B571" s="1"/>
      <c r="C571" s="1"/>
      <c r="D571" s="115"/>
      <c r="E571" s="116"/>
      <c r="F571" s="77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13" t="str">
        <f>IFERROR(__xludf.DUMMYFUNCTION("iferror(join("","",index(sort(filter($F$400:$F572,$Q$400:$Q572&gt;$Q571,arrayformula(isnumber(FIND($E$400:$E572,AP571)))),2,false),0,1)))"),"")</f>
        <v/>
      </c>
      <c r="AW571" s="113" t="b">
        <f>IFERROR(__xludf.DUMMYFUNCTION("isnumber(find(""wild card"",join("","",filter($G$1:$G570,$D$1:$D570=D571))))"),FALSE)</f>
        <v>0</v>
      </c>
      <c r="AX571" s="113" t="str">
        <f>IFERROR(__xludf.DUMMYFUNCTION("join("","",let(confs,unique(TRANSPOSe(Teams!$1:$1)), confs_count, BYROW(confs,lambda(conf,xlookup(conf,'Conf WC Eligibility'!A:A,'Conf WC Eligibility'!C:C,,))),confs_picked,byrow(confs,lambda(conf,countif(E$1:E570,conf))),p_needs_conf_count,byrow(confs,la"&amp;"mbda(conf,counta('Draft Order'!B$2:B622)-COUNTUNIQUE(filter(D$2:D570,E$2:E570=conf)))),query({confs,confs_count,confs_picked,p_needs_conf_count},""select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2">
      <c r="A572" s="1"/>
      <c r="B572" s="1"/>
      <c r="C572" s="1"/>
      <c r="D572" s="115"/>
      <c r="E572" s="116"/>
      <c r="F572" s="77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13" t="str">
        <f>IFERROR(__xludf.DUMMYFUNCTION("iferror(join("","",index(sort(filter($F$400:$F573,$Q$400:$Q573&gt;$Q572,arrayformula(isnumber(FIND($E$400:$E573,AP572)))),2,false),0,1)))"),"")</f>
        <v/>
      </c>
      <c r="AW572" s="113" t="b">
        <f>IFERROR(__xludf.DUMMYFUNCTION("isnumber(find(""wild card"",join("","",filter($G$1:$G571,$D$1:$D571=D572))))"),FALSE)</f>
        <v>0</v>
      </c>
      <c r="AX572" s="113" t="str">
        <f>IFERROR(__xludf.DUMMYFUNCTION("join("","",let(confs,unique(TRANSPOSe(Teams!$1:$1)), confs_count, BYROW(confs,lambda(conf,xlookup(conf,'Conf WC Eligibility'!A:A,'Conf WC Eligibility'!C:C,,))),confs_picked,byrow(confs,lambda(conf,countif(E$1:E571,conf))),p_needs_conf_count,byrow(confs,la"&amp;"mbda(conf,counta('Draft Order'!B$2:B622)-COUNTUNIQUE(filter(D$2:D571,E$2:E571=conf)))),query({confs,confs_count,confs_picked,p_needs_conf_count},""select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3">
      <c r="A573" s="1"/>
      <c r="B573" s="1"/>
      <c r="C573" s="1"/>
      <c r="D573" s="115"/>
      <c r="E573" s="116"/>
      <c r="F573" s="77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13" t="str">
        <f>IFERROR(__xludf.DUMMYFUNCTION("iferror(join("","",index(sort(filter($F$400:$F574,$Q$400:$Q574&gt;$Q573,arrayformula(isnumber(FIND($E$400:$E574,AP573)))),2,false),0,1)))"),"")</f>
        <v/>
      </c>
      <c r="AW573" s="113" t="b">
        <f>IFERROR(__xludf.DUMMYFUNCTION("isnumber(find(""wild card"",join("","",filter($G$1:$G572,$D$1:$D572=D573))))"),FALSE)</f>
        <v>0</v>
      </c>
      <c r="AX573" s="113" t="str">
        <f>IFERROR(__xludf.DUMMYFUNCTION("join("","",let(confs,unique(TRANSPOSe(Teams!$1:$1)), confs_count, BYROW(confs,lambda(conf,xlookup(conf,'Conf WC Eligibility'!A:A,'Conf WC Eligibility'!C:C,,))),confs_picked,byrow(confs,lambda(conf,countif(E$1:E572,conf))),p_needs_conf_count,byrow(confs,la"&amp;"mbda(conf,counta('Draft Order'!B$2:B622)-COUNTUNIQUE(filter(D$2:D572,E$2:E572=conf)))),query({confs,confs_count,confs_picked,p_needs_conf_count},""select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4">
      <c r="A574" s="1"/>
      <c r="B574" s="1"/>
      <c r="C574" s="1"/>
      <c r="D574" s="115"/>
      <c r="E574" s="116"/>
      <c r="F574" s="77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13" t="str">
        <f>IFERROR(__xludf.DUMMYFUNCTION("iferror(join("","",index(sort(filter($F$400:$F575,$Q$400:$Q575&gt;$Q574,arrayformula(isnumber(FIND($E$400:$E575,AP574)))),2,false),0,1)))"),"")</f>
        <v/>
      </c>
      <c r="AW574" s="113" t="b">
        <f>IFERROR(__xludf.DUMMYFUNCTION("isnumber(find(""wild card"",join("","",filter($G$1:$G573,$D$1:$D573=D574))))"),FALSE)</f>
        <v>0</v>
      </c>
      <c r="AX574" s="113" t="str">
        <f>IFERROR(__xludf.DUMMYFUNCTION("join("","",let(confs,unique(TRANSPOSe(Teams!$1:$1)), confs_count, BYROW(confs,lambda(conf,xlookup(conf,'Conf WC Eligibility'!A:A,'Conf WC Eligibility'!C:C,,))),confs_picked,byrow(confs,lambda(conf,countif(E$1:E573,conf))),p_needs_conf_count,byrow(confs,la"&amp;"mbda(conf,counta('Draft Order'!B$2:B622)-COUNTUNIQUE(filter(D$2:D573,E$2:E573=conf)))),query({confs,confs_count,confs_picked,p_needs_conf_count},""select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5">
      <c r="A575" s="1"/>
      <c r="B575" s="1"/>
      <c r="C575" s="1"/>
      <c r="D575" s="115"/>
      <c r="E575" s="116"/>
      <c r="F575" s="77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13" t="str">
        <f>IFERROR(__xludf.DUMMYFUNCTION("iferror(join("","",index(sort(filter($F$400:$F576,$Q$400:$Q576&gt;$Q575,arrayformula(isnumber(FIND($E$400:$E576,AP575)))),2,false),0,1)))"),"")</f>
        <v/>
      </c>
      <c r="AW575" s="113" t="b">
        <f>IFERROR(__xludf.DUMMYFUNCTION("isnumber(find(""wild card"",join("","",filter($G$1:$G574,$D$1:$D574=D575))))"),FALSE)</f>
        <v>0</v>
      </c>
      <c r="AX575" s="113" t="str">
        <f>IFERROR(__xludf.DUMMYFUNCTION("join("","",let(confs,unique(TRANSPOSe(Teams!$1:$1)), confs_count, BYROW(confs,lambda(conf,xlookup(conf,'Conf WC Eligibility'!A:A,'Conf WC Eligibility'!C:C,,))),confs_picked,byrow(confs,lambda(conf,countif(E$1:E574,conf))),p_needs_conf_count,byrow(confs,la"&amp;"mbda(conf,counta('Draft Order'!B$2:B622)-COUNTUNIQUE(filter(D$2:D574,E$2:E574=conf)))),query({confs,confs_count,confs_picked,p_needs_conf_count},""select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6">
      <c r="A576" s="1"/>
      <c r="B576" s="1"/>
      <c r="C576" s="1"/>
      <c r="D576" s="115"/>
      <c r="E576" s="116"/>
      <c r="F576" s="77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13" t="str">
        <f>IFERROR(__xludf.DUMMYFUNCTION("iferror(join("","",index(sort(filter($F$400:$F577,$Q$400:$Q577&gt;$Q576,arrayformula(isnumber(FIND($E$400:$E577,AP576)))),2,false),0,1)))"),"")</f>
        <v/>
      </c>
      <c r="AW576" s="113" t="b">
        <f>IFERROR(__xludf.DUMMYFUNCTION("isnumber(find(""wild card"",join("","",filter($G$1:$G575,$D$1:$D575=D576))))"),FALSE)</f>
        <v>0</v>
      </c>
      <c r="AX576" s="113" t="str">
        <f>IFERROR(__xludf.DUMMYFUNCTION("join("","",let(confs,unique(TRANSPOSe(Teams!$1:$1)), confs_count, BYROW(confs,lambda(conf,xlookup(conf,'Conf WC Eligibility'!A:A,'Conf WC Eligibility'!C:C,,))),confs_picked,byrow(confs,lambda(conf,countif(E$1:E575,conf))),p_needs_conf_count,byrow(confs,la"&amp;"mbda(conf,counta('Draft Order'!B$2:B622)-COUNTUNIQUE(filter(D$2:D575,E$2:E575=conf)))),query({confs,confs_count,confs_picked,p_needs_conf_count},""select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7">
      <c r="A577" s="1"/>
      <c r="B577" s="1"/>
      <c r="C577" s="1"/>
      <c r="D577" s="115"/>
      <c r="E577" s="116"/>
      <c r="F577" s="77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13" t="str">
        <f>IFERROR(__xludf.DUMMYFUNCTION("iferror(join("","",index(sort(filter($F$400:$F578,$Q$400:$Q578&gt;$Q577,arrayformula(isnumber(FIND($E$400:$E578,AP577)))),2,false),0,1)))"),"")</f>
        <v/>
      </c>
      <c r="AW577" s="113" t="b">
        <f>IFERROR(__xludf.DUMMYFUNCTION("isnumber(find(""wild card"",join("","",filter($G$1:$G576,$D$1:$D576=D577))))"),FALSE)</f>
        <v>0</v>
      </c>
      <c r="AX577" s="113" t="str">
        <f>IFERROR(__xludf.DUMMYFUNCTION("join("","",let(confs,unique(TRANSPOSe(Teams!$1:$1)), confs_count, BYROW(confs,lambda(conf,xlookup(conf,'Conf WC Eligibility'!A:A,'Conf WC Eligibility'!C:C,,))),confs_picked,byrow(confs,lambda(conf,countif(E$1:E576,conf))),p_needs_conf_count,byrow(confs,la"&amp;"mbda(conf,counta('Draft Order'!B$2:B622)-COUNTUNIQUE(filter(D$2:D576,E$2:E576=conf)))),query({confs,confs_count,confs_picked,p_needs_conf_count},""select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8">
      <c r="A578" s="1"/>
      <c r="B578" s="1"/>
      <c r="C578" s="1"/>
      <c r="D578" s="115"/>
      <c r="E578" s="116"/>
      <c r="F578" s="77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13" t="str">
        <f>IFERROR(__xludf.DUMMYFUNCTION("iferror(join("","",index(sort(filter($F$400:$F579,$Q$400:$Q579&gt;$Q578,arrayformula(isnumber(FIND($E$400:$E579,AP578)))),2,false),0,1)))"),"")</f>
        <v/>
      </c>
      <c r="AW578" s="113" t="b">
        <f>IFERROR(__xludf.DUMMYFUNCTION("isnumber(find(""wild card"",join("","",filter($G$1:$G577,$D$1:$D577=D578))))"),FALSE)</f>
        <v>0</v>
      </c>
      <c r="AX578" s="113" t="str">
        <f>IFERROR(__xludf.DUMMYFUNCTION("join("","",let(confs,unique(TRANSPOSe(Teams!$1:$1)), confs_count, BYROW(confs,lambda(conf,xlookup(conf,'Conf WC Eligibility'!A:A,'Conf WC Eligibility'!C:C,,))),confs_picked,byrow(confs,lambda(conf,countif(E$1:E577,conf))),p_needs_conf_count,byrow(confs,la"&amp;"mbda(conf,counta('Draft Order'!B$2:B622)-COUNTUNIQUE(filter(D$2:D577,E$2:E577=conf)))),query({confs,confs_count,confs_picked,p_needs_conf_count},""select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79">
      <c r="A579" s="1"/>
      <c r="B579" s="1"/>
      <c r="C579" s="1"/>
      <c r="D579" s="115"/>
      <c r="E579" s="116"/>
      <c r="F579" s="77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13" t="str">
        <f>IFERROR(__xludf.DUMMYFUNCTION("iferror(join("","",index(sort(filter($F$400:$F580,$Q$400:$Q580&gt;$Q579,arrayformula(isnumber(FIND($E$400:$E580,AP579)))),2,false),0,1)))"),"")</f>
        <v/>
      </c>
      <c r="AW579" s="113" t="b">
        <f>IFERROR(__xludf.DUMMYFUNCTION("isnumber(find(""wild card"",join("","",filter($G$1:$G578,$D$1:$D578=D579))))"),FALSE)</f>
        <v>0</v>
      </c>
      <c r="AX579" s="113" t="str">
        <f>IFERROR(__xludf.DUMMYFUNCTION("join("","",let(confs,unique(TRANSPOSe(Teams!$1:$1)), confs_count, BYROW(confs,lambda(conf,xlookup(conf,'Conf WC Eligibility'!A:A,'Conf WC Eligibility'!C:C,,))),confs_picked,byrow(confs,lambda(conf,countif(E$1:E578,conf))),p_needs_conf_count,byrow(confs,la"&amp;"mbda(conf,counta('Draft Order'!B$2:B622)-COUNTUNIQUE(filter(D$2:D578,E$2:E578=conf)))),query({confs,confs_count,confs_picked,p_needs_conf_count},""select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0">
      <c r="A580" s="1"/>
      <c r="B580" s="1"/>
      <c r="C580" s="1"/>
      <c r="D580" s="115"/>
      <c r="E580" s="116"/>
      <c r="F580" s="77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13" t="str">
        <f>IFERROR(__xludf.DUMMYFUNCTION("iferror(join("","",index(sort(filter($F$400:$F581,$Q$400:$Q581&gt;$Q580,arrayformula(isnumber(FIND($E$400:$E581,AP580)))),2,false),0,1)))"),"")</f>
        <v/>
      </c>
      <c r="AW580" s="113" t="b">
        <f>IFERROR(__xludf.DUMMYFUNCTION("isnumber(find(""wild card"",join("","",filter($G$1:$G579,$D$1:$D579=D580))))"),FALSE)</f>
        <v>0</v>
      </c>
      <c r="AX580" s="113" t="str">
        <f>IFERROR(__xludf.DUMMYFUNCTION("join("","",let(confs,unique(TRANSPOSe(Teams!$1:$1)), confs_count, BYROW(confs,lambda(conf,xlookup(conf,'Conf WC Eligibility'!A:A,'Conf WC Eligibility'!C:C,,))),confs_picked,byrow(confs,lambda(conf,countif(E$1:E579,conf))),p_needs_conf_count,byrow(confs,la"&amp;"mbda(conf,counta('Draft Order'!B$2:B622)-COUNTUNIQUE(filter(D$2:D579,E$2:E579=conf)))),query({confs,confs_count,confs_picked,p_needs_conf_count},""select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1">
      <c r="A581" s="1"/>
      <c r="B581" s="1"/>
      <c r="C581" s="1"/>
      <c r="D581" s="115"/>
      <c r="E581" s="116"/>
      <c r="F581" s="77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13" t="str">
        <f>IFERROR(__xludf.DUMMYFUNCTION("iferror(join("","",index(sort(filter($F$400:$F582,$Q$400:$Q582&gt;$Q581,arrayformula(isnumber(FIND($E$400:$E582,AP581)))),2,false),0,1)))"),"")</f>
        <v/>
      </c>
      <c r="AW581" s="113" t="b">
        <f>IFERROR(__xludf.DUMMYFUNCTION("isnumber(find(""wild card"",join("","",filter($G$1:$G580,$D$1:$D580=D581))))"),FALSE)</f>
        <v>0</v>
      </c>
      <c r="AX581" s="113" t="str">
        <f>IFERROR(__xludf.DUMMYFUNCTION("join("","",let(confs,unique(TRANSPOSe(Teams!$1:$1)), confs_count, BYROW(confs,lambda(conf,xlookup(conf,'Conf WC Eligibility'!A:A,'Conf WC Eligibility'!C:C,,))),confs_picked,byrow(confs,lambda(conf,countif(E$1:E580,conf))),p_needs_conf_count,byrow(confs,la"&amp;"mbda(conf,counta('Draft Order'!B$2:B622)-COUNTUNIQUE(filter(D$2:D580,E$2:E580=conf)))),query({confs,confs_count,confs_picked,p_needs_conf_count},""select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2">
      <c r="A582" s="1"/>
      <c r="B582" s="1"/>
      <c r="C582" s="1"/>
      <c r="D582" s="115"/>
      <c r="E582" s="116"/>
      <c r="F582" s="77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13" t="str">
        <f>IFERROR(__xludf.DUMMYFUNCTION("iferror(join("","",index(sort(filter($F$400:$F583,$Q$400:$Q583&gt;$Q582,arrayformula(isnumber(FIND($E$400:$E583,AP582)))),2,false),0,1)))"),"")</f>
        <v/>
      </c>
      <c r="AW582" s="113" t="b">
        <f>IFERROR(__xludf.DUMMYFUNCTION("isnumber(find(""wild card"",join("","",filter($G$1:$G581,$D$1:$D581=D582))))"),FALSE)</f>
        <v>0</v>
      </c>
      <c r="AX582" s="113" t="str">
        <f>IFERROR(__xludf.DUMMYFUNCTION("join("","",let(confs,unique(TRANSPOSe(Teams!$1:$1)), confs_count, BYROW(confs,lambda(conf,xlookup(conf,'Conf WC Eligibility'!A:A,'Conf WC Eligibility'!C:C,,))),confs_picked,byrow(confs,lambda(conf,countif(E$1:E581,conf))),p_needs_conf_count,byrow(confs,la"&amp;"mbda(conf,counta('Draft Order'!B$2:B622)-COUNTUNIQUE(filter(D$2:D581,E$2:E581=conf)))),query({confs,confs_count,confs_picked,p_needs_conf_count},""select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3">
      <c r="A583" s="1"/>
      <c r="B583" s="1"/>
      <c r="C583" s="1"/>
      <c r="D583" s="115"/>
      <c r="E583" s="116"/>
      <c r="F583" s="77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13" t="str">
        <f>IFERROR(__xludf.DUMMYFUNCTION("iferror(join("","",index(sort(filter($F$400:$F584,$Q$400:$Q584&gt;$Q583,arrayformula(isnumber(FIND($E$400:$E584,AP583)))),2,false),0,1)))"),"")</f>
        <v/>
      </c>
      <c r="AW583" s="113" t="b">
        <f>IFERROR(__xludf.DUMMYFUNCTION("isnumber(find(""wild card"",join("","",filter($G$1:$G582,$D$1:$D582=D583))))"),FALSE)</f>
        <v>0</v>
      </c>
      <c r="AX583" s="113" t="str">
        <f>IFERROR(__xludf.DUMMYFUNCTION("join("","",let(confs,unique(TRANSPOSe(Teams!$1:$1)), confs_count, BYROW(confs,lambda(conf,xlookup(conf,'Conf WC Eligibility'!A:A,'Conf WC Eligibility'!C:C,,))),confs_picked,byrow(confs,lambda(conf,countif(E$1:E582,conf))),p_needs_conf_count,byrow(confs,la"&amp;"mbda(conf,counta('Draft Order'!B$2:B622)-COUNTUNIQUE(filter(D$2:D582,E$2:E582=conf)))),query({confs,confs_count,confs_picked,p_needs_conf_count},""select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4">
      <c r="A584" s="1"/>
      <c r="B584" s="1"/>
      <c r="C584" s="1"/>
      <c r="D584" s="115"/>
      <c r="E584" s="116"/>
      <c r="F584" s="77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13" t="str">
        <f>IFERROR(__xludf.DUMMYFUNCTION("iferror(join("","",index(sort(filter($F$400:$F585,$Q$400:$Q585&gt;$Q584,arrayformula(isnumber(FIND($E$400:$E585,AP584)))),2,false),0,1)))"),"")</f>
        <v/>
      </c>
      <c r="AW584" s="113" t="b">
        <f>IFERROR(__xludf.DUMMYFUNCTION("isnumber(find(""wild card"",join("","",filter($G$1:$G583,$D$1:$D583=D584))))"),FALSE)</f>
        <v>0</v>
      </c>
      <c r="AX584" s="113" t="str">
        <f>IFERROR(__xludf.DUMMYFUNCTION("join("","",let(confs,unique(TRANSPOSe(Teams!$1:$1)), confs_count, BYROW(confs,lambda(conf,xlookup(conf,'Conf WC Eligibility'!A:A,'Conf WC Eligibility'!C:C,,))),confs_picked,byrow(confs,lambda(conf,countif(E$1:E583,conf))),p_needs_conf_count,byrow(confs,la"&amp;"mbda(conf,counta('Draft Order'!B$2:B622)-COUNTUNIQUE(filter(D$2:D583,E$2:E583=conf)))),query({confs,confs_count,confs_picked,p_needs_conf_count},""select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5">
      <c r="A585" s="1"/>
      <c r="B585" s="1"/>
      <c r="C585" s="1"/>
      <c r="D585" s="115"/>
      <c r="E585" s="116"/>
      <c r="F585" s="77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13" t="str">
        <f>IFERROR(__xludf.DUMMYFUNCTION("iferror(join("","",index(sort(filter($F$400:$F586,$Q$400:$Q586&gt;$Q585,arrayformula(isnumber(FIND($E$400:$E586,AP585)))),2,false),0,1)))"),"")</f>
        <v/>
      </c>
      <c r="AW585" s="113" t="b">
        <f>IFERROR(__xludf.DUMMYFUNCTION("isnumber(find(""wild card"",join("","",filter($G$1:$G584,$D$1:$D584=D585))))"),FALSE)</f>
        <v>0</v>
      </c>
      <c r="AX585" s="113" t="str">
        <f>IFERROR(__xludf.DUMMYFUNCTION("join("","",let(confs,unique(TRANSPOSe(Teams!$1:$1)), confs_count, BYROW(confs,lambda(conf,xlookup(conf,'Conf WC Eligibility'!A:A,'Conf WC Eligibility'!C:C,,))),confs_picked,byrow(confs,lambda(conf,countif(E$1:E584,conf))),p_needs_conf_count,byrow(confs,la"&amp;"mbda(conf,counta('Draft Order'!B$2:B622)-COUNTUNIQUE(filter(D$2:D584,E$2:E584=conf)))),query({confs,confs_count,confs_picked,p_needs_conf_count},""select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6">
      <c r="A586" s="1"/>
      <c r="B586" s="1"/>
      <c r="C586" s="1"/>
      <c r="D586" s="115"/>
      <c r="E586" s="116"/>
      <c r="F586" s="77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13" t="str">
        <f>IFERROR(__xludf.DUMMYFUNCTION("iferror(join("","",index(sort(filter($F$400:$F587,$Q$400:$Q587&gt;$Q586,arrayformula(isnumber(FIND($E$400:$E587,AP586)))),2,false),0,1)))"),"")</f>
        <v/>
      </c>
      <c r="AW586" s="113" t="b">
        <f>IFERROR(__xludf.DUMMYFUNCTION("isnumber(find(""wild card"",join("","",filter($G$1:$G585,$D$1:$D585=D586))))"),FALSE)</f>
        <v>0</v>
      </c>
      <c r="AX586" s="113" t="str">
        <f>IFERROR(__xludf.DUMMYFUNCTION("join("","",let(confs,unique(TRANSPOSe(Teams!$1:$1)), confs_count, BYROW(confs,lambda(conf,xlookup(conf,'Conf WC Eligibility'!A:A,'Conf WC Eligibility'!C:C,,))),confs_picked,byrow(confs,lambda(conf,countif(E$1:E585,conf))),p_needs_conf_count,byrow(confs,la"&amp;"mbda(conf,counta('Draft Order'!B$2:B622)-COUNTUNIQUE(filter(D$2:D585,E$2:E585=conf)))),query({confs,confs_count,confs_picked,p_needs_conf_count},""select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7">
      <c r="A587" s="1"/>
      <c r="B587" s="1"/>
      <c r="C587" s="1"/>
      <c r="D587" s="115"/>
      <c r="E587" s="116"/>
      <c r="F587" s="77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13" t="str">
        <f>IFERROR(__xludf.DUMMYFUNCTION("iferror(join("","",index(sort(filter($F$400:$F588,$Q$400:$Q588&gt;$Q587,arrayformula(isnumber(FIND($E$400:$E588,AP587)))),2,false),0,1)))"),"")</f>
        <v/>
      </c>
      <c r="AW587" s="113" t="b">
        <f>IFERROR(__xludf.DUMMYFUNCTION("isnumber(find(""wild card"",join("","",filter($G$1:$G586,$D$1:$D586=D587))))"),FALSE)</f>
        <v>0</v>
      </c>
      <c r="AX587" s="113" t="str">
        <f>IFERROR(__xludf.DUMMYFUNCTION("join("","",let(confs,unique(TRANSPOSe(Teams!$1:$1)), confs_count, BYROW(confs,lambda(conf,xlookup(conf,'Conf WC Eligibility'!A:A,'Conf WC Eligibility'!C:C,,))),confs_picked,byrow(confs,lambda(conf,countif(E$1:E586,conf))),p_needs_conf_count,byrow(confs,la"&amp;"mbda(conf,counta('Draft Order'!B$2:B622)-COUNTUNIQUE(filter(D$2:D586,E$2:E586=conf)))),query({confs,confs_count,confs_picked,p_needs_conf_count},""select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8">
      <c r="A588" s="1"/>
      <c r="B588" s="1"/>
      <c r="C588" s="1"/>
      <c r="D588" s="115"/>
      <c r="E588" s="116"/>
      <c r="F588" s="77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13" t="str">
        <f>IFERROR(__xludf.DUMMYFUNCTION("iferror(join("","",index(sort(filter($F$400:$F589,$Q$400:$Q589&gt;$Q588,arrayformula(isnumber(FIND($E$400:$E589,AP588)))),2,false),0,1)))"),"")</f>
        <v/>
      </c>
      <c r="AW588" s="113" t="b">
        <f>IFERROR(__xludf.DUMMYFUNCTION("isnumber(find(""wild card"",join("","",filter($G$1:$G587,$D$1:$D587=D588))))"),FALSE)</f>
        <v>0</v>
      </c>
      <c r="AX588" s="113" t="str">
        <f>IFERROR(__xludf.DUMMYFUNCTION("join("","",let(confs,unique(TRANSPOSe(Teams!$1:$1)), confs_count, BYROW(confs,lambda(conf,xlookup(conf,'Conf WC Eligibility'!A:A,'Conf WC Eligibility'!C:C,,))),confs_picked,byrow(confs,lambda(conf,countif(E$1:E587,conf))),p_needs_conf_count,byrow(confs,la"&amp;"mbda(conf,counta('Draft Order'!B$2:B622)-COUNTUNIQUE(filter(D$2:D587,E$2:E587=conf)))),query({confs,confs_count,confs_picked,p_needs_conf_count},""select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89">
      <c r="A589" s="1"/>
      <c r="B589" s="1"/>
      <c r="C589" s="1"/>
      <c r="D589" s="115"/>
      <c r="E589" s="116"/>
      <c r="F589" s="77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13" t="str">
        <f>IFERROR(__xludf.DUMMYFUNCTION("iferror(join("","",index(sort(filter($F$400:$F590,$Q$400:$Q590&gt;$Q589,arrayformula(isnumber(FIND($E$400:$E590,AP589)))),2,false),0,1)))"),"")</f>
        <v/>
      </c>
      <c r="AW589" s="113" t="b">
        <f>IFERROR(__xludf.DUMMYFUNCTION("isnumber(find(""wild card"",join("","",filter($G$1:$G588,$D$1:$D588=D589))))"),FALSE)</f>
        <v>0</v>
      </c>
      <c r="AX589" s="113" t="str">
        <f>IFERROR(__xludf.DUMMYFUNCTION("join("","",let(confs,unique(TRANSPOSe(Teams!$1:$1)), confs_count, BYROW(confs,lambda(conf,xlookup(conf,'Conf WC Eligibility'!A:A,'Conf WC Eligibility'!C:C,,))),confs_picked,byrow(confs,lambda(conf,countif(E$1:E588,conf))),p_needs_conf_count,byrow(confs,la"&amp;"mbda(conf,counta('Draft Order'!B$2:B622)-COUNTUNIQUE(filter(D$2:D588,E$2:E588=conf)))),query({confs,confs_count,confs_picked,p_needs_conf_count},""select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0">
      <c r="A590" s="1"/>
      <c r="B590" s="1"/>
      <c r="C590" s="1"/>
      <c r="D590" s="115"/>
      <c r="E590" s="116"/>
      <c r="F590" s="77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13" t="str">
        <f>IFERROR(__xludf.DUMMYFUNCTION("iferror(join("","",index(sort(filter($F$400:$F591,$Q$400:$Q591&gt;$Q590,arrayformula(isnumber(FIND($E$400:$E591,AP590)))),2,false),0,1)))"),"")</f>
        <v/>
      </c>
      <c r="AW590" s="113" t="b">
        <f>IFERROR(__xludf.DUMMYFUNCTION("isnumber(find(""wild card"",join("","",filter($G$1:$G589,$D$1:$D589=D590))))"),FALSE)</f>
        <v>0</v>
      </c>
      <c r="AX590" s="113" t="str">
        <f>IFERROR(__xludf.DUMMYFUNCTION("join("","",let(confs,unique(TRANSPOSe(Teams!$1:$1)), confs_count, BYROW(confs,lambda(conf,xlookup(conf,'Conf WC Eligibility'!A:A,'Conf WC Eligibility'!C:C,,))),confs_picked,byrow(confs,lambda(conf,countif(E$1:E589,conf))),p_needs_conf_count,byrow(confs,la"&amp;"mbda(conf,counta('Draft Order'!B$2:B622)-COUNTUNIQUE(filter(D$2:D589,E$2:E589=conf)))),query({confs,confs_count,confs_picked,p_needs_conf_count},""select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1">
      <c r="A591" s="1"/>
      <c r="B591" s="1"/>
      <c r="C591" s="1"/>
      <c r="D591" s="115"/>
      <c r="E591" s="116"/>
      <c r="F591" s="77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13" t="str">
        <f>IFERROR(__xludf.DUMMYFUNCTION("iferror(join("","",index(sort(filter($F$400:$F592,$Q$400:$Q592&gt;$Q591,arrayformula(isnumber(FIND($E$400:$E592,AP591)))),2,false),0,1)))"),"")</f>
        <v/>
      </c>
      <c r="AW591" s="113" t="b">
        <f>IFERROR(__xludf.DUMMYFUNCTION("isnumber(find(""wild card"",join("","",filter($G$1:$G590,$D$1:$D590=D591))))"),FALSE)</f>
        <v>0</v>
      </c>
      <c r="AX591" s="113" t="str">
        <f>IFERROR(__xludf.DUMMYFUNCTION("join("","",let(confs,unique(TRANSPOSe(Teams!$1:$1)), confs_count, BYROW(confs,lambda(conf,xlookup(conf,'Conf WC Eligibility'!A:A,'Conf WC Eligibility'!C:C,,))),confs_picked,byrow(confs,lambda(conf,countif(E$1:E590,conf))),p_needs_conf_count,byrow(confs,la"&amp;"mbda(conf,counta('Draft Order'!B$2:B622)-COUNTUNIQUE(filter(D$2:D590,E$2:E590=conf)))),query({confs,confs_count,confs_picked,p_needs_conf_count},""select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2">
      <c r="A592" s="1"/>
      <c r="B592" s="1"/>
      <c r="C592" s="1"/>
      <c r="D592" s="115"/>
      <c r="E592" s="116"/>
      <c r="F592" s="77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13" t="str">
        <f>IFERROR(__xludf.DUMMYFUNCTION("iferror(join("","",index(sort(filter($F$400:$F593,$Q$400:$Q593&gt;$Q592,arrayformula(isnumber(FIND($E$400:$E593,AP592)))),2,false),0,1)))"),"")</f>
        <v/>
      </c>
      <c r="AW592" s="113" t="b">
        <f>IFERROR(__xludf.DUMMYFUNCTION("isnumber(find(""wild card"",join("","",filter($G$1:$G591,$D$1:$D591=D592))))"),FALSE)</f>
        <v>0</v>
      </c>
      <c r="AX592" s="113" t="str">
        <f>IFERROR(__xludf.DUMMYFUNCTION("join("","",let(confs,unique(TRANSPOSe(Teams!$1:$1)), confs_count, BYROW(confs,lambda(conf,xlookup(conf,'Conf WC Eligibility'!A:A,'Conf WC Eligibility'!C:C,,))),confs_picked,byrow(confs,lambda(conf,countif(E$1:E591,conf))),p_needs_conf_count,byrow(confs,la"&amp;"mbda(conf,counta('Draft Order'!B$2:B622)-COUNTUNIQUE(filter(D$2:D591,E$2:E591=conf)))),query({confs,confs_count,confs_picked,p_needs_conf_count},""select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3">
      <c r="A593" s="1"/>
      <c r="B593" s="1"/>
      <c r="C593" s="1"/>
      <c r="D593" s="115"/>
      <c r="E593" s="116"/>
      <c r="F593" s="77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13" t="str">
        <f>IFERROR(__xludf.DUMMYFUNCTION("iferror(join("","",index(sort(filter($F$400:$F594,$Q$400:$Q594&gt;$Q593,arrayformula(isnumber(FIND($E$400:$E594,AP593)))),2,false),0,1)))"),"")</f>
        <v/>
      </c>
      <c r="AW593" s="113" t="b">
        <f>IFERROR(__xludf.DUMMYFUNCTION("isnumber(find(""wild card"",join("","",filter($G$1:$G592,$D$1:$D592=D593))))"),FALSE)</f>
        <v>0</v>
      </c>
      <c r="AX593" s="113" t="str">
        <f>IFERROR(__xludf.DUMMYFUNCTION("join("","",let(confs,unique(TRANSPOSe(Teams!$1:$1)), confs_count, BYROW(confs,lambda(conf,xlookup(conf,'Conf WC Eligibility'!A:A,'Conf WC Eligibility'!C:C,,))),confs_picked,byrow(confs,lambda(conf,countif(E$1:E592,conf))),p_needs_conf_count,byrow(confs,la"&amp;"mbda(conf,counta('Draft Order'!B$2:B622)-COUNTUNIQUE(filter(D$2:D592,E$2:E592=conf)))),query({confs,confs_count,confs_picked,p_needs_conf_count},""select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4">
      <c r="A594" s="1"/>
      <c r="B594" s="1"/>
      <c r="C594" s="1"/>
      <c r="D594" s="115"/>
      <c r="E594" s="116"/>
      <c r="F594" s="77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13" t="str">
        <f>IFERROR(__xludf.DUMMYFUNCTION("iferror(join("","",index(sort(filter($F$400:$F595,$Q$400:$Q595&gt;$Q594,arrayformula(isnumber(FIND($E$400:$E595,AP594)))),2,false),0,1)))"),"")</f>
        <v/>
      </c>
      <c r="AW594" s="113" t="b">
        <f>IFERROR(__xludf.DUMMYFUNCTION("isnumber(find(""wild card"",join("","",filter($G$1:$G593,$D$1:$D593=D594))))"),FALSE)</f>
        <v>0</v>
      </c>
      <c r="AX594" s="113" t="str">
        <f>IFERROR(__xludf.DUMMYFUNCTION("join("","",let(confs,unique(TRANSPOSe(Teams!$1:$1)), confs_count, BYROW(confs,lambda(conf,xlookup(conf,'Conf WC Eligibility'!A:A,'Conf WC Eligibility'!C:C,,))),confs_picked,byrow(confs,lambda(conf,countif(E$1:E593,conf))),p_needs_conf_count,byrow(confs,la"&amp;"mbda(conf,counta('Draft Order'!B$2:B622)-COUNTUNIQUE(filter(D$2:D593,E$2:E593=conf)))),query({confs,confs_count,confs_picked,p_needs_conf_count},""select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5">
      <c r="A595" s="1"/>
      <c r="B595" s="1"/>
      <c r="C595" s="1"/>
      <c r="D595" s="115"/>
      <c r="E595" s="116"/>
      <c r="F595" s="77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13" t="str">
        <f>IFERROR(__xludf.DUMMYFUNCTION("iferror(join("","",index(sort(filter($F$400:$F596,$Q$400:$Q596&gt;$Q595,arrayformula(isnumber(FIND($E$400:$E596,AP595)))),2,false),0,1)))"),"")</f>
        <v/>
      </c>
      <c r="AW595" s="113" t="b">
        <f>IFERROR(__xludf.DUMMYFUNCTION("isnumber(find(""wild card"",join("","",filter($G$1:$G594,$D$1:$D594=D595))))"),FALSE)</f>
        <v>0</v>
      </c>
      <c r="AX595" s="113" t="str">
        <f>IFERROR(__xludf.DUMMYFUNCTION("join("","",let(confs,unique(TRANSPOSe(Teams!$1:$1)), confs_count, BYROW(confs,lambda(conf,xlookup(conf,'Conf WC Eligibility'!A:A,'Conf WC Eligibility'!C:C,,))),confs_picked,byrow(confs,lambda(conf,countif(E$1:E594,conf))),p_needs_conf_count,byrow(confs,la"&amp;"mbda(conf,counta('Draft Order'!B$2:B622)-COUNTUNIQUE(filter(D$2:D594,E$2:E594=conf)))),query({confs,confs_count,confs_picked,p_needs_conf_count},""select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6">
      <c r="A596" s="1"/>
      <c r="B596" s="1"/>
      <c r="C596" s="1"/>
      <c r="D596" s="115"/>
      <c r="E596" s="116"/>
      <c r="F596" s="77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13" t="str">
        <f>IFERROR(__xludf.DUMMYFUNCTION("iferror(join("","",index(sort(filter($F$400:$F597,$Q$400:$Q597&gt;$Q596,arrayformula(isnumber(FIND($E$400:$E597,AP596)))),2,false),0,1)))"),"")</f>
        <v/>
      </c>
      <c r="AW596" s="113" t="b">
        <f>IFERROR(__xludf.DUMMYFUNCTION("isnumber(find(""wild card"",join("","",filter($G$1:$G595,$D$1:$D595=D596))))"),FALSE)</f>
        <v>0</v>
      </c>
      <c r="AX596" s="113" t="str">
        <f>IFERROR(__xludf.DUMMYFUNCTION("join("","",let(confs,unique(TRANSPOSe(Teams!$1:$1)), confs_count, BYROW(confs,lambda(conf,xlookup(conf,'Conf WC Eligibility'!A:A,'Conf WC Eligibility'!C:C,,))),confs_picked,byrow(confs,lambda(conf,countif(E$1:E595,conf))),p_needs_conf_count,byrow(confs,la"&amp;"mbda(conf,counta('Draft Order'!B$2:B622)-COUNTUNIQUE(filter(D$2:D595,E$2:E595=conf)))),query({confs,confs_count,confs_picked,p_needs_conf_count},""select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7">
      <c r="A597" s="1"/>
      <c r="B597" s="1"/>
      <c r="C597" s="1"/>
      <c r="D597" s="115"/>
      <c r="E597" s="116"/>
      <c r="F597" s="77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13" t="str">
        <f>IFERROR(__xludf.DUMMYFUNCTION("iferror(join("","",index(sort(filter($F$400:$F598,$Q$400:$Q598&gt;$Q597,arrayformula(isnumber(FIND($E$400:$E598,AP597)))),2,false),0,1)))"),"")</f>
        <v/>
      </c>
      <c r="AW597" s="113" t="b">
        <f>IFERROR(__xludf.DUMMYFUNCTION("isnumber(find(""wild card"",join("","",filter($G$1:$G596,$D$1:$D596=D597))))"),FALSE)</f>
        <v>0</v>
      </c>
      <c r="AX597" s="113" t="str">
        <f>IFERROR(__xludf.DUMMYFUNCTION("join("","",let(confs,unique(TRANSPOSe(Teams!$1:$1)), confs_count, BYROW(confs,lambda(conf,xlookup(conf,'Conf WC Eligibility'!A:A,'Conf WC Eligibility'!C:C,,))),confs_picked,byrow(confs,lambda(conf,countif(E$1:E596,conf))),p_needs_conf_count,byrow(confs,la"&amp;"mbda(conf,counta('Draft Order'!B$2:B622)-COUNTUNIQUE(filter(D$2:D596,E$2:E596=conf)))),query({confs,confs_count,confs_picked,p_needs_conf_count},""select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8">
      <c r="A598" s="1"/>
      <c r="B598" s="1"/>
      <c r="C598" s="1"/>
      <c r="D598" s="115"/>
      <c r="E598" s="116"/>
      <c r="F598" s="77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13" t="str">
        <f>IFERROR(__xludf.DUMMYFUNCTION("iferror(join("","",index(sort(filter($F$400:$F599,$Q$400:$Q599&gt;$Q598,arrayformula(isnumber(FIND($E$400:$E599,AP598)))),2,false),0,1)))"),"")</f>
        <v/>
      </c>
      <c r="AW598" s="113" t="b">
        <f>IFERROR(__xludf.DUMMYFUNCTION("isnumber(find(""wild card"",join("","",filter($G$1:$G597,$D$1:$D597=D598))))"),FALSE)</f>
        <v>0</v>
      </c>
      <c r="AX598" s="113" t="str">
        <f>IFERROR(__xludf.DUMMYFUNCTION("join("","",let(confs,unique(TRANSPOSe(Teams!$1:$1)), confs_count, BYROW(confs,lambda(conf,xlookup(conf,'Conf WC Eligibility'!A:A,'Conf WC Eligibility'!C:C,,))),confs_picked,byrow(confs,lambda(conf,countif(E$1:E597,conf))),p_needs_conf_count,byrow(confs,la"&amp;"mbda(conf,counta('Draft Order'!B$2:B622)-COUNTUNIQUE(filter(D$2:D597,E$2:E597=conf)))),query({confs,confs_count,confs_picked,p_needs_conf_count},""select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599">
      <c r="A599" s="1"/>
      <c r="B599" s="1"/>
      <c r="C599" s="1"/>
      <c r="D599" s="115"/>
      <c r="E599" s="116"/>
      <c r="F599" s="77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13" t="str">
        <f>IFERROR(__xludf.DUMMYFUNCTION("iferror(join("","",index(sort(filter($F$400:$F600,$Q$400:$Q600&gt;$Q599,arrayformula(isnumber(FIND($E$400:$E600,AP599)))),2,false),0,1)))"),"")</f>
        <v/>
      </c>
      <c r="AW599" s="113" t="b">
        <f>IFERROR(__xludf.DUMMYFUNCTION("isnumber(find(""wild card"",join("","",filter($G$1:$G598,$D$1:$D598=D599))))"),FALSE)</f>
        <v>0</v>
      </c>
      <c r="AX599" s="113" t="str">
        <f>IFERROR(__xludf.DUMMYFUNCTION("join("","",let(confs,unique(TRANSPOSe(Teams!$1:$1)), confs_count, BYROW(confs,lambda(conf,xlookup(conf,'Conf WC Eligibility'!A:A,'Conf WC Eligibility'!C:C,,))),confs_picked,byrow(confs,lambda(conf,countif(E$1:E598,conf))),p_needs_conf_count,byrow(confs,la"&amp;"mbda(conf,counta('Draft Order'!B$2:B622)-COUNTUNIQUE(filter(D$2:D598,E$2:E598=conf)))),query({confs,confs_count,confs_picked,p_needs_conf_count},""select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0">
      <c r="A600" s="1"/>
      <c r="B600" s="1"/>
      <c r="C600" s="1"/>
      <c r="D600" s="115"/>
      <c r="E600" s="116"/>
      <c r="F600" s="77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13" t="str">
        <f>IFERROR(__xludf.DUMMYFUNCTION("iferror(join("","",index(sort(filter($F$400:$F601,$Q$400:$Q601&gt;$Q600,arrayformula(isnumber(FIND($E$400:$E601,AP600)))),2,false),0,1)))"),"")</f>
        <v/>
      </c>
      <c r="AW600" s="113" t="b">
        <f>IFERROR(__xludf.DUMMYFUNCTION("isnumber(find(""wild card"",join("","",filter($G$1:$G599,$D$1:$D599=D600))))"),FALSE)</f>
        <v>0</v>
      </c>
      <c r="AX600" s="113" t="str">
        <f>IFERROR(__xludf.DUMMYFUNCTION("join("","",let(confs,unique(TRANSPOSe(Teams!$1:$1)), confs_count, BYROW(confs,lambda(conf,xlookup(conf,'Conf WC Eligibility'!A:A,'Conf WC Eligibility'!C:C,,))),confs_picked,byrow(confs,lambda(conf,countif(E$1:E599,conf))),p_needs_conf_count,byrow(confs,la"&amp;"mbda(conf,counta('Draft Order'!B$2:B622)-COUNTUNIQUE(filter(D$2:D599,E$2:E599=conf)))),query({confs,confs_count,confs_picked,p_needs_conf_count},""select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1">
      <c r="A601" s="1"/>
      <c r="B601" s="1"/>
      <c r="C601" s="1"/>
      <c r="D601" s="115"/>
      <c r="E601" s="116"/>
      <c r="F601" s="77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13" t="str">
        <f>IFERROR(__xludf.DUMMYFUNCTION("iferror(join("","",index(sort(filter($F$400:$F602,$Q$400:$Q602&gt;$Q601,arrayformula(isnumber(FIND($E$400:$E602,AP601)))),2,false),0,1)))"),"")</f>
        <v/>
      </c>
      <c r="AW601" s="113" t="b">
        <f>IFERROR(__xludf.DUMMYFUNCTION("isnumber(find(""wild card"",join("","",filter($G$1:$G600,$D$1:$D600=D601))))"),FALSE)</f>
        <v>0</v>
      </c>
      <c r="AX601" s="113" t="str">
        <f>IFERROR(__xludf.DUMMYFUNCTION("join("","",let(confs,unique(TRANSPOSe(Teams!$1:$1)), confs_count, BYROW(confs,lambda(conf,xlookup(conf,'Conf WC Eligibility'!A:A,'Conf WC Eligibility'!C:C,,))),confs_picked,byrow(confs,lambda(conf,countif(E$1:E600,conf))),p_needs_conf_count,byrow(confs,la"&amp;"mbda(conf,counta('Draft Order'!B$2:B622)-COUNTUNIQUE(filter(D$2:D600,E$2:E600=conf)))),query({confs,confs_count,confs_picked,p_needs_conf_count},""select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2">
      <c r="A602" s="1"/>
      <c r="B602" s="1"/>
      <c r="C602" s="1"/>
      <c r="D602" s="115"/>
      <c r="E602" s="116"/>
      <c r="F602" s="77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13" t="str">
        <f>IFERROR(__xludf.DUMMYFUNCTION("iferror(join("","",index(sort(filter($F$400:$F603,$Q$400:$Q603&gt;$Q602,arrayformula(isnumber(FIND($E$400:$E603,AP602)))),2,false),0,1)))"),"")</f>
        <v/>
      </c>
      <c r="AW602" s="113" t="b">
        <f>IFERROR(__xludf.DUMMYFUNCTION("isnumber(find(""wild card"",join("","",filter($G$1:$G601,$D$1:$D601=D602))))"),FALSE)</f>
        <v>0</v>
      </c>
      <c r="AX602" s="113" t="str">
        <f>IFERROR(__xludf.DUMMYFUNCTION("join("","",let(confs,unique(TRANSPOSe(Teams!$1:$1)), confs_count, BYROW(confs,lambda(conf,xlookup(conf,'Conf WC Eligibility'!A:A,'Conf WC Eligibility'!C:C,,))),confs_picked,byrow(confs,lambda(conf,countif(E$1:E601,conf))),p_needs_conf_count,byrow(confs,la"&amp;"mbda(conf,counta('Draft Order'!B$2:B622)-COUNTUNIQUE(filter(D$2:D601,E$2:E601=conf)))),query({confs,confs_count,confs_picked,p_needs_conf_count},""select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3">
      <c r="A603" s="1"/>
      <c r="B603" s="1"/>
      <c r="C603" s="1"/>
      <c r="D603" s="115"/>
      <c r="E603" s="116"/>
      <c r="F603" s="77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13" t="str">
        <f>IFERROR(__xludf.DUMMYFUNCTION("iferror(join("","",index(sort(filter($F$400:$F604,$Q$400:$Q604&gt;$Q603,arrayformula(isnumber(FIND($E$400:$E604,AP603)))),2,false),0,1)))"),"")</f>
        <v/>
      </c>
      <c r="AW603" s="113" t="b">
        <f>IFERROR(__xludf.DUMMYFUNCTION("isnumber(find(""wild card"",join("","",filter($G$1:$G602,$D$1:$D602=D603))))"),FALSE)</f>
        <v>0</v>
      </c>
      <c r="AX603" s="113" t="str">
        <f>IFERROR(__xludf.DUMMYFUNCTION("join("","",let(confs,unique(TRANSPOSe(Teams!$1:$1)), confs_count, BYROW(confs,lambda(conf,xlookup(conf,'Conf WC Eligibility'!A:A,'Conf WC Eligibility'!C:C,,))),confs_picked,byrow(confs,lambda(conf,countif(E$1:E602,conf))),p_needs_conf_count,byrow(confs,la"&amp;"mbda(conf,counta('Draft Order'!B$2:B622)-COUNTUNIQUE(filter(D$2:D602,E$2:E602=conf)))),query({confs,confs_count,confs_picked,p_needs_conf_count},""select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4">
      <c r="A604" s="1"/>
      <c r="B604" s="1"/>
      <c r="C604" s="1"/>
      <c r="D604" s="115"/>
      <c r="E604" s="116"/>
      <c r="F604" s="77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13" t="str">
        <f>IFERROR(__xludf.DUMMYFUNCTION("iferror(join("","",index(sort(filter($F$400:$F605,$Q$400:$Q605&gt;$Q604,arrayformula(isnumber(FIND($E$400:$E605,AP604)))),2,false),0,1)))"),"")</f>
        <v/>
      </c>
      <c r="AW604" s="113" t="b">
        <f>IFERROR(__xludf.DUMMYFUNCTION("isnumber(find(""wild card"",join("","",filter($G$1:$G603,$D$1:$D603=D604))))"),FALSE)</f>
        <v>0</v>
      </c>
      <c r="AX604" s="113" t="str">
        <f>IFERROR(__xludf.DUMMYFUNCTION("join("","",let(confs,unique(TRANSPOSe(Teams!$1:$1)), confs_count, BYROW(confs,lambda(conf,xlookup(conf,'Conf WC Eligibility'!A:A,'Conf WC Eligibility'!C:C,,))),confs_picked,byrow(confs,lambda(conf,countif(E$1:E603,conf))),p_needs_conf_count,byrow(confs,la"&amp;"mbda(conf,counta('Draft Order'!B$2:B622)-COUNTUNIQUE(filter(D$2:D603,E$2:E603=conf)))),query({confs,confs_count,confs_picked,p_needs_conf_count},""select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5">
      <c r="A605" s="1"/>
      <c r="B605" s="1"/>
      <c r="C605" s="1"/>
      <c r="D605" s="115"/>
      <c r="E605" s="116"/>
      <c r="F605" s="77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13" t="str">
        <f>IFERROR(__xludf.DUMMYFUNCTION("iferror(join("","",index(sort(filter($F$400:$F606,$Q$400:$Q606&gt;$Q605,arrayformula(isnumber(FIND($E$400:$E606,AP605)))),2,false),0,1)))"),"")</f>
        <v/>
      </c>
      <c r="AW605" s="113" t="b">
        <f>IFERROR(__xludf.DUMMYFUNCTION("isnumber(find(""wild card"",join("","",filter($G$1:$G604,$D$1:$D604=D605))))"),FALSE)</f>
        <v>0</v>
      </c>
      <c r="AX605" s="113" t="str">
        <f>IFERROR(__xludf.DUMMYFUNCTION("join("","",let(confs,unique(TRANSPOSe(Teams!$1:$1)), confs_count, BYROW(confs,lambda(conf,xlookup(conf,'Conf WC Eligibility'!A:A,'Conf WC Eligibility'!C:C,,))),confs_picked,byrow(confs,lambda(conf,countif(E$1:E604,conf))),p_needs_conf_count,byrow(confs,la"&amp;"mbda(conf,counta('Draft Order'!B$2:B622)-COUNTUNIQUE(filter(D$2:D604,E$2:E604=conf)))),query({confs,confs_count,confs_picked,p_needs_conf_count},""select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6">
      <c r="A606" s="1"/>
      <c r="B606" s="1"/>
      <c r="C606" s="1"/>
      <c r="D606" s="115"/>
      <c r="E606" s="116"/>
      <c r="F606" s="77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13" t="str">
        <f>IFERROR(__xludf.DUMMYFUNCTION("iferror(join("","",index(sort(filter($F$400:$F607,$Q$400:$Q607&gt;$Q606,arrayformula(isnumber(FIND($E$400:$E607,AP606)))),2,false),0,1)))"),"")</f>
        <v/>
      </c>
      <c r="AW606" s="113" t="b">
        <f>IFERROR(__xludf.DUMMYFUNCTION("isnumber(find(""wild card"",join("","",filter($G$1:$G605,$D$1:$D605=D606))))"),FALSE)</f>
        <v>0</v>
      </c>
      <c r="AX606" s="113" t="str">
        <f>IFERROR(__xludf.DUMMYFUNCTION("join("","",let(confs,unique(TRANSPOSe(Teams!$1:$1)), confs_count, BYROW(confs,lambda(conf,xlookup(conf,'Conf WC Eligibility'!A:A,'Conf WC Eligibility'!C:C,,))),confs_picked,byrow(confs,lambda(conf,countif(E$1:E605,conf))),p_needs_conf_count,byrow(confs,la"&amp;"mbda(conf,counta('Draft Order'!B$2:B622)-COUNTUNIQUE(filter(D$2:D605,E$2:E605=conf)))),query({confs,confs_count,confs_picked,p_needs_conf_count},""select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7">
      <c r="A607" s="1"/>
      <c r="B607" s="1"/>
      <c r="C607" s="1"/>
      <c r="D607" s="115"/>
      <c r="E607" s="116"/>
      <c r="F607" s="77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13" t="str">
        <f>IFERROR(__xludf.DUMMYFUNCTION("iferror(join("","",index(sort(filter($F$400:$F608,$Q$400:$Q608&gt;$Q607,arrayformula(isnumber(FIND($E$400:$E608,AP607)))),2,false),0,1)))"),"")</f>
        <v/>
      </c>
      <c r="AW607" s="113" t="b">
        <f>IFERROR(__xludf.DUMMYFUNCTION("isnumber(find(""wild card"",join("","",filter($G$1:$G606,$D$1:$D606=D607))))"),FALSE)</f>
        <v>0</v>
      </c>
      <c r="AX607" s="113" t="str">
        <f>IFERROR(__xludf.DUMMYFUNCTION("join("","",let(confs,unique(TRANSPOSe(Teams!$1:$1)), confs_count, BYROW(confs,lambda(conf,xlookup(conf,'Conf WC Eligibility'!A:A,'Conf WC Eligibility'!C:C,,))),confs_picked,byrow(confs,lambda(conf,countif(E$1:E606,conf))),p_needs_conf_count,byrow(confs,la"&amp;"mbda(conf,counta('Draft Order'!B$2:B622)-COUNTUNIQUE(filter(D$2:D606,E$2:E606=conf)))),query({confs,confs_count,confs_picked,p_needs_conf_count},""select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8">
      <c r="A608" s="1"/>
      <c r="B608" s="1"/>
      <c r="C608" s="1"/>
      <c r="D608" s="115"/>
      <c r="E608" s="116"/>
      <c r="F608" s="77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13" t="str">
        <f>IFERROR(__xludf.DUMMYFUNCTION("iferror(join("","",index(sort(filter($F$400:$F609,$Q$400:$Q609&gt;$Q608,arrayformula(isnumber(FIND($E$400:$E609,AP608)))),2,false),0,1)))"),"")</f>
        <v/>
      </c>
      <c r="AW608" s="113" t="b">
        <f>IFERROR(__xludf.DUMMYFUNCTION("isnumber(find(""wild card"",join("","",filter($G$1:$G607,$D$1:$D607=D608))))"),FALSE)</f>
        <v>0</v>
      </c>
      <c r="AX608" s="113" t="str">
        <f>IFERROR(__xludf.DUMMYFUNCTION("join("","",let(confs,unique(TRANSPOSe(Teams!$1:$1)), confs_count, BYROW(confs,lambda(conf,xlookup(conf,'Conf WC Eligibility'!A:A,'Conf WC Eligibility'!C:C,,))),confs_picked,byrow(confs,lambda(conf,countif(E$1:E607,conf))),p_needs_conf_count,byrow(confs,la"&amp;"mbda(conf,counta('Draft Order'!B$2:B622)-COUNTUNIQUE(filter(D$2:D607,E$2:E607=conf)))),query({confs,confs_count,confs_picked,p_needs_conf_count},""select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09">
      <c r="A609" s="1"/>
      <c r="B609" s="1"/>
      <c r="C609" s="1"/>
      <c r="D609" s="115"/>
      <c r="E609" s="116"/>
      <c r="F609" s="77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13" t="str">
        <f>IFERROR(__xludf.DUMMYFUNCTION("iferror(join("","",index(sort(filter($F$400:$F610,$Q$400:$Q610&gt;$Q609,arrayformula(isnumber(FIND($E$400:$E610,AP609)))),2,false),0,1)))"),"")</f>
        <v/>
      </c>
      <c r="AW609" s="113" t="b">
        <f>IFERROR(__xludf.DUMMYFUNCTION("isnumber(find(""wild card"",join("","",filter($G$1:$G608,$D$1:$D608=D609))))"),FALSE)</f>
        <v>0</v>
      </c>
      <c r="AX609" s="113" t="str">
        <f>IFERROR(__xludf.DUMMYFUNCTION("join("","",let(confs,unique(TRANSPOSe(Teams!$1:$1)), confs_count, BYROW(confs,lambda(conf,xlookup(conf,'Conf WC Eligibility'!A:A,'Conf WC Eligibility'!C:C,,))),confs_picked,byrow(confs,lambda(conf,countif(E$1:E608,conf))),p_needs_conf_count,byrow(confs,la"&amp;"mbda(conf,counta('Draft Order'!B$2:B622)-COUNTUNIQUE(filter(D$2:D608,E$2:E608=conf)))),query({confs,confs_count,confs_picked,p_needs_conf_count},""select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0">
      <c r="A610" s="1"/>
      <c r="B610" s="1"/>
      <c r="C610" s="1"/>
      <c r="D610" s="115"/>
      <c r="E610" s="116"/>
      <c r="F610" s="77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13" t="str">
        <f>IFERROR(__xludf.DUMMYFUNCTION("iferror(join("","",index(sort(filter($F$400:$F611,$Q$400:$Q611&gt;$Q610,arrayformula(isnumber(FIND($E$400:$E611,AP610)))),2,false),0,1)))"),"")</f>
        <v/>
      </c>
      <c r="AW610" s="113" t="b">
        <f>IFERROR(__xludf.DUMMYFUNCTION("isnumber(find(""wild card"",join("","",filter($G$1:$G609,$D$1:$D609=D610))))"),FALSE)</f>
        <v>0</v>
      </c>
      <c r="AX610" s="113" t="str">
        <f>IFERROR(__xludf.DUMMYFUNCTION("join("","",let(confs,unique(TRANSPOSe(Teams!$1:$1)), confs_count, BYROW(confs,lambda(conf,xlookup(conf,'Conf WC Eligibility'!A:A,'Conf WC Eligibility'!C:C,,))),confs_picked,byrow(confs,lambda(conf,countif(E$1:E609,conf))),p_needs_conf_count,byrow(confs,la"&amp;"mbda(conf,counta('Draft Order'!B$2:B622)-COUNTUNIQUE(filter(D$2:D609,E$2:E609=conf)))),query({confs,confs_count,confs_picked,p_needs_conf_count},""select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1">
      <c r="A611" s="1"/>
      <c r="B611" s="1"/>
      <c r="C611" s="1"/>
      <c r="D611" s="115"/>
      <c r="E611" s="116"/>
      <c r="F611" s="77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13" t="str">
        <f>IFERROR(__xludf.DUMMYFUNCTION("iferror(join("","",index(sort(filter($F$400:$F612,$Q$400:$Q612&gt;$Q611,arrayformula(isnumber(FIND($E$400:$E612,AP611)))),2,false),0,1)))"),"")</f>
        <v/>
      </c>
      <c r="AW611" s="113" t="b">
        <f>IFERROR(__xludf.DUMMYFUNCTION("isnumber(find(""wild card"",join("","",filter($G$1:$G610,$D$1:$D610=D611))))"),FALSE)</f>
        <v>0</v>
      </c>
      <c r="AX611" s="113" t="str">
        <f>IFERROR(__xludf.DUMMYFUNCTION("join("","",let(confs,unique(TRANSPOSe(Teams!$1:$1)), confs_count, BYROW(confs,lambda(conf,xlookup(conf,'Conf WC Eligibility'!A:A,'Conf WC Eligibility'!C:C,,))),confs_picked,byrow(confs,lambda(conf,countif(E$1:E610,conf))),p_needs_conf_count,byrow(confs,la"&amp;"mbda(conf,counta('Draft Order'!B$2:B622)-COUNTUNIQUE(filter(D$2:D610,E$2:E610=conf)))),query({confs,confs_count,confs_picked,p_needs_conf_count},""select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2">
      <c r="A612" s="1"/>
      <c r="B612" s="1"/>
      <c r="C612" s="1"/>
      <c r="D612" s="115"/>
      <c r="E612" s="116"/>
      <c r="F612" s="77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13" t="str">
        <f>IFERROR(__xludf.DUMMYFUNCTION("iferror(join("","",index(sort(filter($F$400:$F613,$Q$400:$Q613&gt;$Q612,arrayformula(isnumber(FIND($E$400:$E613,AP612)))),2,false),0,1)))"),"")</f>
        <v/>
      </c>
      <c r="AW612" s="113" t="b">
        <f>IFERROR(__xludf.DUMMYFUNCTION("isnumber(find(""wild card"",join("","",filter($G$1:$G611,$D$1:$D611=D612))))"),FALSE)</f>
        <v>0</v>
      </c>
      <c r="AX612" s="113" t="str">
        <f>IFERROR(__xludf.DUMMYFUNCTION("join("","",let(confs,unique(TRANSPOSe(Teams!$1:$1)), confs_count, BYROW(confs,lambda(conf,xlookup(conf,'Conf WC Eligibility'!A:A,'Conf WC Eligibility'!C:C,,))),confs_picked,byrow(confs,lambda(conf,countif(E$1:E611,conf))),p_needs_conf_count,byrow(confs,la"&amp;"mbda(conf,counta('Draft Order'!B$2:B622)-COUNTUNIQUE(filter(D$2:D611,E$2:E611=conf)))),query({confs,confs_count,confs_picked,p_needs_conf_count},""select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3">
      <c r="A613" s="1"/>
      <c r="B613" s="1"/>
      <c r="C613" s="1"/>
      <c r="D613" s="115"/>
      <c r="E613" s="116"/>
      <c r="F613" s="77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13" t="str">
        <f>IFERROR(__xludf.DUMMYFUNCTION("iferror(join("","",index(sort(filter($F$400:$F614,$Q$400:$Q614&gt;$Q613,arrayformula(isnumber(FIND($E$400:$E614,AP613)))),2,false),0,1)))"),"")</f>
        <v/>
      </c>
      <c r="AW613" s="113" t="b">
        <f>IFERROR(__xludf.DUMMYFUNCTION("isnumber(find(""wild card"",join("","",filter($G$1:$G612,$D$1:$D612=D613))))"),FALSE)</f>
        <v>0</v>
      </c>
      <c r="AX613" s="113" t="str">
        <f>IFERROR(__xludf.DUMMYFUNCTION("join("","",let(confs,unique(TRANSPOSe(Teams!$1:$1)), confs_count, BYROW(confs,lambda(conf,xlookup(conf,'Conf WC Eligibility'!A:A,'Conf WC Eligibility'!C:C,,))),confs_picked,byrow(confs,lambda(conf,countif(E$1:E612,conf))),p_needs_conf_count,byrow(confs,la"&amp;"mbda(conf,counta('Draft Order'!B$2:B622)-COUNTUNIQUE(filter(D$2:D612,E$2:E612=conf)))),query({confs,confs_count,confs_picked,p_needs_conf_count},""select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4">
      <c r="A614" s="1"/>
      <c r="B614" s="1"/>
      <c r="C614" s="1"/>
      <c r="D614" s="115"/>
      <c r="E614" s="116"/>
      <c r="F614" s="77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13" t="str">
        <f>IFERROR(__xludf.DUMMYFUNCTION("iferror(join("","",index(sort(filter($F$400:$F615,$Q$400:$Q615&gt;$Q614,arrayformula(isnumber(FIND($E$400:$E615,AP614)))),2,false),0,1)))"),"")</f>
        <v/>
      </c>
      <c r="AW614" s="113" t="b">
        <f>IFERROR(__xludf.DUMMYFUNCTION("isnumber(find(""wild card"",join("","",filter($G$1:$G613,$D$1:$D613=D614))))"),FALSE)</f>
        <v>0</v>
      </c>
      <c r="AX614" s="113" t="str">
        <f>IFERROR(__xludf.DUMMYFUNCTION("join("","",let(confs,unique(TRANSPOSe(Teams!$1:$1)), confs_count, BYROW(confs,lambda(conf,xlookup(conf,'Conf WC Eligibility'!A:A,'Conf WC Eligibility'!C:C,,))),confs_picked,byrow(confs,lambda(conf,countif(E$1:E613,conf))),p_needs_conf_count,byrow(confs,la"&amp;"mbda(conf,counta('Draft Order'!B$2:B622)-COUNTUNIQUE(filter(D$2:D613,E$2:E613=conf)))),query({confs,confs_count,confs_picked,p_needs_conf_count},""select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5">
      <c r="A615" s="1"/>
      <c r="B615" s="1"/>
      <c r="C615" s="1"/>
      <c r="D615" s="115"/>
      <c r="E615" s="116"/>
      <c r="F615" s="77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13" t="str">
        <f>IFERROR(__xludf.DUMMYFUNCTION("iferror(join("","",index(sort(filter($F$400:$F616,$Q$400:$Q616&gt;$Q615,arrayformula(isnumber(FIND($E$400:$E616,AP615)))),2,false),0,1)))"),"")</f>
        <v/>
      </c>
      <c r="AW615" s="113" t="b">
        <f>IFERROR(__xludf.DUMMYFUNCTION("isnumber(find(""wild card"",join("","",filter($G$1:$G614,$D$1:$D614=D615))))"),FALSE)</f>
        <v>0</v>
      </c>
      <c r="AX615" s="113" t="str">
        <f>IFERROR(__xludf.DUMMYFUNCTION("join("","",let(confs,unique(TRANSPOSe(Teams!$1:$1)), confs_count, BYROW(confs,lambda(conf,xlookup(conf,'Conf WC Eligibility'!A:A,'Conf WC Eligibility'!C:C,,))),confs_picked,byrow(confs,lambda(conf,countif(E$1:E614,conf))),p_needs_conf_count,byrow(confs,la"&amp;"mbda(conf,counta('Draft Order'!B$2:B622)-COUNTUNIQUE(filter(D$2:D614,E$2:E614=conf)))),query({confs,confs_count,confs_picked,p_needs_conf_count},""select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6">
      <c r="A616" s="1"/>
      <c r="B616" s="1"/>
      <c r="C616" s="1"/>
      <c r="D616" s="115"/>
      <c r="E616" s="116"/>
      <c r="F616" s="77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13" t="str">
        <f>IFERROR(__xludf.DUMMYFUNCTION("iferror(join("","",index(sort(filter($F$400:$F617,$Q$400:$Q617&gt;$Q616,arrayformula(isnumber(FIND($E$400:$E617,AP616)))),2,false),0,1)))"),"")</f>
        <v/>
      </c>
      <c r="AW616" s="113" t="b">
        <f>IFERROR(__xludf.DUMMYFUNCTION("isnumber(find(""wild card"",join("","",filter($G$1:$G615,$D$1:$D615=D616))))"),FALSE)</f>
        <v>0</v>
      </c>
      <c r="AX616" s="113" t="str">
        <f>IFERROR(__xludf.DUMMYFUNCTION("join("","",let(confs,unique(TRANSPOSe(Teams!$1:$1)), confs_count, BYROW(confs,lambda(conf,xlookup(conf,'Conf WC Eligibility'!A:A,'Conf WC Eligibility'!C:C,,))),confs_picked,byrow(confs,lambda(conf,countif(E$1:E615,conf))),p_needs_conf_count,byrow(confs,la"&amp;"mbda(conf,counta('Draft Order'!B$2:B622)-COUNTUNIQUE(filter(D$2:D615,E$2:E615=conf)))),query({confs,confs_count,confs_picked,p_needs_conf_count},""select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7">
      <c r="A617" s="1"/>
      <c r="B617" s="1"/>
      <c r="C617" s="1"/>
      <c r="D617" s="115"/>
      <c r="E617" s="116"/>
      <c r="F617" s="77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13" t="str">
        <f>IFERROR(__xludf.DUMMYFUNCTION("iferror(join("","",index(sort(filter($F$400:$F618,$Q$400:$Q618&gt;$Q617,arrayformula(isnumber(FIND($E$400:$E618,AP617)))),2,false),0,1)))"),"")</f>
        <v/>
      </c>
      <c r="AW617" s="113" t="b">
        <f>IFERROR(__xludf.DUMMYFUNCTION("isnumber(find(""wild card"",join("","",filter($G$1:$G616,$D$1:$D616=D617))))"),FALSE)</f>
        <v>0</v>
      </c>
      <c r="AX617" s="113" t="str">
        <f>IFERROR(__xludf.DUMMYFUNCTION("join("","",let(confs,unique(TRANSPOSe(Teams!$1:$1)), confs_count, BYROW(confs,lambda(conf,xlookup(conf,'Conf WC Eligibility'!A:A,'Conf WC Eligibility'!C:C,,))),confs_picked,byrow(confs,lambda(conf,countif(E$1:E616,conf))),p_needs_conf_count,byrow(confs,la"&amp;"mbda(conf,counta('Draft Order'!B$2:B622)-COUNTUNIQUE(filter(D$2:D616,E$2:E616=conf)))),query({confs,confs_count,confs_picked,p_needs_conf_count},""select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8">
      <c r="A618" s="1"/>
      <c r="B618" s="1"/>
      <c r="C618" s="1"/>
      <c r="D618" s="115"/>
      <c r="E618" s="116"/>
      <c r="F618" s="77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13" t="str">
        <f>IFERROR(__xludf.DUMMYFUNCTION("iferror(join("","",index(sort(filter($F$400:$F619,$Q$400:$Q619&gt;$Q618,arrayformula(isnumber(FIND($E$400:$E619,AP618)))),2,false),0,1)))"),"")</f>
        <v/>
      </c>
      <c r="AW618" s="113" t="b">
        <f>IFERROR(__xludf.DUMMYFUNCTION("isnumber(find(""wild card"",join("","",filter($G$1:$G617,$D$1:$D617=D618))))"),FALSE)</f>
        <v>0</v>
      </c>
      <c r="AX618" s="113" t="str">
        <f>IFERROR(__xludf.DUMMYFUNCTION("join("","",let(confs,unique(TRANSPOSe(Teams!$1:$1)), confs_count, BYROW(confs,lambda(conf,xlookup(conf,'Conf WC Eligibility'!A:A,'Conf WC Eligibility'!C:C,,))),confs_picked,byrow(confs,lambda(conf,countif(E$1:E617,conf))),p_needs_conf_count,byrow(confs,la"&amp;"mbda(conf,counta('Draft Order'!B$2:B622)-COUNTUNIQUE(filter(D$2:D617,E$2:E617=conf)))),query({confs,confs_count,confs_picked,p_needs_conf_count},""select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19">
      <c r="A619" s="1"/>
      <c r="B619" s="1"/>
      <c r="C619" s="1"/>
      <c r="D619" s="115"/>
      <c r="E619" s="116"/>
      <c r="F619" s="77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13" t="str">
        <f>IFERROR(__xludf.DUMMYFUNCTION("iferror(join("","",index(sort(filter($F$400:$F620,$Q$400:$Q620&gt;$Q619,arrayformula(isnumber(FIND($E$400:$E620,AP619)))),2,false),0,1)))"),"")</f>
        <v/>
      </c>
      <c r="AW619" s="113" t="b">
        <f>IFERROR(__xludf.DUMMYFUNCTION("isnumber(find(""wild card"",join("","",filter($G$1:$G618,$D$1:$D618=D619))))"),FALSE)</f>
        <v>0</v>
      </c>
      <c r="AX619" s="113" t="str">
        <f>IFERROR(__xludf.DUMMYFUNCTION("join("","",let(confs,unique(TRANSPOSe(Teams!$1:$1)), confs_count, BYROW(confs,lambda(conf,xlookup(conf,'Conf WC Eligibility'!A:A,'Conf WC Eligibility'!C:C,,))),confs_picked,byrow(confs,lambda(conf,countif(E$1:E618,conf))),p_needs_conf_count,byrow(confs,la"&amp;"mbda(conf,counta('Draft Order'!B$2:B622)-COUNTUNIQUE(filter(D$2:D618,E$2:E618=conf)))),query({confs,confs_count,confs_picked,p_needs_conf_count},""select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20">
      <c r="A620" s="1"/>
      <c r="B620" s="1"/>
      <c r="C620" s="1"/>
      <c r="D620" s="115"/>
      <c r="E620" s="116"/>
      <c r="F620" s="77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13" t="str">
        <f>IFERROR(__xludf.DUMMYFUNCTION("iferror(join("","",index(sort(filter($F$400:$F621,$Q$400:$Q621&gt;$Q620,arrayformula(isnumber(FIND($E$400:$E621,AP620)))),2,false),0,1)))"),"")</f>
        <v/>
      </c>
      <c r="AW620" s="113" t="b">
        <f>IFERROR(__xludf.DUMMYFUNCTION("isnumber(find(""wild card"",join("","",filter($G$1:$G619,$D$1:$D619=D620))))"),FALSE)</f>
        <v>0</v>
      </c>
      <c r="AX620" s="113" t="str">
        <f>IFERROR(__xludf.DUMMYFUNCTION("join("","",let(confs,unique(TRANSPOSe(Teams!$1:$1)), confs_count, BYROW(confs,lambda(conf,xlookup(conf,'Conf WC Eligibility'!A:A,'Conf WC Eligibility'!C:C,,))),confs_picked,byrow(confs,lambda(conf,countif(E$1:E619,conf))),p_needs_conf_count,byrow(confs,la"&amp;"mbda(conf,counta('Draft Order'!B$2:B622)-COUNTUNIQUE(filter(D$2:D619,E$2:E619=conf)))),query({confs,confs_count,confs_picked,p_needs_conf_count},""select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21">
      <c r="A621" s="1"/>
      <c r="B621" s="1"/>
      <c r="C621" s="1"/>
      <c r="D621" s="115"/>
      <c r="E621" s="116"/>
      <c r="F621" s="77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13" t="str">
        <f>IFERROR(__xludf.DUMMYFUNCTION("iferror(join("","",index(sort(filter($F$400:$F622,$Q$400:$Q622&gt;$Q621,arrayformula(isnumber(FIND($E$400:$E622,AP621)))),2,false),0,1)))"),"")</f>
        <v/>
      </c>
      <c r="AW621" s="113" t="b">
        <f>IFERROR(__xludf.DUMMYFUNCTION("isnumber(find(""wild card"",join("","",filter($G$1:$G620,$D$1:$D620=D621))))"),FALSE)</f>
        <v>0</v>
      </c>
      <c r="AX621" s="113" t="str">
        <f>IFERROR(__xludf.DUMMYFUNCTION("join("","",let(confs,unique(TRANSPOSe(Teams!$1:$1)), confs_count, BYROW(confs,lambda(conf,xlookup(conf,'Conf WC Eligibility'!A:A,'Conf WC Eligibility'!C:C,,))),confs_picked,byrow(confs,lambda(conf,countif(E$1:E620,conf))),p_needs_conf_count,byrow(confs,la"&amp;"mbda(conf,counta('Draft Order'!B$2:B622)-COUNTUNIQUE(filter(D$2:D620,E$2:E620=conf)))),query({confs,confs_count,confs_picked,p_needs_conf_count},""select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  <row r="622">
      <c r="A622" s="1"/>
      <c r="B622" s="1"/>
      <c r="C622" s="1"/>
      <c r="D622" s="115"/>
      <c r="E622" s="116"/>
      <c r="F622" s="77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13" t="str">
        <f>IFERROR(__xludf.DUMMYFUNCTION("iferror(join("","",index(sort(filter($F$400:$F623,$Q$400:$Q623&gt;$Q622,arrayformula(isnumber(FIND($E$400:$E623,AP622)))),2,false),0,1)))"),"")</f>
        <v/>
      </c>
      <c r="AW622" s="113" t="b">
        <f>IFERROR(__xludf.DUMMYFUNCTION("isnumber(find(""wild card"",join("","",filter($G$1:$G621,$D$1:$D621=D622))))"),FALSE)</f>
        <v>0</v>
      </c>
      <c r="AX622" s="113" t="str">
        <f>IFERROR(__xludf.DUMMYFUNCTION("join("","",let(confs,unique(TRANSPOSe(Teams!$1:$1)), confs_count, BYROW(confs,lambda(conf,xlookup(conf,'Conf WC Eligibility'!A:A,'Conf WC Eligibility'!C:C,,))),confs_picked,byrow(confs,lambda(conf,countif(E$1:E621,conf))),p_needs_conf_count,byrow(confs,la"&amp;"mbda(conf,counta('Draft Order'!B$2:B622)-COUNTUNIQUE(filter(D$2:D621,E$2:E621=conf)))),query({confs,confs_count,confs_picked,p_needs_conf_count},""select Col1 where Col2 =2 or Col2-Col3 &gt;Col4"")))"),"AAC,ACC,Big 12,Big Ten,MAC,Pac12,SEC,Sun Belt,zIndependent")</f>
        <v>AAC,ACC,Big 12,Big Ten,MAC,Pac12,SEC,Sun Belt,zIndependent</v>
      </c>
    </row>
  </sheetData>
  <autoFilter ref="$A$1:$F$138"/>
  <customSheetViews>
    <customSheetView guid="{E96F86DF-738F-4361-B7AE-8434D64E1E04}" filter="1" showAutoFilter="1">
      <autoFilter ref="$B$1:$G$111"/>
    </customSheetView>
  </customSheetViews>
  <conditionalFormatting sqref="F81 F107 F113">
    <cfRule type="expression" dxfId="5" priority="1">
      <formula>vlookup</formula>
    </cfRule>
  </conditionalFormatting>
  <conditionalFormatting sqref="F5 F7 F16:F17 F19 F23 F28:F29 F31 F40:F41 F43 F52:F53 F55 F65 F67 F76:F77 F79 F81 F91 F100:F101 F103 F107:F109 F111:F117">
    <cfRule type="containsBlanks" dxfId="6" priority="2">
      <formula>LEN(TRIM(F5))=0</formula>
    </cfRule>
  </conditionalFormatting>
  <conditionalFormatting sqref="F5 F7 F16:F17 F19 F23 F28:F29 F31 F40:F41 F43 F52:F53 F55 F65 F67 F76:F77 F79 F81 F91 F100:F101 F103 F107:F109 F111:F117">
    <cfRule type="expression" dxfId="10" priority="3">
      <formula>#REF!&lt;&gt;F$1</formula>
    </cfRule>
  </conditionalFormatting>
  <dataValidations>
    <dataValidation type="list" allowBlank="1" showErrorMessage="1" sqref="F2:F121">
      <formula1>'Filtered Available Teams'!$B1:AX1</formula1>
    </dataValidation>
    <dataValidation type="list" allowBlank="1" showErrorMessage="1" sqref="F122:F622">
      <formula1>'Filtered Available Teams'!$B119:AX119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9" width="5.88"/>
    <col customWidth="1" min="10" max="11" width="7.13"/>
    <col customWidth="1" min="12" max="12" width="7.88"/>
    <col customWidth="1" min="13" max="14" width="5.88"/>
    <col customWidth="1" hidden="1" min="15" max="15" width="5.88"/>
  </cols>
  <sheetData>
    <row r="1">
      <c r="A1" s="121" t="s">
        <v>36</v>
      </c>
      <c r="B1" s="122" t="s">
        <v>758</v>
      </c>
      <c r="C1" s="123" t="str">
        <f>'Picks by Player'!A1</f>
        <v>Nick G.</v>
      </c>
      <c r="D1" s="123" t="str">
        <f>'Picks by Player'!C1</f>
        <v>Gary</v>
      </c>
      <c r="E1" s="123" t="str">
        <f>'Picks by Player'!E1</f>
        <v>Vu</v>
      </c>
      <c r="F1" s="123" t="str">
        <f>'Picks by Player'!G1</f>
        <v>Nick A.</v>
      </c>
      <c r="G1" s="123" t="str">
        <f>'Picks by Player'!I1</f>
        <v>Jeannine</v>
      </c>
      <c r="H1" s="123" t="str">
        <f>'Picks by Player'!K1</f>
        <v>Justin</v>
      </c>
      <c r="I1" s="123" t="str">
        <f>'Picks by Player'!M1</f>
        <v>Josh</v>
      </c>
      <c r="J1" s="123" t="str">
        <f>'Picks by Player'!O1</f>
        <v>Mike</v>
      </c>
      <c r="K1" s="123" t="str">
        <f>'Picks by Player'!Q1</f>
        <v>Brad</v>
      </c>
      <c r="L1" s="123" t="str">
        <f>'Picks by Player'!S1</f>
        <v>Masa</v>
      </c>
      <c r="M1" s="123" t="str">
        <f>'Picks by Player'!U1</f>
        <v>Dan</v>
      </c>
      <c r="N1" s="123" t="str">
        <f>'Picks by Player'!W1</f>
        <v>Nico</v>
      </c>
      <c r="O1" s="121" t="str">
        <f>'Picks by Player'!Y1</f>
        <v>#REF!</v>
      </c>
    </row>
    <row r="2">
      <c r="A2" t="s">
        <v>361</v>
      </c>
      <c r="B2" s="86">
        <f>COUNTIF(DraftTracker!E:E,A2)</f>
        <v>14</v>
      </c>
      <c r="C2" t="str">
        <f>IFERROR(__xludf.DUMMYFUNCTION("transpose(split(join("","",{iferror(filter($A2:$A10,(iserror(match($A2:$A10,offset('Picks by Player'!$A3:$A12,0,match(C$1,'Picks by Player'!1:1,0)-1),0)))));if(counta(iferror(filter(DraftTracker!$G:$G,DraftTracker!$G:$G=""This is your wild card pick"",Dra"&amp;"ftTracker!$D:$D=C$1)))=0,""Wild Card"","""")}),"","",1,1))"),",")</f>
        <v>,</v>
      </c>
      <c r="D2" t="str">
        <f>IFERROR(__xludf.DUMMYFUNCTION("transpose(split(join("","",{iferror(filter($A2:$A10,(iserror(match($A2:$A10,offset('Picks by Player'!$A3:$A12,0,match(D$1,'Picks by Player'!1:1,0)-1),0)))));if(counta(iferror(filter(DraftTracker!$G:$G,DraftTracker!$G:$G=""This is your wild card pick"",Dra"&amp;"ftTracker!$D:$D=D$1)))=0,""Wild Card"","""")}),"","",1,1))"),",")</f>
        <v>,</v>
      </c>
      <c r="E2" t="str">
        <f>IFERROR(__xludf.DUMMYFUNCTION("transpose(split(join("","",{iferror(filter($A2:$A10,(iserror(match($A2:$A10,offset('Picks by Player'!$A3:$A12,0,match(E$1,'Picks by Player'!1:1,0)-1),0)))));if(counta(iferror(filter(DraftTracker!$G:$G,DraftTracker!$G:$G=""This is your wild card pick"",Dra"&amp;"ftTracker!$D:$D=E$1)))=0,""Wild Card"","""")}),"","",1,1))"),",")</f>
        <v>,</v>
      </c>
      <c r="F2" t="str">
        <f>IFERROR(__xludf.DUMMYFUNCTION("transpose(split(join("","",{iferror(filter($A2:$A10,(iserror(match($A2:$A10,offset('Picks by Player'!$A3:$A12,0,match(F$1,'Picks by Player'!1:1,0)-1),0)))));if(counta(iferror(filter(DraftTracker!$G:$G,DraftTracker!$G:$G=""This is your wild card pick"",Dra"&amp;"ftTracker!$D:$D=F$1)))=0,""Wild Card"","""")}),"","",1,1))"),",")</f>
        <v>,</v>
      </c>
      <c r="G2" t="str">
        <f>IFERROR(__xludf.DUMMYFUNCTION("transpose(split(join("","",{iferror(filter($A2:$A10,(iserror(match($A2:$A10,offset('Picks by Player'!$A3:$A12,0,match(G$1,'Picks by Player'!1:1,0)-1),0)))));if(counta(iferror(filter(DraftTracker!$G:$G,DraftTracker!$G:$G=""This is your wild card pick"",Dra"&amp;"ftTracker!$D:$D=G$1)))=0,""Wild Card"","""")}),"","",1,1))"),",")</f>
        <v>,</v>
      </c>
      <c r="H2" t="str">
        <f>IFERROR(__xludf.DUMMYFUNCTION("transpose(split(join("","",{iferror(filter($A2:$A10,(iserror(match($A2:$A10,offset('Picks by Player'!$A3:$A12,0,match(H$1,'Picks by Player'!1:1,0)-1),0)))));if(counta(iferror(filter(DraftTracker!$G:$G,DraftTracker!$G:$G=""This is your wild card pick"",Dra"&amp;"ftTracker!$D:$D=H$1)))=0,""Wild Card"","""")}),"","",1,1))"),",")</f>
        <v>,</v>
      </c>
      <c r="I2" t="str">
        <f>IFERROR(__xludf.DUMMYFUNCTION("transpose(split(join("","",{iferror(filter($A2:$A10,(iserror(match($A2:$A10,offset('Picks by Player'!$A3:$A12,0,match(I$1,'Picks by Player'!1:1,0)-1),0)))));if(counta(iferror(filter(DraftTracker!$G:$G,DraftTracker!$G:$G=""This is your wild card pick"",Dra"&amp;"ftTracker!$D:$D=I$1)))=0,""Wild Card"","""")}),"","",1,1))"),",")</f>
        <v>,</v>
      </c>
      <c r="J2" t="str">
        <f>IFERROR(__xludf.DUMMYFUNCTION("transpose(split(join("","",{iferror(filter($A2:$A10,(iserror(match($A2:$A10,offset('Picks by Player'!$A3:$A12,0,match(J$1,'Picks by Player'!1:1,0)-1),0)))));if(counta(iferror(filter(DraftTracker!$G:$G,DraftTracker!$G:$G=""This is your wild card pick"",Dra"&amp;"ftTracker!$D:$D=J$1)))=0,""Wild Card"","""")}),"","",1,1))"),",")</f>
        <v>,</v>
      </c>
      <c r="K2" t="str">
        <f>IFERROR(__xludf.DUMMYFUNCTION("transpose(split(join("","",{iferror(filter($A2:$A10,(iserror(match($A2:$A10,offset('Picks by Player'!$A3:$A12,0,match(K$1,'Picks by Player'!1:1,0)-1),0)))));if(counta(iferror(filter(DraftTracker!$G:$G,DraftTracker!$G:$G=""This is your wild card pick"",Dra"&amp;"ftTracker!$D:$D=K$1)))=0,""Wild Card"","""")}),"","",1,1))"),",")</f>
        <v>,</v>
      </c>
      <c r="L2" t="str">
        <f>IFERROR(__xludf.DUMMYFUNCTION("transpose(split(join("","",{iferror(filter($A2:$A10,(iserror(match($A2:$A10,offset('Picks by Player'!$A3:$A12,0,match(L$1,'Picks by Player'!1:1,0)-1),0)))));if(counta(iferror(filter(DraftTracker!$G:$G,DraftTracker!$G:$G=""This is your wild card pick"",Dra"&amp;"ftTracker!$D:$D=L$1)))=0,""Wild Card"","""")}),"","",1,1))"),",")</f>
        <v>,</v>
      </c>
      <c r="M2" t="str">
        <f>IFERROR(__xludf.DUMMYFUNCTION("transpose(split(join("","",{iferror(filter($A2:$A10,(iserror(match($A2:$A10,offset('Picks by Player'!$A3:$A12,0,match(M$1,'Picks by Player'!1:1,0)-1),0)))));if(counta(iferror(filter(DraftTracker!$G:$G,DraftTracker!$G:$G=""This is your wild card pick"",Dra"&amp;"ftTracker!$D:$D=M$1)))=0,""Wild Card"","""")}),"","",1,1))"),",")</f>
        <v>,</v>
      </c>
      <c r="N2" t="str">
        <f>IFERROR(__xludf.DUMMYFUNCTION("transpose(split(join("","",{iferror(filter($A2:$A10,(iserror(match($A2:$A10,offset('Picks by Player'!$A3:$A12,0,match(N$1,'Picks by Player'!1:1,0)-1),0)))));if(counta(iferror(filter(DraftTracker!$G:$G,DraftTracker!$G:$G=""This is your wild card pick"",Dra"&amp;"ftTracker!$D:$D=N$1)))=0,""Wild Card"","""")}),"","",1,1))"),",")</f>
        <v>,</v>
      </c>
      <c r="O2" t="str">
        <f>IFERROR(__xludf.DUMMYFUNCTION("{filter($A2:$A10,(iserror(match($A2:$A10,offset('Picks by Player'!$A3:$A12,0,match(O$1,'Picks by Player'!1:1,0)-1),0))));if(counta(iferror(filter(DraftTracker!$G:$G,DraftTracker!$G:$G=""This is your wild card pick"",DraftTracker!$D:$D=O$1)))=0,""Wild Card"&amp;""","""")}"),"AAC")</f>
        <v>AAC</v>
      </c>
    </row>
    <row r="3">
      <c r="A3" t="s">
        <v>317</v>
      </c>
      <c r="B3" s="86">
        <f>COUNTIF(DraftTracker!E:E,A3)</f>
        <v>17</v>
      </c>
      <c r="O3" t="str">
        <f>IFERROR(__xludf.DUMMYFUNCTION("""COMPUTED_VALUE"""),"ACC")</f>
        <v>ACC</v>
      </c>
    </row>
    <row r="4">
      <c r="A4" t="s">
        <v>471</v>
      </c>
      <c r="B4" s="86">
        <f>COUNTIF(DraftTracker!E:E,A4)</f>
        <v>16</v>
      </c>
      <c r="O4" t="str">
        <f>IFERROR(__xludf.DUMMYFUNCTION("""COMPUTED_VALUE"""),"Big 12")</f>
        <v>Big 12</v>
      </c>
    </row>
    <row r="5">
      <c r="A5" t="s">
        <v>407</v>
      </c>
      <c r="B5" s="86">
        <f>COUNTIF(DraftTracker!E:E,A5)</f>
        <v>18</v>
      </c>
      <c r="O5" t="str">
        <f>IFERROR(__xludf.DUMMYFUNCTION("""COMPUTED_VALUE"""),"Big Ten")</f>
        <v>Big Ten</v>
      </c>
    </row>
    <row r="6">
      <c r="A6" t="s">
        <v>535</v>
      </c>
      <c r="B6" s="86">
        <f>COUNTIF(DraftTracker!E:E,A6)</f>
        <v>12</v>
      </c>
      <c r="O6" t="str">
        <f>IFERROR(__xludf.DUMMYFUNCTION("""COMPUTED_VALUE"""),"CUSA")</f>
        <v>CUSA</v>
      </c>
    </row>
    <row r="7">
      <c r="A7" t="s">
        <v>530</v>
      </c>
      <c r="B7" s="86">
        <f>COUNTIF(DraftTracker!E:E,A7)</f>
        <v>13</v>
      </c>
      <c r="O7" t="str">
        <f>IFERROR(__xludf.DUMMYFUNCTION("""COMPUTED_VALUE"""),"MAC")</f>
        <v>MAC</v>
      </c>
    </row>
    <row r="8">
      <c r="A8" t="s">
        <v>525</v>
      </c>
      <c r="B8" s="86">
        <f>COUNTIF(DraftTracker!E:E,A8)</f>
        <v>12</v>
      </c>
      <c r="O8" t="str">
        <f>IFERROR(__xludf.DUMMYFUNCTION("""COMPUTED_VALUE"""),"MWC")</f>
        <v>MWC</v>
      </c>
    </row>
    <row r="9">
      <c r="A9" t="s">
        <v>556</v>
      </c>
      <c r="B9" s="86">
        <f>COUNTIF(DraftTracker!E:E,A9)</f>
        <v>16</v>
      </c>
      <c r="O9" t="str">
        <f>IFERROR(__xludf.DUMMYFUNCTION("""COMPUTED_VALUE"""),"SEC")</f>
        <v>SEC</v>
      </c>
    </row>
    <row r="10">
      <c r="A10" t="s">
        <v>441</v>
      </c>
      <c r="B10" s="86">
        <f>COUNTIF(DraftTracker!E:E,A10)</f>
        <v>14</v>
      </c>
      <c r="O10" t="str">
        <f>IFERROR(__xludf.DUMMYFUNCTION("""COMPUTED_VALUE"""),"Sun Belt")</f>
        <v>Sun Belt</v>
      </c>
    </row>
    <row r="11">
      <c r="A11" s="1" t="s">
        <v>777</v>
      </c>
      <c r="B11" s="86">
        <f>COUNTIF(DraftTracker!G:G,"This is your wild card pick")</f>
        <v>13</v>
      </c>
      <c r="O11" t="str">
        <f>IFERROR(__xludf.DUMMYFUNCTION("""COMPUTED_VALUE"""),"Wild Card")</f>
        <v>Wild Card</v>
      </c>
    </row>
  </sheetData>
  <conditionalFormatting sqref="A1:O11">
    <cfRule type="cellIs" dxfId="5" priority="1" operator="equal">
      <formula>"Wild card"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1.75"/>
    <col customWidth="1" min="3" max="3" width="6.38"/>
    <col customWidth="1" min="4" max="4" width="13.0"/>
    <col customWidth="1" min="5" max="5" width="5.5"/>
    <col customWidth="1" min="6" max="6" width="11.13"/>
    <col customWidth="1" min="7" max="7" width="7.13"/>
    <col customWidth="1" min="8" max="8" width="12.0"/>
    <col customWidth="1" min="9" max="9" width="7.13"/>
    <col customWidth="1" min="10" max="10" width="15.25"/>
    <col customWidth="1" min="11" max="11" width="6.38"/>
    <col customWidth="1" min="12" max="12" width="14.0"/>
    <col customWidth="1" min="13" max="13" width="6.38"/>
    <col customWidth="1" min="14" max="14" width="13.13"/>
    <col customWidth="1" min="15" max="15" width="6.38"/>
    <col customWidth="1" min="16" max="16" width="10.25"/>
    <col customWidth="1" min="17" max="17" width="6.38"/>
    <col customWidth="1" min="18" max="18" width="14.38"/>
    <col customWidth="1" min="19" max="19" width="6.38"/>
    <col customWidth="1" min="20" max="20" width="10.25"/>
    <col customWidth="1" min="21" max="21" width="6.13"/>
    <col customWidth="1" min="22" max="22" width="10.75"/>
    <col customWidth="1" min="23" max="23" width="6.63"/>
    <col customWidth="1" min="24" max="24" width="11.38"/>
    <col customWidth="1" hidden="1" min="25" max="26" width="11.38"/>
  </cols>
  <sheetData>
    <row r="1">
      <c r="A1" s="124" t="str">
        <f>DraftTracker!D2</f>
        <v>Nick G.</v>
      </c>
      <c r="B1" s="125"/>
      <c r="C1" s="124" t="str">
        <f>DraftTracker!D3</f>
        <v>Gary</v>
      </c>
      <c r="D1" s="125"/>
      <c r="E1" s="124" t="str">
        <f>DraftTracker!D4</f>
        <v>Vu</v>
      </c>
      <c r="F1" s="125"/>
      <c r="G1" s="124" t="str">
        <f>DraftTracker!D5</f>
        <v>Nick A.</v>
      </c>
      <c r="H1" s="125"/>
      <c r="I1" s="124" t="str">
        <f>DraftTracker!D6</f>
        <v>Jeannine</v>
      </c>
      <c r="J1" s="125"/>
      <c r="K1" s="124" t="str">
        <f>DraftTracker!D7</f>
        <v>Justin</v>
      </c>
      <c r="L1" s="125"/>
      <c r="M1" s="124" t="str">
        <f>DraftTracker!D8</f>
        <v>Josh</v>
      </c>
      <c r="N1" s="125"/>
      <c r="O1" s="124" t="str">
        <f>DraftTracker!D9</f>
        <v>Mike</v>
      </c>
      <c r="P1" s="125"/>
      <c r="Q1" s="124" t="str">
        <f>DraftTracker!D10</f>
        <v>Brad</v>
      </c>
      <c r="R1" s="125"/>
      <c r="S1" s="124" t="str">
        <f>DraftTracker!D11</f>
        <v>Masa</v>
      </c>
      <c r="T1" s="125"/>
      <c r="U1" s="124" t="str">
        <f>DraftTracker!D12</f>
        <v>Dan</v>
      </c>
      <c r="V1" s="125"/>
      <c r="W1" s="124" t="str">
        <f>DraftTracker!D13</f>
        <v>Nico</v>
      </c>
      <c r="X1" s="125"/>
      <c r="Y1" s="126" t="str">
        <f>#REF!</f>
        <v>#REF!</v>
      </c>
      <c r="Z1" s="125"/>
    </row>
    <row r="2">
      <c r="A2" s="127" t="s">
        <v>36</v>
      </c>
      <c r="B2" s="128" t="s">
        <v>13</v>
      </c>
      <c r="C2" s="127" t="s">
        <v>36</v>
      </c>
      <c r="D2" s="129" t="s">
        <v>13</v>
      </c>
      <c r="E2" s="130" t="s">
        <v>36</v>
      </c>
      <c r="F2" s="129" t="s">
        <v>13</v>
      </c>
      <c r="G2" s="130" t="s">
        <v>36</v>
      </c>
      <c r="H2" s="129" t="s">
        <v>13</v>
      </c>
      <c r="I2" s="130" t="s">
        <v>36</v>
      </c>
      <c r="J2" s="129" t="s">
        <v>13</v>
      </c>
      <c r="K2" s="130" t="s">
        <v>36</v>
      </c>
      <c r="L2" s="129" t="s">
        <v>13</v>
      </c>
      <c r="M2" s="130" t="s">
        <v>36</v>
      </c>
      <c r="N2" s="129" t="s">
        <v>13</v>
      </c>
      <c r="O2" s="130" t="s">
        <v>36</v>
      </c>
      <c r="P2" s="129" t="s">
        <v>13</v>
      </c>
      <c r="Q2" s="130" t="s">
        <v>36</v>
      </c>
      <c r="R2" s="129" t="s">
        <v>13</v>
      </c>
      <c r="S2" s="130" t="s">
        <v>36</v>
      </c>
      <c r="T2" s="129" t="s">
        <v>13</v>
      </c>
      <c r="U2" s="130" t="s">
        <v>36</v>
      </c>
      <c r="V2" s="129" t="s">
        <v>13</v>
      </c>
      <c r="W2" s="130" t="s">
        <v>36</v>
      </c>
      <c r="X2" s="129" t="s">
        <v>13</v>
      </c>
      <c r="Y2" s="130" t="s">
        <v>36</v>
      </c>
      <c r="Z2" s="129" t="s">
        <v>13</v>
      </c>
    </row>
    <row r="3">
      <c r="A3" s="131" t="str">
        <f>IFERROR(__xludf.DUMMYFUNCTION("if(iserror(filter('Picks by Player Raw'!A:A,'Picks by Player Raw'!A:A &lt;&gt;A$1,'Picks by Player Raw'!A:A&lt;&gt;"""")),"""",filter('Picks by Player Raw'!A:A,'Picks by Player Raw'!A:A &lt;&gt;A$1,'Picks by Player Raw'!A:A&lt;&gt;""""))"),"Big Ten")</f>
        <v>Big Ten</v>
      </c>
      <c r="B3" s="132" t="str">
        <f>IFERROR(__xludf.DUMMYFUNCTION("if(iserror(filter('Picks by Player Raw'!B:B,'Picks by Player Raw'!B:B &lt;&gt;A$1,'Picks by Player Raw'!B:B&lt;&gt;"""")),"""",filter('Picks by Player Raw'!B:B,'Picks by Player Raw'!B:B &lt;&gt;A$1,'Picks by Player Raw'!B:B&lt;&gt;""""))"),"Penn State")</f>
        <v>Penn State</v>
      </c>
      <c r="C3" s="131" t="str">
        <f>IFERROR(__xludf.DUMMYFUNCTION("if(iserror(filter('Picks by Player Raw'!C:C,'Picks by Player Raw'!C:C &lt;&gt;C$1,'Picks by Player Raw'!C:C&lt;&gt;"""")),"""",filter('Picks by Player Raw'!C:C,'Picks by Player Raw'!C:C &lt;&gt;C$1,'Picks by Player Raw'!C:C&lt;&gt;""""))"),"MWC")</f>
        <v>MWC</v>
      </c>
      <c r="D3" s="132" t="str">
        <f>IFERROR(__xludf.DUMMYFUNCTION("if(iserror(filter('Picks by Player Raw'!D:D,'Picks by Player Raw'!D:D &lt;&gt;C$1,'Picks by Player Raw'!D:D&lt;&gt;"""")),"""",filter('Picks by Player Raw'!D:D,'Picks by Player Raw'!D:D &lt;&gt;C$1,'Picks by Player Raw'!D:D&lt;&gt;""""))"),"Boise State")</f>
        <v>Boise State</v>
      </c>
      <c r="E3" s="131" t="str">
        <f>IFERROR(__xludf.DUMMYFUNCTION("if(iserror(filter('Picks by Player Raw'!E:E,'Picks by Player Raw'!E:E &lt;&gt;E$1,'Picks by Player Raw'!E:E&lt;&gt;"""")),"""",filter('Picks by Player Raw'!E:E,'Picks by Player Raw'!E:E &lt;&gt;E$1,'Picks by Player Raw'!E:E&lt;&gt;""""))"),"CUSA")</f>
        <v>CUSA</v>
      </c>
      <c r="F3" s="132" t="str">
        <f>IFERROR(__xludf.DUMMYFUNCTION("if(iserror(filter('Picks by Player Raw'!F:F,'Picks by Player Raw'!F:F &lt;&gt;E$1,'Picks by Player Raw'!F:F&lt;&gt;"""")),"""",filter('Picks by Player Raw'!F:F,'Picks by Player Raw'!F:F &lt;&gt;E$1,'Picks by Player Raw'!F:F&lt;&gt;""""))"),"Liberty")</f>
        <v>Liberty</v>
      </c>
      <c r="G3" s="131" t="str">
        <f>IFERROR(__xludf.DUMMYFUNCTION("if(iserror(filter('Picks by Player Raw'!G:G,'Picks by Player Raw'!G:G &lt;&gt;G$1,'Picks by Player Raw'!G:G&lt;&gt;"""")),"""",filter('Picks by Player Raw'!G:G,'Picks by Player Raw'!G:G &lt;&gt;G$1,'Picks by Player Raw'!G:G&lt;&gt;""""))"),"Big Ten")</f>
        <v>Big Ten</v>
      </c>
      <c r="H3" s="132" t="str">
        <f>IFERROR(__xludf.DUMMYFUNCTION("if(iserror(filter('Picks by Player Raw'!H:H,'Picks by Player Raw'!H:H &lt;&gt;G$1,'Picks by Player Raw'!H:H&lt;&gt;"""")),"""",filter('Picks by Player Raw'!H:H,'Picks by Player Raw'!H:H &lt;&gt;G$1,'Picks by Player Raw'!H:H&lt;&gt;""""))"),"Ohio State")</f>
        <v>Ohio State</v>
      </c>
      <c r="I3" s="131" t="str">
        <f>IFERROR(__xludf.DUMMYFUNCTION("if(iserror(filter('Picks by Player Raw'!I:I,'Picks by Player Raw'!I:I &lt;&gt;I$1,'Picks by Player Raw'!I:I&lt;&gt;"""")),"""",filter('Picks by Player Raw'!I:I,'Picks by Player Raw'!I:I &lt;&gt;I$1,'Picks by Player Raw'!I:I&lt;&gt;""""))"),"Big Ten")</f>
        <v>Big Ten</v>
      </c>
      <c r="J3" s="132" t="str">
        <f>IFERROR(__xludf.DUMMYFUNCTION("if(iserror(filter('Picks by Player Raw'!J:J,'Picks by Player Raw'!J:J &lt;&gt;I$1,'Picks by Player Raw'!J:J&lt;&gt;"""")),"""",filter('Picks by Player Raw'!J:J,'Picks by Player Raw'!J:J &lt;&gt;I$1,'Picks by Player Raw'!J:J&lt;&gt;""""))"),"Oregon")</f>
        <v>Oregon</v>
      </c>
      <c r="K3" s="131" t="str">
        <f>IFERROR(__xludf.DUMMYFUNCTION("if(iserror(filter('Picks by Player Raw'!K:K,'Picks by Player Raw'!K:K &lt;&gt;K$1,'Picks by Player Raw'!K:K&lt;&gt;"""")),"""",filter('Picks by Player Raw'!K:K,'Picks by Player Raw'!K:K &lt;&gt;K$1,'Picks by Player Raw'!K:K&lt;&gt;""""))"),"MWC")</f>
        <v>MWC</v>
      </c>
      <c r="L3" s="132" t="str">
        <f>IFERROR(__xludf.DUMMYFUNCTION("if(iserror(filter('Picks by Player Raw'!L:L,'Picks by Player Raw'!L:L &lt;&gt;K$1,'Picks by Player Raw'!L:L&lt;&gt;"""")),"""",filter('Picks by Player Raw'!L:L,'Picks by Player Raw'!L:L &lt;&gt;K$1,'Picks by Player Raw'!L:L&lt;&gt;""""))"),"UNLV")</f>
        <v>UNLV</v>
      </c>
      <c r="M3" s="131" t="str">
        <f>IFERROR(__xludf.DUMMYFUNCTION("if(iserror(filter('Picks by Player Raw'!M:M,'Picks by Player Raw'!M:M &lt;&gt;M$1,'Picks by Player Raw'!M:M&lt;&gt;"""")),"""",filter('Picks by Player Raw'!M:M,'Picks by Player Raw'!M:M &lt;&gt;M$1,'Picks by Player Raw'!M:M&lt;&gt;""""))"),"zIndependent")</f>
        <v>zIndependent</v>
      </c>
      <c r="N3" s="132" t="str">
        <f>IFERROR(__xludf.DUMMYFUNCTION("if(iserror(filter('Picks by Player Raw'!N:N,'Picks by Player Raw'!N:N &lt;&gt;M$1,'Picks by Player Raw'!N:N&lt;&gt;"""")),"""",filter('Picks by Player Raw'!N:N,'Picks by Player Raw'!N:N &lt;&gt;M$1,'Picks by Player Raw'!N:N&lt;&gt;""""))"),"Notre Dame")</f>
        <v>Notre Dame</v>
      </c>
      <c r="O3" s="131" t="str">
        <f>IFERROR(__xludf.DUMMYFUNCTION("if(iserror(filter('Picks by Player Raw'!O:O,'Picks by Player Raw'!O:O &lt;&gt;O$1,'Picks by Player Raw'!O:O&lt;&gt;"""")),"""",filter('Picks by Player Raw'!O:O,'Picks by Player Raw'!O:O &lt;&gt;O$1,'Picks by Player Raw'!O:O&lt;&gt;""""))"),"AAC")</f>
        <v>AAC</v>
      </c>
      <c r="P3" s="132" t="str">
        <f>IFERROR(__xludf.DUMMYFUNCTION("if(iserror(filter('Picks by Player Raw'!P:P,'Picks by Player Raw'!P:P &lt;&gt;O$1,'Picks by Player Raw'!P:P&lt;&gt;"""")),"""",filter('Picks by Player Raw'!P:P,'Picks by Player Raw'!P:P &lt;&gt;O$1,'Picks by Player Raw'!P:P&lt;&gt;""""))"),"Memphis")</f>
        <v>Memphis</v>
      </c>
      <c r="Q3" s="131" t="str">
        <f>IFERROR(__xludf.DUMMYFUNCTION("if(iserror(filter('Picks by Player Raw'!Q:Q,'Picks by Player Raw'!Q:Q &lt;&gt;Q$1,'Picks by Player Raw'!Q:Q&lt;&gt;"""")),"""",filter('Picks by Player Raw'!Q:Q,'Picks by Player Raw'!Q:Q &lt;&gt;Q$1,'Picks by Player Raw'!Q:Q&lt;&gt;""""))"),"MAC")</f>
        <v>MAC</v>
      </c>
      <c r="R3" s="132" t="str">
        <f>IFERROR(__xludf.DUMMYFUNCTION("if(iserror(filter('Picks by Player Raw'!R:R,'Picks by Player Raw'!R:R &lt;&gt;Q$1,'Picks by Player Raw'!R:R&lt;&gt;"""")),"""",filter('Picks by Player Raw'!R:R,'Picks by Player Raw'!R:R &lt;&gt;Q$1,'Picks by Player Raw'!R:R&lt;&gt;""""))"),"Toledo")</f>
        <v>Toledo</v>
      </c>
      <c r="S3" s="131" t="str">
        <f>IFERROR(__xludf.DUMMYFUNCTION("if(iserror(filter('Picks by Player Raw'!S:S,'Picks by Player Raw'!S:S &lt;&gt;S$1,'Picks by Player Raw'!S:S&lt;&gt;"""")),"""",filter('Picks by Player Raw'!S:S,'Picks by Player Raw'!S:S &lt;&gt;S$1,'Picks by Player Raw'!S:S&lt;&gt;""""))"),"ACC")</f>
        <v>ACC</v>
      </c>
      <c r="T3" s="132" t="str">
        <f>IFERROR(__xludf.DUMMYFUNCTION("if(iserror(filter('Picks by Player Raw'!T:T,'Picks by Player Raw'!T:T &lt;&gt;S$1,'Picks by Player Raw'!T:T&lt;&gt;"""")),"""",filter('Picks by Player Raw'!T:T,'Picks by Player Raw'!T:T &lt;&gt;S$1,'Picks by Player Raw'!T:T&lt;&gt;""""))"),"Clemson")</f>
        <v>Clemson</v>
      </c>
      <c r="U3" s="131" t="str">
        <f>IFERROR(__xludf.DUMMYFUNCTION("if(iserror(filter('Picks by Player Raw'!U:U,'Picks by Player Raw'!U:U &lt;&gt;U$1,'Picks by Player Raw'!U:U&lt;&gt;"""")),"""",filter('Picks by Player Raw'!U:U,'Picks by Player Raw'!U:U &lt;&gt;U$1,'Picks by Player Raw'!U:U&lt;&gt;""""))"),"Sun Belt")</f>
        <v>Sun Belt</v>
      </c>
      <c r="V3" s="132" t="str">
        <f>IFERROR(__xludf.DUMMYFUNCTION("if(iserror(filter('Picks by Player Raw'!V:V,'Picks by Player Raw'!V:V &lt;&gt;U$1,'Picks by Player Raw'!V:V&lt;&gt;"""")),"""",filter('Picks by Player Raw'!V:V,'Picks by Player Raw'!V:V &lt;&gt;U$1,'Picks by Player Raw'!V:V&lt;&gt;""""))"),"James Madison")</f>
        <v>James Madison</v>
      </c>
      <c r="W3" s="131" t="str">
        <f>IFERROR(__xludf.DUMMYFUNCTION("if(iserror(filter('Picks by Player Raw'!W:W,'Picks by Player Raw'!W:W &lt;&gt;W$1,'Picks by Player Raw'!W:W&lt;&gt;"""")),"""",filter('Picks by Player Raw'!W:W,'Picks by Player Raw'!W:W &lt;&gt;W$1,'Picks by Player Raw'!W:W&lt;&gt;""""))"),"AAC")</f>
        <v>AAC</v>
      </c>
      <c r="X3" s="132" t="str">
        <f>IFERROR(__xludf.DUMMYFUNCTION("if(iserror(filter('Picks by Player Raw'!X:X,'Picks by Player Raw'!X:X &lt;&gt;W$1,'Picks by Player Raw'!X:X&lt;&gt;"""")),"""",filter('Picks by Player Raw'!X:X,'Picks by Player Raw'!X:X &lt;&gt;W$1,'Picks by Player Raw'!X:X&lt;&gt;""""))"),"Tulane")</f>
        <v>Tulane</v>
      </c>
      <c r="Y3" s="131" t="str">
        <f>IFERROR(__xludf.DUMMYFUNCTION("if(iserror(filter('Picks by Player Raw'!Y:Y,'Picks by Player Raw'!Y:Y &lt;&gt;Y$1,'Picks by Player Raw'!Y:Y&lt;&gt;"""")),"""",filter('Picks by Player Raw'!Y:Y,'Picks by Player Raw'!Y:Y &lt;&gt;Y$1,'Picks by Player Raw'!Y:Y&lt;&gt;""""))"),"")</f>
        <v/>
      </c>
      <c r="Z3" s="132" t="str">
        <f>IFERROR(__xludf.DUMMYFUNCTION("if(iserror(filter('Picks by Player Raw'!Z:Z,'Picks by Player Raw'!Z:Z &lt;&gt;Y$1,'Picks by Player Raw'!Z:Z&lt;&gt;"""")),"""",filter('Picks by Player Raw'!Z:Z,'Picks by Player Raw'!Z:Z &lt;&gt;Y$1,'Picks by Player Raw'!Z:Z&lt;&gt;""""))"),"")</f>
        <v/>
      </c>
    </row>
    <row r="4">
      <c r="A4" s="133" t="str">
        <f>IFERROR(__xludf.DUMMYFUNCTION("""COMPUTED_VALUE"""),"Big 12")</f>
        <v>Big 12</v>
      </c>
      <c r="B4" s="134" t="str">
        <f>IFERROR(__xludf.DUMMYFUNCTION("""COMPUTED_VALUE"""),"Arizona State")</f>
        <v>Arizona State</v>
      </c>
      <c r="C4" s="133" t="str">
        <f>IFERROR(__xludf.DUMMYFUNCTION("""COMPUTED_VALUE"""),"Big 12")</f>
        <v>Big 12</v>
      </c>
      <c r="D4" s="134" t="str">
        <f>IFERROR(__xludf.DUMMYFUNCTION("""COMPUTED_VALUE"""),"Utah")</f>
        <v>Utah</v>
      </c>
      <c r="E4" s="133" t="str">
        <f>IFERROR(__xludf.DUMMYFUNCTION("""COMPUTED_VALUE"""),"SEC")</f>
        <v>SEC</v>
      </c>
      <c r="F4" s="134" t="str">
        <f>IFERROR(__xludf.DUMMYFUNCTION("""COMPUTED_VALUE"""),"Alabama")</f>
        <v>Alabama</v>
      </c>
      <c r="G4" s="133" t="str">
        <f>IFERROR(__xludf.DUMMYFUNCTION("""COMPUTED_VALUE"""),"ACC")</f>
        <v>ACC</v>
      </c>
      <c r="H4" s="134" t="str">
        <f>IFERROR(__xludf.DUMMYFUNCTION("""COMPUTED_VALUE"""),"SMU")</f>
        <v>SMU</v>
      </c>
      <c r="I4" s="133" t="str">
        <f>IFERROR(__xludf.DUMMYFUNCTION("""COMPUTED_VALUE"""),"Big Ten")</f>
        <v>Big Ten</v>
      </c>
      <c r="J4" s="134" t="str">
        <f>IFERROR(__xludf.DUMMYFUNCTION("""COMPUTED_VALUE"""),"Michigan")</f>
        <v>Michigan</v>
      </c>
      <c r="K4" s="133" t="str">
        <f>IFERROR(__xludf.DUMMYFUNCTION("""COMPUTED_VALUE"""),"AAC")</f>
        <v>AAC</v>
      </c>
      <c r="L4" s="134" t="str">
        <f>IFERROR(__xludf.DUMMYFUNCTION("""COMPUTED_VALUE"""),"Navy")</f>
        <v>Navy</v>
      </c>
      <c r="M4" s="133" t="str">
        <f>IFERROR(__xludf.DUMMYFUNCTION("""COMPUTED_VALUE"""),"SEC")</f>
        <v>SEC</v>
      </c>
      <c r="N4" s="134" t="str">
        <f>IFERROR(__xludf.DUMMYFUNCTION("""COMPUTED_VALUE"""),"Georgia")</f>
        <v>Georgia</v>
      </c>
      <c r="O4" s="133" t="str">
        <f>IFERROR(__xludf.DUMMYFUNCTION("""COMPUTED_VALUE"""),"MWC")</f>
        <v>MWC</v>
      </c>
      <c r="P4" s="134" t="str">
        <f>IFERROR(__xludf.DUMMYFUNCTION("""COMPUTED_VALUE"""),"San José State")</f>
        <v>San José State</v>
      </c>
      <c r="Q4" s="133" t="str">
        <f>IFERROR(__xludf.DUMMYFUNCTION("""COMPUTED_VALUE"""),"ACC")</f>
        <v>ACC</v>
      </c>
      <c r="R4" s="134" t="str">
        <f>IFERROR(__xludf.DUMMYFUNCTION("""COMPUTED_VALUE"""),"Miami")</f>
        <v>Miami</v>
      </c>
      <c r="S4" s="133" t="str">
        <f>IFERROR(__xludf.DUMMYFUNCTION("""COMPUTED_VALUE"""),"MAC")</f>
        <v>MAC</v>
      </c>
      <c r="T4" s="134" t="str">
        <f>IFERROR(__xludf.DUMMYFUNCTION("""COMPUTED_VALUE"""),"Buffalo")</f>
        <v>Buffalo</v>
      </c>
      <c r="U4" s="133" t="str">
        <f>IFERROR(__xludf.DUMMYFUNCTION("""COMPUTED_VALUE"""),"CUSA")</f>
        <v>CUSA</v>
      </c>
      <c r="V4" s="134" t="str">
        <f>IFERROR(__xludf.DUMMYFUNCTION("""COMPUTED_VALUE"""),"Western Kentucky")</f>
        <v>Western Kentucky</v>
      </c>
      <c r="W4" s="133" t="str">
        <f>IFERROR(__xludf.DUMMYFUNCTION("""COMPUTED_VALUE"""),"SEC")</f>
        <v>SEC</v>
      </c>
      <c r="X4" s="134" t="str">
        <f>IFERROR(__xludf.DUMMYFUNCTION("""COMPUTED_VALUE"""),"Texas")</f>
        <v>Texas</v>
      </c>
      <c r="Y4" s="133"/>
      <c r="Z4" s="134"/>
    </row>
    <row r="5">
      <c r="A5" s="133" t="str">
        <f>IFERROR(__xludf.DUMMYFUNCTION("""COMPUTED_VALUE"""),"Big 12")</f>
        <v>Big 12</v>
      </c>
      <c r="B5" s="134" t="str">
        <f>IFERROR(__xludf.DUMMYFUNCTION("""COMPUTED_VALUE"""),"Texas Tech")</f>
        <v>Texas Tech</v>
      </c>
      <c r="C5" s="133" t="str">
        <f>IFERROR(__xludf.DUMMYFUNCTION("""COMPUTED_VALUE"""),"Big Ten")</f>
        <v>Big Ten</v>
      </c>
      <c r="D5" s="134" t="str">
        <f>IFERROR(__xludf.DUMMYFUNCTION("""COMPUTED_VALUE"""),"USC")</f>
        <v>USC</v>
      </c>
      <c r="E5" s="133" t="str">
        <f>IFERROR(__xludf.DUMMYFUNCTION("""COMPUTED_VALUE"""),"Big 12")</f>
        <v>Big 12</v>
      </c>
      <c r="F5" s="134" t="str">
        <f>IFERROR(__xludf.DUMMYFUNCTION("""COMPUTED_VALUE"""),"Kansas State")</f>
        <v>Kansas State</v>
      </c>
      <c r="G5" s="133" t="str">
        <f>IFERROR(__xludf.DUMMYFUNCTION("""COMPUTED_VALUE"""),"Sun Belt")</f>
        <v>Sun Belt</v>
      </c>
      <c r="H5" s="134" t="str">
        <f>IFERROR(__xludf.DUMMYFUNCTION("""COMPUTED_VALUE"""),"UL Lafayette")</f>
        <v>UL Lafayette</v>
      </c>
      <c r="I5" s="133" t="str">
        <f>IFERROR(__xludf.DUMMYFUNCTION("""COMPUTED_VALUE"""),"AAC")</f>
        <v>AAC</v>
      </c>
      <c r="J5" s="134" t="str">
        <f>IFERROR(__xludf.DUMMYFUNCTION("""COMPUTED_VALUE"""),"UTSA")</f>
        <v>UTSA</v>
      </c>
      <c r="K5" s="133" t="str">
        <f>IFERROR(__xludf.DUMMYFUNCTION("""COMPUTED_VALUE"""),"Sun Belt")</f>
        <v>Sun Belt</v>
      </c>
      <c r="L5" s="134" t="str">
        <f>IFERROR(__xludf.DUMMYFUNCTION("""COMPUTED_VALUE"""),"Georgia Southern")</f>
        <v>Georgia Southern</v>
      </c>
      <c r="M5" s="133" t="str">
        <f>IFERROR(__xludf.DUMMYFUNCTION("""COMPUTED_VALUE"""),"MAC")</f>
        <v>MAC</v>
      </c>
      <c r="N5" s="134" t="str">
        <f>IFERROR(__xludf.DUMMYFUNCTION("""COMPUTED_VALUE"""),"Ohio")</f>
        <v>Ohio</v>
      </c>
      <c r="O5" s="133" t="str">
        <f>IFERROR(__xludf.DUMMYFUNCTION("""COMPUTED_VALUE"""),"Sun Belt")</f>
        <v>Sun Belt</v>
      </c>
      <c r="P5" s="134" t="str">
        <f>IFERROR(__xludf.DUMMYFUNCTION("""COMPUTED_VALUE"""),"South Alabama")</f>
        <v>South Alabama</v>
      </c>
      <c r="Q5" s="133" t="str">
        <f>IFERROR(__xludf.DUMMYFUNCTION("""COMPUTED_VALUE"""),"Big Ten")</f>
        <v>Big Ten</v>
      </c>
      <c r="R5" s="134" t="str">
        <f>IFERROR(__xludf.DUMMYFUNCTION("""COMPUTED_VALUE"""),"Illinois")</f>
        <v>Illinois</v>
      </c>
      <c r="S5" s="133" t="str">
        <f>IFERROR(__xludf.DUMMYFUNCTION("""COMPUTED_VALUE"""),"CUSA")</f>
        <v>CUSA</v>
      </c>
      <c r="T5" s="134" t="str">
        <f>IFERROR(__xludf.DUMMYFUNCTION("""COMPUTED_VALUE"""),"Louisiana Tech")</f>
        <v>Louisiana Tech</v>
      </c>
      <c r="U5" s="133" t="str">
        <f>IFERROR(__xludf.DUMMYFUNCTION("""COMPUTED_VALUE"""),"AAC")</f>
        <v>AAC</v>
      </c>
      <c r="V5" s="134" t="str">
        <f>IFERROR(__xludf.DUMMYFUNCTION("""COMPUTED_VALUE"""),"Army")</f>
        <v>Army</v>
      </c>
      <c r="W5" s="133" t="str">
        <f>IFERROR(__xludf.DUMMYFUNCTION("""COMPUTED_VALUE"""),"Big Ten")</f>
        <v>Big Ten</v>
      </c>
      <c r="X5" s="134" t="str">
        <f>IFERROR(__xludf.DUMMYFUNCTION("""COMPUTED_VALUE"""),"Indiana")</f>
        <v>Indiana</v>
      </c>
      <c r="Y5" s="133"/>
      <c r="Z5" s="134"/>
    </row>
    <row r="6">
      <c r="A6" s="133" t="str">
        <f>IFERROR(__xludf.DUMMYFUNCTION("""COMPUTED_VALUE"""),"SEC")</f>
        <v>SEC</v>
      </c>
      <c r="B6" s="134" t="str">
        <f>IFERROR(__xludf.DUMMYFUNCTION("""COMPUTED_VALUE"""),"Auburn")</f>
        <v>Auburn</v>
      </c>
      <c r="C6" s="133" t="str">
        <f>IFERROR(__xludf.DUMMYFUNCTION("""COMPUTED_VALUE"""),"Sun Belt")</f>
        <v>Sun Belt</v>
      </c>
      <c r="D6" s="134" t="str">
        <f>IFERROR(__xludf.DUMMYFUNCTION("""COMPUTED_VALUE"""),"Texas State")</f>
        <v>Texas State</v>
      </c>
      <c r="E6" s="133" t="str">
        <f>IFERROR(__xludf.DUMMYFUNCTION("""COMPUTED_VALUE"""),"MWC")</f>
        <v>MWC</v>
      </c>
      <c r="F6" s="134" t="str">
        <f>IFERROR(__xludf.DUMMYFUNCTION("""COMPUTED_VALUE"""),"Colorado State")</f>
        <v>Colorado State</v>
      </c>
      <c r="G6" s="133" t="str">
        <f>IFERROR(__xludf.DUMMYFUNCTION("""COMPUTED_VALUE"""),"SEC")</f>
        <v>SEC</v>
      </c>
      <c r="H6" s="134" t="str">
        <f>IFERROR(__xludf.DUMMYFUNCTION("""COMPUTED_VALUE"""),"Tennessee")</f>
        <v>Tennessee</v>
      </c>
      <c r="I6" s="133" t="str">
        <f>IFERROR(__xludf.DUMMYFUNCTION("""COMPUTED_VALUE"""),"MAC")</f>
        <v>MAC</v>
      </c>
      <c r="J6" s="134" t="str">
        <f>IFERROR(__xludf.DUMMYFUNCTION("""COMPUTED_VALUE"""),"Northern Illinois")</f>
        <v>Northern Illinois</v>
      </c>
      <c r="K6" s="133" t="str">
        <f>IFERROR(__xludf.DUMMYFUNCTION("""COMPUTED_VALUE"""),"Big 12")</f>
        <v>Big 12</v>
      </c>
      <c r="L6" s="134" t="str">
        <f>IFERROR(__xludf.DUMMYFUNCTION("""COMPUTED_VALUE"""),"BYU")</f>
        <v>BYU</v>
      </c>
      <c r="M6" s="133" t="str">
        <f>IFERROR(__xludf.DUMMYFUNCTION("""COMPUTED_VALUE"""),"AAC")</f>
        <v>AAC</v>
      </c>
      <c r="N6" s="134" t="str">
        <f>IFERROR(__xludf.DUMMYFUNCTION("""COMPUTED_VALUE"""),"South Florida")</f>
        <v>South Florida</v>
      </c>
      <c r="O6" s="133" t="str">
        <f>IFERROR(__xludf.DUMMYFUNCTION("""COMPUTED_VALUE"""),"MAC")</f>
        <v>MAC</v>
      </c>
      <c r="P6" s="134" t="str">
        <f>IFERROR(__xludf.DUMMYFUNCTION("""COMPUTED_VALUE"""),"Miami-OH")</f>
        <v>Miami-OH</v>
      </c>
      <c r="Q6" s="133" t="str">
        <f>IFERROR(__xludf.DUMMYFUNCTION("""COMPUTED_VALUE"""),"AAC")</f>
        <v>AAC</v>
      </c>
      <c r="R6" s="134" t="str">
        <f>IFERROR(__xludf.DUMMYFUNCTION("""COMPUTED_VALUE"""),"North Texas")</f>
        <v>North Texas</v>
      </c>
      <c r="S6" s="133" t="str">
        <f>IFERROR(__xludf.DUMMYFUNCTION("""COMPUTED_VALUE"""),"SEC")</f>
        <v>SEC</v>
      </c>
      <c r="T6" s="134" t="str">
        <f>IFERROR(__xludf.DUMMYFUNCTION("""COMPUTED_VALUE"""),"Ole Miss")</f>
        <v>Ole Miss</v>
      </c>
      <c r="U6" s="133" t="str">
        <f>IFERROR(__xludf.DUMMYFUNCTION("""COMPUTED_VALUE"""),"MWC")</f>
        <v>MWC</v>
      </c>
      <c r="V6" s="134" t="str">
        <f>IFERROR(__xludf.DUMMYFUNCTION("""COMPUTED_VALUE"""),"Fresno State")</f>
        <v>Fresno State</v>
      </c>
      <c r="W6" s="133" t="str">
        <f>IFERROR(__xludf.DUMMYFUNCTION("""COMPUTED_VALUE"""),"ACC")</f>
        <v>ACC</v>
      </c>
      <c r="X6" s="134" t="str">
        <f>IFERROR(__xludf.DUMMYFUNCTION("""COMPUTED_VALUE"""),"Louisville")</f>
        <v>Louisville</v>
      </c>
      <c r="Y6" s="133"/>
      <c r="Z6" s="134"/>
    </row>
    <row r="7">
      <c r="A7" s="133" t="str">
        <f>IFERROR(__xludf.DUMMYFUNCTION("""COMPUTED_VALUE"""),"ACC")</f>
        <v>ACC</v>
      </c>
      <c r="B7" s="134" t="str">
        <f>IFERROR(__xludf.DUMMYFUNCTION("""COMPUTED_VALUE"""),"North Carolina")</f>
        <v>North Carolina</v>
      </c>
      <c r="C7" s="133" t="str">
        <f>IFERROR(__xludf.DUMMYFUNCTION("""COMPUTED_VALUE"""),"AAC")</f>
        <v>AAC</v>
      </c>
      <c r="D7" s="134" t="str">
        <f>IFERROR(__xludf.DUMMYFUNCTION("""COMPUTED_VALUE"""),"East Carolina")</f>
        <v>East Carolina</v>
      </c>
      <c r="E7" s="133" t="str">
        <f>IFERROR(__xludf.DUMMYFUNCTION("""COMPUTED_VALUE"""),"Big Ten")</f>
        <v>Big Ten</v>
      </c>
      <c r="F7" s="134" t="str">
        <f>IFERROR(__xludf.DUMMYFUNCTION("""COMPUTED_VALUE"""),"Washington")</f>
        <v>Washington</v>
      </c>
      <c r="G7" s="133" t="str">
        <f>IFERROR(__xludf.DUMMYFUNCTION("""COMPUTED_VALUE"""),"Big 12")</f>
        <v>Big 12</v>
      </c>
      <c r="H7" s="134" t="str">
        <f>IFERROR(__xludf.DUMMYFUNCTION("""COMPUTED_VALUE"""),"Kansas")</f>
        <v>Kansas</v>
      </c>
      <c r="I7" s="133" t="str">
        <f>IFERROR(__xludf.DUMMYFUNCTION("""COMPUTED_VALUE"""),"SEC")</f>
        <v>SEC</v>
      </c>
      <c r="J7" s="134" t="str">
        <f>IFERROR(__xludf.DUMMYFUNCTION("""COMPUTED_VALUE"""),"LSU")</f>
        <v>LSU</v>
      </c>
      <c r="K7" s="133" t="str">
        <f>IFERROR(__xludf.DUMMYFUNCTION("""COMPUTED_VALUE"""),"MAC")</f>
        <v>MAC</v>
      </c>
      <c r="L7" s="134" t="str">
        <f>IFERROR(__xludf.DUMMYFUNCTION("""COMPUTED_VALUE"""),"Bowling Green")</f>
        <v>Bowling Green</v>
      </c>
      <c r="M7" s="133" t="str">
        <f>IFERROR(__xludf.DUMMYFUNCTION("""COMPUTED_VALUE"""),"Big Ten")</f>
        <v>Big Ten</v>
      </c>
      <c r="N7" s="134" t="str">
        <f>IFERROR(__xludf.DUMMYFUNCTION("""COMPUTED_VALUE"""),"Nebraska")</f>
        <v>Nebraska</v>
      </c>
      <c r="O7" s="133" t="str">
        <f>IFERROR(__xludf.DUMMYFUNCTION("""COMPUTED_VALUE"""),"SEC")</f>
        <v>SEC</v>
      </c>
      <c r="P7" s="134" t="str">
        <f>IFERROR(__xludf.DUMMYFUNCTION("""COMPUTED_VALUE"""),"Texas A&amp;M")</f>
        <v>Texas A&amp;M</v>
      </c>
      <c r="Q7" s="133" t="str">
        <f>IFERROR(__xludf.DUMMYFUNCTION("""COMPUTED_VALUE"""),"CUSA")</f>
        <v>CUSA</v>
      </c>
      <c r="R7" s="134" t="str">
        <f>IFERROR(__xludf.DUMMYFUNCTION("""COMPUTED_VALUE"""),"Jacksonville State")</f>
        <v>Jacksonville State</v>
      </c>
      <c r="S7" s="133" t="str">
        <f>IFERROR(__xludf.DUMMYFUNCTION("""COMPUTED_VALUE"""),"Big 12")</f>
        <v>Big 12</v>
      </c>
      <c r="T7" s="134" t="str">
        <f>IFERROR(__xludf.DUMMYFUNCTION("""COMPUTED_VALUE"""),"Baylor")</f>
        <v>Baylor</v>
      </c>
      <c r="U7" s="133" t="str">
        <f>IFERROR(__xludf.DUMMYFUNCTION("""COMPUTED_VALUE"""),"ACC")</f>
        <v>ACC</v>
      </c>
      <c r="V7" s="134" t="str">
        <f>IFERROR(__xludf.DUMMYFUNCTION("""COMPUTED_VALUE"""),"Georgia Tech")</f>
        <v>Georgia Tech</v>
      </c>
      <c r="W7" s="133" t="str">
        <f>IFERROR(__xludf.DUMMYFUNCTION("""COMPUTED_VALUE"""),"MAC")</f>
        <v>MAC</v>
      </c>
      <c r="X7" s="134" t="str">
        <f>IFERROR(__xludf.DUMMYFUNCTION("""COMPUTED_VALUE"""),"Central Michigan")</f>
        <v>Central Michigan</v>
      </c>
      <c r="Y7" s="133"/>
      <c r="Z7" s="134"/>
    </row>
    <row r="8">
      <c r="A8" s="133" t="str">
        <f>IFERROR(__xludf.DUMMYFUNCTION("""COMPUTED_VALUE"""),"Sun Belt")</f>
        <v>Sun Belt</v>
      </c>
      <c r="B8" s="134" t="str">
        <f>IFERROR(__xludf.DUMMYFUNCTION("""COMPUTED_VALUE"""),"Appalachian State")</f>
        <v>Appalachian State</v>
      </c>
      <c r="C8" s="133" t="str">
        <f>IFERROR(__xludf.DUMMYFUNCTION("""COMPUTED_VALUE"""),"SEC")</f>
        <v>SEC</v>
      </c>
      <c r="D8" s="134" t="str">
        <f>IFERROR(__xludf.DUMMYFUNCTION("""COMPUTED_VALUE"""),"Oklahoma")</f>
        <v>Oklahoma</v>
      </c>
      <c r="E8" s="133" t="str">
        <f>IFERROR(__xludf.DUMMYFUNCTION("""COMPUTED_VALUE"""),"MAC")</f>
        <v>MAC</v>
      </c>
      <c r="F8" s="134" t="str">
        <f>IFERROR(__xludf.DUMMYFUNCTION("""COMPUTED_VALUE"""),"EMU")</f>
        <v>EMU</v>
      </c>
      <c r="G8" s="133" t="str">
        <f>IFERROR(__xludf.DUMMYFUNCTION("""COMPUTED_VALUE"""),"AAC")</f>
        <v>AAC</v>
      </c>
      <c r="H8" s="134" t="str">
        <f>IFERROR(__xludf.DUMMYFUNCTION("""COMPUTED_VALUE"""),"Florida Atlantic")</f>
        <v>Florida Atlantic</v>
      </c>
      <c r="I8" s="133" t="str">
        <f>IFERROR(__xludf.DUMMYFUNCTION("""COMPUTED_VALUE"""),"Big 12")</f>
        <v>Big 12</v>
      </c>
      <c r="J8" s="134" t="str">
        <f>IFERROR(__xludf.DUMMYFUNCTION("""COMPUTED_VALUE"""),"Iowa State")</f>
        <v>Iowa State</v>
      </c>
      <c r="K8" s="133" t="str">
        <f>IFERROR(__xludf.DUMMYFUNCTION("""COMPUTED_VALUE"""),"SEC")</f>
        <v>SEC</v>
      </c>
      <c r="L8" s="134" t="str">
        <f>IFERROR(__xludf.DUMMYFUNCTION("""COMPUTED_VALUE"""),"Florida")</f>
        <v>Florida</v>
      </c>
      <c r="M8" s="133" t="str">
        <f>IFERROR(__xludf.DUMMYFUNCTION("""COMPUTED_VALUE"""),"MWC")</f>
        <v>MWC</v>
      </c>
      <c r="N8" s="134" t="str">
        <f>IFERROR(__xludf.DUMMYFUNCTION("""COMPUTED_VALUE"""),"Hawaii")</f>
        <v>Hawaii</v>
      </c>
      <c r="O8" s="133" t="str">
        <f>IFERROR(__xludf.DUMMYFUNCTION("""COMPUTED_VALUE"""),"Big Ten")</f>
        <v>Big Ten</v>
      </c>
      <c r="P8" s="134" t="str">
        <f>IFERROR(__xludf.DUMMYFUNCTION("""COMPUTED_VALUE"""),"Minnesota")</f>
        <v>Minnesota</v>
      </c>
      <c r="Q8" s="133" t="str">
        <f>IFERROR(__xludf.DUMMYFUNCTION("""COMPUTED_VALUE"""),"SEC")</f>
        <v>SEC</v>
      </c>
      <c r="R8" s="134" t="str">
        <f>IFERROR(__xludf.DUMMYFUNCTION("""COMPUTED_VALUE"""),"Missouri")</f>
        <v>Missouri</v>
      </c>
      <c r="S8" s="133" t="str">
        <f>IFERROR(__xludf.DUMMYFUNCTION("""COMPUTED_VALUE"""),"Big Ten")</f>
        <v>Big Ten</v>
      </c>
      <c r="T8" s="134" t="str">
        <f>IFERROR(__xludf.DUMMYFUNCTION("""COMPUTED_VALUE"""),"Iowa")</f>
        <v>Iowa</v>
      </c>
      <c r="U8" s="133" t="str">
        <f>IFERROR(__xludf.DUMMYFUNCTION("""COMPUTED_VALUE"""),"MAC")</f>
        <v>MAC</v>
      </c>
      <c r="V8" s="134" t="str">
        <f>IFERROR(__xludf.DUMMYFUNCTION("""COMPUTED_VALUE"""),"Western Michigan")</f>
        <v>Western Michigan</v>
      </c>
      <c r="W8" s="133" t="str">
        <f>IFERROR(__xludf.DUMMYFUNCTION("""COMPUTED_VALUE"""),"SEC")</f>
        <v>SEC</v>
      </c>
      <c r="X8" s="134" t="str">
        <f>IFERROR(__xludf.DUMMYFUNCTION("""COMPUTED_VALUE"""),"South Carolina")</f>
        <v>South Carolina</v>
      </c>
      <c r="Y8" s="133"/>
      <c r="Z8" s="134"/>
    </row>
    <row r="9">
      <c r="A9" s="133" t="str">
        <f>IFERROR(__xludf.DUMMYFUNCTION("""COMPUTED_VALUE"""),"MWC")</f>
        <v>MWC</v>
      </c>
      <c r="B9" s="134" t="str">
        <f>IFERROR(__xludf.DUMMYFUNCTION("""COMPUTED_VALUE"""),"Air Force")</f>
        <v>Air Force</v>
      </c>
      <c r="C9" s="133" t="str">
        <f>IFERROR(__xludf.DUMMYFUNCTION("""COMPUTED_VALUE"""),"Big 12")</f>
        <v>Big 12</v>
      </c>
      <c r="D9" s="134" t="str">
        <f>IFERROR(__xludf.DUMMYFUNCTION("""COMPUTED_VALUE"""),"TCU")</f>
        <v>TCU</v>
      </c>
      <c r="E9" s="133" t="str">
        <f>IFERROR(__xludf.DUMMYFUNCTION("""COMPUTED_VALUE"""),"Sun Belt")</f>
        <v>Sun Belt</v>
      </c>
      <c r="F9" s="134" t="str">
        <f>IFERROR(__xludf.DUMMYFUNCTION("""COMPUTED_VALUE"""),"Old Dominion")</f>
        <v>Old Dominion</v>
      </c>
      <c r="G9" s="133" t="str">
        <f>IFERROR(__xludf.DUMMYFUNCTION("""COMPUTED_VALUE"""),"MAC")</f>
        <v>MAC</v>
      </c>
      <c r="H9" s="134" t="str">
        <f>IFERROR(__xludf.DUMMYFUNCTION("""COMPUTED_VALUE"""),"Akron")</f>
        <v>Akron</v>
      </c>
      <c r="I9" s="133" t="str">
        <f>IFERROR(__xludf.DUMMYFUNCTION("""COMPUTED_VALUE"""),"ACC")</f>
        <v>ACC</v>
      </c>
      <c r="J9" s="134" t="str">
        <f>IFERROR(__xludf.DUMMYFUNCTION("""COMPUTED_VALUE"""),"Virginia Tech")</f>
        <v>Virginia Tech</v>
      </c>
      <c r="K9" s="133" t="str">
        <f>IFERROR(__xludf.DUMMYFUNCTION("""COMPUTED_VALUE"""),"ACC")</f>
        <v>ACC</v>
      </c>
      <c r="L9" s="134" t="str">
        <f>IFERROR(__xludf.DUMMYFUNCTION("""COMPUTED_VALUE"""),"Florida State")</f>
        <v>Florida State</v>
      </c>
      <c r="M9" s="133" t="str">
        <f>IFERROR(__xludf.DUMMYFUNCTION("""COMPUTED_VALUE"""),"Sun Belt")</f>
        <v>Sun Belt</v>
      </c>
      <c r="N9" s="134" t="str">
        <f>IFERROR(__xludf.DUMMYFUNCTION("""COMPUTED_VALUE"""),"Troy")</f>
        <v>Troy</v>
      </c>
      <c r="O9" s="133" t="str">
        <f>IFERROR(__xludf.DUMMYFUNCTION("""COMPUTED_VALUE"""),"Big 12")</f>
        <v>Big 12</v>
      </c>
      <c r="P9" s="134" t="str">
        <f>IFERROR(__xludf.DUMMYFUNCTION("""COMPUTED_VALUE"""),"Cincinnati")</f>
        <v>Cincinnati</v>
      </c>
      <c r="Q9" s="133" t="str">
        <f>IFERROR(__xludf.DUMMYFUNCTION("""COMPUTED_VALUE"""),"Big 12")</f>
        <v>Big 12</v>
      </c>
      <c r="R9" s="134" t="str">
        <f>IFERROR(__xludf.DUMMYFUNCTION("""COMPUTED_VALUE"""),"UCF")</f>
        <v>UCF</v>
      </c>
      <c r="S9" s="133" t="str">
        <f>IFERROR(__xludf.DUMMYFUNCTION("""COMPUTED_VALUE"""),"ACC")</f>
        <v>ACC</v>
      </c>
      <c r="T9" s="134" t="str">
        <f>IFERROR(__xludf.DUMMYFUNCTION("""COMPUTED_VALUE"""),"Duke")</f>
        <v>Duke</v>
      </c>
      <c r="U9" s="133" t="str">
        <f>IFERROR(__xludf.DUMMYFUNCTION("""COMPUTED_VALUE"""),"zIndependent")</f>
        <v>zIndependent</v>
      </c>
      <c r="V9" s="134" t="str">
        <f>IFERROR(__xludf.DUMMYFUNCTION("""COMPUTED_VALUE"""),"UConn")</f>
        <v>UConn</v>
      </c>
      <c r="W9" s="133" t="str">
        <f>IFERROR(__xludf.DUMMYFUNCTION("""COMPUTED_VALUE"""),"CUSA")</f>
        <v>CUSA</v>
      </c>
      <c r="X9" s="134" t="str">
        <f>IFERROR(__xludf.DUMMYFUNCTION("""COMPUTED_VALUE"""),"Florida Intl")</f>
        <v>Florida Intl</v>
      </c>
      <c r="Y9" s="133"/>
      <c r="Z9" s="134"/>
    </row>
    <row r="10">
      <c r="A10" s="133" t="str">
        <f>IFERROR(__xludf.DUMMYFUNCTION("""COMPUTED_VALUE"""),"CUSA")</f>
        <v>CUSA</v>
      </c>
      <c r="B10" s="134" t="str">
        <f>IFERROR(__xludf.DUMMYFUNCTION("""COMPUTED_VALUE"""),"New Mexico State")</f>
        <v>New Mexico State</v>
      </c>
      <c r="C10" s="133" t="str">
        <f>IFERROR(__xludf.DUMMYFUNCTION("""COMPUTED_VALUE"""),"MAC")</f>
        <v>MAC</v>
      </c>
      <c r="D10" s="134" t="str">
        <f>IFERROR(__xludf.DUMMYFUNCTION("""COMPUTED_VALUE"""),"Ball State")</f>
        <v>Ball State</v>
      </c>
      <c r="E10" s="133" t="str">
        <f>IFERROR(__xludf.DUMMYFUNCTION("""COMPUTED_VALUE"""),"AAC")</f>
        <v>AAC</v>
      </c>
      <c r="F10" s="134" t="str">
        <f>IFERROR(__xludf.DUMMYFUNCTION("""COMPUTED_VALUE"""),"UAB")</f>
        <v>UAB</v>
      </c>
      <c r="G10" s="133" t="str">
        <f>IFERROR(__xludf.DUMMYFUNCTION("""COMPUTED_VALUE"""),"Pac12")</f>
        <v>Pac12</v>
      </c>
      <c r="H10" s="134" t="str">
        <f>IFERROR(__xludf.DUMMYFUNCTION("""COMPUTED_VALUE"""),"Oregon State")</f>
        <v>Oregon State</v>
      </c>
      <c r="I10" s="133" t="str">
        <f>IFERROR(__xludf.DUMMYFUNCTION("""COMPUTED_VALUE"""),"MWC")</f>
        <v>MWC</v>
      </c>
      <c r="J10" s="134" t="str">
        <f>IFERROR(__xludf.DUMMYFUNCTION("""COMPUTED_VALUE"""),"Utah State")</f>
        <v>Utah State</v>
      </c>
      <c r="K10" s="133" t="str">
        <f>IFERROR(__xludf.DUMMYFUNCTION("""COMPUTED_VALUE"""),"Big 12")</f>
        <v>Big 12</v>
      </c>
      <c r="L10" s="134" t="str">
        <f>IFERROR(__xludf.DUMMYFUNCTION("""COMPUTED_VALUE"""),"Colorado")</f>
        <v>Colorado</v>
      </c>
      <c r="M10" s="133" t="str">
        <f>IFERROR(__xludf.DUMMYFUNCTION("""COMPUTED_VALUE"""),"ACC")</f>
        <v>ACC</v>
      </c>
      <c r="N10" s="134" t="str">
        <f>IFERROR(__xludf.DUMMYFUNCTION("""COMPUTED_VALUE"""),"Virginia")</f>
        <v>Virginia</v>
      </c>
      <c r="O10" s="133" t="str">
        <f>IFERROR(__xludf.DUMMYFUNCTION("""COMPUTED_VALUE"""),"CUSA")</f>
        <v>CUSA</v>
      </c>
      <c r="P10" s="134" t="str">
        <f>IFERROR(__xludf.DUMMYFUNCTION("""COMPUTED_VALUE"""),"UTEP")</f>
        <v>UTEP</v>
      </c>
      <c r="Q10" s="133" t="str">
        <f>IFERROR(__xludf.DUMMYFUNCTION("""COMPUTED_VALUE"""),"Sun Belt")</f>
        <v>Sun Belt</v>
      </c>
      <c r="R10" s="134" t="str">
        <f>IFERROR(__xludf.DUMMYFUNCTION("""COMPUTED_VALUE"""),"Coastal Carolina")</f>
        <v>Coastal Carolina</v>
      </c>
      <c r="S10" s="133" t="str">
        <f>IFERROR(__xludf.DUMMYFUNCTION("""COMPUTED_VALUE"""),"MWC")</f>
        <v>MWC</v>
      </c>
      <c r="T10" s="134" t="str">
        <f>IFERROR(__xludf.DUMMYFUNCTION("""COMPUTED_VALUE"""),"San Diego State")</f>
        <v>San Diego State</v>
      </c>
      <c r="U10" s="133" t="str">
        <f>IFERROR(__xludf.DUMMYFUNCTION("""COMPUTED_VALUE"""),"Big 12")</f>
        <v>Big 12</v>
      </c>
      <c r="V10" s="134" t="str">
        <f>IFERROR(__xludf.DUMMYFUNCTION("""COMPUTED_VALUE"""),"Houston")</f>
        <v>Houston</v>
      </c>
      <c r="W10" s="133" t="str">
        <f>IFERROR(__xludf.DUMMYFUNCTION("""COMPUTED_VALUE"""),"MWC")</f>
        <v>MWC</v>
      </c>
      <c r="X10" s="134" t="str">
        <f>IFERROR(__xludf.DUMMYFUNCTION("""COMPUTED_VALUE"""),"Wyoming")</f>
        <v>Wyoming</v>
      </c>
      <c r="Y10" s="133"/>
      <c r="Z10" s="134"/>
    </row>
    <row r="11">
      <c r="A11" s="135" t="str">
        <f>IFERROR(__xludf.DUMMYFUNCTION("""COMPUTED_VALUE"""),"MAC")</f>
        <v>MAC</v>
      </c>
      <c r="B11" s="135" t="str">
        <f>IFERROR(__xludf.DUMMYFUNCTION("""COMPUTED_VALUE"""),"UMASS")</f>
        <v>UMASS</v>
      </c>
      <c r="C11" s="133" t="str">
        <f>IFERROR(__xludf.DUMMYFUNCTION("""COMPUTED_VALUE"""),"ACC")</f>
        <v>ACC</v>
      </c>
      <c r="D11" s="134" t="str">
        <f>IFERROR(__xludf.DUMMYFUNCTION("""COMPUTED_VALUE"""),"NC State")</f>
        <v>NC State</v>
      </c>
      <c r="E11" s="135" t="str">
        <f>IFERROR(__xludf.DUMMYFUNCTION("""COMPUTED_VALUE"""),"ACC")</f>
        <v>ACC</v>
      </c>
      <c r="F11" s="135" t="str">
        <f>IFERROR(__xludf.DUMMYFUNCTION("""COMPUTED_VALUE"""),"California")</f>
        <v>California</v>
      </c>
      <c r="G11" s="133" t="str">
        <f>IFERROR(__xludf.DUMMYFUNCTION("""COMPUTED_VALUE"""),"CUSA")</f>
        <v>CUSA</v>
      </c>
      <c r="H11" s="134" t="str">
        <f>IFERROR(__xludf.DUMMYFUNCTION("""COMPUTED_VALUE"""),"Missouri State")</f>
        <v>Missouri State</v>
      </c>
      <c r="I11" s="135" t="str">
        <f>IFERROR(__xludf.DUMMYFUNCTION("""COMPUTED_VALUE"""),"Sun Belt")</f>
        <v>Sun Belt</v>
      </c>
      <c r="J11" s="135" t="str">
        <f>IFERROR(__xludf.DUMMYFUNCTION("""COMPUTED_VALUE"""),"Marshall")</f>
        <v>Marshall</v>
      </c>
      <c r="K11" s="133" t="str">
        <f>IFERROR(__xludf.DUMMYFUNCTION("""COMPUTED_VALUE"""),"Big Ten")</f>
        <v>Big Ten</v>
      </c>
      <c r="L11" s="134" t="str">
        <f>IFERROR(__xludf.DUMMYFUNCTION("""COMPUTED_VALUE"""),"Michigan State")</f>
        <v>Michigan State</v>
      </c>
      <c r="M11" s="133" t="str">
        <f>IFERROR(__xludf.DUMMYFUNCTION("""COMPUTED_VALUE"""),"Big 12")</f>
        <v>Big 12</v>
      </c>
      <c r="N11" s="134" t="str">
        <f>IFERROR(__xludf.DUMMYFUNCTION("""COMPUTED_VALUE"""),"Oklahoma State")</f>
        <v>Oklahoma State</v>
      </c>
      <c r="O11" s="135" t="str">
        <f>IFERROR(__xludf.DUMMYFUNCTION("""COMPUTED_VALUE"""),"ACC")</f>
        <v>ACC</v>
      </c>
      <c r="P11" s="134" t="str">
        <f>IFERROR(__xludf.DUMMYFUNCTION("""COMPUTED_VALUE"""),"Pittsburgh")</f>
        <v>Pittsburgh</v>
      </c>
      <c r="Q11" s="133" t="str">
        <f>IFERROR(__xludf.DUMMYFUNCTION("""COMPUTED_VALUE"""),"SEC")</f>
        <v>SEC</v>
      </c>
      <c r="R11" s="134" t="str">
        <f>IFERROR(__xludf.DUMMYFUNCTION("""COMPUTED_VALUE"""),"Arkansas")</f>
        <v>Arkansas</v>
      </c>
      <c r="S11" s="133" t="str">
        <f>IFERROR(__xludf.DUMMYFUNCTION("""COMPUTED_VALUE"""),"AAC")</f>
        <v>AAC</v>
      </c>
      <c r="T11" s="134" t="str">
        <f>IFERROR(__xludf.DUMMYFUNCTION("""COMPUTED_VALUE"""),"Charlotte")</f>
        <v>Charlotte</v>
      </c>
      <c r="U11" s="133" t="str">
        <f>IFERROR(__xludf.DUMMYFUNCTION("""COMPUTED_VALUE"""),"Big Ten")</f>
        <v>Big Ten</v>
      </c>
      <c r="V11" s="134" t="str">
        <f>IFERROR(__xludf.DUMMYFUNCTION("""COMPUTED_VALUE"""),"Rutgers")</f>
        <v>Rutgers</v>
      </c>
      <c r="W11" s="133" t="str">
        <f>IFERROR(__xludf.DUMMYFUNCTION("""COMPUTED_VALUE"""),"Sun Belt")</f>
        <v>Sun Belt</v>
      </c>
      <c r="X11" s="134" t="str">
        <f>IFERROR(__xludf.DUMMYFUNCTION("""COMPUTED_VALUE"""),"Arkansas State")</f>
        <v>Arkansas State</v>
      </c>
      <c r="Y11" s="133"/>
      <c r="Z11" s="134"/>
    </row>
    <row r="12">
      <c r="A12" s="135" t="str">
        <f>IFERROR(__xludf.DUMMYFUNCTION("""COMPUTED_VALUE"""),"AAC")</f>
        <v>AAC</v>
      </c>
      <c r="B12" s="135" t="str">
        <f>IFERROR(__xludf.DUMMYFUNCTION("""COMPUTED_VALUE"""),"Rice")</f>
        <v>Rice</v>
      </c>
      <c r="C12" s="133" t="str">
        <f>IFERROR(__xludf.DUMMYFUNCTION("""COMPUTED_VALUE"""),"CUSA")</f>
        <v>CUSA</v>
      </c>
      <c r="D12" s="134" t="str">
        <f>IFERROR(__xludf.DUMMYFUNCTION("""COMPUTED_VALUE"""),"Kennesaw State")</f>
        <v>Kennesaw State</v>
      </c>
      <c r="E12" s="135" t="str">
        <f>IFERROR(__xludf.DUMMYFUNCTION("""COMPUTED_VALUE"""),"Big Ten")</f>
        <v>Big Ten</v>
      </c>
      <c r="F12" s="135" t="str">
        <f>IFERROR(__xludf.DUMMYFUNCTION("""COMPUTED_VALUE"""),"UCLA")</f>
        <v>UCLA</v>
      </c>
      <c r="G12" s="133" t="str">
        <f>IFERROR(__xludf.DUMMYFUNCTION("""COMPUTED_VALUE"""),"MWC")</f>
        <v>MWC</v>
      </c>
      <c r="H12" s="134" t="str">
        <f>IFERROR(__xludf.DUMMYFUNCTION("""COMPUTED_VALUE"""),"New Mexico")</f>
        <v>New Mexico</v>
      </c>
      <c r="I12" s="135" t="str">
        <f>IFERROR(__xludf.DUMMYFUNCTION("""COMPUTED_VALUE"""),"CUSA")</f>
        <v>CUSA</v>
      </c>
      <c r="J12" s="135" t="str">
        <f>IFERROR(__xludf.DUMMYFUNCTION("""COMPUTED_VALUE"""),"Sam Houston")</f>
        <v>Sam Houston</v>
      </c>
      <c r="K12" s="133" t="str">
        <f>IFERROR(__xludf.DUMMYFUNCTION("""COMPUTED_VALUE"""),"CUSA")</f>
        <v>CUSA</v>
      </c>
      <c r="L12" s="134" t="str">
        <f>IFERROR(__xludf.DUMMYFUNCTION("""COMPUTED_VALUE"""),"Delaware")</f>
        <v>Delaware</v>
      </c>
      <c r="M12" s="133" t="str">
        <f>IFERROR(__xludf.DUMMYFUNCTION("""COMPUTED_VALUE"""),"CUSA")</f>
        <v>CUSA</v>
      </c>
      <c r="N12" s="134" t="str">
        <f>IFERROR(__xludf.DUMMYFUNCTION("""COMPUTED_VALUE"""),"Middle Tennessee")</f>
        <v>Middle Tennessee</v>
      </c>
      <c r="O12" s="135" t="str">
        <f>IFERROR(__xludf.DUMMYFUNCTION("""COMPUTED_VALUE"""),"Big Ten")</f>
        <v>Big Ten</v>
      </c>
      <c r="P12" s="134" t="str">
        <f>IFERROR(__xludf.DUMMYFUNCTION("""COMPUTED_VALUE"""),"Wisconsin")</f>
        <v>Wisconsin</v>
      </c>
      <c r="Q12" s="133" t="str">
        <f>IFERROR(__xludf.DUMMYFUNCTION("""COMPUTED_VALUE"""),"MWC")</f>
        <v>MWC</v>
      </c>
      <c r="R12" s="134" t="str">
        <f>IFERROR(__xludf.DUMMYFUNCTION("""COMPUTED_VALUE"""),"Nevada")</f>
        <v>Nevada</v>
      </c>
      <c r="S12" s="133" t="str">
        <f>IFERROR(__xludf.DUMMYFUNCTION("""COMPUTED_VALUE"""),"Sun Belt")</f>
        <v>Sun Belt</v>
      </c>
      <c r="T12" s="134" t="str">
        <f>IFERROR(__xludf.DUMMYFUNCTION("""COMPUTED_VALUE"""),"Georgia State")</f>
        <v>Georgia State</v>
      </c>
      <c r="U12" s="133" t="str">
        <f>IFERROR(__xludf.DUMMYFUNCTION("""COMPUTED_VALUE"""),"SEC")</f>
        <v>SEC</v>
      </c>
      <c r="V12" s="134" t="str">
        <f>IFERROR(__xludf.DUMMYFUNCTION("""COMPUTED_VALUE"""),"Vanderbilt")</f>
        <v>Vanderbilt</v>
      </c>
      <c r="W12" s="133" t="str">
        <f>IFERROR(__xludf.DUMMYFUNCTION("""COMPUTED_VALUE"""),"Big 12")</f>
        <v>Big 12</v>
      </c>
      <c r="X12" s="134" t="str">
        <f>IFERROR(__xludf.DUMMYFUNCTION("""COMPUTED_VALUE"""),"West Virginia")</f>
        <v>West Virginia</v>
      </c>
      <c r="Y12" s="133"/>
      <c r="Z12" s="134"/>
    </row>
    <row r="13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>
      <c r="A15" s="135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>
      <c r="A17" s="135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  <row r="10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</row>
    <row r="10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</row>
    <row r="104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</row>
    <row r="107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</row>
    <row r="11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</row>
    <row r="11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</row>
    <row r="113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</row>
    <row r="114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</row>
    <row r="11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</row>
    <row r="117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</row>
    <row r="120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</row>
    <row r="12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</row>
    <row r="12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</row>
    <row r="123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</row>
    <row r="124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</row>
    <row r="12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</row>
    <row r="126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</row>
    <row r="127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</row>
    <row r="128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</row>
    <row r="129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</row>
    <row r="130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</row>
    <row r="13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</row>
    <row r="13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</row>
    <row r="133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</row>
    <row r="134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</row>
    <row r="13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</row>
    <row r="136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</row>
    <row r="137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</row>
    <row r="138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</row>
    <row r="139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</row>
    <row r="140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</row>
    <row r="14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</row>
    <row r="14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</row>
    <row r="143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</row>
    <row r="144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</row>
    <row r="14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</row>
    <row r="146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</row>
    <row r="148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</row>
    <row r="149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</row>
    <row r="150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</row>
    <row r="15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</row>
    <row r="152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</row>
    <row r="153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</row>
    <row r="154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</row>
    <row r="15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</row>
    <row r="156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</row>
    <row r="157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</row>
    <row r="158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</row>
    <row r="159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</row>
    <row r="160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</row>
    <row r="16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</row>
    <row r="162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</row>
    <row r="163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</row>
    <row r="164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</row>
    <row r="16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</row>
    <row r="166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</row>
    <row r="167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</row>
    <row r="168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</row>
    <row r="169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</row>
    <row r="170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</row>
    <row r="17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</row>
    <row r="172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</row>
    <row r="173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</row>
    <row r="174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</row>
    <row r="1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</row>
    <row r="176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</row>
    <row r="177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</row>
    <row r="178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</row>
    <row r="179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</row>
    <row r="180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</row>
    <row r="18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</row>
    <row r="182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</row>
    <row r="183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</row>
    <row r="184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</row>
    <row r="18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</row>
    <row r="186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</row>
    <row r="187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</row>
    <row r="188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</row>
    <row r="189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</row>
    <row r="190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</row>
    <row r="19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</row>
    <row r="192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</row>
    <row r="193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</row>
    <row r="194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</row>
    <row r="19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</row>
    <row r="196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</row>
    <row r="197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</row>
    <row r="198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</row>
    <row r="199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</row>
    <row r="200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</row>
    <row r="20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</row>
    <row r="202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</row>
    <row r="203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</row>
    <row r="204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</row>
    <row r="20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</row>
    <row r="206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</row>
    <row r="207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</row>
    <row r="208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</row>
    <row r="209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</row>
    <row r="210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</row>
    <row r="21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</row>
    <row r="212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</row>
    <row r="213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</row>
    <row r="214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</row>
    <row r="21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</row>
    <row r="216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</row>
    <row r="217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</row>
    <row r="218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</row>
    <row r="219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</row>
    <row r="220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</row>
    <row r="22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</row>
    <row r="222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</row>
    <row r="223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</row>
    <row r="224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</row>
    <row r="22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</row>
    <row r="226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</row>
    <row r="227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</row>
    <row r="228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</row>
    <row r="229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</row>
    <row r="230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</row>
    <row r="23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</row>
    <row r="232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</row>
    <row r="233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</row>
    <row r="234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</row>
    <row r="23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</row>
    <row r="236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</row>
    <row r="237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</row>
    <row r="238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</row>
    <row r="239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</row>
    <row r="240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</row>
    <row r="24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</row>
    <row r="242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</row>
    <row r="243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</row>
    <row r="244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</row>
    <row r="24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</row>
    <row r="246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</row>
    <row r="247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</row>
    <row r="248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</row>
    <row r="249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</row>
    <row r="250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</row>
    <row r="25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</row>
    <row r="252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</row>
    <row r="253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</row>
    <row r="254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</row>
    <row r="25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</row>
    <row r="256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</row>
    <row r="257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</row>
    <row r="258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</row>
    <row r="259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</row>
    <row r="260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</row>
    <row r="26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</row>
    <row r="262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</row>
    <row r="263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</row>
    <row r="264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</row>
    <row r="26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</row>
    <row r="266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</row>
    <row r="267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</row>
    <row r="268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</row>
    <row r="269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</row>
    <row r="270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</row>
    <row r="27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</row>
    <row r="272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</row>
    <row r="273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</row>
    <row r="274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</row>
    <row r="2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</row>
    <row r="276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</row>
    <row r="277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</row>
    <row r="278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</row>
    <row r="279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</row>
    <row r="280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</row>
    <row r="28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</row>
    <row r="282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</row>
    <row r="283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</row>
    <row r="284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</row>
    <row r="28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</row>
    <row r="286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</row>
    <row r="287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</row>
    <row r="288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</row>
    <row r="289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</row>
    <row r="290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</row>
    <row r="29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</row>
    <row r="292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</row>
    <row r="293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</row>
    <row r="294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</row>
    <row r="29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</row>
    <row r="296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</row>
    <row r="297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</row>
    <row r="298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</row>
    <row r="299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</row>
    <row r="300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</row>
    <row r="30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</row>
    <row r="302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</row>
    <row r="303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</row>
    <row r="304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</row>
    <row r="30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</row>
    <row r="306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</row>
    <row r="307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</row>
    <row r="308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</row>
    <row r="309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</row>
    <row r="310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</row>
    <row r="31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</row>
    <row r="312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</row>
    <row r="313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</row>
    <row r="314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</row>
    <row r="31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</row>
    <row r="316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</row>
    <row r="317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</row>
    <row r="318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</row>
    <row r="319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</row>
    <row r="320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</row>
    <row r="32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</row>
    <row r="322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</row>
    <row r="323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</row>
    <row r="324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</row>
    <row r="32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</row>
    <row r="326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</row>
    <row r="327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</row>
    <row r="328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</row>
    <row r="329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</row>
    <row r="330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</row>
    <row r="33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</row>
    <row r="332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</row>
    <row r="333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</row>
    <row r="334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</row>
    <row r="33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</row>
    <row r="336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</row>
    <row r="337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</row>
    <row r="338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</row>
    <row r="339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</row>
    <row r="340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</row>
    <row r="34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</row>
    <row r="342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</row>
    <row r="343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</row>
    <row r="344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</row>
    <row r="34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</row>
    <row r="346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</row>
    <row r="347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</row>
    <row r="348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</row>
    <row r="349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</row>
    <row r="350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</row>
    <row r="35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</row>
    <row r="352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</row>
    <row r="353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</row>
    <row r="354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</row>
    <row r="35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</row>
    <row r="356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</row>
    <row r="357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</row>
    <row r="358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</row>
    <row r="359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</row>
    <row r="360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</row>
    <row r="36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</row>
    <row r="362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</row>
    <row r="363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</row>
    <row r="364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</row>
    <row r="36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</row>
    <row r="366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</row>
    <row r="367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</row>
    <row r="368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</row>
    <row r="369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</row>
    <row r="370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</row>
    <row r="37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</row>
    <row r="372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</row>
    <row r="373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</row>
    <row r="374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</row>
    <row r="3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</row>
    <row r="376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</row>
    <row r="377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</row>
    <row r="378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</row>
    <row r="379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</row>
    <row r="380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</row>
    <row r="38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</row>
    <row r="382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</row>
    <row r="383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</row>
    <row r="384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</row>
    <row r="38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</row>
    <row r="386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</row>
    <row r="387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</row>
    <row r="388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</row>
    <row r="389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</row>
    <row r="390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</row>
    <row r="39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</row>
    <row r="392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</row>
    <row r="393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</row>
    <row r="394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</row>
    <row r="39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</row>
    <row r="396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</row>
    <row r="397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</row>
    <row r="398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</row>
    <row r="399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</row>
    <row r="400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</row>
    <row r="40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</row>
    <row r="402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</row>
    <row r="403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</row>
    <row r="404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</row>
    <row r="40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</row>
    <row r="406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</row>
    <row r="407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</row>
    <row r="408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</row>
    <row r="409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</row>
    <row r="410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</row>
    <row r="41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</row>
    <row r="412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</row>
    <row r="413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</row>
    <row r="414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</row>
    <row r="41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</row>
    <row r="416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</row>
    <row r="417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</row>
    <row r="418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</row>
    <row r="419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</row>
    <row r="420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</row>
    <row r="42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</row>
    <row r="422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</row>
    <row r="423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</row>
    <row r="424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</row>
    <row r="42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</row>
    <row r="426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</row>
    <row r="427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</row>
    <row r="428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</row>
    <row r="429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</row>
    <row r="430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</row>
    <row r="43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</row>
    <row r="432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</row>
    <row r="433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</row>
    <row r="434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</row>
    <row r="43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</row>
    <row r="436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</row>
    <row r="437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</row>
    <row r="438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</row>
    <row r="439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</row>
    <row r="440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</row>
    <row r="44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</row>
    <row r="442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</row>
    <row r="443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</row>
    <row r="444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</row>
    <row r="44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</row>
    <row r="446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</row>
    <row r="447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</row>
    <row r="448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</row>
    <row r="449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</row>
    <row r="450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</row>
    <row r="45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</row>
    <row r="452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</row>
    <row r="453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</row>
    <row r="454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</row>
    <row r="45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</row>
    <row r="456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</row>
    <row r="457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</row>
    <row r="458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</row>
    <row r="459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</row>
    <row r="460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</row>
    <row r="46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</row>
    <row r="462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</row>
    <row r="463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</row>
    <row r="464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</row>
    <row r="46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</row>
    <row r="466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</row>
    <row r="467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</row>
    <row r="468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</row>
    <row r="469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</row>
    <row r="470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</row>
    <row r="47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</row>
    <row r="472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</row>
    <row r="473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</row>
    <row r="474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</row>
    <row r="4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</row>
    <row r="476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</row>
    <row r="477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</row>
    <row r="478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</row>
    <row r="479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</row>
    <row r="480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</row>
    <row r="48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</row>
    <row r="482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</row>
    <row r="483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</row>
    <row r="484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</row>
    <row r="48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</row>
    <row r="486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</row>
    <row r="487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</row>
    <row r="488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</row>
    <row r="489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</row>
    <row r="490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</row>
    <row r="49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</row>
    <row r="492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</row>
    <row r="493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</row>
    <row r="494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</row>
    <row r="49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</row>
    <row r="496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</row>
    <row r="497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</row>
    <row r="498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</row>
    <row r="499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</row>
    <row r="500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</row>
    <row r="50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</row>
    <row r="502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</row>
    <row r="503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</row>
    <row r="504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</row>
    <row r="50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</row>
    <row r="506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</row>
    <row r="507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</row>
    <row r="508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</row>
    <row r="509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</row>
    <row r="510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</row>
    <row r="51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</row>
    <row r="512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</row>
    <row r="513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</row>
    <row r="514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</row>
    <row r="51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</row>
    <row r="516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</row>
    <row r="517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</row>
    <row r="518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</row>
    <row r="519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</row>
    <row r="520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</row>
    <row r="52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</row>
    <row r="522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</row>
    <row r="523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</row>
    <row r="524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</row>
    <row r="52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</row>
    <row r="526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</row>
    <row r="527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</row>
    <row r="528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</row>
    <row r="529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</row>
    <row r="530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</row>
    <row r="53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</row>
    <row r="532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</row>
    <row r="533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</row>
    <row r="534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</row>
    <row r="53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</row>
    <row r="536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</row>
    <row r="537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</row>
    <row r="538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</row>
    <row r="539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</row>
    <row r="540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</row>
    <row r="54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</row>
    <row r="542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</row>
    <row r="543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</row>
    <row r="544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</row>
    <row r="54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</row>
    <row r="546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</row>
    <row r="547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</row>
    <row r="548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</row>
    <row r="549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</row>
    <row r="550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</row>
    <row r="55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</row>
    <row r="552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</row>
    <row r="553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</row>
    <row r="554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</row>
    <row r="55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</row>
    <row r="556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</row>
    <row r="557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</row>
    <row r="558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</row>
    <row r="559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</row>
    <row r="560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</row>
    <row r="56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</row>
    <row r="562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</row>
    <row r="563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</row>
    <row r="564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</row>
    <row r="56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</row>
    <row r="566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</row>
    <row r="567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</row>
    <row r="568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</row>
    <row r="569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</row>
    <row r="570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</row>
    <row r="57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</row>
    <row r="572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</row>
    <row r="573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</row>
    <row r="574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</row>
    <row r="5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</row>
    <row r="576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</row>
    <row r="577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</row>
    <row r="578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</row>
    <row r="579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</row>
    <row r="580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</row>
    <row r="58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</row>
    <row r="582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</row>
    <row r="583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</row>
    <row r="584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</row>
    <row r="58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</row>
    <row r="586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</row>
    <row r="587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</row>
    <row r="588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</row>
    <row r="589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</row>
    <row r="590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</row>
    <row r="59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</row>
    <row r="592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</row>
    <row r="593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</row>
    <row r="594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</row>
    <row r="59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</row>
    <row r="596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</row>
    <row r="597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</row>
    <row r="598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</row>
    <row r="599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</row>
    <row r="600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</row>
    <row r="60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</row>
    <row r="602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</row>
    <row r="603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</row>
    <row r="604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</row>
    <row r="60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</row>
    <row r="606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</row>
    <row r="607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</row>
    <row r="608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</row>
    <row r="609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</row>
    <row r="610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</row>
    <row r="61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</row>
    <row r="612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</row>
  </sheetData>
  <mergeCells count="13">
    <mergeCell ref="O1:P1"/>
    <mergeCell ref="Q1:R1"/>
    <mergeCell ref="S1:T1"/>
    <mergeCell ref="U1:V1"/>
    <mergeCell ref="W1:X1"/>
    <mergeCell ref="Y1:Z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min="10" max="11" width="14.13"/>
    <col customWidth="1" hidden="1" min="12" max="22" width="14.13"/>
  </cols>
  <sheetData>
    <row r="1">
      <c r="A1" s="141" t="str">
        <f>IFERROR(__xludf.DUMMYFUNCTION("filter(Teams!A1:A24,not(iferror(match(Teams!A1:A24,DraftTracker!$F:$F,0),false)))"),"AAC")</f>
        <v>AAC</v>
      </c>
      <c r="B1" s="141" t="str">
        <f>IFERROR(__xludf.DUMMYFUNCTION("filter(Teams!B1:B24,not(iferror(match(Teams!B1:B24,DraftTracker!$F:$F,0),false)))"),"ACC")</f>
        <v>ACC</v>
      </c>
      <c r="C1" s="141" t="str">
        <f>IFERROR(__xludf.DUMMYFUNCTION("filter(Teams!C1:C24,not(iferror(match(Teams!C1:C24,DraftTracker!$F:$F,0),false)))"),"Big 12")</f>
        <v>Big 12</v>
      </c>
      <c r="D1" s="141" t="str">
        <f>IFERROR(__xludf.DUMMYFUNCTION("filter(Teams!D1:D24,not(iferror(match(Teams!D1:D24,DraftTracker!$F:$F,0),false)))"),"Big Ten")</f>
        <v>Big Ten</v>
      </c>
      <c r="E1" s="141" t="str">
        <f>IFERROR(__xludf.DUMMYFUNCTION("filter(Teams!E1:E24,not(iferror(match(Teams!E1:E24,DraftTracker!$F:$F,0),false)))"),"CUSA")</f>
        <v>CUSA</v>
      </c>
      <c r="F1" s="141" t="str">
        <f>IFERROR(__xludf.DUMMYFUNCTION("filter(Teams!F1:F24,not(iferror(match(Teams!F1:F24,DraftTracker!$F:$F,0),false)))"),"MAC")</f>
        <v>MAC</v>
      </c>
      <c r="G1" s="141" t="str">
        <f>IFERROR(__xludf.DUMMYFUNCTION("filter(Teams!G1:G24,not(iferror(match(Teams!G1:G24,DraftTracker!$F:$F,0),false)))"),"MWC")</f>
        <v>MWC</v>
      </c>
      <c r="H1" s="141" t="str">
        <f>IFERROR(__xludf.DUMMYFUNCTION("filter(Teams!H1:H24,not(iferror(match(Teams!H1:H24,DraftTracker!$F:$F,0),false)))"),"Pac12")</f>
        <v>Pac12</v>
      </c>
      <c r="I1" s="141" t="str">
        <f>IFERROR(__xludf.DUMMYFUNCTION("filter(Teams!I1:I24,not(iferror(match(Teams!I1:I24,DraftTracker!$F:$F,0),false)))"),"SEC")</f>
        <v>SEC</v>
      </c>
      <c r="J1" s="141" t="str">
        <f>IFERROR(__xludf.DUMMYFUNCTION("filter(Teams!J1:J24,not(iferror(match(Teams!J1:J24,DraftTracker!$F:$F,0),false)))"),"Sun Belt")</f>
        <v>Sun Belt</v>
      </c>
      <c r="K1" s="141" t="str">
        <f>IFERROR(__xludf.DUMMYFUNCTION("filter(Teams!K1:K24,not(iferror(match(Teams!K1:K24,DraftTracker!$F:$F,0),false)))"),"zIndependent")</f>
        <v>zIndependent</v>
      </c>
      <c r="L1" s="142" t="str">
        <f t="array" ref="L1:V22">Teams!L:V</f>
        <v>AAC</v>
      </c>
      <c r="M1" s="142" t="s">
        <v>317</v>
      </c>
      <c r="N1" s="142" t="s">
        <v>471</v>
      </c>
      <c r="O1" s="142" t="s">
        <v>407</v>
      </c>
      <c r="P1" s="142" t="s">
        <v>535</v>
      </c>
      <c r="Q1" s="142" t="s">
        <v>530</v>
      </c>
      <c r="R1" s="142" t="s">
        <v>525</v>
      </c>
      <c r="S1" s="142" t="s">
        <v>680</v>
      </c>
      <c r="T1" s="142" t="s">
        <v>556</v>
      </c>
      <c r="U1" s="142" t="s">
        <v>441</v>
      </c>
      <c r="V1" s="142" t="s">
        <v>725</v>
      </c>
    </row>
    <row r="2">
      <c r="L2" t="s">
        <v>225</v>
      </c>
      <c r="M2" t="s">
        <v>110</v>
      </c>
      <c r="N2" t="s">
        <v>188</v>
      </c>
      <c r="O2" t="s">
        <v>135</v>
      </c>
      <c r="P2" t="s">
        <v>235</v>
      </c>
      <c r="Q2" t="s">
        <v>164</v>
      </c>
      <c r="R2" t="s">
        <v>176</v>
      </c>
      <c r="S2" t="s">
        <v>194</v>
      </c>
      <c r="T2" t="s">
        <v>201</v>
      </c>
      <c r="U2" t="s">
        <v>422</v>
      </c>
      <c r="V2" t="s">
        <v>229</v>
      </c>
    </row>
    <row r="3">
      <c r="L3" t="s">
        <v>159</v>
      </c>
      <c r="M3" t="s">
        <v>190</v>
      </c>
      <c r="N3" t="s">
        <v>189</v>
      </c>
      <c r="O3" t="s">
        <v>136</v>
      </c>
      <c r="P3" t="s">
        <v>545</v>
      </c>
      <c r="Q3" t="s">
        <v>165</v>
      </c>
      <c r="R3" t="s">
        <v>177</v>
      </c>
      <c r="S3" t="s">
        <v>200</v>
      </c>
      <c r="T3" t="s">
        <v>202</v>
      </c>
      <c r="U3" t="s">
        <v>215</v>
      </c>
      <c r="V3" t="s">
        <v>99</v>
      </c>
    </row>
    <row r="4">
      <c r="L4" t="s">
        <v>100</v>
      </c>
      <c r="M4" t="s">
        <v>111</v>
      </c>
      <c r="N4" t="s">
        <v>124</v>
      </c>
      <c r="O4" t="s">
        <v>137</v>
      </c>
      <c r="P4" t="s">
        <v>232</v>
      </c>
      <c r="Q4" t="s">
        <v>166</v>
      </c>
      <c r="R4" t="s">
        <v>178</v>
      </c>
      <c r="T4" t="s">
        <v>45</v>
      </c>
      <c r="U4" t="s">
        <v>223</v>
      </c>
    </row>
    <row r="5">
      <c r="L5" t="s">
        <v>150</v>
      </c>
      <c r="M5" t="s">
        <v>112</v>
      </c>
      <c r="N5" t="s">
        <v>226</v>
      </c>
      <c r="O5" t="s">
        <v>138</v>
      </c>
      <c r="P5" t="s">
        <v>233</v>
      </c>
      <c r="Q5" t="s">
        <v>167</v>
      </c>
      <c r="R5" t="s">
        <v>179</v>
      </c>
      <c r="T5" t="s">
        <v>203</v>
      </c>
      <c r="U5" t="s">
        <v>216</v>
      </c>
    </row>
    <row r="6">
      <c r="L6" t="s">
        <v>102</v>
      </c>
      <c r="M6" t="s">
        <v>113</v>
      </c>
      <c r="N6" t="s">
        <v>98</v>
      </c>
      <c r="O6" t="s">
        <v>139</v>
      </c>
      <c r="P6" t="s">
        <v>227</v>
      </c>
      <c r="Q6" t="s">
        <v>168</v>
      </c>
      <c r="R6" t="s">
        <v>536</v>
      </c>
      <c r="T6" t="s">
        <v>204</v>
      </c>
      <c r="U6" t="s">
        <v>217</v>
      </c>
    </row>
    <row r="7">
      <c r="L7" t="s">
        <v>103</v>
      </c>
      <c r="M7" t="s">
        <v>114</v>
      </c>
      <c r="N7" t="s">
        <v>191</v>
      </c>
      <c r="O7" t="s">
        <v>140</v>
      </c>
      <c r="P7" t="s">
        <v>151</v>
      </c>
      <c r="Q7" t="s">
        <v>304</v>
      </c>
      <c r="R7" t="s">
        <v>181</v>
      </c>
      <c r="T7" t="s">
        <v>205</v>
      </c>
      <c r="U7" t="s">
        <v>231</v>
      </c>
    </row>
    <row r="8">
      <c r="L8" t="s">
        <v>154</v>
      </c>
      <c r="M8" t="s">
        <v>115</v>
      </c>
      <c r="N8" t="s">
        <v>101</v>
      </c>
      <c r="O8" t="s">
        <v>141</v>
      </c>
      <c r="P8" t="s">
        <v>153</v>
      </c>
      <c r="Q8" t="s">
        <v>170</v>
      </c>
      <c r="R8" t="s">
        <v>182</v>
      </c>
      <c r="T8" t="s">
        <v>206</v>
      </c>
      <c r="U8" t="s">
        <v>152</v>
      </c>
    </row>
    <row r="9">
      <c r="L9" t="s">
        <v>157</v>
      </c>
      <c r="M9" t="s">
        <v>116</v>
      </c>
      <c r="N9" t="s">
        <v>125</v>
      </c>
      <c r="O9" t="s">
        <v>142</v>
      </c>
      <c r="P9" t="s">
        <v>236</v>
      </c>
      <c r="Q9" t="s">
        <v>548</v>
      </c>
      <c r="R9" t="s">
        <v>183</v>
      </c>
      <c r="T9" t="s">
        <v>207</v>
      </c>
      <c r="U9" t="s">
        <v>155</v>
      </c>
    </row>
    <row r="10">
      <c r="L10" t="s">
        <v>105</v>
      </c>
      <c r="M10" t="s">
        <v>117</v>
      </c>
      <c r="N10" t="s">
        <v>126</v>
      </c>
      <c r="O10" t="s">
        <v>143</v>
      </c>
      <c r="P10" t="s">
        <v>228</v>
      </c>
      <c r="Q10" t="s">
        <v>172</v>
      </c>
      <c r="R10" t="s">
        <v>549</v>
      </c>
      <c r="T10" t="s">
        <v>208</v>
      </c>
      <c r="U10" t="s">
        <v>220</v>
      </c>
    </row>
    <row r="11">
      <c r="L11" t="s">
        <v>106</v>
      </c>
      <c r="M11" t="s">
        <v>118</v>
      </c>
      <c r="N11" t="s">
        <v>127</v>
      </c>
      <c r="O11" t="s">
        <v>144</v>
      </c>
      <c r="P11" t="s">
        <v>234</v>
      </c>
      <c r="Q11" t="s">
        <v>173</v>
      </c>
      <c r="R11" t="s">
        <v>185</v>
      </c>
      <c r="T11" t="s">
        <v>128</v>
      </c>
      <c r="U11" t="s">
        <v>546</v>
      </c>
    </row>
    <row r="12">
      <c r="L12" t="s">
        <v>107</v>
      </c>
      <c r="M12" t="s">
        <v>119</v>
      </c>
      <c r="N12" t="s">
        <v>129</v>
      </c>
      <c r="O12" t="s">
        <v>192</v>
      </c>
      <c r="P12" t="s">
        <v>160</v>
      </c>
      <c r="Q12" t="s">
        <v>174</v>
      </c>
      <c r="R12" t="s">
        <v>186</v>
      </c>
      <c r="T12" t="s">
        <v>209</v>
      </c>
      <c r="U12" t="s">
        <v>221</v>
      </c>
    </row>
    <row r="13">
      <c r="L13" t="s">
        <v>108</v>
      </c>
      <c r="M13" t="s">
        <v>104</v>
      </c>
      <c r="N13" t="s">
        <v>130</v>
      </c>
      <c r="O13" t="s">
        <v>145</v>
      </c>
      <c r="P13" t="s">
        <v>162</v>
      </c>
      <c r="Q13" t="s">
        <v>527</v>
      </c>
      <c r="R13" t="s">
        <v>187</v>
      </c>
      <c r="T13" t="s">
        <v>210</v>
      </c>
      <c r="U13" t="s">
        <v>222</v>
      </c>
    </row>
    <row r="14">
      <c r="L14" t="s">
        <v>163</v>
      </c>
      <c r="M14" t="s">
        <v>195</v>
      </c>
      <c r="N14" t="s">
        <v>133</v>
      </c>
      <c r="O14" t="s">
        <v>146</v>
      </c>
      <c r="Q14" t="s">
        <v>175</v>
      </c>
      <c r="T14" t="s">
        <v>211</v>
      </c>
      <c r="U14" t="s">
        <v>552</v>
      </c>
    </row>
    <row r="15">
      <c r="L15" t="s">
        <v>161</v>
      </c>
      <c r="M15" t="s">
        <v>120</v>
      </c>
      <c r="N15" t="s">
        <v>109</v>
      </c>
      <c r="O15" t="s">
        <v>147</v>
      </c>
      <c r="T15" t="s">
        <v>131</v>
      </c>
      <c r="U15" t="s">
        <v>219</v>
      </c>
    </row>
    <row r="16">
      <c r="M16" t="s">
        <v>121</v>
      </c>
      <c r="N16" t="s">
        <v>198</v>
      </c>
      <c r="O16" t="s">
        <v>196</v>
      </c>
      <c r="T16" t="s">
        <v>539</v>
      </c>
    </row>
    <row r="17">
      <c r="M17" t="s">
        <v>122</v>
      </c>
      <c r="N17" t="s">
        <v>134</v>
      </c>
      <c r="O17" t="s">
        <v>197</v>
      </c>
      <c r="T17" t="s">
        <v>213</v>
      </c>
    </row>
    <row r="18">
      <c r="M18" t="s">
        <v>123</v>
      </c>
      <c r="O18" t="s">
        <v>199</v>
      </c>
    </row>
    <row r="19">
      <c r="O19" t="s">
        <v>148</v>
      </c>
    </row>
  </sheetData>
  <conditionalFormatting sqref="A2:J24">
    <cfRule type="containsBlanks" dxfId="6" priority="1">
      <formula>LEN(TRIM(A2))=0</formula>
    </cfRule>
  </conditionalFormatting>
  <conditionalFormatting sqref="A2:J24">
    <cfRule type="expression" dxfId="7" priority="2">
      <formula>iserror(match(A2,L:L,0))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.38"/>
    <col customWidth="1" min="2" max="2" width="6.5"/>
    <col customWidth="1" min="3" max="3" width="12.63"/>
    <col customWidth="1" min="4" max="4" width="6.38"/>
    <col customWidth="1" min="5" max="5" width="14.0"/>
    <col customWidth="1" min="6" max="6" width="5.5"/>
    <col customWidth="1" min="7" max="7" width="11.13"/>
    <col customWidth="1" min="8" max="8" width="7.13"/>
    <col customWidth="1" min="9" max="9" width="12.0"/>
    <col customWidth="1" min="10" max="10" width="7.13"/>
    <col customWidth="1" min="11" max="11" width="15.25"/>
    <col customWidth="1" min="12" max="12" width="6.38"/>
    <col customWidth="1" min="13" max="13" width="11.75"/>
    <col customWidth="1" min="14" max="14" width="6.38"/>
    <col customWidth="1" min="15" max="15" width="8.25"/>
    <col customWidth="1" min="16" max="16" width="6.38"/>
    <col customWidth="1" min="17" max="17" width="10.25"/>
    <col customWidth="1" min="18" max="18" width="6.13"/>
    <col customWidth="1" min="19" max="19" width="9.0"/>
    <col customWidth="1" min="20" max="20" width="6.13"/>
    <col customWidth="1" min="21" max="21" width="10.25"/>
    <col customWidth="1" min="22" max="22" width="6.13"/>
    <col customWidth="1" min="23" max="23" width="12.75"/>
    <col customWidth="1" min="24" max="24" width="6.13"/>
    <col customWidth="1" min="25" max="27" width="11.38"/>
  </cols>
  <sheetData>
    <row r="1">
      <c r="A1" s="143"/>
      <c r="B1" s="124" t="str">
        <f>'Picks by Player'!A1</f>
        <v>Nick G.</v>
      </c>
      <c r="C1" s="125"/>
      <c r="D1" s="124" t="str">
        <f>'Picks by Player'!C1</f>
        <v>Gary</v>
      </c>
      <c r="E1" s="125"/>
      <c r="F1" s="124" t="str">
        <f>'Picks by Player'!E1</f>
        <v>Vu</v>
      </c>
      <c r="G1" s="125"/>
      <c r="H1" s="124" t="str">
        <f>'Picks by Player'!G1</f>
        <v>Nick A.</v>
      </c>
      <c r="I1" s="125"/>
      <c r="J1" s="124" t="str">
        <f>'Picks by Player'!I1</f>
        <v>Jeannine</v>
      </c>
      <c r="K1" s="125"/>
      <c r="L1" s="124" t="str">
        <f>'Picks by Player'!K1</f>
        <v>Justin</v>
      </c>
      <c r="M1" s="125"/>
      <c r="N1" s="124" t="str">
        <f>'Picks by Player'!M1</f>
        <v>Josh</v>
      </c>
      <c r="O1" s="125"/>
      <c r="P1" s="124" t="str">
        <f>'Picks by Player'!O1</f>
        <v>Mike</v>
      </c>
      <c r="Q1" s="125"/>
      <c r="R1" s="124" t="str">
        <f>'Picks by Player'!Q1</f>
        <v>Brad</v>
      </c>
      <c r="S1" s="125"/>
      <c r="T1" s="124" t="str">
        <f>'Picks by Player'!S1</f>
        <v>Masa</v>
      </c>
      <c r="U1" s="125"/>
      <c r="V1" s="124" t="str">
        <f>'Picks by Player'!U1</f>
        <v>Dan</v>
      </c>
      <c r="W1" s="125"/>
      <c r="X1" s="124" t="str">
        <f>'Picks by Player'!W1</f>
        <v>Nico</v>
      </c>
      <c r="Y1" s="125"/>
      <c r="Z1" s="126" t="str">
        <f>'Picks by Player'!Y1</f>
        <v>#REF!</v>
      </c>
      <c r="AA1" s="125"/>
    </row>
    <row r="2">
      <c r="A2" s="144"/>
      <c r="B2" s="127" t="s">
        <v>36</v>
      </c>
      <c r="C2" s="128" t="s">
        <v>13</v>
      </c>
      <c r="D2" s="130" t="s">
        <v>36</v>
      </c>
      <c r="E2" s="129" t="s">
        <v>13</v>
      </c>
      <c r="F2" s="130" t="s">
        <v>36</v>
      </c>
      <c r="G2" s="129" t="s">
        <v>13</v>
      </c>
      <c r="H2" s="130" t="s">
        <v>36</v>
      </c>
      <c r="I2" s="129" t="s">
        <v>13</v>
      </c>
      <c r="J2" s="130" t="s">
        <v>36</v>
      </c>
      <c r="K2" s="129" t="s">
        <v>13</v>
      </c>
      <c r="L2" s="130" t="s">
        <v>36</v>
      </c>
      <c r="M2" s="129" t="s">
        <v>13</v>
      </c>
      <c r="N2" s="130" t="s">
        <v>36</v>
      </c>
      <c r="O2" s="129" t="s">
        <v>13</v>
      </c>
      <c r="P2" s="130" t="s">
        <v>36</v>
      </c>
      <c r="Q2" s="129" t="s">
        <v>13</v>
      </c>
      <c r="R2" s="130" t="s">
        <v>36</v>
      </c>
      <c r="S2" s="129" t="s">
        <v>13</v>
      </c>
      <c r="T2" s="130" t="s">
        <v>36</v>
      </c>
      <c r="U2" s="129" t="s">
        <v>13</v>
      </c>
      <c r="V2" s="130" t="s">
        <v>36</v>
      </c>
      <c r="W2" s="129" t="s">
        <v>13</v>
      </c>
      <c r="X2" s="130" t="s">
        <v>36</v>
      </c>
      <c r="Y2" s="129" t="s">
        <v>13</v>
      </c>
      <c r="Z2" s="130" t="s">
        <v>36</v>
      </c>
      <c r="AA2" s="129" t="s">
        <v>13</v>
      </c>
    </row>
    <row r="3">
      <c r="A3" t="s">
        <v>361</v>
      </c>
      <c r="B3" s="145" t="str">
        <f t="shared" ref="B3:B12" si="1">if(C3="", "", $A3)</f>
        <v>AAC</v>
      </c>
      <c r="C3" s="146" t="str">
        <f>if(iserror(VLOOKUP($A3,'Picks by Player'!A$3:B$12,2,0)),"", VLOOKUP($A3,'Picks by Player'!A$3:B$12,2,0))</f>
        <v>Rice</v>
      </c>
      <c r="D3" s="145" t="str">
        <f t="shared" ref="D3:D12" si="2">if(E3="", "", $A3)</f>
        <v>AAC</v>
      </c>
      <c r="E3" s="146" t="str">
        <f>if(iserror(VLOOKUP($A3,'Picks by Player'!C$3:D$12,2,0)),"", VLOOKUP($A3,'Picks by Player'!C$3:D$12,2,0))</f>
        <v>East Carolina</v>
      </c>
      <c r="F3" s="145" t="str">
        <f t="shared" ref="F3:F12" si="3">if(G3="", "", $A3)</f>
        <v>AAC</v>
      </c>
      <c r="G3" s="146" t="str">
        <f>if(iserror(VLOOKUP($A3,'Picks by Player'!E$3:F$12,2,0)),"", VLOOKUP($A3,'Picks by Player'!E$3:F$12,2,0))</f>
        <v>UAB</v>
      </c>
      <c r="H3" s="145" t="str">
        <f t="shared" ref="H3:H12" si="4">if(I3="", "", $A3)</f>
        <v>AAC</v>
      </c>
      <c r="I3" s="146" t="str">
        <f>if(iserror(VLOOKUP($A3,'Picks by Player'!G$3:H$12,2,0)),"", VLOOKUP($A3,'Picks by Player'!G$3:H$12,2,0))</f>
        <v>Florida Atlantic</v>
      </c>
      <c r="J3" s="145" t="str">
        <f t="shared" ref="J3:J12" si="5">if(K3="", "", $A3)</f>
        <v>AAC</v>
      </c>
      <c r="K3" s="146" t="str">
        <f>if(iserror(VLOOKUP($A3,'Picks by Player'!I$3:J$12,2,0)),"", VLOOKUP($A3,'Picks by Player'!I$3:J$12,2,0))</f>
        <v>UTSA</v>
      </c>
      <c r="L3" s="145" t="str">
        <f t="shared" ref="L3:L12" si="6">if(M3="", "", $A3)</f>
        <v>AAC</v>
      </c>
      <c r="M3" s="146" t="str">
        <f>if(iserror(VLOOKUP($A3,'Picks by Player'!K$3:L$12,2,0)),"", VLOOKUP($A3,'Picks by Player'!K$3:L$12,2,0))</f>
        <v>Navy</v>
      </c>
      <c r="N3" s="145" t="str">
        <f t="shared" ref="N3:N12" si="7">if(O3="", "", $A3)</f>
        <v>AAC</v>
      </c>
      <c r="O3" s="146" t="str">
        <f>if(iserror(VLOOKUP($A3,'Picks by Player'!M$3:N$12,2,0)),"", VLOOKUP($A3,'Picks by Player'!M$3:N$12,2,0))</f>
        <v>South Florida</v>
      </c>
      <c r="P3" s="145" t="str">
        <f t="shared" ref="P3:P12" si="8">if(Q3="", "", $A3)</f>
        <v>AAC</v>
      </c>
      <c r="Q3" s="146" t="str">
        <f>if(iserror(VLOOKUP($A3,'Picks by Player'!O$3:P$12,2,0)),"", VLOOKUP($A3,'Picks by Player'!O$3:P$12,2,0))</f>
        <v>Memphis</v>
      </c>
      <c r="R3" s="145" t="str">
        <f t="shared" ref="R3:R12" si="9">if(S3="", "", $A3)</f>
        <v>AAC</v>
      </c>
      <c r="S3" s="146" t="str">
        <f>if(iserror(VLOOKUP($A3,'Picks by Player'!Q$3:R$12,2,0)),"", VLOOKUP($A3,'Picks by Player'!Q$3:R$12,2,0))</f>
        <v>North Texas</v>
      </c>
      <c r="T3" s="147" t="str">
        <f t="shared" ref="T3:T12" si="10">if(U3="", "", $A3)</f>
        <v>AAC</v>
      </c>
      <c r="U3" s="146" t="str">
        <f>if(iserror(VLOOKUP($A3,'Picks by Player'!S$3:T$12,2,0)),"", VLOOKUP($A3,'Picks by Player'!S$3:T$12,2,0))</f>
        <v>Charlotte</v>
      </c>
      <c r="V3" s="145" t="str">
        <f t="shared" ref="V3:V12" si="11">if(W3="", "", $A3)</f>
        <v>AAC</v>
      </c>
      <c r="W3" s="146" t="str">
        <f>if(iserror(VLOOKUP($A3,'Picks by Player'!U$3:V$12,2,0)),"", VLOOKUP($A3,'Picks by Player'!U$3:V$12,2,0))</f>
        <v>Army</v>
      </c>
      <c r="X3" s="145" t="str">
        <f t="shared" ref="X3:X12" si="12">if(Y3="", "", $A3)</f>
        <v>AAC</v>
      </c>
      <c r="Y3" s="146" t="str">
        <f>if(iserror(VLOOKUP($A3,'Picks by Player'!W$3:X$12,2,0)),"", VLOOKUP($A3,'Picks by Player'!W$3:X$12,2,0))</f>
        <v>Tulane</v>
      </c>
      <c r="Z3" s="145" t="str">
        <f t="shared" ref="Z3:Z12" si="13">if(AA3="", "", $A3)</f>
        <v/>
      </c>
      <c r="AA3" s="146" t="str">
        <f>if(iserror(VLOOKUP($A3,'Picks by Player'!Y$3:Z$12,2,0)),"", VLOOKUP($A3,'Picks by Player'!Y$3:Z$12,2,0))</f>
        <v/>
      </c>
    </row>
    <row r="4">
      <c r="A4" t="s">
        <v>317</v>
      </c>
      <c r="B4" s="148" t="str">
        <f t="shared" si="1"/>
        <v>ACC</v>
      </c>
      <c r="C4" s="149" t="str">
        <f>if(iserror(VLOOKUP($A4,'Picks by Player'!A$3:B$12,2,0)),"", VLOOKUP($A4,'Picks by Player'!A$3:B$12,2,0))</f>
        <v>North Carolina</v>
      </c>
      <c r="D4" s="148" t="str">
        <f t="shared" si="2"/>
        <v>ACC</v>
      </c>
      <c r="E4" s="149" t="str">
        <f>if(iserror(VLOOKUP($A4,'Picks by Player'!C$3:D$12,2,0)),"", VLOOKUP($A4,'Picks by Player'!C$3:D$12,2,0))</f>
        <v>NC State</v>
      </c>
      <c r="F4" s="148" t="str">
        <f t="shared" si="3"/>
        <v>ACC</v>
      </c>
      <c r="G4" s="149" t="str">
        <f>if(iserror(VLOOKUP($A4,'Picks by Player'!E$3:F$12,2,0)),"", VLOOKUP($A4,'Picks by Player'!E$3:F$12,2,0))</f>
        <v>California</v>
      </c>
      <c r="H4" s="148" t="str">
        <f t="shared" si="4"/>
        <v>ACC</v>
      </c>
      <c r="I4" s="149" t="str">
        <f>if(iserror(VLOOKUP($A4,'Picks by Player'!G$3:H$12,2,0)),"", VLOOKUP($A4,'Picks by Player'!G$3:H$12,2,0))</f>
        <v>SMU</v>
      </c>
      <c r="J4" s="148" t="str">
        <f t="shared" si="5"/>
        <v>ACC</v>
      </c>
      <c r="K4" s="149" t="str">
        <f>if(iserror(VLOOKUP($A4,'Picks by Player'!I$3:J$12,2,0)),"", VLOOKUP($A4,'Picks by Player'!I$3:J$12,2,0))</f>
        <v>Virginia Tech</v>
      </c>
      <c r="L4" s="148" t="str">
        <f t="shared" si="6"/>
        <v>ACC</v>
      </c>
      <c r="M4" s="149" t="str">
        <f>if(iserror(VLOOKUP($A4,'Picks by Player'!K$3:L$12,2,0)),"", VLOOKUP($A4,'Picks by Player'!K$3:L$12,2,0))</f>
        <v>Florida State</v>
      </c>
      <c r="N4" s="148" t="str">
        <f t="shared" si="7"/>
        <v>ACC</v>
      </c>
      <c r="O4" s="149" t="str">
        <f>if(iserror(VLOOKUP($A4,'Picks by Player'!M$3:N$12,2,0)),"", VLOOKUP($A4,'Picks by Player'!M$3:N$12,2,0))</f>
        <v>Virginia</v>
      </c>
      <c r="P4" s="148" t="str">
        <f t="shared" si="8"/>
        <v>ACC</v>
      </c>
      <c r="Q4" s="149" t="str">
        <f>if(iserror(VLOOKUP($A4,'Picks by Player'!O$3:P$12,2,0)),"", VLOOKUP($A4,'Picks by Player'!O$3:P$12,2,0))</f>
        <v>Pittsburgh</v>
      </c>
      <c r="R4" t="str">
        <f t="shared" si="9"/>
        <v>ACC</v>
      </c>
      <c r="S4" t="str">
        <f>if(iserror(VLOOKUP($A4,'Picks by Player'!Q$3:R$12,2,0)),"", VLOOKUP($A4,'Picks by Player'!Q$3:R$12,2,0))</f>
        <v>Miami</v>
      </c>
      <c r="T4" s="150" t="str">
        <f t="shared" si="10"/>
        <v>ACC</v>
      </c>
      <c r="U4" t="str">
        <f>if(iserror(VLOOKUP($A4,'Picks by Player'!S$3:T$12,2,0)),"", VLOOKUP($A4,'Picks by Player'!S$3:T$12,2,0))</f>
        <v>Clemson</v>
      </c>
      <c r="V4" s="148" t="str">
        <f t="shared" si="11"/>
        <v>ACC</v>
      </c>
      <c r="W4" s="149" t="str">
        <f>if(iserror(VLOOKUP($A4,'Picks by Player'!U$3:V$12,2,0)),"", VLOOKUP($A4,'Picks by Player'!U$3:V$12,2,0))</f>
        <v>Georgia Tech</v>
      </c>
      <c r="X4" s="148" t="str">
        <f t="shared" si="12"/>
        <v>ACC</v>
      </c>
      <c r="Y4" s="149" t="str">
        <f>if(iserror(VLOOKUP($A4,'Picks by Player'!W$3:X$12,2,0)),"", VLOOKUP($A4,'Picks by Player'!W$3:X$12,2,0))</f>
        <v>Louisville</v>
      </c>
      <c r="Z4" s="148" t="str">
        <f t="shared" si="13"/>
        <v/>
      </c>
      <c r="AA4" s="149" t="str">
        <f>if(iserror(VLOOKUP($A4,'Picks by Player'!Y$3:Z$12,2,0)),"", VLOOKUP($A4,'Picks by Player'!Y$3:Z$12,2,0))</f>
        <v/>
      </c>
    </row>
    <row r="5">
      <c r="A5" t="s">
        <v>471</v>
      </c>
      <c r="B5" s="148" t="str">
        <f t="shared" si="1"/>
        <v>Big 12</v>
      </c>
      <c r="C5" s="149" t="str">
        <f>if(iserror(VLOOKUP($A5,'Picks by Player'!A$3:B$12,2,0)),"", VLOOKUP($A5,'Picks by Player'!A$3:B$12,2,0))</f>
        <v>Arizona State</v>
      </c>
      <c r="D5" s="148" t="str">
        <f t="shared" si="2"/>
        <v>Big 12</v>
      </c>
      <c r="E5" s="149" t="str">
        <f>if(iserror(VLOOKUP($A5,'Picks by Player'!C$3:D$12,2,0)),"", VLOOKUP($A5,'Picks by Player'!C$3:D$12,2,0))</f>
        <v>Utah</v>
      </c>
      <c r="F5" s="148" t="str">
        <f t="shared" si="3"/>
        <v>Big 12</v>
      </c>
      <c r="G5" s="149" t="str">
        <f>if(iserror(VLOOKUP($A5,'Picks by Player'!E$3:F$12,2,0)),"", VLOOKUP($A5,'Picks by Player'!E$3:F$12,2,0))</f>
        <v>Kansas State</v>
      </c>
      <c r="H5" s="148" t="str">
        <f t="shared" si="4"/>
        <v>Big 12</v>
      </c>
      <c r="I5" s="149" t="str">
        <f>if(iserror(VLOOKUP($A5,'Picks by Player'!G$3:H$12,2,0)),"", VLOOKUP($A5,'Picks by Player'!G$3:H$12,2,0))</f>
        <v>Kansas</v>
      </c>
      <c r="J5" s="148" t="str">
        <f t="shared" si="5"/>
        <v>Big 12</v>
      </c>
      <c r="K5" s="149" t="str">
        <f>if(iserror(VLOOKUP($A5,'Picks by Player'!I$3:J$12,2,0)),"", VLOOKUP($A5,'Picks by Player'!I$3:J$12,2,0))</f>
        <v>Iowa State</v>
      </c>
      <c r="L5" s="148" t="str">
        <f t="shared" si="6"/>
        <v>Big 12</v>
      </c>
      <c r="M5" s="149" t="str">
        <f>if(iserror(VLOOKUP($A5,'Picks by Player'!K$3:L$12,2,0)),"", VLOOKUP($A5,'Picks by Player'!K$3:L$12,2,0))</f>
        <v>BYU</v>
      </c>
      <c r="N5" s="148" t="str">
        <f t="shared" si="7"/>
        <v>Big 12</v>
      </c>
      <c r="O5" s="149" t="str">
        <f>if(iserror(VLOOKUP($A5,'Picks by Player'!M$3:N$12,2,0)),"", VLOOKUP($A5,'Picks by Player'!M$3:N$12,2,0))</f>
        <v>Oklahoma State</v>
      </c>
      <c r="P5" s="148" t="str">
        <f t="shared" si="8"/>
        <v>Big 12</v>
      </c>
      <c r="Q5" s="149" t="str">
        <f>if(iserror(VLOOKUP($A5,'Picks by Player'!O$3:P$12,2,0)),"", VLOOKUP($A5,'Picks by Player'!O$3:P$12,2,0))</f>
        <v>Cincinnati</v>
      </c>
      <c r="R5" t="str">
        <f t="shared" si="9"/>
        <v>Big 12</v>
      </c>
      <c r="S5" t="str">
        <f>if(iserror(VLOOKUP($A5,'Picks by Player'!Q$3:R$12,2,0)),"", VLOOKUP($A5,'Picks by Player'!Q$3:R$12,2,0))</f>
        <v>UCF</v>
      </c>
      <c r="T5" s="150" t="str">
        <f t="shared" si="10"/>
        <v>Big 12</v>
      </c>
      <c r="U5" t="str">
        <f>if(iserror(VLOOKUP($A5,'Picks by Player'!S$3:T$12,2,0)),"", VLOOKUP($A5,'Picks by Player'!S$3:T$12,2,0))</f>
        <v>Baylor</v>
      </c>
      <c r="V5" s="148" t="str">
        <f t="shared" si="11"/>
        <v>Big 12</v>
      </c>
      <c r="W5" s="149" t="str">
        <f>if(iserror(VLOOKUP($A5,'Picks by Player'!U$3:V$12,2,0)),"", VLOOKUP($A5,'Picks by Player'!U$3:V$12,2,0))</f>
        <v>Houston</v>
      </c>
      <c r="X5" s="148" t="str">
        <f t="shared" si="12"/>
        <v>Big 12</v>
      </c>
      <c r="Y5" s="149" t="str">
        <f>if(iserror(VLOOKUP($A5,'Picks by Player'!W$3:X$12,2,0)),"", VLOOKUP($A5,'Picks by Player'!W$3:X$12,2,0))</f>
        <v>West Virginia</v>
      </c>
      <c r="Z5" s="148" t="str">
        <f t="shared" si="13"/>
        <v/>
      </c>
      <c r="AA5" s="149" t="str">
        <f>if(iserror(VLOOKUP($A5,'Picks by Player'!Y$3:Z$12,2,0)),"", VLOOKUP($A5,'Picks by Player'!Y$3:Z$12,2,0))</f>
        <v/>
      </c>
    </row>
    <row r="6">
      <c r="A6" t="s">
        <v>407</v>
      </c>
      <c r="B6" s="148" t="str">
        <f t="shared" si="1"/>
        <v>Big Ten</v>
      </c>
      <c r="C6" s="149" t="str">
        <f>if(iserror(VLOOKUP($A6,'Picks by Player'!A$3:B$12,2,0)),"", VLOOKUP($A6,'Picks by Player'!A$3:B$12,2,0))</f>
        <v>Penn State</v>
      </c>
      <c r="D6" s="148" t="str">
        <f t="shared" si="2"/>
        <v>Big Ten</v>
      </c>
      <c r="E6" s="149" t="str">
        <f>if(iserror(VLOOKUP($A6,'Picks by Player'!C$3:D$12,2,0)),"", VLOOKUP($A6,'Picks by Player'!C$3:D$12,2,0))</f>
        <v>USC</v>
      </c>
      <c r="F6" s="148" t="str">
        <f t="shared" si="3"/>
        <v>Big Ten</v>
      </c>
      <c r="G6" s="149" t="str">
        <f>if(iserror(VLOOKUP($A6,'Picks by Player'!E$3:F$12,2,0)),"", VLOOKUP($A6,'Picks by Player'!E$3:F$12,2,0))</f>
        <v>Washington</v>
      </c>
      <c r="H6" s="148" t="str">
        <f t="shared" si="4"/>
        <v>Big Ten</v>
      </c>
      <c r="I6" s="149" t="str">
        <f>if(iserror(VLOOKUP($A6,'Picks by Player'!G$3:H$12,2,0)),"", VLOOKUP($A6,'Picks by Player'!G$3:H$12,2,0))</f>
        <v>Ohio State</v>
      </c>
      <c r="J6" s="148" t="str">
        <f t="shared" si="5"/>
        <v>Big Ten</v>
      </c>
      <c r="K6" s="149" t="str">
        <f>if(iserror(VLOOKUP($A6,'Picks by Player'!I$3:J$12,2,0)),"", VLOOKUP($A6,'Picks by Player'!I$3:J$12,2,0))</f>
        <v>Oregon</v>
      </c>
      <c r="L6" s="148" t="str">
        <f t="shared" si="6"/>
        <v>Big Ten</v>
      </c>
      <c r="M6" s="149" t="str">
        <f>if(iserror(VLOOKUP($A6,'Picks by Player'!K$3:L$12,2,0)),"", VLOOKUP($A6,'Picks by Player'!K$3:L$12,2,0))</f>
        <v>Michigan State</v>
      </c>
      <c r="N6" s="148" t="str">
        <f t="shared" si="7"/>
        <v>Big Ten</v>
      </c>
      <c r="O6" s="149" t="str">
        <f>if(iserror(VLOOKUP($A6,'Picks by Player'!M$3:N$12,2,0)),"", VLOOKUP($A6,'Picks by Player'!M$3:N$12,2,0))</f>
        <v>Nebraska</v>
      </c>
      <c r="P6" s="148" t="str">
        <f t="shared" si="8"/>
        <v>Big Ten</v>
      </c>
      <c r="Q6" s="149" t="str">
        <f>if(iserror(VLOOKUP($A6,'Picks by Player'!O$3:P$12,2,0)),"", VLOOKUP($A6,'Picks by Player'!O$3:P$12,2,0))</f>
        <v>Minnesota</v>
      </c>
      <c r="R6" t="str">
        <f t="shared" si="9"/>
        <v>Big Ten</v>
      </c>
      <c r="S6" t="str">
        <f>if(iserror(VLOOKUP($A6,'Picks by Player'!Q$3:R$12,2,0)),"", VLOOKUP($A6,'Picks by Player'!Q$3:R$12,2,0))</f>
        <v>Illinois</v>
      </c>
      <c r="T6" s="150" t="str">
        <f t="shared" si="10"/>
        <v>Big Ten</v>
      </c>
      <c r="U6" t="str">
        <f>if(iserror(VLOOKUP($A6,'Picks by Player'!S$3:T$12,2,0)),"", VLOOKUP($A6,'Picks by Player'!S$3:T$12,2,0))</f>
        <v>Iowa</v>
      </c>
      <c r="V6" s="148" t="str">
        <f t="shared" si="11"/>
        <v>Big Ten</v>
      </c>
      <c r="W6" s="149" t="str">
        <f>if(iserror(VLOOKUP($A6,'Picks by Player'!U$3:V$12,2,0)),"", VLOOKUP($A6,'Picks by Player'!U$3:V$12,2,0))</f>
        <v>Rutgers</v>
      </c>
      <c r="X6" s="148" t="str">
        <f t="shared" si="12"/>
        <v>Big Ten</v>
      </c>
      <c r="Y6" s="149" t="str">
        <f>if(iserror(VLOOKUP($A6,'Picks by Player'!W$3:X$12,2,0)),"", VLOOKUP($A6,'Picks by Player'!W$3:X$12,2,0))</f>
        <v>Indiana</v>
      </c>
      <c r="Z6" s="148" t="str">
        <f t="shared" si="13"/>
        <v/>
      </c>
      <c r="AA6" s="149" t="str">
        <f>if(iserror(VLOOKUP($A6,'Picks by Player'!Y$3:Z$12,2,0)),"", VLOOKUP($A6,'Picks by Player'!Y$3:Z$12,2,0))</f>
        <v/>
      </c>
    </row>
    <row r="7">
      <c r="A7" t="s">
        <v>535</v>
      </c>
      <c r="B7" s="148" t="str">
        <f t="shared" si="1"/>
        <v>CUSA</v>
      </c>
      <c r="C7" s="149" t="str">
        <f>if(iserror(VLOOKUP($A7,'Picks by Player'!A$3:B$12,2,0)),"", VLOOKUP($A7,'Picks by Player'!A$3:B$12,2,0))</f>
        <v>New Mexico State</v>
      </c>
      <c r="D7" s="148" t="str">
        <f t="shared" si="2"/>
        <v>CUSA</v>
      </c>
      <c r="E7" s="149" t="str">
        <f>if(iserror(VLOOKUP($A7,'Picks by Player'!C$3:D$12,2,0)),"", VLOOKUP($A7,'Picks by Player'!C$3:D$12,2,0))</f>
        <v>Kennesaw State</v>
      </c>
      <c r="F7" s="148" t="str">
        <f t="shared" si="3"/>
        <v>CUSA</v>
      </c>
      <c r="G7" s="149" t="str">
        <f>if(iserror(VLOOKUP($A7,'Picks by Player'!E$3:F$12,2,0)),"", VLOOKUP($A7,'Picks by Player'!E$3:F$12,2,0))</f>
        <v>Liberty</v>
      </c>
      <c r="H7" s="148" t="str">
        <f t="shared" si="4"/>
        <v>CUSA</v>
      </c>
      <c r="I7" s="149" t="str">
        <f>if(iserror(VLOOKUP($A7,'Picks by Player'!G$3:H$12,2,0)),"", VLOOKUP($A7,'Picks by Player'!G$3:H$12,2,0))</f>
        <v>Missouri State</v>
      </c>
      <c r="J7" s="148" t="str">
        <f t="shared" si="5"/>
        <v>CUSA</v>
      </c>
      <c r="K7" s="149" t="str">
        <f>if(iserror(VLOOKUP($A7,'Picks by Player'!I$3:J$12,2,0)),"", VLOOKUP($A7,'Picks by Player'!I$3:J$12,2,0))</f>
        <v>Sam Houston</v>
      </c>
      <c r="L7" s="148" t="str">
        <f t="shared" si="6"/>
        <v>CUSA</v>
      </c>
      <c r="M7" s="149" t="str">
        <f>if(iserror(VLOOKUP($A7,'Picks by Player'!K$3:L$12,2,0)),"", VLOOKUP($A7,'Picks by Player'!K$3:L$12,2,0))</f>
        <v>Delaware</v>
      </c>
      <c r="N7" s="148" t="str">
        <f t="shared" si="7"/>
        <v>CUSA</v>
      </c>
      <c r="O7" s="149" t="str">
        <f>if(iserror(VLOOKUP($A7,'Picks by Player'!M$3:N$12,2,0)),"", VLOOKUP($A7,'Picks by Player'!M$3:N$12,2,0))</f>
        <v>Middle Tennessee</v>
      </c>
      <c r="P7" s="148" t="str">
        <f t="shared" si="8"/>
        <v>CUSA</v>
      </c>
      <c r="Q7" s="149" t="str">
        <f>if(iserror(VLOOKUP($A7,'Picks by Player'!O$3:P$12,2,0)),"", VLOOKUP($A7,'Picks by Player'!O$3:P$12,2,0))</f>
        <v>UTEP</v>
      </c>
      <c r="R7" t="str">
        <f t="shared" si="9"/>
        <v>CUSA</v>
      </c>
      <c r="S7" t="str">
        <f>if(iserror(VLOOKUP($A7,'Picks by Player'!Q$3:R$12,2,0)),"", VLOOKUP($A7,'Picks by Player'!Q$3:R$12,2,0))</f>
        <v>Jacksonville State</v>
      </c>
      <c r="T7" s="150" t="str">
        <f t="shared" si="10"/>
        <v>CUSA</v>
      </c>
      <c r="U7" t="str">
        <f>if(iserror(VLOOKUP($A7,'Picks by Player'!S$3:T$12,2,0)),"", VLOOKUP($A7,'Picks by Player'!S$3:T$12,2,0))</f>
        <v>Louisiana Tech</v>
      </c>
      <c r="V7" s="148" t="str">
        <f t="shared" si="11"/>
        <v>CUSA</v>
      </c>
      <c r="W7" s="149" t="str">
        <f>if(iserror(VLOOKUP($A7,'Picks by Player'!U$3:V$12,2,0)),"", VLOOKUP($A7,'Picks by Player'!U$3:V$12,2,0))</f>
        <v>Western Kentucky</v>
      </c>
      <c r="X7" s="148" t="str">
        <f t="shared" si="12"/>
        <v>CUSA</v>
      </c>
      <c r="Y7" s="149" t="str">
        <f>if(iserror(VLOOKUP($A7,'Picks by Player'!W$3:X$12,2,0)),"", VLOOKUP($A7,'Picks by Player'!W$3:X$12,2,0))</f>
        <v>Florida Intl</v>
      </c>
      <c r="Z7" s="148" t="str">
        <f t="shared" si="13"/>
        <v/>
      </c>
      <c r="AA7" s="149" t="str">
        <f>if(iserror(VLOOKUP($A7,'Picks by Player'!Y$3:Z$12,2,0)),"", VLOOKUP($A7,'Picks by Player'!Y$3:Z$12,2,0))</f>
        <v/>
      </c>
    </row>
    <row r="8">
      <c r="A8" t="s">
        <v>530</v>
      </c>
      <c r="B8" s="148" t="str">
        <f t="shared" si="1"/>
        <v>MAC</v>
      </c>
      <c r="C8" s="149" t="str">
        <f>if(iserror(VLOOKUP($A8,'Picks by Player'!A$3:B$12,2,0)),"", VLOOKUP($A8,'Picks by Player'!A$3:B$12,2,0))</f>
        <v>UMASS</v>
      </c>
      <c r="D8" s="148" t="str">
        <f t="shared" si="2"/>
        <v>MAC</v>
      </c>
      <c r="E8" s="149" t="str">
        <f>if(iserror(VLOOKUP($A8,'Picks by Player'!C$3:D$12,2,0)),"", VLOOKUP($A8,'Picks by Player'!C$3:D$12,2,0))</f>
        <v>Ball State</v>
      </c>
      <c r="F8" s="148" t="str">
        <f t="shared" si="3"/>
        <v>MAC</v>
      </c>
      <c r="G8" s="149" t="str">
        <f>if(iserror(VLOOKUP($A8,'Picks by Player'!E$3:F$12,2,0)),"", VLOOKUP($A8,'Picks by Player'!E$3:F$12,2,0))</f>
        <v>EMU</v>
      </c>
      <c r="H8" s="148" t="str">
        <f t="shared" si="4"/>
        <v>MAC</v>
      </c>
      <c r="I8" s="149" t="str">
        <f>if(iserror(VLOOKUP($A8,'Picks by Player'!G$3:H$12,2,0)),"", VLOOKUP($A8,'Picks by Player'!G$3:H$12,2,0))</f>
        <v>Akron</v>
      </c>
      <c r="J8" s="148" t="str">
        <f t="shared" si="5"/>
        <v>MAC</v>
      </c>
      <c r="K8" s="149" t="str">
        <f>if(iserror(VLOOKUP($A8,'Picks by Player'!I$3:J$12,2,0)),"", VLOOKUP($A8,'Picks by Player'!I$3:J$12,2,0))</f>
        <v>Northern Illinois</v>
      </c>
      <c r="L8" s="148" t="str">
        <f t="shared" si="6"/>
        <v>MAC</v>
      </c>
      <c r="M8" s="149" t="str">
        <f>if(iserror(VLOOKUP($A8,'Picks by Player'!K$3:L$12,2,0)),"", VLOOKUP($A8,'Picks by Player'!K$3:L$12,2,0))</f>
        <v>Bowling Green</v>
      </c>
      <c r="N8" s="148" t="str">
        <f t="shared" si="7"/>
        <v>MAC</v>
      </c>
      <c r="O8" s="149" t="str">
        <f>if(iserror(VLOOKUP($A8,'Picks by Player'!M$3:N$12,2,0)),"", VLOOKUP($A8,'Picks by Player'!M$3:N$12,2,0))</f>
        <v>Ohio</v>
      </c>
      <c r="P8" s="148" t="str">
        <f t="shared" si="8"/>
        <v>MAC</v>
      </c>
      <c r="Q8" s="149" t="str">
        <f>if(iserror(VLOOKUP($A8,'Picks by Player'!O$3:P$12,2,0)),"", VLOOKUP($A8,'Picks by Player'!O$3:P$12,2,0))</f>
        <v>Miami-OH</v>
      </c>
      <c r="R8" t="str">
        <f t="shared" si="9"/>
        <v>MAC</v>
      </c>
      <c r="S8" t="str">
        <f>if(iserror(VLOOKUP($A8,'Picks by Player'!Q$3:R$12,2,0)),"", VLOOKUP($A8,'Picks by Player'!Q$3:R$12,2,0))</f>
        <v>Toledo</v>
      </c>
      <c r="T8" s="150" t="str">
        <f t="shared" si="10"/>
        <v>MAC</v>
      </c>
      <c r="U8" t="str">
        <f>if(iserror(VLOOKUP($A8,'Picks by Player'!S$3:T$12,2,0)),"", VLOOKUP($A8,'Picks by Player'!S$3:T$12,2,0))</f>
        <v>Buffalo</v>
      </c>
      <c r="V8" s="148" t="str">
        <f t="shared" si="11"/>
        <v>MAC</v>
      </c>
      <c r="W8" s="149" t="str">
        <f>if(iserror(VLOOKUP($A8,'Picks by Player'!U$3:V$12,2,0)),"", VLOOKUP($A8,'Picks by Player'!U$3:V$12,2,0))</f>
        <v>Western Michigan</v>
      </c>
      <c r="X8" s="148" t="str">
        <f t="shared" si="12"/>
        <v>MAC</v>
      </c>
      <c r="Y8" s="149" t="str">
        <f>if(iserror(VLOOKUP($A8,'Picks by Player'!W$3:X$12,2,0)),"", VLOOKUP($A8,'Picks by Player'!W$3:X$12,2,0))</f>
        <v>Central Michigan</v>
      </c>
      <c r="Z8" s="148" t="str">
        <f t="shared" si="13"/>
        <v/>
      </c>
      <c r="AA8" s="149" t="str">
        <f>if(iserror(VLOOKUP($A8,'Picks by Player'!Y$3:Z$12,2,0)),"", VLOOKUP($A8,'Picks by Player'!Y$3:Z$12,2,0))</f>
        <v/>
      </c>
    </row>
    <row r="9">
      <c r="A9" t="s">
        <v>525</v>
      </c>
      <c r="B9" s="148" t="str">
        <f t="shared" si="1"/>
        <v>MWC</v>
      </c>
      <c r="C9" s="149" t="str">
        <f>if(iserror(VLOOKUP($A9,'Picks by Player'!A$3:B$12,2,0)),"", VLOOKUP($A9,'Picks by Player'!A$3:B$12,2,0))</f>
        <v>Air Force</v>
      </c>
      <c r="D9" s="148" t="str">
        <f t="shared" si="2"/>
        <v>MWC</v>
      </c>
      <c r="E9" s="149" t="str">
        <f>if(iserror(VLOOKUP($A9,'Picks by Player'!C$3:D$12,2,0)),"", VLOOKUP($A9,'Picks by Player'!C$3:D$12,2,0))</f>
        <v>Boise State</v>
      </c>
      <c r="F9" s="148" t="str">
        <f t="shared" si="3"/>
        <v>MWC</v>
      </c>
      <c r="G9" s="149" t="str">
        <f>if(iserror(VLOOKUP($A9,'Picks by Player'!E$3:F$12,2,0)),"", VLOOKUP($A9,'Picks by Player'!E$3:F$12,2,0))</f>
        <v>Colorado State</v>
      </c>
      <c r="H9" s="148" t="str">
        <f t="shared" si="4"/>
        <v>MWC</v>
      </c>
      <c r="I9" s="149" t="str">
        <f>if(iserror(VLOOKUP($A9,'Picks by Player'!G$3:H$12,2,0)),"", VLOOKUP($A9,'Picks by Player'!G$3:H$12,2,0))</f>
        <v>New Mexico</v>
      </c>
      <c r="J9" s="148" t="str">
        <f t="shared" si="5"/>
        <v>MWC</v>
      </c>
      <c r="K9" s="149" t="str">
        <f>if(iserror(VLOOKUP($A9,'Picks by Player'!I$3:J$12,2,0)),"", VLOOKUP($A9,'Picks by Player'!I$3:J$12,2,0))</f>
        <v>Utah State</v>
      </c>
      <c r="L9" s="148" t="str">
        <f t="shared" si="6"/>
        <v>MWC</v>
      </c>
      <c r="M9" s="149" t="str">
        <f>if(iserror(VLOOKUP($A9,'Picks by Player'!K$3:L$12,2,0)),"", VLOOKUP($A9,'Picks by Player'!K$3:L$12,2,0))</f>
        <v>UNLV</v>
      </c>
      <c r="N9" s="148" t="str">
        <f t="shared" si="7"/>
        <v>MWC</v>
      </c>
      <c r="O9" s="149" t="str">
        <f>if(iserror(VLOOKUP($A9,'Picks by Player'!M$3:N$12,2,0)),"", VLOOKUP($A9,'Picks by Player'!M$3:N$12,2,0))</f>
        <v>Hawaii</v>
      </c>
      <c r="P9" s="148" t="str">
        <f t="shared" si="8"/>
        <v>MWC</v>
      </c>
      <c r="Q9" s="149" t="str">
        <f>if(iserror(VLOOKUP($A9,'Picks by Player'!O$3:P$12,2,0)),"", VLOOKUP($A9,'Picks by Player'!O$3:P$12,2,0))</f>
        <v>San José State</v>
      </c>
      <c r="R9" t="str">
        <f t="shared" si="9"/>
        <v>MWC</v>
      </c>
      <c r="S9" t="str">
        <f>if(iserror(VLOOKUP($A9,'Picks by Player'!Q$3:R$12,2,0)),"", VLOOKUP($A9,'Picks by Player'!Q$3:R$12,2,0))</f>
        <v>Nevada</v>
      </c>
      <c r="T9" s="150" t="str">
        <f t="shared" si="10"/>
        <v>MWC</v>
      </c>
      <c r="U9" t="str">
        <f>if(iserror(VLOOKUP($A9,'Picks by Player'!S$3:T$12,2,0)),"", VLOOKUP($A9,'Picks by Player'!S$3:T$12,2,0))</f>
        <v>San Diego State</v>
      </c>
      <c r="V9" s="148" t="str">
        <f t="shared" si="11"/>
        <v>MWC</v>
      </c>
      <c r="W9" s="149" t="str">
        <f>if(iserror(VLOOKUP($A9,'Picks by Player'!U$3:V$12,2,0)),"", VLOOKUP($A9,'Picks by Player'!U$3:V$12,2,0))</f>
        <v>Fresno State</v>
      </c>
      <c r="X9" s="148" t="str">
        <f t="shared" si="12"/>
        <v>MWC</v>
      </c>
      <c r="Y9" s="149" t="str">
        <f>if(iserror(VLOOKUP($A9,'Picks by Player'!W$3:X$12,2,0)),"", VLOOKUP($A9,'Picks by Player'!W$3:X$12,2,0))</f>
        <v>Wyoming</v>
      </c>
      <c r="Z9" s="148" t="str">
        <f t="shared" si="13"/>
        <v/>
      </c>
      <c r="AA9" s="149" t="str">
        <f>if(iserror(VLOOKUP($A9,'Picks by Player'!Y$3:Z$12,2,0)),"", VLOOKUP($A9,'Picks by Player'!Y$3:Z$12,2,0))</f>
        <v/>
      </c>
    </row>
    <row r="10">
      <c r="A10" t="s">
        <v>680</v>
      </c>
      <c r="B10" s="148" t="str">
        <f t="shared" si="1"/>
        <v/>
      </c>
      <c r="C10" s="149" t="str">
        <f>if(iserror(VLOOKUP($A10,'Picks by Player'!A$3:B$12,2,0)),"", VLOOKUP($A10,'Picks by Player'!A$3:B$12,2,0))</f>
        <v/>
      </c>
      <c r="D10" s="148" t="str">
        <f t="shared" si="2"/>
        <v/>
      </c>
      <c r="E10" s="149" t="str">
        <f>if(iserror(VLOOKUP($A10,'Picks by Player'!C$3:D$12,2,0)),"", VLOOKUP($A10,'Picks by Player'!C$3:D$12,2,0))</f>
        <v/>
      </c>
      <c r="F10" s="148" t="str">
        <f t="shared" si="3"/>
        <v/>
      </c>
      <c r="G10" s="149" t="str">
        <f>if(iserror(VLOOKUP($A10,'Picks by Player'!E$3:F$12,2,0)),"", VLOOKUP($A10,'Picks by Player'!E$3:F$12,2,0))</f>
        <v/>
      </c>
      <c r="H10" s="148" t="str">
        <f t="shared" si="4"/>
        <v>Pac12</v>
      </c>
      <c r="I10" s="149" t="str">
        <f>if(iserror(VLOOKUP($A10,'Picks by Player'!G$3:H$12,2,0)),"", VLOOKUP($A10,'Picks by Player'!G$3:H$12,2,0))</f>
        <v>Oregon State</v>
      </c>
      <c r="J10" s="148" t="str">
        <f t="shared" si="5"/>
        <v/>
      </c>
      <c r="K10" s="149" t="str">
        <f>if(iserror(VLOOKUP($A10,'Picks by Player'!I$3:J$12,2,0)),"", VLOOKUP($A10,'Picks by Player'!I$3:J$12,2,0))</f>
        <v/>
      </c>
      <c r="L10" s="148" t="str">
        <f t="shared" si="6"/>
        <v/>
      </c>
      <c r="M10" s="149" t="str">
        <f>if(iserror(VLOOKUP($A10,'Picks by Player'!K$3:L$12,2,0)),"", VLOOKUP($A10,'Picks by Player'!K$3:L$12,2,0))</f>
        <v/>
      </c>
      <c r="N10" s="148" t="str">
        <f t="shared" si="7"/>
        <v/>
      </c>
      <c r="O10" s="149" t="str">
        <f>if(iserror(VLOOKUP($A10,'Picks by Player'!M$3:N$12,2,0)),"", VLOOKUP($A10,'Picks by Player'!M$3:N$12,2,0))</f>
        <v/>
      </c>
      <c r="P10" s="148" t="str">
        <f t="shared" si="8"/>
        <v/>
      </c>
      <c r="Q10" s="149" t="str">
        <f>if(iserror(VLOOKUP($A10,'Picks by Player'!O$3:P$12,2,0)),"", VLOOKUP($A10,'Picks by Player'!O$3:P$12,2,0))</f>
        <v/>
      </c>
      <c r="R10" t="str">
        <f t="shared" si="9"/>
        <v/>
      </c>
      <c r="S10" t="str">
        <f>if(iserror(VLOOKUP($A10,'Picks by Player'!Q$3:R$12,2,0)),"", VLOOKUP($A10,'Picks by Player'!Q$3:R$12,2,0))</f>
        <v/>
      </c>
      <c r="T10" s="150" t="str">
        <f t="shared" si="10"/>
        <v/>
      </c>
      <c r="U10" t="str">
        <f>if(iserror(VLOOKUP($A10,'Picks by Player'!S$3:T$12,2,0)),"", VLOOKUP($A10,'Picks by Player'!S$3:T$12,2,0))</f>
        <v/>
      </c>
      <c r="V10" s="148" t="str">
        <f t="shared" si="11"/>
        <v/>
      </c>
      <c r="W10" s="149" t="str">
        <f>if(iserror(VLOOKUP($A10,'Picks by Player'!U$3:V$12,2,0)),"", VLOOKUP($A10,'Picks by Player'!U$3:V$12,2,0))</f>
        <v/>
      </c>
      <c r="X10" s="148" t="str">
        <f t="shared" si="12"/>
        <v/>
      </c>
      <c r="Y10" s="149" t="str">
        <f>if(iserror(VLOOKUP($A10,'Picks by Player'!W$3:X$12,2,0)),"", VLOOKUP($A10,'Picks by Player'!W$3:X$12,2,0))</f>
        <v/>
      </c>
      <c r="Z10" s="148" t="str">
        <f t="shared" si="13"/>
        <v/>
      </c>
      <c r="AA10" s="149" t="str">
        <f>if(iserror(VLOOKUP($A10,'Picks by Player'!Y$3:Z$12,2,0)),"", VLOOKUP($A10,'Picks by Player'!Y$3:Z$12,2,0))</f>
        <v/>
      </c>
    </row>
    <row r="11">
      <c r="A11" t="s">
        <v>556</v>
      </c>
      <c r="B11" s="148" t="str">
        <f t="shared" si="1"/>
        <v>SEC</v>
      </c>
      <c r="C11" s="149" t="str">
        <f>if(iserror(VLOOKUP($A11,'Picks by Player'!A$3:B$12,2,0)),"", VLOOKUP($A11,'Picks by Player'!A$3:B$12,2,0))</f>
        <v>Auburn</v>
      </c>
      <c r="D11" s="148" t="str">
        <f t="shared" si="2"/>
        <v>SEC</v>
      </c>
      <c r="E11" s="149" t="str">
        <f>if(iserror(VLOOKUP($A11,'Picks by Player'!C$3:D$12,2,0)),"", VLOOKUP($A11,'Picks by Player'!C$3:D$12,2,0))</f>
        <v>Oklahoma</v>
      </c>
      <c r="F11" s="148" t="str">
        <f t="shared" si="3"/>
        <v>SEC</v>
      </c>
      <c r="G11" s="149" t="str">
        <f>if(iserror(VLOOKUP($A11,'Picks by Player'!E$3:F$12,2,0)),"", VLOOKUP($A11,'Picks by Player'!E$3:F$12,2,0))</f>
        <v>Alabama</v>
      </c>
      <c r="H11" s="148" t="str">
        <f t="shared" si="4"/>
        <v>SEC</v>
      </c>
      <c r="I11" s="149" t="str">
        <f>if(iserror(VLOOKUP($A11,'Picks by Player'!G$3:H$12,2,0)),"", VLOOKUP($A11,'Picks by Player'!G$3:H$12,2,0))</f>
        <v>Tennessee</v>
      </c>
      <c r="J11" s="148" t="str">
        <f t="shared" si="5"/>
        <v>SEC</v>
      </c>
      <c r="K11" s="149" t="str">
        <f>if(iserror(VLOOKUP($A11,'Picks by Player'!I$3:J$12,2,0)),"", VLOOKUP($A11,'Picks by Player'!I$3:J$12,2,0))</f>
        <v>LSU</v>
      </c>
      <c r="L11" s="148" t="str">
        <f t="shared" si="6"/>
        <v>SEC</v>
      </c>
      <c r="M11" s="149" t="str">
        <f>if(iserror(VLOOKUP($A11,'Picks by Player'!K$3:L$12,2,0)),"", VLOOKUP($A11,'Picks by Player'!K$3:L$12,2,0))</f>
        <v>Florida</v>
      </c>
      <c r="N11" s="148" t="str">
        <f t="shared" si="7"/>
        <v>SEC</v>
      </c>
      <c r="O11" s="149" t="str">
        <f>if(iserror(VLOOKUP($A11,'Picks by Player'!M$3:N$12,2,0)),"", VLOOKUP($A11,'Picks by Player'!M$3:N$12,2,0))</f>
        <v>Georgia</v>
      </c>
      <c r="P11" s="148" t="str">
        <f t="shared" si="8"/>
        <v>SEC</v>
      </c>
      <c r="Q11" s="149" t="str">
        <f>if(iserror(VLOOKUP($A11,'Picks by Player'!O$3:P$12,2,0)),"", VLOOKUP($A11,'Picks by Player'!O$3:P$12,2,0))</f>
        <v>Texas A&amp;M</v>
      </c>
      <c r="R11" t="str">
        <f t="shared" si="9"/>
        <v>SEC</v>
      </c>
      <c r="S11" t="str">
        <f>if(iserror(VLOOKUP($A11,'Picks by Player'!Q$3:R$12,2,0)),"", VLOOKUP($A11,'Picks by Player'!Q$3:R$12,2,0))</f>
        <v>Missouri</v>
      </c>
      <c r="T11" s="150" t="str">
        <f t="shared" si="10"/>
        <v>SEC</v>
      </c>
      <c r="U11" t="str">
        <f>if(iserror(VLOOKUP($A11,'Picks by Player'!S$3:T$12,2,0)),"", VLOOKUP($A11,'Picks by Player'!S$3:T$12,2,0))</f>
        <v>Ole Miss</v>
      </c>
      <c r="V11" s="148" t="str">
        <f t="shared" si="11"/>
        <v>SEC</v>
      </c>
      <c r="W11" s="149" t="str">
        <f>if(iserror(VLOOKUP($A11,'Picks by Player'!U$3:V$12,2,0)),"", VLOOKUP($A11,'Picks by Player'!U$3:V$12,2,0))</f>
        <v>Vanderbilt</v>
      </c>
      <c r="X11" s="148" t="str">
        <f t="shared" si="12"/>
        <v>SEC</v>
      </c>
      <c r="Y11" s="149" t="str">
        <f>if(iserror(VLOOKUP($A11,'Picks by Player'!W$3:X$12,2,0)),"", VLOOKUP($A11,'Picks by Player'!W$3:X$12,2,0))</f>
        <v>Texas</v>
      </c>
      <c r="Z11" s="148" t="str">
        <f t="shared" si="13"/>
        <v/>
      </c>
      <c r="AA11" s="149" t="str">
        <f>if(iserror(VLOOKUP($A11,'Picks by Player'!Y$3:Z$12,2,0)),"", VLOOKUP($A11,'Picks by Player'!Y$3:Z$12,2,0))</f>
        <v/>
      </c>
    </row>
    <row r="12">
      <c r="A12" t="s">
        <v>441</v>
      </c>
      <c r="B12" s="165" t="str">
        <f t="shared" si="1"/>
        <v>Sun Belt</v>
      </c>
      <c r="C12" s="166" t="str">
        <f>if(iserror(VLOOKUP($A12,'Picks by Player'!A$3:B$12,2,0)),"", VLOOKUP($A12,'Picks by Player'!A$3:B$12,2,0))</f>
        <v>Appalachian State</v>
      </c>
      <c r="D12" s="165" t="str">
        <f t="shared" si="2"/>
        <v>Sun Belt</v>
      </c>
      <c r="E12" s="166" t="str">
        <f>if(iserror(VLOOKUP($A12,'Picks by Player'!C$3:D$12,2,0)),"", VLOOKUP($A12,'Picks by Player'!C$3:D$12,2,0))</f>
        <v>Texas State</v>
      </c>
      <c r="F12" s="165" t="str">
        <f t="shared" si="3"/>
        <v>Sun Belt</v>
      </c>
      <c r="G12" s="166" t="str">
        <f>if(iserror(VLOOKUP($A12,'Picks by Player'!E$3:F$12,2,0)),"", VLOOKUP($A12,'Picks by Player'!E$3:F$12,2,0))</f>
        <v>Old Dominion</v>
      </c>
      <c r="H12" s="165" t="str">
        <f t="shared" si="4"/>
        <v>Sun Belt</v>
      </c>
      <c r="I12" s="166" t="str">
        <f>if(iserror(VLOOKUP($A12,'Picks by Player'!G$3:H$12,2,0)),"", VLOOKUP($A12,'Picks by Player'!G$3:H$12,2,0))</f>
        <v>UL Lafayette</v>
      </c>
      <c r="J12" s="165" t="str">
        <f t="shared" si="5"/>
        <v>Sun Belt</v>
      </c>
      <c r="K12" s="166" t="str">
        <f>if(iserror(VLOOKUP($A12,'Picks by Player'!I$3:J$12,2,0)),"", VLOOKUP($A12,'Picks by Player'!I$3:J$12,2,0))</f>
        <v>Marshall</v>
      </c>
      <c r="L12" s="165" t="str">
        <f t="shared" si="6"/>
        <v>Sun Belt</v>
      </c>
      <c r="M12" s="166" t="str">
        <f>if(iserror(VLOOKUP($A12,'Picks by Player'!K$3:L$12,2,0)),"", VLOOKUP($A12,'Picks by Player'!K$3:L$12,2,0))</f>
        <v>Georgia Southern</v>
      </c>
      <c r="N12" s="165" t="str">
        <f t="shared" si="7"/>
        <v>Sun Belt</v>
      </c>
      <c r="O12" s="166" t="str">
        <f>if(iserror(VLOOKUP($A12,'Picks by Player'!M$3:N$12,2,0)),"", VLOOKUP($A12,'Picks by Player'!M$3:N$12,2,0))</f>
        <v>Troy</v>
      </c>
      <c r="P12" s="165" t="str">
        <f t="shared" si="8"/>
        <v>Sun Belt</v>
      </c>
      <c r="Q12" s="166" t="str">
        <f>if(iserror(VLOOKUP($A12,'Picks by Player'!O$3:P$12,2,0)),"", VLOOKUP($A12,'Picks by Player'!O$3:P$12,2,0))</f>
        <v>South Alabama</v>
      </c>
      <c r="R12" s="167" t="str">
        <f t="shared" si="9"/>
        <v>Sun Belt</v>
      </c>
      <c r="S12" s="167" t="str">
        <f>if(iserror(VLOOKUP($A12,'Picks by Player'!Q$3:R$12,2,0)),"", VLOOKUP($A12,'Picks by Player'!Q$3:R$12,2,0))</f>
        <v>Coastal Carolina</v>
      </c>
      <c r="T12" s="168" t="str">
        <f t="shared" si="10"/>
        <v>Sun Belt</v>
      </c>
      <c r="U12" s="167" t="str">
        <f>if(iserror(VLOOKUP($A12,'Picks by Player'!S$3:T$12,2,0)),"", VLOOKUP($A12,'Picks by Player'!S$3:T$12,2,0))</f>
        <v>Georgia State</v>
      </c>
      <c r="V12" s="165" t="str">
        <f t="shared" si="11"/>
        <v>Sun Belt</v>
      </c>
      <c r="W12" s="166" t="str">
        <f>if(iserror(VLOOKUP($A12,'Picks by Player'!U$3:V$12,2,0)),"", VLOOKUP($A12,'Picks by Player'!U$3:V$12,2,0))</f>
        <v>James Madison</v>
      </c>
      <c r="X12" s="165" t="str">
        <f t="shared" si="12"/>
        <v>Sun Belt</v>
      </c>
      <c r="Y12" s="166" t="str">
        <f>if(iserror(VLOOKUP($A12,'Picks by Player'!W$3:X$12,2,0)),"", VLOOKUP($A12,'Picks by Player'!W$3:X$12,2,0))</f>
        <v>Arkansas State</v>
      </c>
      <c r="Z12" s="165" t="str">
        <f t="shared" si="13"/>
        <v/>
      </c>
      <c r="AA12" s="166" t="str">
        <f>if(iserror(VLOOKUP($A12,'Picks by Player'!Y$3:Z$12,2,0)),"", VLOOKUP($A12,'Picks by Player'!Y$3:Z$12,2,0))</f>
        <v/>
      </c>
    </row>
  </sheetData>
  <mergeCells count="13">
    <mergeCell ref="P1:Q1"/>
    <mergeCell ref="R1:S1"/>
    <mergeCell ref="T1:U1"/>
    <mergeCell ref="V1:W1"/>
    <mergeCell ref="X1:Y1"/>
    <mergeCell ref="Z1:AA1"/>
    <mergeCell ref="B1:C1"/>
    <mergeCell ref="D1:E1"/>
    <mergeCell ref="F1:G1"/>
    <mergeCell ref="H1:I1"/>
    <mergeCell ref="J1:K1"/>
    <mergeCell ref="L1:M1"/>
    <mergeCell ref="N1:O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hidden="1" min="1" max="10" width="12.88"/>
    <col customWidth="1" min="11" max="11" width="11.0"/>
    <col customWidth="1" min="12" max="12" width="12.25"/>
    <col customWidth="1" min="13" max="13" width="13.0"/>
    <col customWidth="1" min="14" max="14" width="12.0"/>
    <col customWidth="1" min="15" max="15" width="16.25"/>
    <col customWidth="1" min="16" max="16" width="14.25"/>
    <col customWidth="1" min="17" max="17" width="14.38"/>
    <col customWidth="1" min="18" max="18" width="14.13"/>
    <col customWidth="1" min="19" max="19" width="13.38"/>
    <col customWidth="1" min="20" max="20" width="14.5"/>
    <col hidden="1" min="21" max="44" width="12.63"/>
  </cols>
  <sheetData>
    <row r="1">
      <c r="A1" s="153"/>
      <c r="B1" s="153"/>
      <c r="C1" s="153"/>
      <c r="D1" s="153"/>
      <c r="E1" s="153"/>
      <c r="F1" s="153"/>
      <c r="G1" s="153"/>
      <c r="H1" s="153"/>
      <c r="I1" s="153"/>
      <c r="J1" s="153"/>
      <c r="K1" s="153" t="str">
        <f t="array" ref="K1:T15">U1:AD15</f>
        <v>#REF!</v>
      </c>
      <c r="L1" s="153"/>
      <c r="M1" s="153"/>
      <c r="N1" s="153"/>
      <c r="O1" s="153"/>
      <c r="P1" s="153"/>
      <c r="Q1" s="153"/>
      <c r="R1" s="153"/>
      <c r="S1" s="153"/>
      <c r="T1" s="153"/>
      <c r="U1" s="153" t="str">
        <f>IFERROR(__xludf.DUMMYFUNCTION("let(picker,offset(DraftTracker!D1,counta(DraftTracker!F2:F15)+1,0),filter(AH:AP,AG:AG=picker))"),"#REF!")</f>
        <v>#REF!</v>
      </c>
      <c r="V1" s="153"/>
      <c r="W1" s="153"/>
      <c r="X1" s="153"/>
      <c r="Y1" s="153"/>
      <c r="Z1" s="153"/>
      <c r="AA1" s="153"/>
      <c r="AB1" s="153"/>
      <c r="AC1" s="153"/>
      <c r="AD1" s="153"/>
      <c r="AE1" s="156" t="s">
        <v>857</v>
      </c>
      <c r="AF1" s="153"/>
      <c r="AG1" s="157" t="s">
        <v>238</v>
      </c>
      <c r="AH1" s="158" t="str">
        <f>IFERROR(__xludf.DUMMYFUNCTION("transpose(sort(UNIQUE({offset('Conferences Needed'!$A$1,1,match($AG1,'Conferences Needed'!$1:$1,0)-1,9,1);if(not(iserror(match($AG1,$AE:$AE,0))),"""",filter('Conf WC Eligibility'!$A$2:$A15,'Conf WC Eligibility'!$B$2:$B15&gt;0))}),1,0))"),",")</f>
        <v>,</v>
      </c>
      <c r="AI1" s="159" t="str">
        <f>IFERROR(__xludf.DUMMYFUNCTION("""COMPUTED_VALUE"""),"")</f>
        <v/>
      </c>
      <c r="AJ1" s="159"/>
      <c r="AK1" s="159"/>
      <c r="AL1" s="159"/>
      <c r="AM1" s="159"/>
      <c r="AN1" s="159"/>
      <c r="AO1" s="159"/>
      <c r="AP1" s="153"/>
      <c r="AQ1" s="153"/>
      <c r="AR1" s="153"/>
    </row>
    <row r="2">
      <c r="A2" s="160" t="str">
        <f>iferror(VLOOKUP(K2,'Teams-Conference'!$A:$B,2,0),"")</f>
        <v/>
      </c>
      <c r="B2" s="160" t="str">
        <f>iferror(VLOOKUP(L2,'Teams-Conference'!$A:$B,2,0),"")</f>
        <v/>
      </c>
      <c r="C2" s="160" t="str">
        <f>iferror(VLOOKUP(M2,'Teams-Conference'!$A:$B,2,0),"")</f>
        <v/>
      </c>
      <c r="D2" s="160" t="str">
        <f>iferror(VLOOKUP(N2,'Teams-Conference'!$A:$B,2,0),"")</f>
        <v/>
      </c>
      <c r="E2" s="160" t="str">
        <f>iferror(VLOOKUP(O2,'Teams-Conference'!$A:$B,2,0),"")</f>
        <v/>
      </c>
      <c r="F2" s="160" t="str">
        <f>iferror(VLOOKUP(P2,'Teams-Conference'!$A:$B,2,0),"")</f>
        <v/>
      </c>
      <c r="G2" s="160" t="str">
        <f>iferror(VLOOKUP(Q2,'Teams-Conference'!$A:$B,2,0),"")</f>
        <v/>
      </c>
      <c r="H2" s="160" t="str">
        <f>iferror(VLOOKUP(R2,'Teams-Conference'!$A:$B,2,0),"")</f>
        <v/>
      </c>
      <c r="I2" s="160" t="str">
        <f>iferror(VLOOKUP(S2,'Teams-Conference'!$A:$B,2,0),"")</f>
        <v/>
      </c>
      <c r="J2" s="160" t="str">
        <f>iferror(VLOOKUP(T2,'Teams-Conference'!$A:$B,2,0),"")</f>
        <v/>
      </c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 t="str">
        <f>iferror(offset('ALL Teams Available'!$A1,1,match(U1,'ALL Teams Available'!1:1,0)-1,14,1),"")</f>
        <v/>
      </c>
      <c r="V2" s="160" t="str">
        <f>iferror(offset('ALL Teams Available'!$A1,1,match(V1,'ALL Teams Available'!1:1,0)-1,14,1),"")</f>
        <v/>
      </c>
      <c r="W2" s="160" t="str">
        <f>iferror(offset('ALL Teams Available'!$A1,1,match(W1,'ALL Teams Available'!1:1,0)-1,14,1),"")</f>
        <v/>
      </c>
      <c r="X2" s="160" t="str">
        <f>iferror(offset('ALL Teams Available'!$A1,1,match(X1,'ALL Teams Available'!1:1,0)-1,14,1),"")</f>
        <v/>
      </c>
      <c r="Y2" s="160" t="str">
        <f>iferror(offset('ALL Teams Available'!$A1,1,match(Y1,'ALL Teams Available'!1:1,0)-1,14,1),"")</f>
        <v/>
      </c>
      <c r="Z2" s="160" t="str">
        <f>iferror(offset('ALL Teams Available'!$A1,1,match(Z1,'ALL Teams Available'!1:1,0)-1,14,1),"")</f>
        <v/>
      </c>
      <c r="AA2" s="160" t="str">
        <f>iferror(offset('ALL Teams Available'!$A1,1,match(AA1,'ALL Teams Available'!1:1,0)-1,14,1),"")</f>
        <v/>
      </c>
      <c r="AB2" s="160" t="str">
        <f>iferror(offset('ALL Teams Available'!$A1,1,match(AB1,'ALL Teams Available'!1:1,0)-1,14,1),"")</f>
        <v/>
      </c>
      <c r="AC2" s="160" t="str">
        <f>iferror(offset('ALL Teams Available'!$A1,1,match(AC1,'ALL Teams Available'!1:1,0)-1,14,1),"")</f>
        <v/>
      </c>
      <c r="AD2" s="160" t="str">
        <f>iferror(offset('ALL Teams Available'!$A1,1,match(AD1,'ALL Teams Available'!1:1,0)-1,14,1),"")</f>
        <v/>
      </c>
      <c r="AE2" s="161" t="str">
        <f>IFERROR(__xludf.DUMMYFUNCTION("iferror(filter(DraftTracker!D:D,DraftTracker!G:G=""This is your wild card pick""))"),"Josh")</f>
        <v>Josh</v>
      </c>
      <c r="AF2" s="160"/>
      <c r="AG2" s="162" t="s">
        <v>43</v>
      </c>
      <c r="AH2" s="158" t="str">
        <f>IFERROR(__xludf.DUMMYFUNCTION("transpose(sort(UNIQUE({offset('Conferences Needed'!$A$1,1,match($AG2,'Conferences Needed'!$1:$1,0)-1,9,1);if(not(iserror(match($AG2,$AE:$AE,0))),"""",filter('Conf WC Eligibility'!$A$2:$A15,'Conf WC Eligibility'!$B$2:$B15&gt;0))}),1,0))"),",")</f>
        <v>,</v>
      </c>
      <c r="AI2" t="str">
        <f>IFERROR(__xludf.DUMMYFUNCTION("""COMPUTED_VALUE"""),"")</f>
        <v/>
      </c>
    </row>
    <row r="3">
      <c r="A3" s="160" t="str">
        <f>iferror(VLOOKUP(K3,'Teams-Conference'!$A:$B,2,0),"")</f>
        <v/>
      </c>
      <c r="B3" s="160" t="str">
        <f>iferror(VLOOKUP(L3,'Teams-Conference'!$A:$B,2,0),"")</f>
        <v/>
      </c>
      <c r="C3" s="160" t="str">
        <f>iferror(VLOOKUP(M3,'Teams-Conference'!$A:$B,2,0),"")</f>
        <v/>
      </c>
      <c r="D3" s="160" t="str">
        <f>iferror(VLOOKUP(N3,'Teams-Conference'!$A:$B,2,0),"")</f>
        <v/>
      </c>
      <c r="E3" s="160" t="str">
        <f>iferror(VLOOKUP(O3,'Teams-Conference'!$A:$B,2,0),"")</f>
        <v/>
      </c>
      <c r="F3" s="160" t="str">
        <f>iferror(VLOOKUP(P3,'Teams-Conference'!$A:$B,2,0),"")</f>
        <v/>
      </c>
      <c r="G3" s="160" t="str">
        <f>iferror(VLOOKUP(Q3,'Teams-Conference'!$A:$B,2,0),"")</f>
        <v/>
      </c>
      <c r="H3" s="160" t="str">
        <f>iferror(VLOOKUP(R3,'Teams-Conference'!$A:$B,2,0),"")</f>
        <v/>
      </c>
      <c r="I3" s="160" t="str">
        <f>iferror(VLOOKUP(S3,'Teams-Conference'!$A:$B,2,0),"")</f>
        <v/>
      </c>
      <c r="J3" s="160" t="str">
        <f>iferror(VLOOKUP(T3,'Teams-Conference'!$A:$B,2,0),"")</f>
        <v/>
      </c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3" t="str">
        <f>IFERROR(__xludf.DUMMYFUNCTION("""COMPUTED_VALUE"""),"Jeannine")</f>
        <v>Jeannine</v>
      </c>
      <c r="AF3" s="158"/>
      <c r="AG3" s="164" t="s">
        <v>858</v>
      </c>
      <c r="AH3" s="158" t="str">
        <f>IFERROR(__xludf.DUMMYFUNCTION("transpose(sort(UNIQUE({offset('Conferences Needed'!$A$1,1,match($AG3,'Conferences Needed'!$1:$1,0)-1,9,1);if(not(iserror(match($AG3,$AE:$AE,0))),"""",filter('Conf WC Eligibility'!$A$2:$A15,'Conf WC Eligibility'!$B$2:$B15&gt;0))}),1,0))"),"#N/A")</f>
        <v>#N/A</v>
      </c>
      <c r="AI3" t="str">
        <f>IFERROR(__xludf.DUMMYFUNCTION("""COMPUTED_VALUE"""),"Sun Belt")</f>
        <v>Sun Belt</v>
      </c>
      <c r="AJ3" t="str">
        <f>IFERROR(__xludf.DUMMYFUNCTION("""COMPUTED_VALUE"""),"SEC")</f>
        <v>SEC</v>
      </c>
      <c r="AK3" t="str">
        <f>IFERROR(__xludf.DUMMYFUNCTION("""COMPUTED_VALUE"""),"MAC")</f>
        <v>MAC</v>
      </c>
      <c r="AL3" t="str">
        <f>IFERROR(__xludf.DUMMYFUNCTION("""COMPUTED_VALUE"""),"Big Ten")</f>
        <v>Big Ten</v>
      </c>
      <c r="AM3" t="str">
        <f>IFERROR(__xludf.DUMMYFUNCTION("""COMPUTED_VALUE"""),"Big 12")</f>
        <v>Big 12</v>
      </c>
      <c r="AN3" t="str">
        <f>IFERROR(__xludf.DUMMYFUNCTION("""COMPUTED_VALUE"""),"ACC")</f>
        <v>ACC</v>
      </c>
      <c r="AO3" t="str">
        <f>IFERROR(__xludf.DUMMYFUNCTION("""COMPUTED_VALUE"""),"AAC")</f>
        <v>AAC</v>
      </c>
    </row>
    <row r="4">
      <c r="A4" s="160" t="str">
        <f>iferror(VLOOKUP(K4,'Teams-Conference'!$A:$B,2,0),"")</f>
        <v/>
      </c>
      <c r="B4" s="160" t="str">
        <f>iferror(VLOOKUP(L4,'Teams-Conference'!$A:$B,2,0),"")</f>
        <v/>
      </c>
      <c r="C4" s="160" t="str">
        <f>iferror(VLOOKUP(M4,'Teams-Conference'!$A:$B,2,0),"")</f>
        <v/>
      </c>
      <c r="D4" s="160" t="str">
        <f>iferror(VLOOKUP(N4,'Teams-Conference'!$A:$B,2,0),"")</f>
        <v/>
      </c>
      <c r="E4" s="160" t="str">
        <f>iferror(VLOOKUP(O4,'Teams-Conference'!$A:$B,2,0),"")</f>
        <v/>
      </c>
      <c r="F4" s="160" t="str">
        <f>iferror(VLOOKUP(P4,'Teams-Conference'!$A:$B,2,0),"")</f>
        <v/>
      </c>
      <c r="G4" s="160" t="str">
        <f>iferror(VLOOKUP(Q4,'Teams-Conference'!$A:$B,2,0),"")</f>
        <v/>
      </c>
      <c r="H4" s="160" t="str">
        <f>iferror(VLOOKUP(R4,'Teams-Conference'!$A:$B,2,0),"")</f>
        <v/>
      </c>
      <c r="I4" s="160" t="str">
        <f>iferror(VLOOKUP(S4,'Teams-Conference'!$A:$B,2,0),"")</f>
        <v/>
      </c>
      <c r="J4" s="160" t="str">
        <f>iferror(VLOOKUP(T4,'Teams-Conference'!$A:$B,2,0),"")</f>
        <v/>
      </c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3" t="str">
        <f>IFERROR(__xludf.DUMMYFUNCTION("""COMPUTED_VALUE"""),"Nick G.")</f>
        <v>Nick G.</v>
      </c>
      <c r="AF4" s="158"/>
      <c r="AG4" s="164" t="s">
        <v>395</v>
      </c>
      <c r="AH4" s="158" t="str">
        <f>IFERROR(__xludf.DUMMYFUNCTION("transpose(sort(UNIQUE({offset('Conferences Needed'!$A$1,1,match($AG4,'Conferences Needed'!$1:$1,0)-1,9,1);if(not(iserror(match($AG4,$AE:$AE,0))),"""",filter('Conf WC Eligibility'!$A$2:$A15,'Conf WC Eligibility'!$B$2:$B15&gt;0))}),1,0))"),",")</f>
        <v>,</v>
      </c>
      <c r="AI4" t="str">
        <f>IFERROR(__xludf.DUMMYFUNCTION("""COMPUTED_VALUE"""),"")</f>
        <v/>
      </c>
    </row>
    <row r="5">
      <c r="A5" s="160" t="str">
        <f>iferror(VLOOKUP(K5,'Teams-Conference'!$A:$B,2,0),"")</f>
        <v/>
      </c>
      <c r="B5" s="160" t="str">
        <f>iferror(VLOOKUP(L5,'Teams-Conference'!$A:$B,2,0),"")</f>
        <v/>
      </c>
      <c r="C5" s="160" t="str">
        <f>iferror(VLOOKUP(M5,'Teams-Conference'!$A:$B,2,0),"")</f>
        <v/>
      </c>
      <c r="D5" s="160" t="str">
        <f>iferror(VLOOKUP(N5,'Teams-Conference'!$A:$B,2,0),"")</f>
        <v/>
      </c>
      <c r="E5" s="160" t="str">
        <f>iferror(VLOOKUP(O5,'Teams-Conference'!$A:$B,2,0),"")</f>
        <v/>
      </c>
      <c r="F5" s="160" t="str">
        <f>iferror(VLOOKUP(P5,'Teams-Conference'!$A:$B,2,0),"")</f>
        <v/>
      </c>
      <c r="G5" s="160" t="str">
        <f>iferror(VLOOKUP(Q5,'Teams-Conference'!$A:$B,2,0),"")</f>
        <v/>
      </c>
      <c r="H5" s="160" t="str">
        <f>iferror(VLOOKUP(R5,'Teams-Conference'!$A:$B,2,0),"")</f>
        <v/>
      </c>
      <c r="I5" s="160" t="str">
        <f>iferror(VLOOKUP(S5,'Teams-Conference'!$A:$B,2,0),"")</f>
        <v/>
      </c>
      <c r="J5" s="160" t="str">
        <f>iferror(VLOOKUP(T5,'Teams-Conference'!$A:$B,2,0),"")</f>
        <v/>
      </c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3" t="str">
        <f>IFERROR(__xludf.DUMMYFUNCTION("""COMPUTED_VALUE"""),"Nico")</f>
        <v>Nico</v>
      </c>
      <c r="AF5" s="158"/>
      <c r="AG5" s="164" t="s">
        <v>193</v>
      </c>
      <c r="AH5" s="158" t="str">
        <f>IFERROR(__xludf.DUMMYFUNCTION("transpose(sort(UNIQUE({offset('Conferences Needed'!$A$1,1,match($AG5,'Conferences Needed'!$1:$1,0)-1,9,1);if(not(iserror(match($AG5,$AE:$AE,0))),"""",filter('Conf WC Eligibility'!$A$2:$A15,'Conf WC Eligibility'!$B$2:$B15&gt;0))}),1,0))"),",")</f>
        <v>,</v>
      </c>
      <c r="AI5" t="str">
        <f>IFERROR(__xludf.DUMMYFUNCTION("""COMPUTED_VALUE"""),"")</f>
        <v/>
      </c>
    </row>
    <row r="6">
      <c r="A6" s="160" t="str">
        <f>iferror(VLOOKUP(K6,'Teams-Conference'!$A:$B,2,0),"")</f>
        <v/>
      </c>
      <c r="B6" s="160" t="str">
        <f>iferror(VLOOKUP(L6,'Teams-Conference'!$A:$B,2,0),"")</f>
        <v/>
      </c>
      <c r="C6" s="160" t="str">
        <f>iferror(VLOOKUP(M6,'Teams-Conference'!$A:$B,2,0),"")</f>
        <v/>
      </c>
      <c r="D6" s="160" t="str">
        <f>iferror(VLOOKUP(N6,'Teams-Conference'!$A:$B,2,0),"")</f>
        <v/>
      </c>
      <c r="E6" s="160" t="str">
        <f>iferror(VLOOKUP(O6,'Teams-Conference'!$A:$B,2,0),"")</f>
        <v/>
      </c>
      <c r="F6" s="160" t="str">
        <f>iferror(VLOOKUP(P6,'Teams-Conference'!$A:$B,2,0),"")</f>
        <v/>
      </c>
      <c r="G6" s="160" t="str">
        <f>iferror(VLOOKUP(Q6,'Teams-Conference'!$A:$B,2,0),"")</f>
        <v/>
      </c>
      <c r="H6" s="160" t="str">
        <f>iferror(VLOOKUP(R6,'Teams-Conference'!$A:$B,2,0),"")</f>
        <v/>
      </c>
      <c r="I6" s="160" t="str">
        <f>iferror(VLOOKUP(S6,'Teams-Conference'!$A:$B,2,0),"")</f>
        <v/>
      </c>
      <c r="J6" s="160" t="str">
        <f>iferror(VLOOKUP(T6,'Teams-Conference'!$A:$B,2,0),"")</f>
        <v/>
      </c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3" t="str">
        <f>IFERROR(__xludf.DUMMYFUNCTION("""COMPUTED_VALUE"""),"Gary")</f>
        <v>Gary</v>
      </c>
      <c r="AF6" s="158"/>
      <c r="AG6" s="164" t="s">
        <v>62</v>
      </c>
      <c r="AH6" s="158" t="str">
        <f>IFERROR(__xludf.DUMMYFUNCTION("transpose(sort(UNIQUE({offset('Conferences Needed'!$A$1,1,match($AG6,'Conferences Needed'!$1:$1,0)-1,9,1);if(not(iserror(match($AG6,$AE:$AE,0))),"""",filter('Conf WC Eligibility'!$A$2:$A15,'Conf WC Eligibility'!$B$2:$B15&gt;0))}),1,0))"),",")</f>
        <v>,</v>
      </c>
      <c r="AI6" t="str">
        <f>IFERROR(__xludf.DUMMYFUNCTION("""COMPUTED_VALUE"""),"")</f>
        <v/>
      </c>
    </row>
    <row r="7">
      <c r="A7" s="160" t="str">
        <f>iferror(VLOOKUP(K7,'Teams-Conference'!$A:$B,2,0),"")</f>
        <v/>
      </c>
      <c r="B7" s="160" t="str">
        <f>iferror(VLOOKUP(L7,'Teams-Conference'!$A:$B,2,0),"")</f>
        <v/>
      </c>
      <c r="C7" s="160" t="str">
        <f>iferror(VLOOKUP(M7,'Teams-Conference'!$A:$B,2,0),"")</f>
        <v/>
      </c>
      <c r="D7" s="160" t="str">
        <f>iferror(VLOOKUP(N7,'Teams-Conference'!$A:$B,2,0),"")</f>
        <v/>
      </c>
      <c r="E7" s="160" t="str">
        <f>iferror(VLOOKUP(O7,'Teams-Conference'!$A:$B,2,0),"")</f>
        <v/>
      </c>
      <c r="F7" s="160" t="str">
        <f>iferror(VLOOKUP(P7,'Teams-Conference'!$A:$B,2,0),"")</f>
        <v/>
      </c>
      <c r="G7" s="160" t="str">
        <f>iferror(VLOOKUP(Q7,'Teams-Conference'!$A:$B,2,0),"")</f>
        <v/>
      </c>
      <c r="H7" s="160" t="str">
        <f>iferror(VLOOKUP(R7,'Teams-Conference'!$A:$B,2,0),"")</f>
        <v/>
      </c>
      <c r="I7" s="160" t="str">
        <f>iferror(VLOOKUP(S7,'Teams-Conference'!$A:$B,2,0),"")</f>
        <v/>
      </c>
      <c r="J7" s="160" t="str">
        <f>iferror(VLOOKUP(T7,'Teams-Conference'!$A:$B,2,0),"")</f>
        <v/>
      </c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3" t="str">
        <f>IFERROR(__xludf.DUMMYFUNCTION("""COMPUTED_VALUE"""),"Masa")</f>
        <v>Masa</v>
      </c>
      <c r="AF7" s="158"/>
      <c r="AG7" s="164" t="s">
        <v>96</v>
      </c>
      <c r="AH7" s="158" t="str">
        <f>IFERROR(__xludf.DUMMYFUNCTION("transpose(sort(UNIQUE({offset('Conferences Needed'!$A$1,1,match($AG7,'Conferences Needed'!$1:$1,0)-1,9,1);if(not(iserror(match($AG7,$AE:$AE,0))),"""",filter('Conf WC Eligibility'!$A$2:$A15,'Conf WC Eligibility'!$B$2:$B15&gt;0))}),1,0))"),",")</f>
        <v>,</v>
      </c>
      <c r="AI7" t="str">
        <f>IFERROR(__xludf.DUMMYFUNCTION("""COMPUTED_VALUE"""),"")</f>
        <v/>
      </c>
    </row>
    <row r="8">
      <c r="A8" s="160" t="str">
        <f>iferror(VLOOKUP(K8,'Teams-Conference'!$A:$B,2,0),"")</f>
        <v/>
      </c>
      <c r="B8" s="160" t="str">
        <f>iferror(VLOOKUP(L8,'Teams-Conference'!$A:$B,2,0),"")</f>
        <v/>
      </c>
      <c r="C8" s="160" t="str">
        <f>iferror(VLOOKUP(M8,'Teams-Conference'!$A:$B,2,0),"")</f>
        <v/>
      </c>
      <c r="D8" s="160" t="str">
        <f>iferror(VLOOKUP(N8,'Teams-Conference'!$A:$B,2,0),"")</f>
        <v/>
      </c>
      <c r="E8" s="160" t="str">
        <f>iferror(VLOOKUP(O8,'Teams-Conference'!$A:$B,2,0),"")</f>
        <v/>
      </c>
      <c r="F8" s="160" t="str">
        <f>iferror(VLOOKUP(P8,'Teams-Conference'!$A:$B,2,0),"")</f>
        <v/>
      </c>
      <c r="G8" s="160" t="str">
        <f>iferror(VLOOKUP(Q8,'Teams-Conference'!$A:$B,2,0),"")</f>
        <v/>
      </c>
      <c r="H8" s="160" t="str">
        <f>iferror(VLOOKUP(R8,'Teams-Conference'!$A:$B,2,0),"")</f>
        <v/>
      </c>
      <c r="I8" s="160" t="str">
        <f>iferror(VLOOKUP(S8,'Teams-Conference'!$A:$B,2,0),"")</f>
        <v/>
      </c>
      <c r="J8" s="160" t="str">
        <f>iferror(VLOOKUP(T8,'Teams-Conference'!$A:$B,2,0),"")</f>
        <v/>
      </c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3" t="str">
        <f>IFERROR(__xludf.DUMMYFUNCTION("""COMPUTED_VALUE"""),"Dan")</f>
        <v>Dan</v>
      </c>
      <c r="AF8" s="158"/>
      <c r="AG8" s="164" t="s">
        <v>95</v>
      </c>
      <c r="AH8" s="158" t="str">
        <f>IFERROR(__xludf.DUMMYFUNCTION("transpose(sort(UNIQUE({offset('Conferences Needed'!$A$1,1,match($AG8,'Conferences Needed'!$1:$1,0)-1,9,1);if(not(iserror(match($AG8,$AE:$AE,0))),"""",filter('Conf WC Eligibility'!$A$2:$A15,'Conf WC Eligibility'!$B$2:$B15&gt;0))}),1,0))"),",")</f>
        <v>,</v>
      </c>
      <c r="AI8" t="str">
        <f>IFERROR(__xludf.DUMMYFUNCTION("""COMPUTED_VALUE"""),"")</f>
        <v/>
      </c>
    </row>
    <row r="9">
      <c r="A9" s="160" t="str">
        <f>iferror(VLOOKUP(K9,'Teams-Conference'!$A:$B,2,0),"")</f>
        <v/>
      </c>
      <c r="B9" s="160" t="str">
        <f>iferror(VLOOKUP(L9,'Teams-Conference'!$A:$B,2,0),"")</f>
        <v/>
      </c>
      <c r="C9" s="160" t="str">
        <f>iferror(VLOOKUP(M9,'Teams-Conference'!$A:$B,2,0),"")</f>
        <v/>
      </c>
      <c r="D9" s="160" t="str">
        <f>iferror(VLOOKUP(N9,'Teams-Conference'!$A:$B,2,0),"")</f>
        <v/>
      </c>
      <c r="E9" s="160" t="str">
        <f>iferror(VLOOKUP(O9,'Teams-Conference'!$A:$B,2,0),"")</f>
        <v/>
      </c>
      <c r="F9" s="160" t="str">
        <f>iferror(VLOOKUP(P9,'Teams-Conference'!$A:$B,2,0),"")</f>
        <v/>
      </c>
      <c r="G9" s="160" t="str">
        <f>iferror(VLOOKUP(Q9,'Teams-Conference'!$A:$B,2,0),"")</f>
        <v/>
      </c>
      <c r="H9" s="160" t="str">
        <f>iferror(VLOOKUP(R9,'Teams-Conference'!$A:$B,2,0),"")</f>
        <v/>
      </c>
      <c r="I9" s="160" t="str">
        <f>iferror(VLOOKUP(S9,'Teams-Conference'!$A:$B,2,0),"")</f>
        <v/>
      </c>
      <c r="J9" s="160" t="str">
        <f>iferror(VLOOKUP(T9,'Teams-Conference'!$A:$B,2,0),"")</f>
        <v/>
      </c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3" t="str">
        <f>IFERROR(__xludf.DUMMYFUNCTION("""COMPUTED_VALUE"""),"Justin")</f>
        <v>Justin</v>
      </c>
      <c r="AF9" s="158"/>
      <c r="AG9" s="164" t="s">
        <v>311</v>
      </c>
      <c r="AH9" s="158" t="str">
        <f>IFERROR(__xludf.DUMMYFUNCTION("transpose(sort(UNIQUE({offset('Conferences Needed'!$A$1,1,match($AG9,'Conferences Needed'!$1:$1,0)-1,9,1);if(not(iserror(match($AG9,$AE:$AE,0))),"""",filter('Conf WC Eligibility'!$A$2:$A15,'Conf WC Eligibility'!$B$2:$B15&gt;0))}),1,0))"),",")</f>
        <v>,</v>
      </c>
      <c r="AI9" t="str">
        <f>IFERROR(__xludf.DUMMYFUNCTION("""COMPUTED_VALUE"""),"")</f>
        <v/>
      </c>
    </row>
    <row r="10">
      <c r="A10" s="160" t="str">
        <f>iferror(VLOOKUP(K10,'Teams-Conference'!$A:$B,2,0),"")</f>
        <v/>
      </c>
      <c r="B10" s="160" t="str">
        <f>iferror(VLOOKUP(L10,'Teams-Conference'!$A:$B,2,0),"")</f>
        <v/>
      </c>
      <c r="C10" s="160" t="str">
        <f>iferror(VLOOKUP(M10,'Teams-Conference'!$A:$B,2,0),"")</f>
        <v/>
      </c>
      <c r="D10" s="160" t="str">
        <f>iferror(VLOOKUP(N10,'Teams-Conference'!$A:$B,2,0),"")</f>
        <v/>
      </c>
      <c r="E10" s="160" t="str">
        <f>iferror(VLOOKUP(O10,'Teams-Conference'!$A:$B,2,0),"")</f>
        <v/>
      </c>
      <c r="F10" s="160" t="str">
        <f>iferror(VLOOKUP(P10,'Teams-Conference'!$A:$B,2,0),"")</f>
        <v/>
      </c>
      <c r="G10" s="160" t="str">
        <f>iferror(VLOOKUP(Q10,'Teams-Conference'!$A:$B,2,0),"")</f>
        <v/>
      </c>
      <c r="H10" s="160" t="str">
        <f>iferror(VLOOKUP(R10,'Teams-Conference'!$A:$B,2,0),"")</f>
        <v/>
      </c>
      <c r="I10" s="160" t="str">
        <f>iferror(VLOOKUP(S10,'Teams-Conference'!$A:$B,2,0),"")</f>
        <v/>
      </c>
      <c r="J10" s="160" t="str">
        <f>iferror(VLOOKUP(T10,'Teams-Conference'!$A:$B,2,0),"")</f>
        <v/>
      </c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3" t="str">
        <f>IFERROR(__xludf.DUMMYFUNCTION("""COMPUTED_VALUE"""),"Nick A.")</f>
        <v>Nick A.</v>
      </c>
      <c r="AF10" s="158"/>
      <c r="AG10" s="164" t="s">
        <v>249</v>
      </c>
      <c r="AH10" s="158" t="str">
        <f>IFERROR(__xludf.DUMMYFUNCTION("transpose(sort(UNIQUE({offset('Conferences Needed'!$A$1,1,match($AG10,'Conferences Needed'!$1:$1,0)-1,9,1);if(not(iserror(match($AG10,$AE:$AE,0))),"""",filter('Conf WC Eligibility'!$A$2:$A15,'Conf WC Eligibility'!$B$2:$B15&gt;0))}),1,0))"),",")</f>
        <v>,</v>
      </c>
      <c r="AI10" t="str">
        <f>IFERROR(__xludf.DUMMYFUNCTION("""COMPUTED_VALUE"""),"")</f>
        <v/>
      </c>
    </row>
    <row r="11">
      <c r="A11" s="160" t="str">
        <f>iferror(VLOOKUP(K11,'Teams-Conference'!$A:$B,2,0),"")</f>
        <v/>
      </c>
      <c r="B11" s="160" t="str">
        <f>iferror(VLOOKUP(L11,'Teams-Conference'!$A:$B,2,0),"")</f>
        <v/>
      </c>
      <c r="C11" s="160" t="str">
        <f>iferror(VLOOKUP(M11,'Teams-Conference'!$A:$B,2,0),"")</f>
        <v/>
      </c>
      <c r="D11" s="160" t="str">
        <f>iferror(VLOOKUP(N11,'Teams-Conference'!$A:$B,2,0),"")</f>
        <v/>
      </c>
      <c r="E11" s="160" t="str">
        <f>iferror(VLOOKUP(O11,'Teams-Conference'!$A:$B,2,0),"")</f>
        <v/>
      </c>
      <c r="F11" s="160" t="str">
        <f>iferror(VLOOKUP(P11,'Teams-Conference'!$A:$B,2,0),"")</f>
        <v/>
      </c>
      <c r="G11" s="160" t="str">
        <f>iferror(VLOOKUP(Q11,'Teams-Conference'!$A:$B,2,0),"")</f>
        <v/>
      </c>
      <c r="H11" s="160" t="str">
        <f>iferror(VLOOKUP(R11,'Teams-Conference'!$A:$B,2,0),"")</f>
        <v/>
      </c>
      <c r="I11" s="160" t="str">
        <f>iferror(VLOOKUP(S11,'Teams-Conference'!$A:$B,2,0),"")</f>
        <v/>
      </c>
      <c r="J11" s="160" t="str">
        <f>iferror(VLOOKUP(T11,'Teams-Conference'!$A:$B,2,0),"")</f>
        <v/>
      </c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3" t="str">
        <f>IFERROR(__xludf.DUMMYFUNCTION("""COMPUTED_VALUE"""),"Brad")</f>
        <v>Brad</v>
      </c>
      <c r="AF11" s="158"/>
      <c r="AG11" s="164" t="s">
        <v>156</v>
      </c>
      <c r="AH11" s="158" t="str">
        <f>IFERROR(__xludf.DUMMYFUNCTION("transpose(sort(UNIQUE({offset('Conferences Needed'!$A$1,1,match($AG11,'Conferences Needed'!$1:$1,0)-1,9,1);if(not(iserror(match($AG11,$AE:$AE,0))),"""",filter('Conf WC Eligibility'!$A$2:$A15,'Conf WC Eligibility'!$B$2:$B15&gt;0))}),1,0))"),",")</f>
        <v>,</v>
      </c>
      <c r="AI11" t="str">
        <f>IFERROR(__xludf.DUMMYFUNCTION("""COMPUTED_VALUE"""),"")</f>
        <v/>
      </c>
    </row>
    <row r="12">
      <c r="A12" s="160" t="str">
        <f>iferror(VLOOKUP(K12,'Teams-Conference'!$A:$B,2,0),"")</f>
        <v/>
      </c>
      <c r="B12" s="160" t="str">
        <f>iferror(VLOOKUP(L12,'Teams-Conference'!$A:$B,2,0),"")</f>
        <v/>
      </c>
      <c r="C12" s="160" t="str">
        <f>iferror(VLOOKUP(M12,'Teams-Conference'!$A:$B,2,0),"")</f>
        <v/>
      </c>
      <c r="D12" s="160" t="str">
        <f>iferror(VLOOKUP(N12,'Teams-Conference'!$A:$B,2,0),"")</f>
        <v/>
      </c>
      <c r="E12" s="160" t="str">
        <f>iferror(VLOOKUP(O12,'Teams-Conference'!$A:$B,2,0),"")</f>
        <v/>
      </c>
      <c r="F12" s="160" t="str">
        <f>iferror(VLOOKUP(P12,'Teams-Conference'!$A:$B,2,0),"")</f>
        <v/>
      </c>
      <c r="G12" s="160" t="str">
        <f>iferror(VLOOKUP(Q12,'Teams-Conference'!$A:$B,2,0),"")</f>
        <v/>
      </c>
      <c r="H12" s="160" t="str">
        <f>iferror(VLOOKUP(R12,'Teams-Conference'!$A:$B,2,0),"")</f>
        <v/>
      </c>
      <c r="I12" s="160" t="str">
        <f>iferror(VLOOKUP(S12,'Teams-Conference'!$A:$B,2,0),"")</f>
        <v/>
      </c>
      <c r="J12" s="160" t="str">
        <f>iferror(VLOOKUP(T12,'Teams-Conference'!$A:$B,2,0),"")</f>
        <v/>
      </c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3" t="str">
        <f>IFERROR(__xludf.DUMMYFUNCTION("""COMPUTED_VALUE"""),"Mike")</f>
        <v>Mike</v>
      </c>
      <c r="AF12" s="158"/>
      <c r="AG12" s="170" t="s">
        <v>132</v>
      </c>
      <c r="AH12" s="158" t="str">
        <f>IFERROR(__xludf.DUMMYFUNCTION("transpose(sort(UNIQUE({offset('Conferences Needed'!$A$1,1,match($AG12,'Conferences Needed'!$1:$1,0)-1,9,1);if(not(iserror(match($AG12,$AE:$AE,0))),"""",filter('Conf WC Eligibility'!$A$2:$A15,'Conf WC Eligibility'!$B$2:$B15&gt;0))}),1,0))"),",")</f>
        <v>,</v>
      </c>
      <c r="AI12" t="str">
        <f>IFERROR(__xludf.DUMMYFUNCTION("""COMPUTED_VALUE"""),"")</f>
        <v/>
      </c>
    </row>
    <row r="13">
      <c r="A13" s="160" t="str">
        <f>iferror(VLOOKUP(K13,'Teams-Conference'!$A:$B,2,0),"")</f>
        <v/>
      </c>
      <c r="B13" s="160" t="str">
        <f>iferror(VLOOKUP(L13,'Teams-Conference'!$A:$B,2,0),"")</f>
        <v/>
      </c>
      <c r="C13" s="160" t="str">
        <f>iferror(VLOOKUP(M13,'Teams-Conference'!$A:$B,2,0),"")</f>
        <v/>
      </c>
      <c r="D13" s="160" t="str">
        <f>iferror(VLOOKUP(N13,'Teams-Conference'!$A:$B,2,0),"")</f>
        <v/>
      </c>
      <c r="E13" s="160" t="str">
        <f>iferror(VLOOKUP(O13,'Teams-Conference'!$A:$B,2,0),"")</f>
        <v/>
      </c>
      <c r="F13" s="160" t="str">
        <f>iferror(VLOOKUP(P13,'Teams-Conference'!$A:$B,2,0),"")</f>
        <v/>
      </c>
      <c r="G13" s="160" t="str">
        <f>iferror(VLOOKUP(Q13,'Teams-Conference'!$A:$B,2,0),"")</f>
        <v/>
      </c>
      <c r="H13" s="160" t="str">
        <f>iferror(VLOOKUP(R13,'Teams-Conference'!$A:$B,2,0),"")</f>
        <v/>
      </c>
      <c r="I13" s="160" t="str">
        <f>iferror(VLOOKUP(S13,'Teams-Conference'!$A:$B,2,0),"")</f>
        <v/>
      </c>
      <c r="J13" s="160" t="str">
        <f>iferror(VLOOKUP(T13,'Teams-Conference'!$A:$B,2,0),"")</f>
        <v/>
      </c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3" t="str">
        <f>IFERROR(__xludf.DUMMYFUNCTION("""COMPUTED_VALUE"""),"Vu")</f>
        <v>Vu</v>
      </c>
      <c r="AF13" s="158"/>
      <c r="AG13" s="158" t="s">
        <v>224</v>
      </c>
      <c r="AH13" s="158" t="str">
        <f>IFERROR(__xludf.DUMMYFUNCTION("transpose(sort(UNIQUE({offset('Conferences Needed'!$A$1,1,match($AG13,'Conferences Needed'!$1:$1,0)-1,9,1);if(not(iserror(match($AG13,$AE:$AE,0))),"""",filter('Conf WC Eligibility'!$A$2:$A15,'Conf WC Eligibility'!$B$2:$B15&gt;0))}),1,0))"),",")</f>
        <v>,</v>
      </c>
      <c r="AI13" t="str">
        <f>IFERROR(__xludf.DUMMYFUNCTION("""COMPUTED_VALUE"""),"")</f>
        <v/>
      </c>
    </row>
    <row r="14">
      <c r="A14" s="160" t="str">
        <f>iferror(VLOOKUP(K14,'Teams-Conference'!$A:$B,2,0),"")</f>
        <v/>
      </c>
      <c r="B14" s="160" t="str">
        <f>iferror(VLOOKUP(L14,'Teams-Conference'!$A:$B,2,0),"")</f>
        <v/>
      </c>
      <c r="C14" s="160" t="str">
        <f>iferror(VLOOKUP(M14,'Teams-Conference'!$A:$B,2,0),"")</f>
        <v/>
      </c>
      <c r="D14" s="160" t="str">
        <f>iferror(VLOOKUP(N14,'Teams-Conference'!$A:$B,2,0),"")</f>
        <v/>
      </c>
      <c r="E14" s="160" t="str">
        <f>iferror(VLOOKUP(O14,'Teams-Conference'!$A:$B,2,0),"")</f>
        <v/>
      </c>
      <c r="F14" s="160" t="str">
        <f>iferror(VLOOKUP(P14,'Teams-Conference'!$A:$B,2,0),"")</f>
        <v/>
      </c>
      <c r="G14" s="160" t="str">
        <f>iferror(VLOOKUP(Q14,'Teams-Conference'!$A:$B,2,0),"")</f>
        <v/>
      </c>
      <c r="H14" s="160" t="str">
        <f>iferror(VLOOKUP(R14,'Teams-Conference'!$A:$B,2,0),"")</f>
        <v/>
      </c>
      <c r="I14" s="160" t="str">
        <f>iferror(VLOOKUP(S14,'Teams-Conference'!$A:$B,2,0),"")</f>
        <v/>
      </c>
      <c r="J14" s="160" t="str">
        <f>iferror(VLOOKUP(T14,'Teams-Conference'!$A:$B,2,0),"")</f>
        <v/>
      </c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3" t="str">
        <f>IFERROR(__xludf.DUMMYFUNCTION("""COMPUTED_VALUE"""),"Undrafted")</f>
        <v>Undrafted</v>
      </c>
      <c r="AF14" s="158"/>
      <c r="AG14" s="158"/>
    </row>
    <row r="15">
      <c r="A15" s="160" t="str">
        <f>iferror(VLOOKUP(K15,'Teams-Conference'!$A:$B,2,0),"")</f>
        <v/>
      </c>
      <c r="B15" s="160" t="str">
        <f>iferror(VLOOKUP(L15,'Teams-Conference'!$A:$B,2,0),"")</f>
        <v/>
      </c>
      <c r="C15" s="160" t="str">
        <f>iferror(VLOOKUP(M15,'Teams-Conference'!$A:$B,2,0),"")</f>
        <v/>
      </c>
      <c r="D15" s="160" t="str">
        <f>iferror(VLOOKUP(N15,'Teams-Conference'!$A:$B,2,0),"")</f>
        <v/>
      </c>
      <c r="E15" s="160" t="str">
        <f>iferror(VLOOKUP(O15,'Teams-Conference'!$A:$B,2,0),"")</f>
        <v/>
      </c>
      <c r="F15" s="160" t="str">
        <f>iferror(VLOOKUP(P15,'Teams-Conference'!$A:$B,2,0),"")</f>
        <v/>
      </c>
      <c r="G15" s="160" t="str">
        <f>iferror(VLOOKUP(Q15,'Teams-Conference'!$A:$B,2,0),"")</f>
        <v/>
      </c>
      <c r="H15" s="160" t="str">
        <f>iferror(VLOOKUP(R15,'Teams-Conference'!$A:$B,2,0),"")</f>
        <v/>
      </c>
      <c r="I15" s="160" t="str">
        <f>iferror(VLOOKUP(S15,'Teams-Conference'!$A:$B,2,0),"")</f>
        <v/>
      </c>
      <c r="J15" s="160" t="str">
        <f>iferror(VLOOKUP(T15,'Teams-Conference'!$A:$B,2,0),"")</f>
        <v/>
      </c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73"/>
      <c r="AG15" s="174"/>
    </row>
  </sheetData>
  <conditionalFormatting sqref="K2:T15">
    <cfRule type="containsBlanks" dxfId="6" priority="1">
      <formula>LEN(TRIM(K2))=0</formula>
    </cfRule>
  </conditionalFormatting>
  <conditionalFormatting sqref="K2:T15">
    <cfRule type="expression" dxfId="10" priority="2">
      <formula>A2&lt;&gt;K$1</formula>
    </cfRule>
  </conditionalFormatting>
  <conditionalFormatting sqref="A3:K3">
    <cfRule type="expression" dxfId="5" priority="3">
      <formula>vlookup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min="10" max="11" width="14.13"/>
    <col customWidth="1" hidden="1" min="12" max="32" width="14.13"/>
  </cols>
  <sheetData>
    <row r="1">
      <c r="A1" s="141" t="str">
        <f t="array" ref="A1:K1">transpose(unique(offset('Teams-Conference'!B3:B22,0,(counta('Draft Order'!B2:B22)-10)*2)))</f>
        <v>AAC</v>
      </c>
      <c r="B1" s="141" t="s">
        <v>317</v>
      </c>
      <c r="C1" s="141" t="s">
        <v>471</v>
      </c>
      <c r="D1" s="141" t="s">
        <v>407</v>
      </c>
      <c r="E1" s="141" t="s">
        <v>535</v>
      </c>
      <c r="F1" s="141" t="s">
        <v>530</v>
      </c>
      <c r="G1" s="141" t="s">
        <v>525</v>
      </c>
      <c r="H1" s="141" t="s">
        <v>680</v>
      </c>
      <c r="I1" s="141" t="s">
        <v>556</v>
      </c>
      <c r="J1" s="141" t="s">
        <v>441</v>
      </c>
      <c r="K1" s="141" t="s">
        <v>725</v>
      </c>
      <c r="L1" s="141" t="str">
        <f t="array" ref="L1:V1">transpose(unique(offset('Teams-Conference'!B3:B22,0,(counta('Draft Order'!B2:B22)-10)*2)))</f>
        <v>AAC</v>
      </c>
      <c r="M1" s="142" t="s">
        <v>317</v>
      </c>
      <c r="N1" s="142" t="s">
        <v>471</v>
      </c>
      <c r="O1" s="142" t="s">
        <v>407</v>
      </c>
      <c r="P1" s="142" t="s">
        <v>535</v>
      </c>
      <c r="Q1" s="142" t="s">
        <v>530</v>
      </c>
      <c r="R1" s="142" t="s">
        <v>525</v>
      </c>
      <c r="S1" s="142" t="s">
        <v>680</v>
      </c>
      <c r="T1" s="142" t="s">
        <v>556</v>
      </c>
      <c r="U1" s="142" t="s">
        <v>441</v>
      </c>
      <c r="V1" s="142" t="s">
        <v>725</v>
      </c>
      <c r="W1" s="142"/>
      <c r="X1" s="142"/>
      <c r="Y1" s="142"/>
      <c r="Z1" s="142"/>
      <c r="AA1" s="142"/>
      <c r="AB1" s="142"/>
      <c r="AC1" s="142"/>
      <c r="AD1" s="142"/>
      <c r="AE1" s="142"/>
      <c r="AF1" s="142"/>
    </row>
    <row r="2">
      <c r="A2" t="str">
        <f>IFERROR(__xludf.DUMMYFUNCTION("filter(offset('Teams-Conference'!$A:$A,0,(counta('Draft Order'!$B2:$B22)-10)*2),offset('Teams-Conference'!$B:$B,0,(counta('Draft Order'!$B2:$B22)-10)*2)=A1)"),"Army")</f>
        <v>Army</v>
      </c>
      <c r="B2" t="str">
        <f>IFERROR(__xludf.DUMMYFUNCTION("filter(offset('Teams-Conference'!$A:$A,0,(counta('Draft Order'!$B2:$B22)-10)*2),offset('Teams-Conference'!$B:$B,0,(counta('Draft Order'!$B2:$B22)-10)*2)=B1)"),"Boston College")</f>
        <v>Boston College</v>
      </c>
      <c r="C2" t="str">
        <f>IFERROR(__xludf.DUMMYFUNCTION("filter(offset('Teams-Conference'!$A:$A,0,(counta('Draft Order'!$B2:$B22)-10)*2),offset('Teams-Conference'!$B:$B,0,(counta('Draft Order'!$B2:$B22)-10)*2)=C1)"),"Arizona")</f>
        <v>Arizona</v>
      </c>
      <c r="D2" t="str">
        <f>IFERROR(__xludf.DUMMYFUNCTION("filter(offset('Teams-Conference'!$A:$A,0,(counta('Draft Order'!$B2:$B22)-10)*2),offset('Teams-Conference'!$B:$B,0,(counta('Draft Order'!$B2:$B22)-10)*2)=D1)"),"Illinois")</f>
        <v>Illinois</v>
      </c>
      <c r="E2" t="str">
        <f>IFERROR(__xludf.DUMMYFUNCTION("filter(offset('Teams-Conference'!$A:$A,0,(counta('Draft Order'!$B2:$B22)-10)*2),offset('Teams-Conference'!$B:$B,0,(counta('Draft Order'!$B2:$B22)-10)*2)=E1)"),"Delaware")</f>
        <v>Delaware</v>
      </c>
      <c r="F2" t="str">
        <f>IFERROR(__xludf.DUMMYFUNCTION("filter(offset('Teams-Conference'!$A:$A,0,(counta('Draft Order'!$B2:$B22)-10)*2),offset('Teams-Conference'!$B:$B,0,(counta('Draft Order'!$B2:$B22)-10)*2)=F1)"),"Akron")</f>
        <v>Akron</v>
      </c>
      <c r="G2" t="str">
        <f>IFERROR(__xludf.DUMMYFUNCTION("filter(offset('Teams-Conference'!$A:$A,0,(counta('Draft Order'!$B2:$B22)-10)*2),offset('Teams-Conference'!$B:$B,0,(counta('Draft Order'!$B2:$B22)-10)*2)=G1)"),"Air Force")</f>
        <v>Air Force</v>
      </c>
      <c r="H2" t="str">
        <f>IFERROR(__xludf.DUMMYFUNCTION("filter(offset('Teams-Conference'!$A:$A,0,(counta('Draft Order'!$B2:$B22)-10)*2),offset('Teams-Conference'!$B:$B,0,(counta('Draft Order'!$B2:$B22)-10)*2)=H1)"),"Oregon State")</f>
        <v>Oregon State</v>
      </c>
      <c r="I2" t="str">
        <f>IFERROR(__xludf.DUMMYFUNCTION("filter(offset('Teams-Conference'!$A:$A,0,(counta('Draft Order'!$B2:$B22)-10)*2),offset('Teams-Conference'!$B:$B,0,(counta('Draft Order'!$B2:$B22)-10)*2)=I1)"),"Alabama")</f>
        <v>Alabama</v>
      </c>
      <c r="J2" t="str">
        <f>IFERROR(__xludf.DUMMYFUNCTION("iferror(filter(offset('Teams-Conference'!$A:$A,0,(counta('Draft Order'!$B2:$B22)-10)*2),offset('Teams-Conference'!$B:$B,0,(counta('Draft Order'!$B2:$B22)-10)*2)=J1))"),"Appalachian State")</f>
        <v>Appalachian State</v>
      </c>
      <c r="K2" t="str">
        <f>IFERROR(__xludf.DUMMYFUNCTION("filter(offset('Teams-Conference'!$A:$A,0,(counta('Draft Order'!$B2:$B22)-10)*2),offset('Teams-Conference'!$B:$B,0,(counta('Draft Order'!$B2:$B22)-10)*2)=K1)"),"Notre Dame")</f>
        <v>Notre Dame</v>
      </c>
      <c r="L2" s="169" t="str">
        <f>IFERROR(__xludf.DUMMYFUNCTION("filter(offset('Teams-Conference'!$A:$A,0,(10-10)*2),offset('Teams-Conference'!$B:$B,0,(10-10)*2)=A1)"),"Army")</f>
        <v>Army</v>
      </c>
      <c r="M2" s="169" t="str">
        <f>IFERROR(__xludf.DUMMYFUNCTION("filter(offset('Teams-Conference'!$A:$A,0,(10-10)*2),offset('Teams-Conference'!$B:$B,0,(10-10)*2)=B1)"),"Boston College")</f>
        <v>Boston College</v>
      </c>
      <c r="N2" s="169" t="str">
        <f>IFERROR(__xludf.DUMMYFUNCTION("filter(offset('Teams-Conference'!$A:$A,0,(10-10)*2),offset('Teams-Conference'!$B:$B,0,(10-10)*2)=C1)"),"Arizona")</f>
        <v>Arizona</v>
      </c>
      <c r="O2" s="169" t="str">
        <f>IFERROR(__xludf.DUMMYFUNCTION("filter(offset('Teams-Conference'!$A:$A,0,(10-10)*2),offset('Teams-Conference'!$B:$B,0,(10-10)*2)=D1)"),"Illinois")</f>
        <v>Illinois</v>
      </c>
      <c r="P2" s="169" t="str">
        <f>IFERROR(__xludf.DUMMYFUNCTION("filter(offset('Teams-Conference'!$A:$A,0,(10-10)*2),offset('Teams-Conference'!$B:$B,0,(10-10)*2)=E1)"),"Delaware")</f>
        <v>Delaware</v>
      </c>
      <c r="Q2" s="169" t="str">
        <f>IFERROR(__xludf.DUMMYFUNCTION("filter(offset('Teams-Conference'!$A:$A,0,(10-10)*2),offset('Teams-Conference'!$B:$B,0,(10-10)*2)=F1)"),"Akron")</f>
        <v>Akron</v>
      </c>
      <c r="R2" s="169" t="str">
        <f>IFERROR(__xludf.DUMMYFUNCTION("filter(offset('Teams-Conference'!$A:$A,0,(10-10)*2),offset('Teams-Conference'!$B:$B,0,(10-10)*2)=G1)"),"Air Force")</f>
        <v>Air Force</v>
      </c>
      <c r="S2" s="169" t="str">
        <f>IFERROR(__xludf.DUMMYFUNCTION("filter(offset('Teams-Conference'!$A:$A,0,(10-10)*2),offset('Teams-Conference'!$B:$B,0,(10-10)*2)=H1)"),"Oregon State")</f>
        <v>Oregon State</v>
      </c>
      <c r="T2" s="169" t="str">
        <f>IFERROR(__xludf.DUMMYFUNCTION("filter(offset('Teams-Conference'!$A:$A,0,(10-10)*2),offset('Teams-Conference'!$B:$B,0,(10-10)*2)=I1)"),"Alabama")</f>
        <v>Alabama</v>
      </c>
      <c r="U2" s="169" t="str">
        <f>IFERROR(__xludf.DUMMYFUNCTION("filter(offset('Teams-Conference'!$A:$A,0,(10-10)*2),offset('Teams-Conference'!$B:$B,0,(10-10)*2)=J1)"),"Appalachian State")</f>
        <v>Appalachian State</v>
      </c>
      <c r="V2" s="169" t="str">
        <f>IFERROR(__xludf.DUMMYFUNCTION("filter(offset('Teams-Conference'!$A:$A,0,(10-10)*2),offset('Teams-Conference'!$B:$B,0,(10-10)*2)=K1)"),"Notre Dame")</f>
        <v>Notre Dame</v>
      </c>
      <c r="W2" s="169"/>
      <c r="X2" s="169"/>
      <c r="Y2" s="169"/>
      <c r="Z2" s="169"/>
      <c r="AA2" s="169"/>
      <c r="AB2" s="169"/>
      <c r="AC2" s="169"/>
      <c r="AD2" s="169"/>
      <c r="AE2" s="169"/>
      <c r="AF2" s="169"/>
    </row>
    <row r="3">
      <c r="A3" t="str">
        <f>IFERROR(__xludf.DUMMYFUNCTION("""COMPUTED_VALUE"""),"Charlotte")</f>
        <v>Charlotte</v>
      </c>
      <c r="B3" t="str">
        <f>IFERROR(__xludf.DUMMYFUNCTION("""COMPUTED_VALUE"""),"California")</f>
        <v>California</v>
      </c>
      <c r="C3" t="str">
        <f>IFERROR(__xludf.DUMMYFUNCTION("""COMPUTED_VALUE"""),"Arizona State")</f>
        <v>Arizona State</v>
      </c>
      <c r="D3" t="str">
        <f>IFERROR(__xludf.DUMMYFUNCTION("""COMPUTED_VALUE"""),"Indiana")</f>
        <v>Indiana</v>
      </c>
      <c r="E3" t="str">
        <f>IFERROR(__xludf.DUMMYFUNCTION("""COMPUTED_VALUE"""),"Florida Intl")</f>
        <v>Florida Intl</v>
      </c>
      <c r="F3" t="str">
        <f>IFERROR(__xludf.DUMMYFUNCTION("""COMPUTED_VALUE"""),"Ball State")</f>
        <v>Ball State</v>
      </c>
      <c r="G3" t="str">
        <f>IFERROR(__xludf.DUMMYFUNCTION("""COMPUTED_VALUE"""),"Boise State")</f>
        <v>Boise State</v>
      </c>
      <c r="H3" t="str">
        <f>IFERROR(__xludf.DUMMYFUNCTION("""COMPUTED_VALUE"""),"Washington State")</f>
        <v>Washington State</v>
      </c>
      <c r="I3" t="str">
        <f>IFERROR(__xludf.DUMMYFUNCTION("""COMPUTED_VALUE"""),"Arkansas")</f>
        <v>Arkansas</v>
      </c>
      <c r="J3" t="str">
        <f>IFERROR(__xludf.DUMMYFUNCTION("""COMPUTED_VALUE"""),"Arkansas State")</f>
        <v>Arkansas State</v>
      </c>
      <c r="K3" t="str">
        <f>IFERROR(__xludf.DUMMYFUNCTION("""COMPUTED_VALUE"""),"UConn")</f>
        <v>UConn</v>
      </c>
      <c r="L3" t="str">
        <f>IFERROR(__xludf.DUMMYFUNCTION("""COMPUTED_VALUE"""),"Charlotte")</f>
        <v>Charlotte</v>
      </c>
      <c r="M3" t="str">
        <f>IFERROR(__xludf.DUMMYFUNCTION("""COMPUTED_VALUE"""),"California")</f>
        <v>California</v>
      </c>
      <c r="N3" t="str">
        <f>IFERROR(__xludf.DUMMYFUNCTION("""COMPUTED_VALUE"""),"Arizona State")</f>
        <v>Arizona State</v>
      </c>
      <c r="O3" t="str">
        <f>IFERROR(__xludf.DUMMYFUNCTION("""COMPUTED_VALUE"""),"Indiana")</f>
        <v>Indiana</v>
      </c>
      <c r="P3" t="str">
        <f>IFERROR(__xludf.DUMMYFUNCTION("""COMPUTED_VALUE"""),"Florida Intl")</f>
        <v>Florida Intl</v>
      </c>
      <c r="Q3" t="str">
        <f>IFERROR(__xludf.DUMMYFUNCTION("""COMPUTED_VALUE"""),"Ball State")</f>
        <v>Ball State</v>
      </c>
      <c r="R3" t="str">
        <f>IFERROR(__xludf.DUMMYFUNCTION("""COMPUTED_VALUE"""),"Boise State")</f>
        <v>Boise State</v>
      </c>
      <c r="S3" t="str">
        <f>IFERROR(__xludf.DUMMYFUNCTION("""COMPUTED_VALUE"""),"Washington State")</f>
        <v>Washington State</v>
      </c>
      <c r="T3" t="str">
        <f>IFERROR(__xludf.DUMMYFUNCTION("""COMPUTED_VALUE"""),"Arkansas")</f>
        <v>Arkansas</v>
      </c>
      <c r="U3" t="str">
        <f>IFERROR(__xludf.DUMMYFUNCTION("""COMPUTED_VALUE"""),"Arkansas State")</f>
        <v>Arkansas State</v>
      </c>
      <c r="V3" t="str">
        <f>IFERROR(__xludf.DUMMYFUNCTION("""COMPUTED_VALUE"""),"UConn")</f>
        <v>UConn</v>
      </c>
    </row>
    <row r="4">
      <c r="A4" t="str">
        <f>IFERROR(__xludf.DUMMYFUNCTION("""COMPUTED_VALUE"""),"East Carolina")</f>
        <v>East Carolina</v>
      </c>
      <c r="B4" t="str">
        <f>IFERROR(__xludf.DUMMYFUNCTION("""COMPUTED_VALUE"""),"Clemson")</f>
        <v>Clemson</v>
      </c>
      <c r="C4" t="str">
        <f>IFERROR(__xludf.DUMMYFUNCTION("""COMPUTED_VALUE"""),"Baylor")</f>
        <v>Baylor</v>
      </c>
      <c r="D4" t="str">
        <f>IFERROR(__xludf.DUMMYFUNCTION("""COMPUTED_VALUE"""),"Iowa")</f>
        <v>Iowa</v>
      </c>
      <c r="E4" t="str">
        <f>IFERROR(__xludf.DUMMYFUNCTION("""COMPUTED_VALUE"""),"Jacksonville State")</f>
        <v>Jacksonville State</v>
      </c>
      <c r="F4" t="str">
        <f>IFERROR(__xludf.DUMMYFUNCTION("""COMPUTED_VALUE"""),"Bowling Green")</f>
        <v>Bowling Green</v>
      </c>
      <c r="G4" t="str">
        <f>IFERROR(__xludf.DUMMYFUNCTION("""COMPUTED_VALUE"""),"Colorado State")</f>
        <v>Colorado State</v>
      </c>
      <c r="I4" t="str">
        <f>IFERROR(__xludf.DUMMYFUNCTION("""COMPUTED_VALUE"""),"Auburn")</f>
        <v>Auburn</v>
      </c>
      <c r="J4" t="str">
        <f>IFERROR(__xludf.DUMMYFUNCTION("""COMPUTED_VALUE"""),"Coastal Carolina")</f>
        <v>Coastal Carolina</v>
      </c>
      <c r="L4" t="str">
        <f>IFERROR(__xludf.DUMMYFUNCTION("""COMPUTED_VALUE"""),"East Carolina")</f>
        <v>East Carolina</v>
      </c>
      <c r="M4" t="str">
        <f>IFERROR(__xludf.DUMMYFUNCTION("""COMPUTED_VALUE"""),"Clemson")</f>
        <v>Clemson</v>
      </c>
      <c r="N4" t="str">
        <f>IFERROR(__xludf.DUMMYFUNCTION("""COMPUTED_VALUE"""),"Baylor")</f>
        <v>Baylor</v>
      </c>
      <c r="O4" t="str">
        <f>IFERROR(__xludf.DUMMYFUNCTION("""COMPUTED_VALUE"""),"Iowa")</f>
        <v>Iowa</v>
      </c>
      <c r="P4" t="str">
        <f>IFERROR(__xludf.DUMMYFUNCTION("""COMPUTED_VALUE"""),"Jacksonville State")</f>
        <v>Jacksonville State</v>
      </c>
      <c r="Q4" t="str">
        <f>IFERROR(__xludf.DUMMYFUNCTION("""COMPUTED_VALUE"""),"Bowling Green")</f>
        <v>Bowling Green</v>
      </c>
      <c r="R4" t="str">
        <f>IFERROR(__xludf.DUMMYFUNCTION("""COMPUTED_VALUE"""),"Colorado State")</f>
        <v>Colorado State</v>
      </c>
      <c r="T4" t="str">
        <f>IFERROR(__xludf.DUMMYFUNCTION("""COMPUTED_VALUE"""),"Auburn")</f>
        <v>Auburn</v>
      </c>
      <c r="U4" t="str">
        <f>IFERROR(__xludf.DUMMYFUNCTION("""COMPUTED_VALUE"""),"Coastal Carolina")</f>
        <v>Coastal Carolina</v>
      </c>
    </row>
    <row r="5">
      <c r="A5" t="str">
        <f>IFERROR(__xludf.DUMMYFUNCTION("""COMPUTED_VALUE"""),"Florida Atlantic")</f>
        <v>Florida Atlantic</v>
      </c>
      <c r="B5" t="str">
        <f>IFERROR(__xludf.DUMMYFUNCTION("""COMPUTED_VALUE"""),"Duke")</f>
        <v>Duke</v>
      </c>
      <c r="C5" t="str">
        <f>IFERROR(__xludf.DUMMYFUNCTION("""COMPUTED_VALUE"""),"BYU")</f>
        <v>BYU</v>
      </c>
      <c r="D5" t="str">
        <f>IFERROR(__xludf.DUMMYFUNCTION("""COMPUTED_VALUE"""),"Maryland")</f>
        <v>Maryland</v>
      </c>
      <c r="E5" t="str">
        <f>IFERROR(__xludf.DUMMYFUNCTION("""COMPUTED_VALUE"""),"Kennesaw State")</f>
        <v>Kennesaw State</v>
      </c>
      <c r="F5" t="str">
        <f>IFERROR(__xludf.DUMMYFUNCTION("""COMPUTED_VALUE"""),"Buffalo")</f>
        <v>Buffalo</v>
      </c>
      <c r="G5" t="str">
        <f>IFERROR(__xludf.DUMMYFUNCTION("""COMPUTED_VALUE"""),"Fresno State")</f>
        <v>Fresno State</v>
      </c>
      <c r="I5" t="str">
        <f>IFERROR(__xludf.DUMMYFUNCTION("""COMPUTED_VALUE"""),"Florida")</f>
        <v>Florida</v>
      </c>
      <c r="J5" t="str">
        <f>IFERROR(__xludf.DUMMYFUNCTION("""COMPUTED_VALUE"""),"Georgia Southern")</f>
        <v>Georgia Southern</v>
      </c>
      <c r="L5" t="str">
        <f>IFERROR(__xludf.DUMMYFUNCTION("""COMPUTED_VALUE"""),"Florida Atlantic")</f>
        <v>Florida Atlantic</v>
      </c>
      <c r="M5" t="str">
        <f>IFERROR(__xludf.DUMMYFUNCTION("""COMPUTED_VALUE"""),"Duke")</f>
        <v>Duke</v>
      </c>
      <c r="N5" t="str">
        <f>IFERROR(__xludf.DUMMYFUNCTION("""COMPUTED_VALUE"""),"BYU")</f>
        <v>BYU</v>
      </c>
      <c r="O5" t="str">
        <f>IFERROR(__xludf.DUMMYFUNCTION("""COMPUTED_VALUE"""),"Maryland")</f>
        <v>Maryland</v>
      </c>
      <c r="P5" t="str">
        <f>IFERROR(__xludf.DUMMYFUNCTION("""COMPUTED_VALUE"""),"Kennesaw State")</f>
        <v>Kennesaw State</v>
      </c>
      <c r="Q5" t="str">
        <f>IFERROR(__xludf.DUMMYFUNCTION("""COMPUTED_VALUE"""),"Buffalo")</f>
        <v>Buffalo</v>
      </c>
      <c r="R5" t="str">
        <f>IFERROR(__xludf.DUMMYFUNCTION("""COMPUTED_VALUE"""),"Fresno State")</f>
        <v>Fresno State</v>
      </c>
      <c r="T5" t="str">
        <f>IFERROR(__xludf.DUMMYFUNCTION("""COMPUTED_VALUE"""),"Florida")</f>
        <v>Florida</v>
      </c>
      <c r="U5" t="str">
        <f>IFERROR(__xludf.DUMMYFUNCTION("""COMPUTED_VALUE"""),"Georgia Southern")</f>
        <v>Georgia Southern</v>
      </c>
    </row>
    <row r="6">
      <c r="A6" t="str">
        <f>IFERROR(__xludf.DUMMYFUNCTION("""COMPUTED_VALUE"""),"Memphis")</f>
        <v>Memphis</v>
      </c>
      <c r="B6" t="str">
        <f>IFERROR(__xludf.DUMMYFUNCTION("""COMPUTED_VALUE"""),"Florida State")</f>
        <v>Florida State</v>
      </c>
      <c r="C6" t="str">
        <f>IFERROR(__xludf.DUMMYFUNCTION("""COMPUTED_VALUE"""),"Cincinnati")</f>
        <v>Cincinnati</v>
      </c>
      <c r="D6" t="str">
        <f>IFERROR(__xludf.DUMMYFUNCTION("""COMPUTED_VALUE"""),"Michigan")</f>
        <v>Michigan</v>
      </c>
      <c r="E6" t="str">
        <f>IFERROR(__xludf.DUMMYFUNCTION("""COMPUTED_VALUE"""),"Liberty")</f>
        <v>Liberty</v>
      </c>
      <c r="F6" t="str">
        <f>IFERROR(__xludf.DUMMYFUNCTION("""COMPUTED_VALUE"""),"Central Michigan")</f>
        <v>Central Michigan</v>
      </c>
      <c r="G6" t="str">
        <f>IFERROR(__xludf.DUMMYFUNCTION("""COMPUTED_VALUE"""),"Hawaii")</f>
        <v>Hawaii</v>
      </c>
      <c r="I6" t="str">
        <f>IFERROR(__xludf.DUMMYFUNCTION("""COMPUTED_VALUE"""),"Georgia")</f>
        <v>Georgia</v>
      </c>
      <c r="J6" t="str">
        <f>IFERROR(__xludf.DUMMYFUNCTION("""COMPUTED_VALUE"""),"Georgia State")</f>
        <v>Georgia State</v>
      </c>
      <c r="L6" t="str">
        <f>IFERROR(__xludf.DUMMYFUNCTION("""COMPUTED_VALUE"""),"Memphis")</f>
        <v>Memphis</v>
      </c>
      <c r="M6" t="str">
        <f>IFERROR(__xludf.DUMMYFUNCTION("""COMPUTED_VALUE"""),"Florida State")</f>
        <v>Florida State</v>
      </c>
      <c r="N6" t="str">
        <f>IFERROR(__xludf.DUMMYFUNCTION("""COMPUTED_VALUE"""),"Cincinnati")</f>
        <v>Cincinnati</v>
      </c>
      <c r="O6" t="str">
        <f>IFERROR(__xludf.DUMMYFUNCTION("""COMPUTED_VALUE"""),"Michigan")</f>
        <v>Michigan</v>
      </c>
      <c r="P6" t="str">
        <f>IFERROR(__xludf.DUMMYFUNCTION("""COMPUTED_VALUE"""),"Liberty")</f>
        <v>Liberty</v>
      </c>
      <c r="Q6" t="str">
        <f>IFERROR(__xludf.DUMMYFUNCTION("""COMPUTED_VALUE"""),"Central Michigan")</f>
        <v>Central Michigan</v>
      </c>
      <c r="R6" t="str">
        <f>IFERROR(__xludf.DUMMYFUNCTION("""COMPUTED_VALUE"""),"Hawaii")</f>
        <v>Hawaii</v>
      </c>
      <c r="T6" t="str">
        <f>IFERROR(__xludf.DUMMYFUNCTION("""COMPUTED_VALUE"""),"Georgia")</f>
        <v>Georgia</v>
      </c>
      <c r="U6" t="str">
        <f>IFERROR(__xludf.DUMMYFUNCTION("""COMPUTED_VALUE"""),"Georgia State")</f>
        <v>Georgia State</v>
      </c>
    </row>
    <row r="7">
      <c r="A7" t="str">
        <f>IFERROR(__xludf.DUMMYFUNCTION("""COMPUTED_VALUE"""),"Navy")</f>
        <v>Navy</v>
      </c>
      <c r="B7" t="str">
        <f>IFERROR(__xludf.DUMMYFUNCTION("""COMPUTED_VALUE"""),"Georgia Tech")</f>
        <v>Georgia Tech</v>
      </c>
      <c r="C7" t="str">
        <f>IFERROR(__xludf.DUMMYFUNCTION("""COMPUTED_VALUE"""),"Colorado")</f>
        <v>Colorado</v>
      </c>
      <c r="D7" t="str">
        <f>IFERROR(__xludf.DUMMYFUNCTION("""COMPUTED_VALUE"""),"Michigan State")</f>
        <v>Michigan State</v>
      </c>
      <c r="E7" t="str">
        <f>IFERROR(__xludf.DUMMYFUNCTION("""COMPUTED_VALUE"""),"Louisiana Tech")</f>
        <v>Louisiana Tech</v>
      </c>
      <c r="F7" t="str">
        <f>IFERROR(__xludf.DUMMYFUNCTION("""COMPUTED_VALUE"""),"EMU")</f>
        <v>EMU</v>
      </c>
      <c r="G7" t="str">
        <f>IFERROR(__xludf.DUMMYFUNCTION("""COMPUTED_VALUE"""),"Nevada")</f>
        <v>Nevada</v>
      </c>
      <c r="I7" t="str">
        <f>IFERROR(__xludf.DUMMYFUNCTION("""COMPUTED_VALUE"""),"Kentucky")</f>
        <v>Kentucky</v>
      </c>
      <c r="J7" t="str">
        <f>IFERROR(__xludf.DUMMYFUNCTION("""COMPUTED_VALUE"""),"James Madison")</f>
        <v>James Madison</v>
      </c>
      <c r="L7" t="str">
        <f>IFERROR(__xludf.DUMMYFUNCTION("""COMPUTED_VALUE"""),"Navy")</f>
        <v>Navy</v>
      </c>
      <c r="M7" t="str">
        <f>IFERROR(__xludf.DUMMYFUNCTION("""COMPUTED_VALUE"""),"Georgia Tech")</f>
        <v>Georgia Tech</v>
      </c>
      <c r="N7" t="str">
        <f>IFERROR(__xludf.DUMMYFUNCTION("""COMPUTED_VALUE"""),"Colorado")</f>
        <v>Colorado</v>
      </c>
      <c r="O7" t="str">
        <f>IFERROR(__xludf.DUMMYFUNCTION("""COMPUTED_VALUE"""),"Michigan State")</f>
        <v>Michigan State</v>
      </c>
      <c r="P7" t="str">
        <f>IFERROR(__xludf.DUMMYFUNCTION("""COMPUTED_VALUE"""),"Louisiana Tech")</f>
        <v>Louisiana Tech</v>
      </c>
      <c r="Q7" t="str">
        <f>IFERROR(__xludf.DUMMYFUNCTION("""COMPUTED_VALUE"""),"EMU")</f>
        <v>EMU</v>
      </c>
      <c r="R7" t="str">
        <f>IFERROR(__xludf.DUMMYFUNCTION("""COMPUTED_VALUE"""),"Nevada")</f>
        <v>Nevada</v>
      </c>
      <c r="T7" t="str">
        <f>IFERROR(__xludf.DUMMYFUNCTION("""COMPUTED_VALUE"""),"Kentucky")</f>
        <v>Kentucky</v>
      </c>
      <c r="U7" t="str">
        <f>IFERROR(__xludf.DUMMYFUNCTION("""COMPUTED_VALUE"""),"James Madison")</f>
        <v>James Madison</v>
      </c>
    </row>
    <row r="8">
      <c r="A8" t="str">
        <f>IFERROR(__xludf.DUMMYFUNCTION("""COMPUTED_VALUE"""),"North Texas")</f>
        <v>North Texas</v>
      </c>
      <c r="B8" t="str">
        <f>IFERROR(__xludf.DUMMYFUNCTION("""COMPUTED_VALUE"""),"Louisville")</f>
        <v>Louisville</v>
      </c>
      <c r="C8" t="str">
        <f>IFERROR(__xludf.DUMMYFUNCTION("""COMPUTED_VALUE"""),"Houston")</f>
        <v>Houston</v>
      </c>
      <c r="D8" t="str">
        <f>IFERROR(__xludf.DUMMYFUNCTION("""COMPUTED_VALUE"""),"Minnesota")</f>
        <v>Minnesota</v>
      </c>
      <c r="E8" t="str">
        <f>IFERROR(__xludf.DUMMYFUNCTION("""COMPUTED_VALUE"""),"Middle Tennessee")</f>
        <v>Middle Tennessee</v>
      </c>
      <c r="F8" t="str">
        <f>IFERROR(__xludf.DUMMYFUNCTION("""COMPUTED_VALUE"""),"Kent State")</f>
        <v>Kent State</v>
      </c>
      <c r="G8" t="str">
        <f>IFERROR(__xludf.DUMMYFUNCTION("""COMPUTED_VALUE"""),"New Mexico")</f>
        <v>New Mexico</v>
      </c>
      <c r="I8" t="str">
        <f>IFERROR(__xludf.DUMMYFUNCTION("""COMPUTED_VALUE"""),"LSU")</f>
        <v>LSU</v>
      </c>
      <c r="J8" t="str">
        <f>IFERROR(__xludf.DUMMYFUNCTION("""COMPUTED_VALUE"""),"Marshall")</f>
        <v>Marshall</v>
      </c>
      <c r="L8" t="str">
        <f>IFERROR(__xludf.DUMMYFUNCTION("""COMPUTED_VALUE"""),"North Texas")</f>
        <v>North Texas</v>
      </c>
      <c r="M8" t="str">
        <f>IFERROR(__xludf.DUMMYFUNCTION("""COMPUTED_VALUE"""),"Louisville")</f>
        <v>Louisville</v>
      </c>
      <c r="N8" t="str">
        <f>IFERROR(__xludf.DUMMYFUNCTION("""COMPUTED_VALUE"""),"Houston")</f>
        <v>Houston</v>
      </c>
      <c r="O8" t="str">
        <f>IFERROR(__xludf.DUMMYFUNCTION("""COMPUTED_VALUE"""),"Minnesota")</f>
        <v>Minnesota</v>
      </c>
      <c r="P8" t="str">
        <f>IFERROR(__xludf.DUMMYFUNCTION("""COMPUTED_VALUE"""),"Middle Tennessee")</f>
        <v>Middle Tennessee</v>
      </c>
      <c r="Q8" t="str">
        <f>IFERROR(__xludf.DUMMYFUNCTION("""COMPUTED_VALUE"""),"Kent State")</f>
        <v>Kent State</v>
      </c>
      <c r="R8" t="str">
        <f>IFERROR(__xludf.DUMMYFUNCTION("""COMPUTED_VALUE"""),"New Mexico")</f>
        <v>New Mexico</v>
      </c>
      <c r="T8" t="str">
        <f>IFERROR(__xludf.DUMMYFUNCTION("""COMPUTED_VALUE"""),"LSU")</f>
        <v>LSU</v>
      </c>
      <c r="U8" t="str">
        <f>IFERROR(__xludf.DUMMYFUNCTION("""COMPUTED_VALUE"""),"Marshall")</f>
        <v>Marshall</v>
      </c>
    </row>
    <row r="9">
      <c r="A9" t="str">
        <f>IFERROR(__xludf.DUMMYFUNCTION("""COMPUTED_VALUE"""),"Rice")</f>
        <v>Rice</v>
      </c>
      <c r="B9" t="str">
        <f>IFERROR(__xludf.DUMMYFUNCTION("""COMPUTED_VALUE"""),"Miami")</f>
        <v>Miami</v>
      </c>
      <c r="C9" t="str">
        <f>IFERROR(__xludf.DUMMYFUNCTION("""COMPUTED_VALUE"""),"Iowa State")</f>
        <v>Iowa State</v>
      </c>
      <c r="D9" t="str">
        <f>IFERROR(__xludf.DUMMYFUNCTION("""COMPUTED_VALUE"""),"Nebraska")</f>
        <v>Nebraska</v>
      </c>
      <c r="E9" t="str">
        <f>IFERROR(__xludf.DUMMYFUNCTION("""COMPUTED_VALUE"""),"Missouri State")</f>
        <v>Missouri State</v>
      </c>
      <c r="F9" t="str">
        <f>IFERROR(__xludf.DUMMYFUNCTION("""COMPUTED_VALUE"""),"Miami-OH")</f>
        <v>Miami-OH</v>
      </c>
      <c r="G9" t="str">
        <f>IFERROR(__xludf.DUMMYFUNCTION("""COMPUTED_VALUE"""),"San Diego State")</f>
        <v>San Diego State</v>
      </c>
      <c r="I9" t="str">
        <f>IFERROR(__xludf.DUMMYFUNCTION("""COMPUTED_VALUE"""),"Mississippi State")</f>
        <v>Mississippi State</v>
      </c>
      <c r="J9" t="str">
        <f>IFERROR(__xludf.DUMMYFUNCTION("""COMPUTED_VALUE"""),"Old Dominion")</f>
        <v>Old Dominion</v>
      </c>
      <c r="L9" t="str">
        <f>IFERROR(__xludf.DUMMYFUNCTION("""COMPUTED_VALUE"""),"Rice")</f>
        <v>Rice</v>
      </c>
      <c r="M9" t="str">
        <f>IFERROR(__xludf.DUMMYFUNCTION("""COMPUTED_VALUE"""),"Miami")</f>
        <v>Miami</v>
      </c>
      <c r="N9" t="str">
        <f>IFERROR(__xludf.DUMMYFUNCTION("""COMPUTED_VALUE"""),"Iowa State")</f>
        <v>Iowa State</v>
      </c>
      <c r="O9" t="str">
        <f>IFERROR(__xludf.DUMMYFUNCTION("""COMPUTED_VALUE"""),"Nebraska")</f>
        <v>Nebraska</v>
      </c>
      <c r="P9" t="str">
        <f>IFERROR(__xludf.DUMMYFUNCTION("""COMPUTED_VALUE"""),"Missouri State")</f>
        <v>Missouri State</v>
      </c>
      <c r="Q9" t="str">
        <f>IFERROR(__xludf.DUMMYFUNCTION("""COMPUTED_VALUE"""),"Miami-OH")</f>
        <v>Miami-OH</v>
      </c>
      <c r="R9" t="str">
        <f>IFERROR(__xludf.DUMMYFUNCTION("""COMPUTED_VALUE"""),"San Diego State")</f>
        <v>San Diego State</v>
      </c>
      <c r="T9" t="str">
        <f>IFERROR(__xludf.DUMMYFUNCTION("""COMPUTED_VALUE"""),"Mississippi State")</f>
        <v>Mississippi State</v>
      </c>
      <c r="U9" t="str">
        <f>IFERROR(__xludf.DUMMYFUNCTION("""COMPUTED_VALUE"""),"Old Dominion")</f>
        <v>Old Dominion</v>
      </c>
    </row>
    <row r="10">
      <c r="A10" t="str">
        <f>IFERROR(__xludf.DUMMYFUNCTION("""COMPUTED_VALUE"""),"South Florida")</f>
        <v>South Florida</v>
      </c>
      <c r="B10" t="str">
        <f>IFERROR(__xludf.DUMMYFUNCTION("""COMPUTED_VALUE"""),"NC State")</f>
        <v>NC State</v>
      </c>
      <c r="C10" t="str">
        <f>IFERROR(__xludf.DUMMYFUNCTION("""COMPUTED_VALUE"""),"Kansas")</f>
        <v>Kansas</v>
      </c>
      <c r="D10" t="str">
        <f>IFERROR(__xludf.DUMMYFUNCTION("""COMPUTED_VALUE"""),"Northwestern")</f>
        <v>Northwestern</v>
      </c>
      <c r="E10" t="str">
        <f>IFERROR(__xludf.DUMMYFUNCTION("""COMPUTED_VALUE"""),"New Mexico State")</f>
        <v>New Mexico State</v>
      </c>
      <c r="F10" t="str">
        <f>IFERROR(__xludf.DUMMYFUNCTION("""COMPUTED_VALUE"""),"Northern Illinois")</f>
        <v>Northern Illinois</v>
      </c>
      <c r="G10" t="str">
        <f>IFERROR(__xludf.DUMMYFUNCTION("""COMPUTED_VALUE"""),"San José State")</f>
        <v>San José State</v>
      </c>
      <c r="I10" t="str">
        <f>IFERROR(__xludf.DUMMYFUNCTION("""COMPUTED_VALUE"""),"Missouri")</f>
        <v>Missouri</v>
      </c>
      <c r="J10" t="str">
        <f>IFERROR(__xludf.DUMMYFUNCTION("""COMPUTED_VALUE"""),"South Alabama")</f>
        <v>South Alabama</v>
      </c>
      <c r="L10" t="str">
        <f>IFERROR(__xludf.DUMMYFUNCTION("""COMPUTED_VALUE"""),"South Florida")</f>
        <v>South Florida</v>
      </c>
      <c r="M10" t="str">
        <f>IFERROR(__xludf.DUMMYFUNCTION("""COMPUTED_VALUE"""),"NC State")</f>
        <v>NC State</v>
      </c>
      <c r="N10" t="str">
        <f>IFERROR(__xludf.DUMMYFUNCTION("""COMPUTED_VALUE"""),"Kansas")</f>
        <v>Kansas</v>
      </c>
      <c r="O10" t="str">
        <f>IFERROR(__xludf.DUMMYFUNCTION("""COMPUTED_VALUE"""),"Northwestern")</f>
        <v>Northwestern</v>
      </c>
      <c r="P10" t="str">
        <f>IFERROR(__xludf.DUMMYFUNCTION("""COMPUTED_VALUE"""),"New Mexico State")</f>
        <v>New Mexico State</v>
      </c>
      <c r="Q10" t="str">
        <f>IFERROR(__xludf.DUMMYFUNCTION("""COMPUTED_VALUE"""),"Northern Illinois")</f>
        <v>Northern Illinois</v>
      </c>
      <c r="R10" t="str">
        <f>IFERROR(__xludf.DUMMYFUNCTION("""COMPUTED_VALUE"""),"San José State")</f>
        <v>San José State</v>
      </c>
      <c r="T10" t="str">
        <f>IFERROR(__xludf.DUMMYFUNCTION("""COMPUTED_VALUE"""),"Missouri")</f>
        <v>Missouri</v>
      </c>
      <c r="U10" t="str">
        <f>IFERROR(__xludf.DUMMYFUNCTION("""COMPUTED_VALUE"""),"South Alabama")</f>
        <v>South Alabama</v>
      </c>
    </row>
    <row r="11">
      <c r="A11" t="str">
        <f>IFERROR(__xludf.DUMMYFUNCTION("""COMPUTED_VALUE"""),"Temple")</f>
        <v>Temple</v>
      </c>
      <c r="B11" t="str">
        <f>IFERROR(__xludf.DUMMYFUNCTION("""COMPUTED_VALUE"""),"North Carolina")</f>
        <v>North Carolina</v>
      </c>
      <c r="C11" t="str">
        <f>IFERROR(__xludf.DUMMYFUNCTION("""COMPUTED_VALUE"""),"Kansas State")</f>
        <v>Kansas State</v>
      </c>
      <c r="D11" t="str">
        <f>IFERROR(__xludf.DUMMYFUNCTION("""COMPUTED_VALUE"""),"Ohio State")</f>
        <v>Ohio State</v>
      </c>
      <c r="E11" t="str">
        <f>IFERROR(__xludf.DUMMYFUNCTION("""COMPUTED_VALUE"""),"Sam Houston")</f>
        <v>Sam Houston</v>
      </c>
      <c r="F11" t="str">
        <f>IFERROR(__xludf.DUMMYFUNCTION("""COMPUTED_VALUE"""),"Ohio")</f>
        <v>Ohio</v>
      </c>
      <c r="G11" t="str">
        <f>IFERROR(__xludf.DUMMYFUNCTION("""COMPUTED_VALUE"""),"UNLV")</f>
        <v>UNLV</v>
      </c>
      <c r="I11" t="str">
        <f>IFERROR(__xludf.DUMMYFUNCTION("""COMPUTED_VALUE"""),"Oklahoma")</f>
        <v>Oklahoma</v>
      </c>
      <c r="J11" t="str">
        <f>IFERROR(__xludf.DUMMYFUNCTION("""COMPUTED_VALUE"""),"Southern Mississippi")</f>
        <v>Southern Mississippi</v>
      </c>
      <c r="L11" t="str">
        <f>IFERROR(__xludf.DUMMYFUNCTION("""COMPUTED_VALUE"""),"Temple")</f>
        <v>Temple</v>
      </c>
      <c r="M11" t="str">
        <f>IFERROR(__xludf.DUMMYFUNCTION("""COMPUTED_VALUE"""),"North Carolina")</f>
        <v>North Carolina</v>
      </c>
      <c r="N11" t="str">
        <f>IFERROR(__xludf.DUMMYFUNCTION("""COMPUTED_VALUE"""),"Kansas State")</f>
        <v>Kansas State</v>
      </c>
      <c r="O11" t="str">
        <f>IFERROR(__xludf.DUMMYFUNCTION("""COMPUTED_VALUE"""),"Ohio State")</f>
        <v>Ohio State</v>
      </c>
      <c r="P11" t="str">
        <f>IFERROR(__xludf.DUMMYFUNCTION("""COMPUTED_VALUE"""),"Sam Houston")</f>
        <v>Sam Houston</v>
      </c>
      <c r="Q11" t="str">
        <f>IFERROR(__xludf.DUMMYFUNCTION("""COMPUTED_VALUE"""),"Ohio")</f>
        <v>Ohio</v>
      </c>
      <c r="R11" t="str">
        <f>IFERROR(__xludf.DUMMYFUNCTION("""COMPUTED_VALUE"""),"UNLV")</f>
        <v>UNLV</v>
      </c>
      <c r="T11" t="str">
        <f>IFERROR(__xludf.DUMMYFUNCTION("""COMPUTED_VALUE"""),"Oklahoma")</f>
        <v>Oklahoma</v>
      </c>
      <c r="U11" t="str">
        <f>IFERROR(__xludf.DUMMYFUNCTION("""COMPUTED_VALUE"""),"Southern Mississippi")</f>
        <v>Southern Mississippi</v>
      </c>
    </row>
    <row r="12">
      <c r="A12" t="str">
        <f>IFERROR(__xludf.DUMMYFUNCTION("""COMPUTED_VALUE"""),"Tulane")</f>
        <v>Tulane</v>
      </c>
      <c r="B12" t="str">
        <f>IFERROR(__xludf.DUMMYFUNCTION("""COMPUTED_VALUE"""),"Pittsburgh")</f>
        <v>Pittsburgh</v>
      </c>
      <c r="C12" t="str">
        <f>IFERROR(__xludf.DUMMYFUNCTION("""COMPUTED_VALUE"""),"Oklahoma State")</f>
        <v>Oklahoma State</v>
      </c>
      <c r="D12" t="str">
        <f>IFERROR(__xludf.DUMMYFUNCTION("""COMPUTED_VALUE"""),"Oregon")</f>
        <v>Oregon</v>
      </c>
      <c r="E12" t="str">
        <f>IFERROR(__xludf.DUMMYFUNCTION("""COMPUTED_VALUE"""),"UTEP")</f>
        <v>UTEP</v>
      </c>
      <c r="F12" t="str">
        <f>IFERROR(__xludf.DUMMYFUNCTION("""COMPUTED_VALUE"""),"Toledo")</f>
        <v>Toledo</v>
      </c>
      <c r="G12" t="str">
        <f>IFERROR(__xludf.DUMMYFUNCTION("""COMPUTED_VALUE"""),"Utah State")</f>
        <v>Utah State</v>
      </c>
      <c r="I12" t="str">
        <f>IFERROR(__xludf.DUMMYFUNCTION("""COMPUTED_VALUE"""),"Ole Miss")</f>
        <v>Ole Miss</v>
      </c>
      <c r="J12" t="str">
        <f>IFERROR(__xludf.DUMMYFUNCTION("""COMPUTED_VALUE"""),"Texas State")</f>
        <v>Texas State</v>
      </c>
      <c r="L12" t="str">
        <f>IFERROR(__xludf.DUMMYFUNCTION("""COMPUTED_VALUE"""),"Tulane")</f>
        <v>Tulane</v>
      </c>
      <c r="M12" t="str">
        <f>IFERROR(__xludf.DUMMYFUNCTION("""COMPUTED_VALUE"""),"Pittsburgh")</f>
        <v>Pittsburgh</v>
      </c>
      <c r="N12" t="str">
        <f>IFERROR(__xludf.DUMMYFUNCTION("""COMPUTED_VALUE"""),"Oklahoma State")</f>
        <v>Oklahoma State</v>
      </c>
      <c r="O12" t="str">
        <f>IFERROR(__xludf.DUMMYFUNCTION("""COMPUTED_VALUE"""),"Oregon")</f>
        <v>Oregon</v>
      </c>
      <c r="P12" t="str">
        <f>IFERROR(__xludf.DUMMYFUNCTION("""COMPUTED_VALUE"""),"UTEP")</f>
        <v>UTEP</v>
      </c>
      <c r="Q12" t="str">
        <f>IFERROR(__xludf.DUMMYFUNCTION("""COMPUTED_VALUE"""),"Toledo")</f>
        <v>Toledo</v>
      </c>
      <c r="R12" t="str">
        <f>IFERROR(__xludf.DUMMYFUNCTION("""COMPUTED_VALUE"""),"Utah State")</f>
        <v>Utah State</v>
      </c>
      <c r="T12" t="str">
        <f>IFERROR(__xludf.DUMMYFUNCTION("""COMPUTED_VALUE"""),"Ole Miss")</f>
        <v>Ole Miss</v>
      </c>
      <c r="U12" t="str">
        <f>IFERROR(__xludf.DUMMYFUNCTION("""COMPUTED_VALUE"""),"Texas State")</f>
        <v>Texas State</v>
      </c>
    </row>
    <row r="13">
      <c r="A13" t="str">
        <f>IFERROR(__xludf.DUMMYFUNCTION("""COMPUTED_VALUE"""),"Tulsa")</f>
        <v>Tulsa</v>
      </c>
      <c r="B13" t="str">
        <f>IFERROR(__xludf.DUMMYFUNCTION("""COMPUTED_VALUE"""),"SMU")</f>
        <v>SMU</v>
      </c>
      <c r="C13" t="str">
        <f>IFERROR(__xludf.DUMMYFUNCTION("""COMPUTED_VALUE"""),"TCU")</f>
        <v>TCU</v>
      </c>
      <c r="D13" t="str">
        <f>IFERROR(__xludf.DUMMYFUNCTION("""COMPUTED_VALUE"""),"Penn State")</f>
        <v>Penn State</v>
      </c>
      <c r="E13" t="str">
        <f>IFERROR(__xludf.DUMMYFUNCTION("""COMPUTED_VALUE"""),"Western Kentucky")</f>
        <v>Western Kentucky</v>
      </c>
      <c r="F13" t="str">
        <f>IFERROR(__xludf.DUMMYFUNCTION("""COMPUTED_VALUE"""),"UMASS")</f>
        <v>UMASS</v>
      </c>
      <c r="G13" t="str">
        <f>IFERROR(__xludf.DUMMYFUNCTION("""COMPUTED_VALUE"""),"Wyoming")</f>
        <v>Wyoming</v>
      </c>
      <c r="I13" t="str">
        <f>IFERROR(__xludf.DUMMYFUNCTION("""COMPUTED_VALUE"""),"South Carolina")</f>
        <v>South Carolina</v>
      </c>
      <c r="J13" t="str">
        <f>IFERROR(__xludf.DUMMYFUNCTION("""COMPUTED_VALUE"""),"Troy")</f>
        <v>Troy</v>
      </c>
      <c r="L13" t="str">
        <f>IFERROR(__xludf.DUMMYFUNCTION("""COMPUTED_VALUE"""),"Tulsa")</f>
        <v>Tulsa</v>
      </c>
      <c r="M13" t="str">
        <f>IFERROR(__xludf.DUMMYFUNCTION("""COMPUTED_VALUE"""),"SMU")</f>
        <v>SMU</v>
      </c>
      <c r="N13" t="str">
        <f>IFERROR(__xludf.DUMMYFUNCTION("""COMPUTED_VALUE"""),"TCU")</f>
        <v>TCU</v>
      </c>
      <c r="O13" t="str">
        <f>IFERROR(__xludf.DUMMYFUNCTION("""COMPUTED_VALUE"""),"Penn State")</f>
        <v>Penn State</v>
      </c>
      <c r="P13" t="str">
        <f>IFERROR(__xludf.DUMMYFUNCTION("""COMPUTED_VALUE"""),"Western Kentucky")</f>
        <v>Western Kentucky</v>
      </c>
      <c r="Q13" t="str">
        <f>IFERROR(__xludf.DUMMYFUNCTION("""COMPUTED_VALUE"""),"UMASS")</f>
        <v>UMASS</v>
      </c>
      <c r="R13" t="str">
        <f>IFERROR(__xludf.DUMMYFUNCTION("""COMPUTED_VALUE"""),"Wyoming")</f>
        <v>Wyoming</v>
      </c>
      <c r="T13" t="str">
        <f>IFERROR(__xludf.DUMMYFUNCTION("""COMPUTED_VALUE"""),"South Carolina")</f>
        <v>South Carolina</v>
      </c>
      <c r="U13" t="str">
        <f>IFERROR(__xludf.DUMMYFUNCTION("""COMPUTED_VALUE"""),"Troy")</f>
        <v>Troy</v>
      </c>
    </row>
    <row r="14">
      <c r="A14" t="str">
        <f>IFERROR(__xludf.DUMMYFUNCTION("""COMPUTED_VALUE"""),"UAB")</f>
        <v>UAB</v>
      </c>
      <c r="B14" t="str">
        <f>IFERROR(__xludf.DUMMYFUNCTION("""COMPUTED_VALUE"""),"Stanford")</f>
        <v>Stanford</v>
      </c>
      <c r="C14" t="str">
        <f>IFERROR(__xludf.DUMMYFUNCTION("""COMPUTED_VALUE"""),"Texas Tech")</f>
        <v>Texas Tech</v>
      </c>
      <c r="D14" t="str">
        <f>IFERROR(__xludf.DUMMYFUNCTION("""COMPUTED_VALUE"""),"Purdue")</f>
        <v>Purdue</v>
      </c>
      <c r="F14" t="str">
        <f>IFERROR(__xludf.DUMMYFUNCTION("""COMPUTED_VALUE"""),"Western Michigan")</f>
        <v>Western Michigan</v>
      </c>
      <c r="I14" t="str">
        <f>IFERROR(__xludf.DUMMYFUNCTION("""COMPUTED_VALUE"""),"Tennessee")</f>
        <v>Tennessee</v>
      </c>
      <c r="J14" t="str">
        <f>IFERROR(__xludf.DUMMYFUNCTION("""COMPUTED_VALUE"""),"UL Lafayette")</f>
        <v>UL Lafayette</v>
      </c>
      <c r="L14" t="str">
        <f>IFERROR(__xludf.DUMMYFUNCTION("""COMPUTED_VALUE"""),"UAB")</f>
        <v>UAB</v>
      </c>
      <c r="M14" t="str">
        <f>IFERROR(__xludf.DUMMYFUNCTION("""COMPUTED_VALUE"""),"Stanford")</f>
        <v>Stanford</v>
      </c>
      <c r="N14" t="str">
        <f>IFERROR(__xludf.DUMMYFUNCTION("""COMPUTED_VALUE"""),"Texas Tech")</f>
        <v>Texas Tech</v>
      </c>
      <c r="O14" t="str">
        <f>IFERROR(__xludf.DUMMYFUNCTION("""COMPUTED_VALUE"""),"Purdue")</f>
        <v>Purdue</v>
      </c>
      <c r="Q14" t="str">
        <f>IFERROR(__xludf.DUMMYFUNCTION("""COMPUTED_VALUE"""),"Western Michigan")</f>
        <v>Western Michigan</v>
      </c>
      <c r="T14" t="str">
        <f>IFERROR(__xludf.DUMMYFUNCTION("""COMPUTED_VALUE"""),"Tennessee")</f>
        <v>Tennessee</v>
      </c>
      <c r="U14" t="str">
        <f>IFERROR(__xludf.DUMMYFUNCTION("""COMPUTED_VALUE"""),"UL Lafayette")</f>
        <v>UL Lafayette</v>
      </c>
    </row>
    <row r="15">
      <c r="A15" t="str">
        <f>IFERROR(__xludf.DUMMYFUNCTION("""COMPUTED_VALUE"""),"UTSA")</f>
        <v>UTSA</v>
      </c>
      <c r="B15" t="str">
        <f>IFERROR(__xludf.DUMMYFUNCTION("""COMPUTED_VALUE"""),"Syracuse")</f>
        <v>Syracuse</v>
      </c>
      <c r="C15" t="str">
        <f>IFERROR(__xludf.DUMMYFUNCTION("""COMPUTED_VALUE"""),"UCF")</f>
        <v>UCF</v>
      </c>
      <c r="D15" t="str">
        <f>IFERROR(__xludf.DUMMYFUNCTION("""COMPUTED_VALUE"""),"Rutgers")</f>
        <v>Rutgers</v>
      </c>
      <c r="I15" t="str">
        <f>IFERROR(__xludf.DUMMYFUNCTION("""COMPUTED_VALUE"""),"Texas")</f>
        <v>Texas</v>
      </c>
      <c r="J15" t="str">
        <f>IFERROR(__xludf.DUMMYFUNCTION("""COMPUTED_VALUE"""),"UL Monroe")</f>
        <v>UL Monroe</v>
      </c>
      <c r="L15" t="str">
        <f>IFERROR(__xludf.DUMMYFUNCTION("""COMPUTED_VALUE"""),"UTSA")</f>
        <v>UTSA</v>
      </c>
      <c r="M15" t="str">
        <f>IFERROR(__xludf.DUMMYFUNCTION("""COMPUTED_VALUE"""),"Syracuse")</f>
        <v>Syracuse</v>
      </c>
      <c r="N15" t="str">
        <f>IFERROR(__xludf.DUMMYFUNCTION("""COMPUTED_VALUE"""),"UCF")</f>
        <v>UCF</v>
      </c>
      <c r="O15" t="str">
        <f>IFERROR(__xludf.DUMMYFUNCTION("""COMPUTED_VALUE"""),"Rutgers")</f>
        <v>Rutgers</v>
      </c>
      <c r="T15" t="str">
        <f>IFERROR(__xludf.DUMMYFUNCTION("""COMPUTED_VALUE"""),"Texas")</f>
        <v>Texas</v>
      </c>
      <c r="U15" t="str">
        <f>IFERROR(__xludf.DUMMYFUNCTION("""COMPUTED_VALUE"""),"UL Monroe")</f>
        <v>UL Monroe</v>
      </c>
    </row>
    <row r="16">
      <c r="B16" t="str">
        <f>IFERROR(__xludf.DUMMYFUNCTION("""COMPUTED_VALUE"""),"Virginia")</f>
        <v>Virginia</v>
      </c>
      <c r="C16" t="str">
        <f>IFERROR(__xludf.DUMMYFUNCTION("""COMPUTED_VALUE"""),"Utah")</f>
        <v>Utah</v>
      </c>
      <c r="D16" t="str">
        <f>IFERROR(__xludf.DUMMYFUNCTION("""COMPUTED_VALUE"""),"UCLA")</f>
        <v>UCLA</v>
      </c>
      <c r="I16" t="str">
        <f>IFERROR(__xludf.DUMMYFUNCTION("""COMPUTED_VALUE"""),"Texas A&amp;M")</f>
        <v>Texas A&amp;M</v>
      </c>
      <c r="M16" t="str">
        <f>IFERROR(__xludf.DUMMYFUNCTION("""COMPUTED_VALUE"""),"Virginia")</f>
        <v>Virginia</v>
      </c>
      <c r="N16" t="str">
        <f>IFERROR(__xludf.DUMMYFUNCTION("""COMPUTED_VALUE"""),"Utah")</f>
        <v>Utah</v>
      </c>
      <c r="O16" t="str">
        <f>IFERROR(__xludf.DUMMYFUNCTION("""COMPUTED_VALUE"""),"UCLA")</f>
        <v>UCLA</v>
      </c>
      <c r="T16" t="str">
        <f>IFERROR(__xludf.DUMMYFUNCTION("""COMPUTED_VALUE"""),"Texas A&amp;M")</f>
        <v>Texas A&amp;M</v>
      </c>
    </row>
    <row r="17">
      <c r="B17" t="str">
        <f>IFERROR(__xludf.DUMMYFUNCTION("""COMPUTED_VALUE"""),"Virginia Tech")</f>
        <v>Virginia Tech</v>
      </c>
      <c r="C17" t="str">
        <f>IFERROR(__xludf.DUMMYFUNCTION("""COMPUTED_VALUE"""),"West Virginia")</f>
        <v>West Virginia</v>
      </c>
      <c r="D17" t="str">
        <f>IFERROR(__xludf.DUMMYFUNCTION("""COMPUTED_VALUE"""),"USC")</f>
        <v>USC</v>
      </c>
      <c r="I17" t="str">
        <f>IFERROR(__xludf.DUMMYFUNCTION("""COMPUTED_VALUE"""),"Vanderbilt")</f>
        <v>Vanderbilt</v>
      </c>
      <c r="M17" t="str">
        <f>IFERROR(__xludf.DUMMYFUNCTION("""COMPUTED_VALUE"""),"Virginia Tech")</f>
        <v>Virginia Tech</v>
      </c>
      <c r="N17" t="str">
        <f>IFERROR(__xludf.DUMMYFUNCTION("""COMPUTED_VALUE"""),"West Virginia")</f>
        <v>West Virginia</v>
      </c>
      <c r="O17" t="str">
        <f>IFERROR(__xludf.DUMMYFUNCTION("""COMPUTED_VALUE"""),"USC")</f>
        <v>USC</v>
      </c>
      <c r="T17" t="str">
        <f>IFERROR(__xludf.DUMMYFUNCTION("""COMPUTED_VALUE"""),"Vanderbilt")</f>
        <v>Vanderbilt</v>
      </c>
    </row>
    <row r="18">
      <c r="B18" t="str">
        <f>IFERROR(__xludf.DUMMYFUNCTION("""COMPUTED_VALUE"""),"Wake Forest")</f>
        <v>Wake Forest</v>
      </c>
      <c r="D18" t="str">
        <f>IFERROR(__xludf.DUMMYFUNCTION("""COMPUTED_VALUE"""),"Washington")</f>
        <v>Washington</v>
      </c>
      <c r="M18" t="str">
        <f>IFERROR(__xludf.DUMMYFUNCTION("""COMPUTED_VALUE"""),"Wake Forest")</f>
        <v>Wake Forest</v>
      </c>
      <c r="O18" t="str">
        <f>IFERROR(__xludf.DUMMYFUNCTION("""COMPUTED_VALUE"""),"Washington")</f>
        <v>Washington</v>
      </c>
    </row>
    <row r="19">
      <c r="D19" t="str">
        <f>IFERROR(__xludf.DUMMYFUNCTION("""COMPUTED_VALUE"""),"Wisconsin")</f>
        <v>Wisconsin</v>
      </c>
      <c r="O19" t="str">
        <f>IFERROR(__xludf.DUMMYFUNCTION("""COMPUTED_VALUE"""),"Wisconsin")</f>
        <v>Wisconsin</v>
      </c>
    </row>
  </sheetData>
  <conditionalFormatting sqref="A2:J22 K2:K15">
    <cfRule type="containsBlanks" dxfId="6" priority="1">
      <formula>LEN(TRIM(A2))=0</formula>
    </cfRule>
  </conditionalFormatting>
  <conditionalFormatting sqref="A2:J22 K2:K15">
    <cfRule type="expression" dxfId="7" priority="2">
      <formula>iserror(match(A2,L:L,0))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16.75"/>
    <col customWidth="1" min="4" max="4" width="20.88"/>
    <col customWidth="1" min="5" max="5" width="21.5"/>
  </cols>
  <sheetData>
    <row r="1">
      <c r="A1" s="171" t="s">
        <v>573</v>
      </c>
      <c r="B1" s="171" t="s">
        <v>859</v>
      </c>
      <c r="C1" s="171" t="s">
        <v>860</v>
      </c>
      <c r="D1" s="171" t="s">
        <v>861</v>
      </c>
      <c r="E1" s="171" t="s">
        <v>862</v>
      </c>
    </row>
    <row r="2">
      <c r="A2" s="172" t="str">
        <f t="array" ref="A2:A12">unique(transpose(Teams!A1:L1))</f>
        <v>AAC</v>
      </c>
      <c r="B2" s="172">
        <f>C2-counta('Draft Order'!B$2:B511)-E2</f>
        <v>1</v>
      </c>
      <c r="C2" s="172">
        <f t="array" ref="C2">counta(UNIQUE(offset(Teams!$A$2,0,row($A1)-1,30,1)))</f>
        <v>14</v>
      </c>
      <c r="D2" s="172">
        <f>IFERROR(__xludf.DUMMYFUNCTION("counta(iferror(UNIQUE(filter(DraftTracker!D:D,DraftTracker!E:E=A2))))"),13.0)</f>
        <v>13</v>
      </c>
      <c r="E2" s="172">
        <f>IFERROR(__xludf.DUMMYFUNCTION("counta(iferror(filter(DraftTracker!D:D,DraftTracker!E:E=A2,DraftTracker!G:G=""This is your wild card pick"")))"),1.0)</f>
        <v>1</v>
      </c>
    </row>
    <row r="3">
      <c r="A3" s="172" t="s">
        <v>317</v>
      </c>
      <c r="B3" s="172">
        <f>C3-counta('Draft Order'!B$2:B511)-E3</f>
        <v>4</v>
      </c>
      <c r="C3" s="172">
        <f t="array" ref="C3">counta(UNIQUE(offset(Teams!$A$2,0,row($A2)-1,30,1)))</f>
        <v>17</v>
      </c>
      <c r="D3" s="172">
        <f>IFERROR(__xludf.DUMMYFUNCTION("counta(iferror(UNIQUE(filter(DraftTracker!D:D,DraftTracker!E:E=A3))))"),13.0)</f>
        <v>13</v>
      </c>
      <c r="E3" s="172">
        <f>IFERROR(__xludf.DUMMYFUNCTION("counta(iferror(filter(DraftTracker!D:D,DraftTracker!E:E=A3,DraftTracker!G:G=""This is your wild card pick"")))"),1.0)</f>
        <v>1</v>
      </c>
    </row>
    <row r="4">
      <c r="A4" s="172" t="s">
        <v>471</v>
      </c>
      <c r="B4" s="172">
        <f>C4-counta('Draft Order'!B$2:B511)-E4</f>
        <v>1</v>
      </c>
      <c r="C4" s="172">
        <f t="array" ref="C4">counta(UNIQUE(offset(Teams!$A$2,0,row($A3)-1,30,1)))</f>
        <v>16</v>
      </c>
      <c r="D4" s="172">
        <f>IFERROR(__xludf.DUMMYFUNCTION("counta(iferror(UNIQUE(filter(DraftTracker!D:D,DraftTracker!E:E=A4))))"),13.0)</f>
        <v>13</v>
      </c>
      <c r="E4" s="172">
        <f>IFERROR(__xludf.DUMMYFUNCTION("counta(iferror(filter(DraftTracker!D:D,DraftTracker!E:E=A4,DraftTracker!G:G=""This is your wild card pick"")))"),3.0)</f>
        <v>3</v>
      </c>
    </row>
    <row r="5">
      <c r="A5" s="172" t="s">
        <v>407</v>
      </c>
      <c r="B5" s="172">
        <f>C5-counta('Draft Order'!B$2:B511)-E5</f>
        <v>3</v>
      </c>
      <c r="C5" s="172">
        <f t="array" ref="C5">counta(UNIQUE(offset(Teams!$A$2,0,row($A4)-1,30,1)))</f>
        <v>18</v>
      </c>
      <c r="D5" s="172">
        <f>IFERROR(__xludf.DUMMYFUNCTION("counta(iferror(UNIQUE(filter(DraftTracker!D:D,DraftTracker!E:E=A5))))"),13.0)</f>
        <v>13</v>
      </c>
      <c r="E5" s="172">
        <f>IFERROR(__xludf.DUMMYFUNCTION("counta(iferror(filter(DraftTracker!D:D,DraftTracker!E:E=A5,DraftTracker!G:G=""This is your wild card pick"")))"),3.0)</f>
        <v>3</v>
      </c>
    </row>
    <row r="6">
      <c r="A6" s="172" t="s">
        <v>535</v>
      </c>
      <c r="B6" s="172">
        <f>C6-counta('Draft Order'!B$2:B511)-E6</f>
        <v>0</v>
      </c>
      <c r="C6" s="172">
        <f t="array" ref="C6">counta(UNIQUE(offset(Teams!$A$2,0,row($A5)-1,30,1)))</f>
        <v>12</v>
      </c>
      <c r="D6" s="172">
        <f>IFERROR(__xludf.DUMMYFUNCTION("counta(iferror(UNIQUE(filter(DraftTracker!D:D,DraftTracker!E:E=A6))))"),12.0)</f>
        <v>12</v>
      </c>
      <c r="E6" s="172">
        <f>IFERROR(__xludf.DUMMYFUNCTION("counta(iferror(filter(DraftTracker!D:D,DraftTracker!E:E=A6,DraftTracker!G:G=""This is your wild card pick"")))"),0.0)</f>
        <v>0</v>
      </c>
    </row>
    <row r="7">
      <c r="A7" s="172" t="s">
        <v>530</v>
      </c>
      <c r="B7" s="172">
        <f>C7-counta('Draft Order'!B$2:B511)-E7</f>
        <v>1</v>
      </c>
      <c r="C7" s="172">
        <f t="array" ref="C7">counta(UNIQUE(offset(Teams!$A$2,0,row($A6)-1,30,1)))</f>
        <v>13</v>
      </c>
      <c r="D7" s="172">
        <f>IFERROR(__xludf.DUMMYFUNCTION("counta(iferror(UNIQUE(filter(DraftTracker!D:D,DraftTracker!E:E=A7))))"),13.0)</f>
        <v>13</v>
      </c>
      <c r="E7" s="172">
        <f>IFERROR(__xludf.DUMMYFUNCTION("counta(iferror(filter(DraftTracker!D:D,DraftTracker!E:E=A7,DraftTracker!G:G=""This is your wild card pick"")))"),0.0)</f>
        <v>0</v>
      </c>
    </row>
    <row r="8">
      <c r="A8" s="172" t="s">
        <v>525</v>
      </c>
      <c r="B8" s="172">
        <f>C8-counta('Draft Order'!B$2:B511)-E8</f>
        <v>0</v>
      </c>
      <c r="C8" s="172">
        <f t="array" ref="C8">counta(UNIQUE(offset(Teams!$A$2,0,row($A7)-1,30,1)))</f>
        <v>12</v>
      </c>
      <c r="D8" s="172">
        <f>IFERROR(__xludf.DUMMYFUNCTION("counta(iferror(UNIQUE(filter(DraftTracker!D:D,DraftTracker!E:E=A8))))"),12.0)</f>
        <v>12</v>
      </c>
      <c r="E8" s="172">
        <f>IFERROR(__xludf.DUMMYFUNCTION("counta(iferror(filter(DraftTracker!D:D,DraftTracker!E:E=A8,DraftTracker!G:G=""This is your wild card pick"")))"),0.0)</f>
        <v>0</v>
      </c>
    </row>
    <row r="9">
      <c r="A9" s="172" t="s">
        <v>680</v>
      </c>
      <c r="B9" s="172">
        <f>C9-counta('Draft Order'!B$2:B511)-E9</f>
        <v>-11</v>
      </c>
      <c r="C9" s="172">
        <f t="array" ref="C9">counta(UNIQUE(offset(Teams!$A$2,0,row($A8)-1,30,1)))</f>
        <v>2</v>
      </c>
      <c r="D9" s="172">
        <f>IFERROR(__xludf.DUMMYFUNCTION("counta(iferror(UNIQUE(filter(DraftTracker!D:D,DraftTracker!E:E=A9))))"),2.0)</f>
        <v>2</v>
      </c>
      <c r="E9" s="172">
        <f>IFERROR(__xludf.DUMMYFUNCTION("counta(iferror(filter(DraftTracker!D:D,DraftTracker!E:E=A9,DraftTracker!G:G=""This is your wild card pick"")))"),1.0)</f>
        <v>1</v>
      </c>
    </row>
    <row r="10">
      <c r="A10" s="172" t="s">
        <v>556</v>
      </c>
      <c r="B10" s="172">
        <f>C10-counta('Draft Order'!B$2:B511)-E10</f>
        <v>2</v>
      </c>
      <c r="C10" s="172">
        <f t="array" ref="C10">counta(UNIQUE(offset(Teams!$A$2,0,row($A9)-1,30,1)))</f>
        <v>16</v>
      </c>
      <c r="D10" s="172">
        <f>IFERROR(__xludf.DUMMYFUNCTION("counta(iferror(UNIQUE(filter(DraftTracker!D:D,DraftTracker!E:E=A10))))"),13.0)</f>
        <v>13</v>
      </c>
      <c r="E10" s="172">
        <f>IFERROR(__xludf.DUMMYFUNCTION("counta(iferror(filter(DraftTracker!D:D,DraftTracker!E:E=A10,DraftTracker!G:G=""This is your wild card pick"")))"),2.0)</f>
        <v>2</v>
      </c>
    </row>
    <row r="11">
      <c r="A11" s="172" t="s">
        <v>441</v>
      </c>
      <c r="B11" s="172">
        <f>C11-counta('Draft Order'!B$2:B511)-E11</f>
        <v>2</v>
      </c>
      <c r="C11" s="172">
        <f t="array" ref="C11">counta(UNIQUE(offset(Teams!$A$2,0,row($A10)-1,30,1)))</f>
        <v>14</v>
      </c>
      <c r="D11" s="172">
        <f>IFERROR(__xludf.DUMMYFUNCTION("counta(iferror(UNIQUE(filter(DraftTracker!D:D,DraftTracker!E:E=A11))))"),13.0)</f>
        <v>13</v>
      </c>
      <c r="E11" s="172">
        <f>IFERROR(__xludf.DUMMYFUNCTION("counta(iferror(filter(DraftTracker!D:D,DraftTracker!E:E=A11,DraftTracker!G:G=""This is your wild card pick"")))"),0.0)</f>
        <v>0</v>
      </c>
    </row>
    <row r="12">
      <c r="A12" s="172" t="s">
        <v>725</v>
      </c>
      <c r="B12" s="172">
        <f>C12-counta('Draft Order'!B$2:B511)-E12</f>
        <v>-12</v>
      </c>
      <c r="C12" s="172">
        <f t="array" ref="C12">counta(UNIQUE(offset(Teams!$A$2,0,row($A11)-1,30,1)))</f>
        <v>2</v>
      </c>
      <c r="D12" s="172">
        <f>IFERROR(__xludf.DUMMYFUNCTION("counta(iferror(UNIQUE(filter(DraftTracker!D:D,DraftTracker!E:E=A12))))"),2.0)</f>
        <v>2</v>
      </c>
      <c r="E12" s="172">
        <f>IFERROR(__xludf.DUMMYFUNCTION("counta(iferror(filter(DraftTracker!D:D,DraftTracker!E:E=A12,DraftTracker!G:G=""This is your wild card pick"")))"),2.0)</f>
        <v>2</v>
      </c>
    </row>
    <row r="13">
      <c r="A13" s="172"/>
      <c r="B13" s="172"/>
      <c r="C13" s="172"/>
      <c r="D13" s="172"/>
      <c r="E13" s="172"/>
    </row>
    <row r="14">
      <c r="A14" s="172"/>
      <c r="B14" s="172"/>
      <c r="C14" s="172"/>
      <c r="D14" s="172"/>
      <c r="E14" s="172"/>
    </row>
    <row r="15">
      <c r="A15" s="172"/>
      <c r="B15" s="172"/>
      <c r="C15" s="172"/>
      <c r="D15" s="172"/>
      <c r="E15" s="172"/>
    </row>
    <row r="16">
      <c r="A16" s="172"/>
      <c r="B16" s="172"/>
      <c r="C16" s="172"/>
      <c r="D16" s="172"/>
      <c r="E16" s="172"/>
    </row>
    <row r="17">
      <c r="A17" s="172"/>
      <c r="B17" s="172"/>
      <c r="C17" s="172"/>
      <c r="D17" s="172"/>
      <c r="E17" s="172"/>
    </row>
    <row r="18">
      <c r="A18" s="172"/>
      <c r="B18" s="172"/>
      <c r="C18" s="172"/>
      <c r="D18" s="172"/>
      <c r="E18" s="172"/>
    </row>
    <row r="19">
      <c r="A19" s="172"/>
      <c r="B19" s="172"/>
      <c r="C19" s="172"/>
      <c r="D19" s="172"/>
      <c r="E19" s="172"/>
    </row>
    <row r="20">
      <c r="A20" s="172"/>
      <c r="B20" s="172"/>
      <c r="C20" s="172"/>
      <c r="D20" s="172"/>
      <c r="E20" s="172"/>
    </row>
    <row r="21">
      <c r="A21" s="172"/>
      <c r="B21" s="172"/>
      <c r="C21" s="172"/>
      <c r="D21" s="172"/>
      <c r="E21" s="172"/>
    </row>
    <row r="22">
      <c r="A22" s="172"/>
      <c r="B22" s="172"/>
      <c r="C22" s="172"/>
      <c r="D22" s="172"/>
      <c r="E22" s="172"/>
    </row>
    <row r="23">
      <c r="A23" s="172"/>
      <c r="B23" s="172"/>
      <c r="C23" s="172"/>
      <c r="D23" s="172"/>
      <c r="E23" s="172"/>
    </row>
    <row r="24">
      <c r="A24" s="172"/>
      <c r="B24" s="172"/>
      <c r="C24" s="172"/>
      <c r="D24" s="172"/>
      <c r="E24" s="172"/>
    </row>
    <row r="25">
      <c r="A25" s="172"/>
      <c r="B25" s="172"/>
      <c r="C25" s="172"/>
      <c r="D25" s="172"/>
      <c r="E25" s="172"/>
    </row>
    <row r="26">
      <c r="A26" s="172"/>
      <c r="B26" s="172"/>
      <c r="C26" s="172"/>
      <c r="D26" s="172"/>
      <c r="E26" s="172"/>
    </row>
    <row r="27">
      <c r="A27" s="172"/>
      <c r="B27" s="172"/>
      <c r="C27" s="172"/>
      <c r="D27" s="172"/>
      <c r="E27" s="172"/>
    </row>
    <row r="28">
      <c r="A28" s="172"/>
      <c r="B28" s="172"/>
      <c r="C28" s="172"/>
      <c r="D28" s="172"/>
      <c r="E28" s="172"/>
    </row>
    <row r="29">
      <c r="A29" s="172"/>
      <c r="B29" s="172"/>
      <c r="C29" s="172"/>
      <c r="D29" s="172"/>
      <c r="E29" s="172"/>
    </row>
    <row r="30">
      <c r="A30" s="172"/>
      <c r="B30" s="172"/>
      <c r="C30" s="172"/>
      <c r="D30" s="172"/>
      <c r="E30" s="172"/>
    </row>
    <row r="31">
      <c r="A31" s="172"/>
      <c r="B31" s="172"/>
      <c r="C31" s="172"/>
      <c r="D31" s="172"/>
      <c r="E31" s="172"/>
    </row>
    <row r="32">
      <c r="A32" s="172"/>
      <c r="B32" s="172"/>
      <c r="C32" s="172"/>
      <c r="D32" s="172"/>
      <c r="E32" s="172"/>
    </row>
    <row r="33">
      <c r="A33" s="172"/>
      <c r="B33" s="172"/>
      <c r="C33" s="172"/>
      <c r="D33" s="172"/>
      <c r="E33" s="172"/>
    </row>
    <row r="34">
      <c r="A34" s="172"/>
      <c r="B34" s="172"/>
      <c r="C34" s="172"/>
      <c r="D34" s="172"/>
      <c r="E34" s="172"/>
    </row>
    <row r="35">
      <c r="A35" s="172"/>
      <c r="B35" s="172"/>
      <c r="C35" s="172"/>
      <c r="D35" s="172"/>
      <c r="E35" s="172"/>
    </row>
    <row r="36">
      <c r="A36" s="172"/>
      <c r="B36" s="172"/>
      <c r="C36" s="172"/>
      <c r="D36" s="172"/>
      <c r="E36" s="172"/>
    </row>
    <row r="37">
      <c r="A37" s="172"/>
      <c r="B37" s="172"/>
      <c r="C37" s="172"/>
      <c r="D37" s="172"/>
      <c r="E37" s="172"/>
    </row>
    <row r="38">
      <c r="A38" s="172"/>
      <c r="B38" s="172"/>
      <c r="C38" s="172"/>
      <c r="D38" s="172"/>
      <c r="E38" s="172"/>
    </row>
    <row r="39">
      <c r="A39" s="172"/>
      <c r="B39" s="172"/>
      <c r="C39" s="172"/>
      <c r="D39" s="172"/>
      <c r="E39" s="172"/>
    </row>
    <row r="40">
      <c r="A40" s="172"/>
      <c r="B40" s="172"/>
      <c r="C40" s="172"/>
      <c r="D40" s="172"/>
      <c r="E40" s="172"/>
    </row>
    <row r="41">
      <c r="A41" s="172"/>
      <c r="B41" s="172"/>
      <c r="C41" s="172"/>
      <c r="D41" s="172"/>
      <c r="E41" s="172"/>
    </row>
    <row r="42">
      <c r="A42" s="172"/>
      <c r="B42" s="172"/>
      <c r="C42" s="172"/>
      <c r="D42" s="172"/>
      <c r="E42" s="172"/>
    </row>
    <row r="43">
      <c r="A43" s="172"/>
      <c r="B43" s="172"/>
      <c r="C43" s="172"/>
      <c r="D43" s="172"/>
      <c r="E43" s="172"/>
    </row>
    <row r="44">
      <c r="A44" s="172"/>
      <c r="B44" s="172"/>
      <c r="C44" s="172"/>
      <c r="D44" s="172"/>
      <c r="E44" s="172"/>
    </row>
    <row r="45">
      <c r="A45" s="172"/>
      <c r="B45" s="172"/>
      <c r="C45" s="172"/>
      <c r="D45" s="172"/>
      <c r="E45" s="172"/>
    </row>
    <row r="46">
      <c r="A46" s="172"/>
      <c r="B46" s="172"/>
      <c r="C46" s="172"/>
      <c r="D46" s="172"/>
      <c r="E46" s="172"/>
    </row>
    <row r="47">
      <c r="A47" s="172"/>
      <c r="B47" s="172"/>
      <c r="C47" s="172"/>
      <c r="D47" s="172"/>
      <c r="E47" s="172"/>
    </row>
    <row r="48">
      <c r="A48" s="172"/>
      <c r="B48" s="172"/>
      <c r="C48" s="172"/>
      <c r="D48" s="172"/>
      <c r="E48" s="172"/>
    </row>
    <row r="49">
      <c r="A49" s="172"/>
      <c r="B49" s="172"/>
      <c r="C49" s="172"/>
      <c r="D49" s="172"/>
      <c r="E49" s="172"/>
    </row>
    <row r="50">
      <c r="A50" s="172"/>
      <c r="B50" s="172"/>
      <c r="C50" s="172"/>
      <c r="D50" s="172"/>
      <c r="E50" s="172"/>
    </row>
    <row r="51">
      <c r="A51" s="172"/>
      <c r="B51" s="172"/>
      <c r="C51" s="172"/>
      <c r="D51" s="172"/>
      <c r="E51" s="172"/>
    </row>
    <row r="52">
      <c r="A52" s="172"/>
      <c r="B52" s="172"/>
      <c r="C52" s="172"/>
      <c r="D52" s="172"/>
      <c r="E52" s="172"/>
    </row>
    <row r="53">
      <c r="A53" s="172"/>
      <c r="B53" s="172"/>
      <c r="C53" s="172"/>
      <c r="D53" s="172"/>
      <c r="E53" s="172"/>
    </row>
    <row r="54">
      <c r="A54" s="172"/>
      <c r="B54" s="172"/>
      <c r="C54" s="172"/>
      <c r="D54" s="172"/>
      <c r="E54" s="172"/>
    </row>
    <row r="55">
      <c r="A55" s="172"/>
      <c r="B55" s="172"/>
      <c r="C55" s="172"/>
      <c r="D55" s="172"/>
      <c r="E55" s="172"/>
    </row>
    <row r="56">
      <c r="A56" s="172"/>
      <c r="B56" s="172"/>
      <c r="C56" s="172"/>
      <c r="D56" s="172"/>
      <c r="E56" s="172"/>
    </row>
    <row r="57">
      <c r="A57" s="172"/>
      <c r="B57" s="172"/>
      <c r="C57" s="172"/>
      <c r="D57" s="172"/>
      <c r="E57" s="172"/>
    </row>
    <row r="58">
      <c r="A58" s="172"/>
      <c r="B58" s="172"/>
      <c r="C58" s="172"/>
      <c r="D58" s="172"/>
      <c r="E58" s="172"/>
    </row>
    <row r="59">
      <c r="A59" s="172"/>
      <c r="B59" s="172"/>
      <c r="C59" s="172"/>
      <c r="D59" s="172"/>
      <c r="E59" s="172"/>
    </row>
    <row r="60">
      <c r="A60" s="172"/>
      <c r="B60" s="172"/>
      <c r="C60" s="172"/>
      <c r="D60" s="172"/>
      <c r="E60" s="172"/>
    </row>
    <row r="61">
      <c r="A61" s="172"/>
      <c r="B61" s="172"/>
      <c r="C61" s="172"/>
      <c r="D61" s="172"/>
      <c r="E61" s="172"/>
    </row>
    <row r="62">
      <c r="A62" s="172"/>
      <c r="B62" s="172"/>
      <c r="C62" s="172"/>
      <c r="D62" s="172"/>
      <c r="E62" s="172"/>
    </row>
    <row r="63">
      <c r="A63" s="172"/>
      <c r="B63" s="172"/>
      <c r="C63" s="172"/>
      <c r="D63" s="172"/>
      <c r="E63" s="172"/>
    </row>
    <row r="64">
      <c r="A64" s="172"/>
      <c r="B64" s="172"/>
      <c r="C64" s="172"/>
      <c r="D64" s="172"/>
      <c r="E64" s="172"/>
    </row>
    <row r="65">
      <c r="A65" s="172"/>
      <c r="B65" s="172"/>
      <c r="C65" s="172"/>
      <c r="D65" s="172"/>
      <c r="E65" s="172"/>
    </row>
    <row r="66">
      <c r="A66" s="172"/>
      <c r="B66" s="172"/>
      <c r="C66" s="172"/>
      <c r="D66" s="172"/>
      <c r="E66" s="172"/>
    </row>
    <row r="67">
      <c r="A67" s="172"/>
      <c r="B67" s="172"/>
      <c r="C67" s="172"/>
      <c r="D67" s="172"/>
      <c r="E67" s="172"/>
    </row>
    <row r="68">
      <c r="A68" s="172"/>
      <c r="B68" s="172"/>
      <c r="C68" s="172"/>
      <c r="D68" s="172"/>
      <c r="E68" s="172"/>
    </row>
    <row r="69">
      <c r="A69" s="172"/>
      <c r="B69" s="172"/>
      <c r="C69" s="172"/>
      <c r="D69" s="172"/>
      <c r="E69" s="172"/>
    </row>
    <row r="70">
      <c r="A70" s="172"/>
      <c r="B70" s="172"/>
      <c r="C70" s="172"/>
      <c r="D70" s="172"/>
      <c r="E70" s="172"/>
    </row>
    <row r="71">
      <c r="A71" s="172"/>
      <c r="B71" s="172"/>
      <c r="C71" s="172"/>
      <c r="D71" s="172"/>
      <c r="E71" s="172"/>
    </row>
    <row r="72">
      <c r="A72" s="172"/>
      <c r="B72" s="172"/>
      <c r="C72" s="172"/>
      <c r="D72" s="172"/>
      <c r="E72" s="172"/>
    </row>
    <row r="73">
      <c r="A73" s="172"/>
      <c r="B73" s="172"/>
      <c r="C73" s="172"/>
      <c r="D73" s="172"/>
      <c r="E73" s="172"/>
    </row>
    <row r="74">
      <c r="A74" s="172"/>
      <c r="B74" s="172"/>
      <c r="C74" s="172"/>
      <c r="D74" s="172"/>
      <c r="E74" s="172"/>
    </row>
    <row r="75">
      <c r="A75" s="172"/>
      <c r="B75" s="172"/>
      <c r="C75" s="172"/>
      <c r="D75" s="172"/>
      <c r="E75" s="172"/>
    </row>
    <row r="76">
      <c r="A76" s="172"/>
      <c r="B76" s="172"/>
      <c r="C76" s="172"/>
      <c r="D76" s="172"/>
      <c r="E76" s="172"/>
    </row>
    <row r="77">
      <c r="A77" s="172"/>
      <c r="B77" s="172"/>
      <c r="C77" s="172"/>
      <c r="D77" s="172"/>
      <c r="E77" s="172"/>
    </row>
    <row r="78">
      <c r="A78" s="172"/>
      <c r="B78" s="172"/>
      <c r="C78" s="172"/>
      <c r="D78" s="172"/>
      <c r="E78" s="172"/>
    </row>
    <row r="79">
      <c r="A79" s="172"/>
      <c r="B79" s="172"/>
      <c r="C79" s="172"/>
      <c r="D79" s="172"/>
      <c r="E79" s="172"/>
    </row>
    <row r="80">
      <c r="A80" s="172"/>
      <c r="B80" s="172"/>
      <c r="C80" s="172"/>
      <c r="D80" s="172"/>
      <c r="E80" s="172"/>
    </row>
    <row r="81">
      <c r="A81" s="172"/>
      <c r="B81" s="172"/>
      <c r="C81" s="172"/>
      <c r="D81" s="172"/>
      <c r="E81" s="172"/>
    </row>
    <row r="82">
      <c r="A82" s="172"/>
      <c r="B82" s="172"/>
      <c r="C82" s="172"/>
      <c r="D82" s="172"/>
      <c r="E82" s="172"/>
    </row>
    <row r="83">
      <c r="A83" s="172"/>
      <c r="B83" s="172"/>
      <c r="C83" s="172"/>
      <c r="D83" s="172"/>
      <c r="E83" s="172"/>
    </row>
    <row r="84">
      <c r="A84" s="172"/>
      <c r="B84" s="172"/>
      <c r="C84" s="172"/>
      <c r="D84" s="172"/>
      <c r="E84" s="172"/>
    </row>
    <row r="85">
      <c r="A85" s="172"/>
      <c r="B85" s="172"/>
      <c r="C85" s="172"/>
      <c r="D85" s="172"/>
      <c r="E85" s="172"/>
    </row>
    <row r="86">
      <c r="A86" s="172"/>
      <c r="B86" s="172"/>
      <c r="C86" s="172"/>
      <c r="D86" s="172"/>
      <c r="E86" s="172"/>
    </row>
    <row r="87">
      <c r="A87" s="172"/>
      <c r="B87" s="172"/>
      <c r="C87" s="172"/>
      <c r="D87" s="172"/>
      <c r="E87" s="172"/>
    </row>
    <row r="88">
      <c r="A88" s="172"/>
      <c r="B88" s="172"/>
      <c r="C88" s="172"/>
      <c r="D88" s="172"/>
      <c r="E88" s="172"/>
    </row>
    <row r="89">
      <c r="A89" s="172"/>
      <c r="B89" s="172"/>
      <c r="C89" s="172"/>
      <c r="D89" s="172"/>
      <c r="E89" s="172"/>
    </row>
    <row r="90">
      <c r="A90" s="172"/>
      <c r="B90" s="172"/>
      <c r="C90" s="172"/>
      <c r="D90" s="172"/>
      <c r="E90" s="172"/>
    </row>
    <row r="91">
      <c r="A91" s="172"/>
      <c r="B91" s="172"/>
      <c r="C91" s="172"/>
      <c r="D91" s="172"/>
      <c r="E91" s="172"/>
    </row>
    <row r="92">
      <c r="A92" s="172"/>
      <c r="B92" s="172"/>
      <c r="C92" s="172"/>
      <c r="D92" s="172"/>
      <c r="E92" s="172"/>
    </row>
    <row r="93">
      <c r="A93" s="172"/>
      <c r="B93" s="172"/>
      <c r="C93" s="172"/>
      <c r="D93" s="172"/>
      <c r="E93" s="172"/>
    </row>
    <row r="94">
      <c r="A94" s="172"/>
      <c r="B94" s="172"/>
      <c r="C94" s="172"/>
      <c r="D94" s="172"/>
      <c r="E94" s="172"/>
    </row>
    <row r="95">
      <c r="A95" s="172"/>
      <c r="B95" s="172"/>
      <c r="C95" s="172"/>
      <c r="D95" s="172"/>
      <c r="E95" s="172"/>
    </row>
    <row r="96">
      <c r="A96" s="172"/>
      <c r="B96" s="172"/>
      <c r="C96" s="172"/>
      <c r="D96" s="172"/>
      <c r="E96" s="172"/>
    </row>
    <row r="97">
      <c r="A97" s="172"/>
      <c r="B97" s="172"/>
      <c r="C97" s="172"/>
      <c r="D97" s="172"/>
      <c r="E97" s="172"/>
    </row>
    <row r="98">
      <c r="A98" s="172"/>
      <c r="B98" s="172"/>
      <c r="C98" s="172"/>
      <c r="D98" s="172"/>
      <c r="E98" s="172"/>
    </row>
    <row r="99">
      <c r="A99" s="172"/>
      <c r="B99" s="172"/>
      <c r="C99" s="172"/>
      <c r="D99" s="172"/>
      <c r="E99" s="172"/>
    </row>
    <row r="100">
      <c r="A100" s="172"/>
      <c r="B100" s="172"/>
      <c r="C100" s="172"/>
      <c r="D100" s="172"/>
      <c r="E100" s="172"/>
    </row>
    <row r="101">
      <c r="A101" s="172"/>
      <c r="B101" s="172"/>
      <c r="C101" s="172"/>
      <c r="D101" s="172"/>
      <c r="E101" s="172"/>
    </row>
    <row r="102">
      <c r="A102" s="172"/>
      <c r="B102" s="172"/>
      <c r="C102" s="172"/>
      <c r="D102" s="172"/>
      <c r="E102" s="172"/>
    </row>
    <row r="103">
      <c r="A103" s="172"/>
      <c r="B103" s="172"/>
      <c r="C103" s="172"/>
      <c r="D103" s="172"/>
      <c r="E103" s="172"/>
    </row>
    <row r="104">
      <c r="A104" s="172"/>
      <c r="B104" s="172"/>
      <c r="C104" s="172"/>
      <c r="D104" s="172"/>
      <c r="E104" s="172"/>
    </row>
    <row r="105">
      <c r="A105" s="172"/>
      <c r="B105" s="172"/>
      <c r="C105" s="172"/>
      <c r="D105" s="172"/>
      <c r="E105" s="172"/>
    </row>
    <row r="106">
      <c r="A106" s="172"/>
      <c r="B106" s="172"/>
      <c r="C106" s="172"/>
      <c r="D106" s="172"/>
      <c r="E106" s="172"/>
    </row>
    <row r="107">
      <c r="A107" s="172"/>
      <c r="B107" s="172"/>
      <c r="C107" s="172"/>
      <c r="D107" s="172"/>
      <c r="E107" s="172"/>
    </row>
    <row r="108">
      <c r="A108" s="172"/>
      <c r="B108" s="172"/>
      <c r="C108" s="172"/>
      <c r="D108" s="172"/>
      <c r="E108" s="172"/>
    </row>
    <row r="109">
      <c r="A109" s="172"/>
      <c r="B109" s="172"/>
      <c r="C109" s="172"/>
      <c r="D109" s="172"/>
      <c r="E109" s="172"/>
    </row>
    <row r="110">
      <c r="A110" s="172"/>
      <c r="B110" s="172"/>
      <c r="C110" s="172"/>
      <c r="D110" s="172"/>
      <c r="E110" s="172"/>
    </row>
    <row r="111">
      <c r="A111" s="172"/>
      <c r="B111" s="172"/>
      <c r="C111" s="172"/>
      <c r="D111" s="172"/>
      <c r="E111" s="172"/>
    </row>
    <row r="112">
      <c r="A112" s="172"/>
      <c r="B112" s="172"/>
      <c r="C112" s="172"/>
      <c r="D112" s="172"/>
      <c r="E112" s="172"/>
    </row>
    <row r="113">
      <c r="A113" s="172"/>
      <c r="B113" s="172"/>
      <c r="C113" s="172"/>
      <c r="D113" s="172"/>
      <c r="E113" s="172"/>
    </row>
    <row r="114">
      <c r="A114" s="172"/>
      <c r="B114" s="172"/>
      <c r="C114" s="172"/>
      <c r="D114" s="172"/>
      <c r="E114" s="172"/>
    </row>
    <row r="115">
      <c r="A115" s="172"/>
      <c r="B115" s="172"/>
      <c r="C115" s="172"/>
      <c r="D115" s="172"/>
      <c r="E115" s="172"/>
    </row>
    <row r="116">
      <c r="A116" s="172"/>
      <c r="B116" s="172"/>
      <c r="C116" s="172"/>
      <c r="D116" s="172"/>
      <c r="E116" s="172"/>
    </row>
    <row r="117">
      <c r="A117" s="172"/>
      <c r="B117" s="172"/>
      <c r="C117" s="172"/>
      <c r="D117" s="172"/>
      <c r="E117" s="172"/>
    </row>
    <row r="118">
      <c r="A118" s="172"/>
      <c r="B118" s="172"/>
      <c r="C118" s="172"/>
      <c r="D118" s="172"/>
      <c r="E118" s="172"/>
    </row>
    <row r="119">
      <c r="A119" s="172"/>
      <c r="B119" s="172"/>
      <c r="C119" s="172"/>
      <c r="D119" s="172"/>
      <c r="E119" s="172"/>
    </row>
    <row r="120">
      <c r="A120" s="172"/>
      <c r="B120" s="172"/>
      <c r="C120" s="172"/>
      <c r="D120" s="172"/>
      <c r="E120" s="172"/>
    </row>
    <row r="121">
      <c r="A121" s="172"/>
      <c r="B121" s="172"/>
      <c r="C121" s="172"/>
      <c r="D121" s="172"/>
      <c r="E121" s="172"/>
    </row>
    <row r="122">
      <c r="A122" s="172"/>
      <c r="B122" s="172"/>
      <c r="C122" s="172"/>
      <c r="D122" s="172"/>
      <c r="E122" s="172"/>
    </row>
    <row r="123">
      <c r="A123" s="172"/>
      <c r="B123" s="172"/>
      <c r="C123" s="172"/>
      <c r="D123" s="172"/>
      <c r="E123" s="172"/>
    </row>
    <row r="124">
      <c r="A124" s="172"/>
      <c r="B124" s="172"/>
      <c r="C124" s="172"/>
      <c r="D124" s="172"/>
      <c r="E124" s="172"/>
    </row>
    <row r="125">
      <c r="A125" s="172"/>
      <c r="B125" s="172"/>
      <c r="C125" s="172"/>
      <c r="D125" s="172"/>
      <c r="E125" s="172"/>
    </row>
    <row r="126">
      <c r="A126" s="172"/>
      <c r="B126" s="172"/>
      <c r="C126" s="172"/>
      <c r="D126" s="172"/>
      <c r="E126" s="172"/>
    </row>
    <row r="127">
      <c r="A127" s="172"/>
      <c r="B127" s="172"/>
      <c r="C127" s="172"/>
      <c r="D127" s="172"/>
      <c r="E127" s="172"/>
    </row>
    <row r="128">
      <c r="A128" s="172"/>
      <c r="B128" s="172"/>
      <c r="C128" s="172"/>
      <c r="D128" s="172"/>
      <c r="E128" s="172"/>
    </row>
    <row r="129">
      <c r="A129" s="172"/>
      <c r="B129" s="172"/>
      <c r="C129" s="172"/>
      <c r="D129" s="172"/>
      <c r="E129" s="172"/>
    </row>
    <row r="130">
      <c r="A130" s="172"/>
      <c r="B130" s="172"/>
      <c r="C130" s="172"/>
      <c r="D130" s="172"/>
      <c r="E130" s="172"/>
    </row>
    <row r="131">
      <c r="A131" s="172"/>
      <c r="B131" s="172"/>
      <c r="C131" s="172"/>
      <c r="D131" s="172"/>
      <c r="E131" s="172"/>
    </row>
    <row r="132">
      <c r="A132" s="172"/>
      <c r="B132" s="172"/>
      <c r="C132" s="172"/>
      <c r="D132" s="172"/>
      <c r="E132" s="172"/>
    </row>
    <row r="133">
      <c r="A133" s="172"/>
      <c r="B133" s="172"/>
      <c r="C133" s="172"/>
      <c r="D133" s="172"/>
      <c r="E133" s="172"/>
    </row>
    <row r="134">
      <c r="A134" s="172"/>
      <c r="B134" s="172"/>
      <c r="C134" s="172"/>
      <c r="D134" s="172"/>
      <c r="E134" s="172"/>
    </row>
    <row r="135">
      <c r="A135" s="172"/>
      <c r="B135" s="172"/>
      <c r="C135" s="172"/>
      <c r="D135" s="172"/>
      <c r="E135" s="172"/>
    </row>
    <row r="136">
      <c r="A136" s="172"/>
      <c r="B136" s="172"/>
      <c r="C136" s="172"/>
      <c r="D136" s="172"/>
      <c r="E136" s="172"/>
    </row>
    <row r="137">
      <c r="A137" s="172"/>
      <c r="B137" s="172"/>
      <c r="C137" s="172"/>
      <c r="D137" s="172"/>
      <c r="E137" s="172"/>
    </row>
    <row r="138">
      <c r="A138" s="172"/>
      <c r="B138" s="172"/>
      <c r="C138" s="172"/>
      <c r="D138" s="172"/>
      <c r="E138" s="172"/>
    </row>
    <row r="139">
      <c r="A139" s="172"/>
      <c r="B139" s="172"/>
      <c r="C139" s="172"/>
      <c r="D139" s="172"/>
      <c r="E139" s="172"/>
    </row>
    <row r="140">
      <c r="A140" s="172"/>
      <c r="B140" s="172"/>
      <c r="C140" s="172"/>
      <c r="D140" s="172"/>
      <c r="E140" s="172"/>
    </row>
    <row r="141">
      <c r="A141" s="172"/>
      <c r="B141" s="172"/>
      <c r="C141" s="172"/>
      <c r="D141" s="172"/>
      <c r="E141" s="172"/>
    </row>
    <row r="142">
      <c r="A142" s="172"/>
      <c r="B142" s="172"/>
      <c r="C142" s="172"/>
      <c r="D142" s="172"/>
      <c r="E142" s="172"/>
    </row>
    <row r="143">
      <c r="A143" s="172"/>
      <c r="B143" s="172"/>
      <c r="C143" s="172"/>
      <c r="D143" s="172"/>
      <c r="E143" s="172"/>
    </row>
    <row r="144">
      <c r="A144" s="172"/>
      <c r="B144" s="172"/>
      <c r="C144" s="172"/>
      <c r="D144" s="172"/>
      <c r="E144" s="172"/>
    </row>
    <row r="145">
      <c r="A145" s="172"/>
      <c r="B145" s="172"/>
      <c r="C145" s="172"/>
      <c r="D145" s="172"/>
      <c r="E145" s="172"/>
    </row>
    <row r="146">
      <c r="A146" s="172"/>
      <c r="B146" s="172"/>
      <c r="C146" s="172"/>
      <c r="D146" s="172"/>
      <c r="E146" s="172"/>
    </row>
    <row r="147">
      <c r="A147" s="172"/>
      <c r="B147" s="172"/>
      <c r="C147" s="172"/>
      <c r="D147" s="172"/>
      <c r="E147" s="172"/>
    </row>
    <row r="148">
      <c r="A148" s="172"/>
      <c r="B148" s="172"/>
      <c r="C148" s="172"/>
      <c r="D148" s="172"/>
      <c r="E148" s="172"/>
    </row>
    <row r="149">
      <c r="A149" s="172"/>
      <c r="B149" s="172"/>
      <c r="C149" s="172"/>
      <c r="D149" s="172"/>
      <c r="E149" s="172"/>
    </row>
    <row r="150">
      <c r="A150" s="172"/>
      <c r="B150" s="172"/>
      <c r="C150" s="172"/>
      <c r="D150" s="172"/>
      <c r="E150" s="172"/>
    </row>
    <row r="151">
      <c r="A151" s="172"/>
      <c r="B151" s="172"/>
      <c r="C151" s="172"/>
      <c r="D151" s="172"/>
      <c r="E151" s="172"/>
    </row>
    <row r="152">
      <c r="A152" s="172"/>
      <c r="B152" s="172"/>
      <c r="C152" s="172"/>
      <c r="D152" s="172"/>
      <c r="E152" s="172"/>
    </row>
    <row r="153">
      <c r="A153" s="172"/>
      <c r="B153" s="172"/>
      <c r="C153" s="172"/>
      <c r="D153" s="172"/>
      <c r="E153" s="172"/>
    </row>
    <row r="154">
      <c r="A154" s="172"/>
      <c r="B154" s="172"/>
      <c r="C154" s="172"/>
      <c r="D154" s="172"/>
      <c r="E154" s="172"/>
    </row>
    <row r="155">
      <c r="A155" s="172"/>
      <c r="B155" s="172"/>
      <c r="C155" s="172"/>
      <c r="D155" s="172"/>
      <c r="E155" s="172"/>
    </row>
    <row r="156">
      <c r="A156" s="172"/>
      <c r="B156" s="172"/>
      <c r="C156" s="172"/>
      <c r="D156" s="172"/>
      <c r="E156" s="172"/>
    </row>
    <row r="157">
      <c r="A157" s="172"/>
      <c r="B157" s="172"/>
      <c r="C157" s="172"/>
      <c r="D157" s="172"/>
      <c r="E157" s="172"/>
    </row>
    <row r="158">
      <c r="A158" s="172"/>
      <c r="B158" s="172"/>
      <c r="C158" s="172"/>
      <c r="D158" s="172"/>
      <c r="E158" s="172"/>
    </row>
    <row r="159">
      <c r="A159" s="172"/>
      <c r="B159" s="172"/>
      <c r="C159" s="172"/>
      <c r="D159" s="172"/>
      <c r="E159" s="172"/>
    </row>
    <row r="160">
      <c r="A160" s="172"/>
      <c r="B160" s="172"/>
      <c r="C160" s="172"/>
      <c r="D160" s="172"/>
      <c r="E160" s="172"/>
    </row>
    <row r="161">
      <c r="A161" s="172"/>
      <c r="B161" s="172"/>
      <c r="C161" s="172"/>
      <c r="D161" s="172"/>
      <c r="E161" s="172"/>
    </row>
    <row r="162">
      <c r="A162" s="172"/>
      <c r="B162" s="172"/>
      <c r="C162" s="172"/>
      <c r="D162" s="172"/>
      <c r="E162" s="172"/>
    </row>
    <row r="163">
      <c r="A163" s="172"/>
      <c r="B163" s="172"/>
      <c r="C163" s="172"/>
      <c r="D163" s="172"/>
      <c r="E163" s="172"/>
    </row>
    <row r="164">
      <c r="A164" s="172"/>
      <c r="B164" s="172"/>
      <c r="C164" s="172"/>
      <c r="D164" s="172"/>
      <c r="E164" s="172"/>
    </row>
    <row r="165">
      <c r="A165" s="172"/>
      <c r="B165" s="172"/>
      <c r="C165" s="172"/>
      <c r="D165" s="172"/>
      <c r="E165" s="172"/>
    </row>
    <row r="166">
      <c r="A166" s="172"/>
      <c r="B166" s="172"/>
      <c r="C166" s="172"/>
      <c r="D166" s="172"/>
      <c r="E166" s="172"/>
    </row>
    <row r="167">
      <c r="A167" s="172"/>
      <c r="B167" s="172"/>
      <c r="C167" s="172"/>
      <c r="D167" s="172"/>
      <c r="E167" s="172"/>
    </row>
    <row r="168">
      <c r="A168" s="172"/>
      <c r="B168" s="172"/>
      <c r="C168" s="172"/>
      <c r="D168" s="172"/>
      <c r="E168" s="172"/>
    </row>
    <row r="169">
      <c r="A169" s="172"/>
      <c r="B169" s="172"/>
      <c r="C169" s="172"/>
      <c r="D169" s="172"/>
      <c r="E169" s="172"/>
    </row>
    <row r="170">
      <c r="A170" s="172"/>
      <c r="B170" s="172"/>
      <c r="C170" s="172"/>
      <c r="D170" s="172"/>
      <c r="E170" s="172"/>
    </row>
    <row r="171">
      <c r="A171" s="172"/>
      <c r="B171" s="172"/>
      <c r="C171" s="172"/>
      <c r="D171" s="172"/>
      <c r="E171" s="172"/>
    </row>
    <row r="172">
      <c r="A172" s="172"/>
      <c r="B172" s="172"/>
      <c r="C172" s="172"/>
      <c r="D172" s="172"/>
      <c r="E172" s="172"/>
    </row>
    <row r="173">
      <c r="A173" s="172"/>
      <c r="B173" s="172"/>
      <c r="C173" s="172"/>
      <c r="D173" s="172"/>
      <c r="E173" s="172"/>
    </row>
    <row r="174">
      <c r="A174" s="172"/>
      <c r="B174" s="172"/>
      <c r="C174" s="172"/>
      <c r="D174" s="172"/>
      <c r="E174" s="172"/>
    </row>
    <row r="175">
      <c r="A175" s="172"/>
      <c r="B175" s="172"/>
      <c r="C175" s="172"/>
      <c r="D175" s="172"/>
      <c r="E175" s="172"/>
    </row>
    <row r="176">
      <c r="A176" s="172"/>
      <c r="B176" s="172"/>
      <c r="C176" s="172"/>
      <c r="D176" s="172"/>
      <c r="E176" s="172"/>
    </row>
    <row r="177">
      <c r="A177" s="172"/>
      <c r="B177" s="172"/>
      <c r="C177" s="172"/>
      <c r="D177" s="172"/>
      <c r="E177" s="172"/>
    </row>
    <row r="178">
      <c r="A178" s="172"/>
      <c r="B178" s="172"/>
      <c r="C178" s="172"/>
      <c r="D178" s="172"/>
      <c r="E178" s="172"/>
    </row>
    <row r="179">
      <c r="A179" s="172"/>
      <c r="B179" s="172"/>
      <c r="C179" s="172"/>
      <c r="D179" s="172"/>
      <c r="E179" s="172"/>
    </row>
    <row r="180">
      <c r="A180" s="172"/>
      <c r="B180" s="172"/>
      <c r="C180" s="172"/>
      <c r="D180" s="172"/>
      <c r="E180" s="172"/>
    </row>
    <row r="181">
      <c r="A181" s="172"/>
      <c r="B181" s="172"/>
      <c r="C181" s="172"/>
      <c r="D181" s="172"/>
      <c r="E181" s="172"/>
    </row>
    <row r="182">
      <c r="A182" s="172"/>
      <c r="B182" s="172"/>
      <c r="C182" s="172"/>
      <c r="D182" s="172"/>
      <c r="E182" s="172"/>
    </row>
    <row r="183">
      <c r="A183" s="172"/>
      <c r="B183" s="172"/>
      <c r="C183" s="172"/>
      <c r="D183" s="172"/>
      <c r="E183" s="172"/>
    </row>
    <row r="184">
      <c r="A184" s="172"/>
      <c r="B184" s="172"/>
      <c r="C184" s="172"/>
      <c r="D184" s="172"/>
      <c r="E184" s="172"/>
    </row>
    <row r="185">
      <c r="A185" s="172"/>
      <c r="B185" s="172"/>
      <c r="C185" s="172"/>
      <c r="D185" s="172"/>
      <c r="E185" s="172"/>
    </row>
    <row r="186">
      <c r="A186" s="172"/>
      <c r="B186" s="172"/>
      <c r="C186" s="172"/>
      <c r="D186" s="172"/>
      <c r="E186" s="172"/>
    </row>
    <row r="187">
      <c r="A187" s="172"/>
      <c r="B187" s="172"/>
      <c r="C187" s="172"/>
      <c r="D187" s="172"/>
      <c r="E187" s="172"/>
    </row>
    <row r="188">
      <c r="A188" s="172"/>
      <c r="B188" s="172"/>
      <c r="C188" s="172"/>
      <c r="D188" s="172"/>
      <c r="E188" s="172"/>
    </row>
    <row r="189">
      <c r="A189" s="172"/>
      <c r="B189" s="172"/>
      <c r="C189" s="172"/>
      <c r="D189" s="172"/>
      <c r="E189" s="172"/>
    </row>
    <row r="190">
      <c r="A190" s="172"/>
      <c r="B190" s="172"/>
      <c r="C190" s="172"/>
      <c r="D190" s="172"/>
      <c r="E190" s="172"/>
    </row>
    <row r="191">
      <c r="A191" s="172"/>
      <c r="B191" s="172"/>
      <c r="C191" s="172"/>
      <c r="D191" s="172"/>
      <c r="E191" s="172"/>
    </row>
    <row r="192">
      <c r="A192" s="172"/>
      <c r="B192" s="172"/>
      <c r="C192" s="172"/>
      <c r="D192" s="172"/>
      <c r="E192" s="172"/>
    </row>
    <row r="193">
      <c r="A193" s="172"/>
      <c r="B193" s="172"/>
      <c r="C193" s="172"/>
      <c r="D193" s="172"/>
      <c r="E193" s="172"/>
    </row>
    <row r="194">
      <c r="A194" s="172"/>
      <c r="B194" s="172"/>
      <c r="C194" s="172"/>
      <c r="D194" s="172"/>
      <c r="E194" s="172"/>
    </row>
    <row r="195">
      <c r="A195" s="172"/>
      <c r="B195" s="172"/>
      <c r="C195" s="172"/>
      <c r="D195" s="172"/>
      <c r="E195" s="172"/>
    </row>
    <row r="196">
      <c r="A196" s="172"/>
      <c r="B196" s="172"/>
      <c r="C196" s="172"/>
      <c r="D196" s="172"/>
      <c r="E196" s="172"/>
    </row>
    <row r="197">
      <c r="A197" s="172"/>
      <c r="B197" s="172"/>
      <c r="C197" s="172"/>
      <c r="D197" s="172"/>
      <c r="E197" s="172"/>
    </row>
    <row r="198">
      <c r="A198" s="172"/>
      <c r="B198" s="172"/>
      <c r="C198" s="172"/>
      <c r="D198" s="172"/>
      <c r="E198" s="172"/>
    </row>
    <row r="199">
      <c r="A199" s="172"/>
      <c r="B199" s="172"/>
      <c r="C199" s="172"/>
      <c r="D199" s="172"/>
      <c r="E199" s="172"/>
    </row>
    <row r="200">
      <c r="A200" s="172"/>
      <c r="B200" s="172"/>
      <c r="C200" s="172"/>
      <c r="D200" s="172"/>
      <c r="E200" s="172"/>
    </row>
    <row r="201">
      <c r="A201" s="172"/>
      <c r="B201" s="172"/>
      <c r="C201" s="172"/>
      <c r="D201" s="172"/>
      <c r="E201" s="172"/>
    </row>
    <row r="202">
      <c r="A202" s="172"/>
      <c r="B202" s="172"/>
      <c r="C202" s="172"/>
      <c r="D202" s="172"/>
      <c r="E202" s="172"/>
    </row>
    <row r="203">
      <c r="A203" s="172"/>
      <c r="B203" s="172"/>
      <c r="C203" s="172"/>
      <c r="D203" s="172"/>
      <c r="E203" s="172"/>
    </row>
    <row r="204">
      <c r="A204" s="172"/>
      <c r="B204" s="172"/>
      <c r="C204" s="172"/>
      <c r="D204" s="172"/>
      <c r="E204" s="172"/>
    </row>
    <row r="205">
      <c r="A205" s="172"/>
      <c r="B205" s="172"/>
      <c r="C205" s="172"/>
      <c r="D205" s="172"/>
      <c r="E205" s="172"/>
    </row>
    <row r="206">
      <c r="A206" s="172"/>
      <c r="B206" s="172"/>
      <c r="C206" s="172"/>
      <c r="D206" s="172"/>
      <c r="E206" s="172"/>
    </row>
    <row r="207">
      <c r="A207" s="172"/>
      <c r="B207" s="172"/>
      <c r="C207" s="172"/>
      <c r="D207" s="172"/>
      <c r="E207" s="172"/>
    </row>
    <row r="208">
      <c r="A208" s="172"/>
      <c r="B208" s="172"/>
      <c r="C208" s="172"/>
      <c r="D208" s="172"/>
      <c r="E208" s="172"/>
    </row>
    <row r="209">
      <c r="A209" s="172"/>
      <c r="B209" s="172"/>
      <c r="C209" s="172"/>
      <c r="D209" s="172"/>
      <c r="E209" s="172"/>
    </row>
    <row r="210">
      <c r="A210" s="172"/>
      <c r="B210" s="172"/>
      <c r="C210" s="172"/>
      <c r="D210" s="172"/>
      <c r="E210" s="172"/>
    </row>
    <row r="211">
      <c r="A211" s="172"/>
      <c r="B211" s="172"/>
      <c r="C211" s="172"/>
      <c r="D211" s="172"/>
      <c r="E211" s="172"/>
    </row>
    <row r="212">
      <c r="A212" s="172"/>
      <c r="B212" s="172"/>
      <c r="C212" s="172"/>
      <c r="D212" s="172"/>
      <c r="E212" s="172"/>
    </row>
    <row r="213">
      <c r="A213" s="172"/>
      <c r="B213" s="172"/>
      <c r="C213" s="172"/>
      <c r="D213" s="172"/>
      <c r="E213" s="172"/>
    </row>
    <row r="214">
      <c r="A214" s="172"/>
      <c r="B214" s="172"/>
      <c r="C214" s="172"/>
      <c r="D214" s="172"/>
      <c r="E214" s="172"/>
    </row>
    <row r="215">
      <c r="A215" s="172"/>
      <c r="B215" s="172"/>
      <c r="C215" s="172"/>
      <c r="D215" s="172"/>
      <c r="E215" s="172"/>
    </row>
    <row r="216">
      <c r="A216" s="172"/>
      <c r="B216" s="172"/>
      <c r="C216" s="172"/>
      <c r="D216" s="172"/>
      <c r="E216" s="172"/>
    </row>
    <row r="217">
      <c r="A217" s="172"/>
      <c r="B217" s="172"/>
      <c r="C217" s="172"/>
      <c r="D217" s="172"/>
      <c r="E217" s="172"/>
    </row>
    <row r="218">
      <c r="A218" s="172"/>
      <c r="B218" s="172"/>
      <c r="C218" s="172"/>
      <c r="D218" s="172"/>
      <c r="E218" s="172"/>
    </row>
    <row r="219">
      <c r="A219" s="172"/>
      <c r="B219" s="172"/>
      <c r="C219" s="172"/>
      <c r="D219" s="172"/>
      <c r="E219" s="172"/>
    </row>
    <row r="220">
      <c r="A220" s="172"/>
      <c r="B220" s="172"/>
      <c r="C220" s="172"/>
      <c r="D220" s="172"/>
      <c r="E220" s="172"/>
    </row>
    <row r="221">
      <c r="A221" s="172"/>
      <c r="B221" s="172"/>
      <c r="C221" s="172"/>
      <c r="D221" s="172"/>
      <c r="E221" s="172"/>
    </row>
    <row r="222">
      <c r="A222" s="172"/>
      <c r="B222" s="172"/>
      <c r="C222" s="172"/>
      <c r="D222" s="172"/>
      <c r="E222" s="172"/>
    </row>
    <row r="223">
      <c r="A223" s="172"/>
      <c r="B223" s="172"/>
      <c r="C223" s="172"/>
      <c r="D223" s="172"/>
      <c r="E223" s="172"/>
    </row>
    <row r="224">
      <c r="A224" s="172"/>
      <c r="B224" s="172"/>
      <c r="C224" s="172"/>
      <c r="D224" s="172"/>
      <c r="E224" s="172"/>
    </row>
    <row r="225">
      <c r="A225" s="172"/>
      <c r="B225" s="172"/>
      <c r="C225" s="172"/>
      <c r="D225" s="172"/>
      <c r="E225" s="172"/>
    </row>
    <row r="226">
      <c r="A226" s="172"/>
      <c r="B226" s="172"/>
      <c r="C226" s="172"/>
      <c r="D226" s="172"/>
      <c r="E226" s="172"/>
    </row>
    <row r="227">
      <c r="A227" s="172"/>
      <c r="B227" s="172"/>
      <c r="C227" s="172"/>
      <c r="D227" s="172"/>
      <c r="E227" s="172"/>
    </row>
    <row r="228">
      <c r="A228" s="172"/>
      <c r="B228" s="172"/>
      <c r="C228" s="172"/>
      <c r="D228" s="172"/>
      <c r="E228" s="172"/>
    </row>
    <row r="229">
      <c r="A229" s="172"/>
      <c r="B229" s="172"/>
      <c r="C229" s="172"/>
      <c r="D229" s="172"/>
      <c r="E229" s="172"/>
    </row>
    <row r="230">
      <c r="A230" s="172"/>
      <c r="B230" s="172"/>
      <c r="C230" s="172"/>
      <c r="D230" s="172"/>
      <c r="E230" s="172"/>
    </row>
    <row r="231">
      <c r="A231" s="172"/>
      <c r="B231" s="172"/>
      <c r="C231" s="172"/>
      <c r="D231" s="172"/>
      <c r="E231" s="172"/>
    </row>
    <row r="232">
      <c r="A232" s="172"/>
      <c r="B232" s="172"/>
      <c r="C232" s="172"/>
      <c r="D232" s="172"/>
      <c r="E232" s="172"/>
    </row>
    <row r="233">
      <c r="A233" s="172"/>
      <c r="B233" s="172"/>
      <c r="C233" s="172"/>
      <c r="D233" s="172"/>
      <c r="E233" s="172"/>
    </row>
    <row r="234">
      <c r="A234" s="172"/>
      <c r="B234" s="172"/>
      <c r="C234" s="172"/>
      <c r="D234" s="172"/>
      <c r="E234" s="172"/>
    </row>
    <row r="235">
      <c r="A235" s="172"/>
      <c r="B235" s="172"/>
      <c r="C235" s="172"/>
      <c r="D235" s="172"/>
      <c r="E235" s="172"/>
    </row>
    <row r="236">
      <c r="A236" s="172"/>
      <c r="B236" s="172"/>
      <c r="C236" s="172"/>
      <c r="D236" s="172"/>
      <c r="E236" s="172"/>
    </row>
    <row r="237">
      <c r="A237" s="172"/>
      <c r="B237" s="172"/>
      <c r="C237" s="172"/>
      <c r="D237" s="172"/>
      <c r="E237" s="172"/>
    </row>
    <row r="238">
      <c r="A238" s="172"/>
      <c r="B238" s="172"/>
      <c r="C238" s="172"/>
      <c r="D238" s="172"/>
      <c r="E238" s="172"/>
    </row>
    <row r="239">
      <c r="A239" s="172"/>
      <c r="B239" s="172"/>
      <c r="C239" s="172"/>
      <c r="D239" s="172"/>
      <c r="E239" s="172"/>
    </row>
    <row r="240">
      <c r="A240" s="172"/>
      <c r="B240" s="172"/>
      <c r="C240" s="172"/>
      <c r="D240" s="172"/>
      <c r="E240" s="172"/>
    </row>
    <row r="241">
      <c r="A241" s="172"/>
      <c r="B241" s="172"/>
      <c r="C241" s="172"/>
      <c r="D241" s="172"/>
      <c r="E241" s="172"/>
    </row>
    <row r="242">
      <c r="A242" s="172"/>
      <c r="B242" s="172"/>
      <c r="C242" s="172"/>
      <c r="D242" s="172"/>
      <c r="E242" s="172"/>
    </row>
    <row r="243">
      <c r="A243" s="172"/>
      <c r="B243" s="172"/>
      <c r="C243" s="172"/>
      <c r="D243" s="172"/>
      <c r="E243" s="172"/>
    </row>
    <row r="244">
      <c r="A244" s="172"/>
      <c r="B244" s="172"/>
      <c r="C244" s="172"/>
      <c r="D244" s="172"/>
      <c r="E244" s="172"/>
    </row>
    <row r="245">
      <c r="A245" s="172"/>
      <c r="B245" s="172"/>
      <c r="C245" s="172"/>
      <c r="D245" s="172"/>
      <c r="E245" s="172"/>
    </row>
    <row r="246">
      <c r="A246" s="172"/>
      <c r="B246" s="172"/>
      <c r="C246" s="172"/>
      <c r="D246" s="172"/>
      <c r="E246" s="172"/>
    </row>
    <row r="247">
      <c r="A247" s="172"/>
      <c r="B247" s="172"/>
      <c r="C247" s="172"/>
      <c r="D247" s="172"/>
      <c r="E247" s="172"/>
    </row>
    <row r="248">
      <c r="A248" s="172"/>
      <c r="B248" s="172"/>
      <c r="C248" s="172"/>
      <c r="D248" s="172"/>
      <c r="E248" s="172"/>
    </row>
    <row r="249">
      <c r="A249" s="172"/>
      <c r="B249" s="172"/>
      <c r="C249" s="172"/>
      <c r="D249" s="172"/>
      <c r="E249" s="172"/>
    </row>
    <row r="250">
      <c r="A250" s="172"/>
      <c r="B250" s="172"/>
      <c r="C250" s="172"/>
      <c r="D250" s="172"/>
      <c r="E250" s="172"/>
    </row>
    <row r="251">
      <c r="A251" s="172"/>
      <c r="B251" s="172"/>
      <c r="C251" s="172"/>
      <c r="D251" s="172"/>
      <c r="E251" s="172"/>
    </row>
    <row r="252">
      <c r="A252" s="172"/>
      <c r="B252" s="172"/>
      <c r="C252" s="172"/>
      <c r="D252" s="172"/>
      <c r="E252" s="172"/>
    </row>
    <row r="253">
      <c r="A253" s="172"/>
      <c r="B253" s="172"/>
      <c r="C253" s="172"/>
      <c r="D253" s="172"/>
      <c r="E253" s="172"/>
    </row>
    <row r="254">
      <c r="A254" s="172"/>
      <c r="B254" s="172"/>
      <c r="C254" s="172"/>
      <c r="D254" s="172"/>
      <c r="E254" s="172"/>
    </row>
    <row r="255">
      <c r="A255" s="172"/>
      <c r="B255" s="172"/>
      <c r="C255" s="172"/>
      <c r="D255" s="172"/>
      <c r="E255" s="172"/>
    </row>
    <row r="256">
      <c r="A256" s="172"/>
      <c r="B256" s="172"/>
      <c r="C256" s="172"/>
      <c r="D256" s="172"/>
      <c r="E256" s="172"/>
    </row>
    <row r="257">
      <c r="A257" s="172"/>
      <c r="B257" s="172"/>
      <c r="C257" s="172"/>
      <c r="D257" s="172"/>
      <c r="E257" s="172"/>
    </row>
    <row r="258">
      <c r="A258" s="172"/>
      <c r="B258" s="172"/>
      <c r="C258" s="172"/>
      <c r="D258" s="172"/>
      <c r="E258" s="172"/>
    </row>
    <row r="259">
      <c r="A259" s="172"/>
      <c r="B259" s="172"/>
      <c r="C259" s="172"/>
      <c r="D259" s="172"/>
      <c r="E259" s="172"/>
    </row>
    <row r="260">
      <c r="A260" s="172"/>
      <c r="B260" s="172"/>
      <c r="C260" s="172"/>
      <c r="D260" s="172"/>
      <c r="E260" s="172"/>
    </row>
    <row r="261">
      <c r="A261" s="172"/>
      <c r="B261" s="172"/>
      <c r="C261" s="172"/>
      <c r="D261" s="172"/>
      <c r="E261" s="172"/>
    </row>
    <row r="262">
      <c r="A262" s="172"/>
      <c r="B262" s="172"/>
      <c r="C262" s="172"/>
      <c r="D262" s="172"/>
      <c r="E262" s="172"/>
    </row>
    <row r="263">
      <c r="A263" s="172"/>
      <c r="B263" s="172"/>
      <c r="C263" s="172"/>
      <c r="D263" s="172"/>
      <c r="E263" s="172"/>
    </row>
    <row r="264">
      <c r="A264" s="172"/>
      <c r="B264" s="172"/>
      <c r="C264" s="172"/>
      <c r="D264" s="172"/>
      <c r="E264" s="172"/>
    </row>
    <row r="265">
      <c r="A265" s="172"/>
      <c r="B265" s="172"/>
      <c r="C265" s="172"/>
      <c r="D265" s="172"/>
      <c r="E265" s="172"/>
    </row>
    <row r="266">
      <c r="A266" s="172"/>
      <c r="B266" s="172"/>
      <c r="C266" s="172"/>
      <c r="D266" s="172"/>
      <c r="E266" s="172"/>
    </row>
    <row r="267">
      <c r="A267" s="172"/>
      <c r="B267" s="172"/>
      <c r="C267" s="172"/>
      <c r="D267" s="172"/>
      <c r="E267" s="172"/>
    </row>
    <row r="268">
      <c r="A268" s="172"/>
      <c r="B268" s="172"/>
      <c r="C268" s="172"/>
      <c r="D268" s="172"/>
      <c r="E268" s="172"/>
    </row>
    <row r="269">
      <c r="A269" s="172"/>
      <c r="B269" s="172"/>
      <c r="C269" s="172"/>
      <c r="D269" s="172"/>
      <c r="E269" s="172"/>
    </row>
    <row r="270">
      <c r="A270" s="172"/>
      <c r="B270" s="172"/>
      <c r="C270" s="172"/>
      <c r="D270" s="172"/>
      <c r="E270" s="172"/>
    </row>
    <row r="271">
      <c r="A271" s="172"/>
      <c r="B271" s="172"/>
      <c r="C271" s="172"/>
      <c r="D271" s="172"/>
      <c r="E271" s="172"/>
    </row>
    <row r="272">
      <c r="A272" s="172"/>
      <c r="B272" s="172"/>
      <c r="C272" s="172"/>
      <c r="D272" s="172"/>
      <c r="E272" s="172"/>
    </row>
    <row r="273">
      <c r="A273" s="172"/>
      <c r="B273" s="172"/>
      <c r="C273" s="172"/>
      <c r="D273" s="172"/>
      <c r="E273" s="172"/>
    </row>
    <row r="274">
      <c r="A274" s="172"/>
      <c r="B274" s="172"/>
      <c r="C274" s="172"/>
      <c r="D274" s="172"/>
      <c r="E274" s="172"/>
    </row>
    <row r="275">
      <c r="A275" s="172"/>
      <c r="B275" s="172"/>
      <c r="C275" s="172"/>
      <c r="D275" s="172"/>
      <c r="E275" s="172"/>
    </row>
    <row r="276">
      <c r="A276" s="172"/>
      <c r="B276" s="172"/>
      <c r="C276" s="172"/>
      <c r="D276" s="172"/>
      <c r="E276" s="172"/>
    </row>
    <row r="277">
      <c r="A277" s="172"/>
      <c r="B277" s="172"/>
      <c r="C277" s="172"/>
      <c r="D277" s="172"/>
      <c r="E277" s="172"/>
    </row>
    <row r="278">
      <c r="A278" s="172"/>
      <c r="B278" s="172"/>
      <c r="C278" s="172"/>
      <c r="D278" s="172"/>
      <c r="E278" s="172"/>
    </row>
    <row r="279">
      <c r="A279" s="172"/>
      <c r="B279" s="172"/>
      <c r="C279" s="172"/>
      <c r="D279" s="172"/>
      <c r="E279" s="172"/>
    </row>
    <row r="280">
      <c r="A280" s="172"/>
      <c r="B280" s="172"/>
      <c r="C280" s="172"/>
      <c r="D280" s="172"/>
      <c r="E280" s="172"/>
    </row>
    <row r="281">
      <c r="A281" s="172"/>
      <c r="B281" s="172"/>
      <c r="C281" s="172"/>
      <c r="D281" s="172"/>
      <c r="E281" s="172"/>
    </row>
    <row r="282">
      <c r="A282" s="172"/>
      <c r="B282" s="172"/>
      <c r="C282" s="172"/>
      <c r="D282" s="172"/>
      <c r="E282" s="172"/>
    </row>
    <row r="283">
      <c r="A283" s="172"/>
      <c r="B283" s="172"/>
      <c r="C283" s="172"/>
      <c r="D283" s="172"/>
      <c r="E283" s="172"/>
    </row>
    <row r="284">
      <c r="A284" s="172"/>
      <c r="B284" s="172"/>
      <c r="C284" s="172"/>
      <c r="D284" s="172"/>
      <c r="E284" s="172"/>
    </row>
    <row r="285">
      <c r="A285" s="172"/>
      <c r="B285" s="172"/>
      <c r="C285" s="172"/>
      <c r="D285" s="172"/>
      <c r="E285" s="172"/>
    </row>
    <row r="286">
      <c r="A286" s="172"/>
      <c r="B286" s="172"/>
      <c r="C286" s="172"/>
      <c r="D286" s="172"/>
      <c r="E286" s="172"/>
    </row>
    <row r="287">
      <c r="A287" s="172"/>
      <c r="B287" s="172"/>
      <c r="C287" s="172"/>
      <c r="D287" s="172"/>
      <c r="E287" s="172"/>
    </row>
    <row r="288">
      <c r="A288" s="172"/>
      <c r="B288" s="172"/>
      <c r="C288" s="172"/>
      <c r="D288" s="172"/>
      <c r="E288" s="172"/>
    </row>
    <row r="289">
      <c r="A289" s="172"/>
      <c r="B289" s="172"/>
      <c r="C289" s="172"/>
      <c r="D289" s="172"/>
      <c r="E289" s="172"/>
    </row>
    <row r="290">
      <c r="A290" s="172"/>
      <c r="B290" s="172"/>
      <c r="C290" s="172"/>
      <c r="D290" s="172"/>
      <c r="E290" s="172"/>
    </row>
    <row r="291">
      <c r="A291" s="172"/>
      <c r="B291" s="172"/>
      <c r="C291" s="172"/>
      <c r="D291" s="172"/>
      <c r="E291" s="172"/>
    </row>
    <row r="292">
      <c r="A292" s="172"/>
      <c r="B292" s="172"/>
      <c r="C292" s="172"/>
      <c r="D292" s="172"/>
      <c r="E292" s="172"/>
    </row>
    <row r="293">
      <c r="A293" s="172"/>
      <c r="B293" s="172"/>
      <c r="C293" s="172"/>
      <c r="D293" s="172"/>
      <c r="E293" s="172"/>
    </row>
    <row r="294">
      <c r="A294" s="172"/>
      <c r="B294" s="172"/>
      <c r="C294" s="172"/>
      <c r="D294" s="172"/>
      <c r="E294" s="172"/>
    </row>
    <row r="295">
      <c r="A295" s="172"/>
      <c r="B295" s="172"/>
      <c r="C295" s="172"/>
      <c r="D295" s="172"/>
      <c r="E295" s="172"/>
    </row>
    <row r="296">
      <c r="A296" s="172"/>
      <c r="B296" s="172"/>
      <c r="C296" s="172"/>
      <c r="D296" s="172"/>
      <c r="E296" s="172"/>
    </row>
    <row r="297">
      <c r="A297" s="172"/>
      <c r="B297" s="172"/>
      <c r="C297" s="172"/>
      <c r="D297" s="172"/>
      <c r="E297" s="172"/>
    </row>
    <row r="298">
      <c r="A298" s="172"/>
      <c r="B298" s="172"/>
      <c r="C298" s="172"/>
      <c r="D298" s="172"/>
      <c r="E298" s="172"/>
    </row>
    <row r="299">
      <c r="A299" s="172"/>
      <c r="B299" s="172"/>
      <c r="C299" s="172"/>
      <c r="D299" s="172"/>
      <c r="E299" s="172"/>
    </row>
    <row r="300">
      <c r="A300" s="172"/>
      <c r="B300" s="172"/>
      <c r="C300" s="172"/>
      <c r="D300" s="172"/>
      <c r="E300" s="172"/>
    </row>
    <row r="301">
      <c r="A301" s="172"/>
      <c r="B301" s="172"/>
      <c r="C301" s="172"/>
      <c r="D301" s="172"/>
      <c r="E301" s="172"/>
    </row>
    <row r="302">
      <c r="A302" s="172"/>
      <c r="B302" s="172"/>
      <c r="C302" s="172"/>
      <c r="D302" s="172"/>
      <c r="E302" s="172"/>
    </row>
    <row r="303">
      <c r="A303" s="172"/>
      <c r="B303" s="172"/>
      <c r="C303" s="172"/>
      <c r="D303" s="172"/>
      <c r="E303" s="172"/>
    </row>
    <row r="304">
      <c r="A304" s="172"/>
      <c r="B304" s="172"/>
      <c r="C304" s="172"/>
      <c r="D304" s="172"/>
      <c r="E304" s="172"/>
    </row>
    <row r="305">
      <c r="A305" s="172"/>
      <c r="B305" s="172"/>
      <c r="C305" s="172"/>
      <c r="D305" s="172"/>
      <c r="E305" s="172"/>
    </row>
    <row r="306">
      <c r="A306" s="172"/>
      <c r="B306" s="172"/>
      <c r="C306" s="172"/>
      <c r="D306" s="172"/>
      <c r="E306" s="172"/>
    </row>
    <row r="307">
      <c r="A307" s="172"/>
      <c r="B307" s="172"/>
      <c r="C307" s="172"/>
      <c r="D307" s="172"/>
      <c r="E307" s="172"/>
    </row>
    <row r="308">
      <c r="A308" s="172"/>
      <c r="B308" s="172"/>
      <c r="C308" s="172"/>
      <c r="D308" s="172"/>
      <c r="E308" s="172"/>
    </row>
    <row r="309">
      <c r="A309" s="172"/>
      <c r="B309" s="172"/>
      <c r="C309" s="172"/>
      <c r="D309" s="172"/>
      <c r="E309" s="172"/>
    </row>
    <row r="310">
      <c r="A310" s="172"/>
      <c r="B310" s="172"/>
      <c r="C310" s="172"/>
      <c r="D310" s="172"/>
      <c r="E310" s="172"/>
    </row>
    <row r="311">
      <c r="A311" s="172"/>
      <c r="B311" s="172"/>
      <c r="C311" s="172"/>
      <c r="D311" s="172"/>
      <c r="E311" s="172"/>
    </row>
    <row r="312">
      <c r="A312" s="172"/>
      <c r="B312" s="172"/>
      <c r="C312" s="172"/>
      <c r="D312" s="172"/>
      <c r="E312" s="172"/>
    </row>
    <row r="313">
      <c r="A313" s="172"/>
      <c r="B313" s="172"/>
      <c r="C313" s="172"/>
      <c r="D313" s="172"/>
      <c r="E313" s="172"/>
    </row>
    <row r="314">
      <c r="A314" s="172"/>
      <c r="B314" s="172"/>
      <c r="C314" s="172"/>
      <c r="D314" s="172"/>
      <c r="E314" s="172"/>
    </row>
    <row r="315">
      <c r="A315" s="172"/>
      <c r="B315" s="172"/>
      <c r="C315" s="172"/>
      <c r="D315" s="172"/>
      <c r="E315" s="172"/>
    </row>
    <row r="316">
      <c r="A316" s="172"/>
      <c r="B316" s="172"/>
      <c r="C316" s="172"/>
      <c r="D316" s="172"/>
      <c r="E316" s="172"/>
    </row>
    <row r="317">
      <c r="A317" s="172"/>
      <c r="B317" s="172"/>
      <c r="C317" s="172"/>
      <c r="D317" s="172"/>
      <c r="E317" s="172"/>
    </row>
    <row r="318">
      <c r="A318" s="172"/>
      <c r="B318" s="172"/>
      <c r="C318" s="172"/>
      <c r="D318" s="172"/>
      <c r="E318" s="172"/>
    </row>
    <row r="319">
      <c r="A319" s="172"/>
      <c r="B319" s="172"/>
      <c r="C319" s="172"/>
      <c r="D319" s="172"/>
      <c r="E319" s="172"/>
    </row>
    <row r="320">
      <c r="A320" s="172"/>
      <c r="B320" s="172"/>
      <c r="C320" s="172"/>
      <c r="D320" s="172"/>
      <c r="E320" s="172"/>
    </row>
    <row r="321">
      <c r="A321" s="172"/>
      <c r="B321" s="172"/>
      <c r="C321" s="172"/>
      <c r="D321" s="172"/>
      <c r="E321" s="172"/>
    </row>
    <row r="322">
      <c r="A322" s="172"/>
      <c r="B322" s="172"/>
      <c r="C322" s="172"/>
      <c r="D322" s="172"/>
      <c r="E322" s="172"/>
    </row>
    <row r="323">
      <c r="A323" s="172"/>
      <c r="B323" s="172"/>
      <c r="C323" s="172"/>
      <c r="D323" s="172"/>
      <c r="E323" s="172"/>
    </row>
    <row r="324">
      <c r="A324" s="172"/>
      <c r="B324" s="172"/>
      <c r="C324" s="172"/>
      <c r="D324" s="172"/>
      <c r="E324" s="172"/>
    </row>
    <row r="325">
      <c r="A325" s="172"/>
      <c r="B325" s="172"/>
      <c r="C325" s="172"/>
      <c r="D325" s="172"/>
      <c r="E325" s="172"/>
    </row>
    <row r="326">
      <c r="A326" s="172"/>
      <c r="B326" s="172"/>
      <c r="C326" s="172"/>
      <c r="D326" s="172"/>
      <c r="E326" s="172"/>
    </row>
    <row r="327">
      <c r="A327" s="172"/>
      <c r="B327" s="172"/>
      <c r="C327" s="172"/>
      <c r="D327" s="172"/>
      <c r="E327" s="172"/>
    </row>
    <row r="328">
      <c r="A328" s="172"/>
      <c r="B328" s="172"/>
      <c r="C328" s="172"/>
      <c r="D328" s="172"/>
      <c r="E328" s="172"/>
    </row>
    <row r="329">
      <c r="A329" s="172"/>
      <c r="B329" s="172"/>
      <c r="C329" s="172"/>
      <c r="D329" s="172"/>
      <c r="E329" s="172"/>
    </row>
    <row r="330">
      <c r="A330" s="172"/>
      <c r="B330" s="172"/>
      <c r="C330" s="172"/>
      <c r="D330" s="172"/>
      <c r="E330" s="172"/>
    </row>
    <row r="331">
      <c r="A331" s="172"/>
      <c r="B331" s="172"/>
      <c r="C331" s="172"/>
      <c r="D331" s="172"/>
      <c r="E331" s="172"/>
    </row>
    <row r="332">
      <c r="A332" s="172"/>
      <c r="B332" s="172"/>
      <c r="C332" s="172"/>
      <c r="D332" s="172"/>
      <c r="E332" s="172"/>
    </row>
    <row r="333">
      <c r="A333" s="172"/>
      <c r="B333" s="172"/>
      <c r="C333" s="172"/>
      <c r="D333" s="172"/>
      <c r="E333" s="172"/>
    </row>
    <row r="334">
      <c r="A334" s="172"/>
      <c r="B334" s="172"/>
      <c r="C334" s="172"/>
      <c r="D334" s="172"/>
      <c r="E334" s="172"/>
    </row>
    <row r="335">
      <c r="A335" s="172"/>
      <c r="B335" s="172"/>
      <c r="C335" s="172"/>
      <c r="D335" s="172"/>
      <c r="E335" s="172"/>
    </row>
    <row r="336">
      <c r="A336" s="172"/>
      <c r="B336" s="172"/>
      <c r="C336" s="172"/>
      <c r="D336" s="172"/>
      <c r="E336" s="172"/>
    </row>
    <row r="337">
      <c r="A337" s="172"/>
      <c r="B337" s="172"/>
      <c r="C337" s="172"/>
      <c r="D337" s="172"/>
      <c r="E337" s="172"/>
    </row>
    <row r="338">
      <c r="A338" s="172"/>
      <c r="B338" s="172"/>
      <c r="C338" s="172"/>
      <c r="D338" s="172"/>
      <c r="E338" s="172"/>
    </row>
    <row r="339">
      <c r="A339" s="172"/>
      <c r="B339" s="172"/>
      <c r="C339" s="172"/>
      <c r="D339" s="172"/>
      <c r="E339" s="172"/>
    </row>
    <row r="340">
      <c r="A340" s="172"/>
      <c r="B340" s="172"/>
      <c r="C340" s="172"/>
      <c r="D340" s="172"/>
      <c r="E340" s="172"/>
    </row>
    <row r="341">
      <c r="A341" s="172"/>
      <c r="B341" s="172"/>
      <c r="C341" s="172"/>
      <c r="D341" s="172"/>
      <c r="E341" s="172"/>
    </row>
    <row r="342">
      <c r="A342" s="172"/>
      <c r="B342" s="172"/>
      <c r="C342" s="172"/>
      <c r="D342" s="172"/>
      <c r="E342" s="172"/>
    </row>
    <row r="343">
      <c r="A343" s="172"/>
      <c r="B343" s="172"/>
      <c r="C343" s="172"/>
      <c r="D343" s="172"/>
      <c r="E343" s="172"/>
    </row>
    <row r="344">
      <c r="A344" s="172"/>
      <c r="B344" s="172"/>
      <c r="C344" s="172"/>
      <c r="D344" s="172"/>
      <c r="E344" s="172"/>
    </row>
    <row r="345">
      <c r="A345" s="172"/>
      <c r="B345" s="172"/>
      <c r="C345" s="172"/>
      <c r="D345" s="172"/>
      <c r="E345" s="172"/>
    </row>
    <row r="346">
      <c r="A346" s="172"/>
      <c r="B346" s="172"/>
      <c r="C346" s="172"/>
      <c r="D346" s="172"/>
      <c r="E346" s="172"/>
    </row>
    <row r="347">
      <c r="A347" s="172"/>
      <c r="B347" s="172"/>
      <c r="C347" s="172"/>
      <c r="D347" s="172"/>
      <c r="E347" s="172"/>
    </row>
    <row r="348">
      <c r="A348" s="172"/>
      <c r="B348" s="172"/>
      <c r="C348" s="172"/>
      <c r="D348" s="172"/>
      <c r="E348" s="172"/>
    </row>
    <row r="349">
      <c r="A349" s="172"/>
      <c r="B349" s="172"/>
      <c r="C349" s="172"/>
      <c r="D349" s="172"/>
      <c r="E349" s="172"/>
    </row>
    <row r="350">
      <c r="A350" s="172"/>
      <c r="B350" s="172"/>
      <c r="C350" s="172"/>
      <c r="D350" s="172"/>
      <c r="E350" s="172"/>
    </row>
    <row r="351">
      <c r="A351" s="172"/>
      <c r="B351" s="172"/>
      <c r="C351" s="172"/>
      <c r="D351" s="172"/>
      <c r="E351" s="172"/>
    </row>
    <row r="352">
      <c r="A352" s="172"/>
      <c r="B352" s="172"/>
      <c r="C352" s="172"/>
      <c r="D352" s="172"/>
      <c r="E352" s="172"/>
    </row>
    <row r="353">
      <c r="A353" s="172"/>
      <c r="B353" s="172"/>
      <c r="C353" s="172"/>
      <c r="D353" s="172"/>
      <c r="E353" s="172"/>
    </row>
    <row r="354">
      <c r="A354" s="172"/>
      <c r="B354" s="172"/>
      <c r="C354" s="172"/>
      <c r="D354" s="172"/>
      <c r="E354" s="172"/>
    </row>
    <row r="355">
      <c r="A355" s="172"/>
      <c r="B355" s="172"/>
      <c r="C355" s="172"/>
      <c r="D355" s="172"/>
      <c r="E355" s="172"/>
    </row>
    <row r="356">
      <c r="A356" s="172"/>
      <c r="B356" s="172"/>
      <c r="C356" s="172"/>
      <c r="D356" s="172"/>
      <c r="E356" s="172"/>
    </row>
    <row r="357">
      <c r="A357" s="172"/>
      <c r="B357" s="172"/>
      <c r="C357" s="172"/>
      <c r="D357" s="172"/>
      <c r="E357" s="172"/>
    </row>
    <row r="358">
      <c r="A358" s="172"/>
      <c r="B358" s="172"/>
      <c r="C358" s="172"/>
      <c r="D358" s="172"/>
      <c r="E358" s="172"/>
    </row>
    <row r="359">
      <c r="A359" s="172"/>
      <c r="B359" s="172"/>
      <c r="C359" s="172"/>
      <c r="D359" s="172"/>
      <c r="E359" s="172"/>
    </row>
    <row r="360">
      <c r="A360" s="172"/>
      <c r="B360" s="172"/>
      <c r="C360" s="172"/>
      <c r="D360" s="172"/>
      <c r="E360" s="172"/>
    </row>
    <row r="361">
      <c r="A361" s="172"/>
      <c r="B361" s="172"/>
      <c r="C361" s="172"/>
      <c r="D361" s="172"/>
      <c r="E361" s="172"/>
    </row>
    <row r="362">
      <c r="A362" s="172"/>
      <c r="B362" s="172"/>
      <c r="C362" s="172"/>
      <c r="D362" s="172"/>
      <c r="E362" s="172"/>
    </row>
    <row r="363">
      <c r="A363" s="172"/>
      <c r="B363" s="172"/>
      <c r="C363" s="172"/>
      <c r="D363" s="172"/>
      <c r="E363" s="172"/>
    </row>
    <row r="364">
      <c r="A364" s="172"/>
      <c r="B364" s="172"/>
      <c r="C364" s="172"/>
      <c r="D364" s="172"/>
      <c r="E364" s="172"/>
    </row>
    <row r="365">
      <c r="A365" s="172"/>
      <c r="B365" s="172"/>
      <c r="C365" s="172"/>
      <c r="D365" s="172"/>
      <c r="E365" s="172"/>
    </row>
    <row r="366">
      <c r="A366" s="172"/>
      <c r="B366" s="172"/>
      <c r="C366" s="172"/>
      <c r="D366" s="172"/>
      <c r="E366" s="172"/>
    </row>
    <row r="367">
      <c r="A367" s="172"/>
      <c r="B367" s="172"/>
      <c r="C367" s="172"/>
      <c r="D367" s="172"/>
      <c r="E367" s="172"/>
    </row>
    <row r="368">
      <c r="A368" s="172"/>
      <c r="B368" s="172"/>
      <c r="C368" s="172"/>
      <c r="D368" s="172"/>
      <c r="E368" s="172"/>
    </row>
    <row r="369">
      <c r="A369" s="172"/>
      <c r="B369" s="172"/>
      <c r="C369" s="172"/>
      <c r="D369" s="172"/>
      <c r="E369" s="172"/>
    </row>
    <row r="370">
      <c r="A370" s="172"/>
      <c r="B370" s="172"/>
      <c r="C370" s="172"/>
      <c r="D370" s="172"/>
      <c r="E370" s="172"/>
    </row>
    <row r="371">
      <c r="A371" s="172"/>
      <c r="B371" s="172"/>
      <c r="C371" s="172"/>
      <c r="D371" s="172"/>
      <c r="E371" s="172"/>
    </row>
    <row r="372">
      <c r="A372" s="172"/>
      <c r="B372" s="172"/>
      <c r="C372" s="172"/>
      <c r="D372" s="172"/>
      <c r="E372" s="172"/>
    </row>
    <row r="373">
      <c r="A373" s="172"/>
      <c r="B373" s="172"/>
      <c r="C373" s="172"/>
      <c r="D373" s="172"/>
      <c r="E373" s="172"/>
    </row>
    <row r="374">
      <c r="A374" s="172"/>
      <c r="B374" s="172"/>
      <c r="C374" s="172"/>
      <c r="D374" s="172"/>
      <c r="E374" s="172"/>
    </row>
    <row r="375">
      <c r="A375" s="172"/>
      <c r="B375" s="172"/>
      <c r="C375" s="172"/>
      <c r="D375" s="172"/>
      <c r="E375" s="172"/>
    </row>
    <row r="376">
      <c r="A376" s="172"/>
      <c r="B376" s="172"/>
      <c r="C376" s="172"/>
      <c r="D376" s="172"/>
      <c r="E376" s="172"/>
    </row>
    <row r="377">
      <c r="A377" s="172"/>
      <c r="B377" s="172"/>
      <c r="C377" s="172"/>
      <c r="D377" s="172"/>
      <c r="E377" s="172"/>
    </row>
    <row r="378">
      <c r="A378" s="172"/>
      <c r="B378" s="172"/>
      <c r="C378" s="172"/>
      <c r="D378" s="172"/>
      <c r="E378" s="172"/>
    </row>
    <row r="379">
      <c r="A379" s="172"/>
      <c r="B379" s="172"/>
      <c r="C379" s="172"/>
      <c r="D379" s="172"/>
      <c r="E379" s="172"/>
    </row>
    <row r="380">
      <c r="A380" s="172"/>
      <c r="B380" s="172"/>
      <c r="C380" s="172"/>
      <c r="D380" s="172"/>
      <c r="E380" s="172"/>
    </row>
    <row r="381">
      <c r="A381" s="172"/>
      <c r="B381" s="172"/>
      <c r="C381" s="172"/>
      <c r="D381" s="172"/>
      <c r="E381" s="172"/>
    </row>
    <row r="382">
      <c r="A382" s="172"/>
      <c r="B382" s="172"/>
      <c r="C382" s="172"/>
      <c r="D382" s="172"/>
      <c r="E382" s="172"/>
    </row>
    <row r="383">
      <c r="A383" s="172"/>
      <c r="B383" s="172"/>
      <c r="C383" s="172"/>
      <c r="D383" s="172"/>
      <c r="E383" s="172"/>
    </row>
    <row r="384">
      <c r="A384" s="172"/>
      <c r="B384" s="172"/>
      <c r="C384" s="172"/>
      <c r="D384" s="172"/>
      <c r="E384" s="172"/>
    </row>
    <row r="385">
      <c r="A385" s="172"/>
      <c r="B385" s="172"/>
      <c r="C385" s="172"/>
      <c r="D385" s="172"/>
      <c r="E385" s="172"/>
    </row>
    <row r="386">
      <c r="A386" s="172"/>
      <c r="B386" s="172"/>
      <c r="C386" s="172"/>
      <c r="D386" s="172"/>
      <c r="E386" s="172"/>
    </row>
    <row r="387">
      <c r="A387" s="172"/>
      <c r="B387" s="172"/>
      <c r="C387" s="172"/>
      <c r="D387" s="172"/>
      <c r="E387" s="172"/>
    </row>
    <row r="388">
      <c r="A388" s="172"/>
      <c r="B388" s="172"/>
      <c r="C388" s="172"/>
      <c r="D388" s="172"/>
      <c r="E388" s="172"/>
    </row>
    <row r="389">
      <c r="A389" s="172"/>
      <c r="B389" s="172"/>
      <c r="C389" s="172"/>
      <c r="D389" s="172"/>
      <c r="E389" s="172"/>
    </row>
    <row r="390">
      <c r="A390" s="172"/>
      <c r="B390" s="172"/>
      <c r="C390" s="172"/>
      <c r="D390" s="172"/>
      <c r="E390" s="172"/>
    </row>
    <row r="391">
      <c r="A391" s="172"/>
      <c r="B391" s="172"/>
      <c r="C391" s="172"/>
      <c r="D391" s="172"/>
      <c r="E391" s="172"/>
    </row>
    <row r="392">
      <c r="A392" s="172"/>
      <c r="B392" s="172"/>
      <c r="C392" s="172"/>
      <c r="D392" s="172"/>
      <c r="E392" s="172"/>
    </row>
    <row r="393">
      <c r="A393" s="172"/>
      <c r="B393" s="172"/>
      <c r="C393" s="172"/>
      <c r="D393" s="172"/>
      <c r="E393" s="172"/>
    </row>
    <row r="394">
      <c r="A394" s="172"/>
      <c r="B394" s="172"/>
      <c r="C394" s="172"/>
      <c r="D394" s="172"/>
      <c r="E394" s="172"/>
    </row>
    <row r="395">
      <c r="A395" s="172"/>
      <c r="B395" s="172"/>
      <c r="C395" s="172"/>
      <c r="D395" s="172"/>
      <c r="E395" s="172"/>
    </row>
    <row r="396">
      <c r="A396" s="172"/>
      <c r="B396" s="172"/>
      <c r="C396" s="172"/>
      <c r="D396" s="172"/>
      <c r="E396" s="172"/>
    </row>
    <row r="397">
      <c r="A397" s="172"/>
      <c r="B397" s="172"/>
      <c r="C397" s="172"/>
      <c r="D397" s="172"/>
      <c r="E397" s="172"/>
    </row>
    <row r="398">
      <c r="A398" s="172"/>
      <c r="B398" s="172"/>
      <c r="C398" s="172"/>
      <c r="D398" s="172"/>
      <c r="E398" s="172"/>
    </row>
    <row r="399">
      <c r="A399" s="172"/>
      <c r="B399" s="172"/>
      <c r="C399" s="172"/>
      <c r="D399" s="172"/>
      <c r="E399" s="172"/>
    </row>
    <row r="400">
      <c r="A400" s="172"/>
      <c r="B400" s="172"/>
      <c r="C400" s="172"/>
      <c r="D400" s="172"/>
      <c r="E400" s="172"/>
    </row>
    <row r="401">
      <c r="A401" s="172"/>
      <c r="B401" s="172"/>
      <c r="C401" s="172"/>
      <c r="D401" s="172"/>
      <c r="E401" s="172"/>
    </row>
    <row r="402">
      <c r="A402" s="172"/>
      <c r="B402" s="172"/>
      <c r="C402" s="172"/>
      <c r="D402" s="172"/>
      <c r="E402" s="172"/>
    </row>
    <row r="403">
      <c r="A403" s="172"/>
      <c r="B403" s="172"/>
      <c r="C403" s="172"/>
      <c r="D403" s="172"/>
      <c r="E403" s="172"/>
    </row>
    <row r="404">
      <c r="A404" s="172"/>
      <c r="B404" s="172"/>
      <c r="C404" s="172"/>
      <c r="D404" s="172"/>
      <c r="E404" s="172"/>
    </row>
    <row r="405">
      <c r="A405" s="172"/>
      <c r="B405" s="172"/>
      <c r="C405" s="172"/>
      <c r="D405" s="172"/>
      <c r="E405" s="172"/>
    </row>
    <row r="406">
      <c r="A406" s="172"/>
      <c r="B406" s="172"/>
      <c r="C406" s="172"/>
      <c r="D406" s="172"/>
      <c r="E406" s="172"/>
    </row>
    <row r="407">
      <c r="A407" s="172"/>
      <c r="B407" s="172"/>
      <c r="C407" s="172"/>
      <c r="D407" s="172"/>
      <c r="E407" s="172"/>
    </row>
    <row r="408">
      <c r="A408" s="172"/>
      <c r="B408" s="172"/>
      <c r="C408" s="172"/>
      <c r="D408" s="172"/>
      <c r="E408" s="172"/>
    </row>
    <row r="409">
      <c r="A409" s="172"/>
      <c r="B409" s="172"/>
      <c r="C409" s="172"/>
      <c r="D409" s="172"/>
      <c r="E409" s="172"/>
    </row>
    <row r="410">
      <c r="A410" s="172"/>
      <c r="B410" s="172"/>
      <c r="C410" s="172"/>
      <c r="D410" s="172"/>
      <c r="E410" s="172"/>
    </row>
    <row r="411">
      <c r="A411" s="172"/>
      <c r="B411" s="172"/>
      <c r="C411" s="172"/>
      <c r="D411" s="172"/>
      <c r="E411" s="172"/>
    </row>
    <row r="412">
      <c r="A412" s="172"/>
      <c r="B412" s="172"/>
      <c r="C412" s="172"/>
      <c r="D412" s="172"/>
      <c r="E412" s="172"/>
    </row>
    <row r="413">
      <c r="A413" s="172"/>
      <c r="B413" s="172"/>
      <c r="C413" s="172"/>
      <c r="D413" s="172"/>
      <c r="E413" s="172"/>
    </row>
    <row r="414">
      <c r="A414" s="172"/>
      <c r="B414" s="172"/>
      <c r="C414" s="172"/>
      <c r="D414" s="172"/>
      <c r="E414" s="172"/>
    </row>
    <row r="415">
      <c r="A415" s="172"/>
      <c r="B415" s="172"/>
      <c r="C415" s="172"/>
      <c r="D415" s="172"/>
      <c r="E415" s="172"/>
    </row>
    <row r="416">
      <c r="A416" s="172"/>
      <c r="B416" s="172"/>
      <c r="C416" s="172"/>
      <c r="D416" s="172"/>
      <c r="E416" s="172"/>
    </row>
    <row r="417">
      <c r="A417" s="172"/>
      <c r="B417" s="172"/>
      <c r="C417" s="172"/>
      <c r="D417" s="172"/>
      <c r="E417" s="172"/>
    </row>
    <row r="418">
      <c r="A418" s="172"/>
      <c r="B418" s="172"/>
      <c r="C418" s="172"/>
      <c r="D418" s="172"/>
      <c r="E418" s="172"/>
    </row>
    <row r="419">
      <c r="A419" s="172"/>
      <c r="B419" s="172"/>
      <c r="C419" s="172"/>
      <c r="D419" s="172"/>
      <c r="E419" s="172"/>
    </row>
    <row r="420">
      <c r="A420" s="172"/>
      <c r="B420" s="172"/>
      <c r="C420" s="172"/>
      <c r="D420" s="172"/>
      <c r="E420" s="172"/>
    </row>
    <row r="421">
      <c r="A421" s="172"/>
      <c r="B421" s="172"/>
      <c r="C421" s="172"/>
      <c r="D421" s="172"/>
      <c r="E421" s="172"/>
    </row>
    <row r="422">
      <c r="A422" s="172"/>
      <c r="B422" s="172"/>
      <c r="C422" s="172"/>
      <c r="D422" s="172"/>
      <c r="E422" s="172"/>
    </row>
    <row r="423">
      <c r="A423" s="172"/>
      <c r="B423" s="172"/>
      <c r="C423" s="172"/>
      <c r="D423" s="172"/>
      <c r="E423" s="172"/>
    </row>
    <row r="424">
      <c r="A424" s="172"/>
      <c r="B424" s="172"/>
      <c r="C424" s="172"/>
      <c r="D424" s="172"/>
      <c r="E424" s="172"/>
    </row>
    <row r="425">
      <c r="A425" s="172"/>
      <c r="B425" s="172"/>
      <c r="C425" s="172"/>
      <c r="D425" s="172"/>
      <c r="E425" s="172"/>
    </row>
    <row r="426">
      <c r="A426" s="172"/>
      <c r="B426" s="172"/>
      <c r="C426" s="172"/>
      <c r="D426" s="172"/>
      <c r="E426" s="172"/>
    </row>
    <row r="427">
      <c r="A427" s="172"/>
      <c r="B427" s="172"/>
      <c r="C427" s="172"/>
      <c r="D427" s="172"/>
      <c r="E427" s="172"/>
    </row>
    <row r="428">
      <c r="A428" s="172"/>
      <c r="B428" s="172"/>
      <c r="C428" s="172"/>
      <c r="D428" s="172"/>
      <c r="E428" s="172"/>
    </row>
    <row r="429">
      <c r="A429" s="172"/>
      <c r="B429" s="172"/>
      <c r="C429" s="172"/>
      <c r="D429" s="172"/>
      <c r="E429" s="172"/>
    </row>
    <row r="430">
      <c r="A430" s="172"/>
      <c r="B430" s="172"/>
      <c r="C430" s="172"/>
      <c r="D430" s="172"/>
      <c r="E430" s="172"/>
    </row>
    <row r="431">
      <c r="A431" s="172"/>
      <c r="B431" s="172"/>
      <c r="C431" s="172"/>
      <c r="D431" s="172"/>
      <c r="E431" s="172"/>
    </row>
    <row r="432">
      <c r="A432" s="172"/>
      <c r="B432" s="172"/>
      <c r="C432" s="172"/>
      <c r="D432" s="172"/>
      <c r="E432" s="172"/>
    </row>
    <row r="433">
      <c r="A433" s="172"/>
      <c r="B433" s="172"/>
      <c r="C433" s="172"/>
      <c r="D433" s="172"/>
      <c r="E433" s="172"/>
    </row>
    <row r="434">
      <c r="A434" s="172"/>
      <c r="B434" s="172"/>
      <c r="C434" s="172"/>
      <c r="D434" s="172"/>
      <c r="E434" s="172"/>
    </row>
    <row r="435">
      <c r="A435" s="172"/>
      <c r="B435" s="172"/>
      <c r="C435" s="172"/>
      <c r="D435" s="172"/>
      <c r="E435" s="172"/>
    </row>
    <row r="436">
      <c r="A436" s="172"/>
      <c r="B436" s="172"/>
      <c r="C436" s="172"/>
      <c r="D436" s="172"/>
      <c r="E436" s="172"/>
    </row>
    <row r="437">
      <c r="A437" s="172"/>
      <c r="B437" s="172"/>
      <c r="C437" s="172"/>
      <c r="D437" s="172"/>
      <c r="E437" s="172"/>
    </row>
    <row r="438">
      <c r="A438" s="172"/>
      <c r="B438" s="172"/>
      <c r="C438" s="172"/>
      <c r="D438" s="172"/>
      <c r="E438" s="172"/>
    </row>
    <row r="439">
      <c r="A439" s="172"/>
      <c r="B439" s="172"/>
      <c r="C439" s="172"/>
      <c r="D439" s="172"/>
      <c r="E439" s="172"/>
    </row>
    <row r="440">
      <c r="A440" s="172"/>
      <c r="B440" s="172"/>
      <c r="C440" s="172"/>
      <c r="D440" s="172"/>
      <c r="E440" s="172"/>
    </row>
    <row r="441">
      <c r="A441" s="172"/>
      <c r="B441" s="172"/>
      <c r="C441" s="172"/>
      <c r="D441" s="172"/>
      <c r="E441" s="172"/>
    </row>
    <row r="442">
      <c r="A442" s="172"/>
      <c r="B442" s="172"/>
      <c r="C442" s="172"/>
      <c r="D442" s="172"/>
      <c r="E442" s="172"/>
    </row>
    <row r="443">
      <c r="A443" s="172"/>
      <c r="B443" s="172"/>
      <c r="C443" s="172"/>
      <c r="D443" s="172"/>
      <c r="E443" s="172"/>
    </row>
    <row r="444">
      <c r="A444" s="172"/>
      <c r="B444" s="172"/>
      <c r="C444" s="172"/>
      <c r="D444" s="172"/>
      <c r="E444" s="172"/>
    </row>
    <row r="445">
      <c r="A445" s="172"/>
      <c r="B445" s="172"/>
      <c r="C445" s="172"/>
      <c r="D445" s="172"/>
      <c r="E445" s="172"/>
    </row>
    <row r="446">
      <c r="A446" s="172"/>
      <c r="B446" s="172"/>
      <c r="C446" s="172"/>
      <c r="D446" s="172"/>
      <c r="E446" s="172"/>
    </row>
    <row r="447">
      <c r="A447" s="172"/>
      <c r="B447" s="172"/>
      <c r="C447" s="172"/>
      <c r="D447" s="172"/>
      <c r="E447" s="172"/>
    </row>
    <row r="448">
      <c r="A448" s="172"/>
      <c r="B448" s="172"/>
      <c r="C448" s="172"/>
      <c r="D448" s="172"/>
      <c r="E448" s="172"/>
    </row>
    <row r="449">
      <c r="A449" s="172"/>
      <c r="B449" s="172"/>
      <c r="C449" s="172"/>
      <c r="D449" s="172"/>
      <c r="E449" s="172"/>
    </row>
    <row r="450">
      <c r="A450" s="172"/>
      <c r="B450" s="172"/>
      <c r="C450" s="172"/>
      <c r="D450" s="172"/>
      <c r="E450" s="172"/>
    </row>
    <row r="451">
      <c r="A451" s="172"/>
      <c r="B451" s="172"/>
      <c r="C451" s="172"/>
      <c r="D451" s="172"/>
      <c r="E451" s="172"/>
    </row>
    <row r="452">
      <c r="A452" s="172"/>
      <c r="B452" s="172"/>
      <c r="C452" s="172"/>
      <c r="D452" s="172"/>
      <c r="E452" s="172"/>
    </row>
    <row r="453">
      <c r="A453" s="172"/>
      <c r="B453" s="172"/>
      <c r="C453" s="172"/>
      <c r="D453" s="172"/>
      <c r="E453" s="172"/>
    </row>
    <row r="454">
      <c r="A454" s="172"/>
      <c r="B454" s="172"/>
      <c r="C454" s="172"/>
      <c r="D454" s="172"/>
      <c r="E454" s="172"/>
    </row>
    <row r="455">
      <c r="A455" s="172"/>
      <c r="B455" s="172"/>
      <c r="C455" s="172"/>
      <c r="D455" s="172"/>
      <c r="E455" s="172"/>
    </row>
    <row r="456">
      <c r="A456" s="172"/>
      <c r="B456" s="172"/>
      <c r="C456" s="172"/>
      <c r="D456" s="172"/>
      <c r="E456" s="172"/>
    </row>
    <row r="457">
      <c r="A457" s="172"/>
      <c r="B457" s="172"/>
      <c r="C457" s="172"/>
      <c r="D457" s="172"/>
      <c r="E457" s="172"/>
    </row>
    <row r="458">
      <c r="A458" s="172"/>
      <c r="B458" s="172"/>
      <c r="C458" s="172"/>
      <c r="D458" s="172"/>
      <c r="E458" s="172"/>
    </row>
    <row r="459">
      <c r="A459" s="172"/>
      <c r="B459" s="172"/>
      <c r="C459" s="172"/>
      <c r="D459" s="172"/>
      <c r="E459" s="172"/>
    </row>
    <row r="460">
      <c r="A460" s="172"/>
      <c r="B460" s="172"/>
      <c r="C460" s="172"/>
      <c r="D460" s="172"/>
      <c r="E460" s="172"/>
    </row>
    <row r="461">
      <c r="A461" s="172"/>
      <c r="B461" s="172"/>
      <c r="C461" s="172"/>
      <c r="D461" s="172"/>
      <c r="E461" s="172"/>
    </row>
    <row r="462">
      <c r="A462" s="172"/>
      <c r="B462" s="172"/>
      <c r="C462" s="172"/>
      <c r="D462" s="172"/>
      <c r="E462" s="172"/>
    </row>
    <row r="463">
      <c r="A463" s="172"/>
      <c r="B463" s="172"/>
      <c r="C463" s="172"/>
      <c r="D463" s="172"/>
      <c r="E463" s="172"/>
    </row>
    <row r="464">
      <c r="A464" s="172"/>
      <c r="B464" s="172"/>
      <c r="C464" s="172"/>
      <c r="D464" s="172"/>
      <c r="E464" s="172"/>
    </row>
    <row r="465">
      <c r="A465" s="172"/>
      <c r="B465" s="172"/>
      <c r="C465" s="172"/>
      <c r="D465" s="172"/>
      <c r="E465" s="172"/>
    </row>
    <row r="466">
      <c r="A466" s="172"/>
      <c r="B466" s="172"/>
      <c r="C466" s="172"/>
      <c r="D466" s="172"/>
      <c r="E466" s="172"/>
    </row>
    <row r="467">
      <c r="A467" s="172"/>
      <c r="B467" s="172"/>
      <c r="C467" s="172"/>
      <c r="D467" s="172"/>
      <c r="E467" s="172"/>
    </row>
    <row r="468">
      <c r="A468" s="172"/>
      <c r="B468" s="172"/>
      <c r="C468" s="172"/>
      <c r="D468" s="172"/>
      <c r="E468" s="172"/>
    </row>
    <row r="469">
      <c r="A469" s="172"/>
      <c r="B469" s="172"/>
      <c r="C469" s="172"/>
      <c r="D469" s="172"/>
      <c r="E469" s="172"/>
    </row>
    <row r="470">
      <c r="A470" s="172"/>
      <c r="B470" s="172"/>
      <c r="C470" s="172"/>
      <c r="D470" s="172"/>
      <c r="E470" s="172"/>
    </row>
    <row r="471">
      <c r="A471" s="172"/>
      <c r="B471" s="172"/>
      <c r="C471" s="172"/>
      <c r="D471" s="172"/>
      <c r="E471" s="172"/>
    </row>
    <row r="472">
      <c r="A472" s="172"/>
      <c r="B472" s="172"/>
      <c r="C472" s="172"/>
      <c r="D472" s="172"/>
      <c r="E472" s="172"/>
    </row>
    <row r="473">
      <c r="A473" s="172"/>
      <c r="B473" s="172"/>
      <c r="C473" s="172"/>
      <c r="D473" s="172"/>
      <c r="E473" s="172"/>
    </row>
    <row r="474">
      <c r="A474" s="172"/>
      <c r="B474" s="172"/>
      <c r="C474" s="172"/>
      <c r="D474" s="172"/>
      <c r="E474" s="172"/>
    </row>
    <row r="475">
      <c r="A475" s="172"/>
      <c r="B475" s="172"/>
      <c r="C475" s="172"/>
      <c r="D475" s="172"/>
      <c r="E475" s="172"/>
    </row>
    <row r="476">
      <c r="A476" s="172"/>
      <c r="B476" s="172"/>
      <c r="C476" s="172"/>
      <c r="D476" s="172"/>
      <c r="E476" s="172"/>
    </row>
    <row r="477">
      <c r="A477" s="172"/>
      <c r="B477" s="172"/>
      <c r="C477" s="172"/>
      <c r="D477" s="172"/>
      <c r="E477" s="172"/>
    </row>
    <row r="478">
      <c r="A478" s="172"/>
      <c r="B478" s="172"/>
      <c r="C478" s="172"/>
      <c r="D478" s="172"/>
      <c r="E478" s="172"/>
    </row>
    <row r="479">
      <c r="A479" s="172"/>
      <c r="B479" s="172"/>
      <c r="C479" s="172"/>
      <c r="D479" s="172"/>
      <c r="E479" s="172"/>
    </row>
    <row r="480">
      <c r="A480" s="172"/>
      <c r="B480" s="172"/>
      <c r="C480" s="172"/>
      <c r="D480" s="172"/>
      <c r="E480" s="172"/>
    </row>
    <row r="481">
      <c r="A481" s="172"/>
      <c r="B481" s="172"/>
      <c r="C481" s="172"/>
      <c r="D481" s="172"/>
      <c r="E481" s="172"/>
    </row>
    <row r="482">
      <c r="A482" s="172"/>
      <c r="B482" s="172"/>
      <c r="C482" s="172"/>
      <c r="D482" s="172"/>
      <c r="E482" s="172"/>
    </row>
    <row r="483">
      <c r="A483" s="172"/>
      <c r="B483" s="172"/>
      <c r="C483" s="172"/>
      <c r="D483" s="172"/>
      <c r="E483" s="172"/>
    </row>
    <row r="484">
      <c r="A484" s="172"/>
      <c r="B484" s="172"/>
      <c r="C484" s="172"/>
      <c r="D484" s="172"/>
      <c r="E484" s="172"/>
    </row>
    <row r="485">
      <c r="A485" s="172"/>
      <c r="B485" s="172"/>
      <c r="C485" s="172"/>
      <c r="D485" s="172"/>
      <c r="E485" s="172"/>
    </row>
    <row r="486">
      <c r="A486" s="172"/>
      <c r="B486" s="172"/>
      <c r="C486" s="172"/>
      <c r="D486" s="172"/>
      <c r="E486" s="172"/>
    </row>
    <row r="487">
      <c r="A487" s="172"/>
      <c r="B487" s="172"/>
      <c r="C487" s="172"/>
      <c r="D487" s="172"/>
      <c r="E487" s="172"/>
    </row>
    <row r="488">
      <c r="A488" s="172"/>
      <c r="B488" s="172"/>
      <c r="C488" s="172"/>
      <c r="D488" s="172"/>
      <c r="E488" s="172"/>
    </row>
    <row r="489">
      <c r="A489" s="172"/>
      <c r="B489" s="172"/>
      <c r="C489" s="172"/>
      <c r="D489" s="172"/>
      <c r="E489" s="172"/>
    </row>
    <row r="490">
      <c r="A490" s="172"/>
      <c r="B490" s="172"/>
      <c r="C490" s="172"/>
      <c r="D490" s="172"/>
      <c r="E490" s="172"/>
    </row>
    <row r="491">
      <c r="A491" s="172"/>
      <c r="B491" s="172"/>
      <c r="C491" s="172"/>
      <c r="D491" s="172"/>
      <c r="E491" s="172"/>
    </row>
    <row r="492">
      <c r="A492" s="172"/>
      <c r="B492" s="172"/>
      <c r="C492" s="172"/>
      <c r="D492" s="172"/>
      <c r="E492" s="172"/>
    </row>
    <row r="493">
      <c r="A493" s="172"/>
      <c r="B493" s="172"/>
      <c r="C493" s="172"/>
      <c r="D493" s="172"/>
      <c r="E493" s="172"/>
    </row>
    <row r="494">
      <c r="A494" s="172"/>
      <c r="B494" s="172"/>
      <c r="C494" s="172"/>
      <c r="D494" s="172"/>
      <c r="E494" s="172"/>
    </row>
    <row r="495">
      <c r="A495" s="172"/>
      <c r="B495" s="172"/>
      <c r="C495" s="172"/>
      <c r="D495" s="172"/>
      <c r="E495" s="172"/>
    </row>
    <row r="496">
      <c r="A496" s="172"/>
      <c r="B496" s="172"/>
      <c r="C496" s="172"/>
      <c r="D496" s="172"/>
      <c r="E496" s="172"/>
    </row>
    <row r="497">
      <c r="A497" s="172"/>
      <c r="B497" s="172"/>
      <c r="C497" s="172"/>
      <c r="D497" s="172"/>
      <c r="E497" s="172"/>
    </row>
    <row r="498">
      <c r="A498" s="172"/>
      <c r="B498" s="172"/>
      <c r="C498" s="172"/>
      <c r="D498" s="172"/>
      <c r="E498" s="172"/>
    </row>
    <row r="499">
      <c r="A499" s="172"/>
      <c r="B499" s="172"/>
      <c r="C499" s="172"/>
      <c r="D499" s="172"/>
      <c r="E499" s="172"/>
    </row>
    <row r="500">
      <c r="A500" s="172"/>
      <c r="B500" s="172"/>
      <c r="C500" s="172"/>
      <c r="D500" s="172"/>
      <c r="E500" s="172"/>
    </row>
    <row r="501">
      <c r="A501" s="172"/>
      <c r="B501" s="172"/>
      <c r="C501" s="172"/>
      <c r="D501" s="172"/>
      <c r="E501" s="172"/>
    </row>
    <row r="502">
      <c r="A502" s="172"/>
      <c r="B502" s="172"/>
      <c r="C502" s="172"/>
      <c r="D502" s="172"/>
      <c r="E502" s="172"/>
    </row>
    <row r="503">
      <c r="A503" s="172"/>
      <c r="B503" s="172"/>
      <c r="C503" s="172"/>
      <c r="D503" s="172"/>
      <c r="E503" s="172"/>
    </row>
    <row r="504">
      <c r="A504" s="172"/>
      <c r="B504" s="172"/>
      <c r="C504" s="172"/>
      <c r="D504" s="172"/>
      <c r="E504" s="172"/>
    </row>
    <row r="505">
      <c r="A505" s="172"/>
      <c r="B505" s="172"/>
      <c r="C505" s="172"/>
      <c r="D505" s="172"/>
      <c r="E505" s="172"/>
    </row>
    <row r="506">
      <c r="A506" s="172"/>
      <c r="B506" s="172"/>
      <c r="C506" s="172"/>
      <c r="D506" s="172"/>
      <c r="E506" s="172"/>
    </row>
    <row r="507">
      <c r="A507" s="172"/>
      <c r="B507" s="172"/>
      <c r="C507" s="172"/>
      <c r="D507" s="172"/>
      <c r="E507" s="172"/>
    </row>
    <row r="508">
      <c r="A508" s="172"/>
      <c r="B508" s="172"/>
      <c r="C508" s="172"/>
      <c r="D508" s="172"/>
      <c r="E508" s="172"/>
    </row>
    <row r="509">
      <c r="A509" s="172"/>
      <c r="B509" s="172"/>
      <c r="C509" s="172"/>
      <c r="D509" s="172"/>
      <c r="E509" s="172"/>
    </row>
    <row r="510">
      <c r="A510" s="172"/>
      <c r="B510" s="172"/>
      <c r="C510" s="172"/>
      <c r="D510" s="172"/>
      <c r="E510" s="172"/>
    </row>
    <row r="511">
      <c r="A511" s="172"/>
      <c r="B511" s="172"/>
      <c r="C511" s="172"/>
      <c r="D511" s="172"/>
      <c r="E511" s="172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t="str">
        <f>IFERROR(__xludf.DUMMYFUNCTION("split(join("","",sort(byrow('Teams-Conference'!A$2:A1000,lambda(rw,if(iserror(match(rw,DraftTracker!F$1:F1,0)),rw,""""))),1,1)),"","",1,1)"),"Air Force")</f>
        <v>Air Force</v>
      </c>
      <c r="C1" t="str">
        <f>IFERROR(__xludf.DUMMYFUNCTION("""COMPUTED_VALUE"""),"Akron")</f>
        <v>Akron</v>
      </c>
      <c r="D1" t="str">
        <f>IFERROR(__xludf.DUMMYFUNCTION("""COMPUTED_VALUE"""),"Alabama")</f>
        <v>Alabama</v>
      </c>
      <c r="E1" t="str">
        <f>IFERROR(__xludf.DUMMYFUNCTION("""COMPUTED_VALUE"""),"Appalachian State")</f>
        <v>Appalachian State</v>
      </c>
      <c r="F1" t="str">
        <f>IFERROR(__xludf.DUMMYFUNCTION("""COMPUTED_VALUE"""),"Arizona")</f>
        <v>Arizona</v>
      </c>
      <c r="G1" t="str">
        <f>IFERROR(__xludf.DUMMYFUNCTION("""COMPUTED_VALUE"""),"Arizona State")</f>
        <v>Arizona State</v>
      </c>
      <c r="H1" t="str">
        <f>IFERROR(__xludf.DUMMYFUNCTION("""COMPUTED_VALUE"""),"Arkansas")</f>
        <v>Arkansas</v>
      </c>
      <c r="I1" t="str">
        <f>IFERROR(__xludf.DUMMYFUNCTION("""COMPUTED_VALUE"""),"Arkansas State")</f>
        <v>Arkansas State</v>
      </c>
      <c r="J1" t="str">
        <f>IFERROR(__xludf.DUMMYFUNCTION("""COMPUTED_VALUE"""),"Army")</f>
        <v>Army</v>
      </c>
      <c r="K1" t="str">
        <f>IFERROR(__xludf.DUMMYFUNCTION("""COMPUTED_VALUE"""),"Auburn")</f>
        <v>Auburn</v>
      </c>
      <c r="L1" t="str">
        <f>IFERROR(__xludf.DUMMYFUNCTION("""COMPUTED_VALUE"""),"Ball State")</f>
        <v>Ball State</v>
      </c>
      <c r="M1" t="str">
        <f>IFERROR(__xludf.DUMMYFUNCTION("""COMPUTED_VALUE"""),"Baylor")</f>
        <v>Baylor</v>
      </c>
      <c r="N1" t="str">
        <f>IFERROR(__xludf.DUMMYFUNCTION("""COMPUTED_VALUE"""),"Boise State")</f>
        <v>Boise State</v>
      </c>
      <c r="O1" t="str">
        <f>IFERROR(__xludf.DUMMYFUNCTION("""COMPUTED_VALUE"""),"Boston College")</f>
        <v>Boston College</v>
      </c>
      <c r="P1" t="str">
        <f>IFERROR(__xludf.DUMMYFUNCTION("""COMPUTED_VALUE"""),"Bowling Green")</f>
        <v>Bowling Green</v>
      </c>
      <c r="Q1" t="str">
        <f>IFERROR(__xludf.DUMMYFUNCTION("""COMPUTED_VALUE"""),"Buffalo")</f>
        <v>Buffalo</v>
      </c>
      <c r="R1" t="str">
        <f>IFERROR(__xludf.DUMMYFUNCTION("""COMPUTED_VALUE"""),"BYU")</f>
        <v>BYU</v>
      </c>
      <c r="S1" t="str">
        <f>IFERROR(__xludf.DUMMYFUNCTION("""COMPUTED_VALUE"""),"California")</f>
        <v>California</v>
      </c>
      <c r="T1" t="str">
        <f>IFERROR(__xludf.DUMMYFUNCTION("""COMPUTED_VALUE"""),"Central Michigan")</f>
        <v>Central Michigan</v>
      </c>
      <c r="U1" t="str">
        <f>IFERROR(__xludf.DUMMYFUNCTION("""COMPUTED_VALUE"""),"Charlotte")</f>
        <v>Charlotte</v>
      </c>
      <c r="V1" t="str">
        <f>IFERROR(__xludf.DUMMYFUNCTION("""COMPUTED_VALUE"""),"Cincinnati")</f>
        <v>Cincinnati</v>
      </c>
      <c r="W1" t="str">
        <f>IFERROR(__xludf.DUMMYFUNCTION("""COMPUTED_VALUE"""),"Clemson")</f>
        <v>Clemson</v>
      </c>
      <c r="X1" t="str">
        <f>IFERROR(__xludf.DUMMYFUNCTION("""COMPUTED_VALUE"""),"Coastal Carolina")</f>
        <v>Coastal Carolina</v>
      </c>
      <c r="Y1" t="str">
        <f>IFERROR(__xludf.DUMMYFUNCTION("""COMPUTED_VALUE"""),"Colorado")</f>
        <v>Colorado</v>
      </c>
      <c r="Z1" t="str">
        <f>IFERROR(__xludf.DUMMYFUNCTION("""COMPUTED_VALUE"""),"Colorado State")</f>
        <v>Colorado State</v>
      </c>
      <c r="AA1" t="str">
        <f>IFERROR(__xludf.DUMMYFUNCTION("""COMPUTED_VALUE"""),"Delaware")</f>
        <v>Delaware</v>
      </c>
      <c r="AB1" t="str">
        <f>IFERROR(__xludf.DUMMYFUNCTION("""COMPUTED_VALUE"""),"Duke")</f>
        <v>Duke</v>
      </c>
      <c r="AC1" t="str">
        <f>IFERROR(__xludf.DUMMYFUNCTION("""COMPUTED_VALUE"""),"East Carolina")</f>
        <v>East Carolina</v>
      </c>
      <c r="AD1" t="str">
        <f>IFERROR(__xludf.DUMMYFUNCTION("""COMPUTED_VALUE"""),"EMU")</f>
        <v>EMU</v>
      </c>
      <c r="AE1" t="str">
        <f>IFERROR(__xludf.DUMMYFUNCTION("""COMPUTED_VALUE"""),"Florida")</f>
        <v>Florida</v>
      </c>
      <c r="AF1" t="str">
        <f>IFERROR(__xludf.DUMMYFUNCTION("""COMPUTED_VALUE"""),"Florida Atlantic")</f>
        <v>Florida Atlantic</v>
      </c>
      <c r="AG1" t="str">
        <f>IFERROR(__xludf.DUMMYFUNCTION("""COMPUTED_VALUE"""),"Florida Intl")</f>
        <v>Florida Intl</v>
      </c>
      <c r="AH1" t="str">
        <f>IFERROR(__xludf.DUMMYFUNCTION("""COMPUTED_VALUE"""),"Florida State")</f>
        <v>Florida State</v>
      </c>
      <c r="AI1" t="str">
        <f>IFERROR(__xludf.DUMMYFUNCTION("""COMPUTED_VALUE"""),"Fresno State")</f>
        <v>Fresno State</v>
      </c>
      <c r="AJ1" t="str">
        <f>IFERROR(__xludf.DUMMYFUNCTION("""COMPUTED_VALUE"""),"Georgia")</f>
        <v>Georgia</v>
      </c>
      <c r="AK1" t="str">
        <f>IFERROR(__xludf.DUMMYFUNCTION("""COMPUTED_VALUE"""),"Georgia Southern")</f>
        <v>Georgia Southern</v>
      </c>
      <c r="AL1" t="str">
        <f>IFERROR(__xludf.DUMMYFUNCTION("""COMPUTED_VALUE"""),"Georgia State")</f>
        <v>Georgia State</v>
      </c>
      <c r="AM1" t="str">
        <f>IFERROR(__xludf.DUMMYFUNCTION("""COMPUTED_VALUE"""),"Georgia Tech")</f>
        <v>Georgia Tech</v>
      </c>
      <c r="AN1" t="str">
        <f>IFERROR(__xludf.DUMMYFUNCTION("""COMPUTED_VALUE"""),"Hawaii")</f>
        <v>Hawaii</v>
      </c>
      <c r="AO1" t="str">
        <f>IFERROR(__xludf.DUMMYFUNCTION("""COMPUTED_VALUE"""),"Houston")</f>
        <v>Houston</v>
      </c>
      <c r="AP1" t="str">
        <f>IFERROR(__xludf.DUMMYFUNCTION("""COMPUTED_VALUE"""),"Illinois")</f>
        <v>Illinois</v>
      </c>
      <c r="AQ1" t="str">
        <f>IFERROR(__xludf.DUMMYFUNCTION("""COMPUTED_VALUE"""),"Indiana")</f>
        <v>Indiana</v>
      </c>
      <c r="AR1" t="str">
        <f>IFERROR(__xludf.DUMMYFUNCTION("""COMPUTED_VALUE"""),"Iowa")</f>
        <v>Iowa</v>
      </c>
      <c r="AS1" t="str">
        <f>IFERROR(__xludf.DUMMYFUNCTION("""COMPUTED_VALUE"""),"Iowa State")</f>
        <v>Iowa State</v>
      </c>
      <c r="AT1" t="str">
        <f>IFERROR(__xludf.DUMMYFUNCTION("""COMPUTED_VALUE"""),"Jacksonville State")</f>
        <v>Jacksonville State</v>
      </c>
      <c r="AU1" t="str">
        <f>IFERROR(__xludf.DUMMYFUNCTION("""COMPUTED_VALUE"""),"James Madison")</f>
        <v>James Madison</v>
      </c>
      <c r="AV1" t="str">
        <f>IFERROR(__xludf.DUMMYFUNCTION("""COMPUTED_VALUE"""),"Kansas")</f>
        <v>Kansas</v>
      </c>
      <c r="AW1" t="str">
        <f>IFERROR(__xludf.DUMMYFUNCTION("""COMPUTED_VALUE"""),"Kansas State")</f>
        <v>Kansas State</v>
      </c>
      <c r="AX1" t="str">
        <f>IFERROR(__xludf.DUMMYFUNCTION("""COMPUTED_VALUE"""),"Kennesaw State")</f>
        <v>Kennesaw State</v>
      </c>
      <c r="AY1" t="str">
        <f>IFERROR(__xludf.DUMMYFUNCTION("""COMPUTED_VALUE"""),"Kent State")</f>
        <v>Kent State</v>
      </c>
      <c r="AZ1" t="str">
        <f>IFERROR(__xludf.DUMMYFUNCTION("""COMPUTED_VALUE"""),"Kentucky")</f>
        <v>Kentucky</v>
      </c>
      <c r="BA1" t="str">
        <f>IFERROR(__xludf.DUMMYFUNCTION("""COMPUTED_VALUE"""),"Liberty")</f>
        <v>Liberty</v>
      </c>
      <c r="BB1" t="str">
        <f>IFERROR(__xludf.DUMMYFUNCTION("""COMPUTED_VALUE"""),"Louisiana Tech")</f>
        <v>Louisiana Tech</v>
      </c>
      <c r="BC1" t="str">
        <f>IFERROR(__xludf.DUMMYFUNCTION("""COMPUTED_VALUE"""),"Louisville")</f>
        <v>Louisville</v>
      </c>
      <c r="BD1" t="str">
        <f>IFERROR(__xludf.DUMMYFUNCTION("""COMPUTED_VALUE"""),"LSU")</f>
        <v>LSU</v>
      </c>
      <c r="BE1" t="str">
        <f>IFERROR(__xludf.DUMMYFUNCTION("""COMPUTED_VALUE"""),"Marshall")</f>
        <v>Marshall</v>
      </c>
      <c r="BF1" t="str">
        <f>IFERROR(__xludf.DUMMYFUNCTION("""COMPUTED_VALUE"""),"Maryland")</f>
        <v>Maryland</v>
      </c>
      <c r="BG1" t="str">
        <f>IFERROR(__xludf.DUMMYFUNCTION("""COMPUTED_VALUE"""),"Memphis")</f>
        <v>Memphis</v>
      </c>
      <c r="BH1" t="str">
        <f>IFERROR(__xludf.DUMMYFUNCTION("""COMPUTED_VALUE"""),"Miami")</f>
        <v>Miami</v>
      </c>
      <c r="BI1" t="str">
        <f>IFERROR(__xludf.DUMMYFUNCTION("""COMPUTED_VALUE"""),"Miami-OH")</f>
        <v>Miami-OH</v>
      </c>
      <c r="BJ1" t="str">
        <f>IFERROR(__xludf.DUMMYFUNCTION("""COMPUTED_VALUE"""),"Michigan")</f>
        <v>Michigan</v>
      </c>
      <c r="BK1" t="str">
        <f>IFERROR(__xludf.DUMMYFUNCTION("""COMPUTED_VALUE"""),"Michigan State")</f>
        <v>Michigan State</v>
      </c>
      <c r="BL1" t="str">
        <f>IFERROR(__xludf.DUMMYFUNCTION("""COMPUTED_VALUE"""),"Middle Tennessee")</f>
        <v>Middle Tennessee</v>
      </c>
      <c r="BM1" t="str">
        <f>IFERROR(__xludf.DUMMYFUNCTION("""COMPUTED_VALUE"""),"Minnesota")</f>
        <v>Minnesota</v>
      </c>
      <c r="BN1" t="str">
        <f>IFERROR(__xludf.DUMMYFUNCTION("""COMPUTED_VALUE"""),"Mississippi State")</f>
        <v>Mississippi State</v>
      </c>
      <c r="BO1" t="str">
        <f>IFERROR(__xludf.DUMMYFUNCTION("""COMPUTED_VALUE"""),"Missouri")</f>
        <v>Missouri</v>
      </c>
      <c r="BP1" t="str">
        <f>IFERROR(__xludf.DUMMYFUNCTION("""COMPUTED_VALUE"""),"Missouri State")</f>
        <v>Missouri State</v>
      </c>
      <c r="BQ1" t="str">
        <f>IFERROR(__xludf.DUMMYFUNCTION("""COMPUTED_VALUE"""),"Navy")</f>
        <v>Navy</v>
      </c>
      <c r="BR1" t="str">
        <f>IFERROR(__xludf.DUMMYFUNCTION("""COMPUTED_VALUE"""),"NC State")</f>
        <v>NC State</v>
      </c>
      <c r="BS1" t="str">
        <f>IFERROR(__xludf.DUMMYFUNCTION("""COMPUTED_VALUE"""),"Nebraska")</f>
        <v>Nebraska</v>
      </c>
      <c r="BT1" t="str">
        <f>IFERROR(__xludf.DUMMYFUNCTION("""COMPUTED_VALUE"""),"Nevada")</f>
        <v>Nevada</v>
      </c>
      <c r="BU1" t="str">
        <f>IFERROR(__xludf.DUMMYFUNCTION("""COMPUTED_VALUE"""),"New Mexico")</f>
        <v>New Mexico</v>
      </c>
      <c r="BV1" t="str">
        <f>IFERROR(__xludf.DUMMYFUNCTION("""COMPUTED_VALUE"""),"New Mexico State")</f>
        <v>New Mexico State</v>
      </c>
      <c r="BW1" t="str">
        <f>IFERROR(__xludf.DUMMYFUNCTION("""COMPUTED_VALUE"""),"North Carolina")</f>
        <v>North Carolina</v>
      </c>
      <c r="BX1" t="str">
        <f>IFERROR(__xludf.DUMMYFUNCTION("""COMPUTED_VALUE"""),"North Texas")</f>
        <v>North Texas</v>
      </c>
      <c r="BY1" t="str">
        <f>IFERROR(__xludf.DUMMYFUNCTION("""COMPUTED_VALUE"""),"Northern Illinois")</f>
        <v>Northern Illinois</v>
      </c>
      <c r="BZ1" t="str">
        <f>IFERROR(__xludf.DUMMYFUNCTION("""COMPUTED_VALUE"""),"Northwestern")</f>
        <v>Northwestern</v>
      </c>
      <c r="CA1" t="str">
        <f>IFERROR(__xludf.DUMMYFUNCTION("""COMPUTED_VALUE"""),"Notre Dame")</f>
        <v>Notre Dame</v>
      </c>
      <c r="CB1" t="str">
        <f>IFERROR(__xludf.DUMMYFUNCTION("""COMPUTED_VALUE"""),"Ohio")</f>
        <v>Ohio</v>
      </c>
      <c r="CC1" t="str">
        <f>IFERROR(__xludf.DUMMYFUNCTION("""COMPUTED_VALUE"""),"Ohio State")</f>
        <v>Ohio State</v>
      </c>
      <c r="CD1" t="str">
        <f>IFERROR(__xludf.DUMMYFUNCTION("""COMPUTED_VALUE"""),"Oklahoma")</f>
        <v>Oklahoma</v>
      </c>
      <c r="CE1" t="str">
        <f>IFERROR(__xludf.DUMMYFUNCTION("""COMPUTED_VALUE"""),"Oklahoma State")</f>
        <v>Oklahoma State</v>
      </c>
      <c r="CF1" t="str">
        <f>IFERROR(__xludf.DUMMYFUNCTION("""COMPUTED_VALUE"""),"Old Dominion")</f>
        <v>Old Dominion</v>
      </c>
      <c r="CG1" t="str">
        <f>IFERROR(__xludf.DUMMYFUNCTION("""COMPUTED_VALUE"""),"Ole Miss")</f>
        <v>Ole Miss</v>
      </c>
      <c r="CH1" t="str">
        <f>IFERROR(__xludf.DUMMYFUNCTION("""COMPUTED_VALUE"""),"Oregon")</f>
        <v>Oregon</v>
      </c>
      <c r="CI1" t="str">
        <f>IFERROR(__xludf.DUMMYFUNCTION("""COMPUTED_VALUE"""),"Oregon State")</f>
        <v>Oregon State</v>
      </c>
      <c r="CJ1" t="str">
        <f>IFERROR(__xludf.DUMMYFUNCTION("""COMPUTED_VALUE"""),"Penn State")</f>
        <v>Penn State</v>
      </c>
      <c r="CK1" t="str">
        <f>IFERROR(__xludf.DUMMYFUNCTION("""COMPUTED_VALUE"""),"Pittsburgh")</f>
        <v>Pittsburgh</v>
      </c>
      <c r="CL1" t="str">
        <f>IFERROR(__xludf.DUMMYFUNCTION("""COMPUTED_VALUE"""),"Purdue")</f>
        <v>Purdue</v>
      </c>
      <c r="CM1" t="str">
        <f>IFERROR(__xludf.DUMMYFUNCTION("""COMPUTED_VALUE"""),"Rice")</f>
        <v>Rice</v>
      </c>
      <c r="CN1" t="str">
        <f>IFERROR(__xludf.DUMMYFUNCTION("""COMPUTED_VALUE"""),"Rutgers")</f>
        <v>Rutgers</v>
      </c>
      <c r="CO1" t="str">
        <f>IFERROR(__xludf.DUMMYFUNCTION("""COMPUTED_VALUE"""),"Sam Houston")</f>
        <v>Sam Houston</v>
      </c>
      <c r="CP1" t="str">
        <f>IFERROR(__xludf.DUMMYFUNCTION("""COMPUTED_VALUE"""),"San Diego State")</f>
        <v>San Diego State</v>
      </c>
      <c r="CQ1" t="str">
        <f>IFERROR(__xludf.DUMMYFUNCTION("""COMPUTED_VALUE"""),"San José State")</f>
        <v>San José State</v>
      </c>
      <c r="CR1" t="str">
        <f>IFERROR(__xludf.DUMMYFUNCTION("""COMPUTED_VALUE"""),"SMU")</f>
        <v>SMU</v>
      </c>
      <c r="CS1" t="str">
        <f>IFERROR(__xludf.DUMMYFUNCTION("""COMPUTED_VALUE"""),"South Alabama")</f>
        <v>South Alabama</v>
      </c>
      <c r="CT1" t="str">
        <f>IFERROR(__xludf.DUMMYFUNCTION("""COMPUTED_VALUE"""),"South Carolina")</f>
        <v>South Carolina</v>
      </c>
      <c r="CU1" t="str">
        <f>IFERROR(__xludf.DUMMYFUNCTION("""COMPUTED_VALUE"""),"South Florida")</f>
        <v>South Florida</v>
      </c>
      <c r="CV1" t="str">
        <f>IFERROR(__xludf.DUMMYFUNCTION("""COMPUTED_VALUE"""),"Southern Mississippi")</f>
        <v>Southern Mississippi</v>
      </c>
      <c r="CW1" t="str">
        <f>IFERROR(__xludf.DUMMYFUNCTION("""COMPUTED_VALUE"""),"Stanford")</f>
        <v>Stanford</v>
      </c>
      <c r="CX1" t="str">
        <f>IFERROR(__xludf.DUMMYFUNCTION("""COMPUTED_VALUE"""),"Syracuse")</f>
        <v>Syracuse</v>
      </c>
      <c r="CY1" t="str">
        <f>IFERROR(__xludf.DUMMYFUNCTION("""COMPUTED_VALUE"""),"TCU")</f>
        <v>TCU</v>
      </c>
      <c r="CZ1" t="str">
        <f>IFERROR(__xludf.DUMMYFUNCTION("""COMPUTED_VALUE"""),"Temple")</f>
        <v>Temple</v>
      </c>
      <c r="DA1" t="str">
        <f>IFERROR(__xludf.DUMMYFUNCTION("""COMPUTED_VALUE"""),"Tennessee")</f>
        <v>Tennessee</v>
      </c>
      <c r="DB1" t="str">
        <f>IFERROR(__xludf.DUMMYFUNCTION("""COMPUTED_VALUE"""),"Texas")</f>
        <v>Texas</v>
      </c>
      <c r="DC1" t="str">
        <f>IFERROR(__xludf.DUMMYFUNCTION("""COMPUTED_VALUE"""),"Texas A&amp;M")</f>
        <v>Texas A&amp;M</v>
      </c>
      <c r="DD1" t="str">
        <f>IFERROR(__xludf.DUMMYFUNCTION("""COMPUTED_VALUE"""),"Texas State")</f>
        <v>Texas State</v>
      </c>
      <c r="DE1" t="str">
        <f>IFERROR(__xludf.DUMMYFUNCTION("""COMPUTED_VALUE"""),"Texas Tech")</f>
        <v>Texas Tech</v>
      </c>
      <c r="DF1" t="str">
        <f>IFERROR(__xludf.DUMMYFUNCTION("""COMPUTED_VALUE"""),"Toledo")</f>
        <v>Toledo</v>
      </c>
      <c r="DG1" t="str">
        <f>IFERROR(__xludf.DUMMYFUNCTION("""COMPUTED_VALUE"""),"Troy")</f>
        <v>Troy</v>
      </c>
      <c r="DH1" t="str">
        <f>IFERROR(__xludf.DUMMYFUNCTION("""COMPUTED_VALUE"""),"Tulane")</f>
        <v>Tulane</v>
      </c>
      <c r="DI1" t="str">
        <f>IFERROR(__xludf.DUMMYFUNCTION("""COMPUTED_VALUE"""),"Tulsa")</f>
        <v>Tulsa</v>
      </c>
      <c r="DJ1" t="str">
        <f>IFERROR(__xludf.DUMMYFUNCTION("""COMPUTED_VALUE"""),"UAB")</f>
        <v>UAB</v>
      </c>
      <c r="DK1" t="str">
        <f>IFERROR(__xludf.DUMMYFUNCTION("""COMPUTED_VALUE"""),"UCF")</f>
        <v>UCF</v>
      </c>
      <c r="DL1" t="str">
        <f>IFERROR(__xludf.DUMMYFUNCTION("""COMPUTED_VALUE"""),"UCLA")</f>
        <v>UCLA</v>
      </c>
      <c r="DM1" t="str">
        <f>IFERROR(__xludf.DUMMYFUNCTION("""COMPUTED_VALUE"""),"UConn")</f>
        <v>UConn</v>
      </c>
      <c r="DN1" t="str">
        <f>IFERROR(__xludf.DUMMYFUNCTION("""COMPUTED_VALUE"""),"UL Lafayette")</f>
        <v>UL Lafayette</v>
      </c>
      <c r="DO1" t="str">
        <f>IFERROR(__xludf.DUMMYFUNCTION("""COMPUTED_VALUE"""),"UL Monroe")</f>
        <v>UL Monroe</v>
      </c>
      <c r="DP1" t="str">
        <f>IFERROR(__xludf.DUMMYFUNCTION("""COMPUTED_VALUE"""),"UMASS")</f>
        <v>UMASS</v>
      </c>
      <c r="DQ1" t="str">
        <f>IFERROR(__xludf.DUMMYFUNCTION("""COMPUTED_VALUE"""),"UNLV")</f>
        <v>UNLV</v>
      </c>
      <c r="DR1" t="str">
        <f>IFERROR(__xludf.DUMMYFUNCTION("""COMPUTED_VALUE"""),"USC")</f>
        <v>USC</v>
      </c>
      <c r="DS1" t="str">
        <f>IFERROR(__xludf.DUMMYFUNCTION("""COMPUTED_VALUE"""),"Utah")</f>
        <v>Utah</v>
      </c>
      <c r="DT1" t="str">
        <f>IFERROR(__xludf.DUMMYFUNCTION("""COMPUTED_VALUE"""),"Utah State")</f>
        <v>Utah State</v>
      </c>
      <c r="DU1" t="str">
        <f>IFERROR(__xludf.DUMMYFUNCTION("""COMPUTED_VALUE"""),"UTEP")</f>
        <v>UTEP</v>
      </c>
      <c r="DV1" t="str">
        <f>IFERROR(__xludf.DUMMYFUNCTION("""COMPUTED_VALUE"""),"UTSA")</f>
        <v>UTSA</v>
      </c>
      <c r="DW1" t="str">
        <f>IFERROR(__xludf.DUMMYFUNCTION("""COMPUTED_VALUE"""),"Vanderbilt")</f>
        <v>Vanderbilt</v>
      </c>
      <c r="DX1" t="str">
        <f>IFERROR(__xludf.DUMMYFUNCTION("""COMPUTED_VALUE"""),"Virginia")</f>
        <v>Virginia</v>
      </c>
      <c r="DY1" t="str">
        <f>IFERROR(__xludf.DUMMYFUNCTION("""COMPUTED_VALUE"""),"Virginia Tech")</f>
        <v>Virginia Tech</v>
      </c>
      <c r="DZ1" t="str">
        <f>IFERROR(__xludf.DUMMYFUNCTION("""COMPUTED_VALUE"""),"Wake Forest")</f>
        <v>Wake Forest</v>
      </c>
      <c r="EA1" t="str">
        <f>IFERROR(__xludf.DUMMYFUNCTION("""COMPUTED_VALUE"""),"Washington")</f>
        <v>Washington</v>
      </c>
      <c r="EB1" t="str">
        <f>IFERROR(__xludf.DUMMYFUNCTION("""COMPUTED_VALUE"""),"Washington State")</f>
        <v>Washington State</v>
      </c>
      <c r="EC1" t="str">
        <f>IFERROR(__xludf.DUMMYFUNCTION("""COMPUTED_VALUE"""),"West Virginia")</f>
        <v>West Virginia</v>
      </c>
      <c r="ED1" t="str">
        <f>IFERROR(__xludf.DUMMYFUNCTION("""COMPUTED_VALUE"""),"Western Kentucky")</f>
        <v>Western Kentucky</v>
      </c>
      <c r="EE1" t="str">
        <f>IFERROR(__xludf.DUMMYFUNCTION("""COMPUTED_VALUE"""),"Western Michigan")</f>
        <v>Western Michigan</v>
      </c>
      <c r="EF1" t="str">
        <f>IFERROR(__xludf.DUMMYFUNCTION("""COMPUTED_VALUE"""),"Wisconsin")</f>
        <v>Wisconsin</v>
      </c>
      <c r="EG1" t="str">
        <f>IFERROR(__xludf.DUMMYFUNCTION("""COMPUTED_VALUE"""),"Wyoming")</f>
        <v>Wyoming</v>
      </c>
    </row>
    <row r="2">
      <c r="A2" s="1">
        <v>1.0</v>
      </c>
      <c r="B2" t="str">
        <f>IFERROR(__xludf.DUMMYFUNCTION("split(join("","",sort(byrow('Teams-Conference'!A$2:A1000,lambda(rw,if(iserror(match(rw,DraftTracker!F$1:F2,0)),rw,""""))),1,1)),"","",1,1)"),"Air Force")</f>
        <v>Air Force</v>
      </c>
      <c r="C2" t="str">
        <f>IFERROR(__xludf.DUMMYFUNCTION("""COMPUTED_VALUE"""),"Akron")</f>
        <v>Akron</v>
      </c>
      <c r="D2" t="str">
        <f>IFERROR(__xludf.DUMMYFUNCTION("""COMPUTED_VALUE"""),"Alabama")</f>
        <v>Alabama</v>
      </c>
      <c r="E2" t="str">
        <f>IFERROR(__xludf.DUMMYFUNCTION("""COMPUTED_VALUE"""),"Appalachian State")</f>
        <v>Appalachian State</v>
      </c>
      <c r="F2" t="str">
        <f>IFERROR(__xludf.DUMMYFUNCTION("""COMPUTED_VALUE"""),"Arizona")</f>
        <v>Arizona</v>
      </c>
      <c r="G2" t="str">
        <f>IFERROR(__xludf.DUMMYFUNCTION("""COMPUTED_VALUE"""),"Arizona State")</f>
        <v>Arizona State</v>
      </c>
      <c r="H2" t="str">
        <f>IFERROR(__xludf.DUMMYFUNCTION("""COMPUTED_VALUE"""),"Arkansas")</f>
        <v>Arkansas</v>
      </c>
      <c r="I2" t="str">
        <f>IFERROR(__xludf.DUMMYFUNCTION("""COMPUTED_VALUE"""),"Arkansas State")</f>
        <v>Arkansas State</v>
      </c>
      <c r="J2" t="str">
        <f>IFERROR(__xludf.DUMMYFUNCTION("""COMPUTED_VALUE"""),"Army")</f>
        <v>Army</v>
      </c>
      <c r="K2" t="str">
        <f>IFERROR(__xludf.DUMMYFUNCTION("""COMPUTED_VALUE"""),"Auburn")</f>
        <v>Auburn</v>
      </c>
      <c r="L2" t="str">
        <f>IFERROR(__xludf.DUMMYFUNCTION("""COMPUTED_VALUE"""),"Ball State")</f>
        <v>Ball State</v>
      </c>
      <c r="M2" t="str">
        <f>IFERROR(__xludf.DUMMYFUNCTION("""COMPUTED_VALUE"""),"Baylor")</f>
        <v>Baylor</v>
      </c>
      <c r="N2" t="str">
        <f>IFERROR(__xludf.DUMMYFUNCTION("""COMPUTED_VALUE"""),"Boise State")</f>
        <v>Boise State</v>
      </c>
      <c r="O2" t="str">
        <f>IFERROR(__xludf.DUMMYFUNCTION("""COMPUTED_VALUE"""),"Boston College")</f>
        <v>Boston College</v>
      </c>
      <c r="P2" t="str">
        <f>IFERROR(__xludf.DUMMYFUNCTION("""COMPUTED_VALUE"""),"Bowling Green")</f>
        <v>Bowling Green</v>
      </c>
      <c r="Q2" t="str">
        <f>IFERROR(__xludf.DUMMYFUNCTION("""COMPUTED_VALUE"""),"Buffalo")</f>
        <v>Buffalo</v>
      </c>
      <c r="R2" t="str">
        <f>IFERROR(__xludf.DUMMYFUNCTION("""COMPUTED_VALUE"""),"BYU")</f>
        <v>BYU</v>
      </c>
      <c r="S2" t="str">
        <f>IFERROR(__xludf.DUMMYFUNCTION("""COMPUTED_VALUE"""),"California")</f>
        <v>California</v>
      </c>
      <c r="T2" t="str">
        <f>IFERROR(__xludf.DUMMYFUNCTION("""COMPUTED_VALUE"""),"Central Michigan")</f>
        <v>Central Michigan</v>
      </c>
      <c r="U2" t="str">
        <f>IFERROR(__xludf.DUMMYFUNCTION("""COMPUTED_VALUE"""),"Charlotte")</f>
        <v>Charlotte</v>
      </c>
      <c r="V2" t="str">
        <f>IFERROR(__xludf.DUMMYFUNCTION("""COMPUTED_VALUE"""),"Cincinnati")</f>
        <v>Cincinnati</v>
      </c>
      <c r="W2" t="str">
        <f>IFERROR(__xludf.DUMMYFUNCTION("""COMPUTED_VALUE"""),"Clemson")</f>
        <v>Clemson</v>
      </c>
      <c r="X2" t="str">
        <f>IFERROR(__xludf.DUMMYFUNCTION("""COMPUTED_VALUE"""),"Coastal Carolina")</f>
        <v>Coastal Carolina</v>
      </c>
      <c r="Y2" t="str">
        <f>IFERROR(__xludf.DUMMYFUNCTION("""COMPUTED_VALUE"""),"Colorado")</f>
        <v>Colorado</v>
      </c>
      <c r="Z2" t="str">
        <f>IFERROR(__xludf.DUMMYFUNCTION("""COMPUTED_VALUE"""),"Colorado State")</f>
        <v>Colorado State</v>
      </c>
      <c r="AA2" t="str">
        <f>IFERROR(__xludf.DUMMYFUNCTION("""COMPUTED_VALUE"""),"Delaware")</f>
        <v>Delaware</v>
      </c>
      <c r="AB2" t="str">
        <f>IFERROR(__xludf.DUMMYFUNCTION("""COMPUTED_VALUE"""),"Duke")</f>
        <v>Duke</v>
      </c>
      <c r="AC2" t="str">
        <f>IFERROR(__xludf.DUMMYFUNCTION("""COMPUTED_VALUE"""),"East Carolina")</f>
        <v>East Carolina</v>
      </c>
      <c r="AD2" t="str">
        <f>IFERROR(__xludf.DUMMYFUNCTION("""COMPUTED_VALUE"""),"EMU")</f>
        <v>EMU</v>
      </c>
      <c r="AE2" t="str">
        <f>IFERROR(__xludf.DUMMYFUNCTION("""COMPUTED_VALUE"""),"Florida")</f>
        <v>Florida</v>
      </c>
      <c r="AF2" t="str">
        <f>IFERROR(__xludf.DUMMYFUNCTION("""COMPUTED_VALUE"""),"Florida Atlantic")</f>
        <v>Florida Atlantic</v>
      </c>
      <c r="AG2" t="str">
        <f>IFERROR(__xludf.DUMMYFUNCTION("""COMPUTED_VALUE"""),"Florida Intl")</f>
        <v>Florida Intl</v>
      </c>
      <c r="AH2" t="str">
        <f>IFERROR(__xludf.DUMMYFUNCTION("""COMPUTED_VALUE"""),"Florida State")</f>
        <v>Florida State</v>
      </c>
      <c r="AI2" t="str">
        <f>IFERROR(__xludf.DUMMYFUNCTION("""COMPUTED_VALUE"""),"Fresno State")</f>
        <v>Fresno State</v>
      </c>
      <c r="AJ2" t="str">
        <f>IFERROR(__xludf.DUMMYFUNCTION("""COMPUTED_VALUE"""),"Georgia")</f>
        <v>Georgia</v>
      </c>
      <c r="AK2" t="str">
        <f>IFERROR(__xludf.DUMMYFUNCTION("""COMPUTED_VALUE"""),"Georgia Southern")</f>
        <v>Georgia Southern</v>
      </c>
      <c r="AL2" t="str">
        <f>IFERROR(__xludf.DUMMYFUNCTION("""COMPUTED_VALUE"""),"Georgia State")</f>
        <v>Georgia State</v>
      </c>
      <c r="AM2" t="str">
        <f>IFERROR(__xludf.DUMMYFUNCTION("""COMPUTED_VALUE"""),"Georgia Tech")</f>
        <v>Georgia Tech</v>
      </c>
      <c r="AN2" t="str">
        <f>IFERROR(__xludf.DUMMYFUNCTION("""COMPUTED_VALUE"""),"Hawaii")</f>
        <v>Hawaii</v>
      </c>
      <c r="AO2" t="str">
        <f>IFERROR(__xludf.DUMMYFUNCTION("""COMPUTED_VALUE"""),"Houston")</f>
        <v>Houston</v>
      </c>
      <c r="AP2" t="str">
        <f>IFERROR(__xludf.DUMMYFUNCTION("""COMPUTED_VALUE"""),"Illinois")</f>
        <v>Illinois</v>
      </c>
      <c r="AQ2" t="str">
        <f>IFERROR(__xludf.DUMMYFUNCTION("""COMPUTED_VALUE"""),"Indiana")</f>
        <v>Indiana</v>
      </c>
      <c r="AR2" t="str">
        <f>IFERROR(__xludf.DUMMYFUNCTION("""COMPUTED_VALUE"""),"Iowa")</f>
        <v>Iowa</v>
      </c>
      <c r="AS2" t="str">
        <f>IFERROR(__xludf.DUMMYFUNCTION("""COMPUTED_VALUE"""),"Iowa State")</f>
        <v>Iowa State</v>
      </c>
      <c r="AT2" t="str">
        <f>IFERROR(__xludf.DUMMYFUNCTION("""COMPUTED_VALUE"""),"Jacksonville State")</f>
        <v>Jacksonville State</v>
      </c>
      <c r="AU2" t="str">
        <f>IFERROR(__xludf.DUMMYFUNCTION("""COMPUTED_VALUE"""),"James Madison")</f>
        <v>James Madison</v>
      </c>
      <c r="AV2" t="str">
        <f>IFERROR(__xludf.DUMMYFUNCTION("""COMPUTED_VALUE"""),"Kansas")</f>
        <v>Kansas</v>
      </c>
      <c r="AW2" t="str">
        <f>IFERROR(__xludf.DUMMYFUNCTION("""COMPUTED_VALUE"""),"Kansas State")</f>
        <v>Kansas State</v>
      </c>
      <c r="AX2" t="str">
        <f>IFERROR(__xludf.DUMMYFUNCTION("""COMPUTED_VALUE"""),"Kennesaw State")</f>
        <v>Kennesaw State</v>
      </c>
      <c r="AY2" t="str">
        <f>IFERROR(__xludf.DUMMYFUNCTION("""COMPUTED_VALUE"""),"Kent State")</f>
        <v>Kent State</v>
      </c>
      <c r="AZ2" t="str">
        <f>IFERROR(__xludf.DUMMYFUNCTION("""COMPUTED_VALUE"""),"Kentucky")</f>
        <v>Kentucky</v>
      </c>
      <c r="BA2" t="str">
        <f>IFERROR(__xludf.DUMMYFUNCTION("""COMPUTED_VALUE"""),"Liberty")</f>
        <v>Liberty</v>
      </c>
      <c r="BB2" t="str">
        <f>IFERROR(__xludf.DUMMYFUNCTION("""COMPUTED_VALUE"""),"Louisiana Tech")</f>
        <v>Louisiana Tech</v>
      </c>
      <c r="BC2" t="str">
        <f>IFERROR(__xludf.DUMMYFUNCTION("""COMPUTED_VALUE"""),"Louisville")</f>
        <v>Louisville</v>
      </c>
      <c r="BD2" t="str">
        <f>IFERROR(__xludf.DUMMYFUNCTION("""COMPUTED_VALUE"""),"LSU")</f>
        <v>LSU</v>
      </c>
      <c r="BE2" t="str">
        <f>IFERROR(__xludf.DUMMYFUNCTION("""COMPUTED_VALUE"""),"Marshall")</f>
        <v>Marshall</v>
      </c>
      <c r="BF2" t="str">
        <f>IFERROR(__xludf.DUMMYFUNCTION("""COMPUTED_VALUE"""),"Maryland")</f>
        <v>Maryland</v>
      </c>
      <c r="BG2" t="str">
        <f>IFERROR(__xludf.DUMMYFUNCTION("""COMPUTED_VALUE"""),"Memphis")</f>
        <v>Memphis</v>
      </c>
      <c r="BH2" t="str">
        <f>IFERROR(__xludf.DUMMYFUNCTION("""COMPUTED_VALUE"""),"Miami")</f>
        <v>Miami</v>
      </c>
      <c r="BI2" t="str">
        <f>IFERROR(__xludf.DUMMYFUNCTION("""COMPUTED_VALUE"""),"Miami-OH")</f>
        <v>Miami-OH</v>
      </c>
      <c r="BJ2" t="str">
        <f>IFERROR(__xludf.DUMMYFUNCTION("""COMPUTED_VALUE"""),"Michigan")</f>
        <v>Michigan</v>
      </c>
      <c r="BK2" t="str">
        <f>IFERROR(__xludf.DUMMYFUNCTION("""COMPUTED_VALUE"""),"Michigan State")</f>
        <v>Michigan State</v>
      </c>
      <c r="BL2" t="str">
        <f>IFERROR(__xludf.DUMMYFUNCTION("""COMPUTED_VALUE"""),"Middle Tennessee")</f>
        <v>Middle Tennessee</v>
      </c>
      <c r="BM2" t="str">
        <f>IFERROR(__xludf.DUMMYFUNCTION("""COMPUTED_VALUE"""),"Minnesota")</f>
        <v>Minnesota</v>
      </c>
      <c r="BN2" t="str">
        <f>IFERROR(__xludf.DUMMYFUNCTION("""COMPUTED_VALUE"""),"Mississippi State")</f>
        <v>Mississippi State</v>
      </c>
      <c r="BO2" t="str">
        <f>IFERROR(__xludf.DUMMYFUNCTION("""COMPUTED_VALUE"""),"Missouri")</f>
        <v>Missouri</v>
      </c>
      <c r="BP2" t="str">
        <f>IFERROR(__xludf.DUMMYFUNCTION("""COMPUTED_VALUE"""),"Missouri State")</f>
        <v>Missouri State</v>
      </c>
      <c r="BQ2" t="str">
        <f>IFERROR(__xludf.DUMMYFUNCTION("""COMPUTED_VALUE"""),"Navy")</f>
        <v>Navy</v>
      </c>
      <c r="BR2" t="str">
        <f>IFERROR(__xludf.DUMMYFUNCTION("""COMPUTED_VALUE"""),"NC State")</f>
        <v>NC State</v>
      </c>
      <c r="BS2" t="str">
        <f>IFERROR(__xludf.DUMMYFUNCTION("""COMPUTED_VALUE"""),"Nebraska")</f>
        <v>Nebraska</v>
      </c>
      <c r="BT2" t="str">
        <f>IFERROR(__xludf.DUMMYFUNCTION("""COMPUTED_VALUE"""),"Nevada")</f>
        <v>Nevada</v>
      </c>
      <c r="BU2" t="str">
        <f>IFERROR(__xludf.DUMMYFUNCTION("""COMPUTED_VALUE"""),"New Mexico")</f>
        <v>New Mexico</v>
      </c>
      <c r="BV2" t="str">
        <f>IFERROR(__xludf.DUMMYFUNCTION("""COMPUTED_VALUE"""),"New Mexico State")</f>
        <v>New Mexico State</v>
      </c>
      <c r="BW2" t="str">
        <f>IFERROR(__xludf.DUMMYFUNCTION("""COMPUTED_VALUE"""),"North Carolina")</f>
        <v>North Carolina</v>
      </c>
      <c r="BX2" t="str">
        <f>IFERROR(__xludf.DUMMYFUNCTION("""COMPUTED_VALUE"""),"North Texas")</f>
        <v>North Texas</v>
      </c>
      <c r="BY2" t="str">
        <f>IFERROR(__xludf.DUMMYFUNCTION("""COMPUTED_VALUE"""),"Northern Illinois")</f>
        <v>Northern Illinois</v>
      </c>
      <c r="BZ2" t="str">
        <f>IFERROR(__xludf.DUMMYFUNCTION("""COMPUTED_VALUE"""),"Northwestern")</f>
        <v>Northwestern</v>
      </c>
      <c r="CA2" t="str">
        <f>IFERROR(__xludf.DUMMYFUNCTION("""COMPUTED_VALUE"""),"Notre Dame")</f>
        <v>Notre Dame</v>
      </c>
      <c r="CB2" t="str">
        <f>IFERROR(__xludf.DUMMYFUNCTION("""COMPUTED_VALUE"""),"Ohio")</f>
        <v>Ohio</v>
      </c>
      <c r="CC2" t="str">
        <f>IFERROR(__xludf.DUMMYFUNCTION("""COMPUTED_VALUE"""),"Ohio State")</f>
        <v>Ohio State</v>
      </c>
      <c r="CD2" t="str">
        <f>IFERROR(__xludf.DUMMYFUNCTION("""COMPUTED_VALUE"""),"Oklahoma")</f>
        <v>Oklahoma</v>
      </c>
      <c r="CE2" t="str">
        <f>IFERROR(__xludf.DUMMYFUNCTION("""COMPUTED_VALUE"""),"Oklahoma State")</f>
        <v>Oklahoma State</v>
      </c>
      <c r="CF2" t="str">
        <f>IFERROR(__xludf.DUMMYFUNCTION("""COMPUTED_VALUE"""),"Old Dominion")</f>
        <v>Old Dominion</v>
      </c>
      <c r="CG2" t="str">
        <f>IFERROR(__xludf.DUMMYFUNCTION("""COMPUTED_VALUE"""),"Ole Miss")</f>
        <v>Ole Miss</v>
      </c>
      <c r="CH2" t="str">
        <f>IFERROR(__xludf.DUMMYFUNCTION("""COMPUTED_VALUE"""),"Oregon")</f>
        <v>Oregon</v>
      </c>
      <c r="CI2" t="str">
        <f>IFERROR(__xludf.DUMMYFUNCTION("""COMPUTED_VALUE"""),"Oregon State")</f>
        <v>Oregon State</v>
      </c>
      <c r="CJ2" t="str">
        <f>IFERROR(__xludf.DUMMYFUNCTION("""COMPUTED_VALUE"""),"Pittsburgh")</f>
        <v>Pittsburgh</v>
      </c>
      <c r="CK2" t="str">
        <f>IFERROR(__xludf.DUMMYFUNCTION("""COMPUTED_VALUE"""),"Purdue")</f>
        <v>Purdue</v>
      </c>
      <c r="CL2" t="str">
        <f>IFERROR(__xludf.DUMMYFUNCTION("""COMPUTED_VALUE"""),"Rice")</f>
        <v>Rice</v>
      </c>
      <c r="CM2" t="str">
        <f>IFERROR(__xludf.DUMMYFUNCTION("""COMPUTED_VALUE"""),"Rutgers")</f>
        <v>Rutgers</v>
      </c>
      <c r="CN2" t="str">
        <f>IFERROR(__xludf.DUMMYFUNCTION("""COMPUTED_VALUE"""),"Sam Houston")</f>
        <v>Sam Houston</v>
      </c>
      <c r="CO2" t="str">
        <f>IFERROR(__xludf.DUMMYFUNCTION("""COMPUTED_VALUE"""),"San Diego State")</f>
        <v>San Diego State</v>
      </c>
      <c r="CP2" t="str">
        <f>IFERROR(__xludf.DUMMYFUNCTION("""COMPUTED_VALUE"""),"San José State")</f>
        <v>San José State</v>
      </c>
      <c r="CQ2" t="str">
        <f>IFERROR(__xludf.DUMMYFUNCTION("""COMPUTED_VALUE"""),"SMU")</f>
        <v>SMU</v>
      </c>
      <c r="CR2" t="str">
        <f>IFERROR(__xludf.DUMMYFUNCTION("""COMPUTED_VALUE"""),"South Alabama")</f>
        <v>South Alabama</v>
      </c>
      <c r="CS2" t="str">
        <f>IFERROR(__xludf.DUMMYFUNCTION("""COMPUTED_VALUE"""),"South Carolina")</f>
        <v>South Carolina</v>
      </c>
      <c r="CT2" t="str">
        <f>IFERROR(__xludf.DUMMYFUNCTION("""COMPUTED_VALUE"""),"South Florida")</f>
        <v>South Florida</v>
      </c>
      <c r="CU2" t="str">
        <f>IFERROR(__xludf.DUMMYFUNCTION("""COMPUTED_VALUE"""),"Southern Mississippi")</f>
        <v>Southern Mississippi</v>
      </c>
      <c r="CV2" t="str">
        <f>IFERROR(__xludf.DUMMYFUNCTION("""COMPUTED_VALUE"""),"Stanford")</f>
        <v>Stanford</v>
      </c>
      <c r="CW2" t="str">
        <f>IFERROR(__xludf.DUMMYFUNCTION("""COMPUTED_VALUE"""),"Syracuse")</f>
        <v>Syracuse</v>
      </c>
      <c r="CX2" t="str">
        <f>IFERROR(__xludf.DUMMYFUNCTION("""COMPUTED_VALUE"""),"TCU")</f>
        <v>TCU</v>
      </c>
      <c r="CY2" t="str">
        <f>IFERROR(__xludf.DUMMYFUNCTION("""COMPUTED_VALUE"""),"Temple")</f>
        <v>Temple</v>
      </c>
      <c r="CZ2" t="str">
        <f>IFERROR(__xludf.DUMMYFUNCTION("""COMPUTED_VALUE"""),"Tennessee")</f>
        <v>Tennessee</v>
      </c>
      <c r="DA2" t="str">
        <f>IFERROR(__xludf.DUMMYFUNCTION("""COMPUTED_VALUE"""),"Texas")</f>
        <v>Texas</v>
      </c>
      <c r="DB2" t="str">
        <f>IFERROR(__xludf.DUMMYFUNCTION("""COMPUTED_VALUE"""),"Texas A&amp;M")</f>
        <v>Texas A&amp;M</v>
      </c>
      <c r="DC2" t="str">
        <f>IFERROR(__xludf.DUMMYFUNCTION("""COMPUTED_VALUE"""),"Texas State")</f>
        <v>Texas State</v>
      </c>
      <c r="DD2" t="str">
        <f>IFERROR(__xludf.DUMMYFUNCTION("""COMPUTED_VALUE"""),"Texas Tech")</f>
        <v>Texas Tech</v>
      </c>
      <c r="DE2" t="str">
        <f>IFERROR(__xludf.DUMMYFUNCTION("""COMPUTED_VALUE"""),"Toledo")</f>
        <v>Toledo</v>
      </c>
      <c r="DF2" t="str">
        <f>IFERROR(__xludf.DUMMYFUNCTION("""COMPUTED_VALUE"""),"Troy")</f>
        <v>Troy</v>
      </c>
      <c r="DG2" t="str">
        <f>IFERROR(__xludf.DUMMYFUNCTION("""COMPUTED_VALUE"""),"Tulane")</f>
        <v>Tulane</v>
      </c>
      <c r="DH2" t="str">
        <f>IFERROR(__xludf.DUMMYFUNCTION("""COMPUTED_VALUE"""),"Tulsa")</f>
        <v>Tulsa</v>
      </c>
      <c r="DI2" t="str">
        <f>IFERROR(__xludf.DUMMYFUNCTION("""COMPUTED_VALUE"""),"UAB")</f>
        <v>UAB</v>
      </c>
      <c r="DJ2" t="str">
        <f>IFERROR(__xludf.DUMMYFUNCTION("""COMPUTED_VALUE"""),"UCF")</f>
        <v>UCF</v>
      </c>
      <c r="DK2" t="str">
        <f>IFERROR(__xludf.DUMMYFUNCTION("""COMPUTED_VALUE"""),"UCLA")</f>
        <v>UCLA</v>
      </c>
      <c r="DL2" t="str">
        <f>IFERROR(__xludf.DUMMYFUNCTION("""COMPUTED_VALUE"""),"UConn")</f>
        <v>UConn</v>
      </c>
      <c r="DM2" t="str">
        <f>IFERROR(__xludf.DUMMYFUNCTION("""COMPUTED_VALUE"""),"UL Lafayette")</f>
        <v>UL Lafayette</v>
      </c>
      <c r="DN2" t="str">
        <f>IFERROR(__xludf.DUMMYFUNCTION("""COMPUTED_VALUE"""),"UL Monroe")</f>
        <v>UL Monroe</v>
      </c>
      <c r="DO2" t="str">
        <f>IFERROR(__xludf.DUMMYFUNCTION("""COMPUTED_VALUE"""),"UMASS")</f>
        <v>UMASS</v>
      </c>
      <c r="DP2" t="str">
        <f>IFERROR(__xludf.DUMMYFUNCTION("""COMPUTED_VALUE"""),"UNLV")</f>
        <v>UNLV</v>
      </c>
      <c r="DQ2" t="str">
        <f>IFERROR(__xludf.DUMMYFUNCTION("""COMPUTED_VALUE"""),"USC")</f>
        <v>USC</v>
      </c>
      <c r="DR2" t="str">
        <f>IFERROR(__xludf.DUMMYFUNCTION("""COMPUTED_VALUE"""),"Utah")</f>
        <v>Utah</v>
      </c>
      <c r="DS2" t="str">
        <f>IFERROR(__xludf.DUMMYFUNCTION("""COMPUTED_VALUE"""),"Utah State")</f>
        <v>Utah State</v>
      </c>
      <c r="DT2" t="str">
        <f>IFERROR(__xludf.DUMMYFUNCTION("""COMPUTED_VALUE"""),"UTEP")</f>
        <v>UTEP</v>
      </c>
      <c r="DU2" t="str">
        <f>IFERROR(__xludf.DUMMYFUNCTION("""COMPUTED_VALUE"""),"UTSA")</f>
        <v>UTSA</v>
      </c>
      <c r="DV2" t="str">
        <f>IFERROR(__xludf.DUMMYFUNCTION("""COMPUTED_VALUE"""),"Vanderbilt")</f>
        <v>Vanderbilt</v>
      </c>
      <c r="DW2" t="str">
        <f>IFERROR(__xludf.DUMMYFUNCTION("""COMPUTED_VALUE"""),"Virginia")</f>
        <v>Virginia</v>
      </c>
      <c r="DX2" t="str">
        <f>IFERROR(__xludf.DUMMYFUNCTION("""COMPUTED_VALUE"""),"Virginia Tech")</f>
        <v>Virginia Tech</v>
      </c>
      <c r="DY2" t="str">
        <f>IFERROR(__xludf.DUMMYFUNCTION("""COMPUTED_VALUE"""),"Wake Forest")</f>
        <v>Wake Forest</v>
      </c>
      <c r="DZ2" t="str">
        <f>IFERROR(__xludf.DUMMYFUNCTION("""COMPUTED_VALUE"""),"Washington")</f>
        <v>Washington</v>
      </c>
      <c r="EA2" t="str">
        <f>IFERROR(__xludf.DUMMYFUNCTION("""COMPUTED_VALUE"""),"Washington State")</f>
        <v>Washington State</v>
      </c>
      <c r="EB2" t="str">
        <f>IFERROR(__xludf.DUMMYFUNCTION("""COMPUTED_VALUE"""),"West Virginia")</f>
        <v>West Virginia</v>
      </c>
      <c r="EC2" t="str">
        <f>IFERROR(__xludf.DUMMYFUNCTION("""COMPUTED_VALUE"""),"Western Kentucky")</f>
        <v>Western Kentucky</v>
      </c>
      <c r="ED2" t="str">
        <f>IFERROR(__xludf.DUMMYFUNCTION("""COMPUTED_VALUE"""),"Western Michigan")</f>
        <v>Western Michigan</v>
      </c>
      <c r="EE2" t="str">
        <f>IFERROR(__xludf.DUMMYFUNCTION("""COMPUTED_VALUE"""),"Wisconsin")</f>
        <v>Wisconsin</v>
      </c>
      <c r="EF2" t="str">
        <f>IFERROR(__xludf.DUMMYFUNCTION("""COMPUTED_VALUE"""),"Wyoming")</f>
        <v>Wyoming</v>
      </c>
    </row>
    <row r="3">
      <c r="A3" s="1">
        <v>2.0</v>
      </c>
      <c r="B3" t="str">
        <f>IFERROR(__xludf.DUMMYFUNCTION("split(join("","",sort(byrow('Teams-Conference'!A$2:A1000,lambda(rw,if(iserror(match(rw,DraftTracker!F$1:F3,0)),rw,""""))),1,1)),"","",1,1)"),"Air Force")</f>
        <v>Air Force</v>
      </c>
      <c r="C3" t="str">
        <f>IFERROR(__xludf.DUMMYFUNCTION("""COMPUTED_VALUE"""),"Akron")</f>
        <v>Akron</v>
      </c>
      <c r="D3" t="str">
        <f>IFERROR(__xludf.DUMMYFUNCTION("""COMPUTED_VALUE"""),"Alabama")</f>
        <v>Alabama</v>
      </c>
      <c r="E3" t="str">
        <f>IFERROR(__xludf.DUMMYFUNCTION("""COMPUTED_VALUE"""),"Appalachian State")</f>
        <v>Appalachian State</v>
      </c>
      <c r="F3" t="str">
        <f>IFERROR(__xludf.DUMMYFUNCTION("""COMPUTED_VALUE"""),"Arizona")</f>
        <v>Arizona</v>
      </c>
      <c r="G3" t="str">
        <f>IFERROR(__xludf.DUMMYFUNCTION("""COMPUTED_VALUE"""),"Arizona State")</f>
        <v>Arizona State</v>
      </c>
      <c r="H3" t="str">
        <f>IFERROR(__xludf.DUMMYFUNCTION("""COMPUTED_VALUE"""),"Arkansas")</f>
        <v>Arkansas</v>
      </c>
      <c r="I3" t="str">
        <f>IFERROR(__xludf.DUMMYFUNCTION("""COMPUTED_VALUE"""),"Arkansas State")</f>
        <v>Arkansas State</v>
      </c>
      <c r="J3" t="str">
        <f>IFERROR(__xludf.DUMMYFUNCTION("""COMPUTED_VALUE"""),"Army")</f>
        <v>Army</v>
      </c>
      <c r="K3" t="str">
        <f>IFERROR(__xludf.DUMMYFUNCTION("""COMPUTED_VALUE"""),"Auburn")</f>
        <v>Auburn</v>
      </c>
      <c r="L3" t="str">
        <f>IFERROR(__xludf.DUMMYFUNCTION("""COMPUTED_VALUE"""),"Ball State")</f>
        <v>Ball State</v>
      </c>
      <c r="M3" t="str">
        <f>IFERROR(__xludf.DUMMYFUNCTION("""COMPUTED_VALUE"""),"Baylor")</f>
        <v>Baylor</v>
      </c>
      <c r="N3" t="str">
        <f>IFERROR(__xludf.DUMMYFUNCTION("""COMPUTED_VALUE"""),"Boston College")</f>
        <v>Boston College</v>
      </c>
      <c r="O3" t="str">
        <f>IFERROR(__xludf.DUMMYFUNCTION("""COMPUTED_VALUE"""),"Bowling Green")</f>
        <v>Bowling Green</v>
      </c>
      <c r="P3" t="str">
        <f>IFERROR(__xludf.DUMMYFUNCTION("""COMPUTED_VALUE"""),"Buffalo")</f>
        <v>Buffalo</v>
      </c>
      <c r="Q3" t="str">
        <f>IFERROR(__xludf.DUMMYFUNCTION("""COMPUTED_VALUE"""),"BYU")</f>
        <v>BYU</v>
      </c>
      <c r="R3" t="str">
        <f>IFERROR(__xludf.DUMMYFUNCTION("""COMPUTED_VALUE"""),"California")</f>
        <v>California</v>
      </c>
      <c r="S3" t="str">
        <f>IFERROR(__xludf.DUMMYFUNCTION("""COMPUTED_VALUE"""),"Central Michigan")</f>
        <v>Central Michigan</v>
      </c>
      <c r="T3" t="str">
        <f>IFERROR(__xludf.DUMMYFUNCTION("""COMPUTED_VALUE"""),"Charlotte")</f>
        <v>Charlotte</v>
      </c>
      <c r="U3" t="str">
        <f>IFERROR(__xludf.DUMMYFUNCTION("""COMPUTED_VALUE"""),"Cincinnati")</f>
        <v>Cincinnati</v>
      </c>
      <c r="V3" t="str">
        <f>IFERROR(__xludf.DUMMYFUNCTION("""COMPUTED_VALUE"""),"Clemson")</f>
        <v>Clemson</v>
      </c>
      <c r="W3" t="str">
        <f>IFERROR(__xludf.DUMMYFUNCTION("""COMPUTED_VALUE"""),"Coastal Carolina")</f>
        <v>Coastal Carolina</v>
      </c>
      <c r="X3" t="str">
        <f>IFERROR(__xludf.DUMMYFUNCTION("""COMPUTED_VALUE"""),"Colorado")</f>
        <v>Colorado</v>
      </c>
      <c r="Y3" t="str">
        <f>IFERROR(__xludf.DUMMYFUNCTION("""COMPUTED_VALUE"""),"Colorado State")</f>
        <v>Colorado State</v>
      </c>
      <c r="Z3" t="str">
        <f>IFERROR(__xludf.DUMMYFUNCTION("""COMPUTED_VALUE"""),"Delaware")</f>
        <v>Delaware</v>
      </c>
      <c r="AA3" t="str">
        <f>IFERROR(__xludf.DUMMYFUNCTION("""COMPUTED_VALUE"""),"Duke")</f>
        <v>Duke</v>
      </c>
      <c r="AB3" t="str">
        <f>IFERROR(__xludf.DUMMYFUNCTION("""COMPUTED_VALUE"""),"East Carolina")</f>
        <v>East Carolina</v>
      </c>
      <c r="AC3" t="str">
        <f>IFERROR(__xludf.DUMMYFUNCTION("""COMPUTED_VALUE"""),"EMU")</f>
        <v>EMU</v>
      </c>
      <c r="AD3" t="str">
        <f>IFERROR(__xludf.DUMMYFUNCTION("""COMPUTED_VALUE"""),"Florida")</f>
        <v>Florida</v>
      </c>
      <c r="AE3" t="str">
        <f>IFERROR(__xludf.DUMMYFUNCTION("""COMPUTED_VALUE"""),"Florida Atlantic")</f>
        <v>Florida Atlantic</v>
      </c>
      <c r="AF3" t="str">
        <f>IFERROR(__xludf.DUMMYFUNCTION("""COMPUTED_VALUE"""),"Florida Intl")</f>
        <v>Florida Intl</v>
      </c>
      <c r="AG3" t="str">
        <f>IFERROR(__xludf.DUMMYFUNCTION("""COMPUTED_VALUE"""),"Florida State")</f>
        <v>Florida State</v>
      </c>
      <c r="AH3" t="str">
        <f>IFERROR(__xludf.DUMMYFUNCTION("""COMPUTED_VALUE"""),"Fresno State")</f>
        <v>Fresno State</v>
      </c>
      <c r="AI3" t="str">
        <f>IFERROR(__xludf.DUMMYFUNCTION("""COMPUTED_VALUE"""),"Georgia")</f>
        <v>Georgia</v>
      </c>
      <c r="AJ3" t="str">
        <f>IFERROR(__xludf.DUMMYFUNCTION("""COMPUTED_VALUE"""),"Georgia Southern")</f>
        <v>Georgia Southern</v>
      </c>
      <c r="AK3" t="str">
        <f>IFERROR(__xludf.DUMMYFUNCTION("""COMPUTED_VALUE"""),"Georgia State")</f>
        <v>Georgia State</v>
      </c>
      <c r="AL3" t="str">
        <f>IFERROR(__xludf.DUMMYFUNCTION("""COMPUTED_VALUE"""),"Georgia Tech")</f>
        <v>Georgia Tech</v>
      </c>
      <c r="AM3" t="str">
        <f>IFERROR(__xludf.DUMMYFUNCTION("""COMPUTED_VALUE"""),"Hawaii")</f>
        <v>Hawaii</v>
      </c>
      <c r="AN3" t="str">
        <f>IFERROR(__xludf.DUMMYFUNCTION("""COMPUTED_VALUE"""),"Houston")</f>
        <v>Houston</v>
      </c>
      <c r="AO3" t="str">
        <f>IFERROR(__xludf.DUMMYFUNCTION("""COMPUTED_VALUE"""),"Illinois")</f>
        <v>Illinois</v>
      </c>
      <c r="AP3" t="str">
        <f>IFERROR(__xludf.DUMMYFUNCTION("""COMPUTED_VALUE"""),"Indiana")</f>
        <v>Indiana</v>
      </c>
      <c r="AQ3" t="str">
        <f>IFERROR(__xludf.DUMMYFUNCTION("""COMPUTED_VALUE"""),"Iowa")</f>
        <v>Iowa</v>
      </c>
      <c r="AR3" t="str">
        <f>IFERROR(__xludf.DUMMYFUNCTION("""COMPUTED_VALUE"""),"Iowa State")</f>
        <v>Iowa State</v>
      </c>
      <c r="AS3" t="str">
        <f>IFERROR(__xludf.DUMMYFUNCTION("""COMPUTED_VALUE"""),"Jacksonville State")</f>
        <v>Jacksonville State</v>
      </c>
      <c r="AT3" t="str">
        <f>IFERROR(__xludf.DUMMYFUNCTION("""COMPUTED_VALUE"""),"James Madison")</f>
        <v>James Madison</v>
      </c>
      <c r="AU3" t="str">
        <f>IFERROR(__xludf.DUMMYFUNCTION("""COMPUTED_VALUE"""),"Kansas")</f>
        <v>Kansas</v>
      </c>
      <c r="AV3" t="str">
        <f>IFERROR(__xludf.DUMMYFUNCTION("""COMPUTED_VALUE"""),"Kansas State")</f>
        <v>Kansas State</v>
      </c>
      <c r="AW3" t="str">
        <f>IFERROR(__xludf.DUMMYFUNCTION("""COMPUTED_VALUE"""),"Kennesaw State")</f>
        <v>Kennesaw State</v>
      </c>
      <c r="AX3" t="str">
        <f>IFERROR(__xludf.DUMMYFUNCTION("""COMPUTED_VALUE"""),"Kent State")</f>
        <v>Kent State</v>
      </c>
      <c r="AY3" t="str">
        <f>IFERROR(__xludf.DUMMYFUNCTION("""COMPUTED_VALUE"""),"Kentucky")</f>
        <v>Kentucky</v>
      </c>
      <c r="AZ3" t="str">
        <f>IFERROR(__xludf.DUMMYFUNCTION("""COMPUTED_VALUE"""),"Liberty")</f>
        <v>Liberty</v>
      </c>
      <c r="BA3" t="str">
        <f>IFERROR(__xludf.DUMMYFUNCTION("""COMPUTED_VALUE"""),"Louisiana Tech")</f>
        <v>Louisiana Tech</v>
      </c>
      <c r="BB3" t="str">
        <f>IFERROR(__xludf.DUMMYFUNCTION("""COMPUTED_VALUE"""),"Louisville")</f>
        <v>Louisville</v>
      </c>
      <c r="BC3" t="str">
        <f>IFERROR(__xludf.DUMMYFUNCTION("""COMPUTED_VALUE"""),"LSU")</f>
        <v>LSU</v>
      </c>
      <c r="BD3" t="str">
        <f>IFERROR(__xludf.DUMMYFUNCTION("""COMPUTED_VALUE"""),"Marshall")</f>
        <v>Marshall</v>
      </c>
      <c r="BE3" t="str">
        <f>IFERROR(__xludf.DUMMYFUNCTION("""COMPUTED_VALUE"""),"Maryland")</f>
        <v>Maryland</v>
      </c>
      <c r="BF3" t="str">
        <f>IFERROR(__xludf.DUMMYFUNCTION("""COMPUTED_VALUE"""),"Memphis")</f>
        <v>Memphis</v>
      </c>
      <c r="BG3" t="str">
        <f>IFERROR(__xludf.DUMMYFUNCTION("""COMPUTED_VALUE"""),"Miami")</f>
        <v>Miami</v>
      </c>
      <c r="BH3" t="str">
        <f>IFERROR(__xludf.DUMMYFUNCTION("""COMPUTED_VALUE"""),"Miami-OH")</f>
        <v>Miami-OH</v>
      </c>
      <c r="BI3" t="str">
        <f>IFERROR(__xludf.DUMMYFUNCTION("""COMPUTED_VALUE"""),"Michigan")</f>
        <v>Michigan</v>
      </c>
      <c r="BJ3" t="str">
        <f>IFERROR(__xludf.DUMMYFUNCTION("""COMPUTED_VALUE"""),"Michigan State")</f>
        <v>Michigan State</v>
      </c>
      <c r="BK3" t="str">
        <f>IFERROR(__xludf.DUMMYFUNCTION("""COMPUTED_VALUE"""),"Middle Tennessee")</f>
        <v>Middle Tennessee</v>
      </c>
      <c r="BL3" t="str">
        <f>IFERROR(__xludf.DUMMYFUNCTION("""COMPUTED_VALUE"""),"Minnesota")</f>
        <v>Minnesota</v>
      </c>
      <c r="BM3" t="str">
        <f>IFERROR(__xludf.DUMMYFUNCTION("""COMPUTED_VALUE"""),"Mississippi State")</f>
        <v>Mississippi State</v>
      </c>
      <c r="BN3" t="str">
        <f>IFERROR(__xludf.DUMMYFUNCTION("""COMPUTED_VALUE"""),"Missouri")</f>
        <v>Missouri</v>
      </c>
      <c r="BO3" t="str">
        <f>IFERROR(__xludf.DUMMYFUNCTION("""COMPUTED_VALUE"""),"Missouri State")</f>
        <v>Missouri State</v>
      </c>
      <c r="BP3" t="str">
        <f>IFERROR(__xludf.DUMMYFUNCTION("""COMPUTED_VALUE"""),"Navy")</f>
        <v>Navy</v>
      </c>
      <c r="BQ3" t="str">
        <f>IFERROR(__xludf.DUMMYFUNCTION("""COMPUTED_VALUE"""),"NC State")</f>
        <v>NC State</v>
      </c>
      <c r="BR3" t="str">
        <f>IFERROR(__xludf.DUMMYFUNCTION("""COMPUTED_VALUE"""),"Nebraska")</f>
        <v>Nebraska</v>
      </c>
      <c r="BS3" t="str">
        <f>IFERROR(__xludf.DUMMYFUNCTION("""COMPUTED_VALUE"""),"Nevada")</f>
        <v>Nevada</v>
      </c>
      <c r="BT3" t="str">
        <f>IFERROR(__xludf.DUMMYFUNCTION("""COMPUTED_VALUE"""),"New Mexico")</f>
        <v>New Mexico</v>
      </c>
      <c r="BU3" t="str">
        <f>IFERROR(__xludf.DUMMYFUNCTION("""COMPUTED_VALUE"""),"New Mexico State")</f>
        <v>New Mexico State</v>
      </c>
      <c r="BV3" t="str">
        <f>IFERROR(__xludf.DUMMYFUNCTION("""COMPUTED_VALUE"""),"North Carolina")</f>
        <v>North Carolina</v>
      </c>
      <c r="BW3" t="str">
        <f>IFERROR(__xludf.DUMMYFUNCTION("""COMPUTED_VALUE"""),"North Texas")</f>
        <v>North Texas</v>
      </c>
      <c r="BX3" t="str">
        <f>IFERROR(__xludf.DUMMYFUNCTION("""COMPUTED_VALUE"""),"Northern Illinois")</f>
        <v>Northern Illinois</v>
      </c>
      <c r="BY3" t="str">
        <f>IFERROR(__xludf.DUMMYFUNCTION("""COMPUTED_VALUE"""),"Northwestern")</f>
        <v>Northwestern</v>
      </c>
      <c r="BZ3" t="str">
        <f>IFERROR(__xludf.DUMMYFUNCTION("""COMPUTED_VALUE"""),"Notre Dame")</f>
        <v>Notre Dame</v>
      </c>
      <c r="CA3" t="str">
        <f>IFERROR(__xludf.DUMMYFUNCTION("""COMPUTED_VALUE"""),"Ohio")</f>
        <v>Ohio</v>
      </c>
      <c r="CB3" t="str">
        <f>IFERROR(__xludf.DUMMYFUNCTION("""COMPUTED_VALUE"""),"Ohio State")</f>
        <v>Ohio State</v>
      </c>
      <c r="CC3" t="str">
        <f>IFERROR(__xludf.DUMMYFUNCTION("""COMPUTED_VALUE"""),"Oklahoma")</f>
        <v>Oklahoma</v>
      </c>
      <c r="CD3" t="str">
        <f>IFERROR(__xludf.DUMMYFUNCTION("""COMPUTED_VALUE"""),"Oklahoma State")</f>
        <v>Oklahoma State</v>
      </c>
      <c r="CE3" t="str">
        <f>IFERROR(__xludf.DUMMYFUNCTION("""COMPUTED_VALUE"""),"Old Dominion")</f>
        <v>Old Dominion</v>
      </c>
      <c r="CF3" t="str">
        <f>IFERROR(__xludf.DUMMYFUNCTION("""COMPUTED_VALUE"""),"Ole Miss")</f>
        <v>Ole Miss</v>
      </c>
      <c r="CG3" t="str">
        <f>IFERROR(__xludf.DUMMYFUNCTION("""COMPUTED_VALUE"""),"Oregon")</f>
        <v>Oregon</v>
      </c>
      <c r="CH3" t="str">
        <f>IFERROR(__xludf.DUMMYFUNCTION("""COMPUTED_VALUE"""),"Oregon State")</f>
        <v>Oregon State</v>
      </c>
      <c r="CI3" t="str">
        <f>IFERROR(__xludf.DUMMYFUNCTION("""COMPUTED_VALUE"""),"Pittsburgh")</f>
        <v>Pittsburgh</v>
      </c>
      <c r="CJ3" t="str">
        <f>IFERROR(__xludf.DUMMYFUNCTION("""COMPUTED_VALUE"""),"Purdue")</f>
        <v>Purdue</v>
      </c>
      <c r="CK3" t="str">
        <f>IFERROR(__xludf.DUMMYFUNCTION("""COMPUTED_VALUE"""),"Rice")</f>
        <v>Rice</v>
      </c>
      <c r="CL3" t="str">
        <f>IFERROR(__xludf.DUMMYFUNCTION("""COMPUTED_VALUE"""),"Rutgers")</f>
        <v>Rutgers</v>
      </c>
      <c r="CM3" t="str">
        <f>IFERROR(__xludf.DUMMYFUNCTION("""COMPUTED_VALUE"""),"Sam Houston")</f>
        <v>Sam Houston</v>
      </c>
      <c r="CN3" t="str">
        <f>IFERROR(__xludf.DUMMYFUNCTION("""COMPUTED_VALUE"""),"San Diego State")</f>
        <v>San Diego State</v>
      </c>
      <c r="CO3" t="str">
        <f>IFERROR(__xludf.DUMMYFUNCTION("""COMPUTED_VALUE"""),"San José State")</f>
        <v>San José State</v>
      </c>
      <c r="CP3" t="str">
        <f>IFERROR(__xludf.DUMMYFUNCTION("""COMPUTED_VALUE"""),"SMU")</f>
        <v>SMU</v>
      </c>
      <c r="CQ3" t="str">
        <f>IFERROR(__xludf.DUMMYFUNCTION("""COMPUTED_VALUE"""),"South Alabama")</f>
        <v>South Alabama</v>
      </c>
      <c r="CR3" t="str">
        <f>IFERROR(__xludf.DUMMYFUNCTION("""COMPUTED_VALUE"""),"South Carolina")</f>
        <v>South Carolina</v>
      </c>
      <c r="CS3" t="str">
        <f>IFERROR(__xludf.DUMMYFUNCTION("""COMPUTED_VALUE"""),"South Florida")</f>
        <v>South Florida</v>
      </c>
      <c r="CT3" t="str">
        <f>IFERROR(__xludf.DUMMYFUNCTION("""COMPUTED_VALUE"""),"Southern Mississippi")</f>
        <v>Southern Mississippi</v>
      </c>
      <c r="CU3" t="str">
        <f>IFERROR(__xludf.DUMMYFUNCTION("""COMPUTED_VALUE"""),"Stanford")</f>
        <v>Stanford</v>
      </c>
      <c r="CV3" t="str">
        <f>IFERROR(__xludf.DUMMYFUNCTION("""COMPUTED_VALUE"""),"Syracuse")</f>
        <v>Syracuse</v>
      </c>
      <c r="CW3" t="str">
        <f>IFERROR(__xludf.DUMMYFUNCTION("""COMPUTED_VALUE"""),"TCU")</f>
        <v>TCU</v>
      </c>
      <c r="CX3" t="str">
        <f>IFERROR(__xludf.DUMMYFUNCTION("""COMPUTED_VALUE"""),"Temple")</f>
        <v>Temple</v>
      </c>
      <c r="CY3" t="str">
        <f>IFERROR(__xludf.DUMMYFUNCTION("""COMPUTED_VALUE"""),"Tennessee")</f>
        <v>Tennessee</v>
      </c>
      <c r="CZ3" t="str">
        <f>IFERROR(__xludf.DUMMYFUNCTION("""COMPUTED_VALUE"""),"Texas")</f>
        <v>Texas</v>
      </c>
      <c r="DA3" t="str">
        <f>IFERROR(__xludf.DUMMYFUNCTION("""COMPUTED_VALUE"""),"Texas A&amp;M")</f>
        <v>Texas A&amp;M</v>
      </c>
      <c r="DB3" t="str">
        <f>IFERROR(__xludf.DUMMYFUNCTION("""COMPUTED_VALUE"""),"Texas State")</f>
        <v>Texas State</v>
      </c>
      <c r="DC3" t="str">
        <f>IFERROR(__xludf.DUMMYFUNCTION("""COMPUTED_VALUE"""),"Texas Tech")</f>
        <v>Texas Tech</v>
      </c>
      <c r="DD3" t="str">
        <f>IFERROR(__xludf.DUMMYFUNCTION("""COMPUTED_VALUE"""),"Toledo")</f>
        <v>Toledo</v>
      </c>
      <c r="DE3" t="str">
        <f>IFERROR(__xludf.DUMMYFUNCTION("""COMPUTED_VALUE"""),"Troy")</f>
        <v>Troy</v>
      </c>
      <c r="DF3" t="str">
        <f>IFERROR(__xludf.DUMMYFUNCTION("""COMPUTED_VALUE"""),"Tulane")</f>
        <v>Tulane</v>
      </c>
      <c r="DG3" t="str">
        <f>IFERROR(__xludf.DUMMYFUNCTION("""COMPUTED_VALUE"""),"Tulsa")</f>
        <v>Tulsa</v>
      </c>
      <c r="DH3" t="str">
        <f>IFERROR(__xludf.DUMMYFUNCTION("""COMPUTED_VALUE"""),"UAB")</f>
        <v>UAB</v>
      </c>
      <c r="DI3" t="str">
        <f>IFERROR(__xludf.DUMMYFUNCTION("""COMPUTED_VALUE"""),"UCF")</f>
        <v>UCF</v>
      </c>
      <c r="DJ3" t="str">
        <f>IFERROR(__xludf.DUMMYFUNCTION("""COMPUTED_VALUE"""),"UCLA")</f>
        <v>UCLA</v>
      </c>
      <c r="DK3" t="str">
        <f>IFERROR(__xludf.DUMMYFUNCTION("""COMPUTED_VALUE"""),"UConn")</f>
        <v>UConn</v>
      </c>
      <c r="DL3" t="str">
        <f>IFERROR(__xludf.DUMMYFUNCTION("""COMPUTED_VALUE"""),"UL Lafayette")</f>
        <v>UL Lafayette</v>
      </c>
      <c r="DM3" t="str">
        <f>IFERROR(__xludf.DUMMYFUNCTION("""COMPUTED_VALUE"""),"UL Monroe")</f>
        <v>UL Monroe</v>
      </c>
      <c r="DN3" t="str">
        <f>IFERROR(__xludf.DUMMYFUNCTION("""COMPUTED_VALUE"""),"UMASS")</f>
        <v>UMASS</v>
      </c>
      <c r="DO3" t="str">
        <f>IFERROR(__xludf.DUMMYFUNCTION("""COMPUTED_VALUE"""),"UNLV")</f>
        <v>UNLV</v>
      </c>
      <c r="DP3" t="str">
        <f>IFERROR(__xludf.DUMMYFUNCTION("""COMPUTED_VALUE"""),"USC")</f>
        <v>USC</v>
      </c>
      <c r="DQ3" t="str">
        <f>IFERROR(__xludf.DUMMYFUNCTION("""COMPUTED_VALUE"""),"Utah")</f>
        <v>Utah</v>
      </c>
      <c r="DR3" t="str">
        <f>IFERROR(__xludf.DUMMYFUNCTION("""COMPUTED_VALUE"""),"Utah State")</f>
        <v>Utah State</v>
      </c>
      <c r="DS3" t="str">
        <f>IFERROR(__xludf.DUMMYFUNCTION("""COMPUTED_VALUE"""),"UTEP")</f>
        <v>UTEP</v>
      </c>
      <c r="DT3" t="str">
        <f>IFERROR(__xludf.DUMMYFUNCTION("""COMPUTED_VALUE"""),"UTSA")</f>
        <v>UTSA</v>
      </c>
      <c r="DU3" t="str">
        <f>IFERROR(__xludf.DUMMYFUNCTION("""COMPUTED_VALUE"""),"Vanderbilt")</f>
        <v>Vanderbilt</v>
      </c>
      <c r="DV3" t="str">
        <f>IFERROR(__xludf.DUMMYFUNCTION("""COMPUTED_VALUE"""),"Virginia")</f>
        <v>Virginia</v>
      </c>
      <c r="DW3" t="str">
        <f>IFERROR(__xludf.DUMMYFUNCTION("""COMPUTED_VALUE"""),"Virginia Tech")</f>
        <v>Virginia Tech</v>
      </c>
      <c r="DX3" t="str">
        <f>IFERROR(__xludf.DUMMYFUNCTION("""COMPUTED_VALUE"""),"Wake Forest")</f>
        <v>Wake Forest</v>
      </c>
      <c r="DY3" t="str">
        <f>IFERROR(__xludf.DUMMYFUNCTION("""COMPUTED_VALUE"""),"Washington")</f>
        <v>Washington</v>
      </c>
      <c r="DZ3" t="str">
        <f>IFERROR(__xludf.DUMMYFUNCTION("""COMPUTED_VALUE"""),"Washington State")</f>
        <v>Washington State</v>
      </c>
      <c r="EA3" t="str">
        <f>IFERROR(__xludf.DUMMYFUNCTION("""COMPUTED_VALUE"""),"West Virginia")</f>
        <v>West Virginia</v>
      </c>
      <c r="EB3" t="str">
        <f>IFERROR(__xludf.DUMMYFUNCTION("""COMPUTED_VALUE"""),"Western Kentucky")</f>
        <v>Western Kentucky</v>
      </c>
      <c r="EC3" t="str">
        <f>IFERROR(__xludf.DUMMYFUNCTION("""COMPUTED_VALUE"""),"Western Michigan")</f>
        <v>Western Michigan</v>
      </c>
      <c r="ED3" t="str">
        <f>IFERROR(__xludf.DUMMYFUNCTION("""COMPUTED_VALUE"""),"Wisconsin")</f>
        <v>Wisconsin</v>
      </c>
      <c r="EE3" t="str">
        <f>IFERROR(__xludf.DUMMYFUNCTION("""COMPUTED_VALUE"""),"Wyoming")</f>
        <v>Wyoming</v>
      </c>
    </row>
    <row r="4">
      <c r="A4" s="1">
        <v>3.0</v>
      </c>
      <c r="B4" t="str">
        <f>IFERROR(__xludf.DUMMYFUNCTION("split(join("","",sort(byrow('Teams-Conference'!A$2:A1000,lambda(rw,if(iserror(match(rw,DraftTracker!F$1:F4,0)),rw,""""))),1,1)),"","",1,1)"),"Air Force")</f>
        <v>Air Force</v>
      </c>
      <c r="C4" t="str">
        <f>IFERROR(__xludf.DUMMYFUNCTION("""COMPUTED_VALUE"""),"Akron")</f>
        <v>Akron</v>
      </c>
      <c r="D4" t="str">
        <f>IFERROR(__xludf.DUMMYFUNCTION("""COMPUTED_VALUE"""),"Alabama")</f>
        <v>Alabama</v>
      </c>
      <c r="E4" t="str">
        <f>IFERROR(__xludf.DUMMYFUNCTION("""COMPUTED_VALUE"""),"Appalachian State")</f>
        <v>Appalachian State</v>
      </c>
      <c r="F4" t="str">
        <f>IFERROR(__xludf.DUMMYFUNCTION("""COMPUTED_VALUE"""),"Arizona")</f>
        <v>Arizona</v>
      </c>
      <c r="G4" t="str">
        <f>IFERROR(__xludf.DUMMYFUNCTION("""COMPUTED_VALUE"""),"Arizona State")</f>
        <v>Arizona State</v>
      </c>
      <c r="H4" t="str">
        <f>IFERROR(__xludf.DUMMYFUNCTION("""COMPUTED_VALUE"""),"Arkansas")</f>
        <v>Arkansas</v>
      </c>
      <c r="I4" t="str">
        <f>IFERROR(__xludf.DUMMYFUNCTION("""COMPUTED_VALUE"""),"Arkansas State")</f>
        <v>Arkansas State</v>
      </c>
      <c r="J4" t="str">
        <f>IFERROR(__xludf.DUMMYFUNCTION("""COMPUTED_VALUE"""),"Army")</f>
        <v>Army</v>
      </c>
      <c r="K4" t="str">
        <f>IFERROR(__xludf.DUMMYFUNCTION("""COMPUTED_VALUE"""),"Auburn")</f>
        <v>Auburn</v>
      </c>
      <c r="L4" t="str">
        <f>IFERROR(__xludf.DUMMYFUNCTION("""COMPUTED_VALUE"""),"Ball State")</f>
        <v>Ball State</v>
      </c>
      <c r="M4" t="str">
        <f>IFERROR(__xludf.DUMMYFUNCTION("""COMPUTED_VALUE"""),"Baylor")</f>
        <v>Baylor</v>
      </c>
      <c r="N4" t="str">
        <f>IFERROR(__xludf.DUMMYFUNCTION("""COMPUTED_VALUE"""),"Boston College")</f>
        <v>Boston College</v>
      </c>
      <c r="O4" t="str">
        <f>IFERROR(__xludf.DUMMYFUNCTION("""COMPUTED_VALUE"""),"Bowling Green")</f>
        <v>Bowling Green</v>
      </c>
      <c r="P4" t="str">
        <f>IFERROR(__xludf.DUMMYFUNCTION("""COMPUTED_VALUE"""),"Buffalo")</f>
        <v>Buffalo</v>
      </c>
      <c r="Q4" t="str">
        <f>IFERROR(__xludf.DUMMYFUNCTION("""COMPUTED_VALUE"""),"BYU")</f>
        <v>BYU</v>
      </c>
      <c r="R4" t="str">
        <f>IFERROR(__xludf.DUMMYFUNCTION("""COMPUTED_VALUE"""),"California")</f>
        <v>California</v>
      </c>
      <c r="S4" t="str">
        <f>IFERROR(__xludf.DUMMYFUNCTION("""COMPUTED_VALUE"""),"Central Michigan")</f>
        <v>Central Michigan</v>
      </c>
      <c r="T4" t="str">
        <f>IFERROR(__xludf.DUMMYFUNCTION("""COMPUTED_VALUE"""),"Charlotte")</f>
        <v>Charlotte</v>
      </c>
      <c r="U4" t="str">
        <f>IFERROR(__xludf.DUMMYFUNCTION("""COMPUTED_VALUE"""),"Cincinnati")</f>
        <v>Cincinnati</v>
      </c>
      <c r="V4" t="str">
        <f>IFERROR(__xludf.DUMMYFUNCTION("""COMPUTED_VALUE"""),"Clemson")</f>
        <v>Clemson</v>
      </c>
      <c r="W4" t="str">
        <f>IFERROR(__xludf.DUMMYFUNCTION("""COMPUTED_VALUE"""),"Coastal Carolina")</f>
        <v>Coastal Carolina</v>
      </c>
      <c r="X4" t="str">
        <f>IFERROR(__xludf.DUMMYFUNCTION("""COMPUTED_VALUE"""),"Colorado")</f>
        <v>Colorado</v>
      </c>
      <c r="Y4" t="str">
        <f>IFERROR(__xludf.DUMMYFUNCTION("""COMPUTED_VALUE"""),"Colorado State")</f>
        <v>Colorado State</v>
      </c>
      <c r="Z4" t="str">
        <f>IFERROR(__xludf.DUMMYFUNCTION("""COMPUTED_VALUE"""),"Delaware")</f>
        <v>Delaware</v>
      </c>
      <c r="AA4" t="str">
        <f>IFERROR(__xludf.DUMMYFUNCTION("""COMPUTED_VALUE"""),"Duke")</f>
        <v>Duke</v>
      </c>
      <c r="AB4" t="str">
        <f>IFERROR(__xludf.DUMMYFUNCTION("""COMPUTED_VALUE"""),"East Carolina")</f>
        <v>East Carolina</v>
      </c>
      <c r="AC4" t="str">
        <f>IFERROR(__xludf.DUMMYFUNCTION("""COMPUTED_VALUE"""),"EMU")</f>
        <v>EMU</v>
      </c>
      <c r="AD4" t="str">
        <f>IFERROR(__xludf.DUMMYFUNCTION("""COMPUTED_VALUE"""),"Florida")</f>
        <v>Florida</v>
      </c>
      <c r="AE4" t="str">
        <f>IFERROR(__xludf.DUMMYFUNCTION("""COMPUTED_VALUE"""),"Florida Atlantic")</f>
        <v>Florida Atlantic</v>
      </c>
      <c r="AF4" t="str">
        <f>IFERROR(__xludf.DUMMYFUNCTION("""COMPUTED_VALUE"""),"Florida Intl")</f>
        <v>Florida Intl</v>
      </c>
      <c r="AG4" t="str">
        <f>IFERROR(__xludf.DUMMYFUNCTION("""COMPUTED_VALUE"""),"Florida State")</f>
        <v>Florida State</v>
      </c>
      <c r="AH4" t="str">
        <f>IFERROR(__xludf.DUMMYFUNCTION("""COMPUTED_VALUE"""),"Fresno State")</f>
        <v>Fresno State</v>
      </c>
      <c r="AI4" t="str">
        <f>IFERROR(__xludf.DUMMYFUNCTION("""COMPUTED_VALUE"""),"Georgia")</f>
        <v>Georgia</v>
      </c>
      <c r="AJ4" t="str">
        <f>IFERROR(__xludf.DUMMYFUNCTION("""COMPUTED_VALUE"""),"Georgia Southern")</f>
        <v>Georgia Southern</v>
      </c>
      <c r="AK4" t="str">
        <f>IFERROR(__xludf.DUMMYFUNCTION("""COMPUTED_VALUE"""),"Georgia State")</f>
        <v>Georgia State</v>
      </c>
      <c r="AL4" t="str">
        <f>IFERROR(__xludf.DUMMYFUNCTION("""COMPUTED_VALUE"""),"Georgia Tech")</f>
        <v>Georgia Tech</v>
      </c>
      <c r="AM4" t="str">
        <f>IFERROR(__xludf.DUMMYFUNCTION("""COMPUTED_VALUE"""),"Hawaii")</f>
        <v>Hawaii</v>
      </c>
      <c r="AN4" t="str">
        <f>IFERROR(__xludf.DUMMYFUNCTION("""COMPUTED_VALUE"""),"Houston")</f>
        <v>Houston</v>
      </c>
      <c r="AO4" t="str">
        <f>IFERROR(__xludf.DUMMYFUNCTION("""COMPUTED_VALUE"""),"Illinois")</f>
        <v>Illinois</v>
      </c>
      <c r="AP4" t="str">
        <f>IFERROR(__xludf.DUMMYFUNCTION("""COMPUTED_VALUE"""),"Indiana")</f>
        <v>Indiana</v>
      </c>
      <c r="AQ4" t="str">
        <f>IFERROR(__xludf.DUMMYFUNCTION("""COMPUTED_VALUE"""),"Iowa")</f>
        <v>Iowa</v>
      </c>
      <c r="AR4" t="str">
        <f>IFERROR(__xludf.DUMMYFUNCTION("""COMPUTED_VALUE"""),"Iowa State")</f>
        <v>Iowa State</v>
      </c>
      <c r="AS4" t="str">
        <f>IFERROR(__xludf.DUMMYFUNCTION("""COMPUTED_VALUE"""),"Jacksonville State")</f>
        <v>Jacksonville State</v>
      </c>
      <c r="AT4" t="str">
        <f>IFERROR(__xludf.DUMMYFUNCTION("""COMPUTED_VALUE"""),"James Madison")</f>
        <v>James Madison</v>
      </c>
      <c r="AU4" t="str">
        <f>IFERROR(__xludf.DUMMYFUNCTION("""COMPUTED_VALUE"""),"Kansas")</f>
        <v>Kansas</v>
      </c>
      <c r="AV4" t="str">
        <f>IFERROR(__xludf.DUMMYFUNCTION("""COMPUTED_VALUE"""),"Kansas State")</f>
        <v>Kansas State</v>
      </c>
      <c r="AW4" t="str">
        <f>IFERROR(__xludf.DUMMYFUNCTION("""COMPUTED_VALUE"""),"Kennesaw State")</f>
        <v>Kennesaw State</v>
      </c>
      <c r="AX4" t="str">
        <f>IFERROR(__xludf.DUMMYFUNCTION("""COMPUTED_VALUE"""),"Kent State")</f>
        <v>Kent State</v>
      </c>
      <c r="AY4" t="str">
        <f>IFERROR(__xludf.DUMMYFUNCTION("""COMPUTED_VALUE"""),"Kentucky")</f>
        <v>Kentucky</v>
      </c>
      <c r="AZ4" t="str">
        <f>IFERROR(__xludf.DUMMYFUNCTION("""COMPUTED_VALUE"""),"Louisiana Tech")</f>
        <v>Louisiana Tech</v>
      </c>
      <c r="BA4" t="str">
        <f>IFERROR(__xludf.DUMMYFUNCTION("""COMPUTED_VALUE"""),"Louisville")</f>
        <v>Louisville</v>
      </c>
      <c r="BB4" t="str">
        <f>IFERROR(__xludf.DUMMYFUNCTION("""COMPUTED_VALUE"""),"LSU")</f>
        <v>LSU</v>
      </c>
      <c r="BC4" t="str">
        <f>IFERROR(__xludf.DUMMYFUNCTION("""COMPUTED_VALUE"""),"Marshall")</f>
        <v>Marshall</v>
      </c>
      <c r="BD4" t="str">
        <f>IFERROR(__xludf.DUMMYFUNCTION("""COMPUTED_VALUE"""),"Maryland")</f>
        <v>Maryland</v>
      </c>
      <c r="BE4" t="str">
        <f>IFERROR(__xludf.DUMMYFUNCTION("""COMPUTED_VALUE"""),"Memphis")</f>
        <v>Memphis</v>
      </c>
      <c r="BF4" t="str">
        <f>IFERROR(__xludf.DUMMYFUNCTION("""COMPUTED_VALUE"""),"Miami")</f>
        <v>Miami</v>
      </c>
      <c r="BG4" t="str">
        <f>IFERROR(__xludf.DUMMYFUNCTION("""COMPUTED_VALUE"""),"Miami-OH")</f>
        <v>Miami-OH</v>
      </c>
      <c r="BH4" t="str">
        <f>IFERROR(__xludf.DUMMYFUNCTION("""COMPUTED_VALUE"""),"Michigan")</f>
        <v>Michigan</v>
      </c>
      <c r="BI4" t="str">
        <f>IFERROR(__xludf.DUMMYFUNCTION("""COMPUTED_VALUE"""),"Michigan State")</f>
        <v>Michigan State</v>
      </c>
      <c r="BJ4" t="str">
        <f>IFERROR(__xludf.DUMMYFUNCTION("""COMPUTED_VALUE"""),"Middle Tennessee")</f>
        <v>Middle Tennessee</v>
      </c>
      <c r="BK4" t="str">
        <f>IFERROR(__xludf.DUMMYFUNCTION("""COMPUTED_VALUE"""),"Minnesota")</f>
        <v>Minnesota</v>
      </c>
      <c r="BL4" t="str">
        <f>IFERROR(__xludf.DUMMYFUNCTION("""COMPUTED_VALUE"""),"Mississippi State")</f>
        <v>Mississippi State</v>
      </c>
      <c r="BM4" t="str">
        <f>IFERROR(__xludf.DUMMYFUNCTION("""COMPUTED_VALUE"""),"Missouri")</f>
        <v>Missouri</v>
      </c>
      <c r="BN4" t="str">
        <f>IFERROR(__xludf.DUMMYFUNCTION("""COMPUTED_VALUE"""),"Missouri State")</f>
        <v>Missouri State</v>
      </c>
      <c r="BO4" t="str">
        <f>IFERROR(__xludf.DUMMYFUNCTION("""COMPUTED_VALUE"""),"Navy")</f>
        <v>Navy</v>
      </c>
      <c r="BP4" t="str">
        <f>IFERROR(__xludf.DUMMYFUNCTION("""COMPUTED_VALUE"""),"NC State")</f>
        <v>NC State</v>
      </c>
      <c r="BQ4" t="str">
        <f>IFERROR(__xludf.DUMMYFUNCTION("""COMPUTED_VALUE"""),"Nebraska")</f>
        <v>Nebraska</v>
      </c>
      <c r="BR4" t="str">
        <f>IFERROR(__xludf.DUMMYFUNCTION("""COMPUTED_VALUE"""),"Nevada")</f>
        <v>Nevada</v>
      </c>
      <c r="BS4" t="str">
        <f>IFERROR(__xludf.DUMMYFUNCTION("""COMPUTED_VALUE"""),"New Mexico")</f>
        <v>New Mexico</v>
      </c>
      <c r="BT4" t="str">
        <f>IFERROR(__xludf.DUMMYFUNCTION("""COMPUTED_VALUE"""),"New Mexico State")</f>
        <v>New Mexico State</v>
      </c>
      <c r="BU4" t="str">
        <f>IFERROR(__xludf.DUMMYFUNCTION("""COMPUTED_VALUE"""),"North Carolina")</f>
        <v>North Carolina</v>
      </c>
      <c r="BV4" t="str">
        <f>IFERROR(__xludf.DUMMYFUNCTION("""COMPUTED_VALUE"""),"North Texas")</f>
        <v>North Texas</v>
      </c>
      <c r="BW4" t="str">
        <f>IFERROR(__xludf.DUMMYFUNCTION("""COMPUTED_VALUE"""),"Northern Illinois")</f>
        <v>Northern Illinois</v>
      </c>
      <c r="BX4" t="str">
        <f>IFERROR(__xludf.DUMMYFUNCTION("""COMPUTED_VALUE"""),"Northwestern")</f>
        <v>Northwestern</v>
      </c>
      <c r="BY4" t="str">
        <f>IFERROR(__xludf.DUMMYFUNCTION("""COMPUTED_VALUE"""),"Notre Dame")</f>
        <v>Notre Dame</v>
      </c>
      <c r="BZ4" t="str">
        <f>IFERROR(__xludf.DUMMYFUNCTION("""COMPUTED_VALUE"""),"Ohio")</f>
        <v>Ohio</v>
      </c>
      <c r="CA4" t="str">
        <f>IFERROR(__xludf.DUMMYFUNCTION("""COMPUTED_VALUE"""),"Ohio State")</f>
        <v>Ohio State</v>
      </c>
      <c r="CB4" t="str">
        <f>IFERROR(__xludf.DUMMYFUNCTION("""COMPUTED_VALUE"""),"Oklahoma")</f>
        <v>Oklahoma</v>
      </c>
      <c r="CC4" t="str">
        <f>IFERROR(__xludf.DUMMYFUNCTION("""COMPUTED_VALUE"""),"Oklahoma State")</f>
        <v>Oklahoma State</v>
      </c>
      <c r="CD4" t="str">
        <f>IFERROR(__xludf.DUMMYFUNCTION("""COMPUTED_VALUE"""),"Old Dominion")</f>
        <v>Old Dominion</v>
      </c>
      <c r="CE4" t="str">
        <f>IFERROR(__xludf.DUMMYFUNCTION("""COMPUTED_VALUE"""),"Ole Miss")</f>
        <v>Ole Miss</v>
      </c>
      <c r="CF4" t="str">
        <f>IFERROR(__xludf.DUMMYFUNCTION("""COMPUTED_VALUE"""),"Oregon")</f>
        <v>Oregon</v>
      </c>
      <c r="CG4" t="str">
        <f>IFERROR(__xludf.DUMMYFUNCTION("""COMPUTED_VALUE"""),"Oregon State")</f>
        <v>Oregon State</v>
      </c>
      <c r="CH4" t="str">
        <f>IFERROR(__xludf.DUMMYFUNCTION("""COMPUTED_VALUE"""),"Pittsburgh")</f>
        <v>Pittsburgh</v>
      </c>
      <c r="CI4" t="str">
        <f>IFERROR(__xludf.DUMMYFUNCTION("""COMPUTED_VALUE"""),"Purdue")</f>
        <v>Purdue</v>
      </c>
      <c r="CJ4" t="str">
        <f>IFERROR(__xludf.DUMMYFUNCTION("""COMPUTED_VALUE"""),"Rice")</f>
        <v>Rice</v>
      </c>
      <c r="CK4" t="str">
        <f>IFERROR(__xludf.DUMMYFUNCTION("""COMPUTED_VALUE"""),"Rutgers")</f>
        <v>Rutgers</v>
      </c>
      <c r="CL4" t="str">
        <f>IFERROR(__xludf.DUMMYFUNCTION("""COMPUTED_VALUE"""),"Sam Houston")</f>
        <v>Sam Houston</v>
      </c>
      <c r="CM4" t="str">
        <f>IFERROR(__xludf.DUMMYFUNCTION("""COMPUTED_VALUE"""),"San Diego State")</f>
        <v>San Diego State</v>
      </c>
      <c r="CN4" t="str">
        <f>IFERROR(__xludf.DUMMYFUNCTION("""COMPUTED_VALUE"""),"San José State")</f>
        <v>San José State</v>
      </c>
      <c r="CO4" t="str">
        <f>IFERROR(__xludf.DUMMYFUNCTION("""COMPUTED_VALUE"""),"SMU")</f>
        <v>SMU</v>
      </c>
      <c r="CP4" t="str">
        <f>IFERROR(__xludf.DUMMYFUNCTION("""COMPUTED_VALUE"""),"South Alabama")</f>
        <v>South Alabama</v>
      </c>
      <c r="CQ4" t="str">
        <f>IFERROR(__xludf.DUMMYFUNCTION("""COMPUTED_VALUE"""),"South Carolina")</f>
        <v>South Carolina</v>
      </c>
      <c r="CR4" t="str">
        <f>IFERROR(__xludf.DUMMYFUNCTION("""COMPUTED_VALUE"""),"South Florida")</f>
        <v>South Florida</v>
      </c>
      <c r="CS4" t="str">
        <f>IFERROR(__xludf.DUMMYFUNCTION("""COMPUTED_VALUE"""),"Southern Mississippi")</f>
        <v>Southern Mississippi</v>
      </c>
      <c r="CT4" t="str">
        <f>IFERROR(__xludf.DUMMYFUNCTION("""COMPUTED_VALUE"""),"Stanford")</f>
        <v>Stanford</v>
      </c>
      <c r="CU4" t="str">
        <f>IFERROR(__xludf.DUMMYFUNCTION("""COMPUTED_VALUE"""),"Syracuse")</f>
        <v>Syracuse</v>
      </c>
      <c r="CV4" t="str">
        <f>IFERROR(__xludf.DUMMYFUNCTION("""COMPUTED_VALUE"""),"TCU")</f>
        <v>TCU</v>
      </c>
      <c r="CW4" t="str">
        <f>IFERROR(__xludf.DUMMYFUNCTION("""COMPUTED_VALUE"""),"Temple")</f>
        <v>Temple</v>
      </c>
      <c r="CX4" t="str">
        <f>IFERROR(__xludf.DUMMYFUNCTION("""COMPUTED_VALUE"""),"Tennessee")</f>
        <v>Tennessee</v>
      </c>
      <c r="CY4" t="str">
        <f>IFERROR(__xludf.DUMMYFUNCTION("""COMPUTED_VALUE"""),"Texas")</f>
        <v>Texas</v>
      </c>
      <c r="CZ4" t="str">
        <f>IFERROR(__xludf.DUMMYFUNCTION("""COMPUTED_VALUE"""),"Texas A&amp;M")</f>
        <v>Texas A&amp;M</v>
      </c>
      <c r="DA4" t="str">
        <f>IFERROR(__xludf.DUMMYFUNCTION("""COMPUTED_VALUE"""),"Texas State")</f>
        <v>Texas State</v>
      </c>
      <c r="DB4" t="str">
        <f>IFERROR(__xludf.DUMMYFUNCTION("""COMPUTED_VALUE"""),"Texas Tech")</f>
        <v>Texas Tech</v>
      </c>
      <c r="DC4" t="str">
        <f>IFERROR(__xludf.DUMMYFUNCTION("""COMPUTED_VALUE"""),"Toledo")</f>
        <v>Toledo</v>
      </c>
      <c r="DD4" t="str">
        <f>IFERROR(__xludf.DUMMYFUNCTION("""COMPUTED_VALUE"""),"Troy")</f>
        <v>Troy</v>
      </c>
      <c r="DE4" t="str">
        <f>IFERROR(__xludf.DUMMYFUNCTION("""COMPUTED_VALUE"""),"Tulane")</f>
        <v>Tulane</v>
      </c>
      <c r="DF4" t="str">
        <f>IFERROR(__xludf.DUMMYFUNCTION("""COMPUTED_VALUE"""),"Tulsa")</f>
        <v>Tulsa</v>
      </c>
      <c r="DG4" t="str">
        <f>IFERROR(__xludf.DUMMYFUNCTION("""COMPUTED_VALUE"""),"UAB")</f>
        <v>UAB</v>
      </c>
      <c r="DH4" t="str">
        <f>IFERROR(__xludf.DUMMYFUNCTION("""COMPUTED_VALUE"""),"UCF")</f>
        <v>UCF</v>
      </c>
      <c r="DI4" t="str">
        <f>IFERROR(__xludf.DUMMYFUNCTION("""COMPUTED_VALUE"""),"UCLA")</f>
        <v>UCLA</v>
      </c>
      <c r="DJ4" t="str">
        <f>IFERROR(__xludf.DUMMYFUNCTION("""COMPUTED_VALUE"""),"UConn")</f>
        <v>UConn</v>
      </c>
      <c r="DK4" t="str">
        <f>IFERROR(__xludf.DUMMYFUNCTION("""COMPUTED_VALUE"""),"UL Lafayette")</f>
        <v>UL Lafayette</v>
      </c>
      <c r="DL4" t="str">
        <f>IFERROR(__xludf.DUMMYFUNCTION("""COMPUTED_VALUE"""),"UL Monroe")</f>
        <v>UL Monroe</v>
      </c>
      <c r="DM4" t="str">
        <f>IFERROR(__xludf.DUMMYFUNCTION("""COMPUTED_VALUE"""),"UMASS")</f>
        <v>UMASS</v>
      </c>
      <c r="DN4" t="str">
        <f>IFERROR(__xludf.DUMMYFUNCTION("""COMPUTED_VALUE"""),"UNLV")</f>
        <v>UNLV</v>
      </c>
      <c r="DO4" t="str">
        <f>IFERROR(__xludf.DUMMYFUNCTION("""COMPUTED_VALUE"""),"USC")</f>
        <v>USC</v>
      </c>
      <c r="DP4" t="str">
        <f>IFERROR(__xludf.DUMMYFUNCTION("""COMPUTED_VALUE"""),"Utah")</f>
        <v>Utah</v>
      </c>
      <c r="DQ4" t="str">
        <f>IFERROR(__xludf.DUMMYFUNCTION("""COMPUTED_VALUE"""),"Utah State")</f>
        <v>Utah State</v>
      </c>
      <c r="DR4" t="str">
        <f>IFERROR(__xludf.DUMMYFUNCTION("""COMPUTED_VALUE"""),"UTEP")</f>
        <v>UTEP</v>
      </c>
      <c r="DS4" t="str">
        <f>IFERROR(__xludf.DUMMYFUNCTION("""COMPUTED_VALUE"""),"UTSA")</f>
        <v>UTSA</v>
      </c>
      <c r="DT4" t="str">
        <f>IFERROR(__xludf.DUMMYFUNCTION("""COMPUTED_VALUE"""),"Vanderbilt")</f>
        <v>Vanderbilt</v>
      </c>
      <c r="DU4" t="str">
        <f>IFERROR(__xludf.DUMMYFUNCTION("""COMPUTED_VALUE"""),"Virginia")</f>
        <v>Virginia</v>
      </c>
      <c r="DV4" t="str">
        <f>IFERROR(__xludf.DUMMYFUNCTION("""COMPUTED_VALUE"""),"Virginia Tech")</f>
        <v>Virginia Tech</v>
      </c>
      <c r="DW4" t="str">
        <f>IFERROR(__xludf.DUMMYFUNCTION("""COMPUTED_VALUE"""),"Wake Forest")</f>
        <v>Wake Forest</v>
      </c>
      <c r="DX4" t="str">
        <f>IFERROR(__xludf.DUMMYFUNCTION("""COMPUTED_VALUE"""),"Washington")</f>
        <v>Washington</v>
      </c>
      <c r="DY4" t="str">
        <f>IFERROR(__xludf.DUMMYFUNCTION("""COMPUTED_VALUE"""),"Washington State")</f>
        <v>Washington State</v>
      </c>
      <c r="DZ4" t="str">
        <f>IFERROR(__xludf.DUMMYFUNCTION("""COMPUTED_VALUE"""),"West Virginia")</f>
        <v>West Virginia</v>
      </c>
      <c r="EA4" t="str">
        <f>IFERROR(__xludf.DUMMYFUNCTION("""COMPUTED_VALUE"""),"Western Kentucky")</f>
        <v>Western Kentucky</v>
      </c>
      <c r="EB4" t="str">
        <f>IFERROR(__xludf.DUMMYFUNCTION("""COMPUTED_VALUE"""),"Western Michigan")</f>
        <v>Western Michigan</v>
      </c>
      <c r="EC4" t="str">
        <f>IFERROR(__xludf.DUMMYFUNCTION("""COMPUTED_VALUE"""),"Wisconsin")</f>
        <v>Wisconsin</v>
      </c>
      <c r="ED4" t="str">
        <f>IFERROR(__xludf.DUMMYFUNCTION("""COMPUTED_VALUE"""),"Wyoming")</f>
        <v>Wyoming</v>
      </c>
    </row>
    <row r="5">
      <c r="A5" s="1">
        <v>4.0</v>
      </c>
      <c r="B5" t="str">
        <f>IFERROR(__xludf.DUMMYFUNCTION("split(join("","",sort(byrow('Teams-Conference'!A$2:A1000,lambda(rw,if(iserror(match(rw,DraftTracker!F$1:F5,0)),rw,""""))),1,1)),"","",1,1)"),"Air Force")</f>
        <v>Air Force</v>
      </c>
      <c r="C5" t="str">
        <f>IFERROR(__xludf.DUMMYFUNCTION("""COMPUTED_VALUE"""),"Akron")</f>
        <v>Akron</v>
      </c>
      <c r="D5" t="str">
        <f>IFERROR(__xludf.DUMMYFUNCTION("""COMPUTED_VALUE"""),"Alabama")</f>
        <v>Alabama</v>
      </c>
      <c r="E5" t="str">
        <f>IFERROR(__xludf.DUMMYFUNCTION("""COMPUTED_VALUE"""),"Appalachian State")</f>
        <v>Appalachian State</v>
      </c>
      <c r="F5" t="str">
        <f>IFERROR(__xludf.DUMMYFUNCTION("""COMPUTED_VALUE"""),"Arizona")</f>
        <v>Arizona</v>
      </c>
      <c r="G5" t="str">
        <f>IFERROR(__xludf.DUMMYFUNCTION("""COMPUTED_VALUE"""),"Arizona State")</f>
        <v>Arizona State</v>
      </c>
      <c r="H5" t="str">
        <f>IFERROR(__xludf.DUMMYFUNCTION("""COMPUTED_VALUE"""),"Arkansas")</f>
        <v>Arkansas</v>
      </c>
      <c r="I5" t="str">
        <f>IFERROR(__xludf.DUMMYFUNCTION("""COMPUTED_VALUE"""),"Arkansas State")</f>
        <v>Arkansas State</v>
      </c>
      <c r="J5" t="str">
        <f>IFERROR(__xludf.DUMMYFUNCTION("""COMPUTED_VALUE"""),"Army")</f>
        <v>Army</v>
      </c>
      <c r="K5" t="str">
        <f>IFERROR(__xludf.DUMMYFUNCTION("""COMPUTED_VALUE"""),"Auburn")</f>
        <v>Auburn</v>
      </c>
      <c r="L5" t="str">
        <f>IFERROR(__xludf.DUMMYFUNCTION("""COMPUTED_VALUE"""),"Ball State")</f>
        <v>Ball State</v>
      </c>
      <c r="M5" t="str">
        <f>IFERROR(__xludf.DUMMYFUNCTION("""COMPUTED_VALUE"""),"Baylor")</f>
        <v>Baylor</v>
      </c>
      <c r="N5" t="str">
        <f>IFERROR(__xludf.DUMMYFUNCTION("""COMPUTED_VALUE"""),"Boston College")</f>
        <v>Boston College</v>
      </c>
      <c r="O5" t="str">
        <f>IFERROR(__xludf.DUMMYFUNCTION("""COMPUTED_VALUE"""),"Bowling Green")</f>
        <v>Bowling Green</v>
      </c>
      <c r="P5" t="str">
        <f>IFERROR(__xludf.DUMMYFUNCTION("""COMPUTED_VALUE"""),"Buffalo")</f>
        <v>Buffalo</v>
      </c>
      <c r="Q5" t="str">
        <f>IFERROR(__xludf.DUMMYFUNCTION("""COMPUTED_VALUE"""),"BYU")</f>
        <v>BYU</v>
      </c>
      <c r="R5" t="str">
        <f>IFERROR(__xludf.DUMMYFUNCTION("""COMPUTED_VALUE"""),"California")</f>
        <v>California</v>
      </c>
      <c r="S5" t="str">
        <f>IFERROR(__xludf.DUMMYFUNCTION("""COMPUTED_VALUE"""),"Central Michigan")</f>
        <v>Central Michigan</v>
      </c>
      <c r="T5" t="str">
        <f>IFERROR(__xludf.DUMMYFUNCTION("""COMPUTED_VALUE"""),"Charlotte")</f>
        <v>Charlotte</v>
      </c>
      <c r="U5" t="str">
        <f>IFERROR(__xludf.DUMMYFUNCTION("""COMPUTED_VALUE"""),"Cincinnati")</f>
        <v>Cincinnati</v>
      </c>
      <c r="V5" t="str">
        <f>IFERROR(__xludf.DUMMYFUNCTION("""COMPUTED_VALUE"""),"Clemson")</f>
        <v>Clemson</v>
      </c>
      <c r="W5" t="str">
        <f>IFERROR(__xludf.DUMMYFUNCTION("""COMPUTED_VALUE"""),"Coastal Carolina")</f>
        <v>Coastal Carolina</v>
      </c>
      <c r="X5" t="str">
        <f>IFERROR(__xludf.DUMMYFUNCTION("""COMPUTED_VALUE"""),"Colorado")</f>
        <v>Colorado</v>
      </c>
      <c r="Y5" t="str">
        <f>IFERROR(__xludf.DUMMYFUNCTION("""COMPUTED_VALUE"""),"Colorado State")</f>
        <v>Colorado State</v>
      </c>
      <c r="Z5" t="str">
        <f>IFERROR(__xludf.DUMMYFUNCTION("""COMPUTED_VALUE"""),"Delaware")</f>
        <v>Delaware</v>
      </c>
      <c r="AA5" t="str">
        <f>IFERROR(__xludf.DUMMYFUNCTION("""COMPUTED_VALUE"""),"Duke")</f>
        <v>Duke</v>
      </c>
      <c r="AB5" t="str">
        <f>IFERROR(__xludf.DUMMYFUNCTION("""COMPUTED_VALUE"""),"East Carolina")</f>
        <v>East Carolina</v>
      </c>
      <c r="AC5" t="str">
        <f>IFERROR(__xludf.DUMMYFUNCTION("""COMPUTED_VALUE"""),"EMU")</f>
        <v>EMU</v>
      </c>
      <c r="AD5" t="str">
        <f>IFERROR(__xludf.DUMMYFUNCTION("""COMPUTED_VALUE"""),"Florida")</f>
        <v>Florida</v>
      </c>
      <c r="AE5" t="str">
        <f>IFERROR(__xludf.DUMMYFUNCTION("""COMPUTED_VALUE"""),"Florida Atlantic")</f>
        <v>Florida Atlantic</v>
      </c>
      <c r="AF5" t="str">
        <f>IFERROR(__xludf.DUMMYFUNCTION("""COMPUTED_VALUE"""),"Florida Intl")</f>
        <v>Florida Intl</v>
      </c>
      <c r="AG5" t="str">
        <f>IFERROR(__xludf.DUMMYFUNCTION("""COMPUTED_VALUE"""),"Florida State")</f>
        <v>Florida State</v>
      </c>
      <c r="AH5" t="str">
        <f>IFERROR(__xludf.DUMMYFUNCTION("""COMPUTED_VALUE"""),"Fresno State")</f>
        <v>Fresno State</v>
      </c>
      <c r="AI5" t="str">
        <f>IFERROR(__xludf.DUMMYFUNCTION("""COMPUTED_VALUE"""),"Georgia")</f>
        <v>Georgia</v>
      </c>
      <c r="AJ5" t="str">
        <f>IFERROR(__xludf.DUMMYFUNCTION("""COMPUTED_VALUE"""),"Georgia Southern")</f>
        <v>Georgia Southern</v>
      </c>
      <c r="AK5" t="str">
        <f>IFERROR(__xludf.DUMMYFUNCTION("""COMPUTED_VALUE"""),"Georgia State")</f>
        <v>Georgia State</v>
      </c>
      <c r="AL5" t="str">
        <f>IFERROR(__xludf.DUMMYFUNCTION("""COMPUTED_VALUE"""),"Georgia Tech")</f>
        <v>Georgia Tech</v>
      </c>
      <c r="AM5" t="str">
        <f>IFERROR(__xludf.DUMMYFUNCTION("""COMPUTED_VALUE"""),"Hawaii")</f>
        <v>Hawaii</v>
      </c>
      <c r="AN5" t="str">
        <f>IFERROR(__xludf.DUMMYFUNCTION("""COMPUTED_VALUE"""),"Houston")</f>
        <v>Houston</v>
      </c>
      <c r="AO5" t="str">
        <f>IFERROR(__xludf.DUMMYFUNCTION("""COMPUTED_VALUE"""),"Illinois")</f>
        <v>Illinois</v>
      </c>
      <c r="AP5" t="str">
        <f>IFERROR(__xludf.DUMMYFUNCTION("""COMPUTED_VALUE"""),"Indiana")</f>
        <v>Indiana</v>
      </c>
      <c r="AQ5" t="str">
        <f>IFERROR(__xludf.DUMMYFUNCTION("""COMPUTED_VALUE"""),"Iowa")</f>
        <v>Iowa</v>
      </c>
      <c r="AR5" t="str">
        <f>IFERROR(__xludf.DUMMYFUNCTION("""COMPUTED_VALUE"""),"Iowa State")</f>
        <v>Iowa State</v>
      </c>
      <c r="AS5" t="str">
        <f>IFERROR(__xludf.DUMMYFUNCTION("""COMPUTED_VALUE"""),"Jacksonville State")</f>
        <v>Jacksonville State</v>
      </c>
      <c r="AT5" t="str">
        <f>IFERROR(__xludf.DUMMYFUNCTION("""COMPUTED_VALUE"""),"James Madison")</f>
        <v>James Madison</v>
      </c>
      <c r="AU5" t="str">
        <f>IFERROR(__xludf.DUMMYFUNCTION("""COMPUTED_VALUE"""),"Kansas")</f>
        <v>Kansas</v>
      </c>
      <c r="AV5" t="str">
        <f>IFERROR(__xludf.DUMMYFUNCTION("""COMPUTED_VALUE"""),"Kansas State")</f>
        <v>Kansas State</v>
      </c>
      <c r="AW5" t="str">
        <f>IFERROR(__xludf.DUMMYFUNCTION("""COMPUTED_VALUE"""),"Kennesaw State")</f>
        <v>Kennesaw State</v>
      </c>
      <c r="AX5" t="str">
        <f>IFERROR(__xludf.DUMMYFUNCTION("""COMPUTED_VALUE"""),"Kent State")</f>
        <v>Kent State</v>
      </c>
      <c r="AY5" t="str">
        <f>IFERROR(__xludf.DUMMYFUNCTION("""COMPUTED_VALUE"""),"Kentucky")</f>
        <v>Kentucky</v>
      </c>
      <c r="AZ5" t="str">
        <f>IFERROR(__xludf.DUMMYFUNCTION("""COMPUTED_VALUE"""),"Louisiana Tech")</f>
        <v>Louisiana Tech</v>
      </c>
      <c r="BA5" t="str">
        <f>IFERROR(__xludf.DUMMYFUNCTION("""COMPUTED_VALUE"""),"Louisville")</f>
        <v>Louisville</v>
      </c>
      <c r="BB5" t="str">
        <f>IFERROR(__xludf.DUMMYFUNCTION("""COMPUTED_VALUE"""),"LSU")</f>
        <v>LSU</v>
      </c>
      <c r="BC5" t="str">
        <f>IFERROR(__xludf.DUMMYFUNCTION("""COMPUTED_VALUE"""),"Marshall")</f>
        <v>Marshall</v>
      </c>
      <c r="BD5" t="str">
        <f>IFERROR(__xludf.DUMMYFUNCTION("""COMPUTED_VALUE"""),"Maryland")</f>
        <v>Maryland</v>
      </c>
      <c r="BE5" t="str">
        <f>IFERROR(__xludf.DUMMYFUNCTION("""COMPUTED_VALUE"""),"Memphis")</f>
        <v>Memphis</v>
      </c>
      <c r="BF5" t="str">
        <f>IFERROR(__xludf.DUMMYFUNCTION("""COMPUTED_VALUE"""),"Miami")</f>
        <v>Miami</v>
      </c>
      <c r="BG5" t="str">
        <f>IFERROR(__xludf.DUMMYFUNCTION("""COMPUTED_VALUE"""),"Miami-OH")</f>
        <v>Miami-OH</v>
      </c>
      <c r="BH5" t="str">
        <f>IFERROR(__xludf.DUMMYFUNCTION("""COMPUTED_VALUE"""),"Michigan")</f>
        <v>Michigan</v>
      </c>
      <c r="BI5" t="str">
        <f>IFERROR(__xludf.DUMMYFUNCTION("""COMPUTED_VALUE"""),"Michigan State")</f>
        <v>Michigan State</v>
      </c>
      <c r="BJ5" t="str">
        <f>IFERROR(__xludf.DUMMYFUNCTION("""COMPUTED_VALUE"""),"Middle Tennessee")</f>
        <v>Middle Tennessee</v>
      </c>
      <c r="BK5" t="str">
        <f>IFERROR(__xludf.DUMMYFUNCTION("""COMPUTED_VALUE"""),"Minnesota")</f>
        <v>Minnesota</v>
      </c>
      <c r="BL5" t="str">
        <f>IFERROR(__xludf.DUMMYFUNCTION("""COMPUTED_VALUE"""),"Mississippi State")</f>
        <v>Mississippi State</v>
      </c>
      <c r="BM5" t="str">
        <f>IFERROR(__xludf.DUMMYFUNCTION("""COMPUTED_VALUE"""),"Missouri")</f>
        <v>Missouri</v>
      </c>
      <c r="BN5" t="str">
        <f>IFERROR(__xludf.DUMMYFUNCTION("""COMPUTED_VALUE"""),"Missouri State")</f>
        <v>Missouri State</v>
      </c>
      <c r="BO5" t="str">
        <f>IFERROR(__xludf.DUMMYFUNCTION("""COMPUTED_VALUE"""),"Navy")</f>
        <v>Navy</v>
      </c>
      <c r="BP5" t="str">
        <f>IFERROR(__xludf.DUMMYFUNCTION("""COMPUTED_VALUE"""),"NC State")</f>
        <v>NC State</v>
      </c>
      <c r="BQ5" t="str">
        <f>IFERROR(__xludf.DUMMYFUNCTION("""COMPUTED_VALUE"""),"Nebraska")</f>
        <v>Nebraska</v>
      </c>
      <c r="BR5" t="str">
        <f>IFERROR(__xludf.DUMMYFUNCTION("""COMPUTED_VALUE"""),"Nevada")</f>
        <v>Nevada</v>
      </c>
      <c r="BS5" t="str">
        <f>IFERROR(__xludf.DUMMYFUNCTION("""COMPUTED_VALUE"""),"New Mexico")</f>
        <v>New Mexico</v>
      </c>
      <c r="BT5" t="str">
        <f>IFERROR(__xludf.DUMMYFUNCTION("""COMPUTED_VALUE"""),"New Mexico State")</f>
        <v>New Mexico State</v>
      </c>
      <c r="BU5" t="str">
        <f>IFERROR(__xludf.DUMMYFUNCTION("""COMPUTED_VALUE"""),"North Carolina")</f>
        <v>North Carolina</v>
      </c>
      <c r="BV5" t="str">
        <f>IFERROR(__xludf.DUMMYFUNCTION("""COMPUTED_VALUE"""),"North Texas")</f>
        <v>North Texas</v>
      </c>
      <c r="BW5" t="str">
        <f>IFERROR(__xludf.DUMMYFUNCTION("""COMPUTED_VALUE"""),"Northern Illinois")</f>
        <v>Northern Illinois</v>
      </c>
      <c r="BX5" t="str">
        <f>IFERROR(__xludf.DUMMYFUNCTION("""COMPUTED_VALUE"""),"Northwestern")</f>
        <v>Northwestern</v>
      </c>
      <c r="BY5" t="str">
        <f>IFERROR(__xludf.DUMMYFUNCTION("""COMPUTED_VALUE"""),"Notre Dame")</f>
        <v>Notre Dame</v>
      </c>
      <c r="BZ5" t="str">
        <f>IFERROR(__xludf.DUMMYFUNCTION("""COMPUTED_VALUE"""),"Ohio")</f>
        <v>Ohio</v>
      </c>
      <c r="CA5" t="str">
        <f>IFERROR(__xludf.DUMMYFUNCTION("""COMPUTED_VALUE"""),"Oklahoma")</f>
        <v>Oklahoma</v>
      </c>
      <c r="CB5" t="str">
        <f>IFERROR(__xludf.DUMMYFUNCTION("""COMPUTED_VALUE"""),"Oklahoma State")</f>
        <v>Oklahoma State</v>
      </c>
      <c r="CC5" t="str">
        <f>IFERROR(__xludf.DUMMYFUNCTION("""COMPUTED_VALUE"""),"Old Dominion")</f>
        <v>Old Dominion</v>
      </c>
      <c r="CD5" t="str">
        <f>IFERROR(__xludf.DUMMYFUNCTION("""COMPUTED_VALUE"""),"Ole Miss")</f>
        <v>Ole Miss</v>
      </c>
      <c r="CE5" t="str">
        <f>IFERROR(__xludf.DUMMYFUNCTION("""COMPUTED_VALUE"""),"Oregon")</f>
        <v>Oregon</v>
      </c>
      <c r="CF5" t="str">
        <f>IFERROR(__xludf.DUMMYFUNCTION("""COMPUTED_VALUE"""),"Oregon State")</f>
        <v>Oregon State</v>
      </c>
      <c r="CG5" t="str">
        <f>IFERROR(__xludf.DUMMYFUNCTION("""COMPUTED_VALUE"""),"Pittsburgh")</f>
        <v>Pittsburgh</v>
      </c>
      <c r="CH5" t="str">
        <f>IFERROR(__xludf.DUMMYFUNCTION("""COMPUTED_VALUE"""),"Purdue")</f>
        <v>Purdue</v>
      </c>
      <c r="CI5" t="str">
        <f>IFERROR(__xludf.DUMMYFUNCTION("""COMPUTED_VALUE"""),"Rice")</f>
        <v>Rice</v>
      </c>
      <c r="CJ5" t="str">
        <f>IFERROR(__xludf.DUMMYFUNCTION("""COMPUTED_VALUE"""),"Rutgers")</f>
        <v>Rutgers</v>
      </c>
      <c r="CK5" t="str">
        <f>IFERROR(__xludf.DUMMYFUNCTION("""COMPUTED_VALUE"""),"Sam Houston")</f>
        <v>Sam Houston</v>
      </c>
      <c r="CL5" t="str">
        <f>IFERROR(__xludf.DUMMYFUNCTION("""COMPUTED_VALUE"""),"San Diego State")</f>
        <v>San Diego State</v>
      </c>
      <c r="CM5" t="str">
        <f>IFERROR(__xludf.DUMMYFUNCTION("""COMPUTED_VALUE"""),"San José State")</f>
        <v>San José State</v>
      </c>
      <c r="CN5" t="str">
        <f>IFERROR(__xludf.DUMMYFUNCTION("""COMPUTED_VALUE"""),"SMU")</f>
        <v>SMU</v>
      </c>
      <c r="CO5" t="str">
        <f>IFERROR(__xludf.DUMMYFUNCTION("""COMPUTED_VALUE"""),"South Alabama")</f>
        <v>South Alabama</v>
      </c>
      <c r="CP5" t="str">
        <f>IFERROR(__xludf.DUMMYFUNCTION("""COMPUTED_VALUE"""),"South Carolina")</f>
        <v>South Carolina</v>
      </c>
      <c r="CQ5" t="str">
        <f>IFERROR(__xludf.DUMMYFUNCTION("""COMPUTED_VALUE"""),"South Florida")</f>
        <v>South Florida</v>
      </c>
      <c r="CR5" t="str">
        <f>IFERROR(__xludf.DUMMYFUNCTION("""COMPUTED_VALUE"""),"Southern Mississippi")</f>
        <v>Southern Mississippi</v>
      </c>
      <c r="CS5" t="str">
        <f>IFERROR(__xludf.DUMMYFUNCTION("""COMPUTED_VALUE"""),"Stanford")</f>
        <v>Stanford</v>
      </c>
      <c r="CT5" t="str">
        <f>IFERROR(__xludf.DUMMYFUNCTION("""COMPUTED_VALUE"""),"Syracuse")</f>
        <v>Syracuse</v>
      </c>
      <c r="CU5" t="str">
        <f>IFERROR(__xludf.DUMMYFUNCTION("""COMPUTED_VALUE"""),"TCU")</f>
        <v>TCU</v>
      </c>
      <c r="CV5" t="str">
        <f>IFERROR(__xludf.DUMMYFUNCTION("""COMPUTED_VALUE"""),"Temple")</f>
        <v>Temple</v>
      </c>
      <c r="CW5" t="str">
        <f>IFERROR(__xludf.DUMMYFUNCTION("""COMPUTED_VALUE"""),"Tennessee")</f>
        <v>Tennessee</v>
      </c>
      <c r="CX5" t="str">
        <f>IFERROR(__xludf.DUMMYFUNCTION("""COMPUTED_VALUE"""),"Texas")</f>
        <v>Texas</v>
      </c>
      <c r="CY5" t="str">
        <f>IFERROR(__xludf.DUMMYFUNCTION("""COMPUTED_VALUE"""),"Texas A&amp;M")</f>
        <v>Texas A&amp;M</v>
      </c>
      <c r="CZ5" t="str">
        <f>IFERROR(__xludf.DUMMYFUNCTION("""COMPUTED_VALUE"""),"Texas State")</f>
        <v>Texas State</v>
      </c>
      <c r="DA5" t="str">
        <f>IFERROR(__xludf.DUMMYFUNCTION("""COMPUTED_VALUE"""),"Texas Tech")</f>
        <v>Texas Tech</v>
      </c>
      <c r="DB5" t="str">
        <f>IFERROR(__xludf.DUMMYFUNCTION("""COMPUTED_VALUE"""),"Toledo")</f>
        <v>Toledo</v>
      </c>
      <c r="DC5" t="str">
        <f>IFERROR(__xludf.DUMMYFUNCTION("""COMPUTED_VALUE"""),"Troy")</f>
        <v>Troy</v>
      </c>
      <c r="DD5" t="str">
        <f>IFERROR(__xludf.DUMMYFUNCTION("""COMPUTED_VALUE"""),"Tulane")</f>
        <v>Tulane</v>
      </c>
      <c r="DE5" t="str">
        <f>IFERROR(__xludf.DUMMYFUNCTION("""COMPUTED_VALUE"""),"Tulsa")</f>
        <v>Tulsa</v>
      </c>
      <c r="DF5" t="str">
        <f>IFERROR(__xludf.DUMMYFUNCTION("""COMPUTED_VALUE"""),"UAB")</f>
        <v>UAB</v>
      </c>
      <c r="DG5" t="str">
        <f>IFERROR(__xludf.DUMMYFUNCTION("""COMPUTED_VALUE"""),"UCF")</f>
        <v>UCF</v>
      </c>
      <c r="DH5" t="str">
        <f>IFERROR(__xludf.DUMMYFUNCTION("""COMPUTED_VALUE"""),"UCLA")</f>
        <v>UCLA</v>
      </c>
      <c r="DI5" t="str">
        <f>IFERROR(__xludf.DUMMYFUNCTION("""COMPUTED_VALUE"""),"UConn")</f>
        <v>UConn</v>
      </c>
      <c r="DJ5" t="str">
        <f>IFERROR(__xludf.DUMMYFUNCTION("""COMPUTED_VALUE"""),"UL Lafayette")</f>
        <v>UL Lafayette</v>
      </c>
      <c r="DK5" t="str">
        <f>IFERROR(__xludf.DUMMYFUNCTION("""COMPUTED_VALUE"""),"UL Monroe")</f>
        <v>UL Monroe</v>
      </c>
      <c r="DL5" t="str">
        <f>IFERROR(__xludf.DUMMYFUNCTION("""COMPUTED_VALUE"""),"UMASS")</f>
        <v>UMASS</v>
      </c>
      <c r="DM5" t="str">
        <f>IFERROR(__xludf.DUMMYFUNCTION("""COMPUTED_VALUE"""),"UNLV")</f>
        <v>UNLV</v>
      </c>
      <c r="DN5" t="str">
        <f>IFERROR(__xludf.DUMMYFUNCTION("""COMPUTED_VALUE"""),"USC")</f>
        <v>USC</v>
      </c>
      <c r="DO5" t="str">
        <f>IFERROR(__xludf.DUMMYFUNCTION("""COMPUTED_VALUE"""),"Utah")</f>
        <v>Utah</v>
      </c>
      <c r="DP5" t="str">
        <f>IFERROR(__xludf.DUMMYFUNCTION("""COMPUTED_VALUE"""),"Utah State")</f>
        <v>Utah State</v>
      </c>
      <c r="DQ5" t="str">
        <f>IFERROR(__xludf.DUMMYFUNCTION("""COMPUTED_VALUE"""),"UTEP")</f>
        <v>UTEP</v>
      </c>
      <c r="DR5" t="str">
        <f>IFERROR(__xludf.DUMMYFUNCTION("""COMPUTED_VALUE"""),"UTSA")</f>
        <v>UTSA</v>
      </c>
      <c r="DS5" t="str">
        <f>IFERROR(__xludf.DUMMYFUNCTION("""COMPUTED_VALUE"""),"Vanderbilt")</f>
        <v>Vanderbilt</v>
      </c>
      <c r="DT5" t="str">
        <f>IFERROR(__xludf.DUMMYFUNCTION("""COMPUTED_VALUE"""),"Virginia")</f>
        <v>Virginia</v>
      </c>
      <c r="DU5" t="str">
        <f>IFERROR(__xludf.DUMMYFUNCTION("""COMPUTED_VALUE"""),"Virginia Tech")</f>
        <v>Virginia Tech</v>
      </c>
      <c r="DV5" t="str">
        <f>IFERROR(__xludf.DUMMYFUNCTION("""COMPUTED_VALUE"""),"Wake Forest")</f>
        <v>Wake Forest</v>
      </c>
      <c r="DW5" t="str">
        <f>IFERROR(__xludf.DUMMYFUNCTION("""COMPUTED_VALUE"""),"Washington")</f>
        <v>Washington</v>
      </c>
      <c r="DX5" t="str">
        <f>IFERROR(__xludf.DUMMYFUNCTION("""COMPUTED_VALUE"""),"Washington State")</f>
        <v>Washington State</v>
      </c>
      <c r="DY5" t="str">
        <f>IFERROR(__xludf.DUMMYFUNCTION("""COMPUTED_VALUE"""),"West Virginia")</f>
        <v>West Virginia</v>
      </c>
      <c r="DZ5" t="str">
        <f>IFERROR(__xludf.DUMMYFUNCTION("""COMPUTED_VALUE"""),"Western Kentucky")</f>
        <v>Western Kentucky</v>
      </c>
      <c r="EA5" t="str">
        <f>IFERROR(__xludf.DUMMYFUNCTION("""COMPUTED_VALUE"""),"Western Michigan")</f>
        <v>Western Michigan</v>
      </c>
      <c r="EB5" t="str">
        <f>IFERROR(__xludf.DUMMYFUNCTION("""COMPUTED_VALUE"""),"Wisconsin")</f>
        <v>Wisconsin</v>
      </c>
      <c r="EC5" t="str">
        <f>IFERROR(__xludf.DUMMYFUNCTION("""COMPUTED_VALUE"""),"Wyoming")</f>
        <v>Wyoming</v>
      </c>
    </row>
    <row r="6">
      <c r="A6" s="1">
        <v>5.0</v>
      </c>
      <c r="B6" t="str">
        <f>IFERROR(__xludf.DUMMYFUNCTION("split(join("","",sort(byrow('Teams-Conference'!A$2:A1000,lambda(rw,if(iserror(match(rw,DraftTracker!F$1:F6,0)),rw,""""))),1,1)),"","",1,1)"),"Air Force")</f>
        <v>Air Force</v>
      </c>
      <c r="C6" t="str">
        <f>IFERROR(__xludf.DUMMYFUNCTION("""COMPUTED_VALUE"""),"Akron")</f>
        <v>Akron</v>
      </c>
      <c r="D6" t="str">
        <f>IFERROR(__xludf.DUMMYFUNCTION("""COMPUTED_VALUE"""),"Alabama")</f>
        <v>Alabama</v>
      </c>
      <c r="E6" t="str">
        <f>IFERROR(__xludf.DUMMYFUNCTION("""COMPUTED_VALUE"""),"Appalachian State")</f>
        <v>Appalachian State</v>
      </c>
      <c r="F6" t="str">
        <f>IFERROR(__xludf.DUMMYFUNCTION("""COMPUTED_VALUE"""),"Arizona")</f>
        <v>Arizona</v>
      </c>
      <c r="G6" t="str">
        <f>IFERROR(__xludf.DUMMYFUNCTION("""COMPUTED_VALUE"""),"Arizona State")</f>
        <v>Arizona State</v>
      </c>
      <c r="H6" t="str">
        <f>IFERROR(__xludf.DUMMYFUNCTION("""COMPUTED_VALUE"""),"Arkansas")</f>
        <v>Arkansas</v>
      </c>
      <c r="I6" t="str">
        <f>IFERROR(__xludf.DUMMYFUNCTION("""COMPUTED_VALUE"""),"Arkansas State")</f>
        <v>Arkansas State</v>
      </c>
      <c r="J6" t="str">
        <f>IFERROR(__xludf.DUMMYFUNCTION("""COMPUTED_VALUE"""),"Army")</f>
        <v>Army</v>
      </c>
      <c r="K6" t="str">
        <f>IFERROR(__xludf.DUMMYFUNCTION("""COMPUTED_VALUE"""),"Auburn")</f>
        <v>Auburn</v>
      </c>
      <c r="L6" t="str">
        <f>IFERROR(__xludf.DUMMYFUNCTION("""COMPUTED_VALUE"""),"Ball State")</f>
        <v>Ball State</v>
      </c>
      <c r="M6" t="str">
        <f>IFERROR(__xludf.DUMMYFUNCTION("""COMPUTED_VALUE"""),"Baylor")</f>
        <v>Baylor</v>
      </c>
      <c r="N6" t="str">
        <f>IFERROR(__xludf.DUMMYFUNCTION("""COMPUTED_VALUE"""),"Boston College")</f>
        <v>Boston College</v>
      </c>
      <c r="O6" t="str">
        <f>IFERROR(__xludf.DUMMYFUNCTION("""COMPUTED_VALUE"""),"Bowling Green")</f>
        <v>Bowling Green</v>
      </c>
      <c r="P6" t="str">
        <f>IFERROR(__xludf.DUMMYFUNCTION("""COMPUTED_VALUE"""),"Buffalo")</f>
        <v>Buffalo</v>
      </c>
      <c r="Q6" t="str">
        <f>IFERROR(__xludf.DUMMYFUNCTION("""COMPUTED_VALUE"""),"BYU")</f>
        <v>BYU</v>
      </c>
      <c r="R6" t="str">
        <f>IFERROR(__xludf.DUMMYFUNCTION("""COMPUTED_VALUE"""),"California")</f>
        <v>California</v>
      </c>
      <c r="S6" t="str">
        <f>IFERROR(__xludf.DUMMYFUNCTION("""COMPUTED_VALUE"""),"Central Michigan")</f>
        <v>Central Michigan</v>
      </c>
      <c r="T6" t="str">
        <f>IFERROR(__xludf.DUMMYFUNCTION("""COMPUTED_VALUE"""),"Charlotte")</f>
        <v>Charlotte</v>
      </c>
      <c r="U6" t="str">
        <f>IFERROR(__xludf.DUMMYFUNCTION("""COMPUTED_VALUE"""),"Cincinnati")</f>
        <v>Cincinnati</v>
      </c>
      <c r="V6" t="str">
        <f>IFERROR(__xludf.DUMMYFUNCTION("""COMPUTED_VALUE"""),"Clemson")</f>
        <v>Clemson</v>
      </c>
      <c r="W6" t="str">
        <f>IFERROR(__xludf.DUMMYFUNCTION("""COMPUTED_VALUE"""),"Coastal Carolina")</f>
        <v>Coastal Carolina</v>
      </c>
      <c r="X6" t="str">
        <f>IFERROR(__xludf.DUMMYFUNCTION("""COMPUTED_VALUE"""),"Colorado")</f>
        <v>Colorado</v>
      </c>
      <c r="Y6" t="str">
        <f>IFERROR(__xludf.DUMMYFUNCTION("""COMPUTED_VALUE"""),"Colorado State")</f>
        <v>Colorado State</v>
      </c>
      <c r="Z6" t="str">
        <f>IFERROR(__xludf.DUMMYFUNCTION("""COMPUTED_VALUE"""),"Delaware")</f>
        <v>Delaware</v>
      </c>
      <c r="AA6" t="str">
        <f>IFERROR(__xludf.DUMMYFUNCTION("""COMPUTED_VALUE"""),"Duke")</f>
        <v>Duke</v>
      </c>
      <c r="AB6" t="str">
        <f>IFERROR(__xludf.DUMMYFUNCTION("""COMPUTED_VALUE"""),"East Carolina")</f>
        <v>East Carolina</v>
      </c>
      <c r="AC6" t="str">
        <f>IFERROR(__xludf.DUMMYFUNCTION("""COMPUTED_VALUE"""),"EMU")</f>
        <v>EMU</v>
      </c>
      <c r="AD6" t="str">
        <f>IFERROR(__xludf.DUMMYFUNCTION("""COMPUTED_VALUE"""),"Florida")</f>
        <v>Florida</v>
      </c>
      <c r="AE6" t="str">
        <f>IFERROR(__xludf.DUMMYFUNCTION("""COMPUTED_VALUE"""),"Florida Atlantic")</f>
        <v>Florida Atlantic</v>
      </c>
      <c r="AF6" t="str">
        <f>IFERROR(__xludf.DUMMYFUNCTION("""COMPUTED_VALUE"""),"Florida Intl")</f>
        <v>Florida Intl</v>
      </c>
      <c r="AG6" t="str">
        <f>IFERROR(__xludf.DUMMYFUNCTION("""COMPUTED_VALUE"""),"Florida State")</f>
        <v>Florida State</v>
      </c>
      <c r="AH6" t="str">
        <f>IFERROR(__xludf.DUMMYFUNCTION("""COMPUTED_VALUE"""),"Fresno State")</f>
        <v>Fresno State</v>
      </c>
      <c r="AI6" t="str">
        <f>IFERROR(__xludf.DUMMYFUNCTION("""COMPUTED_VALUE"""),"Georgia")</f>
        <v>Georgia</v>
      </c>
      <c r="AJ6" t="str">
        <f>IFERROR(__xludf.DUMMYFUNCTION("""COMPUTED_VALUE"""),"Georgia Southern")</f>
        <v>Georgia Southern</v>
      </c>
      <c r="AK6" t="str">
        <f>IFERROR(__xludf.DUMMYFUNCTION("""COMPUTED_VALUE"""),"Georgia State")</f>
        <v>Georgia State</v>
      </c>
      <c r="AL6" t="str">
        <f>IFERROR(__xludf.DUMMYFUNCTION("""COMPUTED_VALUE"""),"Georgia Tech")</f>
        <v>Georgia Tech</v>
      </c>
      <c r="AM6" t="str">
        <f>IFERROR(__xludf.DUMMYFUNCTION("""COMPUTED_VALUE"""),"Hawaii")</f>
        <v>Hawaii</v>
      </c>
      <c r="AN6" t="str">
        <f>IFERROR(__xludf.DUMMYFUNCTION("""COMPUTED_VALUE"""),"Houston")</f>
        <v>Houston</v>
      </c>
      <c r="AO6" t="str">
        <f>IFERROR(__xludf.DUMMYFUNCTION("""COMPUTED_VALUE"""),"Illinois")</f>
        <v>Illinois</v>
      </c>
      <c r="AP6" t="str">
        <f>IFERROR(__xludf.DUMMYFUNCTION("""COMPUTED_VALUE"""),"Indiana")</f>
        <v>Indiana</v>
      </c>
      <c r="AQ6" t="str">
        <f>IFERROR(__xludf.DUMMYFUNCTION("""COMPUTED_VALUE"""),"Iowa")</f>
        <v>Iowa</v>
      </c>
      <c r="AR6" t="str">
        <f>IFERROR(__xludf.DUMMYFUNCTION("""COMPUTED_VALUE"""),"Iowa State")</f>
        <v>Iowa State</v>
      </c>
      <c r="AS6" t="str">
        <f>IFERROR(__xludf.DUMMYFUNCTION("""COMPUTED_VALUE"""),"Jacksonville State")</f>
        <v>Jacksonville State</v>
      </c>
      <c r="AT6" t="str">
        <f>IFERROR(__xludf.DUMMYFUNCTION("""COMPUTED_VALUE"""),"James Madison")</f>
        <v>James Madison</v>
      </c>
      <c r="AU6" t="str">
        <f>IFERROR(__xludf.DUMMYFUNCTION("""COMPUTED_VALUE"""),"Kansas")</f>
        <v>Kansas</v>
      </c>
      <c r="AV6" t="str">
        <f>IFERROR(__xludf.DUMMYFUNCTION("""COMPUTED_VALUE"""),"Kansas State")</f>
        <v>Kansas State</v>
      </c>
      <c r="AW6" t="str">
        <f>IFERROR(__xludf.DUMMYFUNCTION("""COMPUTED_VALUE"""),"Kennesaw State")</f>
        <v>Kennesaw State</v>
      </c>
      <c r="AX6" t="str">
        <f>IFERROR(__xludf.DUMMYFUNCTION("""COMPUTED_VALUE"""),"Kent State")</f>
        <v>Kent State</v>
      </c>
      <c r="AY6" t="str">
        <f>IFERROR(__xludf.DUMMYFUNCTION("""COMPUTED_VALUE"""),"Kentucky")</f>
        <v>Kentucky</v>
      </c>
      <c r="AZ6" t="str">
        <f>IFERROR(__xludf.DUMMYFUNCTION("""COMPUTED_VALUE"""),"Louisiana Tech")</f>
        <v>Louisiana Tech</v>
      </c>
      <c r="BA6" t="str">
        <f>IFERROR(__xludf.DUMMYFUNCTION("""COMPUTED_VALUE"""),"Louisville")</f>
        <v>Louisville</v>
      </c>
      <c r="BB6" t="str">
        <f>IFERROR(__xludf.DUMMYFUNCTION("""COMPUTED_VALUE"""),"LSU")</f>
        <v>LSU</v>
      </c>
      <c r="BC6" t="str">
        <f>IFERROR(__xludf.DUMMYFUNCTION("""COMPUTED_VALUE"""),"Marshall")</f>
        <v>Marshall</v>
      </c>
      <c r="BD6" t="str">
        <f>IFERROR(__xludf.DUMMYFUNCTION("""COMPUTED_VALUE"""),"Maryland")</f>
        <v>Maryland</v>
      </c>
      <c r="BE6" t="str">
        <f>IFERROR(__xludf.DUMMYFUNCTION("""COMPUTED_VALUE"""),"Memphis")</f>
        <v>Memphis</v>
      </c>
      <c r="BF6" t="str">
        <f>IFERROR(__xludf.DUMMYFUNCTION("""COMPUTED_VALUE"""),"Miami")</f>
        <v>Miami</v>
      </c>
      <c r="BG6" t="str">
        <f>IFERROR(__xludf.DUMMYFUNCTION("""COMPUTED_VALUE"""),"Miami-OH")</f>
        <v>Miami-OH</v>
      </c>
      <c r="BH6" t="str">
        <f>IFERROR(__xludf.DUMMYFUNCTION("""COMPUTED_VALUE"""),"Michigan")</f>
        <v>Michigan</v>
      </c>
      <c r="BI6" t="str">
        <f>IFERROR(__xludf.DUMMYFUNCTION("""COMPUTED_VALUE"""),"Michigan State")</f>
        <v>Michigan State</v>
      </c>
      <c r="BJ6" t="str">
        <f>IFERROR(__xludf.DUMMYFUNCTION("""COMPUTED_VALUE"""),"Middle Tennessee")</f>
        <v>Middle Tennessee</v>
      </c>
      <c r="BK6" t="str">
        <f>IFERROR(__xludf.DUMMYFUNCTION("""COMPUTED_VALUE"""),"Minnesota")</f>
        <v>Minnesota</v>
      </c>
      <c r="BL6" t="str">
        <f>IFERROR(__xludf.DUMMYFUNCTION("""COMPUTED_VALUE"""),"Mississippi State")</f>
        <v>Mississippi State</v>
      </c>
      <c r="BM6" t="str">
        <f>IFERROR(__xludf.DUMMYFUNCTION("""COMPUTED_VALUE"""),"Missouri")</f>
        <v>Missouri</v>
      </c>
      <c r="BN6" t="str">
        <f>IFERROR(__xludf.DUMMYFUNCTION("""COMPUTED_VALUE"""),"Missouri State")</f>
        <v>Missouri State</v>
      </c>
      <c r="BO6" t="str">
        <f>IFERROR(__xludf.DUMMYFUNCTION("""COMPUTED_VALUE"""),"Navy")</f>
        <v>Navy</v>
      </c>
      <c r="BP6" t="str">
        <f>IFERROR(__xludf.DUMMYFUNCTION("""COMPUTED_VALUE"""),"NC State")</f>
        <v>NC State</v>
      </c>
      <c r="BQ6" t="str">
        <f>IFERROR(__xludf.DUMMYFUNCTION("""COMPUTED_VALUE"""),"Nebraska")</f>
        <v>Nebraska</v>
      </c>
      <c r="BR6" t="str">
        <f>IFERROR(__xludf.DUMMYFUNCTION("""COMPUTED_VALUE"""),"Nevada")</f>
        <v>Nevada</v>
      </c>
      <c r="BS6" t="str">
        <f>IFERROR(__xludf.DUMMYFUNCTION("""COMPUTED_VALUE"""),"New Mexico")</f>
        <v>New Mexico</v>
      </c>
      <c r="BT6" t="str">
        <f>IFERROR(__xludf.DUMMYFUNCTION("""COMPUTED_VALUE"""),"New Mexico State")</f>
        <v>New Mexico State</v>
      </c>
      <c r="BU6" t="str">
        <f>IFERROR(__xludf.DUMMYFUNCTION("""COMPUTED_VALUE"""),"North Carolina")</f>
        <v>North Carolina</v>
      </c>
      <c r="BV6" t="str">
        <f>IFERROR(__xludf.DUMMYFUNCTION("""COMPUTED_VALUE"""),"North Texas")</f>
        <v>North Texas</v>
      </c>
      <c r="BW6" t="str">
        <f>IFERROR(__xludf.DUMMYFUNCTION("""COMPUTED_VALUE"""),"Northern Illinois")</f>
        <v>Northern Illinois</v>
      </c>
      <c r="BX6" t="str">
        <f>IFERROR(__xludf.DUMMYFUNCTION("""COMPUTED_VALUE"""),"Northwestern")</f>
        <v>Northwestern</v>
      </c>
      <c r="BY6" t="str">
        <f>IFERROR(__xludf.DUMMYFUNCTION("""COMPUTED_VALUE"""),"Notre Dame")</f>
        <v>Notre Dame</v>
      </c>
      <c r="BZ6" t="str">
        <f>IFERROR(__xludf.DUMMYFUNCTION("""COMPUTED_VALUE"""),"Ohio")</f>
        <v>Ohio</v>
      </c>
      <c r="CA6" t="str">
        <f>IFERROR(__xludf.DUMMYFUNCTION("""COMPUTED_VALUE"""),"Oklahoma")</f>
        <v>Oklahoma</v>
      </c>
      <c r="CB6" t="str">
        <f>IFERROR(__xludf.DUMMYFUNCTION("""COMPUTED_VALUE"""),"Oklahoma State")</f>
        <v>Oklahoma State</v>
      </c>
      <c r="CC6" t="str">
        <f>IFERROR(__xludf.DUMMYFUNCTION("""COMPUTED_VALUE"""),"Old Dominion")</f>
        <v>Old Dominion</v>
      </c>
      <c r="CD6" t="str">
        <f>IFERROR(__xludf.DUMMYFUNCTION("""COMPUTED_VALUE"""),"Ole Miss")</f>
        <v>Ole Miss</v>
      </c>
      <c r="CE6" t="str">
        <f>IFERROR(__xludf.DUMMYFUNCTION("""COMPUTED_VALUE"""),"Oregon State")</f>
        <v>Oregon State</v>
      </c>
      <c r="CF6" t="str">
        <f>IFERROR(__xludf.DUMMYFUNCTION("""COMPUTED_VALUE"""),"Pittsburgh")</f>
        <v>Pittsburgh</v>
      </c>
      <c r="CG6" t="str">
        <f>IFERROR(__xludf.DUMMYFUNCTION("""COMPUTED_VALUE"""),"Purdue")</f>
        <v>Purdue</v>
      </c>
      <c r="CH6" t="str">
        <f>IFERROR(__xludf.DUMMYFUNCTION("""COMPUTED_VALUE"""),"Rice")</f>
        <v>Rice</v>
      </c>
      <c r="CI6" t="str">
        <f>IFERROR(__xludf.DUMMYFUNCTION("""COMPUTED_VALUE"""),"Rutgers")</f>
        <v>Rutgers</v>
      </c>
      <c r="CJ6" t="str">
        <f>IFERROR(__xludf.DUMMYFUNCTION("""COMPUTED_VALUE"""),"Sam Houston")</f>
        <v>Sam Houston</v>
      </c>
      <c r="CK6" t="str">
        <f>IFERROR(__xludf.DUMMYFUNCTION("""COMPUTED_VALUE"""),"San Diego State")</f>
        <v>San Diego State</v>
      </c>
      <c r="CL6" t="str">
        <f>IFERROR(__xludf.DUMMYFUNCTION("""COMPUTED_VALUE"""),"San José State")</f>
        <v>San José State</v>
      </c>
      <c r="CM6" t="str">
        <f>IFERROR(__xludf.DUMMYFUNCTION("""COMPUTED_VALUE"""),"SMU")</f>
        <v>SMU</v>
      </c>
      <c r="CN6" t="str">
        <f>IFERROR(__xludf.DUMMYFUNCTION("""COMPUTED_VALUE"""),"South Alabama")</f>
        <v>South Alabama</v>
      </c>
      <c r="CO6" t="str">
        <f>IFERROR(__xludf.DUMMYFUNCTION("""COMPUTED_VALUE"""),"South Carolina")</f>
        <v>South Carolina</v>
      </c>
      <c r="CP6" t="str">
        <f>IFERROR(__xludf.DUMMYFUNCTION("""COMPUTED_VALUE"""),"South Florida")</f>
        <v>South Florida</v>
      </c>
      <c r="CQ6" t="str">
        <f>IFERROR(__xludf.DUMMYFUNCTION("""COMPUTED_VALUE"""),"Southern Mississippi")</f>
        <v>Southern Mississippi</v>
      </c>
      <c r="CR6" t="str">
        <f>IFERROR(__xludf.DUMMYFUNCTION("""COMPUTED_VALUE"""),"Stanford")</f>
        <v>Stanford</v>
      </c>
      <c r="CS6" t="str">
        <f>IFERROR(__xludf.DUMMYFUNCTION("""COMPUTED_VALUE"""),"Syracuse")</f>
        <v>Syracuse</v>
      </c>
      <c r="CT6" t="str">
        <f>IFERROR(__xludf.DUMMYFUNCTION("""COMPUTED_VALUE"""),"TCU")</f>
        <v>TCU</v>
      </c>
      <c r="CU6" t="str">
        <f>IFERROR(__xludf.DUMMYFUNCTION("""COMPUTED_VALUE"""),"Temple")</f>
        <v>Temple</v>
      </c>
      <c r="CV6" t="str">
        <f>IFERROR(__xludf.DUMMYFUNCTION("""COMPUTED_VALUE"""),"Tennessee")</f>
        <v>Tennessee</v>
      </c>
      <c r="CW6" t="str">
        <f>IFERROR(__xludf.DUMMYFUNCTION("""COMPUTED_VALUE"""),"Texas")</f>
        <v>Texas</v>
      </c>
      <c r="CX6" t="str">
        <f>IFERROR(__xludf.DUMMYFUNCTION("""COMPUTED_VALUE"""),"Texas A&amp;M")</f>
        <v>Texas A&amp;M</v>
      </c>
      <c r="CY6" t="str">
        <f>IFERROR(__xludf.DUMMYFUNCTION("""COMPUTED_VALUE"""),"Texas State")</f>
        <v>Texas State</v>
      </c>
      <c r="CZ6" t="str">
        <f>IFERROR(__xludf.DUMMYFUNCTION("""COMPUTED_VALUE"""),"Texas Tech")</f>
        <v>Texas Tech</v>
      </c>
      <c r="DA6" t="str">
        <f>IFERROR(__xludf.DUMMYFUNCTION("""COMPUTED_VALUE"""),"Toledo")</f>
        <v>Toledo</v>
      </c>
      <c r="DB6" t="str">
        <f>IFERROR(__xludf.DUMMYFUNCTION("""COMPUTED_VALUE"""),"Troy")</f>
        <v>Troy</v>
      </c>
      <c r="DC6" t="str">
        <f>IFERROR(__xludf.DUMMYFUNCTION("""COMPUTED_VALUE"""),"Tulane")</f>
        <v>Tulane</v>
      </c>
      <c r="DD6" t="str">
        <f>IFERROR(__xludf.DUMMYFUNCTION("""COMPUTED_VALUE"""),"Tulsa")</f>
        <v>Tulsa</v>
      </c>
      <c r="DE6" t="str">
        <f>IFERROR(__xludf.DUMMYFUNCTION("""COMPUTED_VALUE"""),"UAB")</f>
        <v>UAB</v>
      </c>
      <c r="DF6" t="str">
        <f>IFERROR(__xludf.DUMMYFUNCTION("""COMPUTED_VALUE"""),"UCF")</f>
        <v>UCF</v>
      </c>
      <c r="DG6" t="str">
        <f>IFERROR(__xludf.DUMMYFUNCTION("""COMPUTED_VALUE"""),"UCLA")</f>
        <v>UCLA</v>
      </c>
      <c r="DH6" t="str">
        <f>IFERROR(__xludf.DUMMYFUNCTION("""COMPUTED_VALUE"""),"UConn")</f>
        <v>UConn</v>
      </c>
      <c r="DI6" t="str">
        <f>IFERROR(__xludf.DUMMYFUNCTION("""COMPUTED_VALUE"""),"UL Lafayette")</f>
        <v>UL Lafayette</v>
      </c>
      <c r="DJ6" t="str">
        <f>IFERROR(__xludf.DUMMYFUNCTION("""COMPUTED_VALUE"""),"UL Monroe")</f>
        <v>UL Monroe</v>
      </c>
      <c r="DK6" t="str">
        <f>IFERROR(__xludf.DUMMYFUNCTION("""COMPUTED_VALUE"""),"UMASS")</f>
        <v>UMASS</v>
      </c>
      <c r="DL6" t="str">
        <f>IFERROR(__xludf.DUMMYFUNCTION("""COMPUTED_VALUE"""),"UNLV")</f>
        <v>UNLV</v>
      </c>
      <c r="DM6" t="str">
        <f>IFERROR(__xludf.DUMMYFUNCTION("""COMPUTED_VALUE"""),"USC")</f>
        <v>USC</v>
      </c>
      <c r="DN6" t="str">
        <f>IFERROR(__xludf.DUMMYFUNCTION("""COMPUTED_VALUE"""),"Utah")</f>
        <v>Utah</v>
      </c>
      <c r="DO6" t="str">
        <f>IFERROR(__xludf.DUMMYFUNCTION("""COMPUTED_VALUE"""),"Utah State")</f>
        <v>Utah State</v>
      </c>
      <c r="DP6" t="str">
        <f>IFERROR(__xludf.DUMMYFUNCTION("""COMPUTED_VALUE"""),"UTEP")</f>
        <v>UTEP</v>
      </c>
      <c r="DQ6" t="str">
        <f>IFERROR(__xludf.DUMMYFUNCTION("""COMPUTED_VALUE"""),"UTSA")</f>
        <v>UTSA</v>
      </c>
      <c r="DR6" t="str">
        <f>IFERROR(__xludf.DUMMYFUNCTION("""COMPUTED_VALUE"""),"Vanderbilt")</f>
        <v>Vanderbilt</v>
      </c>
      <c r="DS6" t="str">
        <f>IFERROR(__xludf.DUMMYFUNCTION("""COMPUTED_VALUE"""),"Virginia")</f>
        <v>Virginia</v>
      </c>
      <c r="DT6" t="str">
        <f>IFERROR(__xludf.DUMMYFUNCTION("""COMPUTED_VALUE"""),"Virginia Tech")</f>
        <v>Virginia Tech</v>
      </c>
      <c r="DU6" t="str">
        <f>IFERROR(__xludf.DUMMYFUNCTION("""COMPUTED_VALUE"""),"Wake Forest")</f>
        <v>Wake Forest</v>
      </c>
      <c r="DV6" t="str">
        <f>IFERROR(__xludf.DUMMYFUNCTION("""COMPUTED_VALUE"""),"Washington")</f>
        <v>Washington</v>
      </c>
      <c r="DW6" t="str">
        <f>IFERROR(__xludf.DUMMYFUNCTION("""COMPUTED_VALUE"""),"Washington State")</f>
        <v>Washington State</v>
      </c>
      <c r="DX6" t="str">
        <f>IFERROR(__xludf.DUMMYFUNCTION("""COMPUTED_VALUE"""),"West Virginia")</f>
        <v>West Virginia</v>
      </c>
      <c r="DY6" t="str">
        <f>IFERROR(__xludf.DUMMYFUNCTION("""COMPUTED_VALUE"""),"Western Kentucky")</f>
        <v>Western Kentucky</v>
      </c>
      <c r="DZ6" t="str">
        <f>IFERROR(__xludf.DUMMYFUNCTION("""COMPUTED_VALUE"""),"Western Michigan")</f>
        <v>Western Michigan</v>
      </c>
      <c r="EA6" t="str">
        <f>IFERROR(__xludf.DUMMYFUNCTION("""COMPUTED_VALUE"""),"Wisconsin")</f>
        <v>Wisconsin</v>
      </c>
      <c r="EB6" t="str">
        <f>IFERROR(__xludf.DUMMYFUNCTION("""COMPUTED_VALUE"""),"Wyoming")</f>
        <v>Wyoming</v>
      </c>
    </row>
    <row r="7">
      <c r="A7" s="1">
        <v>6.0</v>
      </c>
      <c r="B7" t="str">
        <f>IFERROR(__xludf.DUMMYFUNCTION("split(join("","",sort(byrow('Teams-Conference'!A$2:A1000,lambda(rw,if(iserror(match(rw,DraftTracker!F$1:F7,0)),rw,""""))),1,1)),"","",1,1)"),"Air Force")</f>
        <v>Air Force</v>
      </c>
      <c r="C7" t="str">
        <f>IFERROR(__xludf.DUMMYFUNCTION("""COMPUTED_VALUE"""),"Akron")</f>
        <v>Akron</v>
      </c>
      <c r="D7" t="str">
        <f>IFERROR(__xludf.DUMMYFUNCTION("""COMPUTED_VALUE"""),"Alabama")</f>
        <v>Alabama</v>
      </c>
      <c r="E7" t="str">
        <f>IFERROR(__xludf.DUMMYFUNCTION("""COMPUTED_VALUE"""),"Appalachian State")</f>
        <v>Appalachian State</v>
      </c>
      <c r="F7" t="str">
        <f>IFERROR(__xludf.DUMMYFUNCTION("""COMPUTED_VALUE"""),"Arizona")</f>
        <v>Arizona</v>
      </c>
      <c r="G7" t="str">
        <f>IFERROR(__xludf.DUMMYFUNCTION("""COMPUTED_VALUE"""),"Arizona State")</f>
        <v>Arizona State</v>
      </c>
      <c r="H7" t="str">
        <f>IFERROR(__xludf.DUMMYFUNCTION("""COMPUTED_VALUE"""),"Arkansas")</f>
        <v>Arkansas</v>
      </c>
      <c r="I7" t="str">
        <f>IFERROR(__xludf.DUMMYFUNCTION("""COMPUTED_VALUE"""),"Arkansas State")</f>
        <v>Arkansas State</v>
      </c>
      <c r="J7" t="str">
        <f>IFERROR(__xludf.DUMMYFUNCTION("""COMPUTED_VALUE"""),"Army")</f>
        <v>Army</v>
      </c>
      <c r="K7" t="str">
        <f>IFERROR(__xludf.DUMMYFUNCTION("""COMPUTED_VALUE"""),"Auburn")</f>
        <v>Auburn</v>
      </c>
      <c r="L7" t="str">
        <f>IFERROR(__xludf.DUMMYFUNCTION("""COMPUTED_VALUE"""),"Ball State")</f>
        <v>Ball State</v>
      </c>
      <c r="M7" t="str">
        <f>IFERROR(__xludf.DUMMYFUNCTION("""COMPUTED_VALUE"""),"Baylor")</f>
        <v>Baylor</v>
      </c>
      <c r="N7" t="str">
        <f>IFERROR(__xludf.DUMMYFUNCTION("""COMPUTED_VALUE"""),"Boston College")</f>
        <v>Boston College</v>
      </c>
      <c r="O7" t="str">
        <f>IFERROR(__xludf.DUMMYFUNCTION("""COMPUTED_VALUE"""),"Bowling Green")</f>
        <v>Bowling Green</v>
      </c>
      <c r="P7" t="str">
        <f>IFERROR(__xludf.DUMMYFUNCTION("""COMPUTED_VALUE"""),"Buffalo")</f>
        <v>Buffalo</v>
      </c>
      <c r="Q7" t="str">
        <f>IFERROR(__xludf.DUMMYFUNCTION("""COMPUTED_VALUE"""),"BYU")</f>
        <v>BYU</v>
      </c>
      <c r="R7" t="str">
        <f>IFERROR(__xludf.DUMMYFUNCTION("""COMPUTED_VALUE"""),"California")</f>
        <v>California</v>
      </c>
      <c r="S7" t="str">
        <f>IFERROR(__xludf.DUMMYFUNCTION("""COMPUTED_VALUE"""),"Central Michigan")</f>
        <v>Central Michigan</v>
      </c>
      <c r="T7" t="str">
        <f>IFERROR(__xludf.DUMMYFUNCTION("""COMPUTED_VALUE"""),"Charlotte")</f>
        <v>Charlotte</v>
      </c>
      <c r="U7" t="str">
        <f>IFERROR(__xludf.DUMMYFUNCTION("""COMPUTED_VALUE"""),"Cincinnati")</f>
        <v>Cincinnati</v>
      </c>
      <c r="V7" t="str">
        <f>IFERROR(__xludf.DUMMYFUNCTION("""COMPUTED_VALUE"""),"Clemson")</f>
        <v>Clemson</v>
      </c>
      <c r="W7" t="str">
        <f>IFERROR(__xludf.DUMMYFUNCTION("""COMPUTED_VALUE"""),"Coastal Carolina")</f>
        <v>Coastal Carolina</v>
      </c>
      <c r="X7" t="str">
        <f>IFERROR(__xludf.DUMMYFUNCTION("""COMPUTED_VALUE"""),"Colorado")</f>
        <v>Colorado</v>
      </c>
      <c r="Y7" t="str">
        <f>IFERROR(__xludf.DUMMYFUNCTION("""COMPUTED_VALUE"""),"Colorado State")</f>
        <v>Colorado State</v>
      </c>
      <c r="Z7" t="str">
        <f>IFERROR(__xludf.DUMMYFUNCTION("""COMPUTED_VALUE"""),"Delaware")</f>
        <v>Delaware</v>
      </c>
      <c r="AA7" t="str">
        <f>IFERROR(__xludf.DUMMYFUNCTION("""COMPUTED_VALUE"""),"Duke")</f>
        <v>Duke</v>
      </c>
      <c r="AB7" t="str">
        <f>IFERROR(__xludf.DUMMYFUNCTION("""COMPUTED_VALUE"""),"East Carolina")</f>
        <v>East Carolina</v>
      </c>
      <c r="AC7" t="str">
        <f>IFERROR(__xludf.DUMMYFUNCTION("""COMPUTED_VALUE"""),"EMU")</f>
        <v>EMU</v>
      </c>
      <c r="AD7" t="str">
        <f>IFERROR(__xludf.DUMMYFUNCTION("""COMPUTED_VALUE"""),"Florida")</f>
        <v>Florida</v>
      </c>
      <c r="AE7" t="str">
        <f>IFERROR(__xludf.DUMMYFUNCTION("""COMPUTED_VALUE"""),"Florida Atlantic")</f>
        <v>Florida Atlantic</v>
      </c>
      <c r="AF7" t="str">
        <f>IFERROR(__xludf.DUMMYFUNCTION("""COMPUTED_VALUE"""),"Florida Intl")</f>
        <v>Florida Intl</v>
      </c>
      <c r="AG7" t="str">
        <f>IFERROR(__xludf.DUMMYFUNCTION("""COMPUTED_VALUE"""),"Florida State")</f>
        <v>Florida State</v>
      </c>
      <c r="AH7" t="str">
        <f>IFERROR(__xludf.DUMMYFUNCTION("""COMPUTED_VALUE"""),"Fresno State")</f>
        <v>Fresno State</v>
      </c>
      <c r="AI7" t="str">
        <f>IFERROR(__xludf.DUMMYFUNCTION("""COMPUTED_VALUE"""),"Georgia")</f>
        <v>Georgia</v>
      </c>
      <c r="AJ7" t="str">
        <f>IFERROR(__xludf.DUMMYFUNCTION("""COMPUTED_VALUE"""),"Georgia Southern")</f>
        <v>Georgia Southern</v>
      </c>
      <c r="AK7" t="str">
        <f>IFERROR(__xludf.DUMMYFUNCTION("""COMPUTED_VALUE"""),"Georgia State")</f>
        <v>Georgia State</v>
      </c>
      <c r="AL7" t="str">
        <f>IFERROR(__xludf.DUMMYFUNCTION("""COMPUTED_VALUE"""),"Georgia Tech")</f>
        <v>Georgia Tech</v>
      </c>
      <c r="AM7" t="str">
        <f>IFERROR(__xludf.DUMMYFUNCTION("""COMPUTED_VALUE"""),"Hawaii")</f>
        <v>Hawaii</v>
      </c>
      <c r="AN7" t="str">
        <f>IFERROR(__xludf.DUMMYFUNCTION("""COMPUTED_VALUE"""),"Houston")</f>
        <v>Houston</v>
      </c>
      <c r="AO7" t="str">
        <f>IFERROR(__xludf.DUMMYFUNCTION("""COMPUTED_VALUE"""),"Illinois")</f>
        <v>Illinois</v>
      </c>
      <c r="AP7" t="str">
        <f>IFERROR(__xludf.DUMMYFUNCTION("""COMPUTED_VALUE"""),"Indiana")</f>
        <v>Indiana</v>
      </c>
      <c r="AQ7" t="str">
        <f>IFERROR(__xludf.DUMMYFUNCTION("""COMPUTED_VALUE"""),"Iowa")</f>
        <v>Iowa</v>
      </c>
      <c r="AR7" t="str">
        <f>IFERROR(__xludf.DUMMYFUNCTION("""COMPUTED_VALUE"""),"Iowa State")</f>
        <v>Iowa State</v>
      </c>
      <c r="AS7" t="str">
        <f>IFERROR(__xludf.DUMMYFUNCTION("""COMPUTED_VALUE"""),"Jacksonville State")</f>
        <v>Jacksonville State</v>
      </c>
      <c r="AT7" t="str">
        <f>IFERROR(__xludf.DUMMYFUNCTION("""COMPUTED_VALUE"""),"James Madison")</f>
        <v>James Madison</v>
      </c>
      <c r="AU7" t="str">
        <f>IFERROR(__xludf.DUMMYFUNCTION("""COMPUTED_VALUE"""),"Kansas")</f>
        <v>Kansas</v>
      </c>
      <c r="AV7" t="str">
        <f>IFERROR(__xludf.DUMMYFUNCTION("""COMPUTED_VALUE"""),"Kansas State")</f>
        <v>Kansas State</v>
      </c>
      <c r="AW7" t="str">
        <f>IFERROR(__xludf.DUMMYFUNCTION("""COMPUTED_VALUE"""),"Kennesaw State")</f>
        <v>Kennesaw State</v>
      </c>
      <c r="AX7" t="str">
        <f>IFERROR(__xludf.DUMMYFUNCTION("""COMPUTED_VALUE"""),"Kent State")</f>
        <v>Kent State</v>
      </c>
      <c r="AY7" t="str">
        <f>IFERROR(__xludf.DUMMYFUNCTION("""COMPUTED_VALUE"""),"Kentucky")</f>
        <v>Kentucky</v>
      </c>
      <c r="AZ7" t="str">
        <f>IFERROR(__xludf.DUMMYFUNCTION("""COMPUTED_VALUE"""),"Louisiana Tech")</f>
        <v>Louisiana Tech</v>
      </c>
      <c r="BA7" t="str">
        <f>IFERROR(__xludf.DUMMYFUNCTION("""COMPUTED_VALUE"""),"Louisville")</f>
        <v>Louisville</v>
      </c>
      <c r="BB7" t="str">
        <f>IFERROR(__xludf.DUMMYFUNCTION("""COMPUTED_VALUE"""),"LSU")</f>
        <v>LSU</v>
      </c>
      <c r="BC7" t="str">
        <f>IFERROR(__xludf.DUMMYFUNCTION("""COMPUTED_VALUE"""),"Marshall")</f>
        <v>Marshall</v>
      </c>
      <c r="BD7" t="str">
        <f>IFERROR(__xludf.DUMMYFUNCTION("""COMPUTED_VALUE"""),"Maryland")</f>
        <v>Maryland</v>
      </c>
      <c r="BE7" t="str">
        <f>IFERROR(__xludf.DUMMYFUNCTION("""COMPUTED_VALUE"""),"Memphis")</f>
        <v>Memphis</v>
      </c>
      <c r="BF7" t="str">
        <f>IFERROR(__xludf.DUMMYFUNCTION("""COMPUTED_VALUE"""),"Miami")</f>
        <v>Miami</v>
      </c>
      <c r="BG7" t="str">
        <f>IFERROR(__xludf.DUMMYFUNCTION("""COMPUTED_VALUE"""),"Miami-OH")</f>
        <v>Miami-OH</v>
      </c>
      <c r="BH7" t="str">
        <f>IFERROR(__xludf.DUMMYFUNCTION("""COMPUTED_VALUE"""),"Michigan")</f>
        <v>Michigan</v>
      </c>
      <c r="BI7" t="str">
        <f>IFERROR(__xludf.DUMMYFUNCTION("""COMPUTED_VALUE"""),"Michigan State")</f>
        <v>Michigan State</v>
      </c>
      <c r="BJ7" t="str">
        <f>IFERROR(__xludf.DUMMYFUNCTION("""COMPUTED_VALUE"""),"Middle Tennessee")</f>
        <v>Middle Tennessee</v>
      </c>
      <c r="BK7" t="str">
        <f>IFERROR(__xludf.DUMMYFUNCTION("""COMPUTED_VALUE"""),"Minnesota")</f>
        <v>Minnesota</v>
      </c>
      <c r="BL7" t="str">
        <f>IFERROR(__xludf.DUMMYFUNCTION("""COMPUTED_VALUE"""),"Mississippi State")</f>
        <v>Mississippi State</v>
      </c>
      <c r="BM7" t="str">
        <f>IFERROR(__xludf.DUMMYFUNCTION("""COMPUTED_VALUE"""),"Missouri")</f>
        <v>Missouri</v>
      </c>
      <c r="BN7" t="str">
        <f>IFERROR(__xludf.DUMMYFUNCTION("""COMPUTED_VALUE"""),"Missouri State")</f>
        <v>Missouri State</v>
      </c>
      <c r="BO7" t="str">
        <f>IFERROR(__xludf.DUMMYFUNCTION("""COMPUTED_VALUE"""),"Navy")</f>
        <v>Navy</v>
      </c>
      <c r="BP7" t="str">
        <f>IFERROR(__xludf.DUMMYFUNCTION("""COMPUTED_VALUE"""),"NC State")</f>
        <v>NC State</v>
      </c>
      <c r="BQ7" t="str">
        <f>IFERROR(__xludf.DUMMYFUNCTION("""COMPUTED_VALUE"""),"Nebraska")</f>
        <v>Nebraska</v>
      </c>
      <c r="BR7" t="str">
        <f>IFERROR(__xludf.DUMMYFUNCTION("""COMPUTED_VALUE"""),"Nevada")</f>
        <v>Nevada</v>
      </c>
      <c r="BS7" t="str">
        <f>IFERROR(__xludf.DUMMYFUNCTION("""COMPUTED_VALUE"""),"New Mexico")</f>
        <v>New Mexico</v>
      </c>
      <c r="BT7" t="str">
        <f>IFERROR(__xludf.DUMMYFUNCTION("""COMPUTED_VALUE"""),"New Mexico State")</f>
        <v>New Mexico State</v>
      </c>
      <c r="BU7" t="str">
        <f>IFERROR(__xludf.DUMMYFUNCTION("""COMPUTED_VALUE"""),"North Carolina")</f>
        <v>North Carolina</v>
      </c>
      <c r="BV7" t="str">
        <f>IFERROR(__xludf.DUMMYFUNCTION("""COMPUTED_VALUE"""),"North Texas")</f>
        <v>North Texas</v>
      </c>
      <c r="BW7" t="str">
        <f>IFERROR(__xludf.DUMMYFUNCTION("""COMPUTED_VALUE"""),"Northern Illinois")</f>
        <v>Northern Illinois</v>
      </c>
      <c r="BX7" t="str">
        <f>IFERROR(__xludf.DUMMYFUNCTION("""COMPUTED_VALUE"""),"Northwestern")</f>
        <v>Northwestern</v>
      </c>
      <c r="BY7" t="str">
        <f>IFERROR(__xludf.DUMMYFUNCTION("""COMPUTED_VALUE"""),"Notre Dame")</f>
        <v>Notre Dame</v>
      </c>
      <c r="BZ7" t="str">
        <f>IFERROR(__xludf.DUMMYFUNCTION("""COMPUTED_VALUE"""),"Ohio")</f>
        <v>Ohio</v>
      </c>
      <c r="CA7" t="str">
        <f>IFERROR(__xludf.DUMMYFUNCTION("""COMPUTED_VALUE"""),"Oklahoma")</f>
        <v>Oklahoma</v>
      </c>
      <c r="CB7" t="str">
        <f>IFERROR(__xludf.DUMMYFUNCTION("""COMPUTED_VALUE"""),"Oklahoma State")</f>
        <v>Oklahoma State</v>
      </c>
      <c r="CC7" t="str">
        <f>IFERROR(__xludf.DUMMYFUNCTION("""COMPUTED_VALUE"""),"Old Dominion")</f>
        <v>Old Dominion</v>
      </c>
      <c r="CD7" t="str">
        <f>IFERROR(__xludf.DUMMYFUNCTION("""COMPUTED_VALUE"""),"Ole Miss")</f>
        <v>Ole Miss</v>
      </c>
      <c r="CE7" t="str">
        <f>IFERROR(__xludf.DUMMYFUNCTION("""COMPUTED_VALUE"""),"Oregon State")</f>
        <v>Oregon State</v>
      </c>
      <c r="CF7" t="str">
        <f>IFERROR(__xludf.DUMMYFUNCTION("""COMPUTED_VALUE"""),"Pittsburgh")</f>
        <v>Pittsburgh</v>
      </c>
      <c r="CG7" t="str">
        <f>IFERROR(__xludf.DUMMYFUNCTION("""COMPUTED_VALUE"""),"Purdue")</f>
        <v>Purdue</v>
      </c>
      <c r="CH7" t="str">
        <f>IFERROR(__xludf.DUMMYFUNCTION("""COMPUTED_VALUE"""),"Rice")</f>
        <v>Rice</v>
      </c>
      <c r="CI7" t="str">
        <f>IFERROR(__xludf.DUMMYFUNCTION("""COMPUTED_VALUE"""),"Rutgers")</f>
        <v>Rutgers</v>
      </c>
      <c r="CJ7" t="str">
        <f>IFERROR(__xludf.DUMMYFUNCTION("""COMPUTED_VALUE"""),"Sam Houston")</f>
        <v>Sam Houston</v>
      </c>
      <c r="CK7" t="str">
        <f>IFERROR(__xludf.DUMMYFUNCTION("""COMPUTED_VALUE"""),"San Diego State")</f>
        <v>San Diego State</v>
      </c>
      <c r="CL7" t="str">
        <f>IFERROR(__xludf.DUMMYFUNCTION("""COMPUTED_VALUE"""),"San José State")</f>
        <v>San José State</v>
      </c>
      <c r="CM7" t="str">
        <f>IFERROR(__xludf.DUMMYFUNCTION("""COMPUTED_VALUE"""),"SMU")</f>
        <v>SMU</v>
      </c>
      <c r="CN7" t="str">
        <f>IFERROR(__xludf.DUMMYFUNCTION("""COMPUTED_VALUE"""),"South Alabama")</f>
        <v>South Alabama</v>
      </c>
      <c r="CO7" t="str">
        <f>IFERROR(__xludf.DUMMYFUNCTION("""COMPUTED_VALUE"""),"South Carolina")</f>
        <v>South Carolina</v>
      </c>
      <c r="CP7" t="str">
        <f>IFERROR(__xludf.DUMMYFUNCTION("""COMPUTED_VALUE"""),"South Florida")</f>
        <v>South Florida</v>
      </c>
      <c r="CQ7" t="str">
        <f>IFERROR(__xludf.DUMMYFUNCTION("""COMPUTED_VALUE"""),"Southern Mississippi")</f>
        <v>Southern Mississippi</v>
      </c>
      <c r="CR7" t="str">
        <f>IFERROR(__xludf.DUMMYFUNCTION("""COMPUTED_VALUE"""),"Stanford")</f>
        <v>Stanford</v>
      </c>
      <c r="CS7" t="str">
        <f>IFERROR(__xludf.DUMMYFUNCTION("""COMPUTED_VALUE"""),"Syracuse")</f>
        <v>Syracuse</v>
      </c>
      <c r="CT7" t="str">
        <f>IFERROR(__xludf.DUMMYFUNCTION("""COMPUTED_VALUE"""),"TCU")</f>
        <v>TCU</v>
      </c>
      <c r="CU7" t="str">
        <f>IFERROR(__xludf.DUMMYFUNCTION("""COMPUTED_VALUE"""),"Temple")</f>
        <v>Temple</v>
      </c>
      <c r="CV7" t="str">
        <f>IFERROR(__xludf.DUMMYFUNCTION("""COMPUTED_VALUE"""),"Tennessee")</f>
        <v>Tennessee</v>
      </c>
      <c r="CW7" t="str">
        <f>IFERROR(__xludf.DUMMYFUNCTION("""COMPUTED_VALUE"""),"Texas")</f>
        <v>Texas</v>
      </c>
      <c r="CX7" t="str">
        <f>IFERROR(__xludf.DUMMYFUNCTION("""COMPUTED_VALUE"""),"Texas A&amp;M")</f>
        <v>Texas A&amp;M</v>
      </c>
      <c r="CY7" t="str">
        <f>IFERROR(__xludf.DUMMYFUNCTION("""COMPUTED_VALUE"""),"Texas State")</f>
        <v>Texas State</v>
      </c>
      <c r="CZ7" t="str">
        <f>IFERROR(__xludf.DUMMYFUNCTION("""COMPUTED_VALUE"""),"Texas Tech")</f>
        <v>Texas Tech</v>
      </c>
      <c r="DA7" t="str">
        <f>IFERROR(__xludf.DUMMYFUNCTION("""COMPUTED_VALUE"""),"Toledo")</f>
        <v>Toledo</v>
      </c>
      <c r="DB7" t="str">
        <f>IFERROR(__xludf.DUMMYFUNCTION("""COMPUTED_VALUE"""),"Troy")</f>
        <v>Troy</v>
      </c>
      <c r="DC7" t="str">
        <f>IFERROR(__xludf.DUMMYFUNCTION("""COMPUTED_VALUE"""),"Tulane")</f>
        <v>Tulane</v>
      </c>
      <c r="DD7" t="str">
        <f>IFERROR(__xludf.DUMMYFUNCTION("""COMPUTED_VALUE"""),"Tulsa")</f>
        <v>Tulsa</v>
      </c>
      <c r="DE7" t="str">
        <f>IFERROR(__xludf.DUMMYFUNCTION("""COMPUTED_VALUE"""),"UAB")</f>
        <v>UAB</v>
      </c>
      <c r="DF7" t="str">
        <f>IFERROR(__xludf.DUMMYFUNCTION("""COMPUTED_VALUE"""),"UCF")</f>
        <v>UCF</v>
      </c>
      <c r="DG7" t="str">
        <f>IFERROR(__xludf.DUMMYFUNCTION("""COMPUTED_VALUE"""),"UCLA")</f>
        <v>UCLA</v>
      </c>
      <c r="DH7" t="str">
        <f>IFERROR(__xludf.DUMMYFUNCTION("""COMPUTED_VALUE"""),"UConn")</f>
        <v>UConn</v>
      </c>
      <c r="DI7" t="str">
        <f>IFERROR(__xludf.DUMMYFUNCTION("""COMPUTED_VALUE"""),"UL Lafayette")</f>
        <v>UL Lafayette</v>
      </c>
      <c r="DJ7" t="str">
        <f>IFERROR(__xludf.DUMMYFUNCTION("""COMPUTED_VALUE"""),"UL Monroe")</f>
        <v>UL Monroe</v>
      </c>
      <c r="DK7" t="str">
        <f>IFERROR(__xludf.DUMMYFUNCTION("""COMPUTED_VALUE"""),"UMASS")</f>
        <v>UMASS</v>
      </c>
      <c r="DL7" t="str">
        <f>IFERROR(__xludf.DUMMYFUNCTION("""COMPUTED_VALUE"""),"USC")</f>
        <v>USC</v>
      </c>
      <c r="DM7" t="str">
        <f>IFERROR(__xludf.DUMMYFUNCTION("""COMPUTED_VALUE"""),"Utah")</f>
        <v>Utah</v>
      </c>
      <c r="DN7" t="str">
        <f>IFERROR(__xludf.DUMMYFUNCTION("""COMPUTED_VALUE"""),"Utah State")</f>
        <v>Utah State</v>
      </c>
      <c r="DO7" t="str">
        <f>IFERROR(__xludf.DUMMYFUNCTION("""COMPUTED_VALUE"""),"UTEP")</f>
        <v>UTEP</v>
      </c>
      <c r="DP7" t="str">
        <f>IFERROR(__xludf.DUMMYFUNCTION("""COMPUTED_VALUE"""),"UTSA")</f>
        <v>UTSA</v>
      </c>
      <c r="DQ7" t="str">
        <f>IFERROR(__xludf.DUMMYFUNCTION("""COMPUTED_VALUE"""),"Vanderbilt")</f>
        <v>Vanderbilt</v>
      </c>
      <c r="DR7" t="str">
        <f>IFERROR(__xludf.DUMMYFUNCTION("""COMPUTED_VALUE"""),"Virginia")</f>
        <v>Virginia</v>
      </c>
      <c r="DS7" t="str">
        <f>IFERROR(__xludf.DUMMYFUNCTION("""COMPUTED_VALUE"""),"Virginia Tech")</f>
        <v>Virginia Tech</v>
      </c>
      <c r="DT7" t="str">
        <f>IFERROR(__xludf.DUMMYFUNCTION("""COMPUTED_VALUE"""),"Wake Forest")</f>
        <v>Wake Forest</v>
      </c>
      <c r="DU7" t="str">
        <f>IFERROR(__xludf.DUMMYFUNCTION("""COMPUTED_VALUE"""),"Washington")</f>
        <v>Washington</v>
      </c>
      <c r="DV7" t="str">
        <f>IFERROR(__xludf.DUMMYFUNCTION("""COMPUTED_VALUE"""),"Washington State")</f>
        <v>Washington State</v>
      </c>
      <c r="DW7" t="str">
        <f>IFERROR(__xludf.DUMMYFUNCTION("""COMPUTED_VALUE"""),"West Virginia")</f>
        <v>West Virginia</v>
      </c>
      <c r="DX7" t="str">
        <f>IFERROR(__xludf.DUMMYFUNCTION("""COMPUTED_VALUE"""),"Western Kentucky")</f>
        <v>Western Kentucky</v>
      </c>
      <c r="DY7" t="str">
        <f>IFERROR(__xludf.DUMMYFUNCTION("""COMPUTED_VALUE"""),"Western Michigan")</f>
        <v>Western Michigan</v>
      </c>
      <c r="DZ7" t="str">
        <f>IFERROR(__xludf.DUMMYFUNCTION("""COMPUTED_VALUE"""),"Wisconsin")</f>
        <v>Wisconsin</v>
      </c>
      <c r="EA7" t="str">
        <f>IFERROR(__xludf.DUMMYFUNCTION("""COMPUTED_VALUE"""),"Wyoming")</f>
        <v>Wyoming</v>
      </c>
    </row>
    <row r="8">
      <c r="A8" s="1">
        <v>7.0</v>
      </c>
      <c r="B8" t="str">
        <f>IFERROR(__xludf.DUMMYFUNCTION("split(join("","",sort(byrow('Teams-Conference'!A$2:A1000,lambda(rw,if(iserror(match(rw,DraftTracker!F$1:F8,0)),rw,""""))),1,1)),"","",1,1)"),"Air Force")</f>
        <v>Air Force</v>
      </c>
      <c r="C8" t="str">
        <f>IFERROR(__xludf.DUMMYFUNCTION("""COMPUTED_VALUE"""),"Akron")</f>
        <v>Akron</v>
      </c>
      <c r="D8" t="str">
        <f>IFERROR(__xludf.DUMMYFUNCTION("""COMPUTED_VALUE"""),"Alabama")</f>
        <v>Alabama</v>
      </c>
      <c r="E8" t="str">
        <f>IFERROR(__xludf.DUMMYFUNCTION("""COMPUTED_VALUE"""),"Appalachian State")</f>
        <v>Appalachian State</v>
      </c>
      <c r="F8" t="str">
        <f>IFERROR(__xludf.DUMMYFUNCTION("""COMPUTED_VALUE"""),"Arizona")</f>
        <v>Arizona</v>
      </c>
      <c r="G8" t="str">
        <f>IFERROR(__xludf.DUMMYFUNCTION("""COMPUTED_VALUE"""),"Arizona State")</f>
        <v>Arizona State</v>
      </c>
      <c r="H8" t="str">
        <f>IFERROR(__xludf.DUMMYFUNCTION("""COMPUTED_VALUE"""),"Arkansas")</f>
        <v>Arkansas</v>
      </c>
      <c r="I8" t="str">
        <f>IFERROR(__xludf.DUMMYFUNCTION("""COMPUTED_VALUE"""),"Arkansas State")</f>
        <v>Arkansas State</v>
      </c>
      <c r="J8" t="str">
        <f>IFERROR(__xludf.DUMMYFUNCTION("""COMPUTED_VALUE"""),"Army")</f>
        <v>Army</v>
      </c>
      <c r="K8" t="str">
        <f>IFERROR(__xludf.DUMMYFUNCTION("""COMPUTED_VALUE"""),"Auburn")</f>
        <v>Auburn</v>
      </c>
      <c r="L8" t="str">
        <f>IFERROR(__xludf.DUMMYFUNCTION("""COMPUTED_VALUE"""),"Ball State")</f>
        <v>Ball State</v>
      </c>
      <c r="M8" t="str">
        <f>IFERROR(__xludf.DUMMYFUNCTION("""COMPUTED_VALUE"""),"Baylor")</f>
        <v>Baylor</v>
      </c>
      <c r="N8" t="str">
        <f>IFERROR(__xludf.DUMMYFUNCTION("""COMPUTED_VALUE"""),"Boston College")</f>
        <v>Boston College</v>
      </c>
      <c r="O8" t="str">
        <f>IFERROR(__xludf.DUMMYFUNCTION("""COMPUTED_VALUE"""),"Bowling Green")</f>
        <v>Bowling Green</v>
      </c>
      <c r="P8" t="str">
        <f>IFERROR(__xludf.DUMMYFUNCTION("""COMPUTED_VALUE"""),"Buffalo")</f>
        <v>Buffalo</v>
      </c>
      <c r="Q8" t="str">
        <f>IFERROR(__xludf.DUMMYFUNCTION("""COMPUTED_VALUE"""),"BYU")</f>
        <v>BYU</v>
      </c>
      <c r="R8" t="str">
        <f>IFERROR(__xludf.DUMMYFUNCTION("""COMPUTED_VALUE"""),"California")</f>
        <v>California</v>
      </c>
      <c r="S8" t="str">
        <f>IFERROR(__xludf.DUMMYFUNCTION("""COMPUTED_VALUE"""),"Central Michigan")</f>
        <v>Central Michigan</v>
      </c>
      <c r="T8" t="str">
        <f>IFERROR(__xludf.DUMMYFUNCTION("""COMPUTED_VALUE"""),"Charlotte")</f>
        <v>Charlotte</v>
      </c>
      <c r="U8" t="str">
        <f>IFERROR(__xludf.DUMMYFUNCTION("""COMPUTED_VALUE"""),"Cincinnati")</f>
        <v>Cincinnati</v>
      </c>
      <c r="V8" t="str">
        <f>IFERROR(__xludf.DUMMYFUNCTION("""COMPUTED_VALUE"""),"Clemson")</f>
        <v>Clemson</v>
      </c>
      <c r="W8" t="str">
        <f>IFERROR(__xludf.DUMMYFUNCTION("""COMPUTED_VALUE"""),"Coastal Carolina")</f>
        <v>Coastal Carolina</v>
      </c>
      <c r="X8" t="str">
        <f>IFERROR(__xludf.DUMMYFUNCTION("""COMPUTED_VALUE"""),"Colorado")</f>
        <v>Colorado</v>
      </c>
      <c r="Y8" t="str">
        <f>IFERROR(__xludf.DUMMYFUNCTION("""COMPUTED_VALUE"""),"Colorado State")</f>
        <v>Colorado State</v>
      </c>
      <c r="Z8" t="str">
        <f>IFERROR(__xludf.DUMMYFUNCTION("""COMPUTED_VALUE"""),"Delaware")</f>
        <v>Delaware</v>
      </c>
      <c r="AA8" t="str">
        <f>IFERROR(__xludf.DUMMYFUNCTION("""COMPUTED_VALUE"""),"Duke")</f>
        <v>Duke</v>
      </c>
      <c r="AB8" t="str">
        <f>IFERROR(__xludf.DUMMYFUNCTION("""COMPUTED_VALUE"""),"East Carolina")</f>
        <v>East Carolina</v>
      </c>
      <c r="AC8" t="str">
        <f>IFERROR(__xludf.DUMMYFUNCTION("""COMPUTED_VALUE"""),"EMU")</f>
        <v>EMU</v>
      </c>
      <c r="AD8" t="str">
        <f>IFERROR(__xludf.DUMMYFUNCTION("""COMPUTED_VALUE"""),"Florida")</f>
        <v>Florida</v>
      </c>
      <c r="AE8" t="str">
        <f>IFERROR(__xludf.DUMMYFUNCTION("""COMPUTED_VALUE"""),"Florida Atlantic")</f>
        <v>Florida Atlantic</v>
      </c>
      <c r="AF8" t="str">
        <f>IFERROR(__xludf.DUMMYFUNCTION("""COMPUTED_VALUE"""),"Florida Intl")</f>
        <v>Florida Intl</v>
      </c>
      <c r="AG8" t="str">
        <f>IFERROR(__xludf.DUMMYFUNCTION("""COMPUTED_VALUE"""),"Florida State")</f>
        <v>Florida State</v>
      </c>
      <c r="AH8" t="str">
        <f>IFERROR(__xludf.DUMMYFUNCTION("""COMPUTED_VALUE"""),"Fresno State")</f>
        <v>Fresno State</v>
      </c>
      <c r="AI8" t="str">
        <f>IFERROR(__xludf.DUMMYFUNCTION("""COMPUTED_VALUE"""),"Georgia")</f>
        <v>Georgia</v>
      </c>
      <c r="AJ8" t="str">
        <f>IFERROR(__xludf.DUMMYFUNCTION("""COMPUTED_VALUE"""),"Georgia Southern")</f>
        <v>Georgia Southern</v>
      </c>
      <c r="AK8" t="str">
        <f>IFERROR(__xludf.DUMMYFUNCTION("""COMPUTED_VALUE"""),"Georgia State")</f>
        <v>Georgia State</v>
      </c>
      <c r="AL8" t="str">
        <f>IFERROR(__xludf.DUMMYFUNCTION("""COMPUTED_VALUE"""),"Georgia Tech")</f>
        <v>Georgia Tech</v>
      </c>
      <c r="AM8" t="str">
        <f>IFERROR(__xludf.DUMMYFUNCTION("""COMPUTED_VALUE"""),"Hawaii")</f>
        <v>Hawaii</v>
      </c>
      <c r="AN8" t="str">
        <f>IFERROR(__xludf.DUMMYFUNCTION("""COMPUTED_VALUE"""),"Houston")</f>
        <v>Houston</v>
      </c>
      <c r="AO8" t="str">
        <f>IFERROR(__xludf.DUMMYFUNCTION("""COMPUTED_VALUE"""),"Illinois")</f>
        <v>Illinois</v>
      </c>
      <c r="AP8" t="str">
        <f>IFERROR(__xludf.DUMMYFUNCTION("""COMPUTED_VALUE"""),"Indiana")</f>
        <v>Indiana</v>
      </c>
      <c r="AQ8" t="str">
        <f>IFERROR(__xludf.DUMMYFUNCTION("""COMPUTED_VALUE"""),"Iowa")</f>
        <v>Iowa</v>
      </c>
      <c r="AR8" t="str">
        <f>IFERROR(__xludf.DUMMYFUNCTION("""COMPUTED_VALUE"""),"Iowa State")</f>
        <v>Iowa State</v>
      </c>
      <c r="AS8" t="str">
        <f>IFERROR(__xludf.DUMMYFUNCTION("""COMPUTED_VALUE"""),"Jacksonville State")</f>
        <v>Jacksonville State</v>
      </c>
      <c r="AT8" t="str">
        <f>IFERROR(__xludf.DUMMYFUNCTION("""COMPUTED_VALUE"""),"James Madison")</f>
        <v>James Madison</v>
      </c>
      <c r="AU8" t="str">
        <f>IFERROR(__xludf.DUMMYFUNCTION("""COMPUTED_VALUE"""),"Kansas")</f>
        <v>Kansas</v>
      </c>
      <c r="AV8" t="str">
        <f>IFERROR(__xludf.DUMMYFUNCTION("""COMPUTED_VALUE"""),"Kansas State")</f>
        <v>Kansas State</v>
      </c>
      <c r="AW8" t="str">
        <f>IFERROR(__xludf.DUMMYFUNCTION("""COMPUTED_VALUE"""),"Kennesaw State")</f>
        <v>Kennesaw State</v>
      </c>
      <c r="AX8" t="str">
        <f>IFERROR(__xludf.DUMMYFUNCTION("""COMPUTED_VALUE"""),"Kent State")</f>
        <v>Kent State</v>
      </c>
      <c r="AY8" t="str">
        <f>IFERROR(__xludf.DUMMYFUNCTION("""COMPUTED_VALUE"""),"Kentucky")</f>
        <v>Kentucky</v>
      </c>
      <c r="AZ8" t="str">
        <f>IFERROR(__xludf.DUMMYFUNCTION("""COMPUTED_VALUE"""),"Louisiana Tech")</f>
        <v>Louisiana Tech</v>
      </c>
      <c r="BA8" t="str">
        <f>IFERROR(__xludf.DUMMYFUNCTION("""COMPUTED_VALUE"""),"Louisville")</f>
        <v>Louisville</v>
      </c>
      <c r="BB8" t="str">
        <f>IFERROR(__xludf.DUMMYFUNCTION("""COMPUTED_VALUE"""),"LSU")</f>
        <v>LSU</v>
      </c>
      <c r="BC8" t="str">
        <f>IFERROR(__xludf.DUMMYFUNCTION("""COMPUTED_VALUE"""),"Marshall")</f>
        <v>Marshall</v>
      </c>
      <c r="BD8" t="str">
        <f>IFERROR(__xludf.DUMMYFUNCTION("""COMPUTED_VALUE"""),"Maryland")</f>
        <v>Maryland</v>
      </c>
      <c r="BE8" t="str">
        <f>IFERROR(__xludf.DUMMYFUNCTION("""COMPUTED_VALUE"""),"Memphis")</f>
        <v>Memphis</v>
      </c>
      <c r="BF8" t="str">
        <f>IFERROR(__xludf.DUMMYFUNCTION("""COMPUTED_VALUE"""),"Miami")</f>
        <v>Miami</v>
      </c>
      <c r="BG8" t="str">
        <f>IFERROR(__xludf.DUMMYFUNCTION("""COMPUTED_VALUE"""),"Miami-OH")</f>
        <v>Miami-OH</v>
      </c>
      <c r="BH8" t="str">
        <f>IFERROR(__xludf.DUMMYFUNCTION("""COMPUTED_VALUE"""),"Michigan")</f>
        <v>Michigan</v>
      </c>
      <c r="BI8" t="str">
        <f>IFERROR(__xludf.DUMMYFUNCTION("""COMPUTED_VALUE"""),"Michigan State")</f>
        <v>Michigan State</v>
      </c>
      <c r="BJ8" t="str">
        <f>IFERROR(__xludf.DUMMYFUNCTION("""COMPUTED_VALUE"""),"Middle Tennessee")</f>
        <v>Middle Tennessee</v>
      </c>
      <c r="BK8" t="str">
        <f>IFERROR(__xludf.DUMMYFUNCTION("""COMPUTED_VALUE"""),"Minnesota")</f>
        <v>Minnesota</v>
      </c>
      <c r="BL8" t="str">
        <f>IFERROR(__xludf.DUMMYFUNCTION("""COMPUTED_VALUE"""),"Mississippi State")</f>
        <v>Mississippi State</v>
      </c>
      <c r="BM8" t="str">
        <f>IFERROR(__xludf.DUMMYFUNCTION("""COMPUTED_VALUE"""),"Missouri")</f>
        <v>Missouri</v>
      </c>
      <c r="BN8" t="str">
        <f>IFERROR(__xludf.DUMMYFUNCTION("""COMPUTED_VALUE"""),"Missouri State")</f>
        <v>Missouri State</v>
      </c>
      <c r="BO8" t="str">
        <f>IFERROR(__xludf.DUMMYFUNCTION("""COMPUTED_VALUE"""),"Navy")</f>
        <v>Navy</v>
      </c>
      <c r="BP8" t="str">
        <f>IFERROR(__xludf.DUMMYFUNCTION("""COMPUTED_VALUE"""),"NC State")</f>
        <v>NC State</v>
      </c>
      <c r="BQ8" t="str">
        <f>IFERROR(__xludf.DUMMYFUNCTION("""COMPUTED_VALUE"""),"Nebraska")</f>
        <v>Nebraska</v>
      </c>
      <c r="BR8" t="str">
        <f>IFERROR(__xludf.DUMMYFUNCTION("""COMPUTED_VALUE"""),"Nevada")</f>
        <v>Nevada</v>
      </c>
      <c r="BS8" t="str">
        <f>IFERROR(__xludf.DUMMYFUNCTION("""COMPUTED_VALUE"""),"New Mexico")</f>
        <v>New Mexico</v>
      </c>
      <c r="BT8" t="str">
        <f>IFERROR(__xludf.DUMMYFUNCTION("""COMPUTED_VALUE"""),"New Mexico State")</f>
        <v>New Mexico State</v>
      </c>
      <c r="BU8" t="str">
        <f>IFERROR(__xludf.DUMMYFUNCTION("""COMPUTED_VALUE"""),"North Carolina")</f>
        <v>North Carolina</v>
      </c>
      <c r="BV8" t="str">
        <f>IFERROR(__xludf.DUMMYFUNCTION("""COMPUTED_VALUE"""),"North Texas")</f>
        <v>North Texas</v>
      </c>
      <c r="BW8" t="str">
        <f>IFERROR(__xludf.DUMMYFUNCTION("""COMPUTED_VALUE"""),"Northern Illinois")</f>
        <v>Northern Illinois</v>
      </c>
      <c r="BX8" t="str">
        <f>IFERROR(__xludf.DUMMYFUNCTION("""COMPUTED_VALUE"""),"Northwestern")</f>
        <v>Northwestern</v>
      </c>
      <c r="BY8" t="str">
        <f>IFERROR(__xludf.DUMMYFUNCTION("""COMPUTED_VALUE"""),"Ohio")</f>
        <v>Ohio</v>
      </c>
      <c r="BZ8" t="str">
        <f>IFERROR(__xludf.DUMMYFUNCTION("""COMPUTED_VALUE"""),"Oklahoma")</f>
        <v>Oklahoma</v>
      </c>
      <c r="CA8" t="str">
        <f>IFERROR(__xludf.DUMMYFUNCTION("""COMPUTED_VALUE"""),"Oklahoma State")</f>
        <v>Oklahoma State</v>
      </c>
      <c r="CB8" t="str">
        <f>IFERROR(__xludf.DUMMYFUNCTION("""COMPUTED_VALUE"""),"Old Dominion")</f>
        <v>Old Dominion</v>
      </c>
      <c r="CC8" t="str">
        <f>IFERROR(__xludf.DUMMYFUNCTION("""COMPUTED_VALUE"""),"Ole Miss")</f>
        <v>Ole Miss</v>
      </c>
      <c r="CD8" t="str">
        <f>IFERROR(__xludf.DUMMYFUNCTION("""COMPUTED_VALUE"""),"Oregon State")</f>
        <v>Oregon State</v>
      </c>
      <c r="CE8" t="str">
        <f>IFERROR(__xludf.DUMMYFUNCTION("""COMPUTED_VALUE"""),"Pittsburgh")</f>
        <v>Pittsburgh</v>
      </c>
      <c r="CF8" t="str">
        <f>IFERROR(__xludf.DUMMYFUNCTION("""COMPUTED_VALUE"""),"Purdue")</f>
        <v>Purdue</v>
      </c>
      <c r="CG8" t="str">
        <f>IFERROR(__xludf.DUMMYFUNCTION("""COMPUTED_VALUE"""),"Rice")</f>
        <v>Rice</v>
      </c>
      <c r="CH8" t="str">
        <f>IFERROR(__xludf.DUMMYFUNCTION("""COMPUTED_VALUE"""),"Rutgers")</f>
        <v>Rutgers</v>
      </c>
      <c r="CI8" t="str">
        <f>IFERROR(__xludf.DUMMYFUNCTION("""COMPUTED_VALUE"""),"Sam Houston")</f>
        <v>Sam Houston</v>
      </c>
      <c r="CJ8" t="str">
        <f>IFERROR(__xludf.DUMMYFUNCTION("""COMPUTED_VALUE"""),"San Diego State")</f>
        <v>San Diego State</v>
      </c>
      <c r="CK8" t="str">
        <f>IFERROR(__xludf.DUMMYFUNCTION("""COMPUTED_VALUE"""),"San José State")</f>
        <v>San José State</v>
      </c>
      <c r="CL8" t="str">
        <f>IFERROR(__xludf.DUMMYFUNCTION("""COMPUTED_VALUE"""),"SMU")</f>
        <v>SMU</v>
      </c>
      <c r="CM8" t="str">
        <f>IFERROR(__xludf.DUMMYFUNCTION("""COMPUTED_VALUE"""),"South Alabama")</f>
        <v>South Alabama</v>
      </c>
      <c r="CN8" t="str">
        <f>IFERROR(__xludf.DUMMYFUNCTION("""COMPUTED_VALUE"""),"South Carolina")</f>
        <v>South Carolina</v>
      </c>
      <c r="CO8" t="str">
        <f>IFERROR(__xludf.DUMMYFUNCTION("""COMPUTED_VALUE"""),"South Florida")</f>
        <v>South Florida</v>
      </c>
      <c r="CP8" t="str">
        <f>IFERROR(__xludf.DUMMYFUNCTION("""COMPUTED_VALUE"""),"Southern Mississippi")</f>
        <v>Southern Mississippi</v>
      </c>
      <c r="CQ8" t="str">
        <f>IFERROR(__xludf.DUMMYFUNCTION("""COMPUTED_VALUE"""),"Stanford")</f>
        <v>Stanford</v>
      </c>
      <c r="CR8" t="str">
        <f>IFERROR(__xludf.DUMMYFUNCTION("""COMPUTED_VALUE"""),"Syracuse")</f>
        <v>Syracuse</v>
      </c>
      <c r="CS8" t="str">
        <f>IFERROR(__xludf.DUMMYFUNCTION("""COMPUTED_VALUE"""),"TCU")</f>
        <v>TCU</v>
      </c>
      <c r="CT8" t="str">
        <f>IFERROR(__xludf.DUMMYFUNCTION("""COMPUTED_VALUE"""),"Temple")</f>
        <v>Temple</v>
      </c>
      <c r="CU8" t="str">
        <f>IFERROR(__xludf.DUMMYFUNCTION("""COMPUTED_VALUE"""),"Tennessee")</f>
        <v>Tennessee</v>
      </c>
      <c r="CV8" t="str">
        <f>IFERROR(__xludf.DUMMYFUNCTION("""COMPUTED_VALUE"""),"Texas")</f>
        <v>Texas</v>
      </c>
      <c r="CW8" t="str">
        <f>IFERROR(__xludf.DUMMYFUNCTION("""COMPUTED_VALUE"""),"Texas A&amp;M")</f>
        <v>Texas A&amp;M</v>
      </c>
      <c r="CX8" t="str">
        <f>IFERROR(__xludf.DUMMYFUNCTION("""COMPUTED_VALUE"""),"Texas State")</f>
        <v>Texas State</v>
      </c>
      <c r="CY8" t="str">
        <f>IFERROR(__xludf.DUMMYFUNCTION("""COMPUTED_VALUE"""),"Texas Tech")</f>
        <v>Texas Tech</v>
      </c>
      <c r="CZ8" t="str">
        <f>IFERROR(__xludf.DUMMYFUNCTION("""COMPUTED_VALUE"""),"Toledo")</f>
        <v>Toledo</v>
      </c>
      <c r="DA8" t="str">
        <f>IFERROR(__xludf.DUMMYFUNCTION("""COMPUTED_VALUE"""),"Troy")</f>
        <v>Troy</v>
      </c>
      <c r="DB8" t="str">
        <f>IFERROR(__xludf.DUMMYFUNCTION("""COMPUTED_VALUE"""),"Tulane")</f>
        <v>Tulane</v>
      </c>
      <c r="DC8" t="str">
        <f>IFERROR(__xludf.DUMMYFUNCTION("""COMPUTED_VALUE"""),"Tulsa")</f>
        <v>Tulsa</v>
      </c>
      <c r="DD8" t="str">
        <f>IFERROR(__xludf.DUMMYFUNCTION("""COMPUTED_VALUE"""),"UAB")</f>
        <v>UAB</v>
      </c>
      <c r="DE8" t="str">
        <f>IFERROR(__xludf.DUMMYFUNCTION("""COMPUTED_VALUE"""),"UCF")</f>
        <v>UCF</v>
      </c>
      <c r="DF8" t="str">
        <f>IFERROR(__xludf.DUMMYFUNCTION("""COMPUTED_VALUE"""),"UCLA")</f>
        <v>UCLA</v>
      </c>
      <c r="DG8" t="str">
        <f>IFERROR(__xludf.DUMMYFUNCTION("""COMPUTED_VALUE"""),"UConn")</f>
        <v>UConn</v>
      </c>
      <c r="DH8" t="str">
        <f>IFERROR(__xludf.DUMMYFUNCTION("""COMPUTED_VALUE"""),"UL Lafayette")</f>
        <v>UL Lafayette</v>
      </c>
      <c r="DI8" t="str">
        <f>IFERROR(__xludf.DUMMYFUNCTION("""COMPUTED_VALUE"""),"UL Monroe")</f>
        <v>UL Monroe</v>
      </c>
      <c r="DJ8" t="str">
        <f>IFERROR(__xludf.DUMMYFUNCTION("""COMPUTED_VALUE"""),"UMASS")</f>
        <v>UMASS</v>
      </c>
      <c r="DK8" t="str">
        <f>IFERROR(__xludf.DUMMYFUNCTION("""COMPUTED_VALUE"""),"USC")</f>
        <v>USC</v>
      </c>
      <c r="DL8" t="str">
        <f>IFERROR(__xludf.DUMMYFUNCTION("""COMPUTED_VALUE"""),"Utah")</f>
        <v>Utah</v>
      </c>
      <c r="DM8" t="str">
        <f>IFERROR(__xludf.DUMMYFUNCTION("""COMPUTED_VALUE"""),"Utah State")</f>
        <v>Utah State</v>
      </c>
      <c r="DN8" t="str">
        <f>IFERROR(__xludf.DUMMYFUNCTION("""COMPUTED_VALUE"""),"UTEP")</f>
        <v>UTEP</v>
      </c>
      <c r="DO8" t="str">
        <f>IFERROR(__xludf.DUMMYFUNCTION("""COMPUTED_VALUE"""),"UTSA")</f>
        <v>UTSA</v>
      </c>
      <c r="DP8" t="str">
        <f>IFERROR(__xludf.DUMMYFUNCTION("""COMPUTED_VALUE"""),"Vanderbilt")</f>
        <v>Vanderbilt</v>
      </c>
      <c r="DQ8" t="str">
        <f>IFERROR(__xludf.DUMMYFUNCTION("""COMPUTED_VALUE"""),"Virginia")</f>
        <v>Virginia</v>
      </c>
      <c r="DR8" t="str">
        <f>IFERROR(__xludf.DUMMYFUNCTION("""COMPUTED_VALUE"""),"Virginia Tech")</f>
        <v>Virginia Tech</v>
      </c>
      <c r="DS8" t="str">
        <f>IFERROR(__xludf.DUMMYFUNCTION("""COMPUTED_VALUE"""),"Wake Forest")</f>
        <v>Wake Forest</v>
      </c>
      <c r="DT8" t="str">
        <f>IFERROR(__xludf.DUMMYFUNCTION("""COMPUTED_VALUE"""),"Washington")</f>
        <v>Washington</v>
      </c>
      <c r="DU8" t="str">
        <f>IFERROR(__xludf.DUMMYFUNCTION("""COMPUTED_VALUE"""),"Washington State")</f>
        <v>Washington State</v>
      </c>
      <c r="DV8" t="str">
        <f>IFERROR(__xludf.DUMMYFUNCTION("""COMPUTED_VALUE"""),"West Virginia")</f>
        <v>West Virginia</v>
      </c>
      <c r="DW8" t="str">
        <f>IFERROR(__xludf.DUMMYFUNCTION("""COMPUTED_VALUE"""),"Western Kentucky")</f>
        <v>Western Kentucky</v>
      </c>
      <c r="DX8" t="str">
        <f>IFERROR(__xludf.DUMMYFUNCTION("""COMPUTED_VALUE"""),"Western Michigan")</f>
        <v>Western Michigan</v>
      </c>
      <c r="DY8" t="str">
        <f>IFERROR(__xludf.DUMMYFUNCTION("""COMPUTED_VALUE"""),"Wisconsin")</f>
        <v>Wisconsin</v>
      </c>
      <c r="DZ8" t="str">
        <f>IFERROR(__xludf.DUMMYFUNCTION("""COMPUTED_VALUE"""),"Wyoming")</f>
        <v>Wyoming</v>
      </c>
    </row>
    <row r="9">
      <c r="A9" s="1">
        <v>8.0</v>
      </c>
      <c r="B9" t="str">
        <f>IFERROR(__xludf.DUMMYFUNCTION("split(join("","",sort(byrow('Teams-Conference'!A$2:A1000,lambda(rw,if(iserror(match(rw,DraftTracker!F$1:F9,0)),rw,""""))),1,1)),"","",1,1)"),"Air Force")</f>
        <v>Air Force</v>
      </c>
      <c r="C9" t="str">
        <f>IFERROR(__xludf.DUMMYFUNCTION("""COMPUTED_VALUE"""),"Akron")</f>
        <v>Akron</v>
      </c>
      <c r="D9" t="str">
        <f>IFERROR(__xludf.DUMMYFUNCTION("""COMPUTED_VALUE"""),"Alabama")</f>
        <v>Alabama</v>
      </c>
      <c r="E9" t="str">
        <f>IFERROR(__xludf.DUMMYFUNCTION("""COMPUTED_VALUE"""),"Appalachian State")</f>
        <v>Appalachian State</v>
      </c>
      <c r="F9" t="str">
        <f>IFERROR(__xludf.DUMMYFUNCTION("""COMPUTED_VALUE"""),"Arizona")</f>
        <v>Arizona</v>
      </c>
      <c r="G9" t="str">
        <f>IFERROR(__xludf.DUMMYFUNCTION("""COMPUTED_VALUE"""),"Arizona State")</f>
        <v>Arizona State</v>
      </c>
      <c r="H9" t="str">
        <f>IFERROR(__xludf.DUMMYFUNCTION("""COMPUTED_VALUE"""),"Arkansas")</f>
        <v>Arkansas</v>
      </c>
      <c r="I9" t="str">
        <f>IFERROR(__xludf.DUMMYFUNCTION("""COMPUTED_VALUE"""),"Arkansas State")</f>
        <v>Arkansas State</v>
      </c>
      <c r="J9" t="str">
        <f>IFERROR(__xludf.DUMMYFUNCTION("""COMPUTED_VALUE"""),"Army")</f>
        <v>Army</v>
      </c>
      <c r="K9" t="str">
        <f>IFERROR(__xludf.DUMMYFUNCTION("""COMPUTED_VALUE"""),"Auburn")</f>
        <v>Auburn</v>
      </c>
      <c r="L9" t="str">
        <f>IFERROR(__xludf.DUMMYFUNCTION("""COMPUTED_VALUE"""),"Ball State")</f>
        <v>Ball State</v>
      </c>
      <c r="M9" t="str">
        <f>IFERROR(__xludf.DUMMYFUNCTION("""COMPUTED_VALUE"""),"Baylor")</f>
        <v>Baylor</v>
      </c>
      <c r="N9" t="str">
        <f>IFERROR(__xludf.DUMMYFUNCTION("""COMPUTED_VALUE"""),"Boston College")</f>
        <v>Boston College</v>
      </c>
      <c r="O9" t="str">
        <f>IFERROR(__xludf.DUMMYFUNCTION("""COMPUTED_VALUE"""),"Bowling Green")</f>
        <v>Bowling Green</v>
      </c>
      <c r="P9" t="str">
        <f>IFERROR(__xludf.DUMMYFUNCTION("""COMPUTED_VALUE"""),"Buffalo")</f>
        <v>Buffalo</v>
      </c>
      <c r="Q9" t="str">
        <f>IFERROR(__xludf.DUMMYFUNCTION("""COMPUTED_VALUE"""),"BYU")</f>
        <v>BYU</v>
      </c>
      <c r="R9" t="str">
        <f>IFERROR(__xludf.DUMMYFUNCTION("""COMPUTED_VALUE"""),"California")</f>
        <v>California</v>
      </c>
      <c r="S9" t="str">
        <f>IFERROR(__xludf.DUMMYFUNCTION("""COMPUTED_VALUE"""),"Central Michigan")</f>
        <v>Central Michigan</v>
      </c>
      <c r="T9" t="str">
        <f>IFERROR(__xludf.DUMMYFUNCTION("""COMPUTED_VALUE"""),"Charlotte")</f>
        <v>Charlotte</v>
      </c>
      <c r="U9" t="str">
        <f>IFERROR(__xludf.DUMMYFUNCTION("""COMPUTED_VALUE"""),"Cincinnati")</f>
        <v>Cincinnati</v>
      </c>
      <c r="V9" t="str">
        <f>IFERROR(__xludf.DUMMYFUNCTION("""COMPUTED_VALUE"""),"Clemson")</f>
        <v>Clemson</v>
      </c>
      <c r="W9" t="str">
        <f>IFERROR(__xludf.DUMMYFUNCTION("""COMPUTED_VALUE"""),"Coastal Carolina")</f>
        <v>Coastal Carolina</v>
      </c>
      <c r="X9" t="str">
        <f>IFERROR(__xludf.DUMMYFUNCTION("""COMPUTED_VALUE"""),"Colorado")</f>
        <v>Colorado</v>
      </c>
      <c r="Y9" t="str">
        <f>IFERROR(__xludf.DUMMYFUNCTION("""COMPUTED_VALUE"""),"Colorado State")</f>
        <v>Colorado State</v>
      </c>
      <c r="Z9" t="str">
        <f>IFERROR(__xludf.DUMMYFUNCTION("""COMPUTED_VALUE"""),"Delaware")</f>
        <v>Delaware</v>
      </c>
      <c r="AA9" t="str">
        <f>IFERROR(__xludf.DUMMYFUNCTION("""COMPUTED_VALUE"""),"Duke")</f>
        <v>Duke</v>
      </c>
      <c r="AB9" t="str">
        <f>IFERROR(__xludf.DUMMYFUNCTION("""COMPUTED_VALUE"""),"East Carolina")</f>
        <v>East Carolina</v>
      </c>
      <c r="AC9" t="str">
        <f>IFERROR(__xludf.DUMMYFUNCTION("""COMPUTED_VALUE"""),"EMU")</f>
        <v>EMU</v>
      </c>
      <c r="AD9" t="str">
        <f>IFERROR(__xludf.DUMMYFUNCTION("""COMPUTED_VALUE"""),"Florida")</f>
        <v>Florida</v>
      </c>
      <c r="AE9" t="str">
        <f>IFERROR(__xludf.DUMMYFUNCTION("""COMPUTED_VALUE"""),"Florida Atlantic")</f>
        <v>Florida Atlantic</v>
      </c>
      <c r="AF9" t="str">
        <f>IFERROR(__xludf.DUMMYFUNCTION("""COMPUTED_VALUE"""),"Florida Intl")</f>
        <v>Florida Intl</v>
      </c>
      <c r="AG9" t="str">
        <f>IFERROR(__xludf.DUMMYFUNCTION("""COMPUTED_VALUE"""),"Florida State")</f>
        <v>Florida State</v>
      </c>
      <c r="AH9" t="str">
        <f>IFERROR(__xludf.DUMMYFUNCTION("""COMPUTED_VALUE"""),"Fresno State")</f>
        <v>Fresno State</v>
      </c>
      <c r="AI9" t="str">
        <f>IFERROR(__xludf.DUMMYFUNCTION("""COMPUTED_VALUE"""),"Georgia")</f>
        <v>Georgia</v>
      </c>
      <c r="AJ9" t="str">
        <f>IFERROR(__xludf.DUMMYFUNCTION("""COMPUTED_VALUE"""),"Georgia Southern")</f>
        <v>Georgia Southern</v>
      </c>
      <c r="AK9" t="str">
        <f>IFERROR(__xludf.DUMMYFUNCTION("""COMPUTED_VALUE"""),"Georgia State")</f>
        <v>Georgia State</v>
      </c>
      <c r="AL9" t="str">
        <f>IFERROR(__xludf.DUMMYFUNCTION("""COMPUTED_VALUE"""),"Georgia Tech")</f>
        <v>Georgia Tech</v>
      </c>
      <c r="AM9" t="str">
        <f>IFERROR(__xludf.DUMMYFUNCTION("""COMPUTED_VALUE"""),"Hawaii")</f>
        <v>Hawaii</v>
      </c>
      <c r="AN9" t="str">
        <f>IFERROR(__xludf.DUMMYFUNCTION("""COMPUTED_VALUE"""),"Houston")</f>
        <v>Houston</v>
      </c>
      <c r="AO9" t="str">
        <f>IFERROR(__xludf.DUMMYFUNCTION("""COMPUTED_VALUE"""),"Illinois")</f>
        <v>Illinois</v>
      </c>
      <c r="AP9" t="str">
        <f>IFERROR(__xludf.DUMMYFUNCTION("""COMPUTED_VALUE"""),"Indiana")</f>
        <v>Indiana</v>
      </c>
      <c r="AQ9" t="str">
        <f>IFERROR(__xludf.DUMMYFUNCTION("""COMPUTED_VALUE"""),"Iowa")</f>
        <v>Iowa</v>
      </c>
      <c r="AR9" t="str">
        <f>IFERROR(__xludf.DUMMYFUNCTION("""COMPUTED_VALUE"""),"Iowa State")</f>
        <v>Iowa State</v>
      </c>
      <c r="AS9" t="str">
        <f>IFERROR(__xludf.DUMMYFUNCTION("""COMPUTED_VALUE"""),"Jacksonville State")</f>
        <v>Jacksonville State</v>
      </c>
      <c r="AT9" t="str">
        <f>IFERROR(__xludf.DUMMYFUNCTION("""COMPUTED_VALUE"""),"James Madison")</f>
        <v>James Madison</v>
      </c>
      <c r="AU9" t="str">
        <f>IFERROR(__xludf.DUMMYFUNCTION("""COMPUTED_VALUE"""),"Kansas")</f>
        <v>Kansas</v>
      </c>
      <c r="AV9" t="str">
        <f>IFERROR(__xludf.DUMMYFUNCTION("""COMPUTED_VALUE"""),"Kansas State")</f>
        <v>Kansas State</v>
      </c>
      <c r="AW9" t="str">
        <f>IFERROR(__xludf.DUMMYFUNCTION("""COMPUTED_VALUE"""),"Kennesaw State")</f>
        <v>Kennesaw State</v>
      </c>
      <c r="AX9" t="str">
        <f>IFERROR(__xludf.DUMMYFUNCTION("""COMPUTED_VALUE"""),"Kent State")</f>
        <v>Kent State</v>
      </c>
      <c r="AY9" t="str">
        <f>IFERROR(__xludf.DUMMYFUNCTION("""COMPUTED_VALUE"""),"Kentucky")</f>
        <v>Kentucky</v>
      </c>
      <c r="AZ9" t="str">
        <f>IFERROR(__xludf.DUMMYFUNCTION("""COMPUTED_VALUE"""),"Louisiana Tech")</f>
        <v>Louisiana Tech</v>
      </c>
      <c r="BA9" t="str">
        <f>IFERROR(__xludf.DUMMYFUNCTION("""COMPUTED_VALUE"""),"Louisville")</f>
        <v>Louisville</v>
      </c>
      <c r="BB9" t="str">
        <f>IFERROR(__xludf.DUMMYFUNCTION("""COMPUTED_VALUE"""),"LSU")</f>
        <v>LSU</v>
      </c>
      <c r="BC9" t="str">
        <f>IFERROR(__xludf.DUMMYFUNCTION("""COMPUTED_VALUE"""),"Marshall")</f>
        <v>Marshall</v>
      </c>
      <c r="BD9" t="str">
        <f>IFERROR(__xludf.DUMMYFUNCTION("""COMPUTED_VALUE"""),"Maryland")</f>
        <v>Maryland</v>
      </c>
      <c r="BE9" t="str">
        <f>IFERROR(__xludf.DUMMYFUNCTION("""COMPUTED_VALUE"""),"Miami")</f>
        <v>Miami</v>
      </c>
      <c r="BF9" t="str">
        <f>IFERROR(__xludf.DUMMYFUNCTION("""COMPUTED_VALUE"""),"Miami-OH")</f>
        <v>Miami-OH</v>
      </c>
      <c r="BG9" t="str">
        <f>IFERROR(__xludf.DUMMYFUNCTION("""COMPUTED_VALUE"""),"Michigan")</f>
        <v>Michigan</v>
      </c>
      <c r="BH9" t="str">
        <f>IFERROR(__xludf.DUMMYFUNCTION("""COMPUTED_VALUE"""),"Michigan State")</f>
        <v>Michigan State</v>
      </c>
      <c r="BI9" t="str">
        <f>IFERROR(__xludf.DUMMYFUNCTION("""COMPUTED_VALUE"""),"Middle Tennessee")</f>
        <v>Middle Tennessee</v>
      </c>
      <c r="BJ9" t="str">
        <f>IFERROR(__xludf.DUMMYFUNCTION("""COMPUTED_VALUE"""),"Minnesota")</f>
        <v>Minnesota</v>
      </c>
      <c r="BK9" t="str">
        <f>IFERROR(__xludf.DUMMYFUNCTION("""COMPUTED_VALUE"""),"Mississippi State")</f>
        <v>Mississippi State</v>
      </c>
      <c r="BL9" t="str">
        <f>IFERROR(__xludf.DUMMYFUNCTION("""COMPUTED_VALUE"""),"Missouri")</f>
        <v>Missouri</v>
      </c>
      <c r="BM9" t="str">
        <f>IFERROR(__xludf.DUMMYFUNCTION("""COMPUTED_VALUE"""),"Missouri State")</f>
        <v>Missouri State</v>
      </c>
      <c r="BN9" t="str">
        <f>IFERROR(__xludf.DUMMYFUNCTION("""COMPUTED_VALUE"""),"Navy")</f>
        <v>Navy</v>
      </c>
      <c r="BO9" t="str">
        <f>IFERROR(__xludf.DUMMYFUNCTION("""COMPUTED_VALUE"""),"NC State")</f>
        <v>NC State</v>
      </c>
      <c r="BP9" t="str">
        <f>IFERROR(__xludf.DUMMYFUNCTION("""COMPUTED_VALUE"""),"Nebraska")</f>
        <v>Nebraska</v>
      </c>
      <c r="BQ9" t="str">
        <f>IFERROR(__xludf.DUMMYFUNCTION("""COMPUTED_VALUE"""),"Nevada")</f>
        <v>Nevada</v>
      </c>
      <c r="BR9" t="str">
        <f>IFERROR(__xludf.DUMMYFUNCTION("""COMPUTED_VALUE"""),"New Mexico")</f>
        <v>New Mexico</v>
      </c>
      <c r="BS9" t="str">
        <f>IFERROR(__xludf.DUMMYFUNCTION("""COMPUTED_VALUE"""),"New Mexico State")</f>
        <v>New Mexico State</v>
      </c>
      <c r="BT9" t="str">
        <f>IFERROR(__xludf.DUMMYFUNCTION("""COMPUTED_VALUE"""),"North Carolina")</f>
        <v>North Carolina</v>
      </c>
      <c r="BU9" t="str">
        <f>IFERROR(__xludf.DUMMYFUNCTION("""COMPUTED_VALUE"""),"North Texas")</f>
        <v>North Texas</v>
      </c>
      <c r="BV9" t="str">
        <f>IFERROR(__xludf.DUMMYFUNCTION("""COMPUTED_VALUE"""),"Northern Illinois")</f>
        <v>Northern Illinois</v>
      </c>
      <c r="BW9" t="str">
        <f>IFERROR(__xludf.DUMMYFUNCTION("""COMPUTED_VALUE"""),"Northwestern")</f>
        <v>Northwestern</v>
      </c>
      <c r="BX9" t="str">
        <f>IFERROR(__xludf.DUMMYFUNCTION("""COMPUTED_VALUE"""),"Ohio")</f>
        <v>Ohio</v>
      </c>
      <c r="BY9" t="str">
        <f>IFERROR(__xludf.DUMMYFUNCTION("""COMPUTED_VALUE"""),"Oklahoma")</f>
        <v>Oklahoma</v>
      </c>
      <c r="BZ9" t="str">
        <f>IFERROR(__xludf.DUMMYFUNCTION("""COMPUTED_VALUE"""),"Oklahoma State")</f>
        <v>Oklahoma State</v>
      </c>
      <c r="CA9" t="str">
        <f>IFERROR(__xludf.DUMMYFUNCTION("""COMPUTED_VALUE"""),"Old Dominion")</f>
        <v>Old Dominion</v>
      </c>
      <c r="CB9" t="str">
        <f>IFERROR(__xludf.DUMMYFUNCTION("""COMPUTED_VALUE"""),"Ole Miss")</f>
        <v>Ole Miss</v>
      </c>
      <c r="CC9" t="str">
        <f>IFERROR(__xludf.DUMMYFUNCTION("""COMPUTED_VALUE"""),"Oregon State")</f>
        <v>Oregon State</v>
      </c>
      <c r="CD9" t="str">
        <f>IFERROR(__xludf.DUMMYFUNCTION("""COMPUTED_VALUE"""),"Pittsburgh")</f>
        <v>Pittsburgh</v>
      </c>
      <c r="CE9" t="str">
        <f>IFERROR(__xludf.DUMMYFUNCTION("""COMPUTED_VALUE"""),"Purdue")</f>
        <v>Purdue</v>
      </c>
      <c r="CF9" t="str">
        <f>IFERROR(__xludf.DUMMYFUNCTION("""COMPUTED_VALUE"""),"Rice")</f>
        <v>Rice</v>
      </c>
      <c r="CG9" t="str">
        <f>IFERROR(__xludf.DUMMYFUNCTION("""COMPUTED_VALUE"""),"Rutgers")</f>
        <v>Rutgers</v>
      </c>
      <c r="CH9" t="str">
        <f>IFERROR(__xludf.DUMMYFUNCTION("""COMPUTED_VALUE"""),"Sam Houston")</f>
        <v>Sam Houston</v>
      </c>
      <c r="CI9" t="str">
        <f>IFERROR(__xludf.DUMMYFUNCTION("""COMPUTED_VALUE"""),"San Diego State")</f>
        <v>San Diego State</v>
      </c>
      <c r="CJ9" t="str">
        <f>IFERROR(__xludf.DUMMYFUNCTION("""COMPUTED_VALUE"""),"San José State")</f>
        <v>San José State</v>
      </c>
      <c r="CK9" t="str">
        <f>IFERROR(__xludf.DUMMYFUNCTION("""COMPUTED_VALUE"""),"SMU")</f>
        <v>SMU</v>
      </c>
      <c r="CL9" t="str">
        <f>IFERROR(__xludf.DUMMYFUNCTION("""COMPUTED_VALUE"""),"South Alabama")</f>
        <v>South Alabama</v>
      </c>
      <c r="CM9" t="str">
        <f>IFERROR(__xludf.DUMMYFUNCTION("""COMPUTED_VALUE"""),"South Carolina")</f>
        <v>South Carolina</v>
      </c>
      <c r="CN9" t="str">
        <f>IFERROR(__xludf.DUMMYFUNCTION("""COMPUTED_VALUE"""),"South Florida")</f>
        <v>South Florida</v>
      </c>
      <c r="CO9" t="str">
        <f>IFERROR(__xludf.DUMMYFUNCTION("""COMPUTED_VALUE"""),"Southern Mississippi")</f>
        <v>Southern Mississippi</v>
      </c>
      <c r="CP9" t="str">
        <f>IFERROR(__xludf.DUMMYFUNCTION("""COMPUTED_VALUE"""),"Stanford")</f>
        <v>Stanford</v>
      </c>
      <c r="CQ9" t="str">
        <f>IFERROR(__xludf.DUMMYFUNCTION("""COMPUTED_VALUE"""),"Syracuse")</f>
        <v>Syracuse</v>
      </c>
      <c r="CR9" t="str">
        <f>IFERROR(__xludf.DUMMYFUNCTION("""COMPUTED_VALUE"""),"TCU")</f>
        <v>TCU</v>
      </c>
      <c r="CS9" t="str">
        <f>IFERROR(__xludf.DUMMYFUNCTION("""COMPUTED_VALUE"""),"Temple")</f>
        <v>Temple</v>
      </c>
      <c r="CT9" t="str">
        <f>IFERROR(__xludf.DUMMYFUNCTION("""COMPUTED_VALUE"""),"Tennessee")</f>
        <v>Tennessee</v>
      </c>
      <c r="CU9" t="str">
        <f>IFERROR(__xludf.DUMMYFUNCTION("""COMPUTED_VALUE"""),"Texas")</f>
        <v>Texas</v>
      </c>
      <c r="CV9" t="str">
        <f>IFERROR(__xludf.DUMMYFUNCTION("""COMPUTED_VALUE"""),"Texas A&amp;M")</f>
        <v>Texas A&amp;M</v>
      </c>
      <c r="CW9" t="str">
        <f>IFERROR(__xludf.DUMMYFUNCTION("""COMPUTED_VALUE"""),"Texas State")</f>
        <v>Texas State</v>
      </c>
      <c r="CX9" t="str">
        <f>IFERROR(__xludf.DUMMYFUNCTION("""COMPUTED_VALUE"""),"Texas Tech")</f>
        <v>Texas Tech</v>
      </c>
      <c r="CY9" t="str">
        <f>IFERROR(__xludf.DUMMYFUNCTION("""COMPUTED_VALUE"""),"Toledo")</f>
        <v>Toledo</v>
      </c>
      <c r="CZ9" t="str">
        <f>IFERROR(__xludf.DUMMYFUNCTION("""COMPUTED_VALUE"""),"Troy")</f>
        <v>Troy</v>
      </c>
      <c r="DA9" t="str">
        <f>IFERROR(__xludf.DUMMYFUNCTION("""COMPUTED_VALUE"""),"Tulane")</f>
        <v>Tulane</v>
      </c>
      <c r="DB9" t="str">
        <f>IFERROR(__xludf.DUMMYFUNCTION("""COMPUTED_VALUE"""),"Tulsa")</f>
        <v>Tulsa</v>
      </c>
      <c r="DC9" t="str">
        <f>IFERROR(__xludf.DUMMYFUNCTION("""COMPUTED_VALUE"""),"UAB")</f>
        <v>UAB</v>
      </c>
      <c r="DD9" t="str">
        <f>IFERROR(__xludf.DUMMYFUNCTION("""COMPUTED_VALUE"""),"UCF")</f>
        <v>UCF</v>
      </c>
      <c r="DE9" t="str">
        <f>IFERROR(__xludf.DUMMYFUNCTION("""COMPUTED_VALUE"""),"UCLA")</f>
        <v>UCLA</v>
      </c>
      <c r="DF9" t="str">
        <f>IFERROR(__xludf.DUMMYFUNCTION("""COMPUTED_VALUE"""),"UConn")</f>
        <v>UConn</v>
      </c>
      <c r="DG9" t="str">
        <f>IFERROR(__xludf.DUMMYFUNCTION("""COMPUTED_VALUE"""),"UL Lafayette")</f>
        <v>UL Lafayette</v>
      </c>
      <c r="DH9" t="str">
        <f>IFERROR(__xludf.DUMMYFUNCTION("""COMPUTED_VALUE"""),"UL Monroe")</f>
        <v>UL Monroe</v>
      </c>
      <c r="DI9" t="str">
        <f>IFERROR(__xludf.DUMMYFUNCTION("""COMPUTED_VALUE"""),"UMASS")</f>
        <v>UMASS</v>
      </c>
      <c r="DJ9" t="str">
        <f>IFERROR(__xludf.DUMMYFUNCTION("""COMPUTED_VALUE"""),"USC")</f>
        <v>USC</v>
      </c>
      <c r="DK9" t="str">
        <f>IFERROR(__xludf.DUMMYFUNCTION("""COMPUTED_VALUE"""),"Utah")</f>
        <v>Utah</v>
      </c>
      <c r="DL9" t="str">
        <f>IFERROR(__xludf.DUMMYFUNCTION("""COMPUTED_VALUE"""),"Utah State")</f>
        <v>Utah State</v>
      </c>
      <c r="DM9" t="str">
        <f>IFERROR(__xludf.DUMMYFUNCTION("""COMPUTED_VALUE"""),"UTEP")</f>
        <v>UTEP</v>
      </c>
      <c r="DN9" t="str">
        <f>IFERROR(__xludf.DUMMYFUNCTION("""COMPUTED_VALUE"""),"UTSA")</f>
        <v>UTSA</v>
      </c>
      <c r="DO9" t="str">
        <f>IFERROR(__xludf.DUMMYFUNCTION("""COMPUTED_VALUE"""),"Vanderbilt")</f>
        <v>Vanderbilt</v>
      </c>
      <c r="DP9" t="str">
        <f>IFERROR(__xludf.DUMMYFUNCTION("""COMPUTED_VALUE"""),"Virginia")</f>
        <v>Virginia</v>
      </c>
      <c r="DQ9" t="str">
        <f>IFERROR(__xludf.DUMMYFUNCTION("""COMPUTED_VALUE"""),"Virginia Tech")</f>
        <v>Virginia Tech</v>
      </c>
      <c r="DR9" t="str">
        <f>IFERROR(__xludf.DUMMYFUNCTION("""COMPUTED_VALUE"""),"Wake Forest")</f>
        <v>Wake Forest</v>
      </c>
      <c r="DS9" t="str">
        <f>IFERROR(__xludf.DUMMYFUNCTION("""COMPUTED_VALUE"""),"Washington")</f>
        <v>Washington</v>
      </c>
      <c r="DT9" t="str">
        <f>IFERROR(__xludf.DUMMYFUNCTION("""COMPUTED_VALUE"""),"Washington State")</f>
        <v>Washington State</v>
      </c>
      <c r="DU9" t="str">
        <f>IFERROR(__xludf.DUMMYFUNCTION("""COMPUTED_VALUE"""),"West Virginia")</f>
        <v>West Virginia</v>
      </c>
      <c r="DV9" t="str">
        <f>IFERROR(__xludf.DUMMYFUNCTION("""COMPUTED_VALUE"""),"Western Kentucky")</f>
        <v>Western Kentucky</v>
      </c>
      <c r="DW9" t="str">
        <f>IFERROR(__xludf.DUMMYFUNCTION("""COMPUTED_VALUE"""),"Western Michigan")</f>
        <v>Western Michigan</v>
      </c>
      <c r="DX9" t="str">
        <f>IFERROR(__xludf.DUMMYFUNCTION("""COMPUTED_VALUE"""),"Wisconsin")</f>
        <v>Wisconsin</v>
      </c>
      <c r="DY9" t="str">
        <f>IFERROR(__xludf.DUMMYFUNCTION("""COMPUTED_VALUE"""),"Wyoming")</f>
        <v>Wyoming</v>
      </c>
    </row>
    <row r="10">
      <c r="A10" s="1">
        <v>9.0</v>
      </c>
      <c r="B10" t="str">
        <f>IFERROR(__xludf.DUMMYFUNCTION("split(join("","",sort(byrow('Teams-Conference'!A$2:A1000,lambda(rw,if(iserror(match(rw,DraftTracker!F$1:F10,0)),rw,""""))),1,1)),"","",1,1)"),"Air Force")</f>
        <v>Air Force</v>
      </c>
      <c r="C10" t="str">
        <f>IFERROR(__xludf.DUMMYFUNCTION("""COMPUTED_VALUE"""),"Akron")</f>
        <v>Akron</v>
      </c>
      <c r="D10" t="str">
        <f>IFERROR(__xludf.DUMMYFUNCTION("""COMPUTED_VALUE"""),"Alabama")</f>
        <v>Alabama</v>
      </c>
      <c r="E10" t="str">
        <f>IFERROR(__xludf.DUMMYFUNCTION("""COMPUTED_VALUE"""),"Appalachian State")</f>
        <v>Appalachian State</v>
      </c>
      <c r="F10" t="str">
        <f>IFERROR(__xludf.DUMMYFUNCTION("""COMPUTED_VALUE"""),"Arizona")</f>
        <v>Arizona</v>
      </c>
      <c r="G10" t="str">
        <f>IFERROR(__xludf.DUMMYFUNCTION("""COMPUTED_VALUE"""),"Arizona State")</f>
        <v>Arizona State</v>
      </c>
      <c r="H10" t="str">
        <f>IFERROR(__xludf.DUMMYFUNCTION("""COMPUTED_VALUE"""),"Arkansas")</f>
        <v>Arkansas</v>
      </c>
      <c r="I10" t="str">
        <f>IFERROR(__xludf.DUMMYFUNCTION("""COMPUTED_VALUE"""),"Arkansas State")</f>
        <v>Arkansas State</v>
      </c>
      <c r="J10" t="str">
        <f>IFERROR(__xludf.DUMMYFUNCTION("""COMPUTED_VALUE"""),"Army")</f>
        <v>Army</v>
      </c>
      <c r="K10" t="str">
        <f>IFERROR(__xludf.DUMMYFUNCTION("""COMPUTED_VALUE"""),"Auburn")</f>
        <v>Auburn</v>
      </c>
      <c r="L10" t="str">
        <f>IFERROR(__xludf.DUMMYFUNCTION("""COMPUTED_VALUE"""),"Ball State")</f>
        <v>Ball State</v>
      </c>
      <c r="M10" t="str">
        <f>IFERROR(__xludf.DUMMYFUNCTION("""COMPUTED_VALUE"""),"Baylor")</f>
        <v>Baylor</v>
      </c>
      <c r="N10" t="str">
        <f>IFERROR(__xludf.DUMMYFUNCTION("""COMPUTED_VALUE"""),"Boston College")</f>
        <v>Boston College</v>
      </c>
      <c r="O10" t="str">
        <f>IFERROR(__xludf.DUMMYFUNCTION("""COMPUTED_VALUE"""),"Bowling Green")</f>
        <v>Bowling Green</v>
      </c>
      <c r="P10" t="str">
        <f>IFERROR(__xludf.DUMMYFUNCTION("""COMPUTED_VALUE"""),"Buffalo")</f>
        <v>Buffalo</v>
      </c>
      <c r="Q10" t="str">
        <f>IFERROR(__xludf.DUMMYFUNCTION("""COMPUTED_VALUE"""),"BYU")</f>
        <v>BYU</v>
      </c>
      <c r="R10" t="str">
        <f>IFERROR(__xludf.DUMMYFUNCTION("""COMPUTED_VALUE"""),"California")</f>
        <v>California</v>
      </c>
      <c r="S10" t="str">
        <f>IFERROR(__xludf.DUMMYFUNCTION("""COMPUTED_VALUE"""),"Central Michigan")</f>
        <v>Central Michigan</v>
      </c>
      <c r="T10" t="str">
        <f>IFERROR(__xludf.DUMMYFUNCTION("""COMPUTED_VALUE"""),"Charlotte")</f>
        <v>Charlotte</v>
      </c>
      <c r="U10" t="str">
        <f>IFERROR(__xludf.DUMMYFUNCTION("""COMPUTED_VALUE"""),"Cincinnati")</f>
        <v>Cincinnati</v>
      </c>
      <c r="V10" t="str">
        <f>IFERROR(__xludf.DUMMYFUNCTION("""COMPUTED_VALUE"""),"Clemson")</f>
        <v>Clemson</v>
      </c>
      <c r="W10" t="str">
        <f>IFERROR(__xludf.DUMMYFUNCTION("""COMPUTED_VALUE"""),"Coastal Carolina")</f>
        <v>Coastal Carolina</v>
      </c>
      <c r="X10" t="str">
        <f>IFERROR(__xludf.DUMMYFUNCTION("""COMPUTED_VALUE"""),"Colorado")</f>
        <v>Colorado</v>
      </c>
      <c r="Y10" t="str">
        <f>IFERROR(__xludf.DUMMYFUNCTION("""COMPUTED_VALUE"""),"Colorado State")</f>
        <v>Colorado State</v>
      </c>
      <c r="Z10" t="str">
        <f>IFERROR(__xludf.DUMMYFUNCTION("""COMPUTED_VALUE"""),"Delaware")</f>
        <v>Delaware</v>
      </c>
      <c r="AA10" t="str">
        <f>IFERROR(__xludf.DUMMYFUNCTION("""COMPUTED_VALUE"""),"Duke")</f>
        <v>Duke</v>
      </c>
      <c r="AB10" t="str">
        <f>IFERROR(__xludf.DUMMYFUNCTION("""COMPUTED_VALUE"""),"East Carolina")</f>
        <v>East Carolina</v>
      </c>
      <c r="AC10" t="str">
        <f>IFERROR(__xludf.DUMMYFUNCTION("""COMPUTED_VALUE"""),"EMU")</f>
        <v>EMU</v>
      </c>
      <c r="AD10" t="str">
        <f>IFERROR(__xludf.DUMMYFUNCTION("""COMPUTED_VALUE"""),"Florida")</f>
        <v>Florida</v>
      </c>
      <c r="AE10" t="str">
        <f>IFERROR(__xludf.DUMMYFUNCTION("""COMPUTED_VALUE"""),"Florida Atlantic")</f>
        <v>Florida Atlantic</v>
      </c>
      <c r="AF10" t="str">
        <f>IFERROR(__xludf.DUMMYFUNCTION("""COMPUTED_VALUE"""),"Florida Intl")</f>
        <v>Florida Intl</v>
      </c>
      <c r="AG10" t="str">
        <f>IFERROR(__xludf.DUMMYFUNCTION("""COMPUTED_VALUE"""),"Florida State")</f>
        <v>Florida State</v>
      </c>
      <c r="AH10" t="str">
        <f>IFERROR(__xludf.DUMMYFUNCTION("""COMPUTED_VALUE"""),"Fresno State")</f>
        <v>Fresno State</v>
      </c>
      <c r="AI10" t="str">
        <f>IFERROR(__xludf.DUMMYFUNCTION("""COMPUTED_VALUE"""),"Georgia")</f>
        <v>Georgia</v>
      </c>
      <c r="AJ10" t="str">
        <f>IFERROR(__xludf.DUMMYFUNCTION("""COMPUTED_VALUE"""),"Georgia Southern")</f>
        <v>Georgia Southern</v>
      </c>
      <c r="AK10" t="str">
        <f>IFERROR(__xludf.DUMMYFUNCTION("""COMPUTED_VALUE"""),"Georgia State")</f>
        <v>Georgia State</v>
      </c>
      <c r="AL10" t="str">
        <f>IFERROR(__xludf.DUMMYFUNCTION("""COMPUTED_VALUE"""),"Georgia Tech")</f>
        <v>Georgia Tech</v>
      </c>
      <c r="AM10" t="str">
        <f>IFERROR(__xludf.DUMMYFUNCTION("""COMPUTED_VALUE"""),"Hawaii")</f>
        <v>Hawaii</v>
      </c>
      <c r="AN10" t="str">
        <f>IFERROR(__xludf.DUMMYFUNCTION("""COMPUTED_VALUE"""),"Houston")</f>
        <v>Houston</v>
      </c>
      <c r="AO10" t="str">
        <f>IFERROR(__xludf.DUMMYFUNCTION("""COMPUTED_VALUE"""),"Illinois")</f>
        <v>Illinois</v>
      </c>
      <c r="AP10" t="str">
        <f>IFERROR(__xludf.DUMMYFUNCTION("""COMPUTED_VALUE"""),"Indiana")</f>
        <v>Indiana</v>
      </c>
      <c r="AQ10" t="str">
        <f>IFERROR(__xludf.DUMMYFUNCTION("""COMPUTED_VALUE"""),"Iowa")</f>
        <v>Iowa</v>
      </c>
      <c r="AR10" t="str">
        <f>IFERROR(__xludf.DUMMYFUNCTION("""COMPUTED_VALUE"""),"Iowa State")</f>
        <v>Iowa State</v>
      </c>
      <c r="AS10" t="str">
        <f>IFERROR(__xludf.DUMMYFUNCTION("""COMPUTED_VALUE"""),"Jacksonville State")</f>
        <v>Jacksonville State</v>
      </c>
      <c r="AT10" t="str">
        <f>IFERROR(__xludf.DUMMYFUNCTION("""COMPUTED_VALUE"""),"James Madison")</f>
        <v>James Madison</v>
      </c>
      <c r="AU10" t="str">
        <f>IFERROR(__xludf.DUMMYFUNCTION("""COMPUTED_VALUE"""),"Kansas")</f>
        <v>Kansas</v>
      </c>
      <c r="AV10" t="str">
        <f>IFERROR(__xludf.DUMMYFUNCTION("""COMPUTED_VALUE"""),"Kansas State")</f>
        <v>Kansas State</v>
      </c>
      <c r="AW10" t="str">
        <f>IFERROR(__xludf.DUMMYFUNCTION("""COMPUTED_VALUE"""),"Kennesaw State")</f>
        <v>Kennesaw State</v>
      </c>
      <c r="AX10" t="str">
        <f>IFERROR(__xludf.DUMMYFUNCTION("""COMPUTED_VALUE"""),"Kent State")</f>
        <v>Kent State</v>
      </c>
      <c r="AY10" t="str">
        <f>IFERROR(__xludf.DUMMYFUNCTION("""COMPUTED_VALUE"""),"Kentucky")</f>
        <v>Kentucky</v>
      </c>
      <c r="AZ10" t="str">
        <f>IFERROR(__xludf.DUMMYFUNCTION("""COMPUTED_VALUE"""),"Louisiana Tech")</f>
        <v>Louisiana Tech</v>
      </c>
      <c r="BA10" t="str">
        <f>IFERROR(__xludf.DUMMYFUNCTION("""COMPUTED_VALUE"""),"Louisville")</f>
        <v>Louisville</v>
      </c>
      <c r="BB10" t="str">
        <f>IFERROR(__xludf.DUMMYFUNCTION("""COMPUTED_VALUE"""),"LSU")</f>
        <v>LSU</v>
      </c>
      <c r="BC10" t="str">
        <f>IFERROR(__xludf.DUMMYFUNCTION("""COMPUTED_VALUE"""),"Marshall")</f>
        <v>Marshall</v>
      </c>
      <c r="BD10" t="str">
        <f>IFERROR(__xludf.DUMMYFUNCTION("""COMPUTED_VALUE"""),"Maryland")</f>
        <v>Maryland</v>
      </c>
      <c r="BE10" t="str">
        <f>IFERROR(__xludf.DUMMYFUNCTION("""COMPUTED_VALUE"""),"Miami")</f>
        <v>Miami</v>
      </c>
      <c r="BF10" t="str">
        <f>IFERROR(__xludf.DUMMYFUNCTION("""COMPUTED_VALUE"""),"Miami-OH")</f>
        <v>Miami-OH</v>
      </c>
      <c r="BG10" t="str">
        <f>IFERROR(__xludf.DUMMYFUNCTION("""COMPUTED_VALUE"""),"Michigan")</f>
        <v>Michigan</v>
      </c>
      <c r="BH10" t="str">
        <f>IFERROR(__xludf.DUMMYFUNCTION("""COMPUTED_VALUE"""),"Michigan State")</f>
        <v>Michigan State</v>
      </c>
      <c r="BI10" t="str">
        <f>IFERROR(__xludf.DUMMYFUNCTION("""COMPUTED_VALUE"""),"Middle Tennessee")</f>
        <v>Middle Tennessee</v>
      </c>
      <c r="BJ10" t="str">
        <f>IFERROR(__xludf.DUMMYFUNCTION("""COMPUTED_VALUE"""),"Minnesota")</f>
        <v>Minnesota</v>
      </c>
      <c r="BK10" t="str">
        <f>IFERROR(__xludf.DUMMYFUNCTION("""COMPUTED_VALUE"""),"Mississippi State")</f>
        <v>Mississippi State</v>
      </c>
      <c r="BL10" t="str">
        <f>IFERROR(__xludf.DUMMYFUNCTION("""COMPUTED_VALUE"""),"Missouri")</f>
        <v>Missouri</v>
      </c>
      <c r="BM10" t="str">
        <f>IFERROR(__xludf.DUMMYFUNCTION("""COMPUTED_VALUE"""),"Missouri State")</f>
        <v>Missouri State</v>
      </c>
      <c r="BN10" t="str">
        <f>IFERROR(__xludf.DUMMYFUNCTION("""COMPUTED_VALUE"""),"Navy")</f>
        <v>Navy</v>
      </c>
      <c r="BO10" t="str">
        <f>IFERROR(__xludf.DUMMYFUNCTION("""COMPUTED_VALUE"""),"NC State")</f>
        <v>NC State</v>
      </c>
      <c r="BP10" t="str">
        <f>IFERROR(__xludf.DUMMYFUNCTION("""COMPUTED_VALUE"""),"Nebraska")</f>
        <v>Nebraska</v>
      </c>
      <c r="BQ10" t="str">
        <f>IFERROR(__xludf.DUMMYFUNCTION("""COMPUTED_VALUE"""),"Nevada")</f>
        <v>Nevada</v>
      </c>
      <c r="BR10" t="str">
        <f>IFERROR(__xludf.DUMMYFUNCTION("""COMPUTED_VALUE"""),"New Mexico")</f>
        <v>New Mexico</v>
      </c>
      <c r="BS10" t="str">
        <f>IFERROR(__xludf.DUMMYFUNCTION("""COMPUTED_VALUE"""),"New Mexico State")</f>
        <v>New Mexico State</v>
      </c>
      <c r="BT10" t="str">
        <f>IFERROR(__xludf.DUMMYFUNCTION("""COMPUTED_VALUE"""),"North Carolina")</f>
        <v>North Carolina</v>
      </c>
      <c r="BU10" t="str">
        <f>IFERROR(__xludf.DUMMYFUNCTION("""COMPUTED_VALUE"""),"North Texas")</f>
        <v>North Texas</v>
      </c>
      <c r="BV10" t="str">
        <f>IFERROR(__xludf.DUMMYFUNCTION("""COMPUTED_VALUE"""),"Northern Illinois")</f>
        <v>Northern Illinois</v>
      </c>
      <c r="BW10" t="str">
        <f>IFERROR(__xludf.DUMMYFUNCTION("""COMPUTED_VALUE"""),"Northwestern")</f>
        <v>Northwestern</v>
      </c>
      <c r="BX10" t="str">
        <f>IFERROR(__xludf.DUMMYFUNCTION("""COMPUTED_VALUE"""),"Ohio")</f>
        <v>Ohio</v>
      </c>
      <c r="BY10" t="str">
        <f>IFERROR(__xludf.DUMMYFUNCTION("""COMPUTED_VALUE"""),"Oklahoma")</f>
        <v>Oklahoma</v>
      </c>
      <c r="BZ10" t="str">
        <f>IFERROR(__xludf.DUMMYFUNCTION("""COMPUTED_VALUE"""),"Oklahoma State")</f>
        <v>Oklahoma State</v>
      </c>
      <c r="CA10" t="str">
        <f>IFERROR(__xludf.DUMMYFUNCTION("""COMPUTED_VALUE"""),"Old Dominion")</f>
        <v>Old Dominion</v>
      </c>
      <c r="CB10" t="str">
        <f>IFERROR(__xludf.DUMMYFUNCTION("""COMPUTED_VALUE"""),"Ole Miss")</f>
        <v>Ole Miss</v>
      </c>
      <c r="CC10" t="str">
        <f>IFERROR(__xludf.DUMMYFUNCTION("""COMPUTED_VALUE"""),"Oregon State")</f>
        <v>Oregon State</v>
      </c>
      <c r="CD10" t="str">
        <f>IFERROR(__xludf.DUMMYFUNCTION("""COMPUTED_VALUE"""),"Pittsburgh")</f>
        <v>Pittsburgh</v>
      </c>
      <c r="CE10" t="str">
        <f>IFERROR(__xludf.DUMMYFUNCTION("""COMPUTED_VALUE"""),"Purdue")</f>
        <v>Purdue</v>
      </c>
      <c r="CF10" t="str">
        <f>IFERROR(__xludf.DUMMYFUNCTION("""COMPUTED_VALUE"""),"Rice")</f>
        <v>Rice</v>
      </c>
      <c r="CG10" t="str">
        <f>IFERROR(__xludf.DUMMYFUNCTION("""COMPUTED_VALUE"""),"Rutgers")</f>
        <v>Rutgers</v>
      </c>
      <c r="CH10" t="str">
        <f>IFERROR(__xludf.DUMMYFUNCTION("""COMPUTED_VALUE"""),"Sam Houston")</f>
        <v>Sam Houston</v>
      </c>
      <c r="CI10" t="str">
        <f>IFERROR(__xludf.DUMMYFUNCTION("""COMPUTED_VALUE"""),"San Diego State")</f>
        <v>San Diego State</v>
      </c>
      <c r="CJ10" t="str">
        <f>IFERROR(__xludf.DUMMYFUNCTION("""COMPUTED_VALUE"""),"San José State")</f>
        <v>San José State</v>
      </c>
      <c r="CK10" t="str">
        <f>IFERROR(__xludf.DUMMYFUNCTION("""COMPUTED_VALUE"""),"SMU")</f>
        <v>SMU</v>
      </c>
      <c r="CL10" t="str">
        <f>IFERROR(__xludf.DUMMYFUNCTION("""COMPUTED_VALUE"""),"South Alabama")</f>
        <v>South Alabama</v>
      </c>
      <c r="CM10" t="str">
        <f>IFERROR(__xludf.DUMMYFUNCTION("""COMPUTED_VALUE"""),"South Carolina")</f>
        <v>South Carolina</v>
      </c>
      <c r="CN10" t="str">
        <f>IFERROR(__xludf.DUMMYFUNCTION("""COMPUTED_VALUE"""),"South Florida")</f>
        <v>South Florida</v>
      </c>
      <c r="CO10" t="str">
        <f>IFERROR(__xludf.DUMMYFUNCTION("""COMPUTED_VALUE"""),"Southern Mississippi")</f>
        <v>Southern Mississippi</v>
      </c>
      <c r="CP10" t="str">
        <f>IFERROR(__xludf.DUMMYFUNCTION("""COMPUTED_VALUE"""),"Stanford")</f>
        <v>Stanford</v>
      </c>
      <c r="CQ10" t="str">
        <f>IFERROR(__xludf.DUMMYFUNCTION("""COMPUTED_VALUE"""),"Syracuse")</f>
        <v>Syracuse</v>
      </c>
      <c r="CR10" t="str">
        <f>IFERROR(__xludf.DUMMYFUNCTION("""COMPUTED_VALUE"""),"TCU")</f>
        <v>TCU</v>
      </c>
      <c r="CS10" t="str">
        <f>IFERROR(__xludf.DUMMYFUNCTION("""COMPUTED_VALUE"""),"Temple")</f>
        <v>Temple</v>
      </c>
      <c r="CT10" t="str">
        <f>IFERROR(__xludf.DUMMYFUNCTION("""COMPUTED_VALUE"""),"Tennessee")</f>
        <v>Tennessee</v>
      </c>
      <c r="CU10" t="str">
        <f>IFERROR(__xludf.DUMMYFUNCTION("""COMPUTED_VALUE"""),"Texas")</f>
        <v>Texas</v>
      </c>
      <c r="CV10" t="str">
        <f>IFERROR(__xludf.DUMMYFUNCTION("""COMPUTED_VALUE"""),"Texas A&amp;M")</f>
        <v>Texas A&amp;M</v>
      </c>
      <c r="CW10" t="str">
        <f>IFERROR(__xludf.DUMMYFUNCTION("""COMPUTED_VALUE"""),"Texas State")</f>
        <v>Texas State</v>
      </c>
      <c r="CX10" t="str">
        <f>IFERROR(__xludf.DUMMYFUNCTION("""COMPUTED_VALUE"""),"Texas Tech")</f>
        <v>Texas Tech</v>
      </c>
      <c r="CY10" t="str">
        <f>IFERROR(__xludf.DUMMYFUNCTION("""COMPUTED_VALUE"""),"Troy")</f>
        <v>Troy</v>
      </c>
      <c r="CZ10" t="str">
        <f>IFERROR(__xludf.DUMMYFUNCTION("""COMPUTED_VALUE"""),"Tulane")</f>
        <v>Tulane</v>
      </c>
      <c r="DA10" t="str">
        <f>IFERROR(__xludf.DUMMYFUNCTION("""COMPUTED_VALUE"""),"Tulsa")</f>
        <v>Tulsa</v>
      </c>
      <c r="DB10" t="str">
        <f>IFERROR(__xludf.DUMMYFUNCTION("""COMPUTED_VALUE"""),"UAB")</f>
        <v>UAB</v>
      </c>
      <c r="DC10" t="str">
        <f>IFERROR(__xludf.DUMMYFUNCTION("""COMPUTED_VALUE"""),"UCF")</f>
        <v>UCF</v>
      </c>
      <c r="DD10" t="str">
        <f>IFERROR(__xludf.DUMMYFUNCTION("""COMPUTED_VALUE"""),"UCLA")</f>
        <v>UCLA</v>
      </c>
      <c r="DE10" t="str">
        <f>IFERROR(__xludf.DUMMYFUNCTION("""COMPUTED_VALUE"""),"UConn")</f>
        <v>UConn</v>
      </c>
      <c r="DF10" t="str">
        <f>IFERROR(__xludf.DUMMYFUNCTION("""COMPUTED_VALUE"""),"UL Lafayette")</f>
        <v>UL Lafayette</v>
      </c>
      <c r="DG10" t="str">
        <f>IFERROR(__xludf.DUMMYFUNCTION("""COMPUTED_VALUE"""),"UL Monroe")</f>
        <v>UL Monroe</v>
      </c>
      <c r="DH10" t="str">
        <f>IFERROR(__xludf.DUMMYFUNCTION("""COMPUTED_VALUE"""),"UMASS")</f>
        <v>UMASS</v>
      </c>
      <c r="DI10" t="str">
        <f>IFERROR(__xludf.DUMMYFUNCTION("""COMPUTED_VALUE"""),"USC")</f>
        <v>USC</v>
      </c>
      <c r="DJ10" t="str">
        <f>IFERROR(__xludf.DUMMYFUNCTION("""COMPUTED_VALUE"""),"Utah")</f>
        <v>Utah</v>
      </c>
      <c r="DK10" t="str">
        <f>IFERROR(__xludf.DUMMYFUNCTION("""COMPUTED_VALUE"""),"Utah State")</f>
        <v>Utah State</v>
      </c>
      <c r="DL10" t="str">
        <f>IFERROR(__xludf.DUMMYFUNCTION("""COMPUTED_VALUE"""),"UTEP")</f>
        <v>UTEP</v>
      </c>
      <c r="DM10" t="str">
        <f>IFERROR(__xludf.DUMMYFUNCTION("""COMPUTED_VALUE"""),"UTSA")</f>
        <v>UTSA</v>
      </c>
      <c r="DN10" t="str">
        <f>IFERROR(__xludf.DUMMYFUNCTION("""COMPUTED_VALUE"""),"Vanderbilt")</f>
        <v>Vanderbilt</v>
      </c>
      <c r="DO10" t="str">
        <f>IFERROR(__xludf.DUMMYFUNCTION("""COMPUTED_VALUE"""),"Virginia")</f>
        <v>Virginia</v>
      </c>
      <c r="DP10" t="str">
        <f>IFERROR(__xludf.DUMMYFUNCTION("""COMPUTED_VALUE"""),"Virginia Tech")</f>
        <v>Virginia Tech</v>
      </c>
      <c r="DQ10" t="str">
        <f>IFERROR(__xludf.DUMMYFUNCTION("""COMPUTED_VALUE"""),"Wake Forest")</f>
        <v>Wake Forest</v>
      </c>
      <c r="DR10" t="str">
        <f>IFERROR(__xludf.DUMMYFUNCTION("""COMPUTED_VALUE"""),"Washington")</f>
        <v>Washington</v>
      </c>
      <c r="DS10" t="str">
        <f>IFERROR(__xludf.DUMMYFUNCTION("""COMPUTED_VALUE"""),"Washington State")</f>
        <v>Washington State</v>
      </c>
      <c r="DT10" t="str">
        <f>IFERROR(__xludf.DUMMYFUNCTION("""COMPUTED_VALUE"""),"West Virginia")</f>
        <v>West Virginia</v>
      </c>
      <c r="DU10" t="str">
        <f>IFERROR(__xludf.DUMMYFUNCTION("""COMPUTED_VALUE"""),"Western Kentucky")</f>
        <v>Western Kentucky</v>
      </c>
      <c r="DV10" t="str">
        <f>IFERROR(__xludf.DUMMYFUNCTION("""COMPUTED_VALUE"""),"Western Michigan")</f>
        <v>Western Michigan</v>
      </c>
      <c r="DW10" t="str">
        <f>IFERROR(__xludf.DUMMYFUNCTION("""COMPUTED_VALUE"""),"Wisconsin")</f>
        <v>Wisconsin</v>
      </c>
      <c r="DX10" t="str">
        <f>IFERROR(__xludf.DUMMYFUNCTION("""COMPUTED_VALUE"""),"Wyoming")</f>
        <v>Wyoming</v>
      </c>
    </row>
    <row r="11">
      <c r="A11" s="1">
        <v>10.0</v>
      </c>
      <c r="B11" t="str">
        <f>IFERROR(__xludf.DUMMYFUNCTION("split(join("","",sort(byrow('Teams-Conference'!A$2:A1000,lambda(rw,if(iserror(match(rw,DraftTracker!F$1:F11,0)),rw,""""))),1,1)),"","",1,1)"),"Air Force")</f>
        <v>Air Force</v>
      </c>
      <c r="C11" t="str">
        <f>IFERROR(__xludf.DUMMYFUNCTION("""COMPUTED_VALUE"""),"Akron")</f>
        <v>Akron</v>
      </c>
      <c r="D11" t="str">
        <f>IFERROR(__xludf.DUMMYFUNCTION("""COMPUTED_VALUE"""),"Alabama")</f>
        <v>Alabama</v>
      </c>
      <c r="E11" t="str">
        <f>IFERROR(__xludf.DUMMYFUNCTION("""COMPUTED_VALUE"""),"Appalachian State")</f>
        <v>Appalachian State</v>
      </c>
      <c r="F11" t="str">
        <f>IFERROR(__xludf.DUMMYFUNCTION("""COMPUTED_VALUE"""),"Arizona")</f>
        <v>Arizona</v>
      </c>
      <c r="G11" t="str">
        <f>IFERROR(__xludf.DUMMYFUNCTION("""COMPUTED_VALUE"""),"Arizona State")</f>
        <v>Arizona State</v>
      </c>
      <c r="H11" t="str">
        <f>IFERROR(__xludf.DUMMYFUNCTION("""COMPUTED_VALUE"""),"Arkansas")</f>
        <v>Arkansas</v>
      </c>
      <c r="I11" t="str">
        <f>IFERROR(__xludf.DUMMYFUNCTION("""COMPUTED_VALUE"""),"Arkansas State")</f>
        <v>Arkansas State</v>
      </c>
      <c r="J11" t="str">
        <f>IFERROR(__xludf.DUMMYFUNCTION("""COMPUTED_VALUE"""),"Army")</f>
        <v>Army</v>
      </c>
      <c r="K11" t="str">
        <f>IFERROR(__xludf.DUMMYFUNCTION("""COMPUTED_VALUE"""),"Auburn")</f>
        <v>Auburn</v>
      </c>
      <c r="L11" t="str">
        <f>IFERROR(__xludf.DUMMYFUNCTION("""COMPUTED_VALUE"""),"Ball State")</f>
        <v>Ball State</v>
      </c>
      <c r="M11" t="str">
        <f>IFERROR(__xludf.DUMMYFUNCTION("""COMPUTED_VALUE"""),"Baylor")</f>
        <v>Baylor</v>
      </c>
      <c r="N11" t="str">
        <f>IFERROR(__xludf.DUMMYFUNCTION("""COMPUTED_VALUE"""),"Boston College")</f>
        <v>Boston College</v>
      </c>
      <c r="O11" t="str">
        <f>IFERROR(__xludf.DUMMYFUNCTION("""COMPUTED_VALUE"""),"Bowling Green")</f>
        <v>Bowling Green</v>
      </c>
      <c r="P11" t="str">
        <f>IFERROR(__xludf.DUMMYFUNCTION("""COMPUTED_VALUE"""),"Buffalo")</f>
        <v>Buffalo</v>
      </c>
      <c r="Q11" t="str">
        <f>IFERROR(__xludf.DUMMYFUNCTION("""COMPUTED_VALUE"""),"BYU")</f>
        <v>BYU</v>
      </c>
      <c r="R11" t="str">
        <f>IFERROR(__xludf.DUMMYFUNCTION("""COMPUTED_VALUE"""),"California")</f>
        <v>California</v>
      </c>
      <c r="S11" t="str">
        <f>IFERROR(__xludf.DUMMYFUNCTION("""COMPUTED_VALUE"""),"Central Michigan")</f>
        <v>Central Michigan</v>
      </c>
      <c r="T11" t="str">
        <f>IFERROR(__xludf.DUMMYFUNCTION("""COMPUTED_VALUE"""),"Charlotte")</f>
        <v>Charlotte</v>
      </c>
      <c r="U11" t="str">
        <f>IFERROR(__xludf.DUMMYFUNCTION("""COMPUTED_VALUE"""),"Cincinnati")</f>
        <v>Cincinnati</v>
      </c>
      <c r="V11" t="str">
        <f>IFERROR(__xludf.DUMMYFUNCTION("""COMPUTED_VALUE"""),"Coastal Carolina")</f>
        <v>Coastal Carolina</v>
      </c>
      <c r="W11" t="str">
        <f>IFERROR(__xludf.DUMMYFUNCTION("""COMPUTED_VALUE"""),"Colorado")</f>
        <v>Colorado</v>
      </c>
      <c r="X11" t="str">
        <f>IFERROR(__xludf.DUMMYFUNCTION("""COMPUTED_VALUE"""),"Colorado State")</f>
        <v>Colorado State</v>
      </c>
      <c r="Y11" t="str">
        <f>IFERROR(__xludf.DUMMYFUNCTION("""COMPUTED_VALUE"""),"Delaware")</f>
        <v>Delaware</v>
      </c>
      <c r="Z11" t="str">
        <f>IFERROR(__xludf.DUMMYFUNCTION("""COMPUTED_VALUE"""),"Duke")</f>
        <v>Duke</v>
      </c>
      <c r="AA11" t="str">
        <f>IFERROR(__xludf.DUMMYFUNCTION("""COMPUTED_VALUE"""),"East Carolina")</f>
        <v>East Carolina</v>
      </c>
      <c r="AB11" t="str">
        <f>IFERROR(__xludf.DUMMYFUNCTION("""COMPUTED_VALUE"""),"EMU")</f>
        <v>EMU</v>
      </c>
      <c r="AC11" t="str">
        <f>IFERROR(__xludf.DUMMYFUNCTION("""COMPUTED_VALUE"""),"Florida")</f>
        <v>Florida</v>
      </c>
      <c r="AD11" t="str">
        <f>IFERROR(__xludf.DUMMYFUNCTION("""COMPUTED_VALUE"""),"Florida Atlantic")</f>
        <v>Florida Atlantic</v>
      </c>
      <c r="AE11" t="str">
        <f>IFERROR(__xludf.DUMMYFUNCTION("""COMPUTED_VALUE"""),"Florida Intl")</f>
        <v>Florida Intl</v>
      </c>
      <c r="AF11" t="str">
        <f>IFERROR(__xludf.DUMMYFUNCTION("""COMPUTED_VALUE"""),"Florida State")</f>
        <v>Florida State</v>
      </c>
      <c r="AG11" t="str">
        <f>IFERROR(__xludf.DUMMYFUNCTION("""COMPUTED_VALUE"""),"Fresno State")</f>
        <v>Fresno State</v>
      </c>
      <c r="AH11" t="str">
        <f>IFERROR(__xludf.DUMMYFUNCTION("""COMPUTED_VALUE"""),"Georgia")</f>
        <v>Georgia</v>
      </c>
      <c r="AI11" t="str">
        <f>IFERROR(__xludf.DUMMYFUNCTION("""COMPUTED_VALUE"""),"Georgia Southern")</f>
        <v>Georgia Southern</v>
      </c>
      <c r="AJ11" t="str">
        <f>IFERROR(__xludf.DUMMYFUNCTION("""COMPUTED_VALUE"""),"Georgia State")</f>
        <v>Georgia State</v>
      </c>
      <c r="AK11" t="str">
        <f>IFERROR(__xludf.DUMMYFUNCTION("""COMPUTED_VALUE"""),"Georgia Tech")</f>
        <v>Georgia Tech</v>
      </c>
      <c r="AL11" t="str">
        <f>IFERROR(__xludf.DUMMYFUNCTION("""COMPUTED_VALUE"""),"Hawaii")</f>
        <v>Hawaii</v>
      </c>
      <c r="AM11" t="str">
        <f>IFERROR(__xludf.DUMMYFUNCTION("""COMPUTED_VALUE"""),"Houston")</f>
        <v>Houston</v>
      </c>
      <c r="AN11" t="str">
        <f>IFERROR(__xludf.DUMMYFUNCTION("""COMPUTED_VALUE"""),"Illinois")</f>
        <v>Illinois</v>
      </c>
      <c r="AO11" t="str">
        <f>IFERROR(__xludf.DUMMYFUNCTION("""COMPUTED_VALUE"""),"Indiana")</f>
        <v>Indiana</v>
      </c>
      <c r="AP11" t="str">
        <f>IFERROR(__xludf.DUMMYFUNCTION("""COMPUTED_VALUE"""),"Iowa")</f>
        <v>Iowa</v>
      </c>
      <c r="AQ11" t="str">
        <f>IFERROR(__xludf.DUMMYFUNCTION("""COMPUTED_VALUE"""),"Iowa State")</f>
        <v>Iowa State</v>
      </c>
      <c r="AR11" t="str">
        <f>IFERROR(__xludf.DUMMYFUNCTION("""COMPUTED_VALUE"""),"Jacksonville State")</f>
        <v>Jacksonville State</v>
      </c>
      <c r="AS11" t="str">
        <f>IFERROR(__xludf.DUMMYFUNCTION("""COMPUTED_VALUE"""),"James Madison")</f>
        <v>James Madison</v>
      </c>
      <c r="AT11" t="str">
        <f>IFERROR(__xludf.DUMMYFUNCTION("""COMPUTED_VALUE"""),"Kansas")</f>
        <v>Kansas</v>
      </c>
      <c r="AU11" t="str">
        <f>IFERROR(__xludf.DUMMYFUNCTION("""COMPUTED_VALUE"""),"Kansas State")</f>
        <v>Kansas State</v>
      </c>
      <c r="AV11" t="str">
        <f>IFERROR(__xludf.DUMMYFUNCTION("""COMPUTED_VALUE"""),"Kennesaw State")</f>
        <v>Kennesaw State</v>
      </c>
      <c r="AW11" t="str">
        <f>IFERROR(__xludf.DUMMYFUNCTION("""COMPUTED_VALUE"""),"Kent State")</f>
        <v>Kent State</v>
      </c>
      <c r="AX11" t="str">
        <f>IFERROR(__xludf.DUMMYFUNCTION("""COMPUTED_VALUE"""),"Kentucky")</f>
        <v>Kentucky</v>
      </c>
      <c r="AY11" t="str">
        <f>IFERROR(__xludf.DUMMYFUNCTION("""COMPUTED_VALUE"""),"Louisiana Tech")</f>
        <v>Louisiana Tech</v>
      </c>
      <c r="AZ11" t="str">
        <f>IFERROR(__xludf.DUMMYFUNCTION("""COMPUTED_VALUE"""),"Louisville")</f>
        <v>Louisville</v>
      </c>
      <c r="BA11" t="str">
        <f>IFERROR(__xludf.DUMMYFUNCTION("""COMPUTED_VALUE"""),"LSU")</f>
        <v>LSU</v>
      </c>
      <c r="BB11" t="str">
        <f>IFERROR(__xludf.DUMMYFUNCTION("""COMPUTED_VALUE"""),"Marshall")</f>
        <v>Marshall</v>
      </c>
      <c r="BC11" t="str">
        <f>IFERROR(__xludf.DUMMYFUNCTION("""COMPUTED_VALUE"""),"Maryland")</f>
        <v>Maryland</v>
      </c>
      <c r="BD11" t="str">
        <f>IFERROR(__xludf.DUMMYFUNCTION("""COMPUTED_VALUE"""),"Miami")</f>
        <v>Miami</v>
      </c>
      <c r="BE11" t="str">
        <f>IFERROR(__xludf.DUMMYFUNCTION("""COMPUTED_VALUE"""),"Miami-OH")</f>
        <v>Miami-OH</v>
      </c>
      <c r="BF11" t="str">
        <f>IFERROR(__xludf.DUMMYFUNCTION("""COMPUTED_VALUE"""),"Michigan")</f>
        <v>Michigan</v>
      </c>
      <c r="BG11" t="str">
        <f>IFERROR(__xludf.DUMMYFUNCTION("""COMPUTED_VALUE"""),"Michigan State")</f>
        <v>Michigan State</v>
      </c>
      <c r="BH11" t="str">
        <f>IFERROR(__xludf.DUMMYFUNCTION("""COMPUTED_VALUE"""),"Middle Tennessee")</f>
        <v>Middle Tennessee</v>
      </c>
      <c r="BI11" t="str">
        <f>IFERROR(__xludf.DUMMYFUNCTION("""COMPUTED_VALUE"""),"Minnesota")</f>
        <v>Minnesota</v>
      </c>
      <c r="BJ11" t="str">
        <f>IFERROR(__xludf.DUMMYFUNCTION("""COMPUTED_VALUE"""),"Mississippi State")</f>
        <v>Mississippi State</v>
      </c>
      <c r="BK11" t="str">
        <f>IFERROR(__xludf.DUMMYFUNCTION("""COMPUTED_VALUE"""),"Missouri")</f>
        <v>Missouri</v>
      </c>
      <c r="BL11" t="str">
        <f>IFERROR(__xludf.DUMMYFUNCTION("""COMPUTED_VALUE"""),"Missouri State")</f>
        <v>Missouri State</v>
      </c>
      <c r="BM11" t="str">
        <f>IFERROR(__xludf.DUMMYFUNCTION("""COMPUTED_VALUE"""),"Navy")</f>
        <v>Navy</v>
      </c>
      <c r="BN11" t="str">
        <f>IFERROR(__xludf.DUMMYFUNCTION("""COMPUTED_VALUE"""),"NC State")</f>
        <v>NC State</v>
      </c>
      <c r="BO11" t="str">
        <f>IFERROR(__xludf.DUMMYFUNCTION("""COMPUTED_VALUE"""),"Nebraska")</f>
        <v>Nebraska</v>
      </c>
      <c r="BP11" t="str">
        <f>IFERROR(__xludf.DUMMYFUNCTION("""COMPUTED_VALUE"""),"Nevada")</f>
        <v>Nevada</v>
      </c>
      <c r="BQ11" t="str">
        <f>IFERROR(__xludf.DUMMYFUNCTION("""COMPUTED_VALUE"""),"New Mexico")</f>
        <v>New Mexico</v>
      </c>
      <c r="BR11" t="str">
        <f>IFERROR(__xludf.DUMMYFUNCTION("""COMPUTED_VALUE"""),"New Mexico State")</f>
        <v>New Mexico State</v>
      </c>
      <c r="BS11" t="str">
        <f>IFERROR(__xludf.DUMMYFUNCTION("""COMPUTED_VALUE"""),"North Carolina")</f>
        <v>North Carolina</v>
      </c>
      <c r="BT11" t="str">
        <f>IFERROR(__xludf.DUMMYFUNCTION("""COMPUTED_VALUE"""),"North Texas")</f>
        <v>North Texas</v>
      </c>
      <c r="BU11" t="str">
        <f>IFERROR(__xludf.DUMMYFUNCTION("""COMPUTED_VALUE"""),"Northern Illinois")</f>
        <v>Northern Illinois</v>
      </c>
      <c r="BV11" t="str">
        <f>IFERROR(__xludf.DUMMYFUNCTION("""COMPUTED_VALUE"""),"Northwestern")</f>
        <v>Northwestern</v>
      </c>
      <c r="BW11" t="str">
        <f>IFERROR(__xludf.DUMMYFUNCTION("""COMPUTED_VALUE"""),"Ohio")</f>
        <v>Ohio</v>
      </c>
      <c r="BX11" t="str">
        <f>IFERROR(__xludf.DUMMYFUNCTION("""COMPUTED_VALUE"""),"Oklahoma")</f>
        <v>Oklahoma</v>
      </c>
      <c r="BY11" t="str">
        <f>IFERROR(__xludf.DUMMYFUNCTION("""COMPUTED_VALUE"""),"Oklahoma State")</f>
        <v>Oklahoma State</v>
      </c>
      <c r="BZ11" t="str">
        <f>IFERROR(__xludf.DUMMYFUNCTION("""COMPUTED_VALUE"""),"Old Dominion")</f>
        <v>Old Dominion</v>
      </c>
      <c r="CA11" t="str">
        <f>IFERROR(__xludf.DUMMYFUNCTION("""COMPUTED_VALUE"""),"Ole Miss")</f>
        <v>Ole Miss</v>
      </c>
      <c r="CB11" t="str">
        <f>IFERROR(__xludf.DUMMYFUNCTION("""COMPUTED_VALUE"""),"Oregon State")</f>
        <v>Oregon State</v>
      </c>
      <c r="CC11" t="str">
        <f>IFERROR(__xludf.DUMMYFUNCTION("""COMPUTED_VALUE"""),"Pittsburgh")</f>
        <v>Pittsburgh</v>
      </c>
      <c r="CD11" t="str">
        <f>IFERROR(__xludf.DUMMYFUNCTION("""COMPUTED_VALUE"""),"Purdue")</f>
        <v>Purdue</v>
      </c>
      <c r="CE11" t="str">
        <f>IFERROR(__xludf.DUMMYFUNCTION("""COMPUTED_VALUE"""),"Rice")</f>
        <v>Rice</v>
      </c>
      <c r="CF11" t="str">
        <f>IFERROR(__xludf.DUMMYFUNCTION("""COMPUTED_VALUE"""),"Rutgers")</f>
        <v>Rutgers</v>
      </c>
      <c r="CG11" t="str">
        <f>IFERROR(__xludf.DUMMYFUNCTION("""COMPUTED_VALUE"""),"Sam Houston")</f>
        <v>Sam Houston</v>
      </c>
      <c r="CH11" t="str">
        <f>IFERROR(__xludf.DUMMYFUNCTION("""COMPUTED_VALUE"""),"San Diego State")</f>
        <v>San Diego State</v>
      </c>
      <c r="CI11" t="str">
        <f>IFERROR(__xludf.DUMMYFUNCTION("""COMPUTED_VALUE"""),"San José State")</f>
        <v>San José State</v>
      </c>
      <c r="CJ11" t="str">
        <f>IFERROR(__xludf.DUMMYFUNCTION("""COMPUTED_VALUE"""),"SMU")</f>
        <v>SMU</v>
      </c>
      <c r="CK11" t="str">
        <f>IFERROR(__xludf.DUMMYFUNCTION("""COMPUTED_VALUE"""),"South Alabama")</f>
        <v>South Alabama</v>
      </c>
      <c r="CL11" t="str">
        <f>IFERROR(__xludf.DUMMYFUNCTION("""COMPUTED_VALUE"""),"South Carolina")</f>
        <v>South Carolina</v>
      </c>
      <c r="CM11" t="str">
        <f>IFERROR(__xludf.DUMMYFUNCTION("""COMPUTED_VALUE"""),"South Florida")</f>
        <v>South Florida</v>
      </c>
      <c r="CN11" t="str">
        <f>IFERROR(__xludf.DUMMYFUNCTION("""COMPUTED_VALUE"""),"Southern Mississippi")</f>
        <v>Southern Mississippi</v>
      </c>
      <c r="CO11" t="str">
        <f>IFERROR(__xludf.DUMMYFUNCTION("""COMPUTED_VALUE"""),"Stanford")</f>
        <v>Stanford</v>
      </c>
      <c r="CP11" t="str">
        <f>IFERROR(__xludf.DUMMYFUNCTION("""COMPUTED_VALUE"""),"Syracuse")</f>
        <v>Syracuse</v>
      </c>
      <c r="CQ11" t="str">
        <f>IFERROR(__xludf.DUMMYFUNCTION("""COMPUTED_VALUE"""),"TCU")</f>
        <v>TCU</v>
      </c>
      <c r="CR11" t="str">
        <f>IFERROR(__xludf.DUMMYFUNCTION("""COMPUTED_VALUE"""),"Temple")</f>
        <v>Temple</v>
      </c>
      <c r="CS11" t="str">
        <f>IFERROR(__xludf.DUMMYFUNCTION("""COMPUTED_VALUE"""),"Tennessee")</f>
        <v>Tennessee</v>
      </c>
      <c r="CT11" t="str">
        <f>IFERROR(__xludf.DUMMYFUNCTION("""COMPUTED_VALUE"""),"Texas")</f>
        <v>Texas</v>
      </c>
      <c r="CU11" t="str">
        <f>IFERROR(__xludf.DUMMYFUNCTION("""COMPUTED_VALUE"""),"Texas A&amp;M")</f>
        <v>Texas A&amp;M</v>
      </c>
      <c r="CV11" t="str">
        <f>IFERROR(__xludf.DUMMYFUNCTION("""COMPUTED_VALUE"""),"Texas State")</f>
        <v>Texas State</v>
      </c>
      <c r="CW11" t="str">
        <f>IFERROR(__xludf.DUMMYFUNCTION("""COMPUTED_VALUE"""),"Texas Tech")</f>
        <v>Texas Tech</v>
      </c>
      <c r="CX11" t="str">
        <f>IFERROR(__xludf.DUMMYFUNCTION("""COMPUTED_VALUE"""),"Troy")</f>
        <v>Troy</v>
      </c>
      <c r="CY11" t="str">
        <f>IFERROR(__xludf.DUMMYFUNCTION("""COMPUTED_VALUE"""),"Tulane")</f>
        <v>Tulane</v>
      </c>
      <c r="CZ11" t="str">
        <f>IFERROR(__xludf.DUMMYFUNCTION("""COMPUTED_VALUE"""),"Tulsa")</f>
        <v>Tulsa</v>
      </c>
      <c r="DA11" t="str">
        <f>IFERROR(__xludf.DUMMYFUNCTION("""COMPUTED_VALUE"""),"UAB")</f>
        <v>UAB</v>
      </c>
      <c r="DB11" t="str">
        <f>IFERROR(__xludf.DUMMYFUNCTION("""COMPUTED_VALUE"""),"UCF")</f>
        <v>UCF</v>
      </c>
      <c r="DC11" t="str">
        <f>IFERROR(__xludf.DUMMYFUNCTION("""COMPUTED_VALUE"""),"UCLA")</f>
        <v>UCLA</v>
      </c>
      <c r="DD11" t="str">
        <f>IFERROR(__xludf.DUMMYFUNCTION("""COMPUTED_VALUE"""),"UConn")</f>
        <v>UConn</v>
      </c>
      <c r="DE11" t="str">
        <f>IFERROR(__xludf.DUMMYFUNCTION("""COMPUTED_VALUE"""),"UL Lafayette")</f>
        <v>UL Lafayette</v>
      </c>
      <c r="DF11" t="str">
        <f>IFERROR(__xludf.DUMMYFUNCTION("""COMPUTED_VALUE"""),"UL Monroe")</f>
        <v>UL Monroe</v>
      </c>
      <c r="DG11" t="str">
        <f>IFERROR(__xludf.DUMMYFUNCTION("""COMPUTED_VALUE"""),"UMASS")</f>
        <v>UMASS</v>
      </c>
      <c r="DH11" t="str">
        <f>IFERROR(__xludf.DUMMYFUNCTION("""COMPUTED_VALUE"""),"USC")</f>
        <v>USC</v>
      </c>
      <c r="DI11" t="str">
        <f>IFERROR(__xludf.DUMMYFUNCTION("""COMPUTED_VALUE"""),"Utah")</f>
        <v>Utah</v>
      </c>
      <c r="DJ11" t="str">
        <f>IFERROR(__xludf.DUMMYFUNCTION("""COMPUTED_VALUE"""),"Utah State")</f>
        <v>Utah State</v>
      </c>
      <c r="DK11" t="str">
        <f>IFERROR(__xludf.DUMMYFUNCTION("""COMPUTED_VALUE"""),"UTEP")</f>
        <v>UTEP</v>
      </c>
      <c r="DL11" t="str">
        <f>IFERROR(__xludf.DUMMYFUNCTION("""COMPUTED_VALUE"""),"UTSA")</f>
        <v>UTSA</v>
      </c>
      <c r="DM11" t="str">
        <f>IFERROR(__xludf.DUMMYFUNCTION("""COMPUTED_VALUE"""),"Vanderbilt")</f>
        <v>Vanderbilt</v>
      </c>
      <c r="DN11" t="str">
        <f>IFERROR(__xludf.DUMMYFUNCTION("""COMPUTED_VALUE"""),"Virginia")</f>
        <v>Virginia</v>
      </c>
      <c r="DO11" t="str">
        <f>IFERROR(__xludf.DUMMYFUNCTION("""COMPUTED_VALUE"""),"Virginia Tech")</f>
        <v>Virginia Tech</v>
      </c>
      <c r="DP11" t="str">
        <f>IFERROR(__xludf.DUMMYFUNCTION("""COMPUTED_VALUE"""),"Wake Forest")</f>
        <v>Wake Forest</v>
      </c>
      <c r="DQ11" t="str">
        <f>IFERROR(__xludf.DUMMYFUNCTION("""COMPUTED_VALUE"""),"Washington")</f>
        <v>Washington</v>
      </c>
      <c r="DR11" t="str">
        <f>IFERROR(__xludf.DUMMYFUNCTION("""COMPUTED_VALUE"""),"Washington State")</f>
        <v>Washington State</v>
      </c>
      <c r="DS11" t="str">
        <f>IFERROR(__xludf.DUMMYFUNCTION("""COMPUTED_VALUE"""),"West Virginia")</f>
        <v>West Virginia</v>
      </c>
      <c r="DT11" t="str">
        <f>IFERROR(__xludf.DUMMYFUNCTION("""COMPUTED_VALUE"""),"Western Kentucky")</f>
        <v>Western Kentucky</v>
      </c>
      <c r="DU11" t="str">
        <f>IFERROR(__xludf.DUMMYFUNCTION("""COMPUTED_VALUE"""),"Western Michigan")</f>
        <v>Western Michigan</v>
      </c>
      <c r="DV11" t="str">
        <f>IFERROR(__xludf.DUMMYFUNCTION("""COMPUTED_VALUE"""),"Wisconsin")</f>
        <v>Wisconsin</v>
      </c>
      <c r="DW11" t="str">
        <f>IFERROR(__xludf.DUMMYFUNCTION("""COMPUTED_VALUE"""),"Wyoming")</f>
        <v>Wyoming</v>
      </c>
    </row>
    <row r="12">
      <c r="A12" s="1">
        <v>11.0</v>
      </c>
      <c r="B12" t="str">
        <f>IFERROR(__xludf.DUMMYFUNCTION("split(join("","",sort(byrow('Teams-Conference'!A$2:A1000,lambda(rw,if(iserror(match(rw,DraftTracker!F$1:F12,0)),rw,""""))),1,1)),"","",1,1)"),"Air Force")</f>
        <v>Air Force</v>
      </c>
      <c r="C12" t="str">
        <f>IFERROR(__xludf.DUMMYFUNCTION("""COMPUTED_VALUE"""),"Akron")</f>
        <v>Akron</v>
      </c>
      <c r="D12" t="str">
        <f>IFERROR(__xludf.DUMMYFUNCTION("""COMPUTED_VALUE"""),"Alabama")</f>
        <v>Alabama</v>
      </c>
      <c r="E12" t="str">
        <f>IFERROR(__xludf.DUMMYFUNCTION("""COMPUTED_VALUE"""),"Appalachian State")</f>
        <v>Appalachian State</v>
      </c>
      <c r="F12" t="str">
        <f>IFERROR(__xludf.DUMMYFUNCTION("""COMPUTED_VALUE"""),"Arizona")</f>
        <v>Arizona</v>
      </c>
      <c r="G12" t="str">
        <f>IFERROR(__xludf.DUMMYFUNCTION("""COMPUTED_VALUE"""),"Arizona State")</f>
        <v>Arizona State</v>
      </c>
      <c r="H12" t="str">
        <f>IFERROR(__xludf.DUMMYFUNCTION("""COMPUTED_VALUE"""),"Arkansas")</f>
        <v>Arkansas</v>
      </c>
      <c r="I12" t="str">
        <f>IFERROR(__xludf.DUMMYFUNCTION("""COMPUTED_VALUE"""),"Arkansas State")</f>
        <v>Arkansas State</v>
      </c>
      <c r="J12" t="str">
        <f>IFERROR(__xludf.DUMMYFUNCTION("""COMPUTED_VALUE"""),"Army")</f>
        <v>Army</v>
      </c>
      <c r="K12" t="str">
        <f>IFERROR(__xludf.DUMMYFUNCTION("""COMPUTED_VALUE"""),"Auburn")</f>
        <v>Auburn</v>
      </c>
      <c r="L12" t="str">
        <f>IFERROR(__xludf.DUMMYFUNCTION("""COMPUTED_VALUE"""),"Ball State")</f>
        <v>Ball State</v>
      </c>
      <c r="M12" t="str">
        <f>IFERROR(__xludf.DUMMYFUNCTION("""COMPUTED_VALUE"""),"Baylor")</f>
        <v>Baylor</v>
      </c>
      <c r="N12" t="str">
        <f>IFERROR(__xludf.DUMMYFUNCTION("""COMPUTED_VALUE"""),"Boston College")</f>
        <v>Boston College</v>
      </c>
      <c r="O12" t="str">
        <f>IFERROR(__xludf.DUMMYFUNCTION("""COMPUTED_VALUE"""),"Bowling Green")</f>
        <v>Bowling Green</v>
      </c>
      <c r="P12" t="str">
        <f>IFERROR(__xludf.DUMMYFUNCTION("""COMPUTED_VALUE"""),"Buffalo")</f>
        <v>Buffalo</v>
      </c>
      <c r="Q12" t="str">
        <f>IFERROR(__xludf.DUMMYFUNCTION("""COMPUTED_VALUE"""),"BYU")</f>
        <v>BYU</v>
      </c>
      <c r="R12" t="str">
        <f>IFERROR(__xludf.DUMMYFUNCTION("""COMPUTED_VALUE"""),"California")</f>
        <v>California</v>
      </c>
      <c r="S12" t="str">
        <f>IFERROR(__xludf.DUMMYFUNCTION("""COMPUTED_VALUE"""),"Central Michigan")</f>
        <v>Central Michigan</v>
      </c>
      <c r="T12" t="str">
        <f>IFERROR(__xludf.DUMMYFUNCTION("""COMPUTED_VALUE"""),"Charlotte")</f>
        <v>Charlotte</v>
      </c>
      <c r="U12" t="str">
        <f>IFERROR(__xludf.DUMMYFUNCTION("""COMPUTED_VALUE"""),"Cincinnati")</f>
        <v>Cincinnati</v>
      </c>
      <c r="V12" t="str">
        <f>IFERROR(__xludf.DUMMYFUNCTION("""COMPUTED_VALUE"""),"Coastal Carolina")</f>
        <v>Coastal Carolina</v>
      </c>
      <c r="W12" t="str">
        <f>IFERROR(__xludf.DUMMYFUNCTION("""COMPUTED_VALUE"""),"Colorado")</f>
        <v>Colorado</v>
      </c>
      <c r="X12" t="str">
        <f>IFERROR(__xludf.DUMMYFUNCTION("""COMPUTED_VALUE"""),"Colorado State")</f>
        <v>Colorado State</v>
      </c>
      <c r="Y12" t="str">
        <f>IFERROR(__xludf.DUMMYFUNCTION("""COMPUTED_VALUE"""),"Delaware")</f>
        <v>Delaware</v>
      </c>
      <c r="Z12" t="str">
        <f>IFERROR(__xludf.DUMMYFUNCTION("""COMPUTED_VALUE"""),"Duke")</f>
        <v>Duke</v>
      </c>
      <c r="AA12" t="str">
        <f>IFERROR(__xludf.DUMMYFUNCTION("""COMPUTED_VALUE"""),"East Carolina")</f>
        <v>East Carolina</v>
      </c>
      <c r="AB12" t="str">
        <f>IFERROR(__xludf.DUMMYFUNCTION("""COMPUTED_VALUE"""),"EMU")</f>
        <v>EMU</v>
      </c>
      <c r="AC12" t="str">
        <f>IFERROR(__xludf.DUMMYFUNCTION("""COMPUTED_VALUE"""),"Florida")</f>
        <v>Florida</v>
      </c>
      <c r="AD12" t="str">
        <f>IFERROR(__xludf.DUMMYFUNCTION("""COMPUTED_VALUE"""),"Florida Atlantic")</f>
        <v>Florida Atlantic</v>
      </c>
      <c r="AE12" t="str">
        <f>IFERROR(__xludf.DUMMYFUNCTION("""COMPUTED_VALUE"""),"Florida Intl")</f>
        <v>Florida Intl</v>
      </c>
      <c r="AF12" t="str">
        <f>IFERROR(__xludf.DUMMYFUNCTION("""COMPUTED_VALUE"""),"Florida State")</f>
        <v>Florida State</v>
      </c>
      <c r="AG12" t="str">
        <f>IFERROR(__xludf.DUMMYFUNCTION("""COMPUTED_VALUE"""),"Fresno State")</f>
        <v>Fresno State</v>
      </c>
      <c r="AH12" t="str">
        <f>IFERROR(__xludf.DUMMYFUNCTION("""COMPUTED_VALUE"""),"Georgia")</f>
        <v>Georgia</v>
      </c>
      <c r="AI12" t="str">
        <f>IFERROR(__xludf.DUMMYFUNCTION("""COMPUTED_VALUE"""),"Georgia Southern")</f>
        <v>Georgia Southern</v>
      </c>
      <c r="AJ12" t="str">
        <f>IFERROR(__xludf.DUMMYFUNCTION("""COMPUTED_VALUE"""),"Georgia State")</f>
        <v>Georgia State</v>
      </c>
      <c r="AK12" t="str">
        <f>IFERROR(__xludf.DUMMYFUNCTION("""COMPUTED_VALUE"""),"Georgia Tech")</f>
        <v>Georgia Tech</v>
      </c>
      <c r="AL12" t="str">
        <f>IFERROR(__xludf.DUMMYFUNCTION("""COMPUTED_VALUE"""),"Hawaii")</f>
        <v>Hawaii</v>
      </c>
      <c r="AM12" t="str">
        <f>IFERROR(__xludf.DUMMYFUNCTION("""COMPUTED_VALUE"""),"Houston")</f>
        <v>Houston</v>
      </c>
      <c r="AN12" t="str">
        <f>IFERROR(__xludf.DUMMYFUNCTION("""COMPUTED_VALUE"""),"Illinois")</f>
        <v>Illinois</v>
      </c>
      <c r="AO12" t="str">
        <f>IFERROR(__xludf.DUMMYFUNCTION("""COMPUTED_VALUE"""),"Indiana")</f>
        <v>Indiana</v>
      </c>
      <c r="AP12" t="str">
        <f>IFERROR(__xludf.DUMMYFUNCTION("""COMPUTED_VALUE"""),"Iowa")</f>
        <v>Iowa</v>
      </c>
      <c r="AQ12" t="str">
        <f>IFERROR(__xludf.DUMMYFUNCTION("""COMPUTED_VALUE"""),"Iowa State")</f>
        <v>Iowa State</v>
      </c>
      <c r="AR12" t="str">
        <f>IFERROR(__xludf.DUMMYFUNCTION("""COMPUTED_VALUE"""),"Jacksonville State")</f>
        <v>Jacksonville State</v>
      </c>
      <c r="AS12" t="str">
        <f>IFERROR(__xludf.DUMMYFUNCTION("""COMPUTED_VALUE"""),"Kansas")</f>
        <v>Kansas</v>
      </c>
      <c r="AT12" t="str">
        <f>IFERROR(__xludf.DUMMYFUNCTION("""COMPUTED_VALUE"""),"Kansas State")</f>
        <v>Kansas State</v>
      </c>
      <c r="AU12" t="str">
        <f>IFERROR(__xludf.DUMMYFUNCTION("""COMPUTED_VALUE"""),"Kennesaw State")</f>
        <v>Kennesaw State</v>
      </c>
      <c r="AV12" t="str">
        <f>IFERROR(__xludf.DUMMYFUNCTION("""COMPUTED_VALUE"""),"Kent State")</f>
        <v>Kent State</v>
      </c>
      <c r="AW12" t="str">
        <f>IFERROR(__xludf.DUMMYFUNCTION("""COMPUTED_VALUE"""),"Kentucky")</f>
        <v>Kentucky</v>
      </c>
      <c r="AX12" t="str">
        <f>IFERROR(__xludf.DUMMYFUNCTION("""COMPUTED_VALUE"""),"Louisiana Tech")</f>
        <v>Louisiana Tech</v>
      </c>
      <c r="AY12" t="str">
        <f>IFERROR(__xludf.DUMMYFUNCTION("""COMPUTED_VALUE"""),"Louisville")</f>
        <v>Louisville</v>
      </c>
      <c r="AZ12" t="str">
        <f>IFERROR(__xludf.DUMMYFUNCTION("""COMPUTED_VALUE"""),"LSU")</f>
        <v>LSU</v>
      </c>
      <c r="BA12" t="str">
        <f>IFERROR(__xludf.DUMMYFUNCTION("""COMPUTED_VALUE"""),"Marshall")</f>
        <v>Marshall</v>
      </c>
      <c r="BB12" t="str">
        <f>IFERROR(__xludf.DUMMYFUNCTION("""COMPUTED_VALUE"""),"Maryland")</f>
        <v>Maryland</v>
      </c>
      <c r="BC12" t="str">
        <f>IFERROR(__xludf.DUMMYFUNCTION("""COMPUTED_VALUE"""),"Miami")</f>
        <v>Miami</v>
      </c>
      <c r="BD12" t="str">
        <f>IFERROR(__xludf.DUMMYFUNCTION("""COMPUTED_VALUE"""),"Miami-OH")</f>
        <v>Miami-OH</v>
      </c>
      <c r="BE12" t="str">
        <f>IFERROR(__xludf.DUMMYFUNCTION("""COMPUTED_VALUE"""),"Michigan")</f>
        <v>Michigan</v>
      </c>
      <c r="BF12" t="str">
        <f>IFERROR(__xludf.DUMMYFUNCTION("""COMPUTED_VALUE"""),"Michigan State")</f>
        <v>Michigan State</v>
      </c>
      <c r="BG12" t="str">
        <f>IFERROR(__xludf.DUMMYFUNCTION("""COMPUTED_VALUE"""),"Middle Tennessee")</f>
        <v>Middle Tennessee</v>
      </c>
      <c r="BH12" t="str">
        <f>IFERROR(__xludf.DUMMYFUNCTION("""COMPUTED_VALUE"""),"Minnesota")</f>
        <v>Minnesota</v>
      </c>
      <c r="BI12" t="str">
        <f>IFERROR(__xludf.DUMMYFUNCTION("""COMPUTED_VALUE"""),"Mississippi State")</f>
        <v>Mississippi State</v>
      </c>
      <c r="BJ12" t="str">
        <f>IFERROR(__xludf.DUMMYFUNCTION("""COMPUTED_VALUE"""),"Missouri")</f>
        <v>Missouri</v>
      </c>
      <c r="BK12" t="str">
        <f>IFERROR(__xludf.DUMMYFUNCTION("""COMPUTED_VALUE"""),"Missouri State")</f>
        <v>Missouri State</v>
      </c>
      <c r="BL12" t="str">
        <f>IFERROR(__xludf.DUMMYFUNCTION("""COMPUTED_VALUE"""),"Navy")</f>
        <v>Navy</v>
      </c>
      <c r="BM12" t="str">
        <f>IFERROR(__xludf.DUMMYFUNCTION("""COMPUTED_VALUE"""),"NC State")</f>
        <v>NC State</v>
      </c>
      <c r="BN12" t="str">
        <f>IFERROR(__xludf.DUMMYFUNCTION("""COMPUTED_VALUE"""),"Nebraska")</f>
        <v>Nebraska</v>
      </c>
      <c r="BO12" t="str">
        <f>IFERROR(__xludf.DUMMYFUNCTION("""COMPUTED_VALUE"""),"Nevada")</f>
        <v>Nevada</v>
      </c>
      <c r="BP12" t="str">
        <f>IFERROR(__xludf.DUMMYFUNCTION("""COMPUTED_VALUE"""),"New Mexico")</f>
        <v>New Mexico</v>
      </c>
      <c r="BQ12" t="str">
        <f>IFERROR(__xludf.DUMMYFUNCTION("""COMPUTED_VALUE"""),"New Mexico State")</f>
        <v>New Mexico State</v>
      </c>
      <c r="BR12" t="str">
        <f>IFERROR(__xludf.DUMMYFUNCTION("""COMPUTED_VALUE"""),"North Carolina")</f>
        <v>North Carolina</v>
      </c>
      <c r="BS12" t="str">
        <f>IFERROR(__xludf.DUMMYFUNCTION("""COMPUTED_VALUE"""),"North Texas")</f>
        <v>North Texas</v>
      </c>
      <c r="BT12" t="str">
        <f>IFERROR(__xludf.DUMMYFUNCTION("""COMPUTED_VALUE"""),"Northern Illinois")</f>
        <v>Northern Illinois</v>
      </c>
      <c r="BU12" t="str">
        <f>IFERROR(__xludf.DUMMYFUNCTION("""COMPUTED_VALUE"""),"Northwestern")</f>
        <v>Northwestern</v>
      </c>
      <c r="BV12" t="str">
        <f>IFERROR(__xludf.DUMMYFUNCTION("""COMPUTED_VALUE"""),"Ohio")</f>
        <v>Ohio</v>
      </c>
      <c r="BW12" t="str">
        <f>IFERROR(__xludf.DUMMYFUNCTION("""COMPUTED_VALUE"""),"Oklahoma")</f>
        <v>Oklahoma</v>
      </c>
      <c r="BX12" t="str">
        <f>IFERROR(__xludf.DUMMYFUNCTION("""COMPUTED_VALUE"""),"Oklahoma State")</f>
        <v>Oklahoma State</v>
      </c>
      <c r="BY12" t="str">
        <f>IFERROR(__xludf.DUMMYFUNCTION("""COMPUTED_VALUE"""),"Old Dominion")</f>
        <v>Old Dominion</v>
      </c>
      <c r="BZ12" t="str">
        <f>IFERROR(__xludf.DUMMYFUNCTION("""COMPUTED_VALUE"""),"Ole Miss")</f>
        <v>Ole Miss</v>
      </c>
      <c r="CA12" t="str">
        <f>IFERROR(__xludf.DUMMYFUNCTION("""COMPUTED_VALUE"""),"Oregon State")</f>
        <v>Oregon State</v>
      </c>
      <c r="CB12" t="str">
        <f>IFERROR(__xludf.DUMMYFUNCTION("""COMPUTED_VALUE"""),"Pittsburgh")</f>
        <v>Pittsburgh</v>
      </c>
      <c r="CC12" t="str">
        <f>IFERROR(__xludf.DUMMYFUNCTION("""COMPUTED_VALUE"""),"Purdue")</f>
        <v>Purdue</v>
      </c>
      <c r="CD12" t="str">
        <f>IFERROR(__xludf.DUMMYFUNCTION("""COMPUTED_VALUE"""),"Rice")</f>
        <v>Rice</v>
      </c>
      <c r="CE12" t="str">
        <f>IFERROR(__xludf.DUMMYFUNCTION("""COMPUTED_VALUE"""),"Rutgers")</f>
        <v>Rutgers</v>
      </c>
      <c r="CF12" t="str">
        <f>IFERROR(__xludf.DUMMYFUNCTION("""COMPUTED_VALUE"""),"Sam Houston")</f>
        <v>Sam Houston</v>
      </c>
      <c r="CG12" t="str">
        <f>IFERROR(__xludf.DUMMYFUNCTION("""COMPUTED_VALUE"""),"San Diego State")</f>
        <v>San Diego State</v>
      </c>
      <c r="CH12" t="str">
        <f>IFERROR(__xludf.DUMMYFUNCTION("""COMPUTED_VALUE"""),"San José State")</f>
        <v>San José State</v>
      </c>
      <c r="CI12" t="str">
        <f>IFERROR(__xludf.DUMMYFUNCTION("""COMPUTED_VALUE"""),"SMU")</f>
        <v>SMU</v>
      </c>
      <c r="CJ12" t="str">
        <f>IFERROR(__xludf.DUMMYFUNCTION("""COMPUTED_VALUE"""),"South Alabama")</f>
        <v>South Alabama</v>
      </c>
      <c r="CK12" t="str">
        <f>IFERROR(__xludf.DUMMYFUNCTION("""COMPUTED_VALUE"""),"South Carolina")</f>
        <v>South Carolina</v>
      </c>
      <c r="CL12" t="str">
        <f>IFERROR(__xludf.DUMMYFUNCTION("""COMPUTED_VALUE"""),"South Florida")</f>
        <v>South Florida</v>
      </c>
      <c r="CM12" t="str">
        <f>IFERROR(__xludf.DUMMYFUNCTION("""COMPUTED_VALUE"""),"Southern Mississippi")</f>
        <v>Southern Mississippi</v>
      </c>
      <c r="CN12" t="str">
        <f>IFERROR(__xludf.DUMMYFUNCTION("""COMPUTED_VALUE"""),"Stanford")</f>
        <v>Stanford</v>
      </c>
      <c r="CO12" t="str">
        <f>IFERROR(__xludf.DUMMYFUNCTION("""COMPUTED_VALUE"""),"Syracuse")</f>
        <v>Syracuse</v>
      </c>
      <c r="CP12" t="str">
        <f>IFERROR(__xludf.DUMMYFUNCTION("""COMPUTED_VALUE"""),"TCU")</f>
        <v>TCU</v>
      </c>
      <c r="CQ12" t="str">
        <f>IFERROR(__xludf.DUMMYFUNCTION("""COMPUTED_VALUE"""),"Temple")</f>
        <v>Temple</v>
      </c>
      <c r="CR12" t="str">
        <f>IFERROR(__xludf.DUMMYFUNCTION("""COMPUTED_VALUE"""),"Tennessee")</f>
        <v>Tennessee</v>
      </c>
      <c r="CS12" t="str">
        <f>IFERROR(__xludf.DUMMYFUNCTION("""COMPUTED_VALUE"""),"Texas")</f>
        <v>Texas</v>
      </c>
      <c r="CT12" t="str">
        <f>IFERROR(__xludf.DUMMYFUNCTION("""COMPUTED_VALUE"""),"Texas A&amp;M")</f>
        <v>Texas A&amp;M</v>
      </c>
      <c r="CU12" t="str">
        <f>IFERROR(__xludf.DUMMYFUNCTION("""COMPUTED_VALUE"""),"Texas State")</f>
        <v>Texas State</v>
      </c>
      <c r="CV12" t="str">
        <f>IFERROR(__xludf.DUMMYFUNCTION("""COMPUTED_VALUE"""),"Texas Tech")</f>
        <v>Texas Tech</v>
      </c>
      <c r="CW12" t="str">
        <f>IFERROR(__xludf.DUMMYFUNCTION("""COMPUTED_VALUE"""),"Troy")</f>
        <v>Troy</v>
      </c>
      <c r="CX12" t="str">
        <f>IFERROR(__xludf.DUMMYFUNCTION("""COMPUTED_VALUE"""),"Tulane")</f>
        <v>Tulane</v>
      </c>
      <c r="CY12" t="str">
        <f>IFERROR(__xludf.DUMMYFUNCTION("""COMPUTED_VALUE"""),"Tulsa")</f>
        <v>Tulsa</v>
      </c>
      <c r="CZ12" t="str">
        <f>IFERROR(__xludf.DUMMYFUNCTION("""COMPUTED_VALUE"""),"UAB")</f>
        <v>UAB</v>
      </c>
      <c r="DA12" t="str">
        <f>IFERROR(__xludf.DUMMYFUNCTION("""COMPUTED_VALUE"""),"UCF")</f>
        <v>UCF</v>
      </c>
      <c r="DB12" t="str">
        <f>IFERROR(__xludf.DUMMYFUNCTION("""COMPUTED_VALUE"""),"UCLA")</f>
        <v>UCLA</v>
      </c>
      <c r="DC12" t="str">
        <f>IFERROR(__xludf.DUMMYFUNCTION("""COMPUTED_VALUE"""),"UConn")</f>
        <v>UConn</v>
      </c>
      <c r="DD12" t="str">
        <f>IFERROR(__xludf.DUMMYFUNCTION("""COMPUTED_VALUE"""),"UL Lafayette")</f>
        <v>UL Lafayette</v>
      </c>
      <c r="DE12" t="str">
        <f>IFERROR(__xludf.DUMMYFUNCTION("""COMPUTED_VALUE"""),"UL Monroe")</f>
        <v>UL Monroe</v>
      </c>
      <c r="DF12" t="str">
        <f>IFERROR(__xludf.DUMMYFUNCTION("""COMPUTED_VALUE"""),"UMASS")</f>
        <v>UMASS</v>
      </c>
      <c r="DG12" t="str">
        <f>IFERROR(__xludf.DUMMYFUNCTION("""COMPUTED_VALUE"""),"USC")</f>
        <v>USC</v>
      </c>
      <c r="DH12" t="str">
        <f>IFERROR(__xludf.DUMMYFUNCTION("""COMPUTED_VALUE"""),"Utah")</f>
        <v>Utah</v>
      </c>
      <c r="DI12" t="str">
        <f>IFERROR(__xludf.DUMMYFUNCTION("""COMPUTED_VALUE"""),"Utah State")</f>
        <v>Utah State</v>
      </c>
      <c r="DJ12" t="str">
        <f>IFERROR(__xludf.DUMMYFUNCTION("""COMPUTED_VALUE"""),"UTEP")</f>
        <v>UTEP</v>
      </c>
      <c r="DK12" t="str">
        <f>IFERROR(__xludf.DUMMYFUNCTION("""COMPUTED_VALUE"""),"UTSA")</f>
        <v>UTSA</v>
      </c>
      <c r="DL12" t="str">
        <f>IFERROR(__xludf.DUMMYFUNCTION("""COMPUTED_VALUE"""),"Vanderbilt")</f>
        <v>Vanderbilt</v>
      </c>
      <c r="DM12" t="str">
        <f>IFERROR(__xludf.DUMMYFUNCTION("""COMPUTED_VALUE"""),"Virginia")</f>
        <v>Virginia</v>
      </c>
      <c r="DN12" t="str">
        <f>IFERROR(__xludf.DUMMYFUNCTION("""COMPUTED_VALUE"""),"Virginia Tech")</f>
        <v>Virginia Tech</v>
      </c>
      <c r="DO12" t="str">
        <f>IFERROR(__xludf.DUMMYFUNCTION("""COMPUTED_VALUE"""),"Wake Forest")</f>
        <v>Wake Forest</v>
      </c>
      <c r="DP12" t="str">
        <f>IFERROR(__xludf.DUMMYFUNCTION("""COMPUTED_VALUE"""),"Washington")</f>
        <v>Washington</v>
      </c>
      <c r="DQ12" t="str">
        <f>IFERROR(__xludf.DUMMYFUNCTION("""COMPUTED_VALUE"""),"Washington State")</f>
        <v>Washington State</v>
      </c>
      <c r="DR12" t="str">
        <f>IFERROR(__xludf.DUMMYFUNCTION("""COMPUTED_VALUE"""),"West Virginia")</f>
        <v>West Virginia</v>
      </c>
      <c r="DS12" t="str">
        <f>IFERROR(__xludf.DUMMYFUNCTION("""COMPUTED_VALUE"""),"Western Kentucky")</f>
        <v>Western Kentucky</v>
      </c>
      <c r="DT12" t="str">
        <f>IFERROR(__xludf.DUMMYFUNCTION("""COMPUTED_VALUE"""),"Western Michigan")</f>
        <v>Western Michigan</v>
      </c>
      <c r="DU12" t="str">
        <f>IFERROR(__xludf.DUMMYFUNCTION("""COMPUTED_VALUE"""),"Wisconsin")</f>
        <v>Wisconsin</v>
      </c>
      <c r="DV12" t="str">
        <f>IFERROR(__xludf.DUMMYFUNCTION("""COMPUTED_VALUE"""),"Wyoming")</f>
        <v>Wyoming</v>
      </c>
    </row>
    <row r="13">
      <c r="A13" s="1">
        <v>12.0</v>
      </c>
      <c r="B13" t="str">
        <f>IFERROR(__xludf.DUMMYFUNCTION("split(join("","",sort(byrow('Teams-Conference'!A$2:A1000,lambda(rw,if(iserror(match(rw,DraftTracker!F$1:F13,0)),rw,""""))),1,1)),"","",1,1)"),"Air Force")</f>
        <v>Air Force</v>
      </c>
      <c r="C13" t="str">
        <f>IFERROR(__xludf.DUMMYFUNCTION("""COMPUTED_VALUE"""),"Akron")</f>
        <v>Akron</v>
      </c>
      <c r="D13" t="str">
        <f>IFERROR(__xludf.DUMMYFUNCTION("""COMPUTED_VALUE"""),"Alabama")</f>
        <v>Alabama</v>
      </c>
      <c r="E13" t="str">
        <f>IFERROR(__xludf.DUMMYFUNCTION("""COMPUTED_VALUE"""),"Appalachian State")</f>
        <v>Appalachian State</v>
      </c>
      <c r="F13" t="str">
        <f>IFERROR(__xludf.DUMMYFUNCTION("""COMPUTED_VALUE"""),"Arizona")</f>
        <v>Arizona</v>
      </c>
      <c r="G13" t="str">
        <f>IFERROR(__xludf.DUMMYFUNCTION("""COMPUTED_VALUE"""),"Arizona State")</f>
        <v>Arizona State</v>
      </c>
      <c r="H13" t="str">
        <f>IFERROR(__xludf.DUMMYFUNCTION("""COMPUTED_VALUE"""),"Arkansas")</f>
        <v>Arkansas</v>
      </c>
      <c r="I13" t="str">
        <f>IFERROR(__xludf.DUMMYFUNCTION("""COMPUTED_VALUE"""),"Arkansas State")</f>
        <v>Arkansas State</v>
      </c>
      <c r="J13" t="str">
        <f>IFERROR(__xludf.DUMMYFUNCTION("""COMPUTED_VALUE"""),"Army")</f>
        <v>Army</v>
      </c>
      <c r="K13" t="str">
        <f>IFERROR(__xludf.DUMMYFUNCTION("""COMPUTED_VALUE"""),"Auburn")</f>
        <v>Auburn</v>
      </c>
      <c r="L13" t="str">
        <f>IFERROR(__xludf.DUMMYFUNCTION("""COMPUTED_VALUE"""),"Ball State")</f>
        <v>Ball State</v>
      </c>
      <c r="M13" t="str">
        <f>IFERROR(__xludf.DUMMYFUNCTION("""COMPUTED_VALUE"""),"Baylor")</f>
        <v>Baylor</v>
      </c>
      <c r="N13" t="str">
        <f>IFERROR(__xludf.DUMMYFUNCTION("""COMPUTED_VALUE"""),"Boston College")</f>
        <v>Boston College</v>
      </c>
      <c r="O13" t="str">
        <f>IFERROR(__xludf.DUMMYFUNCTION("""COMPUTED_VALUE"""),"Bowling Green")</f>
        <v>Bowling Green</v>
      </c>
      <c r="P13" t="str">
        <f>IFERROR(__xludf.DUMMYFUNCTION("""COMPUTED_VALUE"""),"Buffalo")</f>
        <v>Buffalo</v>
      </c>
      <c r="Q13" t="str">
        <f>IFERROR(__xludf.DUMMYFUNCTION("""COMPUTED_VALUE"""),"BYU")</f>
        <v>BYU</v>
      </c>
      <c r="R13" t="str">
        <f>IFERROR(__xludf.DUMMYFUNCTION("""COMPUTED_VALUE"""),"California")</f>
        <v>California</v>
      </c>
      <c r="S13" t="str">
        <f>IFERROR(__xludf.DUMMYFUNCTION("""COMPUTED_VALUE"""),"Central Michigan")</f>
        <v>Central Michigan</v>
      </c>
      <c r="T13" t="str">
        <f>IFERROR(__xludf.DUMMYFUNCTION("""COMPUTED_VALUE"""),"Charlotte")</f>
        <v>Charlotte</v>
      </c>
      <c r="U13" t="str">
        <f>IFERROR(__xludf.DUMMYFUNCTION("""COMPUTED_VALUE"""),"Cincinnati")</f>
        <v>Cincinnati</v>
      </c>
      <c r="V13" t="str">
        <f>IFERROR(__xludf.DUMMYFUNCTION("""COMPUTED_VALUE"""),"Coastal Carolina")</f>
        <v>Coastal Carolina</v>
      </c>
      <c r="W13" t="str">
        <f>IFERROR(__xludf.DUMMYFUNCTION("""COMPUTED_VALUE"""),"Colorado")</f>
        <v>Colorado</v>
      </c>
      <c r="X13" t="str">
        <f>IFERROR(__xludf.DUMMYFUNCTION("""COMPUTED_VALUE"""),"Colorado State")</f>
        <v>Colorado State</v>
      </c>
      <c r="Y13" t="str">
        <f>IFERROR(__xludf.DUMMYFUNCTION("""COMPUTED_VALUE"""),"Delaware")</f>
        <v>Delaware</v>
      </c>
      <c r="Z13" t="str">
        <f>IFERROR(__xludf.DUMMYFUNCTION("""COMPUTED_VALUE"""),"Duke")</f>
        <v>Duke</v>
      </c>
      <c r="AA13" t="str">
        <f>IFERROR(__xludf.DUMMYFUNCTION("""COMPUTED_VALUE"""),"East Carolina")</f>
        <v>East Carolina</v>
      </c>
      <c r="AB13" t="str">
        <f>IFERROR(__xludf.DUMMYFUNCTION("""COMPUTED_VALUE"""),"EMU")</f>
        <v>EMU</v>
      </c>
      <c r="AC13" t="str">
        <f>IFERROR(__xludf.DUMMYFUNCTION("""COMPUTED_VALUE"""),"Florida")</f>
        <v>Florida</v>
      </c>
      <c r="AD13" t="str">
        <f>IFERROR(__xludf.DUMMYFUNCTION("""COMPUTED_VALUE"""),"Florida Atlantic")</f>
        <v>Florida Atlantic</v>
      </c>
      <c r="AE13" t="str">
        <f>IFERROR(__xludf.DUMMYFUNCTION("""COMPUTED_VALUE"""),"Florida Intl")</f>
        <v>Florida Intl</v>
      </c>
      <c r="AF13" t="str">
        <f>IFERROR(__xludf.DUMMYFUNCTION("""COMPUTED_VALUE"""),"Florida State")</f>
        <v>Florida State</v>
      </c>
      <c r="AG13" t="str">
        <f>IFERROR(__xludf.DUMMYFUNCTION("""COMPUTED_VALUE"""),"Fresno State")</f>
        <v>Fresno State</v>
      </c>
      <c r="AH13" t="str">
        <f>IFERROR(__xludf.DUMMYFUNCTION("""COMPUTED_VALUE"""),"Georgia")</f>
        <v>Georgia</v>
      </c>
      <c r="AI13" t="str">
        <f>IFERROR(__xludf.DUMMYFUNCTION("""COMPUTED_VALUE"""),"Georgia Southern")</f>
        <v>Georgia Southern</v>
      </c>
      <c r="AJ13" t="str">
        <f>IFERROR(__xludf.DUMMYFUNCTION("""COMPUTED_VALUE"""),"Georgia State")</f>
        <v>Georgia State</v>
      </c>
      <c r="AK13" t="str">
        <f>IFERROR(__xludf.DUMMYFUNCTION("""COMPUTED_VALUE"""),"Georgia Tech")</f>
        <v>Georgia Tech</v>
      </c>
      <c r="AL13" t="str">
        <f>IFERROR(__xludf.DUMMYFUNCTION("""COMPUTED_VALUE"""),"Hawaii")</f>
        <v>Hawaii</v>
      </c>
      <c r="AM13" t="str">
        <f>IFERROR(__xludf.DUMMYFUNCTION("""COMPUTED_VALUE"""),"Houston")</f>
        <v>Houston</v>
      </c>
      <c r="AN13" t="str">
        <f>IFERROR(__xludf.DUMMYFUNCTION("""COMPUTED_VALUE"""),"Illinois")</f>
        <v>Illinois</v>
      </c>
      <c r="AO13" t="str">
        <f>IFERROR(__xludf.DUMMYFUNCTION("""COMPUTED_VALUE"""),"Indiana")</f>
        <v>Indiana</v>
      </c>
      <c r="AP13" t="str">
        <f>IFERROR(__xludf.DUMMYFUNCTION("""COMPUTED_VALUE"""),"Iowa")</f>
        <v>Iowa</v>
      </c>
      <c r="AQ13" t="str">
        <f>IFERROR(__xludf.DUMMYFUNCTION("""COMPUTED_VALUE"""),"Iowa State")</f>
        <v>Iowa State</v>
      </c>
      <c r="AR13" t="str">
        <f>IFERROR(__xludf.DUMMYFUNCTION("""COMPUTED_VALUE"""),"Jacksonville State")</f>
        <v>Jacksonville State</v>
      </c>
      <c r="AS13" t="str">
        <f>IFERROR(__xludf.DUMMYFUNCTION("""COMPUTED_VALUE"""),"Kansas")</f>
        <v>Kansas</v>
      </c>
      <c r="AT13" t="str">
        <f>IFERROR(__xludf.DUMMYFUNCTION("""COMPUTED_VALUE"""),"Kansas State")</f>
        <v>Kansas State</v>
      </c>
      <c r="AU13" t="str">
        <f>IFERROR(__xludf.DUMMYFUNCTION("""COMPUTED_VALUE"""),"Kennesaw State")</f>
        <v>Kennesaw State</v>
      </c>
      <c r="AV13" t="str">
        <f>IFERROR(__xludf.DUMMYFUNCTION("""COMPUTED_VALUE"""),"Kent State")</f>
        <v>Kent State</v>
      </c>
      <c r="AW13" t="str">
        <f>IFERROR(__xludf.DUMMYFUNCTION("""COMPUTED_VALUE"""),"Kentucky")</f>
        <v>Kentucky</v>
      </c>
      <c r="AX13" t="str">
        <f>IFERROR(__xludf.DUMMYFUNCTION("""COMPUTED_VALUE"""),"Louisiana Tech")</f>
        <v>Louisiana Tech</v>
      </c>
      <c r="AY13" t="str">
        <f>IFERROR(__xludf.DUMMYFUNCTION("""COMPUTED_VALUE"""),"Louisville")</f>
        <v>Louisville</v>
      </c>
      <c r="AZ13" t="str">
        <f>IFERROR(__xludf.DUMMYFUNCTION("""COMPUTED_VALUE"""),"LSU")</f>
        <v>LSU</v>
      </c>
      <c r="BA13" t="str">
        <f>IFERROR(__xludf.DUMMYFUNCTION("""COMPUTED_VALUE"""),"Marshall")</f>
        <v>Marshall</v>
      </c>
      <c r="BB13" t="str">
        <f>IFERROR(__xludf.DUMMYFUNCTION("""COMPUTED_VALUE"""),"Maryland")</f>
        <v>Maryland</v>
      </c>
      <c r="BC13" t="str">
        <f>IFERROR(__xludf.DUMMYFUNCTION("""COMPUTED_VALUE"""),"Miami")</f>
        <v>Miami</v>
      </c>
      <c r="BD13" t="str">
        <f>IFERROR(__xludf.DUMMYFUNCTION("""COMPUTED_VALUE"""),"Miami-OH")</f>
        <v>Miami-OH</v>
      </c>
      <c r="BE13" t="str">
        <f>IFERROR(__xludf.DUMMYFUNCTION("""COMPUTED_VALUE"""),"Michigan")</f>
        <v>Michigan</v>
      </c>
      <c r="BF13" t="str">
        <f>IFERROR(__xludf.DUMMYFUNCTION("""COMPUTED_VALUE"""),"Michigan State")</f>
        <v>Michigan State</v>
      </c>
      <c r="BG13" t="str">
        <f>IFERROR(__xludf.DUMMYFUNCTION("""COMPUTED_VALUE"""),"Middle Tennessee")</f>
        <v>Middle Tennessee</v>
      </c>
      <c r="BH13" t="str">
        <f>IFERROR(__xludf.DUMMYFUNCTION("""COMPUTED_VALUE"""),"Minnesota")</f>
        <v>Minnesota</v>
      </c>
      <c r="BI13" t="str">
        <f>IFERROR(__xludf.DUMMYFUNCTION("""COMPUTED_VALUE"""),"Mississippi State")</f>
        <v>Mississippi State</v>
      </c>
      <c r="BJ13" t="str">
        <f>IFERROR(__xludf.DUMMYFUNCTION("""COMPUTED_VALUE"""),"Missouri")</f>
        <v>Missouri</v>
      </c>
      <c r="BK13" t="str">
        <f>IFERROR(__xludf.DUMMYFUNCTION("""COMPUTED_VALUE"""),"Missouri State")</f>
        <v>Missouri State</v>
      </c>
      <c r="BL13" t="str">
        <f>IFERROR(__xludf.DUMMYFUNCTION("""COMPUTED_VALUE"""),"Navy")</f>
        <v>Navy</v>
      </c>
      <c r="BM13" t="str">
        <f>IFERROR(__xludf.DUMMYFUNCTION("""COMPUTED_VALUE"""),"NC State")</f>
        <v>NC State</v>
      </c>
      <c r="BN13" t="str">
        <f>IFERROR(__xludf.DUMMYFUNCTION("""COMPUTED_VALUE"""),"Nebraska")</f>
        <v>Nebraska</v>
      </c>
      <c r="BO13" t="str">
        <f>IFERROR(__xludf.DUMMYFUNCTION("""COMPUTED_VALUE"""),"Nevada")</f>
        <v>Nevada</v>
      </c>
      <c r="BP13" t="str">
        <f>IFERROR(__xludf.DUMMYFUNCTION("""COMPUTED_VALUE"""),"New Mexico")</f>
        <v>New Mexico</v>
      </c>
      <c r="BQ13" t="str">
        <f>IFERROR(__xludf.DUMMYFUNCTION("""COMPUTED_VALUE"""),"New Mexico State")</f>
        <v>New Mexico State</v>
      </c>
      <c r="BR13" t="str">
        <f>IFERROR(__xludf.DUMMYFUNCTION("""COMPUTED_VALUE"""),"North Carolina")</f>
        <v>North Carolina</v>
      </c>
      <c r="BS13" t="str">
        <f>IFERROR(__xludf.DUMMYFUNCTION("""COMPUTED_VALUE"""),"North Texas")</f>
        <v>North Texas</v>
      </c>
      <c r="BT13" t="str">
        <f>IFERROR(__xludf.DUMMYFUNCTION("""COMPUTED_VALUE"""),"Northern Illinois")</f>
        <v>Northern Illinois</v>
      </c>
      <c r="BU13" t="str">
        <f>IFERROR(__xludf.DUMMYFUNCTION("""COMPUTED_VALUE"""),"Northwestern")</f>
        <v>Northwestern</v>
      </c>
      <c r="BV13" t="str">
        <f>IFERROR(__xludf.DUMMYFUNCTION("""COMPUTED_VALUE"""),"Ohio")</f>
        <v>Ohio</v>
      </c>
      <c r="BW13" t="str">
        <f>IFERROR(__xludf.DUMMYFUNCTION("""COMPUTED_VALUE"""),"Oklahoma")</f>
        <v>Oklahoma</v>
      </c>
      <c r="BX13" t="str">
        <f>IFERROR(__xludf.DUMMYFUNCTION("""COMPUTED_VALUE"""),"Oklahoma State")</f>
        <v>Oklahoma State</v>
      </c>
      <c r="BY13" t="str">
        <f>IFERROR(__xludf.DUMMYFUNCTION("""COMPUTED_VALUE"""),"Old Dominion")</f>
        <v>Old Dominion</v>
      </c>
      <c r="BZ13" t="str">
        <f>IFERROR(__xludf.DUMMYFUNCTION("""COMPUTED_VALUE"""),"Ole Miss")</f>
        <v>Ole Miss</v>
      </c>
      <c r="CA13" t="str">
        <f>IFERROR(__xludf.DUMMYFUNCTION("""COMPUTED_VALUE"""),"Oregon State")</f>
        <v>Oregon State</v>
      </c>
      <c r="CB13" t="str">
        <f>IFERROR(__xludf.DUMMYFUNCTION("""COMPUTED_VALUE"""),"Pittsburgh")</f>
        <v>Pittsburgh</v>
      </c>
      <c r="CC13" t="str">
        <f>IFERROR(__xludf.DUMMYFUNCTION("""COMPUTED_VALUE"""),"Purdue")</f>
        <v>Purdue</v>
      </c>
      <c r="CD13" t="str">
        <f>IFERROR(__xludf.DUMMYFUNCTION("""COMPUTED_VALUE"""),"Rice")</f>
        <v>Rice</v>
      </c>
      <c r="CE13" t="str">
        <f>IFERROR(__xludf.DUMMYFUNCTION("""COMPUTED_VALUE"""),"Rutgers")</f>
        <v>Rutgers</v>
      </c>
      <c r="CF13" t="str">
        <f>IFERROR(__xludf.DUMMYFUNCTION("""COMPUTED_VALUE"""),"Sam Houston")</f>
        <v>Sam Houston</v>
      </c>
      <c r="CG13" t="str">
        <f>IFERROR(__xludf.DUMMYFUNCTION("""COMPUTED_VALUE"""),"San Diego State")</f>
        <v>San Diego State</v>
      </c>
      <c r="CH13" t="str">
        <f>IFERROR(__xludf.DUMMYFUNCTION("""COMPUTED_VALUE"""),"San José State")</f>
        <v>San José State</v>
      </c>
      <c r="CI13" t="str">
        <f>IFERROR(__xludf.DUMMYFUNCTION("""COMPUTED_VALUE"""),"SMU")</f>
        <v>SMU</v>
      </c>
      <c r="CJ13" t="str">
        <f>IFERROR(__xludf.DUMMYFUNCTION("""COMPUTED_VALUE"""),"South Alabama")</f>
        <v>South Alabama</v>
      </c>
      <c r="CK13" t="str">
        <f>IFERROR(__xludf.DUMMYFUNCTION("""COMPUTED_VALUE"""),"South Carolina")</f>
        <v>South Carolina</v>
      </c>
      <c r="CL13" t="str">
        <f>IFERROR(__xludf.DUMMYFUNCTION("""COMPUTED_VALUE"""),"South Florida")</f>
        <v>South Florida</v>
      </c>
      <c r="CM13" t="str">
        <f>IFERROR(__xludf.DUMMYFUNCTION("""COMPUTED_VALUE"""),"Southern Mississippi")</f>
        <v>Southern Mississippi</v>
      </c>
      <c r="CN13" t="str">
        <f>IFERROR(__xludf.DUMMYFUNCTION("""COMPUTED_VALUE"""),"Stanford")</f>
        <v>Stanford</v>
      </c>
      <c r="CO13" t="str">
        <f>IFERROR(__xludf.DUMMYFUNCTION("""COMPUTED_VALUE"""),"Syracuse")</f>
        <v>Syracuse</v>
      </c>
      <c r="CP13" t="str">
        <f>IFERROR(__xludf.DUMMYFUNCTION("""COMPUTED_VALUE"""),"TCU")</f>
        <v>TCU</v>
      </c>
      <c r="CQ13" t="str">
        <f>IFERROR(__xludf.DUMMYFUNCTION("""COMPUTED_VALUE"""),"Temple")</f>
        <v>Temple</v>
      </c>
      <c r="CR13" t="str">
        <f>IFERROR(__xludf.DUMMYFUNCTION("""COMPUTED_VALUE"""),"Tennessee")</f>
        <v>Tennessee</v>
      </c>
      <c r="CS13" t="str">
        <f>IFERROR(__xludf.DUMMYFUNCTION("""COMPUTED_VALUE"""),"Texas")</f>
        <v>Texas</v>
      </c>
      <c r="CT13" t="str">
        <f>IFERROR(__xludf.DUMMYFUNCTION("""COMPUTED_VALUE"""),"Texas A&amp;M")</f>
        <v>Texas A&amp;M</v>
      </c>
      <c r="CU13" t="str">
        <f>IFERROR(__xludf.DUMMYFUNCTION("""COMPUTED_VALUE"""),"Texas State")</f>
        <v>Texas State</v>
      </c>
      <c r="CV13" t="str">
        <f>IFERROR(__xludf.DUMMYFUNCTION("""COMPUTED_VALUE"""),"Texas Tech")</f>
        <v>Texas Tech</v>
      </c>
      <c r="CW13" t="str">
        <f>IFERROR(__xludf.DUMMYFUNCTION("""COMPUTED_VALUE"""),"Troy")</f>
        <v>Troy</v>
      </c>
      <c r="CX13" t="str">
        <f>IFERROR(__xludf.DUMMYFUNCTION("""COMPUTED_VALUE"""),"Tulsa")</f>
        <v>Tulsa</v>
      </c>
      <c r="CY13" t="str">
        <f>IFERROR(__xludf.DUMMYFUNCTION("""COMPUTED_VALUE"""),"UAB")</f>
        <v>UAB</v>
      </c>
      <c r="CZ13" t="str">
        <f>IFERROR(__xludf.DUMMYFUNCTION("""COMPUTED_VALUE"""),"UCF")</f>
        <v>UCF</v>
      </c>
      <c r="DA13" t="str">
        <f>IFERROR(__xludf.DUMMYFUNCTION("""COMPUTED_VALUE"""),"UCLA")</f>
        <v>UCLA</v>
      </c>
      <c r="DB13" t="str">
        <f>IFERROR(__xludf.DUMMYFUNCTION("""COMPUTED_VALUE"""),"UConn")</f>
        <v>UConn</v>
      </c>
      <c r="DC13" t="str">
        <f>IFERROR(__xludf.DUMMYFUNCTION("""COMPUTED_VALUE"""),"UL Lafayette")</f>
        <v>UL Lafayette</v>
      </c>
      <c r="DD13" t="str">
        <f>IFERROR(__xludf.DUMMYFUNCTION("""COMPUTED_VALUE"""),"UL Monroe")</f>
        <v>UL Monroe</v>
      </c>
      <c r="DE13" t="str">
        <f>IFERROR(__xludf.DUMMYFUNCTION("""COMPUTED_VALUE"""),"UMASS")</f>
        <v>UMASS</v>
      </c>
      <c r="DF13" t="str">
        <f>IFERROR(__xludf.DUMMYFUNCTION("""COMPUTED_VALUE"""),"USC")</f>
        <v>USC</v>
      </c>
      <c r="DG13" t="str">
        <f>IFERROR(__xludf.DUMMYFUNCTION("""COMPUTED_VALUE"""),"Utah")</f>
        <v>Utah</v>
      </c>
      <c r="DH13" t="str">
        <f>IFERROR(__xludf.DUMMYFUNCTION("""COMPUTED_VALUE"""),"Utah State")</f>
        <v>Utah State</v>
      </c>
      <c r="DI13" t="str">
        <f>IFERROR(__xludf.DUMMYFUNCTION("""COMPUTED_VALUE"""),"UTEP")</f>
        <v>UTEP</v>
      </c>
      <c r="DJ13" t="str">
        <f>IFERROR(__xludf.DUMMYFUNCTION("""COMPUTED_VALUE"""),"UTSA")</f>
        <v>UTSA</v>
      </c>
      <c r="DK13" t="str">
        <f>IFERROR(__xludf.DUMMYFUNCTION("""COMPUTED_VALUE"""),"Vanderbilt")</f>
        <v>Vanderbilt</v>
      </c>
      <c r="DL13" t="str">
        <f>IFERROR(__xludf.DUMMYFUNCTION("""COMPUTED_VALUE"""),"Virginia")</f>
        <v>Virginia</v>
      </c>
      <c r="DM13" t="str">
        <f>IFERROR(__xludf.DUMMYFUNCTION("""COMPUTED_VALUE"""),"Virginia Tech")</f>
        <v>Virginia Tech</v>
      </c>
      <c r="DN13" t="str">
        <f>IFERROR(__xludf.DUMMYFUNCTION("""COMPUTED_VALUE"""),"Wake Forest")</f>
        <v>Wake Forest</v>
      </c>
      <c r="DO13" t="str">
        <f>IFERROR(__xludf.DUMMYFUNCTION("""COMPUTED_VALUE"""),"Washington")</f>
        <v>Washington</v>
      </c>
      <c r="DP13" t="str">
        <f>IFERROR(__xludf.DUMMYFUNCTION("""COMPUTED_VALUE"""),"Washington State")</f>
        <v>Washington State</v>
      </c>
      <c r="DQ13" t="str">
        <f>IFERROR(__xludf.DUMMYFUNCTION("""COMPUTED_VALUE"""),"West Virginia")</f>
        <v>West Virginia</v>
      </c>
      <c r="DR13" t="str">
        <f>IFERROR(__xludf.DUMMYFUNCTION("""COMPUTED_VALUE"""),"Western Kentucky")</f>
        <v>Western Kentucky</v>
      </c>
      <c r="DS13" t="str">
        <f>IFERROR(__xludf.DUMMYFUNCTION("""COMPUTED_VALUE"""),"Western Michigan")</f>
        <v>Western Michigan</v>
      </c>
      <c r="DT13" t="str">
        <f>IFERROR(__xludf.DUMMYFUNCTION("""COMPUTED_VALUE"""),"Wisconsin")</f>
        <v>Wisconsin</v>
      </c>
      <c r="DU13" t="str">
        <f>IFERROR(__xludf.DUMMYFUNCTION("""COMPUTED_VALUE"""),"Wyoming")</f>
        <v>Wyoming</v>
      </c>
    </row>
    <row r="14">
      <c r="A14" s="1">
        <v>13.0</v>
      </c>
      <c r="B14" t="str">
        <f>IFERROR(__xludf.DUMMYFUNCTION("split(join("","",sort(byrow('Teams-Conference'!A$2:A1000,lambda(rw,if(iserror(match(rw,DraftTracker!F$1:F14,0)),rw,""""))),1,1)),"","",1,1)"),"Air Force")</f>
        <v>Air Force</v>
      </c>
      <c r="C14" t="str">
        <f>IFERROR(__xludf.DUMMYFUNCTION("""COMPUTED_VALUE"""),"Akron")</f>
        <v>Akron</v>
      </c>
      <c r="D14" t="str">
        <f>IFERROR(__xludf.DUMMYFUNCTION("""COMPUTED_VALUE"""),"Alabama")</f>
        <v>Alabama</v>
      </c>
      <c r="E14" t="str">
        <f>IFERROR(__xludf.DUMMYFUNCTION("""COMPUTED_VALUE"""),"Appalachian State")</f>
        <v>Appalachian State</v>
      </c>
      <c r="F14" t="str">
        <f>IFERROR(__xludf.DUMMYFUNCTION("""COMPUTED_VALUE"""),"Arizona")</f>
        <v>Arizona</v>
      </c>
      <c r="G14" t="str">
        <f>IFERROR(__xludf.DUMMYFUNCTION("""COMPUTED_VALUE"""),"Arizona State")</f>
        <v>Arizona State</v>
      </c>
      <c r="H14" t="str">
        <f>IFERROR(__xludf.DUMMYFUNCTION("""COMPUTED_VALUE"""),"Arkansas")</f>
        <v>Arkansas</v>
      </c>
      <c r="I14" t="str">
        <f>IFERROR(__xludf.DUMMYFUNCTION("""COMPUTED_VALUE"""),"Arkansas State")</f>
        <v>Arkansas State</v>
      </c>
      <c r="J14" t="str">
        <f>IFERROR(__xludf.DUMMYFUNCTION("""COMPUTED_VALUE"""),"Army")</f>
        <v>Army</v>
      </c>
      <c r="K14" t="str">
        <f>IFERROR(__xludf.DUMMYFUNCTION("""COMPUTED_VALUE"""),"Auburn")</f>
        <v>Auburn</v>
      </c>
      <c r="L14" t="str">
        <f>IFERROR(__xludf.DUMMYFUNCTION("""COMPUTED_VALUE"""),"Ball State")</f>
        <v>Ball State</v>
      </c>
      <c r="M14" t="str">
        <f>IFERROR(__xludf.DUMMYFUNCTION("""COMPUTED_VALUE"""),"Baylor")</f>
        <v>Baylor</v>
      </c>
      <c r="N14" t="str">
        <f>IFERROR(__xludf.DUMMYFUNCTION("""COMPUTED_VALUE"""),"Boston College")</f>
        <v>Boston College</v>
      </c>
      <c r="O14" t="str">
        <f>IFERROR(__xludf.DUMMYFUNCTION("""COMPUTED_VALUE"""),"Bowling Green")</f>
        <v>Bowling Green</v>
      </c>
      <c r="P14" t="str">
        <f>IFERROR(__xludf.DUMMYFUNCTION("""COMPUTED_VALUE"""),"Buffalo")</f>
        <v>Buffalo</v>
      </c>
      <c r="Q14" t="str">
        <f>IFERROR(__xludf.DUMMYFUNCTION("""COMPUTED_VALUE"""),"BYU")</f>
        <v>BYU</v>
      </c>
      <c r="R14" t="str">
        <f>IFERROR(__xludf.DUMMYFUNCTION("""COMPUTED_VALUE"""),"California")</f>
        <v>California</v>
      </c>
      <c r="S14" t="str">
        <f>IFERROR(__xludf.DUMMYFUNCTION("""COMPUTED_VALUE"""),"Central Michigan")</f>
        <v>Central Michigan</v>
      </c>
      <c r="T14" t="str">
        <f>IFERROR(__xludf.DUMMYFUNCTION("""COMPUTED_VALUE"""),"Charlotte")</f>
        <v>Charlotte</v>
      </c>
      <c r="U14" t="str">
        <f>IFERROR(__xludf.DUMMYFUNCTION("""COMPUTED_VALUE"""),"Cincinnati")</f>
        <v>Cincinnati</v>
      </c>
      <c r="V14" t="str">
        <f>IFERROR(__xludf.DUMMYFUNCTION("""COMPUTED_VALUE"""),"Coastal Carolina")</f>
        <v>Coastal Carolina</v>
      </c>
      <c r="W14" t="str">
        <f>IFERROR(__xludf.DUMMYFUNCTION("""COMPUTED_VALUE"""),"Colorado")</f>
        <v>Colorado</v>
      </c>
      <c r="X14" t="str">
        <f>IFERROR(__xludf.DUMMYFUNCTION("""COMPUTED_VALUE"""),"Colorado State")</f>
        <v>Colorado State</v>
      </c>
      <c r="Y14" t="str">
        <f>IFERROR(__xludf.DUMMYFUNCTION("""COMPUTED_VALUE"""),"Delaware")</f>
        <v>Delaware</v>
      </c>
      <c r="Z14" t="str">
        <f>IFERROR(__xludf.DUMMYFUNCTION("""COMPUTED_VALUE"""),"Duke")</f>
        <v>Duke</v>
      </c>
      <c r="AA14" t="str">
        <f>IFERROR(__xludf.DUMMYFUNCTION("""COMPUTED_VALUE"""),"East Carolina")</f>
        <v>East Carolina</v>
      </c>
      <c r="AB14" t="str">
        <f>IFERROR(__xludf.DUMMYFUNCTION("""COMPUTED_VALUE"""),"EMU")</f>
        <v>EMU</v>
      </c>
      <c r="AC14" t="str">
        <f>IFERROR(__xludf.DUMMYFUNCTION("""COMPUTED_VALUE"""),"Florida")</f>
        <v>Florida</v>
      </c>
      <c r="AD14" t="str">
        <f>IFERROR(__xludf.DUMMYFUNCTION("""COMPUTED_VALUE"""),"Florida Atlantic")</f>
        <v>Florida Atlantic</v>
      </c>
      <c r="AE14" t="str">
        <f>IFERROR(__xludf.DUMMYFUNCTION("""COMPUTED_VALUE"""),"Florida Intl")</f>
        <v>Florida Intl</v>
      </c>
      <c r="AF14" t="str">
        <f>IFERROR(__xludf.DUMMYFUNCTION("""COMPUTED_VALUE"""),"Florida State")</f>
        <v>Florida State</v>
      </c>
      <c r="AG14" t="str">
        <f>IFERROR(__xludf.DUMMYFUNCTION("""COMPUTED_VALUE"""),"Fresno State")</f>
        <v>Fresno State</v>
      </c>
      <c r="AH14" t="str">
        <f>IFERROR(__xludf.DUMMYFUNCTION("""COMPUTED_VALUE"""),"Georgia")</f>
        <v>Georgia</v>
      </c>
      <c r="AI14" t="str">
        <f>IFERROR(__xludf.DUMMYFUNCTION("""COMPUTED_VALUE"""),"Georgia Southern")</f>
        <v>Georgia Southern</v>
      </c>
      <c r="AJ14" t="str">
        <f>IFERROR(__xludf.DUMMYFUNCTION("""COMPUTED_VALUE"""),"Georgia State")</f>
        <v>Georgia State</v>
      </c>
      <c r="AK14" t="str">
        <f>IFERROR(__xludf.DUMMYFUNCTION("""COMPUTED_VALUE"""),"Georgia Tech")</f>
        <v>Georgia Tech</v>
      </c>
      <c r="AL14" t="str">
        <f>IFERROR(__xludf.DUMMYFUNCTION("""COMPUTED_VALUE"""),"Hawaii")</f>
        <v>Hawaii</v>
      </c>
      <c r="AM14" t="str">
        <f>IFERROR(__xludf.DUMMYFUNCTION("""COMPUTED_VALUE"""),"Houston")</f>
        <v>Houston</v>
      </c>
      <c r="AN14" t="str">
        <f>IFERROR(__xludf.DUMMYFUNCTION("""COMPUTED_VALUE"""),"Illinois")</f>
        <v>Illinois</v>
      </c>
      <c r="AO14" t="str">
        <f>IFERROR(__xludf.DUMMYFUNCTION("""COMPUTED_VALUE"""),"Indiana")</f>
        <v>Indiana</v>
      </c>
      <c r="AP14" t="str">
        <f>IFERROR(__xludf.DUMMYFUNCTION("""COMPUTED_VALUE"""),"Iowa")</f>
        <v>Iowa</v>
      </c>
      <c r="AQ14" t="str">
        <f>IFERROR(__xludf.DUMMYFUNCTION("""COMPUTED_VALUE"""),"Iowa State")</f>
        <v>Iowa State</v>
      </c>
      <c r="AR14" t="str">
        <f>IFERROR(__xludf.DUMMYFUNCTION("""COMPUTED_VALUE"""),"Jacksonville State")</f>
        <v>Jacksonville State</v>
      </c>
      <c r="AS14" t="str">
        <f>IFERROR(__xludf.DUMMYFUNCTION("""COMPUTED_VALUE"""),"Kansas")</f>
        <v>Kansas</v>
      </c>
      <c r="AT14" t="str">
        <f>IFERROR(__xludf.DUMMYFUNCTION("""COMPUTED_VALUE"""),"Kansas State")</f>
        <v>Kansas State</v>
      </c>
      <c r="AU14" t="str">
        <f>IFERROR(__xludf.DUMMYFUNCTION("""COMPUTED_VALUE"""),"Kennesaw State")</f>
        <v>Kennesaw State</v>
      </c>
      <c r="AV14" t="str">
        <f>IFERROR(__xludf.DUMMYFUNCTION("""COMPUTED_VALUE"""),"Kent State")</f>
        <v>Kent State</v>
      </c>
      <c r="AW14" t="str">
        <f>IFERROR(__xludf.DUMMYFUNCTION("""COMPUTED_VALUE"""),"Kentucky")</f>
        <v>Kentucky</v>
      </c>
      <c r="AX14" t="str">
        <f>IFERROR(__xludf.DUMMYFUNCTION("""COMPUTED_VALUE"""),"Louisiana Tech")</f>
        <v>Louisiana Tech</v>
      </c>
      <c r="AY14" t="str">
        <f>IFERROR(__xludf.DUMMYFUNCTION("""COMPUTED_VALUE"""),"Louisville")</f>
        <v>Louisville</v>
      </c>
      <c r="AZ14" t="str">
        <f>IFERROR(__xludf.DUMMYFUNCTION("""COMPUTED_VALUE"""),"LSU")</f>
        <v>LSU</v>
      </c>
      <c r="BA14" t="str">
        <f>IFERROR(__xludf.DUMMYFUNCTION("""COMPUTED_VALUE"""),"Marshall")</f>
        <v>Marshall</v>
      </c>
      <c r="BB14" t="str">
        <f>IFERROR(__xludf.DUMMYFUNCTION("""COMPUTED_VALUE"""),"Maryland")</f>
        <v>Maryland</v>
      </c>
      <c r="BC14" t="str">
        <f>IFERROR(__xludf.DUMMYFUNCTION("""COMPUTED_VALUE"""),"Miami")</f>
        <v>Miami</v>
      </c>
      <c r="BD14" t="str">
        <f>IFERROR(__xludf.DUMMYFUNCTION("""COMPUTED_VALUE"""),"Miami-OH")</f>
        <v>Miami-OH</v>
      </c>
      <c r="BE14" t="str">
        <f>IFERROR(__xludf.DUMMYFUNCTION("""COMPUTED_VALUE"""),"Michigan")</f>
        <v>Michigan</v>
      </c>
      <c r="BF14" t="str">
        <f>IFERROR(__xludf.DUMMYFUNCTION("""COMPUTED_VALUE"""),"Michigan State")</f>
        <v>Michigan State</v>
      </c>
      <c r="BG14" t="str">
        <f>IFERROR(__xludf.DUMMYFUNCTION("""COMPUTED_VALUE"""),"Middle Tennessee")</f>
        <v>Middle Tennessee</v>
      </c>
      <c r="BH14" t="str">
        <f>IFERROR(__xludf.DUMMYFUNCTION("""COMPUTED_VALUE"""),"Minnesota")</f>
        <v>Minnesota</v>
      </c>
      <c r="BI14" t="str">
        <f>IFERROR(__xludf.DUMMYFUNCTION("""COMPUTED_VALUE"""),"Mississippi State")</f>
        <v>Mississippi State</v>
      </c>
      <c r="BJ14" t="str">
        <f>IFERROR(__xludf.DUMMYFUNCTION("""COMPUTED_VALUE"""),"Missouri")</f>
        <v>Missouri</v>
      </c>
      <c r="BK14" t="str">
        <f>IFERROR(__xludf.DUMMYFUNCTION("""COMPUTED_VALUE"""),"Missouri State")</f>
        <v>Missouri State</v>
      </c>
      <c r="BL14" t="str">
        <f>IFERROR(__xludf.DUMMYFUNCTION("""COMPUTED_VALUE"""),"Navy")</f>
        <v>Navy</v>
      </c>
      <c r="BM14" t="str">
        <f>IFERROR(__xludf.DUMMYFUNCTION("""COMPUTED_VALUE"""),"NC State")</f>
        <v>NC State</v>
      </c>
      <c r="BN14" t="str">
        <f>IFERROR(__xludf.DUMMYFUNCTION("""COMPUTED_VALUE"""),"Nebraska")</f>
        <v>Nebraska</v>
      </c>
      <c r="BO14" t="str">
        <f>IFERROR(__xludf.DUMMYFUNCTION("""COMPUTED_VALUE"""),"Nevada")</f>
        <v>Nevada</v>
      </c>
      <c r="BP14" t="str">
        <f>IFERROR(__xludf.DUMMYFUNCTION("""COMPUTED_VALUE"""),"New Mexico")</f>
        <v>New Mexico</v>
      </c>
      <c r="BQ14" t="str">
        <f>IFERROR(__xludf.DUMMYFUNCTION("""COMPUTED_VALUE"""),"New Mexico State")</f>
        <v>New Mexico State</v>
      </c>
      <c r="BR14" t="str">
        <f>IFERROR(__xludf.DUMMYFUNCTION("""COMPUTED_VALUE"""),"North Carolina")</f>
        <v>North Carolina</v>
      </c>
      <c r="BS14" t="str">
        <f>IFERROR(__xludf.DUMMYFUNCTION("""COMPUTED_VALUE"""),"North Texas")</f>
        <v>North Texas</v>
      </c>
      <c r="BT14" t="str">
        <f>IFERROR(__xludf.DUMMYFUNCTION("""COMPUTED_VALUE"""),"Northern Illinois")</f>
        <v>Northern Illinois</v>
      </c>
      <c r="BU14" t="str">
        <f>IFERROR(__xludf.DUMMYFUNCTION("""COMPUTED_VALUE"""),"Northwestern")</f>
        <v>Northwestern</v>
      </c>
      <c r="BV14" t="str">
        <f>IFERROR(__xludf.DUMMYFUNCTION("""COMPUTED_VALUE"""),"Ohio")</f>
        <v>Ohio</v>
      </c>
      <c r="BW14" t="str">
        <f>IFERROR(__xludf.DUMMYFUNCTION("""COMPUTED_VALUE"""),"Oklahoma")</f>
        <v>Oklahoma</v>
      </c>
      <c r="BX14" t="str">
        <f>IFERROR(__xludf.DUMMYFUNCTION("""COMPUTED_VALUE"""),"Oklahoma State")</f>
        <v>Oklahoma State</v>
      </c>
      <c r="BY14" t="str">
        <f>IFERROR(__xludf.DUMMYFUNCTION("""COMPUTED_VALUE"""),"Old Dominion")</f>
        <v>Old Dominion</v>
      </c>
      <c r="BZ14" t="str">
        <f>IFERROR(__xludf.DUMMYFUNCTION("""COMPUTED_VALUE"""),"Ole Miss")</f>
        <v>Ole Miss</v>
      </c>
      <c r="CA14" t="str">
        <f>IFERROR(__xludf.DUMMYFUNCTION("""COMPUTED_VALUE"""),"Oregon State")</f>
        <v>Oregon State</v>
      </c>
      <c r="CB14" t="str">
        <f>IFERROR(__xludf.DUMMYFUNCTION("""COMPUTED_VALUE"""),"Pittsburgh")</f>
        <v>Pittsburgh</v>
      </c>
      <c r="CC14" t="str">
        <f>IFERROR(__xludf.DUMMYFUNCTION("""COMPUTED_VALUE"""),"Purdue")</f>
        <v>Purdue</v>
      </c>
      <c r="CD14" t="str">
        <f>IFERROR(__xludf.DUMMYFUNCTION("""COMPUTED_VALUE"""),"Rice")</f>
        <v>Rice</v>
      </c>
      <c r="CE14" t="str">
        <f>IFERROR(__xludf.DUMMYFUNCTION("""COMPUTED_VALUE"""),"Rutgers")</f>
        <v>Rutgers</v>
      </c>
      <c r="CF14" t="str">
        <f>IFERROR(__xludf.DUMMYFUNCTION("""COMPUTED_VALUE"""),"Sam Houston")</f>
        <v>Sam Houston</v>
      </c>
      <c r="CG14" t="str">
        <f>IFERROR(__xludf.DUMMYFUNCTION("""COMPUTED_VALUE"""),"San Diego State")</f>
        <v>San Diego State</v>
      </c>
      <c r="CH14" t="str">
        <f>IFERROR(__xludf.DUMMYFUNCTION("""COMPUTED_VALUE"""),"San José State")</f>
        <v>San José State</v>
      </c>
      <c r="CI14" t="str">
        <f>IFERROR(__xludf.DUMMYFUNCTION("""COMPUTED_VALUE"""),"SMU")</f>
        <v>SMU</v>
      </c>
      <c r="CJ14" t="str">
        <f>IFERROR(__xludf.DUMMYFUNCTION("""COMPUTED_VALUE"""),"South Alabama")</f>
        <v>South Alabama</v>
      </c>
      <c r="CK14" t="str">
        <f>IFERROR(__xludf.DUMMYFUNCTION("""COMPUTED_VALUE"""),"South Carolina")</f>
        <v>South Carolina</v>
      </c>
      <c r="CL14" t="str">
        <f>IFERROR(__xludf.DUMMYFUNCTION("""COMPUTED_VALUE"""),"South Florida")</f>
        <v>South Florida</v>
      </c>
      <c r="CM14" t="str">
        <f>IFERROR(__xludf.DUMMYFUNCTION("""COMPUTED_VALUE"""),"Southern Mississippi")</f>
        <v>Southern Mississippi</v>
      </c>
      <c r="CN14" t="str">
        <f>IFERROR(__xludf.DUMMYFUNCTION("""COMPUTED_VALUE"""),"Stanford")</f>
        <v>Stanford</v>
      </c>
      <c r="CO14" t="str">
        <f>IFERROR(__xludf.DUMMYFUNCTION("""COMPUTED_VALUE"""),"Syracuse")</f>
        <v>Syracuse</v>
      </c>
      <c r="CP14" t="str">
        <f>IFERROR(__xludf.DUMMYFUNCTION("""COMPUTED_VALUE"""),"TCU")</f>
        <v>TCU</v>
      </c>
      <c r="CQ14" t="str">
        <f>IFERROR(__xludf.DUMMYFUNCTION("""COMPUTED_VALUE"""),"Temple")</f>
        <v>Temple</v>
      </c>
      <c r="CR14" t="str">
        <f>IFERROR(__xludf.DUMMYFUNCTION("""COMPUTED_VALUE"""),"Tennessee")</f>
        <v>Tennessee</v>
      </c>
      <c r="CS14" t="str">
        <f>IFERROR(__xludf.DUMMYFUNCTION("""COMPUTED_VALUE"""),"Texas A&amp;M")</f>
        <v>Texas A&amp;M</v>
      </c>
      <c r="CT14" t="str">
        <f>IFERROR(__xludf.DUMMYFUNCTION("""COMPUTED_VALUE"""),"Texas State")</f>
        <v>Texas State</v>
      </c>
      <c r="CU14" t="str">
        <f>IFERROR(__xludf.DUMMYFUNCTION("""COMPUTED_VALUE"""),"Texas Tech")</f>
        <v>Texas Tech</v>
      </c>
      <c r="CV14" t="str">
        <f>IFERROR(__xludf.DUMMYFUNCTION("""COMPUTED_VALUE"""),"Troy")</f>
        <v>Troy</v>
      </c>
      <c r="CW14" t="str">
        <f>IFERROR(__xludf.DUMMYFUNCTION("""COMPUTED_VALUE"""),"Tulsa")</f>
        <v>Tulsa</v>
      </c>
      <c r="CX14" t="str">
        <f>IFERROR(__xludf.DUMMYFUNCTION("""COMPUTED_VALUE"""),"UAB")</f>
        <v>UAB</v>
      </c>
      <c r="CY14" t="str">
        <f>IFERROR(__xludf.DUMMYFUNCTION("""COMPUTED_VALUE"""),"UCF")</f>
        <v>UCF</v>
      </c>
      <c r="CZ14" t="str">
        <f>IFERROR(__xludf.DUMMYFUNCTION("""COMPUTED_VALUE"""),"UCLA")</f>
        <v>UCLA</v>
      </c>
      <c r="DA14" t="str">
        <f>IFERROR(__xludf.DUMMYFUNCTION("""COMPUTED_VALUE"""),"UConn")</f>
        <v>UConn</v>
      </c>
      <c r="DB14" t="str">
        <f>IFERROR(__xludf.DUMMYFUNCTION("""COMPUTED_VALUE"""),"UL Lafayette")</f>
        <v>UL Lafayette</v>
      </c>
      <c r="DC14" t="str">
        <f>IFERROR(__xludf.DUMMYFUNCTION("""COMPUTED_VALUE"""),"UL Monroe")</f>
        <v>UL Monroe</v>
      </c>
      <c r="DD14" t="str">
        <f>IFERROR(__xludf.DUMMYFUNCTION("""COMPUTED_VALUE"""),"UMASS")</f>
        <v>UMASS</v>
      </c>
      <c r="DE14" t="str">
        <f>IFERROR(__xludf.DUMMYFUNCTION("""COMPUTED_VALUE"""),"USC")</f>
        <v>USC</v>
      </c>
      <c r="DF14" t="str">
        <f>IFERROR(__xludf.DUMMYFUNCTION("""COMPUTED_VALUE"""),"Utah")</f>
        <v>Utah</v>
      </c>
      <c r="DG14" t="str">
        <f>IFERROR(__xludf.DUMMYFUNCTION("""COMPUTED_VALUE"""),"Utah State")</f>
        <v>Utah State</v>
      </c>
      <c r="DH14" t="str">
        <f>IFERROR(__xludf.DUMMYFUNCTION("""COMPUTED_VALUE"""),"UTEP")</f>
        <v>UTEP</v>
      </c>
      <c r="DI14" t="str">
        <f>IFERROR(__xludf.DUMMYFUNCTION("""COMPUTED_VALUE"""),"UTSA")</f>
        <v>UTSA</v>
      </c>
      <c r="DJ14" t="str">
        <f>IFERROR(__xludf.DUMMYFUNCTION("""COMPUTED_VALUE"""),"Vanderbilt")</f>
        <v>Vanderbilt</v>
      </c>
      <c r="DK14" t="str">
        <f>IFERROR(__xludf.DUMMYFUNCTION("""COMPUTED_VALUE"""),"Virginia")</f>
        <v>Virginia</v>
      </c>
      <c r="DL14" t="str">
        <f>IFERROR(__xludf.DUMMYFUNCTION("""COMPUTED_VALUE"""),"Virginia Tech")</f>
        <v>Virginia Tech</v>
      </c>
      <c r="DM14" t="str">
        <f>IFERROR(__xludf.DUMMYFUNCTION("""COMPUTED_VALUE"""),"Wake Forest")</f>
        <v>Wake Forest</v>
      </c>
      <c r="DN14" t="str">
        <f>IFERROR(__xludf.DUMMYFUNCTION("""COMPUTED_VALUE"""),"Washington")</f>
        <v>Washington</v>
      </c>
      <c r="DO14" t="str">
        <f>IFERROR(__xludf.DUMMYFUNCTION("""COMPUTED_VALUE"""),"Washington State")</f>
        <v>Washington State</v>
      </c>
      <c r="DP14" t="str">
        <f>IFERROR(__xludf.DUMMYFUNCTION("""COMPUTED_VALUE"""),"West Virginia")</f>
        <v>West Virginia</v>
      </c>
      <c r="DQ14" t="str">
        <f>IFERROR(__xludf.DUMMYFUNCTION("""COMPUTED_VALUE"""),"Western Kentucky")</f>
        <v>Western Kentucky</v>
      </c>
      <c r="DR14" t="str">
        <f>IFERROR(__xludf.DUMMYFUNCTION("""COMPUTED_VALUE"""),"Western Michigan")</f>
        <v>Western Michigan</v>
      </c>
      <c r="DS14" t="str">
        <f>IFERROR(__xludf.DUMMYFUNCTION("""COMPUTED_VALUE"""),"Wisconsin")</f>
        <v>Wisconsin</v>
      </c>
      <c r="DT14" t="str">
        <f>IFERROR(__xludf.DUMMYFUNCTION("""COMPUTED_VALUE"""),"Wyoming")</f>
        <v>Wyoming</v>
      </c>
    </row>
    <row r="15">
      <c r="A15" s="1">
        <v>14.0</v>
      </c>
      <c r="B15" t="str">
        <f>IFERROR(__xludf.DUMMYFUNCTION("split(join("","",sort(byrow('Teams-Conference'!A$2:A1000,lambda(rw,if(iserror(match(rw,DraftTracker!F$1:F15,0)),rw,""""))),1,1)),"","",1,1)"),"Air Force")</f>
        <v>Air Force</v>
      </c>
      <c r="C15" t="str">
        <f>IFERROR(__xludf.DUMMYFUNCTION("""COMPUTED_VALUE"""),"Akron")</f>
        <v>Akron</v>
      </c>
      <c r="D15" t="str">
        <f>IFERROR(__xludf.DUMMYFUNCTION("""COMPUTED_VALUE"""),"Alabama")</f>
        <v>Alabama</v>
      </c>
      <c r="E15" t="str">
        <f>IFERROR(__xludf.DUMMYFUNCTION("""COMPUTED_VALUE"""),"Appalachian State")</f>
        <v>Appalachian State</v>
      </c>
      <c r="F15" t="str">
        <f>IFERROR(__xludf.DUMMYFUNCTION("""COMPUTED_VALUE"""),"Arizona")</f>
        <v>Arizona</v>
      </c>
      <c r="G15" t="str">
        <f>IFERROR(__xludf.DUMMYFUNCTION("""COMPUTED_VALUE"""),"Arizona State")</f>
        <v>Arizona State</v>
      </c>
      <c r="H15" t="str">
        <f>IFERROR(__xludf.DUMMYFUNCTION("""COMPUTED_VALUE"""),"Arkansas")</f>
        <v>Arkansas</v>
      </c>
      <c r="I15" t="str">
        <f>IFERROR(__xludf.DUMMYFUNCTION("""COMPUTED_VALUE"""),"Arkansas State")</f>
        <v>Arkansas State</v>
      </c>
      <c r="J15" t="str">
        <f>IFERROR(__xludf.DUMMYFUNCTION("""COMPUTED_VALUE"""),"Army")</f>
        <v>Army</v>
      </c>
      <c r="K15" t="str">
        <f>IFERROR(__xludf.DUMMYFUNCTION("""COMPUTED_VALUE"""),"Auburn")</f>
        <v>Auburn</v>
      </c>
      <c r="L15" t="str">
        <f>IFERROR(__xludf.DUMMYFUNCTION("""COMPUTED_VALUE"""),"Ball State")</f>
        <v>Ball State</v>
      </c>
      <c r="M15" t="str">
        <f>IFERROR(__xludf.DUMMYFUNCTION("""COMPUTED_VALUE"""),"Baylor")</f>
        <v>Baylor</v>
      </c>
      <c r="N15" t="str">
        <f>IFERROR(__xludf.DUMMYFUNCTION("""COMPUTED_VALUE"""),"Boston College")</f>
        <v>Boston College</v>
      </c>
      <c r="O15" t="str">
        <f>IFERROR(__xludf.DUMMYFUNCTION("""COMPUTED_VALUE"""),"Bowling Green")</f>
        <v>Bowling Green</v>
      </c>
      <c r="P15" t="str">
        <f>IFERROR(__xludf.DUMMYFUNCTION("""COMPUTED_VALUE"""),"Buffalo")</f>
        <v>Buffalo</v>
      </c>
      <c r="Q15" t="str">
        <f>IFERROR(__xludf.DUMMYFUNCTION("""COMPUTED_VALUE"""),"BYU")</f>
        <v>BYU</v>
      </c>
      <c r="R15" t="str">
        <f>IFERROR(__xludf.DUMMYFUNCTION("""COMPUTED_VALUE"""),"California")</f>
        <v>California</v>
      </c>
      <c r="S15" t="str">
        <f>IFERROR(__xludf.DUMMYFUNCTION("""COMPUTED_VALUE"""),"Central Michigan")</f>
        <v>Central Michigan</v>
      </c>
      <c r="T15" t="str">
        <f>IFERROR(__xludf.DUMMYFUNCTION("""COMPUTED_VALUE"""),"Charlotte")</f>
        <v>Charlotte</v>
      </c>
      <c r="U15" t="str">
        <f>IFERROR(__xludf.DUMMYFUNCTION("""COMPUTED_VALUE"""),"Cincinnati")</f>
        <v>Cincinnati</v>
      </c>
      <c r="V15" t="str">
        <f>IFERROR(__xludf.DUMMYFUNCTION("""COMPUTED_VALUE"""),"Coastal Carolina")</f>
        <v>Coastal Carolina</v>
      </c>
      <c r="W15" t="str">
        <f>IFERROR(__xludf.DUMMYFUNCTION("""COMPUTED_VALUE"""),"Colorado")</f>
        <v>Colorado</v>
      </c>
      <c r="X15" t="str">
        <f>IFERROR(__xludf.DUMMYFUNCTION("""COMPUTED_VALUE"""),"Colorado State")</f>
        <v>Colorado State</v>
      </c>
      <c r="Y15" t="str">
        <f>IFERROR(__xludf.DUMMYFUNCTION("""COMPUTED_VALUE"""),"Delaware")</f>
        <v>Delaware</v>
      </c>
      <c r="Z15" t="str">
        <f>IFERROR(__xludf.DUMMYFUNCTION("""COMPUTED_VALUE"""),"Duke")</f>
        <v>Duke</v>
      </c>
      <c r="AA15" t="str">
        <f>IFERROR(__xludf.DUMMYFUNCTION("""COMPUTED_VALUE"""),"East Carolina")</f>
        <v>East Carolina</v>
      </c>
      <c r="AB15" t="str">
        <f>IFERROR(__xludf.DUMMYFUNCTION("""COMPUTED_VALUE"""),"EMU")</f>
        <v>EMU</v>
      </c>
      <c r="AC15" t="str">
        <f>IFERROR(__xludf.DUMMYFUNCTION("""COMPUTED_VALUE"""),"Florida")</f>
        <v>Florida</v>
      </c>
      <c r="AD15" t="str">
        <f>IFERROR(__xludf.DUMMYFUNCTION("""COMPUTED_VALUE"""),"Florida Atlantic")</f>
        <v>Florida Atlantic</v>
      </c>
      <c r="AE15" t="str">
        <f>IFERROR(__xludf.DUMMYFUNCTION("""COMPUTED_VALUE"""),"Florida Intl")</f>
        <v>Florida Intl</v>
      </c>
      <c r="AF15" t="str">
        <f>IFERROR(__xludf.DUMMYFUNCTION("""COMPUTED_VALUE"""),"Florida State")</f>
        <v>Florida State</v>
      </c>
      <c r="AG15" t="str">
        <f>IFERROR(__xludf.DUMMYFUNCTION("""COMPUTED_VALUE"""),"Fresno State")</f>
        <v>Fresno State</v>
      </c>
      <c r="AH15" t="str">
        <f>IFERROR(__xludf.DUMMYFUNCTION("""COMPUTED_VALUE"""),"Georgia")</f>
        <v>Georgia</v>
      </c>
      <c r="AI15" t="str">
        <f>IFERROR(__xludf.DUMMYFUNCTION("""COMPUTED_VALUE"""),"Georgia Southern")</f>
        <v>Georgia Southern</v>
      </c>
      <c r="AJ15" t="str">
        <f>IFERROR(__xludf.DUMMYFUNCTION("""COMPUTED_VALUE"""),"Georgia State")</f>
        <v>Georgia State</v>
      </c>
      <c r="AK15" t="str">
        <f>IFERROR(__xludf.DUMMYFUNCTION("""COMPUTED_VALUE"""),"Georgia Tech")</f>
        <v>Georgia Tech</v>
      </c>
      <c r="AL15" t="str">
        <f>IFERROR(__xludf.DUMMYFUNCTION("""COMPUTED_VALUE"""),"Hawaii")</f>
        <v>Hawaii</v>
      </c>
      <c r="AM15" t="str">
        <f>IFERROR(__xludf.DUMMYFUNCTION("""COMPUTED_VALUE"""),"Houston")</f>
        <v>Houston</v>
      </c>
      <c r="AN15" t="str">
        <f>IFERROR(__xludf.DUMMYFUNCTION("""COMPUTED_VALUE"""),"Illinois")</f>
        <v>Illinois</v>
      </c>
      <c r="AO15" t="str">
        <f>IFERROR(__xludf.DUMMYFUNCTION("""COMPUTED_VALUE"""),"Indiana")</f>
        <v>Indiana</v>
      </c>
      <c r="AP15" t="str">
        <f>IFERROR(__xludf.DUMMYFUNCTION("""COMPUTED_VALUE"""),"Iowa")</f>
        <v>Iowa</v>
      </c>
      <c r="AQ15" t="str">
        <f>IFERROR(__xludf.DUMMYFUNCTION("""COMPUTED_VALUE"""),"Iowa State")</f>
        <v>Iowa State</v>
      </c>
      <c r="AR15" t="str">
        <f>IFERROR(__xludf.DUMMYFUNCTION("""COMPUTED_VALUE"""),"Jacksonville State")</f>
        <v>Jacksonville State</v>
      </c>
      <c r="AS15" t="str">
        <f>IFERROR(__xludf.DUMMYFUNCTION("""COMPUTED_VALUE"""),"Kansas")</f>
        <v>Kansas</v>
      </c>
      <c r="AT15" t="str">
        <f>IFERROR(__xludf.DUMMYFUNCTION("""COMPUTED_VALUE"""),"Kansas State")</f>
        <v>Kansas State</v>
      </c>
      <c r="AU15" t="str">
        <f>IFERROR(__xludf.DUMMYFUNCTION("""COMPUTED_VALUE"""),"Kennesaw State")</f>
        <v>Kennesaw State</v>
      </c>
      <c r="AV15" t="str">
        <f>IFERROR(__xludf.DUMMYFUNCTION("""COMPUTED_VALUE"""),"Kent State")</f>
        <v>Kent State</v>
      </c>
      <c r="AW15" t="str">
        <f>IFERROR(__xludf.DUMMYFUNCTION("""COMPUTED_VALUE"""),"Kentucky")</f>
        <v>Kentucky</v>
      </c>
      <c r="AX15" t="str">
        <f>IFERROR(__xludf.DUMMYFUNCTION("""COMPUTED_VALUE"""),"Louisiana Tech")</f>
        <v>Louisiana Tech</v>
      </c>
      <c r="AY15" t="str">
        <f>IFERROR(__xludf.DUMMYFUNCTION("""COMPUTED_VALUE"""),"Louisville")</f>
        <v>Louisville</v>
      </c>
      <c r="AZ15" t="str">
        <f>IFERROR(__xludf.DUMMYFUNCTION("""COMPUTED_VALUE"""),"LSU")</f>
        <v>LSU</v>
      </c>
      <c r="BA15" t="str">
        <f>IFERROR(__xludf.DUMMYFUNCTION("""COMPUTED_VALUE"""),"Marshall")</f>
        <v>Marshall</v>
      </c>
      <c r="BB15" t="str">
        <f>IFERROR(__xludf.DUMMYFUNCTION("""COMPUTED_VALUE"""),"Maryland")</f>
        <v>Maryland</v>
      </c>
      <c r="BC15" t="str">
        <f>IFERROR(__xludf.DUMMYFUNCTION("""COMPUTED_VALUE"""),"Miami")</f>
        <v>Miami</v>
      </c>
      <c r="BD15" t="str">
        <f>IFERROR(__xludf.DUMMYFUNCTION("""COMPUTED_VALUE"""),"Miami-OH")</f>
        <v>Miami-OH</v>
      </c>
      <c r="BE15" t="str">
        <f>IFERROR(__xludf.DUMMYFUNCTION("""COMPUTED_VALUE"""),"Michigan")</f>
        <v>Michigan</v>
      </c>
      <c r="BF15" t="str">
        <f>IFERROR(__xludf.DUMMYFUNCTION("""COMPUTED_VALUE"""),"Michigan State")</f>
        <v>Michigan State</v>
      </c>
      <c r="BG15" t="str">
        <f>IFERROR(__xludf.DUMMYFUNCTION("""COMPUTED_VALUE"""),"Middle Tennessee")</f>
        <v>Middle Tennessee</v>
      </c>
      <c r="BH15" t="str">
        <f>IFERROR(__xludf.DUMMYFUNCTION("""COMPUTED_VALUE"""),"Minnesota")</f>
        <v>Minnesota</v>
      </c>
      <c r="BI15" t="str">
        <f>IFERROR(__xludf.DUMMYFUNCTION("""COMPUTED_VALUE"""),"Mississippi State")</f>
        <v>Mississippi State</v>
      </c>
      <c r="BJ15" t="str">
        <f>IFERROR(__xludf.DUMMYFUNCTION("""COMPUTED_VALUE"""),"Missouri")</f>
        <v>Missouri</v>
      </c>
      <c r="BK15" t="str">
        <f>IFERROR(__xludf.DUMMYFUNCTION("""COMPUTED_VALUE"""),"Missouri State")</f>
        <v>Missouri State</v>
      </c>
      <c r="BL15" t="str">
        <f>IFERROR(__xludf.DUMMYFUNCTION("""COMPUTED_VALUE"""),"Navy")</f>
        <v>Navy</v>
      </c>
      <c r="BM15" t="str">
        <f>IFERROR(__xludf.DUMMYFUNCTION("""COMPUTED_VALUE"""),"NC State")</f>
        <v>NC State</v>
      </c>
      <c r="BN15" t="str">
        <f>IFERROR(__xludf.DUMMYFUNCTION("""COMPUTED_VALUE"""),"Nebraska")</f>
        <v>Nebraska</v>
      </c>
      <c r="BO15" t="str">
        <f>IFERROR(__xludf.DUMMYFUNCTION("""COMPUTED_VALUE"""),"Nevada")</f>
        <v>Nevada</v>
      </c>
      <c r="BP15" t="str">
        <f>IFERROR(__xludf.DUMMYFUNCTION("""COMPUTED_VALUE"""),"New Mexico")</f>
        <v>New Mexico</v>
      </c>
      <c r="BQ15" t="str">
        <f>IFERROR(__xludf.DUMMYFUNCTION("""COMPUTED_VALUE"""),"New Mexico State")</f>
        <v>New Mexico State</v>
      </c>
      <c r="BR15" t="str">
        <f>IFERROR(__xludf.DUMMYFUNCTION("""COMPUTED_VALUE"""),"North Carolina")</f>
        <v>North Carolina</v>
      </c>
      <c r="BS15" t="str">
        <f>IFERROR(__xludf.DUMMYFUNCTION("""COMPUTED_VALUE"""),"North Texas")</f>
        <v>North Texas</v>
      </c>
      <c r="BT15" t="str">
        <f>IFERROR(__xludf.DUMMYFUNCTION("""COMPUTED_VALUE"""),"Northern Illinois")</f>
        <v>Northern Illinois</v>
      </c>
      <c r="BU15" t="str">
        <f>IFERROR(__xludf.DUMMYFUNCTION("""COMPUTED_VALUE"""),"Northwestern")</f>
        <v>Northwestern</v>
      </c>
      <c r="BV15" t="str">
        <f>IFERROR(__xludf.DUMMYFUNCTION("""COMPUTED_VALUE"""),"Ohio")</f>
        <v>Ohio</v>
      </c>
      <c r="BW15" t="str">
        <f>IFERROR(__xludf.DUMMYFUNCTION("""COMPUTED_VALUE"""),"Oklahoma")</f>
        <v>Oklahoma</v>
      </c>
      <c r="BX15" t="str">
        <f>IFERROR(__xludf.DUMMYFUNCTION("""COMPUTED_VALUE"""),"Oklahoma State")</f>
        <v>Oklahoma State</v>
      </c>
      <c r="BY15" t="str">
        <f>IFERROR(__xludf.DUMMYFUNCTION("""COMPUTED_VALUE"""),"Old Dominion")</f>
        <v>Old Dominion</v>
      </c>
      <c r="BZ15" t="str">
        <f>IFERROR(__xludf.DUMMYFUNCTION("""COMPUTED_VALUE"""),"Ole Miss")</f>
        <v>Ole Miss</v>
      </c>
      <c r="CA15" t="str">
        <f>IFERROR(__xludf.DUMMYFUNCTION("""COMPUTED_VALUE"""),"Oregon State")</f>
        <v>Oregon State</v>
      </c>
      <c r="CB15" t="str">
        <f>IFERROR(__xludf.DUMMYFUNCTION("""COMPUTED_VALUE"""),"Pittsburgh")</f>
        <v>Pittsburgh</v>
      </c>
      <c r="CC15" t="str">
        <f>IFERROR(__xludf.DUMMYFUNCTION("""COMPUTED_VALUE"""),"Purdue")</f>
        <v>Purdue</v>
      </c>
      <c r="CD15" t="str">
        <f>IFERROR(__xludf.DUMMYFUNCTION("""COMPUTED_VALUE"""),"Rice")</f>
        <v>Rice</v>
      </c>
      <c r="CE15" t="str">
        <f>IFERROR(__xludf.DUMMYFUNCTION("""COMPUTED_VALUE"""),"Rutgers")</f>
        <v>Rutgers</v>
      </c>
      <c r="CF15" t="str">
        <f>IFERROR(__xludf.DUMMYFUNCTION("""COMPUTED_VALUE"""),"Sam Houston")</f>
        <v>Sam Houston</v>
      </c>
      <c r="CG15" t="str">
        <f>IFERROR(__xludf.DUMMYFUNCTION("""COMPUTED_VALUE"""),"San Diego State")</f>
        <v>San Diego State</v>
      </c>
      <c r="CH15" t="str">
        <f>IFERROR(__xludf.DUMMYFUNCTION("""COMPUTED_VALUE"""),"San José State")</f>
        <v>San José State</v>
      </c>
      <c r="CI15" t="str">
        <f>IFERROR(__xludf.DUMMYFUNCTION("""COMPUTED_VALUE"""),"SMU")</f>
        <v>SMU</v>
      </c>
      <c r="CJ15" t="str">
        <f>IFERROR(__xludf.DUMMYFUNCTION("""COMPUTED_VALUE"""),"South Alabama")</f>
        <v>South Alabama</v>
      </c>
      <c r="CK15" t="str">
        <f>IFERROR(__xludf.DUMMYFUNCTION("""COMPUTED_VALUE"""),"South Carolina")</f>
        <v>South Carolina</v>
      </c>
      <c r="CL15" t="str">
        <f>IFERROR(__xludf.DUMMYFUNCTION("""COMPUTED_VALUE"""),"South Florida")</f>
        <v>South Florida</v>
      </c>
      <c r="CM15" t="str">
        <f>IFERROR(__xludf.DUMMYFUNCTION("""COMPUTED_VALUE"""),"Southern Mississippi")</f>
        <v>Southern Mississippi</v>
      </c>
      <c r="CN15" t="str">
        <f>IFERROR(__xludf.DUMMYFUNCTION("""COMPUTED_VALUE"""),"Stanford")</f>
        <v>Stanford</v>
      </c>
      <c r="CO15" t="str">
        <f>IFERROR(__xludf.DUMMYFUNCTION("""COMPUTED_VALUE"""),"Syracuse")</f>
        <v>Syracuse</v>
      </c>
      <c r="CP15" t="str">
        <f>IFERROR(__xludf.DUMMYFUNCTION("""COMPUTED_VALUE"""),"TCU")</f>
        <v>TCU</v>
      </c>
      <c r="CQ15" t="str">
        <f>IFERROR(__xludf.DUMMYFUNCTION("""COMPUTED_VALUE"""),"Temple")</f>
        <v>Temple</v>
      </c>
      <c r="CR15" t="str">
        <f>IFERROR(__xludf.DUMMYFUNCTION("""COMPUTED_VALUE"""),"Tennessee")</f>
        <v>Tennessee</v>
      </c>
      <c r="CS15" t="str">
        <f>IFERROR(__xludf.DUMMYFUNCTION("""COMPUTED_VALUE"""),"Texas A&amp;M")</f>
        <v>Texas A&amp;M</v>
      </c>
      <c r="CT15" t="str">
        <f>IFERROR(__xludf.DUMMYFUNCTION("""COMPUTED_VALUE"""),"Texas State")</f>
        <v>Texas State</v>
      </c>
      <c r="CU15" t="str">
        <f>IFERROR(__xludf.DUMMYFUNCTION("""COMPUTED_VALUE"""),"Texas Tech")</f>
        <v>Texas Tech</v>
      </c>
      <c r="CV15" t="str">
        <f>IFERROR(__xludf.DUMMYFUNCTION("""COMPUTED_VALUE"""),"Troy")</f>
        <v>Troy</v>
      </c>
      <c r="CW15" t="str">
        <f>IFERROR(__xludf.DUMMYFUNCTION("""COMPUTED_VALUE"""),"Tulsa")</f>
        <v>Tulsa</v>
      </c>
      <c r="CX15" t="str">
        <f>IFERROR(__xludf.DUMMYFUNCTION("""COMPUTED_VALUE"""),"UAB")</f>
        <v>UAB</v>
      </c>
      <c r="CY15" t="str">
        <f>IFERROR(__xludf.DUMMYFUNCTION("""COMPUTED_VALUE"""),"UCF")</f>
        <v>UCF</v>
      </c>
      <c r="CZ15" t="str">
        <f>IFERROR(__xludf.DUMMYFUNCTION("""COMPUTED_VALUE"""),"UCLA")</f>
        <v>UCLA</v>
      </c>
      <c r="DA15" t="str">
        <f>IFERROR(__xludf.DUMMYFUNCTION("""COMPUTED_VALUE"""),"UConn")</f>
        <v>UConn</v>
      </c>
      <c r="DB15" t="str">
        <f>IFERROR(__xludf.DUMMYFUNCTION("""COMPUTED_VALUE"""),"UL Lafayette")</f>
        <v>UL Lafayette</v>
      </c>
      <c r="DC15" t="str">
        <f>IFERROR(__xludf.DUMMYFUNCTION("""COMPUTED_VALUE"""),"UL Monroe")</f>
        <v>UL Monroe</v>
      </c>
      <c r="DD15" t="str">
        <f>IFERROR(__xludf.DUMMYFUNCTION("""COMPUTED_VALUE"""),"UMASS")</f>
        <v>UMASS</v>
      </c>
      <c r="DE15" t="str">
        <f>IFERROR(__xludf.DUMMYFUNCTION("""COMPUTED_VALUE"""),"USC")</f>
        <v>USC</v>
      </c>
      <c r="DF15" t="str">
        <f>IFERROR(__xludf.DUMMYFUNCTION("""COMPUTED_VALUE"""),"Utah")</f>
        <v>Utah</v>
      </c>
      <c r="DG15" t="str">
        <f>IFERROR(__xludf.DUMMYFUNCTION("""COMPUTED_VALUE"""),"Utah State")</f>
        <v>Utah State</v>
      </c>
      <c r="DH15" t="str">
        <f>IFERROR(__xludf.DUMMYFUNCTION("""COMPUTED_VALUE"""),"UTEP")</f>
        <v>UTEP</v>
      </c>
      <c r="DI15" t="str">
        <f>IFERROR(__xludf.DUMMYFUNCTION("""COMPUTED_VALUE"""),"UTSA")</f>
        <v>UTSA</v>
      </c>
      <c r="DJ15" t="str">
        <f>IFERROR(__xludf.DUMMYFUNCTION("""COMPUTED_VALUE"""),"Vanderbilt")</f>
        <v>Vanderbilt</v>
      </c>
      <c r="DK15" t="str">
        <f>IFERROR(__xludf.DUMMYFUNCTION("""COMPUTED_VALUE"""),"Virginia")</f>
        <v>Virginia</v>
      </c>
      <c r="DL15" t="str">
        <f>IFERROR(__xludf.DUMMYFUNCTION("""COMPUTED_VALUE"""),"Virginia Tech")</f>
        <v>Virginia Tech</v>
      </c>
      <c r="DM15" t="str">
        <f>IFERROR(__xludf.DUMMYFUNCTION("""COMPUTED_VALUE"""),"Wake Forest")</f>
        <v>Wake Forest</v>
      </c>
      <c r="DN15" t="str">
        <f>IFERROR(__xludf.DUMMYFUNCTION("""COMPUTED_VALUE"""),"Washington")</f>
        <v>Washington</v>
      </c>
      <c r="DO15" t="str">
        <f>IFERROR(__xludf.DUMMYFUNCTION("""COMPUTED_VALUE"""),"Washington State")</f>
        <v>Washington State</v>
      </c>
      <c r="DP15" t="str">
        <f>IFERROR(__xludf.DUMMYFUNCTION("""COMPUTED_VALUE"""),"West Virginia")</f>
        <v>West Virginia</v>
      </c>
      <c r="DQ15" t="str">
        <f>IFERROR(__xludf.DUMMYFUNCTION("""COMPUTED_VALUE"""),"Western Michigan")</f>
        <v>Western Michigan</v>
      </c>
      <c r="DR15" t="str">
        <f>IFERROR(__xludf.DUMMYFUNCTION("""COMPUTED_VALUE"""),"Wisconsin")</f>
        <v>Wisconsin</v>
      </c>
      <c r="DS15" t="str">
        <f>IFERROR(__xludf.DUMMYFUNCTION("""COMPUTED_VALUE"""),"Wyoming")</f>
        <v>Wyoming</v>
      </c>
    </row>
    <row r="16">
      <c r="A16" s="1">
        <v>15.0</v>
      </c>
      <c r="B16" t="str">
        <f>IFERROR(__xludf.DUMMYFUNCTION("split(join("","",sort(byrow('Teams-Conference'!A$2:A1000,lambda(rw,if(iserror(match(rw,DraftTracker!F$1:F16,0)),rw,""""))),1,1)),"","",1,1)"),"Air Force")</f>
        <v>Air Force</v>
      </c>
      <c r="C16" t="str">
        <f>IFERROR(__xludf.DUMMYFUNCTION("""COMPUTED_VALUE"""),"Akron")</f>
        <v>Akron</v>
      </c>
      <c r="D16" t="str">
        <f>IFERROR(__xludf.DUMMYFUNCTION("""COMPUTED_VALUE"""),"Alabama")</f>
        <v>Alabama</v>
      </c>
      <c r="E16" t="str">
        <f>IFERROR(__xludf.DUMMYFUNCTION("""COMPUTED_VALUE"""),"Appalachian State")</f>
        <v>Appalachian State</v>
      </c>
      <c r="F16" t="str">
        <f>IFERROR(__xludf.DUMMYFUNCTION("""COMPUTED_VALUE"""),"Arizona")</f>
        <v>Arizona</v>
      </c>
      <c r="G16" t="str">
        <f>IFERROR(__xludf.DUMMYFUNCTION("""COMPUTED_VALUE"""),"Arizona State")</f>
        <v>Arizona State</v>
      </c>
      <c r="H16" t="str">
        <f>IFERROR(__xludf.DUMMYFUNCTION("""COMPUTED_VALUE"""),"Arkansas")</f>
        <v>Arkansas</v>
      </c>
      <c r="I16" t="str">
        <f>IFERROR(__xludf.DUMMYFUNCTION("""COMPUTED_VALUE"""),"Arkansas State")</f>
        <v>Arkansas State</v>
      </c>
      <c r="J16" t="str">
        <f>IFERROR(__xludf.DUMMYFUNCTION("""COMPUTED_VALUE"""),"Army")</f>
        <v>Army</v>
      </c>
      <c r="K16" t="str">
        <f>IFERROR(__xludf.DUMMYFUNCTION("""COMPUTED_VALUE"""),"Auburn")</f>
        <v>Auburn</v>
      </c>
      <c r="L16" t="str">
        <f>IFERROR(__xludf.DUMMYFUNCTION("""COMPUTED_VALUE"""),"Ball State")</f>
        <v>Ball State</v>
      </c>
      <c r="M16" t="str">
        <f>IFERROR(__xludf.DUMMYFUNCTION("""COMPUTED_VALUE"""),"Baylor")</f>
        <v>Baylor</v>
      </c>
      <c r="N16" t="str">
        <f>IFERROR(__xludf.DUMMYFUNCTION("""COMPUTED_VALUE"""),"Boston College")</f>
        <v>Boston College</v>
      </c>
      <c r="O16" t="str">
        <f>IFERROR(__xludf.DUMMYFUNCTION("""COMPUTED_VALUE"""),"Bowling Green")</f>
        <v>Bowling Green</v>
      </c>
      <c r="P16" t="str">
        <f>IFERROR(__xludf.DUMMYFUNCTION("""COMPUTED_VALUE"""),"BYU")</f>
        <v>BYU</v>
      </c>
      <c r="Q16" t="str">
        <f>IFERROR(__xludf.DUMMYFUNCTION("""COMPUTED_VALUE"""),"California")</f>
        <v>California</v>
      </c>
      <c r="R16" t="str">
        <f>IFERROR(__xludf.DUMMYFUNCTION("""COMPUTED_VALUE"""),"Central Michigan")</f>
        <v>Central Michigan</v>
      </c>
      <c r="S16" t="str">
        <f>IFERROR(__xludf.DUMMYFUNCTION("""COMPUTED_VALUE"""),"Charlotte")</f>
        <v>Charlotte</v>
      </c>
      <c r="T16" t="str">
        <f>IFERROR(__xludf.DUMMYFUNCTION("""COMPUTED_VALUE"""),"Cincinnati")</f>
        <v>Cincinnati</v>
      </c>
      <c r="U16" t="str">
        <f>IFERROR(__xludf.DUMMYFUNCTION("""COMPUTED_VALUE"""),"Coastal Carolina")</f>
        <v>Coastal Carolina</v>
      </c>
      <c r="V16" t="str">
        <f>IFERROR(__xludf.DUMMYFUNCTION("""COMPUTED_VALUE"""),"Colorado")</f>
        <v>Colorado</v>
      </c>
      <c r="W16" t="str">
        <f>IFERROR(__xludf.DUMMYFUNCTION("""COMPUTED_VALUE"""),"Colorado State")</f>
        <v>Colorado State</v>
      </c>
      <c r="X16" t="str">
        <f>IFERROR(__xludf.DUMMYFUNCTION("""COMPUTED_VALUE"""),"Delaware")</f>
        <v>Delaware</v>
      </c>
      <c r="Y16" t="str">
        <f>IFERROR(__xludf.DUMMYFUNCTION("""COMPUTED_VALUE"""),"Duke")</f>
        <v>Duke</v>
      </c>
      <c r="Z16" t="str">
        <f>IFERROR(__xludf.DUMMYFUNCTION("""COMPUTED_VALUE"""),"East Carolina")</f>
        <v>East Carolina</v>
      </c>
      <c r="AA16" t="str">
        <f>IFERROR(__xludf.DUMMYFUNCTION("""COMPUTED_VALUE"""),"EMU")</f>
        <v>EMU</v>
      </c>
      <c r="AB16" t="str">
        <f>IFERROR(__xludf.DUMMYFUNCTION("""COMPUTED_VALUE"""),"Florida")</f>
        <v>Florida</v>
      </c>
      <c r="AC16" t="str">
        <f>IFERROR(__xludf.DUMMYFUNCTION("""COMPUTED_VALUE"""),"Florida Atlantic")</f>
        <v>Florida Atlantic</v>
      </c>
      <c r="AD16" t="str">
        <f>IFERROR(__xludf.DUMMYFUNCTION("""COMPUTED_VALUE"""),"Florida Intl")</f>
        <v>Florida Intl</v>
      </c>
      <c r="AE16" t="str">
        <f>IFERROR(__xludf.DUMMYFUNCTION("""COMPUTED_VALUE"""),"Florida State")</f>
        <v>Florida State</v>
      </c>
      <c r="AF16" t="str">
        <f>IFERROR(__xludf.DUMMYFUNCTION("""COMPUTED_VALUE"""),"Fresno State")</f>
        <v>Fresno State</v>
      </c>
      <c r="AG16" t="str">
        <f>IFERROR(__xludf.DUMMYFUNCTION("""COMPUTED_VALUE"""),"Georgia")</f>
        <v>Georgia</v>
      </c>
      <c r="AH16" t="str">
        <f>IFERROR(__xludf.DUMMYFUNCTION("""COMPUTED_VALUE"""),"Georgia Southern")</f>
        <v>Georgia Southern</v>
      </c>
      <c r="AI16" t="str">
        <f>IFERROR(__xludf.DUMMYFUNCTION("""COMPUTED_VALUE"""),"Georgia State")</f>
        <v>Georgia State</v>
      </c>
      <c r="AJ16" t="str">
        <f>IFERROR(__xludf.DUMMYFUNCTION("""COMPUTED_VALUE"""),"Georgia Tech")</f>
        <v>Georgia Tech</v>
      </c>
      <c r="AK16" t="str">
        <f>IFERROR(__xludf.DUMMYFUNCTION("""COMPUTED_VALUE"""),"Hawaii")</f>
        <v>Hawaii</v>
      </c>
      <c r="AL16" t="str">
        <f>IFERROR(__xludf.DUMMYFUNCTION("""COMPUTED_VALUE"""),"Houston")</f>
        <v>Houston</v>
      </c>
      <c r="AM16" t="str">
        <f>IFERROR(__xludf.DUMMYFUNCTION("""COMPUTED_VALUE"""),"Illinois")</f>
        <v>Illinois</v>
      </c>
      <c r="AN16" t="str">
        <f>IFERROR(__xludf.DUMMYFUNCTION("""COMPUTED_VALUE"""),"Indiana")</f>
        <v>Indiana</v>
      </c>
      <c r="AO16" t="str">
        <f>IFERROR(__xludf.DUMMYFUNCTION("""COMPUTED_VALUE"""),"Iowa")</f>
        <v>Iowa</v>
      </c>
      <c r="AP16" t="str">
        <f>IFERROR(__xludf.DUMMYFUNCTION("""COMPUTED_VALUE"""),"Iowa State")</f>
        <v>Iowa State</v>
      </c>
      <c r="AQ16" t="str">
        <f>IFERROR(__xludf.DUMMYFUNCTION("""COMPUTED_VALUE"""),"Jacksonville State")</f>
        <v>Jacksonville State</v>
      </c>
      <c r="AR16" t="str">
        <f>IFERROR(__xludf.DUMMYFUNCTION("""COMPUTED_VALUE"""),"Kansas")</f>
        <v>Kansas</v>
      </c>
      <c r="AS16" t="str">
        <f>IFERROR(__xludf.DUMMYFUNCTION("""COMPUTED_VALUE"""),"Kansas State")</f>
        <v>Kansas State</v>
      </c>
      <c r="AT16" t="str">
        <f>IFERROR(__xludf.DUMMYFUNCTION("""COMPUTED_VALUE"""),"Kennesaw State")</f>
        <v>Kennesaw State</v>
      </c>
      <c r="AU16" t="str">
        <f>IFERROR(__xludf.DUMMYFUNCTION("""COMPUTED_VALUE"""),"Kent State")</f>
        <v>Kent State</v>
      </c>
      <c r="AV16" t="str">
        <f>IFERROR(__xludf.DUMMYFUNCTION("""COMPUTED_VALUE"""),"Kentucky")</f>
        <v>Kentucky</v>
      </c>
      <c r="AW16" t="str">
        <f>IFERROR(__xludf.DUMMYFUNCTION("""COMPUTED_VALUE"""),"Louisiana Tech")</f>
        <v>Louisiana Tech</v>
      </c>
      <c r="AX16" t="str">
        <f>IFERROR(__xludf.DUMMYFUNCTION("""COMPUTED_VALUE"""),"Louisville")</f>
        <v>Louisville</v>
      </c>
      <c r="AY16" t="str">
        <f>IFERROR(__xludf.DUMMYFUNCTION("""COMPUTED_VALUE"""),"LSU")</f>
        <v>LSU</v>
      </c>
      <c r="AZ16" t="str">
        <f>IFERROR(__xludf.DUMMYFUNCTION("""COMPUTED_VALUE"""),"Marshall")</f>
        <v>Marshall</v>
      </c>
      <c r="BA16" t="str">
        <f>IFERROR(__xludf.DUMMYFUNCTION("""COMPUTED_VALUE"""),"Maryland")</f>
        <v>Maryland</v>
      </c>
      <c r="BB16" t="str">
        <f>IFERROR(__xludf.DUMMYFUNCTION("""COMPUTED_VALUE"""),"Miami")</f>
        <v>Miami</v>
      </c>
      <c r="BC16" t="str">
        <f>IFERROR(__xludf.DUMMYFUNCTION("""COMPUTED_VALUE"""),"Miami-OH")</f>
        <v>Miami-OH</v>
      </c>
      <c r="BD16" t="str">
        <f>IFERROR(__xludf.DUMMYFUNCTION("""COMPUTED_VALUE"""),"Michigan")</f>
        <v>Michigan</v>
      </c>
      <c r="BE16" t="str">
        <f>IFERROR(__xludf.DUMMYFUNCTION("""COMPUTED_VALUE"""),"Michigan State")</f>
        <v>Michigan State</v>
      </c>
      <c r="BF16" t="str">
        <f>IFERROR(__xludf.DUMMYFUNCTION("""COMPUTED_VALUE"""),"Middle Tennessee")</f>
        <v>Middle Tennessee</v>
      </c>
      <c r="BG16" t="str">
        <f>IFERROR(__xludf.DUMMYFUNCTION("""COMPUTED_VALUE"""),"Minnesota")</f>
        <v>Minnesota</v>
      </c>
      <c r="BH16" t="str">
        <f>IFERROR(__xludf.DUMMYFUNCTION("""COMPUTED_VALUE"""),"Mississippi State")</f>
        <v>Mississippi State</v>
      </c>
      <c r="BI16" t="str">
        <f>IFERROR(__xludf.DUMMYFUNCTION("""COMPUTED_VALUE"""),"Missouri")</f>
        <v>Missouri</v>
      </c>
      <c r="BJ16" t="str">
        <f>IFERROR(__xludf.DUMMYFUNCTION("""COMPUTED_VALUE"""),"Missouri State")</f>
        <v>Missouri State</v>
      </c>
      <c r="BK16" t="str">
        <f>IFERROR(__xludf.DUMMYFUNCTION("""COMPUTED_VALUE"""),"Navy")</f>
        <v>Navy</v>
      </c>
      <c r="BL16" t="str">
        <f>IFERROR(__xludf.DUMMYFUNCTION("""COMPUTED_VALUE"""),"NC State")</f>
        <v>NC State</v>
      </c>
      <c r="BM16" t="str">
        <f>IFERROR(__xludf.DUMMYFUNCTION("""COMPUTED_VALUE"""),"Nebraska")</f>
        <v>Nebraska</v>
      </c>
      <c r="BN16" t="str">
        <f>IFERROR(__xludf.DUMMYFUNCTION("""COMPUTED_VALUE"""),"Nevada")</f>
        <v>Nevada</v>
      </c>
      <c r="BO16" t="str">
        <f>IFERROR(__xludf.DUMMYFUNCTION("""COMPUTED_VALUE"""),"New Mexico")</f>
        <v>New Mexico</v>
      </c>
      <c r="BP16" t="str">
        <f>IFERROR(__xludf.DUMMYFUNCTION("""COMPUTED_VALUE"""),"New Mexico State")</f>
        <v>New Mexico State</v>
      </c>
      <c r="BQ16" t="str">
        <f>IFERROR(__xludf.DUMMYFUNCTION("""COMPUTED_VALUE"""),"North Carolina")</f>
        <v>North Carolina</v>
      </c>
      <c r="BR16" t="str">
        <f>IFERROR(__xludf.DUMMYFUNCTION("""COMPUTED_VALUE"""),"North Texas")</f>
        <v>North Texas</v>
      </c>
      <c r="BS16" t="str">
        <f>IFERROR(__xludf.DUMMYFUNCTION("""COMPUTED_VALUE"""),"Northern Illinois")</f>
        <v>Northern Illinois</v>
      </c>
      <c r="BT16" t="str">
        <f>IFERROR(__xludf.DUMMYFUNCTION("""COMPUTED_VALUE"""),"Northwestern")</f>
        <v>Northwestern</v>
      </c>
      <c r="BU16" t="str">
        <f>IFERROR(__xludf.DUMMYFUNCTION("""COMPUTED_VALUE"""),"Ohio")</f>
        <v>Ohio</v>
      </c>
      <c r="BV16" t="str">
        <f>IFERROR(__xludf.DUMMYFUNCTION("""COMPUTED_VALUE"""),"Oklahoma")</f>
        <v>Oklahoma</v>
      </c>
      <c r="BW16" t="str">
        <f>IFERROR(__xludf.DUMMYFUNCTION("""COMPUTED_VALUE"""),"Oklahoma State")</f>
        <v>Oklahoma State</v>
      </c>
      <c r="BX16" t="str">
        <f>IFERROR(__xludf.DUMMYFUNCTION("""COMPUTED_VALUE"""),"Old Dominion")</f>
        <v>Old Dominion</v>
      </c>
      <c r="BY16" t="str">
        <f>IFERROR(__xludf.DUMMYFUNCTION("""COMPUTED_VALUE"""),"Ole Miss")</f>
        <v>Ole Miss</v>
      </c>
      <c r="BZ16" t="str">
        <f>IFERROR(__xludf.DUMMYFUNCTION("""COMPUTED_VALUE"""),"Oregon State")</f>
        <v>Oregon State</v>
      </c>
      <c r="CA16" t="str">
        <f>IFERROR(__xludf.DUMMYFUNCTION("""COMPUTED_VALUE"""),"Pittsburgh")</f>
        <v>Pittsburgh</v>
      </c>
      <c r="CB16" t="str">
        <f>IFERROR(__xludf.DUMMYFUNCTION("""COMPUTED_VALUE"""),"Purdue")</f>
        <v>Purdue</v>
      </c>
      <c r="CC16" t="str">
        <f>IFERROR(__xludf.DUMMYFUNCTION("""COMPUTED_VALUE"""),"Rice")</f>
        <v>Rice</v>
      </c>
      <c r="CD16" t="str">
        <f>IFERROR(__xludf.DUMMYFUNCTION("""COMPUTED_VALUE"""),"Rutgers")</f>
        <v>Rutgers</v>
      </c>
      <c r="CE16" t="str">
        <f>IFERROR(__xludf.DUMMYFUNCTION("""COMPUTED_VALUE"""),"Sam Houston")</f>
        <v>Sam Houston</v>
      </c>
      <c r="CF16" t="str">
        <f>IFERROR(__xludf.DUMMYFUNCTION("""COMPUTED_VALUE"""),"San Diego State")</f>
        <v>San Diego State</v>
      </c>
      <c r="CG16" t="str">
        <f>IFERROR(__xludf.DUMMYFUNCTION("""COMPUTED_VALUE"""),"San José State")</f>
        <v>San José State</v>
      </c>
      <c r="CH16" t="str">
        <f>IFERROR(__xludf.DUMMYFUNCTION("""COMPUTED_VALUE"""),"SMU")</f>
        <v>SMU</v>
      </c>
      <c r="CI16" t="str">
        <f>IFERROR(__xludf.DUMMYFUNCTION("""COMPUTED_VALUE"""),"South Alabama")</f>
        <v>South Alabama</v>
      </c>
      <c r="CJ16" t="str">
        <f>IFERROR(__xludf.DUMMYFUNCTION("""COMPUTED_VALUE"""),"South Carolina")</f>
        <v>South Carolina</v>
      </c>
      <c r="CK16" t="str">
        <f>IFERROR(__xludf.DUMMYFUNCTION("""COMPUTED_VALUE"""),"South Florida")</f>
        <v>South Florida</v>
      </c>
      <c r="CL16" t="str">
        <f>IFERROR(__xludf.DUMMYFUNCTION("""COMPUTED_VALUE"""),"Southern Mississippi")</f>
        <v>Southern Mississippi</v>
      </c>
      <c r="CM16" t="str">
        <f>IFERROR(__xludf.DUMMYFUNCTION("""COMPUTED_VALUE"""),"Stanford")</f>
        <v>Stanford</v>
      </c>
      <c r="CN16" t="str">
        <f>IFERROR(__xludf.DUMMYFUNCTION("""COMPUTED_VALUE"""),"Syracuse")</f>
        <v>Syracuse</v>
      </c>
      <c r="CO16" t="str">
        <f>IFERROR(__xludf.DUMMYFUNCTION("""COMPUTED_VALUE"""),"TCU")</f>
        <v>TCU</v>
      </c>
      <c r="CP16" t="str">
        <f>IFERROR(__xludf.DUMMYFUNCTION("""COMPUTED_VALUE"""),"Temple")</f>
        <v>Temple</v>
      </c>
      <c r="CQ16" t="str">
        <f>IFERROR(__xludf.DUMMYFUNCTION("""COMPUTED_VALUE"""),"Tennessee")</f>
        <v>Tennessee</v>
      </c>
      <c r="CR16" t="str">
        <f>IFERROR(__xludf.DUMMYFUNCTION("""COMPUTED_VALUE"""),"Texas A&amp;M")</f>
        <v>Texas A&amp;M</v>
      </c>
      <c r="CS16" t="str">
        <f>IFERROR(__xludf.DUMMYFUNCTION("""COMPUTED_VALUE"""),"Texas State")</f>
        <v>Texas State</v>
      </c>
      <c r="CT16" t="str">
        <f>IFERROR(__xludf.DUMMYFUNCTION("""COMPUTED_VALUE"""),"Texas Tech")</f>
        <v>Texas Tech</v>
      </c>
      <c r="CU16" t="str">
        <f>IFERROR(__xludf.DUMMYFUNCTION("""COMPUTED_VALUE"""),"Troy")</f>
        <v>Troy</v>
      </c>
      <c r="CV16" t="str">
        <f>IFERROR(__xludf.DUMMYFUNCTION("""COMPUTED_VALUE"""),"Tulsa")</f>
        <v>Tulsa</v>
      </c>
      <c r="CW16" t="str">
        <f>IFERROR(__xludf.DUMMYFUNCTION("""COMPUTED_VALUE"""),"UAB")</f>
        <v>UAB</v>
      </c>
      <c r="CX16" t="str">
        <f>IFERROR(__xludf.DUMMYFUNCTION("""COMPUTED_VALUE"""),"UCF")</f>
        <v>UCF</v>
      </c>
      <c r="CY16" t="str">
        <f>IFERROR(__xludf.DUMMYFUNCTION("""COMPUTED_VALUE"""),"UCLA")</f>
        <v>UCLA</v>
      </c>
      <c r="CZ16" t="str">
        <f>IFERROR(__xludf.DUMMYFUNCTION("""COMPUTED_VALUE"""),"UConn")</f>
        <v>UConn</v>
      </c>
      <c r="DA16" t="str">
        <f>IFERROR(__xludf.DUMMYFUNCTION("""COMPUTED_VALUE"""),"UL Lafayette")</f>
        <v>UL Lafayette</v>
      </c>
      <c r="DB16" t="str">
        <f>IFERROR(__xludf.DUMMYFUNCTION("""COMPUTED_VALUE"""),"UL Monroe")</f>
        <v>UL Monroe</v>
      </c>
      <c r="DC16" t="str">
        <f>IFERROR(__xludf.DUMMYFUNCTION("""COMPUTED_VALUE"""),"UMASS")</f>
        <v>UMASS</v>
      </c>
      <c r="DD16" t="str">
        <f>IFERROR(__xludf.DUMMYFUNCTION("""COMPUTED_VALUE"""),"USC")</f>
        <v>USC</v>
      </c>
      <c r="DE16" t="str">
        <f>IFERROR(__xludf.DUMMYFUNCTION("""COMPUTED_VALUE"""),"Utah")</f>
        <v>Utah</v>
      </c>
      <c r="DF16" t="str">
        <f>IFERROR(__xludf.DUMMYFUNCTION("""COMPUTED_VALUE"""),"Utah State")</f>
        <v>Utah State</v>
      </c>
      <c r="DG16" t="str">
        <f>IFERROR(__xludf.DUMMYFUNCTION("""COMPUTED_VALUE"""),"UTEP")</f>
        <v>UTEP</v>
      </c>
      <c r="DH16" t="str">
        <f>IFERROR(__xludf.DUMMYFUNCTION("""COMPUTED_VALUE"""),"UTSA")</f>
        <v>UTSA</v>
      </c>
      <c r="DI16" t="str">
        <f>IFERROR(__xludf.DUMMYFUNCTION("""COMPUTED_VALUE"""),"Vanderbilt")</f>
        <v>Vanderbilt</v>
      </c>
      <c r="DJ16" t="str">
        <f>IFERROR(__xludf.DUMMYFUNCTION("""COMPUTED_VALUE"""),"Virginia")</f>
        <v>Virginia</v>
      </c>
      <c r="DK16" t="str">
        <f>IFERROR(__xludf.DUMMYFUNCTION("""COMPUTED_VALUE"""),"Virginia Tech")</f>
        <v>Virginia Tech</v>
      </c>
      <c r="DL16" t="str">
        <f>IFERROR(__xludf.DUMMYFUNCTION("""COMPUTED_VALUE"""),"Wake Forest")</f>
        <v>Wake Forest</v>
      </c>
      <c r="DM16" t="str">
        <f>IFERROR(__xludf.DUMMYFUNCTION("""COMPUTED_VALUE"""),"Washington")</f>
        <v>Washington</v>
      </c>
      <c r="DN16" t="str">
        <f>IFERROR(__xludf.DUMMYFUNCTION("""COMPUTED_VALUE"""),"Washington State")</f>
        <v>Washington State</v>
      </c>
      <c r="DO16" t="str">
        <f>IFERROR(__xludf.DUMMYFUNCTION("""COMPUTED_VALUE"""),"West Virginia")</f>
        <v>West Virginia</v>
      </c>
      <c r="DP16" t="str">
        <f>IFERROR(__xludf.DUMMYFUNCTION("""COMPUTED_VALUE"""),"Western Michigan")</f>
        <v>Western Michigan</v>
      </c>
      <c r="DQ16" t="str">
        <f>IFERROR(__xludf.DUMMYFUNCTION("""COMPUTED_VALUE"""),"Wisconsin")</f>
        <v>Wisconsin</v>
      </c>
      <c r="DR16" t="str">
        <f>IFERROR(__xludf.DUMMYFUNCTION("""COMPUTED_VALUE"""),"Wyoming")</f>
        <v>Wyoming</v>
      </c>
    </row>
    <row r="17">
      <c r="A17" s="1">
        <v>16.0</v>
      </c>
      <c r="B17" t="str">
        <f>IFERROR(__xludf.DUMMYFUNCTION("split(join("","",sort(byrow('Teams-Conference'!A$2:A1000,lambda(rw,if(iserror(match(rw,DraftTracker!F$1:F17,0)),rw,""""))),1,1)),"","",1,1)"),"Air Force")</f>
        <v>Air Force</v>
      </c>
      <c r="C17" t="str">
        <f>IFERROR(__xludf.DUMMYFUNCTION("""COMPUTED_VALUE"""),"Akron")</f>
        <v>Akron</v>
      </c>
      <c r="D17" t="str">
        <f>IFERROR(__xludf.DUMMYFUNCTION("""COMPUTED_VALUE"""),"Alabama")</f>
        <v>Alabama</v>
      </c>
      <c r="E17" t="str">
        <f>IFERROR(__xludf.DUMMYFUNCTION("""COMPUTED_VALUE"""),"Appalachian State")</f>
        <v>Appalachian State</v>
      </c>
      <c r="F17" t="str">
        <f>IFERROR(__xludf.DUMMYFUNCTION("""COMPUTED_VALUE"""),"Arizona")</f>
        <v>Arizona</v>
      </c>
      <c r="G17" t="str">
        <f>IFERROR(__xludf.DUMMYFUNCTION("""COMPUTED_VALUE"""),"Arizona State")</f>
        <v>Arizona State</v>
      </c>
      <c r="H17" t="str">
        <f>IFERROR(__xludf.DUMMYFUNCTION("""COMPUTED_VALUE"""),"Arkansas")</f>
        <v>Arkansas</v>
      </c>
      <c r="I17" t="str">
        <f>IFERROR(__xludf.DUMMYFUNCTION("""COMPUTED_VALUE"""),"Arkansas State")</f>
        <v>Arkansas State</v>
      </c>
      <c r="J17" t="str">
        <f>IFERROR(__xludf.DUMMYFUNCTION("""COMPUTED_VALUE"""),"Army")</f>
        <v>Army</v>
      </c>
      <c r="K17" t="str">
        <f>IFERROR(__xludf.DUMMYFUNCTION("""COMPUTED_VALUE"""),"Auburn")</f>
        <v>Auburn</v>
      </c>
      <c r="L17" t="str">
        <f>IFERROR(__xludf.DUMMYFUNCTION("""COMPUTED_VALUE"""),"Ball State")</f>
        <v>Ball State</v>
      </c>
      <c r="M17" t="str">
        <f>IFERROR(__xludf.DUMMYFUNCTION("""COMPUTED_VALUE"""),"Baylor")</f>
        <v>Baylor</v>
      </c>
      <c r="N17" t="str">
        <f>IFERROR(__xludf.DUMMYFUNCTION("""COMPUTED_VALUE"""),"Boston College")</f>
        <v>Boston College</v>
      </c>
      <c r="O17" t="str">
        <f>IFERROR(__xludf.DUMMYFUNCTION("""COMPUTED_VALUE"""),"Bowling Green")</f>
        <v>Bowling Green</v>
      </c>
      <c r="P17" t="str">
        <f>IFERROR(__xludf.DUMMYFUNCTION("""COMPUTED_VALUE"""),"BYU")</f>
        <v>BYU</v>
      </c>
      <c r="Q17" t="str">
        <f>IFERROR(__xludf.DUMMYFUNCTION("""COMPUTED_VALUE"""),"California")</f>
        <v>California</v>
      </c>
      <c r="R17" t="str">
        <f>IFERROR(__xludf.DUMMYFUNCTION("""COMPUTED_VALUE"""),"Central Michigan")</f>
        <v>Central Michigan</v>
      </c>
      <c r="S17" t="str">
        <f>IFERROR(__xludf.DUMMYFUNCTION("""COMPUTED_VALUE"""),"Charlotte")</f>
        <v>Charlotte</v>
      </c>
      <c r="T17" t="str">
        <f>IFERROR(__xludf.DUMMYFUNCTION("""COMPUTED_VALUE"""),"Cincinnati")</f>
        <v>Cincinnati</v>
      </c>
      <c r="U17" t="str">
        <f>IFERROR(__xludf.DUMMYFUNCTION("""COMPUTED_VALUE"""),"Coastal Carolina")</f>
        <v>Coastal Carolina</v>
      </c>
      <c r="V17" t="str">
        <f>IFERROR(__xludf.DUMMYFUNCTION("""COMPUTED_VALUE"""),"Colorado")</f>
        <v>Colorado</v>
      </c>
      <c r="W17" t="str">
        <f>IFERROR(__xludf.DUMMYFUNCTION("""COMPUTED_VALUE"""),"Colorado State")</f>
        <v>Colorado State</v>
      </c>
      <c r="X17" t="str">
        <f>IFERROR(__xludf.DUMMYFUNCTION("""COMPUTED_VALUE"""),"Delaware")</f>
        <v>Delaware</v>
      </c>
      <c r="Y17" t="str">
        <f>IFERROR(__xludf.DUMMYFUNCTION("""COMPUTED_VALUE"""),"Duke")</f>
        <v>Duke</v>
      </c>
      <c r="Z17" t="str">
        <f>IFERROR(__xludf.DUMMYFUNCTION("""COMPUTED_VALUE"""),"East Carolina")</f>
        <v>East Carolina</v>
      </c>
      <c r="AA17" t="str">
        <f>IFERROR(__xludf.DUMMYFUNCTION("""COMPUTED_VALUE"""),"EMU")</f>
        <v>EMU</v>
      </c>
      <c r="AB17" t="str">
        <f>IFERROR(__xludf.DUMMYFUNCTION("""COMPUTED_VALUE"""),"Florida")</f>
        <v>Florida</v>
      </c>
      <c r="AC17" t="str">
        <f>IFERROR(__xludf.DUMMYFUNCTION("""COMPUTED_VALUE"""),"Florida Atlantic")</f>
        <v>Florida Atlantic</v>
      </c>
      <c r="AD17" t="str">
        <f>IFERROR(__xludf.DUMMYFUNCTION("""COMPUTED_VALUE"""),"Florida Intl")</f>
        <v>Florida Intl</v>
      </c>
      <c r="AE17" t="str">
        <f>IFERROR(__xludf.DUMMYFUNCTION("""COMPUTED_VALUE"""),"Florida State")</f>
        <v>Florida State</v>
      </c>
      <c r="AF17" t="str">
        <f>IFERROR(__xludf.DUMMYFUNCTION("""COMPUTED_VALUE"""),"Fresno State")</f>
        <v>Fresno State</v>
      </c>
      <c r="AG17" t="str">
        <f>IFERROR(__xludf.DUMMYFUNCTION("""COMPUTED_VALUE"""),"Georgia")</f>
        <v>Georgia</v>
      </c>
      <c r="AH17" t="str">
        <f>IFERROR(__xludf.DUMMYFUNCTION("""COMPUTED_VALUE"""),"Georgia Southern")</f>
        <v>Georgia Southern</v>
      </c>
      <c r="AI17" t="str">
        <f>IFERROR(__xludf.DUMMYFUNCTION("""COMPUTED_VALUE"""),"Georgia State")</f>
        <v>Georgia State</v>
      </c>
      <c r="AJ17" t="str">
        <f>IFERROR(__xludf.DUMMYFUNCTION("""COMPUTED_VALUE"""),"Georgia Tech")</f>
        <v>Georgia Tech</v>
      </c>
      <c r="AK17" t="str">
        <f>IFERROR(__xludf.DUMMYFUNCTION("""COMPUTED_VALUE"""),"Hawaii")</f>
        <v>Hawaii</v>
      </c>
      <c r="AL17" t="str">
        <f>IFERROR(__xludf.DUMMYFUNCTION("""COMPUTED_VALUE"""),"Houston")</f>
        <v>Houston</v>
      </c>
      <c r="AM17" t="str">
        <f>IFERROR(__xludf.DUMMYFUNCTION("""COMPUTED_VALUE"""),"Illinois")</f>
        <v>Illinois</v>
      </c>
      <c r="AN17" t="str">
        <f>IFERROR(__xludf.DUMMYFUNCTION("""COMPUTED_VALUE"""),"Indiana")</f>
        <v>Indiana</v>
      </c>
      <c r="AO17" t="str">
        <f>IFERROR(__xludf.DUMMYFUNCTION("""COMPUTED_VALUE"""),"Iowa")</f>
        <v>Iowa</v>
      </c>
      <c r="AP17" t="str">
        <f>IFERROR(__xludf.DUMMYFUNCTION("""COMPUTED_VALUE"""),"Iowa State")</f>
        <v>Iowa State</v>
      </c>
      <c r="AQ17" t="str">
        <f>IFERROR(__xludf.DUMMYFUNCTION("""COMPUTED_VALUE"""),"Jacksonville State")</f>
        <v>Jacksonville State</v>
      </c>
      <c r="AR17" t="str">
        <f>IFERROR(__xludf.DUMMYFUNCTION("""COMPUTED_VALUE"""),"Kansas")</f>
        <v>Kansas</v>
      </c>
      <c r="AS17" t="str">
        <f>IFERROR(__xludf.DUMMYFUNCTION("""COMPUTED_VALUE"""),"Kansas State")</f>
        <v>Kansas State</v>
      </c>
      <c r="AT17" t="str">
        <f>IFERROR(__xludf.DUMMYFUNCTION("""COMPUTED_VALUE"""),"Kennesaw State")</f>
        <v>Kennesaw State</v>
      </c>
      <c r="AU17" t="str">
        <f>IFERROR(__xludf.DUMMYFUNCTION("""COMPUTED_VALUE"""),"Kent State")</f>
        <v>Kent State</v>
      </c>
      <c r="AV17" t="str">
        <f>IFERROR(__xludf.DUMMYFUNCTION("""COMPUTED_VALUE"""),"Kentucky")</f>
        <v>Kentucky</v>
      </c>
      <c r="AW17" t="str">
        <f>IFERROR(__xludf.DUMMYFUNCTION("""COMPUTED_VALUE"""),"Louisiana Tech")</f>
        <v>Louisiana Tech</v>
      </c>
      <c r="AX17" t="str">
        <f>IFERROR(__xludf.DUMMYFUNCTION("""COMPUTED_VALUE"""),"Louisville")</f>
        <v>Louisville</v>
      </c>
      <c r="AY17" t="str">
        <f>IFERROR(__xludf.DUMMYFUNCTION("""COMPUTED_VALUE"""),"LSU")</f>
        <v>LSU</v>
      </c>
      <c r="AZ17" t="str">
        <f>IFERROR(__xludf.DUMMYFUNCTION("""COMPUTED_VALUE"""),"Marshall")</f>
        <v>Marshall</v>
      </c>
      <c r="BA17" t="str">
        <f>IFERROR(__xludf.DUMMYFUNCTION("""COMPUTED_VALUE"""),"Maryland")</f>
        <v>Maryland</v>
      </c>
      <c r="BB17" t="str">
        <f>IFERROR(__xludf.DUMMYFUNCTION("""COMPUTED_VALUE"""),"Miami-OH")</f>
        <v>Miami-OH</v>
      </c>
      <c r="BC17" t="str">
        <f>IFERROR(__xludf.DUMMYFUNCTION("""COMPUTED_VALUE"""),"Michigan")</f>
        <v>Michigan</v>
      </c>
      <c r="BD17" t="str">
        <f>IFERROR(__xludf.DUMMYFUNCTION("""COMPUTED_VALUE"""),"Michigan State")</f>
        <v>Michigan State</v>
      </c>
      <c r="BE17" t="str">
        <f>IFERROR(__xludf.DUMMYFUNCTION("""COMPUTED_VALUE"""),"Middle Tennessee")</f>
        <v>Middle Tennessee</v>
      </c>
      <c r="BF17" t="str">
        <f>IFERROR(__xludf.DUMMYFUNCTION("""COMPUTED_VALUE"""),"Minnesota")</f>
        <v>Minnesota</v>
      </c>
      <c r="BG17" t="str">
        <f>IFERROR(__xludf.DUMMYFUNCTION("""COMPUTED_VALUE"""),"Mississippi State")</f>
        <v>Mississippi State</v>
      </c>
      <c r="BH17" t="str">
        <f>IFERROR(__xludf.DUMMYFUNCTION("""COMPUTED_VALUE"""),"Missouri")</f>
        <v>Missouri</v>
      </c>
      <c r="BI17" t="str">
        <f>IFERROR(__xludf.DUMMYFUNCTION("""COMPUTED_VALUE"""),"Missouri State")</f>
        <v>Missouri State</v>
      </c>
      <c r="BJ17" t="str">
        <f>IFERROR(__xludf.DUMMYFUNCTION("""COMPUTED_VALUE"""),"Navy")</f>
        <v>Navy</v>
      </c>
      <c r="BK17" t="str">
        <f>IFERROR(__xludf.DUMMYFUNCTION("""COMPUTED_VALUE"""),"NC State")</f>
        <v>NC State</v>
      </c>
      <c r="BL17" t="str">
        <f>IFERROR(__xludf.DUMMYFUNCTION("""COMPUTED_VALUE"""),"Nebraska")</f>
        <v>Nebraska</v>
      </c>
      <c r="BM17" t="str">
        <f>IFERROR(__xludf.DUMMYFUNCTION("""COMPUTED_VALUE"""),"Nevada")</f>
        <v>Nevada</v>
      </c>
      <c r="BN17" t="str">
        <f>IFERROR(__xludf.DUMMYFUNCTION("""COMPUTED_VALUE"""),"New Mexico")</f>
        <v>New Mexico</v>
      </c>
      <c r="BO17" t="str">
        <f>IFERROR(__xludf.DUMMYFUNCTION("""COMPUTED_VALUE"""),"New Mexico State")</f>
        <v>New Mexico State</v>
      </c>
      <c r="BP17" t="str">
        <f>IFERROR(__xludf.DUMMYFUNCTION("""COMPUTED_VALUE"""),"North Carolina")</f>
        <v>North Carolina</v>
      </c>
      <c r="BQ17" t="str">
        <f>IFERROR(__xludf.DUMMYFUNCTION("""COMPUTED_VALUE"""),"North Texas")</f>
        <v>North Texas</v>
      </c>
      <c r="BR17" t="str">
        <f>IFERROR(__xludf.DUMMYFUNCTION("""COMPUTED_VALUE"""),"Northern Illinois")</f>
        <v>Northern Illinois</v>
      </c>
      <c r="BS17" t="str">
        <f>IFERROR(__xludf.DUMMYFUNCTION("""COMPUTED_VALUE"""),"Northwestern")</f>
        <v>Northwestern</v>
      </c>
      <c r="BT17" t="str">
        <f>IFERROR(__xludf.DUMMYFUNCTION("""COMPUTED_VALUE"""),"Ohio")</f>
        <v>Ohio</v>
      </c>
      <c r="BU17" t="str">
        <f>IFERROR(__xludf.DUMMYFUNCTION("""COMPUTED_VALUE"""),"Oklahoma")</f>
        <v>Oklahoma</v>
      </c>
      <c r="BV17" t="str">
        <f>IFERROR(__xludf.DUMMYFUNCTION("""COMPUTED_VALUE"""),"Oklahoma State")</f>
        <v>Oklahoma State</v>
      </c>
      <c r="BW17" t="str">
        <f>IFERROR(__xludf.DUMMYFUNCTION("""COMPUTED_VALUE"""),"Old Dominion")</f>
        <v>Old Dominion</v>
      </c>
      <c r="BX17" t="str">
        <f>IFERROR(__xludf.DUMMYFUNCTION("""COMPUTED_VALUE"""),"Ole Miss")</f>
        <v>Ole Miss</v>
      </c>
      <c r="BY17" t="str">
        <f>IFERROR(__xludf.DUMMYFUNCTION("""COMPUTED_VALUE"""),"Oregon State")</f>
        <v>Oregon State</v>
      </c>
      <c r="BZ17" t="str">
        <f>IFERROR(__xludf.DUMMYFUNCTION("""COMPUTED_VALUE"""),"Pittsburgh")</f>
        <v>Pittsburgh</v>
      </c>
      <c r="CA17" t="str">
        <f>IFERROR(__xludf.DUMMYFUNCTION("""COMPUTED_VALUE"""),"Purdue")</f>
        <v>Purdue</v>
      </c>
      <c r="CB17" t="str">
        <f>IFERROR(__xludf.DUMMYFUNCTION("""COMPUTED_VALUE"""),"Rice")</f>
        <v>Rice</v>
      </c>
      <c r="CC17" t="str">
        <f>IFERROR(__xludf.DUMMYFUNCTION("""COMPUTED_VALUE"""),"Rutgers")</f>
        <v>Rutgers</v>
      </c>
      <c r="CD17" t="str">
        <f>IFERROR(__xludf.DUMMYFUNCTION("""COMPUTED_VALUE"""),"Sam Houston")</f>
        <v>Sam Houston</v>
      </c>
      <c r="CE17" t="str">
        <f>IFERROR(__xludf.DUMMYFUNCTION("""COMPUTED_VALUE"""),"San Diego State")</f>
        <v>San Diego State</v>
      </c>
      <c r="CF17" t="str">
        <f>IFERROR(__xludf.DUMMYFUNCTION("""COMPUTED_VALUE"""),"San José State")</f>
        <v>San José State</v>
      </c>
      <c r="CG17" t="str">
        <f>IFERROR(__xludf.DUMMYFUNCTION("""COMPUTED_VALUE"""),"SMU")</f>
        <v>SMU</v>
      </c>
      <c r="CH17" t="str">
        <f>IFERROR(__xludf.DUMMYFUNCTION("""COMPUTED_VALUE"""),"South Alabama")</f>
        <v>South Alabama</v>
      </c>
      <c r="CI17" t="str">
        <f>IFERROR(__xludf.DUMMYFUNCTION("""COMPUTED_VALUE"""),"South Carolina")</f>
        <v>South Carolina</v>
      </c>
      <c r="CJ17" t="str">
        <f>IFERROR(__xludf.DUMMYFUNCTION("""COMPUTED_VALUE"""),"South Florida")</f>
        <v>South Florida</v>
      </c>
      <c r="CK17" t="str">
        <f>IFERROR(__xludf.DUMMYFUNCTION("""COMPUTED_VALUE"""),"Southern Mississippi")</f>
        <v>Southern Mississippi</v>
      </c>
      <c r="CL17" t="str">
        <f>IFERROR(__xludf.DUMMYFUNCTION("""COMPUTED_VALUE"""),"Stanford")</f>
        <v>Stanford</v>
      </c>
      <c r="CM17" t="str">
        <f>IFERROR(__xludf.DUMMYFUNCTION("""COMPUTED_VALUE"""),"Syracuse")</f>
        <v>Syracuse</v>
      </c>
      <c r="CN17" t="str">
        <f>IFERROR(__xludf.DUMMYFUNCTION("""COMPUTED_VALUE"""),"TCU")</f>
        <v>TCU</v>
      </c>
      <c r="CO17" t="str">
        <f>IFERROR(__xludf.DUMMYFUNCTION("""COMPUTED_VALUE"""),"Temple")</f>
        <v>Temple</v>
      </c>
      <c r="CP17" t="str">
        <f>IFERROR(__xludf.DUMMYFUNCTION("""COMPUTED_VALUE"""),"Tennessee")</f>
        <v>Tennessee</v>
      </c>
      <c r="CQ17" t="str">
        <f>IFERROR(__xludf.DUMMYFUNCTION("""COMPUTED_VALUE"""),"Texas A&amp;M")</f>
        <v>Texas A&amp;M</v>
      </c>
      <c r="CR17" t="str">
        <f>IFERROR(__xludf.DUMMYFUNCTION("""COMPUTED_VALUE"""),"Texas State")</f>
        <v>Texas State</v>
      </c>
      <c r="CS17" t="str">
        <f>IFERROR(__xludf.DUMMYFUNCTION("""COMPUTED_VALUE"""),"Texas Tech")</f>
        <v>Texas Tech</v>
      </c>
      <c r="CT17" t="str">
        <f>IFERROR(__xludf.DUMMYFUNCTION("""COMPUTED_VALUE"""),"Troy")</f>
        <v>Troy</v>
      </c>
      <c r="CU17" t="str">
        <f>IFERROR(__xludf.DUMMYFUNCTION("""COMPUTED_VALUE"""),"Tulsa")</f>
        <v>Tulsa</v>
      </c>
      <c r="CV17" t="str">
        <f>IFERROR(__xludf.DUMMYFUNCTION("""COMPUTED_VALUE"""),"UAB")</f>
        <v>UAB</v>
      </c>
      <c r="CW17" t="str">
        <f>IFERROR(__xludf.DUMMYFUNCTION("""COMPUTED_VALUE"""),"UCF")</f>
        <v>UCF</v>
      </c>
      <c r="CX17" t="str">
        <f>IFERROR(__xludf.DUMMYFUNCTION("""COMPUTED_VALUE"""),"UCLA")</f>
        <v>UCLA</v>
      </c>
      <c r="CY17" t="str">
        <f>IFERROR(__xludf.DUMMYFUNCTION("""COMPUTED_VALUE"""),"UConn")</f>
        <v>UConn</v>
      </c>
      <c r="CZ17" t="str">
        <f>IFERROR(__xludf.DUMMYFUNCTION("""COMPUTED_VALUE"""),"UL Lafayette")</f>
        <v>UL Lafayette</v>
      </c>
      <c r="DA17" t="str">
        <f>IFERROR(__xludf.DUMMYFUNCTION("""COMPUTED_VALUE"""),"UL Monroe")</f>
        <v>UL Monroe</v>
      </c>
      <c r="DB17" t="str">
        <f>IFERROR(__xludf.DUMMYFUNCTION("""COMPUTED_VALUE"""),"UMASS")</f>
        <v>UMASS</v>
      </c>
      <c r="DC17" t="str">
        <f>IFERROR(__xludf.DUMMYFUNCTION("""COMPUTED_VALUE"""),"USC")</f>
        <v>USC</v>
      </c>
      <c r="DD17" t="str">
        <f>IFERROR(__xludf.DUMMYFUNCTION("""COMPUTED_VALUE"""),"Utah")</f>
        <v>Utah</v>
      </c>
      <c r="DE17" t="str">
        <f>IFERROR(__xludf.DUMMYFUNCTION("""COMPUTED_VALUE"""),"Utah State")</f>
        <v>Utah State</v>
      </c>
      <c r="DF17" t="str">
        <f>IFERROR(__xludf.DUMMYFUNCTION("""COMPUTED_VALUE"""),"UTEP")</f>
        <v>UTEP</v>
      </c>
      <c r="DG17" t="str">
        <f>IFERROR(__xludf.DUMMYFUNCTION("""COMPUTED_VALUE"""),"UTSA")</f>
        <v>UTSA</v>
      </c>
      <c r="DH17" t="str">
        <f>IFERROR(__xludf.DUMMYFUNCTION("""COMPUTED_VALUE"""),"Vanderbilt")</f>
        <v>Vanderbilt</v>
      </c>
      <c r="DI17" t="str">
        <f>IFERROR(__xludf.DUMMYFUNCTION("""COMPUTED_VALUE"""),"Virginia")</f>
        <v>Virginia</v>
      </c>
      <c r="DJ17" t="str">
        <f>IFERROR(__xludf.DUMMYFUNCTION("""COMPUTED_VALUE"""),"Virginia Tech")</f>
        <v>Virginia Tech</v>
      </c>
      <c r="DK17" t="str">
        <f>IFERROR(__xludf.DUMMYFUNCTION("""COMPUTED_VALUE"""),"Wake Forest")</f>
        <v>Wake Forest</v>
      </c>
      <c r="DL17" t="str">
        <f>IFERROR(__xludf.DUMMYFUNCTION("""COMPUTED_VALUE"""),"Washington")</f>
        <v>Washington</v>
      </c>
      <c r="DM17" t="str">
        <f>IFERROR(__xludf.DUMMYFUNCTION("""COMPUTED_VALUE"""),"Washington State")</f>
        <v>Washington State</v>
      </c>
      <c r="DN17" t="str">
        <f>IFERROR(__xludf.DUMMYFUNCTION("""COMPUTED_VALUE"""),"West Virginia")</f>
        <v>West Virginia</v>
      </c>
      <c r="DO17" t="str">
        <f>IFERROR(__xludf.DUMMYFUNCTION("""COMPUTED_VALUE"""),"Western Michigan")</f>
        <v>Western Michigan</v>
      </c>
      <c r="DP17" t="str">
        <f>IFERROR(__xludf.DUMMYFUNCTION("""COMPUTED_VALUE"""),"Wisconsin")</f>
        <v>Wisconsin</v>
      </c>
      <c r="DQ17" t="str">
        <f>IFERROR(__xludf.DUMMYFUNCTION("""COMPUTED_VALUE"""),"Wyoming")</f>
        <v>Wyoming</v>
      </c>
    </row>
    <row r="18">
      <c r="A18" s="1">
        <v>17.0</v>
      </c>
      <c r="B18" t="str">
        <f>IFERROR(__xludf.DUMMYFUNCTION("split(join("","",sort(byrow('Teams-Conference'!A$2:A1000,lambda(rw,if(iserror(match(rw,DraftTracker!F$1:F18,0)),rw,""""))),1,1)),"","",1,1)"),"Air Force")</f>
        <v>Air Force</v>
      </c>
      <c r="C18" t="str">
        <f>IFERROR(__xludf.DUMMYFUNCTION("""COMPUTED_VALUE"""),"Akron")</f>
        <v>Akron</v>
      </c>
      <c r="D18" t="str">
        <f>IFERROR(__xludf.DUMMYFUNCTION("""COMPUTED_VALUE"""),"Alabama")</f>
        <v>Alabama</v>
      </c>
      <c r="E18" t="str">
        <f>IFERROR(__xludf.DUMMYFUNCTION("""COMPUTED_VALUE"""),"Appalachian State")</f>
        <v>Appalachian State</v>
      </c>
      <c r="F18" t="str">
        <f>IFERROR(__xludf.DUMMYFUNCTION("""COMPUTED_VALUE"""),"Arizona")</f>
        <v>Arizona</v>
      </c>
      <c r="G18" t="str">
        <f>IFERROR(__xludf.DUMMYFUNCTION("""COMPUTED_VALUE"""),"Arizona State")</f>
        <v>Arizona State</v>
      </c>
      <c r="H18" t="str">
        <f>IFERROR(__xludf.DUMMYFUNCTION("""COMPUTED_VALUE"""),"Arkansas")</f>
        <v>Arkansas</v>
      </c>
      <c r="I18" t="str">
        <f>IFERROR(__xludf.DUMMYFUNCTION("""COMPUTED_VALUE"""),"Arkansas State")</f>
        <v>Arkansas State</v>
      </c>
      <c r="J18" t="str">
        <f>IFERROR(__xludf.DUMMYFUNCTION("""COMPUTED_VALUE"""),"Army")</f>
        <v>Army</v>
      </c>
      <c r="K18" t="str">
        <f>IFERROR(__xludf.DUMMYFUNCTION("""COMPUTED_VALUE"""),"Auburn")</f>
        <v>Auburn</v>
      </c>
      <c r="L18" t="str">
        <f>IFERROR(__xludf.DUMMYFUNCTION("""COMPUTED_VALUE"""),"Ball State")</f>
        <v>Ball State</v>
      </c>
      <c r="M18" t="str">
        <f>IFERROR(__xludf.DUMMYFUNCTION("""COMPUTED_VALUE"""),"Baylor")</f>
        <v>Baylor</v>
      </c>
      <c r="N18" t="str">
        <f>IFERROR(__xludf.DUMMYFUNCTION("""COMPUTED_VALUE"""),"Boston College")</f>
        <v>Boston College</v>
      </c>
      <c r="O18" t="str">
        <f>IFERROR(__xludf.DUMMYFUNCTION("""COMPUTED_VALUE"""),"Bowling Green")</f>
        <v>Bowling Green</v>
      </c>
      <c r="P18" t="str">
        <f>IFERROR(__xludf.DUMMYFUNCTION("""COMPUTED_VALUE"""),"BYU")</f>
        <v>BYU</v>
      </c>
      <c r="Q18" t="str">
        <f>IFERROR(__xludf.DUMMYFUNCTION("""COMPUTED_VALUE"""),"California")</f>
        <v>California</v>
      </c>
      <c r="R18" t="str">
        <f>IFERROR(__xludf.DUMMYFUNCTION("""COMPUTED_VALUE"""),"Central Michigan")</f>
        <v>Central Michigan</v>
      </c>
      <c r="S18" t="str">
        <f>IFERROR(__xludf.DUMMYFUNCTION("""COMPUTED_VALUE"""),"Charlotte")</f>
        <v>Charlotte</v>
      </c>
      <c r="T18" t="str">
        <f>IFERROR(__xludf.DUMMYFUNCTION("""COMPUTED_VALUE"""),"Cincinnati")</f>
        <v>Cincinnati</v>
      </c>
      <c r="U18" t="str">
        <f>IFERROR(__xludf.DUMMYFUNCTION("""COMPUTED_VALUE"""),"Coastal Carolina")</f>
        <v>Coastal Carolina</v>
      </c>
      <c r="V18" t="str">
        <f>IFERROR(__xludf.DUMMYFUNCTION("""COMPUTED_VALUE"""),"Colorado")</f>
        <v>Colorado</v>
      </c>
      <c r="W18" t="str">
        <f>IFERROR(__xludf.DUMMYFUNCTION("""COMPUTED_VALUE"""),"Colorado State")</f>
        <v>Colorado State</v>
      </c>
      <c r="X18" t="str">
        <f>IFERROR(__xludf.DUMMYFUNCTION("""COMPUTED_VALUE"""),"Delaware")</f>
        <v>Delaware</v>
      </c>
      <c r="Y18" t="str">
        <f>IFERROR(__xludf.DUMMYFUNCTION("""COMPUTED_VALUE"""),"Duke")</f>
        <v>Duke</v>
      </c>
      <c r="Z18" t="str">
        <f>IFERROR(__xludf.DUMMYFUNCTION("""COMPUTED_VALUE"""),"East Carolina")</f>
        <v>East Carolina</v>
      </c>
      <c r="AA18" t="str">
        <f>IFERROR(__xludf.DUMMYFUNCTION("""COMPUTED_VALUE"""),"EMU")</f>
        <v>EMU</v>
      </c>
      <c r="AB18" t="str">
        <f>IFERROR(__xludf.DUMMYFUNCTION("""COMPUTED_VALUE"""),"Florida")</f>
        <v>Florida</v>
      </c>
      <c r="AC18" t="str">
        <f>IFERROR(__xludf.DUMMYFUNCTION("""COMPUTED_VALUE"""),"Florida Atlantic")</f>
        <v>Florida Atlantic</v>
      </c>
      <c r="AD18" t="str">
        <f>IFERROR(__xludf.DUMMYFUNCTION("""COMPUTED_VALUE"""),"Florida Intl")</f>
        <v>Florida Intl</v>
      </c>
      <c r="AE18" t="str">
        <f>IFERROR(__xludf.DUMMYFUNCTION("""COMPUTED_VALUE"""),"Florida State")</f>
        <v>Florida State</v>
      </c>
      <c r="AF18" t="str">
        <f>IFERROR(__xludf.DUMMYFUNCTION("""COMPUTED_VALUE"""),"Fresno State")</f>
        <v>Fresno State</v>
      </c>
      <c r="AG18" t="str">
        <f>IFERROR(__xludf.DUMMYFUNCTION("""COMPUTED_VALUE"""),"Georgia")</f>
        <v>Georgia</v>
      </c>
      <c r="AH18" t="str">
        <f>IFERROR(__xludf.DUMMYFUNCTION("""COMPUTED_VALUE"""),"Georgia Southern")</f>
        <v>Georgia Southern</v>
      </c>
      <c r="AI18" t="str">
        <f>IFERROR(__xludf.DUMMYFUNCTION("""COMPUTED_VALUE"""),"Georgia State")</f>
        <v>Georgia State</v>
      </c>
      <c r="AJ18" t="str">
        <f>IFERROR(__xludf.DUMMYFUNCTION("""COMPUTED_VALUE"""),"Georgia Tech")</f>
        <v>Georgia Tech</v>
      </c>
      <c r="AK18" t="str">
        <f>IFERROR(__xludf.DUMMYFUNCTION("""COMPUTED_VALUE"""),"Hawaii")</f>
        <v>Hawaii</v>
      </c>
      <c r="AL18" t="str">
        <f>IFERROR(__xludf.DUMMYFUNCTION("""COMPUTED_VALUE"""),"Houston")</f>
        <v>Houston</v>
      </c>
      <c r="AM18" t="str">
        <f>IFERROR(__xludf.DUMMYFUNCTION("""COMPUTED_VALUE"""),"Illinois")</f>
        <v>Illinois</v>
      </c>
      <c r="AN18" t="str">
        <f>IFERROR(__xludf.DUMMYFUNCTION("""COMPUTED_VALUE"""),"Indiana")</f>
        <v>Indiana</v>
      </c>
      <c r="AO18" t="str">
        <f>IFERROR(__xludf.DUMMYFUNCTION("""COMPUTED_VALUE"""),"Iowa")</f>
        <v>Iowa</v>
      </c>
      <c r="AP18" t="str">
        <f>IFERROR(__xludf.DUMMYFUNCTION("""COMPUTED_VALUE"""),"Iowa State")</f>
        <v>Iowa State</v>
      </c>
      <c r="AQ18" t="str">
        <f>IFERROR(__xludf.DUMMYFUNCTION("""COMPUTED_VALUE"""),"Jacksonville State")</f>
        <v>Jacksonville State</v>
      </c>
      <c r="AR18" t="str">
        <f>IFERROR(__xludf.DUMMYFUNCTION("""COMPUTED_VALUE"""),"Kansas")</f>
        <v>Kansas</v>
      </c>
      <c r="AS18" t="str">
        <f>IFERROR(__xludf.DUMMYFUNCTION("""COMPUTED_VALUE"""),"Kansas State")</f>
        <v>Kansas State</v>
      </c>
      <c r="AT18" t="str">
        <f>IFERROR(__xludf.DUMMYFUNCTION("""COMPUTED_VALUE"""),"Kennesaw State")</f>
        <v>Kennesaw State</v>
      </c>
      <c r="AU18" t="str">
        <f>IFERROR(__xludf.DUMMYFUNCTION("""COMPUTED_VALUE"""),"Kent State")</f>
        <v>Kent State</v>
      </c>
      <c r="AV18" t="str">
        <f>IFERROR(__xludf.DUMMYFUNCTION("""COMPUTED_VALUE"""),"Kentucky")</f>
        <v>Kentucky</v>
      </c>
      <c r="AW18" t="str">
        <f>IFERROR(__xludf.DUMMYFUNCTION("""COMPUTED_VALUE"""),"Louisiana Tech")</f>
        <v>Louisiana Tech</v>
      </c>
      <c r="AX18" t="str">
        <f>IFERROR(__xludf.DUMMYFUNCTION("""COMPUTED_VALUE"""),"Louisville")</f>
        <v>Louisville</v>
      </c>
      <c r="AY18" t="str">
        <f>IFERROR(__xludf.DUMMYFUNCTION("""COMPUTED_VALUE"""),"LSU")</f>
        <v>LSU</v>
      </c>
      <c r="AZ18" t="str">
        <f>IFERROR(__xludf.DUMMYFUNCTION("""COMPUTED_VALUE"""),"Marshall")</f>
        <v>Marshall</v>
      </c>
      <c r="BA18" t="str">
        <f>IFERROR(__xludf.DUMMYFUNCTION("""COMPUTED_VALUE"""),"Maryland")</f>
        <v>Maryland</v>
      </c>
      <c r="BB18" t="str">
        <f>IFERROR(__xludf.DUMMYFUNCTION("""COMPUTED_VALUE"""),"Miami-OH")</f>
        <v>Miami-OH</v>
      </c>
      <c r="BC18" t="str">
        <f>IFERROR(__xludf.DUMMYFUNCTION("""COMPUTED_VALUE"""),"Michigan")</f>
        <v>Michigan</v>
      </c>
      <c r="BD18" t="str">
        <f>IFERROR(__xludf.DUMMYFUNCTION("""COMPUTED_VALUE"""),"Michigan State")</f>
        <v>Michigan State</v>
      </c>
      <c r="BE18" t="str">
        <f>IFERROR(__xludf.DUMMYFUNCTION("""COMPUTED_VALUE"""),"Middle Tennessee")</f>
        <v>Middle Tennessee</v>
      </c>
      <c r="BF18" t="str">
        <f>IFERROR(__xludf.DUMMYFUNCTION("""COMPUTED_VALUE"""),"Minnesota")</f>
        <v>Minnesota</v>
      </c>
      <c r="BG18" t="str">
        <f>IFERROR(__xludf.DUMMYFUNCTION("""COMPUTED_VALUE"""),"Mississippi State")</f>
        <v>Mississippi State</v>
      </c>
      <c r="BH18" t="str">
        <f>IFERROR(__xludf.DUMMYFUNCTION("""COMPUTED_VALUE"""),"Missouri")</f>
        <v>Missouri</v>
      </c>
      <c r="BI18" t="str">
        <f>IFERROR(__xludf.DUMMYFUNCTION("""COMPUTED_VALUE"""),"Missouri State")</f>
        <v>Missouri State</v>
      </c>
      <c r="BJ18" t="str">
        <f>IFERROR(__xludf.DUMMYFUNCTION("""COMPUTED_VALUE"""),"Navy")</f>
        <v>Navy</v>
      </c>
      <c r="BK18" t="str">
        <f>IFERROR(__xludf.DUMMYFUNCTION("""COMPUTED_VALUE"""),"NC State")</f>
        <v>NC State</v>
      </c>
      <c r="BL18" t="str">
        <f>IFERROR(__xludf.DUMMYFUNCTION("""COMPUTED_VALUE"""),"Nebraska")</f>
        <v>Nebraska</v>
      </c>
      <c r="BM18" t="str">
        <f>IFERROR(__xludf.DUMMYFUNCTION("""COMPUTED_VALUE"""),"Nevada")</f>
        <v>Nevada</v>
      </c>
      <c r="BN18" t="str">
        <f>IFERROR(__xludf.DUMMYFUNCTION("""COMPUTED_VALUE"""),"New Mexico")</f>
        <v>New Mexico</v>
      </c>
      <c r="BO18" t="str">
        <f>IFERROR(__xludf.DUMMYFUNCTION("""COMPUTED_VALUE"""),"New Mexico State")</f>
        <v>New Mexico State</v>
      </c>
      <c r="BP18" t="str">
        <f>IFERROR(__xludf.DUMMYFUNCTION("""COMPUTED_VALUE"""),"North Carolina")</f>
        <v>North Carolina</v>
      </c>
      <c r="BQ18" t="str">
        <f>IFERROR(__xludf.DUMMYFUNCTION("""COMPUTED_VALUE"""),"North Texas")</f>
        <v>North Texas</v>
      </c>
      <c r="BR18" t="str">
        <f>IFERROR(__xludf.DUMMYFUNCTION("""COMPUTED_VALUE"""),"Northern Illinois")</f>
        <v>Northern Illinois</v>
      </c>
      <c r="BS18" t="str">
        <f>IFERROR(__xludf.DUMMYFUNCTION("""COMPUTED_VALUE"""),"Northwestern")</f>
        <v>Northwestern</v>
      </c>
      <c r="BT18" t="str">
        <f>IFERROR(__xludf.DUMMYFUNCTION("""COMPUTED_VALUE"""),"Ohio")</f>
        <v>Ohio</v>
      </c>
      <c r="BU18" t="str">
        <f>IFERROR(__xludf.DUMMYFUNCTION("""COMPUTED_VALUE"""),"Oklahoma")</f>
        <v>Oklahoma</v>
      </c>
      <c r="BV18" t="str">
        <f>IFERROR(__xludf.DUMMYFUNCTION("""COMPUTED_VALUE"""),"Oklahoma State")</f>
        <v>Oklahoma State</v>
      </c>
      <c r="BW18" t="str">
        <f>IFERROR(__xludf.DUMMYFUNCTION("""COMPUTED_VALUE"""),"Old Dominion")</f>
        <v>Old Dominion</v>
      </c>
      <c r="BX18" t="str">
        <f>IFERROR(__xludf.DUMMYFUNCTION("""COMPUTED_VALUE"""),"Ole Miss")</f>
        <v>Ole Miss</v>
      </c>
      <c r="BY18" t="str">
        <f>IFERROR(__xludf.DUMMYFUNCTION("""COMPUTED_VALUE"""),"Oregon State")</f>
        <v>Oregon State</v>
      </c>
      <c r="BZ18" t="str">
        <f>IFERROR(__xludf.DUMMYFUNCTION("""COMPUTED_VALUE"""),"Pittsburgh")</f>
        <v>Pittsburgh</v>
      </c>
      <c r="CA18" t="str">
        <f>IFERROR(__xludf.DUMMYFUNCTION("""COMPUTED_VALUE"""),"Purdue")</f>
        <v>Purdue</v>
      </c>
      <c r="CB18" t="str">
        <f>IFERROR(__xludf.DUMMYFUNCTION("""COMPUTED_VALUE"""),"Rice")</f>
        <v>Rice</v>
      </c>
      <c r="CC18" t="str">
        <f>IFERROR(__xludf.DUMMYFUNCTION("""COMPUTED_VALUE"""),"Rutgers")</f>
        <v>Rutgers</v>
      </c>
      <c r="CD18" t="str">
        <f>IFERROR(__xludf.DUMMYFUNCTION("""COMPUTED_VALUE"""),"Sam Houston")</f>
        <v>Sam Houston</v>
      </c>
      <c r="CE18" t="str">
        <f>IFERROR(__xludf.DUMMYFUNCTION("""COMPUTED_VALUE"""),"San Diego State")</f>
        <v>San Diego State</v>
      </c>
      <c r="CF18" t="str">
        <f>IFERROR(__xludf.DUMMYFUNCTION("""COMPUTED_VALUE"""),"SMU")</f>
        <v>SMU</v>
      </c>
      <c r="CG18" t="str">
        <f>IFERROR(__xludf.DUMMYFUNCTION("""COMPUTED_VALUE"""),"South Alabama")</f>
        <v>South Alabama</v>
      </c>
      <c r="CH18" t="str">
        <f>IFERROR(__xludf.DUMMYFUNCTION("""COMPUTED_VALUE"""),"South Carolina")</f>
        <v>South Carolina</v>
      </c>
      <c r="CI18" t="str">
        <f>IFERROR(__xludf.DUMMYFUNCTION("""COMPUTED_VALUE"""),"South Florida")</f>
        <v>South Florida</v>
      </c>
      <c r="CJ18" t="str">
        <f>IFERROR(__xludf.DUMMYFUNCTION("""COMPUTED_VALUE"""),"Southern Mississippi")</f>
        <v>Southern Mississippi</v>
      </c>
      <c r="CK18" t="str">
        <f>IFERROR(__xludf.DUMMYFUNCTION("""COMPUTED_VALUE"""),"Stanford")</f>
        <v>Stanford</v>
      </c>
      <c r="CL18" t="str">
        <f>IFERROR(__xludf.DUMMYFUNCTION("""COMPUTED_VALUE"""),"Syracuse")</f>
        <v>Syracuse</v>
      </c>
      <c r="CM18" t="str">
        <f>IFERROR(__xludf.DUMMYFUNCTION("""COMPUTED_VALUE"""),"TCU")</f>
        <v>TCU</v>
      </c>
      <c r="CN18" t="str">
        <f>IFERROR(__xludf.DUMMYFUNCTION("""COMPUTED_VALUE"""),"Temple")</f>
        <v>Temple</v>
      </c>
      <c r="CO18" t="str">
        <f>IFERROR(__xludf.DUMMYFUNCTION("""COMPUTED_VALUE"""),"Tennessee")</f>
        <v>Tennessee</v>
      </c>
      <c r="CP18" t="str">
        <f>IFERROR(__xludf.DUMMYFUNCTION("""COMPUTED_VALUE"""),"Texas A&amp;M")</f>
        <v>Texas A&amp;M</v>
      </c>
      <c r="CQ18" t="str">
        <f>IFERROR(__xludf.DUMMYFUNCTION("""COMPUTED_VALUE"""),"Texas State")</f>
        <v>Texas State</v>
      </c>
      <c r="CR18" t="str">
        <f>IFERROR(__xludf.DUMMYFUNCTION("""COMPUTED_VALUE"""),"Texas Tech")</f>
        <v>Texas Tech</v>
      </c>
      <c r="CS18" t="str">
        <f>IFERROR(__xludf.DUMMYFUNCTION("""COMPUTED_VALUE"""),"Troy")</f>
        <v>Troy</v>
      </c>
      <c r="CT18" t="str">
        <f>IFERROR(__xludf.DUMMYFUNCTION("""COMPUTED_VALUE"""),"Tulsa")</f>
        <v>Tulsa</v>
      </c>
      <c r="CU18" t="str">
        <f>IFERROR(__xludf.DUMMYFUNCTION("""COMPUTED_VALUE"""),"UAB")</f>
        <v>UAB</v>
      </c>
      <c r="CV18" t="str">
        <f>IFERROR(__xludf.DUMMYFUNCTION("""COMPUTED_VALUE"""),"UCF")</f>
        <v>UCF</v>
      </c>
      <c r="CW18" t="str">
        <f>IFERROR(__xludf.DUMMYFUNCTION("""COMPUTED_VALUE"""),"UCLA")</f>
        <v>UCLA</v>
      </c>
      <c r="CX18" t="str">
        <f>IFERROR(__xludf.DUMMYFUNCTION("""COMPUTED_VALUE"""),"UConn")</f>
        <v>UConn</v>
      </c>
      <c r="CY18" t="str">
        <f>IFERROR(__xludf.DUMMYFUNCTION("""COMPUTED_VALUE"""),"UL Lafayette")</f>
        <v>UL Lafayette</v>
      </c>
      <c r="CZ18" t="str">
        <f>IFERROR(__xludf.DUMMYFUNCTION("""COMPUTED_VALUE"""),"UL Monroe")</f>
        <v>UL Monroe</v>
      </c>
      <c r="DA18" t="str">
        <f>IFERROR(__xludf.DUMMYFUNCTION("""COMPUTED_VALUE"""),"UMASS")</f>
        <v>UMASS</v>
      </c>
      <c r="DB18" t="str">
        <f>IFERROR(__xludf.DUMMYFUNCTION("""COMPUTED_VALUE"""),"USC")</f>
        <v>USC</v>
      </c>
      <c r="DC18" t="str">
        <f>IFERROR(__xludf.DUMMYFUNCTION("""COMPUTED_VALUE"""),"Utah")</f>
        <v>Utah</v>
      </c>
      <c r="DD18" t="str">
        <f>IFERROR(__xludf.DUMMYFUNCTION("""COMPUTED_VALUE"""),"Utah State")</f>
        <v>Utah State</v>
      </c>
      <c r="DE18" t="str">
        <f>IFERROR(__xludf.DUMMYFUNCTION("""COMPUTED_VALUE"""),"UTEP")</f>
        <v>UTEP</v>
      </c>
      <c r="DF18" t="str">
        <f>IFERROR(__xludf.DUMMYFUNCTION("""COMPUTED_VALUE"""),"UTSA")</f>
        <v>UTSA</v>
      </c>
      <c r="DG18" t="str">
        <f>IFERROR(__xludf.DUMMYFUNCTION("""COMPUTED_VALUE"""),"Vanderbilt")</f>
        <v>Vanderbilt</v>
      </c>
      <c r="DH18" t="str">
        <f>IFERROR(__xludf.DUMMYFUNCTION("""COMPUTED_VALUE"""),"Virginia")</f>
        <v>Virginia</v>
      </c>
      <c r="DI18" t="str">
        <f>IFERROR(__xludf.DUMMYFUNCTION("""COMPUTED_VALUE"""),"Virginia Tech")</f>
        <v>Virginia Tech</v>
      </c>
      <c r="DJ18" t="str">
        <f>IFERROR(__xludf.DUMMYFUNCTION("""COMPUTED_VALUE"""),"Wake Forest")</f>
        <v>Wake Forest</v>
      </c>
      <c r="DK18" t="str">
        <f>IFERROR(__xludf.DUMMYFUNCTION("""COMPUTED_VALUE"""),"Washington")</f>
        <v>Washington</v>
      </c>
      <c r="DL18" t="str">
        <f>IFERROR(__xludf.DUMMYFUNCTION("""COMPUTED_VALUE"""),"Washington State")</f>
        <v>Washington State</v>
      </c>
      <c r="DM18" t="str">
        <f>IFERROR(__xludf.DUMMYFUNCTION("""COMPUTED_VALUE"""),"West Virginia")</f>
        <v>West Virginia</v>
      </c>
      <c r="DN18" t="str">
        <f>IFERROR(__xludf.DUMMYFUNCTION("""COMPUTED_VALUE"""),"Western Michigan")</f>
        <v>Western Michigan</v>
      </c>
      <c r="DO18" t="str">
        <f>IFERROR(__xludf.DUMMYFUNCTION("""COMPUTED_VALUE"""),"Wisconsin")</f>
        <v>Wisconsin</v>
      </c>
      <c r="DP18" t="str">
        <f>IFERROR(__xludf.DUMMYFUNCTION("""COMPUTED_VALUE"""),"Wyoming")</f>
        <v>Wyoming</v>
      </c>
    </row>
    <row r="19">
      <c r="A19" s="1">
        <v>18.0</v>
      </c>
      <c r="B19" t="str">
        <f>IFERROR(__xludf.DUMMYFUNCTION("split(join("","",sort(byrow('Teams-Conference'!A$2:A1000,lambda(rw,if(iserror(match(rw,DraftTracker!F$1:F19,0)),rw,""""))),1,1)),"","",1,1)"),"Air Force")</f>
        <v>Air Force</v>
      </c>
      <c r="C19" t="str">
        <f>IFERROR(__xludf.DUMMYFUNCTION("""COMPUTED_VALUE"""),"Akron")</f>
        <v>Akron</v>
      </c>
      <c r="D19" t="str">
        <f>IFERROR(__xludf.DUMMYFUNCTION("""COMPUTED_VALUE"""),"Alabama")</f>
        <v>Alabama</v>
      </c>
      <c r="E19" t="str">
        <f>IFERROR(__xludf.DUMMYFUNCTION("""COMPUTED_VALUE"""),"Appalachian State")</f>
        <v>Appalachian State</v>
      </c>
      <c r="F19" t="str">
        <f>IFERROR(__xludf.DUMMYFUNCTION("""COMPUTED_VALUE"""),"Arizona")</f>
        <v>Arizona</v>
      </c>
      <c r="G19" t="str">
        <f>IFERROR(__xludf.DUMMYFUNCTION("""COMPUTED_VALUE"""),"Arizona State")</f>
        <v>Arizona State</v>
      </c>
      <c r="H19" t="str">
        <f>IFERROR(__xludf.DUMMYFUNCTION("""COMPUTED_VALUE"""),"Arkansas")</f>
        <v>Arkansas</v>
      </c>
      <c r="I19" t="str">
        <f>IFERROR(__xludf.DUMMYFUNCTION("""COMPUTED_VALUE"""),"Arkansas State")</f>
        <v>Arkansas State</v>
      </c>
      <c r="J19" t="str">
        <f>IFERROR(__xludf.DUMMYFUNCTION("""COMPUTED_VALUE"""),"Army")</f>
        <v>Army</v>
      </c>
      <c r="K19" t="str">
        <f>IFERROR(__xludf.DUMMYFUNCTION("""COMPUTED_VALUE"""),"Auburn")</f>
        <v>Auburn</v>
      </c>
      <c r="L19" t="str">
        <f>IFERROR(__xludf.DUMMYFUNCTION("""COMPUTED_VALUE"""),"Ball State")</f>
        <v>Ball State</v>
      </c>
      <c r="M19" t="str">
        <f>IFERROR(__xludf.DUMMYFUNCTION("""COMPUTED_VALUE"""),"Baylor")</f>
        <v>Baylor</v>
      </c>
      <c r="N19" t="str">
        <f>IFERROR(__xludf.DUMMYFUNCTION("""COMPUTED_VALUE"""),"Boston College")</f>
        <v>Boston College</v>
      </c>
      <c r="O19" t="str">
        <f>IFERROR(__xludf.DUMMYFUNCTION("""COMPUTED_VALUE"""),"Bowling Green")</f>
        <v>Bowling Green</v>
      </c>
      <c r="P19" t="str">
        <f>IFERROR(__xludf.DUMMYFUNCTION("""COMPUTED_VALUE"""),"BYU")</f>
        <v>BYU</v>
      </c>
      <c r="Q19" t="str">
        <f>IFERROR(__xludf.DUMMYFUNCTION("""COMPUTED_VALUE"""),"California")</f>
        <v>California</v>
      </c>
      <c r="R19" t="str">
        <f>IFERROR(__xludf.DUMMYFUNCTION("""COMPUTED_VALUE"""),"Central Michigan")</f>
        <v>Central Michigan</v>
      </c>
      <c r="S19" t="str">
        <f>IFERROR(__xludf.DUMMYFUNCTION("""COMPUTED_VALUE"""),"Charlotte")</f>
        <v>Charlotte</v>
      </c>
      <c r="T19" t="str">
        <f>IFERROR(__xludf.DUMMYFUNCTION("""COMPUTED_VALUE"""),"Cincinnati")</f>
        <v>Cincinnati</v>
      </c>
      <c r="U19" t="str">
        <f>IFERROR(__xludf.DUMMYFUNCTION("""COMPUTED_VALUE"""),"Coastal Carolina")</f>
        <v>Coastal Carolina</v>
      </c>
      <c r="V19" t="str">
        <f>IFERROR(__xludf.DUMMYFUNCTION("""COMPUTED_VALUE"""),"Colorado")</f>
        <v>Colorado</v>
      </c>
      <c r="W19" t="str">
        <f>IFERROR(__xludf.DUMMYFUNCTION("""COMPUTED_VALUE"""),"Colorado State")</f>
        <v>Colorado State</v>
      </c>
      <c r="X19" t="str">
        <f>IFERROR(__xludf.DUMMYFUNCTION("""COMPUTED_VALUE"""),"Delaware")</f>
        <v>Delaware</v>
      </c>
      <c r="Y19" t="str">
        <f>IFERROR(__xludf.DUMMYFUNCTION("""COMPUTED_VALUE"""),"Duke")</f>
        <v>Duke</v>
      </c>
      <c r="Z19" t="str">
        <f>IFERROR(__xludf.DUMMYFUNCTION("""COMPUTED_VALUE"""),"East Carolina")</f>
        <v>East Carolina</v>
      </c>
      <c r="AA19" t="str">
        <f>IFERROR(__xludf.DUMMYFUNCTION("""COMPUTED_VALUE"""),"EMU")</f>
        <v>EMU</v>
      </c>
      <c r="AB19" t="str">
        <f>IFERROR(__xludf.DUMMYFUNCTION("""COMPUTED_VALUE"""),"Florida")</f>
        <v>Florida</v>
      </c>
      <c r="AC19" t="str">
        <f>IFERROR(__xludf.DUMMYFUNCTION("""COMPUTED_VALUE"""),"Florida Atlantic")</f>
        <v>Florida Atlantic</v>
      </c>
      <c r="AD19" t="str">
        <f>IFERROR(__xludf.DUMMYFUNCTION("""COMPUTED_VALUE"""),"Florida Intl")</f>
        <v>Florida Intl</v>
      </c>
      <c r="AE19" t="str">
        <f>IFERROR(__xludf.DUMMYFUNCTION("""COMPUTED_VALUE"""),"Florida State")</f>
        <v>Florida State</v>
      </c>
      <c r="AF19" t="str">
        <f>IFERROR(__xludf.DUMMYFUNCTION("""COMPUTED_VALUE"""),"Fresno State")</f>
        <v>Fresno State</v>
      </c>
      <c r="AG19" t="str">
        <f>IFERROR(__xludf.DUMMYFUNCTION("""COMPUTED_VALUE"""),"Georgia Southern")</f>
        <v>Georgia Southern</v>
      </c>
      <c r="AH19" t="str">
        <f>IFERROR(__xludf.DUMMYFUNCTION("""COMPUTED_VALUE"""),"Georgia State")</f>
        <v>Georgia State</v>
      </c>
      <c r="AI19" t="str">
        <f>IFERROR(__xludf.DUMMYFUNCTION("""COMPUTED_VALUE"""),"Georgia Tech")</f>
        <v>Georgia Tech</v>
      </c>
      <c r="AJ19" t="str">
        <f>IFERROR(__xludf.DUMMYFUNCTION("""COMPUTED_VALUE"""),"Hawaii")</f>
        <v>Hawaii</v>
      </c>
      <c r="AK19" t="str">
        <f>IFERROR(__xludf.DUMMYFUNCTION("""COMPUTED_VALUE"""),"Houston")</f>
        <v>Houston</v>
      </c>
      <c r="AL19" t="str">
        <f>IFERROR(__xludf.DUMMYFUNCTION("""COMPUTED_VALUE"""),"Illinois")</f>
        <v>Illinois</v>
      </c>
      <c r="AM19" t="str">
        <f>IFERROR(__xludf.DUMMYFUNCTION("""COMPUTED_VALUE"""),"Indiana")</f>
        <v>Indiana</v>
      </c>
      <c r="AN19" t="str">
        <f>IFERROR(__xludf.DUMMYFUNCTION("""COMPUTED_VALUE"""),"Iowa")</f>
        <v>Iowa</v>
      </c>
      <c r="AO19" t="str">
        <f>IFERROR(__xludf.DUMMYFUNCTION("""COMPUTED_VALUE"""),"Iowa State")</f>
        <v>Iowa State</v>
      </c>
      <c r="AP19" t="str">
        <f>IFERROR(__xludf.DUMMYFUNCTION("""COMPUTED_VALUE"""),"Jacksonville State")</f>
        <v>Jacksonville State</v>
      </c>
      <c r="AQ19" t="str">
        <f>IFERROR(__xludf.DUMMYFUNCTION("""COMPUTED_VALUE"""),"Kansas")</f>
        <v>Kansas</v>
      </c>
      <c r="AR19" t="str">
        <f>IFERROR(__xludf.DUMMYFUNCTION("""COMPUTED_VALUE"""),"Kansas State")</f>
        <v>Kansas State</v>
      </c>
      <c r="AS19" t="str">
        <f>IFERROR(__xludf.DUMMYFUNCTION("""COMPUTED_VALUE"""),"Kennesaw State")</f>
        <v>Kennesaw State</v>
      </c>
      <c r="AT19" t="str">
        <f>IFERROR(__xludf.DUMMYFUNCTION("""COMPUTED_VALUE"""),"Kent State")</f>
        <v>Kent State</v>
      </c>
      <c r="AU19" t="str">
        <f>IFERROR(__xludf.DUMMYFUNCTION("""COMPUTED_VALUE"""),"Kentucky")</f>
        <v>Kentucky</v>
      </c>
      <c r="AV19" t="str">
        <f>IFERROR(__xludf.DUMMYFUNCTION("""COMPUTED_VALUE"""),"Louisiana Tech")</f>
        <v>Louisiana Tech</v>
      </c>
      <c r="AW19" t="str">
        <f>IFERROR(__xludf.DUMMYFUNCTION("""COMPUTED_VALUE"""),"Louisville")</f>
        <v>Louisville</v>
      </c>
      <c r="AX19" t="str">
        <f>IFERROR(__xludf.DUMMYFUNCTION("""COMPUTED_VALUE"""),"LSU")</f>
        <v>LSU</v>
      </c>
      <c r="AY19" t="str">
        <f>IFERROR(__xludf.DUMMYFUNCTION("""COMPUTED_VALUE"""),"Marshall")</f>
        <v>Marshall</v>
      </c>
      <c r="AZ19" t="str">
        <f>IFERROR(__xludf.DUMMYFUNCTION("""COMPUTED_VALUE"""),"Maryland")</f>
        <v>Maryland</v>
      </c>
      <c r="BA19" t="str">
        <f>IFERROR(__xludf.DUMMYFUNCTION("""COMPUTED_VALUE"""),"Miami-OH")</f>
        <v>Miami-OH</v>
      </c>
      <c r="BB19" t="str">
        <f>IFERROR(__xludf.DUMMYFUNCTION("""COMPUTED_VALUE"""),"Michigan")</f>
        <v>Michigan</v>
      </c>
      <c r="BC19" t="str">
        <f>IFERROR(__xludf.DUMMYFUNCTION("""COMPUTED_VALUE"""),"Michigan State")</f>
        <v>Michigan State</v>
      </c>
      <c r="BD19" t="str">
        <f>IFERROR(__xludf.DUMMYFUNCTION("""COMPUTED_VALUE"""),"Middle Tennessee")</f>
        <v>Middle Tennessee</v>
      </c>
      <c r="BE19" t="str">
        <f>IFERROR(__xludf.DUMMYFUNCTION("""COMPUTED_VALUE"""),"Minnesota")</f>
        <v>Minnesota</v>
      </c>
      <c r="BF19" t="str">
        <f>IFERROR(__xludf.DUMMYFUNCTION("""COMPUTED_VALUE"""),"Mississippi State")</f>
        <v>Mississippi State</v>
      </c>
      <c r="BG19" t="str">
        <f>IFERROR(__xludf.DUMMYFUNCTION("""COMPUTED_VALUE"""),"Missouri")</f>
        <v>Missouri</v>
      </c>
      <c r="BH19" t="str">
        <f>IFERROR(__xludf.DUMMYFUNCTION("""COMPUTED_VALUE"""),"Missouri State")</f>
        <v>Missouri State</v>
      </c>
      <c r="BI19" t="str">
        <f>IFERROR(__xludf.DUMMYFUNCTION("""COMPUTED_VALUE"""),"Navy")</f>
        <v>Navy</v>
      </c>
      <c r="BJ19" t="str">
        <f>IFERROR(__xludf.DUMMYFUNCTION("""COMPUTED_VALUE"""),"NC State")</f>
        <v>NC State</v>
      </c>
      <c r="BK19" t="str">
        <f>IFERROR(__xludf.DUMMYFUNCTION("""COMPUTED_VALUE"""),"Nebraska")</f>
        <v>Nebraska</v>
      </c>
      <c r="BL19" t="str">
        <f>IFERROR(__xludf.DUMMYFUNCTION("""COMPUTED_VALUE"""),"Nevada")</f>
        <v>Nevada</v>
      </c>
      <c r="BM19" t="str">
        <f>IFERROR(__xludf.DUMMYFUNCTION("""COMPUTED_VALUE"""),"New Mexico")</f>
        <v>New Mexico</v>
      </c>
      <c r="BN19" t="str">
        <f>IFERROR(__xludf.DUMMYFUNCTION("""COMPUTED_VALUE"""),"New Mexico State")</f>
        <v>New Mexico State</v>
      </c>
      <c r="BO19" t="str">
        <f>IFERROR(__xludf.DUMMYFUNCTION("""COMPUTED_VALUE"""),"North Carolina")</f>
        <v>North Carolina</v>
      </c>
      <c r="BP19" t="str">
        <f>IFERROR(__xludf.DUMMYFUNCTION("""COMPUTED_VALUE"""),"North Texas")</f>
        <v>North Texas</v>
      </c>
      <c r="BQ19" t="str">
        <f>IFERROR(__xludf.DUMMYFUNCTION("""COMPUTED_VALUE"""),"Northern Illinois")</f>
        <v>Northern Illinois</v>
      </c>
      <c r="BR19" t="str">
        <f>IFERROR(__xludf.DUMMYFUNCTION("""COMPUTED_VALUE"""),"Northwestern")</f>
        <v>Northwestern</v>
      </c>
      <c r="BS19" t="str">
        <f>IFERROR(__xludf.DUMMYFUNCTION("""COMPUTED_VALUE"""),"Ohio")</f>
        <v>Ohio</v>
      </c>
      <c r="BT19" t="str">
        <f>IFERROR(__xludf.DUMMYFUNCTION("""COMPUTED_VALUE"""),"Oklahoma")</f>
        <v>Oklahoma</v>
      </c>
      <c r="BU19" t="str">
        <f>IFERROR(__xludf.DUMMYFUNCTION("""COMPUTED_VALUE"""),"Oklahoma State")</f>
        <v>Oklahoma State</v>
      </c>
      <c r="BV19" t="str">
        <f>IFERROR(__xludf.DUMMYFUNCTION("""COMPUTED_VALUE"""),"Old Dominion")</f>
        <v>Old Dominion</v>
      </c>
      <c r="BW19" t="str">
        <f>IFERROR(__xludf.DUMMYFUNCTION("""COMPUTED_VALUE"""),"Ole Miss")</f>
        <v>Ole Miss</v>
      </c>
      <c r="BX19" t="str">
        <f>IFERROR(__xludf.DUMMYFUNCTION("""COMPUTED_VALUE"""),"Oregon State")</f>
        <v>Oregon State</v>
      </c>
      <c r="BY19" t="str">
        <f>IFERROR(__xludf.DUMMYFUNCTION("""COMPUTED_VALUE"""),"Pittsburgh")</f>
        <v>Pittsburgh</v>
      </c>
      <c r="BZ19" t="str">
        <f>IFERROR(__xludf.DUMMYFUNCTION("""COMPUTED_VALUE"""),"Purdue")</f>
        <v>Purdue</v>
      </c>
      <c r="CA19" t="str">
        <f>IFERROR(__xludf.DUMMYFUNCTION("""COMPUTED_VALUE"""),"Rice")</f>
        <v>Rice</v>
      </c>
      <c r="CB19" t="str">
        <f>IFERROR(__xludf.DUMMYFUNCTION("""COMPUTED_VALUE"""),"Rutgers")</f>
        <v>Rutgers</v>
      </c>
      <c r="CC19" t="str">
        <f>IFERROR(__xludf.DUMMYFUNCTION("""COMPUTED_VALUE"""),"Sam Houston")</f>
        <v>Sam Houston</v>
      </c>
      <c r="CD19" t="str">
        <f>IFERROR(__xludf.DUMMYFUNCTION("""COMPUTED_VALUE"""),"San Diego State")</f>
        <v>San Diego State</v>
      </c>
      <c r="CE19" t="str">
        <f>IFERROR(__xludf.DUMMYFUNCTION("""COMPUTED_VALUE"""),"SMU")</f>
        <v>SMU</v>
      </c>
      <c r="CF19" t="str">
        <f>IFERROR(__xludf.DUMMYFUNCTION("""COMPUTED_VALUE"""),"South Alabama")</f>
        <v>South Alabama</v>
      </c>
      <c r="CG19" t="str">
        <f>IFERROR(__xludf.DUMMYFUNCTION("""COMPUTED_VALUE"""),"South Carolina")</f>
        <v>South Carolina</v>
      </c>
      <c r="CH19" t="str">
        <f>IFERROR(__xludf.DUMMYFUNCTION("""COMPUTED_VALUE"""),"South Florida")</f>
        <v>South Florida</v>
      </c>
      <c r="CI19" t="str">
        <f>IFERROR(__xludf.DUMMYFUNCTION("""COMPUTED_VALUE"""),"Southern Mississippi")</f>
        <v>Southern Mississippi</v>
      </c>
      <c r="CJ19" t="str">
        <f>IFERROR(__xludf.DUMMYFUNCTION("""COMPUTED_VALUE"""),"Stanford")</f>
        <v>Stanford</v>
      </c>
      <c r="CK19" t="str">
        <f>IFERROR(__xludf.DUMMYFUNCTION("""COMPUTED_VALUE"""),"Syracuse")</f>
        <v>Syracuse</v>
      </c>
      <c r="CL19" t="str">
        <f>IFERROR(__xludf.DUMMYFUNCTION("""COMPUTED_VALUE"""),"TCU")</f>
        <v>TCU</v>
      </c>
      <c r="CM19" t="str">
        <f>IFERROR(__xludf.DUMMYFUNCTION("""COMPUTED_VALUE"""),"Temple")</f>
        <v>Temple</v>
      </c>
      <c r="CN19" t="str">
        <f>IFERROR(__xludf.DUMMYFUNCTION("""COMPUTED_VALUE"""),"Tennessee")</f>
        <v>Tennessee</v>
      </c>
      <c r="CO19" t="str">
        <f>IFERROR(__xludf.DUMMYFUNCTION("""COMPUTED_VALUE"""),"Texas A&amp;M")</f>
        <v>Texas A&amp;M</v>
      </c>
      <c r="CP19" t="str">
        <f>IFERROR(__xludf.DUMMYFUNCTION("""COMPUTED_VALUE"""),"Texas State")</f>
        <v>Texas State</v>
      </c>
      <c r="CQ19" t="str">
        <f>IFERROR(__xludf.DUMMYFUNCTION("""COMPUTED_VALUE"""),"Texas Tech")</f>
        <v>Texas Tech</v>
      </c>
      <c r="CR19" t="str">
        <f>IFERROR(__xludf.DUMMYFUNCTION("""COMPUTED_VALUE"""),"Troy")</f>
        <v>Troy</v>
      </c>
      <c r="CS19" t="str">
        <f>IFERROR(__xludf.DUMMYFUNCTION("""COMPUTED_VALUE"""),"Tulsa")</f>
        <v>Tulsa</v>
      </c>
      <c r="CT19" t="str">
        <f>IFERROR(__xludf.DUMMYFUNCTION("""COMPUTED_VALUE"""),"UAB")</f>
        <v>UAB</v>
      </c>
      <c r="CU19" t="str">
        <f>IFERROR(__xludf.DUMMYFUNCTION("""COMPUTED_VALUE"""),"UCF")</f>
        <v>UCF</v>
      </c>
      <c r="CV19" t="str">
        <f>IFERROR(__xludf.DUMMYFUNCTION("""COMPUTED_VALUE"""),"UCLA")</f>
        <v>UCLA</v>
      </c>
      <c r="CW19" t="str">
        <f>IFERROR(__xludf.DUMMYFUNCTION("""COMPUTED_VALUE"""),"UConn")</f>
        <v>UConn</v>
      </c>
      <c r="CX19" t="str">
        <f>IFERROR(__xludf.DUMMYFUNCTION("""COMPUTED_VALUE"""),"UL Lafayette")</f>
        <v>UL Lafayette</v>
      </c>
      <c r="CY19" t="str">
        <f>IFERROR(__xludf.DUMMYFUNCTION("""COMPUTED_VALUE"""),"UL Monroe")</f>
        <v>UL Monroe</v>
      </c>
      <c r="CZ19" t="str">
        <f>IFERROR(__xludf.DUMMYFUNCTION("""COMPUTED_VALUE"""),"UMASS")</f>
        <v>UMASS</v>
      </c>
      <c r="DA19" t="str">
        <f>IFERROR(__xludf.DUMMYFUNCTION("""COMPUTED_VALUE"""),"USC")</f>
        <v>USC</v>
      </c>
      <c r="DB19" t="str">
        <f>IFERROR(__xludf.DUMMYFUNCTION("""COMPUTED_VALUE"""),"Utah")</f>
        <v>Utah</v>
      </c>
      <c r="DC19" t="str">
        <f>IFERROR(__xludf.DUMMYFUNCTION("""COMPUTED_VALUE"""),"Utah State")</f>
        <v>Utah State</v>
      </c>
      <c r="DD19" t="str">
        <f>IFERROR(__xludf.DUMMYFUNCTION("""COMPUTED_VALUE"""),"UTEP")</f>
        <v>UTEP</v>
      </c>
      <c r="DE19" t="str">
        <f>IFERROR(__xludf.DUMMYFUNCTION("""COMPUTED_VALUE"""),"UTSA")</f>
        <v>UTSA</v>
      </c>
      <c r="DF19" t="str">
        <f>IFERROR(__xludf.DUMMYFUNCTION("""COMPUTED_VALUE"""),"Vanderbilt")</f>
        <v>Vanderbilt</v>
      </c>
      <c r="DG19" t="str">
        <f>IFERROR(__xludf.DUMMYFUNCTION("""COMPUTED_VALUE"""),"Virginia")</f>
        <v>Virginia</v>
      </c>
      <c r="DH19" t="str">
        <f>IFERROR(__xludf.DUMMYFUNCTION("""COMPUTED_VALUE"""),"Virginia Tech")</f>
        <v>Virginia Tech</v>
      </c>
      <c r="DI19" t="str">
        <f>IFERROR(__xludf.DUMMYFUNCTION("""COMPUTED_VALUE"""),"Wake Forest")</f>
        <v>Wake Forest</v>
      </c>
      <c r="DJ19" t="str">
        <f>IFERROR(__xludf.DUMMYFUNCTION("""COMPUTED_VALUE"""),"Washington")</f>
        <v>Washington</v>
      </c>
      <c r="DK19" t="str">
        <f>IFERROR(__xludf.DUMMYFUNCTION("""COMPUTED_VALUE"""),"Washington State")</f>
        <v>Washington State</v>
      </c>
      <c r="DL19" t="str">
        <f>IFERROR(__xludf.DUMMYFUNCTION("""COMPUTED_VALUE"""),"West Virginia")</f>
        <v>West Virginia</v>
      </c>
      <c r="DM19" t="str">
        <f>IFERROR(__xludf.DUMMYFUNCTION("""COMPUTED_VALUE"""),"Western Michigan")</f>
        <v>Western Michigan</v>
      </c>
      <c r="DN19" t="str">
        <f>IFERROR(__xludf.DUMMYFUNCTION("""COMPUTED_VALUE"""),"Wisconsin")</f>
        <v>Wisconsin</v>
      </c>
      <c r="DO19" t="str">
        <f>IFERROR(__xludf.DUMMYFUNCTION("""COMPUTED_VALUE"""),"Wyoming")</f>
        <v>Wyoming</v>
      </c>
    </row>
    <row r="20">
      <c r="A20" s="1">
        <v>19.0</v>
      </c>
      <c r="B20" t="str">
        <f>IFERROR(__xludf.DUMMYFUNCTION("split(join("","",sort(byrow('Teams-Conference'!A$2:A1000,lambda(rw,if(iserror(match(rw,DraftTracker!F$1:F20,0)),rw,""""))),1,1)),"","",1,1)"),"Air Force")</f>
        <v>Air Force</v>
      </c>
      <c r="C20" t="str">
        <f>IFERROR(__xludf.DUMMYFUNCTION("""COMPUTED_VALUE"""),"Akron")</f>
        <v>Akron</v>
      </c>
      <c r="D20" t="str">
        <f>IFERROR(__xludf.DUMMYFUNCTION("""COMPUTED_VALUE"""),"Alabama")</f>
        <v>Alabama</v>
      </c>
      <c r="E20" t="str">
        <f>IFERROR(__xludf.DUMMYFUNCTION("""COMPUTED_VALUE"""),"Appalachian State")</f>
        <v>Appalachian State</v>
      </c>
      <c r="F20" t="str">
        <f>IFERROR(__xludf.DUMMYFUNCTION("""COMPUTED_VALUE"""),"Arizona")</f>
        <v>Arizona</v>
      </c>
      <c r="G20" t="str">
        <f>IFERROR(__xludf.DUMMYFUNCTION("""COMPUTED_VALUE"""),"Arizona State")</f>
        <v>Arizona State</v>
      </c>
      <c r="H20" t="str">
        <f>IFERROR(__xludf.DUMMYFUNCTION("""COMPUTED_VALUE"""),"Arkansas")</f>
        <v>Arkansas</v>
      </c>
      <c r="I20" t="str">
        <f>IFERROR(__xludf.DUMMYFUNCTION("""COMPUTED_VALUE"""),"Arkansas State")</f>
        <v>Arkansas State</v>
      </c>
      <c r="J20" t="str">
        <f>IFERROR(__xludf.DUMMYFUNCTION("""COMPUTED_VALUE"""),"Army")</f>
        <v>Army</v>
      </c>
      <c r="K20" t="str">
        <f>IFERROR(__xludf.DUMMYFUNCTION("""COMPUTED_VALUE"""),"Auburn")</f>
        <v>Auburn</v>
      </c>
      <c r="L20" t="str">
        <f>IFERROR(__xludf.DUMMYFUNCTION("""COMPUTED_VALUE"""),"Ball State")</f>
        <v>Ball State</v>
      </c>
      <c r="M20" t="str">
        <f>IFERROR(__xludf.DUMMYFUNCTION("""COMPUTED_VALUE"""),"Baylor")</f>
        <v>Baylor</v>
      </c>
      <c r="N20" t="str">
        <f>IFERROR(__xludf.DUMMYFUNCTION("""COMPUTED_VALUE"""),"Boston College")</f>
        <v>Boston College</v>
      </c>
      <c r="O20" t="str">
        <f>IFERROR(__xludf.DUMMYFUNCTION("""COMPUTED_VALUE"""),"Bowling Green")</f>
        <v>Bowling Green</v>
      </c>
      <c r="P20" t="str">
        <f>IFERROR(__xludf.DUMMYFUNCTION("""COMPUTED_VALUE"""),"BYU")</f>
        <v>BYU</v>
      </c>
      <c r="Q20" t="str">
        <f>IFERROR(__xludf.DUMMYFUNCTION("""COMPUTED_VALUE"""),"California")</f>
        <v>California</v>
      </c>
      <c r="R20" t="str">
        <f>IFERROR(__xludf.DUMMYFUNCTION("""COMPUTED_VALUE"""),"Central Michigan")</f>
        <v>Central Michigan</v>
      </c>
      <c r="S20" t="str">
        <f>IFERROR(__xludf.DUMMYFUNCTION("""COMPUTED_VALUE"""),"Charlotte")</f>
        <v>Charlotte</v>
      </c>
      <c r="T20" t="str">
        <f>IFERROR(__xludf.DUMMYFUNCTION("""COMPUTED_VALUE"""),"Cincinnati")</f>
        <v>Cincinnati</v>
      </c>
      <c r="U20" t="str">
        <f>IFERROR(__xludf.DUMMYFUNCTION("""COMPUTED_VALUE"""),"Coastal Carolina")</f>
        <v>Coastal Carolina</v>
      </c>
      <c r="V20" t="str">
        <f>IFERROR(__xludf.DUMMYFUNCTION("""COMPUTED_VALUE"""),"Colorado")</f>
        <v>Colorado</v>
      </c>
      <c r="W20" t="str">
        <f>IFERROR(__xludf.DUMMYFUNCTION("""COMPUTED_VALUE"""),"Colorado State")</f>
        <v>Colorado State</v>
      </c>
      <c r="X20" t="str">
        <f>IFERROR(__xludf.DUMMYFUNCTION("""COMPUTED_VALUE"""),"Delaware")</f>
        <v>Delaware</v>
      </c>
      <c r="Y20" t="str">
        <f>IFERROR(__xludf.DUMMYFUNCTION("""COMPUTED_VALUE"""),"Duke")</f>
        <v>Duke</v>
      </c>
      <c r="Z20" t="str">
        <f>IFERROR(__xludf.DUMMYFUNCTION("""COMPUTED_VALUE"""),"East Carolina")</f>
        <v>East Carolina</v>
      </c>
      <c r="AA20" t="str">
        <f>IFERROR(__xludf.DUMMYFUNCTION("""COMPUTED_VALUE"""),"EMU")</f>
        <v>EMU</v>
      </c>
      <c r="AB20" t="str">
        <f>IFERROR(__xludf.DUMMYFUNCTION("""COMPUTED_VALUE"""),"Florida")</f>
        <v>Florida</v>
      </c>
      <c r="AC20" t="str">
        <f>IFERROR(__xludf.DUMMYFUNCTION("""COMPUTED_VALUE"""),"Florida Atlantic")</f>
        <v>Florida Atlantic</v>
      </c>
      <c r="AD20" t="str">
        <f>IFERROR(__xludf.DUMMYFUNCTION("""COMPUTED_VALUE"""),"Florida Intl")</f>
        <v>Florida Intl</v>
      </c>
      <c r="AE20" t="str">
        <f>IFERROR(__xludf.DUMMYFUNCTION("""COMPUTED_VALUE"""),"Florida State")</f>
        <v>Florida State</v>
      </c>
      <c r="AF20" t="str">
        <f>IFERROR(__xludf.DUMMYFUNCTION("""COMPUTED_VALUE"""),"Fresno State")</f>
        <v>Fresno State</v>
      </c>
      <c r="AG20" t="str">
        <f>IFERROR(__xludf.DUMMYFUNCTION("""COMPUTED_VALUE"""),"Georgia Southern")</f>
        <v>Georgia Southern</v>
      </c>
      <c r="AH20" t="str">
        <f>IFERROR(__xludf.DUMMYFUNCTION("""COMPUTED_VALUE"""),"Georgia State")</f>
        <v>Georgia State</v>
      </c>
      <c r="AI20" t="str">
        <f>IFERROR(__xludf.DUMMYFUNCTION("""COMPUTED_VALUE"""),"Georgia Tech")</f>
        <v>Georgia Tech</v>
      </c>
      <c r="AJ20" t="str">
        <f>IFERROR(__xludf.DUMMYFUNCTION("""COMPUTED_VALUE"""),"Hawaii")</f>
        <v>Hawaii</v>
      </c>
      <c r="AK20" t="str">
        <f>IFERROR(__xludf.DUMMYFUNCTION("""COMPUTED_VALUE"""),"Houston")</f>
        <v>Houston</v>
      </c>
      <c r="AL20" t="str">
        <f>IFERROR(__xludf.DUMMYFUNCTION("""COMPUTED_VALUE"""),"Illinois")</f>
        <v>Illinois</v>
      </c>
      <c r="AM20" t="str">
        <f>IFERROR(__xludf.DUMMYFUNCTION("""COMPUTED_VALUE"""),"Indiana")</f>
        <v>Indiana</v>
      </c>
      <c r="AN20" t="str">
        <f>IFERROR(__xludf.DUMMYFUNCTION("""COMPUTED_VALUE"""),"Iowa")</f>
        <v>Iowa</v>
      </c>
      <c r="AO20" t="str">
        <f>IFERROR(__xludf.DUMMYFUNCTION("""COMPUTED_VALUE"""),"Iowa State")</f>
        <v>Iowa State</v>
      </c>
      <c r="AP20" t="str">
        <f>IFERROR(__xludf.DUMMYFUNCTION("""COMPUTED_VALUE"""),"Jacksonville State")</f>
        <v>Jacksonville State</v>
      </c>
      <c r="AQ20" t="str">
        <f>IFERROR(__xludf.DUMMYFUNCTION("""COMPUTED_VALUE"""),"Kansas")</f>
        <v>Kansas</v>
      </c>
      <c r="AR20" t="str">
        <f>IFERROR(__xludf.DUMMYFUNCTION("""COMPUTED_VALUE"""),"Kansas State")</f>
        <v>Kansas State</v>
      </c>
      <c r="AS20" t="str">
        <f>IFERROR(__xludf.DUMMYFUNCTION("""COMPUTED_VALUE"""),"Kennesaw State")</f>
        <v>Kennesaw State</v>
      </c>
      <c r="AT20" t="str">
        <f>IFERROR(__xludf.DUMMYFUNCTION("""COMPUTED_VALUE"""),"Kent State")</f>
        <v>Kent State</v>
      </c>
      <c r="AU20" t="str">
        <f>IFERROR(__xludf.DUMMYFUNCTION("""COMPUTED_VALUE"""),"Kentucky")</f>
        <v>Kentucky</v>
      </c>
      <c r="AV20" t="str">
        <f>IFERROR(__xludf.DUMMYFUNCTION("""COMPUTED_VALUE"""),"Louisiana Tech")</f>
        <v>Louisiana Tech</v>
      </c>
      <c r="AW20" t="str">
        <f>IFERROR(__xludf.DUMMYFUNCTION("""COMPUTED_VALUE"""),"Louisville")</f>
        <v>Louisville</v>
      </c>
      <c r="AX20" t="str">
        <f>IFERROR(__xludf.DUMMYFUNCTION("""COMPUTED_VALUE"""),"LSU")</f>
        <v>LSU</v>
      </c>
      <c r="AY20" t="str">
        <f>IFERROR(__xludf.DUMMYFUNCTION("""COMPUTED_VALUE"""),"Marshall")</f>
        <v>Marshall</v>
      </c>
      <c r="AZ20" t="str">
        <f>IFERROR(__xludf.DUMMYFUNCTION("""COMPUTED_VALUE"""),"Maryland")</f>
        <v>Maryland</v>
      </c>
      <c r="BA20" t="str">
        <f>IFERROR(__xludf.DUMMYFUNCTION("""COMPUTED_VALUE"""),"Miami-OH")</f>
        <v>Miami-OH</v>
      </c>
      <c r="BB20" t="str">
        <f>IFERROR(__xludf.DUMMYFUNCTION("""COMPUTED_VALUE"""),"Michigan")</f>
        <v>Michigan</v>
      </c>
      <c r="BC20" t="str">
        <f>IFERROR(__xludf.DUMMYFUNCTION("""COMPUTED_VALUE"""),"Michigan State")</f>
        <v>Michigan State</v>
      </c>
      <c r="BD20" t="str">
        <f>IFERROR(__xludf.DUMMYFUNCTION("""COMPUTED_VALUE"""),"Middle Tennessee")</f>
        <v>Middle Tennessee</v>
      </c>
      <c r="BE20" t="str">
        <f>IFERROR(__xludf.DUMMYFUNCTION("""COMPUTED_VALUE"""),"Minnesota")</f>
        <v>Minnesota</v>
      </c>
      <c r="BF20" t="str">
        <f>IFERROR(__xludf.DUMMYFUNCTION("""COMPUTED_VALUE"""),"Mississippi State")</f>
        <v>Mississippi State</v>
      </c>
      <c r="BG20" t="str">
        <f>IFERROR(__xludf.DUMMYFUNCTION("""COMPUTED_VALUE"""),"Missouri")</f>
        <v>Missouri</v>
      </c>
      <c r="BH20" t="str">
        <f>IFERROR(__xludf.DUMMYFUNCTION("""COMPUTED_VALUE"""),"Missouri State")</f>
        <v>Missouri State</v>
      </c>
      <c r="BI20" t="str">
        <f>IFERROR(__xludf.DUMMYFUNCTION("""COMPUTED_VALUE"""),"NC State")</f>
        <v>NC State</v>
      </c>
      <c r="BJ20" t="str">
        <f>IFERROR(__xludf.DUMMYFUNCTION("""COMPUTED_VALUE"""),"Nebraska")</f>
        <v>Nebraska</v>
      </c>
      <c r="BK20" t="str">
        <f>IFERROR(__xludf.DUMMYFUNCTION("""COMPUTED_VALUE"""),"Nevada")</f>
        <v>Nevada</v>
      </c>
      <c r="BL20" t="str">
        <f>IFERROR(__xludf.DUMMYFUNCTION("""COMPUTED_VALUE"""),"New Mexico")</f>
        <v>New Mexico</v>
      </c>
      <c r="BM20" t="str">
        <f>IFERROR(__xludf.DUMMYFUNCTION("""COMPUTED_VALUE"""),"New Mexico State")</f>
        <v>New Mexico State</v>
      </c>
      <c r="BN20" t="str">
        <f>IFERROR(__xludf.DUMMYFUNCTION("""COMPUTED_VALUE"""),"North Carolina")</f>
        <v>North Carolina</v>
      </c>
      <c r="BO20" t="str">
        <f>IFERROR(__xludf.DUMMYFUNCTION("""COMPUTED_VALUE"""),"North Texas")</f>
        <v>North Texas</v>
      </c>
      <c r="BP20" t="str">
        <f>IFERROR(__xludf.DUMMYFUNCTION("""COMPUTED_VALUE"""),"Northern Illinois")</f>
        <v>Northern Illinois</v>
      </c>
      <c r="BQ20" t="str">
        <f>IFERROR(__xludf.DUMMYFUNCTION("""COMPUTED_VALUE"""),"Northwestern")</f>
        <v>Northwestern</v>
      </c>
      <c r="BR20" t="str">
        <f>IFERROR(__xludf.DUMMYFUNCTION("""COMPUTED_VALUE"""),"Ohio")</f>
        <v>Ohio</v>
      </c>
      <c r="BS20" t="str">
        <f>IFERROR(__xludf.DUMMYFUNCTION("""COMPUTED_VALUE"""),"Oklahoma")</f>
        <v>Oklahoma</v>
      </c>
      <c r="BT20" t="str">
        <f>IFERROR(__xludf.DUMMYFUNCTION("""COMPUTED_VALUE"""),"Oklahoma State")</f>
        <v>Oklahoma State</v>
      </c>
      <c r="BU20" t="str">
        <f>IFERROR(__xludf.DUMMYFUNCTION("""COMPUTED_VALUE"""),"Old Dominion")</f>
        <v>Old Dominion</v>
      </c>
      <c r="BV20" t="str">
        <f>IFERROR(__xludf.DUMMYFUNCTION("""COMPUTED_VALUE"""),"Ole Miss")</f>
        <v>Ole Miss</v>
      </c>
      <c r="BW20" t="str">
        <f>IFERROR(__xludf.DUMMYFUNCTION("""COMPUTED_VALUE"""),"Oregon State")</f>
        <v>Oregon State</v>
      </c>
      <c r="BX20" t="str">
        <f>IFERROR(__xludf.DUMMYFUNCTION("""COMPUTED_VALUE"""),"Pittsburgh")</f>
        <v>Pittsburgh</v>
      </c>
      <c r="BY20" t="str">
        <f>IFERROR(__xludf.DUMMYFUNCTION("""COMPUTED_VALUE"""),"Purdue")</f>
        <v>Purdue</v>
      </c>
      <c r="BZ20" t="str">
        <f>IFERROR(__xludf.DUMMYFUNCTION("""COMPUTED_VALUE"""),"Rice")</f>
        <v>Rice</v>
      </c>
      <c r="CA20" t="str">
        <f>IFERROR(__xludf.DUMMYFUNCTION("""COMPUTED_VALUE"""),"Rutgers")</f>
        <v>Rutgers</v>
      </c>
      <c r="CB20" t="str">
        <f>IFERROR(__xludf.DUMMYFUNCTION("""COMPUTED_VALUE"""),"Sam Houston")</f>
        <v>Sam Houston</v>
      </c>
      <c r="CC20" t="str">
        <f>IFERROR(__xludf.DUMMYFUNCTION("""COMPUTED_VALUE"""),"San Diego State")</f>
        <v>San Diego State</v>
      </c>
      <c r="CD20" t="str">
        <f>IFERROR(__xludf.DUMMYFUNCTION("""COMPUTED_VALUE"""),"SMU")</f>
        <v>SMU</v>
      </c>
      <c r="CE20" t="str">
        <f>IFERROR(__xludf.DUMMYFUNCTION("""COMPUTED_VALUE"""),"South Alabama")</f>
        <v>South Alabama</v>
      </c>
      <c r="CF20" t="str">
        <f>IFERROR(__xludf.DUMMYFUNCTION("""COMPUTED_VALUE"""),"South Carolina")</f>
        <v>South Carolina</v>
      </c>
      <c r="CG20" t="str">
        <f>IFERROR(__xludf.DUMMYFUNCTION("""COMPUTED_VALUE"""),"South Florida")</f>
        <v>South Florida</v>
      </c>
      <c r="CH20" t="str">
        <f>IFERROR(__xludf.DUMMYFUNCTION("""COMPUTED_VALUE"""),"Southern Mississippi")</f>
        <v>Southern Mississippi</v>
      </c>
      <c r="CI20" t="str">
        <f>IFERROR(__xludf.DUMMYFUNCTION("""COMPUTED_VALUE"""),"Stanford")</f>
        <v>Stanford</v>
      </c>
      <c r="CJ20" t="str">
        <f>IFERROR(__xludf.DUMMYFUNCTION("""COMPUTED_VALUE"""),"Syracuse")</f>
        <v>Syracuse</v>
      </c>
      <c r="CK20" t="str">
        <f>IFERROR(__xludf.DUMMYFUNCTION("""COMPUTED_VALUE"""),"TCU")</f>
        <v>TCU</v>
      </c>
      <c r="CL20" t="str">
        <f>IFERROR(__xludf.DUMMYFUNCTION("""COMPUTED_VALUE"""),"Temple")</f>
        <v>Temple</v>
      </c>
      <c r="CM20" t="str">
        <f>IFERROR(__xludf.DUMMYFUNCTION("""COMPUTED_VALUE"""),"Tennessee")</f>
        <v>Tennessee</v>
      </c>
      <c r="CN20" t="str">
        <f>IFERROR(__xludf.DUMMYFUNCTION("""COMPUTED_VALUE"""),"Texas A&amp;M")</f>
        <v>Texas A&amp;M</v>
      </c>
      <c r="CO20" t="str">
        <f>IFERROR(__xludf.DUMMYFUNCTION("""COMPUTED_VALUE"""),"Texas State")</f>
        <v>Texas State</v>
      </c>
      <c r="CP20" t="str">
        <f>IFERROR(__xludf.DUMMYFUNCTION("""COMPUTED_VALUE"""),"Texas Tech")</f>
        <v>Texas Tech</v>
      </c>
      <c r="CQ20" t="str">
        <f>IFERROR(__xludf.DUMMYFUNCTION("""COMPUTED_VALUE"""),"Troy")</f>
        <v>Troy</v>
      </c>
      <c r="CR20" t="str">
        <f>IFERROR(__xludf.DUMMYFUNCTION("""COMPUTED_VALUE"""),"Tulsa")</f>
        <v>Tulsa</v>
      </c>
      <c r="CS20" t="str">
        <f>IFERROR(__xludf.DUMMYFUNCTION("""COMPUTED_VALUE"""),"UAB")</f>
        <v>UAB</v>
      </c>
      <c r="CT20" t="str">
        <f>IFERROR(__xludf.DUMMYFUNCTION("""COMPUTED_VALUE"""),"UCF")</f>
        <v>UCF</v>
      </c>
      <c r="CU20" t="str">
        <f>IFERROR(__xludf.DUMMYFUNCTION("""COMPUTED_VALUE"""),"UCLA")</f>
        <v>UCLA</v>
      </c>
      <c r="CV20" t="str">
        <f>IFERROR(__xludf.DUMMYFUNCTION("""COMPUTED_VALUE"""),"UConn")</f>
        <v>UConn</v>
      </c>
      <c r="CW20" t="str">
        <f>IFERROR(__xludf.DUMMYFUNCTION("""COMPUTED_VALUE"""),"UL Lafayette")</f>
        <v>UL Lafayette</v>
      </c>
      <c r="CX20" t="str">
        <f>IFERROR(__xludf.DUMMYFUNCTION("""COMPUTED_VALUE"""),"UL Monroe")</f>
        <v>UL Monroe</v>
      </c>
      <c r="CY20" t="str">
        <f>IFERROR(__xludf.DUMMYFUNCTION("""COMPUTED_VALUE"""),"UMASS")</f>
        <v>UMASS</v>
      </c>
      <c r="CZ20" t="str">
        <f>IFERROR(__xludf.DUMMYFUNCTION("""COMPUTED_VALUE"""),"USC")</f>
        <v>USC</v>
      </c>
      <c r="DA20" t="str">
        <f>IFERROR(__xludf.DUMMYFUNCTION("""COMPUTED_VALUE"""),"Utah")</f>
        <v>Utah</v>
      </c>
      <c r="DB20" t="str">
        <f>IFERROR(__xludf.DUMMYFUNCTION("""COMPUTED_VALUE"""),"Utah State")</f>
        <v>Utah State</v>
      </c>
      <c r="DC20" t="str">
        <f>IFERROR(__xludf.DUMMYFUNCTION("""COMPUTED_VALUE"""),"UTEP")</f>
        <v>UTEP</v>
      </c>
      <c r="DD20" t="str">
        <f>IFERROR(__xludf.DUMMYFUNCTION("""COMPUTED_VALUE"""),"UTSA")</f>
        <v>UTSA</v>
      </c>
      <c r="DE20" t="str">
        <f>IFERROR(__xludf.DUMMYFUNCTION("""COMPUTED_VALUE"""),"Vanderbilt")</f>
        <v>Vanderbilt</v>
      </c>
      <c r="DF20" t="str">
        <f>IFERROR(__xludf.DUMMYFUNCTION("""COMPUTED_VALUE"""),"Virginia")</f>
        <v>Virginia</v>
      </c>
      <c r="DG20" t="str">
        <f>IFERROR(__xludf.DUMMYFUNCTION("""COMPUTED_VALUE"""),"Virginia Tech")</f>
        <v>Virginia Tech</v>
      </c>
      <c r="DH20" t="str">
        <f>IFERROR(__xludf.DUMMYFUNCTION("""COMPUTED_VALUE"""),"Wake Forest")</f>
        <v>Wake Forest</v>
      </c>
      <c r="DI20" t="str">
        <f>IFERROR(__xludf.DUMMYFUNCTION("""COMPUTED_VALUE"""),"Washington")</f>
        <v>Washington</v>
      </c>
      <c r="DJ20" t="str">
        <f>IFERROR(__xludf.DUMMYFUNCTION("""COMPUTED_VALUE"""),"Washington State")</f>
        <v>Washington State</v>
      </c>
      <c r="DK20" t="str">
        <f>IFERROR(__xludf.DUMMYFUNCTION("""COMPUTED_VALUE"""),"West Virginia")</f>
        <v>West Virginia</v>
      </c>
      <c r="DL20" t="str">
        <f>IFERROR(__xludf.DUMMYFUNCTION("""COMPUTED_VALUE"""),"Western Michigan")</f>
        <v>Western Michigan</v>
      </c>
      <c r="DM20" t="str">
        <f>IFERROR(__xludf.DUMMYFUNCTION("""COMPUTED_VALUE"""),"Wisconsin")</f>
        <v>Wisconsin</v>
      </c>
      <c r="DN20" t="str">
        <f>IFERROR(__xludf.DUMMYFUNCTION("""COMPUTED_VALUE"""),"Wyoming")</f>
        <v>Wyoming</v>
      </c>
    </row>
    <row r="21">
      <c r="A21" s="1">
        <v>20.0</v>
      </c>
      <c r="B21" t="str">
        <f>IFERROR(__xludf.DUMMYFUNCTION("split(join("","",sort(byrow('Teams-Conference'!A$2:A1000,lambda(rw,if(iserror(match(rw,DraftTracker!F$1:F21,0)),rw,""""))),1,1)),"","",1,1)"),"Air Force")</f>
        <v>Air Force</v>
      </c>
      <c r="C21" t="str">
        <f>IFERROR(__xludf.DUMMYFUNCTION("""COMPUTED_VALUE"""),"Akron")</f>
        <v>Akron</v>
      </c>
      <c r="D21" t="str">
        <f>IFERROR(__xludf.DUMMYFUNCTION("""COMPUTED_VALUE"""),"Alabama")</f>
        <v>Alabama</v>
      </c>
      <c r="E21" t="str">
        <f>IFERROR(__xludf.DUMMYFUNCTION("""COMPUTED_VALUE"""),"Appalachian State")</f>
        <v>Appalachian State</v>
      </c>
      <c r="F21" t="str">
        <f>IFERROR(__xludf.DUMMYFUNCTION("""COMPUTED_VALUE"""),"Arizona")</f>
        <v>Arizona</v>
      </c>
      <c r="G21" t="str">
        <f>IFERROR(__xludf.DUMMYFUNCTION("""COMPUTED_VALUE"""),"Arizona State")</f>
        <v>Arizona State</v>
      </c>
      <c r="H21" t="str">
        <f>IFERROR(__xludf.DUMMYFUNCTION("""COMPUTED_VALUE"""),"Arkansas")</f>
        <v>Arkansas</v>
      </c>
      <c r="I21" t="str">
        <f>IFERROR(__xludf.DUMMYFUNCTION("""COMPUTED_VALUE"""),"Arkansas State")</f>
        <v>Arkansas State</v>
      </c>
      <c r="J21" t="str">
        <f>IFERROR(__xludf.DUMMYFUNCTION("""COMPUTED_VALUE"""),"Army")</f>
        <v>Army</v>
      </c>
      <c r="K21" t="str">
        <f>IFERROR(__xludf.DUMMYFUNCTION("""COMPUTED_VALUE"""),"Auburn")</f>
        <v>Auburn</v>
      </c>
      <c r="L21" t="str">
        <f>IFERROR(__xludf.DUMMYFUNCTION("""COMPUTED_VALUE"""),"Ball State")</f>
        <v>Ball State</v>
      </c>
      <c r="M21" t="str">
        <f>IFERROR(__xludf.DUMMYFUNCTION("""COMPUTED_VALUE"""),"Baylor")</f>
        <v>Baylor</v>
      </c>
      <c r="N21" t="str">
        <f>IFERROR(__xludf.DUMMYFUNCTION("""COMPUTED_VALUE"""),"Boston College")</f>
        <v>Boston College</v>
      </c>
      <c r="O21" t="str">
        <f>IFERROR(__xludf.DUMMYFUNCTION("""COMPUTED_VALUE"""),"Bowling Green")</f>
        <v>Bowling Green</v>
      </c>
      <c r="P21" t="str">
        <f>IFERROR(__xludf.DUMMYFUNCTION("""COMPUTED_VALUE"""),"BYU")</f>
        <v>BYU</v>
      </c>
      <c r="Q21" t="str">
        <f>IFERROR(__xludf.DUMMYFUNCTION("""COMPUTED_VALUE"""),"California")</f>
        <v>California</v>
      </c>
      <c r="R21" t="str">
        <f>IFERROR(__xludf.DUMMYFUNCTION("""COMPUTED_VALUE"""),"Central Michigan")</f>
        <v>Central Michigan</v>
      </c>
      <c r="S21" t="str">
        <f>IFERROR(__xludf.DUMMYFUNCTION("""COMPUTED_VALUE"""),"Charlotte")</f>
        <v>Charlotte</v>
      </c>
      <c r="T21" t="str">
        <f>IFERROR(__xludf.DUMMYFUNCTION("""COMPUTED_VALUE"""),"Cincinnati")</f>
        <v>Cincinnati</v>
      </c>
      <c r="U21" t="str">
        <f>IFERROR(__xludf.DUMMYFUNCTION("""COMPUTED_VALUE"""),"Coastal Carolina")</f>
        <v>Coastal Carolina</v>
      </c>
      <c r="V21" t="str">
        <f>IFERROR(__xludf.DUMMYFUNCTION("""COMPUTED_VALUE"""),"Colorado")</f>
        <v>Colorado</v>
      </c>
      <c r="W21" t="str">
        <f>IFERROR(__xludf.DUMMYFUNCTION("""COMPUTED_VALUE"""),"Colorado State")</f>
        <v>Colorado State</v>
      </c>
      <c r="X21" t="str">
        <f>IFERROR(__xludf.DUMMYFUNCTION("""COMPUTED_VALUE"""),"Delaware")</f>
        <v>Delaware</v>
      </c>
      <c r="Y21" t="str">
        <f>IFERROR(__xludf.DUMMYFUNCTION("""COMPUTED_VALUE"""),"Duke")</f>
        <v>Duke</v>
      </c>
      <c r="Z21" t="str">
        <f>IFERROR(__xludf.DUMMYFUNCTION("""COMPUTED_VALUE"""),"East Carolina")</f>
        <v>East Carolina</v>
      </c>
      <c r="AA21" t="str">
        <f>IFERROR(__xludf.DUMMYFUNCTION("""COMPUTED_VALUE"""),"EMU")</f>
        <v>EMU</v>
      </c>
      <c r="AB21" t="str">
        <f>IFERROR(__xludf.DUMMYFUNCTION("""COMPUTED_VALUE"""),"Florida")</f>
        <v>Florida</v>
      </c>
      <c r="AC21" t="str">
        <f>IFERROR(__xludf.DUMMYFUNCTION("""COMPUTED_VALUE"""),"Florida Atlantic")</f>
        <v>Florida Atlantic</v>
      </c>
      <c r="AD21" t="str">
        <f>IFERROR(__xludf.DUMMYFUNCTION("""COMPUTED_VALUE"""),"Florida Intl")</f>
        <v>Florida Intl</v>
      </c>
      <c r="AE21" t="str">
        <f>IFERROR(__xludf.DUMMYFUNCTION("""COMPUTED_VALUE"""),"Florida State")</f>
        <v>Florida State</v>
      </c>
      <c r="AF21" t="str">
        <f>IFERROR(__xludf.DUMMYFUNCTION("""COMPUTED_VALUE"""),"Fresno State")</f>
        <v>Fresno State</v>
      </c>
      <c r="AG21" t="str">
        <f>IFERROR(__xludf.DUMMYFUNCTION("""COMPUTED_VALUE"""),"Georgia Southern")</f>
        <v>Georgia Southern</v>
      </c>
      <c r="AH21" t="str">
        <f>IFERROR(__xludf.DUMMYFUNCTION("""COMPUTED_VALUE"""),"Georgia State")</f>
        <v>Georgia State</v>
      </c>
      <c r="AI21" t="str">
        <f>IFERROR(__xludf.DUMMYFUNCTION("""COMPUTED_VALUE"""),"Georgia Tech")</f>
        <v>Georgia Tech</v>
      </c>
      <c r="AJ21" t="str">
        <f>IFERROR(__xludf.DUMMYFUNCTION("""COMPUTED_VALUE"""),"Hawaii")</f>
        <v>Hawaii</v>
      </c>
      <c r="AK21" t="str">
        <f>IFERROR(__xludf.DUMMYFUNCTION("""COMPUTED_VALUE"""),"Houston")</f>
        <v>Houston</v>
      </c>
      <c r="AL21" t="str">
        <f>IFERROR(__xludf.DUMMYFUNCTION("""COMPUTED_VALUE"""),"Illinois")</f>
        <v>Illinois</v>
      </c>
      <c r="AM21" t="str">
        <f>IFERROR(__xludf.DUMMYFUNCTION("""COMPUTED_VALUE"""),"Indiana")</f>
        <v>Indiana</v>
      </c>
      <c r="AN21" t="str">
        <f>IFERROR(__xludf.DUMMYFUNCTION("""COMPUTED_VALUE"""),"Iowa")</f>
        <v>Iowa</v>
      </c>
      <c r="AO21" t="str">
        <f>IFERROR(__xludf.DUMMYFUNCTION("""COMPUTED_VALUE"""),"Iowa State")</f>
        <v>Iowa State</v>
      </c>
      <c r="AP21" t="str">
        <f>IFERROR(__xludf.DUMMYFUNCTION("""COMPUTED_VALUE"""),"Jacksonville State")</f>
        <v>Jacksonville State</v>
      </c>
      <c r="AQ21" t="str">
        <f>IFERROR(__xludf.DUMMYFUNCTION("""COMPUTED_VALUE"""),"Kansas")</f>
        <v>Kansas</v>
      </c>
      <c r="AR21" t="str">
        <f>IFERROR(__xludf.DUMMYFUNCTION("""COMPUTED_VALUE"""),"Kansas State")</f>
        <v>Kansas State</v>
      </c>
      <c r="AS21" t="str">
        <f>IFERROR(__xludf.DUMMYFUNCTION("""COMPUTED_VALUE"""),"Kennesaw State")</f>
        <v>Kennesaw State</v>
      </c>
      <c r="AT21" t="str">
        <f>IFERROR(__xludf.DUMMYFUNCTION("""COMPUTED_VALUE"""),"Kent State")</f>
        <v>Kent State</v>
      </c>
      <c r="AU21" t="str">
        <f>IFERROR(__xludf.DUMMYFUNCTION("""COMPUTED_VALUE"""),"Kentucky")</f>
        <v>Kentucky</v>
      </c>
      <c r="AV21" t="str">
        <f>IFERROR(__xludf.DUMMYFUNCTION("""COMPUTED_VALUE"""),"Louisiana Tech")</f>
        <v>Louisiana Tech</v>
      </c>
      <c r="AW21" t="str">
        <f>IFERROR(__xludf.DUMMYFUNCTION("""COMPUTED_VALUE"""),"Louisville")</f>
        <v>Louisville</v>
      </c>
      <c r="AX21" t="str">
        <f>IFERROR(__xludf.DUMMYFUNCTION("""COMPUTED_VALUE"""),"LSU")</f>
        <v>LSU</v>
      </c>
      <c r="AY21" t="str">
        <f>IFERROR(__xludf.DUMMYFUNCTION("""COMPUTED_VALUE"""),"Marshall")</f>
        <v>Marshall</v>
      </c>
      <c r="AZ21" t="str">
        <f>IFERROR(__xludf.DUMMYFUNCTION("""COMPUTED_VALUE"""),"Maryland")</f>
        <v>Maryland</v>
      </c>
      <c r="BA21" t="str">
        <f>IFERROR(__xludf.DUMMYFUNCTION("""COMPUTED_VALUE"""),"Miami-OH")</f>
        <v>Miami-OH</v>
      </c>
      <c r="BB21" t="str">
        <f>IFERROR(__xludf.DUMMYFUNCTION("""COMPUTED_VALUE"""),"Michigan State")</f>
        <v>Michigan State</v>
      </c>
      <c r="BC21" t="str">
        <f>IFERROR(__xludf.DUMMYFUNCTION("""COMPUTED_VALUE"""),"Middle Tennessee")</f>
        <v>Middle Tennessee</v>
      </c>
      <c r="BD21" t="str">
        <f>IFERROR(__xludf.DUMMYFUNCTION("""COMPUTED_VALUE"""),"Minnesota")</f>
        <v>Minnesota</v>
      </c>
      <c r="BE21" t="str">
        <f>IFERROR(__xludf.DUMMYFUNCTION("""COMPUTED_VALUE"""),"Mississippi State")</f>
        <v>Mississippi State</v>
      </c>
      <c r="BF21" t="str">
        <f>IFERROR(__xludf.DUMMYFUNCTION("""COMPUTED_VALUE"""),"Missouri")</f>
        <v>Missouri</v>
      </c>
      <c r="BG21" t="str">
        <f>IFERROR(__xludf.DUMMYFUNCTION("""COMPUTED_VALUE"""),"Missouri State")</f>
        <v>Missouri State</v>
      </c>
      <c r="BH21" t="str">
        <f>IFERROR(__xludf.DUMMYFUNCTION("""COMPUTED_VALUE"""),"NC State")</f>
        <v>NC State</v>
      </c>
      <c r="BI21" t="str">
        <f>IFERROR(__xludf.DUMMYFUNCTION("""COMPUTED_VALUE"""),"Nebraska")</f>
        <v>Nebraska</v>
      </c>
      <c r="BJ21" t="str">
        <f>IFERROR(__xludf.DUMMYFUNCTION("""COMPUTED_VALUE"""),"Nevada")</f>
        <v>Nevada</v>
      </c>
      <c r="BK21" t="str">
        <f>IFERROR(__xludf.DUMMYFUNCTION("""COMPUTED_VALUE"""),"New Mexico")</f>
        <v>New Mexico</v>
      </c>
      <c r="BL21" t="str">
        <f>IFERROR(__xludf.DUMMYFUNCTION("""COMPUTED_VALUE"""),"New Mexico State")</f>
        <v>New Mexico State</v>
      </c>
      <c r="BM21" t="str">
        <f>IFERROR(__xludf.DUMMYFUNCTION("""COMPUTED_VALUE"""),"North Carolina")</f>
        <v>North Carolina</v>
      </c>
      <c r="BN21" t="str">
        <f>IFERROR(__xludf.DUMMYFUNCTION("""COMPUTED_VALUE"""),"North Texas")</f>
        <v>North Texas</v>
      </c>
      <c r="BO21" t="str">
        <f>IFERROR(__xludf.DUMMYFUNCTION("""COMPUTED_VALUE"""),"Northern Illinois")</f>
        <v>Northern Illinois</v>
      </c>
      <c r="BP21" t="str">
        <f>IFERROR(__xludf.DUMMYFUNCTION("""COMPUTED_VALUE"""),"Northwestern")</f>
        <v>Northwestern</v>
      </c>
      <c r="BQ21" t="str">
        <f>IFERROR(__xludf.DUMMYFUNCTION("""COMPUTED_VALUE"""),"Ohio")</f>
        <v>Ohio</v>
      </c>
      <c r="BR21" t="str">
        <f>IFERROR(__xludf.DUMMYFUNCTION("""COMPUTED_VALUE"""),"Oklahoma")</f>
        <v>Oklahoma</v>
      </c>
      <c r="BS21" t="str">
        <f>IFERROR(__xludf.DUMMYFUNCTION("""COMPUTED_VALUE"""),"Oklahoma State")</f>
        <v>Oklahoma State</v>
      </c>
      <c r="BT21" t="str">
        <f>IFERROR(__xludf.DUMMYFUNCTION("""COMPUTED_VALUE"""),"Old Dominion")</f>
        <v>Old Dominion</v>
      </c>
      <c r="BU21" t="str">
        <f>IFERROR(__xludf.DUMMYFUNCTION("""COMPUTED_VALUE"""),"Ole Miss")</f>
        <v>Ole Miss</v>
      </c>
      <c r="BV21" t="str">
        <f>IFERROR(__xludf.DUMMYFUNCTION("""COMPUTED_VALUE"""),"Oregon State")</f>
        <v>Oregon State</v>
      </c>
      <c r="BW21" t="str">
        <f>IFERROR(__xludf.DUMMYFUNCTION("""COMPUTED_VALUE"""),"Pittsburgh")</f>
        <v>Pittsburgh</v>
      </c>
      <c r="BX21" t="str">
        <f>IFERROR(__xludf.DUMMYFUNCTION("""COMPUTED_VALUE"""),"Purdue")</f>
        <v>Purdue</v>
      </c>
      <c r="BY21" t="str">
        <f>IFERROR(__xludf.DUMMYFUNCTION("""COMPUTED_VALUE"""),"Rice")</f>
        <v>Rice</v>
      </c>
      <c r="BZ21" t="str">
        <f>IFERROR(__xludf.DUMMYFUNCTION("""COMPUTED_VALUE"""),"Rutgers")</f>
        <v>Rutgers</v>
      </c>
      <c r="CA21" t="str">
        <f>IFERROR(__xludf.DUMMYFUNCTION("""COMPUTED_VALUE"""),"Sam Houston")</f>
        <v>Sam Houston</v>
      </c>
      <c r="CB21" t="str">
        <f>IFERROR(__xludf.DUMMYFUNCTION("""COMPUTED_VALUE"""),"San Diego State")</f>
        <v>San Diego State</v>
      </c>
      <c r="CC21" t="str">
        <f>IFERROR(__xludf.DUMMYFUNCTION("""COMPUTED_VALUE"""),"SMU")</f>
        <v>SMU</v>
      </c>
      <c r="CD21" t="str">
        <f>IFERROR(__xludf.DUMMYFUNCTION("""COMPUTED_VALUE"""),"South Alabama")</f>
        <v>South Alabama</v>
      </c>
      <c r="CE21" t="str">
        <f>IFERROR(__xludf.DUMMYFUNCTION("""COMPUTED_VALUE"""),"South Carolina")</f>
        <v>South Carolina</v>
      </c>
      <c r="CF21" t="str">
        <f>IFERROR(__xludf.DUMMYFUNCTION("""COMPUTED_VALUE"""),"South Florida")</f>
        <v>South Florida</v>
      </c>
      <c r="CG21" t="str">
        <f>IFERROR(__xludf.DUMMYFUNCTION("""COMPUTED_VALUE"""),"Southern Mississippi")</f>
        <v>Southern Mississippi</v>
      </c>
      <c r="CH21" t="str">
        <f>IFERROR(__xludf.DUMMYFUNCTION("""COMPUTED_VALUE"""),"Stanford")</f>
        <v>Stanford</v>
      </c>
      <c r="CI21" t="str">
        <f>IFERROR(__xludf.DUMMYFUNCTION("""COMPUTED_VALUE"""),"Syracuse")</f>
        <v>Syracuse</v>
      </c>
      <c r="CJ21" t="str">
        <f>IFERROR(__xludf.DUMMYFUNCTION("""COMPUTED_VALUE"""),"TCU")</f>
        <v>TCU</v>
      </c>
      <c r="CK21" t="str">
        <f>IFERROR(__xludf.DUMMYFUNCTION("""COMPUTED_VALUE"""),"Temple")</f>
        <v>Temple</v>
      </c>
      <c r="CL21" t="str">
        <f>IFERROR(__xludf.DUMMYFUNCTION("""COMPUTED_VALUE"""),"Tennessee")</f>
        <v>Tennessee</v>
      </c>
      <c r="CM21" t="str">
        <f>IFERROR(__xludf.DUMMYFUNCTION("""COMPUTED_VALUE"""),"Texas A&amp;M")</f>
        <v>Texas A&amp;M</v>
      </c>
      <c r="CN21" t="str">
        <f>IFERROR(__xludf.DUMMYFUNCTION("""COMPUTED_VALUE"""),"Texas State")</f>
        <v>Texas State</v>
      </c>
      <c r="CO21" t="str">
        <f>IFERROR(__xludf.DUMMYFUNCTION("""COMPUTED_VALUE"""),"Texas Tech")</f>
        <v>Texas Tech</v>
      </c>
      <c r="CP21" t="str">
        <f>IFERROR(__xludf.DUMMYFUNCTION("""COMPUTED_VALUE"""),"Troy")</f>
        <v>Troy</v>
      </c>
      <c r="CQ21" t="str">
        <f>IFERROR(__xludf.DUMMYFUNCTION("""COMPUTED_VALUE"""),"Tulsa")</f>
        <v>Tulsa</v>
      </c>
      <c r="CR21" t="str">
        <f>IFERROR(__xludf.DUMMYFUNCTION("""COMPUTED_VALUE"""),"UAB")</f>
        <v>UAB</v>
      </c>
      <c r="CS21" t="str">
        <f>IFERROR(__xludf.DUMMYFUNCTION("""COMPUTED_VALUE"""),"UCF")</f>
        <v>UCF</v>
      </c>
      <c r="CT21" t="str">
        <f>IFERROR(__xludf.DUMMYFUNCTION("""COMPUTED_VALUE"""),"UCLA")</f>
        <v>UCLA</v>
      </c>
      <c r="CU21" t="str">
        <f>IFERROR(__xludf.DUMMYFUNCTION("""COMPUTED_VALUE"""),"UConn")</f>
        <v>UConn</v>
      </c>
      <c r="CV21" t="str">
        <f>IFERROR(__xludf.DUMMYFUNCTION("""COMPUTED_VALUE"""),"UL Lafayette")</f>
        <v>UL Lafayette</v>
      </c>
      <c r="CW21" t="str">
        <f>IFERROR(__xludf.DUMMYFUNCTION("""COMPUTED_VALUE"""),"UL Monroe")</f>
        <v>UL Monroe</v>
      </c>
      <c r="CX21" t="str">
        <f>IFERROR(__xludf.DUMMYFUNCTION("""COMPUTED_VALUE"""),"UMASS")</f>
        <v>UMASS</v>
      </c>
      <c r="CY21" t="str">
        <f>IFERROR(__xludf.DUMMYFUNCTION("""COMPUTED_VALUE"""),"USC")</f>
        <v>USC</v>
      </c>
      <c r="CZ21" t="str">
        <f>IFERROR(__xludf.DUMMYFUNCTION("""COMPUTED_VALUE"""),"Utah")</f>
        <v>Utah</v>
      </c>
      <c r="DA21" t="str">
        <f>IFERROR(__xludf.DUMMYFUNCTION("""COMPUTED_VALUE"""),"Utah State")</f>
        <v>Utah State</v>
      </c>
      <c r="DB21" t="str">
        <f>IFERROR(__xludf.DUMMYFUNCTION("""COMPUTED_VALUE"""),"UTEP")</f>
        <v>UTEP</v>
      </c>
      <c r="DC21" t="str">
        <f>IFERROR(__xludf.DUMMYFUNCTION("""COMPUTED_VALUE"""),"UTSA")</f>
        <v>UTSA</v>
      </c>
      <c r="DD21" t="str">
        <f>IFERROR(__xludf.DUMMYFUNCTION("""COMPUTED_VALUE"""),"Vanderbilt")</f>
        <v>Vanderbilt</v>
      </c>
      <c r="DE21" t="str">
        <f>IFERROR(__xludf.DUMMYFUNCTION("""COMPUTED_VALUE"""),"Virginia")</f>
        <v>Virginia</v>
      </c>
      <c r="DF21" t="str">
        <f>IFERROR(__xludf.DUMMYFUNCTION("""COMPUTED_VALUE"""),"Virginia Tech")</f>
        <v>Virginia Tech</v>
      </c>
      <c r="DG21" t="str">
        <f>IFERROR(__xludf.DUMMYFUNCTION("""COMPUTED_VALUE"""),"Wake Forest")</f>
        <v>Wake Forest</v>
      </c>
      <c r="DH21" t="str">
        <f>IFERROR(__xludf.DUMMYFUNCTION("""COMPUTED_VALUE"""),"Washington")</f>
        <v>Washington</v>
      </c>
      <c r="DI21" t="str">
        <f>IFERROR(__xludf.DUMMYFUNCTION("""COMPUTED_VALUE"""),"Washington State")</f>
        <v>Washington State</v>
      </c>
      <c r="DJ21" t="str">
        <f>IFERROR(__xludf.DUMMYFUNCTION("""COMPUTED_VALUE"""),"West Virginia")</f>
        <v>West Virginia</v>
      </c>
      <c r="DK21" t="str">
        <f>IFERROR(__xludf.DUMMYFUNCTION("""COMPUTED_VALUE"""),"Western Michigan")</f>
        <v>Western Michigan</v>
      </c>
      <c r="DL21" t="str">
        <f>IFERROR(__xludf.DUMMYFUNCTION("""COMPUTED_VALUE"""),"Wisconsin")</f>
        <v>Wisconsin</v>
      </c>
      <c r="DM21" t="str">
        <f>IFERROR(__xludf.DUMMYFUNCTION("""COMPUTED_VALUE"""),"Wyoming")</f>
        <v>Wyoming</v>
      </c>
    </row>
    <row r="22">
      <c r="A22" s="1">
        <v>21.0</v>
      </c>
      <c r="B22" t="str">
        <f>IFERROR(__xludf.DUMMYFUNCTION("split(join("","",sort(byrow('Teams-Conference'!A$2:A1000,lambda(rw,if(iserror(match(rw,DraftTracker!F$1:F22,0)),rw,""""))),1,1)),"","",1,1)"),"Air Force")</f>
        <v>Air Force</v>
      </c>
      <c r="C22" t="str">
        <f>IFERROR(__xludf.DUMMYFUNCTION("""COMPUTED_VALUE"""),"Akron")</f>
        <v>Akron</v>
      </c>
      <c r="D22" t="str">
        <f>IFERROR(__xludf.DUMMYFUNCTION("""COMPUTED_VALUE"""),"Alabama")</f>
        <v>Alabama</v>
      </c>
      <c r="E22" t="str">
        <f>IFERROR(__xludf.DUMMYFUNCTION("""COMPUTED_VALUE"""),"Appalachian State")</f>
        <v>Appalachian State</v>
      </c>
      <c r="F22" t="str">
        <f>IFERROR(__xludf.DUMMYFUNCTION("""COMPUTED_VALUE"""),"Arizona")</f>
        <v>Arizona</v>
      </c>
      <c r="G22" t="str">
        <f>IFERROR(__xludf.DUMMYFUNCTION("""COMPUTED_VALUE"""),"Arizona State")</f>
        <v>Arizona State</v>
      </c>
      <c r="H22" t="str">
        <f>IFERROR(__xludf.DUMMYFUNCTION("""COMPUTED_VALUE"""),"Arkansas")</f>
        <v>Arkansas</v>
      </c>
      <c r="I22" t="str">
        <f>IFERROR(__xludf.DUMMYFUNCTION("""COMPUTED_VALUE"""),"Arkansas State")</f>
        <v>Arkansas State</v>
      </c>
      <c r="J22" t="str">
        <f>IFERROR(__xludf.DUMMYFUNCTION("""COMPUTED_VALUE"""),"Army")</f>
        <v>Army</v>
      </c>
      <c r="K22" t="str">
        <f>IFERROR(__xludf.DUMMYFUNCTION("""COMPUTED_VALUE"""),"Auburn")</f>
        <v>Auburn</v>
      </c>
      <c r="L22" t="str">
        <f>IFERROR(__xludf.DUMMYFUNCTION("""COMPUTED_VALUE"""),"Ball State")</f>
        <v>Ball State</v>
      </c>
      <c r="M22" t="str">
        <f>IFERROR(__xludf.DUMMYFUNCTION("""COMPUTED_VALUE"""),"Baylor")</f>
        <v>Baylor</v>
      </c>
      <c r="N22" t="str">
        <f>IFERROR(__xludf.DUMMYFUNCTION("""COMPUTED_VALUE"""),"Boston College")</f>
        <v>Boston College</v>
      </c>
      <c r="O22" t="str">
        <f>IFERROR(__xludf.DUMMYFUNCTION("""COMPUTED_VALUE"""),"Bowling Green")</f>
        <v>Bowling Green</v>
      </c>
      <c r="P22" t="str">
        <f>IFERROR(__xludf.DUMMYFUNCTION("""COMPUTED_VALUE"""),"BYU")</f>
        <v>BYU</v>
      </c>
      <c r="Q22" t="str">
        <f>IFERROR(__xludf.DUMMYFUNCTION("""COMPUTED_VALUE"""),"California")</f>
        <v>California</v>
      </c>
      <c r="R22" t="str">
        <f>IFERROR(__xludf.DUMMYFUNCTION("""COMPUTED_VALUE"""),"Central Michigan")</f>
        <v>Central Michigan</v>
      </c>
      <c r="S22" t="str">
        <f>IFERROR(__xludf.DUMMYFUNCTION("""COMPUTED_VALUE"""),"Charlotte")</f>
        <v>Charlotte</v>
      </c>
      <c r="T22" t="str">
        <f>IFERROR(__xludf.DUMMYFUNCTION("""COMPUTED_VALUE"""),"Cincinnati")</f>
        <v>Cincinnati</v>
      </c>
      <c r="U22" t="str">
        <f>IFERROR(__xludf.DUMMYFUNCTION("""COMPUTED_VALUE"""),"Coastal Carolina")</f>
        <v>Coastal Carolina</v>
      </c>
      <c r="V22" t="str">
        <f>IFERROR(__xludf.DUMMYFUNCTION("""COMPUTED_VALUE"""),"Colorado")</f>
        <v>Colorado</v>
      </c>
      <c r="W22" t="str">
        <f>IFERROR(__xludf.DUMMYFUNCTION("""COMPUTED_VALUE"""),"Colorado State")</f>
        <v>Colorado State</v>
      </c>
      <c r="X22" t="str">
        <f>IFERROR(__xludf.DUMMYFUNCTION("""COMPUTED_VALUE"""),"Delaware")</f>
        <v>Delaware</v>
      </c>
      <c r="Y22" t="str">
        <f>IFERROR(__xludf.DUMMYFUNCTION("""COMPUTED_VALUE"""),"Duke")</f>
        <v>Duke</v>
      </c>
      <c r="Z22" t="str">
        <f>IFERROR(__xludf.DUMMYFUNCTION("""COMPUTED_VALUE"""),"East Carolina")</f>
        <v>East Carolina</v>
      </c>
      <c r="AA22" t="str">
        <f>IFERROR(__xludf.DUMMYFUNCTION("""COMPUTED_VALUE"""),"EMU")</f>
        <v>EMU</v>
      </c>
      <c r="AB22" t="str">
        <f>IFERROR(__xludf.DUMMYFUNCTION("""COMPUTED_VALUE"""),"Florida")</f>
        <v>Florida</v>
      </c>
      <c r="AC22" t="str">
        <f>IFERROR(__xludf.DUMMYFUNCTION("""COMPUTED_VALUE"""),"Florida Atlantic")</f>
        <v>Florida Atlantic</v>
      </c>
      <c r="AD22" t="str">
        <f>IFERROR(__xludf.DUMMYFUNCTION("""COMPUTED_VALUE"""),"Florida Intl")</f>
        <v>Florida Intl</v>
      </c>
      <c r="AE22" t="str">
        <f>IFERROR(__xludf.DUMMYFUNCTION("""COMPUTED_VALUE"""),"Florida State")</f>
        <v>Florida State</v>
      </c>
      <c r="AF22" t="str">
        <f>IFERROR(__xludf.DUMMYFUNCTION("""COMPUTED_VALUE"""),"Fresno State")</f>
        <v>Fresno State</v>
      </c>
      <c r="AG22" t="str">
        <f>IFERROR(__xludf.DUMMYFUNCTION("""COMPUTED_VALUE"""),"Georgia Southern")</f>
        <v>Georgia Southern</v>
      </c>
      <c r="AH22" t="str">
        <f>IFERROR(__xludf.DUMMYFUNCTION("""COMPUTED_VALUE"""),"Georgia State")</f>
        <v>Georgia State</v>
      </c>
      <c r="AI22" t="str">
        <f>IFERROR(__xludf.DUMMYFUNCTION("""COMPUTED_VALUE"""),"Georgia Tech")</f>
        <v>Georgia Tech</v>
      </c>
      <c r="AJ22" t="str">
        <f>IFERROR(__xludf.DUMMYFUNCTION("""COMPUTED_VALUE"""),"Hawaii")</f>
        <v>Hawaii</v>
      </c>
      <c r="AK22" t="str">
        <f>IFERROR(__xludf.DUMMYFUNCTION("""COMPUTED_VALUE"""),"Houston")</f>
        <v>Houston</v>
      </c>
      <c r="AL22" t="str">
        <f>IFERROR(__xludf.DUMMYFUNCTION("""COMPUTED_VALUE"""),"Illinois")</f>
        <v>Illinois</v>
      </c>
      <c r="AM22" t="str">
        <f>IFERROR(__xludf.DUMMYFUNCTION("""COMPUTED_VALUE"""),"Indiana")</f>
        <v>Indiana</v>
      </c>
      <c r="AN22" t="str">
        <f>IFERROR(__xludf.DUMMYFUNCTION("""COMPUTED_VALUE"""),"Iowa")</f>
        <v>Iowa</v>
      </c>
      <c r="AO22" t="str">
        <f>IFERROR(__xludf.DUMMYFUNCTION("""COMPUTED_VALUE"""),"Iowa State")</f>
        <v>Iowa State</v>
      </c>
      <c r="AP22" t="str">
        <f>IFERROR(__xludf.DUMMYFUNCTION("""COMPUTED_VALUE"""),"Jacksonville State")</f>
        <v>Jacksonville State</v>
      </c>
      <c r="AQ22" t="str">
        <f>IFERROR(__xludf.DUMMYFUNCTION("""COMPUTED_VALUE"""),"Kansas")</f>
        <v>Kansas</v>
      </c>
      <c r="AR22" t="str">
        <f>IFERROR(__xludf.DUMMYFUNCTION("""COMPUTED_VALUE"""),"Kansas State")</f>
        <v>Kansas State</v>
      </c>
      <c r="AS22" t="str">
        <f>IFERROR(__xludf.DUMMYFUNCTION("""COMPUTED_VALUE"""),"Kennesaw State")</f>
        <v>Kennesaw State</v>
      </c>
      <c r="AT22" t="str">
        <f>IFERROR(__xludf.DUMMYFUNCTION("""COMPUTED_VALUE"""),"Kent State")</f>
        <v>Kent State</v>
      </c>
      <c r="AU22" t="str">
        <f>IFERROR(__xludf.DUMMYFUNCTION("""COMPUTED_VALUE"""),"Kentucky")</f>
        <v>Kentucky</v>
      </c>
      <c r="AV22" t="str">
        <f>IFERROR(__xludf.DUMMYFUNCTION("""COMPUTED_VALUE"""),"Louisiana Tech")</f>
        <v>Louisiana Tech</v>
      </c>
      <c r="AW22" t="str">
        <f>IFERROR(__xludf.DUMMYFUNCTION("""COMPUTED_VALUE"""),"Louisville")</f>
        <v>Louisville</v>
      </c>
      <c r="AX22" t="str">
        <f>IFERROR(__xludf.DUMMYFUNCTION("""COMPUTED_VALUE"""),"LSU")</f>
        <v>LSU</v>
      </c>
      <c r="AY22" t="str">
        <f>IFERROR(__xludf.DUMMYFUNCTION("""COMPUTED_VALUE"""),"Marshall")</f>
        <v>Marshall</v>
      </c>
      <c r="AZ22" t="str">
        <f>IFERROR(__xludf.DUMMYFUNCTION("""COMPUTED_VALUE"""),"Maryland")</f>
        <v>Maryland</v>
      </c>
      <c r="BA22" t="str">
        <f>IFERROR(__xludf.DUMMYFUNCTION("""COMPUTED_VALUE"""),"Miami-OH")</f>
        <v>Miami-OH</v>
      </c>
      <c r="BB22" t="str">
        <f>IFERROR(__xludf.DUMMYFUNCTION("""COMPUTED_VALUE"""),"Michigan State")</f>
        <v>Michigan State</v>
      </c>
      <c r="BC22" t="str">
        <f>IFERROR(__xludf.DUMMYFUNCTION("""COMPUTED_VALUE"""),"Middle Tennessee")</f>
        <v>Middle Tennessee</v>
      </c>
      <c r="BD22" t="str">
        <f>IFERROR(__xludf.DUMMYFUNCTION("""COMPUTED_VALUE"""),"Minnesota")</f>
        <v>Minnesota</v>
      </c>
      <c r="BE22" t="str">
        <f>IFERROR(__xludf.DUMMYFUNCTION("""COMPUTED_VALUE"""),"Mississippi State")</f>
        <v>Mississippi State</v>
      </c>
      <c r="BF22" t="str">
        <f>IFERROR(__xludf.DUMMYFUNCTION("""COMPUTED_VALUE"""),"Missouri")</f>
        <v>Missouri</v>
      </c>
      <c r="BG22" t="str">
        <f>IFERROR(__xludf.DUMMYFUNCTION("""COMPUTED_VALUE"""),"Missouri State")</f>
        <v>Missouri State</v>
      </c>
      <c r="BH22" t="str">
        <f>IFERROR(__xludf.DUMMYFUNCTION("""COMPUTED_VALUE"""),"NC State")</f>
        <v>NC State</v>
      </c>
      <c r="BI22" t="str">
        <f>IFERROR(__xludf.DUMMYFUNCTION("""COMPUTED_VALUE"""),"Nebraska")</f>
        <v>Nebraska</v>
      </c>
      <c r="BJ22" t="str">
        <f>IFERROR(__xludf.DUMMYFUNCTION("""COMPUTED_VALUE"""),"Nevada")</f>
        <v>Nevada</v>
      </c>
      <c r="BK22" t="str">
        <f>IFERROR(__xludf.DUMMYFUNCTION("""COMPUTED_VALUE"""),"New Mexico")</f>
        <v>New Mexico</v>
      </c>
      <c r="BL22" t="str">
        <f>IFERROR(__xludf.DUMMYFUNCTION("""COMPUTED_VALUE"""),"New Mexico State")</f>
        <v>New Mexico State</v>
      </c>
      <c r="BM22" t="str">
        <f>IFERROR(__xludf.DUMMYFUNCTION("""COMPUTED_VALUE"""),"North Carolina")</f>
        <v>North Carolina</v>
      </c>
      <c r="BN22" t="str">
        <f>IFERROR(__xludf.DUMMYFUNCTION("""COMPUTED_VALUE"""),"North Texas")</f>
        <v>North Texas</v>
      </c>
      <c r="BO22" t="str">
        <f>IFERROR(__xludf.DUMMYFUNCTION("""COMPUTED_VALUE"""),"Northern Illinois")</f>
        <v>Northern Illinois</v>
      </c>
      <c r="BP22" t="str">
        <f>IFERROR(__xludf.DUMMYFUNCTION("""COMPUTED_VALUE"""),"Northwestern")</f>
        <v>Northwestern</v>
      </c>
      <c r="BQ22" t="str">
        <f>IFERROR(__xludf.DUMMYFUNCTION("""COMPUTED_VALUE"""),"Ohio")</f>
        <v>Ohio</v>
      </c>
      <c r="BR22" t="str">
        <f>IFERROR(__xludf.DUMMYFUNCTION("""COMPUTED_VALUE"""),"Oklahoma")</f>
        <v>Oklahoma</v>
      </c>
      <c r="BS22" t="str">
        <f>IFERROR(__xludf.DUMMYFUNCTION("""COMPUTED_VALUE"""),"Oklahoma State")</f>
        <v>Oklahoma State</v>
      </c>
      <c r="BT22" t="str">
        <f>IFERROR(__xludf.DUMMYFUNCTION("""COMPUTED_VALUE"""),"Old Dominion")</f>
        <v>Old Dominion</v>
      </c>
      <c r="BU22" t="str">
        <f>IFERROR(__xludf.DUMMYFUNCTION("""COMPUTED_VALUE"""),"Ole Miss")</f>
        <v>Ole Miss</v>
      </c>
      <c r="BV22" t="str">
        <f>IFERROR(__xludf.DUMMYFUNCTION("""COMPUTED_VALUE"""),"Oregon State")</f>
        <v>Oregon State</v>
      </c>
      <c r="BW22" t="str">
        <f>IFERROR(__xludf.DUMMYFUNCTION("""COMPUTED_VALUE"""),"Pittsburgh")</f>
        <v>Pittsburgh</v>
      </c>
      <c r="BX22" t="str">
        <f>IFERROR(__xludf.DUMMYFUNCTION("""COMPUTED_VALUE"""),"Purdue")</f>
        <v>Purdue</v>
      </c>
      <c r="BY22" t="str">
        <f>IFERROR(__xludf.DUMMYFUNCTION("""COMPUTED_VALUE"""),"Rice")</f>
        <v>Rice</v>
      </c>
      <c r="BZ22" t="str">
        <f>IFERROR(__xludf.DUMMYFUNCTION("""COMPUTED_VALUE"""),"Rutgers")</f>
        <v>Rutgers</v>
      </c>
      <c r="CA22" t="str">
        <f>IFERROR(__xludf.DUMMYFUNCTION("""COMPUTED_VALUE"""),"Sam Houston")</f>
        <v>Sam Houston</v>
      </c>
      <c r="CB22" t="str">
        <f>IFERROR(__xludf.DUMMYFUNCTION("""COMPUTED_VALUE"""),"San Diego State")</f>
        <v>San Diego State</v>
      </c>
      <c r="CC22" t="str">
        <f>IFERROR(__xludf.DUMMYFUNCTION("""COMPUTED_VALUE"""),"South Alabama")</f>
        <v>South Alabama</v>
      </c>
      <c r="CD22" t="str">
        <f>IFERROR(__xludf.DUMMYFUNCTION("""COMPUTED_VALUE"""),"South Carolina")</f>
        <v>South Carolina</v>
      </c>
      <c r="CE22" t="str">
        <f>IFERROR(__xludf.DUMMYFUNCTION("""COMPUTED_VALUE"""),"South Florida")</f>
        <v>South Florida</v>
      </c>
      <c r="CF22" t="str">
        <f>IFERROR(__xludf.DUMMYFUNCTION("""COMPUTED_VALUE"""),"Southern Mississippi")</f>
        <v>Southern Mississippi</v>
      </c>
      <c r="CG22" t="str">
        <f>IFERROR(__xludf.DUMMYFUNCTION("""COMPUTED_VALUE"""),"Stanford")</f>
        <v>Stanford</v>
      </c>
      <c r="CH22" t="str">
        <f>IFERROR(__xludf.DUMMYFUNCTION("""COMPUTED_VALUE"""),"Syracuse")</f>
        <v>Syracuse</v>
      </c>
      <c r="CI22" t="str">
        <f>IFERROR(__xludf.DUMMYFUNCTION("""COMPUTED_VALUE"""),"TCU")</f>
        <v>TCU</v>
      </c>
      <c r="CJ22" t="str">
        <f>IFERROR(__xludf.DUMMYFUNCTION("""COMPUTED_VALUE"""),"Temple")</f>
        <v>Temple</v>
      </c>
      <c r="CK22" t="str">
        <f>IFERROR(__xludf.DUMMYFUNCTION("""COMPUTED_VALUE"""),"Tennessee")</f>
        <v>Tennessee</v>
      </c>
      <c r="CL22" t="str">
        <f>IFERROR(__xludf.DUMMYFUNCTION("""COMPUTED_VALUE"""),"Texas A&amp;M")</f>
        <v>Texas A&amp;M</v>
      </c>
      <c r="CM22" t="str">
        <f>IFERROR(__xludf.DUMMYFUNCTION("""COMPUTED_VALUE"""),"Texas State")</f>
        <v>Texas State</v>
      </c>
      <c r="CN22" t="str">
        <f>IFERROR(__xludf.DUMMYFUNCTION("""COMPUTED_VALUE"""),"Texas Tech")</f>
        <v>Texas Tech</v>
      </c>
      <c r="CO22" t="str">
        <f>IFERROR(__xludf.DUMMYFUNCTION("""COMPUTED_VALUE"""),"Troy")</f>
        <v>Troy</v>
      </c>
      <c r="CP22" t="str">
        <f>IFERROR(__xludf.DUMMYFUNCTION("""COMPUTED_VALUE"""),"Tulsa")</f>
        <v>Tulsa</v>
      </c>
      <c r="CQ22" t="str">
        <f>IFERROR(__xludf.DUMMYFUNCTION("""COMPUTED_VALUE"""),"UAB")</f>
        <v>UAB</v>
      </c>
      <c r="CR22" t="str">
        <f>IFERROR(__xludf.DUMMYFUNCTION("""COMPUTED_VALUE"""),"UCF")</f>
        <v>UCF</v>
      </c>
      <c r="CS22" t="str">
        <f>IFERROR(__xludf.DUMMYFUNCTION("""COMPUTED_VALUE"""),"UCLA")</f>
        <v>UCLA</v>
      </c>
      <c r="CT22" t="str">
        <f>IFERROR(__xludf.DUMMYFUNCTION("""COMPUTED_VALUE"""),"UConn")</f>
        <v>UConn</v>
      </c>
      <c r="CU22" t="str">
        <f>IFERROR(__xludf.DUMMYFUNCTION("""COMPUTED_VALUE"""),"UL Lafayette")</f>
        <v>UL Lafayette</v>
      </c>
      <c r="CV22" t="str">
        <f>IFERROR(__xludf.DUMMYFUNCTION("""COMPUTED_VALUE"""),"UL Monroe")</f>
        <v>UL Monroe</v>
      </c>
      <c r="CW22" t="str">
        <f>IFERROR(__xludf.DUMMYFUNCTION("""COMPUTED_VALUE"""),"UMASS")</f>
        <v>UMASS</v>
      </c>
      <c r="CX22" t="str">
        <f>IFERROR(__xludf.DUMMYFUNCTION("""COMPUTED_VALUE"""),"USC")</f>
        <v>USC</v>
      </c>
      <c r="CY22" t="str">
        <f>IFERROR(__xludf.DUMMYFUNCTION("""COMPUTED_VALUE"""),"Utah")</f>
        <v>Utah</v>
      </c>
      <c r="CZ22" t="str">
        <f>IFERROR(__xludf.DUMMYFUNCTION("""COMPUTED_VALUE"""),"Utah State")</f>
        <v>Utah State</v>
      </c>
      <c r="DA22" t="str">
        <f>IFERROR(__xludf.DUMMYFUNCTION("""COMPUTED_VALUE"""),"UTEP")</f>
        <v>UTEP</v>
      </c>
      <c r="DB22" t="str">
        <f>IFERROR(__xludf.DUMMYFUNCTION("""COMPUTED_VALUE"""),"UTSA")</f>
        <v>UTSA</v>
      </c>
      <c r="DC22" t="str">
        <f>IFERROR(__xludf.DUMMYFUNCTION("""COMPUTED_VALUE"""),"Vanderbilt")</f>
        <v>Vanderbilt</v>
      </c>
      <c r="DD22" t="str">
        <f>IFERROR(__xludf.DUMMYFUNCTION("""COMPUTED_VALUE"""),"Virginia")</f>
        <v>Virginia</v>
      </c>
      <c r="DE22" t="str">
        <f>IFERROR(__xludf.DUMMYFUNCTION("""COMPUTED_VALUE"""),"Virginia Tech")</f>
        <v>Virginia Tech</v>
      </c>
      <c r="DF22" t="str">
        <f>IFERROR(__xludf.DUMMYFUNCTION("""COMPUTED_VALUE"""),"Wake Forest")</f>
        <v>Wake Forest</v>
      </c>
      <c r="DG22" t="str">
        <f>IFERROR(__xludf.DUMMYFUNCTION("""COMPUTED_VALUE"""),"Washington")</f>
        <v>Washington</v>
      </c>
      <c r="DH22" t="str">
        <f>IFERROR(__xludf.DUMMYFUNCTION("""COMPUTED_VALUE"""),"Washington State")</f>
        <v>Washington State</v>
      </c>
      <c r="DI22" t="str">
        <f>IFERROR(__xludf.DUMMYFUNCTION("""COMPUTED_VALUE"""),"West Virginia")</f>
        <v>West Virginia</v>
      </c>
      <c r="DJ22" t="str">
        <f>IFERROR(__xludf.DUMMYFUNCTION("""COMPUTED_VALUE"""),"Western Michigan")</f>
        <v>Western Michigan</v>
      </c>
      <c r="DK22" t="str">
        <f>IFERROR(__xludf.DUMMYFUNCTION("""COMPUTED_VALUE"""),"Wisconsin")</f>
        <v>Wisconsin</v>
      </c>
      <c r="DL22" t="str">
        <f>IFERROR(__xludf.DUMMYFUNCTION("""COMPUTED_VALUE"""),"Wyoming")</f>
        <v>Wyoming</v>
      </c>
    </row>
    <row r="23">
      <c r="A23" s="1">
        <v>22.0</v>
      </c>
      <c r="B23" t="str">
        <f>IFERROR(__xludf.DUMMYFUNCTION("split(join("","",sort(byrow('Teams-Conference'!A$2:A1000,lambda(rw,if(iserror(match(rw,DraftTracker!F$1:F23,0)),rw,""""))),1,1)),"","",1,1)"),"Air Force")</f>
        <v>Air Force</v>
      </c>
      <c r="C23" t="str">
        <f>IFERROR(__xludf.DUMMYFUNCTION("""COMPUTED_VALUE"""),"Akron")</f>
        <v>Akron</v>
      </c>
      <c r="D23" t="str">
        <f>IFERROR(__xludf.DUMMYFUNCTION("""COMPUTED_VALUE"""),"Appalachian State")</f>
        <v>Appalachian State</v>
      </c>
      <c r="E23" t="str">
        <f>IFERROR(__xludf.DUMMYFUNCTION("""COMPUTED_VALUE"""),"Arizona")</f>
        <v>Arizona</v>
      </c>
      <c r="F23" t="str">
        <f>IFERROR(__xludf.DUMMYFUNCTION("""COMPUTED_VALUE"""),"Arizona State")</f>
        <v>Arizona State</v>
      </c>
      <c r="G23" t="str">
        <f>IFERROR(__xludf.DUMMYFUNCTION("""COMPUTED_VALUE"""),"Arkansas")</f>
        <v>Arkansas</v>
      </c>
      <c r="H23" t="str">
        <f>IFERROR(__xludf.DUMMYFUNCTION("""COMPUTED_VALUE"""),"Arkansas State")</f>
        <v>Arkansas State</v>
      </c>
      <c r="I23" t="str">
        <f>IFERROR(__xludf.DUMMYFUNCTION("""COMPUTED_VALUE"""),"Army")</f>
        <v>Army</v>
      </c>
      <c r="J23" t="str">
        <f>IFERROR(__xludf.DUMMYFUNCTION("""COMPUTED_VALUE"""),"Auburn")</f>
        <v>Auburn</v>
      </c>
      <c r="K23" t="str">
        <f>IFERROR(__xludf.DUMMYFUNCTION("""COMPUTED_VALUE"""),"Ball State")</f>
        <v>Ball State</v>
      </c>
      <c r="L23" t="str">
        <f>IFERROR(__xludf.DUMMYFUNCTION("""COMPUTED_VALUE"""),"Baylor")</f>
        <v>Baylor</v>
      </c>
      <c r="M23" t="str">
        <f>IFERROR(__xludf.DUMMYFUNCTION("""COMPUTED_VALUE"""),"Boston College")</f>
        <v>Boston College</v>
      </c>
      <c r="N23" t="str">
        <f>IFERROR(__xludf.DUMMYFUNCTION("""COMPUTED_VALUE"""),"Bowling Green")</f>
        <v>Bowling Green</v>
      </c>
      <c r="O23" t="str">
        <f>IFERROR(__xludf.DUMMYFUNCTION("""COMPUTED_VALUE"""),"BYU")</f>
        <v>BYU</v>
      </c>
      <c r="P23" t="str">
        <f>IFERROR(__xludf.DUMMYFUNCTION("""COMPUTED_VALUE"""),"California")</f>
        <v>California</v>
      </c>
      <c r="Q23" t="str">
        <f>IFERROR(__xludf.DUMMYFUNCTION("""COMPUTED_VALUE"""),"Central Michigan")</f>
        <v>Central Michigan</v>
      </c>
      <c r="R23" t="str">
        <f>IFERROR(__xludf.DUMMYFUNCTION("""COMPUTED_VALUE"""),"Charlotte")</f>
        <v>Charlotte</v>
      </c>
      <c r="S23" t="str">
        <f>IFERROR(__xludf.DUMMYFUNCTION("""COMPUTED_VALUE"""),"Cincinnati")</f>
        <v>Cincinnati</v>
      </c>
      <c r="T23" t="str">
        <f>IFERROR(__xludf.DUMMYFUNCTION("""COMPUTED_VALUE"""),"Coastal Carolina")</f>
        <v>Coastal Carolina</v>
      </c>
      <c r="U23" t="str">
        <f>IFERROR(__xludf.DUMMYFUNCTION("""COMPUTED_VALUE"""),"Colorado")</f>
        <v>Colorado</v>
      </c>
      <c r="V23" t="str">
        <f>IFERROR(__xludf.DUMMYFUNCTION("""COMPUTED_VALUE"""),"Colorado State")</f>
        <v>Colorado State</v>
      </c>
      <c r="W23" t="str">
        <f>IFERROR(__xludf.DUMMYFUNCTION("""COMPUTED_VALUE"""),"Delaware")</f>
        <v>Delaware</v>
      </c>
      <c r="X23" t="str">
        <f>IFERROR(__xludf.DUMMYFUNCTION("""COMPUTED_VALUE"""),"Duke")</f>
        <v>Duke</v>
      </c>
      <c r="Y23" t="str">
        <f>IFERROR(__xludf.DUMMYFUNCTION("""COMPUTED_VALUE"""),"East Carolina")</f>
        <v>East Carolina</v>
      </c>
      <c r="Z23" t="str">
        <f>IFERROR(__xludf.DUMMYFUNCTION("""COMPUTED_VALUE"""),"EMU")</f>
        <v>EMU</v>
      </c>
      <c r="AA23" t="str">
        <f>IFERROR(__xludf.DUMMYFUNCTION("""COMPUTED_VALUE"""),"Florida")</f>
        <v>Florida</v>
      </c>
      <c r="AB23" t="str">
        <f>IFERROR(__xludf.DUMMYFUNCTION("""COMPUTED_VALUE"""),"Florida Atlantic")</f>
        <v>Florida Atlantic</v>
      </c>
      <c r="AC23" t="str">
        <f>IFERROR(__xludf.DUMMYFUNCTION("""COMPUTED_VALUE"""),"Florida Intl")</f>
        <v>Florida Intl</v>
      </c>
      <c r="AD23" t="str">
        <f>IFERROR(__xludf.DUMMYFUNCTION("""COMPUTED_VALUE"""),"Florida State")</f>
        <v>Florida State</v>
      </c>
      <c r="AE23" t="str">
        <f>IFERROR(__xludf.DUMMYFUNCTION("""COMPUTED_VALUE"""),"Fresno State")</f>
        <v>Fresno State</v>
      </c>
      <c r="AF23" t="str">
        <f>IFERROR(__xludf.DUMMYFUNCTION("""COMPUTED_VALUE"""),"Georgia Southern")</f>
        <v>Georgia Southern</v>
      </c>
      <c r="AG23" t="str">
        <f>IFERROR(__xludf.DUMMYFUNCTION("""COMPUTED_VALUE"""),"Georgia State")</f>
        <v>Georgia State</v>
      </c>
      <c r="AH23" t="str">
        <f>IFERROR(__xludf.DUMMYFUNCTION("""COMPUTED_VALUE"""),"Georgia Tech")</f>
        <v>Georgia Tech</v>
      </c>
      <c r="AI23" t="str">
        <f>IFERROR(__xludf.DUMMYFUNCTION("""COMPUTED_VALUE"""),"Hawaii")</f>
        <v>Hawaii</v>
      </c>
      <c r="AJ23" t="str">
        <f>IFERROR(__xludf.DUMMYFUNCTION("""COMPUTED_VALUE"""),"Houston")</f>
        <v>Houston</v>
      </c>
      <c r="AK23" t="str">
        <f>IFERROR(__xludf.DUMMYFUNCTION("""COMPUTED_VALUE"""),"Illinois")</f>
        <v>Illinois</v>
      </c>
      <c r="AL23" t="str">
        <f>IFERROR(__xludf.DUMMYFUNCTION("""COMPUTED_VALUE"""),"Indiana")</f>
        <v>Indiana</v>
      </c>
      <c r="AM23" t="str">
        <f>IFERROR(__xludf.DUMMYFUNCTION("""COMPUTED_VALUE"""),"Iowa")</f>
        <v>Iowa</v>
      </c>
      <c r="AN23" t="str">
        <f>IFERROR(__xludf.DUMMYFUNCTION("""COMPUTED_VALUE"""),"Iowa State")</f>
        <v>Iowa State</v>
      </c>
      <c r="AO23" t="str">
        <f>IFERROR(__xludf.DUMMYFUNCTION("""COMPUTED_VALUE"""),"Jacksonville State")</f>
        <v>Jacksonville State</v>
      </c>
      <c r="AP23" t="str">
        <f>IFERROR(__xludf.DUMMYFUNCTION("""COMPUTED_VALUE"""),"Kansas")</f>
        <v>Kansas</v>
      </c>
      <c r="AQ23" t="str">
        <f>IFERROR(__xludf.DUMMYFUNCTION("""COMPUTED_VALUE"""),"Kansas State")</f>
        <v>Kansas State</v>
      </c>
      <c r="AR23" t="str">
        <f>IFERROR(__xludf.DUMMYFUNCTION("""COMPUTED_VALUE"""),"Kennesaw State")</f>
        <v>Kennesaw State</v>
      </c>
      <c r="AS23" t="str">
        <f>IFERROR(__xludf.DUMMYFUNCTION("""COMPUTED_VALUE"""),"Kent State")</f>
        <v>Kent State</v>
      </c>
      <c r="AT23" t="str">
        <f>IFERROR(__xludf.DUMMYFUNCTION("""COMPUTED_VALUE"""),"Kentucky")</f>
        <v>Kentucky</v>
      </c>
      <c r="AU23" t="str">
        <f>IFERROR(__xludf.DUMMYFUNCTION("""COMPUTED_VALUE"""),"Louisiana Tech")</f>
        <v>Louisiana Tech</v>
      </c>
      <c r="AV23" t="str">
        <f>IFERROR(__xludf.DUMMYFUNCTION("""COMPUTED_VALUE"""),"Louisville")</f>
        <v>Louisville</v>
      </c>
      <c r="AW23" t="str">
        <f>IFERROR(__xludf.DUMMYFUNCTION("""COMPUTED_VALUE"""),"LSU")</f>
        <v>LSU</v>
      </c>
      <c r="AX23" t="str">
        <f>IFERROR(__xludf.DUMMYFUNCTION("""COMPUTED_VALUE"""),"Marshall")</f>
        <v>Marshall</v>
      </c>
      <c r="AY23" t="str">
        <f>IFERROR(__xludf.DUMMYFUNCTION("""COMPUTED_VALUE"""),"Maryland")</f>
        <v>Maryland</v>
      </c>
      <c r="AZ23" t="str">
        <f>IFERROR(__xludf.DUMMYFUNCTION("""COMPUTED_VALUE"""),"Miami-OH")</f>
        <v>Miami-OH</v>
      </c>
      <c r="BA23" t="str">
        <f>IFERROR(__xludf.DUMMYFUNCTION("""COMPUTED_VALUE"""),"Michigan State")</f>
        <v>Michigan State</v>
      </c>
      <c r="BB23" t="str">
        <f>IFERROR(__xludf.DUMMYFUNCTION("""COMPUTED_VALUE"""),"Middle Tennessee")</f>
        <v>Middle Tennessee</v>
      </c>
      <c r="BC23" t="str">
        <f>IFERROR(__xludf.DUMMYFUNCTION("""COMPUTED_VALUE"""),"Minnesota")</f>
        <v>Minnesota</v>
      </c>
      <c r="BD23" t="str">
        <f>IFERROR(__xludf.DUMMYFUNCTION("""COMPUTED_VALUE"""),"Mississippi State")</f>
        <v>Mississippi State</v>
      </c>
      <c r="BE23" t="str">
        <f>IFERROR(__xludf.DUMMYFUNCTION("""COMPUTED_VALUE"""),"Missouri")</f>
        <v>Missouri</v>
      </c>
      <c r="BF23" t="str">
        <f>IFERROR(__xludf.DUMMYFUNCTION("""COMPUTED_VALUE"""),"Missouri State")</f>
        <v>Missouri State</v>
      </c>
      <c r="BG23" t="str">
        <f>IFERROR(__xludf.DUMMYFUNCTION("""COMPUTED_VALUE"""),"NC State")</f>
        <v>NC State</v>
      </c>
      <c r="BH23" t="str">
        <f>IFERROR(__xludf.DUMMYFUNCTION("""COMPUTED_VALUE"""),"Nebraska")</f>
        <v>Nebraska</v>
      </c>
      <c r="BI23" t="str">
        <f>IFERROR(__xludf.DUMMYFUNCTION("""COMPUTED_VALUE"""),"Nevada")</f>
        <v>Nevada</v>
      </c>
      <c r="BJ23" t="str">
        <f>IFERROR(__xludf.DUMMYFUNCTION("""COMPUTED_VALUE"""),"New Mexico")</f>
        <v>New Mexico</v>
      </c>
      <c r="BK23" t="str">
        <f>IFERROR(__xludf.DUMMYFUNCTION("""COMPUTED_VALUE"""),"New Mexico State")</f>
        <v>New Mexico State</v>
      </c>
      <c r="BL23" t="str">
        <f>IFERROR(__xludf.DUMMYFUNCTION("""COMPUTED_VALUE"""),"North Carolina")</f>
        <v>North Carolina</v>
      </c>
      <c r="BM23" t="str">
        <f>IFERROR(__xludf.DUMMYFUNCTION("""COMPUTED_VALUE"""),"North Texas")</f>
        <v>North Texas</v>
      </c>
      <c r="BN23" t="str">
        <f>IFERROR(__xludf.DUMMYFUNCTION("""COMPUTED_VALUE"""),"Northern Illinois")</f>
        <v>Northern Illinois</v>
      </c>
      <c r="BO23" t="str">
        <f>IFERROR(__xludf.DUMMYFUNCTION("""COMPUTED_VALUE"""),"Northwestern")</f>
        <v>Northwestern</v>
      </c>
      <c r="BP23" t="str">
        <f>IFERROR(__xludf.DUMMYFUNCTION("""COMPUTED_VALUE"""),"Ohio")</f>
        <v>Ohio</v>
      </c>
      <c r="BQ23" t="str">
        <f>IFERROR(__xludf.DUMMYFUNCTION("""COMPUTED_VALUE"""),"Oklahoma")</f>
        <v>Oklahoma</v>
      </c>
      <c r="BR23" t="str">
        <f>IFERROR(__xludf.DUMMYFUNCTION("""COMPUTED_VALUE"""),"Oklahoma State")</f>
        <v>Oklahoma State</v>
      </c>
      <c r="BS23" t="str">
        <f>IFERROR(__xludf.DUMMYFUNCTION("""COMPUTED_VALUE"""),"Old Dominion")</f>
        <v>Old Dominion</v>
      </c>
      <c r="BT23" t="str">
        <f>IFERROR(__xludf.DUMMYFUNCTION("""COMPUTED_VALUE"""),"Ole Miss")</f>
        <v>Ole Miss</v>
      </c>
      <c r="BU23" t="str">
        <f>IFERROR(__xludf.DUMMYFUNCTION("""COMPUTED_VALUE"""),"Oregon State")</f>
        <v>Oregon State</v>
      </c>
      <c r="BV23" t="str">
        <f>IFERROR(__xludf.DUMMYFUNCTION("""COMPUTED_VALUE"""),"Pittsburgh")</f>
        <v>Pittsburgh</v>
      </c>
      <c r="BW23" t="str">
        <f>IFERROR(__xludf.DUMMYFUNCTION("""COMPUTED_VALUE"""),"Purdue")</f>
        <v>Purdue</v>
      </c>
      <c r="BX23" t="str">
        <f>IFERROR(__xludf.DUMMYFUNCTION("""COMPUTED_VALUE"""),"Rice")</f>
        <v>Rice</v>
      </c>
      <c r="BY23" t="str">
        <f>IFERROR(__xludf.DUMMYFUNCTION("""COMPUTED_VALUE"""),"Rutgers")</f>
        <v>Rutgers</v>
      </c>
      <c r="BZ23" t="str">
        <f>IFERROR(__xludf.DUMMYFUNCTION("""COMPUTED_VALUE"""),"Sam Houston")</f>
        <v>Sam Houston</v>
      </c>
      <c r="CA23" t="str">
        <f>IFERROR(__xludf.DUMMYFUNCTION("""COMPUTED_VALUE"""),"San Diego State")</f>
        <v>San Diego State</v>
      </c>
      <c r="CB23" t="str">
        <f>IFERROR(__xludf.DUMMYFUNCTION("""COMPUTED_VALUE"""),"South Alabama")</f>
        <v>South Alabama</v>
      </c>
      <c r="CC23" t="str">
        <f>IFERROR(__xludf.DUMMYFUNCTION("""COMPUTED_VALUE"""),"South Carolina")</f>
        <v>South Carolina</v>
      </c>
      <c r="CD23" t="str">
        <f>IFERROR(__xludf.DUMMYFUNCTION("""COMPUTED_VALUE"""),"South Florida")</f>
        <v>South Florida</v>
      </c>
      <c r="CE23" t="str">
        <f>IFERROR(__xludf.DUMMYFUNCTION("""COMPUTED_VALUE"""),"Southern Mississippi")</f>
        <v>Southern Mississippi</v>
      </c>
      <c r="CF23" t="str">
        <f>IFERROR(__xludf.DUMMYFUNCTION("""COMPUTED_VALUE"""),"Stanford")</f>
        <v>Stanford</v>
      </c>
      <c r="CG23" t="str">
        <f>IFERROR(__xludf.DUMMYFUNCTION("""COMPUTED_VALUE"""),"Syracuse")</f>
        <v>Syracuse</v>
      </c>
      <c r="CH23" t="str">
        <f>IFERROR(__xludf.DUMMYFUNCTION("""COMPUTED_VALUE"""),"TCU")</f>
        <v>TCU</v>
      </c>
      <c r="CI23" t="str">
        <f>IFERROR(__xludf.DUMMYFUNCTION("""COMPUTED_VALUE"""),"Temple")</f>
        <v>Temple</v>
      </c>
      <c r="CJ23" t="str">
        <f>IFERROR(__xludf.DUMMYFUNCTION("""COMPUTED_VALUE"""),"Tennessee")</f>
        <v>Tennessee</v>
      </c>
      <c r="CK23" t="str">
        <f>IFERROR(__xludf.DUMMYFUNCTION("""COMPUTED_VALUE"""),"Texas A&amp;M")</f>
        <v>Texas A&amp;M</v>
      </c>
      <c r="CL23" t="str">
        <f>IFERROR(__xludf.DUMMYFUNCTION("""COMPUTED_VALUE"""),"Texas State")</f>
        <v>Texas State</v>
      </c>
      <c r="CM23" t="str">
        <f>IFERROR(__xludf.DUMMYFUNCTION("""COMPUTED_VALUE"""),"Texas Tech")</f>
        <v>Texas Tech</v>
      </c>
      <c r="CN23" t="str">
        <f>IFERROR(__xludf.DUMMYFUNCTION("""COMPUTED_VALUE"""),"Troy")</f>
        <v>Troy</v>
      </c>
      <c r="CO23" t="str">
        <f>IFERROR(__xludf.DUMMYFUNCTION("""COMPUTED_VALUE"""),"Tulsa")</f>
        <v>Tulsa</v>
      </c>
      <c r="CP23" t="str">
        <f>IFERROR(__xludf.DUMMYFUNCTION("""COMPUTED_VALUE"""),"UAB")</f>
        <v>UAB</v>
      </c>
      <c r="CQ23" t="str">
        <f>IFERROR(__xludf.DUMMYFUNCTION("""COMPUTED_VALUE"""),"UCF")</f>
        <v>UCF</v>
      </c>
      <c r="CR23" t="str">
        <f>IFERROR(__xludf.DUMMYFUNCTION("""COMPUTED_VALUE"""),"UCLA")</f>
        <v>UCLA</v>
      </c>
      <c r="CS23" t="str">
        <f>IFERROR(__xludf.DUMMYFUNCTION("""COMPUTED_VALUE"""),"UConn")</f>
        <v>UConn</v>
      </c>
      <c r="CT23" t="str">
        <f>IFERROR(__xludf.DUMMYFUNCTION("""COMPUTED_VALUE"""),"UL Lafayette")</f>
        <v>UL Lafayette</v>
      </c>
      <c r="CU23" t="str">
        <f>IFERROR(__xludf.DUMMYFUNCTION("""COMPUTED_VALUE"""),"UL Monroe")</f>
        <v>UL Monroe</v>
      </c>
      <c r="CV23" t="str">
        <f>IFERROR(__xludf.DUMMYFUNCTION("""COMPUTED_VALUE"""),"UMASS")</f>
        <v>UMASS</v>
      </c>
      <c r="CW23" t="str">
        <f>IFERROR(__xludf.DUMMYFUNCTION("""COMPUTED_VALUE"""),"USC")</f>
        <v>USC</v>
      </c>
      <c r="CX23" t="str">
        <f>IFERROR(__xludf.DUMMYFUNCTION("""COMPUTED_VALUE"""),"Utah")</f>
        <v>Utah</v>
      </c>
      <c r="CY23" t="str">
        <f>IFERROR(__xludf.DUMMYFUNCTION("""COMPUTED_VALUE"""),"Utah State")</f>
        <v>Utah State</v>
      </c>
      <c r="CZ23" t="str">
        <f>IFERROR(__xludf.DUMMYFUNCTION("""COMPUTED_VALUE"""),"UTEP")</f>
        <v>UTEP</v>
      </c>
      <c r="DA23" t="str">
        <f>IFERROR(__xludf.DUMMYFUNCTION("""COMPUTED_VALUE"""),"UTSA")</f>
        <v>UTSA</v>
      </c>
      <c r="DB23" t="str">
        <f>IFERROR(__xludf.DUMMYFUNCTION("""COMPUTED_VALUE"""),"Vanderbilt")</f>
        <v>Vanderbilt</v>
      </c>
      <c r="DC23" t="str">
        <f>IFERROR(__xludf.DUMMYFUNCTION("""COMPUTED_VALUE"""),"Virginia")</f>
        <v>Virginia</v>
      </c>
      <c r="DD23" t="str">
        <f>IFERROR(__xludf.DUMMYFUNCTION("""COMPUTED_VALUE"""),"Virginia Tech")</f>
        <v>Virginia Tech</v>
      </c>
      <c r="DE23" t="str">
        <f>IFERROR(__xludf.DUMMYFUNCTION("""COMPUTED_VALUE"""),"Wake Forest")</f>
        <v>Wake Forest</v>
      </c>
      <c r="DF23" t="str">
        <f>IFERROR(__xludf.DUMMYFUNCTION("""COMPUTED_VALUE"""),"Washington")</f>
        <v>Washington</v>
      </c>
      <c r="DG23" t="str">
        <f>IFERROR(__xludf.DUMMYFUNCTION("""COMPUTED_VALUE"""),"Washington State")</f>
        <v>Washington State</v>
      </c>
      <c r="DH23" t="str">
        <f>IFERROR(__xludf.DUMMYFUNCTION("""COMPUTED_VALUE"""),"West Virginia")</f>
        <v>West Virginia</v>
      </c>
      <c r="DI23" t="str">
        <f>IFERROR(__xludf.DUMMYFUNCTION("""COMPUTED_VALUE"""),"Western Michigan")</f>
        <v>Western Michigan</v>
      </c>
      <c r="DJ23" t="str">
        <f>IFERROR(__xludf.DUMMYFUNCTION("""COMPUTED_VALUE"""),"Wisconsin")</f>
        <v>Wisconsin</v>
      </c>
      <c r="DK23" t="str">
        <f>IFERROR(__xludf.DUMMYFUNCTION("""COMPUTED_VALUE"""),"Wyoming")</f>
        <v>Wyoming</v>
      </c>
    </row>
    <row r="24">
      <c r="A24" s="1">
        <v>23.0</v>
      </c>
      <c r="B24" t="str">
        <f>IFERROR(__xludf.DUMMYFUNCTION("split(join("","",sort(byrow('Teams-Conference'!A$2:A1000,lambda(rw,if(iserror(match(rw,DraftTracker!F$1:F24,0)),rw,""""))),1,1)),"","",1,1)"),"Air Force")</f>
        <v>Air Force</v>
      </c>
      <c r="C24" t="str">
        <f>IFERROR(__xludf.DUMMYFUNCTION("""COMPUTED_VALUE"""),"Akron")</f>
        <v>Akron</v>
      </c>
      <c r="D24" t="str">
        <f>IFERROR(__xludf.DUMMYFUNCTION("""COMPUTED_VALUE"""),"Appalachian State")</f>
        <v>Appalachian State</v>
      </c>
      <c r="E24" t="str">
        <f>IFERROR(__xludf.DUMMYFUNCTION("""COMPUTED_VALUE"""),"Arizona")</f>
        <v>Arizona</v>
      </c>
      <c r="F24" t="str">
        <f>IFERROR(__xludf.DUMMYFUNCTION("""COMPUTED_VALUE"""),"Arizona State")</f>
        <v>Arizona State</v>
      </c>
      <c r="G24" t="str">
        <f>IFERROR(__xludf.DUMMYFUNCTION("""COMPUTED_VALUE"""),"Arkansas")</f>
        <v>Arkansas</v>
      </c>
      <c r="H24" t="str">
        <f>IFERROR(__xludf.DUMMYFUNCTION("""COMPUTED_VALUE"""),"Arkansas State")</f>
        <v>Arkansas State</v>
      </c>
      <c r="I24" t="str">
        <f>IFERROR(__xludf.DUMMYFUNCTION("""COMPUTED_VALUE"""),"Army")</f>
        <v>Army</v>
      </c>
      <c r="J24" t="str">
        <f>IFERROR(__xludf.DUMMYFUNCTION("""COMPUTED_VALUE"""),"Auburn")</f>
        <v>Auburn</v>
      </c>
      <c r="K24" t="str">
        <f>IFERROR(__xludf.DUMMYFUNCTION("""COMPUTED_VALUE"""),"Ball State")</f>
        <v>Ball State</v>
      </c>
      <c r="L24" t="str">
        <f>IFERROR(__xludf.DUMMYFUNCTION("""COMPUTED_VALUE"""),"Baylor")</f>
        <v>Baylor</v>
      </c>
      <c r="M24" t="str">
        <f>IFERROR(__xludf.DUMMYFUNCTION("""COMPUTED_VALUE"""),"Boston College")</f>
        <v>Boston College</v>
      </c>
      <c r="N24" t="str">
        <f>IFERROR(__xludf.DUMMYFUNCTION("""COMPUTED_VALUE"""),"Bowling Green")</f>
        <v>Bowling Green</v>
      </c>
      <c r="O24" t="str">
        <f>IFERROR(__xludf.DUMMYFUNCTION("""COMPUTED_VALUE"""),"BYU")</f>
        <v>BYU</v>
      </c>
      <c r="P24" t="str">
        <f>IFERROR(__xludf.DUMMYFUNCTION("""COMPUTED_VALUE"""),"California")</f>
        <v>California</v>
      </c>
      <c r="Q24" t="str">
        <f>IFERROR(__xludf.DUMMYFUNCTION("""COMPUTED_VALUE"""),"Central Michigan")</f>
        <v>Central Michigan</v>
      </c>
      <c r="R24" t="str">
        <f>IFERROR(__xludf.DUMMYFUNCTION("""COMPUTED_VALUE"""),"Charlotte")</f>
        <v>Charlotte</v>
      </c>
      <c r="S24" t="str">
        <f>IFERROR(__xludf.DUMMYFUNCTION("""COMPUTED_VALUE"""),"Cincinnati")</f>
        <v>Cincinnati</v>
      </c>
      <c r="T24" t="str">
        <f>IFERROR(__xludf.DUMMYFUNCTION("""COMPUTED_VALUE"""),"Coastal Carolina")</f>
        <v>Coastal Carolina</v>
      </c>
      <c r="U24" t="str">
        <f>IFERROR(__xludf.DUMMYFUNCTION("""COMPUTED_VALUE"""),"Colorado")</f>
        <v>Colorado</v>
      </c>
      <c r="V24" t="str">
        <f>IFERROR(__xludf.DUMMYFUNCTION("""COMPUTED_VALUE"""),"Colorado State")</f>
        <v>Colorado State</v>
      </c>
      <c r="W24" t="str">
        <f>IFERROR(__xludf.DUMMYFUNCTION("""COMPUTED_VALUE"""),"Delaware")</f>
        <v>Delaware</v>
      </c>
      <c r="X24" t="str">
        <f>IFERROR(__xludf.DUMMYFUNCTION("""COMPUTED_VALUE"""),"Duke")</f>
        <v>Duke</v>
      </c>
      <c r="Y24" t="str">
        <f>IFERROR(__xludf.DUMMYFUNCTION("""COMPUTED_VALUE"""),"East Carolina")</f>
        <v>East Carolina</v>
      </c>
      <c r="Z24" t="str">
        <f>IFERROR(__xludf.DUMMYFUNCTION("""COMPUTED_VALUE"""),"EMU")</f>
        <v>EMU</v>
      </c>
      <c r="AA24" t="str">
        <f>IFERROR(__xludf.DUMMYFUNCTION("""COMPUTED_VALUE"""),"Florida")</f>
        <v>Florida</v>
      </c>
      <c r="AB24" t="str">
        <f>IFERROR(__xludf.DUMMYFUNCTION("""COMPUTED_VALUE"""),"Florida Atlantic")</f>
        <v>Florida Atlantic</v>
      </c>
      <c r="AC24" t="str">
        <f>IFERROR(__xludf.DUMMYFUNCTION("""COMPUTED_VALUE"""),"Florida Intl")</f>
        <v>Florida Intl</v>
      </c>
      <c r="AD24" t="str">
        <f>IFERROR(__xludf.DUMMYFUNCTION("""COMPUTED_VALUE"""),"Florida State")</f>
        <v>Florida State</v>
      </c>
      <c r="AE24" t="str">
        <f>IFERROR(__xludf.DUMMYFUNCTION("""COMPUTED_VALUE"""),"Fresno State")</f>
        <v>Fresno State</v>
      </c>
      <c r="AF24" t="str">
        <f>IFERROR(__xludf.DUMMYFUNCTION("""COMPUTED_VALUE"""),"Georgia Southern")</f>
        <v>Georgia Southern</v>
      </c>
      <c r="AG24" t="str">
        <f>IFERROR(__xludf.DUMMYFUNCTION("""COMPUTED_VALUE"""),"Georgia State")</f>
        <v>Georgia State</v>
      </c>
      <c r="AH24" t="str">
        <f>IFERROR(__xludf.DUMMYFUNCTION("""COMPUTED_VALUE"""),"Georgia Tech")</f>
        <v>Georgia Tech</v>
      </c>
      <c r="AI24" t="str">
        <f>IFERROR(__xludf.DUMMYFUNCTION("""COMPUTED_VALUE"""),"Hawaii")</f>
        <v>Hawaii</v>
      </c>
      <c r="AJ24" t="str">
        <f>IFERROR(__xludf.DUMMYFUNCTION("""COMPUTED_VALUE"""),"Houston")</f>
        <v>Houston</v>
      </c>
      <c r="AK24" t="str">
        <f>IFERROR(__xludf.DUMMYFUNCTION("""COMPUTED_VALUE"""),"Illinois")</f>
        <v>Illinois</v>
      </c>
      <c r="AL24" t="str">
        <f>IFERROR(__xludf.DUMMYFUNCTION("""COMPUTED_VALUE"""),"Indiana")</f>
        <v>Indiana</v>
      </c>
      <c r="AM24" t="str">
        <f>IFERROR(__xludf.DUMMYFUNCTION("""COMPUTED_VALUE"""),"Iowa")</f>
        <v>Iowa</v>
      </c>
      <c r="AN24" t="str">
        <f>IFERROR(__xludf.DUMMYFUNCTION("""COMPUTED_VALUE"""),"Iowa State")</f>
        <v>Iowa State</v>
      </c>
      <c r="AO24" t="str">
        <f>IFERROR(__xludf.DUMMYFUNCTION("""COMPUTED_VALUE"""),"Jacksonville State")</f>
        <v>Jacksonville State</v>
      </c>
      <c r="AP24" t="str">
        <f>IFERROR(__xludf.DUMMYFUNCTION("""COMPUTED_VALUE"""),"Kansas")</f>
        <v>Kansas</v>
      </c>
      <c r="AQ24" t="str">
        <f>IFERROR(__xludf.DUMMYFUNCTION("""COMPUTED_VALUE"""),"Kansas State")</f>
        <v>Kansas State</v>
      </c>
      <c r="AR24" t="str">
        <f>IFERROR(__xludf.DUMMYFUNCTION("""COMPUTED_VALUE"""),"Kennesaw State")</f>
        <v>Kennesaw State</v>
      </c>
      <c r="AS24" t="str">
        <f>IFERROR(__xludf.DUMMYFUNCTION("""COMPUTED_VALUE"""),"Kent State")</f>
        <v>Kent State</v>
      </c>
      <c r="AT24" t="str">
        <f>IFERROR(__xludf.DUMMYFUNCTION("""COMPUTED_VALUE"""),"Kentucky")</f>
        <v>Kentucky</v>
      </c>
      <c r="AU24" t="str">
        <f>IFERROR(__xludf.DUMMYFUNCTION("""COMPUTED_VALUE"""),"Louisiana Tech")</f>
        <v>Louisiana Tech</v>
      </c>
      <c r="AV24" t="str">
        <f>IFERROR(__xludf.DUMMYFUNCTION("""COMPUTED_VALUE"""),"Louisville")</f>
        <v>Louisville</v>
      </c>
      <c r="AW24" t="str">
        <f>IFERROR(__xludf.DUMMYFUNCTION("""COMPUTED_VALUE"""),"LSU")</f>
        <v>LSU</v>
      </c>
      <c r="AX24" t="str">
        <f>IFERROR(__xludf.DUMMYFUNCTION("""COMPUTED_VALUE"""),"Marshall")</f>
        <v>Marshall</v>
      </c>
      <c r="AY24" t="str">
        <f>IFERROR(__xludf.DUMMYFUNCTION("""COMPUTED_VALUE"""),"Maryland")</f>
        <v>Maryland</v>
      </c>
      <c r="AZ24" t="str">
        <f>IFERROR(__xludf.DUMMYFUNCTION("""COMPUTED_VALUE"""),"Miami-OH")</f>
        <v>Miami-OH</v>
      </c>
      <c r="BA24" t="str">
        <f>IFERROR(__xludf.DUMMYFUNCTION("""COMPUTED_VALUE"""),"Michigan State")</f>
        <v>Michigan State</v>
      </c>
      <c r="BB24" t="str">
        <f>IFERROR(__xludf.DUMMYFUNCTION("""COMPUTED_VALUE"""),"Middle Tennessee")</f>
        <v>Middle Tennessee</v>
      </c>
      <c r="BC24" t="str">
        <f>IFERROR(__xludf.DUMMYFUNCTION("""COMPUTED_VALUE"""),"Minnesota")</f>
        <v>Minnesota</v>
      </c>
      <c r="BD24" t="str">
        <f>IFERROR(__xludf.DUMMYFUNCTION("""COMPUTED_VALUE"""),"Mississippi State")</f>
        <v>Mississippi State</v>
      </c>
      <c r="BE24" t="str">
        <f>IFERROR(__xludf.DUMMYFUNCTION("""COMPUTED_VALUE"""),"Missouri")</f>
        <v>Missouri</v>
      </c>
      <c r="BF24" t="str">
        <f>IFERROR(__xludf.DUMMYFUNCTION("""COMPUTED_VALUE"""),"Missouri State")</f>
        <v>Missouri State</v>
      </c>
      <c r="BG24" t="str">
        <f>IFERROR(__xludf.DUMMYFUNCTION("""COMPUTED_VALUE"""),"NC State")</f>
        <v>NC State</v>
      </c>
      <c r="BH24" t="str">
        <f>IFERROR(__xludf.DUMMYFUNCTION("""COMPUTED_VALUE"""),"Nebraska")</f>
        <v>Nebraska</v>
      </c>
      <c r="BI24" t="str">
        <f>IFERROR(__xludf.DUMMYFUNCTION("""COMPUTED_VALUE"""),"Nevada")</f>
        <v>Nevada</v>
      </c>
      <c r="BJ24" t="str">
        <f>IFERROR(__xludf.DUMMYFUNCTION("""COMPUTED_VALUE"""),"New Mexico")</f>
        <v>New Mexico</v>
      </c>
      <c r="BK24" t="str">
        <f>IFERROR(__xludf.DUMMYFUNCTION("""COMPUTED_VALUE"""),"New Mexico State")</f>
        <v>New Mexico State</v>
      </c>
      <c r="BL24" t="str">
        <f>IFERROR(__xludf.DUMMYFUNCTION("""COMPUTED_VALUE"""),"North Carolina")</f>
        <v>North Carolina</v>
      </c>
      <c r="BM24" t="str">
        <f>IFERROR(__xludf.DUMMYFUNCTION("""COMPUTED_VALUE"""),"North Texas")</f>
        <v>North Texas</v>
      </c>
      <c r="BN24" t="str">
        <f>IFERROR(__xludf.DUMMYFUNCTION("""COMPUTED_VALUE"""),"Northern Illinois")</f>
        <v>Northern Illinois</v>
      </c>
      <c r="BO24" t="str">
        <f>IFERROR(__xludf.DUMMYFUNCTION("""COMPUTED_VALUE"""),"Northwestern")</f>
        <v>Northwestern</v>
      </c>
      <c r="BP24" t="str">
        <f>IFERROR(__xludf.DUMMYFUNCTION("""COMPUTED_VALUE"""),"Ohio")</f>
        <v>Ohio</v>
      </c>
      <c r="BQ24" t="str">
        <f>IFERROR(__xludf.DUMMYFUNCTION("""COMPUTED_VALUE"""),"Oklahoma")</f>
        <v>Oklahoma</v>
      </c>
      <c r="BR24" t="str">
        <f>IFERROR(__xludf.DUMMYFUNCTION("""COMPUTED_VALUE"""),"Oklahoma State")</f>
        <v>Oklahoma State</v>
      </c>
      <c r="BS24" t="str">
        <f>IFERROR(__xludf.DUMMYFUNCTION("""COMPUTED_VALUE"""),"Old Dominion")</f>
        <v>Old Dominion</v>
      </c>
      <c r="BT24" t="str">
        <f>IFERROR(__xludf.DUMMYFUNCTION("""COMPUTED_VALUE"""),"Ole Miss")</f>
        <v>Ole Miss</v>
      </c>
      <c r="BU24" t="str">
        <f>IFERROR(__xludf.DUMMYFUNCTION("""COMPUTED_VALUE"""),"Oregon State")</f>
        <v>Oregon State</v>
      </c>
      <c r="BV24" t="str">
        <f>IFERROR(__xludf.DUMMYFUNCTION("""COMPUTED_VALUE"""),"Pittsburgh")</f>
        <v>Pittsburgh</v>
      </c>
      <c r="BW24" t="str">
        <f>IFERROR(__xludf.DUMMYFUNCTION("""COMPUTED_VALUE"""),"Purdue")</f>
        <v>Purdue</v>
      </c>
      <c r="BX24" t="str">
        <f>IFERROR(__xludf.DUMMYFUNCTION("""COMPUTED_VALUE"""),"Rice")</f>
        <v>Rice</v>
      </c>
      <c r="BY24" t="str">
        <f>IFERROR(__xludf.DUMMYFUNCTION("""COMPUTED_VALUE"""),"Rutgers")</f>
        <v>Rutgers</v>
      </c>
      <c r="BZ24" t="str">
        <f>IFERROR(__xludf.DUMMYFUNCTION("""COMPUTED_VALUE"""),"Sam Houston")</f>
        <v>Sam Houston</v>
      </c>
      <c r="CA24" t="str">
        <f>IFERROR(__xludf.DUMMYFUNCTION("""COMPUTED_VALUE"""),"San Diego State")</f>
        <v>San Diego State</v>
      </c>
      <c r="CB24" t="str">
        <f>IFERROR(__xludf.DUMMYFUNCTION("""COMPUTED_VALUE"""),"South Alabama")</f>
        <v>South Alabama</v>
      </c>
      <c r="CC24" t="str">
        <f>IFERROR(__xludf.DUMMYFUNCTION("""COMPUTED_VALUE"""),"South Carolina")</f>
        <v>South Carolina</v>
      </c>
      <c r="CD24" t="str">
        <f>IFERROR(__xludf.DUMMYFUNCTION("""COMPUTED_VALUE"""),"South Florida")</f>
        <v>South Florida</v>
      </c>
      <c r="CE24" t="str">
        <f>IFERROR(__xludf.DUMMYFUNCTION("""COMPUTED_VALUE"""),"Southern Mississippi")</f>
        <v>Southern Mississippi</v>
      </c>
      <c r="CF24" t="str">
        <f>IFERROR(__xludf.DUMMYFUNCTION("""COMPUTED_VALUE"""),"Stanford")</f>
        <v>Stanford</v>
      </c>
      <c r="CG24" t="str">
        <f>IFERROR(__xludf.DUMMYFUNCTION("""COMPUTED_VALUE"""),"Syracuse")</f>
        <v>Syracuse</v>
      </c>
      <c r="CH24" t="str">
        <f>IFERROR(__xludf.DUMMYFUNCTION("""COMPUTED_VALUE"""),"TCU")</f>
        <v>TCU</v>
      </c>
      <c r="CI24" t="str">
        <f>IFERROR(__xludf.DUMMYFUNCTION("""COMPUTED_VALUE"""),"Temple")</f>
        <v>Temple</v>
      </c>
      <c r="CJ24" t="str">
        <f>IFERROR(__xludf.DUMMYFUNCTION("""COMPUTED_VALUE"""),"Tennessee")</f>
        <v>Tennessee</v>
      </c>
      <c r="CK24" t="str">
        <f>IFERROR(__xludf.DUMMYFUNCTION("""COMPUTED_VALUE"""),"Texas A&amp;M")</f>
        <v>Texas A&amp;M</v>
      </c>
      <c r="CL24" t="str">
        <f>IFERROR(__xludf.DUMMYFUNCTION("""COMPUTED_VALUE"""),"Texas State")</f>
        <v>Texas State</v>
      </c>
      <c r="CM24" t="str">
        <f>IFERROR(__xludf.DUMMYFUNCTION("""COMPUTED_VALUE"""),"Texas Tech")</f>
        <v>Texas Tech</v>
      </c>
      <c r="CN24" t="str">
        <f>IFERROR(__xludf.DUMMYFUNCTION("""COMPUTED_VALUE"""),"Troy")</f>
        <v>Troy</v>
      </c>
      <c r="CO24" t="str">
        <f>IFERROR(__xludf.DUMMYFUNCTION("""COMPUTED_VALUE"""),"Tulsa")</f>
        <v>Tulsa</v>
      </c>
      <c r="CP24" t="str">
        <f>IFERROR(__xludf.DUMMYFUNCTION("""COMPUTED_VALUE"""),"UAB")</f>
        <v>UAB</v>
      </c>
      <c r="CQ24" t="str">
        <f>IFERROR(__xludf.DUMMYFUNCTION("""COMPUTED_VALUE"""),"UCF")</f>
        <v>UCF</v>
      </c>
      <c r="CR24" t="str">
        <f>IFERROR(__xludf.DUMMYFUNCTION("""COMPUTED_VALUE"""),"UCLA")</f>
        <v>UCLA</v>
      </c>
      <c r="CS24" t="str">
        <f>IFERROR(__xludf.DUMMYFUNCTION("""COMPUTED_VALUE"""),"UConn")</f>
        <v>UConn</v>
      </c>
      <c r="CT24" t="str">
        <f>IFERROR(__xludf.DUMMYFUNCTION("""COMPUTED_VALUE"""),"UL Lafayette")</f>
        <v>UL Lafayette</v>
      </c>
      <c r="CU24" t="str">
        <f>IFERROR(__xludf.DUMMYFUNCTION("""COMPUTED_VALUE"""),"UL Monroe")</f>
        <v>UL Monroe</v>
      </c>
      <c r="CV24" t="str">
        <f>IFERROR(__xludf.DUMMYFUNCTION("""COMPUTED_VALUE"""),"UMASS")</f>
        <v>UMASS</v>
      </c>
      <c r="CW24" t="str">
        <f>IFERROR(__xludf.DUMMYFUNCTION("""COMPUTED_VALUE"""),"USC")</f>
        <v>USC</v>
      </c>
      <c r="CX24" t="str">
        <f>IFERROR(__xludf.DUMMYFUNCTION("""COMPUTED_VALUE"""),"Utah State")</f>
        <v>Utah State</v>
      </c>
      <c r="CY24" t="str">
        <f>IFERROR(__xludf.DUMMYFUNCTION("""COMPUTED_VALUE"""),"UTEP")</f>
        <v>UTEP</v>
      </c>
      <c r="CZ24" t="str">
        <f>IFERROR(__xludf.DUMMYFUNCTION("""COMPUTED_VALUE"""),"UTSA")</f>
        <v>UTSA</v>
      </c>
      <c r="DA24" t="str">
        <f>IFERROR(__xludf.DUMMYFUNCTION("""COMPUTED_VALUE"""),"Vanderbilt")</f>
        <v>Vanderbilt</v>
      </c>
      <c r="DB24" t="str">
        <f>IFERROR(__xludf.DUMMYFUNCTION("""COMPUTED_VALUE"""),"Virginia")</f>
        <v>Virginia</v>
      </c>
      <c r="DC24" t="str">
        <f>IFERROR(__xludf.DUMMYFUNCTION("""COMPUTED_VALUE"""),"Virginia Tech")</f>
        <v>Virginia Tech</v>
      </c>
      <c r="DD24" t="str">
        <f>IFERROR(__xludf.DUMMYFUNCTION("""COMPUTED_VALUE"""),"Wake Forest")</f>
        <v>Wake Forest</v>
      </c>
      <c r="DE24" t="str">
        <f>IFERROR(__xludf.DUMMYFUNCTION("""COMPUTED_VALUE"""),"Washington")</f>
        <v>Washington</v>
      </c>
      <c r="DF24" t="str">
        <f>IFERROR(__xludf.DUMMYFUNCTION("""COMPUTED_VALUE"""),"Washington State")</f>
        <v>Washington State</v>
      </c>
      <c r="DG24" t="str">
        <f>IFERROR(__xludf.DUMMYFUNCTION("""COMPUTED_VALUE"""),"West Virginia")</f>
        <v>West Virginia</v>
      </c>
      <c r="DH24" t="str">
        <f>IFERROR(__xludf.DUMMYFUNCTION("""COMPUTED_VALUE"""),"Western Michigan")</f>
        <v>Western Michigan</v>
      </c>
      <c r="DI24" t="str">
        <f>IFERROR(__xludf.DUMMYFUNCTION("""COMPUTED_VALUE"""),"Wisconsin")</f>
        <v>Wisconsin</v>
      </c>
      <c r="DJ24" t="str">
        <f>IFERROR(__xludf.DUMMYFUNCTION("""COMPUTED_VALUE"""),"Wyoming")</f>
        <v>Wyoming</v>
      </c>
    </row>
    <row r="25">
      <c r="A25" s="1">
        <v>24.0</v>
      </c>
      <c r="B25" t="str">
        <f>IFERROR(__xludf.DUMMYFUNCTION("split(join("","",sort(byrow('Teams-Conference'!A$2:A1000,lambda(rw,if(iserror(match(rw,DraftTracker!F$1:F25,0)),rw,""""))),1,1)),"","",1,1)"),"Air Force")</f>
        <v>Air Force</v>
      </c>
      <c r="C25" t="str">
        <f>IFERROR(__xludf.DUMMYFUNCTION("""COMPUTED_VALUE"""),"Akron")</f>
        <v>Akron</v>
      </c>
      <c r="D25" t="str">
        <f>IFERROR(__xludf.DUMMYFUNCTION("""COMPUTED_VALUE"""),"Appalachian State")</f>
        <v>Appalachian State</v>
      </c>
      <c r="E25" t="str">
        <f>IFERROR(__xludf.DUMMYFUNCTION("""COMPUTED_VALUE"""),"Arizona")</f>
        <v>Arizona</v>
      </c>
      <c r="F25" t="str">
        <f>IFERROR(__xludf.DUMMYFUNCTION("""COMPUTED_VALUE"""),"Arkansas")</f>
        <v>Arkansas</v>
      </c>
      <c r="G25" t="str">
        <f>IFERROR(__xludf.DUMMYFUNCTION("""COMPUTED_VALUE"""),"Arkansas State")</f>
        <v>Arkansas State</v>
      </c>
      <c r="H25" t="str">
        <f>IFERROR(__xludf.DUMMYFUNCTION("""COMPUTED_VALUE"""),"Army")</f>
        <v>Army</v>
      </c>
      <c r="I25" t="str">
        <f>IFERROR(__xludf.DUMMYFUNCTION("""COMPUTED_VALUE"""),"Auburn")</f>
        <v>Auburn</v>
      </c>
      <c r="J25" t="str">
        <f>IFERROR(__xludf.DUMMYFUNCTION("""COMPUTED_VALUE"""),"Ball State")</f>
        <v>Ball State</v>
      </c>
      <c r="K25" t="str">
        <f>IFERROR(__xludf.DUMMYFUNCTION("""COMPUTED_VALUE"""),"Baylor")</f>
        <v>Baylor</v>
      </c>
      <c r="L25" t="str">
        <f>IFERROR(__xludf.DUMMYFUNCTION("""COMPUTED_VALUE"""),"Boston College")</f>
        <v>Boston College</v>
      </c>
      <c r="M25" t="str">
        <f>IFERROR(__xludf.DUMMYFUNCTION("""COMPUTED_VALUE"""),"Bowling Green")</f>
        <v>Bowling Green</v>
      </c>
      <c r="N25" t="str">
        <f>IFERROR(__xludf.DUMMYFUNCTION("""COMPUTED_VALUE"""),"BYU")</f>
        <v>BYU</v>
      </c>
      <c r="O25" t="str">
        <f>IFERROR(__xludf.DUMMYFUNCTION("""COMPUTED_VALUE"""),"California")</f>
        <v>California</v>
      </c>
      <c r="P25" t="str">
        <f>IFERROR(__xludf.DUMMYFUNCTION("""COMPUTED_VALUE"""),"Central Michigan")</f>
        <v>Central Michigan</v>
      </c>
      <c r="Q25" t="str">
        <f>IFERROR(__xludf.DUMMYFUNCTION("""COMPUTED_VALUE"""),"Charlotte")</f>
        <v>Charlotte</v>
      </c>
      <c r="R25" t="str">
        <f>IFERROR(__xludf.DUMMYFUNCTION("""COMPUTED_VALUE"""),"Cincinnati")</f>
        <v>Cincinnati</v>
      </c>
      <c r="S25" t="str">
        <f>IFERROR(__xludf.DUMMYFUNCTION("""COMPUTED_VALUE"""),"Coastal Carolina")</f>
        <v>Coastal Carolina</v>
      </c>
      <c r="T25" t="str">
        <f>IFERROR(__xludf.DUMMYFUNCTION("""COMPUTED_VALUE"""),"Colorado")</f>
        <v>Colorado</v>
      </c>
      <c r="U25" t="str">
        <f>IFERROR(__xludf.DUMMYFUNCTION("""COMPUTED_VALUE"""),"Colorado State")</f>
        <v>Colorado State</v>
      </c>
      <c r="V25" t="str">
        <f>IFERROR(__xludf.DUMMYFUNCTION("""COMPUTED_VALUE"""),"Delaware")</f>
        <v>Delaware</v>
      </c>
      <c r="W25" t="str">
        <f>IFERROR(__xludf.DUMMYFUNCTION("""COMPUTED_VALUE"""),"Duke")</f>
        <v>Duke</v>
      </c>
      <c r="X25" t="str">
        <f>IFERROR(__xludf.DUMMYFUNCTION("""COMPUTED_VALUE"""),"East Carolina")</f>
        <v>East Carolina</v>
      </c>
      <c r="Y25" t="str">
        <f>IFERROR(__xludf.DUMMYFUNCTION("""COMPUTED_VALUE"""),"EMU")</f>
        <v>EMU</v>
      </c>
      <c r="Z25" t="str">
        <f>IFERROR(__xludf.DUMMYFUNCTION("""COMPUTED_VALUE"""),"Florida")</f>
        <v>Florida</v>
      </c>
      <c r="AA25" t="str">
        <f>IFERROR(__xludf.DUMMYFUNCTION("""COMPUTED_VALUE"""),"Florida Atlantic")</f>
        <v>Florida Atlantic</v>
      </c>
      <c r="AB25" t="str">
        <f>IFERROR(__xludf.DUMMYFUNCTION("""COMPUTED_VALUE"""),"Florida Intl")</f>
        <v>Florida Intl</v>
      </c>
      <c r="AC25" t="str">
        <f>IFERROR(__xludf.DUMMYFUNCTION("""COMPUTED_VALUE"""),"Florida State")</f>
        <v>Florida State</v>
      </c>
      <c r="AD25" t="str">
        <f>IFERROR(__xludf.DUMMYFUNCTION("""COMPUTED_VALUE"""),"Fresno State")</f>
        <v>Fresno State</v>
      </c>
      <c r="AE25" t="str">
        <f>IFERROR(__xludf.DUMMYFUNCTION("""COMPUTED_VALUE"""),"Georgia Southern")</f>
        <v>Georgia Southern</v>
      </c>
      <c r="AF25" t="str">
        <f>IFERROR(__xludf.DUMMYFUNCTION("""COMPUTED_VALUE"""),"Georgia State")</f>
        <v>Georgia State</v>
      </c>
      <c r="AG25" t="str">
        <f>IFERROR(__xludf.DUMMYFUNCTION("""COMPUTED_VALUE"""),"Georgia Tech")</f>
        <v>Georgia Tech</v>
      </c>
      <c r="AH25" t="str">
        <f>IFERROR(__xludf.DUMMYFUNCTION("""COMPUTED_VALUE"""),"Hawaii")</f>
        <v>Hawaii</v>
      </c>
      <c r="AI25" t="str">
        <f>IFERROR(__xludf.DUMMYFUNCTION("""COMPUTED_VALUE"""),"Houston")</f>
        <v>Houston</v>
      </c>
      <c r="AJ25" t="str">
        <f>IFERROR(__xludf.DUMMYFUNCTION("""COMPUTED_VALUE"""),"Illinois")</f>
        <v>Illinois</v>
      </c>
      <c r="AK25" t="str">
        <f>IFERROR(__xludf.DUMMYFUNCTION("""COMPUTED_VALUE"""),"Indiana")</f>
        <v>Indiana</v>
      </c>
      <c r="AL25" t="str">
        <f>IFERROR(__xludf.DUMMYFUNCTION("""COMPUTED_VALUE"""),"Iowa")</f>
        <v>Iowa</v>
      </c>
      <c r="AM25" t="str">
        <f>IFERROR(__xludf.DUMMYFUNCTION("""COMPUTED_VALUE"""),"Iowa State")</f>
        <v>Iowa State</v>
      </c>
      <c r="AN25" t="str">
        <f>IFERROR(__xludf.DUMMYFUNCTION("""COMPUTED_VALUE"""),"Jacksonville State")</f>
        <v>Jacksonville State</v>
      </c>
      <c r="AO25" t="str">
        <f>IFERROR(__xludf.DUMMYFUNCTION("""COMPUTED_VALUE"""),"Kansas")</f>
        <v>Kansas</v>
      </c>
      <c r="AP25" t="str">
        <f>IFERROR(__xludf.DUMMYFUNCTION("""COMPUTED_VALUE"""),"Kansas State")</f>
        <v>Kansas State</v>
      </c>
      <c r="AQ25" t="str">
        <f>IFERROR(__xludf.DUMMYFUNCTION("""COMPUTED_VALUE"""),"Kennesaw State")</f>
        <v>Kennesaw State</v>
      </c>
      <c r="AR25" t="str">
        <f>IFERROR(__xludf.DUMMYFUNCTION("""COMPUTED_VALUE"""),"Kent State")</f>
        <v>Kent State</v>
      </c>
      <c r="AS25" t="str">
        <f>IFERROR(__xludf.DUMMYFUNCTION("""COMPUTED_VALUE"""),"Kentucky")</f>
        <v>Kentucky</v>
      </c>
      <c r="AT25" t="str">
        <f>IFERROR(__xludf.DUMMYFUNCTION("""COMPUTED_VALUE"""),"Louisiana Tech")</f>
        <v>Louisiana Tech</v>
      </c>
      <c r="AU25" t="str">
        <f>IFERROR(__xludf.DUMMYFUNCTION("""COMPUTED_VALUE"""),"Louisville")</f>
        <v>Louisville</v>
      </c>
      <c r="AV25" t="str">
        <f>IFERROR(__xludf.DUMMYFUNCTION("""COMPUTED_VALUE"""),"LSU")</f>
        <v>LSU</v>
      </c>
      <c r="AW25" t="str">
        <f>IFERROR(__xludf.DUMMYFUNCTION("""COMPUTED_VALUE"""),"Marshall")</f>
        <v>Marshall</v>
      </c>
      <c r="AX25" t="str">
        <f>IFERROR(__xludf.DUMMYFUNCTION("""COMPUTED_VALUE"""),"Maryland")</f>
        <v>Maryland</v>
      </c>
      <c r="AY25" t="str">
        <f>IFERROR(__xludf.DUMMYFUNCTION("""COMPUTED_VALUE"""),"Miami-OH")</f>
        <v>Miami-OH</v>
      </c>
      <c r="AZ25" t="str">
        <f>IFERROR(__xludf.DUMMYFUNCTION("""COMPUTED_VALUE"""),"Michigan State")</f>
        <v>Michigan State</v>
      </c>
      <c r="BA25" t="str">
        <f>IFERROR(__xludf.DUMMYFUNCTION("""COMPUTED_VALUE"""),"Middle Tennessee")</f>
        <v>Middle Tennessee</v>
      </c>
      <c r="BB25" t="str">
        <f>IFERROR(__xludf.DUMMYFUNCTION("""COMPUTED_VALUE"""),"Minnesota")</f>
        <v>Minnesota</v>
      </c>
      <c r="BC25" t="str">
        <f>IFERROR(__xludf.DUMMYFUNCTION("""COMPUTED_VALUE"""),"Mississippi State")</f>
        <v>Mississippi State</v>
      </c>
      <c r="BD25" t="str">
        <f>IFERROR(__xludf.DUMMYFUNCTION("""COMPUTED_VALUE"""),"Missouri")</f>
        <v>Missouri</v>
      </c>
      <c r="BE25" t="str">
        <f>IFERROR(__xludf.DUMMYFUNCTION("""COMPUTED_VALUE"""),"Missouri State")</f>
        <v>Missouri State</v>
      </c>
      <c r="BF25" t="str">
        <f>IFERROR(__xludf.DUMMYFUNCTION("""COMPUTED_VALUE"""),"NC State")</f>
        <v>NC State</v>
      </c>
      <c r="BG25" t="str">
        <f>IFERROR(__xludf.DUMMYFUNCTION("""COMPUTED_VALUE"""),"Nebraska")</f>
        <v>Nebraska</v>
      </c>
      <c r="BH25" t="str">
        <f>IFERROR(__xludf.DUMMYFUNCTION("""COMPUTED_VALUE"""),"Nevada")</f>
        <v>Nevada</v>
      </c>
      <c r="BI25" t="str">
        <f>IFERROR(__xludf.DUMMYFUNCTION("""COMPUTED_VALUE"""),"New Mexico")</f>
        <v>New Mexico</v>
      </c>
      <c r="BJ25" t="str">
        <f>IFERROR(__xludf.DUMMYFUNCTION("""COMPUTED_VALUE"""),"New Mexico State")</f>
        <v>New Mexico State</v>
      </c>
      <c r="BK25" t="str">
        <f>IFERROR(__xludf.DUMMYFUNCTION("""COMPUTED_VALUE"""),"North Carolina")</f>
        <v>North Carolina</v>
      </c>
      <c r="BL25" t="str">
        <f>IFERROR(__xludf.DUMMYFUNCTION("""COMPUTED_VALUE"""),"North Texas")</f>
        <v>North Texas</v>
      </c>
      <c r="BM25" t="str">
        <f>IFERROR(__xludf.DUMMYFUNCTION("""COMPUTED_VALUE"""),"Northern Illinois")</f>
        <v>Northern Illinois</v>
      </c>
      <c r="BN25" t="str">
        <f>IFERROR(__xludf.DUMMYFUNCTION("""COMPUTED_VALUE"""),"Northwestern")</f>
        <v>Northwestern</v>
      </c>
      <c r="BO25" t="str">
        <f>IFERROR(__xludf.DUMMYFUNCTION("""COMPUTED_VALUE"""),"Ohio")</f>
        <v>Ohio</v>
      </c>
      <c r="BP25" t="str">
        <f>IFERROR(__xludf.DUMMYFUNCTION("""COMPUTED_VALUE"""),"Oklahoma")</f>
        <v>Oklahoma</v>
      </c>
      <c r="BQ25" t="str">
        <f>IFERROR(__xludf.DUMMYFUNCTION("""COMPUTED_VALUE"""),"Oklahoma State")</f>
        <v>Oklahoma State</v>
      </c>
      <c r="BR25" t="str">
        <f>IFERROR(__xludf.DUMMYFUNCTION("""COMPUTED_VALUE"""),"Old Dominion")</f>
        <v>Old Dominion</v>
      </c>
      <c r="BS25" t="str">
        <f>IFERROR(__xludf.DUMMYFUNCTION("""COMPUTED_VALUE"""),"Ole Miss")</f>
        <v>Ole Miss</v>
      </c>
      <c r="BT25" t="str">
        <f>IFERROR(__xludf.DUMMYFUNCTION("""COMPUTED_VALUE"""),"Oregon State")</f>
        <v>Oregon State</v>
      </c>
      <c r="BU25" t="str">
        <f>IFERROR(__xludf.DUMMYFUNCTION("""COMPUTED_VALUE"""),"Pittsburgh")</f>
        <v>Pittsburgh</v>
      </c>
      <c r="BV25" t="str">
        <f>IFERROR(__xludf.DUMMYFUNCTION("""COMPUTED_VALUE"""),"Purdue")</f>
        <v>Purdue</v>
      </c>
      <c r="BW25" t="str">
        <f>IFERROR(__xludf.DUMMYFUNCTION("""COMPUTED_VALUE"""),"Rice")</f>
        <v>Rice</v>
      </c>
      <c r="BX25" t="str">
        <f>IFERROR(__xludf.DUMMYFUNCTION("""COMPUTED_VALUE"""),"Rutgers")</f>
        <v>Rutgers</v>
      </c>
      <c r="BY25" t="str">
        <f>IFERROR(__xludf.DUMMYFUNCTION("""COMPUTED_VALUE"""),"Sam Houston")</f>
        <v>Sam Houston</v>
      </c>
      <c r="BZ25" t="str">
        <f>IFERROR(__xludf.DUMMYFUNCTION("""COMPUTED_VALUE"""),"San Diego State")</f>
        <v>San Diego State</v>
      </c>
      <c r="CA25" t="str">
        <f>IFERROR(__xludf.DUMMYFUNCTION("""COMPUTED_VALUE"""),"South Alabama")</f>
        <v>South Alabama</v>
      </c>
      <c r="CB25" t="str">
        <f>IFERROR(__xludf.DUMMYFUNCTION("""COMPUTED_VALUE"""),"South Carolina")</f>
        <v>South Carolina</v>
      </c>
      <c r="CC25" t="str">
        <f>IFERROR(__xludf.DUMMYFUNCTION("""COMPUTED_VALUE"""),"South Florida")</f>
        <v>South Florida</v>
      </c>
      <c r="CD25" t="str">
        <f>IFERROR(__xludf.DUMMYFUNCTION("""COMPUTED_VALUE"""),"Southern Mississippi")</f>
        <v>Southern Mississippi</v>
      </c>
      <c r="CE25" t="str">
        <f>IFERROR(__xludf.DUMMYFUNCTION("""COMPUTED_VALUE"""),"Stanford")</f>
        <v>Stanford</v>
      </c>
      <c r="CF25" t="str">
        <f>IFERROR(__xludf.DUMMYFUNCTION("""COMPUTED_VALUE"""),"Syracuse")</f>
        <v>Syracuse</v>
      </c>
      <c r="CG25" t="str">
        <f>IFERROR(__xludf.DUMMYFUNCTION("""COMPUTED_VALUE"""),"TCU")</f>
        <v>TCU</v>
      </c>
      <c r="CH25" t="str">
        <f>IFERROR(__xludf.DUMMYFUNCTION("""COMPUTED_VALUE"""),"Temple")</f>
        <v>Temple</v>
      </c>
      <c r="CI25" t="str">
        <f>IFERROR(__xludf.DUMMYFUNCTION("""COMPUTED_VALUE"""),"Tennessee")</f>
        <v>Tennessee</v>
      </c>
      <c r="CJ25" t="str">
        <f>IFERROR(__xludf.DUMMYFUNCTION("""COMPUTED_VALUE"""),"Texas A&amp;M")</f>
        <v>Texas A&amp;M</v>
      </c>
      <c r="CK25" t="str">
        <f>IFERROR(__xludf.DUMMYFUNCTION("""COMPUTED_VALUE"""),"Texas State")</f>
        <v>Texas State</v>
      </c>
      <c r="CL25" t="str">
        <f>IFERROR(__xludf.DUMMYFUNCTION("""COMPUTED_VALUE"""),"Texas Tech")</f>
        <v>Texas Tech</v>
      </c>
      <c r="CM25" t="str">
        <f>IFERROR(__xludf.DUMMYFUNCTION("""COMPUTED_VALUE"""),"Troy")</f>
        <v>Troy</v>
      </c>
      <c r="CN25" t="str">
        <f>IFERROR(__xludf.DUMMYFUNCTION("""COMPUTED_VALUE"""),"Tulsa")</f>
        <v>Tulsa</v>
      </c>
      <c r="CO25" t="str">
        <f>IFERROR(__xludf.DUMMYFUNCTION("""COMPUTED_VALUE"""),"UAB")</f>
        <v>UAB</v>
      </c>
      <c r="CP25" t="str">
        <f>IFERROR(__xludf.DUMMYFUNCTION("""COMPUTED_VALUE"""),"UCF")</f>
        <v>UCF</v>
      </c>
      <c r="CQ25" t="str">
        <f>IFERROR(__xludf.DUMMYFUNCTION("""COMPUTED_VALUE"""),"UCLA")</f>
        <v>UCLA</v>
      </c>
      <c r="CR25" t="str">
        <f>IFERROR(__xludf.DUMMYFUNCTION("""COMPUTED_VALUE"""),"UConn")</f>
        <v>UConn</v>
      </c>
      <c r="CS25" t="str">
        <f>IFERROR(__xludf.DUMMYFUNCTION("""COMPUTED_VALUE"""),"UL Lafayette")</f>
        <v>UL Lafayette</v>
      </c>
      <c r="CT25" t="str">
        <f>IFERROR(__xludf.DUMMYFUNCTION("""COMPUTED_VALUE"""),"UL Monroe")</f>
        <v>UL Monroe</v>
      </c>
      <c r="CU25" t="str">
        <f>IFERROR(__xludf.DUMMYFUNCTION("""COMPUTED_VALUE"""),"UMASS")</f>
        <v>UMASS</v>
      </c>
      <c r="CV25" t="str">
        <f>IFERROR(__xludf.DUMMYFUNCTION("""COMPUTED_VALUE"""),"USC")</f>
        <v>USC</v>
      </c>
      <c r="CW25" t="str">
        <f>IFERROR(__xludf.DUMMYFUNCTION("""COMPUTED_VALUE"""),"Utah State")</f>
        <v>Utah State</v>
      </c>
      <c r="CX25" t="str">
        <f>IFERROR(__xludf.DUMMYFUNCTION("""COMPUTED_VALUE"""),"UTEP")</f>
        <v>UTEP</v>
      </c>
      <c r="CY25" t="str">
        <f>IFERROR(__xludf.DUMMYFUNCTION("""COMPUTED_VALUE"""),"UTSA")</f>
        <v>UTSA</v>
      </c>
      <c r="CZ25" t="str">
        <f>IFERROR(__xludf.DUMMYFUNCTION("""COMPUTED_VALUE"""),"Vanderbilt")</f>
        <v>Vanderbilt</v>
      </c>
      <c r="DA25" t="str">
        <f>IFERROR(__xludf.DUMMYFUNCTION("""COMPUTED_VALUE"""),"Virginia")</f>
        <v>Virginia</v>
      </c>
      <c r="DB25" t="str">
        <f>IFERROR(__xludf.DUMMYFUNCTION("""COMPUTED_VALUE"""),"Virginia Tech")</f>
        <v>Virginia Tech</v>
      </c>
      <c r="DC25" t="str">
        <f>IFERROR(__xludf.DUMMYFUNCTION("""COMPUTED_VALUE"""),"Wake Forest")</f>
        <v>Wake Forest</v>
      </c>
      <c r="DD25" t="str">
        <f>IFERROR(__xludf.DUMMYFUNCTION("""COMPUTED_VALUE"""),"Washington")</f>
        <v>Washington</v>
      </c>
      <c r="DE25" t="str">
        <f>IFERROR(__xludf.DUMMYFUNCTION("""COMPUTED_VALUE"""),"Washington State")</f>
        <v>Washington State</v>
      </c>
      <c r="DF25" t="str">
        <f>IFERROR(__xludf.DUMMYFUNCTION("""COMPUTED_VALUE"""),"West Virginia")</f>
        <v>West Virginia</v>
      </c>
      <c r="DG25" t="str">
        <f>IFERROR(__xludf.DUMMYFUNCTION("""COMPUTED_VALUE"""),"Western Michigan")</f>
        <v>Western Michigan</v>
      </c>
      <c r="DH25" t="str">
        <f>IFERROR(__xludf.DUMMYFUNCTION("""COMPUTED_VALUE"""),"Wisconsin")</f>
        <v>Wisconsin</v>
      </c>
      <c r="DI25" t="str">
        <f>IFERROR(__xludf.DUMMYFUNCTION("""COMPUTED_VALUE"""),"Wyoming")</f>
        <v>Wyoming</v>
      </c>
    </row>
    <row r="26">
      <c r="A26" s="1">
        <v>25.0</v>
      </c>
      <c r="B26" t="str">
        <f>IFERROR(__xludf.DUMMYFUNCTION("split(join("","",sort(byrow('Teams-Conference'!A$2:A1000,lambda(rw,if(iserror(match(rw,DraftTracker!F$1:F26,0)),rw,""""))),1,1)),"","",1,1)"),"Air Force")</f>
        <v>Air Force</v>
      </c>
      <c r="C26" t="str">
        <f>IFERROR(__xludf.DUMMYFUNCTION("""COMPUTED_VALUE"""),"Akron")</f>
        <v>Akron</v>
      </c>
      <c r="D26" t="str">
        <f>IFERROR(__xludf.DUMMYFUNCTION("""COMPUTED_VALUE"""),"Appalachian State")</f>
        <v>Appalachian State</v>
      </c>
      <c r="E26" t="str">
        <f>IFERROR(__xludf.DUMMYFUNCTION("""COMPUTED_VALUE"""),"Arizona")</f>
        <v>Arizona</v>
      </c>
      <c r="F26" t="str">
        <f>IFERROR(__xludf.DUMMYFUNCTION("""COMPUTED_VALUE"""),"Arkansas")</f>
        <v>Arkansas</v>
      </c>
      <c r="G26" t="str">
        <f>IFERROR(__xludf.DUMMYFUNCTION("""COMPUTED_VALUE"""),"Arkansas State")</f>
        <v>Arkansas State</v>
      </c>
      <c r="H26" t="str">
        <f>IFERROR(__xludf.DUMMYFUNCTION("""COMPUTED_VALUE"""),"Army")</f>
        <v>Army</v>
      </c>
      <c r="I26" t="str">
        <f>IFERROR(__xludf.DUMMYFUNCTION("""COMPUTED_VALUE"""),"Auburn")</f>
        <v>Auburn</v>
      </c>
      <c r="J26" t="str">
        <f>IFERROR(__xludf.DUMMYFUNCTION("""COMPUTED_VALUE"""),"Ball State")</f>
        <v>Ball State</v>
      </c>
      <c r="K26" t="str">
        <f>IFERROR(__xludf.DUMMYFUNCTION("""COMPUTED_VALUE"""),"Baylor")</f>
        <v>Baylor</v>
      </c>
      <c r="L26" t="str">
        <f>IFERROR(__xludf.DUMMYFUNCTION("""COMPUTED_VALUE"""),"Boston College")</f>
        <v>Boston College</v>
      </c>
      <c r="M26" t="str">
        <f>IFERROR(__xludf.DUMMYFUNCTION("""COMPUTED_VALUE"""),"Bowling Green")</f>
        <v>Bowling Green</v>
      </c>
      <c r="N26" t="str">
        <f>IFERROR(__xludf.DUMMYFUNCTION("""COMPUTED_VALUE"""),"BYU")</f>
        <v>BYU</v>
      </c>
      <c r="O26" t="str">
        <f>IFERROR(__xludf.DUMMYFUNCTION("""COMPUTED_VALUE"""),"California")</f>
        <v>California</v>
      </c>
      <c r="P26" t="str">
        <f>IFERROR(__xludf.DUMMYFUNCTION("""COMPUTED_VALUE"""),"Central Michigan")</f>
        <v>Central Michigan</v>
      </c>
      <c r="Q26" t="str">
        <f>IFERROR(__xludf.DUMMYFUNCTION("""COMPUTED_VALUE"""),"Charlotte")</f>
        <v>Charlotte</v>
      </c>
      <c r="R26" t="str">
        <f>IFERROR(__xludf.DUMMYFUNCTION("""COMPUTED_VALUE"""),"Cincinnati")</f>
        <v>Cincinnati</v>
      </c>
      <c r="S26" t="str">
        <f>IFERROR(__xludf.DUMMYFUNCTION("""COMPUTED_VALUE"""),"Coastal Carolina")</f>
        <v>Coastal Carolina</v>
      </c>
      <c r="T26" t="str">
        <f>IFERROR(__xludf.DUMMYFUNCTION("""COMPUTED_VALUE"""),"Colorado")</f>
        <v>Colorado</v>
      </c>
      <c r="U26" t="str">
        <f>IFERROR(__xludf.DUMMYFUNCTION("""COMPUTED_VALUE"""),"Colorado State")</f>
        <v>Colorado State</v>
      </c>
      <c r="V26" t="str">
        <f>IFERROR(__xludf.DUMMYFUNCTION("""COMPUTED_VALUE"""),"Delaware")</f>
        <v>Delaware</v>
      </c>
      <c r="W26" t="str">
        <f>IFERROR(__xludf.DUMMYFUNCTION("""COMPUTED_VALUE"""),"Duke")</f>
        <v>Duke</v>
      </c>
      <c r="X26" t="str">
        <f>IFERROR(__xludf.DUMMYFUNCTION("""COMPUTED_VALUE"""),"East Carolina")</f>
        <v>East Carolina</v>
      </c>
      <c r="Y26" t="str">
        <f>IFERROR(__xludf.DUMMYFUNCTION("""COMPUTED_VALUE"""),"EMU")</f>
        <v>EMU</v>
      </c>
      <c r="Z26" t="str">
        <f>IFERROR(__xludf.DUMMYFUNCTION("""COMPUTED_VALUE"""),"Florida")</f>
        <v>Florida</v>
      </c>
      <c r="AA26" t="str">
        <f>IFERROR(__xludf.DUMMYFUNCTION("""COMPUTED_VALUE"""),"Florida Atlantic")</f>
        <v>Florida Atlantic</v>
      </c>
      <c r="AB26" t="str">
        <f>IFERROR(__xludf.DUMMYFUNCTION("""COMPUTED_VALUE"""),"Florida Intl")</f>
        <v>Florida Intl</v>
      </c>
      <c r="AC26" t="str">
        <f>IFERROR(__xludf.DUMMYFUNCTION("""COMPUTED_VALUE"""),"Florida State")</f>
        <v>Florida State</v>
      </c>
      <c r="AD26" t="str">
        <f>IFERROR(__xludf.DUMMYFUNCTION("""COMPUTED_VALUE"""),"Fresno State")</f>
        <v>Fresno State</v>
      </c>
      <c r="AE26" t="str">
        <f>IFERROR(__xludf.DUMMYFUNCTION("""COMPUTED_VALUE"""),"Georgia Southern")</f>
        <v>Georgia Southern</v>
      </c>
      <c r="AF26" t="str">
        <f>IFERROR(__xludf.DUMMYFUNCTION("""COMPUTED_VALUE"""),"Georgia State")</f>
        <v>Georgia State</v>
      </c>
      <c r="AG26" t="str">
        <f>IFERROR(__xludf.DUMMYFUNCTION("""COMPUTED_VALUE"""),"Georgia Tech")</f>
        <v>Georgia Tech</v>
      </c>
      <c r="AH26" t="str">
        <f>IFERROR(__xludf.DUMMYFUNCTION("""COMPUTED_VALUE"""),"Hawaii")</f>
        <v>Hawaii</v>
      </c>
      <c r="AI26" t="str">
        <f>IFERROR(__xludf.DUMMYFUNCTION("""COMPUTED_VALUE"""),"Houston")</f>
        <v>Houston</v>
      </c>
      <c r="AJ26" t="str">
        <f>IFERROR(__xludf.DUMMYFUNCTION("""COMPUTED_VALUE"""),"Illinois")</f>
        <v>Illinois</v>
      </c>
      <c r="AK26" t="str">
        <f>IFERROR(__xludf.DUMMYFUNCTION("""COMPUTED_VALUE"""),"Indiana")</f>
        <v>Indiana</v>
      </c>
      <c r="AL26" t="str">
        <f>IFERROR(__xludf.DUMMYFUNCTION("""COMPUTED_VALUE"""),"Iowa")</f>
        <v>Iowa</v>
      </c>
      <c r="AM26" t="str">
        <f>IFERROR(__xludf.DUMMYFUNCTION("""COMPUTED_VALUE"""),"Iowa State")</f>
        <v>Iowa State</v>
      </c>
      <c r="AN26" t="str">
        <f>IFERROR(__xludf.DUMMYFUNCTION("""COMPUTED_VALUE"""),"Jacksonville State")</f>
        <v>Jacksonville State</v>
      </c>
      <c r="AO26" t="str">
        <f>IFERROR(__xludf.DUMMYFUNCTION("""COMPUTED_VALUE"""),"Kansas")</f>
        <v>Kansas</v>
      </c>
      <c r="AP26" t="str">
        <f>IFERROR(__xludf.DUMMYFUNCTION("""COMPUTED_VALUE"""),"Kansas State")</f>
        <v>Kansas State</v>
      </c>
      <c r="AQ26" t="str">
        <f>IFERROR(__xludf.DUMMYFUNCTION("""COMPUTED_VALUE"""),"Kennesaw State")</f>
        <v>Kennesaw State</v>
      </c>
      <c r="AR26" t="str">
        <f>IFERROR(__xludf.DUMMYFUNCTION("""COMPUTED_VALUE"""),"Kent State")</f>
        <v>Kent State</v>
      </c>
      <c r="AS26" t="str">
        <f>IFERROR(__xludf.DUMMYFUNCTION("""COMPUTED_VALUE"""),"Kentucky")</f>
        <v>Kentucky</v>
      </c>
      <c r="AT26" t="str">
        <f>IFERROR(__xludf.DUMMYFUNCTION("""COMPUTED_VALUE"""),"Louisiana Tech")</f>
        <v>Louisiana Tech</v>
      </c>
      <c r="AU26" t="str">
        <f>IFERROR(__xludf.DUMMYFUNCTION("""COMPUTED_VALUE"""),"Louisville")</f>
        <v>Louisville</v>
      </c>
      <c r="AV26" t="str">
        <f>IFERROR(__xludf.DUMMYFUNCTION("""COMPUTED_VALUE"""),"LSU")</f>
        <v>LSU</v>
      </c>
      <c r="AW26" t="str">
        <f>IFERROR(__xludf.DUMMYFUNCTION("""COMPUTED_VALUE"""),"Marshall")</f>
        <v>Marshall</v>
      </c>
      <c r="AX26" t="str">
        <f>IFERROR(__xludf.DUMMYFUNCTION("""COMPUTED_VALUE"""),"Maryland")</f>
        <v>Maryland</v>
      </c>
      <c r="AY26" t="str">
        <f>IFERROR(__xludf.DUMMYFUNCTION("""COMPUTED_VALUE"""),"Miami-OH")</f>
        <v>Miami-OH</v>
      </c>
      <c r="AZ26" t="str">
        <f>IFERROR(__xludf.DUMMYFUNCTION("""COMPUTED_VALUE"""),"Michigan State")</f>
        <v>Michigan State</v>
      </c>
      <c r="BA26" t="str">
        <f>IFERROR(__xludf.DUMMYFUNCTION("""COMPUTED_VALUE"""),"Middle Tennessee")</f>
        <v>Middle Tennessee</v>
      </c>
      <c r="BB26" t="str">
        <f>IFERROR(__xludf.DUMMYFUNCTION("""COMPUTED_VALUE"""),"Minnesota")</f>
        <v>Minnesota</v>
      </c>
      <c r="BC26" t="str">
        <f>IFERROR(__xludf.DUMMYFUNCTION("""COMPUTED_VALUE"""),"Mississippi State")</f>
        <v>Mississippi State</v>
      </c>
      <c r="BD26" t="str">
        <f>IFERROR(__xludf.DUMMYFUNCTION("""COMPUTED_VALUE"""),"Missouri")</f>
        <v>Missouri</v>
      </c>
      <c r="BE26" t="str">
        <f>IFERROR(__xludf.DUMMYFUNCTION("""COMPUTED_VALUE"""),"Missouri State")</f>
        <v>Missouri State</v>
      </c>
      <c r="BF26" t="str">
        <f>IFERROR(__xludf.DUMMYFUNCTION("""COMPUTED_VALUE"""),"NC State")</f>
        <v>NC State</v>
      </c>
      <c r="BG26" t="str">
        <f>IFERROR(__xludf.DUMMYFUNCTION("""COMPUTED_VALUE"""),"Nebraska")</f>
        <v>Nebraska</v>
      </c>
      <c r="BH26" t="str">
        <f>IFERROR(__xludf.DUMMYFUNCTION("""COMPUTED_VALUE"""),"Nevada")</f>
        <v>Nevada</v>
      </c>
      <c r="BI26" t="str">
        <f>IFERROR(__xludf.DUMMYFUNCTION("""COMPUTED_VALUE"""),"New Mexico")</f>
        <v>New Mexico</v>
      </c>
      <c r="BJ26" t="str">
        <f>IFERROR(__xludf.DUMMYFUNCTION("""COMPUTED_VALUE"""),"New Mexico State")</f>
        <v>New Mexico State</v>
      </c>
      <c r="BK26" t="str">
        <f>IFERROR(__xludf.DUMMYFUNCTION("""COMPUTED_VALUE"""),"North Carolina")</f>
        <v>North Carolina</v>
      </c>
      <c r="BL26" t="str">
        <f>IFERROR(__xludf.DUMMYFUNCTION("""COMPUTED_VALUE"""),"North Texas")</f>
        <v>North Texas</v>
      </c>
      <c r="BM26" t="str">
        <f>IFERROR(__xludf.DUMMYFUNCTION("""COMPUTED_VALUE"""),"Northern Illinois")</f>
        <v>Northern Illinois</v>
      </c>
      <c r="BN26" t="str">
        <f>IFERROR(__xludf.DUMMYFUNCTION("""COMPUTED_VALUE"""),"Northwestern")</f>
        <v>Northwestern</v>
      </c>
      <c r="BO26" t="str">
        <f>IFERROR(__xludf.DUMMYFUNCTION("""COMPUTED_VALUE"""),"Ohio")</f>
        <v>Ohio</v>
      </c>
      <c r="BP26" t="str">
        <f>IFERROR(__xludf.DUMMYFUNCTION("""COMPUTED_VALUE"""),"Oklahoma")</f>
        <v>Oklahoma</v>
      </c>
      <c r="BQ26" t="str">
        <f>IFERROR(__xludf.DUMMYFUNCTION("""COMPUTED_VALUE"""),"Oklahoma State")</f>
        <v>Oklahoma State</v>
      </c>
      <c r="BR26" t="str">
        <f>IFERROR(__xludf.DUMMYFUNCTION("""COMPUTED_VALUE"""),"Old Dominion")</f>
        <v>Old Dominion</v>
      </c>
      <c r="BS26" t="str">
        <f>IFERROR(__xludf.DUMMYFUNCTION("""COMPUTED_VALUE"""),"Ole Miss")</f>
        <v>Ole Miss</v>
      </c>
      <c r="BT26" t="str">
        <f>IFERROR(__xludf.DUMMYFUNCTION("""COMPUTED_VALUE"""),"Oregon State")</f>
        <v>Oregon State</v>
      </c>
      <c r="BU26" t="str">
        <f>IFERROR(__xludf.DUMMYFUNCTION("""COMPUTED_VALUE"""),"Pittsburgh")</f>
        <v>Pittsburgh</v>
      </c>
      <c r="BV26" t="str">
        <f>IFERROR(__xludf.DUMMYFUNCTION("""COMPUTED_VALUE"""),"Purdue")</f>
        <v>Purdue</v>
      </c>
      <c r="BW26" t="str">
        <f>IFERROR(__xludf.DUMMYFUNCTION("""COMPUTED_VALUE"""),"Rice")</f>
        <v>Rice</v>
      </c>
      <c r="BX26" t="str">
        <f>IFERROR(__xludf.DUMMYFUNCTION("""COMPUTED_VALUE"""),"Rutgers")</f>
        <v>Rutgers</v>
      </c>
      <c r="BY26" t="str">
        <f>IFERROR(__xludf.DUMMYFUNCTION("""COMPUTED_VALUE"""),"Sam Houston")</f>
        <v>Sam Houston</v>
      </c>
      <c r="BZ26" t="str">
        <f>IFERROR(__xludf.DUMMYFUNCTION("""COMPUTED_VALUE"""),"San Diego State")</f>
        <v>San Diego State</v>
      </c>
      <c r="CA26" t="str">
        <f>IFERROR(__xludf.DUMMYFUNCTION("""COMPUTED_VALUE"""),"South Alabama")</f>
        <v>South Alabama</v>
      </c>
      <c r="CB26" t="str">
        <f>IFERROR(__xludf.DUMMYFUNCTION("""COMPUTED_VALUE"""),"South Carolina")</f>
        <v>South Carolina</v>
      </c>
      <c r="CC26" t="str">
        <f>IFERROR(__xludf.DUMMYFUNCTION("""COMPUTED_VALUE"""),"South Florida")</f>
        <v>South Florida</v>
      </c>
      <c r="CD26" t="str">
        <f>IFERROR(__xludf.DUMMYFUNCTION("""COMPUTED_VALUE"""),"Southern Mississippi")</f>
        <v>Southern Mississippi</v>
      </c>
      <c r="CE26" t="str">
        <f>IFERROR(__xludf.DUMMYFUNCTION("""COMPUTED_VALUE"""),"Stanford")</f>
        <v>Stanford</v>
      </c>
      <c r="CF26" t="str">
        <f>IFERROR(__xludf.DUMMYFUNCTION("""COMPUTED_VALUE"""),"Syracuse")</f>
        <v>Syracuse</v>
      </c>
      <c r="CG26" t="str">
        <f>IFERROR(__xludf.DUMMYFUNCTION("""COMPUTED_VALUE"""),"TCU")</f>
        <v>TCU</v>
      </c>
      <c r="CH26" t="str">
        <f>IFERROR(__xludf.DUMMYFUNCTION("""COMPUTED_VALUE"""),"Temple")</f>
        <v>Temple</v>
      </c>
      <c r="CI26" t="str">
        <f>IFERROR(__xludf.DUMMYFUNCTION("""COMPUTED_VALUE"""),"Tennessee")</f>
        <v>Tennessee</v>
      </c>
      <c r="CJ26" t="str">
        <f>IFERROR(__xludf.DUMMYFUNCTION("""COMPUTED_VALUE"""),"Texas A&amp;M")</f>
        <v>Texas A&amp;M</v>
      </c>
      <c r="CK26" t="str">
        <f>IFERROR(__xludf.DUMMYFUNCTION("""COMPUTED_VALUE"""),"Texas State")</f>
        <v>Texas State</v>
      </c>
      <c r="CL26" t="str">
        <f>IFERROR(__xludf.DUMMYFUNCTION("""COMPUTED_VALUE"""),"Troy")</f>
        <v>Troy</v>
      </c>
      <c r="CM26" t="str">
        <f>IFERROR(__xludf.DUMMYFUNCTION("""COMPUTED_VALUE"""),"Tulsa")</f>
        <v>Tulsa</v>
      </c>
      <c r="CN26" t="str">
        <f>IFERROR(__xludf.DUMMYFUNCTION("""COMPUTED_VALUE"""),"UAB")</f>
        <v>UAB</v>
      </c>
      <c r="CO26" t="str">
        <f>IFERROR(__xludf.DUMMYFUNCTION("""COMPUTED_VALUE"""),"UCF")</f>
        <v>UCF</v>
      </c>
      <c r="CP26" t="str">
        <f>IFERROR(__xludf.DUMMYFUNCTION("""COMPUTED_VALUE"""),"UCLA")</f>
        <v>UCLA</v>
      </c>
      <c r="CQ26" t="str">
        <f>IFERROR(__xludf.DUMMYFUNCTION("""COMPUTED_VALUE"""),"UConn")</f>
        <v>UConn</v>
      </c>
      <c r="CR26" t="str">
        <f>IFERROR(__xludf.DUMMYFUNCTION("""COMPUTED_VALUE"""),"UL Lafayette")</f>
        <v>UL Lafayette</v>
      </c>
      <c r="CS26" t="str">
        <f>IFERROR(__xludf.DUMMYFUNCTION("""COMPUTED_VALUE"""),"UL Monroe")</f>
        <v>UL Monroe</v>
      </c>
      <c r="CT26" t="str">
        <f>IFERROR(__xludf.DUMMYFUNCTION("""COMPUTED_VALUE"""),"UMASS")</f>
        <v>UMASS</v>
      </c>
      <c r="CU26" t="str">
        <f>IFERROR(__xludf.DUMMYFUNCTION("""COMPUTED_VALUE"""),"USC")</f>
        <v>USC</v>
      </c>
      <c r="CV26" t="str">
        <f>IFERROR(__xludf.DUMMYFUNCTION("""COMPUTED_VALUE"""),"Utah State")</f>
        <v>Utah State</v>
      </c>
      <c r="CW26" t="str">
        <f>IFERROR(__xludf.DUMMYFUNCTION("""COMPUTED_VALUE"""),"UTEP")</f>
        <v>UTEP</v>
      </c>
      <c r="CX26" t="str">
        <f>IFERROR(__xludf.DUMMYFUNCTION("""COMPUTED_VALUE"""),"UTSA")</f>
        <v>UTSA</v>
      </c>
      <c r="CY26" t="str">
        <f>IFERROR(__xludf.DUMMYFUNCTION("""COMPUTED_VALUE"""),"Vanderbilt")</f>
        <v>Vanderbilt</v>
      </c>
      <c r="CZ26" t="str">
        <f>IFERROR(__xludf.DUMMYFUNCTION("""COMPUTED_VALUE"""),"Virginia")</f>
        <v>Virginia</v>
      </c>
      <c r="DA26" t="str">
        <f>IFERROR(__xludf.DUMMYFUNCTION("""COMPUTED_VALUE"""),"Virginia Tech")</f>
        <v>Virginia Tech</v>
      </c>
      <c r="DB26" t="str">
        <f>IFERROR(__xludf.DUMMYFUNCTION("""COMPUTED_VALUE"""),"Wake Forest")</f>
        <v>Wake Forest</v>
      </c>
      <c r="DC26" t="str">
        <f>IFERROR(__xludf.DUMMYFUNCTION("""COMPUTED_VALUE"""),"Washington")</f>
        <v>Washington</v>
      </c>
      <c r="DD26" t="str">
        <f>IFERROR(__xludf.DUMMYFUNCTION("""COMPUTED_VALUE"""),"Washington State")</f>
        <v>Washington State</v>
      </c>
      <c r="DE26" t="str">
        <f>IFERROR(__xludf.DUMMYFUNCTION("""COMPUTED_VALUE"""),"West Virginia")</f>
        <v>West Virginia</v>
      </c>
      <c r="DF26" t="str">
        <f>IFERROR(__xludf.DUMMYFUNCTION("""COMPUTED_VALUE"""),"Western Michigan")</f>
        <v>Western Michigan</v>
      </c>
      <c r="DG26" t="str">
        <f>IFERROR(__xludf.DUMMYFUNCTION("""COMPUTED_VALUE"""),"Wisconsin")</f>
        <v>Wisconsin</v>
      </c>
      <c r="DH26" t="str">
        <f>IFERROR(__xludf.DUMMYFUNCTION("""COMPUTED_VALUE"""),"Wyoming")</f>
        <v>Wyoming</v>
      </c>
    </row>
    <row r="27">
      <c r="A27" s="1">
        <v>26.0</v>
      </c>
      <c r="B27" t="str">
        <f>IFERROR(__xludf.DUMMYFUNCTION("split(join("","",sort(byrow('Teams-Conference'!A$2:A1000,lambda(rw,if(iserror(match(rw,DraftTracker!F$1:F27,0)),rw,""""))),1,1)),"","",1,1)"),"Air Force")</f>
        <v>Air Force</v>
      </c>
      <c r="C27" t="str">
        <f>IFERROR(__xludf.DUMMYFUNCTION("""COMPUTED_VALUE"""),"Akron")</f>
        <v>Akron</v>
      </c>
      <c r="D27" t="str">
        <f>IFERROR(__xludf.DUMMYFUNCTION("""COMPUTED_VALUE"""),"Appalachian State")</f>
        <v>Appalachian State</v>
      </c>
      <c r="E27" t="str">
        <f>IFERROR(__xludf.DUMMYFUNCTION("""COMPUTED_VALUE"""),"Arizona")</f>
        <v>Arizona</v>
      </c>
      <c r="F27" t="str">
        <f>IFERROR(__xludf.DUMMYFUNCTION("""COMPUTED_VALUE"""),"Arkansas")</f>
        <v>Arkansas</v>
      </c>
      <c r="G27" t="str">
        <f>IFERROR(__xludf.DUMMYFUNCTION("""COMPUTED_VALUE"""),"Arkansas State")</f>
        <v>Arkansas State</v>
      </c>
      <c r="H27" t="str">
        <f>IFERROR(__xludf.DUMMYFUNCTION("""COMPUTED_VALUE"""),"Army")</f>
        <v>Army</v>
      </c>
      <c r="I27" t="str">
        <f>IFERROR(__xludf.DUMMYFUNCTION("""COMPUTED_VALUE"""),"Auburn")</f>
        <v>Auburn</v>
      </c>
      <c r="J27" t="str">
        <f>IFERROR(__xludf.DUMMYFUNCTION("""COMPUTED_VALUE"""),"Ball State")</f>
        <v>Ball State</v>
      </c>
      <c r="K27" t="str">
        <f>IFERROR(__xludf.DUMMYFUNCTION("""COMPUTED_VALUE"""),"Baylor")</f>
        <v>Baylor</v>
      </c>
      <c r="L27" t="str">
        <f>IFERROR(__xludf.DUMMYFUNCTION("""COMPUTED_VALUE"""),"Boston College")</f>
        <v>Boston College</v>
      </c>
      <c r="M27" t="str">
        <f>IFERROR(__xludf.DUMMYFUNCTION("""COMPUTED_VALUE"""),"Bowling Green")</f>
        <v>Bowling Green</v>
      </c>
      <c r="N27" t="str">
        <f>IFERROR(__xludf.DUMMYFUNCTION("""COMPUTED_VALUE"""),"BYU")</f>
        <v>BYU</v>
      </c>
      <c r="O27" t="str">
        <f>IFERROR(__xludf.DUMMYFUNCTION("""COMPUTED_VALUE"""),"California")</f>
        <v>California</v>
      </c>
      <c r="P27" t="str">
        <f>IFERROR(__xludf.DUMMYFUNCTION("""COMPUTED_VALUE"""),"Central Michigan")</f>
        <v>Central Michigan</v>
      </c>
      <c r="Q27" t="str">
        <f>IFERROR(__xludf.DUMMYFUNCTION("""COMPUTED_VALUE"""),"Charlotte")</f>
        <v>Charlotte</v>
      </c>
      <c r="R27" t="str">
        <f>IFERROR(__xludf.DUMMYFUNCTION("""COMPUTED_VALUE"""),"Cincinnati")</f>
        <v>Cincinnati</v>
      </c>
      <c r="S27" t="str">
        <f>IFERROR(__xludf.DUMMYFUNCTION("""COMPUTED_VALUE"""),"Coastal Carolina")</f>
        <v>Coastal Carolina</v>
      </c>
      <c r="T27" t="str">
        <f>IFERROR(__xludf.DUMMYFUNCTION("""COMPUTED_VALUE"""),"Colorado")</f>
        <v>Colorado</v>
      </c>
      <c r="U27" t="str">
        <f>IFERROR(__xludf.DUMMYFUNCTION("""COMPUTED_VALUE"""),"Colorado State")</f>
        <v>Colorado State</v>
      </c>
      <c r="V27" t="str">
        <f>IFERROR(__xludf.DUMMYFUNCTION("""COMPUTED_VALUE"""),"Delaware")</f>
        <v>Delaware</v>
      </c>
      <c r="W27" t="str">
        <f>IFERROR(__xludf.DUMMYFUNCTION("""COMPUTED_VALUE"""),"Duke")</f>
        <v>Duke</v>
      </c>
      <c r="X27" t="str">
        <f>IFERROR(__xludf.DUMMYFUNCTION("""COMPUTED_VALUE"""),"East Carolina")</f>
        <v>East Carolina</v>
      </c>
      <c r="Y27" t="str">
        <f>IFERROR(__xludf.DUMMYFUNCTION("""COMPUTED_VALUE"""),"EMU")</f>
        <v>EMU</v>
      </c>
      <c r="Z27" t="str">
        <f>IFERROR(__xludf.DUMMYFUNCTION("""COMPUTED_VALUE"""),"Florida")</f>
        <v>Florida</v>
      </c>
      <c r="AA27" t="str">
        <f>IFERROR(__xludf.DUMMYFUNCTION("""COMPUTED_VALUE"""),"Florida Atlantic")</f>
        <v>Florida Atlantic</v>
      </c>
      <c r="AB27" t="str">
        <f>IFERROR(__xludf.DUMMYFUNCTION("""COMPUTED_VALUE"""),"Florida Intl")</f>
        <v>Florida Intl</v>
      </c>
      <c r="AC27" t="str">
        <f>IFERROR(__xludf.DUMMYFUNCTION("""COMPUTED_VALUE"""),"Florida State")</f>
        <v>Florida State</v>
      </c>
      <c r="AD27" t="str">
        <f>IFERROR(__xludf.DUMMYFUNCTION("""COMPUTED_VALUE"""),"Fresno State")</f>
        <v>Fresno State</v>
      </c>
      <c r="AE27" t="str">
        <f>IFERROR(__xludf.DUMMYFUNCTION("""COMPUTED_VALUE"""),"Georgia Southern")</f>
        <v>Georgia Southern</v>
      </c>
      <c r="AF27" t="str">
        <f>IFERROR(__xludf.DUMMYFUNCTION("""COMPUTED_VALUE"""),"Georgia State")</f>
        <v>Georgia State</v>
      </c>
      <c r="AG27" t="str">
        <f>IFERROR(__xludf.DUMMYFUNCTION("""COMPUTED_VALUE"""),"Georgia Tech")</f>
        <v>Georgia Tech</v>
      </c>
      <c r="AH27" t="str">
        <f>IFERROR(__xludf.DUMMYFUNCTION("""COMPUTED_VALUE"""),"Hawaii")</f>
        <v>Hawaii</v>
      </c>
      <c r="AI27" t="str">
        <f>IFERROR(__xludf.DUMMYFUNCTION("""COMPUTED_VALUE"""),"Houston")</f>
        <v>Houston</v>
      </c>
      <c r="AJ27" t="str">
        <f>IFERROR(__xludf.DUMMYFUNCTION("""COMPUTED_VALUE"""),"Illinois")</f>
        <v>Illinois</v>
      </c>
      <c r="AK27" t="str">
        <f>IFERROR(__xludf.DUMMYFUNCTION("""COMPUTED_VALUE"""),"Indiana")</f>
        <v>Indiana</v>
      </c>
      <c r="AL27" t="str">
        <f>IFERROR(__xludf.DUMMYFUNCTION("""COMPUTED_VALUE"""),"Iowa")</f>
        <v>Iowa</v>
      </c>
      <c r="AM27" t="str">
        <f>IFERROR(__xludf.DUMMYFUNCTION("""COMPUTED_VALUE"""),"Iowa State")</f>
        <v>Iowa State</v>
      </c>
      <c r="AN27" t="str">
        <f>IFERROR(__xludf.DUMMYFUNCTION("""COMPUTED_VALUE"""),"Jacksonville State")</f>
        <v>Jacksonville State</v>
      </c>
      <c r="AO27" t="str">
        <f>IFERROR(__xludf.DUMMYFUNCTION("""COMPUTED_VALUE"""),"Kansas")</f>
        <v>Kansas</v>
      </c>
      <c r="AP27" t="str">
        <f>IFERROR(__xludf.DUMMYFUNCTION("""COMPUTED_VALUE"""),"Kansas State")</f>
        <v>Kansas State</v>
      </c>
      <c r="AQ27" t="str">
        <f>IFERROR(__xludf.DUMMYFUNCTION("""COMPUTED_VALUE"""),"Kennesaw State")</f>
        <v>Kennesaw State</v>
      </c>
      <c r="AR27" t="str">
        <f>IFERROR(__xludf.DUMMYFUNCTION("""COMPUTED_VALUE"""),"Kent State")</f>
        <v>Kent State</v>
      </c>
      <c r="AS27" t="str">
        <f>IFERROR(__xludf.DUMMYFUNCTION("""COMPUTED_VALUE"""),"Kentucky")</f>
        <v>Kentucky</v>
      </c>
      <c r="AT27" t="str">
        <f>IFERROR(__xludf.DUMMYFUNCTION("""COMPUTED_VALUE"""),"Louisiana Tech")</f>
        <v>Louisiana Tech</v>
      </c>
      <c r="AU27" t="str">
        <f>IFERROR(__xludf.DUMMYFUNCTION("""COMPUTED_VALUE"""),"Louisville")</f>
        <v>Louisville</v>
      </c>
      <c r="AV27" t="str">
        <f>IFERROR(__xludf.DUMMYFUNCTION("""COMPUTED_VALUE"""),"LSU")</f>
        <v>LSU</v>
      </c>
      <c r="AW27" t="str">
        <f>IFERROR(__xludf.DUMMYFUNCTION("""COMPUTED_VALUE"""),"Marshall")</f>
        <v>Marshall</v>
      </c>
      <c r="AX27" t="str">
        <f>IFERROR(__xludf.DUMMYFUNCTION("""COMPUTED_VALUE"""),"Maryland")</f>
        <v>Maryland</v>
      </c>
      <c r="AY27" t="str">
        <f>IFERROR(__xludf.DUMMYFUNCTION("""COMPUTED_VALUE"""),"Miami-OH")</f>
        <v>Miami-OH</v>
      </c>
      <c r="AZ27" t="str">
        <f>IFERROR(__xludf.DUMMYFUNCTION("""COMPUTED_VALUE"""),"Michigan State")</f>
        <v>Michigan State</v>
      </c>
      <c r="BA27" t="str">
        <f>IFERROR(__xludf.DUMMYFUNCTION("""COMPUTED_VALUE"""),"Middle Tennessee")</f>
        <v>Middle Tennessee</v>
      </c>
      <c r="BB27" t="str">
        <f>IFERROR(__xludf.DUMMYFUNCTION("""COMPUTED_VALUE"""),"Minnesota")</f>
        <v>Minnesota</v>
      </c>
      <c r="BC27" t="str">
        <f>IFERROR(__xludf.DUMMYFUNCTION("""COMPUTED_VALUE"""),"Mississippi State")</f>
        <v>Mississippi State</v>
      </c>
      <c r="BD27" t="str">
        <f>IFERROR(__xludf.DUMMYFUNCTION("""COMPUTED_VALUE"""),"Missouri")</f>
        <v>Missouri</v>
      </c>
      <c r="BE27" t="str">
        <f>IFERROR(__xludf.DUMMYFUNCTION("""COMPUTED_VALUE"""),"Missouri State")</f>
        <v>Missouri State</v>
      </c>
      <c r="BF27" t="str">
        <f>IFERROR(__xludf.DUMMYFUNCTION("""COMPUTED_VALUE"""),"NC State")</f>
        <v>NC State</v>
      </c>
      <c r="BG27" t="str">
        <f>IFERROR(__xludf.DUMMYFUNCTION("""COMPUTED_VALUE"""),"Nebraska")</f>
        <v>Nebraska</v>
      </c>
      <c r="BH27" t="str">
        <f>IFERROR(__xludf.DUMMYFUNCTION("""COMPUTED_VALUE"""),"Nevada")</f>
        <v>Nevada</v>
      </c>
      <c r="BI27" t="str">
        <f>IFERROR(__xludf.DUMMYFUNCTION("""COMPUTED_VALUE"""),"New Mexico")</f>
        <v>New Mexico</v>
      </c>
      <c r="BJ27" t="str">
        <f>IFERROR(__xludf.DUMMYFUNCTION("""COMPUTED_VALUE"""),"New Mexico State")</f>
        <v>New Mexico State</v>
      </c>
      <c r="BK27" t="str">
        <f>IFERROR(__xludf.DUMMYFUNCTION("""COMPUTED_VALUE"""),"North Carolina")</f>
        <v>North Carolina</v>
      </c>
      <c r="BL27" t="str">
        <f>IFERROR(__xludf.DUMMYFUNCTION("""COMPUTED_VALUE"""),"North Texas")</f>
        <v>North Texas</v>
      </c>
      <c r="BM27" t="str">
        <f>IFERROR(__xludf.DUMMYFUNCTION("""COMPUTED_VALUE"""),"Northern Illinois")</f>
        <v>Northern Illinois</v>
      </c>
      <c r="BN27" t="str">
        <f>IFERROR(__xludf.DUMMYFUNCTION("""COMPUTED_VALUE"""),"Northwestern")</f>
        <v>Northwestern</v>
      </c>
      <c r="BO27" t="str">
        <f>IFERROR(__xludf.DUMMYFUNCTION("""COMPUTED_VALUE"""),"Ohio")</f>
        <v>Ohio</v>
      </c>
      <c r="BP27" t="str">
        <f>IFERROR(__xludf.DUMMYFUNCTION("""COMPUTED_VALUE"""),"Oklahoma")</f>
        <v>Oklahoma</v>
      </c>
      <c r="BQ27" t="str">
        <f>IFERROR(__xludf.DUMMYFUNCTION("""COMPUTED_VALUE"""),"Oklahoma State")</f>
        <v>Oklahoma State</v>
      </c>
      <c r="BR27" t="str">
        <f>IFERROR(__xludf.DUMMYFUNCTION("""COMPUTED_VALUE"""),"Old Dominion")</f>
        <v>Old Dominion</v>
      </c>
      <c r="BS27" t="str">
        <f>IFERROR(__xludf.DUMMYFUNCTION("""COMPUTED_VALUE"""),"Ole Miss")</f>
        <v>Ole Miss</v>
      </c>
      <c r="BT27" t="str">
        <f>IFERROR(__xludf.DUMMYFUNCTION("""COMPUTED_VALUE"""),"Oregon State")</f>
        <v>Oregon State</v>
      </c>
      <c r="BU27" t="str">
        <f>IFERROR(__xludf.DUMMYFUNCTION("""COMPUTED_VALUE"""),"Pittsburgh")</f>
        <v>Pittsburgh</v>
      </c>
      <c r="BV27" t="str">
        <f>IFERROR(__xludf.DUMMYFUNCTION("""COMPUTED_VALUE"""),"Purdue")</f>
        <v>Purdue</v>
      </c>
      <c r="BW27" t="str">
        <f>IFERROR(__xludf.DUMMYFUNCTION("""COMPUTED_VALUE"""),"Rice")</f>
        <v>Rice</v>
      </c>
      <c r="BX27" t="str">
        <f>IFERROR(__xludf.DUMMYFUNCTION("""COMPUTED_VALUE"""),"Rutgers")</f>
        <v>Rutgers</v>
      </c>
      <c r="BY27" t="str">
        <f>IFERROR(__xludf.DUMMYFUNCTION("""COMPUTED_VALUE"""),"Sam Houston")</f>
        <v>Sam Houston</v>
      </c>
      <c r="BZ27" t="str">
        <f>IFERROR(__xludf.DUMMYFUNCTION("""COMPUTED_VALUE"""),"San Diego State")</f>
        <v>San Diego State</v>
      </c>
      <c r="CA27" t="str">
        <f>IFERROR(__xludf.DUMMYFUNCTION("""COMPUTED_VALUE"""),"South Alabama")</f>
        <v>South Alabama</v>
      </c>
      <c r="CB27" t="str">
        <f>IFERROR(__xludf.DUMMYFUNCTION("""COMPUTED_VALUE"""),"South Carolina")</f>
        <v>South Carolina</v>
      </c>
      <c r="CC27" t="str">
        <f>IFERROR(__xludf.DUMMYFUNCTION("""COMPUTED_VALUE"""),"South Florida")</f>
        <v>South Florida</v>
      </c>
      <c r="CD27" t="str">
        <f>IFERROR(__xludf.DUMMYFUNCTION("""COMPUTED_VALUE"""),"Southern Mississippi")</f>
        <v>Southern Mississippi</v>
      </c>
      <c r="CE27" t="str">
        <f>IFERROR(__xludf.DUMMYFUNCTION("""COMPUTED_VALUE"""),"Stanford")</f>
        <v>Stanford</v>
      </c>
      <c r="CF27" t="str">
        <f>IFERROR(__xludf.DUMMYFUNCTION("""COMPUTED_VALUE"""),"Syracuse")</f>
        <v>Syracuse</v>
      </c>
      <c r="CG27" t="str">
        <f>IFERROR(__xludf.DUMMYFUNCTION("""COMPUTED_VALUE"""),"TCU")</f>
        <v>TCU</v>
      </c>
      <c r="CH27" t="str">
        <f>IFERROR(__xludf.DUMMYFUNCTION("""COMPUTED_VALUE"""),"Temple")</f>
        <v>Temple</v>
      </c>
      <c r="CI27" t="str">
        <f>IFERROR(__xludf.DUMMYFUNCTION("""COMPUTED_VALUE"""),"Tennessee")</f>
        <v>Tennessee</v>
      </c>
      <c r="CJ27" t="str">
        <f>IFERROR(__xludf.DUMMYFUNCTION("""COMPUTED_VALUE"""),"Texas A&amp;M")</f>
        <v>Texas A&amp;M</v>
      </c>
      <c r="CK27" t="str">
        <f>IFERROR(__xludf.DUMMYFUNCTION("""COMPUTED_VALUE"""),"Texas State")</f>
        <v>Texas State</v>
      </c>
      <c r="CL27" t="str">
        <f>IFERROR(__xludf.DUMMYFUNCTION("""COMPUTED_VALUE"""),"Troy")</f>
        <v>Troy</v>
      </c>
      <c r="CM27" t="str">
        <f>IFERROR(__xludf.DUMMYFUNCTION("""COMPUTED_VALUE"""),"Tulsa")</f>
        <v>Tulsa</v>
      </c>
      <c r="CN27" t="str">
        <f>IFERROR(__xludf.DUMMYFUNCTION("""COMPUTED_VALUE"""),"UAB")</f>
        <v>UAB</v>
      </c>
      <c r="CO27" t="str">
        <f>IFERROR(__xludf.DUMMYFUNCTION("""COMPUTED_VALUE"""),"UCF")</f>
        <v>UCF</v>
      </c>
      <c r="CP27" t="str">
        <f>IFERROR(__xludf.DUMMYFUNCTION("""COMPUTED_VALUE"""),"UCLA")</f>
        <v>UCLA</v>
      </c>
      <c r="CQ27" t="str">
        <f>IFERROR(__xludf.DUMMYFUNCTION("""COMPUTED_VALUE"""),"UConn")</f>
        <v>UConn</v>
      </c>
      <c r="CR27" t="str">
        <f>IFERROR(__xludf.DUMMYFUNCTION("""COMPUTED_VALUE"""),"UL Lafayette")</f>
        <v>UL Lafayette</v>
      </c>
      <c r="CS27" t="str">
        <f>IFERROR(__xludf.DUMMYFUNCTION("""COMPUTED_VALUE"""),"UL Monroe")</f>
        <v>UL Monroe</v>
      </c>
      <c r="CT27" t="str">
        <f>IFERROR(__xludf.DUMMYFUNCTION("""COMPUTED_VALUE"""),"UMASS")</f>
        <v>UMASS</v>
      </c>
      <c r="CU27" t="str">
        <f>IFERROR(__xludf.DUMMYFUNCTION("""COMPUTED_VALUE"""),"Utah State")</f>
        <v>Utah State</v>
      </c>
      <c r="CV27" t="str">
        <f>IFERROR(__xludf.DUMMYFUNCTION("""COMPUTED_VALUE"""),"UTEP")</f>
        <v>UTEP</v>
      </c>
      <c r="CW27" t="str">
        <f>IFERROR(__xludf.DUMMYFUNCTION("""COMPUTED_VALUE"""),"UTSA")</f>
        <v>UTSA</v>
      </c>
      <c r="CX27" t="str">
        <f>IFERROR(__xludf.DUMMYFUNCTION("""COMPUTED_VALUE"""),"Vanderbilt")</f>
        <v>Vanderbilt</v>
      </c>
      <c r="CY27" t="str">
        <f>IFERROR(__xludf.DUMMYFUNCTION("""COMPUTED_VALUE"""),"Virginia")</f>
        <v>Virginia</v>
      </c>
      <c r="CZ27" t="str">
        <f>IFERROR(__xludf.DUMMYFUNCTION("""COMPUTED_VALUE"""),"Virginia Tech")</f>
        <v>Virginia Tech</v>
      </c>
      <c r="DA27" t="str">
        <f>IFERROR(__xludf.DUMMYFUNCTION("""COMPUTED_VALUE"""),"Wake Forest")</f>
        <v>Wake Forest</v>
      </c>
      <c r="DB27" t="str">
        <f>IFERROR(__xludf.DUMMYFUNCTION("""COMPUTED_VALUE"""),"Washington")</f>
        <v>Washington</v>
      </c>
      <c r="DC27" t="str">
        <f>IFERROR(__xludf.DUMMYFUNCTION("""COMPUTED_VALUE"""),"Washington State")</f>
        <v>Washington State</v>
      </c>
      <c r="DD27" t="str">
        <f>IFERROR(__xludf.DUMMYFUNCTION("""COMPUTED_VALUE"""),"West Virginia")</f>
        <v>West Virginia</v>
      </c>
      <c r="DE27" t="str">
        <f>IFERROR(__xludf.DUMMYFUNCTION("""COMPUTED_VALUE"""),"Western Michigan")</f>
        <v>Western Michigan</v>
      </c>
      <c r="DF27" t="str">
        <f>IFERROR(__xludf.DUMMYFUNCTION("""COMPUTED_VALUE"""),"Wisconsin")</f>
        <v>Wisconsin</v>
      </c>
      <c r="DG27" t="str">
        <f>IFERROR(__xludf.DUMMYFUNCTION("""COMPUTED_VALUE"""),"Wyoming")</f>
        <v>Wyoming</v>
      </c>
    </row>
    <row r="28">
      <c r="A28" s="1">
        <v>27.0</v>
      </c>
      <c r="B28" t="str">
        <f>IFERROR(__xludf.DUMMYFUNCTION("split(join("","",sort(byrow('Teams-Conference'!A$2:A1000,lambda(rw,if(iserror(match(rw,DraftTracker!F$1:F28,0)),rw,""""))),1,1)),"","",1,1)"),"Air Force")</f>
        <v>Air Force</v>
      </c>
      <c r="C28" t="str">
        <f>IFERROR(__xludf.DUMMYFUNCTION("""COMPUTED_VALUE"""),"Akron")</f>
        <v>Akron</v>
      </c>
      <c r="D28" t="str">
        <f>IFERROR(__xludf.DUMMYFUNCTION("""COMPUTED_VALUE"""),"Appalachian State")</f>
        <v>Appalachian State</v>
      </c>
      <c r="E28" t="str">
        <f>IFERROR(__xludf.DUMMYFUNCTION("""COMPUTED_VALUE"""),"Arizona")</f>
        <v>Arizona</v>
      </c>
      <c r="F28" t="str">
        <f>IFERROR(__xludf.DUMMYFUNCTION("""COMPUTED_VALUE"""),"Arkansas")</f>
        <v>Arkansas</v>
      </c>
      <c r="G28" t="str">
        <f>IFERROR(__xludf.DUMMYFUNCTION("""COMPUTED_VALUE"""),"Arkansas State")</f>
        <v>Arkansas State</v>
      </c>
      <c r="H28" t="str">
        <f>IFERROR(__xludf.DUMMYFUNCTION("""COMPUTED_VALUE"""),"Army")</f>
        <v>Army</v>
      </c>
      <c r="I28" t="str">
        <f>IFERROR(__xludf.DUMMYFUNCTION("""COMPUTED_VALUE"""),"Auburn")</f>
        <v>Auburn</v>
      </c>
      <c r="J28" t="str">
        <f>IFERROR(__xludf.DUMMYFUNCTION("""COMPUTED_VALUE"""),"Ball State")</f>
        <v>Ball State</v>
      </c>
      <c r="K28" t="str">
        <f>IFERROR(__xludf.DUMMYFUNCTION("""COMPUTED_VALUE"""),"Baylor")</f>
        <v>Baylor</v>
      </c>
      <c r="L28" t="str">
        <f>IFERROR(__xludf.DUMMYFUNCTION("""COMPUTED_VALUE"""),"Boston College")</f>
        <v>Boston College</v>
      </c>
      <c r="M28" t="str">
        <f>IFERROR(__xludf.DUMMYFUNCTION("""COMPUTED_VALUE"""),"Bowling Green")</f>
        <v>Bowling Green</v>
      </c>
      <c r="N28" t="str">
        <f>IFERROR(__xludf.DUMMYFUNCTION("""COMPUTED_VALUE"""),"BYU")</f>
        <v>BYU</v>
      </c>
      <c r="O28" t="str">
        <f>IFERROR(__xludf.DUMMYFUNCTION("""COMPUTED_VALUE"""),"California")</f>
        <v>California</v>
      </c>
      <c r="P28" t="str">
        <f>IFERROR(__xludf.DUMMYFUNCTION("""COMPUTED_VALUE"""),"Central Michigan")</f>
        <v>Central Michigan</v>
      </c>
      <c r="Q28" t="str">
        <f>IFERROR(__xludf.DUMMYFUNCTION("""COMPUTED_VALUE"""),"Charlotte")</f>
        <v>Charlotte</v>
      </c>
      <c r="R28" t="str">
        <f>IFERROR(__xludf.DUMMYFUNCTION("""COMPUTED_VALUE"""),"Cincinnati")</f>
        <v>Cincinnati</v>
      </c>
      <c r="S28" t="str">
        <f>IFERROR(__xludf.DUMMYFUNCTION("""COMPUTED_VALUE"""),"Coastal Carolina")</f>
        <v>Coastal Carolina</v>
      </c>
      <c r="T28" t="str">
        <f>IFERROR(__xludf.DUMMYFUNCTION("""COMPUTED_VALUE"""),"Colorado")</f>
        <v>Colorado</v>
      </c>
      <c r="U28" t="str">
        <f>IFERROR(__xludf.DUMMYFUNCTION("""COMPUTED_VALUE"""),"Colorado State")</f>
        <v>Colorado State</v>
      </c>
      <c r="V28" t="str">
        <f>IFERROR(__xludf.DUMMYFUNCTION("""COMPUTED_VALUE"""),"Delaware")</f>
        <v>Delaware</v>
      </c>
      <c r="W28" t="str">
        <f>IFERROR(__xludf.DUMMYFUNCTION("""COMPUTED_VALUE"""),"Duke")</f>
        <v>Duke</v>
      </c>
      <c r="X28" t="str">
        <f>IFERROR(__xludf.DUMMYFUNCTION("""COMPUTED_VALUE"""),"East Carolina")</f>
        <v>East Carolina</v>
      </c>
      <c r="Y28" t="str">
        <f>IFERROR(__xludf.DUMMYFUNCTION("""COMPUTED_VALUE"""),"EMU")</f>
        <v>EMU</v>
      </c>
      <c r="Z28" t="str">
        <f>IFERROR(__xludf.DUMMYFUNCTION("""COMPUTED_VALUE"""),"Florida")</f>
        <v>Florida</v>
      </c>
      <c r="AA28" t="str">
        <f>IFERROR(__xludf.DUMMYFUNCTION("""COMPUTED_VALUE"""),"Florida Atlantic")</f>
        <v>Florida Atlantic</v>
      </c>
      <c r="AB28" t="str">
        <f>IFERROR(__xludf.DUMMYFUNCTION("""COMPUTED_VALUE"""),"Florida Intl")</f>
        <v>Florida Intl</v>
      </c>
      <c r="AC28" t="str">
        <f>IFERROR(__xludf.DUMMYFUNCTION("""COMPUTED_VALUE"""),"Florida State")</f>
        <v>Florida State</v>
      </c>
      <c r="AD28" t="str">
        <f>IFERROR(__xludf.DUMMYFUNCTION("""COMPUTED_VALUE"""),"Fresno State")</f>
        <v>Fresno State</v>
      </c>
      <c r="AE28" t="str">
        <f>IFERROR(__xludf.DUMMYFUNCTION("""COMPUTED_VALUE"""),"Georgia Southern")</f>
        <v>Georgia Southern</v>
      </c>
      <c r="AF28" t="str">
        <f>IFERROR(__xludf.DUMMYFUNCTION("""COMPUTED_VALUE"""),"Georgia State")</f>
        <v>Georgia State</v>
      </c>
      <c r="AG28" t="str">
        <f>IFERROR(__xludf.DUMMYFUNCTION("""COMPUTED_VALUE"""),"Georgia Tech")</f>
        <v>Georgia Tech</v>
      </c>
      <c r="AH28" t="str">
        <f>IFERROR(__xludf.DUMMYFUNCTION("""COMPUTED_VALUE"""),"Hawaii")</f>
        <v>Hawaii</v>
      </c>
      <c r="AI28" t="str">
        <f>IFERROR(__xludf.DUMMYFUNCTION("""COMPUTED_VALUE"""),"Houston")</f>
        <v>Houston</v>
      </c>
      <c r="AJ28" t="str">
        <f>IFERROR(__xludf.DUMMYFUNCTION("""COMPUTED_VALUE"""),"Illinois")</f>
        <v>Illinois</v>
      </c>
      <c r="AK28" t="str">
        <f>IFERROR(__xludf.DUMMYFUNCTION("""COMPUTED_VALUE"""),"Indiana")</f>
        <v>Indiana</v>
      </c>
      <c r="AL28" t="str">
        <f>IFERROR(__xludf.DUMMYFUNCTION("""COMPUTED_VALUE"""),"Iowa")</f>
        <v>Iowa</v>
      </c>
      <c r="AM28" t="str">
        <f>IFERROR(__xludf.DUMMYFUNCTION("""COMPUTED_VALUE"""),"Iowa State")</f>
        <v>Iowa State</v>
      </c>
      <c r="AN28" t="str">
        <f>IFERROR(__xludf.DUMMYFUNCTION("""COMPUTED_VALUE"""),"Jacksonville State")</f>
        <v>Jacksonville State</v>
      </c>
      <c r="AO28" t="str">
        <f>IFERROR(__xludf.DUMMYFUNCTION("""COMPUTED_VALUE"""),"Kansas")</f>
        <v>Kansas</v>
      </c>
      <c r="AP28" t="str">
        <f>IFERROR(__xludf.DUMMYFUNCTION("""COMPUTED_VALUE"""),"Kennesaw State")</f>
        <v>Kennesaw State</v>
      </c>
      <c r="AQ28" t="str">
        <f>IFERROR(__xludf.DUMMYFUNCTION("""COMPUTED_VALUE"""),"Kent State")</f>
        <v>Kent State</v>
      </c>
      <c r="AR28" t="str">
        <f>IFERROR(__xludf.DUMMYFUNCTION("""COMPUTED_VALUE"""),"Kentucky")</f>
        <v>Kentucky</v>
      </c>
      <c r="AS28" t="str">
        <f>IFERROR(__xludf.DUMMYFUNCTION("""COMPUTED_VALUE"""),"Louisiana Tech")</f>
        <v>Louisiana Tech</v>
      </c>
      <c r="AT28" t="str">
        <f>IFERROR(__xludf.DUMMYFUNCTION("""COMPUTED_VALUE"""),"Louisville")</f>
        <v>Louisville</v>
      </c>
      <c r="AU28" t="str">
        <f>IFERROR(__xludf.DUMMYFUNCTION("""COMPUTED_VALUE"""),"LSU")</f>
        <v>LSU</v>
      </c>
      <c r="AV28" t="str">
        <f>IFERROR(__xludf.DUMMYFUNCTION("""COMPUTED_VALUE"""),"Marshall")</f>
        <v>Marshall</v>
      </c>
      <c r="AW28" t="str">
        <f>IFERROR(__xludf.DUMMYFUNCTION("""COMPUTED_VALUE"""),"Maryland")</f>
        <v>Maryland</v>
      </c>
      <c r="AX28" t="str">
        <f>IFERROR(__xludf.DUMMYFUNCTION("""COMPUTED_VALUE"""),"Miami-OH")</f>
        <v>Miami-OH</v>
      </c>
      <c r="AY28" t="str">
        <f>IFERROR(__xludf.DUMMYFUNCTION("""COMPUTED_VALUE"""),"Michigan State")</f>
        <v>Michigan State</v>
      </c>
      <c r="AZ28" t="str">
        <f>IFERROR(__xludf.DUMMYFUNCTION("""COMPUTED_VALUE"""),"Middle Tennessee")</f>
        <v>Middle Tennessee</v>
      </c>
      <c r="BA28" t="str">
        <f>IFERROR(__xludf.DUMMYFUNCTION("""COMPUTED_VALUE"""),"Minnesota")</f>
        <v>Minnesota</v>
      </c>
      <c r="BB28" t="str">
        <f>IFERROR(__xludf.DUMMYFUNCTION("""COMPUTED_VALUE"""),"Mississippi State")</f>
        <v>Mississippi State</v>
      </c>
      <c r="BC28" t="str">
        <f>IFERROR(__xludf.DUMMYFUNCTION("""COMPUTED_VALUE"""),"Missouri")</f>
        <v>Missouri</v>
      </c>
      <c r="BD28" t="str">
        <f>IFERROR(__xludf.DUMMYFUNCTION("""COMPUTED_VALUE"""),"Missouri State")</f>
        <v>Missouri State</v>
      </c>
      <c r="BE28" t="str">
        <f>IFERROR(__xludf.DUMMYFUNCTION("""COMPUTED_VALUE"""),"NC State")</f>
        <v>NC State</v>
      </c>
      <c r="BF28" t="str">
        <f>IFERROR(__xludf.DUMMYFUNCTION("""COMPUTED_VALUE"""),"Nebraska")</f>
        <v>Nebraska</v>
      </c>
      <c r="BG28" t="str">
        <f>IFERROR(__xludf.DUMMYFUNCTION("""COMPUTED_VALUE"""),"Nevada")</f>
        <v>Nevada</v>
      </c>
      <c r="BH28" t="str">
        <f>IFERROR(__xludf.DUMMYFUNCTION("""COMPUTED_VALUE"""),"New Mexico")</f>
        <v>New Mexico</v>
      </c>
      <c r="BI28" t="str">
        <f>IFERROR(__xludf.DUMMYFUNCTION("""COMPUTED_VALUE"""),"New Mexico State")</f>
        <v>New Mexico State</v>
      </c>
      <c r="BJ28" t="str">
        <f>IFERROR(__xludf.DUMMYFUNCTION("""COMPUTED_VALUE"""),"North Carolina")</f>
        <v>North Carolina</v>
      </c>
      <c r="BK28" t="str">
        <f>IFERROR(__xludf.DUMMYFUNCTION("""COMPUTED_VALUE"""),"North Texas")</f>
        <v>North Texas</v>
      </c>
      <c r="BL28" t="str">
        <f>IFERROR(__xludf.DUMMYFUNCTION("""COMPUTED_VALUE"""),"Northern Illinois")</f>
        <v>Northern Illinois</v>
      </c>
      <c r="BM28" t="str">
        <f>IFERROR(__xludf.DUMMYFUNCTION("""COMPUTED_VALUE"""),"Northwestern")</f>
        <v>Northwestern</v>
      </c>
      <c r="BN28" t="str">
        <f>IFERROR(__xludf.DUMMYFUNCTION("""COMPUTED_VALUE"""),"Ohio")</f>
        <v>Ohio</v>
      </c>
      <c r="BO28" t="str">
        <f>IFERROR(__xludf.DUMMYFUNCTION("""COMPUTED_VALUE"""),"Oklahoma")</f>
        <v>Oklahoma</v>
      </c>
      <c r="BP28" t="str">
        <f>IFERROR(__xludf.DUMMYFUNCTION("""COMPUTED_VALUE"""),"Oklahoma State")</f>
        <v>Oklahoma State</v>
      </c>
      <c r="BQ28" t="str">
        <f>IFERROR(__xludf.DUMMYFUNCTION("""COMPUTED_VALUE"""),"Old Dominion")</f>
        <v>Old Dominion</v>
      </c>
      <c r="BR28" t="str">
        <f>IFERROR(__xludf.DUMMYFUNCTION("""COMPUTED_VALUE"""),"Ole Miss")</f>
        <v>Ole Miss</v>
      </c>
      <c r="BS28" t="str">
        <f>IFERROR(__xludf.DUMMYFUNCTION("""COMPUTED_VALUE"""),"Oregon State")</f>
        <v>Oregon State</v>
      </c>
      <c r="BT28" t="str">
        <f>IFERROR(__xludf.DUMMYFUNCTION("""COMPUTED_VALUE"""),"Pittsburgh")</f>
        <v>Pittsburgh</v>
      </c>
      <c r="BU28" t="str">
        <f>IFERROR(__xludf.DUMMYFUNCTION("""COMPUTED_VALUE"""),"Purdue")</f>
        <v>Purdue</v>
      </c>
      <c r="BV28" t="str">
        <f>IFERROR(__xludf.DUMMYFUNCTION("""COMPUTED_VALUE"""),"Rice")</f>
        <v>Rice</v>
      </c>
      <c r="BW28" t="str">
        <f>IFERROR(__xludf.DUMMYFUNCTION("""COMPUTED_VALUE"""),"Rutgers")</f>
        <v>Rutgers</v>
      </c>
      <c r="BX28" t="str">
        <f>IFERROR(__xludf.DUMMYFUNCTION("""COMPUTED_VALUE"""),"Sam Houston")</f>
        <v>Sam Houston</v>
      </c>
      <c r="BY28" t="str">
        <f>IFERROR(__xludf.DUMMYFUNCTION("""COMPUTED_VALUE"""),"San Diego State")</f>
        <v>San Diego State</v>
      </c>
      <c r="BZ28" t="str">
        <f>IFERROR(__xludf.DUMMYFUNCTION("""COMPUTED_VALUE"""),"South Alabama")</f>
        <v>South Alabama</v>
      </c>
      <c r="CA28" t="str">
        <f>IFERROR(__xludf.DUMMYFUNCTION("""COMPUTED_VALUE"""),"South Carolina")</f>
        <v>South Carolina</v>
      </c>
      <c r="CB28" t="str">
        <f>IFERROR(__xludf.DUMMYFUNCTION("""COMPUTED_VALUE"""),"South Florida")</f>
        <v>South Florida</v>
      </c>
      <c r="CC28" t="str">
        <f>IFERROR(__xludf.DUMMYFUNCTION("""COMPUTED_VALUE"""),"Southern Mississippi")</f>
        <v>Southern Mississippi</v>
      </c>
      <c r="CD28" t="str">
        <f>IFERROR(__xludf.DUMMYFUNCTION("""COMPUTED_VALUE"""),"Stanford")</f>
        <v>Stanford</v>
      </c>
      <c r="CE28" t="str">
        <f>IFERROR(__xludf.DUMMYFUNCTION("""COMPUTED_VALUE"""),"Syracuse")</f>
        <v>Syracuse</v>
      </c>
      <c r="CF28" t="str">
        <f>IFERROR(__xludf.DUMMYFUNCTION("""COMPUTED_VALUE"""),"TCU")</f>
        <v>TCU</v>
      </c>
      <c r="CG28" t="str">
        <f>IFERROR(__xludf.DUMMYFUNCTION("""COMPUTED_VALUE"""),"Temple")</f>
        <v>Temple</v>
      </c>
      <c r="CH28" t="str">
        <f>IFERROR(__xludf.DUMMYFUNCTION("""COMPUTED_VALUE"""),"Tennessee")</f>
        <v>Tennessee</v>
      </c>
      <c r="CI28" t="str">
        <f>IFERROR(__xludf.DUMMYFUNCTION("""COMPUTED_VALUE"""),"Texas A&amp;M")</f>
        <v>Texas A&amp;M</v>
      </c>
      <c r="CJ28" t="str">
        <f>IFERROR(__xludf.DUMMYFUNCTION("""COMPUTED_VALUE"""),"Texas State")</f>
        <v>Texas State</v>
      </c>
      <c r="CK28" t="str">
        <f>IFERROR(__xludf.DUMMYFUNCTION("""COMPUTED_VALUE"""),"Troy")</f>
        <v>Troy</v>
      </c>
      <c r="CL28" t="str">
        <f>IFERROR(__xludf.DUMMYFUNCTION("""COMPUTED_VALUE"""),"Tulsa")</f>
        <v>Tulsa</v>
      </c>
      <c r="CM28" t="str">
        <f>IFERROR(__xludf.DUMMYFUNCTION("""COMPUTED_VALUE"""),"UAB")</f>
        <v>UAB</v>
      </c>
      <c r="CN28" t="str">
        <f>IFERROR(__xludf.DUMMYFUNCTION("""COMPUTED_VALUE"""),"UCF")</f>
        <v>UCF</v>
      </c>
      <c r="CO28" t="str">
        <f>IFERROR(__xludf.DUMMYFUNCTION("""COMPUTED_VALUE"""),"UCLA")</f>
        <v>UCLA</v>
      </c>
      <c r="CP28" t="str">
        <f>IFERROR(__xludf.DUMMYFUNCTION("""COMPUTED_VALUE"""),"UConn")</f>
        <v>UConn</v>
      </c>
      <c r="CQ28" t="str">
        <f>IFERROR(__xludf.DUMMYFUNCTION("""COMPUTED_VALUE"""),"UL Lafayette")</f>
        <v>UL Lafayette</v>
      </c>
      <c r="CR28" t="str">
        <f>IFERROR(__xludf.DUMMYFUNCTION("""COMPUTED_VALUE"""),"UL Monroe")</f>
        <v>UL Monroe</v>
      </c>
      <c r="CS28" t="str">
        <f>IFERROR(__xludf.DUMMYFUNCTION("""COMPUTED_VALUE"""),"UMASS")</f>
        <v>UMASS</v>
      </c>
      <c r="CT28" t="str">
        <f>IFERROR(__xludf.DUMMYFUNCTION("""COMPUTED_VALUE"""),"Utah State")</f>
        <v>Utah State</v>
      </c>
      <c r="CU28" t="str">
        <f>IFERROR(__xludf.DUMMYFUNCTION("""COMPUTED_VALUE"""),"UTEP")</f>
        <v>UTEP</v>
      </c>
      <c r="CV28" t="str">
        <f>IFERROR(__xludf.DUMMYFUNCTION("""COMPUTED_VALUE"""),"UTSA")</f>
        <v>UTSA</v>
      </c>
      <c r="CW28" t="str">
        <f>IFERROR(__xludf.DUMMYFUNCTION("""COMPUTED_VALUE"""),"Vanderbilt")</f>
        <v>Vanderbilt</v>
      </c>
      <c r="CX28" t="str">
        <f>IFERROR(__xludf.DUMMYFUNCTION("""COMPUTED_VALUE"""),"Virginia")</f>
        <v>Virginia</v>
      </c>
      <c r="CY28" t="str">
        <f>IFERROR(__xludf.DUMMYFUNCTION("""COMPUTED_VALUE"""),"Virginia Tech")</f>
        <v>Virginia Tech</v>
      </c>
      <c r="CZ28" t="str">
        <f>IFERROR(__xludf.DUMMYFUNCTION("""COMPUTED_VALUE"""),"Wake Forest")</f>
        <v>Wake Forest</v>
      </c>
      <c r="DA28" t="str">
        <f>IFERROR(__xludf.DUMMYFUNCTION("""COMPUTED_VALUE"""),"Washington")</f>
        <v>Washington</v>
      </c>
      <c r="DB28" t="str">
        <f>IFERROR(__xludf.DUMMYFUNCTION("""COMPUTED_VALUE"""),"Washington State")</f>
        <v>Washington State</v>
      </c>
      <c r="DC28" t="str">
        <f>IFERROR(__xludf.DUMMYFUNCTION("""COMPUTED_VALUE"""),"West Virginia")</f>
        <v>West Virginia</v>
      </c>
      <c r="DD28" t="str">
        <f>IFERROR(__xludf.DUMMYFUNCTION("""COMPUTED_VALUE"""),"Western Michigan")</f>
        <v>Western Michigan</v>
      </c>
      <c r="DE28" t="str">
        <f>IFERROR(__xludf.DUMMYFUNCTION("""COMPUTED_VALUE"""),"Wisconsin")</f>
        <v>Wisconsin</v>
      </c>
      <c r="DF28" t="str">
        <f>IFERROR(__xludf.DUMMYFUNCTION("""COMPUTED_VALUE"""),"Wyoming")</f>
        <v>Wyoming</v>
      </c>
    </row>
    <row r="29">
      <c r="A29" s="1">
        <v>28.0</v>
      </c>
      <c r="B29" t="str">
        <f>IFERROR(__xludf.DUMMYFUNCTION("split(join("","",sort(byrow('Teams-Conference'!A$2:A1000,lambda(rw,if(iserror(match(rw,DraftTracker!F$1:F29,0)),rw,""""))),1,1)),"","",1,1)"),"Air Force")</f>
        <v>Air Force</v>
      </c>
      <c r="C29" t="str">
        <f>IFERROR(__xludf.DUMMYFUNCTION("""COMPUTED_VALUE"""),"Akron")</f>
        <v>Akron</v>
      </c>
      <c r="D29" t="str">
        <f>IFERROR(__xludf.DUMMYFUNCTION("""COMPUTED_VALUE"""),"Appalachian State")</f>
        <v>Appalachian State</v>
      </c>
      <c r="E29" t="str">
        <f>IFERROR(__xludf.DUMMYFUNCTION("""COMPUTED_VALUE"""),"Arizona")</f>
        <v>Arizona</v>
      </c>
      <c r="F29" t="str">
        <f>IFERROR(__xludf.DUMMYFUNCTION("""COMPUTED_VALUE"""),"Arkansas")</f>
        <v>Arkansas</v>
      </c>
      <c r="G29" t="str">
        <f>IFERROR(__xludf.DUMMYFUNCTION("""COMPUTED_VALUE"""),"Arkansas State")</f>
        <v>Arkansas State</v>
      </c>
      <c r="H29" t="str">
        <f>IFERROR(__xludf.DUMMYFUNCTION("""COMPUTED_VALUE"""),"Army")</f>
        <v>Army</v>
      </c>
      <c r="I29" t="str">
        <f>IFERROR(__xludf.DUMMYFUNCTION("""COMPUTED_VALUE"""),"Auburn")</f>
        <v>Auburn</v>
      </c>
      <c r="J29" t="str">
        <f>IFERROR(__xludf.DUMMYFUNCTION("""COMPUTED_VALUE"""),"Ball State")</f>
        <v>Ball State</v>
      </c>
      <c r="K29" t="str">
        <f>IFERROR(__xludf.DUMMYFUNCTION("""COMPUTED_VALUE"""),"Baylor")</f>
        <v>Baylor</v>
      </c>
      <c r="L29" t="str">
        <f>IFERROR(__xludf.DUMMYFUNCTION("""COMPUTED_VALUE"""),"Boston College")</f>
        <v>Boston College</v>
      </c>
      <c r="M29" t="str">
        <f>IFERROR(__xludf.DUMMYFUNCTION("""COMPUTED_VALUE"""),"Bowling Green")</f>
        <v>Bowling Green</v>
      </c>
      <c r="N29" t="str">
        <f>IFERROR(__xludf.DUMMYFUNCTION("""COMPUTED_VALUE"""),"BYU")</f>
        <v>BYU</v>
      </c>
      <c r="O29" t="str">
        <f>IFERROR(__xludf.DUMMYFUNCTION("""COMPUTED_VALUE"""),"California")</f>
        <v>California</v>
      </c>
      <c r="P29" t="str">
        <f>IFERROR(__xludf.DUMMYFUNCTION("""COMPUTED_VALUE"""),"Central Michigan")</f>
        <v>Central Michigan</v>
      </c>
      <c r="Q29" t="str">
        <f>IFERROR(__xludf.DUMMYFUNCTION("""COMPUTED_VALUE"""),"Charlotte")</f>
        <v>Charlotte</v>
      </c>
      <c r="R29" t="str">
        <f>IFERROR(__xludf.DUMMYFUNCTION("""COMPUTED_VALUE"""),"Cincinnati")</f>
        <v>Cincinnati</v>
      </c>
      <c r="S29" t="str">
        <f>IFERROR(__xludf.DUMMYFUNCTION("""COMPUTED_VALUE"""),"Coastal Carolina")</f>
        <v>Coastal Carolina</v>
      </c>
      <c r="T29" t="str">
        <f>IFERROR(__xludf.DUMMYFUNCTION("""COMPUTED_VALUE"""),"Colorado")</f>
        <v>Colorado</v>
      </c>
      <c r="U29" t="str">
        <f>IFERROR(__xludf.DUMMYFUNCTION("""COMPUTED_VALUE"""),"Colorado State")</f>
        <v>Colorado State</v>
      </c>
      <c r="V29" t="str">
        <f>IFERROR(__xludf.DUMMYFUNCTION("""COMPUTED_VALUE"""),"Delaware")</f>
        <v>Delaware</v>
      </c>
      <c r="W29" t="str">
        <f>IFERROR(__xludf.DUMMYFUNCTION("""COMPUTED_VALUE"""),"Duke")</f>
        <v>Duke</v>
      </c>
      <c r="X29" t="str">
        <f>IFERROR(__xludf.DUMMYFUNCTION("""COMPUTED_VALUE"""),"East Carolina")</f>
        <v>East Carolina</v>
      </c>
      <c r="Y29" t="str">
        <f>IFERROR(__xludf.DUMMYFUNCTION("""COMPUTED_VALUE"""),"EMU")</f>
        <v>EMU</v>
      </c>
      <c r="Z29" t="str">
        <f>IFERROR(__xludf.DUMMYFUNCTION("""COMPUTED_VALUE"""),"Florida")</f>
        <v>Florida</v>
      </c>
      <c r="AA29" t="str">
        <f>IFERROR(__xludf.DUMMYFUNCTION("""COMPUTED_VALUE"""),"Florida Atlantic")</f>
        <v>Florida Atlantic</v>
      </c>
      <c r="AB29" t="str">
        <f>IFERROR(__xludf.DUMMYFUNCTION("""COMPUTED_VALUE"""),"Florida Intl")</f>
        <v>Florida Intl</v>
      </c>
      <c r="AC29" t="str">
        <f>IFERROR(__xludf.DUMMYFUNCTION("""COMPUTED_VALUE"""),"Florida State")</f>
        <v>Florida State</v>
      </c>
      <c r="AD29" t="str">
        <f>IFERROR(__xludf.DUMMYFUNCTION("""COMPUTED_VALUE"""),"Fresno State")</f>
        <v>Fresno State</v>
      </c>
      <c r="AE29" t="str">
        <f>IFERROR(__xludf.DUMMYFUNCTION("""COMPUTED_VALUE"""),"Georgia Southern")</f>
        <v>Georgia Southern</v>
      </c>
      <c r="AF29" t="str">
        <f>IFERROR(__xludf.DUMMYFUNCTION("""COMPUTED_VALUE"""),"Georgia State")</f>
        <v>Georgia State</v>
      </c>
      <c r="AG29" t="str">
        <f>IFERROR(__xludf.DUMMYFUNCTION("""COMPUTED_VALUE"""),"Georgia Tech")</f>
        <v>Georgia Tech</v>
      </c>
      <c r="AH29" t="str">
        <f>IFERROR(__xludf.DUMMYFUNCTION("""COMPUTED_VALUE"""),"Hawaii")</f>
        <v>Hawaii</v>
      </c>
      <c r="AI29" t="str">
        <f>IFERROR(__xludf.DUMMYFUNCTION("""COMPUTED_VALUE"""),"Houston")</f>
        <v>Houston</v>
      </c>
      <c r="AJ29" t="str">
        <f>IFERROR(__xludf.DUMMYFUNCTION("""COMPUTED_VALUE"""),"Illinois")</f>
        <v>Illinois</v>
      </c>
      <c r="AK29" t="str">
        <f>IFERROR(__xludf.DUMMYFUNCTION("""COMPUTED_VALUE"""),"Indiana")</f>
        <v>Indiana</v>
      </c>
      <c r="AL29" t="str">
        <f>IFERROR(__xludf.DUMMYFUNCTION("""COMPUTED_VALUE"""),"Iowa")</f>
        <v>Iowa</v>
      </c>
      <c r="AM29" t="str">
        <f>IFERROR(__xludf.DUMMYFUNCTION("""COMPUTED_VALUE"""),"Iowa State")</f>
        <v>Iowa State</v>
      </c>
      <c r="AN29" t="str">
        <f>IFERROR(__xludf.DUMMYFUNCTION("""COMPUTED_VALUE"""),"Jacksonville State")</f>
        <v>Jacksonville State</v>
      </c>
      <c r="AO29" t="str">
        <f>IFERROR(__xludf.DUMMYFUNCTION("""COMPUTED_VALUE"""),"Kansas")</f>
        <v>Kansas</v>
      </c>
      <c r="AP29" t="str">
        <f>IFERROR(__xludf.DUMMYFUNCTION("""COMPUTED_VALUE"""),"Kennesaw State")</f>
        <v>Kennesaw State</v>
      </c>
      <c r="AQ29" t="str">
        <f>IFERROR(__xludf.DUMMYFUNCTION("""COMPUTED_VALUE"""),"Kent State")</f>
        <v>Kent State</v>
      </c>
      <c r="AR29" t="str">
        <f>IFERROR(__xludf.DUMMYFUNCTION("""COMPUTED_VALUE"""),"Kentucky")</f>
        <v>Kentucky</v>
      </c>
      <c r="AS29" t="str">
        <f>IFERROR(__xludf.DUMMYFUNCTION("""COMPUTED_VALUE"""),"Louisiana Tech")</f>
        <v>Louisiana Tech</v>
      </c>
      <c r="AT29" t="str">
        <f>IFERROR(__xludf.DUMMYFUNCTION("""COMPUTED_VALUE"""),"Louisville")</f>
        <v>Louisville</v>
      </c>
      <c r="AU29" t="str">
        <f>IFERROR(__xludf.DUMMYFUNCTION("""COMPUTED_VALUE"""),"LSU")</f>
        <v>LSU</v>
      </c>
      <c r="AV29" t="str">
        <f>IFERROR(__xludf.DUMMYFUNCTION("""COMPUTED_VALUE"""),"Marshall")</f>
        <v>Marshall</v>
      </c>
      <c r="AW29" t="str">
        <f>IFERROR(__xludf.DUMMYFUNCTION("""COMPUTED_VALUE"""),"Maryland")</f>
        <v>Maryland</v>
      </c>
      <c r="AX29" t="str">
        <f>IFERROR(__xludf.DUMMYFUNCTION("""COMPUTED_VALUE"""),"Miami-OH")</f>
        <v>Miami-OH</v>
      </c>
      <c r="AY29" t="str">
        <f>IFERROR(__xludf.DUMMYFUNCTION("""COMPUTED_VALUE"""),"Michigan State")</f>
        <v>Michigan State</v>
      </c>
      <c r="AZ29" t="str">
        <f>IFERROR(__xludf.DUMMYFUNCTION("""COMPUTED_VALUE"""),"Middle Tennessee")</f>
        <v>Middle Tennessee</v>
      </c>
      <c r="BA29" t="str">
        <f>IFERROR(__xludf.DUMMYFUNCTION("""COMPUTED_VALUE"""),"Minnesota")</f>
        <v>Minnesota</v>
      </c>
      <c r="BB29" t="str">
        <f>IFERROR(__xludf.DUMMYFUNCTION("""COMPUTED_VALUE"""),"Mississippi State")</f>
        <v>Mississippi State</v>
      </c>
      <c r="BC29" t="str">
        <f>IFERROR(__xludf.DUMMYFUNCTION("""COMPUTED_VALUE"""),"Missouri")</f>
        <v>Missouri</v>
      </c>
      <c r="BD29" t="str">
        <f>IFERROR(__xludf.DUMMYFUNCTION("""COMPUTED_VALUE"""),"Missouri State")</f>
        <v>Missouri State</v>
      </c>
      <c r="BE29" t="str">
        <f>IFERROR(__xludf.DUMMYFUNCTION("""COMPUTED_VALUE"""),"NC State")</f>
        <v>NC State</v>
      </c>
      <c r="BF29" t="str">
        <f>IFERROR(__xludf.DUMMYFUNCTION("""COMPUTED_VALUE"""),"Nebraska")</f>
        <v>Nebraska</v>
      </c>
      <c r="BG29" t="str">
        <f>IFERROR(__xludf.DUMMYFUNCTION("""COMPUTED_VALUE"""),"Nevada")</f>
        <v>Nevada</v>
      </c>
      <c r="BH29" t="str">
        <f>IFERROR(__xludf.DUMMYFUNCTION("""COMPUTED_VALUE"""),"New Mexico")</f>
        <v>New Mexico</v>
      </c>
      <c r="BI29" t="str">
        <f>IFERROR(__xludf.DUMMYFUNCTION("""COMPUTED_VALUE"""),"New Mexico State")</f>
        <v>New Mexico State</v>
      </c>
      <c r="BJ29" t="str">
        <f>IFERROR(__xludf.DUMMYFUNCTION("""COMPUTED_VALUE"""),"North Carolina")</f>
        <v>North Carolina</v>
      </c>
      <c r="BK29" t="str">
        <f>IFERROR(__xludf.DUMMYFUNCTION("""COMPUTED_VALUE"""),"North Texas")</f>
        <v>North Texas</v>
      </c>
      <c r="BL29" t="str">
        <f>IFERROR(__xludf.DUMMYFUNCTION("""COMPUTED_VALUE"""),"Northern Illinois")</f>
        <v>Northern Illinois</v>
      </c>
      <c r="BM29" t="str">
        <f>IFERROR(__xludf.DUMMYFUNCTION("""COMPUTED_VALUE"""),"Northwestern")</f>
        <v>Northwestern</v>
      </c>
      <c r="BN29" t="str">
        <f>IFERROR(__xludf.DUMMYFUNCTION("""COMPUTED_VALUE"""),"Ohio")</f>
        <v>Ohio</v>
      </c>
      <c r="BO29" t="str">
        <f>IFERROR(__xludf.DUMMYFUNCTION("""COMPUTED_VALUE"""),"Oklahoma")</f>
        <v>Oklahoma</v>
      </c>
      <c r="BP29" t="str">
        <f>IFERROR(__xludf.DUMMYFUNCTION("""COMPUTED_VALUE"""),"Oklahoma State")</f>
        <v>Oklahoma State</v>
      </c>
      <c r="BQ29" t="str">
        <f>IFERROR(__xludf.DUMMYFUNCTION("""COMPUTED_VALUE"""),"Old Dominion")</f>
        <v>Old Dominion</v>
      </c>
      <c r="BR29" t="str">
        <f>IFERROR(__xludf.DUMMYFUNCTION("""COMPUTED_VALUE"""),"Ole Miss")</f>
        <v>Ole Miss</v>
      </c>
      <c r="BS29" t="str">
        <f>IFERROR(__xludf.DUMMYFUNCTION("""COMPUTED_VALUE"""),"Oregon State")</f>
        <v>Oregon State</v>
      </c>
      <c r="BT29" t="str">
        <f>IFERROR(__xludf.DUMMYFUNCTION("""COMPUTED_VALUE"""),"Pittsburgh")</f>
        <v>Pittsburgh</v>
      </c>
      <c r="BU29" t="str">
        <f>IFERROR(__xludf.DUMMYFUNCTION("""COMPUTED_VALUE"""),"Purdue")</f>
        <v>Purdue</v>
      </c>
      <c r="BV29" t="str">
        <f>IFERROR(__xludf.DUMMYFUNCTION("""COMPUTED_VALUE"""),"Rice")</f>
        <v>Rice</v>
      </c>
      <c r="BW29" t="str">
        <f>IFERROR(__xludf.DUMMYFUNCTION("""COMPUTED_VALUE"""),"Rutgers")</f>
        <v>Rutgers</v>
      </c>
      <c r="BX29" t="str">
        <f>IFERROR(__xludf.DUMMYFUNCTION("""COMPUTED_VALUE"""),"Sam Houston")</f>
        <v>Sam Houston</v>
      </c>
      <c r="BY29" t="str">
        <f>IFERROR(__xludf.DUMMYFUNCTION("""COMPUTED_VALUE"""),"San Diego State")</f>
        <v>San Diego State</v>
      </c>
      <c r="BZ29" t="str">
        <f>IFERROR(__xludf.DUMMYFUNCTION("""COMPUTED_VALUE"""),"South Alabama")</f>
        <v>South Alabama</v>
      </c>
      <c r="CA29" t="str">
        <f>IFERROR(__xludf.DUMMYFUNCTION("""COMPUTED_VALUE"""),"South Carolina")</f>
        <v>South Carolina</v>
      </c>
      <c r="CB29" t="str">
        <f>IFERROR(__xludf.DUMMYFUNCTION("""COMPUTED_VALUE"""),"South Florida")</f>
        <v>South Florida</v>
      </c>
      <c r="CC29" t="str">
        <f>IFERROR(__xludf.DUMMYFUNCTION("""COMPUTED_VALUE"""),"Southern Mississippi")</f>
        <v>Southern Mississippi</v>
      </c>
      <c r="CD29" t="str">
        <f>IFERROR(__xludf.DUMMYFUNCTION("""COMPUTED_VALUE"""),"Stanford")</f>
        <v>Stanford</v>
      </c>
      <c r="CE29" t="str">
        <f>IFERROR(__xludf.DUMMYFUNCTION("""COMPUTED_VALUE"""),"Syracuse")</f>
        <v>Syracuse</v>
      </c>
      <c r="CF29" t="str">
        <f>IFERROR(__xludf.DUMMYFUNCTION("""COMPUTED_VALUE"""),"TCU")</f>
        <v>TCU</v>
      </c>
      <c r="CG29" t="str">
        <f>IFERROR(__xludf.DUMMYFUNCTION("""COMPUTED_VALUE"""),"Temple")</f>
        <v>Temple</v>
      </c>
      <c r="CH29" t="str">
        <f>IFERROR(__xludf.DUMMYFUNCTION("""COMPUTED_VALUE"""),"Tennessee")</f>
        <v>Tennessee</v>
      </c>
      <c r="CI29" t="str">
        <f>IFERROR(__xludf.DUMMYFUNCTION("""COMPUTED_VALUE"""),"Texas A&amp;M")</f>
        <v>Texas A&amp;M</v>
      </c>
      <c r="CJ29" t="str">
        <f>IFERROR(__xludf.DUMMYFUNCTION("""COMPUTED_VALUE"""),"Texas State")</f>
        <v>Texas State</v>
      </c>
      <c r="CK29" t="str">
        <f>IFERROR(__xludf.DUMMYFUNCTION("""COMPUTED_VALUE"""),"Troy")</f>
        <v>Troy</v>
      </c>
      <c r="CL29" t="str">
        <f>IFERROR(__xludf.DUMMYFUNCTION("""COMPUTED_VALUE"""),"Tulsa")</f>
        <v>Tulsa</v>
      </c>
      <c r="CM29" t="str">
        <f>IFERROR(__xludf.DUMMYFUNCTION("""COMPUTED_VALUE"""),"UAB")</f>
        <v>UAB</v>
      </c>
      <c r="CN29" t="str">
        <f>IFERROR(__xludf.DUMMYFUNCTION("""COMPUTED_VALUE"""),"UCF")</f>
        <v>UCF</v>
      </c>
      <c r="CO29" t="str">
        <f>IFERROR(__xludf.DUMMYFUNCTION("""COMPUTED_VALUE"""),"UCLA")</f>
        <v>UCLA</v>
      </c>
      <c r="CP29" t="str">
        <f>IFERROR(__xludf.DUMMYFUNCTION("""COMPUTED_VALUE"""),"UConn")</f>
        <v>UConn</v>
      </c>
      <c r="CQ29" t="str">
        <f>IFERROR(__xludf.DUMMYFUNCTION("""COMPUTED_VALUE"""),"UL Monroe")</f>
        <v>UL Monroe</v>
      </c>
      <c r="CR29" t="str">
        <f>IFERROR(__xludf.DUMMYFUNCTION("""COMPUTED_VALUE"""),"UMASS")</f>
        <v>UMASS</v>
      </c>
      <c r="CS29" t="str">
        <f>IFERROR(__xludf.DUMMYFUNCTION("""COMPUTED_VALUE"""),"Utah State")</f>
        <v>Utah State</v>
      </c>
      <c r="CT29" t="str">
        <f>IFERROR(__xludf.DUMMYFUNCTION("""COMPUTED_VALUE"""),"UTEP")</f>
        <v>UTEP</v>
      </c>
      <c r="CU29" t="str">
        <f>IFERROR(__xludf.DUMMYFUNCTION("""COMPUTED_VALUE"""),"UTSA")</f>
        <v>UTSA</v>
      </c>
      <c r="CV29" t="str">
        <f>IFERROR(__xludf.DUMMYFUNCTION("""COMPUTED_VALUE"""),"Vanderbilt")</f>
        <v>Vanderbilt</v>
      </c>
      <c r="CW29" t="str">
        <f>IFERROR(__xludf.DUMMYFUNCTION("""COMPUTED_VALUE"""),"Virginia")</f>
        <v>Virginia</v>
      </c>
      <c r="CX29" t="str">
        <f>IFERROR(__xludf.DUMMYFUNCTION("""COMPUTED_VALUE"""),"Virginia Tech")</f>
        <v>Virginia Tech</v>
      </c>
      <c r="CY29" t="str">
        <f>IFERROR(__xludf.DUMMYFUNCTION("""COMPUTED_VALUE"""),"Wake Forest")</f>
        <v>Wake Forest</v>
      </c>
      <c r="CZ29" t="str">
        <f>IFERROR(__xludf.DUMMYFUNCTION("""COMPUTED_VALUE"""),"Washington")</f>
        <v>Washington</v>
      </c>
      <c r="DA29" t="str">
        <f>IFERROR(__xludf.DUMMYFUNCTION("""COMPUTED_VALUE"""),"Washington State")</f>
        <v>Washington State</v>
      </c>
      <c r="DB29" t="str">
        <f>IFERROR(__xludf.DUMMYFUNCTION("""COMPUTED_VALUE"""),"West Virginia")</f>
        <v>West Virginia</v>
      </c>
      <c r="DC29" t="str">
        <f>IFERROR(__xludf.DUMMYFUNCTION("""COMPUTED_VALUE"""),"Western Michigan")</f>
        <v>Western Michigan</v>
      </c>
      <c r="DD29" t="str">
        <f>IFERROR(__xludf.DUMMYFUNCTION("""COMPUTED_VALUE"""),"Wisconsin")</f>
        <v>Wisconsin</v>
      </c>
      <c r="DE29" t="str">
        <f>IFERROR(__xludf.DUMMYFUNCTION("""COMPUTED_VALUE"""),"Wyoming")</f>
        <v>Wyoming</v>
      </c>
    </row>
    <row r="30">
      <c r="A30" s="1">
        <v>29.0</v>
      </c>
      <c r="B30" t="str">
        <f>IFERROR(__xludf.DUMMYFUNCTION("split(join("","",sort(byrow('Teams-Conference'!A$2:A1000,lambda(rw,if(iserror(match(rw,DraftTracker!F$1:F30,0)),rw,""""))),1,1)),"","",1,1)"),"Air Force")</f>
        <v>Air Force</v>
      </c>
      <c r="C30" t="str">
        <f>IFERROR(__xludf.DUMMYFUNCTION("""COMPUTED_VALUE"""),"Akron")</f>
        <v>Akron</v>
      </c>
      <c r="D30" t="str">
        <f>IFERROR(__xludf.DUMMYFUNCTION("""COMPUTED_VALUE"""),"Appalachian State")</f>
        <v>Appalachian State</v>
      </c>
      <c r="E30" t="str">
        <f>IFERROR(__xludf.DUMMYFUNCTION("""COMPUTED_VALUE"""),"Arizona")</f>
        <v>Arizona</v>
      </c>
      <c r="F30" t="str">
        <f>IFERROR(__xludf.DUMMYFUNCTION("""COMPUTED_VALUE"""),"Arkansas")</f>
        <v>Arkansas</v>
      </c>
      <c r="G30" t="str">
        <f>IFERROR(__xludf.DUMMYFUNCTION("""COMPUTED_VALUE"""),"Arkansas State")</f>
        <v>Arkansas State</v>
      </c>
      <c r="H30" t="str">
        <f>IFERROR(__xludf.DUMMYFUNCTION("""COMPUTED_VALUE"""),"Army")</f>
        <v>Army</v>
      </c>
      <c r="I30" t="str">
        <f>IFERROR(__xludf.DUMMYFUNCTION("""COMPUTED_VALUE"""),"Auburn")</f>
        <v>Auburn</v>
      </c>
      <c r="J30" t="str">
        <f>IFERROR(__xludf.DUMMYFUNCTION("""COMPUTED_VALUE"""),"Ball State")</f>
        <v>Ball State</v>
      </c>
      <c r="K30" t="str">
        <f>IFERROR(__xludf.DUMMYFUNCTION("""COMPUTED_VALUE"""),"Baylor")</f>
        <v>Baylor</v>
      </c>
      <c r="L30" t="str">
        <f>IFERROR(__xludf.DUMMYFUNCTION("""COMPUTED_VALUE"""),"Boston College")</f>
        <v>Boston College</v>
      </c>
      <c r="M30" t="str">
        <f>IFERROR(__xludf.DUMMYFUNCTION("""COMPUTED_VALUE"""),"Bowling Green")</f>
        <v>Bowling Green</v>
      </c>
      <c r="N30" t="str">
        <f>IFERROR(__xludf.DUMMYFUNCTION("""COMPUTED_VALUE"""),"BYU")</f>
        <v>BYU</v>
      </c>
      <c r="O30" t="str">
        <f>IFERROR(__xludf.DUMMYFUNCTION("""COMPUTED_VALUE"""),"California")</f>
        <v>California</v>
      </c>
      <c r="P30" t="str">
        <f>IFERROR(__xludf.DUMMYFUNCTION("""COMPUTED_VALUE"""),"Central Michigan")</f>
        <v>Central Michigan</v>
      </c>
      <c r="Q30" t="str">
        <f>IFERROR(__xludf.DUMMYFUNCTION("""COMPUTED_VALUE"""),"Charlotte")</f>
        <v>Charlotte</v>
      </c>
      <c r="R30" t="str">
        <f>IFERROR(__xludf.DUMMYFUNCTION("""COMPUTED_VALUE"""),"Cincinnati")</f>
        <v>Cincinnati</v>
      </c>
      <c r="S30" t="str">
        <f>IFERROR(__xludf.DUMMYFUNCTION("""COMPUTED_VALUE"""),"Coastal Carolina")</f>
        <v>Coastal Carolina</v>
      </c>
      <c r="T30" t="str">
        <f>IFERROR(__xludf.DUMMYFUNCTION("""COMPUTED_VALUE"""),"Colorado")</f>
        <v>Colorado</v>
      </c>
      <c r="U30" t="str">
        <f>IFERROR(__xludf.DUMMYFUNCTION("""COMPUTED_VALUE"""),"Colorado State")</f>
        <v>Colorado State</v>
      </c>
      <c r="V30" t="str">
        <f>IFERROR(__xludf.DUMMYFUNCTION("""COMPUTED_VALUE"""),"Delaware")</f>
        <v>Delaware</v>
      </c>
      <c r="W30" t="str">
        <f>IFERROR(__xludf.DUMMYFUNCTION("""COMPUTED_VALUE"""),"Duke")</f>
        <v>Duke</v>
      </c>
      <c r="X30" t="str">
        <f>IFERROR(__xludf.DUMMYFUNCTION("""COMPUTED_VALUE"""),"East Carolina")</f>
        <v>East Carolina</v>
      </c>
      <c r="Y30" t="str">
        <f>IFERROR(__xludf.DUMMYFUNCTION("""COMPUTED_VALUE"""),"EMU")</f>
        <v>EMU</v>
      </c>
      <c r="Z30" t="str">
        <f>IFERROR(__xludf.DUMMYFUNCTION("""COMPUTED_VALUE"""),"Florida")</f>
        <v>Florida</v>
      </c>
      <c r="AA30" t="str">
        <f>IFERROR(__xludf.DUMMYFUNCTION("""COMPUTED_VALUE"""),"Florida Atlantic")</f>
        <v>Florida Atlantic</v>
      </c>
      <c r="AB30" t="str">
        <f>IFERROR(__xludf.DUMMYFUNCTION("""COMPUTED_VALUE"""),"Florida Intl")</f>
        <v>Florida Intl</v>
      </c>
      <c r="AC30" t="str">
        <f>IFERROR(__xludf.DUMMYFUNCTION("""COMPUTED_VALUE"""),"Florida State")</f>
        <v>Florida State</v>
      </c>
      <c r="AD30" t="str">
        <f>IFERROR(__xludf.DUMMYFUNCTION("""COMPUTED_VALUE"""),"Fresno State")</f>
        <v>Fresno State</v>
      </c>
      <c r="AE30" t="str">
        <f>IFERROR(__xludf.DUMMYFUNCTION("""COMPUTED_VALUE"""),"Georgia Southern")</f>
        <v>Georgia Southern</v>
      </c>
      <c r="AF30" t="str">
        <f>IFERROR(__xludf.DUMMYFUNCTION("""COMPUTED_VALUE"""),"Georgia State")</f>
        <v>Georgia State</v>
      </c>
      <c r="AG30" t="str">
        <f>IFERROR(__xludf.DUMMYFUNCTION("""COMPUTED_VALUE"""),"Georgia Tech")</f>
        <v>Georgia Tech</v>
      </c>
      <c r="AH30" t="str">
        <f>IFERROR(__xludf.DUMMYFUNCTION("""COMPUTED_VALUE"""),"Hawaii")</f>
        <v>Hawaii</v>
      </c>
      <c r="AI30" t="str">
        <f>IFERROR(__xludf.DUMMYFUNCTION("""COMPUTED_VALUE"""),"Houston")</f>
        <v>Houston</v>
      </c>
      <c r="AJ30" t="str">
        <f>IFERROR(__xludf.DUMMYFUNCTION("""COMPUTED_VALUE"""),"Illinois")</f>
        <v>Illinois</v>
      </c>
      <c r="AK30" t="str">
        <f>IFERROR(__xludf.DUMMYFUNCTION("""COMPUTED_VALUE"""),"Indiana")</f>
        <v>Indiana</v>
      </c>
      <c r="AL30" t="str">
        <f>IFERROR(__xludf.DUMMYFUNCTION("""COMPUTED_VALUE"""),"Iowa")</f>
        <v>Iowa</v>
      </c>
      <c r="AM30" t="str">
        <f>IFERROR(__xludf.DUMMYFUNCTION("""COMPUTED_VALUE"""),"Iowa State")</f>
        <v>Iowa State</v>
      </c>
      <c r="AN30" t="str">
        <f>IFERROR(__xludf.DUMMYFUNCTION("""COMPUTED_VALUE"""),"Jacksonville State")</f>
        <v>Jacksonville State</v>
      </c>
      <c r="AO30" t="str">
        <f>IFERROR(__xludf.DUMMYFUNCTION("""COMPUTED_VALUE"""),"Kansas")</f>
        <v>Kansas</v>
      </c>
      <c r="AP30" t="str">
        <f>IFERROR(__xludf.DUMMYFUNCTION("""COMPUTED_VALUE"""),"Kennesaw State")</f>
        <v>Kennesaw State</v>
      </c>
      <c r="AQ30" t="str">
        <f>IFERROR(__xludf.DUMMYFUNCTION("""COMPUTED_VALUE"""),"Kent State")</f>
        <v>Kent State</v>
      </c>
      <c r="AR30" t="str">
        <f>IFERROR(__xludf.DUMMYFUNCTION("""COMPUTED_VALUE"""),"Kentucky")</f>
        <v>Kentucky</v>
      </c>
      <c r="AS30" t="str">
        <f>IFERROR(__xludf.DUMMYFUNCTION("""COMPUTED_VALUE"""),"Louisiana Tech")</f>
        <v>Louisiana Tech</v>
      </c>
      <c r="AT30" t="str">
        <f>IFERROR(__xludf.DUMMYFUNCTION("""COMPUTED_VALUE"""),"Louisville")</f>
        <v>Louisville</v>
      </c>
      <c r="AU30" t="str">
        <f>IFERROR(__xludf.DUMMYFUNCTION("""COMPUTED_VALUE"""),"LSU")</f>
        <v>LSU</v>
      </c>
      <c r="AV30" t="str">
        <f>IFERROR(__xludf.DUMMYFUNCTION("""COMPUTED_VALUE"""),"Marshall")</f>
        <v>Marshall</v>
      </c>
      <c r="AW30" t="str">
        <f>IFERROR(__xludf.DUMMYFUNCTION("""COMPUTED_VALUE"""),"Maryland")</f>
        <v>Maryland</v>
      </c>
      <c r="AX30" t="str">
        <f>IFERROR(__xludf.DUMMYFUNCTION("""COMPUTED_VALUE"""),"Miami-OH")</f>
        <v>Miami-OH</v>
      </c>
      <c r="AY30" t="str">
        <f>IFERROR(__xludf.DUMMYFUNCTION("""COMPUTED_VALUE"""),"Michigan State")</f>
        <v>Michigan State</v>
      </c>
      <c r="AZ30" t="str">
        <f>IFERROR(__xludf.DUMMYFUNCTION("""COMPUTED_VALUE"""),"Middle Tennessee")</f>
        <v>Middle Tennessee</v>
      </c>
      <c r="BA30" t="str">
        <f>IFERROR(__xludf.DUMMYFUNCTION("""COMPUTED_VALUE"""),"Minnesota")</f>
        <v>Minnesota</v>
      </c>
      <c r="BB30" t="str">
        <f>IFERROR(__xludf.DUMMYFUNCTION("""COMPUTED_VALUE"""),"Mississippi State")</f>
        <v>Mississippi State</v>
      </c>
      <c r="BC30" t="str">
        <f>IFERROR(__xludf.DUMMYFUNCTION("""COMPUTED_VALUE"""),"Missouri")</f>
        <v>Missouri</v>
      </c>
      <c r="BD30" t="str">
        <f>IFERROR(__xludf.DUMMYFUNCTION("""COMPUTED_VALUE"""),"Missouri State")</f>
        <v>Missouri State</v>
      </c>
      <c r="BE30" t="str">
        <f>IFERROR(__xludf.DUMMYFUNCTION("""COMPUTED_VALUE"""),"NC State")</f>
        <v>NC State</v>
      </c>
      <c r="BF30" t="str">
        <f>IFERROR(__xludf.DUMMYFUNCTION("""COMPUTED_VALUE"""),"Nebraska")</f>
        <v>Nebraska</v>
      </c>
      <c r="BG30" t="str">
        <f>IFERROR(__xludf.DUMMYFUNCTION("""COMPUTED_VALUE"""),"Nevada")</f>
        <v>Nevada</v>
      </c>
      <c r="BH30" t="str">
        <f>IFERROR(__xludf.DUMMYFUNCTION("""COMPUTED_VALUE"""),"New Mexico")</f>
        <v>New Mexico</v>
      </c>
      <c r="BI30" t="str">
        <f>IFERROR(__xludf.DUMMYFUNCTION("""COMPUTED_VALUE"""),"New Mexico State")</f>
        <v>New Mexico State</v>
      </c>
      <c r="BJ30" t="str">
        <f>IFERROR(__xludf.DUMMYFUNCTION("""COMPUTED_VALUE"""),"North Carolina")</f>
        <v>North Carolina</v>
      </c>
      <c r="BK30" t="str">
        <f>IFERROR(__xludf.DUMMYFUNCTION("""COMPUTED_VALUE"""),"North Texas")</f>
        <v>North Texas</v>
      </c>
      <c r="BL30" t="str">
        <f>IFERROR(__xludf.DUMMYFUNCTION("""COMPUTED_VALUE"""),"Northern Illinois")</f>
        <v>Northern Illinois</v>
      </c>
      <c r="BM30" t="str">
        <f>IFERROR(__xludf.DUMMYFUNCTION("""COMPUTED_VALUE"""),"Northwestern")</f>
        <v>Northwestern</v>
      </c>
      <c r="BN30" t="str">
        <f>IFERROR(__xludf.DUMMYFUNCTION("""COMPUTED_VALUE"""),"Ohio")</f>
        <v>Ohio</v>
      </c>
      <c r="BO30" t="str">
        <f>IFERROR(__xludf.DUMMYFUNCTION("""COMPUTED_VALUE"""),"Oklahoma")</f>
        <v>Oklahoma</v>
      </c>
      <c r="BP30" t="str">
        <f>IFERROR(__xludf.DUMMYFUNCTION("""COMPUTED_VALUE"""),"Oklahoma State")</f>
        <v>Oklahoma State</v>
      </c>
      <c r="BQ30" t="str">
        <f>IFERROR(__xludf.DUMMYFUNCTION("""COMPUTED_VALUE"""),"Old Dominion")</f>
        <v>Old Dominion</v>
      </c>
      <c r="BR30" t="str">
        <f>IFERROR(__xludf.DUMMYFUNCTION("""COMPUTED_VALUE"""),"Ole Miss")</f>
        <v>Ole Miss</v>
      </c>
      <c r="BS30" t="str">
        <f>IFERROR(__xludf.DUMMYFUNCTION("""COMPUTED_VALUE"""),"Oregon State")</f>
        <v>Oregon State</v>
      </c>
      <c r="BT30" t="str">
        <f>IFERROR(__xludf.DUMMYFUNCTION("""COMPUTED_VALUE"""),"Pittsburgh")</f>
        <v>Pittsburgh</v>
      </c>
      <c r="BU30" t="str">
        <f>IFERROR(__xludf.DUMMYFUNCTION("""COMPUTED_VALUE"""),"Purdue")</f>
        <v>Purdue</v>
      </c>
      <c r="BV30" t="str">
        <f>IFERROR(__xludf.DUMMYFUNCTION("""COMPUTED_VALUE"""),"Rice")</f>
        <v>Rice</v>
      </c>
      <c r="BW30" t="str">
        <f>IFERROR(__xludf.DUMMYFUNCTION("""COMPUTED_VALUE"""),"Rutgers")</f>
        <v>Rutgers</v>
      </c>
      <c r="BX30" t="str">
        <f>IFERROR(__xludf.DUMMYFUNCTION("""COMPUTED_VALUE"""),"Sam Houston")</f>
        <v>Sam Houston</v>
      </c>
      <c r="BY30" t="str">
        <f>IFERROR(__xludf.DUMMYFUNCTION("""COMPUTED_VALUE"""),"San Diego State")</f>
        <v>San Diego State</v>
      </c>
      <c r="BZ30" t="str">
        <f>IFERROR(__xludf.DUMMYFUNCTION("""COMPUTED_VALUE"""),"South Alabama")</f>
        <v>South Alabama</v>
      </c>
      <c r="CA30" t="str">
        <f>IFERROR(__xludf.DUMMYFUNCTION("""COMPUTED_VALUE"""),"South Carolina")</f>
        <v>South Carolina</v>
      </c>
      <c r="CB30" t="str">
        <f>IFERROR(__xludf.DUMMYFUNCTION("""COMPUTED_VALUE"""),"South Florida")</f>
        <v>South Florida</v>
      </c>
      <c r="CC30" t="str">
        <f>IFERROR(__xludf.DUMMYFUNCTION("""COMPUTED_VALUE"""),"Southern Mississippi")</f>
        <v>Southern Mississippi</v>
      </c>
      <c r="CD30" t="str">
        <f>IFERROR(__xludf.DUMMYFUNCTION("""COMPUTED_VALUE"""),"Stanford")</f>
        <v>Stanford</v>
      </c>
      <c r="CE30" t="str">
        <f>IFERROR(__xludf.DUMMYFUNCTION("""COMPUTED_VALUE"""),"Syracuse")</f>
        <v>Syracuse</v>
      </c>
      <c r="CF30" t="str">
        <f>IFERROR(__xludf.DUMMYFUNCTION("""COMPUTED_VALUE"""),"TCU")</f>
        <v>TCU</v>
      </c>
      <c r="CG30" t="str">
        <f>IFERROR(__xludf.DUMMYFUNCTION("""COMPUTED_VALUE"""),"Temple")</f>
        <v>Temple</v>
      </c>
      <c r="CH30" t="str">
        <f>IFERROR(__xludf.DUMMYFUNCTION("""COMPUTED_VALUE"""),"Tennessee")</f>
        <v>Tennessee</v>
      </c>
      <c r="CI30" t="str">
        <f>IFERROR(__xludf.DUMMYFUNCTION("""COMPUTED_VALUE"""),"Texas A&amp;M")</f>
        <v>Texas A&amp;M</v>
      </c>
      <c r="CJ30" t="str">
        <f>IFERROR(__xludf.DUMMYFUNCTION("""COMPUTED_VALUE"""),"Texas State")</f>
        <v>Texas State</v>
      </c>
      <c r="CK30" t="str">
        <f>IFERROR(__xludf.DUMMYFUNCTION("""COMPUTED_VALUE"""),"Troy")</f>
        <v>Troy</v>
      </c>
      <c r="CL30" t="str">
        <f>IFERROR(__xludf.DUMMYFUNCTION("""COMPUTED_VALUE"""),"Tulsa")</f>
        <v>Tulsa</v>
      </c>
      <c r="CM30" t="str">
        <f>IFERROR(__xludf.DUMMYFUNCTION("""COMPUTED_VALUE"""),"UAB")</f>
        <v>UAB</v>
      </c>
      <c r="CN30" t="str">
        <f>IFERROR(__xludf.DUMMYFUNCTION("""COMPUTED_VALUE"""),"UCF")</f>
        <v>UCF</v>
      </c>
      <c r="CO30" t="str">
        <f>IFERROR(__xludf.DUMMYFUNCTION("""COMPUTED_VALUE"""),"UCLA")</f>
        <v>UCLA</v>
      </c>
      <c r="CP30" t="str">
        <f>IFERROR(__xludf.DUMMYFUNCTION("""COMPUTED_VALUE"""),"UConn")</f>
        <v>UConn</v>
      </c>
      <c r="CQ30" t="str">
        <f>IFERROR(__xludf.DUMMYFUNCTION("""COMPUTED_VALUE"""),"UL Monroe")</f>
        <v>UL Monroe</v>
      </c>
      <c r="CR30" t="str">
        <f>IFERROR(__xludf.DUMMYFUNCTION("""COMPUTED_VALUE"""),"UMASS")</f>
        <v>UMASS</v>
      </c>
      <c r="CS30" t="str">
        <f>IFERROR(__xludf.DUMMYFUNCTION("""COMPUTED_VALUE"""),"Utah State")</f>
        <v>Utah State</v>
      </c>
      <c r="CT30" t="str">
        <f>IFERROR(__xludf.DUMMYFUNCTION("""COMPUTED_VALUE"""),"UTEP")</f>
        <v>UTEP</v>
      </c>
      <c r="CU30" t="str">
        <f>IFERROR(__xludf.DUMMYFUNCTION("""COMPUTED_VALUE"""),"Vanderbilt")</f>
        <v>Vanderbilt</v>
      </c>
      <c r="CV30" t="str">
        <f>IFERROR(__xludf.DUMMYFUNCTION("""COMPUTED_VALUE"""),"Virginia")</f>
        <v>Virginia</v>
      </c>
      <c r="CW30" t="str">
        <f>IFERROR(__xludf.DUMMYFUNCTION("""COMPUTED_VALUE"""),"Virginia Tech")</f>
        <v>Virginia Tech</v>
      </c>
      <c r="CX30" t="str">
        <f>IFERROR(__xludf.DUMMYFUNCTION("""COMPUTED_VALUE"""),"Wake Forest")</f>
        <v>Wake Forest</v>
      </c>
      <c r="CY30" t="str">
        <f>IFERROR(__xludf.DUMMYFUNCTION("""COMPUTED_VALUE"""),"Washington")</f>
        <v>Washington</v>
      </c>
      <c r="CZ30" t="str">
        <f>IFERROR(__xludf.DUMMYFUNCTION("""COMPUTED_VALUE"""),"Washington State")</f>
        <v>Washington State</v>
      </c>
      <c r="DA30" t="str">
        <f>IFERROR(__xludf.DUMMYFUNCTION("""COMPUTED_VALUE"""),"West Virginia")</f>
        <v>West Virginia</v>
      </c>
      <c r="DB30" t="str">
        <f>IFERROR(__xludf.DUMMYFUNCTION("""COMPUTED_VALUE"""),"Western Michigan")</f>
        <v>Western Michigan</v>
      </c>
      <c r="DC30" t="str">
        <f>IFERROR(__xludf.DUMMYFUNCTION("""COMPUTED_VALUE"""),"Wisconsin")</f>
        <v>Wisconsin</v>
      </c>
      <c r="DD30" t="str">
        <f>IFERROR(__xludf.DUMMYFUNCTION("""COMPUTED_VALUE"""),"Wyoming")</f>
        <v>Wyoming</v>
      </c>
    </row>
    <row r="31">
      <c r="A31" s="1">
        <v>30.0</v>
      </c>
      <c r="B31" t="str">
        <f>IFERROR(__xludf.DUMMYFUNCTION("split(join("","",sort(byrow('Teams-Conference'!A$2:A1000,lambda(rw,if(iserror(match(rw,DraftTracker!F$1:F31,0)),rw,""""))),1,1)),"","",1,1)"),"Air Force")</f>
        <v>Air Force</v>
      </c>
      <c r="C31" t="str">
        <f>IFERROR(__xludf.DUMMYFUNCTION("""COMPUTED_VALUE"""),"Akron")</f>
        <v>Akron</v>
      </c>
      <c r="D31" t="str">
        <f>IFERROR(__xludf.DUMMYFUNCTION("""COMPUTED_VALUE"""),"Appalachian State")</f>
        <v>Appalachian State</v>
      </c>
      <c r="E31" t="str">
        <f>IFERROR(__xludf.DUMMYFUNCTION("""COMPUTED_VALUE"""),"Arizona")</f>
        <v>Arizona</v>
      </c>
      <c r="F31" t="str">
        <f>IFERROR(__xludf.DUMMYFUNCTION("""COMPUTED_VALUE"""),"Arkansas")</f>
        <v>Arkansas</v>
      </c>
      <c r="G31" t="str">
        <f>IFERROR(__xludf.DUMMYFUNCTION("""COMPUTED_VALUE"""),"Arkansas State")</f>
        <v>Arkansas State</v>
      </c>
      <c r="H31" t="str">
        <f>IFERROR(__xludf.DUMMYFUNCTION("""COMPUTED_VALUE"""),"Army")</f>
        <v>Army</v>
      </c>
      <c r="I31" t="str">
        <f>IFERROR(__xludf.DUMMYFUNCTION("""COMPUTED_VALUE"""),"Auburn")</f>
        <v>Auburn</v>
      </c>
      <c r="J31" t="str">
        <f>IFERROR(__xludf.DUMMYFUNCTION("""COMPUTED_VALUE"""),"Ball State")</f>
        <v>Ball State</v>
      </c>
      <c r="K31" t="str">
        <f>IFERROR(__xludf.DUMMYFUNCTION("""COMPUTED_VALUE"""),"Baylor")</f>
        <v>Baylor</v>
      </c>
      <c r="L31" t="str">
        <f>IFERROR(__xludf.DUMMYFUNCTION("""COMPUTED_VALUE"""),"Boston College")</f>
        <v>Boston College</v>
      </c>
      <c r="M31" t="str">
        <f>IFERROR(__xludf.DUMMYFUNCTION("""COMPUTED_VALUE"""),"Bowling Green")</f>
        <v>Bowling Green</v>
      </c>
      <c r="N31" t="str">
        <f>IFERROR(__xludf.DUMMYFUNCTION("""COMPUTED_VALUE"""),"BYU")</f>
        <v>BYU</v>
      </c>
      <c r="O31" t="str">
        <f>IFERROR(__xludf.DUMMYFUNCTION("""COMPUTED_VALUE"""),"California")</f>
        <v>California</v>
      </c>
      <c r="P31" t="str">
        <f>IFERROR(__xludf.DUMMYFUNCTION("""COMPUTED_VALUE"""),"Central Michigan")</f>
        <v>Central Michigan</v>
      </c>
      <c r="Q31" t="str">
        <f>IFERROR(__xludf.DUMMYFUNCTION("""COMPUTED_VALUE"""),"Charlotte")</f>
        <v>Charlotte</v>
      </c>
      <c r="R31" t="str">
        <f>IFERROR(__xludf.DUMMYFUNCTION("""COMPUTED_VALUE"""),"Cincinnati")</f>
        <v>Cincinnati</v>
      </c>
      <c r="S31" t="str">
        <f>IFERROR(__xludf.DUMMYFUNCTION("""COMPUTED_VALUE"""),"Coastal Carolina")</f>
        <v>Coastal Carolina</v>
      </c>
      <c r="T31" t="str">
        <f>IFERROR(__xludf.DUMMYFUNCTION("""COMPUTED_VALUE"""),"Colorado")</f>
        <v>Colorado</v>
      </c>
      <c r="U31" t="str">
        <f>IFERROR(__xludf.DUMMYFUNCTION("""COMPUTED_VALUE"""),"Colorado State")</f>
        <v>Colorado State</v>
      </c>
      <c r="V31" t="str">
        <f>IFERROR(__xludf.DUMMYFUNCTION("""COMPUTED_VALUE"""),"Delaware")</f>
        <v>Delaware</v>
      </c>
      <c r="W31" t="str">
        <f>IFERROR(__xludf.DUMMYFUNCTION("""COMPUTED_VALUE"""),"Duke")</f>
        <v>Duke</v>
      </c>
      <c r="X31" t="str">
        <f>IFERROR(__xludf.DUMMYFUNCTION("""COMPUTED_VALUE"""),"East Carolina")</f>
        <v>East Carolina</v>
      </c>
      <c r="Y31" t="str">
        <f>IFERROR(__xludf.DUMMYFUNCTION("""COMPUTED_VALUE"""),"EMU")</f>
        <v>EMU</v>
      </c>
      <c r="Z31" t="str">
        <f>IFERROR(__xludf.DUMMYFUNCTION("""COMPUTED_VALUE"""),"Florida")</f>
        <v>Florida</v>
      </c>
      <c r="AA31" t="str">
        <f>IFERROR(__xludf.DUMMYFUNCTION("""COMPUTED_VALUE"""),"Florida Atlantic")</f>
        <v>Florida Atlantic</v>
      </c>
      <c r="AB31" t="str">
        <f>IFERROR(__xludf.DUMMYFUNCTION("""COMPUTED_VALUE"""),"Florida Intl")</f>
        <v>Florida Intl</v>
      </c>
      <c r="AC31" t="str">
        <f>IFERROR(__xludf.DUMMYFUNCTION("""COMPUTED_VALUE"""),"Florida State")</f>
        <v>Florida State</v>
      </c>
      <c r="AD31" t="str">
        <f>IFERROR(__xludf.DUMMYFUNCTION("""COMPUTED_VALUE"""),"Fresno State")</f>
        <v>Fresno State</v>
      </c>
      <c r="AE31" t="str">
        <f>IFERROR(__xludf.DUMMYFUNCTION("""COMPUTED_VALUE"""),"Georgia State")</f>
        <v>Georgia State</v>
      </c>
      <c r="AF31" t="str">
        <f>IFERROR(__xludf.DUMMYFUNCTION("""COMPUTED_VALUE"""),"Georgia Tech")</f>
        <v>Georgia Tech</v>
      </c>
      <c r="AG31" t="str">
        <f>IFERROR(__xludf.DUMMYFUNCTION("""COMPUTED_VALUE"""),"Hawaii")</f>
        <v>Hawaii</v>
      </c>
      <c r="AH31" t="str">
        <f>IFERROR(__xludf.DUMMYFUNCTION("""COMPUTED_VALUE"""),"Houston")</f>
        <v>Houston</v>
      </c>
      <c r="AI31" t="str">
        <f>IFERROR(__xludf.DUMMYFUNCTION("""COMPUTED_VALUE"""),"Illinois")</f>
        <v>Illinois</v>
      </c>
      <c r="AJ31" t="str">
        <f>IFERROR(__xludf.DUMMYFUNCTION("""COMPUTED_VALUE"""),"Indiana")</f>
        <v>Indiana</v>
      </c>
      <c r="AK31" t="str">
        <f>IFERROR(__xludf.DUMMYFUNCTION("""COMPUTED_VALUE"""),"Iowa")</f>
        <v>Iowa</v>
      </c>
      <c r="AL31" t="str">
        <f>IFERROR(__xludf.DUMMYFUNCTION("""COMPUTED_VALUE"""),"Iowa State")</f>
        <v>Iowa State</v>
      </c>
      <c r="AM31" t="str">
        <f>IFERROR(__xludf.DUMMYFUNCTION("""COMPUTED_VALUE"""),"Jacksonville State")</f>
        <v>Jacksonville State</v>
      </c>
      <c r="AN31" t="str">
        <f>IFERROR(__xludf.DUMMYFUNCTION("""COMPUTED_VALUE"""),"Kansas")</f>
        <v>Kansas</v>
      </c>
      <c r="AO31" t="str">
        <f>IFERROR(__xludf.DUMMYFUNCTION("""COMPUTED_VALUE"""),"Kennesaw State")</f>
        <v>Kennesaw State</v>
      </c>
      <c r="AP31" t="str">
        <f>IFERROR(__xludf.DUMMYFUNCTION("""COMPUTED_VALUE"""),"Kent State")</f>
        <v>Kent State</v>
      </c>
      <c r="AQ31" t="str">
        <f>IFERROR(__xludf.DUMMYFUNCTION("""COMPUTED_VALUE"""),"Kentucky")</f>
        <v>Kentucky</v>
      </c>
      <c r="AR31" t="str">
        <f>IFERROR(__xludf.DUMMYFUNCTION("""COMPUTED_VALUE"""),"Louisiana Tech")</f>
        <v>Louisiana Tech</v>
      </c>
      <c r="AS31" t="str">
        <f>IFERROR(__xludf.DUMMYFUNCTION("""COMPUTED_VALUE"""),"Louisville")</f>
        <v>Louisville</v>
      </c>
      <c r="AT31" t="str">
        <f>IFERROR(__xludf.DUMMYFUNCTION("""COMPUTED_VALUE"""),"LSU")</f>
        <v>LSU</v>
      </c>
      <c r="AU31" t="str">
        <f>IFERROR(__xludf.DUMMYFUNCTION("""COMPUTED_VALUE"""),"Marshall")</f>
        <v>Marshall</v>
      </c>
      <c r="AV31" t="str">
        <f>IFERROR(__xludf.DUMMYFUNCTION("""COMPUTED_VALUE"""),"Maryland")</f>
        <v>Maryland</v>
      </c>
      <c r="AW31" t="str">
        <f>IFERROR(__xludf.DUMMYFUNCTION("""COMPUTED_VALUE"""),"Miami-OH")</f>
        <v>Miami-OH</v>
      </c>
      <c r="AX31" t="str">
        <f>IFERROR(__xludf.DUMMYFUNCTION("""COMPUTED_VALUE"""),"Michigan State")</f>
        <v>Michigan State</v>
      </c>
      <c r="AY31" t="str">
        <f>IFERROR(__xludf.DUMMYFUNCTION("""COMPUTED_VALUE"""),"Middle Tennessee")</f>
        <v>Middle Tennessee</v>
      </c>
      <c r="AZ31" t="str">
        <f>IFERROR(__xludf.DUMMYFUNCTION("""COMPUTED_VALUE"""),"Minnesota")</f>
        <v>Minnesota</v>
      </c>
      <c r="BA31" t="str">
        <f>IFERROR(__xludf.DUMMYFUNCTION("""COMPUTED_VALUE"""),"Mississippi State")</f>
        <v>Mississippi State</v>
      </c>
      <c r="BB31" t="str">
        <f>IFERROR(__xludf.DUMMYFUNCTION("""COMPUTED_VALUE"""),"Missouri")</f>
        <v>Missouri</v>
      </c>
      <c r="BC31" t="str">
        <f>IFERROR(__xludf.DUMMYFUNCTION("""COMPUTED_VALUE"""),"Missouri State")</f>
        <v>Missouri State</v>
      </c>
      <c r="BD31" t="str">
        <f>IFERROR(__xludf.DUMMYFUNCTION("""COMPUTED_VALUE"""),"NC State")</f>
        <v>NC State</v>
      </c>
      <c r="BE31" t="str">
        <f>IFERROR(__xludf.DUMMYFUNCTION("""COMPUTED_VALUE"""),"Nebraska")</f>
        <v>Nebraska</v>
      </c>
      <c r="BF31" t="str">
        <f>IFERROR(__xludf.DUMMYFUNCTION("""COMPUTED_VALUE"""),"Nevada")</f>
        <v>Nevada</v>
      </c>
      <c r="BG31" t="str">
        <f>IFERROR(__xludf.DUMMYFUNCTION("""COMPUTED_VALUE"""),"New Mexico")</f>
        <v>New Mexico</v>
      </c>
      <c r="BH31" t="str">
        <f>IFERROR(__xludf.DUMMYFUNCTION("""COMPUTED_VALUE"""),"New Mexico State")</f>
        <v>New Mexico State</v>
      </c>
      <c r="BI31" t="str">
        <f>IFERROR(__xludf.DUMMYFUNCTION("""COMPUTED_VALUE"""),"North Carolina")</f>
        <v>North Carolina</v>
      </c>
      <c r="BJ31" t="str">
        <f>IFERROR(__xludf.DUMMYFUNCTION("""COMPUTED_VALUE"""),"North Texas")</f>
        <v>North Texas</v>
      </c>
      <c r="BK31" t="str">
        <f>IFERROR(__xludf.DUMMYFUNCTION("""COMPUTED_VALUE"""),"Northern Illinois")</f>
        <v>Northern Illinois</v>
      </c>
      <c r="BL31" t="str">
        <f>IFERROR(__xludf.DUMMYFUNCTION("""COMPUTED_VALUE"""),"Northwestern")</f>
        <v>Northwestern</v>
      </c>
      <c r="BM31" t="str">
        <f>IFERROR(__xludf.DUMMYFUNCTION("""COMPUTED_VALUE"""),"Ohio")</f>
        <v>Ohio</v>
      </c>
      <c r="BN31" t="str">
        <f>IFERROR(__xludf.DUMMYFUNCTION("""COMPUTED_VALUE"""),"Oklahoma")</f>
        <v>Oklahoma</v>
      </c>
      <c r="BO31" t="str">
        <f>IFERROR(__xludf.DUMMYFUNCTION("""COMPUTED_VALUE"""),"Oklahoma State")</f>
        <v>Oklahoma State</v>
      </c>
      <c r="BP31" t="str">
        <f>IFERROR(__xludf.DUMMYFUNCTION("""COMPUTED_VALUE"""),"Old Dominion")</f>
        <v>Old Dominion</v>
      </c>
      <c r="BQ31" t="str">
        <f>IFERROR(__xludf.DUMMYFUNCTION("""COMPUTED_VALUE"""),"Ole Miss")</f>
        <v>Ole Miss</v>
      </c>
      <c r="BR31" t="str">
        <f>IFERROR(__xludf.DUMMYFUNCTION("""COMPUTED_VALUE"""),"Oregon State")</f>
        <v>Oregon State</v>
      </c>
      <c r="BS31" t="str">
        <f>IFERROR(__xludf.DUMMYFUNCTION("""COMPUTED_VALUE"""),"Pittsburgh")</f>
        <v>Pittsburgh</v>
      </c>
      <c r="BT31" t="str">
        <f>IFERROR(__xludf.DUMMYFUNCTION("""COMPUTED_VALUE"""),"Purdue")</f>
        <v>Purdue</v>
      </c>
      <c r="BU31" t="str">
        <f>IFERROR(__xludf.DUMMYFUNCTION("""COMPUTED_VALUE"""),"Rice")</f>
        <v>Rice</v>
      </c>
      <c r="BV31" t="str">
        <f>IFERROR(__xludf.DUMMYFUNCTION("""COMPUTED_VALUE"""),"Rutgers")</f>
        <v>Rutgers</v>
      </c>
      <c r="BW31" t="str">
        <f>IFERROR(__xludf.DUMMYFUNCTION("""COMPUTED_VALUE"""),"Sam Houston")</f>
        <v>Sam Houston</v>
      </c>
      <c r="BX31" t="str">
        <f>IFERROR(__xludf.DUMMYFUNCTION("""COMPUTED_VALUE"""),"San Diego State")</f>
        <v>San Diego State</v>
      </c>
      <c r="BY31" t="str">
        <f>IFERROR(__xludf.DUMMYFUNCTION("""COMPUTED_VALUE"""),"South Alabama")</f>
        <v>South Alabama</v>
      </c>
      <c r="BZ31" t="str">
        <f>IFERROR(__xludf.DUMMYFUNCTION("""COMPUTED_VALUE"""),"South Carolina")</f>
        <v>South Carolina</v>
      </c>
      <c r="CA31" t="str">
        <f>IFERROR(__xludf.DUMMYFUNCTION("""COMPUTED_VALUE"""),"South Florida")</f>
        <v>South Florida</v>
      </c>
      <c r="CB31" t="str">
        <f>IFERROR(__xludf.DUMMYFUNCTION("""COMPUTED_VALUE"""),"Southern Mississippi")</f>
        <v>Southern Mississippi</v>
      </c>
      <c r="CC31" t="str">
        <f>IFERROR(__xludf.DUMMYFUNCTION("""COMPUTED_VALUE"""),"Stanford")</f>
        <v>Stanford</v>
      </c>
      <c r="CD31" t="str">
        <f>IFERROR(__xludf.DUMMYFUNCTION("""COMPUTED_VALUE"""),"Syracuse")</f>
        <v>Syracuse</v>
      </c>
      <c r="CE31" t="str">
        <f>IFERROR(__xludf.DUMMYFUNCTION("""COMPUTED_VALUE"""),"TCU")</f>
        <v>TCU</v>
      </c>
      <c r="CF31" t="str">
        <f>IFERROR(__xludf.DUMMYFUNCTION("""COMPUTED_VALUE"""),"Temple")</f>
        <v>Temple</v>
      </c>
      <c r="CG31" t="str">
        <f>IFERROR(__xludf.DUMMYFUNCTION("""COMPUTED_VALUE"""),"Tennessee")</f>
        <v>Tennessee</v>
      </c>
      <c r="CH31" t="str">
        <f>IFERROR(__xludf.DUMMYFUNCTION("""COMPUTED_VALUE"""),"Texas A&amp;M")</f>
        <v>Texas A&amp;M</v>
      </c>
      <c r="CI31" t="str">
        <f>IFERROR(__xludf.DUMMYFUNCTION("""COMPUTED_VALUE"""),"Texas State")</f>
        <v>Texas State</v>
      </c>
      <c r="CJ31" t="str">
        <f>IFERROR(__xludf.DUMMYFUNCTION("""COMPUTED_VALUE"""),"Troy")</f>
        <v>Troy</v>
      </c>
      <c r="CK31" t="str">
        <f>IFERROR(__xludf.DUMMYFUNCTION("""COMPUTED_VALUE"""),"Tulsa")</f>
        <v>Tulsa</v>
      </c>
      <c r="CL31" t="str">
        <f>IFERROR(__xludf.DUMMYFUNCTION("""COMPUTED_VALUE"""),"UAB")</f>
        <v>UAB</v>
      </c>
      <c r="CM31" t="str">
        <f>IFERROR(__xludf.DUMMYFUNCTION("""COMPUTED_VALUE"""),"UCF")</f>
        <v>UCF</v>
      </c>
      <c r="CN31" t="str">
        <f>IFERROR(__xludf.DUMMYFUNCTION("""COMPUTED_VALUE"""),"UCLA")</f>
        <v>UCLA</v>
      </c>
      <c r="CO31" t="str">
        <f>IFERROR(__xludf.DUMMYFUNCTION("""COMPUTED_VALUE"""),"UConn")</f>
        <v>UConn</v>
      </c>
      <c r="CP31" t="str">
        <f>IFERROR(__xludf.DUMMYFUNCTION("""COMPUTED_VALUE"""),"UL Monroe")</f>
        <v>UL Monroe</v>
      </c>
      <c r="CQ31" t="str">
        <f>IFERROR(__xludf.DUMMYFUNCTION("""COMPUTED_VALUE"""),"UMASS")</f>
        <v>UMASS</v>
      </c>
      <c r="CR31" t="str">
        <f>IFERROR(__xludf.DUMMYFUNCTION("""COMPUTED_VALUE"""),"Utah State")</f>
        <v>Utah State</v>
      </c>
      <c r="CS31" t="str">
        <f>IFERROR(__xludf.DUMMYFUNCTION("""COMPUTED_VALUE"""),"UTEP")</f>
        <v>UTEP</v>
      </c>
      <c r="CT31" t="str">
        <f>IFERROR(__xludf.DUMMYFUNCTION("""COMPUTED_VALUE"""),"Vanderbilt")</f>
        <v>Vanderbilt</v>
      </c>
      <c r="CU31" t="str">
        <f>IFERROR(__xludf.DUMMYFUNCTION("""COMPUTED_VALUE"""),"Virginia")</f>
        <v>Virginia</v>
      </c>
      <c r="CV31" t="str">
        <f>IFERROR(__xludf.DUMMYFUNCTION("""COMPUTED_VALUE"""),"Virginia Tech")</f>
        <v>Virginia Tech</v>
      </c>
      <c r="CW31" t="str">
        <f>IFERROR(__xludf.DUMMYFUNCTION("""COMPUTED_VALUE"""),"Wake Forest")</f>
        <v>Wake Forest</v>
      </c>
      <c r="CX31" t="str">
        <f>IFERROR(__xludf.DUMMYFUNCTION("""COMPUTED_VALUE"""),"Washington")</f>
        <v>Washington</v>
      </c>
      <c r="CY31" t="str">
        <f>IFERROR(__xludf.DUMMYFUNCTION("""COMPUTED_VALUE"""),"Washington State")</f>
        <v>Washington State</v>
      </c>
      <c r="CZ31" t="str">
        <f>IFERROR(__xludf.DUMMYFUNCTION("""COMPUTED_VALUE"""),"West Virginia")</f>
        <v>West Virginia</v>
      </c>
      <c r="DA31" t="str">
        <f>IFERROR(__xludf.DUMMYFUNCTION("""COMPUTED_VALUE"""),"Western Michigan")</f>
        <v>Western Michigan</v>
      </c>
      <c r="DB31" t="str">
        <f>IFERROR(__xludf.DUMMYFUNCTION("""COMPUTED_VALUE"""),"Wisconsin")</f>
        <v>Wisconsin</v>
      </c>
      <c r="DC31" t="str">
        <f>IFERROR(__xludf.DUMMYFUNCTION("""COMPUTED_VALUE"""),"Wyoming")</f>
        <v>Wyoming</v>
      </c>
    </row>
    <row r="32">
      <c r="A32" s="1">
        <v>31.0</v>
      </c>
      <c r="B32" t="str">
        <f>IFERROR(__xludf.DUMMYFUNCTION("split(join("","",sort(byrow('Teams-Conference'!A$2:A1000,lambda(rw,if(iserror(match(rw,DraftTracker!F$1:F32,0)),rw,""""))),1,1)),"","",1,1)"),"Air Force")</f>
        <v>Air Force</v>
      </c>
      <c r="C32" t="str">
        <f>IFERROR(__xludf.DUMMYFUNCTION("""COMPUTED_VALUE"""),"Akron")</f>
        <v>Akron</v>
      </c>
      <c r="D32" t="str">
        <f>IFERROR(__xludf.DUMMYFUNCTION("""COMPUTED_VALUE"""),"Appalachian State")</f>
        <v>Appalachian State</v>
      </c>
      <c r="E32" t="str">
        <f>IFERROR(__xludf.DUMMYFUNCTION("""COMPUTED_VALUE"""),"Arizona")</f>
        <v>Arizona</v>
      </c>
      <c r="F32" t="str">
        <f>IFERROR(__xludf.DUMMYFUNCTION("""COMPUTED_VALUE"""),"Arkansas")</f>
        <v>Arkansas</v>
      </c>
      <c r="G32" t="str">
        <f>IFERROR(__xludf.DUMMYFUNCTION("""COMPUTED_VALUE"""),"Arkansas State")</f>
        <v>Arkansas State</v>
      </c>
      <c r="H32" t="str">
        <f>IFERROR(__xludf.DUMMYFUNCTION("""COMPUTED_VALUE"""),"Army")</f>
        <v>Army</v>
      </c>
      <c r="I32" t="str">
        <f>IFERROR(__xludf.DUMMYFUNCTION("""COMPUTED_VALUE"""),"Auburn")</f>
        <v>Auburn</v>
      </c>
      <c r="J32" t="str">
        <f>IFERROR(__xludf.DUMMYFUNCTION("""COMPUTED_VALUE"""),"Ball State")</f>
        <v>Ball State</v>
      </c>
      <c r="K32" t="str">
        <f>IFERROR(__xludf.DUMMYFUNCTION("""COMPUTED_VALUE"""),"Baylor")</f>
        <v>Baylor</v>
      </c>
      <c r="L32" t="str">
        <f>IFERROR(__xludf.DUMMYFUNCTION("""COMPUTED_VALUE"""),"Boston College")</f>
        <v>Boston College</v>
      </c>
      <c r="M32" t="str">
        <f>IFERROR(__xludf.DUMMYFUNCTION("""COMPUTED_VALUE"""),"Bowling Green")</f>
        <v>Bowling Green</v>
      </c>
      <c r="N32" t="str">
        <f>IFERROR(__xludf.DUMMYFUNCTION("""COMPUTED_VALUE"""),"BYU")</f>
        <v>BYU</v>
      </c>
      <c r="O32" t="str">
        <f>IFERROR(__xludf.DUMMYFUNCTION("""COMPUTED_VALUE"""),"California")</f>
        <v>California</v>
      </c>
      <c r="P32" t="str">
        <f>IFERROR(__xludf.DUMMYFUNCTION("""COMPUTED_VALUE"""),"Central Michigan")</f>
        <v>Central Michigan</v>
      </c>
      <c r="Q32" t="str">
        <f>IFERROR(__xludf.DUMMYFUNCTION("""COMPUTED_VALUE"""),"Charlotte")</f>
        <v>Charlotte</v>
      </c>
      <c r="R32" t="str">
        <f>IFERROR(__xludf.DUMMYFUNCTION("""COMPUTED_VALUE"""),"Cincinnati")</f>
        <v>Cincinnati</v>
      </c>
      <c r="S32" t="str">
        <f>IFERROR(__xludf.DUMMYFUNCTION("""COMPUTED_VALUE"""),"Coastal Carolina")</f>
        <v>Coastal Carolina</v>
      </c>
      <c r="T32" t="str">
        <f>IFERROR(__xludf.DUMMYFUNCTION("""COMPUTED_VALUE"""),"Colorado")</f>
        <v>Colorado</v>
      </c>
      <c r="U32" t="str">
        <f>IFERROR(__xludf.DUMMYFUNCTION("""COMPUTED_VALUE"""),"Colorado State")</f>
        <v>Colorado State</v>
      </c>
      <c r="V32" t="str">
        <f>IFERROR(__xludf.DUMMYFUNCTION("""COMPUTED_VALUE"""),"Delaware")</f>
        <v>Delaware</v>
      </c>
      <c r="W32" t="str">
        <f>IFERROR(__xludf.DUMMYFUNCTION("""COMPUTED_VALUE"""),"Duke")</f>
        <v>Duke</v>
      </c>
      <c r="X32" t="str">
        <f>IFERROR(__xludf.DUMMYFUNCTION("""COMPUTED_VALUE"""),"East Carolina")</f>
        <v>East Carolina</v>
      </c>
      <c r="Y32" t="str">
        <f>IFERROR(__xludf.DUMMYFUNCTION("""COMPUTED_VALUE"""),"EMU")</f>
        <v>EMU</v>
      </c>
      <c r="Z32" t="str">
        <f>IFERROR(__xludf.DUMMYFUNCTION("""COMPUTED_VALUE"""),"Florida")</f>
        <v>Florida</v>
      </c>
      <c r="AA32" t="str">
        <f>IFERROR(__xludf.DUMMYFUNCTION("""COMPUTED_VALUE"""),"Florida Atlantic")</f>
        <v>Florida Atlantic</v>
      </c>
      <c r="AB32" t="str">
        <f>IFERROR(__xludf.DUMMYFUNCTION("""COMPUTED_VALUE"""),"Florida Intl")</f>
        <v>Florida Intl</v>
      </c>
      <c r="AC32" t="str">
        <f>IFERROR(__xludf.DUMMYFUNCTION("""COMPUTED_VALUE"""),"Florida State")</f>
        <v>Florida State</v>
      </c>
      <c r="AD32" t="str">
        <f>IFERROR(__xludf.DUMMYFUNCTION("""COMPUTED_VALUE"""),"Fresno State")</f>
        <v>Fresno State</v>
      </c>
      <c r="AE32" t="str">
        <f>IFERROR(__xludf.DUMMYFUNCTION("""COMPUTED_VALUE"""),"Georgia State")</f>
        <v>Georgia State</v>
      </c>
      <c r="AF32" t="str">
        <f>IFERROR(__xludf.DUMMYFUNCTION("""COMPUTED_VALUE"""),"Georgia Tech")</f>
        <v>Georgia Tech</v>
      </c>
      <c r="AG32" t="str">
        <f>IFERROR(__xludf.DUMMYFUNCTION("""COMPUTED_VALUE"""),"Hawaii")</f>
        <v>Hawaii</v>
      </c>
      <c r="AH32" t="str">
        <f>IFERROR(__xludf.DUMMYFUNCTION("""COMPUTED_VALUE"""),"Houston")</f>
        <v>Houston</v>
      </c>
      <c r="AI32" t="str">
        <f>IFERROR(__xludf.DUMMYFUNCTION("""COMPUTED_VALUE"""),"Illinois")</f>
        <v>Illinois</v>
      </c>
      <c r="AJ32" t="str">
        <f>IFERROR(__xludf.DUMMYFUNCTION("""COMPUTED_VALUE"""),"Indiana")</f>
        <v>Indiana</v>
      </c>
      <c r="AK32" t="str">
        <f>IFERROR(__xludf.DUMMYFUNCTION("""COMPUTED_VALUE"""),"Iowa")</f>
        <v>Iowa</v>
      </c>
      <c r="AL32" t="str">
        <f>IFERROR(__xludf.DUMMYFUNCTION("""COMPUTED_VALUE"""),"Iowa State")</f>
        <v>Iowa State</v>
      </c>
      <c r="AM32" t="str">
        <f>IFERROR(__xludf.DUMMYFUNCTION("""COMPUTED_VALUE"""),"Jacksonville State")</f>
        <v>Jacksonville State</v>
      </c>
      <c r="AN32" t="str">
        <f>IFERROR(__xludf.DUMMYFUNCTION("""COMPUTED_VALUE"""),"Kansas")</f>
        <v>Kansas</v>
      </c>
      <c r="AO32" t="str">
        <f>IFERROR(__xludf.DUMMYFUNCTION("""COMPUTED_VALUE"""),"Kennesaw State")</f>
        <v>Kennesaw State</v>
      </c>
      <c r="AP32" t="str">
        <f>IFERROR(__xludf.DUMMYFUNCTION("""COMPUTED_VALUE"""),"Kent State")</f>
        <v>Kent State</v>
      </c>
      <c r="AQ32" t="str">
        <f>IFERROR(__xludf.DUMMYFUNCTION("""COMPUTED_VALUE"""),"Kentucky")</f>
        <v>Kentucky</v>
      </c>
      <c r="AR32" t="str">
        <f>IFERROR(__xludf.DUMMYFUNCTION("""COMPUTED_VALUE"""),"Louisiana Tech")</f>
        <v>Louisiana Tech</v>
      </c>
      <c r="AS32" t="str">
        <f>IFERROR(__xludf.DUMMYFUNCTION("""COMPUTED_VALUE"""),"Louisville")</f>
        <v>Louisville</v>
      </c>
      <c r="AT32" t="str">
        <f>IFERROR(__xludf.DUMMYFUNCTION("""COMPUTED_VALUE"""),"LSU")</f>
        <v>LSU</v>
      </c>
      <c r="AU32" t="str">
        <f>IFERROR(__xludf.DUMMYFUNCTION("""COMPUTED_VALUE"""),"Marshall")</f>
        <v>Marshall</v>
      </c>
      <c r="AV32" t="str">
        <f>IFERROR(__xludf.DUMMYFUNCTION("""COMPUTED_VALUE"""),"Maryland")</f>
        <v>Maryland</v>
      </c>
      <c r="AW32" t="str">
        <f>IFERROR(__xludf.DUMMYFUNCTION("""COMPUTED_VALUE"""),"Miami-OH")</f>
        <v>Miami-OH</v>
      </c>
      <c r="AX32" t="str">
        <f>IFERROR(__xludf.DUMMYFUNCTION("""COMPUTED_VALUE"""),"Michigan State")</f>
        <v>Michigan State</v>
      </c>
      <c r="AY32" t="str">
        <f>IFERROR(__xludf.DUMMYFUNCTION("""COMPUTED_VALUE"""),"Middle Tennessee")</f>
        <v>Middle Tennessee</v>
      </c>
      <c r="AZ32" t="str">
        <f>IFERROR(__xludf.DUMMYFUNCTION("""COMPUTED_VALUE"""),"Minnesota")</f>
        <v>Minnesota</v>
      </c>
      <c r="BA32" t="str">
        <f>IFERROR(__xludf.DUMMYFUNCTION("""COMPUTED_VALUE"""),"Mississippi State")</f>
        <v>Mississippi State</v>
      </c>
      <c r="BB32" t="str">
        <f>IFERROR(__xludf.DUMMYFUNCTION("""COMPUTED_VALUE"""),"Missouri")</f>
        <v>Missouri</v>
      </c>
      <c r="BC32" t="str">
        <f>IFERROR(__xludf.DUMMYFUNCTION("""COMPUTED_VALUE"""),"Missouri State")</f>
        <v>Missouri State</v>
      </c>
      <c r="BD32" t="str">
        <f>IFERROR(__xludf.DUMMYFUNCTION("""COMPUTED_VALUE"""),"NC State")</f>
        <v>NC State</v>
      </c>
      <c r="BE32" t="str">
        <f>IFERROR(__xludf.DUMMYFUNCTION("""COMPUTED_VALUE"""),"Nebraska")</f>
        <v>Nebraska</v>
      </c>
      <c r="BF32" t="str">
        <f>IFERROR(__xludf.DUMMYFUNCTION("""COMPUTED_VALUE"""),"Nevada")</f>
        <v>Nevada</v>
      </c>
      <c r="BG32" t="str">
        <f>IFERROR(__xludf.DUMMYFUNCTION("""COMPUTED_VALUE"""),"New Mexico")</f>
        <v>New Mexico</v>
      </c>
      <c r="BH32" t="str">
        <f>IFERROR(__xludf.DUMMYFUNCTION("""COMPUTED_VALUE"""),"New Mexico State")</f>
        <v>New Mexico State</v>
      </c>
      <c r="BI32" t="str">
        <f>IFERROR(__xludf.DUMMYFUNCTION("""COMPUTED_VALUE"""),"North Carolina")</f>
        <v>North Carolina</v>
      </c>
      <c r="BJ32" t="str">
        <f>IFERROR(__xludf.DUMMYFUNCTION("""COMPUTED_VALUE"""),"North Texas")</f>
        <v>North Texas</v>
      </c>
      <c r="BK32" t="str">
        <f>IFERROR(__xludf.DUMMYFUNCTION("""COMPUTED_VALUE"""),"Northern Illinois")</f>
        <v>Northern Illinois</v>
      </c>
      <c r="BL32" t="str">
        <f>IFERROR(__xludf.DUMMYFUNCTION("""COMPUTED_VALUE"""),"Northwestern")</f>
        <v>Northwestern</v>
      </c>
      <c r="BM32" t="str">
        <f>IFERROR(__xludf.DUMMYFUNCTION("""COMPUTED_VALUE"""),"Oklahoma")</f>
        <v>Oklahoma</v>
      </c>
      <c r="BN32" t="str">
        <f>IFERROR(__xludf.DUMMYFUNCTION("""COMPUTED_VALUE"""),"Oklahoma State")</f>
        <v>Oklahoma State</v>
      </c>
      <c r="BO32" t="str">
        <f>IFERROR(__xludf.DUMMYFUNCTION("""COMPUTED_VALUE"""),"Old Dominion")</f>
        <v>Old Dominion</v>
      </c>
      <c r="BP32" t="str">
        <f>IFERROR(__xludf.DUMMYFUNCTION("""COMPUTED_VALUE"""),"Ole Miss")</f>
        <v>Ole Miss</v>
      </c>
      <c r="BQ32" t="str">
        <f>IFERROR(__xludf.DUMMYFUNCTION("""COMPUTED_VALUE"""),"Oregon State")</f>
        <v>Oregon State</v>
      </c>
      <c r="BR32" t="str">
        <f>IFERROR(__xludf.DUMMYFUNCTION("""COMPUTED_VALUE"""),"Pittsburgh")</f>
        <v>Pittsburgh</v>
      </c>
      <c r="BS32" t="str">
        <f>IFERROR(__xludf.DUMMYFUNCTION("""COMPUTED_VALUE"""),"Purdue")</f>
        <v>Purdue</v>
      </c>
      <c r="BT32" t="str">
        <f>IFERROR(__xludf.DUMMYFUNCTION("""COMPUTED_VALUE"""),"Rice")</f>
        <v>Rice</v>
      </c>
      <c r="BU32" t="str">
        <f>IFERROR(__xludf.DUMMYFUNCTION("""COMPUTED_VALUE"""),"Rutgers")</f>
        <v>Rutgers</v>
      </c>
      <c r="BV32" t="str">
        <f>IFERROR(__xludf.DUMMYFUNCTION("""COMPUTED_VALUE"""),"Sam Houston")</f>
        <v>Sam Houston</v>
      </c>
      <c r="BW32" t="str">
        <f>IFERROR(__xludf.DUMMYFUNCTION("""COMPUTED_VALUE"""),"San Diego State")</f>
        <v>San Diego State</v>
      </c>
      <c r="BX32" t="str">
        <f>IFERROR(__xludf.DUMMYFUNCTION("""COMPUTED_VALUE"""),"South Alabama")</f>
        <v>South Alabama</v>
      </c>
      <c r="BY32" t="str">
        <f>IFERROR(__xludf.DUMMYFUNCTION("""COMPUTED_VALUE"""),"South Carolina")</f>
        <v>South Carolina</v>
      </c>
      <c r="BZ32" t="str">
        <f>IFERROR(__xludf.DUMMYFUNCTION("""COMPUTED_VALUE"""),"South Florida")</f>
        <v>South Florida</v>
      </c>
      <c r="CA32" t="str">
        <f>IFERROR(__xludf.DUMMYFUNCTION("""COMPUTED_VALUE"""),"Southern Mississippi")</f>
        <v>Southern Mississippi</v>
      </c>
      <c r="CB32" t="str">
        <f>IFERROR(__xludf.DUMMYFUNCTION("""COMPUTED_VALUE"""),"Stanford")</f>
        <v>Stanford</v>
      </c>
      <c r="CC32" t="str">
        <f>IFERROR(__xludf.DUMMYFUNCTION("""COMPUTED_VALUE"""),"Syracuse")</f>
        <v>Syracuse</v>
      </c>
      <c r="CD32" t="str">
        <f>IFERROR(__xludf.DUMMYFUNCTION("""COMPUTED_VALUE"""),"TCU")</f>
        <v>TCU</v>
      </c>
      <c r="CE32" t="str">
        <f>IFERROR(__xludf.DUMMYFUNCTION("""COMPUTED_VALUE"""),"Temple")</f>
        <v>Temple</v>
      </c>
      <c r="CF32" t="str">
        <f>IFERROR(__xludf.DUMMYFUNCTION("""COMPUTED_VALUE"""),"Tennessee")</f>
        <v>Tennessee</v>
      </c>
      <c r="CG32" t="str">
        <f>IFERROR(__xludf.DUMMYFUNCTION("""COMPUTED_VALUE"""),"Texas A&amp;M")</f>
        <v>Texas A&amp;M</v>
      </c>
      <c r="CH32" t="str">
        <f>IFERROR(__xludf.DUMMYFUNCTION("""COMPUTED_VALUE"""),"Texas State")</f>
        <v>Texas State</v>
      </c>
      <c r="CI32" t="str">
        <f>IFERROR(__xludf.DUMMYFUNCTION("""COMPUTED_VALUE"""),"Troy")</f>
        <v>Troy</v>
      </c>
      <c r="CJ32" t="str">
        <f>IFERROR(__xludf.DUMMYFUNCTION("""COMPUTED_VALUE"""),"Tulsa")</f>
        <v>Tulsa</v>
      </c>
      <c r="CK32" t="str">
        <f>IFERROR(__xludf.DUMMYFUNCTION("""COMPUTED_VALUE"""),"UAB")</f>
        <v>UAB</v>
      </c>
      <c r="CL32" t="str">
        <f>IFERROR(__xludf.DUMMYFUNCTION("""COMPUTED_VALUE"""),"UCF")</f>
        <v>UCF</v>
      </c>
      <c r="CM32" t="str">
        <f>IFERROR(__xludf.DUMMYFUNCTION("""COMPUTED_VALUE"""),"UCLA")</f>
        <v>UCLA</v>
      </c>
      <c r="CN32" t="str">
        <f>IFERROR(__xludf.DUMMYFUNCTION("""COMPUTED_VALUE"""),"UConn")</f>
        <v>UConn</v>
      </c>
      <c r="CO32" t="str">
        <f>IFERROR(__xludf.DUMMYFUNCTION("""COMPUTED_VALUE"""),"UL Monroe")</f>
        <v>UL Monroe</v>
      </c>
      <c r="CP32" t="str">
        <f>IFERROR(__xludf.DUMMYFUNCTION("""COMPUTED_VALUE"""),"UMASS")</f>
        <v>UMASS</v>
      </c>
      <c r="CQ32" t="str">
        <f>IFERROR(__xludf.DUMMYFUNCTION("""COMPUTED_VALUE"""),"Utah State")</f>
        <v>Utah State</v>
      </c>
      <c r="CR32" t="str">
        <f>IFERROR(__xludf.DUMMYFUNCTION("""COMPUTED_VALUE"""),"UTEP")</f>
        <v>UTEP</v>
      </c>
      <c r="CS32" t="str">
        <f>IFERROR(__xludf.DUMMYFUNCTION("""COMPUTED_VALUE"""),"Vanderbilt")</f>
        <v>Vanderbilt</v>
      </c>
      <c r="CT32" t="str">
        <f>IFERROR(__xludf.DUMMYFUNCTION("""COMPUTED_VALUE"""),"Virginia")</f>
        <v>Virginia</v>
      </c>
      <c r="CU32" t="str">
        <f>IFERROR(__xludf.DUMMYFUNCTION("""COMPUTED_VALUE"""),"Virginia Tech")</f>
        <v>Virginia Tech</v>
      </c>
      <c r="CV32" t="str">
        <f>IFERROR(__xludf.DUMMYFUNCTION("""COMPUTED_VALUE"""),"Wake Forest")</f>
        <v>Wake Forest</v>
      </c>
      <c r="CW32" t="str">
        <f>IFERROR(__xludf.DUMMYFUNCTION("""COMPUTED_VALUE"""),"Washington")</f>
        <v>Washington</v>
      </c>
      <c r="CX32" t="str">
        <f>IFERROR(__xludf.DUMMYFUNCTION("""COMPUTED_VALUE"""),"Washington State")</f>
        <v>Washington State</v>
      </c>
      <c r="CY32" t="str">
        <f>IFERROR(__xludf.DUMMYFUNCTION("""COMPUTED_VALUE"""),"West Virginia")</f>
        <v>West Virginia</v>
      </c>
      <c r="CZ32" t="str">
        <f>IFERROR(__xludf.DUMMYFUNCTION("""COMPUTED_VALUE"""),"Western Michigan")</f>
        <v>Western Michigan</v>
      </c>
      <c r="DA32" t="str">
        <f>IFERROR(__xludf.DUMMYFUNCTION("""COMPUTED_VALUE"""),"Wisconsin")</f>
        <v>Wisconsin</v>
      </c>
      <c r="DB32" t="str">
        <f>IFERROR(__xludf.DUMMYFUNCTION("""COMPUTED_VALUE"""),"Wyoming")</f>
        <v>Wyoming</v>
      </c>
    </row>
    <row r="33">
      <c r="A33" s="1">
        <v>32.0</v>
      </c>
      <c r="B33" t="str">
        <f>IFERROR(__xludf.DUMMYFUNCTION("split(join("","",sort(byrow('Teams-Conference'!A$2:A1000,lambda(rw,if(iserror(match(rw,DraftTracker!F$1:F33,0)),rw,""""))),1,1)),"","",1,1)"),"Air Force")</f>
        <v>Air Force</v>
      </c>
      <c r="C33" t="str">
        <f>IFERROR(__xludf.DUMMYFUNCTION("""COMPUTED_VALUE"""),"Akron")</f>
        <v>Akron</v>
      </c>
      <c r="D33" t="str">
        <f>IFERROR(__xludf.DUMMYFUNCTION("""COMPUTED_VALUE"""),"Appalachian State")</f>
        <v>Appalachian State</v>
      </c>
      <c r="E33" t="str">
        <f>IFERROR(__xludf.DUMMYFUNCTION("""COMPUTED_VALUE"""),"Arizona")</f>
        <v>Arizona</v>
      </c>
      <c r="F33" t="str">
        <f>IFERROR(__xludf.DUMMYFUNCTION("""COMPUTED_VALUE"""),"Arkansas")</f>
        <v>Arkansas</v>
      </c>
      <c r="G33" t="str">
        <f>IFERROR(__xludf.DUMMYFUNCTION("""COMPUTED_VALUE"""),"Arkansas State")</f>
        <v>Arkansas State</v>
      </c>
      <c r="H33" t="str">
        <f>IFERROR(__xludf.DUMMYFUNCTION("""COMPUTED_VALUE"""),"Army")</f>
        <v>Army</v>
      </c>
      <c r="I33" t="str">
        <f>IFERROR(__xludf.DUMMYFUNCTION("""COMPUTED_VALUE"""),"Auburn")</f>
        <v>Auburn</v>
      </c>
      <c r="J33" t="str">
        <f>IFERROR(__xludf.DUMMYFUNCTION("""COMPUTED_VALUE"""),"Ball State")</f>
        <v>Ball State</v>
      </c>
      <c r="K33" t="str">
        <f>IFERROR(__xludf.DUMMYFUNCTION("""COMPUTED_VALUE"""),"Baylor")</f>
        <v>Baylor</v>
      </c>
      <c r="L33" t="str">
        <f>IFERROR(__xludf.DUMMYFUNCTION("""COMPUTED_VALUE"""),"Boston College")</f>
        <v>Boston College</v>
      </c>
      <c r="M33" t="str">
        <f>IFERROR(__xludf.DUMMYFUNCTION("""COMPUTED_VALUE"""),"Bowling Green")</f>
        <v>Bowling Green</v>
      </c>
      <c r="N33" t="str">
        <f>IFERROR(__xludf.DUMMYFUNCTION("""COMPUTED_VALUE"""),"BYU")</f>
        <v>BYU</v>
      </c>
      <c r="O33" t="str">
        <f>IFERROR(__xludf.DUMMYFUNCTION("""COMPUTED_VALUE"""),"California")</f>
        <v>California</v>
      </c>
      <c r="P33" t="str">
        <f>IFERROR(__xludf.DUMMYFUNCTION("""COMPUTED_VALUE"""),"Central Michigan")</f>
        <v>Central Michigan</v>
      </c>
      <c r="Q33" t="str">
        <f>IFERROR(__xludf.DUMMYFUNCTION("""COMPUTED_VALUE"""),"Charlotte")</f>
        <v>Charlotte</v>
      </c>
      <c r="R33" t="str">
        <f>IFERROR(__xludf.DUMMYFUNCTION("""COMPUTED_VALUE"""),"Cincinnati")</f>
        <v>Cincinnati</v>
      </c>
      <c r="S33" t="str">
        <f>IFERROR(__xludf.DUMMYFUNCTION("""COMPUTED_VALUE"""),"Coastal Carolina")</f>
        <v>Coastal Carolina</v>
      </c>
      <c r="T33" t="str">
        <f>IFERROR(__xludf.DUMMYFUNCTION("""COMPUTED_VALUE"""),"Colorado")</f>
        <v>Colorado</v>
      </c>
      <c r="U33" t="str">
        <f>IFERROR(__xludf.DUMMYFUNCTION("""COMPUTED_VALUE"""),"Colorado State")</f>
        <v>Colorado State</v>
      </c>
      <c r="V33" t="str">
        <f>IFERROR(__xludf.DUMMYFUNCTION("""COMPUTED_VALUE"""),"Delaware")</f>
        <v>Delaware</v>
      </c>
      <c r="W33" t="str">
        <f>IFERROR(__xludf.DUMMYFUNCTION("""COMPUTED_VALUE"""),"Duke")</f>
        <v>Duke</v>
      </c>
      <c r="X33" t="str">
        <f>IFERROR(__xludf.DUMMYFUNCTION("""COMPUTED_VALUE"""),"East Carolina")</f>
        <v>East Carolina</v>
      </c>
      <c r="Y33" t="str">
        <f>IFERROR(__xludf.DUMMYFUNCTION("""COMPUTED_VALUE"""),"EMU")</f>
        <v>EMU</v>
      </c>
      <c r="Z33" t="str">
        <f>IFERROR(__xludf.DUMMYFUNCTION("""COMPUTED_VALUE"""),"Florida")</f>
        <v>Florida</v>
      </c>
      <c r="AA33" t="str">
        <f>IFERROR(__xludf.DUMMYFUNCTION("""COMPUTED_VALUE"""),"Florida Atlantic")</f>
        <v>Florida Atlantic</v>
      </c>
      <c r="AB33" t="str">
        <f>IFERROR(__xludf.DUMMYFUNCTION("""COMPUTED_VALUE"""),"Florida Intl")</f>
        <v>Florida Intl</v>
      </c>
      <c r="AC33" t="str">
        <f>IFERROR(__xludf.DUMMYFUNCTION("""COMPUTED_VALUE"""),"Florida State")</f>
        <v>Florida State</v>
      </c>
      <c r="AD33" t="str">
        <f>IFERROR(__xludf.DUMMYFUNCTION("""COMPUTED_VALUE"""),"Fresno State")</f>
        <v>Fresno State</v>
      </c>
      <c r="AE33" t="str">
        <f>IFERROR(__xludf.DUMMYFUNCTION("""COMPUTED_VALUE"""),"Georgia State")</f>
        <v>Georgia State</v>
      </c>
      <c r="AF33" t="str">
        <f>IFERROR(__xludf.DUMMYFUNCTION("""COMPUTED_VALUE"""),"Georgia Tech")</f>
        <v>Georgia Tech</v>
      </c>
      <c r="AG33" t="str">
        <f>IFERROR(__xludf.DUMMYFUNCTION("""COMPUTED_VALUE"""),"Hawaii")</f>
        <v>Hawaii</v>
      </c>
      <c r="AH33" t="str">
        <f>IFERROR(__xludf.DUMMYFUNCTION("""COMPUTED_VALUE"""),"Houston")</f>
        <v>Houston</v>
      </c>
      <c r="AI33" t="str">
        <f>IFERROR(__xludf.DUMMYFUNCTION("""COMPUTED_VALUE"""),"Illinois")</f>
        <v>Illinois</v>
      </c>
      <c r="AJ33" t="str">
        <f>IFERROR(__xludf.DUMMYFUNCTION("""COMPUTED_VALUE"""),"Indiana")</f>
        <v>Indiana</v>
      </c>
      <c r="AK33" t="str">
        <f>IFERROR(__xludf.DUMMYFUNCTION("""COMPUTED_VALUE"""),"Iowa")</f>
        <v>Iowa</v>
      </c>
      <c r="AL33" t="str">
        <f>IFERROR(__xludf.DUMMYFUNCTION("""COMPUTED_VALUE"""),"Iowa State")</f>
        <v>Iowa State</v>
      </c>
      <c r="AM33" t="str">
        <f>IFERROR(__xludf.DUMMYFUNCTION("""COMPUTED_VALUE"""),"Jacksonville State")</f>
        <v>Jacksonville State</v>
      </c>
      <c r="AN33" t="str">
        <f>IFERROR(__xludf.DUMMYFUNCTION("""COMPUTED_VALUE"""),"Kansas")</f>
        <v>Kansas</v>
      </c>
      <c r="AO33" t="str">
        <f>IFERROR(__xludf.DUMMYFUNCTION("""COMPUTED_VALUE"""),"Kennesaw State")</f>
        <v>Kennesaw State</v>
      </c>
      <c r="AP33" t="str">
        <f>IFERROR(__xludf.DUMMYFUNCTION("""COMPUTED_VALUE"""),"Kent State")</f>
        <v>Kent State</v>
      </c>
      <c r="AQ33" t="str">
        <f>IFERROR(__xludf.DUMMYFUNCTION("""COMPUTED_VALUE"""),"Kentucky")</f>
        <v>Kentucky</v>
      </c>
      <c r="AR33" t="str">
        <f>IFERROR(__xludf.DUMMYFUNCTION("""COMPUTED_VALUE"""),"Louisiana Tech")</f>
        <v>Louisiana Tech</v>
      </c>
      <c r="AS33" t="str">
        <f>IFERROR(__xludf.DUMMYFUNCTION("""COMPUTED_VALUE"""),"Louisville")</f>
        <v>Louisville</v>
      </c>
      <c r="AT33" t="str">
        <f>IFERROR(__xludf.DUMMYFUNCTION("""COMPUTED_VALUE"""),"LSU")</f>
        <v>LSU</v>
      </c>
      <c r="AU33" t="str">
        <f>IFERROR(__xludf.DUMMYFUNCTION("""COMPUTED_VALUE"""),"Marshall")</f>
        <v>Marshall</v>
      </c>
      <c r="AV33" t="str">
        <f>IFERROR(__xludf.DUMMYFUNCTION("""COMPUTED_VALUE"""),"Maryland")</f>
        <v>Maryland</v>
      </c>
      <c r="AW33" t="str">
        <f>IFERROR(__xludf.DUMMYFUNCTION("""COMPUTED_VALUE"""),"Miami-OH")</f>
        <v>Miami-OH</v>
      </c>
      <c r="AX33" t="str">
        <f>IFERROR(__xludf.DUMMYFUNCTION("""COMPUTED_VALUE"""),"Michigan State")</f>
        <v>Michigan State</v>
      </c>
      <c r="AY33" t="str">
        <f>IFERROR(__xludf.DUMMYFUNCTION("""COMPUTED_VALUE"""),"Middle Tennessee")</f>
        <v>Middle Tennessee</v>
      </c>
      <c r="AZ33" t="str">
        <f>IFERROR(__xludf.DUMMYFUNCTION("""COMPUTED_VALUE"""),"Minnesota")</f>
        <v>Minnesota</v>
      </c>
      <c r="BA33" t="str">
        <f>IFERROR(__xludf.DUMMYFUNCTION("""COMPUTED_VALUE"""),"Mississippi State")</f>
        <v>Mississippi State</v>
      </c>
      <c r="BB33" t="str">
        <f>IFERROR(__xludf.DUMMYFUNCTION("""COMPUTED_VALUE"""),"Missouri")</f>
        <v>Missouri</v>
      </c>
      <c r="BC33" t="str">
        <f>IFERROR(__xludf.DUMMYFUNCTION("""COMPUTED_VALUE"""),"Missouri State")</f>
        <v>Missouri State</v>
      </c>
      <c r="BD33" t="str">
        <f>IFERROR(__xludf.DUMMYFUNCTION("""COMPUTED_VALUE"""),"NC State")</f>
        <v>NC State</v>
      </c>
      <c r="BE33" t="str">
        <f>IFERROR(__xludf.DUMMYFUNCTION("""COMPUTED_VALUE"""),"Nebraska")</f>
        <v>Nebraska</v>
      </c>
      <c r="BF33" t="str">
        <f>IFERROR(__xludf.DUMMYFUNCTION("""COMPUTED_VALUE"""),"Nevada")</f>
        <v>Nevada</v>
      </c>
      <c r="BG33" t="str">
        <f>IFERROR(__xludf.DUMMYFUNCTION("""COMPUTED_VALUE"""),"New Mexico")</f>
        <v>New Mexico</v>
      </c>
      <c r="BH33" t="str">
        <f>IFERROR(__xludf.DUMMYFUNCTION("""COMPUTED_VALUE"""),"New Mexico State")</f>
        <v>New Mexico State</v>
      </c>
      <c r="BI33" t="str">
        <f>IFERROR(__xludf.DUMMYFUNCTION("""COMPUTED_VALUE"""),"North Carolina")</f>
        <v>North Carolina</v>
      </c>
      <c r="BJ33" t="str">
        <f>IFERROR(__xludf.DUMMYFUNCTION("""COMPUTED_VALUE"""),"North Texas")</f>
        <v>North Texas</v>
      </c>
      <c r="BK33" t="str">
        <f>IFERROR(__xludf.DUMMYFUNCTION("""COMPUTED_VALUE"""),"Northern Illinois")</f>
        <v>Northern Illinois</v>
      </c>
      <c r="BL33" t="str">
        <f>IFERROR(__xludf.DUMMYFUNCTION("""COMPUTED_VALUE"""),"Northwestern")</f>
        <v>Northwestern</v>
      </c>
      <c r="BM33" t="str">
        <f>IFERROR(__xludf.DUMMYFUNCTION("""COMPUTED_VALUE"""),"Oklahoma")</f>
        <v>Oklahoma</v>
      </c>
      <c r="BN33" t="str">
        <f>IFERROR(__xludf.DUMMYFUNCTION("""COMPUTED_VALUE"""),"Oklahoma State")</f>
        <v>Oklahoma State</v>
      </c>
      <c r="BO33" t="str">
        <f>IFERROR(__xludf.DUMMYFUNCTION("""COMPUTED_VALUE"""),"Old Dominion")</f>
        <v>Old Dominion</v>
      </c>
      <c r="BP33" t="str">
        <f>IFERROR(__xludf.DUMMYFUNCTION("""COMPUTED_VALUE"""),"Ole Miss")</f>
        <v>Ole Miss</v>
      </c>
      <c r="BQ33" t="str">
        <f>IFERROR(__xludf.DUMMYFUNCTION("""COMPUTED_VALUE"""),"Oregon State")</f>
        <v>Oregon State</v>
      </c>
      <c r="BR33" t="str">
        <f>IFERROR(__xludf.DUMMYFUNCTION("""COMPUTED_VALUE"""),"Pittsburgh")</f>
        <v>Pittsburgh</v>
      </c>
      <c r="BS33" t="str">
        <f>IFERROR(__xludf.DUMMYFUNCTION("""COMPUTED_VALUE"""),"Purdue")</f>
        <v>Purdue</v>
      </c>
      <c r="BT33" t="str">
        <f>IFERROR(__xludf.DUMMYFUNCTION("""COMPUTED_VALUE"""),"Rice")</f>
        <v>Rice</v>
      </c>
      <c r="BU33" t="str">
        <f>IFERROR(__xludf.DUMMYFUNCTION("""COMPUTED_VALUE"""),"Rutgers")</f>
        <v>Rutgers</v>
      </c>
      <c r="BV33" t="str">
        <f>IFERROR(__xludf.DUMMYFUNCTION("""COMPUTED_VALUE"""),"Sam Houston")</f>
        <v>Sam Houston</v>
      </c>
      <c r="BW33" t="str">
        <f>IFERROR(__xludf.DUMMYFUNCTION("""COMPUTED_VALUE"""),"San Diego State")</f>
        <v>San Diego State</v>
      </c>
      <c r="BX33" t="str">
        <f>IFERROR(__xludf.DUMMYFUNCTION("""COMPUTED_VALUE"""),"South Carolina")</f>
        <v>South Carolina</v>
      </c>
      <c r="BY33" t="str">
        <f>IFERROR(__xludf.DUMMYFUNCTION("""COMPUTED_VALUE"""),"South Florida")</f>
        <v>South Florida</v>
      </c>
      <c r="BZ33" t="str">
        <f>IFERROR(__xludf.DUMMYFUNCTION("""COMPUTED_VALUE"""),"Southern Mississippi")</f>
        <v>Southern Mississippi</v>
      </c>
      <c r="CA33" t="str">
        <f>IFERROR(__xludf.DUMMYFUNCTION("""COMPUTED_VALUE"""),"Stanford")</f>
        <v>Stanford</v>
      </c>
      <c r="CB33" t="str">
        <f>IFERROR(__xludf.DUMMYFUNCTION("""COMPUTED_VALUE"""),"Syracuse")</f>
        <v>Syracuse</v>
      </c>
      <c r="CC33" t="str">
        <f>IFERROR(__xludf.DUMMYFUNCTION("""COMPUTED_VALUE"""),"TCU")</f>
        <v>TCU</v>
      </c>
      <c r="CD33" t="str">
        <f>IFERROR(__xludf.DUMMYFUNCTION("""COMPUTED_VALUE"""),"Temple")</f>
        <v>Temple</v>
      </c>
      <c r="CE33" t="str">
        <f>IFERROR(__xludf.DUMMYFUNCTION("""COMPUTED_VALUE"""),"Tennessee")</f>
        <v>Tennessee</v>
      </c>
      <c r="CF33" t="str">
        <f>IFERROR(__xludf.DUMMYFUNCTION("""COMPUTED_VALUE"""),"Texas A&amp;M")</f>
        <v>Texas A&amp;M</v>
      </c>
      <c r="CG33" t="str">
        <f>IFERROR(__xludf.DUMMYFUNCTION("""COMPUTED_VALUE"""),"Texas State")</f>
        <v>Texas State</v>
      </c>
      <c r="CH33" t="str">
        <f>IFERROR(__xludf.DUMMYFUNCTION("""COMPUTED_VALUE"""),"Troy")</f>
        <v>Troy</v>
      </c>
      <c r="CI33" t="str">
        <f>IFERROR(__xludf.DUMMYFUNCTION("""COMPUTED_VALUE"""),"Tulsa")</f>
        <v>Tulsa</v>
      </c>
      <c r="CJ33" t="str">
        <f>IFERROR(__xludf.DUMMYFUNCTION("""COMPUTED_VALUE"""),"UAB")</f>
        <v>UAB</v>
      </c>
      <c r="CK33" t="str">
        <f>IFERROR(__xludf.DUMMYFUNCTION("""COMPUTED_VALUE"""),"UCF")</f>
        <v>UCF</v>
      </c>
      <c r="CL33" t="str">
        <f>IFERROR(__xludf.DUMMYFUNCTION("""COMPUTED_VALUE"""),"UCLA")</f>
        <v>UCLA</v>
      </c>
      <c r="CM33" t="str">
        <f>IFERROR(__xludf.DUMMYFUNCTION("""COMPUTED_VALUE"""),"UConn")</f>
        <v>UConn</v>
      </c>
      <c r="CN33" t="str">
        <f>IFERROR(__xludf.DUMMYFUNCTION("""COMPUTED_VALUE"""),"UL Monroe")</f>
        <v>UL Monroe</v>
      </c>
      <c r="CO33" t="str">
        <f>IFERROR(__xludf.DUMMYFUNCTION("""COMPUTED_VALUE"""),"UMASS")</f>
        <v>UMASS</v>
      </c>
      <c r="CP33" t="str">
        <f>IFERROR(__xludf.DUMMYFUNCTION("""COMPUTED_VALUE"""),"Utah State")</f>
        <v>Utah State</v>
      </c>
      <c r="CQ33" t="str">
        <f>IFERROR(__xludf.DUMMYFUNCTION("""COMPUTED_VALUE"""),"UTEP")</f>
        <v>UTEP</v>
      </c>
      <c r="CR33" t="str">
        <f>IFERROR(__xludf.DUMMYFUNCTION("""COMPUTED_VALUE"""),"Vanderbilt")</f>
        <v>Vanderbilt</v>
      </c>
      <c r="CS33" t="str">
        <f>IFERROR(__xludf.DUMMYFUNCTION("""COMPUTED_VALUE"""),"Virginia")</f>
        <v>Virginia</v>
      </c>
      <c r="CT33" t="str">
        <f>IFERROR(__xludf.DUMMYFUNCTION("""COMPUTED_VALUE"""),"Virginia Tech")</f>
        <v>Virginia Tech</v>
      </c>
      <c r="CU33" t="str">
        <f>IFERROR(__xludf.DUMMYFUNCTION("""COMPUTED_VALUE"""),"Wake Forest")</f>
        <v>Wake Forest</v>
      </c>
      <c r="CV33" t="str">
        <f>IFERROR(__xludf.DUMMYFUNCTION("""COMPUTED_VALUE"""),"Washington")</f>
        <v>Washington</v>
      </c>
      <c r="CW33" t="str">
        <f>IFERROR(__xludf.DUMMYFUNCTION("""COMPUTED_VALUE"""),"Washington State")</f>
        <v>Washington State</v>
      </c>
      <c r="CX33" t="str">
        <f>IFERROR(__xludf.DUMMYFUNCTION("""COMPUTED_VALUE"""),"West Virginia")</f>
        <v>West Virginia</v>
      </c>
      <c r="CY33" t="str">
        <f>IFERROR(__xludf.DUMMYFUNCTION("""COMPUTED_VALUE"""),"Western Michigan")</f>
        <v>Western Michigan</v>
      </c>
      <c r="CZ33" t="str">
        <f>IFERROR(__xludf.DUMMYFUNCTION("""COMPUTED_VALUE"""),"Wisconsin")</f>
        <v>Wisconsin</v>
      </c>
      <c r="DA33" t="str">
        <f>IFERROR(__xludf.DUMMYFUNCTION("""COMPUTED_VALUE"""),"Wyoming")</f>
        <v>Wyoming</v>
      </c>
    </row>
    <row r="34">
      <c r="A34" s="1">
        <v>33.0</v>
      </c>
      <c r="B34" t="str">
        <f>IFERROR(__xludf.DUMMYFUNCTION("split(join("","",sort(byrow('Teams-Conference'!A$2:A1000,lambda(rw,if(iserror(match(rw,DraftTracker!F$1:F34,0)),rw,""""))),1,1)),"","",1,1)"),"Air Force")</f>
        <v>Air Force</v>
      </c>
      <c r="C34" t="str">
        <f>IFERROR(__xludf.DUMMYFUNCTION("""COMPUTED_VALUE"""),"Akron")</f>
        <v>Akron</v>
      </c>
      <c r="D34" t="str">
        <f>IFERROR(__xludf.DUMMYFUNCTION("""COMPUTED_VALUE"""),"Appalachian State")</f>
        <v>Appalachian State</v>
      </c>
      <c r="E34" t="str">
        <f>IFERROR(__xludf.DUMMYFUNCTION("""COMPUTED_VALUE"""),"Arizona")</f>
        <v>Arizona</v>
      </c>
      <c r="F34" t="str">
        <f>IFERROR(__xludf.DUMMYFUNCTION("""COMPUTED_VALUE"""),"Arkansas")</f>
        <v>Arkansas</v>
      </c>
      <c r="G34" t="str">
        <f>IFERROR(__xludf.DUMMYFUNCTION("""COMPUTED_VALUE"""),"Arkansas State")</f>
        <v>Arkansas State</v>
      </c>
      <c r="H34" t="str">
        <f>IFERROR(__xludf.DUMMYFUNCTION("""COMPUTED_VALUE"""),"Army")</f>
        <v>Army</v>
      </c>
      <c r="I34" t="str">
        <f>IFERROR(__xludf.DUMMYFUNCTION("""COMPUTED_VALUE"""),"Auburn")</f>
        <v>Auburn</v>
      </c>
      <c r="J34" t="str">
        <f>IFERROR(__xludf.DUMMYFUNCTION("""COMPUTED_VALUE"""),"Ball State")</f>
        <v>Ball State</v>
      </c>
      <c r="K34" t="str">
        <f>IFERROR(__xludf.DUMMYFUNCTION("""COMPUTED_VALUE"""),"Baylor")</f>
        <v>Baylor</v>
      </c>
      <c r="L34" t="str">
        <f>IFERROR(__xludf.DUMMYFUNCTION("""COMPUTED_VALUE"""),"Boston College")</f>
        <v>Boston College</v>
      </c>
      <c r="M34" t="str">
        <f>IFERROR(__xludf.DUMMYFUNCTION("""COMPUTED_VALUE"""),"Bowling Green")</f>
        <v>Bowling Green</v>
      </c>
      <c r="N34" t="str">
        <f>IFERROR(__xludf.DUMMYFUNCTION("""COMPUTED_VALUE"""),"BYU")</f>
        <v>BYU</v>
      </c>
      <c r="O34" t="str">
        <f>IFERROR(__xludf.DUMMYFUNCTION("""COMPUTED_VALUE"""),"California")</f>
        <v>California</v>
      </c>
      <c r="P34" t="str">
        <f>IFERROR(__xludf.DUMMYFUNCTION("""COMPUTED_VALUE"""),"Central Michigan")</f>
        <v>Central Michigan</v>
      </c>
      <c r="Q34" t="str">
        <f>IFERROR(__xludf.DUMMYFUNCTION("""COMPUTED_VALUE"""),"Charlotte")</f>
        <v>Charlotte</v>
      </c>
      <c r="R34" t="str">
        <f>IFERROR(__xludf.DUMMYFUNCTION("""COMPUTED_VALUE"""),"Cincinnati")</f>
        <v>Cincinnati</v>
      </c>
      <c r="S34" t="str">
        <f>IFERROR(__xludf.DUMMYFUNCTION("""COMPUTED_VALUE"""),"Coastal Carolina")</f>
        <v>Coastal Carolina</v>
      </c>
      <c r="T34" t="str">
        <f>IFERROR(__xludf.DUMMYFUNCTION("""COMPUTED_VALUE"""),"Colorado")</f>
        <v>Colorado</v>
      </c>
      <c r="U34" t="str">
        <f>IFERROR(__xludf.DUMMYFUNCTION("""COMPUTED_VALUE"""),"Colorado State")</f>
        <v>Colorado State</v>
      </c>
      <c r="V34" t="str">
        <f>IFERROR(__xludf.DUMMYFUNCTION("""COMPUTED_VALUE"""),"Delaware")</f>
        <v>Delaware</v>
      </c>
      <c r="W34" t="str">
        <f>IFERROR(__xludf.DUMMYFUNCTION("""COMPUTED_VALUE"""),"Duke")</f>
        <v>Duke</v>
      </c>
      <c r="X34" t="str">
        <f>IFERROR(__xludf.DUMMYFUNCTION("""COMPUTED_VALUE"""),"East Carolina")</f>
        <v>East Carolina</v>
      </c>
      <c r="Y34" t="str">
        <f>IFERROR(__xludf.DUMMYFUNCTION("""COMPUTED_VALUE"""),"EMU")</f>
        <v>EMU</v>
      </c>
      <c r="Z34" t="str">
        <f>IFERROR(__xludf.DUMMYFUNCTION("""COMPUTED_VALUE"""),"Florida")</f>
        <v>Florida</v>
      </c>
      <c r="AA34" t="str">
        <f>IFERROR(__xludf.DUMMYFUNCTION("""COMPUTED_VALUE"""),"Florida Atlantic")</f>
        <v>Florida Atlantic</v>
      </c>
      <c r="AB34" t="str">
        <f>IFERROR(__xludf.DUMMYFUNCTION("""COMPUTED_VALUE"""),"Florida Intl")</f>
        <v>Florida Intl</v>
      </c>
      <c r="AC34" t="str">
        <f>IFERROR(__xludf.DUMMYFUNCTION("""COMPUTED_VALUE"""),"Florida State")</f>
        <v>Florida State</v>
      </c>
      <c r="AD34" t="str">
        <f>IFERROR(__xludf.DUMMYFUNCTION("""COMPUTED_VALUE"""),"Fresno State")</f>
        <v>Fresno State</v>
      </c>
      <c r="AE34" t="str">
        <f>IFERROR(__xludf.DUMMYFUNCTION("""COMPUTED_VALUE"""),"Georgia State")</f>
        <v>Georgia State</v>
      </c>
      <c r="AF34" t="str">
        <f>IFERROR(__xludf.DUMMYFUNCTION("""COMPUTED_VALUE"""),"Georgia Tech")</f>
        <v>Georgia Tech</v>
      </c>
      <c r="AG34" t="str">
        <f>IFERROR(__xludf.DUMMYFUNCTION("""COMPUTED_VALUE"""),"Hawaii")</f>
        <v>Hawaii</v>
      </c>
      <c r="AH34" t="str">
        <f>IFERROR(__xludf.DUMMYFUNCTION("""COMPUTED_VALUE"""),"Houston")</f>
        <v>Houston</v>
      </c>
      <c r="AI34" t="str">
        <f>IFERROR(__xludf.DUMMYFUNCTION("""COMPUTED_VALUE"""),"Indiana")</f>
        <v>Indiana</v>
      </c>
      <c r="AJ34" t="str">
        <f>IFERROR(__xludf.DUMMYFUNCTION("""COMPUTED_VALUE"""),"Iowa")</f>
        <v>Iowa</v>
      </c>
      <c r="AK34" t="str">
        <f>IFERROR(__xludf.DUMMYFUNCTION("""COMPUTED_VALUE"""),"Iowa State")</f>
        <v>Iowa State</v>
      </c>
      <c r="AL34" t="str">
        <f>IFERROR(__xludf.DUMMYFUNCTION("""COMPUTED_VALUE"""),"Jacksonville State")</f>
        <v>Jacksonville State</v>
      </c>
      <c r="AM34" t="str">
        <f>IFERROR(__xludf.DUMMYFUNCTION("""COMPUTED_VALUE"""),"Kansas")</f>
        <v>Kansas</v>
      </c>
      <c r="AN34" t="str">
        <f>IFERROR(__xludf.DUMMYFUNCTION("""COMPUTED_VALUE"""),"Kennesaw State")</f>
        <v>Kennesaw State</v>
      </c>
      <c r="AO34" t="str">
        <f>IFERROR(__xludf.DUMMYFUNCTION("""COMPUTED_VALUE"""),"Kent State")</f>
        <v>Kent State</v>
      </c>
      <c r="AP34" t="str">
        <f>IFERROR(__xludf.DUMMYFUNCTION("""COMPUTED_VALUE"""),"Kentucky")</f>
        <v>Kentucky</v>
      </c>
      <c r="AQ34" t="str">
        <f>IFERROR(__xludf.DUMMYFUNCTION("""COMPUTED_VALUE"""),"Louisiana Tech")</f>
        <v>Louisiana Tech</v>
      </c>
      <c r="AR34" t="str">
        <f>IFERROR(__xludf.DUMMYFUNCTION("""COMPUTED_VALUE"""),"Louisville")</f>
        <v>Louisville</v>
      </c>
      <c r="AS34" t="str">
        <f>IFERROR(__xludf.DUMMYFUNCTION("""COMPUTED_VALUE"""),"LSU")</f>
        <v>LSU</v>
      </c>
      <c r="AT34" t="str">
        <f>IFERROR(__xludf.DUMMYFUNCTION("""COMPUTED_VALUE"""),"Marshall")</f>
        <v>Marshall</v>
      </c>
      <c r="AU34" t="str">
        <f>IFERROR(__xludf.DUMMYFUNCTION("""COMPUTED_VALUE"""),"Maryland")</f>
        <v>Maryland</v>
      </c>
      <c r="AV34" t="str">
        <f>IFERROR(__xludf.DUMMYFUNCTION("""COMPUTED_VALUE"""),"Miami-OH")</f>
        <v>Miami-OH</v>
      </c>
      <c r="AW34" t="str">
        <f>IFERROR(__xludf.DUMMYFUNCTION("""COMPUTED_VALUE"""),"Michigan State")</f>
        <v>Michigan State</v>
      </c>
      <c r="AX34" t="str">
        <f>IFERROR(__xludf.DUMMYFUNCTION("""COMPUTED_VALUE"""),"Middle Tennessee")</f>
        <v>Middle Tennessee</v>
      </c>
      <c r="AY34" t="str">
        <f>IFERROR(__xludf.DUMMYFUNCTION("""COMPUTED_VALUE"""),"Minnesota")</f>
        <v>Minnesota</v>
      </c>
      <c r="AZ34" t="str">
        <f>IFERROR(__xludf.DUMMYFUNCTION("""COMPUTED_VALUE"""),"Mississippi State")</f>
        <v>Mississippi State</v>
      </c>
      <c r="BA34" t="str">
        <f>IFERROR(__xludf.DUMMYFUNCTION("""COMPUTED_VALUE"""),"Missouri")</f>
        <v>Missouri</v>
      </c>
      <c r="BB34" t="str">
        <f>IFERROR(__xludf.DUMMYFUNCTION("""COMPUTED_VALUE"""),"Missouri State")</f>
        <v>Missouri State</v>
      </c>
      <c r="BC34" t="str">
        <f>IFERROR(__xludf.DUMMYFUNCTION("""COMPUTED_VALUE"""),"NC State")</f>
        <v>NC State</v>
      </c>
      <c r="BD34" t="str">
        <f>IFERROR(__xludf.DUMMYFUNCTION("""COMPUTED_VALUE"""),"Nebraska")</f>
        <v>Nebraska</v>
      </c>
      <c r="BE34" t="str">
        <f>IFERROR(__xludf.DUMMYFUNCTION("""COMPUTED_VALUE"""),"Nevada")</f>
        <v>Nevada</v>
      </c>
      <c r="BF34" t="str">
        <f>IFERROR(__xludf.DUMMYFUNCTION("""COMPUTED_VALUE"""),"New Mexico")</f>
        <v>New Mexico</v>
      </c>
      <c r="BG34" t="str">
        <f>IFERROR(__xludf.DUMMYFUNCTION("""COMPUTED_VALUE"""),"New Mexico State")</f>
        <v>New Mexico State</v>
      </c>
      <c r="BH34" t="str">
        <f>IFERROR(__xludf.DUMMYFUNCTION("""COMPUTED_VALUE"""),"North Carolina")</f>
        <v>North Carolina</v>
      </c>
      <c r="BI34" t="str">
        <f>IFERROR(__xludf.DUMMYFUNCTION("""COMPUTED_VALUE"""),"North Texas")</f>
        <v>North Texas</v>
      </c>
      <c r="BJ34" t="str">
        <f>IFERROR(__xludf.DUMMYFUNCTION("""COMPUTED_VALUE"""),"Northern Illinois")</f>
        <v>Northern Illinois</v>
      </c>
      <c r="BK34" t="str">
        <f>IFERROR(__xludf.DUMMYFUNCTION("""COMPUTED_VALUE"""),"Northwestern")</f>
        <v>Northwestern</v>
      </c>
      <c r="BL34" t="str">
        <f>IFERROR(__xludf.DUMMYFUNCTION("""COMPUTED_VALUE"""),"Oklahoma")</f>
        <v>Oklahoma</v>
      </c>
      <c r="BM34" t="str">
        <f>IFERROR(__xludf.DUMMYFUNCTION("""COMPUTED_VALUE"""),"Oklahoma State")</f>
        <v>Oklahoma State</v>
      </c>
      <c r="BN34" t="str">
        <f>IFERROR(__xludf.DUMMYFUNCTION("""COMPUTED_VALUE"""),"Old Dominion")</f>
        <v>Old Dominion</v>
      </c>
      <c r="BO34" t="str">
        <f>IFERROR(__xludf.DUMMYFUNCTION("""COMPUTED_VALUE"""),"Ole Miss")</f>
        <v>Ole Miss</v>
      </c>
      <c r="BP34" t="str">
        <f>IFERROR(__xludf.DUMMYFUNCTION("""COMPUTED_VALUE"""),"Oregon State")</f>
        <v>Oregon State</v>
      </c>
      <c r="BQ34" t="str">
        <f>IFERROR(__xludf.DUMMYFUNCTION("""COMPUTED_VALUE"""),"Pittsburgh")</f>
        <v>Pittsburgh</v>
      </c>
      <c r="BR34" t="str">
        <f>IFERROR(__xludf.DUMMYFUNCTION("""COMPUTED_VALUE"""),"Purdue")</f>
        <v>Purdue</v>
      </c>
      <c r="BS34" t="str">
        <f>IFERROR(__xludf.DUMMYFUNCTION("""COMPUTED_VALUE"""),"Rice")</f>
        <v>Rice</v>
      </c>
      <c r="BT34" t="str">
        <f>IFERROR(__xludf.DUMMYFUNCTION("""COMPUTED_VALUE"""),"Rutgers")</f>
        <v>Rutgers</v>
      </c>
      <c r="BU34" t="str">
        <f>IFERROR(__xludf.DUMMYFUNCTION("""COMPUTED_VALUE"""),"Sam Houston")</f>
        <v>Sam Houston</v>
      </c>
      <c r="BV34" t="str">
        <f>IFERROR(__xludf.DUMMYFUNCTION("""COMPUTED_VALUE"""),"San Diego State")</f>
        <v>San Diego State</v>
      </c>
      <c r="BW34" t="str">
        <f>IFERROR(__xludf.DUMMYFUNCTION("""COMPUTED_VALUE"""),"South Carolina")</f>
        <v>South Carolina</v>
      </c>
      <c r="BX34" t="str">
        <f>IFERROR(__xludf.DUMMYFUNCTION("""COMPUTED_VALUE"""),"South Florida")</f>
        <v>South Florida</v>
      </c>
      <c r="BY34" t="str">
        <f>IFERROR(__xludf.DUMMYFUNCTION("""COMPUTED_VALUE"""),"Southern Mississippi")</f>
        <v>Southern Mississippi</v>
      </c>
      <c r="BZ34" t="str">
        <f>IFERROR(__xludf.DUMMYFUNCTION("""COMPUTED_VALUE"""),"Stanford")</f>
        <v>Stanford</v>
      </c>
      <c r="CA34" t="str">
        <f>IFERROR(__xludf.DUMMYFUNCTION("""COMPUTED_VALUE"""),"Syracuse")</f>
        <v>Syracuse</v>
      </c>
      <c r="CB34" t="str">
        <f>IFERROR(__xludf.DUMMYFUNCTION("""COMPUTED_VALUE"""),"TCU")</f>
        <v>TCU</v>
      </c>
      <c r="CC34" t="str">
        <f>IFERROR(__xludf.DUMMYFUNCTION("""COMPUTED_VALUE"""),"Temple")</f>
        <v>Temple</v>
      </c>
      <c r="CD34" t="str">
        <f>IFERROR(__xludf.DUMMYFUNCTION("""COMPUTED_VALUE"""),"Tennessee")</f>
        <v>Tennessee</v>
      </c>
      <c r="CE34" t="str">
        <f>IFERROR(__xludf.DUMMYFUNCTION("""COMPUTED_VALUE"""),"Texas A&amp;M")</f>
        <v>Texas A&amp;M</v>
      </c>
      <c r="CF34" t="str">
        <f>IFERROR(__xludf.DUMMYFUNCTION("""COMPUTED_VALUE"""),"Texas State")</f>
        <v>Texas State</v>
      </c>
      <c r="CG34" t="str">
        <f>IFERROR(__xludf.DUMMYFUNCTION("""COMPUTED_VALUE"""),"Troy")</f>
        <v>Troy</v>
      </c>
      <c r="CH34" t="str">
        <f>IFERROR(__xludf.DUMMYFUNCTION("""COMPUTED_VALUE"""),"Tulsa")</f>
        <v>Tulsa</v>
      </c>
      <c r="CI34" t="str">
        <f>IFERROR(__xludf.DUMMYFUNCTION("""COMPUTED_VALUE"""),"UAB")</f>
        <v>UAB</v>
      </c>
      <c r="CJ34" t="str">
        <f>IFERROR(__xludf.DUMMYFUNCTION("""COMPUTED_VALUE"""),"UCF")</f>
        <v>UCF</v>
      </c>
      <c r="CK34" t="str">
        <f>IFERROR(__xludf.DUMMYFUNCTION("""COMPUTED_VALUE"""),"UCLA")</f>
        <v>UCLA</v>
      </c>
      <c r="CL34" t="str">
        <f>IFERROR(__xludf.DUMMYFUNCTION("""COMPUTED_VALUE"""),"UConn")</f>
        <v>UConn</v>
      </c>
      <c r="CM34" t="str">
        <f>IFERROR(__xludf.DUMMYFUNCTION("""COMPUTED_VALUE"""),"UL Monroe")</f>
        <v>UL Monroe</v>
      </c>
      <c r="CN34" t="str">
        <f>IFERROR(__xludf.DUMMYFUNCTION("""COMPUTED_VALUE"""),"UMASS")</f>
        <v>UMASS</v>
      </c>
      <c r="CO34" t="str">
        <f>IFERROR(__xludf.DUMMYFUNCTION("""COMPUTED_VALUE"""),"Utah State")</f>
        <v>Utah State</v>
      </c>
      <c r="CP34" t="str">
        <f>IFERROR(__xludf.DUMMYFUNCTION("""COMPUTED_VALUE"""),"UTEP")</f>
        <v>UTEP</v>
      </c>
      <c r="CQ34" t="str">
        <f>IFERROR(__xludf.DUMMYFUNCTION("""COMPUTED_VALUE"""),"Vanderbilt")</f>
        <v>Vanderbilt</v>
      </c>
      <c r="CR34" t="str">
        <f>IFERROR(__xludf.DUMMYFUNCTION("""COMPUTED_VALUE"""),"Virginia")</f>
        <v>Virginia</v>
      </c>
      <c r="CS34" t="str">
        <f>IFERROR(__xludf.DUMMYFUNCTION("""COMPUTED_VALUE"""),"Virginia Tech")</f>
        <v>Virginia Tech</v>
      </c>
      <c r="CT34" t="str">
        <f>IFERROR(__xludf.DUMMYFUNCTION("""COMPUTED_VALUE"""),"Wake Forest")</f>
        <v>Wake Forest</v>
      </c>
      <c r="CU34" t="str">
        <f>IFERROR(__xludf.DUMMYFUNCTION("""COMPUTED_VALUE"""),"Washington")</f>
        <v>Washington</v>
      </c>
      <c r="CV34" t="str">
        <f>IFERROR(__xludf.DUMMYFUNCTION("""COMPUTED_VALUE"""),"Washington State")</f>
        <v>Washington State</v>
      </c>
      <c r="CW34" t="str">
        <f>IFERROR(__xludf.DUMMYFUNCTION("""COMPUTED_VALUE"""),"West Virginia")</f>
        <v>West Virginia</v>
      </c>
      <c r="CX34" t="str">
        <f>IFERROR(__xludf.DUMMYFUNCTION("""COMPUTED_VALUE"""),"Western Michigan")</f>
        <v>Western Michigan</v>
      </c>
      <c r="CY34" t="str">
        <f>IFERROR(__xludf.DUMMYFUNCTION("""COMPUTED_VALUE"""),"Wisconsin")</f>
        <v>Wisconsin</v>
      </c>
      <c r="CZ34" t="str">
        <f>IFERROR(__xludf.DUMMYFUNCTION("""COMPUTED_VALUE"""),"Wyoming")</f>
        <v>Wyoming</v>
      </c>
    </row>
    <row r="35">
      <c r="A35" s="1">
        <v>34.0</v>
      </c>
      <c r="B35" t="str">
        <f>IFERROR(__xludf.DUMMYFUNCTION("split(join("","",sort(byrow('Teams-Conference'!A$2:A1000,lambda(rw,if(iserror(match(rw,DraftTracker!F$1:F35,0)),rw,""""))),1,1)),"","",1,1)"),"Air Force")</f>
        <v>Air Force</v>
      </c>
      <c r="C35" t="str">
        <f>IFERROR(__xludf.DUMMYFUNCTION("""COMPUTED_VALUE"""),"Akron")</f>
        <v>Akron</v>
      </c>
      <c r="D35" t="str">
        <f>IFERROR(__xludf.DUMMYFUNCTION("""COMPUTED_VALUE"""),"Appalachian State")</f>
        <v>Appalachian State</v>
      </c>
      <c r="E35" t="str">
        <f>IFERROR(__xludf.DUMMYFUNCTION("""COMPUTED_VALUE"""),"Arizona")</f>
        <v>Arizona</v>
      </c>
      <c r="F35" t="str">
        <f>IFERROR(__xludf.DUMMYFUNCTION("""COMPUTED_VALUE"""),"Arkansas")</f>
        <v>Arkansas</v>
      </c>
      <c r="G35" t="str">
        <f>IFERROR(__xludf.DUMMYFUNCTION("""COMPUTED_VALUE"""),"Arkansas State")</f>
        <v>Arkansas State</v>
      </c>
      <c r="H35" t="str">
        <f>IFERROR(__xludf.DUMMYFUNCTION("""COMPUTED_VALUE"""),"Army")</f>
        <v>Army</v>
      </c>
      <c r="I35" t="str">
        <f>IFERROR(__xludf.DUMMYFUNCTION("""COMPUTED_VALUE"""),"Auburn")</f>
        <v>Auburn</v>
      </c>
      <c r="J35" t="str">
        <f>IFERROR(__xludf.DUMMYFUNCTION("""COMPUTED_VALUE"""),"Ball State")</f>
        <v>Ball State</v>
      </c>
      <c r="K35" t="str">
        <f>IFERROR(__xludf.DUMMYFUNCTION("""COMPUTED_VALUE"""),"Baylor")</f>
        <v>Baylor</v>
      </c>
      <c r="L35" t="str">
        <f>IFERROR(__xludf.DUMMYFUNCTION("""COMPUTED_VALUE"""),"Boston College")</f>
        <v>Boston College</v>
      </c>
      <c r="M35" t="str">
        <f>IFERROR(__xludf.DUMMYFUNCTION("""COMPUTED_VALUE"""),"Bowling Green")</f>
        <v>Bowling Green</v>
      </c>
      <c r="N35" t="str">
        <f>IFERROR(__xludf.DUMMYFUNCTION("""COMPUTED_VALUE"""),"BYU")</f>
        <v>BYU</v>
      </c>
      <c r="O35" t="str">
        <f>IFERROR(__xludf.DUMMYFUNCTION("""COMPUTED_VALUE"""),"California")</f>
        <v>California</v>
      </c>
      <c r="P35" t="str">
        <f>IFERROR(__xludf.DUMMYFUNCTION("""COMPUTED_VALUE"""),"Central Michigan")</f>
        <v>Central Michigan</v>
      </c>
      <c r="Q35" t="str">
        <f>IFERROR(__xludf.DUMMYFUNCTION("""COMPUTED_VALUE"""),"Charlotte")</f>
        <v>Charlotte</v>
      </c>
      <c r="R35" t="str">
        <f>IFERROR(__xludf.DUMMYFUNCTION("""COMPUTED_VALUE"""),"Cincinnati")</f>
        <v>Cincinnati</v>
      </c>
      <c r="S35" t="str">
        <f>IFERROR(__xludf.DUMMYFUNCTION("""COMPUTED_VALUE"""),"Coastal Carolina")</f>
        <v>Coastal Carolina</v>
      </c>
      <c r="T35" t="str">
        <f>IFERROR(__xludf.DUMMYFUNCTION("""COMPUTED_VALUE"""),"Colorado")</f>
        <v>Colorado</v>
      </c>
      <c r="U35" t="str">
        <f>IFERROR(__xludf.DUMMYFUNCTION("""COMPUTED_VALUE"""),"Colorado State")</f>
        <v>Colorado State</v>
      </c>
      <c r="V35" t="str">
        <f>IFERROR(__xludf.DUMMYFUNCTION("""COMPUTED_VALUE"""),"Delaware")</f>
        <v>Delaware</v>
      </c>
      <c r="W35" t="str">
        <f>IFERROR(__xludf.DUMMYFUNCTION("""COMPUTED_VALUE"""),"Duke")</f>
        <v>Duke</v>
      </c>
      <c r="X35" t="str">
        <f>IFERROR(__xludf.DUMMYFUNCTION("""COMPUTED_VALUE"""),"East Carolina")</f>
        <v>East Carolina</v>
      </c>
      <c r="Y35" t="str">
        <f>IFERROR(__xludf.DUMMYFUNCTION("""COMPUTED_VALUE"""),"EMU")</f>
        <v>EMU</v>
      </c>
      <c r="Z35" t="str">
        <f>IFERROR(__xludf.DUMMYFUNCTION("""COMPUTED_VALUE"""),"Florida")</f>
        <v>Florida</v>
      </c>
      <c r="AA35" t="str">
        <f>IFERROR(__xludf.DUMMYFUNCTION("""COMPUTED_VALUE"""),"Florida Atlantic")</f>
        <v>Florida Atlantic</v>
      </c>
      <c r="AB35" t="str">
        <f>IFERROR(__xludf.DUMMYFUNCTION("""COMPUTED_VALUE"""),"Florida Intl")</f>
        <v>Florida Intl</v>
      </c>
      <c r="AC35" t="str">
        <f>IFERROR(__xludf.DUMMYFUNCTION("""COMPUTED_VALUE"""),"Florida State")</f>
        <v>Florida State</v>
      </c>
      <c r="AD35" t="str">
        <f>IFERROR(__xludf.DUMMYFUNCTION("""COMPUTED_VALUE"""),"Fresno State")</f>
        <v>Fresno State</v>
      </c>
      <c r="AE35" t="str">
        <f>IFERROR(__xludf.DUMMYFUNCTION("""COMPUTED_VALUE"""),"Georgia State")</f>
        <v>Georgia State</v>
      </c>
      <c r="AF35" t="str">
        <f>IFERROR(__xludf.DUMMYFUNCTION("""COMPUTED_VALUE"""),"Georgia Tech")</f>
        <v>Georgia Tech</v>
      </c>
      <c r="AG35" t="str">
        <f>IFERROR(__xludf.DUMMYFUNCTION("""COMPUTED_VALUE"""),"Hawaii")</f>
        <v>Hawaii</v>
      </c>
      <c r="AH35" t="str">
        <f>IFERROR(__xludf.DUMMYFUNCTION("""COMPUTED_VALUE"""),"Houston")</f>
        <v>Houston</v>
      </c>
      <c r="AI35" t="str">
        <f>IFERROR(__xludf.DUMMYFUNCTION("""COMPUTED_VALUE"""),"Indiana")</f>
        <v>Indiana</v>
      </c>
      <c r="AJ35" t="str">
        <f>IFERROR(__xludf.DUMMYFUNCTION("""COMPUTED_VALUE"""),"Iowa")</f>
        <v>Iowa</v>
      </c>
      <c r="AK35" t="str">
        <f>IFERROR(__xludf.DUMMYFUNCTION("""COMPUTED_VALUE"""),"Iowa State")</f>
        <v>Iowa State</v>
      </c>
      <c r="AL35" t="str">
        <f>IFERROR(__xludf.DUMMYFUNCTION("""COMPUTED_VALUE"""),"Jacksonville State")</f>
        <v>Jacksonville State</v>
      </c>
      <c r="AM35" t="str">
        <f>IFERROR(__xludf.DUMMYFUNCTION("""COMPUTED_VALUE"""),"Kansas")</f>
        <v>Kansas</v>
      </c>
      <c r="AN35" t="str">
        <f>IFERROR(__xludf.DUMMYFUNCTION("""COMPUTED_VALUE"""),"Kennesaw State")</f>
        <v>Kennesaw State</v>
      </c>
      <c r="AO35" t="str">
        <f>IFERROR(__xludf.DUMMYFUNCTION("""COMPUTED_VALUE"""),"Kent State")</f>
        <v>Kent State</v>
      </c>
      <c r="AP35" t="str">
        <f>IFERROR(__xludf.DUMMYFUNCTION("""COMPUTED_VALUE"""),"Kentucky")</f>
        <v>Kentucky</v>
      </c>
      <c r="AQ35" t="str">
        <f>IFERROR(__xludf.DUMMYFUNCTION("""COMPUTED_VALUE"""),"Louisville")</f>
        <v>Louisville</v>
      </c>
      <c r="AR35" t="str">
        <f>IFERROR(__xludf.DUMMYFUNCTION("""COMPUTED_VALUE"""),"LSU")</f>
        <v>LSU</v>
      </c>
      <c r="AS35" t="str">
        <f>IFERROR(__xludf.DUMMYFUNCTION("""COMPUTED_VALUE"""),"Marshall")</f>
        <v>Marshall</v>
      </c>
      <c r="AT35" t="str">
        <f>IFERROR(__xludf.DUMMYFUNCTION("""COMPUTED_VALUE"""),"Maryland")</f>
        <v>Maryland</v>
      </c>
      <c r="AU35" t="str">
        <f>IFERROR(__xludf.DUMMYFUNCTION("""COMPUTED_VALUE"""),"Miami-OH")</f>
        <v>Miami-OH</v>
      </c>
      <c r="AV35" t="str">
        <f>IFERROR(__xludf.DUMMYFUNCTION("""COMPUTED_VALUE"""),"Michigan State")</f>
        <v>Michigan State</v>
      </c>
      <c r="AW35" t="str">
        <f>IFERROR(__xludf.DUMMYFUNCTION("""COMPUTED_VALUE"""),"Middle Tennessee")</f>
        <v>Middle Tennessee</v>
      </c>
      <c r="AX35" t="str">
        <f>IFERROR(__xludf.DUMMYFUNCTION("""COMPUTED_VALUE"""),"Minnesota")</f>
        <v>Minnesota</v>
      </c>
      <c r="AY35" t="str">
        <f>IFERROR(__xludf.DUMMYFUNCTION("""COMPUTED_VALUE"""),"Mississippi State")</f>
        <v>Mississippi State</v>
      </c>
      <c r="AZ35" t="str">
        <f>IFERROR(__xludf.DUMMYFUNCTION("""COMPUTED_VALUE"""),"Missouri")</f>
        <v>Missouri</v>
      </c>
      <c r="BA35" t="str">
        <f>IFERROR(__xludf.DUMMYFUNCTION("""COMPUTED_VALUE"""),"Missouri State")</f>
        <v>Missouri State</v>
      </c>
      <c r="BB35" t="str">
        <f>IFERROR(__xludf.DUMMYFUNCTION("""COMPUTED_VALUE"""),"NC State")</f>
        <v>NC State</v>
      </c>
      <c r="BC35" t="str">
        <f>IFERROR(__xludf.DUMMYFUNCTION("""COMPUTED_VALUE"""),"Nebraska")</f>
        <v>Nebraska</v>
      </c>
      <c r="BD35" t="str">
        <f>IFERROR(__xludf.DUMMYFUNCTION("""COMPUTED_VALUE"""),"Nevada")</f>
        <v>Nevada</v>
      </c>
      <c r="BE35" t="str">
        <f>IFERROR(__xludf.DUMMYFUNCTION("""COMPUTED_VALUE"""),"New Mexico")</f>
        <v>New Mexico</v>
      </c>
      <c r="BF35" t="str">
        <f>IFERROR(__xludf.DUMMYFUNCTION("""COMPUTED_VALUE"""),"New Mexico State")</f>
        <v>New Mexico State</v>
      </c>
      <c r="BG35" t="str">
        <f>IFERROR(__xludf.DUMMYFUNCTION("""COMPUTED_VALUE"""),"North Carolina")</f>
        <v>North Carolina</v>
      </c>
      <c r="BH35" t="str">
        <f>IFERROR(__xludf.DUMMYFUNCTION("""COMPUTED_VALUE"""),"North Texas")</f>
        <v>North Texas</v>
      </c>
      <c r="BI35" t="str">
        <f>IFERROR(__xludf.DUMMYFUNCTION("""COMPUTED_VALUE"""),"Northern Illinois")</f>
        <v>Northern Illinois</v>
      </c>
      <c r="BJ35" t="str">
        <f>IFERROR(__xludf.DUMMYFUNCTION("""COMPUTED_VALUE"""),"Northwestern")</f>
        <v>Northwestern</v>
      </c>
      <c r="BK35" t="str">
        <f>IFERROR(__xludf.DUMMYFUNCTION("""COMPUTED_VALUE"""),"Oklahoma")</f>
        <v>Oklahoma</v>
      </c>
      <c r="BL35" t="str">
        <f>IFERROR(__xludf.DUMMYFUNCTION("""COMPUTED_VALUE"""),"Oklahoma State")</f>
        <v>Oklahoma State</v>
      </c>
      <c r="BM35" t="str">
        <f>IFERROR(__xludf.DUMMYFUNCTION("""COMPUTED_VALUE"""),"Old Dominion")</f>
        <v>Old Dominion</v>
      </c>
      <c r="BN35" t="str">
        <f>IFERROR(__xludf.DUMMYFUNCTION("""COMPUTED_VALUE"""),"Ole Miss")</f>
        <v>Ole Miss</v>
      </c>
      <c r="BO35" t="str">
        <f>IFERROR(__xludf.DUMMYFUNCTION("""COMPUTED_VALUE"""),"Oregon State")</f>
        <v>Oregon State</v>
      </c>
      <c r="BP35" t="str">
        <f>IFERROR(__xludf.DUMMYFUNCTION("""COMPUTED_VALUE"""),"Pittsburgh")</f>
        <v>Pittsburgh</v>
      </c>
      <c r="BQ35" t="str">
        <f>IFERROR(__xludf.DUMMYFUNCTION("""COMPUTED_VALUE"""),"Purdue")</f>
        <v>Purdue</v>
      </c>
      <c r="BR35" t="str">
        <f>IFERROR(__xludf.DUMMYFUNCTION("""COMPUTED_VALUE"""),"Rice")</f>
        <v>Rice</v>
      </c>
      <c r="BS35" t="str">
        <f>IFERROR(__xludf.DUMMYFUNCTION("""COMPUTED_VALUE"""),"Rutgers")</f>
        <v>Rutgers</v>
      </c>
      <c r="BT35" t="str">
        <f>IFERROR(__xludf.DUMMYFUNCTION("""COMPUTED_VALUE"""),"Sam Houston")</f>
        <v>Sam Houston</v>
      </c>
      <c r="BU35" t="str">
        <f>IFERROR(__xludf.DUMMYFUNCTION("""COMPUTED_VALUE"""),"San Diego State")</f>
        <v>San Diego State</v>
      </c>
      <c r="BV35" t="str">
        <f>IFERROR(__xludf.DUMMYFUNCTION("""COMPUTED_VALUE"""),"South Carolina")</f>
        <v>South Carolina</v>
      </c>
      <c r="BW35" t="str">
        <f>IFERROR(__xludf.DUMMYFUNCTION("""COMPUTED_VALUE"""),"South Florida")</f>
        <v>South Florida</v>
      </c>
      <c r="BX35" t="str">
        <f>IFERROR(__xludf.DUMMYFUNCTION("""COMPUTED_VALUE"""),"Southern Mississippi")</f>
        <v>Southern Mississippi</v>
      </c>
      <c r="BY35" t="str">
        <f>IFERROR(__xludf.DUMMYFUNCTION("""COMPUTED_VALUE"""),"Stanford")</f>
        <v>Stanford</v>
      </c>
      <c r="BZ35" t="str">
        <f>IFERROR(__xludf.DUMMYFUNCTION("""COMPUTED_VALUE"""),"Syracuse")</f>
        <v>Syracuse</v>
      </c>
      <c r="CA35" t="str">
        <f>IFERROR(__xludf.DUMMYFUNCTION("""COMPUTED_VALUE"""),"TCU")</f>
        <v>TCU</v>
      </c>
      <c r="CB35" t="str">
        <f>IFERROR(__xludf.DUMMYFUNCTION("""COMPUTED_VALUE"""),"Temple")</f>
        <v>Temple</v>
      </c>
      <c r="CC35" t="str">
        <f>IFERROR(__xludf.DUMMYFUNCTION("""COMPUTED_VALUE"""),"Tennessee")</f>
        <v>Tennessee</v>
      </c>
      <c r="CD35" t="str">
        <f>IFERROR(__xludf.DUMMYFUNCTION("""COMPUTED_VALUE"""),"Texas A&amp;M")</f>
        <v>Texas A&amp;M</v>
      </c>
      <c r="CE35" t="str">
        <f>IFERROR(__xludf.DUMMYFUNCTION("""COMPUTED_VALUE"""),"Texas State")</f>
        <v>Texas State</v>
      </c>
      <c r="CF35" t="str">
        <f>IFERROR(__xludf.DUMMYFUNCTION("""COMPUTED_VALUE"""),"Troy")</f>
        <v>Troy</v>
      </c>
      <c r="CG35" t="str">
        <f>IFERROR(__xludf.DUMMYFUNCTION("""COMPUTED_VALUE"""),"Tulsa")</f>
        <v>Tulsa</v>
      </c>
      <c r="CH35" t="str">
        <f>IFERROR(__xludf.DUMMYFUNCTION("""COMPUTED_VALUE"""),"UAB")</f>
        <v>UAB</v>
      </c>
      <c r="CI35" t="str">
        <f>IFERROR(__xludf.DUMMYFUNCTION("""COMPUTED_VALUE"""),"UCF")</f>
        <v>UCF</v>
      </c>
      <c r="CJ35" t="str">
        <f>IFERROR(__xludf.DUMMYFUNCTION("""COMPUTED_VALUE"""),"UCLA")</f>
        <v>UCLA</v>
      </c>
      <c r="CK35" t="str">
        <f>IFERROR(__xludf.DUMMYFUNCTION("""COMPUTED_VALUE"""),"UConn")</f>
        <v>UConn</v>
      </c>
      <c r="CL35" t="str">
        <f>IFERROR(__xludf.DUMMYFUNCTION("""COMPUTED_VALUE"""),"UL Monroe")</f>
        <v>UL Monroe</v>
      </c>
      <c r="CM35" t="str">
        <f>IFERROR(__xludf.DUMMYFUNCTION("""COMPUTED_VALUE"""),"UMASS")</f>
        <v>UMASS</v>
      </c>
      <c r="CN35" t="str">
        <f>IFERROR(__xludf.DUMMYFUNCTION("""COMPUTED_VALUE"""),"Utah State")</f>
        <v>Utah State</v>
      </c>
      <c r="CO35" t="str">
        <f>IFERROR(__xludf.DUMMYFUNCTION("""COMPUTED_VALUE"""),"UTEP")</f>
        <v>UTEP</v>
      </c>
      <c r="CP35" t="str">
        <f>IFERROR(__xludf.DUMMYFUNCTION("""COMPUTED_VALUE"""),"Vanderbilt")</f>
        <v>Vanderbilt</v>
      </c>
      <c r="CQ35" t="str">
        <f>IFERROR(__xludf.DUMMYFUNCTION("""COMPUTED_VALUE"""),"Virginia")</f>
        <v>Virginia</v>
      </c>
      <c r="CR35" t="str">
        <f>IFERROR(__xludf.DUMMYFUNCTION("""COMPUTED_VALUE"""),"Virginia Tech")</f>
        <v>Virginia Tech</v>
      </c>
      <c r="CS35" t="str">
        <f>IFERROR(__xludf.DUMMYFUNCTION("""COMPUTED_VALUE"""),"Wake Forest")</f>
        <v>Wake Forest</v>
      </c>
      <c r="CT35" t="str">
        <f>IFERROR(__xludf.DUMMYFUNCTION("""COMPUTED_VALUE"""),"Washington")</f>
        <v>Washington</v>
      </c>
      <c r="CU35" t="str">
        <f>IFERROR(__xludf.DUMMYFUNCTION("""COMPUTED_VALUE"""),"Washington State")</f>
        <v>Washington State</v>
      </c>
      <c r="CV35" t="str">
        <f>IFERROR(__xludf.DUMMYFUNCTION("""COMPUTED_VALUE"""),"West Virginia")</f>
        <v>West Virginia</v>
      </c>
      <c r="CW35" t="str">
        <f>IFERROR(__xludf.DUMMYFUNCTION("""COMPUTED_VALUE"""),"Western Michigan")</f>
        <v>Western Michigan</v>
      </c>
      <c r="CX35" t="str">
        <f>IFERROR(__xludf.DUMMYFUNCTION("""COMPUTED_VALUE"""),"Wisconsin")</f>
        <v>Wisconsin</v>
      </c>
      <c r="CY35" t="str">
        <f>IFERROR(__xludf.DUMMYFUNCTION("""COMPUTED_VALUE"""),"Wyoming")</f>
        <v>Wyoming</v>
      </c>
    </row>
    <row r="36">
      <c r="A36" s="1">
        <v>35.0</v>
      </c>
      <c r="B36" t="str">
        <f>IFERROR(__xludf.DUMMYFUNCTION("split(join("","",sort(byrow('Teams-Conference'!A$2:A1000,lambda(rw,if(iserror(match(rw,DraftTracker!F$1:F36,0)),rw,""""))),1,1)),"","",1,1)"),"Air Force")</f>
        <v>Air Force</v>
      </c>
      <c r="C36" t="str">
        <f>IFERROR(__xludf.DUMMYFUNCTION("""COMPUTED_VALUE"""),"Akron")</f>
        <v>Akron</v>
      </c>
      <c r="D36" t="str">
        <f>IFERROR(__xludf.DUMMYFUNCTION("""COMPUTED_VALUE"""),"Appalachian State")</f>
        <v>Appalachian State</v>
      </c>
      <c r="E36" t="str">
        <f>IFERROR(__xludf.DUMMYFUNCTION("""COMPUTED_VALUE"""),"Arizona")</f>
        <v>Arizona</v>
      </c>
      <c r="F36" t="str">
        <f>IFERROR(__xludf.DUMMYFUNCTION("""COMPUTED_VALUE"""),"Arkansas")</f>
        <v>Arkansas</v>
      </c>
      <c r="G36" t="str">
        <f>IFERROR(__xludf.DUMMYFUNCTION("""COMPUTED_VALUE"""),"Arkansas State")</f>
        <v>Arkansas State</v>
      </c>
      <c r="H36" t="str">
        <f>IFERROR(__xludf.DUMMYFUNCTION("""COMPUTED_VALUE"""),"Auburn")</f>
        <v>Auburn</v>
      </c>
      <c r="I36" t="str">
        <f>IFERROR(__xludf.DUMMYFUNCTION("""COMPUTED_VALUE"""),"Ball State")</f>
        <v>Ball State</v>
      </c>
      <c r="J36" t="str">
        <f>IFERROR(__xludf.DUMMYFUNCTION("""COMPUTED_VALUE"""),"Baylor")</f>
        <v>Baylor</v>
      </c>
      <c r="K36" t="str">
        <f>IFERROR(__xludf.DUMMYFUNCTION("""COMPUTED_VALUE"""),"Boston College")</f>
        <v>Boston College</v>
      </c>
      <c r="L36" t="str">
        <f>IFERROR(__xludf.DUMMYFUNCTION("""COMPUTED_VALUE"""),"Bowling Green")</f>
        <v>Bowling Green</v>
      </c>
      <c r="M36" t="str">
        <f>IFERROR(__xludf.DUMMYFUNCTION("""COMPUTED_VALUE"""),"BYU")</f>
        <v>BYU</v>
      </c>
      <c r="N36" t="str">
        <f>IFERROR(__xludf.DUMMYFUNCTION("""COMPUTED_VALUE"""),"California")</f>
        <v>California</v>
      </c>
      <c r="O36" t="str">
        <f>IFERROR(__xludf.DUMMYFUNCTION("""COMPUTED_VALUE"""),"Central Michigan")</f>
        <v>Central Michigan</v>
      </c>
      <c r="P36" t="str">
        <f>IFERROR(__xludf.DUMMYFUNCTION("""COMPUTED_VALUE"""),"Charlotte")</f>
        <v>Charlotte</v>
      </c>
      <c r="Q36" t="str">
        <f>IFERROR(__xludf.DUMMYFUNCTION("""COMPUTED_VALUE"""),"Cincinnati")</f>
        <v>Cincinnati</v>
      </c>
      <c r="R36" t="str">
        <f>IFERROR(__xludf.DUMMYFUNCTION("""COMPUTED_VALUE"""),"Coastal Carolina")</f>
        <v>Coastal Carolina</v>
      </c>
      <c r="S36" t="str">
        <f>IFERROR(__xludf.DUMMYFUNCTION("""COMPUTED_VALUE"""),"Colorado")</f>
        <v>Colorado</v>
      </c>
      <c r="T36" t="str">
        <f>IFERROR(__xludf.DUMMYFUNCTION("""COMPUTED_VALUE"""),"Colorado State")</f>
        <v>Colorado State</v>
      </c>
      <c r="U36" t="str">
        <f>IFERROR(__xludf.DUMMYFUNCTION("""COMPUTED_VALUE"""),"Delaware")</f>
        <v>Delaware</v>
      </c>
      <c r="V36" t="str">
        <f>IFERROR(__xludf.DUMMYFUNCTION("""COMPUTED_VALUE"""),"Duke")</f>
        <v>Duke</v>
      </c>
      <c r="W36" t="str">
        <f>IFERROR(__xludf.DUMMYFUNCTION("""COMPUTED_VALUE"""),"East Carolina")</f>
        <v>East Carolina</v>
      </c>
      <c r="X36" t="str">
        <f>IFERROR(__xludf.DUMMYFUNCTION("""COMPUTED_VALUE"""),"EMU")</f>
        <v>EMU</v>
      </c>
      <c r="Y36" t="str">
        <f>IFERROR(__xludf.DUMMYFUNCTION("""COMPUTED_VALUE"""),"Florida")</f>
        <v>Florida</v>
      </c>
      <c r="Z36" t="str">
        <f>IFERROR(__xludf.DUMMYFUNCTION("""COMPUTED_VALUE"""),"Florida Atlantic")</f>
        <v>Florida Atlantic</v>
      </c>
      <c r="AA36" t="str">
        <f>IFERROR(__xludf.DUMMYFUNCTION("""COMPUTED_VALUE"""),"Florida Intl")</f>
        <v>Florida Intl</v>
      </c>
      <c r="AB36" t="str">
        <f>IFERROR(__xludf.DUMMYFUNCTION("""COMPUTED_VALUE"""),"Florida State")</f>
        <v>Florida State</v>
      </c>
      <c r="AC36" t="str">
        <f>IFERROR(__xludf.DUMMYFUNCTION("""COMPUTED_VALUE"""),"Fresno State")</f>
        <v>Fresno State</v>
      </c>
      <c r="AD36" t="str">
        <f>IFERROR(__xludf.DUMMYFUNCTION("""COMPUTED_VALUE"""),"Georgia State")</f>
        <v>Georgia State</v>
      </c>
      <c r="AE36" t="str">
        <f>IFERROR(__xludf.DUMMYFUNCTION("""COMPUTED_VALUE"""),"Georgia Tech")</f>
        <v>Georgia Tech</v>
      </c>
      <c r="AF36" t="str">
        <f>IFERROR(__xludf.DUMMYFUNCTION("""COMPUTED_VALUE"""),"Hawaii")</f>
        <v>Hawaii</v>
      </c>
      <c r="AG36" t="str">
        <f>IFERROR(__xludf.DUMMYFUNCTION("""COMPUTED_VALUE"""),"Houston")</f>
        <v>Houston</v>
      </c>
      <c r="AH36" t="str">
        <f>IFERROR(__xludf.DUMMYFUNCTION("""COMPUTED_VALUE"""),"Indiana")</f>
        <v>Indiana</v>
      </c>
      <c r="AI36" t="str">
        <f>IFERROR(__xludf.DUMMYFUNCTION("""COMPUTED_VALUE"""),"Iowa")</f>
        <v>Iowa</v>
      </c>
      <c r="AJ36" t="str">
        <f>IFERROR(__xludf.DUMMYFUNCTION("""COMPUTED_VALUE"""),"Iowa State")</f>
        <v>Iowa State</v>
      </c>
      <c r="AK36" t="str">
        <f>IFERROR(__xludf.DUMMYFUNCTION("""COMPUTED_VALUE"""),"Jacksonville State")</f>
        <v>Jacksonville State</v>
      </c>
      <c r="AL36" t="str">
        <f>IFERROR(__xludf.DUMMYFUNCTION("""COMPUTED_VALUE"""),"Kansas")</f>
        <v>Kansas</v>
      </c>
      <c r="AM36" t="str">
        <f>IFERROR(__xludf.DUMMYFUNCTION("""COMPUTED_VALUE"""),"Kennesaw State")</f>
        <v>Kennesaw State</v>
      </c>
      <c r="AN36" t="str">
        <f>IFERROR(__xludf.DUMMYFUNCTION("""COMPUTED_VALUE"""),"Kent State")</f>
        <v>Kent State</v>
      </c>
      <c r="AO36" t="str">
        <f>IFERROR(__xludf.DUMMYFUNCTION("""COMPUTED_VALUE"""),"Kentucky")</f>
        <v>Kentucky</v>
      </c>
      <c r="AP36" t="str">
        <f>IFERROR(__xludf.DUMMYFUNCTION("""COMPUTED_VALUE"""),"Louisville")</f>
        <v>Louisville</v>
      </c>
      <c r="AQ36" t="str">
        <f>IFERROR(__xludf.DUMMYFUNCTION("""COMPUTED_VALUE"""),"LSU")</f>
        <v>LSU</v>
      </c>
      <c r="AR36" t="str">
        <f>IFERROR(__xludf.DUMMYFUNCTION("""COMPUTED_VALUE"""),"Marshall")</f>
        <v>Marshall</v>
      </c>
      <c r="AS36" t="str">
        <f>IFERROR(__xludf.DUMMYFUNCTION("""COMPUTED_VALUE"""),"Maryland")</f>
        <v>Maryland</v>
      </c>
      <c r="AT36" t="str">
        <f>IFERROR(__xludf.DUMMYFUNCTION("""COMPUTED_VALUE"""),"Miami-OH")</f>
        <v>Miami-OH</v>
      </c>
      <c r="AU36" t="str">
        <f>IFERROR(__xludf.DUMMYFUNCTION("""COMPUTED_VALUE"""),"Michigan State")</f>
        <v>Michigan State</v>
      </c>
      <c r="AV36" t="str">
        <f>IFERROR(__xludf.DUMMYFUNCTION("""COMPUTED_VALUE"""),"Middle Tennessee")</f>
        <v>Middle Tennessee</v>
      </c>
      <c r="AW36" t="str">
        <f>IFERROR(__xludf.DUMMYFUNCTION("""COMPUTED_VALUE"""),"Minnesota")</f>
        <v>Minnesota</v>
      </c>
      <c r="AX36" t="str">
        <f>IFERROR(__xludf.DUMMYFUNCTION("""COMPUTED_VALUE"""),"Mississippi State")</f>
        <v>Mississippi State</v>
      </c>
      <c r="AY36" t="str">
        <f>IFERROR(__xludf.DUMMYFUNCTION("""COMPUTED_VALUE"""),"Missouri")</f>
        <v>Missouri</v>
      </c>
      <c r="AZ36" t="str">
        <f>IFERROR(__xludf.DUMMYFUNCTION("""COMPUTED_VALUE"""),"Missouri State")</f>
        <v>Missouri State</v>
      </c>
      <c r="BA36" t="str">
        <f>IFERROR(__xludf.DUMMYFUNCTION("""COMPUTED_VALUE"""),"NC State")</f>
        <v>NC State</v>
      </c>
      <c r="BB36" t="str">
        <f>IFERROR(__xludf.DUMMYFUNCTION("""COMPUTED_VALUE"""),"Nebraska")</f>
        <v>Nebraska</v>
      </c>
      <c r="BC36" t="str">
        <f>IFERROR(__xludf.DUMMYFUNCTION("""COMPUTED_VALUE"""),"Nevada")</f>
        <v>Nevada</v>
      </c>
      <c r="BD36" t="str">
        <f>IFERROR(__xludf.DUMMYFUNCTION("""COMPUTED_VALUE"""),"New Mexico")</f>
        <v>New Mexico</v>
      </c>
      <c r="BE36" t="str">
        <f>IFERROR(__xludf.DUMMYFUNCTION("""COMPUTED_VALUE"""),"New Mexico State")</f>
        <v>New Mexico State</v>
      </c>
      <c r="BF36" t="str">
        <f>IFERROR(__xludf.DUMMYFUNCTION("""COMPUTED_VALUE"""),"North Carolina")</f>
        <v>North Carolina</v>
      </c>
      <c r="BG36" t="str">
        <f>IFERROR(__xludf.DUMMYFUNCTION("""COMPUTED_VALUE"""),"North Texas")</f>
        <v>North Texas</v>
      </c>
      <c r="BH36" t="str">
        <f>IFERROR(__xludf.DUMMYFUNCTION("""COMPUTED_VALUE"""),"Northern Illinois")</f>
        <v>Northern Illinois</v>
      </c>
      <c r="BI36" t="str">
        <f>IFERROR(__xludf.DUMMYFUNCTION("""COMPUTED_VALUE"""),"Northwestern")</f>
        <v>Northwestern</v>
      </c>
      <c r="BJ36" t="str">
        <f>IFERROR(__xludf.DUMMYFUNCTION("""COMPUTED_VALUE"""),"Oklahoma")</f>
        <v>Oklahoma</v>
      </c>
      <c r="BK36" t="str">
        <f>IFERROR(__xludf.DUMMYFUNCTION("""COMPUTED_VALUE"""),"Oklahoma State")</f>
        <v>Oklahoma State</v>
      </c>
      <c r="BL36" t="str">
        <f>IFERROR(__xludf.DUMMYFUNCTION("""COMPUTED_VALUE"""),"Old Dominion")</f>
        <v>Old Dominion</v>
      </c>
      <c r="BM36" t="str">
        <f>IFERROR(__xludf.DUMMYFUNCTION("""COMPUTED_VALUE"""),"Ole Miss")</f>
        <v>Ole Miss</v>
      </c>
      <c r="BN36" t="str">
        <f>IFERROR(__xludf.DUMMYFUNCTION("""COMPUTED_VALUE"""),"Oregon State")</f>
        <v>Oregon State</v>
      </c>
      <c r="BO36" t="str">
        <f>IFERROR(__xludf.DUMMYFUNCTION("""COMPUTED_VALUE"""),"Pittsburgh")</f>
        <v>Pittsburgh</v>
      </c>
      <c r="BP36" t="str">
        <f>IFERROR(__xludf.DUMMYFUNCTION("""COMPUTED_VALUE"""),"Purdue")</f>
        <v>Purdue</v>
      </c>
      <c r="BQ36" t="str">
        <f>IFERROR(__xludf.DUMMYFUNCTION("""COMPUTED_VALUE"""),"Rice")</f>
        <v>Rice</v>
      </c>
      <c r="BR36" t="str">
        <f>IFERROR(__xludf.DUMMYFUNCTION("""COMPUTED_VALUE"""),"Rutgers")</f>
        <v>Rutgers</v>
      </c>
      <c r="BS36" t="str">
        <f>IFERROR(__xludf.DUMMYFUNCTION("""COMPUTED_VALUE"""),"Sam Houston")</f>
        <v>Sam Houston</v>
      </c>
      <c r="BT36" t="str">
        <f>IFERROR(__xludf.DUMMYFUNCTION("""COMPUTED_VALUE"""),"San Diego State")</f>
        <v>San Diego State</v>
      </c>
      <c r="BU36" t="str">
        <f>IFERROR(__xludf.DUMMYFUNCTION("""COMPUTED_VALUE"""),"South Carolina")</f>
        <v>South Carolina</v>
      </c>
      <c r="BV36" t="str">
        <f>IFERROR(__xludf.DUMMYFUNCTION("""COMPUTED_VALUE"""),"South Florida")</f>
        <v>South Florida</v>
      </c>
      <c r="BW36" t="str">
        <f>IFERROR(__xludf.DUMMYFUNCTION("""COMPUTED_VALUE"""),"Southern Mississippi")</f>
        <v>Southern Mississippi</v>
      </c>
      <c r="BX36" t="str">
        <f>IFERROR(__xludf.DUMMYFUNCTION("""COMPUTED_VALUE"""),"Stanford")</f>
        <v>Stanford</v>
      </c>
      <c r="BY36" t="str">
        <f>IFERROR(__xludf.DUMMYFUNCTION("""COMPUTED_VALUE"""),"Syracuse")</f>
        <v>Syracuse</v>
      </c>
      <c r="BZ36" t="str">
        <f>IFERROR(__xludf.DUMMYFUNCTION("""COMPUTED_VALUE"""),"TCU")</f>
        <v>TCU</v>
      </c>
      <c r="CA36" t="str">
        <f>IFERROR(__xludf.DUMMYFUNCTION("""COMPUTED_VALUE"""),"Temple")</f>
        <v>Temple</v>
      </c>
      <c r="CB36" t="str">
        <f>IFERROR(__xludf.DUMMYFUNCTION("""COMPUTED_VALUE"""),"Tennessee")</f>
        <v>Tennessee</v>
      </c>
      <c r="CC36" t="str">
        <f>IFERROR(__xludf.DUMMYFUNCTION("""COMPUTED_VALUE"""),"Texas A&amp;M")</f>
        <v>Texas A&amp;M</v>
      </c>
      <c r="CD36" t="str">
        <f>IFERROR(__xludf.DUMMYFUNCTION("""COMPUTED_VALUE"""),"Texas State")</f>
        <v>Texas State</v>
      </c>
      <c r="CE36" t="str">
        <f>IFERROR(__xludf.DUMMYFUNCTION("""COMPUTED_VALUE"""),"Troy")</f>
        <v>Troy</v>
      </c>
      <c r="CF36" t="str">
        <f>IFERROR(__xludf.DUMMYFUNCTION("""COMPUTED_VALUE"""),"Tulsa")</f>
        <v>Tulsa</v>
      </c>
      <c r="CG36" t="str">
        <f>IFERROR(__xludf.DUMMYFUNCTION("""COMPUTED_VALUE"""),"UAB")</f>
        <v>UAB</v>
      </c>
      <c r="CH36" t="str">
        <f>IFERROR(__xludf.DUMMYFUNCTION("""COMPUTED_VALUE"""),"UCF")</f>
        <v>UCF</v>
      </c>
      <c r="CI36" t="str">
        <f>IFERROR(__xludf.DUMMYFUNCTION("""COMPUTED_VALUE"""),"UCLA")</f>
        <v>UCLA</v>
      </c>
      <c r="CJ36" t="str">
        <f>IFERROR(__xludf.DUMMYFUNCTION("""COMPUTED_VALUE"""),"UConn")</f>
        <v>UConn</v>
      </c>
      <c r="CK36" t="str">
        <f>IFERROR(__xludf.DUMMYFUNCTION("""COMPUTED_VALUE"""),"UL Monroe")</f>
        <v>UL Monroe</v>
      </c>
      <c r="CL36" t="str">
        <f>IFERROR(__xludf.DUMMYFUNCTION("""COMPUTED_VALUE"""),"UMASS")</f>
        <v>UMASS</v>
      </c>
      <c r="CM36" t="str">
        <f>IFERROR(__xludf.DUMMYFUNCTION("""COMPUTED_VALUE"""),"Utah State")</f>
        <v>Utah State</v>
      </c>
      <c r="CN36" t="str">
        <f>IFERROR(__xludf.DUMMYFUNCTION("""COMPUTED_VALUE"""),"UTEP")</f>
        <v>UTEP</v>
      </c>
      <c r="CO36" t="str">
        <f>IFERROR(__xludf.DUMMYFUNCTION("""COMPUTED_VALUE"""),"Vanderbilt")</f>
        <v>Vanderbilt</v>
      </c>
      <c r="CP36" t="str">
        <f>IFERROR(__xludf.DUMMYFUNCTION("""COMPUTED_VALUE"""),"Virginia")</f>
        <v>Virginia</v>
      </c>
      <c r="CQ36" t="str">
        <f>IFERROR(__xludf.DUMMYFUNCTION("""COMPUTED_VALUE"""),"Virginia Tech")</f>
        <v>Virginia Tech</v>
      </c>
      <c r="CR36" t="str">
        <f>IFERROR(__xludf.DUMMYFUNCTION("""COMPUTED_VALUE"""),"Wake Forest")</f>
        <v>Wake Forest</v>
      </c>
      <c r="CS36" t="str">
        <f>IFERROR(__xludf.DUMMYFUNCTION("""COMPUTED_VALUE"""),"Washington")</f>
        <v>Washington</v>
      </c>
      <c r="CT36" t="str">
        <f>IFERROR(__xludf.DUMMYFUNCTION("""COMPUTED_VALUE"""),"Washington State")</f>
        <v>Washington State</v>
      </c>
      <c r="CU36" t="str">
        <f>IFERROR(__xludf.DUMMYFUNCTION("""COMPUTED_VALUE"""),"West Virginia")</f>
        <v>West Virginia</v>
      </c>
      <c r="CV36" t="str">
        <f>IFERROR(__xludf.DUMMYFUNCTION("""COMPUTED_VALUE"""),"Western Michigan")</f>
        <v>Western Michigan</v>
      </c>
      <c r="CW36" t="str">
        <f>IFERROR(__xludf.DUMMYFUNCTION("""COMPUTED_VALUE"""),"Wisconsin")</f>
        <v>Wisconsin</v>
      </c>
      <c r="CX36" t="str">
        <f>IFERROR(__xludf.DUMMYFUNCTION("""COMPUTED_VALUE"""),"Wyoming")</f>
        <v>Wyoming</v>
      </c>
    </row>
    <row r="37">
      <c r="A37" s="1">
        <v>36.0</v>
      </c>
      <c r="B37" t="str">
        <f>IFERROR(__xludf.DUMMYFUNCTION("split(join("","",sort(byrow('Teams-Conference'!A$2:A1000,lambda(rw,if(iserror(match(rw,DraftTracker!F$1:F37,0)),rw,""""))),1,1)),"","",1,1)"),"Air Force")</f>
        <v>Air Force</v>
      </c>
      <c r="C37" t="str">
        <f>IFERROR(__xludf.DUMMYFUNCTION("""COMPUTED_VALUE"""),"Akron")</f>
        <v>Akron</v>
      </c>
      <c r="D37" t="str">
        <f>IFERROR(__xludf.DUMMYFUNCTION("""COMPUTED_VALUE"""),"Appalachian State")</f>
        <v>Appalachian State</v>
      </c>
      <c r="E37" t="str">
        <f>IFERROR(__xludf.DUMMYFUNCTION("""COMPUTED_VALUE"""),"Arizona")</f>
        <v>Arizona</v>
      </c>
      <c r="F37" t="str">
        <f>IFERROR(__xludf.DUMMYFUNCTION("""COMPUTED_VALUE"""),"Arkansas")</f>
        <v>Arkansas</v>
      </c>
      <c r="G37" t="str">
        <f>IFERROR(__xludf.DUMMYFUNCTION("""COMPUTED_VALUE"""),"Arkansas State")</f>
        <v>Arkansas State</v>
      </c>
      <c r="H37" t="str">
        <f>IFERROR(__xludf.DUMMYFUNCTION("""COMPUTED_VALUE"""),"Auburn")</f>
        <v>Auburn</v>
      </c>
      <c r="I37" t="str">
        <f>IFERROR(__xludf.DUMMYFUNCTION("""COMPUTED_VALUE"""),"Ball State")</f>
        <v>Ball State</v>
      </c>
      <c r="J37" t="str">
        <f>IFERROR(__xludf.DUMMYFUNCTION("""COMPUTED_VALUE"""),"Baylor")</f>
        <v>Baylor</v>
      </c>
      <c r="K37" t="str">
        <f>IFERROR(__xludf.DUMMYFUNCTION("""COMPUTED_VALUE"""),"Boston College")</f>
        <v>Boston College</v>
      </c>
      <c r="L37" t="str">
        <f>IFERROR(__xludf.DUMMYFUNCTION("""COMPUTED_VALUE"""),"Bowling Green")</f>
        <v>Bowling Green</v>
      </c>
      <c r="M37" t="str">
        <f>IFERROR(__xludf.DUMMYFUNCTION("""COMPUTED_VALUE"""),"BYU")</f>
        <v>BYU</v>
      </c>
      <c r="N37" t="str">
        <f>IFERROR(__xludf.DUMMYFUNCTION("""COMPUTED_VALUE"""),"California")</f>
        <v>California</v>
      </c>
      <c r="O37" t="str">
        <f>IFERROR(__xludf.DUMMYFUNCTION("""COMPUTED_VALUE"""),"Central Michigan")</f>
        <v>Central Michigan</v>
      </c>
      <c r="P37" t="str">
        <f>IFERROR(__xludf.DUMMYFUNCTION("""COMPUTED_VALUE"""),"Charlotte")</f>
        <v>Charlotte</v>
      </c>
      <c r="Q37" t="str">
        <f>IFERROR(__xludf.DUMMYFUNCTION("""COMPUTED_VALUE"""),"Cincinnati")</f>
        <v>Cincinnati</v>
      </c>
      <c r="R37" t="str">
        <f>IFERROR(__xludf.DUMMYFUNCTION("""COMPUTED_VALUE"""),"Coastal Carolina")</f>
        <v>Coastal Carolina</v>
      </c>
      <c r="S37" t="str">
        <f>IFERROR(__xludf.DUMMYFUNCTION("""COMPUTED_VALUE"""),"Colorado")</f>
        <v>Colorado</v>
      </c>
      <c r="T37" t="str">
        <f>IFERROR(__xludf.DUMMYFUNCTION("""COMPUTED_VALUE"""),"Colorado State")</f>
        <v>Colorado State</v>
      </c>
      <c r="U37" t="str">
        <f>IFERROR(__xludf.DUMMYFUNCTION("""COMPUTED_VALUE"""),"Delaware")</f>
        <v>Delaware</v>
      </c>
      <c r="V37" t="str">
        <f>IFERROR(__xludf.DUMMYFUNCTION("""COMPUTED_VALUE"""),"Duke")</f>
        <v>Duke</v>
      </c>
      <c r="W37" t="str">
        <f>IFERROR(__xludf.DUMMYFUNCTION("""COMPUTED_VALUE"""),"East Carolina")</f>
        <v>East Carolina</v>
      </c>
      <c r="X37" t="str">
        <f>IFERROR(__xludf.DUMMYFUNCTION("""COMPUTED_VALUE"""),"EMU")</f>
        <v>EMU</v>
      </c>
      <c r="Y37" t="str">
        <f>IFERROR(__xludf.DUMMYFUNCTION("""COMPUTED_VALUE"""),"Florida")</f>
        <v>Florida</v>
      </c>
      <c r="Z37" t="str">
        <f>IFERROR(__xludf.DUMMYFUNCTION("""COMPUTED_VALUE"""),"Florida Atlantic")</f>
        <v>Florida Atlantic</v>
      </c>
      <c r="AA37" t="str">
        <f>IFERROR(__xludf.DUMMYFUNCTION("""COMPUTED_VALUE"""),"Florida Intl")</f>
        <v>Florida Intl</v>
      </c>
      <c r="AB37" t="str">
        <f>IFERROR(__xludf.DUMMYFUNCTION("""COMPUTED_VALUE"""),"Florida State")</f>
        <v>Florida State</v>
      </c>
      <c r="AC37" t="str">
        <f>IFERROR(__xludf.DUMMYFUNCTION("""COMPUTED_VALUE"""),"Fresno State")</f>
        <v>Fresno State</v>
      </c>
      <c r="AD37" t="str">
        <f>IFERROR(__xludf.DUMMYFUNCTION("""COMPUTED_VALUE"""),"Georgia State")</f>
        <v>Georgia State</v>
      </c>
      <c r="AE37" t="str">
        <f>IFERROR(__xludf.DUMMYFUNCTION("""COMPUTED_VALUE"""),"Georgia Tech")</f>
        <v>Georgia Tech</v>
      </c>
      <c r="AF37" t="str">
        <f>IFERROR(__xludf.DUMMYFUNCTION("""COMPUTED_VALUE"""),"Hawaii")</f>
        <v>Hawaii</v>
      </c>
      <c r="AG37" t="str">
        <f>IFERROR(__xludf.DUMMYFUNCTION("""COMPUTED_VALUE"""),"Houston")</f>
        <v>Houston</v>
      </c>
      <c r="AH37" t="str">
        <f>IFERROR(__xludf.DUMMYFUNCTION("""COMPUTED_VALUE"""),"Iowa")</f>
        <v>Iowa</v>
      </c>
      <c r="AI37" t="str">
        <f>IFERROR(__xludf.DUMMYFUNCTION("""COMPUTED_VALUE"""),"Iowa State")</f>
        <v>Iowa State</v>
      </c>
      <c r="AJ37" t="str">
        <f>IFERROR(__xludf.DUMMYFUNCTION("""COMPUTED_VALUE"""),"Jacksonville State")</f>
        <v>Jacksonville State</v>
      </c>
      <c r="AK37" t="str">
        <f>IFERROR(__xludf.DUMMYFUNCTION("""COMPUTED_VALUE"""),"Kansas")</f>
        <v>Kansas</v>
      </c>
      <c r="AL37" t="str">
        <f>IFERROR(__xludf.DUMMYFUNCTION("""COMPUTED_VALUE"""),"Kennesaw State")</f>
        <v>Kennesaw State</v>
      </c>
      <c r="AM37" t="str">
        <f>IFERROR(__xludf.DUMMYFUNCTION("""COMPUTED_VALUE"""),"Kent State")</f>
        <v>Kent State</v>
      </c>
      <c r="AN37" t="str">
        <f>IFERROR(__xludf.DUMMYFUNCTION("""COMPUTED_VALUE"""),"Kentucky")</f>
        <v>Kentucky</v>
      </c>
      <c r="AO37" t="str">
        <f>IFERROR(__xludf.DUMMYFUNCTION("""COMPUTED_VALUE"""),"Louisville")</f>
        <v>Louisville</v>
      </c>
      <c r="AP37" t="str">
        <f>IFERROR(__xludf.DUMMYFUNCTION("""COMPUTED_VALUE"""),"LSU")</f>
        <v>LSU</v>
      </c>
      <c r="AQ37" t="str">
        <f>IFERROR(__xludf.DUMMYFUNCTION("""COMPUTED_VALUE"""),"Marshall")</f>
        <v>Marshall</v>
      </c>
      <c r="AR37" t="str">
        <f>IFERROR(__xludf.DUMMYFUNCTION("""COMPUTED_VALUE"""),"Maryland")</f>
        <v>Maryland</v>
      </c>
      <c r="AS37" t="str">
        <f>IFERROR(__xludf.DUMMYFUNCTION("""COMPUTED_VALUE"""),"Miami-OH")</f>
        <v>Miami-OH</v>
      </c>
      <c r="AT37" t="str">
        <f>IFERROR(__xludf.DUMMYFUNCTION("""COMPUTED_VALUE"""),"Michigan State")</f>
        <v>Michigan State</v>
      </c>
      <c r="AU37" t="str">
        <f>IFERROR(__xludf.DUMMYFUNCTION("""COMPUTED_VALUE"""),"Middle Tennessee")</f>
        <v>Middle Tennessee</v>
      </c>
      <c r="AV37" t="str">
        <f>IFERROR(__xludf.DUMMYFUNCTION("""COMPUTED_VALUE"""),"Minnesota")</f>
        <v>Minnesota</v>
      </c>
      <c r="AW37" t="str">
        <f>IFERROR(__xludf.DUMMYFUNCTION("""COMPUTED_VALUE"""),"Mississippi State")</f>
        <v>Mississippi State</v>
      </c>
      <c r="AX37" t="str">
        <f>IFERROR(__xludf.DUMMYFUNCTION("""COMPUTED_VALUE"""),"Missouri")</f>
        <v>Missouri</v>
      </c>
      <c r="AY37" t="str">
        <f>IFERROR(__xludf.DUMMYFUNCTION("""COMPUTED_VALUE"""),"Missouri State")</f>
        <v>Missouri State</v>
      </c>
      <c r="AZ37" t="str">
        <f>IFERROR(__xludf.DUMMYFUNCTION("""COMPUTED_VALUE"""),"NC State")</f>
        <v>NC State</v>
      </c>
      <c r="BA37" t="str">
        <f>IFERROR(__xludf.DUMMYFUNCTION("""COMPUTED_VALUE"""),"Nebraska")</f>
        <v>Nebraska</v>
      </c>
      <c r="BB37" t="str">
        <f>IFERROR(__xludf.DUMMYFUNCTION("""COMPUTED_VALUE"""),"Nevada")</f>
        <v>Nevada</v>
      </c>
      <c r="BC37" t="str">
        <f>IFERROR(__xludf.DUMMYFUNCTION("""COMPUTED_VALUE"""),"New Mexico")</f>
        <v>New Mexico</v>
      </c>
      <c r="BD37" t="str">
        <f>IFERROR(__xludf.DUMMYFUNCTION("""COMPUTED_VALUE"""),"New Mexico State")</f>
        <v>New Mexico State</v>
      </c>
      <c r="BE37" t="str">
        <f>IFERROR(__xludf.DUMMYFUNCTION("""COMPUTED_VALUE"""),"North Carolina")</f>
        <v>North Carolina</v>
      </c>
      <c r="BF37" t="str">
        <f>IFERROR(__xludf.DUMMYFUNCTION("""COMPUTED_VALUE"""),"North Texas")</f>
        <v>North Texas</v>
      </c>
      <c r="BG37" t="str">
        <f>IFERROR(__xludf.DUMMYFUNCTION("""COMPUTED_VALUE"""),"Northern Illinois")</f>
        <v>Northern Illinois</v>
      </c>
      <c r="BH37" t="str">
        <f>IFERROR(__xludf.DUMMYFUNCTION("""COMPUTED_VALUE"""),"Northwestern")</f>
        <v>Northwestern</v>
      </c>
      <c r="BI37" t="str">
        <f>IFERROR(__xludf.DUMMYFUNCTION("""COMPUTED_VALUE"""),"Oklahoma")</f>
        <v>Oklahoma</v>
      </c>
      <c r="BJ37" t="str">
        <f>IFERROR(__xludf.DUMMYFUNCTION("""COMPUTED_VALUE"""),"Oklahoma State")</f>
        <v>Oklahoma State</v>
      </c>
      <c r="BK37" t="str">
        <f>IFERROR(__xludf.DUMMYFUNCTION("""COMPUTED_VALUE"""),"Old Dominion")</f>
        <v>Old Dominion</v>
      </c>
      <c r="BL37" t="str">
        <f>IFERROR(__xludf.DUMMYFUNCTION("""COMPUTED_VALUE"""),"Ole Miss")</f>
        <v>Ole Miss</v>
      </c>
      <c r="BM37" t="str">
        <f>IFERROR(__xludf.DUMMYFUNCTION("""COMPUTED_VALUE"""),"Oregon State")</f>
        <v>Oregon State</v>
      </c>
      <c r="BN37" t="str">
        <f>IFERROR(__xludf.DUMMYFUNCTION("""COMPUTED_VALUE"""),"Pittsburgh")</f>
        <v>Pittsburgh</v>
      </c>
      <c r="BO37" t="str">
        <f>IFERROR(__xludf.DUMMYFUNCTION("""COMPUTED_VALUE"""),"Purdue")</f>
        <v>Purdue</v>
      </c>
      <c r="BP37" t="str">
        <f>IFERROR(__xludf.DUMMYFUNCTION("""COMPUTED_VALUE"""),"Rice")</f>
        <v>Rice</v>
      </c>
      <c r="BQ37" t="str">
        <f>IFERROR(__xludf.DUMMYFUNCTION("""COMPUTED_VALUE"""),"Rutgers")</f>
        <v>Rutgers</v>
      </c>
      <c r="BR37" t="str">
        <f>IFERROR(__xludf.DUMMYFUNCTION("""COMPUTED_VALUE"""),"Sam Houston")</f>
        <v>Sam Houston</v>
      </c>
      <c r="BS37" t="str">
        <f>IFERROR(__xludf.DUMMYFUNCTION("""COMPUTED_VALUE"""),"San Diego State")</f>
        <v>San Diego State</v>
      </c>
      <c r="BT37" t="str">
        <f>IFERROR(__xludf.DUMMYFUNCTION("""COMPUTED_VALUE"""),"South Carolina")</f>
        <v>South Carolina</v>
      </c>
      <c r="BU37" t="str">
        <f>IFERROR(__xludf.DUMMYFUNCTION("""COMPUTED_VALUE"""),"South Florida")</f>
        <v>South Florida</v>
      </c>
      <c r="BV37" t="str">
        <f>IFERROR(__xludf.DUMMYFUNCTION("""COMPUTED_VALUE"""),"Southern Mississippi")</f>
        <v>Southern Mississippi</v>
      </c>
      <c r="BW37" t="str">
        <f>IFERROR(__xludf.DUMMYFUNCTION("""COMPUTED_VALUE"""),"Stanford")</f>
        <v>Stanford</v>
      </c>
      <c r="BX37" t="str">
        <f>IFERROR(__xludf.DUMMYFUNCTION("""COMPUTED_VALUE"""),"Syracuse")</f>
        <v>Syracuse</v>
      </c>
      <c r="BY37" t="str">
        <f>IFERROR(__xludf.DUMMYFUNCTION("""COMPUTED_VALUE"""),"TCU")</f>
        <v>TCU</v>
      </c>
      <c r="BZ37" t="str">
        <f>IFERROR(__xludf.DUMMYFUNCTION("""COMPUTED_VALUE"""),"Temple")</f>
        <v>Temple</v>
      </c>
      <c r="CA37" t="str">
        <f>IFERROR(__xludf.DUMMYFUNCTION("""COMPUTED_VALUE"""),"Tennessee")</f>
        <v>Tennessee</v>
      </c>
      <c r="CB37" t="str">
        <f>IFERROR(__xludf.DUMMYFUNCTION("""COMPUTED_VALUE"""),"Texas A&amp;M")</f>
        <v>Texas A&amp;M</v>
      </c>
      <c r="CC37" t="str">
        <f>IFERROR(__xludf.DUMMYFUNCTION("""COMPUTED_VALUE"""),"Texas State")</f>
        <v>Texas State</v>
      </c>
      <c r="CD37" t="str">
        <f>IFERROR(__xludf.DUMMYFUNCTION("""COMPUTED_VALUE"""),"Troy")</f>
        <v>Troy</v>
      </c>
      <c r="CE37" t="str">
        <f>IFERROR(__xludf.DUMMYFUNCTION("""COMPUTED_VALUE"""),"Tulsa")</f>
        <v>Tulsa</v>
      </c>
      <c r="CF37" t="str">
        <f>IFERROR(__xludf.DUMMYFUNCTION("""COMPUTED_VALUE"""),"UAB")</f>
        <v>UAB</v>
      </c>
      <c r="CG37" t="str">
        <f>IFERROR(__xludf.DUMMYFUNCTION("""COMPUTED_VALUE"""),"UCF")</f>
        <v>UCF</v>
      </c>
      <c r="CH37" t="str">
        <f>IFERROR(__xludf.DUMMYFUNCTION("""COMPUTED_VALUE"""),"UCLA")</f>
        <v>UCLA</v>
      </c>
      <c r="CI37" t="str">
        <f>IFERROR(__xludf.DUMMYFUNCTION("""COMPUTED_VALUE"""),"UConn")</f>
        <v>UConn</v>
      </c>
      <c r="CJ37" t="str">
        <f>IFERROR(__xludf.DUMMYFUNCTION("""COMPUTED_VALUE"""),"UL Monroe")</f>
        <v>UL Monroe</v>
      </c>
      <c r="CK37" t="str">
        <f>IFERROR(__xludf.DUMMYFUNCTION("""COMPUTED_VALUE"""),"UMASS")</f>
        <v>UMASS</v>
      </c>
      <c r="CL37" t="str">
        <f>IFERROR(__xludf.DUMMYFUNCTION("""COMPUTED_VALUE"""),"Utah State")</f>
        <v>Utah State</v>
      </c>
      <c r="CM37" t="str">
        <f>IFERROR(__xludf.DUMMYFUNCTION("""COMPUTED_VALUE"""),"UTEP")</f>
        <v>UTEP</v>
      </c>
      <c r="CN37" t="str">
        <f>IFERROR(__xludf.DUMMYFUNCTION("""COMPUTED_VALUE"""),"Vanderbilt")</f>
        <v>Vanderbilt</v>
      </c>
      <c r="CO37" t="str">
        <f>IFERROR(__xludf.DUMMYFUNCTION("""COMPUTED_VALUE"""),"Virginia")</f>
        <v>Virginia</v>
      </c>
      <c r="CP37" t="str">
        <f>IFERROR(__xludf.DUMMYFUNCTION("""COMPUTED_VALUE"""),"Virginia Tech")</f>
        <v>Virginia Tech</v>
      </c>
      <c r="CQ37" t="str">
        <f>IFERROR(__xludf.DUMMYFUNCTION("""COMPUTED_VALUE"""),"Wake Forest")</f>
        <v>Wake Forest</v>
      </c>
      <c r="CR37" t="str">
        <f>IFERROR(__xludf.DUMMYFUNCTION("""COMPUTED_VALUE"""),"Washington")</f>
        <v>Washington</v>
      </c>
      <c r="CS37" t="str">
        <f>IFERROR(__xludf.DUMMYFUNCTION("""COMPUTED_VALUE"""),"Washington State")</f>
        <v>Washington State</v>
      </c>
      <c r="CT37" t="str">
        <f>IFERROR(__xludf.DUMMYFUNCTION("""COMPUTED_VALUE"""),"West Virginia")</f>
        <v>West Virginia</v>
      </c>
      <c r="CU37" t="str">
        <f>IFERROR(__xludf.DUMMYFUNCTION("""COMPUTED_VALUE"""),"Western Michigan")</f>
        <v>Western Michigan</v>
      </c>
      <c r="CV37" t="str">
        <f>IFERROR(__xludf.DUMMYFUNCTION("""COMPUTED_VALUE"""),"Wisconsin")</f>
        <v>Wisconsin</v>
      </c>
      <c r="CW37" t="str">
        <f>IFERROR(__xludf.DUMMYFUNCTION("""COMPUTED_VALUE"""),"Wyoming")</f>
        <v>Wyoming</v>
      </c>
    </row>
    <row r="38">
      <c r="A38" s="1">
        <v>37.0</v>
      </c>
      <c r="B38" t="str">
        <f>IFERROR(__xludf.DUMMYFUNCTION("split(join("","",sort(byrow('Teams-Conference'!A$2:A1000,lambda(rw,if(iserror(match(rw,DraftTracker!F$1:F38,0)),rw,""""))),1,1)),"","",1,1)"),"Air Force")</f>
        <v>Air Force</v>
      </c>
      <c r="C38" t="str">
        <f>IFERROR(__xludf.DUMMYFUNCTION("""COMPUTED_VALUE"""),"Akron")</f>
        <v>Akron</v>
      </c>
      <c r="D38" t="str">
        <f>IFERROR(__xludf.DUMMYFUNCTION("""COMPUTED_VALUE"""),"Appalachian State")</f>
        <v>Appalachian State</v>
      </c>
      <c r="E38" t="str">
        <f>IFERROR(__xludf.DUMMYFUNCTION("""COMPUTED_VALUE"""),"Arizona")</f>
        <v>Arizona</v>
      </c>
      <c r="F38" t="str">
        <f>IFERROR(__xludf.DUMMYFUNCTION("""COMPUTED_VALUE"""),"Arkansas")</f>
        <v>Arkansas</v>
      </c>
      <c r="G38" t="str">
        <f>IFERROR(__xludf.DUMMYFUNCTION("""COMPUTED_VALUE"""),"Arkansas State")</f>
        <v>Arkansas State</v>
      </c>
      <c r="H38" t="str">
        <f>IFERROR(__xludf.DUMMYFUNCTION("""COMPUTED_VALUE"""),"Auburn")</f>
        <v>Auburn</v>
      </c>
      <c r="I38" t="str">
        <f>IFERROR(__xludf.DUMMYFUNCTION("""COMPUTED_VALUE"""),"Ball State")</f>
        <v>Ball State</v>
      </c>
      <c r="J38" t="str">
        <f>IFERROR(__xludf.DUMMYFUNCTION("""COMPUTED_VALUE"""),"Baylor")</f>
        <v>Baylor</v>
      </c>
      <c r="K38" t="str">
        <f>IFERROR(__xludf.DUMMYFUNCTION("""COMPUTED_VALUE"""),"Boston College")</f>
        <v>Boston College</v>
      </c>
      <c r="L38" t="str">
        <f>IFERROR(__xludf.DUMMYFUNCTION("""COMPUTED_VALUE"""),"Bowling Green")</f>
        <v>Bowling Green</v>
      </c>
      <c r="M38" t="str">
        <f>IFERROR(__xludf.DUMMYFUNCTION("""COMPUTED_VALUE"""),"BYU")</f>
        <v>BYU</v>
      </c>
      <c r="N38" t="str">
        <f>IFERROR(__xludf.DUMMYFUNCTION("""COMPUTED_VALUE"""),"California")</f>
        <v>California</v>
      </c>
      <c r="O38" t="str">
        <f>IFERROR(__xludf.DUMMYFUNCTION("""COMPUTED_VALUE"""),"Central Michigan")</f>
        <v>Central Michigan</v>
      </c>
      <c r="P38" t="str">
        <f>IFERROR(__xludf.DUMMYFUNCTION("""COMPUTED_VALUE"""),"Charlotte")</f>
        <v>Charlotte</v>
      </c>
      <c r="Q38" t="str">
        <f>IFERROR(__xludf.DUMMYFUNCTION("""COMPUTED_VALUE"""),"Cincinnati")</f>
        <v>Cincinnati</v>
      </c>
      <c r="R38" t="str">
        <f>IFERROR(__xludf.DUMMYFUNCTION("""COMPUTED_VALUE"""),"Coastal Carolina")</f>
        <v>Coastal Carolina</v>
      </c>
      <c r="S38" t="str">
        <f>IFERROR(__xludf.DUMMYFUNCTION("""COMPUTED_VALUE"""),"Colorado")</f>
        <v>Colorado</v>
      </c>
      <c r="T38" t="str">
        <f>IFERROR(__xludf.DUMMYFUNCTION("""COMPUTED_VALUE"""),"Colorado State")</f>
        <v>Colorado State</v>
      </c>
      <c r="U38" t="str">
        <f>IFERROR(__xludf.DUMMYFUNCTION("""COMPUTED_VALUE"""),"Delaware")</f>
        <v>Delaware</v>
      </c>
      <c r="V38" t="str">
        <f>IFERROR(__xludf.DUMMYFUNCTION("""COMPUTED_VALUE"""),"Duke")</f>
        <v>Duke</v>
      </c>
      <c r="W38" t="str">
        <f>IFERROR(__xludf.DUMMYFUNCTION("""COMPUTED_VALUE"""),"East Carolina")</f>
        <v>East Carolina</v>
      </c>
      <c r="X38" t="str">
        <f>IFERROR(__xludf.DUMMYFUNCTION("""COMPUTED_VALUE"""),"EMU")</f>
        <v>EMU</v>
      </c>
      <c r="Y38" t="str">
        <f>IFERROR(__xludf.DUMMYFUNCTION("""COMPUTED_VALUE"""),"Florida")</f>
        <v>Florida</v>
      </c>
      <c r="Z38" t="str">
        <f>IFERROR(__xludf.DUMMYFUNCTION("""COMPUTED_VALUE"""),"Florida Atlantic")</f>
        <v>Florida Atlantic</v>
      </c>
      <c r="AA38" t="str">
        <f>IFERROR(__xludf.DUMMYFUNCTION("""COMPUTED_VALUE"""),"Florida Intl")</f>
        <v>Florida Intl</v>
      </c>
      <c r="AB38" t="str">
        <f>IFERROR(__xludf.DUMMYFUNCTION("""COMPUTED_VALUE"""),"Florida State")</f>
        <v>Florida State</v>
      </c>
      <c r="AC38" t="str">
        <f>IFERROR(__xludf.DUMMYFUNCTION("""COMPUTED_VALUE"""),"Fresno State")</f>
        <v>Fresno State</v>
      </c>
      <c r="AD38" t="str">
        <f>IFERROR(__xludf.DUMMYFUNCTION("""COMPUTED_VALUE"""),"Georgia State")</f>
        <v>Georgia State</v>
      </c>
      <c r="AE38" t="str">
        <f>IFERROR(__xludf.DUMMYFUNCTION("""COMPUTED_VALUE"""),"Georgia Tech")</f>
        <v>Georgia Tech</v>
      </c>
      <c r="AF38" t="str">
        <f>IFERROR(__xludf.DUMMYFUNCTION("""COMPUTED_VALUE"""),"Hawaii")</f>
        <v>Hawaii</v>
      </c>
      <c r="AG38" t="str">
        <f>IFERROR(__xludf.DUMMYFUNCTION("""COMPUTED_VALUE"""),"Houston")</f>
        <v>Houston</v>
      </c>
      <c r="AH38" t="str">
        <f>IFERROR(__xludf.DUMMYFUNCTION("""COMPUTED_VALUE"""),"Iowa")</f>
        <v>Iowa</v>
      </c>
      <c r="AI38" t="str">
        <f>IFERROR(__xludf.DUMMYFUNCTION("""COMPUTED_VALUE"""),"Iowa State")</f>
        <v>Iowa State</v>
      </c>
      <c r="AJ38" t="str">
        <f>IFERROR(__xludf.DUMMYFUNCTION("""COMPUTED_VALUE"""),"Jacksonville State")</f>
        <v>Jacksonville State</v>
      </c>
      <c r="AK38" t="str">
        <f>IFERROR(__xludf.DUMMYFUNCTION("""COMPUTED_VALUE"""),"Kansas")</f>
        <v>Kansas</v>
      </c>
      <c r="AL38" t="str">
        <f>IFERROR(__xludf.DUMMYFUNCTION("""COMPUTED_VALUE"""),"Kennesaw State")</f>
        <v>Kennesaw State</v>
      </c>
      <c r="AM38" t="str">
        <f>IFERROR(__xludf.DUMMYFUNCTION("""COMPUTED_VALUE"""),"Kent State")</f>
        <v>Kent State</v>
      </c>
      <c r="AN38" t="str">
        <f>IFERROR(__xludf.DUMMYFUNCTION("""COMPUTED_VALUE"""),"Kentucky")</f>
        <v>Kentucky</v>
      </c>
      <c r="AO38" t="str">
        <f>IFERROR(__xludf.DUMMYFUNCTION("""COMPUTED_VALUE"""),"LSU")</f>
        <v>LSU</v>
      </c>
      <c r="AP38" t="str">
        <f>IFERROR(__xludf.DUMMYFUNCTION("""COMPUTED_VALUE"""),"Marshall")</f>
        <v>Marshall</v>
      </c>
      <c r="AQ38" t="str">
        <f>IFERROR(__xludf.DUMMYFUNCTION("""COMPUTED_VALUE"""),"Maryland")</f>
        <v>Maryland</v>
      </c>
      <c r="AR38" t="str">
        <f>IFERROR(__xludf.DUMMYFUNCTION("""COMPUTED_VALUE"""),"Miami-OH")</f>
        <v>Miami-OH</v>
      </c>
      <c r="AS38" t="str">
        <f>IFERROR(__xludf.DUMMYFUNCTION("""COMPUTED_VALUE"""),"Michigan State")</f>
        <v>Michigan State</v>
      </c>
      <c r="AT38" t="str">
        <f>IFERROR(__xludf.DUMMYFUNCTION("""COMPUTED_VALUE"""),"Middle Tennessee")</f>
        <v>Middle Tennessee</v>
      </c>
      <c r="AU38" t="str">
        <f>IFERROR(__xludf.DUMMYFUNCTION("""COMPUTED_VALUE"""),"Minnesota")</f>
        <v>Minnesota</v>
      </c>
      <c r="AV38" t="str">
        <f>IFERROR(__xludf.DUMMYFUNCTION("""COMPUTED_VALUE"""),"Mississippi State")</f>
        <v>Mississippi State</v>
      </c>
      <c r="AW38" t="str">
        <f>IFERROR(__xludf.DUMMYFUNCTION("""COMPUTED_VALUE"""),"Missouri")</f>
        <v>Missouri</v>
      </c>
      <c r="AX38" t="str">
        <f>IFERROR(__xludf.DUMMYFUNCTION("""COMPUTED_VALUE"""),"Missouri State")</f>
        <v>Missouri State</v>
      </c>
      <c r="AY38" t="str">
        <f>IFERROR(__xludf.DUMMYFUNCTION("""COMPUTED_VALUE"""),"NC State")</f>
        <v>NC State</v>
      </c>
      <c r="AZ38" t="str">
        <f>IFERROR(__xludf.DUMMYFUNCTION("""COMPUTED_VALUE"""),"Nebraska")</f>
        <v>Nebraska</v>
      </c>
      <c r="BA38" t="str">
        <f>IFERROR(__xludf.DUMMYFUNCTION("""COMPUTED_VALUE"""),"Nevada")</f>
        <v>Nevada</v>
      </c>
      <c r="BB38" t="str">
        <f>IFERROR(__xludf.DUMMYFUNCTION("""COMPUTED_VALUE"""),"New Mexico")</f>
        <v>New Mexico</v>
      </c>
      <c r="BC38" t="str">
        <f>IFERROR(__xludf.DUMMYFUNCTION("""COMPUTED_VALUE"""),"New Mexico State")</f>
        <v>New Mexico State</v>
      </c>
      <c r="BD38" t="str">
        <f>IFERROR(__xludf.DUMMYFUNCTION("""COMPUTED_VALUE"""),"North Carolina")</f>
        <v>North Carolina</v>
      </c>
      <c r="BE38" t="str">
        <f>IFERROR(__xludf.DUMMYFUNCTION("""COMPUTED_VALUE"""),"North Texas")</f>
        <v>North Texas</v>
      </c>
      <c r="BF38" t="str">
        <f>IFERROR(__xludf.DUMMYFUNCTION("""COMPUTED_VALUE"""),"Northern Illinois")</f>
        <v>Northern Illinois</v>
      </c>
      <c r="BG38" t="str">
        <f>IFERROR(__xludf.DUMMYFUNCTION("""COMPUTED_VALUE"""),"Northwestern")</f>
        <v>Northwestern</v>
      </c>
      <c r="BH38" t="str">
        <f>IFERROR(__xludf.DUMMYFUNCTION("""COMPUTED_VALUE"""),"Oklahoma")</f>
        <v>Oklahoma</v>
      </c>
      <c r="BI38" t="str">
        <f>IFERROR(__xludf.DUMMYFUNCTION("""COMPUTED_VALUE"""),"Oklahoma State")</f>
        <v>Oklahoma State</v>
      </c>
      <c r="BJ38" t="str">
        <f>IFERROR(__xludf.DUMMYFUNCTION("""COMPUTED_VALUE"""),"Old Dominion")</f>
        <v>Old Dominion</v>
      </c>
      <c r="BK38" t="str">
        <f>IFERROR(__xludf.DUMMYFUNCTION("""COMPUTED_VALUE"""),"Ole Miss")</f>
        <v>Ole Miss</v>
      </c>
      <c r="BL38" t="str">
        <f>IFERROR(__xludf.DUMMYFUNCTION("""COMPUTED_VALUE"""),"Oregon State")</f>
        <v>Oregon State</v>
      </c>
      <c r="BM38" t="str">
        <f>IFERROR(__xludf.DUMMYFUNCTION("""COMPUTED_VALUE"""),"Pittsburgh")</f>
        <v>Pittsburgh</v>
      </c>
      <c r="BN38" t="str">
        <f>IFERROR(__xludf.DUMMYFUNCTION("""COMPUTED_VALUE"""),"Purdue")</f>
        <v>Purdue</v>
      </c>
      <c r="BO38" t="str">
        <f>IFERROR(__xludf.DUMMYFUNCTION("""COMPUTED_VALUE"""),"Rice")</f>
        <v>Rice</v>
      </c>
      <c r="BP38" t="str">
        <f>IFERROR(__xludf.DUMMYFUNCTION("""COMPUTED_VALUE"""),"Rutgers")</f>
        <v>Rutgers</v>
      </c>
      <c r="BQ38" t="str">
        <f>IFERROR(__xludf.DUMMYFUNCTION("""COMPUTED_VALUE"""),"Sam Houston")</f>
        <v>Sam Houston</v>
      </c>
      <c r="BR38" t="str">
        <f>IFERROR(__xludf.DUMMYFUNCTION("""COMPUTED_VALUE"""),"San Diego State")</f>
        <v>San Diego State</v>
      </c>
      <c r="BS38" t="str">
        <f>IFERROR(__xludf.DUMMYFUNCTION("""COMPUTED_VALUE"""),"South Carolina")</f>
        <v>South Carolina</v>
      </c>
      <c r="BT38" t="str">
        <f>IFERROR(__xludf.DUMMYFUNCTION("""COMPUTED_VALUE"""),"South Florida")</f>
        <v>South Florida</v>
      </c>
      <c r="BU38" t="str">
        <f>IFERROR(__xludf.DUMMYFUNCTION("""COMPUTED_VALUE"""),"Southern Mississippi")</f>
        <v>Southern Mississippi</v>
      </c>
      <c r="BV38" t="str">
        <f>IFERROR(__xludf.DUMMYFUNCTION("""COMPUTED_VALUE"""),"Stanford")</f>
        <v>Stanford</v>
      </c>
      <c r="BW38" t="str">
        <f>IFERROR(__xludf.DUMMYFUNCTION("""COMPUTED_VALUE"""),"Syracuse")</f>
        <v>Syracuse</v>
      </c>
      <c r="BX38" t="str">
        <f>IFERROR(__xludf.DUMMYFUNCTION("""COMPUTED_VALUE"""),"TCU")</f>
        <v>TCU</v>
      </c>
      <c r="BY38" t="str">
        <f>IFERROR(__xludf.DUMMYFUNCTION("""COMPUTED_VALUE"""),"Temple")</f>
        <v>Temple</v>
      </c>
      <c r="BZ38" t="str">
        <f>IFERROR(__xludf.DUMMYFUNCTION("""COMPUTED_VALUE"""),"Tennessee")</f>
        <v>Tennessee</v>
      </c>
      <c r="CA38" t="str">
        <f>IFERROR(__xludf.DUMMYFUNCTION("""COMPUTED_VALUE"""),"Texas A&amp;M")</f>
        <v>Texas A&amp;M</v>
      </c>
      <c r="CB38" t="str">
        <f>IFERROR(__xludf.DUMMYFUNCTION("""COMPUTED_VALUE"""),"Texas State")</f>
        <v>Texas State</v>
      </c>
      <c r="CC38" t="str">
        <f>IFERROR(__xludf.DUMMYFUNCTION("""COMPUTED_VALUE"""),"Troy")</f>
        <v>Troy</v>
      </c>
      <c r="CD38" t="str">
        <f>IFERROR(__xludf.DUMMYFUNCTION("""COMPUTED_VALUE"""),"Tulsa")</f>
        <v>Tulsa</v>
      </c>
      <c r="CE38" t="str">
        <f>IFERROR(__xludf.DUMMYFUNCTION("""COMPUTED_VALUE"""),"UAB")</f>
        <v>UAB</v>
      </c>
      <c r="CF38" t="str">
        <f>IFERROR(__xludf.DUMMYFUNCTION("""COMPUTED_VALUE"""),"UCF")</f>
        <v>UCF</v>
      </c>
      <c r="CG38" t="str">
        <f>IFERROR(__xludf.DUMMYFUNCTION("""COMPUTED_VALUE"""),"UCLA")</f>
        <v>UCLA</v>
      </c>
      <c r="CH38" t="str">
        <f>IFERROR(__xludf.DUMMYFUNCTION("""COMPUTED_VALUE"""),"UConn")</f>
        <v>UConn</v>
      </c>
      <c r="CI38" t="str">
        <f>IFERROR(__xludf.DUMMYFUNCTION("""COMPUTED_VALUE"""),"UL Monroe")</f>
        <v>UL Monroe</v>
      </c>
      <c r="CJ38" t="str">
        <f>IFERROR(__xludf.DUMMYFUNCTION("""COMPUTED_VALUE"""),"UMASS")</f>
        <v>UMASS</v>
      </c>
      <c r="CK38" t="str">
        <f>IFERROR(__xludf.DUMMYFUNCTION("""COMPUTED_VALUE"""),"Utah State")</f>
        <v>Utah State</v>
      </c>
      <c r="CL38" t="str">
        <f>IFERROR(__xludf.DUMMYFUNCTION("""COMPUTED_VALUE"""),"UTEP")</f>
        <v>UTEP</v>
      </c>
      <c r="CM38" t="str">
        <f>IFERROR(__xludf.DUMMYFUNCTION("""COMPUTED_VALUE"""),"Vanderbilt")</f>
        <v>Vanderbilt</v>
      </c>
      <c r="CN38" t="str">
        <f>IFERROR(__xludf.DUMMYFUNCTION("""COMPUTED_VALUE"""),"Virginia")</f>
        <v>Virginia</v>
      </c>
      <c r="CO38" t="str">
        <f>IFERROR(__xludf.DUMMYFUNCTION("""COMPUTED_VALUE"""),"Virginia Tech")</f>
        <v>Virginia Tech</v>
      </c>
      <c r="CP38" t="str">
        <f>IFERROR(__xludf.DUMMYFUNCTION("""COMPUTED_VALUE"""),"Wake Forest")</f>
        <v>Wake Forest</v>
      </c>
      <c r="CQ38" t="str">
        <f>IFERROR(__xludf.DUMMYFUNCTION("""COMPUTED_VALUE"""),"Washington")</f>
        <v>Washington</v>
      </c>
      <c r="CR38" t="str">
        <f>IFERROR(__xludf.DUMMYFUNCTION("""COMPUTED_VALUE"""),"Washington State")</f>
        <v>Washington State</v>
      </c>
      <c r="CS38" t="str">
        <f>IFERROR(__xludf.DUMMYFUNCTION("""COMPUTED_VALUE"""),"West Virginia")</f>
        <v>West Virginia</v>
      </c>
      <c r="CT38" t="str">
        <f>IFERROR(__xludf.DUMMYFUNCTION("""COMPUTED_VALUE"""),"Western Michigan")</f>
        <v>Western Michigan</v>
      </c>
      <c r="CU38" t="str">
        <f>IFERROR(__xludf.DUMMYFUNCTION("""COMPUTED_VALUE"""),"Wisconsin")</f>
        <v>Wisconsin</v>
      </c>
      <c r="CV38" t="str">
        <f>IFERROR(__xludf.DUMMYFUNCTION("""COMPUTED_VALUE"""),"Wyoming")</f>
        <v>Wyoming</v>
      </c>
    </row>
    <row r="39">
      <c r="A39" s="1">
        <v>38.0</v>
      </c>
      <c r="B39" t="str">
        <f>IFERROR(__xludf.DUMMYFUNCTION("split(join("","",sort(byrow('Teams-Conference'!A$2:A1000,lambda(rw,if(iserror(match(rw,DraftTracker!F$1:F39,0)),rw,""""))),1,1)),"","",1,1)"),"Air Force")</f>
        <v>Air Force</v>
      </c>
      <c r="C39" t="str">
        <f>IFERROR(__xludf.DUMMYFUNCTION("""COMPUTED_VALUE"""),"Akron")</f>
        <v>Akron</v>
      </c>
      <c r="D39" t="str">
        <f>IFERROR(__xludf.DUMMYFUNCTION("""COMPUTED_VALUE"""),"Appalachian State")</f>
        <v>Appalachian State</v>
      </c>
      <c r="E39" t="str">
        <f>IFERROR(__xludf.DUMMYFUNCTION("""COMPUTED_VALUE"""),"Arizona")</f>
        <v>Arizona</v>
      </c>
      <c r="F39" t="str">
        <f>IFERROR(__xludf.DUMMYFUNCTION("""COMPUTED_VALUE"""),"Arkansas")</f>
        <v>Arkansas</v>
      </c>
      <c r="G39" t="str">
        <f>IFERROR(__xludf.DUMMYFUNCTION("""COMPUTED_VALUE"""),"Arkansas State")</f>
        <v>Arkansas State</v>
      </c>
      <c r="H39" t="str">
        <f>IFERROR(__xludf.DUMMYFUNCTION("""COMPUTED_VALUE"""),"Auburn")</f>
        <v>Auburn</v>
      </c>
      <c r="I39" t="str">
        <f>IFERROR(__xludf.DUMMYFUNCTION("""COMPUTED_VALUE"""),"Ball State")</f>
        <v>Ball State</v>
      </c>
      <c r="J39" t="str">
        <f>IFERROR(__xludf.DUMMYFUNCTION("""COMPUTED_VALUE"""),"Baylor")</f>
        <v>Baylor</v>
      </c>
      <c r="K39" t="str">
        <f>IFERROR(__xludf.DUMMYFUNCTION("""COMPUTED_VALUE"""),"Boston College")</f>
        <v>Boston College</v>
      </c>
      <c r="L39" t="str">
        <f>IFERROR(__xludf.DUMMYFUNCTION("""COMPUTED_VALUE"""),"Bowling Green")</f>
        <v>Bowling Green</v>
      </c>
      <c r="M39" t="str">
        <f>IFERROR(__xludf.DUMMYFUNCTION("""COMPUTED_VALUE"""),"BYU")</f>
        <v>BYU</v>
      </c>
      <c r="N39" t="str">
        <f>IFERROR(__xludf.DUMMYFUNCTION("""COMPUTED_VALUE"""),"California")</f>
        <v>California</v>
      </c>
      <c r="O39" t="str">
        <f>IFERROR(__xludf.DUMMYFUNCTION("""COMPUTED_VALUE"""),"Central Michigan")</f>
        <v>Central Michigan</v>
      </c>
      <c r="P39" t="str">
        <f>IFERROR(__xludf.DUMMYFUNCTION("""COMPUTED_VALUE"""),"Charlotte")</f>
        <v>Charlotte</v>
      </c>
      <c r="Q39" t="str">
        <f>IFERROR(__xludf.DUMMYFUNCTION("""COMPUTED_VALUE"""),"Cincinnati")</f>
        <v>Cincinnati</v>
      </c>
      <c r="R39" t="str">
        <f>IFERROR(__xludf.DUMMYFUNCTION("""COMPUTED_VALUE"""),"Coastal Carolina")</f>
        <v>Coastal Carolina</v>
      </c>
      <c r="S39" t="str">
        <f>IFERROR(__xludf.DUMMYFUNCTION("""COMPUTED_VALUE"""),"Colorado")</f>
        <v>Colorado</v>
      </c>
      <c r="T39" t="str">
        <f>IFERROR(__xludf.DUMMYFUNCTION("""COMPUTED_VALUE"""),"Colorado State")</f>
        <v>Colorado State</v>
      </c>
      <c r="U39" t="str">
        <f>IFERROR(__xludf.DUMMYFUNCTION("""COMPUTED_VALUE"""),"Delaware")</f>
        <v>Delaware</v>
      </c>
      <c r="V39" t="str">
        <f>IFERROR(__xludf.DUMMYFUNCTION("""COMPUTED_VALUE"""),"Duke")</f>
        <v>Duke</v>
      </c>
      <c r="W39" t="str">
        <f>IFERROR(__xludf.DUMMYFUNCTION("""COMPUTED_VALUE"""),"East Carolina")</f>
        <v>East Carolina</v>
      </c>
      <c r="X39" t="str">
        <f>IFERROR(__xludf.DUMMYFUNCTION("""COMPUTED_VALUE"""),"EMU")</f>
        <v>EMU</v>
      </c>
      <c r="Y39" t="str">
        <f>IFERROR(__xludf.DUMMYFUNCTION("""COMPUTED_VALUE"""),"Florida")</f>
        <v>Florida</v>
      </c>
      <c r="Z39" t="str">
        <f>IFERROR(__xludf.DUMMYFUNCTION("""COMPUTED_VALUE"""),"Florida Atlantic")</f>
        <v>Florida Atlantic</v>
      </c>
      <c r="AA39" t="str">
        <f>IFERROR(__xludf.DUMMYFUNCTION("""COMPUTED_VALUE"""),"Florida Intl")</f>
        <v>Florida Intl</v>
      </c>
      <c r="AB39" t="str">
        <f>IFERROR(__xludf.DUMMYFUNCTION("""COMPUTED_VALUE"""),"Florida State")</f>
        <v>Florida State</v>
      </c>
      <c r="AC39" t="str">
        <f>IFERROR(__xludf.DUMMYFUNCTION("""COMPUTED_VALUE"""),"Georgia State")</f>
        <v>Georgia State</v>
      </c>
      <c r="AD39" t="str">
        <f>IFERROR(__xludf.DUMMYFUNCTION("""COMPUTED_VALUE"""),"Georgia Tech")</f>
        <v>Georgia Tech</v>
      </c>
      <c r="AE39" t="str">
        <f>IFERROR(__xludf.DUMMYFUNCTION("""COMPUTED_VALUE"""),"Hawaii")</f>
        <v>Hawaii</v>
      </c>
      <c r="AF39" t="str">
        <f>IFERROR(__xludf.DUMMYFUNCTION("""COMPUTED_VALUE"""),"Houston")</f>
        <v>Houston</v>
      </c>
      <c r="AG39" t="str">
        <f>IFERROR(__xludf.DUMMYFUNCTION("""COMPUTED_VALUE"""),"Iowa")</f>
        <v>Iowa</v>
      </c>
      <c r="AH39" t="str">
        <f>IFERROR(__xludf.DUMMYFUNCTION("""COMPUTED_VALUE"""),"Iowa State")</f>
        <v>Iowa State</v>
      </c>
      <c r="AI39" t="str">
        <f>IFERROR(__xludf.DUMMYFUNCTION("""COMPUTED_VALUE"""),"Jacksonville State")</f>
        <v>Jacksonville State</v>
      </c>
      <c r="AJ39" t="str">
        <f>IFERROR(__xludf.DUMMYFUNCTION("""COMPUTED_VALUE"""),"Kansas")</f>
        <v>Kansas</v>
      </c>
      <c r="AK39" t="str">
        <f>IFERROR(__xludf.DUMMYFUNCTION("""COMPUTED_VALUE"""),"Kennesaw State")</f>
        <v>Kennesaw State</v>
      </c>
      <c r="AL39" t="str">
        <f>IFERROR(__xludf.DUMMYFUNCTION("""COMPUTED_VALUE"""),"Kent State")</f>
        <v>Kent State</v>
      </c>
      <c r="AM39" t="str">
        <f>IFERROR(__xludf.DUMMYFUNCTION("""COMPUTED_VALUE"""),"Kentucky")</f>
        <v>Kentucky</v>
      </c>
      <c r="AN39" t="str">
        <f>IFERROR(__xludf.DUMMYFUNCTION("""COMPUTED_VALUE"""),"LSU")</f>
        <v>LSU</v>
      </c>
      <c r="AO39" t="str">
        <f>IFERROR(__xludf.DUMMYFUNCTION("""COMPUTED_VALUE"""),"Marshall")</f>
        <v>Marshall</v>
      </c>
      <c r="AP39" t="str">
        <f>IFERROR(__xludf.DUMMYFUNCTION("""COMPUTED_VALUE"""),"Maryland")</f>
        <v>Maryland</v>
      </c>
      <c r="AQ39" t="str">
        <f>IFERROR(__xludf.DUMMYFUNCTION("""COMPUTED_VALUE"""),"Miami-OH")</f>
        <v>Miami-OH</v>
      </c>
      <c r="AR39" t="str">
        <f>IFERROR(__xludf.DUMMYFUNCTION("""COMPUTED_VALUE"""),"Michigan State")</f>
        <v>Michigan State</v>
      </c>
      <c r="AS39" t="str">
        <f>IFERROR(__xludf.DUMMYFUNCTION("""COMPUTED_VALUE"""),"Middle Tennessee")</f>
        <v>Middle Tennessee</v>
      </c>
      <c r="AT39" t="str">
        <f>IFERROR(__xludf.DUMMYFUNCTION("""COMPUTED_VALUE"""),"Minnesota")</f>
        <v>Minnesota</v>
      </c>
      <c r="AU39" t="str">
        <f>IFERROR(__xludf.DUMMYFUNCTION("""COMPUTED_VALUE"""),"Mississippi State")</f>
        <v>Mississippi State</v>
      </c>
      <c r="AV39" t="str">
        <f>IFERROR(__xludf.DUMMYFUNCTION("""COMPUTED_VALUE"""),"Missouri")</f>
        <v>Missouri</v>
      </c>
      <c r="AW39" t="str">
        <f>IFERROR(__xludf.DUMMYFUNCTION("""COMPUTED_VALUE"""),"Missouri State")</f>
        <v>Missouri State</v>
      </c>
      <c r="AX39" t="str">
        <f>IFERROR(__xludf.DUMMYFUNCTION("""COMPUTED_VALUE"""),"NC State")</f>
        <v>NC State</v>
      </c>
      <c r="AY39" t="str">
        <f>IFERROR(__xludf.DUMMYFUNCTION("""COMPUTED_VALUE"""),"Nebraska")</f>
        <v>Nebraska</v>
      </c>
      <c r="AZ39" t="str">
        <f>IFERROR(__xludf.DUMMYFUNCTION("""COMPUTED_VALUE"""),"Nevada")</f>
        <v>Nevada</v>
      </c>
      <c r="BA39" t="str">
        <f>IFERROR(__xludf.DUMMYFUNCTION("""COMPUTED_VALUE"""),"New Mexico")</f>
        <v>New Mexico</v>
      </c>
      <c r="BB39" t="str">
        <f>IFERROR(__xludf.DUMMYFUNCTION("""COMPUTED_VALUE"""),"New Mexico State")</f>
        <v>New Mexico State</v>
      </c>
      <c r="BC39" t="str">
        <f>IFERROR(__xludf.DUMMYFUNCTION("""COMPUTED_VALUE"""),"North Carolina")</f>
        <v>North Carolina</v>
      </c>
      <c r="BD39" t="str">
        <f>IFERROR(__xludf.DUMMYFUNCTION("""COMPUTED_VALUE"""),"North Texas")</f>
        <v>North Texas</v>
      </c>
      <c r="BE39" t="str">
        <f>IFERROR(__xludf.DUMMYFUNCTION("""COMPUTED_VALUE"""),"Northern Illinois")</f>
        <v>Northern Illinois</v>
      </c>
      <c r="BF39" t="str">
        <f>IFERROR(__xludf.DUMMYFUNCTION("""COMPUTED_VALUE"""),"Northwestern")</f>
        <v>Northwestern</v>
      </c>
      <c r="BG39" t="str">
        <f>IFERROR(__xludf.DUMMYFUNCTION("""COMPUTED_VALUE"""),"Oklahoma")</f>
        <v>Oklahoma</v>
      </c>
      <c r="BH39" t="str">
        <f>IFERROR(__xludf.DUMMYFUNCTION("""COMPUTED_VALUE"""),"Oklahoma State")</f>
        <v>Oklahoma State</v>
      </c>
      <c r="BI39" t="str">
        <f>IFERROR(__xludf.DUMMYFUNCTION("""COMPUTED_VALUE"""),"Old Dominion")</f>
        <v>Old Dominion</v>
      </c>
      <c r="BJ39" t="str">
        <f>IFERROR(__xludf.DUMMYFUNCTION("""COMPUTED_VALUE"""),"Ole Miss")</f>
        <v>Ole Miss</v>
      </c>
      <c r="BK39" t="str">
        <f>IFERROR(__xludf.DUMMYFUNCTION("""COMPUTED_VALUE"""),"Oregon State")</f>
        <v>Oregon State</v>
      </c>
      <c r="BL39" t="str">
        <f>IFERROR(__xludf.DUMMYFUNCTION("""COMPUTED_VALUE"""),"Pittsburgh")</f>
        <v>Pittsburgh</v>
      </c>
      <c r="BM39" t="str">
        <f>IFERROR(__xludf.DUMMYFUNCTION("""COMPUTED_VALUE"""),"Purdue")</f>
        <v>Purdue</v>
      </c>
      <c r="BN39" t="str">
        <f>IFERROR(__xludf.DUMMYFUNCTION("""COMPUTED_VALUE"""),"Rice")</f>
        <v>Rice</v>
      </c>
      <c r="BO39" t="str">
        <f>IFERROR(__xludf.DUMMYFUNCTION("""COMPUTED_VALUE"""),"Rutgers")</f>
        <v>Rutgers</v>
      </c>
      <c r="BP39" t="str">
        <f>IFERROR(__xludf.DUMMYFUNCTION("""COMPUTED_VALUE"""),"Sam Houston")</f>
        <v>Sam Houston</v>
      </c>
      <c r="BQ39" t="str">
        <f>IFERROR(__xludf.DUMMYFUNCTION("""COMPUTED_VALUE"""),"San Diego State")</f>
        <v>San Diego State</v>
      </c>
      <c r="BR39" t="str">
        <f>IFERROR(__xludf.DUMMYFUNCTION("""COMPUTED_VALUE"""),"South Carolina")</f>
        <v>South Carolina</v>
      </c>
      <c r="BS39" t="str">
        <f>IFERROR(__xludf.DUMMYFUNCTION("""COMPUTED_VALUE"""),"South Florida")</f>
        <v>South Florida</v>
      </c>
      <c r="BT39" t="str">
        <f>IFERROR(__xludf.DUMMYFUNCTION("""COMPUTED_VALUE"""),"Southern Mississippi")</f>
        <v>Southern Mississippi</v>
      </c>
      <c r="BU39" t="str">
        <f>IFERROR(__xludf.DUMMYFUNCTION("""COMPUTED_VALUE"""),"Stanford")</f>
        <v>Stanford</v>
      </c>
      <c r="BV39" t="str">
        <f>IFERROR(__xludf.DUMMYFUNCTION("""COMPUTED_VALUE"""),"Syracuse")</f>
        <v>Syracuse</v>
      </c>
      <c r="BW39" t="str">
        <f>IFERROR(__xludf.DUMMYFUNCTION("""COMPUTED_VALUE"""),"TCU")</f>
        <v>TCU</v>
      </c>
      <c r="BX39" t="str">
        <f>IFERROR(__xludf.DUMMYFUNCTION("""COMPUTED_VALUE"""),"Temple")</f>
        <v>Temple</v>
      </c>
      <c r="BY39" t="str">
        <f>IFERROR(__xludf.DUMMYFUNCTION("""COMPUTED_VALUE"""),"Tennessee")</f>
        <v>Tennessee</v>
      </c>
      <c r="BZ39" t="str">
        <f>IFERROR(__xludf.DUMMYFUNCTION("""COMPUTED_VALUE"""),"Texas A&amp;M")</f>
        <v>Texas A&amp;M</v>
      </c>
      <c r="CA39" t="str">
        <f>IFERROR(__xludf.DUMMYFUNCTION("""COMPUTED_VALUE"""),"Texas State")</f>
        <v>Texas State</v>
      </c>
      <c r="CB39" t="str">
        <f>IFERROR(__xludf.DUMMYFUNCTION("""COMPUTED_VALUE"""),"Troy")</f>
        <v>Troy</v>
      </c>
      <c r="CC39" t="str">
        <f>IFERROR(__xludf.DUMMYFUNCTION("""COMPUTED_VALUE"""),"Tulsa")</f>
        <v>Tulsa</v>
      </c>
      <c r="CD39" t="str">
        <f>IFERROR(__xludf.DUMMYFUNCTION("""COMPUTED_VALUE"""),"UAB")</f>
        <v>UAB</v>
      </c>
      <c r="CE39" t="str">
        <f>IFERROR(__xludf.DUMMYFUNCTION("""COMPUTED_VALUE"""),"UCF")</f>
        <v>UCF</v>
      </c>
      <c r="CF39" t="str">
        <f>IFERROR(__xludf.DUMMYFUNCTION("""COMPUTED_VALUE"""),"UCLA")</f>
        <v>UCLA</v>
      </c>
      <c r="CG39" t="str">
        <f>IFERROR(__xludf.DUMMYFUNCTION("""COMPUTED_VALUE"""),"UConn")</f>
        <v>UConn</v>
      </c>
      <c r="CH39" t="str">
        <f>IFERROR(__xludf.DUMMYFUNCTION("""COMPUTED_VALUE"""),"UL Monroe")</f>
        <v>UL Monroe</v>
      </c>
      <c r="CI39" t="str">
        <f>IFERROR(__xludf.DUMMYFUNCTION("""COMPUTED_VALUE"""),"UMASS")</f>
        <v>UMASS</v>
      </c>
      <c r="CJ39" t="str">
        <f>IFERROR(__xludf.DUMMYFUNCTION("""COMPUTED_VALUE"""),"Utah State")</f>
        <v>Utah State</v>
      </c>
      <c r="CK39" t="str">
        <f>IFERROR(__xludf.DUMMYFUNCTION("""COMPUTED_VALUE"""),"UTEP")</f>
        <v>UTEP</v>
      </c>
      <c r="CL39" t="str">
        <f>IFERROR(__xludf.DUMMYFUNCTION("""COMPUTED_VALUE"""),"Vanderbilt")</f>
        <v>Vanderbilt</v>
      </c>
      <c r="CM39" t="str">
        <f>IFERROR(__xludf.DUMMYFUNCTION("""COMPUTED_VALUE"""),"Virginia")</f>
        <v>Virginia</v>
      </c>
      <c r="CN39" t="str">
        <f>IFERROR(__xludf.DUMMYFUNCTION("""COMPUTED_VALUE"""),"Virginia Tech")</f>
        <v>Virginia Tech</v>
      </c>
      <c r="CO39" t="str">
        <f>IFERROR(__xludf.DUMMYFUNCTION("""COMPUTED_VALUE"""),"Wake Forest")</f>
        <v>Wake Forest</v>
      </c>
      <c r="CP39" t="str">
        <f>IFERROR(__xludf.DUMMYFUNCTION("""COMPUTED_VALUE"""),"Washington")</f>
        <v>Washington</v>
      </c>
      <c r="CQ39" t="str">
        <f>IFERROR(__xludf.DUMMYFUNCTION("""COMPUTED_VALUE"""),"Washington State")</f>
        <v>Washington State</v>
      </c>
      <c r="CR39" t="str">
        <f>IFERROR(__xludf.DUMMYFUNCTION("""COMPUTED_VALUE"""),"West Virginia")</f>
        <v>West Virginia</v>
      </c>
      <c r="CS39" t="str">
        <f>IFERROR(__xludf.DUMMYFUNCTION("""COMPUTED_VALUE"""),"Western Michigan")</f>
        <v>Western Michigan</v>
      </c>
      <c r="CT39" t="str">
        <f>IFERROR(__xludf.DUMMYFUNCTION("""COMPUTED_VALUE"""),"Wisconsin")</f>
        <v>Wisconsin</v>
      </c>
      <c r="CU39" t="str">
        <f>IFERROR(__xludf.DUMMYFUNCTION("""COMPUTED_VALUE"""),"Wyoming")</f>
        <v>Wyoming</v>
      </c>
    </row>
    <row r="40">
      <c r="A40" s="1">
        <v>39.0</v>
      </c>
      <c r="B40" t="str">
        <f>IFERROR(__xludf.DUMMYFUNCTION("split(join("","",sort(byrow('Teams-Conference'!A$2:A1000,lambda(rw,if(iserror(match(rw,DraftTracker!F$1:F40,0)),rw,""""))),1,1)),"","",1,1)"),"Air Force")</f>
        <v>Air Force</v>
      </c>
      <c r="C40" t="str">
        <f>IFERROR(__xludf.DUMMYFUNCTION("""COMPUTED_VALUE"""),"Akron")</f>
        <v>Akron</v>
      </c>
      <c r="D40" t="str">
        <f>IFERROR(__xludf.DUMMYFUNCTION("""COMPUTED_VALUE"""),"Appalachian State")</f>
        <v>Appalachian State</v>
      </c>
      <c r="E40" t="str">
        <f>IFERROR(__xludf.DUMMYFUNCTION("""COMPUTED_VALUE"""),"Arizona")</f>
        <v>Arizona</v>
      </c>
      <c r="F40" t="str">
        <f>IFERROR(__xludf.DUMMYFUNCTION("""COMPUTED_VALUE"""),"Arkansas")</f>
        <v>Arkansas</v>
      </c>
      <c r="G40" t="str">
        <f>IFERROR(__xludf.DUMMYFUNCTION("""COMPUTED_VALUE"""),"Arkansas State")</f>
        <v>Arkansas State</v>
      </c>
      <c r="H40" t="str">
        <f>IFERROR(__xludf.DUMMYFUNCTION("""COMPUTED_VALUE"""),"Auburn")</f>
        <v>Auburn</v>
      </c>
      <c r="I40" t="str">
        <f>IFERROR(__xludf.DUMMYFUNCTION("""COMPUTED_VALUE"""),"Ball State")</f>
        <v>Ball State</v>
      </c>
      <c r="J40" t="str">
        <f>IFERROR(__xludf.DUMMYFUNCTION("""COMPUTED_VALUE"""),"Baylor")</f>
        <v>Baylor</v>
      </c>
      <c r="K40" t="str">
        <f>IFERROR(__xludf.DUMMYFUNCTION("""COMPUTED_VALUE"""),"Boston College")</f>
        <v>Boston College</v>
      </c>
      <c r="L40" t="str">
        <f>IFERROR(__xludf.DUMMYFUNCTION("""COMPUTED_VALUE"""),"Bowling Green")</f>
        <v>Bowling Green</v>
      </c>
      <c r="M40" t="str">
        <f>IFERROR(__xludf.DUMMYFUNCTION("""COMPUTED_VALUE"""),"BYU")</f>
        <v>BYU</v>
      </c>
      <c r="N40" t="str">
        <f>IFERROR(__xludf.DUMMYFUNCTION("""COMPUTED_VALUE"""),"California")</f>
        <v>California</v>
      </c>
      <c r="O40" t="str">
        <f>IFERROR(__xludf.DUMMYFUNCTION("""COMPUTED_VALUE"""),"Central Michigan")</f>
        <v>Central Michigan</v>
      </c>
      <c r="P40" t="str">
        <f>IFERROR(__xludf.DUMMYFUNCTION("""COMPUTED_VALUE"""),"Charlotte")</f>
        <v>Charlotte</v>
      </c>
      <c r="Q40" t="str">
        <f>IFERROR(__xludf.DUMMYFUNCTION("""COMPUTED_VALUE"""),"Cincinnati")</f>
        <v>Cincinnati</v>
      </c>
      <c r="R40" t="str">
        <f>IFERROR(__xludf.DUMMYFUNCTION("""COMPUTED_VALUE"""),"Coastal Carolina")</f>
        <v>Coastal Carolina</v>
      </c>
      <c r="S40" t="str">
        <f>IFERROR(__xludf.DUMMYFUNCTION("""COMPUTED_VALUE"""),"Colorado")</f>
        <v>Colorado</v>
      </c>
      <c r="T40" t="str">
        <f>IFERROR(__xludf.DUMMYFUNCTION("""COMPUTED_VALUE"""),"Colorado State")</f>
        <v>Colorado State</v>
      </c>
      <c r="U40" t="str">
        <f>IFERROR(__xludf.DUMMYFUNCTION("""COMPUTED_VALUE"""),"Delaware")</f>
        <v>Delaware</v>
      </c>
      <c r="V40" t="str">
        <f>IFERROR(__xludf.DUMMYFUNCTION("""COMPUTED_VALUE"""),"Duke")</f>
        <v>Duke</v>
      </c>
      <c r="W40" t="str">
        <f>IFERROR(__xludf.DUMMYFUNCTION("""COMPUTED_VALUE"""),"East Carolina")</f>
        <v>East Carolina</v>
      </c>
      <c r="X40" t="str">
        <f>IFERROR(__xludf.DUMMYFUNCTION("""COMPUTED_VALUE"""),"EMU")</f>
        <v>EMU</v>
      </c>
      <c r="Y40" t="str">
        <f>IFERROR(__xludf.DUMMYFUNCTION("""COMPUTED_VALUE"""),"Florida")</f>
        <v>Florida</v>
      </c>
      <c r="Z40" t="str">
        <f>IFERROR(__xludf.DUMMYFUNCTION("""COMPUTED_VALUE"""),"Florida Atlantic")</f>
        <v>Florida Atlantic</v>
      </c>
      <c r="AA40" t="str">
        <f>IFERROR(__xludf.DUMMYFUNCTION("""COMPUTED_VALUE"""),"Florida Intl")</f>
        <v>Florida Intl</v>
      </c>
      <c r="AB40" t="str">
        <f>IFERROR(__xludf.DUMMYFUNCTION("""COMPUTED_VALUE"""),"Florida State")</f>
        <v>Florida State</v>
      </c>
      <c r="AC40" t="str">
        <f>IFERROR(__xludf.DUMMYFUNCTION("""COMPUTED_VALUE"""),"Georgia State")</f>
        <v>Georgia State</v>
      </c>
      <c r="AD40" t="str">
        <f>IFERROR(__xludf.DUMMYFUNCTION("""COMPUTED_VALUE"""),"Georgia Tech")</f>
        <v>Georgia Tech</v>
      </c>
      <c r="AE40" t="str">
        <f>IFERROR(__xludf.DUMMYFUNCTION("""COMPUTED_VALUE"""),"Hawaii")</f>
        <v>Hawaii</v>
      </c>
      <c r="AF40" t="str">
        <f>IFERROR(__xludf.DUMMYFUNCTION("""COMPUTED_VALUE"""),"Houston")</f>
        <v>Houston</v>
      </c>
      <c r="AG40" t="str">
        <f>IFERROR(__xludf.DUMMYFUNCTION("""COMPUTED_VALUE"""),"Iowa")</f>
        <v>Iowa</v>
      </c>
      <c r="AH40" t="str">
        <f>IFERROR(__xludf.DUMMYFUNCTION("""COMPUTED_VALUE"""),"Iowa State")</f>
        <v>Iowa State</v>
      </c>
      <c r="AI40" t="str">
        <f>IFERROR(__xludf.DUMMYFUNCTION("""COMPUTED_VALUE"""),"Jacksonville State")</f>
        <v>Jacksonville State</v>
      </c>
      <c r="AJ40" t="str">
        <f>IFERROR(__xludf.DUMMYFUNCTION("""COMPUTED_VALUE"""),"Kansas")</f>
        <v>Kansas</v>
      </c>
      <c r="AK40" t="str">
        <f>IFERROR(__xludf.DUMMYFUNCTION("""COMPUTED_VALUE"""),"Kennesaw State")</f>
        <v>Kennesaw State</v>
      </c>
      <c r="AL40" t="str">
        <f>IFERROR(__xludf.DUMMYFUNCTION("""COMPUTED_VALUE"""),"Kent State")</f>
        <v>Kent State</v>
      </c>
      <c r="AM40" t="str">
        <f>IFERROR(__xludf.DUMMYFUNCTION("""COMPUTED_VALUE"""),"Kentucky")</f>
        <v>Kentucky</v>
      </c>
      <c r="AN40" t="str">
        <f>IFERROR(__xludf.DUMMYFUNCTION("""COMPUTED_VALUE"""),"LSU")</f>
        <v>LSU</v>
      </c>
      <c r="AO40" t="str">
        <f>IFERROR(__xludf.DUMMYFUNCTION("""COMPUTED_VALUE"""),"Marshall")</f>
        <v>Marshall</v>
      </c>
      <c r="AP40" t="str">
        <f>IFERROR(__xludf.DUMMYFUNCTION("""COMPUTED_VALUE"""),"Maryland")</f>
        <v>Maryland</v>
      </c>
      <c r="AQ40" t="str">
        <f>IFERROR(__xludf.DUMMYFUNCTION("""COMPUTED_VALUE"""),"Miami-OH")</f>
        <v>Miami-OH</v>
      </c>
      <c r="AR40" t="str">
        <f>IFERROR(__xludf.DUMMYFUNCTION("""COMPUTED_VALUE"""),"Michigan State")</f>
        <v>Michigan State</v>
      </c>
      <c r="AS40" t="str">
        <f>IFERROR(__xludf.DUMMYFUNCTION("""COMPUTED_VALUE"""),"Middle Tennessee")</f>
        <v>Middle Tennessee</v>
      </c>
      <c r="AT40" t="str">
        <f>IFERROR(__xludf.DUMMYFUNCTION("""COMPUTED_VALUE"""),"Minnesota")</f>
        <v>Minnesota</v>
      </c>
      <c r="AU40" t="str">
        <f>IFERROR(__xludf.DUMMYFUNCTION("""COMPUTED_VALUE"""),"Mississippi State")</f>
        <v>Mississippi State</v>
      </c>
      <c r="AV40" t="str">
        <f>IFERROR(__xludf.DUMMYFUNCTION("""COMPUTED_VALUE"""),"Missouri")</f>
        <v>Missouri</v>
      </c>
      <c r="AW40" t="str">
        <f>IFERROR(__xludf.DUMMYFUNCTION("""COMPUTED_VALUE"""),"Missouri State")</f>
        <v>Missouri State</v>
      </c>
      <c r="AX40" t="str">
        <f>IFERROR(__xludf.DUMMYFUNCTION("""COMPUTED_VALUE"""),"NC State")</f>
        <v>NC State</v>
      </c>
      <c r="AY40" t="str">
        <f>IFERROR(__xludf.DUMMYFUNCTION("""COMPUTED_VALUE"""),"Nebraska")</f>
        <v>Nebraska</v>
      </c>
      <c r="AZ40" t="str">
        <f>IFERROR(__xludf.DUMMYFUNCTION("""COMPUTED_VALUE"""),"Nevada")</f>
        <v>Nevada</v>
      </c>
      <c r="BA40" t="str">
        <f>IFERROR(__xludf.DUMMYFUNCTION("""COMPUTED_VALUE"""),"New Mexico")</f>
        <v>New Mexico</v>
      </c>
      <c r="BB40" t="str">
        <f>IFERROR(__xludf.DUMMYFUNCTION("""COMPUTED_VALUE"""),"New Mexico State")</f>
        <v>New Mexico State</v>
      </c>
      <c r="BC40" t="str">
        <f>IFERROR(__xludf.DUMMYFUNCTION("""COMPUTED_VALUE"""),"North Carolina")</f>
        <v>North Carolina</v>
      </c>
      <c r="BD40" t="str">
        <f>IFERROR(__xludf.DUMMYFUNCTION("""COMPUTED_VALUE"""),"North Texas")</f>
        <v>North Texas</v>
      </c>
      <c r="BE40" t="str">
        <f>IFERROR(__xludf.DUMMYFUNCTION("""COMPUTED_VALUE"""),"Northern Illinois")</f>
        <v>Northern Illinois</v>
      </c>
      <c r="BF40" t="str">
        <f>IFERROR(__xludf.DUMMYFUNCTION("""COMPUTED_VALUE"""),"Northwestern")</f>
        <v>Northwestern</v>
      </c>
      <c r="BG40" t="str">
        <f>IFERROR(__xludf.DUMMYFUNCTION("""COMPUTED_VALUE"""),"Oklahoma")</f>
        <v>Oklahoma</v>
      </c>
      <c r="BH40" t="str">
        <f>IFERROR(__xludf.DUMMYFUNCTION("""COMPUTED_VALUE"""),"Oklahoma State")</f>
        <v>Oklahoma State</v>
      </c>
      <c r="BI40" t="str">
        <f>IFERROR(__xludf.DUMMYFUNCTION("""COMPUTED_VALUE"""),"Old Dominion")</f>
        <v>Old Dominion</v>
      </c>
      <c r="BJ40" t="str">
        <f>IFERROR(__xludf.DUMMYFUNCTION("""COMPUTED_VALUE"""),"Oregon State")</f>
        <v>Oregon State</v>
      </c>
      <c r="BK40" t="str">
        <f>IFERROR(__xludf.DUMMYFUNCTION("""COMPUTED_VALUE"""),"Pittsburgh")</f>
        <v>Pittsburgh</v>
      </c>
      <c r="BL40" t="str">
        <f>IFERROR(__xludf.DUMMYFUNCTION("""COMPUTED_VALUE"""),"Purdue")</f>
        <v>Purdue</v>
      </c>
      <c r="BM40" t="str">
        <f>IFERROR(__xludf.DUMMYFUNCTION("""COMPUTED_VALUE"""),"Rice")</f>
        <v>Rice</v>
      </c>
      <c r="BN40" t="str">
        <f>IFERROR(__xludf.DUMMYFUNCTION("""COMPUTED_VALUE"""),"Rutgers")</f>
        <v>Rutgers</v>
      </c>
      <c r="BO40" t="str">
        <f>IFERROR(__xludf.DUMMYFUNCTION("""COMPUTED_VALUE"""),"Sam Houston")</f>
        <v>Sam Houston</v>
      </c>
      <c r="BP40" t="str">
        <f>IFERROR(__xludf.DUMMYFUNCTION("""COMPUTED_VALUE"""),"San Diego State")</f>
        <v>San Diego State</v>
      </c>
      <c r="BQ40" t="str">
        <f>IFERROR(__xludf.DUMMYFUNCTION("""COMPUTED_VALUE"""),"South Carolina")</f>
        <v>South Carolina</v>
      </c>
      <c r="BR40" t="str">
        <f>IFERROR(__xludf.DUMMYFUNCTION("""COMPUTED_VALUE"""),"South Florida")</f>
        <v>South Florida</v>
      </c>
      <c r="BS40" t="str">
        <f>IFERROR(__xludf.DUMMYFUNCTION("""COMPUTED_VALUE"""),"Southern Mississippi")</f>
        <v>Southern Mississippi</v>
      </c>
      <c r="BT40" t="str">
        <f>IFERROR(__xludf.DUMMYFUNCTION("""COMPUTED_VALUE"""),"Stanford")</f>
        <v>Stanford</v>
      </c>
      <c r="BU40" t="str">
        <f>IFERROR(__xludf.DUMMYFUNCTION("""COMPUTED_VALUE"""),"Syracuse")</f>
        <v>Syracuse</v>
      </c>
      <c r="BV40" t="str">
        <f>IFERROR(__xludf.DUMMYFUNCTION("""COMPUTED_VALUE"""),"TCU")</f>
        <v>TCU</v>
      </c>
      <c r="BW40" t="str">
        <f>IFERROR(__xludf.DUMMYFUNCTION("""COMPUTED_VALUE"""),"Temple")</f>
        <v>Temple</v>
      </c>
      <c r="BX40" t="str">
        <f>IFERROR(__xludf.DUMMYFUNCTION("""COMPUTED_VALUE"""),"Tennessee")</f>
        <v>Tennessee</v>
      </c>
      <c r="BY40" t="str">
        <f>IFERROR(__xludf.DUMMYFUNCTION("""COMPUTED_VALUE"""),"Texas A&amp;M")</f>
        <v>Texas A&amp;M</v>
      </c>
      <c r="BZ40" t="str">
        <f>IFERROR(__xludf.DUMMYFUNCTION("""COMPUTED_VALUE"""),"Texas State")</f>
        <v>Texas State</v>
      </c>
      <c r="CA40" t="str">
        <f>IFERROR(__xludf.DUMMYFUNCTION("""COMPUTED_VALUE"""),"Troy")</f>
        <v>Troy</v>
      </c>
      <c r="CB40" t="str">
        <f>IFERROR(__xludf.DUMMYFUNCTION("""COMPUTED_VALUE"""),"Tulsa")</f>
        <v>Tulsa</v>
      </c>
      <c r="CC40" t="str">
        <f>IFERROR(__xludf.DUMMYFUNCTION("""COMPUTED_VALUE"""),"UAB")</f>
        <v>UAB</v>
      </c>
      <c r="CD40" t="str">
        <f>IFERROR(__xludf.DUMMYFUNCTION("""COMPUTED_VALUE"""),"UCF")</f>
        <v>UCF</v>
      </c>
      <c r="CE40" t="str">
        <f>IFERROR(__xludf.DUMMYFUNCTION("""COMPUTED_VALUE"""),"UCLA")</f>
        <v>UCLA</v>
      </c>
      <c r="CF40" t="str">
        <f>IFERROR(__xludf.DUMMYFUNCTION("""COMPUTED_VALUE"""),"UConn")</f>
        <v>UConn</v>
      </c>
      <c r="CG40" t="str">
        <f>IFERROR(__xludf.DUMMYFUNCTION("""COMPUTED_VALUE"""),"UL Monroe")</f>
        <v>UL Monroe</v>
      </c>
      <c r="CH40" t="str">
        <f>IFERROR(__xludf.DUMMYFUNCTION("""COMPUTED_VALUE"""),"UMASS")</f>
        <v>UMASS</v>
      </c>
      <c r="CI40" t="str">
        <f>IFERROR(__xludf.DUMMYFUNCTION("""COMPUTED_VALUE"""),"Utah State")</f>
        <v>Utah State</v>
      </c>
      <c r="CJ40" t="str">
        <f>IFERROR(__xludf.DUMMYFUNCTION("""COMPUTED_VALUE"""),"UTEP")</f>
        <v>UTEP</v>
      </c>
      <c r="CK40" t="str">
        <f>IFERROR(__xludf.DUMMYFUNCTION("""COMPUTED_VALUE"""),"Vanderbilt")</f>
        <v>Vanderbilt</v>
      </c>
      <c r="CL40" t="str">
        <f>IFERROR(__xludf.DUMMYFUNCTION("""COMPUTED_VALUE"""),"Virginia")</f>
        <v>Virginia</v>
      </c>
      <c r="CM40" t="str">
        <f>IFERROR(__xludf.DUMMYFUNCTION("""COMPUTED_VALUE"""),"Virginia Tech")</f>
        <v>Virginia Tech</v>
      </c>
      <c r="CN40" t="str">
        <f>IFERROR(__xludf.DUMMYFUNCTION("""COMPUTED_VALUE"""),"Wake Forest")</f>
        <v>Wake Forest</v>
      </c>
      <c r="CO40" t="str">
        <f>IFERROR(__xludf.DUMMYFUNCTION("""COMPUTED_VALUE"""),"Washington")</f>
        <v>Washington</v>
      </c>
      <c r="CP40" t="str">
        <f>IFERROR(__xludf.DUMMYFUNCTION("""COMPUTED_VALUE"""),"Washington State")</f>
        <v>Washington State</v>
      </c>
      <c r="CQ40" t="str">
        <f>IFERROR(__xludf.DUMMYFUNCTION("""COMPUTED_VALUE"""),"West Virginia")</f>
        <v>West Virginia</v>
      </c>
      <c r="CR40" t="str">
        <f>IFERROR(__xludf.DUMMYFUNCTION("""COMPUTED_VALUE"""),"Western Michigan")</f>
        <v>Western Michigan</v>
      </c>
      <c r="CS40" t="str">
        <f>IFERROR(__xludf.DUMMYFUNCTION("""COMPUTED_VALUE"""),"Wisconsin")</f>
        <v>Wisconsin</v>
      </c>
      <c r="CT40" t="str">
        <f>IFERROR(__xludf.DUMMYFUNCTION("""COMPUTED_VALUE"""),"Wyoming")</f>
        <v>Wyoming</v>
      </c>
    </row>
    <row r="41">
      <c r="A41" s="1">
        <v>40.0</v>
      </c>
      <c r="B41" t="str">
        <f>IFERROR(__xludf.DUMMYFUNCTION("split(join("","",sort(byrow('Teams-Conference'!A$2:A1000,lambda(rw,if(iserror(match(rw,DraftTracker!F$1:F41,0)),rw,""""))),1,1)),"","",1,1)"),"Air Force")</f>
        <v>Air Force</v>
      </c>
      <c r="C41" t="str">
        <f>IFERROR(__xludf.DUMMYFUNCTION("""COMPUTED_VALUE"""),"Akron")</f>
        <v>Akron</v>
      </c>
      <c r="D41" t="str">
        <f>IFERROR(__xludf.DUMMYFUNCTION("""COMPUTED_VALUE"""),"Appalachian State")</f>
        <v>Appalachian State</v>
      </c>
      <c r="E41" t="str">
        <f>IFERROR(__xludf.DUMMYFUNCTION("""COMPUTED_VALUE"""),"Arizona")</f>
        <v>Arizona</v>
      </c>
      <c r="F41" t="str">
        <f>IFERROR(__xludf.DUMMYFUNCTION("""COMPUTED_VALUE"""),"Arkansas")</f>
        <v>Arkansas</v>
      </c>
      <c r="G41" t="str">
        <f>IFERROR(__xludf.DUMMYFUNCTION("""COMPUTED_VALUE"""),"Arkansas State")</f>
        <v>Arkansas State</v>
      </c>
      <c r="H41" t="str">
        <f>IFERROR(__xludf.DUMMYFUNCTION("""COMPUTED_VALUE"""),"Auburn")</f>
        <v>Auburn</v>
      </c>
      <c r="I41" t="str">
        <f>IFERROR(__xludf.DUMMYFUNCTION("""COMPUTED_VALUE"""),"Ball State")</f>
        <v>Ball State</v>
      </c>
      <c r="J41" t="str">
        <f>IFERROR(__xludf.DUMMYFUNCTION("""COMPUTED_VALUE"""),"Baylor")</f>
        <v>Baylor</v>
      </c>
      <c r="K41" t="str">
        <f>IFERROR(__xludf.DUMMYFUNCTION("""COMPUTED_VALUE"""),"Boston College")</f>
        <v>Boston College</v>
      </c>
      <c r="L41" t="str">
        <f>IFERROR(__xludf.DUMMYFUNCTION("""COMPUTED_VALUE"""),"Bowling Green")</f>
        <v>Bowling Green</v>
      </c>
      <c r="M41" t="str">
        <f>IFERROR(__xludf.DUMMYFUNCTION("""COMPUTED_VALUE"""),"BYU")</f>
        <v>BYU</v>
      </c>
      <c r="N41" t="str">
        <f>IFERROR(__xludf.DUMMYFUNCTION("""COMPUTED_VALUE"""),"California")</f>
        <v>California</v>
      </c>
      <c r="O41" t="str">
        <f>IFERROR(__xludf.DUMMYFUNCTION("""COMPUTED_VALUE"""),"Central Michigan")</f>
        <v>Central Michigan</v>
      </c>
      <c r="P41" t="str">
        <f>IFERROR(__xludf.DUMMYFUNCTION("""COMPUTED_VALUE"""),"Charlotte")</f>
        <v>Charlotte</v>
      </c>
      <c r="Q41" t="str">
        <f>IFERROR(__xludf.DUMMYFUNCTION("""COMPUTED_VALUE"""),"Cincinnati")</f>
        <v>Cincinnati</v>
      </c>
      <c r="R41" t="str">
        <f>IFERROR(__xludf.DUMMYFUNCTION("""COMPUTED_VALUE"""),"Coastal Carolina")</f>
        <v>Coastal Carolina</v>
      </c>
      <c r="S41" t="str">
        <f>IFERROR(__xludf.DUMMYFUNCTION("""COMPUTED_VALUE"""),"Colorado")</f>
        <v>Colorado</v>
      </c>
      <c r="T41" t="str">
        <f>IFERROR(__xludf.DUMMYFUNCTION("""COMPUTED_VALUE"""),"Colorado State")</f>
        <v>Colorado State</v>
      </c>
      <c r="U41" t="str">
        <f>IFERROR(__xludf.DUMMYFUNCTION("""COMPUTED_VALUE"""),"Delaware")</f>
        <v>Delaware</v>
      </c>
      <c r="V41" t="str">
        <f>IFERROR(__xludf.DUMMYFUNCTION("""COMPUTED_VALUE"""),"Duke")</f>
        <v>Duke</v>
      </c>
      <c r="W41" t="str">
        <f>IFERROR(__xludf.DUMMYFUNCTION("""COMPUTED_VALUE"""),"East Carolina")</f>
        <v>East Carolina</v>
      </c>
      <c r="X41" t="str">
        <f>IFERROR(__xludf.DUMMYFUNCTION("""COMPUTED_VALUE"""),"EMU")</f>
        <v>EMU</v>
      </c>
      <c r="Y41" t="str">
        <f>IFERROR(__xludf.DUMMYFUNCTION("""COMPUTED_VALUE"""),"Florida")</f>
        <v>Florida</v>
      </c>
      <c r="Z41" t="str">
        <f>IFERROR(__xludf.DUMMYFUNCTION("""COMPUTED_VALUE"""),"Florida Atlantic")</f>
        <v>Florida Atlantic</v>
      </c>
      <c r="AA41" t="str">
        <f>IFERROR(__xludf.DUMMYFUNCTION("""COMPUTED_VALUE"""),"Florida Intl")</f>
        <v>Florida Intl</v>
      </c>
      <c r="AB41" t="str">
        <f>IFERROR(__xludf.DUMMYFUNCTION("""COMPUTED_VALUE"""),"Florida State")</f>
        <v>Florida State</v>
      </c>
      <c r="AC41" t="str">
        <f>IFERROR(__xludf.DUMMYFUNCTION("""COMPUTED_VALUE"""),"Georgia State")</f>
        <v>Georgia State</v>
      </c>
      <c r="AD41" t="str">
        <f>IFERROR(__xludf.DUMMYFUNCTION("""COMPUTED_VALUE"""),"Georgia Tech")</f>
        <v>Georgia Tech</v>
      </c>
      <c r="AE41" t="str">
        <f>IFERROR(__xludf.DUMMYFUNCTION("""COMPUTED_VALUE"""),"Hawaii")</f>
        <v>Hawaii</v>
      </c>
      <c r="AF41" t="str">
        <f>IFERROR(__xludf.DUMMYFUNCTION("""COMPUTED_VALUE"""),"Houston")</f>
        <v>Houston</v>
      </c>
      <c r="AG41" t="str">
        <f>IFERROR(__xludf.DUMMYFUNCTION("""COMPUTED_VALUE"""),"Iowa")</f>
        <v>Iowa</v>
      </c>
      <c r="AH41" t="str">
        <f>IFERROR(__xludf.DUMMYFUNCTION("""COMPUTED_VALUE"""),"Iowa State")</f>
        <v>Iowa State</v>
      </c>
      <c r="AI41" t="str">
        <f>IFERROR(__xludf.DUMMYFUNCTION("""COMPUTED_VALUE"""),"Jacksonville State")</f>
        <v>Jacksonville State</v>
      </c>
      <c r="AJ41" t="str">
        <f>IFERROR(__xludf.DUMMYFUNCTION("""COMPUTED_VALUE"""),"Kansas")</f>
        <v>Kansas</v>
      </c>
      <c r="AK41" t="str">
        <f>IFERROR(__xludf.DUMMYFUNCTION("""COMPUTED_VALUE"""),"Kennesaw State")</f>
        <v>Kennesaw State</v>
      </c>
      <c r="AL41" t="str">
        <f>IFERROR(__xludf.DUMMYFUNCTION("""COMPUTED_VALUE"""),"Kent State")</f>
        <v>Kent State</v>
      </c>
      <c r="AM41" t="str">
        <f>IFERROR(__xludf.DUMMYFUNCTION("""COMPUTED_VALUE"""),"Kentucky")</f>
        <v>Kentucky</v>
      </c>
      <c r="AN41" t="str">
        <f>IFERROR(__xludf.DUMMYFUNCTION("""COMPUTED_VALUE"""),"LSU")</f>
        <v>LSU</v>
      </c>
      <c r="AO41" t="str">
        <f>IFERROR(__xludf.DUMMYFUNCTION("""COMPUTED_VALUE"""),"Marshall")</f>
        <v>Marshall</v>
      </c>
      <c r="AP41" t="str">
        <f>IFERROR(__xludf.DUMMYFUNCTION("""COMPUTED_VALUE"""),"Maryland")</f>
        <v>Maryland</v>
      </c>
      <c r="AQ41" t="str">
        <f>IFERROR(__xludf.DUMMYFUNCTION("""COMPUTED_VALUE"""),"Miami-OH")</f>
        <v>Miami-OH</v>
      </c>
      <c r="AR41" t="str">
        <f>IFERROR(__xludf.DUMMYFUNCTION("""COMPUTED_VALUE"""),"Michigan State")</f>
        <v>Michigan State</v>
      </c>
      <c r="AS41" t="str">
        <f>IFERROR(__xludf.DUMMYFUNCTION("""COMPUTED_VALUE"""),"Middle Tennessee")</f>
        <v>Middle Tennessee</v>
      </c>
      <c r="AT41" t="str">
        <f>IFERROR(__xludf.DUMMYFUNCTION("""COMPUTED_VALUE"""),"Minnesota")</f>
        <v>Minnesota</v>
      </c>
      <c r="AU41" t="str">
        <f>IFERROR(__xludf.DUMMYFUNCTION("""COMPUTED_VALUE"""),"Mississippi State")</f>
        <v>Mississippi State</v>
      </c>
      <c r="AV41" t="str">
        <f>IFERROR(__xludf.DUMMYFUNCTION("""COMPUTED_VALUE"""),"Missouri")</f>
        <v>Missouri</v>
      </c>
      <c r="AW41" t="str">
        <f>IFERROR(__xludf.DUMMYFUNCTION("""COMPUTED_VALUE"""),"Missouri State")</f>
        <v>Missouri State</v>
      </c>
      <c r="AX41" t="str">
        <f>IFERROR(__xludf.DUMMYFUNCTION("""COMPUTED_VALUE"""),"NC State")</f>
        <v>NC State</v>
      </c>
      <c r="AY41" t="str">
        <f>IFERROR(__xludf.DUMMYFUNCTION("""COMPUTED_VALUE"""),"Nebraska")</f>
        <v>Nebraska</v>
      </c>
      <c r="AZ41" t="str">
        <f>IFERROR(__xludf.DUMMYFUNCTION("""COMPUTED_VALUE"""),"Nevada")</f>
        <v>Nevada</v>
      </c>
      <c r="BA41" t="str">
        <f>IFERROR(__xludf.DUMMYFUNCTION("""COMPUTED_VALUE"""),"New Mexico")</f>
        <v>New Mexico</v>
      </c>
      <c r="BB41" t="str">
        <f>IFERROR(__xludf.DUMMYFUNCTION("""COMPUTED_VALUE"""),"New Mexico State")</f>
        <v>New Mexico State</v>
      </c>
      <c r="BC41" t="str">
        <f>IFERROR(__xludf.DUMMYFUNCTION("""COMPUTED_VALUE"""),"North Carolina")</f>
        <v>North Carolina</v>
      </c>
      <c r="BD41" t="str">
        <f>IFERROR(__xludf.DUMMYFUNCTION("""COMPUTED_VALUE"""),"Northern Illinois")</f>
        <v>Northern Illinois</v>
      </c>
      <c r="BE41" t="str">
        <f>IFERROR(__xludf.DUMMYFUNCTION("""COMPUTED_VALUE"""),"Northwestern")</f>
        <v>Northwestern</v>
      </c>
      <c r="BF41" t="str">
        <f>IFERROR(__xludf.DUMMYFUNCTION("""COMPUTED_VALUE"""),"Oklahoma")</f>
        <v>Oklahoma</v>
      </c>
      <c r="BG41" t="str">
        <f>IFERROR(__xludf.DUMMYFUNCTION("""COMPUTED_VALUE"""),"Oklahoma State")</f>
        <v>Oklahoma State</v>
      </c>
      <c r="BH41" t="str">
        <f>IFERROR(__xludf.DUMMYFUNCTION("""COMPUTED_VALUE"""),"Old Dominion")</f>
        <v>Old Dominion</v>
      </c>
      <c r="BI41" t="str">
        <f>IFERROR(__xludf.DUMMYFUNCTION("""COMPUTED_VALUE"""),"Oregon State")</f>
        <v>Oregon State</v>
      </c>
      <c r="BJ41" t="str">
        <f>IFERROR(__xludf.DUMMYFUNCTION("""COMPUTED_VALUE"""),"Pittsburgh")</f>
        <v>Pittsburgh</v>
      </c>
      <c r="BK41" t="str">
        <f>IFERROR(__xludf.DUMMYFUNCTION("""COMPUTED_VALUE"""),"Purdue")</f>
        <v>Purdue</v>
      </c>
      <c r="BL41" t="str">
        <f>IFERROR(__xludf.DUMMYFUNCTION("""COMPUTED_VALUE"""),"Rice")</f>
        <v>Rice</v>
      </c>
      <c r="BM41" t="str">
        <f>IFERROR(__xludf.DUMMYFUNCTION("""COMPUTED_VALUE"""),"Rutgers")</f>
        <v>Rutgers</v>
      </c>
      <c r="BN41" t="str">
        <f>IFERROR(__xludf.DUMMYFUNCTION("""COMPUTED_VALUE"""),"Sam Houston")</f>
        <v>Sam Houston</v>
      </c>
      <c r="BO41" t="str">
        <f>IFERROR(__xludf.DUMMYFUNCTION("""COMPUTED_VALUE"""),"San Diego State")</f>
        <v>San Diego State</v>
      </c>
      <c r="BP41" t="str">
        <f>IFERROR(__xludf.DUMMYFUNCTION("""COMPUTED_VALUE"""),"South Carolina")</f>
        <v>South Carolina</v>
      </c>
      <c r="BQ41" t="str">
        <f>IFERROR(__xludf.DUMMYFUNCTION("""COMPUTED_VALUE"""),"South Florida")</f>
        <v>South Florida</v>
      </c>
      <c r="BR41" t="str">
        <f>IFERROR(__xludf.DUMMYFUNCTION("""COMPUTED_VALUE"""),"Southern Mississippi")</f>
        <v>Southern Mississippi</v>
      </c>
      <c r="BS41" t="str">
        <f>IFERROR(__xludf.DUMMYFUNCTION("""COMPUTED_VALUE"""),"Stanford")</f>
        <v>Stanford</v>
      </c>
      <c r="BT41" t="str">
        <f>IFERROR(__xludf.DUMMYFUNCTION("""COMPUTED_VALUE"""),"Syracuse")</f>
        <v>Syracuse</v>
      </c>
      <c r="BU41" t="str">
        <f>IFERROR(__xludf.DUMMYFUNCTION("""COMPUTED_VALUE"""),"TCU")</f>
        <v>TCU</v>
      </c>
      <c r="BV41" t="str">
        <f>IFERROR(__xludf.DUMMYFUNCTION("""COMPUTED_VALUE"""),"Temple")</f>
        <v>Temple</v>
      </c>
      <c r="BW41" t="str">
        <f>IFERROR(__xludf.DUMMYFUNCTION("""COMPUTED_VALUE"""),"Tennessee")</f>
        <v>Tennessee</v>
      </c>
      <c r="BX41" t="str">
        <f>IFERROR(__xludf.DUMMYFUNCTION("""COMPUTED_VALUE"""),"Texas A&amp;M")</f>
        <v>Texas A&amp;M</v>
      </c>
      <c r="BY41" t="str">
        <f>IFERROR(__xludf.DUMMYFUNCTION("""COMPUTED_VALUE"""),"Texas State")</f>
        <v>Texas State</v>
      </c>
      <c r="BZ41" t="str">
        <f>IFERROR(__xludf.DUMMYFUNCTION("""COMPUTED_VALUE"""),"Troy")</f>
        <v>Troy</v>
      </c>
      <c r="CA41" t="str">
        <f>IFERROR(__xludf.DUMMYFUNCTION("""COMPUTED_VALUE"""),"Tulsa")</f>
        <v>Tulsa</v>
      </c>
      <c r="CB41" t="str">
        <f>IFERROR(__xludf.DUMMYFUNCTION("""COMPUTED_VALUE"""),"UAB")</f>
        <v>UAB</v>
      </c>
      <c r="CC41" t="str">
        <f>IFERROR(__xludf.DUMMYFUNCTION("""COMPUTED_VALUE"""),"UCF")</f>
        <v>UCF</v>
      </c>
      <c r="CD41" t="str">
        <f>IFERROR(__xludf.DUMMYFUNCTION("""COMPUTED_VALUE"""),"UCLA")</f>
        <v>UCLA</v>
      </c>
      <c r="CE41" t="str">
        <f>IFERROR(__xludf.DUMMYFUNCTION("""COMPUTED_VALUE"""),"UConn")</f>
        <v>UConn</v>
      </c>
      <c r="CF41" t="str">
        <f>IFERROR(__xludf.DUMMYFUNCTION("""COMPUTED_VALUE"""),"UL Monroe")</f>
        <v>UL Monroe</v>
      </c>
      <c r="CG41" t="str">
        <f>IFERROR(__xludf.DUMMYFUNCTION("""COMPUTED_VALUE"""),"UMASS")</f>
        <v>UMASS</v>
      </c>
      <c r="CH41" t="str">
        <f>IFERROR(__xludf.DUMMYFUNCTION("""COMPUTED_VALUE"""),"Utah State")</f>
        <v>Utah State</v>
      </c>
      <c r="CI41" t="str">
        <f>IFERROR(__xludf.DUMMYFUNCTION("""COMPUTED_VALUE"""),"UTEP")</f>
        <v>UTEP</v>
      </c>
      <c r="CJ41" t="str">
        <f>IFERROR(__xludf.DUMMYFUNCTION("""COMPUTED_VALUE"""),"Vanderbilt")</f>
        <v>Vanderbilt</v>
      </c>
      <c r="CK41" t="str">
        <f>IFERROR(__xludf.DUMMYFUNCTION("""COMPUTED_VALUE"""),"Virginia")</f>
        <v>Virginia</v>
      </c>
      <c r="CL41" t="str">
        <f>IFERROR(__xludf.DUMMYFUNCTION("""COMPUTED_VALUE"""),"Virginia Tech")</f>
        <v>Virginia Tech</v>
      </c>
      <c r="CM41" t="str">
        <f>IFERROR(__xludf.DUMMYFUNCTION("""COMPUTED_VALUE"""),"Wake Forest")</f>
        <v>Wake Forest</v>
      </c>
      <c r="CN41" t="str">
        <f>IFERROR(__xludf.DUMMYFUNCTION("""COMPUTED_VALUE"""),"Washington")</f>
        <v>Washington</v>
      </c>
      <c r="CO41" t="str">
        <f>IFERROR(__xludf.DUMMYFUNCTION("""COMPUTED_VALUE"""),"Washington State")</f>
        <v>Washington State</v>
      </c>
      <c r="CP41" t="str">
        <f>IFERROR(__xludf.DUMMYFUNCTION("""COMPUTED_VALUE"""),"West Virginia")</f>
        <v>West Virginia</v>
      </c>
      <c r="CQ41" t="str">
        <f>IFERROR(__xludf.DUMMYFUNCTION("""COMPUTED_VALUE"""),"Western Michigan")</f>
        <v>Western Michigan</v>
      </c>
      <c r="CR41" t="str">
        <f>IFERROR(__xludf.DUMMYFUNCTION("""COMPUTED_VALUE"""),"Wisconsin")</f>
        <v>Wisconsin</v>
      </c>
      <c r="CS41" t="str">
        <f>IFERROR(__xludf.DUMMYFUNCTION("""COMPUTED_VALUE"""),"Wyoming")</f>
        <v>Wyoming</v>
      </c>
    </row>
    <row r="42">
      <c r="A42" s="1">
        <v>41.0</v>
      </c>
      <c r="B42" t="str">
        <f>IFERROR(__xludf.DUMMYFUNCTION("split(join("","",sort(byrow('Teams-Conference'!A$2:A1000,lambda(rw,if(iserror(match(rw,DraftTracker!F$1:F42,0)),rw,""""))),1,1)),"","",1,1)"),"Air Force")</f>
        <v>Air Force</v>
      </c>
      <c r="C42" t="str">
        <f>IFERROR(__xludf.DUMMYFUNCTION("""COMPUTED_VALUE"""),"Akron")</f>
        <v>Akron</v>
      </c>
      <c r="D42" t="str">
        <f>IFERROR(__xludf.DUMMYFUNCTION("""COMPUTED_VALUE"""),"Appalachian State")</f>
        <v>Appalachian State</v>
      </c>
      <c r="E42" t="str">
        <f>IFERROR(__xludf.DUMMYFUNCTION("""COMPUTED_VALUE"""),"Arizona")</f>
        <v>Arizona</v>
      </c>
      <c r="F42" t="str">
        <f>IFERROR(__xludf.DUMMYFUNCTION("""COMPUTED_VALUE"""),"Arkansas")</f>
        <v>Arkansas</v>
      </c>
      <c r="G42" t="str">
        <f>IFERROR(__xludf.DUMMYFUNCTION("""COMPUTED_VALUE"""),"Arkansas State")</f>
        <v>Arkansas State</v>
      </c>
      <c r="H42" t="str">
        <f>IFERROR(__xludf.DUMMYFUNCTION("""COMPUTED_VALUE"""),"Auburn")</f>
        <v>Auburn</v>
      </c>
      <c r="I42" t="str">
        <f>IFERROR(__xludf.DUMMYFUNCTION("""COMPUTED_VALUE"""),"Ball State")</f>
        <v>Ball State</v>
      </c>
      <c r="J42" t="str">
        <f>IFERROR(__xludf.DUMMYFUNCTION("""COMPUTED_VALUE"""),"Baylor")</f>
        <v>Baylor</v>
      </c>
      <c r="K42" t="str">
        <f>IFERROR(__xludf.DUMMYFUNCTION("""COMPUTED_VALUE"""),"Boston College")</f>
        <v>Boston College</v>
      </c>
      <c r="L42" t="str">
        <f>IFERROR(__xludf.DUMMYFUNCTION("""COMPUTED_VALUE"""),"Bowling Green")</f>
        <v>Bowling Green</v>
      </c>
      <c r="M42" t="str">
        <f>IFERROR(__xludf.DUMMYFUNCTION("""COMPUTED_VALUE"""),"BYU")</f>
        <v>BYU</v>
      </c>
      <c r="N42" t="str">
        <f>IFERROR(__xludf.DUMMYFUNCTION("""COMPUTED_VALUE"""),"California")</f>
        <v>California</v>
      </c>
      <c r="O42" t="str">
        <f>IFERROR(__xludf.DUMMYFUNCTION("""COMPUTED_VALUE"""),"Central Michigan")</f>
        <v>Central Michigan</v>
      </c>
      <c r="P42" t="str">
        <f>IFERROR(__xludf.DUMMYFUNCTION("""COMPUTED_VALUE"""),"Charlotte")</f>
        <v>Charlotte</v>
      </c>
      <c r="Q42" t="str">
        <f>IFERROR(__xludf.DUMMYFUNCTION("""COMPUTED_VALUE"""),"Cincinnati")</f>
        <v>Cincinnati</v>
      </c>
      <c r="R42" t="str">
        <f>IFERROR(__xludf.DUMMYFUNCTION("""COMPUTED_VALUE"""),"Coastal Carolina")</f>
        <v>Coastal Carolina</v>
      </c>
      <c r="S42" t="str">
        <f>IFERROR(__xludf.DUMMYFUNCTION("""COMPUTED_VALUE"""),"Colorado")</f>
        <v>Colorado</v>
      </c>
      <c r="T42" t="str">
        <f>IFERROR(__xludf.DUMMYFUNCTION("""COMPUTED_VALUE"""),"Colorado State")</f>
        <v>Colorado State</v>
      </c>
      <c r="U42" t="str">
        <f>IFERROR(__xludf.DUMMYFUNCTION("""COMPUTED_VALUE"""),"Delaware")</f>
        <v>Delaware</v>
      </c>
      <c r="V42" t="str">
        <f>IFERROR(__xludf.DUMMYFUNCTION("""COMPUTED_VALUE"""),"Duke")</f>
        <v>Duke</v>
      </c>
      <c r="W42" t="str">
        <f>IFERROR(__xludf.DUMMYFUNCTION("""COMPUTED_VALUE"""),"East Carolina")</f>
        <v>East Carolina</v>
      </c>
      <c r="X42" t="str">
        <f>IFERROR(__xludf.DUMMYFUNCTION("""COMPUTED_VALUE"""),"EMU")</f>
        <v>EMU</v>
      </c>
      <c r="Y42" t="str">
        <f>IFERROR(__xludf.DUMMYFUNCTION("""COMPUTED_VALUE"""),"Florida")</f>
        <v>Florida</v>
      </c>
      <c r="Z42" t="str">
        <f>IFERROR(__xludf.DUMMYFUNCTION("""COMPUTED_VALUE"""),"Florida Atlantic")</f>
        <v>Florida Atlantic</v>
      </c>
      <c r="AA42" t="str">
        <f>IFERROR(__xludf.DUMMYFUNCTION("""COMPUTED_VALUE"""),"Florida Intl")</f>
        <v>Florida Intl</v>
      </c>
      <c r="AB42" t="str">
        <f>IFERROR(__xludf.DUMMYFUNCTION("""COMPUTED_VALUE"""),"Florida State")</f>
        <v>Florida State</v>
      </c>
      <c r="AC42" t="str">
        <f>IFERROR(__xludf.DUMMYFUNCTION("""COMPUTED_VALUE"""),"Georgia State")</f>
        <v>Georgia State</v>
      </c>
      <c r="AD42" t="str">
        <f>IFERROR(__xludf.DUMMYFUNCTION("""COMPUTED_VALUE"""),"Georgia Tech")</f>
        <v>Georgia Tech</v>
      </c>
      <c r="AE42" t="str">
        <f>IFERROR(__xludf.DUMMYFUNCTION("""COMPUTED_VALUE"""),"Hawaii")</f>
        <v>Hawaii</v>
      </c>
      <c r="AF42" t="str">
        <f>IFERROR(__xludf.DUMMYFUNCTION("""COMPUTED_VALUE"""),"Houston")</f>
        <v>Houston</v>
      </c>
      <c r="AG42" t="str">
        <f>IFERROR(__xludf.DUMMYFUNCTION("""COMPUTED_VALUE"""),"Iowa")</f>
        <v>Iowa</v>
      </c>
      <c r="AH42" t="str">
        <f>IFERROR(__xludf.DUMMYFUNCTION("""COMPUTED_VALUE"""),"Iowa State")</f>
        <v>Iowa State</v>
      </c>
      <c r="AI42" t="str">
        <f>IFERROR(__xludf.DUMMYFUNCTION("""COMPUTED_VALUE"""),"Jacksonville State")</f>
        <v>Jacksonville State</v>
      </c>
      <c r="AJ42" t="str">
        <f>IFERROR(__xludf.DUMMYFUNCTION("""COMPUTED_VALUE"""),"Kansas")</f>
        <v>Kansas</v>
      </c>
      <c r="AK42" t="str">
        <f>IFERROR(__xludf.DUMMYFUNCTION("""COMPUTED_VALUE"""),"Kennesaw State")</f>
        <v>Kennesaw State</v>
      </c>
      <c r="AL42" t="str">
        <f>IFERROR(__xludf.DUMMYFUNCTION("""COMPUTED_VALUE"""),"Kent State")</f>
        <v>Kent State</v>
      </c>
      <c r="AM42" t="str">
        <f>IFERROR(__xludf.DUMMYFUNCTION("""COMPUTED_VALUE"""),"Kentucky")</f>
        <v>Kentucky</v>
      </c>
      <c r="AN42" t="str">
        <f>IFERROR(__xludf.DUMMYFUNCTION("""COMPUTED_VALUE"""),"LSU")</f>
        <v>LSU</v>
      </c>
      <c r="AO42" t="str">
        <f>IFERROR(__xludf.DUMMYFUNCTION("""COMPUTED_VALUE"""),"Marshall")</f>
        <v>Marshall</v>
      </c>
      <c r="AP42" t="str">
        <f>IFERROR(__xludf.DUMMYFUNCTION("""COMPUTED_VALUE"""),"Maryland")</f>
        <v>Maryland</v>
      </c>
      <c r="AQ42" t="str">
        <f>IFERROR(__xludf.DUMMYFUNCTION("""COMPUTED_VALUE"""),"Michigan State")</f>
        <v>Michigan State</v>
      </c>
      <c r="AR42" t="str">
        <f>IFERROR(__xludf.DUMMYFUNCTION("""COMPUTED_VALUE"""),"Middle Tennessee")</f>
        <v>Middle Tennessee</v>
      </c>
      <c r="AS42" t="str">
        <f>IFERROR(__xludf.DUMMYFUNCTION("""COMPUTED_VALUE"""),"Minnesota")</f>
        <v>Minnesota</v>
      </c>
      <c r="AT42" t="str">
        <f>IFERROR(__xludf.DUMMYFUNCTION("""COMPUTED_VALUE"""),"Mississippi State")</f>
        <v>Mississippi State</v>
      </c>
      <c r="AU42" t="str">
        <f>IFERROR(__xludf.DUMMYFUNCTION("""COMPUTED_VALUE"""),"Missouri")</f>
        <v>Missouri</v>
      </c>
      <c r="AV42" t="str">
        <f>IFERROR(__xludf.DUMMYFUNCTION("""COMPUTED_VALUE"""),"Missouri State")</f>
        <v>Missouri State</v>
      </c>
      <c r="AW42" t="str">
        <f>IFERROR(__xludf.DUMMYFUNCTION("""COMPUTED_VALUE"""),"NC State")</f>
        <v>NC State</v>
      </c>
      <c r="AX42" t="str">
        <f>IFERROR(__xludf.DUMMYFUNCTION("""COMPUTED_VALUE"""),"Nebraska")</f>
        <v>Nebraska</v>
      </c>
      <c r="AY42" t="str">
        <f>IFERROR(__xludf.DUMMYFUNCTION("""COMPUTED_VALUE"""),"Nevada")</f>
        <v>Nevada</v>
      </c>
      <c r="AZ42" t="str">
        <f>IFERROR(__xludf.DUMMYFUNCTION("""COMPUTED_VALUE"""),"New Mexico")</f>
        <v>New Mexico</v>
      </c>
      <c r="BA42" t="str">
        <f>IFERROR(__xludf.DUMMYFUNCTION("""COMPUTED_VALUE"""),"New Mexico State")</f>
        <v>New Mexico State</v>
      </c>
      <c r="BB42" t="str">
        <f>IFERROR(__xludf.DUMMYFUNCTION("""COMPUTED_VALUE"""),"North Carolina")</f>
        <v>North Carolina</v>
      </c>
      <c r="BC42" t="str">
        <f>IFERROR(__xludf.DUMMYFUNCTION("""COMPUTED_VALUE"""),"Northern Illinois")</f>
        <v>Northern Illinois</v>
      </c>
      <c r="BD42" t="str">
        <f>IFERROR(__xludf.DUMMYFUNCTION("""COMPUTED_VALUE"""),"Northwestern")</f>
        <v>Northwestern</v>
      </c>
      <c r="BE42" t="str">
        <f>IFERROR(__xludf.DUMMYFUNCTION("""COMPUTED_VALUE"""),"Oklahoma")</f>
        <v>Oklahoma</v>
      </c>
      <c r="BF42" t="str">
        <f>IFERROR(__xludf.DUMMYFUNCTION("""COMPUTED_VALUE"""),"Oklahoma State")</f>
        <v>Oklahoma State</v>
      </c>
      <c r="BG42" t="str">
        <f>IFERROR(__xludf.DUMMYFUNCTION("""COMPUTED_VALUE"""),"Old Dominion")</f>
        <v>Old Dominion</v>
      </c>
      <c r="BH42" t="str">
        <f>IFERROR(__xludf.DUMMYFUNCTION("""COMPUTED_VALUE"""),"Oregon State")</f>
        <v>Oregon State</v>
      </c>
      <c r="BI42" t="str">
        <f>IFERROR(__xludf.DUMMYFUNCTION("""COMPUTED_VALUE"""),"Pittsburgh")</f>
        <v>Pittsburgh</v>
      </c>
      <c r="BJ42" t="str">
        <f>IFERROR(__xludf.DUMMYFUNCTION("""COMPUTED_VALUE"""),"Purdue")</f>
        <v>Purdue</v>
      </c>
      <c r="BK42" t="str">
        <f>IFERROR(__xludf.DUMMYFUNCTION("""COMPUTED_VALUE"""),"Rice")</f>
        <v>Rice</v>
      </c>
      <c r="BL42" t="str">
        <f>IFERROR(__xludf.DUMMYFUNCTION("""COMPUTED_VALUE"""),"Rutgers")</f>
        <v>Rutgers</v>
      </c>
      <c r="BM42" t="str">
        <f>IFERROR(__xludf.DUMMYFUNCTION("""COMPUTED_VALUE"""),"Sam Houston")</f>
        <v>Sam Houston</v>
      </c>
      <c r="BN42" t="str">
        <f>IFERROR(__xludf.DUMMYFUNCTION("""COMPUTED_VALUE"""),"San Diego State")</f>
        <v>San Diego State</v>
      </c>
      <c r="BO42" t="str">
        <f>IFERROR(__xludf.DUMMYFUNCTION("""COMPUTED_VALUE"""),"South Carolina")</f>
        <v>South Carolina</v>
      </c>
      <c r="BP42" t="str">
        <f>IFERROR(__xludf.DUMMYFUNCTION("""COMPUTED_VALUE"""),"South Florida")</f>
        <v>South Florida</v>
      </c>
      <c r="BQ42" t="str">
        <f>IFERROR(__xludf.DUMMYFUNCTION("""COMPUTED_VALUE"""),"Southern Mississippi")</f>
        <v>Southern Mississippi</v>
      </c>
      <c r="BR42" t="str">
        <f>IFERROR(__xludf.DUMMYFUNCTION("""COMPUTED_VALUE"""),"Stanford")</f>
        <v>Stanford</v>
      </c>
      <c r="BS42" t="str">
        <f>IFERROR(__xludf.DUMMYFUNCTION("""COMPUTED_VALUE"""),"Syracuse")</f>
        <v>Syracuse</v>
      </c>
      <c r="BT42" t="str">
        <f>IFERROR(__xludf.DUMMYFUNCTION("""COMPUTED_VALUE"""),"TCU")</f>
        <v>TCU</v>
      </c>
      <c r="BU42" t="str">
        <f>IFERROR(__xludf.DUMMYFUNCTION("""COMPUTED_VALUE"""),"Temple")</f>
        <v>Temple</v>
      </c>
      <c r="BV42" t="str">
        <f>IFERROR(__xludf.DUMMYFUNCTION("""COMPUTED_VALUE"""),"Tennessee")</f>
        <v>Tennessee</v>
      </c>
      <c r="BW42" t="str">
        <f>IFERROR(__xludf.DUMMYFUNCTION("""COMPUTED_VALUE"""),"Texas A&amp;M")</f>
        <v>Texas A&amp;M</v>
      </c>
      <c r="BX42" t="str">
        <f>IFERROR(__xludf.DUMMYFUNCTION("""COMPUTED_VALUE"""),"Texas State")</f>
        <v>Texas State</v>
      </c>
      <c r="BY42" t="str">
        <f>IFERROR(__xludf.DUMMYFUNCTION("""COMPUTED_VALUE"""),"Troy")</f>
        <v>Troy</v>
      </c>
      <c r="BZ42" t="str">
        <f>IFERROR(__xludf.DUMMYFUNCTION("""COMPUTED_VALUE"""),"Tulsa")</f>
        <v>Tulsa</v>
      </c>
      <c r="CA42" t="str">
        <f>IFERROR(__xludf.DUMMYFUNCTION("""COMPUTED_VALUE"""),"UAB")</f>
        <v>UAB</v>
      </c>
      <c r="CB42" t="str">
        <f>IFERROR(__xludf.DUMMYFUNCTION("""COMPUTED_VALUE"""),"UCF")</f>
        <v>UCF</v>
      </c>
      <c r="CC42" t="str">
        <f>IFERROR(__xludf.DUMMYFUNCTION("""COMPUTED_VALUE"""),"UCLA")</f>
        <v>UCLA</v>
      </c>
      <c r="CD42" t="str">
        <f>IFERROR(__xludf.DUMMYFUNCTION("""COMPUTED_VALUE"""),"UConn")</f>
        <v>UConn</v>
      </c>
      <c r="CE42" t="str">
        <f>IFERROR(__xludf.DUMMYFUNCTION("""COMPUTED_VALUE"""),"UL Monroe")</f>
        <v>UL Monroe</v>
      </c>
      <c r="CF42" t="str">
        <f>IFERROR(__xludf.DUMMYFUNCTION("""COMPUTED_VALUE"""),"UMASS")</f>
        <v>UMASS</v>
      </c>
      <c r="CG42" t="str">
        <f>IFERROR(__xludf.DUMMYFUNCTION("""COMPUTED_VALUE"""),"Utah State")</f>
        <v>Utah State</v>
      </c>
      <c r="CH42" t="str">
        <f>IFERROR(__xludf.DUMMYFUNCTION("""COMPUTED_VALUE"""),"UTEP")</f>
        <v>UTEP</v>
      </c>
      <c r="CI42" t="str">
        <f>IFERROR(__xludf.DUMMYFUNCTION("""COMPUTED_VALUE"""),"Vanderbilt")</f>
        <v>Vanderbilt</v>
      </c>
      <c r="CJ42" t="str">
        <f>IFERROR(__xludf.DUMMYFUNCTION("""COMPUTED_VALUE"""),"Virginia")</f>
        <v>Virginia</v>
      </c>
      <c r="CK42" t="str">
        <f>IFERROR(__xludf.DUMMYFUNCTION("""COMPUTED_VALUE"""),"Virginia Tech")</f>
        <v>Virginia Tech</v>
      </c>
      <c r="CL42" t="str">
        <f>IFERROR(__xludf.DUMMYFUNCTION("""COMPUTED_VALUE"""),"Wake Forest")</f>
        <v>Wake Forest</v>
      </c>
      <c r="CM42" t="str">
        <f>IFERROR(__xludf.DUMMYFUNCTION("""COMPUTED_VALUE"""),"Washington")</f>
        <v>Washington</v>
      </c>
      <c r="CN42" t="str">
        <f>IFERROR(__xludf.DUMMYFUNCTION("""COMPUTED_VALUE"""),"Washington State")</f>
        <v>Washington State</v>
      </c>
      <c r="CO42" t="str">
        <f>IFERROR(__xludf.DUMMYFUNCTION("""COMPUTED_VALUE"""),"West Virginia")</f>
        <v>West Virginia</v>
      </c>
      <c r="CP42" t="str">
        <f>IFERROR(__xludf.DUMMYFUNCTION("""COMPUTED_VALUE"""),"Western Michigan")</f>
        <v>Western Michigan</v>
      </c>
      <c r="CQ42" t="str">
        <f>IFERROR(__xludf.DUMMYFUNCTION("""COMPUTED_VALUE"""),"Wisconsin")</f>
        <v>Wisconsin</v>
      </c>
      <c r="CR42" t="str">
        <f>IFERROR(__xludf.DUMMYFUNCTION("""COMPUTED_VALUE"""),"Wyoming")</f>
        <v>Wyoming</v>
      </c>
    </row>
    <row r="43">
      <c r="A43" s="1">
        <v>42.0</v>
      </c>
      <c r="B43" t="str">
        <f>IFERROR(__xludf.DUMMYFUNCTION("split(join("","",sort(byrow('Teams-Conference'!A$2:A1000,lambda(rw,if(iserror(match(rw,DraftTracker!F$1:F43,0)),rw,""""))),1,1)),"","",1,1)"),"Air Force")</f>
        <v>Air Force</v>
      </c>
      <c r="C43" t="str">
        <f>IFERROR(__xludf.DUMMYFUNCTION("""COMPUTED_VALUE"""),"Akron")</f>
        <v>Akron</v>
      </c>
      <c r="D43" t="str">
        <f>IFERROR(__xludf.DUMMYFUNCTION("""COMPUTED_VALUE"""),"Appalachian State")</f>
        <v>Appalachian State</v>
      </c>
      <c r="E43" t="str">
        <f>IFERROR(__xludf.DUMMYFUNCTION("""COMPUTED_VALUE"""),"Arizona")</f>
        <v>Arizona</v>
      </c>
      <c r="F43" t="str">
        <f>IFERROR(__xludf.DUMMYFUNCTION("""COMPUTED_VALUE"""),"Arkansas")</f>
        <v>Arkansas</v>
      </c>
      <c r="G43" t="str">
        <f>IFERROR(__xludf.DUMMYFUNCTION("""COMPUTED_VALUE"""),"Arkansas State")</f>
        <v>Arkansas State</v>
      </c>
      <c r="H43" t="str">
        <f>IFERROR(__xludf.DUMMYFUNCTION("""COMPUTED_VALUE"""),"Auburn")</f>
        <v>Auburn</v>
      </c>
      <c r="I43" t="str">
        <f>IFERROR(__xludf.DUMMYFUNCTION("""COMPUTED_VALUE"""),"Ball State")</f>
        <v>Ball State</v>
      </c>
      <c r="J43" t="str">
        <f>IFERROR(__xludf.DUMMYFUNCTION("""COMPUTED_VALUE"""),"Baylor")</f>
        <v>Baylor</v>
      </c>
      <c r="K43" t="str">
        <f>IFERROR(__xludf.DUMMYFUNCTION("""COMPUTED_VALUE"""),"Boston College")</f>
        <v>Boston College</v>
      </c>
      <c r="L43" t="str">
        <f>IFERROR(__xludf.DUMMYFUNCTION("""COMPUTED_VALUE"""),"Bowling Green")</f>
        <v>Bowling Green</v>
      </c>
      <c r="M43" t="str">
        <f>IFERROR(__xludf.DUMMYFUNCTION("""COMPUTED_VALUE"""),"BYU")</f>
        <v>BYU</v>
      </c>
      <c r="N43" t="str">
        <f>IFERROR(__xludf.DUMMYFUNCTION("""COMPUTED_VALUE"""),"California")</f>
        <v>California</v>
      </c>
      <c r="O43" t="str">
        <f>IFERROR(__xludf.DUMMYFUNCTION("""COMPUTED_VALUE"""),"Central Michigan")</f>
        <v>Central Michigan</v>
      </c>
      <c r="P43" t="str">
        <f>IFERROR(__xludf.DUMMYFUNCTION("""COMPUTED_VALUE"""),"Charlotte")</f>
        <v>Charlotte</v>
      </c>
      <c r="Q43" t="str">
        <f>IFERROR(__xludf.DUMMYFUNCTION("""COMPUTED_VALUE"""),"Cincinnati")</f>
        <v>Cincinnati</v>
      </c>
      <c r="R43" t="str">
        <f>IFERROR(__xludf.DUMMYFUNCTION("""COMPUTED_VALUE"""),"Coastal Carolina")</f>
        <v>Coastal Carolina</v>
      </c>
      <c r="S43" t="str">
        <f>IFERROR(__xludf.DUMMYFUNCTION("""COMPUTED_VALUE"""),"Colorado")</f>
        <v>Colorado</v>
      </c>
      <c r="T43" t="str">
        <f>IFERROR(__xludf.DUMMYFUNCTION("""COMPUTED_VALUE"""),"Colorado State")</f>
        <v>Colorado State</v>
      </c>
      <c r="U43" t="str">
        <f>IFERROR(__xludf.DUMMYFUNCTION("""COMPUTED_VALUE"""),"Delaware")</f>
        <v>Delaware</v>
      </c>
      <c r="V43" t="str">
        <f>IFERROR(__xludf.DUMMYFUNCTION("""COMPUTED_VALUE"""),"Duke")</f>
        <v>Duke</v>
      </c>
      <c r="W43" t="str">
        <f>IFERROR(__xludf.DUMMYFUNCTION("""COMPUTED_VALUE"""),"East Carolina")</f>
        <v>East Carolina</v>
      </c>
      <c r="X43" t="str">
        <f>IFERROR(__xludf.DUMMYFUNCTION("""COMPUTED_VALUE"""),"EMU")</f>
        <v>EMU</v>
      </c>
      <c r="Y43" t="str">
        <f>IFERROR(__xludf.DUMMYFUNCTION("""COMPUTED_VALUE"""),"Florida")</f>
        <v>Florida</v>
      </c>
      <c r="Z43" t="str">
        <f>IFERROR(__xludf.DUMMYFUNCTION("""COMPUTED_VALUE"""),"Florida Atlantic")</f>
        <v>Florida Atlantic</v>
      </c>
      <c r="AA43" t="str">
        <f>IFERROR(__xludf.DUMMYFUNCTION("""COMPUTED_VALUE"""),"Florida Intl")</f>
        <v>Florida Intl</v>
      </c>
      <c r="AB43" t="str">
        <f>IFERROR(__xludf.DUMMYFUNCTION("""COMPUTED_VALUE"""),"Florida State")</f>
        <v>Florida State</v>
      </c>
      <c r="AC43" t="str">
        <f>IFERROR(__xludf.DUMMYFUNCTION("""COMPUTED_VALUE"""),"Georgia State")</f>
        <v>Georgia State</v>
      </c>
      <c r="AD43" t="str">
        <f>IFERROR(__xludf.DUMMYFUNCTION("""COMPUTED_VALUE"""),"Georgia Tech")</f>
        <v>Georgia Tech</v>
      </c>
      <c r="AE43" t="str">
        <f>IFERROR(__xludf.DUMMYFUNCTION("""COMPUTED_VALUE"""),"Hawaii")</f>
        <v>Hawaii</v>
      </c>
      <c r="AF43" t="str">
        <f>IFERROR(__xludf.DUMMYFUNCTION("""COMPUTED_VALUE"""),"Houston")</f>
        <v>Houston</v>
      </c>
      <c r="AG43" t="str">
        <f>IFERROR(__xludf.DUMMYFUNCTION("""COMPUTED_VALUE"""),"Iowa")</f>
        <v>Iowa</v>
      </c>
      <c r="AH43" t="str">
        <f>IFERROR(__xludf.DUMMYFUNCTION("""COMPUTED_VALUE"""),"Iowa State")</f>
        <v>Iowa State</v>
      </c>
      <c r="AI43" t="str">
        <f>IFERROR(__xludf.DUMMYFUNCTION("""COMPUTED_VALUE"""),"Jacksonville State")</f>
        <v>Jacksonville State</v>
      </c>
      <c r="AJ43" t="str">
        <f>IFERROR(__xludf.DUMMYFUNCTION("""COMPUTED_VALUE"""),"Kansas")</f>
        <v>Kansas</v>
      </c>
      <c r="AK43" t="str">
        <f>IFERROR(__xludf.DUMMYFUNCTION("""COMPUTED_VALUE"""),"Kennesaw State")</f>
        <v>Kennesaw State</v>
      </c>
      <c r="AL43" t="str">
        <f>IFERROR(__xludf.DUMMYFUNCTION("""COMPUTED_VALUE"""),"Kent State")</f>
        <v>Kent State</v>
      </c>
      <c r="AM43" t="str">
        <f>IFERROR(__xludf.DUMMYFUNCTION("""COMPUTED_VALUE"""),"Kentucky")</f>
        <v>Kentucky</v>
      </c>
      <c r="AN43" t="str">
        <f>IFERROR(__xludf.DUMMYFUNCTION("""COMPUTED_VALUE"""),"LSU")</f>
        <v>LSU</v>
      </c>
      <c r="AO43" t="str">
        <f>IFERROR(__xludf.DUMMYFUNCTION("""COMPUTED_VALUE"""),"Marshall")</f>
        <v>Marshall</v>
      </c>
      <c r="AP43" t="str">
        <f>IFERROR(__xludf.DUMMYFUNCTION("""COMPUTED_VALUE"""),"Maryland")</f>
        <v>Maryland</v>
      </c>
      <c r="AQ43" t="str">
        <f>IFERROR(__xludf.DUMMYFUNCTION("""COMPUTED_VALUE"""),"Michigan State")</f>
        <v>Michigan State</v>
      </c>
      <c r="AR43" t="str">
        <f>IFERROR(__xludf.DUMMYFUNCTION("""COMPUTED_VALUE"""),"Middle Tennessee")</f>
        <v>Middle Tennessee</v>
      </c>
      <c r="AS43" t="str">
        <f>IFERROR(__xludf.DUMMYFUNCTION("""COMPUTED_VALUE"""),"Minnesota")</f>
        <v>Minnesota</v>
      </c>
      <c r="AT43" t="str">
        <f>IFERROR(__xludf.DUMMYFUNCTION("""COMPUTED_VALUE"""),"Mississippi State")</f>
        <v>Mississippi State</v>
      </c>
      <c r="AU43" t="str">
        <f>IFERROR(__xludf.DUMMYFUNCTION("""COMPUTED_VALUE"""),"Missouri")</f>
        <v>Missouri</v>
      </c>
      <c r="AV43" t="str">
        <f>IFERROR(__xludf.DUMMYFUNCTION("""COMPUTED_VALUE"""),"Missouri State")</f>
        <v>Missouri State</v>
      </c>
      <c r="AW43" t="str">
        <f>IFERROR(__xludf.DUMMYFUNCTION("""COMPUTED_VALUE"""),"NC State")</f>
        <v>NC State</v>
      </c>
      <c r="AX43" t="str">
        <f>IFERROR(__xludf.DUMMYFUNCTION("""COMPUTED_VALUE"""),"Nebraska")</f>
        <v>Nebraska</v>
      </c>
      <c r="AY43" t="str">
        <f>IFERROR(__xludf.DUMMYFUNCTION("""COMPUTED_VALUE"""),"Nevada")</f>
        <v>Nevada</v>
      </c>
      <c r="AZ43" t="str">
        <f>IFERROR(__xludf.DUMMYFUNCTION("""COMPUTED_VALUE"""),"New Mexico")</f>
        <v>New Mexico</v>
      </c>
      <c r="BA43" t="str">
        <f>IFERROR(__xludf.DUMMYFUNCTION("""COMPUTED_VALUE"""),"New Mexico State")</f>
        <v>New Mexico State</v>
      </c>
      <c r="BB43" t="str">
        <f>IFERROR(__xludf.DUMMYFUNCTION("""COMPUTED_VALUE"""),"North Carolina")</f>
        <v>North Carolina</v>
      </c>
      <c r="BC43" t="str">
        <f>IFERROR(__xludf.DUMMYFUNCTION("""COMPUTED_VALUE"""),"Northern Illinois")</f>
        <v>Northern Illinois</v>
      </c>
      <c r="BD43" t="str">
        <f>IFERROR(__xludf.DUMMYFUNCTION("""COMPUTED_VALUE"""),"Northwestern")</f>
        <v>Northwestern</v>
      </c>
      <c r="BE43" t="str">
        <f>IFERROR(__xludf.DUMMYFUNCTION("""COMPUTED_VALUE"""),"Oklahoma")</f>
        <v>Oklahoma</v>
      </c>
      <c r="BF43" t="str">
        <f>IFERROR(__xludf.DUMMYFUNCTION("""COMPUTED_VALUE"""),"Oklahoma State")</f>
        <v>Oklahoma State</v>
      </c>
      <c r="BG43" t="str">
        <f>IFERROR(__xludf.DUMMYFUNCTION("""COMPUTED_VALUE"""),"Old Dominion")</f>
        <v>Old Dominion</v>
      </c>
      <c r="BH43" t="str">
        <f>IFERROR(__xludf.DUMMYFUNCTION("""COMPUTED_VALUE"""),"Oregon State")</f>
        <v>Oregon State</v>
      </c>
      <c r="BI43" t="str">
        <f>IFERROR(__xludf.DUMMYFUNCTION("""COMPUTED_VALUE"""),"Pittsburgh")</f>
        <v>Pittsburgh</v>
      </c>
      <c r="BJ43" t="str">
        <f>IFERROR(__xludf.DUMMYFUNCTION("""COMPUTED_VALUE"""),"Purdue")</f>
        <v>Purdue</v>
      </c>
      <c r="BK43" t="str">
        <f>IFERROR(__xludf.DUMMYFUNCTION("""COMPUTED_VALUE"""),"Rice")</f>
        <v>Rice</v>
      </c>
      <c r="BL43" t="str">
        <f>IFERROR(__xludf.DUMMYFUNCTION("""COMPUTED_VALUE"""),"Rutgers")</f>
        <v>Rutgers</v>
      </c>
      <c r="BM43" t="str">
        <f>IFERROR(__xludf.DUMMYFUNCTION("""COMPUTED_VALUE"""),"Sam Houston")</f>
        <v>Sam Houston</v>
      </c>
      <c r="BN43" t="str">
        <f>IFERROR(__xludf.DUMMYFUNCTION("""COMPUTED_VALUE"""),"San Diego State")</f>
        <v>San Diego State</v>
      </c>
      <c r="BO43" t="str">
        <f>IFERROR(__xludf.DUMMYFUNCTION("""COMPUTED_VALUE"""),"South Carolina")</f>
        <v>South Carolina</v>
      </c>
      <c r="BP43" t="str">
        <f>IFERROR(__xludf.DUMMYFUNCTION("""COMPUTED_VALUE"""),"Southern Mississippi")</f>
        <v>Southern Mississippi</v>
      </c>
      <c r="BQ43" t="str">
        <f>IFERROR(__xludf.DUMMYFUNCTION("""COMPUTED_VALUE"""),"Stanford")</f>
        <v>Stanford</v>
      </c>
      <c r="BR43" t="str">
        <f>IFERROR(__xludf.DUMMYFUNCTION("""COMPUTED_VALUE"""),"Syracuse")</f>
        <v>Syracuse</v>
      </c>
      <c r="BS43" t="str">
        <f>IFERROR(__xludf.DUMMYFUNCTION("""COMPUTED_VALUE"""),"TCU")</f>
        <v>TCU</v>
      </c>
      <c r="BT43" t="str">
        <f>IFERROR(__xludf.DUMMYFUNCTION("""COMPUTED_VALUE"""),"Temple")</f>
        <v>Temple</v>
      </c>
      <c r="BU43" t="str">
        <f>IFERROR(__xludf.DUMMYFUNCTION("""COMPUTED_VALUE"""),"Tennessee")</f>
        <v>Tennessee</v>
      </c>
      <c r="BV43" t="str">
        <f>IFERROR(__xludf.DUMMYFUNCTION("""COMPUTED_VALUE"""),"Texas A&amp;M")</f>
        <v>Texas A&amp;M</v>
      </c>
      <c r="BW43" t="str">
        <f>IFERROR(__xludf.DUMMYFUNCTION("""COMPUTED_VALUE"""),"Texas State")</f>
        <v>Texas State</v>
      </c>
      <c r="BX43" t="str">
        <f>IFERROR(__xludf.DUMMYFUNCTION("""COMPUTED_VALUE"""),"Troy")</f>
        <v>Troy</v>
      </c>
      <c r="BY43" t="str">
        <f>IFERROR(__xludf.DUMMYFUNCTION("""COMPUTED_VALUE"""),"Tulsa")</f>
        <v>Tulsa</v>
      </c>
      <c r="BZ43" t="str">
        <f>IFERROR(__xludf.DUMMYFUNCTION("""COMPUTED_VALUE"""),"UAB")</f>
        <v>UAB</v>
      </c>
      <c r="CA43" t="str">
        <f>IFERROR(__xludf.DUMMYFUNCTION("""COMPUTED_VALUE"""),"UCF")</f>
        <v>UCF</v>
      </c>
      <c r="CB43" t="str">
        <f>IFERROR(__xludf.DUMMYFUNCTION("""COMPUTED_VALUE"""),"UCLA")</f>
        <v>UCLA</v>
      </c>
      <c r="CC43" t="str">
        <f>IFERROR(__xludf.DUMMYFUNCTION("""COMPUTED_VALUE"""),"UConn")</f>
        <v>UConn</v>
      </c>
      <c r="CD43" t="str">
        <f>IFERROR(__xludf.DUMMYFUNCTION("""COMPUTED_VALUE"""),"UL Monroe")</f>
        <v>UL Monroe</v>
      </c>
      <c r="CE43" t="str">
        <f>IFERROR(__xludf.DUMMYFUNCTION("""COMPUTED_VALUE"""),"UMASS")</f>
        <v>UMASS</v>
      </c>
      <c r="CF43" t="str">
        <f>IFERROR(__xludf.DUMMYFUNCTION("""COMPUTED_VALUE"""),"Utah State")</f>
        <v>Utah State</v>
      </c>
      <c r="CG43" t="str">
        <f>IFERROR(__xludf.DUMMYFUNCTION("""COMPUTED_VALUE"""),"UTEP")</f>
        <v>UTEP</v>
      </c>
      <c r="CH43" t="str">
        <f>IFERROR(__xludf.DUMMYFUNCTION("""COMPUTED_VALUE"""),"Vanderbilt")</f>
        <v>Vanderbilt</v>
      </c>
      <c r="CI43" t="str">
        <f>IFERROR(__xludf.DUMMYFUNCTION("""COMPUTED_VALUE"""),"Virginia")</f>
        <v>Virginia</v>
      </c>
      <c r="CJ43" t="str">
        <f>IFERROR(__xludf.DUMMYFUNCTION("""COMPUTED_VALUE"""),"Virginia Tech")</f>
        <v>Virginia Tech</v>
      </c>
      <c r="CK43" t="str">
        <f>IFERROR(__xludf.DUMMYFUNCTION("""COMPUTED_VALUE"""),"Wake Forest")</f>
        <v>Wake Forest</v>
      </c>
      <c r="CL43" t="str">
        <f>IFERROR(__xludf.DUMMYFUNCTION("""COMPUTED_VALUE"""),"Washington")</f>
        <v>Washington</v>
      </c>
      <c r="CM43" t="str">
        <f>IFERROR(__xludf.DUMMYFUNCTION("""COMPUTED_VALUE"""),"Washington State")</f>
        <v>Washington State</v>
      </c>
      <c r="CN43" t="str">
        <f>IFERROR(__xludf.DUMMYFUNCTION("""COMPUTED_VALUE"""),"West Virginia")</f>
        <v>West Virginia</v>
      </c>
      <c r="CO43" t="str">
        <f>IFERROR(__xludf.DUMMYFUNCTION("""COMPUTED_VALUE"""),"Western Michigan")</f>
        <v>Western Michigan</v>
      </c>
      <c r="CP43" t="str">
        <f>IFERROR(__xludf.DUMMYFUNCTION("""COMPUTED_VALUE"""),"Wisconsin")</f>
        <v>Wisconsin</v>
      </c>
      <c r="CQ43" t="str">
        <f>IFERROR(__xludf.DUMMYFUNCTION("""COMPUTED_VALUE"""),"Wyoming")</f>
        <v>Wyoming</v>
      </c>
    </row>
    <row r="44">
      <c r="A44" s="1">
        <v>43.0</v>
      </c>
      <c r="B44" t="str">
        <f>IFERROR(__xludf.DUMMYFUNCTION("split(join("","",sort(byrow('Teams-Conference'!A$2:A1000,lambda(rw,if(iserror(match(rw,DraftTracker!F$1:F44,0)),rw,""""))),1,1)),"","",1,1)"),"Air Force")</f>
        <v>Air Force</v>
      </c>
      <c r="C44" t="str">
        <f>IFERROR(__xludf.DUMMYFUNCTION("""COMPUTED_VALUE"""),"Akron")</f>
        <v>Akron</v>
      </c>
      <c r="D44" t="str">
        <f>IFERROR(__xludf.DUMMYFUNCTION("""COMPUTED_VALUE"""),"Appalachian State")</f>
        <v>Appalachian State</v>
      </c>
      <c r="E44" t="str">
        <f>IFERROR(__xludf.DUMMYFUNCTION("""COMPUTED_VALUE"""),"Arizona")</f>
        <v>Arizona</v>
      </c>
      <c r="F44" t="str">
        <f>IFERROR(__xludf.DUMMYFUNCTION("""COMPUTED_VALUE"""),"Arkansas")</f>
        <v>Arkansas</v>
      </c>
      <c r="G44" t="str">
        <f>IFERROR(__xludf.DUMMYFUNCTION("""COMPUTED_VALUE"""),"Arkansas State")</f>
        <v>Arkansas State</v>
      </c>
      <c r="H44" t="str">
        <f>IFERROR(__xludf.DUMMYFUNCTION("""COMPUTED_VALUE"""),"Auburn")</f>
        <v>Auburn</v>
      </c>
      <c r="I44" t="str">
        <f>IFERROR(__xludf.DUMMYFUNCTION("""COMPUTED_VALUE"""),"Ball State")</f>
        <v>Ball State</v>
      </c>
      <c r="J44" t="str">
        <f>IFERROR(__xludf.DUMMYFUNCTION("""COMPUTED_VALUE"""),"Baylor")</f>
        <v>Baylor</v>
      </c>
      <c r="K44" t="str">
        <f>IFERROR(__xludf.DUMMYFUNCTION("""COMPUTED_VALUE"""),"Boston College")</f>
        <v>Boston College</v>
      </c>
      <c r="L44" t="str">
        <f>IFERROR(__xludf.DUMMYFUNCTION("""COMPUTED_VALUE"""),"Bowling Green")</f>
        <v>Bowling Green</v>
      </c>
      <c r="M44" t="str">
        <f>IFERROR(__xludf.DUMMYFUNCTION("""COMPUTED_VALUE"""),"California")</f>
        <v>California</v>
      </c>
      <c r="N44" t="str">
        <f>IFERROR(__xludf.DUMMYFUNCTION("""COMPUTED_VALUE"""),"Central Michigan")</f>
        <v>Central Michigan</v>
      </c>
      <c r="O44" t="str">
        <f>IFERROR(__xludf.DUMMYFUNCTION("""COMPUTED_VALUE"""),"Charlotte")</f>
        <v>Charlotte</v>
      </c>
      <c r="P44" t="str">
        <f>IFERROR(__xludf.DUMMYFUNCTION("""COMPUTED_VALUE"""),"Cincinnati")</f>
        <v>Cincinnati</v>
      </c>
      <c r="Q44" t="str">
        <f>IFERROR(__xludf.DUMMYFUNCTION("""COMPUTED_VALUE"""),"Coastal Carolina")</f>
        <v>Coastal Carolina</v>
      </c>
      <c r="R44" t="str">
        <f>IFERROR(__xludf.DUMMYFUNCTION("""COMPUTED_VALUE"""),"Colorado")</f>
        <v>Colorado</v>
      </c>
      <c r="S44" t="str">
        <f>IFERROR(__xludf.DUMMYFUNCTION("""COMPUTED_VALUE"""),"Colorado State")</f>
        <v>Colorado State</v>
      </c>
      <c r="T44" t="str">
        <f>IFERROR(__xludf.DUMMYFUNCTION("""COMPUTED_VALUE"""),"Delaware")</f>
        <v>Delaware</v>
      </c>
      <c r="U44" t="str">
        <f>IFERROR(__xludf.DUMMYFUNCTION("""COMPUTED_VALUE"""),"Duke")</f>
        <v>Duke</v>
      </c>
      <c r="V44" t="str">
        <f>IFERROR(__xludf.DUMMYFUNCTION("""COMPUTED_VALUE"""),"East Carolina")</f>
        <v>East Carolina</v>
      </c>
      <c r="W44" t="str">
        <f>IFERROR(__xludf.DUMMYFUNCTION("""COMPUTED_VALUE"""),"EMU")</f>
        <v>EMU</v>
      </c>
      <c r="X44" t="str">
        <f>IFERROR(__xludf.DUMMYFUNCTION("""COMPUTED_VALUE"""),"Florida")</f>
        <v>Florida</v>
      </c>
      <c r="Y44" t="str">
        <f>IFERROR(__xludf.DUMMYFUNCTION("""COMPUTED_VALUE"""),"Florida Atlantic")</f>
        <v>Florida Atlantic</v>
      </c>
      <c r="Z44" t="str">
        <f>IFERROR(__xludf.DUMMYFUNCTION("""COMPUTED_VALUE"""),"Florida Intl")</f>
        <v>Florida Intl</v>
      </c>
      <c r="AA44" t="str">
        <f>IFERROR(__xludf.DUMMYFUNCTION("""COMPUTED_VALUE"""),"Florida State")</f>
        <v>Florida State</v>
      </c>
      <c r="AB44" t="str">
        <f>IFERROR(__xludf.DUMMYFUNCTION("""COMPUTED_VALUE"""),"Georgia State")</f>
        <v>Georgia State</v>
      </c>
      <c r="AC44" t="str">
        <f>IFERROR(__xludf.DUMMYFUNCTION("""COMPUTED_VALUE"""),"Georgia Tech")</f>
        <v>Georgia Tech</v>
      </c>
      <c r="AD44" t="str">
        <f>IFERROR(__xludf.DUMMYFUNCTION("""COMPUTED_VALUE"""),"Hawaii")</f>
        <v>Hawaii</v>
      </c>
      <c r="AE44" t="str">
        <f>IFERROR(__xludf.DUMMYFUNCTION("""COMPUTED_VALUE"""),"Houston")</f>
        <v>Houston</v>
      </c>
      <c r="AF44" t="str">
        <f>IFERROR(__xludf.DUMMYFUNCTION("""COMPUTED_VALUE"""),"Iowa")</f>
        <v>Iowa</v>
      </c>
      <c r="AG44" t="str">
        <f>IFERROR(__xludf.DUMMYFUNCTION("""COMPUTED_VALUE"""),"Iowa State")</f>
        <v>Iowa State</v>
      </c>
      <c r="AH44" t="str">
        <f>IFERROR(__xludf.DUMMYFUNCTION("""COMPUTED_VALUE"""),"Jacksonville State")</f>
        <v>Jacksonville State</v>
      </c>
      <c r="AI44" t="str">
        <f>IFERROR(__xludf.DUMMYFUNCTION("""COMPUTED_VALUE"""),"Kansas")</f>
        <v>Kansas</v>
      </c>
      <c r="AJ44" t="str">
        <f>IFERROR(__xludf.DUMMYFUNCTION("""COMPUTED_VALUE"""),"Kennesaw State")</f>
        <v>Kennesaw State</v>
      </c>
      <c r="AK44" t="str">
        <f>IFERROR(__xludf.DUMMYFUNCTION("""COMPUTED_VALUE"""),"Kent State")</f>
        <v>Kent State</v>
      </c>
      <c r="AL44" t="str">
        <f>IFERROR(__xludf.DUMMYFUNCTION("""COMPUTED_VALUE"""),"Kentucky")</f>
        <v>Kentucky</v>
      </c>
      <c r="AM44" t="str">
        <f>IFERROR(__xludf.DUMMYFUNCTION("""COMPUTED_VALUE"""),"LSU")</f>
        <v>LSU</v>
      </c>
      <c r="AN44" t="str">
        <f>IFERROR(__xludf.DUMMYFUNCTION("""COMPUTED_VALUE"""),"Marshall")</f>
        <v>Marshall</v>
      </c>
      <c r="AO44" t="str">
        <f>IFERROR(__xludf.DUMMYFUNCTION("""COMPUTED_VALUE"""),"Maryland")</f>
        <v>Maryland</v>
      </c>
      <c r="AP44" t="str">
        <f>IFERROR(__xludf.DUMMYFUNCTION("""COMPUTED_VALUE"""),"Michigan State")</f>
        <v>Michigan State</v>
      </c>
      <c r="AQ44" t="str">
        <f>IFERROR(__xludf.DUMMYFUNCTION("""COMPUTED_VALUE"""),"Middle Tennessee")</f>
        <v>Middle Tennessee</v>
      </c>
      <c r="AR44" t="str">
        <f>IFERROR(__xludf.DUMMYFUNCTION("""COMPUTED_VALUE"""),"Minnesota")</f>
        <v>Minnesota</v>
      </c>
      <c r="AS44" t="str">
        <f>IFERROR(__xludf.DUMMYFUNCTION("""COMPUTED_VALUE"""),"Mississippi State")</f>
        <v>Mississippi State</v>
      </c>
      <c r="AT44" t="str">
        <f>IFERROR(__xludf.DUMMYFUNCTION("""COMPUTED_VALUE"""),"Missouri")</f>
        <v>Missouri</v>
      </c>
      <c r="AU44" t="str">
        <f>IFERROR(__xludf.DUMMYFUNCTION("""COMPUTED_VALUE"""),"Missouri State")</f>
        <v>Missouri State</v>
      </c>
      <c r="AV44" t="str">
        <f>IFERROR(__xludf.DUMMYFUNCTION("""COMPUTED_VALUE"""),"NC State")</f>
        <v>NC State</v>
      </c>
      <c r="AW44" t="str">
        <f>IFERROR(__xludf.DUMMYFUNCTION("""COMPUTED_VALUE"""),"Nebraska")</f>
        <v>Nebraska</v>
      </c>
      <c r="AX44" t="str">
        <f>IFERROR(__xludf.DUMMYFUNCTION("""COMPUTED_VALUE"""),"Nevada")</f>
        <v>Nevada</v>
      </c>
      <c r="AY44" t="str">
        <f>IFERROR(__xludf.DUMMYFUNCTION("""COMPUTED_VALUE"""),"New Mexico")</f>
        <v>New Mexico</v>
      </c>
      <c r="AZ44" t="str">
        <f>IFERROR(__xludf.DUMMYFUNCTION("""COMPUTED_VALUE"""),"New Mexico State")</f>
        <v>New Mexico State</v>
      </c>
      <c r="BA44" t="str">
        <f>IFERROR(__xludf.DUMMYFUNCTION("""COMPUTED_VALUE"""),"North Carolina")</f>
        <v>North Carolina</v>
      </c>
      <c r="BB44" t="str">
        <f>IFERROR(__xludf.DUMMYFUNCTION("""COMPUTED_VALUE"""),"Northern Illinois")</f>
        <v>Northern Illinois</v>
      </c>
      <c r="BC44" t="str">
        <f>IFERROR(__xludf.DUMMYFUNCTION("""COMPUTED_VALUE"""),"Northwestern")</f>
        <v>Northwestern</v>
      </c>
      <c r="BD44" t="str">
        <f>IFERROR(__xludf.DUMMYFUNCTION("""COMPUTED_VALUE"""),"Oklahoma")</f>
        <v>Oklahoma</v>
      </c>
      <c r="BE44" t="str">
        <f>IFERROR(__xludf.DUMMYFUNCTION("""COMPUTED_VALUE"""),"Oklahoma State")</f>
        <v>Oklahoma State</v>
      </c>
      <c r="BF44" t="str">
        <f>IFERROR(__xludf.DUMMYFUNCTION("""COMPUTED_VALUE"""),"Old Dominion")</f>
        <v>Old Dominion</v>
      </c>
      <c r="BG44" t="str">
        <f>IFERROR(__xludf.DUMMYFUNCTION("""COMPUTED_VALUE"""),"Oregon State")</f>
        <v>Oregon State</v>
      </c>
      <c r="BH44" t="str">
        <f>IFERROR(__xludf.DUMMYFUNCTION("""COMPUTED_VALUE"""),"Pittsburgh")</f>
        <v>Pittsburgh</v>
      </c>
      <c r="BI44" t="str">
        <f>IFERROR(__xludf.DUMMYFUNCTION("""COMPUTED_VALUE"""),"Purdue")</f>
        <v>Purdue</v>
      </c>
      <c r="BJ44" t="str">
        <f>IFERROR(__xludf.DUMMYFUNCTION("""COMPUTED_VALUE"""),"Rice")</f>
        <v>Rice</v>
      </c>
      <c r="BK44" t="str">
        <f>IFERROR(__xludf.DUMMYFUNCTION("""COMPUTED_VALUE"""),"Rutgers")</f>
        <v>Rutgers</v>
      </c>
      <c r="BL44" t="str">
        <f>IFERROR(__xludf.DUMMYFUNCTION("""COMPUTED_VALUE"""),"Sam Houston")</f>
        <v>Sam Houston</v>
      </c>
      <c r="BM44" t="str">
        <f>IFERROR(__xludf.DUMMYFUNCTION("""COMPUTED_VALUE"""),"San Diego State")</f>
        <v>San Diego State</v>
      </c>
      <c r="BN44" t="str">
        <f>IFERROR(__xludf.DUMMYFUNCTION("""COMPUTED_VALUE"""),"South Carolina")</f>
        <v>South Carolina</v>
      </c>
      <c r="BO44" t="str">
        <f>IFERROR(__xludf.DUMMYFUNCTION("""COMPUTED_VALUE"""),"Southern Mississippi")</f>
        <v>Southern Mississippi</v>
      </c>
      <c r="BP44" t="str">
        <f>IFERROR(__xludf.DUMMYFUNCTION("""COMPUTED_VALUE"""),"Stanford")</f>
        <v>Stanford</v>
      </c>
      <c r="BQ44" t="str">
        <f>IFERROR(__xludf.DUMMYFUNCTION("""COMPUTED_VALUE"""),"Syracuse")</f>
        <v>Syracuse</v>
      </c>
      <c r="BR44" t="str">
        <f>IFERROR(__xludf.DUMMYFUNCTION("""COMPUTED_VALUE"""),"TCU")</f>
        <v>TCU</v>
      </c>
      <c r="BS44" t="str">
        <f>IFERROR(__xludf.DUMMYFUNCTION("""COMPUTED_VALUE"""),"Temple")</f>
        <v>Temple</v>
      </c>
      <c r="BT44" t="str">
        <f>IFERROR(__xludf.DUMMYFUNCTION("""COMPUTED_VALUE"""),"Tennessee")</f>
        <v>Tennessee</v>
      </c>
      <c r="BU44" t="str">
        <f>IFERROR(__xludf.DUMMYFUNCTION("""COMPUTED_VALUE"""),"Texas A&amp;M")</f>
        <v>Texas A&amp;M</v>
      </c>
      <c r="BV44" t="str">
        <f>IFERROR(__xludf.DUMMYFUNCTION("""COMPUTED_VALUE"""),"Texas State")</f>
        <v>Texas State</v>
      </c>
      <c r="BW44" t="str">
        <f>IFERROR(__xludf.DUMMYFUNCTION("""COMPUTED_VALUE"""),"Troy")</f>
        <v>Troy</v>
      </c>
      <c r="BX44" t="str">
        <f>IFERROR(__xludf.DUMMYFUNCTION("""COMPUTED_VALUE"""),"Tulsa")</f>
        <v>Tulsa</v>
      </c>
      <c r="BY44" t="str">
        <f>IFERROR(__xludf.DUMMYFUNCTION("""COMPUTED_VALUE"""),"UAB")</f>
        <v>UAB</v>
      </c>
      <c r="BZ44" t="str">
        <f>IFERROR(__xludf.DUMMYFUNCTION("""COMPUTED_VALUE"""),"UCF")</f>
        <v>UCF</v>
      </c>
      <c r="CA44" t="str">
        <f>IFERROR(__xludf.DUMMYFUNCTION("""COMPUTED_VALUE"""),"UCLA")</f>
        <v>UCLA</v>
      </c>
      <c r="CB44" t="str">
        <f>IFERROR(__xludf.DUMMYFUNCTION("""COMPUTED_VALUE"""),"UConn")</f>
        <v>UConn</v>
      </c>
      <c r="CC44" t="str">
        <f>IFERROR(__xludf.DUMMYFUNCTION("""COMPUTED_VALUE"""),"UL Monroe")</f>
        <v>UL Monroe</v>
      </c>
      <c r="CD44" t="str">
        <f>IFERROR(__xludf.DUMMYFUNCTION("""COMPUTED_VALUE"""),"UMASS")</f>
        <v>UMASS</v>
      </c>
      <c r="CE44" t="str">
        <f>IFERROR(__xludf.DUMMYFUNCTION("""COMPUTED_VALUE"""),"Utah State")</f>
        <v>Utah State</v>
      </c>
      <c r="CF44" t="str">
        <f>IFERROR(__xludf.DUMMYFUNCTION("""COMPUTED_VALUE"""),"UTEP")</f>
        <v>UTEP</v>
      </c>
      <c r="CG44" t="str">
        <f>IFERROR(__xludf.DUMMYFUNCTION("""COMPUTED_VALUE"""),"Vanderbilt")</f>
        <v>Vanderbilt</v>
      </c>
      <c r="CH44" t="str">
        <f>IFERROR(__xludf.DUMMYFUNCTION("""COMPUTED_VALUE"""),"Virginia")</f>
        <v>Virginia</v>
      </c>
      <c r="CI44" t="str">
        <f>IFERROR(__xludf.DUMMYFUNCTION("""COMPUTED_VALUE"""),"Virginia Tech")</f>
        <v>Virginia Tech</v>
      </c>
      <c r="CJ44" t="str">
        <f>IFERROR(__xludf.DUMMYFUNCTION("""COMPUTED_VALUE"""),"Wake Forest")</f>
        <v>Wake Forest</v>
      </c>
      <c r="CK44" t="str">
        <f>IFERROR(__xludf.DUMMYFUNCTION("""COMPUTED_VALUE"""),"Washington")</f>
        <v>Washington</v>
      </c>
      <c r="CL44" t="str">
        <f>IFERROR(__xludf.DUMMYFUNCTION("""COMPUTED_VALUE"""),"Washington State")</f>
        <v>Washington State</v>
      </c>
      <c r="CM44" t="str">
        <f>IFERROR(__xludf.DUMMYFUNCTION("""COMPUTED_VALUE"""),"West Virginia")</f>
        <v>West Virginia</v>
      </c>
      <c r="CN44" t="str">
        <f>IFERROR(__xludf.DUMMYFUNCTION("""COMPUTED_VALUE"""),"Western Michigan")</f>
        <v>Western Michigan</v>
      </c>
      <c r="CO44" t="str">
        <f>IFERROR(__xludf.DUMMYFUNCTION("""COMPUTED_VALUE"""),"Wisconsin")</f>
        <v>Wisconsin</v>
      </c>
      <c r="CP44" t="str">
        <f>IFERROR(__xludf.DUMMYFUNCTION("""COMPUTED_VALUE"""),"Wyoming")</f>
        <v>Wyoming</v>
      </c>
    </row>
    <row r="45">
      <c r="A45" s="1">
        <v>44.0</v>
      </c>
      <c r="B45" t="str">
        <f>IFERROR(__xludf.DUMMYFUNCTION("split(join("","",sort(byrow('Teams-Conference'!A$2:A1000,lambda(rw,if(iserror(match(rw,DraftTracker!F$1:F45,0)),rw,""""))),1,1)),"","",1,1)"),"Air Force")</f>
        <v>Air Force</v>
      </c>
      <c r="C45" t="str">
        <f>IFERROR(__xludf.DUMMYFUNCTION("""COMPUTED_VALUE"""),"Akron")</f>
        <v>Akron</v>
      </c>
      <c r="D45" t="str">
        <f>IFERROR(__xludf.DUMMYFUNCTION("""COMPUTED_VALUE"""),"Appalachian State")</f>
        <v>Appalachian State</v>
      </c>
      <c r="E45" t="str">
        <f>IFERROR(__xludf.DUMMYFUNCTION("""COMPUTED_VALUE"""),"Arizona")</f>
        <v>Arizona</v>
      </c>
      <c r="F45" t="str">
        <f>IFERROR(__xludf.DUMMYFUNCTION("""COMPUTED_VALUE"""),"Arkansas")</f>
        <v>Arkansas</v>
      </c>
      <c r="G45" t="str">
        <f>IFERROR(__xludf.DUMMYFUNCTION("""COMPUTED_VALUE"""),"Arkansas State")</f>
        <v>Arkansas State</v>
      </c>
      <c r="H45" t="str">
        <f>IFERROR(__xludf.DUMMYFUNCTION("""COMPUTED_VALUE"""),"Auburn")</f>
        <v>Auburn</v>
      </c>
      <c r="I45" t="str">
        <f>IFERROR(__xludf.DUMMYFUNCTION("""COMPUTED_VALUE"""),"Ball State")</f>
        <v>Ball State</v>
      </c>
      <c r="J45" t="str">
        <f>IFERROR(__xludf.DUMMYFUNCTION("""COMPUTED_VALUE"""),"Baylor")</f>
        <v>Baylor</v>
      </c>
      <c r="K45" t="str">
        <f>IFERROR(__xludf.DUMMYFUNCTION("""COMPUTED_VALUE"""),"Boston College")</f>
        <v>Boston College</v>
      </c>
      <c r="L45" t="str">
        <f>IFERROR(__xludf.DUMMYFUNCTION("""COMPUTED_VALUE"""),"Bowling Green")</f>
        <v>Bowling Green</v>
      </c>
      <c r="M45" t="str">
        <f>IFERROR(__xludf.DUMMYFUNCTION("""COMPUTED_VALUE"""),"California")</f>
        <v>California</v>
      </c>
      <c r="N45" t="str">
        <f>IFERROR(__xludf.DUMMYFUNCTION("""COMPUTED_VALUE"""),"Central Michigan")</f>
        <v>Central Michigan</v>
      </c>
      <c r="O45" t="str">
        <f>IFERROR(__xludf.DUMMYFUNCTION("""COMPUTED_VALUE"""),"Charlotte")</f>
        <v>Charlotte</v>
      </c>
      <c r="P45" t="str">
        <f>IFERROR(__xludf.DUMMYFUNCTION("""COMPUTED_VALUE"""),"Cincinnati")</f>
        <v>Cincinnati</v>
      </c>
      <c r="Q45" t="str">
        <f>IFERROR(__xludf.DUMMYFUNCTION("""COMPUTED_VALUE"""),"Coastal Carolina")</f>
        <v>Coastal Carolina</v>
      </c>
      <c r="R45" t="str">
        <f>IFERROR(__xludf.DUMMYFUNCTION("""COMPUTED_VALUE"""),"Colorado")</f>
        <v>Colorado</v>
      </c>
      <c r="S45" t="str">
        <f>IFERROR(__xludf.DUMMYFUNCTION("""COMPUTED_VALUE"""),"Colorado State")</f>
        <v>Colorado State</v>
      </c>
      <c r="T45" t="str">
        <f>IFERROR(__xludf.DUMMYFUNCTION("""COMPUTED_VALUE"""),"Delaware")</f>
        <v>Delaware</v>
      </c>
      <c r="U45" t="str">
        <f>IFERROR(__xludf.DUMMYFUNCTION("""COMPUTED_VALUE"""),"Duke")</f>
        <v>Duke</v>
      </c>
      <c r="V45" t="str">
        <f>IFERROR(__xludf.DUMMYFUNCTION("""COMPUTED_VALUE"""),"East Carolina")</f>
        <v>East Carolina</v>
      </c>
      <c r="W45" t="str">
        <f>IFERROR(__xludf.DUMMYFUNCTION("""COMPUTED_VALUE"""),"EMU")</f>
        <v>EMU</v>
      </c>
      <c r="X45" t="str">
        <f>IFERROR(__xludf.DUMMYFUNCTION("""COMPUTED_VALUE"""),"Florida")</f>
        <v>Florida</v>
      </c>
      <c r="Y45" t="str">
        <f>IFERROR(__xludf.DUMMYFUNCTION("""COMPUTED_VALUE"""),"Florida Atlantic")</f>
        <v>Florida Atlantic</v>
      </c>
      <c r="Z45" t="str">
        <f>IFERROR(__xludf.DUMMYFUNCTION("""COMPUTED_VALUE"""),"Florida Intl")</f>
        <v>Florida Intl</v>
      </c>
      <c r="AA45" t="str">
        <f>IFERROR(__xludf.DUMMYFUNCTION("""COMPUTED_VALUE"""),"Florida State")</f>
        <v>Florida State</v>
      </c>
      <c r="AB45" t="str">
        <f>IFERROR(__xludf.DUMMYFUNCTION("""COMPUTED_VALUE"""),"Georgia State")</f>
        <v>Georgia State</v>
      </c>
      <c r="AC45" t="str">
        <f>IFERROR(__xludf.DUMMYFUNCTION("""COMPUTED_VALUE"""),"Georgia Tech")</f>
        <v>Georgia Tech</v>
      </c>
      <c r="AD45" t="str">
        <f>IFERROR(__xludf.DUMMYFUNCTION("""COMPUTED_VALUE"""),"Hawaii")</f>
        <v>Hawaii</v>
      </c>
      <c r="AE45" t="str">
        <f>IFERROR(__xludf.DUMMYFUNCTION("""COMPUTED_VALUE"""),"Houston")</f>
        <v>Houston</v>
      </c>
      <c r="AF45" t="str">
        <f>IFERROR(__xludf.DUMMYFUNCTION("""COMPUTED_VALUE"""),"Iowa")</f>
        <v>Iowa</v>
      </c>
      <c r="AG45" t="str">
        <f>IFERROR(__xludf.DUMMYFUNCTION("""COMPUTED_VALUE"""),"Iowa State")</f>
        <v>Iowa State</v>
      </c>
      <c r="AH45" t="str">
        <f>IFERROR(__xludf.DUMMYFUNCTION("""COMPUTED_VALUE"""),"Jacksonville State")</f>
        <v>Jacksonville State</v>
      </c>
      <c r="AI45" t="str">
        <f>IFERROR(__xludf.DUMMYFUNCTION("""COMPUTED_VALUE"""),"Kansas")</f>
        <v>Kansas</v>
      </c>
      <c r="AJ45" t="str">
        <f>IFERROR(__xludf.DUMMYFUNCTION("""COMPUTED_VALUE"""),"Kennesaw State")</f>
        <v>Kennesaw State</v>
      </c>
      <c r="AK45" t="str">
        <f>IFERROR(__xludf.DUMMYFUNCTION("""COMPUTED_VALUE"""),"Kent State")</f>
        <v>Kent State</v>
      </c>
      <c r="AL45" t="str">
        <f>IFERROR(__xludf.DUMMYFUNCTION("""COMPUTED_VALUE"""),"Kentucky")</f>
        <v>Kentucky</v>
      </c>
      <c r="AM45" t="str">
        <f>IFERROR(__xludf.DUMMYFUNCTION("""COMPUTED_VALUE"""),"LSU")</f>
        <v>LSU</v>
      </c>
      <c r="AN45" t="str">
        <f>IFERROR(__xludf.DUMMYFUNCTION("""COMPUTED_VALUE"""),"Marshall")</f>
        <v>Marshall</v>
      </c>
      <c r="AO45" t="str">
        <f>IFERROR(__xludf.DUMMYFUNCTION("""COMPUTED_VALUE"""),"Maryland")</f>
        <v>Maryland</v>
      </c>
      <c r="AP45" t="str">
        <f>IFERROR(__xludf.DUMMYFUNCTION("""COMPUTED_VALUE"""),"Michigan State")</f>
        <v>Michigan State</v>
      </c>
      <c r="AQ45" t="str">
        <f>IFERROR(__xludf.DUMMYFUNCTION("""COMPUTED_VALUE"""),"Middle Tennessee")</f>
        <v>Middle Tennessee</v>
      </c>
      <c r="AR45" t="str">
        <f>IFERROR(__xludf.DUMMYFUNCTION("""COMPUTED_VALUE"""),"Minnesota")</f>
        <v>Minnesota</v>
      </c>
      <c r="AS45" t="str">
        <f>IFERROR(__xludf.DUMMYFUNCTION("""COMPUTED_VALUE"""),"Mississippi State")</f>
        <v>Mississippi State</v>
      </c>
      <c r="AT45" t="str">
        <f>IFERROR(__xludf.DUMMYFUNCTION("""COMPUTED_VALUE"""),"Missouri")</f>
        <v>Missouri</v>
      </c>
      <c r="AU45" t="str">
        <f>IFERROR(__xludf.DUMMYFUNCTION("""COMPUTED_VALUE"""),"Missouri State")</f>
        <v>Missouri State</v>
      </c>
      <c r="AV45" t="str">
        <f>IFERROR(__xludf.DUMMYFUNCTION("""COMPUTED_VALUE"""),"NC State")</f>
        <v>NC State</v>
      </c>
      <c r="AW45" t="str">
        <f>IFERROR(__xludf.DUMMYFUNCTION("""COMPUTED_VALUE"""),"Nebraska")</f>
        <v>Nebraska</v>
      </c>
      <c r="AX45" t="str">
        <f>IFERROR(__xludf.DUMMYFUNCTION("""COMPUTED_VALUE"""),"Nevada")</f>
        <v>Nevada</v>
      </c>
      <c r="AY45" t="str">
        <f>IFERROR(__xludf.DUMMYFUNCTION("""COMPUTED_VALUE"""),"New Mexico")</f>
        <v>New Mexico</v>
      </c>
      <c r="AZ45" t="str">
        <f>IFERROR(__xludf.DUMMYFUNCTION("""COMPUTED_VALUE"""),"New Mexico State")</f>
        <v>New Mexico State</v>
      </c>
      <c r="BA45" t="str">
        <f>IFERROR(__xludf.DUMMYFUNCTION("""COMPUTED_VALUE"""),"North Carolina")</f>
        <v>North Carolina</v>
      </c>
      <c r="BB45" t="str">
        <f>IFERROR(__xludf.DUMMYFUNCTION("""COMPUTED_VALUE"""),"Northwestern")</f>
        <v>Northwestern</v>
      </c>
      <c r="BC45" t="str">
        <f>IFERROR(__xludf.DUMMYFUNCTION("""COMPUTED_VALUE"""),"Oklahoma")</f>
        <v>Oklahoma</v>
      </c>
      <c r="BD45" t="str">
        <f>IFERROR(__xludf.DUMMYFUNCTION("""COMPUTED_VALUE"""),"Oklahoma State")</f>
        <v>Oklahoma State</v>
      </c>
      <c r="BE45" t="str">
        <f>IFERROR(__xludf.DUMMYFUNCTION("""COMPUTED_VALUE"""),"Old Dominion")</f>
        <v>Old Dominion</v>
      </c>
      <c r="BF45" t="str">
        <f>IFERROR(__xludf.DUMMYFUNCTION("""COMPUTED_VALUE"""),"Oregon State")</f>
        <v>Oregon State</v>
      </c>
      <c r="BG45" t="str">
        <f>IFERROR(__xludf.DUMMYFUNCTION("""COMPUTED_VALUE"""),"Pittsburgh")</f>
        <v>Pittsburgh</v>
      </c>
      <c r="BH45" t="str">
        <f>IFERROR(__xludf.DUMMYFUNCTION("""COMPUTED_VALUE"""),"Purdue")</f>
        <v>Purdue</v>
      </c>
      <c r="BI45" t="str">
        <f>IFERROR(__xludf.DUMMYFUNCTION("""COMPUTED_VALUE"""),"Rice")</f>
        <v>Rice</v>
      </c>
      <c r="BJ45" t="str">
        <f>IFERROR(__xludf.DUMMYFUNCTION("""COMPUTED_VALUE"""),"Rutgers")</f>
        <v>Rutgers</v>
      </c>
      <c r="BK45" t="str">
        <f>IFERROR(__xludf.DUMMYFUNCTION("""COMPUTED_VALUE"""),"Sam Houston")</f>
        <v>Sam Houston</v>
      </c>
      <c r="BL45" t="str">
        <f>IFERROR(__xludf.DUMMYFUNCTION("""COMPUTED_VALUE"""),"San Diego State")</f>
        <v>San Diego State</v>
      </c>
      <c r="BM45" t="str">
        <f>IFERROR(__xludf.DUMMYFUNCTION("""COMPUTED_VALUE"""),"South Carolina")</f>
        <v>South Carolina</v>
      </c>
      <c r="BN45" t="str">
        <f>IFERROR(__xludf.DUMMYFUNCTION("""COMPUTED_VALUE"""),"Southern Mississippi")</f>
        <v>Southern Mississippi</v>
      </c>
      <c r="BO45" t="str">
        <f>IFERROR(__xludf.DUMMYFUNCTION("""COMPUTED_VALUE"""),"Stanford")</f>
        <v>Stanford</v>
      </c>
      <c r="BP45" t="str">
        <f>IFERROR(__xludf.DUMMYFUNCTION("""COMPUTED_VALUE"""),"Syracuse")</f>
        <v>Syracuse</v>
      </c>
      <c r="BQ45" t="str">
        <f>IFERROR(__xludf.DUMMYFUNCTION("""COMPUTED_VALUE"""),"TCU")</f>
        <v>TCU</v>
      </c>
      <c r="BR45" t="str">
        <f>IFERROR(__xludf.DUMMYFUNCTION("""COMPUTED_VALUE"""),"Temple")</f>
        <v>Temple</v>
      </c>
      <c r="BS45" t="str">
        <f>IFERROR(__xludf.DUMMYFUNCTION("""COMPUTED_VALUE"""),"Tennessee")</f>
        <v>Tennessee</v>
      </c>
      <c r="BT45" t="str">
        <f>IFERROR(__xludf.DUMMYFUNCTION("""COMPUTED_VALUE"""),"Texas A&amp;M")</f>
        <v>Texas A&amp;M</v>
      </c>
      <c r="BU45" t="str">
        <f>IFERROR(__xludf.DUMMYFUNCTION("""COMPUTED_VALUE"""),"Texas State")</f>
        <v>Texas State</v>
      </c>
      <c r="BV45" t="str">
        <f>IFERROR(__xludf.DUMMYFUNCTION("""COMPUTED_VALUE"""),"Troy")</f>
        <v>Troy</v>
      </c>
      <c r="BW45" t="str">
        <f>IFERROR(__xludf.DUMMYFUNCTION("""COMPUTED_VALUE"""),"Tulsa")</f>
        <v>Tulsa</v>
      </c>
      <c r="BX45" t="str">
        <f>IFERROR(__xludf.DUMMYFUNCTION("""COMPUTED_VALUE"""),"UAB")</f>
        <v>UAB</v>
      </c>
      <c r="BY45" t="str">
        <f>IFERROR(__xludf.DUMMYFUNCTION("""COMPUTED_VALUE"""),"UCF")</f>
        <v>UCF</v>
      </c>
      <c r="BZ45" t="str">
        <f>IFERROR(__xludf.DUMMYFUNCTION("""COMPUTED_VALUE"""),"UCLA")</f>
        <v>UCLA</v>
      </c>
      <c r="CA45" t="str">
        <f>IFERROR(__xludf.DUMMYFUNCTION("""COMPUTED_VALUE"""),"UConn")</f>
        <v>UConn</v>
      </c>
      <c r="CB45" t="str">
        <f>IFERROR(__xludf.DUMMYFUNCTION("""COMPUTED_VALUE"""),"UL Monroe")</f>
        <v>UL Monroe</v>
      </c>
      <c r="CC45" t="str">
        <f>IFERROR(__xludf.DUMMYFUNCTION("""COMPUTED_VALUE"""),"UMASS")</f>
        <v>UMASS</v>
      </c>
      <c r="CD45" t="str">
        <f>IFERROR(__xludf.DUMMYFUNCTION("""COMPUTED_VALUE"""),"Utah State")</f>
        <v>Utah State</v>
      </c>
      <c r="CE45" t="str">
        <f>IFERROR(__xludf.DUMMYFUNCTION("""COMPUTED_VALUE"""),"UTEP")</f>
        <v>UTEP</v>
      </c>
      <c r="CF45" t="str">
        <f>IFERROR(__xludf.DUMMYFUNCTION("""COMPUTED_VALUE"""),"Vanderbilt")</f>
        <v>Vanderbilt</v>
      </c>
      <c r="CG45" t="str">
        <f>IFERROR(__xludf.DUMMYFUNCTION("""COMPUTED_VALUE"""),"Virginia")</f>
        <v>Virginia</v>
      </c>
      <c r="CH45" t="str">
        <f>IFERROR(__xludf.DUMMYFUNCTION("""COMPUTED_VALUE"""),"Virginia Tech")</f>
        <v>Virginia Tech</v>
      </c>
      <c r="CI45" t="str">
        <f>IFERROR(__xludf.DUMMYFUNCTION("""COMPUTED_VALUE"""),"Wake Forest")</f>
        <v>Wake Forest</v>
      </c>
      <c r="CJ45" t="str">
        <f>IFERROR(__xludf.DUMMYFUNCTION("""COMPUTED_VALUE"""),"Washington")</f>
        <v>Washington</v>
      </c>
      <c r="CK45" t="str">
        <f>IFERROR(__xludf.DUMMYFUNCTION("""COMPUTED_VALUE"""),"Washington State")</f>
        <v>Washington State</v>
      </c>
      <c r="CL45" t="str">
        <f>IFERROR(__xludf.DUMMYFUNCTION("""COMPUTED_VALUE"""),"West Virginia")</f>
        <v>West Virginia</v>
      </c>
      <c r="CM45" t="str">
        <f>IFERROR(__xludf.DUMMYFUNCTION("""COMPUTED_VALUE"""),"Western Michigan")</f>
        <v>Western Michigan</v>
      </c>
      <c r="CN45" t="str">
        <f>IFERROR(__xludf.DUMMYFUNCTION("""COMPUTED_VALUE"""),"Wisconsin")</f>
        <v>Wisconsin</v>
      </c>
      <c r="CO45" t="str">
        <f>IFERROR(__xludf.DUMMYFUNCTION("""COMPUTED_VALUE"""),"Wyoming")</f>
        <v>Wyoming</v>
      </c>
    </row>
    <row r="46">
      <c r="A46" s="1">
        <v>45.0</v>
      </c>
      <c r="B46" t="str">
        <f>IFERROR(__xludf.DUMMYFUNCTION("split(join("","",sort(byrow('Teams-Conference'!A$2:A1000,lambda(rw,if(iserror(match(rw,DraftTracker!F$1:F46,0)),rw,""""))),1,1)),"","",1,1)"),"Air Force")</f>
        <v>Air Force</v>
      </c>
      <c r="C46" t="str">
        <f>IFERROR(__xludf.DUMMYFUNCTION("""COMPUTED_VALUE"""),"Akron")</f>
        <v>Akron</v>
      </c>
      <c r="D46" t="str">
        <f>IFERROR(__xludf.DUMMYFUNCTION("""COMPUTED_VALUE"""),"Appalachian State")</f>
        <v>Appalachian State</v>
      </c>
      <c r="E46" t="str">
        <f>IFERROR(__xludf.DUMMYFUNCTION("""COMPUTED_VALUE"""),"Arizona")</f>
        <v>Arizona</v>
      </c>
      <c r="F46" t="str">
        <f>IFERROR(__xludf.DUMMYFUNCTION("""COMPUTED_VALUE"""),"Arkansas")</f>
        <v>Arkansas</v>
      </c>
      <c r="G46" t="str">
        <f>IFERROR(__xludf.DUMMYFUNCTION("""COMPUTED_VALUE"""),"Arkansas State")</f>
        <v>Arkansas State</v>
      </c>
      <c r="H46" t="str">
        <f>IFERROR(__xludf.DUMMYFUNCTION("""COMPUTED_VALUE"""),"Auburn")</f>
        <v>Auburn</v>
      </c>
      <c r="I46" t="str">
        <f>IFERROR(__xludf.DUMMYFUNCTION("""COMPUTED_VALUE"""),"Ball State")</f>
        <v>Ball State</v>
      </c>
      <c r="J46" t="str">
        <f>IFERROR(__xludf.DUMMYFUNCTION("""COMPUTED_VALUE"""),"Baylor")</f>
        <v>Baylor</v>
      </c>
      <c r="K46" t="str">
        <f>IFERROR(__xludf.DUMMYFUNCTION("""COMPUTED_VALUE"""),"Boston College")</f>
        <v>Boston College</v>
      </c>
      <c r="L46" t="str">
        <f>IFERROR(__xludf.DUMMYFUNCTION("""COMPUTED_VALUE"""),"Bowling Green")</f>
        <v>Bowling Green</v>
      </c>
      <c r="M46" t="str">
        <f>IFERROR(__xludf.DUMMYFUNCTION("""COMPUTED_VALUE"""),"California")</f>
        <v>California</v>
      </c>
      <c r="N46" t="str">
        <f>IFERROR(__xludf.DUMMYFUNCTION("""COMPUTED_VALUE"""),"Central Michigan")</f>
        <v>Central Michigan</v>
      </c>
      <c r="O46" t="str">
        <f>IFERROR(__xludf.DUMMYFUNCTION("""COMPUTED_VALUE"""),"Charlotte")</f>
        <v>Charlotte</v>
      </c>
      <c r="P46" t="str">
        <f>IFERROR(__xludf.DUMMYFUNCTION("""COMPUTED_VALUE"""),"Cincinnati")</f>
        <v>Cincinnati</v>
      </c>
      <c r="Q46" t="str">
        <f>IFERROR(__xludf.DUMMYFUNCTION("""COMPUTED_VALUE"""),"Coastal Carolina")</f>
        <v>Coastal Carolina</v>
      </c>
      <c r="R46" t="str">
        <f>IFERROR(__xludf.DUMMYFUNCTION("""COMPUTED_VALUE"""),"Colorado")</f>
        <v>Colorado</v>
      </c>
      <c r="S46" t="str">
        <f>IFERROR(__xludf.DUMMYFUNCTION("""COMPUTED_VALUE"""),"Colorado State")</f>
        <v>Colorado State</v>
      </c>
      <c r="T46" t="str">
        <f>IFERROR(__xludf.DUMMYFUNCTION("""COMPUTED_VALUE"""),"Delaware")</f>
        <v>Delaware</v>
      </c>
      <c r="U46" t="str">
        <f>IFERROR(__xludf.DUMMYFUNCTION("""COMPUTED_VALUE"""),"Duke")</f>
        <v>Duke</v>
      </c>
      <c r="V46" t="str">
        <f>IFERROR(__xludf.DUMMYFUNCTION("""COMPUTED_VALUE"""),"East Carolina")</f>
        <v>East Carolina</v>
      </c>
      <c r="W46" t="str">
        <f>IFERROR(__xludf.DUMMYFUNCTION("""COMPUTED_VALUE"""),"EMU")</f>
        <v>EMU</v>
      </c>
      <c r="X46" t="str">
        <f>IFERROR(__xludf.DUMMYFUNCTION("""COMPUTED_VALUE"""),"Florida")</f>
        <v>Florida</v>
      </c>
      <c r="Y46" t="str">
        <f>IFERROR(__xludf.DUMMYFUNCTION("""COMPUTED_VALUE"""),"Florida Atlantic")</f>
        <v>Florida Atlantic</v>
      </c>
      <c r="Z46" t="str">
        <f>IFERROR(__xludf.DUMMYFUNCTION("""COMPUTED_VALUE"""),"Florida Intl")</f>
        <v>Florida Intl</v>
      </c>
      <c r="AA46" t="str">
        <f>IFERROR(__xludf.DUMMYFUNCTION("""COMPUTED_VALUE"""),"Florida State")</f>
        <v>Florida State</v>
      </c>
      <c r="AB46" t="str">
        <f>IFERROR(__xludf.DUMMYFUNCTION("""COMPUTED_VALUE"""),"Georgia State")</f>
        <v>Georgia State</v>
      </c>
      <c r="AC46" t="str">
        <f>IFERROR(__xludf.DUMMYFUNCTION("""COMPUTED_VALUE"""),"Georgia Tech")</f>
        <v>Georgia Tech</v>
      </c>
      <c r="AD46" t="str">
        <f>IFERROR(__xludf.DUMMYFUNCTION("""COMPUTED_VALUE"""),"Hawaii")</f>
        <v>Hawaii</v>
      </c>
      <c r="AE46" t="str">
        <f>IFERROR(__xludf.DUMMYFUNCTION("""COMPUTED_VALUE"""),"Houston")</f>
        <v>Houston</v>
      </c>
      <c r="AF46" t="str">
        <f>IFERROR(__xludf.DUMMYFUNCTION("""COMPUTED_VALUE"""),"Iowa")</f>
        <v>Iowa</v>
      </c>
      <c r="AG46" t="str">
        <f>IFERROR(__xludf.DUMMYFUNCTION("""COMPUTED_VALUE"""),"Iowa State")</f>
        <v>Iowa State</v>
      </c>
      <c r="AH46" t="str">
        <f>IFERROR(__xludf.DUMMYFUNCTION("""COMPUTED_VALUE"""),"Jacksonville State")</f>
        <v>Jacksonville State</v>
      </c>
      <c r="AI46" t="str">
        <f>IFERROR(__xludf.DUMMYFUNCTION("""COMPUTED_VALUE"""),"Kansas")</f>
        <v>Kansas</v>
      </c>
      <c r="AJ46" t="str">
        <f>IFERROR(__xludf.DUMMYFUNCTION("""COMPUTED_VALUE"""),"Kennesaw State")</f>
        <v>Kennesaw State</v>
      </c>
      <c r="AK46" t="str">
        <f>IFERROR(__xludf.DUMMYFUNCTION("""COMPUTED_VALUE"""),"Kent State")</f>
        <v>Kent State</v>
      </c>
      <c r="AL46" t="str">
        <f>IFERROR(__xludf.DUMMYFUNCTION("""COMPUTED_VALUE"""),"Kentucky")</f>
        <v>Kentucky</v>
      </c>
      <c r="AM46" t="str">
        <f>IFERROR(__xludf.DUMMYFUNCTION("""COMPUTED_VALUE"""),"LSU")</f>
        <v>LSU</v>
      </c>
      <c r="AN46" t="str">
        <f>IFERROR(__xludf.DUMMYFUNCTION("""COMPUTED_VALUE"""),"Marshall")</f>
        <v>Marshall</v>
      </c>
      <c r="AO46" t="str">
        <f>IFERROR(__xludf.DUMMYFUNCTION("""COMPUTED_VALUE"""),"Maryland")</f>
        <v>Maryland</v>
      </c>
      <c r="AP46" t="str">
        <f>IFERROR(__xludf.DUMMYFUNCTION("""COMPUTED_VALUE"""),"Michigan State")</f>
        <v>Michigan State</v>
      </c>
      <c r="AQ46" t="str">
        <f>IFERROR(__xludf.DUMMYFUNCTION("""COMPUTED_VALUE"""),"Middle Tennessee")</f>
        <v>Middle Tennessee</v>
      </c>
      <c r="AR46" t="str">
        <f>IFERROR(__xludf.DUMMYFUNCTION("""COMPUTED_VALUE"""),"Minnesota")</f>
        <v>Minnesota</v>
      </c>
      <c r="AS46" t="str">
        <f>IFERROR(__xludf.DUMMYFUNCTION("""COMPUTED_VALUE"""),"Mississippi State")</f>
        <v>Mississippi State</v>
      </c>
      <c r="AT46" t="str">
        <f>IFERROR(__xludf.DUMMYFUNCTION("""COMPUTED_VALUE"""),"Missouri")</f>
        <v>Missouri</v>
      </c>
      <c r="AU46" t="str">
        <f>IFERROR(__xludf.DUMMYFUNCTION("""COMPUTED_VALUE"""),"Missouri State")</f>
        <v>Missouri State</v>
      </c>
      <c r="AV46" t="str">
        <f>IFERROR(__xludf.DUMMYFUNCTION("""COMPUTED_VALUE"""),"NC State")</f>
        <v>NC State</v>
      </c>
      <c r="AW46" t="str">
        <f>IFERROR(__xludf.DUMMYFUNCTION("""COMPUTED_VALUE"""),"Nebraska")</f>
        <v>Nebraska</v>
      </c>
      <c r="AX46" t="str">
        <f>IFERROR(__xludf.DUMMYFUNCTION("""COMPUTED_VALUE"""),"Nevada")</f>
        <v>Nevada</v>
      </c>
      <c r="AY46" t="str">
        <f>IFERROR(__xludf.DUMMYFUNCTION("""COMPUTED_VALUE"""),"New Mexico")</f>
        <v>New Mexico</v>
      </c>
      <c r="AZ46" t="str">
        <f>IFERROR(__xludf.DUMMYFUNCTION("""COMPUTED_VALUE"""),"New Mexico State")</f>
        <v>New Mexico State</v>
      </c>
      <c r="BA46" t="str">
        <f>IFERROR(__xludf.DUMMYFUNCTION("""COMPUTED_VALUE"""),"North Carolina")</f>
        <v>North Carolina</v>
      </c>
      <c r="BB46" t="str">
        <f>IFERROR(__xludf.DUMMYFUNCTION("""COMPUTED_VALUE"""),"Northwestern")</f>
        <v>Northwestern</v>
      </c>
      <c r="BC46" t="str">
        <f>IFERROR(__xludf.DUMMYFUNCTION("""COMPUTED_VALUE"""),"Oklahoma")</f>
        <v>Oklahoma</v>
      </c>
      <c r="BD46" t="str">
        <f>IFERROR(__xludf.DUMMYFUNCTION("""COMPUTED_VALUE"""),"Oklahoma State")</f>
        <v>Oklahoma State</v>
      </c>
      <c r="BE46" t="str">
        <f>IFERROR(__xludf.DUMMYFUNCTION("""COMPUTED_VALUE"""),"Old Dominion")</f>
        <v>Old Dominion</v>
      </c>
      <c r="BF46" t="str">
        <f>IFERROR(__xludf.DUMMYFUNCTION("""COMPUTED_VALUE"""),"Oregon State")</f>
        <v>Oregon State</v>
      </c>
      <c r="BG46" t="str">
        <f>IFERROR(__xludf.DUMMYFUNCTION("""COMPUTED_VALUE"""),"Pittsburgh")</f>
        <v>Pittsburgh</v>
      </c>
      <c r="BH46" t="str">
        <f>IFERROR(__xludf.DUMMYFUNCTION("""COMPUTED_VALUE"""),"Purdue")</f>
        <v>Purdue</v>
      </c>
      <c r="BI46" t="str">
        <f>IFERROR(__xludf.DUMMYFUNCTION("""COMPUTED_VALUE"""),"Rice")</f>
        <v>Rice</v>
      </c>
      <c r="BJ46" t="str">
        <f>IFERROR(__xludf.DUMMYFUNCTION("""COMPUTED_VALUE"""),"Rutgers")</f>
        <v>Rutgers</v>
      </c>
      <c r="BK46" t="str">
        <f>IFERROR(__xludf.DUMMYFUNCTION("""COMPUTED_VALUE"""),"Sam Houston")</f>
        <v>Sam Houston</v>
      </c>
      <c r="BL46" t="str">
        <f>IFERROR(__xludf.DUMMYFUNCTION("""COMPUTED_VALUE"""),"San Diego State")</f>
        <v>San Diego State</v>
      </c>
      <c r="BM46" t="str">
        <f>IFERROR(__xludf.DUMMYFUNCTION("""COMPUTED_VALUE"""),"South Carolina")</f>
        <v>South Carolina</v>
      </c>
      <c r="BN46" t="str">
        <f>IFERROR(__xludf.DUMMYFUNCTION("""COMPUTED_VALUE"""),"Southern Mississippi")</f>
        <v>Southern Mississippi</v>
      </c>
      <c r="BO46" t="str">
        <f>IFERROR(__xludf.DUMMYFUNCTION("""COMPUTED_VALUE"""),"Stanford")</f>
        <v>Stanford</v>
      </c>
      <c r="BP46" t="str">
        <f>IFERROR(__xludf.DUMMYFUNCTION("""COMPUTED_VALUE"""),"Syracuse")</f>
        <v>Syracuse</v>
      </c>
      <c r="BQ46" t="str">
        <f>IFERROR(__xludf.DUMMYFUNCTION("""COMPUTED_VALUE"""),"TCU")</f>
        <v>TCU</v>
      </c>
      <c r="BR46" t="str">
        <f>IFERROR(__xludf.DUMMYFUNCTION("""COMPUTED_VALUE"""),"Temple")</f>
        <v>Temple</v>
      </c>
      <c r="BS46" t="str">
        <f>IFERROR(__xludf.DUMMYFUNCTION("""COMPUTED_VALUE"""),"Texas A&amp;M")</f>
        <v>Texas A&amp;M</v>
      </c>
      <c r="BT46" t="str">
        <f>IFERROR(__xludf.DUMMYFUNCTION("""COMPUTED_VALUE"""),"Texas State")</f>
        <v>Texas State</v>
      </c>
      <c r="BU46" t="str">
        <f>IFERROR(__xludf.DUMMYFUNCTION("""COMPUTED_VALUE"""),"Troy")</f>
        <v>Troy</v>
      </c>
      <c r="BV46" t="str">
        <f>IFERROR(__xludf.DUMMYFUNCTION("""COMPUTED_VALUE"""),"Tulsa")</f>
        <v>Tulsa</v>
      </c>
      <c r="BW46" t="str">
        <f>IFERROR(__xludf.DUMMYFUNCTION("""COMPUTED_VALUE"""),"UAB")</f>
        <v>UAB</v>
      </c>
      <c r="BX46" t="str">
        <f>IFERROR(__xludf.DUMMYFUNCTION("""COMPUTED_VALUE"""),"UCF")</f>
        <v>UCF</v>
      </c>
      <c r="BY46" t="str">
        <f>IFERROR(__xludf.DUMMYFUNCTION("""COMPUTED_VALUE"""),"UCLA")</f>
        <v>UCLA</v>
      </c>
      <c r="BZ46" t="str">
        <f>IFERROR(__xludf.DUMMYFUNCTION("""COMPUTED_VALUE"""),"UConn")</f>
        <v>UConn</v>
      </c>
      <c r="CA46" t="str">
        <f>IFERROR(__xludf.DUMMYFUNCTION("""COMPUTED_VALUE"""),"UL Monroe")</f>
        <v>UL Monroe</v>
      </c>
      <c r="CB46" t="str">
        <f>IFERROR(__xludf.DUMMYFUNCTION("""COMPUTED_VALUE"""),"UMASS")</f>
        <v>UMASS</v>
      </c>
      <c r="CC46" t="str">
        <f>IFERROR(__xludf.DUMMYFUNCTION("""COMPUTED_VALUE"""),"Utah State")</f>
        <v>Utah State</v>
      </c>
      <c r="CD46" t="str">
        <f>IFERROR(__xludf.DUMMYFUNCTION("""COMPUTED_VALUE"""),"UTEP")</f>
        <v>UTEP</v>
      </c>
      <c r="CE46" t="str">
        <f>IFERROR(__xludf.DUMMYFUNCTION("""COMPUTED_VALUE"""),"Vanderbilt")</f>
        <v>Vanderbilt</v>
      </c>
      <c r="CF46" t="str">
        <f>IFERROR(__xludf.DUMMYFUNCTION("""COMPUTED_VALUE"""),"Virginia")</f>
        <v>Virginia</v>
      </c>
      <c r="CG46" t="str">
        <f>IFERROR(__xludf.DUMMYFUNCTION("""COMPUTED_VALUE"""),"Virginia Tech")</f>
        <v>Virginia Tech</v>
      </c>
      <c r="CH46" t="str">
        <f>IFERROR(__xludf.DUMMYFUNCTION("""COMPUTED_VALUE"""),"Wake Forest")</f>
        <v>Wake Forest</v>
      </c>
      <c r="CI46" t="str">
        <f>IFERROR(__xludf.DUMMYFUNCTION("""COMPUTED_VALUE"""),"Washington")</f>
        <v>Washington</v>
      </c>
      <c r="CJ46" t="str">
        <f>IFERROR(__xludf.DUMMYFUNCTION("""COMPUTED_VALUE"""),"Washington State")</f>
        <v>Washington State</v>
      </c>
      <c r="CK46" t="str">
        <f>IFERROR(__xludf.DUMMYFUNCTION("""COMPUTED_VALUE"""),"West Virginia")</f>
        <v>West Virginia</v>
      </c>
      <c r="CL46" t="str">
        <f>IFERROR(__xludf.DUMMYFUNCTION("""COMPUTED_VALUE"""),"Western Michigan")</f>
        <v>Western Michigan</v>
      </c>
      <c r="CM46" t="str">
        <f>IFERROR(__xludf.DUMMYFUNCTION("""COMPUTED_VALUE"""),"Wisconsin")</f>
        <v>Wisconsin</v>
      </c>
      <c r="CN46" t="str">
        <f>IFERROR(__xludf.DUMMYFUNCTION("""COMPUTED_VALUE"""),"Wyoming")</f>
        <v>Wyoming</v>
      </c>
    </row>
    <row r="47">
      <c r="A47" s="1">
        <v>46.0</v>
      </c>
      <c r="B47" t="str">
        <f>IFERROR(__xludf.DUMMYFUNCTION("split(join("","",sort(byrow('Teams-Conference'!A$2:A1000,lambda(rw,if(iserror(match(rw,DraftTracker!F$1:F47,0)),rw,""""))),1,1)),"","",1,1)"),"Air Force")</f>
        <v>Air Force</v>
      </c>
      <c r="C47" t="str">
        <f>IFERROR(__xludf.DUMMYFUNCTION("""COMPUTED_VALUE"""),"Akron")</f>
        <v>Akron</v>
      </c>
      <c r="D47" t="str">
        <f>IFERROR(__xludf.DUMMYFUNCTION("""COMPUTED_VALUE"""),"Appalachian State")</f>
        <v>Appalachian State</v>
      </c>
      <c r="E47" t="str">
        <f>IFERROR(__xludf.DUMMYFUNCTION("""COMPUTED_VALUE"""),"Arizona")</f>
        <v>Arizona</v>
      </c>
      <c r="F47" t="str">
        <f>IFERROR(__xludf.DUMMYFUNCTION("""COMPUTED_VALUE"""),"Arkansas")</f>
        <v>Arkansas</v>
      </c>
      <c r="G47" t="str">
        <f>IFERROR(__xludf.DUMMYFUNCTION("""COMPUTED_VALUE"""),"Arkansas State")</f>
        <v>Arkansas State</v>
      </c>
      <c r="H47" t="str">
        <f>IFERROR(__xludf.DUMMYFUNCTION("""COMPUTED_VALUE"""),"Auburn")</f>
        <v>Auburn</v>
      </c>
      <c r="I47" t="str">
        <f>IFERROR(__xludf.DUMMYFUNCTION("""COMPUTED_VALUE"""),"Ball State")</f>
        <v>Ball State</v>
      </c>
      <c r="J47" t="str">
        <f>IFERROR(__xludf.DUMMYFUNCTION("""COMPUTED_VALUE"""),"Baylor")</f>
        <v>Baylor</v>
      </c>
      <c r="K47" t="str">
        <f>IFERROR(__xludf.DUMMYFUNCTION("""COMPUTED_VALUE"""),"Boston College")</f>
        <v>Boston College</v>
      </c>
      <c r="L47" t="str">
        <f>IFERROR(__xludf.DUMMYFUNCTION("""COMPUTED_VALUE"""),"Bowling Green")</f>
        <v>Bowling Green</v>
      </c>
      <c r="M47" t="str">
        <f>IFERROR(__xludf.DUMMYFUNCTION("""COMPUTED_VALUE"""),"California")</f>
        <v>California</v>
      </c>
      <c r="N47" t="str">
        <f>IFERROR(__xludf.DUMMYFUNCTION("""COMPUTED_VALUE"""),"Central Michigan")</f>
        <v>Central Michigan</v>
      </c>
      <c r="O47" t="str">
        <f>IFERROR(__xludf.DUMMYFUNCTION("""COMPUTED_VALUE"""),"Charlotte")</f>
        <v>Charlotte</v>
      </c>
      <c r="P47" t="str">
        <f>IFERROR(__xludf.DUMMYFUNCTION("""COMPUTED_VALUE"""),"Cincinnati")</f>
        <v>Cincinnati</v>
      </c>
      <c r="Q47" t="str">
        <f>IFERROR(__xludf.DUMMYFUNCTION("""COMPUTED_VALUE"""),"Coastal Carolina")</f>
        <v>Coastal Carolina</v>
      </c>
      <c r="R47" t="str">
        <f>IFERROR(__xludf.DUMMYFUNCTION("""COMPUTED_VALUE"""),"Colorado")</f>
        <v>Colorado</v>
      </c>
      <c r="S47" t="str">
        <f>IFERROR(__xludf.DUMMYFUNCTION("""COMPUTED_VALUE"""),"Delaware")</f>
        <v>Delaware</v>
      </c>
      <c r="T47" t="str">
        <f>IFERROR(__xludf.DUMMYFUNCTION("""COMPUTED_VALUE"""),"Duke")</f>
        <v>Duke</v>
      </c>
      <c r="U47" t="str">
        <f>IFERROR(__xludf.DUMMYFUNCTION("""COMPUTED_VALUE"""),"East Carolina")</f>
        <v>East Carolina</v>
      </c>
      <c r="V47" t="str">
        <f>IFERROR(__xludf.DUMMYFUNCTION("""COMPUTED_VALUE"""),"EMU")</f>
        <v>EMU</v>
      </c>
      <c r="W47" t="str">
        <f>IFERROR(__xludf.DUMMYFUNCTION("""COMPUTED_VALUE"""),"Florida")</f>
        <v>Florida</v>
      </c>
      <c r="X47" t="str">
        <f>IFERROR(__xludf.DUMMYFUNCTION("""COMPUTED_VALUE"""),"Florida Atlantic")</f>
        <v>Florida Atlantic</v>
      </c>
      <c r="Y47" t="str">
        <f>IFERROR(__xludf.DUMMYFUNCTION("""COMPUTED_VALUE"""),"Florida Intl")</f>
        <v>Florida Intl</v>
      </c>
      <c r="Z47" t="str">
        <f>IFERROR(__xludf.DUMMYFUNCTION("""COMPUTED_VALUE"""),"Florida State")</f>
        <v>Florida State</v>
      </c>
      <c r="AA47" t="str">
        <f>IFERROR(__xludf.DUMMYFUNCTION("""COMPUTED_VALUE"""),"Georgia State")</f>
        <v>Georgia State</v>
      </c>
      <c r="AB47" t="str">
        <f>IFERROR(__xludf.DUMMYFUNCTION("""COMPUTED_VALUE"""),"Georgia Tech")</f>
        <v>Georgia Tech</v>
      </c>
      <c r="AC47" t="str">
        <f>IFERROR(__xludf.DUMMYFUNCTION("""COMPUTED_VALUE"""),"Hawaii")</f>
        <v>Hawaii</v>
      </c>
      <c r="AD47" t="str">
        <f>IFERROR(__xludf.DUMMYFUNCTION("""COMPUTED_VALUE"""),"Houston")</f>
        <v>Houston</v>
      </c>
      <c r="AE47" t="str">
        <f>IFERROR(__xludf.DUMMYFUNCTION("""COMPUTED_VALUE"""),"Iowa")</f>
        <v>Iowa</v>
      </c>
      <c r="AF47" t="str">
        <f>IFERROR(__xludf.DUMMYFUNCTION("""COMPUTED_VALUE"""),"Iowa State")</f>
        <v>Iowa State</v>
      </c>
      <c r="AG47" t="str">
        <f>IFERROR(__xludf.DUMMYFUNCTION("""COMPUTED_VALUE"""),"Jacksonville State")</f>
        <v>Jacksonville State</v>
      </c>
      <c r="AH47" t="str">
        <f>IFERROR(__xludf.DUMMYFUNCTION("""COMPUTED_VALUE"""),"Kansas")</f>
        <v>Kansas</v>
      </c>
      <c r="AI47" t="str">
        <f>IFERROR(__xludf.DUMMYFUNCTION("""COMPUTED_VALUE"""),"Kennesaw State")</f>
        <v>Kennesaw State</v>
      </c>
      <c r="AJ47" t="str">
        <f>IFERROR(__xludf.DUMMYFUNCTION("""COMPUTED_VALUE"""),"Kent State")</f>
        <v>Kent State</v>
      </c>
      <c r="AK47" t="str">
        <f>IFERROR(__xludf.DUMMYFUNCTION("""COMPUTED_VALUE"""),"Kentucky")</f>
        <v>Kentucky</v>
      </c>
      <c r="AL47" t="str">
        <f>IFERROR(__xludf.DUMMYFUNCTION("""COMPUTED_VALUE"""),"LSU")</f>
        <v>LSU</v>
      </c>
      <c r="AM47" t="str">
        <f>IFERROR(__xludf.DUMMYFUNCTION("""COMPUTED_VALUE"""),"Marshall")</f>
        <v>Marshall</v>
      </c>
      <c r="AN47" t="str">
        <f>IFERROR(__xludf.DUMMYFUNCTION("""COMPUTED_VALUE"""),"Maryland")</f>
        <v>Maryland</v>
      </c>
      <c r="AO47" t="str">
        <f>IFERROR(__xludf.DUMMYFUNCTION("""COMPUTED_VALUE"""),"Michigan State")</f>
        <v>Michigan State</v>
      </c>
      <c r="AP47" t="str">
        <f>IFERROR(__xludf.DUMMYFUNCTION("""COMPUTED_VALUE"""),"Middle Tennessee")</f>
        <v>Middle Tennessee</v>
      </c>
      <c r="AQ47" t="str">
        <f>IFERROR(__xludf.DUMMYFUNCTION("""COMPUTED_VALUE"""),"Minnesota")</f>
        <v>Minnesota</v>
      </c>
      <c r="AR47" t="str">
        <f>IFERROR(__xludf.DUMMYFUNCTION("""COMPUTED_VALUE"""),"Mississippi State")</f>
        <v>Mississippi State</v>
      </c>
      <c r="AS47" t="str">
        <f>IFERROR(__xludf.DUMMYFUNCTION("""COMPUTED_VALUE"""),"Missouri")</f>
        <v>Missouri</v>
      </c>
      <c r="AT47" t="str">
        <f>IFERROR(__xludf.DUMMYFUNCTION("""COMPUTED_VALUE"""),"Missouri State")</f>
        <v>Missouri State</v>
      </c>
      <c r="AU47" t="str">
        <f>IFERROR(__xludf.DUMMYFUNCTION("""COMPUTED_VALUE"""),"NC State")</f>
        <v>NC State</v>
      </c>
      <c r="AV47" t="str">
        <f>IFERROR(__xludf.DUMMYFUNCTION("""COMPUTED_VALUE"""),"Nebraska")</f>
        <v>Nebraska</v>
      </c>
      <c r="AW47" t="str">
        <f>IFERROR(__xludf.DUMMYFUNCTION("""COMPUTED_VALUE"""),"Nevada")</f>
        <v>Nevada</v>
      </c>
      <c r="AX47" t="str">
        <f>IFERROR(__xludf.DUMMYFUNCTION("""COMPUTED_VALUE"""),"New Mexico")</f>
        <v>New Mexico</v>
      </c>
      <c r="AY47" t="str">
        <f>IFERROR(__xludf.DUMMYFUNCTION("""COMPUTED_VALUE"""),"New Mexico State")</f>
        <v>New Mexico State</v>
      </c>
      <c r="AZ47" t="str">
        <f>IFERROR(__xludf.DUMMYFUNCTION("""COMPUTED_VALUE"""),"North Carolina")</f>
        <v>North Carolina</v>
      </c>
      <c r="BA47" t="str">
        <f>IFERROR(__xludf.DUMMYFUNCTION("""COMPUTED_VALUE"""),"Northwestern")</f>
        <v>Northwestern</v>
      </c>
      <c r="BB47" t="str">
        <f>IFERROR(__xludf.DUMMYFUNCTION("""COMPUTED_VALUE"""),"Oklahoma")</f>
        <v>Oklahoma</v>
      </c>
      <c r="BC47" t="str">
        <f>IFERROR(__xludf.DUMMYFUNCTION("""COMPUTED_VALUE"""),"Oklahoma State")</f>
        <v>Oklahoma State</v>
      </c>
      <c r="BD47" t="str">
        <f>IFERROR(__xludf.DUMMYFUNCTION("""COMPUTED_VALUE"""),"Old Dominion")</f>
        <v>Old Dominion</v>
      </c>
      <c r="BE47" t="str">
        <f>IFERROR(__xludf.DUMMYFUNCTION("""COMPUTED_VALUE"""),"Oregon State")</f>
        <v>Oregon State</v>
      </c>
      <c r="BF47" t="str">
        <f>IFERROR(__xludf.DUMMYFUNCTION("""COMPUTED_VALUE"""),"Pittsburgh")</f>
        <v>Pittsburgh</v>
      </c>
      <c r="BG47" t="str">
        <f>IFERROR(__xludf.DUMMYFUNCTION("""COMPUTED_VALUE"""),"Purdue")</f>
        <v>Purdue</v>
      </c>
      <c r="BH47" t="str">
        <f>IFERROR(__xludf.DUMMYFUNCTION("""COMPUTED_VALUE"""),"Rice")</f>
        <v>Rice</v>
      </c>
      <c r="BI47" t="str">
        <f>IFERROR(__xludf.DUMMYFUNCTION("""COMPUTED_VALUE"""),"Rutgers")</f>
        <v>Rutgers</v>
      </c>
      <c r="BJ47" t="str">
        <f>IFERROR(__xludf.DUMMYFUNCTION("""COMPUTED_VALUE"""),"Sam Houston")</f>
        <v>Sam Houston</v>
      </c>
      <c r="BK47" t="str">
        <f>IFERROR(__xludf.DUMMYFUNCTION("""COMPUTED_VALUE"""),"San Diego State")</f>
        <v>San Diego State</v>
      </c>
      <c r="BL47" t="str">
        <f>IFERROR(__xludf.DUMMYFUNCTION("""COMPUTED_VALUE"""),"South Carolina")</f>
        <v>South Carolina</v>
      </c>
      <c r="BM47" t="str">
        <f>IFERROR(__xludf.DUMMYFUNCTION("""COMPUTED_VALUE"""),"Southern Mississippi")</f>
        <v>Southern Mississippi</v>
      </c>
      <c r="BN47" t="str">
        <f>IFERROR(__xludf.DUMMYFUNCTION("""COMPUTED_VALUE"""),"Stanford")</f>
        <v>Stanford</v>
      </c>
      <c r="BO47" t="str">
        <f>IFERROR(__xludf.DUMMYFUNCTION("""COMPUTED_VALUE"""),"Syracuse")</f>
        <v>Syracuse</v>
      </c>
      <c r="BP47" t="str">
        <f>IFERROR(__xludf.DUMMYFUNCTION("""COMPUTED_VALUE"""),"TCU")</f>
        <v>TCU</v>
      </c>
      <c r="BQ47" t="str">
        <f>IFERROR(__xludf.DUMMYFUNCTION("""COMPUTED_VALUE"""),"Temple")</f>
        <v>Temple</v>
      </c>
      <c r="BR47" t="str">
        <f>IFERROR(__xludf.DUMMYFUNCTION("""COMPUTED_VALUE"""),"Texas A&amp;M")</f>
        <v>Texas A&amp;M</v>
      </c>
      <c r="BS47" t="str">
        <f>IFERROR(__xludf.DUMMYFUNCTION("""COMPUTED_VALUE"""),"Texas State")</f>
        <v>Texas State</v>
      </c>
      <c r="BT47" t="str">
        <f>IFERROR(__xludf.DUMMYFUNCTION("""COMPUTED_VALUE"""),"Troy")</f>
        <v>Troy</v>
      </c>
      <c r="BU47" t="str">
        <f>IFERROR(__xludf.DUMMYFUNCTION("""COMPUTED_VALUE"""),"Tulsa")</f>
        <v>Tulsa</v>
      </c>
      <c r="BV47" t="str">
        <f>IFERROR(__xludf.DUMMYFUNCTION("""COMPUTED_VALUE"""),"UAB")</f>
        <v>UAB</v>
      </c>
      <c r="BW47" t="str">
        <f>IFERROR(__xludf.DUMMYFUNCTION("""COMPUTED_VALUE"""),"UCF")</f>
        <v>UCF</v>
      </c>
      <c r="BX47" t="str">
        <f>IFERROR(__xludf.DUMMYFUNCTION("""COMPUTED_VALUE"""),"UCLA")</f>
        <v>UCLA</v>
      </c>
      <c r="BY47" t="str">
        <f>IFERROR(__xludf.DUMMYFUNCTION("""COMPUTED_VALUE"""),"UConn")</f>
        <v>UConn</v>
      </c>
      <c r="BZ47" t="str">
        <f>IFERROR(__xludf.DUMMYFUNCTION("""COMPUTED_VALUE"""),"UL Monroe")</f>
        <v>UL Monroe</v>
      </c>
      <c r="CA47" t="str">
        <f>IFERROR(__xludf.DUMMYFUNCTION("""COMPUTED_VALUE"""),"UMASS")</f>
        <v>UMASS</v>
      </c>
      <c r="CB47" t="str">
        <f>IFERROR(__xludf.DUMMYFUNCTION("""COMPUTED_VALUE"""),"Utah State")</f>
        <v>Utah State</v>
      </c>
      <c r="CC47" t="str">
        <f>IFERROR(__xludf.DUMMYFUNCTION("""COMPUTED_VALUE"""),"UTEP")</f>
        <v>UTEP</v>
      </c>
      <c r="CD47" t="str">
        <f>IFERROR(__xludf.DUMMYFUNCTION("""COMPUTED_VALUE"""),"Vanderbilt")</f>
        <v>Vanderbilt</v>
      </c>
      <c r="CE47" t="str">
        <f>IFERROR(__xludf.DUMMYFUNCTION("""COMPUTED_VALUE"""),"Virginia")</f>
        <v>Virginia</v>
      </c>
      <c r="CF47" t="str">
        <f>IFERROR(__xludf.DUMMYFUNCTION("""COMPUTED_VALUE"""),"Virginia Tech")</f>
        <v>Virginia Tech</v>
      </c>
      <c r="CG47" t="str">
        <f>IFERROR(__xludf.DUMMYFUNCTION("""COMPUTED_VALUE"""),"Wake Forest")</f>
        <v>Wake Forest</v>
      </c>
      <c r="CH47" t="str">
        <f>IFERROR(__xludf.DUMMYFUNCTION("""COMPUTED_VALUE"""),"Washington")</f>
        <v>Washington</v>
      </c>
      <c r="CI47" t="str">
        <f>IFERROR(__xludf.DUMMYFUNCTION("""COMPUTED_VALUE"""),"Washington State")</f>
        <v>Washington State</v>
      </c>
      <c r="CJ47" t="str">
        <f>IFERROR(__xludf.DUMMYFUNCTION("""COMPUTED_VALUE"""),"West Virginia")</f>
        <v>West Virginia</v>
      </c>
      <c r="CK47" t="str">
        <f>IFERROR(__xludf.DUMMYFUNCTION("""COMPUTED_VALUE"""),"Western Michigan")</f>
        <v>Western Michigan</v>
      </c>
      <c r="CL47" t="str">
        <f>IFERROR(__xludf.DUMMYFUNCTION("""COMPUTED_VALUE"""),"Wisconsin")</f>
        <v>Wisconsin</v>
      </c>
      <c r="CM47" t="str">
        <f>IFERROR(__xludf.DUMMYFUNCTION("""COMPUTED_VALUE"""),"Wyoming")</f>
        <v>Wyoming</v>
      </c>
    </row>
    <row r="48">
      <c r="A48" s="1">
        <v>47.0</v>
      </c>
      <c r="B48" t="str">
        <f>IFERROR(__xludf.DUMMYFUNCTION("split(join("","",sort(byrow('Teams-Conference'!A$2:A1000,lambda(rw,if(iserror(match(rw,DraftTracker!F$1:F48,0)),rw,""""))),1,1)),"","",1,1)"),"Air Force")</f>
        <v>Air Force</v>
      </c>
      <c r="C48" t="str">
        <f>IFERROR(__xludf.DUMMYFUNCTION("""COMPUTED_VALUE"""),"Akron")</f>
        <v>Akron</v>
      </c>
      <c r="D48" t="str">
        <f>IFERROR(__xludf.DUMMYFUNCTION("""COMPUTED_VALUE"""),"Appalachian State")</f>
        <v>Appalachian State</v>
      </c>
      <c r="E48" t="str">
        <f>IFERROR(__xludf.DUMMYFUNCTION("""COMPUTED_VALUE"""),"Arizona")</f>
        <v>Arizona</v>
      </c>
      <c r="F48" t="str">
        <f>IFERROR(__xludf.DUMMYFUNCTION("""COMPUTED_VALUE"""),"Arkansas")</f>
        <v>Arkansas</v>
      </c>
      <c r="G48" t="str">
        <f>IFERROR(__xludf.DUMMYFUNCTION("""COMPUTED_VALUE"""),"Arkansas State")</f>
        <v>Arkansas State</v>
      </c>
      <c r="H48" t="str">
        <f>IFERROR(__xludf.DUMMYFUNCTION("""COMPUTED_VALUE"""),"Auburn")</f>
        <v>Auburn</v>
      </c>
      <c r="I48" t="str">
        <f>IFERROR(__xludf.DUMMYFUNCTION("""COMPUTED_VALUE"""),"Ball State")</f>
        <v>Ball State</v>
      </c>
      <c r="J48" t="str">
        <f>IFERROR(__xludf.DUMMYFUNCTION("""COMPUTED_VALUE"""),"Baylor")</f>
        <v>Baylor</v>
      </c>
      <c r="K48" t="str">
        <f>IFERROR(__xludf.DUMMYFUNCTION("""COMPUTED_VALUE"""),"Boston College")</f>
        <v>Boston College</v>
      </c>
      <c r="L48" t="str">
        <f>IFERROR(__xludf.DUMMYFUNCTION("""COMPUTED_VALUE"""),"Bowling Green")</f>
        <v>Bowling Green</v>
      </c>
      <c r="M48" t="str">
        <f>IFERROR(__xludf.DUMMYFUNCTION("""COMPUTED_VALUE"""),"California")</f>
        <v>California</v>
      </c>
      <c r="N48" t="str">
        <f>IFERROR(__xludf.DUMMYFUNCTION("""COMPUTED_VALUE"""),"Central Michigan")</f>
        <v>Central Michigan</v>
      </c>
      <c r="O48" t="str">
        <f>IFERROR(__xludf.DUMMYFUNCTION("""COMPUTED_VALUE"""),"Charlotte")</f>
        <v>Charlotte</v>
      </c>
      <c r="P48" t="str">
        <f>IFERROR(__xludf.DUMMYFUNCTION("""COMPUTED_VALUE"""),"Cincinnati")</f>
        <v>Cincinnati</v>
      </c>
      <c r="Q48" t="str">
        <f>IFERROR(__xludf.DUMMYFUNCTION("""COMPUTED_VALUE"""),"Coastal Carolina")</f>
        <v>Coastal Carolina</v>
      </c>
      <c r="R48" t="str">
        <f>IFERROR(__xludf.DUMMYFUNCTION("""COMPUTED_VALUE"""),"Colorado")</f>
        <v>Colorado</v>
      </c>
      <c r="S48" t="str">
        <f>IFERROR(__xludf.DUMMYFUNCTION("""COMPUTED_VALUE"""),"Delaware")</f>
        <v>Delaware</v>
      </c>
      <c r="T48" t="str">
        <f>IFERROR(__xludf.DUMMYFUNCTION("""COMPUTED_VALUE"""),"Duke")</f>
        <v>Duke</v>
      </c>
      <c r="U48" t="str">
        <f>IFERROR(__xludf.DUMMYFUNCTION("""COMPUTED_VALUE"""),"East Carolina")</f>
        <v>East Carolina</v>
      </c>
      <c r="V48" t="str">
        <f>IFERROR(__xludf.DUMMYFUNCTION("""COMPUTED_VALUE"""),"EMU")</f>
        <v>EMU</v>
      </c>
      <c r="W48" t="str">
        <f>IFERROR(__xludf.DUMMYFUNCTION("""COMPUTED_VALUE"""),"Florida")</f>
        <v>Florida</v>
      </c>
      <c r="X48" t="str">
        <f>IFERROR(__xludf.DUMMYFUNCTION("""COMPUTED_VALUE"""),"Florida Atlantic")</f>
        <v>Florida Atlantic</v>
      </c>
      <c r="Y48" t="str">
        <f>IFERROR(__xludf.DUMMYFUNCTION("""COMPUTED_VALUE"""),"Florida Intl")</f>
        <v>Florida Intl</v>
      </c>
      <c r="Z48" t="str">
        <f>IFERROR(__xludf.DUMMYFUNCTION("""COMPUTED_VALUE"""),"Florida State")</f>
        <v>Florida State</v>
      </c>
      <c r="AA48" t="str">
        <f>IFERROR(__xludf.DUMMYFUNCTION("""COMPUTED_VALUE"""),"Georgia State")</f>
        <v>Georgia State</v>
      </c>
      <c r="AB48" t="str">
        <f>IFERROR(__xludf.DUMMYFUNCTION("""COMPUTED_VALUE"""),"Georgia Tech")</f>
        <v>Georgia Tech</v>
      </c>
      <c r="AC48" t="str">
        <f>IFERROR(__xludf.DUMMYFUNCTION("""COMPUTED_VALUE"""),"Hawaii")</f>
        <v>Hawaii</v>
      </c>
      <c r="AD48" t="str">
        <f>IFERROR(__xludf.DUMMYFUNCTION("""COMPUTED_VALUE"""),"Houston")</f>
        <v>Houston</v>
      </c>
      <c r="AE48" t="str">
        <f>IFERROR(__xludf.DUMMYFUNCTION("""COMPUTED_VALUE"""),"Iowa")</f>
        <v>Iowa</v>
      </c>
      <c r="AF48" t="str">
        <f>IFERROR(__xludf.DUMMYFUNCTION("""COMPUTED_VALUE"""),"Iowa State")</f>
        <v>Iowa State</v>
      </c>
      <c r="AG48" t="str">
        <f>IFERROR(__xludf.DUMMYFUNCTION("""COMPUTED_VALUE"""),"Jacksonville State")</f>
        <v>Jacksonville State</v>
      </c>
      <c r="AH48" t="str">
        <f>IFERROR(__xludf.DUMMYFUNCTION("""COMPUTED_VALUE"""),"Kansas")</f>
        <v>Kansas</v>
      </c>
      <c r="AI48" t="str">
        <f>IFERROR(__xludf.DUMMYFUNCTION("""COMPUTED_VALUE"""),"Kennesaw State")</f>
        <v>Kennesaw State</v>
      </c>
      <c r="AJ48" t="str">
        <f>IFERROR(__xludf.DUMMYFUNCTION("""COMPUTED_VALUE"""),"Kent State")</f>
        <v>Kent State</v>
      </c>
      <c r="AK48" t="str">
        <f>IFERROR(__xludf.DUMMYFUNCTION("""COMPUTED_VALUE"""),"Kentucky")</f>
        <v>Kentucky</v>
      </c>
      <c r="AL48" t="str">
        <f>IFERROR(__xludf.DUMMYFUNCTION("""COMPUTED_VALUE"""),"LSU")</f>
        <v>LSU</v>
      </c>
      <c r="AM48" t="str">
        <f>IFERROR(__xludf.DUMMYFUNCTION("""COMPUTED_VALUE"""),"Marshall")</f>
        <v>Marshall</v>
      </c>
      <c r="AN48" t="str">
        <f>IFERROR(__xludf.DUMMYFUNCTION("""COMPUTED_VALUE"""),"Maryland")</f>
        <v>Maryland</v>
      </c>
      <c r="AO48" t="str">
        <f>IFERROR(__xludf.DUMMYFUNCTION("""COMPUTED_VALUE"""),"Michigan State")</f>
        <v>Michigan State</v>
      </c>
      <c r="AP48" t="str">
        <f>IFERROR(__xludf.DUMMYFUNCTION("""COMPUTED_VALUE"""),"Middle Tennessee")</f>
        <v>Middle Tennessee</v>
      </c>
      <c r="AQ48" t="str">
        <f>IFERROR(__xludf.DUMMYFUNCTION("""COMPUTED_VALUE"""),"Minnesota")</f>
        <v>Minnesota</v>
      </c>
      <c r="AR48" t="str">
        <f>IFERROR(__xludf.DUMMYFUNCTION("""COMPUTED_VALUE"""),"Mississippi State")</f>
        <v>Mississippi State</v>
      </c>
      <c r="AS48" t="str">
        <f>IFERROR(__xludf.DUMMYFUNCTION("""COMPUTED_VALUE"""),"Missouri")</f>
        <v>Missouri</v>
      </c>
      <c r="AT48" t="str">
        <f>IFERROR(__xludf.DUMMYFUNCTION("""COMPUTED_VALUE"""),"Missouri State")</f>
        <v>Missouri State</v>
      </c>
      <c r="AU48" t="str">
        <f>IFERROR(__xludf.DUMMYFUNCTION("""COMPUTED_VALUE"""),"NC State")</f>
        <v>NC State</v>
      </c>
      <c r="AV48" t="str">
        <f>IFERROR(__xludf.DUMMYFUNCTION("""COMPUTED_VALUE"""),"Nebraska")</f>
        <v>Nebraska</v>
      </c>
      <c r="AW48" t="str">
        <f>IFERROR(__xludf.DUMMYFUNCTION("""COMPUTED_VALUE"""),"Nevada")</f>
        <v>Nevada</v>
      </c>
      <c r="AX48" t="str">
        <f>IFERROR(__xludf.DUMMYFUNCTION("""COMPUTED_VALUE"""),"New Mexico")</f>
        <v>New Mexico</v>
      </c>
      <c r="AY48" t="str">
        <f>IFERROR(__xludf.DUMMYFUNCTION("""COMPUTED_VALUE"""),"New Mexico State")</f>
        <v>New Mexico State</v>
      </c>
      <c r="AZ48" t="str">
        <f>IFERROR(__xludf.DUMMYFUNCTION("""COMPUTED_VALUE"""),"North Carolina")</f>
        <v>North Carolina</v>
      </c>
      <c r="BA48" t="str">
        <f>IFERROR(__xludf.DUMMYFUNCTION("""COMPUTED_VALUE"""),"Northwestern")</f>
        <v>Northwestern</v>
      </c>
      <c r="BB48" t="str">
        <f>IFERROR(__xludf.DUMMYFUNCTION("""COMPUTED_VALUE"""),"Oklahoma")</f>
        <v>Oklahoma</v>
      </c>
      <c r="BC48" t="str">
        <f>IFERROR(__xludf.DUMMYFUNCTION("""COMPUTED_VALUE"""),"Oklahoma State")</f>
        <v>Oklahoma State</v>
      </c>
      <c r="BD48" t="str">
        <f>IFERROR(__xludf.DUMMYFUNCTION("""COMPUTED_VALUE"""),"Old Dominion")</f>
        <v>Old Dominion</v>
      </c>
      <c r="BE48" t="str">
        <f>IFERROR(__xludf.DUMMYFUNCTION("""COMPUTED_VALUE"""),"Oregon State")</f>
        <v>Oregon State</v>
      </c>
      <c r="BF48" t="str">
        <f>IFERROR(__xludf.DUMMYFUNCTION("""COMPUTED_VALUE"""),"Pittsburgh")</f>
        <v>Pittsburgh</v>
      </c>
      <c r="BG48" t="str">
        <f>IFERROR(__xludf.DUMMYFUNCTION("""COMPUTED_VALUE"""),"Purdue")</f>
        <v>Purdue</v>
      </c>
      <c r="BH48" t="str">
        <f>IFERROR(__xludf.DUMMYFUNCTION("""COMPUTED_VALUE"""),"Rice")</f>
        <v>Rice</v>
      </c>
      <c r="BI48" t="str">
        <f>IFERROR(__xludf.DUMMYFUNCTION("""COMPUTED_VALUE"""),"Rutgers")</f>
        <v>Rutgers</v>
      </c>
      <c r="BJ48" t="str">
        <f>IFERROR(__xludf.DUMMYFUNCTION("""COMPUTED_VALUE"""),"Sam Houston")</f>
        <v>Sam Houston</v>
      </c>
      <c r="BK48" t="str">
        <f>IFERROR(__xludf.DUMMYFUNCTION("""COMPUTED_VALUE"""),"San Diego State")</f>
        <v>San Diego State</v>
      </c>
      <c r="BL48" t="str">
        <f>IFERROR(__xludf.DUMMYFUNCTION("""COMPUTED_VALUE"""),"South Carolina")</f>
        <v>South Carolina</v>
      </c>
      <c r="BM48" t="str">
        <f>IFERROR(__xludf.DUMMYFUNCTION("""COMPUTED_VALUE"""),"Southern Mississippi")</f>
        <v>Southern Mississippi</v>
      </c>
      <c r="BN48" t="str">
        <f>IFERROR(__xludf.DUMMYFUNCTION("""COMPUTED_VALUE"""),"Stanford")</f>
        <v>Stanford</v>
      </c>
      <c r="BO48" t="str">
        <f>IFERROR(__xludf.DUMMYFUNCTION("""COMPUTED_VALUE"""),"Syracuse")</f>
        <v>Syracuse</v>
      </c>
      <c r="BP48" t="str">
        <f>IFERROR(__xludf.DUMMYFUNCTION("""COMPUTED_VALUE"""),"TCU")</f>
        <v>TCU</v>
      </c>
      <c r="BQ48" t="str">
        <f>IFERROR(__xludf.DUMMYFUNCTION("""COMPUTED_VALUE"""),"Temple")</f>
        <v>Temple</v>
      </c>
      <c r="BR48" t="str">
        <f>IFERROR(__xludf.DUMMYFUNCTION("""COMPUTED_VALUE"""),"Texas A&amp;M")</f>
        <v>Texas A&amp;M</v>
      </c>
      <c r="BS48" t="str">
        <f>IFERROR(__xludf.DUMMYFUNCTION("""COMPUTED_VALUE"""),"Troy")</f>
        <v>Troy</v>
      </c>
      <c r="BT48" t="str">
        <f>IFERROR(__xludf.DUMMYFUNCTION("""COMPUTED_VALUE"""),"Tulsa")</f>
        <v>Tulsa</v>
      </c>
      <c r="BU48" t="str">
        <f>IFERROR(__xludf.DUMMYFUNCTION("""COMPUTED_VALUE"""),"UAB")</f>
        <v>UAB</v>
      </c>
      <c r="BV48" t="str">
        <f>IFERROR(__xludf.DUMMYFUNCTION("""COMPUTED_VALUE"""),"UCF")</f>
        <v>UCF</v>
      </c>
      <c r="BW48" t="str">
        <f>IFERROR(__xludf.DUMMYFUNCTION("""COMPUTED_VALUE"""),"UCLA")</f>
        <v>UCLA</v>
      </c>
      <c r="BX48" t="str">
        <f>IFERROR(__xludf.DUMMYFUNCTION("""COMPUTED_VALUE"""),"UConn")</f>
        <v>UConn</v>
      </c>
      <c r="BY48" t="str">
        <f>IFERROR(__xludf.DUMMYFUNCTION("""COMPUTED_VALUE"""),"UL Monroe")</f>
        <v>UL Monroe</v>
      </c>
      <c r="BZ48" t="str">
        <f>IFERROR(__xludf.DUMMYFUNCTION("""COMPUTED_VALUE"""),"UMASS")</f>
        <v>UMASS</v>
      </c>
      <c r="CA48" t="str">
        <f>IFERROR(__xludf.DUMMYFUNCTION("""COMPUTED_VALUE"""),"Utah State")</f>
        <v>Utah State</v>
      </c>
      <c r="CB48" t="str">
        <f>IFERROR(__xludf.DUMMYFUNCTION("""COMPUTED_VALUE"""),"UTEP")</f>
        <v>UTEP</v>
      </c>
      <c r="CC48" t="str">
        <f>IFERROR(__xludf.DUMMYFUNCTION("""COMPUTED_VALUE"""),"Vanderbilt")</f>
        <v>Vanderbilt</v>
      </c>
      <c r="CD48" t="str">
        <f>IFERROR(__xludf.DUMMYFUNCTION("""COMPUTED_VALUE"""),"Virginia")</f>
        <v>Virginia</v>
      </c>
      <c r="CE48" t="str">
        <f>IFERROR(__xludf.DUMMYFUNCTION("""COMPUTED_VALUE"""),"Virginia Tech")</f>
        <v>Virginia Tech</v>
      </c>
      <c r="CF48" t="str">
        <f>IFERROR(__xludf.DUMMYFUNCTION("""COMPUTED_VALUE"""),"Wake Forest")</f>
        <v>Wake Forest</v>
      </c>
      <c r="CG48" t="str">
        <f>IFERROR(__xludf.DUMMYFUNCTION("""COMPUTED_VALUE"""),"Washington")</f>
        <v>Washington</v>
      </c>
      <c r="CH48" t="str">
        <f>IFERROR(__xludf.DUMMYFUNCTION("""COMPUTED_VALUE"""),"Washington State")</f>
        <v>Washington State</v>
      </c>
      <c r="CI48" t="str">
        <f>IFERROR(__xludf.DUMMYFUNCTION("""COMPUTED_VALUE"""),"West Virginia")</f>
        <v>West Virginia</v>
      </c>
      <c r="CJ48" t="str">
        <f>IFERROR(__xludf.DUMMYFUNCTION("""COMPUTED_VALUE"""),"Western Michigan")</f>
        <v>Western Michigan</v>
      </c>
      <c r="CK48" t="str">
        <f>IFERROR(__xludf.DUMMYFUNCTION("""COMPUTED_VALUE"""),"Wisconsin")</f>
        <v>Wisconsin</v>
      </c>
      <c r="CL48" t="str">
        <f>IFERROR(__xludf.DUMMYFUNCTION("""COMPUTED_VALUE"""),"Wyoming")</f>
        <v>Wyoming</v>
      </c>
    </row>
    <row r="49">
      <c r="A49" s="1">
        <v>48.0</v>
      </c>
      <c r="B49" t="str">
        <f>IFERROR(__xludf.DUMMYFUNCTION("split(join("","",sort(byrow('Teams-Conference'!A$2:A1000,lambda(rw,if(iserror(match(rw,DraftTracker!F$1:F49,0)),rw,""""))),1,1)),"","",1,1)"),"Air Force")</f>
        <v>Air Force</v>
      </c>
      <c r="C49" t="str">
        <f>IFERROR(__xludf.DUMMYFUNCTION("""COMPUTED_VALUE"""),"Akron")</f>
        <v>Akron</v>
      </c>
      <c r="D49" t="str">
        <f>IFERROR(__xludf.DUMMYFUNCTION("""COMPUTED_VALUE"""),"Appalachian State")</f>
        <v>Appalachian State</v>
      </c>
      <c r="E49" t="str">
        <f>IFERROR(__xludf.DUMMYFUNCTION("""COMPUTED_VALUE"""),"Arizona")</f>
        <v>Arizona</v>
      </c>
      <c r="F49" t="str">
        <f>IFERROR(__xludf.DUMMYFUNCTION("""COMPUTED_VALUE"""),"Arkansas")</f>
        <v>Arkansas</v>
      </c>
      <c r="G49" t="str">
        <f>IFERROR(__xludf.DUMMYFUNCTION("""COMPUTED_VALUE"""),"Arkansas State")</f>
        <v>Arkansas State</v>
      </c>
      <c r="H49" t="str">
        <f>IFERROR(__xludf.DUMMYFUNCTION("""COMPUTED_VALUE"""),"Ball State")</f>
        <v>Ball State</v>
      </c>
      <c r="I49" t="str">
        <f>IFERROR(__xludf.DUMMYFUNCTION("""COMPUTED_VALUE"""),"Baylor")</f>
        <v>Baylor</v>
      </c>
      <c r="J49" t="str">
        <f>IFERROR(__xludf.DUMMYFUNCTION("""COMPUTED_VALUE"""),"Boston College")</f>
        <v>Boston College</v>
      </c>
      <c r="K49" t="str">
        <f>IFERROR(__xludf.DUMMYFUNCTION("""COMPUTED_VALUE"""),"Bowling Green")</f>
        <v>Bowling Green</v>
      </c>
      <c r="L49" t="str">
        <f>IFERROR(__xludf.DUMMYFUNCTION("""COMPUTED_VALUE"""),"California")</f>
        <v>California</v>
      </c>
      <c r="M49" t="str">
        <f>IFERROR(__xludf.DUMMYFUNCTION("""COMPUTED_VALUE"""),"Central Michigan")</f>
        <v>Central Michigan</v>
      </c>
      <c r="N49" t="str">
        <f>IFERROR(__xludf.DUMMYFUNCTION("""COMPUTED_VALUE"""),"Charlotte")</f>
        <v>Charlotte</v>
      </c>
      <c r="O49" t="str">
        <f>IFERROR(__xludf.DUMMYFUNCTION("""COMPUTED_VALUE"""),"Cincinnati")</f>
        <v>Cincinnati</v>
      </c>
      <c r="P49" t="str">
        <f>IFERROR(__xludf.DUMMYFUNCTION("""COMPUTED_VALUE"""),"Coastal Carolina")</f>
        <v>Coastal Carolina</v>
      </c>
      <c r="Q49" t="str">
        <f>IFERROR(__xludf.DUMMYFUNCTION("""COMPUTED_VALUE"""),"Colorado")</f>
        <v>Colorado</v>
      </c>
      <c r="R49" t="str">
        <f>IFERROR(__xludf.DUMMYFUNCTION("""COMPUTED_VALUE"""),"Delaware")</f>
        <v>Delaware</v>
      </c>
      <c r="S49" t="str">
        <f>IFERROR(__xludf.DUMMYFUNCTION("""COMPUTED_VALUE"""),"Duke")</f>
        <v>Duke</v>
      </c>
      <c r="T49" t="str">
        <f>IFERROR(__xludf.DUMMYFUNCTION("""COMPUTED_VALUE"""),"East Carolina")</f>
        <v>East Carolina</v>
      </c>
      <c r="U49" t="str">
        <f>IFERROR(__xludf.DUMMYFUNCTION("""COMPUTED_VALUE"""),"EMU")</f>
        <v>EMU</v>
      </c>
      <c r="V49" t="str">
        <f>IFERROR(__xludf.DUMMYFUNCTION("""COMPUTED_VALUE"""),"Florida")</f>
        <v>Florida</v>
      </c>
      <c r="W49" t="str">
        <f>IFERROR(__xludf.DUMMYFUNCTION("""COMPUTED_VALUE"""),"Florida Atlantic")</f>
        <v>Florida Atlantic</v>
      </c>
      <c r="X49" t="str">
        <f>IFERROR(__xludf.DUMMYFUNCTION("""COMPUTED_VALUE"""),"Florida Intl")</f>
        <v>Florida Intl</v>
      </c>
      <c r="Y49" t="str">
        <f>IFERROR(__xludf.DUMMYFUNCTION("""COMPUTED_VALUE"""),"Florida State")</f>
        <v>Florida State</v>
      </c>
      <c r="Z49" t="str">
        <f>IFERROR(__xludf.DUMMYFUNCTION("""COMPUTED_VALUE"""),"Georgia State")</f>
        <v>Georgia State</v>
      </c>
      <c r="AA49" t="str">
        <f>IFERROR(__xludf.DUMMYFUNCTION("""COMPUTED_VALUE"""),"Georgia Tech")</f>
        <v>Georgia Tech</v>
      </c>
      <c r="AB49" t="str">
        <f>IFERROR(__xludf.DUMMYFUNCTION("""COMPUTED_VALUE"""),"Hawaii")</f>
        <v>Hawaii</v>
      </c>
      <c r="AC49" t="str">
        <f>IFERROR(__xludf.DUMMYFUNCTION("""COMPUTED_VALUE"""),"Houston")</f>
        <v>Houston</v>
      </c>
      <c r="AD49" t="str">
        <f>IFERROR(__xludf.DUMMYFUNCTION("""COMPUTED_VALUE"""),"Iowa")</f>
        <v>Iowa</v>
      </c>
      <c r="AE49" t="str">
        <f>IFERROR(__xludf.DUMMYFUNCTION("""COMPUTED_VALUE"""),"Iowa State")</f>
        <v>Iowa State</v>
      </c>
      <c r="AF49" t="str">
        <f>IFERROR(__xludf.DUMMYFUNCTION("""COMPUTED_VALUE"""),"Jacksonville State")</f>
        <v>Jacksonville State</v>
      </c>
      <c r="AG49" t="str">
        <f>IFERROR(__xludf.DUMMYFUNCTION("""COMPUTED_VALUE"""),"Kansas")</f>
        <v>Kansas</v>
      </c>
      <c r="AH49" t="str">
        <f>IFERROR(__xludf.DUMMYFUNCTION("""COMPUTED_VALUE"""),"Kennesaw State")</f>
        <v>Kennesaw State</v>
      </c>
      <c r="AI49" t="str">
        <f>IFERROR(__xludf.DUMMYFUNCTION("""COMPUTED_VALUE"""),"Kent State")</f>
        <v>Kent State</v>
      </c>
      <c r="AJ49" t="str">
        <f>IFERROR(__xludf.DUMMYFUNCTION("""COMPUTED_VALUE"""),"Kentucky")</f>
        <v>Kentucky</v>
      </c>
      <c r="AK49" t="str">
        <f>IFERROR(__xludf.DUMMYFUNCTION("""COMPUTED_VALUE"""),"LSU")</f>
        <v>LSU</v>
      </c>
      <c r="AL49" t="str">
        <f>IFERROR(__xludf.DUMMYFUNCTION("""COMPUTED_VALUE"""),"Marshall")</f>
        <v>Marshall</v>
      </c>
      <c r="AM49" t="str">
        <f>IFERROR(__xludf.DUMMYFUNCTION("""COMPUTED_VALUE"""),"Maryland")</f>
        <v>Maryland</v>
      </c>
      <c r="AN49" t="str">
        <f>IFERROR(__xludf.DUMMYFUNCTION("""COMPUTED_VALUE"""),"Michigan State")</f>
        <v>Michigan State</v>
      </c>
      <c r="AO49" t="str">
        <f>IFERROR(__xludf.DUMMYFUNCTION("""COMPUTED_VALUE"""),"Middle Tennessee")</f>
        <v>Middle Tennessee</v>
      </c>
      <c r="AP49" t="str">
        <f>IFERROR(__xludf.DUMMYFUNCTION("""COMPUTED_VALUE"""),"Minnesota")</f>
        <v>Minnesota</v>
      </c>
      <c r="AQ49" t="str">
        <f>IFERROR(__xludf.DUMMYFUNCTION("""COMPUTED_VALUE"""),"Mississippi State")</f>
        <v>Mississippi State</v>
      </c>
      <c r="AR49" t="str">
        <f>IFERROR(__xludf.DUMMYFUNCTION("""COMPUTED_VALUE"""),"Missouri")</f>
        <v>Missouri</v>
      </c>
      <c r="AS49" t="str">
        <f>IFERROR(__xludf.DUMMYFUNCTION("""COMPUTED_VALUE"""),"Missouri State")</f>
        <v>Missouri State</v>
      </c>
      <c r="AT49" t="str">
        <f>IFERROR(__xludf.DUMMYFUNCTION("""COMPUTED_VALUE"""),"NC State")</f>
        <v>NC State</v>
      </c>
      <c r="AU49" t="str">
        <f>IFERROR(__xludf.DUMMYFUNCTION("""COMPUTED_VALUE"""),"Nebraska")</f>
        <v>Nebraska</v>
      </c>
      <c r="AV49" t="str">
        <f>IFERROR(__xludf.DUMMYFUNCTION("""COMPUTED_VALUE"""),"Nevada")</f>
        <v>Nevada</v>
      </c>
      <c r="AW49" t="str">
        <f>IFERROR(__xludf.DUMMYFUNCTION("""COMPUTED_VALUE"""),"New Mexico")</f>
        <v>New Mexico</v>
      </c>
      <c r="AX49" t="str">
        <f>IFERROR(__xludf.DUMMYFUNCTION("""COMPUTED_VALUE"""),"New Mexico State")</f>
        <v>New Mexico State</v>
      </c>
      <c r="AY49" t="str">
        <f>IFERROR(__xludf.DUMMYFUNCTION("""COMPUTED_VALUE"""),"North Carolina")</f>
        <v>North Carolina</v>
      </c>
      <c r="AZ49" t="str">
        <f>IFERROR(__xludf.DUMMYFUNCTION("""COMPUTED_VALUE"""),"Northwestern")</f>
        <v>Northwestern</v>
      </c>
      <c r="BA49" t="str">
        <f>IFERROR(__xludf.DUMMYFUNCTION("""COMPUTED_VALUE"""),"Oklahoma")</f>
        <v>Oklahoma</v>
      </c>
      <c r="BB49" t="str">
        <f>IFERROR(__xludf.DUMMYFUNCTION("""COMPUTED_VALUE"""),"Oklahoma State")</f>
        <v>Oklahoma State</v>
      </c>
      <c r="BC49" t="str">
        <f>IFERROR(__xludf.DUMMYFUNCTION("""COMPUTED_VALUE"""),"Old Dominion")</f>
        <v>Old Dominion</v>
      </c>
      <c r="BD49" t="str">
        <f>IFERROR(__xludf.DUMMYFUNCTION("""COMPUTED_VALUE"""),"Oregon State")</f>
        <v>Oregon State</v>
      </c>
      <c r="BE49" t="str">
        <f>IFERROR(__xludf.DUMMYFUNCTION("""COMPUTED_VALUE"""),"Pittsburgh")</f>
        <v>Pittsburgh</v>
      </c>
      <c r="BF49" t="str">
        <f>IFERROR(__xludf.DUMMYFUNCTION("""COMPUTED_VALUE"""),"Purdue")</f>
        <v>Purdue</v>
      </c>
      <c r="BG49" t="str">
        <f>IFERROR(__xludf.DUMMYFUNCTION("""COMPUTED_VALUE"""),"Rice")</f>
        <v>Rice</v>
      </c>
      <c r="BH49" t="str">
        <f>IFERROR(__xludf.DUMMYFUNCTION("""COMPUTED_VALUE"""),"Rutgers")</f>
        <v>Rutgers</v>
      </c>
      <c r="BI49" t="str">
        <f>IFERROR(__xludf.DUMMYFUNCTION("""COMPUTED_VALUE"""),"Sam Houston")</f>
        <v>Sam Houston</v>
      </c>
      <c r="BJ49" t="str">
        <f>IFERROR(__xludf.DUMMYFUNCTION("""COMPUTED_VALUE"""),"San Diego State")</f>
        <v>San Diego State</v>
      </c>
      <c r="BK49" t="str">
        <f>IFERROR(__xludf.DUMMYFUNCTION("""COMPUTED_VALUE"""),"South Carolina")</f>
        <v>South Carolina</v>
      </c>
      <c r="BL49" t="str">
        <f>IFERROR(__xludf.DUMMYFUNCTION("""COMPUTED_VALUE"""),"Southern Mississippi")</f>
        <v>Southern Mississippi</v>
      </c>
      <c r="BM49" t="str">
        <f>IFERROR(__xludf.DUMMYFUNCTION("""COMPUTED_VALUE"""),"Stanford")</f>
        <v>Stanford</v>
      </c>
      <c r="BN49" t="str">
        <f>IFERROR(__xludf.DUMMYFUNCTION("""COMPUTED_VALUE"""),"Syracuse")</f>
        <v>Syracuse</v>
      </c>
      <c r="BO49" t="str">
        <f>IFERROR(__xludf.DUMMYFUNCTION("""COMPUTED_VALUE"""),"TCU")</f>
        <v>TCU</v>
      </c>
      <c r="BP49" t="str">
        <f>IFERROR(__xludf.DUMMYFUNCTION("""COMPUTED_VALUE"""),"Temple")</f>
        <v>Temple</v>
      </c>
      <c r="BQ49" t="str">
        <f>IFERROR(__xludf.DUMMYFUNCTION("""COMPUTED_VALUE"""),"Texas A&amp;M")</f>
        <v>Texas A&amp;M</v>
      </c>
      <c r="BR49" t="str">
        <f>IFERROR(__xludf.DUMMYFUNCTION("""COMPUTED_VALUE"""),"Troy")</f>
        <v>Troy</v>
      </c>
      <c r="BS49" t="str">
        <f>IFERROR(__xludf.DUMMYFUNCTION("""COMPUTED_VALUE"""),"Tulsa")</f>
        <v>Tulsa</v>
      </c>
      <c r="BT49" t="str">
        <f>IFERROR(__xludf.DUMMYFUNCTION("""COMPUTED_VALUE"""),"UAB")</f>
        <v>UAB</v>
      </c>
      <c r="BU49" t="str">
        <f>IFERROR(__xludf.DUMMYFUNCTION("""COMPUTED_VALUE"""),"UCF")</f>
        <v>UCF</v>
      </c>
      <c r="BV49" t="str">
        <f>IFERROR(__xludf.DUMMYFUNCTION("""COMPUTED_VALUE"""),"UCLA")</f>
        <v>UCLA</v>
      </c>
      <c r="BW49" t="str">
        <f>IFERROR(__xludf.DUMMYFUNCTION("""COMPUTED_VALUE"""),"UConn")</f>
        <v>UConn</v>
      </c>
      <c r="BX49" t="str">
        <f>IFERROR(__xludf.DUMMYFUNCTION("""COMPUTED_VALUE"""),"UL Monroe")</f>
        <v>UL Monroe</v>
      </c>
      <c r="BY49" t="str">
        <f>IFERROR(__xludf.DUMMYFUNCTION("""COMPUTED_VALUE"""),"UMASS")</f>
        <v>UMASS</v>
      </c>
      <c r="BZ49" t="str">
        <f>IFERROR(__xludf.DUMMYFUNCTION("""COMPUTED_VALUE"""),"Utah State")</f>
        <v>Utah State</v>
      </c>
      <c r="CA49" t="str">
        <f>IFERROR(__xludf.DUMMYFUNCTION("""COMPUTED_VALUE"""),"UTEP")</f>
        <v>UTEP</v>
      </c>
      <c r="CB49" t="str">
        <f>IFERROR(__xludf.DUMMYFUNCTION("""COMPUTED_VALUE"""),"Vanderbilt")</f>
        <v>Vanderbilt</v>
      </c>
      <c r="CC49" t="str">
        <f>IFERROR(__xludf.DUMMYFUNCTION("""COMPUTED_VALUE"""),"Virginia")</f>
        <v>Virginia</v>
      </c>
      <c r="CD49" t="str">
        <f>IFERROR(__xludf.DUMMYFUNCTION("""COMPUTED_VALUE"""),"Virginia Tech")</f>
        <v>Virginia Tech</v>
      </c>
      <c r="CE49" t="str">
        <f>IFERROR(__xludf.DUMMYFUNCTION("""COMPUTED_VALUE"""),"Wake Forest")</f>
        <v>Wake Forest</v>
      </c>
      <c r="CF49" t="str">
        <f>IFERROR(__xludf.DUMMYFUNCTION("""COMPUTED_VALUE"""),"Washington")</f>
        <v>Washington</v>
      </c>
      <c r="CG49" t="str">
        <f>IFERROR(__xludf.DUMMYFUNCTION("""COMPUTED_VALUE"""),"Washington State")</f>
        <v>Washington State</v>
      </c>
      <c r="CH49" t="str">
        <f>IFERROR(__xludf.DUMMYFUNCTION("""COMPUTED_VALUE"""),"West Virginia")</f>
        <v>West Virginia</v>
      </c>
      <c r="CI49" t="str">
        <f>IFERROR(__xludf.DUMMYFUNCTION("""COMPUTED_VALUE"""),"Western Michigan")</f>
        <v>Western Michigan</v>
      </c>
      <c r="CJ49" t="str">
        <f>IFERROR(__xludf.DUMMYFUNCTION("""COMPUTED_VALUE"""),"Wisconsin")</f>
        <v>Wisconsin</v>
      </c>
      <c r="CK49" t="str">
        <f>IFERROR(__xludf.DUMMYFUNCTION("""COMPUTED_VALUE"""),"Wyoming")</f>
        <v>Wyoming</v>
      </c>
    </row>
    <row r="50">
      <c r="A50" s="1">
        <v>49.0</v>
      </c>
      <c r="B50" t="str">
        <f>IFERROR(__xludf.DUMMYFUNCTION("split(join("","",sort(byrow('Teams-Conference'!A$2:A1000,lambda(rw,if(iserror(match(rw,DraftTracker!F$1:F50,0)),rw,""""))),1,1)),"","",1,1)"),"Air Force")</f>
        <v>Air Force</v>
      </c>
      <c r="C50" t="str">
        <f>IFERROR(__xludf.DUMMYFUNCTION("""COMPUTED_VALUE"""),"Akron")</f>
        <v>Akron</v>
      </c>
      <c r="D50" t="str">
        <f>IFERROR(__xludf.DUMMYFUNCTION("""COMPUTED_VALUE"""),"Appalachian State")</f>
        <v>Appalachian State</v>
      </c>
      <c r="E50" t="str">
        <f>IFERROR(__xludf.DUMMYFUNCTION("""COMPUTED_VALUE"""),"Arizona")</f>
        <v>Arizona</v>
      </c>
      <c r="F50" t="str">
        <f>IFERROR(__xludf.DUMMYFUNCTION("""COMPUTED_VALUE"""),"Arkansas")</f>
        <v>Arkansas</v>
      </c>
      <c r="G50" t="str">
        <f>IFERROR(__xludf.DUMMYFUNCTION("""COMPUTED_VALUE"""),"Arkansas State")</f>
        <v>Arkansas State</v>
      </c>
      <c r="H50" t="str">
        <f>IFERROR(__xludf.DUMMYFUNCTION("""COMPUTED_VALUE"""),"Ball State")</f>
        <v>Ball State</v>
      </c>
      <c r="I50" t="str">
        <f>IFERROR(__xludf.DUMMYFUNCTION("""COMPUTED_VALUE"""),"Baylor")</f>
        <v>Baylor</v>
      </c>
      <c r="J50" t="str">
        <f>IFERROR(__xludf.DUMMYFUNCTION("""COMPUTED_VALUE"""),"Boston College")</f>
        <v>Boston College</v>
      </c>
      <c r="K50" t="str">
        <f>IFERROR(__xludf.DUMMYFUNCTION("""COMPUTED_VALUE"""),"Bowling Green")</f>
        <v>Bowling Green</v>
      </c>
      <c r="L50" t="str">
        <f>IFERROR(__xludf.DUMMYFUNCTION("""COMPUTED_VALUE"""),"California")</f>
        <v>California</v>
      </c>
      <c r="M50" t="str">
        <f>IFERROR(__xludf.DUMMYFUNCTION("""COMPUTED_VALUE"""),"Central Michigan")</f>
        <v>Central Michigan</v>
      </c>
      <c r="N50" t="str">
        <f>IFERROR(__xludf.DUMMYFUNCTION("""COMPUTED_VALUE"""),"Charlotte")</f>
        <v>Charlotte</v>
      </c>
      <c r="O50" t="str">
        <f>IFERROR(__xludf.DUMMYFUNCTION("""COMPUTED_VALUE"""),"Cincinnati")</f>
        <v>Cincinnati</v>
      </c>
      <c r="P50" t="str">
        <f>IFERROR(__xludf.DUMMYFUNCTION("""COMPUTED_VALUE"""),"Coastal Carolina")</f>
        <v>Coastal Carolina</v>
      </c>
      <c r="Q50" t="str">
        <f>IFERROR(__xludf.DUMMYFUNCTION("""COMPUTED_VALUE"""),"Colorado")</f>
        <v>Colorado</v>
      </c>
      <c r="R50" t="str">
        <f>IFERROR(__xludf.DUMMYFUNCTION("""COMPUTED_VALUE"""),"Delaware")</f>
        <v>Delaware</v>
      </c>
      <c r="S50" t="str">
        <f>IFERROR(__xludf.DUMMYFUNCTION("""COMPUTED_VALUE"""),"Duke")</f>
        <v>Duke</v>
      </c>
      <c r="T50" t="str">
        <f>IFERROR(__xludf.DUMMYFUNCTION("""COMPUTED_VALUE"""),"East Carolina")</f>
        <v>East Carolina</v>
      </c>
      <c r="U50" t="str">
        <f>IFERROR(__xludf.DUMMYFUNCTION("""COMPUTED_VALUE"""),"EMU")</f>
        <v>EMU</v>
      </c>
      <c r="V50" t="str">
        <f>IFERROR(__xludf.DUMMYFUNCTION("""COMPUTED_VALUE"""),"Florida")</f>
        <v>Florida</v>
      </c>
      <c r="W50" t="str">
        <f>IFERROR(__xludf.DUMMYFUNCTION("""COMPUTED_VALUE"""),"Florida Atlantic")</f>
        <v>Florida Atlantic</v>
      </c>
      <c r="X50" t="str">
        <f>IFERROR(__xludf.DUMMYFUNCTION("""COMPUTED_VALUE"""),"Florida Intl")</f>
        <v>Florida Intl</v>
      </c>
      <c r="Y50" t="str">
        <f>IFERROR(__xludf.DUMMYFUNCTION("""COMPUTED_VALUE"""),"Florida State")</f>
        <v>Florida State</v>
      </c>
      <c r="Z50" t="str">
        <f>IFERROR(__xludf.DUMMYFUNCTION("""COMPUTED_VALUE"""),"Georgia State")</f>
        <v>Georgia State</v>
      </c>
      <c r="AA50" t="str">
        <f>IFERROR(__xludf.DUMMYFUNCTION("""COMPUTED_VALUE"""),"Georgia Tech")</f>
        <v>Georgia Tech</v>
      </c>
      <c r="AB50" t="str">
        <f>IFERROR(__xludf.DUMMYFUNCTION("""COMPUTED_VALUE"""),"Hawaii")</f>
        <v>Hawaii</v>
      </c>
      <c r="AC50" t="str">
        <f>IFERROR(__xludf.DUMMYFUNCTION("""COMPUTED_VALUE"""),"Houston")</f>
        <v>Houston</v>
      </c>
      <c r="AD50" t="str">
        <f>IFERROR(__xludf.DUMMYFUNCTION("""COMPUTED_VALUE"""),"Iowa")</f>
        <v>Iowa</v>
      </c>
      <c r="AE50" t="str">
        <f>IFERROR(__xludf.DUMMYFUNCTION("""COMPUTED_VALUE"""),"Iowa State")</f>
        <v>Iowa State</v>
      </c>
      <c r="AF50" t="str">
        <f>IFERROR(__xludf.DUMMYFUNCTION("""COMPUTED_VALUE"""),"Jacksonville State")</f>
        <v>Jacksonville State</v>
      </c>
      <c r="AG50" t="str">
        <f>IFERROR(__xludf.DUMMYFUNCTION("""COMPUTED_VALUE"""),"Kansas")</f>
        <v>Kansas</v>
      </c>
      <c r="AH50" t="str">
        <f>IFERROR(__xludf.DUMMYFUNCTION("""COMPUTED_VALUE"""),"Kennesaw State")</f>
        <v>Kennesaw State</v>
      </c>
      <c r="AI50" t="str">
        <f>IFERROR(__xludf.DUMMYFUNCTION("""COMPUTED_VALUE"""),"Kent State")</f>
        <v>Kent State</v>
      </c>
      <c r="AJ50" t="str">
        <f>IFERROR(__xludf.DUMMYFUNCTION("""COMPUTED_VALUE"""),"Kentucky")</f>
        <v>Kentucky</v>
      </c>
      <c r="AK50" t="str">
        <f>IFERROR(__xludf.DUMMYFUNCTION("""COMPUTED_VALUE"""),"LSU")</f>
        <v>LSU</v>
      </c>
      <c r="AL50" t="str">
        <f>IFERROR(__xludf.DUMMYFUNCTION("""COMPUTED_VALUE"""),"Marshall")</f>
        <v>Marshall</v>
      </c>
      <c r="AM50" t="str">
        <f>IFERROR(__xludf.DUMMYFUNCTION("""COMPUTED_VALUE"""),"Maryland")</f>
        <v>Maryland</v>
      </c>
      <c r="AN50" t="str">
        <f>IFERROR(__xludf.DUMMYFUNCTION("""COMPUTED_VALUE"""),"Michigan State")</f>
        <v>Michigan State</v>
      </c>
      <c r="AO50" t="str">
        <f>IFERROR(__xludf.DUMMYFUNCTION("""COMPUTED_VALUE"""),"Middle Tennessee")</f>
        <v>Middle Tennessee</v>
      </c>
      <c r="AP50" t="str">
        <f>IFERROR(__xludf.DUMMYFUNCTION("""COMPUTED_VALUE"""),"Minnesota")</f>
        <v>Minnesota</v>
      </c>
      <c r="AQ50" t="str">
        <f>IFERROR(__xludf.DUMMYFUNCTION("""COMPUTED_VALUE"""),"Mississippi State")</f>
        <v>Mississippi State</v>
      </c>
      <c r="AR50" t="str">
        <f>IFERROR(__xludf.DUMMYFUNCTION("""COMPUTED_VALUE"""),"Missouri")</f>
        <v>Missouri</v>
      </c>
      <c r="AS50" t="str">
        <f>IFERROR(__xludf.DUMMYFUNCTION("""COMPUTED_VALUE"""),"Missouri State")</f>
        <v>Missouri State</v>
      </c>
      <c r="AT50" t="str">
        <f>IFERROR(__xludf.DUMMYFUNCTION("""COMPUTED_VALUE"""),"NC State")</f>
        <v>NC State</v>
      </c>
      <c r="AU50" t="str">
        <f>IFERROR(__xludf.DUMMYFUNCTION("""COMPUTED_VALUE"""),"Nebraska")</f>
        <v>Nebraska</v>
      </c>
      <c r="AV50" t="str">
        <f>IFERROR(__xludf.DUMMYFUNCTION("""COMPUTED_VALUE"""),"Nevada")</f>
        <v>Nevada</v>
      </c>
      <c r="AW50" t="str">
        <f>IFERROR(__xludf.DUMMYFUNCTION("""COMPUTED_VALUE"""),"New Mexico")</f>
        <v>New Mexico</v>
      </c>
      <c r="AX50" t="str">
        <f>IFERROR(__xludf.DUMMYFUNCTION("""COMPUTED_VALUE"""),"New Mexico State")</f>
        <v>New Mexico State</v>
      </c>
      <c r="AY50" t="str">
        <f>IFERROR(__xludf.DUMMYFUNCTION("""COMPUTED_VALUE"""),"Northwestern")</f>
        <v>Northwestern</v>
      </c>
      <c r="AZ50" t="str">
        <f>IFERROR(__xludf.DUMMYFUNCTION("""COMPUTED_VALUE"""),"Oklahoma")</f>
        <v>Oklahoma</v>
      </c>
      <c r="BA50" t="str">
        <f>IFERROR(__xludf.DUMMYFUNCTION("""COMPUTED_VALUE"""),"Oklahoma State")</f>
        <v>Oklahoma State</v>
      </c>
      <c r="BB50" t="str">
        <f>IFERROR(__xludf.DUMMYFUNCTION("""COMPUTED_VALUE"""),"Old Dominion")</f>
        <v>Old Dominion</v>
      </c>
      <c r="BC50" t="str">
        <f>IFERROR(__xludf.DUMMYFUNCTION("""COMPUTED_VALUE"""),"Oregon State")</f>
        <v>Oregon State</v>
      </c>
      <c r="BD50" t="str">
        <f>IFERROR(__xludf.DUMMYFUNCTION("""COMPUTED_VALUE"""),"Pittsburgh")</f>
        <v>Pittsburgh</v>
      </c>
      <c r="BE50" t="str">
        <f>IFERROR(__xludf.DUMMYFUNCTION("""COMPUTED_VALUE"""),"Purdue")</f>
        <v>Purdue</v>
      </c>
      <c r="BF50" t="str">
        <f>IFERROR(__xludf.DUMMYFUNCTION("""COMPUTED_VALUE"""),"Rice")</f>
        <v>Rice</v>
      </c>
      <c r="BG50" t="str">
        <f>IFERROR(__xludf.DUMMYFUNCTION("""COMPUTED_VALUE"""),"Rutgers")</f>
        <v>Rutgers</v>
      </c>
      <c r="BH50" t="str">
        <f>IFERROR(__xludf.DUMMYFUNCTION("""COMPUTED_VALUE"""),"Sam Houston")</f>
        <v>Sam Houston</v>
      </c>
      <c r="BI50" t="str">
        <f>IFERROR(__xludf.DUMMYFUNCTION("""COMPUTED_VALUE"""),"San Diego State")</f>
        <v>San Diego State</v>
      </c>
      <c r="BJ50" t="str">
        <f>IFERROR(__xludf.DUMMYFUNCTION("""COMPUTED_VALUE"""),"South Carolina")</f>
        <v>South Carolina</v>
      </c>
      <c r="BK50" t="str">
        <f>IFERROR(__xludf.DUMMYFUNCTION("""COMPUTED_VALUE"""),"Southern Mississippi")</f>
        <v>Southern Mississippi</v>
      </c>
      <c r="BL50" t="str">
        <f>IFERROR(__xludf.DUMMYFUNCTION("""COMPUTED_VALUE"""),"Stanford")</f>
        <v>Stanford</v>
      </c>
      <c r="BM50" t="str">
        <f>IFERROR(__xludf.DUMMYFUNCTION("""COMPUTED_VALUE"""),"Syracuse")</f>
        <v>Syracuse</v>
      </c>
      <c r="BN50" t="str">
        <f>IFERROR(__xludf.DUMMYFUNCTION("""COMPUTED_VALUE"""),"TCU")</f>
        <v>TCU</v>
      </c>
      <c r="BO50" t="str">
        <f>IFERROR(__xludf.DUMMYFUNCTION("""COMPUTED_VALUE"""),"Temple")</f>
        <v>Temple</v>
      </c>
      <c r="BP50" t="str">
        <f>IFERROR(__xludf.DUMMYFUNCTION("""COMPUTED_VALUE"""),"Texas A&amp;M")</f>
        <v>Texas A&amp;M</v>
      </c>
      <c r="BQ50" t="str">
        <f>IFERROR(__xludf.DUMMYFUNCTION("""COMPUTED_VALUE"""),"Troy")</f>
        <v>Troy</v>
      </c>
      <c r="BR50" t="str">
        <f>IFERROR(__xludf.DUMMYFUNCTION("""COMPUTED_VALUE"""),"Tulsa")</f>
        <v>Tulsa</v>
      </c>
      <c r="BS50" t="str">
        <f>IFERROR(__xludf.DUMMYFUNCTION("""COMPUTED_VALUE"""),"UAB")</f>
        <v>UAB</v>
      </c>
      <c r="BT50" t="str">
        <f>IFERROR(__xludf.DUMMYFUNCTION("""COMPUTED_VALUE"""),"UCF")</f>
        <v>UCF</v>
      </c>
      <c r="BU50" t="str">
        <f>IFERROR(__xludf.DUMMYFUNCTION("""COMPUTED_VALUE"""),"UCLA")</f>
        <v>UCLA</v>
      </c>
      <c r="BV50" t="str">
        <f>IFERROR(__xludf.DUMMYFUNCTION("""COMPUTED_VALUE"""),"UConn")</f>
        <v>UConn</v>
      </c>
      <c r="BW50" t="str">
        <f>IFERROR(__xludf.DUMMYFUNCTION("""COMPUTED_VALUE"""),"UL Monroe")</f>
        <v>UL Monroe</v>
      </c>
      <c r="BX50" t="str">
        <f>IFERROR(__xludf.DUMMYFUNCTION("""COMPUTED_VALUE"""),"UMASS")</f>
        <v>UMASS</v>
      </c>
      <c r="BY50" t="str">
        <f>IFERROR(__xludf.DUMMYFUNCTION("""COMPUTED_VALUE"""),"Utah State")</f>
        <v>Utah State</v>
      </c>
      <c r="BZ50" t="str">
        <f>IFERROR(__xludf.DUMMYFUNCTION("""COMPUTED_VALUE"""),"UTEP")</f>
        <v>UTEP</v>
      </c>
      <c r="CA50" t="str">
        <f>IFERROR(__xludf.DUMMYFUNCTION("""COMPUTED_VALUE"""),"Vanderbilt")</f>
        <v>Vanderbilt</v>
      </c>
      <c r="CB50" t="str">
        <f>IFERROR(__xludf.DUMMYFUNCTION("""COMPUTED_VALUE"""),"Virginia")</f>
        <v>Virginia</v>
      </c>
      <c r="CC50" t="str">
        <f>IFERROR(__xludf.DUMMYFUNCTION("""COMPUTED_VALUE"""),"Virginia Tech")</f>
        <v>Virginia Tech</v>
      </c>
      <c r="CD50" t="str">
        <f>IFERROR(__xludf.DUMMYFUNCTION("""COMPUTED_VALUE"""),"Wake Forest")</f>
        <v>Wake Forest</v>
      </c>
      <c r="CE50" t="str">
        <f>IFERROR(__xludf.DUMMYFUNCTION("""COMPUTED_VALUE"""),"Washington")</f>
        <v>Washington</v>
      </c>
      <c r="CF50" t="str">
        <f>IFERROR(__xludf.DUMMYFUNCTION("""COMPUTED_VALUE"""),"Washington State")</f>
        <v>Washington State</v>
      </c>
      <c r="CG50" t="str">
        <f>IFERROR(__xludf.DUMMYFUNCTION("""COMPUTED_VALUE"""),"West Virginia")</f>
        <v>West Virginia</v>
      </c>
      <c r="CH50" t="str">
        <f>IFERROR(__xludf.DUMMYFUNCTION("""COMPUTED_VALUE"""),"Western Michigan")</f>
        <v>Western Michigan</v>
      </c>
      <c r="CI50" t="str">
        <f>IFERROR(__xludf.DUMMYFUNCTION("""COMPUTED_VALUE"""),"Wisconsin")</f>
        <v>Wisconsin</v>
      </c>
      <c r="CJ50" t="str">
        <f>IFERROR(__xludf.DUMMYFUNCTION("""COMPUTED_VALUE"""),"Wyoming")</f>
        <v>Wyoming</v>
      </c>
    </row>
    <row r="51">
      <c r="A51" s="1">
        <v>50.0</v>
      </c>
      <c r="B51" t="str">
        <f>IFERROR(__xludf.DUMMYFUNCTION("split(join("","",sort(byrow('Teams-Conference'!A$2:A1000,lambda(rw,if(iserror(match(rw,DraftTracker!F$1:F51,0)),rw,""""))),1,1)),"","",1,1)"),"Air Force")</f>
        <v>Air Force</v>
      </c>
      <c r="C51" t="str">
        <f>IFERROR(__xludf.DUMMYFUNCTION("""COMPUTED_VALUE"""),"Akron")</f>
        <v>Akron</v>
      </c>
      <c r="D51" t="str">
        <f>IFERROR(__xludf.DUMMYFUNCTION("""COMPUTED_VALUE"""),"Appalachian State")</f>
        <v>Appalachian State</v>
      </c>
      <c r="E51" t="str">
        <f>IFERROR(__xludf.DUMMYFUNCTION("""COMPUTED_VALUE"""),"Arizona")</f>
        <v>Arizona</v>
      </c>
      <c r="F51" t="str">
        <f>IFERROR(__xludf.DUMMYFUNCTION("""COMPUTED_VALUE"""),"Arkansas")</f>
        <v>Arkansas</v>
      </c>
      <c r="G51" t="str">
        <f>IFERROR(__xludf.DUMMYFUNCTION("""COMPUTED_VALUE"""),"Arkansas State")</f>
        <v>Arkansas State</v>
      </c>
      <c r="H51" t="str">
        <f>IFERROR(__xludf.DUMMYFUNCTION("""COMPUTED_VALUE"""),"Ball State")</f>
        <v>Ball State</v>
      </c>
      <c r="I51" t="str">
        <f>IFERROR(__xludf.DUMMYFUNCTION("""COMPUTED_VALUE"""),"Baylor")</f>
        <v>Baylor</v>
      </c>
      <c r="J51" t="str">
        <f>IFERROR(__xludf.DUMMYFUNCTION("""COMPUTED_VALUE"""),"Boston College")</f>
        <v>Boston College</v>
      </c>
      <c r="K51" t="str">
        <f>IFERROR(__xludf.DUMMYFUNCTION("""COMPUTED_VALUE"""),"Bowling Green")</f>
        <v>Bowling Green</v>
      </c>
      <c r="L51" t="str">
        <f>IFERROR(__xludf.DUMMYFUNCTION("""COMPUTED_VALUE"""),"California")</f>
        <v>California</v>
      </c>
      <c r="M51" t="str">
        <f>IFERROR(__xludf.DUMMYFUNCTION("""COMPUTED_VALUE"""),"Central Michigan")</f>
        <v>Central Michigan</v>
      </c>
      <c r="N51" t="str">
        <f>IFERROR(__xludf.DUMMYFUNCTION("""COMPUTED_VALUE"""),"Charlotte")</f>
        <v>Charlotte</v>
      </c>
      <c r="O51" t="str">
        <f>IFERROR(__xludf.DUMMYFUNCTION("""COMPUTED_VALUE"""),"Cincinnati")</f>
        <v>Cincinnati</v>
      </c>
      <c r="P51" t="str">
        <f>IFERROR(__xludf.DUMMYFUNCTION("""COMPUTED_VALUE"""),"Coastal Carolina")</f>
        <v>Coastal Carolina</v>
      </c>
      <c r="Q51" t="str">
        <f>IFERROR(__xludf.DUMMYFUNCTION("""COMPUTED_VALUE"""),"Colorado")</f>
        <v>Colorado</v>
      </c>
      <c r="R51" t="str">
        <f>IFERROR(__xludf.DUMMYFUNCTION("""COMPUTED_VALUE"""),"Delaware")</f>
        <v>Delaware</v>
      </c>
      <c r="S51" t="str">
        <f>IFERROR(__xludf.DUMMYFUNCTION("""COMPUTED_VALUE"""),"Duke")</f>
        <v>Duke</v>
      </c>
      <c r="T51" t="str">
        <f>IFERROR(__xludf.DUMMYFUNCTION("""COMPUTED_VALUE"""),"EMU")</f>
        <v>EMU</v>
      </c>
      <c r="U51" t="str">
        <f>IFERROR(__xludf.DUMMYFUNCTION("""COMPUTED_VALUE"""),"Florida")</f>
        <v>Florida</v>
      </c>
      <c r="V51" t="str">
        <f>IFERROR(__xludf.DUMMYFUNCTION("""COMPUTED_VALUE"""),"Florida Atlantic")</f>
        <v>Florida Atlantic</v>
      </c>
      <c r="W51" t="str">
        <f>IFERROR(__xludf.DUMMYFUNCTION("""COMPUTED_VALUE"""),"Florida Intl")</f>
        <v>Florida Intl</v>
      </c>
      <c r="X51" t="str">
        <f>IFERROR(__xludf.DUMMYFUNCTION("""COMPUTED_VALUE"""),"Florida State")</f>
        <v>Florida State</v>
      </c>
      <c r="Y51" t="str">
        <f>IFERROR(__xludf.DUMMYFUNCTION("""COMPUTED_VALUE"""),"Georgia State")</f>
        <v>Georgia State</v>
      </c>
      <c r="Z51" t="str">
        <f>IFERROR(__xludf.DUMMYFUNCTION("""COMPUTED_VALUE"""),"Georgia Tech")</f>
        <v>Georgia Tech</v>
      </c>
      <c r="AA51" t="str">
        <f>IFERROR(__xludf.DUMMYFUNCTION("""COMPUTED_VALUE"""),"Hawaii")</f>
        <v>Hawaii</v>
      </c>
      <c r="AB51" t="str">
        <f>IFERROR(__xludf.DUMMYFUNCTION("""COMPUTED_VALUE"""),"Houston")</f>
        <v>Houston</v>
      </c>
      <c r="AC51" t="str">
        <f>IFERROR(__xludf.DUMMYFUNCTION("""COMPUTED_VALUE"""),"Iowa")</f>
        <v>Iowa</v>
      </c>
      <c r="AD51" t="str">
        <f>IFERROR(__xludf.DUMMYFUNCTION("""COMPUTED_VALUE"""),"Iowa State")</f>
        <v>Iowa State</v>
      </c>
      <c r="AE51" t="str">
        <f>IFERROR(__xludf.DUMMYFUNCTION("""COMPUTED_VALUE"""),"Jacksonville State")</f>
        <v>Jacksonville State</v>
      </c>
      <c r="AF51" t="str">
        <f>IFERROR(__xludf.DUMMYFUNCTION("""COMPUTED_VALUE"""),"Kansas")</f>
        <v>Kansas</v>
      </c>
      <c r="AG51" t="str">
        <f>IFERROR(__xludf.DUMMYFUNCTION("""COMPUTED_VALUE"""),"Kennesaw State")</f>
        <v>Kennesaw State</v>
      </c>
      <c r="AH51" t="str">
        <f>IFERROR(__xludf.DUMMYFUNCTION("""COMPUTED_VALUE"""),"Kent State")</f>
        <v>Kent State</v>
      </c>
      <c r="AI51" t="str">
        <f>IFERROR(__xludf.DUMMYFUNCTION("""COMPUTED_VALUE"""),"Kentucky")</f>
        <v>Kentucky</v>
      </c>
      <c r="AJ51" t="str">
        <f>IFERROR(__xludf.DUMMYFUNCTION("""COMPUTED_VALUE"""),"LSU")</f>
        <v>LSU</v>
      </c>
      <c r="AK51" t="str">
        <f>IFERROR(__xludf.DUMMYFUNCTION("""COMPUTED_VALUE"""),"Marshall")</f>
        <v>Marshall</v>
      </c>
      <c r="AL51" t="str">
        <f>IFERROR(__xludf.DUMMYFUNCTION("""COMPUTED_VALUE"""),"Maryland")</f>
        <v>Maryland</v>
      </c>
      <c r="AM51" t="str">
        <f>IFERROR(__xludf.DUMMYFUNCTION("""COMPUTED_VALUE"""),"Michigan State")</f>
        <v>Michigan State</v>
      </c>
      <c r="AN51" t="str">
        <f>IFERROR(__xludf.DUMMYFUNCTION("""COMPUTED_VALUE"""),"Middle Tennessee")</f>
        <v>Middle Tennessee</v>
      </c>
      <c r="AO51" t="str">
        <f>IFERROR(__xludf.DUMMYFUNCTION("""COMPUTED_VALUE"""),"Minnesota")</f>
        <v>Minnesota</v>
      </c>
      <c r="AP51" t="str">
        <f>IFERROR(__xludf.DUMMYFUNCTION("""COMPUTED_VALUE"""),"Mississippi State")</f>
        <v>Mississippi State</v>
      </c>
      <c r="AQ51" t="str">
        <f>IFERROR(__xludf.DUMMYFUNCTION("""COMPUTED_VALUE"""),"Missouri")</f>
        <v>Missouri</v>
      </c>
      <c r="AR51" t="str">
        <f>IFERROR(__xludf.DUMMYFUNCTION("""COMPUTED_VALUE"""),"Missouri State")</f>
        <v>Missouri State</v>
      </c>
      <c r="AS51" t="str">
        <f>IFERROR(__xludf.DUMMYFUNCTION("""COMPUTED_VALUE"""),"NC State")</f>
        <v>NC State</v>
      </c>
      <c r="AT51" t="str">
        <f>IFERROR(__xludf.DUMMYFUNCTION("""COMPUTED_VALUE"""),"Nebraska")</f>
        <v>Nebraska</v>
      </c>
      <c r="AU51" t="str">
        <f>IFERROR(__xludf.DUMMYFUNCTION("""COMPUTED_VALUE"""),"Nevada")</f>
        <v>Nevada</v>
      </c>
      <c r="AV51" t="str">
        <f>IFERROR(__xludf.DUMMYFUNCTION("""COMPUTED_VALUE"""),"New Mexico")</f>
        <v>New Mexico</v>
      </c>
      <c r="AW51" t="str">
        <f>IFERROR(__xludf.DUMMYFUNCTION("""COMPUTED_VALUE"""),"New Mexico State")</f>
        <v>New Mexico State</v>
      </c>
      <c r="AX51" t="str">
        <f>IFERROR(__xludf.DUMMYFUNCTION("""COMPUTED_VALUE"""),"Northwestern")</f>
        <v>Northwestern</v>
      </c>
      <c r="AY51" t="str">
        <f>IFERROR(__xludf.DUMMYFUNCTION("""COMPUTED_VALUE"""),"Oklahoma")</f>
        <v>Oklahoma</v>
      </c>
      <c r="AZ51" t="str">
        <f>IFERROR(__xludf.DUMMYFUNCTION("""COMPUTED_VALUE"""),"Oklahoma State")</f>
        <v>Oklahoma State</v>
      </c>
      <c r="BA51" t="str">
        <f>IFERROR(__xludf.DUMMYFUNCTION("""COMPUTED_VALUE"""),"Old Dominion")</f>
        <v>Old Dominion</v>
      </c>
      <c r="BB51" t="str">
        <f>IFERROR(__xludf.DUMMYFUNCTION("""COMPUTED_VALUE"""),"Oregon State")</f>
        <v>Oregon State</v>
      </c>
      <c r="BC51" t="str">
        <f>IFERROR(__xludf.DUMMYFUNCTION("""COMPUTED_VALUE"""),"Pittsburgh")</f>
        <v>Pittsburgh</v>
      </c>
      <c r="BD51" t="str">
        <f>IFERROR(__xludf.DUMMYFUNCTION("""COMPUTED_VALUE"""),"Purdue")</f>
        <v>Purdue</v>
      </c>
      <c r="BE51" t="str">
        <f>IFERROR(__xludf.DUMMYFUNCTION("""COMPUTED_VALUE"""),"Rice")</f>
        <v>Rice</v>
      </c>
      <c r="BF51" t="str">
        <f>IFERROR(__xludf.DUMMYFUNCTION("""COMPUTED_VALUE"""),"Rutgers")</f>
        <v>Rutgers</v>
      </c>
      <c r="BG51" t="str">
        <f>IFERROR(__xludf.DUMMYFUNCTION("""COMPUTED_VALUE"""),"Sam Houston")</f>
        <v>Sam Houston</v>
      </c>
      <c r="BH51" t="str">
        <f>IFERROR(__xludf.DUMMYFUNCTION("""COMPUTED_VALUE"""),"San Diego State")</f>
        <v>San Diego State</v>
      </c>
      <c r="BI51" t="str">
        <f>IFERROR(__xludf.DUMMYFUNCTION("""COMPUTED_VALUE"""),"South Carolina")</f>
        <v>South Carolina</v>
      </c>
      <c r="BJ51" t="str">
        <f>IFERROR(__xludf.DUMMYFUNCTION("""COMPUTED_VALUE"""),"Southern Mississippi")</f>
        <v>Southern Mississippi</v>
      </c>
      <c r="BK51" t="str">
        <f>IFERROR(__xludf.DUMMYFUNCTION("""COMPUTED_VALUE"""),"Stanford")</f>
        <v>Stanford</v>
      </c>
      <c r="BL51" t="str">
        <f>IFERROR(__xludf.DUMMYFUNCTION("""COMPUTED_VALUE"""),"Syracuse")</f>
        <v>Syracuse</v>
      </c>
      <c r="BM51" t="str">
        <f>IFERROR(__xludf.DUMMYFUNCTION("""COMPUTED_VALUE"""),"TCU")</f>
        <v>TCU</v>
      </c>
      <c r="BN51" t="str">
        <f>IFERROR(__xludf.DUMMYFUNCTION("""COMPUTED_VALUE"""),"Temple")</f>
        <v>Temple</v>
      </c>
      <c r="BO51" t="str">
        <f>IFERROR(__xludf.DUMMYFUNCTION("""COMPUTED_VALUE"""),"Texas A&amp;M")</f>
        <v>Texas A&amp;M</v>
      </c>
      <c r="BP51" t="str">
        <f>IFERROR(__xludf.DUMMYFUNCTION("""COMPUTED_VALUE"""),"Troy")</f>
        <v>Troy</v>
      </c>
      <c r="BQ51" t="str">
        <f>IFERROR(__xludf.DUMMYFUNCTION("""COMPUTED_VALUE"""),"Tulsa")</f>
        <v>Tulsa</v>
      </c>
      <c r="BR51" t="str">
        <f>IFERROR(__xludf.DUMMYFUNCTION("""COMPUTED_VALUE"""),"UAB")</f>
        <v>UAB</v>
      </c>
      <c r="BS51" t="str">
        <f>IFERROR(__xludf.DUMMYFUNCTION("""COMPUTED_VALUE"""),"UCF")</f>
        <v>UCF</v>
      </c>
      <c r="BT51" t="str">
        <f>IFERROR(__xludf.DUMMYFUNCTION("""COMPUTED_VALUE"""),"UCLA")</f>
        <v>UCLA</v>
      </c>
      <c r="BU51" t="str">
        <f>IFERROR(__xludf.DUMMYFUNCTION("""COMPUTED_VALUE"""),"UConn")</f>
        <v>UConn</v>
      </c>
      <c r="BV51" t="str">
        <f>IFERROR(__xludf.DUMMYFUNCTION("""COMPUTED_VALUE"""),"UL Monroe")</f>
        <v>UL Monroe</v>
      </c>
      <c r="BW51" t="str">
        <f>IFERROR(__xludf.DUMMYFUNCTION("""COMPUTED_VALUE"""),"UMASS")</f>
        <v>UMASS</v>
      </c>
      <c r="BX51" t="str">
        <f>IFERROR(__xludf.DUMMYFUNCTION("""COMPUTED_VALUE"""),"Utah State")</f>
        <v>Utah State</v>
      </c>
      <c r="BY51" t="str">
        <f>IFERROR(__xludf.DUMMYFUNCTION("""COMPUTED_VALUE"""),"UTEP")</f>
        <v>UTEP</v>
      </c>
      <c r="BZ51" t="str">
        <f>IFERROR(__xludf.DUMMYFUNCTION("""COMPUTED_VALUE"""),"Vanderbilt")</f>
        <v>Vanderbilt</v>
      </c>
      <c r="CA51" t="str">
        <f>IFERROR(__xludf.DUMMYFUNCTION("""COMPUTED_VALUE"""),"Virginia")</f>
        <v>Virginia</v>
      </c>
      <c r="CB51" t="str">
        <f>IFERROR(__xludf.DUMMYFUNCTION("""COMPUTED_VALUE"""),"Virginia Tech")</f>
        <v>Virginia Tech</v>
      </c>
      <c r="CC51" t="str">
        <f>IFERROR(__xludf.DUMMYFUNCTION("""COMPUTED_VALUE"""),"Wake Forest")</f>
        <v>Wake Forest</v>
      </c>
      <c r="CD51" t="str">
        <f>IFERROR(__xludf.DUMMYFUNCTION("""COMPUTED_VALUE"""),"Washington")</f>
        <v>Washington</v>
      </c>
      <c r="CE51" t="str">
        <f>IFERROR(__xludf.DUMMYFUNCTION("""COMPUTED_VALUE"""),"Washington State")</f>
        <v>Washington State</v>
      </c>
      <c r="CF51" t="str">
        <f>IFERROR(__xludf.DUMMYFUNCTION("""COMPUTED_VALUE"""),"West Virginia")</f>
        <v>West Virginia</v>
      </c>
      <c r="CG51" t="str">
        <f>IFERROR(__xludf.DUMMYFUNCTION("""COMPUTED_VALUE"""),"Western Michigan")</f>
        <v>Western Michigan</v>
      </c>
      <c r="CH51" t="str">
        <f>IFERROR(__xludf.DUMMYFUNCTION("""COMPUTED_VALUE"""),"Wisconsin")</f>
        <v>Wisconsin</v>
      </c>
      <c r="CI51" t="str">
        <f>IFERROR(__xludf.DUMMYFUNCTION("""COMPUTED_VALUE"""),"Wyoming")</f>
        <v>Wyoming</v>
      </c>
    </row>
    <row r="52">
      <c r="A52" s="1">
        <v>51.0</v>
      </c>
      <c r="B52" t="str">
        <f>IFERROR(__xludf.DUMMYFUNCTION("split(join("","",sort(byrow('Teams-Conference'!A$2:A1000,lambda(rw,if(iserror(match(rw,DraftTracker!F$1:F52,0)),rw,""""))),1,1)),"","",1,1)"),"Air Force")</f>
        <v>Air Force</v>
      </c>
      <c r="C52" t="str">
        <f>IFERROR(__xludf.DUMMYFUNCTION("""COMPUTED_VALUE"""),"Akron")</f>
        <v>Akron</v>
      </c>
      <c r="D52" t="str">
        <f>IFERROR(__xludf.DUMMYFUNCTION("""COMPUTED_VALUE"""),"Appalachian State")</f>
        <v>Appalachian State</v>
      </c>
      <c r="E52" t="str">
        <f>IFERROR(__xludf.DUMMYFUNCTION("""COMPUTED_VALUE"""),"Arizona")</f>
        <v>Arizona</v>
      </c>
      <c r="F52" t="str">
        <f>IFERROR(__xludf.DUMMYFUNCTION("""COMPUTED_VALUE"""),"Arkansas")</f>
        <v>Arkansas</v>
      </c>
      <c r="G52" t="str">
        <f>IFERROR(__xludf.DUMMYFUNCTION("""COMPUTED_VALUE"""),"Arkansas State")</f>
        <v>Arkansas State</v>
      </c>
      <c r="H52" t="str">
        <f>IFERROR(__xludf.DUMMYFUNCTION("""COMPUTED_VALUE"""),"Ball State")</f>
        <v>Ball State</v>
      </c>
      <c r="I52" t="str">
        <f>IFERROR(__xludf.DUMMYFUNCTION("""COMPUTED_VALUE"""),"Baylor")</f>
        <v>Baylor</v>
      </c>
      <c r="J52" t="str">
        <f>IFERROR(__xludf.DUMMYFUNCTION("""COMPUTED_VALUE"""),"Boston College")</f>
        <v>Boston College</v>
      </c>
      <c r="K52" t="str">
        <f>IFERROR(__xludf.DUMMYFUNCTION("""COMPUTED_VALUE"""),"Bowling Green")</f>
        <v>Bowling Green</v>
      </c>
      <c r="L52" t="str">
        <f>IFERROR(__xludf.DUMMYFUNCTION("""COMPUTED_VALUE"""),"California")</f>
        <v>California</v>
      </c>
      <c r="M52" t="str">
        <f>IFERROR(__xludf.DUMMYFUNCTION("""COMPUTED_VALUE"""),"Central Michigan")</f>
        <v>Central Michigan</v>
      </c>
      <c r="N52" t="str">
        <f>IFERROR(__xludf.DUMMYFUNCTION("""COMPUTED_VALUE"""),"Charlotte")</f>
        <v>Charlotte</v>
      </c>
      <c r="O52" t="str">
        <f>IFERROR(__xludf.DUMMYFUNCTION("""COMPUTED_VALUE"""),"Cincinnati")</f>
        <v>Cincinnati</v>
      </c>
      <c r="P52" t="str">
        <f>IFERROR(__xludf.DUMMYFUNCTION("""COMPUTED_VALUE"""),"Coastal Carolina")</f>
        <v>Coastal Carolina</v>
      </c>
      <c r="Q52" t="str">
        <f>IFERROR(__xludf.DUMMYFUNCTION("""COMPUTED_VALUE"""),"Colorado")</f>
        <v>Colorado</v>
      </c>
      <c r="R52" t="str">
        <f>IFERROR(__xludf.DUMMYFUNCTION("""COMPUTED_VALUE"""),"Delaware")</f>
        <v>Delaware</v>
      </c>
      <c r="S52" t="str">
        <f>IFERROR(__xludf.DUMMYFUNCTION("""COMPUTED_VALUE"""),"Duke")</f>
        <v>Duke</v>
      </c>
      <c r="T52" t="str">
        <f>IFERROR(__xludf.DUMMYFUNCTION("""COMPUTED_VALUE"""),"EMU")</f>
        <v>EMU</v>
      </c>
      <c r="U52" t="str">
        <f>IFERROR(__xludf.DUMMYFUNCTION("""COMPUTED_VALUE"""),"Florida")</f>
        <v>Florida</v>
      </c>
      <c r="V52" t="str">
        <f>IFERROR(__xludf.DUMMYFUNCTION("""COMPUTED_VALUE"""),"Florida Atlantic")</f>
        <v>Florida Atlantic</v>
      </c>
      <c r="W52" t="str">
        <f>IFERROR(__xludf.DUMMYFUNCTION("""COMPUTED_VALUE"""),"Florida Intl")</f>
        <v>Florida Intl</v>
      </c>
      <c r="X52" t="str">
        <f>IFERROR(__xludf.DUMMYFUNCTION("""COMPUTED_VALUE"""),"Florida State")</f>
        <v>Florida State</v>
      </c>
      <c r="Y52" t="str">
        <f>IFERROR(__xludf.DUMMYFUNCTION("""COMPUTED_VALUE"""),"Georgia State")</f>
        <v>Georgia State</v>
      </c>
      <c r="Z52" t="str">
        <f>IFERROR(__xludf.DUMMYFUNCTION("""COMPUTED_VALUE"""),"Georgia Tech")</f>
        <v>Georgia Tech</v>
      </c>
      <c r="AA52" t="str">
        <f>IFERROR(__xludf.DUMMYFUNCTION("""COMPUTED_VALUE"""),"Hawaii")</f>
        <v>Hawaii</v>
      </c>
      <c r="AB52" t="str">
        <f>IFERROR(__xludf.DUMMYFUNCTION("""COMPUTED_VALUE"""),"Houston")</f>
        <v>Houston</v>
      </c>
      <c r="AC52" t="str">
        <f>IFERROR(__xludf.DUMMYFUNCTION("""COMPUTED_VALUE"""),"Iowa")</f>
        <v>Iowa</v>
      </c>
      <c r="AD52" t="str">
        <f>IFERROR(__xludf.DUMMYFUNCTION("""COMPUTED_VALUE"""),"Iowa State")</f>
        <v>Iowa State</v>
      </c>
      <c r="AE52" t="str">
        <f>IFERROR(__xludf.DUMMYFUNCTION("""COMPUTED_VALUE"""),"Jacksonville State")</f>
        <v>Jacksonville State</v>
      </c>
      <c r="AF52" t="str">
        <f>IFERROR(__xludf.DUMMYFUNCTION("""COMPUTED_VALUE"""),"Kansas")</f>
        <v>Kansas</v>
      </c>
      <c r="AG52" t="str">
        <f>IFERROR(__xludf.DUMMYFUNCTION("""COMPUTED_VALUE"""),"Kennesaw State")</f>
        <v>Kennesaw State</v>
      </c>
      <c r="AH52" t="str">
        <f>IFERROR(__xludf.DUMMYFUNCTION("""COMPUTED_VALUE"""),"Kent State")</f>
        <v>Kent State</v>
      </c>
      <c r="AI52" t="str">
        <f>IFERROR(__xludf.DUMMYFUNCTION("""COMPUTED_VALUE"""),"Kentucky")</f>
        <v>Kentucky</v>
      </c>
      <c r="AJ52" t="str">
        <f>IFERROR(__xludf.DUMMYFUNCTION("""COMPUTED_VALUE"""),"LSU")</f>
        <v>LSU</v>
      </c>
      <c r="AK52" t="str">
        <f>IFERROR(__xludf.DUMMYFUNCTION("""COMPUTED_VALUE"""),"Marshall")</f>
        <v>Marshall</v>
      </c>
      <c r="AL52" t="str">
        <f>IFERROR(__xludf.DUMMYFUNCTION("""COMPUTED_VALUE"""),"Maryland")</f>
        <v>Maryland</v>
      </c>
      <c r="AM52" t="str">
        <f>IFERROR(__xludf.DUMMYFUNCTION("""COMPUTED_VALUE"""),"Michigan State")</f>
        <v>Michigan State</v>
      </c>
      <c r="AN52" t="str">
        <f>IFERROR(__xludf.DUMMYFUNCTION("""COMPUTED_VALUE"""),"Middle Tennessee")</f>
        <v>Middle Tennessee</v>
      </c>
      <c r="AO52" t="str">
        <f>IFERROR(__xludf.DUMMYFUNCTION("""COMPUTED_VALUE"""),"Minnesota")</f>
        <v>Minnesota</v>
      </c>
      <c r="AP52" t="str">
        <f>IFERROR(__xludf.DUMMYFUNCTION("""COMPUTED_VALUE"""),"Mississippi State")</f>
        <v>Mississippi State</v>
      </c>
      <c r="AQ52" t="str">
        <f>IFERROR(__xludf.DUMMYFUNCTION("""COMPUTED_VALUE"""),"Missouri")</f>
        <v>Missouri</v>
      </c>
      <c r="AR52" t="str">
        <f>IFERROR(__xludf.DUMMYFUNCTION("""COMPUTED_VALUE"""),"Missouri State")</f>
        <v>Missouri State</v>
      </c>
      <c r="AS52" t="str">
        <f>IFERROR(__xludf.DUMMYFUNCTION("""COMPUTED_VALUE"""),"NC State")</f>
        <v>NC State</v>
      </c>
      <c r="AT52" t="str">
        <f>IFERROR(__xludf.DUMMYFUNCTION("""COMPUTED_VALUE"""),"Nebraska")</f>
        <v>Nebraska</v>
      </c>
      <c r="AU52" t="str">
        <f>IFERROR(__xludf.DUMMYFUNCTION("""COMPUTED_VALUE"""),"Nevada")</f>
        <v>Nevada</v>
      </c>
      <c r="AV52" t="str">
        <f>IFERROR(__xludf.DUMMYFUNCTION("""COMPUTED_VALUE"""),"New Mexico")</f>
        <v>New Mexico</v>
      </c>
      <c r="AW52" t="str">
        <f>IFERROR(__xludf.DUMMYFUNCTION("""COMPUTED_VALUE"""),"New Mexico State")</f>
        <v>New Mexico State</v>
      </c>
      <c r="AX52" t="str">
        <f>IFERROR(__xludf.DUMMYFUNCTION("""COMPUTED_VALUE"""),"Northwestern")</f>
        <v>Northwestern</v>
      </c>
      <c r="AY52" t="str">
        <f>IFERROR(__xludf.DUMMYFUNCTION("""COMPUTED_VALUE"""),"Oklahoma")</f>
        <v>Oklahoma</v>
      </c>
      <c r="AZ52" t="str">
        <f>IFERROR(__xludf.DUMMYFUNCTION("""COMPUTED_VALUE"""),"Oklahoma State")</f>
        <v>Oklahoma State</v>
      </c>
      <c r="BA52" t="str">
        <f>IFERROR(__xludf.DUMMYFUNCTION("""COMPUTED_VALUE"""),"Old Dominion")</f>
        <v>Old Dominion</v>
      </c>
      <c r="BB52" t="str">
        <f>IFERROR(__xludf.DUMMYFUNCTION("""COMPUTED_VALUE"""),"Oregon State")</f>
        <v>Oregon State</v>
      </c>
      <c r="BC52" t="str">
        <f>IFERROR(__xludf.DUMMYFUNCTION("""COMPUTED_VALUE"""),"Pittsburgh")</f>
        <v>Pittsburgh</v>
      </c>
      <c r="BD52" t="str">
        <f>IFERROR(__xludf.DUMMYFUNCTION("""COMPUTED_VALUE"""),"Purdue")</f>
        <v>Purdue</v>
      </c>
      <c r="BE52" t="str">
        <f>IFERROR(__xludf.DUMMYFUNCTION("""COMPUTED_VALUE"""),"Rice")</f>
        <v>Rice</v>
      </c>
      <c r="BF52" t="str">
        <f>IFERROR(__xludf.DUMMYFUNCTION("""COMPUTED_VALUE"""),"Rutgers")</f>
        <v>Rutgers</v>
      </c>
      <c r="BG52" t="str">
        <f>IFERROR(__xludf.DUMMYFUNCTION("""COMPUTED_VALUE"""),"Sam Houston")</f>
        <v>Sam Houston</v>
      </c>
      <c r="BH52" t="str">
        <f>IFERROR(__xludf.DUMMYFUNCTION("""COMPUTED_VALUE"""),"San Diego State")</f>
        <v>San Diego State</v>
      </c>
      <c r="BI52" t="str">
        <f>IFERROR(__xludf.DUMMYFUNCTION("""COMPUTED_VALUE"""),"South Carolina")</f>
        <v>South Carolina</v>
      </c>
      <c r="BJ52" t="str">
        <f>IFERROR(__xludf.DUMMYFUNCTION("""COMPUTED_VALUE"""),"Southern Mississippi")</f>
        <v>Southern Mississippi</v>
      </c>
      <c r="BK52" t="str">
        <f>IFERROR(__xludf.DUMMYFUNCTION("""COMPUTED_VALUE"""),"Stanford")</f>
        <v>Stanford</v>
      </c>
      <c r="BL52" t="str">
        <f>IFERROR(__xludf.DUMMYFUNCTION("""COMPUTED_VALUE"""),"Syracuse")</f>
        <v>Syracuse</v>
      </c>
      <c r="BM52" t="str">
        <f>IFERROR(__xludf.DUMMYFUNCTION("""COMPUTED_VALUE"""),"TCU")</f>
        <v>TCU</v>
      </c>
      <c r="BN52" t="str">
        <f>IFERROR(__xludf.DUMMYFUNCTION("""COMPUTED_VALUE"""),"Temple")</f>
        <v>Temple</v>
      </c>
      <c r="BO52" t="str">
        <f>IFERROR(__xludf.DUMMYFUNCTION("""COMPUTED_VALUE"""),"Texas A&amp;M")</f>
        <v>Texas A&amp;M</v>
      </c>
      <c r="BP52" t="str">
        <f>IFERROR(__xludf.DUMMYFUNCTION("""COMPUTED_VALUE"""),"Troy")</f>
        <v>Troy</v>
      </c>
      <c r="BQ52" t="str">
        <f>IFERROR(__xludf.DUMMYFUNCTION("""COMPUTED_VALUE"""),"Tulsa")</f>
        <v>Tulsa</v>
      </c>
      <c r="BR52" t="str">
        <f>IFERROR(__xludf.DUMMYFUNCTION("""COMPUTED_VALUE"""),"UAB")</f>
        <v>UAB</v>
      </c>
      <c r="BS52" t="str">
        <f>IFERROR(__xludf.DUMMYFUNCTION("""COMPUTED_VALUE"""),"UCF")</f>
        <v>UCF</v>
      </c>
      <c r="BT52" t="str">
        <f>IFERROR(__xludf.DUMMYFUNCTION("""COMPUTED_VALUE"""),"UCLA")</f>
        <v>UCLA</v>
      </c>
      <c r="BU52" t="str">
        <f>IFERROR(__xludf.DUMMYFUNCTION("""COMPUTED_VALUE"""),"UConn")</f>
        <v>UConn</v>
      </c>
      <c r="BV52" t="str">
        <f>IFERROR(__xludf.DUMMYFUNCTION("""COMPUTED_VALUE"""),"UL Monroe")</f>
        <v>UL Monroe</v>
      </c>
      <c r="BW52" t="str">
        <f>IFERROR(__xludf.DUMMYFUNCTION("""COMPUTED_VALUE"""),"UMASS")</f>
        <v>UMASS</v>
      </c>
      <c r="BX52" t="str">
        <f>IFERROR(__xludf.DUMMYFUNCTION("""COMPUTED_VALUE"""),"Utah State")</f>
        <v>Utah State</v>
      </c>
      <c r="BY52" t="str">
        <f>IFERROR(__xludf.DUMMYFUNCTION("""COMPUTED_VALUE"""),"UTEP")</f>
        <v>UTEP</v>
      </c>
      <c r="BZ52" t="str">
        <f>IFERROR(__xludf.DUMMYFUNCTION("""COMPUTED_VALUE"""),"Vanderbilt")</f>
        <v>Vanderbilt</v>
      </c>
      <c r="CA52" t="str">
        <f>IFERROR(__xludf.DUMMYFUNCTION("""COMPUTED_VALUE"""),"Virginia")</f>
        <v>Virginia</v>
      </c>
      <c r="CB52" t="str">
        <f>IFERROR(__xludf.DUMMYFUNCTION("""COMPUTED_VALUE"""),"Virginia Tech")</f>
        <v>Virginia Tech</v>
      </c>
      <c r="CC52" t="str">
        <f>IFERROR(__xludf.DUMMYFUNCTION("""COMPUTED_VALUE"""),"Wake Forest")</f>
        <v>Wake Forest</v>
      </c>
      <c r="CD52" t="str">
        <f>IFERROR(__xludf.DUMMYFUNCTION("""COMPUTED_VALUE"""),"Washington State")</f>
        <v>Washington State</v>
      </c>
      <c r="CE52" t="str">
        <f>IFERROR(__xludf.DUMMYFUNCTION("""COMPUTED_VALUE"""),"West Virginia")</f>
        <v>West Virginia</v>
      </c>
      <c r="CF52" t="str">
        <f>IFERROR(__xludf.DUMMYFUNCTION("""COMPUTED_VALUE"""),"Western Michigan")</f>
        <v>Western Michigan</v>
      </c>
      <c r="CG52" t="str">
        <f>IFERROR(__xludf.DUMMYFUNCTION("""COMPUTED_VALUE"""),"Wisconsin")</f>
        <v>Wisconsin</v>
      </c>
      <c r="CH52" t="str">
        <f>IFERROR(__xludf.DUMMYFUNCTION("""COMPUTED_VALUE"""),"Wyoming")</f>
        <v>Wyoming</v>
      </c>
    </row>
    <row r="53">
      <c r="A53" s="1">
        <v>52.0</v>
      </c>
      <c r="B53" t="str">
        <f>IFERROR(__xludf.DUMMYFUNCTION("split(join("","",sort(byrow('Teams-Conference'!A$2:A1000,lambda(rw,if(iserror(match(rw,DraftTracker!F$1:F53,0)),rw,""""))),1,1)),"","",1,1)"),"Air Force")</f>
        <v>Air Force</v>
      </c>
      <c r="C53" t="str">
        <f>IFERROR(__xludf.DUMMYFUNCTION("""COMPUTED_VALUE"""),"Akron")</f>
        <v>Akron</v>
      </c>
      <c r="D53" t="str">
        <f>IFERROR(__xludf.DUMMYFUNCTION("""COMPUTED_VALUE"""),"Appalachian State")</f>
        <v>Appalachian State</v>
      </c>
      <c r="E53" t="str">
        <f>IFERROR(__xludf.DUMMYFUNCTION("""COMPUTED_VALUE"""),"Arizona")</f>
        <v>Arizona</v>
      </c>
      <c r="F53" t="str">
        <f>IFERROR(__xludf.DUMMYFUNCTION("""COMPUTED_VALUE"""),"Arkansas")</f>
        <v>Arkansas</v>
      </c>
      <c r="G53" t="str">
        <f>IFERROR(__xludf.DUMMYFUNCTION("""COMPUTED_VALUE"""),"Arkansas State")</f>
        <v>Arkansas State</v>
      </c>
      <c r="H53" t="str">
        <f>IFERROR(__xludf.DUMMYFUNCTION("""COMPUTED_VALUE"""),"Ball State")</f>
        <v>Ball State</v>
      </c>
      <c r="I53" t="str">
        <f>IFERROR(__xludf.DUMMYFUNCTION("""COMPUTED_VALUE"""),"Baylor")</f>
        <v>Baylor</v>
      </c>
      <c r="J53" t="str">
        <f>IFERROR(__xludf.DUMMYFUNCTION("""COMPUTED_VALUE"""),"Boston College")</f>
        <v>Boston College</v>
      </c>
      <c r="K53" t="str">
        <f>IFERROR(__xludf.DUMMYFUNCTION("""COMPUTED_VALUE"""),"Bowling Green")</f>
        <v>Bowling Green</v>
      </c>
      <c r="L53" t="str">
        <f>IFERROR(__xludf.DUMMYFUNCTION("""COMPUTED_VALUE"""),"California")</f>
        <v>California</v>
      </c>
      <c r="M53" t="str">
        <f>IFERROR(__xludf.DUMMYFUNCTION("""COMPUTED_VALUE"""),"Central Michigan")</f>
        <v>Central Michigan</v>
      </c>
      <c r="N53" t="str">
        <f>IFERROR(__xludf.DUMMYFUNCTION("""COMPUTED_VALUE"""),"Charlotte")</f>
        <v>Charlotte</v>
      </c>
      <c r="O53" t="str">
        <f>IFERROR(__xludf.DUMMYFUNCTION("""COMPUTED_VALUE"""),"Cincinnati")</f>
        <v>Cincinnati</v>
      </c>
      <c r="P53" t="str">
        <f>IFERROR(__xludf.DUMMYFUNCTION("""COMPUTED_VALUE"""),"Coastal Carolina")</f>
        <v>Coastal Carolina</v>
      </c>
      <c r="Q53" t="str">
        <f>IFERROR(__xludf.DUMMYFUNCTION("""COMPUTED_VALUE"""),"Colorado")</f>
        <v>Colorado</v>
      </c>
      <c r="R53" t="str">
        <f>IFERROR(__xludf.DUMMYFUNCTION("""COMPUTED_VALUE"""),"Delaware")</f>
        <v>Delaware</v>
      </c>
      <c r="S53" t="str">
        <f>IFERROR(__xludf.DUMMYFUNCTION("""COMPUTED_VALUE"""),"Duke")</f>
        <v>Duke</v>
      </c>
      <c r="T53" t="str">
        <f>IFERROR(__xludf.DUMMYFUNCTION("""COMPUTED_VALUE"""),"EMU")</f>
        <v>EMU</v>
      </c>
      <c r="U53" t="str">
        <f>IFERROR(__xludf.DUMMYFUNCTION("""COMPUTED_VALUE"""),"Florida")</f>
        <v>Florida</v>
      </c>
      <c r="V53" t="str">
        <f>IFERROR(__xludf.DUMMYFUNCTION("""COMPUTED_VALUE"""),"Florida Atlantic")</f>
        <v>Florida Atlantic</v>
      </c>
      <c r="W53" t="str">
        <f>IFERROR(__xludf.DUMMYFUNCTION("""COMPUTED_VALUE"""),"Florida Intl")</f>
        <v>Florida Intl</v>
      </c>
      <c r="X53" t="str">
        <f>IFERROR(__xludf.DUMMYFUNCTION("""COMPUTED_VALUE"""),"Florida State")</f>
        <v>Florida State</v>
      </c>
      <c r="Y53" t="str">
        <f>IFERROR(__xludf.DUMMYFUNCTION("""COMPUTED_VALUE"""),"Georgia State")</f>
        <v>Georgia State</v>
      </c>
      <c r="Z53" t="str">
        <f>IFERROR(__xludf.DUMMYFUNCTION("""COMPUTED_VALUE"""),"Georgia Tech")</f>
        <v>Georgia Tech</v>
      </c>
      <c r="AA53" t="str">
        <f>IFERROR(__xludf.DUMMYFUNCTION("""COMPUTED_VALUE"""),"Hawaii")</f>
        <v>Hawaii</v>
      </c>
      <c r="AB53" t="str">
        <f>IFERROR(__xludf.DUMMYFUNCTION("""COMPUTED_VALUE"""),"Houston")</f>
        <v>Houston</v>
      </c>
      <c r="AC53" t="str">
        <f>IFERROR(__xludf.DUMMYFUNCTION("""COMPUTED_VALUE"""),"Iowa")</f>
        <v>Iowa</v>
      </c>
      <c r="AD53" t="str">
        <f>IFERROR(__xludf.DUMMYFUNCTION("""COMPUTED_VALUE"""),"Iowa State")</f>
        <v>Iowa State</v>
      </c>
      <c r="AE53" t="str">
        <f>IFERROR(__xludf.DUMMYFUNCTION("""COMPUTED_VALUE"""),"Jacksonville State")</f>
        <v>Jacksonville State</v>
      </c>
      <c r="AF53" t="str">
        <f>IFERROR(__xludf.DUMMYFUNCTION("""COMPUTED_VALUE"""),"Kennesaw State")</f>
        <v>Kennesaw State</v>
      </c>
      <c r="AG53" t="str">
        <f>IFERROR(__xludf.DUMMYFUNCTION("""COMPUTED_VALUE"""),"Kent State")</f>
        <v>Kent State</v>
      </c>
      <c r="AH53" t="str">
        <f>IFERROR(__xludf.DUMMYFUNCTION("""COMPUTED_VALUE"""),"Kentucky")</f>
        <v>Kentucky</v>
      </c>
      <c r="AI53" t="str">
        <f>IFERROR(__xludf.DUMMYFUNCTION("""COMPUTED_VALUE"""),"LSU")</f>
        <v>LSU</v>
      </c>
      <c r="AJ53" t="str">
        <f>IFERROR(__xludf.DUMMYFUNCTION("""COMPUTED_VALUE"""),"Marshall")</f>
        <v>Marshall</v>
      </c>
      <c r="AK53" t="str">
        <f>IFERROR(__xludf.DUMMYFUNCTION("""COMPUTED_VALUE"""),"Maryland")</f>
        <v>Maryland</v>
      </c>
      <c r="AL53" t="str">
        <f>IFERROR(__xludf.DUMMYFUNCTION("""COMPUTED_VALUE"""),"Michigan State")</f>
        <v>Michigan State</v>
      </c>
      <c r="AM53" t="str">
        <f>IFERROR(__xludf.DUMMYFUNCTION("""COMPUTED_VALUE"""),"Middle Tennessee")</f>
        <v>Middle Tennessee</v>
      </c>
      <c r="AN53" t="str">
        <f>IFERROR(__xludf.DUMMYFUNCTION("""COMPUTED_VALUE"""),"Minnesota")</f>
        <v>Minnesota</v>
      </c>
      <c r="AO53" t="str">
        <f>IFERROR(__xludf.DUMMYFUNCTION("""COMPUTED_VALUE"""),"Mississippi State")</f>
        <v>Mississippi State</v>
      </c>
      <c r="AP53" t="str">
        <f>IFERROR(__xludf.DUMMYFUNCTION("""COMPUTED_VALUE"""),"Missouri")</f>
        <v>Missouri</v>
      </c>
      <c r="AQ53" t="str">
        <f>IFERROR(__xludf.DUMMYFUNCTION("""COMPUTED_VALUE"""),"Missouri State")</f>
        <v>Missouri State</v>
      </c>
      <c r="AR53" t="str">
        <f>IFERROR(__xludf.DUMMYFUNCTION("""COMPUTED_VALUE"""),"NC State")</f>
        <v>NC State</v>
      </c>
      <c r="AS53" t="str">
        <f>IFERROR(__xludf.DUMMYFUNCTION("""COMPUTED_VALUE"""),"Nebraska")</f>
        <v>Nebraska</v>
      </c>
      <c r="AT53" t="str">
        <f>IFERROR(__xludf.DUMMYFUNCTION("""COMPUTED_VALUE"""),"Nevada")</f>
        <v>Nevada</v>
      </c>
      <c r="AU53" t="str">
        <f>IFERROR(__xludf.DUMMYFUNCTION("""COMPUTED_VALUE"""),"New Mexico")</f>
        <v>New Mexico</v>
      </c>
      <c r="AV53" t="str">
        <f>IFERROR(__xludf.DUMMYFUNCTION("""COMPUTED_VALUE"""),"New Mexico State")</f>
        <v>New Mexico State</v>
      </c>
      <c r="AW53" t="str">
        <f>IFERROR(__xludf.DUMMYFUNCTION("""COMPUTED_VALUE"""),"Northwestern")</f>
        <v>Northwestern</v>
      </c>
      <c r="AX53" t="str">
        <f>IFERROR(__xludf.DUMMYFUNCTION("""COMPUTED_VALUE"""),"Oklahoma")</f>
        <v>Oklahoma</v>
      </c>
      <c r="AY53" t="str">
        <f>IFERROR(__xludf.DUMMYFUNCTION("""COMPUTED_VALUE"""),"Oklahoma State")</f>
        <v>Oklahoma State</v>
      </c>
      <c r="AZ53" t="str">
        <f>IFERROR(__xludf.DUMMYFUNCTION("""COMPUTED_VALUE"""),"Old Dominion")</f>
        <v>Old Dominion</v>
      </c>
      <c r="BA53" t="str">
        <f>IFERROR(__xludf.DUMMYFUNCTION("""COMPUTED_VALUE"""),"Oregon State")</f>
        <v>Oregon State</v>
      </c>
      <c r="BB53" t="str">
        <f>IFERROR(__xludf.DUMMYFUNCTION("""COMPUTED_VALUE"""),"Pittsburgh")</f>
        <v>Pittsburgh</v>
      </c>
      <c r="BC53" t="str">
        <f>IFERROR(__xludf.DUMMYFUNCTION("""COMPUTED_VALUE"""),"Purdue")</f>
        <v>Purdue</v>
      </c>
      <c r="BD53" t="str">
        <f>IFERROR(__xludf.DUMMYFUNCTION("""COMPUTED_VALUE"""),"Rice")</f>
        <v>Rice</v>
      </c>
      <c r="BE53" t="str">
        <f>IFERROR(__xludf.DUMMYFUNCTION("""COMPUTED_VALUE"""),"Rutgers")</f>
        <v>Rutgers</v>
      </c>
      <c r="BF53" t="str">
        <f>IFERROR(__xludf.DUMMYFUNCTION("""COMPUTED_VALUE"""),"Sam Houston")</f>
        <v>Sam Houston</v>
      </c>
      <c r="BG53" t="str">
        <f>IFERROR(__xludf.DUMMYFUNCTION("""COMPUTED_VALUE"""),"San Diego State")</f>
        <v>San Diego State</v>
      </c>
      <c r="BH53" t="str">
        <f>IFERROR(__xludf.DUMMYFUNCTION("""COMPUTED_VALUE"""),"South Carolina")</f>
        <v>South Carolina</v>
      </c>
      <c r="BI53" t="str">
        <f>IFERROR(__xludf.DUMMYFUNCTION("""COMPUTED_VALUE"""),"Southern Mississippi")</f>
        <v>Southern Mississippi</v>
      </c>
      <c r="BJ53" t="str">
        <f>IFERROR(__xludf.DUMMYFUNCTION("""COMPUTED_VALUE"""),"Stanford")</f>
        <v>Stanford</v>
      </c>
      <c r="BK53" t="str">
        <f>IFERROR(__xludf.DUMMYFUNCTION("""COMPUTED_VALUE"""),"Syracuse")</f>
        <v>Syracuse</v>
      </c>
      <c r="BL53" t="str">
        <f>IFERROR(__xludf.DUMMYFUNCTION("""COMPUTED_VALUE"""),"TCU")</f>
        <v>TCU</v>
      </c>
      <c r="BM53" t="str">
        <f>IFERROR(__xludf.DUMMYFUNCTION("""COMPUTED_VALUE"""),"Temple")</f>
        <v>Temple</v>
      </c>
      <c r="BN53" t="str">
        <f>IFERROR(__xludf.DUMMYFUNCTION("""COMPUTED_VALUE"""),"Texas A&amp;M")</f>
        <v>Texas A&amp;M</v>
      </c>
      <c r="BO53" t="str">
        <f>IFERROR(__xludf.DUMMYFUNCTION("""COMPUTED_VALUE"""),"Troy")</f>
        <v>Troy</v>
      </c>
      <c r="BP53" t="str">
        <f>IFERROR(__xludf.DUMMYFUNCTION("""COMPUTED_VALUE"""),"Tulsa")</f>
        <v>Tulsa</v>
      </c>
      <c r="BQ53" t="str">
        <f>IFERROR(__xludf.DUMMYFUNCTION("""COMPUTED_VALUE"""),"UAB")</f>
        <v>UAB</v>
      </c>
      <c r="BR53" t="str">
        <f>IFERROR(__xludf.DUMMYFUNCTION("""COMPUTED_VALUE"""),"UCF")</f>
        <v>UCF</v>
      </c>
      <c r="BS53" t="str">
        <f>IFERROR(__xludf.DUMMYFUNCTION("""COMPUTED_VALUE"""),"UCLA")</f>
        <v>UCLA</v>
      </c>
      <c r="BT53" t="str">
        <f>IFERROR(__xludf.DUMMYFUNCTION("""COMPUTED_VALUE"""),"UConn")</f>
        <v>UConn</v>
      </c>
      <c r="BU53" t="str">
        <f>IFERROR(__xludf.DUMMYFUNCTION("""COMPUTED_VALUE"""),"UL Monroe")</f>
        <v>UL Monroe</v>
      </c>
      <c r="BV53" t="str">
        <f>IFERROR(__xludf.DUMMYFUNCTION("""COMPUTED_VALUE"""),"UMASS")</f>
        <v>UMASS</v>
      </c>
      <c r="BW53" t="str">
        <f>IFERROR(__xludf.DUMMYFUNCTION("""COMPUTED_VALUE"""),"Utah State")</f>
        <v>Utah State</v>
      </c>
      <c r="BX53" t="str">
        <f>IFERROR(__xludf.DUMMYFUNCTION("""COMPUTED_VALUE"""),"UTEP")</f>
        <v>UTEP</v>
      </c>
      <c r="BY53" t="str">
        <f>IFERROR(__xludf.DUMMYFUNCTION("""COMPUTED_VALUE"""),"Vanderbilt")</f>
        <v>Vanderbilt</v>
      </c>
      <c r="BZ53" t="str">
        <f>IFERROR(__xludf.DUMMYFUNCTION("""COMPUTED_VALUE"""),"Virginia")</f>
        <v>Virginia</v>
      </c>
      <c r="CA53" t="str">
        <f>IFERROR(__xludf.DUMMYFUNCTION("""COMPUTED_VALUE"""),"Virginia Tech")</f>
        <v>Virginia Tech</v>
      </c>
      <c r="CB53" t="str">
        <f>IFERROR(__xludf.DUMMYFUNCTION("""COMPUTED_VALUE"""),"Wake Forest")</f>
        <v>Wake Forest</v>
      </c>
      <c r="CC53" t="str">
        <f>IFERROR(__xludf.DUMMYFUNCTION("""COMPUTED_VALUE"""),"Washington State")</f>
        <v>Washington State</v>
      </c>
      <c r="CD53" t="str">
        <f>IFERROR(__xludf.DUMMYFUNCTION("""COMPUTED_VALUE"""),"West Virginia")</f>
        <v>West Virginia</v>
      </c>
      <c r="CE53" t="str">
        <f>IFERROR(__xludf.DUMMYFUNCTION("""COMPUTED_VALUE"""),"Western Michigan")</f>
        <v>Western Michigan</v>
      </c>
      <c r="CF53" t="str">
        <f>IFERROR(__xludf.DUMMYFUNCTION("""COMPUTED_VALUE"""),"Wisconsin")</f>
        <v>Wisconsin</v>
      </c>
      <c r="CG53" t="str">
        <f>IFERROR(__xludf.DUMMYFUNCTION("""COMPUTED_VALUE"""),"Wyoming")</f>
        <v>Wyoming</v>
      </c>
    </row>
    <row r="54">
      <c r="A54" s="1">
        <v>53.0</v>
      </c>
      <c r="B54" t="str">
        <f>IFERROR(__xludf.DUMMYFUNCTION("split(join("","",sort(byrow('Teams-Conference'!A$2:A1000,lambda(rw,if(iserror(match(rw,DraftTracker!F$1:F54,0)),rw,""""))),1,1)),"","",1,1)"),"Air Force")</f>
        <v>Air Force</v>
      </c>
      <c r="C54" t="str">
        <f>IFERROR(__xludf.DUMMYFUNCTION("""COMPUTED_VALUE"""),"Akron")</f>
        <v>Akron</v>
      </c>
      <c r="D54" t="str">
        <f>IFERROR(__xludf.DUMMYFUNCTION("""COMPUTED_VALUE"""),"Appalachian State")</f>
        <v>Appalachian State</v>
      </c>
      <c r="E54" t="str">
        <f>IFERROR(__xludf.DUMMYFUNCTION("""COMPUTED_VALUE"""),"Arizona")</f>
        <v>Arizona</v>
      </c>
      <c r="F54" t="str">
        <f>IFERROR(__xludf.DUMMYFUNCTION("""COMPUTED_VALUE"""),"Arkansas")</f>
        <v>Arkansas</v>
      </c>
      <c r="G54" t="str">
        <f>IFERROR(__xludf.DUMMYFUNCTION("""COMPUTED_VALUE"""),"Arkansas State")</f>
        <v>Arkansas State</v>
      </c>
      <c r="H54" t="str">
        <f>IFERROR(__xludf.DUMMYFUNCTION("""COMPUTED_VALUE"""),"Ball State")</f>
        <v>Ball State</v>
      </c>
      <c r="I54" t="str">
        <f>IFERROR(__xludf.DUMMYFUNCTION("""COMPUTED_VALUE"""),"Baylor")</f>
        <v>Baylor</v>
      </c>
      <c r="J54" t="str">
        <f>IFERROR(__xludf.DUMMYFUNCTION("""COMPUTED_VALUE"""),"Boston College")</f>
        <v>Boston College</v>
      </c>
      <c r="K54" t="str">
        <f>IFERROR(__xludf.DUMMYFUNCTION("""COMPUTED_VALUE"""),"Bowling Green")</f>
        <v>Bowling Green</v>
      </c>
      <c r="L54" t="str">
        <f>IFERROR(__xludf.DUMMYFUNCTION("""COMPUTED_VALUE"""),"California")</f>
        <v>California</v>
      </c>
      <c r="M54" t="str">
        <f>IFERROR(__xludf.DUMMYFUNCTION("""COMPUTED_VALUE"""),"Central Michigan")</f>
        <v>Central Michigan</v>
      </c>
      <c r="N54" t="str">
        <f>IFERROR(__xludf.DUMMYFUNCTION("""COMPUTED_VALUE"""),"Charlotte")</f>
        <v>Charlotte</v>
      </c>
      <c r="O54" t="str">
        <f>IFERROR(__xludf.DUMMYFUNCTION("""COMPUTED_VALUE"""),"Cincinnati")</f>
        <v>Cincinnati</v>
      </c>
      <c r="P54" t="str">
        <f>IFERROR(__xludf.DUMMYFUNCTION("""COMPUTED_VALUE"""),"Coastal Carolina")</f>
        <v>Coastal Carolina</v>
      </c>
      <c r="Q54" t="str">
        <f>IFERROR(__xludf.DUMMYFUNCTION("""COMPUTED_VALUE"""),"Colorado")</f>
        <v>Colorado</v>
      </c>
      <c r="R54" t="str">
        <f>IFERROR(__xludf.DUMMYFUNCTION("""COMPUTED_VALUE"""),"Delaware")</f>
        <v>Delaware</v>
      </c>
      <c r="S54" t="str">
        <f>IFERROR(__xludf.DUMMYFUNCTION("""COMPUTED_VALUE"""),"Duke")</f>
        <v>Duke</v>
      </c>
      <c r="T54" t="str">
        <f>IFERROR(__xludf.DUMMYFUNCTION("""COMPUTED_VALUE"""),"EMU")</f>
        <v>EMU</v>
      </c>
      <c r="U54" t="str">
        <f>IFERROR(__xludf.DUMMYFUNCTION("""COMPUTED_VALUE"""),"Florida")</f>
        <v>Florida</v>
      </c>
      <c r="V54" t="str">
        <f>IFERROR(__xludf.DUMMYFUNCTION("""COMPUTED_VALUE"""),"Florida Atlantic")</f>
        <v>Florida Atlantic</v>
      </c>
      <c r="W54" t="str">
        <f>IFERROR(__xludf.DUMMYFUNCTION("""COMPUTED_VALUE"""),"Florida Intl")</f>
        <v>Florida Intl</v>
      </c>
      <c r="X54" t="str">
        <f>IFERROR(__xludf.DUMMYFUNCTION("""COMPUTED_VALUE"""),"Florida State")</f>
        <v>Florida State</v>
      </c>
      <c r="Y54" t="str">
        <f>IFERROR(__xludf.DUMMYFUNCTION("""COMPUTED_VALUE"""),"Georgia State")</f>
        <v>Georgia State</v>
      </c>
      <c r="Z54" t="str">
        <f>IFERROR(__xludf.DUMMYFUNCTION("""COMPUTED_VALUE"""),"Georgia Tech")</f>
        <v>Georgia Tech</v>
      </c>
      <c r="AA54" t="str">
        <f>IFERROR(__xludf.DUMMYFUNCTION("""COMPUTED_VALUE"""),"Hawaii")</f>
        <v>Hawaii</v>
      </c>
      <c r="AB54" t="str">
        <f>IFERROR(__xludf.DUMMYFUNCTION("""COMPUTED_VALUE"""),"Houston")</f>
        <v>Houston</v>
      </c>
      <c r="AC54" t="str">
        <f>IFERROR(__xludf.DUMMYFUNCTION("""COMPUTED_VALUE"""),"Iowa")</f>
        <v>Iowa</v>
      </c>
      <c r="AD54" t="str">
        <f>IFERROR(__xludf.DUMMYFUNCTION("""COMPUTED_VALUE"""),"Iowa State")</f>
        <v>Iowa State</v>
      </c>
      <c r="AE54" t="str">
        <f>IFERROR(__xludf.DUMMYFUNCTION("""COMPUTED_VALUE"""),"Jacksonville State")</f>
        <v>Jacksonville State</v>
      </c>
      <c r="AF54" t="str">
        <f>IFERROR(__xludf.DUMMYFUNCTION("""COMPUTED_VALUE"""),"Kennesaw State")</f>
        <v>Kennesaw State</v>
      </c>
      <c r="AG54" t="str">
        <f>IFERROR(__xludf.DUMMYFUNCTION("""COMPUTED_VALUE"""),"Kent State")</f>
        <v>Kent State</v>
      </c>
      <c r="AH54" t="str">
        <f>IFERROR(__xludf.DUMMYFUNCTION("""COMPUTED_VALUE"""),"Kentucky")</f>
        <v>Kentucky</v>
      </c>
      <c r="AI54" t="str">
        <f>IFERROR(__xludf.DUMMYFUNCTION("""COMPUTED_VALUE"""),"Marshall")</f>
        <v>Marshall</v>
      </c>
      <c r="AJ54" t="str">
        <f>IFERROR(__xludf.DUMMYFUNCTION("""COMPUTED_VALUE"""),"Maryland")</f>
        <v>Maryland</v>
      </c>
      <c r="AK54" t="str">
        <f>IFERROR(__xludf.DUMMYFUNCTION("""COMPUTED_VALUE"""),"Michigan State")</f>
        <v>Michigan State</v>
      </c>
      <c r="AL54" t="str">
        <f>IFERROR(__xludf.DUMMYFUNCTION("""COMPUTED_VALUE"""),"Middle Tennessee")</f>
        <v>Middle Tennessee</v>
      </c>
      <c r="AM54" t="str">
        <f>IFERROR(__xludf.DUMMYFUNCTION("""COMPUTED_VALUE"""),"Minnesota")</f>
        <v>Minnesota</v>
      </c>
      <c r="AN54" t="str">
        <f>IFERROR(__xludf.DUMMYFUNCTION("""COMPUTED_VALUE"""),"Mississippi State")</f>
        <v>Mississippi State</v>
      </c>
      <c r="AO54" t="str">
        <f>IFERROR(__xludf.DUMMYFUNCTION("""COMPUTED_VALUE"""),"Missouri")</f>
        <v>Missouri</v>
      </c>
      <c r="AP54" t="str">
        <f>IFERROR(__xludf.DUMMYFUNCTION("""COMPUTED_VALUE"""),"Missouri State")</f>
        <v>Missouri State</v>
      </c>
      <c r="AQ54" t="str">
        <f>IFERROR(__xludf.DUMMYFUNCTION("""COMPUTED_VALUE"""),"NC State")</f>
        <v>NC State</v>
      </c>
      <c r="AR54" t="str">
        <f>IFERROR(__xludf.DUMMYFUNCTION("""COMPUTED_VALUE"""),"Nebraska")</f>
        <v>Nebraska</v>
      </c>
      <c r="AS54" t="str">
        <f>IFERROR(__xludf.DUMMYFUNCTION("""COMPUTED_VALUE"""),"Nevada")</f>
        <v>Nevada</v>
      </c>
      <c r="AT54" t="str">
        <f>IFERROR(__xludf.DUMMYFUNCTION("""COMPUTED_VALUE"""),"New Mexico")</f>
        <v>New Mexico</v>
      </c>
      <c r="AU54" t="str">
        <f>IFERROR(__xludf.DUMMYFUNCTION("""COMPUTED_VALUE"""),"New Mexico State")</f>
        <v>New Mexico State</v>
      </c>
      <c r="AV54" t="str">
        <f>IFERROR(__xludf.DUMMYFUNCTION("""COMPUTED_VALUE"""),"Northwestern")</f>
        <v>Northwestern</v>
      </c>
      <c r="AW54" t="str">
        <f>IFERROR(__xludf.DUMMYFUNCTION("""COMPUTED_VALUE"""),"Oklahoma")</f>
        <v>Oklahoma</v>
      </c>
      <c r="AX54" t="str">
        <f>IFERROR(__xludf.DUMMYFUNCTION("""COMPUTED_VALUE"""),"Oklahoma State")</f>
        <v>Oklahoma State</v>
      </c>
      <c r="AY54" t="str">
        <f>IFERROR(__xludf.DUMMYFUNCTION("""COMPUTED_VALUE"""),"Old Dominion")</f>
        <v>Old Dominion</v>
      </c>
      <c r="AZ54" t="str">
        <f>IFERROR(__xludf.DUMMYFUNCTION("""COMPUTED_VALUE"""),"Oregon State")</f>
        <v>Oregon State</v>
      </c>
      <c r="BA54" t="str">
        <f>IFERROR(__xludf.DUMMYFUNCTION("""COMPUTED_VALUE"""),"Pittsburgh")</f>
        <v>Pittsburgh</v>
      </c>
      <c r="BB54" t="str">
        <f>IFERROR(__xludf.DUMMYFUNCTION("""COMPUTED_VALUE"""),"Purdue")</f>
        <v>Purdue</v>
      </c>
      <c r="BC54" t="str">
        <f>IFERROR(__xludf.DUMMYFUNCTION("""COMPUTED_VALUE"""),"Rice")</f>
        <v>Rice</v>
      </c>
      <c r="BD54" t="str">
        <f>IFERROR(__xludf.DUMMYFUNCTION("""COMPUTED_VALUE"""),"Rutgers")</f>
        <v>Rutgers</v>
      </c>
      <c r="BE54" t="str">
        <f>IFERROR(__xludf.DUMMYFUNCTION("""COMPUTED_VALUE"""),"Sam Houston")</f>
        <v>Sam Houston</v>
      </c>
      <c r="BF54" t="str">
        <f>IFERROR(__xludf.DUMMYFUNCTION("""COMPUTED_VALUE"""),"San Diego State")</f>
        <v>San Diego State</v>
      </c>
      <c r="BG54" t="str">
        <f>IFERROR(__xludf.DUMMYFUNCTION("""COMPUTED_VALUE"""),"South Carolina")</f>
        <v>South Carolina</v>
      </c>
      <c r="BH54" t="str">
        <f>IFERROR(__xludf.DUMMYFUNCTION("""COMPUTED_VALUE"""),"Southern Mississippi")</f>
        <v>Southern Mississippi</v>
      </c>
      <c r="BI54" t="str">
        <f>IFERROR(__xludf.DUMMYFUNCTION("""COMPUTED_VALUE"""),"Stanford")</f>
        <v>Stanford</v>
      </c>
      <c r="BJ54" t="str">
        <f>IFERROR(__xludf.DUMMYFUNCTION("""COMPUTED_VALUE"""),"Syracuse")</f>
        <v>Syracuse</v>
      </c>
      <c r="BK54" t="str">
        <f>IFERROR(__xludf.DUMMYFUNCTION("""COMPUTED_VALUE"""),"TCU")</f>
        <v>TCU</v>
      </c>
      <c r="BL54" t="str">
        <f>IFERROR(__xludf.DUMMYFUNCTION("""COMPUTED_VALUE"""),"Temple")</f>
        <v>Temple</v>
      </c>
      <c r="BM54" t="str">
        <f>IFERROR(__xludf.DUMMYFUNCTION("""COMPUTED_VALUE"""),"Texas A&amp;M")</f>
        <v>Texas A&amp;M</v>
      </c>
      <c r="BN54" t="str">
        <f>IFERROR(__xludf.DUMMYFUNCTION("""COMPUTED_VALUE"""),"Troy")</f>
        <v>Troy</v>
      </c>
      <c r="BO54" t="str">
        <f>IFERROR(__xludf.DUMMYFUNCTION("""COMPUTED_VALUE"""),"Tulsa")</f>
        <v>Tulsa</v>
      </c>
      <c r="BP54" t="str">
        <f>IFERROR(__xludf.DUMMYFUNCTION("""COMPUTED_VALUE"""),"UAB")</f>
        <v>UAB</v>
      </c>
      <c r="BQ54" t="str">
        <f>IFERROR(__xludf.DUMMYFUNCTION("""COMPUTED_VALUE"""),"UCF")</f>
        <v>UCF</v>
      </c>
      <c r="BR54" t="str">
        <f>IFERROR(__xludf.DUMMYFUNCTION("""COMPUTED_VALUE"""),"UCLA")</f>
        <v>UCLA</v>
      </c>
      <c r="BS54" t="str">
        <f>IFERROR(__xludf.DUMMYFUNCTION("""COMPUTED_VALUE"""),"UConn")</f>
        <v>UConn</v>
      </c>
      <c r="BT54" t="str">
        <f>IFERROR(__xludf.DUMMYFUNCTION("""COMPUTED_VALUE"""),"UL Monroe")</f>
        <v>UL Monroe</v>
      </c>
      <c r="BU54" t="str">
        <f>IFERROR(__xludf.DUMMYFUNCTION("""COMPUTED_VALUE"""),"UMASS")</f>
        <v>UMASS</v>
      </c>
      <c r="BV54" t="str">
        <f>IFERROR(__xludf.DUMMYFUNCTION("""COMPUTED_VALUE"""),"Utah State")</f>
        <v>Utah State</v>
      </c>
      <c r="BW54" t="str">
        <f>IFERROR(__xludf.DUMMYFUNCTION("""COMPUTED_VALUE"""),"UTEP")</f>
        <v>UTEP</v>
      </c>
      <c r="BX54" t="str">
        <f>IFERROR(__xludf.DUMMYFUNCTION("""COMPUTED_VALUE"""),"Vanderbilt")</f>
        <v>Vanderbilt</v>
      </c>
      <c r="BY54" t="str">
        <f>IFERROR(__xludf.DUMMYFUNCTION("""COMPUTED_VALUE"""),"Virginia")</f>
        <v>Virginia</v>
      </c>
      <c r="BZ54" t="str">
        <f>IFERROR(__xludf.DUMMYFUNCTION("""COMPUTED_VALUE"""),"Virginia Tech")</f>
        <v>Virginia Tech</v>
      </c>
      <c r="CA54" t="str">
        <f>IFERROR(__xludf.DUMMYFUNCTION("""COMPUTED_VALUE"""),"Wake Forest")</f>
        <v>Wake Forest</v>
      </c>
      <c r="CB54" t="str">
        <f>IFERROR(__xludf.DUMMYFUNCTION("""COMPUTED_VALUE"""),"Washington State")</f>
        <v>Washington State</v>
      </c>
      <c r="CC54" t="str">
        <f>IFERROR(__xludf.DUMMYFUNCTION("""COMPUTED_VALUE"""),"West Virginia")</f>
        <v>West Virginia</v>
      </c>
      <c r="CD54" t="str">
        <f>IFERROR(__xludf.DUMMYFUNCTION("""COMPUTED_VALUE"""),"Western Michigan")</f>
        <v>Western Michigan</v>
      </c>
      <c r="CE54" t="str">
        <f>IFERROR(__xludf.DUMMYFUNCTION("""COMPUTED_VALUE"""),"Wisconsin")</f>
        <v>Wisconsin</v>
      </c>
      <c r="CF54" t="str">
        <f>IFERROR(__xludf.DUMMYFUNCTION("""COMPUTED_VALUE"""),"Wyoming")</f>
        <v>Wyoming</v>
      </c>
    </row>
    <row r="55">
      <c r="A55" s="1">
        <v>54.0</v>
      </c>
      <c r="B55" t="str">
        <f>IFERROR(__xludf.DUMMYFUNCTION("split(join("","",sort(byrow('Teams-Conference'!A$2:A1000,lambda(rw,if(iserror(match(rw,DraftTracker!F$1:F55,0)),rw,""""))),1,1)),"","",1,1)"),"Air Force")</f>
        <v>Air Force</v>
      </c>
      <c r="C55" t="str">
        <f>IFERROR(__xludf.DUMMYFUNCTION("""COMPUTED_VALUE"""),"Akron")</f>
        <v>Akron</v>
      </c>
      <c r="D55" t="str">
        <f>IFERROR(__xludf.DUMMYFUNCTION("""COMPUTED_VALUE"""),"Appalachian State")</f>
        <v>Appalachian State</v>
      </c>
      <c r="E55" t="str">
        <f>IFERROR(__xludf.DUMMYFUNCTION("""COMPUTED_VALUE"""),"Arizona")</f>
        <v>Arizona</v>
      </c>
      <c r="F55" t="str">
        <f>IFERROR(__xludf.DUMMYFUNCTION("""COMPUTED_VALUE"""),"Arkansas")</f>
        <v>Arkansas</v>
      </c>
      <c r="G55" t="str">
        <f>IFERROR(__xludf.DUMMYFUNCTION("""COMPUTED_VALUE"""),"Arkansas State")</f>
        <v>Arkansas State</v>
      </c>
      <c r="H55" t="str">
        <f>IFERROR(__xludf.DUMMYFUNCTION("""COMPUTED_VALUE"""),"Ball State")</f>
        <v>Ball State</v>
      </c>
      <c r="I55" t="str">
        <f>IFERROR(__xludf.DUMMYFUNCTION("""COMPUTED_VALUE"""),"Baylor")</f>
        <v>Baylor</v>
      </c>
      <c r="J55" t="str">
        <f>IFERROR(__xludf.DUMMYFUNCTION("""COMPUTED_VALUE"""),"Boston College")</f>
        <v>Boston College</v>
      </c>
      <c r="K55" t="str">
        <f>IFERROR(__xludf.DUMMYFUNCTION("""COMPUTED_VALUE"""),"California")</f>
        <v>California</v>
      </c>
      <c r="L55" t="str">
        <f>IFERROR(__xludf.DUMMYFUNCTION("""COMPUTED_VALUE"""),"Central Michigan")</f>
        <v>Central Michigan</v>
      </c>
      <c r="M55" t="str">
        <f>IFERROR(__xludf.DUMMYFUNCTION("""COMPUTED_VALUE"""),"Charlotte")</f>
        <v>Charlotte</v>
      </c>
      <c r="N55" t="str">
        <f>IFERROR(__xludf.DUMMYFUNCTION("""COMPUTED_VALUE"""),"Cincinnati")</f>
        <v>Cincinnati</v>
      </c>
      <c r="O55" t="str">
        <f>IFERROR(__xludf.DUMMYFUNCTION("""COMPUTED_VALUE"""),"Coastal Carolina")</f>
        <v>Coastal Carolina</v>
      </c>
      <c r="P55" t="str">
        <f>IFERROR(__xludf.DUMMYFUNCTION("""COMPUTED_VALUE"""),"Colorado")</f>
        <v>Colorado</v>
      </c>
      <c r="Q55" t="str">
        <f>IFERROR(__xludf.DUMMYFUNCTION("""COMPUTED_VALUE"""),"Delaware")</f>
        <v>Delaware</v>
      </c>
      <c r="R55" t="str">
        <f>IFERROR(__xludf.DUMMYFUNCTION("""COMPUTED_VALUE"""),"Duke")</f>
        <v>Duke</v>
      </c>
      <c r="S55" t="str">
        <f>IFERROR(__xludf.DUMMYFUNCTION("""COMPUTED_VALUE"""),"EMU")</f>
        <v>EMU</v>
      </c>
      <c r="T55" t="str">
        <f>IFERROR(__xludf.DUMMYFUNCTION("""COMPUTED_VALUE"""),"Florida")</f>
        <v>Florida</v>
      </c>
      <c r="U55" t="str">
        <f>IFERROR(__xludf.DUMMYFUNCTION("""COMPUTED_VALUE"""),"Florida Atlantic")</f>
        <v>Florida Atlantic</v>
      </c>
      <c r="V55" t="str">
        <f>IFERROR(__xludf.DUMMYFUNCTION("""COMPUTED_VALUE"""),"Florida Intl")</f>
        <v>Florida Intl</v>
      </c>
      <c r="W55" t="str">
        <f>IFERROR(__xludf.DUMMYFUNCTION("""COMPUTED_VALUE"""),"Florida State")</f>
        <v>Florida State</v>
      </c>
      <c r="X55" t="str">
        <f>IFERROR(__xludf.DUMMYFUNCTION("""COMPUTED_VALUE"""),"Georgia State")</f>
        <v>Georgia State</v>
      </c>
      <c r="Y55" t="str">
        <f>IFERROR(__xludf.DUMMYFUNCTION("""COMPUTED_VALUE"""),"Georgia Tech")</f>
        <v>Georgia Tech</v>
      </c>
      <c r="Z55" t="str">
        <f>IFERROR(__xludf.DUMMYFUNCTION("""COMPUTED_VALUE"""),"Hawaii")</f>
        <v>Hawaii</v>
      </c>
      <c r="AA55" t="str">
        <f>IFERROR(__xludf.DUMMYFUNCTION("""COMPUTED_VALUE"""),"Houston")</f>
        <v>Houston</v>
      </c>
      <c r="AB55" t="str">
        <f>IFERROR(__xludf.DUMMYFUNCTION("""COMPUTED_VALUE"""),"Iowa")</f>
        <v>Iowa</v>
      </c>
      <c r="AC55" t="str">
        <f>IFERROR(__xludf.DUMMYFUNCTION("""COMPUTED_VALUE"""),"Iowa State")</f>
        <v>Iowa State</v>
      </c>
      <c r="AD55" t="str">
        <f>IFERROR(__xludf.DUMMYFUNCTION("""COMPUTED_VALUE"""),"Jacksonville State")</f>
        <v>Jacksonville State</v>
      </c>
      <c r="AE55" t="str">
        <f>IFERROR(__xludf.DUMMYFUNCTION("""COMPUTED_VALUE"""),"Kennesaw State")</f>
        <v>Kennesaw State</v>
      </c>
      <c r="AF55" t="str">
        <f>IFERROR(__xludf.DUMMYFUNCTION("""COMPUTED_VALUE"""),"Kent State")</f>
        <v>Kent State</v>
      </c>
      <c r="AG55" t="str">
        <f>IFERROR(__xludf.DUMMYFUNCTION("""COMPUTED_VALUE"""),"Kentucky")</f>
        <v>Kentucky</v>
      </c>
      <c r="AH55" t="str">
        <f>IFERROR(__xludf.DUMMYFUNCTION("""COMPUTED_VALUE"""),"Marshall")</f>
        <v>Marshall</v>
      </c>
      <c r="AI55" t="str">
        <f>IFERROR(__xludf.DUMMYFUNCTION("""COMPUTED_VALUE"""),"Maryland")</f>
        <v>Maryland</v>
      </c>
      <c r="AJ55" t="str">
        <f>IFERROR(__xludf.DUMMYFUNCTION("""COMPUTED_VALUE"""),"Michigan State")</f>
        <v>Michigan State</v>
      </c>
      <c r="AK55" t="str">
        <f>IFERROR(__xludf.DUMMYFUNCTION("""COMPUTED_VALUE"""),"Middle Tennessee")</f>
        <v>Middle Tennessee</v>
      </c>
      <c r="AL55" t="str">
        <f>IFERROR(__xludf.DUMMYFUNCTION("""COMPUTED_VALUE"""),"Minnesota")</f>
        <v>Minnesota</v>
      </c>
      <c r="AM55" t="str">
        <f>IFERROR(__xludf.DUMMYFUNCTION("""COMPUTED_VALUE"""),"Mississippi State")</f>
        <v>Mississippi State</v>
      </c>
      <c r="AN55" t="str">
        <f>IFERROR(__xludf.DUMMYFUNCTION("""COMPUTED_VALUE"""),"Missouri")</f>
        <v>Missouri</v>
      </c>
      <c r="AO55" t="str">
        <f>IFERROR(__xludf.DUMMYFUNCTION("""COMPUTED_VALUE"""),"Missouri State")</f>
        <v>Missouri State</v>
      </c>
      <c r="AP55" t="str">
        <f>IFERROR(__xludf.DUMMYFUNCTION("""COMPUTED_VALUE"""),"NC State")</f>
        <v>NC State</v>
      </c>
      <c r="AQ55" t="str">
        <f>IFERROR(__xludf.DUMMYFUNCTION("""COMPUTED_VALUE"""),"Nebraska")</f>
        <v>Nebraska</v>
      </c>
      <c r="AR55" t="str">
        <f>IFERROR(__xludf.DUMMYFUNCTION("""COMPUTED_VALUE"""),"Nevada")</f>
        <v>Nevada</v>
      </c>
      <c r="AS55" t="str">
        <f>IFERROR(__xludf.DUMMYFUNCTION("""COMPUTED_VALUE"""),"New Mexico")</f>
        <v>New Mexico</v>
      </c>
      <c r="AT55" t="str">
        <f>IFERROR(__xludf.DUMMYFUNCTION("""COMPUTED_VALUE"""),"New Mexico State")</f>
        <v>New Mexico State</v>
      </c>
      <c r="AU55" t="str">
        <f>IFERROR(__xludf.DUMMYFUNCTION("""COMPUTED_VALUE"""),"Northwestern")</f>
        <v>Northwestern</v>
      </c>
      <c r="AV55" t="str">
        <f>IFERROR(__xludf.DUMMYFUNCTION("""COMPUTED_VALUE"""),"Oklahoma")</f>
        <v>Oklahoma</v>
      </c>
      <c r="AW55" t="str">
        <f>IFERROR(__xludf.DUMMYFUNCTION("""COMPUTED_VALUE"""),"Oklahoma State")</f>
        <v>Oklahoma State</v>
      </c>
      <c r="AX55" t="str">
        <f>IFERROR(__xludf.DUMMYFUNCTION("""COMPUTED_VALUE"""),"Old Dominion")</f>
        <v>Old Dominion</v>
      </c>
      <c r="AY55" t="str">
        <f>IFERROR(__xludf.DUMMYFUNCTION("""COMPUTED_VALUE"""),"Oregon State")</f>
        <v>Oregon State</v>
      </c>
      <c r="AZ55" t="str">
        <f>IFERROR(__xludf.DUMMYFUNCTION("""COMPUTED_VALUE"""),"Pittsburgh")</f>
        <v>Pittsburgh</v>
      </c>
      <c r="BA55" t="str">
        <f>IFERROR(__xludf.DUMMYFUNCTION("""COMPUTED_VALUE"""),"Purdue")</f>
        <v>Purdue</v>
      </c>
      <c r="BB55" t="str">
        <f>IFERROR(__xludf.DUMMYFUNCTION("""COMPUTED_VALUE"""),"Rice")</f>
        <v>Rice</v>
      </c>
      <c r="BC55" t="str">
        <f>IFERROR(__xludf.DUMMYFUNCTION("""COMPUTED_VALUE"""),"Rutgers")</f>
        <v>Rutgers</v>
      </c>
      <c r="BD55" t="str">
        <f>IFERROR(__xludf.DUMMYFUNCTION("""COMPUTED_VALUE"""),"Sam Houston")</f>
        <v>Sam Houston</v>
      </c>
      <c r="BE55" t="str">
        <f>IFERROR(__xludf.DUMMYFUNCTION("""COMPUTED_VALUE"""),"San Diego State")</f>
        <v>San Diego State</v>
      </c>
      <c r="BF55" t="str">
        <f>IFERROR(__xludf.DUMMYFUNCTION("""COMPUTED_VALUE"""),"South Carolina")</f>
        <v>South Carolina</v>
      </c>
      <c r="BG55" t="str">
        <f>IFERROR(__xludf.DUMMYFUNCTION("""COMPUTED_VALUE"""),"Southern Mississippi")</f>
        <v>Southern Mississippi</v>
      </c>
      <c r="BH55" t="str">
        <f>IFERROR(__xludf.DUMMYFUNCTION("""COMPUTED_VALUE"""),"Stanford")</f>
        <v>Stanford</v>
      </c>
      <c r="BI55" t="str">
        <f>IFERROR(__xludf.DUMMYFUNCTION("""COMPUTED_VALUE"""),"Syracuse")</f>
        <v>Syracuse</v>
      </c>
      <c r="BJ55" t="str">
        <f>IFERROR(__xludf.DUMMYFUNCTION("""COMPUTED_VALUE"""),"TCU")</f>
        <v>TCU</v>
      </c>
      <c r="BK55" t="str">
        <f>IFERROR(__xludf.DUMMYFUNCTION("""COMPUTED_VALUE"""),"Temple")</f>
        <v>Temple</v>
      </c>
      <c r="BL55" t="str">
        <f>IFERROR(__xludf.DUMMYFUNCTION("""COMPUTED_VALUE"""),"Texas A&amp;M")</f>
        <v>Texas A&amp;M</v>
      </c>
      <c r="BM55" t="str">
        <f>IFERROR(__xludf.DUMMYFUNCTION("""COMPUTED_VALUE"""),"Troy")</f>
        <v>Troy</v>
      </c>
      <c r="BN55" t="str">
        <f>IFERROR(__xludf.DUMMYFUNCTION("""COMPUTED_VALUE"""),"Tulsa")</f>
        <v>Tulsa</v>
      </c>
      <c r="BO55" t="str">
        <f>IFERROR(__xludf.DUMMYFUNCTION("""COMPUTED_VALUE"""),"UAB")</f>
        <v>UAB</v>
      </c>
      <c r="BP55" t="str">
        <f>IFERROR(__xludf.DUMMYFUNCTION("""COMPUTED_VALUE"""),"UCF")</f>
        <v>UCF</v>
      </c>
      <c r="BQ55" t="str">
        <f>IFERROR(__xludf.DUMMYFUNCTION("""COMPUTED_VALUE"""),"UCLA")</f>
        <v>UCLA</v>
      </c>
      <c r="BR55" t="str">
        <f>IFERROR(__xludf.DUMMYFUNCTION("""COMPUTED_VALUE"""),"UConn")</f>
        <v>UConn</v>
      </c>
      <c r="BS55" t="str">
        <f>IFERROR(__xludf.DUMMYFUNCTION("""COMPUTED_VALUE"""),"UL Monroe")</f>
        <v>UL Monroe</v>
      </c>
      <c r="BT55" t="str">
        <f>IFERROR(__xludf.DUMMYFUNCTION("""COMPUTED_VALUE"""),"UMASS")</f>
        <v>UMASS</v>
      </c>
      <c r="BU55" t="str">
        <f>IFERROR(__xludf.DUMMYFUNCTION("""COMPUTED_VALUE"""),"Utah State")</f>
        <v>Utah State</v>
      </c>
      <c r="BV55" t="str">
        <f>IFERROR(__xludf.DUMMYFUNCTION("""COMPUTED_VALUE"""),"UTEP")</f>
        <v>UTEP</v>
      </c>
      <c r="BW55" t="str">
        <f>IFERROR(__xludf.DUMMYFUNCTION("""COMPUTED_VALUE"""),"Vanderbilt")</f>
        <v>Vanderbilt</v>
      </c>
      <c r="BX55" t="str">
        <f>IFERROR(__xludf.DUMMYFUNCTION("""COMPUTED_VALUE"""),"Virginia")</f>
        <v>Virginia</v>
      </c>
      <c r="BY55" t="str">
        <f>IFERROR(__xludf.DUMMYFUNCTION("""COMPUTED_VALUE"""),"Virginia Tech")</f>
        <v>Virginia Tech</v>
      </c>
      <c r="BZ55" t="str">
        <f>IFERROR(__xludf.DUMMYFUNCTION("""COMPUTED_VALUE"""),"Wake Forest")</f>
        <v>Wake Forest</v>
      </c>
      <c r="CA55" t="str">
        <f>IFERROR(__xludf.DUMMYFUNCTION("""COMPUTED_VALUE"""),"Washington State")</f>
        <v>Washington State</v>
      </c>
      <c r="CB55" t="str">
        <f>IFERROR(__xludf.DUMMYFUNCTION("""COMPUTED_VALUE"""),"West Virginia")</f>
        <v>West Virginia</v>
      </c>
      <c r="CC55" t="str">
        <f>IFERROR(__xludf.DUMMYFUNCTION("""COMPUTED_VALUE"""),"Western Michigan")</f>
        <v>Western Michigan</v>
      </c>
      <c r="CD55" t="str">
        <f>IFERROR(__xludf.DUMMYFUNCTION("""COMPUTED_VALUE"""),"Wisconsin")</f>
        <v>Wisconsin</v>
      </c>
      <c r="CE55" t="str">
        <f>IFERROR(__xludf.DUMMYFUNCTION("""COMPUTED_VALUE"""),"Wyoming")</f>
        <v>Wyoming</v>
      </c>
    </row>
    <row r="56">
      <c r="A56" s="1">
        <v>55.0</v>
      </c>
      <c r="B56" t="str">
        <f>IFERROR(__xludf.DUMMYFUNCTION("split(join("","",sort(byrow('Teams-Conference'!A$2:A1000,lambda(rw,if(iserror(match(rw,DraftTracker!F$1:F56,0)),rw,""""))),1,1)),"","",1,1)"),"Air Force")</f>
        <v>Air Force</v>
      </c>
      <c r="C56" t="str">
        <f>IFERROR(__xludf.DUMMYFUNCTION("""COMPUTED_VALUE"""),"Akron")</f>
        <v>Akron</v>
      </c>
      <c r="D56" t="str">
        <f>IFERROR(__xludf.DUMMYFUNCTION("""COMPUTED_VALUE"""),"Appalachian State")</f>
        <v>Appalachian State</v>
      </c>
      <c r="E56" t="str">
        <f>IFERROR(__xludf.DUMMYFUNCTION("""COMPUTED_VALUE"""),"Arizona")</f>
        <v>Arizona</v>
      </c>
      <c r="F56" t="str">
        <f>IFERROR(__xludf.DUMMYFUNCTION("""COMPUTED_VALUE"""),"Arkansas")</f>
        <v>Arkansas</v>
      </c>
      <c r="G56" t="str">
        <f>IFERROR(__xludf.DUMMYFUNCTION("""COMPUTED_VALUE"""),"Arkansas State")</f>
        <v>Arkansas State</v>
      </c>
      <c r="H56" t="str">
        <f>IFERROR(__xludf.DUMMYFUNCTION("""COMPUTED_VALUE"""),"Ball State")</f>
        <v>Ball State</v>
      </c>
      <c r="I56" t="str">
        <f>IFERROR(__xludf.DUMMYFUNCTION("""COMPUTED_VALUE"""),"Baylor")</f>
        <v>Baylor</v>
      </c>
      <c r="J56" t="str">
        <f>IFERROR(__xludf.DUMMYFUNCTION("""COMPUTED_VALUE"""),"Boston College")</f>
        <v>Boston College</v>
      </c>
      <c r="K56" t="str">
        <f>IFERROR(__xludf.DUMMYFUNCTION("""COMPUTED_VALUE"""),"California")</f>
        <v>California</v>
      </c>
      <c r="L56" t="str">
        <f>IFERROR(__xludf.DUMMYFUNCTION("""COMPUTED_VALUE"""),"Central Michigan")</f>
        <v>Central Michigan</v>
      </c>
      <c r="M56" t="str">
        <f>IFERROR(__xludf.DUMMYFUNCTION("""COMPUTED_VALUE"""),"Charlotte")</f>
        <v>Charlotte</v>
      </c>
      <c r="N56" t="str">
        <f>IFERROR(__xludf.DUMMYFUNCTION("""COMPUTED_VALUE"""),"Cincinnati")</f>
        <v>Cincinnati</v>
      </c>
      <c r="O56" t="str">
        <f>IFERROR(__xludf.DUMMYFUNCTION("""COMPUTED_VALUE"""),"Coastal Carolina")</f>
        <v>Coastal Carolina</v>
      </c>
      <c r="P56" t="str">
        <f>IFERROR(__xludf.DUMMYFUNCTION("""COMPUTED_VALUE"""),"Colorado")</f>
        <v>Colorado</v>
      </c>
      <c r="Q56" t="str">
        <f>IFERROR(__xludf.DUMMYFUNCTION("""COMPUTED_VALUE"""),"Delaware")</f>
        <v>Delaware</v>
      </c>
      <c r="R56" t="str">
        <f>IFERROR(__xludf.DUMMYFUNCTION("""COMPUTED_VALUE"""),"Duke")</f>
        <v>Duke</v>
      </c>
      <c r="S56" t="str">
        <f>IFERROR(__xludf.DUMMYFUNCTION("""COMPUTED_VALUE"""),"EMU")</f>
        <v>EMU</v>
      </c>
      <c r="T56" t="str">
        <f>IFERROR(__xludf.DUMMYFUNCTION("""COMPUTED_VALUE"""),"Florida")</f>
        <v>Florida</v>
      </c>
      <c r="U56" t="str">
        <f>IFERROR(__xludf.DUMMYFUNCTION("""COMPUTED_VALUE"""),"Florida Atlantic")</f>
        <v>Florida Atlantic</v>
      </c>
      <c r="V56" t="str">
        <f>IFERROR(__xludf.DUMMYFUNCTION("""COMPUTED_VALUE"""),"Florida Intl")</f>
        <v>Florida Intl</v>
      </c>
      <c r="W56" t="str">
        <f>IFERROR(__xludf.DUMMYFUNCTION("""COMPUTED_VALUE"""),"Florida State")</f>
        <v>Florida State</v>
      </c>
      <c r="X56" t="str">
        <f>IFERROR(__xludf.DUMMYFUNCTION("""COMPUTED_VALUE"""),"Georgia State")</f>
        <v>Georgia State</v>
      </c>
      <c r="Y56" t="str">
        <f>IFERROR(__xludf.DUMMYFUNCTION("""COMPUTED_VALUE"""),"Georgia Tech")</f>
        <v>Georgia Tech</v>
      </c>
      <c r="Z56" t="str">
        <f>IFERROR(__xludf.DUMMYFUNCTION("""COMPUTED_VALUE"""),"Hawaii")</f>
        <v>Hawaii</v>
      </c>
      <c r="AA56" t="str">
        <f>IFERROR(__xludf.DUMMYFUNCTION("""COMPUTED_VALUE"""),"Houston")</f>
        <v>Houston</v>
      </c>
      <c r="AB56" t="str">
        <f>IFERROR(__xludf.DUMMYFUNCTION("""COMPUTED_VALUE"""),"Iowa")</f>
        <v>Iowa</v>
      </c>
      <c r="AC56" t="str">
        <f>IFERROR(__xludf.DUMMYFUNCTION("""COMPUTED_VALUE"""),"Iowa State")</f>
        <v>Iowa State</v>
      </c>
      <c r="AD56" t="str">
        <f>IFERROR(__xludf.DUMMYFUNCTION("""COMPUTED_VALUE"""),"Jacksonville State")</f>
        <v>Jacksonville State</v>
      </c>
      <c r="AE56" t="str">
        <f>IFERROR(__xludf.DUMMYFUNCTION("""COMPUTED_VALUE"""),"Kennesaw State")</f>
        <v>Kennesaw State</v>
      </c>
      <c r="AF56" t="str">
        <f>IFERROR(__xludf.DUMMYFUNCTION("""COMPUTED_VALUE"""),"Kent State")</f>
        <v>Kent State</v>
      </c>
      <c r="AG56" t="str">
        <f>IFERROR(__xludf.DUMMYFUNCTION("""COMPUTED_VALUE"""),"Kentucky")</f>
        <v>Kentucky</v>
      </c>
      <c r="AH56" t="str">
        <f>IFERROR(__xludf.DUMMYFUNCTION("""COMPUTED_VALUE"""),"Marshall")</f>
        <v>Marshall</v>
      </c>
      <c r="AI56" t="str">
        <f>IFERROR(__xludf.DUMMYFUNCTION("""COMPUTED_VALUE"""),"Maryland")</f>
        <v>Maryland</v>
      </c>
      <c r="AJ56" t="str">
        <f>IFERROR(__xludf.DUMMYFUNCTION("""COMPUTED_VALUE"""),"Michigan State")</f>
        <v>Michigan State</v>
      </c>
      <c r="AK56" t="str">
        <f>IFERROR(__xludf.DUMMYFUNCTION("""COMPUTED_VALUE"""),"Middle Tennessee")</f>
        <v>Middle Tennessee</v>
      </c>
      <c r="AL56" t="str">
        <f>IFERROR(__xludf.DUMMYFUNCTION("""COMPUTED_VALUE"""),"Minnesota")</f>
        <v>Minnesota</v>
      </c>
      <c r="AM56" t="str">
        <f>IFERROR(__xludf.DUMMYFUNCTION("""COMPUTED_VALUE"""),"Mississippi State")</f>
        <v>Mississippi State</v>
      </c>
      <c r="AN56" t="str">
        <f>IFERROR(__xludf.DUMMYFUNCTION("""COMPUTED_VALUE"""),"Missouri")</f>
        <v>Missouri</v>
      </c>
      <c r="AO56" t="str">
        <f>IFERROR(__xludf.DUMMYFUNCTION("""COMPUTED_VALUE"""),"Missouri State")</f>
        <v>Missouri State</v>
      </c>
      <c r="AP56" t="str">
        <f>IFERROR(__xludf.DUMMYFUNCTION("""COMPUTED_VALUE"""),"NC State")</f>
        <v>NC State</v>
      </c>
      <c r="AQ56" t="str">
        <f>IFERROR(__xludf.DUMMYFUNCTION("""COMPUTED_VALUE"""),"Nevada")</f>
        <v>Nevada</v>
      </c>
      <c r="AR56" t="str">
        <f>IFERROR(__xludf.DUMMYFUNCTION("""COMPUTED_VALUE"""),"New Mexico")</f>
        <v>New Mexico</v>
      </c>
      <c r="AS56" t="str">
        <f>IFERROR(__xludf.DUMMYFUNCTION("""COMPUTED_VALUE"""),"New Mexico State")</f>
        <v>New Mexico State</v>
      </c>
      <c r="AT56" t="str">
        <f>IFERROR(__xludf.DUMMYFUNCTION("""COMPUTED_VALUE"""),"Northwestern")</f>
        <v>Northwestern</v>
      </c>
      <c r="AU56" t="str">
        <f>IFERROR(__xludf.DUMMYFUNCTION("""COMPUTED_VALUE"""),"Oklahoma")</f>
        <v>Oklahoma</v>
      </c>
      <c r="AV56" t="str">
        <f>IFERROR(__xludf.DUMMYFUNCTION("""COMPUTED_VALUE"""),"Oklahoma State")</f>
        <v>Oklahoma State</v>
      </c>
      <c r="AW56" t="str">
        <f>IFERROR(__xludf.DUMMYFUNCTION("""COMPUTED_VALUE"""),"Old Dominion")</f>
        <v>Old Dominion</v>
      </c>
      <c r="AX56" t="str">
        <f>IFERROR(__xludf.DUMMYFUNCTION("""COMPUTED_VALUE"""),"Oregon State")</f>
        <v>Oregon State</v>
      </c>
      <c r="AY56" t="str">
        <f>IFERROR(__xludf.DUMMYFUNCTION("""COMPUTED_VALUE"""),"Pittsburgh")</f>
        <v>Pittsburgh</v>
      </c>
      <c r="AZ56" t="str">
        <f>IFERROR(__xludf.DUMMYFUNCTION("""COMPUTED_VALUE"""),"Purdue")</f>
        <v>Purdue</v>
      </c>
      <c r="BA56" t="str">
        <f>IFERROR(__xludf.DUMMYFUNCTION("""COMPUTED_VALUE"""),"Rice")</f>
        <v>Rice</v>
      </c>
      <c r="BB56" t="str">
        <f>IFERROR(__xludf.DUMMYFUNCTION("""COMPUTED_VALUE"""),"Rutgers")</f>
        <v>Rutgers</v>
      </c>
      <c r="BC56" t="str">
        <f>IFERROR(__xludf.DUMMYFUNCTION("""COMPUTED_VALUE"""),"Sam Houston")</f>
        <v>Sam Houston</v>
      </c>
      <c r="BD56" t="str">
        <f>IFERROR(__xludf.DUMMYFUNCTION("""COMPUTED_VALUE"""),"San Diego State")</f>
        <v>San Diego State</v>
      </c>
      <c r="BE56" t="str">
        <f>IFERROR(__xludf.DUMMYFUNCTION("""COMPUTED_VALUE"""),"South Carolina")</f>
        <v>South Carolina</v>
      </c>
      <c r="BF56" t="str">
        <f>IFERROR(__xludf.DUMMYFUNCTION("""COMPUTED_VALUE"""),"Southern Mississippi")</f>
        <v>Southern Mississippi</v>
      </c>
      <c r="BG56" t="str">
        <f>IFERROR(__xludf.DUMMYFUNCTION("""COMPUTED_VALUE"""),"Stanford")</f>
        <v>Stanford</v>
      </c>
      <c r="BH56" t="str">
        <f>IFERROR(__xludf.DUMMYFUNCTION("""COMPUTED_VALUE"""),"Syracuse")</f>
        <v>Syracuse</v>
      </c>
      <c r="BI56" t="str">
        <f>IFERROR(__xludf.DUMMYFUNCTION("""COMPUTED_VALUE"""),"TCU")</f>
        <v>TCU</v>
      </c>
      <c r="BJ56" t="str">
        <f>IFERROR(__xludf.DUMMYFUNCTION("""COMPUTED_VALUE"""),"Temple")</f>
        <v>Temple</v>
      </c>
      <c r="BK56" t="str">
        <f>IFERROR(__xludf.DUMMYFUNCTION("""COMPUTED_VALUE"""),"Texas A&amp;M")</f>
        <v>Texas A&amp;M</v>
      </c>
      <c r="BL56" t="str">
        <f>IFERROR(__xludf.DUMMYFUNCTION("""COMPUTED_VALUE"""),"Troy")</f>
        <v>Troy</v>
      </c>
      <c r="BM56" t="str">
        <f>IFERROR(__xludf.DUMMYFUNCTION("""COMPUTED_VALUE"""),"Tulsa")</f>
        <v>Tulsa</v>
      </c>
      <c r="BN56" t="str">
        <f>IFERROR(__xludf.DUMMYFUNCTION("""COMPUTED_VALUE"""),"UAB")</f>
        <v>UAB</v>
      </c>
      <c r="BO56" t="str">
        <f>IFERROR(__xludf.DUMMYFUNCTION("""COMPUTED_VALUE"""),"UCF")</f>
        <v>UCF</v>
      </c>
      <c r="BP56" t="str">
        <f>IFERROR(__xludf.DUMMYFUNCTION("""COMPUTED_VALUE"""),"UCLA")</f>
        <v>UCLA</v>
      </c>
      <c r="BQ56" t="str">
        <f>IFERROR(__xludf.DUMMYFUNCTION("""COMPUTED_VALUE"""),"UConn")</f>
        <v>UConn</v>
      </c>
      <c r="BR56" t="str">
        <f>IFERROR(__xludf.DUMMYFUNCTION("""COMPUTED_VALUE"""),"UL Monroe")</f>
        <v>UL Monroe</v>
      </c>
      <c r="BS56" t="str">
        <f>IFERROR(__xludf.DUMMYFUNCTION("""COMPUTED_VALUE"""),"UMASS")</f>
        <v>UMASS</v>
      </c>
      <c r="BT56" t="str">
        <f>IFERROR(__xludf.DUMMYFUNCTION("""COMPUTED_VALUE"""),"Utah State")</f>
        <v>Utah State</v>
      </c>
      <c r="BU56" t="str">
        <f>IFERROR(__xludf.DUMMYFUNCTION("""COMPUTED_VALUE"""),"UTEP")</f>
        <v>UTEP</v>
      </c>
      <c r="BV56" t="str">
        <f>IFERROR(__xludf.DUMMYFUNCTION("""COMPUTED_VALUE"""),"Vanderbilt")</f>
        <v>Vanderbilt</v>
      </c>
      <c r="BW56" t="str">
        <f>IFERROR(__xludf.DUMMYFUNCTION("""COMPUTED_VALUE"""),"Virginia")</f>
        <v>Virginia</v>
      </c>
      <c r="BX56" t="str">
        <f>IFERROR(__xludf.DUMMYFUNCTION("""COMPUTED_VALUE"""),"Virginia Tech")</f>
        <v>Virginia Tech</v>
      </c>
      <c r="BY56" t="str">
        <f>IFERROR(__xludf.DUMMYFUNCTION("""COMPUTED_VALUE"""),"Wake Forest")</f>
        <v>Wake Forest</v>
      </c>
      <c r="BZ56" t="str">
        <f>IFERROR(__xludf.DUMMYFUNCTION("""COMPUTED_VALUE"""),"Washington State")</f>
        <v>Washington State</v>
      </c>
      <c r="CA56" t="str">
        <f>IFERROR(__xludf.DUMMYFUNCTION("""COMPUTED_VALUE"""),"West Virginia")</f>
        <v>West Virginia</v>
      </c>
      <c r="CB56" t="str">
        <f>IFERROR(__xludf.DUMMYFUNCTION("""COMPUTED_VALUE"""),"Western Michigan")</f>
        <v>Western Michigan</v>
      </c>
      <c r="CC56" t="str">
        <f>IFERROR(__xludf.DUMMYFUNCTION("""COMPUTED_VALUE"""),"Wisconsin")</f>
        <v>Wisconsin</v>
      </c>
      <c r="CD56" t="str">
        <f>IFERROR(__xludf.DUMMYFUNCTION("""COMPUTED_VALUE"""),"Wyoming")</f>
        <v>Wyoming</v>
      </c>
    </row>
    <row r="57">
      <c r="A57" s="1">
        <v>56.0</v>
      </c>
      <c r="B57" t="str">
        <f>IFERROR(__xludf.DUMMYFUNCTION("split(join("","",sort(byrow('Teams-Conference'!A$2:A1000,lambda(rw,if(iserror(match(rw,DraftTracker!F$1:F57,0)),rw,""""))),1,1)),"","",1,1)"),"Air Force")</f>
        <v>Air Force</v>
      </c>
      <c r="C57" t="str">
        <f>IFERROR(__xludf.DUMMYFUNCTION("""COMPUTED_VALUE"""),"Akron")</f>
        <v>Akron</v>
      </c>
      <c r="D57" t="str">
        <f>IFERROR(__xludf.DUMMYFUNCTION("""COMPUTED_VALUE"""),"Appalachian State")</f>
        <v>Appalachian State</v>
      </c>
      <c r="E57" t="str">
        <f>IFERROR(__xludf.DUMMYFUNCTION("""COMPUTED_VALUE"""),"Arizona")</f>
        <v>Arizona</v>
      </c>
      <c r="F57" t="str">
        <f>IFERROR(__xludf.DUMMYFUNCTION("""COMPUTED_VALUE"""),"Arkansas")</f>
        <v>Arkansas</v>
      </c>
      <c r="G57" t="str">
        <f>IFERROR(__xludf.DUMMYFUNCTION("""COMPUTED_VALUE"""),"Arkansas State")</f>
        <v>Arkansas State</v>
      </c>
      <c r="H57" t="str">
        <f>IFERROR(__xludf.DUMMYFUNCTION("""COMPUTED_VALUE"""),"Ball State")</f>
        <v>Ball State</v>
      </c>
      <c r="I57" t="str">
        <f>IFERROR(__xludf.DUMMYFUNCTION("""COMPUTED_VALUE"""),"Baylor")</f>
        <v>Baylor</v>
      </c>
      <c r="J57" t="str">
        <f>IFERROR(__xludf.DUMMYFUNCTION("""COMPUTED_VALUE"""),"Boston College")</f>
        <v>Boston College</v>
      </c>
      <c r="K57" t="str">
        <f>IFERROR(__xludf.DUMMYFUNCTION("""COMPUTED_VALUE"""),"California")</f>
        <v>California</v>
      </c>
      <c r="L57" t="str">
        <f>IFERROR(__xludf.DUMMYFUNCTION("""COMPUTED_VALUE"""),"Central Michigan")</f>
        <v>Central Michigan</v>
      </c>
      <c r="M57" t="str">
        <f>IFERROR(__xludf.DUMMYFUNCTION("""COMPUTED_VALUE"""),"Charlotte")</f>
        <v>Charlotte</v>
      </c>
      <c r="N57" t="str">
        <f>IFERROR(__xludf.DUMMYFUNCTION("""COMPUTED_VALUE"""),"Cincinnati")</f>
        <v>Cincinnati</v>
      </c>
      <c r="O57" t="str">
        <f>IFERROR(__xludf.DUMMYFUNCTION("""COMPUTED_VALUE"""),"Coastal Carolina")</f>
        <v>Coastal Carolina</v>
      </c>
      <c r="P57" t="str">
        <f>IFERROR(__xludf.DUMMYFUNCTION("""COMPUTED_VALUE"""),"Colorado")</f>
        <v>Colorado</v>
      </c>
      <c r="Q57" t="str">
        <f>IFERROR(__xludf.DUMMYFUNCTION("""COMPUTED_VALUE"""),"Delaware")</f>
        <v>Delaware</v>
      </c>
      <c r="R57" t="str">
        <f>IFERROR(__xludf.DUMMYFUNCTION("""COMPUTED_VALUE"""),"Duke")</f>
        <v>Duke</v>
      </c>
      <c r="S57" t="str">
        <f>IFERROR(__xludf.DUMMYFUNCTION("""COMPUTED_VALUE"""),"EMU")</f>
        <v>EMU</v>
      </c>
      <c r="T57" t="str">
        <f>IFERROR(__xludf.DUMMYFUNCTION("""COMPUTED_VALUE"""),"Florida")</f>
        <v>Florida</v>
      </c>
      <c r="U57" t="str">
        <f>IFERROR(__xludf.DUMMYFUNCTION("""COMPUTED_VALUE"""),"Florida Atlantic")</f>
        <v>Florida Atlantic</v>
      </c>
      <c r="V57" t="str">
        <f>IFERROR(__xludf.DUMMYFUNCTION("""COMPUTED_VALUE"""),"Florida Intl")</f>
        <v>Florida Intl</v>
      </c>
      <c r="W57" t="str">
        <f>IFERROR(__xludf.DUMMYFUNCTION("""COMPUTED_VALUE"""),"Florida State")</f>
        <v>Florida State</v>
      </c>
      <c r="X57" t="str">
        <f>IFERROR(__xludf.DUMMYFUNCTION("""COMPUTED_VALUE"""),"Georgia State")</f>
        <v>Georgia State</v>
      </c>
      <c r="Y57" t="str">
        <f>IFERROR(__xludf.DUMMYFUNCTION("""COMPUTED_VALUE"""),"Georgia Tech")</f>
        <v>Georgia Tech</v>
      </c>
      <c r="Z57" t="str">
        <f>IFERROR(__xludf.DUMMYFUNCTION("""COMPUTED_VALUE"""),"Hawaii")</f>
        <v>Hawaii</v>
      </c>
      <c r="AA57" t="str">
        <f>IFERROR(__xludf.DUMMYFUNCTION("""COMPUTED_VALUE"""),"Houston")</f>
        <v>Houston</v>
      </c>
      <c r="AB57" t="str">
        <f>IFERROR(__xludf.DUMMYFUNCTION("""COMPUTED_VALUE"""),"Iowa")</f>
        <v>Iowa</v>
      </c>
      <c r="AC57" t="str">
        <f>IFERROR(__xludf.DUMMYFUNCTION("""COMPUTED_VALUE"""),"Iowa State")</f>
        <v>Iowa State</v>
      </c>
      <c r="AD57" t="str">
        <f>IFERROR(__xludf.DUMMYFUNCTION("""COMPUTED_VALUE"""),"Jacksonville State")</f>
        <v>Jacksonville State</v>
      </c>
      <c r="AE57" t="str">
        <f>IFERROR(__xludf.DUMMYFUNCTION("""COMPUTED_VALUE"""),"Kennesaw State")</f>
        <v>Kennesaw State</v>
      </c>
      <c r="AF57" t="str">
        <f>IFERROR(__xludf.DUMMYFUNCTION("""COMPUTED_VALUE"""),"Kent State")</f>
        <v>Kent State</v>
      </c>
      <c r="AG57" t="str">
        <f>IFERROR(__xludf.DUMMYFUNCTION("""COMPUTED_VALUE"""),"Kentucky")</f>
        <v>Kentucky</v>
      </c>
      <c r="AH57" t="str">
        <f>IFERROR(__xludf.DUMMYFUNCTION("""COMPUTED_VALUE"""),"Marshall")</f>
        <v>Marshall</v>
      </c>
      <c r="AI57" t="str">
        <f>IFERROR(__xludf.DUMMYFUNCTION("""COMPUTED_VALUE"""),"Maryland")</f>
        <v>Maryland</v>
      </c>
      <c r="AJ57" t="str">
        <f>IFERROR(__xludf.DUMMYFUNCTION("""COMPUTED_VALUE"""),"Michigan State")</f>
        <v>Michigan State</v>
      </c>
      <c r="AK57" t="str">
        <f>IFERROR(__xludf.DUMMYFUNCTION("""COMPUTED_VALUE"""),"Middle Tennessee")</f>
        <v>Middle Tennessee</v>
      </c>
      <c r="AL57" t="str">
        <f>IFERROR(__xludf.DUMMYFUNCTION("""COMPUTED_VALUE"""),"Minnesota")</f>
        <v>Minnesota</v>
      </c>
      <c r="AM57" t="str">
        <f>IFERROR(__xludf.DUMMYFUNCTION("""COMPUTED_VALUE"""),"Mississippi State")</f>
        <v>Mississippi State</v>
      </c>
      <c r="AN57" t="str">
        <f>IFERROR(__xludf.DUMMYFUNCTION("""COMPUTED_VALUE"""),"Missouri")</f>
        <v>Missouri</v>
      </c>
      <c r="AO57" t="str">
        <f>IFERROR(__xludf.DUMMYFUNCTION("""COMPUTED_VALUE"""),"Missouri State")</f>
        <v>Missouri State</v>
      </c>
      <c r="AP57" t="str">
        <f>IFERROR(__xludf.DUMMYFUNCTION("""COMPUTED_VALUE"""),"NC State")</f>
        <v>NC State</v>
      </c>
      <c r="AQ57" t="str">
        <f>IFERROR(__xludf.DUMMYFUNCTION("""COMPUTED_VALUE"""),"Nevada")</f>
        <v>Nevada</v>
      </c>
      <c r="AR57" t="str">
        <f>IFERROR(__xludf.DUMMYFUNCTION("""COMPUTED_VALUE"""),"New Mexico")</f>
        <v>New Mexico</v>
      </c>
      <c r="AS57" t="str">
        <f>IFERROR(__xludf.DUMMYFUNCTION("""COMPUTED_VALUE"""),"New Mexico State")</f>
        <v>New Mexico State</v>
      </c>
      <c r="AT57" t="str">
        <f>IFERROR(__xludf.DUMMYFUNCTION("""COMPUTED_VALUE"""),"Northwestern")</f>
        <v>Northwestern</v>
      </c>
      <c r="AU57" t="str">
        <f>IFERROR(__xludf.DUMMYFUNCTION("""COMPUTED_VALUE"""),"Oklahoma")</f>
        <v>Oklahoma</v>
      </c>
      <c r="AV57" t="str">
        <f>IFERROR(__xludf.DUMMYFUNCTION("""COMPUTED_VALUE"""),"Oklahoma State")</f>
        <v>Oklahoma State</v>
      </c>
      <c r="AW57" t="str">
        <f>IFERROR(__xludf.DUMMYFUNCTION("""COMPUTED_VALUE"""),"Old Dominion")</f>
        <v>Old Dominion</v>
      </c>
      <c r="AX57" t="str">
        <f>IFERROR(__xludf.DUMMYFUNCTION("""COMPUTED_VALUE"""),"Oregon State")</f>
        <v>Oregon State</v>
      </c>
      <c r="AY57" t="str">
        <f>IFERROR(__xludf.DUMMYFUNCTION("""COMPUTED_VALUE"""),"Pittsburgh")</f>
        <v>Pittsburgh</v>
      </c>
      <c r="AZ57" t="str">
        <f>IFERROR(__xludf.DUMMYFUNCTION("""COMPUTED_VALUE"""),"Purdue")</f>
        <v>Purdue</v>
      </c>
      <c r="BA57" t="str">
        <f>IFERROR(__xludf.DUMMYFUNCTION("""COMPUTED_VALUE"""),"Rice")</f>
        <v>Rice</v>
      </c>
      <c r="BB57" t="str">
        <f>IFERROR(__xludf.DUMMYFUNCTION("""COMPUTED_VALUE"""),"Rutgers")</f>
        <v>Rutgers</v>
      </c>
      <c r="BC57" t="str">
        <f>IFERROR(__xludf.DUMMYFUNCTION("""COMPUTED_VALUE"""),"Sam Houston")</f>
        <v>Sam Houston</v>
      </c>
      <c r="BD57" t="str">
        <f>IFERROR(__xludf.DUMMYFUNCTION("""COMPUTED_VALUE"""),"San Diego State")</f>
        <v>San Diego State</v>
      </c>
      <c r="BE57" t="str">
        <f>IFERROR(__xludf.DUMMYFUNCTION("""COMPUTED_VALUE"""),"South Carolina")</f>
        <v>South Carolina</v>
      </c>
      <c r="BF57" t="str">
        <f>IFERROR(__xludf.DUMMYFUNCTION("""COMPUTED_VALUE"""),"Southern Mississippi")</f>
        <v>Southern Mississippi</v>
      </c>
      <c r="BG57" t="str">
        <f>IFERROR(__xludf.DUMMYFUNCTION("""COMPUTED_VALUE"""),"Stanford")</f>
        <v>Stanford</v>
      </c>
      <c r="BH57" t="str">
        <f>IFERROR(__xludf.DUMMYFUNCTION("""COMPUTED_VALUE"""),"Syracuse")</f>
        <v>Syracuse</v>
      </c>
      <c r="BI57" t="str">
        <f>IFERROR(__xludf.DUMMYFUNCTION("""COMPUTED_VALUE"""),"TCU")</f>
        <v>TCU</v>
      </c>
      <c r="BJ57" t="str">
        <f>IFERROR(__xludf.DUMMYFUNCTION("""COMPUTED_VALUE"""),"Temple")</f>
        <v>Temple</v>
      </c>
      <c r="BK57" t="str">
        <f>IFERROR(__xludf.DUMMYFUNCTION("""COMPUTED_VALUE"""),"Troy")</f>
        <v>Troy</v>
      </c>
      <c r="BL57" t="str">
        <f>IFERROR(__xludf.DUMMYFUNCTION("""COMPUTED_VALUE"""),"Tulsa")</f>
        <v>Tulsa</v>
      </c>
      <c r="BM57" t="str">
        <f>IFERROR(__xludf.DUMMYFUNCTION("""COMPUTED_VALUE"""),"UAB")</f>
        <v>UAB</v>
      </c>
      <c r="BN57" t="str">
        <f>IFERROR(__xludf.DUMMYFUNCTION("""COMPUTED_VALUE"""),"UCF")</f>
        <v>UCF</v>
      </c>
      <c r="BO57" t="str">
        <f>IFERROR(__xludf.DUMMYFUNCTION("""COMPUTED_VALUE"""),"UCLA")</f>
        <v>UCLA</v>
      </c>
      <c r="BP57" t="str">
        <f>IFERROR(__xludf.DUMMYFUNCTION("""COMPUTED_VALUE"""),"UConn")</f>
        <v>UConn</v>
      </c>
      <c r="BQ57" t="str">
        <f>IFERROR(__xludf.DUMMYFUNCTION("""COMPUTED_VALUE"""),"UL Monroe")</f>
        <v>UL Monroe</v>
      </c>
      <c r="BR57" t="str">
        <f>IFERROR(__xludf.DUMMYFUNCTION("""COMPUTED_VALUE"""),"UMASS")</f>
        <v>UMASS</v>
      </c>
      <c r="BS57" t="str">
        <f>IFERROR(__xludf.DUMMYFUNCTION("""COMPUTED_VALUE"""),"Utah State")</f>
        <v>Utah State</v>
      </c>
      <c r="BT57" t="str">
        <f>IFERROR(__xludf.DUMMYFUNCTION("""COMPUTED_VALUE"""),"UTEP")</f>
        <v>UTEP</v>
      </c>
      <c r="BU57" t="str">
        <f>IFERROR(__xludf.DUMMYFUNCTION("""COMPUTED_VALUE"""),"Vanderbilt")</f>
        <v>Vanderbilt</v>
      </c>
      <c r="BV57" t="str">
        <f>IFERROR(__xludf.DUMMYFUNCTION("""COMPUTED_VALUE"""),"Virginia")</f>
        <v>Virginia</v>
      </c>
      <c r="BW57" t="str">
        <f>IFERROR(__xludf.DUMMYFUNCTION("""COMPUTED_VALUE"""),"Virginia Tech")</f>
        <v>Virginia Tech</v>
      </c>
      <c r="BX57" t="str">
        <f>IFERROR(__xludf.DUMMYFUNCTION("""COMPUTED_VALUE"""),"Wake Forest")</f>
        <v>Wake Forest</v>
      </c>
      <c r="BY57" t="str">
        <f>IFERROR(__xludf.DUMMYFUNCTION("""COMPUTED_VALUE"""),"Washington State")</f>
        <v>Washington State</v>
      </c>
      <c r="BZ57" t="str">
        <f>IFERROR(__xludf.DUMMYFUNCTION("""COMPUTED_VALUE"""),"West Virginia")</f>
        <v>West Virginia</v>
      </c>
      <c r="CA57" t="str">
        <f>IFERROR(__xludf.DUMMYFUNCTION("""COMPUTED_VALUE"""),"Western Michigan")</f>
        <v>Western Michigan</v>
      </c>
      <c r="CB57" t="str">
        <f>IFERROR(__xludf.DUMMYFUNCTION("""COMPUTED_VALUE"""),"Wisconsin")</f>
        <v>Wisconsin</v>
      </c>
      <c r="CC57" t="str">
        <f>IFERROR(__xludf.DUMMYFUNCTION("""COMPUTED_VALUE"""),"Wyoming")</f>
        <v>Wyoming</v>
      </c>
    </row>
    <row r="58">
      <c r="A58" s="1">
        <v>57.0</v>
      </c>
      <c r="B58" t="str">
        <f>IFERROR(__xludf.DUMMYFUNCTION("split(join("","",sort(byrow('Teams-Conference'!A$2:A1000,lambda(rw,if(iserror(match(rw,DraftTracker!F$1:F58,0)),rw,""""))),1,1)),"","",1,1)"),"Air Force")</f>
        <v>Air Force</v>
      </c>
      <c r="C58" t="str">
        <f>IFERROR(__xludf.DUMMYFUNCTION("""COMPUTED_VALUE"""),"Akron")</f>
        <v>Akron</v>
      </c>
      <c r="D58" t="str">
        <f>IFERROR(__xludf.DUMMYFUNCTION("""COMPUTED_VALUE"""),"Appalachian State")</f>
        <v>Appalachian State</v>
      </c>
      <c r="E58" t="str">
        <f>IFERROR(__xludf.DUMMYFUNCTION("""COMPUTED_VALUE"""),"Arizona")</f>
        <v>Arizona</v>
      </c>
      <c r="F58" t="str">
        <f>IFERROR(__xludf.DUMMYFUNCTION("""COMPUTED_VALUE"""),"Arkansas")</f>
        <v>Arkansas</v>
      </c>
      <c r="G58" t="str">
        <f>IFERROR(__xludf.DUMMYFUNCTION("""COMPUTED_VALUE"""),"Arkansas State")</f>
        <v>Arkansas State</v>
      </c>
      <c r="H58" t="str">
        <f>IFERROR(__xludf.DUMMYFUNCTION("""COMPUTED_VALUE"""),"Ball State")</f>
        <v>Ball State</v>
      </c>
      <c r="I58" t="str">
        <f>IFERROR(__xludf.DUMMYFUNCTION("""COMPUTED_VALUE"""),"Baylor")</f>
        <v>Baylor</v>
      </c>
      <c r="J58" t="str">
        <f>IFERROR(__xludf.DUMMYFUNCTION("""COMPUTED_VALUE"""),"Boston College")</f>
        <v>Boston College</v>
      </c>
      <c r="K58" t="str">
        <f>IFERROR(__xludf.DUMMYFUNCTION("""COMPUTED_VALUE"""),"California")</f>
        <v>California</v>
      </c>
      <c r="L58" t="str">
        <f>IFERROR(__xludf.DUMMYFUNCTION("""COMPUTED_VALUE"""),"Central Michigan")</f>
        <v>Central Michigan</v>
      </c>
      <c r="M58" t="str">
        <f>IFERROR(__xludf.DUMMYFUNCTION("""COMPUTED_VALUE"""),"Charlotte")</f>
        <v>Charlotte</v>
      </c>
      <c r="N58" t="str">
        <f>IFERROR(__xludf.DUMMYFUNCTION("""COMPUTED_VALUE"""),"Cincinnati")</f>
        <v>Cincinnati</v>
      </c>
      <c r="O58" t="str">
        <f>IFERROR(__xludf.DUMMYFUNCTION("""COMPUTED_VALUE"""),"Coastal Carolina")</f>
        <v>Coastal Carolina</v>
      </c>
      <c r="P58" t="str">
        <f>IFERROR(__xludf.DUMMYFUNCTION("""COMPUTED_VALUE"""),"Colorado")</f>
        <v>Colorado</v>
      </c>
      <c r="Q58" t="str">
        <f>IFERROR(__xludf.DUMMYFUNCTION("""COMPUTED_VALUE"""),"Delaware")</f>
        <v>Delaware</v>
      </c>
      <c r="R58" t="str">
        <f>IFERROR(__xludf.DUMMYFUNCTION("""COMPUTED_VALUE"""),"Duke")</f>
        <v>Duke</v>
      </c>
      <c r="S58" t="str">
        <f>IFERROR(__xludf.DUMMYFUNCTION("""COMPUTED_VALUE"""),"EMU")</f>
        <v>EMU</v>
      </c>
      <c r="T58" t="str">
        <f>IFERROR(__xludf.DUMMYFUNCTION("""COMPUTED_VALUE"""),"Florida")</f>
        <v>Florida</v>
      </c>
      <c r="U58" t="str">
        <f>IFERROR(__xludf.DUMMYFUNCTION("""COMPUTED_VALUE"""),"Florida Atlantic")</f>
        <v>Florida Atlantic</v>
      </c>
      <c r="V58" t="str">
        <f>IFERROR(__xludf.DUMMYFUNCTION("""COMPUTED_VALUE"""),"Florida Intl")</f>
        <v>Florida Intl</v>
      </c>
      <c r="W58" t="str">
        <f>IFERROR(__xludf.DUMMYFUNCTION("""COMPUTED_VALUE"""),"Florida State")</f>
        <v>Florida State</v>
      </c>
      <c r="X58" t="str">
        <f>IFERROR(__xludf.DUMMYFUNCTION("""COMPUTED_VALUE"""),"Georgia State")</f>
        <v>Georgia State</v>
      </c>
      <c r="Y58" t="str">
        <f>IFERROR(__xludf.DUMMYFUNCTION("""COMPUTED_VALUE"""),"Georgia Tech")</f>
        <v>Georgia Tech</v>
      </c>
      <c r="Z58" t="str">
        <f>IFERROR(__xludf.DUMMYFUNCTION("""COMPUTED_VALUE"""),"Hawaii")</f>
        <v>Hawaii</v>
      </c>
      <c r="AA58" t="str">
        <f>IFERROR(__xludf.DUMMYFUNCTION("""COMPUTED_VALUE"""),"Houston")</f>
        <v>Houston</v>
      </c>
      <c r="AB58" t="str">
        <f>IFERROR(__xludf.DUMMYFUNCTION("""COMPUTED_VALUE"""),"Iowa")</f>
        <v>Iowa</v>
      </c>
      <c r="AC58" t="str">
        <f>IFERROR(__xludf.DUMMYFUNCTION("""COMPUTED_VALUE"""),"Iowa State")</f>
        <v>Iowa State</v>
      </c>
      <c r="AD58" t="str">
        <f>IFERROR(__xludf.DUMMYFUNCTION("""COMPUTED_VALUE"""),"Kennesaw State")</f>
        <v>Kennesaw State</v>
      </c>
      <c r="AE58" t="str">
        <f>IFERROR(__xludf.DUMMYFUNCTION("""COMPUTED_VALUE"""),"Kent State")</f>
        <v>Kent State</v>
      </c>
      <c r="AF58" t="str">
        <f>IFERROR(__xludf.DUMMYFUNCTION("""COMPUTED_VALUE"""),"Kentucky")</f>
        <v>Kentucky</v>
      </c>
      <c r="AG58" t="str">
        <f>IFERROR(__xludf.DUMMYFUNCTION("""COMPUTED_VALUE"""),"Marshall")</f>
        <v>Marshall</v>
      </c>
      <c r="AH58" t="str">
        <f>IFERROR(__xludf.DUMMYFUNCTION("""COMPUTED_VALUE"""),"Maryland")</f>
        <v>Maryland</v>
      </c>
      <c r="AI58" t="str">
        <f>IFERROR(__xludf.DUMMYFUNCTION("""COMPUTED_VALUE"""),"Michigan State")</f>
        <v>Michigan State</v>
      </c>
      <c r="AJ58" t="str">
        <f>IFERROR(__xludf.DUMMYFUNCTION("""COMPUTED_VALUE"""),"Middle Tennessee")</f>
        <v>Middle Tennessee</v>
      </c>
      <c r="AK58" t="str">
        <f>IFERROR(__xludf.DUMMYFUNCTION("""COMPUTED_VALUE"""),"Minnesota")</f>
        <v>Minnesota</v>
      </c>
      <c r="AL58" t="str">
        <f>IFERROR(__xludf.DUMMYFUNCTION("""COMPUTED_VALUE"""),"Mississippi State")</f>
        <v>Mississippi State</v>
      </c>
      <c r="AM58" t="str">
        <f>IFERROR(__xludf.DUMMYFUNCTION("""COMPUTED_VALUE"""),"Missouri")</f>
        <v>Missouri</v>
      </c>
      <c r="AN58" t="str">
        <f>IFERROR(__xludf.DUMMYFUNCTION("""COMPUTED_VALUE"""),"Missouri State")</f>
        <v>Missouri State</v>
      </c>
      <c r="AO58" t="str">
        <f>IFERROR(__xludf.DUMMYFUNCTION("""COMPUTED_VALUE"""),"NC State")</f>
        <v>NC State</v>
      </c>
      <c r="AP58" t="str">
        <f>IFERROR(__xludf.DUMMYFUNCTION("""COMPUTED_VALUE"""),"Nevada")</f>
        <v>Nevada</v>
      </c>
      <c r="AQ58" t="str">
        <f>IFERROR(__xludf.DUMMYFUNCTION("""COMPUTED_VALUE"""),"New Mexico")</f>
        <v>New Mexico</v>
      </c>
      <c r="AR58" t="str">
        <f>IFERROR(__xludf.DUMMYFUNCTION("""COMPUTED_VALUE"""),"New Mexico State")</f>
        <v>New Mexico State</v>
      </c>
      <c r="AS58" t="str">
        <f>IFERROR(__xludf.DUMMYFUNCTION("""COMPUTED_VALUE"""),"Northwestern")</f>
        <v>Northwestern</v>
      </c>
      <c r="AT58" t="str">
        <f>IFERROR(__xludf.DUMMYFUNCTION("""COMPUTED_VALUE"""),"Oklahoma")</f>
        <v>Oklahoma</v>
      </c>
      <c r="AU58" t="str">
        <f>IFERROR(__xludf.DUMMYFUNCTION("""COMPUTED_VALUE"""),"Oklahoma State")</f>
        <v>Oklahoma State</v>
      </c>
      <c r="AV58" t="str">
        <f>IFERROR(__xludf.DUMMYFUNCTION("""COMPUTED_VALUE"""),"Old Dominion")</f>
        <v>Old Dominion</v>
      </c>
      <c r="AW58" t="str">
        <f>IFERROR(__xludf.DUMMYFUNCTION("""COMPUTED_VALUE"""),"Oregon State")</f>
        <v>Oregon State</v>
      </c>
      <c r="AX58" t="str">
        <f>IFERROR(__xludf.DUMMYFUNCTION("""COMPUTED_VALUE"""),"Pittsburgh")</f>
        <v>Pittsburgh</v>
      </c>
      <c r="AY58" t="str">
        <f>IFERROR(__xludf.DUMMYFUNCTION("""COMPUTED_VALUE"""),"Purdue")</f>
        <v>Purdue</v>
      </c>
      <c r="AZ58" t="str">
        <f>IFERROR(__xludf.DUMMYFUNCTION("""COMPUTED_VALUE"""),"Rice")</f>
        <v>Rice</v>
      </c>
      <c r="BA58" t="str">
        <f>IFERROR(__xludf.DUMMYFUNCTION("""COMPUTED_VALUE"""),"Rutgers")</f>
        <v>Rutgers</v>
      </c>
      <c r="BB58" t="str">
        <f>IFERROR(__xludf.DUMMYFUNCTION("""COMPUTED_VALUE"""),"Sam Houston")</f>
        <v>Sam Houston</v>
      </c>
      <c r="BC58" t="str">
        <f>IFERROR(__xludf.DUMMYFUNCTION("""COMPUTED_VALUE"""),"San Diego State")</f>
        <v>San Diego State</v>
      </c>
      <c r="BD58" t="str">
        <f>IFERROR(__xludf.DUMMYFUNCTION("""COMPUTED_VALUE"""),"South Carolina")</f>
        <v>South Carolina</v>
      </c>
      <c r="BE58" t="str">
        <f>IFERROR(__xludf.DUMMYFUNCTION("""COMPUTED_VALUE"""),"Southern Mississippi")</f>
        <v>Southern Mississippi</v>
      </c>
      <c r="BF58" t="str">
        <f>IFERROR(__xludf.DUMMYFUNCTION("""COMPUTED_VALUE"""),"Stanford")</f>
        <v>Stanford</v>
      </c>
      <c r="BG58" t="str">
        <f>IFERROR(__xludf.DUMMYFUNCTION("""COMPUTED_VALUE"""),"Syracuse")</f>
        <v>Syracuse</v>
      </c>
      <c r="BH58" t="str">
        <f>IFERROR(__xludf.DUMMYFUNCTION("""COMPUTED_VALUE"""),"TCU")</f>
        <v>TCU</v>
      </c>
      <c r="BI58" t="str">
        <f>IFERROR(__xludf.DUMMYFUNCTION("""COMPUTED_VALUE"""),"Temple")</f>
        <v>Temple</v>
      </c>
      <c r="BJ58" t="str">
        <f>IFERROR(__xludf.DUMMYFUNCTION("""COMPUTED_VALUE"""),"Troy")</f>
        <v>Troy</v>
      </c>
      <c r="BK58" t="str">
        <f>IFERROR(__xludf.DUMMYFUNCTION("""COMPUTED_VALUE"""),"Tulsa")</f>
        <v>Tulsa</v>
      </c>
      <c r="BL58" t="str">
        <f>IFERROR(__xludf.DUMMYFUNCTION("""COMPUTED_VALUE"""),"UAB")</f>
        <v>UAB</v>
      </c>
      <c r="BM58" t="str">
        <f>IFERROR(__xludf.DUMMYFUNCTION("""COMPUTED_VALUE"""),"UCF")</f>
        <v>UCF</v>
      </c>
      <c r="BN58" t="str">
        <f>IFERROR(__xludf.DUMMYFUNCTION("""COMPUTED_VALUE"""),"UCLA")</f>
        <v>UCLA</v>
      </c>
      <c r="BO58" t="str">
        <f>IFERROR(__xludf.DUMMYFUNCTION("""COMPUTED_VALUE"""),"UConn")</f>
        <v>UConn</v>
      </c>
      <c r="BP58" t="str">
        <f>IFERROR(__xludf.DUMMYFUNCTION("""COMPUTED_VALUE"""),"UL Monroe")</f>
        <v>UL Monroe</v>
      </c>
      <c r="BQ58" t="str">
        <f>IFERROR(__xludf.DUMMYFUNCTION("""COMPUTED_VALUE"""),"UMASS")</f>
        <v>UMASS</v>
      </c>
      <c r="BR58" t="str">
        <f>IFERROR(__xludf.DUMMYFUNCTION("""COMPUTED_VALUE"""),"Utah State")</f>
        <v>Utah State</v>
      </c>
      <c r="BS58" t="str">
        <f>IFERROR(__xludf.DUMMYFUNCTION("""COMPUTED_VALUE"""),"UTEP")</f>
        <v>UTEP</v>
      </c>
      <c r="BT58" t="str">
        <f>IFERROR(__xludf.DUMMYFUNCTION("""COMPUTED_VALUE"""),"Vanderbilt")</f>
        <v>Vanderbilt</v>
      </c>
      <c r="BU58" t="str">
        <f>IFERROR(__xludf.DUMMYFUNCTION("""COMPUTED_VALUE"""),"Virginia")</f>
        <v>Virginia</v>
      </c>
      <c r="BV58" t="str">
        <f>IFERROR(__xludf.DUMMYFUNCTION("""COMPUTED_VALUE"""),"Virginia Tech")</f>
        <v>Virginia Tech</v>
      </c>
      <c r="BW58" t="str">
        <f>IFERROR(__xludf.DUMMYFUNCTION("""COMPUTED_VALUE"""),"Wake Forest")</f>
        <v>Wake Forest</v>
      </c>
      <c r="BX58" t="str">
        <f>IFERROR(__xludf.DUMMYFUNCTION("""COMPUTED_VALUE"""),"Washington State")</f>
        <v>Washington State</v>
      </c>
      <c r="BY58" t="str">
        <f>IFERROR(__xludf.DUMMYFUNCTION("""COMPUTED_VALUE"""),"West Virginia")</f>
        <v>West Virginia</v>
      </c>
      <c r="BZ58" t="str">
        <f>IFERROR(__xludf.DUMMYFUNCTION("""COMPUTED_VALUE"""),"Western Michigan")</f>
        <v>Western Michigan</v>
      </c>
      <c r="CA58" t="str">
        <f>IFERROR(__xludf.DUMMYFUNCTION("""COMPUTED_VALUE"""),"Wisconsin")</f>
        <v>Wisconsin</v>
      </c>
      <c r="CB58" t="str">
        <f>IFERROR(__xludf.DUMMYFUNCTION("""COMPUTED_VALUE"""),"Wyoming")</f>
        <v>Wyoming</v>
      </c>
    </row>
    <row r="59">
      <c r="A59" s="1">
        <v>58.0</v>
      </c>
      <c r="B59" t="str">
        <f>IFERROR(__xludf.DUMMYFUNCTION("split(join("","",sort(byrow('Teams-Conference'!A$2:A1000,lambda(rw,if(iserror(match(rw,DraftTracker!F$1:F59,0)),rw,""""))),1,1)),"","",1,1)"),"Air Force")</f>
        <v>Air Force</v>
      </c>
      <c r="C59" t="str">
        <f>IFERROR(__xludf.DUMMYFUNCTION("""COMPUTED_VALUE"""),"Akron")</f>
        <v>Akron</v>
      </c>
      <c r="D59" t="str">
        <f>IFERROR(__xludf.DUMMYFUNCTION("""COMPUTED_VALUE"""),"Appalachian State")</f>
        <v>Appalachian State</v>
      </c>
      <c r="E59" t="str">
        <f>IFERROR(__xludf.DUMMYFUNCTION("""COMPUTED_VALUE"""),"Arizona")</f>
        <v>Arizona</v>
      </c>
      <c r="F59" t="str">
        <f>IFERROR(__xludf.DUMMYFUNCTION("""COMPUTED_VALUE"""),"Arkansas")</f>
        <v>Arkansas</v>
      </c>
      <c r="G59" t="str">
        <f>IFERROR(__xludf.DUMMYFUNCTION("""COMPUTED_VALUE"""),"Arkansas State")</f>
        <v>Arkansas State</v>
      </c>
      <c r="H59" t="str">
        <f>IFERROR(__xludf.DUMMYFUNCTION("""COMPUTED_VALUE"""),"Ball State")</f>
        <v>Ball State</v>
      </c>
      <c r="I59" t="str">
        <f>IFERROR(__xludf.DUMMYFUNCTION("""COMPUTED_VALUE"""),"Boston College")</f>
        <v>Boston College</v>
      </c>
      <c r="J59" t="str">
        <f>IFERROR(__xludf.DUMMYFUNCTION("""COMPUTED_VALUE"""),"California")</f>
        <v>California</v>
      </c>
      <c r="K59" t="str">
        <f>IFERROR(__xludf.DUMMYFUNCTION("""COMPUTED_VALUE"""),"Central Michigan")</f>
        <v>Central Michigan</v>
      </c>
      <c r="L59" t="str">
        <f>IFERROR(__xludf.DUMMYFUNCTION("""COMPUTED_VALUE"""),"Charlotte")</f>
        <v>Charlotte</v>
      </c>
      <c r="M59" t="str">
        <f>IFERROR(__xludf.DUMMYFUNCTION("""COMPUTED_VALUE"""),"Cincinnati")</f>
        <v>Cincinnati</v>
      </c>
      <c r="N59" t="str">
        <f>IFERROR(__xludf.DUMMYFUNCTION("""COMPUTED_VALUE"""),"Coastal Carolina")</f>
        <v>Coastal Carolina</v>
      </c>
      <c r="O59" t="str">
        <f>IFERROR(__xludf.DUMMYFUNCTION("""COMPUTED_VALUE"""),"Colorado")</f>
        <v>Colorado</v>
      </c>
      <c r="P59" t="str">
        <f>IFERROR(__xludf.DUMMYFUNCTION("""COMPUTED_VALUE"""),"Delaware")</f>
        <v>Delaware</v>
      </c>
      <c r="Q59" t="str">
        <f>IFERROR(__xludf.DUMMYFUNCTION("""COMPUTED_VALUE"""),"Duke")</f>
        <v>Duke</v>
      </c>
      <c r="R59" t="str">
        <f>IFERROR(__xludf.DUMMYFUNCTION("""COMPUTED_VALUE"""),"EMU")</f>
        <v>EMU</v>
      </c>
      <c r="S59" t="str">
        <f>IFERROR(__xludf.DUMMYFUNCTION("""COMPUTED_VALUE"""),"Florida")</f>
        <v>Florida</v>
      </c>
      <c r="T59" t="str">
        <f>IFERROR(__xludf.DUMMYFUNCTION("""COMPUTED_VALUE"""),"Florida Atlantic")</f>
        <v>Florida Atlantic</v>
      </c>
      <c r="U59" t="str">
        <f>IFERROR(__xludf.DUMMYFUNCTION("""COMPUTED_VALUE"""),"Florida Intl")</f>
        <v>Florida Intl</v>
      </c>
      <c r="V59" t="str">
        <f>IFERROR(__xludf.DUMMYFUNCTION("""COMPUTED_VALUE"""),"Florida State")</f>
        <v>Florida State</v>
      </c>
      <c r="W59" t="str">
        <f>IFERROR(__xludf.DUMMYFUNCTION("""COMPUTED_VALUE"""),"Georgia State")</f>
        <v>Georgia State</v>
      </c>
      <c r="X59" t="str">
        <f>IFERROR(__xludf.DUMMYFUNCTION("""COMPUTED_VALUE"""),"Georgia Tech")</f>
        <v>Georgia Tech</v>
      </c>
      <c r="Y59" t="str">
        <f>IFERROR(__xludf.DUMMYFUNCTION("""COMPUTED_VALUE"""),"Hawaii")</f>
        <v>Hawaii</v>
      </c>
      <c r="Z59" t="str">
        <f>IFERROR(__xludf.DUMMYFUNCTION("""COMPUTED_VALUE"""),"Houston")</f>
        <v>Houston</v>
      </c>
      <c r="AA59" t="str">
        <f>IFERROR(__xludf.DUMMYFUNCTION("""COMPUTED_VALUE"""),"Iowa")</f>
        <v>Iowa</v>
      </c>
      <c r="AB59" t="str">
        <f>IFERROR(__xludf.DUMMYFUNCTION("""COMPUTED_VALUE"""),"Iowa State")</f>
        <v>Iowa State</v>
      </c>
      <c r="AC59" t="str">
        <f>IFERROR(__xludf.DUMMYFUNCTION("""COMPUTED_VALUE"""),"Kennesaw State")</f>
        <v>Kennesaw State</v>
      </c>
      <c r="AD59" t="str">
        <f>IFERROR(__xludf.DUMMYFUNCTION("""COMPUTED_VALUE"""),"Kent State")</f>
        <v>Kent State</v>
      </c>
      <c r="AE59" t="str">
        <f>IFERROR(__xludf.DUMMYFUNCTION("""COMPUTED_VALUE"""),"Kentucky")</f>
        <v>Kentucky</v>
      </c>
      <c r="AF59" t="str">
        <f>IFERROR(__xludf.DUMMYFUNCTION("""COMPUTED_VALUE"""),"Marshall")</f>
        <v>Marshall</v>
      </c>
      <c r="AG59" t="str">
        <f>IFERROR(__xludf.DUMMYFUNCTION("""COMPUTED_VALUE"""),"Maryland")</f>
        <v>Maryland</v>
      </c>
      <c r="AH59" t="str">
        <f>IFERROR(__xludf.DUMMYFUNCTION("""COMPUTED_VALUE"""),"Michigan State")</f>
        <v>Michigan State</v>
      </c>
      <c r="AI59" t="str">
        <f>IFERROR(__xludf.DUMMYFUNCTION("""COMPUTED_VALUE"""),"Middle Tennessee")</f>
        <v>Middle Tennessee</v>
      </c>
      <c r="AJ59" t="str">
        <f>IFERROR(__xludf.DUMMYFUNCTION("""COMPUTED_VALUE"""),"Minnesota")</f>
        <v>Minnesota</v>
      </c>
      <c r="AK59" t="str">
        <f>IFERROR(__xludf.DUMMYFUNCTION("""COMPUTED_VALUE"""),"Mississippi State")</f>
        <v>Mississippi State</v>
      </c>
      <c r="AL59" t="str">
        <f>IFERROR(__xludf.DUMMYFUNCTION("""COMPUTED_VALUE"""),"Missouri")</f>
        <v>Missouri</v>
      </c>
      <c r="AM59" t="str">
        <f>IFERROR(__xludf.DUMMYFUNCTION("""COMPUTED_VALUE"""),"Missouri State")</f>
        <v>Missouri State</v>
      </c>
      <c r="AN59" t="str">
        <f>IFERROR(__xludf.DUMMYFUNCTION("""COMPUTED_VALUE"""),"NC State")</f>
        <v>NC State</v>
      </c>
      <c r="AO59" t="str">
        <f>IFERROR(__xludf.DUMMYFUNCTION("""COMPUTED_VALUE"""),"Nevada")</f>
        <v>Nevada</v>
      </c>
      <c r="AP59" t="str">
        <f>IFERROR(__xludf.DUMMYFUNCTION("""COMPUTED_VALUE"""),"New Mexico")</f>
        <v>New Mexico</v>
      </c>
      <c r="AQ59" t="str">
        <f>IFERROR(__xludf.DUMMYFUNCTION("""COMPUTED_VALUE"""),"New Mexico State")</f>
        <v>New Mexico State</v>
      </c>
      <c r="AR59" t="str">
        <f>IFERROR(__xludf.DUMMYFUNCTION("""COMPUTED_VALUE"""),"Northwestern")</f>
        <v>Northwestern</v>
      </c>
      <c r="AS59" t="str">
        <f>IFERROR(__xludf.DUMMYFUNCTION("""COMPUTED_VALUE"""),"Oklahoma")</f>
        <v>Oklahoma</v>
      </c>
      <c r="AT59" t="str">
        <f>IFERROR(__xludf.DUMMYFUNCTION("""COMPUTED_VALUE"""),"Oklahoma State")</f>
        <v>Oklahoma State</v>
      </c>
      <c r="AU59" t="str">
        <f>IFERROR(__xludf.DUMMYFUNCTION("""COMPUTED_VALUE"""),"Old Dominion")</f>
        <v>Old Dominion</v>
      </c>
      <c r="AV59" t="str">
        <f>IFERROR(__xludf.DUMMYFUNCTION("""COMPUTED_VALUE"""),"Oregon State")</f>
        <v>Oregon State</v>
      </c>
      <c r="AW59" t="str">
        <f>IFERROR(__xludf.DUMMYFUNCTION("""COMPUTED_VALUE"""),"Pittsburgh")</f>
        <v>Pittsburgh</v>
      </c>
      <c r="AX59" t="str">
        <f>IFERROR(__xludf.DUMMYFUNCTION("""COMPUTED_VALUE"""),"Purdue")</f>
        <v>Purdue</v>
      </c>
      <c r="AY59" t="str">
        <f>IFERROR(__xludf.DUMMYFUNCTION("""COMPUTED_VALUE"""),"Rice")</f>
        <v>Rice</v>
      </c>
      <c r="AZ59" t="str">
        <f>IFERROR(__xludf.DUMMYFUNCTION("""COMPUTED_VALUE"""),"Rutgers")</f>
        <v>Rutgers</v>
      </c>
      <c r="BA59" t="str">
        <f>IFERROR(__xludf.DUMMYFUNCTION("""COMPUTED_VALUE"""),"Sam Houston")</f>
        <v>Sam Houston</v>
      </c>
      <c r="BB59" t="str">
        <f>IFERROR(__xludf.DUMMYFUNCTION("""COMPUTED_VALUE"""),"San Diego State")</f>
        <v>San Diego State</v>
      </c>
      <c r="BC59" t="str">
        <f>IFERROR(__xludf.DUMMYFUNCTION("""COMPUTED_VALUE"""),"South Carolina")</f>
        <v>South Carolina</v>
      </c>
      <c r="BD59" t="str">
        <f>IFERROR(__xludf.DUMMYFUNCTION("""COMPUTED_VALUE"""),"Southern Mississippi")</f>
        <v>Southern Mississippi</v>
      </c>
      <c r="BE59" t="str">
        <f>IFERROR(__xludf.DUMMYFUNCTION("""COMPUTED_VALUE"""),"Stanford")</f>
        <v>Stanford</v>
      </c>
      <c r="BF59" t="str">
        <f>IFERROR(__xludf.DUMMYFUNCTION("""COMPUTED_VALUE"""),"Syracuse")</f>
        <v>Syracuse</v>
      </c>
      <c r="BG59" t="str">
        <f>IFERROR(__xludf.DUMMYFUNCTION("""COMPUTED_VALUE"""),"TCU")</f>
        <v>TCU</v>
      </c>
      <c r="BH59" t="str">
        <f>IFERROR(__xludf.DUMMYFUNCTION("""COMPUTED_VALUE"""),"Temple")</f>
        <v>Temple</v>
      </c>
      <c r="BI59" t="str">
        <f>IFERROR(__xludf.DUMMYFUNCTION("""COMPUTED_VALUE"""),"Troy")</f>
        <v>Troy</v>
      </c>
      <c r="BJ59" t="str">
        <f>IFERROR(__xludf.DUMMYFUNCTION("""COMPUTED_VALUE"""),"Tulsa")</f>
        <v>Tulsa</v>
      </c>
      <c r="BK59" t="str">
        <f>IFERROR(__xludf.DUMMYFUNCTION("""COMPUTED_VALUE"""),"UAB")</f>
        <v>UAB</v>
      </c>
      <c r="BL59" t="str">
        <f>IFERROR(__xludf.DUMMYFUNCTION("""COMPUTED_VALUE"""),"UCF")</f>
        <v>UCF</v>
      </c>
      <c r="BM59" t="str">
        <f>IFERROR(__xludf.DUMMYFUNCTION("""COMPUTED_VALUE"""),"UCLA")</f>
        <v>UCLA</v>
      </c>
      <c r="BN59" t="str">
        <f>IFERROR(__xludf.DUMMYFUNCTION("""COMPUTED_VALUE"""),"UConn")</f>
        <v>UConn</v>
      </c>
      <c r="BO59" t="str">
        <f>IFERROR(__xludf.DUMMYFUNCTION("""COMPUTED_VALUE"""),"UL Monroe")</f>
        <v>UL Monroe</v>
      </c>
      <c r="BP59" t="str">
        <f>IFERROR(__xludf.DUMMYFUNCTION("""COMPUTED_VALUE"""),"UMASS")</f>
        <v>UMASS</v>
      </c>
      <c r="BQ59" t="str">
        <f>IFERROR(__xludf.DUMMYFUNCTION("""COMPUTED_VALUE"""),"Utah State")</f>
        <v>Utah State</v>
      </c>
      <c r="BR59" t="str">
        <f>IFERROR(__xludf.DUMMYFUNCTION("""COMPUTED_VALUE"""),"UTEP")</f>
        <v>UTEP</v>
      </c>
      <c r="BS59" t="str">
        <f>IFERROR(__xludf.DUMMYFUNCTION("""COMPUTED_VALUE"""),"Vanderbilt")</f>
        <v>Vanderbilt</v>
      </c>
      <c r="BT59" t="str">
        <f>IFERROR(__xludf.DUMMYFUNCTION("""COMPUTED_VALUE"""),"Virginia")</f>
        <v>Virginia</v>
      </c>
      <c r="BU59" t="str">
        <f>IFERROR(__xludf.DUMMYFUNCTION("""COMPUTED_VALUE"""),"Virginia Tech")</f>
        <v>Virginia Tech</v>
      </c>
      <c r="BV59" t="str">
        <f>IFERROR(__xludf.DUMMYFUNCTION("""COMPUTED_VALUE"""),"Wake Forest")</f>
        <v>Wake Forest</v>
      </c>
      <c r="BW59" t="str">
        <f>IFERROR(__xludf.DUMMYFUNCTION("""COMPUTED_VALUE"""),"Washington State")</f>
        <v>Washington State</v>
      </c>
      <c r="BX59" t="str">
        <f>IFERROR(__xludf.DUMMYFUNCTION("""COMPUTED_VALUE"""),"West Virginia")</f>
        <v>West Virginia</v>
      </c>
      <c r="BY59" t="str">
        <f>IFERROR(__xludf.DUMMYFUNCTION("""COMPUTED_VALUE"""),"Western Michigan")</f>
        <v>Western Michigan</v>
      </c>
      <c r="BZ59" t="str">
        <f>IFERROR(__xludf.DUMMYFUNCTION("""COMPUTED_VALUE"""),"Wisconsin")</f>
        <v>Wisconsin</v>
      </c>
      <c r="CA59" t="str">
        <f>IFERROR(__xludf.DUMMYFUNCTION("""COMPUTED_VALUE"""),"Wyoming")</f>
        <v>Wyoming</v>
      </c>
    </row>
    <row r="60">
      <c r="A60" s="1">
        <v>59.0</v>
      </c>
      <c r="B60" t="str">
        <f>IFERROR(__xludf.DUMMYFUNCTION("split(join("","",sort(byrow('Teams-Conference'!A$2:A1000,lambda(rw,if(iserror(match(rw,DraftTracker!F$1:F60,0)),rw,""""))),1,1)),"","",1,1)"),"Air Force")</f>
        <v>Air Force</v>
      </c>
      <c r="C60" t="str">
        <f>IFERROR(__xludf.DUMMYFUNCTION("""COMPUTED_VALUE"""),"Akron")</f>
        <v>Akron</v>
      </c>
      <c r="D60" t="str">
        <f>IFERROR(__xludf.DUMMYFUNCTION("""COMPUTED_VALUE"""),"Appalachian State")</f>
        <v>Appalachian State</v>
      </c>
      <c r="E60" t="str">
        <f>IFERROR(__xludf.DUMMYFUNCTION("""COMPUTED_VALUE"""),"Arizona")</f>
        <v>Arizona</v>
      </c>
      <c r="F60" t="str">
        <f>IFERROR(__xludf.DUMMYFUNCTION("""COMPUTED_VALUE"""),"Arkansas")</f>
        <v>Arkansas</v>
      </c>
      <c r="G60" t="str">
        <f>IFERROR(__xludf.DUMMYFUNCTION("""COMPUTED_VALUE"""),"Arkansas State")</f>
        <v>Arkansas State</v>
      </c>
      <c r="H60" t="str">
        <f>IFERROR(__xludf.DUMMYFUNCTION("""COMPUTED_VALUE"""),"Ball State")</f>
        <v>Ball State</v>
      </c>
      <c r="I60" t="str">
        <f>IFERROR(__xludf.DUMMYFUNCTION("""COMPUTED_VALUE"""),"Boston College")</f>
        <v>Boston College</v>
      </c>
      <c r="J60" t="str">
        <f>IFERROR(__xludf.DUMMYFUNCTION("""COMPUTED_VALUE"""),"California")</f>
        <v>California</v>
      </c>
      <c r="K60" t="str">
        <f>IFERROR(__xludf.DUMMYFUNCTION("""COMPUTED_VALUE"""),"Central Michigan")</f>
        <v>Central Michigan</v>
      </c>
      <c r="L60" t="str">
        <f>IFERROR(__xludf.DUMMYFUNCTION("""COMPUTED_VALUE"""),"Charlotte")</f>
        <v>Charlotte</v>
      </c>
      <c r="M60" t="str">
        <f>IFERROR(__xludf.DUMMYFUNCTION("""COMPUTED_VALUE"""),"Cincinnati")</f>
        <v>Cincinnati</v>
      </c>
      <c r="N60" t="str">
        <f>IFERROR(__xludf.DUMMYFUNCTION("""COMPUTED_VALUE"""),"Coastal Carolina")</f>
        <v>Coastal Carolina</v>
      </c>
      <c r="O60" t="str">
        <f>IFERROR(__xludf.DUMMYFUNCTION("""COMPUTED_VALUE"""),"Colorado")</f>
        <v>Colorado</v>
      </c>
      <c r="P60" t="str">
        <f>IFERROR(__xludf.DUMMYFUNCTION("""COMPUTED_VALUE"""),"Delaware")</f>
        <v>Delaware</v>
      </c>
      <c r="Q60" t="str">
        <f>IFERROR(__xludf.DUMMYFUNCTION("""COMPUTED_VALUE"""),"Duke")</f>
        <v>Duke</v>
      </c>
      <c r="R60" t="str">
        <f>IFERROR(__xludf.DUMMYFUNCTION("""COMPUTED_VALUE"""),"EMU")</f>
        <v>EMU</v>
      </c>
      <c r="S60" t="str">
        <f>IFERROR(__xludf.DUMMYFUNCTION("""COMPUTED_VALUE"""),"Florida")</f>
        <v>Florida</v>
      </c>
      <c r="T60" t="str">
        <f>IFERROR(__xludf.DUMMYFUNCTION("""COMPUTED_VALUE"""),"Florida Atlantic")</f>
        <v>Florida Atlantic</v>
      </c>
      <c r="U60" t="str">
        <f>IFERROR(__xludf.DUMMYFUNCTION("""COMPUTED_VALUE"""),"Florida Intl")</f>
        <v>Florida Intl</v>
      </c>
      <c r="V60" t="str">
        <f>IFERROR(__xludf.DUMMYFUNCTION("""COMPUTED_VALUE"""),"Florida State")</f>
        <v>Florida State</v>
      </c>
      <c r="W60" t="str">
        <f>IFERROR(__xludf.DUMMYFUNCTION("""COMPUTED_VALUE"""),"Georgia State")</f>
        <v>Georgia State</v>
      </c>
      <c r="X60" t="str">
        <f>IFERROR(__xludf.DUMMYFUNCTION("""COMPUTED_VALUE"""),"Hawaii")</f>
        <v>Hawaii</v>
      </c>
      <c r="Y60" t="str">
        <f>IFERROR(__xludf.DUMMYFUNCTION("""COMPUTED_VALUE"""),"Houston")</f>
        <v>Houston</v>
      </c>
      <c r="Z60" t="str">
        <f>IFERROR(__xludf.DUMMYFUNCTION("""COMPUTED_VALUE"""),"Iowa")</f>
        <v>Iowa</v>
      </c>
      <c r="AA60" t="str">
        <f>IFERROR(__xludf.DUMMYFUNCTION("""COMPUTED_VALUE"""),"Iowa State")</f>
        <v>Iowa State</v>
      </c>
      <c r="AB60" t="str">
        <f>IFERROR(__xludf.DUMMYFUNCTION("""COMPUTED_VALUE"""),"Kennesaw State")</f>
        <v>Kennesaw State</v>
      </c>
      <c r="AC60" t="str">
        <f>IFERROR(__xludf.DUMMYFUNCTION("""COMPUTED_VALUE"""),"Kent State")</f>
        <v>Kent State</v>
      </c>
      <c r="AD60" t="str">
        <f>IFERROR(__xludf.DUMMYFUNCTION("""COMPUTED_VALUE"""),"Kentucky")</f>
        <v>Kentucky</v>
      </c>
      <c r="AE60" t="str">
        <f>IFERROR(__xludf.DUMMYFUNCTION("""COMPUTED_VALUE"""),"Marshall")</f>
        <v>Marshall</v>
      </c>
      <c r="AF60" t="str">
        <f>IFERROR(__xludf.DUMMYFUNCTION("""COMPUTED_VALUE"""),"Maryland")</f>
        <v>Maryland</v>
      </c>
      <c r="AG60" t="str">
        <f>IFERROR(__xludf.DUMMYFUNCTION("""COMPUTED_VALUE"""),"Michigan State")</f>
        <v>Michigan State</v>
      </c>
      <c r="AH60" t="str">
        <f>IFERROR(__xludf.DUMMYFUNCTION("""COMPUTED_VALUE"""),"Middle Tennessee")</f>
        <v>Middle Tennessee</v>
      </c>
      <c r="AI60" t="str">
        <f>IFERROR(__xludf.DUMMYFUNCTION("""COMPUTED_VALUE"""),"Minnesota")</f>
        <v>Minnesota</v>
      </c>
      <c r="AJ60" t="str">
        <f>IFERROR(__xludf.DUMMYFUNCTION("""COMPUTED_VALUE"""),"Mississippi State")</f>
        <v>Mississippi State</v>
      </c>
      <c r="AK60" t="str">
        <f>IFERROR(__xludf.DUMMYFUNCTION("""COMPUTED_VALUE"""),"Missouri")</f>
        <v>Missouri</v>
      </c>
      <c r="AL60" t="str">
        <f>IFERROR(__xludf.DUMMYFUNCTION("""COMPUTED_VALUE"""),"Missouri State")</f>
        <v>Missouri State</v>
      </c>
      <c r="AM60" t="str">
        <f>IFERROR(__xludf.DUMMYFUNCTION("""COMPUTED_VALUE"""),"NC State")</f>
        <v>NC State</v>
      </c>
      <c r="AN60" t="str">
        <f>IFERROR(__xludf.DUMMYFUNCTION("""COMPUTED_VALUE"""),"Nevada")</f>
        <v>Nevada</v>
      </c>
      <c r="AO60" t="str">
        <f>IFERROR(__xludf.DUMMYFUNCTION("""COMPUTED_VALUE"""),"New Mexico")</f>
        <v>New Mexico</v>
      </c>
      <c r="AP60" t="str">
        <f>IFERROR(__xludf.DUMMYFUNCTION("""COMPUTED_VALUE"""),"New Mexico State")</f>
        <v>New Mexico State</v>
      </c>
      <c r="AQ60" t="str">
        <f>IFERROR(__xludf.DUMMYFUNCTION("""COMPUTED_VALUE"""),"Northwestern")</f>
        <v>Northwestern</v>
      </c>
      <c r="AR60" t="str">
        <f>IFERROR(__xludf.DUMMYFUNCTION("""COMPUTED_VALUE"""),"Oklahoma")</f>
        <v>Oklahoma</v>
      </c>
      <c r="AS60" t="str">
        <f>IFERROR(__xludf.DUMMYFUNCTION("""COMPUTED_VALUE"""),"Oklahoma State")</f>
        <v>Oklahoma State</v>
      </c>
      <c r="AT60" t="str">
        <f>IFERROR(__xludf.DUMMYFUNCTION("""COMPUTED_VALUE"""),"Old Dominion")</f>
        <v>Old Dominion</v>
      </c>
      <c r="AU60" t="str">
        <f>IFERROR(__xludf.DUMMYFUNCTION("""COMPUTED_VALUE"""),"Oregon State")</f>
        <v>Oregon State</v>
      </c>
      <c r="AV60" t="str">
        <f>IFERROR(__xludf.DUMMYFUNCTION("""COMPUTED_VALUE"""),"Pittsburgh")</f>
        <v>Pittsburgh</v>
      </c>
      <c r="AW60" t="str">
        <f>IFERROR(__xludf.DUMMYFUNCTION("""COMPUTED_VALUE"""),"Purdue")</f>
        <v>Purdue</v>
      </c>
      <c r="AX60" t="str">
        <f>IFERROR(__xludf.DUMMYFUNCTION("""COMPUTED_VALUE"""),"Rice")</f>
        <v>Rice</v>
      </c>
      <c r="AY60" t="str">
        <f>IFERROR(__xludf.DUMMYFUNCTION("""COMPUTED_VALUE"""),"Rutgers")</f>
        <v>Rutgers</v>
      </c>
      <c r="AZ60" t="str">
        <f>IFERROR(__xludf.DUMMYFUNCTION("""COMPUTED_VALUE"""),"Sam Houston")</f>
        <v>Sam Houston</v>
      </c>
      <c r="BA60" t="str">
        <f>IFERROR(__xludf.DUMMYFUNCTION("""COMPUTED_VALUE"""),"San Diego State")</f>
        <v>San Diego State</v>
      </c>
      <c r="BB60" t="str">
        <f>IFERROR(__xludf.DUMMYFUNCTION("""COMPUTED_VALUE"""),"South Carolina")</f>
        <v>South Carolina</v>
      </c>
      <c r="BC60" t="str">
        <f>IFERROR(__xludf.DUMMYFUNCTION("""COMPUTED_VALUE"""),"Southern Mississippi")</f>
        <v>Southern Mississippi</v>
      </c>
      <c r="BD60" t="str">
        <f>IFERROR(__xludf.DUMMYFUNCTION("""COMPUTED_VALUE"""),"Stanford")</f>
        <v>Stanford</v>
      </c>
      <c r="BE60" t="str">
        <f>IFERROR(__xludf.DUMMYFUNCTION("""COMPUTED_VALUE"""),"Syracuse")</f>
        <v>Syracuse</v>
      </c>
      <c r="BF60" t="str">
        <f>IFERROR(__xludf.DUMMYFUNCTION("""COMPUTED_VALUE"""),"TCU")</f>
        <v>TCU</v>
      </c>
      <c r="BG60" t="str">
        <f>IFERROR(__xludf.DUMMYFUNCTION("""COMPUTED_VALUE"""),"Temple")</f>
        <v>Temple</v>
      </c>
      <c r="BH60" t="str">
        <f>IFERROR(__xludf.DUMMYFUNCTION("""COMPUTED_VALUE"""),"Troy")</f>
        <v>Troy</v>
      </c>
      <c r="BI60" t="str">
        <f>IFERROR(__xludf.DUMMYFUNCTION("""COMPUTED_VALUE"""),"Tulsa")</f>
        <v>Tulsa</v>
      </c>
      <c r="BJ60" t="str">
        <f>IFERROR(__xludf.DUMMYFUNCTION("""COMPUTED_VALUE"""),"UAB")</f>
        <v>UAB</v>
      </c>
      <c r="BK60" t="str">
        <f>IFERROR(__xludf.DUMMYFUNCTION("""COMPUTED_VALUE"""),"UCF")</f>
        <v>UCF</v>
      </c>
      <c r="BL60" t="str">
        <f>IFERROR(__xludf.DUMMYFUNCTION("""COMPUTED_VALUE"""),"UCLA")</f>
        <v>UCLA</v>
      </c>
      <c r="BM60" t="str">
        <f>IFERROR(__xludf.DUMMYFUNCTION("""COMPUTED_VALUE"""),"UConn")</f>
        <v>UConn</v>
      </c>
      <c r="BN60" t="str">
        <f>IFERROR(__xludf.DUMMYFUNCTION("""COMPUTED_VALUE"""),"UL Monroe")</f>
        <v>UL Monroe</v>
      </c>
      <c r="BO60" t="str">
        <f>IFERROR(__xludf.DUMMYFUNCTION("""COMPUTED_VALUE"""),"UMASS")</f>
        <v>UMASS</v>
      </c>
      <c r="BP60" t="str">
        <f>IFERROR(__xludf.DUMMYFUNCTION("""COMPUTED_VALUE"""),"Utah State")</f>
        <v>Utah State</v>
      </c>
      <c r="BQ60" t="str">
        <f>IFERROR(__xludf.DUMMYFUNCTION("""COMPUTED_VALUE"""),"UTEP")</f>
        <v>UTEP</v>
      </c>
      <c r="BR60" t="str">
        <f>IFERROR(__xludf.DUMMYFUNCTION("""COMPUTED_VALUE"""),"Vanderbilt")</f>
        <v>Vanderbilt</v>
      </c>
      <c r="BS60" t="str">
        <f>IFERROR(__xludf.DUMMYFUNCTION("""COMPUTED_VALUE"""),"Virginia")</f>
        <v>Virginia</v>
      </c>
      <c r="BT60" t="str">
        <f>IFERROR(__xludf.DUMMYFUNCTION("""COMPUTED_VALUE"""),"Virginia Tech")</f>
        <v>Virginia Tech</v>
      </c>
      <c r="BU60" t="str">
        <f>IFERROR(__xludf.DUMMYFUNCTION("""COMPUTED_VALUE"""),"Wake Forest")</f>
        <v>Wake Forest</v>
      </c>
      <c r="BV60" t="str">
        <f>IFERROR(__xludf.DUMMYFUNCTION("""COMPUTED_VALUE"""),"Washington State")</f>
        <v>Washington State</v>
      </c>
      <c r="BW60" t="str">
        <f>IFERROR(__xludf.DUMMYFUNCTION("""COMPUTED_VALUE"""),"West Virginia")</f>
        <v>West Virginia</v>
      </c>
      <c r="BX60" t="str">
        <f>IFERROR(__xludf.DUMMYFUNCTION("""COMPUTED_VALUE"""),"Western Michigan")</f>
        <v>Western Michigan</v>
      </c>
      <c r="BY60" t="str">
        <f>IFERROR(__xludf.DUMMYFUNCTION("""COMPUTED_VALUE"""),"Wisconsin")</f>
        <v>Wisconsin</v>
      </c>
      <c r="BZ60" t="str">
        <f>IFERROR(__xludf.DUMMYFUNCTION("""COMPUTED_VALUE"""),"Wyoming")</f>
        <v>Wyoming</v>
      </c>
    </row>
    <row r="61">
      <c r="A61" s="1">
        <v>60.0</v>
      </c>
      <c r="B61" t="str">
        <f>IFERROR(__xludf.DUMMYFUNCTION("split(join("","",sort(byrow('Teams-Conference'!A$2:A1000,lambda(rw,if(iserror(match(rw,DraftTracker!F$1:F61,0)),rw,""""))),1,1)),"","",1,1)"),"Air Force")</f>
        <v>Air Force</v>
      </c>
      <c r="C61" t="str">
        <f>IFERROR(__xludf.DUMMYFUNCTION("""COMPUTED_VALUE"""),"Akron")</f>
        <v>Akron</v>
      </c>
      <c r="D61" t="str">
        <f>IFERROR(__xludf.DUMMYFUNCTION("""COMPUTED_VALUE"""),"Appalachian State")</f>
        <v>Appalachian State</v>
      </c>
      <c r="E61" t="str">
        <f>IFERROR(__xludf.DUMMYFUNCTION("""COMPUTED_VALUE"""),"Arizona")</f>
        <v>Arizona</v>
      </c>
      <c r="F61" t="str">
        <f>IFERROR(__xludf.DUMMYFUNCTION("""COMPUTED_VALUE"""),"Arkansas")</f>
        <v>Arkansas</v>
      </c>
      <c r="G61" t="str">
        <f>IFERROR(__xludf.DUMMYFUNCTION("""COMPUTED_VALUE"""),"Arkansas State")</f>
        <v>Arkansas State</v>
      </c>
      <c r="H61" t="str">
        <f>IFERROR(__xludf.DUMMYFUNCTION("""COMPUTED_VALUE"""),"Ball State")</f>
        <v>Ball State</v>
      </c>
      <c r="I61" t="str">
        <f>IFERROR(__xludf.DUMMYFUNCTION("""COMPUTED_VALUE"""),"Boston College")</f>
        <v>Boston College</v>
      </c>
      <c r="J61" t="str">
        <f>IFERROR(__xludf.DUMMYFUNCTION("""COMPUTED_VALUE"""),"California")</f>
        <v>California</v>
      </c>
      <c r="K61" t="str">
        <f>IFERROR(__xludf.DUMMYFUNCTION("""COMPUTED_VALUE"""),"Charlotte")</f>
        <v>Charlotte</v>
      </c>
      <c r="L61" t="str">
        <f>IFERROR(__xludf.DUMMYFUNCTION("""COMPUTED_VALUE"""),"Cincinnati")</f>
        <v>Cincinnati</v>
      </c>
      <c r="M61" t="str">
        <f>IFERROR(__xludf.DUMMYFUNCTION("""COMPUTED_VALUE"""),"Coastal Carolina")</f>
        <v>Coastal Carolina</v>
      </c>
      <c r="N61" t="str">
        <f>IFERROR(__xludf.DUMMYFUNCTION("""COMPUTED_VALUE"""),"Colorado")</f>
        <v>Colorado</v>
      </c>
      <c r="O61" t="str">
        <f>IFERROR(__xludf.DUMMYFUNCTION("""COMPUTED_VALUE"""),"Delaware")</f>
        <v>Delaware</v>
      </c>
      <c r="P61" t="str">
        <f>IFERROR(__xludf.DUMMYFUNCTION("""COMPUTED_VALUE"""),"Duke")</f>
        <v>Duke</v>
      </c>
      <c r="Q61" t="str">
        <f>IFERROR(__xludf.DUMMYFUNCTION("""COMPUTED_VALUE"""),"EMU")</f>
        <v>EMU</v>
      </c>
      <c r="R61" t="str">
        <f>IFERROR(__xludf.DUMMYFUNCTION("""COMPUTED_VALUE"""),"Florida")</f>
        <v>Florida</v>
      </c>
      <c r="S61" t="str">
        <f>IFERROR(__xludf.DUMMYFUNCTION("""COMPUTED_VALUE"""),"Florida Atlantic")</f>
        <v>Florida Atlantic</v>
      </c>
      <c r="T61" t="str">
        <f>IFERROR(__xludf.DUMMYFUNCTION("""COMPUTED_VALUE"""),"Florida Intl")</f>
        <v>Florida Intl</v>
      </c>
      <c r="U61" t="str">
        <f>IFERROR(__xludf.DUMMYFUNCTION("""COMPUTED_VALUE"""),"Florida State")</f>
        <v>Florida State</v>
      </c>
      <c r="V61" t="str">
        <f>IFERROR(__xludf.DUMMYFUNCTION("""COMPUTED_VALUE"""),"Georgia State")</f>
        <v>Georgia State</v>
      </c>
      <c r="W61" t="str">
        <f>IFERROR(__xludf.DUMMYFUNCTION("""COMPUTED_VALUE"""),"Hawaii")</f>
        <v>Hawaii</v>
      </c>
      <c r="X61" t="str">
        <f>IFERROR(__xludf.DUMMYFUNCTION("""COMPUTED_VALUE"""),"Houston")</f>
        <v>Houston</v>
      </c>
      <c r="Y61" t="str">
        <f>IFERROR(__xludf.DUMMYFUNCTION("""COMPUTED_VALUE"""),"Iowa")</f>
        <v>Iowa</v>
      </c>
      <c r="Z61" t="str">
        <f>IFERROR(__xludf.DUMMYFUNCTION("""COMPUTED_VALUE"""),"Iowa State")</f>
        <v>Iowa State</v>
      </c>
      <c r="AA61" t="str">
        <f>IFERROR(__xludf.DUMMYFUNCTION("""COMPUTED_VALUE"""),"Kennesaw State")</f>
        <v>Kennesaw State</v>
      </c>
      <c r="AB61" t="str">
        <f>IFERROR(__xludf.DUMMYFUNCTION("""COMPUTED_VALUE"""),"Kent State")</f>
        <v>Kent State</v>
      </c>
      <c r="AC61" t="str">
        <f>IFERROR(__xludf.DUMMYFUNCTION("""COMPUTED_VALUE"""),"Kentucky")</f>
        <v>Kentucky</v>
      </c>
      <c r="AD61" t="str">
        <f>IFERROR(__xludf.DUMMYFUNCTION("""COMPUTED_VALUE"""),"Marshall")</f>
        <v>Marshall</v>
      </c>
      <c r="AE61" t="str">
        <f>IFERROR(__xludf.DUMMYFUNCTION("""COMPUTED_VALUE"""),"Maryland")</f>
        <v>Maryland</v>
      </c>
      <c r="AF61" t="str">
        <f>IFERROR(__xludf.DUMMYFUNCTION("""COMPUTED_VALUE"""),"Michigan State")</f>
        <v>Michigan State</v>
      </c>
      <c r="AG61" t="str">
        <f>IFERROR(__xludf.DUMMYFUNCTION("""COMPUTED_VALUE"""),"Middle Tennessee")</f>
        <v>Middle Tennessee</v>
      </c>
      <c r="AH61" t="str">
        <f>IFERROR(__xludf.DUMMYFUNCTION("""COMPUTED_VALUE"""),"Minnesota")</f>
        <v>Minnesota</v>
      </c>
      <c r="AI61" t="str">
        <f>IFERROR(__xludf.DUMMYFUNCTION("""COMPUTED_VALUE"""),"Mississippi State")</f>
        <v>Mississippi State</v>
      </c>
      <c r="AJ61" t="str">
        <f>IFERROR(__xludf.DUMMYFUNCTION("""COMPUTED_VALUE"""),"Missouri")</f>
        <v>Missouri</v>
      </c>
      <c r="AK61" t="str">
        <f>IFERROR(__xludf.DUMMYFUNCTION("""COMPUTED_VALUE"""),"Missouri State")</f>
        <v>Missouri State</v>
      </c>
      <c r="AL61" t="str">
        <f>IFERROR(__xludf.DUMMYFUNCTION("""COMPUTED_VALUE"""),"NC State")</f>
        <v>NC State</v>
      </c>
      <c r="AM61" t="str">
        <f>IFERROR(__xludf.DUMMYFUNCTION("""COMPUTED_VALUE"""),"Nevada")</f>
        <v>Nevada</v>
      </c>
      <c r="AN61" t="str">
        <f>IFERROR(__xludf.DUMMYFUNCTION("""COMPUTED_VALUE"""),"New Mexico")</f>
        <v>New Mexico</v>
      </c>
      <c r="AO61" t="str">
        <f>IFERROR(__xludf.DUMMYFUNCTION("""COMPUTED_VALUE"""),"New Mexico State")</f>
        <v>New Mexico State</v>
      </c>
      <c r="AP61" t="str">
        <f>IFERROR(__xludf.DUMMYFUNCTION("""COMPUTED_VALUE"""),"Northwestern")</f>
        <v>Northwestern</v>
      </c>
      <c r="AQ61" t="str">
        <f>IFERROR(__xludf.DUMMYFUNCTION("""COMPUTED_VALUE"""),"Oklahoma")</f>
        <v>Oklahoma</v>
      </c>
      <c r="AR61" t="str">
        <f>IFERROR(__xludf.DUMMYFUNCTION("""COMPUTED_VALUE"""),"Oklahoma State")</f>
        <v>Oklahoma State</v>
      </c>
      <c r="AS61" t="str">
        <f>IFERROR(__xludf.DUMMYFUNCTION("""COMPUTED_VALUE"""),"Old Dominion")</f>
        <v>Old Dominion</v>
      </c>
      <c r="AT61" t="str">
        <f>IFERROR(__xludf.DUMMYFUNCTION("""COMPUTED_VALUE"""),"Oregon State")</f>
        <v>Oregon State</v>
      </c>
      <c r="AU61" t="str">
        <f>IFERROR(__xludf.DUMMYFUNCTION("""COMPUTED_VALUE"""),"Pittsburgh")</f>
        <v>Pittsburgh</v>
      </c>
      <c r="AV61" t="str">
        <f>IFERROR(__xludf.DUMMYFUNCTION("""COMPUTED_VALUE"""),"Purdue")</f>
        <v>Purdue</v>
      </c>
      <c r="AW61" t="str">
        <f>IFERROR(__xludf.DUMMYFUNCTION("""COMPUTED_VALUE"""),"Rice")</f>
        <v>Rice</v>
      </c>
      <c r="AX61" t="str">
        <f>IFERROR(__xludf.DUMMYFUNCTION("""COMPUTED_VALUE"""),"Rutgers")</f>
        <v>Rutgers</v>
      </c>
      <c r="AY61" t="str">
        <f>IFERROR(__xludf.DUMMYFUNCTION("""COMPUTED_VALUE"""),"Sam Houston")</f>
        <v>Sam Houston</v>
      </c>
      <c r="AZ61" t="str">
        <f>IFERROR(__xludf.DUMMYFUNCTION("""COMPUTED_VALUE"""),"San Diego State")</f>
        <v>San Diego State</v>
      </c>
      <c r="BA61" t="str">
        <f>IFERROR(__xludf.DUMMYFUNCTION("""COMPUTED_VALUE"""),"South Carolina")</f>
        <v>South Carolina</v>
      </c>
      <c r="BB61" t="str">
        <f>IFERROR(__xludf.DUMMYFUNCTION("""COMPUTED_VALUE"""),"Southern Mississippi")</f>
        <v>Southern Mississippi</v>
      </c>
      <c r="BC61" t="str">
        <f>IFERROR(__xludf.DUMMYFUNCTION("""COMPUTED_VALUE"""),"Stanford")</f>
        <v>Stanford</v>
      </c>
      <c r="BD61" t="str">
        <f>IFERROR(__xludf.DUMMYFUNCTION("""COMPUTED_VALUE"""),"Syracuse")</f>
        <v>Syracuse</v>
      </c>
      <c r="BE61" t="str">
        <f>IFERROR(__xludf.DUMMYFUNCTION("""COMPUTED_VALUE"""),"TCU")</f>
        <v>TCU</v>
      </c>
      <c r="BF61" t="str">
        <f>IFERROR(__xludf.DUMMYFUNCTION("""COMPUTED_VALUE"""),"Temple")</f>
        <v>Temple</v>
      </c>
      <c r="BG61" t="str">
        <f>IFERROR(__xludf.DUMMYFUNCTION("""COMPUTED_VALUE"""),"Troy")</f>
        <v>Troy</v>
      </c>
      <c r="BH61" t="str">
        <f>IFERROR(__xludf.DUMMYFUNCTION("""COMPUTED_VALUE"""),"Tulsa")</f>
        <v>Tulsa</v>
      </c>
      <c r="BI61" t="str">
        <f>IFERROR(__xludf.DUMMYFUNCTION("""COMPUTED_VALUE"""),"UAB")</f>
        <v>UAB</v>
      </c>
      <c r="BJ61" t="str">
        <f>IFERROR(__xludf.DUMMYFUNCTION("""COMPUTED_VALUE"""),"UCF")</f>
        <v>UCF</v>
      </c>
      <c r="BK61" t="str">
        <f>IFERROR(__xludf.DUMMYFUNCTION("""COMPUTED_VALUE"""),"UCLA")</f>
        <v>UCLA</v>
      </c>
      <c r="BL61" t="str">
        <f>IFERROR(__xludf.DUMMYFUNCTION("""COMPUTED_VALUE"""),"UConn")</f>
        <v>UConn</v>
      </c>
      <c r="BM61" t="str">
        <f>IFERROR(__xludf.DUMMYFUNCTION("""COMPUTED_VALUE"""),"UL Monroe")</f>
        <v>UL Monroe</v>
      </c>
      <c r="BN61" t="str">
        <f>IFERROR(__xludf.DUMMYFUNCTION("""COMPUTED_VALUE"""),"UMASS")</f>
        <v>UMASS</v>
      </c>
      <c r="BO61" t="str">
        <f>IFERROR(__xludf.DUMMYFUNCTION("""COMPUTED_VALUE"""),"Utah State")</f>
        <v>Utah State</v>
      </c>
      <c r="BP61" t="str">
        <f>IFERROR(__xludf.DUMMYFUNCTION("""COMPUTED_VALUE"""),"UTEP")</f>
        <v>UTEP</v>
      </c>
      <c r="BQ61" t="str">
        <f>IFERROR(__xludf.DUMMYFUNCTION("""COMPUTED_VALUE"""),"Vanderbilt")</f>
        <v>Vanderbilt</v>
      </c>
      <c r="BR61" t="str">
        <f>IFERROR(__xludf.DUMMYFUNCTION("""COMPUTED_VALUE"""),"Virginia")</f>
        <v>Virginia</v>
      </c>
      <c r="BS61" t="str">
        <f>IFERROR(__xludf.DUMMYFUNCTION("""COMPUTED_VALUE"""),"Virginia Tech")</f>
        <v>Virginia Tech</v>
      </c>
      <c r="BT61" t="str">
        <f>IFERROR(__xludf.DUMMYFUNCTION("""COMPUTED_VALUE"""),"Wake Forest")</f>
        <v>Wake Forest</v>
      </c>
      <c r="BU61" t="str">
        <f>IFERROR(__xludf.DUMMYFUNCTION("""COMPUTED_VALUE"""),"Washington State")</f>
        <v>Washington State</v>
      </c>
      <c r="BV61" t="str">
        <f>IFERROR(__xludf.DUMMYFUNCTION("""COMPUTED_VALUE"""),"West Virginia")</f>
        <v>West Virginia</v>
      </c>
      <c r="BW61" t="str">
        <f>IFERROR(__xludf.DUMMYFUNCTION("""COMPUTED_VALUE"""),"Western Michigan")</f>
        <v>Western Michigan</v>
      </c>
      <c r="BX61" t="str">
        <f>IFERROR(__xludf.DUMMYFUNCTION("""COMPUTED_VALUE"""),"Wisconsin")</f>
        <v>Wisconsin</v>
      </c>
      <c r="BY61" t="str">
        <f>IFERROR(__xludf.DUMMYFUNCTION("""COMPUTED_VALUE"""),"Wyoming")</f>
        <v>Wyoming</v>
      </c>
    </row>
    <row r="62">
      <c r="A62" s="1">
        <v>61.0</v>
      </c>
      <c r="B62" t="str">
        <f>IFERROR(__xludf.DUMMYFUNCTION("split(join("","",sort(byrow('Teams-Conference'!A$2:A1000,lambda(rw,if(iserror(match(rw,DraftTracker!F$1:F62,0)),rw,""""))),1,1)),"","",1,1)"),"Air Force")</f>
        <v>Air Force</v>
      </c>
      <c r="C62" t="str">
        <f>IFERROR(__xludf.DUMMYFUNCTION("""COMPUTED_VALUE"""),"Akron")</f>
        <v>Akron</v>
      </c>
      <c r="D62" t="str">
        <f>IFERROR(__xludf.DUMMYFUNCTION("""COMPUTED_VALUE"""),"Appalachian State")</f>
        <v>Appalachian State</v>
      </c>
      <c r="E62" t="str">
        <f>IFERROR(__xludf.DUMMYFUNCTION("""COMPUTED_VALUE"""),"Arizona")</f>
        <v>Arizona</v>
      </c>
      <c r="F62" t="str">
        <f>IFERROR(__xludf.DUMMYFUNCTION("""COMPUTED_VALUE"""),"Arkansas")</f>
        <v>Arkansas</v>
      </c>
      <c r="G62" t="str">
        <f>IFERROR(__xludf.DUMMYFUNCTION("""COMPUTED_VALUE"""),"Arkansas State")</f>
        <v>Arkansas State</v>
      </c>
      <c r="H62" t="str">
        <f>IFERROR(__xludf.DUMMYFUNCTION("""COMPUTED_VALUE"""),"Ball State")</f>
        <v>Ball State</v>
      </c>
      <c r="I62" t="str">
        <f>IFERROR(__xludf.DUMMYFUNCTION("""COMPUTED_VALUE"""),"Boston College")</f>
        <v>Boston College</v>
      </c>
      <c r="J62" t="str">
        <f>IFERROR(__xludf.DUMMYFUNCTION("""COMPUTED_VALUE"""),"California")</f>
        <v>California</v>
      </c>
      <c r="K62" t="str">
        <f>IFERROR(__xludf.DUMMYFUNCTION("""COMPUTED_VALUE"""),"Charlotte")</f>
        <v>Charlotte</v>
      </c>
      <c r="L62" t="str">
        <f>IFERROR(__xludf.DUMMYFUNCTION("""COMPUTED_VALUE"""),"Cincinnati")</f>
        <v>Cincinnati</v>
      </c>
      <c r="M62" t="str">
        <f>IFERROR(__xludf.DUMMYFUNCTION("""COMPUTED_VALUE"""),"Coastal Carolina")</f>
        <v>Coastal Carolina</v>
      </c>
      <c r="N62" t="str">
        <f>IFERROR(__xludf.DUMMYFUNCTION("""COMPUTED_VALUE"""),"Colorado")</f>
        <v>Colorado</v>
      </c>
      <c r="O62" t="str">
        <f>IFERROR(__xludf.DUMMYFUNCTION("""COMPUTED_VALUE"""),"Delaware")</f>
        <v>Delaware</v>
      </c>
      <c r="P62" t="str">
        <f>IFERROR(__xludf.DUMMYFUNCTION("""COMPUTED_VALUE"""),"Duke")</f>
        <v>Duke</v>
      </c>
      <c r="Q62" t="str">
        <f>IFERROR(__xludf.DUMMYFUNCTION("""COMPUTED_VALUE"""),"EMU")</f>
        <v>EMU</v>
      </c>
      <c r="R62" t="str">
        <f>IFERROR(__xludf.DUMMYFUNCTION("""COMPUTED_VALUE"""),"Florida")</f>
        <v>Florida</v>
      </c>
      <c r="S62" t="str">
        <f>IFERROR(__xludf.DUMMYFUNCTION("""COMPUTED_VALUE"""),"Florida Atlantic")</f>
        <v>Florida Atlantic</v>
      </c>
      <c r="T62" t="str">
        <f>IFERROR(__xludf.DUMMYFUNCTION("""COMPUTED_VALUE"""),"Florida Intl")</f>
        <v>Florida Intl</v>
      </c>
      <c r="U62" t="str">
        <f>IFERROR(__xludf.DUMMYFUNCTION("""COMPUTED_VALUE"""),"Florida State")</f>
        <v>Florida State</v>
      </c>
      <c r="V62" t="str">
        <f>IFERROR(__xludf.DUMMYFUNCTION("""COMPUTED_VALUE"""),"Georgia State")</f>
        <v>Georgia State</v>
      </c>
      <c r="W62" t="str">
        <f>IFERROR(__xludf.DUMMYFUNCTION("""COMPUTED_VALUE"""),"Hawaii")</f>
        <v>Hawaii</v>
      </c>
      <c r="X62" t="str">
        <f>IFERROR(__xludf.DUMMYFUNCTION("""COMPUTED_VALUE"""),"Houston")</f>
        <v>Houston</v>
      </c>
      <c r="Y62" t="str">
        <f>IFERROR(__xludf.DUMMYFUNCTION("""COMPUTED_VALUE"""),"Iowa")</f>
        <v>Iowa</v>
      </c>
      <c r="Z62" t="str">
        <f>IFERROR(__xludf.DUMMYFUNCTION("""COMPUTED_VALUE"""),"Iowa State")</f>
        <v>Iowa State</v>
      </c>
      <c r="AA62" t="str">
        <f>IFERROR(__xludf.DUMMYFUNCTION("""COMPUTED_VALUE"""),"Kennesaw State")</f>
        <v>Kennesaw State</v>
      </c>
      <c r="AB62" t="str">
        <f>IFERROR(__xludf.DUMMYFUNCTION("""COMPUTED_VALUE"""),"Kent State")</f>
        <v>Kent State</v>
      </c>
      <c r="AC62" t="str">
        <f>IFERROR(__xludf.DUMMYFUNCTION("""COMPUTED_VALUE"""),"Kentucky")</f>
        <v>Kentucky</v>
      </c>
      <c r="AD62" t="str">
        <f>IFERROR(__xludf.DUMMYFUNCTION("""COMPUTED_VALUE"""),"Marshall")</f>
        <v>Marshall</v>
      </c>
      <c r="AE62" t="str">
        <f>IFERROR(__xludf.DUMMYFUNCTION("""COMPUTED_VALUE"""),"Maryland")</f>
        <v>Maryland</v>
      </c>
      <c r="AF62" t="str">
        <f>IFERROR(__xludf.DUMMYFUNCTION("""COMPUTED_VALUE"""),"Michigan State")</f>
        <v>Michigan State</v>
      </c>
      <c r="AG62" t="str">
        <f>IFERROR(__xludf.DUMMYFUNCTION("""COMPUTED_VALUE"""),"Middle Tennessee")</f>
        <v>Middle Tennessee</v>
      </c>
      <c r="AH62" t="str">
        <f>IFERROR(__xludf.DUMMYFUNCTION("""COMPUTED_VALUE"""),"Minnesota")</f>
        <v>Minnesota</v>
      </c>
      <c r="AI62" t="str">
        <f>IFERROR(__xludf.DUMMYFUNCTION("""COMPUTED_VALUE"""),"Mississippi State")</f>
        <v>Mississippi State</v>
      </c>
      <c r="AJ62" t="str">
        <f>IFERROR(__xludf.DUMMYFUNCTION("""COMPUTED_VALUE"""),"Missouri")</f>
        <v>Missouri</v>
      </c>
      <c r="AK62" t="str">
        <f>IFERROR(__xludf.DUMMYFUNCTION("""COMPUTED_VALUE"""),"Missouri State")</f>
        <v>Missouri State</v>
      </c>
      <c r="AL62" t="str">
        <f>IFERROR(__xludf.DUMMYFUNCTION("""COMPUTED_VALUE"""),"NC State")</f>
        <v>NC State</v>
      </c>
      <c r="AM62" t="str">
        <f>IFERROR(__xludf.DUMMYFUNCTION("""COMPUTED_VALUE"""),"Nevada")</f>
        <v>Nevada</v>
      </c>
      <c r="AN62" t="str">
        <f>IFERROR(__xludf.DUMMYFUNCTION("""COMPUTED_VALUE"""),"New Mexico")</f>
        <v>New Mexico</v>
      </c>
      <c r="AO62" t="str">
        <f>IFERROR(__xludf.DUMMYFUNCTION("""COMPUTED_VALUE"""),"New Mexico State")</f>
        <v>New Mexico State</v>
      </c>
      <c r="AP62" t="str">
        <f>IFERROR(__xludf.DUMMYFUNCTION("""COMPUTED_VALUE"""),"Northwestern")</f>
        <v>Northwestern</v>
      </c>
      <c r="AQ62" t="str">
        <f>IFERROR(__xludf.DUMMYFUNCTION("""COMPUTED_VALUE"""),"Oklahoma")</f>
        <v>Oklahoma</v>
      </c>
      <c r="AR62" t="str">
        <f>IFERROR(__xludf.DUMMYFUNCTION("""COMPUTED_VALUE"""),"Oklahoma State")</f>
        <v>Oklahoma State</v>
      </c>
      <c r="AS62" t="str">
        <f>IFERROR(__xludf.DUMMYFUNCTION("""COMPUTED_VALUE"""),"Old Dominion")</f>
        <v>Old Dominion</v>
      </c>
      <c r="AT62" t="str">
        <f>IFERROR(__xludf.DUMMYFUNCTION("""COMPUTED_VALUE"""),"Oregon State")</f>
        <v>Oregon State</v>
      </c>
      <c r="AU62" t="str">
        <f>IFERROR(__xludf.DUMMYFUNCTION("""COMPUTED_VALUE"""),"Pittsburgh")</f>
        <v>Pittsburgh</v>
      </c>
      <c r="AV62" t="str">
        <f>IFERROR(__xludf.DUMMYFUNCTION("""COMPUTED_VALUE"""),"Purdue")</f>
        <v>Purdue</v>
      </c>
      <c r="AW62" t="str">
        <f>IFERROR(__xludf.DUMMYFUNCTION("""COMPUTED_VALUE"""),"Rice")</f>
        <v>Rice</v>
      </c>
      <c r="AX62" t="str">
        <f>IFERROR(__xludf.DUMMYFUNCTION("""COMPUTED_VALUE"""),"Rutgers")</f>
        <v>Rutgers</v>
      </c>
      <c r="AY62" t="str">
        <f>IFERROR(__xludf.DUMMYFUNCTION("""COMPUTED_VALUE"""),"Sam Houston")</f>
        <v>Sam Houston</v>
      </c>
      <c r="AZ62" t="str">
        <f>IFERROR(__xludf.DUMMYFUNCTION("""COMPUTED_VALUE"""),"San Diego State")</f>
        <v>San Diego State</v>
      </c>
      <c r="BA62" t="str">
        <f>IFERROR(__xludf.DUMMYFUNCTION("""COMPUTED_VALUE"""),"Southern Mississippi")</f>
        <v>Southern Mississippi</v>
      </c>
      <c r="BB62" t="str">
        <f>IFERROR(__xludf.DUMMYFUNCTION("""COMPUTED_VALUE"""),"Stanford")</f>
        <v>Stanford</v>
      </c>
      <c r="BC62" t="str">
        <f>IFERROR(__xludf.DUMMYFUNCTION("""COMPUTED_VALUE"""),"Syracuse")</f>
        <v>Syracuse</v>
      </c>
      <c r="BD62" t="str">
        <f>IFERROR(__xludf.DUMMYFUNCTION("""COMPUTED_VALUE"""),"TCU")</f>
        <v>TCU</v>
      </c>
      <c r="BE62" t="str">
        <f>IFERROR(__xludf.DUMMYFUNCTION("""COMPUTED_VALUE"""),"Temple")</f>
        <v>Temple</v>
      </c>
      <c r="BF62" t="str">
        <f>IFERROR(__xludf.DUMMYFUNCTION("""COMPUTED_VALUE"""),"Troy")</f>
        <v>Troy</v>
      </c>
      <c r="BG62" t="str">
        <f>IFERROR(__xludf.DUMMYFUNCTION("""COMPUTED_VALUE"""),"Tulsa")</f>
        <v>Tulsa</v>
      </c>
      <c r="BH62" t="str">
        <f>IFERROR(__xludf.DUMMYFUNCTION("""COMPUTED_VALUE"""),"UAB")</f>
        <v>UAB</v>
      </c>
      <c r="BI62" t="str">
        <f>IFERROR(__xludf.DUMMYFUNCTION("""COMPUTED_VALUE"""),"UCF")</f>
        <v>UCF</v>
      </c>
      <c r="BJ62" t="str">
        <f>IFERROR(__xludf.DUMMYFUNCTION("""COMPUTED_VALUE"""),"UCLA")</f>
        <v>UCLA</v>
      </c>
      <c r="BK62" t="str">
        <f>IFERROR(__xludf.DUMMYFUNCTION("""COMPUTED_VALUE"""),"UConn")</f>
        <v>UConn</v>
      </c>
      <c r="BL62" t="str">
        <f>IFERROR(__xludf.DUMMYFUNCTION("""COMPUTED_VALUE"""),"UL Monroe")</f>
        <v>UL Monroe</v>
      </c>
      <c r="BM62" t="str">
        <f>IFERROR(__xludf.DUMMYFUNCTION("""COMPUTED_VALUE"""),"UMASS")</f>
        <v>UMASS</v>
      </c>
      <c r="BN62" t="str">
        <f>IFERROR(__xludf.DUMMYFUNCTION("""COMPUTED_VALUE"""),"Utah State")</f>
        <v>Utah State</v>
      </c>
      <c r="BO62" t="str">
        <f>IFERROR(__xludf.DUMMYFUNCTION("""COMPUTED_VALUE"""),"UTEP")</f>
        <v>UTEP</v>
      </c>
      <c r="BP62" t="str">
        <f>IFERROR(__xludf.DUMMYFUNCTION("""COMPUTED_VALUE"""),"Vanderbilt")</f>
        <v>Vanderbilt</v>
      </c>
      <c r="BQ62" t="str">
        <f>IFERROR(__xludf.DUMMYFUNCTION("""COMPUTED_VALUE"""),"Virginia")</f>
        <v>Virginia</v>
      </c>
      <c r="BR62" t="str">
        <f>IFERROR(__xludf.DUMMYFUNCTION("""COMPUTED_VALUE"""),"Virginia Tech")</f>
        <v>Virginia Tech</v>
      </c>
      <c r="BS62" t="str">
        <f>IFERROR(__xludf.DUMMYFUNCTION("""COMPUTED_VALUE"""),"Wake Forest")</f>
        <v>Wake Forest</v>
      </c>
      <c r="BT62" t="str">
        <f>IFERROR(__xludf.DUMMYFUNCTION("""COMPUTED_VALUE"""),"Washington State")</f>
        <v>Washington State</v>
      </c>
      <c r="BU62" t="str">
        <f>IFERROR(__xludf.DUMMYFUNCTION("""COMPUTED_VALUE"""),"West Virginia")</f>
        <v>West Virginia</v>
      </c>
      <c r="BV62" t="str">
        <f>IFERROR(__xludf.DUMMYFUNCTION("""COMPUTED_VALUE"""),"Western Michigan")</f>
        <v>Western Michigan</v>
      </c>
      <c r="BW62" t="str">
        <f>IFERROR(__xludf.DUMMYFUNCTION("""COMPUTED_VALUE"""),"Wisconsin")</f>
        <v>Wisconsin</v>
      </c>
      <c r="BX62" t="str">
        <f>IFERROR(__xludf.DUMMYFUNCTION("""COMPUTED_VALUE"""),"Wyoming")</f>
        <v>Wyoming</v>
      </c>
    </row>
    <row r="63">
      <c r="A63" s="1">
        <v>62.0</v>
      </c>
      <c r="B63" t="str">
        <f>IFERROR(__xludf.DUMMYFUNCTION("split(join("","",sort(byrow('Teams-Conference'!A$2:A1000,lambda(rw,if(iserror(match(rw,DraftTracker!F$1:F63,0)),rw,""""))),1,1)),"","",1,1)"),"Air Force")</f>
        <v>Air Force</v>
      </c>
      <c r="C63" t="str">
        <f>IFERROR(__xludf.DUMMYFUNCTION("""COMPUTED_VALUE"""),"Akron")</f>
        <v>Akron</v>
      </c>
      <c r="D63" t="str">
        <f>IFERROR(__xludf.DUMMYFUNCTION("""COMPUTED_VALUE"""),"Appalachian State")</f>
        <v>Appalachian State</v>
      </c>
      <c r="E63" t="str">
        <f>IFERROR(__xludf.DUMMYFUNCTION("""COMPUTED_VALUE"""),"Arizona")</f>
        <v>Arizona</v>
      </c>
      <c r="F63" t="str">
        <f>IFERROR(__xludf.DUMMYFUNCTION("""COMPUTED_VALUE"""),"Arkansas")</f>
        <v>Arkansas</v>
      </c>
      <c r="G63" t="str">
        <f>IFERROR(__xludf.DUMMYFUNCTION("""COMPUTED_VALUE"""),"Arkansas State")</f>
        <v>Arkansas State</v>
      </c>
      <c r="H63" t="str">
        <f>IFERROR(__xludf.DUMMYFUNCTION("""COMPUTED_VALUE"""),"Ball State")</f>
        <v>Ball State</v>
      </c>
      <c r="I63" t="str">
        <f>IFERROR(__xludf.DUMMYFUNCTION("""COMPUTED_VALUE"""),"Boston College")</f>
        <v>Boston College</v>
      </c>
      <c r="J63" t="str">
        <f>IFERROR(__xludf.DUMMYFUNCTION("""COMPUTED_VALUE"""),"California")</f>
        <v>California</v>
      </c>
      <c r="K63" t="str">
        <f>IFERROR(__xludf.DUMMYFUNCTION("""COMPUTED_VALUE"""),"Charlotte")</f>
        <v>Charlotte</v>
      </c>
      <c r="L63" t="str">
        <f>IFERROR(__xludf.DUMMYFUNCTION("""COMPUTED_VALUE"""),"Cincinnati")</f>
        <v>Cincinnati</v>
      </c>
      <c r="M63" t="str">
        <f>IFERROR(__xludf.DUMMYFUNCTION("""COMPUTED_VALUE"""),"Coastal Carolina")</f>
        <v>Coastal Carolina</v>
      </c>
      <c r="N63" t="str">
        <f>IFERROR(__xludf.DUMMYFUNCTION("""COMPUTED_VALUE"""),"Colorado")</f>
        <v>Colorado</v>
      </c>
      <c r="O63" t="str">
        <f>IFERROR(__xludf.DUMMYFUNCTION("""COMPUTED_VALUE"""),"Delaware")</f>
        <v>Delaware</v>
      </c>
      <c r="P63" t="str">
        <f>IFERROR(__xludf.DUMMYFUNCTION("""COMPUTED_VALUE"""),"Duke")</f>
        <v>Duke</v>
      </c>
      <c r="Q63" t="str">
        <f>IFERROR(__xludf.DUMMYFUNCTION("""COMPUTED_VALUE"""),"EMU")</f>
        <v>EMU</v>
      </c>
      <c r="R63" t="str">
        <f>IFERROR(__xludf.DUMMYFUNCTION("""COMPUTED_VALUE"""),"Florida")</f>
        <v>Florida</v>
      </c>
      <c r="S63" t="str">
        <f>IFERROR(__xludf.DUMMYFUNCTION("""COMPUTED_VALUE"""),"Florida Atlantic")</f>
        <v>Florida Atlantic</v>
      </c>
      <c r="T63" t="str">
        <f>IFERROR(__xludf.DUMMYFUNCTION("""COMPUTED_VALUE"""),"Florida Intl")</f>
        <v>Florida Intl</v>
      </c>
      <c r="U63" t="str">
        <f>IFERROR(__xludf.DUMMYFUNCTION("""COMPUTED_VALUE"""),"Florida State")</f>
        <v>Florida State</v>
      </c>
      <c r="V63" t="str">
        <f>IFERROR(__xludf.DUMMYFUNCTION("""COMPUTED_VALUE"""),"Georgia State")</f>
        <v>Georgia State</v>
      </c>
      <c r="W63" t="str">
        <f>IFERROR(__xludf.DUMMYFUNCTION("""COMPUTED_VALUE"""),"Hawaii")</f>
        <v>Hawaii</v>
      </c>
      <c r="X63" t="str">
        <f>IFERROR(__xludf.DUMMYFUNCTION("""COMPUTED_VALUE"""),"Houston")</f>
        <v>Houston</v>
      </c>
      <c r="Y63" t="str">
        <f>IFERROR(__xludf.DUMMYFUNCTION("""COMPUTED_VALUE"""),"Iowa")</f>
        <v>Iowa</v>
      </c>
      <c r="Z63" t="str">
        <f>IFERROR(__xludf.DUMMYFUNCTION("""COMPUTED_VALUE"""),"Iowa State")</f>
        <v>Iowa State</v>
      </c>
      <c r="AA63" t="str">
        <f>IFERROR(__xludf.DUMMYFUNCTION("""COMPUTED_VALUE"""),"Kennesaw State")</f>
        <v>Kennesaw State</v>
      </c>
      <c r="AB63" t="str">
        <f>IFERROR(__xludf.DUMMYFUNCTION("""COMPUTED_VALUE"""),"Kent State")</f>
        <v>Kent State</v>
      </c>
      <c r="AC63" t="str">
        <f>IFERROR(__xludf.DUMMYFUNCTION("""COMPUTED_VALUE"""),"Kentucky")</f>
        <v>Kentucky</v>
      </c>
      <c r="AD63" t="str">
        <f>IFERROR(__xludf.DUMMYFUNCTION("""COMPUTED_VALUE"""),"Marshall")</f>
        <v>Marshall</v>
      </c>
      <c r="AE63" t="str">
        <f>IFERROR(__xludf.DUMMYFUNCTION("""COMPUTED_VALUE"""),"Maryland")</f>
        <v>Maryland</v>
      </c>
      <c r="AF63" t="str">
        <f>IFERROR(__xludf.DUMMYFUNCTION("""COMPUTED_VALUE"""),"Michigan State")</f>
        <v>Michigan State</v>
      </c>
      <c r="AG63" t="str">
        <f>IFERROR(__xludf.DUMMYFUNCTION("""COMPUTED_VALUE"""),"Middle Tennessee")</f>
        <v>Middle Tennessee</v>
      </c>
      <c r="AH63" t="str">
        <f>IFERROR(__xludf.DUMMYFUNCTION("""COMPUTED_VALUE"""),"Minnesota")</f>
        <v>Minnesota</v>
      </c>
      <c r="AI63" t="str">
        <f>IFERROR(__xludf.DUMMYFUNCTION("""COMPUTED_VALUE"""),"Mississippi State")</f>
        <v>Mississippi State</v>
      </c>
      <c r="AJ63" t="str">
        <f>IFERROR(__xludf.DUMMYFUNCTION("""COMPUTED_VALUE"""),"Missouri")</f>
        <v>Missouri</v>
      </c>
      <c r="AK63" t="str">
        <f>IFERROR(__xludf.DUMMYFUNCTION("""COMPUTED_VALUE"""),"Missouri State")</f>
        <v>Missouri State</v>
      </c>
      <c r="AL63" t="str">
        <f>IFERROR(__xludf.DUMMYFUNCTION("""COMPUTED_VALUE"""),"NC State")</f>
        <v>NC State</v>
      </c>
      <c r="AM63" t="str">
        <f>IFERROR(__xludf.DUMMYFUNCTION("""COMPUTED_VALUE"""),"Nevada")</f>
        <v>Nevada</v>
      </c>
      <c r="AN63" t="str">
        <f>IFERROR(__xludf.DUMMYFUNCTION("""COMPUTED_VALUE"""),"New Mexico")</f>
        <v>New Mexico</v>
      </c>
      <c r="AO63" t="str">
        <f>IFERROR(__xludf.DUMMYFUNCTION("""COMPUTED_VALUE"""),"New Mexico State")</f>
        <v>New Mexico State</v>
      </c>
      <c r="AP63" t="str">
        <f>IFERROR(__xludf.DUMMYFUNCTION("""COMPUTED_VALUE"""),"Northwestern")</f>
        <v>Northwestern</v>
      </c>
      <c r="AQ63" t="str">
        <f>IFERROR(__xludf.DUMMYFUNCTION("""COMPUTED_VALUE"""),"Oklahoma")</f>
        <v>Oklahoma</v>
      </c>
      <c r="AR63" t="str">
        <f>IFERROR(__xludf.DUMMYFUNCTION("""COMPUTED_VALUE"""),"Oklahoma State")</f>
        <v>Oklahoma State</v>
      </c>
      <c r="AS63" t="str">
        <f>IFERROR(__xludf.DUMMYFUNCTION("""COMPUTED_VALUE"""),"Old Dominion")</f>
        <v>Old Dominion</v>
      </c>
      <c r="AT63" t="str">
        <f>IFERROR(__xludf.DUMMYFUNCTION("""COMPUTED_VALUE"""),"Oregon State")</f>
        <v>Oregon State</v>
      </c>
      <c r="AU63" t="str">
        <f>IFERROR(__xludf.DUMMYFUNCTION("""COMPUTED_VALUE"""),"Pittsburgh")</f>
        <v>Pittsburgh</v>
      </c>
      <c r="AV63" t="str">
        <f>IFERROR(__xludf.DUMMYFUNCTION("""COMPUTED_VALUE"""),"Purdue")</f>
        <v>Purdue</v>
      </c>
      <c r="AW63" t="str">
        <f>IFERROR(__xludf.DUMMYFUNCTION("""COMPUTED_VALUE"""),"Rice")</f>
        <v>Rice</v>
      </c>
      <c r="AX63" t="str">
        <f>IFERROR(__xludf.DUMMYFUNCTION("""COMPUTED_VALUE"""),"Rutgers")</f>
        <v>Rutgers</v>
      </c>
      <c r="AY63" t="str">
        <f>IFERROR(__xludf.DUMMYFUNCTION("""COMPUTED_VALUE"""),"Sam Houston")</f>
        <v>Sam Houston</v>
      </c>
      <c r="AZ63" t="str">
        <f>IFERROR(__xludf.DUMMYFUNCTION("""COMPUTED_VALUE"""),"San Diego State")</f>
        <v>San Diego State</v>
      </c>
      <c r="BA63" t="str">
        <f>IFERROR(__xludf.DUMMYFUNCTION("""COMPUTED_VALUE"""),"Southern Mississippi")</f>
        <v>Southern Mississippi</v>
      </c>
      <c r="BB63" t="str">
        <f>IFERROR(__xludf.DUMMYFUNCTION("""COMPUTED_VALUE"""),"Stanford")</f>
        <v>Stanford</v>
      </c>
      <c r="BC63" t="str">
        <f>IFERROR(__xludf.DUMMYFUNCTION("""COMPUTED_VALUE"""),"Syracuse")</f>
        <v>Syracuse</v>
      </c>
      <c r="BD63" t="str">
        <f>IFERROR(__xludf.DUMMYFUNCTION("""COMPUTED_VALUE"""),"TCU")</f>
        <v>TCU</v>
      </c>
      <c r="BE63" t="str">
        <f>IFERROR(__xludf.DUMMYFUNCTION("""COMPUTED_VALUE"""),"Temple")</f>
        <v>Temple</v>
      </c>
      <c r="BF63" t="str">
        <f>IFERROR(__xludf.DUMMYFUNCTION("""COMPUTED_VALUE"""),"Troy")</f>
        <v>Troy</v>
      </c>
      <c r="BG63" t="str">
        <f>IFERROR(__xludf.DUMMYFUNCTION("""COMPUTED_VALUE"""),"Tulsa")</f>
        <v>Tulsa</v>
      </c>
      <c r="BH63" t="str">
        <f>IFERROR(__xludf.DUMMYFUNCTION("""COMPUTED_VALUE"""),"UAB")</f>
        <v>UAB</v>
      </c>
      <c r="BI63" t="str">
        <f>IFERROR(__xludf.DUMMYFUNCTION("""COMPUTED_VALUE"""),"UCF")</f>
        <v>UCF</v>
      </c>
      <c r="BJ63" t="str">
        <f>IFERROR(__xludf.DUMMYFUNCTION("""COMPUTED_VALUE"""),"UCLA")</f>
        <v>UCLA</v>
      </c>
      <c r="BK63" t="str">
        <f>IFERROR(__xludf.DUMMYFUNCTION("""COMPUTED_VALUE"""),"UConn")</f>
        <v>UConn</v>
      </c>
      <c r="BL63" t="str">
        <f>IFERROR(__xludf.DUMMYFUNCTION("""COMPUTED_VALUE"""),"UL Monroe")</f>
        <v>UL Monroe</v>
      </c>
      <c r="BM63" t="str">
        <f>IFERROR(__xludf.DUMMYFUNCTION("""COMPUTED_VALUE"""),"UMASS")</f>
        <v>UMASS</v>
      </c>
      <c r="BN63" t="str">
        <f>IFERROR(__xludf.DUMMYFUNCTION("""COMPUTED_VALUE"""),"Utah State")</f>
        <v>Utah State</v>
      </c>
      <c r="BO63" t="str">
        <f>IFERROR(__xludf.DUMMYFUNCTION("""COMPUTED_VALUE"""),"UTEP")</f>
        <v>UTEP</v>
      </c>
      <c r="BP63" t="str">
        <f>IFERROR(__xludf.DUMMYFUNCTION("""COMPUTED_VALUE"""),"Vanderbilt")</f>
        <v>Vanderbilt</v>
      </c>
      <c r="BQ63" t="str">
        <f>IFERROR(__xludf.DUMMYFUNCTION("""COMPUTED_VALUE"""),"Virginia")</f>
        <v>Virginia</v>
      </c>
      <c r="BR63" t="str">
        <f>IFERROR(__xludf.DUMMYFUNCTION("""COMPUTED_VALUE"""),"Virginia Tech")</f>
        <v>Virginia Tech</v>
      </c>
      <c r="BS63" t="str">
        <f>IFERROR(__xludf.DUMMYFUNCTION("""COMPUTED_VALUE"""),"Wake Forest")</f>
        <v>Wake Forest</v>
      </c>
      <c r="BT63" t="str">
        <f>IFERROR(__xludf.DUMMYFUNCTION("""COMPUTED_VALUE"""),"Washington State")</f>
        <v>Washington State</v>
      </c>
      <c r="BU63" t="str">
        <f>IFERROR(__xludf.DUMMYFUNCTION("""COMPUTED_VALUE"""),"West Virginia")</f>
        <v>West Virginia</v>
      </c>
      <c r="BV63" t="str">
        <f>IFERROR(__xludf.DUMMYFUNCTION("""COMPUTED_VALUE"""),"Wisconsin")</f>
        <v>Wisconsin</v>
      </c>
      <c r="BW63" t="str">
        <f>IFERROR(__xludf.DUMMYFUNCTION("""COMPUTED_VALUE"""),"Wyoming")</f>
        <v>Wyoming</v>
      </c>
    </row>
    <row r="64">
      <c r="A64" s="1">
        <v>63.0</v>
      </c>
      <c r="B64" t="str">
        <f>IFERROR(__xludf.DUMMYFUNCTION("split(join("","",sort(byrow('Teams-Conference'!A$2:A1000,lambda(rw,if(iserror(match(rw,DraftTracker!F$1:F64,0)),rw,""""))),1,1)),"","",1,1)"),"Air Force")</f>
        <v>Air Force</v>
      </c>
      <c r="C64" t="str">
        <f>IFERROR(__xludf.DUMMYFUNCTION("""COMPUTED_VALUE"""),"Akron")</f>
        <v>Akron</v>
      </c>
      <c r="D64" t="str">
        <f>IFERROR(__xludf.DUMMYFUNCTION("""COMPUTED_VALUE"""),"Appalachian State")</f>
        <v>Appalachian State</v>
      </c>
      <c r="E64" t="str">
        <f>IFERROR(__xludf.DUMMYFUNCTION("""COMPUTED_VALUE"""),"Arizona")</f>
        <v>Arizona</v>
      </c>
      <c r="F64" t="str">
        <f>IFERROR(__xludf.DUMMYFUNCTION("""COMPUTED_VALUE"""),"Arkansas")</f>
        <v>Arkansas</v>
      </c>
      <c r="G64" t="str">
        <f>IFERROR(__xludf.DUMMYFUNCTION("""COMPUTED_VALUE"""),"Arkansas State")</f>
        <v>Arkansas State</v>
      </c>
      <c r="H64" t="str">
        <f>IFERROR(__xludf.DUMMYFUNCTION("""COMPUTED_VALUE"""),"Ball State")</f>
        <v>Ball State</v>
      </c>
      <c r="I64" t="str">
        <f>IFERROR(__xludf.DUMMYFUNCTION("""COMPUTED_VALUE"""),"Boston College")</f>
        <v>Boston College</v>
      </c>
      <c r="J64" t="str">
        <f>IFERROR(__xludf.DUMMYFUNCTION("""COMPUTED_VALUE"""),"California")</f>
        <v>California</v>
      </c>
      <c r="K64" t="str">
        <f>IFERROR(__xludf.DUMMYFUNCTION("""COMPUTED_VALUE"""),"Charlotte")</f>
        <v>Charlotte</v>
      </c>
      <c r="L64" t="str">
        <f>IFERROR(__xludf.DUMMYFUNCTION("""COMPUTED_VALUE"""),"Cincinnati")</f>
        <v>Cincinnati</v>
      </c>
      <c r="M64" t="str">
        <f>IFERROR(__xludf.DUMMYFUNCTION("""COMPUTED_VALUE"""),"Coastal Carolina")</f>
        <v>Coastal Carolina</v>
      </c>
      <c r="N64" t="str">
        <f>IFERROR(__xludf.DUMMYFUNCTION("""COMPUTED_VALUE"""),"Colorado")</f>
        <v>Colorado</v>
      </c>
      <c r="O64" t="str">
        <f>IFERROR(__xludf.DUMMYFUNCTION("""COMPUTED_VALUE"""),"Delaware")</f>
        <v>Delaware</v>
      </c>
      <c r="P64" t="str">
        <f>IFERROR(__xludf.DUMMYFUNCTION("""COMPUTED_VALUE"""),"Duke")</f>
        <v>Duke</v>
      </c>
      <c r="Q64" t="str">
        <f>IFERROR(__xludf.DUMMYFUNCTION("""COMPUTED_VALUE"""),"EMU")</f>
        <v>EMU</v>
      </c>
      <c r="R64" t="str">
        <f>IFERROR(__xludf.DUMMYFUNCTION("""COMPUTED_VALUE"""),"Florida")</f>
        <v>Florida</v>
      </c>
      <c r="S64" t="str">
        <f>IFERROR(__xludf.DUMMYFUNCTION("""COMPUTED_VALUE"""),"Florida Atlantic")</f>
        <v>Florida Atlantic</v>
      </c>
      <c r="T64" t="str">
        <f>IFERROR(__xludf.DUMMYFUNCTION("""COMPUTED_VALUE"""),"Florida Intl")</f>
        <v>Florida Intl</v>
      </c>
      <c r="U64" t="str">
        <f>IFERROR(__xludf.DUMMYFUNCTION("""COMPUTED_VALUE"""),"Florida State")</f>
        <v>Florida State</v>
      </c>
      <c r="V64" t="str">
        <f>IFERROR(__xludf.DUMMYFUNCTION("""COMPUTED_VALUE"""),"Georgia State")</f>
        <v>Georgia State</v>
      </c>
      <c r="W64" t="str">
        <f>IFERROR(__xludf.DUMMYFUNCTION("""COMPUTED_VALUE"""),"Hawaii")</f>
        <v>Hawaii</v>
      </c>
      <c r="X64" t="str">
        <f>IFERROR(__xludf.DUMMYFUNCTION("""COMPUTED_VALUE"""),"Houston")</f>
        <v>Houston</v>
      </c>
      <c r="Y64" t="str">
        <f>IFERROR(__xludf.DUMMYFUNCTION("""COMPUTED_VALUE"""),"Iowa State")</f>
        <v>Iowa State</v>
      </c>
      <c r="Z64" t="str">
        <f>IFERROR(__xludf.DUMMYFUNCTION("""COMPUTED_VALUE"""),"Kennesaw State")</f>
        <v>Kennesaw State</v>
      </c>
      <c r="AA64" t="str">
        <f>IFERROR(__xludf.DUMMYFUNCTION("""COMPUTED_VALUE"""),"Kent State")</f>
        <v>Kent State</v>
      </c>
      <c r="AB64" t="str">
        <f>IFERROR(__xludf.DUMMYFUNCTION("""COMPUTED_VALUE"""),"Kentucky")</f>
        <v>Kentucky</v>
      </c>
      <c r="AC64" t="str">
        <f>IFERROR(__xludf.DUMMYFUNCTION("""COMPUTED_VALUE"""),"Marshall")</f>
        <v>Marshall</v>
      </c>
      <c r="AD64" t="str">
        <f>IFERROR(__xludf.DUMMYFUNCTION("""COMPUTED_VALUE"""),"Maryland")</f>
        <v>Maryland</v>
      </c>
      <c r="AE64" t="str">
        <f>IFERROR(__xludf.DUMMYFUNCTION("""COMPUTED_VALUE"""),"Michigan State")</f>
        <v>Michigan State</v>
      </c>
      <c r="AF64" t="str">
        <f>IFERROR(__xludf.DUMMYFUNCTION("""COMPUTED_VALUE"""),"Middle Tennessee")</f>
        <v>Middle Tennessee</v>
      </c>
      <c r="AG64" t="str">
        <f>IFERROR(__xludf.DUMMYFUNCTION("""COMPUTED_VALUE"""),"Minnesota")</f>
        <v>Minnesota</v>
      </c>
      <c r="AH64" t="str">
        <f>IFERROR(__xludf.DUMMYFUNCTION("""COMPUTED_VALUE"""),"Mississippi State")</f>
        <v>Mississippi State</v>
      </c>
      <c r="AI64" t="str">
        <f>IFERROR(__xludf.DUMMYFUNCTION("""COMPUTED_VALUE"""),"Missouri")</f>
        <v>Missouri</v>
      </c>
      <c r="AJ64" t="str">
        <f>IFERROR(__xludf.DUMMYFUNCTION("""COMPUTED_VALUE"""),"Missouri State")</f>
        <v>Missouri State</v>
      </c>
      <c r="AK64" t="str">
        <f>IFERROR(__xludf.DUMMYFUNCTION("""COMPUTED_VALUE"""),"NC State")</f>
        <v>NC State</v>
      </c>
      <c r="AL64" t="str">
        <f>IFERROR(__xludf.DUMMYFUNCTION("""COMPUTED_VALUE"""),"Nevada")</f>
        <v>Nevada</v>
      </c>
      <c r="AM64" t="str">
        <f>IFERROR(__xludf.DUMMYFUNCTION("""COMPUTED_VALUE"""),"New Mexico")</f>
        <v>New Mexico</v>
      </c>
      <c r="AN64" t="str">
        <f>IFERROR(__xludf.DUMMYFUNCTION("""COMPUTED_VALUE"""),"New Mexico State")</f>
        <v>New Mexico State</v>
      </c>
      <c r="AO64" t="str">
        <f>IFERROR(__xludf.DUMMYFUNCTION("""COMPUTED_VALUE"""),"Northwestern")</f>
        <v>Northwestern</v>
      </c>
      <c r="AP64" t="str">
        <f>IFERROR(__xludf.DUMMYFUNCTION("""COMPUTED_VALUE"""),"Oklahoma")</f>
        <v>Oklahoma</v>
      </c>
      <c r="AQ64" t="str">
        <f>IFERROR(__xludf.DUMMYFUNCTION("""COMPUTED_VALUE"""),"Oklahoma State")</f>
        <v>Oklahoma State</v>
      </c>
      <c r="AR64" t="str">
        <f>IFERROR(__xludf.DUMMYFUNCTION("""COMPUTED_VALUE"""),"Old Dominion")</f>
        <v>Old Dominion</v>
      </c>
      <c r="AS64" t="str">
        <f>IFERROR(__xludf.DUMMYFUNCTION("""COMPUTED_VALUE"""),"Oregon State")</f>
        <v>Oregon State</v>
      </c>
      <c r="AT64" t="str">
        <f>IFERROR(__xludf.DUMMYFUNCTION("""COMPUTED_VALUE"""),"Pittsburgh")</f>
        <v>Pittsburgh</v>
      </c>
      <c r="AU64" t="str">
        <f>IFERROR(__xludf.DUMMYFUNCTION("""COMPUTED_VALUE"""),"Purdue")</f>
        <v>Purdue</v>
      </c>
      <c r="AV64" t="str">
        <f>IFERROR(__xludf.DUMMYFUNCTION("""COMPUTED_VALUE"""),"Rice")</f>
        <v>Rice</v>
      </c>
      <c r="AW64" t="str">
        <f>IFERROR(__xludf.DUMMYFUNCTION("""COMPUTED_VALUE"""),"Rutgers")</f>
        <v>Rutgers</v>
      </c>
      <c r="AX64" t="str">
        <f>IFERROR(__xludf.DUMMYFUNCTION("""COMPUTED_VALUE"""),"Sam Houston")</f>
        <v>Sam Houston</v>
      </c>
      <c r="AY64" t="str">
        <f>IFERROR(__xludf.DUMMYFUNCTION("""COMPUTED_VALUE"""),"San Diego State")</f>
        <v>San Diego State</v>
      </c>
      <c r="AZ64" t="str">
        <f>IFERROR(__xludf.DUMMYFUNCTION("""COMPUTED_VALUE"""),"Southern Mississippi")</f>
        <v>Southern Mississippi</v>
      </c>
      <c r="BA64" t="str">
        <f>IFERROR(__xludf.DUMMYFUNCTION("""COMPUTED_VALUE"""),"Stanford")</f>
        <v>Stanford</v>
      </c>
      <c r="BB64" t="str">
        <f>IFERROR(__xludf.DUMMYFUNCTION("""COMPUTED_VALUE"""),"Syracuse")</f>
        <v>Syracuse</v>
      </c>
      <c r="BC64" t="str">
        <f>IFERROR(__xludf.DUMMYFUNCTION("""COMPUTED_VALUE"""),"TCU")</f>
        <v>TCU</v>
      </c>
      <c r="BD64" t="str">
        <f>IFERROR(__xludf.DUMMYFUNCTION("""COMPUTED_VALUE"""),"Temple")</f>
        <v>Temple</v>
      </c>
      <c r="BE64" t="str">
        <f>IFERROR(__xludf.DUMMYFUNCTION("""COMPUTED_VALUE"""),"Troy")</f>
        <v>Troy</v>
      </c>
      <c r="BF64" t="str">
        <f>IFERROR(__xludf.DUMMYFUNCTION("""COMPUTED_VALUE"""),"Tulsa")</f>
        <v>Tulsa</v>
      </c>
      <c r="BG64" t="str">
        <f>IFERROR(__xludf.DUMMYFUNCTION("""COMPUTED_VALUE"""),"UAB")</f>
        <v>UAB</v>
      </c>
      <c r="BH64" t="str">
        <f>IFERROR(__xludf.DUMMYFUNCTION("""COMPUTED_VALUE"""),"UCF")</f>
        <v>UCF</v>
      </c>
      <c r="BI64" t="str">
        <f>IFERROR(__xludf.DUMMYFUNCTION("""COMPUTED_VALUE"""),"UCLA")</f>
        <v>UCLA</v>
      </c>
      <c r="BJ64" t="str">
        <f>IFERROR(__xludf.DUMMYFUNCTION("""COMPUTED_VALUE"""),"UConn")</f>
        <v>UConn</v>
      </c>
      <c r="BK64" t="str">
        <f>IFERROR(__xludf.DUMMYFUNCTION("""COMPUTED_VALUE"""),"UL Monroe")</f>
        <v>UL Monroe</v>
      </c>
      <c r="BL64" t="str">
        <f>IFERROR(__xludf.DUMMYFUNCTION("""COMPUTED_VALUE"""),"UMASS")</f>
        <v>UMASS</v>
      </c>
      <c r="BM64" t="str">
        <f>IFERROR(__xludf.DUMMYFUNCTION("""COMPUTED_VALUE"""),"Utah State")</f>
        <v>Utah State</v>
      </c>
      <c r="BN64" t="str">
        <f>IFERROR(__xludf.DUMMYFUNCTION("""COMPUTED_VALUE"""),"UTEP")</f>
        <v>UTEP</v>
      </c>
      <c r="BO64" t="str">
        <f>IFERROR(__xludf.DUMMYFUNCTION("""COMPUTED_VALUE"""),"Vanderbilt")</f>
        <v>Vanderbilt</v>
      </c>
      <c r="BP64" t="str">
        <f>IFERROR(__xludf.DUMMYFUNCTION("""COMPUTED_VALUE"""),"Virginia")</f>
        <v>Virginia</v>
      </c>
      <c r="BQ64" t="str">
        <f>IFERROR(__xludf.DUMMYFUNCTION("""COMPUTED_VALUE"""),"Virginia Tech")</f>
        <v>Virginia Tech</v>
      </c>
      <c r="BR64" t="str">
        <f>IFERROR(__xludf.DUMMYFUNCTION("""COMPUTED_VALUE"""),"Wake Forest")</f>
        <v>Wake Forest</v>
      </c>
      <c r="BS64" t="str">
        <f>IFERROR(__xludf.DUMMYFUNCTION("""COMPUTED_VALUE"""),"Washington State")</f>
        <v>Washington State</v>
      </c>
      <c r="BT64" t="str">
        <f>IFERROR(__xludf.DUMMYFUNCTION("""COMPUTED_VALUE"""),"West Virginia")</f>
        <v>West Virginia</v>
      </c>
      <c r="BU64" t="str">
        <f>IFERROR(__xludf.DUMMYFUNCTION("""COMPUTED_VALUE"""),"Wisconsin")</f>
        <v>Wisconsin</v>
      </c>
      <c r="BV64" t="str">
        <f>IFERROR(__xludf.DUMMYFUNCTION("""COMPUTED_VALUE"""),"Wyoming")</f>
        <v>Wyoming</v>
      </c>
    </row>
    <row r="65">
      <c r="A65" s="1">
        <v>64.0</v>
      </c>
      <c r="B65" t="str">
        <f>IFERROR(__xludf.DUMMYFUNCTION("split(join("","",sort(byrow('Teams-Conference'!A$2:A1000,lambda(rw,if(iserror(match(rw,DraftTracker!F$1:F65,0)),rw,""""))),1,1)),"","",1,1)"),"Air Force")</f>
        <v>Air Force</v>
      </c>
      <c r="C65" t="str">
        <f>IFERROR(__xludf.DUMMYFUNCTION("""COMPUTED_VALUE"""),"Akron")</f>
        <v>Akron</v>
      </c>
      <c r="D65" t="str">
        <f>IFERROR(__xludf.DUMMYFUNCTION("""COMPUTED_VALUE"""),"Appalachian State")</f>
        <v>Appalachian State</v>
      </c>
      <c r="E65" t="str">
        <f>IFERROR(__xludf.DUMMYFUNCTION("""COMPUTED_VALUE"""),"Arizona")</f>
        <v>Arizona</v>
      </c>
      <c r="F65" t="str">
        <f>IFERROR(__xludf.DUMMYFUNCTION("""COMPUTED_VALUE"""),"Arkansas")</f>
        <v>Arkansas</v>
      </c>
      <c r="G65" t="str">
        <f>IFERROR(__xludf.DUMMYFUNCTION("""COMPUTED_VALUE"""),"Arkansas State")</f>
        <v>Arkansas State</v>
      </c>
      <c r="H65" t="str">
        <f>IFERROR(__xludf.DUMMYFUNCTION("""COMPUTED_VALUE"""),"Ball State")</f>
        <v>Ball State</v>
      </c>
      <c r="I65" t="str">
        <f>IFERROR(__xludf.DUMMYFUNCTION("""COMPUTED_VALUE"""),"Boston College")</f>
        <v>Boston College</v>
      </c>
      <c r="J65" t="str">
        <f>IFERROR(__xludf.DUMMYFUNCTION("""COMPUTED_VALUE"""),"California")</f>
        <v>California</v>
      </c>
      <c r="K65" t="str">
        <f>IFERROR(__xludf.DUMMYFUNCTION("""COMPUTED_VALUE"""),"Charlotte")</f>
        <v>Charlotte</v>
      </c>
      <c r="L65" t="str">
        <f>IFERROR(__xludf.DUMMYFUNCTION("""COMPUTED_VALUE"""),"Cincinnati")</f>
        <v>Cincinnati</v>
      </c>
      <c r="M65" t="str">
        <f>IFERROR(__xludf.DUMMYFUNCTION("""COMPUTED_VALUE"""),"Coastal Carolina")</f>
        <v>Coastal Carolina</v>
      </c>
      <c r="N65" t="str">
        <f>IFERROR(__xludf.DUMMYFUNCTION("""COMPUTED_VALUE"""),"Colorado")</f>
        <v>Colorado</v>
      </c>
      <c r="O65" t="str">
        <f>IFERROR(__xludf.DUMMYFUNCTION("""COMPUTED_VALUE"""),"Delaware")</f>
        <v>Delaware</v>
      </c>
      <c r="P65" t="str">
        <f>IFERROR(__xludf.DUMMYFUNCTION("""COMPUTED_VALUE"""),"Duke")</f>
        <v>Duke</v>
      </c>
      <c r="Q65" t="str">
        <f>IFERROR(__xludf.DUMMYFUNCTION("""COMPUTED_VALUE"""),"EMU")</f>
        <v>EMU</v>
      </c>
      <c r="R65" t="str">
        <f>IFERROR(__xludf.DUMMYFUNCTION("""COMPUTED_VALUE"""),"Florida")</f>
        <v>Florida</v>
      </c>
      <c r="S65" t="str">
        <f>IFERROR(__xludf.DUMMYFUNCTION("""COMPUTED_VALUE"""),"Florida Atlantic")</f>
        <v>Florida Atlantic</v>
      </c>
      <c r="T65" t="str">
        <f>IFERROR(__xludf.DUMMYFUNCTION("""COMPUTED_VALUE"""),"Florida Intl")</f>
        <v>Florida Intl</v>
      </c>
      <c r="U65" t="str">
        <f>IFERROR(__xludf.DUMMYFUNCTION("""COMPUTED_VALUE"""),"Florida State")</f>
        <v>Florida State</v>
      </c>
      <c r="V65" t="str">
        <f>IFERROR(__xludf.DUMMYFUNCTION("""COMPUTED_VALUE"""),"Georgia State")</f>
        <v>Georgia State</v>
      </c>
      <c r="W65" t="str">
        <f>IFERROR(__xludf.DUMMYFUNCTION("""COMPUTED_VALUE"""),"Hawaii")</f>
        <v>Hawaii</v>
      </c>
      <c r="X65" t="str">
        <f>IFERROR(__xludf.DUMMYFUNCTION("""COMPUTED_VALUE"""),"Houston")</f>
        <v>Houston</v>
      </c>
      <c r="Y65" t="str">
        <f>IFERROR(__xludf.DUMMYFUNCTION("""COMPUTED_VALUE"""),"Iowa State")</f>
        <v>Iowa State</v>
      </c>
      <c r="Z65" t="str">
        <f>IFERROR(__xludf.DUMMYFUNCTION("""COMPUTED_VALUE"""),"Kennesaw State")</f>
        <v>Kennesaw State</v>
      </c>
      <c r="AA65" t="str">
        <f>IFERROR(__xludf.DUMMYFUNCTION("""COMPUTED_VALUE"""),"Kent State")</f>
        <v>Kent State</v>
      </c>
      <c r="AB65" t="str">
        <f>IFERROR(__xludf.DUMMYFUNCTION("""COMPUTED_VALUE"""),"Kentucky")</f>
        <v>Kentucky</v>
      </c>
      <c r="AC65" t="str">
        <f>IFERROR(__xludf.DUMMYFUNCTION("""COMPUTED_VALUE"""),"Marshall")</f>
        <v>Marshall</v>
      </c>
      <c r="AD65" t="str">
        <f>IFERROR(__xludf.DUMMYFUNCTION("""COMPUTED_VALUE"""),"Maryland")</f>
        <v>Maryland</v>
      </c>
      <c r="AE65" t="str">
        <f>IFERROR(__xludf.DUMMYFUNCTION("""COMPUTED_VALUE"""),"Michigan State")</f>
        <v>Michigan State</v>
      </c>
      <c r="AF65" t="str">
        <f>IFERROR(__xludf.DUMMYFUNCTION("""COMPUTED_VALUE"""),"Middle Tennessee")</f>
        <v>Middle Tennessee</v>
      </c>
      <c r="AG65" t="str">
        <f>IFERROR(__xludf.DUMMYFUNCTION("""COMPUTED_VALUE"""),"Minnesota")</f>
        <v>Minnesota</v>
      </c>
      <c r="AH65" t="str">
        <f>IFERROR(__xludf.DUMMYFUNCTION("""COMPUTED_VALUE"""),"Mississippi State")</f>
        <v>Mississippi State</v>
      </c>
      <c r="AI65" t="str">
        <f>IFERROR(__xludf.DUMMYFUNCTION("""COMPUTED_VALUE"""),"Missouri State")</f>
        <v>Missouri State</v>
      </c>
      <c r="AJ65" t="str">
        <f>IFERROR(__xludf.DUMMYFUNCTION("""COMPUTED_VALUE"""),"NC State")</f>
        <v>NC State</v>
      </c>
      <c r="AK65" t="str">
        <f>IFERROR(__xludf.DUMMYFUNCTION("""COMPUTED_VALUE"""),"Nevada")</f>
        <v>Nevada</v>
      </c>
      <c r="AL65" t="str">
        <f>IFERROR(__xludf.DUMMYFUNCTION("""COMPUTED_VALUE"""),"New Mexico")</f>
        <v>New Mexico</v>
      </c>
      <c r="AM65" t="str">
        <f>IFERROR(__xludf.DUMMYFUNCTION("""COMPUTED_VALUE"""),"New Mexico State")</f>
        <v>New Mexico State</v>
      </c>
      <c r="AN65" t="str">
        <f>IFERROR(__xludf.DUMMYFUNCTION("""COMPUTED_VALUE"""),"Northwestern")</f>
        <v>Northwestern</v>
      </c>
      <c r="AO65" t="str">
        <f>IFERROR(__xludf.DUMMYFUNCTION("""COMPUTED_VALUE"""),"Oklahoma")</f>
        <v>Oklahoma</v>
      </c>
      <c r="AP65" t="str">
        <f>IFERROR(__xludf.DUMMYFUNCTION("""COMPUTED_VALUE"""),"Oklahoma State")</f>
        <v>Oklahoma State</v>
      </c>
      <c r="AQ65" t="str">
        <f>IFERROR(__xludf.DUMMYFUNCTION("""COMPUTED_VALUE"""),"Old Dominion")</f>
        <v>Old Dominion</v>
      </c>
      <c r="AR65" t="str">
        <f>IFERROR(__xludf.DUMMYFUNCTION("""COMPUTED_VALUE"""),"Oregon State")</f>
        <v>Oregon State</v>
      </c>
      <c r="AS65" t="str">
        <f>IFERROR(__xludf.DUMMYFUNCTION("""COMPUTED_VALUE"""),"Pittsburgh")</f>
        <v>Pittsburgh</v>
      </c>
      <c r="AT65" t="str">
        <f>IFERROR(__xludf.DUMMYFUNCTION("""COMPUTED_VALUE"""),"Purdue")</f>
        <v>Purdue</v>
      </c>
      <c r="AU65" t="str">
        <f>IFERROR(__xludf.DUMMYFUNCTION("""COMPUTED_VALUE"""),"Rice")</f>
        <v>Rice</v>
      </c>
      <c r="AV65" t="str">
        <f>IFERROR(__xludf.DUMMYFUNCTION("""COMPUTED_VALUE"""),"Rutgers")</f>
        <v>Rutgers</v>
      </c>
      <c r="AW65" t="str">
        <f>IFERROR(__xludf.DUMMYFUNCTION("""COMPUTED_VALUE"""),"Sam Houston")</f>
        <v>Sam Houston</v>
      </c>
      <c r="AX65" t="str">
        <f>IFERROR(__xludf.DUMMYFUNCTION("""COMPUTED_VALUE"""),"San Diego State")</f>
        <v>San Diego State</v>
      </c>
      <c r="AY65" t="str">
        <f>IFERROR(__xludf.DUMMYFUNCTION("""COMPUTED_VALUE"""),"Southern Mississippi")</f>
        <v>Southern Mississippi</v>
      </c>
      <c r="AZ65" t="str">
        <f>IFERROR(__xludf.DUMMYFUNCTION("""COMPUTED_VALUE"""),"Stanford")</f>
        <v>Stanford</v>
      </c>
      <c r="BA65" t="str">
        <f>IFERROR(__xludf.DUMMYFUNCTION("""COMPUTED_VALUE"""),"Syracuse")</f>
        <v>Syracuse</v>
      </c>
      <c r="BB65" t="str">
        <f>IFERROR(__xludf.DUMMYFUNCTION("""COMPUTED_VALUE"""),"TCU")</f>
        <v>TCU</v>
      </c>
      <c r="BC65" t="str">
        <f>IFERROR(__xludf.DUMMYFUNCTION("""COMPUTED_VALUE"""),"Temple")</f>
        <v>Temple</v>
      </c>
      <c r="BD65" t="str">
        <f>IFERROR(__xludf.DUMMYFUNCTION("""COMPUTED_VALUE"""),"Troy")</f>
        <v>Troy</v>
      </c>
      <c r="BE65" t="str">
        <f>IFERROR(__xludf.DUMMYFUNCTION("""COMPUTED_VALUE"""),"Tulsa")</f>
        <v>Tulsa</v>
      </c>
      <c r="BF65" t="str">
        <f>IFERROR(__xludf.DUMMYFUNCTION("""COMPUTED_VALUE"""),"UAB")</f>
        <v>UAB</v>
      </c>
      <c r="BG65" t="str">
        <f>IFERROR(__xludf.DUMMYFUNCTION("""COMPUTED_VALUE"""),"UCF")</f>
        <v>UCF</v>
      </c>
      <c r="BH65" t="str">
        <f>IFERROR(__xludf.DUMMYFUNCTION("""COMPUTED_VALUE"""),"UCLA")</f>
        <v>UCLA</v>
      </c>
      <c r="BI65" t="str">
        <f>IFERROR(__xludf.DUMMYFUNCTION("""COMPUTED_VALUE"""),"UConn")</f>
        <v>UConn</v>
      </c>
      <c r="BJ65" t="str">
        <f>IFERROR(__xludf.DUMMYFUNCTION("""COMPUTED_VALUE"""),"UL Monroe")</f>
        <v>UL Monroe</v>
      </c>
      <c r="BK65" t="str">
        <f>IFERROR(__xludf.DUMMYFUNCTION("""COMPUTED_VALUE"""),"UMASS")</f>
        <v>UMASS</v>
      </c>
      <c r="BL65" t="str">
        <f>IFERROR(__xludf.DUMMYFUNCTION("""COMPUTED_VALUE"""),"Utah State")</f>
        <v>Utah State</v>
      </c>
      <c r="BM65" t="str">
        <f>IFERROR(__xludf.DUMMYFUNCTION("""COMPUTED_VALUE"""),"UTEP")</f>
        <v>UTEP</v>
      </c>
      <c r="BN65" t="str">
        <f>IFERROR(__xludf.DUMMYFUNCTION("""COMPUTED_VALUE"""),"Vanderbilt")</f>
        <v>Vanderbilt</v>
      </c>
      <c r="BO65" t="str">
        <f>IFERROR(__xludf.DUMMYFUNCTION("""COMPUTED_VALUE"""),"Virginia")</f>
        <v>Virginia</v>
      </c>
      <c r="BP65" t="str">
        <f>IFERROR(__xludf.DUMMYFUNCTION("""COMPUTED_VALUE"""),"Virginia Tech")</f>
        <v>Virginia Tech</v>
      </c>
      <c r="BQ65" t="str">
        <f>IFERROR(__xludf.DUMMYFUNCTION("""COMPUTED_VALUE"""),"Wake Forest")</f>
        <v>Wake Forest</v>
      </c>
      <c r="BR65" t="str">
        <f>IFERROR(__xludf.DUMMYFUNCTION("""COMPUTED_VALUE"""),"Washington State")</f>
        <v>Washington State</v>
      </c>
      <c r="BS65" t="str">
        <f>IFERROR(__xludf.DUMMYFUNCTION("""COMPUTED_VALUE"""),"West Virginia")</f>
        <v>West Virginia</v>
      </c>
      <c r="BT65" t="str">
        <f>IFERROR(__xludf.DUMMYFUNCTION("""COMPUTED_VALUE"""),"Wisconsin")</f>
        <v>Wisconsin</v>
      </c>
      <c r="BU65" t="str">
        <f>IFERROR(__xludf.DUMMYFUNCTION("""COMPUTED_VALUE"""),"Wyoming")</f>
        <v>Wyoming</v>
      </c>
    </row>
    <row r="66">
      <c r="A66" s="1">
        <v>65.0</v>
      </c>
      <c r="B66" t="str">
        <f>IFERROR(__xludf.DUMMYFUNCTION("split(join("","",sort(byrow('Teams-Conference'!A$2:A1000,lambda(rw,if(iserror(match(rw,DraftTracker!F$1:F66,0)),rw,""""))),1,1)),"","",1,1)"),"Air Force")</f>
        <v>Air Force</v>
      </c>
      <c r="C66" t="str">
        <f>IFERROR(__xludf.DUMMYFUNCTION("""COMPUTED_VALUE"""),"Akron")</f>
        <v>Akron</v>
      </c>
      <c r="D66" t="str">
        <f>IFERROR(__xludf.DUMMYFUNCTION("""COMPUTED_VALUE"""),"Appalachian State")</f>
        <v>Appalachian State</v>
      </c>
      <c r="E66" t="str">
        <f>IFERROR(__xludf.DUMMYFUNCTION("""COMPUTED_VALUE"""),"Arizona")</f>
        <v>Arizona</v>
      </c>
      <c r="F66" t="str">
        <f>IFERROR(__xludf.DUMMYFUNCTION("""COMPUTED_VALUE"""),"Arkansas")</f>
        <v>Arkansas</v>
      </c>
      <c r="G66" t="str">
        <f>IFERROR(__xludf.DUMMYFUNCTION("""COMPUTED_VALUE"""),"Arkansas State")</f>
        <v>Arkansas State</v>
      </c>
      <c r="H66" t="str">
        <f>IFERROR(__xludf.DUMMYFUNCTION("""COMPUTED_VALUE"""),"Ball State")</f>
        <v>Ball State</v>
      </c>
      <c r="I66" t="str">
        <f>IFERROR(__xludf.DUMMYFUNCTION("""COMPUTED_VALUE"""),"Boston College")</f>
        <v>Boston College</v>
      </c>
      <c r="J66" t="str">
        <f>IFERROR(__xludf.DUMMYFUNCTION("""COMPUTED_VALUE"""),"California")</f>
        <v>California</v>
      </c>
      <c r="K66" t="str">
        <f>IFERROR(__xludf.DUMMYFUNCTION("""COMPUTED_VALUE"""),"Charlotte")</f>
        <v>Charlotte</v>
      </c>
      <c r="L66" t="str">
        <f>IFERROR(__xludf.DUMMYFUNCTION("""COMPUTED_VALUE"""),"Cincinnati")</f>
        <v>Cincinnati</v>
      </c>
      <c r="M66" t="str">
        <f>IFERROR(__xludf.DUMMYFUNCTION("""COMPUTED_VALUE"""),"Coastal Carolina")</f>
        <v>Coastal Carolina</v>
      </c>
      <c r="N66" t="str">
        <f>IFERROR(__xludf.DUMMYFUNCTION("""COMPUTED_VALUE"""),"Colorado")</f>
        <v>Colorado</v>
      </c>
      <c r="O66" t="str">
        <f>IFERROR(__xludf.DUMMYFUNCTION("""COMPUTED_VALUE"""),"Delaware")</f>
        <v>Delaware</v>
      </c>
      <c r="P66" t="str">
        <f>IFERROR(__xludf.DUMMYFUNCTION("""COMPUTED_VALUE"""),"Duke")</f>
        <v>Duke</v>
      </c>
      <c r="Q66" t="str">
        <f>IFERROR(__xludf.DUMMYFUNCTION("""COMPUTED_VALUE"""),"EMU")</f>
        <v>EMU</v>
      </c>
      <c r="R66" t="str">
        <f>IFERROR(__xludf.DUMMYFUNCTION("""COMPUTED_VALUE"""),"Florida")</f>
        <v>Florida</v>
      </c>
      <c r="S66" t="str">
        <f>IFERROR(__xludf.DUMMYFUNCTION("""COMPUTED_VALUE"""),"Florida Atlantic")</f>
        <v>Florida Atlantic</v>
      </c>
      <c r="T66" t="str">
        <f>IFERROR(__xludf.DUMMYFUNCTION("""COMPUTED_VALUE"""),"Florida Intl")</f>
        <v>Florida Intl</v>
      </c>
      <c r="U66" t="str">
        <f>IFERROR(__xludf.DUMMYFUNCTION("""COMPUTED_VALUE"""),"Florida State")</f>
        <v>Florida State</v>
      </c>
      <c r="V66" t="str">
        <f>IFERROR(__xludf.DUMMYFUNCTION("""COMPUTED_VALUE"""),"Georgia State")</f>
        <v>Georgia State</v>
      </c>
      <c r="W66" t="str">
        <f>IFERROR(__xludf.DUMMYFUNCTION("""COMPUTED_VALUE"""),"Hawaii")</f>
        <v>Hawaii</v>
      </c>
      <c r="X66" t="str">
        <f>IFERROR(__xludf.DUMMYFUNCTION("""COMPUTED_VALUE"""),"Houston")</f>
        <v>Houston</v>
      </c>
      <c r="Y66" t="str">
        <f>IFERROR(__xludf.DUMMYFUNCTION("""COMPUTED_VALUE"""),"Iowa State")</f>
        <v>Iowa State</v>
      </c>
      <c r="Z66" t="str">
        <f>IFERROR(__xludf.DUMMYFUNCTION("""COMPUTED_VALUE"""),"Kennesaw State")</f>
        <v>Kennesaw State</v>
      </c>
      <c r="AA66" t="str">
        <f>IFERROR(__xludf.DUMMYFUNCTION("""COMPUTED_VALUE"""),"Kent State")</f>
        <v>Kent State</v>
      </c>
      <c r="AB66" t="str">
        <f>IFERROR(__xludf.DUMMYFUNCTION("""COMPUTED_VALUE"""),"Kentucky")</f>
        <v>Kentucky</v>
      </c>
      <c r="AC66" t="str">
        <f>IFERROR(__xludf.DUMMYFUNCTION("""COMPUTED_VALUE"""),"Marshall")</f>
        <v>Marshall</v>
      </c>
      <c r="AD66" t="str">
        <f>IFERROR(__xludf.DUMMYFUNCTION("""COMPUTED_VALUE"""),"Maryland")</f>
        <v>Maryland</v>
      </c>
      <c r="AE66" t="str">
        <f>IFERROR(__xludf.DUMMYFUNCTION("""COMPUTED_VALUE"""),"Michigan State")</f>
        <v>Michigan State</v>
      </c>
      <c r="AF66" t="str">
        <f>IFERROR(__xludf.DUMMYFUNCTION("""COMPUTED_VALUE"""),"Middle Tennessee")</f>
        <v>Middle Tennessee</v>
      </c>
      <c r="AG66" t="str">
        <f>IFERROR(__xludf.DUMMYFUNCTION("""COMPUTED_VALUE"""),"Mississippi State")</f>
        <v>Mississippi State</v>
      </c>
      <c r="AH66" t="str">
        <f>IFERROR(__xludf.DUMMYFUNCTION("""COMPUTED_VALUE"""),"Missouri State")</f>
        <v>Missouri State</v>
      </c>
      <c r="AI66" t="str">
        <f>IFERROR(__xludf.DUMMYFUNCTION("""COMPUTED_VALUE"""),"NC State")</f>
        <v>NC State</v>
      </c>
      <c r="AJ66" t="str">
        <f>IFERROR(__xludf.DUMMYFUNCTION("""COMPUTED_VALUE"""),"Nevada")</f>
        <v>Nevada</v>
      </c>
      <c r="AK66" t="str">
        <f>IFERROR(__xludf.DUMMYFUNCTION("""COMPUTED_VALUE"""),"New Mexico")</f>
        <v>New Mexico</v>
      </c>
      <c r="AL66" t="str">
        <f>IFERROR(__xludf.DUMMYFUNCTION("""COMPUTED_VALUE"""),"New Mexico State")</f>
        <v>New Mexico State</v>
      </c>
      <c r="AM66" t="str">
        <f>IFERROR(__xludf.DUMMYFUNCTION("""COMPUTED_VALUE"""),"Northwestern")</f>
        <v>Northwestern</v>
      </c>
      <c r="AN66" t="str">
        <f>IFERROR(__xludf.DUMMYFUNCTION("""COMPUTED_VALUE"""),"Oklahoma")</f>
        <v>Oklahoma</v>
      </c>
      <c r="AO66" t="str">
        <f>IFERROR(__xludf.DUMMYFUNCTION("""COMPUTED_VALUE"""),"Oklahoma State")</f>
        <v>Oklahoma State</v>
      </c>
      <c r="AP66" t="str">
        <f>IFERROR(__xludf.DUMMYFUNCTION("""COMPUTED_VALUE"""),"Old Dominion")</f>
        <v>Old Dominion</v>
      </c>
      <c r="AQ66" t="str">
        <f>IFERROR(__xludf.DUMMYFUNCTION("""COMPUTED_VALUE"""),"Oregon State")</f>
        <v>Oregon State</v>
      </c>
      <c r="AR66" t="str">
        <f>IFERROR(__xludf.DUMMYFUNCTION("""COMPUTED_VALUE"""),"Pittsburgh")</f>
        <v>Pittsburgh</v>
      </c>
      <c r="AS66" t="str">
        <f>IFERROR(__xludf.DUMMYFUNCTION("""COMPUTED_VALUE"""),"Purdue")</f>
        <v>Purdue</v>
      </c>
      <c r="AT66" t="str">
        <f>IFERROR(__xludf.DUMMYFUNCTION("""COMPUTED_VALUE"""),"Rice")</f>
        <v>Rice</v>
      </c>
      <c r="AU66" t="str">
        <f>IFERROR(__xludf.DUMMYFUNCTION("""COMPUTED_VALUE"""),"Rutgers")</f>
        <v>Rutgers</v>
      </c>
      <c r="AV66" t="str">
        <f>IFERROR(__xludf.DUMMYFUNCTION("""COMPUTED_VALUE"""),"Sam Houston")</f>
        <v>Sam Houston</v>
      </c>
      <c r="AW66" t="str">
        <f>IFERROR(__xludf.DUMMYFUNCTION("""COMPUTED_VALUE"""),"San Diego State")</f>
        <v>San Diego State</v>
      </c>
      <c r="AX66" t="str">
        <f>IFERROR(__xludf.DUMMYFUNCTION("""COMPUTED_VALUE"""),"Southern Mississippi")</f>
        <v>Southern Mississippi</v>
      </c>
      <c r="AY66" t="str">
        <f>IFERROR(__xludf.DUMMYFUNCTION("""COMPUTED_VALUE"""),"Stanford")</f>
        <v>Stanford</v>
      </c>
      <c r="AZ66" t="str">
        <f>IFERROR(__xludf.DUMMYFUNCTION("""COMPUTED_VALUE"""),"Syracuse")</f>
        <v>Syracuse</v>
      </c>
      <c r="BA66" t="str">
        <f>IFERROR(__xludf.DUMMYFUNCTION("""COMPUTED_VALUE"""),"TCU")</f>
        <v>TCU</v>
      </c>
      <c r="BB66" t="str">
        <f>IFERROR(__xludf.DUMMYFUNCTION("""COMPUTED_VALUE"""),"Temple")</f>
        <v>Temple</v>
      </c>
      <c r="BC66" t="str">
        <f>IFERROR(__xludf.DUMMYFUNCTION("""COMPUTED_VALUE"""),"Troy")</f>
        <v>Troy</v>
      </c>
      <c r="BD66" t="str">
        <f>IFERROR(__xludf.DUMMYFUNCTION("""COMPUTED_VALUE"""),"Tulsa")</f>
        <v>Tulsa</v>
      </c>
      <c r="BE66" t="str">
        <f>IFERROR(__xludf.DUMMYFUNCTION("""COMPUTED_VALUE"""),"UAB")</f>
        <v>UAB</v>
      </c>
      <c r="BF66" t="str">
        <f>IFERROR(__xludf.DUMMYFUNCTION("""COMPUTED_VALUE"""),"UCF")</f>
        <v>UCF</v>
      </c>
      <c r="BG66" t="str">
        <f>IFERROR(__xludf.DUMMYFUNCTION("""COMPUTED_VALUE"""),"UCLA")</f>
        <v>UCLA</v>
      </c>
      <c r="BH66" t="str">
        <f>IFERROR(__xludf.DUMMYFUNCTION("""COMPUTED_VALUE"""),"UConn")</f>
        <v>UConn</v>
      </c>
      <c r="BI66" t="str">
        <f>IFERROR(__xludf.DUMMYFUNCTION("""COMPUTED_VALUE"""),"UL Monroe")</f>
        <v>UL Monroe</v>
      </c>
      <c r="BJ66" t="str">
        <f>IFERROR(__xludf.DUMMYFUNCTION("""COMPUTED_VALUE"""),"UMASS")</f>
        <v>UMASS</v>
      </c>
      <c r="BK66" t="str">
        <f>IFERROR(__xludf.DUMMYFUNCTION("""COMPUTED_VALUE"""),"Utah State")</f>
        <v>Utah State</v>
      </c>
      <c r="BL66" t="str">
        <f>IFERROR(__xludf.DUMMYFUNCTION("""COMPUTED_VALUE"""),"UTEP")</f>
        <v>UTEP</v>
      </c>
      <c r="BM66" t="str">
        <f>IFERROR(__xludf.DUMMYFUNCTION("""COMPUTED_VALUE"""),"Vanderbilt")</f>
        <v>Vanderbilt</v>
      </c>
      <c r="BN66" t="str">
        <f>IFERROR(__xludf.DUMMYFUNCTION("""COMPUTED_VALUE"""),"Virginia")</f>
        <v>Virginia</v>
      </c>
      <c r="BO66" t="str">
        <f>IFERROR(__xludf.DUMMYFUNCTION("""COMPUTED_VALUE"""),"Virginia Tech")</f>
        <v>Virginia Tech</v>
      </c>
      <c r="BP66" t="str">
        <f>IFERROR(__xludf.DUMMYFUNCTION("""COMPUTED_VALUE"""),"Wake Forest")</f>
        <v>Wake Forest</v>
      </c>
      <c r="BQ66" t="str">
        <f>IFERROR(__xludf.DUMMYFUNCTION("""COMPUTED_VALUE"""),"Washington State")</f>
        <v>Washington State</v>
      </c>
      <c r="BR66" t="str">
        <f>IFERROR(__xludf.DUMMYFUNCTION("""COMPUTED_VALUE"""),"West Virginia")</f>
        <v>West Virginia</v>
      </c>
      <c r="BS66" t="str">
        <f>IFERROR(__xludf.DUMMYFUNCTION("""COMPUTED_VALUE"""),"Wisconsin")</f>
        <v>Wisconsin</v>
      </c>
      <c r="BT66" t="str">
        <f>IFERROR(__xludf.DUMMYFUNCTION("""COMPUTED_VALUE"""),"Wyoming")</f>
        <v>Wyoming</v>
      </c>
    </row>
    <row r="67">
      <c r="A67" s="1">
        <v>66.0</v>
      </c>
      <c r="B67" t="str">
        <f>IFERROR(__xludf.DUMMYFUNCTION("split(join("","",sort(byrow('Teams-Conference'!A$2:A1000,lambda(rw,if(iserror(match(rw,DraftTracker!F$1:F67,0)),rw,""""))),1,1)),"","",1,1)"),"Air Force")</f>
        <v>Air Force</v>
      </c>
      <c r="C67" t="str">
        <f>IFERROR(__xludf.DUMMYFUNCTION("""COMPUTED_VALUE"""),"Akron")</f>
        <v>Akron</v>
      </c>
      <c r="D67" t="str">
        <f>IFERROR(__xludf.DUMMYFUNCTION("""COMPUTED_VALUE"""),"Appalachian State")</f>
        <v>Appalachian State</v>
      </c>
      <c r="E67" t="str">
        <f>IFERROR(__xludf.DUMMYFUNCTION("""COMPUTED_VALUE"""),"Arizona")</f>
        <v>Arizona</v>
      </c>
      <c r="F67" t="str">
        <f>IFERROR(__xludf.DUMMYFUNCTION("""COMPUTED_VALUE"""),"Arkansas")</f>
        <v>Arkansas</v>
      </c>
      <c r="G67" t="str">
        <f>IFERROR(__xludf.DUMMYFUNCTION("""COMPUTED_VALUE"""),"Arkansas State")</f>
        <v>Arkansas State</v>
      </c>
      <c r="H67" t="str">
        <f>IFERROR(__xludf.DUMMYFUNCTION("""COMPUTED_VALUE"""),"Ball State")</f>
        <v>Ball State</v>
      </c>
      <c r="I67" t="str">
        <f>IFERROR(__xludf.DUMMYFUNCTION("""COMPUTED_VALUE"""),"Boston College")</f>
        <v>Boston College</v>
      </c>
      <c r="J67" t="str">
        <f>IFERROR(__xludf.DUMMYFUNCTION("""COMPUTED_VALUE"""),"California")</f>
        <v>California</v>
      </c>
      <c r="K67" t="str">
        <f>IFERROR(__xludf.DUMMYFUNCTION("""COMPUTED_VALUE"""),"Charlotte")</f>
        <v>Charlotte</v>
      </c>
      <c r="L67" t="str">
        <f>IFERROR(__xludf.DUMMYFUNCTION("""COMPUTED_VALUE"""),"Cincinnati")</f>
        <v>Cincinnati</v>
      </c>
      <c r="M67" t="str">
        <f>IFERROR(__xludf.DUMMYFUNCTION("""COMPUTED_VALUE"""),"Coastal Carolina")</f>
        <v>Coastal Carolina</v>
      </c>
      <c r="N67" t="str">
        <f>IFERROR(__xludf.DUMMYFUNCTION("""COMPUTED_VALUE"""),"Colorado")</f>
        <v>Colorado</v>
      </c>
      <c r="O67" t="str">
        <f>IFERROR(__xludf.DUMMYFUNCTION("""COMPUTED_VALUE"""),"Delaware")</f>
        <v>Delaware</v>
      </c>
      <c r="P67" t="str">
        <f>IFERROR(__xludf.DUMMYFUNCTION("""COMPUTED_VALUE"""),"Duke")</f>
        <v>Duke</v>
      </c>
      <c r="Q67" t="str">
        <f>IFERROR(__xludf.DUMMYFUNCTION("""COMPUTED_VALUE"""),"EMU")</f>
        <v>EMU</v>
      </c>
      <c r="R67" t="str">
        <f>IFERROR(__xludf.DUMMYFUNCTION("""COMPUTED_VALUE"""),"Florida")</f>
        <v>Florida</v>
      </c>
      <c r="S67" t="str">
        <f>IFERROR(__xludf.DUMMYFUNCTION("""COMPUTED_VALUE"""),"Florida Atlantic")</f>
        <v>Florida Atlantic</v>
      </c>
      <c r="T67" t="str">
        <f>IFERROR(__xludf.DUMMYFUNCTION("""COMPUTED_VALUE"""),"Florida Intl")</f>
        <v>Florida Intl</v>
      </c>
      <c r="U67" t="str">
        <f>IFERROR(__xludf.DUMMYFUNCTION("""COMPUTED_VALUE"""),"Florida State")</f>
        <v>Florida State</v>
      </c>
      <c r="V67" t="str">
        <f>IFERROR(__xludf.DUMMYFUNCTION("""COMPUTED_VALUE"""),"Georgia State")</f>
        <v>Georgia State</v>
      </c>
      <c r="W67" t="str">
        <f>IFERROR(__xludf.DUMMYFUNCTION("""COMPUTED_VALUE"""),"Houston")</f>
        <v>Houston</v>
      </c>
      <c r="X67" t="str">
        <f>IFERROR(__xludf.DUMMYFUNCTION("""COMPUTED_VALUE"""),"Iowa State")</f>
        <v>Iowa State</v>
      </c>
      <c r="Y67" t="str">
        <f>IFERROR(__xludf.DUMMYFUNCTION("""COMPUTED_VALUE"""),"Kennesaw State")</f>
        <v>Kennesaw State</v>
      </c>
      <c r="Z67" t="str">
        <f>IFERROR(__xludf.DUMMYFUNCTION("""COMPUTED_VALUE"""),"Kent State")</f>
        <v>Kent State</v>
      </c>
      <c r="AA67" t="str">
        <f>IFERROR(__xludf.DUMMYFUNCTION("""COMPUTED_VALUE"""),"Kentucky")</f>
        <v>Kentucky</v>
      </c>
      <c r="AB67" t="str">
        <f>IFERROR(__xludf.DUMMYFUNCTION("""COMPUTED_VALUE"""),"Marshall")</f>
        <v>Marshall</v>
      </c>
      <c r="AC67" t="str">
        <f>IFERROR(__xludf.DUMMYFUNCTION("""COMPUTED_VALUE"""),"Maryland")</f>
        <v>Maryland</v>
      </c>
      <c r="AD67" t="str">
        <f>IFERROR(__xludf.DUMMYFUNCTION("""COMPUTED_VALUE"""),"Michigan State")</f>
        <v>Michigan State</v>
      </c>
      <c r="AE67" t="str">
        <f>IFERROR(__xludf.DUMMYFUNCTION("""COMPUTED_VALUE"""),"Middle Tennessee")</f>
        <v>Middle Tennessee</v>
      </c>
      <c r="AF67" t="str">
        <f>IFERROR(__xludf.DUMMYFUNCTION("""COMPUTED_VALUE"""),"Mississippi State")</f>
        <v>Mississippi State</v>
      </c>
      <c r="AG67" t="str">
        <f>IFERROR(__xludf.DUMMYFUNCTION("""COMPUTED_VALUE"""),"Missouri State")</f>
        <v>Missouri State</v>
      </c>
      <c r="AH67" t="str">
        <f>IFERROR(__xludf.DUMMYFUNCTION("""COMPUTED_VALUE"""),"NC State")</f>
        <v>NC State</v>
      </c>
      <c r="AI67" t="str">
        <f>IFERROR(__xludf.DUMMYFUNCTION("""COMPUTED_VALUE"""),"Nevada")</f>
        <v>Nevada</v>
      </c>
      <c r="AJ67" t="str">
        <f>IFERROR(__xludf.DUMMYFUNCTION("""COMPUTED_VALUE"""),"New Mexico")</f>
        <v>New Mexico</v>
      </c>
      <c r="AK67" t="str">
        <f>IFERROR(__xludf.DUMMYFUNCTION("""COMPUTED_VALUE"""),"New Mexico State")</f>
        <v>New Mexico State</v>
      </c>
      <c r="AL67" t="str">
        <f>IFERROR(__xludf.DUMMYFUNCTION("""COMPUTED_VALUE"""),"Northwestern")</f>
        <v>Northwestern</v>
      </c>
      <c r="AM67" t="str">
        <f>IFERROR(__xludf.DUMMYFUNCTION("""COMPUTED_VALUE"""),"Oklahoma")</f>
        <v>Oklahoma</v>
      </c>
      <c r="AN67" t="str">
        <f>IFERROR(__xludf.DUMMYFUNCTION("""COMPUTED_VALUE"""),"Oklahoma State")</f>
        <v>Oklahoma State</v>
      </c>
      <c r="AO67" t="str">
        <f>IFERROR(__xludf.DUMMYFUNCTION("""COMPUTED_VALUE"""),"Old Dominion")</f>
        <v>Old Dominion</v>
      </c>
      <c r="AP67" t="str">
        <f>IFERROR(__xludf.DUMMYFUNCTION("""COMPUTED_VALUE"""),"Oregon State")</f>
        <v>Oregon State</v>
      </c>
      <c r="AQ67" t="str">
        <f>IFERROR(__xludf.DUMMYFUNCTION("""COMPUTED_VALUE"""),"Pittsburgh")</f>
        <v>Pittsburgh</v>
      </c>
      <c r="AR67" t="str">
        <f>IFERROR(__xludf.DUMMYFUNCTION("""COMPUTED_VALUE"""),"Purdue")</f>
        <v>Purdue</v>
      </c>
      <c r="AS67" t="str">
        <f>IFERROR(__xludf.DUMMYFUNCTION("""COMPUTED_VALUE"""),"Rice")</f>
        <v>Rice</v>
      </c>
      <c r="AT67" t="str">
        <f>IFERROR(__xludf.DUMMYFUNCTION("""COMPUTED_VALUE"""),"Rutgers")</f>
        <v>Rutgers</v>
      </c>
      <c r="AU67" t="str">
        <f>IFERROR(__xludf.DUMMYFUNCTION("""COMPUTED_VALUE"""),"Sam Houston")</f>
        <v>Sam Houston</v>
      </c>
      <c r="AV67" t="str">
        <f>IFERROR(__xludf.DUMMYFUNCTION("""COMPUTED_VALUE"""),"San Diego State")</f>
        <v>San Diego State</v>
      </c>
      <c r="AW67" t="str">
        <f>IFERROR(__xludf.DUMMYFUNCTION("""COMPUTED_VALUE"""),"Southern Mississippi")</f>
        <v>Southern Mississippi</v>
      </c>
      <c r="AX67" t="str">
        <f>IFERROR(__xludf.DUMMYFUNCTION("""COMPUTED_VALUE"""),"Stanford")</f>
        <v>Stanford</v>
      </c>
      <c r="AY67" t="str">
        <f>IFERROR(__xludf.DUMMYFUNCTION("""COMPUTED_VALUE"""),"Syracuse")</f>
        <v>Syracuse</v>
      </c>
      <c r="AZ67" t="str">
        <f>IFERROR(__xludf.DUMMYFUNCTION("""COMPUTED_VALUE"""),"TCU")</f>
        <v>TCU</v>
      </c>
      <c r="BA67" t="str">
        <f>IFERROR(__xludf.DUMMYFUNCTION("""COMPUTED_VALUE"""),"Temple")</f>
        <v>Temple</v>
      </c>
      <c r="BB67" t="str">
        <f>IFERROR(__xludf.DUMMYFUNCTION("""COMPUTED_VALUE"""),"Troy")</f>
        <v>Troy</v>
      </c>
      <c r="BC67" t="str">
        <f>IFERROR(__xludf.DUMMYFUNCTION("""COMPUTED_VALUE"""),"Tulsa")</f>
        <v>Tulsa</v>
      </c>
      <c r="BD67" t="str">
        <f>IFERROR(__xludf.DUMMYFUNCTION("""COMPUTED_VALUE"""),"UAB")</f>
        <v>UAB</v>
      </c>
      <c r="BE67" t="str">
        <f>IFERROR(__xludf.DUMMYFUNCTION("""COMPUTED_VALUE"""),"UCF")</f>
        <v>UCF</v>
      </c>
      <c r="BF67" t="str">
        <f>IFERROR(__xludf.DUMMYFUNCTION("""COMPUTED_VALUE"""),"UCLA")</f>
        <v>UCLA</v>
      </c>
      <c r="BG67" t="str">
        <f>IFERROR(__xludf.DUMMYFUNCTION("""COMPUTED_VALUE"""),"UConn")</f>
        <v>UConn</v>
      </c>
      <c r="BH67" t="str">
        <f>IFERROR(__xludf.DUMMYFUNCTION("""COMPUTED_VALUE"""),"UL Monroe")</f>
        <v>UL Monroe</v>
      </c>
      <c r="BI67" t="str">
        <f>IFERROR(__xludf.DUMMYFUNCTION("""COMPUTED_VALUE"""),"UMASS")</f>
        <v>UMASS</v>
      </c>
      <c r="BJ67" t="str">
        <f>IFERROR(__xludf.DUMMYFUNCTION("""COMPUTED_VALUE"""),"Utah State")</f>
        <v>Utah State</v>
      </c>
      <c r="BK67" t="str">
        <f>IFERROR(__xludf.DUMMYFUNCTION("""COMPUTED_VALUE"""),"UTEP")</f>
        <v>UTEP</v>
      </c>
      <c r="BL67" t="str">
        <f>IFERROR(__xludf.DUMMYFUNCTION("""COMPUTED_VALUE"""),"Vanderbilt")</f>
        <v>Vanderbilt</v>
      </c>
      <c r="BM67" t="str">
        <f>IFERROR(__xludf.DUMMYFUNCTION("""COMPUTED_VALUE"""),"Virginia")</f>
        <v>Virginia</v>
      </c>
      <c r="BN67" t="str">
        <f>IFERROR(__xludf.DUMMYFUNCTION("""COMPUTED_VALUE"""),"Virginia Tech")</f>
        <v>Virginia Tech</v>
      </c>
      <c r="BO67" t="str">
        <f>IFERROR(__xludf.DUMMYFUNCTION("""COMPUTED_VALUE"""),"Wake Forest")</f>
        <v>Wake Forest</v>
      </c>
      <c r="BP67" t="str">
        <f>IFERROR(__xludf.DUMMYFUNCTION("""COMPUTED_VALUE"""),"Washington State")</f>
        <v>Washington State</v>
      </c>
      <c r="BQ67" t="str">
        <f>IFERROR(__xludf.DUMMYFUNCTION("""COMPUTED_VALUE"""),"West Virginia")</f>
        <v>West Virginia</v>
      </c>
      <c r="BR67" t="str">
        <f>IFERROR(__xludf.DUMMYFUNCTION("""COMPUTED_VALUE"""),"Wisconsin")</f>
        <v>Wisconsin</v>
      </c>
      <c r="BS67" t="str">
        <f>IFERROR(__xludf.DUMMYFUNCTION("""COMPUTED_VALUE"""),"Wyoming")</f>
        <v>Wyoming</v>
      </c>
    </row>
    <row r="68">
      <c r="A68" s="1">
        <v>67.0</v>
      </c>
      <c r="B68" t="str">
        <f>IFERROR(__xludf.DUMMYFUNCTION("split(join("","",sort(byrow('Teams-Conference'!A$2:A1000,lambda(rw,if(iserror(match(rw,DraftTracker!F$1:F68,0)),rw,""""))),1,1)),"","",1,1)"),"Air Force")</f>
        <v>Air Force</v>
      </c>
      <c r="C68" t="str">
        <f>IFERROR(__xludf.DUMMYFUNCTION("""COMPUTED_VALUE"""),"Akron")</f>
        <v>Akron</v>
      </c>
      <c r="D68" t="str">
        <f>IFERROR(__xludf.DUMMYFUNCTION("""COMPUTED_VALUE"""),"Appalachian State")</f>
        <v>Appalachian State</v>
      </c>
      <c r="E68" t="str">
        <f>IFERROR(__xludf.DUMMYFUNCTION("""COMPUTED_VALUE"""),"Arizona")</f>
        <v>Arizona</v>
      </c>
      <c r="F68" t="str">
        <f>IFERROR(__xludf.DUMMYFUNCTION("""COMPUTED_VALUE"""),"Arkansas")</f>
        <v>Arkansas</v>
      </c>
      <c r="G68" t="str">
        <f>IFERROR(__xludf.DUMMYFUNCTION("""COMPUTED_VALUE"""),"Arkansas State")</f>
        <v>Arkansas State</v>
      </c>
      <c r="H68" t="str">
        <f>IFERROR(__xludf.DUMMYFUNCTION("""COMPUTED_VALUE"""),"Ball State")</f>
        <v>Ball State</v>
      </c>
      <c r="I68" t="str">
        <f>IFERROR(__xludf.DUMMYFUNCTION("""COMPUTED_VALUE"""),"Boston College")</f>
        <v>Boston College</v>
      </c>
      <c r="J68" t="str">
        <f>IFERROR(__xludf.DUMMYFUNCTION("""COMPUTED_VALUE"""),"California")</f>
        <v>California</v>
      </c>
      <c r="K68" t="str">
        <f>IFERROR(__xludf.DUMMYFUNCTION("""COMPUTED_VALUE"""),"Charlotte")</f>
        <v>Charlotte</v>
      </c>
      <c r="L68" t="str">
        <f>IFERROR(__xludf.DUMMYFUNCTION("""COMPUTED_VALUE"""),"Cincinnati")</f>
        <v>Cincinnati</v>
      </c>
      <c r="M68" t="str">
        <f>IFERROR(__xludf.DUMMYFUNCTION("""COMPUTED_VALUE"""),"Coastal Carolina")</f>
        <v>Coastal Carolina</v>
      </c>
      <c r="N68" t="str">
        <f>IFERROR(__xludf.DUMMYFUNCTION("""COMPUTED_VALUE"""),"Colorado")</f>
        <v>Colorado</v>
      </c>
      <c r="O68" t="str">
        <f>IFERROR(__xludf.DUMMYFUNCTION("""COMPUTED_VALUE"""),"Delaware")</f>
        <v>Delaware</v>
      </c>
      <c r="P68" t="str">
        <f>IFERROR(__xludf.DUMMYFUNCTION("""COMPUTED_VALUE"""),"Duke")</f>
        <v>Duke</v>
      </c>
      <c r="Q68" t="str">
        <f>IFERROR(__xludf.DUMMYFUNCTION("""COMPUTED_VALUE"""),"EMU")</f>
        <v>EMU</v>
      </c>
      <c r="R68" t="str">
        <f>IFERROR(__xludf.DUMMYFUNCTION("""COMPUTED_VALUE"""),"Florida Atlantic")</f>
        <v>Florida Atlantic</v>
      </c>
      <c r="S68" t="str">
        <f>IFERROR(__xludf.DUMMYFUNCTION("""COMPUTED_VALUE"""),"Florida Intl")</f>
        <v>Florida Intl</v>
      </c>
      <c r="T68" t="str">
        <f>IFERROR(__xludf.DUMMYFUNCTION("""COMPUTED_VALUE"""),"Florida State")</f>
        <v>Florida State</v>
      </c>
      <c r="U68" t="str">
        <f>IFERROR(__xludf.DUMMYFUNCTION("""COMPUTED_VALUE"""),"Georgia State")</f>
        <v>Georgia State</v>
      </c>
      <c r="V68" t="str">
        <f>IFERROR(__xludf.DUMMYFUNCTION("""COMPUTED_VALUE"""),"Houston")</f>
        <v>Houston</v>
      </c>
      <c r="W68" t="str">
        <f>IFERROR(__xludf.DUMMYFUNCTION("""COMPUTED_VALUE"""),"Iowa State")</f>
        <v>Iowa State</v>
      </c>
      <c r="X68" t="str">
        <f>IFERROR(__xludf.DUMMYFUNCTION("""COMPUTED_VALUE"""),"Kennesaw State")</f>
        <v>Kennesaw State</v>
      </c>
      <c r="Y68" t="str">
        <f>IFERROR(__xludf.DUMMYFUNCTION("""COMPUTED_VALUE"""),"Kent State")</f>
        <v>Kent State</v>
      </c>
      <c r="Z68" t="str">
        <f>IFERROR(__xludf.DUMMYFUNCTION("""COMPUTED_VALUE"""),"Kentucky")</f>
        <v>Kentucky</v>
      </c>
      <c r="AA68" t="str">
        <f>IFERROR(__xludf.DUMMYFUNCTION("""COMPUTED_VALUE"""),"Marshall")</f>
        <v>Marshall</v>
      </c>
      <c r="AB68" t="str">
        <f>IFERROR(__xludf.DUMMYFUNCTION("""COMPUTED_VALUE"""),"Maryland")</f>
        <v>Maryland</v>
      </c>
      <c r="AC68" t="str">
        <f>IFERROR(__xludf.DUMMYFUNCTION("""COMPUTED_VALUE"""),"Michigan State")</f>
        <v>Michigan State</v>
      </c>
      <c r="AD68" t="str">
        <f>IFERROR(__xludf.DUMMYFUNCTION("""COMPUTED_VALUE"""),"Middle Tennessee")</f>
        <v>Middle Tennessee</v>
      </c>
      <c r="AE68" t="str">
        <f>IFERROR(__xludf.DUMMYFUNCTION("""COMPUTED_VALUE"""),"Mississippi State")</f>
        <v>Mississippi State</v>
      </c>
      <c r="AF68" t="str">
        <f>IFERROR(__xludf.DUMMYFUNCTION("""COMPUTED_VALUE"""),"Missouri State")</f>
        <v>Missouri State</v>
      </c>
      <c r="AG68" t="str">
        <f>IFERROR(__xludf.DUMMYFUNCTION("""COMPUTED_VALUE"""),"NC State")</f>
        <v>NC State</v>
      </c>
      <c r="AH68" t="str">
        <f>IFERROR(__xludf.DUMMYFUNCTION("""COMPUTED_VALUE"""),"Nevada")</f>
        <v>Nevada</v>
      </c>
      <c r="AI68" t="str">
        <f>IFERROR(__xludf.DUMMYFUNCTION("""COMPUTED_VALUE"""),"New Mexico")</f>
        <v>New Mexico</v>
      </c>
      <c r="AJ68" t="str">
        <f>IFERROR(__xludf.DUMMYFUNCTION("""COMPUTED_VALUE"""),"New Mexico State")</f>
        <v>New Mexico State</v>
      </c>
      <c r="AK68" t="str">
        <f>IFERROR(__xludf.DUMMYFUNCTION("""COMPUTED_VALUE"""),"Northwestern")</f>
        <v>Northwestern</v>
      </c>
      <c r="AL68" t="str">
        <f>IFERROR(__xludf.DUMMYFUNCTION("""COMPUTED_VALUE"""),"Oklahoma")</f>
        <v>Oklahoma</v>
      </c>
      <c r="AM68" t="str">
        <f>IFERROR(__xludf.DUMMYFUNCTION("""COMPUTED_VALUE"""),"Oklahoma State")</f>
        <v>Oklahoma State</v>
      </c>
      <c r="AN68" t="str">
        <f>IFERROR(__xludf.DUMMYFUNCTION("""COMPUTED_VALUE"""),"Old Dominion")</f>
        <v>Old Dominion</v>
      </c>
      <c r="AO68" t="str">
        <f>IFERROR(__xludf.DUMMYFUNCTION("""COMPUTED_VALUE"""),"Oregon State")</f>
        <v>Oregon State</v>
      </c>
      <c r="AP68" t="str">
        <f>IFERROR(__xludf.DUMMYFUNCTION("""COMPUTED_VALUE"""),"Pittsburgh")</f>
        <v>Pittsburgh</v>
      </c>
      <c r="AQ68" t="str">
        <f>IFERROR(__xludf.DUMMYFUNCTION("""COMPUTED_VALUE"""),"Purdue")</f>
        <v>Purdue</v>
      </c>
      <c r="AR68" t="str">
        <f>IFERROR(__xludf.DUMMYFUNCTION("""COMPUTED_VALUE"""),"Rice")</f>
        <v>Rice</v>
      </c>
      <c r="AS68" t="str">
        <f>IFERROR(__xludf.DUMMYFUNCTION("""COMPUTED_VALUE"""),"Rutgers")</f>
        <v>Rutgers</v>
      </c>
      <c r="AT68" t="str">
        <f>IFERROR(__xludf.DUMMYFUNCTION("""COMPUTED_VALUE"""),"Sam Houston")</f>
        <v>Sam Houston</v>
      </c>
      <c r="AU68" t="str">
        <f>IFERROR(__xludf.DUMMYFUNCTION("""COMPUTED_VALUE"""),"San Diego State")</f>
        <v>San Diego State</v>
      </c>
      <c r="AV68" t="str">
        <f>IFERROR(__xludf.DUMMYFUNCTION("""COMPUTED_VALUE"""),"Southern Mississippi")</f>
        <v>Southern Mississippi</v>
      </c>
      <c r="AW68" t="str">
        <f>IFERROR(__xludf.DUMMYFUNCTION("""COMPUTED_VALUE"""),"Stanford")</f>
        <v>Stanford</v>
      </c>
      <c r="AX68" t="str">
        <f>IFERROR(__xludf.DUMMYFUNCTION("""COMPUTED_VALUE"""),"Syracuse")</f>
        <v>Syracuse</v>
      </c>
      <c r="AY68" t="str">
        <f>IFERROR(__xludf.DUMMYFUNCTION("""COMPUTED_VALUE"""),"TCU")</f>
        <v>TCU</v>
      </c>
      <c r="AZ68" t="str">
        <f>IFERROR(__xludf.DUMMYFUNCTION("""COMPUTED_VALUE"""),"Temple")</f>
        <v>Temple</v>
      </c>
      <c r="BA68" t="str">
        <f>IFERROR(__xludf.DUMMYFUNCTION("""COMPUTED_VALUE"""),"Troy")</f>
        <v>Troy</v>
      </c>
      <c r="BB68" t="str">
        <f>IFERROR(__xludf.DUMMYFUNCTION("""COMPUTED_VALUE"""),"Tulsa")</f>
        <v>Tulsa</v>
      </c>
      <c r="BC68" t="str">
        <f>IFERROR(__xludf.DUMMYFUNCTION("""COMPUTED_VALUE"""),"UAB")</f>
        <v>UAB</v>
      </c>
      <c r="BD68" t="str">
        <f>IFERROR(__xludf.DUMMYFUNCTION("""COMPUTED_VALUE"""),"UCF")</f>
        <v>UCF</v>
      </c>
      <c r="BE68" t="str">
        <f>IFERROR(__xludf.DUMMYFUNCTION("""COMPUTED_VALUE"""),"UCLA")</f>
        <v>UCLA</v>
      </c>
      <c r="BF68" t="str">
        <f>IFERROR(__xludf.DUMMYFUNCTION("""COMPUTED_VALUE"""),"UConn")</f>
        <v>UConn</v>
      </c>
      <c r="BG68" t="str">
        <f>IFERROR(__xludf.DUMMYFUNCTION("""COMPUTED_VALUE"""),"UL Monroe")</f>
        <v>UL Monroe</v>
      </c>
      <c r="BH68" t="str">
        <f>IFERROR(__xludf.DUMMYFUNCTION("""COMPUTED_VALUE"""),"UMASS")</f>
        <v>UMASS</v>
      </c>
      <c r="BI68" t="str">
        <f>IFERROR(__xludf.DUMMYFUNCTION("""COMPUTED_VALUE"""),"Utah State")</f>
        <v>Utah State</v>
      </c>
      <c r="BJ68" t="str">
        <f>IFERROR(__xludf.DUMMYFUNCTION("""COMPUTED_VALUE"""),"UTEP")</f>
        <v>UTEP</v>
      </c>
      <c r="BK68" t="str">
        <f>IFERROR(__xludf.DUMMYFUNCTION("""COMPUTED_VALUE"""),"Vanderbilt")</f>
        <v>Vanderbilt</v>
      </c>
      <c r="BL68" t="str">
        <f>IFERROR(__xludf.DUMMYFUNCTION("""COMPUTED_VALUE"""),"Virginia")</f>
        <v>Virginia</v>
      </c>
      <c r="BM68" t="str">
        <f>IFERROR(__xludf.DUMMYFUNCTION("""COMPUTED_VALUE"""),"Virginia Tech")</f>
        <v>Virginia Tech</v>
      </c>
      <c r="BN68" t="str">
        <f>IFERROR(__xludf.DUMMYFUNCTION("""COMPUTED_VALUE"""),"Wake Forest")</f>
        <v>Wake Forest</v>
      </c>
      <c r="BO68" t="str">
        <f>IFERROR(__xludf.DUMMYFUNCTION("""COMPUTED_VALUE"""),"Washington State")</f>
        <v>Washington State</v>
      </c>
      <c r="BP68" t="str">
        <f>IFERROR(__xludf.DUMMYFUNCTION("""COMPUTED_VALUE"""),"West Virginia")</f>
        <v>West Virginia</v>
      </c>
      <c r="BQ68" t="str">
        <f>IFERROR(__xludf.DUMMYFUNCTION("""COMPUTED_VALUE"""),"Wisconsin")</f>
        <v>Wisconsin</v>
      </c>
      <c r="BR68" t="str">
        <f>IFERROR(__xludf.DUMMYFUNCTION("""COMPUTED_VALUE"""),"Wyoming")</f>
        <v>Wyoming</v>
      </c>
    </row>
    <row r="69">
      <c r="A69" s="1">
        <v>68.0</v>
      </c>
      <c r="B69" t="str">
        <f>IFERROR(__xludf.DUMMYFUNCTION("split(join("","",sort(byrow('Teams-Conference'!A$2:A1000,lambda(rw,if(iserror(match(rw,DraftTracker!F$1:F69,0)),rw,""""))),1,1)),"","",1,1)"),"Air Force")</f>
        <v>Air Force</v>
      </c>
      <c r="C69" t="str">
        <f>IFERROR(__xludf.DUMMYFUNCTION("""COMPUTED_VALUE"""),"Akron")</f>
        <v>Akron</v>
      </c>
      <c r="D69" t="str">
        <f>IFERROR(__xludf.DUMMYFUNCTION("""COMPUTED_VALUE"""),"Appalachian State")</f>
        <v>Appalachian State</v>
      </c>
      <c r="E69" t="str">
        <f>IFERROR(__xludf.DUMMYFUNCTION("""COMPUTED_VALUE"""),"Arizona")</f>
        <v>Arizona</v>
      </c>
      <c r="F69" t="str">
        <f>IFERROR(__xludf.DUMMYFUNCTION("""COMPUTED_VALUE"""),"Arkansas")</f>
        <v>Arkansas</v>
      </c>
      <c r="G69" t="str">
        <f>IFERROR(__xludf.DUMMYFUNCTION("""COMPUTED_VALUE"""),"Arkansas State")</f>
        <v>Arkansas State</v>
      </c>
      <c r="H69" t="str">
        <f>IFERROR(__xludf.DUMMYFUNCTION("""COMPUTED_VALUE"""),"Ball State")</f>
        <v>Ball State</v>
      </c>
      <c r="I69" t="str">
        <f>IFERROR(__xludf.DUMMYFUNCTION("""COMPUTED_VALUE"""),"Boston College")</f>
        <v>Boston College</v>
      </c>
      <c r="J69" t="str">
        <f>IFERROR(__xludf.DUMMYFUNCTION("""COMPUTED_VALUE"""),"California")</f>
        <v>California</v>
      </c>
      <c r="K69" t="str">
        <f>IFERROR(__xludf.DUMMYFUNCTION("""COMPUTED_VALUE"""),"Charlotte")</f>
        <v>Charlotte</v>
      </c>
      <c r="L69" t="str">
        <f>IFERROR(__xludf.DUMMYFUNCTION("""COMPUTED_VALUE"""),"Cincinnati")</f>
        <v>Cincinnati</v>
      </c>
      <c r="M69" t="str">
        <f>IFERROR(__xludf.DUMMYFUNCTION("""COMPUTED_VALUE"""),"Coastal Carolina")</f>
        <v>Coastal Carolina</v>
      </c>
      <c r="N69" t="str">
        <f>IFERROR(__xludf.DUMMYFUNCTION("""COMPUTED_VALUE"""),"Colorado")</f>
        <v>Colorado</v>
      </c>
      <c r="O69" t="str">
        <f>IFERROR(__xludf.DUMMYFUNCTION("""COMPUTED_VALUE"""),"Delaware")</f>
        <v>Delaware</v>
      </c>
      <c r="P69" t="str">
        <f>IFERROR(__xludf.DUMMYFUNCTION("""COMPUTED_VALUE"""),"Duke")</f>
        <v>Duke</v>
      </c>
      <c r="Q69" t="str">
        <f>IFERROR(__xludf.DUMMYFUNCTION("""COMPUTED_VALUE"""),"EMU")</f>
        <v>EMU</v>
      </c>
      <c r="R69" t="str">
        <f>IFERROR(__xludf.DUMMYFUNCTION("""COMPUTED_VALUE"""),"Florida Atlantic")</f>
        <v>Florida Atlantic</v>
      </c>
      <c r="S69" t="str">
        <f>IFERROR(__xludf.DUMMYFUNCTION("""COMPUTED_VALUE"""),"Florida Intl")</f>
        <v>Florida Intl</v>
      </c>
      <c r="T69" t="str">
        <f>IFERROR(__xludf.DUMMYFUNCTION("""COMPUTED_VALUE"""),"Florida State")</f>
        <v>Florida State</v>
      </c>
      <c r="U69" t="str">
        <f>IFERROR(__xludf.DUMMYFUNCTION("""COMPUTED_VALUE"""),"Georgia State")</f>
        <v>Georgia State</v>
      </c>
      <c r="V69" t="str">
        <f>IFERROR(__xludf.DUMMYFUNCTION("""COMPUTED_VALUE"""),"Houston")</f>
        <v>Houston</v>
      </c>
      <c r="W69" t="str">
        <f>IFERROR(__xludf.DUMMYFUNCTION("""COMPUTED_VALUE"""),"Kennesaw State")</f>
        <v>Kennesaw State</v>
      </c>
      <c r="X69" t="str">
        <f>IFERROR(__xludf.DUMMYFUNCTION("""COMPUTED_VALUE"""),"Kent State")</f>
        <v>Kent State</v>
      </c>
      <c r="Y69" t="str">
        <f>IFERROR(__xludf.DUMMYFUNCTION("""COMPUTED_VALUE"""),"Kentucky")</f>
        <v>Kentucky</v>
      </c>
      <c r="Z69" t="str">
        <f>IFERROR(__xludf.DUMMYFUNCTION("""COMPUTED_VALUE"""),"Marshall")</f>
        <v>Marshall</v>
      </c>
      <c r="AA69" t="str">
        <f>IFERROR(__xludf.DUMMYFUNCTION("""COMPUTED_VALUE"""),"Maryland")</f>
        <v>Maryland</v>
      </c>
      <c r="AB69" t="str">
        <f>IFERROR(__xludf.DUMMYFUNCTION("""COMPUTED_VALUE"""),"Michigan State")</f>
        <v>Michigan State</v>
      </c>
      <c r="AC69" t="str">
        <f>IFERROR(__xludf.DUMMYFUNCTION("""COMPUTED_VALUE"""),"Middle Tennessee")</f>
        <v>Middle Tennessee</v>
      </c>
      <c r="AD69" t="str">
        <f>IFERROR(__xludf.DUMMYFUNCTION("""COMPUTED_VALUE"""),"Mississippi State")</f>
        <v>Mississippi State</v>
      </c>
      <c r="AE69" t="str">
        <f>IFERROR(__xludf.DUMMYFUNCTION("""COMPUTED_VALUE"""),"Missouri State")</f>
        <v>Missouri State</v>
      </c>
      <c r="AF69" t="str">
        <f>IFERROR(__xludf.DUMMYFUNCTION("""COMPUTED_VALUE"""),"NC State")</f>
        <v>NC State</v>
      </c>
      <c r="AG69" t="str">
        <f>IFERROR(__xludf.DUMMYFUNCTION("""COMPUTED_VALUE"""),"Nevada")</f>
        <v>Nevada</v>
      </c>
      <c r="AH69" t="str">
        <f>IFERROR(__xludf.DUMMYFUNCTION("""COMPUTED_VALUE"""),"New Mexico")</f>
        <v>New Mexico</v>
      </c>
      <c r="AI69" t="str">
        <f>IFERROR(__xludf.DUMMYFUNCTION("""COMPUTED_VALUE"""),"New Mexico State")</f>
        <v>New Mexico State</v>
      </c>
      <c r="AJ69" t="str">
        <f>IFERROR(__xludf.DUMMYFUNCTION("""COMPUTED_VALUE"""),"Northwestern")</f>
        <v>Northwestern</v>
      </c>
      <c r="AK69" t="str">
        <f>IFERROR(__xludf.DUMMYFUNCTION("""COMPUTED_VALUE"""),"Oklahoma")</f>
        <v>Oklahoma</v>
      </c>
      <c r="AL69" t="str">
        <f>IFERROR(__xludf.DUMMYFUNCTION("""COMPUTED_VALUE"""),"Oklahoma State")</f>
        <v>Oklahoma State</v>
      </c>
      <c r="AM69" t="str">
        <f>IFERROR(__xludf.DUMMYFUNCTION("""COMPUTED_VALUE"""),"Old Dominion")</f>
        <v>Old Dominion</v>
      </c>
      <c r="AN69" t="str">
        <f>IFERROR(__xludf.DUMMYFUNCTION("""COMPUTED_VALUE"""),"Oregon State")</f>
        <v>Oregon State</v>
      </c>
      <c r="AO69" t="str">
        <f>IFERROR(__xludf.DUMMYFUNCTION("""COMPUTED_VALUE"""),"Pittsburgh")</f>
        <v>Pittsburgh</v>
      </c>
      <c r="AP69" t="str">
        <f>IFERROR(__xludf.DUMMYFUNCTION("""COMPUTED_VALUE"""),"Purdue")</f>
        <v>Purdue</v>
      </c>
      <c r="AQ69" t="str">
        <f>IFERROR(__xludf.DUMMYFUNCTION("""COMPUTED_VALUE"""),"Rice")</f>
        <v>Rice</v>
      </c>
      <c r="AR69" t="str">
        <f>IFERROR(__xludf.DUMMYFUNCTION("""COMPUTED_VALUE"""),"Rutgers")</f>
        <v>Rutgers</v>
      </c>
      <c r="AS69" t="str">
        <f>IFERROR(__xludf.DUMMYFUNCTION("""COMPUTED_VALUE"""),"Sam Houston")</f>
        <v>Sam Houston</v>
      </c>
      <c r="AT69" t="str">
        <f>IFERROR(__xludf.DUMMYFUNCTION("""COMPUTED_VALUE"""),"San Diego State")</f>
        <v>San Diego State</v>
      </c>
      <c r="AU69" t="str">
        <f>IFERROR(__xludf.DUMMYFUNCTION("""COMPUTED_VALUE"""),"Southern Mississippi")</f>
        <v>Southern Mississippi</v>
      </c>
      <c r="AV69" t="str">
        <f>IFERROR(__xludf.DUMMYFUNCTION("""COMPUTED_VALUE"""),"Stanford")</f>
        <v>Stanford</v>
      </c>
      <c r="AW69" t="str">
        <f>IFERROR(__xludf.DUMMYFUNCTION("""COMPUTED_VALUE"""),"Syracuse")</f>
        <v>Syracuse</v>
      </c>
      <c r="AX69" t="str">
        <f>IFERROR(__xludf.DUMMYFUNCTION("""COMPUTED_VALUE"""),"TCU")</f>
        <v>TCU</v>
      </c>
      <c r="AY69" t="str">
        <f>IFERROR(__xludf.DUMMYFUNCTION("""COMPUTED_VALUE"""),"Temple")</f>
        <v>Temple</v>
      </c>
      <c r="AZ69" t="str">
        <f>IFERROR(__xludf.DUMMYFUNCTION("""COMPUTED_VALUE"""),"Troy")</f>
        <v>Troy</v>
      </c>
      <c r="BA69" t="str">
        <f>IFERROR(__xludf.DUMMYFUNCTION("""COMPUTED_VALUE"""),"Tulsa")</f>
        <v>Tulsa</v>
      </c>
      <c r="BB69" t="str">
        <f>IFERROR(__xludf.DUMMYFUNCTION("""COMPUTED_VALUE"""),"UAB")</f>
        <v>UAB</v>
      </c>
      <c r="BC69" t="str">
        <f>IFERROR(__xludf.DUMMYFUNCTION("""COMPUTED_VALUE"""),"UCF")</f>
        <v>UCF</v>
      </c>
      <c r="BD69" t="str">
        <f>IFERROR(__xludf.DUMMYFUNCTION("""COMPUTED_VALUE"""),"UCLA")</f>
        <v>UCLA</v>
      </c>
      <c r="BE69" t="str">
        <f>IFERROR(__xludf.DUMMYFUNCTION("""COMPUTED_VALUE"""),"UConn")</f>
        <v>UConn</v>
      </c>
      <c r="BF69" t="str">
        <f>IFERROR(__xludf.DUMMYFUNCTION("""COMPUTED_VALUE"""),"UL Monroe")</f>
        <v>UL Monroe</v>
      </c>
      <c r="BG69" t="str">
        <f>IFERROR(__xludf.DUMMYFUNCTION("""COMPUTED_VALUE"""),"UMASS")</f>
        <v>UMASS</v>
      </c>
      <c r="BH69" t="str">
        <f>IFERROR(__xludf.DUMMYFUNCTION("""COMPUTED_VALUE"""),"Utah State")</f>
        <v>Utah State</v>
      </c>
      <c r="BI69" t="str">
        <f>IFERROR(__xludf.DUMMYFUNCTION("""COMPUTED_VALUE"""),"UTEP")</f>
        <v>UTEP</v>
      </c>
      <c r="BJ69" t="str">
        <f>IFERROR(__xludf.DUMMYFUNCTION("""COMPUTED_VALUE"""),"Vanderbilt")</f>
        <v>Vanderbilt</v>
      </c>
      <c r="BK69" t="str">
        <f>IFERROR(__xludf.DUMMYFUNCTION("""COMPUTED_VALUE"""),"Virginia")</f>
        <v>Virginia</v>
      </c>
      <c r="BL69" t="str">
        <f>IFERROR(__xludf.DUMMYFUNCTION("""COMPUTED_VALUE"""),"Virginia Tech")</f>
        <v>Virginia Tech</v>
      </c>
      <c r="BM69" t="str">
        <f>IFERROR(__xludf.DUMMYFUNCTION("""COMPUTED_VALUE"""),"Wake Forest")</f>
        <v>Wake Forest</v>
      </c>
      <c r="BN69" t="str">
        <f>IFERROR(__xludf.DUMMYFUNCTION("""COMPUTED_VALUE"""),"Washington State")</f>
        <v>Washington State</v>
      </c>
      <c r="BO69" t="str">
        <f>IFERROR(__xludf.DUMMYFUNCTION("""COMPUTED_VALUE"""),"West Virginia")</f>
        <v>West Virginia</v>
      </c>
      <c r="BP69" t="str">
        <f>IFERROR(__xludf.DUMMYFUNCTION("""COMPUTED_VALUE"""),"Wisconsin")</f>
        <v>Wisconsin</v>
      </c>
      <c r="BQ69" t="str">
        <f>IFERROR(__xludf.DUMMYFUNCTION("""COMPUTED_VALUE"""),"Wyoming")</f>
        <v>Wyoming</v>
      </c>
    </row>
    <row r="70">
      <c r="A70" s="1">
        <v>69.0</v>
      </c>
      <c r="B70" t="str">
        <f>IFERROR(__xludf.DUMMYFUNCTION("split(join("","",sort(byrow('Teams-Conference'!A$2:A1000,lambda(rw,if(iserror(match(rw,DraftTracker!F$1:F70,0)),rw,""""))),1,1)),"","",1,1)"),"Air Force")</f>
        <v>Air Force</v>
      </c>
      <c r="C70" t="str">
        <f>IFERROR(__xludf.DUMMYFUNCTION("""COMPUTED_VALUE"""),"Akron")</f>
        <v>Akron</v>
      </c>
      <c r="D70" t="str">
        <f>IFERROR(__xludf.DUMMYFUNCTION("""COMPUTED_VALUE"""),"Appalachian State")</f>
        <v>Appalachian State</v>
      </c>
      <c r="E70" t="str">
        <f>IFERROR(__xludf.DUMMYFUNCTION("""COMPUTED_VALUE"""),"Arizona")</f>
        <v>Arizona</v>
      </c>
      <c r="F70" t="str">
        <f>IFERROR(__xludf.DUMMYFUNCTION("""COMPUTED_VALUE"""),"Arkansas")</f>
        <v>Arkansas</v>
      </c>
      <c r="G70" t="str">
        <f>IFERROR(__xludf.DUMMYFUNCTION("""COMPUTED_VALUE"""),"Arkansas State")</f>
        <v>Arkansas State</v>
      </c>
      <c r="H70" t="str">
        <f>IFERROR(__xludf.DUMMYFUNCTION("""COMPUTED_VALUE"""),"Ball State")</f>
        <v>Ball State</v>
      </c>
      <c r="I70" t="str">
        <f>IFERROR(__xludf.DUMMYFUNCTION("""COMPUTED_VALUE"""),"Boston College")</f>
        <v>Boston College</v>
      </c>
      <c r="J70" t="str">
        <f>IFERROR(__xludf.DUMMYFUNCTION("""COMPUTED_VALUE"""),"California")</f>
        <v>California</v>
      </c>
      <c r="K70" t="str">
        <f>IFERROR(__xludf.DUMMYFUNCTION("""COMPUTED_VALUE"""),"Charlotte")</f>
        <v>Charlotte</v>
      </c>
      <c r="L70" t="str">
        <f>IFERROR(__xludf.DUMMYFUNCTION("""COMPUTED_VALUE"""),"Cincinnati")</f>
        <v>Cincinnati</v>
      </c>
      <c r="M70" t="str">
        <f>IFERROR(__xludf.DUMMYFUNCTION("""COMPUTED_VALUE"""),"Coastal Carolina")</f>
        <v>Coastal Carolina</v>
      </c>
      <c r="N70" t="str">
        <f>IFERROR(__xludf.DUMMYFUNCTION("""COMPUTED_VALUE"""),"Colorado")</f>
        <v>Colorado</v>
      </c>
      <c r="O70" t="str">
        <f>IFERROR(__xludf.DUMMYFUNCTION("""COMPUTED_VALUE"""),"Delaware")</f>
        <v>Delaware</v>
      </c>
      <c r="P70" t="str">
        <f>IFERROR(__xludf.DUMMYFUNCTION("""COMPUTED_VALUE"""),"Duke")</f>
        <v>Duke</v>
      </c>
      <c r="Q70" t="str">
        <f>IFERROR(__xludf.DUMMYFUNCTION("""COMPUTED_VALUE"""),"EMU")</f>
        <v>EMU</v>
      </c>
      <c r="R70" t="str">
        <f>IFERROR(__xludf.DUMMYFUNCTION("""COMPUTED_VALUE"""),"Florida Intl")</f>
        <v>Florida Intl</v>
      </c>
      <c r="S70" t="str">
        <f>IFERROR(__xludf.DUMMYFUNCTION("""COMPUTED_VALUE"""),"Florida State")</f>
        <v>Florida State</v>
      </c>
      <c r="T70" t="str">
        <f>IFERROR(__xludf.DUMMYFUNCTION("""COMPUTED_VALUE"""),"Georgia State")</f>
        <v>Georgia State</v>
      </c>
      <c r="U70" t="str">
        <f>IFERROR(__xludf.DUMMYFUNCTION("""COMPUTED_VALUE"""),"Houston")</f>
        <v>Houston</v>
      </c>
      <c r="V70" t="str">
        <f>IFERROR(__xludf.DUMMYFUNCTION("""COMPUTED_VALUE"""),"Kennesaw State")</f>
        <v>Kennesaw State</v>
      </c>
      <c r="W70" t="str">
        <f>IFERROR(__xludf.DUMMYFUNCTION("""COMPUTED_VALUE"""),"Kent State")</f>
        <v>Kent State</v>
      </c>
      <c r="X70" t="str">
        <f>IFERROR(__xludf.DUMMYFUNCTION("""COMPUTED_VALUE"""),"Kentucky")</f>
        <v>Kentucky</v>
      </c>
      <c r="Y70" t="str">
        <f>IFERROR(__xludf.DUMMYFUNCTION("""COMPUTED_VALUE"""),"Marshall")</f>
        <v>Marshall</v>
      </c>
      <c r="Z70" t="str">
        <f>IFERROR(__xludf.DUMMYFUNCTION("""COMPUTED_VALUE"""),"Maryland")</f>
        <v>Maryland</v>
      </c>
      <c r="AA70" t="str">
        <f>IFERROR(__xludf.DUMMYFUNCTION("""COMPUTED_VALUE"""),"Michigan State")</f>
        <v>Michigan State</v>
      </c>
      <c r="AB70" t="str">
        <f>IFERROR(__xludf.DUMMYFUNCTION("""COMPUTED_VALUE"""),"Middle Tennessee")</f>
        <v>Middle Tennessee</v>
      </c>
      <c r="AC70" t="str">
        <f>IFERROR(__xludf.DUMMYFUNCTION("""COMPUTED_VALUE"""),"Mississippi State")</f>
        <v>Mississippi State</v>
      </c>
      <c r="AD70" t="str">
        <f>IFERROR(__xludf.DUMMYFUNCTION("""COMPUTED_VALUE"""),"Missouri State")</f>
        <v>Missouri State</v>
      </c>
      <c r="AE70" t="str">
        <f>IFERROR(__xludf.DUMMYFUNCTION("""COMPUTED_VALUE"""),"NC State")</f>
        <v>NC State</v>
      </c>
      <c r="AF70" t="str">
        <f>IFERROR(__xludf.DUMMYFUNCTION("""COMPUTED_VALUE"""),"Nevada")</f>
        <v>Nevada</v>
      </c>
      <c r="AG70" t="str">
        <f>IFERROR(__xludf.DUMMYFUNCTION("""COMPUTED_VALUE"""),"New Mexico")</f>
        <v>New Mexico</v>
      </c>
      <c r="AH70" t="str">
        <f>IFERROR(__xludf.DUMMYFUNCTION("""COMPUTED_VALUE"""),"New Mexico State")</f>
        <v>New Mexico State</v>
      </c>
      <c r="AI70" t="str">
        <f>IFERROR(__xludf.DUMMYFUNCTION("""COMPUTED_VALUE"""),"Northwestern")</f>
        <v>Northwestern</v>
      </c>
      <c r="AJ70" t="str">
        <f>IFERROR(__xludf.DUMMYFUNCTION("""COMPUTED_VALUE"""),"Oklahoma")</f>
        <v>Oklahoma</v>
      </c>
      <c r="AK70" t="str">
        <f>IFERROR(__xludf.DUMMYFUNCTION("""COMPUTED_VALUE"""),"Oklahoma State")</f>
        <v>Oklahoma State</v>
      </c>
      <c r="AL70" t="str">
        <f>IFERROR(__xludf.DUMMYFUNCTION("""COMPUTED_VALUE"""),"Old Dominion")</f>
        <v>Old Dominion</v>
      </c>
      <c r="AM70" t="str">
        <f>IFERROR(__xludf.DUMMYFUNCTION("""COMPUTED_VALUE"""),"Oregon State")</f>
        <v>Oregon State</v>
      </c>
      <c r="AN70" t="str">
        <f>IFERROR(__xludf.DUMMYFUNCTION("""COMPUTED_VALUE"""),"Pittsburgh")</f>
        <v>Pittsburgh</v>
      </c>
      <c r="AO70" t="str">
        <f>IFERROR(__xludf.DUMMYFUNCTION("""COMPUTED_VALUE"""),"Purdue")</f>
        <v>Purdue</v>
      </c>
      <c r="AP70" t="str">
        <f>IFERROR(__xludf.DUMMYFUNCTION("""COMPUTED_VALUE"""),"Rice")</f>
        <v>Rice</v>
      </c>
      <c r="AQ70" t="str">
        <f>IFERROR(__xludf.DUMMYFUNCTION("""COMPUTED_VALUE"""),"Rutgers")</f>
        <v>Rutgers</v>
      </c>
      <c r="AR70" t="str">
        <f>IFERROR(__xludf.DUMMYFUNCTION("""COMPUTED_VALUE"""),"Sam Houston")</f>
        <v>Sam Houston</v>
      </c>
      <c r="AS70" t="str">
        <f>IFERROR(__xludf.DUMMYFUNCTION("""COMPUTED_VALUE"""),"San Diego State")</f>
        <v>San Diego State</v>
      </c>
      <c r="AT70" t="str">
        <f>IFERROR(__xludf.DUMMYFUNCTION("""COMPUTED_VALUE"""),"Southern Mississippi")</f>
        <v>Southern Mississippi</v>
      </c>
      <c r="AU70" t="str">
        <f>IFERROR(__xludf.DUMMYFUNCTION("""COMPUTED_VALUE"""),"Stanford")</f>
        <v>Stanford</v>
      </c>
      <c r="AV70" t="str">
        <f>IFERROR(__xludf.DUMMYFUNCTION("""COMPUTED_VALUE"""),"Syracuse")</f>
        <v>Syracuse</v>
      </c>
      <c r="AW70" t="str">
        <f>IFERROR(__xludf.DUMMYFUNCTION("""COMPUTED_VALUE"""),"TCU")</f>
        <v>TCU</v>
      </c>
      <c r="AX70" t="str">
        <f>IFERROR(__xludf.DUMMYFUNCTION("""COMPUTED_VALUE"""),"Temple")</f>
        <v>Temple</v>
      </c>
      <c r="AY70" t="str">
        <f>IFERROR(__xludf.DUMMYFUNCTION("""COMPUTED_VALUE"""),"Troy")</f>
        <v>Troy</v>
      </c>
      <c r="AZ70" t="str">
        <f>IFERROR(__xludf.DUMMYFUNCTION("""COMPUTED_VALUE"""),"Tulsa")</f>
        <v>Tulsa</v>
      </c>
      <c r="BA70" t="str">
        <f>IFERROR(__xludf.DUMMYFUNCTION("""COMPUTED_VALUE"""),"UAB")</f>
        <v>UAB</v>
      </c>
      <c r="BB70" t="str">
        <f>IFERROR(__xludf.DUMMYFUNCTION("""COMPUTED_VALUE"""),"UCF")</f>
        <v>UCF</v>
      </c>
      <c r="BC70" t="str">
        <f>IFERROR(__xludf.DUMMYFUNCTION("""COMPUTED_VALUE"""),"UCLA")</f>
        <v>UCLA</v>
      </c>
      <c r="BD70" t="str">
        <f>IFERROR(__xludf.DUMMYFUNCTION("""COMPUTED_VALUE"""),"UConn")</f>
        <v>UConn</v>
      </c>
      <c r="BE70" t="str">
        <f>IFERROR(__xludf.DUMMYFUNCTION("""COMPUTED_VALUE"""),"UL Monroe")</f>
        <v>UL Monroe</v>
      </c>
      <c r="BF70" t="str">
        <f>IFERROR(__xludf.DUMMYFUNCTION("""COMPUTED_VALUE"""),"UMASS")</f>
        <v>UMASS</v>
      </c>
      <c r="BG70" t="str">
        <f>IFERROR(__xludf.DUMMYFUNCTION("""COMPUTED_VALUE"""),"Utah State")</f>
        <v>Utah State</v>
      </c>
      <c r="BH70" t="str">
        <f>IFERROR(__xludf.DUMMYFUNCTION("""COMPUTED_VALUE"""),"UTEP")</f>
        <v>UTEP</v>
      </c>
      <c r="BI70" t="str">
        <f>IFERROR(__xludf.DUMMYFUNCTION("""COMPUTED_VALUE"""),"Vanderbilt")</f>
        <v>Vanderbilt</v>
      </c>
      <c r="BJ70" t="str">
        <f>IFERROR(__xludf.DUMMYFUNCTION("""COMPUTED_VALUE"""),"Virginia")</f>
        <v>Virginia</v>
      </c>
      <c r="BK70" t="str">
        <f>IFERROR(__xludf.DUMMYFUNCTION("""COMPUTED_VALUE"""),"Virginia Tech")</f>
        <v>Virginia Tech</v>
      </c>
      <c r="BL70" t="str">
        <f>IFERROR(__xludf.DUMMYFUNCTION("""COMPUTED_VALUE"""),"Wake Forest")</f>
        <v>Wake Forest</v>
      </c>
      <c r="BM70" t="str">
        <f>IFERROR(__xludf.DUMMYFUNCTION("""COMPUTED_VALUE"""),"Washington State")</f>
        <v>Washington State</v>
      </c>
      <c r="BN70" t="str">
        <f>IFERROR(__xludf.DUMMYFUNCTION("""COMPUTED_VALUE"""),"West Virginia")</f>
        <v>West Virginia</v>
      </c>
      <c r="BO70" t="str">
        <f>IFERROR(__xludf.DUMMYFUNCTION("""COMPUTED_VALUE"""),"Wisconsin")</f>
        <v>Wisconsin</v>
      </c>
      <c r="BP70" t="str">
        <f>IFERROR(__xludf.DUMMYFUNCTION("""COMPUTED_VALUE"""),"Wyoming")</f>
        <v>Wyoming</v>
      </c>
    </row>
    <row r="71">
      <c r="A71" s="1">
        <v>70.0</v>
      </c>
      <c r="B71" t="str">
        <f>IFERROR(__xludf.DUMMYFUNCTION("split(join("","",sort(byrow('Teams-Conference'!A$2:A1000,lambda(rw,if(iserror(match(rw,DraftTracker!F$1:F71,0)),rw,""""))),1,1)),"","",1,1)"),"Air Force")</f>
        <v>Air Force</v>
      </c>
      <c r="C71" t="str">
        <f>IFERROR(__xludf.DUMMYFUNCTION("""COMPUTED_VALUE"""),"Akron")</f>
        <v>Akron</v>
      </c>
      <c r="D71" t="str">
        <f>IFERROR(__xludf.DUMMYFUNCTION("""COMPUTED_VALUE"""),"Appalachian State")</f>
        <v>Appalachian State</v>
      </c>
      <c r="E71" t="str">
        <f>IFERROR(__xludf.DUMMYFUNCTION("""COMPUTED_VALUE"""),"Arizona")</f>
        <v>Arizona</v>
      </c>
      <c r="F71" t="str">
        <f>IFERROR(__xludf.DUMMYFUNCTION("""COMPUTED_VALUE"""),"Arkansas")</f>
        <v>Arkansas</v>
      </c>
      <c r="G71" t="str">
        <f>IFERROR(__xludf.DUMMYFUNCTION("""COMPUTED_VALUE"""),"Arkansas State")</f>
        <v>Arkansas State</v>
      </c>
      <c r="H71" t="str">
        <f>IFERROR(__xludf.DUMMYFUNCTION("""COMPUTED_VALUE"""),"Ball State")</f>
        <v>Ball State</v>
      </c>
      <c r="I71" t="str">
        <f>IFERROR(__xludf.DUMMYFUNCTION("""COMPUTED_VALUE"""),"Boston College")</f>
        <v>Boston College</v>
      </c>
      <c r="J71" t="str">
        <f>IFERROR(__xludf.DUMMYFUNCTION("""COMPUTED_VALUE"""),"California")</f>
        <v>California</v>
      </c>
      <c r="K71" t="str">
        <f>IFERROR(__xludf.DUMMYFUNCTION("""COMPUTED_VALUE"""),"Charlotte")</f>
        <v>Charlotte</v>
      </c>
      <c r="L71" t="str">
        <f>IFERROR(__xludf.DUMMYFUNCTION("""COMPUTED_VALUE"""),"Cincinnati")</f>
        <v>Cincinnati</v>
      </c>
      <c r="M71" t="str">
        <f>IFERROR(__xludf.DUMMYFUNCTION("""COMPUTED_VALUE"""),"Coastal Carolina")</f>
        <v>Coastal Carolina</v>
      </c>
      <c r="N71" t="str">
        <f>IFERROR(__xludf.DUMMYFUNCTION("""COMPUTED_VALUE"""),"Colorado")</f>
        <v>Colorado</v>
      </c>
      <c r="O71" t="str">
        <f>IFERROR(__xludf.DUMMYFUNCTION("""COMPUTED_VALUE"""),"Delaware")</f>
        <v>Delaware</v>
      </c>
      <c r="P71" t="str">
        <f>IFERROR(__xludf.DUMMYFUNCTION("""COMPUTED_VALUE"""),"Duke")</f>
        <v>Duke</v>
      </c>
      <c r="Q71" t="str">
        <f>IFERROR(__xludf.DUMMYFUNCTION("""COMPUTED_VALUE"""),"Florida Intl")</f>
        <v>Florida Intl</v>
      </c>
      <c r="R71" t="str">
        <f>IFERROR(__xludf.DUMMYFUNCTION("""COMPUTED_VALUE"""),"Florida State")</f>
        <v>Florida State</v>
      </c>
      <c r="S71" t="str">
        <f>IFERROR(__xludf.DUMMYFUNCTION("""COMPUTED_VALUE"""),"Georgia State")</f>
        <v>Georgia State</v>
      </c>
      <c r="T71" t="str">
        <f>IFERROR(__xludf.DUMMYFUNCTION("""COMPUTED_VALUE"""),"Houston")</f>
        <v>Houston</v>
      </c>
      <c r="U71" t="str">
        <f>IFERROR(__xludf.DUMMYFUNCTION("""COMPUTED_VALUE"""),"Kennesaw State")</f>
        <v>Kennesaw State</v>
      </c>
      <c r="V71" t="str">
        <f>IFERROR(__xludf.DUMMYFUNCTION("""COMPUTED_VALUE"""),"Kent State")</f>
        <v>Kent State</v>
      </c>
      <c r="W71" t="str">
        <f>IFERROR(__xludf.DUMMYFUNCTION("""COMPUTED_VALUE"""),"Kentucky")</f>
        <v>Kentucky</v>
      </c>
      <c r="X71" t="str">
        <f>IFERROR(__xludf.DUMMYFUNCTION("""COMPUTED_VALUE"""),"Marshall")</f>
        <v>Marshall</v>
      </c>
      <c r="Y71" t="str">
        <f>IFERROR(__xludf.DUMMYFUNCTION("""COMPUTED_VALUE"""),"Maryland")</f>
        <v>Maryland</v>
      </c>
      <c r="Z71" t="str">
        <f>IFERROR(__xludf.DUMMYFUNCTION("""COMPUTED_VALUE"""),"Michigan State")</f>
        <v>Michigan State</v>
      </c>
      <c r="AA71" t="str">
        <f>IFERROR(__xludf.DUMMYFUNCTION("""COMPUTED_VALUE"""),"Middle Tennessee")</f>
        <v>Middle Tennessee</v>
      </c>
      <c r="AB71" t="str">
        <f>IFERROR(__xludf.DUMMYFUNCTION("""COMPUTED_VALUE"""),"Mississippi State")</f>
        <v>Mississippi State</v>
      </c>
      <c r="AC71" t="str">
        <f>IFERROR(__xludf.DUMMYFUNCTION("""COMPUTED_VALUE"""),"Missouri State")</f>
        <v>Missouri State</v>
      </c>
      <c r="AD71" t="str">
        <f>IFERROR(__xludf.DUMMYFUNCTION("""COMPUTED_VALUE"""),"NC State")</f>
        <v>NC State</v>
      </c>
      <c r="AE71" t="str">
        <f>IFERROR(__xludf.DUMMYFUNCTION("""COMPUTED_VALUE"""),"Nevada")</f>
        <v>Nevada</v>
      </c>
      <c r="AF71" t="str">
        <f>IFERROR(__xludf.DUMMYFUNCTION("""COMPUTED_VALUE"""),"New Mexico")</f>
        <v>New Mexico</v>
      </c>
      <c r="AG71" t="str">
        <f>IFERROR(__xludf.DUMMYFUNCTION("""COMPUTED_VALUE"""),"New Mexico State")</f>
        <v>New Mexico State</v>
      </c>
      <c r="AH71" t="str">
        <f>IFERROR(__xludf.DUMMYFUNCTION("""COMPUTED_VALUE"""),"Northwestern")</f>
        <v>Northwestern</v>
      </c>
      <c r="AI71" t="str">
        <f>IFERROR(__xludf.DUMMYFUNCTION("""COMPUTED_VALUE"""),"Oklahoma")</f>
        <v>Oklahoma</v>
      </c>
      <c r="AJ71" t="str">
        <f>IFERROR(__xludf.DUMMYFUNCTION("""COMPUTED_VALUE"""),"Oklahoma State")</f>
        <v>Oklahoma State</v>
      </c>
      <c r="AK71" t="str">
        <f>IFERROR(__xludf.DUMMYFUNCTION("""COMPUTED_VALUE"""),"Old Dominion")</f>
        <v>Old Dominion</v>
      </c>
      <c r="AL71" t="str">
        <f>IFERROR(__xludf.DUMMYFUNCTION("""COMPUTED_VALUE"""),"Oregon State")</f>
        <v>Oregon State</v>
      </c>
      <c r="AM71" t="str">
        <f>IFERROR(__xludf.DUMMYFUNCTION("""COMPUTED_VALUE"""),"Pittsburgh")</f>
        <v>Pittsburgh</v>
      </c>
      <c r="AN71" t="str">
        <f>IFERROR(__xludf.DUMMYFUNCTION("""COMPUTED_VALUE"""),"Purdue")</f>
        <v>Purdue</v>
      </c>
      <c r="AO71" t="str">
        <f>IFERROR(__xludf.DUMMYFUNCTION("""COMPUTED_VALUE"""),"Rice")</f>
        <v>Rice</v>
      </c>
      <c r="AP71" t="str">
        <f>IFERROR(__xludf.DUMMYFUNCTION("""COMPUTED_VALUE"""),"Rutgers")</f>
        <v>Rutgers</v>
      </c>
      <c r="AQ71" t="str">
        <f>IFERROR(__xludf.DUMMYFUNCTION("""COMPUTED_VALUE"""),"Sam Houston")</f>
        <v>Sam Houston</v>
      </c>
      <c r="AR71" t="str">
        <f>IFERROR(__xludf.DUMMYFUNCTION("""COMPUTED_VALUE"""),"San Diego State")</f>
        <v>San Diego State</v>
      </c>
      <c r="AS71" t="str">
        <f>IFERROR(__xludf.DUMMYFUNCTION("""COMPUTED_VALUE"""),"Southern Mississippi")</f>
        <v>Southern Mississippi</v>
      </c>
      <c r="AT71" t="str">
        <f>IFERROR(__xludf.DUMMYFUNCTION("""COMPUTED_VALUE"""),"Stanford")</f>
        <v>Stanford</v>
      </c>
      <c r="AU71" t="str">
        <f>IFERROR(__xludf.DUMMYFUNCTION("""COMPUTED_VALUE"""),"Syracuse")</f>
        <v>Syracuse</v>
      </c>
      <c r="AV71" t="str">
        <f>IFERROR(__xludf.DUMMYFUNCTION("""COMPUTED_VALUE"""),"TCU")</f>
        <v>TCU</v>
      </c>
      <c r="AW71" t="str">
        <f>IFERROR(__xludf.DUMMYFUNCTION("""COMPUTED_VALUE"""),"Temple")</f>
        <v>Temple</v>
      </c>
      <c r="AX71" t="str">
        <f>IFERROR(__xludf.DUMMYFUNCTION("""COMPUTED_VALUE"""),"Troy")</f>
        <v>Troy</v>
      </c>
      <c r="AY71" t="str">
        <f>IFERROR(__xludf.DUMMYFUNCTION("""COMPUTED_VALUE"""),"Tulsa")</f>
        <v>Tulsa</v>
      </c>
      <c r="AZ71" t="str">
        <f>IFERROR(__xludf.DUMMYFUNCTION("""COMPUTED_VALUE"""),"UAB")</f>
        <v>UAB</v>
      </c>
      <c r="BA71" t="str">
        <f>IFERROR(__xludf.DUMMYFUNCTION("""COMPUTED_VALUE"""),"UCF")</f>
        <v>UCF</v>
      </c>
      <c r="BB71" t="str">
        <f>IFERROR(__xludf.DUMMYFUNCTION("""COMPUTED_VALUE"""),"UCLA")</f>
        <v>UCLA</v>
      </c>
      <c r="BC71" t="str">
        <f>IFERROR(__xludf.DUMMYFUNCTION("""COMPUTED_VALUE"""),"UConn")</f>
        <v>UConn</v>
      </c>
      <c r="BD71" t="str">
        <f>IFERROR(__xludf.DUMMYFUNCTION("""COMPUTED_VALUE"""),"UL Monroe")</f>
        <v>UL Monroe</v>
      </c>
      <c r="BE71" t="str">
        <f>IFERROR(__xludf.DUMMYFUNCTION("""COMPUTED_VALUE"""),"UMASS")</f>
        <v>UMASS</v>
      </c>
      <c r="BF71" t="str">
        <f>IFERROR(__xludf.DUMMYFUNCTION("""COMPUTED_VALUE"""),"Utah State")</f>
        <v>Utah State</v>
      </c>
      <c r="BG71" t="str">
        <f>IFERROR(__xludf.DUMMYFUNCTION("""COMPUTED_VALUE"""),"UTEP")</f>
        <v>UTEP</v>
      </c>
      <c r="BH71" t="str">
        <f>IFERROR(__xludf.DUMMYFUNCTION("""COMPUTED_VALUE"""),"Vanderbilt")</f>
        <v>Vanderbilt</v>
      </c>
      <c r="BI71" t="str">
        <f>IFERROR(__xludf.DUMMYFUNCTION("""COMPUTED_VALUE"""),"Virginia")</f>
        <v>Virginia</v>
      </c>
      <c r="BJ71" t="str">
        <f>IFERROR(__xludf.DUMMYFUNCTION("""COMPUTED_VALUE"""),"Virginia Tech")</f>
        <v>Virginia Tech</v>
      </c>
      <c r="BK71" t="str">
        <f>IFERROR(__xludf.DUMMYFUNCTION("""COMPUTED_VALUE"""),"Wake Forest")</f>
        <v>Wake Forest</v>
      </c>
      <c r="BL71" t="str">
        <f>IFERROR(__xludf.DUMMYFUNCTION("""COMPUTED_VALUE"""),"Washington State")</f>
        <v>Washington State</v>
      </c>
      <c r="BM71" t="str">
        <f>IFERROR(__xludf.DUMMYFUNCTION("""COMPUTED_VALUE"""),"West Virginia")</f>
        <v>West Virginia</v>
      </c>
      <c r="BN71" t="str">
        <f>IFERROR(__xludf.DUMMYFUNCTION("""COMPUTED_VALUE"""),"Wisconsin")</f>
        <v>Wisconsin</v>
      </c>
      <c r="BO71" t="str">
        <f>IFERROR(__xludf.DUMMYFUNCTION("""COMPUTED_VALUE"""),"Wyoming")</f>
        <v>Wyoming</v>
      </c>
    </row>
    <row r="72">
      <c r="A72" s="1">
        <v>71.0</v>
      </c>
      <c r="B72" t="str">
        <f>IFERROR(__xludf.DUMMYFUNCTION("split(join("","",sort(byrow('Teams-Conference'!A$2:A1000,lambda(rw,if(iserror(match(rw,DraftTracker!F$1:F72,0)),rw,""""))),1,1)),"","",1,1)"),"Air Force")</f>
        <v>Air Force</v>
      </c>
      <c r="C72" t="str">
        <f>IFERROR(__xludf.DUMMYFUNCTION("""COMPUTED_VALUE"""),"Akron")</f>
        <v>Akron</v>
      </c>
      <c r="D72" t="str">
        <f>IFERROR(__xludf.DUMMYFUNCTION("""COMPUTED_VALUE"""),"Appalachian State")</f>
        <v>Appalachian State</v>
      </c>
      <c r="E72" t="str">
        <f>IFERROR(__xludf.DUMMYFUNCTION("""COMPUTED_VALUE"""),"Arizona")</f>
        <v>Arizona</v>
      </c>
      <c r="F72" t="str">
        <f>IFERROR(__xludf.DUMMYFUNCTION("""COMPUTED_VALUE"""),"Arkansas")</f>
        <v>Arkansas</v>
      </c>
      <c r="G72" t="str">
        <f>IFERROR(__xludf.DUMMYFUNCTION("""COMPUTED_VALUE"""),"Arkansas State")</f>
        <v>Arkansas State</v>
      </c>
      <c r="H72" t="str">
        <f>IFERROR(__xludf.DUMMYFUNCTION("""COMPUTED_VALUE"""),"Ball State")</f>
        <v>Ball State</v>
      </c>
      <c r="I72" t="str">
        <f>IFERROR(__xludf.DUMMYFUNCTION("""COMPUTED_VALUE"""),"Boston College")</f>
        <v>Boston College</v>
      </c>
      <c r="J72" t="str">
        <f>IFERROR(__xludf.DUMMYFUNCTION("""COMPUTED_VALUE"""),"California")</f>
        <v>California</v>
      </c>
      <c r="K72" t="str">
        <f>IFERROR(__xludf.DUMMYFUNCTION("""COMPUTED_VALUE"""),"Charlotte")</f>
        <v>Charlotte</v>
      </c>
      <c r="L72" t="str">
        <f>IFERROR(__xludf.DUMMYFUNCTION("""COMPUTED_VALUE"""),"Cincinnati")</f>
        <v>Cincinnati</v>
      </c>
      <c r="M72" t="str">
        <f>IFERROR(__xludf.DUMMYFUNCTION("""COMPUTED_VALUE"""),"Coastal Carolina")</f>
        <v>Coastal Carolina</v>
      </c>
      <c r="N72" t="str">
        <f>IFERROR(__xludf.DUMMYFUNCTION("""COMPUTED_VALUE"""),"Colorado")</f>
        <v>Colorado</v>
      </c>
      <c r="O72" t="str">
        <f>IFERROR(__xludf.DUMMYFUNCTION("""COMPUTED_VALUE"""),"Delaware")</f>
        <v>Delaware</v>
      </c>
      <c r="P72" t="str">
        <f>IFERROR(__xludf.DUMMYFUNCTION("""COMPUTED_VALUE"""),"Duke")</f>
        <v>Duke</v>
      </c>
      <c r="Q72" t="str">
        <f>IFERROR(__xludf.DUMMYFUNCTION("""COMPUTED_VALUE"""),"Florida Intl")</f>
        <v>Florida Intl</v>
      </c>
      <c r="R72" t="str">
        <f>IFERROR(__xludf.DUMMYFUNCTION("""COMPUTED_VALUE"""),"Florida State")</f>
        <v>Florida State</v>
      </c>
      <c r="S72" t="str">
        <f>IFERROR(__xludf.DUMMYFUNCTION("""COMPUTED_VALUE"""),"Georgia State")</f>
        <v>Georgia State</v>
      </c>
      <c r="T72" t="str">
        <f>IFERROR(__xludf.DUMMYFUNCTION("""COMPUTED_VALUE"""),"Houston")</f>
        <v>Houston</v>
      </c>
      <c r="U72" t="str">
        <f>IFERROR(__xludf.DUMMYFUNCTION("""COMPUTED_VALUE"""),"Kennesaw State")</f>
        <v>Kennesaw State</v>
      </c>
      <c r="V72" t="str">
        <f>IFERROR(__xludf.DUMMYFUNCTION("""COMPUTED_VALUE"""),"Kent State")</f>
        <v>Kent State</v>
      </c>
      <c r="W72" t="str">
        <f>IFERROR(__xludf.DUMMYFUNCTION("""COMPUTED_VALUE"""),"Kentucky")</f>
        <v>Kentucky</v>
      </c>
      <c r="X72" t="str">
        <f>IFERROR(__xludf.DUMMYFUNCTION("""COMPUTED_VALUE"""),"Marshall")</f>
        <v>Marshall</v>
      </c>
      <c r="Y72" t="str">
        <f>IFERROR(__xludf.DUMMYFUNCTION("""COMPUTED_VALUE"""),"Maryland")</f>
        <v>Maryland</v>
      </c>
      <c r="Z72" t="str">
        <f>IFERROR(__xludf.DUMMYFUNCTION("""COMPUTED_VALUE"""),"Michigan State")</f>
        <v>Michigan State</v>
      </c>
      <c r="AA72" t="str">
        <f>IFERROR(__xludf.DUMMYFUNCTION("""COMPUTED_VALUE"""),"Middle Tennessee")</f>
        <v>Middle Tennessee</v>
      </c>
      <c r="AB72" t="str">
        <f>IFERROR(__xludf.DUMMYFUNCTION("""COMPUTED_VALUE"""),"Mississippi State")</f>
        <v>Mississippi State</v>
      </c>
      <c r="AC72" t="str">
        <f>IFERROR(__xludf.DUMMYFUNCTION("""COMPUTED_VALUE"""),"Missouri State")</f>
        <v>Missouri State</v>
      </c>
      <c r="AD72" t="str">
        <f>IFERROR(__xludf.DUMMYFUNCTION("""COMPUTED_VALUE"""),"NC State")</f>
        <v>NC State</v>
      </c>
      <c r="AE72" t="str">
        <f>IFERROR(__xludf.DUMMYFUNCTION("""COMPUTED_VALUE"""),"Nevada")</f>
        <v>Nevada</v>
      </c>
      <c r="AF72" t="str">
        <f>IFERROR(__xludf.DUMMYFUNCTION("""COMPUTED_VALUE"""),"New Mexico")</f>
        <v>New Mexico</v>
      </c>
      <c r="AG72" t="str">
        <f>IFERROR(__xludf.DUMMYFUNCTION("""COMPUTED_VALUE"""),"New Mexico State")</f>
        <v>New Mexico State</v>
      </c>
      <c r="AH72" t="str">
        <f>IFERROR(__xludf.DUMMYFUNCTION("""COMPUTED_VALUE"""),"Northwestern")</f>
        <v>Northwestern</v>
      </c>
      <c r="AI72" t="str">
        <f>IFERROR(__xludf.DUMMYFUNCTION("""COMPUTED_VALUE"""),"Oklahoma State")</f>
        <v>Oklahoma State</v>
      </c>
      <c r="AJ72" t="str">
        <f>IFERROR(__xludf.DUMMYFUNCTION("""COMPUTED_VALUE"""),"Old Dominion")</f>
        <v>Old Dominion</v>
      </c>
      <c r="AK72" t="str">
        <f>IFERROR(__xludf.DUMMYFUNCTION("""COMPUTED_VALUE"""),"Oregon State")</f>
        <v>Oregon State</v>
      </c>
      <c r="AL72" t="str">
        <f>IFERROR(__xludf.DUMMYFUNCTION("""COMPUTED_VALUE"""),"Pittsburgh")</f>
        <v>Pittsburgh</v>
      </c>
      <c r="AM72" t="str">
        <f>IFERROR(__xludf.DUMMYFUNCTION("""COMPUTED_VALUE"""),"Purdue")</f>
        <v>Purdue</v>
      </c>
      <c r="AN72" t="str">
        <f>IFERROR(__xludf.DUMMYFUNCTION("""COMPUTED_VALUE"""),"Rice")</f>
        <v>Rice</v>
      </c>
      <c r="AO72" t="str">
        <f>IFERROR(__xludf.DUMMYFUNCTION("""COMPUTED_VALUE"""),"Rutgers")</f>
        <v>Rutgers</v>
      </c>
      <c r="AP72" t="str">
        <f>IFERROR(__xludf.DUMMYFUNCTION("""COMPUTED_VALUE"""),"Sam Houston")</f>
        <v>Sam Houston</v>
      </c>
      <c r="AQ72" t="str">
        <f>IFERROR(__xludf.DUMMYFUNCTION("""COMPUTED_VALUE"""),"San Diego State")</f>
        <v>San Diego State</v>
      </c>
      <c r="AR72" t="str">
        <f>IFERROR(__xludf.DUMMYFUNCTION("""COMPUTED_VALUE"""),"Southern Mississippi")</f>
        <v>Southern Mississippi</v>
      </c>
      <c r="AS72" t="str">
        <f>IFERROR(__xludf.DUMMYFUNCTION("""COMPUTED_VALUE"""),"Stanford")</f>
        <v>Stanford</v>
      </c>
      <c r="AT72" t="str">
        <f>IFERROR(__xludf.DUMMYFUNCTION("""COMPUTED_VALUE"""),"Syracuse")</f>
        <v>Syracuse</v>
      </c>
      <c r="AU72" t="str">
        <f>IFERROR(__xludf.DUMMYFUNCTION("""COMPUTED_VALUE"""),"TCU")</f>
        <v>TCU</v>
      </c>
      <c r="AV72" t="str">
        <f>IFERROR(__xludf.DUMMYFUNCTION("""COMPUTED_VALUE"""),"Temple")</f>
        <v>Temple</v>
      </c>
      <c r="AW72" t="str">
        <f>IFERROR(__xludf.DUMMYFUNCTION("""COMPUTED_VALUE"""),"Troy")</f>
        <v>Troy</v>
      </c>
      <c r="AX72" t="str">
        <f>IFERROR(__xludf.DUMMYFUNCTION("""COMPUTED_VALUE"""),"Tulsa")</f>
        <v>Tulsa</v>
      </c>
      <c r="AY72" t="str">
        <f>IFERROR(__xludf.DUMMYFUNCTION("""COMPUTED_VALUE"""),"UAB")</f>
        <v>UAB</v>
      </c>
      <c r="AZ72" t="str">
        <f>IFERROR(__xludf.DUMMYFUNCTION("""COMPUTED_VALUE"""),"UCF")</f>
        <v>UCF</v>
      </c>
      <c r="BA72" t="str">
        <f>IFERROR(__xludf.DUMMYFUNCTION("""COMPUTED_VALUE"""),"UCLA")</f>
        <v>UCLA</v>
      </c>
      <c r="BB72" t="str">
        <f>IFERROR(__xludf.DUMMYFUNCTION("""COMPUTED_VALUE"""),"UConn")</f>
        <v>UConn</v>
      </c>
      <c r="BC72" t="str">
        <f>IFERROR(__xludf.DUMMYFUNCTION("""COMPUTED_VALUE"""),"UL Monroe")</f>
        <v>UL Monroe</v>
      </c>
      <c r="BD72" t="str">
        <f>IFERROR(__xludf.DUMMYFUNCTION("""COMPUTED_VALUE"""),"UMASS")</f>
        <v>UMASS</v>
      </c>
      <c r="BE72" t="str">
        <f>IFERROR(__xludf.DUMMYFUNCTION("""COMPUTED_VALUE"""),"Utah State")</f>
        <v>Utah State</v>
      </c>
      <c r="BF72" t="str">
        <f>IFERROR(__xludf.DUMMYFUNCTION("""COMPUTED_VALUE"""),"UTEP")</f>
        <v>UTEP</v>
      </c>
      <c r="BG72" t="str">
        <f>IFERROR(__xludf.DUMMYFUNCTION("""COMPUTED_VALUE"""),"Vanderbilt")</f>
        <v>Vanderbilt</v>
      </c>
      <c r="BH72" t="str">
        <f>IFERROR(__xludf.DUMMYFUNCTION("""COMPUTED_VALUE"""),"Virginia")</f>
        <v>Virginia</v>
      </c>
      <c r="BI72" t="str">
        <f>IFERROR(__xludf.DUMMYFUNCTION("""COMPUTED_VALUE"""),"Virginia Tech")</f>
        <v>Virginia Tech</v>
      </c>
      <c r="BJ72" t="str">
        <f>IFERROR(__xludf.DUMMYFUNCTION("""COMPUTED_VALUE"""),"Wake Forest")</f>
        <v>Wake Forest</v>
      </c>
      <c r="BK72" t="str">
        <f>IFERROR(__xludf.DUMMYFUNCTION("""COMPUTED_VALUE"""),"Washington State")</f>
        <v>Washington State</v>
      </c>
      <c r="BL72" t="str">
        <f>IFERROR(__xludf.DUMMYFUNCTION("""COMPUTED_VALUE"""),"West Virginia")</f>
        <v>West Virginia</v>
      </c>
      <c r="BM72" t="str">
        <f>IFERROR(__xludf.DUMMYFUNCTION("""COMPUTED_VALUE"""),"Wisconsin")</f>
        <v>Wisconsin</v>
      </c>
      <c r="BN72" t="str">
        <f>IFERROR(__xludf.DUMMYFUNCTION("""COMPUTED_VALUE"""),"Wyoming")</f>
        <v>Wyoming</v>
      </c>
    </row>
    <row r="73">
      <c r="A73" s="1">
        <v>72.0</v>
      </c>
      <c r="B73" t="str">
        <f>IFERROR(__xludf.DUMMYFUNCTION("split(join("","",sort(byrow('Teams-Conference'!A$2:A1000,lambda(rw,if(iserror(match(rw,DraftTracker!F$1:F73,0)),rw,""""))),1,1)),"","",1,1)"),"Air Force")</f>
        <v>Air Force</v>
      </c>
      <c r="C73" t="str">
        <f>IFERROR(__xludf.DUMMYFUNCTION("""COMPUTED_VALUE"""),"Akron")</f>
        <v>Akron</v>
      </c>
      <c r="D73" t="str">
        <f>IFERROR(__xludf.DUMMYFUNCTION("""COMPUTED_VALUE"""),"Arizona")</f>
        <v>Arizona</v>
      </c>
      <c r="E73" t="str">
        <f>IFERROR(__xludf.DUMMYFUNCTION("""COMPUTED_VALUE"""),"Arkansas")</f>
        <v>Arkansas</v>
      </c>
      <c r="F73" t="str">
        <f>IFERROR(__xludf.DUMMYFUNCTION("""COMPUTED_VALUE"""),"Arkansas State")</f>
        <v>Arkansas State</v>
      </c>
      <c r="G73" t="str">
        <f>IFERROR(__xludf.DUMMYFUNCTION("""COMPUTED_VALUE"""),"Ball State")</f>
        <v>Ball State</v>
      </c>
      <c r="H73" t="str">
        <f>IFERROR(__xludf.DUMMYFUNCTION("""COMPUTED_VALUE"""),"Boston College")</f>
        <v>Boston College</v>
      </c>
      <c r="I73" t="str">
        <f>IFERROR(__xludf.DUMMYFUNCTION("""COMPUTED_VALUE"""),"California")</f>
        <v>California</v>
      </c>
      <c r="J73" t="str">
        <f>IFERROR(__xludf.DUMMYFUNCTION("""COMPUTED_VALUE"""),"Charlotte")</f>
        <v>Charlotte</v>
      </c>
      <c r="K73" t="str">
        <f>IFERROR(__xludf.DUMMYFUNCTION("""COMPUTED_VALUE"""),"Cincinnati")</f>
        <v>Cincinnati</v>
      </c>
      <c r="L73" t="str">
        <f>IFERROR(__xludf.DUMMYFUNCTION("""COMPUTED_VALUE"""),"Coastal Carolina")</f>
        <v>Coastal Carolina</v>
      </c>
      <c r="M73" t="str">
        <f>IFERROR(__xludf.DUMMYFUNCTION("""COMPUTED_VALUE"""),"Colorado")</f>
        <v>Colorado</v>
      </c>
      <c r="N73" t="str">
        <f>IFERROR(__xludf.DUMMYFUNCTION("""COMPUTED_VALUE"""),"Delaware")</f>
        <v>Delaware</v>
      </c>
      <c r="O73" t="str">
        <f>IFERROR(__xludf.DUMMYFUNCTION("""COMPUTED_VALUE"""),"Duke")</f>
        <v>Duke</v>
      </c>
      <c r="P73" t="str">
        <f>IFERROR(__xludf.DUMMYFUNCTION("""COMPUTED_VALUE"""),"Florida Intl")</f>
        <v>Florida Intl</v>
      </c>
      <c r="Q73" t="str">
        <f>IFERROR(__xludf.DUMMYFUNCTION("""COMPUTED_VALUE"""),"Florida State")</f>
        <v>Florida State</v>
      </c>
      <c r="R73" t="str">
        <f>IFERROR(__xludf.DUMMYFUNCTION("""COMPUTED_VALUE"""),"Georgia State")</f>
        <v>Georgia State</v>
      </c>
      <c r="S73" t="str">
        <f>IFERROR(__xludf.DUMMYFUNCTION("""COMPUTED_VALUE"""),"Houston")</f>
        <v>Houston</v>
      </c>
      <c r="T73" t="str">
        <f>IFERROR(__xludf.DUMMYFUNCTION("""COMPUTED_VALUE"""),"Kennesaw State")</f>
        <v>Kennesaw State</v>
      </c>
      <c r="U73" t="str">
        <f>IFERROR(__xludf.DUMMYFUNCTION("""COMPUTED_VALUE"""),"Kent State")</f>
        <v>Kent State</v>
      </c>
      <c r="V73" t="str">
        <f>IFERROR(__xludf.DUMMYFUNCTION("""COMPUTED_VALUE"""),"Kentucky")</f>
        <v>Kentucky</v>
      </c>
      <c r="W73" t="str">
        <f>IFERROR(__xludf.DUMMYFUNCTION("""COMPUTED_VALUE"""),"Marshall")</f>
        <v>Marshall</v>
      </c>
      <c r="X73" t="str">
        <f>IFERROR(__xludf.DUMMYFUNCTION("""COMPUTED_VALUE"""),"Maryland")</f>
        <v>Maryland</v>
      </c>
      <c r="Y73" t="str">
        <f>IFERROR(__xludf.DUMMYFUNCTION("""COMPUTED_VALUE"""),"Michigan State")</f>
        <v>Michigan State</v>
      </c>
      <c r="Z73" t="str">
        <f>IFERROR(__xludf.DUMMYFUNCTION("""COMPUTED_VALUE"""),"Middle Tennessee")</f>
        <v>Middle Tennessee</v>
      </c>
      <c r="AA73" t="str">
        <f>IFERROR(__xludf.DUMMYFUNCTION("""COMPUTED_VALUE"""),"Mississippi State")</f>
        <v>Mississippi State</v>
      </c>
      <c r="AB73" t="str">
        <f>IFERROR(__xludf.DUMMYFUNCTION("""COMPUTED_VALUE"""),"Missouri State")</f>
        <v>Missouri State</v>
      </c>
      <c r="AC73" t="str">
        <f>IFERROR(__xludf.DUMMYFUNCTION("""COMPUTED_VALUE"""),"NC State")</f>
        <v>NC State</v>
      </c>
      <c r="AD73" t="str">
        <f>IFERROR(__xludf.DUMMYFUNCTION("""COMPUTED_VALUE"""),"Nevada")</f>
        <v>Nevada</v>
      </c>
      <c r="AE73" t="str">
        <f>IFERROR(__xludf.DUMMYFUNCTION("""COMPUTED_VALUE"""),"New Mexico")</f>
        <v>New Mexico</v>
      </c>
      <c r="AF73" t="str">
        <f>IFERROR(__xludf.DUMMYFUNCTION("""COMPUTED_VALUE"""),"New Mexico State")</f>
        <v>New Mexico State</v>
      </c>
      <c r="AG73" t="str">
        <f>IFERROR(__xludf.DUMMYFUNCTION("""COMPUTED_VALUE"""),"Northwestern")</f>
        <v>Northwestern</v>
      </c>
      <c r="AH73" t="str">
        <f>IFERROR(__xludf.DUMMYFUNCTION("""COMPUTED_VALUE"""),"Oklahoma State")</f>
        <v>Oklahoma State</v>
      </c>
      <c r="AI73" t="str">
        <f>IFERROR(__xludf.DUMMYFUNCTION("""COMPUTED_VALUE"""),"Old Dominion")</f>
        <v>Old Dominion</v>
      </c>
      <c r="AJ73" t="str">
        <f>IFERROR(__xludf.DUMMYFUNCTION("""COMPUTED_VALUE"""),"Oregon State")</f>
        <v>Oregon State</v>
      </c>
      <c r="AK73" t="str">
        <f>IFERROR(__xludf.DUMMYFUNCTION("""COMPUTED_VALUE"""),"Pittsburgh")</f>
        <v>Pittsburgh</v>
      </c>
      <c r="AL73" t="str">
        <f>IFERROR(__xludf.DUMMYFUNCTION("""COMPUTED_VALUE"""),"Purdue")</f>
        <v>Purdue</v>
      </c>
      <c r="AM73" t="str">
        <f>IFERROR(__xludf.DUMMYFUNCTION("""COMPUTED_VALUE"""),"Rice")</f>
        <v>Rice</v>
      </c>
      <c r="AN73" t="str">
        <f>IFERROR(__xludf.DUMMYFUNCTION("""COMPUTED_VALUE"""),"Rutgers")</f>
        <v>Rutgers</v>
      </c>
      <c r="AO73" t="str">
        <f>IFERROR(__xludf.DUMMYFUNCTION("""COMPUTED_VALUE"""),"Sam Houston")</f>
        <v>Sam Houston</v>
      </c>
      <c r="AP73" t="str">
        <f>IFERROR(__xludf.DUMMYFUNCTION("""COMPUTED_VALUE"""),"San Diego State")</f>
        <v>San Diego State</v>
      </c>
      <c r="AQ73" t="str">
        <f>IFERROR(__xludf.DUMMYFUNCTION("""COMPUTED_VALUE"""),"Southern Mississippi")</f>
        <v>Southern Mississippi</v>
      </c>
      <c r="AR73" t="str">
        <f>IFERROR(__xludf.DUMMYFUNCTION("""COMPUTED_VALUE"""),"Stanford")</f>
        <v>Stanford</v>
      </c>
      <c r="AS73" t="str">
        <f>IFERROR(__xludf.DUMMYFUNCTION("""COMPUTED_VALUE"""),"Syracuse")</f>
        <v>Syracuse</v>
      </c>
      <c r="AT73" t="str">
        <f>IFERROR(__xludf.DUMMYFUNCTION("""COMPUTED_VALUE"""),"TCU")</f>
        <v>TCU</v>
      </c>
      <c r="AU73" t="str">
        <f>IFERROR(__xludf.DUMMYFUNCTION("""COMPUTED_VALUE"""),"Temple")</f>
        <v>Temple</v>
      </c>
      <c r="AV73" t="str">
        <f>IFERROR(__xludf.DUMMYFUNCTION("""COMPUTED_VALUE"""),"Troy")</f>
        <v>Troy</v>
      </c>
      <c r="AW73" t="str">
        <f>IFERROR(__xludf.DUMMYFUNCTION("""COMPUTED_VALUE"""),"Tulsa")</f>
        <v>Tulsa</v>
      </c>
      <c r="AX73" t="str">
        <f>IFERROR(__xludf.DUMMYFUNCTION("""COMPUTED_VALUE"""),"UAB")</f>
        <v>UAB</v>
      </c>
      <c r="AY73" t="str">
        <f>IFERROR(__xludf.DUMMYFUNCTION("""COMPUTED_VALUE"""),"UCF")</f>
        <v>UCF</v>
      </c>
      <c r="AZ73" t="str">
        <f>IFERROR(__xludf.DUMMYFUNCTION("""COMPUTED_VALUE"""),"UCLA")</f>
        <v>UCLA</v>
      </c>
      <c r="BA73" t="str">
        <f>IFERROR(__xludf.DUMMYFUNCTION("""COMPUTED_VALUE"""),"UConn")</f>
        <v>UConn</v>
      </c>
      <c r="BB73" t="str">
        <f>IFERROR(__xludf.DUMMYFUNCTION("""COMPUTED_VALUE"""),"UL Monroe")</f>
        <v>UL Monroe</v>
      </c>
      <c r="BC73" t="str">
        <f>IFERROR(__xludf.DUMMYFUNCTION("""COMPUTED_VALUE"""),"UMASS")</f>
        <v>UMASS</v>
      </c>
      <c r="BD73" t="str">
        <f>IFERROR(__xludf.DUMMYFUNCTION("""COMPUTED_VALUE"""),"Utah State")</f>
        <v>Utah State</v>
      </c>
      <c r="BE73" t="str">
        <f>IFERROR(__xludf.DUMMYFUNCTION("""COMPUTED_VALUE"""),"UTEP")</f>
        <v>UTEP</v>
      </c>
      <c r="BF73" t="str">
        <f>IFERROR(__xludf.DUMMYFUNCTION("""COMPUTED_VALUE"""),"Vanderbilt")</f>
        <v>Vanderbilt</v>
      </c>
      <c r="BG73" t="str">
        <f>IFERROR(__xludf.DUMMYFUNCTION("""COMPUTED_VALUE"""),"Virginia")</f>
        <v>Virginia</v>
      </c>
      <c r="BH73" t="str">
        <f>IFERROR(__xludf.DUMMYFUNCTION("""COMPUTED_VALUE"""),"Virginia Tech")</f>
        <v>Virginia Tech</v>
      </c>
      <c r="BI73" t="str">
        <f>IFERROR(__xludf.DUMMYFUNCTION("""COMPUTED_VALUE"""),"Wake Forest")</f>
        <v>Wake Forest</v>
      </c>
      <c r="BJ73" t="str">
        <f>IFERROR(__xludf.DUMMYFUNCTION("""COMPUTED_VALUE"""),"Washington State")</f>
        <v>Washington State</v>
      </c>
      <c r="BK73" t="str">
        <f>IFERROR(__xludf.DUMMYFUNCTION("""COMPUTED_VALUE"""),"West Virginia")</f>
        <v>West Virginia</v>
      </c>
      <c r="BL73" t="str">
        <f>IFERROR(__xludf.DUMMYFUNCTION("""COMPUTED_VALUE"""),"Wisconsin")</f>
        <v>Wisconsin</v>
      </c>
      <c r="BM73" t="str">
        <f>IFERROR(__xludf.DUMMYFUNCTION("""COMPUTED_VALUE"""),"Wyoming")</f>
        <v>Wyoming</v>
      </c>
    </row>
    <row r="74">
      <c r="A74" s="1">
        <v>73.0</v>
      </c>
      <c r="B74" t="str">
        <f>IFERROR(__xludf.DUMMYFUNCTION("split(join("","",sort(byrow('Teams-Conference'!A$2:A1000,lambda(rw,if(iserror(match(rw,DraftTracker!F$1:F74,0)),rw,""""))),1,1)),"","",1,1)"),"Akron")</f>
        <v>Akron</v>
      </c>
      <c r="C74" t="str">
        <f>IFERROR(__xludf.DUMMYFUNCTION("""COMPUTED_VALUE"""),"Arizona")</f>
        <v>Arizona</v>
      </c>
      <c r="D74" t="str">
        <f>IFERROR(__xludf.DUMMYFUNCTION("""COMPUTED_VALUE"""),"Arkansas")</f>
        <v>Arkansas</v>
      </c>
      <c r="E74" t="str">
        <f>IFERROR(__xludf.DUMMYFUNCTION("""COMPUTED_VALUE"""),"Arkansas State")</f>
        <v>Arkansas State</v>
      </c>
      <c r="F74" t="str">
        <f>IFERROR(__xludf.DUMMYFUNCTION("""COMPUTED_VALUE"""),"Ball State")</f>
        <v>Ball State</v>
      </c>
      <c r="G74" t="str">
        <f>IFERROR(__xludf.DUMMYFUNCTION("""COMPUTED_VALUE"""),"Boston College")</f>
        <v>Boston College</v>
      </c>
      <c r="H74" t="str">
        <f>IFERROR(__xludf.DUMMYFUNCTION("""COMPUTED_VALUE"""),"California")</f>
        <v>California</v>
      </c>
      <c r="I74" t="str">
        <f>IFERROR(__xludf.DUMMYFUNCTION("""COMPUTED_VALUE"""),"Charlotte")</f>
        <v>Charlotte</v>
      </c>
      <c r="J74" t="str">
        <f>IFERROR(__xludf.DUMMYFUNCTION("""COMPUTED_VALUE"""),"Cincinnati")</f>
        <v>Cincinnati</v>
      </c>
      <c r="K74" t="str">
        <f>IFERROR(__xludf.DUMMYFUNCTION("""COMPUTED_VALUE"""),"Coastal Carolina")</f>
        <v>Coastal Carolina</v>
      </c>
      <c r="L74" t="str">
        <f>IFERROR(__xludf.DUMMYFUNCTION("""COMPUTED_VALUE"""),"Colorado")</f>
        <v>Colorado</v>
      </c>
      <c r="M74" t="str">
        <f>IFERROR(__xludf.DUMMYFUNCTION("""COMPUTED_VALUE"""),"Delaware")</f>
        <v>Delaware</v>
      </c>
      <c r="N74" t="str">
        <f>IFERROR(__xludf.DUMMYFUNCTION("""COMPUTED_VALUE"""),"Duke")</f>
        <v>Duke</v>
      </c>
      <c r="O74" t="str">
        <f>IFERROR(__xludf.DUMMYFUNCTION("""COMPUTED_VALUE"""),"Florida Intl")</f>
        <v>Florida Intl</v>
      </c>
      <c r="P74" t="str">
        <f>IFERROR(__xludf.DUMMYFUNCTION("""COMPUTED_VALUE"""),"Florida State")</f>
        <v>Florida State</v>
      </c>
      <c r="Q74" t="str">
        <f>IFERROR(__xludf.DUMMYFUNCTION("""COMPUTED_VALUE"""),"Georgia State")</f>
        <v>Georgia State</v>
      </c>
      <c r="R74" t="str">
        <f>IFERROR(__xludf.DUMMYFUNCTION("""COMPUTED_VALUE"""),"Houston")</f>
        <v>Houston</v>
      </c>
      <c r="S74" t="str">
        <f>IFERROR(__xludf.DUMMYFUNCTION("""COMPUTED_VALUE"""),"Kennesaw State")</f>
        <v>Kennesaw State</v>
      </c>
      <c r="T74" t="str">
        <f>IFERROR(__xludf.DUMMYFUNCTION("""COMPUTED_VALUE"""),"Kent State")</f>
        <v>Kent State</v>
      </c>
      <c r="U74" t="str">
        <f>IFERROR(__xludf.DUMMYFUNCTION("""COMPUTED_VALUE"""),"Kentucky")</f>
        <v>Kentucky</v>
      </c>
      <c r="V74" t="str">
        <f>IFERROR(__xludf.DUMMYFUNCTION("""COMPUTED_VALUE"""),"Marshall")</f>
        <v>Marshall</v>
      </c>
      <c r="W74" t="str">
        <f>IFERROR(__xludf.DUMMYFUNCTION("""COMPUTED_VALUE"""),"Maryland")</f>
        <v>Maryland</v>
      </c>
      <c r="X74" t="str">
        <f>IFERROR(__xludf.DUMMYFUNCTION("""COMPUTED_VALUE"""),"Michigan State")</f>
        <v>Michigan State</v>
      </c>
      <c r="Y74" t="str">
        <f>IFERROR(__xludf.DUMMYFUNCTION("""COMPUTED_VALUE"""),"Middle Tennessee")</f>
        <v>Middle Tennessee</v>
      </c>
      <c r="Z74" t="str">
        <f>IFERROR(__xludf.DUMMYFUNCTION("""COMPUTED_VALUE"""),"Mississippi State")</f>
        <v>Mississippi State</v>
      </c>
      <c r="AA74" t="str">
        <f>IFERROR(__xludf.DUMMYFUNCTION("""COMPUTED_VALUE"""),"Missouri State")</f>
        <v>Missouri State</v>
      </c>
      <c r="AB74" t="str">
        <f>IFERROR(__xludf.DUMMYFUNCTION("""COMPUTED_VALUE"""),"NC State")</f>
        <v>NC State</v>
      </c>
      <c r="AC74" t="str">
        <f>IFERROR(__xludf.DUMMYFUNCTION("""COMPUTED_VALUE"""),"Nevada")</f>
        <v>Nevada</v>
      </c>
      <c r="AD74" t="str">
        <f>IFERROR(__xludf.DUMMYFUNCTION("""COMPUTED_VALUE"""),"New Mexico")</f>
        <v>New Mexico</v>
      </c>
      <c r="AE74" t="str">
        <f>IFERROR(__xludf.DUMMYFUNCTION("""COMPUTED_VALUE"""),"New Mexico State")</f>
        <v>New Mexico State</v>
      </c>
      <c r="AF74" t="str">
        <f>IFERROR(__xludf.DUMMYFUNCTION("""COMPUTED_VALUE"""),"Northwestern")</f>
        <v>Northwestern</v>
      </c>
      <c r="AG74" t="str">
        <f>IFERROR(__xludf.DUMMYFUNCTION("""COMPUTED_VALUE"""),"Oklahoma State")</f>
        <v>Oklahoma State</v>
      </c>
      <c r="AH74" t="str">
        <f>IFERROR(__xludf.DUMMYFUNCTION("""COMPUTED_VALUE"""),"Old Dominion")</f>
        <v>Old Dominion</v>
      </c>
      <c r="AI74" t="str">
        <f>IFERROR(__xludf.DUMMYFUNCTION("""COMPUTED_VALUE"""),"Oregon State")</f>
        <v>Oregon State</v>
      </c>
      <c r="AJ74" t="str">
        <f>IFERROR(__xludf.DUMMYFUNCTION("""COMPUTED_VALUE"""),"Pittsburgh")</f>
        <v>Pittsburgh</v>
      </c>
      <c r="AK74" t="str">
        <f>IFERROR(__xludf.DUMMYFUNCTION("""COMPUTED_VALUE"""),"Purdue")</f>
        <v>Purdue</v>
      </c>
      <c r="AL74" t="str">
        <f>IFERROR(__xludf.DUMMYFUNCTION("""COMPUTED_VALUE"""),"Rice")</f>
        <v>Rice</v>
      </c>
      <c r="AM74" t="str">
        <f>IFERROR(__xludf.DUMMYFUNCTION("""COMPUTED_VALUE"""),"Rutgers")</f>
        <v>Rutgers</v>
      </c>
      <c r="AN74" t="str">
        <f>IFERROR(__xludf.DUMMYFUNCTION("""COMPUTED_VALUE"""),"Sam Houston")</f>
        <v>Sam Houston</v>
      </c>
      <c r="AO74" t="str">
        <f>IFERROR(__xludf.DUMMYFUNCTION("""COMPUTED_VALUE"""),"San Diego State")</f>
        <v>San Diego State</v>
      </c>
      <c r="AP74" t="str">
        <f>IFERROR(__xludf.DUMMYFUNCTION("""COMPUTED_VALUE"""),"Southern Mississippi")</f>
        <v>Southern Mississippi</v>
      </c>
      <c r="AQ74" t="str">
        <f>IFERROR(__xludf.DUMMYFUNCTION("""COMPUTED_VALUE"""),"Stanford")</f>
        <v>Stanford</v>
      </c>
      <c r="AR74" t="str">
        <f>IFERROR(__xludf.DUMMYFUNCTION("""COMPUTED_VALUE"""),"Syracuse")</f>
        <v>Syracuse</v>
      </c>
      <c r="AS74" t="str">
        <f>IFERROR(__xludf.DUMMYFUNCTION("""COMPUTED_VALUE"""),"TCU")</f>
        <v>TCU</v>
      </c>
      <c r="AT74" t="str">
        <f>IFERROR(__xludf.DUMMYFUNCTION("""COMPUTED_VALUE"""),"Temple")</f>
        <v>Temple</v>
      </c>
      <c r="AU74" t="str">
        <f>IFERROR(__xludf.DUMMYFUNCTION("""COMPUTED_VALUE"""),"Troy")</f>
        <v>Troy</v>
      </c>
      <c r="AV74" t="str">
        <f>IFERROR(__xludf.DUMMYFUNCTION("""COMPUTED_VALUE"""),"Tulsa")</f>
        <v>Tulsa</v>
      </c>
      <c r="AW74" t="str">
        <f>IFERROR(__xludf.DUMMYFUNCTION("""COMPUTED_VALUE"""),"UAB")</f>
        <v>UAB</v>
      </c>
      <c r="AX74" t="str">
        <f>IFERROR(__xludf.DUMMYFUNCTION("""COMPUTED_VALUE"""),"UCF")</f>
        <v>UCF</v>
      </c>
      <c r="AY74" t="str">
        <f>IFERROR(__xludf.DUMMYFUNCTION("""COMPUTED_VALUE"""),"UCLA")</f>
        <v>UCLA</v>
      </c>
      <c r="AZ74" t="str">
        <f>IFERROR(__xludf.DUMMYFUNCTION("""COMPUTED_VALUE"""),"UConn")</f>
        <v>UConn</v>
      </c>
      <c r="BA74" t="str">
        <f>IFERROR(__xludf.DUMMYFUNCTION("""COMPUTED_VALUE"""),"UL Monroe")</f>
        <v>UL Monroe</v>
      </c>
      <c r="BB74" t="str">
        <f>IFERROR(__xludf.DUMMYFUNCTION("""COMPUTED_VALUE"""),"UMASS")</f>
        <v>UMASS</v>
      </c>
      <c r="BC74" t="str">
        <f>IFERROR(__xludf.DUMMYFUNCTION("""COMPUTED_VALUE"""),"Utah State")</f>
        <v>Utah State</v>
      </c>
      <c r="BD74" t="str">
        <f>IFERROR(__xludf.DUMMYFUNCTION("""COMPUTED_VALUE"""),"UTEP")</f>
        <v>UTEP</v>
      </c>
      <c r="BE74" t="str">
        <f>IFERROR(__xludf.DUMMYFUNCTION("""COMPUTED_VALUE"""),"Vanderbilt")</f>
        <v>Vanderbilt</v>
      </c>
      <c r="BF74" t="str">
        <f>IFERROR(__xludf.DUMMYFUNCTION("""COMPUTED_VALUE"""),"Virginia")</f>
        <v>Virginia</v>
      </c>
      <c r="BG74" t="str">
        <f>IFERROR(__xludf.DUMMYFUNCTION("""COMPUTED_VALUE"""),"Virginia Tech")</f>
        <v>Virginia Tech</v>
      </c>
      <c r="BH74" t="str">
        <f>IFERROR(__xludf.DUMMYFUNCTION("""COMPUTED_VALUE"""),"Wake Forest")</f>
        <v>Wake Forest</v>
      </c>
      <c r="BI74" t="str">
        <f>IFERROR(__xludf.DUMMYFUNCTION("""COMPUTED_VALUE"""),"Washington State")</f>
        <v>Washington State</v>
      </c>
      <c r="BJ74" t="str">
        <f>IFERROR(__xludf.DUMMYFUNCTION("""COMPUTED_VALUE"""),"West Virginia")</f>
        <v>West Virginia</v>
      </c>
      <c r="BK74" t="str">
        <f>IFERROR(__xludf.DUMMYFUNCTION("""COMPUTED_VALUE"""),"Wisconsin")</f>
        <v>Wisconsin</v>
      </c>
      <c r="BL74" t="str">
        <f>IFERROR(__xludf.DUMMYFUNCTION("""COMPUTED_VALUE"""),"Wyoming")</f>
        <v>Wyoming</v>
      </c>
    </row>
    <row r="75">
      <c r="A75" s="1">
        <v>74.0</v>
      </c>
      <c r="B75" t="str">
        <f>IFERROR(__xludf.DUMMYFUNCTION("split(join("","",sort(byrow('Teams-Conference'!A$2:A1000,lambda(rw,if(iserror(match(rw,DraftTracker!F$1:F75,0)),rw,""""))),1,1)),"","",1,1)"),"Akron")</f>
        <v>Akron</v>
      </c>
      <c r="C75" t="str">
        <f>IFERROR(__xludf.DUMMYFUNCTION("""COMPUTED_VALUE"""),"Arizona")</f>
        <v>Arizona</v>
      </c>
      <c r="D75" t="str">
        <f>IFERROR(__xludf.DUMMYFUNCTION("""COMPUTED_VALUE"""),"Arkansas")</f>
        <v>Arkansas</v>
      </c>
      <c r="E75" t="str">
        <f>IFERROR(__xludf.DUMMYFUNCTION("""COMPUTED_VALUE"""),"Arkansas State")</f>
        <v>Arkansas State</v>
      </c>
      <c r="F75" t="str">
        <f>IFERROR(__xludf.DUMMYFUNCTION("""COMPUTED_VALUE"""),"Ball State")</f>
        <v>Ball State</v>
      </c>
      <c r="G75" t="str">
        <f>IFERROR(__xludf.DUMMYFUNCTION("""COMPUTED_VALUE"""),"Boston College")</f>
        <v>Boston College</v>
      </c>
      <c r="H75" t="str">
        <f>IFERROR(__xludf.DUMMYFUNCTION("""COMPUTED_VALUE"""),"California")</f>
        <v>California</v>
      </c>
      <c r="I75" t="str">
        <f>IFERROR(__xludf.DUMMYFUNCTION("""COMPUTED_VALUE"""),"Charlotte")</f>
        <v>Charlotte</v>
      </c>
      <c r="J75" t="str">
        <f>IFERROR(__xludf.DUMMYFUNCTION("""COMPUTED_VALUE"""),"Cincinnati")</f>
        <v>Cincinnati</v>
      </c>
      <c r="K75" t="str">
        <f>IFERROR(__xludf.DUMMYFUNCTION("""COMPUTED_VALUE"""),"Coastal Carolina")</f>
        <v>Coastal Carolina</v>
      </c>
      <c r="L75" t="str">
        <f>IFERROR(__xludf.DUMMYFUNCTION("""COMPUTED_VALUE"""),"Colorado")</f>
        <v>Colorado</v>
      </c>
      <c r="M75" t="str">
        <f>IFERROR(__xludf.DUMMYFUNCTION("""COMPUTED_VALUE"""),"Delaware")</f>
        <v>Delaware</v>
      </c>
      <c r="N75" t="str">
        <f>IFERROR(__xludf.DUMMYFUNCTION("""COMPUTED_VALUE"""),"Duke")</f>
        <v>Duke</v>
      </c>
      <c r="O75" t="str">
        <f>IFERROR(__xludf.DUMMYFUNCTION("""COMPUTED_VALUE"""),"Florida Intl")</f>
        <v>Florida Intl</v>
      </c>
      <c r="P75" t="str">
        <f>IFERROR(__xludf.DUMMYFUNCTION("""COMPUTED_VALUE"""),"Florida State")</f>
        <v>Florida State</v>
      </c>
      <c r="Q75" t="str">
        <f>IFERROR(__xludf.DUMMYFUNCTION("""COMPUTED_VALUE"""),"Georgia State")</f>
        <v>Georgia State</v>
      </c>
      <c r="R75" t="str">
        <f>IFERROR(__xludf.DUMMYFUNCTION("""COMPUTED_VALUE"""),"Houston")</f>
        <v>Houston</v>
      </c>
      <c r="S75" t="str">
        <f>IFERROR(__xludf.DUMMYFUNCTION("""COMPUTED_VALUE"""),"Kennesaw State")</f>
        <v>Kennesaw State</v>
      </c>
      <c r="T75" t="str">
        <f>IFERROR(__xludf.DUMMYFUNCTION("""COMPUTED_VALUE"""),"Kent State")</f>
        <v>Kent State</v>
      </c>
      <c r="U75" t="str">
        <f>IFERROR(__xludf.DUMMYFUNCTION("""COMPUTED_VALUE"""),"Kentucky")</f>
        <v>Kentucky</v>
      </c>
      <c r="V75" t="str">
        <f>IFERROR(__xludf.DUMMYFUNCTION("""COMPUTED_VALUE"""),"Marshall")</f>
        <v>Marshall</v>
      </c>
      <c r="W75" t="str">
        <f>IFERROR(__xludf.DUMMYFUNCTION("""COMPUTED_VALUE"""),"Maryland")</f>
        <v>Maryland</v>
      </c>
      <c r="X75" t="str">
        <f>IFERROR(__xludf.DUMMYFUNCTION("""COMPUTED_VALUE"""),"Michigan State")</f>
        <v>Michigan State</v>
      </c>
      <c r="Y75" t="str">
        <f>IFERROR(__xludf.DUMMYFUNCTION("""COMPUTED_VALUE"""),"Middle Tennessee")</f>
        <v>Middle Tennessee</v>
      </c>
      <c r="Z75" t="str">
        <f>IFERROR(__xludf.DUMMYFUNCTION("""COMPUTED_VALUE"""),"Mississippi State")</f>
        <v>Mississippi State</v>
      </c>
      <c r="AA75" t="str">
        <f>IFERROR(__xludf.DUMMYFUNCTION("""COMPUTED_VALUE"""),"Missouri State")</f>
        <v>Missouri State</v>
      </c>
      <c r="AB75" t="str">
        <f>IFERROR(__xludf.DUMMYFUNCTION("""COMPUTED_VALUE"""),"NC State")</f>
        <v>NC State</v>
      </c>
      <c r="AC75" t="str">
        <f>IFERROR(__xludf.DUMMYFUNCTION("""COMPUTED_VALUE"""),"Nevada")</f>
        <v>Nevada</v>
      </c>
      <c r="AD75" t="str">
        <f>IFERROR(__xludf.DUMMYFUNCTION("""COMPUTED_VALUE"""),"New Mexico")</f>
        <v>New Mexico</v>
      </c>
      <c r="AE75" t="str">
        <f>IFERROR(__xludf.DUMMYFUNCTION("""COMPUTED_VALUE"""),"New Mexico State")</f>
        <v>New Mexico State</v>
      </c>
      <c r="AF75" t="str">
        <f>IFERROR(__xludf.DUMMYFUNCTION("""COMPUTED_VALUE"""),"Northwestern")</f>
        <v>Northwestern</v>
      </c>
      <c r="AG75" t="str">
        <f>IFERROR(__xludf.DUMMYFUNCTION("""COMPUTED_VALUE"""),"Oklahoma State")</f>
        <v>Oklahoma State</v>
      </c>
      <c r="AH75" t="str">
        <f>IFERROR(__xludf.DUMMYFUNCTION("""COMPUTED_VALUE"""),"Old Dominion")</f>
        <v>Old Dominion</v>
      </c>
      <c r="AI75" t="str">
        <f>IFERROR(__xludf.DUMMYFUNCTION("""COMPUTED_VALUE"""),"Oregon State")</f>
        <v>Oregon State</v>
      </c>
      <c r="AJ75" t="str">
        <f>IFERROR(__xludf.DUMMYFUNCTION("""COMPUTED_VALUE"""),"Pittsburgh")</f>
        <v>Pittsburgh</v>
      </c>
      <c r="AK75" t="str">
        <f>IFERROR(__xludf.DUMMYFUNCTION("""COMPUTED_VALUE"""),"Purdue")</f>
        <v>Purdue</v>
      </c>
      <c r="AL75" t="str">
        <f>IFERROR(__xludf.DUMMYFUNCTION("""COMPUTED_VALUE"""),"Rice")</f>
        <v>Rice</v>
      </c>
      <c r="AM75" t="str">
        <f>IFERROR(__xludf.DUMMYFUNCTION("""COMPUTED_VALUE"""),"Rutgers")</f>
        <v>Rutgers</v>
      </c>
      <c r="AN75" t="str">
        <f>IFERROR(__xludf.DUMMYFUNCTION("""COMPUTED_VALUE"""),"Sam Houston")</f>
        <v>Sam Houston</v>
      </c>
      <c r="AO75" t="str">
        <f>IFERROR(__xludf.DUMMYFUNCTION("""COMPUTED_VALUE"""),"San Diego State")</f>
        <v>San Diego State</v>
      </c>
      <c r="AP75" t="str">
        <f>IFERROR(__xludf.DUMMYFUNCTION("""COMPUTED_VALUE"""),"Southern Mississippi")</f>
        <v>Southern Mississippi</v>
      </c>
      <c r="AQ75" t="str">
        <f>IFERROR(__xludf.DUMMYFUNCTION("""COMPUTED_VALUE"""),"Stanford")</f>
        <v>Stanford</v>
      </c>
      <c r="AR75" t="str">
        <f>IFERROR(__xludf.DUMMYFUNCTION("""COMPUTED_VALUE"""),"Syracuse")</f>
        <v>Syracuse</v>
      </c>
      <c r="AS75" t="str">
        <f>IFERROR(__xludf.DUMMYFUNCTION("""COMPUTED_VALUE"""),"Temple")</f>
        <v>Temple</v>
      </c>
      <c r="AT75" t="str">
        <f>IFERROR(__xludf.DUMMYFUNCTION("""COMPUTED_VALUE"""),"Troy")</f>
        <v>Troy</v>
      </c>
      <c r="AU75" t="str">
        <f>IFERROR(__xludf.DUMMYFUNCTION("""COMPUTED_VALUE"""),"Tulsa")</f>
        <v>Tulsa</v>
      </c>
      <c r="AV75" t="str">
        <f>IFERROR(__xludf.DUMMYFUNCTION("""COMPUTED_VALUE"""),"UAB")</f>
        <v>UAB</v>
      </c>
      <c r="AW75" t="str">
        <f>IFERROR(__xludf.DUMMYFUNCTION("""COMPUTED_VALUE"""),"UCF")</f>
        <v>UCF</v>
      </c>
      <c r="AX75" t="str">
        <f>IFERROR(__xludf.DUMMYFUNCTION("""COMPUTED_VALUE"""),"UCLA")</f>
        <v>UCLA</v>
      </c>
      <c r="AY75" t="str">
        <f>IFERROR(__xludf.DUMMYFUNCTION("""COMPUTED_VALUE"""),"UConn")</f>
        <v>UConn</v>
      </c>
      <c r="AZ75" t="str">
        <f>IFERROR(__xludf.DUMMYFUNCTION("""COMPUTED_VALUE"""),"UL Monroe")</f>
        <v>UL Monroe</v>
      </c>
      <c r="BA75" t="str">
        <f>IFERROR(__xludf.DUMMYFUNCTION("""COMPUTED_VALUE"""),"UMASS")</f>
        <v>UMASS</v>
      </c>
      <c r="BB75" t="str">
        <f>IFERROR(__xludf.DUMMYFUNCTION("""COMPUTED_VALUE"""),"Utah State")</f>
        <v>Utah State</v>
      </c>
      <c r="BC75" t="str">
        <f>IFERROR(__xludf.DUMMYFUNCTION("""COMPUTED_VALUE"""),"UTEP")</f>
        <v>UTEP</v>
      </c>
      <c r="BD75" t="str">
        <f>IFERROR(__xludf.DUMMYFUNCTION("""COMPUTED_VALUE"""),"Vanderbilt")</f>
        <v>Vanderbilt</v>
      </c>
      <c r="BE75" t="str">
        <f>IFERROR(__xludf.DUMMYFUNCTION("""COMPUTED_VALUE"""),"Virginia")</f>
        <v>Virginia</v>
      </c>
      <c r="BF75" t="str">
        <f>IFERROR(__xludf.DUMMYFUNCTION("""COMPUTED_VALUE"""),"Virginia Tech")</f>
        <v>Virginia Tech</v>
      </c>
      <c r="BG75" t="str">
        <f>IFERROR(__xludf.DUMMYFUNCTION("""COMPUTED_VALUE"""),"Wake Forest")</f>
        <v>Wake Forest</v>
      </c>
      <c r="BH75" t="str">
        <f>IFERROR(__xludf.DUMMYFUNCTION("""COMPUTED_VALUE"""),"Washington State")</f>
        <v>Washington State</v>
      </c>
      <c r="BI75" t="str">
        <f>IFERROR(__xludf.DUMMYFUNCTION("""COMPUTED_VALUE"""),"West Virginia")</f>
        <v>West Virginia</v>
      </c>
      <c r="BJ75" t="str">
        <f>IFERROR(__xludf.DUMMYFUNCTION("""COMPUTED_VALUE"""),"Wisconsin")</f>
        <v>Wisconsin</v>
      </c>
      <c r="BK75" t="str">
        <f>IFERROR(__xludf.DUMMYFUNCTION("""COMPUTED_VALUE"""),"Wyoming")</f>
        <v>Wyoming</v>
      </c>
    </row>
    <row r="76">
      <c r="A76" s="1">
        <v>75.0</v>
      </c>
      <c r="B76" t="str">
        <f>IFERROR(__xludf.DUMMYFUNCTION("split(join("","",sort(byrow('Teams-Conference'!A$2:A1000,lambda(rw,if(iserror(match(rw,DraftTracker!F$1:F76,0)),rw,""""))),1,1)),"","",1,1)"),"Akron")</f>
        <v>Akron</v>
      </c>
      <c r="C76" t="str">
        <f>IFERROR(__xludf.DUMMYFUNCTION("""COMPUTED_VALUE"""),"Arizona")</f>
        <v>Arizona</v>
      </c>
      <c r="D76" t="str">
        <f>IFERROR(__xludf.DUMMYFUNCTION("""COMPUTED_VALUE"""),"Arkansas")</f>
        <v>Arkansas</v>
      </c>
      <c r="E76" t="str">
        <f>IFERROR(__xludf.DUMMYFUNCTION("""COMPUTED_VALUE"""),"Arkansas State")</f>
        <v>Arkansas State</v>
      </c>
      <c r="F76" t="str">
        <f>IFERROR(__xludf.DUMMYFUNCTION("""COMPUTED_VALUE"""),"Ball State")</f>
        <v>Ball State</v>
      </c>
      <c r="G76" t="str">
        <f>IFERROR(__xludf.DUMMYFUNCTION("""COMPUTED_VALUE"""),"Boston College")</f>
        <v>Boston College</v>
      </c>
      <c r="H76" t="str">
        <f>IFERROR(__xludf.DUMMYFUNCTION("""COMPUTED_VALUE"""),"California")</f>
        <v>California</v>
      </c>
      <c r="I76" t="str">
        <f>IFERROR(__xludf.DUMMYFUNCTION("""COMPUTED_VALUE"""),"Charlotte")</f>
        <v>Charlotte</v>
      </c>
      <c r="J76" t="str">
        <f>IFERROR(__xludf.DUMMYFUNCTION("""COMPUTED_VALUE"""),"Cincinnati")</f>
        <v>Cincinnati</v>
      </c>
      <c r="K76" t="str">
        <f>IFERROR(__xludf.DUMMYFUNCTION("""COMPUTED_VALUE"""),"Coastal Carolina")</f>
        <v>Coastal Carolina</v>
      </c>
      <c r="L76" t="str">
        <f>IFERROR(__xludf.DUMMYFUNCTION("""COMPUTED_VALUE"""),"Colorado")</f>
        <v>Colorado</v>
      </c>
      <c r="M76" t="str">
        <f>IFERROR(__xludf.DUMMYFUNCTION("""COMPUTED_VALUE"""),"Delaware")</f>
        <v>Delaware</v>
      </c>
      <c r="N76" t="str">
        <f>IFERROR(__xludf.DUMMYFUNCTION("""COMPUTED_VALUE"""),"Duke")</f>
        <v>Duke</v>
      </c>
      <c r="O76" t="str">
        <f>IFERROR(__xludf.DUMMYFUNCTION("""COMPUTED_VALUE"""),"Florida Intl")</f>
        <v>Florida Intl</v>
      </c>
      <c r="P76" t="str">
        <f>IFERROR(__xludf.DUMMYFUNCTION("""COMPUTED_VALUE"""),"Florida State")</f>
        <v>Florida State</v>
      </c>
      <c r="Q76" t="str">
        <f>IFERROR(__xludf.DUMMYFUNCTION("""COMPUTED_VALUE"""),"Georgia State")</f>
        <v>Georgia State</v>
      </c>
      <c r="R76" t="str">
        <f>IFERROR(__xludf.DUMMYFUNCTION("""COMPUTED_VALUE"""),"Houston")</f>
        <v>Houston</v>
      </c>
      <c r="S76" t="str">
        <f>IFERROR(__xludf.DUMMYFUNCTION("""COMPUTED_VALUE"""),"Kennesaw State")</f>
        <v>Kennesaw State</v>
      </c>
      <c r="T76" t="str">
        <f>IFERROR(__xludf.DUMMYFUNCTION("""COMPUTED_VALUE"""),"Kent State")</f>
        <v>Kent State</v>
      </c>
      <c r="U76" t="str">
        <f>IFERROR(__xludf.DUMMYFUNCTION("""COMPUTED_VALUE"""),"Kentucky")</f>
        <v>Kentucky</v>
      </c>
      <c r="V76" t="str">
        <f>IFERROR(__xludf.DUMMYFUNCTION("""COMPUTED_VALUE"""),"Marshall")</f>
        <v>Marshall</v>
      </c>
      <c r="W76" t="str">
        <f>IFERROR(__xludf.DUMMYFUNCTION("""COMPUTED_VALUE"""),"Maryland")</f>
        <v>Maryland</v>
      </c>
      <c r="X76" t="str">
        <f>IFERROR(__xludf.DUMMYFUNCTION("""COMPUTED_VALUE"""),"Michigan State")</f>
        <v>Michigan State</v>
      </c>
      <c r="Y76" t="str">
        <f>IFERROR(__xludf.DUMMYFUNCTION("""COMPUTED_VALUE"""),"Middle Tennessee")</f>
        <v>Middle Tennessee</v>
      </c>
      <c r="Z76" t="str">
        <f>IFERROR(__xludf.DUMMYFUNCTION("""COMPUTED_VALUE"""),"Mississippi State")</f>
        <v>Mississippi State</v>
      </c>
      <c r="AA76" t="str">
        <f>IFERROR(__xludf.DUMMYFUNCTION("""COMPUTED_VALUE"""),"Missouri State")</f>
        <v>Missouri State</v>
      </c>
      <c r="AB76" t="str">
        <f>IFERROR(__xludf.DUMMYFUNCTION("""COMPUTED_VALUE"""),"NC State")</f>
        <v>NC State</v>
      </c>
      <c r="AC76" t="str">
        <f>IFERROR(__xludf.DUMMYFUNCTION("""COMPUTED_VALUE"""),"Nevada")</f>
        <v>Nevada</v>
      </c>
      <c r="AD76" t="str">
        <f>IFERROR(__xludf.DUMMYFUNCTION("""COMPUTED_VALUE"""),"New Mexico")</f>
        <v>New Mexico</v>
      </c>
      <c r="AE76" t="str">
        <f>IFERROR(__xludf.DUMMYFUNCTION("""COMPUTED_VALUE"""),"New Mexico State")</f>
        <v>New Mexico State</v>
      </c>
      <c r="AF76" t="str">
        <f>IFERROR(__xludf.DUMMYFUNCTION("""COMPUTED_VALUE"""),"Northwestern")</f>
        <v>Northwestern</v>
      </c>
      <c r="AG76" t="str">
        <f>IFERROR(__xludf.DUMMYFUNCTION("""COMPUTED_VALUE"""),"Oklahoma State")</f>
        <v>Oklahoma State</v>
      </c>
      <c r="AH76" t="str">
        <f>IFERROR(__xludf.DUMMYFUNCTION("""COMPUTED_VALUE"""),"Oregon State")</f>
        <v>Oregon State</v>
      </c>
      <c r="AI76" t="str">
        <f>IFERROR(__xludf.DUMMYFUNCTION("""COMPUTED_VALUE"""),"Pittsburgh")</f>
        <v>Pittsburgh</v>
      </c>
      <c r="AJ76" t="str">
        <f>IFERROR(__xludf.DUMMYFUNCTION("""COMPUTED_VALUE"""),"Purdue")</f>
        <v>Purdue</v>
      </c>
      <c r="AK76" t="str">
        <f>IFERROR(__xludf.DUMMYFUNCTION("""COMPUTED_VALUE"""),"Rice")</f>
        <v>Rice</v>
      </c>
      <c r="AL76" t="str">
        <f>IFERROR(__xludf.DUMMYFUNCTION("""COMPUTED_VALUE"""),"Rutgers")</f>
        <v>Rutgers</v>
      </c>
      <c r="AM76" t="str">
        <f>IFERROR(__xludf.DUMMYFUNCTION("""COMPUTED_VALUE"""),"Sam Houston")</f>
        <v>Sam Houston</v>
      </c>
      <c r="AN76" t="str">
        <f>IFERROR(__xludf.DUMMYFUNCTION("""COMPUTED_VALUE"""),"San Diego State")</f>
        <v>San Diego State</v>
      </c>
      <c r="AO76" t="str">
        <f>IFERROR(__xludf.DUMMYFUNCTION("""COMPUTED_VALUE"""),"Southern Mississippi")</f>
        <v>Southern Mississippi</v>
      </c>
      <c r="AP76" t="str">
        <f>IFERROR(__xludf.DUMMYFUNCTION("""COMPUTED_VALUE"""),"Stanford")</f>
        <v>Stanford</v>
      </c>
      <c r="AQ76" t="str">
        <f>IFERROR(__xludf.DUMMYFUNCTION("""COMPUTED_VALUE"""),"Syracuse")</f>
        <v>Syracuse</v>
      </c>
      <c r="AR76" t="str">
        <f>IFERROR(__xludf.DUMMYFUNCTION("""COMPUTED_VALUE"""),"Temple")</f>
        <v>Temple</v>
      </c>
      <c r="AS76" t="str">
        <f>IFERROR(__xludf.DUMMYFUNCTION("""COMPUTED_VALUE"""),"Troy")</f>
        <v>Troy</v>
      </c>
      <c r="AT76" t="str">
        <f>IFERROR(__xludf.DUMMYFUNCTION("""COMPUTED_VALUE"""),"Tulsa")</f>
        <v>Tulsa</v>
      </c>
      <c r="AU76" t="str">
        <f>IFERROR(__xludf.DUMMYFUNCTION("""COMPUTED_VALUE"""),"UAB")</f>
        <v>UAB</v>
      </c>
      <c r="AV76" t="str">
        <f>IFERROR(__xludf.DUMMYFUNCTION("""COMPUTED_VALUE"""),"UCF")</f>
        <v>UCF</v>
      </c>
      <c r="AW76" t="str">
        <f>IFERROR(__xludf.DUMMYFUNCTION("""COMPUTED_VALUE"""),"UCLA")</f>
        <v>UCLA</v>
      </c>
      <c r="AX76" t="str">
        <f>IFERROR(__xludf.DUMMYFUNCTION("""COMPUTED_VALUE"""),"UConn")</f>
        <v>UConn</v>
      </c>
      <c r="AY76" t="str">
        <f>IFERROR(__xludf.DUMMYFUNCTION("""COMPUTED_VALUE"""),"UL Monroe")</f>
        <v>UL Monroe</v>
      </c>
      <c r="AZ76" t="str">
        <f>IFERROR(__xludf.DUMMYFUNCTION("""COMPUTED_VALUE"""),"UMASS")</f>
        <v>UMASS</v>
      </c>
      <c r="BA76" t="str">
        <f>IFERROR(__xludf.DUMMYFUNCTION("""COMPUTED_VALUE"""),"Utah State")</f>
        <v>Utah State</v>
      </c>
      <c r="BB76" t="str">
        <f>IFERROR(__xludf.DUMMYFUNCTION("""COMPUTED_VALUE"""),"UTEP")</f>
        <v>UTEP</v>
      </c>
      <c r="BC76" t="str">
        <f>IFERROR(__xludf.DUMMYFUNCTION("""COMPUTED_VALUE"""),"Vanderbilt")</f>
        <v>Vanderbilt</v>
      </c>
      <c r="BD76" t="str">
        <f>IFERROR(__xludf.DUMMYFUNCTION("""COMPUTED_VALUE"""),"Virginia")</f>
        <v>Virginia</v>
      </c>
      <c r="BE76" t="str">
        <f>IFERROR(__xludf.DUMMYFUNCTION("""COMPUTED_VALUE"""),"Virginia Tech")</f>
        <v>Virginia Tech</v>
      </c>
      <c r="BF76" t="str">
        <f>IFERROR(__xludf.DUMMYFUNCTION("""COMPUTED_VALUE"""),"Wake Forest")</f>
        <v>Wake Forest</v>
      </c>
      <c r="BG76" t="str">
        <f>IFERROR(__xludf.DUMMYFUNCTION("""COMPUTED_VALUE"""),"Washington State")</f>
        <v>Washington State</v>
      </c>
      <c r="BH76" t="str">
        <f>IFERROR(__xludf.DUMMYFUNCTION("""COMPUTED_VALUE"""),"West Virginia")</f>
        <v>West Virginia</v>
      </c>
      <c r="BI76" t="str">
        <f>IFERROR(__xludf.DUMMYFUNCTION("""COMPUTED_VALUE"""),"Wisconsin")</f>
        <v>Wisconsin</v>
      </c>
      <c r="BJ76" t="str">
        <f>IFERROR(__xludf.DUMMYFUNCTION("""COMPUTED_VALUE"""),"Wyoming")</f>
        <v>Wyoming</v>
      </c>
    </row>
    <row r="77">
      <c r="A77" s="1">
        <v>76.0</v>
      </c>
      <c r="B77" t="str">
        <f>IFERROR(__xludf.DUMMYFUNCTION("split(join("","",sort(byrow('Teams-Conference'!A$2:A1000,lambda(rw,if(iserror(match(rw,DraftTracker!F$1:F77,0)),rw,""""))),1,1)),"","",1,1)"),"Arizona")</f>
        <v>Arizona</v>
      </c>
      <c r="C77" t="str">
        <f>IFERROR(__xludf.DUMMYFUNCTION("""COMPUTED_VALUE"""),"Arkansas")</f>
        <v>Arkansas</v>
      </c>
      <c r="D77" t="str">
        <f>IFERROR(__xludf.DUMMYFUNCTION("""COMPUTED_VALUE"""),"Arkansas State")</f>
        <v>Arkansas State</v>
      </c>
      <c r="E77" t="str">
        <f>IFERROR(__xludf.DUMMYFUNCTION("""COMPUTED_VALUE"""),"Ball State")</f>
        <v>Ball State</v>
      </c>
      <c r="F77" t="str">
        <f>IFERROR(__xludf.DUMMYFUNCTION("""COMPUTED_VALUE"""),"Boston College")</f>
        <v>Boston College</v>
      </c>
      <c r="G77" t="str">
        <f>IFERROR(__xludf.DUMMYFUNCTION("""COMPUTED_VALUE"""),"California")</f>
        <v>California</v>
      </c>
      <c r="H77" t="str">
        <f>IFERROR(__xludf.DUMMYFUNCTION("""COMPUTED_VALUE"""),"Charlotte")</f>
        <v>Charlotte</v>
      </c>
      <c r="I77" t="str">
        <f>IFERROR(__xludf.DUMMYFUNCTION("""COMPUTED_VALUE"""),"Cincinnati")</f>
        <v>Cincinnati</v>
      </c>
      <c r="J77" t="str">
        <f>IFERROR(__xludf.DUMMYFUNCTION("""COMPUTED_VALUE"""),"Coastal Carolina")</f>
        <v>Coastal Carolina</v>
      </c>
      <c r="K77" t="str">
        <f>IFERROR(__xludf.DUMMYFUNCTION("""COMPUTED_VALUE"""),"Colorado")</f>
        <v>Colorado</v>
      </c>
      <c r="L77" t="str">
        <f>IFERROR(__xludf.DUMMYFUNCTION("""COMPUTED_VALUE"""),"Delaware")</f>
        <v>Delaware</v>
      </c>
      <c r="M77" t="str">
        <f>IFERROR(__xludf.DUMMYFUNCTION("""COMPUTED_VALUE"""),"Duke")</f>
        <v>Duke</v>
      </c>
      <c r="N77" t="str">
        <f>IFERROR(__xludf.DUMMYFUNCTION("""COMPUTED_VALUE"""),"Florida Intl")</f>
        <v>Florida Intl</v>
      </c>
      <c r="O77" t="str">
        <f>IFERROR(__xludf.DUMMYFUNCTION("""COMPUTED_VALUE"""),"Florida State")</f>
        <v>Florida State</v>
      </c>
      <c r="P77" t="str">
        <f>IFERROR(__xludf.DUMMYFUNCTION("""COMPUTED_VALUE"""),"Georgia State")</f>
        <v>Georgia State</v>
      </c>
      <c r="Q77" t="str">
        <f>IFERROR(__xludf.DUMMYFUNCTION("""COMPUTED_VALUE"""),"Houston")</f>
        <v>Houston</v>
      </c>
      <c r="R77" t="str">
        <f>IFERROR(__xludf.DUMMYFUNCTION("""COMPUTED_VALUE"""),"Kennesaw State")</f>
        <v>Kennesaw State</v>
      </c>
      <c r="S77" t="str">
        <f>IFERROR(__xludf.DUMMYFUNCTION("""COMPUTED_VALUE"""),"Kent State")</f>
        <v>Kent State</v>
      </c>
      <c r="T77" t="str">
        <f>IFERROR(__xludf.DUMMYFUNCTION("""COMPUTED_VALUE"""),"Kentucky")</f>
        <v>Kentucky</v>
      </c>
      <c r="U77" t="str">
        <f>IFERROR(__xludf.DUMMYFUNCTION("""COMPUTED_VALUE"""),"Marshall")</f>
        <v>Marshall</v>
      </c>
      <c r="V77" t="str">
        <f>IFERROR(__xludf.DUMMYFUNCTION("""COMPUTED_VALUE"""),"Maryland")</f>
        <v>Maryland</v>
      </c>
      <c r="W77" t="str">
        <f>IFERROR(__xludf.DUMMYFUNCTION("""COMPUTED_VALUE"""),"Michigan State")</f>
        <v>Michigan State</v>
      </c>
      <c r="X77" t="str">
        <f>IFERROR(__xludf.DUMMYFUNCTION("""COMPUTED_VALUE"""),"Middle Tennessee")</f>
        <v>Middle Tennessee</v>
      </c>
      <c r="Y77" t="str">
        <f>IFERROR(__xludf.DUMMYFUNCTION("""COMPUTED_VALUE"""),"Mississippi State")</f>
        <v>Mississippi State</v>
      </c>
      <c r="Z77" t="str">
        <f>IFERROR(__xludf.DUMMYFUNCTION("""COMPUTED_VALUE"""),"Missouri State")</f>
        <v>Missouri State</v>
      </c>
      <c r="AA77" t="str">
        <f>IFERROR(__xludf.DUMMYFUNCTION("""COMPUTED_VALUE"""),"NC State")</f>
        <v>NC State</v>
      </c>
      <c r="AB77" t="str">
        <f>IFERROR(__xludf.DUMMYFUNCTION("""COMPUTED_VALUE"""),"Nevada")</f>
        <v>Nevada</v>
      </c>
      <c r="AC77" t="str">
        <f>IFERROR(__xludf.DUMMYFUNCTION("""COMPUTED_VALUE"""),"New Mexico")</f>
        <v>New Mexico</v>
      </c>
      <c r="AD77" t="str">
        <f>IFERROR(__xludf.DUMMYFUNCTION("""COMPUTED_VALUE"""),"New Mexico State")</f>
        <v>New Mexico State</v>
      </c>
      <c r="AE77" t="str">
        <f>IFERROR(__xludf.DUMMYFUNCTION("""COMPUTED_VALUE"""),"Northwestern")</f>
        <v>Northwestern</v>
      </c>
      <c r="AF77" t="str">
        <f>IFERROR(__xludf.DUMMYFUNCTION("""COMPUTED_VALUE"""),"Oklahoma State")</f>
        <v>Oklahoma State</v>
      </c>
      <c r="AG77" t="str">
        <f>IFERROR(__xludf.DUMMYFUNCTION("""COMPUTED_VALUE"""),"Oregon State")</f>
        <v>Oregon State</v>
      </c>
      <c r="AH77" t="str">
        <f>IFERROR(__xludf.DUMMYFUNCTION("""COMPUTED_VALUE"""),"Pittsburgh")</f>
        <v>Pittsburgh</v>
      </c>
      <c r="AI77" t="str">
        <f>IFERROR(__xludf.DUMMYFUNCTION("""COMPUTED_VALUE"""),"Purdue")</f>
        <v>Purdue</v>
      </c>
      <c r="AJ77" t="str">
        <f>IFERROR(__xludf.DUMMYFUNCTION("""COMPUTED_VALUE"""),"Rice")</f>
        <v>Rice</v>
      </c>
      <c r="AK77" t="str">
        <f>IFERROR(__xludf.DUMMYFUNCTION("""COMPUTED_VALUE"""),"Rutgers")</f>
        <v>Rutgers</v>
      </c>
      <c r="AL77" t="str">
        <f>IFERROR(__xludf.DUMMYFUNCTION("""COMPUTED_VALUE"""),"Sam Houston")</f>
        <v>Sam Houston</v>
      </c>
      <c r="AM77" t="str">
        <f>IFERROR(__xludf.DUMMYFUNCTION("""COMPUTED_VALUE"""),"San Diego State")</f>
        <v>San Diego State</v>
      </c>
      <c r="AN77" t="str">
        <f>IFERROR(__xludf.DUMMYFUNCTION("""COMPUTED_VALUE"""),"Southern Mississippi")</f>
        <v>Southern Mississippi</v>
      </c>
      <c r="AO77" t="str">
        <f>IFERROR(__xludf.DUMMYFUNCTION("""COMPUTED_VALUE"""),"Stanford")</f>
        <v>Stanford</v>
      </c>
      <c r="AP77" t="str">
        <f>IFERROR(__xludf.DUMMYFUNCTION("""COMPUTED_VALUE"""),"Syracuse")</f>
        <v>Syracuse</v>
      </c>
      <c r="AQ77" t="str">
        <f>IFERROR(__xludf.DUMMYFUNCTION("""COMPUTED_VALUE"""),"Temple")</f>
        <v>Temple</v>
      </c>
      <c r="AR77" t="str">
        <f>IFERROR(__xludf.DUMMYFUNCTION("""COMPUTED_VALUE"""),"Troy")</f>
        <v>Troy</v>
      </c>
      <c r="AS77" t="str">
        <f>IFERROR(__xludf.DUMMYFUNCTION("""COMPUTED_VALUE"""),"Tulsa")</f>
        <v>Tulsa</v>
      </c>
      <c r="AT77" t="str">
        <f>IFERROR(__xludf.DUMMYFUNCTION("""COMPUTED_VALUE"""),"UAB")</f>
        <v>UAB</v>
      </c>
      <c r="AU77" t="str">
        <f>IFERROR(__xludf.DUMMYFUNCTION("""COMPUTED_VALUE"""),"UCF")</f>
        <v>UCF</v>
      </c>
      <c r="AV77" t="str">
        <f>IFERROR(__xludf.DUMMYFUNCTION("""COMPUTED_VALUE"""),"UCLA")</f>
        <v>UCLA</v>
      </c>
      <c r="AW77" t="str">
        <f>IFERROR(__xludf.DUMMYFUNCTION("""COMPUTED_VALUE"""),"UConn")</f>
        <v>UConn</v>
      </c>
      <c r="AX77" t="str">
        <f>IFERROR(__xludf.DUMMYFUNCTION("""COMPUTED_VALUE"""),"UL Monroe")</f>
        <v>UL Monroe</v>
      </c>
      <c r="AY77" t="str">
        <f>IFERROR(__xludf.DUMMYFUNCTION("""COMPUTED_VALUE"""),"UMASS")</f>
        <v>UMASS</v>
      </c>
      <c r="AZ77" t="str">
        <f>IFERROR(__xludf.DUMMYFUNCTION("""COMPUTED_VALUE"""),"Utah State")</f>
        <v>Utah State</v>
      </c>
      <c r="BA77" t="str">
        <f>IFERROR(__xludf.DUMMYFUNCTION("""COMPUTED_VALUE"""),"UTEP")</f>
        <v>UTEP</v>
      </c>
      <c r="BB77" t="str">
        <f>IFERROR(__xludf.DUMMYFUNCTION("""COMPUTED_VALUE"""),"Vanderbilt")</f>
        <v>Vanderbilt</v>
      </c>
      <c r="BC77" t="str">
        <f>IFERROR(__xludf.DUMMYFUNCTION("""COMPUTED_VALUE"""),"Virginia")</f>
        <v>Virginia</v>
      </c>
      <c r="BD77" t="str">
        <f>IFERROR(__xludf.DUMMYFUNCTION("""COMPUTED_VALUE"""),"Virginia Tech")</f>
        <v>Virginia Tech</v>
      </c>
      <c r="BE77" t="str">
        <f>IFERROR(__xludf.DUMMYFUNCTION("""COMPUTED_VALUE"""),"Wake Forest")</f>
        <v>Wake Forest</v>
      </c>
      <c r="BF77" t="str">
        <f>IFERROR(__xludf.DUMMYFUNCTION("""COMPUTED_VALUE"""),"Washington State")</f>
        <v>Washington State</v>
      </c>
      <c r="BG77" t="str">
        <f>IFERROR(__xludf.DUMMYFUNCTION("""COMPUTED_VALUE"""),"West Virginia")</f>
        <v>West Virginia</v>
      </c>
      <c r="BH77" t="str">
        <f>IFERROR(__xludf.DUMMYFUNCTION("""COMPUTED_VALUE"""),"Wisconsin")</f>
        <v>Wisconsin</v>
      </c>
      <c r="BI77" t="str">
        <f>IFERROR(__xludf.DUMMYFUNCTION("""COMPUTED_VALUE"""),"Wyoming")</f>
        <v>Wyoming</v>
      </c>
    </row>
    <row r="78">
      <c r="A78" s="1">
        <v>77.0</v>
      </c>
      <c r="B78" t="str">
        <f>IFERROR(__xludf.DUMMYFUNCTION("split(join("","",sort(byrow('Teams-Conference'!A$2:A1000,lambda(rw,if(iserror(match(rw,DraftTracker!F$1:F78,0)),rw,""""))),1,1)),"","",1,1)"),"Arizona")</f>
        <v>Arizona</v>
      </c>
      <c r="C78" t="str">
        <f>IFERROR(__xludf.DUMMYFUNCTION("""COMPUTED_VALUE"""),"Arkansas")</f>
        <v>Arkansas</v>
      </c>
      <c r="D78" t="str">
        <f>IFERROR(__xludf.DUMMYFUNCTION("""COMPUTED_VALUE"""),"Arkansas State")</f>
        <v>Arkansas State</v>
      </c>
      <c r="E78" t="str">
        <f>IFERROR(__xludf.DUMMYFUNCTION("""COMPUTED_VALUE"""),"Ball State")</f>
        <v>Ball State</v>
      </c>
      <c r="F78" t="str">
        <f>IFERROR(__xludf.DUMMYFUNCTION("""COMPUTED_VALUE"""),"Boston College")</f>
        <v>Boston College</v>
      </c>
      <c r="G78" t="str">
        <f>IFERROR(__xludf.DUMMYFUNCTION("""COMPUTED_VALUE"""),"California")</f>
        <v>California</v>
      </c>
      <c r="H78" t="str">
        <f>IFERROR(__xludf.DUMMYFUNCTION("""COMPUTED_VALUE"""),"Charlotte")</f>
        <v>Charlotte</v>
      </c>
      <c r="I78" t="str">
        <f>IFERROR(__xludf.DUMMYFUNCTION("""COMPUTED_VALUE"""),"Cincinnati")</f>
        <v>Cincinnati</v>
      </c>
      <c r="J78" t="str">
        <f>IFERROR(__xludf.DUMMYFUNCTION("""COMPUTED_VALUE"""),"Coastal Carolina")</f>
        <v>Coastal Carolina</v>
      </c>
      <c r="K78" t="str">
        <f>IFERROR(__xludf.DUMMYFUNCTION("""COMPUTED_VALUE"""),"Colorado")</f>
        <v>Colorado</v>
      </c>
      <c r="L78" t="str">
        <f>IFERROR(__xludf.DUMMYFUNCTION("""COMPUTED_VALUE"""),"Delaware")</f>
        <v>Delaware</v>
      </c>
      <c r="M78" t="str">
        <f>IFERROR(__xludf.DUMMYFUNCTION("""COMPUTED_VALUE"""),"Duke")</f>
        <v>Duke</v>
      </c>
      <c r="N78" t="str">
        <f>IFERROR(__xludf.DUMMYFUNCTION("""COMPUTED_VALUE"""),"Florida Intl")</f>
        <v>Florida Intl</v>
      </c>
      <c r="O78" t="str">
        <f>IFERROR(__xludf.DUMMYFUNCTION("""COMPUTED_VALUE"""),"Florida State")</f>
        <v>Florida State</v>
      </c>
      <c r="P78" t="str">
        <f>IFERROR(__xludf.DUMMYFUNCTION("""COMPUTED_VALUE"""),"Georgia State")</f>
        <v>Georgia State</v>
      </c>
      <c r="Q78" t="str">
        <f>IFERROR(__xludf.DUMMYFUNCTION("""COMPUTED_VALUE"""),"Houston")</f>
        <v>Houston</v>
      </c>
      <c r="R78" t="str">
        <f>IFERROR(__xludf.DUMMYFUNCTION("""COMPUTED_VALUE"""),"Kennesaw State")</f>
        <v>Kennesaw State</v>
      </c>
      <c r="S78" t="str">
        <f>IFERROR(__xludf.DUMMYFUNCTION("""COMPUTED_VALUE"""),"Kent State")</f>
        <v>Kent State</v>
      </c>
      <c r="T78" t="str">
        <f>IFERROR(__xludf.DUMMYFUNCTION("""COMPUTED_VALUE"""),"Kentucky")</f>
        <v>Kentucky</v>
      </c>
      <c r="U78" t="str">
        <f>IFERROR(__xludf.DUMMYFUNCTION("""COMPUTED_VALUE"""),"Marshall")</f>
        <v>Marshall</v>
      </c>
      <c r="V78" t="str">
        <f>IFERROR(__xludf.DUMMYFUNCTION("""COMPUTED_VALUE"""),"Maryland")</f>
        <v>Maryland</v>
      </c>
      <c r="W78" t="str">
        <f>IFERROR(__xludf.DUMMYFUNCTION("""COMPUTED_VALUE"""),"Michigan State")</f>
        <v>Michigan State</v>
      </c>
      <c r="X78" t="str">
        <f>IFERROR(__xludf.DUMMYFUNCTION("""COMPUTED_VALUE"""),"Middle Tennessee")</f>
        <v>Middle Tennessee</v>
      </c>
      <c r="Y78" t="str">
        <f>IFERROR(__xludf.DUMMYFUNCTION("""COMPUTED_VALUE"""),"Mississippi State")</f>
        <v>Mississippi State</v>
      </c>
      <c r="Z78" t="str">
        <f>IFERROR(__xludf.DUMMYFUNCTION("""COMPUTED_VALUE"""),"Missouri State")</f>
        <v>Missouri State</v>
      </c>
      <c r="AA78" t="str">
        <f>IFERROR(__xludf.DUMMYFUNCTION("""COMPUTED_VALUE"""),"NC State")</f>
        <v>NC State</v>
      </c>
      <c r="AB78" t="str">
        <f>IFERROR(__xludf.DUMMYFUNCTION("""COMPUTED_VALUE"""),"Nevada")</f>
        <v>Nevada</v>
      </c>
      <c r="AC78" t="str">
        <f>IFERROR(__xludf.DUMMYFUNCTION("""COMPUTED_VALUE"""),"New Mexico")</f>
        <v>New Mexico</v>
      </c>
      <c r="AD78" t="str">
        <f>IFERROR(__xludf.DUMMYFUNCTION("""COMPUTED_VALUE"""),"New Mexico State")</f>
        <v>New Mexico State</v>
      </c>
      <c r="AE78" t="str">
        <f>IFERROR(__xludf.DUMMYFUNCTION("""COMPUTED_VALUE"""),"Northwestern")</f>
        <v>Northwestern</v>
      </c>
      <c r="AF78" t="str">
        <f>IFERROR(__xludf.DUMMYFUNCTION("""COMPUTED_VALUE"""),"Oklahoma State")</f>
        <v>Oklahoma State</v>
      </c>
      <c r="AG78" t="str">
        <f>IFERROR(__xludf.DUMMYFUNCTION("""COMPUTED_VALUE"""),"Oregon State")</f>
        <v>Oregon State</v>
      </c>
      <c r="AH78" t="str">
        <f>IFERROR(__xludf.DUMMYFUNCTION("""COMPUTED_VALUE"""),"Pittsburgh")</f>
        <v>Pittsburgh</v>
      </c>
      <c r="AI78" t="str">
        <f>IFERROR(__xludf.DUMMYFUNCTION("""COMPUTED_VALUE"""),"Purdue")</f>
        <v>Purdue</v>
      </c>
      <c r="AJ78" t="str">
        <f>IFERROR(__xludf.DUMMYFUNCTION("""COMPUTED_VALUE"""),"Rice")</f>
        <v>Rice</v>
      </c>
      <c r="AK78" t="str">
        <f>IFERROR(__xludf.DUMMYFUNCTION("""COMPUTED_VALUE"""),"Rutgers")</f>
        <v>Rutgers</v>
      </c>
      <c r="AL78" t="str">
        <f>IFERROR(__xludf.DUMMYFUNCTION("""COMPUTED_VALUE"""),"Sam Houston")</f>
        <v>Sam Houston</v>
      </c>
      <c r="AM78" t="str">
        <f>IFERROR(__xludf.DUMMYFUNCTION("""COMPUTED_VALUE"""),"San Diego State")</f>
        <v>San Diego State</v>
      </c>
      <c r="AN78" t="str">
        <f>IFERROR(__xludf.DUMMYFUNCTION("""COMPUTED_VALUE"""),"Southern Mississippi")</f>
        <v>Southern Mississippi</v>
      </c>
      <c r="AO78" t="str">
        <f>IFERROR(__xludf.DUMMYFUNCTION("""COMPUTED_VALUE"""),"Stanford")</f>
        <v>Stanford</v>
      </c>
      <c r="AP78" t="str">
        <f>IFERROR(__xludf.DUMMYFUNCTION("""COMPUTED_VALUE"""),"Syracuse")</f>
        <v>Syracuse</v>
      </c>
      <c r="AQ78" t="str">
        <f>IFERROR(__xludf.DUMMYFUNCTION("""COMPUTED_VALUE"""),"Temple")</f>
        <v>Temple</v>
      </c>
      <c r="AR78" t="str">
        <f>IFERROR(__xludf.DUMMYFUNCTION("""COMPUTED_VALUE"""),"Troy")</f>
        <v>Troy</v>
      </c>
      <c r="AS78" t="str">
        <f>IFERROR(__xludf.DUMMYFUNCTION("""COMPUTED_VALUE"""),"Tulsa")</f>
        <v>Tulsa</v>
      </c>
      <c r="AT78" t="str">
        <f>IFERROR(__xludf.DUMMYFUNCTION("""COMPUTED_VALUE"""),"UAB")</f>
        <v>UAB</v>
      </c>
      <c r="AU78" t="str">
        <f>IFERROR(__xludf.DUMMYFUNCTION("""COMPUTED_VALUE"""),"UCF")</f>
        <v>UCF</v>
      </c>
      <c r="AV78" t="str">
        <f>IFERROR(__xludf.DUMMYFUNCTION("""COMPUTED_VALUE"""),"UCLA")</f>
        <v>UCLA</v>
      </c>
      <c r="AW78" t="str">
        <f>IFERROR(__xludf.DUMMYFUNCTION("""COMPUTED_VALUE"""),"UConn")</f>
        <v>UConn</v>
      </c>
      <c r="AX78" t="str">
        <f>IFERROR(__xludf.DUMMYFUNCTION("""COMPUTED_VALUE"""),"UL Monroe")</f>
        <v>UL Monroe</v>
      </c>
      <c r="AY78" t="str">
        <f>IFERROR(__xludf.DUMMYFUNCTION("""COMPUTED_VALUE"""),"UMASS")</f>
        <v>UMASS</v>
      </c>
      <c r="AZ78" t="str">
        <f>IFERROR(__xludf.DUMMYFUNCTION("""COMPUTED_VALUE"""),"Utah State")</f>
        <v>Utah State</v>
      </c>
      <c r="BA78" t="str">
        <f>IFERROR(__xludf.DUMMYFUNCTION("""COMPUTED_VALUE"""),"UTEP")</f>
        <v>UTEP</v>
      </c>
      <c r="BB78" t="str">
        <f>IFERROR(__xludf.DUMMYFUNCTION("""COMPUTED_VALUE"""),"Vanderbilt")</f>
        <v>Vanderbilt</v>
      </c>
      <c r="BC78" t="str">
        <f>IFERROR(__xludf.DUMMYFUNCTION("""COMPUTED_VALUE"""),"Virginia")</f>
        <v>Virginia</v>
      </c>
      <c r="BD78" t="str">
        <f>IFERROR(__xludf.DUMMYFUNCTION("""COMPUTED_VALUE"""),"Wake Forest")</f>
        <v>Wake Forest</v>
      </c>
      <c r="BE78" t="str">
        <f>IFERROR(__xludf.DUMMYFUNCTION("""COMPUTED_VALUE"""),"Washington State")</f>
        <v>Washington State</v>
      </c>
      <c r="BF78" t="str">
        <f>IFERROR(__xludf.DUMMYFUNCTION("""COMPUTED_VALUE"""),"West Virginia")</f>
        <v>West Virginia</v>
      </c>
      <c r="BG78" t="str">
        <f>IFERROR(__xludf.DUMMYFUNCTION("""COMPUTED_VALUE"""),"Wisconsin")</f>
        <v>Wisconsin</v>
      </c>
      <c r="BH78" t="str">
        <f>IFERROR(__xludf.DUMMYFUNCTION("""COMPUTED_VALUE"""),"Wyoming")</f>
        <v>Wyoming</v>
      </c>
    </row>
    <row r="79">
      <c r="A79" s="1">
        <v>78.0</v>
      </c>
      <c r="B79" t="str">
        <f>IFERROR(__xludf.DUMMYFUNCTION("split(join("","",sort(byrow('Teams-Conference'!A$2:A1000,lambda(rw,if(iserror(match(rw,DraftTracker!F$1:F79,0)),rw,""""))),1,1)),"","",1,1)"),"Arizona")</f>
        <v>Arizona</v>
      </c>
      <c r="C79" t="str">
        <f>IFERROR(__xludf.DUMMYFUNCTION("""COMPUTED_VALUE"""),"Arkansas")</f>
        <v>Arkansas</v>
      </c>
      <c r="D79" t="str">
        <f>IFERROR(__xludf.DUMMYFUNCTION("""COMPUTED_VALUE"""),"Arkansas State")</f>
        <v>Arkansas State</v>
      </c>
      <c r="E79" t="str">
        <f>IFERROR(__xludf.DUMMYFUNCTION("""COMPUTED_VALUE"""),"Ball State")</f>
        <v>Ball State</v>
      </c>
      <c r="F79" t="str">
        <f>IFERROR(__xludf.DUMMYFUNCTION("""COMPUTED_VALUE"""),"Boston College")</f>
        <v>Boston College</v>
      </c>
      <c r="G79" t="str">
        <f>IFERROR(__xludf.DUMMYFUNCTION("""COMPUTED_VALUE"""),"California")</f>
        <v>California</v>
      </c>
      <c r="H79" t="str">
        <f>IFERROR(__xludf.DUMMYFUNCTION("""COMPUTED_VALUE"""),"Charlotte")</f>
        <v>Charlotte</v>
      </c>
      <c r="I79" t="str">
        <f>IFERROR(__xludf.DUMMYFUNCTION("""COMPUTED_VALUE"""),"Cincinnati")</f>
        <v>Cincinnati</v>
      </c>
      <c r="J79" t="str">
        <f>IFERROR(__xludf.DUMMYFUNCTION("""COMPUTED_VALUE"""),"Coastal Carolina")</f>
        <v>Coastal Carolina</v>
      </c>
      <c r="K79" t="str">
        <f>IFERROR(__xludf.DUMMYFUNCTION("""COMPUTED_VALUE"""),"Colorado")</f>
        <v>Colorado</v>
      </c>
      <c r="L79" t="str">
        <f>IFERROR(__xludf.DUMMYFUNCTION("""COMPUTED_VALUE"""),"Delaware")</f>
        <v>Delaware</v>
      </c>
      <c r="M79" t="str">
        <f>IFERROR(__xludf.DUMMYFUNCTION("""COMPUTED_VALUE"""),"Duke")</f>
        <v>Duke</v>
      </c>
      <c r="N79" t="str">
        <f>IFERROR(__xludf.DUMMYFUNCTION("""COMPUTED_VALUE"""),"Florida Intl")</f>
        <v>Florida Intl</v>
      </c>
      <c r="O79" t="str">
        <f>IFERROR(__xludf.DUMMYFUNCTION("""COMPUTED_VALUE"""),"Georgia State")</f>
        <v>Georgia State</v>
      </c>
      <c r="P79" t="str">
        <f>IFERROR(__xludf.DUMMYFUNCTION("""COMPUTED_VALUE"""),"Houston")</f>
        <v>Houston</v>
      </c>
      <c r="Q79" t="str">
        <f>IFERROR(__xludf.DUMMYFUNCTION("""COMPUTED_VALUE"""),"Kennesaw State")</f>
        <v>Kennesaw State</v>
      </c>
      <c r="R79" t="str">
        <f>IFERROR(__xludf.DUMMYFUNCTION("""COMPUTED_VALUE"""),"Kent State")</f>
        <v>Kent State</v>
      </c>
      <c r="S79" t="str">
        <f>IFERROR(__xludf.DUMMYFUNCTION("""COMPUTED_VALUE"""),"Kentucky")</f>
        <v>Kentucky</v>
      </c>
      <c r="T79" t="str">
        <f>IFERROR(__xludf.DUMMYFUNCTION("""COMPUTED_VALUE"""),"Marshall")</f>
        <v>Marshall</v>
      </c>
      <c r="U79" t="str">
        <f>IFERROR(__xludf.DUMMYFUNCTION("""COMPUTED_VALUE"""),"Maryland")</f>
        <v>Maryland</v>
      </c>
      <c r="V79" t="str">
        <f>IFERROR(__xludf.DUMMYFUNCTION("""COMPUTED_VALUE"""),"Michigan State")</f>
        <v>Michigan State</v>
      </c>
      <c r="W79" t="str">
        <f>IFERROR(__xludf.DUMMYFUNCTION("""COMPUTED_VALUE"""),"Middle Tennessee")</f>
        <v>Middle Tennessee</v>
      </c>
      <c r="X79" t="str">
        <f>IFERROR(__xludf.DUMMYFUNCTION("""COMPUTED_VALUE"""),"Mississippi State")</f>
        <v>Mississippi State</v>
      </c>
      <c r="Y79" t="str">
        <f>IFERROR(__xludf.DUMMYFUNCTION("""COMPUTED_VALUE"""),"Missouri State")</f>
        <v>Missouri State</v>
      </c>
      <c r="Z79" t="str">
        <f>IFERROR(__xludf.DUMMYFUNCTION("""COMPUTED_VALUE"""),"NC State")</f>
        <v>NC State</v>
      </c>
      <c r="AA79" t="str">
        <f>IFERROR(__xludf.DUMMYFUNCTION("""COMPUTED_VALUE"""),"Nevada")</f>
        <v>Nevada</v>
      </c>
      <c r="AB79" t="str">
        <f>IFERROR(__xludf.DUMMYFUNCTION("""COMPUTED_VALUE"""),"New Mexico")</f>
        <v>New Mexico</v>
      </c>
      <c r="AC79" t="str">
        <f>IFERROR(__xludf.DUMMYFUNCTION("""COMPUTED_VALUE"""),"New Mexico State")</f>
        <v>New Mexico State</v>
      </c>
      <c r="AD79" t="str">
        <f>IFERROR(__xludf.DUMMYFUNCTION("""COMPUTED_VALUE"""),"Northwestern")</f>
        <v>Northwestern</v>
      </c>
      <c r="AE79" t="str">
        <f>IFERROR(__xludf.DUMMYFUNCTION("""COMPUTED_VALUE"""),"Oklahoma State")</f>
        <v>Oklahoma State</v>
      </c>
      <c r="AF79" t="str">
        <f>IFERROR(__xludf.DUMMYFUNCTION("""COMPUTED_VALUE"""),"Oregon State")</f>
        <v>Oregon State</v>
      </c>
      <c r="AG79" t="str">
        <f>IFERROR(__xludf.DUMMYFUNCTION("""COMPUTED_VALUE"""),"Pittsburgh")</f>
        <v>Pittsburgh</v>
      </c>
      <c r="AH79" t="str">
        <f>IFERROR(__xludf.DUMMYFUNCTION("""COMPUTED_VALUE"""),"Purdue")</f>
        <v>Purdue</v>
      </c>
      <c r="AI79" t="str">
        <f>IFERROR(__xludf.DUMMYFUNCTION("""COMPUTED_VALUE"""),"Rice")</f>
        <v>Rice</v>
      </c>
      <c r="AJ79" t="str">
        <f>IFERROR(__xludf.DUMMYFUNCTION("""COMPUTED_VALUE"""),"Rutgers")</f>
        <v>Rutgers</v>
      </c>
      <c r="AK79" t="str">
        <f>IFERROR(__xludf.DUMMYFUNCTION("""COMPUTED_VALUE"""),"Sam Houston")</f>
        <v>Sam Houston</v>
      </c>
      <c r="AL79" t="str">
        <f>IFERROR(__xludf.DUMMYFUNCTION("""COMPUTED_VALUE"""),"San Diego State")</f>
        <v>San Diego State</v>
      </c>
      <c r="AM79" t="str">
        <f>IFERROR(__xludf.DUMMYFUNCTION("""COMPUTED_VALUE"""),"Southern Mississippi")</f>
        <v>Southern Mississippi</v>
      </c>
      <c r="AN79" t="str">
        <f>IFERROR(__xludf.DUMMYFUNCTION("""COMPUTED_VALUE"""),"Stanford")</f>
        <v>Stanford</v>
      </c>
      <c r="AO79" t="str">
        <f>IFERROR(__xludf.DUMMYFUNCTION("""COMPUTED_VALUE"""),"Syracuse")</f>
        <v>Syracuse</v>
      </c>
      <c r="AP79" t="str">
        <f>IFERROR(__xludf.DUMMYFUNCTION("""COMPUTED_VALUE"""),"Temple")</f>
        <v>Temple</v>
      </c>
      <c r="AQ79" t="str">
        <f>IFERROR(__xludf.DUMMYFUNCTION("""COMPUTED_VALUE"""),"Troy")</f>
        <v>Troy</v>
      </c>
      <c r="AR79" t="str">
        <f>IFERROR(__xludf.DUMMYFUNCTION("""COMPUTED_VALUE"""),"Tulsa")</f>
        <v>Tulsa</v>
      </c>
      <c r="AS79" t="str">
        <f>IFERROR(__xludf.DUMMYFUNCTION("""COMPUTED_VALUE"""),"UAB")</f>
        <v>UAB</v>
      </c>
      <c r="AT79" t="str">
        <f>IFERROR(__xludf.DUMMYFUNCTION("""COMPUTED_VALUE"""),"UCF")</f>
        <v>UCF</v>
      </c>
      <c r="AU79" t="str">
        <f>IFERROR(__xludf.DUMMYFUNCTION("""COMPUTED_VALUE"""),"UCLA")</f>
        <v>UCLA</v>
      </c>
      <c r="AV79" t="str">
        <f>IFERROR(__xludf.DUMMYFUNCTION("""COMPUTED_VALUE"""),"UConn")</f>
        <v>UConn</v>
      </c>
      <c r="AW79" t="str">
        <f>IFERROR(__xludf.DUMMYFUNCTION("""COMPUTED_VALUE"""),"UL Monroe")</f>
        <v>UL Monroe</v>
      </c>
      <c r="AX79" t="str">
        <f>IFERROR(__xludf.DUMMYFUNCTION("""COMPUTED_VALUE"""),"UMASS")</f>
        <v>UMASS</v>
      </c>
      <c r="AY79" t="str">
        <f>IFERROR(__xludf.DUMMYFUNCTION("""COMPUTED_VALUE"""),"Utah State")</f>
        <v>Utah State</v>
      </c>
      <c r="AZ79" t="str">
        <f>IFERROR(__xludf.DUMMYFUNCTION("""COMPUTED_VALUE"""),"UTEP")</f>
        <v>UTEP</v>
      </c>
      <c r="BA79" t="str">
        <f>IFERROR(__xludf.DUMMYFUNCTION("""COMPUTED_VALUE"""),"Vanderbilt")</f>
        <v>Vanderbilt</v>
      </c>
      <c r="BB79" t="str">
        <f>IFERROR(__xludf.DUMMYFUNCTION("""COMPUTED_VALUE"""),"Virginia")</f>
        <v>Virginia</v>
      </c>
      <c r="BC79" t="str">
        <f>IFERROR(__xludf.DUMMYFUNCTION("""COMPUTED_VALUE"""),"Wake Forest")</f>
        <v>Wake Forest</v>
      </c>
      <c r="BD79" t="str">
        <f>IFERROR(__xludf.DUMMYFUNCTION("""COMPUTED_VALUE"""),"Washington State")</f>
        <v>Washington State</v>
      </c>
      <c r="BE79" t="str">
        <f>IFERROR(__xludf.DUMMYFUNCTION("""COMPUTED_VALUE"""),"West Virginia")</f>
        <v>West Virginia</v>
      </c>
      <c r="BF79" t="str">
        <f>IFERROR(__xludf.DUMMYFUNCTION("""COMPUTED_VALUE"""),"Wisconsin")</f>
        <v>Wisconsin</v>
      </c>
      <c r="BG79" t="str">
        <f>IFERROR(__xludf.DUMMYFUNCTION("""COMPUTED_VALUE"""),"Wyoming")</f>
        <v>Wyoming</v>
      </c>
    </row>
    <row r="80">
      <c r="A80" s="1">
        <v>79.0</v>
      </c>
      <c r="B80" t="str">
        <f>IFERROR(__xludf.DUMMYFUNCTION("split(join("","",sort(byrow('Teams-Conference'!A$2:A1000,lambda(rw,if(iserror(match(rw,DraftTracker!F$1:F80,0)),rw,""""))),1,1)),"","",1,1)"),"Arizona")</f>
        <v>Arizona</v>
      </c>
      <c r="C80" t="str">
        <f>IFERROR(__xludf.DUMMYFUNCTION("""COMPUTED_VALUE"""),"Arkansas")</f>
        <v>Arkansas</v>
      </c>
      <c r="D80" t="str">
        <f>IFERROR(__xludf.DUMMYFUNCTION("""COMPUTED_VALUE"""),"Arkansas State")</f>
        <v>Arkansas State</v>
      </c>
      <c r="E80" t="str">
        <f>IFERROR(__xludf.DUMMYFUNCTION("""COMPUTED_VALUE"""),"Ball State")</f>
        <v>Ball State</v>
      </c>
      <c r="F80" t="str">
        <f>IFERROR(__xludf.DUMMYFUNCTION("""COMPUTED_VALUE"""),"Boston College")</f>
        <v>Boston College</v>
      </c>
      <c r="G80" t="str">
        <f>IFERROR(__xludf.DUMMYFUNCTION("""COMPUTED_VALUE"""),"California")</f>
        <v>California</v>
      </c>
      <c r="H80" t="str">
        <f>IFERROR(__xludf.DUMMYFUNCTION("""COMPUTED_VALUE"""),"Charlotte")</f>
        <v>Charlotte</v>
      </c>
      <c r="I80" t="str">
        <f>IFERROR(__xludf.DUMMYFUNCTION("""COMPUTED_VALUE"""),"Cincinnati")</f>
        <v>Cincinnati</v>
      </c>
      <c r="J80" t="str">
        <f>IFERROR(__xludf.DUMMYFUNCTION("""COMPUTED_VALUE"""),"Coastal Carolina")</f>
        <v>Coastal Carolina</v>
      </c>
      <c r="K80" t="str">
        <f>IFERROR(__xludf.DUMMYFUNCTION("""COMPUTED_VALUE"""),"Colorado")</f>
        <v>Colorado</v>
      </c>
      <c r="L80" t="str">
        <f>IFERROR(__xludf.DUMMYFUNCTION("""COMPUTED_VALUE"""),"Delaware")</f>
        <v>Delaware</v>
      </c>
      <c r="M80" t="str">
        <f>IFERROR(__xludf.DUMMYFUNCTION("""COMPUTED_VALUE"""),"Duke")</f>
        <v>Duke</v>
      </c>
      <c r="N80" t="str">
        <f>IFERROR(__xludf.DUMMYFUNCTION("""COMPUTED_VALUE"""),"Florida Intl")</f>
        <v>Florida Intl</v>
      </c>
      <c r="O80" t="str">
        <f>IFERROR(__xludf.DUMMYFUNCTION("""COMPUTED_VALUE"""),"Georgia State")</f>
        <v>Georgia State</v>
      </c>
      <c r="P80" t="str">
        <f>IFERROR(__xludf.DUMMYFUNCTION("""COMPUTED_VALUE"""),"Houston")</f>
        <v>Houston</v>
      </c>
      <c r="Q80" t="str">
        <f>IFERROR(__xludf.DUMMYFUNCTION("""COMPUTED_VALUE"""),"Kennesaw State")</f>
        <v>Kennesaw State</v>
      </c>
      <c r="R80" t="str">
        <f>IFERROR(__xludf.DUMMYFUNCTION("""COMPUTED_VALUE"""),"Kent State")</f>
        <v>Kent State</v>
      </c>
      <c r="S80" t="str">
        <f>IFERROR(__xludf.DUMMYFUNCTION("""COMPUTED_VALUE"""),"Kentucky")</f>
        <v>Kentucky</v>
      </c>
      <c r="T80" t="str">
        <f>IFERROR(__xludf.DUMMYFUNCTION("""COMPUTED_VALUE"""),"Marshall")</f>
        <v>Marshall</v>
      </c>
      <c r="U80" t="str">
        <f>IFERROR(__xludf.DUMMYFUNCTION("""COMPUTED_VALUE"""),"Maryland")</f>
        <v>Maryland</v>
      </c>
      <c r="V80" t="str">
        <f>IFERROR(__xludf.DUMMYFUNCTION("""COMPUTED_VALUE"""),"Michigan State")</f>
        <v>Michigan State</v>
      </c>
      <c r="W80" t="str">
        <f>IFERROR(__xludf.DUMMYFUNCTION("""COMPUTED_VALUE"""),"Middle Tennessee")</f>
        <v>Middle Tennessee</v>
      </c>
      <c r="X80" t="str">
        <f>IFERROR(__xludf.DUMMYFUNCTION("""COMPUTED_VALUE"""),"Mississippi State")</f>
        <v>Mississippi State</v>
      </c>
      <c r="Y80" t="str">
        <f>IFERROR(__xludf.DUMMYFUNCTION("""COMPUTED_VALUE"""),"Missouri State")</f>
        <v>Missouri State</v>
      </c>
      <c r="Z80" t="str">
        <f>IFERROR(__xludf.DUMMYFUNCTION("""COMPUTED_VALUE"""),"NC State")</f>
        <v>NC State</v>
      </c>
      <c r="AA80" t="str">
        <f>IFERROR(__xludf.DUMMYFUNCTION("""COMPUTED_VALUE"""),"Nevada")</f>
        <v>Nevada</v>
      </c>
      <c r="AB80" t="str">
        <f>IFERROR(__xludf.DUMMYFUNCTION("""COMPUTED_VALUE"""),"New Mexico")</f>
        <v>New Mexico</v>
      </c>
      <c r="AC80" t="str">
        <f>IFERROR(__xludf.DUMMYFUNCTION("""COMPUTED_VALUE"""),"New Mexico State")</f>
        <v>New Mexico State</v>
      </c>
      <c r="AD80" t="str">
        <f>IFERROR(__xludf.DUMMYFUNCTION("""COMPUTED_VALUE"""),"Northwestern")</f>
        <v>Northwestern</v>
      </c>
      <c r="AE80" t="str">
        <f>IFERROR(__xludf.DUMMYFUNCTION("""COMPUTED_VALUE"""),"Oklahoma State")</f>
        <v>Oklahoma State</v>
      </c>
      <c r="AF80" t="str">
        <f>IFERROR(__xludf.DUMMYFUNCTION("""COMPUTED_VALUE"""),"Oregon State")</f>
        <v>Oregon State</v>
      </c>
      <c r="AG80" t="str">
        <f>IFERROR(__xludf.DUMMYFUNCTION("""COMPUTED_VALUE"""),"Pittsburgh")</f>
        <v>Pittsburgh</v>
      </c>
      <c r="AH80" t="str">
        <f>IFERROR(__xludf.DUMMYFUNCTION("""COMPUTED_VALUE"""),"Purdue")</f>
        <v>Purdue</v>
      </c>
      <c r="AI80" t="str">
        <f>IFERROR(__xludf.DUMMYFUNCTION("""COMPUTED_VALUE"""),"Rice")</f>
        <v>Rice</v>
      </c>
      <c r="AJ80" t="str">
        <f>IFERROR(__xludf.DUMMYFUNCTION("""COMPUTED_VALUE"""),"Rutgers")</f>
        <v>Rutgers</v>
      </c>
      <c r="AK80" t="str">
        <f>IFERROR(__xludf.DUMMYFUNCTION("""COMPUTED_VALUE"""),"Sam Houston")</f>
        <v>Sam Houston</v>
      </c>
      <c r="AL80" t="str">
        <f>IFERROR(__xludf.DUMMYFUNCTION("""COMPUTED_VALUE"""),"San Diego State")</f>
        <v>San Diego State</v>
      </c>
      <c r="AM80" t="str">
        <f>IFERROR(__xludf.DUMMYFUNCTION("""COMPUTED_VALUE"""),"Southern Mississippi")</f>
        <v>Southern Mississippi</v>
      </c>
      <c r="AN80" t="str">
        <f>IFERROR(__xludf.DUMMYFUNCTION("""COMPUTED_VALUE"""),"Stanford")</f>
        <v>Stanford</v>
      </c>
      <c r="AO80" t="str">
        <f>IFERROR(__xludf.DUMMYFUNCTION("""COMPUTED_VALUE"""),"Syracuse")</f>
        <v>Syracuse</v>
      </c>
      <c r="AP80" t="str">
        <f>IFERROR(__xludf.DUMMYFUNCTION("""COMPUTED_VALUE"""),"Temple")</f>
        <v>Temple</v>
      </c>
      <c r="AQ80" t="str">
        <f>IFERROR(__xludf.DUMMYFUNCTION("""COMPUTED_VALUE"""),"Tulsa")</f>
        <v>Tulsa</v>
      </c>
      <c r="AR80" t="str">
        <f>IFERROR(__xludf.DUMMYFUNCTION("""COMPUTED_VALUE"""),"UAB")</f>
        <v>UAB</v>
      </c>
      <c r="AS80" t="str">
        <f>IFERROR(__xludf.DUMMYFUNCTION("""COMPUTED_VALUE"""),"UCF")</f>
        <v>UCF</v>
      </c>
      <c r="AT80" t="str">
        <f>IFERROR(__xludf.DUMMYFUNCTION("""COMPUTED_VALUE"""),"UCLA")</f>
        <v>UCLA</v>
      </c>
      <c r="AU80" t="str">
        <f>IFERROR(__xludf.DUMMYFUNCTION("""COMPUTED_VALUE"""),"UConn")</f>
        <v>UConn</v>
      </c>
      <c r="AV80" t="str">
        <f>IFERROR(__xludf.DUMMYFUNCTION("""COMPUTED_VALUE"""),"UL Monroe")</f>
        <v>UL Monroe</v>
      </c>
      <c r="AW80" t="str">
        <f>IFERROR(__xludf.DUMMYFUNCTION("""COMPUTED_VALUE"""),"UMASS")</f>
        <v>UMASS</v>
      </c>
      <c r="AX80" t="str">
        <f>IFERROR(__xludf.DUMMYFUNCTION("""COMPUTED_VALUE"""),"Utah State")</f>
        <v>Utah State</v>
      </c>
      <c r="AY80" t="str">
        <f>IFERROR(__xludf.DUMMYFUNCTION("""COMPUTED_VALUE"""),"UTEP")</f>
        <v>UTEP</v>
      </c>
      <c r="AZ80" t="str">
        <f>IFERROR(__xludf.DUMMYFUNCTION("""COMPUTED_VALUE"""),"Vanderbilt")</f>
        <v>Vanderbilt</v>
      </c>
      <c r="BA80" t="str">
        <f>IFERROR(__xludf.DUMMYFUNCTION("""COMPUTED_VALUE"""),"Virginia")</f>
        <v>Virginia</v>
      </c>
      <c r="BB80" t="str">
        <f>IFERROR(__xludf.DUMMYFUNCTION("""COMPUTED_VALUE"""),"Wake Forest")</f>
        <v>Wake Forest</v>
      </c>
      <c r="BC80" t="str">
        <f>IFERROR(__xludf.DUMMYFUNCTION("""COMPUTED_VALUE"""),"Washington State")</f>
        <v>Washington State</v>
      </c>
      <c r="BD80" t="str">
        <f>IFERROR(__xludf.DUMMYFUNCTION("""COMPUTED_VALUE"""),"West Virginia")</f>
        <v>West Virginia</v>
      </c>
      <c r="BE80" t="str">
        <f>IFERROR(__xludf.DUMMYFUNCTION("""COMPUTED_VALUE"""),"Wisconsin")</f>
        <v>Wisconsin</v>
      </c>
      <c r="BF80" t="str">
        <f>IFERROR(__xludf.DUMMYFUNCTION("""COMPUTED_VALUE"""),"Wyoming")</f>
        <v>Wyoming</v>
      </c>
    </row>
    <row r="81">
      <c r="A81" s="1">
        <v>80.0</v>
      </c>
      <c r="B81" t="str">
        <f>IFERROR(__xludf.DUMMYFUNCTION("split(join("","",sort(byrow('Teams-Conference'!A$2:A1000,lambda(rw,if(iserror(match(rw,DraftTracker!F$1:F81,0)),rw,""""))),1,1)),"","",1,1)"),"Arizona")</f>
        <v>Arizona</v>
      </c>
      <c r="C81" t="str">
        <f>IFERROR(__xludf.DUMMYFUNCTION("""COMPUTED_VALUE"""),"Arkansas")</f>
        <v>Arkansas</v>
      </c>
      <c r="D81" t="str">
        <f>IFERROR(__xludf.DUMMYFUNCTION("""COMPUTED_VALUE"""),"Arkansas State")</f>
        <v>Arkansas State</v>
      </c>
      <c r="E81" t="str">
        <f>IFERROR(__xludf.DUMMYFUNCTION("""COMPUTED_VALUE"""),"Ball State")</f>
        <v>Ball State</v>
      </c>
      <c r="F81" t="str">
        <f>IFERROR(__xludf.DUMMYFUNCTION("""COMPUTED_VALUE"""),"Boston College")</f>
        <v>Boston College</v>
      </c>
      <c r="G81" t="str">
        <f>IFERROR(__xludf.DUMMYFUNCTION("""COMPUTED_VALUE"""),"California")</f>
        <v>California</v>
      </c>
      <c r="H81" t="str">
        <f>IFERROR(__xludf.DUMMYFUNCTION("""COMPUTED_VALUE"""),"Charlotte")</f>
        <v>Charlotte</v>
      </c>
      <c r="I81" t="str">
        <f>IFERROR(__xludf.DUMMYFUNCTION("""COMPUTED_VALUE"""),"Coastal Carolina")</f>
        <v>Coastal Carolina</v>
      </c>
      <c r="J81" t="str">
        <f>IFERROR(__xludf.DUMMYFUNCTION("""COMPUTED_VALUE"""),"Colorado")</f>
        <v>Colorado</v>
      </c>
      <c r="K81" t="str">
        <f>IFERROR(__xludf.DUMMYFUNCTION("""COMPUTED_VALUE"""),"Delaware")</f>
        <v>Delaware</v>
      </c>
      <c r="L81" t="str">
        <f>IFERROR(__xludf.DUMMYFUNCTION("""COMPUTED_VALUE"""),"Duke")</f>
        <v>Duke</v>
      </c>
      <c r="M81" t="str">
        <f>IFERROR(__xludf.DUMMYFUNCTION("""COMPUTED_VALUE"""),"Florida Intl")</f>
        <v>Florida Intl</v>
      </c>
      <c r="N81" t="str">
        <f>IFERROR(__xludf.DUMMYFUNCTION("""COMPUTED_VALUE"""),"Georgia State")</f>
        <v>Georgia State</v>
      </c>
      <c r="O81" t="str">
        <f>IFERROR(__xludf.DUMMYFUNCTION("""COMPUTED_VALUE"""),"Houston")</f>
        <v>Houston</v>
      </c>
      <c r="P81" t="str">
        <f>IFERROR(__xludf.DUMMYFUNCTION("""COMPUTED_VALUE"""),"Kennesaw State")</f>
        <v>Kennesaw State</v>
      </c>
      <c r="Q81" t="str">
        <f>IFERROR(__xludf.DUMMYFUNCTION("""COMPUTED_VALUE"""),"Kent State")</f>
        <v>Kent State</v>
      </c>
      <c r="R81" t="str">
        <f>IFERROR(__xludf.DUMMYFUNCTION("""COMPUTED_VALUE"""),"Kentucky")</f>
        <v>Kentucky</v>
      </c>
      <c r="S81" t="str">
        <f>IFERROR(__xludf.DUMMYFUNCTION("""COMPUTED_VALUE"""),"Marshall")</f>
        <v>Marshall</v>
      </c>
      <c r="T81" t="str">
        <f>IFERROR(__xludf.DUMMYFUNCTION("""COMPUTED_VALUE"""),"Maryland")</f>
        <v>Maryland</v>
      </c>
      <c r="U81" t="str">
        <f>IFERROR(__xludf.DUMMYFUNCTION("""COMPUTED_VALUE"""),"Michigan State")</f>
        <v>Michigan State</v>
      </c>
      <c r="V81" t="str">
        <f>IFERROR(__xludf.DUMMYFUNCTION("""COMPUTED_VALUE"""),"Middle Tennessee")</f>
        <v>Middle Tennessee</v>
      </c>
      <c r="W81" t="str">
        <f>IFERROR(__xludf.DUMMYFUNCTION("""COMPUTED_VALUE"""),"Mississippi State")</f>
        <v>Mississippi State</v>
      </c>
      <c r="X81" t="str">
        <f>IFERROR(__xludf.DUMMYFUNCTION("""COMPUTED_VALUE"""),"Missouri State")</f>
        <v>Missouri State</v>
      </c>
      <c r="Y81" t="str">
        <f>IFERROR(__xludf.DUMMYFUNCTION("""COMPUTED_VALUE"""),"NC State")</f>
        <v>NC State</v>
      </c>
      <c r="Z81" t="str">
        <f>IFERROR(__xludf.DUMMYFUNCTION("""COMPUTED_VALUE"""),"Nevada")</f>
        <v>Nevada</v>
      </c>
      <c r="AA81" t="str">
        <f>IFERROR(__xludf.DUMMYFUNCTION("""COMPUTED_VALUE"""),"New Mexico")</f>
        <v>New Mexico</v>
      </c>
      <c r="AB81" t="str">
        <f>IFERROR(__xludf.DUMMYFUNCTION("""COMPUTED_VALUE"""),"New Mexico State")</f>
        <v>New Mexico State</v>
      </c>
      <c r="AC81" t="str">
        <f>IFERROR(__xludf.DUMMYFUNCTION("""COMPUTED_VALUE"""),"Northwestern")</f>
        <v>Northwestern</v>
      </c>
      <c r="AD81" t="str">
        <f>IFERROR(__xludf.DUMMYFUNCTION("""COMPUTED_VALUE"""),"Oklahoma State")</f>
        <v>Oklahoma State</v>
      </c>
      <c r="AE81" t="str">
        <f>IFERROR(__xludf.DUMMYFUNCTION("""COMPUTED_VALUE"""),"Oregon State")</f>
        <v>Oregon State</v>
      </c>
      <c r="AF81" t="str">
        <f>IFERROR(__xludf.DUMMYFUNCTION("""COMPUTED_VALUE"""),"Pittsburgh")</f>
        <v>Pittsburgh</v>
      </c>
      <c r="AG81" t="str">
        <f>IFERROR(__xludf.DUMMYFUNCTION("""COMPUTED_VALUE"""),"Purdue")</f>
        <v>Purdue</v>
      </c>
      <c r="AH81" t="str">
        <f>IFERROR(__xludf.DUMMYFUNCTION("""COMPUTED_VALUE"""),"Rice")</f>
        <v>Rice</v>
      </c>
      <c r="AI81" t="str">
        <f>IFERROR(__xludf.DUMMYFUNCTION("""COMPUTED_VALUE"""),"Rutgers")</f>
        <v>Rutgers</v>
      </c>
      <c r="AJ81" t="str">
        <f>IFERROR(__xludf.DUMMYFUNCTION("""COMPUTED_VALUE"""),"Sam Houston")</f>
        <v>Sam Houston</v>
      </c>
      <c r="AK81" t="str">
        <f>IFERROR(__xludf.DUMMYFUNCTION("""COMPUTED_VALUE"""),"San Diego State")</f>
        <v>San Diego State</v>
      </c>
      <c r="AL81" t="str">
        <f>IFERROR(__xludf.DUMMYFUNCTION("""COMPUTED_VALUE"""),"Southern Mississippi")</f>
        <v>Southern Mississippi</v>
      </c>
      <c r="AM81" t="str">
        <f>IFERROR(__xludf.DUMMYFUNCTION("""COMPUTED_VALUE"""),"Stanford")</f>
        <v>Stanford</v>
      </c>
      <c r="AN81" t="str">
        <f>IFERROR(__xludf.DUMMYFUNCTION("""COMPUTED_VALUE"""),"Syracuse")</f>
        <v>Syracuse</v>
      </c>
      <c r="AO81" t="str">
        <f>IFERROR(__xludf.DUMMYFUNCTION("""COMPUTED_VALUE"""),"Temple")</f>
        <v>Temple</v>
      </c>
      <c r="AP81" t="str">
        <f>IFERROR(__xludf.DUMMYFUNCTION("""COMPUTED_VALUE"""),"Tulsa")</f>
        <v>Tulsa</v>
      </c>
      <c r="AQ81" t="str">
        <f>IFERROR(__xludf.DUMMYFUNCTION("""COMPUTED_VALUE"""),"UAB")</f>
        <v>UAB</v>
      </c>
      <c r="AR81" t="str">
        <f>IFERROR(__xludf.DUMMYFUNCTION("""COMPUTED_VALUE"""),"UCF")</f>
        <v>UCF</v>
      </c>
      <c r="AS81" t="str">
        <f>IFERROR(__xludf.DUMMYFUNCTION("""COMPUTED_VALUE"""),"UCLA")</f>
        <v>UCLA</v>
      </c>
      <c r="AT81" t="str">
        <f>IFERROR(__xludf.DUMMYFUNCTION("""COMPUTED_VALUE"""),"UConn")</f>
        <v>UConn</v>
      </c>
      <c r="AU81" t="str">
        <f>IFERROR(__xludf.DUMMYFUNCTION("""COMPUTED_VALUE"""),"UL Monroe")</f>
        <v>UL Monroe</v>
      </c>
      <c r="AV81" t="str">
        <f>IFERROR(__xludf.DUMMYFUNCTION("""COMPUTED_VALUE"""),"UMASS")</f>
        <v>UMASS</v>
      </c>
      <c r="AW81" t="str">
        <f>IFERROR(__xludf.DUMMYFUNCTION("""COMPUTED_VALUE"""),"Utah State")</f>
        <v>Utah State</v>
      </c>
      <c r="AX81" t="str">
        <f>IFERROR(__xludf.DUMMYFUNCTION("""COMPUTED_VALUE"""),"UTEP")</f>
        <v>UTEP</v>
      </c>
      <c r="AY81" t="str">
        <f>IFERROR(__xludf.DUMMYFUNCTION("""COMPUTED_VALUE"""),"Vanderbilt")</f>
        <v>Vanderbilt</v>
      </c>
      <c r="AZ81" t="str">
        <f>IFERROR(__xludf.DUMMYFUNCTION("""COMPUTED_VALUE"""),"Virginia")</f>
        <v>Virginia</v>
      </c>
      <c r="BA81" t="str">
        <f>IFERROR(__xludf.DUMMYFUNCTION("""COMPUTED_VALUE"""),"Wake Forest")</f>
        <v>Wake Forest</v>
      </c>
      <c r="BB81" t="str">
        <f>IFERROR(__xludf.DUMMYFUNCTION("""COMPUTED_VALUE"""),"Washington State")</f>
        <v>Washington State</v>
      </c>
      <c r="BC81" t="str">
        <f>IFERROR(__xludf.DUMMYFUNCTION("""COMPUTED_VALUE"""),"West Virginia")</f>
        <v>West Virginia</v>
      </c>
      <c r="BD81" t="str">
        <f>IFERROR(__xludf.DUMMYFUNCTION("""COMPUTED_VALUE"""),"Wisconsin")</f>
        <v>Wisconsin</v>
      </c>
      <c r="BE81" t="str">
        <f>IFERROR(__xludf.DUMMYFUNCTION("""COMPUTED_VALUE"""),"Wyoming")</f>
        <v>Wyoming</v>
      </c>
    </row>
    <row r="82">
      <c r="A82" s="1">
        <v>81.0</v>
      </c>
      <c r="B82" t="str">
        <f>IFERROR(__xludf.DUMMYFUNCTION("split(join("","",sort(byrow('Teams-Conference'!A$2:A1000,lambda(rw,if(iserror(match(rw,DraftTracker!F$1:F82,0)),rw,""""))),1,1)),"","",1,1)"),"Arizona")</f>
        <v>Arizona</v>
      </c>
      <c r="C82" t="str">
        <f>IFERROR(__xludf.DUMMYFUNCTION("""COMPUTED_VALUE"""),"Arkansas")</f>
        <v>Arkansas</v>
      </c>
      <c r="D82" t="str">
        <f>IFERROR(__xludf.DUMMYFUNCTION("""COMPUTED_VALUE"""),"Arkansas State")</f>
        <v>Arkansas State</v>
      </c>
      <c r="E82" t="str">
        <f>IFERROR(__xludf.DUMMYFUNCTION("""COMPUTED_VALUE"""),"Ball State")</f>
        <v>Ball State</v>
      </c>
      <c r="F82" t="str">
        <f>IFERROR(__xludf.DUMMYFUNCTION("""COMPUTED_VALUE"""),"Boston College")</f>
        <v>Boston College</v>
      </c>
      <c r="G82" t="str">
        <f>IFERROR(__xludf.DUMMYFUNCTION("""COMPUTED_VALUE"""),"California")</f>
        <v>California</v>
      </c>
      <c r="H82" t="str">
        <f>IFERROR(__xludf.DUMMYFUNCTION("""COMPUTED_VALUE"""),"Charlotte")</f>
        <v>Charlotte</v>
      </c>
      <c r="I82" t="str">
        <f>IFERROR(__xludf.DUMMYFUNCTION("""COMPUTED_VALUE"""),"Coastal Carolina")</f>
        <v>Coastal Carolina</v>
      </c>
      <c r="J82" t="str">
        <f>IFERROR(__xludf.DUMMYFUNCTION("""COMPUTED_VALUE"""),"Colorado")</f>
        <v>Colorado</v>
      </c>
      <c r="K82" t="str">
        <f>IFERROR(__xludf.DUMMYFUNCTION("""COMPUTED_VALUE"""),"Delaware")</f>
        <v>Delaware</v>
      </c>
      <c r="L82" t="str">
        <f>IFERROR(__xludf.DUMMYFUNCTION("""COMPUTED_VALUE"""),"Duke")</f>
        <v>Duke</v>
      </c>
      <c r="M82" t="str">
        <f>IFERROR(__xludf.DUMMYFUNCTION("""COMPUTED_VALUE"""),"Florida Intl")</f>
        <v>Florida Intl</v>
      </c>
      <c r="N82" t="str">
        <f>IFERROR(__xludf.DUMMYFUNCTION("""COMPUTED_VALUE"""),"Georgia State")</f>
        <v>Georgia State</v>
      </c>
      <c r="O82" t="str">
        <f>IFERROR(__xludf.DUMMYFUNCTION("""COMPUTED_VALUE"""),"Houston")</f>
        <v>Houston</v>
      </c>
      <c r="P82" t="str">
        <f>IFERROR(__xludf.DUMMYFUNCTION("""COMPUTED_VALUE"""),"Kennesaw State")</f>
        <v>Kennesaw State</v>
      </c>
      <c r="Q82" t="str">
        <f>IFERROR(__xludf.DUMMYFUNCTION("""COMPUTED_VALUE"""),"Kent State")</f>
        <v>Kent State</v>
      </c>
      <c r="R82" t="str">
        <f>IFERROR(__xludf.DUMMYFUNCTION("""COMPUTED_VALUE"""),"Kentucky")</f>
        <v>Kentucky</v>
      </c>
      <c r="S82" t="str">
        <f>IFERROR(__xludf.DUMMYFUNCTION("""COMPUTED_VALUE"""),"Marshall")</f>
        <v>Marshall</v>
      </c>
      <c r="T82" t="str">
        <f>IFERROR(__xludf.DUMMYFUNCTION("""COMPUTED_VALUE"""),"Maryland")</f>
        <v>Maryland</v>
      </c>
      <c r="U82" t="str">
        <f>IFERROR(__xludf.DUMMYFUNCTION("""COMPUTED_VALUE"""),"Michigan State")</f>
        <v>Michigan State</v>
      </c>
      <c r="V82" t="str">
        <f>IFERROR(__xludf.DUMMYFUNCTION("""COMPUTED_VALUE"""),"Middle Tennessee")</f>
        <v>Middle Tennessee</v>
      </c>
      <c r="W82" t="str">
        <f>IFERROR(__xludf.DUMMYFUNCTION("""COMPUTED_VALUE"""),"Mississippi State")</f>
        <v>Mississippi State</v>
      </c>
      <c r="X82" t="str">
        <f>IFERROR(__xludf.DUMMYFUNCTION("""COMPUTED_VALUE"""),"Missouri State")</f>
        <v>Missouri State</v>
      </c>
      <c r="Y82" t="str">
        <f>IFERROR(__xludf.DUMMYFUNCTION("""COMPUTED_VALUE"""),"NC State")</f>
        <v>NC State</v>
      </c>
      <c r="Z82" t="str">
        <f>IFERROR(__xludf.DUMMYFUNCTION("""COMPUTED_VALUE"""),"Nevada")</f>
        <v>Nevada</v>
      </c>
      <c r="AA82" t="str">
        <f>IFERROR(__xludf.DUMMYFUNCTION("""COMPUTED_VALUE"""),"New Mexico")</f>
        <v>New Mexico</v>
      </c>
      <c r="AB82" t="str">
        <f>IFERROR(__xludf.DUMMYFUNCTION("""COMPUTED_VALUE"""),"New Mexico State")</f>
        <v>New Mexico State</v>
      </c>
      <c r="AC82" t="str">
        <f>IFERROR(__xludf.DUMMYFUNCTION("""COMPUTED_VALUE"""),"Northwestern")</f>
        <v>Northwestern</v>
      </c>
      <c r="AD82" t="str">
        <f>IFERROR(__xludf.DUMMYFUNCTION("""COMPUTED_VALUE"""),"Oklahoma State")</f>
        <v>Oklahoma State</v>
      </c>
      <c r="AE82" t="str">
        <f>IFERROR(__xludf.DUMMYFUNCTION("""COMPUTED_VALUE"""),"Oregon State")</f>
        <v>Oregon State</v>
      </c>
      <c r="AF82" t="str">
        <f>IFERROR(__xludf.DUMMYFUNCTION("""COMPUTED_VALUE"""),"Pittsburgh")</f>
        <v>Pittsburgh</v>
      </c>
      <c r="AG82" t="str">
        <f>IFERROR(__xludf.DUMMYFUNCTION("""COMPUTED_VALUE"""),"Purdue")</f>
        <v>Purdue</v>
      </c>
      <c r="AH82" t="str">
        <f>IFERROR(__xludf.DUMMYFUNCTION("""COMPUTED_VALUE"""),"Rice")</f>
        <v>Rice</v>
      </c>
      <c r="AI82" t="str">
        <f>IFERROR(__xludf.DUMMYFUNCTION("""COMPUTED_VALUE"""),"Rutgers")</f>
        <v>Rutgers</v>
      </c>
      <c r="AJ82" t="str">
        <f>IFERROR(__xludf.DUMMYFUNCTION("""COMPUTED_VALUE"""),"Sam Houston")</f>
        <v>Sam Houston</v>
      </c>
      <c r="AK82" t="str">
        <f>IFERROR(__xludf.DUMMYFUNCTION("""COMPUTED_VALUE"""),"San Diego State")</f>
        <v>San Diego State</v>
      </c>
      <c r="AL82" t="str">
        <f>IFERROR(__xludf.DUMMYFUNCTION("""COMPUTED_VALUE"""),"Southern Mississippi")</f>
        <v>Southern Mississippi</v>
      </c>
      <c r="AM82" t="str">
        <f>IFERROR(__xludf.DUMMYFUNCTION("""COMPUTED_VALUE"""),"Stanford")</f>
        <v>Stanford</v>
      </c>
      <c r="AN82" t="str">
        <f>IFERROR(__xludf.DUMMYFUNCTION("""COMPUTED_VALUE"""),"Syracuse")</f>
        <v>Syracuse</v>
      </c>
      <c r="AO82" t="str">
        <f>IFERROR(__xludf.DUMMYFUNCTION("""COMPUTED_VALUE"""),"Temple")</f>
        <v>Temple</v>
      </c>
      <c r="AP82" t="str">
        <f>IFERROR(__xludf.DUMMYFUNCTION("""COMPUTED_VALUE"""),"Tulsa")</f>
        <v>Tulsa</v>
      </c>
      <c r="AQ82" t="str">
        <f>IFERROR(__xludf.DUMMYFUNCTION("""COMPUTED_VALUE"""),"UAB")</f>
        <v>UAB</v>
      </c>
      <c r="AR82" t="str">
        <f>IFERROR(__xludf.DUMMYFUNCTION("""COMPUTED_VALUE"""),"UCLA")</f>
        <v>UCLA</v>
      </c>
      <c r="AS82" t="str">
        <f>IFERROR(__xludf.DUMMYFUNCTION("""COMPUTED_VALUE"""),"UConn")</f>
        <v>UConn</v>
      </c>
      <c r="AT82" t="str">
        <f>IFERROR(__xludf.DUMMYFUNCTION("""COMPUTED_VALUE"""),"UL Monroe")</f>
        <v>UL Monroe</v>
      </c>
      <c r="AU82" t="str">
        <f>IFERROR(__xludf.DUMMYFUNCTION("""COMPUTED_VALUE"""),"UMASS")</f>
        <v>UMASS</v>
      </c>
      <c r="AV82" t="str">
        <f>IFERROR(__xludf.DUMMYFUNCTION("""COMPUTED_VALUE"""),"Utah State")</f>
        <v>Utah State</v>
      </c>
      <c r="AW82" t="str">
        <f>IFERROR(__xludf.DUMMYFUNCTION("""COMPUTED_VALUE"""),"UTEP")</f>
        <v>UTEP</v>
      </c>
      <c r="AX82" t="str">
        <f>IFERROR(__xludf.DUMMYFUNCTION("""COMPUTED_VALUE"""),"Vanderbilt")</f>
        <v>Vanderbilt</v>
      </c>
      <c r="AY82" t="str">
        <f>IFERROR(__xludf.DUMMYFUNCTION("""COMPUTED_VALUE"""),"Virginia")</f>
        <v>Virginia</v>
      </c>
      <c r="AZ82" t="str">
        <f>IFERROR(__xludf.DUMMYFUNCTION("""COMPUTED_VALUE"""),"Wake Forest")</f>
        <v>Wake Forest</v>
      </c>
      <c r="BA82" t="str">
        <f>IFERROR(__xludf.DUMMYFUNCTION("""COMPUTED_VALUE"""),"Washington State")</f>
        <v>Washington State</v>
      </c>
      <c r="BB82" t="str">
        <f>IFERROR(__xludf.DUMMYFUNCTION("""COMPUTED_VALUE"""),"West Virginia")</f>
        <v>West Virginia</v>
      </c>
      <c r="BC82" t="str">
        <f>IFERROR(__xludf.DUMMYFUNCTION("""COMPUTED_VALUE"""),"Wisconsin")</f>
        <v>Wisconsin</v>
      </c>
      <c r="BD82" t="str">
        <f>IFERROR(__xludf.DUMMYFUNCTION("""COMPUTED_VALUE"""),"Wyoming")</f>
        <v>Wyoming</v>
      </c>
    </row>
    <row r="83">
      <c r="A83" s="1">
        <v>82.0</v>
      </c>
      <c r="B83" t="str">
        <f>IFERROR(__xludf.DUMMYFUNCTION("split(join("","",sort(byrow('Teams-Conference'!A$2:A1000,lambda(rw,if(iserror(match(rw,DraftTracker!F$1:F83,0)),rw,""""))),1,1)),"","",1,1)"),"Arizona")</f>
        <v>Arizona</v>
      </c>
      <c r="C83" t="str">
        <f>IFERROR(__xludf.DUMMYFUNCTION("""COMPUTED_VALUE"""),"Arkansas")</f>
        <v>Arkansas</v>
      </c>
      <c r="D83" t="str">
        <f>IFERROR(__xludf.DUMMYFUNCTION("""COMPUTED_VALUE"""),"Arkansas State")</f>
        <v>Arkansas State</v>
      </c>
      <c r="E83" t="str">
        <f>IFERROR(__xludf.DUMMYFUNCTION("""COMPUTED_VALUE"""),"Ball State")</f>
        <v>Ball State</v>
      </c>
      <c r="F83" t="str">
        <f>IFERROR(__xludf.DUMMYFUNCTION("""COMPUTED_VALUE"""),"Boston College")</f>
        <v>Boston College</v>
      </c>
      <c r="G83" t="str">
        <f>IFERROR(__xludf.DUMMYFUNCTION("""COMPUTED_VALUE"""),"California")</f>
        <v>California</v>
      </c>
      <c r="H83" t="str">
        <f>IFERROR(__xludf.DUMMYFUNCTION("""COMPUTED_VALUE"""),"Charlotte")</f>
        <v>Charlotte</v>
      </c>
      <c r="I83" t="str">
        <f>IFERROR(__xludf.DUMMYFUNCTION("""COMPUTED_VALUE"""),"Coastal Carolina")</f>
        <v>Coastal Carolina</v>
      </c>
      <c r="J83" t="str">
        <f>IFERROR(__xludf.DUMMYFUNCTION("""COMPUTED_VALUE"""),"Colorado")</f>
        <v>Colorado</v>
      </c>
      <c r="K83" t="str">
        <f>IFERROR(__xludf.DUMMYFUNCTION("""COMPUTED_VALUE"""),"Delaware")</f>
        <v>Delaware</v>
      </c>
      <c r="L83" t="str">
        <f>IFERROR(__xludf.DUMMYFUNCTION("""COMPUTED_VALUE"""),"Florida Intl")</f>
        <v>Florida Intl</v>
      </c>
      <c r="M83" t="str">
        <f>IFERROR(__xludf.DUMMYFUNCTION("""COMPUTED_VALUE"""),"Georgia State")</f>
        <v>Georgia State</v>
      </c>
      <c r="N83" t="str">
        <f>IFERROR(__xludf.DUMMYFUNCTION("""COMPUTED_VALUE"""),"Houston")</f>
        <v>Houston</v>
      </c>
      <c r="O83" t="str">
        <f>IFERROR(__xludf.DUMMYFUNCTION("""COMPUTED_VALUE"""),"Kennesaw State")</f>
        <v>Kennesaw State</v>
      </c>
      <c r="P83" t="str">
        <f>IFERROR(__xludf.DUMMYFUNCTION("""COMPUTED_VALUE"""),"Kent State")</f>
        <v>Kent State</v>
      </c>
      <c r="Q83" t="str">
        <f>IFERROR(__xludf.DUMMYFUNCTION("""COMPUTED_VALUE"""),"Kentucky")</f>
        <v>Kentucky</v>
      </c>
      <c r="R83" t="str">
        <f>IFERROR(__xludf.DUMMYFUNCTION("""COMPUTED_VALUE"""),"Marshall")</f>
        <v>Marshall</v>
      </c>
      <c r="S83" t="str">
        <f>IFERROR(__xludf.DUMMYFUNCTION("""COMPUTED_VALUE"""),"Maryland")</f>
        <v>Maryland</v>
      </c>
      <c r="T83" t="str">
        <f>IFERROR(__xludf.DUMMYFUNCTION("""COMPUTED_VALUE"""),"Michigan State")</f>
        <v>Michigan State</v>
      </c>
      <c r="U83" t="str">
        <f>IFERROR(__xludf.DUMMYFUNCTION("""COMPUTED_VALUE"""),"Middle Tennessee")</f>
        <v>Middle Tennessee</v>
      </c>
      <c r="V83" t="str">
        <f>IFERROR(__xludf.DUMMYFUNCTION("""COMPUTED_VALUE"""),"Mississippi State")</f>
        <v>Mississippi State</v>
      </c>
      <c r="W83" t="str">
        <f>IFERROR(__xludf.DUMMYFUNCTION("""COMPUTED_VALUE"""),"Missouri State")</f>
        <v>Missouri State</v>
      </c>
      <c r="X83" t="str">
        <f>IFERROR(__xludf.DUMMYFUNCTION("""COMPUTED_VALUE"""),"NC State")</f>
        <v>NC State</v>
      </c>
      <c r="Y83" t="str">
        <f>IFERROR(__xludf.DUMMYFUNCTION("""COMPUTED_VALUE"""),"Nevada")</f>
        <v>Nevada</v>
      </c>
      <c r="Z83" t="str">
        <f>IFERROR(__xludf.DUMMYFUNCTION("""COMPUTED_VALUE"""),"New Mexico")</f>
        <v>New Mexico</v>
      </c>
      <c r="AA83" t="str">
        <f>IFERROR(__xludf.DUMMYFUNCTION("""COMPUTED_VALUE"""),"New Mexico State")</f>
        <v>New Mexico State</v>
      </c>
      <c r="AB83" t="str">
        <f>IFERROR(__xludf.DUMMYFUNCTION("""COMPUTED_VALUE"""),"Northwestern")</f>
        <v>Northwestern</v>
      </c>
      <c r="AC83" t="str">
        <f>IFERROR(__xludf.DUMMYFUNCTION("""COMPUTED_VALUE"""),"Oklahoma State")</f>
        <v>Oklahoma State</v>
      </c>
      <c r="AD83" t="str">
        <f>IFERROR(__xludf.DUMMYFUNCTION("""COMPUTED_VALUE"""),"Oregon State")</f>
        <v>Oregon State</v>
      </c>
      <c r="AE83" t="str">
        <f>IFERROR(__xludf.DUMMYFUNCTION("""COMPUTED_VALUE"""),"Pittsburgh")</f>
        <v>Pittsburgh</v>
      </c>
      <c r="AF83" t="str">
        <f>IFERROR(__xludf.DUMMYFUNCTION("""COMPUTED_VALUE"""),"Purdue")</f>
        <v>Purdue</v>
      </c>
      <c r="AG83" t="str">
        <f>IFERROR(__xludf.DUMMYFUNCTION("""COMPUTED_VALUE"""),"Rice")</f>
        <v>Rice</v>
      </c>
      <c r="AH83" t="str">
        <f>IFERROR(__xludf.DUMMYFUNCTION("""COMPUTED_VALUE"""),"Rutgers")</f>
        <v>Rutgers</v>
      </c>
      <c r="AI83" t="str">
        <f>IFERROR(__xludf.DUMMYFUNCTION("""COMPUTED_VALUE"""),"Sam Houston")</f>
        <v>Sam Houston</v>
      </c>
      <c r="AJ83" t="str">
        <f>IFERROR(__xludf.DUMMYFUNCTION("""COMPUTED_VALUE"""),"San Diego State")</f>
        <v>San Diego State</v>
      </c>
      <c r="AK83" t="str">
        <f>IFERROR(__xludf.DUMMYFUNCTION("""COMPUTED_VALUE"""),"Southern Mississippi")</f>
        <v>Southern Mississippi</v>
      </c>
      <c r="AL83" t="str">
        <f>IFERROR(__xludf.DUMMYFUNCTION("""COMPUTED_VALUE"""),"Stanford")</f>
        <v>Stanford</v>
      </c>
      <c r="AM83" t="str">
        <f>IFERROR(__xludf.DUMMYFUNCTION("""COMPUTED_VALUE"""),"Syracuse")</f>
        <v>Syracuse</v>
      </c>
      <c r="AN83" t="str">
        <f>IFERROR(__xludf.DUMMYFUNCTION("""COMPUTED_VALUE"""),"Temple")</f>
        <v>Temple</v>
      </c>
      <c r="AO83" t="str">
        <f>IFERROR(__xludf.DUMMYFUNCTION("""COMPUTED_VALUE"""),"Tulsa")</f>
        <v>Tulsa</v>
      </c>
      <c r="AP83" t="str">
        <f>IFERROR(__xludf.DUMMYFUNCTION("""COMPUTED_VALUE"""),"UAB")</f>
        <v>UAB</v>
      </c>
      <c r="AQ83" t="str">
        <f>IFERROR(__xludf.DUMMYFUNCTION("""COMPUTED_VALUE"""),"UCLA")</f>
        <v>UCLA</v>
      </c>
      <c r="AR83" t="str">
        <f>IFERROR(__xludf.DUMMYFUNCTION("""COMPUTED_VALUE"""),"UConn")</f>
        <v>UConn</v>
      </c>
      <c r="AS83" t="str">
        <f>IFERROR(__xludf.DUMMYFUNCTION("""COMPUTED_VALUE"""),"UL Monroe")</f>
        <v>UL Monroe</v>
      </c>
      <c r="AT83" t="str">
        <f>IFERROR(__xludf.DUMMYFUNCTION("""COMPUTED_VALUE"""),"UMASS")</f>
        <v>UMASS</v>
      </c>
      <c r="AU83" t="str">
        <f>IFERROR(__xludf.DUMMYFUNCTION("""COMPUTED_VALUE"""),"Utah State")</f>
        <v>Utah State</v>
      </c>
      <c r="AV83" t="str">
        <f>IFERROR(__xludf.DUMMYFUNCTION("""COMPUTED_VALUE"""),"UTEP")</f>
        <v>UTEP</v>
      </c>
      <c r="AW83" t="str">
        <f>IFERROR(__xludf.DUMMYFUNCTION("""COMPUTED_VALUE"""),"Vanderbilt")</f>
        <v>Vanderbilt</v>
      </c>
      <c r="AX83" t="str">
        <f>IFERROR(__xludf.DUMMYFUNCTION("""COMPUTED_VALUE"""),"Virginia")</f>
        <v>Virginia</v>
      </c>
      <c r="AY83" t="str">
        <f>IFERROR(__xludf.DUMMYFUNCTION("""COMPUTED_VALUE"""),"Wake Forest")</f>
        <v>Wake Forest</v>
      </c>
      <c r="AZ83" t="str">
        <f>IFERROR(__xludf.DUMMYFUNCTION("""COMPUTED_VALUE"""),"Washington State")</f>
        <v>Washington State</v>
      </c>
      <c r="BA83" t="str">
        <f>IFERROR(__xludf.DUMMYFUNCTION("""COMPUTED_VALUE"""),"West Virginia")</f>
        <v>West Virginia</v>
      </c>
      <c r="BB83" t="str">
        <f>IFERROR(__xludf.DUMMYFUNCTION("""COMPUTED_VALUE"""),"Wisconsin")</f>
        <v>Wisconsin</v>
      </c>
      <c r="BC83" t="str">
        <f>IFERROR(__xludf.DUMMYFUNCTION("""COMPUTED_VALUE"""),"Wyoming")</f>
        <v>Wyoming</v>
      </c>
    </row>
    <row r="84">
      <c r="A84" s="1">
        <v>83.0</v>
      </c>
      <c r="B84" t="str">
        <f>IFERROR(__xludf.DUMMYFUNCTION("split(join("","",sort(byrow('Teams-Conference'!A$2:A1000,lambda(rw,if(iserror(match(rw,DraftTracker!F$1:F84,0)),rw,""""))),1,1)),"","",1,1)"),"Arizona")</f>
        <v>Arizona</v>
      </c>
      <c r="C84" t="str">
        <f>IFERROR(__xludf.DUMMYFUNCTION("""COMPUTED_VALUE"""),"Arkansas")</f>
        <v>Arkansas</v>
      </c>
      <c r="D84" t="str">
        <f>IFERROR(__xludf.DUMMYFUNCTION("""COMPUTED_VALUE"""),"Arkansas State")</f>
        <v>Arkansas State</v>
      </c>
      <c r="E84" t="str">
        <f>IFERROR(__xludf.DUMMYFUNCTION("""COMPUTED_VALUE"""),"Ball State")</f>
        <v>Ball State</v>
      </c>
      <c r="F84" t="str">
        <f>IFERROR(__xludf.DUMMYFUNCTION("""COMPUTED_VALUE"""),"Boston College")</f>
        <v>Boston College</v>
      </c>
      <c r="G84" t="str">
        <f>IFERROR(__xludf.DUMMYFUNCTION("""COMPUTED_VALUE"""),"California")</f>
        <v>California</v>
      </c>
      <c r="H84" t="str">
        <f>IFERROR(__xludf.DUMMYFUNCTION("""COMPUTED_VALUE"""),"Charlotte")</f>
        <v>Charlotte</v>
      </c>
      <c r="I84" t="str">
        <f>IFERROR(__xludf.DUMMYFUNCTION("""COMPUTED_VALUE"""),"Coastal Carolina")</f>
        <v>Coastal Carolina</v>
      </c>
      <c r="J84" t="str">
        <f>IFERROR(__xludf.DUMMYFUNCTION("""COMPUTED_VALUE"""),"Colorado")</f>
        <v>Colorado</v>
      </c>
      <c r="K84" t="str">
        <f>IFERROR(__xludf.DUMMYFUNCTION("""COMPUTED_VALUE"""),"Delaware")</f>
        <v>Delaware</v>
      </c>
      <c r="L84" t="str">
        <f>IFERROR(__xludf.DUMMYFUNCTION("""COMPUTED_VALUE"""),"Florida Intl")</f>
        <v>Florida Intl</v>
      </c>
      <c r="M84" t="str">
        <f>IFERROR(__xludf.DUMMYFUNCTION("""COMPUTED_VALUE"""),"Georgia State")</f>
        <v>Georgia State</v>
      </c>
      <c r="N84" t="str">
        <f>IFERROR(__xludf.DUMMYFUNCTION("""COMPUTED_VALUE"""),"Houston")</f>
        <v>Houston</v>
      </c>
      <c r="O84" t="str">
        <f>IFERROR(__xludf.DUMMYFUNCTION("""COMPUTED_VALUE"""),"Kennesaw State")</f>
        <v>Kennesaw State</v>
      </c>
      <c r="P84" t="str">
        <f>IFERROR(__xludf.DUMMYFUNCTION("""COMPUTED_VALUE"""),"Kent State")</f>
        <v>Kent State</v>
      </c>
      <c r="Q84" t="str">
        <f>IFERROR(__xludf.DUMMYFUNCTION("""COMPUTED_VALUE"""),"Kentucky")</f>
        <v>Kentucky</v>
      </c>
      <c r="R84" t="str">
        <f>IFERROR(__xludf.DUMMYFUNCTION("""COMPUTED_VALUE"""),"Marshall")</f>
        <v>Marshall</v>
      </c>
      <c r="S84" t="str">
        <f>IFERROR(__xludf.DUMMYFUNCTION("""COMPUTED_VALUE"""),"Maryland")</f>
        <v>Maryland</v>
      </c>
      <c r="T84" t="str">
        <f>IFERROR(__xludf.DUMMYFUNCTION("""COMPUTED_VALUE"""),"Michigan State")</f>
        <v>Michigan State</v>
      </c>
      <c r="U84" t="str">
        <f>IFERROR(__xludf.DUMMYFUNCTION("""COMPUTED_VALUE"""),"Middle Tennessee")</f>
        <v>Middle Tennessee</v>
      </c>
      <c r="V84" t="str">
        <f>IFERROR(__xludf.DUMMYFUNCTION("""COMPUTED_VALUE"""),"Mississippi State")</f>
        <v>Mississippi State</v>
      </c>
      <c r="W84" t="str">
        <f>IFERROR(__xludf.DUMMYFUNCTION("""COMPUTED_VALUE"""),"Missouri State")</f>
        <v>Missouri State</v>
      </c>
      <c r="X84" t="str">
        <f>IFERROR(__xludf.DUMMYFUNCTION("""COMPUTED_VALUE"""),"NC State")</f>
        <v>NC State</v>
      </c>
      <c r="Y84" t="str">
        <f>IFERROR(__xludf.DUMMYFUNCTION("""COMPUTED_VALUE"""),"Nevada")</f>
        <v>Nevada</v>
      </c>
      <c r="Z84" t="str">
        <f>IFERROR(__xludf.DUMMYFUNCTION("""COMPUTED_VALUE"""),"New Mexico")</f>
        <v>New Mexico</v>
      </c>
      <c r="AA84" t="str">
        <f>IFERROR(__xludf.DUMMYFUNCTION("""COMPUTED_VALUE"""),"New Mexico State")</f>
        <v>New Mexico State</v>
      </c>
      <c r="AB84" t="str">
        <f>IFERROR(__xludf.DUMMYFUNCTION("""COMPUTED_VALUE"""),"Northwestern")</f>
        <v>Northwestern</v>
      </c>
      <c r="AC84" t="str">
        <f>IFERROR(__xludf.DUMMYFUNCTION("""COMPUTED_VALUE"""),"Oklahoma State")</f>
        <v>Oklahoma State</v>
      </c>
      <c r="AD84" t="str">
        <f>IFERROR(__xludf.DUMMYFUNCTION("""COMPUTED_VALUE"""),"Oregon State")</f>
        <v>Oregon State</v>
      </c>
      <c r="AE84" t="str">
        <f>IFERROR(__xludf.DUMMYFUNCTION("""COMPUTED_VALUE"""),"Pittsburgh")</f>
        <v>Pittsburgh</v>
      </c>
      <c r="AF84" t="str">
        <f>IFERROR(__xludf.DUMMYFUNCTION("""COMPUTED_VALUE"""),"Purdue")</f>
        <v>Purdue</v>
      </c>
      <c r="AG84" t="str">
        <f>IFERROR(__xludf.DUMMYFUNCTION("""COMPUTED_VALUE"""),"Rice")</f>
        <v>Rice</v>
      </c>
      <c r="AH84" t="str">
        <f>IFERROR(__xludf.DUMMYFUNCTION("""COMPUTED_VALUE"""),"Rutgers")</f>
        <v>Rutgers</v>
      </c>
      <c r="AI84" t="str">
        <f>IFERROR(__xludf.DUMMYFUNCTION("""COMPUTED_VALUE"""),"Sam Houston")</f>
        <v>Sam Houston</v>
      </c>
      <c r="AJ84" t="str">
        <f>IFERROR(__xludf.DUMMYFUNCTION("""COMPUTED_VALUE"""),"San Diego State")</f>
        <v>San Diego State</v>
      </c>
      <c r="AK84" t="str">
        <f>IFERROR(__xludf.DUMMYFUNCTION("""COMPUTED_VALUE"""),"Southern Mississippi")</f>
        <v>Southern Mississippi</v>
      </c>
      <c r="AL84" t="str">
        <f>IFERROR(__xludf.DUMMYFUNCTION("""COMPUTED_VALUE"""),"Stanford")</f>
        <v>Stanford</v>
      </c>
      <c r="AM84" t="str">
        <f>IFERROR(__xludf.DUMMYFUNCTION("""COMPUTED_VALUE"""),"Syracuse")</f>
        <v>Syracuse</v>
      </c>
      <c r="AN84" t="str">
        <f>IFERROR(__xludf.DUMMYFUNCTION("""COMPUTED_VALUE"""),"Temple")</f>
        <v>Temple</v>
      </c>
      <c r="AO84" t="str">
        <f>IFERROR(__xludf.DUMMYFUNCTION("""COMPUTED_VALUE"""),"Tulsa")</f>
        <v>Tulsa</v>
      </c>
      <c r="AP84" t="str">
        <f>IFERROR(__xludf.DUMMYFUNCTION("""COMPUTED_VALUE"""),"UAB")</f>
        <v>UAB</v>
      </c>
      <c r="AQ84" t="str">
        <f>IFERROR(__xludf.DUMMYFUNCTION("""COMPUTED_VALUE"""),"UCLA")</f>
        <v>UCLA</v>
      </c>
      <c r="AR84" t="str">
        <f>IFERROR(__xludf.DUMMYFUNCTION("""COMPUTED_VALUE"""),"UL Monroe")</f>
        <v>UL Monroe</v>
      </c>
      <c r="AS84" t="str">
        <f>IFERROR(__xludf.DUMMYFUNCTION("""COMPUTED_VALUE"""),"UMASS")</f>
        <v>UMASS</v>
      </c>
      <c r="AT84" t="str">
        <f>IFERROR(__xludf.DUMMYFUNCTION("""COMPUTED_VALUE"""),"Utah State")</f>
        <v>Utah State</v>
      </c>
      <c r="AU84" t="str">
        <f>IFERROR(__xludf.DUMMYFUNCTION("""COMPUTED_VALUE"""),"UTEP")</f>
        <v>UTEP</v>
      </c>
      <c r="AV84" t="str">
        <f>IFERROR(__xludf.DUMMYFUNCTION("""COMPUTED_VALUE"""),"Vanderbilt")</f>
        <v>Vanderbilt</v>
      </c>
      <c r="AW84" t="str">
        <f>IFERROR(__xludf.DUMMYFUNCTION("""COMPUTED_VALUE"""),"Virginia")</f>
        <v>Virginia</v>
      </c>
      <c r="AX84" t="str">
        <f>IFERROR(__xludf.DUMMYFUNCTION("""COMPUTED_VALUE"""),"Wake Forest")</f>
        <v>Wake Forest</v>
      </c>
      <c r="AY84" t="str">
        <f>IFERROR(__xludf.DUMMYFUNCTION("""COMPUTED_VALUE"""),"Washington State")</f>
        <v>Washington State</v>
      </c>
      <c r="AZ84" t="str">
        <f>IFERROR(__xludf.DUMMYFUNCTION("""COMPUTED_VALUE"""),"West Virginia")</f>
        <v>West Virginia</v>
      </c>
      <c r="BA84" t="str">
        <f>IFERROR(__xludf.DUMMYFUNCTION("""COMPUTED_VALUE"""),"Wisconsin")</f>
        <v>Wisconsin</v>
      </c>
      <c r="BB84" t="str">
        <f>IFERROR(__xludf.DUMMYFUNCTION("""COMPUTED_VALUE"""),"Wyoming")</f>
        <v>Wyoming</v>
      </c>
    </row>
    <row r="85">
      <c r="A85" s="1">
        <v>84.0</v>
      </c>
      <c r="B85" t="str">
        <f>IFERROR(__xludf.DUMMYFUNCTION("split(join("","",sort(byrow('Teams-Conference'!A$2:A1000,lambda(rw,if(iserror(match(rw,DraftTracker!F$1:F85,0)),rw,""""))),1,1)),"","",1,1)"),"Arizona")</f>
        <v>Arizona</v>
      </c>
      <c r="C85" t="str">
        <f>IFERROR(__xludf.DUMMYFUNCTION("""COMPUTED_VALUE"""),"Arkansas")</f>
        <v>Arkansas</v>
      </c>
      <c r="D85" t="str">
        <f>IFERROR(__xludf.DUMMYFUNCTION("""COMPUTED_VALUE"""),"Arkansas State")</f>
        <v>Arkansas State</v>
      </c>
      <c r="E85" t="str">
        <f>IFERROR(__xludf.DUMMYFUNCTION("""COMPUTED_VALUE"""),"Ball State")</f>
        <v>Ball State</v>
      </c>
      <c r="F85" t="str">
        <f>IFERROR(__xludf.DUMMYFUNCTION("""COMPUTED_VALUE"""),"Boston College")</f>
        <v>Boston College</v>
      </c>
      <c r="G85" t="str">
        <f>IFERROR(__xludf.DUMMYFUNCTION("""COMPUTED_VALUE"""),"California")</f>
        <v>California</v>
      </c>
      <c r="H85" t="str">
        <f>IFERROR(__xludf.DUMMYFUNCTION("""COMPUTED_VALUE"""),"Charlotte")</f>
        <v>Charlotte</v>
      </c>
      <c r="I85" t="str">
        <f>IFERROR(__xludf.DUMMYFUNCTION("""COMPUTED_VALUE"""),"Coastal Carolina")</f>
        <v>Coastal Carolina</v>
      </c>
      <c r="J85" t="str">
        <f>IFERROR(__xludf.DUMMYFUNCTION("""COMPUTED_VALUE"""),"Colorado")</f>
        <v>Colorado</v>
      </c>
      <c r="K85" t="str">
        <f>IFERROR(__xludf.DUMMYFUNCTION("""COMPUTED_VALUE"""),"Delaware")</f>
        <v>Delaware</v>
      </c>
      <c r="L85" t="str">
        <f>IFERROR(__xludf.DUMMYFUNCTION("""COMPUTED_VALUE"""),"Georgia State")</f>
        <v>Georgia State</v>
      </c>
      <c r="M85" t="str">
        <f>IFERROR(__xludf.DUMMYFUNCTION("""COMPUTED_VALUE"""),"Houston")</f>
        <v>Houston</v>
      </c>
      <c r="N85" t="str">
        <f>IFERROR(__xludf.DUMMYFUNCTION("""COMPUTED_VALUE"""),"Kennesaw State")</f>
        <v>Kennesaw State</v>
      </c>
      <c r="O85" t="str">
        <f>IFERROR(__xludf.DUMMYFUNCTION("""COMPUTED_VALUE"""),"Kent State")</f>
        <v>Kent State</v>
      </c>
      <c r="P85" t="str">
        <f>IFERROR(__xludf.DUMMYFUNCTION("""COMPUTED_VALUE"""),"Kentucky")</f>
        <v>Kentucky</v>
      </c>
      <c r="Q85" t="str">
        <f>IFERROR(__xludf.DUMMYFUNCTION("""COMPUTED_VALUE"""),"Marshall")</f>
        <v>Marshall</v>
      </c>
      <c r="R85" t="str">
        <f>IFERROR(__xludf.DUMMYFUNCTION("""COMPUTED_VALUE"""),"Maryland")</f>
        <v>Maryland</v>
      </c>
      <c r="S85" t="str">
        <f>IFERROR(__xludf.DUMMYFUNCTION("""COMPUTED_VALUE"""),"Michigan State")</f>
        <v>Michigan State</v>
      </c>
      <c r="T85" t="str">
        <f>IFERROR(__xludf.DUMMYFUNCTION("""COMPUTED_VALUE"""),"Middle Tennessee")</f>
        <v>Middle Tennessee</v>
      </c>
      <c r="U85" t="str">
        <f>IFERROR(__xludf.DUMMYFUNCTION("""COMPUTED_VALUE"""),"Mississippi State")</f>
        <v>Mississippi State</v>
      </c>
      <c r="V85" t="str">
        <f>IFERROR(__xludf.DUMMYFUNCTION("""COMPUTED_VALUE"""),"Missouri State")</f>
        <v>Missouri State</v>
      </c>
      <c r="W85" t="str">
        <f>IFERROR(__xludf.DUMMYFUNCTION("""COMPUTED_VALUE"""),"NC State")</f>
        <v>NC State</v>
      </c>
      <c r="X85" t="str">
        <f>IFERROR(__xludf.DUMMYFUNCTION("""COMPUTED_VALUE"""),"Nevada")</f>
        <v>Nevada</v>
      </c>
      <c r="Y85" t="str">
        <f>IFERROR(__xludf.DUMMYFUNCTION("""COMPUTED_VALUE"""),"New Mexico")</f>
        <v>New Mexico</v>
      </c>
      <c r="Z85" t="str">
        <f>IFERROR(__xludf.DUMMYFUNCTION("""COMPUTED_VALUE"""),"New Mexico State")</f>
        <v>New Mexico State</v>
      </c>
      <c r="AA85" t="str">
        <f>IFERROR(__xludf.DUMMYFUNCTION("""COMPUTED_VALUE"""),"Northwestern")</f>
        <v>Northwestern</v>
      </c>
      <c r="AB85" t="str">
        <f>IFERROR(__xludf.DUMMYFUNCTION("""COMPUTED_VALUE"""),"Oklahoma State")</f>
        <v>Oklahoma State</v>
      </c>
      <c r="AC85" t="str">
        <f>IFERROR(__xludf.DUMMYFUNCTION("""COMPUTED_VALUE"""),"Oregon State")</f>
        <v>Oregon State</v>
      </c>
      <c r="AD85" t="str">
        <f>IFERROR(__xludf.DUMMYFUNCTION("""COMPUTED_VALUE"""),"Pittsburgh")</f>
        <v>Pittsburgh</v>
      </c>
      <c r="AE85" t="str">
        <f>IFERROR(__xludf.DUMMYFUNCTION("""COMPUTED_VALUE"""),"Purdue")</f>
        <v>Purdue</v>
      </c>
      <c r="AF85" t="str">
        <f>IFERROR(__xludf.DUMMYFUNCTION("""COMPUTED_VALUE"""),"Rice")</f>
        <v>Rice</v>
      </c>
      <c r="AG85" t="str">
        <f>IFERROR(__xludf.DUMMYFUNCTION("""COMPUTED_VALUE"""),"Rutgers")</f>
        <v>Rutgers</v>
      </c>
      <c r="AH85" t="str">
        <f>IFERROR(__xludf.DUMMYFUNCTION("""COMPUTED_VALUE"""),"Sam Houston")</f>
        <v>Sam Houston</v>
      </c>
      <c r="AI85" t="str">
        <f>IFERROR(__xludf.DUMMYFUNCTION("""COMPUTED_VALUE"""),"San Diego State")</f>
        <v>San Diego State</v>
      </c>
      <c r="AJ85" t="str">
        <f>IFERROR(__xludf.DUMMYFUNCTION("""COMPUTED_VALUE"""),"Southern Mississippi")</f>
        <v>Southern Mississippi</v>
      </c>
      <c r="AK85" t="str">
        <f>IFERROR(__xludf.DUMMYFUNCTION("""COMPUTED_VALUE"""),"Stanford")</f>
        <v>Stanford</v>
      </c>
      <c r="AL85" t="str">
        <f>IFERROR(__xludf.DUMMYFUNCTION("""COMPUTED_VALUE"""),"Syracuse")</f>
        <v>Syracuse</v>
      </c>
      <c r="AM85" t="str">
        <f>IFERROR(__xludf.DUMMYFUNCTION("""COMPUTED_VALUE"""),"Temple")</f>
        <v>Temple</v>
      </c>
      <c r="AN85" t="str">
        <f>IFERROR(__xludf.DUMMYFUNCTION("""COMPUTED_VALUE"""),"Tulsa")</f>
        <v>Tulsa</v>
      </c>
      <c r="AO85" t="str">
        <f>IFERROR(__xludf.DUMMYFUNCTION("""COMPUTED_VALUE"""),"UAB")</f>
        <v>UAB</v>
      </c>
      <c r="AP85" t="str">
        <f>IFERROR(__xludf.DUMMYFUNCTION("""COMPUTED_VALUE"""),"UCLA")</f>
        <v>UCLA</v>
      </c>
      <c r="AQ85" t="str">
        <f>IFERROR(__xludf.DUMMYFUNCTION("""COMPUTED_VALUE"""),"UL Monroe")</f>
        <v>UL Monroe</v>
      </c>
      <c r="AR85" t="str">
        <f>IFERROR(__xludf.DUMMYFUNCTION("""COMPUTED_VALUE"""),"UMASS")</f>
        <v>UMASS</v>
      </c>
      <c r="AS85" t="str">
        <f>IFERROR(__xludf.DUMMYFUNCTION("""COMPUTED_VALUE"""),"Utah State")</f>
        <v>Utah State</v>
      </c>
      <c r="AT85" t="str">
        <f>IFERROR(__xludf.DUMMYFUNCTION("""COMPUTED_VALUE"""),"UTEP")</f>
        <v>UTEP</v>
      </c>
      <c r="AU85" t="str">
        <f>IFERROR(__xludf.DUMMYFUNCTION("""COMPUTED_VALUE"""),"Vanderbilt")</f>
        <v>Vanderbilt</v>
      </c>
      <c r="AV85" t="str">
        <f>IFERROR(__xludf.DUMMYFUNCTION("""COMPUTED_VALUE"""),"Virginia")</f>
        <v>Virginia</v>
      </c>
      <c r="AW85" t="str">
        <f>IFERROR(__xludf.DUMMYFUNCTION("""COMPUTED_VALUE"""),"Wake Forest")</f>
        <v>Wake Forest</v>
      </c>
      <c r="AX85" t="str">
        <f>IFERROR(__xludf.DUMMYFUNCTION("""COMPUTED_VALUE"""),"Washington State")</f>
        <v>Washington State</v>
      </c>
      <c r="AY85" t="str">
        <f>IFERROR(__xludf.DUMMYFUNCTION("""COMPUTED_VALUE"""),"West Virginia")</f>
        <v>West Virginia</v>
      </c>
      <c r="AZ85" t="str">
        <f>IFERROR(__xludf.DUMMYFUNCTION("""COMPUTED_VALUE"""),"Wisconsin")</f>
        <v>Wisconsin</v>
      </c>
      <c r="BA85" t="str">
        <f>IFERROR(__xludf.DUMMYFUNCTION("""COMPUTED_VALUE"""),"Wyoming")</f>
        <v>Wyoming</v>
      </c>
    </row>
    <row r="86">
      <c r="A86" s="1">
        <v>85.0</v>
      </c>
      <c r="B86" t="str">
        <f>IFERROR(__xludf.DUMMYFUNCTION("split(join("","",sort(byrow('Teams-Conference'!A$2:A1000,lambda(rw,if(iserror(match(rw,DraftTracker!F$1:F86,0)),rw,""""))),1,1)),"","",1,1)"),"Arizona")</f>
        <v>Arizona</v>
      </c>
      <c r="C86" t="str">
        <f>IFERROR(__xludf.DUMMYFUNCTION("""COMPUTED_VALUE"""),"Arkansas")</f>
        <v>Arkansas</v>
      </c>
      <c r="D86" t="str">
        <f>IFERROR(__xludf.DUMMYFUNCTION("""COMPUTED_VALUE"""),"Arkansas State")</f>
        <v>Arkansas State</v>
      </c>
      <c r="E86" t="str">
        <f>IFERROR(__xludf.DUMMYFUNCTION("""COMPUTED_VALUE"""),"Ball State")</f>
        <v>Ball State</v>
      </c>
      <c r="F86" t="str">
        <f>IFERROR(__xludf.DUMMYFUNCTION("""COMPUTED_VALUE"""),"Boston College")</f>
        <v>Boston College</v>
      </c>
      <c r="G86" t="str">
        <f>IFERROR(__xludf.DUMMYFUNCTION("""COMPUTED_VALUE"""),"California")</f>
        <v>California</v>
      </c>
      <c r="H86" t="str">
        <f>IFERROR(__xludf.DUMMYFUNCTION("""COMPUTED_VALUE"""),"Charlotte")</f>
        <v>Charlotte</v>
      </c>
      <c r="I86" t="str">
        <f>IFERROR(__xludf.DUMMYFUNCTION("""COMPUTED_VALUE"""),"Coastal Carolina")</f>
        <v>Coastal Carolina</v>
      </c>
      <c r="J86" t="str">
        <f>IFERROR(__xludf.DUMMYFUNCTION("""COMPUTED_VALUE"""),"Colorado")</f>
        <v>Colorado</v>
      </c>
      <c r="K86" t="str">
        <f>IFERROR(__xludf.DUMMYFUNCTION("""COMPUTED_VALUE"""),"Delaware")</f>
        <v>Delaware</v>
      </c>
      <c r="L86" t="str">
        <f>IFERROR(__xludf.DUMMYFUNCTION("""COMPUTED_VALUE"""),"Georgia State")</f>
        <v>Georgia State</v>
      </c>
      <c r="M86" t="str">
        <f>IFERROR(__xludf.DUMMYFUNCTION("""COMPUTED_VALUE"""),"Houston")</f>
        <v>Houston</v>
      </c>
      <c r="N86" t="str">
        <f>IFERROR(__xludf.DUMMYFUNCTION("""COMPUTED_VALUE"""),"Kennesaw State")</f>
        <v>Kennesaw State</v>
      </c>
      <c r="O86" t="str">
        <f>IFERROR(__xludf.DUMMYFUNCTION("""COMPUTED_VALUE"""),"Kent State")</f>
        <v>Kent State</v>
      </c>
      <c r="P86" t="str">
        <f>IFERROR(__xludf.DUMMYFUNCTION("""COMPUTED_VALUE"""),"Kentucky")</f>
        <v>Kentucky</v>
      </c>
      <c r="Q86" t="str">
        <f>IFERROR(__xludf.DUMMYFUNCTION("""COMPUTED_VALUE"""),"Marshall")</f>
        <v>Marshall</v>
      </c>
      <c r="R86" t="str">
        <f>IFERROR(__xludf.DUMMYFUNCTION("""COMPUTED_VALUE"""),"Maryland")</f>
        <v>Maryland</v>
      </c>
      <c r="S86" t="str">
        <f>IFERROR(__xludf.DUMMYFUNCTION("""COMPUTED_VALUE"""),"Michigan State")</f>
        <v>Michigan State</v>
      </c>
      <c r="T86" t="str">
        <f>IFERROR(__xludf.DUMMYFUNCTION("""COMPUTED_VALUE"""),"Middle Tennessee")</f>
        <v>Middle Tennessee</v>
      </c>
      <c r="U86" t="str">
        <f>IFERROR(__xludf.DUMMYFUNCTION("""COMPUTED_VALUE"""),"Mississippi State")</f>
        <v>Mississippi State</v>
      </c>
      <c r="V86" t="str">
        <f>IFERROR(__xludf.DUMMYFUNCTION("""COMPUTED_VALUE"""),"Missouri State")</f>
        <v>Missouri State</v>
      </c>
      <c r="W86" t="str">
        <f>IFERROR(__xludf.DUMMYFUNCTION("""COMPUTED_VALUE"""),"NC State")</f>
        <v>NC State</v>
      </c>
      <c r="X86" t="str">
        <f>IFERROR(__xludf.DUMMYFUNCTION("""COMPUTED_VALUE"""),"Nevada")</f>
        <v>Nevada</v>
      </c>
      <c r="Y86" t="str">
        <f>IFERROR(__xludf.DUMMYFUNCTION("""COMPUTED_VALUE"""),"New Mexico")</f>
        <v>New Mexico</v>
      </c>
      <c r="Z86" t="str">
        <f>IFERROR(__xludf.DUMMYFUNCTION("""COMPUTED_VALUE"""),"New Mexico State")</f>
        <v>New Mexico State</v>
      </c>
      <c r="AA86" t="str">
        <f>IFERROR(__xludf.DUMMYFUNCTION("""COMPUTED_VALUE"""),"Northwestern")</f>
        <v>Northwestern</v>
      </c>
      <c r="AB86" t="str">
        <f>IFERROR(__xludf.DUMMYFUNCTION("""COMPUTED_VALUE"""),"Oklahoma State")</f>
        <v>Oklahoma State</v>
      </c>
      <c r="AC86" t="str">
        <f>IFERROR(__xludf.DUMMYFUNCTION("""COMPUTED_VALUE"""),"Oregon State")</f>
        <v>Oregon State</v>
      </c>
      <c r="AD86" t="str">
        <f>IFERROR(__xludf.DUMMYFUNCTION("""COMPUTED_VALUE"""),"Pittsburgh")</f>
        <v>Pittsburgh</v>
      </c>
      <c r="AE86" t="str">
        <f>IFERROR(__xludf.DUMMYFUNCTION("""COMPUTED_VALUE"""),"Purdue")</f>
        <v>Purdue</v>
      </c>
      <c r="AF86" t="str">
        <f>IFERROR(__xludf.DUMMYFUNCTION("""COMPUTED_VALUE"""),"Rice")</f>
        <v>Rice</v>
      </c>
      <c r="AG86" t="str">
        <f>IFERROR(__xludf.DUMMYFUNCTION("""COMPUTED_VALUE"""),"Rutgers")</f>
        <v>Rutgers</v>
      </c>
      <c r="AH86" t="str">
        <f>IFERROR(__xludf.DUMMYFUNCTION("""COMPUTED_VALUE"""),"Sam Houston")</f>
        <v>Sam Houston</v>
      </c>
      <c r="AI86" t="str">
        <f>IFERROR(__xludf.DUMMYFUNCTION("""COMPUTED_VALUE"""),"San Diego State")</f>
        <v>San Diego State</v>
      </c>
      <c r="AJ86" t="str">
        <f>IFERROR(__xludf.DUMMYFUNCTION("""COMPUTED_VALUE"""),"Southern Mississippi")</f>
        <v>Southern Mississippi</v>
      </c>
      <c r="AK86" t="str">
        <f>IFERROR(__xludf.DUMMYFUNCTION("""COMPUTED_VALUE"""),"Stanford")</f>
        <v>Stanford</v>
      </c>
      <c r="AL86" t="str">
        <f>IFERROR(__xludf.DUMMYFUNCTION("""COMPUTED_VALUE"""),"Syracuse")</f>
        <v>Syracuse</v>
      </c>
      <c r="AM86" t="str">
        <f>IFERROR(__xludf.DUMMYFUNCTION("""COMPUTED_VALUE"""),"Temple")</f>
        <v>Temple</v>
      </c>
      <c r="AN86" t="str">
        <f>IFERROR(__xludf.DUMMYFUNCTION("""COMPUTED_VALUE"""),"Tulsa")</f>
        <v>Tulsa</v>
      </c>
      <c r="AO86" t="str">
        <f>IFERROR(__xludf.DUMMYFUNCTION("""COMPUTED_VALUE"""),"UAB")</f>
        <v>UAB</v>
      </c>
      <c r="AP86" t="str">
        <f>IFERROR(__xludf.DUMMYFUNCTION("""COMPUTED_VALUE"""),"UCLA")</f>
        <v>UCLA</v>
      </c>
      <c r="AQ86" t="str">
        <f>IFERROR(__xludf.DUMMYFUNCTION("""COMPUTED_VALUE"""),"UL Monroe")</f>
        <v>UL Monroe</v>
      </c>
      <c r="AR86" t="str">
        <f>IFERROR(__xludf.DUMMYFUNCTION("""COMPUTED_VALUE"""),"UMASS")</f>
        <v>UMASS</v>
      </c>
      <c r="AS86" t="str">
        <f>IFERROR(__xludf.DUMMYFUNCTION("""COMPUTED_VALUE"""),"Utah State")</f>
        <v>Utah State</v>
      </c>
      <c r="AT86" t="str">
        <f>IFERROR(__xludf.DUMMYFUNCTION("""COMPUTED_VALUE"""),"UTEP")</f>
        <v>UTEP</v>
      </c>
      <c r="AU86" t="str">
        <f>IFERROR(__xludf.DUMMYFUNCTION("""COMPUTED_VALUE"""),"Vanderbilt")</f>
        <v>Vanderbilt</v>
      </c>
      <c r="AV86" t="str">
        <f>IFERROR(__xludf.DUMMYFUNCTION("""COMPUTED_VALUE"""),"Virginia")</f>
        <v>Virginia</v>
      </c>
      <c r="AW86" t="str">
        <f>IFERROR(__xludf.DUMMYFUNCTION("""COMPUTED_VALUE"""),"Wake Forest")</f>
        <v>Wake Forest</v>
      </c>
      <c r="AX86" t="str">
        <f>IFERROR(__xludf.DUMMYFUNCTION("""COMPUTED_VALUE"""),"Washington State")</f>
        <v>Washington State</v>
      </c>
      <c r="AY86" t="str">
        <f>IFERROR(__xludf.DUMMYFUNCTION("""COMPUTED_VALUE"""),"West Virginia")</f>
        <v>West Virginia</v>
      </c>
      <c r="AZ86" t="str">
        <f>IFERROR(__xludf.DUMMYFUNCTION("""COMPUTED_VALUE"""),"Wisconsin")</f>
        <v>Wisconsin</v>
      </c>
    </row>
    <row r="87">
      <c r="A87" s="1">
        <v>86.0</v>
      </c>
      <c r="B87" t="str">
        <f>IFERROR(__xludf.DUMMYFUNCTION("split(join("","",sort(byrow('Teams-Conference'!A$2:A1000,lambda(rw,if(iserror(match(rw,DraftTracker!F$1:F87,0)),rw,""""))),1,1)),"","",1,1)"),"Arizona")</f>
        <v>Arizona</v>
      </c>
      <c r="C87" t="str">
        <f>IFERROR(__xludf.DUMMYFUNCTION("""COMPUTED_VALUE"""),"Arkansas")</f>
        <v>Arkansas</v>
      </c>
      <c r="D87" t="str">
        <f>IFERROR(__xludf.DUMMYFUNCTION("""COMPUTED_VALUE"""),"Arkansas State")</f>
        <v>Arkansas State</v>
      </c>
      <c r="E87" t="str">
        <f>IFERROR(__xludf.DUMMYFUNCTION("""COMPUTED_VALUE"""),"Ball State")</f>
        <v>Ball State</v>
      </c>
      <c r="F87" t="str">
        <f>IFERROR(__xludf.DUMMYFUNCTION("""COMPUTED_VALUE"""),"Boston College")</f>
        <v>Boston College</v>
      </c>
      <c r="G87" t="str">
        <f>IFERROR(__xludf.DUMMYFUNCTION("""COMPUTED_VALUE"""),"California")</f>
        <v>California</v>
      </c>
      <c r="H87" t="str">
        <f>IFERROR(__xludf.DUMMYFUNCTION("""COMPUTED_VALUE"""),"Charlotte")</f>
        <v>Charlotte</v>
      </c>
      <c r="I87" t="str">
        <f>IFERROR(__xludf.DUMMYFUNCTION("""COMPUTED_VALUE"""),"Coastal Carolina")</f>
        <v>Coastal Carolina</v>
      </c>
      <c r="J87" t="str">
        <f>IFERROR(__xludf.DUMMYFUNCTION("""COMPUTED_VALUE"""),"Colorado")</f>
        <v>Colorado</v>
      </c>
      <c r="K87" t="str">
        <f>IFERROR(__xludf.DUMMYFUNCTION("""COMPUTED_VALUE"""),"Delaware")</f>
        <v>Delaware</v>
      </c>
      <c r="L87" t="str">
        <f>IFERROR(__xludf.DUMMYFUNCTION("""COMPUTED_VALUE"""),"Georgia State")</f>
        <v>Georgia State</v>
      </c>
      <c r="M87" t="str">
        <f>IFERROR(__xludf.DUMMYFUNCTION("""COMPUTED_VALUE"""),"Kennesaw State")</f>
        <v>Kennesaw State</v>
      </c>
      <c r="N87" t="str">
        <f>IFERROR(__xludf.DUMMYFUNCTION("""COMPUTED_VALUE"""),"Kent State")</f>
        <v>Kent State</v>
      </c>
      <c r="O87" t="str">
        <f>IFERROR(__xludf.DUMMYFUNCTION("""COMPUTED_VALUE"""),"Kentucky")</f>
        <v>Kentucky</v>
      </c>
      <c r="P87" t="str">
        <f>IFERROR(__xludf.DUMMYFUNCTION("""COMPUTED_VALUE"""),"Marshall")</f>
        <v>Marshall</v>
      </c>
      <c r="Q87" t="str">
        <f>IFERROR(__xludf.DUMMYFUNCTION("""COMPUTED_VALUE"""),"Maryland")</f>
        <v>Maryland</v>
      </c>
      <c r="R87" t="str">
        <f>IFERROR(__xludf.DUMMYFUNCTION("""COMPUTED_VALUE"""),"Michigan State")</f>
        <v>Michigan State</v>
      </c>
      <c r="S87" t="str">
        <f>IFERROR(__xludf.DUMMYFUNCTION("""COMPUTED_VALUE"""),"Middle Tennessee")</f>
        <v>Middle Tennessee</v>
      </c>
      <c r="T87" t="str">
        <f>IFERROR(__xludf.DUMMYFUNCTION("""COMPUTED_VALUE"""),"Mississippi State")</f>
        <v>Mississippi State</v>
      </c>
      <c r="U87" t="str">
        <f>IFERROR(__xludf.DUMMYFUNCTION("""COMPUTED_VALUE"""),"Missouri State")</f>
        <v>Missouri State</v>
      </c>
      <c r="V87" t="str">
        <f>IFERROR(__xludf.DUMMYFUNCTION("""COMPUTED_VALUE"""),"NC State")</f>
        <v>NC State</v>
      </c>
      <c r="W87" t="str">
        <f>IFERROR(__xludf.DUMMYFUNCTION("""COMPUTED_VALUE"""),"Nevada")</f>
        <v>Nevada</v>
      </c>
      <c r="X87" t="str">
        <f>IFERROR(__xludf.DUMMYFUNCTION("""COMPUTED_VALUE"""),"New Mexico")</f>
        <v>New Mexico</v>
      </c>
      <c r="Y87" t="str">
        <f>IFERROR(__xludf.DUMMYFUNCTION("""COMPUTED_VALUE"""),"New Mexico State")</f>
        <v>New Mexico State</v>
      </c>
      <c r="Z87" t="str">
        <f>IFERROR(__xludf.DUMMYFUNCTION("""COMPUTED_VALUE"""),"Northwestern")</f>
        <v>Northwestern</v>
      </c>
      <c r="AA87" t="str">
        <f>IFERROR(__xludf.DUMMYFUNCTION("""COMPUTED_VALUE"""),"Oklahoma State")</f>
        <v>Oklahoma State</v>
      </c>
      <c r="AB87" t="str">
        <f>IFERROR(__xludf.DUMMYFUNCTION("""COMPUTED_VALUE"""),"Oregon State")</f>
        <v>Oregon State</v>
      </c>
      <c r="AC87" t="str">
        <f>IFERROR(__xludf.DUMMYFUNCTION("""COMPUTED_VALUE"""),"Pittsburgh")</f>
        <v>Pittsburgh</v>
      </c>
      <c r="AD87" t="str">
        <f>IFERROR(__xludf.DUMMYFUNCTION("""COMPUTED_VALUE"""),"Purdue")</f>
        <v>Purdue</v>
      </c>
      <c r="AE87" t="str">
        <f>IFERROR(__xludf.DUMMYFUNCTION("""COMPUTED_VALUE"""),"Rice")</f>
        <v>Rice</v>
      </c>
      <c r="AF87" t="str">
        <f>IFERROR(__xludf.DUMMYFUNCTION("""COMPUTED_VALUE"""),"Rutgers")</f>
        <v>Rutgers</v>
      </c>
      <c r="AG87" t="str">
        <f>IFERROR(__xludf.DUMMYFUNCTION("""COMPUTED_VALUE"""),"Sam Houston")</f>
        <v>Sam Houston</v>
      </c>
      <c r="AH87" t="str">
        <f>IFERROR(__xludf.DUMMYFUNCTION("""COMPUTED_VALUE"""),"San Diego State")</f>
        <v>San Diego State</v>
      </c>
      <c r="AI87" t="str">
        <f>IFERROR(__xludf.DUMMYFUNCTION("""COMPUTED_VALUE"""),"Southern Mississippi")</f>
        <v>Southern Mississippi</v>
      </c>
      <c r="AJ87" t="str">
        <f>IFERROR(__xludf.DUMMYFUNCTION("""COMPUTED_VALUE"""),"Stanford")</f>
        <v>Stanford</v>
      </c>
      <c r="AK87" t="str">
        <f>IFERROR(__xludf.DUMMYFUNCTION("""COMPUTED_VALUE"""),"Syracuse")</f>
        <v>Syracuse</v>
      </c>
      <c r="AL87" t="str">
        <f>IFERROR(__xludf.DUMMYFUNCTION("""COMPUTED_VALUE"""),"Temple")</f>
        <v>Temple</v>
      </c>
      <c r="AM87" t="str">
        <f>IFERROR(__xludf.DUMMYFUNCTION("""COMPUTED_VALUE"""),"Tulsa")</f>
        <v>Tulsa</v>
      </c>
      <c r="AN87" t="str">
        <f>IFERROR(__xludf.DUMMYFUNCTION("""COMPUTED_VALUE"""),"UAB")</f>
        <v>UAB</v>
      </c>
      <c r="AO87" t="str">
        <f>IFERROR(__xludf.DUMMYFUNCTION("""COMPUTED_VALUE"""),"UCLA")</f>
        <v>UCLA</v>
      </c>
      <c r="AP87" t="str">
        <f>IFERROR(__xludf.DUMMYFUNCTION("""COMPUTED_VALUE"""),"UL Monroe")</f>
        <v>UL Monroe</v>
      </c>
      <c r="AQ87" t="str">
        <f>IFERROR(__xludf.DUMMYFUNCTION("""COMPUTED_VALUE"""),"UMASS")</f>
        <v>UMASS</v>
      </c>
      <c r="AR87" t="str">
        <f>IFERROR(__xludf.DUMMYFUNCTION("""COMPUTED_VALUE"""),"Utah State")</f>
        <v>Utah State</v>
      </c>
      <c r="AS87" t="str">
        <f>IFERROR(__xludf.DUMMYFUNCTION("""COMPUTED_VALUE"""),"UTEP")</f>
        <v>UTEP</v>
      </c>
      <c r="AT87" t="str">
        <f>IFERROR(__xludf.DUMMYFUNCTION("""COMPUTED_VALUE"""),"Vanderbilt")</f>
        <v>Vanderbilt</v>
      </c>
      <c r="AU87" t="str">
        <f>IFERROR(__xludf.DUMMYFUNCTION("""COMPUTED_VALUE"""),"Virginia")</f>
        <v>Virginia</v>
      </c>
      <c r="AV87" t="str">
        <f>IFERROR(__xludf.DUMMYFUNCTION("""COMPUTED_VALUE"""),"Wake Forest")</f>
        <v>Wake Forest</v>
      </c>
      <c r="AW87" t="str">
        <f>IFERROR(__xludf.DUMMYFUNCTION("""COMPUTED_VALUE"""),"Washington State")</f>
        <v>Washington State</v>
      </c>
      <c r="AX87" t="str">
        <f>IFERROR(__xludf.DUMMYFUNCTION("""COMPUTED_VALUE"""),"West Virginia")</f>
        <v>West Virginia</v>
      </c>
      <c r="AY87" t="str">
        <f>IFERROR(__xludf.DUMMYFUNCTION("""COMPUTED_VALUE"""),"Wisconsin")</f>
        <v>Wisconsin</v>
      </c>
    </row>
    <row r="88">
      <c r="A88" s="1">
        <v>87.0</v>
      </c>
      <c r="B88" t="str">
        <f>IFERROR(__xludf.DUMMYFUNCTION("split(join("","",sort(byrow('Teams-Conference'!A$2:A1000,lambda(rw,if(iserror(match(rw,DraftTracker!F$1:F88,0)),rw,""""))),1,1)),"","",1,1)"),"Arizona")</f>
        <v>Arizona</v>
      </c>
      <c r="C88" t="str">
        <f>IFERROR(__xludf.DUMMYFUNCTION("""COMPUTED_VALUE"""),"Arkansas")</f>
        <v>Arkansas</v>
      </c>
      <c r="D88" t="str">
        <f>IFERROR(__xludf.DUMMYFUNCTION("""COMPUTED_VALUE"""),"Arkansas State")</f>
        <v>Arkansas State</v>
      </c>
      <c r="E88" t="str">
        <f>IFERROR(__xludf.DUMMYFUNCTION("""COMPUTED_VALUE"""),"Ball State")</f>
        <v>Ball State</v>
      </c>
      <c r="F88" t="str">
        <f>IFERROR(__xludf.DUMMYFUNCTION("""COMPUTED_VALUE"""),"Boston College")</f>
        <v>Boston College</v>
      </c>
      <c r="G88" t="str">
        <f>IFERROR(__xludf.DUMMYFUNCTION("""COMPUTED_VALUE"""),"California")</f>
        <v>California</v>
      </c>
      <c r="H88" t="str">
        <f>IFERROR(__xludf.DUMMYFUNCTION("""COMPUTED_VALUE"""),"Charlotte")</f>
        <v>Charlotte</v>
      </c>
      <c r="I88" t="str">
        <f>IFERROR(__xludf.DUMMYFUNCTION("""COMPUTED_VALUE"""),"Coastal Carolina")</f>
        <v>Coastal Carolina</v>
      </c>
      <c r="J88" t="str">
        <f>IFERROR(__xludf.DUMMYFUNCTION("""COMPUTED_VALUE"""),"Colorado")</f>
        <v>Colorado</v>
      </c>
      <c r="K88" t="str">
        <f>IFERROR(__xludf.DUMMYFUNCTION("""COMPUTED_VALUE"""),"Delaware")</f>
        <v>Delaware</v>
      </c>
      <c r="L88" t="str">
        <f>IFERROR(__xludf.DUMMYFUNCTION("""COMPUTED_VALUE"""),"Georgia State")</f>
        <v>Georgia State</v>
      </c>
      <c r="M88" t="str">
        <f>IFERROR(__xludf.DUMMYFUNCTION("""COMPUTED_VALUE"""),"Kennesaw State")</f>
        <v>Kennesaw State</v>
      </c>
      <c r="N88" t="str">
        <f>IFERROR(__xludf.DUMMYFUNCTION("""COMPUTED_VALUE"""),"Kent State")</f>
        <v>Kent State</v>
      </c>
      <c r="O88" t="str">
        <f>IFERROR(__xludf.DUMMYFUNCTION("""COMPUTED_VALUE"""),"Kentucky")</f>
        <v>Kentucky</v>
      </c>
      <c r="P88" t="str">
        <f>IFERROR(__xludf.DUMMYFUNCTION("""COMPUTED_VALUE"""),"Marshall")</f>
        <v>Marshall</v>
      </c>
      <c r="Q88" t="str">
        <f>IFERROR(__xludf.DUMMYFUNCTION("""COMPUTED_VALUE"""),"Maryland")</f>
        <v>Maryland</v>
      </c>
      <c r="R88" t="str">
        <f>IFERROR(__xludf.DUMMYFUNCTION("""COMPUTED_VALUE"""),"Michigan State")</f>
        <v>Michigan State</v>
      </c>
      <c r="S88" t="str">
        <f>IFERROR(__xludf.DUMMYFUNCTION("""COMPUTED_VALUE"""),"Middle Tennessee")</f>
        <v>Middle Tennessee</v>
      </c>
      <c r="T88" t="str">
        <f>IFERROR(__xludf.DUMMYFUNCTION("""COMPUTED_VALUE"""),"Mississippi State")</f>
        <v>Mississippi State</v>
      </c>
      <c r="U88" t="str">
        <f>IFERROR(__xludf.DUMMYFUNCTION("""COMPUTED_VALUE"""),"Missouri State")</f>
        <v>Missouri State</v>
      </c>
      <c r="V88" t="str">
        <f>IFERROR(__xludf.DUMMYFUNCTION("""COMPUTED_VALUE"""),"NC State")</f>
        <v>NC State</v>
      </c>
      <c r="W88" t="str">
        <f>IFERROR(__xludf.DUMMYFUNCTION("""COMPUTED_VALUE"""),"Nevada")</f>
        <v>Nevada</v>
      </c>
      <c r="X88" t="str">
        <f>IFERROR(__xludf.DUMMYFUNCTION("""COMPUTED_VALUE"""),"New Mexico")</f>
        <v>New Mexico</v>
      </c>
      <c r="Y88" t="str">
        <f>IFERROR(__xludf.DUMMYFUNCTION("""COMPUTED_VALUE"""),"New Mexico State")</f>
        <v>New Mexico State</v>
      </c>
      <c r="Z88" t="str">
        <f>IFERROR(__xludf.DUMMYFUNCTION("""COMPUTED_VALUE"""),"Northwestern")</f>
        <v>Northwestern</v>
      </c>
      <c r="AA88" t="str">
        <f>IFERROR(__xludf.DUMMYFUNCTION("""COMPUTED_VALUE"""),"Oklahoma State")</f>
        <v>Oklahoma State</v>
      </c>
      <c r="AB88" t="str">
        <f>IFERROR(__xludf.DUMMYFUNCTION("""COMPUTED_VALUE"""),"Oregon State")</f>
        <v>Oregon State</v>
      </c>
      <c r="AC88" t="str">
        <f>IFERROR(__xludf.DUMMYFUNCTION("""COMPUTED_VALUE"""),"Pittsburgh")</f>
        <v>Pittsburgh</v>
      </c>
      <c r="AD88" t="str">
        <f>IFERROR(__xludf.DUMMYFUNCTION("""COMPUTED_VALUE"""),"Purdue")</f>
        <v>Purdue</v>
      </c>
      <c r="AE88" t="str">
        <f>IFERROR(__xludf.DUMMYFUNCTION("""COMPUTED_VALUE"""),"Rice")</f>
        <v>Rice</v>
      </c>
      <c r="AF88" t="str">
        <f>IFERROR(__xludf.DUMMYFUNCTION("""COMPUTED_VALUE"""),"Rutgers")</f>
        <v>Rutgers</v>
      </c>
      <c r="AG88" t="str">
        <f>IFERROR(__xludf.DUMMYFUNCTION("""COMPUTED_VALUE"""),"Sam Houston")</f>
        <v>Sam Houston</v>
      </c>
      <c r="AH88" t="str">
        <f>IFERROR(__xludf.DUMMYFUNCTION("""COMPUTED_VALUE"""),"Southern Mississippi")</f>
        <v>Southern Mississippi</v>
      </c>
      <c r="AI88" t="str">
        <f>IFERROR(__xludf.DUMMYFUNCTION("""COMPUTED_VALUE"""),"Stanford")</f>
        <v>Stanford</v>
      </c>
      <c r="AJ88" t="str">
        <f>IFERROR(__xludf.DUMMYFUNCTION("""COMPUTED_VALUE"""),"Syracuse")</f>
        <v>Syracuse</v>
      </c>
      <c r="AK88" t="str">
        <f>IFERROR(__xludf.DUMMYFUNCTION("""COMPUTED_VALUE"""),"Temple")</f>
        <v>Temple</v>
      </c>
      <c r="AL88" t="str">
        <f>IFERROR(__xludf.DUMMYFUNCTION("""COMPUTED_VALUE"""),"Tulsa")</f>
        <v>Tulsa</v>
      </c>
      <c r="AM88" t="str">
        <f>IFERROR(__xludf.DUMMYFUNCTION("""COMPUTED_VALUE"""),"UAB")</f>
        <v>UAB</v>
      </c>
      <c r="AN88" t="str">
        <f>IFERROR(__xludf.DUMMYFUNCTION("""COMPUTED_VALUE"""),"UCLA")</f>
        <v>UCLA</v>
      </c>
      <c r="AO88" t="str">
        <f>IFERROR(__xludf.DUMMYFUNCTION("""COMPUTED_VALUE"""),"UL Monroe")</f>
        <v>UL Monroe</v>
      </c>
      <c r="AP88" t="str">
        <f>IFERROR(__xludf.DUMMYFUNCTION("""COMPUTED_VALUE"""),"UMASS")</f>
        <v>UMASS</v>
      </c>
      <c r="AQ88" t="str">
        <f>IFERROR(__xludf.DUMMYFUNCTION("""COMPUTED_VALUE"""),"Utah State")</f>
        <v>Utah State</v>
      </c>
      <c r="AR88" t="str">
        <f>IFERROR(__xludf.DUMMYFUNCTION("""COMPUTED_VALUE"""),"UTEP")</f>
        <v>UTEP</v>
      </c>
      <c r="AS88" t="str">
        <f>IFERROR(__xludf.DUMMYFUNCTION("""COMPUTED_VALUE"""),"Vanderbilt")</f>
        <v>Vanderbilt</v>
      </c>
      <c r="AT88" t="str">
        <f>IFERROR(__xludf.DUMMYFUNCTION("""COMPUTED_VALUE"""),"Virginia")</f>
        <v>Virginia</v>
      </c>
      <c r="AU88" t="str">
        <f>IFERROR(__xludf.DUMMYFUNCTION("""COMPUTED_VALUE"""),"Wake Forest")</f>
        <v>Wake Forest</v>
      </c>
      <c r="AV88" t="str">
        <f>IFERROR(__xludf.DUMMYFUNCTION("""COMPUTED_VALUE"""),"Washington State")</f>
        <v>Washington State</v>
      </c>
      <c r="AW88" t="str">
        <f>IFERROR(__xludf.DUMMYFUNCTION("""COMPUTED_VALUE"""),"West Virginia")</f>
        <v>West Virginia</v>
      </c>
      <c r="AX88" t="str">
        <f>IFERROR(__xludf.DUMMYFUNCTION("""COMPUTED_VALUE"""),"Wisconsin")</f>
        <v>Wisconsin</v>
      </c>
    </row>
    <row r="89">
      <c r="A89" s="1">
        <v>88.0</v>
      </c>
      <c r="B89" t="str">
        <f>IFERROR(__xludf.DUMMYFUNCTION("split(join("","",sort(byrow('Teams-Conference'!A$2:A1000,lambda(rw,if(iserror(match(rw,DraftTracker!F$1:F89,0)),rw,""""))),1,1)),"","",1,1)"),"Arizona")</f>
        <v>Arizona</v>
      </c>
      <c r="C89" t="str">
        <f>IFERROR(__xludf.DUMMYFUNCTION("""COMPUTED_VALUE"""),"Arkansas")</f>
        <v>Arkansas</v>
      </c>
      <c r="D89" t="str">
        <f>IFERROR(__xludf.DUMMYFUNCTION("""COMPUTED_VALUE"""),"Arkansas State")</f>
        <v>Arkansas State</v>
      </c>
      <c r="E89" t="str">
        <f>IFERROR(__xludf.DUMMYFUNCTION("""COMPUTED_VALUE"""),"Ball State")</f>
        <v>Ball State</v>
      </c>
      <c r="F89" t="str">
        <f>IFERROR(__xludf.DUMMYFUNCTION("""COMPUTED_VALUE"""),"Boston College")</f>
        <v>Boston College</v>
      </c>
      <c r="G89" t="str">
        <f>IFERROR(__xludf.DUMMYFUNCTION("""COMPUTED_VALUE"""),"California")</f>
        <v>California</v>
      </c>
      <c r="H89" t="str">
        <f>IFERROR(__xludf.DUMMYFUNCTION("""COMPUTED_VALUE"""),"Charlotte")</f>
        <v>Charlotte</v>
      </c>
      <c r="I89" t="str">
        <f>IFERROR(__xludf.DUMMYFUNCTION("""COMPUTED_VALUE"""),"Colorado")</f>
        <v>Colorado</v>
      </c>
      <c r="J89" t="str">
        <f>IFERROR(__xludf.DUMMYFUNCTION("""COMPUTED_VALUE"""),"Delaware")</f>
        <v>Delaware</v>
      </c>
      <c r="K89" t="str">
        <f>IFERROR(__xludf.DUMMYFUNCTION("""COMPUTED_VALUE"""),"Georgia State")</f>
        <v>Georgia State</v>
      </c>
      <c r="L89" t="str">
        <f>IFERROR(__xludf.DUMMYFUNCTION("""COMPUTED_VALUE"""),"Kennesaw State")</f>
        <v>Kennesaw State</v>
      </c>
      <c r="M89" t="str">
        <f>IFERROR(__xludf.DUMMYFUNCTION("""COMPUTED_VALUE"""),"Kent State")</f>
        <v>Kent State</v>
      </c>
      <c r="N89" t="str">
        <f>IFERROR(__xludf.DUMMYFUNCTION("""COMPUTED_VALUE"""),"Kentucky")</f>
        <v>Kentucky</v>
      </c>
      <c r="O89" t="str">
        <f>IFERROR(__xludf.DUMMYFUNCTION("""COMPUTED_VALUE"""),"Marshall")</f>
        <v>Marshall</v>
      </c>
      <c r="P89" t="str">
        <f>IFERROR(__xludf.DUMMYFUNCTION("""COMPUTED_VALUE"""),"Maryland")</f>
        <v>Maryland</v>
      </c>
      <c r="Q89" t="str">
        <f>IFERROR(__xludf.DUMMYFUNCTION("""COMPUTED_VALUE"""),"Michigan State")</f>
        <v>Michigan State</v>
      </c>
      <c r="R89" t="str">
        <f>IFERROR(__xludf.DUMMYFUNCTION("""COMPUTED_VALUE"""),"Middle Tennessee")</f>
        <v>Middle Tennessee</v>
      </c>
      <c r="S89" t="str">
        <f>IFERROR(__xludf.DUMMYFUNCTION("""COMPUTED_VALUE"""),"Mississippi State")</f>
        <v>Mississippi State</v>
      </c>
      <c r="T89" t="str">
        <f>IFERROR(__xludf.DUMMYFUNCTION("""COMPUTED_VALUE"""),"Missouri State")</f>
        <v>Missouri State</v>
      </c>
      <c r="U89" t="str">
        <f>IFERROR(__xludf.DUMMYFUNCTION("""COMPUTED_VALUE"""),"NC State")</f>
        <v>NC State</v>
      </c>
      <c r="V89" t="str">
        <f>IFERROR(__xludf.DUMMYFUNCTION("""COMPUTED_VALUE"""),"Nevada")</f>
        <v>Nevada</v>
      </c>
      <c r="W89" t="str">
        <f>IFERROR(__xludf.DUMMYFUNCTION("""COMPUTED_VALUE"""),"New Mexico")</f>
        <v>New Mexico</v>
      </c>
      <c r="X89" t="str">
        <f>IFERROR(__xludf.DUMMYFUNCTION("""COMPUTED_VALUE"""),"New Mexico State")</f>
        <v>New Mexico State</v>
      </c>
      <c r="Y89" t="str">
        <f>IFERROR(__xludf.DUMMYFUNCTION("""COMPUTED_VALUE"""),"Northwestern")</f>
        <v>Northwestern</v>
      </c>
      <c r="Z89" t="str">
        <f>IFERROR(__xludf.DUMMYFUNCTION("""COMPUTED_VALUE"""),"Oklahoma State")</f>
        <v>Oklahoma State</v>
      </c>
      <c r="AA89" t="str">
        <f>IFERROR(__xludf.DUMMYFUNCTION("""COMPUTED_VALUE"""),"Oregon State")</f>
        <v>Oregon State</v>
      </c>
      <c r="AB89" t="str">
        <f>IFERROR(__xludf.DUMMYFUNCTION("""COMPUTED_VALUE"""),"Pittsburgh")</f>
        <v>Pittsburgh</v>
      </c>
      <c r="AC89" t="str">
        <f>IFERROR(__xludf.DUMMYFUNCTION("""COMPUTED_VALUE"""),"Purdue")</f>
        <v>Purdue</v>
      </c>
      <c r="AD89" t="str">
        <f>IFERROR(__xludf.DUMMYFUNCTION("""COMPUTED_VALUE"""),"Rice")</f>
        <v>Rice</v>
      </c>
      <c r="AE89" t="str">
        <f>IFERROR(__xludf.DUMMYFUNCTION("""COMPUTED_VALUE"""),"Rutgers")</f>
        <v>Rutgers</v>
      </c>
      <c r="AF89" t="str">
        <f>IFERROR(__xludf.DUMMYFUNCTION("""COMPUTED_VALUE"""),"Sam Houston")</f>
        <v>Sam Houston</v>
      </c>
      <c r="AG89" t="str">
        <f>IFERROR(__xludf.DUMMYFUNCTION("""COMPUTED_VALUE"""),"Southern Mississippi")</f>
        <v>Southern Mississippi</v>
      </c>
      <c r="AH89" t="str">
        <f>IFERROR(__xludf.DUMMYFUNCTION("""COMPUTED_VALUE"""),"Stanford")</f>
        <v>Stanford</v>
      </c>
      <c r="AI89" t="str">
        <f>IFERROR(__xludf.DUMMYFUNCTION("""COMPUTED_VALUE"""),"Syracuse")</f>
        <v>Syracuse</v>
      </c>
      <c r="AJ89" t="str">
        <f>IFERROR(__xludf.DUMMYFUNCTION("""COMPUTED_VALUE"""),"Temple")</f>
        <v>Temple</v>
      </c>
      <c r="AK89" t="str">
        <f>IFERROR(__xludf.DUMMYFUNCTION("""COMPUTED_VALUE"""),"Tulsa")</f>
        <v>Tulsa</v>
      </c>
      <c r="AL89" t="str">
        <f>IFERROR(__xludf.DUMMYFUNCTION("""COMPUTED_VALUE"""),"UAB")</f>
        <v>UAB</v>
      </c>
      <c r="AM89" t="str">
        <f>IFERROR(__xludf.DUMMYFUNCTION("""COMPUTED_VALUE"""),"UCLA")</f>
        <v>UCLA</v>
      </c>
      <c r="AN89" t="str">
        <f>IFERROR(__xludf.DUMMYFUNCTION("""COMPUTED_VALUE"""),"UL Monroe")</f>
        <v>UL Monroe</v>
      </c>
      <c r="AO89" t="str">
        <f>IFERROR(__xludf.DUMMYFUNCTION("""COMPUTED_VALUE"""),"UMASS")</f>
        <v>UMASS</v>
      </c>
      <c r="AP89" t="str">
        <f>IFERROR(__xludf.DUMMYFUNCTION("""COMPUTED_VALUE"""),"Utah State")</f>
        <v>Utah State</v>
      </c>
      <c r="AQ89" t="str">
        <f>IFERROR(__xludf.DUMMYFUNCTION("""COMPUTED_VALUE"""),"UTEP")</f>
        <v>UTEP</v>
      </c>
      <c r="AR89" t="str">
        <f>IFERROR(__xludf.DUMMYFUNCTION("""COMPUTED_VALUE"""),"Vanderbilt")</f>
        <v>Vanderbilt</v>
      </c>
      <c r="AS89" t="str">
        <f>IFERROR(__xludf.DUMMYFUNCTION("""COMPUTED_VALUE"""),"Virginia")</f>
        <v>Virginia</v>
      </c>
      <c r="AT89" t="str">
        <f>IFERROR(__xludf.DUMMYFUNCTION("""COMPUTED_VALUE"""),"Wake Forest")</f>
        <v>Wake Forest</v>
      </c>
      <c r="AU89" t="str">
        <f>IFERROR(__xludf.DUMMYFUNCTION("""COMPUTED_VALUE"""),"Washington State")</f>
        <v>Washington State</v>
      </c>
      <c r="AV89" t="str">
        <f>IFERROR(__xludf.DUMMYFUNCTION("""COMPUTED_VALUE"""),"West Virginia")</f>
        <v>West Virginia</v>
      </c>
      <c r="AW89" t="str">
        <f>IFERROR(__xludf.DUMMYFUNCTION("""COMPUTED_VALUE"""),"Wisconsin")</f>
        <v>Wisconsin</v>
      </c>
    </row>
    <row r="90">
      <c r="A90" s="1">
        <v>89.0</v>
      </c>
      <c r="B90" t="str">
        <f>IFERROR(__xludf.DUMMYFUNCTION("split(join("","",sort(byrow('Teams-Conference'!A$2:A1000,lambda(rw,if(iserror(match(rw,DraftTracker!F$1:F90,0)),rw,""""))),1,1)),"","",1,1)"),"Arizona")</f>
        <v>Arizona</v>
      </c>
      <c r="C90" t="str">
        <f>IFERROR(__xludf.DUMMYFUNCTION("""COMPUTED_VALUE"""),"Arkansas")</f>
        <v>Arkansas</v>
      </c>
      <c r="D90" t="str">
        <f>IFERROR(__xludf.DUMMYFUNCTION("""COMPUTED_VALUE"""),"Arkansas State")</f>
        <v>Arkansas State</v>
      </c>
      <c r="E90" t="str">
        <f>IFERROR(__xludf.DUMMYFUNCTION("""COMPUTED_VALUE"""),"Ball State")</f>
        <v>Ball State</v>
      </c>
      <c r="F90" t="str">
        <f>IFERROR(__xludf.DUMMYFUNCTION("""COMPUTED_VALUE"""),"Boston College")</f>
        <v>Boston College</v>
      </c>
      <c r="G90" t="str">
        <f>IFERROR(__xludf.DUMMYFUNCTION("""COMPUTED_VALUE"""),"California")</f>
        <v>California</v>
      </c>
      <c r="H90" t="str">
        <f>IFERROR(__xludf.DUMMYFUNCTION("""COMPUTED_VALUE"""),"Charlotte")</f>
        <v>Charlotte</v>
      </c>
      <c r="I90" t="str">
        <f>IFERROR(__xludf.DUMMYFUNCTION("""COMPUTED_VALUE"""),"Colorado")</f>
        <v>Colorado</v>
      </c>
      <c r="J90" t="str">
        <f>IFERROR(__xludf.DUMMYFUNCTION("""COMPUTED_VALUE"""),"Delaware")</f>
        <v>Delaware</v>
      </c>
      <c r="K90" t="str">
        <f>IFERROR(__xludf.DUMMYFUNCTION("""COMPUTED_VALUE"""),"Georgia State")</f>
        <v>Georgia State</v>
      </c>
      <c r="L90" t="str">
        <f>IFERROR(__xludf.DUMMYFUNCTION("""COMPUTED_VALUE"""),"Kennesaw State")</f>
        <v>Kennesaw State</v>
      </c>
      <c r="M90" t="str">
        <f>IFERROR(__xludf.DUMMYFUNCTION("""COMPUTED_VALUE"""),"Kent State")</f>
        <v>Kent State</v>
      </c>
      <c r="N90" t="str">
        <f>IFERROR(__xludf.DUMMYFUNCTION("""COMPUTED_VALUE"""),"Kentucky")</f>
        <v>Kentucky</v>
      </c>
      <c r="O90" t="str">
        <f>IFERROR(__xludf.DUMMYFUNCTION("""COMPUTED_VALUE"""),"Marshall")</f>
        <v>Marshall</v>
      </c>
      <c r="P90" t="str">
        <f>IFERROR(__xludf.DUMMYFUNCTION("""COMPUTED_VALUE"""),"Maryland")</f>
        <v>Maryland</v>
      </c>
      <c r="Q90" t="str">
        <f>IFERROR(__xludf.DUMMYFUNCTION("""COMPUTED_VALUE"""),"Michigan State")</f>
        <v>Michigan State</v>
      </c>
      <c r="R90" t="str">
        <f>IFERROR(__xludf.DUMMYFUNCTION("""COMPUTED_VALUE"""),"Middle Tennessee")</f>
        <v>Middle Tennessee</v>
      </c>
      <c r="S90" t="str">
        <f>IFERROR(__xludf.DUMMYFUNCTION("""COMPUTED_VALUE"""),"Mississippi State")</f>
        <v>Mississippi State</v>
      </c>
      <c r="T90" t="str">
        <f>IFERROR(__xludf.DUMMYFUNCTION("""COMPUTED_VALUE"""),"Missouri State")</f>
        <v>Missouri State</v>
      </c>
      <c r="U90" t="str">
        <f>IFERROR(__xludf.DUMMYFUNCTION("""COMPUTED_VALUE"""),"NC State")</f>
        <v>NC State</v>
      </c>
      <c r="V90" t="str">
        <f>IFERROR(__xludf.DUMMYFUNCTION("""COMPUTED_VALUE"""),"Nevada")</f>
        <v>Nevada</v>
      </c>
      <c r="W90" t="str">
        <f>IFERROR(__xludf.DUMMYFUNCTION("""COMPUTED_VALUE"""),"New Mexico")</f>
        <v>New Mexico</v>
      </c>
      <c r="X90" t="str">
        <f>IFERROR(__xludf.DUMMYFUNCTION("""COMPUTED_VALUE"""),"New Mexico State")</f>
        <v>New Mexico State</v>
      </c>
      <c r="Y90" t="str">
        <f>IFERROR(__xludf.DUMMYFUNCTION("""COMPUTED_VALUE"""),"Northwestern")</f>
        <v>Northwestern</v>
      </c>
      <c r="Z90" t="str">
        <f>IFERROR(__xludf.DUMMYFUNCTION("""COMPUTED_VALUE"""),"Oklahoma State")</f>
        <v>Oklahoma State</v>
      </c>
      <c r="AA90" t="str">
        <f>IFERROR(__xludf.DUMMYFUNCTION("""COMPUTED_VALUE"""),"Oregon State")</f>
        <v>Oregon State</v>
      </c>
      <c r="AB90" t="str">
        <f>IFERROR(__xludf.DUMMYFUNCTION("""COMPUTED_VALUE"""),"Pittsburgh")</f>
        <v>Pittsburgh</v>
      </c>
      <c r="AC90" t="str">
        <f>IFERROR(__xludf.DUMMYFUNCTION("""COMPUTED_VALUE"""),"Purdue")</f>
        <v>Purdue</v>
      </c>
      <c r="AD90" t="str">
        <f>IFERROR(__xludf.DUMMYFUNCTION("""COMPUTED_VALUE"""),"Rice")</f>
        <v>Rice</v>
      </c>
      <c r="AE90" t="str">
        <f>IFERROR(__xludf.DUMMYFUNCTION("""COMPUTED_VALUE"""),"Rutgers")</f>
        <v>Rutgers</v>
      </c>
      <c r="AF90" t="str">
        <f>IFERROR(__xludf.DUMMYFUNCTION("""COMPUTED_VALUE"""),"Sam Houston")</f>
        <v>Sam Houston</v>
      </c>
      <c r="AG90" t="str">
        <f>IFERROR(__xludf.DUMMYFUNCTION("""COMPUTED_VALUE"""),"Southern Mississippi")</f>
        <v>Southern Mississippi</v>
      </c>
      <c r="AH90" t="str">
        <f>IFERROR(__xludf.DUMMYFUNCTION("""COMPUTED_VALUE"""),"Stanford")</f>
        <v>Stanford</v>
      </c>
      <c r="AI90" t="str">
        <f>IFERROR(__xludf.DUMMYFUNCTION("""COMPUTED_VALUE"""),"Syracuse")</f>
        <v>Syracuse</v>
      </c>
      <c r="AJ90" t="str">
        <f>IFERROR(__xludf.DUMMYFUNCTION("""COMPUTED_VALUE"""),"Temple")</f>
        <v>Temple</v>
      </c>
      <c r="AK90" t="str">
        <f>IFERROR(__xludf.DUMMYFUNCTION("""COMPUTED_VALUE"""),"Tulsa")</f>
        <v>Tulsa</v>
      </c>
      <c r="AL90" t="str">
        <f>IFERROR(__xludf.DUMMYFUNCTION("""COMPUTED_VALUE"""),"UAB")</f>
        <v>UAB</v>
      </c>
      <c r="AM90" t="str">
        <f>IFERROR(__xludf.DUMMYFUNCTION("""COMPUTED_VALUE"""),"UCLA")</f>
        <v>UCLA</v>
      </c>
      <c r="AN90" t="str">
        <f>IFERROR(__xludf.DUMMYFUNCTION("""COMPUTED_VALUE"""),"UL Monroe")</f>
        <v>UL Monroe</v>
      </c>
      <c r="AO90" t="str">
        <f>IFERROR(__xludf.DUMMYFUNCTION("""COMPUTED_VALUE"""),"UMASS")</f>
        <v>UMASS</v>
      </c>
      <c r="AP90" t="str">
        <f>IFERROR(__xludf.DUMMYFUNCTION("""COMPUTED_VALUE"""),"Utah State")</f>
        <v>Utah State</v>
      </c>
      <c r="AQ90" t="str">
        <f>IFERROR(__xludf.DUMMYFUNCTION("""COMPUTED_VALUE"""),"Vanderbilt")</f>
        <v>Vanderbilt</v>
      </c>
      <c r="AR90" t="str">
        <f>IFERROR(__xludf.DUMMYFUNCTION("""COMPUTED_VALUE"""),"Virginia")</f>
        <v>Virginia</v>
      </c>
      <c r="AS90" t="str">
        <f>IFERROR(__xludf.DUMMYFUNCTION("""COMPUTED_VALUE"""),"Wake Forest")</f>
        <v>Wake Forest</v>
      </c>
      <c r="AT90" t="str">
        <f>IFERROR(__xludf.DUMMYFUNCTION("""COMPUTED_VALUE"""),"Washington State")</f>
        <v>Washington State</v>
      </c>
      <c r="AU90" t="str">
        <f>IFERROR(__xludf.DUMMYFUNCTION("""COMPUTED_VALUE"""),"West Virginia")</f>
        <v>West Virginia</v>
      </c>
      <c r="AV90" t="str">
        <f>IFERROR(__xludf.DUMMYFUNCTION("""COMPUTED_VALUE"""),"Wisconsin")</f>
        <v>Wisconsin</v>
      </c>
    </row>
    <row r="91">
      <c r="A91" s="1">
        <v>90.0</v>
      </c>
      <c r="B91" t="str">
        <f>IFERROR(__xludf.DUMMYFUNCTION("split(join("","",sort(byrow('Teams-Conference'!A$2:A1000,lambda(rw,if(iserror(match(rw,DraftTracker!F$1:F91,0)),rw,""""))),1,1)),"","",1,1)"),"Arizona")</f>
        <v>Arizona</v>
      </c>
      <c r="C91" t="str">
        <f>IFERROR(__xludf.DUMMYFUNCTION("""COMPUTED_VALUE"""),"Arkansas")</f>
        <v>Arkansas</v>
      </c>
      <c r="D91" t="str">
        <f>IFERROR(__xludf.DUMMYFUNCTION("""COMPUTED_VALUE"""),"Arkansas State")</f>
        <v>Arkansas State</v>
      </c>
      <c r="E91" t="str">
        <f>IFERROR(__xludf.DUMMYFUNCTION("""COMPUTED_VALUE"""),"Ball State")</f>
        <v>Ball State</v>
      </c>
      <c r="F91" t="str">
        <f>IFERROR(__xludf.DUMMYFUNCTION("""COMPUTED_VALUE"""),"Boston College")</f>
        <v>Boston College</v>
      </c>
      <c r="G91" t="str">
        <f>IFERROR(__xludf.DUMMYFUNCTION("""COMPUTED_VALUE"""),"California")</f>
        <v>California</v>
      </c>
      <c r="H91" t="str">
        <f>IFERROR(__xludf.DUMMYFUNCTION("""COMPUTED_VALUE"""),"Charlotte")</f>
        <v>Charlotte</v>
      </c>
      <c r="I91" t="str">
        <f>IFERROR(__xludf.DUMMYFUNCTION("""COMPUTED_VALUE"""),"Colorado")</f>
        <v>Colorado</v>
      </c>
      <c r="J91" t="str">
        <f>IFERROR(__xludf.DUMMYFUNCTION("""COMPUTED_VALUE"""),"Delaware")</f>
        <v>Delaware</v>
      </c>
      <c r="K91" t="str">
        <f>IFERROR(__xludf.DUMMYFUNCTION("""COMPUTED_VALUE"""),"Georgia State")</f>
        <v>Georgia State</v>
      </c>
      <c r="L91" t="str">
        <f>IFERROR(__xludf.DUMMYFUNCTION("""COMPUTED_VALUE"""),"Kennesaw State")</f>
        <v>Kennesaw State</v>
      </c>
      <c r="M91" t="str">
        <f>IFERROR(__xludf.DUMMYFUNCTION("""COMPUTED_VALUE"""),"Kent State")</f>
        <v>Kent State</v>
      </c>
      <c r="N91" t="str">
        <f>IFERROR(__xludf.DUMMYFUNCTION("""COMPUTED_VALUE"""),"Kentucky")</f>
        <v>Kentucky</v>
      </c>
      <c r="O91" t="str">
        <f>IFERROR(__xludf.DUMMYFUNCTION("""COMPUTED_VALUE"""),"Marshall")</f>
        <v>Marshall</v>
      </c>
      <c r="P91" t="str">
        <f>IFERROR(__xludf.DUMMYFUNCTION("""COMPUTED_VALUE"""),"Maryland")</f>
        <v>Maryland</v>
      </c>
      <c r="Q91" t="str">
        <f>IFERROR(__xludf.DUMMYFUNCTION("""COMPUTED_VALUE"""),"Michigan State")</f>
        <v>Michigan State</v>
      </c>
      <c r="R91" t="str">
        <f>IFERROR(__xludf.DUMMYFUNCTION("""COMPUTED_VALUE"""),"Middle Tennessee")</f>
        <v>Middle Tennessee</v>
      </c>
      <c r="S91" t="str">
        <f>IFERROR(__xludf.DUMMYFUNCTION("""COMPUTED_VALUE"""),"Mississippi State")</f>
        <v>Mississippi State</v>
      </c>
      <c r="T91" t="str">
        <f>IFERROR(__xludf.DUMMYFUNCTION("""COMPUTED_VALUE"""),"Missouri State")</f>
        <v>Missouri State</v>
      </c>
      <c r="U91" t="str">
        <f>IFERROR(__xludf.DUMMYFUNCTION("""COMPUTED_VALUE"""),"NC State")</f>
        <v>NC State</v>
      </c>
      <c r="V91" t="str">
        <f>IFERROR(__xludf.DUMMYFUNCTION("""COMPUTED_VALUE"""),"Nevada")</f>
        <v>Nevada</v>
      </c>
      <c r="W91" t="str">
        <f>IFERROR(__xludf.DUMMYFUNCTION("""COMPUTED_VALUE"""),"New Mexico")</f>
        <v>New Mexico</v>
      </c>
      <c r="X91" t="str">
        <f>IFERROR(__xludf.DUMMYFUNCTION("""COMPUTED_VALUE"""),"New Mexico State")</f>
        <v>New Mexico State</v>
      </c>
      <c r="Y91" t="str">
        <f>IFERROR(__xludf.DUMMYFUNCTION("""COMPUTED_VALUE"""),"Northwestern")</f>
        <v>Northwestern</v>
      </c>
      <c r="Z91" t="str">
        <f>IFERROR(__xludf.DUMMYFUNCTION("""COMPUTED_VALUE"""),"Oklahoma State")</f>
        <v>Oklahoma State</v>
      </c>
      <c r="AA91" t="str">
        <f>IFERROR(__xludf.DUMMYFUNCTION("""COMPUTED_VALUE"""),"Oregon State")</f>
        <v>Oregon State</v>
      </c>
      <c r="AB91" t="str">
        <f>IFERROR(__xludf.DUMMYFUNCTION("""COMPUTED_VALUE"""),"Pittsburgh")</f>
        <v>Pittsburgh</v>
      </c>
      <c r="AC91" t="str">
        <f>IFERROR(__xludf.DUMMYFUNCTION("""COMPUTED_VALUE"""),"Purdue")</f>
        <v>Purdue</v>
      </c>
      <c r="AD91" t="str">
        <f>IFERROR(__xludf.DUMMYFUNCTION("""COMPUTED_VALUE"""),"Rice")</f>
        <v>Rice</v>
      </c>
      <c r="AE91" t="str">
        <f>IFERROR(__xludf.DUMMYFUNCTION("""COMPUTED_VALUE"""),"Rutgers")</f>
        <v>Rutgers</v>
      </c>
      <c r="AF91" t="str">
        <f>IFERROR(__xludf.DUMMYFUNCTION("""COMPUTED_VALUE"""),"Sam Houston")</f>
        <v>Sam Houston</v>
      </c>
      <c r="AG91" t="str">
        <f>IFERROR(__xludf.DUMMYFUNCTION("""COMPUTED_VALUE"""),"Southern Mississippi")</f>
        <v>Southern Mississippi</v>
      </c>
      <c r="AH91" t="str">
        <f>IFERROR(__xludf.DUMMYFUNCTION("""COMPUTED_VALUE"""),"Stanford")</f>
        <v>Stanford</v>
      </c>
      <c r="AI91" t="str">
        <f>IFERROR(__xludf.DUMMYFUNCTION("""COMPUTED_VALUE"""),"Syracuse")</f>
        <v>Syracuse</v>
      </c>
      <c r="AJ91" t="str">
        <f>IFERROR(__xludf.DUMMYFUNCTION("""COMPUTED_VALUE"""),"Temple")</f>
        <v>Temple</v>
      </c>
      <c r="AK91" t="str">
        <f>IFERROR(__xludf.DUMMYFUNCTION("""COMPUTED_VALUE"""),"Tulsa")</f>
        <v>Tulsa</v>
      </c>
      <c r="AL91" t="str">
        <f>IFERROR(__xludf.DUMMYFUNCTION("""COMPUTED_VALUE"""),"UAB")</f>
        <v>UAB</v>
      </c>
      <c r="AM91" t="str">
        <f>IFERROR(__xludf.DUMMYFUNCTION("""COMPUTED_VALUE"""),"UCLA")</f>
        <v>UCLA</v>
      </c>
      <c r="AN91" t="str">
        <f>IFERROR(__xludf.DUMMYFUNCTION("""COMPUTED_VALUE"""),"UL Monroe")</f>
        <v>UL Monroe</v>
      </c>
      <c r="AO91" t="str">
        <f>IFERROR(__xludf.DUMMYFUNCTION("""COMPUTED_VALUE"""),"UMASS")</f>
        <v>UMASS</v>
      </c>
      <c r="AP91" t="str">
        <f>IFERROR(__xludf.DUMMYFUNCTION("""COMPUTED_VALUE"""),"Utah State")</f>
        <v>Utah State</v>
      </c>
      <c r="AQ91" t="str">
        <f>IFERROR(__xludf.DUMMYFUNCTION("""COMPUTED_VALUE"""),"Vanderbilt")</f>
        <v>Vanderbilt</v>
      </c>
      <c r="AR91" t="str">
        <f>IFERROR(__xludf.DUMMYFUNCTION("""COMPUTED_VALUE"""),"Wake Forest")</f>
        <v>Wake Forest</v>
      </c>
      <c r="AS91" t="str">
        <f>IFERROR(__xludf.DUMMYFUNCTION("""COMPUTED_VALUE"""),"Washington State")</f>
        <v>Washington State</v>
      </c>
      <c r="AT91" t="str">
        <f>IFERROR(__xludf.DUMMYFUNCTION("""COMPUTED_VALUE"""),"West Virginia")</f>
        <v>West Virginia</v>
      </c>
      <c r="AU91" t="str">
        <f>IFERROR(__xludf.DUMMYFUNCTION("""COMPUTED_VALUE"""),"Wisconsin")</f>
        <v>Wisconsin</v>
      </c>
    </row>
    <row r="92">
      <c r="A92" s="1">
        <v>91.0</v>
      </c>
      <c r="B92" t="str">
        <f>IFERROR(__xludf.DUMMYFUNCTION("split(join("","",sort(byrow('Teams-Conference'!A$2:A1000,lambda(rw,if(iserror(match(rw,DraftTracker!F$1:F92,0)),rw,""""))),1,1)),"","",1,1)"),"Arizona")</f>
        <v>Arizona</v>
      </c>
      <c r="C92" t="str">
        <f>IFERROR(__xludf.DUMMYFUNCTION("""COMPUTED_VALUE"""),"Arkansas")</f>
        <v>Arkansas</v>
      </c>
      <c r="D92" t="str">
        <f>IFERROR(__xludf.DUMMYFUNCTION("""COMPUTED_VALUE"""),"Arkansas State")</f>
        <v>Arkansas State</v>
      </c>
      <c r="E92" t="str">
        <f>IFERROR(__xludf.DUMMYFUNCTION("""COMPUTED_VALUE"""),"Ball State")</f>
        <v>Ball State</v>
      </c>
      <c r="F92" t="str">
        <f>IFERROR(__xludf.DUMMYFUNCTION("""COMPUTED_VALUE"""),"Boston College")</f>
        <v>Boston College</v>
      </c>
      <c r="G92" t="str">
        <f>IFERROR(__xludf.DUMMYFUNCTION("""COMPUTED_VALUE"""),"California")</f>
        <v>California</v>
      </c>
      <c r="H92" t="str">
        <f>IFERROR(__xludf.DUMMYFUNCTION("""COMPUTED_VALUE"""),"Charlotte")</f>
        <v>Charlotte</v>
      </c>
      <c r="I92" t="str">
        <f>IFERROR(__xludf.DUMMYFUNCTION("""COMPUTED_VALUE"""),"Delaware")</f>
        <v>Delaware</v>
      </c>
      <c r="J92" t="str">
        <f>IFERROR(__xludf.DUMMYFUNCTION("""COMPUTED_VALUE"""),"Georgia State")</f>
        <v>Georgia State</v>
      </c>
      <c r="K92" t="str">
        <f>IFERROR(__xludf.DUMMYFUNCTION("""COMPUTED_VALUE"""),"Kennesaw State")</f>
        <v>Kennesaw State</v>
      </c>
      <c r="L92" t="str">
        <f>IFERROR(__xludf.DUMMYFUNCTION("""COMPUTED_VALUE"""),"Kent State")</f>
        <v>Kent State</v>
      </c>
      <c r="M92" t="str">
        <f>IFERROR(__xludf.DUMMYFUNCTION("""COMPUTED_VALUE"""),"Kentucky")</f>
        <v>Kentucky</v>
      </c>
      <c r="N92" t="str">
        <f>IFERROR(__xludf.DUMMYFUNCTION("""COMPUTED_VALUE"""),"Marshall")</f>
        <v>Marshall</v>
      </c>
      <c r="O92" t="str">
        <f>IFERROR(__xludf.DUMMYFUNCTION("""COMPUTED_VALUE"""),"Maryland")</f>
        <v>Maryland</v>
      </c>
      <c r="P92" t="str">
        <f>IFERROR(__xludf.DUMMYFUNCTION("""COMPUTED_VALUE"""),"Michigan State")</f>
        <v>Michigan State</v>
      </c>
      <c r="Q92" t="str">
        <f>IFERROR(__xludf.DUMMYFUNCTION("""COMPUTED_VALUE"""),"Middle Tennessee")</f>
        <v>Middle Tennessee</v>
      </c>
      <c r="R92" t="str">
        <f>IFERROR(__xludf.DUMMYFUNCTION("""COMPUTED_VALUE"""),"Mississippi State")</f>
        <v>Mississippi State</v>
      </c>
      <c r="S92" t="str">
        <f>IFERROR(__xludf.DUMMYFUNCTION("""COMPUTED_VALUE"""),"Missouri State")</f>
        <v>Missouri State</v>
      </c>
      <c r="T92" t="str">
        <f>IFERROR(__xludf.DUMMYFUNCTION("""COMPUTED_VALUE"""),"NC State")</f>
        <v>NC State</v>
      </c>
      <c r="U92" t="str">
        <f>IFERROR(__xludf.DUMMYFUNCTION("""COMPUTED_VALUE"""),"Nevada")</f>
        <v>Nevada</v>
      </c>
      <c r="V92" t="str">
        <f>IFERROR(__xludf.DUMMYFUNCTION("""COMPUTED_VALUE"""),"New Mexico")</f>
        <v>New Mexico</v>
      </c>
      <c r="W92" t="str">
        <f>IFERROR(__xludf.DUMMYFUNCTION("""COMPUTED_VALUE"""),"New Mexico State")</f>
        <v>New Mexico State</v>
      </c>
      <c r="X92" t="str">
        <f>IFERROR(__xludf.DUMMYFUNCTION("""COMPUTED_VALUE"""),"Northwestern")</f>
        <v>Northwestern</v>
      </c>
      <c r="Y92" t="str">
        <f>IFERROR(__xludf.DUMMYFUNCTION("""COMPUTED_VALUE"""),"Oklahoma State")</f>
        <v>Oklahoma State</v>
      </c>
      <c r="Z92" t="str">
        <f>IFERROR(__xludf.DUMMYFUNCTION("""COMPUTED_VALUE"""),"Oregon State")</f>
        <v>Oregon State</v>
      </c>
      <c r="AA92" t="str">
        <f>IFERROR(__xludf.DUMMYFUNCTION("""COMPUTED_VALUE"""),"Pittsburgh")</f>
        <v>Pittsburgh</v>
      </c>
      <c r="AB92" t="str">
        <f>IFERROR(__xludf.DUMMYFUNCTION("""COMPUTED_VALUE"""),"Purdue")</f>
        <v>Purdue</v>
      </c>
      <c r="AC92" t="str">
        <f>IFERROR(__xludf.DUMMYFUNCTION("""COMPUTED_VALUE"""),"Rice")</f>
        <v>Rice</v>
      </c>
      <c r="AD92" t="str">
        <f>IFERROR(__xludf.DUMMYFUNCTION("""COMPUTED_VALUE"""),"Rutgers")</f>
        <v>Rutgers</v>
      </c>
      <c r="AE92" t="str">
        <f>IFERROR(__xludf.DUMMYFUNCTION("""COMPUTED_VALUE"""),"Sam Houston")</f>
        <v>Sam Houston</v>
      </c>
      <c r="AF92" t="str">
        <f>IFERROR(__xludf.DUMMYFUNCTION("""COMPUTED_VALUE"""),"Southern Mississippi")</f>
        <v>Southern Mississippi</v>
      </c>
      <c r="AG92" t="str">
        <f>IFERROR(__xludf.DUMMYFUNCTION("""COMPUTED_VALUE"""),"Stanford")</f>
        <v>Stanford</v>
      </c>
      <c r="AH92" t="str">
        <f>IFERROR(__xludf.DUMMYFUNCTION("""COMPUTED_VALUE"""),"Syracuse")</f>
        <v>Syracuse</v>
      </c>
      <c r="AI92" t="str">
        <f>IFERROR(__xludf.DUMMYFUNCTION("""COMPUTED_VALUE"""),"Temple")</f>
        <v>Temple</v>
      </c>
      <c r="AJ92" t="str">
        <f>IFERROR(__xludf.DUMMYFUNCTION("""COMPUTED_VALUE"""),"Tulsa")</f>
        <v>Tulsa</v>
      </c>
      <c r="AK92" t="str">
        <f>IFERROR(__xludf.DUMMYFUNCTION("""COMPUTED_VALUE"""),"UAB")</f>
        <v>UAB</v>
      </c>
      <c r="AL92" t="str">
        <f>IFERROR(__xludf.DUMMYFUNCTION("""COMPUTED_VALUE"""),"UCLA")</f>
        <v>UCLA</v>
      </c>
      <c r="AM92" t="str">
        <f>IFERROR(__xludf.DUMMYFUNCTION("""COMPUTED_VALUE"""),"UL Monroe")</f>
        <v>UL Monroe</v>
      </c>
      <c r="AN92" t="str">
        <f>IFERROR(__xludf.DUMMYFUNCTION("""COMPUTED_VALUE"""),"UMASS")</f>
        <v>UMASS</v>
      </c>
      <c r="AO92" t="str">
        <f>IFERROR(__xludf.DUMMYFUNCTION("""COMPUTED_VALUE"""),"Utah State")</f>
        <v>Utah State</v>
      </c>
      <c r="AP92" t="str">
        <f>IFERROR(__xludf.DUMMYFUNCTION("""COMPUTED_VALUE"""),"Vanderbilt")</f>
        <v>Vanderbilt</v>
      </c>
      <c r="AQ92" t="str">
        <f>IFERROR(__xludf.DUMMYFUNCTION("""COMPUTED_VALUE"""),"Wake Forest")</f>
        <v>Wake Forest</v>
      </c>
      <c r="AR92" t="str">
        <f>IFERROR(__xludf.DUMMYFUNCTION("""COMPUTED_VALUE"""),"Washington State")</f>
        <v>Washington State</v>
      </c>
      <c r="AS92" t="str">
        <f>IFERROR(__xludf.DUMMYFUNCTION("""COMPUTED_VALUE"""),"West Virginia")</f>
        <v>West Virginia</v>
      </c>
      <c r="AT92" t="str">
        <f>IFERROR(__xludf.DUMMYFUNCTION("""COMPUTED_VALUE"""),"Wisconsin")</f>
        <v>Wisconsin</v>
      </c>
    </row>
    <row r="93">
      <c r="A93" s="1">
        <v>92.0</v>
      </c>
      <c r="B93" t="str">
        <f>IFERROR(__xludf.DUMMYFUNCTION("split(join("","",sort(byrow('Teams-Conference'!A$2:A1000,lambda(rw,if(iserror(match(rw,DraftTracker!F$1:F93,0)),rw,""""))),1,1)),"","",1,1)"),"Arizona")</f>
        <v>Arizona</v>
      </c>
      <c r="C93" t="str">
        <f>IFERROR(__xludf.DUMMYFUNCTION("""COMPUTED_VALUE"""),"Arkansas")</f>
        <v>Arkansas</v>
      </c>
      <c r="D93" t="str">
        <f>IFERROR(__xludf.DUMMYFUNCTION("""COMPUTED_VALUE"""),"Arkansas State")</f>
        <v>Arkansas State</v>
      </c>
      <c r="E93" t="str">
        <f>IFERROR(__xludf.DUMMYFUNCTION("""COMPUTED_VALUE"""),"Ball State")</f>
        <v>Ball State</v>
      </c>
      <c r="F93" t="str">
        <f>IFERROR(__xludf.DUMMYFUNCTION("""COMPUTED_VALUE"""),"Boston College")</f>
        <v>Boston College</v>
      </c>
      <c r="G93" t="str">
        <f>IFERROR(__xludf.DUMMYFUNCTION("""COMPUTED_VALUE"""),"California")</f>
        <v>California</v>
      </c>
      <c r="H93" t="str">
        <f>IFERROR(__xludf.DUMMYFUNCTION("""COMPUTED_VALUE"""),"Charlotte")</f>
        <v>Charlotte</v>
      </c>
      <c r="I93" t="str">
        <f>IFERROR(__xludf.DUMMYFUNCTION("""COMPUTED_VALUE"""),"Delaware")</f>
        <v>Delaware</v>
      </c>
      <c r="J93" t="str">
        <f>IFERROR(__xludf.DUMMYFUNCTION("""COMPUTED_VALUE"""),"Georgia State")</f>
        <v>Georgia State</v>
      </c>
      <c r="K93" t="str">
        <f>IFERROR(__xludf.DUMMYFUNCTION("""COMPUTED_VALUE"""),"Kennesaw State")</f>
        <v>Kennesaw State</v>
      </c>
      <c r="L93" t="str">
        <f>IFERROR(__xludf.DUMMYFUNCTION("""COMPUTED_VALUE"""),"Kent State")</f>
        <v>Kent State</v>
      </c>
      <c r="M93" t="str">
        <f>IFERROR(__xludf.DUMMYFUNCTION("""COMPUTED_VALUE"""),"Kentucky")</f>
        <v>Kentucky</v>
      </c>
      <c r="N93" t="str">
        <f>IFERROR(__xludf.DUMMYFUNCTION("""COMPUTED_VALUE"""),"Marshall")</f>
        <v>Marshall</v>
      </c>
      <c r="O93" t="str">
        <f>IFERROR(__xludf.DUMMYFUNCTION("""COMPUTED_VALUE"""),"Maryland")</f>
        <v>Maryland</v>
      </c>
      <c r="P93" t="str">
        <f>IFERROR(__xludf.DUMMYFUNCTION("""COMPUTED_VALUE"""),"Michigan State")</f>
        <v>Michigan State</v>
      </c>
      <c r="Q93" t="str">
        <f>IFERROR(__xludf.DUMMYFUNCTION("""COMPUTED_VALUE"""),"Middle Tennessee")</f>
        <v>Middle Tennessee</v>
      </c>
      <c r="R93" t="str">
        <f>IFERROR(__xludf.DUMMYFUNCTION("""COMPUTED_VALUE"""),"Mississippi State")</f>
        <v>Mississippi State</v>
      </c>
      <c r="S93" t="str">
        <f>IFERROR(__xludf.DUMMYFUNCTION("""COMPUTED_VALUE"""),"Missouri State")</f>
        <v>Missouri State</v>
      </c>
      <c r="T93" t="str">
        <f>IFERROR(__xludf.DUMMYFUNCTION("""COMPUTED_VALUE"""),"NC State")</f>
        <v>NC State</v>
      </c>
      <c r="U93" t="str">
        <f>IFERROR(__xludf.DUMMYFUNCTION("""COMPUTED_VALUE"""),"Nevada")</f>
        <v>Nevada</v>
      </c>
      <c r="V93" t="str">
        <f>IFERROR(__xludf.DUMMYFUNCTION("""COMPUTED_VALUE"""),"New Mexico")</f>
        <v>New Mexico</v>
      </c>
      <c r="W93" t="str">
        <f>IFERROR(__xludf.DUMMYFUNCTION("""COMPUTED_VALUE"""),"New Mexico State")</f>
        <v>New Mexico State</v>
      </c>
      <c r="X93" t="str">
        <f>IFERROR(__xludf.DUMMYFUNCTION("""COMPUTED_VALUE"""),"Northwestern")</f>
        <v>Northwestern</v>
      </c>
      <c r="Y93" t="str">
        <f>IFERROR(__xludf.DUMMYFUNCTION("""COMPUTED_VALUE"""),"Oklahoma State")</f>
        <v>Oklahoma State</v>
      </c>
      <c r="Z93" t="str">
        <f>IFERROR(__xludf.DUMMYFUNCTION("""COMPUTED_VALUE"""),"Oregon State")</f>
        <v>Oregon State</v>
      </c>
      <c r="AA93" t="str">
        <f>IFERROR(__xludf.DUMMYFUNCTION("""COMPUTED_VALUE"""),"Pittsburgh")</f>
        <v>Pittsburgh</v>
      </c>
      <c r="AB93" t="str">
        <f>IFERROR(__xludf.DUMMYFUNCTION("""COMPUTED_VALUE"""),"Purdue")</f>
        <v>Purdue</v>
      </c>
      <c r="AC93" t="str">
        <f>IFERROR(__xludf.DUMMYFUNCTION("""COMPUTED_VALUE"""),"Rice")</f>
        <v>Rice</v>
      </c>
      <c r="AD93" t="str">
        <f>IFERROR(__xludf.DUMMYFUNCTION("""COMPUTED_VALUE"""),"Rutgers")</f>
        <v>Rutgers</v>
      </c>
      <c r="AE93" t="str">
        <f>IFERROR(__xludf.DUMMYFUNCTION("""COMPUTED_VALUE"""),"Sam Houston")</f>
        <v>Sam Houston</v>
      </c>
      <c r="AF93" t="str">
        <f>IFERROR(__xludf.DUMMYFUNCTION("""COMPUTED_VALUE"""),"Southern Mississippi")</f>
        <v>Southern Mississippi</v>
      </c>
      <c r="AG93" t="str">
        <f>IFERROR(__xludf.DUMMYFUNCTION("""COMPUTED_VALUE"""),"Stanford")</f>
        <v>Stanford</v>
      </c>
      <c r="AH93" t="str">
        <f>IFERROR(__xludf.DUMMYFUNCTION("""COMPUTED_VALUE"""),"Syracuse")</f>
        <v>Syracuse</v>
      </c>
      <c r="AI93" t="str">
        <f>IFERROR(__xludf.DUMMYFUNCTION("""COMPUTED_VALUE"""),"Temple")</f>
        <v>Temple</v>
      </c>
      <c r="AJ93" t="str">
        <f>IFERROR(__xludf.DUMMYFUNCTION("""COMPUTED_VALUE"""),"Tulsa")</f>
        <v>Tulsa</v>
      </c>
      <c r="AK93" t="str">
        <f>IFERROR(__xludf.DUMMYFUNCTION("""COMPUTED_VALUE"""),"UAB")</f>
        <v>UAB</v>
      </c>
      <c r="AL93" t="str">
        <f>IFERROR(__xludf.DUMMYFUNCTION("""COMPUTED_VALUE"""),"UCLA")</f>
        <v>UCLA</v>
      </c>
      <c r="AM93" t="str">
        <f>IFERROR(__xludf.DUMMYFUNCTION("""COMPUTED_VALUE"""),"UL Monroe")</f>
        <v>UL Monroe</v>
      </c>
      <c r="AN93" t="str">
        <f>IFERROR(__xludf.DUMMYFUNCTION("""COMPUTED_VALUE"""),"UMASS")</f>
        <v>UMASS</v>
      </c>
      <c r="AO93" t="str">
        <f>IFERROR(__xludf.DUMMYFUNCTION("""COMPUTED_VALUE"""),"Vanderbilt")</f>
        <v>Vanderbilt</v>
      </c>
      <c r="AP93" t="str">
        <f>IFERROR(__xludf.DUMMYFUNCTION("""COMPUTED_VALUE"""),"Wake Forest")</f>
        <v>Wake Forest</v>
      </c>
      <c r="AQ93" t="str">
        <f>IFERROR(__xludf.DUMMYFUNCTION("""COMPUTED_VALUE"""),"Washington State")</f>
        <v>Washington State</v>
      </c>
      <c r="AR93" t="str">
        <f>IFERROR(__xludf.DUMMYFUNCTION("""COMPUTED_VALUE"""),"West Virginia")</f>
        <v>West Virginia</v>
      </c>
      <c r="AS93" t="str">
        <f>IFERROR(__xludf.DUMMYFUNCTION("""COMPUTED_VALUE"""),"Wisconsin")</f>
        <v>Wisconsin</v>
      </c>
    </row>
    <row r="94">
      <c r="A94" s="1">
        <v>93.0</v>
      </c>
      <c r="B94" t="str">
        <f>IFERROR(__xludf.DUMMYFUNCTION("split(join("","",sort(byrow('Teams-Conference'!A$2:A1000,lambda(rw,if(iserror(match(rw,DraftTracker!F$1:F94,0)),rw,""""))),1,1)),"","",1,1)"),"Arizona")</f>
        <v>Arizona</v>
      </c>
      <c r="C94" t="str">
        <f>IFERROR(__xludf.DUMMYFUNCTION("""COMPUTED_VALUE"""),"Arkansas")</f>
        <v>Arkansas</v>
      </c>
      <c r="D94" t="str">
        <f>IFERROR(__xludf.DUMMYFUNCTION("""COMPUTED_VALUE"""),"Arkansas State")</f>
        <v>Arkansas State</v>
      </c>
      <c r="E94" t="str">
        <f>IFERROR(__xludf.DUMMYFUNCTION("""COMPUTED_VALUE"""),"Ball State")</f>
        <v>Ball State</v>
      </c>
      <c r="F94" t="str">
        <f>IFERROR(__xludf.DUMMYFUNCTION("""COMPUTED_VALUE"""),"Boston College")</f>
        <v>Boston College</v>
      </c>
      <c r="G94" t="str">
        <f>IFERROR(__xludf.DUMMYFUNCTION("""COMPUTED_VALUE"""),"California")</f>
        <v>California</v>
      </c>
      <c r="H94" t="str">
        <f>IFERROR(__xludf.DUMMYFUNCTION("""COMPUTED_VALUE"""),"Charlotte")</f>
        <v>Charlotte</v>
      </c>
      <c r="I94" t="str">
        <f>IFERROR(__xludf.DUMMYFUNCTION("""COMPUTED_VALUE"""),"Delaware")</f>
        <v>Delaware</v>
      </c>
      <c r="J94" t="str">
        <f>IFERROR(__xludf.DUMMYFUNCTION("""COMPUTED_VALUE"""),"Georgia State")</f>
        <v>Georgia State</v>
      </c>
      <c r="K94" t="str">
        <f>IFERROR(__xludf.DUMMYFUNCTION("""COMPUTED_VALUE"""),"Kennesaw State")</f>
        <v>Kennesaw State</v>
      </c>
      <c r="L94" t="str">
        <f>IFERROR(__xludf.DUMMYFUNCTION("""COMPUTED_VALUE"""),"Kent State")</f>
        <v>Kent State</v>
      </c>
      <c r="M94" t="str">
        <f>IFERROR(__xludf.DUMMYFUNCTION("""COMPUTED_VALUE"""),"Kentucky")</f>
        <v>Kentucky</v>
      </c>
      <c r="N94" t="str">
        <f>IFERROR(__xludf.DUMMYFUNCTION("""COMPUTED_VALUE"""),"Marshall")</f>
        <v>Marshall</v>
      </c>
      <c r="O94" t="str">
        <f>IFERROR(__xludf.DUMMYFUNCTION("""COMPUTED_VALUE"""),"Maryland")</f>
        <v>Maryland</v>
      </c>
      <c r="P94" t="str">
        <f>IFERROR(__xludf.DUMMYFUNCTION("""COMPUTED_VALUE"""),"Michigan State")</f>
        <v>Michigan State</v>
      </c>
      <c r="Q94" t="str">
        <f>IFERROR(__xludf.DUMMYFUNCTION("""COMPUTED_VALUE"""),"Middle Tennessee")</f>
        <v>Middle Tennessee</v>
      </c>
      <c r="R94" t="str">
        <f>IFERROR(__xludf.DUMMYFUNCTION("""COMPUTED_VALUE"""),"Mississippi State")</f>
        <v>Mississippi State</v>
      </c>
      <c r="S94" t="str">
        <f>IFERROR(__xludf.DUMMYFUNCTION("""COMPUTED_VALUE"""),"Missouri State")</f>
        <v>Missouri State</v>
      </c>
      <c r="T94" t="str">
        <f>IFERROR(__xludf.DUMMYFUNCTION("""COMPUTED_VALUE"""),"NC State")</f>
        <v>NC State</v>
      </c>
      <c r="U94" t="str">
        <f>IFERROR(__xludf.DUMMYFUNCTION("""COMPUTED_VALUE"""),"Nevada")</f>
        <v>Nevada</v>
      </c>
      <c r="V94" t="str">
        <f>IFERROR(__xludf.DUMMYFUNCTION("""COMPUTED_VALUE"""),"New Mexico")</f>
        <v>New Mexico</v>
      </c>
      <c r="W94" t="str">
        <f>IFERROR(__xludf.DUMMYFUNCTION("""COMPUTED_VALUE"""),"New Mexico State")</f>
        <v>New Mexico State</v>
      </c>
      <c r="X94" t="str">
        <f>IFERROR(__xludf.DUMMYFUNCTION("""COMPUTED_VALUE"""),"Northwestern")</f>
        <v>Northwestern</v>
      </c>
      <c r="Y94" t="str">
        <f>IFERROR(__xludf.DUMMYFUNCTION("""COMPUTED_VALUE"""),"Oklahoma State")</f>
        <v>Oklahoma State</v>
      </c>
      <c r="Z94" t="str">
        <f>IFERROR(__xludf.DUMMYFUNCTION("""COMPUTED_VALUE"""),"Pittsburgh")</f>
        <v>Pittsburgh</v>
      </c>
      <c r="AA94" t="str">
        <f>IFERROR(__xludf.DUMMYFUNCTION("""COMPUTED_VALUE"""),"Purdue")</f>
        <v>Purdue</v>
      </c>
      <c r="AB94" t="str">
        <f>IFERROR(__xludf.DUMMYFUNCTION("""COMPUTED_VALUE"""),"Rice")</f>
        <v>Rice</v>
      </c>
      <c r="AC94" t="str">
        <f>IFERROR(__xludf.DUMMYFUNCTION("""COMPUTED_VALUE"""),"Rutgers")</f>
        <v>Rutgers</v>
      </c>
      <c r="AD94" t="str">
        <f>IFERROR(__xludf.DUMMYFUNCTION("""COMPUTED_VALUE"""),"Sam Houston")</f>
        <v>Sam Houston</v>
      </c>
      <c r="AE94" t="str">
        <f>IFERROR(__xludf.DUMMYFUNCTION("""COMPUTED_VALUE"""),"Southern Mississippi")</f>
        <v>Southern Mississippi</v>
      </c>
      <c r="AF94" t="str">
        <f>IFERROR(__xludf.DUMMYFUNCTION("""COMPUTED_VALUE"""),"Stanford")</f>
        <v>Stanford</v>
      </c>
      <c r="AG94" t="str">
        <f>IFERROR(__xludf.DUMMYFUNCTION("""COMPUTED_VALUE"""),"Syracuse")</f>
        <v>Syracuse</v>
      </c>
      <c r="AH94" t="str">
        <f>IFERROR(__xludf.DUMMYFUNCTION("""COMPUTED_VALUE"""),"Temple")</f>
        <v>Temple</v>
      </c>
      <c r="AI94" t="str">
        <f>IFERROR(__xludf.DUMMYFUNCTION("""COMPUTED_VALUE"""),"Tulsa")</f>
        <v>Tulsa</v>
      </c>
      <c r="AJ94" t="str">
        <f>IFERROR(__xludf.DUMMYFUNCTION("""COMPUTED_VALUE"""),"UAB")</f>
        <v>UAB</v>
      </c>
      <c r="AK94" t="str">
        <f>IFERROR(__xludf.DUMMYFUNCTION("""COMPUTED_VALUE"""),"UCLA")</f>
        <v>UCLA</v>
      </c>
      <c r="AL94" t="str">
        <f>IFERROR(__xludf.DUMMYFUNCTION("""COMPUTED_VALUE"""),"UL Monroe")</f>
        <v>UL Monroe</v>
      </c>
      <c r="AM94" t="str">
        <f>IFERROR(__xludf.DUMMYFUNCTION("""COMPUTED_VALUE"""),"UMASS")</f>
        <v>UMASS</v>
      </c>
      <c r="AN94" t="str">
        <f>IFERROR(__xludf.DUMMYFUNCTION("""COMPUTED_VALUE"""),"Vanderbilt")</f>
        <v>Vanderbilt</v>
      </c>
      <c r="AO94" t="str">
        <f>IFERROR(__xludf.DUMMYFUNCTION("""COMPUTED_VALUE"""),"Wake Forest")</f>
        <v>Wake Forest</v>
      </c>
      <c r="AP94" t="str">
        <f>IFERROR(__xludf.DUMMYFUNCTION("""COMPUTED_VALUE"""),"Washington State")</f>
        <v>Washington State</v>
      </c>
      <c r="AQ94" t="str">
        <f>IFERROR(__xludf.DUMMYFUNCTION("""COMPUTED_VALUE"""),"West Virginia")</f>
        <v>West Virginia</v>
      </c>
      <c r="AR94" t="str">
        <f>IFERROR(__xludf.DUMMYFUNCTION("""COMPUTED_VALUE"""),"Wisconsin")</f>
        <v>Wisconsin</v>
      </c>
    </row>
    <row r="95">
      <c r="A95" s="1">
        <v>94.0</v>
      </c>
      <c r="B95" t="str">
        <f>IFERROR(__xludf.DUMMYFUNCTION("split(join("","",sort(byrow('Teams-Conference'!A$2:A1000,lambda(rw,if(iserror(match(rw,DraftTracker!F$1:F95,0)),rw,""""))),1,1)),"","",1,1)"),"Arizona")</f>
        <v>Arizona</v>
      </c>
      <c r="C95" t="str">
        <f>IFERROR(__xludf.DUMMYFUNCTION("""COMPUTED_VALUE"""),"Arkansas")</f>
        <v>Arkansas</v>
      </c>
      <c r="D95" t="str">
        <f>IFERROR(__xludf.DUMMYFUNCTION("""COMPUTED_VALUE"""),"Arkansas State")</f>
        <v>Arkansas State</v>
      </c>
      <c r="E95" t="str">
        <f>IFERROR(__xludf.DUMMYFUNCTION("""COMPUTED_VALUE"""),"Ball State")</f>
        <v>Ball State</v>
      </c>
      <c r="F95" t="str">
        <f>IFERROR(__xludf.DUMMYFUNCTION("""COMPUTED_VALUE"""),"Boston College")</f>
        <v>Boston College</v>
      </c>
      <c r="G95" t="str">
        <f>IFERROR(__xludf.DUMMYFUNCTION("""COMPUTED_VALUE"""),"California")</f>
        <v>California</v>
      </c>
      <c r="H95" t="str">
        <f>IFERROR(__xludf.DUMMYFUNCTION("""COMPUTED_VALUE"""),"Charlotte")</f>
        <v>Charlotte</v>
      </c>
      <c r="I95" t="str">
        <f>IFERROR(__xludf.DUMMYFUNCTION("""COMPUTED_VALUE"""),"Delaware")</f>
        <v>Delaware</v>
      </c>
      <c r="J95" t="str">
        <f>IFERROR(__xludf.DUMMYFUNCTION("""COMPUTED_VALUE"""),"Georgia State")</f>
        <v>Georgia State</v>
      </c>
      <c r="K95" t="str">
        <f>IFERROR(__xludf.DUMMYFUNCTION("""COMPUTED_VALUE"""),"Kennesaw State")</f>
        <v>Kennesaw State</v>
      </c>
      <c r="L95" t="str">
        <f>IFERROR(__xludf.DUMMYFUNCTION("""COMPUTED_VALUE"""),"Kent State")</f>
        <v>Kent State</v>
      </c>
      <c r="M95" t="str">
        <f>IFERROR(__xludf.DUMMYFUNCTION("""COMPUTED_VALUE"""),"Kentucky")</f>
        <v>Kentucky</v>
      </c>
      <c r="N95" t="str">
        <f>IFERROR(__xludf.DUMMYFUNCTION("""COMPUTED_VALUE"""),"Marshall")</f>
        <v>Marshall</v>
      </c>
      <c r="O95" t="str">
        <f>IFERROR(__xludf.DUMMYFUNCTION("""COMPUTED_VALUE"""),"Maryland")</f>
        <v>Maryland</v>
      </c>
      <c r="P95" t="str">
        <f>IFERROR(__xludf.DUMMYFUNCTION("""COMPUTED_VALUE"""),"Michigan State")</f>
        <v>Michigan State</v>
      </c>
      <c r="Q95" t="str">
        <f>IFERROR(__xludf.DUMMYFUNCTION("""COMPUTED_VALUE"""),"Middle Tennessee")</f>
        <v>Middle Tennessee</v>
      </c>
      <c r="R95" t="str">
        <f>IFERROR(__xludf.DUMMYFUNCTION("""COMPUTED_VALUE"""),"Mississippi State")</f>
        <v>Mississippi State</v>
      </c>
      <c r="S95" t="str">
        <f>IFERROR(__xludf.DUMMYFUNCTION("""COMPUTED_VALUE"""),"Missouri State")</f>
        <v>Missouri State</v>
      </c>
      <c r="T95" t="str">
        <f>IFERROR(__xludf.DUMMYFUNCTION("""COMPUTED_VALUE"""),"NC State")</f>
        <v>NC State</v>
      </c>
      <c r="U95" t="str">
        <f>IFERROR(__xludf.DUMMYFUNCTION("""COMPUTED_VALUE"""),"Nevada")</f>
        <v>Nevada</v>
      </c>
      <c r="V95" t="str">
        <f>IFERROR(__xludf.DUMMYFUNCTION("""COMPUTED_VALUE"""),"New Mexico")</f>
        <v>New Mexico</v>
      </c>
      <c r="W95" t="str">
        <f>IFERROR(__xludf.DUMMYFUNCTION("""COMPUTED_VALUE"""),"New Mexico State")</f>
        <v>New Mexico State</v>
      </c>
      <c r="X95" t="str">
        <f>IFERROR(__xludf.DUMMYFUNCTION("""COMPUTED_VALUE"""),"Northwestern")</f>
        <v>Northwestern</v>
      </c>
      <c r="Y95" t="str">
        <f>IFERROR(__xludf.DUMMYFUNCTION("""COMPUTED_VALUE"""),"Oklahoma State")</f>
        <v>Oklahoma State</v>
      </c>
      <c r="Z95" t="str">
        <f>IFERROR(__xludf.DUMMYFUNCTION("""COMPUTED_VALUE"""),"Pittsburgh")</f>
        <v>Pittsburgh</v>
      </c>
      <c r="AA95" t="str">
        <f>IFERROR(__xludf.DUMMYFUNCTION("""COMPUTED_VALUE"""),"Purdue")</f>
        <v>Purdue</v>
      </c>
      <c r="AB95" t="str">
        <f>IFERROR(__xludf.DUMMYFUNCTION("""COMPUTED_VALUE"""),"Rice")</f>
        <v>Rice</v>
      </c>
      <c r="AC95" t="str">
        <f>IFERROR(__xludf.DUMMYFUNCTION("""COMPUTED_VALUE"""),"Rutgers")</f>
        <v>Rutgers</v>
      </c>
      <c r="AD95" t="str">
        <f>IFERROR(__xludf.DUMMYFUNCTION("""COMPUTED_VALUE"""),"Sam Houston")</f>
        <v>Sam Houston</v>
      </c>
      <c r="AE95" t="str">
        <f>IFERROR(__xludf.DUMMYFUNCTION("""COMPUTED_VALUE"""),"Southern Mississippi")</f>
        <v>Southern Mississippi</v>
      </c>
      <c r="AF95" t="str">
        <f>IFERROR(__xludf.DUMMYFUNCTION("""COMPUTED_VALUE"""),"Stanford")</f>
        <v>Stanford</v>
      </c>
      <c r="AG95" t="str">
        <f>IFERROR(__xludf.DUMMYFUNCTION("""COMPUTED_VALUE"""),"Syracuse")</f>
        <v>Syracuse</v>
      </c>
      <c r="AH95" t="str">
        <f>IFERROR(__xludf.DUMMYFUNCTION("""COMPUTED_VALUE"""),"Temple")</f>
        <v>Temple</v>
      </c>
      <c r="AI95" t="str">
        <f>IFERROR(__xludf.DUMMYFUNCTION("""COMPUTED_VALUE"""),"Tulsa")</f>
        <v>Tulsa</v>
      </c>
      <c r="AJ95" t="str">
        <f>IFERROR(__xludf.DUMMYFUNCTION("""COMPUTED_VALUE"""),"UCLA")</f>
        <v>UCLA</v>
      </c>
      <c r="AK95" t="str">
        <f>IFERROR(__xludf.DUMMYFUNCTION("""COMPUTED_VALUE"""),"UL Monroe")</f>
        <v>UL Monroe</v>
      </c>
      <c r="AL95" t="str">
        <f>IFERROR(__xludf.DUMMYFUNCTION("""COMPUTED_VALUE"""),"UMASS")</f>
        <v>UMASS</v>
      </c>
      <c r="AM95" t="str">
        <f>IFERROR(__xludf.DUMMYFUNCTION("""COMPUTED_VALUE"""),"Vanderbilt")</f>
        <v>Vanderbilt</v>
      </c>
      <c r="AN95" t="str">
        <f>IFERROR(__xludf.DUMMYFUNCTION("""COMPUTED_VALUE"""),"Wake Forest")</f>
        <v>Wake Forest</v>
      </c>
      <c r="AO95" t="str">
        <f>IFERROR(__xludf.DUMMYFUNCTION("""COMPUTED_VALUE"""),"Washington State")</f>
        <v>Washington State</v>
      </c>
      <c r="AP95" t="str">
        <f>IFERROR(__xludf.DUMMYFUNCTION("""COMPUTED_VALUE"""),"West Virginia")</f>
        <v>West Virginia</v>
      </c>
      <c r="AQ95" t="str">
        <f>IFERROR(__xludf.DUMMYFUNCTION("""COMPUTED_VALUE"""),"Wisconsin")</f>
        <v>Wisconsin</v>
      </c>
    </row>
    <row r="96">
      <c r="A96" s="1">
        <v>95.0</v>
      </c>
      <c r="B96" t="str">
        <f>IFERROR(__xludf.DUMMYFUNCTION("split(join("","",sort(byrow('Teams-Conference'!A$2:A1000,lambda(rw,if(iserror(match(rw,DraftTracker!F$1:F96,0)),rw,""""))),1,1)),"","",1,1)"),"Arizona")</f>
        <v>Arizona</v>
      </c>
      <c r="C96" t="str">
        <f>IFERROR(__xludf.DUMMYFUNCTION("""COMPUTED_VALUE"""),"Arkansas")</f>
        <v>Arkansas</v>
      </c>
      <c r="D96" t="str">
        <f>IFERROR(__xludf.DUMMYFUNCTION("""COMPUTED_VALUE"""),"Arkansas State")</f>
        <v>Arkansas State</v>
      </c>
      <c r="E96" t="str">
        <f>IFERROR(__xludf.DUMMYFUNCTION("""COMPUTED_VALUE"""),"Boston College")</f>
        <v>Boston College</v>
      </c>
      <c r="F96" t="str">
        <f>IFERROR(__xludf.DUMMYFUNCTION("""COMPUTED_VALUE"""),"California")</f>
        <v>California</v>
      </c>
      <c r="G96" t="str">
        <f>IFERROR(__xludf.DUMMYFUNCTION("""COMPUTED_VALUE"""),"Charlotte")</f>
        <v>Charlotte</v>
      </c>
      <c r="H96" t="str">
        <f>IFERROR(__xludf.DUMMYFUNCTION("""COMPUTED_VALUE"""),"Delaware")</f>
        <v>Delaware</v>
      </c>
      <c r="I96" t="str">
        <f>IFERROR(__xludf.DUMMYFUNCTION("""COMPUTED_VALUE"""),"Georgia State")</f>
        <v>Georgia State</v>
      </c>
      <c r="J96" t="str">
        <f>IFERROR(__xludf.DUMMYFUNCTION("""COMPUTED_VALUE"""),"Kennesaw State")</f>
        <v>Kennesaw State</v>
      </c>
      <c r="K96" t="str">
        <f>IFERROR(__xludf.DUMMYFUNCTION("""COMPUTED_VALUE"""),"Kent State")</f>
        <v>Kent State</v>
      </c>
      <c r="L96" t="str">
        <f>IFERROR(__xludf.DUMMYFUNCTION("""COMPUTED_VALUE"""),"Kentucky")</f>
        <v>Kentucky</v>
      </c>
      <c r="M96" t="str">
        <f>IFERROR(__xludf.DUMMYFUNCTION("""COMPUTED_VALUE"""),"Marshall")</f>
        <v>Marshall</v>
      </c>
      <c r="N96" t="str">
        <f>IFERROR(__xludf.DUMMYFUNCTION("""COMPUTED_VALUE"""),"Maryland")</f>
        <v>Maryland</v>
      </c>
      <c r="O96" t="str">
        <f>IFERROR(__xludf.DUMMYFUNCTION("""COMPUTED_VALUE"""),"Michigan State")</f>
        <v>Michigan State</v>
      </c>
      <c r="P96" t="str">
        <f>IFERROR(__xludf.DUMMYFUNCTION("""COMPUTED_VALUE"""),"Middle Tennessee")</f>
        <v>Middle Tennessee</v>
      </c>
      <c r="Q96" t="str">
        <f>IFERROR(__xludf.DUMMYFUNCTION("""COMPUTED_VALUE"""),"Mississippi State")</f>
        <v>Mississippi State</v>
      </c>
      <c r="R96" t="str">
        <f>IFERROR(__xludf.DUMMYFUNCTION("""COMPUTED_VALUE"""),"Missouri State")</f>
        <v>Missouri State</v>
      </c>
      <c r="S96" t="str">
        <f>IFERROR(__xludf.DUMMYFUNCTION("""COMPUTED_VALUE"""),"NC State")</f>
        <v>NC State</v>
      </c>
      <c r="T96" t="str">
        <f>IFERROR(__xludf.DUMMYFUNCTION("""COMPUTED_VALUE"""),"Nevada")</f>
        <v>Nevada</v>
      </c>
      <c r="U96" t="str">
        <f>IFERROR(__xludf.DUMMYFUNCTION("""COMPUTED_VALUE"""),"New Mexico")</f>
        <v>New Mexico</v>
      </c>
      <c r="V96" t="str">
        <f>IFERROR(__xludf.DUMMYFUNCTION("""COMPUTED_VALUE"""),"New Mexico State")</f>
        <v>New Mexico State</v>
      </c>
      <c r="W96" t="str">
        <f>IFERROR(__xludf.DUMMYFUNCTION("""COMPUTED_VALUE"""),"Northwestern")</f>
        <v>Northwestern</v>
      </c>
      <c r="X96" t="str">
        <f>IFERROR(__xludf.DUMMYFUNCTION("""COMPUTED_VALUE"""),"Oklahoma State")</f>
        <v>Oklahoma State</v>
      </c>
      <c r="Y96" t="str">
        <f>IFERROR(__xludf.DUMMYFUNCTION("""COMPUTED_VALUE"""),"Pittsburgh")</f>
        <v>Pittsburgh</v>
      </c>
      <c r="Z96" t="str">
        <f>IFERROR(__xludf.DUMMYFUNCTION("""COMPUTED_VALUE"""),"Purdue")</f>
        <v>Purdue</v>
      </c>
      <c r="AA96" t="str">
        <f>IFERROR(__xludf.DUMMYFUNCTION("""COMPUTED_VALUE"""),"Rice")</f>
        <v>Rice</v>
      </c>
      <c r="AB96" t="str">
        <f>IFERROR(__xludf.DUMMYFUNCTION("""COMPUTED_VALUE"""),"Rutgers")</f>
        <v>Rutgers</v>
      </c>
      <c r="AC96" t="str">
        <f>IFERROR(__xludf.DUMMYFUNCTION("""COMPUTED_VALUE"""),"Sam Houston")</f>
        <v>Sam Houston</v>
      </c>
      <c r="AD96" t="str">
        <f>IFERROR(__xludf.DUMMYFUNCTION("""COMPUTED_VALUE"""),"Southern Mississippi")</f>
        <v>Southern Mississippi</v>
      </c>
      <c r="AE96" t="str">
        <f>IFERROR(__xludf.DUMMYFUNCTION("""COMPUTED_VALUE"""),"Stanford")</f>
        <v>Stanford</v>
      </c>
      <c r="AF96" t="str">
        <f>IFERROR(__xludf.DUMMYFUNCTION("""COMPUTED_VALUE"""),"Syracuse")</f>
        <v>Syracuse</v>
      </c>
      <c r="AG96" t="str">
        <f>IFERROR(__xludf.DUMMYFUNCTION("""COMPUTED_VALUE"""),"Temple")</f>
        <v>Temple</v>
      </c>
      <c r="AH96" t="str">
        <f>IFERROR(__xludf.DUMMYFUNCTION("""COMPUTED_VALUE"""),"Tulsa")</f>
        <v>Tulsa</v>
      </c>
      <c r="AI96" t="str">
        <f>IFERROR(__xludf.DUMMYFUNCTION("""COMPUTED_VALUE"""),"UCLA")</f>
        <v>UCLA</v>
      </c>
      <c r="AJ96" t="str">
        <f>IFERROR(__xludf.DUMMYFUNCTION("""COMPUTED_VALUE"""),"UL Monroe")</f>
        <v>UL Monroe</v>
      </c>
      <c r="AK96" t="str">
        <f>IFERROR(__xludf.DUMMYFUNCTION("""COMPUTED_VALUE"""),"UMASS")</f>
        <v>UMASS</v>
      </c>
      <c r="AL96" t="str">
        <f>IFERROR(__xludf.DUMMYFUNCTION("""COMPUTED_VALUE"""),"Vanderbilt")</f>
        <v>Vanderbilt</v>
      </c>
      <c r="AM96" t="str">
        <f>IFERROR(__xludf.DUMMYFUNCTION("""COMPUTED_VALUE"""),"Wake Forest")</f>
        <v>Wake Forest</v>
      </c>
      <c r="AN96" t="str">
        <f>IFERROR(__xludf.DUMMYFUNCTION("""COMPUTED_VALUE"""),"Washington State")</f>
        <v>Washington State</v>
      </c>
      <c r="AO96" t="str">
        <f>IFERROR(__xludf.DUMMYFUNCTION("""COMPUTED_VALUE"""),"West Virginia")</f>
        <v>West Virginia</v>
      </c>
      <c r="AP96" t="str">
        <f>IFERROR(__xludf.DUMMYFUNCTION("""COMPUTED_VALUE"""),"Wisconsin")</f>
        <v>Wisconsin</v>
      </c>
    </row>
    <row r="97">
      <c r="A97" s="1">
        <v>96.0</v>
      </c>
      <c r="B97" t="str">
        <f>IFERROR(__xludf.DUMMYFUNCTION("split(join("","",sort(byrow('Teams-Conference'!A$2:A1000,lambda(rw,if(iserror(match(rw,DraftTracker!F$1:F97,0)),rw,""""))),1,1)),"","",1,1)"),"Arizona")</f>
        <v>Arizona</v>
      </c>
      <c r="C97" t="str">
        <f>IFERROR(__xludf.DUMMYFUNCTION("""COMPUTED_VALUE"""),"Arkansas")</f>
        <v>Arkansas</v>
      </c>
      <c r="D97" t="str">
        <f>IFERROR(__xludf.DUMMYFUNCTION("""COMPUTED_VALUE"""),"Arkansas State")</f>
        <v>Arkansas State</v>
      </c>
      <c r="E97" t="str">
        <f>IFERROR(__xludf.DUMMYFUNCTION("""COMPUTED_VALUE"""),"Boston College")</f>
        <v>Boston College</v>
      </c>
      <c r="F97" t="str">
        <f>IFERROR(__xludf.DUMMYFUNCTION("""COMPUTED_VALUE"""),"California")</f>
        <v>California</v>
      </c>
      <c r="G97" t="str">
        <f>IFERROR(__xludf.DUMMYFUNCTION("""COMPUTED_VALUE"""),"Charlotte")</f>
        <v>Charlotte</v>
      </c>
      <c r="H97" t="str">
        <f>IFERROR(__xludf.DUMMYFUNCTION("""COMPUTED_VALUE"""),"Delaware")</f>
        <v>Delaware</v>
      </c>
      <c r="I97" t="str">
        <f>IFERROR(__xludf.DUMMYFUNCTION("""COMPUTED_VALUE"""),"Georgia State")</f>
        <v>Georgia State</v>
      </c>
      <c r="J97" t="str">
        <f>IFERROR(__xludf.DUMMYFUNCTION("""COMPUTED_VALUE"""),"Kennesaw State")</f>
        <v>Kennesaw State</v>
      </c>
      <c r="K97" t="str">
        <f>IFERROR(__xludf.DUMMYFUNCTION("""COMPUTED_VALUE"""),"Kent State")</f>
        <v>Kent State</v>
      </c>
      <c r="L97" t="str">
        <f>IFERROR(__xludf.DUMMYFUNCTION("""COMPUTED_VALUE"""),"Kentucky")</f>
        <v>Kentucky</v>
      </c>
      <c r="M97" t="str">
        <f>IFERROR(__xludf.DUMMYFUNCTION("""COMPUTED_VALUE"""),"Marshall")</f>
        <v>Marshall</v>
      </c>
      <c r="N97" t="str">
        <f>IFERROR(__xludf.DUMMYFUNCTION("""COMPUTED_VALUE"""),"Maryland")</f>
        <v>Maryland</v>
      </c>
      <c r="O97" t="str">
        <f>IFERROR(__xludf.DUMMYFUNCTION("""COMPUTED_VALUE"""),"Michigan State")</f>
        <v>Michigan State</v>
      </c>
      <c r="P97" t="str">
        <f>IFERROR(__xludf.DUMMYFUNCTION("""COMPUTED_VALUE"""),"Middle Tennessee")</f>
        <v>Middle Tennessee</v>
      </c>
      <c r="Q97" t="str">
        <f>IFERROR(__xludf.DUMMYFUNCTION("""COMPUTED_VALUE"""),"Mississippi State")</f>
        <v>Mississippi State</v>
      </c>
      <c r="R97" t="str">
        <f>IFERROR(__xludf.DUMMYFUNCTION("""COMPUTED_VALUE"""),"Missouri State")</f>
        <v>Missouri State</v>
      </c>
      <c r="S97" t="str">
        <f>IFERROR(__xludf.DUMMYFUNCTION("""COMPUTED_VALUE"""),"NC State")</f>
        <v>NC State</v>
      </c>
      <c r="T97" t="str">
        <f>IFERROR(__xludf.DUMMYFUNCTION("""COMPUTED_VALUE"""),"Nevada")</f>
        <v>Nevada</v>
      </c>
      <c r="U97" t="str">
        <f>IFERROR(__xludf.DUMMYFUNCTION("""COMPUTED_VALUE"""),"New Mexico")</f>
        <v>New Mexico</v>
      </c>
      <c r="V97" t="str">
        <f>IFERROR(__xludf.DUMMYFUNCTION("""COMPUTED_VALUE"""),"Northwestern")</f>
        <v>Northwestern</v>
      </c>
      <c r="W97" t="str">
        <f>IFERROR(__xludf.DUMMYFUNCTION("""COMPUTED_VALUE"""),"Oklahoma State")</f>
        <v>Oklahoma State</v>
      </c>
      <c r="X97" t="str">
        <f>IFERROR(__xludf.DUMMYFUNCTION("""COMPUTED_VALUE"""),"Pittsburgh")</f>
        <v>Pittsburgh</v>
      </c>
      <c r="Y97" t="str">
        <f>IFERROR(__xludf.DUMMYFUNCTION("""COMPUTED_VALUE"""),"Purdue")</f>
        <v>Purdue</v>
      </c>
      <c r="Z97" t="str">
        <f>IFERROR(__xludf.DUMMYFUNCTION("""COMPUTED_VALUE"""),"Rice")</f>
        <v>Rice</v>
      </c>
      <c r="AA97" t="str">
        <f>IFERROR(__xludf.DUMMYFUNCTION("""COMPUTED_VALUE"""),"Rutgers")</f>
        <v>Rutgers</v>
      </c>
      <c r="AB97" t="str">
        <f>IFERROR(__xludf.DUMMYFUNCTION("""COMPUTED_VALUE"""),"Sam Houston")</f>
        <v>Sam Houston</v>
      </c>
      <c r="AC97" t="str">
        <f>IFERROR(__xludf.DUMMYFUNCTION("""COMPUTED_VALUE"""),"Southern Mississippi")</f>
        <v>Southern Mississippi</v>
      </c>
      <c r="AD97" t="str">
        <f>IFERROR(__xludf.DUMMYFUNCTION("""COMPUTED_VALUE"""),"Stanford")</f>
        <v>Stanford</v>
      </c>
      <c r="AE97" t="str">
        <f>IFERROR(__xludf.DUMMYFUNCTION("""COMPUTED_VALUE"""),"Syracuse")</f>
        <v>Syracuse</v>
      </c>
      <c r="AF97" t="str">
        <f>IFERROR(__xludf.DUMMYFUNCTION("""COMPUTED_VALUE"""),"Temple")</f>
        <v>Temple</v>
      </c>
      <c r="AG97" t="str">
        <f>IFERROR(__xludf.DUMMYFUNCTION("""COMPUTED_VALUE"""),"Tulsa")</f>
        <v>Tulsa</v>
      </c>
      <c r="AH97" t="str">
        <f>IFERROR(__xludf.DUMMYFUNCTION("""COMPUTED_VALUE"""),"UCLA")</f>
        <v>UCLA</v>
      </c>
      <c r="AI97" t="str">
        <f>IFERROR(__xludf.DUMMYFUNCTION("""COMPUTED_VALUE"""),"UL Monroe")</f>
        <v>UL Monroe</v>
      </c>
      <c r="AJ97" t="str">
        <f>IFERROR(__xludf.DUMMYFUNCTION("""COMPUTED_VALUE"""),"UMASS")</f>
        <v>UMASS</v>
      </c>
      <c r="AK97" t="str">
        <f>IFERROR(__xludf.DUMMYFUNCTION("""COMPUTED_VALUE"""),"Vanderbilt")</f>
        <v>Vanderbilt</v>
      </c>
      <c r="AL97" t="str">
        <f>IFERROR(__xludf.DUMMYFUNCTION("""COMPUTED_VALUE"""),"Wake Forest")</f>
        <v>Wake Forest</v>
      </c>
      <c r="AM97" t="str">
        <f>IFERROR(__xludf.DUMMYFUNCTION("""COMPUTED_VALUE"""),"Washington State")</f>
        <v>Washington State</v>
      </c>
      <c r="AN97" t="str">
        <f>IFERROR(__xludf.DUMMYFUNCTION("""COMPUTED_VALUE"""),"West Virginia")</f>
        <v>West Virginia</v>
      </c>
      <c r="AO97" t="str">
        <f>IFERROR(__xludf.DUMMYFUNCTION("""COMPUTED_VALUE"""),"Wisconsin")</f>
        <v>Wisconsin</v>
      </c>
    </row>
    <row r="98">
      <c r="A98" s="1">
        <v>97.0</v>
      </c>
      <c r="B98" t="str">
        <f>IFERROR(__xludf.DUMMYFUNCTION("split(join("","",sort(byrow('Teams-Conference'!A$2:A1000,lambda(rw,if(iserror(match(rw,DraftTracker!F$1:F98,0)),rw,""""))),1,1)),"","",1,1)"),"Arizona")</f>
        <v>Arizona</v>
      </c>
      <c r="C98" t="str">
        <f>IFERROR(__xludf.DUMMYFUNCTION("""COMPUTED_VALUE"""),"Arkansas")</f>
        <v>Arkansas</v>
      </c>
      <c r="D98" t="str">
        <f>IFERROR(__xludf.DUMMYFUNCTION("""COMPUTED_VALUE"""),"Arkansas State")</f>
        <v>Arkansas State</v>
      </c>
      <c r="E98" t="str">
        <f>IFERROR(__xludf.DUMMYFUNCTION("""COMPUTED_VALUE"""),"Boston College")</f>
        <v>Boston College</v>
      </c>
      <c r="F98" t="str">
        <f>IFERROR(__xludf.DUMMYFUNCTION("""COMPUTED_VALUE"""),"California")</f>
        <v>California</v>
      </c>
      <c r="G98" t="str">
        <f>IFERROR(__xludf.DUMMYFUNCTION("""COMPUTED_VALUE"""),"Charlotte")</f>
        <v>Charlotte</v>
      </c>
      <c r="H98" t="str">
        <f>IFERROR(__xludf.DUMMYFUNCTION("""COMPUTED_VALUE"""),"Delaware")</f>
        <v>Delaware</v>
      </c>
      <c r="I98" t="str">
        <f>IFERROR(__xludf.DUMMYFUNCTION("""COMPUTED_VALUE"""),"Georgia State")</f>
        <v>Georgia State</v>
      </c>
      <c r="J98" t="str">
        <f>IFERROR(__xludf.DUMMYFUNCTION("""COMPUTED_VALUE"""),"Kennesaw State")</f>
        <v>Kennesaw State</v>
      </c>
      <c r="K98" t="str">
        <f>IFERROR(__xludf.DUMMYFUNCTION("""COMPUTED_VALUE"""),"Kent State")</f>
        <v>Kent State</v>
      </c>
      <c r="L98" t="str">
        <f>IFERROR(__xludf.DUMMYFUNCTION("""COMPUTED_VALUE"""),"Kentucky")</f>
        <v>Kentucky</v>
      </c>
      <c r="M98" t="str">
        <f>IFERROR(__xludf.DUMMYFUNCTION("""COMPUTED_VALUE"""),"Marshall")</f>
        <v>Marshall</v>
      </c>
      <c r="N98" t="str">
        <f>IFERROR(__xludf.DUMMYFUNCTION("""COMPUTED_VALUE"""),"Maryland")</f>
        <v>Maryland</v>
      </c>
      <c r="O98" t="str">
        <f>IFERROR(__xludf.DUMMYFUNCTION("""COMPUTED_VALUE"""),"Michigan State")</f>
        <v>Michigan State</v>
      </c>
      <c r="P98" t="str">
        <f>IFERROR(__xludf.DUMMYFUNCTION("""COMPUTED_VALUE"""),"Middle Tennessee")</f>
        <v>Middle Tennessee</v>
      </c>
      <c r="Q98" t="str">
        <f>IFERROR(__xludf.DUMMYFUNCTION("""COMPUTED_VALUE"""),"Mississippi State")</f>
        <v>Mississippi State</v>
      </c>
      <c r="R98" t="str">
        <f>IFERROR(__xludf.DUMMYFUNCTION("""COMPUTED_VALUE"""),"Missouri State")</f>
        <v>Missouri State</v>
      </c>
      <c r="S98" t="str">
        <f>IFERROR(__xludf.DUMMYFUNCTION("""COMPUTED_VALUE"""),"NC State")</f>
        <v>NC State</v>
      </c>
      <c r="T98" t="str">
        <f>IFERROR(__xludf.DUMMYFUNCTION("""COMPUTED_VALUE"""),"Nevada")</f>
        <v>Nevada</v>
      </c>
      <c r="U98" t="str">
        <f>IFERROR(__xludf.DUMMYFUNCTION("""COMPUTED_VALUE"""),"New Mexico")</f>
        <v>New Mexico</v>
      </c>
      <c r="V98" t="str">
        <f>IFERROR(__xludf.DUMMYFUNCTION("""COMPUTED_VALUE"""),"Northwestern")</f>
        <v>Northwestern</v>
      </c>
      <c r="W98" t="str">
        <f>IFERROR(__xludf.DUMMYFUNCTION("""COMPUTED_VALUE"""),"Oklahoma State")</f>
        <v>Oklahoma State</v>
      </c>
      <c r="X98" t="str">
        <f>IFERROR(__xludf.DUMMYFUNCTION("""COMPUTED_VALUE"""),"Pittsburgh")</f>
        <v>Pittsburgh</v>
      </c>
      <c r="Y98" t="str">
        <f>IFERROR(__xludf.DUMMYFUNCTION("""COMPUTED_VALUE"""),"Purdue")</f>
        <v>Purdue</v>
      </c>
      <c r="Z98" t="str">
        <f>IFERROR(__xludf.DUMMYFUNCTION("""COMPUTED_VALUE"""),"Rice")</f>
        <v>Rice</v>
      </c>
      <c r="AA98" t="str">
        <f>IFERROR(__xludf.DUMMYFUNCTION("""COMPUTED_VALUE"""),"Rutgers")</f>
        <v>Rutgers</v>
      </c>
      <c r="AB98" t="str">
        <f>IFERROR(__xludf.DUMMYFUNCTION("""COMPUTED_VALUE"""),"Sam Houston")</f>
        <v>Sam Houston</v>
      </c>
      <c r="AC98" t="str">
        <f>IFERROR(__xludf.DUMMYFUNCTION("""COMPUTED_VALUE"""),"Southern Mississippi")</f>
        <v>Southern Mississippi</v>
      </c>
      <c r="AD98" t="str">
        <f>IFERROR(__xludf.DUMMYFUNCTION("""COMPUTED_VALUE"""),"Stanford")</f>
        <v>Stanford</v>
      </c>
      <c r="AE98" t="str">
        <f>IFERROR(__xludf.DUMMYFUNCTION("""COMPUTED_VALUE"""),"Syracuse")</f>
        <v>Syracuse</v>
      </c>
      <c r="AF98" t="str">
        <f>IFERROR(__xludf.DUMMYFUNCTION("""COMPUTED_VALUE"""),"Temple")</f>
        <v>Temple</v>
      </c>
      <c r="AG98" t="str">
        <f>IFERROR(__xludf.DUMMYFUNCTION("""COMPUTED_VALUE"""),"Tulsa")</f>
        <v>Tulsa</v>
      </c>
      <c r="AH98" t="str">
        <f>IFERROR(__xludf.DUMMYFUNCTION("""COMPUTED_VALUE"""),"UCLA")</f>
        <v>UCLA</v>
      </c>
      <c r="AI98" t="str">
        <f>IFERROR(__xludf.DUMMYFUNCTION("""COMPUTED_VALUE"""),"UL Monroe")</f>
        <v>UL Monroe</v>
      </c>
      <c r="AJ98" t="str">
        <f>IFERROR(__xludf.DUMMYFUNCTION("""COMPUTED_VALUE"""),"Vanderbilt")</f>
        <v>Vanderbilt</v>
      </c>
      <c r="AK98" t="str">
        <f>IFERROR(__xludf.DUMMYFUNCTION("""COMPUTED_VALUE"""),"Wake Forest")</f>
        <v>Wake Forest</v>
      </c>
      <c r="AL98" t="str">
        <f>IFERROR(__xludf.DUMMYFUNCTION("""COMPUTED_VALUE"""),"Washington State")</f>
        <v>Washington State</v>
      </c>
      <c r="AM98" t="str">
        <f>IFERROR(__xludf.DUMMYFUNCTION("""COMPUTED_VALUE"""),"West Virginia")</f>
        <v>West Virginia</v>
      </c>
      <c r="AN98" t="str">
        <f>IFERROR(__xludf.DUMMYFUNCTION("""COMPUTED_VALUE"""),"Wisconsin")</f>
        <v>Wisconsin</v>
      </c>
    </row>
    <row r="99">
      <c r="A99" s="1">
        <v>98.0</v>
      </c>
      <c r="B99" t="str">
        <f>IFERROR(__xludf.DUMMYFUNCTION("split(join("","",sort(byrow('Teams-Conference'!A$2:A1000,lambda(rw,if(iserror(match(rw,DraftTracker!F$1:F99,0)),rw,""""))),1,1)),"","",1,1)"),"Arizona")</f>
        <v>Arizona</v>
      </c>
      <c r="C99" t="str">
        <f>IFERROR(__xludf.DUMMYFUNCTION("""COMPUTED_VALUE"""),"Arkansas")</f>
        <v>Arkansas</v>
      </c>
      <c r="D99" t="str">
        <f>IFERROR(__xludf.DUMMYFUNCTION("""COMPUTED_VALUE"""),"Arkansas State")</f>
        <v>Arkansas State</v>
      </c>
      <c r="E99" t="str">
        <f>IFERROR(__xludf.DUMMYFUNCTION("""COMPUTED_VALUE"""),"Boston College")</f>
        <v>Boston College</v>
      </c>
      <c r="F99" t="str">
        <f>IFERROR(__xludf.DUMMYFUNCTION("""COMPUTED_VALUE"""),"California")</f>
        <v>California</v>
      </c>
      <c r="G99" t="str">
        <f>IFERROR(__xludf.DUMMYFUNCTION("""COMPUTED_VALUE"""),"Charlotte")</f>
        <v>Charlotte</v>
      </c>
      <c r="H99" t="str">
        <f>IFERROR(__xludf.DUMMYFUNCTION("""COMPUTED_VALUE"""),"Delaware")</f>
        <v>Delaware</v>
      </c>
      <c r="I99" t="str">
        <f>IFERROR(__xludf.DUMMYFUNCTION("""COMPUTED_VALUE"""),"Georgia State")</f>
        <v>Georgia State</v>
      </c>
      <c r="J99" t="str">
        <f>IFERROR(__xludf.DUMMYFUNCTION("""COMPUTED_VALUE"""),"Kennesaw State")</f>
        <v>Kennesaw State</v>
      </c>
      <c r="K99" t="str">
        <f>IFERROR(__xludf.DUMMYFUNCTION("""COMPUTED_VALUE"""),"Kent State")</f>
        <v>Kent State</v>
      </c>
      <c r="L99" t="str">
        <f>IFERROR(__xludf.DUMMYFUNCTION("""COMPUTED_VALUE"""),"Kentucky")</f>
        <v>Kentucky</v>
      </c>
      <c r="M99" t="str">
        <f>IFERROR(__xludf.DUMMYFUNCTION("""COMPUTED_VALUE"""),"Marshall")</f>
        <v>Marshall</v>
      </c>
      <c r="N99" t="str">
        <f>IFERROR(__xludf.DUMMYFUNCTION("""COMPUTED_VALUE"""),"Maryland")</f>
        <v>Maryland</v>
      </c>
      <c r="O99" t="str">
        <f>IFERROR(__xludf.DUMMYFUNCTION("""COMPUTED_VALUE"""),"Michigan State")</f>
        <v>Michigan State</v>
      </c>
      <c r="P99" t="str">
        <f>IFERROR(__xludf.DUMMYFUNCTION("""COMPUTED_VALUE"""),"Middle Tennessee")</f>
        <v>Middle Tennessee</v>
      </c>
      <c r="Q99" t="str">
        <f>IFERROR(__xludf.DUMMYFUNCTION("""COMPUTED_VALUE"""),"Mississippi State")</f>
        <v>Mississippi State</v>
      </c>
      <c r="R99" t="str">
        <f>IFERROR(__xludf.DUMMYFUNCTION("""COMPUTED_VALUE"""),"Missouri State")</f>
        <v>Missouri State</v>
      </c>
      <c r="S99" t="str">
        <f>IFERROR(__xludf.DUMMYFUNCTION("""COMPUTED_VALUE"""),"Nevada")</f>
        <v>Nevada</v>
      </c>
      <c r="T99" t="str">
        <f>IFERROR(__xludf.DUMMYFUNCTION("""COMPUTED_VALUE"""),"New Mexico")</f>
        <v>New Mexico</v>
      </c>
      <c r="U99" t="str">
        <f>IFERROR(__xludf.DUMMYFUNCTION("""COMPUTED_VALUE"""),"Northwestern")</f>
        <v>Northwestern</v>
      </c>
      <c r="V99" t="str">
        <f>IFERROR(__xludf.DUMMYFUNCTION("""COMPUTED_VALUE"""),"Oklahoma State")</f>
        <v>Oklahoma State</v>
      </c>
      <c r="W99" t="str">
        <f>IFERROR(__xludf.DUMMYFUNCTION("""COMPUTED_VALUE"""),"Pittsburgh")</f>
        <v>Pittsburgh</v>
      </c>
      <c r="X99" t="str">
        <f>IFERROR(__xludf.DUMMYFUNCTION("""COMPUTED_VALUE"""),"Purdue")</f>
        <v>Purdue</v>
      </c>
      <c r="Y99" t="str">
        <f>IFERROR(__xludf.DUMMYFUNCTION("""COMPUTED_VALUE"""),"Rice")</f>
        <v>Rice</v>
      </c>
      <c r="Z99" t="str">
        <f>IFERROR(__xludf.DUMMYFUNCTION("""COMPUTED_VALUE"""),"Rutgers")</f>
        <v>Rutgers</v>
      </c>
      <c r="AA99" t="str">
        <f>IFERROR(__xludf.DUMMYFUNCTION("""COMPUTED_VALUE"""),"Sam Houston")</f>
        <v>Sam Houston</v>
      </c>
      <c r="AB99" t="str">
        <f>IFERROR(__xludf.DUMMYFUNCTION("""COMPUTED_VALUE"""),"Southern Mississippi")</f>
        <v>Southern Mississippi</v>
      </c>
      <c r="AC99" t="str">
        <f>IFERROR(__xludf.DUMMYFUNCTION("""COMPUTED_VALUE"""),"Stanford")</f>
        <v>Stanford</v>
      </c>
      <c r="AD99" t="str">
        <f>IFERROR(__xludf.DUMMYFUNCTION("""COMPUTED_VALUE"""),"Syracuse")</f>
        <v>Syracuse</v>
      </c>
      <c r="AE99" t="str">
        <f>IFERROR(__xludf.DUMMYFUNCTION("""COMPUTED_VALUE"""),"Temple")</f>
        <v>Temple</v>
      </c>
      <c r="AF99" t="str">
        <f>IFERROR(__xludf.DUMMYFUNCTION("""COMPUTED_VALUE"""),"Tulsa")</f>
        <v>Tulsa</v>
      </c>
      <c r="AG99" t="str">
        <f>IFERROR(__xludf.DUMMYFUNCTION("""COMPUTED_VALUE"""),"UCLA")</f>
        <v>UCLA</v>
      </c>
      <c r="AH99" t="str">
        <f>IFERROR(__xludf.DUMMYFUNCTION("""COMPUTED_VALUE"""),"UL Monroe")</f>
        <v>UL Monroe</v>
      </c>
      <c r="AI99" t="str">
        <f>IFERROR(__xludf.DUMMYFUNCTION("""COMPUTED_VALUE"""),"Vanderbilt")</f>
        <v>Vanderbilt</v>
      </c>
      <c r="AJ99" t="str">
        <f>IFERROR(__xludf.DUMMYFUNCTION("""COMPUTED_VALUE"""),"Wake Forest")</f>
        <v>Wake Forest</v>
      </c>
      <c r="AK99" t="str">
        <f>IFERROR(__xludf.DUMMYFUNCTION("""COMPUTED_VALUE"""),"Washington State")</f>
        <v>Washington State</v>
      </c>
      <c r="AL99" t="str">
        <f>IFERROR(__xludf.DUMMYFUNCTION("""COMPUTED_VALUE"""),"West Virginia")</f>
        <v>West Virginia</v>
      </c>
      <c r="AM99" t="str">
        <f>IFERROR(__xludf.DUMMYFUNCTION("""COMPUTED_VALUE"""),"Wisconsin")</f>
        <v>Wisconsin</v>
      </c>
    </row>
    <row r="100">
      <c r="A100" s="1">
        <v>99.0</v>
      </c>
      <c r="B100" t="str">
        <f>IFERROR(__xludf.DUMMYFUNCTION("split(join("","",sort(byrow('Teams-Conference'!A$2:A1000,lambda(rw,if(iserror(match(rw,DraftTracker!F$1:F100,0)),rw,""""))),1,1)),"","",1,1)"),"Arizona")</f>
        <v>Arizona</v>
      </c>
      <c r="C100" t="str">
        <f>IFERROR(__xludf.DUMMYFUNCTION("""COMPUTED_VALUE"""),"Arkansas")</f>
        <v>Arkansas</v>
      </c>
      <c r="D100" t="str">
        <f>IFERROR(__xludf.DUMMYFUNCTION("""COMPUTED_VALUE"""),"Arkansas State")</f>
        <v>Arkansas State</v>
      </c>
      <c r="E100" t="str">
        <f>IFERROR(__xludf.DUMMYFUNCTION("""COMPUTED_VALUE"""),"Boston College")</f>
        <v>Boston College</v>
      </c>
      <c r="F100" t="str">
        <f>IFERROR(__xludf.DUMMYFUNCTION("""COMPUTED_VALUE"""),"Charlotte")</f>
        <v>Charlotte</v>
      </c>
      <c r="G100" t="str">
        <f>IFERROR(__xludf.DUMMYFUNCTION("""COMPUTED_VALUE"""),"Delaware")</f>
        <v>Delaware</v>
      </c>
      <c r="H100" t="str">
        <f>IFERROR(__xludf.DUMMYFUNCTION("""COMPUTED_VALUE"""),"Georgia State")</f>
        <v>Georgia State</v>
      </c>
      <c r="I100" t="str">
        <f>IFERROR(__xludf.DUMMYFUNCTION("""COMPUTED_VALUE"""),"Kennesaw State")</f>
        <v>Kennesaw State</v>
      </c>
      <c r="J100" t="str">
        <f>IFERROR(__xludf.DUMMYFUNCTION("""COMPUTED_VALUE"""),"Kent State")</f>
        <v>Kent State</v>
      </c>
      <c r="K100" t="str">
        <f>IFERROR(__xludf.DUMMYFUNCTION("""COMPUTED_VALUE"""),"Kentucky")</f>
        <v>Kentucky</v>
      </c>
      <c r="L100" t="str">
        <f>IFERROR(__xludf.DUMMYFUNCTION("""COMPUTED_VALUE"""),"Marshall")</f>
        <v>Marshall</v>
      </c>
      <c r="M100" t="str">
        <f>IFERROR(__xludf.DUMMYFUNCTION("""COMPUTED_VALUE"""),"Maryland")</f>
        <v>Maryland</v>
      </c>
      <c r="N100" t="str">
        <f>IFERROR(__xludf.DUMMYFUNCTION("""COMPUTED_VALUE"""),"Michigan State")</f>
        <v>Michigan State</v>
      </c>
      <c r="O100" t="str">
        <f>IFERROR(__xludf.DUMMYFUNCTION("""COMPUTED_VALUE"""),"Middle Tennessee")</f>
        <v>Middle Tennessee</v>
      </c>
      <c r="P100" t="str">
        <f>IFERROR(__xludf.DUMMYFUNCTION("""COMPUTED_VALUE"""),"Mississippi State")</f>
        <v>Mississippi State</v>
      </c>
      <c r="Q100" t="str">
        <f>IFERROR(__xludf.DUMMYFUNCTION("""COMPUTED_VALUE"""),"Missouri State")</f>
        <v>Missouri State</v>
      </c>
      <c r="R100" t="str">
        <f>IFERROR(__xludf.DUMMYFUNCTION("""COMPUTED_VALUE"""),"Nevada")</f>
        <v>Nevada</v>
      </c>
      <c r="S100" t="str">
        <f>IFERROR(__xludf.DUMMYFUNCTION("""COMPUTED_VALUE"""),"New Mexico")</f>
        <v>New Mexico</v>
      </c>
      <c r="T100" t="str">
        <f>IFERROR(__xludf.DUMMYFUNCTION("""COMPUTED_VALUE"""),"Northwestern")</f>
        <v>Northwestern</v>
      </c>
      <c r="U100" t="str">
        <f>IFERROR(__xludf.DUMMYFUNCTION("""COMPUTED_VALUE"""),"Oklahoma State")</f>
        <v>Oklahoma State</v>
      </c>
      <c r="V100" t="str">
        <f>IFERROR(__xludf.DUMMYFUNCTION("""COMPUTED_VALUE"""),"Pittsburgh")</f>
        <v>Pittsburgh</v>
      </c>
      <c r="W100" t="str">
        <f>IFERROR(__xludf.DUMMYFUNCTION("""COMPUTED_VALUE"""),"Purdue")</f>
        <v>Purdue</v>
      </c>
      <c r="X100" t="str">
        <f>IFERROR(__xludf.DUMMYFUNCTION("""COMPUTED_VALUE"""),"Rice")</f>
        <v>Rice</v>
      </c>
      <c r="Y100" t="str">
        <f>IFERROR(__xludf.DUMMYFUNCTION("""COMPUTED_VALUE"""),"Rutgers")</f>
        <v>Rutgers</v>
      </c>
      <c r="Z100" t="str">
        <f>IFERROR(__xludf.DUMMYFUNCTION("""COMPUTED_VALUE"""),"Sam Houston")</f>
        <v>Sam Houston</v>
      </c>
      <c r="AA100" t="str">
        <f>IFERROR(__xludf.DUMMYFUNCTION("""COMPUTED_VALUE"""),"Southern Mississippi")</f>
        <v>Southern Mississippi</v>
      </c>
      <c r="AB100" t="str">
        <f>IFERROR(__xludf.DUMMYFUNCTION("""COMPUTED_VALUE"""),"Stanford")</f>
        <v>Stanford</v>
      </c>
      <c r="AC100" t="str">
        <f>IFERROR(__xludf.DUMMYFUNCTION("""COMPUTED_VALUE"""),"Syracuse")</f>
        <v>Syracuse</v>
      </c>
      <c r="AD100" t="str">
        <f>IFERROR(__xludf.DUMMYFUNCTION("""COMPUTED_VALUE"""),"Temple")</f>
        <v>Temple</v>
      </c>
      <c r="AE100" t="str">
        <f>IFERROR(__xludf.DUMMYFUNCTION("""COMPUTED_VALUE"""),"Tulsa")</f>
        <v>Tulsa</v>
      </c>
      <c r="AF100" t="str">
        <f>IFERROR(__xludf.DUMMYFUNCTION("""COMPUTED_VALUE"""),"UCLA")</f>
        <v>UCLA</v>
      </c>
      <c r="AG100" t="str">
        <f>IFERROR(__xludf.DUMMYFUNCTION("""COMPUTED_VALUE"""),"UL Monroe")</f>
        <v>UL Monroe</v>
      </c>
      <c r="AH100" t="str">
        <f>IFERROR(__xludf.DUMMYFUNCTION("""COMPUTED_VALUE"""),"Vanderbilt")</f>
        <v>Vanderbilt</v>
      </c>
      <c r="AI100" t="str">
        <f>IFERROR(__xludf.DUMMYFUNCTION("""COMPUTED_VALUE"""),"Wake Forest")</f>
        <v>Wake Forest</v>
      </c>
      <c r="AJ100" t="str">
        <f>IFERROR(__xludf.DUMMYFUNCTION("""COMPUTED_VALUE"""),"Washington State")</f>
        <v>Washington State</v>
      </c>
      <c r="AK100" t="str">
        <f>IFERROR(__xludf.DUMMYFUNCTION("""COMPUTED_VALUE"""),"West Virginia")</f>
        <v>West Virginia</v>
      </c>
      <c r="AL100" t="str">
        <f>IFERROR(__xludf.DUMMYFUNCTION("""COMPUTED_VALUE"""),"Wisconsin")</f>
        <v>Wisconsin</v>
      </c>
    </row>
    <row r="101">
      <c r="A101" s="1">
        <v>100.0</v>
      </c>
      <c r="B101" t="str">
        <f>IFERROR(__xludf.DUMMYFUNCTION("split(join("","",sort(byrow('Teams-Conference'!A$2:A1000,lambda(rw,if(iserror(match(rw,DraftTracker!F$1:F101,0)),rw,""""))),1,1)),"","",1,1)"),"Arizona")</f>
        <v>Arizona</v>
      </c>
      <c r="C101" t="str">
        <f>IFERROR(__xludf.DUMMYFUNCTION("""COMPUTED_VALUE"""),"Arkansas")</f>
        <v>Arkansas</v>
      </c>
      <c r="D101" t="str">
        <f>IFERROR(__xludf.DUMMYFUNCTION("""COMPUTED_VALUE"""),"Arkansas State")</f>
        <v>Arkansas State</v>
      </c>
      <c r="E101" t="str">
        <f>IFERROR(__xludf.DUMMYFUNCTION("""COMPUTED_VALUE"""),"Boston College")</f>
        <v>Boston College</v>
      </c>
      <c r="F101" t="str">
        <f>IFERROR(__xludf.DUMMYFUNCTION("""COMPUTED_VALUE"""),"Charlotte")</f>
        <v>Charlotte</v>
      </c>
      <c r="G101" t="str">
        <f>IFERROR(__xludf.DUMMYFUNCTION("""COMPUTED_VALUE"""),"Delaware")</f>
        <v>Delaware</v>
      </c>
      <c r="H101" t="str">
        <f>IFERROR(__xludf.DUMMYFUNCTION("""COMPUTED_VALUE"""),"Georgia State")</f>
        <v>Georgia State</v>
      </c>
      <c r="I101" t="str">
        <f>IFERROR(__xludf.DUMMYFUNCTION("""COMPUTED_VALUE"""),"Kennesaw State")</f>
        <v>Kennesaw State</v>
      </c>
      <c r="J101" t="str">
        <f>IFERROR(__xludf.DUMMYFUNCTION("""COMPUTED_VALUE"""),"Kent State")</f>
        <v>Kent State</v>
      </c>
      <c r="K101" t="str">
        <f>IFERROR(__xludf.DUMMYFUNCTION("""COMPUTED_VALUE"""),"Kentucky")</f>
        <v>Kentucky</v>
      </c>
      <c r="L101" t="str">
        <f>IFERROR(__xludf.DUMMYFUNCTION("""COMPUTED_VALUE"""),"Marshall")</f>
        <v>Marshall</v>
      </c>
      <c r="M101" t="str">
        <f>IFERROR(__xludf.DUMMYFUNCTION("""COMPUTED_VALUE"""),"Maryland")</f>
        <v>Maryland</v>
      </c>
      <c r="N101" t="str">
        <f>IFERROR(__xludf.DUMMYFUNCTION("""COMPUTED_VALUE"""),"Michigan State")</f>
        <v>Michigan State</v>
      </c>
      <c r="O101" t="str">
        <f>IFERROR(__xludf.DUMMYFUNCTION("""COMPUTED_VALUE"""),"Middle Tennessee")</f>
        <v>Middle Tennessee</v>
      </c>
      <c r="P101" t="str">
        <f>IFERROR(__xludf.DUMMYFUNCTION("""COMPUTED_VALUE"""),"Mississippi State")</f>
        <v>Mississippi State</v>
      </c>
      <c r="Q101" t="str">
        <f>IFERROR(__xludf.DUMMYFUNCTION("""COMPUTED_VALUE"""),"Nevada")</f>
        <v>Nevada</v>
      </c>
      <c r="R101" t="str">
        <f>IFERROR(__xludf.DUMMYFUNCTION("""COMPUTED_VALUE"""),"New Mexico")</f>
        <v>New Mexico</v>
      </c>
      <c r="S101" t="str">
        <f>IFERROR(__xludf.DUMMYFUNCTION("""COMPUTED_VALUE"""),"Northwestern")</f>
        <v>Northwestern</v>
      </c>
      <c r="T101" t="str">
        <f>IFERROR(__xludf.DUMMYFUNCTION("""COMPUTED_VALUE"""),"Oklahoma State")</f>
        <v>Oklahoma State</v>
      </c>
      <c r="U101" t="str">
        <f>IFERROR(__xludf.DUMMYFUNCTION("""COMPUTED_VALUE"""),"Pittsburgh")</f>
        <v>Pittsburgh</v>
      </c>
      <c r="V101" t="str">
        <f>IFERROR(__xludf.DUMMYFUNCTION("""COMPUTED_VALUE"""),"Purdue")</f>
        <v>Purdue</v>
      </c>
      <c r="W101" t="str">
        <f>IFERROR(__xludf.DUMMYFUNCTION("""COMPUTED_VALUE"""),"Rice")</f>
        <v>Rice</v>
      </c>
      <c r="X101" t="str">
        <f>IFERROR(__xludf.DUMMYFUNCTION("""COMPUTED_VALUE"""),"Rutgers")</f>
        <v>Rutgers</v>
      </c>
      <c r="Y101" t="str">
        <f>IFERROR(__xludf.DUMMYFUNCTION("""COMPUTED_VALUE"""),"Sam Houston")</f>
        <v>Sam Houston</v>
      </c>
      <c r="Z101" t="str">
        <f>IFERROR(__xludf.DUMMYFUNCTION("""COMPUTED_VALUE"""),"Southern Mississippi")</f>
        <v>Southern Mississippi</v>
      </c>
      <c r="AA101" t="str">
        <f>IFERROR(__xludf.DUMMYFUNCTION("""COMPUTED_VALUE"""),"Stanford")</f>
        <v>Stanford</v>
      </c>
      <c r="AB101" t="str">
        <f>IFERROR(__xludf.DUMMYFUNCTION("""COMPUTED_VALUE"""),"Syracuse")</f>
        <v>Syracuse</v>
      </c>
      <c r="AC101" t="str">
        <f>IFERROR(__xludf.DUMMYFUNCTION("""COMPUTED_VALUE"""),"Temple")</f>
        <v>Temple</v>
      </c>
      <c r="AD101" t="str">
        <f>IFERROR(__xludf.DUMMYFUNCTION("""COMPUTED_VALUE"""),"Tulsa")</f>
        <v>Tulsa</v>
      </c>
      <c r="AE101" t="str">
        <f>IFERROR(__xludf.DUMMYFUNCTION("""COMPUTED_VALUE"""),"UCLA")</f>
        <v>UCLA</v>
      </c>
      <c r="AF101" t="str">
        <f>IFERROR(__xludf.DUMMYFUNCTION("""COMPUTED_VALUE"""),"UL Monroe")</f>
        <v>UL Monroe</v>
      </c>
      <c r="AG101" t="str">
        <f>IFERROR(__xludf.DUMMYFUNCTION("""COMPUTED_VALUE"""),"Vanderbilt")</f>
        <v>Vanderbilt</v>
      </c>
      <c r="AH101" t="str">
        <f>IFERROR(__xludf.DUMMYFUNCTION("""COMPUTED_VALUE"""),"Wake Forest")</f>
        <v>Wake Forest</v>
      </c>
      <c r="AI101" t="str">
        <f>IFERROR(__xludf.DUMMYFUNCTION("""COMPUTED_VALUE"""),"Washington State")</f>
        <v>Washington State</v>
      </c>
      <c r="AJ101" t="str">
        <f>IFERROR(__xludf.DUMMYFUNCTION("""COMPUTED_VALUE"""),"West Virginia")</f>
        <v>West Virginia</v>
      </c>
      <c r="AK101" t="str">
        <f>IFERROR(__xludf.DUMMYFUNCTION("""COMPUTED_VALUE"""),"Wisconsin")</f>
        <v>Wisconsin</v>
      </c>
    </row>
    <row r="102">
      <c r="A102" s="1">
        <v>101.0</v>
      </c>
      <c r="B102" t="str">
        <f>IFERROR(__xludf.DUMMYFUNCTION("split(join("","",sort(byrow('Teams-Conference'!A$2:A1000,lambda(rw,if(iserror(match(rw,DraftTracker!F$1:F102,0)),rw,""""))),1,1)),"","",1,1)"),"Arizona")</f>
        <v>Arizona</v>
      </c>
      <c r="C102" t="str">
        <f>IFERROR(__xludf.DUMMYFUNCTION("""COMPUTED_VALUE"""),"Arkansas")</f>
        <v>Arkansas</v>
      </c>
      <c r="D102" t="str">
        <f>IFERROR(__xludf.DUMMYFUNCTION("""COMPUTED_VALUE"""),"Arkansas State")</f>
        <v>Arkansas State</v>
      </c>
      <c r="E102" t="str">
        <f>IFERROR(__xludf.DUMMYFUNCTION("""COMPUTED_VALUE"""),"Boston College")</f>
        <v>Boston College</v>
      </c>
      <c r="F102" t="str">
        <f>IFERROR(__xludf.DUMMYFUNCTION("""COMPUTED_VALUE"""),"Charlotte")</f>
        <v>Charlotte</v>
      </c>
      <c r="G102" t="str">
        <f>IFERROR(__xludf.DUMMYFUNCTION("""COMPUTED_VALUE"""),"Delaware")</f>
        <v>Delaware</v>
      </c>
      <c r="H102" t="str">
        <f>IFERROR(__xludf.DUMMYFUNCTION("""COMPUTED_VALUE"""),"Georgia State")</f>
        <v>Georgia State</v>
      </c>
      <c r="I102" t="str">
        <f>IFERROR(__xludf.DUMMYFUNCTION("""COMPUTED_VALUE"""),"Kennesaw State")</f>
        <v>Kennesaw State</v>
      </c>
      <c r="J102" t="str">
        <f>IFERROR(__xludf.DUMMYFUNCTION("""COMPUTED_VALUE"""),"Kent State")</f>
        <v>Kent State</v>
      </c>
      <c r="K102" t="str">
        <f>IFERROR(__xludf.DUMMYFUNCTION("""COMPUTED_VALUE"""),"Kentucky")</f>
        <v>Kentucky</v>
      </c>
      <c r="L102" t="str">
        <f>IFERROR(__xludf.DUMMYFUNCTION("""COMPUTED_VALUE"""),"Maryland")</f>
        <v>Maryland</v>
      </c>
      <c r="M102" t="str">
        <f>IFERROR(__xludf.DUMMYFUNCTION("""COMPUTED_VALUE"""),"Michigan State")</f>
        <v>Michigan State</v>
      </c>
      <c r="N102" t="str">
        <f>IFERROR(__xludf.DUMMYFUNCTION("""COMPUTED_VALUE"""),"Middle Tennessee")</f>
        <v>Middle Tennessee</v>
      </c>
      <c r="O102" t="str">
        <f>IFERROR(__xludf.DUMMYFUNCTION("""COMPUTED_VALUE"""),"Mississippi State")</f>
        <v>Mississippi State</v>
      </c>
      <c r="P102" t="str">
        <f>IFERROR(__xludf.DUMMYFUNCTION("""COMPUTED_VALUE"""),"Nevada")</f>
        <v>Nevada</v>
      </c>
      <c r="Q102" t="str">
        <f>IFERROR(__xludf.DUMMYFUNCTION("""COMPUTED_VALUE"""),"New Mexico")</f>
        <v>New Mexico</v>
      </c>
      <c r="R102" t="str">
        <f>IFERROR(__xludf.DUMMYFUNCTION("""COMPUTED_VALUE"""),"Northwestern")</f>
        <v>Northwestern</v>
      </c>
      <c r="S102" t="str">
        <f>IFERROR(__xludf.DUMMYFUNCTION("""COMPUTED_VALUE"""),"Oklahoma State")</f>
        <v>Oklahoma State</v>
      </c>
      <c r="T102" t="str">
        <f>IFERROR(__xludf.DUMMYFUNCTION("""COMPUTED_VALUE"""),"Pittsburgh")</f>
        <v>Pittsburgh</v>
      </c>
      <c r="U102" t="str">
        <f>IFERROR(__xludf.DUMMYFUNCTION("""COMPUTED_VALUE"""),"Purdue")</f>
        <v>Purdue</v>
      </c>
      <c r="V102" t="str">
        <f>IFERROR(__xludf.DUMMYFUNCTION("""COMPUTED_VALUE"""),"Rice")</f>
        <v>Rice</v>
      </c>
      <c r="W102" t="str">
        <f>IFERROR(__xludf.DUMMYFUNCTION("""COMPUTED_VALUE"""),"Rutgers")</f>
        <v>Rutgers</v>
      </c>
      <c r="X102" t="str">
        <f>IFERROR(__xludf.DUMMYFUNCTION("""COMPUTED_VALUE"""),"Sam Houston")</f>
        <v>Sam Houston</v>
      </c>
      <c r="Y102" t="str">
        <f>IFERROR(__xludf.DUMMYFUNCTION("""COMPUTED_VALUE"""),"Southern Mississippi")</f>
        <v>Southern Mississippi</v>
      </c>
      <c r="Z102" t="str">
        <f>IFERROR(__xludf.DUMMYFUNCTION("""COMPUTED_VALUE"""),"Stanford")</f>
        <v>Stanford</v>
      </c>
      <c r="AA102" t="str">
        <f>IFERROR(__xludf.DUMMYFUNCTION("""COMPUTED_VALUE"""),"Syracuse")</f>
        <v>Syracuse</v>
      </c>
      <c r="AB102" t="str">
        <f>IFERROR(__xludf.DUMMYFUNCTION("""COMPUTED_VALUE"""),"Temple")</f>
        <v>Temple</v>
      </c>
      <c r="AC102" t="str">
        <f>IFERROR(__xludf.DUMMYFUNCTION("""COMPUTED_VALUE"""),"Tulsa")</f>
        <v>Tulsa</v>
      </c>
      <c r="AD102" t="str">
        <f>IFERROR(__xludf.DUMMYFUNCTION("""COMPUTED_VALUE"""),"UCLA")</f>
        <v>UCLA</v>
      </c>
      <c r="AE102" t="str">
        <f>IFERROR(__xludf.DUMMYFUNCTION("""COMPUTED_VALUE"""),"UL Monroe")</f>
        <v>UL Monroe</v>
      </c>
      <c r="AF102" t="str">
        <f>IFERROR(__xludf.DUMMYFUNCTION("""COMPUTED_VALUE"""),"Vanderbilt")</f>
        <v>Vanderbilt</v>
      </c>
      <c r="AG102" t="str">
        <f>IFERROR(__xludf.DUMMYFUNCTION("""COMPUTED_VALUE"""),"Wake Forest")</f>
        <v>Wake Forest</v>
      </c>
      <c r="AH102" t="str">
        <f>IFERROR(__xludf.DUMMYFUNCTION("""COMPUTED_VALUE"""),"Washington State")</f>
        <v>Washington State</v>
      </c>
      <c r="AI102" t="str">
        <f>IFERROR(__xludf.DUMMYFUNCTION("""COMPUTED_VALUE"""),"West Virginia")</f>
        <v>West Virginia</v>
      </c>
      <c r="AJ102" t="str">
        <f>IFERROR(__xludf.DUMMYFUNCTION("""COMPUTED_VALUE"""),"Wisconsin")</f>
        <v>Wisconsin</v>
      </c>
    </row>
    <row r="103">
      <c r="A103" s="1">
        <v>102.0</v>
      </c>
      <c r="B103" t="str">
        <f>IFERROR(__xludf.DUMMYFUNCTION("split(join("","",sort(byrow('Teams-Conference'!A$2:A1000,lambda(rw,if(iserror(match(rw,DraftTracker!F$1:F103,0)),rw,""""))),1,1)),"","",1,1)"),"Arizona")</f>
        <v>Arizona</v>
      </c>
      <c r="C103" t="str">
        <f>IFERROR(__xludf.DUMMYFUNCTION("""COMPUTED_VALUE"""),"Arkansas")</f>
        <v>Arkansas</v>
      </c>
      <c r="D103" t="str">
        <f>IFERROR(__xludf.DUMMYFUNCTION("""COMPUTED_VALUE"""),"Arkansas State")</f>
        <v>Arkansas State</v>
      </c>
      <c r="E103" t="str">
        <f>IFERROR(__xludf.DUMMYFUNCTION("""COMPUTED_VALUE"""),"Boston College")</f>
        <v>Boston College</v>
      </c>
      <c r="F103" t="str">
        <f>IFERROR(__xludf.DUMMYFUNCTION("""COMPUTED_VALUE"""),"Charlotte")</f>
        <v>Charlotte</v>
      </c>
      <c r="G103" t="str">
        <f>IFERROR(__xludf.DUMMYFUNCTION("""COMPUTED_VALUE"""),"Delaware")</f>
        <v>Delaware</v>
      </c>
      <c r="H103" t="str">
        <f>IFERROR(__xludf.DUMMYFUNCTION("""COMPUTED_VALUE"""),"Georgia State")</f>
        <v>Georgia State</v>
      </c>
      <c r="I103" t="str">
        <f>IFERROR(__xludf.DUMMYFUNCTION("""COMPUTED_VALUE"""),"Kennesaw State")</f>
        <v>Kennesaw State</v>
      </c>
      <c r="J103" t="str">
        <f>IFERROR(__xludf.DUMMYFUNCTION("""COMPUTED_VALUE"""),"Kent State")</f>
        <v>Kent State</v>
      </c>
      <c r="K103" t="str">
        <f>IFERROR(__xludf.DUMMYFUNCTION("""COMPUTED_VALUE"""),"Kentucky")</f>
        <v>Kentucky</v>
      </c>
      <c r="L103" t="str">
        <f>IFERROR(__xludf.DUMMYFUNCTION("""COMPUTED_VALUE"""),"Maryland")</f>
        <v>Maryland</v>
      </c>
      <c r="M103" t="str">
        <f>IFERROR(__xludf.DUMMYFUNCTION("""COMPUTED_VALUE"""),"Middle Tennessee")</f>
        <v>Middle Tennessee</v>
      </c>
      <c r="N103" t="str">
        <f>IFERROR(__xludf.DUMMYFUNCTION("""COMPUTED_VALUE"""),"Mississippi State")</f>
        <v>Mississippi State</v>
      </c>
      <c r="O103" t="str">
        <f>IFERROR(__xludf.DUMMYFUNCTION("""COMPUTED_VALUE"""),"Nevada")</f>
        <v>Nevada</v>
      </c>
      <c r="P103" t="str">
        <f>IFERROR(__xludf.DUMMYFUNCTION("""COMPUTED_VALUE"""),"New Mexico")</f>
        <v>New Mexico</v>
      </c>
      <c r="Q103" t="str">
        <f>IFERROR(__xludf.DUMMYFUNCTION("""COMPUTED_VALUE"""),"Northwestern")</f>
        <v>Northwestern</v>
      </c>
      <c r="R103" t="str">
        <f>IFERROR(__xludf.DUMMYFUNCTION("""COMPUTED_VALUE"""),"Oklahoma State")</f>
        <v>Oklahoma State</v>
      </c>
      <c r="S103" t="str">
        <f>IFERROR(__xludf.DUMMYFUNCTION("""COMPUTED_VALUE"""),"Pittsburgh")</f>
        <v>Pittsburgh</v>
      </c>
      <c r="T103" t="str">
        <f>IFERROR(__xludf.DUMMYFUNCTION("""COMPUTED_VALUE"""),"Purdue")</f>
        <v>Purdue</v>
      </c>
      <c r="U103" t="str">
        <f>IFERROR(__xludf.DUMMYFUNCTION("""COMPUTED_VALUE"""),"Rice")</f>
        <v>Rice</v>
      </c>
      <c r="V103" t="str">
        <f>IFERROR(__xludf.DUMMYFUNCTION("""COMPUTED_VALUE"""),"Rutgers")</f>
        <v>Rutgers</v>
      </c>
      <c r="W103" t="str">
        <f>IFERROR(__xludf.DUMMYFUNCTION("""COMPUTED_VALUE"""),"Sam Houston")</f>
        <v>Sam Houston</v>
      </c>
      <c r="X103" t="str">
        <f>IFERROR(__xludf.DUMMYFUNCTION("""COMPUTED_VALUE"""),"Southern Mississippi")</f>
        <v>Southern Mississippi</v>
      </c>
      <c r="Y103" t="str">
        <f>IFERROR(__xludf.DUMMYFUNCTION("""COMPUTED_VALUE"""),"Stanford")</f>
        <v>Stanford</v>
      </c>
      <c r="Z103" t="str">
        <f>IFERROR(__xludf.DUMMYFUNCTION("""COMPUTED_VALUE"""),"Syracuse")</f>
        <v>Syracuse</v>
      </c>
      <c r="AA103" t="str">
        <f>IFERROR(__xludf.DUMMYFUNCTION("""COMPUTED_VALUE"""),"Temple")</f>
        <v>Temple</v>
      </c>
      <c r="AB103" t="str">
        <f>IFERROR(__xludf.DUMMYFUNCTION("""COMPUTED_VALUE"""),"Tulsa")</f>
        <v>Tulsa</v>
      </c>
      <c r="AC103" t="str">
        <f>IFERROR(__xludf.DUMMYFUNCTION("""COMPUTED_VALUE"""),"UCLA")</f>
        <v>UCLA</v>
      </c>
      <c r="AD103" t="str">
        <f>IFERROR(__xludf.DUMMYFUNCTION("""COMPUTED_VALUE"""),"UL Monroe")</f>
        <v>UL Monroe</v>
      </c>
      <c r="AE103" t="str">
        <f>IFERROR(__xludf.DUMMYFUNCTION("""COMPUTED_VALUE"""),"Vanderbilt")</f>
        <v>Vanderbilt</v>
      </c>
      <c r="AF103" t="str">
        <f>IFERROR(__xludf.DUMMYFUNCTION("""COMPUTED_VALUE"""),"Wake Forest")</f>
        <v>Wake Forest</v>
      </c>
      <c r="AG103" t="str">
        <f>IFERROR(__xludf.DUMMYFUNCTION("""COMPUTED_VALUE"""),"Washington State")</f>
        <v>Washington State</v>
      </c>
      <c r="AH103" t="str">
        <f>IFERROR(__xludf.DUMMYFUNCTION("""COMPUTED_VALUE"""),"West Virginia")</f>
        <v>West Virginia</v>
      </c>
      <c r="AI103" t="str">
        <f>IFERROR(__xludf.DUMMYFUNCTION("""COMPUTED_VALUE"""),"Wisconsin")</f>
        <v>Wisconsin</v>
      </c>
    </row>
    <row r="104">
      <c r="A104" s="1">
        <v>103.0</v>
      </c>
      <c r="B104" t="str">
        <f>IFERROR(__xludf.DUMMYFUNCTION("split(join("","",sort(byrow('Teams-Conference'!A$2:A1000,lambda(rw,if(iserror(match(rw,DraftTracker!F$1:F104,0)),rw,""""))),1,1)),"","",1,1)"),"Arizona")</f>
        <v>Arizona</v>
      </c>
      <c r="C104" t="str">
        <f>IFERROR(__xludf.DUMMYFUNCTION("""COMPUTED_VALUE"""),"Arkansas")</f>
        <v>Arkansas</v>
      </c>
      <c r="D104" t="str">
        <f>IFERROR(__xludf.DUMMYFUNCTION("""COMPUTED_VALUE"""),"Arkansas State")</f>
        <v>Arkansas State</v>
      </c>
      <c r="E104" t="str">
        <f>IFERROR(__xludf.DUMMYFUNCTION("""COMPUTED_VALUE"""),"Boston College")</f>
        <v>Boston College</v>
      </c>
      <c r="F104" t="str">
        <f>IFERROR(__xludf.DUMMYFUNCTION("""COMPUTED_VALUE"""),"Charlotte")</f>
        <v>Charlotte</v>
      </c>
      <c r="G104" t="str">
        <f>IFERROR(__xludf.DUMMYFUNCTION("""COMPUTED_VALUE"""),"Delaware")</f>
        <v>Delaware</v>
      </c>
      <c r="H104" t="str">
        <f>IFERROR(__xludf.DUMMYFUNCTION("""COMPUTED_VALUE"""),"Georgia State")</f>
        <v>Georgia State</v>
      </c>
      <c r="I104" t="str">
        <f>IFERROR(__xludf.DUMMYFUNCTION("""COMPUTED_VALUE"""),"Kennesaw State")</f>
        <v>Kennesaw State</v>
      </c>
      <c r="J104" t="str">
        <f>IFERROR(__xludf.DUMMYFUNCTION("""COMPUTED_VALUE"""),"Kent State")</f>
        <v>Kent State</v>
      </c>
      <c r="K104" t="str">
        <f>IFERROR(__xludf.DUMMYFUNCTION("""COMPUTED_VALUE"""),"Kentucky")</f>
        <v>Kentucky</v>
      </c>
      <c r="L104" t="str">
        <f>IFERROR(__xludf.DUMMYFUNCTION("""COMPUTED_VALUE"""),"Maryland")</f>
        <v>Maryland</v>
      </c>
      <c r="M104" t="str">
        <f>IFERROR(__xludf.DUMMYFUNCTION("""COMPUTED_VALUE"""),"Middle Tennessee")</f>
        <v>Middle Tennessee</v>
      </c>
      <c r="N104" t="str">
        <f>IFERROR(__xludf.DUMMYFUNCTION("""COMPUTED_VALUE"""),"Mississippi State")</f>
        <v>Mississippi State</v>
      </c>
      <c r="O104" t="str">
        <f>IFERROR(__xludf.DUMMYFUNCTION("""COMPUTED_VALUE"""),"Nevada")</f>
        <v>Nevada</v>
      </c>
      <c r="P104" t="str">
        <f>IFERROR(__xludf.DUMMYFUNCTION("""COMPUTED_VALUE"""),"New Mexico")</f>
        <v>New Mexico</v>
      </c>
      <c r="Q104" t="str">
        <f>IFERROR(__xludf.DUMMYFUNCTION("""COMPUTED_VALUE"""),"Northwestern")</f>
        <v>Northwestern</v>
      </c>
      <c r="R104" t="str">
        <f>IFERROR(__xludf.DUMMYFUNCTION("""COMPUTED_VALUE"""),"Pittsburgh")</f>
        <v>Pittsburgh</v>
      </c>
      <c r="S104" t="str">
        <f>IFERROR(__xludf.DUMMYFUNCTION("""COMPUTED_VALUE"""),"Purdue")</f>
        <v>Purdue</v>
      </c>
      <c r="T104" t="str">
        <f>IFERROR(__xludf.DUMMYFUNCTION("""COMPUTED_VALUE"""),"Rice")</f>
        <v>Rice</v>
      </c>
      <c r="U104" t="str">
        <f>IFERROR(__xludf.DUMMYFUNCTION("""COMPUTED_VALUE"""),"Rutgers")</f>
        <v>Rutgers</v>
      </c>
      <c r="V104" t="str">
        <f>IFERROR(__xludf.DUMMYFUNCTION("""COMPUTED_VALUE"""),"Sam Houston")</f>
        <v>Sam Houston</v>
      </c>
      <c r="W104" t="str">
        <f>IFERROR(__xludf.DUMMYFUNCTION("""COMPUTED_VALUE"""),"Southern Mississippi")</f>
        <v>Southern Mississippi</v>
      </c>
      <c r="X104" t="str">
        <f>IFERROR(__xludf.DUMMYFUNCTION("""COMPUTED_VALUE"""),"Stanford")</f>
        <v>Stanford</v>
      </c>
      <c r="Y104" t="str">
        <f>IFERROR(__xludf.DUMMYFUNCTION("""COMPUTED_VALUE"""),"Syracuse")</f>
        <v>Syracuse</v>
      </c>
      <c r="Z104" t="str">
        <f>IFERROR(__xludf.DUMMYFUNCTION("""COMPUTED_VALUE"""),"Temple")</f>
        <v>Temple</v>
      </c>
      <c r="AA104" t="str">
        <f>IFERROR(__xludf.DUMMYFUNCTION("""COMPUTED_VALUE"""),"Tulsa")</f>
        <v>Tulsa</v>
      </c>
      <c r="AB104" t="str">
        <f>IFERROR(__xludf.DUMMYFUNCTION("""COMPUTED_VALUE"""),"UCLA")</f>
        <v>UCLA</v>
      </c>
      <c r="AC104" t="str">
        <f>IFERROR(__xludf.DUMMYFUNCTION("""COMPUTED_VALUE"""),"UL Monroe")</f>
        <v>UL Monroe</v>
      </c>
      <c r="AD104" t="str">
        <f>IFERROR(__xludf.DUMMYFUNCTION("""COMPUTED_VALUE"""),"Vanderbilt")</f>
        <v>Vanderbilt</v>
      </c>
      <c r="AE104" t="str">
        <f>IFERROR(__xludf.DUMMYFUNCTION("""COMPUTED_VALUE"""),"Wake Forest")</f>
        <v>Wake Forest</v>
      </c>
      <c r="AF104" t="str">
        <f>IFERROR(__xludf.DUMMYFUNCTION("""COMPUTED_VALUE"""),"Washington State")</f>
        <v>Washington State</v>
      </c>
      <c r="AG104" t="str">
        <f>IFERROR(__xludf.DUMMYFUNCTION("""COMPUTED_VALUE"""),"West Virginia")</f>
        <v>West Virginia</v>
      </c>
      <c r="AH104" t="str">
        <f>IFERROR(__xludf.DUMMYFUNCTION("""COMPUTED_VALUE"""),"Wisconsin")</f>
        <v>Wisconsin</v>
      </c>
    </row>
    <row r="105">
      <c r="A105" s="1">
        <v>104.0</v>
      </c>
      <c r="B105" t="str">
        <f>IFERROR(__xludf.DUMMYFUNCTION("split(join("","",sort(byrow('Teams-Conference'!A$2:A1000,lambda(rw,if(iserror(match(rw,DraftTracker!F$1:F105,0)),rw,""""))),1,1)),"","",1,1)"),"Arizona")</f>
        <v>Arizona</v>
      </c>
      <c r="C105" t="str">
        <f>IFERROR(__xludf.DUMMYFUNCTION("""COMPUTED_VALUE"""),"Arkansas")</f>
        <v>Arkansas</v>
      </c>
      <c r="D105" t="str">
        <f>IFERROR(__xludf.DUMMYFUNCTION("""COMPUTED_VALUE"""),"Arkansas State")</f>
        <v>Arkansas State</v>
      </c>
      <c r="E105" t="str">
        <f>IFERROR(__xludf.DUMMYFUNCTION("""COMPUTED_VALUE"""),"Boston College")</f>
        <v>Boston College</v>
      </c>
      <c r="F105" t="str">
        <f>IFERROR(__xludf.DUMMYFUNCTION("""COMPUTED_VALUE"""),"Charlotte")</f>
        <v>Charlotte</v>
      </c>
      <c r="G105" t="str">
        <f>IFERROR(__xludf.DUMMYFUNCTION("""COMPUTED_VALUE"""),"Delaware")</f>
        <v>Delaware</v>
      </c>
      <c r="H105" t="str">
        <f>IFERROR(__xludf.DUMMYFUNCTION("""COMPUTED_VALUE"""),"Georgia State")</f>
        <v>Georgia State</v>
      </c>
      <c r="I105" t="str">
        <f>IFERROR(__xludf.DUMMYFUNCTION("""COMPUTED_VALUE"""),"Kennesaw State")</f>
        <v>Kennesaw State</v>
      </c>
      <c r="J105" t="str">
        <f>IFERROR(__xludf.DUMMYFUNCTION("""COMPUTED_VALUE"""),"Kent State")</f>
        <v>Kent State</v>
      </c>
      <c r="K105" t="str">
        <f>IFERROR(__xludf.DUMMYFUNCTION("""COMPUTED_VALUE"""),"Kentucky")</f>
        <v>Kentucky</v>
      </c>
      <c r="L105" t="str">
        <f>IFERROR(__xludf.DUMMYFUNCTION("""COMPUTED_VALUE"""),"Maryland")</f>
        <v>Maryland</v>
      </c>
      <c r="M105" t="str">
        <f>IFERROR(__xludf.DUMMYFUNCTION("""COMPUTED_VALUE"""),"Middle Tennessee")</f>
        <v>Middle Tennessee</v>
      </c>
      <c r="N105" t="str">
        <f>IFERROR(__xludf.DUMMYFUNCTION("""COMPUTED_VALUE"""),"Mississippi State")</f>
        <v>Mississippi State</v>
      </c>
      <c r="O105" t="str">
        <f>IFERROR(__xludf.DUMMYFUNCTION("""COMPUTED_VALUE"""),"Nevada")</f>
        <v>Nevada</v>
      </c>
      <c r="P105" t="str">
        <f>IFERROR(__xludf.DUMMYFUNCTION("""COMPUTED_VALUE"""),"New Mexico")</f>
        <v>New Mexico</v>
      </c>
      <c r="Q105" t="str">
        <f>IFERROR(__xludf.DUMMYFUNCTION("""COMPUTED_VALUE"""),"Northwestern")</f>
        <v>Northwestern</v>
      </c>
      <c r="R105" t="str">
        <f>IFERROR(__xludf.DUMMYFUNCTION("""COMPUTED_VALUE"""),"Purdue")</f>
        <v>Purdue</v>
      </c>
      <c r="S105" t="str">
        <f>IFERROR(__xludf.DUMMYFUNCTION("""COMPUTED_VALUE"""),"Rice")</f>
        <v>Rice</v>
      </c>
      <c r="T105" t="str">
        <f>IFERROR(__xludf.DUMMYFUNCTION("""COMPUTED_VALUE"""),"Rutgers")</f>
        <v>Rutgers</v>
      </c>
      <c r="U105" t="str">
        <f>IFERROR(__xludf.DUMMYFUNCTION("""COMPUTED_VALUE"""),"Sam Houston")</f>
        <v>Sam Houston</v>
      </c>
      <c r="V105" t="str">
        <f>IFERROR(__xludf.DUMMYFUNCTION("""COMPUTED_VALUE"""),"Southern Mississippi")</f>
        <v>Southern Mississippi</v>
      </c>
      <c r="W105" t="str">
        <f>IFERROR(__xludf.DUMMYFUNCTION("""COMPUTED_VALUE"""),"Stanford")</f>
        <v>Stanford</v>
      </c>
      <c r="X105" t="str">
        <f>IFERROR(__xludf.DUMMYFUNCTION("""COMPUTED_VALUE"""),"Syracuse")</f>
        <v>Syracuse</v>
      </c>
      <c r="Y105" t="str">
        <f>IFERROR(__xludf.DUMMYFUNCTION("""COMPUTED_VALUE"""),"Temple")</f>
        <v>Temple</v>
      </c>
      <c r="Z105" t="str">
        <f>IFERROR(__xludf.DUMMYFUNCTION("""COMPUTED_VALUE"""),"Tulsa")</f>
        <v>Tulsa</v>
      </c>
      <c r="AA105" t="str">
        <f>IFERROR(__xludf.DUMMYFUNCTION("""COMPUTED_VALUE"""),"UCLA")</f>
        <v>UCLA</v>
      </c>
      <c r="AB105" t="str">
        <f>IFERROR(__xludf.DUMMYFUNCTION("""COMPUTED_VALUE"""),"UL Monroe")</f>
        <v>UL Monroe</v>
      </c>
      <c r="AC105" t="str">
        <f>IFERROR(__xludf.DUMMYFUNCTION("""COMPUTED_VALUE"""),"Vanderbilt")</f>
        <v>Vanderbilt</v>
      </c>
      <c r="AD105" t="str">
        <f>IFERROR(__xludf.DUMMYFUNCTION("""COMPUTED_VALUE"""),"Wake Forest")</f>
        <v>Wake Forest</v>
      </c>
      <c r="AE105" t="str">
        <f>IFERROR(__xludf.DUMMYFUNCTION("""COMPUTED_VALUE"""),"Washington State")</f>
        <v>Washington State</v>
      </c>
      <c r="AF105" t="str">
        <f>IFERROR(__xludf.DUMMYFUNCTION("""COMPUTED_VALUE"""),"West Virginia")</f>
        <v>West Virginia</v>
      </c>
      <c r="AG105" t="str">
        <f>IFERROR(__xludf.DUMMYFUNCTION("""COMPUTED_VALUE"""),"Wisconsin")</f>
        <v>Wisconsin</v>
      </c>
    </row>
    <row r="106">
      <c r="A106" s="1">
        <v>105.0</v>
      </c>
      <c r="B106" t="str">
        <f>IFERROR(__xludf.DUMMYFUNCTION("split(join("","",sort(byrow('Teams-Conference'!A$2:A1000,lambda(rw,if(iserror(match(rw,DraftTracker!F$1:F106,0)),rw,""""))),1,1)),"","",1,1)"),"Arizona")</f>
        <v>Arizona</v>
      </c>
      <c r="C106" t="str">
        <f>IFERROR(__xludf.DUMMYFUNCTION("""COMPUTED_VALUE"""),"Arkansas State")</f>
        <v>Arkansas State</v>
      </c>
      <c r="D106" t="str">
        <f>IFERROR(__xludf.DUMMYFUNCTION("""COMPUTED_VALUE"""),"Boston College")</f>
        <v>Boston College</v>
      </c>
      <c r="E106" t="str">
        <f>IFERROR(__xludf.DUMMYFUNCTION("""COMPUTED_VALUE"""),"Charlotte")</f>
        <v>Charlotte</v>
      </c>
      <c r="F106" t="str">
        <f>IFERROR(__xludf.DUMMYFUNCTION("""COMPUTED_VALUE"""),"Delaware")</f>
        <v>Delaware</v>
      </c>
      <c r="G106" t="str">
        <f>IFERROR(__xludf.DUMMYFUNCTION("""COMPUTED_VALUE"""),"Georgia State")</f>
        <v>Georgia State</v>
      </c>
      <c r="H106" t="str">
        <f>IFERROR(__xludf.DUMMYFUNCTION("""COMPUTED_VALUE"""),"Kennesaw State")</f>
        <v>Kennesaw State</v>
      </c>
      <c r="I106" t="str">
        <f>IFERROR(__xludf.DUMMYFUNCTION("""COMPUTED_VALUE"""),"Kent State")</f>
        <v>Kent State</v>
      </c>
      <c r="J106" t="str">
        <f>IFERROR(__xludf.DUMMYFUNCTION("""COMPUTED_VALUE"""),"Kentucky")</f>
        <v>Kentucky</v>
      </c>
      <c r="K106" t="str">
        <f>IFERROR(__xludf.DUMMYFUNCTION("""COMPUTED_VALUE"""),"Maryland")</f>
        <v>Maryland</v>
      </c>
      <c r="L106" t="str">
        <f>IFERROR(__xludf.DUMMYFUNCTION("""COMPUTED_VALUE"""),"Middle Tennessee")</f>
        <v>Middle Tennessee</v>
      </c>
      <c r="M106" t="str">
        <f>IFERROR(__xludf.DUMMYFUNCTION("""COMPUTED_VALUE"""),"Mississippi State")</f>
        <v>Mississippi State</v>
      </c>
      <c r="N106" t="str">
        <f>IFERROR(__xludf.DUMMYFUNCTION("""COMPUTED_VALUE"""),"Nevada")</f>
        <v>Nevada</v>
      </c>
      <c r="O106" t="str">
        <f>IFERROR(__xludf.DUMMYFUNCTION("""COMPUTED_VALUE"""),"New Mexico")</f>
        <v>New Mexico</v>
      </c>
      <c r="P106" t="str">
        <f>IFERROR(__xludf.DUMMYFUNCTION("""COMPUTED_VALUE"""),"Northwestern")</f>
        <v>Northwestern</v>
      </c>
      <c r="Q106" t="str">
        <f>IFERROR(__xludf.DUMMYFUNCTION("""COMPUTED_VALUE"""),"Purdue")</f>
        <v>Purdue</v>
      </c>
      <c r="R106" t="str">
        <f>IFERROR(__xludf.DUMMYFUNCTION("""COMPUTED_VALUE"""),"Rice")</f>
        <v>Rice</v>
      </c>
      <c r="S106" t="str">
        <f>IFERROR(__xludf.DUMMYFUNCTION("""COMPUTED_VALUE"""),"Rutgers")</f>
        <v>Rutgers</v>
      </c>
      <c r="T106" t="str">
        <f>IFERROR(__xludf.DUMMYFUNCTION("""COMPUTED_VALUE"""),"Sam Houston")</f>
        <v>Sam Houston</v>
      </c>
      <c r="U106" t="str">
        <f>IFERROR(__xludf.DUMMYFUNCTION("""COMPUTED_VALUE"""),"Southern Mississippi")</f>
        <v>Southern Mississippi</v>
      </c>
      <c r="V106" t="str">
        <f>IFERROR(__xludf.DUMMYFUNCTION("""COMPUTED_VALUE"""),"Stanford")</f>
        <v>Stanford</v>
      </c>
      <c r="W106" t="str">
        <f>IFERROR(__xludf.DUMMYFUNCTION("""COMPUTED_VALUE"""),"Syracuse")</f>
        <v>Syracuse</v>
      </c>
      <c r="X106" t="str">
        <f>IFERROR(__xludf.DUMMYFUNCTION("""COMPUTED_VALUE"""),"Temple")</f>
        <v>Temple</v>
      </c>
      <c r="Y106" t="str">
        <f>IFERROR(__xludf.DUMMYFUNCTION("""COMPUTED_VALUE"""),"Tulsa")</f>
        <v>Tulsa</v>
      </c>
      <c r="Z106" t="str">
        <f>IFERROR(__xludf.DUMMYFUNCTION("""COMPUTED_VALUE"""),"UCLA")</f>
        <v>UCLA</v>
      </c>
      <c r="AA106" t="str">
        <f>IFERROR(__xludf.DUMMYFUNCTION("""COMPUTED_VALUE"""),"UL Monroe")</f>
        <v>UL Monroe</v>
      </c>
      <c r="AB106" t="str">
        <f>IFERROR(__xludf.DUMMYFUNCTION("""COMPUTED_VALUE"""),"Vanderbilt")</f>
        <v>Vanderbilt</v>
      </c>
      <c r="AC106" t="str">
        <f>IFERROR(__xludf.DUMMYFUNCTION("""COMPUTED_VALUE"""),"Wake Forest")</f>
        <v>Wake Forest</v>
      </c>
      <c r="AD106" t="str">
        <f>IFERROR(__xludf.DUMMYFUNCTION("""COMPUTED_VALUE"""),"Washington State")</f>
        <v>Washington State</v>
      </c>
      <c r="AE106" t="str">
        <f>IFERROR(__xludf.DUMMYFUNCTION("""COMPUTED_VALUE"""),"West Virginia")</f>
        <v>West Virginia</v>
      </c>
      <c r="AF106" t="str">
        <f>IFERROR(__xludf.DUMMYFUNCTION("""COMPUTED_VALUE"""),"Wisconsin")</f>
        <v>Wisconsin</v>
      </c>
    </row>
    <row r="107">
      <c r="A107" s="1">
        <v>106.0</v>
      </c>
      <c r="B107" t="str">
        <f>IFERROR(__xludf.DUMMYFUNCTION("split(join("","",sort(byrow('Teams-Conference'!A$2:A1000,lambda(rw,if(iserror(match(rw,DraftTracker!F$1:F107,0)),rw,""""))),1,1)),"","",1,1)"),"Arizona")</f>
        <v>Arizona</v>
      </c>
      <c r="C107" t="str">
        <f>IFERROR(__xludf.DUMMYFUNCTION("""COMPUTED_VALUE"""),"Arkansas State")</f>
        <v>Arkansas State</v>
      </c>
      <c r="D107" t="str">
        <f>IFERROR(__xludf.DUMMYFUNCTION("""COMPUTED_VALUE"""),"Boston College")</f>
        <v>Boston College</v>
      </c>
      <c r="E107" t="str">
        <f>IFERROR(__xludf.DUMMYFUNCTION("""COMPUTED_VALUE"""),"Delaware")</f>
        <v>Delaware</v>
      </c>
      <c r="F107" t="str">
        <f>IFERROR(__xludf.DUMMYFUNCTION("""COMPUTED_VALUE"""),"Georgia State")</f>
        <v>Georgia State</v>
      </c>
      <c r="G107" t="str">
        <f>IFERROR(__xludf.DUMMYFUNCTION("""COMPUTED_VALUE"""),"Kennesaw State")</f>
        <v>Kennesaw State</v>
      </c>
      <c r="H107" t="str">
        <f>IFERROR(__xludf.DUMMYFUNCTION("""COMPUTED_VALUE"""),"Kent State")</f>
        <v>Kent State</v>
      </c>
      <c r="I107" t="str">
        <f>IFERROR(__xludf.DUMMYFUNCTION("""COMPUTED_VALUE"""),"Kentucky")</f>
        <v>Kentucky</v>
      </c>
      <c r="J107" t="str">
        <f>IFERROR(__xludf.DUMMYFUNCTION("""COMPUTED_VALUE"""),"Maryland")</f>
        <v>Maryland</v>
      </c>
      <c r="K107" t="str">
        <f>IFERROR(__xludf.DUMMYFUNCTION("""COMPUTED_VALUE"""),"Middle Tennessee")</f>
        <v>Middle Tennessee</v>
      </c>
      <c r="L107" t="str">
        <f>IFERROR(__xludf.DUMMYFUNCTION("""COMPUTED_VALUE"""),"Mississippi State")</f>
        <v>Mississippi State</v>
      </c>
      <c r="M107" t="str">
        <f>IFERROR(__xludf.DUMMYFUNCTION("""COMPUTED_VALUE"""),"Nevada")</f>
        <v>Nevada</v>
      </c>
      <c r="N107" t="str">
        <f>IFERROR(__xludf.DUMMYFUNCTION("""COMPUTED_VALUE"""),"New Mexico")</f>
        <v>New Mexico</v>
      </c>
      <c r="O107" t="str">
        <f>IFERROR(__xludf.DUMMYFUNCTION("""COMPUTED_VALUE"""),"Northwestern")</f>
        <v>Northwestern</v>
      </c>
      <c r="P107" t="str">
        <f>IFERROR(__xludf.DUMMYFUNCTION("""COMPUTED_VALUE"""),"Purdue")</f>
        <v>Purdue</v>
      </c>
      <c r="Q107" t="str">
        <f>IFERROR(__xludf.DUMMYFUNCTION("""COMPUTED_VALUE"""),"Rice")</f>
        <v>Rice</v>
      </c>
      <c r="R107" t="str">
        <f>IFERROR(__xludf.DUMMYFUNCTION("""COMPUTED_VALUE"""),"Rutgers")</f>
        <v>Rutgers</v>
      </c>
      <c r="S107" t="str">
        <f>IFERROR(__xludf.DUMMYFUNCTION("""COMPUTED_VALUE"""),"Sam Houston")</f>
        <v>Sam Houston</v>
      </c>
      <c r="T107" t="str">
        <f>IFERROR(__xludf.DUMMYFUNCTION("""COMPUTED_VALUE"""),"Southern Mississippi")</f>
        <v>Southern Mississippi</v>
      </c>
      <c r="U107" t="str">
        <f>IFERROR(__xludf.DUMMYFUNCTION("""COMPUTED_VALUE"""),"Stanford")</f>
        <v>Stanford</v>
      </c>
      <c r="V107" t="str">
        <f>IFERROR(__xludf.DUMMYFUNCTION("""COMPUTED_VALUE"""),"Syracuse")</f>
        <v>Syracuse</v>
      </c>
      <c r="W107" t="str">
        <f>IFERROR(__xludf.DUMMYFUNCTION("""COMPUTED_VALUE"""),"Temple")</f>
        <v>Temple</v>
      </c>
      <c r="X107" t="str">
        <f>IFERROR(__xludf.DUMMYFUNCTION("""COMPUTED_VALUE"""),"Tulsa")</f>
        <v>Tulsa</v>
      </c>
      <c r="Y107" t="str">
        <f>IFERROR(__xludf.DUMMYFUNCTION("""COMPUTED_VALUE"""),"UCLA")</f>
        <v>UCLA</v>
      </c>
      <c r="Z107" t="str">
        <f>IFERROR(__xludf.DUMMYFUNCTION("""COMPUTED_VALUE"""),"UL Monroe")</f>
        <v>UL Monroe</v>
      </c>
      <c r="AA107" t="str">
        <f>IFERROR(__xludf.DUMMYFUNCTION("""COMPUTED_VALUE"""),"Vanderbilt")</f>
        <v>Vanderbilt</v>
      </c>
      <c r="AB107" t="str">
        <f>IFERROR(__xludf.DUMMYFUNCTION("""COMPUTED_VALUE"""),"Wake Forest")</f>
        <v>Wake Forest</v>
      </c>
      <c r="AC107" t="str">
        <f>IFERROR(__xludf.DUMMYFUNCTION("""COMPUTED_VALUE"""),"Washington State")</f>
        <v>Washington State</v>
      </c>
      <c r="AD107" t="str">
        <f>IFERROR(__xludf.DUMMYFUNCTION("""COMPUTED_VALUE"""),"West Virginia")</f>
        <v>West Virginia</v>
      </c>
      <c r="AE107" t="str">
        <f>IFERROR(__xludf.DUMMYFUNCTION("""COMPUTED_VALUE"""),"Wisconsin")</f>
        <v>Wisconsin</v>
      </c>
    </row>
    <row r="108">
      <c r="A108" s="1">
        <v>107.0</v>
      </c>
      <c r="B108" t="str">
        <f>IFERROR(__xludf.DUMMYFUNCTION("split(join("","",sort(byrow('Teams-Conference'!A$2:A1000,lambda(rw,if(iserror(match(rw,DraftTracker!F$1:F108,0)),rw,""""))),1,1)),"","",1,1)"),"Arizona")</f>
        <v>Arizona</v>
      </c>
      <c r="C108" t="str">
        <f>IFERROR(__xludf.DUMMYFUNCTION("""COMPUTED_VALUE"""),"Arkansas State")</f>
        <v>Arkansas State</v>
      </c>
      <c r="D108" t="str">
        <f>IFERROR(__xludf.DUMMYFUNCTION("""COMPUTED_VALUE"""),"Boston College")</f>
        <v>Boston College</v>
      </c>
      <c r="E108" t="str">
        <f>IFERROR(__xludf.DUMMYFUNCTION("""COMPUTED_VALUE"""),"Delaware")</f>
        <v>Delaware</v>
      </c>
      <c r="F108" t="str">
        <f>IFERROR(__xludf.DUMMYFUNCTION("""COMPUTED_VALUE"""),"Georgia State")</f>
        <v>Georgia State</v>
      </c>
      <c r="G108" t="str">
        <f>IFERROR(__xludf.DUMMYFUNCTION("""COMPUTED_VALUE"""),"Kennesaw State")</f>
        <v>Kennesaw State</v>
      </c>
      <c r="H108" t="str">
        <f>IFERROR(__xludf.DUMMYFUNCTION("""COMPUTED_VALUE"""),"Kent State")</f>
        <v>Kent State</v>
      </c>
      <c r="I108" t="str">
        <f>IFERROR(__xludf.DUMMYFUNCTION("""COMPUTED_VALUE"""),"Kentucky")</f>
        <v>Kentucky</v>
      </c>
      <c r="J108" t="str">
        <f>IFERROR(__xludf.DUMMYFUNCTION("""COMPUTED_VALUE"""),"Maryland")</f>
        <v>Maryland</v>
      </c>
      <c r="K108" t="str">
        <f>IFERROR(__xludf.DUMMYFUNCTION("""COMPUTED_VALUE"""),"Middle Tennessee")</f>
        <v>Middle Tennessee</v>
      </c>
      <c r="L108" t="str">
        <f>IFERROR(__xludf.DUMMYFUNCTION("""COMPUTED_VALUE"""),"Mississippi State")</f>
        <v>Mississippi State</v>
      </c>
      <c r="M108" t="str">
        <f>IFERROR(__xludf.DUMMYFUNCTION("""COMPUTED_VALUE"""),"Nevada")</f>
        <v>Nevada</v>
      </c>
      <c r="N108" t="str">
        <f>IFERROR(__xludf.DUMMYFUNCTION("""COMPUTED_VALUE"""),"New Mexico")</f>
        <v>New Mexico</v>
      </c>
      <c r="O108" t="str">
        <f>IFERROR(__xludf.DUMMYFUNCTION("""COMPUTED_VALUE"""),"Northwestern")</f>
        <v>Northwestern</v>
      </c>
      <c r="P108" t="str">
        <f>IFERROR(__xludf.DUMMYFUNCTION("""COMPUTED_VALUE"""),"Purdue")</f>
        <v>Purdue</v>
      </c>
      <c r="Q108" t="str">
        <f>IFERROR(__xludf.DUMMYFUNCTION("""COMPUTED_VALUE"""),"Rice")</f>
        <v>Rice</v>
      </c>
      <c r="R108" t="str">
        <f>IFERROR(__xludf.DUMMYFUNCTION("""COMPUTED_VALUE"""),"Sam Houston")</f>
        <v>Sam Houston</v>
      </c>
      <c r="S108" t="str">
        <f>IFERROR(__xludf.DUMMYFUNCTION("""COMPUTED_VALUE"""),"Southern Mississippi")</f>
        <v>Southern Mississippi</v>
      </c>
      <c r="T108" t="str">
        <f>IFERROR(__xludf.DUMMYFUNCTION("""COMPUTED_VALUE"""),"Stanford")</f>
        <v>Stanford</v>
      </c>
      <c r="U108" t="str">
        <f>IFERROR(__xludf.DUMMYFUNCTION("""COMPUTED_VALUE"""),"Syracuse")</f>
        <v>Syracuse</v>
      </c>
      <c r="V108" t="str">
        <f>IFERROR(__xludf.DUMMYFUNCTION("""COMPUTED_VALUE"""),"Temple")</f>
        <v>Temple</v>
      </c>
      <c r="W108" t="str">
        <f>IFERROR(__xludf.DUMMYFUNCTION("""COMPUTED_VALUE"""),"Tulsa")</f>
        <v>Tulsa</v>
      </c>
      <c r="X108" t="str">
        <f>IFERROR(__xludf.DUMMYFUNCTION("""COMPUTED_VALUE"""),"UCLA")</f>
        <v>UCLA</v>
      </c>
      <c r="Y108" t="str">
        <f>IFERROR(__xludf.DUMMYFUNCTION("""COMPUTED_VALUE"""),"UL Monroe")</f>
        <v>UL Monroe</v>
      </c>
      <c r="Z108" t="str">
        <f>IFERROR(__xludf.DUMMYFUNCTION("""COMPUTED_VALUE"""),"Vanderbilt")</f>
        <v>Vanderbilt</v>
      </c>
      <c r="AA108" t="str">
        <f>IFERROR(__xludf.DUMMYFUNCTION("""COMPUTED_VALUE"""),"Wake Forest")</f>
        <v>Wake Forest</v>
      </c>
      <c r="AB108" t="str">
        <f>IFERROR(__xludf.DUMMYFUNCTION("""COMPUTED_VALUE"""),"Washington State")</f>
        <v>Washington State</v>
      </c>
      <c r="AC108" t="str">
        <f>IFERROR(__xludf.DUMMYFUNCTION("""COMPUTED_VALUE"""),"West Virginia")</f>
        <v>West Virginia</v>
      </c>
      <c r="AD108" t="str">
        <f>IFERROR(__xludf.DUMMYFUNCTION("""COMPUTED_VALUE"""),"Wisconsin")</f>
        <v>Wisconsin</v>
      </c>
    </row>
    <row r="109">
      <c r="A109" s="1">
        <v>108.0</v>
      </c>
      <c r="B109" t="str">
        <f>IFERROR(__xludf.DUMMYFUNCTION("split(join("","",sort(byrow('Teams-Conference'!A$2:A1000,lambda(rw,if(iserror(match(rw,DraftTracker!F$1:F109,0)),rw,""""))),1,1)),"","",1,1)"),"Arizona")</f>
        <v>Arizona</v>
      </c>
      <c r="C109" t="str">
        <f>IFERROR(__xludf.DUMMYFUNCTION("""COMPUTED_VALUE"""),"Boston College")</f>
        <v>Boston College</v>
      </c>
      <c r="D109" t="str">
        <f>IFERROR(__xludf.DUMMYFUNCTION("""COMPUTED_VALUE"""),"Delaware")</f>
        <v>Delaware</v>
      </c>
      <c r="E109" t="str">
        <f>IFERROR(__xludf.DUMMYFUNCTION("""COMPUTED_VALUE"""),"Georgia State")</f>
        <v>Georgia State</v>
      </c>
      <c r="F109" t="str">
        <f>IFERROR(__xludf.DUMMYFUNCTION("""COMPUTED_VALUE"""),"Kennesaw State")</f>
        <v>Kennesaw State</v>
      </c>
      <c r="G109" t="str">
        <f>IFERROR(__xludf.DUMMYFUNCTION("""COMPUTED_VALUE"""),"Kent State")</f>
        <v>Kent State</v>
      </c>
      <c r="H109" t="str">
        <f>IFERROR(__xludf.DUMMYFUNCTION("""COMPUTED_VALUE"""),"Kentucky")</f>
        <v>Kentucky</v>
      </c>
      <c r="I109" t="str">
        <f>IFERROR(__xludf.DUMMYFUNCTION("""COMPUTED_VALUE"""),"Maryland")</f>
        <v>Maryland</v>
      </c>
      <c r="J109" t="str">
        <f>IFERROR(__xludf.DUMMYFUNCTION("""COMPUTED_VALUE"""),"Middle Tennessee")</f>
        <v>Middle Tennessee</v>
      </c>
      <c r="K109" t="str">
        <f>IFERROR(__xludf.DUMMYFUNCTION("""COMPUTED_VALUE"""),"Mississippi State")</f>
        <v>Mississippi State</v>
      </c>
      <c r="L109" t="str">
        <f>IFERROR(__xludf.DUMMYFUNCTION("""COMPUTED_VALUE"""),"Nevada")</f>
        <v>Nevada</v>
      </c>
      <c r="M109" t="str">
        <f>IFERROR(__xludf.DUMMYFUNCTION("""COMPUTED_VALUE"""),"New Mexico")</f>
        <v>New Mexico</v>
      </c>
      <c r="N109" t="str">
        <f>IFERROR(__xludf.DUMMYFUNCTION("""COMPUTED_VALUE"""),"Northwestern")</f>
        <v>Northwestern</v>
      </c>
      <c r="O109" t="str">
        <f>IFERROR(__xludf.DUMMYFUNCTION("""COMPUTED_VALUE"""),"Purdue")</f>
        <v>Purdue</v>
      </c>
      <c r="P109" t="str">
        <f>IFERROR(__xludf.DUMMYFUNCTION("""COMPUTED_VALUE"""),"Rice")</f>
        <v>Rice</v>
      </c>
      <c r="Q109" t="str">
        <f>IFERROR(__xludf.DUMMYFUNCTION("""COMPUTED_VALUE"""),"Sam Houston")</f>
        <v>Sam Houston</v>
      </c>
      <c r="R109" t="str">
        <f>IFERROR(__xludf.DUMMYFUNCTION("""COMPUTED_VALUE"""),"Southern Mississippi")</f>
        <v>Southern Mississippi</v>
      </c>
      <c r="S109" t="str">
        <f>IFERROR(__xludf.DUMMYFUNCTION("""COMPUTED_VALUE"""),"Stanford")</f>
        <v>Stanford</v>
      </c>
      <c r="T109" t="str">
        <f>IFERROR(__xludf.DUMMYFUNCTION("""COMPUTED_VALUE"""),"Syracuse")</f>
        <v>Syracuse</v>
      </c>
      <c r="U109" t="str">
        <f>IFERROR(__xludf.DUMMYFUNCTION("""COMPUTED_VALUE"""),"Temple")</f>
        <v>Temple</v>
      </c>
      <c r="V109" t="str">
        <f>IFERROR(__xludf.DUMMYFUNCTION("""COMPUTED_VALUE"""),"Tulsa")</f>
        <v>Tulsa</v>
      </c>
      <c r="W109" t="str">
        <f>IFERROR(__xludf.DUMMYFUNCTION("""COMPUTED_VALUE"""),"UCLA")</f>
        <v>UCLA</v>
      </c>
      <c r="X109" t="str">
        <f>IFERROR(__xludf.DUMMYFUNCTION("""COMPUTED_VALUE"""),"UL Monroe")</f>
        <v>UL Monroe</v>
      </c>
      <c r="Y109" t="str">
        <f>IFERROR(__xludf.DUMMYFUNCTION("""COMPUTED_VALUE"""),"Vanderbilt")</f>
        <v>Vanderbilt</v>
      </c>
      <c r="Z109" t="str">
        <f>IFERROR(__xludf.DUMMYFUNCTION("""COMPUTED_VALUE"""),"Wake Forest")</f>
        <v>Wake Forest</v>
      </c>
      <c r="AA109" t="str">
        <f>IFERROR(__xludf.DUMMYFUNCTION("""COMPUTED_VALUE"""),"Washington State")</f>
        <v>Washington State</v>
      </c>
      <c r="AB109" t="str">
        <f>IFERROR(__xludf.DUMMYFUNCTION("""COMPUTED_VALUE"""),"West Virginia")</f>
        <v>West Virginia</v>
      </c>
      <c r="AC109" t="str">
        <f>IFERROR(__xludf.DUMMYFUNCTION("""COMPUTED_VALUE"""),"Wisconsin")</f>
        <v>Wisconsin</v>
      </c>
    </row>
    <row r="110">
      <c r="A110" s="1">
        <v>109.0</v>
      </c>
      <c r="B110" t="str">
        <f>IFERROR(__xludf.DUMMYFUNCTION("split(join("","",sort(byrow('Teams-Conference'!A$2:A1000,lambda(rw,if(iserror(match(rw,DraftTracker!F$1:F110,0)),rw,""""))),1,1)),"","",1,1)"),"Arizona")</f>
        <v>Arizona</v>
      </c>
      <c r="C110" t="str">
        <f>IFERROR(__xludf.DUMMYFUNCTION("""COMPUTED_VALUE"""),"Boston College")</f>
        <v>Boston College</v>
      </c>
      <c r="D110" t="str">
        <f>IFERROR(__xludf.DUMMYFUNCTION("""COMPUTED_VALUE"""),"Delaware")</f>
        <v>Delaware</v>
      </c>
      <c r="E110" t="str">
        <f>IFERROR(__xludf.DUMMYFUNCTION("""COMPUTED_VALUE"""),"Georgia State")</f>
        <v>Georgia State</v>
      </c>
      <c r="F110" t="str">
        <f>IFERROR(__xludf.DUMMYFUNCTION("""COMPUTED_VALUE"""),"Kennesaw State")</f>
        <v>Kennesaw State</v>
      </c>
      <c r="G110" t="str">
        <f>IFERROR(__xludf.DUMMYFUNCTION("""COMPUTED_VALUE"""),"Kent State")</f>
        <v>Kent State</v>
      </c>
      <c r="H110" t="str">
        <f>IFERROR(__xludf.DUMMYFUNCTION("""COMPUTED_VALUE"""),"Kentucky")</f>
        <v>Kentucky</v>
      </c>
      <c r="I110" t="str">
        <f>IFERROR(__xludf.DUMMYFUNCTION("""COMPUTED_VALUE"""),"Maryland")</f>
        <v>Maryland</v>
      </c>
      <c r="J110" t="str">
        <f>IFERROR(__xludf.DUMMYFUNCTION("""COMPUTED_VALUE"""),"Middle Tennessee")</f>
        <v>Middle Tennessee</v>
      </c>
      <c r="K110" t="str">
        <f>IFERROR(__xludf.DUMMYFUNCTION("""COMPUTED_VALUE"""),"Mississippi State")</f>
        <v>Mississippi State</v>
      </c>
      <c r="L110" t="str">
        <f>IFERROR(__xludf.DUMMYFUNCTION("""COMPUTED_VALUE"""),"Nevada")</f>
        <v>Nevada</v>
      </c>
      <c r="M110" t="str">
        <f>IFERROR(__xludf.DUMMYFUNCTION("""COMPUTED_VALUE"""),"New Mexico")</f>
        <v>New Mexico</v>
      </c>
      <c r="N110" t="str">
        <f>IFERROR(__xludf.DUMMYFUNCTION("""COMPUTED_VALUE"""),"Northwestern")</f>
        <v>Northwestern</v>
      </c>
      <c r="O110" t="str">
        <f>IFERROR(__xludf.DUMMYFUNCTION("""COMPUTED_VALUE"""),"Purdue")</f>
        <v>Purdue</v>
      </c>
      <c r="P110" t="str">
        <f>IFERROR(__xludf.DUMMYFUNCTION("""COMPUTED_VALUE"""),"Rice")</f>
        <v>Rice</v>
      </c>
      <c r="Q110" t="str">
        <f>IFERROR(__xludf.DUMMYFUNCTION("""COMPUTED_VALUE"""),"Sam Houston")</f>
        <v>Sam Houston</v>
      </c>
      <c r="R110" t="str">
        <f>IFERROR(__xludf.DUMMYFUNCTION("""COMPUTED_VALUE"""),"Southern Mississippi")</f>
        <v>Southern Mississippi</v>
      </c>
      <c r="S110" t="str">
        <f>IFERROR(__xludf.DUMMYFUNCTION("""COMPUTED_VALUE"""),"Stanford")</f>
        <v>Stanford</v>
      </c>
      <c r="T110" t="str">
        <f>IFERROR(__xludf.DUMMYFUNCTION("""COMPUTED_VALUE"""),"Syracuse")</f>
        <v>Syracuse</v>
      </c>
      <c r="U110" t="str">
        <f>IFERROR(__xludf.DUMMYFUNCTION("""COMPUTED_VALUE"""),"Temple")</f>
        <v>Temple</v>
      </c>
      <c r="V110" t="str">
        <f>IFERROR(__xludf.DUMMYFUNCTION("""COMPUTED_VALUE"""),"Tulsa")</f>
        <v>Tulsa</v>
      </c>
      <c r="W110" t="str">
        <f>IFERROR(__xludf.DUMMYFUNCTION("""COMPUTED_VALUE"""),"UCLA")</f>
        <v>UCLA</v>
      </c>
      <c r="X110" t="str">
        <f>IFERROR(__xludf.DUMMYFUNCTION("""COMPUTED_VALUE"""),"UL Monroe")</f>
        <v>UL Monroe</v>
      </c>
      <c r="Y110" t="str">
        <f>IFERROR(__xludf.DUMMYFUNCTION("""COMPUTED_VALUE"""),"Vanderbilt")</f>
        <v>Vanderbilt</v>
      </c>
      <c r="Z110" t="str">
        <f>IFERROR(__xludf.DUMMYFUNCTION("""COMPUTED_VALUE"""),"Wake Forest")</f>
        <v>Wake Forest</v>
      </c>
      <c r="AA110" t="str">
        <f>IFERROR(__xludf.DUMMYFUNCTION("""COMPUTED_VALUE"""),"Washington State")</f>
        <v>Washington State</v>
      </c>
      <c r="AB110" t="str">
        <f>IFERROR(__xludf.DUMMYFUNCTION("""COMPUTED_VALUE"""),"Wisconsin")</f>
        <v>Wisconsin</v>
      </c>
    </row>
    <row r="111">
      <c r="A111" s="1">
        <v>110.0</v>
      </c>
      <c r="B111" t="str">
        <f>IFERROR(__xludf.DUMMYFUNCTION("split(join("","",sort(byrow('Teams-Conference'!A$2:A1000,lambda(rw,if(iserror(match(rw,DraftTracker!F$1:F111,0)),rw,""""))),1,1)),"","",1,1)"),"Arizona")</f>
        <v>Arizona</v>
      </c>
      <c r="C111" t="str">
        <f>IFERROR(__xludf.DUMMYFUNCTION("""COMPUTED_VALUE"""),"Boston College")</f>
        <v>Boston College</v>
      </c>
      <c r="D111" t="str">
        <f>IFERROR(__xludf.DUMMYFUNCTION("""COMPUTED_VALUE"""),"Delaware")</f>
        <v>Delaware</v>
      </c>
      <c r="E111" t="str">
        <f>IFERROR(__xludf.DUMMYFUNCTION("""COMPUTED_VALUE"""),"Georgia State")</f>
        <v>Georgia State</v>
      </c>
      <c r="F111" t="str">
        <f>IFERROR(__xludf.DUMMYFUNCTION("""COMPUTED_VALUE"""),"Kennesaw State")</f>
        <v>Kennesaw State</v>
      </c>
      <c r="G111" t="str">
        <f>IFERROR(__xludf.DUMMYFUNCTION("""COMPUTED_VALUE"""),"Kent State")</f>
        <v>Kent State</v>
      </c>
      <c r="H111" t="str">
        <f>IFERROR(__xludf.DUMMYFUNCTION("""COMPUTED_VALUE"""),"Kentucky")</f>
        <v>Kentucky</v>
      </c>
      <c r="I111" t="str">
        <f>IFERROR(__xludf.DUMMYFUNCTION("""COMPUTED_VALUE"""),"Maryland")</f>
        <v>Maryland</v>
      </c>
      <c r="J111" t="str">
        <f>IFERROR(__xludf.DUMMYFUNCTION("""COMPUTED_VALUE"""),"Middle Tennessee")</f>
        <v>Middle Tennessee</v>
      </c>
      <c r="K111" t="str">
        <f>IFERROR(__xludf.DUMMYFUNCTION("""COMPUTED_VALUE"""),"Mississippi State")</f>
        <v>Mississippi State</v>
      </c>
      <c r="L111" t="str">
        <f>IFERROR(__xludf.DUMMYFUNCTION("""COMPUTED_VALUE"""),"Nevada")</f>
        <v>Nevada</v>
      </c>
      <c r="M111" t="str">
        <f>IFERROR(__xludf.DUMMYFUNCTION("""COMPUTED_VALUE"""),"New Mexico")</f>
        <v>New Mexico</v>
      </c>
      <c r="N111" t="str">
        <f>IFERROR(__xludf.DUMMYFUNCTION("""COMPUTED_VALUE"""),"Northwestern")</f>
        <v>Northwestern</v>
      </c>
      <c r="O111" t="str">
        <f>IFERROR(__xludf.DUMMYFUNCTION("""COMPUTED_VALUE"""),"Purdue")</f>
        <v>Purdue</v>
      </c>
      <c r="P111" t="str">
        <f>IFERROR(__xludf.DUMMYFUNCTION("""COMPUTED_VALUE"""),"Rice")</f>
        <v>Rice</v>
      </c>
      <c r="Q111" t="str">
        <f>IFERROR(__xludf.DUMMYFUNCTION("""COMPUTED_VALUE"""),"Sam Houston")</f>
        <v>Sam Houston</v>
      </c>
      <c r="R111" t="str">
        <f>IFERROR(__xludf.DUMMYFUNCTION("""COMPUTED_VALUE"""),"Southern Mississippi")</f>
        <v>Southern Mississippi</v>
      </c>
      <c r="S111" t="str">
        <f>IFERROR(__xludf.DUMMYFUNCTION("""COMPUTED_VALUE"""),"Stanford")</f>
        <v>Stanford</v>
      </c>
      <c r="T111" t="str">
        <f>IFERROR(__xludf.DUMMYFUNCTION("""COMPUTED_VALUE"""),"Syracuse")</f>
        <v>Syracuse</v>
      </c>
      <c r="U111" t="str">
        <f>IFERROR(__xludf.DUMMYFUNCTION("""COMPUTED_VALUE"""),"Temple")</f>
        <v>Temple</v>
      </c>
      <c r="V111" t="str">
        <f>IFERROR(__xludf.DUMMYFUNCTION("""COMPUTED_VALUE"""),"Tulsa")</f>
        <v>Tulsa</v>
      </c>
      <c r="W111" t="str">
        <f>IFERROR(__xludf.DUMMYFUNCTION("""COMPUTED_VALUE"""),"UCLA")</f>
        <v>UCLA</v>
      </c>
      <c r="X111" t="str">
        <f>IFERROR(__xludf.DUMMYFUNCTION("""COMPUTED_VALUE"""),"UL Monroe")</f>
        <v>UL Monroe</v>
      </c>
      <c r="Y111" t="str">
        <f>IFERROR(__xludf.DUMMYFUNCTION("""COMPUTED_VALUE"""),"Wake Forest")</f>
        <v>Wake Forest</v>
      </c>
      <c r="Z111" t="str">
        <f>IFERROR(__xludf.DUMMYFUNCTION("""COMPUTED_VALUE"""),"Washington State")</f>
        <v>Washington State</v>
      </c>
      <c r="AA111" t="str">
        <f>IFERROR(__xludf.DUMMYFUNCTION("""COMPUTED_VALUE"""),"Wisconsin")</f>
        <v>Wisconsin</v>
      </c>
    </row>
    <row r="112">
      <c r="A112" s="1">
        <v>111.0</v>
      </c>
      <c r="B112" t="str">
        <f>IFERROR(__xludf.DUMMYFUNCTION("split(join("","",sort(byrow('Teams-Conference'!A$2:A1000,lambda(rw,if(iserror(match(rw,DraftTracker!F$1:F112,0)),rw,""""))),1,1)),"","",1,1)"),"Arizona")</f>
        <v>Arizona</v>
      </c>
      <c r="C112" t="str">
        <f>IFERROR(__xludf.DUMMYFUNCTION("""COMPUTED_VALUE"""),"Boston College")</f>
        <v>Boston College</v>
      </c>
      <c r="D112" t="str">
        <f>IFERROR(__xludf.DUMMYFUNCTION("""COMPUTED_VALUE"""),"Delaware")</f>
        <v>Delaware</v>
      </c>
      <c r="E112" t="str">
        <f>IFERROR(__xludf.DUMMYFUNCTION("""COMPUTED_VALUE"""),"Kennesaw State")</f>
        <v>Kennesaw State</v>
      </c>
      <c r="F112" t="str">
        <f>IFERROR(__xludf.DUMMYFUNCTION("""COMPUTED_VALUE"""),"Kent State")</f>
        <v>Kent State</v>
      </c>
      <c r="G112" t="str">
        <f>IFERROR(__xludf.DUMMYFUNCTION("""COMPUTED_VALUE"""),"Kentucky")</f>
        <v>Kentucky</v>
      </c>
      <c r="H112" t="str">
        <f>IFERROR(__xludf.DUMMYFUNCTION("""COMPUTED_VALUE"""),"Maryland")</f>
        <v>Maryland</v>
      </c>
      <c r="I112" t="str">
        <f>IFERROR(__xludf.DUMMYFUNCTION("""COMPUTED_VALUE"""),"Middle Tennessee")</f>
        <v>Middle Tennessee</v>
      </c>
      <c r="J112" t="str">
        <f>IFERROR(__xludf.DUMMYFUNCTION("""COMPUTED_VALUE"""),"Mississippi State")</f>
        <v>Mississippi State</v>
      </c>
      <c r="K112" t="str">
        <f>IFERROR(__xludf.DUMMYFUNCTION("""COMPUTED_VALUE"""),"Nevada")</f>
        <v>Nevada</v>
      </c>
      <c r="L112" t="str">
        <f>IFERROR(__xludf.DUMMYFUNCTION("""COMPUTED_VALUE"""),"New Mexico")</f>
        <v>New Mexico</v>
      </c>
      <c r="M112" t="str">
        <f>IFERROR(__xludf.DUMMYFUNCTION("""COMPUTED_VALUE"""),"Northwestern")</f>
        <v>Northwestern</v>
      </c>
      <c r="N112" t="str">
        <f>IFERROR(__xludf.DUMMYFUNCTION("""COMPUTED_VALUE"""),"Purdue")</f>
        <v>Purdue</v>
      </c>
      <c r="O112" t="str">
        <f>IFERROR(__xludf.DUMMYFUNCTION("""COMPUTED_VALUE"""),"Rice")</f>
        <v>Rice</v>
      </c>
      <c r="P112" t="str">
        <f>IFERROR(__xludf.DUMMYFUNCTION("""COMPUTED_VALUE"""),"Sam Houston")</f>
        <v>Sam Houston</v>
      </c>
      <c r="Q112" t="str">
        <f>IFERROR(__xludf.DUMMYFUNCTION("""COMPUTED_VALUE"""),"Southern Mississippi")</f>
        <v>Southern Mississippi</v>
      </c>
      <c r="R112" t="str">
        <f>IFERROR(__xludf.DUMMYFUNCTION("""COMPUTED_VALUE"""),"Stanford")</f>
        <v>Stanford</v>
      </c>
      <c r="S112" t="str">
        <f>IFERROR(__xludf.DUMMYFUNCTION("""COMPUTED_VALUE"""),"Syracuse")</f>
        <v>Syracuse</v>
      </c>
      <c r="T112" t="str">
        <f>IFERROR(__xludf.DUMMYFUNCTION("""COMPUTED_VALUE"""),"Temple")</f>
        <v>Temple</v>
      </c>
      <c r="U112" t="str">
        <f>IFERROR(__xludf.DUMMYFUNCTION("""COMPUTED_VALUE"""),"Tulsa")</f>
        <v>Tulsa</v>
      </c>
      <c r="V112" t="str">
        <f>IFERROR(__xludf.DUMMYFUNCTION("""COMPUTED_VALUE"""),"UCLA")</f>
        <v>UCLA</v>
      </c>
      <c r="W112" t="str">
        <f>IFERROR(__xludf.DUMMYFUNCTION("""COMPUTED_VALUE"""),"UL Monroe")</f>
        <v>UL Monroe</v>
      </c>
      <c r="X112" t="str">
        <f>IFERROR(__xludf.DUMMYFUNCTION("""COMPUTED_VALUE"""),"Wake Forest")</f>
        <v>Wake Forest</v>
      </c>
      <c r="Y112" t="str">
        <f>IFERROR(__xludf.DUMMYFUNCTION("""COMPUTED_VALUE"""),"Washington State")</f>
        <v>Washington State</v>
      </c>
      <c r="Z112" t="str">
        <f>IFERROR(__xludf.DUMMYFUNCTION("""COMPUTED_VALUE"""),"Wisconsin")</f>
        <v>Wisconsin</v>
      </c>
    </row>
    <row r="113">
      <c r="A113" s="1">
        <v>112.0</v>
      </c>
      <c r="B113" t="str">
        <f>IFERROR(__xludf.DUMMYFUNCTION("split(join("","",sort(byrow('Teams-Conference'!A$2:A1000,lambda(rw,if(iserror(match(rw,DraftTracker!F$1:F113,0)),rw,""""))),1,1)),"","",1,1)"),"Arizona")</f>
        <v>Arizona</v>
      </c>
      <c r="C113" t="str">
        <f>IFERROR(__xludf.DUMMYFUNCTION("""COMPUTED_VALUE"""),"Boston College")</f>
        <v>Boston College</v>
      </c>
      <c r="D113" t="str">
        <f>IFERROR(__xludf.DUMMYFUNCTION("""COMPUTED_VALUE"""),"Delaware")</f>
        <v>Delaware</v>
      </c>
      <c r="E113" t="str">
        <f>IFERROR(__xludf.DUMMYFUNCTION("""COMPUTED_VALUE"""),"Kennesaw State")</f>
        <v>Kennesaw State</v>
      </c>
      <c r="F113" t="str">
        <f>IFERROR(__xludf.DUMMYFUNCTION("""COMPUTED_VALUE"""),"Kent State")</f>
        <v>Kent State</v>
      </c>
      <c r="G113" t="str">
        <f>IFERROR(__xludf.DUMMYFUNCTION("""COMPUTED_VALUE"""),"Kentucky")</f>
        <v>Kentucky</v>
      </c>
      <c r="H113" t="str">
        <f>IFERROR(__xludf.DUMMYFUNCTION("""COMPUTED_VALUE"""),"Maryland")</f>
        <v>Maryland</v>
      </c>
      <c r="I113" t="str">
        <f>IFERROR(__xludf.DUMMYFUNCTION("""COMPUTED_VALUE"""),"Middle Tennessee")</f>
        <v>Middle Tennessee</v>
      </c>
      <c r="J113" t="str">
        <f>IFERROR(__xludf.DUMMYFUNCTION("""COMPUTED_VALUE"""),"Mississippi State")</f>
        <v>Mississippi State</v>
      </c>
      <c r="K113" t="str">
        <f>IFERROR(__xludf.DUMMYFUNCTION("""COMPUTED_VALUE"""),"New Mexico")</f>
        <v>New Mexico</v>
      </c>
      <c r="L113" t="str">
        <f>IFERROR(__xludf.DUMMYFUNCTION("""COMPUTED_VALUE"""),"Northwestern")</f>
        <v>Northwestern</v>
      </c>
      <c r="M113" t="str">
        <f>IFERROR(__xludf.DUMMYFUNCTION("""COMPUTED_VALUE"""),"Purdue")</f>
        <v>Purdue</v>
      </c>
      <c r="N113" t="str">
        <f>IFERROR(__xludf.DUMMYFUNCTION("""COMPUTED_VALUE"""),"Rice")</f>
        <v>Rice</v>
      </c>
      <c r="O113" t="str">
        <f>IFERROR(__xludf.DUMMYFUNCTION("""COMPUTED_VALUE"""),"Sam Houston")</f>
        <v>Sam Houston</v>
      </c>
      <c r="P113" t="str">
        <f>IFERROR(__xludf.DUMMYFUNCTION("""COMPUTED_VALUE"""),"Southern Mississippi")</f>
        <v>Southern Mississippi</v>
      </c>
      <c r="Q113" t="str">
        <f>IFERROR(__xludf.DUMMYFUNCTION("""COMPUTED_VALUE"""),"Stanford")</f>
        <v>Stanford</v>
      </c>
      <c r="R113" t="str">
        <f>IFERROR(__xludf.DUMMYFUNCTION("""COMPUTED_VALUE"""),"Syracuse")</f>
        <v>Syracuse</v>
      </c>
      <c r="S113" t="str">
        <f>IFERROR(__xludf.DUMMYFUNCTION("""COMPUTED_VALUE"""),"Temple")</f>
        <v>Temple</v>
      </c>
      <c r="T113" t="str">
        <f>IFERROR(__xludf.DUMMYFUNCTION("""COMPUTED_VALUE"""),"Tulsa")</f>
        <v>Tulsa</v>
      </c>
      <c r="U113" t="str">
        <f>IFERROR(__xludf.DUMMYFUNCTION("""COMPUTED_VALUE"""),"UCLA")</f>
        <v>UCLA</v>
      </c>
      <c r="V113" t="str">
        <f>IFERROR(__xludf.DUMMYFUNCTION("""COMPUTED_VALUE"""),"UL Monroe")</f>
        <v>UL Monroe</v>
      </c>
      <c r="W113" t="str">
        <f>IFERROR(__xludf.DUMMYFUNCTION("""COMPUTED_VALUE"""),"Wake Forest")</f>
        <v>Wake Forest</v>
      </c>
      <c r="X113" t="str">
        <f>IFERROR(__xludf.DUMMYFUNCTION("""COMPUTED_VALUE"""),"Washington State")</f>
        <v>Washington State</v>
      </c>
      <c r="Y113" t="str">
        <f>IFERROR(__xludf.DUMMYFUNCTION("""COMPUTED_VALUE"""),"Wisconsin")</f>
        <v>Wisconsin</v>
      </c>
    </row>
    <row r="114">
      <c r="A114" s="1">
        <v>113.0</v>
      </c>
      <c r="B114" t="str">
        <f>IFERROR(__xludf.DUMMYFUNCTION("split(join("","",sort(byrow('Teams-Conference'!A$2:A1000,lambda(rw,if(iserror(match(rw,DraftTracker!F$1:F114,0)),rw,""""))),1,1)),"","",1,1)"),"Arizona")</f>
        <v>Arizona</v>
      </c>
      <c r="C114" t="str">
        <f>IFERROR(__xludf.DUMMYFUNCTION("""COMPUTED_VALUE"""),"Boston College")</f>
        <v>Boston College</v>
      </c>
      <c r="D114" t="str">
        <f>IFERROR(__xludf.DUMMYFUNCTION("""COMPUTED_VALUE"""),"Delaware")</f>
        <v>Delaware</v>
      </c>
      <c r="E114" t="str">
        <f>IFERROR(__xludf.DUMMYFUNCTION("""COMPUTED_VALUE"""),"Kennesaw State")</f>
        <v>Kennesaw State</v>
      </c>
      <c r="F114" t="str">
        <f>IFERROR(__xludf.DUMMYFUNCTION("""COMPUTED_VALUE"""),"Kent State")</f>
        <v>Kent State</v>
      </c>
      <c r="G114" t="str">
        <f>IFERROR(__xludf.DUMMYFUNCTION("""COMPUTED_VALUE"""),"Kentucky")</f>
        <v>Kentucky</v>
      </c>
      <c r="H114" t="str">
        <f>IFERROR(__xludf.DUMMYFUNCTION("""COMPUTED_VALUE"""),"Maryland")</f>
        <v>Maryland</v>
      </c>
      <c r="I114" t="str">
        <f>IFERROR(__xludf.DUMMYFUNCTION("""COMPUTED_VALUE"""),"Middle Tennessee")</f>
        <v>Middle Tennessee</v>
      </c>
      <c r="J114" t="str">
        <f>IFERROR(__xludf.DUMMYFUNCTION("""COMPUTED_VALUE"""),"Mississippi State")</f>
        <v>Mississippi State</v>
      </c>
      <c r="K114" t="str">
        <f>IFERROR(__xludf.DUMMYFUNCTION("""COMPUTED_VALUE"""),"New Mexico")</f>
        <v>New Mexico</v>
      </c>
      <c r="L114" t="str">
        <f>IFERROR(__xludf.DUMMYFUNCTION("""COMPUTED_VALUE"""),"Northwestern")</f>
        <v>Northwestern</v>
      </c>
      <c r="M114" t="str">
        <f>IFERROR(__xludf.DUMMYFUNCTION("""COMPUTED_VALUE"""),"Purdue")</f>
        <v>Purdue</v>
      </c>
      <c r="N114" t="str">
        <f>IFERROR(__xludf.DUMMYFUNCTION("""COMPUTED_VALUE"""),"Rice")</f>
        <v>Rice</v>
      </c>
      <c r="O114" t="str">
        <f>IFERROR(__xludf.DUMMYFUNCTION("""COMPUTED_VALUE"""),"Sam Houston")</f>
        <v>Sam Houston</v>
      </c>
      <c r="P114" t="str">
        <f>IFERROR(__xludf.DUMMYFUNCTION("""COMPUTED_VALUE"""),"Southern Mississippi")</f>
        <v>Southern Mississippi</v>
      </c>
      <c r="Q114" t="str">
        <f>IFERROR(__xludf.DUMMYFUNCTION("""COMPUTED_VALUE"""),"Stanford")</f>
        <v>Stanford</v>
      </c>
      <c r="R114" t="str">
        <f>IFERROR(__xludf.DUMMYFUNCTION("""COMPUTED_VALUE"""),"Syracuse")</f>
        <v>Syracuse</v>
      </c>
      <c r="S114" t="str">
        <f>IFERROR(__xludf.DUMMYFUNCTION("""COMPUTED_VALUE"""),"Temple")</f>
        <v>Temple</v>
      </c>
      <c r="T114" t="str">
        <f>IFERROR(__xludf.DUMMYFUNCTION("""COMPUTED_VALUE"""),"Tulsa")</f>
        <v>Tulsa</v>
      </c>
      <c r="U114" t="str">
        <f>IFERROR(__xludf.DUMMYFUNCTION("""COMPUTED_VALUE"""),"UCLA")</f>
        <v>UCLA</v>
      </c>
      <c r="V114" t="str">
        <f>IFERROR(__xludf.DUMMYFUNCTION("""COMPUTED_VALUE"""),"UL Monroe")</f>
        <v>UL Monroe</v>
      </c>
      <c r="W114" t="str">
        <f>IFERROR(__xludf.DUMMYFUNCTION("""COMPUTED_VALUE"""),"Wake Forest")</f>
        <v>Wake Forest</v>
      </c>
      <c r="X114" t="str">
        <f>IFERROR(__xludf.DUMMYFUNCTION("""COMPUTED_VALUE"""),"Washington State")</f>
        <v>Washington State</v>
      </c>
    </row>
    <row r="115">
      <c r="A115" s="1">
        <v>114.0</v>
      </c>
      <c r="B115" t="str">
        <f>IFERROR(__xludf.DUMMYFUNCTION("split(join("","",sort(byrow('Teams-Conference'!A$2:A1000,lambda(rw,if(iserror(match(rw,DraftTracker!F$1:F115,0)),rw,""""))),1,1)),"","",1,1)"),"Arizona")</f>
        <v>Arizona</v>
      </c>
      <c r="C115" t="str">
        <f>IFERROR(__xludf.DUMMYFUNCTION("""COMPUTED_VALUE"""),"Boston College")</f>
        <v>Boston College</v>
      </c>
      <c r="D115" t="str">
        <f>IFERROR(__xludf.DUMMYFUNCTION("""COMPUTED_VALUE"""),"Delaware")</f>
        <v>Delaware</v>
      </c>
      <c r="E115" t="str">
        <f>IFERROR(__xludf.DUMMYFUNCTION("""COMPUTED_VALUE"""),"Kennesaw State")</f>
        <v>Kennesaw State</v>
      </c>
      <c r="F115" t="str">
        <f>IFERROR(__xludf.DUMMYFUNCTION("""COMPUTED_VALUE"""),"Kent State")</f>
        <v>Kent State</v>
      </c>
      <c r="G115" t="str">
        <f>IFERROR(__xludf.DUMMYFUNCTION("""COMPUTED_VALUE"""),"Kentucky")</f>
        <v>Kentucky</v>
      </c>
      <c r="H115" t="str">
        <f>IFERROR(__xludf.DUMMYFUNCTION("""COMPUTED_VALUE"""),"Maryland")</f>
        <v>Maryland</v>
      </c>
      <c r="I115" t="str">
        <f>IFERROR(__xludf.DUMMYFUNCTION("""COMPUTED_VALUE"""),"Mississippi State")</f>
        <v>Mississippi State</v>
      </c>
      <c r="J115" t="str">
        <f>IFERROR(__xludf.DUMMYFUNCTION("""COMPUTED_VALUE"""),"New Mexico")</f>
        <v>New Mexico</v>
      </c>
      <c r="K115" t="str">
        <f>IFERROR(__xludf.DUMMYFUNCTION("""COMPUTED_VALUE"""),"Northwestern")</f>
        <v>Northwestern</v>
      </c>
      <c r="L115" t="str">
        <f>IFERROR(__xludf.DUMMYFUNCTION("""COMPUTED_VALUE"""),"Purdue")</f>
        <v>Purdue</v>
      </c>
      <c r="M115" t="str">
        <f>IFERROR(__xludf.DUMMYFUNCTION("""COMPUTED_VALUE"""),"Rice")</f>
        <v>Rice</v>
      </c>
      <c r="N115" t="str">
        <f>IFERROR(__xludf.DUMMYFUNCTION("""COMPUTED_VALUE"""),"Sam Houston")</f>
        <v>Sam Houston</v>
      </c>
      <c r="O115" t="str">
        <f>IFERROR(__xludf.DUMMYFUNCTION("""COMPUTED_VALUE"""),"Southern Mississippi")</f>
        <v>Southern Mississippi</v>
      </c>
      <c r="P115" t="str">
        <f>IFERROR(__xludf.DUMMYFUNCTION("""COMPUTED_VALUE"""),"Stanford")</f>
        <v>Stanford</v>
      </c>
      <c r="Q115" t="str">
        <f>IFERROR(__xludf.DUMMYFUNCTION("""COMPUTED_VALUE"""),"Syracuse")</f>
        <v>Syracuse</v>
      </c>
      <c r="R115" t="str">
        <f>IFERROR(__xludf.DUMMYFUNCTION("""COMPUTED_VALUE"""),"Temple")</f>
        <v>Temple</v>
      </c>
      <c r="S115" t="str">
        <f>IFERROR(__xludf.DUMMYFUNCTION("""COMPUTED_VALUE"""),"Tulsa")</f>
        <v>Tulsa</v>
      </c>
      <c r="T115" t="str">
        <f>IFERROR(__xludf.DUMMYFUNCTION("""COMPUTED_VALUE"""),"UCLA")</f>
        <v>UCLA</v>
      </c>
      <c r="U115" t="str">
        <f>IFERROR(__xludf.DUMMYFUNCTION("""COMPUTED_VALUE"""),"UL Monroe")</f>
        <v>UL Monroe</v>
      </c>
      <c r="V115" t="str">
        <f>IFERROR(__xludf.DUMMYFUNCTION("""COMPUTED_VALUE"""),"Wake Forest")</f>
        <v>Wake Forest</v>
      </c>
      <c r="W115" t="str">
        <f>IFERROR(__xludf.DUMMYFUNCTION("""COMPUTED_VALUE"""),"Washington State")</f>
        <v>Washington State</v>
      </c>
    </row>
    <row r="116">
      <c r="A116" s="1">
        <v>115.0</v>
      </c>
      <c r="B116" t="str">
        <f>IFERROR(__xludf.DUMMYFUNCTION("split(join("","",sort(byrow('Teams-Conference'!A$2:A1000,lambda(rw,if(iserror(match(rw,DraftTracker!F$1:F116,0)),rw,""""))),1,1)),"","",1,1)"),"Arizona")</f>
        <v>Arizona</v>
      </c>
      <c r="C116" t="str">
        <f>IFERROR(__xludf.DUMMYFUNCTION("""COMPUTED_VALUE"""),"Boston College")</f>
        <v>Boston College</v>
      </c>
      <c r="D116" t="str">
        <f>IFERROR(__xludf.DUMMYFUNCTION("""COMPUTED_VALUE"""),"Kennesaw State")</f>
        <v>Kennesaw State</v>
      </c>
      <c r="E116" t="str">
        <f>IFERROR(__xludf.DUMMYFUNCTION("""COMPUTED_VALUE"""),"Kent State")</f>
        <v>Kent State</v>
      </c>
      <c r="F116" t="str">
        <f>IFERROR(__xludf.DUMMYFUNCTION("""COMPUTED_VALUE"""),"Kentucky")</f>
        <v>Kentucky</v>
      </c>
      <c r="G116" t="str">
        <f>IFERROR(__xludf.DUMMYFUNCTION("""COMPUTED_VALUE"""),"Maryland")</f>
        <v>Maryland</v>
      </c>
      <c r="H116" t="str">
        <f>IFERROR(__xludf.DUMMYFUNCTION("""COMPUTED_VALUE"""),"Mississippi State")</f>
        <v>Mississippi State</v>
      </c>
      <c r="I116" t="str">
        <f>IFERROR(__xludf.DUMMYFUNCTION("""COMPUTED_VALUE"""),"New Mexico")</f>
        <v>New Mexico</v>
      </c>
      <c r="J116" t="str">
        <f>IFERROR(__xludf.DUMMYFUNCTION("""COMPUTED_VALUE"""),"Northwestern")</f>
        <v>Northwestern</v>
      </c>
      <c r="K116" t="str">
        <f>IFERROR(__xludf.DUMMYFUNCTION("""COMPUTED_VALUE"""),"Purdue")</f>
        <v>Purdue</v>
      </c>
      <c r="L116" t="str">
        <f>IFERROR(__xludf.DUMMYFUNCTION("""COMPUTED_VALUE"""),"Rice")</f>
        <v>Rice</v>
      </c>
      <c r="M116" t="str">
        <f>IFERROR(__xludf.DUMMYFUNCTION("""COMPUTED_VALUE"""),"Sam Houston")</f>
        <v>Sam Houston</v>
      </c>
      <c r="N116" t="str">
        <f>IFERROR(__xludf.DUMMYFUNCTION("""COMPUTED_VALUE"""),"Southern Mississippi")</f>
        <v>Southern Mississippi</v>
      </c>
      <c r="O116" t="str">
        <f>IFERROR(__xludf.DUMMYFUNCTION("""COMPUTED_VALUE"""),"Stanford")</f>
        <v>Stanford</v>
      </c>
      <c r="P116" t="str">
        <f>IFERROR(__xludf.DUMMYFUNCTION("""COMPUTED_VALUE"""),"Syracuse")</f>
        <v>Syracuse</v>
      </c>
      <c r="Q116" t="str">
        <f>IFERROR(__xludf.DUMMYFUNCTION("""COMPUTED_VALUE"""),"Temple")</f>
        <v>Temple</v>
      </c>
      <c r="R116" t="str">
        <f>IFERROR(__xludf.DUMMYFUNCTION("""COMPUTED_VALUE"""),"Tulsa")</f>
        <v>Tulsa</v>
      </c>
      <c r="S116" t="str">
        <f>IFERROR(__xludf.DUMMYFUNCTION("""COMPUTED_VALUE"""),"UCLA")</f>
        <v>UCLA</v>
      </c>
      <c r="T116" t="str">
        <f>IFERROR(__xludf.DUMMYFUNCTION("""COMPUTED_VALUE"""),"UL Monroe")</f>
        <v>UL Monroe</v>
      </c>
      <c r="U116" t="str">
        <f>IFERROR(__xludf.DUMMYFUNCTION("""COMPUTED_VALUE"""),"Wake Forest")</f>
        <v>Wake Forest</v>
      </c>
      <c r="V116" t="str">
        <f>IFERROR(__xludf.DUMMYFUNCTION("""COMPUTED_VALUE"""),"Washington State")</f>
        <v>Washington State</v>
      </c>
    </row>
    <row r="117">
      <c r="A117" s="1">
        <v>116.0</v>
      </c>
      <c r="B117" t="str">
        <f>IFERROR(__xludf.DUMMYFUNCTION("split(join("","",sort(byrow('Teams-Conference'!A$2:A1000,lambda(rw,if(iserror(match(rw,DraftTracker!F$1:F117,0)),rw,""""))),1,1)),"","",1,1)"),"Arizona")</f>
        <v>Arizona</v>
      </c>
      <c r="C117" t="str">
        <f>IFERROR(__xludf.DUMMYFUNCTION("""COMPUTED_VALUE"""),"Boston College")</f>
        <v>Boston College</v>
      </c>
      <c r="D117" t="str">
        <f>IFERROR(__xludf.DUMMYFUNCTION("""COMPUTED_VALUE"""),"Kennesaw State")</f>
        <v>Kennesaw State</v>
      </c>
      <c r="E117" t="str">
        <f>IFERROR(__xludf.DUMMYFUNCTION("""COMPUTED_VALUE"""),"Kent State")</f>
        <v>Kent State</v>
      </c>
      <c r="F117" t="str">
        <f>IFERROR(__xludf.DUMMYFUNCTION("""COMPUTED_VALUE"""),"Kentucky")</f>
        <v>Kentucky</v>
      </c>
      <c r="G117" t="str">
        <f>IFERROR(__xludf.DUMMYFUNCTION("""COMPUTED_VALUE"""),"Maryland")</f>
        <v>Maryland</v>
      </c>
      <c r="H117" t="str">
        <f>IFERROR(__xludf.DUMMYFUNCTION("""COMPUTED_VALUE"""),"Mississippi State")</f>
        <v>Mississippi State</v>
      </c>
      <c r="I117" t="str">
        <f>IFERROR(__xludf.DUMMYFUNCTION("""COMPUTED_VALUE"""),"New Mexico")</f>
        <v>New Mexico</v>
      </c>
      <c r="J117" t="str">
        <f>IFERROR(__xludf.DUMMYFUNCTION("""COMPUTED_VALUE"""),"Northwestern")</f>
        <v>Northwestern</v>
      </c>
      <c r="K117" t="str">
        <f>IFERROR(__xludf.DUMMYFUNCTION("""COMPUTED_VALUE"""),"Purdue")</f>
        <v>Purdue</v>
      </c>
      <c r="L117" t="str">
        <f>IFERROR(__xludf.DUMMYFUNCTION("""COMPUTED_VALUE"""),"Rice")</f>
        <v>Rice</v>
      </c>
      <c r="M117" t="str">
        <f>IFERROR(__xludf.DUMMYFUNCTION("""COMPUTED_VALUE"""),"Southern Mississippi")</f>
        <v>Southern Mississippi</v>
      </c>
      <c r="N117" t="str">
        <f>IFERROR(__xludf.DUMMYFUNCTION("""COMPUTED_VALUE"""),"Stanford")</f>
        <v>Stanford</v>
      </c>
      <c r="O117" t="str">
        <f>IFERROR(__xludf.DUMMYFUNCTION("""COMPUTED_VALUE"""),"Syracuse")</f>
        <v>Syracuse</v>
      </c>
      <c r="P117" t="str">
        <f>IFERROR(__xludf.DUMMYFUNCTION("""COMPUTED_VALUE"""),"Temple")</f>
        <v>Temple</v>
      </c>
      <c r="Q117" t="str">
        <f>IFERROR(__xludf.DUMMYFUNCTION("""COMPUTED_VALUE"""),"Tulsa")</f>
        <v>Tulsa</v>
      </c>
      <c r="R117" t="str">
        <f>IFERROR(__xludf.DUMMYFUNCTION("""COMPUTED_VALUE"""),"UCLA")</f>
        <v>UCLA</v>
      </c>
      <c r="S117" t="str">
        <f>IFERROR(__xludf.DUMMYFUNCTION("""COMPUTED_VALUE"""),"UL Monroe")</f>
        <v>UL Monroe</v>
      </c>
      <c r="T117" t="str">
        <f>IFERROR(__xludf.DUMMYFUNCTION("""COMPUTED_VALUE"""),"Wake Forest")</f>
        <v>Wake Forest</v>
      </c>
      <c r="U117" t="str">
        <f>IFERROR(__xludf.DUMMYFUNCTION("""COMPUTED_VALUE"""),"Washington State")</f>
        <v>Washington State</v>
      </c>
    </row>
    <row r="118">
      <c r="A118" s="1">
        <v>117.0</v>
      </c>
      <c r="B118" t="str">
        <f>IFERROR(__xludf.DUMMYFUNCTION("split(join("","",sort(byrow('Teams-Conference'!A$2:A1000,lambda(rw,if(iserror(match(rw,DraftTracker!F$1:F118,0)),rw,""""))),1,1)),"","",1,1)"),"Arizona")</f>
        <v>Arizona</v>
      </c>
      <c r="C118" t="str">
        <f>IFERROR(__xludf.DUMMYFUNCTION("""COMPUTED_VALUE"""),"Boston College")</f>
        <v>Boston College</v>
      </c>
      <c r="D118" t="str">
        <f>IFERROR(__xludf.DUMMYFUNCTION("""COMPUTED_VALUE"""),"Kennesaw State")</f>
        <v>Kennesaw State</v>
      </c>
      <c r="E118" t="str">
        <f>IFERROR(__xludf.DUMMYFUNCTION("""COMPUTED_VALUE"""),"Kent State")</f>
        <v>Kent State</v>
      </c>
      <c r="F118" t="str">
        <f>IFERROR(__xludf.DUMMYFUNCTION("""COMPUTED_VALUE"""),"Kentucky")</f>
        <v>Kentucky</v>
      </c>
      <c r="G118" t="str">
        <f>IFERROR(__xludf.DUMMYFUNCTION("""COMPUTED_VALUE"""),"Maryland")</f>
        <v>Maryland</v>
      </c>
      <c r="H118" t="str">
        <f>IFERROR(__xludf.DUMMYFUNCTION("""COMPUTED_VALUE"""),"Mississippi State")</f>
        <v>Mississippi State</v>
      </c>
      <c r="I118" t="str">
        <f>IFERROR(__xludf.DUMMYFUNCTION("""COMPUTED_VALUE"""),"Northwestern")</f>
        <v>Northwestern</v>
      </c>
      <c r="J118" t="str">
        <f>IFERROR(__xludf.DUMMYFUNCTION("""COMPUTED_VALUE"""),"Purdue")</f>
        <v>Purdue</v>
      </c>
      <c r="K118" t="str">
        <f>IFERROR(__xludf.DUMMYFUNCTION("""COMPUTED_VALUE"""),"Rice")</f>
        <v>Rice</v>
      </c>
      <c r="L118" t="str">
        <f>IFERROR(__xludf.DUMMYFUNCTION("""COMPUTED_VALUE"""),"Southern Mississippi")</f>
        <v>Southern Mississippi</v>
      </c>
      <c r="M118" t="str">
        <f>IFERROR(__xludf.DUMMYFUNCTION("""COMPUTED_VALUE"""),"Stanford")</f>
        <v>Stanford</v>
      </c>
      <c r="N118" t="str">
        <f>IFERROR(__xludf.DUMMYFUNCTION("""COMPUTED_VALUE"""),"Syracuse")</f>
        <v>Syracuse</v>
      </c>
      <c r="O118" t="str">
        <f>IFERROR(__xludf.DUMMYFUNCTION("""COMPUTED_VALUE"""),"Temple")</f>
        <v>Temple</v>
      </c>
      <c r="P118" t="str">
        <f>IFERROR(__xludf.DUMMYFUNCTION("""COMPUTED_VALUE"""),"Tulsa")</f>
        <v>Tulsa</v>
      </c>
      <c r="Q118" t="str">
        <f>IFERROR(__xludf.DUMMYFUNCTION("""COMPUTED_VALUE"""),"UCLA")</f>
        <v>UCLA</v>
      </c>
      <c r="R118" t="str">
        <f>IFERROR(__xludf.DUMMYFUNCTION("""COMPUTED_VALUE"""),"UL Monroe")</f>
        <v>UL Monroe</v>
      </c>
      <c r="S118" t="str">
        <f>IFERROR(__xludf.DUMMYFUNCTION("""COMPUTED_VALUE"""),"Wake Forest")</f>
        <v>Wake Forest</v>
      </c>
      <c r="T118" t="str">
        <f>IFERROR(__xludf.DUMMYFUNCTION("""COMPUTED_VALUE"""),"Washington State")</f>
        <v>Washington State</v>
      </c>
    </row>
    <row r="119">
      <c r="A119" s="1">
        <v>118.0</v>
      </c>
      <c r="B119" t="str">
        <f>IFERROR(__xludf.DUMMYFUNCTION("split(join("","",sort(byrow('Teams-Conference'!A$2:A1000,lambda(rw,if(iserror(match(rw,DraftTracker!F$1:F119,0)),rw,""""))),1,1)),"","",1,1)"),"Arizona")</f>
        <v>Arizona</v>
      </c>
      <c r="C119" t="str">
        <f>IFERROR(__xludf.DUMMYFUNCTION("""COMPUTED_VALUE"""),"Boston College")</f>
        <v>Boston College</v>
      </c>
      <c r="D119" t="str">
        <f>IFERROR(__xludf.DUMMYFUNCTION("""COMPUTED_VALUE"""),"Kennesaw State")</f>
        <v>Kennesaw State</v>
      </c>
      <c r="E119" t="str">
        <f>IFERROR(__xludf.DUMMYFUNCTION("""COMPUTED_VALUE"""),"Kent State")</f>
        <v>Kent State</v>
      </c>
      <c r="F119" t="str">
        <f>IFERROR(__xludf.DUMMYFUNCTION("""COMPUTED_VALUE"""),"Kentucky")</f>
        <v>Kentucky</v>
      </c>
      <c r="G119" t="str">
        <f>IFERROR(__xludf.DUMMYFUNCTION("""COMPUTED_VALUE"""),"Maryland")</f>
        <v>Maryland</v>
      </c>
      <c r="H119" t="str">
        <f>IFERROR(__xludf.DUMMYFUNCTION("""COMPUTED_VALUE"""),"Mississippi State")</f>
        <v>Mississippi State</v>
      </c>
      <c r="I119" t="str">
        <f>IFERROR(__xludf.DUMMYFUNCTION("""COMPUTED_VALUE"""),"Northwestern")</f>
        <v>Northwestern</v>
      </c>
      <c r="J119" t="str">
        <f>IFERROR(__xludf.DUMMYFUNCTION("""COMPUTED_VALUE"""),"Purdue")</f>
        <v>Purdue</v>
      </c>
      <c r="K119" t="str">
        <f>IFERROR(__xludf.DUMMYFUNCTION("""COMPUTED_VALUE"""),"Rice")</f>
        <v>Rice</v>
      </c>
      <c r="L119" t="str">
        <f>IFERROR(__xludf.DUMMYFUNCTION("""COMPUTED_VALUE"""),"Southern Mississippi")</f>
        <v>Southern Mississippi</v>
      </c>
      <c r="M119" t="str">
        <f>IFERROR(__xludf.DUMMYFUNCTION("""COMPUTED_VALUE"""),"Stanford")</f>
        <v>Stanford</v>
      </c>
      <c r="N119" t="str">
        <f>IFERROR(__xludf.DUMMYFUNCTION("""COMPUTED_VALUE"""),"Syracuse")</f>
        <v>Syracuse</v>
      </c>
      <c r="O119" t="str">
        <f>IFERROR(__xludf.DUMMYFUNCTION("""COMPUTED_VALUE"""),"Temple")</f>
        <v>Temple</v>
      </c>
      <c r="P119" t="str">
        <f>IFERROR(__xludf.DUMMYFUNCTION("""COMPUTED_VALUE"""),"Tulsa")</f>
        <v>Tulsa</v>
      </c>
      <c r="Q119" t="str">
        <f>IFERROR(__xludf.DUMMYFUNCTION("""COMPUTED_VALUE"""),"UL Monroe")</f>
        <v>UL Monroe</v>
      </c>
      <c r="R119" t="str">
        <f>IFERROR(__xludf.DUMMYFUNCTION("""COMPUTED_VALUE"""),"Wake Forest")</f>
        <v>Wake Forest</v>
      </c>
      <c r="S119" t="str">
        <f>IFERROR(__xludf.DUMMYFUNCTION("""COMPUTED_VALUE"""),"Washington State")</f>
        <v>Washington State</v>
      </c>
    </row>
    <row r="120">
      <c r="A120" s="1">
        <v>119.0</v>
      </c>
      <c r="B120" t="str">
        <f>IFERROR(__xludf.DUMMYFUNCTION("split(join("","",sort(byrow('Teams-Conference'!A$2:A1000,lambda(rw,if(iserror(match(rw,DraftTracker!F$1:F120,0)),rw,""""))),1,1)),"","",1,1)"),"Arizona")</f>
        <v>Arizona</v>
      </c>
      <c r="C120" t="str">
        <f>IFERROR(__xludf.DUMMYFUNCTION("""COMPUTED_VALUE"""),"Boston College")</f>
        <v>Boston College</v>
      </c>
      <c r="D120" t="str">
        <f>IFERROR(__xludf.DUMMYFUNCTION("""COMPUTED_VALUE"""),"Kent State")</f>
        <v>Kent State</v>
      </c>
      <c r="E120" t="str">
        <f>IFERROR(__xludf.DUMMYFUNCTION("""COMPUTED_VALUE"""),"Kentucky")</f>
        <v>Kentucky</v>
      </c>
      <c r="F120" t="str">
        <f>IFERROR(__xludf.DUMMYFUNCTION("""COMPUTED_VALUE"""),"Maryland")</f>
        <v>Maryland</v>
      </c>
      <c r="G120" t="str">
        <f>IFERROR(__xludf.DUMMYFUNCTION("""COMPUTED_VALUE"""),"Mississippi State")</f>
        <v>Mississippi State</v>
      </c>
      <c r="H120" t="str">
        <f>IFERROR(__xludf.DUMMYFUNCTION("""COMPUTED_VALUE"""),"Northwestern")</f>
        <v>Northwestern</v>
      </c>
      <c r="I120" t="str">
        <f>IFERROR(__xludf.DUMMYFUNCTION("""COMPUTED_VALUE"""),"Purdue")</f>
        <v>Purdue</v>
      </c>
      <c r="J120" t="str">
        <f>IFERROR(__xludf.DUMMYFUNCTION("""COMPUTED_VALUE"""),"Rice")</f>
        <v>Rice</v>
      </c>
      <c r="K120" t="str">
        <f>IFERROR(__xludf.DUMMYFUNCTION("""COMPUTED_VALUE"""),"Southern Mississippi")</f>
        <v>Southern Mississippi</v>
      </c>
      <c r="L120" t="str">
        <f>IFERROR(__xludf.DUMMYFUNCTION("""COMPUTED_VALUE"""),"Stanford")</f>
        <v>Stanford</v>
      </c>
      <c r="M120" t="str">
        <f>IFERROR(__xludf.DUMMYFUNCTION("""COMPUTED_VALUE"""),"Syracuse")</f>
        <v>Syracuse</v>
      </c>
      <c r="N120" t="str">
        <f>IFERROR(__xludf.DUMMYFUNCTION("""COMPUTED_VALUE"""),"Temple")</f>
        <v>Temple</v>
      </c>
      <c r="O120" t="str">
        <f>IFERROR(__xludf.DUMMYFUNCTION("""COMPUTED_VALUE"""),"Tulsa")</f>
        <v>Tulsa</v>
      </c>
      <c r="P120" t="str">
        <f>IFERROR(__xludf.DUMMYFUNCTION("""COMPUTED_VALUE"""),"UL Monroe")</f>
        <v>UL Monroe</v>
      </c>
      <c r="Q120" t="str">
        <f>IFERROR(__xludf.DUMMYFUNCTION("""COMPUTED_VALUE"""),"Wake Forest")</f>
        <v>Wake Forest</v>
      </c>
      <c r="R120" t="str">
        <f>IFERROR(__xludf.DUMMYFUNCTION("""COMPUTED_VALUE"""),"Washington State")</f>
        <v>Washington State</v>
      </c>
    </row>
    <row r="121">
      <c r="A121" s="1">
        <v>120.0</v>
      </c>
      <c r="B121" t="str">
        <f>IFERROR(__xludf.DUMMYFUNCTION("split(join("","",sort(byrow('Teams-Conference'!A$2:A1000,lambda(rw,if(iserror(match(rw,DraftTracker!F$1:F121,0)),rw,""""))),1,1)),"","",1,1)"),"Arizona")</f>
        <v>Arizona</v>
      </c>
      <c r="C121" t="str">
        <f>IFERROR(__xludf.DUMMYFUNCTION("""COMPUTED_VALUE"""),"Boston College")</f>
        <v>Boston College</v>
      </c>
      <c r="D121" t="str">
        <f>IFERROR(__xludf.DUMMYFUNCTION("""COMPUTED_VALUE"""),"Kent State")</f>
        <v>Kent State</v>
      </c>
      <c r="E121" t="str">
        <f>IFERROR(__xludf.DUMMYFUNCTION("""COMPUTED_VALUE"""),"Kentucky")</f>
        <v>Kentucky</v>
      </c>
      <c r="F121" t="str">
        <f>IFERROR(__xludf.DUMMYFUNCTION("""COMPUTED_VALUE"""),"Maryland")</f>
        <v>Maryland</v>
      </c>
      <c r="G121" t="str">
        <f>IFERROR(__xludf.DUMMYFUNCTION("""COMPUTED_VALUE"""),"Mississippi State")</f>
        <v>Mississippi State</v>
      </c>
      <c r="H121" t="str">
        <f>IFERROR(__xludf.DUMMYFUNCTION("""COMPUTED_VALUE"""),"Northwestern")</f>
        <v>Northwestern</v>
      </c>
      <c r="I121" t="str">
        <f>IFERROR(__xludf.DUMMYFUNCTION("""COMPUTED_VALUE"""),"Purdue")</f>
        <v>Purdue</v>
      </c>
      <c r="J121" t="str">
        <f>IFERROR(__xludf.DUMMYFUNCTION("""COMPUTED_VALUE"""),"Southern Mississippi")</f>
        <v>Southern Mississippi</v>
      </c>
      <c r="K121" t="str">
        <f>IFERROR(__xludf.DUMMYFUNCTION("""COMPUTED_VALUE"""),"Stanford")</f>
        <v>Stanford</v>
      </c>
      <c r="L121" t="str">
        <f>IFERROR(__xludf.DUMMYFUNCTION("""COMPUTED_VALUE"""),"Syracuse")</f>
        <v>Syracuse</v>
      </c>
      <c r="M121" t="str">
        <f>IFERROR(__xludf.DUMMYFUNCTION("""COMPUTED_VALUE"""),"Temple")</f>
        <v>Temple</v>
      </c>
      <c r="N121" t="str">
        <f>IFERROR(__xludf.DUMMYFUNCTION("""COMPUTED_VALUE"""),"Tulsa")</f>
        <v>Tulsa</v>
      </c>
      <c r="O121" t="str">
        <f>IFERROR(__xludf.DUMMYFUNCTION("""COMPUTED_VALUE"""),"UL Monroe")</f>
        <v>UL Monroe</v>
      </c>
      <c r="P121" t="str">
        <f>IFERROR(__xludf.DUMMYFUNCTION("""COMPUTED_VALUE"""),"Wake Forest")</f>
        <v>Wake Forest</v>
      </c>
      <c r="Q121" t="str">
        <f>IFERROR(__xludf.DUMMYFUNCTION("""COMPUTED_VALUE"""),"Washington State")</f>
        <v>Washington State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41.0"/>
  </cols>
  <sheetData>
    <row r="1">
      <c r="A1" s="1" t="s">
        <v>633</v>
      </c>
      <c r="B1" s="1" t="s">
        <v>863</v>
      </c>
      <c r="C1" s="1" t="s">
        <v>864</v>
      </c>
    </row>
    <row r="2">
      <c r="A2" s="175" t="s">
        <v>156</v>
      </c>
      <c r="B2" s="175" t="s">
        <v>865</v>
      </c>
      <c r="C2" s="176" t="s">
        <v>866</v>
      </c>
    </row>
    <row r="3">
      <c r="A3" s="175" t="s">
        <v>395</v>
      </c>
      <c r="B3" s="175" t="s">
        <v>867</v>
      </c>
      <c r="C3" s="176" t="s">
        <v>868</v>
      </c>
    </row>
    <row r="4">
      <c r="A4" s="175" t="s">
        <v>95</v>
      </c>
      <c r="B4" s="175" t="s">
        <v>869</v>
      </c>
      <c r="C4" s="176" t="s">
        <v>868</v>
      </c>
    </row>
    <row r="5">
      <c r="A5" s="175" t="s">
        <v>238</v>
      </c>
      <c r="B5" s="175" t="s">
        <v>870</v>
      </c>
      <c r="C5" s="176" t="s">
        <v>868</v>
      </c>
    </row>
    <row r="6">
      <c r="A6" s="175" t="s">
        <v>311</v>
      </c>
      <c r="B6" s="175" t="s">
        <v>871</v>
      </c>
      <c r="C6" s="176" t="s">
        <v>868</v>
      </c>
    </row>
    <row r="7">
      <c r="A7" s="175" t="s">
        <v>96</v>
      </c>
      <c r="B7" s="175" t="s">
        <v>872</v>
      </c>
      <c r="C7" s="176" t="s">
        <v>866</v>
      </c>
    </row>
    <row r="8">
      <c r="A8" s="175" t="s">
        <v>224</v>
      </c>
      <c r="B8" s="175" t="s">
        <v>873</v>
      </c>
      <c r="C8" s="176" t="s">
        <v>868</v>
      </c>
    </row>
    <row r="9">
      <c r="A9" s="175" t="s">
        <v>249</v>
      </c>
      <c r="B9" s="175" t="s">
        <v>874</v>
      </c>
      <c r="C9" s="176" t="s">
        <v>868</v>
      </c>
    </row>
    <row r="10">
      <c r="A10" s="175" t="s">
        <v>193</v>
      </c>
      <c r="B10" s="175" t="s">
        <v>875</v>
      </c>
      <c r="C10" s="176" t="s">
        <v>868</v>
      </c>
    </row>
    <row r="11">
      <c r="A11" s="175" t="s">
        <v>43</v>
      </c>
      <c r="B11" s="175" t="s">
        <v>876</v>
      </c>
      <c r="C11" s="176" t="s">
        <v>868</v>
      </c>
    </row>
    <row r="12">
      <c r="A12" s="175" t="s">
        <v>132</v>
      </c>
      <c r="B12" s="175" t="s">
        <v>877</v>
      </c>
      <c r="C12" s="176" t="s">
        <v>866</v>
      </c>
    </row>
    <row r="13">
      <c r="A13" s="175" t="s">
        <v>62</v>
      </c>
      <c r="B13" s="175" t="s">
        <v>878</v>
      </c>
      <c r="C13" s="176" t="s">
        <v>866</v>
      </c>
    </row>
    <row r="14">
      <c r="A14" s="175"/>
      <c r="B14" s="175"/>
      <c r="C14" s="176"/>
    </row>
  </sheetData>
  <autoFilter ref="$A$1:$C$13">
    <sortState ref="A1:C13">
      <sortCondition ref="A1:A13"/>
    </sortState>
  </autoFilter>
  <dataValidations>
    <dataValidation type="list" allowBlank="1" showErrorMessage="1" sqref="C2:C14">
      <formula1>"All Picks,Only when I make a pick and it's my turn to pick"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.88"/>
    <col customWidth="1" min="3" max="3" width="8.0"/>
    <col customWidth="1" min="4" max="4" width="7.63"/>
    <col customWidth="1" min="5" max="5" width="4.5"/>
    <col customWidth="1" min="6" max="6" width="19.5"/>
  </cols>
  <sheetData>
    <row r="1">
      <c r="A1" s="1" t="s">
        <v>879</v>
      </c>
      <c r="B1" s="1" t="s">
        <v>880</v>
      </c>
      <c r="C1" s="1" t="s">
        <v>881</v>
      </c>
      <c r="D1" s="1" t="s">
        <v>882</v>
      </c>
      <c r="E1" s="1" t="s">
        <v>883</v>
      </c>
      <c r="F1" s="1" t="s">
        <v>884</v>
      </c>
    </row>
    <row r="2">
      <c r="A2" s="1">
        <v>2025.0</v>
      </c>
      <c r="B2" s="1">
        <v>12.0</v>
      </c>
      <c r="C2" s="177">
        <v>45876.0</v>
      </c>
      <c r="D2" s="177">
        <v>45886.0</v>
      </c>
      <c r="E2" s="1">
        <f t="shared" ref="E2:E12" si="1">D2-C2</f>
        <v>10</v>
      </c>
      <c r="F2" s="1" t="s">
        <v>885</v>
      </c>
    </row>
    <row r="3">
      <c r="A3" s="1">
        <v>2024.0</v>
      </c>
      <c r="B3" s="1">
        <v>13.0</v>
      </c>
      <c r="C3" s="177">
        <v>45518.0</v>
      </c>
      <c r="D3" s="177">
        <v>45528.0</v>
      </c>
      <c r="E3" s="1">
        <f t="shared" si="1"/>
        <v>10</v>
      </c>
      <c r="F3" s="1"/>
    </row>
    <row r="4">
      <c r="A4" s="1">
        <v>2023.0</v>
      </c>
      <c r="B4" s="1">
        <v>13.0</v>
      </c>
      <c r="C4" s="177">
        <v>45149.0</v>
      </c>
      <c r="D4" s="177">
        <v>45163.0</v>
      </c>
      <c r="E4" s="1">
        <f t="shared" si="1"/>
        <v>14</v>
      </c>
      <c r="F4" s="1"/>
    </row>
    <row r="5">
      <c r="A5" s="1">
        <v>2022.0</v>
      </c>
      <c r="B5" s="1">
        <v>13.0</v>
      </c>
      <c r="C5" s="177">
        <v>44781.0</v>
      </c>
      <c r="D5" s="177">
        <v>44788.0</v>
      </c>
      <c r="E5" s="1">
        <f t="shared" si="1"/>
        <v>7</v>
      </c>
      <c r="F5" s="1"/>
    </row>
    <row r="6">
      <c r="A6" s="1">
        <v>2021.0</v>
      </c>
      <c r="B6" s="1">
        <v>13.0</v>
      </c>
      <c r="C6" s="177">
        <v>44422.0</v>
      </c>
      <c r="D6" s="177">
        <v>44428.0</v>
      </c>
      <c r="E6" s="1">
        <f t="shared" si="1"/>
        <v>6</v>
      </c>
      <c r="F6" s="1" t="s">
        <v>886</v>
      </c>
    </row>
    <row r="7">
      <c r="A7" s="1">
        <v>2019.0</v>
      </c>
      <c r="B7" s="1">
        <v>12.0</v>
      </c>
      <c r="C7" s="177">
        <v>43689.0</v>
      </c>
      <c r="D7" s="177">
        <v>43695.0</v>
      </c>
      <c r="E7" s="1">
        <f t="shared" si="1"/>
        <v>6</v>
      </c>
      <c r="F7" s="1" t="s">
        <v>886</v>
      </c>
    </row>
    <row r="8">
      <c r="A8" s="1">
        <v>2018.0</v>
      </c>
      <c r="B8" s="1">
        <v>12.0</v>
      </c>
      <c r="C8" s="177">
        <v>43318.0</v>
      </c>
      <c r="D8" s="177">
        <v>43330.0</v>
      </c>
      <c r="E8" s="1">
        <f t="shared" si="1"/>
        <v>12</v>
      </c>
      <c r="F8" s="1" t="s">
        <v>886</v>
      </c>
    </row>
    <row r="9">
      <c r="A9" s="1">
        <v>2017.0</v>
      </c>
      <c r="B9" s="1">
        <v>12.0</v>
      </c>
      <c r="C9" s="177">
        <v>42965.0</v>
      </c>
      <c r="D9" s="177">
        <v>42971.0</v>
      </c>
      <c r="E9" s="1">
        <f t="shared" si="1"/>
        <v>6</v>
      </c>
      <c r="F9" s="1" t="s">
        <v>887</v>
      </c>
    </row>
    <row r="10">
      <c r="A10" s="1">
        <v>2016.0</v>
      </c>
      <c r="B10" s="1">
        <v>10.0</v>
      </c>
      <c r="C10" s="177">
        <v>42602.0</v>
      </c>
      <c r="D10" s="177">
        <v>42608.0</v>
      </c>
      <c r="E10" s="1">
        <f t="shared" si="1"/>
        <v>6</v>
      </c>
      <c r="F10" s="1" t="s">
        <v>888</v>
      </c>
    </row>
    <row r="11">
      <c r="A11" s="1">
        <v>2015.0</v>
      </c>
      <c r="B11" s="1">
        <v>10.0</v>
      </c>
      <c r="C11" s="177">
        <v>42239.0</v>
      </c>
      <c r="D11" s="177">
        <v>42246.0</v>
      </c>
      <c r="E11" s="1">
        <f t="shared" si="1"/>
        <v>7</v>
      </c>
      <c r="F11" s="1" t="s">
        <v>888</v>
      </c>
    </row>
    <row r="12">
      <c r="A12" s="1">
        <v>2014.0</v>
      </c>
      <c r="B12" s="1">
        <v>10.0</v>
      </c>
      <c r="C12" s="177">
        <v>41859.0</v>
      </c>
      <c r="D12" s="177">
        <v>41863.0</v>
      </c>
      <c r="E12" s="1">
        <f t="shared" si="1"/>
        <v>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26.63"/>
    <col customWidth="1" min="3" max="3" width="27.38"/>
    <col customWidth="1" min="4" max="4" width="12.88"/>
    <col customWidth="1" min="5" max="5" width="22.63"/>
    <col customWidth="1" min="6" max="6" width="7.38"/>
    <col customWidth="1" min="7" max="7" width="6.88"/>
    <col customWidth="1" hidden="1" min="8" max="8" width="18.5"/>
    <col customWidth="1" hidden="1" min="9" max="9" width="7.63"/>
    <col customWidth="1" hidden="1" min="10" max="19" width="4.5"/>
  </cols>
  <sheetData>
    <row r="1">
      <c r="A1" s="178" t="s">
        <v>889</v>
      </c>
      <c r="B1" s="178" t="s">
        <v>18</v>
      </c>
      <c r="C1" s="179" t="s">
        <v>890</v>
      </c>
      <c r="D1" s="178" t="s">
        <v>891</v>
      </c>
      <c r="E1" s="180" t="s">
        <v>892</v>
      </c>
      <c r="F1" s="181" t="s">
        <v>22</v>
      </c>
      <c r="G1" s="178" t="s">
        <v>27</v>
      </c>
      <c r="H1" s="178" t="s">
        <v>32</v>
      </c>
      <c r="I1" s="180" t="s">
        <v>893</v>
      </c>
      <c r="J1" s="180" t="s">
        <v>894</v>
      </c>
      <c r="K1" s="180" t="s">
        <v>895</v>
      </c>
      <c r="L1" s="180" t="s">
        <v>896</v>
      </c>
      <c r="M1" s="180" t="s">
        <v>897</v>
      </c>
      <c r="N1" s="180"/>
      <c r="O1" s="180"/>
      <c r="P1" s="180"/>
      <c r="Q1" s="180"/>
      <c r="R1" s="180"/>
      <c r="S1" s="180"/>
    </row>
    <row r="2">
      <c r="A2" s="182" t="str">
        <f>IFERROR(__xludf.DUMMYFUNCTION("iferror(sort({FILTER('Current Week'!F:G,'Current Week'!Q:Q=FALSE,'Current Week'!F:F&lt;&gt;"""",'Current Week'!R:R&lt;100),ARRAYFORMULA(if(FILTER('Current Week'!H:H,'Current Week'!Q:Q=FALSE,'Current Week'!F:F&lt;&gt;"""",'Current Week'!R:R&lt;100)="""","""",FILTER('Current"&amp;" Week'!H:H,'Current Week'!Q:Q=FALSE,'Current Week'!F:F&lt;&gt;"""",'Current Week'!R:R&lt;100)&amp;"" vs "")&amp;FILTER('Current Week'!B:B,'Current Week'!Q:Q=FALSE,'Current Week'!F:F&lt;&gt;"""",'Current Week'!R:R&lt;100)),FILTER('Current Week'!I:I,'Current Week'!Q:Q=FALSE,'Current"&amp;" Week'!F:F&lt;&gt;"""",'Current Week'!R:R&lt;100),FILTER('Current Week'!C:C,'Current Week'!Q:Q=FALSE,'Current Week'!F:F&lt;&gt;"""",'Current Week'!R:R&lt;100),FILTER('Current Week'!J:K,'Current Week'!Q:Q=FALSE,'Current Week'!F:F&lt;&gt;"""",'Current Week'!R:R&lt;100),FILTER('Curren"&amp;"t Week'!R:R,'Current Week'!Q:Q=FALSE,'Current Week'!F:F&lt;&gt;"""",'Current Week'!R:R&lt;100),FILTER('Current Week'!P:P,'Current Week'!Q:Q=FALSE,'Current Week'!F:F&lt;&gt;"""",'Current Week'!R:R&lt;100)},9,1,8,1,2,1),""No Active Games"")"),"No Active Games")</f>
        <v>No Active Games</v>
      </c>
      <c r="B2" s="182" t="str">
        <f>IFERROR(__xludf.DUMMYFUNCTION("""COMPUTED_VALUE"""),"No Active Games")</f>
        <v>No Active Games</v>
      </c>
      <c r="C2" s="183" t="str">
        <f>IFERROR(__xludf.DUMMYFUNCTION("""COMPUTED_VALUE"""),"No Active Games")</f>
        <v>No Active Games</v>
      </c>
      <c r="D2" s="182" t="str">
        <f>IFERROR(__xludf.DUMMYFUNCTION("""COMPUTED_VALUE"""),"No Active Games")</f>
        <v>No Active Games</v>
      </c>
      <c r="E2" s="184" t="str">
        <f>IFERROR(__xludf.DUMMYFUNCTION("""COMPUTED_VALUE"""),"No Active Games")</f>
        <v>No Active Games</v>
      </c>
      <c r="F2" s="182" t="str">
        <f>IFERROR(__xludf.DUMMYFUNCTION("""COMPUTED_VALUE"""),"No Active Games")</f>
        <v>No Active Games</v>
      </c>
      <c r="G2" s="185" t="str">
        <f>IFERROR(__xludf.DUMMYFUNCTION("""COMPUTED_VALUE"""),"No Active Games")</f>
        <v>No Active Games</v>
      </c>
      <c r="H2" s="185"/>
      <c r="I2" s="185"/>
      <c r="J2" s="185" t="str">
        <f>IFERROR(__xludf.DUMMYFUNCTION("arrayformula(if(A2:A586="""","""",REGEXEXTRACT(A2:A586,E2:E586&amp;"" (\d*)"")))"),"#N/A")</f>
        <v>#N/A</v>
      </c>
      <c r="K2" s="185" t="str">
        <f>IFERROR(__xludf.DUMMYFUNCTION("arrayformula(if(A2:A586="""","""",REGEXEXTRACT(mid(A2:A586,if(FIND(E2:E586,A2:A586)=1,len(E2:E586)+1,1),99),""\w+ (\d+)"")))"),"#N/A")</f>
        <v>#N/A</v>
      </c>
      <c r="L2" s="185" t="str">
        <f t="array" ref="L2:L586">if(A2:A586="","",J2:J586-K2:K586)</f>
        <v>#N/A</v>
      </c>
      <c r="M2" s="185" t="str">
        <f t="array" ref="M2:M586">if(A2:A586="","",if(F2:F586="",-30,F2:F586))</f>
        <v>No Active Games</v>
      </c>
      <c r="N2" s="185"/>
      <c r="O2" s="185"/>
      <c r="P2" s="185"/>
      <c r="Q2" s="185"/>
      <c r="R2" s="185"/>
      <c r="S2" s="185"/>
    </row>
    <row r="3">
      <c r="A3" s="182"/>
      <c r="B3" s="182"/>
      <c r="C3" s="183"/>
      <c r="D3" s="182"/>
      <c r="E3" s="184"/>
      <c r="F3" s="182"/>
      <c r="G3" s="185"/>
      <c r="H3" s="185"/>
      <c r="I3" s="185"/>
      <c r="J3" s="185" t="str">
        <f>IFERROR(__xludf.DUMMYFUNCTION("""COMPUTED_VALUE"""),"")</f>
        <v/>
      </c>
      <c r="K3" s="185" t="str">
        <f>IFERROR(__xludf.DUMMYFUNCTION("""COMPUTED_VALUE"""),"")</f>
        <v/>
      </c>
      <c r="L3" s="185" t="s">
        <v>898</v>
      </c>
      <c r="M3" s="185" t="s">
        <v>898</v>
      </c>
      <c r="N3" s="185"/>
      <c r="O3" s="185"/>
      <c r="P3" s="185"/>
      <c r="Q3" s="185"/>
      <c r="R3" s="185"/>
      <c r="S3" s="185"/>
    </row>
    <row r="4">
      <c r="A4" s="182"/>
      <c r="B4" s="182"/>
      <c r="C4" s="183"/>
      <c r="D4" s="182"/>
      <c r="E4" s="184"/>
      <c r="F4" s="182"/>
      <c r="G4" s="185"/>
      <c r="H4" s="185"/>
      <c r="I4" s="185"/>
      <c r="J4" s="185" t="str">
        <f>IFERROR(__xludf.DUMMYFUNCTION("""COMPUTED_VALUE"""),"")</f>
        <v/>
      </c>
      <c r="K4" s="185" t="str">
        <f>IFERROR(__xludf.DUMMYFUNCTION("""COMPUTED_VALUE"""),"")</f>
        <v/>
      </c>
      <c r="L4" s="185" t="s">
        <v>898</v>
      </c>
      <c r="M4" s="185" t="s">
        <v>898</v>
      </c>
      <c r="N4" s="185"/>
      <c r="O4" s="185"/>
      <c r="P4" s="185"/>
      <c r="Q4" s="185"/>
      <c r="R4" s="185"/>
      <c r="S4" s="185"/>
    </row>
    <row r="5">
      <c r="A5" s="182"/>
      <c r="B5" s="182"/>
      <c r="C5" s="183"/>
      <c r="D5" s="182"/>
      <c r="E5" s="184"/>
      <c r="F5" s="182"/>
      <c r="G5" s="185"/>
      <c r="H5" s="185"/>
      <c r="I5" s="185"/>
      <c r="J5" s="185" t="str">
        <f>IFERROR(__xludf.DUMMYFUNCTION("""COMPUTED_VALUE"""),"")</f>
        <v/>
      </c>
      <c r="K5" s="185" t="str">
        <f>IFERROR(__xludf.DUMMYFUNCTION("""COMPUTED_VALUE"""),"")</f>
        <v/>
      </c>
      <c r="L5" s="185" t="s">
        <v>898</v>
      </c>
      <c r="M5" s="185" t="s">
        <v>898</v>
      </c>
      <c r="N5" s="185"/>
      <c r="O5" s="185"/>
      <c r="P5" s="185"/>
      <c r="Q5" s="185"/>
      <c r="R5" s="185"/>
      <c r="S5" s="185"/>
    </row>
    <row r="6">
      <c r="A6" s="182"/>
      <c r="B6" s="182"/>
      <c r="C6" s="183"/>
      <c r="D6" s="182"/>
      <c r="E6" s="184"/>
      <c r="F6" s="182"/>
      <c r="G6" s="185"/>
      <c r="H6" s="185"/>
      <c r="I6" s="185"/>
      <c r="J6" s="185" t="str">
        <f>IFERROR(__xludf.DUMMYFUNCTION("""COMPUTED_VALUE"""),"")</f>
        <v/>
      </c>
      <c r="K6" s="185" t="str">
        <f>IFERROR(__xludf.DUMMYFUNCTION("""COMPUTED_VALUE"""),"")</f>
        <v/>
      </c>
      <c r="L6" s="185" t="s">
        <v>898</v>
      </c>
      <c r="M6" s="185" t="s">
        <v>898</v>
      </c>
      <c r="N6" s="185"/>
      <c r="O6" s="185"/>
      <c r="P6" s="185"/>
      <c r="Q6" s="185"/>
      <c r="R6" s="185"/>
      <c r="S6" s="185"/>
    </row>
    <row r="7">
      <c r="A7" s="182"/>
      <c r="B7" s="182"/>
      <c r="C7" s="183"/>
      <c r="D7" s="182"/>
      <c r="E7" s="184"/>
      <c r="F7" s="182"/>
      <c r="G7" s="185"/>
      <c r="H7" s="185"/>
      <c r="I7" s="185"/>
      <c r="J7" s="185" t="str">
        <f>IFERROR(__xludf.DUMMYFUNCTION("""COMPUTED_VALUE"""),"")</f>
        <v/>
      </c>
      <c r="K7" s="185" t="str">
        <f>IFERROR(__xludf.DUMMYFUNCTION("""COMPUTED_VALUE"""),"")</f>
        <v/>
      </c>
      <c r="L7" s="185" t="s">
        <v>898</v>
      </c>
      <c r="M7" s="185" t="s">
        <v>898</v>
      </c>
      <c r="N7" s="185"/>
      <c r="O7" s="185"/>
      <c r="P7" s="185"/>
      <c r="Q7" s="185"/>
      <c r="R7" s="185"/>
      <c r="S7" s="185"/>
    </row>
    <row r="8">
      <c r="A8" s="182"/>
      <c r="B8" s="182"/>
      <c r="C8" s="183"/>
      <c r="D8" s="182"/>
      <c r="E8" s="184"/>
      <c r="F8" s="182"/>
      <c r="G8" s="185"/>
      <c r="H8" s="185"/>
      <c r="I8" s="185"/>
      <c r="J8" s="185" t="str">
        <f>IFERROR(__xludf.DUMMYFUNCTION("""COMPUTED_VALUE"""),"")</f>
        <v/>
      </c>
      <c r="K8" s="185" t="str">
        <f>IFERROR(__xludf.DUMMYFUNCTION("""COMPUTED_VALUE"""),"")</f>
        <v/>
      </c>
      <c r="L8" s="185" t="s">
        <v>898</v>
      </c>
      <c r="M8" s="185" t="s">
        <v>898</v>
      </c>
      <c r="N8" s="185"/>
      <c r="O8" s="185"/>
      <c r="P8" s="185"/>
      <c r="Q8" s="185"/>
      <c r="R8" s="185"/>
      <c r="S8" s="185"/>
    </row>
    <row r="9">
      <c r="A9" s="182"/>
      <c r="B9" s="182"/>
      <c r="C9" s="183"/>
      <c r="D9" s="182"/>
      <c r="E9" s="184"/>
      <c r="F9" s="182"/>
      <c r="G9" s="185"/>
      <c r="H9" s="185"/>
      <c r="I9" s="185"/>
      <c r="J9" s="185" t="str">
        <f>IFERROR(__xludf.DUMMYFUNCTION("""COMPUTED_VALUE"""),"")</f>
        <v/>
      </c>
      <c r="K9" s="185" t="str">
        <f>IFERROR(__xludf.DUMMYFUNCTION("""COMPUTED_VALUE"""),"")</f>
        <v/>
      </c>
      <c r="L9" s="185" t="s">
        <v>898</v>
      </c>
      <c r="M9" s="185" t="s">
        <v>898</v>
      </c>
      <c r="N9" s="185"/>
      <c r="O9" s="185"/>
      <c r="P9" s="185"/>
      <c r="Q9" s="185"/>
      <c r="R9" s="185"/>
      <c r="S9" s="185"/>
    </row>
    <row r="10">
      <c r="A10" s="182"/>
      <c r="B10" s="182"/>
      <c r="C10" s="183"/>
      <c r="D10" s="182"/>
      <c r="E10" s="184"/>
      <c r="F10" s="182"/>
      <c r="G10" s="185"/>
      <c r="H10" s="185"/>
      <c r="I10" s="185"/>
      <c r="J10" s="185" t="str">
        <f>IFERROR(__xludf.DUMMYFUNCTION("""COMPUTED_VALUE"""),"")</f>
        <v/>
      </c>
      <c r="K10" s="185" t="str">
        <f>IFERROR(__xludf.DUMMYFUNCTION("""COMPUTED_VALUE"""),"")</f>
        <v/>
      </c>
      <c r="L10" s="185" t="s">
        <v>898</v>
      </c>
      <c r="M10" s="185" t="s">
        <v>898</v>
      </c>
      <c r="N10" s="185"/>
      <c r="O10" s="185"/>
      <c r="P10" s="185"/>
      <c r="Q10" s="185"/>
      <c r="R10" s="185"/>
      <c r="S10" s="185"/>
    </row>
    <row r="11">
      <c r="A11" s="182"/>
      <c r="B11" s="182"/>
      <c r="C11" s="183"/>
      <c r="D11" s="182"/>
      <c r="E11" s="184"/>
      <c r="F11" s="182"/>
      <c r="G11" s="185"/>
      <c r="H11" s="185"/>
      <c r="I11" s="185"/>
      <c r="J11" s="185" t="str">
        <f>IFERROR(__xludf.DUMMYFUNCTION("""COMPUTED_VALUE"""),"")</f>
        <v/>
      </c>
      <c r="K11" s="185" t="str">
        <f>IFERROR(__xludf.DUMMYFUNCTION("""COMPUTED_VALUE"""),"")</f>
        <v/>
      </c>
      <c r="L11" s="185" t="s">
        <v>898</v>
      </c>
      <c r="M11" s="185" t="s">
        <v>898</v>
      </c>
      <c r="N11" s="185"/>
      <c r="O11" s="185"/>
      <c r="P11" s="185"/>
      <c r="Q11" s="185"/>
      <c r="R11" s="185"/>
      <c r="S11" s="185"/>
    </row>
    <row r="12">
      <c r="A12" s="182"/>
      <c r="B12" s="182"/>
      <c r="C12" s="183"/>
      <c r="D12" s="182"/>
      <c r="E12" s="184"/>
      <c r="F12" s="182"/>
      <c r="G12" s="185"/>
      <c r="H12" s="185"/>
      <c r="I12" s="185"/>
      <c r="J12" s="185" t="str">
        <f>IFERROR(__xludf.DUMMYFUNCTION("""COMPUTED_VALUE"""),"")</f>
        <v/>
      </c>
      <c r="K12" s="185" t="str">
        <f>IFERROR(__xludf.DUMMYFUNCTION("""COMPUTED_VALUE"""),"")</f>
        <v/>
      </c>
      <c r="L12" s="185" t="s">
        <v>898</v>
      </c>
      <c r="M12" s="185" t="s">
        <v>898</v>
      </c>
      <c r="N12" s="185"/>
      <c r="O12" s="185"/>
      <c r="P12" s="185"/>
      <c r="Q12" s="185"/>
      <c r="R12" s="185"/>
      <c r="S12" s="185"/>
    </row>
    <row r="13">
      <c r="A13" s="182"/>
      <c r="B13" s="182"/>
      <c r="C13" s="183"/>
      <c r="D13" s="182"/>
      <c r="E13" s="184"/>
      <c r="F13" s="182"/>
      <c r="G13" s="185"/>
      <c r="H13" s="185"/>
      <c r="I13" s="185"/>
      <c r="J13" s="185" t="str">
        <f>IFERROR(__xludf.DUMMYFUNCTION("""COMPUTED_VALUE"""),"")</f>
        <v/>
      </c>
      <c r="K13" s="185" t="str">
        <f>IFERROR(__xludf.DUMMYFUNCTION("""COMPUTED_VALUE"""),"")</f>
        <v/>
      </c>
      <c r="L13" s="185" t="s">
        <v>898</v>
      </c>
      <c r="M13" s="185" t="s">
        <v>898</v>
      </c>
      <c r="N13" s="185"/>
      <c r="O13" s="185"/>
      <c r="P13" s="185"/>
      <c r="Q13" s="185"/>
      <c r="R13" s="185"/>
      <c r="S13" s="185"/>
    </row>
    <row r="14">
      <c r="A14" s="182"/>
      <c r="B14" s="182"/>
      <c r="C14" s="183"/>
      <c r="D14" s="182"/>
      <c r="E14" s="184"/>
      <c r="F14" s="182"/>
      <c r="G14" s="185"/>
      <c r="H14" s="185"/>
      <c r="I14" s="185"/>
      <c r="J14" s="185" t="str">
        <f>IFERROR(__xludf.DUMMYFUNCTION("""COMPUTED_VALUE"""),"")</f>
        <v/>
      </c>
      <c r="K14" s="185" t="str">
        <f>IFERROR(__xludf.DUMMYFUNCTION("""COMPUTED_VALUE"""),"")</f>
        <v/>
      </c>
      <c r="L14" s="185" t="s">
        <v>898</v>
      </c>
      <c r="M14" s="185" t="s">
        <v>898</v>
      </c>
      <c r="N14" s="185"/>
      <c r="O14" s="185"/>
      <c r="P14" s="185"/>
      <c r="Q14" s="185"/>
      <c r="R14" s="185"/>
      <c r="S14" s="185"/>
    </row>
    <row r="15">
      <c r="A15" s="182"/>
      <c r="B15" s="182"/>
      <c r="C15" s="183"/>
      <c r="D15" s="182"/>
      <c r="E15" s="184"/>
      <c r="F15" s="182"/>
      <c r="G15" s="185"/>
      <c r="H15" s="185"/>
      <c r="I15" s="185"/>
      <c r="J15" s="185" t="str">
        <f>IFERROR(__xludf.DUMMYFUNCTION("""COMPUTED_VALUE"""),"")</f>
        <v/>
      </c>
      <c r="K15" s="185" t="str">
        <f>IFERROR(__xludf.DUMMYFUNCTION("""COMPUTED_VALUE"""),"")</f>
        <v/>
      </c>
      <c r="L15" s="185" t="s">
        <v>898</v>
      </c>
      <c r="M15" s="185" t="s">
        <v>898</v>
      </c>
      <c r="N15" s="185"/>
      <c r="O15" s="185"/>
      <c r="P15" s="185"/>
      <c r="Q15" s="185"/>
      <c r="R15" s="185"/>
      <c r="S15" s="185"/>
    </row>
    <row r="16">
      <c r="A16" s="182"/>
      <c r="B16" s="182"/>
      <c r="C16" s="183"/>
      <c r="D16" s="182"/>
      <c r="E16" s="184"/>
      <c r="F16" s="182"/>
      <c r="G16" s="185"/>
      <c r="H16" s="185"/>
      <c r="I16" s="185"/>
      <c r="J16" s="185" t="str">
        <f>IFERROR(__xludf.DUMMYFUNCTION("""COMPUTED_VALUE"""),"")</f>
        <v/>
      </c>
      <c r="K16" s="185" t="str">
        <f>IFERROR(__xludf.DUMMYFUNCTION("""COMPUTED_VALUE"""),"")</f>
        <v/>
      </c>
      <c r="L16" s="185" t="s">
        <v>898</v>
      </c>
      <c r="M16" s="185" t="s">
        <v>898</v>
      </c>
      <c r="N16" s="185"/>
      <c r="O16" s="185"/>
      <c r="P16" s="185"/>
      <c r="Q16" s="185"/>
      <c r="R16" s="185"/>
      <c r="S16" s="185"/>
    </row>
    <row r="17">
      <c r="A17" s="182"/>
      <c r="B17" s="182"/>
      <c r="C17" s="183"/>
      <c r="D17" s="182"/>
      <c r="E17" s="184"/>
      <c r="F17" s="182"/>
      <c r="G17" s="185"/>
      <c r="H17" s="185"/>
      <c r="I17" s="185"/>
      <c r="J17" s="185" t="str">
        <f>IFERROR(__xludf.DUMMYFUNCTION("""COMPUTED_VALUE"""),"")</f>
        <v/>
      </c>
      <c r="K17" s="185" t="str">
        <f>IFERROR(__xludf.DUMMYFUNCTION("""COMPUTED_VALUE"""),"")</f>
        <v/>
      </c>
      <c r="L17" s="185" t="s">
        <v>898</v>
      </c>
      <c r="M17" s="185" t="s">
        <v>898</v>
      </c>
      <c r="N17" s="185"/>
      <c r="O17" s="185"/>
      <c r="P17" s="185"/>
      <c r="Q17" s="185"/>
      <c r="R17" s="185"/>
      <c r="S17" s="185"/>
    </row>
    <row r="18">
      <c r="A18" s="182"/>
      <c r="B18" s="182"/>
      <c r="C18" s="183"/>
      <c r="D18" s="182"/>
      <c r="E18" s="184"/>
      <c r="F18" s="182"/>
      <c r="G18" s="185"/>
      <c r="H18" s="185"/>
      <c r="I18" s="185"/>
      <c r="J18" s="185" t="str">
        <f>IFERROR(__xludf.DUMMYFUNCTION("""COMPUTED_VALUE"""),"")</f>
        <v/>
      </c>
      <c r="K18" s="185" t="str">
        <f>IFERROR(__xludf.DUMMYFUNCTION("""COMPUTED_VALUE"""),"")</f>
        <v/>
      </c>
      <c r="L18" s="185" t="s">
        <v>898</v>
      </c>
      <c r="M18" s="185" t="s">
        <v>898</v>
      </c>
      <c r="N18" s="185"/>
      <c r="O18" s="185"/>
      <c r="P18" s="185"/>
      <c r="Q18" s="185"/>
      <c r="R18" s="185"/>
      <c r="S18" s="185"/>
    </row>
    <row r="19">
      <c r="A19" s="182"/>
      <c r="B19" s="182"/>
      <c r="C19" s="183"/>
      <c r="D19" s="182"/>
      <c r="E19" s="184"/>
      <c r="F19" s="182"/>
      <c r="G19" s="185"/>
      <c r="H19" s="185"/>
      <c r="I19" s="185"/>
      <c r="J19" s="185" t="str">
        <f>IFERROR(__xludf.DUMMYFUNCTION("""COMPUTED_VALUE"""),"")</f>
        <v/>
      </c>
      <c r="K19" s="185" t="str">
        <f>IFERROR(__xludf.DUMMYFUNCTION("""COMPUTED_VALUE"""),"")</f>
        <v/>
      </c>
      <c r="L19" s="185" t="s">
        <v>898</v>
      </c>
      <c r="M19" s="185" t="s">
        <v>898</v>
      </c>
      <c r="N19" s="185"/>
      <c r="O19" s="185"/>
      <c r="P19" s="185"/>
      <c r="Q19" s="185"/>
      <c r="R19" s="185"/>
      <c r="S19" s="185"/>
    </row>
    <row r="20">
      <c r="A20" s="182"/>
      <c r="B20" s="182"/>
      <c r="C20" s="183"/>
      <c r="D20" s="182"/>
      <c r="E20" s="184"/>
      <c r="F20" s="182"/>
      <c r="G20" s="185"/>
      <c r="H20" s="185"/>
      <c r="I20" s="185"/>
      <c r="J20" s="185" t="str">
        <f>IFERROR(__xludf.DUMMYFUNCTION("""COMPUTED_VALUE"""),"")</f>
        <v/>
      </c>
      <c r="K20" s="185" t="str">
        <f>IFERROR(__xludf.DUMMYFUNCTION("""COMPUTED_VALUE"""),"")</f>
        <v/>
      </c>
      <c r="L20" s="185" t="s">
        <v>898</v>
      </c>
      <c r="M20" s="185" t="s">
        <v>898</v>
      </c>
      <c r="N20" s="185"/>
      <c r="O20" s="185"/>
      <c r="P20" s="185"/>
      <c r="Q20" s="185"/>
      <c r="R20" s="185"/>
      <c r="S20" s="185"/>
    </row>
    <row r="21">
      <c r="A21" s="182"/>
      <c r="B21" s="182"/>
      <c r="C21" s="183"/>
      <c r="D21" s="182"/>
      <c r="E21" s="184"/>
      <c r="F21" s="182"/>
      <c r="G21" s="185"/>
      <c r="H21" s="185"/>
      <c r="I21" s="185"/>
      <c r="J21" s="185" t="str">
        <f>IFERROR(__xludf.DUMMYFUNCTION("""COMPUTED_VALUE"""),"")</f>
        <v/>
      </c>
      <c r="K21" s="185" t="str">
        <f>IFERROR(__xludf.DUMMYFUNCTION("""COMPUTED_VALUE"""),"")</f>
        <v/>
      </c>
      <c r="L21" s="185" t="s">
        <v>898</v>
      </c>
      <c r="M21" s="185" t="s">
        <v>898</v>
      </c>
      <c r="N21" s="185"/>
      <c r="O21" s="185"/>
      <c r="P21" s="185"/>
      <c r="Q21" s="185"/>
      <c r="R21" s="185"/>
      <c r="S21" s="185"/>
    </row>
    <row r="22">
      <c r="A22" s="182"/>
      <c r="B22" s="182"/>
      <c r="C22" s="183"/>
      <c r="D22" s="182"/>
      <c r="E22" s="184"/>
      <c r="F22" s="182"/>
      <c r="G22" s="185"/>
      <c r="H22" s="185"/>
      <c r="I22" s="185"/>
      <c r="J22" s="185" t="str">
        <f>IFERROR(__xludf.DUMMYFUNCTION("""COMPUTED_VALUE"""),"")</f>
        <v/>
      </c>
      <c r="K22" s="185" t="str">
        <f>IFERROR(__xludf.DUMMYFUNCTION("""COMPUTED_VALUE"""),"")</f>
        <v/>
      </c>
      <c r="L22" s="185" t="s">
        <v>898</v>
      </c>
      <c r="M22" s="185" t="s">
        <v>898</v>
      </c>
      <c r="N22" s="185"/>
      <c r="O22" s="185"/>
      <c r="P22" s="185"/>
      <c r="Q22" s="185"/>
      <c r="R22" s="185"/>
      <c r="S22" s="185"/>
    </row>
    <row r="23">
      <c r="A23" s="182"/>
      <c r="B23" s="178"/>
      <c r="C23" s="183"/>
      <c r="D23" s="178"/>
      <c r="E23" s="184"/>
      <c r="F23" s="182"/>
      <c r="G23" s="185"/>
      <c r="H23" s="185"/>
      <c r="I23" s="185"/>
      <c r="J23" s="185" t="str">
        <f>IFERROR(__xludf.DUMMYFUNCTION("""COMPUTED_VALUE"""),"")</f>
        <v/>
      </c>
      <c r="K23" s="185" t="str">
        <f>IFERROR(__xludf.DUMMYFUNCTION("""COMPUTED_VALUE"""),"")</f>
        <v/>
      </c>
      <c r="L23" s="185" t="s">
        <v>898</v>
      </c>
      <c r="M23" s="185" t="s">
        <v>898</v>
      </c>
      <c r="N23" s="185"/>
      <c r="O23" s="185"/>
      <c r="P23" s="185"/>
      <c r="Q23" s="185"/>
      <c r="R23" s="185"/>
      <c r="S23" s="185"/>
    </row>
    <row r="24">
      <c r="A24" s="182"/>
      <c r="B24" s="178"/>
      <c r="C24" s="183"/>
      <c r="D24" s="178"/>
      <c r="E24" s="184"/>
      <c r="F24" s="182"/>
      <c r="G24" s="185"/>
      <c r="H24" s="185"/>
      <c r="I24" s="185"/>
      <c r="J24" s="185" t="str">
        <f>IFERROR(__xludf.DUMMYFUNCTION("""COMPUTED_VALUE"""),"")</f>
        <v/>
      </c>
      <c r="K24" s="185" t="str">
        <f>IFERROR(__xludf.DUMMYFUNCTION("""COMPUTED_VALUE"""),"")</f>
        <v/>
      </c>
      <c r="L24" s="185" t="s">
        <v>898</v>
      </c>
      <c r="M24" s="185" t="s">
        <v>898</v>
      </c>
      <c r="N24" s="185"/>
      <c r="O24" s="185"/>
      <c r="P24" s="185"/>
      <c r="Q24" s="185"/>
      <c r="R24" s="185"/>
      <c r="S24" s="185"/>
    </row>
    <row r="25">
      <c r="A25" s="182"/>
      <c r="B25" s="178"/>
      <c r="C25" s="183"/>
      <c r="D25" s="178"/>
      <c r="E25" s="184"/>
      <c r="F25" s="182"/>
      <c r="G25" s="185"/>
      <c r="H25" s="185"/>
      <c r="I25" s="185"/>
      <c r="J25" s="185" t="str">
        <f>IFERROR(__xludf.DUMMYFUNCTION("""COMPUTED_VALUE"""),"")</f>
        <v/>
      </c>
      <c r="K25" s="185" t="str">
        <f>IFERROR(__xludf.DUMMYFUNCTION("""COMPUTED_VALUE"""),"")</f>
        <v/>
      </c>
      <c r="L25" s="185" t="s">
        <v>898</v>
      </c>
      <c r="M25" s="185" t="s">
        <v>898</v>
      </c>
      <c r="N25" s="185"/>
      <c r="O25" s="185"/>
      <c r="P25" s="185"/>
      <c r="Q25" s="185"/>
      <c r="R25" s="185"/>
      <c r="S25" s="185"/>
    </row>
    <row r="26">
      <c r="A26" s="182"/>
      <c r="B26" s="178"/>
      <c r="C26" s="183"/>
      <c r="D26" s="178"/>
      <c r="E26" s="184"/>
      <c r="F26" s="182"/>
      <c r="G26" s="185"/>
      <c r="H26" s="185"/>
      <c r="I26" s="185"/>
      <c r="J26" s="185" t="str">
        <f>IFERROR(__xludf.DUMMYFUNCTION("""COMPUTED_VALUE"""),"")</f>
        <v/>
      </c>
      <c r="K26" s="185" t="str">
        <f>IFERROR(__xludf.DUMMYFUNCTION("""COMPUTED_VALUE"""),"")</f>
        <v/>
      </c>
      <c r="L26" s="185" t="s">
        <v>898</v>
      </c>
      <c r="M26" s="185" t="s">
        <v>898</v>
      </c>
      <c r="N26" s="185"/>
      <c r="O26" s="185"/>
      <c r="P26" s="185"/>
      <c r="Q26" s="185"/>
      <c r="R26" s="185"/>
      <c r="S26" s="185"/>
    </row>
    <row r="27">
      <c r="A27" s="182"/>
      <c r="B27" s="182"/>
      <c r="C27" s="183"/>
      <c r="D27" s="182"/>
      <c r="E27" s="184"/>
      <c r="F27" s="182"/>
      <c r="G27" s="185"/>
      <c r="H27" s="185"/>
      <c r="I27" s="185"/>
      <c r="J27" s="185" t="str">
        <f>IFERROR(__xludf.DUMMYFUNCTION("""COMPUTED_VALUE"""),"")</f>
        <v/>
      </c>
      <c r="K27" s="185" t="str">
        <f>IFERROR(__xludf.DUMMYFUNCTION("""COMPUTED_VALUE"""),"")</f>
        <v/>
      </c>
      <c r="L27" s="185" t="s">
        <v>898</v>
      </c>
      <c r="M27" s="185" t="s">
        <v>898</v>
      </c>
      <c r="N27" s="185"/>
      <c r="O27" s="185"/>
      <c r="P27" s="185"/>
      <c r="Q27" s="185"/>
      <c r="R27" s="185"/>
      <c r="S27" s="185"/>
    </row>
    <row r="28">
      <c r="A28" s="182"/>
      <c r="B28" s="178"/>
      <c r="C28" s="183"/>
      <c r="D28" s="182"/>
      <c r="E28" s="181"/>
      <c r="F28" s="178"/>
      <c r="G28" s="180"/>
      <c r="H28" s="180"/>
      <c r="I28" s="180"/>
      <c r="J28" s="185" t="str">
        <f>IFERROR(__xludf.DUMMYFUNCTION("""COMPUTED_VALUE"""),"")</f>
        <v/>
      </c>
      <c r="K28" s="185" t="str">
        <f>IFERROR(__xludf.DUMMYFUNCTION("""COMPUTED_VALUE"""),"")</f>
        <v/>
      </c>
      <c r="L28" s="180" t="s">
        <v>898</v>
      </c>
      <c r="M28" s="180" t="s">
        <v>898</v>
      </c>
      <c r="N28" s="180"/>
      <c r="O28" s="180"/>
      <c r="P28" s="180"/>
      <c r="Q28" s="180"/>
      <c r="R28" s="180"/>
      <c r="S28" s="180"/>
    </row>
    <row r="29">
      <c r="A29" s="185"/>
      <c r="B29" s="180"/>
      <c r="C29" s="186"/>
      <c r="D29" s="185"/>
      <c r="E29" s="187"/>
      <c r="F29" s="180"/>
      <c r="G29" s="180"/>
      <c r="H29" s="180"/>
      <c r="I29" s="180"/>
      <c r="J29" s="180" t="str">
        <f>IFERROR(__xludf.DUMMYFUNCTION("""COMPUTED_VALUE"""),"")</f>
        <v/>
      </c>
      <c r="K29" s="180" t="str">
        <f>IFERROR(__xludf.DUMMYFUNCTION("""COMPUTED_VALUE"""),"")</f>
        <v/>
      </c>
      <c r="L29" s="180" t="s">
        <v>898</v>
      </c>
      <c r="M29" s="180" t="s">
        <v>898</v>
      </c>
      <c r="N29" s="180"/>
      <c r="O29" s="180"/>
      <c r="P29" s="180"/>
      <c r="Q29" s="180"/>
      <c r="R29" s="180"/>
      <c r="S29" s="180"/>
    </row>
    <row r="30">
      <c r="A30" s="185"/>
      <c r="B30" s="180"/>
      <c r="C30" s="186"/>
      <c r="D30" s="185"/>
      <c r="E30" s="187"/>
      <c r="F30" s="180"/>
      <c r="G30" s="180"/>
      <c r="H30" s="180"/>
      <c r="I30" s="180"/>
      <c r="J30" s="180" t="str">
        <f>IFERROR(__xludf.DUMMYFUNCTION("""COMPUTED_VALUE"""),"")</f>
        <v/>
      </c>
      <c r="K30" s="180" t="str">
        <f>IFERROR(__xludf.DUMMYFUNCTION("""COMPUTED_VALUE"""),"")</f>
        <v/>
      </c>
      <c r="L30" s="180" t="s">
        <v>898</v>
      </c>
      <c r="M30" s="180" t="s">
        <v>898</v>
      </c>
      <c r="N30" s="180"/>
      <c r="O30" s="180"/>
      <c r="P30" s="180"/>
      <c r="Q30" s="180"/>
      <c r="R30" s="180"/>
      <c r="S30" s="180"/>
    </row>
    <row r="31">
      <c r="A31" s="185"/>
      <c r="B31" s="185"/>
      <c r="C31" s="186"/>
      <c r="D31" s="185"/>
      <c r="E31" s="188"/>
      <c r="F31" s="185"/>
      <c r="G31" s="185"/>
      <c r="H31" s="185"/>
      <c r="I31" s="185"/>
      <c r="J31" s="185" t="str">
        <f>IFERROR(__xludf.DUMMYFUNCTION("""COMPUTED_VALUE"""),"")</f>
        <v/>
      </c>
      <c r="K31" s="185" t="str">
        <f>IFERROR(__xludf.DUMMYFUNCTION("""COMPUTED_VALUE"""),"")</f>
        <v/>
      </c>
      <c r="L31" s="185" t="s">
        <v>898</v>
      </c>
      <c r="M31" s="185" t="s">
        <v>898</v>
      </c>
      <c r="N31" s="185"/>
      <c r="O31" s="185"/>
      <c r="P31" s="185"/>
      <c r="Q31" s="185"/>
      <c r="R31" s="185"/>
      <c r="S31" s="185"/>
    </row>
    <row r="32">
      <c r="A32" s="185"/>
      <c r="B32" s="185"/>
      <c r="C32" s="186"/>
      <c r="D32" s="185"/>
      <c r="E32" s="188"/>
      <c r="F32" s="185"/>
      <c r="G32" s="185"/>
      <c r="H32" s="185"/>
      <c r="I32" s="185"/>
      <c r="J32" s="185" t="str">
        <f>IFERROR(__xludf.DUMMYFUNCTION("""COMPUTED_VALUE"""),"")</f>
        <v/>
      </c>
      <c r="K32" s="185" t="str">
        <f>IFERROR(__xludf.DUMMYFUNCTION("""COMPUTED_VALUE"""),"")</f>
        <v/>
      </c>
      <c r="L32" s="185" t="s">
        <v>898</v>
      </c>
      <c r="M32" s="185" t="s">
        <v>898</v>
      </c>
      <c r="N32" s="185"/>
      <c r="O32" s="185"/>
      <c r="P32" s="185"/>
      <c r="Q32" s="185"/>
      <c r="R32" s="185"/>
      <c r="S32" s="185"/>
    </row>
    <row r="33">
      <c r="A33" s="185"/>
      <c r="B33" s="185"/>
      <c r="C33" s="186"/>
      <c r="D33" s="185"/>
      <c r="E33" s="188"/>
      <c r="F33" s="185"/>
      <c r="G33" s="185"/>
      <c r="H33" s="185"/>
      <c r="I33" s="185"/>
      <c r="J33" s="185" t="str">
        <f>IFERROR(__xludf.DUMMYFUNCTION("""COMPUTED_VALUE"""),"")</f>
        <v/>
      </c>
      <c r="K33" s="185" t="str">
        <f>IFERROR(__xludf.DUMMYFUNCTION("""COMPUTED_VALUE"""),"")</f>
        <v/>
      </c>
      <c r="L33" s="185" t="s">
        <v>898</v>
      </c>
      <c r="M33" s="185" t="s">
        <v>898</v>
      </c>
      <c r="N33" s="185"/>
      <c r="O33" s="185"/>
      <c r="P33" s="185"/>
      <c r="Q33" s="185"/>
      <c r="R33" s="185"/>
      <c r="S33" s="185"/>
    </row>
    <row r="34">
      <c r="A34" s="185"/>
      <c r="B34" s="185"/>
      <c r="C34" s="186"/>
      <c r="D34" s="185"/>
      <c r="E34" s="188"/>
      <c r="F34" s="185"/>
      <c r="G34" s="185"/>
      <c r="H34" s="185"/>
      <c r="I34" s="185"/>
      <c r="J34" s="185" t="str">
        <f>IFERROR(__xludf.DUMMYFUNCTION("""COMPUTED_VALUE"""),"")</f>
        <v/>
      </c>
      <c r="K34" s="185" t="str">
        <f>IFERROR(__xludf.DUMMYFUNCTION("""COMPUTED_VALUE"""),"")</f>
        <v/>
      </c>
      <c r="L34" s="185" t="s">
        <v>898</v>
      </c>
      <c r="M34" s="185" t="s">
        <v>898</v>
      </c>
      <c r="N34" s="185"/>
      <c r="O34" s="185"/>
      <c r="P34" s="185"/>
      <c r="Q34" s="185"/>
      <c r="R34" s="185"/>
      <c r="S34" s="185"/>
    </row>
    <row r="35">
      <c r="A35" s="185"/>
      <c r="B35" s="185"/>
      <c r="C35" s="186"/>
      <c r="D35" s="185"/>
      <c r="E35" s="188"/>
      <c r="F35" s="185"/>
      <c r="G35" s="185"/>
      <c r="H35" s="185"/>
      <c r="I35" s="185"/>
      <c r="J35" s="185" t="str">
        <f>IFERROR(__xludf.DUMMYFUNCTION("""COMPUTED_VALUE"""),"")</f>
        <v/>
      </c>
      <c r="K35" s="185" t="str">
        <f>IFERROR(__xludf.DUMMYFUNCTION("""COMPUTED_VALUE"""),"")</f>
        <v/>
      </c>
      <c r="L35" s="185" t="s">
        <v>898</v>
      </c>
      <c r="M35" s="185" t="s">
        <v>898</v>
      </c>
      <c r="N35" s="185"/>
      <c r="O35" s="185"/>
      <c r="P35" s="185"/>
      <c r="Q35" s="185"/>
      <c r="R35" s="185"/>
      <c r="S35" s="185"/>
    </row>
    <row r="36">
      <c r="A36" s="185"/>
      <c r="B36" s="185"/>
      <c r="C36" s="186"/>
      <c r="D36" s="185"/>
      <c r="E36" s="188"/>
      <c r="F36" s="185"/>
      <c r="G36" s="185"/>
      <c r="H36" s="185"/>
      <c r="I36" s="185"/>
      <c r="J36" s="185" t="str">
        <f>IFERROR(__xludf.DUMMYFUNCTION("""COMPUTED_VALUE"""),"")</f>
        <v/>
      </c>
      <c r="K36" s="185" t="str">
        <f>IFERROR(__xludf.DUMMYFUNCTION("""COMPUTED_VALUE"""),"")</f>
        <v/>
      </c>
      <c r="L36" s="185" t="s">
        <v>898</v>
      </c>
      <c r="M36" s="185" t="s">
        <v>898</v>
      </c>
      <c r="N36" s="185"/>
      <c r="O36" s="185"/>
      <c r="P36" s="185"/>
      <c r="Q36" s="185"/>
      <c r="R36" s="185"/>
      <c r="S36" s="185"/>
    </row>
    <row r="37">
      <c r="A37" s="185"/>
      <c r="B37" s="185"/>
      <c r="C37" s="186"/>
      <c r="D37" s="185"/>
      <c r="E37" s="188"/>
      <c r="F37" s="185"/>
      <c r="G37" s="185"/>
      <c r="H37" s="185"/>
      <c r="I37" s="185"/>
      <c r="J37" s="185" t="str">
        <f>IFERROR(__xludf.DUMMYFUNCTION("""COMPUTED_VALUE"""),"")</f>
        <v/>
      </c>
      <c r="K37" s="185" t="str">
        <f>IFERROR(__xludf.DUMMYFUNCTION("""COMPUTED_VALUE"""),"")</f>
        <v/>
      </c>
      <c r="L37" s="185" t="s">
        <v>898</v>
      </c>
      <c r="M37" s="185" t="s">
        <v>898</v>
      </c>
      <c r="N37" s="185"/>
      <c r="O37" s="185"/>
      <c r="P37" s="185"/>
      <c r="Q37" s="185"/>
      <c r="R37" s="185"/>
      <c r="S37" s="185"/>
    </row>
    <row r="38">
      <c r="A38" s="185"/>
      <c r="B38" s="185"/>
      <c r="C38" s="186"/>
      <c r="D38" s="185"/>
      <c r="E38" s="188"/>
      <c r="F38" s="185"/>
      <c r="G38" s="185"/>
      <c r="H38" s="185"/>
      <c r="I38" s="185"/>
      <c r="J38" s="185" t="str">
        <f>IFERROR(__xludf.DUMMYFUNCTION("""COMPUTED_VALUE"""),"")</f>
        <v/>
      </c>
      <c r="K38" s="185" t="str">
        <f>IFERROR(__xludf.DUMMYFUNCTION("""COMPUTED_VALUE"""),"")</f>
        <v/>
      </c>
      <c r="L38" s="185" t="s">
        <v>898</v>
      </c>
      <c r="M38" s="185" t="s">
        <v>898</v>
      </c>
      <c r="N38" s="185"/>
      <c r="O38" s="185"/>
      <c r="P38" s="185"/>
      <c r="Q38" s="185"/>
      <c r="R38" s="185"/>
      <c r="S38" s="185"/>
    </row>
    <row r="39">
      <c r="A39" s="185"/>
      <c r="B39" s="185"/>
      <c r="C39" s="186"/>
      <c r="D39" s="185"/>
      <c r="E39" s="188"/>
      <c r="F39" s="185"/>
      <c r="G39" s="185"/>
      <c r="H39" s="185"/>
      <c r="I39" s="185"/>
      <c r="J39" s="185" t="str">
        <f>IFERROR(__xludf.DUMMYFUNCTION("""COMPUTED_VALUE"""),"")</f>
        <v/>
      </c>
      <c r="K39" s="185" t="str">
        <f>IFERROR(__xludf.DUMMYFUNCTION("""COMPUTED_VALUE"""),"")</f>
        <v/>
      </c>
      <c r="L39" s="185" t="s">
        <v>898</v>
      </c>
      <c r="M39" s="185" t="s">
        <v>898</v>
      </c>
      <c r="N39" s="185"/>
      <c r="O39" s="185"/>
      <c r="P39" s="185"/>
      <c r="Q39" s="185"/>
      <c r="R39" s="185"/>
      <c r="S39" s="185"/>
    </row>
    <row r="40">
      <c r="A40" s="185"/>
      <c r="B40" s="185"/>
      <c r="C40" s="186"/>
      <c r="D40" s="185"/>
      <c r="E40" s="188"/>
      <c r="F40" s="185"/>
      <c r="G40" s="185"/>
      <c r="H40" s="185"/>
      <c r="I40" s="185"/>
      <c r="J40" s="185" t="str">
        <f>IFERROR(__xludf.DUMMYFUNCTION("""COMPUTED_VALUE"""),"")</f>
        <v/>
      </c>
      <c r="K40" s="185" t="str">
        <f>IFERROR(__xludf.DUMMYFUNCTION("""COMPUTED_VALUE"""),"")</f>
        <v/>
      </c>
      <c r="L40" s="185" t="s">
        <v>898</v>
      </c>
      <c r="M40" s="185" t="s">
        <v>898</v>
      </c>
      <c r="N40" s="185"/>
      <c r="O40" s="185"/>
      <c r="P40" s="185"/>
      <c r="Q40" s="185"/>
      <c r="R40" s="185"/>
      <c r="S40" s="185"/>
    </row>
    <row r="41">
      <c r="A41" s="185"/>
      <c r="B41" s="185"/>
      <c r="C41" s="186"/>
      <c r="D41" s="185"/>
      <c r="E41" s="188"/>
      <c r="F41" s="185"/>
      <c r="G41" s="185"/>
      <c r="H41" s="185"/>
      <c r="I41" s="185"/>
      <c r="J41" s="185" t="str">
        <f>IFERROR(__xludf.DUMMYFUNCTION("""COMPUTED_VALUE"""),"")</f>
        <v/>
      </c>
      <c r="K41" s="185" t="str">
        <f>IFERROR(__xludf.DUMMYFUNCTION("""COMPUTED_VALUE"""),"")</f>
        <v/>
      </c>
      <c r="L41" s="185" t="s">
        <v>898</v>
      </c>
      <c r="M41" s="185" t="s">
        <v>898</v>
      </c>
      <c r="N41" s="185"/>
      <c r="O41" s="185"/>
      <c r="P41" s="185"/>
      <c r="Q41" s="185"/>
      <c r="R41" s="185"/>
      <c r="S41" s="185"/>
    </row>
    <row r="42">
      <c r="A42" s="185"/>
      <c r="B42" s="185"/>
      <c r="C42" s="186"/>
      <c r="D42" s="185"/>
      <c r="E42" s="188"/>
      <c r="F42" s="185"/>
      <c r="G42" s="185"/>
      <c r="H42" s="185"/>
      <c r="I42" s="185"/>
      <c r="J42" s="185" t="str">
        <f>IFERROR(__xludf.DUMMYFUNCTION("""COMPUTED_VALUE"""),"")</f>
        <v/>
      </c>
      <c r="K42" s="185" t="str">
        <f>IFERROR(__xludf.DUMMYFUNCTION("""COMPUTED_VALUE"""),"")</f>
        <v/>
      </c>
      <c r="L42" s="185" t="s">
        <v>898</v>
      </c>
      <c r="M42" s="185" t="s">
        <v>898</v>
      </c>
      <c r="N42" s="185"/>
      <c r="O42" s="185"/>
      <c r="P42" s="185"/>
      <c r="Q42" s="185"/>
      <c r="R42" s="185"/>
      <c r="S42" s="185"/>
    </row>
    <row r="43">
      <c r="A43" s="185"/>
      <c r="B43" s="185"/>
      <c r="C43" s="186"/>
      <c r="D43" s="185"/>
      <c r="E43" s="188"/>
      <c r="F43" s="185"/>
      <c r="G43" s="185"/>
      <c r="H43" s="185"/>
      <c r="I43" s="185"/>
      <c r="J43" s="185" t="str">
        <f>IFERROR(__xludf.DUMMYFUNCTION("""COMPUTED_VALUE"""),"")</f>
        <v/>
      </c>
      <c r="K43" s="185" t="str">
        <f>IFERROR(__xludf.DUMMYFUNCTION("""COMPUTED_VALUE"""),"")</f>
        <v/>
      </c>
      <c r="L43" s="185" t="s">
        <v>898</v>
      </c>
      <c r="M43" s="185" t="s">
        <v>898</v>
      </c>
      <c r="N43" s="185"/>
      <c r="O43" s="185"/>
      <c r="P43" s="185"/>
      <c r="Q43" s="185"/>
      <c r="R43" s="185"/>
      <c r="S43" s="185"/>
    </row>
    <row r="44">
      <c r="A44" s="185"/>
      <c r="B44" s="185"/>
      <c r="C44" s="186"/>
      <c r="D44" s="185"/>
      <c r="E44" s="188"/>
      <c r="F44" s="185"/>
      <c r="G44" s="185"/>
      <c r="H44" s="185"/>
      <c r="I44" s="185"/>
      <c r="J44" s="185" t="str">
        <f>IFERROR(__xludf.DUMMYFUNCTION("""COMPUTED_VALUE"""),"")</f>
        <v/>
      </c>
      <c r="K44" s="185" t="str">
        <f>IFERROR(__xludf.DUMMYFUNCTION("""COMPUTED_VALUE"""),"")</f>
        <v/>
      </c>
      <c r="L44" s="185" t="s">
        <v>898</v>
      </c>
      <c r="M44" s="185" t="s">
        <v>898</v>
      </c>
      <c r="N44" s="185"/>
      <c r="O44" s="185"/>
      <c r="P44" s="185"/>
      <c r="Q44" s="185"/>
      <c r="R44" s="185"/>
      <c r="S44" s="185"/>
    </row>
    <row r="45">
      <c r="A45" s="185"/>
      <c r="B45" s="185"/>
      <c r="C45" s="186"/>
      <c r="D45" s="185"/>
      <c r="E45" s="188"/>
      <c r="F45" s="185"/>
      <c r="G45" s="185"/>
      <c r="H45" s="185"/>
      <c r="I45" s="185"/>
      <c r="J45" s="185" t="str">
        <f>IFERROR(__xludf.DUMMYFUNCTION("""COMPUTED_VALUE"""),"")</f>
        <v/>
      </c>
      <c r="K45" s="185" t="str">
        <f>IFERROR(__xludf.DUMMYFUNCTION("""COMPUTED_VALUE"""),"")</f>
        <v/>
      </c>
      <c r="L45" s="185" t="s">
        <v>898</v>
      </c>
      <c r="M45" s="185" t="s">
        <v>898</v>
      </c>
      <c r="N45" s="185"/>
      <c r="O45" s="185"/>
      <c r="P45" s="185"/>
      <c r="Q45" s="185"/>
      <c r="R45" s="185"/>
      <c r="S45" s="185"/>
    </row>
    <row r="46">
      <c r="A46" s="185"/>
      <c r="B46" s="185"/>
      <c r="C46" s="186"/>
      <c r="D46" s="185"/>
      <c r="E46" s="188"/>
      <c r="F46" s="185"/>
      <c r="G46" s="185"/>
      <c r="H46" s="185"/>
      <c r="I46" s="185"/>
      <c r="J46" s="185" t="str">
        <f>IFERROR(__xludf.DUMMYFUNCTION("""COMPUTED_VALUE"""),"")</f>
        <v/>
      </c>
      <c r="K46" s="185" t="str">
        <f>IFERROR(__xludf.DUMMYFUNCTION("""COMPUTED_VALUE"""),"")</f>
        <v/>
      </c>
      <c r="L46" s="185" t="s">
        <v>898</v>
      </c>
      <c r="M46" s="185" t="s">
        <v>898</v>
      </c>
      <c r="N46" s="185"/>
      <c r="O46" s="185"/>
      <c r="P46" s="185"/>
      <c r="Q46" s="185"/>
      <c r="R46" s="185"/>
      <c r="S46" s="185"/>
    </row>
    <row r="47">
      <c r="A47" s="185"/>
      <c r="B47" s="185"/>
      <c r="C47" s="186"/>
      <c r="D47" s="185"/>
      <c r="E47" s="188"/>
      <c r="F47" s="185"/>
      <c r="G47" s="185"/>
      <c r="H47" s="185"/>
      <c r="I47" s="185"/>
      <c r="J47" s="185" t="str">
        <f>IFERROR(__xludf.DUMMYFUNCTION("""COMPUTED_VALUE"""),"")</f>
        <v/>
      </c>
      <c r="K47" s="185" t="str">
        <f>IFERROR(__xludf.DUMMYFUNCTION("""COMPUTED_VALUE"""),"")</f>
        <v/>
      </c>
      <c r="L47" s="185" t="s">
        <v>898</v>
      </c>
      <c r="M47" s="185" t="s">
        <v>898</v>
      </c>
      <c r="N47" s="185"/>
      <c r="O47" s="185"/>
      <c r="P47" s="185"/>
      <c r="Q47" s="185"/>
      <c r="R47" s="185"/>
      <c r="S47" s="185"/>
    </row>
    <row r="48">
      <c r="A48" s="185"/>
      <c r="B48" s="185"/>
      <c r="C48" s="186"/>
      <c r="D48" s="185"/>
      <c r="E48" s="188"/>
      <c r="F48" s="185"/>
      <c r="G48" s="185"/>
      <c r="H48" s="185"/>
      <c r="I48" s="185"/>
      <c r="J48" s="185" t="str">
        <f>IFERROR(__xludf.DUMMYFUNCTION("""COMPUTED_VALUE"""),"")</f>
        <v/>
      </c>
      <c r="K48" s="185" t="str">
        <f>IFERROR(__xludf.DUMMYFUNCTION("""COMPUTED_VALUE"""),"")</f>
        <v/>
      </c>
      <c r="L48" s="185" t="s">
        <v>898</v>
      </c>
      <c r="M48" s="185" t="s">
        <v>898</v>
      </c>
      <c r="N48" s="185"/>
      <c r="O48" s="185"/>
      <c r="P48" s="185"/>
      <c r="Q48" s="185"/>
      <c r="R48" s="185"/>
      <c r="S48" s="185"/>
    </row>
    <row r="49">
      <c r="A49" s="185"/>
      <c r="B49" s="185"/>
      <c r="C49" s="186"/>
      <c r="D49" s="185"/>
      <c r="E49" s="188"/>
      <c r="F49" s="185"/>
      <c r="G49" s="185"/>
      <c r="H49" s="185"/>
      <c r="I49" s="185"/>
      <c r="J49" s="185" t="str">
        <f>IFERROR(__xludf.DUMMYFUNCTION("""COMPUTED_VALUE"""),"")</f>
        <v/>
      </c>
      <c r="K49" s="185" t="str">
        <f>IFERROR(__xludf.DUMMYFUNCTION("""COMPUTED_VALUE"""),"")</f>
        <v/>
      </c>
      <c r="L49" s="185" t="s">
        <v>898</v>
      </c>
      <c r="M49" s="185" t="s">
        <v>898</v>
      </c>
      <c r="N49" s="185"/>
      <c r="O49" s="185"/>
      <c r="P49" s="185"/>
      <c r="Q49" s="185"/>
      <c r="R49" s="185"/>
      <c r="S49" s="185"/>
    </row>
    <row r="50">
      <c r="A50" s="185"/>
      <c r="B50" s="185"/>
      <c r="C50" s="186"/>
      <c r="D50" s="185"/>
      <c r="E50" s="188"/>
      <c r="F50" s="185"/>
      <c r="G50" s="185"/>
      <c r="H50" s="185"/>
      <c r="I50" s="185"/>
      <c r="J50" s="185" t="str">
        <f>IFERROR(__xludf.DUMMYFUNCTION("""COMPUTED_VALUE"""),"")</f>
        <v/>
      </c>
      <c r="K50" s="185" t="str">
        <f>IFERROR(__xludf.DUMMYFUNCTION("""COMPUTED_VALUE"""),"")</f>
        <v/>
      </c>
      <c r="L50" s="185" t="s">
        <v>898</v>
      </c>
      <c r="M50" s="185" t="s">
        <v>898</v>
      </c>
      <c r="N50" s="185"/>
      <c r="O50" s="185"/>
      <c r="P50" s="185"/>
      <c r="Q50" s="185"/>
      <c r="R50" s="185"/>
      <c r="S50" s="185"/>
    </row>
    <row r="51">
      <c r="A51" s="185"/>
      <c r="B51" s="185"/>
      <c r="C51" s="186"/>
      <c r="D51" s="185"/>
      <c r="E51" s="188"/>
      <c r="F51" s="185"/>
      <c r="G51" s="185"/>
      <c r="H51" s="185"/>
      <c r="I51" s="185"/>
      <c r="J51" s="185" t="str">
        <f>IFERROR(__xludf.DUMMYFUNCTION("""COMPUTED_VALUE"""),"")</f>
        <v/>
      </c>
      <c r="K51" s="185" t="str">
        <f>IFERROR(__xludf.DUMMYFUNCTION("""COMPUTED_VALUE"""),"")</f>
        <v/>
      </c>
      <c r="L51" s="185" t="s">
        <v>898</v>
      </c>
      <c r="M51" s="185" t="s">
        <v>898</v>
      </c>
      <c r="N51" s="185"/>
      <c r="O51" s="185"/>
      <c r="P51" s="185"/>
      <c r="Q51" s="185"/>
      <c r="R51" s="185"/>
      <c r="S51" s="185"/>
    </row>
    <row r="52">
      <c r="A52" s="185"/>
      <c r="B52" s="185"/>
      <c r="C52" s="186"/>
      <c r="D52" s="185"/>
      <c r="E52" s="188"/>
      <c r="F52" s="185"/>
      <c r="G52" s="185"/>
      <c r="H52" s="185"/>
      <c r="I52" s="185"/>
      <c r="J52" s="185" t="str">
        <f>IFERROR(__xludf.DUMMYFUNCTION("""COMPUTED_VALUE"""),"")</f>
        <v/>
      </c>
      <c r="K52" s="185" t="str">
        <f>IFERROR(__xludf.DUMMYFUNCTION("""COMPUTED_VALUE"""),"")</f>
        <v/>
      </c>
      <c r="L52" s="185" t="s">
        <v>898</v>
      </c>
      <c r="M52" s="185" t="s">
        <v>898</v>
      </c>
      <c r="N52" s="185"/>
      <c r="O52" s="185"/>
      <c r="P52" s="185"/>
      <c r="Q52" s="185"/>
      <c r="R52" s="185"/>
      <c r="S52" s="185"/>
    </row>
    <row r="53">
      <c r="A53" s="185"/>
      <c r="B53" s="185"/>
      <c r="C53" s="186"/>
      <c r="D53" s="185"/>
      <c r="E53" s="188"/>
      <c r="F53" s="185"/>
      <c r="G53" s="185"/>
      <c r="H53" s="185"/>
      <c r="I53" s="185"/>
      <c r="J53" s="185" t="str">
        <f>IFERROR(__xludf.DUMMYFUNCTION("""COMPUTED_VALUE"""),"")</f>
        <v/>
      </c>
      <c r="K53" s="185" t="str">
        <f>IFERROR(__xludf.DUMMYFUNCTION("""COMPUTED_VALUE"""),"")</f>
        <v/>
      </c>
      <c r="L53" s="185" t="s">
        <v>898</v>
      </c>
      <c r="M53" s="185" t="s">
        <v>898</v>
      </c>
      <c r="N53" s="185"/>
      <c r="O53" s="185"/>
      <c r="P53" s="185"/>
      <c r="Q53" s="185"/>
      <c r="R53" s="185"/>
      <c r="S53" s="185"/>
    </row>
    <row r="54">
      <c r="A54" s="185"/>
      <c r="B54" s="185"/>
      <c r="C54" s="186"/>
      <c r="D54" s="185"/>
      <c r="E54" s="188"/>
      <c r="F54" s="185"/>
      <c r="G54" s="185"/>
      <c r="H54" s="185"/>
      <c r="I54" s="185"/>
      <c r="J54" s="185" t="str">
        <f>IFERROR(__xludf.DUMMYFUNCTION("""COMPUTED_VALUE"""),"")</f>
        <v/>
      </c>
      <c r="K54" s="185" t="str">
        <f>IFERROR(__xludf.DUMMYFUNCTION("""COMPUTED_VALUE"""),"")</f>
        <v/>
      </c>
      <c r="L54" s="185" t="s">
        <v>898</v>
      </c>
      <c r="M54" s="185" t="s">
        <v>898</v>
      </c>
      <c r="N54" s="185"/>
      <c r="O54" s="185"/>
      <c r="P54" s="185"/>
      <c r="Q54" s="185"/>
      <c r="R54" s="185"/>
      <c r="S54" s="185"/>
    </row>
    <row r="55">
      <c r="A55" s="185"/>
      <c r="B55" s="185"/>
      <c r="C55" s="186"/>
      <c r="D55" s="185"/>
      <c r="E55" s="188"/>
      <c r="F55" s="185"/>
      <c r="G55" s="185"/>
      <c r="H55" s="185"/>
      <c r="I55" s="185"/>
      <c r="J55" s="185" t="str">
        <f>IFERROR(__xludf.DUMMYFUNCTION("""COMPUTED_VALUE"""),"")</f>
        <v/>
      </c>
      <c r="K55" s="185" t="str">
        <f>IFERROR(__xludf.DUMMYFUNCTION("""COMPUTED_VALUE"""),"")</f>
        <v/>
      </c>
      <c r="L55" s="185" t="s">
        <v>898</v>
      </c>
      <c r="M55" s="185" t="s">
        <v>898</v>
      </c>
      <c r="N55" s="185"/>
      <c r="O55" s="185"/>
      <c r="P55" s="185"/>
      <c r="Q55" s="185"/>
      <c r="R55" s="185"/>
      <c r="S55" s="185"/>
    </row>
    <row r="56">
      <c r="A56" s="185"/>
      <c r="B56" s="185"/>
      <c r="C56" s="186"/>
      <c r="D56" s="185"/>
      <c r="E56" s="188"/>
      <c r="F56" s="185"/>
      <c r="G56" s="185"/>
      <c r="H56" s="185"/>
      <c r="I56" s="185"/>
      <c r="J56" s="185" t="str">
        <f>IFERROR(__xludf.DUMMYFUNCTION("""COMPUTED_VALUE"""),"")</f>
        <v/>
      </c>
      <c r="K56" s="185" t="str">
        <f>IFERROR(__xludf.DUMMYFUNCTION("""COMPUTED_VALUE"""),"")</f>
        <v/>
      </c>
      <c r="L56" s="185" t="s">
        <v>898</v>
      </c>
      <c r="M56" s="185" t="s">
        <v>898</v>
      </c>
      <c r="N56" s="185"/>
      <c r="O56" s="185"/>
      <c r="P56" s="185"/>
      <c r="Q56" s="185"/>
      <c r="R56" s="185"/>
      <c r="S56" s="185"/>
    </row>
    <row r="57">
      <c r="A57" s="185"/>
      <c r="B57" s="185"/>
      <c r="C57" s="186"/>
      <c r="D57" s="185"/>
      <c r="E57" s="188"/>
      <c r="F57" s="185"/>
      <c r="G57" s="185"/>
      <c r="H57" s="185"/>
      <c r="I57" s="185"/>
      <c r="J57" s="185" t="str">
        <f>IFERROR(__xludf.DUMMYFUNCTION("""COMPUTED_VALUE"""),"")</f>
        <v/>
      </c>
      <c r="K57" s="185" t="str">
        <f>IFERROR(__xludf.DUMMYFUNCTION("""COMPUTED_VALUE"""),"")</f>
        <v/>
      </c>
      <c r="L57" s="185" t="s">
        <v>898</v>
      </c>
      <c r="M57" s="185" t="s">
        <v>898</v>
      </c>
      <c r="N57" s="185"/>
      <c r="O57" s="185"/>
      <c r="P57" s="185"/>
      <c r="Q57" s="185"/>
      <c r="R57" s="185"/>
      <c r="S57" s="185"/>
    </row>
    <row r="58">
      <c r="A58" s="185"/>
      <c r="B58" s="185"/>
      <c r="C58" s="186"/>
      <c r="D58" s="185"/>
      <c r="E58" s="188"/>
      <c r="F58" s="185"/>
      <c r="G58" s="185"/>
      <c r="H58" s="185"/>
      <c r="I58" s="185"/>
      <c r="J58" s="185" t="str">
        <f>IFERROR(__xludf.DUMMYFUNCTION("""COMPUTED_VALUE"""),"")</f>
        <v/>
      </c>
      <c r="K58" s="185" t="str">
        <f>IFERROR(__xludf.DUMMYFUNCTION("""COMPUTED_VALUE"""),"")</f>
        <v/>
      </c>
      <c r="L58" s="185" t="s">
        <v>898</v>
      </c>
      <c r="M58" s="185" t="s">
        <v>898</v>
      </c>
      <c r="N58" s="185"/>
      <c r="O58" s="185"/>
      <c r="P58" s="185"/>
      <c r="Q58" s="185"/>
      <c r="R58" s="185"/>
      <c r="S58" s="185"/>
    </row>
    <row r="59">
      <c r="A59" s="185"/>
      <c r="B59" s="185"/>
      <c r="C59" s="186"/>
      <c r="D59" s="185"/>
      <c r="E59" s="188"/>
      <c r="F59" s="185"/>
      <c r="G59" s="185"/>
      <c r="H59" s="185"/>
      <c r="I59" s="185"/>
      <c r="J59" s="185" t="str">
        <f>IFERROR(__xludf.DUMMYFUNCTION("""COMPUTED_VALUE"""),"")</f>
        <v/>
      </c>
      <c r="K59" s="185" t="str">
        <f>IFERROR(__xludf.DUMMYFUNCTION("""COMPUTED_VALUE"""),"")</f>
        <v/>
      </c>
      <c r="L59" s="185" t="s">
        <v>898</v>
      </c>
      <c r="M59" s="185" t="s">
        <v>898</v>
      </c>
      <c r="N59" s="185"/>
      <c r="O59" s="185"/>
      <c r="P59" s="185"/>
      <c r="Q59" s="185"/>
      <c r="R59" s="185"/>
      <c r="S59" s="185"/>
    </row>
    <row r="60">
      <c r="A60" s="185"/>
      <c r="B60" s="185"/>
      <c r="C60" s="186"/>
      <c r="D60" s="185"/>
      <c r="E60" s="188"/>
      <c r="F60" s="185"/>
      <c r="G60" s="185"/>
      <c r="H60" s="185"/>
      <c r="I60" s="185"/>
      <c r="J60" s="185" t="str">
        <f>IFERROR(__xludf.DUMMYFUNCTION("""COMPUTED_VALUE"""),"")</f>
        <v/>
      </c>
      <c r="K60" s="185" t="str">
        <f>IFERROR(__xludf.DUMMYFUNCTION("""COMPUTED_VALUE"""),"")</f>
        <v/>
      </c>
      <c r="L60" s="185" t="s">
        <v>898</v>
      </c>
      <c r="M60" s="185" t="s">
        <v>898</v>
      </c>
      <c r="N60" s="185"/>
      <c r="O60" s="185"/>
      <c r="P60" s="185"/>
      <c r="Q60" s="185"/>
      <c r="R60" s="185"/>
      <c r="S60" s="185"/>
    </row>
    <row r="61">
      <c r="A61" s="185"/>
      <c r="B61" s="185"/>
      <c r="C61" s="186"/>
      <c r="D61" s="185"/>
      <c r="E61" s="188"/>
      <c r="F61" s="185"/>
      <c r="G61" s="185"/>
      <c r="H61" s="185"/>
      <c r="I61" s="185"/>
      <c r="J61" s="185" t="str">
        <f>IFERROR(__xludf.DUMMYFUNCTION("""COMPUTED_VALUE"""),"")</f>
        <v/>
      </c>
      <c r="K61" s="185" t="str">
        <f>IFERROR(__xludf.DUMMYFUNCTION("""COMPUTED_VALUE"""),"")</f>
        <v/>
      </c>
      <c r="L61" s="185" t="s">
        <v>898</v>
      </c>
      <c r="M61" s="185" t="s">
        <v>898</v>
      </c>
      <c r="N61" s="185"/>
      <c r="O61" s="185"/>
      <c r="P61" s="185"/>
      <c r="Q61" s="185"/>
      <c r="R61" s="185"/>
      <c r="S61" s="185"/>
    </row>
    <row r="62">
      <c r="A62" s="185"/>
      <c r="B62" s="185"/>
      <c r="C62" s="186"/>
      <c r="D62" s="185"/>
      <c r="E62" s="188"/>
      <c r="F62" s="185"/>
      <c r="G62" s="185"/>
      <c r="H62" s="185"/>
      <c r="I62" s="185"/>
      <c r="J62" s="185" t="str">
        <f>IFERROR(__xludf.DUMMYFUNCTION("""COMPUTED_VALUE"""),"")</f>
        <v/>
      </c>
      <c r="K62" s="185" t="str">
        <f>IFERROR(__xludf.DUMMYFUNCTION("""COMPUTED_VALUE"""),"")</f>
        <v/>
      </c>
      <c r="L62" s="185" t="s">
        <v>898</v>
      </c>
      <c r="M62" s="185" t="s">
        <v>898</v>
      </c>
      <c r="N62" s="185"/>
      <c r="O62" s="185"/>
      <c r="P62" s="185"/>
      <c r="Q62" s="185"/>
      <c r="R62" s="185"/>
      <c r="S62" s="185"/>
    </row>
    <row r="63">
      <c r="A63" s="185"/>
      <c r="B63" s="185"/>
      <c r="C63" s="186"/>
      <c r="D63" s="185"/>
      <c r="E63" s="188"/>
      <c r="F63" s="185"/>
      <c r="G63" s="185"/>
      <c r="H63" s="185"/>
      <c r="I63" s="185"/>
      <c r="J63" s="185" t="str">
        <f>IFERROR(__xludf.DUMMYFUNCTION("""COMPUTED_VALUE"""),"")</f>
        <v/>
      </c>
      <c r="K63" s="185" t="str">
        <f>IFERROR(__xludf.DUMMYFUNCTION("""COMPUTED_VALUE"""),"")</f>
        <v/>
      </c>
      <c r="L63" s="185" t="s">
        <v>898</v>
      </c>
      <c r="M63" s="185" t="s">
        <v>898</v>
      </c>
      <c r="N63" s="185"/>
      <c r="O63" s="185"/>
      <c r="P63" s="185"/>
      <c r="Q63" s="185"/>
      <c r="R63" s="185"/>
      <c r="S63" s="185"/>
    </row>
    <row r="64">
      <c r="A64" s="185"/>
      <c r="B64" s="185"/>
      <c r="C64" s="186"/>
      <c r="D64" s="185"/>
      <c r="E64" s="188"/>
      <c r="F64" s="185"/>
      <c r="G64" s="185"/>
      <c r="H64" s="185"/>
      <c r="I64" s="185"/>
      <c r="J64" s="185" t="str">
        <f>IFERROR(__xludf.DUMMYFUNCTION("""COMPUTED_VALUE"""),"")</f>
        <v/>
      </c>
      <c r="K64" s="185" t="str">
        <f>IFERROR(__xludf.DUMMYFUNCTION("""COMPUTED_VALUE"""),"")</f>
        <v/>
      </c>
      <c r="L64" s="185" t="s">
        <v>898</v>
      </c>
      <c r="M64" s="185" t="s">
        <v>898</v>
      </c>
      <c r="N64" s="185"/>
      <c r="O64" s="185"/>
      <c r="P64" s="185"/>
      <c r="Q64" s="185"/>
      <c r="R64" s="185"/>
      <c r="S64" s="185"/>
    </row>
    <row r="65">
      <c r="A65" s="185"/>
      <c r="B65" s="185"/>
      <c r="C65" s="186"/>
      <c r="D65" s="185"/>
      <c r="E65" s="188"/>
      <c r="F65" s="185"/>
      <c r="G65" s="185"/>
      <c r="H65" s="185"/>
      <c r="I65" s="185"/>
      <c r="J65" s="185" t="str">
        <f>IFERROR(__xludf.DUMMYFUNCTION("""COMPUTED_VALUE"""),"")</f>
        <v/>
      </c>
      <c r="K65" s="185" t="str">
        <f>IFERROR(__xludf.DUMMYFUNCTION("""COMPUTED_VALUE"""),"")</f>
        <v/>
      </c>
      <c r="L65" s="185" t="s">
        <v>898</v>
      </c>
      <c r="M65" s="185" t="s">
        <v>898</v>
      </c>
      <c r="N65" s="185"/>
      <c r="O65" s="185"/>
      <c r="P65" s="185"/>
      <c r="Q65" s="185"/>
      <c r="R65" s="185"/>
      <c r="S65" s="185"/>
    </row>
    <row r="66">
      <c r="A66" s="185"/>
      <c r="B66" s="185"/>
      <c r="C66" s="186"/>
      <c r="D66" s="185"/>
      <c r="E66" s="188"/>
      <c r="F66" s="185"/>
      <c r="G66" s="185"/>
      <c r="H66" s="185"/>
      <c r="I66" s="185"/>
      <c r="J66" s="185" t="str">
        <f>IFERROR(__xludf.DUMMYFUNCTION("""COMPUTED_VALUE"""),"")</f>
        <v/>
      </c>
      <c r="K66" s="185" t="str">
        <f>IFERROR(__xludf.DUMMYFUNCTION("""COMPUTED_VALUE"""),"")</f>
        <v/>
      </c>
      <c r="L66" s="185" t="s">
        <v>898</v>
      </c>
      <c r="M66" s="185" t="s">
        <v>898</v>
      </c>
      <c r="N66" s="185"/>
      <c r="O66" s="185"/>
      <c r="P66" s="185"/>
      <c r="Q66" s="185"/>
      <c r="R66" s="185"/>
      <c r="S66" s="185"/>
    </row>
    <row r="67">
      <c r="A67" s="185"/>
      <c r="B67" s="185"/>
      <c r="C67" s="186"/>
      <c r="D67" s="185"/>
      <c r="E67" s="188"/>
      <c r="F67" s="185"/>
      <c r="G67" s="185"/>
      <c r="H67" s="185"/>
      <c r="I67" s="185"/>
      <c r="J67" s="185" t="str">
        <f>IFERROR(__xludf.DUMMYFUNCTION("""COMPUTED_VALUE"""),"")</f>
        <v/>
      </c>
      <c r="K67" s="185" t="str">
        <f>IFERROR(__xludf.DUMMYFUNCTION("""COMPUTED_VALUE"""),"")</f>
        <v/>
      </c>
      <c r="L67" s="185" t="s">
        <v>898</v>
      </c>
      <c r="M67" s="185" t="s">
        <v>898</v>
      </c>
      <c r="N67" s="185"/>
      <c r="O67" s="185"/>
      <c r="P67" s="185"/>
      <c r="Q67" s="185"/>
      <c r="R67" s="185"/>
      <c r="S67" s="185"/>
    </row>
    <row r="68">
      <c r="A68" s="185"/>
      <c r="B68" s="185"/>
      <c r="C68" s="186"/>
      <c r="D68" s="185"/>
      <c r="E68" s="188"/>
      <c r="F68" s="185"/>
      <c r="G68" s="185"/>
      <c r="H68" s="185"/>
      <c r="I68" s="185"/>
      <c r="J68" s="185" t="str">
        <f>IFERROR(__xludf.DUMMYFUNCTION("""COMPUTED_VALUE"""),"")</f>
        <v/>
      </c>
      <c r="K68" s="185" t="str">
        <f>IFERROR(__xludf.DUMMYFUNCTION("""COMPUTED_VALUE"""),"")</f>
        <v/>
      </c>
      <c r="L68" s="185" t="s">
        <v>898</v>
      </c>
      <c r="M68" s="185" t="s">
        <v>898</v>
      </c>
      <c r="N68" s="185"/>
      <c r="O68" s="185"/>
      <c r="P68" s="185"/>
      <c r="Q68" s="185"/>
      <c r="R68" s="185"/>
      <c r="S68" s="185"/>
    </row>
    <row r="69">
      <c r="A69" s="185"/>
      <c r="B69" s="185"/>
      <c r="C69" s="186"/>
      <c r="D69" s="185"/>
      <c r="E69" s="188"/>
      <c r="F69" s="185"/>
      <c r="G69" s="185"/>
      <c r="H69" s="185"/>
      <c r="I69" s="185"/>
      <c r="J69" s="185" t="str">
        <f>IFERROR(__xludf.DUMMYFUNCTION("""COMPUTED_VALUE"""),"")</f>
        <v/>
      </c>
      <c r="K69" s="185" t="str">
        <f>IFERROR(__xludf.DUMMYFUNCTION("""COMPUTED_VALUE"""),"")</f>
        <v/>
      </c>
      <c r="L69" s="185" t="s">
        <v>898</v>
      </c>
      <c r="M69" s="185" t="s">
        <v>898</v>
      </c>
      <c r="N69" s="185"/>
      <c r="O69" s="185"/>
      <c r="P69" s="185"/>
      <c r="Q69" s="185"/>
      <c r="R69" s="185"/>
      <c r="S69" s="185"/>
    </row>
    <row r="70">
      <c r="A70" s="185"/>
      <c r="B70" s="185"/>
      <c r="C70" s="186"/>
      <c r="D70" s="185"/>
      <c r="E70" s="188"/>
      <c r="F70" s="185"/>
      <c r="G70" s="185"/>
      <c r="H70" s="185"/>
      <c r="I70" s="185"/>
      <c r="J70" s="185" t="str">
        <f>IFERROR(__xludf.DUMMYFUNCTION("""COMPUTED_VALUE"""),"")</f>
        <v/>
      </c>
      <c r="K70" s="185" t="str">
        <f>IFERROR(__xludf.DUMMYFUNCTION("""COMPUTED_VALUE"""),"")</f>
        <v/>
      </c>
      <c r="L70" s="185" t="s">
        <v>898</v>
      </c>
      <c r="M70" s="185" t="s">
        <v>898</v>
      </c>
      <c r="N70" s="185"/>
      <c r="O70" s="185"/>
      <c r="P70" s="185"/>
      <c r="Q70" s="185"/>
      <c r="R70" s="185"/>
      <c r="S70" s="185"/>
    </row>
    <row r="71">
      <c r="A71" s="185"/>
      <c r="B71" s="185"/>
      <c r="C71" s="186"/>
      <c r="D71" s="185"/>
      <c r="E71" s="188"/>
      <c r="F71" s="185"/>
      <c r="G71" s="185"/>
      <c r="H71" s="185"/>
      <c r="I71" s="185"/>
      <c r="J71" s="185" t="str">
        <f>IFERROR(__xludf.DUMMYFUNCTION("""COMPUTED_VALUE"""),"")</f>
        <v/>
      </c>
      <c r="K71" s="185" t="str">
        <f>IFERROR(__xludf.DUMMYFUNCTION("""COMPUTED_VALUE"""),"")</f>
        <v/>
      </c>
      <c r="L71" s="185" t="s">
        <v>898</v>
      </c>
      <c r="M71" s="185" t="s">
        <v>898</v>
      </c>
      <c r="N71" s="185"/>
      <c r="O71" s="185"/>
      <c r="P71" s="185"/>
      <c r="Q71" s="185"/>
      <c r="R71" s="185"/>
      <c r="S71" s="185"/>
    </row>
    <row r="72">
      <c r="A72" s="185"/>
      <c r="B72" s="185"/>
      <c r="C72" s="186"/>
      <c r="D72" s="185"/>
      <c r="E72" s="188"/>
      <c r="F72" s="185"/>
      <c r="G72" s="185"/>
      <c r="H72" s="185"/>
      <c r="I72" s="185"/>
      <c r="J72" s="185" t="str">
        <f>IFERROR(__xludf.DUMMYFUNCTION("""COMPUTED_VALUE"""),"")</f>
        <v/>
      </c>
      <c r="K72" s="185" t="str">
        <f>IFERROR(__xludf.DUMMYFUNCTION("""COMPUTED_VALUE"""),"")</f>
        <v/>
      </c>
      <c r="L72" s="185" t="s">
        <v>898</v>
      </c>
      <c r="M72" s="185" t="s">
        <v>898</v>
      </c>
      <c r="N72" s="185"/>
      <c r="O72" s="185"/>
      <c r="P72" s="185"/>
      <c r="Q72" s="185"/>
      <c r="R72" s="185"/>
      <c r="S72" s="185"/>
    </row>
    <row r="73">
      <c r="A73" s="185"/>
      <c r="B73" s="185"/>
      <c r="C73" s="186"/>
      <c r="D73" s="185"/>
      <c r="E73" s="188"/>
      <c r="F73" s="185"/>
      <c r="G73" s="185"/>
      <c r="H73" s="185"/>
      <c r="I73" s="185"/>
      <c r="J73" s="185" t="str">
        <f>IFERROR(__xludf.DUMMYFUNCTION("""COMPUTED_VALUE"""),"")</f>
        <v/>
      </c>
      <c r="K73" s="185" t="str">
        <f>IFERROR(__xludf.DUMMYFUNCTION("""COMPUTED_VALUE"""),"")</f>
        <v/>
      </c>
      <c r="L73" s="185" t="s">
        <v>898</v>
      </c>
      <c r="M73" s="185" t="s">
        <v>898</v>
      </c>
      <c r="N73" s="185"/>
      <c r="O73" s="185"/>
      <c r="P73" s="185"/>
      <c r="Q73" s="185"/>
      <c r="R73" s="185"/>
      <c r="S73" s="185"/>
    </row>
    <row r="74">
      <c r="A74" s="185"/>
      <c r="B74" s="185"/>
      <c r="C74" s="185"/>
      <c r="D74" s="185"/>
      <c r="E74" s="185"/>
      <c r="F74" s="185"/>
      <c r="G74" s="185"/>
      <c r="H74" s="185"/>
      <c r="I74" s="185"/>
      <c r="J74" s="185" t="str">
        <f>IFERROR(__xludf.DUMMYFUNCTION("""COMPUTED_VALUE"""),"")</f>
        <v/>
      </c>
      <c r="K74" s="185" t="str">
        <f>IFERROR(__xludf.DUMMYFUNCTION("""COMPUTED_VALUE"""),"")</f>
        <v/>
      </c>
      <c r="L74" s="185" t="s">
        <v>898</v>
      </c>
      <c r="M74" s="185" t="s">
        <v>898</v>
      </c>
      <c r="N74" s="185"/>
      <c r="O74" s="185"/>
      <c r="P74" s="185"/>
      <c r="Q74" s="185"/>
      <c r="R74" s="185"/>
      <c r="S74" s="185"/>
    </row>
    <row r="75">
      <c r="A75" s="185"/>
      <c r="B75" s="185"/>
      <c r="C75" s="185"/>
      <c r="D75" s="185"/>
      <c r="E75" s="185"/>
      <c r="F75" s="185"/>
      <c r="G75" s="185"/>
      <c r="H75" s="185"/>
      <c r="I75" s="185"/>
      <c r="J75" s="185" t="str">
        <f>IFERROR(__xludf.DUMMYFUNCTION("""COMPUTED_VALUE"""),"")</f>
        <v/>
      </c>
      <c r="K75" s="185" t="str">
        <f>IFERROR(__xludf.DUMMYFUNCTION("""COMPUTED_VALUE"""),"")</f>
        <v/>
      </c>
      <c r="L75" s="185" t="s">
        <v>898</v>
      </c>
      <c r="M75" s="185" t="s">
        <v>898</v>
      </c>
      <c r="N75" s="185"/>
      <c r="O75" s="185"/>
      <c r="P75" s="185"/>
      <c r="Q75" s="185"/>
      <c r="R75" s="185"/>
      <c r="S75" s="185"/>
    </row>
    <row r="76">
      <c r="A76" s="185"/>
      <c r="B76" s="185"/>
      <c r="C76" s="185"/>
      <c r="D76" s="185"/>
      <c r="E76" s="185"/>
      <c r="F76" s="185"/>
      <c r="G76" s="185"/>
      <c r="H76" s="185"/>
      <c r="I76" s="185"/>
      <c r="J76" s="185" t="str">
        <f>IFERROR(__xludf.DUMMYFUNCTION("""COMPUTED_VALUE"""),"")</f>
        <v/>
      </c>
      <c r="K76" s="185" t="str">
        <f>IFERROR(__xludf.DUMMYFUNCTION("""COMPUTED_VALUE"""),"")</f>
        <v/>
      </c>
      <c r="L76" s="185" t="s">
        <v>898</v>
      </c>
      <c r="M76" s="185" t="s">
        <v>898</v>
      </c>
      <c r="N76" s="185"/>
      <c r="O76" s="185"/>
      <c r="P76" s="185"/>
      <c r="Q76" s="185"/>
      <c r="R76" s="185"/>
      <c r="S76" s="185"/>
    </row>
    <row r="77">
      <c r="A77" s="185"/>
      <c r="B77" s="185"/>
      <c r="C77" s="185"/>
      <c r="D77" s="185"/>
      <c r="E77" s="185"/>
      <c r="F77" s="185"/>
      <c r="G77" s="185"/>
      <c r="H77" s="185"/>
      <c r="I77" s="185"/>
      <c r="J77" s="185" t="str">
        <f>IFERROR(__xludf.DUMMYFUNCTION("""COMPUTED_VALUE"""),"")</f>
        <v/>
      </c>
      <c r="K77" s="185" t="str">
        <f>IFERROR(__xludf.DUMMYFUNCTION("""COMPUTED_VALUE"""),"")</f>
        <v/>
      </c>
      <c r="L77" s="185" t="s">
        <v>898</v>
      </c>
      <c r="M77" s="185" t="s">
        <v>898</v>
      </c>
      <c r="N77" s="185"/>
      <c r="O77" s="185"/>
      <c r="P77" s="185"/>
      <c r="Q77" s="185"/>
      <c r="R77" s="185"/>
      <c r="S77" s="185"/>
    </row>
    <row r="78">
      <c r="A78" s="185"/>
      <c r="B78" s="185"/>
      <c r="C78" s="185"/>
      <c r="D78" s="185"/>
      <c r="E78" s="185"/>
      <c r="F78" s="185"/>
      <c r="G78" s="185"/>
      <c r="H78" s="185"/>
      <c r="I78" s="185"/>
      <c r="J78" s="185" t="str">
        <f>IFERROR(__xludf.DUMMYFUNCTION("""COMPUTED_VALUE"""),"")</f>
        <v/>
      </c>
      <c r="K78" s="185" t="str">
        <f>IFERROR(__xludf.DUMMYFUNCTION("""COMPUTED_VALUE"""),"")</f>
        <v/>
      </c>
      <c r="L78" s="185" t="s">
        <v>898</v>
      </c>
      <c r="M78" s="185" t="s">
        <v>898</v>
      </c>
      <c r="N78" s="185"/>
      <c r="O78" s="185"/>
      <c r="P78" s="185"/>
      <c r="Q78" s="185"/>
      <c r="R78" s="185"/>
      <c r="S78" s="185"/>
    </row>
    <row r="79">
      <c r="A79" s="185"/>
      <c r="B79" s="185"/>
      <c r="C79" s="185"/>
      <c r="D79" s="185"/>
      <c r="E79" s="185"/>
      <c r="F79" s="185"/>
      <c r="G79" s="185"/>
      <c r="H79" s="185"/>
      <c r="I79" s="185"/>
      <c r="J79" s="185" t="str">
        <f>IFERROR(__xludf.DUMMYFUNCTION("""COMPUTED_VALUE"""),"")</f>
        <v/>
      </c>
      <c r="K79" s="185" t="str">
        <f>IFERROR(__xludf.DUMMYFUNCTION("""COMPUTED_VALUE"""),"")</f>
        <v/>
      </c>
      <c r="L79" s="185" t="s">
        <v>898</v>
      </c>
      <c r="M79" s="185" t="s">
        <v>898</v>
      </c>
      <c r="N79" s="185"/>
      <c r="O79" s="185"/>
      <c r="P79" s="185"/>
      <c r="Q79" s="185"/>
      <c r="R79" s="185"/>
      <c r="S79" s="185"/>
    </row>
    <row r="80">
      <c r="A80" s="185"/>
      <c r="B80" s="185"/>
      <c r="C80" s="185"/>
      <c r="D80" s="185"/>
      <c r="E80" s="185"/>
      <c r="F80" s="185"/>
      <c r="G80" s="185"/>
      <c r="H80" s="185"/>
      <c r="I80" s="185"/>
      <c r="J80" s="185" t="str">
        <f>IFERROR(__xludf.DUMMYFUNCTION("""COMPUTED_VALUE"""),"")</f>
        <v/>
      </c>
      <c r="K80" s="185" t="str">
        <f>IFERROR(__xludf.DUMMYFUNCTION("""COMPUTED_VALUE"""),"")</f>
        <v/>
      </c>
      <c r="L80" s="185" t="s">
        <v>898</v>
      </c>
      <c r="M80" s="185" t="s">
        <v>898</v>
      </c>
      <c r="N80" s="185"/>
      <c r="O80" s="185"/>
      <c r="P80" s="185"/>
      <c r="Q80" s="185"/>
      <c r="R80" s="185"/>
      <c r="S80" s="185"/>
    </row>
    <row r="81">
      <c r="A81" s="185"/>
      <c r="B81" s="185"/>
      <c r="C81" s="185"/>
      <c r="D81" s="185"/>
      <c r="E81" s="185"/>
      <c r="F81" s="185"/>
      <c r="G81" s="185"/>
      <c r="H81" s="185"/>
      <c r="I81" s="185"/>
      <c r="J81" s="185" t="str">
        <f>IFERROR(__xludf.DUMMYFUNCTION("""COMPUTED_VALUE"""),"")</f>
        <v/>
      </c>
      <c r="K81" s="185" t="str">
        <f>IFERROR(__xludf.DUMMYFUNCTION("""COMPUTED_VALUE"""),"")</f>
        <v/>
      </c>
      <c r="L81" s="185" t="s">
        <v>898</v>
      </c>
      <c r="M81" s="185" t="s">
        <v>898</v>
      </c>
      <c r="N81" s="185"/>
      <c r="O81" s="185"/>
      <c r="P81" s="185"/>
      <c r="Q81" s="185"/>
      <c r="R81" s="185"/>
      <c r="S81" s="185"/>
    </row>
    <row r="82">
      <c r="A82" s="185"/>
      <c r="B82" s="185"/>
      <c r="C82" s="185"/>
      <c r="D82" s="185"/>
      <c r="E82" s="185"/>
      <c r="F82" s="185"/>
      <c r="G82" s="185"/>
      <c r="H82" s="185"/>
      <c r="I82" s="185"/>
      <c r="J82" s="185" t="str">
        <f>IFERROR(__xludf.DUMMYFUNCTION("""COMPUTED_VALUE"""),"")</f>
        <v/>
      </c>
      <c r="K82" s="185" t="str">
        <f>IFERROR(__xludf.DUMMYFUNCTION("""COMPUTED_VALUE"""),"")</f>
        <v/>
      </c>
      <c r="L82" s="185" t="s">
        <v>898</v>
      </c>
      <c r="M82" s="185" t="s">
        <v>898</v>
      </c>
      <c r="N82" s="185"/>
      <c r="O82" s="185"/>
      <c r="P82" s="185"/>
      <c r="Q82" s="185"/>
      <c r="R82" s="185"/>
      <c r="S82" s="185"/>
    </row>
    <row r="83">
      <c r="A83" s="185"/>
      <c r="B83" s="185"/>
      <c r="C83" s="185"/>
      <c r="D83" s="185"/>
      <c r="E83" s="185"/>
      <c r="F83" s="185"/>
      <c r="G83" s="185"/>
      <c r="H83" s="185"/>
      <c r="I83" s="185"/>
      <c r="J83" s="185" t="str">
        <f>IFERROR(__xludf.DUMMYFUNCTION("""COMPUTED_VALUE"""),"")</f>
        <v/>
      </c>
      <c r="K83" s="185" t="str">
        <f>IFERROR(__xludf.DUMMYFUNCTION("""COMPUTED_VALUE"""),"")</f>
        <v/>
      </c>
      <c r="L83" s="185" t="s">
        <v>898</v>
      </c>
      <c r="M83" s="185" t="s">
        <v>898</v>
      </c>
      <c r="N83" s="185"/>
      <c r="O83" s="185"/>
      <c r="P83" s="185"/>
      <c r="Q83" s="185"/>
      <c r="R83" s="185"/>
      <c r="S83" s="185"/>
    </row>
    <row r="84">
      <c r="A84" s="185"/>
      <c r="B84" s="185"/>
      <c r="C84" s="185"/>
      <c r="D84" s="185"/>
      <c r="E84" s="185"/>
      <c r="F84" s="185"/>
      <c r="G84" s="185"/>
      <c r="H84" s="185"/>
      <c r="I84" s="185"/>
      <c r="J84" s="185" t="str">
        <f>IFERROR(__xludf.DUMMYFUNCTION("""COMPUTED_VALUE"""),"")</f>
        <v/>
      </c>
      <c r="K84" s="185" t="str">
        <f>IFERROR(__xludf.DUMMYFUNCTION("""COMPUTED_VALUE"""),"")</f>
        <v/>
      </c>
      <c r="L84" s="185" t="s">
        <v>898</v>
      </c>
      <c r="M84" s="185" t="s">
        <v>898</v>
      </c>
      <c r="N84" s="185"/>
      <c r="O84" s="185"/>
      <c r="P84" s="185"/>
      <c r="Q84" s="185"/>
      <c r="R84" s="185"/>
      <c r="S84" s="185"/>
    </row>
    <row r="85">
      <c r="A85" s="185"/>
      <c r="B85" s="185"/>
      <c r="C85" s="185"/>
      <c r="D85" s="185"/>
      <c r="E85" s="185"/>
      <c r="F85" s="185"/>
      <c r="G85" s="185"/>
      <c r="H85" s="185"/>
      <c r="I85" s="185"/>
      <c r="J85" s="185" t="str">
        <f>IFERROR(__xludf.DUMMYFUNCTION("""COMPUTED_VALUE"""),"")</f>
        <v/>
      </c>
      <c r="K85" s="185" t="str">
        <f>IFERROR(__xludf.DUMMYFUNCTION("""COMPUTED_VALUE"""),"")</f>
        <v/>
      </c>
      <c r="L85" s="185" t="s">
        <v>898</v>
      </c>
      <c r="M85" s="185" t="s">
        <v>898</v>
      </c>
      <c r="N85" s="185"/>
      <c r="O85" s="185"/>
      <c r="P85" s="185"/>
      <c r="Q85" s="185"/>
      <c r="R85" s="185"/>
      <c r="S85" s="185"/>
    </row>
    <row r="86">
      <c r="A86" s="185"/>
      <c r="B86" s="185"/>
      <c r="C86" s="185"/>
      <c r="D86" s="185"/>
      <c r="E86" s="185"/>
      <c r="F86" s="185"/>
      <c r="G86" s="185"/>
      <c r="H86" s="185"/>
      <c r="I86" s="185"/>
      <c r="J86" s="185" t="str">
        <f>IFERROR(__xludf.DUMMYFUNCTION("""COMPUTED_VALUE"""),"")</f>
        <v/>
      </c>
      <c r="K86" s="185" t="str">
        <f>IFERROR(__xludf.DUMMYFUNCTION("""COMPUTED_VALUE"""),"")</f>
        <v/>
      </c>
      <c r="L86" s="185" t="s">
        <v>898</v>
      </c>
      <c r="M86" s="185" t="s">
        <v>898</v>
      </c>
      <c r="N86" s="185"/>
      <c r="O86" s="185"/>
      <c r="P86" s="185"/>
      <c r="Q86" s="185"/>
      <c r="R86" s="185"/>
      <c r="S86" s="185"/>
    </row>
    <row r="87">
      <c r="A87" s="185"/>
      <c r="B87" s="185"/>
      <c r="C87" s="185"/>
      <c r="D87" s="185"/>
      <c r="E87" s="185"/>
      <c r="F87" s="185"/>
      <c r="G87" s="185"/>
      <c r="H87" s="185"/>
      <c r="I87" s="185"/>
      <c r="J87" s="185" t="str">
        <f>IFERROR(__xludf.DUMMYFUNCTION("""COMPUTED_VALUE"""),"")</f>
        <v/>
      </c>
      <c r="K87" s="185" t="str">
        <f>IFERROR(__xludf.DUMMYFUNCTION("""COMPUTED_VALUE"""),"")</f>
        <v/>
      </c>
      <c r="L87" s="185" t="s">
        <v>898</v>
      </c>
      <c r="M87" s="185" t="s">
        <v>898</v>
      </c>
      <c r="N87" s="185"/>
      <c r="O87" s="185"/>
      <c r="P87" s="185"/>
      <c r="Q87" s="185"/>
      <c r="R87" s="185"/>
      <c r="S87" s="185"/>
    </row>
    <row r="88">
      <c r="A88" s="185"/>
      <c r="B88" s="185"/>
      <c r="C88" s="185"/>
      <c r="D88" s="185"/>
      <c r="E88" s="185"/>
      <c r="F88" s="185"/>
      <c r="G88" s="185"/>
      <c r="H88" s="185"/>
      <c r="I88" s="185"/>
      <c r="J88" s="185" t="str">
        <f>IFERROR(__xludf.DUMMYFUNCTION("""COMPUTED_VALUE"""),"")</f>
        <v/>
      </c>
      <c r="K88" s="185" t="str">
        <f>IFERROR(__xludf.DUMMYFUNCTION("""COMPUTED_VALUE"""),"")</f>
        <v/>
      </c>
      <c r="L88" s="185" t="s">
        <v>898</v>
      </c>
      <c r="M88" s="185" t="s">
        <v>898</v>
      </c>
      <c r="N88" s="185"/>
      <c r="O88" s="185"/>
      <c r="P88" s="185"/>
      <c r="Q88" s="185"/>
      <c r="R88" s="185"/>
      <c r="S88" s="185"/>
    </row>
    <row r="89">
      <c r="A89" s="185"/>
      <c r="B89" s="185"/>
      <c r="C89" s="185"/>
      <c r="D89" s="185"/>
      <c r="E89" s="185"/>
      <c r="F89" s="185"/>
      <c r="G89" s="185"/>
      <c r="H89" s="185"/>
      <c r="I89" s="185"/>
      <c r="J89" s="185" t="str">
        <f>IFERROR(__xludf.DUMMYFUNCTION("""COMPUTED_VALUE"""),"")</f>
        <v/>
      </c>
      <c r="K89" s="185" t="str">
        <f>IFERROR(__xludf.DUMMYFUNCTION("""COMPUTED_VALUE"""),"")</f>
        <v/>
      </c>
      <c r="L89" s="185" t="s">
        <v>898</v>
      </c>
      <c r="M89" s="185" t="s">
        <v>898</v>
      </c>
      <c r="N89" s="185"/>
      <c r="O89" s="185"/>
      <c r="P89" s="185"/>
      <c r="Q89" s="185"/>
      <c r="R89" s="185"/>
      <c r="S89" s="185"/>
    </row>
    <row r="90">
      <c r="A90" s="185"/>
      <c r="B90" s="185"/>
      <c r="C90" s="185"/>
      <c r="D90" s="185"/>
      <c r="E90" s="185"/>
      <c r="F90" s="185"/>
      <c r="G90" s="185"/>
      <c r="H90" s="185"/>
      <c r="I90" s="185"/>
      <c r="J90" s="185" t="str">
        <f>IFERROR(__xludf.DUMMYFUNCTION("""COMPUTED_VALUE"""),"")</f>
        <v/>
      </c>
      <c r="K90" s="185" t="str">
        <f>IFERROR(__xludf.DUMMYFUNCTION("""COMPUTED_VALUE"""),"")</f>
        <v/>
      </c>
      <c r="L90" s="185" t="s">
        <v>898</v>
      </c>
      <c r="M90" s="185" t="s">
        <v>898</v>
      </c>
      <c r="N90" s="185"/>
      <c r="O90" s="185"/>
      <c r="P90" s="185"/>
      <c r="Q90" s="185"/>
      <c r="R90" s="185"/>
      <c r="S90" s="185"/>
    </row>
    <row r="91">
      <c r="A91" s="185"/>
      <c r="B91" s="185"/>
      <c r="C91" s="185"/>
      <c r="D91" s="185"/>
      <c r="E91" s="185"/>
      <c r="F91" s="185"/>
      <c r="G91" s="185"/>
      <c r="H91" s="185"/>
      <c r="I91" s="185"/>
      <c r="J91" s="185" t="str">
        <f>IFERROR(__xludf.DUMMYFUNCTION("""COMPUTED_VALUE"""),"")</f>
        <v/>
      </c>
      <c r="K91" s="185" t="str">
        <f>IFERROR(__xludf.DUMMYFUNCTION("""COMPUTED_VALUE"""),"")</f>
        <v/>
      </c>
      <c r="L91" s="185" t="s">
        <v>898</v>
      </c>
      <c r="M91" s="185" t="s">
        <v>898</v>
      </c>
      <c r="N91" s="185"/>
      <c r="O91" s="185"/>
      <c r="P91" s="185"/>
      <c r="Q91" s="185"/>
      <c r="R91" s="185"/>
      <c r="S91" s="185"/>
    </row>
    <row r="92">
      <c r="A92" s="185"/>
      <c r="B92" s="185"/>
      <c r="C92" s="185"/>
      <c r="D92" s="185"/>
      <c r="E92" s="185"/>
      <c r="F92" s="185"/>
      <c r="G92" s="185"/>
      <c r="H92" s="185"/>
      <c r="I92" s="185"/>
      <c r="J92" s="185" t="str">
        <f>IFERROR(__xludf.DUMMYFUNCTION("""COMPUTED_VALUE"""),"")</f>
        <v/>
      </c>
      <c r="K92" s="185" t="str">
        <f>IFERROR(__xludf.DUMMYFUNCTION("""COMPUTED_VALUE"""),"")</f>
        <v/>
      </c>
      <c r="L92" s="185" t="s">
        <v>898</v>
      </c>
      <c r="M92" s="185" t="s">
        <v>898</v>
      </c>
      <c r="N92" s="185"/>
      <c r="O92" s="185"/>
      <c r="P92" s="185"/>
      <c r="Q92" s="185"/>
      <c r="R92" s="185"/>
      <c r="S92" s="185"/>
    </row>
    <row r="93">
      <c r="A93" s="185"/>
      <c r="B93" s="185"/>
      <c r="C93" s="185"/>
      <c r="D93" s="185"/>
      <c r="E93" s="185"/>
      <c r="F93" s="185"/>
      <c r="G93" s="185"/>
      <c r="H93" s="185"/>
      <c r="I93" s="185"/>
      <c r="J93" s="185" t="str">
        <f>IFERROR(__xludf.DUMMYFUNCTION("""COMPUTED_VALUE"""),"")</f>
        <v/>
      </c>
      <c r="K93" s="185" t="str">
        <f>IFERROR(__xludf.DUMMYFUNCTION("""COMPUTED_VALUE"""),"")</f>
        <v/>
      </c>
      <c r="L93" s="185" t="s">
        <v>898</v>
      </c>
      <c r="M93" s="185" t="s">
        <v>898</v>
      </c>
      <c r="N93" s="185"/>
      <c r="O93" s="185"/>
      <c r="P93" s="185"/>
      <c r="Q93" s="185"/>
      <c r="R93" s="185"/>
      <c r="S93" s="185"/>
    </row>
    <row r="94">
      <c r="A94" s="185"/>
      <c r="B94" s="185"/>
      <c r="C94" s="185"/>
      <c r="D94" s="185"/>
      <c r="E94" s="185"/>
      <c r="F94" s="185"/>
      <c r="G94" s="185"/>
      <c r="H94" s="185"/>
      <c r="I94" s="185"/>
      <c r="J94" s="185" t="str">
        <f>IFERROR(__xludf.DUMMYFUNCTION("""COMPUTED_VALUE"""),"")</f>
        <v/>
      </c>
      <c r="K94" s="185" t="str">
        <f>IFERROR(__xludf.DUMMYFUNCTION("""COMPUTED_VALUE"""),"")</f>
        <v/>
      </c>
      <c r="L94" s="185" t="s">
        <v>898</v>
      </c>
      <c r="M94" s="185" t="s">
        <v>898</v>
      </c>
      <c r="N94" s="185"/>
      <c r="O94" s="185"/>
      <c r="P94" s="185"/>
      <c r="Q94" s="185"/>
      <c r="R94" s="185"/>
      <c r="S94" s="185"/>
    </row>
    <row r="95">
      <c r="A95" s="185"/>
      <c r="B95" s="185"/>
      <c r="C95" s="185"/>
      <c r="D95" s="185"/>
      <c r="E95" s="185"/>
      <c r="F95" s="185"/>
      <c r="G95" s="185"/>
      <c r="H95" s="185"/>
      <c r="I95" s="185"/>
      <c r="J95" s="185" t="str">
        <f>IFERROR(__xludf.DUMMYFUNCTION("""COMPUTED_VALUE"""),"")</f>
        <v/>
      </c>
      <c r="K95" s="185" t="str">
        <f>IFERROR(__xludf.DUMMYFUNCTION("""COMPUTED_VALUE"""),"")</f>
        <v/>
      </c>
      <c r="L95" s="185" t="s">
        <v>898</v>
      </c>
      <c r="M95" s="185" t="s">
        <v>898</v>
      </c>
      <c r="N95" s="185"/>
      <c r="O95" s="185"/>
      <c r="P95" s="185"/>
      <c r="Q95" s="185"/>
      <c r="R95" s="185"/>
      <c r="S95" s="185"/>
    </row>
    <row r="96">
      <c r="A96" s="185"/>
      <c r="B96" s="185"/>
      <c r="C96" s="185"/>
      <c r="D96" s="185"/>
      <c r="E96" s="185"/>
      <c r="F96" s="185"/>
      <c r="G96" s="185"/>
      <c r="H96" s="185"/>
      <c r="I96" s="185"/>
      <c r="J96" s="185" t="str">
        <f>IFERROR(__xludf.DUMMYFUNCTION("""COMPUTED_VALUE"""),"")</f>
        <v/>
      </c>
      <c r="K96" s="185" t="str">
        <f>IFERROR(__xludf.DUMMYFUNCTION("""COMPUTED_VALUE"""),"")</f>
        <v/>
      </c>
      <c r="L96" s="185" t="s">
        <v>898</v>
      </c>
      <c r="M96" s="185" t="s">
        <v>898</v>
      </c>
      <c r="N96" s="185"/>
      <c r="O96" s="185"/>
      <c r="P96" s="185"/>
      <c r="Q96" s="185"/>
      <c r="R96" s="185"/>
      <c r="S96" s="185"/>
    </row>
    <row r="97">
      <c r="A97" s="185"/>
      <c r="B97" s="185"/>
      <c r="C97" s="185"/>
      <c r="D97" s="185"/>
      <c r="E97" s="185"/>
      <c r="F97" s="185"/>
      <c r="G97" s="185"/>
      <c r="H97" s="185"/>
      <c r="I97" s="185"/>
      <c r="J97" s="185" t="str">
        <f>IFERROR(__xludf.DUMMYFUNCTION("""COMPUTED_VALUE"""),"")</f>
        <v/>
      </c>
      <c r="K97" s="185" t="str">
        <f>IFERROR(__xludf.DUMMYFUNCTION("""COMPUTED_VALUE"""),"")</f>
        <v/>
      </c>
      <c r="L97" s="185" t="s">
        <v>898</v>
      </c>
      <c r="M97" s="185" t="s">
        <v>898</v>
      </c>
      <c r="N97" s="185"/>
      <c r="O97" s="185"/>
      <c r="P97" s="185"/>
      <c r="Q97" s="185"/>
      <c r="R97" s="185"/>
      <c r="S97" s="185"/>
    </row>
    <row r="98">
      <c r="A98" s="185"/>
      <c r="B98" s="185"/>
      <c r="C98" s="185"/>
      <c r="D98" s="185"/>
      <c r="E98" s="185"/>
      <c r="F98" s="185"/>
      <c r="G98" s="185"/>
      <c r="H98" s="185"/>
      <c r="I98" s="185"/>
      <c r="J98" s="185" t="str">
        <f>IFERROR(__xludf.DUMMYFUNCTION("""COMPUTED_VALUE"""),"")</f>
        <v/>
      </c>
      <c r="K98" s="185" t="str">
        <f>IFERROR(__xludf.DUMMYFUNCTION("""COMPUTED_VALUE"""),"")</f>
        <v/>
      </c>
      <c r="L98" s="185" t="s">
        <v>898</v>
      </c>
      <c r="M98" s="185" t="s">
        <v>898</v>
      </c>
      <c r="N98" s="185"/>
      <c r="O98" s="185"/>
      <c r="P98" s="185"/>
      <c r="Q98" s="185"/>
      <c r="R98" s="185"/>
      <c r="S98" s="185"/>
    </row>
    <row r="99">
      <c r="A99" s="185"/>
      <c r="B99" s="185"/>
      <c r="C99" s="185"/>
      <c r="D99" s="185"/>
      <c r="E99" s="185"/>
      <c r="F99" s="185"/>
      <c r="G99" s="185"/>
      <c r="H99" s="185"/>
      <c r="I99" s="185"/>
      <c r="J99" s="185" t="str">
        <f>IFERROR(__xludf.DUMMYFUNCTION("""COMPUTED_VALUE"""),"")</f>
        <v/>
      </c>
      <c r="K99" s="185" t="str">
        <f>IFERROR(__xludf.DUMMYFUNCTION("""COMPUTED_VALUE"""),"")</f>
        <v/>
      </c>
      <c r="L99" s="185" t="s">
        <v>898</v>
      </c>
      <c r="M99" s="185" t="s">
        <v>898</v>
      </c>
      <c r="N99" s="185"/>
      <c r="O99" s="185"/>
      <c r="P99" s="185"/>
      <c r="Q99" s="185"/>
      <c r="R99" s="185"/>
      <c r="S99" s="185"/>
    </row>
    <row r="100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 t="str">
        <f>IFERROR(__xludf.DUMMYFUNCTION("""COMPUTED_VALUE"""),"")</f>
        <v/>
      </c>
      <c r="K100" s="185" t="str">
        <f>IFERROR(__xludf.DUMMYFUNCTION("""COMPUTED_VALUE"""),"")</f>
        <v/>
      </c>
      <c r="L100" s="185" t="s">
        <v>898</v>
      </c>
      <c r="M100" s="185" t="s">
        <v>898</v>
      </c>
      <c r="N100" s="185"/>
      <c r="O100" s="185"/>
      <c r="P100" s="185"/>
      <c r="Q100" s="185"/>
      <c r="R100" s="185"/>
      <c r="S100" s="185"/>
    </row>
    <row r="10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 t="str">
        <f>IFERROR(__xludf.DUMMYFUNCTION("""COMPUTED_VALUE"""),"")</f>
        <v/>
      </c>
      <c r="K101" s="185" t="str">
        <f>IFERROR(__xludf.DUMMYFUNCTION("""COMPUTED_VALUE"""),"")</f>
        <v/>
      </c>
      <c r="L101" s="185" t="s">
        <v>898</v>
      </c>
      <c r="M101" s="185" t="s">
        <v>898</v>
      </c>
      <c r="N101" s="185"/>
      <c r="O101" s="185"/>
      <c r="P101" s="185"/>
      <c r="Q101" s="185"/>
      <c r="R101" s="185"/>
      <c r="S101" s="185"/>
    </row>
    <row r="102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 t="str">
        <f>IFERROR(__xludf.DUMMYFUNCTION("""COMPUTED_VALUE"""),"")</f>
        <v/>
      </c>
      <c r="K102" s="185" t="str">
        <f>IFERROR(__xludf.DUMMYFUNCTION("""COMPUTED_VALUE"""),"")</f>
        <v/>
      </c>
      <c r="L102" s="185" t="s">
        <v>898</v>
      </c>
      <c r="M102" s="185" t="s">
        <v>898</v>
      </c>
      <c r="N102" s="185"/>
      <c r="O102" s="185"/>
      <c r="P102" s="185"/>
      <c r="Q102" s="185"/>
      <c r="R102" s="185"/>
      <c r="S102" s="185"/>
    </row>
    <row r="103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 t="str">
        <f>IFERROR(__xludf.DUMMYFUNCTION("""COMPUTED_VALUE"""),"")</f>
        <v/>
      </c>
      <c r="K103" s="185" t="str">
        <f>IFERROR(__xludf.DUMMYFUNCTION("""COMPUTED_VALUE"""),"")</f>
        <v/>
      </c>
      <c r="L103" s="185" t="s">
        <v>898</v>
      </c>
      <c r="M103" s="185" t="s">
        <v>898</v>
      </c>
      <c r="N103" s="185"/>
      <c r="O103" s="185"/>
      <c r="P103" s="185"/>
      <c r="Q103" s="185"/>
      <c r="R103" s="185"/>
      <c r="S103" s="185"/>
    </row>
    <row r="104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 t="str">
        <f>IFERROR(__xludf.DUMMYFUNCTION("""COMPUTED_VALUE"""),"")</f>
        <v/>
      </c>
      <c r="K104" s="185" t="str">
        <f>IFERROR(__xludf.DUMMYFUNCTION("""COMPUTED_VALUE"""),"")</f>
        <v/>
      </c>
      <c r="L104" s="185" t="s">
        <v>898</v>
      </c>
      <c r="M104" s="185" t="s">
        <v>898</v>
      </c>
      <c r="N104" s="185"/>
      <c r="O104" s="185"/>
      <c r="P104" s="185"/>
      <c r="Q104" s="185"/>
      <c r="R104" s="185"/>
      <c r="S104" s="185"/>
    </row>
    <row r="105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 t="str">
        <f>IFERROR(__xludf.DUMMYFUNCTION("""COMPUTED_VALUE"""),"")</f>
        <v/>
      </c>
      <c r="K105" s="185" t="str">
        <f>IFERROR(__xludf.DUMMYFUNCTION("""COMPUTED_VALUE"""),"")</f>
        <v/>
      </c>
      <c r="L105" s="185" t="s">
        <v>898</v>
      </c>
      <c r="M105" s="185" t="s">
        <v>898</v>
      </c>
      <c r="N105" s="185"/>
      <c r="O105" s="185"/>
      <c r="P105" s="185"/>
      <c r="Q105" s="185"/>
      <c r="R105" s="185"/>
      <c r="S105" s="185"/>
    </row>
    <row r="106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 t="str">
        <f>IFERROR(__xludf.DUMMYFUNCTION("""COMPUTED_VALUE"""),"")</f>
        <v/>
      </c>
      <c r="K106" s="185" t="str">
        <f>IFERROR(__xludf.DUMMYFUNCTION("""COMPUTED_VALUE"""),"")</f>
        <v/>
      </c>
      <c r="L106" s="185" t="s">
        <v>898</v>
      </c>
      <c r="M106" s="185" t="s">
        <v>898</v>
      </c>
      <c r="N106" s="185"/>
      <c r="O106" s="185"/>
      <c r="P106" s="185"/>
      <c r="Q106" s="185"/>
      <c r="R106" s="185"/>
      <c r="S106" s="185"/>
    </row>
    <row r="107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 t="str">
        <f>IFERROR(__xludf.DUMMYFUNCTION("""COMPUTED_VALUE"""),"")</f>
        <v/>
      </c>
      <c r="K107" s="185" t="str">
        <f>IFERROR(__xludf.DUMMYFUNCTION("""COMPUTED_VALUE"""),"")</f>
        <v/>
      </c>
      <c r="L107" s="185" t="s">
        <v>898</v>
      </c>
      <c r="M107" s="185" t="s">
        <v>898</v>
      </c>
      <c r="N107" s="185"/>
      <c r="O107" s="185"/>
      <c r="P107" s="185"/>
      <c r="Q107" s="185"/>
      <c r="R107" s="185"/>
      <c r="S107" s="185"/>
    </row>
    <row r="108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 t="str">
        <f>IFERROR(__xludf.DUMMYFUNCTION("""COMPUTED_VALUE"""),"")</f>
        <v/>
      </c>
      <c r="K108" s="185" t="str">
        <f>IFERROR(__xludf.DUMMYFUNCTION("""COMPUTED_VALUE"""),"")</f>
        <v/>
      </c>
      <c r="L108" s="185" t="s">
        <v>898</v>
      </c>
      <c r="M108" s="185" t="s">
        <v>898</v>
      </c>
      <c r="N108" s="185"/>
      <c r="O108" s="185"/>
      <c r="P108" s="185"/>
      <c r="Q108" s="185"/>
      <c r="R108" s="185"/>
      <c r="S108" s="185"/>
    </row>
    <row r="109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 t="str">
        <f>IFERROR(__xludf.DUMMYFUNCTION("""COMPUTED_VALUE"""),"")</f>
        <v/>
      </c>
      <c r="K109" s="185" t="str">
        <f>IFERROR(__xludf.DUMMYFUNCTION("""COMPUTED_VALUE"""),"")</f>
        <v/>
      </c>
      <c r="L109" s="185" t="s">
        <v>898</v>
      </c>
      <c r="M109" s="185" t="s">
        <v>898</v>
      </c>
      <c r="N109" s="185"/>
      <c r="O109" s="185"/>
      <c r="P109" s="185"/>
      <c r="Q109" s="185"/>
      <c r="R109" s="185"/>
      <c r="S109" s="185"/>
    </row>
    <row r="110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 t="str">
        <f>IFERROR(__xludf.DUMMYFUNCTION("""COMPUTED_VALUE"""),"")</f>
        <v/>
      </c>
      <c r="K110" s="185" t="str">
        <f>IFERROR(__xludf.DUMMYFUNCTION("""COMPUTED_VALUE"""),"")</f>
        <v/>
      </c>
      <c r="L110" s="185" t="s">
        <v>898</v>
      </c>
      <c r="M110" s="185" t="s">
        <v>898</v>
      </c>
      <c r="N110" s="185"/>
      <c r="O110" s="185"/>
      <c r="P110" s="185"/>
      <c r="Q110" s="185"/>
      <c r="R110" s="185"/>
      <c r="S110" s="185"/>
    </row>
    <row r="11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 t="str">
        <f>IFERROR(__xludf.DUMMYFUNCTION("""COMPUTED_VALUE"""),"")</f>
        <v/>
      </c>
      <c r="K111" s="185" t="str">
        <f>IFERROR(__xludf.DUMMYFUNCTION("""COMPUTED_VALUE"""),"")</f>
        <v/>
      </c>
      <c r="L111" s="185" t="s">
        <v>898</v>
      </c>
      <c r="M111" s="185" t="s">
        <v>898</v>
      </c>
      <c r="N111" s="185"/>
      <c r="O111" s="185"/>
      <c r="P111" s="185"/>
      <c r="Q111" s="185"/>
      <c r="R111" s="185"/>
      <c r="S111" s="185"/>
    </row>
    <row r="11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 t="str">
        <f>IFERROR(__xludf.DUMMYFUNCTION("""COMPUTED_VALUE"""),"")</f>
        <v/>
      </c>
      <c r="K112" s="185" t="str">
        <f>IFERROR(__xludf.DUMMYFUNCTION("""COMPUTED_VALUE"""),"")</f>
        <v/>
      </c>
      <c r="L112" s="185" t="s">
        <v>898</v>
      </c>
      <c r="M112" s="185" t="s">
        <v>898</v>
      </c>
      <c r="N112" s="185"/>
      <c r="O112" s="185"/>
      <c r="P112" s="185"/>
      <c r="Q112" s="185"/>
      <c r="R112" s="185"/>
      <c r="S112" s="185"/>
    </row>
    <row r="113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 t="str">
        <f>IFERROR(__xludf.DUMMYFUNCTION("""COMPUTED_VALUE"""),"")</f>
        <v/>
      </c>
      <c r="K113" s="185" t="str">
        <f>IFERROR(__xludf.DUMMYFUNCTION("""COMPUTED_VALUE"""),"")</f>
        <v/>
      </c>
      <c r="L113" s="185" t="s">
        <v>898</v>
      </c>
      <c r="M113" s="185" t="s">
        <v>898</v>
      </c>
      <c r="N113" s="185"/>
      <c r="O113" s="185"/>
      <c r="P113" s="185"/>
      <c r="Q113" s="185"/>
      <c r="R113" s="185"/>
      <c r="S113" s="185"/>
    </row>
    <row r="114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 t="str">
        <f>IFERROR(__xludf.DUMMYFUNCTION("""COMPUTED_VALUE"""),"")</f>
        <v/>
      </c>
      <c r="K114" s="185" t="str">
        <f>IFERROR(__xludf.DUMMYFUNCTION("""COMPUTED_VALUE"""),"")</f>
        <v/>
      </c>
      <c r="L114" s="185" t="s">
        <v>898</v>
      </c>
      <c r="M114" s="185" t="s">
        <v>898</v>
      </c>
      <c r="N114" s="185"/>
      <c r="O114" s="185"/>
      <c r="P114" s="185"/>
      <c r="Q114" s="185"/>
      <c r="R114" s="185"/>
      <c r="S114" s="185"/>
    </row>
    <row r="115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 t="str">
        <f>IFERROR(__xludf.DUMMYFUNCTION("""COMPUTED_VALUE"""),"")</f>
        <v/>
      </c>
      <c r="K115" s="185" t="str">
        <f>IFERROR(__xludf.DUMMYFUNCTION("""COMPUTED_VALUE"""),"")</f>
        <v/>
      </c>
      <c r="L115" s="185" t="s">
        <v>898</v>
      </c>
      <c r="M115" s="185" t="s">
        <v>898</v>
      </c>
      <c r="N115" s="185"/>
      <c r="O115" s="185"/>
      <c r="P115" s="185"/>
      <c r="Q115" s="185"/>
      <c r="R115" s="185"/>
      <c r="S115" s="185"/>
    </row>
    <row r="116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 t="str">
        <f>IFERROR(__xludf.DUMMYFUNCTION("""COMPUTED_VALUE"""),"")</f>
        <v/>
      </c>
      <c r="K116" s="185" t="str">
        <f>IFERROR(__xludf.DUMMYFUNCTION("""COMPUTED_VALUE"""),"")</f>
        <v/>
      </c>
      <c r="L116" s="185" t="s">
        <v>898</v>
      </c>
      <c r="M116" s="185" t="s">
        <v>898</v>
      </c>
      <c r="N116" s="185"/>
      <c r="O116" s="185"/>
      <c r="P116" s="185"/>
      <c r="Q116" s="185"/>
      <c r="R116" s="185"/>
      <c r="S116" s="185"/>
    </row>
    <row r="117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 t="str">
        <f>IFERROR(__xludf.DUMMYFUNCTION("""COMPUTED_VALUE"""),"")</f>
        <v/>
      </c>
      <c r="K117" s="185" t="str">
        <f>IFERROR(__xludf.DUMMYFUNCTION("""COMPUTED_VALUE"""),"")</f>
        <v/>
      </c>
      <c r="L117" s="185" t="s">
        <v>898</v>
      </c>
      <c r="M117" s="185" t="s">
        <v>898</v>
      </c>
      <c r="N117" s="185"/>
      <c r="O117" s="185"/>
      <c r="P117" s="185"/>
      <c r="Q117" s="185"/>
      <c r="R117" s="185"/>
      <c r="S117" s="185"/>
    </row>
    <row r="118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 t="str">
        <f>IFERROR(__xludf.DUMMYFUNCTION("""COMPUTED_VALUE"""),"")</f>
        <v/>
      </c>
      <c r="K118" s="185" t="str">
        <f>IFERROR(__xludf.DUMMYFUNCTION("""COMPUTED_VALUE"""),"")</f>
        <v/>
      </c>
      <c r="L118" s="185" t="s">
        <v>898</v>
      </c>
      <c r="M118" s="185" t="s">
        <v>898</v>
      </c>
      <c r="N118" s="185"/>
      <c r="O118" s="185"/>
      <c r="P118" s="185"/>
      <c r="Q118" s="185"/>
      <c r="R118" s="185"/>
      <c r="S118" s="185"/>
    </row>
    <row r="119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 t="str">
        <f>IFERROR(__xludf.DUMMYFUNCTION("""COMPUTED_VALUE"""),"")</f>
        <v/>
      </c>
      <c r="K119" s="185" t="str">
        <f>IFERROR(__xludf.DUMMYFUNCTION("""COMPUTED_VALUE"""),"")</f>
        <v/>
      </c>
      <c r="L119" s="185" t="s">
        <v>898</v>
      </c>
      <c r="M119" s="185" t="s">
        <v>898</v>
      </c>
      <c r="N119" s="185"/>
      <c r="O119" s="185"/>
      <c r="P119" s="185"/>
      <c r="Q119" s="185"/>
      <c r="R119" s="185"/>
      <c r="S119" s="185"/>
    </row>
    <row r="120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 t="str">
        <f>IFERROR(__xludf.DUMMYFUNCTION("""COMPUTED_VALUE"""),"")</f>
        <v/>
      </c>
      <c r="K120" s="185" t="str">
        <f>IFERROR(__xludf.DUMMYFUNCTION("""COMPUTED_VALUE"""),"")</f>
        <v/>
      </c>
      <c r="L120" s="185" t="s">
        <v>898</v>
      </c>
      <c r="M120" s="185" t="s">
        <v>898</v>
      </c>
      <c r="N120" s="185"/>
      <c r="O120" s="185"/>
      <c r="P120" s="185"/>
      <c r="Q120" s="185"/>
      <c r="R120" s="185"/>
      <c r="S120" s="185"/>
    </row>
    <row r="12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 t="str">
        <f>IFERROR(__xludf.DUMMYFUNCTION("""COMPUTED_VALUE"""),"")</f>
        <v/>
      </c>
      <c r="K121" s="185" t="str">
        <f>IFERROR(__xludf.DUMMYFUNCTION("""COMPUTED_VALUE"""),"")</f>
        <v/>
      </c>
      <c r="L121" s="185" t="s">
        <v>898</v>
      </c>
      <c r="M121" s="185" t="s">
        <v>898</v>
      </c>
      <c r="N121" s="185"/>
      <c r="O121" s="185"/>
      <c r="P121" s="185"/>
      <c r="Q121" s="185"/>
      <c r="R121" s="185"/>
      <c r="S121" s="185"/>
    </row>
    <row r="12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 t="str">
        <f>IFERROR(__xludf.DUMMYFUNCTION("""COMPUTED_VALUE"""),"")</f>
        <v/>
      </c>
      <c r="K122" s="185" t="str">
        <f>IFERROR(__xludf.DUMMYFUNCTION("""COMPUTED_VALUE"""),"")</f>
        <v/>
      </c>
      <c r="L122" s="185" t="s">
        <v>898</v>
      </c>
      <c r="M122" s="185" t="s">
        <v>898</v>
      </c>
      <c r="N122" s="185"/>
      <c r="O122" s="185"/>
      <c r="P122" s="185"/>
      <c r="Q122" s="185"/>
      <c r="R122" s="185"/>
      <c r="S122" s="185"/>
    </row>
    <row r="123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 t="str">
        <f>IFERROR(__xludf.DUMMYFUNCTION("""COMPUTED_VALUE"""),"")</f>
        <v/>
      </c>
      <c r="K123" s="185" t="str">
        <f>IFERROR(__xludf.DUMMYFUNCTION("""COMPUTED_VALUE"""),"")</f>
        <v/>
      </c>
      <c r="L123" s="185" t="s">
        <v>898</v>
      </c>
      <c r="M123" s="185" t="s">
        <v>898</v>
      </c>
      <c r="N123" s="185"/>
      <c r="O123" s="185"/>
      <c r="P123" s="185"/>
      <c r="Q123" s="185"/>
      <c r="R123" s="185"/>
      <c r="S123" s="185"/>
    </row>
    <row r="124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 t="str">
        <f>IFERROR(__xludf.DUMMYFUNCTION("""COMPUTED_VALUE"""),"")</f>
        <v/>
      </c>
      <c r="K124" s="185" t="str">
        <f>IFERROR(__xludf.DUMMYFUNCTION("""COMPUTED_VALUE"""),"")</f>
        <v/>
      </c>
      <c r="L124" s="185" t="s">
        <v>898</v>
      </c>
      <c r="M124" s="185" t="s">
        <v>898</v>
      </c>
      <c r="N124" s="185"/>
      <c r="O124" s="185"/>
      <c r="P124" s="185"/>
      <c r="Q124" s="185"/>
      <c r="R124" s="185"/>
      <c r="S124" s="185"/>
    </row>
    <row r="125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 t="str">
        <f>IFERROR(__xludf.DUMMYFUNCTION("""COMPUTED_VALUE"""),"")</f>
        <v/>
      </c>
      <c r="K125" s="185" t="str">
        <f>IFERROR(__xludf.DUMMYFUNCTION("""COMPUTED_VALUE"""),"")</f>
        <v/>
      </c>
      <c r="L125" s="185" t="s">
        <v>898</v>
      </c>
      <c r="M125" s="185" t="s">
        <v>898</v>
      </c>
      <c r="N125" s="185"/>
      <c r="O125" s="185"/>
      <c r="P125" s="185"/>
      <c r="Q125" s="185"/>
      <c r="R125" s="185"/>
      <c r="S125" s="185"/>
    </row>
    <row r="126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 t="str">
        <f>IFERROR(__xludf.DUMMYFUNCTION("""COMPUTED_VALUE"""),"")</f>
        <v/>
      </c>
      <c r="K126" s="185" t="str">
        <f>IFERROR(__xludf.DUMMYFUNCTION("""COMPUTED_VALUE"""),"")</f>
        <v/>
      </c>
      <c r="L126" s="185" t="s">
        <v>898</v>
      </c>
      <c r="M126" s="185" t="s">
        <v>898</v>
      </c>
      <c r="N126" s="185"/>
      <c r="O126" s="185"/>
      <c r="P126" s="185"/>
      <c r="Q126" s="185"/>
      <c r="R126" s="185"/>
      <c r="S126" s="185"/>
    </row>
    <row r="127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 t="str">
        <f>IFERROR(__xludf.DUMMYFUNCTION("""COMPUTED_VALUE"""),"")</f>
        <v/>
      </c>
      <c r="K127" s="185" t="str">
        <f>IFERROR(__xludf.DUMMYFUNCTION("""COMPUTED_VALUE"""),"")</f>
        <v/>
      </c>
      <c r="L127" s="185" t="s">
        <v>898</v>
      </c>
      <c r="M127" s="185" t="s">
        <v>898</v>
      </c>
      <c r="N127" s="185"/>
      <c r="O127" s="185"/>
      <c r="P127" s="185"/>
      <c r="Q127" s="185"/>
      <c r="R127" s="185"/>
      <c r="S127" s="185"/>
    </row>
    <row r="128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 t="str">
        <f>IFERROR(__xludf.DUMMYFUNCTION("""COMPUTED_VALUE"""),"")</f>
        <v/>
      </c>
      <c r="K128" s="185" t="str">
        <f>IFERROR(__xludf.DUMMYFUNCTION("""COMPUTED_VALUE"""),"")</f>
        <v/>
      </c>
      <c r="L128" s="185" t="s">
        <v>898</v>
      </c>
      <c r="M128" s="185" t="s">
        <v>898</v>
      </c>
      <c r="N128" s="185"/>
      <c r="O128" s="185"/>
      <c r="P128" s="185"/>
      <c r="Q128" s="185"/>
      <c r="R128" s="185"/>
      <c r="S128" s="185"/>
    </row>
    <row r="129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 t="str">
        <f>IFERROR(__xludf.DUMMYFUNCTION("""COMPUTED_VALUE"""),"")</f>
        <v/>
      </c>
      <c r="K129" s="185" t="str">
        <f>IFERROR(__xludf.DUMMYFUNCTION("""COMPUTED_VALUE"""),"")</f>
        <v/>
      </c>
      <c r="L129" s="185" t="s">
        <v>898</v>
      </c>
      <c r="M129" s="185" t="s">
        <v>898</v>
      </c>
      <c r="N129" s="185"/>
      <c r="O129" s="185"/>
      <c r="P129" s="185"/>
      <c r="Q129" s="185"/>
      <c r="R129" s="185"/>
      <c r="S129" s="185"/>
    </row>
    <row r="130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 t="str">
        <f>IFERROR(__xludf.DUMMYFUNCTION("""COMPUTED_VALUE"""),"")</f>
        <v/>
      </c>
      <c r="K130" s="185" t="str">
        <f>IFERROR(__xludf.DUMMYFUNCTION("""COMPUTED_VALUE"""),"")</f>
        <v/>
      </c>
      <c r="L130" s="185" t="s">
        <v>898</v>
      </c>
      <c r="M130" s="185" t="s">
        <v>898</v>
      </c>
      <c r="N130" s="185"/>
      <c r="O130" s="185"/>
      <c r="P130" s="185"/>
      <c r="Q130" s="185"/>
      <c r="R130" s="185"/>
      <c r="S130" s="185"/>
    </row>
    <row r="13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 t="str">
        <f>IFERROR(__xludf.DUMMYFUNCTION("""COMPUTED_VALUE"""),"")</f>
        <v/>
      </c>
      <c r="K131" s="185" t="str">
        <f>IFERROR(__xludf.DUMMYFUNCTION("""COMPUTED_VALUE"""),"")</f>
        <v/>
      </c>
      <c r="L131" s="185" t="s">
        <v>898</v>
      </c>
      <c r="M131" s="185" t="s">
        <v>898</v>
      </c>
      <c r="N131" s="185"/>
      <c r="O131" s="185"/>
      <c r="P131" s="185"/>
      <c r="Q131" s="185"/>
      <c r="R131" s="185"/>
      <c r="S131" s="185"/>
    </row>
    <row r="132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 t="str">
        <f>IFERROR(__xludf.DUMMYFUNCTION("""COMPUTED_VALUE"""),"")</f>
        <v/>
      </c>
      <c r="K132" s="185" t="str">
        <f>IFERROR(__xludf.DUMMYFUNCTION("""COMPUTED_VALUE"""),"")</f>
        <v/>
      </c>
      <c r="L132" s="185" t="s">
        <v>898</v>
      </c>
      <c r="M132" s="185" t="s">
        <v>898</v>
      </c>
      <c r="N132" s="185"/>
      <c r="O132" s="185"/>
      <c r="P132" s="185"/>
      <c r="Q132" s="185"/>
      <c r="R132" s="185"/>
      <c r="S132" s="185"/>
    </row>
    <row r="133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 t="str">
        <f>IFERROR(__xludf.DUMMYFUNCTION("""COMPUTED_VALUE"""),"")</f>
        <v/>
      </c>
      <c r="K133" s="185" t="str">
        <f>IFERROR(__xludf.DUMMYFUNCTION("""COMPUTED_VALUE"""),"")</f>
        <v/>
      </c>
      <c r="L133" s="185" t="s">
        <v>898</v>
      </c>
      <c r="M133" s="185" t="s">
        <v>898</v>
      </c>
      <c r="N133" s="185"/>
      <c r="O133" s="185"/>
      <c r="P133" s="185"/>
      <c r="Q133" s="185"/>
      <c r="R133" s="185"/>
      <c r="S133" s="185"/>
    </row>
    <row r="134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 t="str">
        <f>IFERROR(__xludf.DUMMYFUNCTION("""COMPUTED_VALUE"""),"")</f>
        <v/>
      </c>
      <c r="K134" s="185" t="str">
        <f>IFERROR(__xludf.DUMMYFUNCTION("""COMPUTED_VALUE"""),"")</f>
        <v/>
      </c>
      <c r="L134" s="185" t="s">
        <v>898</v>
      </c>
      <c r="M134" s="185" t="s">
        <v>898</v>
      </c>
      <c r="N134" s="185"/>
      <c r="O134" s="185"/>
      <c r="P134" s="185"/>
      <c r="Q134" s="185"/>
      <c r="R134" s="185"/>
      <c r="S134" s="185"/>
    </row>
    <row r="135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 t="str">
        <f>IFERROR(__xludf.DUMMYFUNCTION("""COMPUTED_VALUE"""),"")</f>
        <v/>
      </c>
      <c r="K135" s="185" t="str">
        <f>IFERROR(__xludf.DUMMYFUNCTION("""COMPUTED_VALUE"""),"")</f>
        <v/>
      </c>
      <c r="L135" s="185" t="s">
        <v>898</v>
      </c>
      <c r="M135" s="185" t="s">
        <v>898</v>
      </c>
      <c r="N135" s="185"/>
      <c r="O135" s="185"/>
      <c r="P135" s="185"/>
      <c r="Q135" s="185"/>
      <c r="R135" s="185"/>
      <c r="S135" s="185"/>
    </row>
    <row r="136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 t="str">
        <f>IFERROR(__xludf.DUMMYFUNCTION("""COMPUTED_VALUE"""),"")</f>
        <v/>
      </c>
      <c r="K136" s="185" t="str">
        <f>IFERROR(__xludf.DUMMYFUNCTION("""COMPUTED_VALUE"""),"")</f>
        <v/>
      </c>
      <c r="L136" s="185" t="s">
        <v>898</v>
      </c>
      <c r="M136" s="185" t="s">
        <v>898</v>
      </c>
      <c r="N136" s="185"/>
      <c r="O136" s="185"/>
      <c r="P136" s="185"/>
      <c r="Q136" s="185"/>
      <c r="R136" s="185"/>
      <c r="S136" s="185"/>
    </row>
    <row r="137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 t="str">
        <f>IFERROR(__xludf.DUMMYFUNCTION("""COMPUTED_VALUE"""),"")</f>
        <v/>
      </c>
      <c r="K137" s="185" t="str">
        <f>IFERROR(__xludf.DUMMYFUNCTION("""COMPUTED_VALUE"""),"")</f>
        <v/>
      </c>
      <c r="L137" s="185" t="s">
        <v>898</v>
      </c>
      <c r="M137" s="185" t="s">
        <v>898</v>
      </c>
      <c r="N137" s="185"/>
      <c r="O137" s="185"/>
      <c r="P137" s="185"/>
      <c r="Q137" s="185"/>
      <c r="R137" s="185"/>
      <c r="S137" s="185"/>
    </row>
    <row r="138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 t="str">
        <f>IFERROR(__xludf.DUMMYFUNCTION("""COMPUTED_VALUE"""),"")</f>
        <v/>
      </c>
      <c r="K138" s="185" t="str">
        <f>IFERROR(__xludf.DUMMYFUNCTION("""COMPUTED_VALUE"""),"")</f>
        <v/>
      </c>
      <c r="L138" s="185" t="s">
        <v>898</v>
      </c>
      <c r="M138" s="185" t="s">
        <v>898</v>
      </c>
      <c r="N138" s="185"/>
      <c r="O138" s="185"/>
      <c r="P138" s="185"/>
      <c r="Q138" s="185"/>
      <c r="R138" s="185"/>
      <c r="S138" s="185"/>
    </row>
    <row r="139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 t="str">
        <f>IFERROR(__xludf.DUMMYFUNCTION("""COMPUTED_VALUE"""),"")</f>
        <v/>
      </c>
      <c r="K139" s="185" t="str">
        <f>IFERROR(__xludf.DUMMYFUNCTION("""COMPUTED_VALUE"""),"")</f>
        <v/>
      </c>
      <c r="L139" s="185" t="s">
        <v>898</v>
      </c>
      <c r="M139" s="185" t="s">
        <v>898</v>
      </c>
      <c r="N139" s="185"/>
      <c r="O139" s="185"/>
      <c r="P139" s="185"/>
      <c r="Q139" s="185"/>
      <c r="R139" s="185"/>
      <c r="S139" s="185"/>
    </row>
    <row r="140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 t="str">
        <f>IFERROR(__xludf.DUMMYFUNCTION("""COMPUTED_VALUE"""),"")</f>
        <v/>
      </c>
      <c r="K140" s="185" t="str">
        <f>IFERROR(__xludf.DUMMYFUNCTION("""COMPUTED_VALUE"""),"")</f>
        <v/>
      </c>
      <c r="L140" s="185" t="s">
        <v>898</v>
      </c>
      <c r="M140" s="185" t="s">
        <v>898</v>
      </c>
      <c r="N140" s="185"/>
      <c r="O140" s="185"/>
      <c r="P140" s="185"/>
      <c r="Q140" s="185"/>
      <c r="R140" s="185"/>
      <c r="S140" s="185"/>
    </row>
    <row r="14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 t="str">
        <f>IFERROR(__xludf.DUMMYFUNCTION("""COMPUTED_VALUE"""),"")</f>
        <v/>
      </c>
      <c r="K141" s="185" t="str">
        <f>IFERROR(__xludf.DUMMYFUNCTION("""COMPUTED_VALUE"""),"")</f>
        <v/>
      </c>
      <c r="L141" s="185" t="s">
        <v>898</v>
      </c>
      <c r="M141" s="185" t="s">
        <v>898</v>
      </c>
      <c r="N141" s="185"/>
      <c r="O141" s="185"/>
      <c r="P141" s="185"/>
      <c r="Q141" s="185"/>
      <c r="R141" s="185"/>
      <c r="S141" s="185"/>
    </row>
    <row r="142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 t="str">
        <f>IFERROR(__xludf.DUMMYFUNCTION("""COMPUTED_VALUE"""),"")</f>
        <v/>
      </c>
      <c r="K142" s="185" t="str">
        <f>IFERROR(__xludf.DUMMYFUNCTION("""COMPUTED_VALUE"""),"")</f>
        <v/>
      </c>
      <c r="L142" s="185" t="s">
        <v>898</v>
      </c>
      <c r="M142" s="185" t="s">
        <v>898</v>
      </c>
      <c r="N142" s="185"/>
      <c r="O142" s="185"/>
      <c r="P142" s="185"/>
      <c r="Q142" s="185"/>
      <c r="R142" s="185"/>
      <c r="S142" s="185"/>
    </row>
    <row r="143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 t="str">
        <f>IFERROR(__xludf.DUMMYFUNCTION("""COMPUTED_VALUE"""),"")</f>
        <v/>
      </c>
      <c r="K143" s="185" t="str">
        <f>IFERROR(__xludf.DUMMYFUNCTION("""COMPUTED_VALUE"""),"")</f>
        <v/>
      </c>
      <c r="L143" s="185" t="s">
        <v>898</v>
      </c>
      <c r="M143" s="185" t="s">
        <v>898</v>
      </c>
      <c r="N143" s="185"/>
      <c r="O143" s="185"/>
      <c r="P143" s="185"/>
      <c r="Q143" s="185"/>
      <c r="R143" s="185"/>
      <c r="S143" s="185"/>
    </row>
    <row r="144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 t="str">
        <f>IFERROR(__xludf.DUMMYFUNCTION("""COMPUTED_VALUE"""),"")</f>
        <v/>
      </c>
      <c r="K144" s="185" t="str">
        <f>IFERROR(__xludf.DUMMYFUNCTION("""COMPUTED_VALUE"""),"")</f>
        <v/>
      </c>
      <c r="L144" s="185" t="s">
        <v>898</v>
      </c>
      <c r="M144" s="185" t="s">
        <v>898</v>
      </c>
      <c r="N144" s="185"/>
      <c r="O144" s="185"/>
      <c r="P144" s="185"/>
      <c r="Q144" s="185"/>
      <c r="R144" s="185"/>
      <c r="S144" s="185"/>
    </row>
    <row r="145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 t="str">
        <f>IFERROR(__xludf.DUMMYFUNCTION("""COMPUTED_VALUE"""),"")</f>
        <v/>
      </c>
      <c r="K145" s="185" t="str">
        <f>IFERROR(__xludf.DUMMYFUNCTION("""COMPUTED_VALUE"""),"")</f>
        <v/>
      </c>
      <c r="L145" s="185" t="s">
        <v>898</v>
      </c>
      <c r="M145" s="185" t="s">
        <v>898</v>
      </c>
      <c r="N145" s="185"/>
      <c r="O145" s="185"/>
      <c r="P145" s="185"/>
      <c r="Q145" s="185"/>
      <c r="R145" s="185"/>
      <c r="S145" s="185"/>
    </row>
    <row r="146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 t="str">
        <f>IFERROR(__xludf.DUMMYFUNCTION("""COMPUTED_VALUE"""),"")</f>
        <v/>
      </c>
      <c r="K146" s="185" t="str">
        <f>IFERROR(__xludf.DUMMYFUNCTION("""COMPUTED_VALUE"""),"")</f>
        <v/>
      </c>
      <c r="L146" s="185" t="s">
        <v>898</v>
      </c>
      <c r="M146" s="185" t="s">
        <v>898</v>
      </c>
      <c r="N146" s="185"/>
      <c r="O146" s="185"/>
      <c r="P146" s="185"/>
      <c r="Q146" s="185"/>
      <c r="R146" s="185"/>
      <c r="S146" s="185"/>
    </row>
    <row r="147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 t="str">
        <f>IFERROR(__xludf.DUMMYFUNCTION("""COMPUTED_VALUE"""),"")</f>
        <v/>
      </c>
      <c r="K147" s="185" t="str">
        <f>IFERROR(__xludf.DUMMYFUNCTION("""COMPUTED_VALUE"""),"")</f>
        <v/>
      </c>
      <c r="L147" s="185" t="s">
        <v>898</v>
      </c>
      <c r="M147" s="185" t="s">
        <v>898</v>
      </c>
      <c r="N147" s="185"/>
      <c r="O147" s="185"/>
      <c r="P147" s="185"/>
      <c r="Q147" s="185"/>
      <c r="R147" s="185"/>
      <c r="S147" s="185"/>
    </row>
    <row r="148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 t="str">
        <f>IFERROR(__xludf.DUMMYFUNCTION("""COMPUTED_VALUE"""),"")</f>
        <v/>
      </c>
      <c r="K148" s="185" t="str">
        <f>IFERROR(__xludf.DUMMYFUNCTION("""COMPUTED_VALUE"""),"")</f>
        <v/>
      </c>
      <c r="L148" s="185" t="s">
        <v>898</v>
      </c>
      <c r="M148" s="185" t="s">
        <v>898</v>
      </c>
      <c r="N148" s="185"/>
      <c r="O148" s="185"/>
      <c r="P148" s="185"/>
      <c r="Q148" s="185"/>
      <c r="R148" s="185"/>
      <c r="S148" s="185"/>
    </row>
    <row r="149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 t="str">
        <f>IFERROR(__xludf.DUMMYFUNCTION("""COMPUTED_VALUE"""),"")</f>
        <v/>
      </c>
      <c r="K149" s="185" t="str">
        <f>IFERROR(__xludf.DUMMYFUNCTION("""COMPUTED_VALUE"""),"")</f>
        <v/>
      </c>
      <c r="L149" s="185" t="s">
        <v>898</v>
      </c>
      <c r="M149" s="185" t="s">
        <v>898</v>
      </c>
      <c r="N149" s="185"/>
      <c r="O149" s="185"/>
      <c r="P149" s="185"/>
      <c r="Q149" s="185"/>
      <c r="R149" s="185"/>
      <c r="S149" s="185"/>
    </row>
    <row r="150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 t="str">
        <f>IFERROR(__xludf.DUMMYFUNCTION("""COMPUTED_VALUE"""),"")</f>
        <v/>
      </c>
      <c r="K150" s="185" t="str">
        <f>IFERROR(__xludf.DUMMYFUNCTION("""COMPUTED_VALUE"""),"")</f>
        <v/>
      </c>
      <c r="L150" s="185" t="s">
        <v>898</v>
      </c>
      <c r="M150" s="185" t="s">
        <v>898</v>
      </c>
      <c r="N150" s="185"/>
      <c r="O150" s="185"/>
      <c r="P150" s="185"/>
      <c r="Q150" s="185"/>
      <c r="R150" s="185"/>
      <c r="S150" s="185"/>
    </row>
    <row r="15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 t="str">
        <f>IFERROR(__xludf.DUMMYFUNCTION("""COMPUTED_VALUE"""),"")</f>
        <v/>
      </c>
      <c r="K151" s="185" t="str">
        <f>IFERROR(__xludf.DUMMYFUNCTION("""COMPUTED_VALUE"""),"")</f>
        <v/>
      </c>
      <c r="L151" s="185" t="s">
        <v>898</v>
      </c>
      <c r="M151" s="185" t="s">
        <v>898</v>
      </c>
      <c r="N151" s="185"/>
      <c r="O151" s="185"/>
      <c r="P151" s="185"/>
      <c r="Q151" s="185"/>
      <c r="R151" s="185"/>
      <c r="S151" s="185"/>
    </row>
    <row r="152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 t="str">
        <f>IFERROR(__xludf.DUMMYFUNCTION("""COMPUTED_VALUE"""),"")</f>
        <v/>
      </c>
      <c r="K152" s="185" t="str">
        <f>IFERROR(__xludf.DUMMYFUNCTION("""COMPUTED_VALUE"""),"")</f>
        <v/>
      </c>
      <c r="L152" s="185" t="s">
        <v>898</v>
      </c>
      <c r="M152" s="185" t="s">
        <v>898</v>
      </c>
      <c r="N152" s="185"/>
      <c r="O152" s="185"/>
      <c r="P152" s="185"/>
      <c r="Q152" s="185"/>
      <c r="R152" s="185"/>
      <c r="S152" s="185"/>
    </row>
    <row r="153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 t="str">
        <f>IFERROR(__xludf.DUMMYFUNCTION("""COMPUTED_VALUE"""),"")</f>
        <v/>
      </c>
      <c r="K153" s="185" t="str">
        <f>IFERROR(__xludf.DUMMYFUNCTION("""COMPUTED_VALUE"""),"")</f>
        <v/>
      </c>
      <c r="L153" s="185" t="s">
        <v>898</v>
      </c>
      <c r="M153" s="185" t="s">
        <v>898</v>
      </c>
      <c r="N153" s="185"/>
      <c r="O153" s="185"/>
      <c r="P153" s="185"/>
      <c r="Q153" s="185"/>
      <c r="R153" s="185"/>
      <c r="S153" s="185"/>
    </row>
    <row r="154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 t="str">
        <f>IFERROR(__xludf.DUMMYFUNCTION("""COMPUTED_VALUE"""),"")</f>
        <v/>
      </c>
      <c r="K154" s="185" t="str">
        <f>IFERROR(__xludf.DUMMYFUNCTION("""COMPUTED_VALUE"""),"")</f>
        <v/>
      </c>
      <c r="L154" s="185" t="s">
        <v>898</v>
      </c>
      <c r="M154" s="185" t="s">
        <v>898</v>
      </c>
      <c r="N154" s="185"/>
      <c r="O154" s="185"/>
      <c r="P154" s="185"/>
      <c r="Q154" s="185"/>
      <c r="R154" s="185"/>
      <c r="S154" s="185"/>
    </row>
    <row r="155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 t="str">
        <f>IFERROR(__xludf.DUMMYFUNCTION("""COMPUTED_VALUE"""),"")</f>
        <v/>
      </c>
      <c r="K155" s="185" t="str">
        <f>IFERROR(__xludf.DUMMYFUNCTION("""COMPUTED_VALUE"""),"")</f>
        <v/>
      </c>
      <c r="L155" s="185" t="s">
        <v>898</v>
      </c>
      <c r="M155" s="185" t="s">
        <v>898</v>
      </c>
      <c r="N155" s="185"/>
      <c r="O155" s="185"/>
      <c r="P155" s="185"/>
      <c r="Q155" s="185"/>
      <c r="R155" s="185"/>
      <c r="S155" s="185"/>
    </row>
    <row r="156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 t="str">
        <f>IFERROR(__xludf.DUMMYFUNCTION("""COMPUTED_VALUE"""),"")</f>
        <v/>
      </c>
      <c r="K156" s="185" t="str">
        <f>IFERROR(__xludf.DUMMYFUNCTION("""COMPUTED_VALUE"""),"")</f>
        <v/>
      </c>
      <c r="L156" s="185" t="s">
        <v>898</v>
      </c>
      <c r="M156" s="185" t="s">
        <v>898</v>
      </c>
      <c r="N156" s="185"/>
      <c r="O156" s="185"/>
      <c r="P156" s="185"/>
      <c r="Q156" s="185"/>
      <c r="R156" s="185"/>
      <c r="S156" s="185"/>
    </row>
    <row r="157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 t="str">
        <f>IFERROR(__xludf.DUMMYFUNCTION("""COMPUTED_VALUE"""),"")</f>
        <v/>
      </c>
      <c r="K157" s="185" t="str">
        <f>IFERROR(__xludf.DUMMYFUNCTION("""COMPUTED_VALUE"""),"")</f>
        <v/>
      </c>
      <c r="L157" s="185" t="s">
        <v>898</v>
      </c>
      <c r="M157" s="185" t="s">
        <v>898</v>
      </c>
      <c r="N157" s="185"/>
      <c r="O157" s="185"/>
      <c r="P157" s="185"/>
      <c r="Q157" s="185"/>
      <c r="R157" s="185"/>
      <c r="S157" s="185"/>
    </row>
    <row r="158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 t="str">
        <f>IFERROR(__xludf.DUMMYFUNCTION("""COMPUTED_VALUE"""),"")</f>
        <v/>
      </c>
      <c r="K158" s="185" t="str">
        <f>IFERROR(__xludf.DUMMYFUNCTION("""COMPUTED_VALUE"""),"")</f>
        <v/>
      </c>
      <c r="L158" s="185" t="s">
        <v>898</v>
      </c>
      <c r="M158" s="185" t="s">
        <v>898</v>
      </c>
      <c r="N158" s="185"/>
      <c r="O158" s="185"/>
      <c r="P158" s="185"/>
      <c r="Q158" s="185"/>
      <c r="R158" s="185"/>
      <c r="S158" s="185"/>
    </row>
    <row r="159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 t="str">
        <f>IFERROR(__xludf.DUMMYFUNCTION("""COMPUTED_VALUE"""),"")</f>
        <v/>
      </c>
      <c r="K159" s="185" t="str">
        <f>IFERROR(__xludf.DUMMYFUNCTION("""COMPUTED_VALUE"""),"")</f>
        <v/>
      </c>
      <c r="L159" s="185" t="s">
        <v>898</v>
      </c>
      <c r="M159" s="185" t="s">
        <v>898</v>
      </c>
      <c r="N159" s="185"/>
      <c r="O159" s="185"/>
      <c r="P159" s="185"/>
      <c r="Q159" s="185"/>
      <c r="R159" s="185"/>
      <c r="S159" s="185"/>
    </row>
    <row r="160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 t="str">
        <f>IFERROR(__xludf.DUMMYFUNCTION("""COMPUTED_VALUE"""),"")</f>
        <v/>
      </c>
      <c r="K160" s="185" t="str">
        <f>IFERROR(__xludf.DUMMYFUNCTION("""COMPUTED_VALUE"""),"")</f>
        <v/>
      </c>
      <c r="L160" s="185" t="s">
        <v>898</v>
      </c>
      <c r="M160" s="185" t="s">
        <v>898</v>
      </c>
      <c r="N160" s="185"/>
      <c r="O160" s="185"/>
      <c r="P160" s="185"/>
      <c r="Q160" s="185"/>
      <c r="R160" s="185"/>
      <c r="S160" s="185"/>
    </row>
    <row r="16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 t="str">
        <f>IFERROR(__xludf.DUMMYFUNCTION("""COMPUTED_VALUE"""),"")</f>
        <v/>
      </c>
      <c r="K161" s="185" t="str">
        <f>IFERROR(__xludf.DUMMYFUNCTION("""COMPUTED_VALUE"""),"")</f>
        <v/>
      </c>
      <c r="L161" s="185" t="s">
        <v>898</v>
      </c>
      <c r="M161" s="185" t="s">
        <v>898</v>
      </c>
      <c r="N161" s="185"/>
      <c r="O161" s="185"/>
      <c r="P161" s="185"/>
      <c r="Q161" s="185"/>
      <c r="R161" s="185"/>
      <c r="S161" s="185"/>
    </row>
    <row r="162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 t="str">
        <f>IFERROR(__xludf.DUMMYFUNCTION("""COMPUTED_VALUE"""),"")</f>
        <v/>
      </c>
      <c r="K162" s="185" t="str">
        <f>IFERROR(__xludf.DUMMYFUNCTION("""COMPUTED_VALUE"""),"")</f>
        <v/>
      </c>
      <c r="L162" s="185" t="s">
        <v>898</v>
      </c>
      <c r="M162" s="185" t="s">
        <v>898</v>
      </c>
      <c r="N162" s="185"/>
      <c r="O162" s="185"/>
      <c r="P162" s="185"/>
      <c r="Q162" s="185"/>
      <c r="R162" s="185"/>
      <c r="S162" s="185"/>
    </row>
    <row r="163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 t="str">
        <f>IFERROR(__xludf.DUMMYFUNCTION("""COMPUTED_VALUE"""),"")</f>
        <v/>
      </c>
      <c r="K163" s="185" t="str">
        <f>IFERROR(__xludf.DUMMYFUNCTION("""COMPUTED_VALUE"""),"")</f>
        <v/>
      </c>
      <c r="L163" s="185" t="s">
        <v>898</v>
      </c>
      <c r="M163" s="185" t="s">
        <v>898</v>
      </c>
      <c r="N163" s="185"/>
      <c r="O163" s="185"/>
      <c r="P163" s="185"/>
      <c r="Q163" s="185"/>
      <c r="R163" s="185"/>
      <c r="S163" s="185"/>
    </row>
    <row r="164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 t="str">
        <f>IFERROR(__xludf.DUMMYFUNCTION("""COMPUTED_VALUE"""),"")</f>
        <v/>
      </c>
      <c r="K164" s="185" t="str">
        <f>IFERROR(__xludf.DUMMYFUNCTION("""COMPUTED_VALUE"""),"")</f>
        <v/>
      </c>
      <c r="L164" s="185" t="s">
        <v>898</v>
      </c>
      <c r="M164" s="185" t="s">
        <v>898</v>
      </c>
      <c r="N164" s="185"/>
      <c r="O164" s="185"/>
      <c r="P164" s="185"/>
      <c r="Q164" s="185"/>
      <c r="R164" s="185"/>
      <c r="S164" s="185"/>
    </row>
    <row r="165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 t="str">
        <f>IFERROR(__xludf.DUMMYFUNCTION("""COMPUTED_VALUE"""),"")</f>
        <v/>
      </c>
      <c r="K165" s="185" t="str">
        <f>IFERROR(__xludf.DUMMYFUNCTION("""COMPUTED_VALUE"""),"")</f>
        <v/>
      </c>
      <c r="L165" s="185" t="s">
        <v>898</v>
      </c>
      <c r="M165" s="185" t="s">
        <v>898</v>
      </c>
      <c r="N165" s="185"/>
      <c r="O165" s="185"/>
      <c r="P165" s="185"/>
      <c r="Q165" s="185"/>
      <c r="R165" s="185"/>
      <c r="S165" s="185"/>
    </row>
    <row r="166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 t="str">
        <f>IFERROR(__xludf.DUMMYFUNCTION("""COMPUTED_VALUE"""),"")</f>
        <v/>
      </c>
      <c r="K166" s="185" t="str">
        <f>IFERROR(__xludf.DUMMYFUNCTION("""COMPUTED_VALUE"""),"")</f>
        <v/>
      </c>
      <c r="L166" s="185" t="s">
        <v>898</v>
      </c>
      <c r="M166" s="185" t="s">
        <v>898</v>
      </c>
      <c r="N166" s="185"/>
      <c r="O166" s="185"/>
      <c r="P166" s="185"/>
      <c r="Q166" s="185"/>
      <c r="R166" s="185"/>
      <c r="S166" s="185"/>
    </row>
    <row r="167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 t="str">
        <f>IFERROR(__xludf.DUMMYFUNCTION("""COMPUTED_VALUE"""),"")</f>
        <v/>
      </c>
      <c r="K167" s="185" t="str">
        <f>IFERROR(__xludf.DUMMYFUNCTION("""COMPUTED_VALUE"""),"")</f>
        <v/>
      </c>
      <c r="L167" s="185" t="s">
        <v>898</v>
      </c>
      <c r="M167" s="185" t="s">
        <v>898</v>
      </c>
      <c r="N167" s="185"/>
      <c r="O167" s="185"/>
      <c r="P167" s="185"/>
      <c r="Q167" s="185"/>
      <c r="R167" s="185"/>
      <c r="S167" s="185"/>
    </row>
    <row r="168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 t="str">
        <f>IFERROR(__xludf.DUMMYFUNCTION("""COMPUTED_VALUE"""),"")</f>
        <v/>
      </c>
      <c r="K168" s="185" t="str">
        <f>IFERROR(__xludf.DUMMYFUNCTION("""COMPUTED_VALUE"""),"")</f>
        <v/>
      </c>
      <c r="L168" s="185" t="s">
        <v>898</v>
      </c>
      <c r="M168" s="185" t="s">
        <v>898</v>
      </c>
      <c r="N168" s="185"/>
      <c r="O168" s="185"/>
      <c r="P168" s="185"/>
      <c r="Q168" s="185"/>
      <c r="R168" s="185"/>
      <c r="S168" s="185"/>
    </row>
    <row r="169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 t="str">
        <f>IFERROR(__xludf.DUMMYFUNCTION("""COMPUTED_VALUE"""),"")</f>
        <v/>
      </c>
      <c r="K169" s="185" t="str">
        <f>IFERROR(__xludf.DUMMYFUNCTION("""COMPUTED_VALUE"""),"")</f>
        <v/>
      </c>
      <c r="L169" s="185" t="s">
        <v>898</v>
      </c>
      <c r="M169" s="185" t="s">
        <v>898</v>
      </c>
      <c r="N169" s="185"/>
      <c r="O169" s="185"/>
      <c r="P169" s="185"/>
      <c r="Q169" s="185"/>
      <c r="R169" s="185"/>
      <c r="S169" s="185"/>
    </row>
    <row r="170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 t="str">
        <f>IFERROR(__xludf.DUMMYFUNCTION("""COMPUTED_VALUE"""),"")</f>
        <v/>
      </c>
      <c r="K170" s="185" t="str">
        <f>IFERROR(__xludf.DUMMYFUNCTION("""COMPUTED_VALUE"""),"")</f>
        <v/>
      </c>
      <c r="L170" s="185" t="s">
        <v>898</v>
      </c>
      <c r="M170" s="185" t="s">
        <v>898</v>
      </c>
      <c r="N170" s="185"/>
      <c r="O170" s="185"/>
      <c r="P170" s="185"/>
      <c r="Q170" s="185"/>
      <c r="R170" s="185"/>
      <c r="S170" s="185"/>
    </row>
    <row r="17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 t="str">
        <f>IFERROR(__xludf.DUMMYFUNCTION("""COMPUTED_VALUE"""),"")</f>
        <v/>
      </c>
      <c r="K171" s="185" t="str">
        <f>IFERROR(__xludf.DUMMYFUNCTION("""COMPUTED_VALUE"""),"")</f>
        <v/>
      </c>
      <c r="L171" s="185" t="s">
        <v>898</v>
      </c>
      <c r="M171" s="185" t="s">
        <v>898</v>
      </c>
      <c r="N171" s="185"/>
      <c r="O171" s="185"/>
      <c r="P171" s="185"/>
      <c r="Q171" s="185"/>
      <c r="R171" s="185"/>
      <c r="S171" s="185"/>
    </row>
    <row r="172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 t="str">
        <f>IFERROR(__xludf.DUMMYFUNCTION("""COMPUTED_VALUE"""),"")</f>
        <v/>
      </c>
      <c r="K172" s="185" t="str">
        <f>IFERROR(__xludf.DUMMYFUNCTION("""COMPUTED_VALUE"""),"")</f>
        <v/>
      </c>
      <c r="L172" s="185" t="s">
        <v>898</v>
      </c>
      <c r="M172" s="185" t="s">
        <v>898</v>
      </c>
      <c r="N172" s="185"/>
      <c r="O172" s="185"/>
      <c r="P172" s="185"/>
      <c r="Q172" s="185"/>
      <c r="R172" s="185"/>
      <c r="S172" s="185"/>
    </row>
    <row r="173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 t="str">
        <f>IFERROR(__xludf.DUMMYFUNCTION("""COMPUTED_VALUE"""),"")</f>
        <v/>
      </c>
      <c r="K173" s="185" t="str">
        <f>IFERROR(__xludf.DUMMYFUNCTION("""COMPUTED_VALUE"""),"")</f>
        <v/>
      </c>
      <c r="L173" s="185" t="s">
        <v>898</v>
      </c>
      <c r="M173" s="185" t="s">
        <v>898</v>
      </c>
      <c r="N173" s="185"/>
      <c r="O173" s="185"/>
      <c r="P173" s="185"/>
      <c r="Q173" s="185"/>
      <c r="R173" s="185"/>
      <c r="S173" s="185"/>
    </row>
    <row r="174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 t="str">
        <f>IFERROR(__xludf.DUMMYFUNCTION("""COMPUTED_VALUE"""),"")</f>
        <v/>
      </c>
      <c r="K174" s="185" t="str">
        <f>IFERROR(__xludf.DUMMYFUNCTION("""COMPUTED_VALUE"""),"")</f>
        <v/>
      </c>
      <c r="L174" s="185" t="s">
        <v>898</v>
      </c>
      <c r="M174" s="185" t="s">
        <v>898</v>
      </c>
      <c r="N174" s="185"/>
      <c r="O174" s="185"/>
      <c r="P174" s="185"/>
      <c r="Q174" s="185"/>
      <c r="R174" s="185"/>
      <c r="S174" s="185"/>
    </row>
    <row r="175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 t="str">
        <f>IFERROR(__xludf.DUMMYFUNCTION("""COMPUTED_VALUE"""),"")</f>
        <v/>
      </c>
      <c r="K175" s="185" t="str">
        <f>IFERROR(__xludf.DUMMYFUNCTION("""COMPUTED_VALUE"""),"")</f>
        <v/>
      </c>
      <c r="L175" s="185" t="s">
        <v>898</v>
      </c>
      <c r="M175" s="185" t="s">
        <v>898</v>
      </c>
      <c r="N175" s="185"/>
      <c r="O175" s="185"/>
      <c r="P175" s="185"/>
      <c r="Q175" s="185"/>
      <c r="R175" s="185"/>
      <c r="S175" s="185"/>
    </row>
    <row r="176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 t="str">
        <f>IFERROR(__xludf.DUMMYFUNCTION("""COMPUTED_VALUE"""),"")</f>
        <v/>
      </c>
      <c r="K176" s="185" t="str">
        <f>IFERROR(__xludf.DUMMYFUNCTION("""COMPUTED_VALUE"""),"")</f>
        <v/>
      </c>
      <c r="L176" s="185" t="s">
        <v>898</v>
      </c>
      <c r="M176" s="185" t="s">
        <v>898</v>
      </c>
      <c r="N176" s="185"/>
      <c r="O176" s="185"/>
      <c r="P176" s="185"/>
      <c r="Q176" s="185"/>
      <c r="R176" s="185"/>
      <c r="S176" s="185"/>
    </row>
    <row r="177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 t="str">
        <f>IFERROR(__xludf.DUMMYFUNCTION("""COMPUTED_VALUE"""),"")</f>
        <v/>
      </c>
      <c r="K177" s="185" t="str">
        <f>IFERROR(__xludf.DUMMYFUNCTION("""COMPUTED_VALUE"""),"")</f>
        <v/>
      </c>
      <c r="L177" s="185" t="s">
        <v>898</v>
      </c>
      <c r="M177" s="185" t="s">
        <v>898</v>
      </c>
      <c r="N177" s="185"/>
      <c r="O177" s="185"/>
      <c r="P177" s="185"/>
      <c r="Q177" s="185"/>
      <c r="R177" s="185"/>
      <c r="S177" s="185"/>
    </row>
    <row r="178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 t="str">
        <f>IFERROR(__xludf.DUMMYFUNCTION("""COMPUTED_VALUE"""),"")</f>
        <v/>
      </c>
      <c r="K178" s="185" t="str">
        <f>IFERROR(__xludf.DUMMYFUNCTION("""COMPUTED_VALUE"""),"")</f>
        <v/>
      </c>
      <c r="L178" s="185" t="s">
        <v>898</v>
      </c>
      <c r="M178" s="185" t="s">
        <v>898</v>
      </c>
      <c r="N178" s="185"/>
      <c r="O178" s="185"/>
      <c r="P178" s="185"/>
      <c r="Q178" s="185"/>
      <c r="R178" s="185"/>
      <c r="S178" s="185"/>
    </row>
    <row r="179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 t="str">
        <f>IFERROR(__xludf.DUMMYFUNCTION("""COMPUTED_VALUE"""),"")</f>
        <v/>
      </c>
      <c r="K179" s="185" t="str">
        <f>IFERROR(__xludf.DUMMYFUNCTION("""COMPUTED_VALUE"""),"")</f>
        <v/>
      </c>
      <c r="L179" s="185" t="s">
        <v>898</v>
      </c>
      <c r="M179" s="185" t="s">
        <v>898</v>
      </c>
      <c r="N179" s="185"/>
      <c r="O179" s="185"/>
      <c r="P179" s="185"/>
      <c r="Q179" s="185"/>
      <c r="R179" s="185"/>
      <c r="S179" s="185"/>
    </row>
    <row r="180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 t="str">
        <f>IFERROR(__xludf.DUMMYFUNCTION("""COMPUTED_VALUE"""),"")</f>
        <v/>
      </c>
      <c r="K180" s="185" t="str">
        <f>IFERROR(__xludf.DUMMYFUNCTION("""COMPUTED_VALUE"""),"")</f>
        <v/>
      </c>
      <c r="L180" s="185" t="s">
        <v>898</v>
      </c>
      <c r="M180" s="185" t="s">
        <v>898</v>
      </c>
      <c r="N180" s="185"/>
      <c r="O180" s="185"/>
      <c r="P180" s="185"/>
      <c r="Q180" s="185"/>
      <c r="R180" s="185"/>
      <c r="S180" s="185"/>
    </row>
    <row r="18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 t="str">
        <f>IFERROR(__xludf.DUMMYFUNCTION("""COMPUTED_VALUE"""),"")</f>
        <v/>
      </c>
      <c r="K181" s="185" t="str">
        <f>IFERROR(__xludf.DUMMYFUNCTION("""COMPUTED_VALUE"""),"")</f>
        <v/>
      </c>
      <c r="L181" s="185" t="s">
        <v>898</v>
      </c>
      <c r="M181" s="185" t="s">
        <v>898</v>
      </c>
      <c r="N181" s="185"/>
      <c r="O181" s="185"/>
      <c r="P181" s="185"/>
      <c r="Q181" s="185"/>
      <c r="R181" s="185"/>
      <c r="S181" s="185"/>
    </row>
    <row r="182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 t="str">
        <f>IFERROR(__xludf.DUMMYFUNCTION("""COMPUTED_VALUE"""),"")</f>
        <v/>
      </c>
      <c r="K182" s="185" t="str">
        <f>IFERROR(__xludf.DUMMYFUNCTION("""COMPUTED_VALUE"""),"")</f>
        <v/>
      </c>
      <c r="L182" s="185" t="s">
        <v>898</v>
      </c>
      <c r="M182" s="185" t="s">
        <v>898</v>
      </c>
      <c r="N182" s="185"/>
      <c r="O182" s="185"/>
      <c r="P182" s="185"/>
      <c r="Q182" s="185"/>
      <c r="R182" s="185"/>
      <c r="S182" s="185"/>
    </row>
    <row r="183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 t="str">
        <f>IFERROR(__xludf.DUMMYFUNCTION("""COMPUTED_VALUE"""),"")</f>
        <v/>
      </c>
      <c r="K183" s="185" t="str">
        <f>IFERROR(__xludf.DUMMYFUNCTION("""COMPUTED_VALUE"""),"")</f>
        <v/>
      </c>
      <c r="L183" s="185" t="s">
        <v>898</v>
      </c>
      <c r="M183" s="185" t="s">
        <v>898</v>
      </c>
      <c r="N183" s="185"/>
      <c r="O183" s="185"/>
      <c r="P183" s="185"/>
      <c r="Q183" s="185"/>
      <c r="R183" s="185"/>
      <c r="S183" s="185"/>
    </row>
    <row r="184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 t="str">
        <f>IFERROR(__xludf.DUMMYFUNCTION("""COMPUTED_VALUE"""),"")</f>
        <v/>
      </c>
      <c r="K184" s="185" t="str">
        <f>IFERROR(__xludf.DUMMYFUNCTION("""COMPUTED_VALUE"""),"")</f>
        <v/>
      </c>
      <c r="L184" s="185" t="s">
        <v>898</v>
      </c>
      <c r="M184" s="185" t="s">
        <v>898</v>
      </c>
      <c r="N184" s="185"/>
      <c r="O184" s="185"/>
      <c r="P184" s="185"/>
      <c r="Q184" s="185"/>
      <c r="R184" s="185"/>
      <c r="S184" s="185"/>
    </row>
    <row r="185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 t="str">
        <f>IFERROR(__xludf.DUMMYFUNCTION("""COMPUTED_VALUE"""),"")</f>
        <v/>
      </c>
      <c r="K185" s="185" t="str">
        <f>IFERROR(__xludf.DUMMYFUNCTION("""COMPUTED_VALUE"""),"")</f>
        <v/>
      </c>
      <c r="L185" s="185" t="s">
        <v>898</v>
      </c>
      <c r="M185" s="185" t="s">
        <v>898</v>
      </c>
      <c r="N185" s="185"/>
      <c r="O185" s="185"/>
      <c r="P185" s="185"/>
      <c r="Q185" s="185"/>
      <c r="R185" s="185"/>
      <c r="S185" s="185"/>
    </row>
    <row r="186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 t="str">
        <f>IFERROR(__xludf.DUMMYFUNCTION("""COMPUTED_VALUE"""),"")</f>
        <v/>
      </c>
      <c r="K186" s="185" t="str">
        <f>IFERROR(__xludf.DUMMYFUNCTION("""COMPUTED_VALUE"""),"")</f>
        <v/>
      </c>
      <c r="L186" s="185" t="s">
        <v>898</v>
      </c>
      <c r="M186" s="185" t="s">
        <v>898</v>
      </c>
      <c r="N186" s="185"/>
      <c r="O186" s="185"/>
      <c r="P186" s="185"/>
      <c r="Q186" s="185"/>
      <c r="R186" s="185"/>
      <c r="S186" s="185"/>
    </row>
    <row r="187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 t="str">
        <f>IFERROR(__xludf.DUMMYFUNCTION("""COMPUTED_VALUE"""),"")</f>
        <v/>
      </c>
      <c r="K187" s="185" t="str">
        <f>IFERROR(__xludf.DUMMYFUNCTION("""COMPUTED_VALUE"""),"")</f>
        <v/>
      </c>
      <c r="L187" s="185" t="s">
        <v>898</v>
      </c>
      <c r="M187" s="185" t="s">
        <v>898</v>
      </c>
      <c r="N187" s="185"/>
      <c r="O187" s="185"/>
      <c r="P187" s="185"/>
      <c r="Q187" s="185"/>
      <c r="R187" s="185"/>
      <c r="S187" s="185"/>
    </row>
    <row r="188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 t="str">
        <f>IFERROR(__xludf.DUMMYFUNCTION("""COMPUTED_VALUE"""),"")</f>
        <v/>
      </c>
      <c r="K188" s="185" t="str">
        <f>IFERROR(__xludf.DUMMYFUNCTION("""COMPUTED_VALUE"""),"")</f>
        <v/>
      </c>
      <c r="L188" s="185" t="s">
        <v>898</v>
      </c>
      <c r="M188" s="185" t="s">
        <v>898</v>
      </c>
      <c r="N188" s="185"/>
      <c r="O188" s="185"/>
      <c r="P188" s="185"/>
      <c r="Q188" s="185"/>
      <c r="R188" s="185"/>
      <c r="S188" s="185"/>
    </row>
    <row r="189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 t="str">
        <f>IFERROR(__xludf.DUMMYFUNCTION("""COMPUTED_VALUE"""),"")</f>
        <v/>
      </c>
      <c r="K189" s="185" t="str">
        <f>IFERROR(__xludf.DUMMYFUNCTION("""COMPUTED_VALUE"""),"")</f>
        <v/>
      </c>
      <c r="L189" s="185" t="s">
        <v>898</v>
      </c>
      <c r="M189" s="185" t="s">
        <v>898</v>
      </c>
      <c r="N189" s="185"/>
      <c r="O189" s="185"/>
      <c r="P189" s="185"/>
      <c r="Q189" s="185"/>
      <c r="R189" s="185"/>
      <c r="S189" s="185"/>
    </row>
    <row r="190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 t="str">
        <f>IFERROR(__xludf.DUMMYFUNCTION("""COMPUTED_VALUE"""),"")</f>
        <v/>
      </c>
      <c r="K190" s="185" t="str">
        <f>IFERROR(__xludf.DUMMYFUNCTION("""COMPUTED_VALUE"""),"")</f>
        <v/>
      </c>
      <c r="L190" s="185" t="s">
        <v>898</v>
      </c>
      <c r="M190" s="185" t="s">
        <v>898</v>
      </c>
      <c r="N190" s="185"/>
      <c r="O190" s="185"/>
      <c r="P190" s="185"/>
      <c r="Q190" s="185"/>
      <c r="R190" s="185"/>
      <c r="S190" s="185"/>
    </row>
    <row r="19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 t="str">
        <f>IFERROR(__xludf.DUMMYFUNCTION("""COMPUTED_VALUE"""),"")</f>
        <v/>
      </c>
      <c r="K191" s="185" t="str">
        <f>IFERROR(__xludf.DUMMYFUNCTION("""COMPUTED_VALUE"""),"")</f>
        <v/>
      </c>
      <c r="L191" s="185" t="s">
        <v>898</v>
      </c>
      <c r="M191" s="185" t="s">
        <v>898</v>
      </c>
      <c r="N191" s="185"/>
      <c r="O191" s="185"/>
      <c r="P191" s="185"/>
      <c r="Q191" s="185"/>
      <c r="R191" s="185"/>
      <c r="S191" s="185"/>
    </row>
    <row r="192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 t="str">
        <f>IFERROR(__xludf.DUMMYFUNCTION("""COMPUTED_VALUE"""),"")</f>
        <v/>
      </c>
      <c r="K192" s="185" t="str">
        <f>IFERROR(__xludf.DUMMYFUNCTION("""COMPUTED_VALUE"""),"")</f>
        <v/>
      </c>
      <c r="L192" s="185" t="s">
        <v>898</v>
      </c>
      <c r="M192" s="185" t="s">
        <v>898</v>
      </c>
      <c r="N192" s="185"/>
      <c r="O192" s="185"/>
      <c r="P192" s="185"/>
      <c r="Q192" s="185"/>
      <c r="R192" s="185"/>
      <c r="S192" s="185"/>
    </row>
    <row r="193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 t="str">
        <f>IFERROR(__xludf.DUMMYFUNCTION("""COMPUTED_VALUE"""),"")</f>
        <v/>
      </c>
      <c r="K193" s="185" t="str">
        <f>IFERROR(__xludf.DUMMYFUNCTION("""COMPUTED_VALUE"""),"")</f>
        <v/>
      </c>
      <c r="L193" s="185" t="s">
        <v>898</v>
      </c>
      <c r="M193" s="185" t="s">
        <v>898</v>
      </c>
      <c r="N193" s="185"/>
      <c r="O193" s="185"/>
      <c r="P193" s="185"/>
      <c r="Q193" s="185"/>
      <c r="R193" s="185"/>
      <c r="S193" s="185"/>
    </row>
    <row r="194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 t="str">
        <f>IFERROR(__xludf.DUMMYFUNCTION("""COMPUTED_VALUE"""),"")</f>
        <v/>
      </c>
      <c r="K194" s="185" t="str">
        <f>IFERROR(__xludf.DUMMYFUNCTION("""COMPUTED_VALUE"""),"")</f>
        <v/>
      </c>
      <c r="L194" s="185" t="s">
        <v>898</v>
      </c>
      <c r="M194" s="185" t="s">
        <v>898</v>
      </c>
      <c r="N194" s="185"/>
      <c r="O194" s="185"/>
      <c r="P194" s="185"/>
      <c r="Q194" s="185"/>
      <c r="R194" s="185"/>
      <c r="S194" s="185"/>
    </row>
    <row r="195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 t="str">
        <f>IFERROR(__xludf.DUMMYFUNCTION("""COMPUTED_VALUE"""),"")</f>
        <v/>
      </c>
      <c r="K195" s="185" t="str">
        <f>IFERROR(__xludf.DUMMYFUNCTION("""COMPUTED_VALUE"""),"")</f>
        <v/>
      </c>
      <c r="L195" s="185" t="s">
        <v>898</v>
      </c>
      <c r="M195" s="185" t="s">
        <v>898</v>
      </c>
      <c r="N195" s="185"/>
      <c r="O195" s="185"/>
      <c r="P195" s="185"/>
      <c r="Q195" s="185"/>
      <c r="R195" s="185"/>
      <c r="S195" s="185"/>
    </row>
    <row r="196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 t="str">
        <f>IFERROR(__xludf.DUMMYFUNCTION("""COMPUTED_VALUE"""),"")</f>
        <v/>
      </c>
      <c r="K196" s="185" t="str">
        <f>IFERROR(__xludf.DUMMYFUNCTION("""COMPUTED_VALUE"""),"")</f>
        <v/>
      </c>
      <c r="L196" s="185" t="s">
        <v>898</v>
      </c>
      <c r="M196" s="185" t="s">
        <v>898</v>
      </c>
      <c r="N196" s="185"/>
      <c r="O196" s="185"/>
      <c r="P196" s="185"/>
      <c r="Q196" s="185"/>
      <c r="R196" s="185"/>
      <c r="S196" s="185"/>
    </row>
    <row r="197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 t="str">
        <f>IFERROR(__xludf.DUMMYFUNCTION("""COMPUTED_VALUE"""),"")</f>
        <v/>
      </c>
      <c r="K197" s="185" t="str">
        <f>IFERROR(__xludf.DUMMYFUNCTION("""COMPUTED_VALUE"""),"")</f>
        <v/>
      </c>
      <c r="L197" s="185" t="s">
        <v>898</v>
      </c>
      <c r="M197" s="185" t="s">
        <v>898</v>
      </c>
      <c r="N197" s="185"/>
      <c r="O197" s="185"/>
      <c r="P197" s="185"/>
      <c r="Q197" s="185"/>
      <c r="R197" s="185"/>
      <c r="S197" s="185"/>
    </row>
    <row r="198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 t="str">
        <f>IFERROR(__xludf.DUMMYFUNCTION("""COMPUTED_VALUE"""),"")</f>
        <v/>
      </c>
      <c r="K198" s="185" t="str">
        <f>IFERROR(__xludf.DUMMYFUNCTION("""COMPUTED_VALUE"""),"")</f>
        <v/>
      </c>
      <c r="L198" s="185" t="s">
        <v>898</v>
      </c>
      <c r="M198" s="185" t="s">
        <v>898</v>
      </c>
      <c r="N198" s="185"/>
      <c r="O198" s="185"/>
      <c r="P198" s="185"/>
      <c r="Q198" s="185"/>
      <c r="R198" s="185"/>
      <c r="S198" s="185"/>
    </row>
    <row r="199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 t="str">
        <f>IFERROR(__xludf.DUMMYFUNCTION("""COMPUTED_VALUE"""),"")</f>
        <v/>
      </c>
      <c r="K199" s="185" t="str">
        <f>IFERROR(__xludf.DUMMYFUNCTION("""COMPUTED_VALUE"""),"")</f>
        <v/>
      </c>
      <c r="L199" s="185" t="s">
        <v>898</v>
      </c>
      <c r="M199" s="185" t="s">
        <v>898</v>
      </c>
      <c r="N199" s="185"/>
      <c r="O199" s="185"/>
      <c r="P199" s="185"/>
      <c r="Q199" s="185"/>
      <c r="R199" s="185"/>
      <c r="S199" s="185"/>
    </row>
    <row r="200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 t="str">
        <f>IFERROR(__xludf.DUMMYFUNCTION("""COMPUTED_VALUE"""),"")</f>
        <v/>
      </c>
      <c r="K200" s="185" t="str">
        <f>IFERROR(__xludf.DUMMYFUNCTION("""COMPUTED_VALUE"""),"")</f>
        <v/>
      </c>
      <c r="L200" s="185" t="s">
        <v>898</v>
      </c>
      <c r="M200" s="185" t="s">
        <v>898</v>
      </c>
      <c r="N200" s="185"/>
      <c r="O200" s="185"/>
      <c r="P200" s="185"/>
      <c r="Q200" s="185"/>
      <c r="R200" s="185"/>
      <c r="S200" s="185"/>
    </row>
    <row r="20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 t="str">
        <f>IFERROR(__xludf.DUMMYFUNCTION("""COMPUTED_VALUE"""),"")</f>
        <v/>
      </c>
      <c r="K201" s="185" t="str">
        <f>IFERROR(__xludf.DUMMYFUNCTION("""COMPUTED_VALUE"""),"")</f>
        <v/>
      </c>
      <c r="L201" s="185" t="s">
        <v>898</v>
      </c>
      <c r="M201" s="185" t="s">
        <v>898</v>
      </c>
      <c r="N201" s="185"/>
      <c r="O201" s="185"/>
      <c r="P201" s="185"/>
      <c r="Q201" s="185"/>
      <c r="R201" s="185"/>
      <c r="S201" s="185"/>
    </row>
    <row r="202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 t="str">
        <f>IFERROR(__xludf.DUMMYFUNCTION("""COMPUTED_VALUE"""),"")</f>
        <v/>
      </c>
      <c r="K202" s="185" t="str">
        <f>IFERROR(__xludf.DUMMYFUNCTION("""COMPUTED_VALUE"""),"")</f>
        <v/>
      </c>
      <c r="L202" s="185" t="s">
        <v>898</v>
      </c>
      <c r="M202" s="185" t="s">
        <v>898</v>
      </c>
      <c r="N202" s="185"/>
      <c r="O202" s="185"/>
      <c r="P202" s="185"/>
      <c r="Q202" s="185"/>
      <c r="R202" s="185"/>
      <c r="S202" s="185"/>
    </row>
    <row r="203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 t="str">
        <f>IFERROR(__xludf.DUMMYFUNCTION("""COMPUTED_VALUE"""),"")</f>
        <v/>
      </c>
      <c r="K203" s="185" t="str">
        <f>IFERROR(__xludf.DUMMYFUNCTION("""COMPUTED_VALUE"""),"")</f>
        <v/>
      </c>
      <c r="L203" s="185" t="s">
        <v>898</v>
      </c>
      <c r="M203" s="185" t="s">
        <v>898</v>
      </c>
      <c r="N203" s="185"/>
      <c r="O203" s="185"/>
      <c r="P203" s="185"/>
      <c r="Q203" s="185"/>
      <c r="R203" s="185"/>
      <c r="S203" s="185"/>
    </row>
    <row r="204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 t="str">
        <f>IFERROR(__xludf.DUMMYFUNCTION("""COMPUTED_VALUE"""),"")</f>
        <v/>
      </c>
      <c r="K204" s="185" t="str">
        <f>IFERROR(__xludf.DUMMYFUNCTION("""COMPUTED_VALUE"""),"")</f>
        <v/>
      </c>
      <c r="L204" s="185" t="s">
        <v>898</v>
      </c>
      <c r="M204" s="185" t="s">
        <v>898</v>
      </c>
      <c r="N204" s="185"/>
      <c r="O204" s="185"/>
      <c r="P204" s="185"/>
      <c r="Q204" s="185"/>
      <c r="R204" s="185"/>
      <c r="S204" s="185"/>
    </row>
    <row r="205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 t="str">
        <f>IFERROR(__xludf.DUMMYFUNCTION("""COMPUTED_VALUE"""),"")</f>
        <v/>
      </c>
      <c r="K205" s="185" t="str">
        <f>IFERROR(__xludf.DUMMYFUNCTION("""COMPUTED_VALUE"""),"")</f>
        <v/>
      </c>
      <c r="L205" s="185" t="s">
        <v>898</v>
      </c>
      <c r="M205" s="185" t="s">
        <v>898</v>
      </c>
      <c r="N205" s="185"/>
      <c r="O205" s="185"/>
      <c r="P205" s="185"/>
      <c r="Q205" s="185"/>
      <c r="R205" s="185"/>
      <c r="S205" s="185"/>
    </row>
    <row r="206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 t="str">
        <f>IFERROR(__xludf.DUMMYFUNCTION("""COMPUTED_VALUE"""),"")</f>
        <v/>
      </c>
      <c r="K206" s="185" t="str">
        <f>IFERROR(__xludf.DUMMYFUNCTION("""COMPUTED_VALUE"""),"")</f>
        <v/>
      </c>
      <c r="L206" s="185" t="s">
        <v>898</v>
      </c>
      <c r="M206" s="185" t="s">
        <v>898</v>
      </c>
      <c r="N206" s="185"/>
      <c r="O206" s="185"/>
      <c r="P206" s="185"/>
      <c r="Q206" s="185"/>
      <c r="R206" s="185"/>
      <c r="S206" s="185"/>
    </row>
    <row r="207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 t="str">
        <f>IFERROR(__xludf.DUMMYFUNCTION("""COMPUTED_VALUE"""),"")</f>
        <v/>
      </c>
      <c r="K207" s="185" t="str">
        <f>IFERROR(__xludf.DUMMYFUNCTION("""COMPUTED_VALUE"""),"")</f>
        <v/>
      </c>
      <c r="L207" s="185" t="s">
        <v>898</v>
      </c>
      <c r="M207" s="185" t="s">
        <v>898</v>
      </c>
      <c r="N207" s="185"/>
      <c r="O207" s="185"/>
      <c r="P207" s="185"/>
      <c r="Q207" s="185"/>
      <c r="R207" s="185"/>
      <c r="S207" s="185"/>
    </row>
    <row r="208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 t="str">
        <f>IFERROR(__xludf.DUMMYFUNCTION("""COMPUTED_VALUE"""),"")</f>
        <v/>
      </c>
      <c r="K208" s="185" t="str">
        <f>IFERROR(__xludf.DUMMYFUNCTION("""COMPUTED_VALUE"""),"")</f>
        <v/>
      </c>
      <c r="L208" s="185" t="s">
        <v>898</v>
      </c>
      <c r="M208" s="185" t="s">
        <v>898</v>
      </c>
      <c r="N208" s="185"/>
      <c r="O208" s="185"/>
      <c r="P208" s="185"/>
      <c r="Q208" s="185"/>
      <c r="R208" s="185"/>
      <c r="S208" s="185"/>
    </row>
    <row r="209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 t="str">
        <f>IFERROR(__xludf.DUMMYFUNCTION("""COMPUTED_VALUE"""),"")</f>
        <v/>
      </c>
      <c r="K209" s="185" t="str">
        <f>IFERROR(__xludf.DUMMYFUNCTION("""COMPUTED_VALUE"""),"")</f>
        <v/>
      </c>
      <c r="L209" s="185" t="s">
        <v>898</v>
      </c>
      <c r="M209" s="185" t="s">
        <v>898</v>
      </c>
      <c r="N209" s="185"/>
      <c r="O209" s="185"/>
      <c r="P209" s="185"/>
      <c r="Q209" s="185"/>
      <c r="R209" s="185"/>
      <c r="S209" s="185"/>
    </row>
    <row r="210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 t="str">
        <f>IFERROR(__xludf.DUMMYFUNCTION("""COMPUTED_VALUE"""),"")</f>
        <v/>
      </c>
      <c r="K210" s="185" t="str">
        <f>IFERROR(__xludf.DUMMYFUNCTION("""COMPUTED_VALUE"""),"")</f>
        <v/>
      </c>
      <c r="L210" s="185" t="s">
        <v>898</v>
      </c>
      <c r="M210" s="185" t="s">
        <v>898</v>
      </c>
      <c r="N210" s="185"/>
      <c r="O210" s="185"/>
      <c r="P210" s="185"/>
      <c r="Q210" s="185"/>
      <c r="R210" s="185"/>
      <c r="S210" s="185"/>
    </row>
    <row r="21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 t="str">
        <f>IFERROR(__xludf.DUMMYFUNCTION("""COMPUTED_VALUE"""),"")</f>
        <v/>
      </c>
      <c r="K211" s="185" t="str">
        <f>IFERROR(__xludf.DUMMYFUNCTION("""COMPUTED_VALUE"""),"")</f>
        <v/>
      </c>
      <c r="L211" s="185" t="s">
        <v>898</v>
      </c>
      <c r="M211" s="185" t="s">
        <v>898</v>
      </c>
      <c r="N211" s="185"/>
      <c r="O211" s="185"/>
      <c r="P211" s="185"/>
      <c r="Q211" s="185"/>
      <c r="R211" s="185"/>
      <c r="S211" s="185"/>
    </row>
    <row r="212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 t="str">
        <f>IFERROR(__xludf.DUMMYFUNCTION("""COMPUTED_VALUE"""),"")</f>
        <v/>
      </c>
      <c r="K212" s="185" t="str">
        <f>IFERROR(__xludf.DUMMYFUNCTION("""COMPUTED_VALUE"""),"")</f>
        <v/>
      </c>
      <c r="L212" s="185" t="s">
        <v>898</v>
      </c>
      <c r="M212" s="185" t="s">
        <v>898</v>
      </c>
      <c r="N212" s="185"/>
      <c r="O212" s="185"/>
      <c r="P212" s="185"/>
      <c r="Q212" s="185"/>
      <c r="R212" s="185"/>
      <c r="S212" s="185"/>
    </row>
    <row r="213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 t="str">
        <f>IFERROR(__xludf.DUMMYFUNCTION("""COMPUTED_VALUE"""),"")</f>
        <v/>
      </c>
      <c r="K213" s="185" t="str">
        <f>IFERROR(__xludf.DUMMYFUNCTION("""COMPUTED_VALUE"""),"")</f>
        <v/>
      </c>
      <c r="L213" s="185" t="s">
        <v>898</v>
      </c>
      <c r="M213" s="185" t="s">
        <v>898</v>
      </c>
      <c r="N213" s="185"/>
      <c r="O213" s="185"/>
      <c r="P213" s="185"/>
      <c r="Q213" s="185"/>
      <c r="R213" s="185"/>
      <c r="S213" s="185"/>
    </row>
    <row r="214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 t="str">
        <f>IFERROR(__xludf.DUMMYFUNCTION("""COMPUTED_VALUE"""),"")</f>
        <v/>
      </c>
      <c r="K214" s="185" t="str">
        <f>IFERROR(__xludf.DUMMYFUNCTION("""COMPUTED_VALUE"""),"")</f>
        <v/>
      </c>
      <c r="L214" s="185" t="s">
        <v>898</v>
      </c>
      <c r="M214" s="185" t="s">
        <v>898</v>
      </c>
      <c r="N214" s="185"/>
      <c r="O214" s="185"/>
      <c r="P214" s="185"/>
      <c r="Q214" s="185"/>
      <c r="R214" s="185"/>
      <c r="S214" s="185"/>
    </row>
    <row r="215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 t="str">
        <f>IFERROR(__xludf.DUMMYFUNCTION("""COMPUTED_VALUE"""),"")</f>
        <v/>
      </c>
      <c r="K215" s="185" t="str">
        <f>IFERROR(__xludf.DUMMYFUNCTION("""COMPUTED_VALUE"""),"")</f>
        <v/>
      </c>
      <c r="L215" s="185" t="s">
        <v>898</v>
      </c>
      <c r="M215" s="185" t="s">
        <v>898</v>
      </c>
      <c r="N215" s="185"/>
      <c r="O215" s="185"/>
      <c r="P215" s="185"/>
      <c r="Q215" s="185"/>
      <c r="R215" s="185"/>
      <c r="S215" s="185"/>
    </row>
    <row r="216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 t="str">
        <f>IFERROR(__xludf.DUMMYFUNCTION("""COMPUTED_VALUE"""),"")</f>
        <v/>
      </c>
      <c r="K216" s="185" t="str">
        <f>IFERROR(__xludf.DUMMYFUNCTION("""COMPUTED_VALUE"""),"")</f>
        <v/>
      </c>
      <c r="L216" s="185" t="s">
        <v>898</v>
      </c>
      <c r="M216" s="185" t="s">
        <v>898</v>
      </c>
      <c r="N216" s="185"/>
      <c r="O216" s="185"/>
      <c r="P216" s="185"/>
      <c r="Q216" s="185"/>
      <c r="R216" s="185"/>
      <c r="S216" s="185"/>
    </row>
    <row r="217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 t="str">
        <f>IFERROR(__xludf.DUMMYFUNCTION("""COMPUTED_VALUE"""),"")</f>
        <v/>
      </c>
      <c r="K217" s="185" t="str">
        <f>IFERROR(__xludf.DUMMYFUNCTION("""COMPUTED_VALUE"""),"")</f>
        <v/>
      </c>
      <c r="L217" s="185" t="s">
        <v>898</v>
      </c>
      <c r="M217" s="185" t="s">
        <v>898</v>
      </c>
      <c r="N217" s="185"/>
      <c r="O217" s="185"/>
      <c r="P217" s="185"/>
      <c r="Q217" s="185"/>
      <c r="R217" s="185"/>
      <c r="S217" s="185"/>
    </row>
    <row r="218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 t="str">
        <f>IFERROR(__xludf.DUMMYFUNCTION("""COMPUTED_VALUE"""),"")</f>
        <v/>
      </c>
      <c r="K218" s="185" t="str">
        <f>IFERROR(__xludf.DUMMYFUNCTION("""COMPUTED_VALUE"""),"")</f>
        <v/>
      </c>
      <c r="L218" s="185" t="s">
        <v>898</v>
      </c>
      <c r="M218" s="185" t="s">
        <v>898</v>
      </c>
      <c r="N218" s="185"/>
      <c r="O218" s="185"/>
      <c r="P218" s="185"/>
      <c r="Q218" s="185"/>
      <c r="R218" s="185"/>
      <c r="S218" s="185"/>
    </row>
    <row r="219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 t="str">
        <f>IFERROR(__xludf.DUMMYFUNCTION("""COMPUTED_VALUE"""),"")</f>
        <v/>
      </c>
      <c r="K219" s="185" t="str">
        <f>IFERROR(__xludf.DUMMYFUNCTION("""COMPUTED_VALUE"""),"")</f>
        <v/>
      </c>
      <c r="L219" s="185" t="s">
        <v>898</v>
      </c>
      <c r="M219" s="185" t="s">
        <v>898</v>
      </c>
      <c r="N219" s="185"/>
      <c r="O219" s="185"/>
      <c r="P219" s="185"/>
      <c r="Q219" s="185"/>
      <c r="R219" s="185"/>
      <c r="S219" s="185"/>
    </row>
    <row r="220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 t="str">
        <f>IFERROR(__xludf.DUMMYFUNCTION("""COMPUTED_VALUE"""),"")</f>
        <v/>
      </c>
      <c r="K220" s="185" t="str">
        <f>IFERROR(__xludf.DUMMYFUNCTION("""COMPUTED_VALUE"""),"")</f>
        <v/>
      </c>
      <c r="L220" s="185" t="s">
        <v>898</v>
      </c>
      <c r="M220" s="185" t="s">
        <v>898</v>
      </c>
      <c r="N220" s="185"/>
      <c r="O220" s="185"/>
      <c r="P220" s="185"/>
      <c r="Q220" s="185"/>
      <c r="R220" s="185"/>
      <c r="S220" s="185"/>
    </row>
    <row r="22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 t="str">
        <f>IFERROR(__xludf.DUMMYFUNCTION("""COMPUTED_VALUE"""),"")</f>
        <v/>
      </c>
      <c r="K221" s="185" t="str">
        <f>IFERROR(__xludf.DUMMYFUNCTION("""COMPUTED_VALUE"""),"")</f>
        <v/>
      </c>
      <c r="L221" s="185" t="s">
        <v>898</v>
      </c>
      <c r="M221" s="185" t="s">
        <v>898</v>
      </c>
      <c r="N221" s="185"/>
      <c r="O221" s="185"/>
      <c r="P221" s="185"/>
      <c r="Q221" s="185"/>
      <c r="R221" s="185"/>
      <c r="S221" s="185"/>
    </row>
    <row r="222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 t="str">
        <f>IFERROR(__xludf.DUMMYFUNCTION("""COMPUTED_VALUE"""),"")</f>
        <v/>
      </c>
      <c r="K222" s="185" t="str">
        <f>IFERROR(__xludf.DUMMYFUNCTION("""COMPUTED_VALUE"""),"")</f>
        <v/>
      </c>
      <c r="L222" s="185" t="s">
        <v>898</v>
      </c>
      <c r="M222" s="185" t="s">
        <v>898</v>
      </c>
      <c r="N222" s="185"/>
      <c r="O222" s="185"/>
      <c r="P222" s="185"/>
      <c r="Q222" s="185"/>
      <c r="R222" s="185"/>
      <c r="S222" s="185"/>
    </row>
    <row r="223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 t="str">
        <f>IFERROR(__xludf.DUMMYFUNCTION("""COMPUTED_VALUE"""),"")</f>
        <v/>
      </c>
      <c r="K223" s="185" t="str">
        <f>IFERROR(__xludf.DUMMYFUNCTION("""COMPUTED_VALUE"""),"")</f>
        <v/>
      </c>
      <c r="L223" s="185" t="s">
        <v>898</v>
      </c>
      <c r="M223" s="185" t="s">
        <v>898</v>
      </c>
      <c r="N223" s="185"/>
      <c r="O223" s="185"/>
      <c r="P223" s="185"/>
      <c r="Q223" s="185"/>
      <c r="R223" s="185"/>
      <c r="S223" s="185"/>
    </row>
    <row r="224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 t="str">
        <f>IFERROR(__xludf.DUMMYFUNCTION("""COMPUTED_VALUE"""),"")</f>
        <v/>
      </c>
      <c r="K224" s="185" t="str">
        <f>IFERROR(__xludf.DUMMYFUNCTION("""COMPUTED_VALUE"""),"")</f>
        <v/>
      </c>
      <c r="L224" s="185" t="s">
        <v>898</v>
      </c>
      <c r="M224" s="185" t="s">
        <v>898</v>
      </c>
      <c r="N224" s="185"/>
      <c r="O224" s="185"/>
      <c r="P224" s="185"/>
      <c r="Q224" s="185"/>
      <c r="R224" s="185"/>
      <c r="S224" s="185"/>
    </row>
    <row r="225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 t="str">
        <f>IFERROR(__xludf.DUMMYFUNCTION("""COMPUTED_VALUE"""),"")</f>
        <v/>
      </c>
      <c r="K225" s="185" t="str">
        <f>IFERROR(__xludf.DUMMYFUNCTION("""COMPUTED_VALUE"""),"")</f>
        <v/>
      </c>
      <c r="L225" s="185" t="s">
        <v>898</v>
      </c>
      <c r="M225" s="185" t="s">
        <v>898</v>
      </c>
      <c r="N225" s="185"/>
      <c r="O225" s="185"/>
      <c r="P225" s="185"/>
      <c r="Q225" s="185"/>
      <c r="R225" s="185"/>
      <c r="S225" s="185"/>
    </row>
    <row r="226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 t="str">
        <f>IFERROR(__xludf.DUMMYFUNCTION("""COMPUTED_VALUE"""),"")</f>
        <v/>
      </c>
      <c r="K226" s="185" t="str">
        <f>IFERROR(__xludf.DUMMYFUNCTION("""COMPUTED_VALUE"""),"")</f>
        <v/>
      </c>
      <c r="L226" s="185" t="s">
        <v>898</v>
      </c>
      <c r="M226" s="185" t="s">
        <v>898</v>
      </c>
      <c r="N226" s="185"/>
      <c r="O226" s="185"/>
      <c r="P226" s="185"/>
      <c r="Q226" s="185"/>
      <c r="R226" s="185"/>
      <c r="S226" s="185"/>
    </row>
    <row r="227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 t="str">
        <f>IFERROR(__xludf.DUMMYFUNCTION("""COMPUTED_VALUE"""),"")</f>
        <v/>
      </c>
      <c r="K227" s="185" t="str">
        <f>IFERROR(__xludf.DUMMYFUNCTION("""COMPUTED_VALUE"""),"")</f>
        <v/>
      </c>
      <c r="L227" s="185" t="s">
        <v>898</v>
      </c>
      <c r="M227" s="185" t="s">
        <v>898</v>
      </c>
      <c r="N227" s="185"/>
      <c r="O227" s="185"/>
      <c r="P227" s="185"/>
      <c r="Q227" s="185"/>
      <c r="R227" s="185"/>
      <c r="S227" s="185"/>
    </row>
    <row r="228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 t="str">
        <f>IFERROR(__xludf.DUMMYFUNCTION("""COMPUTED_VALUE"""),"")</f>
        <v/>
      </c>
      <c r="K228" s="185" t="str">
        <f>IFERROR(__xludf.DUMMYFUNCTION("""COMPUTED_VALUE"""),"")</f>
        <v/>
      </c>
      <c r="L228" s="185" t="s">
        <v>898</v>
      </c>
      <c r="M228" s="185" t="s">
        <v>898</v>
      </c>
      <c r="N228" s="185"/>
      <c r="O228" s="185"/>
      <c r="P228" s="185"/>
      <c r="Q228" s="185"/>
      <c r="R228" s="185"/>
      <c r="S228" s="185"/>
    </row>
    <row r="229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 t="str">
        <f>IFERROR(__xludf.DUMMYFUNCTION("""COMPUTED_VALUE"""),"")</f>
        <v/>
      </c>
      <c r="K229" s="185" t="str">
        <f>IFERROR(__xludf.DUMMYFUNCTION("""COMPUTED_VALUE"""),"")</f>
        <v/>
      </c>
      <c r="L229" s="185" t="s">
        <v>898</v>
      </c>
      <c r="M229" s="185" t="s">
        <v>898</v>
      </c>
      <c r="N229" s="185"/>
      <c r="O229" s="185"/>
      <c r="P229" s="185"/>
      <c r="Q229" s="185"/>
      <c r="R229" s="185"/>
      <c r="S229" s="185"/>
    </row>
    <row r="230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 t="str">
        <f>IFERROR(__xludf.DUMMYFUNCTION("""COMPUTED_VALUE"""),"")</f>
        <v/>
      </c>
      <c r="K230" s="185" t="str">
        <f>IFERROR(__xludf.DUMMYFUNCTION("""COMPUTED_VALUE"""),"")</f>
        <v/>
      </c>
      <c r="L230" s="185" t="s">
        <v>898</v>
      </c>
      <c r="M230" s="185" t="s">
        <v>898</v>
      </c>
      <c r="N230" s="185"/>
      <c r="O230" s="185"/>
      <c r="P230" s="185"/>
      <c r="Q230" s="185"/>
      <c r="R230" s="185"/>
      <c r="S230" s="185"/>
    </row>
    <row r="23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 t="str">
        <f>IFERROR(__xludf.DUMMYFUNCTION("""COMPUTED_VALUE"""),"")</f>
        <v/>
      </c>
      <c r="K231" s="185" t="str">
        <f>IFERROR(__xludf.DUMMYFUNCTION("""COMPUTED_VALUE"""),"")</f>
        <v/>
      </c>
      <c r="L231" s="185" t="s">
        <v>898</v>
      </c>
      <c r="M231" s="185" t="s">
        <v>898</v>
      </c>
      <c r="N231" s="185"/>
      <c r="O231" s="185"/>
      <c r="P231" s="185"/>
      <c r="Q231" s="185"/>
      <c r="R231" s="185"/>
      <c r="S231" s="185"/>
    </row>
    <row r="232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 t="str">
        <f>IFERROR(__xludf.DUMMYFUNCTION("""COMPUTED_VALUE"""),"")</f>
        <v/>
      </c>
      <c r="K232" s="185" t="str">
        <f>IFERROR(__xludf.DUMMYFUNCTION("""COMPUTED_VALUE"""),"")</f>
        <v/>
      </c>
      <c r="L232" s="185" t="s">
        <v>898</v>
      </c>
      <c r="M232" s="185" t="s">
        <v>898</v>
      </c>
      <c r="N232" s="185"/>
      <c r="O232" s="185"/>
      <c r="P232" s="185"/>
      <c r="Q232" s="185"/>
      <c r="R232" s="185"/>
      <c r="S232" s="185"/>
    </row>
    <row r="233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 t="str">
        <f>IFERROR(__xludf.DUMMYFUNCTION("""COMPUTED_VALUE"""),"")</f>
        <v/>
      </c>
      <c r="K233" s="185" t="str">
        <f>IFERROR(__xludf.DUMMYFUNCTION("""COMPUTED_VALUE"""),"")</f>
        <v/>
      </c>
      <c r="L233" s="185" t="s">
        <v>898</v>
      </c>
      <c r="M233" s="185" t="s">
        <v>898</v>
      </c>
      <c r="N233" s="185"/>
      <c r="O233" s="185"/>
      <c r="P233" s="185"/>
      <c r="Q233" s="185"/>
      <c r="R233" s="185"/>
      <c r="S233" s="185"/>
    </row>
    <row r="234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 t="str">
        <f>IFERROR(__xludf.DUMMYFUNCTION("""COMPUTED_VALUE"""),"")</f>
        <v/>
      </c>
      <c r="K234" s="185" t="str">
        <f>IFERROR(__xludf.DUMMYFUNCTION("""COMPUTED_VALUE"""),"")</f>
        <v/>
      </c>
      <c r="L234" s="185" t="s">
        <v>898</v>
      </c>
      <c r="M234" s="185" t="s">
        <v>898</v>
      </c>
      <c r="N234" s="185"/>
      <c r="O234" s="185"/>
      <c r="P234" s="185"/>
      <c r="Q234" s="185"/>
      <c r="R234" s="185"/>
      <c r="S234" s="185"/>
    </row>
    <row r="235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 t="str">
        <f>IFERROR(__xludf.DUMMYFUNCTION("""COMPUTED_VALUE"""),"")</f>
        <v/>
      </c>
      <c r="K235" s="185" t="str">
        <f>IFERROR(__xludf.DUMMYFUNCTION("""COMPUTED_VALUE"""),"")</f>
        <v/>
      </c>
      <c r="L235" s="185" t="s">
        <v>898</v>
      </c>
      <c r="M235" s="185" t="s">
        <v>898</v>
      </c>
      <c r="N235" s="185"/>
      <c r="O235" s="185"/>
      <c r="P235" s="185"/>
      <c r="Q235" s="185"/>
      <c r="R235" s="185"/>
      <c r="S235" s="185"/>
    </row>
    <row r="236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 t="str">
        <f>IFERROR(__xludf.DUMMYFUNCTION("""COMPUTED_VALUE"""),"")</f>
        <v/>
      </c>
      <c r="K236" s="185" t="str">
        <f>IFERROR(__xludf.DUMMYFUNCTION("""COMPUTED_VALUE"""),"")</f>
        <v/>
      </c>
      <c r="L236" s="185" t="s">
        <v>898</v>
      </c>
      <c r="M236" s="185" t="s">
        <v>898</v>
      </c>
      <c r="N236" s="185"/>
      <c r="O236" s="185"/>
      <c r="P236" s="185"/>
      <c r="Q236" s="185"/>
      <c r="R236" s="185"/>
      <c r="S236" s="185"/>
    </row>
    <row r="237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 t="str">
        <f>IFERROR(__xludf.DUMMYFUNCTION("""COMPUTED_VALUE"""),"")</f>
        <v/>
      </c>
      <c r="K237" s="185" t="str">
        <f>IFERROR(__xludf.DUMMYFUNCTION("""COMPUTED_VALUE"""),"")</f>
        <v/>
      </c>
      <c r="L237" s="185" t="s">
        <v>898</v>
      </c>
      <c r="M237" s="185" t="s">
        <v>898</v>
      </c>
      <c r="N237" s="185"/>
      <c r="O237" s="185"/>
      <c r="P237" s="185"/>
      <c r="Q237" s="185"/>
      <c r="R237" s="185"/>
      <c r="S237" s="185"/>
    </row>
    <row r="238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 t="str">
        <f>IFERROR(__xludf.DUMMYFUNCTION("""COMPUTED_VALUE"""),"")</f>
        <v/>
      </c>
      <c r="K238" s="185" t="str">
        <f>IFERROR(__xludf.DUMMYFUNCTION("""COMPUTED_VALUE"""),"")</f>
        <v/>
      </c>
      <c r="L238" s="185" t="s">
        <v>898</v>
      </c>
      <c r="M238" s="185" t="s">
        <v>898</v>
      </c>
      <c r="N238" s="185"/>
      <c r="O238" s="185"/>
      <c r="P238" s="185"/>
      <c r="Q238" s="185"/>
      <c r="R238" s="185"/>
      <c r="S238" s="185"/>
    </row>
    <row r="239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 t="str">
        <f>IFERROR(__xludf.DUMMYFUNCTION("""COMPUTED_VALUE"""),"")</f>
        <v/>
      </c>
      <c r="K239" s="185" t="str">
        <f>IFERROR(__xludf.DUMMYFUNCTION("""COMPUTED_VALUE"""),"")</f>
        <v/>
      </c>
      <c r="L239" s="185" t="s">
        <v>898</v>
      </c>
      <c r="M239" s="185" t="s">
        <v>898</v>
      </c>
      <c r="N239" s="185"/>
      <c r="O239" s="185"/>
      <c r="P239" s="185"/>
      <c r="Q239" s="185"/>
      <c r="R239" s="185"/>
      <c r="S239" s="185"/>
    </row>
    <row r="240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 t="str">
        <f>IFERROR(__xludf.DUMMYFUNCTION("""COMPUTED_VALUE"""),"")</f>
        <v/>
      </c>
      <c r="K240" s="185" t="str">
        <f>IFERROR(__xludf.DUMMYFUNCTION("""COMPUTED_VALUE"""),"")</f>
        <v/>
      </c>
      <c r="L240" s="185" t="s">
        <v>898</v>
      </c>
      <c r="M240" s="185" t="s">
        <v>898</v>
      </c>
      <c r="N240" s="185"/>
      <c r="O240" s="185"/>
      <c r="P240" s="185"/>
      <c r="Q240" s="185"/>
      <c r="R240" s="185"/>
      <c r="S240" s="185"/>
    </row>
    <row r="24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 t="str">
        <f>IFERROR(__xludf.DUMMYFUNCTION("""COMPUTED_VALUE"""),"")</f>
        <v/>
      </c>
      <c r="K241" s="185" t="str">
        <f>IFERROR(__xludf.DUMMYFUNCTION("""COMPUTED_VALUE"""),"")</f>
        <v/>
      </c>
      <c r="L241" s="185" t="s">
        <v>898</v>
      </c>
      <c r="M241" s="185" t="s">
        <v>898</v>
      </c>
      <c r="N241" s="185"/>
      <c r="O241" s="185"/>
      <c r="P241" s="185"/>
      <c r="Q241" s="185"/>
      <c r="R241" s="185"/>
      <c r="S241" s="185"/>
    </row>
    <row r="242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 t="str">
        <f>IFERROR(__xludf.DUMMYFUNCTION("""COMPUTED_VALUE"""),"")</f>
        <v/>
      </c>
      <c r="K242" s="185" t="str">
        <f>IFERROR(__xludf.DUMMYFUNCTION("""COMPUTED_VALUE"""),"")</f>
        <v/>
      </c>
      <c r="L242" s="185" t="s">
        <v>898</v>
      </c>
      <c r="M242" s="185" t="s">
        <v>898</v>
      </c>
      <c r="N242" s="185"/>
      <c r="O242" s="185"/>
      <c r="P242" s="185"/>
      <c r="Q242" s="185"/>
      <c r="R242" s="185"/>
      <c r="S242" s="185"/>
    </row>
    <row r="243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 t="str">
        <f>IFERROR(__xludf.DUMMYFUNCTION("""COMPUTED_VALUE"""),"")</f>
        <v/>
      </c>
      <c r="K243" s="185" t="str">
        <f>IFERROR(__xludf.DUMMYFUNCTION("""COMPUTED_VALUE"""),"")</f>
        <v/>
      </c>
      <c r="L243" s="185" t="s">
        <v>898</v>
      </c>
      <c r="M243" s="185" t="s">
        <v>898</v>
      </c>
      <c r="N243" s="185"/>
      <c r="O243" s="185"/>
      <c r="P243" s="185"/>
      <c r="Q243" s="185"/>
      <c r="R243" s="185"/>
      <c r="S243" s="185"/>
    </row>
    <row r="244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 t="str">
        <f>IFERROR(__xludf.DUMMYFUNCTION("""COMPUTED_VALUE"""),"")</f>
        <v/>
      </c>
      <c r="K244" s="185" t="str">
        <f>IFERROR(__xludf.DUMMYFUNCTION("""COMPUTED_VALUE"""),"")</f>
        <v/>
      </c>
      <c r="L244" s="185" t="s">
        <v>898</v>
      </c>
      <c r="M244" s="185" t="s">
        <v>898</v>
      </c>
      <c r="N244" s="185"/>
      <c r="O244" s="185"/>
      <c r="P244" s="185"/>
      <c r="Q244" s="185"/>
      <c r="R244" s="185"/>
      <c r="S244" s="185"/>
    </row>
    <row r="245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 t="str">
        <f>IFERROR(__xludf.DUMMYFUNCTION("""COMPUTED_VALUE"""),"")</f>
        <v/>
      </c>
      <c r="K245" s="185" t="str">
        <f>IFERROR(__xludf.DUMMYFUNCTION("""COMPUTED_VALUE"""),"")</f>
        <v/>
      </c>
      <c r="L245" s="185" t="s">
        <v>898</v>
      </c>
      <c r="M245" s="185" t="s">
        <v>898</v>
      </c>
      <c r="N245" s="185"/>
      <c r="O245" s="185"/>
      <c r="P245" s="185"/>
      <c r="Q245" s="185"/>
      <c r="R245" s="185"/>
      <c r="S245" s="185"/>
    </row>
    <row r="246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 t="str">
        <f>IFERROR(__xludf.DUMMYFUNCTION("""COMPUTED_VALUE"""),"")</f>
        <v/>
      </c>
      <c r="K246" s="185" t="str">
        <f>IFERROR(__xludf.DUMMYFUNCTION("""COMPUTED_VALUE"""),"")</f>
        <v/>
      </c>
      <c r="L246" s="185" t="s">
        <v>898</v>
      </c>
      <c r="M246" s="185" t="s">
        <v>898</v>
      </c>
      <c r="N246" s="185"/>
      <c r="O246" s="185"/>
      <c r="P246" s="185"/>
      <c r="Q246" s="185"/>
      <c r="R246" s="185"/>
      <c r="S246" s="185"/>
    </row>
    <row r="247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 t="str">
        <f>IFERROR(__xludf.DUMMYFUNCTION("""COMPUTED_VALUE"""),"")</f>
        <v/>
      </c>
      <c r="K247" s="185" t="str">
        <f>IFERROR(__xludf.DUMMYFUNCTION("""COMPUTED_VALUE"""),"")</f>
        <v/>
      </c>
      <c r="L247" s="185" t="s">
        <v>898</v>
      </c>
      <c r="M247" s="185" t="s">
        <v>898</v>
      </c>
      <c r="N247" s="185"/>
      <c r="O247" s="185"/>
      <c r="P247" s="185"/>
      <c r="Q247" s="185"/>
      <c r="R247" s="185"/>
      <c r="S247" s="185"/>
    </row>
    <row r="248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 t="str">
        <f>IFERROR(__xludf.DUMMYFUNCTION("""COMPUTED_VALUE"""),"")</f>
        <v/>
      </c>
      <c r="K248" s="185" t="str">
        <f>IFERROR(__xludf.DUMMYFUNCTION("""COMPUTED_VALUE"""),"")</f>
        <v/>
      </c>
      <c r="L248" s="185" t="s">
        <v>898</v>
      </c>
      <c r="M248" s="185" t="s">
        <v>898</v>
      </c>
      <c r="N248" s="185"/>
      <c r="O248" s="185"/>
      <c r="P248" s="185"/>
      <c r="Q248" s="185"/>
      <c r="R248" s="185"/>
      <c r="S248" s="185"/>
    </row>
    <row r="249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 t="str">
        <f>IFERROR(__xludf.DUMMYFUNCTION("""COMPUTED_VALUE"""),"")</f>
        <v/>
      </c>
      <c r="K249" s="185" t="str">
        <f>IFERROR(__xludf.DUMMYFUNCTION("""COMPUTED_VALUE"""),"")</f>
        <v/>
      </c>
      <c r="L249" s="185" t="s">
        <v>898</v>
      </c>
      <c r="M249" s="185" t="s">
        <v>898</v>
      </c>
      <c r="N249" s="185"/>
      <c r="O249" s="185"/>
      <c r="P249" s="185"/>
      <c r="Q249" s="185"/>
      <c r="R249" s="185"/>
      <c r="S249" s="185"/>
    </row>
    <row r="250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 t="str">
        <f>IFERROR(__xludf.DUMMYFUNCTION("""COMPUTED_VALUE"""),"")</f>
        <v/>
      </c>
      <c r="K250" s="185" t="str">
        <f>IFERROR(__xludf.DUMMYFUNCTION("""COMPUTED_VALUE"""),"")</f>
        <v/>
      </c>
      <c r="L250" s="185" t="s">
        <v>898</v>
      </c>
      <c r="M250" s="185" t="s">
        <v>898</v>
      </c>
      <c r="N250" s="185"/>
      <c r="O250" s="185"/>
      <c r="P250" s="185"/>
      <c r="Q250" s="185"/>
      <c r="R250" s="185"/>
      <c r="S250" s="185"/>
    </row>
    <row r="25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 t="str">
        <f>IFERROR(__xludf.DUMMYFUNCTION("""COMPUTED_VALUE"""),"")</f>
        <v/>
      </c>
      <c r="K251" s="185" t="str">
        <f>IFERROR(__xludf.DUMMYFUNCTION("""COMPUTED_VALUE"""),"")</f>
        <v/>
      </c>
      <c r="L251" s="185" t="s">
        <v>898</v>
      </c>
      <c r="M251" s="185" t="s">
        <v>898</v>
      </c>
      <c r="N251" s="185"/>
      <c r="O251" s="185"/>
      <c r="P251" s="185"/>
      <c r="Q251" s="185"/>
      <c r="R251" s="185"/>
      <c r="S251" s="185"/>
    </row>
    <row r="252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 t="str">
        <f>IFERROR(__xludf.DUMMYFUNCTION("""COMPUTED_VALUE"""),"")</f>
        <v/>
      </c>
      <c r="K252" s="185" t="str">
        <f>IFERROR(__xludf.DUMMYFUNCTION("""COMPUTED_VALUE"""),"")</f>
        <v/>
      </c>
      <c r="L252" s="185" t="s">
        <v>898</v>
      </c>
      <c r="M252" s="185" t="s">
        <v>898</v>
      </c>
      <c r="N252" s="185"/>
      <c r="O252" s="185"/>
      <c r="P252" s="185"/>
      <c r="Q252" s="185"/>
      <c r="R252" s="185"/>
      <c r="S252" s="185"/>
    </row>
    <row r="253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 t="str">
        <f>IFERROR(__xludf.DUMMYFUNCTION("""COMPUTED_VALUE"""),"")</f>
        <v/>
      </c>
      <c r="K253" s="185" t="str">
        <f>IFERROR(__xludf.DUMMYFUNCTION("""COMPUTED_VALUE"""),"")</f>
        <v/>
      </c>
      <c r="L253" s="185" t="s">
        <v>898</v>
      </c>
      <c r="M253" s="185" t="s">
        <v>898</v>
      </c>
      <c r="N253" s="185"/>
      <c r="O253" s="185"/>
      <c r="P253" s="185"/>
      <c r="Q253" s="185"/>
      <c r="R253" s="185"/>
      <c r="S253" s="185"/>
    </row>
    <row r="254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 t="str">
        <f>IFERROR(__xludf.DUMMYFUNCTION("""COMPUTED_VALUE"""),"")</f>
        <v/>
      </c>
      <c r="K254" s="185" t="str">
        <f>IFERROR(__xludf.DUMMYFUNCTION("""COMPUTED_VALUE"""),"")</f>
        <v/>
      </c>
      <c r="L254" s="185" t="s">
        <v>898</v>
      </c>
      <c r="M254" s="185" t="s">
        <v>898</v>
      </c>
      <c r="N254" s="185"/>
      <c r="O254" s="185"/>
      <c r="P254" s="185"/>
      <c r="Q254" s="185"/>
      <c r="R254" s="185"/>
      <c r="S254" s="185"/>
    </row>
    <row r="255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 t="str">
        <f>IFERROR(__xludf.DUMMYFUNCTION("""COMPUTED_VALUE"""),"")</f>
        <v/>
      </c>
      <c r="K255" s="185" t="str">
        <f>IFERROR(__xludf.DUMMYFUNCTION("""COMPUTED_VALUE"""),"")</f>
        <v/>
      </c>
      <c r="L255" s="185" t="s">
        <v>898</v>
      </c>
      <c r="M255" s="185" t="s">
        <v>898</v>
      </c>
      <c r="N255" s="185"/>
      <c r="O255" s="185"/>
      <c r="P255" s="185"/>
      <c r="Q255" s="185"/>
      <c r="R255" s="185"/>
      <c r="S255" s="185"/>
    </row>
    <row r="256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 t="str">
        <f>IFERROR(__xludf.DUMMYFUNCTION("""COMPUTED_VALUE"""),"")</f>
        <v/>
      </c>
      <c r="K256" s="185" t="str">
        <f>IFERROR(__xludf.DUMMYFUNCTION("""COMPUTED_VALUE"""),"")</f>
        <v/>
      </c>
      <c r="L256" s="185" t="s">
        <v>898</v>
      </c>
      <c r="M256" s="185" t="s">
        <v>898</v>
      </c>
      <c r="N256" s="185"/>
      <c r="O256" s="185"/>
      <c r="P256" s="185"/>
      <c r="Q256" s="185"/>
      <c r="R256" s="185"/>
      <c r="S256" s="185"/>
    </row>
    <row r="257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 t="str">
        <f>IFERROR(__xludf.DUMMYFUNCTION("""COMPUTED_VALUE"""),"")</f>
        <v/>
      </c>
      <c r="K257" s="185" t="str">
        <f>IFERROR(__xludf.DUMMYFUNCTION("""COMPUTED_VALUE"""),"")</f>
        <v/>
      </c>
      <c r="L257" s="185" t="s">
        <v>898</v>
      </c>
      <c r="M257" s="185" t="s">
        <v>898</v>
      </c>
      <c r="N257" s="185"/>
      <c r="O257" s="185"/>
      <c r="P257" s="185"/>
      <c r="Q257" s="185"/>
      <c r="R257" s="185"/>
      <c r="S257" s="185"/>
    </row>
    <row r="258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 t="str">
        <f>IFERROR(__xludf.DUMMYFUNCTION("""COMPUTED_VALUE"""),"")</f>
        <v/>
      </c>
      <c r="K258" s="185" t="str">
        <f>IFERROR(__xludf.DUMMYFUNCTION("""COMPUTED_VALUE"""),"")</f>
        <v/>
      </c>
      <c r="L258" s="185" t="s">
        <v>898</v>
      </c>
      <c r="M258" s="185" t="s">
        <v>898</v>
      </c>
      <c r="N258" s="185"/>
      <c r="O258" s="185"/>
      <c r="P258" s="185"/>
      <c r="Q258" s="185"/>
      <c r="R258" s="185"/>
      <c r="S258" s="185"/>
    </row>
    <row r="259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 t="str">
        <f>IFERROR(__xludf.DUMMYFUNCTION("""COMPUTED_VALUE"""),"")</f>
        <v/>
      </c>
      <c r="K259" s="185" t="str">
        <f>IFERROR(__xludf.DUMMYFUNCTION("""COMPUTED_VALUE"""),"")</f>
        <v/>
      </c>
      <c r="L259" s="185" t="s">
        <v>898</v>
      </c>
      <c r="M259" s="185" t="s">
        <v>898</v>
      </c>
      <c r="N259" s="185"/>
      <c r="O259" s="185"/>
      <c r="P259" s="185"/>
      <c r="Q259" s="185"/>
      <c r="R259" s="185"/>
      <c r="S259" s="185"/>
    </row>
    <row r="260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 t="str">
        <f>IFERROR(__xludf.DUMMYFUNCTION("""COMPUTED_VALUE"""),"")</f>
        <v/>
      </c>
      <c r="K260" s="185" t="str">
        <f>IFERROR(__xludf.DUMMYFUNCTION("""COMPUTED_VALUE"""),"")</f>
        <v/>
      </c>
      <c r="L260" s="185" t="s">
        <v>898</v>
      </c>
      <c r="M260" s="185" t="s">
        <v>898</v>
      </c>
      <c r="N260" s="185"/>
      <c r="O260" s="185"/>
      <c r="P260" s="185"/>
      <c r="Q260" s="185"/>
      <c r="R260" s="185"/>
      <c r="S260" s="185"/>
    </row>
    <row r="26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 t="str">
        <f>IFERROR(__xludf.DUMMYFUNCTION("""COMPUTED_VALUE"""),"")</f>
        <v/>
      </c>
      <c r="K261" s="185" t="str">
        <f>IFERROR(__xludf.DUMMYFUNCTION("""COMPUTED_VALUE"""),"")</f>
        <v/>
      </c>
      <c r="L261" s="185" t="s">
        <v>898</v>
      </c>
      <c r="M261" s="185" t="s">
        <v>898</v>
      </c>
      <c r="N261" s="185"/>
      <c r="O261" s="185"/>
      <c r="P261" s="185"/>
      <c r="Q261" s="185"/>
      <c r="R261" s="185"/>
      <c r="S261" s="185"/>
    </row>
    <row r="262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 t="str">
        <f>IFERROR(__xludf.DUMMYFUNCTION("""COMPUTED_VALUE"""),"")</f>
        <v/>
      </c>
      <c r="K262" s="185" t="str">
        <f>IFERROR(__xludf.DUMMYFUNCTION("""COMPUTED_VALUE"""),"")</f>
        <v/>
      </c>
      <c r="L262" s="185" t="s">
        <v>898</v>
      </c>
      <c r="M262" s="185" t="s">
        <v>898</v>
      </c>
      <c r="N262" s="185"/>
      <c r="O262" s="185"/>
      <c r="P262" s="185"/>
      <c r="Q262" s="185"/>
      <c r="R262" s="185"/>
      <c r="S262" s="185"/>
    </row>
    <row r="263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 t="str">
        <f>IFERROR(__xludf.DUMMYFUNCTION("""COMPUTED_VALUE"""),"")</f>
        <v/>
      </c>
      <c r="K263" s="185" t="str">
        <f>IFERROR(__xludf.DUMMYFUNCTION("""COMPUTED_VALUE"""),"")</f>
        <v/>
      </c>
      <c r="L263" s="185" t="s">
        <v>898</v>
      </c>
      <c r="M263" s="185" t="s">
        <v>898</v>
      </c>
      <c r="N263" s="185"/>
      <c r="O263" s="185"/>
      <c r="P263" s="185"/>
      <c r="Q263" s="185"/>
      <c r="R263" s="185"/>
      <c r="S263" s="185"/>
    </row>
    <row r="264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 t="str">
        <f>IFERROR(__xludf.DUMMYFUNCTION("""COMPUTED_VALUE"""),"")</f>
        <v/>
      </c>
      <c r="K264" s="185" t="str">
        <f>IFERROR(__xludf.DUMMYFUNCTION("""COMPUTED_VALUE"""),"")</f>
        <v/>
      </c>
      <c r="L264" s="185" t="s">
        <v>898</v>
      </c>
      <c r="M264" s="185" t="s">
        <v>898</v>
      </c>
      <c r="N264" s="185"/>
      <c r="O264" s="185"/>
      <c r="P264" s="185"/>
      <c r="Q264" s="185"/>
      <c r="R264" s="185"/>
      <c r="S264" s="185"/>
    </row>
    <row r="265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 t="str">
        <f>IFERROR(__xludf.DUMMYFUNCTION("""COMPUTED_VALUE"""),"")</f>
        <v/>
      </c>
      <c r="K265" s="185" t="str">
        <f>IFERROR(__xludf.DUMMYFUNCTION("""COMPUTED_VALUE"""),"")</f>
        <v/>
      </c>
      <c r="L265" s="185" t="s">
        <v>898</v>
      </c>
      <c r="M265" s="185" t="s">
        <v>898</v>
      </c>
      <c r="N265" s="185"/>
      <c r="O265" s="185"/>
      <c r="P265" s="185"/>
      <c r="Q265" s="185"/>
      <c r="R265" s="185"/>
      <c r="S265" s="185"/>
    </row>
    <row r="266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 t="str">
        <f>IFERROR(__xludf.DUMMYFUNCTION("""COMPUTED_VALUE"""),"")</f>
        <v/>
      </c>
      <c r="K266" s="185" t="str">
        <f>IFERROR(__xludf.DUMMYFUNCTION("""COMPUTED_VALUE"""),"")</f>
        <v/>
      </c>
      <c r="L266" s="185" t="s">
        <v>898</v>
      </c>
      <c r="M266" s="185" t="s">
        <v>898</v>
      </c>
      <c r="N266" s="185"/>
      <c r="O266" s="185"/>
      <c r="P266" s="185"/>
      <c r="Q266" s="185"/>
      <c r="R266" s="185"/>
      <c r="S266" s="185"/>
    </row>
    <row r="267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 t="str">
        <f>IFERROR(__xludf.DUMMYFUNCTION("""COMPUTED_VALUE"""),"")</f>
        <v/>
      </c>
      <c r="K267" s="185" t="str">
        <f>IFERROR(__xludf.DUMMYFUNCTION("""COMPUTED_VALUE"""),"")</f>
        <v/>
      </c>
      <c r="L267" s="185" t="s">
        <v>898</v>
      </c>
      <c r="M267" s="185" t="s">
        <v>898</v>
      </c>
      <c r="N267" s="185"/>
      <c r="O267" s="185"/>
      <c r="P267" s="185"/>
      <c r="Q267" s="185"/>
      <c r="R267" s="185"/>
      <c r="S267" s="185"/>
    </row>
    <row r="268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 t="str">
        <f>IFERROR(__xludf.DUMMYFUNCTION("""COMPUTED_VALUE"""),"")</f>
        <v/>
      </c>
      <c r="K268" s="185" t="str">
        <f>IFERROR(__xludf.DUMMYFUNCTION("""COMPUTED_VALUE"""),"")</f>
        <v/>
      </c>
      <c r="L268" s="185" t="s">
        <v>898</v>
      </c>
      <c r="M268" s="185" t="s">
        <v>898</v>
      </c>
      <c r="N268" s="185"/>
      <c r="O268" s="185"/>
      <c r="P268" s="185"/>
      <c r="Q268" s="185"/>
      <c r="R268" s="185"/>
      <c r="S268" s="185"/>
    </row>
    <row r="269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 t="str">
        <f>IFERROR(__xludf.DUMMYFUNCTION("""COMPUTED_VALUE"""),"")</f>
        <v/>
      </c>
      <c r="K269" s="185" t="str">
        <f>IFERROR(__xludf.DUMMYFUNCTION("""COMPUTED_VALUE"""),"")</f>
        <v/>
      </c>
      <c r="L269" s="185" t="s">
        <v>898</v>
      </c>
      <c r="M269" s="185" t="s">
        <v>898</v>
      </c>
      <c r="N269" s="185"/>
      <c r="O269" s="185"/>
      <c r="P269" s="185"/>
      <c r="Q269" s="185"/>
      <c r="R269" s="185"/>
      <c r="S269" s="185"/>
    </row>
    <row r="270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 t="str">
        <f>IFERROR(__xludf.DUMMYFUNCTION("""COMPUTED_VALUE"""),"")</f>
        <v/>
      </c>
      <c r="K270" s="185" t="str">
        <f>IFERROR(__xludf.DUMMYFUNCTION("""COMPUTED_VALUE"""),"")</f>
        <v/>
      </c>
      <c r="L270" s="185" t="s">
        <v>898</v>
      </c>
      <c r="M270" s="185" t="s">
        <v>898</v>
      </c>
      <c r="N270" s="185"/>
      <c r="O270" s="185"/>
      <c r="P270" s="185"/>
      <c r="Q270" s="185"/>
      <c r="R270" s="185"/>
      <c r="S270" s="185"/>
    </row>
    <row r="27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 t="str">
        <f>IFERROR(__xludf.DUMMYFUNCTION("""COMPUTED_VALUE"""),"")</f>
        <v/>
      </c>
      <c r="K271" s="185" t="str">
        <f>IFERROR(__xludf.DUMMYFUNCTION("""COMPUTED_VALUE"""),"")</f>
        <v/>
      </c>
      <c r="L271" s="185" t="s">
        <v>898</v>
      </c>
      <c r="M271" s="185" t="s">
        <v>898</v>
      </c>
      <c r="N271" s="185"/>
      <c r="O271" s="185"/>
      <c r="P271" s="185"/>
      <c r="Q271" s="185"/>
      <c r="R271" s="185"/>
      <c r="S271" s="185"/>
    </row>
    <row r="272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 t="str">
        <f>IFERROR(__xludf.DUMMYFUNCTION("""COMPUTED_VALUE"""),"")</f>
        <v/>
      </c>
      <c r="K272" s="185" t="str">
        <f>IFERROR(__xludf.DUMMYFUNCTION("""COMPUTED_VALUE"""),"")</f>
        <v/>
      </c>
      <c r="L272" s="185" t="s">
        <v>898</v>
      </c>
      <c r="M272" s="185" t="s">
        <v>898</v>
      </c>
      <c r="N272" s="185"/>
      <c r="O272" s="185"/>
      <c r="P272" s="185"/>
      <c r="Q272" s="185"/>
      <c r="R272" s="185"/>
      <c r="S272" s="185"/>
    </row>
    <row r="273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 t="str">
        <f>IFERROR(__xludf.DUMMYFUNCTION("""COMPUTED_VALUE"""),"")</f>
        <v/>
      </c>
      <c r="K273" s="185" t="str">
        <f>IFERROR(__xludf.DUMMYFUNCTION("""COMPUTED_VALUE"""),"")</f>
        <v/>
      </c>
      <c r="L273" s="185" t="s">
        <v>898</v>
      </c>
      <c r="M273" s="185" t="s">
        <v>898</v>
      </c>
      <c r="N273" s="185"/>
      <c r="O273" s="185"/>
      <c r="P273" s="185"/>
      <c r="Q273" s="185"/>
      <c r="R273" s="185"/>
      <c r="S273" s="185"/>
    </row>
    <row r="274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 t="str">
        <f>IFERROR(__xludf.DUMMYFUNCTION("""COMPUTED_VALUE"""),"")</f>
        <v/>
      </c>
      <c r="K274" s="185" t="str">
        <f>IFERROR(__xludf.DUMMYFUNCTION("""COMPUTED_VALUE"""),"")</f>
        <v/>
      </c>
      <c r="L274" s="185" t="s">
        <v>898</v>
      </c>
      <c r="M274" s="185" t="s">
        <v>898</v>
      </c>
      <c r="N274" s="185"/>
      <c r="O274" s="185"/>
      <c r="P274" s="185"/>
      <c r="Q274" s="185"/>
      <c r="R274" s="185"/>
      <c r="S274" s="185"/>
    </row>
    <row r="275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 t="str">
        <f>IFERROR(__xludf.DUMMYFUNCTION("""COMPUTED_VALUE"""),"")</f>
        <v/>
      </c>
      <c r="K275" s="185" t="str">
        <f>IFERROR(__xludf.DUMMYFUNCTION("""COMPUTED_VALUE"""),"")</f>
        <v/>
      </c>
      <c r="L275" s="185" t="s">
        <v>898</v>
      </c>
      <c r="M275" s="185" t="s">
        <v>898</v>
      </c>
      <c r="N275" s="185"/>
      <c r="O275" s="185"/>
      <c r="P275" s="185"/>
      <c r="Q275" s="185"/>
      <c r="R275" s="185"/>
      <c r="S275" s="185"/>
    </row>
    <row r="276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 t="str">
        <f>IFERROR(__xludf.DUMMYFUNCTION("""COMPUTED_VALUE"""),"")</f>
        <v/>
      </c>
      <c r="K276" s="185" t="str">
        <f>IFERROR(__xludf.DUMMYFUNCTION("""COMPUTED_VALUE"""),"")</f>
        <v/>
      </c>
      <c r="L276" s="185" t="s">
        <v>898</v>
      </c>
      <c r="M276" s="185" t="s">
        <v>898</v>
      </c>
      <c r="N276" s="185"/>
      <c r="O276" s="185"/>
      <c r="P276" s="185"/>
      <c r="Q276" s="185"/>
      <c r="R276" s="185"/>
      <c r="S276" s="185"/>
    </row>
    <row r="277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 t="str">
        <f>IFERROR(__xludf.DUMMYFUNCTION("""COMPUTED_VALUE"""),"")</f>
        <v/>
      </c>
      <c r="K277" s="185" t="str">
        <f>IFERROR(__xludf.DUMMYFUNCTION("""COMPUTED_VALUE"""),"")</f>
        <v/>
      </c>
      <c r="L277" s="185" t="s">
        <v>898</v>
      </c>
      <c r="M277" s="185" t="s">
        <v>898</v>
      </c>
      <c r="N277" s="185"/>
      <c r="O277" s="185"/>
      <c r="P277" s="185"/>
      <c r="Q277" s="185"/>
      <c r="R277" s="185"/>
      <c r="S277" s="185"/>
    </row>
    <row r="278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 t="str">
        <f>IFERROR(__xludf.DUMMYFUNCTION("""COMPUTED_VALUE"""),"")</f>
        <v/>
      </c>
      <c r="K278" s="185" t="str">
        <f>IFERROR(__xludf.DUMMYFUNCTION("""COMPUTED_VALUE"""),"")</f>
        <v/>
      </c>
      <c r="L278" s="185" t="s">
        <v>898</v>
      </c>
      <c r="M278" s="185" t="s">
        <v>898</v>
      </c>
      <c r="N278" s="185"/>
      <c r="O278" s="185"/>
      <c r="P278" s="185"/>
      <c r="Q278" s="185"/>
      <c r="R278" s="185"/>
      <c r="S278" s="185"/>
    </row>
    <row r="279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 t="str">
        <f>IFERROR(__xludf.DUMMYFUNCTION("""COMPUTED_VALUE"""),"")</f>
        <v/>
      </c>
      <c r="K279" s="185" t="str">
        <f>IFERROR(__xludf.DUMMYFUNCTION("""COMPUTED_VALUE"""),"")</f>
        <v/>
      </c>
      <c r="L279" s="185" t="s">
        <v>898</v>
      </c>
      <c r="M279" s="185" t="s">
        <v>898</v>
      </c>
      <c r="N279" s="185"/>
      <c r="O279" s="185"/>
      <c r="P279" s="185"/>
      <c r="Q279" s="185"/>
      <c r="R279" s="185"/>
      <c r="S279" s="185"/>
    </row>
    <row r="280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 t="str">
        <f>IFERROR(__xludf.DUMMYFUNCTION("""COMPUTED_VALUE"""),"")</f>
        <v/>
      </c>
      <c r="K280" s="185" t="str">
        <f>IFERROR(__xludf.DUMMYFUNCTION("""COMPUTED_VALUE"""),"")</f>
        <v/>
      </c>
      <c r="L280" s="185" t="s">
        <v>898</v>
      </c>
      <c r="M280" s="185" t="s">
        <v>898</v>
      </c>
      <c r="N280" s="185"/>
      <c r="O280" s="185"/>
      <c r="P280" s="185"/>
      <c r="Q280" s="185"/>
      <c r="R280" s="185"/>
      <c r="S280" s="185"/>
    </row>
    <row r="28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 t="str">
        <f>IFERROR(__xludf.DUMMYFUNCTION("""COMPUTED_VALUE"""),"")</f>
        <v/>
      </c>
      <c r="K281" s="185" t="str">
        <f>IFERROR(__xludf.DUMMYFUNCTION("""COMPUTED_VALUE"""),"")</f>
        <v/>
      </c>
      <c r="L281" s="185" t="s">
        <v>898</v>
      </c>
      <c r="M281" s="185" t="s">
        <v>898</v>
      </c>
      <c r="N281" s="185"/>
      <c r="O281" s="185"/>
      <c r="P281" s="185"/>
      <c r="Q281" s="185"/>
      <c r="R281" s="185"/>
      <c r="S281" s="185"/>
    </row>
    <row r="282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 t="str">
        <f>IFERROR(__xludf.DUMMYFUNCTION("""COMPUTED_VALUE"""),"")</f>
        <v/>
      </c>
      <c r="K282" s="185" t="str">
        <f>IFERROR(__xludf.DUMMYFUNCTION("""COMPUTED_VALUE"""),"")</f>
        <v/>
      </c>
      <c r="L282" s="185" t="s">
        <v>898</v>
      </c>
      <c r="M282" s="185" t="s">
        <v>898</v>
      </c>
      <c r="N282" s="185"/>
      <c r="O282" s="185"/>
      <c r="P282" s="185"/>
      <c r="Q282" s="185"/>
      <c r="R282" s="185"/>
      <c r="S282" s="185"/>
    </row>
    <row r="283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 t="str">
        <f>IFERROR(__xludf.DUMMYFUNCTION("""COMPUTED_VALUE"""),"")</f>
        <v/>
      </c>
      <c r="K283" s="185" t="str">
        <f>IFERROR(__xludf.DUMMYFUNCTION("""COMPUTED_VALUE"""),"")</f>
        <v/>
      </c>
      <c r="L283" s="185" t="s">
        <v>898</v>
      </c>
      <c r="M283" s="185" t="s">
        <v>898</v>
      </c>
      <c r="N283" s="185"/>
      <c r="O283" s="185"/>
      <c r="P283" s="185"/>
      <c r="Q283" s="185"/>
      <c r="R283" s="185"/>
      <c r="S283" s="185"/>
    </row>
    <row r="284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 t="str">
        <f>IFERROR(__xludf.DUMMYFUNCTION("""COMPUTED_VALUE"""),"")</f>
        <v/>
      </c>
      <c r="K284" s="185" t="str">
        <f>IFERROR(__xludf.DUMMYFUNCTION("""COMPUTED_VALUE"""),"")</f>
        <v/>
      </c>
      <c r="L284" s="185" t="s">
        <v>898</v>
      </c>
      <c r="M284" s="185" t="s">
        <v>898</v>
      </c>
      <c r="N284" s="185"/>
      <c r="O284" s="185"/>
      <c r="P284" s="185"/>
      <c r="Q284" s="185"/>
      <c r="R284" s="185"/>
      <c r="S284" s="185"/>
    </row>
    <row r="285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 t="str">
        <f>IFERROR(__xludf.DUMMYFUNCTION("""COMPUTED_VALUE"""),"")</f>
        <v/>
      </c>
      <c r="K285" s="185" t="str">
        <f>IFERROR(__xludf.DUMMYFUNCTION("""COMPUTED_VALUE"""),"")</f>
        <v/>
      </c>
      <c r="L285" s="185" t="s">
        <v>898</v>
      </c>
      <c r="M285" s="185" t="s">
        <v>898</v>
      </c>
      <c r="N285" s="185"/>
      <c r="O285" s="185"/>
      <c r="P285" s="185"/>
      <c r="Q285" s="185"/>
      <c r="R285" s="185"/>
      <c r="S285" s="185"/>
    </row>
    <row r="286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 t="str">
        <f>IFERROR(__xludf.DUMMYFUNCTION("""COMPUTED_VALUE"""),"")</f>
        <v/>
      </c>
      <c r="K286" s="185" t="str">
        <f>IFERROR(__xludf.DUMMYFUNCTION("""COMPUTED_VALUE"""),"")</f>
        <v/>
      </c>
      <c r="L286" s="185" t="s">
        <v>898</v>
      </c>
      <c r="M286" s="185" t="s">
        <v>898</v>
      </c>
      <c r="N286" s="185"/>
      <c r="O286" s="185"/>
      <c r="P286" s="185"/>
      <c r="Q286" s="185"/>
      <c r="R286" s="185"/>
      <c r="S286" s="185"/>
    </row>
    <row r="287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 t="str">
        <f>IFERROR(__xludf.DUMMYFUNCTION("""COMPUTED_VALUE"""),"")</f>
        <v/>
      </c>
      <c r="K287" s="185" t="str">
        <f>IFERROR(__xludf.DUMMYFUNCTION("""COMPUTED_VALUE"""),"")</f>
        <v/>
      </c>
      <c r="L287" s="185" t="s">
        <v>898</v>
      </c>
      <c r="M287" s="185" t="s">
        <v>898</v>
      </c>
      <c r="N287" s="185"/>
      <c r="O287" s="185"/>
      <c r="P287" s="185"/>
      <c r="Q287" s="185"/>
      <c r="R287" s="185"/>
      <c r="S287" s="185"/>
    </row>
    <row r="288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 t="str">
        <f>IFERROR(__xludf.DUMMYFUNCTION("""COMPUTED_VALUE"""),"")</f>
        <v/>
      </c>
      <c r="K288" s="185" t="str">
        <f>IFERROR(__xludf.DUMMYFUNCTION("""COMPUTED_VALUE"""),"")</f>
        <v/>
      </c>
      <c r="L288" s="185" t="s">
        <v>898</v>
      </c>
      <c r="M288" s="185" t="s">
        <v>898</v>
      </c>
      <c r="N288" s="185"/>
      <c r="O288" s="185"/>
      <c r="P288" s="185"/>
      <c r="Q288" s="185"/>
      <c r="R288" s="185"/>
      <c r="S288" s="185"/>
    </row>
    <row r="289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 t="str">
        <f>IFERROR(__xludf.DUMMYFUNCTION("""COMPUTED_VALUE"""),"")</f>
        <v/>
      </c>
      <c r="K289" s="185" t="str">
        <f>IFERROR(__xludf.DUMMYFUNCTION("""COMPUTED_VALUE"""),"")</f>
        <v/>
      </c>
      <c r="L289" s="185" t="s">
        <v>898</v>
      </c>
      <c r="M289" s="185" t="s">
        <v>898</v>
      </c>
      <c r="N289" s="185"/>
      <c r="O289" s="185"/>
      <c r="P289" s="185"/>
      <c r="Q289" s="185"/>
      <c r="R289" s="185"/>
      <c r="S289" s="185"/>
    </row>
    <row r="290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 t="str">
        <f>IFERROR(__xludf.DUMMYFUNCTION("""COMPUTED_VALUE"""),"")</f>
        <v/>
      </c>
      <c r="K290" s="185" t="str">
        <f>IFERROR(__xludf.DUMMYFUNCTION("""COMPUTED_VALUE"""),"")</f>
        <v/>
      </c>
      <c r="L290" s="185" t="s">
        <v>898</v>
      </c>
      <c r="M290" s="185" t="s">
        <v>898</v>
      </c>
      <c r="N290" s="185"/>
      <c r="O290" s="185"/>
      <c r="P290" s="185"/>
      <c r="Q290" s="185"/>
      <c r="R290" s="185"/>
      <c r="S290" s="185"/>
    </row>
    <row r="29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 t="str">
        <f>IFERROR(__xludf.DUMMYFUNCTION("""COMPUTED_VALUE"""),"")</f>
        <v/>
      </c>
      <c r="K291" s="185" t="str">
        <f>IFERROR(__xludf.DUMMYFUNCTION("""COMPUTED_VALUE"""),"")</f>
        <v/>
      </c>
      <c r="L291" s="185" t="s">
        <v>898</v>
      </c>
      <c r="M291" s="185" t="s">
        <v>898</v>
      </c>
      <c r="N291" s="185"/>
      <c r="O291" s="185"/>
      <c r="P291" s="185"/>
      <c r="Q291" s="185"/>
      <c r="R291" s="185"/>
      <c r="S291" s="185"/>
    </row>
    <row r="292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 t="str">
        <f>IFERROR(__xludf.DUMMYFUNCTION("""COMPUTED_VALUE"""),"")</f>
        <v/>
      </c>
      <c r="K292" s="185" t="str">
        <f>IFERROR(__xludf.DUMMYFUNCTION("""COMPUTED_VALUE"""),"")</f>
        <v/>
      </c>
      <c r="L292" s="185" t="s">
        <v>898</v>
      </c>
      <c r="M292" s="185" t="s">
        <v>898</v>
      </c>
      <c r="N292" s="185"/>
      <c r="O292" s="185"/>
      <c r="P292" s="185"/>
      <c r="Q292" s="185"/>
      <c r="R292" s="185"/>
      <c r="S292" s="185"/>
    </row>
    <row r="293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 t="str">
        <f>IFERROR(__xludf.DUMMYFUNCTION("""COMPUTED_VALUE"""),"")</f>
        <v/>
      </c>
      <c r="K293" s="185" t="str">
        <f>IFERROR(__xludf.DUMMYFUNCTION("""COMPUTED_VALUE"""),"")</f>
        <v/>
      </c>
      <c r="L293" s="185" t="s">
        <v>898</v>
      </c>
      <c r="M293" s="185" t="s">
        <v>898</v>
      </c>
      <c r="N293" s="185"/>
      <c r="O293" s="185"/>
      <c r="P293" s="185"/>
      <c r="Q293" s="185"/>
      <c r="R293" s="185"/>
      <c r="S293" s="185"/>
    </row>
    <row r="294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 t="str">
        <f>IFERROR(__xludf.DUMMYFUNCTION("""COMPUTED_VALUE"""),"")</f>
        <v/>
      </c>
      <c r="K294" s="185" t="str">
        <f>IFERROR(__xludf.DUMMYFUNCTION("""COMPUTED_VALUE"""),"")</f>
        <v/>
      </c>
      <c r="L294" s="185" t="s">
        <v>898</v>
      </c>
      <c r="M294" s="185" t="s">
        <v>898</v>
      </c>
      <c r="N294" s="185"/>
      <c r="O294" s="185"/>
      <c r="P294" s="185"/>
      <c r="Q294" s="185"/>
      <c r="R294" s="185"/>
      <c r="S294" s="185"/>
    </row>
    <row r="295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 t="str">
        <f>IFERROR(__xludf.DUMMYFUNCTION("""COMPUTED_VALUE"""),"")</f>
        <v/>
      </c>
      <c r="K295" s="185" t="str">
        <f>IFERROR(__xludf.DUMMYFUNCTION("""COMPUTED_VALUE"""),"")</f>
        <v/>
      </c>
      <c r="L295" s="185" t="s">
        <v>898</v>
      </c>
      <c r="M295" s="185" t="s">
        <v>898</v>
      </c>
      <c r="N295" s="185"/>
      <c r="O295" s="185"/>
      <c r="P295" s="185"/>
      <c r="Q295" s="185"/>
      <c r="R295" s="185"/>
      <c r="S295" s="185"/>
    </row>
    <row r="296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 t="str">
        <f>IFERROR(__xludf.DUMMYFUNCTION("""COMPUTED_VALUE"""),"")</f>
        <v/>
      </c>
      <c r="K296" s="185" t="str">
        <f>IFERROR(__xludf.DUMMYFUNCTION("""COMPUTED_VALUE"""),"")</f>
        <v/>
      </c>
      <c r="L296" s="185" t="s">
        <v>898</v>
      </c>
      <c r="M296" s="185" t="s">
        <v>898</v>
      </c>
      <c r="N296" s="185"/>
      <c r="O296" s="185"/>
      <c r="P296" s="185"/>
      <c r="Q296" s="185"/>
      <c r="R296" s="185"/>
      <c r="S296" s="185"/>
    </row>
    <row r="297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 t="str">
        <f>IFERROR(__xludf.DUMMYFUNCTION("""COMPUTED_VALUE"""),"")</f>
        <v/>
      </c>
      <c r="K297" s="185" t="str">
        <f>IFERROR(__xludf.DUMMYFUNCTION("""COMPUTED_VALUE"""),"")</f>
        <v/>
      </c>
      <c r="L297" s="185" t="s">
        <v>898</v>
      </c>
      <c r="M297" s="185" t="s">
        <v>898</v>
      </c>
      <c r="N297" s="185"/>
      <c r="O297" s="185"/>
      <c r="P297" s="185"/>
      <c r="Q297" s="185"/>
      <c r="R297" s="185"/>
      <c r="S297" s="185"/>
    </row>
    <row r="298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 t="str">
        <f>IFERROR(__xludf.DUMMYFUNCTION("""COMPUTED_VALUE"""),"")</f>
        <v/>
      </c>
      <c r="K298" s="185" t="str">
        <f>IFERROR(__xludf.DUMMYFUNCTION("""COMPUTED_VALUE"""),"")</f>
        <v/>
      </c>
      <c r="L298" s="185" t="s">
        <v>898</v>
      </c>
      <c r="M298" s="185" t="s">
        <v>898</v>
      </c>
      <c r="N298" s="185"/>
      <c r="O298" s="185"/>
      <c r="P298" s="185"/>
      <c r="Q298" s="185"/>
      <c r="R298" s="185"/>
      <c r="S298" s="185"/>
    </row>
    <row r="299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 t="str">
        <f>IFERROR(__xludf.DUMMYFUNCTION("""COMPUTED_VALUE"""),"")</f>
        <v/>
      </c>
      <c r="K299" s="185" t="str">
        <f>IFERROR(__xludf.DUMMYFUNCTION("""COMPUTED_VALUE"""),"")</f>
        <v/>
      </c>
      <c r="L299" s="185" t="s">
        <v>898</v>
      </c>
      <c r="M299" s="185" t="s">
        <v>898</v>
      </c>
      <c r="N299" s="185"/>
      <c r="O299" s="185"/>
      <c r="P299" s="185"/>
      <c r="Q299" s="185"/>
      <c r="R299" s="185"/>
      <c r="S299" s="185"/>
    </row>
    <row r="300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 t="str">
        <f>IFERROR(__xludf.DUMMYFUNCTION("""COMPUTED_VALUE"""),"")</f>
        <v/>
      </c>
      <c r="K300" s="185" t="str">
        <f>IFERROR(__xludf.DUMMYFUNCTION("""COMPUTED_VALUE"""),"")</f>
        <v/>
      </c>
      <c r="L300" s="185" t="s">
        <v>898</v>
      </c>
      <c r="M300" s="185" t="s">
        <v>898</v>
      </c>
      <c r="N300" s="185"/>
      <c r="O300" s="185"/>
      <c r="P300" s="185"/>
      <c r="Q300" s="185"/>
      <c r="R300" s="185"/>
      <c r="S300" s="185"/>
    </row>
    <row r="30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 t="str">
        <f>IFERROR(__xludf.DUMMYFUNCTION("""COMPUTED_VALUE"""),"")</f>
        <v/>
      </c>
      <c r="K301" s="185" t="str">
        <f>IFERROR(__xludf.DUMMYFUNCTION("""COMPUTED_VALUE"""),"")</f>
        <v/>
      </c>
      <c r="L301" s="185" t="s">
        <v>898</v>
      </c>
      <c r="M301" s="185" t="s">
        <v>898</v>
      </c>
      <c r="N301" s="185"/>
      <c r="O301" s="185"/>
      <c r="P301" s="185"/>
      <c r="Q301" s="185"/>
      <c r="R301" s="185"/>
      <c r="S301" s="185"/>
    </row>
    <row r="302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 t="str">
        <f>IFERROR(__xludf.DUMMYFUNCTION("""COMPUTED_VALUE"""),"")</f>
        <v/>
      </c>
      <c r="K302" s="185" t="str">
        <f>IFERROR(__xludf.DUMMYFUNCTION("""COMPUTED_VALUE"""),"")</f>
        <v/>
      </c>
      <c r="L302" s="185" t="s">
        <v>898</v>
      </c>
      <c r="M302" s="185" t="s">
        <v>898</v>
      </c>
      <c r="N302" s="185"/>
      <c r="O302" s="185"/>
      <c r="P302" s="185"/>
      <c r="Q302" s="185"/>
      <c r="R302" s="185"/>
      <c r="S302" s="185"/>
    </row>
    <row r="303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 t="str">
        <f>IFERROR(__xludf.DUMMYFUNCTION("""COMPUTED_VALUE"""),"")</f>
        <v/>
      </c>
      <c r="K303" s="185" t="str">
        <f>IFERROR(__xludf.DUMMYFUNCTION("""COMPUTED_VALUE"""),"")</f>
        <v/>
      </c>
      <c r="L303" s="185" t="s">
        <v>898</v>
      </c>
      <c r="M303" s="185" t="s">
        <v>898</v>
      </c>
      <c r="N303" s="185"/>
      <c r="O303" s="185"/>
      <c r="P303" s="185"/>
      <c r="Q303" s="185"/>
      <c r="R303" s="185"/>
      <c r="S303" s="185"/>
    </row>
    <row r="304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 t="str">
        <f>IFERROR(__xludf.DUMMYFUNCTION("""COMPUTED_VALUE"""),"")</f>
        <v/>
      </c>
      <c r="K304" s="185" t="str">
        <f>IFERROR(__xludf.DUMMYFUNCTION("""COMPUTED_VALUE"""),"")</f>
        <v/>
      </c>
      <c r="L304" s="185" t="s">
        <v>898</v>
      </c>
      <c r="M304" s="185" t="s">
        <v>898</v>
      </c>
      <c r="N304" s="185"/>
      <c r="O304" s="185"/>
      <c r="P304" s="185"/>
      <c r="Q304" s="185"/>
      <c r="R304" s="185"/>
      <c r="S304" s="185"/>
    </row>
    <row r="305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 t="str">
        <f>IFERROR(__xludf.DUMMYFUNCTION("""COMPUTED_VALUE"""),"")</f>
        <v/>
      </c>
      <c r="K305" s="185" t="str">
        <f>IFERROR(__xludf.DUMMYFUNCTION("""COMPUTED_VALUE"""),"")</f>
        <v/>
      </c>
      <c r="L305" s="185" t="s">
        <v>898</v>
      </c>
      <c r="M305" s="185" t="s">
        <v>898</v>
      </c>
      <c r="N305" s="185"/>
      <c r="O305" s="185"/>
      <c r="P305" s="185"/>
      <c r="Q305" s="185"/>
      <c r="R305" s="185"/>
      <c r="S305" s="185"/>
    </row>
    <row r="306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 t="str">
        <f>IFERROR(__xludf.DUMMYFUNCTION("""COMPUTED_VALUE"""),"")</f>
        <v/>
      </c>
      <c r="K306" s="185" t="str">
        <f>IFERROR(__xludf.DUMMYFUNCTION("""COMPUTED_VALUE"""),"")</f>
        <v/>
      </c>
      <c r="L306" s="185" t="s">
        <v>898</v>
      </c>
      <c r="M306" s="185" t="s">
        <v>898</v>
      </c>
      <c r="N306" s="185"/>
      <c r="O306" s="185"/>
      <c r="P306" s="185"/>
      <c r="Q306" s="185"/>
      <c r="R306" s="185"/>
      <c r="S306" s="185"/>
    </row>
    <row r="307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 t="str">
        <f>IFERROR(__xludf.DUMMYFUNCTION("""COMPUTED_VALUE"""),"")</f>
        <v/>
      </c>
      <c r="K307" s="185" t="str">
        <f>IFERROR(__xludf.DUMMYFUNCTION("""COMPUTED_VALUE"""),"")</f>
        <v/>
      </c>
      <c r="L307" s="185" t="s">
        <v>898</v>
      </c>
      <c r="M307" s="185" t="s">
        <v>898</v>
      </c>
      <c r="N307" s="185"/>
      <c r="O307" s="185"/>
      <c r="P307" s="185"/>
      <c r="Q307" s="185"/>
      <c r="R307" s="185"/>
      <c r="S307" s="185"/>
    </row>
    <row r="308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 t="str">
        <f>IFERROR(__xludf.DUMMYFUNCTION("""COMPUTED_VALUE"""),"")</f>
        <v/>
      </c>
      <c r="K308" s="185" t="str">
        <f>IFERROR(__xludf.DUMMYFUNCTION("""COMPUTED_VALUE"""),"")</f>
        <v/>
      </c>
      <c r="L308" s="185" t="s">
        <v>898</v>
      </c>
      <c r="M308" s="185" t="s">
        <v>898</v>
      </c>
      <c r="N308" s="185"/>
      <c r="O308" s="185"/>
      <c r="P308" s="185"/>
      <c r="Q308" s="185"/>
      <c r="R308" s="185"/>
      <c r="S308" s="185"/>
    </row>
    <row r="309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 t="str">
        <f>IFERROR(__xludf.DUMMYFUNCTION("""COMPUTED_VALUE"""),"")</f>
        <v/>
      </c>
      <c r="K309" s="185" t="str">
        <f>IFERROR(__xludf.DUMMYFUNCTION("""COMPUTED_VALUE"""),"")</f>
        <v/>
      </c>
      <c r="L309" s="185" t="s">
        <v>898</v>
      </c>
      <c r="M309" s="185" t="s">
        <v>898</v>
      </c>
      <c r="N309" s="185"/>
      <c r="O309" s="185"/>
      <c r="P309" s="185"/>
      <c r="Q309" s="185"/>
      <c r="R309" s="185"/>
      <c r="S309" s="185"/>
    </row>
    <row r="310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 t="str">
        <f>IFERROR(__xludf.DUMMYFUNCTION("""COMPUTED_VALUE"""),"")</f>
        <v/>
      </c>
      <c r="K310" s="185" t="str">
        <f>IFERROR(__xludf.DUMMYFUNCTION("""COMPUTED_VALUE"""),"")</f>
        <v/>
      </c>
      <c r="L310" s="185" t="s">
        <v>898</v>
      </c>
      <c r="M310" s="185" t="s">
        <v>898</v>
      </c>
      <c r="N310" s="185"/>
      <c r="O310" s="185"/>
      <c r="P310" s="185"/>
      <c r="Q310" s="185"/>
      <c r="R310" s="185"/>
      <c r="S310" s="185"/>
    </row>
    <row r="31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 t="str">
        <f>IFERROR(__xludf.DUMMYFUNCTION("""COMPUTED_VALUE"""),"")</f>
        <v/>
      </c>
      <c r="K311" s="185" t="str">
        <f>IFERROR(__xludf.DUMMYFUNCTION("""COMPUTED_VALUE"""),"")</f>
        <v/>
      </c>
      <c r="L311" s="185" t="s">
        <v>898</v>
      </c>
      <c r="M311" s="185" t="s">
        <v>898</v>
      </c>
      <c r="N311" s="185"/>
      <c r="O311" s="185"/>
      <c r="P311" s="185"/>
      <c r="Q311" s="185"/>
      <c r="R311" s="185"/>
      <c r="S311" s="185"/>
    </row>
    <row r="312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 t="str">
        <f>IFERROR(__xludf.DUMMYFUNCTION("""COMPUTED_VALUE"""),"")</f>
        <v/>
      </c>
      <c r="K312" s="185" t="str">
        <f>IFERROR(__xludf.DUMMYFUNCTION("""COMPUTED_VALUE"""),"")</f>
        <v/>
      </c>
      <c r="L312" s="185" t="s">
        <v>898</v>
      </c>
      <c r="M312" s="185" t="s">
        <v>898</v>
      </c>
      <c r="N312" s="185"/>
      <c r="O312" s="185"/>
      <c r="P312" s="185"/>
      <c r="Q312" s="185"/>
      <c r="R312" s="185"/>
      <c r="S312" s="185"/>
    </row>
    <row r="313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 t="str">
        <f>IFERROR(__xludf.DUMMYFUNCTION("""COMPUTED_VALUE"""),"")</f>
        <v/>
      </c>
      <c r="K313" s="185" t="str">
        <f>IFERROR(__xludf.DUMMYFUNCTION("""COMPUTED_VALUE"""),"")</f>
        <v/>
      </c>
      <c r="L313" s="185" t="s">
        <v>898</v>
      </c>
      <c r="M313" s="185" t="s">
        <v>898</v>
      </c>
      <c r="N313" s="185"/>
      <c r="O313" s="185"/>
      <c r="P313" s="185"/>
      <c r="Q313" s="185"/>
      <c r="R313" s="185"/>
      <c r="S313" s="185"/>
    </row>
    <row r="314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 t="str">
        <f>IFERROR(__xludf.DUMMYFUNCTION("""COMPUTED_VALUE"""),"")</f>
        <v/>
      </c>
      <c r="K314" s="185" t="str">
        <f>IFERROR(__xludf.DUMMYFUNCTION("""COMPUTED_VALUE"""),"")</f>
        <v/>
      </c>
      <c r="L314" s="185" t="s">
        <v>898</v>
      </c>
      <c r="M314" s="185" t="s">
        <v>898</v>
      </c>
      <c r="N314" s="185"/>
      <c r="O314" s="185"/>
      <c r="P314" s="185"/>
      <c r="Q314" s="185"/>
      <c r="R314" s="185"/>
      <c r="S314" s="185"/>
    </row>
    <row r="315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 t="str">
        <f>IFERROR(__xludf.DUMMYFUNCTION("""COMPUTED_VALUE"""),"")</f>
        <v/>
      </c>
      <c r="K315" s="185" t="str">
        <f>IFERROR(__xludf.DUMMYFUNCTION("""COMPUTED_VALUE"""),"")</f>
        <v/>
      </c>
      <c r="L315" s="185" t="s">
        <v>898</v>
      </c>
      <c r="M315" s="185" t="s">
        <v>898</v>
      </c>
      <c r="N315" s="185"/>
      <c r="O315" s="185"/>
      <c r="P315" s="185"/>
      <c r="Q315" s="185"/>
      <c r="R315" s="185"/>
      <c r="S315" s="185"/>
    </row>
    <row r="316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 t="str">
        <f>IFERROR(__xludf.DUMMYFUNCTION("""COMPUTED_VALUE"""),"")</f>
        <v/>
      </c>
      <c r="K316" s="185" t="str">
        <f>IFERROR(__xludf.DUMMYFUNCTION("""COMPUTED_VALUE"""),"")</f>
        <v/>
      </c>
      <c r="L316" s="185" t="s">
        <v>898</v>
      </c>
      <c r="M316" s="185" t="s">
        <v>898</v>
      </c>
      <c r="N316" s="185"/>
      <c r="O316" s="185"/>
      <c r="P316" s="185"/>
      <c r="Q316" s="185"/>
      <c r="R316" s="185"/>
      <c r="S316" s="185"/>
    </row>
    <row r="317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 t="str">
        <f>IFERROR(__xludf.DUMMYFUNCTION("""COMPUTED_VALUE"""),"")</f>
        <v/>
      </c>
      <c r="K317" s="185" t="str">
        <f>IFERROR(__xludf.DUMMYFUNCTION("""COMPUTED_VALUE"""),"")</f>
        <v/>
      </c>
      <c r="L317" s="185" t="s">
        <v>898</v>
      </c>
      <c r="M317" s="185" t="s">
        <v>898</v>
      </c>
      <c r="N317" s="185"/>
      <c r="O317" s="185"/>
      <c r="P317" s="185"/>
      <c r="Q317" s="185"/>
      <c r="R317" s="185"/>
      <c r="S317" s="185"/>
    </row>
    <row r="318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 t="str">
        <f>IFERROR(__xludf.DUMMYFUNCTION("""COMPUTED_VALUE"""),"")</f>
        <v/>
      </c>
      <c r="K318" s="185" t="str">
        <f>IFERROR(__xludf.DUMMYFUNCTION("""COMPUTED_VALUE"""),"")</f>
        <v/>
      </c>
      <c r="L318" s="185" t="s">
        <v>898</v>
      </c>
      <c r="M318" s="185" t="s">
        <v>898</v>
      </c>
      <c r="N318" s="185"/>
      <c r="O318" s="185"/>
      <c r="P318" s="185"/>
      <c r="Q318" s="185"/>
      <c r="R318" s="185"/>
      <c r="S318" s="185"/>
    </row>
    <row r="319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 t="str">
        <f>IFERROR(__xludf.DUMMYFUNCTION("""COMPUTED_VALUE"""),"")</f>
        <v/>
      </c>
      <c r="K319" s="185" t="str">
        <f>IFERROR(__xludf.DUMMYFUNCTION("""COMPUTED_VALUE"""),"")</f>
        <v/>
      </c>
      <c r="L319" s="185" t="s">
        <v>898</v>
      </c>
      <c r="M319" s="185" t="s">
        <v>898</v>
      </c>
      <c r="N319" s="185"/>
      <c r="O319" s="185"/>
      <c r="P319" s="185"/>
      <c r="Q319" s="185"/>
      <c r="R319" s="185"/>
      <c r="S319" s="185"/>
    </row>
    <row r="320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 t="str">
        <f>IFERROR(__xludf.DUMMYFUNCTION("""COMPUTED_VALUE"""),"")</f>
        <v/>
      </c>
      <c r="K320" s="185" t="str">
        <f>IFERROR(__xludf.DUMMYFUNCTION("""COMPUTED_VALUE"""),"")</f>
        <v/>
      </c>
      <c r="L320" s="185" t="s">
        <v>898</v>
      </c>
      <c r="M320" s="185" t="s">
        <v>898</v>
      </c>
      <c r="N320" s="185"/>
      <c r="O320" s="185"/>
      <c r="P320" s="185"/>
      <c r="Q320" s="185"/>
      <c r="R320" s="185"/>
      <c r="S320" s="185"/>
    </row>
    <row r="32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 t="str">
        <f>IFERROR(__xludf.DUMMYFUNCTION("""COMPUTED_VALUE"""),"")</f>
        <v/>
      </c>
      <c r="K321" s="185" t="str">
        <f>IFERROR(__xludf.DUMMYFUNCTION("""COMPUTED_VALUE"""),"")</f>
        <v/>
      </c>
      <c r="L321" s="185" t="s">
        <v>898</v>
      </c>
      <c r="M321" s="185" t="s">
        <v>898</v>
      </c>
      <c r="N321" s="185"/>
      <c r="O321" s="185"/>
      <c r="P321" s="185"/>
      <c r="Q321" s="185"/>
      <c r="R321" s="185"/>
      <c r="S321" s="185"/>
    </row>
    <row r="322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 t="str">
        <f>IFERROR(__xludf.DUMMYFUNCTION("""COMPUTED_VALUE"""),"")</f>
        <v/>
      </c>
      <c r="K322" s="185" t="str">
        <f>IFERROR(__xludf.DUMMYFUNCTION("""COMPUTED_VALUE"""),"")</f>
        <v/>
      </c>
      <c r="L322" s="185" t="s">
        <v>898</v>
      </c>
      <c r="M322" s="185" t="s">
        <v>898</v>
      </c>
      <c r="N322" s="185"/>
      <c r="O322" s="185"/>
      <c r="P322" s="185"/>
      <c r="Q322" s="185"/>
      <c r="R322" s="185"/>
      <c r="S322" s="185"/>
    </row>
    <row r="323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 t="str">
        <f>IFERROR(__xludf.DUMMYFUNCTION("""COMPUTED_VALUE"""),"")</f>
        <v/>
      </c>
      <c r="K323" s="185" t="str">
        <f>IFERROR(__xludf.DUMMYFUNCTION("""COMPUTED_VALUE"""),"")</f>
        <v/>
      </c>
      <c r="L323" s="185" t="s">
        <v>898</v>
      </c>
      <c r="M323" s="185" t="s">
        <v>898</v>
      </c>
      <c r="N323" s="185"/>
      <c r="O323" s="185"/>
      <c r="P323" s="185"/>
      <c r="Q323" s="185"/>
      <c r="R323" s="185"/>
      <c r="S323" s="185"/>
    </row>
    <row r="324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 t="str">
        <f>IFERROR(__xludf.DUMMYFUNCTION("""COMPUTED_VALUE"""),"")</f>
        <v/>
      </c>
      <c r="K324" s="185" t="str">
        <f>IFERROR(__xludf.DUMMYFUNCTION("""COMPUTED_VALUE"""),"")</f>
        <v/>
      </c>
      <c r="L324" s="185" t="s">
        <v>898</v>
      </c>
      <c r="M324" s="185" t="s">
        <v>898</v>
      </c>
      <c r="N324" s="185"/>
      <c r="O324" s="185"/>
      <c r="P324" s="185"/>
      <c r="Q324" s="185"/>
      <c r="R324" s="185"/>
      <c r="S324" s="185"/>
    </row>
    <row r="325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 t="str">
        <f>IFERROR(__xludf.DUMMYFUNCTION("""COMPUTED_VALUE"""),"")</f>
        <v/>
      </c>
      <c r="K325" s="185" t="str">
        <f>IFERROR(__xludf.DUMMYFUNCTION("""COMPUTED_VALUE"""),"")</f>
        <v/>
      </c>
      <c r="L325" s="185" t="s">
        <v>898</v>
      </c>
      <c r="M325" s="185" t="s">
        <v>898</v>
      </c>
      <c r="N325" s="185"/>
      <c r="O325" s="185"/>
      <c r="P325" s="185"/>
      <c r="Q325" s="185"/>
      <c r="R325" s="185"/>
      <c r="S325" s="185"/>
    </row>
    <row r="326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 t="str">
        <f>IFERROR(__xludf.DUMMYFUNCTION("""COMPUTED_VALUE"""),"")</f>
        <v/>
      </c>
      <c r="K326" s="185" t="str">
        <f>IFERROR(__xludf.DUMMYFUNCTION("""COMPUTED_VALUE"""),"")</f>
        <v/>
      </c>
      <c r="L326" s="185" t="s">
        <v>898</v>
      </c>
      <c r="M326" s="185" t="s">
        <v>898</v>
      </c>
      <c r="N326" s="185"/>
      <c r="O326" s="185"/>
      <c r="P326" s="185"/>
      <c r="Q326" s="185"/>
      <c r="R326" s="185"/>
      <c r="S326" s="185"/>
    </row>
    <row r="327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 t="str">
        <f>IFERROR(__xludf.DUMMYFUNCTION("""COMPUTED_VALUE"""),"")</f>
        <v/>
      </c>
      <c r="K327" s="185" t="str">
        <f>IFERROR(__xludf.DUMMYFUNCTION("""COMPUTED_VALUE"""),"")</f>
        <v/>
      </c>
      <c r="L327" s="185" t="s">
        <v>898</v>
      </c>
      <c r="M327" s="185" t="s">
        <v>898</v>
      </c>
      <c r="N327" s="185"/>
      <c r="O327" s="185"/>
      <c r="P327" s="185"/>
      <c r="Q327" s="185"/>
      <c r="R327" s="185"/>
      <c r="S327" s="185"/>
    </row>
    <row r="328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 t="str">
        <f>IFERROR(__xludf.DUMMYFUNCTION("""COMPUTED_VALUE"""),"")</f>
        <v/>
      </c>
      <c r="K328" s="185" t="str">
        <f>IFERROR(__xludf.DUMMYFUNCTION("""COMPUTED_VALUE"""),"")</f>
        <v/>
      </c>
      <c r="L328" s="185" t="s">
        <v>898</v>
      </c>
      <c r="M328" s="185" t="s">
        <v>898</v>
      </c>
      <c r="N328" s="185"/>
      <c r="O328" s="185"/>
      <c r="P328" s="185"/>
      <c r="Q328" s="185"/>
      <c r="R328" s="185"/>
      <c r="S328" s="185"/>
    </row>
    <row r="329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 t="str">
        <f>IFERROR(__xludf.DUMMYFUNCTION("""COMPUTED_VALUE"""),"")</f>
        <v/>
      </c>
      <c r="K329" s="185" t="str">
        <f>IFERROR(__xludf.DUMMYFUNCTION("""COMPUTED_VALUE"""),"")</f>
        <v/>
      </c>
      <c r="L329" s="185" t="s">
        <v>898</v>
      </c>
      <c r="M329" s="185" t="s">
        <v>898</v>
      </c>
      <c r="N329" s="185"/>
      <c r="O329" s="185"/>
      <c r="P329" s="185"/>
      <c r="Q329" s="185"/>
      <c r="R329" s="185"/>
      <c r="S329" s="185"/>
    </row>
    <row r="330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 t="str">
        <f>IFERROR(__xludf.DUMMYFUNCTION("""COMPUTED_VALUE"""),"")</f>
        <v/>
      </c>
      <c r="K330" s="185" t="str">
        <f>IFERROR(__xludf.DUMMYFUNCTION("""COMPUTED_VALUE"""),"")</f>
        <v/>
      </c>
      <c r="L330" s="185" t="s">
        <v>898</v>
      </c>
      <c r="M330" s="185" t="s">
        <v>898</v>
      </c>
      <c r="N330" s="185"/>
      <c r="O330" s="185"/>
      <c r="P330" s="185"/>
      <c r="Q330" s="185"/>
      <c r="R330" s="185"/>
      <c r="S330" s="185"/>
    </row>
    <row r="33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 t="str">
        <f>IFERROR(__xludf.DUMMYFUNCTION("""COMPUTED_VALUE"""),"")</f>
        <v/>
      </c>
      <c r="K331" s="185" t="str">
        <f>IFERROR(__xludf.DUMMYFUNCTION("""COMPUTED_VALUE"""),"")</f>
        <v/>
      </c>
      <c r="L331" s="185" t="s">
        <v>898</v>
      </c>
      <c r="M331" s="185" t="s">
        <v>898</v>
      </c>
      <c r="N331" s="185"/>
      <c r="O331" s="185"/>
      <c r="P331" s="185"/>
      <c r="Q331" s="185"/>
      <c r="R331" s="185"/>
      <c r="S331" s="185"/>
    </row>
    <row r="332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 t="str">
        <f>IFERROR(__xludf.DUMMYFUNCTION("""COMPUTED_VALUE"""),"")</f>
        <v/>
      </c>
      <c r="K332" s="185" t="str">
        <f>IFERROR(__xludf.DUMMYFUNCTION("""COMPUTED_VALUE"""),"")</f>
        <v/>
      </c>
      <c r="L332" s="185" t="s">
        <v>898</v>
      </c>
      <c r="M332" s="185" t="s">
        <v>898</v>
      </c>
      <c r="N332" s="185"/>
      <c r="O332" s="185"/>
      <c r="P332" s="185"/>
      <c r="Q332" s="185"/>
      <c r="R332" s="185"/>
      <c r="S332" s="185"/>
    </row>
    <row r="333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 t="str">
        <f>IFERROR(__xludf.DUMMYFUNCTION("""COMPUTED_VALUE"""),"")</f>
        <v/>
      </c>
      <c r="K333" s="185" t="str">
        <f>IFERROR(__xludf.DUMMYFUNCTION("""COMPUTED_VALUE"""),"")</f>
        <v/>
      </c>
      <c r="L333" s="185" t="s">
        <v>898</v>
      </c>
      <c r="M333" s="185" t="s">
        <v>898</v>
      </c>
      <c r="N333" s="185"/>
      <c r="O333" s="185"/>
      <c r="P333" s="185"/>
      <c r="Q333" s="185"/>
      <c r="R333" s="185"/>
      <c r="S333" s="185"/>
    </row>
    <row r="334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 t="str">
        <f>IFERROR(__xludf.DUMMYFUNCTION("""COMPUTED_VALUE"""),"")</f>
        <v/>
      </c>
      <c r="K334" s="185" t="str">
        <f>IFERROR(__xludf.DUMMYFUNCTION("""COMPUTED_VALUE"""),"")</f>
        <v/>
      </c>
      <c r="L334" s="185" t="s">
        <v>898</v>
      </c>
      <c r="M334" s="185" t="s">
        <v>898</v>
      </c>
      <c r="N334" s="185"/>
      <c r="O334" s="185"/>
      <c r="P334" s="185"/>
      <c r="Q334" s="185"/>
      <c r="R334" s="185"/>
      <c r="S334" s="185"/>
    </row>
    <row r="335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 t="str">
        <f>IFERROR(__xludf.DUMMYFUNCTION("""COMPUTED_VALUE"""),"")</f>
        <v/>
      </c>
      <c r="K335" s="185" t="str">
        <f>IFERROR(__xludf.DUMMYFUNCTION("""COMPUTED_VALUE"""),"")</f>
        <v/>
      </c>
      <c r="L335" s="185" t="s">
        <v>898</v>
      </c>
      <c r="M335" s="185" t="s">
        <v>898</v>
      </c>
      <c r="N335" s="185"/>
      <c r="O335" s="185"/>
      <c r="P335" s="185"/>
      <c r="Q335" s="185"/>
      <c r="R335" s="185"/>
      <c r="S335" s="185"/>
    </row>
    <row r="336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 t="str">
        <f>IFERROR(__xludf.DUMMYFUNCTION("""COMPUTED_VALUE"""),"")</f>
        <v/>
      </c>
      <c r="K336" s="185" t="str">
        <f>IFERROR(__xludf.DUMMYFUNCTION("""COMPUTED_VALUE"""),"")</f>
        <v/>
      </c>
      <c r="L336" s="185" t="s">
        <v>898</v>
      </c>
      <c r="M336" s="185" t="s">
        <v>898</v>
      </c>
      <c r="N336" s="185"/>
      <c r="O336" s="185"/>
      <c r="P336" s="185"/>
      <c r="Q336" s="185"/>
      <c r="R336" s="185"/>
      <c r="S336" s="185"/>
    </row>
    <row r="337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 t="str">
        <f>IFERROR(__xludf.DUMMYFUNCTION("""COMPUTED_VALUE"""),"")</f>
        <v/>
      </c>
      <c r="K337" s="185" t="str">
        <f>IFERROR(__xludf.DUMMYFUNCTION("""COMPUTED_VALUE"""),"")</f>
        <v/>
      </c>
      <c r="L337" s="185" t="s">
        <v>898</v>
      </c>
      <c r="M337" s="185" t="s">
        <v>898</v>
      </c>
      <c r="N337" s="185"/>
      <c r="O337" s="185"/>
      <c r="P337" s="185"/>
      <c r="Q337" s="185"/>
      <c r="R337" s="185"/>
      <c r="S337" s="185"/>
    </row>
    <row r="338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 t="str">
        <f>IFERROR(__xludf.DUMMYFUNCTION("""COMPUTED_VALUE"""),"")</f>
        <v/>
      </c>
      <c r="K338" s="185" t="str">
        <f>IFERROR(__xludf.DUMMYFUNCTION("""COMPUTED_VALUE"""),"")</f>
        <v/>
      </c>
      <c r="L338" s="185" t="s">
        <v>898</v>
      </c>
      <c r="M338" s="185" t="s">
        <v>898</v>
      </c>
      <c r="N338" s="185"/>
      <c r="O338" s="185"/>
      <c r="P338" s="185"/>
      <c r="Q338" s="185"/>
      <c r="R338" s="185"/>
      <c r="S338" s="185"/>
    </row>
    <row r="339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 t="str">
        <f>IFERROR(__xludf.DUMMYFUNCTION("""COMPUTED_VALUE"""),"")</f>
        <v/>
      </c>
      <c r="K339" s="185" t="str">
        <f>IFERROR(__xludf.DUMMYFUNCTION("""COMPUTED_VALUE"""),"")</f>
        <v/>
      </c>
      <c r="L339" s="185" t="s">
        <v>898</v>
      </c>
      <c r="M339" s="185" t="s">
        <v>898</v>
      </c>
      <c r="N339" s="185"/>
      <c r="O339" s="185"/>
      <c r="P339" s="185"/>
      <c r="Q339" s="185"/>
      <c r="R339" s="185"/>
      <c r="S339" s="185"/>
    </row>
    <row r="340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 t="str">
        <f>IFERROR(__xludf.DUMMYFUNCTION("""COMPUTED_VALUE"""),"")</f>
        <v/>
      </c>
      <c r="K340" s="185" t="str">
        <f>IFERROR(__xludf.DUMMYFUNCTION("""COMPUTED_VALUE"""),"")</f>
        <v/>
      </c>
      <c r="L340" s="185" t="s">
        <v>898</v>
      </c>
      <c r="M340" s="185" t="s">
        <v>898</v>
      </c>
      <c r="N340" s="185"/>
      <c r="O340" s="185"/>
      <c r="P340" s="185"/>
      <c r="Q340" s="185"/>
      <c r="R340" s="185"/>
      <c r="S340" s="185"/>
    </row>
    <row r="34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 t="str">
        <f>IFERROR(__xludf.DUMMYFUNCTION("""COMPUTED_VALUE"""),"")</f>
        <v/>
      </c>
      <c r="K341" s="185" t="str">
        <f>IFERROR(__xludf.DUMMYFUNCTION("""COMPUTED_VALUE"""),"")</f>
        <v/>
      </c>
      <c r="L341" s="185" t="s">
        <v>898</v>
      </c>
      <c r="M341" s="185" t="s">
        <v>898</v>
      </c>
      <c r="N341" s="185"/>
      <c r="O341" s="185"/>
      <c r="P341" s="185"/>
      <c r="Q341" s="185"/>
      <c r="R341" s="185"/>
      <c r="S341" s="185"/>
    </row>
    <row r="342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 t="str">
        <f>IFERROR(__xludf.DUMMYFUNCTION("""COMPUTED_VALUE"""),"")</f>
        <v/>
      </c>
      <c r="K342" s="185" t="str">
        <f>IFERROR(__xludf.DUMMYFUNCTION("""COMPUTED_VALUE"""),"")</f>
        <v/>
      </c>
      <c r="L342" s="185" t="s">
        <v>898</v>
      </c>
      <c r="M342" s="185" t="s">
        <v>898</v>
      </c>
      <c r="N342" s="185"/>
      <c r="O342" s="185"/>
      <c r="P342" s="185"/>
      <c r="Q342" s="185"/>
      <c r="R342" s="185"/>
      <c r="S342" s="185"/>
    </row>
    <row r="343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 t="str">
        <f>IFERROR(__xludf.DUMMYFUNCTION("""COMPUTED_VALUE"""),"")</f>
        <v/>
      </c>
      <c r="K343" s="185" t="str">
        <f>IFERROR(__xludf.DUMMYFUNCTION("""COMPUTED_VALUE"""),"")</f>
        <v/>
      </c>
      <c r="L343" s="185" t="s">
        <v>898</v>
      </c>
      <c r="M343" s="185" t="s">
        <v>898</v>
      </c>
      <c r="N343" s="185"/>
      <c r="O343" s="185"/>
      <c r="P343" s="185"/>
      <c r="Q343" s="185"/>
      <c r="R343" s="185"/>
      <c r="S343" s="185"/>
    </row>
    <row r="344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 t="str">
        <f>IFERROR(__xludf.DUMMYFUNCTION("""COMPUTED_VALUE"""),"")</f>
        <v/>
      </c>
      <c r="K344" s="185" t="str">
        <f>IFERROR(__xludf.DUMMYFUNCTION("""COMPUTED_VALUE"""),"")</f>
        <v/>
      </c>
      <c r="L344" s="185" t="s">
        <v>898</v>
      </c>
      <c r="M344" s="185" t="s">
        <v>898</v>
      </c>
      <c r="N344" s="185"/>
      <c r="O344" s="185"/>
      <c r="P344" s="185"/>
      <c r="Q344" s="185"/>
      <c r="R344" s="185"/>
      <c r="S344" s="185"/>
    </row>
    <row r="345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 t="str">
        <f>IFERROR(__xludf.DUMMYFUNCTION("""COMPUTED_VALUE"""),"")</f>
        <v/>
      </c>
      <c r="K345" s="185" t="str">
        <f>IFERROR(__xludf.DUMMYFUNCTION("""COMPUTED_VALUE"""),"")</f>
        <v/>
      </c>
      <c r="L345" s="185" t="s">
        <v>898</v>
      </c>
      <c r="M345" s="185" t="s">
        <v>898</v>
      </c>
      <c r="N345" s="185"/>
      <c r="O345" s="185"/>
      <c r="P345" s="185"/>
      <c r="Q345" s="185"/>
      <c r="R345" s="185"/>
      <c r="S345" s="185"/>
    </row>
    <row r="346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 t="str">
        <f>IFERROR(__xludf.DUMMYFUNCTION("""COMPUTED_VALUE"""),"")</f>
        <v/>
      </c>
      <c r="K346" s="185" t="str">
        <f>IFERROR(__xludf.DUMMYFUNCTION("""COMPUTED_VALUE"""),"")</f>
        <v/>
      </c>
      <c r="L346" s="185" t="s">
        <v>898</v>
      </c>
      <c r="M346" s="185" t="s">
        <v>898</v>
      </c>
      <c r="N346" s="185"/>
      <c r="O346" s="185"/>
      <c r="P346" s="185"/>
      <c r="Q346" s="185"/>
      <c r="R346" s="185"/>
      <c r="S346" s="185"/>
    </row>
    <row r="347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 t="str">
        <f>IFERROR(__xludf.DUMMYFUNCTION("""COMPUTED_VALUE"""),"")</f>
        <v/>
      </c>
      <c r="K347" s="185" t="str">
        <f>IFERROR(__xludf.DUMMYFUNCTION("""COMPUTED_VALUE"""),"")</f>
        <v/>
      </c>
      <c r="L347" s="185" t="s">
        <v>898</v>
      </c>
      <c r="M347" s="185" t="s">
        <v>898</v>
      </c>
      <c r="N347" s="185"/>
      <c r="O347" s="185"/>
      <c r="P347" s="185"/>
      <c r="Q347" s="185"/>
      <c r="R347" s="185"/>
      <c r="S347" s="185"/>
    </row>
    <row r="348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 t="str">
        <f>IFERROR(__xludf.DUMMYFUNCTION("""COMPUTED_VALUE"""),"")</f>
        <v/>
      </c>
      <c r="K348" s="185" t="str">
        <f>IFERROR(__xludf.DUMMYFUNCTION("""COMPUTED_VALUE"""),"")</f>
        <v/>
      </c>
      <c r="L348" s="185" t="s">
        <v>898</v>
      </c>
      <c r="M348" s="185" t="s">
        <v>898</v>
      </c>
      <c r="N348" s="185"/>
      <c r="O348" s="185"/>
      <c r="P348" s="185"/>
      <c r="Q348" s="185"/>
      <c r="R348" s="185"/>
      <c r="S348" s="185"/>
    </row>
    <row r="349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 t="str">
        <f>IFERROR(__xludf.DUMMYFUNCTION("""COMPUTED_VALUE"""),"")</f>
        <v/>
      </c>
      <c r="K349" s="185" t="str">
        <f>IFERROR(__xludf.DUMMYFUNCTION("""COMPUTED_VALUE"""),"")</f>
        <v/>
      </c>
      <c r="L349" s="185" t="s">
        <v>898</v>
      </c>
      <c r="M349" s="185" t="s">
        <v>898</v>
      </c>
      <c r="N349" s="185"/>
      <c r="O349" s="185"/>
      <c r="P349" s="185"/>
      <c r="Q349" s="185"/>
      <c r="R349" s="185"/>
      <c r="S349" s="185"/>
    </row>
    <row r="350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 t="str">
        <f>IFERROR(__xludf.DUMMYFUNCTION("""COMPUTED_VALUE"""),"")</f>
        <v/>
      </c>
      <c r="K350" s="185" t="str">
        <f>IFERROR(__xludf.DUMMYFUNCTION("""COMPUTED_VALUE"""),"")</f>
        <v/>
      </c>
      <c r="L350" s="185" t="s">
        <v>898</v>
      </c>
      <c r="M350" s="185" t="s">
        <v>898</v>
      </c>
      <c r="N350" s="185"/>
      <c r="O350" s="185"/>
      <c r="P350" s="185"/>
      <c r="Q350" s="185"/>
      <c r="R350" s="185"/>
      <c r="S350" s="185"/>
    </row>
    <row r="35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 t="str">
        <f>IFERROR(__xludf.DUMMYFUNCTION("""COMPUTED_VALUE"""),"")</f>
        <v/>
      </c>
      <c r="K351" s="185" t="str">
        <f>IFERROR(__xludf.DUMMYFUNCTION("""COMPUTED_VALUE"""),"")</f>
        <v/>
      </c>
      <c r="L351" s="185" t="s">
        <v>898</v>
      </c>
      <c r="M351" s="185" t="s">
        <v>898</v>
      </c>
      <c r="N351" s="185"/>
      <c r="O351" s="185"/>
      <c r="P351" s="185"/>
      <c r="Q351" s="185"/>
      <c r="R351" s="185"/>
      <c r="S351" s="185"/>
    </row>
    <row r="352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 t="str">
        <f>IFERROR(__xludf.DUMMYFUNCTION("""COMPUTED_VALUE"""),"")</f>
        <v/>
      </c>
      <c r="K352" s="185" t="str">
        <f>IFERROR(__xludf.DUMMYFUNCTION("""COMPUTED_VALUE"""),"")</f>
        <v/>
      </c>
      <c r="L352" s="185" t="s">
        <v>898</v>
      </c>
      <c r="M352" s="185" t="s">
        <v>898</v>
      </c>
      <c r="N352" s="185"/>
      <c r="O352" s="185"/>
      <c r="P352" s="185"/>
      <c r="Q352" s="185"/>
      <c r="R352" s="185"/>
      <c r="S352" s="185"/>
    </row>
    <row r="353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 t="str">
        <f>IFERROR(__xludf.DUMMYFUNCTION("""COMPUTED_VALUE"""),"")</f>
        <v/>
      </c>
      <c r="K353" s="185" t="str">
        <f>IFERROR(__xludf.DUMMYFUNCTION("""COMPUTED_VALUE"""),"")</f>
        <v/>
      </c>
      <c r="L353" s="185" t="s">
        <v>898</v>
      </c>
      <c r="M353" s="185" t="s">
        <v>898</v>
      </c>
      <c r="N353" s="185"/>
      <c r="O353" s="185"/>
      <c r="P353" s="185"/>
      <c r="Q353" s="185"/>
      <c r="R353" s="185"/>
      <c r="S353" s="185"/>
    </row>
    <row r="354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 t="str">
        <f>IFERROR(__xludf.DUMMYFUNCTION("""COMPUTED_VALUE"""),"")</f>
        <v/>
      </c>
      <c r="K354" s="185" t="str">
        <f>IFERROR(__xludf.DUMMYFUNCTION("""COMPUTED_VALUE"""),"")</f>
        <v/>
      </c>
      <c r="L354" s="185" t="s">
        <v>898</v>
      </c>
      <c r="M354" s="185" t="s">
        <v>898</v>
      </c>
      <c r="N354" s="185"/>
      <c r="O354" s="185"/>
      <c r="P354" s="185"/>
      <c r="Q354" s="185"/>
      <c r="R354" s="185"/>
      <c r="S354" s="185"/>
    </row>
    <row r="355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 t="str">
        <f>IFERROR(__xludf.DUMMYFUNCTION("""COMPUTED_VALUE"""),"")</f>
        <v/>
      </c>
      <c r="K355" s="185" t="str">
        <f>IFERROR(__xludf.DUMMYFUNCTION("""COMPUTED_VALUE"""),"")</f>
        <v/>
      </c>
      <c r="L355" s="185" t="s">
        <v>898</v>
      </c>
      <c r="M355" s="185" t="s">
        <v>898</v>
      </c>
      <c r="N355" s="185"/>
      <c r="O355" s="185"/>
      <c r="P355" s="185"/>
      <c r="Q355" s="185"/>
      <c r="R355" s="185"/>
      <c r="S355" s="185"/>
    </row>
    <row r="356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 t="str">
        <f>IFERROR(__xludf.DUMMYFUNCTION("""COMPUTED_VALUE"""),"")</f>
        <v/>
      </c>
      <c r="K356" s="185" t="str">
        <f>IFERROR(__xludf.DUMMYFUNCTION("""COMPUTED_VALUE"""),"")</f>
        <v/>
      </c>
      <c r="L356" s="185" t="s">
        <v>898</v>
      </c>
      <c r="M356" s="185" t="s">
        <v>898</v>
      </c>
      <c r="N356" s="185"/>
      <c r="O356" s="185"/>
      <c r="P356" s="185"/>
      <c r="Q356" s="185"/>
      <c r="R356" s="185"/>
      <c r="S356" s="185"/>
    </row>
    <row r="357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 t="str">
        <f>IFERROR(__xludf.DUMMYFUNCTION("""COMPUTED_VALUE"""),"")</f>
        <v/>
      </c>
      <c r="K357" s="185" t="str">
        <f>IFERROR(__xludf.DUMMYFUNCTION("""COMPUTED_VALUE"""),"")</f>
        <v/>
      </c>
      <c r="L357" s="185" t="s">
        <v>898</v>
      </c>
      <c r="M357" s="185" t="s">
        <v>898</v>
      </c>
      <c r="N357" s="185"/>
      <c r="O357" s="185"/>
      <c r="P357" s="185"/>
      <c r="Q357" s="185"/>
      <c r="R357" s="185"/>
      <c r="S357" s="185"/>
    </row>
    <row r="358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 t="str">
        <f>IFERROR(__xludf.DUMMYFUNCTION("""COMPUTED_VALUE"""),"")</f>
        <v/>
      </c>
      <c r="K358" s="185" t="str">
        <f>IFERROR(__xludf.DUMMYFUNCTION("""COMPUTED_VALUE"""),"")</f>
        <v/>
      </c>
      <c r="L358" s="185" t="s">
        <v>898</v>
      </c>
      <c r="M358" s="185" t="s">
        <v>898</v>
      </c>
      <c r="N358" s="185"/>
      <c r="O358" s="185"/>
      <c r="P358" s="185"/>
      <c r="Q358" s="185"/>
      <c r="R358" s="185"/>
      <c r="S358" s="185"/>
    </row>
    <row r="359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 t="str">
        <f>IFERROR(__xludf.DUMMYFUNCTION("""COMPUTED_VALUE"""),"")</f>
        <v/>
      </c>
      <c r="K359" s="185" t="str">
        <f>IFERROR(__xludf.DUMMYFUNCTION("""COMPUTED_VALUE"""),"")</f>
        <v/>
      </c>
      <c r="L359" s="185" t="s">
        <v>898</v>
      </c>
      <c r="M359" s="185" t="s">
        <v>898</v>
      </c>
      <c r="N359" s="185"/>
      <c r="O359" s="185"/>
      <c r="P359" s="185"/>
      <c r="Q359" s="185"/>
      <c r="R359" s="185"/>
      <c r="S359" s="185"/>
    </row>
    <row r="360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 t="str">
        <f>IFERROR(__xludf.DUMMYFUNCTION("""COMPUTED_VALUE"""),"")</f>
        <v/>
      </c>
      <c r="K360" s="185" t="str">
        <f>IFERROR(__xludf.DUMMYFUNCTION("""COMPUTED_VALUE"""),"")</f>
        <v/>
      </c>
      <c r="L360" s="185" t="s">
        <v>898</v>
      </c>
      <c r="M360" s="185" t="s">
        <v>898</v>
      </c>
      <c r="N360" s="185"/>
      <c r="O360" s="185"/>
      <c r="P360" s="185"/>
      <c r="Q360" s="185"/>
      <c r="R360" s="185"/>
      <c r="S360" s="185"/>
    </row>
    <row r="36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 t="str">
        <f>IFERROR(__xludf.DUMMYFUNCTION("""COMPUTED_VALUE"""),"")</f>
        <v/>
      </c>
      <c r="K361" s="185" t="str">
        <f>IFERROR(__xludf.DUMMYFUNCTION("""COMPUTED_VALUE"""),"")</f>
        <v/>
      </c>
      <c r="L361" s="185" t="s">
        <v>898</v>
      </c>
      <c r="M361" s="185" t="s">
        <v>898</v>
      </c>
      <c r="N361" s="185"/>
      <c r="O361" s="185"/>
      <c r="P361" s="185"/>
      <c r="Q361" s="185"/>
      <c r="R361" s="185"/>
      <c r="S361" s="185"/>
    </row>
    <row r="362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 t="str">
        <f>IFERROR(__xludf.DUMMYFUNCTION("""COMPUTED_VALUE"""),"")</f>
        <v/>
      </c>
      <c r="K362" s="185" t="str">
        <f>IFERROR(__xludf.DUMMYFUNCTION("""COMPUTED_VALUE"""),"")</f>
        <v/>
      </c>
      <c r="L362" s="185" t="s">
        <v>898</v>
      </c>
      <c r="M362" s="185" t="s">
        <v>898</v>
      </c>
      <c r="N362" s="185"/>
      <c r="O362" s="185"/>
      <c r="P362" s="185"/>
      <c r="Q362" s="185"/>
      <c r="R362" s="185"/>
      <c r="S362" s="185"/>
    </row>
    <row r="363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 t="str">
        <f>IFERROR(__xludf.DUMMYFUNCTION("""COMPUTED_VALUE"""),"")</f>
        <v/>
      </c>
      <c r="K363" s="185" t="str">
        <f>IFERROR(__xludf.DUMMYFUNCTION("""COMPUTED_VALUE"""),"")</f>
        <v/>
      </c>
      <c r="L363" s="185" t="s">
        <v>898</v>
      </c>
      <c r="M363" s="185" t="s">
        <v>898</v>
      </c>
      <c r="N363" s="185"/>
      <c r="O363" s="185"/>
      <c r="P363" s="185"/>
      <c r="Q363" s="185"/>
      <c r="R363" s="185"/>
      <c r="S363" s="185"/>
    </row>
    <row r="364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 t="str">
        <f>IFERROR(__xludf.DUMMYFUNCTION("""COMPUTED_VALUE"""),"")</f>
        <v/>
      </c>
      <c r="K364" s="185" t="str">
        <f>IFERROR(__xludf.DUMMYFUNCTION("""COMPUTED_VALUE"""),"")</f>
        <v/>
      </c>
      <c r="L364" s="185" t="s">
        <v>898</v>
      </c>
      <c r="M364" s="185" t="s">
        <v>898</v>
      </c>
      <c r="N364" s="185"/>
      <c r="O364" s="185"/>
      <c r="P364" s="185"/>
      <c r="Q364" s="185"/>
      <c r="R364" s="185"/>
      <c r="S364" s="185"/>
    </row>
    <row r="365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 t="str">
        <f>IFERROR(__xludf.DUMMYFUNCTION("""COMPUTED_VALUE"""),"")</f>
        <v/>
      </c>
      <c r="K365" s="185" t="str">
        <f>IFERROR(__xludf.DUMMYFUNCTION("""COMPUTED_VALUE"""),"")</f>
        <v/>
      </c>
      <c r="L365" s="185" t="s">
        <v>898</v>
      </c>
      <c r="M365" s="185" t="s">
        <v>898</v>
      </c>
      <c r="N365" s="185"/>
      <c r="O365" s="185"/>
      <c r="P365" s="185"/>
      <c r="Q365" s="185"/>
      <c r="R365" s="185"/>
      <c r="S365" s="185"/>
    </row>
    <row r="366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 t="str">
        <f>IFERROR(__xludf.DUMMYFUNCTION("""COMPUTED_VALUE"""),"")</f>
        <v/>
      </c>
      <c r="K366" s="185" t="str">
        <f>IFERROR(__xludf.DUMMYFUNCTION("""COMPUTED_VALUE"""),"")</f>
        <v/>
      </c>
      <c r="L366" s="185" t="s">
        <v>898</v>
      </c>
      <c r="M366" s="185" t="s">
        <v>898</v>
      </c>
      <c r="N366" s="185"/>
      <c r="O366" s="185"/>
      <c r="P366" s="185"/>
      <c r="Q366" s="185"/>
      <c r="R366" s="185"/>
      <c r="S366" s="185"/>
    </row>
    <row r="367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 t="str">
        <f>IFERROR(__xludf.DUMMYFUNCTION("""COMPUTED_VALUE"""),"")</f>
        <v/>
      </c>
      <c r="K367" s="185" t="str">
        <f>IFERROR(__xludf.DUMMYFUNCTION("""COMPUTED_VALUE"""),"")</f>
        <v/>
      </c>
      <c r="L367" s="185" t="s">
        <v>898</v>
      </c>
      <c r="M367" s="185" t="s">
        <v>898</v>
      </c>
      <c r="N367" s="185"/>
      <c r="O367" s="185"/>
      <c r="P367" s="185"/>
      <c r="Q367" s="185"/>
      <c r="R367" s="185"/>
      <c r="S367" s="185"/>
    </row>
    <row r="368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 t="str">
        <f>IFERROR(__xludf.DUMMYFUNCTION("""COMPUTED_VALUE"""),"")</f>
        <v/>
      </c>
      <c r="K368" s="185" t="str">
        <f>IFERROR(__xludf.DUMMYFUNCTION("""COMPUTED_VALUE"""),"")</f>
        <v/>
      </c>
      <c r="L368" s="185" t="s">
        <v>898</v>
      </c>
      <c r="M368" s="185" t="s">
        <v>898</v>
      </c>
      <c r="N368" s="185"/>
      <c r="O368" s="185"/>
      <c r="P368" s="185"/>
      <c r="Q368" s="185"/>
      <c r="R368" s="185"/>
      <c r="S368" s="185"/>
    </row>
    <row r="369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 t="str">
        <f>IFERROR(__xludf.DUMMYFUNCTION("""COMPUTED_VALUE"""),"")</f>
        <v/>
      </c>
      <c r="K369" s="185" t="str">
        <f>IFERROR(__xludf.DUMMYFUNCTION("""COMPUTED_VALUE"""),"")</f>
        <v/>
      </c>
      <c r="L369" s="185" t="s">
        <v>898</v>
      </c>
      <c r="M369" s="185" t="s">
        <v>898</v>
      </c>
      <c r="N369" s="185"/>
      <c r="O369" s="185"/>
      <c r="P369" s="185"/>
      <c r="Q369" s="185"/>
      <c r="R369" s="185"/>
      <c r="S369" s="185"/>
    </row>
    <row r="370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 t="str">
        <f>IFERROR(__xludf.DUMMYFUNCTION("""COMPUTED_VALUE"""),"")</f>
        <v/>
      </c>
      <c r="K370" s="185" t="str">
        <f>IFERROR(__xludf.DUMMYFUNCTION("""COMPUTED_VALUE"""),"")</f>
        <v/>
      </c>
      <c r="L370" s="185" t="s">
        <v>898</v>
      </c>
      <c r="M370" s="185" t="s">
        <v>898</v>
      </c>
      <c r="N370" s="185"/>
      <c r="O370" s="185"/>
      <c r="P370" s="185"/>
      <c r="Q370" s="185"/>
      <c r="R370" s="185"/>
      <c r="S370" s="185"/>
    </row>
    <row r="37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 t="str">
        <f>IFERROR(__xludf.DUMMYFUNCTION("""COMPUTED_VALUE"""),"")</f>
        <v/>
      </c>
      <c r="K371" s="185" t="str">
        <f>IFERROR(__xludf.DUMMYFUNCTION("""COMPUTED_VALUE"""),"")</f>
        <v/>
      </c>
      <c r="L371" s="185" t="s">
        <v>898</v>
      </c>
      <c r="M371" s="185" t="s">
        <v>898</v>
      </c>
      <c r="N371" s="185"/>
      <c r="O371" s="185"/>
      <c r="P371" s="185"/>
      <c r="Q371" s="185"/>
      <c r="R371" s="185"/>
      <c r="S371" s="185"/>
    </row>
    <row r="372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 t="str">
        <f>IFERROR(__xludf.DUMMYFUNCTION("""COMPUTED_VALUE"""),"")</f>
        <v/>
      </c>
      <c r="K372" s="185" t="str">
        <f>IFERROR(__xludf.DUMMYFUNCTION("""COMPUTED_VALUE"""),"")</f>
        <v/>
      </c>
      <c r="L372" s="185" t="s">
        <v>898</v>
      </c>
      <c r="M372" s="185" t="s">
        <v>898</v>
      </c>
      <c r="N372" s="185"/>
      <c r="O372" s="185"/>
      <c r="P372" s="185"/>
      <c r="Q372" s="185"/>
      <c r="R372" s="185"/>
      <c r="S372" s="185"/>
    </row>
    <row r="373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 t="str">
        <f>IFERROR(__xludf.DUMMYFUNCTION("""COMPUTED_VALUE"""),"")</f>
        <v/>
      </c>
      <c r="K373" s="185" t="str">
        <f>IFERROR(__xludf.DUMMYFUNCTION("""COMPUTED_VALUE"""),"")</f>
        <v/>
      </c>
      <c r="L373" s="185" t="s">
        <v>898</v>
      </c>
      <c r="M373" s="185" t="s">
        <v>898</v>
      </c>
      <c r="N373" s="185"/>
      <c r="O373" s="185"/>
      <c r="P373" s="185"/>
      <c r="Q373" s="185"/>
      <c r="R373" s="185"/>
      <c r="S373" s="185"/>
    </row>
    <row r="374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 t="str">
        <f>IFERROR(__xludf.DUMMYFUNCTION("""COMPUTED_VALUE"""),"")</f>
        <v/>
      </c>
      <c r="K374" s="185" t="str">
        <f>IFERROR(__xludf.DUMMYFUNCTION("""COMPUTED_VALUE"""),"")</f>
        <v/>
      </c>
      <c r="L374" s="185" t="s">
        <v>898</v>
      </c>
      <c r="M374" s="185" t="s">
        <v>898</v>
      </c>
      <c r="N374" s="185"/>
      <c r="O374" s="185"/>
      <c r="P374" s="185"/>
      <c r="Q374" s="185"/>
      <c r="R374" s="185"/>
      <c r="S374" s="185"/>
    </row>
    <row r="375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 t="str">
        <f>IFERROR(__xludf.DUMMYFUNCTION("""COMPUTED_VALUE"""),"")</f>
        <v/>
      </c>
      <c r="K375" s="185" t="str">
        <f>IFERROR(__xludf.DUMMYFUNCTION("""COMPUTED_VALUE"""),"")</f>
        <v/>
      </c>
      <c r="L375" s="185" t="s">
        <v>898</v>
      </c>
      <c r="M375" s="185" t="s">
        <v>898</v>
      </c>
      <c r="N375" s="185"/>
      <c r="O375" s="185"/>
      <c r="P375" s="185"/>
      <c r="Q375" s="185"/>
      <c r="R375" s="185"/>
      <c r="S375" s="185"/>
    </row>
    <row r="376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 t="str">
        <f>IFERROR(__xludf.DUMMYFUNCTION("""COMPUTED_VALUE"""),"")</f>
        <v/>
      </c>
      <c r="K376" s="185" t="str">
        <f>IFERROR(__xludf.DUMMYFUNCTION("""COMPUTED_VALUE"""),"")</f>
        <v/>
      </c>
      <c r="L376" s="185" t="s">
        <v>898</v>
      </c>
      <c r="M376" s="185" t="s">
        <v>898</v>
      </c>
      <c r="N376" s="185"/>
      <c r="O376" s="185"/>
      <c r="P376" s="185"/>
      <c r="Q376" s="185"/>
      <c r="R376" s="185"/>
      <c r="S376" s="185"/>
    </row>
    <row r="377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 t="str">
        <f>IFERROR(__xludf.DUMMYFUNCTION("""COMPUTED_VALUE"""),"")</f>
        <v/>
      </c>
      <c r="K377" s="185" t="str">
        <f>IFERROR(__xludf.DUMMYFUNCTION("""COMPUTED_VALUE"""),"")</f>
        <v/>
      </c>
      <c r="L377" s="185" t="s">
        <v>898</v>
      </c>
      <c r="M377" s="185" t="s">
        <v>898</v>
      </c>
      <c r="N377" s="185"/>
      <c r="O377" s="185"/>
      <c r="P377" s="185"/>
      <c r="Q377" s="185"/>
      <c r="R377" s="185"/>
      <c r="S377" s="185"/>
    </row>
    <row r="378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 t="str">
        <f>IFERROR(__xludf.DUMMYFUNCTION("""COMPUTED_VALUE"""),"")</f>
        <v/>
      </c>
      <c r="K378" s="185" t="str">
        <f>IFERROR(__xludf.DUMMYFUNCTION("""COMPUTED_VALUE"""),"")</f>
        <v/>
      </c>
      <c r="L378" s="185" t="s">
        <v>898</v>
      </c>
      <c r="M378" s="185" t="s">
        <v>898</v>
      </c>
      <c r="N378" s="185"/>
      <c r="O378" s="185"/>
      <c r="P378" s="185"/>
      <c r="Q378" s="185"/>
      <c r="R378" s="185"/>
      <c r="S378" s="185"/>
    </row>
    <row r="379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 t="str">
        <f>IFERROR(__xludf.DUMMYFUNCTION("""COMPUTED_VALUE"""),"")</f>
        <v/>
      </c>
      <c r="K379" s="185" t="str">
        <f>IFERROR(__xludf.DUMMYFUNCTION("""COMPUTED_VALUE"""),"")</f>
        <v/>
      </c>
      <c r="L379" s="185" t="s">
        <v>898</v>
      </c>
      <c r="M379" s="185" t="s">
        <v>898</v>
      </c>
      <c r="N379" s="185"/>
      <c r="O379" s="185"/>
      <c r="P379" s="185"/>
      <c r="Q379" s="185"/>
      <c r="R379" s="185"/>
      <c r="S379" s="185"/>
    </row>
    <row r="380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 t="str">
        <f>IFERROR(__xludf.DUMMYFUNCTION("""COMPUTED_VALUE"""),"")</f>
        <v/>
      </c>
      <c r="K380" s="185" t="str">
        <f>IFERROR(__xludf.DUMMYFUNCTION("""COMPUTED_VALUE"""),"")</f>
        <v/>
      </c>
      <c r="L380" s="185" t="s">
        <v>898</v>
      </c>
      <c r="M380" s="185" t="s">
        <v>898</v>
      </c>
      <c r="N380" s="185"/>
      <c r="O380" s="185"/>
      <c r="P380" s="185"/>
      <c r="Q380" s="185"/>
      <c r="R380" s="185"/>
      <c r="S380" s="185"/>
    </row>
    <row r="38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 t="str">
        <f>IFERROR(__xludf.DUMMYFUNCTION("""COMPUTED_VALUE"""),"")</f>
        <v/>
      </c>
      <c r="K381" s="185" t="str">
        <f>IFERROR(__xludf.DUMMYFUNCTION("""COMPUTED_VALUE"""),"")</f>
        <v/>
      </c>
      <c r="L381" s="185" t="s">
        <v>898</v>
      </c>
      <c r="M381" s="185" t="s">
        <v>898</v>
      </c>
      <c r="N381" s="185"/>
      <c r="O381" s="185"/>
      <c r="P381" s="185"/>
      <c r="Q381" s="185"/>
      <c r="R381" s="185"/>
      <c r="S381" s="185"/>
    </row>
    <row r="382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 t="str">
        <f>IFERROR(__xludf.DUMMYFUNCTION("""COMPUTED_VALUE"""),"")</f>
        <v/>
      </c>
      <c r="K382" s="185" t="str">
        <f>IFERROR(__xludf.DUMMYFUNCTION("""COMPUTED_VALUE"""),"")</f>
        <v/>
      </c>
      <c r="L382" s="185" t="s">
        <v>898</v>
      </c>
      <c r="M382" s="185" t="s">
        <v>898</v>
      </c>
      <c r="N382" s="185"/>
      <c r="O382" s="185"/>
      <c r="P382" s="185"/>
      <c r="Q382" s="185"/>
      <c r="R382" s="185"/>
      <c r="S382" s="185"/>
    </row>
    <row r="383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 t="str">
        <f>IFERROR(__xludf.DUMMYFUNCTION("""COMPUTED_VALUE"""),"")</f>
        <v/>
      </c>
      <c r="K383" s="185" t="str">
        <f>IFERROR(__xludf.DUMMYFUNCTION("""COMPUTED_VALUE"""),"")</f>
        <v/>
      </c>
      <c r="L383" s="185" t="s">
        <v>898</v>
      </c>
      <c r="M383" s="185" t="s">
        <v>898</v>
      </c>
      <c r="N383" s="185"/>
      <c r="O383" s="185"/>
      <c r="P383" s="185"/>
      <c r="Q383" s="185"/>
      <c r="R383" s="185"/>
      <c r="S383" s="185"/>
    </row>
    <row r="384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 t="str">
        <f>IFERROR(__xludf.DUMMYFUNCTION("""COMPUTED_VALUE"""),"")</f>
        <v/>
      </c>
      <c r="K384" s="185" t="str">
        <f>IFERROR(__xludf.DUMMYFUNCTION("""COMPUTED_VALUE"""),"")</f>
        <v/>
      </c>
      <c r="L384" s="185" t="s">
        <v>898</v>
      </c>
      <c r="M384" s="185" t="s">
        <v>898</v>
      </c>
      <c r="N384" s="185"/>
      <c r="O384" s="185"/>
      <c r="P384" s="185"/>
      <c r="Q384" s="185"/>
      <c r="R384" s="185"/>
      <c r="S384" s="185"/>
    </row>
    <row r="385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 t="str">
        <f>IFERROR(__xludf.DUMMYFUNCTION("""COMPUTED_VALUE"""),"")</f>
        <v/>
      </c>
      <c r="K385" s="185" t="str">
        <f>IFERROR(__xludf.DUMMYFUNCTION("""COMPUTED_VALUE"""),"")</f>
        <v/>
      </c>
      <c r="L385" s="185" t="s">
        <v>898</v>
      </c>
      <c r="M385" s="185" t="s">
        <v>898</v>
      </c>
      <c r="N385" s="185"/>
      <c r="O385" s="185"/>
      <c r="P385" s="185"/>
      <c r="Q385" s="185"/>
      <c r="R385" s="185"/>
      <c r="S385" s="185"/>
    </row>
    <row r="386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 t="str">
        <f>IFERROR(__xludf.DUMMYFUNCTION("""COMPUTED_VALUE"""),"")</f>
        <v/>
      </c>
      <c r="K386" s="185" t="str">
        <f>IFERROR(__xludf.DUMMYFUNCTION("""COMPUTED_VALUE"""),"")</f>
        <v/>
      </c>
      <c r="L386" s="185" t="s">
        <v>898</v>
      </c>
      <c r="M386" s="185" t="s">
        <v>898</v>
      </c>
      <c r="N386" s="185"/>
      <c r="O386" s="185"/>
      <c r="P386" s="185"/>
      <c r="Q386" s="185"/>
      <c r="R386" s="185"/>
      <c r="S386" s="185"/>
    </row>
    <row r="387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 t="str">
        <f>IFERROR(__xludf.DUMMYFUNCTION("""COMPUTED_VALUE"""),"")</f>
        <v/>
      </c>
      <c r="K387" s="185" t="str">
        <f>IFERROR(__xludf.DUMMYFUNCTION("""COMPUTED_VALUE"""),"")</f>
        <v/>
      </c>
      <c r="L387" s="185" t="s">
        <v>898</v>
      </c>
      <c r="M387" s="185" t="s">
        <v>898</v>
      </c>
      <c r="N387" s="185"/>
      <c r="O387" s="185"/>
      <c r="P387" s="185"/>
      <c r="Q387" s="185"/>
      <c r="R387" s="185"/>
      <c r="S387" s="185"/>
    </row>
    <row r="388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 t="str">
        <f>IFERROR(__xludf.DUMMYFUNCTION("""COMPUTED_VALUE"""),"")</f>
        <v/>
      </c>
      <c r="K388" s="185" t="str">
        <f>IFERROR(__xludf.DUMMYFUNCTION("""COMPUTED_VALUE"""),"")</f>
        <v/>
      </c>
      <c r="L388" s="185" t="s">
        <v>898</v>
      </c>
      <c r="M388" s="185" t="s">
        <v>898</v>
      </c>
      <c r="N388" s="185"/>
      <c r="O388" s="185"/>
      <c r="P388" s="185"/>
      <c r="Q388" s="185"/>
      <c r="R388" s="185"/>
      <c r="S388" s="185"/>
    </row>
    <row r="389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 t="str">
        <f>IFERROR(__xludf.DUMMYFUNCTION("""COMPUTED_VALUE"""),"")</f>
        <v/>
      </c>
      <c r="K389" s="185" t="str">
        <f>IFERROR(__xludf.DUMMYFUNCTION("""COMPUTED_VALUE"""),"")</f>
        <v/>
      </c>
      <c r="L389" s="185" t="s">
        <v>898</v>
      </c>
      <c r="M389" s="185" t="s">
        <v>898</v>
      </c>
      <c r="N389" s="185"/>
      <c r="O389" s="185"/>
      <c r="P389" s="185"/>
      <c r="Q389" s="185"/>
      <c r="R389" s="185"/>
      <c r="S389" s="185"/>
    </row>
    <row r="390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 t="str">
        <f>IFERROR(__xludf.DUMMYFUNCTION("""COMPUTED_VALUE"""),"")</f>
        <v/>
      </c>
      <c r="K390" s="185" t="str">
        <f>IFERROR(__xludf.DUMMYFUNCTION("""COMPUTED_VALUE"""),"")</f>
        <v/>
      </c>
      <c r="L390" s="185" t="s">
        <v>898</v>
      </c>
      <c r="M390" s="185" t="s">
        <v>898</v>
      </c>
      <c r="N390" s="185"/>
      <c r="O390" s="185"/>
      <c r="P390" s="185"/>
      <c r="Q390" s="185"/>
      <c r="R390" s="185"/>
      <c r="S390" s="185"/>
    </row>
    <row r="39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 t="str">
        <f>IFERROR(__xludf.DUMMYFUNCTION("""COMPUTED_VALUE"""),"")</f>
        <v/>
      </c>
      <c r="K391" s="185" t="str">
        <f>IFERROR(__xludf.DUMMYFUNCTION("""COMPUTED_VALUE"""),"")</f>
        <v/>
      </c>
      <c r="L391" s="185" t="s">
        <v>898</v>
      </c>
      <c r="M391" s="185" t="s">
        <v>898</v>
      </c>
      <c r="N391" s="185"/>
      <c r="O391" s="185"/>
      <c r="P391" s="185"/>
      <c r="Q391" s="185"/>
      <c r="R391" s="185"/>
      <c r="S391" s="185"/>
    </row>
    <row r="392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 t="str">
        <f>IFERROR(__xludf.DUMMYFUNCTION("""COMPUTED_VALUE"""),"")</f>
        <v/>
      </c>
      <c r="K392" s="185" t="str">
        <f>IFERROR(__xludf.DUMMYFUNCTION("""COMPUTED_VALUE"""),"")</f>
        <v/>
      </c>
      <c r="L392" s="185" t="s">
        <v>898</v>
      </c>
      <c r="M392" s="185" t="s">
        <v>898</v>
      </c>
      <c r="N392" s="185"/>
      <c r="O392" s="185"/>
      <c r="P392" s="185"/>
      <c r="Q392" s="185"/>
      <c r="R392" s="185"/>
      <c r="S392" s="185"/>
    </row>
    <row r="393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 t="str">
        <f>IFERROR(__xludf.DUMMYFUNCTION("""COMPUTED_VALUE"""),"")</f>
        <v/>
      </c>
      <c r="K393" s="185" t="str">
        <f>IFERROR(__xludf.DUMMYFUNCTION("""COMPUTED_VALUE"""),"")</f>
        <v/>
      </c>
      <c r="L393" s="185" t="s">
        <v>898</v>
      </c>
      <c r="M393" s="185" t="s">
        <v>898</v>
      </c>
      <c r="N393" s="185"/>
      <c r="O393" s="185"/>
      <c r="P393" s="185"/>
      <c r="Q393" s="185"/>
      <c r="R393" s="185"/>
      <c r="S393" s="185"/>
    </row>
    <row r="394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 t="str">
        <f>IFERROR(__xludf.DUMMYFUNCTION("""COMPUTED_VALUE"""),"")</f>
        <v/>
      </c>
      <c r="K394" s="185" t="str">
        <f>IFERROR(__xludf.DUMMYFUNCTION("""COMPUTED_VALUE"""),"")</f>
        <v/>
      </c>
      <c r="L394" s="185" t="s">
        <v>898</v>
      </c>
      <c r="M394" s="185" t="s">
        <v>898</v>
      </c>
      <c r="N394" s="185"/>
      <c r="O394" s="185"/>
      <c r="P394" s="185"/>
      <c r="Q394" s="185"/>
      <c r="R394" s="185"/>
      <c r="S394" s="185"/>
    </row>
    <row r="395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 t="str">
        <f>IFERROR(__xludf.DUMMYFUNCTION("""COMPUTED_VALUE"""),"")</f>
        <v/>
      </c>
      <c r="K395" s="185" t="str">
        <f>IFERROR(__xludf.DUMMYFUNCTION("""COMPUTED_VALUE"""),"")</f>
        <v/>
      </c>
      <c r="L395" s="185" t="s">
        <v>898</v>
      </c>
      <c r="M395" s="185" t="s">
        <v>898</v>
      </c>
      <c r="N395" s="185"/>
      <c r="O395" s="185"/>
      <c r="P395" s="185"/>
      <c r="Q395" s="185"/>
      <c r="R395" s="185"/>
      <c r="S395" s="185"/>
    </row>
    <row r="396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 t="str">
        <f>IFERROR(__xludf.DUMMYFUNCTION("""COMPUTED_VALUE"""),"")</f>
        <v/>
      </c>
      <c r="K396" s="185" t="str">
        <f>IFERROR(__xludf.DUMMYFUNCTION("""COMPUTED_VALUE"""),"")</f>
        <v/>
      </c>
      <c r="L396" s="185" t="s">
        <v>898</v>
      </c>
      <c r="M396" s="185" t="s">
        <v>898</v>
      </c>
      <c r="N396" s="185"/>
      <c r="O396" s="185"/>
      <c r="P396" s="185"/>
      <c r="Q396" s="185"/>
      <c r="R396" s="185"/>
      <c r="S396" s="185"/>
    </row>
    <row r="397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 t="str">
        <f>IFERROR(__xludf.DUMMYFUNCTION("""COMPUTED_VALUE"""),"")</f>
        <v/>
      </c>
      <c r="K397" s="185" t="str">
        <f>IFERROR(__xludf.DUMMYFUNCTION("""COMPUTED_VALUE"""),"")</f>
        <v/>
      </c>
      <c r="L397" s="185" t="s">
        <v>898</v>
      </c>
      <c r="M397" s="185" t="s">
        <v>898</v>
      </c>
      <c r="N397" s="185"/>
      <c r="O397" s="185"/>
      <c r="P397" s="185"/>
      <c r="Q397" s="185"/>
      <c r="R397" s="185"/>
      <c r="S397" s="185"/>
    </row>
    <row r="398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 t="str">
        <f>IFERROR(__xludf.DUMMYFUNCTION("""COMPUTED_VALUE"""),"")</f>
        <v/>
      </c>
      <c r="K398" s="185" t="str">
        <f>IFERROR(__xludf.DUMMYFUNCTION("""COMPUTED_VALUE"""),"")</f>
        <v/>
      </c>
      <c r="L398" s="185" t="s">
        <v>898</v>
      </c>
      <c r="M398" s="185" t="s">
        <v>898</v>
      </c>
      <c r="N398" s="185"/>
      <c r="O398" s="185"/>
      <c r="P398" s="185"/>
      <c r="Q398" s="185"/>
      <c r="R398" s="185"/>
      <c r="S398" s="185"/>
    </row>
    <row r="399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 t="str">
        <f>IFERROR(__xludf.DUMMYFUNCTION("""COMPUTED_VALUE"""),"")</f>
        <v/>
      </c>
      <c r="K399" s="185" t="str">
        <f>IFERROR(__xludf.DUMMYFUNCTION("""COMPUTED_VALUE"""),"")</f>
        <v/>
      </c>
      <c r="L399" s="185" t="s">
        <v>898</v>
      </c>
      <c r="M399" s="185" t="s">
        <v>898</v>
      </c>
      <c r="N399" s="185"/>
      <c r="O399" s="185"/>
      <c r="P399" s="185"/>
      <c r="Q399" s="185"/>
      <c r="R399" s="185"/>
      <c r="S399" s="185"/>
    </row>
    <row r="400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 t="str">
        <f>IFERROR(__xludf.DUMMYFUNCTION("""COMPUTED_VALUE"""),"")</f>
        <v/>
      </c>
      <c r="K400" s="185" t="str">
        <f>IFERROR(__xludf.DUMMYFUNCTION("""COMPUTED_VALUE"""),"")</f>
        <v/>
      </c>
      <c r="L400" s="185" t="s">
        <v>898</v>
      </c>
      <c r="M400" s="185" t="s">
        <v>898</v>
      </c>
      <c r="N400" s="185"/>
      <c r="O400" s="185"/>
      <c r="P400" s="185"/>
      <c r="Q400" s="185"/>
      <c r="R400" s="185"/>
      <c r="S400" s="185"/>
    </row>
    <row r="40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 t="str">
        <f>IFERROR(__xludf.DUMMYFUNCTION("""COMPUTED_VALUE"""),"")</f>
        <v/>
      </c>
      <c r="K401" s="185" t="str">
        <f>IFERROR(__xludf.DUMMYFUNCTION("""COMPUTED_VALUE"""),"")</f>
        <v/>
      </c>
      <c r="L401" s="185" t="s">
        <v>898</v>
      </c>
      <c r="M401" s="185" t="s">
        <v>898</v>
      </c>
      <c r="N401" s="185"/>
      <c r="O401" s="185"/>
      <c r="P401" s="185"/>
      <c r="Q401" s="185"/>
      <c r="R401" s="185"/>
      <c r="S401" s="185"/>
    </row>
    <row r="402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 t="str">
        <f>IFERROR(__xludf.DUMMYFUNCTION("""COMPUTED_VALUE"""),"")</f>
        <v/>
      </c>
      <c r="K402" s="185" t="str">
        <f>IFERROR(__xludf.DUMMYFUNCTION("""COMPUTED_VALUE"""),"")</f>
        <v/>
      </c>
      <c r="L402" s="185" t="s">
        <v>898</v>
      </c>
      <c r="M402" s="185" t="s">
        <v>898</v>
      </c>
      <c r="N402" s="185"/>
      <c r="O402" s="185"/>
      <c r="P402" s="185"/>
      <c r="Q402" s="185"/>
      <c r="R402" s="185"/>
      <c r="S402" s="185"/>
    </row>
    <row r="403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 t="str">
        <f>IFERROR(__xludf.DUMMYFUNCTION("""COMPUTED_VALUE"""),"")</f>
        <v/>
      </c>
      <c r="K403" s="185" t="str">
        <f>IFERROR(__xludf.DUMMYFUNCTION("""COMPUTED_VALUE"""),"")</f>
        <v/>
      </c>
      <c r="L403" s="185" t="s">
        <v>898</v>
      </c>
      <c r="M403" s="185" t="s">
        <v>898</v>
      </c>
      <c r="N403" s="185"/>
      <c r="O403" s="185"/>
      <c r="P403" s="185"/>
      <c r="Q403" s="185"/>
      <c r="R403" s="185"/>
      <c r="S403" s="185"/>
    </row>
    <row r="404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 t="str">
        <f>IFERROR(__xludf.DUMMYFUNCTION("""COMPUTED_VALUE"""),"")</f>
        <v/>
      </c>
      <c r="K404" s="185" t="str">
        <f>IFERROR(__xludf.DUMMYFUNCTION("""COMPUTED_VALUE"""),"")</f>
        <v/>
      </c>
      <c r="L404" s="185" t="s">
        <v>898</v>
      </c>
      <c r="M404" s="185" t="s">
        <v>898</v>
      </c>
      <c r="N404" s="185"/>
      <c r="O404" s="185"/>
      <c r="P404" s="185"/>
      <c r="Q404" s="185"/>
      <c r="R404" s="185"/>
      <c r="S404" s="185"/>
    </row>
    <row r="405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 t="str">
        <f>IFERROR(__xludf.DUMMYFUNCTION("""COMPUTED_VALUE"""),"")</f>
        <v/>
      </c>
      <c r="K405" s="185" t="str">
        <f>IFERROR(__xludf.DUMMYFUNCTION("""COMPUTED_VALUE"""),"")</f>
        <v/>
      </c>
      <c r="L405" s="185" t="s">
        <v>898</v>
      </c>
      <c r="M405" s="185" t="s">
        <v>898</v>
      </c>
      <c r="N405" s="185"/>
      <c r="O405" s="185"/>
      <c r="P405" s="185"/>
      <c r="Q405" s="185"/>
      <c r="R405" s="185"/>
      <c r="S405" s="185"/>
    </row>
    <row r="406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 t="str">
        <f>IFERROR(__xludf.DUMMYFUNCTION("""COMPUTED_VALUE"""),"")</f>
        <v/>
      </c>
      <c r="K406" s="185" t="str">
        <f>IFERROR(__xludf.DUMMYFUNCTION("""COMPUTED_VALUE"""),"")</f>
        <v/>
      </c>
      <c r="L406" s="185" t="s">
        <v>898</v>
      </c>
      <c r="M406" s="185" t="s">
        <v>898</v>
      </c>
      <c r="N406" s="185"/>
      <c r="O406" s="185"/>
      <c r="P406" s="185"/>
      <c r="Q406" s="185"/>
      <c r="R406" s="185"/>
      <c r="S406" s="185"/>
    </row>
    <row r="407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 t="str">
        <f>IFERROR(__xludf.DUMMYFUNCTION("""COMPUTED_VALUE"""),"")</f>
        <v/>
      </c>
      <c r="K407" s="185" t="str">
        <f>IFERROR(__xludf.DUMMYFUNCTION("""COMPUTED_VALUE"""),"")</f>
        <v/>
      </c>
      <c r="L407" s="185" t="s">
        <v>898</v>
      </c>
      <c r="M407" s="185" t="s">
        <v>898</v>
      </c>
      <c r="N407" s="185"/>
      <c r="O407" s="185"/>
      <c r="P407" s="185"/>
      <c r="Q407" s="185"/>
      <c r="R407" s="185"/>
      <c r="S407" s="185"/>
    </row>
    <row r="408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 t="str">
        <f>IFERROR(__xludf.DUMMYFUNCTION("""COMPUTED_VALUE"""),"")</f>
        <v/>
      </c>
      <c r="K408" s="185" t="str">
        <f>IFERROR(__xludf.DUMMYFUNCTION("""COMPUTED_VALUE"""),"")</f>
        <v/>
      </c>
      <c r="L408" s="185" t="s">
        <v>898</v>
      </c>
      <c r="M408" s="185" t="s">
        <v>898</v>
      </c>
      <c r="N408" s="185"/>
      <c r="O408" s="185"/>
      <c r="P408" s="185"/>
      <c r="Q408" s="185"/>
      <c r="R408" s="185"/>
      <c r="S408" s="185"/>
    </row>
    <row r="409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 t="str">
        <f>IFERROR(__xludf.DUMMYFUNCTION("""COMPUTED_VALUE"""),"")</f>
        <v/>
      </c>
      <c r="K409" s="185" t="str">
        <f>IFERROR(__xludf.DUMMYFUNCTION("""COMPUTED_VALUE"""),"")</f>
        <v/>
      </c>
      <c r="L409" s="185" t="s">
        <v>898</v>
      </c>
      <c r="M409" s="185" t="s">
        <v>898</v>
      </c>
      <c r="N409" s="185"/>
      <c r="O409" s="185"/>
      <c r="P409" s="185"/>
      <c r="Q409" s="185"/>
      <c r="R409" s="185"/>
      <c r="S409" s="185"/>
    </row>
    <row r="410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 t="str">
        <f>IFERROR(__xludf.DUMMYFUNCTION("""COMPUTED_VALUE"""),"")</f>
        <v/>
      </c>
      <c r="K410" s="185" t="str">
        <f>IFERROR(__xludf.DUMMYFUNCTION("""COMPUTED_VALUE"""),"")</f>
        <v/>
      </c>
      <c r="L410" s="185" t="s">
        <v>898</v>
      </c>
      <c r="M410" s="185" t="s">
        <v>898</v>
      </c>
      <c r="N410" s="185"/>
      <c r="O410" s="185"/>
      <c r="P410" s="185"/>
      <c r="Q410" s="185"/>
      <c r="R410" s="185"/>
      <c r="S410" s="185"/>
    </row>
    <row r="41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 t="str">
        <f>IFERROR(__xludf.DUMMYFUNCTION("""COMPUTED_VALUE"""),"")</f>
        <v/>
      </c>
      <c r="K411" s="185" t="str">
        <f>IFERROR(__xludf.DUMMYFUNCTION("""COMPUTED_VALUE"""),"")</f>
        <v/>
      </c>
      <c r="L411" s="185" t="s">
        <v>898</v>
      </c>
      <c r="M411" s="185" t="s">
        <v>898</v>
      </c>
      <c r="N411" s="185"/>
      <c r="O411" s="185"/>
      <c r="P411" s="185"/>
      <c r="Q411" s="185"/>
      <c r="R411" s="185"/>
      <c r="S411" s="185"/>
    </row>
    <row r="412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 t="str">
        <f>IFERROR(__xludf.DUMMYFUNCTION("""COMPUTED_VALUE"""),"")</f>
        <v/>
      </c>
      <c r="K412" s="185" t="str">
        <f>IFERROR(__xludf.DUMMYFUNCTION("""COMPUTED_VALUE"""),"")</f>
        <v/>
      </c>
      <c r="L412" s="185" t="s">
        <v>898</v>
      </c>
      <c r="M412" s="185" t="s">
        <v>898</v>
      </c>
      <c r="N412" s="185"/>
      <c r="O412" s="185"/>
      <c r="P412" s="185"/>
      <c r="Q412" s="185"/>
      <c r="R412" s="185"/>
      <c r="S412" s="185"/>
    </row>
    <row r="413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 t="str">
        <f>IFERROR(__xludf.DUMMYFUNCTION("""COMPUTED_VALUE"""),"")</f>
        <v/>
      </c>
      <c r="K413" s="185" t="str">
        <f>IFERROR(__xludf.DUMMYFUNCTION("""COMPUTED_VALUE"""),"")</f>
        <v/>
      </c>
      <c r="L413" s="185" t="s">
        <v>898</v>
      </c>
      <c r="M413" s="185" t="s">
        <v>898</v>
      </c>
      <c r="N413" s="185"/>
      <c r="O413" s="185"/>
      <c r="P413" s="185"/>
      <c r="Q413" s="185"/>
      <c r="R413" s="185"/>
      <c r="S413" s="185"/>
    </row>
    <row r="414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 t="str">
        <f>IFERROR(__xludf.DUMMYFUNCTION("""COMPUTED_VALUE"""),"")</f>
        <v/>
      </c>
      <c r="K414" s="185" t="str">
        <f>IFERROR(__xludf.DUMMYFUNCTION("""COMPUTED_VALUE"""),"")</f>
        <v/>
      </c>
      <c r="L414" s="185" t="s">
        <v>898</v>
      </c>
      <c r="M414" s="185" t="s">
        <v>898</v>
      </c>
      <c r="N414" s="185"/>
      <c r="O414" s="185"/>
      <c r="P414" s="185"/>
      <c r="Q414" s="185"/>
      <c r="R414" s="185"/>
      <c r="S414" s="185"/>
    </row>
    <row r="415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 t="str">
        <f>IFERROR(__xludf.DUMMYFUNCTION("""COMPUTED_VALUE"""),"")</f>
        <v/>
      </c>
      <c r="K415" s="185" t="str">
        <f>IFERROR(__xludf.DUMMYFUNCTION("""COMPUTED_VALUE"""),"")</f>
        <v/>
      </c>
      <c r="L415" s="185" t="s">
        <v>898</v>
      </c>
      <c r="M415" s="185" t="s">
        <v>898</v>
      </c>
      <c r="N415" s="185"/>
      <c r="O415" s="185"/>
      <c r="P415" s="185"/>
      <c r="Q415" s="185"/>
      <c r="R415" s="185"/>
      <c r="S415" s="185"/>
    </row>
    <row r="416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 t="str">
        <f>IFERROR(__xludf.DUMMYFUNCTION("""COMPUTED_VALUE"""),"")</f>
        <v/>
      </c>
      <c r="K416" s="185" t="str">
        <f>IFERROR(__xludf.DUMMYFUNCTION("""COMPUTED_VALUE"""),"")</f>
        <v/>
      </c>
      <c r="L416" s="185" t="s">
        <v>898</v>
      </c>
      <c r="M416" s="185" t="s">
        <v>898</v>
      </c>
      <c r="N416" s="185"/>
      <c r="O416" s="185"/>
      <c r="P416" s="185"/>
      <c r="Q416" s="185"/>
      <c r="R416" s="185"/>
      <c r="S416" s="185"/>
    </row>
    <row r="417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 t="str">
        <f>IFERROR(__xludf.DUMMYFUNCTION("""COMPUTED_VALUE"""),"")</f>
        <v/>
      </c>
      <c r="K417" s="185" t="str">
        <f>IFERROR(__xludf.DUMMYFUNCTION("""COMPUTED_VALUE"""),"")</f>
        <v/>
      </c>
      <c r="L417" s="185" t="s">
        <v>898</v>
      </c>
      <c r="M417" s="185" t="s">
        <v>898</v>
      </c>
      <c r="N417" s="185"/>
      <c r="O417" s="185"/>
      <c r="P417" s="185"/>
      <c r="Q417" s="185"/>
      <c r="R417" s="185"/>
      <c r="S417" s="185"/>
    </row>
    <row r="418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 t="str">
        <f>IFERROR(__xludf.DUMMYFUNCTION("""COMPUTED_VALUE"""),"")</f>
        <v/>
      </c>
      <c r="K418" s="185" t="str">
        <f>IFERROR(__xludf.DUMMYFUNCTION("""COMPUTED_VALUE"""),"")</f>
        <v/>
      </c>
      <c r="L418" s="185" t="s">
        <v>898</v>
      </c>
      <c r="M418" s="185" t="s">
        <v>898</v>
      </c>
      <c r="N418" s="185"/>
      <c r="O418" s="185"/>
      <c r="P418" s="185"/>
      <c r="Q418" s="185"/>
      <c r="R418" s="185"/>
      <c r="S418" s="185"/>
    </row>
    <row r="419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 t="str">
        <f>IFERROR(__xludf.DUMMYFUNCTION("""COMPUTED_VALUE"""),"")</f>
        <v/>
      </c>
      <c r="K419" s="185" t="str">
        <f>IFERROR(__xludf.DUMMYFUNCTION("""COMPUTED_VALUE"""),"")</f>
        <v/>
      </c>
      <c r="L419" s="185" t="s">
        <v>898</v>
      </c>
      <c r="M419" s="185" t="s">
        <v>898</v>
      </c>
      <c r="N419" s="185"/>
      <c r="O419" s="185"/>
      <c r="P419" s="185"/>
      <c r="Q419" s="185"/>
      <c r="R419" s="185"/>
      <c r="S419" s="185"/>
    </row>
    <row r="420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 t="str">
        <f>IFERROR(__xludf.DUMMYFUNCTION("""COMPUTED_VALUE"""),"")</f>
        <v/>
      </c>
      <c r="K420" s="185" t="str">
        <f>IFERROR(__xludf.DUMMYFUNCTION("""COMPUTED_VALUE"""),"")</f>
        <v/>
      </c>
      <c r="L420" s="185" t="s">
        <v>898</v>
      </c>
      <c r="M420" s="185" t="s">
        <v>898</v>
      </c>
      <c r="N420" s="185"/>
      <c r="O420" s="185"/>
      <c r="P420" s="185"/>
      <c r="Q420" s="185"/>
      <c r="R420" s="185"/>
      <c r="S420" s="185"/>
    </row>
    <row r="42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 t="str">
        <f>IFERROR(__xludf.DUMMYFUNCTION("""COMPUTED_VALUE"""),"")</f>
        <v/>
      </c>
      <c r="K421" s="185" t="str">
        <f>IFERROR(__xludf.DUMMYFUNCTION("""COMPUTED_VALUE"""),"")</f>
        <v/>
      </c>
      <c r="L421" s="185" t="s">
        <v>898</v>
      </c>
      <c r="M421" s="185" t="s">
        <v>898</v>
      </c>
      <c r="N421" s="185"/>
      <c r="O421" s="185"/>
      <c r="P421" s="185"/>
      <c r="Q421" s="185"/>
      <c r="R421" s="185"/>
      <c r="S421" s="185"/>
    </row>
    <row r="422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 t="str">
        <f>IFERROR(__xludf.DUMMYFUNCTION("""COMPUTED_VALUE"""),"")</f>
        <v/>
      </c>
      <c r="K422" s="185" t="str">
        <f>IFERROR(__xludf.DUMMYFUNCTION("""COMPUTED_VALUE"""),"")</f>
        <v/>
      </c>
      <c r="L422" s="185" t="s">
        <v>898</v>
      </c>
      <c r="M422" s="185" t="s">
        <v>898</v>
      </c>
      <c r="N422" s="185"/>
      <c r="O422" s="185"/>
      <c r="P422" s="185"/>
      <c r="Q422" s="185"/>
      <c r="R422" s="185"/>
      <c r="S422" s="185"/>
    </row>
    <row r="423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 t="str">
        <f>IFERROR(__xludf.DUMMYFUNCTION("""COMPUTED_VALUE"""),"")</f>
        <v/>
      </c>
      <c r="K423" s="185" t="str">
        <f>IFERROR(__xludf.DUMMYFUNCTION("""COMPUTED_VALUE"""),"")</f>
        <v/>
      </c>
      <c r="L423" s="185" t="s">
        <v>898</v>
      </c>
      <c r="M423" s="185" t="s">
        <v>898</v>
      </c>
      <c r="N423" s="185"/>
      <c r="O423" s="185"/>
      <c r="P423" s="185"/>
      <c r="Q423" s="185"/>
      <c r="R423" s="185"/>
      <c r="S423" s="185"/>
    </row>
    <row r="424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 t="str">
        <f>IFERROR(__xludf.DUMMYFUNCTION("""COMPUTED_VALUE"""),"")</f>
        <v/>
      </c>
      <c r="K424" s="185" t="str">
        <f>IFERROR(__xludf.DUMMYFUNCTION("""COMPUTED_VALUE"""),"")</f>
        <v/>
      </c>
      <c r="L424" s="185" t="s">
        <v>898</v>
      </c>
      <c r="M424" s="185" t="s">
        <v>898</v>
      </c>
      <c r="N424" s="185"/>
      <c r="O424" s="185"/>
      <c r="P424" s="185"/>
      <c r="Q424" s="185"/>
      <c r="R424" s="185"/>
      <c r="S424" s="185"/>
    </row>
    <row r="425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 t="str">
        <f>IFERROR(__xludf.DUMMYFUNCTION("""COMPUTED_VALUE"""),"")</f>
        <v/>
      </c>
      <c r="K425" s="185" t="str">
        <f>IFERROR(__xludf.DUMMYFUNCTION("""COMPUTED_VALUE"""),"")</f>
        <v/>
      </c>
      <c r="L425" s="185" t="s">
        <v>898</v>
      </c>
      <c r="M425" s="185" t="s">
        <v>898</v>
      </c>
      <c r="N425" s="185"/>
      <c r="O425" s="185"/>
      <c r="P425" s="185"/>
      <c r="Q425" s="185"/>
      <c r="R425" s="185"/>
      <c r="S425" s="185"/>
    </row>
    <row r="426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 t="str">
        <f>IFERROR(__xludf.DUMMYFUNCTION("""COMPUTED_VALUE"""),"")</f>
        <v/>
      </c>
      <c r="K426" s="185" t="str">
        <f>IFERROR(__xludf.DUMMYFUNCTION("""COMPUTED_VALUE"""),"")</f>
        <v/>
      </c>
      <c r="L426" s="185" t="s">
        <v>898</v>
      </c>
      <c r="M426" s="185" t="s">
        <v>898</v>
      </c>
      <c r="N426" s="185"/>
      <c r="O426" s="185"/>
      <c r="P426" s="185"/>
      <c r="Q426" s="185"/>
      <c r="R426" s="185"/>
      <c r="S426" s="185"/>
    </row>
    <row r="427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 t="str">
        <f>IFERROR(__xludf.DUMMYFUNCTION("""COMPUTED_VALUE"""),"")</f>
        <v/>
      </c>
      <c r="K427" s="185" t="str">
        <f>IFERROR(__xludf.DUMMYFUNCTION("""COMPUTED_VALUE"""),"")</f>
        <v/>
      </c>
      <c r="L427" s="185" t="s">
        <v>898</v>
      </c>
      <c r="M427" s="185" t="s">
        <v>898</v>
      </c>
      <c r="N427" s="185"/>
      <c r="O427" s="185"/>
      <c r="P427" s="185"/>
      <c r="Q427" s="185"/>
      <c r="R427" s="185"/>
      <c r="S427" s="185"/>
    </row>
    <row r="428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 t="str">
        <f>IFERROR(__xludf.DUMMYFUNCTION("""COMPUTED_VALUE"""),"")</f>
        <v/>
      </c>
      <c r="K428" s="185" t="str">
        <f>IFERROR(__xludf.DUMMYFUNCTION("""COMPUTED_VALUE"""),"")</f>
        <v/>
      </c>
      <c r="L428" s="185" t="s">
        <v>898</v>
      </c>
      <c r="M428" s="185" t="s">
        <v>898</v>
      </c>
      <c r="N428" s="185"/>
      <c r="O428" s="185"/>
      <c r="P428" s="185"/>
      <c r="Q428" s="185"/>
      <c r="R428" s="185"/>
      <c r="S428" s="185"/>
    </row>
    <row r="429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 t="str">
        <f>IFERROR(__xludf.DUMMYFUNCTION("""COMPUTED_VALUE"""),"")</f>
        <v/>
      </c>
      <c r="K429" s="185" t="str">
        <f>IFERROR(__xludf.DUMMYFUNCTION("""COMPUTED_VALUE"""),"")</f>
        <v/>
      </c>
      <c r="L429" s="185" t="s">
        <v>898</v>
      </c>
      <c r="M429" s="185" t="s">
        <v>898</v>
      </c>
      <c r="N429" s="185"/>
      <c r="O429" s="185"/>
      <c r="P429" s="185"/>
      <c r="Q429" s="185"/>
      <c r="R429" s="185"/>
      <c r="S429" s="185"/>
    </row>
    <row r="430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 t="str">
        <f>IFERROR(__xludf.DUMMYFUNCTION("""COMPUTED_VALUE"""),"")</f>
        <v/>
      </c>
      <c r="K430" s="185" t="str">
        <f>IFERROR(__xludf.DUMMYFUNCTION("""COMPUTED_VALUE"""),"")</f>
        <v/>
      </c>
      <c r="L430" s="185" t="s">
        <v>898</v>
      </c>
      <c r="M430" s="185" t="s">
        <v>898</v>
      </c>
      <c r="N430" s="185"/>
      <c r="O430" s="185"/>
      <c r="P430" s="185"/>
      <c r="Q430" s="185"/>
      <c r="R430" s="185"/>
      <c r="S430" s="185"/>
    </row>
    <row r="43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 t="str">
        <f>IFERROR(__xludf.DUMMYFUNCTION("""COMPUTED_VALUE"""),"")</f>
        <v/>
      </c>
      <c r="K431" s="185" t="str">
        <f>IFERROR(__xludf.DUMMYFUNCTION("""COMPUTED_VALUE"""),"")</f>
        <v/>
      </c>
      <c r="L431" s="185" t="s">
        <v>898</v>
      </c>
      <c r="M431" s="185" t="s">
        <v>898</v>
      </c>
      <c r="N431" s="185"/>
      <c r="O431" s="185"/>
      <c r="P431" s="185"/>
      <c r="Q431" s="185"/>
      <c r="R431" s="185"/>
      <c r="S431" s="185"/>
    </row>
    <row r="432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 t="str">
        <f>IFERROR(__xludf.DUMMYFUNCTION("""COMPUTED_VALUE"""),"")</f>
        <v/>
      </c>
      <c r="K432" s="185" t="str">
        <f>IFERROR(__xludf.DUMMYFUNCTION("""COMPUTED_VALUE"""),"")</f>
        <v/>
      </c>
      <c r="L432" s="185" t="s">
        <v>898</v>
      </c>
      <c r="M432" s="185" t="s">
        <v>898</v>
      </c>
      <c r="N432" s="185"/>
      <c r="O432" s="185"/>
      <c r="P432" s="185"/>
      <c r="Q432" s="185"/>
      <c r="R432" s="185"/>
      <c r="S432" s="185"/>
    </row>
    <row r="433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 t="str">
        <f>IFERROR(__xludf.DUMMYFUNCTION("""COMPUTED_VALUE"""),"")</f>
        <v/>
      </c>
      <c r="K433" s="185" t="str">
        <f>IFERROR(__xludf.DUMMYFUNCTION("""COMPUTED_VALUE"""),"")</f>
        <v/>
      </c>
      <c r="L433" s="185" t="s">
        <v>898</v>
      </c>
      <c r="M433" s="185" t="s">
        <v>898</v>
      </c>
      <c r="N433" s="185"/>
      <c r="O433" s="185"/>
      <c r="P433" s="185"/>
      <c r="Q433" s="185"/>
      <c r="R433" s="185"/>
      <c r="S433" s="185"/>
    </row>
    <row r="434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 t="str">
        <f>IFERROR(__xludf.DUMMYFUNCTION("""COMPUTED_VALUE"""),"")</f>
        <v/>
      </c>
      <c r="K434" s="185" t="str">
        <f>IFERROR(__xludf.DUMMYFUNCTION("""COMPUTED_VALUE"""),"")</f>
        <v/>
      </c>
      <c r="L434" s="185" t="s">
        <v>898</v>
      </c>
      <c r="M434" s="185" t="s">
        <v>898</v>
      </c>
      <c r="N434" s="185"/>
      <c r="O434" s="185"/>
      <c r="P434" s="185"/>
      <c r="Q434" s="185"/>
      <c r="R434" s="185"/>
      <c r="S434" s="185"/>
    </row>
    <row r="435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 t="str">
        <f>IFERROR(__xludf.DUMMYFUNCTION("""COMPUTED_VALUE"""),"")</f>
        <v/>
      </c>
      <c r="K435" s="185" t="str">
        <f>IFERROR(__xludf.DUMMYFUNCTION("""COMPUTED_VALUE"""),"")</f>
        <v/>
      </c>
      <c r="L435" s="185" t="s">
        <v>898</v>
      </c>
      <c r="M435" s="185" t="s">
        <v>898</v>
      </c>
      <c r="N435" s="185"/>
      <c r="O435" s="185"/>
      <c r="P435" s="185"/>
      <c r="Q435" s="185"/>
      <c r="R435" s="185"/>
      <c r="S435" s="185"/>
    </row>
    <row r="436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 t="str">
        <f>IFERROR(__xludf.DUMMYFUNCTION("""COMPUTED_VALUE"""),"")</f>
        <v/>
      </c>
      <c r="K436" s="185" t="str">
        <f>IFERROR(__xludf.DUMMYFUNCTION("""COMPUTED_VALUE"""),"")</f>
        <v/>
      </c>
      <c r="L436" s="185" t="s">
        <v>898</v>
      </c>
      <c r="M436" s="185" t="s">
        <v>898</v>
      </c>
      <c r="N436" s="185"/>
      <c r="O436" s="185"/>
      <c r="P436" s="185"/>
      <c r="Q436" s="185"/>
      <c r="R436" s="185"/>
      <c r="S436" s="185"/>
    </row>
    <row r="437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 t="str">
        <f>IFERROR(__xludf.DUMMYFUNCTION("""COMPUTED_VALUE"""),"")</f>
        <v/>
      </c>
      <c r="K437" s="185" t="str">
        <f>IFERROR(__xludf.DUMMYFUNCTION("""COMPUTED_VALUE"""),"")</f>
        <v/>
      </c>
      <c r="L437" s="185" t="s">
        <v>898</v>
      </c>
      <c r="M437" s="185" t="s">
        <v>898</v>
      </c>
      <c r="N437" s="185"/>
      <c r="O437" s="185"/>
      <c r="P437" s="185"/>
      <c r="Q437" s="185"/>
      <c r="R437" s="185"/>
      <c r="S437" s="185"/>
    </row>
    <row r="438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 t="str">
        <f>IFERROR(__xludf.DUMMYFUNCTION("""COMPUTED_VALUE"""),"")</f>
        <v/>
      </c>
      <c r="K438" s="185" t="str">
        <f>IFERROR(__xludf.DUMMYFUNCTION("""COMPUTED_VALUE"""),"")</f>
        <v/>
      </c>
      <c r="L438" s="185" t="s">
        <v>898</v>
      </c>
      <c r="M438" s="185" t="s">
        <v>898</v>
      </c>
      <c r="N438" s="185"/>
      <c r="O438" s="185"/>
      <c r="P438" s="185"/>
      <c r="Q438" s="185"/>
      <c r="R438" s="185"/>
      <c r="S438" s="185"/>
    </row>
    <row r="439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 t="str">
        <f>IFERROR(__xludf.DUMMYFUNCTION("""COMPUTED_VALUE"""),"")</f>
        <v/>
      </c>
      <c r="K439" s="185" t="str">
        <f>IFERROR(__xludf.DUMMYFUNCTION("""COMPUTED_VALUE"""),"")</f>
        <v/>
      </c>
      <c r="L439" s="185" t="s">
        <v>898</v>
      </c>
      <c r="M439" s="185" t="s">
        <v>898</v>
      </c>
      <c r="N439" s="185"/>
      <c r="O439" s="185"/>
      <c r="P439" s="185"/>
      <c r="Q439" s="185"/>
      <c r="R439" s="185"/>
      <c r="S439" s="185"/>
    </row>
    <row r="440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 t="str">
        <f>IFERROR(__xludf.DUMMYFUNCTION("""COMPUTED_VALUE"""),"")</f>
        <v/>
      </c>
      <c r="K440" s="185" t="str">
        <f>IFERROR(__xludf.DUMMYFUNCTION("""COMPUTED_VALUE"""),"")</f>
        <v/>
      </c>
      <c r="L440" s="185" t="s">
        <v>898</v>
      </c>
      <c r="M440" s="185" t="s">
        <v>898</v>
      </c>
      <c r="N440" s="185"/>
      <c r="O440" s="185"/>
      <c r="P440" s="185"/>
      <c r="Q440" s="185"/>
      <c r="R440" s="185"/>
      <c r="S440" s="185"/>
    </row>
    <row r="44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 t="str">
        <f>IFERROR(__xludf.DUMMYFUNCTION("""COMPUTED_VALUE"""),"")</f>
        <v/>
      </c>
      <c r="K441" s="185" t="str">
        <f>IFERROR(__xludf.DUMMYFUNCTION("""COMPUTED_VALUE"""),"")</f>
        <v/>
      </c>
      <c r="L441" s="185" t="s">
        <v>898</v>
      </c>
      <c r="M441" s="185" t="s">
        <v>898</v>
      </c>
      <c r="N441" s="185"/>
      <c r="O441" s="185"/>
      <c r="P441" s="185"/>
      <c r="Q441" s="185"/>
      <c r="R441" s="185"/>
      <c r="S441" s="185"/>
    </row>
    <row r="442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 t="str">
        <f>IFERROR(__xludf.DUMMYFUNCTION("""COMPUTED_VALUE"""),"")</f>
        <v/>
      </c>
      <c r="K442" s="185" t="str">
        <f>IFERROR(__xludf.DUMMYFUNCTION("""COMPUTED_VALUE"""),"")</f>
        <v/>
      </c>
      <c r="L442" s="185" t="s">
        <v>898</v>
      </c>
      <c r="M442" s="185" t="s">
        <v>898</v>
      </c>
      <c r="N442" s="185"/>
      <c r="O442" s="185"/>
      <c r="P442" s="185"/>
      <c r="Q442" s="185"/>
      <c r="R442" s="185"/>
      <c r="S442" s="185"/>
    </row>
    <row r="443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 t="str">
        <f>IFERROR(__xludf.DUMMYFUNCTION("""COMPUTED_VALUE"""),"")</f>
        <v/>
      </c>
      <c r="K443" s="185" t="str">
        <f>IFERROR(__xludf.DUMMYFUNCTION("""COMPUTED_VALUE"""),"")</f>
        <v/>
      </c>
      <c r="L443" s="185" t="s">
        <v>898</v>
      </c>
      <c r="M443" s="185" t="s">
        <v>898</v>
      </c>
      <c r="N443" s="185"/>
      <c r="O443" s="185"/>
      <c r="P443" s="185"/>
      <c r="Q443" s="185"/>
      <c r="R443" s="185"/>
      <c r="S443" s="185"/>
    </row>
    <row r="444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 t="str">
        <f>IFERROR(__xludf.DUMMYFUNCTION("""COMPUTED_VALUE"""),"")</f>
        <v/>
      </c>
      <c r="K444" s="185" t="str">
        <f>IFERROR(__xludf.DUMMYFUNCTION("""COMPUTED_VALUE"""),"")</f>
        <v/>
      </c>
      <c r="L444" s="185" t="s">
        <v>898</v>
      </c>
      <c r="M444" s="185" t="s">
        <v>898</v>
      </c>
      <c r="N444" s="185"/>
      <c r="O444" s="185"/>
      <c r="P444" s="185"/>
      <c r="Q444" s="185"/>
      <c r="R444" s="185"/>
      <c r="S444" s="185"/>
    </row>
    <row r="445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 t="str">
        <f>IFERROR(__xludf.DUMMYFUNCTION("""COMPUTED_VALUE"""),"")</f>
        <v/>
      </c>
      <c r="K445" s="185" t="str">
        <f>IFERROR(__xludf.DUMMYFUNCTION("""COMPUTED_VALUE"""),"")</f>
        <v/>
      </c>
      <c r="L445" s="185" t="s">
        <v>898</v>
      </c>
      <c r="M445" s="185" t="s">
        <v>898</v>
      </c>
      <c r="N445" s="185"/>
      <c r="O445" s="185"/>
      <c r="P445" s="185"/>
      <c r="Q445" s="185"/>
      <c r="R445" s="185"/>
      <c r="S445" s="185"/>
    </row>
    <row r="446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 t="str">
        <f>IFERROR(__xludf.DUMMYFUNCTION("""COMPUTED_VALUE"""),"")</f>
        <v/>
      </c>
      <c r="K446" s="185" t="str">
        <f>IFERROR(__xludf.DUMMYFUNCTION("""COMPUTED_VALUE"""),"")</f>
        <v/>
      </c>
      <c r="L446" s="185" t="s">
        <v>898</v>
      </c>
      <c r="M446" s="185" t="s">
        <v>898</v>
      </c>
      <c r="N446" s="185"/>
      <c r="O446" s="185"/>
      <c r="P446" s="185"/>
      <c r="Q446" s="185"/>
      <c r="R446" s="185"/>
      <c r="S446" s="185"/>
    </row>
    <row r="447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 t="str">
        <f>IFERROR(__xludf.DUMMYFUNCTION("""COMPUTED_VALUE"""),"")</f>
        <v/>
      </c>
      <c r="K447" s="185" t="str">
        <f>IFERROR(__xludf.DUMMYFUNCTION("""COMPUTED_VALUE"""),"")</f>
        <v/>
      </c>
      <c r="L447" s="185" t="s">
        <v>898</v>
      </c>
      <c r="M447" s="185" t="s">
        <v>898</v>
      </c>
      <c r="N447" s="185"/>
      <c r="O447" s="185"/>
      <c r="P447" s="185"/>
      <c r="Q447" s="185"/>
      <c r="R447" s="185"/>
      <c r="S447" s="185"/>
    </row>
    <row r="448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 t="str">
        <f>IFERROR(__xludf.DUMMYFUNCTION("""COMPUTED_VALUE"""),"")</f>
        <v/>
      </c>
      <c r="K448" s="185" t="str">
        <f>IFERROR(__xludf.DUMMYFUNCTION("""COMPUTED_VALUE"""),"")</f>
        <v/>
      </c>
      <c r="L448" s="185" t="s">
        <v>898</v>
      </c>
      <c r="M448" s="185" t="s">
        <v>898</v>
      </c>
      <c r="N448" s="185"/>
      <c r="O448" s="185"/>
      <c r="P448" s="185"/>
      <c r="Q448" s="185"/>
      <c r="R448" s="185"/>
      <c r="S448" s="185"/>
    </row>
    <row r="449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 t="str">
        <f>IFERROR(__xludf.DUMMYFUNCTION("""COMPUTED_VALUE"""),"")</f>
        <v/>
      </c>
      <c r="K449" s="185" t="str">
        <f>IFERROR(__xludf.DUMMYFUNCTION("""COMPUTED_VALUE"""),"")</f>
        <v/>
      </c>
      <c r="L449" s="185" t="s">
        <v>898</v>
      </c>
      <c r="M449" s="185" t="s">
        <v>898</v>
      </c>
      <c r="N449" s="185"/>
      <c r="O449" s="185"/>
      <c r="P449" s="185"/>
      <c r="Q449" s="185"/>
      <c r="R449" s="185"/>
      <c r="S449" s="185"/>
    </row>
    <row r="450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 t="str">
        <f>IFERROR(__xludf.DUMMYFUNCTION("""COMPUTED_VALUE"""),"")</f>
        <v/>
      </c>
      <c r="K450" s="185" t="str">
        <f>IFERROR(__xludf.DUMMYFUNCTION("""COMPUTED_VALUE"""),"")</f>
        <v/>
      </c>
      <c r="L450" s="185" t="s">
        <v>898</v>
      </c>
      <c r="M450" s="185" t="s">
        <v>898</v>
      </c>
      <c r="N450" s="185"/>
      <c r="O450" s="185"/>
      <c r="P450" s="185"/>
      <c r="Q450" s="185"/>
      <c r="R450" s="185"/>
      <c r="S450" s="185"/>
    </row>
    <row r="45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 t="str">
        <f>IFERROR(__xludf.DUMMYFUNCTION("""COMPUTED_VALUE"""),"")</f>
        <v/>
      </c>
      <c r="K451" s="185" t="str">
        <f>IFERROR(__xludf.DUMMYFUNCTION("""COMPUTED_VALUE"""),"")</f>
        <v/>
      </c>
      <c r="L451" s="185" t="s">
        <v>898</v>
      </c>
      <c r="M451" s="185" t="s">
        <v>898</v>
      </c>
      <c r="N451" s="185"/>
      <c r="O451" s="185"/>
      <c r="P451" s="185"/>
      <c r="Q451" s="185"/>
      <c r="R451" s="185"/>
      <c r="S451" s="185"/>
    </row>
    <row r="452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 t="str">
        <f>IFERROR(__xludf.DUMMYFUNCTION("""COMPUTED_VALUE"""),"")</f>
        <v/>
      </c>
      <c r="K452" s="185" t="str">
        <f>IFERROR(__xludf.DUMMYFUNCTION("""COMPUTED_VALUE"""),"")</f>
        <v/>
      </c>
      <c r="L452" s="185" t="s">
        <v>898</v>
      </c>
      <c r="M452" s="185" t="s">
        <v>898</v>
      </c>
      <c r="N452" s="185"/>
      <c r="O452" s="185"/>
      <c r="P452" s="185"/>
      <c r="Q452" s="185"/>
      <c r="R452" s="185"/>
      <c r="S452" s="185"/>
    </row>
    <row r="453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 t="str">
        <f>IFERROR(__xludf.DUMMYFUNCTION("""COMPUTED_VALUE"""),"")</f>
        <v/>
      </c>
      <c r="K453" s="185" t="str">
        <f>IFERROR(__xludf.DUMMYFUNCTION("""COMPUTED_VALUE"""),"")</f>
        <v/>
      </c>
      <c r="L453" s="185" t="s">
        <v>898</v>
      </c>
      <c r="M453" s="185" t="s">
        <v>898</v>
      </c>
      <c r="N453" s="185"/>
      <c r="O453" s="185"/>
      <c r="P453" s="185"/>
      <c r="Q453" s="185"/>
      <c r="R453" s="185"/>
      <c r="S453" s="185"/>
    </row>
    <row r="454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 t="str">
        <f>IFERROR(__xludf.DUMMYFUNCTION("""COMPUTED_VALUE"""),"")</f>
        <v/>
      </c>
      <c r="K454" s="185" t="str">
        <f>IFERROR(__xludf.DUMMYFUNCTION("""COMPUTED_VALUE"""),"")</f>
        <v/>
      </c>
      <c r="L454" s="185" t="s">
        <v>898</v>
      </c>
      <c r="M454" s="185" t="s">
        <v>898</v>
      </c>
      <c r="N454" s="185"/>
      <c r="O454" s="185"/>
      <c r="P454" s="185"/>
      <c r="Q454" s="185"/>
      <c r="R454" s="185"/>
      <c r="S454" s="185"/>
    </row>
    <row r="455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 t="str">
        <f>IFERROR(__xludf.DUMMYFUNCTION("""COMPUTED_VALUE"""),"")</f>
        <v/>
      </c>
      <c r="K455" s="185" t="str">
        <f>IFERROR(__xludf.DUMMYFUNCTION("""COMPUTED_VALUE"""),"")</f>
        <v/>
      </c>
      <c r="L455" s="185" t="s">
        <v>898</v>
      </c>
      <c r="M455" s="185" t="s">
        <v>898</v>
      </c>
      <c r="N455" s="185"/>
      <c r="O455" s="185"/>
      <c r="P455" s="185"/>
      <c r="Q455" s="185"/>
      <c r="R455" s="185"/>
      <c r="S455" s="185"/>
    </row>
    <row r="456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 t="str">
        <f>IFERROR(__xludf.DUMMYFUNCTION("""COMPUTED_VALUE"""),"")</f>
        <v/>
      </c>
      <c r="K456" s="185" t="str">
        <f>IFERROR(__xludf.DUMMYFUNCTION("""COMPUTED_VALUE"""),"")</f>
        <v/>
      </c>
      <c r="L456" s="185" t="s">
        <v>898</v>
      </c>
      <c r="M456" s="185" t="s">
        <v>898</v>
      </c>
      <c r="N456" s="185"/>
      <c r="O456" s="185"/>
      <c r="P456" s="185"/>
      <c r="Q456" s="185"/>
      <c r="R456" s="185"/>
      <c r="S456" s="185"/>
    </row>
    <row r="457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 t="str">
        <f>IFERROR(__xludf.DUMMYFUNCTION("""COMPUTED_VALUE"""),"")</f>
        <v/>
      </c>
      <c r="K457" s="185" t="str">
        <f>IFERROR(__xludf.DUMMYFUNCTION("""COMPUTED_VALUE"""),"")</f>
        <v/>
      </c>
      <c r="L457" s="185" t="s">
        <v>898</v>
      </c>
      <c r="M457" s="185" t="s">
        <v>898</v>
      </c>
      <c r="N457" s="185"/>
      <c r="O457" s="185"/>
      <c r="P457" s="185"/>
      <c r="Q457" s="185"/>
      <c r="R457" s="185"/>
      <c r="S457" s="185"/>
    </row>
    <row r="458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 t="str">
        <f>IFERROR(__xludf.DUMMYFUNCTION("""COMPUTED_VALUE"""),"")</f>
        <v/>
      </c>
      <c r="K458" s="185" t="str">
        <f>IFERROR(__xludf.DUMMYFUNCTION("""COMPUTED_VALUE"""),"")</f>
        <v/>
      </c>
      <c r="L458" s="185" t="s">
        <v>898</v>
      </c>
      <c r="M458" s="185" t="s">
        <v>898</v>
      </c>
      <c r="N458" s="185"/>
      <c r="O458" s="185"/>
      <c r="P458" s="185"/>
      <c r="Q458" s="185"/>
      <c r="R458" s="185"/>
      <c r="S458" s="185"/>
    </row>
    <row r="459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 t="str">
        <f>IFERROR(__xludf.DUMMYFUNCTION("""COMPUTED_VALUE"""),"")</f>
        <v/>
      </c>
      <c r="K459" s="185" t="str">
        <f>IFERROR(__xludf.DUMMYFUNCTION("""COMPUTED_VALUE"""),"")</f>
        <v/>
      </c>
      <c r="L459" s="185" t="s">
        <v>898</v>
      </c>
      <c r="M459" s="185" t="s">
        <v>898</v>
      </c>
      <c r="N459" s="185"/>
      <c r="O459" s="185"/>
      <c r="P459" s="185"/>
      <c r="Q459" s="185"/>
      <c r="R459" s="185"/>
      <c r="S459" s="185"/>
    </row>
    <row r="460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 t="str">
        <f>IFERROR(__xludf.DUMMYFUNCTION("""COMPUTED_VALUE"""),"")</f>
        <v/>
      </c>
      <c r="K460" s="185" t="str">
        <f>IFERROR(__xludf.DUMMYFUNCTION("""COMPUTED_VALUE"""),"")</f>
        <v/>
      </c>
      <c r="L460" s="185" t="s">
        <v>898</v>
      </c>
      <c r="M460" s="185" t="s">
        <v>898</v>
      </c>
      <c r="N460" s="185"/>
      <c r="O460" s="185"/>
      <c r="P460" s="185"/>
      <c r="Q460" s="185"/>
      <c r="R460" s="185"/>
      <c r="S460" s="185"/>
    </row>
    <row r="46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 t="str">
        <f>IFERROR(__xludf.DUMMYFUNCTION("""COMPUTED_VALUE"""),"")</f>
        <v/>
      </c>
      <c r="K461" s="185" t="str">
        <f>IFERROR(__xludf.DUMMYFUNCTION("""COMPUTED_VALUE"""),"")</f>
        <v/>
      </c>
      <c r="L461" s="185" t="s">
        <v>898</v>
      </c>
      <c r="M461" s="185" t="s">
        <v>898</v>
      </c>
      <c r="N461" s="185"/>
      <c r="O461" s="185"/>
      <c r="P461" s="185"/>
      <c r="Q461" s="185"/>
      <c r="R461" s="185"/>
      <c r="S461" s="185"/>
    </row>
    <row r="462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 t="str">
        <f>IFERROR(__xludf.DUMMYFUNCTION("""COMPUTED_VALUE"""),"")</f>
        <v/>
      </c>
      <c r="K462" s="185" t="str">
        <f>IFERROR(__xludf.DUMMYFUNCTION("""COMPUTED_VALUE"""),"")</f>
        <v/>
      </c>
      <c r="L462" s="185" t="s">
        <v>898</v>
      </c>
      <c r="M462" s="185" t="s">
        <v>898</v>
      </c>
      <c r="N462" s="185"/>
      <c r="O462" s="185"/>
      <c r="P462" s="185"/>
      <c r="Q462" s="185"/>
      <c r="R462" s="185"/>
      <c r="S462" s="185"/>
    </row>
    <row r="463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 t="str">
        <f>IFERROR(__xludf.DUMMYFUNCTION("""COMPUTED_VALUE"""),"")</f>
        <v/>
      </c>
      <c r="K463" s="185" t="str">
        <f>IFERROR(__xludf.DUMMYFUNCTION("""COMPUTED_VALUE"""),"")</f>
        <v/>
      </c>
      <c r="L463" s="185" t="s">
        <v>898</v>
      </c>
      <c r="M463" s="185" t="s">
        <v>898</v>
      </c>
      <c r="N463" s="185"/>
      <c r="O463" s="185"/>
      <c r="P463" s="185"/>
      <c r="Q463" s="185"/>
      <c r="R463" s="185"/>
      <c r="S463" s="185"/>
    </row>
    <row r="464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 t="str">
        <f>IFERROR(__xludf.DUMMYFUNCTION("""COMPUTED_VALUE"""),"")</f>
        <v/>
      </c>
      <c r="K464" s="185" t="str">
        <f>IFERROR(__xludf.DUMMYFUNCTION("""COMPUTED_VALUE"""),"")</f>
        <v/>
      </c>
      <c r="L464" s="185" t="s">
        <v>898</v>
      </c>
      <c r="M464" s="185" t="s">
        <v>898</v>
      </c>
      <c r="N464" s="185"/>
      <c r="O464" s="185"/>
      <c r="P464" s="185"/>
      <c r="Q464" s="185"/>
      <c r="R464" s="185"/>
      <c r="S464" s="185"/>
    </row>
    <row r="465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 t="str">
        <f>IFERROR(__xludf.DUMMYFUNCTION("""COMPUTED_VALUE"""),"")</f>
        <v/>
      </c>
      <c r="K465" s="185" t="str">
        <f>IFERROR(__xludf.DUMMYFUNCTION("""COMPUTED_VALUE"""),"")</f>
        <v/>
      </c>
      <c r="L465" s="185" t="s">
        <v>898</v>
      </c>
      <c r="M465" s="185" t="s">
        <v>898</v>
      </c>
      <c r="N465" s="185"/>
      <c r="O465" s="185"/>
      <c r="P465" s="185"/>
      <c r="Q465" s="185"/>
      <c r="R465" s="185"/>
      <c r="S465" s="185"/>
    </row>
    <row r="466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 t="str">
        <f>IFERROR(__xludf.DUMMYFUNCTION("""COMPUTED_VALUE"""),"")</f>
        <v/>
      </c>
      <c r="K466" s="185" t="str">
        <f>IFERROR(__xludf.DUMMYFUNCTION("""COMPUTED_VALUE"""),"")</f>
        <v/>
      </c>
      <c r="L466" s="185" t="s">
        <v>898</v>
      </c>
      <c r="M466" s="185" t="s">
        <v>898</v>
      </c>
      <c r="N466" s="185"/>
      <c r="O466" s="185"/>
      <c r="P466" s="185"/>
      <c r="Q466" s="185"/>
      <c r="R466" s="185"/>
      <c r="S466" s="185"/>
    </row>
    <row r="467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 t="str">
        <f>IFERROR(__xludf.DUMMYFUNCTION("""COMPUTED_VALUE"""),"")</f>
        <v/>
      </c>
      <c r="K467" s="185" t="str">
        <f>IFERROR(__xludf.DUMMYFUNCTION("""COMPUTED_VALUE"""),"")</f>
        <v/>
      </c>
      <c r="L467" s="185" t="s">
        <v>898</v>
      </c>
      <c r="M467" s="185" t="s">
        <v>898</v>
      </c>
      <c r="N467" s="185"/>
      <c r="O467" s="185"/>
      <c r="P467" s="185"/>
      <c r="Q467" s="185"/>
      <c r="R467" s="185"/>
      <c r="S467" s="185"/>
    </row>
    <row r="468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 t="str">
        <f>IFERROR(__xludf.DUMMYFUNCTION("""COMPUTED_VALUE"""),"")</f>
        <v/>
      </c>
      <c r="K468" s="185" t="str">
        <f>IFERROR(__xludf.DUMMYFUNCTION("""COMPUTED_VALUE"""),"")</f>
        <v/>
      </c>
      <c r="L468" s="185" t="s">
        <v>898</v>
      </c>
      <c r="M468" s="185" t="s">
        <v>898</v>
      </c>
      <c r="N468" s="185"/>
      <c r="O468" s="185"/>
      <c r="P468" s="185"/>
      <c r="Q468" s="185"/>
      <c r="R468" s="185"/>
      <c r="S468" s="185"/>
    </row>
    <row r="469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 t="str">
        <f>IFERROR(__xludf.DUMMYFUNCTION("""COMPUTED_VALUE"""),"")</f>
        <v/>
      </c>
      <c r="K469" s="185" t="str">
        <f>IFERROR(__xludf.DUMMYFUNCTION("""COMPUTED_VALUE"""),"")</f>
        <v/>
      </c>
      <c r="L469" s="185" t="s">
        <v>898</v>
      </c>
      <c r="M469" s="185" t="s">
        <v>898</v>
      </c>
      <c r="N469" s="185"/>
      <c r="O469" s="185"/>
      <c r="P469" s="185"/>
      <c r="Q469" s="185"/>
      <c r="R469" s="185"/>
      <c r="S469" s="185"/>
    </row>
    <row r="470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 t="str">
        <f>IFERROR(__xludf.DUMMYFUNCTION("""COMPUTED_VALUE"""),"")</f>
        <v/>
      </c>
      <c r="K470" s="185" t="str">
        <f>IFERROR(__xludf.DUMMYFUNCTION("""COMPUTED_VALUE"""),"")</f>
        <v/>
      </c>
      <c r="L470" s="185" t="s">
        <v>898</v>
      </c>
      <c r="M470" s="185" t="s">
        <v>898</v>
      </c>
      <c r="N470" s="185"/>
      <c r="O470" s="185"/>
      <c r="P470" s="185"/>
      <c r="Q470" s="185"/>
      <c r="R470" s="185"/>
      <c r="S470" s="185"/>
    </row>
    <row r="47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 t="str">
        <f>IFERROR(__xludf.DUMMYFUNCTION("""COMPUTED_VALUE"""),"")</f>
        <v/>
      </c>
      <c r="K471" s="185" t="str">
        <f>IFERROR(__xludf.DUMMYFUNCTION("""COMPUTED_VALUE"""),"")</f>
        <v/>
      </c>
      <c r="L471" s="185" t="s">
        <v>898</v>
      </c>
      <c r="M471" s="185" t="s">
        <v>898</v>
      </c>
      <c r="N471" s="185"/>
      <c r="O471" s="185"/>
      <c r="P471" s="185"/>
      <c r="Q471" s="185"/>
      <c r="R471" s="185"/>
      <c r="S471" s="185"/>
    </row>
    <row r="472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 t="str">
        <f>IFERROR(__xludf.DUMMYFUNCTION("""COMPUTED_VALUE"""),"")</f>
        <v/>
      </c>
      <c r="K472" s="185" t="str">
        <f>IFERROR(__xludf.DUMMYFUNCTION("""COMPUTED_VALUE"""),"")</f>
        <v/>
      </c>
      <c r="L472" s="185" t="s">
        <v>898</v>
      </c>
      <c r="M472" s="185" t="s">
        <v>898</v>
      </c>
      <c r="N472" s="185"/>
      <c r="O472" s="185"/>
      <c r="P472" s="185"/>
      <c r="Q472" s="185"/>
      <c r="R472" s="185"/>
      <c r="S472" s="185"/>
    </row>
    <row r="473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 t="str">
        <f>IFERROR(__xludf.DUMMYFUNCTION("""COMPUTED_VALUE"""),"")</f>
        <v/>
      </c>
      <c r="K473" s="185" t="str">
        <f>IFERROR(__xludf.DUMMYFUNCTION("""COMPUTED_VALUE"""),"")</f>
        <v/>
      </c>
      <c r="L473" s="185" t="s">
        <v>898</v>
      </c>
      <c r="M473" s="185" t="s">
        <v>898</v>
      </c>
      <c r="N473" s="185"/>
      <c r="O473" s="185"/>
      <c r="P473" s="185"/>
      <c r="Q473" s="185"/>
      <c r="R473" s="185"/>
      <c r="S473" s="185"/>
    </row>
    <row r="474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 t="str">
        <f>IFERROR(__xludf.DUMMYFUNCTION("""COMPUTED_VALUE"""),"")</f>
        <v/>
      </c>
      <c r="K474" s="185" t="str">
        <f>IFERROR(__xludf.DUMMYFUNCTION("""COMPUTED_VALUE"""),"")</f>
        <v/>
      </c>
      <c r="L474" s="185" t="s">
        <v>898</v>
      </c>
      <c r="M474" s="185" t="s">
        <v>898</v>
      </c>
      <c r="N474" s="185"/>
      <c r="O474" s="185"/>
      <c r="P474" s="185"/>
      <c r="Q474" s="185"/>
      <c r="R474" s="185"/>
      <c r="S474" s="185"/>
    </row>
    <row r="475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 t="str">
        <f>IFERROR(__xludf.DUMMYFUNCTION("""COMPUTED_VALUE"""),"")</f>
        <v/>
      </c>
      <c r="K475" s="185" t="str">
        <f>IFERROR(__xludf.DUMMYFUNCTION("""COMPUTED_VALUE"""),"")</f>
        <v/>
      </c>
      <c r="L475" s="185" t="s">
        <v>898</v>
      </c>
      <c r="M475" s="185" t="s">
        <v>898</v>
      </c>
      <c r="N475" s="185"/>
      <c r="O475" s="185"/>
      <c r="P475" s="185"/>
      <c r="Q475" s="185"/>
      <c r="R475" s="185"/>
      <c r="S475" s="185"/>
    </row>
    <row r="476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 t="str">
        <f>IFERROR(__xludf.DUMMYFUNCTION("""COMPUTED_VALUE"""),"")</f>
        <v/>
      </c>
      <c r="K476" s="185" t="str">
        <f>IFERROR(__xludf.DUMMYFUNCTION("""COMPUTED_VALUE"""),"")</f>
        <v/>
      </c>
      <c r="L476" s="185" t="s">
        <v>898</v>
      </c>
      <c r="M476" s="185" t="s">
        <v>898</v>
      </c>
      <c r="N476" s="185"/>
      <c r="O476" s="185"/>
      <c r="P476" s="185"/>
      <c r="Q476" s="185"/>
      <c r="R476" s="185"/>
      <c r="S476" s="185"/>
    </row>
    <row r="477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 t="str">
        <f>IFERROR(__xludf.DUMMYFUNCTION("""COMPUTED_VALUE"""),"")</f>
        <v/>
      </c>
      <c r="K477" s="185" t="str">
        <f>IFERROR(__xludf.DUMMYFUNCTION("""COMPUTED_VALUE"""),"")</f>
        <v/>
      </c>
      <c r="L477" s="185" t="s">
        <v>898</v>
      </c>
      <c r="M477" s="185" t="s">
        <v>898</v>
      </c>
      <c r="N477" s="185"/>
      <c r="O477" s="185"/>
      <c r="P477" s="185"/>
      <c r="Q477" s="185"/>
      <c r="R477" s="185"/>
      <c r="S477" s="185"/>
    </row>
    <row r="478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 t="str">
        <f>IFERROR(__xludf.DUMMYFUNCTION("""COMPUTED_VALUE"""),"")</f>
        <v/>
      </c>
      <c r="K478" s="185" t="str">
        <f>IFERROR(__xludf.DUMMYFUNCTION("""COMPUTED_VALUE"""),"")</f>
        <v/>
      </c>
      <c r="L478" s="185" t="s">
        <v>898</v>
      </c>
      <c r="M478" s="185" t="s">
        <v>898</v>
      </c>
      <c r="N478" s="185"/>
      <c r="O478" s="185"/>
      <c r="P478" s="185"/>
      <c r="Q478" s="185"/>
      <c r="R478" s="185"/>
      <c r="S478" s="185"/>
    </row>
    <row r="479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 t="str">
        <f>IFERROR(__xludf.DUMMYFUNCTION("""COMPUTED_VALUE"""),"")</f>
        <v/>
      </c>
      <c r="K479" s="185" t="str">
        <f>IFERROR(__xludf.DUMMYFUNCTION("""COMPUTED_VALUE"""),"")</f>
        <v/>
      </c>
      <c r="L479" s="185" t="s">
        <v>898</v>
      </c>
      <c r="M479" s="185" t="s">
        <v>898</v>
      </c>
      <c r="N479" s="185"/>
      <c r="O479" s="185"/>
      <c r="P479" s="185"/>
      <c r="Q479" s="185"/>
      <c r="R479" s="185"/>
      <c r="S479" s="185"/>
    </row>
    <row r="480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 t="str">
        <f>IFERROR(__xludf.DUMMYFUNCTION("""COMPUTED_VALUE"""),"")</f>
        <v/>
      </c>
      <c r="K480" s="185" t="str">
        <f>IFERROR(__xludf.DUMMYFUNCTION("""COMPUTED_VALUE"""),"")</f>
        <v/>
      </c>
      <c r="L480" s="185" t="s">
        <v>898</v>
      </c>
      <c r="M480" s="185" t="s">
        <v>898</v>
      </c>
      <c r="N480" s="185"/>
      <c r="O480" s="185"/>
      <c r="P480" s="185"/>
      <c r="Q480" s="185"/>
      <c r="R480" s="185"/>
      <c r="S480" s="185"/>
    </row>
    <row r="48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 t="str">
        <f>IFERROR(__xludf.DUMMYFUNCTION("""COMPUTED_VALUE"""),"")</f>
        <v/>
      </c>
      <c r="K481" s="185" t="str">
        <f>IFERROR(__xludf.DUMMYFUNCTION("""COMPUTED_VALUE"""),"")</f>
        <v/>
      </c>
      <c r="L481" s="185" t="s">
        <v>898</v>
      </c>
      <c r="M481" s="185" t="s">
        <v>898</v>
      </c>
      <c r="N481" s="185"/>
      <c r="O481" s="185"/>
      <c r="P481" s="185"/>
      <c r="Q481" s="185"/>
      <c r="R481" s="185"/>
      <c r="S481" s="185"/>
    </row>
    <row r="482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 t="str">
        <f>IFERROR(__xludf.DUMMYFUNCTION("""COMPUTED_VALUE"""),"")</f>
        <v/>
      </c>
      <c r="K482" s="185" t="str">
        <f>IFERROR(__xludf.DUMMYFUNCTION("""COMPUTED_VALUE"""),"")</f>
        <v/>
      </c>
      <c r="L482" s="185" t="s">
        <v>898</v>
      </c>
      <c r="M482" s="185" t="s">
        <v>898</v>
      </c>
      <c r="N482" s="185"/>
      <c r="O482" s="185"/>
      <c r="P482" s="185"/>
      <c r="Q482" s="185"/>
      <c r="R482" s="185"/>
      <c r="S482" s="185"/>
    </row>
    <row r="483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 t="str">
        <f>IFERROR(__xludf.DUMMYFUNCTION("""COMPUTED_VALUE"""),"")</f>
        <v/>
      </c>
      <c r="K483" s="185" t="str">
        <f>IFERROR(__xludf.DUMMYFUNCTION("""COMPUTED_VALUE"""),"")</f>
        <v/>
      </c>
      <c r="L483" s="185" t="s">
        <v>898</v>
      </c>
      <c r="M483" s="185" t="s">
        <v>898</v>
      </c>
      <c r="N483" s="185"/>
      <c r="O483" s="185"/>
      <c r="P483" s="185"/>
      <c r="Q483" s="185"/>
      <c r="R483" s="185"/>
      <c r="S483" s="185"/>
    </row>
    <row r="484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 t="str">
        <f>IFERROR(__xludf.DUMMYFUNCTION("""COMPUTED_VALUE"""),"")</f>
        <v/>
      </c>
      <c r="K484" s="185" t="str">
        <f>IFERROR(__xludf.DUMMYFUNCTION("""COMPUTED_VALUE"""),"")</f>
        <v/>
      </c>
      <c r="L484" s="185" t="s">
        <v>898</v>
      </c>
      <c r="M484" s="185" t="s">
        <v>898</v>
      </c>
      <c r="N484" s="185"/>
      <c r="O484" s="185"/>
      <c r="P484" s="185"/>
      <c r="Q484" s="185"/>
      <c r="R484" s="185"/>
      <c r="S484" s="185"/>
    </row>
    <row r="485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 t="str">
        <f>IFERROR(__xludf.DUMMYFUNCTION("""COMPUTED_VALUE"""),"")</f>
        <v/>
      </c>
      <c r="K485" s="185" t="str">
        <f>IFERROR(__xludf.DUMMYFUNCTION("""COMPUTED_VALUE"""),"")</f>
        <v/>
      </c>
      <c r="L485" s="185" t="s">
        <v>898</v>
      </c>
      <c r="M485" s="185" t="s">
        <v>898</v>
      </c>
      <c r="N485" s="185"/>
      <c r="O485" s="185"/>
      <c r="P485" s="185"/>
      <c r="Q485" s="185"/>
      <c r="R485" s="185"/>
      <c r="S485" s="185"/>
    </row>
    <row r="486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 t="str">
        <f>IFERROR(__xludf.DUMMYFUNCTION("""COMPUTED_VALUE"""),"")</f>
        <v/>
      </c>
      <c r="K486" s="185" t="str">
        <f>IFERROR(__xludf.DUMMYFUNCTION("""COMPUTED_VALUE"""),"")</f>
        <v/>
      </c>
      <c r="L486" s="185" t="s">
        <v>898</v>
      </c>
      <c r="M486" s="185" t="s">
        <v>898</v>
      </c>
      <c r="N486" s="185"/>
      <c r="O486" s="185"/>
      <c r="P486" s="185"/>
      <c r="Q486" s="185"/>
      <c r="R486" s="185"/>
      <c r="S486" s="185"/>
    </row>
    <row r="487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 t="str">
        <f>IFERROR(__xludf.DUMMYFUNCTION("""COMPUTED_VALUE"""),"")</f>
        <v/>
      </c>
      <c r="K487" s="185" t="str">
        <f>IFERROR(__xludf.DUMMYFUNCTION("""COMPUTED_VALUE"""),"")</f>
        <v/>
      </c>
      <c r="L487" s="185" t="s">
        <v>898</v>
      </c>
      <c r="M487" s="185" t="s">
        <v>898</v>
      </c>
      <c r="N487" s="185"/>
      <c r="O487" s="185"/>
      <c r="P487" s="185"/>
      <c r="Q487" s="185"/>
      <c r="R487" s="185"/>
      <c r="S487" s="185"/>
    </row>
    <row r="488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 t="str">
        <f>IFERROR(__xludf.DUMMYFUNCTION("""COMPUTED_VALUE"""),"")</f>
        <v/>
      </c>
      <c r="K488" s="185" t="str">
        <f>IFERROR(__xludf.DUMMYFUNCTION("""COMPUTED_VALUE"""),"")</f>
        <v/>
      </c>
      <c r="L488" s="185" t="s">
        <v>898</v>
      </c>
      <c r="M488" s="185" t="s">
        <v>898</v>
      </c>
      <c r="N488" s="185"/>
      <c r="O488" s="185"/>
      <c r="P488" s="185"/>
      <c r="Q488" s="185"/>
      <c r="R488" s="185"/>
      <c r="S488" s="185"/>
    </row>
    <row r="489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 t="str">
        <f>IFERROR(__xludf.DUMMYFUNCTION("""COMPUTED_VALUE"""),"")</f>
        <v/>
      </c>
      <c r="K489" s="185" t="str">
        <f>IFERROR(__xludf.DUMMYFUNCTION("""COMPUTED_VALUE"""),"")</f>
        <v/>
      </c>
      <c r="L489" s="185" t="s">
        <v>898</v>
      </c>
      <c r="M489" s="185" t="s">
        <v>898</v>
      </c>
      <c r="N489" s="185"/>
      <c r="O489" s="185"/>
      <c r="P489" s="185"/>
      <c r="Q489" s="185"/>
      <c r="R489" s="185"/>
      <c r="S489" s="185"/>
    </row>
    <row r="490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 t="str">
        <f>IFERROR(__xludf.DUMMYFUNCTION("""COMPUTED_VALUE"""),"")</f>
        <v/>
      </c>
      <c r="K490" s="185" t="str">
        <f>IFERROR(__xludf.DUMMYFUNCTION("""COMPUTED_VALUE"""),"")</f>
        <v/>
      </c>
      <c r="L490" s="185" t="s">
        <v>898</v>
      </c>
      <c r="M490" s="185" t="s">
        <v>898</v>
      </c>
      <c r="N490" s="185"/>
      <c r="O490" s="185"/>
      <c r="P490" s="185"/>
      <c r="Q490" s="185"/>
      <c r="R490" s="185"/>
      <c r="S490" s="185"/>
    </row>
    <row r="49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 t="str">
        <f>IFERROR(__xludf.DUMMYFUNCTION("""COMPUTED_VALUE"""),"")</f>
        <v/>
      </c>
      <c r="K491" s="185" t="str">
        <f>IFERROR(__xludf.DUMMYFUNCTION("""COMPUTED_VALUE"""),"")</f>
        <v/>
      </c>
      <c r="L491" s="185" t="s">
        <v>898</v>
      </c>
      <c r="M491" s="185" t="s">
        <v>898</v>
      </c>
      <c r="N491" s="185"/>
      <c r="O491" s="185"/>
      <c r="P491" s="185"/>
      <c r="Q491" s="185"/>
      <c r="R491" s="185"/>
      <c r="S491" s="185"/>
    </row>
    <row r="492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 t="str">
        <f>IFERROR(__xludf.DUMMYFUNCTION("""COMPUTED_VALUE"""),"")</f>
        <v/>
      </c>
      <c r="K492" s="185" t="str">
        <f>IFERROR(__xludf.DUMMYFUNCTION("""COMPUTED_VALUE"""),"")</f>
        <v/>
      </c>
      <c r="L492" s="185" t="s">
        <v>898</v>
      </c>
      <c r="M492" s="185" t="s">
        <v>898</v>
      </c>
      <c r="N492" s="185"/>
      <c r="O492" s="185"/>
      <c r="P492" s="185"/>
      <c r="Q492" s="185"/>
      <c r="R492" s="185"/>
      <c r="S492" s="185"/>
    </row>
    <row r="493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 t="str">
        <f>IFERROR(__xludf.DUMMYFUNCTION("""COMPUTED_VALUE"""),"")</f>
        <v/>
      </c>
      <c r="K493" s="185" t="str">
        <f>IFERROR(__xludf.DUMMYFUNCTION("""COMPUTED_VALUE"""),"")</f>
        <v/>
      </c>
      <c r="L493" s="185" t="s">
        <v>898</v>
      </c>
      <c r="M493" s="185" t="s">
        <v>898</v>
      </c>
      <c r="N493" s="185"/>
      <c r="O493" s="185"/>
      <c r="P493" s="185"/>
      <c r="Q493" s="185"/>
      <c r="R493" s="185"/>
      <c r="S493" s="185"/>
    </row>
    <row r="494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 t="str">
        <f>IFERROR(__xludf.DUMMYFUNCTION("""COMPUTED_VALUE"""),"")</f>
        <v/>
      </c>
      <c r="K494" s="185" t="str">
        <f>IFERROR(__xludf.DUMMYFUNCTION("""COMPUTED_VALUE"""),"")</f>
        <v/>
      </c>
      <c r="L494" s="185" t="s">
        <v>898</v>
      </c>
      <c r="M494" s="185" t="s">
        <v>898</v>
      </c>
      <c r="N494" s="185"/>
      <c r="O494" s="185"/>
      <c r="P494" s="185"/>
      <c r="Q494" s="185"/>
      <c r="R494" s="185"/>
      <c r="S494" s="185"/>
    </row>
    <row r="495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 t="str">
        <f>IFERROR(__xludf.DUMMYFUNCTION("""COMPUTED_VALUE"""),"")</f>
        <v/>
      </c>
      <c r="K495" s="185" t="str">
        <f>IFERROR(__xludf.DUMMYFUNCTION("""COMPUTED_VALUE"""),"")</f>
        <v/>
      </c>
      <c r="L495" s="185" t="s">
        <v>898</v>
      </c>
      <c r="M495" s="185" t="s">
        <v>898</v>
      </c>
      <c r="N495" s="185"/>
      <c r="O495" s="185"/>
      <c r="P495" s="185"/>
      <c r="Q495" s="185"/>
      <c r="R495" s="185"/>
      <c r="S495" s="185"/>
    </row>
    <row r="496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 t="str">
        <f>IFERROR(__xludf.DUMMYFUNCTION("""COMPUTED_VALUE"""),"")</f>
        <v/>
      </c>
      <c r="K496" s="185" t="str">
        <f>IFERROR(__xludf.DUMMYFUNCTION("""COMPUTED_VALUE"""),"")</f>
        <v/>
      </c>
      <c r="L496" s="185" t="s">
        <v>898</v>
      </c>
      <c r="M496" s="185" t="s">
        <v>898</v>
      </c>
      <c r="N496" s="185"/>
      <c r="O496" s="185"/>
      <c r="P496" s="185"/>
      <c r="Q496" s="185"/>
      <c r="R496" s="185"/>
      <c r="S496" s="185"/>
    </row>
    <row r="497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 t="str">
        <f>IFERROR(__xludf.DUMMYFUNCTION("""COMPUTED_VALUE"""),"")</f>
        <v/>
      </c>
      <c r="K497" s="185" t="str">
        <f>IFERROR(__xludf.DUMMYFUNCTION("""COMPUTED_VALUE"""),"")</f>
        <v/>
      </c>
      <c r="L497" s="185" t="s">
        <v>898</v>
      </c>
      <c r="M497" s="185" t="s">
        <v>898</v>
      </c>
      <c r="N497" s="185"/>
      <c r="O497" s="185"/>
      <c r="P497" s="185"/>
      <c r="Q497" s="185"/>
      <c r="R497" s="185"/>
      <c r="S497" s="185"/>
    </row>
    <row r="498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 t="str">
        <f>IFERROR(__xludf.DUMMYFUNCTION("""COMPUTED_VALUE"""),"")</f>
        <v/>
      </c>
      <c r="K498" s="185" t="str">
        <f>IFERROR(__xludf.DUMMYFUNCTION("""COMPUTED_VALUE"""),"")</f>
        <v/>
      </c>
      <c r="L498" s="185" t="s">
        <v>898</v>
      </c>
      <c r="M498" s="185" t="s">
        <v>898</v>
      </c>
      <c r="N498" s="185"/>
      <c r="O498" s="185"/>
      <c r="P498" s="185"/>
      <c r="Q498" s="185"/>
      <c r="R498" s="185"/>
      <c r="S498" s="185"/>
    </row>
    <row r="499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 t="str">
        <f>IFERROR(__xludf.DUMMYFUNCTION("""COMPUTED_VALUE"""),"")</f>
        <v/>
      </c>
      <c r="K499" s="185" t="str">
        <f>IFERROR(__xludf.DUMMYFUNCTION("""COMPUTED_VALUE"""),"")</f>
        <v/>
      </c>
      <c r="L499" s="185" t="s">
        <v>898</v>
      </c>
      <c r="M499" s="185" t="s">
        <v>898</v>
      </c>
      <c r="N499" s="185"/>
      <c r="O499" s="185"/>
      <c r="P499" s="185"/>
      <c r="Q499" s="185"/>
      <c r="R499" s="185"/>
      <c r="S499" s="185"/>
    </row>
    <row r="500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 t="str">
        <f>IFERROR(__xludf.DUMMYFUNCTION("""COMPUTED_VALUE"""),"")</f>
        <v/>
      </c>
      <c r="K500" s="185" t="str">
        <f>IFERROR(__xludf.DUMMYFUNCTION("""COMPUTED_VALUE"""),"")</f>
        <v/>
      </c>
      <c r="L500" s="185" t="s">
        <v>898</v>
      </c>
      <c r="M500" s="185" t="s">
        <v>898</v>
      </c>
      <c r="N500" s="185"/>
      <c r="O500" s="185"/>
      <c r="P500" s="185"/>
      <c r="Q500" s="185"/>
      <c r="R500" s="185"/>
      <c r="S500" s="185"/>
    </row>
    <row r="50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 t="str">
        <f>IFERROR(__xludf.DUMMYFUNCTION("""COMPUTED_VALUE"""),"")</f>
        <v/>
      </c>
      <c r="K501" s="185" t="str">
        <f>IFERROR(__xludf.DUMMYFUNCTION("""COMPUTED_VALUE"""),"")</f>
        <v/>
      </c>
      <c r="L501" s="185" t="s">
        <v>898</v>
      </c>
      <c r="M501" s="185" t="s">
        <v>898</v>
      </c>
      <c r="N501" s="185"/>
      <c r="O501" s="185"/>
      <c r="P501" s="185"/>
      <c r="Q501" s="185"/>
      <c r="R501" s="185"/>
      <c r="S501" s="185"/>
    </row>
    <row r="502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 t="str">
        <f>IFERROR(__xludf.DUMMYFUNCTION("""COMPUTED_VALUE"""),"")</f>
        <v/>
      </c>
      <c r="K502" s="185" t="str">
        <f>IFERROR(__xludf.DUMMYFUNCTION("""COMPUTED_VALUE"""),"")</f>
        <v/>
      </c>
      <c r="L502" s="185" t="s">
        <v>898</v>
      </c>
      <c r="M502" s="185" t="s">
        <v>898</v>
      </c>
      <c r="N502" s="185"/>
      <c r="O502" s="185"/>
      <c r="P502" s="185"/>
      <c r="Q502" s="185"/>
      <c r="R502" s="185"/>
      <c r="S502" s="185"/>
    </row>
    <row r="503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 t="str">
        <f>IFERROR(__xludf.DUMMYFUNCTION("""COMPUTED_VALUE"""),"")</f>
        <v/>
      </c>
      <c r="K503" s="185" t="str">
        <f>IFERROR(__xludf.DUMMYFUNCTION("""COMPUTED_VALUE"""),"")</f>
        <v/>
      </c>
      <c r="L503" s="185" t="s">
        <v>898</v>
      </c>
      <c r="M503" s="185" t="s">
        <v>898</v>
      </c>
      <c r="N503" s="185"/>
      <c r="O503" s="185"/>
      <c r="P503" s="185"/>
      <c r="Q503" s="185"/>
      <c r="R503" s="185"/>
      <c r="S503" s="185"/>
    </row>
    <row r="504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 t="str">
        <f>IFERROR(__xludf.DUMMYFUNCTION("""COMPUTED_VALUE"""),"")</f>
        <v/>
      </c>
      <c r="K504" s="185" t="str">
        <f>IFERROR(__xludf.DUMMYFUNCTION("""COMPUTED_VALUE"""),"")</f>
        <v/>
      </c>
      <c r="L504" s="185" t="s">
        <v>898</v>
      </c>
      <c r="M504" s="185" t="s">
        <v>898</v>
      </c>
      <c r="N504" s="185"/>
      <c r="O504" s="185"/>
      <c r="P504" s="185"/>
      <c r="Q504" s="185"/>
      <c r="R504" s="185"/>
      <c r="S504" s="185"/>
    </row>
    <row r="505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 t="str">
        <f>IFERROR(__xludf.DUMMYFUNCTION("""COMPUTED_VALUE"""),"")</f>
        <v/>
      </c>
      <c r="K505" s="185" t="str">
        <f>IFERROR(__xludf.DUMMYFUNCTION("""COMPUTED_VALUE"""),"")</f>
        <v/>
      </c>
      <c r="L505" s="185" t="s">
        <v>898</v>
      </c>
      <c r="M505" s="185" t="s">
        <v>898</v>
      </c>
      <c r="N505" s="185"/>
      <c r="O505" s="185"/>
      <c r="P505" s="185"/>
      <c r="Q505" s="185"/>
      <c r="R505" s="185"/>
      <c r="S505" s="185"/>
    </row>
    <row r="506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 t="str">
        <f>IFERROR(__xludf.DUMMYFUNCTION("""COMPUTED_VALUE"""),"")</f>
        <v/>
      </c>
      <c r="K506" s="185" t="str">
        <f>IFERROR(__xludf.DUMMYFUNCTION("""COMPUTED_VALUE"""),"")</f>
        <v/>
      </c>
      <c r="L506" s="185" t="s">
        <v>898</v>
      </c>
      <c r="M506" s="185" t="s">
        <v>898</v>
      </c>
      <c r="N506" s="185"/>
      <c r="O506" s="185"/>
      <c r="P506" s="185"/>
      <c r="Q506" s="185"/>
      <c r="R506" s="185"/>
      <c r="S506" s="185"/>
    </row>
    <row r="507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 t="str">
        <f>IFERROR(__xludf.DUMMYFUNCTION("""COMPUTED_VALUE"""),"")</f>
        <v/>
      </c>
      <c r="K507" s="185" t="str">
        <f>IFERROR(__xludf.DUMMYFUNCTION("""COMPUTED_VALUE"""),"")</f>
        <v/>
      </c>
      <c r="L507" s="185" t="s">
        <v>898</v>
      </c>
      <c r="M507" s="185" t="s">
        <v>898</v>
      </c>
      <c r="N507" s="185"/>
      <c r="O507" s="185"/>
      <c r="P507" s="185"/>
      <c r="Q507" s="185"/>
      <c r="R507" s="185"/>
      <c r="S507" s="185"/>
    </row>
    <row r="508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 t="str">
        <f>IFERROR(__xludf.DUMMYFUNCTION("""COMPUTED_VALUE"""),"")</f>
        <v/>
      </c>
      <c r="K508" s="185" t="str">
        <f>IFERROR(__xludf.DUMMYFUNCTION("""COMPUTED_VALUE"""),"")</f>
        <v/>
      </c>
      <c r="L508" s="185" t="s">
        <v>898</v>
      </c>
      <c r="M508" s="185" t="s">
        <v>898</v>
      </c>
      <c r="N508" s="185"/>
      <c r="O508" s="185"/>
      <c r="P508" s="185"/>
      <c r="Q508" s="185"/>
      <c r="R508" s="185"/>
      <c r="S508" s="185"/>
    </row>
    <row r="509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 t="str">
        <f>IFERROR(__xludf.DUMMYFUNCTION("""COMPUTED_VALUE"""),"")</f>
        <v/>
      </c>
      <c r="K509" s="185" t="str">
        <f>IFERROR(__xludf.DUMMYFUNCTION("""COMPUTED_VALUE"""),"")</f>
        <v/>
      </c>
      <c r="L509" s="185" t="s">
        <v>898</v>
      </c>
      <c r="M509" s="185" t="s">
        <v>898</v>
      </c>
      <c r="N509" s="185"/>
      <c r="O509" s="185"/>
      <c r="P509" s="185"/>
      <c r="Q509" s="185"/>
      <c r="R509" s="185"/>
      <c r="S509" s="185"/>
    </row>
    <row r="510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 t="str">
        <f>IFERROR(__xludf.DUMMYFUNCTION("""COMPUTED_VALUE"""),"")</f>
        <v/>
      </c>
      <c r="K510" s="185" t="str">
        <f>IFERROR(__xludf.DUMMYFUNCTION("""COMPUTED_VALUE"""),"")</f>
        <v/>
      </c>
      <c r="L510" s="185" t="s">
        <v>898</v>
      </c>
      <c r="M510" s="185" t="s">
        <v>898</v>
      </c>
      <c r="N510" s="185"/>
      <c r="O510" s="185"/>
      <c r="P510" s="185"/>
      <c r="Q510" s="185"/>
      <c r="R510" s="185"/>
      <c r="S510" s="185"/>
    </row>
    <row r="51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 t="str">
        <f>IFERROR(__xludf.DUMMYFUNCTION("""COMPUTED_VALUE"""),"")</f>
        <v/>
      </c>
      <c r="K511" s="185" t="str">
        <f>IFERROR(__xludf.DUMMYFUNCTION("""COMPUTED_VALUE"""),"")</f>
        <v/>
      </c>
      <c r="L511" s="185" t="s">
        <v>898</v>
      </c>
      <c r="M511" s="185" t="s">
        <v>898</v>
      </c>
      <c r="N511" s="185"/>
      <c r="O511" s="185"/>
      <c r="P511" s="185"/>
      <c r="Q511" s="185"/>
      <c r="R511" s="185"/>
      <c r="S511" s="185"/>
    </row>
    <row r="512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 t="str">
        <f>IFERROR(__xludf.DUMMYFUNCTION("""COMPUTED_VALUE"""),"")</f>
        <v/>
      </c>
      <c r="K512" s="185" t="str">
        <f>IFERROR(__xludf.DUMMYFUNCTION("""COMPUTED_VALUE"""),"")</f>
        <v/>
      </c>
      <c r="L512" s="185" t="s">
        <v>898</v>
      </c>
      <c r="M512" s="185" t="s">
        <v>898</v>
      </c>
      <c r="N512" s="185"/>
      <c r="O512" s="185"/>
      <c r="P512" s="185"/>
      <c r="Q512" s="185"/>
      <c r="R512" s="185"/>
      <c r="S512" s="185"/>
    </row>
    <row r="513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 t="str">
        <f>IFERROR(__xludf.DUMMYFUNCTION("""COMPUTED_VALUE"""),"")</f>
        <v/>
      </c>
      <c r="K513" s="185" t="str">
        <f>IFERROR(__xludf.DUMMYFUNCTION("""COMPUTED_VALUE"""),"")</f>
        <v/>
      </c>
      <c r="L513" s="185" t="s">
        <v>898</v>
      </c>
      <c r="M513" s="185" t="s">
        <v>898</v>
      </c>
      <c r="N513" s="185"/>
      <c r="O513" s="185"/>
      <c r="P513" s="185"/>
      <c r="Q513" s="185"/>
      <c r="R513" s="185"/>
      <c r="S513" s="185"/>
    </row>
    <row r="514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 t="str">
        <f>IFERROR(__xludf.DUMMYFUNCTION("""COMPUTED_VALUE"""),"")</f>
        <v/>
      </c>
      <c r="K514" s="185" t="str">
        <f>IFERROR(__xludf.DUMMYFUNCTION("""COMPUTED_VALUE"""),"")</f>
        <v/>
      </c>
      <c r="L514" s="185" t="s">
        <v>898</v>
      </c>
      <c r="M514" s="185" t="s">
        <v>898</v>
      </c>
      <c r="N514" s="185"/>
      <c r="O514" s="185"/>
      <c r="P514" s="185"/>
      <c r="Q514" s="185"/>
      <c r="R514" s="185"/>
      <c r="S514" s="185"/>
    </row>
    <row r="515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 t="str">
        <f>IFERROR(__xludf.DUMMYFUNCTION("""COMPUTED_VALUE"""),"")</f>
        <v/>
      </c>
      <c r="K515" s="185" t="str">
        <f>IFERROR(__xludf.DUMMYFUNCTION("""COMPUTED_VALUE"""),"")</f>
        <v/>
      </c>
      <c r="L515" s="185" t="s">
        <v>898</v>
      </c>
      <c r="M515" s="185" t="s">
        <v>898</v>
      </c>
      <c r="N515" s="185"/>
      <c r="O515" s="185"/>
      <c r="P515" s="185"/>
      <c r="Q515" s="185"/>
      <c r="R515" s="185"/>
      <c r="S515" s="185"/>
    </row>
    <row r="516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 t="str">
        <f>IFERROR(__xludf.DUMMYFUNCTION("""COMPUTED_VALUE"""),"")</f>
        <v/>
      </c>
      <c r="K516" s="185" t="str">
        <f>IFERROR(__xludf.DUMMYFUNCTION("""COMPUTED_VALUE"""),"")</f>
        <v/>
      </c>
      <c r="L516" s="185" t="s">
        <v>898</v>
      </c>
      <c r="M516" s="185" t="s">
        <v>898</v>
      </c>
      <c r="N516" s="185"/>
      <c r="O516" s="185"/>
      <c r="P516" s="185"/>
      <c r="Q516" s="185"/>
      <c r="R516" s="185"/>
      <c r="S516" s="185"/>
    </row>
    <row r="517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 t="str">
        <f>IFERROR(__xludf.DUMMYFUNCTION("""COMPUTED_VALUE"""),"")</f>
        <v/>
      </c>
      <c r="K517" s="185" t="str">
        <f>IFERROR(__xludf.DUMMYFUNCTION("""COMPUTED_VALUE"""),"")</f>
        <v/>
      </c>
      <c r="L517" s="185" t="s">
        <v>898</v>
      </c>
      <c r="M517" s="185" t="s">
        <v>898</v>
      </c>
      <c r="N517" s="185"/>
      <c r="O517" s="185"/>
      <c r="P517" s="185"/>
      <c r="Q517" s="185"/>
      <c r="R517" s="185"/>
      <c r="S517" s="185"/>
    </row>
    <row r="518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 t="str">
        <f>IFERROR(__xludf.DUMMYFUNCTION("""COMPUTED_VALUE"""),"")</f>
        <v/>
      </c>
      <c r="K518" s="185" t="str">
        <f>IFERROR(__xludf.DUMMYFUNCTION("""COMPUTED_VALUE"""),"")</f>
        <v/>
      </c>
      <c r="L518" s="185" t="s">
        <v>898</v>
      </c>
      <c r="M518" s="185" t="s">
        <v>898</v>
      </c>
      <c r="N518" s="185"/>
      <c r="O518" s="185"/>
      <c r="P518" s="185"/>
      <c r="Q518" s="185"/>
      <c r="R518" s="185"/>
      <c r="S518" s="185"/>
    </row>
    <row r="519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 t="str">
        <f>IFERROR(__xludf.DUMMYFUNCTION("""COMPUTED_VALUE"""),"")</f>
        <v/>
      </c>
      <c r="K519" s="185" t="str">
        <f>IFERROR(__xludf.DUMMYFUNCTION("""COMPUTED_VALUE"""),"")</f>
        <v/>
      </c>
      <c r="L519" s="185" t="s">
        <v>898</v>
      </c>
      <c r="M519" s="185" t="s">
        <v>898</v>
      </c>
      <c r="N519" s="185"/>
      <c r="O519" s="185"/>
      <c r="P519" s="185"/>
      <c r="Q519" s="185"/>
      <c r="R519" s="185"/>
      <c r="S519" s="185"/>
    </row>
    <row r="520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 t="str">
        <f>IFERROR(__xludf.DUMMYFUNCTION("""COMPUTED_VALUE"""),"")</f>
        <v/>
      </c>
      <c r="K520" s="185" t="str">
        <f>IFERROR(__xludf.DUMMYFUNCTION("""COMPUTED_VALUE"""),"")</f>
        <v/>
      </c>
      <c r="L520" s="185" t="s">
        <v>898</v>
      </c>
      <c r="M520" s="185" t="s">
        <v>898</v>
      </c>
      <c r="N520" s="185"/>
      <c r="O520" s="185"/>
      <c r="P520" s="185"/>
      <c r="Q520" s="185"/>
      <c r="R520" s="185"/>
      <c r="S520" s="185"/>
    </row>
    <row r="52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 t="str">
        <f>IFERROR(__xludf.DUMMYFUNCTION("""COMPUTED_VALUE"""),"")</f>
        <v/>
      </c>
      <c r="K521" s="185" t="str">
        <f>IFERROR(__xludf.DUMMYFUNCTION("""COMPUTED_VALUE"""),"")</f>
        <v/>
      </c>
      <c r="L521" s="185" t="s">
        <v>898</v>
      </c>
      <c r="M521" s="185" t="s">
        <v>898</v>
      </c>
      <c r="N521" s="185"/>
      <c r="O521" s="185"/>
      <c r="P521" s="185"/>
      <c r="Q521" s="185"/>
      <c r="R521" s="185"/>
      <c r="S521" s="185"/>
    </row>
    <row r="522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 t="str">
        <f>IFERROR(__xludf.DUMMYFUNCTION("""COMPUTED_VALUE"""),"")</f>
        <v/>
      </c>
      <c r="K522" s="185" t="str">
        <f>IFERROR(__xludf.DUMMYFUNCTION("""COMPUTED_VALUE"""),"")</f>
        <v/>
      </c>
      <c r="L522" s="185" t="s">
        <v>898</v>
      </c>
      <c r="M522" s="185" t="s">
        <v>898</v>
      </c>
      <c r="N522" s="185"/>
      <c r="O522" s="185"/>
      <c r="P522" s="185"/>
      <c r="Q522" s="185"/>
      <c r="R522" s="185"/>
      <c r="S522" s="185"/>
    </row>
    <row r="523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 t="str">
        <f>IFERROR(__xludf.DUMMYFUNCTION("""COMPUTED_VALUE"""),"")</f>
        <v/>
      </c>
      <c r="K523" s="185" t="str">
        <f>IFERROR(__xludf.DUMMYFUNCTION("""COMPUTED_VALUE"""),"")</f>
        <v/>
      </c>
      <c r="L523" s="185" t="s">
        <v>898</v>
      </c>
      <c r="M523" s="185" t="s">
        <v>898</v>
      </c>
      <c r="N523" s="185"/>
      <c r="O523" s="185"/>
      <c r="P523" s="185"/>
      <c r="Q523" s="185"/>
      <c r="R523" s="185"/>
      <c r="S523" s="185"/>
    </row>
    <row r="524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 t="str">
        <f>IFERROR(__xludf.DUMMYFUNCTION("""COMPUTED_VALUE"""),"")</f>
        <v/>
      </c>
      <c r="K524" s="185" t="str">
        <f>IFERROR(__xludf.DUMMYFUNCTION("""COMPUTED_VALUE"""),"")</f>
        <v/>
      </c>
      <c r="L524" s="185" t="s">
        <v>898</v>
      </c>
      <c r="M524" s="185" t="s">
        <v>898</v>
      </c>
      <c r="N524" s="185"/>
      <c r="O524" s="185"/>
      <c r="P524" s="185"/>
      <c r="Q524" s="185"/>
      <c r="R524" s="185"/>
      <c r="S524" s="185"/>
    </row>
    <row r="525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 t="str">
        <f>IFERROR(__xludf.DUMMYFUNCTION("""COMPUTED_VALUE"""),"")</f>
        <v/>
      </c>
      <c r="K525" s="185" t="str">
        <f>IFERROR(__xludf.DUMMYFUNCTION("""COMPUTED_VALUE"""),"")</f>
        <v/>
      </c>
      <c r="L525" s="185" t="s">
        <v>898</v>
      </c>
      <c r="M525" s="185" t="s">
        <v>898</v>
      </c>
      <c r="N525" s="185"/>
      <c r="O525" s="185"/>
      <c r="P525" s="185"/>
      <c r="Q525" s="185"/>
      <c r="R525" s="185"/>
      <c r="S525" s="185"/>
    </row>
    <row r="526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 t="str">
        <f>IFERROR(__xludf.DUMMYFUNCTION("""COMPUTED_VALUE"""),"")</f>
        <v/>
      </c>
      <c r="K526" s="185" t="str">
        <f>IFERROR(__xludf.DUMMYFUNCTION("""COMPUTED_VALUE"""),"")</f>
        <v/>
      </c>
      <c r="L526" s="185" t="s">
        <v>898</v>
      </c>
      <c r="M526" s="185" t="s">
        <v>898</v>
      </c>
      <c r="N526" s="185"/>
      <c r="O526" s="185"/>
      <c r="P526" s="185"/>
      <c r="Q526" s="185"/>
      <c r="R526" s="185"/>
      <c r="S526" s="185"/>
    </row>
    <row r="527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 t="str">
        <f>IFERROR(__xludf.DUMMYFUNCTION("""COMPUTED_VALUE"""),"")</f>
        <v/>
      </c>
      <c r="K527" s="185" t="str">
        <f>IFERROR(__xludf.DUMMYFUNCTION("""COMPUTED_VALUE"""),"")</f>
        <v/>
      </c>
      <c r="L527" s="185" t="s">
        <v>898</v>
      </c>
      <c r="M527" s="185" t="s">
        <v>898</v>
      </c>
      <c r="N527" s="185"/>
      <c r="O527" s="185"/>
      <c r="P527" s="185"/>
      <c r="Q527" s="185"/>
      <c r="R527" s="185"/>
      <c r="S527" s="185"/>
    </row>
    <row r="528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 t="str">
        <f>IFERROR(__xludf.DUMMYFUNCTION("""COMPUTED_VALUE"""),"")</f>
        <v/>
      </c>
      <c r="K528" s="185" t="str">
        <f>IFERROR(__xludf.DUMMYFUNCTION("""COMPUTED_VALUE"""),"")</f>
        <v/>
      </c>
      <c r="L528" s="185" t="s">
        <v>898</v>
      </c>
      <c r="M528" s="185" t="s">
        <v>898</v>
      </c>
      <c r="N528" s="185"/>
      <c r="O528" s="185"/>
      <c r="P528" s="185"/>
      <c r="Q528" s="185"/>
      <c r="R528" s="185"/>
      <c r="S528" s="185"/>
    </row>
    <row r="529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 t="str">
        <f>IFERROR(__xludf.DUMMYFUNCTION("""COMPUTED_VALUE"""),"")</f>
        <v/>
      </c>
      <c r="K529" s="185" t="str">
        <f>IFERROR(__xludf.DUMMYFUNCTION("""COMPUTED_VALUE"""),"")</f>
        <v/>
      </c>
      <c r="L529" s="185" t="s">
        <v>898</v>
      </c>
      <c r="M529" s="185" t="s">
        <v>898</v>
      </c>
      <c r="N529" s="185"/>
      <c r="O529" s="185"/>
      <c r="P529" s="185"/>
      <c r="Q529" s="185"/>
      <c r="R529" s="185"/>
      <c r="S529" s="185"/>
    </row>
    <row r="530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 t="str">
        <f>IFERROR(__xludf.DUMMYFUNCTION("""COMPUTED_VALUE"""),"")</f>
        <v/>
      </c>
      <c r="K530" s="185" t="str">
        <f>IFERROR(__xludf.DUMMYFUNCTION("""COMPUTED_VALUE"""),"")</f>
        <v/>
      </c>
      <c r="L530" s="185" t="s">
        <v>898</v>
      </c>
      <c r="M530" s="185" t="s">
        <v>898</v>
      </c>
      <c r="N530" s="185"/>
      <c r="O530" s="185"/>
      <c r="P530" s="185"/>
      <c r="Q530" s="185"/>
      <c r="R530" s="185"/>
      <c r="S530" s="185"/>
    </row>
    <row r="53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 t="str">
        <f>IFERROR(__xludf.DUMMYFUNCTION("""COMPUTED_VALUE"""),"")</f>
        <v/>
      </c>
      <c r="K531" s="185" t="str">
        <f>IFERROR(__xludf.DUMMYFUNCTION("""COMPUTED_VALUE"""),"")</f>
        <v/>
      </c>
      <c r="L531" s="185" t="s">
        <v>898</v>
      </c>
      <c r="M531" s="185" t="s">
        <v>898</v>
      </c>
      <c r="N531" s="185"/>
      <c r="O531" s="185"/>
      <c r="P531" s="185"/>
      <c r="Q531" s="185"/>
      <c r="R531" s="185"/>
      <c r="S531" s="185"/>
    </row>
    <row r="532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 t="str">
        <f>IFERROR(__xludf.DUMMYFUNCTION("""COMPUTED_VALUE"""),"")</f>
        <v/>
      </c>
      <c r="K532" s="185" t="str">
        <f>IFERROR(__xludf.DUMMYFUNCTION("""COMPUTED_VALUE"""),"")</f>
        <v/>
      </c>
      <c r="L532" s="185" t="s">
        <v>898</v>
      </c>
      <c r="M532" s="185" t="s">
        <v>898</v>
      </c>
      <c r="N532" s="185"/>
      <c r="O532" s="185"/>
      <c r="P532" s="185"/>
      <c r="Q532" s="185"/>
      <c r="R532" s="185"/>
      <c r="S532" s="185"/>
    </row>
    <row r="533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 t="str">
        <f>IFERROR(__xludf.DUMMYFUNCTION("""COMPUTED_VALUE"""),"")</f>
        <v/>
      </c>
      <c r="K533" s="185" t="str">
        <f>IFERROR(__xludf.DUMMYFUNCTION("""COMPUTED_VALUE"""),"")</f>
        <v/>
      </c>
      <c r="L533" s="185" t="s">
        <v>898</v>
      </c>
      <c r="M533" s="185" t="s">
        <v>898</v>
      </c>
      <c r="N533" s="185"/>
      <c r="O533" s="185"/>
      <c r="P533" s="185"/>
      <c r="Q533" s="185"/>
      <c r="R533" s="185"/>
      <c r="S533" s="185"/>
    </row>
    <row r="534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 t="str">
        <f>IFERROR(__xludf.DUMMYFUNCTION("""COMPUTED_VALUE"""),"")</f>
        <v/>
      </c>
      <c r="K534" s="185" t="str">
        <f>IFERROR(__xludf.DUMMYFUNCTION("""COMPUTED_VALUE"""),"")</f>
        <v/>
      </c>
      <c r="L534" s="185" t="s">
        <v>898</v>
      </c>
      <c r="M534" s="185" t="s">
        <v>898</v>
      </c>
      <c r="N534" s="185"/>
      <c r="O534" s="185"/>
      <c r="P534" s="185"/>
      <c r="Q534" s="185"/>
      <c r="R534" s="185"/>
      <c r="S534" s="185"/>
    </row>
    <row r="535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 t="str">
        <f>IFERROR(__xludf.DUMMYFUNCTION("""COMPUTED_VALUE"""),"")</f>
        <v/>
      </c>
      <c r="K535" s="185" t="str">
        <f>IFERROR(__xludf.DUMMYFUNCTION("""COMPUTED_VALUE"""),"")</f>
        <v/>
      </c>
      <c r="L535" s="185" t="s">
        <v>898</v>
      </c>
      <c r="M535" s="185" t="s">
        <v>898</v>
      </c>
      <c r="N535" s="185"/>
      <c r="O535" s="185"/>
      <c r="P535" s="185"/>
      <c r="Q535" s="185"/>
      <c r="R535" s="185"/>
      <c r="S535" s="185"/>
    </row>
    <row r="536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 t="str">
        <f>IFERROR(__xludf.DUMMYFUNCTION("""COMPUTED_VALUE"""),"")</f>
        <v/>
      </c>
      <c r="K536" s="185" t="str">
        <f>IFERROR(__xludf.DUMMYFUNCTION("""COMPUTED_VALUE"""),"")</f>
        <v/>
      </c>
      <c r="L536" s="185" t="s">
        <v>898</v>
      </c>
      <c r="M536" s="185" t="s">
        <v>898</v>
      </c>
      <c r="N536" s="185"/>
      <c r="O536" s="185"/>
      <c r="P536" s="185"/>
      <c r="Q536" s="185"/>
      <c r="R536" s="185"/>
      <c r="S536" s="185"/>
    </row>
    <row r="537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 t="str">
        <f>IFERROR(__xludf.DUMMYFUNCTION("""COMPUTED_VALUE"""),"")</f>
        <v/>
      </c>
      <c r="K537" s="185" t="str">
        <f>IFERROR(__xludf.DUMMYFUNCTION("""COMPUTED_VALUE"""),"")</f>
        <v/>
      </c>
      <c r="L537" s="185" t="s">
        <v>898</v>
      </c>
      <c r="M537" s="185" t="s">
        <v>898</v>
      </c>
      <c r="N537" s="185"/>
      <c r="O537" s="185"/>
      <c r="P537" s="185"/>
      <c r="Q537" s="185"/>
      <c r="R537" s="185"/>
      <c r="S537" s="185"/>
    </row>
    <row r="538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 t="str">
        <f>IFERROR(__xludf.DUMMYFUNCTION("""COMPUTED_VALUE"""),"")</f>
        <v/>
      </c>
      <c r="K538" s="185" t="str">
        <f>IFERROR(__xludf.DUMMYFUNCTION("""COMPUTED_VALUE"""),"")</f>
        <v/>
      </c>
      <c r="L538" s="185" t="s">
        <v>898</v>
      </c>
      <c r="M538" s="185" t="s">
        <v>898</v>
      </c>
      <c r="N538" s="185"/>
      <c r="O538" s="185"/>
      <c r="P538" s="185"/>
      <c r="Q538" s="185"/>
      <c r="R538" s="185"/>
      <c r="S538" s="185"/>
    </row>
    <row r="539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 t="str">
        <f>IFERROR(__xludf.DUMMYFUNCTION("""COMPUTED_VALUE"""),"")</f>
        <v/>
      </c>
      <c r="K539" s="185" t="str">
        <f>IFERROR(__xludf.DUMMYFUNCTION("""COMPUTED_VALUE"""),"")</f>
        <v/>
      </c>
      <c r="L539" s="185" t="s">
        <v>898</v>
      </c>
      <c r="M539" s="185" t="s">
        <v>898</v>
      </c>
      <c r="N539" s="185"/>
      <c r="O539" s="185"/>
      <c r="P539" s="185"/>
      <c r="Q539" s="185"/>
      <c r="R539" s="185"/>
      <c r="S539" s="185"/>
    </row>
    <row r="540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 t="str">
        <f>IFERROR(__xludf.DUMMYFUNCTION("""COMPUTED_VALUE"""),"")</f>
        <v/>
      </c>
      <c r="K540" s="185" t="str">
        <f>IFERROR(__xludf.DUMMYFUNCTION("""COMPUTED_VALUE"""),"")</f>
        <v/>
      </c>
      <c r="L540" s="185" t="s">
        <v>898</v>
      </c>
      <c r="M540" s="185" t="s">
        <v>898</v>
      </c>
      <c r="N540" s="185"/>
      <c r="O540" s="185"/>
      <c r="P540" s="185"/>
      <c r="Q540" s="185"/>
      <c r="R540" s="185"/>
      <c r="S540" s="185"/>
    </row>
    <row r="54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 t="str">
        <f>IFERROR(__xludf.DUMMYFUNCTION("""COMPUTED_VALUE"""),"")</f>
        <v/>
      </c>
      <c r="K541" s="185" t="str">
        <f>IFERROR(__xludf.DUMMYFUNCTION("""COMPUTED_VALUE"""),"")</f>
        <v/>
      </c>
      <c r="L541" s="185" t="s">
        <v>898</v>
      </c>
      <c r="M541" s="185" t="s">
        <v>898</v>
      </c>
      <c r="N541" s="185"/>
      <c r="O541" s="185"/>
      <c r="P541" s="185"/>
      <c r="Q541" s="185"/>
      <c r="R541" s="185"/>
      <c r="S541" s="185"/>
    </row>
    <row r="542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 t="str">
        <f>IFERROR(__xludf.DUMMYFUNCTION("""COMPUTED_VALUE"""),"")</f>
        <v/>
      </c>
      <c r="K542" s="185" t="str">
        <f>IFERROR(__xludf.DUMMYFUNCTION("""COMPUTED_VALUE"""),"")</f>
        <v/>
      </c>
      <c r="L542" s="185" t="s">
        <v>898</v>
      </c>
      <c r="M542" s="185" t="s">
        <v>898</v>
      </c>
      <c r="N542" s="185"/>
      <c r="O542" s="185"/>
      <c r="P542" s="185"/>
      <c r="Q542" s="185"/>
      <c r="R542" s="185"/>
      <c r="S542" s="185"/>
    </row>
    <row r="543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 t="str">
        <f>IFERROR(__xludf.DUMMYFUNCTION("""COMPUTED_VALUE"""),"")</f>
        <v/>
      </c>
      <c r="K543" s="185" t="str">
        <f>IFERROR(__xludf.DUMMYFUNCTION("""COMPUTED_VALUE"""),"")</f>
        <v/>
      </c>
      <c r="L543" s="185" t="s">
        <v>898</v>
      </c>
      <c r="M543" s="185" t="s">
        <v>898</v>
      </c>
      <c r="N543" s="185"/>
      <c r="O543" s="185"/>
      <c r="P543" s="185"/>
      <c r="Q543" s="185"/>
      <c r="R543" s="185"/>
      <c r="S543" s="185"/>
    </row>
    <row r="544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 t="str">
        <f>IFERROR(__xludf.DUMMYFUNCTION("""COMPUTED_VALUE"""),"")</f>
        <v/>
      </c>
      <c r="K544" s="185" t="str">
        <f>IFERROR(__xludf.DUMMYFUNCTION("""COMPUTED_VALUE"""),"")</f>
        <v/>
      </c>
      <c r="L544" s="185" t="s">
        <v>898</v>
      </c>
      <c r="M544" s="185" t="s">
        <v>898</v>
      </c>
      <c r="N544" s="185"/>
      <c r="O544" s="185"/>
      <c r="P544" s="185"/>
      <c r="Q544" s="185"/>
      <c r="R544" s="185"/>
      <c r="S544" s="185"/>
    </row>
    <row r="545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 t="str">
        <f>IFERROR(__xludf.DUMMYFUNCTION("""COMPUTED_VALUE"""),"")</f>
        <v/>
      </c>
      <c r="K545" s="185" t="str">
        <f>IFERROR(__xludf.DUMMYFUNCTION("""COMPUTED_VALUE"""),"")</f>
        <v/>
      </c>
      <c r="L545" s="185" t="s">
        <v>898</v>
      </c>
      <c r="M545" s="185" t="s">
        <v>898</v>
      </c>
      <c r="N545" s="185"/>
      <c r="O545" s="185"/>
      <c r="P545" s="185"/>
      <c r="Q545" s="185"/>
      <c r="R545" s="185"/>
      <c r="S545" s="185"/>
    </row>
    <row r="546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 t="str">
        <f>IFERROR(__xludf.DUMMYFUNCTION("""COMPUTED_VALUE"""),"")</f>
        <v/>
      </c>
      <c r="K546" s="185" t="str">
        <f>IFERROR(__xludf.DUMMYFUNCTION("""COMPUTED_VALUE"""),"")</f>
        <v/>
      </c>
      <c r="L546" s="185" t="s">
        <v>898</v>
      </c>
      <c r="M546" s="185" t="s">
        <v>898</v>
      </c>
      <c r="N546" s="185"/>
      <c r="O546" s="185"/>
      <c r="P546" s="185"/>
      <c r="Q546" s="185"/>
      <c r="R546" s="185"/>
      <c r="S546" s="185"/>
    </row>
    <row r="547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 t="str">
        <f>IFERROR(__xludf.DUMMYFUNCTION("""COMPUTED_VALUE"""),"")</f>
        <v/>
      </c>
      <c r="K547" s="185" t="str">
        <f>IFERROR(__xludf.DUMMYFUNCTION("""COMPUTED_VALUE"""),"")</f>
        <v/>
      </c>
      <c r="L547" s="185" t="s">
        <v>898</v>
      </c>
      <c r="M547" s="185" t="s">
        <v>898</v>
      </c>
      <c r="N547" s="185"/>
      <c r="O547" s="185"/>
      <c r="P547" s="185"/>
      <c r="Q547" s="185"/>
      <c r="R547" s="185"/>
      <c r="S547" s="185"/>
    </row>
    <row r="548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 t="str">
        <f>IFERROR(__xludf.DUMMYFUNCTION("""COMPUTED_VALUE"""),"")</f>
        <v/>
      </c>
      <c r="K548" s="185" t="str">
        <f>IFERROR(__xludf.DUMMYFUNCTION("""COMPUTED_VALUE"""),"")</f>
        <v/>
      </c>
      <c r="L548" s="185" t="s">
        <v>898</v>
      </c>
      <c r="M548" s="185" t="s">
        <v>898</v>
      </c>
      <c r="N548" s="185"/>
      <c r="O548" s="185"/>
      <c r="P548" s="185"/>
      <c r="Q548" s="185"/>
      <c r="R548" s="185"/>
      <c r="S548" s="185"/>
    </row>
    <row r="549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 t="str">
        <f>IFERROR(__xludf.DUMMYFUNCTION("""COMPUTED_VALUE"""),"")</f>
        <v/>
      </c>
      <c r="K549" s="185" t="str">
        <f>IFERROR(__xludf.DUMMYFUNCTION("""COMPUTED_VALUE"""),"")</f>
        <v/>
      </c>
      <c r="L549" s="185" t="s">
        <v>898</v>
      </c>
      <c r="M549" s="185" t="s">
        <v>898</v>
      </c>
      <c r="N549" s="185"/>
      <c r="O549" s="185"/>
      <c r="P549" s="185"/>
      <c r="Q549" s="185"/>
      <c r="R549" s="185"/>
      <c r="S549" s="185"/>
    </row>
    <row r="550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 t="str">
        <f>IFERROR(__xludf.DUMMYFUNCTION("""COMPUTED_VALUE"""),"")</f>
        <v/>
      </c>
      <c r="K550" s="185" t="str">
        <f>IFERROR(__xludf.DUMMYFUNCTION("""COMPUTED_VALUE"""),"")</f>
        <v/>
      </c>
      <c r="L550" s="185" t="s">
        <v>898</v>
      </c>
      <c r="M550" s="185" t="s">
        <v>898</v>
      </c>
      <c r="N550" s="185"/>
      <c r="O550" s="185"/>
      <c r="P550" s="185"/>
      <c r="Q550" s="185"/>
      <c r="R550" s="185"/>
      <c r="S550" s="185"/>
    </row>
    <row r="55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 t="str">
        <f>IFERROR(__xludf.DUMMYFUNCTION("""COMPUTED_VALUE"""),"")</f>
        <v/>
      </c>
      <c r="K551" s="185" t="str">
        <f>IFERROR(__xludf.DUMMYFUNCTION("""COMPUTED_VALUE"""),"")</f>
        <v/>
      </c>
      <c r="L551" s="185" t="s">
        <v>898</v>
      </c>
      <c r="M551" s="185" t="s">
        <v>898</v>
      </c>
      <c r="N551" s="185"/>
      <c r="O551" s="185"/>
      <c r="P551" s="185"/>
      <c r="Q551" s="185"/>
      <c r="R551" s="185"/>
      <c r="S551" s="185"/>
    </row>
    <row r="552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 t="str">
        <f>IFERROR(__xludf.DUMMYFUNCTION("""COMPUTED_VALUE"""),"")</f>
        <v/>
      </c>
      <c r="K552" s="185" t="str">
        <f>IFERROR(__xludf.DUMMYFUNCTION("""COMPUTED_VALUE"""),"")</f>
        <v/>
      </c>
      <c r="L552" s="185" t="s">
        <v>898</v>
      </c>
      <c r="M552" s="185" t="s">
        <v>898</v>
      </c>
      <c r="N552" s="185"/>
      <c r="O552" s="185"/>
      <c r="P552" s="185"/>
      <c r="Q552" s="185"/>
      <c r="R552" s="185"/>
      <c r="S552" s="185"/>
    </row>
    <row r="553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 t="str">
        <f>IFERROR(__xludf.DUMMYFUNCTION("""COMPUTED_VALUE"""),"")</f>
        <v/>
      </c>
      <c r="K553" s="185" t="str">
        <f>IFERROR(__xludf.DUMMYFUNCTION("""COMPUTED_VALUE"""),"")</f>
        <v/>
      </c>
      <c r="L553" s="185" t="s">
        <v>898</v>
      </c>
      <c r="M553" s="185" t="s">
        <v>898</v>
      </c>
      <c r="N553" s="185"/>
      <c r="O553" s="185"/>
      <c r="P553" s="185"/>
      <c r="Q553" s="185"/>
      <c r="R553" s="185"/>
      <c r="S553" s="185"/>
    </row>
    <row r="554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 t="str">
        <f>IFERROR(__xludf.DUMMYFUNCTION("""COMPUTED_VALUE"""),"")</f>
        <v/>
      </c>
      <c r="K554" s="185" t="str">
        <f>IFERROR(__xludf.DUMMYFUNCTION("""COMPUTED_VALUE"""),"")</f>
        <v/>
      </c>
      <c r="L554" s="185" t="s">
        <v>898</v>
      </c>
      <c r="M554" s="185" t="s">
        <v>898</v>
      </c>
      <c r="N554" s="185"/>
      <c r="O554" s="185"/>
      <c r="P554" s="185"/>
      <c r="Q554" s="185"/>
      <c r="R554" s="185"/>
      <c r="S554" s="185"/>
    </row>
    <row r="555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 t="str">
        <f>IFERROR(__xludf.DUMMYFUNCTION("""COMPUTED_VALUE"""),"")</f>
        <v/>
      </c>
      <c r="K555" s="185" t="str">
        <f>IFERROR(__xludf.DUMMYFUNCTION("""COMPUTED_VALUE"""),"")</f>
        <v/>
      </c>
      <c r="L555" s="185" t="s">
        <v>898</v>
      </c>
      <c r="M555" s="185" t="s">
        <v>898</v>
      </c>
      <c r="N555" s="185"/>
      <c r="O555" s="185"/>
      <c r="P555" s="185"/>
      <c r="Q555" s="185"/>
      <c r="R555" s="185"/>
      <c r="S555" s="185"/>
    </row>
    <row r="556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 t="str">
        <f>IFERROR(__xludf.DUMMYFUNCTION("""COMPUTED_VALUE"""),"")</f>
        <v/>
      </c>
      <c r="K556" s="185" t="str">
        <f>IFERROR(__xludf.DUMMYFUNCTION("""COMPUTED_VALUE"""),"")</f>
        <v/>
      </c>
      <c r="L556" s="185" t="s">
        <v>898</v>
      </c>
      <c r="M556" s="185" t="s">
        <v>898</v>
      </c>
      <c r="N556" s="185"/>
      <c r="O556" s="185"/>
      <c r="P556" s="185"/>
      <c r="Q556" s="185"/>
      <c r="R556" s="185"/>
      <c r="S556" s="185"/>
    </row>
    <row r="557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 t="str">
        <f>IFERROR(__xludf.DUMMYFUNCTION("""COMPUTED_VALUE"""),"")</f>
        <v/>
      </c>
      <c r="K557" s="185" t="str">
        <f>IFERROR(__xludf.DUMMYFUNCTION("""COMPUTED_VALUE"""),"")</f>
        <v/>
      </c>
      <c r="L557" s="185" t="s">
        <v>898</v>
      </c>
      <c r="M557" s="185" t="s">
        <v>898</v>
      </c>
      <c r="N557" s="185"/>
      <c r="O557" s="185"/>
      <c r="P557" s="185"/>
      <c r="Q557" s="185"/>
      <c r="R557" s="185"/>
      <c r="S557" s="185"/>
    </row>
    <row r="558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 t="str">
        <f>IFERROR(__xludf.DUMMYFUNCTION("""COMPUTED_VALUE"""),"")</f>
        <v/>
      </c>
      <c r="K558" s="185" t="str">
        <f>IFERROR(__xludf.DUMMYFUNCTION("""COMPUTED_VALUE"""),"")</f>
        <v/>
      </c>
      <c r="L558" s="185" t="s">
        <v>898</v>
      </c>
      <c r="M558" s="185" t="s">
        <v>898</v>
      </c>
      <c r="N558" s="185"/>
      <c r="O558" s="185"/>
      <c r="P558" s="185"/>
      <c r="Q558" s="185"/>
      <c r="R558" s="185"/>
      <c r="S558" s="185"/>
    </row>
    <row r="559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 t="str">
        <f>IFERROR(__xludf.DUMMYFUNCTION("""COMPUTED_VALUE"""),"")</f>
        <v/>
      </c>
      <c r="K559" s="185" t="str">
        <f>IFERROR(__xludf.DUMMYFUNCTION("""COMPUTED_VALUE"""),"")</f>
        <v/>
      </c>
      <c r="L559" s="185" t="s">
        <v>898</v>
      </c>
      <c r="M559" s="185" t="s">
        <v>898</v>
      </c>
      <c r="N559" s="185"/>
      <c r="O559" s="185"/>
      <c r="P559" s="185"/>
      <c r="Q559" s="185"/>
      <c r="R559" s="185"/>
      <c r="S559" s="185"/>
    </row>
    <row r="560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 t="str">
        <f>IFERROR(__xludf.DUMMYFUNCTION("""COMPUTED_VALUE"""),"")</f>
        <v/>
      </c>
      <c r="K560" s="185" t="str">
        <f>IFERROR(__xludf.DUMMYFUNCTION("""COMPUTED_VALUE"""),"")</f>
        <v/>
      </c>
      <c r="L560" s="185" t="s">
        <v>898</v>
      </c>
      <c r="M560" s="185" t="s">
        <v>898</v>
      </c>
      <c r="N560" s="185"/>
      <c r="O560" s="185"/>
      <c r="P560" s="185"/>
      <c r="Q560" s="185"/>
      <c r="R560" s="185"/>
      <c r="S560" s="185"/>
    </row>
    <row r="56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 t="str">
        <f>IFERROR(__xludf.DUMMYFUNCTION("""COMPUTED_VALUE"""),"")</f>
        <v/>
      </c>
      <c r="K561" s="185" t="str">
        <f>IFERROR(__xludf.DUMMYFUNCTION("""COMPUTED_VALUE"""),"")</f>
        <v/>
      </c>
      <c r="L561" s="185" t="s">
        <v>898</v>
      </c>
      <c r="M561" s="185" t="s">
        <v>898</v>
      </c>
      <c r="N561" s="185"/>
      <c r="O561" s="185"/>
      <c r="P561" s="185"/>
      <c r="Q561" s="185"/>
      <c r="R561" s="185"/>
      <c r="S561" s="185"/>
    </row>
    <row r="562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 t="str">
        <f>IFERROR(__xludf.DUMMYFUNCTION("""COMPUTED_VALUE"""),"")</f>
        <v/>
      </c>
      <c r="K562" s="185" t="str">
        <f>IFERROR(__xludf.DUMMYFUNCTION("""COMPUTED_VALUE"""),"")</f>
        <v/>
      </c>
      <c r="L562" s="185" t="s">
        <v>898</v>
      </c>
      <c r="M562" s="185" t="s">
        <v>898</v>
      </c>
      <c r="N562" s="185"/>
      <c r="O562" s="185"/>
      <c r="P562" s="185"/>
      <c r="Q562" s="185"/>
      <c r="R562" s="185"/>
      <c r="S562" s="185"/>
    </row>
    <row r="563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 t="str">
        <f>IFERROR(__xludf.DUMMYFUNCTION("""COMPUTED_VALUE"""),"")</f>
        <v/>
      </c>
      <c r="K563" s="185" t="str">
        <f>IFERROR(__xludf.DUMMYFUNCTION("""COMPUTED_VALUE"""),"")</f>
        <v/>
      </c>
      <c r="L563" s="185" t="s">
        <v>898</v>
      </c>
      <c r="M563" s="185" t="s">
        <v>898</v>
      </c>
      <c r="N563" s="185"/>
      <c r="O563" s="185"/>
      <c r="P563" s="185"/>
      <c r="Q563" s="185"/>
      <c r="R563" s="185"/>
      <c r="S563" s="185"/>
    </row>
    <row r="564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 t="str">
        <f>IFERROR(__xludf.DUMMYFUNCTION("""COMPUTED_VALUE"""),"")</f>
        <v/>
      </c>
      <c r="K564" s="185" t="str">
        <f>IFERROR(__xludf.DUMMYFUNCTION("""COMPUTED_VALUE"""),"")</f>
        <v/>
      </c>
      <c r="L564" s="185" t="s">
        <v>898</v>
      </c>
      <c r="M564" s="185" t="s">
        <v>898</v>
      </c>
      <c r="N564" s="185"/>
      <c r="O564" s="185"/>
      <c r="P564" s="185"/>
      <c r="Q564" s="185"/>
      <c r="R564" s="185"/>
      <c r="S564" s="185"/>
    </row>
    <row r="565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 t="str">
        <f>IFERROR(__xludf.DUMMYFUNCTION("""COMPUTED_VALUE"""),"")</f>
        <v/>
      </c>
      <c r="K565" s="185" t="str">
        <f>IFERROR(__xludf.DUMMYFUNCTION("""COMPUTED_VALUE"""),"")</f>
        <v/>
      </c>
      <c r="L565" s="185" t="s">
        <v>898</v>
      </c>
      <c r="M565" s="185" t="s">
        <v>898</v>
      </c>
      <c r="N565" s="185"/>
      <c r="O565" s="185"/>
      <c r="P565" s="185"/>
      <c r="Q565" s="185"/>
      <c r="R565" s="185"/>
      <c r="S565" s="185"/>
    </row>
    <row r="566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 t="str">
        <f>IFERROR(__xludf.DUMMYFUNCTION("""COMPUTED_VALUE"""),"")</f>
        <v/>
      </c>
      <c r="K566" s="185" t="str">
        <f>IFERROR(__xludf.DUMMYFUNCTION("""COMPUTED_VALUE"""),"")</f>
        <v/>
      </c>
      <c r="L566" s="185" t="s">
        <v>898</v>
      </c>
      <c r="M566" s="185" t="s">
        <v>898</v>
      </c>
      <c r="N566" s="185"/>
      <c r="O566" s="185"/>
      <c r="P566" s="185"/>
      <c r="Q566" s="185"/>
      <c r="R566" s="185"/>
      <c r="S566" s="185"/>
    </row>
    <row r="567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 t="str">
        <f>IFERROR(__xludf.DUMMYFUNCTION("""COMPUTED_VALUE"""),"")</f>
        <v/>
      </c>
      <c r="K567" s="185" t="str">
        <f>IFERROR(__xludf.DUMMYFUNCTION("""COMPUTED_VALUE"""),"")</f>
        <v/>
      </c>
      <c r="L567" s="185" t="s">
        <v>898</v>
      </c>
      <c r="M567" s="185" t="s">
        <v>898</v>
      </c>
      <c r="N567" s="185"/>
      <c r="O567" s="185"/>
      <c r="P567" s="185"/>
      <c r="Q567" s="185"/>
      <c r="R567" s="185"/>
      <c r="S567" s="185"/>
    </row>
    <row r="568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 t="str">
        <f>IFERROR(__xludf.DUMMYFUNCTION("""COMPUTED_VALUE"""),"")</f>
        <v/>
      </c>
      <c r="K568" s="185" t="str">
        <f>IFERROR(__xludf.DUMMYFUNCTION("""COMPUTED_VALUE"""),"")</f>
        <v/>
      </c>
      <c r="L568" s="185" t="s">
        <v>898</v>
      </c>
      <c r="M568" s="185" t="s">
        <v>898</v>
      </c>
      <c r="N568" s="185"/>
      <c r="O568" s="185"/>
      <c r="P568" s="185"/>
      <c r="Q568" s="185"/>
      <c r="R568" s="185"/>
      <c r="S568" s="185"/>
    </row>
    <row r="569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 t="str">
        <f>IFERROR(__xludf.DUMMYFUNCTION("""COMPUTED_VALUE"""),"")</f>
        <v/>
      </c>
      <c r="K569" s="185" t="str">
        <f>IFERROR(__xludf.DUMMYFUNCTION("""COMPUTED_VALUE"""),"")</f>
        <v/>
      </c>
      <c r="L569" s="185" t="s">
        <v>898</v>
      </c>
      <c r="M569" s="185" t="s">
        <v>898</v>
      </c>
      <c r="N569" s="185"/>
      <c r="O569" s="185"/>
      <c r="P569" s="185"/>
      <c r="Q569" s="185"/>
      <c r="R569" s="185"/>
      <c r="S569" s="185"/>
    </row>
    <row r="570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 t="str">
        <f>IFERROR(__xludf.DUMMYFUNCTION("""COMPUTED_VALUE"""),"")</f>
        <v/>
      </c>
      <c r="K570" s="185" t="str">
        <f>IFERROR(__xludf.DUMMYFUNCTION("""COMPUTED_VALUE"""),"")</f>
        <v/>
      </c>
      <c r="L570" s="185" t="s">
        <v>898</v>
      </c>
      <c r="M570" s="185" t="s">
        <v>898</v>
      </c>
      <c r="N570" s="185"/>
      <c r="O570" s="185"/>
      <c r="P570" s="185"/>
      <c r="Q570" s="185"/>
      <c r="R570" s="185"/>
      <c r="S570" s="185"/>
    </row>
    <row r="57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 t="str">
        <f>IFERROR(__xludf.DUMMYFUNCTION("""COMPUTED_VALUE"""),"")</f>
        <v/>
      </c>
      <c r="K571" s="185" t="str">
        <f>IFERROR(__xludf.DUMMYFUNCTION("""COMPUTED_VALUE"""),"")</f>
        <v/>
      </c>
      <c r="L571" s="185" t="s">
        <v>898</v>
      </c>
      <c r="M571" s="185" t="s">
        <v>898</v>
      </c>
      <c r="N571" s="185"/>
      <c r="O571" s="185"/>
      <c r="P571" s="185"/>
      <c r="Q571" s="185"/>
      <c r="R571" s="185"/>
      <c r="S571" s="185"/>
    </row>
    <row r="572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 t="str">
        <f>IFERROR(__xludf.DUMMYFUNCTION("""COMPUTED_VALUE"""),"")</f>
        <v/>
      </c>
      <c r="K572" s="185" t="str">
        <f>IFERROR(__xludf.DUMMYFUNCTION("""COMPUTED_VALUE"""),"")</f>
        <v/>
      </c>
      <c r="L572" s="185" t="s">
        <v>898</v>
      </c>
      <c r="M572" s="185" t="s">
        <v>898</v>
      </c>
      <c r="N572" s="185"/>
      <c r="O572" s="185"/>
      <c r="P572" s="185"/>
      <c r="Q572" s="185"/>
      <c r="R572" s="185"/>
      <c r="S572" s="185"/>
    </row>
    <row r="573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 t="str">
        <f>IFERROR(__xludf.DUMMYFUNCTION("""COMPUTED_VALUE"""),"")</f>
        <v/>
      </c>
      <c r="K573" s="185" t="str">
        <f>IFERROR(__xludf.DUMMYFUNCTION("""COMPUTED_VALUE"""),"")</f>
        <v/>
      </c>
      <c r="L573" s="185" t="s">
        <v>898</v>
      </c>
      <c r="M573" s="185" t="s">
        <v>898</v>
      </c>
      <c r="N573" s="185"/>
      <c r="O573" s="185"/>
      <c r="P573" s="185"/>
      <c r="Q573" s="185"/>
      <c r="R573" s="185"/>
      <c r="S573" s="185"/>
    </row>
    <row r="574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 t="str">
        <f>IFERROR(__xludf.DUMMYFUNCTION("""COMPUTED_VALUE"""),"")</f>
        <v/>
      </c>
      <c r="K574" s="185" t="str">
        <f>IFERROR(__xludf.DUMMYFUNCTION("""COMPUTED_VALUE"""),"")</f>
        <v/>
      </c>
      <c r="L574" s="185" t="s">
        <v>898</v>
      </c>
      <c r="M574" s="185" t="s">
        <v>898</v>
      </c>
      <c r="N574" s="185"/>
      <c r="O574" s="185"/>
      <c r="P574" s="185"/>
      <c r="Q574" s="185"/>
      <c r="R574" s="185"/>
      <c r="S574" s="185"/>
    </row>
    <row r="575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 t="str">
        <f>IFERROR(__xludf.DUMMYFUNCTION("""COMPUTED_VALUE"""),"")</f>
        <v/>
      </c>
      <c r="K575" s="185" t="str">
        <f>IFERROR(__xludf.DUMMYFUNCTION("""COMPUTED_VALUE"""),"")</f>
        <v/>
      </c>
      <c r="L575" s="185" t="s">
        <v>898</v>
      </c>
      <c r="M575" s="185" t="s">
        <v>898</v>
      </c>
      <c r="N575" s="185"/>
      <c r="O575" s="185"/>
      <c r="P575" s="185"/>
      <c r="Q575" s="185"/>
      <c r="R575" s="185"/>
      <c r="S575" s="185"/>
    </row>
    <row r="576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 t="str">
        <f>IFERROR(__xludf.DUMMYFUNCTION("""COMPUTED_VALUE"""),"")</f>
        <v/>
      </c>
      <c r="K576" s="185" t="str">
        <f>IFERROR(__xludf.DUMMYFUNCTION("""COMPUTED_VALUE"""),"")</f>
        <v/>
      </c>
      <c r="L576" s="185" t="s">
        <v>898</v>
      </c>
      <c r="M576" s="185" t="s">
        <v>898</v>
      </c>
      <c r="N576" s="185"/>
      <c r="O576" s="185"/>
      <c r="P576" s="185"/>
      <c r="Q576" s="185"/>
      <c r="R576" s="185"/>
      <c r="S576" s="185"/>
    </row>
    <row r="577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 t="str">
        <f>IFERROR(__xludf.DUMMYFUNCTION("""COMPUTED_VALUE"""),"")</f>
        <v/>
      </c>
      <c r="K577" s="185" t="str">
        <f>IFERROR(__xludf.DUMMYFUNCTION("""COMPUTED_VALUE"""),"")</f>
        <v/>
      </c>
      <c r="L577" s="185" t="s">
        <v>898</v>
      </c>
      <c r="M577" s="185" t="s">
        <v>898</v>
      </c>
      <c r="N577" s="185"/>
      <c r="O577" s="185"/>
      <c r="P577" s="185"/>
      <c r="Q577" s="185"/>
      <c r="R577" s="185"/>
      <c r="S577" s="185"/>
    </row>
    <row r="578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 t="str">
        <f>IFERROR(__xludf.DUMMYFUNCTION("""COMPUTED_VALUE"""),"")</f>
        <v/>
      </c>
      <c r="K578" s="185" t="str">
        <f>IFERROR(__xludf.DUMMYFUNCTION("""COMPUTED_VALUE"""),"")</f>
        <v/>
      </c>
      <c r="L578" s="185" t="s">
        <v>898</v>
      </c>
      <c r="M578" s="185" t="s">
        <v>898</v>
      </c>
      <c r="N578" s="185"/>
      <c r="O578" s="185"/>
      <c r="P578" s="185"/>
      <c r="Q578" s="185"/>
      <c r="R578" s="185"/>
      <c r="S578" s="185"/>
    </row>
    <row r="579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 t="str">
        <f>IFERROR(__xludf.DUMMYFUNCTION("""COMPUTED_VALUE"""),"")</f>
        <v/>
      </c>
      <c r="K579" s="185" t="str">
        <f>IFERROR(__xludf.DUMMYFUNCTION("""COMPUTED_VALUE"""),"")</f>
        <v/>
      </c>
      <c r="L579" s="185" t="s">
        <v>898</v>
      </c>
      <c r="M579" s="185" t="s">
        <v>898</v>
      </c>
      <c r="N579" s="185"/>
      <c r="O579" s="185"/>
      <c r="P579" s="185"/>
      <c r="Q579" s="185"/>
      <c r="R579" s="185"/>
      <c r="S579" s="185"/>
    </row>
    <row r="580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 t="str">
        <f>IFERROR(__xludf.DUMMYFUNCTION("""COMPUTED_VALUE"""),"")</f>
        <v/>
      </c>
      <c r="K580" s="185" t="str">
        <f>IFERROR(__xludf.DUMMYFUNCTION("""COMPUTED_VALUE"""),"")</f>
        <v/>
      </c>
      <c r="L580" s="185" t="s">
        <v>898</v>
      </c>
      <c r="M580" s="185" t="s">
        <v>898</v>
      </c>
      <c r="N580" s="185"/>
      <c r="O580" s="185"/>
      <c r="P580" s="185"/>
      <c r="Q580" s="185"/>
      <c r="R580" s="185"/>
      <c r="S580" s="185"/>
    </row>
    <row r="58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 t="str">
        <f>IFERROR(__xludf.DUMMYFUNCTION("""COMPUTED_VALUE"""),"")</f>
        <v/>
      </c>
      <c r="K581" s="185" t="str">
        <f>IFERROR(__xludf.DUMMYFUNCTION("""COMPUTED_VALUE"""),"")</f>
        <v/>
      </c>
      <c r="L581" s="185" t="s">
        <v>898</v>
      </c>
      <c r="M581" s="185" t="s">
        <v>898</v>
      </c>
      <c r="N581" s="185"/>
      <c r="O581" s="185"/>
      <c r="P581" s="185"/>
      <c r="Q581" s="185"/>
      <c r="R581" s="185"/>
      <c r="S581" s="185"/>
    </row>
    <row r="582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 t="str">
        <f>IFERROR(__xludf.DUMMYFUNCTION("""COMPUTED_VALUE"""),"")</f>
        <v/>
      </c>
      <c r="K582" s="185" t="str">
        <f>IFERROR(__xludf.DUMMYFUNCTION("""COMPUTED_VALUE"""),"")</f>
        <v/>
      </c>
      <c r="L582" s="185" t="s">
        <v>898</v>
      </c>
      <c r="M582" s="185" t="s">
        <v>898</v>
      </c>
      <c r="N582" s="185"/>
      <c r="O582" s="185"/>
      <c r="P582" s="185"/>
      <c r="Q582" s="185"/>
      <c r="R582" s="185"/>
      <c r="S582" s="185"/>
    </row>
    <row r="583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 t="str">
        <f>IFERROR(__xludf.DUMMYFUNCTION("""COMPUTED_VALUE"""),"")</f>
        <v/>
      </c>
      <c r="K583" s="185" t="str">
        <f>IFERROR(__xludf.DUMMYFUNCTION("""COMPUTED_VALUE"""),"")</f>
        <v/>
      </c>
      <c r="L583" s="185" t="s">
        <v>898</v>
      </c>
      <c r="M583" s="185" t="s">
        <v>898</v>
      </c>
      <c r="N583" s="185"/>
      <c r="O583" s="185"/>
      <c r="P583" s="185"/>
      <c r="Q583" s="185"/>
      <c r="R583" s="185"/>
      <c r="S583" s="185"/>
    </row>
    <row r="584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 t="str">
        <f>IFERROR(__xludf.DUMMYFUNCTION("""COMPUTED_VALUE"""),"")</f>
        <v/>
      </c>
      <c r="K584" s="185" t="str">
        <f>IFERROR(__xludf.DUMMYFUNCTION("""COMPUTED_VALUE"""),"")</f>
        <v/>
      </c>
      <c r="L584" s="185" t="s">
        <v>898</v>
      </c>
      <c r="M584" s="185" t="s">
        <v>898</v>
      </c>
      <c r="N584" s="185"/>
      <c r="O584" s="185"/>
      <c r="P584" s="185"/>
      <c r="Q584" s="185"/>
      <c r="R584" s="185"/>
      <c r="S584" s="185"/>
    </row>
    <row r="585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 t="str">
        <f>IFERROR(__xludf.DUMMYFUNCTION("""COMPUTED_VALUE"""),"")</f>
        <v/>
      </c>
      <c r="K585" s="185" t="str">
        <f>IFERROR(__xludf.DUMMYFUNCTION("""COMPUTED_VALUE"""),"")</f>
        <v/>
      </c>
      <c r="L585" s="185" t="s">
        <v>898</v>
      </c>
      <c r="M585" s="185" t="s">
        <v>898</v>
      </c>
      <c r="N585" s="185"/>
      <c r="O585" s="185"/>
      <c r="P585" s="185"/>
      <c r="Q585" s="185"/>
      <c r="R585" s="185"/>
      <c r="S585" s="185"/>
    </row>
    <row r="586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 t="str">
        <f>IFERROR(__xludf.DUMMYFUNCTION("""COMPUTED_VALUE"""),"")</f>
        <v/>
      </c>
      <c r="K586" s="185" t="str">
        <f>IFERROR(__xludf.DUMMYFUNCTION("""COMPUTED_VALUE"""),"")</f>
        <v/>
      </c>
      <c r="L586" s="185" t="s">
        <v>898</v>
      </c>
      <c r="M586" s="185" t="s">
        <v>898</v>
      </c>
      <c r="N586" s="185"/>
      <c r="O586" s="185"/>
      <c r="P586" s="185"/>
      <c r="Q586" s="185"/>
      <c r="R586" s="185"/>
      <c r="S586" s="185"/>
    </row>
  </sheetData>
  <conditionalFormatting sqref="A2:B586">
    <cfRule type="expression" dxfId="4" priority="1">
      <formula>$H2:$H586=0</formula>
    </cfRule>
  </conditionalFormatting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899</v>
      </c>
      <c r="B1" s="1"/>
      <c r="C1" s="1"/>
      <c r="D1" s="1" t="s">
        <v>900</v>
      </c>
      <c r="J1" s="1" t="s">
        <v>901</v>
      </c>
    </row>
    <row r="2">
      <c r="A2" t="str">
        <f>IFERROR(__xludf.DUMMYFUNCTION("FILTER('Current Week'!C:C,'Current Week'!F:F&lt;&gt;"""")"),"Team")</f>
        <v>Team</v>
      </c>
      <c r="B2" t="str">
        <f>IFERROR(__xludf.DUMMYFUNCTION("FILTER('Current Week'!F:F,'Current Week'!F:F&lt;&gt;"""")"),"matchup")</f>
        <v>matchup</v>
      </c>
      <c r="D2" t="str">
        <f>IFERROR(__xludf.DUMMYFUNCTION("byrow(unique({if(not(isHiddenSheet(""Tuesday"")),flatten(Tuesday!D2:AAA10882),"""");if(not(isHiddenSheet(""Wednesday"")),flatten(Wednesday!D2:AAA10882),"""");if(not(isHiddenSheet(""Thursday"")),flatten(Thursday!D2:AAA10882),"""");if(not(isHiddenSheet(""Fr"&amp;"iday"")),flatten(Friday!D2:AAA10882),"""");if(not(isHiddenSheet(""Saturday"")),flatten(Saturday!D2:AAA10882),"""");if(not(isHiddenSheet(""Sunday"")),flatten(Sunday!D2:AAA10882),"""");if(not(isHiddenSheet(""Monday"")),flatten(Monday!D2:AAA10882),"""")}),la"&amp;"mbda(rw,iferror(arrayformula(trim(split(REGEXREPLACE(rw,""(\([0-9]{1,2}\) )"",""""),"" at "",0,1))))))"),"")</f>
        <v/>
      </c>
      <c r="G2" s="1" t="str">
        <f>IFERROR(__xludf.DUMMYFUNCTION("unique(flatten(Saturday!D3:AAA10882))"),"")</f>
        <v/>
      </c>
      <c r="J2" t="str">
        <f>IFERROR(__xludf.DUMMYFUNCTION("iferror(FILTER(A3:B10882,C3:C10882=FALSE),""all have games"")"),"Auburn")</f>
        <v>Auburn</v>
      </c>
      <c r="K2" t="str">
        <f>IFERROR(__xludf.DUMMYFUNCTION("""COMPUTED_VALUE"""),"(10) Alabama 27 Auburn 20")</f>
        <v>(10) Alabama 27 Auburn 20</v>
      </c>
    </row>
    <row r="3">
      <c r="A3" t="str">
        <f>IFERROR(__xludf.DUMMYFUNCTION("""COMPUTED_VALUE"""),"Auburn")</f>
        <v>Auburn</v>
      </c>
      <c r="B3" t="str">
        <f>IFERROR(__xludf.DUMMYFUNCTION("""COMPUTED_VALUE"""),"(10) Alabama 27 Auburn 20")</f>
        <v>(10) Alabama 27 Auburn 20</v>
      </c>
      <c r="C3" t="b">
        <f t="array" ref="C3:C10882">if(A3:A10882="","",byrow(A3:A10882,lambda(rw,or(not(iserror(match(rw,D:D,0))),not(iserror(match(rw,E:E,0)))))))</f>
        <v>0</v>
      </c>
      <c r="J3" t="str">
        <f>IFERROR(__xludf.DUMMYFUNCTION("""COMPUTED_VALUE"""),"North Carolina")</f>
        <v>North Carolina</v>
      </c>
      <c r="K3" t="str">
        <f>IFERROR(__xludf.DUMMYFUNCTION("""COMPUTED_VALUE"""),"North Carolina 19 NC State 42")</f>
        <v>North Carolina 19 NC State 42</v>
      </c>
    </row>
    <row r="4">
      <c r="A4" t="str">
        <f>IFERROR(__xludf.DUMMYFUNCTION("""COMPUTED_VALUE"""),"North Carolina")</f>
        <v>North Carolina</v>
      </c>
      <c r="B4" t="str">
        <f>IFERROR(__xludf.DUMMYFUNCTION("""COMPUTED_VALUE"""),"North Carolina 19 NC State 42")</f>
        <v>North Carolina 19 NC State 42</v>
      </c>
      <c r="C4" t="b">
        <v>0</v>
      </c>
      <c r="J4" t="str">
        <f>IFERROR(__xludf.DUMMYFUNCTION("""COMPUTED_VALUE"""),"Rice")</f>
        <v>Rice</v>
      </c>
      <c r="K4" t="str">
        <f>IFERROR(__xludf.DUMMYFUNCTION("""COMPUTED_VALUE"""),"Rice 3 South Florida 52")</f>
        <v>Rice 3 South Florida 52</v>
      </c>
    </row>
    <row r="5">
      <c r="A5" t="str">
        <f>IFERROR(__xludf.DUMMYFUNCTION("""COMPUTED_VALUE"""),"Rice")</f>
        <v>Rice</v>
      </c>
      <c r="B5" t="str">
        <f>IFERROR(__xludf.DUMMYFUNCTION("""COMPUTED_VALUE"""),"Rice 3 South Florida 52")</f>
        <v>Rice 3 South Florida 52</v>
      </c>
      <c r="C5" t="b">
        <v>0</v>
      </c>
      <c r="J5" t="str">
        <f>IFERROR(__xludf.DUMMYFUNCTION("""COMPUTED_VALUE"""),"Penn State")</f>
        <v>Penn State</v>
      </c>
      <c r="K5" t="str">
        <f>IFERROR(__xludf.DUMMYFUNCTION("""COMPUTED_VALUE"""),"Penn State 40 Rutgers 36")</f>
        <v>Penn State 40 Rutgers 36</v>
      </c>
    </row>
    <row r="6">
      <c r="A6" t="str">
        <f>IFERROR(__xludf.DUMMYFUNCTION("""COMPUTED_VALUE"""),"Penn State")</f>
        <v>Penn State</v>
      </c>
      <c r="B6" t="str">
        <f>IFERROR(__xludf.DUMMYFUNCTION("""COMPUTED_VALUE"""),"Penn State 40 Rutgers 36")</f>
        <v>Penn State 40 Rutgers 36</v>
      </c>
      <c r="C6" t="b">
        <v>0</v>
      </c>
      <c r="J6" t="str">
        <f>IFERROR(__xludf.DUMMYFUNCTION("""COMPUTED_VALUE"""),"Appalachian State")</f>
        <v>Appalachian State</v>
      </c>
      <c r="K6" t="str">
        <f>IFERROR(__xludf.DUMMYFUNCTION("""COMPUTED_VALUE"""),"Arkansas State 30 Appalachian State 29")</f>
        <v>Arkansas State 30 Appalachian State 29</v>
      </c>
    </row>
    <row r="7">
      <c r="A7" t="str">
        <f>IFERROR(__xludf.DUMMYFUNCTION("""COMPUTED_VALUE"""),"Appalachian State")</f>
        <v>Appalachian State</v>
      </c>
      <c r="B7" t="str">
        <f>IFERROR(__xludf.DUMMYFUNCTION("""COMPUTED_VALUE"""),"Arkansas State 30 Appalachian State 29")</f>
        <v>Arkansas State 30 Appalachian State 29</v>
      </c>
      <c r="C7" t="b">
        <v>0</v>
      </c>
      <c r="J7" t="str">
        <f>IFERROR(__xludf.DUMMYFUNCTION("""COMPUTED_VALUE"""),"Texas Tech")</f>
        <v>Texas Tech</v>
      </c>
      <c r="K7" t="str">
        <f>IFERROR(__xludf.DUMMYFUNCTION("""COMPUTED_VALUE"""),"(7) Texas Tech 49 West Virginia 0")</f>
        <v>(7) Texas Tech 49 West Virginia 0</v>
      </c>
    </row>
    <row r="8">
      <c r="A8" t="str">
        <f>IFERROR(__xludf.DUMMYFUNCTION("""COMPUTED_VALUE"""),"Texas Tech")</f>
        <v>Texas Tech</v>
      </c>
      <c r="B8" t="str">
        <f>IFERROR(__xludf.DUMMYFUNCTION("""COMPUTED_VALUE"""),"(7) Texas Tech 49 West Virginia 0")</f>
        <v>(7) Texas Tech 49 West Virginia 0</v>
      </c>
      <c r="C8" t="b">
        <v>0</v>
      </c>
      <c r="J8" t="str">
        <f>IFERROR(__xludf.DUMMYFUNCTION("""COMPUTED_VALUE"""),"Arizona State")</f>
        <v>Arizona State</v>
      </c>
      <c r="K8" t="str">
        <f>IFERROR(__xludf.DUMMYFUNCTION("""COMPUTED_VALUE"""),"Arizona 23 Arizona State 7")</f>
        <v>Arizona 23 Arizona State 7</v>
      </c>
    </row>
    <row r="9">
      <c r="A9" t="str">
        <f>IFERROR(__xludf.DUMMYFUNCTION("""COMPUTED_VALUE"""),"Arizona State")</f>
        <v>Arizona State</v>
      </c>
      <c r="B9" t="str">
        <f>IFERROR(__xludf.DUMMYFUNCTION("""COMPUTED_VALUE"""),"Arizona 23 Arizona State 7")</f>
        <v>Arizona 23 Arizona State 7</v>
      </c>
      <c r="C9" t="b">
        <v>0</v>
      </c>
      <c r="J9" t="str">
        <f>IFERROR(__xludf.DUMMYFUNCTION("""COMPUTED_VALUE"""),"Air Force")</f>
        <v>Air Force</v>
      </c>
      <c r="K9" t="str">
        <f>IFERROR(__xludf.DUMMYFUNCTION("""COMPUTED_VALUE"""),"Air Force 42 Colorado State 21")</f>
        <v>Air Force 42 Colorado State 21</v>
      </c>
    </row>
    <row r="10">
      <c r="A10" t="str">
        <f>IFERROR(__xludf.DUMMYFUNCTION("""COMPUTED_VALUE"""),"Air Force")</f>
        <v>Air Force</v>
      </c>
      <c r="B10" t="str">
        <f>IFERROR(__xludf.DUMMYFUNCTION("""COMPUTED_VALUE"""),"Air Force 42 Colorado State 21")</f>
        <v>Air Force 42 Colorado State 21</v>
      </c>
      <c r="C10" t="b">
        <v>0</v>
      </c>
      <c r="J10" t="str">
        <f>IFERROR(__xludf.DUMMYFUNCTION("""COMPUTED_VALUE"""),"UMASS")</f>
        <v>UMASS</v>
      </c>
      <c r="K10" t="str">
        <f>IFERROR(__xludf.DUMMYFUNCTION("""COMPUTED_VALUE"""),"Bowling Green 45 UMASS 14")</f>
        <v>Bowling Green 45 UMASS 14</v>
      </c>
    </row>
    <row r="11">
      <c r="A11" t="str">
        <f>IFERROR(__xludf.DUMMYFUNCTION("""COMPUTED_VALUE"""),"UMASS")</f>
        <v>UMASS</v>
      </c>
      <c r="B11" t="str">
        <f>IFERROR(__xludf.DUMMYFUNCTION("""COMPUTED_VALUE"""),"Bowling Green 45 UMASS 14")</f>
        <v>Bowling Green 45 UMASS 14</v>
      </c>
      <c r="C11" t="b">
        <v>0</v>
      </c>
      <c r="J11" t="str">
        <f>IFERROR(__xludf.DUMMYFUNCTION("""COMPUTED_VALUE"""),"New Mexico State")</f>
        <v>New Mexico State</v>
      </c>
      <c r="K11" t="str">
        <f>IFERROR(__xludf.DUMMYFUNCTION("""COMPUTED_VALUE"""),"Middle Tennessee 31 New Mexico State 24")</f>
        <v>Middle Tennessee 31 New Mexico State 24</v>
      </c>
    </row>
    <row r="12">
      <c r="A12" t="str">
        <f>IFERROR(__xludf.DUMMYFUNCTION("""COMPUTED_VALUE"""),"New Mexico State")</f>
        <v>New Mexico State</v>
      </c>
      <c r="B12" t="str">
        <f>IFERROR(__xludf.DUMMYFUNCTION("""COMPUTED_VALUE"""),"Middle Tennessee 31 New Mexico State 24")</f>
        <v>Middle Tennessee 31 New Mexico State 24</v>
      </c>
      <c r="C12" t="b">
        <v>0</v>
      </c>
      <c r="J12" t="str">
        <f>IFERROR(__xludf.DUMMYFUNCTION("""COMPUTED_VALUE"""),"NC State")</f>
        <v>NC State</v>
      </c>
      <c r="K12" t="str">
        <f>IFERROR(__xludf.DUMMYFUNCTION("""COMPUTED_VALUE"""),"North Carolina 19 NC State 42")</f>
        <v>North Carolina 19 NC State 42</v>
      </c>
    </row>
    <row r="13">
      <c r="A13" t="str">
        <f>IFERROR(__xludf.DUMMYFUNCTION("""COMPUTED_VALUE"""),"NC State")</f>
        <v>NC State</v>
      </c>
      <c r="B13" t="str">
        <f>IFERROR(__xludf.DUMMYFUNCTION("""COMPUTED_VALUE"""),"North Carolina 19 NC State 42")</f>
        <v>North Carolina 19 NC State 42</v>
      </c>
      <c r="C13" t="b">
        <v>0</v>
      </c>
      <c r="J13" t="str">
        <f>IFERROR(__xludf.DUMMYFUNCTION("""COMPUTED_VALUE"""),"USC")</f>
        <v>USC</v>
      </c>
      <c r="K13" t="str">
        <f>IFERROR(__xludf.DUMMYFUNCTION("""COMPUTED_VALUE"""),"UCLA 10 (20) USC 29")</f>
        <v>UCLA 10 (20) USC 29</v>
      </c>
    </row>
    <row r="14">
      <c r="A14" t="str">
        <f>IFERROR(__xludf.DUMMYFUNCTION("""COMPUTED_VALUE"""),"USC")</f>
        <v>USC</v>
      </c>
      <c r="B14" t="str">
        <f>IFERROR(__xludf.DUMMYFUNCTION("""COMPUTED_VALUE"""),"UCLA 10 (20) USC 29")</f>
        <v>UCLA 10 (20) USC 29</v>
      </c>
      <c r="C14" t="b">
        <v>0</v>
      </c>
      <c r="J14" t="str">
        <f>IFERROR(__xludf.DUMMYFUNCTION("""COMPUTED_VALUE"""),"TCU")</f>
        <v>TCU</v>
      </c>
      <c r="K14" t="str">
        <f>IFERROR(__xludf.DUMMYFUNCTION("""COMPUTED_VALUE"""),"Cincinnati 23 TCU 45")</f>
        <v>Cincinnati 23 TCU 45</v>
      </c>
    </row>
    <row r="15">
      <c r="A15" t="str">
        <f>IFERROR(__xludf.DUMMYFUNCTION("""COMPUTED_VALUE"""),"TCU")</f>
        <v>TCU</v>
      </c>
      <c r="B15" t="str">
        <f>IFERROR(__xludf.DUMMYFUNCTION("""COMPUTED_VALUE"""),"Cincinnati 23 TCU 45")</f>
        <v>Cincinnati 23 TCU 45</v>
      </c>
      <c r="C15" t="b">
        <v>0</v>
      </c>
      <c r="J15" t="str">
        <f>IFERROR(__xludf.DUMMYFUNCTION("""COMPUTED_VALUE"""),"Oklahoma")</f>
        <v>Oklahoma</v>
      </c>
      <c r="K15" t="str">
        <f>IFERROR(__xludf.DUMMYFUNCTION("""COMPUTED_VALUE"""),"LSU 13 (8) Oklahoma 17")</f>
        <v>LSU 13 (8) Oklahoma 17</v>
      </c>
    </row>
    <row r="16">
      <c r="A16" t="str">
        <f>IFERROR(__xludf.DUMMYFUNCTION("""COMPUTED_VALUE"""),"Oklahoma")</f>
        <v>Oklahoma</v>
      </c>
      <c r="B16" t="str">
        <f>IFERROR(__xludf.DUMMYFUNCTION("""COMPUTED_VALUE"""),"LSU 13 (8) Oklahoma 17")</f>
        <v>LSU 13 (8) Oklahoma 17</v>
      </c>
      <c r="C16" t="b">
        <v>0</v>
      </c>
      <c r="J16" t="str">
        <f>IFERROR(__xludf.DUMMYFUNCTION("""COMPUTED_VALUE"""),"Texas State")</f>
        <v>Texas State</v>
      </c>
      <c r="K16" t="str">
        <f>IFERROR(__xludf.DUMMYFUNCTION("""COMPUTED_VALUE"""),"South Alabama 26 Texas State 49")</f>
        <v>South Alabama 26 Texas State 49</v>
      </c>
    </row>
    <row r="17">
      <c r="A17" t="str">
        <f>IFERROR(__xludf.DUMMYFUNCTION("""COMPUTED_VALUE"""),"Texas State")</f>
        <v>Texas State</v>
      </c>
      <c r="B17" t="str">
        <f>IFERROR(__xludf.DUMMYFUNCTION("""COMPUTED_VALUE"""),"South Alabama 26 Texas State 49")</f>
        <v>South Alabama 26 Texas State 49</v>
      </c>
      <c r="C17" t="b">
        <v>0</v>
      </c>
      <c r="J17" t="str">
        <f>IFERROR(__xludf.DUMMYFUNCTION("""COMPUTED_VALUE"""),"Ball State")</f>
        <v>Ball State</v>
      </c>
      <c r="K17" t="str">
        <f>IFERROR(__xludf.DUMMYFUNCTION("""COMPUTED_VALUE"""),"Ball State 24 Miami-OH 45")</f>
        <v>Ball State 24 Miami-OH 45</v>
      </c>
    </row>
    <row r="18">
      <c r="A18" t="str">
        <f>IFERROR(__xludf.DUMMYFUNCTION("""COMPUTED_VALUE"""),"Ball State")</f>
        <v>Ball State</v>
      </c>
      <c r="B18" t="str">
        <f>IFERROR(__xludf.DUMMYFUNCTION("""COMPUTED_VALUE"""),"Ball State 24 Miami-OH 45")</f>
        <v>Ball State 24 Miami-OH 45</v>
      </c>
      <c r="C18" t="b">
        <v>0</v>
      </c>
      <c r="J18" t="str">
        <f>IFERROR(__xludf.DUMMYFUNCTION("""COMPUTED_VALUE"""),"East Carolina")</f>
        <v>East Carolina</v>
      </c>
      <c r="K18" t="str">
        <f>IFERROR(__xludf.DUMMYFUNCTION("""COMPUTED_VALUE"""),"East Carolina 42 Florida Atlantic 3")</f>
        <v>East Carolina 42 Florida Atlantic 3</v>
      </c>
    </row>
    <row r="19">
      <c r="A19" t="str">
        <f>IFERROR(__xludf.DUMMYFUNCTION("""COMPUTED_VALUE"""),"East Carolina")</f>
        <v>East Carolina</v>
      </c>
      <c r="B19" t="str">
        <f>IFERROR(__xludf.DUMMYFUNCTION("""COMPUTED_VALUE"""),"East Carolina 42 Florida Atlantic 3")</f>
        <v>East Carolina 42 Florida Atlantic 3</v>
      </c>
      <c r="C19" t="b">
        <v>0</v>
      </c>
      <c r="J19" t="str">
        <f>IFERROR(__xludf.DUMMYFUNCTION("""COMPUTED_VALUE"""),"Boise State")</f>
        <v>Boise State</v>
      </c>
      <c r="K19" t="str">
        <f>IFERROR(__xludf.DUMMYFUNCTION("""COMPUTED_VALUE"""),"Boise State 25 Utah State 24")</f>
        <v>Boise State 25 Utah State 24</v>
      </c>
    </row>
    <row r="20">
      <c r="A20" t="str">
        <f>IFERROR(__xludf.DUMMYFUNCTION("""COMPUTED_VALUE"""),"Boise State")</f>
        <v>Boise State</v>
      </c>
      <c r="B20" t="str">
        <f>IFERROR(__xludf.DUMMYFUNCTION("""COMPUTED_VALUE"""),"Boise State 25 Utah State 24")</f>
        <v>Boise State 25 Utah State 24</v>
      </c>
      <c r="C20" t="b">
        <v>0</v>
      </c>
      <c r="J20" t="str">
        <f>IFERROR(__xludf.DUMMYFUNCTION("""COMPUTED_VALUE"""),"Utah")</f>
        <v>Utah</v>
      </c>
      <c r="K20" t="str">
        <f>IFERROR(__xludf.DUMMYFUNCTION("""COMPUTED_VALUE"""),"(14) Utah 31 Kansas 21")</f>
        <v>(14) Utah 31 Kansas 21</v>
      </c>
    </row>
    <row r="21">
      <c r="A21" t="str">
        <f>IFERROR(__xludf.DUMMYFUNCTION("""COMPUTED_VALUE"""),"Utah")</f>
        <v>Utah</v>
      </c>
      <c r="B21" t="str">
        <f>IFERROR(__xludf.DUMMYFUNCTION("""COMPUTED_VALUE"""),"(14) Utah 31 Kansas 21")</f>
        <v>(14) Utah 31 Kansas 21</v>
      </c>
      <c r="C21" t="b">
        <v>0</v>
      </c>
      <c r="J21" t="str">
        <f>IFERROR(__xludf.DUMMYFUNCTION("""COMPUTED_VALUE"""),"Kennesaw State")</f>
        <v>Kennesaw State</v>
      </c>
      <c r="K21" t="str">
        <f>IFERROR(__xludf.DUMMYFUNCTION("""COMPUTED_VALUE"""),"Kennesaw State 48 Liberty 42")</f>
        <v>Kennesaw State 48 Liberty 42</v>
      </c>
    </row>
    <row r="22">
      <c r="A22" t="str">
        <f>IFERROR(__xludf.DUMMYFUNCTION("""COMPUTED_VALUE"""),"Kennesaw State")</f>
        <v>Kennesaw State</v>
      </c>
      <c r="B22" t="str">
        <f>IFERROR(__xludf.DUMMYFUNCTION("""COMPUTED_VALUE"""),"Kennesaw State 48 Liberty 42")</f>
        <v>Kennesaw State 48 Liberty 42</v>
      </c>
      <c r="C22" t="b">
        <v>0</v>
      </c>
      <c r="J22" t="str">
        <f>IFERROR(__xludf.DUMMYFUNCTION("""COMPUTED_VALUE"""),"California")</f>
        <v>California</v>
      </c>
      <c r="K22" t="str">
        <f>IFERROR(__xludf.DUMMYFUNCTION("""COMPUTED_VALUE"""),"(25) SMU 35 California 38")</f>
        <v>(25) SMU 35 California 38</v>
      </c>
    </row>
    <row r="23">
      <c r="A23" t="str">
        <f>IFERROR(__xludf.DUMMYFUNCTION("""COMPUTED_VALUE"""),"California")</f>
        <v>California</v>
      </c>
      <c r="B23" t="str">
        <f>IFERROR(__xludf.DUMMYFUNCTION("""COMPUTED_VALUE"""),"(25) SMU 35 California 38")</f>
        <v>(25) SMU 35 California 38</v>
      </c>
      <c r="C23" t="b">
        <v>0</v>
      </c>
      <c r="J23" t="str">
        <f>IFERROR(__xludf.DUMMYFUNCTION("""COMPUTED_VALUE"""),"Alabama")</f>
        <v>Alabama</v>
      </c>
      <c r="K23" t="str">
        <f>IFERROR(__xludf.DUMMYFUNCTION("""COMPUTED_VALUE"""),"(10) Alabama 27 Auburn 20")</f>
        <v>(10) Alabama 27 Auburn 20</v>
      </c>
    </row>
    <row r="24">
      <c r="A24" t="str">
        <f>IFERROR(__xludf.DUMMYFUNCTION("""COMPUTED_VALUE"""),"Alabama")</f>
        <v>Alabama</v>
      </c>
      <c r="B24" t="str">
        <f>IFERROR(__xludf.DUMMYFUNCTION("""COMPUTED_VALUE"""),"(10) Alabama 27 Auburn 20")</f>
        <v>(10) Alabama 27 Auburn 20</v>
      </c>
      <c r="C24" t="b">
        <v>0</v>
      </c>
      <c r="J24" t="str">
        <f>IFERROR(__xludf.DUMMYFUNCTION("""COMPUTED_VALUE"""),"UCLA")</f>
        <v>UCLA</v>
      </c>
      <c r="K24" t="str">
        <f>IFERROR(__xludf.DUMMYFUNCTION("""COMPUTED_VALUE"""),"UCLA 10 (20) USC 29")</f>
        <v>UCLA 10 (20) USC 29</v>
      </c>
    </row>
    <row r="25">
      <c r="A25" t="str">
        <f>IFERROR(__xludf.DUMMYFUNCTION("""COMPUTED_VALUE"""),"UCLA")</f>
        <v>UCLA</v>
      </c>
      <c r="B25" t="str">
        <f>IFERROR(__xludf.DUMMYFUNCTION("""COMPUTED_VALUE"""),"UCLA 10 (20) USC 29")</f>
        <v>UCLA 10 (20) USC 29</v>
      </c>
      <c r="C25" t="b">
        <v>0</v>
      </c>
      <c r="J25" t="str">
        <f>IFERROR(__xludf.DUMMYFUNCTION("""COMPUTED_VALUE"""),"Washington")</f>
        <v>Washington</v>
      </c>
      <c r="K25" t="str">
        <f>IFERROR(__xludf.DUMMYFUNCTION("""COMPUTED_VALUE"""),"(5) Oregon 26 Washington 14")</f>
        <v>(5) Oregon 26 Washington 14</v>
      </c>
    </row>
    <row r="26">
      <c r="A26" t="str">
        <f>IFERROR(__xludf.DUMMYFUNCTION("""COMPUTED_VALUE"""),"Washington")</f>
        <v>Washington</v>
      </c>
      <c r="B26" t="str">
        <f>IFERROR(__xludf.DUMMYFUNCTION("""COMPUTED_VALUE"""),"(5) Oregon 26 Washington 14")</f>
        <v>(5) Oregon 26 Washington 14</v>
      </c>
      <c r="C26" t="b">
        <v>0</v>
      </c>
      <c r="J26" t="str">
        <f>IFERROR(__xludf.DUMMYFUNCTION("""COMPUTED_VALUE"""),"UAB")</f>
        <v>UAB</v>
      </c>
      <c r="K26" t="str">
        <f>IFERROR(__xludf.DUMMYFUNCTION("""COMPUTED_VALUE"""),"UAB 31 Tulsa 24")</f>
        <v>UAB 31 Tulsa 24</v>
      </c>
    </row>
    <row r="27">
      <c r="A27" t="str">
        <f>IFERROR(__xludf.DUMMYFUNCTION("""COMPUTED_VALUE"""),"UAB")</f>
        <v>UAB</v>
      </c>
      <c r="B27" t="str">
        <f>IFERROR(__xludf.DUMMYFUNCTION("""COMPUTED_VALUE"""),"UAB 31 Tulsa 24")</f>
        <v>UAB 31 Tulsa 24</v>
      </c>
      <c r="C27" t="b">
        <v>0</v>
      </c>
      <c r="J27" t="str">
        <f>IFERROR(__xludf.DUMMYFUNCTION("""COMPUTED_VALUE"""),"Old Dominion")</f>
        <v>Old Dominion</v>
      </c>
      <c r="K27" t="str">
        <f>IFERROR(__xludf.DUMMYFUNCTION("""COMPUTED_VALUE"""),"Georgia State 10 Old Dominion 27")</f>
        <v>Georgia State 10 Old Dominion 27</v>
      </c>
    </row>
    <row r="28">
      <c r="A28" t="str">
        <f>IFERROR(__xludf.DUMMYFUNCTION("""COMPUTED_VALUE"""),"Old Dominion")</f>
        <v>Old Dominion</v>
      </c>
      <c r="B28" t="str">
        <f>IFERROR(__xludf.DUMMYFUNCTION("""COMPUTED_VALUE"""),"Georgia State 10 Old Dominion 27")</f>
        <v>Georgia State 10 Old Dominion 27</v>
      </c>
      <c r="C28" t="b">
        <v>0</v>
      </c>
      <c r="J28" t="str">
        <f>IFERROR(__xludf.DUMMYFUNCTION("""COMPUTED_VALUE"""),"Kansas State")</f>
        <v>Kansas State</v>
      </c>
      <c r="K28" t="str">
        <f>IFERROR(__xludf.DUMMYFUNCTION("""COMPUTED_VALUE"""),"Colorado 14 Kansas State 24")</f>
        <v>Colorado 14 Kansas State 24</v>
      </c>
    </row>
    <row r="29">
      <c r="A29" t="str">
        <f>IFERROR(__xludf.DUMMYFUNCTION("""COMPUTED_VALUE"""),"Kansas State")</f>
        <v>Kansas State</v>
      </c>
      <c r="B29" t="str">
        <f>IFERROR(__xludf.DUMMYFUNCTION("""COMPUTED_VALUE"""),"Colorado 14 Kansas State 24")</f>
        <v>Colorado 14 Kansas State 24</v>
      </c>
      <c r="C29" t="b">
        <v>0</v>
      </c>
      <c r="J29" t="str">
        <f>IFERROR(__xludf.DUMMYFUNCTION("""COMPUTED_VALUE"""),"Colorado State")</f>
        <v>Colorado State</v>
      </c>
      <c r="K29" t="str">
        <f>IFERROR(__xludf.DUMMYFUNCTION("""COMPUTED_VALUE"""),"Air Force 42 Colorado State 21")</f>
        <v>Air Force 42 Colorado State 21</v>
      </c>
    </row>
    <row r="30">
      <c r="A30" t="str">
        <f>IFERROR(__xludf.DUMMYFUNCTION("""COMPUTED_VALUE"""),"Colorado State")</f>
        <v>Colorado State</v>
      </c>
      <c r="B30" t="str">
        <f>IFERROR(__xludf.DUMMYFUNCTION("""COMPUTED_VALUE"""),"Air Force 42 Colorado State 21")</f>
        <v>Air Force 42 Colorado State 21</v>
      </c>
      <c r="C30" t="b">
        <v>0</v>
      </c>
      <c r="J30" t="str">
        <f>IFERROR(__xludf.DUMMYFUNCTION("""COMPUTED_VALUE"""),"EMU")</f>
        <v>EMU</v>
      </c>
      <c r="K30" t="str">
        <f>IFERROR(__xludf.DUMMYFUNCTION("""COMPUTED_VALUE"""),"Western Michigan 31 EMU 21")</f>
        <v>Western Michigan 31 EMU 21</v>
      </c>
    </row>
    <row r="31">
      <c r="A31" t="str">
        <f>IFERROR(__xludf.DUMMYFUNCTION("""COMPUTED_VALUE"""),"EMU")</f>
        <v>EMU</v>
      </c>
      <c r="B31" t="str">
        <f>IFERROR(__xludf.DUMMYFUNCTION("""COMPUTED_VALUE"""),"Western Michigan 31 EMU 21")</f>
        <v>Western Michigan 31 EMU 21</v>
      </c>
      <c r="C31" t="b">
        <v>0</v>
      </c>
      <c r="J31" t="str">
        <f>IFERROR(__xludf.DUMMYFUNCTION("""COMPUTED_VALUE"""),"Liberty")</f>
        <v>Liberty</v>
      </c>
      <c r="K31" t="str">
        <f>IFERROR(__xludf.DUMMYFUNCTION("""COMPUTED_VALUE"""),"Kennesaw State 48 Liberty 42")</f>
        <v>Kennesaw State 48 Liberty 42</v>
      </c>
    </row>
    <row r="32">
      <c r="A32" t="str">
        <f>IFERROR(__xludf.DUMMYFUNCTION("""COMPUTED_VALUE"""),"Liberty")</f>
        <v>Liberty</v>
      </c>
      <c r="B32" t="str">
        <f>IFERROR(__xludf.DUMMYFUNCTION("""COMPUTED_VALUE"""),"Kennesaw State 48 Liberty 42")</f>
        <v>Kennesaw State 48 Liberty 42</v>
      </c>
      <c r="C32" t="b">
        <v>0</v>
      </c>
      <c r="J32" t="str">
        <f>IFERROR(__xludf.DUMMYFUNCTION("""COMPUTED_VALUE"""),"SMU")</f>
        <v>SMU</v>
      </c>
      <c r="K32" t="str">
        <f>IFERROR(__xludf.DUMMYFUNCTION("""COMPUTED_VALUE"""),"(25) SMU 35 California 38")</f>
        <v>(25) SMU 35 California 38</v>
      </c>
    </row>
    <row r="33">
      <c r="A33" t="str">
        <f>IFERROR(__xludf.DUMMYFUNCTION("""COMPUTED_VALUE"""),"SMU")</f>
        <v>SMU</v>
      </c>
      <c r="B33" t="str">
        <f>IFERROR(__xludf.DUMMYFUNCTION("""COMPUTED_VALUE"""),"(25) SMU 35 California 38")</f>
        <v>(25) SMU 35 California 38</v>
      </c>
      <c r="C33" t="b">
        <v>0</v>
      </c>
      <c r="J33" t="str">
        <f>IFERROR(__xludf.DUMMYFUNCTION("""COMPUTED_VALUE"""),"Oregon State")</f>
        <v>Oregon State</v>
      </c>
      <c r="K33" t="str">
        <f>IFERROR(__xludf.DUMMYFUNCTION("""COMPUTED_VALUE"""),"Oregon State 8 Washington State 32")</f>
        <v>Oregon State 8 Washington State 32</v>
      </c>
    </row>
    <row r="34">
      <c r="A34" t="str">
        <f>IFERROR(__xludf.DUMMYFUNCTION("""COMPUTED_VALUE"""),"Oregon State")</f>
        <v>Oregon State</v>
      </c>
      <c r="B34" t="str">
        <f>IFERROR(__xludf.DUMMYFUNCTION("""COMPUTED_VALUE"""),"Oregon State 8 Washington State 32")</f>
        <v>Oregon State 8 Washington State 32</v>
      </c>
      <c r="C34" t="b">
        <v>0</v>
      </c>
      <c r="J34" t="str">
        <f>IFERROR(__xludf.DUMMYFUNCTION("""COMPUTED_VALUE"""),"Tennessee")</f>
        <v>Tennessee</v>
      </c>
      <c r="K34" t="str">
        <f>IFERROR(__xludf.DUMMYFUNCTION("""COMPUTED_VALUE"""),"(12) Vanderbilt 45 (18) Tennessee 24")</f>
        <v>(12) Vanderbilt 45 (18) Tennessee 24</v>
      </c>
    </row>
    <row r="35">
      <c r="A35" t="str">
        <f>IFERROR(__xludf.DUMMYFUNCTION("""COMPUTED_VALUE"""),"Tennessee")</f>
        <v>Tennessee</v>
      </c>
      <c r="B35" t="str">
        <f>IFERROR(__xludf.DUMMYFUNCTION("""COMPUTED_VALUE"""),"(12) Vanderbilt 45 (18) Tennessee 24")</f>
        <v>(12) Vanderbilt 45 (18) Tennessee 24</v>
      </c>
      <c r="C35" t="b">
        <v>0</v>
      </c>
      <c r="J35" t="str">
        <f>IFERROR(__xludf.DUMMYFUNCTION("""COMPUTED_VALUE"""),"Missouri State")</f>
        <v>Missouri State</v>
      </c>
      <c r="K35" t="str">
        <f>IFERROR(__xludf.DUMMYFUNCTION("""COMPUTED_VALUE"""),"Louisiana Tech 42 Missouri State 30")</f>
        <v>Louisiana Tech 42 Missouri State 30</v>
      </c>
    </row>
    <row r="36">
      <c r="A36" t="str">
        <f>IFERROR(__xludf.DUMMYFUNCTION("""COMPUTED_VALUE"""),"Missouri State")</f>
        <v>Missouri State</v>
      </c>
      <c r="B36" t="str">
        <f>IFERROR(__xludf.DUMMYFUNCTION("""COMPUTED_VALUE"""),"Louisiana Tech 42 Missouri State 30")</f>
        <v>Louisiana Tech 42 Missouri State 30</v>
      </c>
      <c r="C36" t="b">
        <v>0</v>
      </c>
      <c r="J36" t="str">
        <f>IFERROR(__xludf.DUMMYFUNCTION("""COMPUTED_VALUE"""),"Ohio State")</f>
        <v>Ohio State</v>
      </c>
      <c r="K36" t="str">
        <f>IFERROR(__xludf.DUMMYFUNCTION("""COMPUTED_VALUE"""),"(1) Ohio State 27 (15) Michigan 9")</f>
        <v>(1) Ohio State 27 (15) Michigan 9</v>
      </c>
    </row>
    <row r="37">
      <c r="A37" t="str">
        <f>IFERROR(__xludf.DUMMYFUNCTION("""COMPUTED_VALUE"""),"Ohio State")</f>
        <v>Ohio State</v>
      </c>
      <c r="B37" t="str">
        <f>IFERROR(__xludf.DUMMYFUNCTION("""COMPUTED_VALUE"""),"(1) Ohio State 27 (15) Michigan 9")</f>
        <v>(1) Ohio State 27 (15) Michigan 9</v>
      </c>
      <c r="C37" t="b">
        <v>0</v>
      </c>
      <c r="J37" t="str">
        <f>IFERROR(__xludf.DUMMYFUNCTION("""COMPUTED_VALUE"""),"Florida Atlantic")</f>
        <v>Florida Atlantic</v>
      </c>
      <c r="K37" t="str">
        <f>IFERROR(__xludf.DUMMYFUNCTION("""COMPUTED_VALUE"""),"East Carolina 42 Florida Atlantic 3")</f>
        <v>East Carolina 42 Florida Atlantic 3</v>
      </c>
    </row>
    <row r="38">
      <c r="A38" t="str">
        <f>IFERROR(__xludf.DUMMYFUNCTION("""COMPUTED_VALUE"""),"Florida Atlantic")</f>
        <v>Florida Atlantic</v>
      </c>
      <c r="B38" t="str">
        <f>IFERROR(__xludf.DUMMYFUNCTION("""COMPUTED_VALUE"""),"East Carolina 42 Florida Atlantic 3")</f>
        <v>East Carolina 42 Florida Atlantic 3</v>
      </c>
      <c r="C38" t="b">
        <v>0</v>
      </c>
      <c r="J38" t="str">
        <f>IFERROR(__xludf.DUMMYFUNCTION("""COMPUTED_VALUE"""),"Kansas")</f>
        <v>Kansas</v>
      </c>
      <c r="K38" t="str">
        <f>IFERROR(__xludf.DUMMYFUNCTION("""COMPUTED_VALUE"""),"(14) Utah 31 Kansas 21")</f>
        <v>(14) Utah 31 Kansas 21</v>
      </c>
    </row>
    <row r="39">
      <c r="A39" t="str">
        <f>IFERROR(__xludf.DUMMYFUNCTION("""COMPUTED_VALUE"""),"Kansas")</f>
        <v>Kansas</v>
      </c>
      <c r="B39" t="str">
        <f>IFERROR(__xludf.DUMMYFUNCTION("""COMPUTED_VALUE"""),"(14) Utah 31 Kansas 21")</f>
        <v>(14) Utah 31 Kansas 21</v>
      </c>
      <c r="C39" t="b">
        <v>0</v>
      </c>
      <c r="J39" t="str">
        <f>IFERROR(__xludf.DUMMYFUNCTION("""COMPUTED_VALUE"""),"New Mexico")</f>
        <v>New Mexico</v>
      </c>
      <c r="K39" t="str">
        <f>IFERROR(__xludf.DUMMYFUNCTION("""COMPUTED_VALUE"""),"San Diego State 17 New Mexico 23")</f>
        <v>San Diego State 17 New Mexico 23</v>
      </c>
    </row>
    <row r="40">
      <c r="A40" t="str">
        <f>IFERROR(__xludf.DUMMYFUNCTION("""COMPUTED_VALUE"""),"New Mexico")</f>
        <v>New Mexico</v>
      </c>
      <c r="B40" t="str">
        <f>IFERROR(__xludf.DUMMYFUNCTION("""COMPUTED_VALUE"""),"San Diego State 17 New Mexico 23")</f>
        <v>San Diego State 17 New Mexico 23</v>
      </c>
      <c r="C40" t="b">
        <v>0</v>
      </c>
      <c r="J40" t="str">
        <f>IFERROR(__xludf.DUMMYFUNCTION("""COMPUTED_VALUE"""),"UL Lafayette")</f>
        <v>UL Lafayette</v>
      </c>
      <c r="K40" t="str">
        <f>IFERROR(__xludf.DUMMYFUNCTION("""COMPUTED_VALUE"""),"UL Monroe 27 UL Lafayette 30")</f>
        <v>UL Monroe 27 UL Lafayette 30</v>
      </c>
    </row>
    <row r="41">
      <c r="A41" t="str">
        <f>IFERROR(__xludf.DUMMYFUNCTION("""COMPUTED_VALUE"""),"UL Lafayette")</f>
        <v>UL Lafayette</v>
      </c>
      <c r="B41" t="str">
        <f>IFERROR(__xludf.DUMMYFUNCTION("""COMPUTED_VALUE"""),"UL Monroe 27 UL Lafayette 30")</f>
        <v>UL Monroe 27 UL Lafayette 30</v>
      </c>
      <c r="C41" t="b">
        <v>0</v>
      </c>
      <c r="J41" t="str">
        <f>IFERROR(__xludf.DUMMYFUNCTION("""COMPUTED_VALUE"""),"Virginia Tech")</f>
        <v>Virginia Tech</v>
      </c>
      <c r="K41" t="str">
        <f>IFERROR(__xludf.DUMMYFUNCTION("""COMPUTED_VALUE"""),"Virginia Tech 7 (17) Virginia 27")</f>
        <v>Virginia Tech 7 (17) Virginia 27</v>
      </c>
    </row>
    <row r="42">
      <c r="A42" t="str">
        <f>IFERROR(__xludf.DUMMYFUNCTION("""COMPUTED_VALUE"""),"Virginia Tech")</f>
        <v>Virginia Tech</v>
      </c>
      <c r="B42" t="str">
        <f>IFERROR(__xludf.DUMMYFUNCTION("""COMPUTED_VALUE"""),"Virginia Tech 7 (17) Virginia 27")</f>
        <v>Virginia Tech 7 (17) Virginia 27</v>
      </c>
      <c r="C42" t="b">
        <v>0</v>
      </c>
      <c r="J42" t="str">
        <f>IFERROR(__xludf.DUMMYFUNCTION("""COMPUTED_VALUE"""),"LSU")</f>
        <v>LSU</v>
      </c>
      <c r="K42" t="str">
        <f>IFERROR(__xludf.DUMMYFUNCTION("""COMPUTED_VALUE"""),"LSU 13 (8) Oklahoma 17")</f>
        <v>LSU 13 (8) Oklahoma 17</v>
      </c>
    </row>
    <row r="43">
      <c r="A43" t="str">
        <f>IFERROR(__xludf.DUMMYFUNCTION("""COMPUTED_VALUE"""),"LSU")</f>
        <v>LSU</v>
      </c>
      <c r="B43" t="str">
        <f>IFERROR(__xludf.DUMMYFUNCTION("""COMPUTED_VALUE"""),"LSU 13 (8) Oklahoma 17")</f>
        <v>LSU 13 (8) Oklahoma 17</v>
      </c>
      <c r="C43" t="b">
        <v>0</v>
      </c>
      <c r="J43" t="str">
        <f>IFERROR(__xludf.DUMMYFUNCTION("""COMPUTED_VALUE"""),"Oregon")</f>
        <v>Oregon</v>
      </c>
      <c r="K43" t="str">
        <f>IFERROR(__xludf.DUMMYFUNCTION("""COMPUTED_VALUE"""),"(5) Oregon 26 Washington 14")</f>
        <v>(5) Oregon 26 Washington 14</v>
      </c>
    </row>
    <row r="44">
      <c r="A44" t="str">
        <f>IFERROR(__xludf.DUMMYFUNCTION("""COMPUTED_VALUE"""),"Oregon")</f>
        <v>Oregon</v>
      </c>
      <c r="B44" t="str">
        <f>IFERROR(__xludf.DUMMYFUNCTION("""COMPUTED_VALUE"""),"(5) Oregon 26 Washington 14")</f>
        <v>(5) Oregon 26 Washington 14</v>
      </c>
      <c r="C44" t="b">
        <v>0</v>
      </c>
      <c r="J44" t="str">
        <f>IFERROR(__xludf.DUMMYFUNCTION("""COMPUTED_VALUE"""),"UTSA")</f>
        <v>UTSA</v>
      </c>
      <c r="K44" t="str">
        <f>IFERROR(__xludf.DUMMYFUNCTION("""COMPUTED_VALUE"""),"Army 27 UTSA 24")</f>
        <v>Army 27 UTSA 24</v>
      </c>
    </row>
    <row r="45">
      <c r="A45" t="str">
        <f>IFERROR(__xludf.DUMMYFUNCTION("""COMPUTED_VALUE"""),"UTSA")</f>
        <v>UTSA</v>
      </c>
      <c r="B45" t="str">
        <f>IFERROR(__xludf.DUMMYFUNCTION("""COMPUTED_VALUE"""),"Army 27 UTSA 24")</f>
        <v>Army 27 UTSA 24</v>
      </c>
      <c r="C45" t="b">
        <v>0</v>
      </c>
      <c r="J45" t="str">
        <f>IFERROR(__xludf.DUMMYFUNCTION("""COMPUTED_VALUE"""),"Marshall")</f>
        <v>Marshall</v>
      </c>
      <c r="K45" t="str">
        <f>IFERROR(__xludf.DUMMYFUNCTION("""COMPUTED_VALUE"""),"Georgia Southern 24 Marshall 19")</f>
        <v>Georgia Southern 24 Marshall 19</v>
      </c>
    </row>
    <row r="46">
      <c r="A46" t="str">
        <f>IFERROR(__xludf.DUMMYFUNCTION("""COMPUTED_VALUE"""),"Marshall")</f>
        <v>Marshall</v>
      </c>
      <c r="B46" t="str">
        <f>IFERROR(__xludf.DUMMYFUNCTION("""COMPUTED_VALUE"""),"Georgia Southern 24 Marshall 19")</f>
        <v>Georgia Southern 24 Marshall 19</v>
      </c>
      <c r="C46" t="b">
        <v>0</v>
      </c>
      <c r="J46" t="str">
        <f>IFERROR(__xludf.DUMMYFUNCTION("""COMPUTED_VALUE"""),"Sam Houston")</f>
        <v>Sam Houston</v>
      </c>
      <c r="K46" t="str">
        <f>IFERROR(__xludf.DUMMYFUNCTION("""COMPUTED_VALUE"""),"Florida Intl 56 Sam Houston 16")</f>
        <v>Florida Intl 56 Sam Houston 16</v>
      </c>
    </row>
    <row r="47">
      <c r="A47" t="str">
        <f>IFERROR(__xludf.DUMMYFUNCTION("""COMPUTED_VALUE"""),"Sam Houston")</f>
        <v>Sam Houston</v>
      </c>
      <c r="B47" t="str">
        <f>IFERROR(__xludf.DUMMYFUNCTION("""COMPUTED_VALUE"""),"Florida Intl 56 Sam Houston 16")</f>
        <v>Florida Intl 56 Sam Houston 16</v>
      </c>
      <c r="C47" t="b">
        <v>0</v>
      </c>
      <c r="J47" t="str">
        <f>IFERROR(__xludf.DUMMYFUNCTION("""COMPUTED_VALUE"""),"Michigan")</f>
        <v>Michigan</v>
      </c>
      <c r="K47" t="str">
        <f>IFERROR(__xludf.DUMMYFUNCTION("""COMPUTED_VALUE"""),"(1) Ohio State 27 (15) Michigan 9")</f>
        <v>(1) Ohio State 27 (15) Michigan 9</v>
      </c>
    </row>
    <row r="48">
      <c r="A48" t="str">
        <f>IFERROR(__xludf.DUMMYFUNCTION("""COMPUTED_VALUE"""),"Michigan")</f>
        <v>Michigan</v>
      </c>
      <c r="B48" t="str">
        <f>IFERROR(__xludf.DUMMYFUNCTION("""COMPUTED_VALUE"""),"(1) Ohio State 27 (15) Michigan 9")</f>
        <v>(1) Ohio State 27 (15) Michigan 9</v>
      </c>
      <c r="C48" t="b">
        <v>0</v>
      </c>
      <c r="J48" t="str">
        <f>IFERROR(__xludf.DUMMYFUNCTION("""COMPUTED_VALUE"""),"Iowa State")</f>
        <v>Iowa State</v>
      </c>
      <c r="K48" t="str">
        <f>IFERROR(__xludf.DUMMYFUNCTION("""COMPUTED_VALUE"""),"Iowa State 20 Oklahoma State 13")</f>
        <v>Iowa State 20 Oklahoma State 13</v>
      </c>
    </row>
    <row r="49">
      <c r="A49" t="str">
        <f>IFERROR(__xludf.DUMMYFUNCTION("""COMPUTED_VALUE"""),"Iowa State")</f>
        <v>Iowa State</v>
      </c>
      <c r="B49" t="str">
        <f>IFERROR(__xludf.DUMMYFUNCTION("""COMPUTED_VALUE"""),"Iowa State 20 Oklahoma State 13")</f>
        <v>Iowa State 20 Oklahoma State 13</v>
      </c>
      <c r="C49" t="b">
        <v>0</v>
      </c>
      <c r="J49" t="str">
        <f>IFERROR(__xludf.DUMMYFUNCTION("""COMPUTED_VALUE"""),"Utah State")</f>
        <v>Utah State</v>
      </c>
      <c r="K49" t="str">
        <f>IFERROR(__xludf.DUMMYFUNCTION("""COMPUTED_VALUE"""),"Boise State 25 Utah State 24")</f>
        <v>Boise State 25 Utah State 24</v>
      </c>
    </row>
    <row r="50">
      <c r="A50" t="str">
        <f>IFERROR(__xludf.DUMMYFUNCTION("""COMPUTED_VALUE"""),"Utah State")</f>
        <v>Utah State</v>
      </c>
      <c r="B50" t="str">
        <f>IFERROR(__xludf.DUMMYFUNCTION("""COMPUTED_VALUE"""),"Boise State 25 Utah State 24")</f>
        <v>Boise State 25 Utah State 24</v>
      </c>
      <c r="C50" t="b">
        <v>0</v>
      </c>
      <c r="J50" t="str">
        <f>IFERROR(__xludf.DUMMYFUNCTION("""COMPUTED_VALUE"""),"Northern Illinois")</f>
        <v>Northern Illinois</v>
      </c>
      <c r="K50" t="str">
        <f>IFERROR(__xludf.DUMMYFUNCTION("""COMPUTED_VALUE"""),"Kent State 35 Northern Illinois 31")</f>
        <v>Kent State 35 Northern Illinois 31</v>
      </c>
    </row>
    <row r="51">
      <c r="A51" t="str">
        <f>IFERROR(__xludf.DUMMYFUNCTION("""COMPUTED_VALUE"""),"Northern Illinois")</f>
        <v>Northern Illinois</v>
      </c>
      <c r="B51" t="str">
        <f>IFERROR(__xludf.DUMMYFUNCTION("""COMPUTED_VALUE"""),"Kent State 35 Northern Illinois 31")</f>
        <v>Kent State 35 Northern Illinois 31</v>
      </c>
      <c r="C51" t="b">
        <v>0</v>
      </c>
      <c r="J51" t="str">
        <f>IFERROR(__xludf.DUMMYFUNCTION("""COMPUTED_VALUE"""),"UNLV")</f>
        <v>UNLV</v>
      </c>
      <c r="K51" t="str">
        <f>IFERROR(__xludf.DUMMYFUNCTION("""COMPUTED_VALUE"""),"UNLV 42 Nevada 17")</f>
        <v>UNLV 42 Nevada 17</v>
      </c>
    </row>
    <row r="52">
      <c r="A52" t="str">
        <f>IFERROR(__xludf.DUMMYFUNCTION("""COMPUTED_VALUE"""),"UNLV")</f>
        <v>UNLV</v>
      </c>
      <c r="B52" t="str">
        <f>IFERROR(__xludf.DUMMYFUNCTION("""COMPUTED_VALUE"""),"UNLV 42 Nevada 17")</f>
        <v>UNLV 42 Nevada 17</v>
      </c>
      <c r="C52" t="b">
        <v>0</v>
      </c>
      <c r="J52" t="str">
        <f>IFERROR(__xludf.DUMMYFUNCTION("""COMPUTED_VALUE"""),"Michigan State")</f>
        <v>Michigan State</v>
      </c>
      <c r="K52" t="str">
        <f>IFERROR(__xludf.DUMMYFUNCTION("""COMPUTED_VALUE"""),"Maryland 28 Michigan State 38")</f>
        <v>Maryland 28 Michigan State 38</v>
      </c>
    </row>
    <row r="53">
      <c r="A53" t="str">
        <f>IFERROR(__xludf.DUMMYFUNCTION("""COMPUTED_VALUE"""),"Michigan State")</f>
        <v>Michigan State</v>
      </c>
      <c r="B53" t="str">
        <f>IFERROR(__xludf.DUMMYFUNCTION("""COMPUTED_VALUE"""),"Maryland 28 Michigan State 38")</f>
        <v>Maryland 28 Michigan State 38</v>
      </c>
      <c r="C53" t="b">
        <v>0</v>
      </c>
      <c r="J53" t="str">
        <f>IFERROR(__xludf.DUMMYFUNCTION("""COMPUTED_VALUE"""),"Florida")</f>
        <v>Florida</v>
      </c>
      <c r="K53" t="str">
        <f>IFERROR(__xludf.DUMMYFUNCTION("""COMPUTED_VALUE"""),"Florida State 21 Florida 40")</f>
        <v>Florida State 21 Florida 40</v>
      </c>
    </row>
    <row r="54">
      <c r="A54" t="str">
        <f>IFERROR(__xludf.DUMMYFUNCTION("""COMPUTED_VALUE"""),"Florida")</f>
        <v>Florida</v>
      </c>
      <c r="B54" t="str">
        <f>IFERROR(__xludf.DUMMYFUNCTION("""COMPUTED_VALUE"""),"Florida State 21 Florida 40")</f>
        <v>Florida State 21 Florida 40</v>
      </c>
      <c r="C54" t="b">
        <v>0</v>
      </c>
      <c r="J54" t="str">
        <f>IFERROR(__xludf.DUMMYFUNCTION("""COMPUTED_VALUE"""),"Florida State")</f>
        <v>Florida State</v>
      </c>
      <c r="K54" t="str">
        <f>IFERROR(__xludf.DUMMYFUNCTION("""COMPUTED_VALUE"""),"Florida State 21 Florida 40")</f>
        <v>Florida State 21 Florida 40</v>
      </c>
    </row>
    <row r="55">
      <c r="A55" t="str">
        <f>IFERROR(__xludf.DUMMYFUNCTION("""COMPUTED_VALUE"""),"Florida State")</f>
        <v>Florida State</v>
      </c>
      <c r="B55" t="str">
        <f>IFERROR(__xludf.DUMMYFUNCTION("""COMPUTED_VALUE"""),"Florida State 21 Florida 40")</f>
        <v>Florida State 21 Florida 40</v>
      </c>
      <c r="C55" t="b">
        <v>0</v>
      </c>
      <c r="J55" t="str">
        <f>IFERROR(__xludf.DUMMYFUNCTION("""COMPUTED_VALUE"""),"Georgia Southern")</f>
        <v>Georgia Southern</v>
      </c>
      <c r="K55" t="str">
        <f>IFERROR(__xludf.DUMMYFUNCTION("""COMPUTED_VALUE"""),"Georgia Southern 24 Marshall 19")</f>
        <v>Georgia Southern 24 Marshall 19</v>
      </c>
    </row>
    <row r="56">
      <c r="A56" t="str">
        <f>IFERROR(__xludf.DUMMYFUNCTION("""COMPUTED_VALUE"""),"Georgia Southern")</f>
        <v>Georgia Southern</v>
      </c>
      <c r="B56" t="str">
        <f>IFERROR(__xludf.DUMMYFUNCTION("""COMPUTED_VALUE"""),"Georgia Southern 24 Marshall 19")</f>
        <v>Georgia Southern 24 Marshall 19</v>
      </c>
      <c r="C56" t="b">
        <v>0</v>
      </c>
      <c r="J56" t="str">
        <f>IFERROR(__xludf.DUMMYFUNCTION("""COMPUTED_VALUE"""),"Delaware")</f>
        <v>Delaware</v>
      </c>
      <c r="K56" t="str">
        <f>IFERROR(__xludf.DUMMYFUNCTION("""COMPUTED_VALUE"""),"UTEP 31 Delaware 61")</f>
        <v>UTEP 31 Delaware 61</v>
      </c>
    </row>
    <row r="57">
      <c r="A57" t="str">
        <f>IFERROR(__xludf.DUMMYFUNCTION("""COMPUTED_VALUE"""),"Delaware")</f>
        <v>Delaware</v>
      </c>
      <c r="B57" t="str">
        <f>IFERROR(__xludf.DUMMYFUNCTION("""COMPUTED_VALUE"""),"UTEP 31 Delaware 61")</f>
        <v>UTEP 31 Delaware 61</v>
      </c>
      <c r="C57" t="b">
        <v>0</v>
      </c>
      <c r="J57" t="str">
        <f>IFERROR(__xludf.DUMMYFUNCTION("""COMPUTED_VALUE"""),"BYU")</f>
        <v>BYU</v>
      </c>
      <c r="K57" t="str">
        <f>IFERROR(__xludf.DUMMYFUNCTION("""COMPUTED_VALUE"""),"UCF 21 (11) BYU 41")</f>
        <v>UCF 21 (11) BYU 41</v>
      </c>
    </row>
    <row r="58">
      <c r="A58" t="str">
        <f>IFERROR(__xludf.DUMMYFUNCTION("""COMPUTED_VALUE"""),"BYU")</f>
        <v>BYU</v>
      </c>
      <c r="B58" t="str">
        <f>IFERROR(__xludf.DUMMYFUNCTION("""COMPUTED_VALUE"""),"UCF 21 (11) BYU 41")</f>
        <v>UCF 21 (11) BYU 41</v>
      </c>
      <c r="C58" t="b">
        <v>0</v>
      </c>
      <c r="J58" t="str">
        <f>IFERROR(__xludf.DUMMYFUNCTION("""COMPUTED_VALUE"""),"Colorado")</f>
        <v>Colorado</v>
      </c>
      <c r="K58" t="str">
        <f>IFERROR(__xludf.DUMMYFUNCTION("""COMPUTED_VALUE"""),"Colorado 14 Kansas State 24")</f>
        <v>Colorado 14 Kansas State 24</v>
      </c>
    </row>
    <row r="59">
      <c r="A59" t="str">
        <f>IFERROR(__xludf.DUMMYFUNCTION("""COMPUTED_VALUE"""),"Colorado")</f>
        <v>Colorado</v>
      </c>
      <c r="B59" t="str">
        <f>IFERROR(__xludf.DUMMYFUNCTION("""COMPUTED_VALUE"""),"Colorado 14 Kansas State 24")</f>
        <v>Colorado 14 Kansas State 24</v>
      </c>
      <c r="C59" t="b">
        <v>0</v>
      </c>
      <c r="J59" t="str">
        <f>IFERROR(__xludf.DUMMYFUNCTION("""COMPUTED_VALUE"""),"Navy")</f>
        <v>Navy</v>
      </c>
      <c r="K59" t="str">
        <f>IFERROR(__xludf.DUMMYFUNCTION("""COMPUTED_VALUE"""),"Navy 28 Memphis 17")</f>
        <v>Navy 28 Memphis 17</v>
      </c>
    </row>
    <row r="60">
      <c r="A60" t="str">
        <f>IFERROR(__xludf.DUMMYFUNCTION("""COMPUTED_VALUE"""),"Navy")</f>
        <v>Navy</v>
      </c>
      <c r="B60" t="str">
        <f>IFERROR(__xludf.DUMMYFUNCTION("""COMPUTED_VALUE"""),"Navy 28 Memphis 17")</f>
        <v>Navy 28 Memphis 17</v>
      </c>
      <c r="C60" t="b">
        <v>0</v>
      </c>
      <c r="J60" t="str">
        <f>IFERROR(__xludf.DUMMYFUNCTION("""COMPUTED_VALUE"""),"Bowling Green")</f>
        <v>Bowling Green</v>
      </c>
      <c r="K60" t="str">
        <f>IFERROR(__xludf.DUMMYFUNCTION("""COMPUTED_VALUE"""),"Bowling Green 45 UMASS 14")</f>
        <v>Bowling Green 45 UMASS 14</v>
      </c>
    </row>
    <row r="61">
      <c r="A61" t="str">
        <f>IFERROR(__xludf.DUMMYFUNCTION("""COMPUTED_VALUE"""),"Bowling Green")</f>
        <v>Bowling Green</v>
      </c>
      <c r="B61" t="str">
        <f>IFERROR(__xludf.DUMMYFUNCTION("""COMPUTED_VALUE"""),"Bowling Green 45 UMASS 14")</f>
        <v>Bowling Green 45 UMASS 14</v>
      </c>
      <c r="C61" t="b">
        <v>0</v>
      </c>
      <c r="J61" t="str">
        <f>IFERROR(__xludf.DUMMYFUNCTION("""COMPUTED_VALUE"""),"Hawaii")</f>
        <v>Hawaii</v>
      </c>
      <c r="K61" t="str">
        <f>IFERROR(__xludf.DUMMYFUNCTION("""COMPUTED_VALUE"""),"Wyoming 7 Hawaii 27")</f>
        <v>Wyoming 7 Hawaii 27</v>
      </c>
    </row>
    <row r="62">
      <c r="A62" t="str">
        <f>IFERROR(__xludf.DUMMYFUNCTION("""COMPUTED_VALUE"""),"Hawaii")</f>
        <v>Hawaii</v>
      </c>
      <c r="B62" t="str">
        <f>IFERROR(__xludf.DUMMYFUNCTION("""COMPUTED_VALUE"""),"Wyoming 7 Hawaii 27")</f>
        <v>Wyoming 7 Hawaii 27</v>
      </c>
      <c r="C62" t="b">
        <v>0</v>
      </c>
      <c r="J62" t="str">
        <f>IFERROR(__xludf.DUMMYFUNCTION("""COMPUTED_VALUE"""),"Notre Dame")</f>
        <v>Notre Dame</v>
      </c>
      <c r="K62" t="str">
        <f>IFERROR(__xludf.DUMMYFUNCTION("""COMPUTED_VALUE"""),"(9) Notre Dame 49 Stanford 20")</f>
        <v>(9) Notre Dame 49 Stanford 20</v>
      </c>
    </row>
    <row r="63">
      <c r="A63" t="str">
        <f>IFERROR(__xludf.DUMMYFUNCTION("""COMPUTED_VALUE"""),"Notre Dame")</f>
        <v>Notre Dame</v>
      </c>
      <c r="B63" t="str">
        <f>IFERROR(__xludf.DUMMYFUNCTION("""COMPUTED_VALUE"""),"(9) Notre Dame 49 Stanford 20")</f>
        <v>(9) Notre Dame 49 Stanford 20</v>
      </c>
      <c r="C63" t="b">
        <v>0</v>
      </c>
      <c r="J63" t="str">
        <f>IFERROR(__xludf.DUMMYFUNCTION("""COMPUTED_VALUE"""),"Virginia")</f>
        <v>Virginia</v>
      </c>
      <c r="K63" t="str">
        <f>IFERROR(__xludf.DUMMYFUNCTION("""COMPUTED_VALUE"""),"Virginia Tech 7 (17) Virginia 27")</f>
        <v>Virginia Tech 7 (17) Virginia 27</v>
      </c>
    </row>
    <row r="64">
      <c r="A64" t="str">
        <f>IFERROR(__xludf.DUMMYFUNCTION("""COMPUTED_VALUE"""),"Virginia")</f>
        <v>Virginia</v>
      </c>
      <c r="B64" t="str">
        <f>IFERROR(__xludf.DUMMYFUNCTION("""COMPUTED_VALUE"""),"Virginia Tech 7 (17) Virginia 27")</f>
        <v>Virginia Tech 7 (17) Virginia 27</v>
      </c>
      <c r="C64" t="b">
        <v>0</v>
      </c>
      <c r="J64" t="str">
        <f>IFERROR(__xludf.DUMMYFUNCTION("""COMPUTED_VALUE"""),"South Florida")</f>
        <v>South Florida</v>
      </c>
      <c r="K64" t="str">
        <f>IFERROR(__xludf.DUMMYFUNCTION("""COMPUTED_VALUE"""),"Rice 3 South Florida 52")</f>
        <v>Rice 3 South Florida 52</v>
      </c>
    </row>
    <row r="65">
      <c r="A65" t="str">
        <f>IFERROR(__xludf.DUMMYFUNCTION("""COMPUTED_VALUE"""),"South Florida")</f>
        <v>South Florida</v>
      </c>
      <c r="B65" t="str">
        <f>IFERROR(__xludf.DUMMYFUNCTION("""COMPUTED_VALUE"""),"Rice 3 South Florida 52")</f>
        <v>Rice 3 South Florida 52</v>
      </c>
      <c r="C65" t="b">
        <v>0</v>
      </c>
      <c r="J65" t="str">
        <f>IFERROR(__xludf.DUMMYFUNCTION("""COMPUTED_VALUE"""),"Troy")</f>
        <v>Troy</v>
      </c>
      <c r="K65" t="str">
        <f>IFERROR(__xludf.DUMMYFUNCTION("""COMPUTED_VALUE"""),"Troy 28 Southern Mississippi 18")</f>
        <v>Troy 28 Southern Mississippi 18</v>
      </c>
    </row>
    <row r="66">
      <c r="A66" t="str">
        <f>IFERROR(__xludf.DUMMYFUNCTION("""COMPUTED_VALUE"""),"Troy")</f>
        <v>Troy</v>
      </c>
      <c r="B66" t="str">
        <f>IFERROR(__xludf.DUMMYFUNCTION("""COMPUTED_VALUE"""),"Troy 28 Southern Mississippi 18")</f>
        <v>Troy 28 Southern Mississippi 18</v>
      </c>
      <c r="C66" t="b">
        <v>0</v>
      </c>
      <c r="J66" t="str">
        <f>IFERROR(__xludf.DUMMYFUNCTION("""COMPUTED_VALUE"""),"Oklahoma State")</f>
        <v>Oklahoma State</v>
      </c>
      <c r="K66" t="str">
        <f>IFERROR(__xludf.DUMMYFUNCTION("""COMPUTED_VALUE"""),"Iowa State 20 Oklahoma State 13")</f>
        <v>Iowa State 20 Oklahoma State 13</v>
      </c>
    </row>
    <row r="67">
      <c r="A67" t="str">
        <f>IFERROR(__xludf.DUMMYFUNCTION("""COMPUTED_VALUE"""),"Oklahoma State")</f>
        <v>Oklahoma State</v>
      </c>
      <c r="B67" t="str">
        <f>IFERROR(__xludf.DUMMYFUNCTION("""COMPUTED_VALUE"""),"Iowa State 20 Oklahoma State 13")</f>
        <v>Iowa State 20 Oklahoma State 13</v>
      </c>
      <c r="C67" t="b">
        <v>0</v>
      </c>
      <c r="J67" t="str">
        <f>IFERROR(__xludf.DUMMYFUNCTION("""COMPUTED_VALUE"""),"Georgia")</f>
        <v>Georgia</v>
      </c>
      <c r="K67" t="str">
        <f>IFERROR(__xludf.DUMMYFUNCTION("""COMPUTED_VALUE"""),"(4) Georgia 16 (19) Georgia Tech 9")</f>
        <v>(4) Georgia 16 (19) Georgia Tech 9</v>
      </c>
    </row>
    <row r="68">
      <c r="A68" t="str">
        <f>IFERROR(__xludf.DUMMYFUNCTION("""COMPUTED_VALUE"""),"Georgia")</f>
        <v>Georgia</v>
      </c>
      <c r="B68" t="str">
        <f>IFERROR(__xludf.DUMMYFUNCTION("""COMPUTED_VALUE"""),"(4) Georgia 16 (19) Georgia Tech 9")</f>
        <v>(4) Georgia 16 (19) Georgia Tech 9</v>
      </c>
      <c r="C68" t="b">
        <v>0</v>
      </c>
      <c r="J68" t="str">
        <f>IFERROR(__xludf.DUMMYFUNCTION("""COMPUTED_VALUE"""),"Ohio")</f>
        <v>Ohio</v>
      </c>
      <c r="K68" t="str">
        <f>IFERROR(__xludf.DUMMYFUNCTION("""COMPUTED_VALUE"""),"Ohio 31 Buffalo 26")</f>
        <v>Ohio 31 Buffalo 26</v>
      </c>
    </row>
    <row r="69">
      <c r="A69" t="str">
        <f>IFERROR(__xludf.DUMMYFUNCTION("""COMPUTED_VALUE"""),"Ohio")</f>
        <v>Ohio</v>
      </c>
      <c r="B69" t="str">
        <f>IFERROR(__xludf.DUMMYFUNCTION("""COMPUTED_VALUE"""),"Ohio 31 Buffalo 26")</f>
        <v>Ohio 31 Buffalo 26</v>
      </c>
      <c r="C69" t="b">
        <v>0</v>
      </c>
      <c r="J69" t="str">
        <f>IFERROR(__xludf.DUMMYFUNCTION("""COMPUTED_VALUE"""),"Nebraska")</f>
        <v>Nebraska</v>
      </c>
      <c r="K69" t="str">
        <f>IFERROR(__xludf.DUMMYFUNCTION("""COMPUTED_VALUE"""),"Iowa 40 Nebraska 16")</f>
        <v>Iowa 40 Nebraska 16</v>
      </c>
    </row>
    <row r="70">
      <c r="A70" t="str">
        <f>IFERROR(__xludf.DUMMYFUNCTION("""COMPUTED_VALUE"""),"Nebraska")</f>
        <v>Nebraska</v>
      </c>
      <c r="B70" t="str">
        <f>IFERROR(__xludf.DUMMYFUNCTION("""COMPUTED_VALUE"""),"Iowa 40 Nebraska 16")</f>
        <v>Iowa 40 Nebraska 16</v>
      </c>
      <c r="C70" t="b">
        <v>0</v>
      </c>
      <c r="J70" t="str">
        <f>IFERROR(__xludf.DUMMYFUNCTION("""COMPUTED_VALUE"""),"Middle Tennessee")</f>
        <v>Middle Tennessee</v>
      </c>
      <c r="K70" t="str">
        <f>IFERROR(__xludf.DUMMYFUNCTION("""COMPUTED_VALUE"""),"Middle Tennessee 31 New Mexico State 24")</f>
        <v>Middle Tennessee 31 New Mexico State 24</v>
      </c>
    </row>
    <row r="71">
      <c r="A71" t="str">
        <f>IFERROR(__xludf.DUMMYFUNCTION("""COMPUTED_VALUE"""),"Middle Tennessee")</f>
        <v>Middle Tennessee</v>
      </c>
      <c r="B71" t="str">
        <f>IFERROR(__xludf.DUMMYFUNCTION("""COMPUTED_VALUE"""),"Middle Tennessee 31 New Mexico State 24")</f>
        <v>Middle Tennessee 31 New Mexico State 24</v>
      </c>
      <c r="C71" t="b">
        <v>0</v>
      </c>
      <c r="J71" t="str">
        <f>IFERROR(__xludf.DUMMYFUNCTION("""COMPUTED_VALUE"""),"San José State")</f>
        <v>San José State</v>
      </c>
      <c r="K71" t="str">
        <f>IFERROR(__xludf.DUMMYFUNCTION("""COMPUTED_VALUE"""),"Fresno State 41 San José State 14")</f>
        <v>Fresno State 41 San José State 14</v>
      </c>
    </row>
    <row r="72">
      <c r="A72" t="str">
        <f>IFERROR(__xludf.DUMMYFUNCTION("""COMPUTED_VALUE"""),"San José State")</f>
        <v>San José State</v>
      </c>
      <c r="B72" t="str">
        <f>IFERROR(__xludf.DUMMYFUNCTION("""COMPUTED_VALUE"""),"Fresno State 41 San José State 14")</f>
        <v>Fresno State 41 San José State 14</v>
      </c>
      <c r="C72" t="b">
        <v>0</v>
      </c>
      <c r="J72" t="str">
        <f>IFERROR(__xludf.DUMMYFUNCTION("""COMPUTED_VALUE"""),"Cincinnati")</f>
        <v>Cincinnati</v>
      </c>
      <c r="K72" t="str">
        <f>IFERROR(__xludf.DUMMYFUNCTION("""COMPUTED_VALUE"""),"Cincinnati 23 TCU 45")</f>
        <v>Cincinnati 23 TCU 45</v>
      </c>
    </row>
    <row r="73">
      <c r="A73" t="str">
        <f>IFERROR(__xludf.DUMMYFUNCTION("""COMPUTED_VALUE"""),"Cincinnati")</f>
        <v>Cincinnati</v>
      </c>
      <c r="B73" t="str">
        <f>IFERROR(__xludf.DUMMYFUNCTION("""COMPUTED_VALUE"""),"Cincinnati 23 TCU 45")</f>
        <v>Cincinnati 23 TCU 45</v>
      </c>
      <c r="C73" t="b">
        <v>0</v>
      </c>
      <c r="J73" t="str">
        <f>IFERROR(__xludf.DUMMYFUNCTION("""COMPUTED_VALUE"""),"Wisconsin")</f>
        <v>Wisconsin</v>
      </c>
      <c r="K73" t="str">
        <f>IFERROR(__xludf.DUMMYFUNCTION("""COMPUTED_VALUE"""),"Wisconsin 7 Minnesota 17")</f>
        <v>Wisconsin 7 Minnesota 17</v>
      </c>
    </row>
    <row r="74">
      <c r="A74" t="str">
        <f>IFERROR(__xludf.DUMMYFUNCTION("""COMPUTED_VALUE"""),"Wisconsin")</f>
        <v>Wisconsin</v>
      </c>
      <c r="B74" t="str">
        <f>IFERROR(__xludf.DUMMYFUNCTION("""COMPUTED_VALUE"""),"Wisconsin 7 Minnesota 17")</f>
        <v>Wisconsin 7 Minnesota 17</v>
      </c>
      <c r="C74" t="b">
        <v>0</v>
      </c>
      <c r="J74" t="str">
        <f>IFERROR(__xludf.DUMMYFUNCTION("""COMPUTED_VALUE"""),"Minnesota")</f>
        <v>Minnesota</v>
      </c>
      <c r="K74" t="str">
        <f>IFERROR(__xludf.DUMMYFUNCTION("""COMPUTED_VALUE"""),"Wisconsin 7 Minnesota 17")</f>
        <v>Wisconsin 7 Minnesota 17</v>
      </c>
    </row>
    <row r="75">
      <c r="A75" t="str">
        <f>IFERROR(__xludf.DUMMYFUNCTION("""COMPUTED_VALUE"""),"Minnesota")</f>
        <v>Minnesota</v>
      </c>
      <c r="B75" t="str">
        <f>IFERROR(__xludf.DUMMYFUNCTION("""COMPUTED_VALUE"""),"Wisconsin 7 Minnesota 17")</f>
        <v>Wisconsin 7 Minnesota 17</v>
      </c>
      <c r="C75" t="b">
        <v>0</v>
      </c>
      <c r="J75" t="str">
        <f>IFERROR(__xludf.DUMMYFUNCTION("""COMPUTED_VALUE"""),"South Alabama")</f>
        <v>South Alabama</v>
      </c>
      <c r="K75" t="str">
        <f>IFERROR(__xludf.DUMMYFUNCTION("""COMPUTED_VALUE"""),"South Alabama 26 Texas State 49")</f>
        <v>South Alabama 26 Texas State 49</v>
      </c>
    </row>
    <row r="76">
      <c r="A76" t="str">
        <f>IFERROR(__xludf.DUMMYFUNCTION("""COMPUTED_VALUE"""),"South Alabama")</f>
        <v>South Alabama</v>
      </c>
      <c r="B76" t="str">
        <f>IFERROR(__xludf.DUMMYFUNCTION("""COMPUTED_VALUE"""),"South Alabama 26 Texas State 49")</f>
        <v>South Alabama 26 Texas State 49</v>
      </c>
      <c r="C76" t="b">
        <v>0</v>
      </c>
      <c r="J76" t="str">
        <f>IFERROR(__xludf.DUMMYFUNCTION("""COMPUTED_VALUE"""),"UTEP")</f>
        <v>UTEP</v>
      </c>
      <c r="K76" t="str">
        <f>IFERROR(__xludf.DUMMYFUNCTION("""COMPUTED_VALUE"""),"UTEP 31 Delaware 61")</f>
        <v>UTEP 31 Delaware 61</v>
      </c>
    </row>
    <row r="77">
      <c r="A77" t="str">
        <f>IFERROR(__xludf.DUMMYFUNCTION("""COMPUTED_VALUE"""),"UTEP")</f>
        <v>UTEP</v>
      </c>
      <c r="B77" t="str">
        <f>IFERROR(__xludf.DUMMYFUNCTION("""COMPUTED_VALUE"""),"UTEP 31 Delaware 61")</f>
        <v>UTEP 31 Delaware 61</v>
      </c>
      <c r="C77" t="b">
        <v>0</v>
      </c>
      <c r="J77" t="str">
        <f>IFERROR(__xludf.DUMMYFUNCTION("""COMPUTED_VALUE"""),"Pittsburgh")</f>
        <v>Pittsburgh</v>
      </c>
      <c r="K77" t="str">
        <f>IFERROR(__xludf.DUMMYFUNCTION("""COMPUTED_VALUE"""),"(13) Miami 38 (24) Pittsburgh 7")</f>
        <v>(13) Miami 38 (24) Pittsburgh 7</v>
      </c>
    </row>
    <row r="78">
      <c r="A78" t="str">
        <f>IFERROR(__xludf.DUMMYFUNCTION("""COMPUTED_VALUE"""),"Pittsburgh")</f>
        <v>Pittsburgh</v>
      </c>
      <c r="B78" t="str">
        <f>IFERROR(__xludf.DUMMYFUNCTION("""COMPUTED_VALUE"""),"(13) Miami 38 (24) Pittsburgh 7")</f>
        <v>(13) Miami 38 (24) Pittsburgh 7</v>
      </c>
      <c r="C78" t="b">
        <v>0</v>
      </c>
      <c r="J78" t="str">
        <f>IFERROR(__xludf.DUMMYFUNCTION("""COMPUTED_VALUE"""),"Miami-OH")</f>
        <v>Miami-OH</v>
      </c>
      <c r="K78" t="str">
        <f>IFERROR(__xludf.DUMMYFUNCTION("""COMPUTED_VALUE"""),"Ball State 24 Miami-OH 45")</f>
        <v>Ball State 24 Miami-OH 45</v>
      </c>
    </row>
    <row r="79">
      <c r="A79" t="str">
        <f>IFERROR(__xludf.DUMMYFUNCTION("""COMPUTED_VALUE"""),"Miami-OH")</f>
        <v>Miami-OH</v>
      </c>
      <c r="B79" t="str">
        <f>IFERROR(__xludf.DUMMYFUNCTION("""COMPUTED_VALUE"""),"Ball State 24 Miami-OH 45")</f>
        <v>Ball State 24 Miami-OH 45</v>
      </c>
      <c r="C79" t="b">
        <v>0</v>
      </c>
      <c r="J79" t="str">
        <f>IFERROR(__xludf.DUMMYFUNCTION("""COMPUTED_VALUE"""),"Texas A&amp;M")</f>
        <v>Texas A&amp;M</v>
      </c>
      <c r="K79" t="str">
        <f>IFERROR(__xludf.DUMMYFUNCTION("""COMPUTED_VALUE"""),"(3) Texas A&amp;M 17 (16) Texas 27")</f>
        <v>(3) Texas A&amp;M 17 (16) Texas 27</v>
      </c>
    </row>
    <row r="80">
      <c r="A80" t="str">
        <f>IFERROR(__xludf.DUMMYFUNCTION("""COMPUTED_VALUE"""),"Texas A&amp;M")</f>
        <v>Texas A&amp;M</v>
      </c>
      <c r="B80" t="str">
        <f>IFERROR(__xludf.DUMMYFUNCTION("""COMPUTED_VALUE"""),"(3) Texas A&amp;M 17 (16) Texas 27")</f>
        <v>(3) Texas A&amp;M 17 (16) Texas 27</v>
      </c>
      <c r="C80" t="b">
        <v>0</v>
      </c>
      <c r="J80" t="str">
        <f>IFERROR(__xludf.DUMMYFUNCTION("""COMPUTED_VALUE"""),"Memphis")</f>
        <v>Memphis</v>
      </c>
      <c r="K80" t="str">
        <f>IFERROR(__xludf.DUMMYFUNCTION("""COMPUTED_VALUE"""),"Navy 28 Memphis 17")</f>
        <v>Navy 28 Memphis 17</v>
      </c>
    </row>
    <row r="81">
      <c r="A81" t="str">
        <f>IFERROR(__xludf.DUMMYFUNCTION("""COMPUTED_VALUE"""),"Memphis")</f>
        <v>Memphis</v>
      </c>
      <c r="B81" t="str">
        <f>IFERROR(__xludf.DUMMYFUNCTION("""COMPUTED_VALUE"""),"Navy 28 Memphis 17")</f>
        <v>Navy 28 Memphis 17</v>
      </c>
      <c r="C81" t="b">
        <v>0</v>
      </c>
      <c r="J81" t="str">
        <f>IFERROR(__xludf.DUMMYFUNCTION("""COMPUTED_VALUE"""),"Nevada")</f>
        <v>Nevada</v>
      </c>
      <c r="K81" t="str">
        <f>IFERROR(__xludf.DUMMYFUNCTION("""COMPUTED_VALUE"""),"UNLV 42 Nevada 17")</f>
        <v>UNLV 42 Nevada 17</v>
      </c>
    </row>
    <row r="82">
      <c r="A82" t="str">
        <f>IFERROR(__xludf.DUMMYFUNCTION("""COMPUTED_VALUE"""),"Nevada")</f>
        <v>Nevada</v>
      </c>
      <c r="B82" t="str">
        <f>IFERROR(__xludf.DUMMYFUNCTION("""COMPUTED_VALUE"""),"UNLV 42 Nevada 17")</f>
        <v>UNLV 42 Nevada 17</v>
      </c>
      <c r="C82" t="b">
        <v>0</v>
      </c>
      <c r="J82" t="str">
        <f>IFERROR(__xludf.DUMMYFUNCTION("""COMPUTED_VALUE"""),"Illinois")</f>
        <v>Illinois</v>
      </c>
      <c r="K82" t="str">
        <f>IFERROR(__xludf.DUMMYFUNCTION("""COMPUTED_VALUE"""),"Northwestern 13 Illinois 20")</f>
        <v>Northwestern 13 Illinois 20</v>
      </c>
    </row>
    <row r="83">
      <c r="A83" t="str">
        <f>IFERROR(__xludf.DUMMYFUNCTION("""COMPUTED_VALUE"""),"Illinois")</f>
        <v>Illinois</v>
      </c>
      <c r="B83" t="str">
        <f>IFERROR(__xludf.DUMMYFUNCTION("""COMPUTED_VALUE"""),"Northwestern 13 Illinois 20")</f>
        <v>Northwestern 13 Illinois 20</v>
      </c>
      <c r="C83" t="b">
        <v>0</v>
      </c>
      <c r="J83" t="str">
        <f>IFERROR(__xludf.DUMMYFUNCTION("""COMPUTED_VALUE"""),"Coastal Carolina")</f>
        <v>Coastal Carolina</v>
      </c>
      <c r="K83" t="str">
        <f>IFERROR(__xludf.DUMMYFUNCTION("""COMPUTED_VALUE"""),"(21) James Madison 59 Coastal Carolina 10")</f>
        <v>(21) James Madison 59 Coastal Carolina 10</v>
      </c>
    </row>
    <row r="84">
      <c r="A84" t="str">
        <f>IFERROR(__xludf.DUMMYFUNCTION("""COMPUTED_VALUE"""),"Coastal Carolina")</f>
        <v>Coastal Carolina</v>
      </c>
      <c r="B84" t="str">
        <f>IFERROR(__xludf.DUMMYFUNCTION("""COMPUTED_VALUE"""),"(21) James Madison 59 Coastal Carolina 10")</f>
        <v>(21) James Madison 59 Coastal Carolina 10</v>
      </c>
      <c r="C84" t="b">
        <v>0</v>
      </c>
      <c r="J84" t="str">
        <f>IFERROR(__xludf.DUMMYFUNCTION("""COMPUTED_VALUE"""),"Arkansas")</f>
        <v>Arkansas</v>
      </c>
      <c r="K84" t="str">
        <f>IFERROR(__xludf.DUMMYFUNCTION("""COMPUTED_VALUE"""),"Missouri 31 Arkansas 17")</f>
        <v>Missouri 31 Arkansas 17</v>
      </c>
    </row>
    <row r="85">
      <c r="A85" t="str">
        <f>IFERROR(__xludf.DUMMYFUNCTION("""COMPUTED_VALUE"""),"Arkansas")</f>
        <v>Arkansas</v>
      </c>
      <c r="B85" t="str">
        <f>IFERROR(__xludf.DUMMYFUNCTION("""COMPUTED_VALUE"""),"Missouri 31 Arkansas 17")</f>
        <v>Missouri 31 Arkansas 17</v>
      </c>
      <c r="C85" t="b">
        <v>0</v>
      </c>
      <c r="J85" t="str">
        <f>IFERROR(__xludf.DUMMYFUNCTION("""COMPUTED_VALUE"""),"Missouri")</f>
        <v>Missouri</v>
      </c>
      <c r="K85" t="str">
        <f>IFERROR(__xludf.DUMMYFUNCTION("""COMPUTED_VALUE"""),"Missouri 31 Arkansas 17")</f>
        <v>Missouri 31 Arkansas 17</v>
      </c>
    </row>
    <row r="86">
      <c r="A86" t="str">
        <f>IFERROR(__xludf.DUMMYFUNCTION("""COMPUTED_VALUE"""),"Missouri")</f>
        <v>Missouri</v>
      </c>
      <c r="B86" t="str">
        <f>IFERROR(__xludf.DUMMYFUNCTION("""COMPUTED_VALUE"""),"Missouri 31 Arkansas 17")</f>
        <v>Missouri 31 Arkansas 17</v>
      </c>
      <c r="C86" t="b">
        <v>0</v>
      </c>
      <c r="J86" t="str">
        <f>IFERROR(__xludf.DUMMYFUNCTION("""COMPUTED_VALUE"""),"Jacksonville State")</f>
        <v>Jacksonville State</v>
      </c>
      <c r="K86" t="str">
        <f>IFERROR(__xludf.DUMMYFUNCTION("""COMPUTED_VALUE"""),"Western Kentucky 34 Jacksonville State 37")</f>
        <v>Western Kentucky 34 Jacksonville State 37</v>
      </c>
    </row>
    <row r="87">
      <c r="A87" t="str">
        <f>IFERROR(__xludf.DUMMYFUNCTION("""COMPUTED_VALUE"""),"Jacksonville State")</f>
        <v>Jacksonville State</v>
      </c>
      <c r="B87" t="str">
        <f>IFERROR(__xludf.DUMMYFUNCTION("""COMPUTED_VALUE"""),"Western Kentucky 34 Jacksonville State 37")</f>
        <v>Western Kentucky 34 Jacksonville State 37</v>
      </c>
      <c r="C87" t="b">
        <v>0</v>
      </c>
      <c r="J87" t="str">
        <f>IFERROR(__xludf.DUMMYFUNCTION("""COMPUTED_VALUE"""),"UCF")</f>
        <v>UCF</v>
      </c>
      <c r="K87" t="str">
        <f>IFERROR(__xludf.DUMMYFUNCTION("""COMPUTED_VALUE"""),"UCF 21 (11) BYU 41")</f>
        <v>UCF 21 (11) BYU 41</v>
      </c>
    </row>
    <row r="88">
      <c r="A88" t="str">
        <f>IFERROR(__xludf.DUMMYFUNCTION("""COMPUTED_VALUE"""),"UCF")</f>
        <v>UCF</v>
      </c>
      <c r="B88" t="str">
        <f>IFERROR(__xludf.DUMMYFUNCTION("""COMPUTED_VALUE"""),"UCF 21 (11) BYU 41")</f>
        <v>UCF 21 (11) BYU 41</v>
      </c>
      <c r="C88" t="b">
        <v>0</v>
      </c>
      <c r="J88" t="str">
        <f>IFERROR(__xludf.DUMMYFUNCTION("""COMPUTED_VALUE"""),"Miami")</f>
        <v>Miami</v>
      </c>
      <c r="K88" t="str">
        <f>IFERROR(__xludf.DUMMYFUNCTION("""COMPUTED_VALUE"""),"(13) Miami 38 (24) Pittsburgh 7")</f>
        <v>(13) Miami 38 (24) Pittsburgh 7</v>
      </c>
    </row>
    <row r="89">
      <c r="A89" t="str">
        <f>IFERROR(__xludf.DUMMYFUNCTION("""COMPUTED_VALUE"""),"Miami")</f>
        <v>Miami</v>
      </c>
      <c r="B89" t="str">
        <f>IFERROR(__xludf.DUMMYFUNCTION("""COMPUTED_VALUE"""),"(13) Miami 38 (24) Pittsburgh 7")</f>
        <v>(13) Miami 38 (24) Pittsburgh 7</v>
      </c>
      <c r="C89" t="b">
        <v>0</v>
      </c>
      <c r="J89" t="str">
        <f>IFERROR(__xludf.DUMMYFUNCTION("""COMPUTED_VALUE"""),"Toledo")</f>
        <v>Toledo</v>
      </c>
      <c r="K89" t="str">
        <f>IFERROR(__xludf.DUMMYFUNCTION("""COMPUTED_VALUE"""),"Toledo 21 Central Michigan 3")</f>
        <v>Toledo 21 Central Michigan 3</v>
      </c>
    </row>
    <row r="90">
      <c r="A90" t="str">
        <f>IFERROR(__xludf.DUMMYFUNCTION("""COMPUTED_VALUE"""),"Toledo")</f>
        <v>Toledo</v>
      </c>
      <c r="B90" t="str">
        <f>IFERROR(__xludf.DUMMYFUNCTION("""COMPUTED_VALUE"""),"Toledo 21 Central Michigan 3")</f>
        <v>Toledo 21 Central Michigan 3</v>
      </c>
      <c r="C90" t="b">
        <v>0</v>
      </c>
      <c r="J90" t="str">
        <f>IFERROR(__xludf.DUMMYFUNCTION("""COMPUTED_VALUE"""),"North Texas")</f>
        <v>North Texas</v>
      </c>
      <c r="K90" t="str">
        <f>IFERROR(__xludf.DUMMYFUNCTION("""COMPUTED_VALUE"""),"Temple 25 (22) North Texas 52")</f>
        <v>Temple 25 (22) North Texas 52</v>
      </c>
    </row>
    <row r="91">
      <c r="A91" t="str">
        <f>IFERROR(__xludf.DUMMYFUNCTION("""COMPUTED_VALUE"""),"North Texas")</f>
        <v>North Texas</v>
      </c>
      <c r="B91" t="str">
        <f>IFERROR(__xludf.DUMMYFUNCTION("""COMPUTED_VALUE"""),"Temple 25 (22) North Texas 52")</f>
        <v>Temple 25 (22) North Texas 52</v>
      </c>
      <c r="C91" t="b">
        <v>0</v>
      </c>
      <c r="J91" t="str">
        <f>IFERROR(__xludf.DUMMYFUNCTION("""COMPUTED_VALUE"""),"Charlotte")</f>
        <v>Charlotte</v>
      </c>
      <c r="K91" t="str">
        <f>IFERROR(__xludf.DUMMYFUNCTION("""COMPUTED_VALUE"""),"Charlotte 0 (23) Tulane 27")</f>
        <v>Charlotte 0 (23) Tulane 27</v>
      </c>
    </row>
    <row r="92">
      <c r="A92" t="str">
        <f>IFERROR(__xludf.DUMMYFUNCTION("""COMPUTED_VALUE"""),"Charlotte")</f>
        <v>Charlotte</v>
      </c>
      <c r="B92" t="str">
        <f>IFERROR(__xludf.DUMMYFUNCTION("""COMPUTED_VALUE"""),"Charlotte 0 (23) Tulane 27")</f>
        <v>Charlotte 0 (23) Tulane 27</v>
      </c>
      <c r="C92" t="b">
        <v>0</v>
      </c>
      <c r="J92" t="str">
        <f>IFERROR(__xludf.DUMMYFUNCTION("""COMPUTED_VALUE"""),"Duke")</f>
        <v>Duke</v>
      </c>
      <c r="K92" t="str">
        <f>IFERROR(__xludf.DUMMYFUNCTION("""COMPUTED_VALUE"""),"Wake Forest 32 Duke 49")</f>
        <v>Wake Forest 32 Duke 49</v>
      </c>
    </row>
    <row r="93">
      <c r="A93" t="str">
        <f>IFERROR(__xludf.DUMMYFUNCTION("""COMPUTED_VALUE"""),"Duke")</f>
        <v>Duke</v>
      </c>
      <c r="B93" t="str">
        <f>IFERROR(__xludf.DUMMYFUNCTION("""COMPUTED_VALUE"""),"Wake Forest 32 Duke 49")</f>
        <v>Wake Forest 32 Duke 49</v>
      </c>
      <c r="C93" t="b">
        <v>0</v>
      </c>
      <c r="J93" t="str">
        <f>IFERROR(__xludf.DUMMYFUNCTION("""COMPUTED_VALUE"""),"Louisiana Tech")</f>
        <v>Louisiana Tech</v>
      </c>
      <c r="K93" t="str">
        <f>IFERROR(__xludf.DUMMYFUNCTION("""COMPUTED_VALUE"""),"Louisiana Tech 42 Missouri State 30")</f>
        <v>Louisiana Tech 42 Missouri State 30</v>
      </c>
    </row>
    <row r="94">
      <c r="A94" t="str">
        <f>IFERROR(__xludf.DUMMYFUNCTION("""COMPUTED_VALUE"""),"Louisiana Tech")</f>
        <v>Louisiana Tech</v>
      </c>
      <c r="B94" t="str">
        <f>IFERROR(__xludf.DUMMYFUNCTION("""COMPUTED_VALUE"""),"Louisiana Tech 42 Missouri State 30")</f>
        <v>Louisiana Tech 42 Missouri State 30</v>
      </c>
      <c r="C94" t="b">
        <v>0</v>
      </c>
      <c r="J94" t="str">
        <f>IFERROR(__xludf.DUMMYFUNCTION("""COMPUTED_VALUE"""),"Georgia State")</f>
        <v>Georgia State</v>
      </c>
      <c r="K94" t="str">
        <f>IFERROR(__xludf.DUMMYFUNCTION("""COMPUTED_VALUE"""),"Georgia State 10 Old Dominion 27")</f>
        <v>Georgia State 10 Old Dominion 27</v>
      </c>
    </row>
    <row r="95">
      <c r="A95" t="str">
        <f>IFERROR(__xludf.DUMMYFUNCTION("""COMPUTED_VALUE"""),"Georgia State")</f>
        <v>Georgia State</v>
      </c>
      <c r="B95" t="str">
        <f>IFERROR(__xludf.DUMMYFUNCTION("""COMPUTED_VALUE"""),"Georgia State 10 Old Dominion 27")</f>
        <v>Georgia State 10 Old Dominion 27</v>
      </c>
      <c r="C95" t="b">
        <v>0</v>
      </c>
      <c r="J95" t="str">
        <f>IFERROR(__xludf.DUMMYFUNCTION("""COMPUTED_VALUE"""),"Clemson")</f>
        <v>Clemson</v>
      </c>
      <c r="K95" t="str">
        <f>IFERROR(__xludf.DUMMYFUNCTION("""COMPUTED_VALUE"""),"Clemson 28 South Carolina 14")</f>
        <v>Clemson 28 South Carolina 14</v>
      </c>
    </row>
    <row r="96">
      <c r="A96" t="str">
        <f>IFERROR(__xludf.DUMMYFUNCTION("""COMPUTED_VALUE"""),"Clemson")</f>
        <v>Clemson</v>
      </c>
      <c r="B96" t="str">
        <f>IFERROR(__xludf.DUMMYFUNCTION("""COMPUTED_VALUE"""),"Clemson 28 South Carolina 14")</f>
        <v>Clemson 28 South Carolina 14</v>
      </c>
      <c r="C96" t="b">
        <v>0</v>
      </c>
      <c r="J96" t="str">
        <f>IFERROR(__xludf.DUMMYFUNCTION("""COMPUTED_VALUE"""),"Baylor")</f>
        <v>Baylor</v>
      </c>
      <c r="K96" t="str">
        <f>IFERROR(__xludf.DUMMYFUNCTION("""COMPUTED_VALUE"""),"Houston 31 Baylor 24")</f>
        <v>Houston 31 Baylor 24</v>
      </c>
    </row>
    <row r="97">
      <c r="A97" t="str">
        <f>IFERROR(__xludf.DUMMYFUNCTION("""COMPUTED_VALUE"""),"Baylor")</f>
        <v>Baylor</v>
      </c>
      <c r="B97" t="str">
        <f>IFERROR(__xludf.DUMMYFUNCTION("""COMPUTED_VALUE"""),"Houston 31 Baylor 24")</f>
        <v>Houston 31 Baylor 24</v>
      </c>
      <c r="C97" t="b">
        <v>0</v>
      </c>
      <c r="J97" t="str">
        <f>IFERROR(__xludf.DUMMYFUNCTION("""COMPUTED_VALUE"""),"Ole Miss")</f>
        <v>Ole Miss</v>
      </c>
      <c r="K97" t="str">
        <f>IFERROR(__xludf.DUMMYFUNCTION("""COMPUTED_VALUE"""),"(6) Ole Miss 38 Mississippi State 19")</f>
        <v>(6) Ole Miss 38 Mississippi State 19</v>
      </c>
    </row>
    <row r="98">
      <c r="A98" t="str">
        <f>IFERROR(__xludf.DUMMYFUNCTION("""COMPUTED_VALUE"""),"Ole Miss")</f>
        <v>Ole Miss</v>
      </c>
      <c r="B98" t="str">
        <f>IFERROR(__xludf.DUMMYFUNCTION("""COMPUTED_VALUE"""),"(6) Ole Miss 38 Mississippi State 19")</f>
        <v>(6) Ole Miss 38 Mississippi State 19</v>
      </c>
      <c r="C98" t="b">
        <v>0</v>
      </c>
      <c r="J98" t="str">
        <f>IFERROR(__xludf.DUMMYFUNCTION("""COMPUTED_VALUE"""),"Buffalo")</f>
        <v>Buffalo</v>
      </c>
      <c r="K98" t="str">
        <f>IFERROR(__xludf.DUMMYFUNCTION("""COMPUTED_VALUE"""),"Ohio 31 Buffalo 26")</f>
        <v>Ohio 31 Buffalo 26</v>
      </c>
    </row>
    <row r="99">
      <c r="A99" t="str">
        <f>IFERROR(__xludf.DUMMYFUNCTION("""COMPUTED_VALUE"""),"Buffalo")</f>
        <v>Buffalo</v>
      </c>
      <c r="B99" t="str">
        <f>IFERROR(__xludf.DUMMYFUNCTION("""COMPUTED_VALUE"""),"Ohio 31 Buffalo 26")</f>
        <v>Ohio 31 Buffalo 26</v>
      </c>
      <c r="C99" t="b">
        <v>0</v>
      </c>
      <c r="J99" t="str">
        <f>IFERROR(__xludf.DUMMYFUNCTION("""COMPUTED_VALUE"""),"Iowa")</f>
        <v>Iowa</v>
      </c>
      <c r="K99" t="str">
        <f>IFERROR(__xludf.DUMMYFUNCTION("""COMPUTED_VALUE"""),"Iowa 40 Nebraska 16")</f>
        <v>Iowa 40 Nebraska 16</v>
      </c>
    </row>
    <row r="100">
      <c r="A100" t="str">
        <f>IFERROR(__xludf.DUMMYFUNCTION("""COMPUTED_VALUE"""),"Iowa")</f>
        <v>Iowa</v>
      </c>
      <c r="B100" t="str">
        <f>IFERROR(__xludf.DUMMYFUNCTION("""COMPUTED_VALUE"""),"Iowa 40 Nebraska 16")</f>
        <v>Iowa 40 Nebraska 16</v>
      </c>
      <c r="C100" t="b">
        <v>0</v>
      </c>
      <c r="J100" t="str">
        <f>IFERROR(__xludf.DUMMYFUNCTION("""COMPUTED_VALUE"""),"San Diego State")</f>
        <v>San Diego State</v>
      </c>
      <c r="K100" t="str">
        <f>IFERROR(__xludf.DUMMYFUNCTION("""COMPUTED_VALUE"""),"San Diego State 17 New Mexico 23")</f>
        <v>San Diego State 17 New Mexico 23</v>
      </c>
    </row>
    <row r="101">
      <c r="A101" t="str">
        <f>IFERROR(__xludf.DUMMYFUNCTION("""COMPUTED_VALUE"""),"San Diego State")</f>
        <v>San Diego State</v>
      </c>
      <c r="B101" t="str">
        <f>IFERROR(__xludf.DUMMYFUNCTION("""COMPUTED_VALUE"""),"San Diego State 17 New Mexico 23")</f>
        <v>San Diego State 17 New Mexico 23</v>
      </c>
      <c r="C101" t="b">
        <v>0</v>
      </c>
      <c r="J101" t="str">
        <f>IFERROR(__xludf.DUMMYFUNCTION("""COMPUTED_VALUE"""),"Fresno State")</f>
        <v>Fresno State</v>
      </c>
      <c r="K101" t="str">
        <f>IFERROR(__xludf.DUMMYFUNCTION("""COMPUTED_VALUE"""),"Fresno State 41 San José State 14")</f>
        <v>Fresno State 41 San José State 14</v>
      </c>
    </row>
    <row r="102">
      <c r="A102" t="str">
        <f>IFERROR(__xludf.DUMMYFUNCTION("""COMPUTED_VALUE"""),"Fresno State")</f>
        <v>Fresno State</v>
      </c>
      <c r="B102" t="str">
        <f>IFERROR(__xludf.DUMMYFUNCTION("""COMPUTED_VALUE"""),"Fresno State 41 San José State 14")</f>
        <v>Fresno State 41 San José State 14</v>
      </c>
      <c r="C102" t="b">
        <v>0</v>
      </c>
      <c r="J102" t="str">
        <f>IFERROR(__xludf.DUMMYFUNCTION("""COMPUTED_VALUE"""),"James Madison")</f>
        <v>James Madison</v>
      </c>
      <c r="K102" t="str">
        <f>IFERROR(__xludf.DUMMYFUNCTION("""COMPUTED_VALUE"""),"(21) James Madison 59 Coastal Carolina 10")</f>
        <v>(21) James Madison 59 Coastal Carolina 10</v>
      </c>
    </row>
    <row r="103">
      <c r="A103" t="str">
        <f>IFERROR(__xludf.DUMMYFUNCTION("""COMPUTED_VALUE"""),"James Madison")</f>
        <v>James Madison</v>
      </c>
      <c r="B103" t="str">
        <f>IFERROR(__xludf.DUMMYFUNCTION("""COMPUTED_VALUE"""),"(21) James Madison 59 Coastal Carolina 10")</f>
        <v>(21) James Madison 59 Coastal Carolina 10</v>
      </c>
      <c r="C103" t="b">
        <v>0</v>
      </c>
      <c r="J103" t="str">
        <f>IFERROR(__xludf.DUMMYFUNCTION("""COMPUTED_VALUE"""),"Vanderbilt")</f>
        <v>Vanderbilt</v>
      </c>
      <c r="K103" t="str">
        <f>IFERROR(__xludf.DUMMYFUNCTION("""COMPUTED_VALUE"""),"(12) Vanderbilt 45 (18) Tennessee 24")</f>
        <v>(12) Vanderbilt 45 (18) Tennessee 24</v>
      </c>
    </row>
    <row r="104">
      <c r="A104" t="str">
        <f>IFERROR(__xludf.DUMMYFUNCTION("""COMPUTED_VALUE"""),"Vanderbilt")</f>
        <v>Vanderbilt</v>
      </c>
      <c r="B104" t="str">
        <f>IFERROR(__xludf.DUMMYFUNCTION("""COMPUTED_VALUE"""),"(12) Vanderbilt 45 (18) Tennessee 24")</f>
        <v>(12) Vanderbilt 45 (18) Tennessee 24</v>
      </c>
      <c r="C104" t="b">
        <v>0</v>
      </c>
      <c r="J104" t="str">
        <f>IFERROR(__xludf.DUMMYFUNCTION("""COMPUTED_VALUE"""),"Army")</f>
        <v>Army</v>
      </c>
      <c r="K104" t="str">
        <f>IFERROR(__xludf.DUMMYFUNCTION("""COMPUTED_VALUE"""),"Army 27 UTSA 24")</f>
        <v>Army 27 UTSA 24</v>
      </c>
    </row>
    <row r="105">
      <c r="A105" t="str">
        <f>IFERROR(__xludf.DUMMYFUNCTION("""COMPUTED_VALUE"""),"Army")</f>
        <v>Army</v>
      </c>
      <c r="B105" t="str">
        <f>IFERROR(__xludf.DUMMYFUNCTION("""COMPUTED_VALUE"""),"Army 27 UTSA 24")</f>
        <v>Army 27 UTSA 24</v>
      </c>
      <c r="C105" t="b">
        <v>0</v>
      </c>
      <c r="J105" t="str">
        <f>IFERROR(__xludf.DUMMYFUNCTION("""COMPUTED_VALUE"""),"Rutgers")</f>
        <v>Rutgers</v>
      </c>
      <c r="K105" t="str">
        <f>IFERROR(__xludf.DUMMYFUNCTION("""COMPUTED_VALUE"""),"Penn State 40 Rutgers 36")</f>
        <v>Penn State 40 Rutgers 36</v>
      </c>
    </row>
    <row r="106">
      <c r="A106" t="str">
        <f>IFERROR(__xludf.DUMMYFUNCTION("""COMPUTED_VALUE"""),"Rutgers")</f>
        <v>Rutgers</v>
      </c>
      <c r="B106" t="str">
        <f>IFERROR(__xludf.DUMMYFUNCTION("""COMPUTED_VALUE"""),"Penn State 40 Rutgers 36")</f>
        <v>Penn State 40 Rutgers 36</v>
      </c>
      <c r="C106" t="b">
        <v>0</v>
      </c>
      <c r="J106" t="str">
        <f>IFERROR(__xludf.DUMMYFUNCTION("""COMPUTED_VALUE"""),"Western Kentucky")</f>
        <v>Western Kentucky</v>
      </c>
      <c r="K106" t="str">
        <f>IFERROR(__xludf.DUMMYFUNCTION("""COMPUTED_VALUE"""),"Western Kentucky 34 Jacksonville State 37")</f>
        <v>Western Kentucky 34 Jacksonville State 37</v>
      </c>
    </row>
    <row r="107">
      <c r="A107" t="str">
        <f>IFERROR(__xludf.DUMMYFUNCTION("""COMPUTED_VALUE"""),"Western Kentucky")</f>
        <v>Western Kentucky</v>
      </c>
      <c r="B107" t="str">
        <f>IFERROR(__xludf.DUMMYFUNCTION("""COMPUTED_VALUE"""),"Western Kentucky 34 Jacksonville State 37")</f>
        <v>Western Kentucky 34 Jacksonville State 37</v>
      </c>
      <c r="C107" t="b">
        <v>0</v>
      </c>
      <c r="J107" t="str">
        <f>IFERROR(__xludf.DUMMYFUNCTION("""COMPUTED_VALUE"""),"Houston")</f>
        <v>Houston</v>
      </c>
      <c r="K107" t="str">
        <f>IFERROR(__xludf.DUMMYFUNCTION("""COMPUTED_VALUE"""),"Houston 31 Baylor 24")</f>
        <v>Houston 31 Baylor 24</v>
      </c>
    </row>
    <row r="108">
      <c r="A108" t="str">
        <f>IFERROR(__xludf.DUMMYFUNCTION("""COMPUTED_VALUE"""),"Houston")</f>
        <v>Houston</v>
      </c>
      <c r="B108" t="str">
        <f>IFERROR(__xludf.DUMMYFUNCTION("""COMPUTED_VALUE"""),"Houston 31 Baylor 24")</f>
        <v>Houston 31 Baylor 24</v>
      </c>
      <c r="C108" t="b">
        <v>0</v>
      </c>
      <c r="J108" t="str">
        <f>IFERROR(__xludf.DUMMYFUNCTION("""COMPUTED_VALUE"""),"Georgia Tech")</f>
        <v>Georgia Tech</v>
      </c>
      <c r="K108" t="str">
        <f>IFERROR(__xludf.DUMMYFUNCTION("""COMPUTED_VALUE"""),"(4) Georgia 16 (19) Georgia Tech 9")</f>
        <v>(4) Georgia 16 (19) Georgia Tech 9</v>
      </c>
    </row>
    <row r="109">
      <c r="A109" t="str">
        <f>IFERROR(__xludf.DUMMYFUNCTION("""COMPUTED_VALUE"""),"Georgia Tech")</f>
        <v>Georgia Tech</v>
      </c>
      <c r="B109" t="str">
        <f>IFERROR(__xludf.DUMMYFUNCTION("""COMPUTED_VALUE"""),"(4) Georgia 16 (19) Georgia Tech 9")</f>
        <v>(4) Georgia 16 (19) Georgia Tech 9</v>
      </c>
      <c r="C109" t="b">
        <v>0</v>
      </c>
      <c r="J109" t="str">
        <f>IFERROR(__xludf.DUMMYFUNCTION("""COMPUTED_VALUE"""),"Western Michigan")</f>
        <v>Western Michigan</v>
      </c>
      <c r="K109" t="str">
        <f>IFERROR(__xludf.DUMMYFUNCTION("""COMPUTED_VALUE"""),"Western Michigan 31 EMU 21")</f>
        <v>Western Michigan 31 EMU 21</v>
      </c>
    </row>
    <row r="110">
      <c r="A110" t="str">
        <f>IFERROR(__xludf.DUMMYFUNCTION("""COMPUTED_VALUE"""),"Western Michigan")</f>
        <v>Western Michigan</v>
      </c>
      <c r="B110" t="str">
        <f>IFERROR(__xludf.DUMMYFUNCTION("""COMPUTED_VALUE"""),"Western Michigan 31 EMU 21")</f>
        <v>Western Michigan 31 EMU 21</v>
      </c>
      <c r="C110" t="b">
        <v>0</v>
      </c>
      <c r="J110" t="str">
        <f>IFERROR(__xludf.DUMMYFUNCTION("""COMPUTED_VALUE"""),"Wyoming")</f>
        <v>Wyoming</v>
      </c>
      <c r="K110" t="str">
        <f>IFERROR(__xludf.DUMMYFUNCTION("""COMPUTED_VALUE"""),"Wyoming 7 Hawaii 27")</f>
        <v>Wyoming 7 Hawaii 27</v>
      </c>
    </row>
    <row r="111">
      <c r="A111" t="str">
        <f>IFERROR(__xludf.DUMMYFUNCTION("""COMPUTED_VALUE"""),"Wyoming")</f>
        <v>Wyoming</v>
      </c>
      <c r="B111" t="str">
        <f>IFERROR(__xludf.DUMMYFUNCTION("""COMPUTED_VALUE"""),"Wyoming 7 Hawaii 27")</f>
        <v>Wyoming 7 Hawaii 27</v>
      </c>
      <c r="C111" t="b">
        <v>0</v>
      </c>
      <c r="J111" t="str">
        <f>IFERROR(__xludf.DUMMYFUNCTION("""COMPUTED_VALUE"""),"Tulane")</f>
        <v>Tulane</v>
      </c>
      <c r="K111" t="str">
        <f>IFERROR(__xludf.DUMMYFUNCTION("""COMPUTED_VALUE"""),"Charlotte 0 (23) Tulane 27")</f>
        <v>Charlotte 0 (23) Tulane 27</v>
      </c>
    </row>
    <row r="112">
      <c r="A112" t="str">
        <f>IFERROR(__xludf.DUMMYFUNCTION("""COMPUTED_VALUE"""),"Tulane")</f>
        <v>Tulane</v>
      </c>
      <c r="B112" t="str">
        <f>IFERROR(__xludf.DUMMYFUNCTION("""COMPUTED_VALUE"""),"Charlotte 0 (23) Tulane 27")</f>
        <v>Charlotte 0 (23) Tulane 27</v>
      </c>
      <c r="C112" t="b">
        <v>0</v>
      </c>
      <c r="J112" t="str">
        <f>IFERROR(__xludf.DUMMYFUNCTION("""COMPUTED_VALUE"""),"Arkansas State")</f>
        <v>Arkansas State</v>
      </c>
      <c r="K112" t="str">
        <f>IFERROR(__xludf.DUMMYFUNCTION("""COMPUTED_VALUE"""),"Arkansas State 30 Appalachian State 29")</f>
        <v>Arkansas State 30 Appalachian State 29</v>
      </c>
    </row>
    <row r="113">
      <c r="A113" t="str">
        <f>IFERROR(__xludf.DUMMYFUNCTION("""COMPUTED_VALUE"""),"Arkansas State")</f>
        <v>Arkansas State</v>
      </c>
      <c r="B113" t="str">
        <f>IFERROR(__xludf.DUMMYFUNCTION("""COMPUTED_VALUE"""),"Arkansas State 30 Appalachian State 29")</f>
        <v>Arkansas State 30 Appalachian State 29</v>
      </c>
      <c r="C113" t="b">
        <v>0</v>
      </c>
      <c r="J113" t="str">
        <f>IFERROR(__xludf.DUMMYFUNCTION("""COMPUTED_VALUE"""),"Florida Intl")</f>
        <v>Florida Intl</v>
      </c>
      <c r="K113" t="str">
        <f>IFERROR(__xludf.DUMMYFUNCTION("""COMPUTED_VALUE"""),"Florida Intl 56 Sam Houston 16")</f>
        <v>Florida Intl 56 Sam Houston 16</v>
      </c>
    </row>
    <row r="114">
      <c r="A114" t="str">
        <f>IFERROR(__xludf.DUMMYFUNCTION("""COMPUTED_VALUE"""),"Florida Intl")</f>
        <v>Florida Intl</v>
      </c>
      <c r="B114" t="str">
        <f>IFERROR(__xludf.DUMMYFUNCTION("""COMPUTED_VALUE"""),"Florida Intl 56 Sam Houston 16")</f>
        <v>Florida Intl 56 Sam Houston 16</v>
      </c>
      <c r="C114" t="b">
        <v>0</v>
      </c>
      <c r="J114" t="str">
        <f>IFERROR(__xludf.DUMMYFUNCTION("""COMPUTED_VALUE"""),"South Carolina")</f>
        <v>South Carolina</v>
      </c>
      <c r="K114" t="str">
        <f>IFERROR(__xludf.DUMMYFUNCTION("""COMPUTED_VALUE"""),"Clemson 28 South Carolina 14")</f>
        <v>Clemson 28 South Carolina 14</v>
      </c>
    </row>
    <row r="115">
      <c r="A115" t="str">
        <f>IFERROR(__xludf.DUMMYFUNCTION("""COMPUTED_VALUE"""),"South Carolina")</f>
        <v>South Carolina</v>
      </c>
      <c r="B115" t="str">
        <f>IFERROR(__xludf.DUMMYFUNCTION("""COMPUTED_VALUE"""),"Clemson 28 South Carolina 14")</f>
        <v>Clemson 28 South Carolina 14</v>
      </c>
      <c r="C115" t="b">
        <v>0</v>
      </c>
      <c r="J115" t="str">
        <f>IFERROR(__xludf.DUMMYFUNCTION("""COMPUTED_VALUE"""),"West Virginia")</f>
        <v>West Virginia</v>
      </c>
      <c r="K115" t="str">
        <f>IFERROR(__xludf.DUMMYFUNCTION("""COMPUTED_VALUE"""),"(7) Texas Tech 49 West Virginia 0")</f>
        <v>(7) Texas Tech 49 West Virginia 0</v>
      </c>
    </row>
    <row r="116">
      <c r="A116" t="str">
        <f>IFERROR(__xludf.DUMMYFUNCTION("""COMPUTED_VALUE"""),"West Virginia")</f>
        <v>West Virginia</v>
      </c>
      <c r="B116" t="str">
        <f>IFERROR(__xludf.DUMMYFUNCTION("""COMPUTED_VALUE"""),"(7) Texas Tech 49 West Virginia 0")</f>
        <v>(7) Texas Tech 49 West Virginia 0</v>
      </c>
      <c r="C116" t="b">
        <v>0</v>
      </c>
      <c r="J116" t="str">
        <f>IFERROR(__xludf.DUMMYFUNCTION("""COMPUTED_VALUE"""),"Louisville")</f>
        <v>Louisville</v>
      </c>
      <c r="K116" t="str">
        <f>IFERROR(__xludf.DUMMYFUNCTION("""COMPUTED_VALUE"""),"Kentucky 0 Louisville 41")</f>
        <v>Kentucky 0 Louisville 41</v>
      </c>
    </row>
    <row r="117">
      <c r="A117" t="str">
        <f>IFERROR(__xludf.DUMMYFUNCTION("""COMPUTED_VALUE"""),"Louisville")</f>
        <v>Louisville</v>
      </c>
      <c r="B117" t="str">
        <f>IFERROR(__xludf.DUMMYFUNCTION("""COMPUTED_VALUE"""),"Kentucky 0 Louisville 41")</f>
        <v>Kentucky 0 Louisville 41</v>
      </c>
      <c r="C117" t="b">
        <v>0</v>
      </c>
      <c r="J117" t="str">
        <f>IFERROR(__xludf.DUMMYFUNCTION("""COMPUTED_VALUE"""),"Central Michigan")</f>
        <v>Central Michigan</v>
      </c>
      <c r="K117" t="str">
        <f>IFERROR(__xludf.DUMMYFUNCTION("""COMPUTED_VALUE"""),"Toledo 21 Central Michigan 3")</f>
        <v>Toledo 21 Central Michigan 3</v>
      </c>
    </row>
    <row r="118">
      <c r="A118" t="str">
        <f>IFERROR(__xludf.DUMMYFUNCTION("""COMPUTED_VALUE"""),"Central Michigan")</f>
        <v>Central Michigan</v>
      </c>
      <c r="B118" t="str">
        <f>IFERROR(__xludf.DUMMYFUNCTION("""COMPUTED_VALUE"""),"Toledo 21 Central Michigan 3")</f>
        <v>Toledo 21 Central Michigan 3</v>
      </c>
      <c r="C118" t="b">
        <v>0</v>
      </c>
      <c r="J118" t="str">
        <f>IFERROR(__xludf.DUMMYFUNCTION("""COMPUTED_VALUE"""),"Texas")</f>
        <v>Texas</v>
      </c>
      <c r="K118" t="str">
        <f>IFERROR(__xludf.DUMMYFUNCTION("""COMPUTED_VALUE"""),"(3) Texas A&amp;M 17 (16) Texas 27")</f>
        <v>(3) Texas A&amp;M 17 (16) Texas 27</v>
      </c>
    </row>
    <row r="119">
      <c r="A119" t="str">
        <f>IFERROR(__xludf.DUMMYFUNCTION("""COMPUTED_VALUE"""),"Texas")</f>
        <v>Texas</v>
      </c>
      <c r="B119" t="str">
        <f>IFERROR(__xludf.DUMMYFUNCTION("""COMPUTED_VALUE"""),"(3) Texas A&amp;M 17 (16) Texas 27")</f>
        <v>(3) Texas A&amp;M 17 (16) Texas 27</v>
      </c>
      <c r="C119" t="b">
        <v>0</v>
      </c>
      <c r="J119" t="str">
        <f>IFERROR(__xludf.DUMMYFUNCTION("""COMPUTED_VALUE"""),"Indiana")</f>
        <v>Indiana</v>
      </c>
      <c r="K119" t="str">
        <f>IFERROR(__xludf.DUMMYFUNCTION("""COMPUTED_VALUE"""),"(2) Indiana 56 Purdue 3")</f>
        <v>(2) Indiana 56 Purdue 3</v>
      </c>
    </row>
    <row r="120">
      <c r="A120" t="str">
        <f>IFERROR(__xludf.DUMMYFUNCTION("""COMPUTED_VALUE"""),"Indiana")</f>
        <v>Indiana</v>
      </c>
      <c r="B120" t="str">
        <f>IFERROR(__xludf.DUMMYFUNCTION("""COMPUTED_VALUE"""),"(2) Indiana 56 Purdue 3")</f>
        <v>(2) Indiana 56 Purdue 3</v>
      </c>
      <c r="C120" t="b">
        <v>0</v>
      </c>
      <c r="J120" t="str">
        <f>IFERROR(__xludf.DUMMYFUNCTION("""COMPUTED_VALUE"""),"Stanford")</f>
        <v>Stanford</v>
      </c>
      <c r="K120" t="str">
        <f>IFERROR(__xludf.DUMMYFUNCTION("""COMPUTED_VALUE"""),"(9) Notre Dame 49 Stanford 20")</f>
        <v>(9) Notre Dame 49 Stanford 20</v>
      </c>
    </row>
    <row r="121">
      <c r="A121" t="str">
        <f>IFERROR(__xludf.DUMMYFUNCTION("""COMPUTED_VALUE"""),"Stanford")</f>
        <v>Stanford</v>
      </c>
      <c r="B121" t="str">
        <f>IFERROR(__xludf.DUMMYFUNCTION("""COMPUTED_VALUE"""),"(9) Notre Dame 49 Stanford 20")</f>
        <v>(9) Notre Dame 49 Stanford 20</v>
      </c>
      <c r="C121" t="b">
        <v>0</v>
      </c>
      <c r="J121" t="str">
        <f>IFERROR(__xludf.DUMMYFUNCTION("""COMPUTED_VALUE"""),"Northwestern")</f>
        <v>Northwestern</v>
      </c>
      <c r="K121" t="str">
        <f>IFERROR(__xludf.DUMMYFUNCTION("""COMPUTED_VALUE"""),"Northwestern 13 Illinois 20")</f>
        <v>Northwestern 13 Illinois 20</v>
      </c>
    </row>
    <row r="122">
      <c r="A122" t="str">
        <f>IFERROR(__xludf.DUMMYFUNCTION("""COMPUTED_VALUE"""),"Northwestern")</f>
        <v>Northwestern</v>
      </c>
      <c r="B122" t="str">
        <f>IFERROR(__xludf.DUMMYFUNCTION("""COMPUTED_VALUE"""),"Northwestern 13 Illinois 20")</f>
        <v>Northwestern 13 Illinois 20</v>
      </c>
      <c r="C122" t="b">
        <v>0</v>
      </c>
      <c r="J122" t="str">
        <f>IFERROR(__xludf.DUMMYFUNCTION("""COMPUTED_VALUE"""),"Maryland")</f>
        <v>Maryland</v>
      </c>
      <c r="K122" t="str">
        <f>IFERROR(__xludf.DUMMYFUNCTION("""COMPUTED_VALUE"""),"Maryland 28 Michigan State 38")</f>
        <v>Maryland 28 Michigan State 38</v>
      </c>
    </row>
    <row r="123">
      <c r="A123" t="str">
        <f>IFERROR(__xludf.DUMMYFUNCTION("""COMPUTED_VALUE"""),"Maryland")</f>
        <v>Maryland</v>
      </c>
      <c r="B123" t="str">
        <f>IFERROR(__xludf.DUMMYFUNCTION("""COMPUTED_VALUE"""),"Maryland 28 Michigan State 38")</f>
        <v>Maryland 28 Michigan State 38</v>
      </c>
      <c r="C123" t="b">
        <v>0</v>
      </c>
      <c r="J123" t="str">
        <f>IFERROR(__xludf.DUMMYFUNCTION("""COMPUTED_VALUE"""),"Wake Forest")</f>
        <v>Wake Forest</v>
      </c>
      <c r="K123" t="str">
        <f>IFERROR(__xludf.DUMMYFUNCTION("""COMPUTED_VALUE"""),"Wake Forest 32 Duke 49")</f>
        <v>Wake Forest 32 Duke 49</v>
      </c>
    </row>
    <row r="124">
      <c r="A124" t="str">
        <f>IFERROR(__xludf.DUMMYFUNCTION("""COMPUTED_VALUE"""),"Wake Forest")</f>
        <v>Wake Forest</v>
      </c>
      <c r="B124" t="str">
        <f>IFERROR(__xludf.DUMMYFUNCTION("""COMPUTED_VALUE"""),"Wake Forest 32 Duke 49")</f>
        <v>Wake Forest 32 Duke 49</v>
      </c>
      <c r="C124" t="b">
        <v>0</v>
      </c>
      <c r="J124" t="str">
        <f>IFERROR(__xludf.DUMMYFUNCTION("""COMPUTED_VALUE"""),"Boston College")</f>
        <v>Boston College</v>
      </c>
      <c r="K124" t="str">
        <f>IFERROR(__xludf.DUMMYFUNCTION("""COMPUTED_VALUE"""),"Boston College 34 Syracuse 12")</f>
        <v>Boston College 34 Syracuse 12</v>
      </c>
    </row>
    <row r="125">
      <c r="A125" t="str">
        <f>IFERROR(__xludf.DUMMYFUNCTION("""COMPUTED_VALUE"""),"Boston College")</f>
        <v>Boston College</v>
      </c>
      <c r="B125" t="str">
        <f>IFERROR(__xludf.DUMMYFUNCTION("""COMPUTED_VALUE"""),"Boston College 34 Syracuse 12")</f>
        <v>Boston College 34 Syracuse 12</v>
      </c>
      <c r="C125" t="b">
        <v>0</v>
      </c>
      <c r="J125" t="str">
        <f>IFERROR(__xludf.DUMMYFUNCTION("""COMPUTED_VALUE"""),"Syracuse")</f>
        <v>Syracuse</v>
      </c>
      <c r="K125" t="str">
        <f>IFERROR(__xludf.DUMMYFUNCTION("""COMPUTED_VALUE"""),"Boston College 34 Syracuse 12")</f>
        <v>Boston College 34 Syracuse 12</v>
      </c>
    </row>
    <row r="126">
      <c r="A126" t="str">
        <f>IFERROR(__xludf.DUMMYFUNCTION("""COMPUTED_VALUE"""),"Syracuse")</f>
        <v>Syracuse</v>
      </c>
      <c r="B126" t="str">
        <f>IFERROR(__xludf.DUMMYFUNCTION("""COMPUTED_VALUE"""),"Boston College 34 Syracuse 12")</f>
        <v>Boston College 34 Syracuse 12</v>
      </c>
      <c r="C126" t="b">
        <v>0</v>
      </c>
      <c r="J126" t="str">
        <f>IFERROR(__xludf.DUMMYFUNCTION("""COMPUTED_VALUE"""),"Tulsa")</f>
        <v>Tulsa</v>
      </c>
      <c r="K126" t="str">
        <f>IFERROR(__xludf.DUMMYFUNCTION("""COMPUTED_VALUE"""),"UAB 31 Tulsa 24")</f>
        <v>UAB 31 Tulsa 24</v>
      </c>
    </row>
    <row r="127">
      <c r="A127" t="str">
        <f>IFERROR(__xludf.DUMMYFUNCTION("""COMPUTED_VALUE"""),"Tulsa")</f>
        <v>Tulsa</v>
      </c>
      <c r="B127" t="str">
        <f>IFERROR(__xludf.DUMMYFUNCTION("""COMPUTED_VALUE"""),"UAB 31 Tulsa 24")</f>
        <v>UAB 31 Tulsa 24</v>
      </c>
      <c r="C127" t="b">
        <v>0</v>
      </c>
      <c r="J127" t="str">
        <f>IFERROR(__xludf.DUMMYFUNCTION("""COMPUTED_VALUE"""),"Arizona")</f>
        <v>Arizona</v>
      </c>
      <c r="K127" t="str">
        <f>IFERROR(__xludf.DUMMYFUNCTION("""COMPUTED_VALUE"""),"Arizona 23 Arizona State 7")</f>
        <v>Arizona 23 Arizona State 7</v>
      </c>
    </row>
    <row r="128">
      <c r="A128" t="str">
        <f>IFERROR(__xludf.DUMMYFUNCTION("""COMPUTED_VALUE"""),"Arizona")</f>
        <v>Arizona</v>
      </c>
      <c r="B128" t="str">
        <f>IFERROR(__xludf.DUMMYFUNCTION("""COMPUTED_VALUE"""),"Arizona 23 Arizona State 7")</f>
        <v>Arizona 23 Arizona State 7</v>
      </c>
      <c r="C128" t="b">
        <v>0</v>
      </c>
      <c r="J128" t="str">
        <f>IFERROR(__xludf.DUMMYFUNCTION("""COMPUTED_VALUE"""),"Purdue")</f>
        <v>Purdue</v>
      </c>
      <c r="K128" t="str">
        <f>IFERROR(__xludf.DUMMYFUNCTION("""COMPUTED_VALUE"""),"(2) Indiana 56 Purdue 3")</f>
        <v>(2) Indiana 56 Purdue 3</v>
      </c>
    </row>
    <row r="129">
      <c r="A129" t="str">
        <f>IFERROR(__xludf.DUMMYFUNCTION("""COMPUTED_VALUE"""),"Purdue")</f>
        <v>Purdue</v>
      </c>
      <c r="B129" t="str">
        <f>IFERROR(__xludf.DUMMYFUNCTION("""COMPUTED_VALUE"""),"(2) Indiana 56 Purdue 3")</f>
        <v>(2) Indiana 56 Purdue 3</v>
      </c>
      <c r="C129" t="b">
        <v>0</v>
      </c>
      <c r="J129" t="str">
        <f>IFERROR(__xludf.DUMMYFUNCTION("""COMPUTED_VALUE"""),"Temple")</f>
        <v>Temple</v>
      </c>
      <c r="K129" t="str">
        <f>IFERROR(__xludf.DUMMYFUNCTION("""COMPUTED_VALUE"""),"Temple 25 (22) North Texas 52")</f>
        <v>Temple 25 (22) North Texas 52</v>
      </c>
    </row>
    <row r="130">
      <c r="A130" t="str">
        <f>IFERROR(__xludf.DUMMYFUNCTION("""COMPUTED_VALUE"""),"Temple")</f>
        <v>Temple</v>
      </c>
      <c r="B130" t="str">
        <f>IFERROR(__xludf.DUMMYFUNCTION("""COMPUTED_VALUE"""),"Temple 25 (22) North Texas 52")</f>
        <v>Temple 25 (22) North Texas 52</v>
      </c>
      <c r="C130" t="b">
        <v>0</v>
      </c>
      <c r="J130" t="str">
        <f>IFERROR(__xludf.DUMMYFUNCTION("""COMPUTED_VALUE"""),"Washington State")</f>
        <v>Washington State</v>
      </c>
      <c r="K130" t="str">
        <f>IFERROR(__xludf.DUMMYFUNCTION("""COMPUTED_VALUE"""),"Oregon State 8 Washington State 32")</f>
        <v>Oregon State 8 Washington State 32</v>
      </c>
    </row>
    <row r="131">
      <c r="A131" t="str">
        <f>IFERROR(__xludf.DUMMYFUNCTION("""COMPUTED_VALUE"""),"Washington State")</f>
        <v>Washington State</v>
      </c>
      <c r="B131" t="str">
        <f>IFERROR(__xludf.DUMMYFUNCTION("""COMPUTED_VALUE"""),"Oregon State 8 Washington State 32")</f>
        <v>Oregon State 8 Washington State 32</v>
      </c>
      <c r="C131" t="b">
        <v>0</v>
      </c>
      <c r="J131" t="str">
        <f>IFERROR(__xludf.DUMMYFUNCTION("""COMPUTED_VALUE"""),"Southern Mississippi")</f>
        <v>Southern Mississippi</v>
      </c>
      <c r="K131" t="str">
        <f>IFERROR(__xludf.DUMMYFUNCTION("""COMPUTED_VALUE"""),"Troy 28 Southern Mississippi 18")</f>
        <v>Troy 28 Southern Mississippi 18</v>
      </c>
    </row>
    <row r="132">
      <c r="A132" t="str">
        <f>IFERROR(__xludf.DUMMYFUNCTION("""COMPUTED_VALUE"""),"Southern Mississippi")</f>
        <v>Southern Mississippi</v>
      </c>
      <c r="B132" t="str">
        <f>IFERROR(__xludf.DUMMYFUNCTION("""COMPUTED_VALUE"""),"Troy 28 Southern Mississippi 18")</f>
        <v>Troy 28 Southern Mississippi 18</v>
      </c>
      <c r="C132" t="b">
        <v>0</v>
      </c>
      <c r="J132" t="str">
        <f>IFERROR(__xludf.DUMMYFUNCTION("""COMPUTED_VALUE"""),"Kentucky")</f>
        <v>Kentucky</v>
      </c>
      <c r="K132" t="str">
        <f>IFERROR(__xludf.DUMMYFUNCTION("""COMPUTED_VALUE"""),"Kentucky 0 Louisville 41")</f>
        <v>Kentucky 0 Louisville 41</v>
      </c>
    </row>
    <row r="133">
      <c r="A133" t="str">
        <f>IFERROR(__xludf.DUMMYFUNCTION("""COMPUTED_VALUE"""),"Kentucky")</f>
        <v>Kentucky</v>
      </c>
      <c r="B133" t="str">
        <f>IFERROR(__xludf.DUMMYFUNCTION("""COMPUTED_VALUE"""),"Kentucky 0 Louisville 41")</f>
        <v>Kentucky 0 Louisville 41</v>
      </c>
      <c r="C133" t="b">
        <v>0</v>
      </c>
      <c r="J133" t="str">
        <f>IFERROR(__xludf.DUMMYFUNCTION("""COMPUTED_VALUE"""),"Mississippi State")</f>
        <v>Mississippi State</v>
      </c>
      <c r="K133" t="str">
        <f>IFERROR(__xludf.DUMMYFUNCTION("""COMPUTED_VALUE"""),"(6) Ole Miss 38 Mississippi State 19")</f>
        <v>(6) Ole Miss 38 Mississippi State 19</v>
      </c>
    </row>
    <row r="134">
      <c r="A134" t="str">
        <f>IFERROR(__xludf.DUMMYFUNCTION("""COMPUTED_VALUE"""),"Mississippi State")</f>
        <v>Mississippi State</v>
      </c>
      <c r="B134" t="str">
        <f>IFERROR(__xludf.DUMMYFUNCTION("""COMPUTED_VALUE"""),"(6) Ole Miss 38 Mississippi State 19")</f>
        <v>(6) Ole Miss 38 Mississippi State 19</v>
      </c>
      <c r="C134" t="b">
        <v>0</v>
      </c>
      <c r="J134" t="str">
        <f>IFERROR(__xludf.DUMMYFUNCTION("""COMPUTED_VALUE"""),"Kent State")</f>
        <v>Kent State</v>
      </c>
      <c r="K134" t="str">
        <f>IFERROR(__xludf.DUMMYFUNCTION("""COMPUTED_VALUE"""),"Kent State 35 Northern Illinois 31")</f>
        <v>Kent State 35 Northern Illinois 31</v>
      </c>
    </row>
    <row r="135">
      <c r="A135" t="str">
        <f>IFERROR(__xludf.DUMMYFUNCTION("""COMPUTED_VALUE"""),"Kent State")</f>
        <v>Kent State</v>
      </c>
      <c r="B135" t="str">
        <f>IFERROR(__xludf.DUMMYFUNCTION("""COMPUTED_VALUE"""),"Kent State 35 Northern Illinois 31")</f>
        <v>Kent State 35 Northern Illinois 31</v>
      </c>
      <c r="C135" t="b">
        <v>0</v>
      </c>
      <c r="J135" t="str">
        <f>IFERROR(__xludf.DUMMYFUNCTION("""COMPUTED_VALUE"""),"UL Monroe")</f>
        <v>UL Monroe</v>
      </c>
      <c r="K135" t="str">
        <f>IFERROR(__xludf.DUMMYFUNCTION("""COMPUTED_VALUE"""),"UL Monroe 27 UL Lafayette 30")</f>
        <v>UL Monroe 27 UL Lafayette 30</v>
      </c>
    </row>
    <row r="136">
      <c r="A136" t="str">
        <f>IFERROR(__xludf.DUMMYFUNCTION("""COMPUTED_VALUE"""),"UL Monroe")</f>
        <v>UL Monroe</v>
      </c>
      <c r="B136" t="str">
        <f>IFERROR(__xludf.DUMMYFUNCTION("""COMPUTED_VALUE"""),"UL Monroe 27 UL Lafayette 30")</f>
        <v>UL Monroe 27 UL Lafayette 30</v>
      </c>
      <c r="C136" t="b">
        <v>0</v>
      </c>
    </row>
    <row r="137">
      <c r="C137" t="s">
        <v>898</v>
      </c>
    </row>
    <row r="138">
      <c r="C138" t="s">
        <v>898</v>
      </c>
    </row>
    <row r="139">
      <c r="C139" t="s">
        <v>898</v>
      </c>
    </row>
    <row r="140">
      <c r="C140" t="s">
        <v>898</v>
      </c>
    </row>
    <row r="141">
      <c r="C141" t="s">
        <v>898</v>
      </c>
    </row>
    <row r="142">
      <c r="C142" t="s">
        <v>898</v>
      </c>
    </row>
    <row r="143">
      <c r="C143" t="s">
        <v>898</v>
      </c>
    </row>
    <row r="144">
      <c r="C144" t="s">
        <v>898</v>
      </c>
    </row>
    <row r="145">
      <c r="C145" t="s">
        <v>898</v>
      </c>
    </row>
    <row r="146">
      <c r="C146" t="s">
        <v>898</v>
      </c>
    </row>
    <row r="147">
      <c r="C147" t="s">
        <v>898</v>
      </c>
    </row>
    <row r="148">
      <c r="C148" t="s">
        <v>898</v>
      </c>
    </row>
    <row r="149">
      <c r="C149" t="s">
        <v>898</v>
      </c>
    </row>
    <row r="150">
      <c r="C150" t="s">
        <v>898</v>
      </c>
    </row>
    <row r="151">
      <c r="C151" t="s">
        <v>898</v>
      </c>
    </row>
    <row r="152">
      <c r="C152" t="s">
        <v>898</v>
      </c>
    </row>
    <row r="153">
      <c r="C153" t="s">
        <v>898</v>
      </c>
    </row>
    <row r="154">
      <c r="C154" t="s">
        <v>898</v>
      </c>
    </row>
    <row r="155">
      <c r="C155" t="s">
        <v>898</v>
      </c>
    </row>
    <row r="156">
      <c r="C156" t="s">
        <v>898</v>
      </c>
    </row>
    <row r="157">
      <c r="C157" t="s">
        <v>898</v>
      </c>
    </row>
    <row r="158">
      <c r="C158" t="s">
        <v>898</v>
      </c>
    </row>
    <row r="159">
      <c r="C159" t="s">
        <v>898</v>
      </c>
    </row>
    <row r="160">
      <c r="C160" t="s">
        <v>898</v>
      </c>
    </row>
    <row r="161">
      <c r="C161" t="s">
        <v>898</v>
      </c>
    </row>
    <row r="162">
      <c r="C162" t="s">
        <v>898</v>
      </c>
    </row>
    <row r="163">
      <c r="C163" t="s">
        <v>898</v>
      </c>
    </row>
    <row r="164">
      <c r="C164" t="s">
        <v>898</v>
      </c>
    </row>
    <row r="165">
      <c r="C165" t="s">
        <v>898</v>
      </c>
    </row>
    <row r="166">
      <c r="C166" t="s">
        <v>898</v>
      </c>
    </row>
    <row r="167">
      <c r="C167" t="s">
        <v>898</v>
      </c>
    </row>
    <row r="168">
      <c r="C168" t="s">
        <v>898</v>
      </c>
    </row>
    <row r="169">
      <c r="C169" t="s">
        <v>898</v>
      </c>
    </row>
    <row r="170">
      <c r="C170" t="s">
        <v>898</v>
      </c>
    </row>
    <row r="171">
      <c r="C171" t="s">
        <v>898</v>
      </c>
    </row>
    <row r="172">
      <c r="C172" t="s">
        <v>898</v>
      </c>
    </row>
    <row r="173">
      <c r="C173" t="s">
        <v>898</v>
      </c>
    </row>
    <row r="174">
      <c r="C174" t="s">
        <v>898</v>
      </c>
    </row>
    <row r="175">
      <c r="C175" t="s">
        <v>898</v>
      </c>
    </row>
    <row r="176">
      <c r="C176" t="s">
        <v>898</v>
      </c>
    </row>
    <row r="177">
      <c r="C177" t="s">
        <v>898</v>
      </c>
    </row>
    <row r="178">
      <c r="C178" t="s">
        <v>898</v>
      </c>
    </row>
    <row r="179">
      <c r="C179" t="s">
        <v>898</v>
      </c>
    </row>
    <row r="180">
      <c r="C180" t="s">
        <v>898</v>
      </c>
    </row>
    <row r="181">
      <c r="C181" t="s">
        <v>898</v>
      </c>
    </row>
    <row r="182">
      <c r="C182" t="s">
        <v>898</v>
      </c>
    </row>
    <row r="183">
      <c r="C183" t="s">
        <v>898</v>
      </c>
    </row>
    <row r="184">
      <c r="C184" t="s">
        <v>898</v>
      </c>
    </row>
    <row r="185">
      <c r="C185" t="s">
        <v>898</v>
      </c>
    </row>
    <row r="186">
      <c r="C186" t="s">
        <v>898</v>
      </c>
    </row>
    <row r="187">
      <c r="C187" t="s">
        <v>898</v>
      </c>
    </row>
    <row r="188">
      <c r="C188" t="s">
        <v>898</v>
      </c>
    </row>
    <row r="189">
      <c r="C189" t="s">
        <v>898</v>
      </c>
    </row>
    <row r="190">
      <c r="C190" t="s">
        <v>898</v>
      </c>
    </row>
    <row r="191">
      <c r="C191" t="s">
        <v>898</v>
      </c>
    </row>
    <row r="192">
      <c r="C192" t="s">
        <v>898</v>
      </c>
    </row>
    <row r="193">
      <c r="C193" t="s">
        <v>898</v>
      </c>
    </row>
    <row r="194">
      <c r="C194" t="s">
        <v>898</v>
      </c>
    </row>
    <row r="195">
      <c r="C195" t="s">
        <v>898</v>
      </c>
    </row>
    <row r="196">
      <c r="C196" t="s">
        <v>898</v>
      </c>
    </row>
    <row r="197">
      <c r="C197" t="s">
        <v>898</v>
      </c>
    </row>
    <row r="198">
      <c r="C198" t="s">
        <v>898</v>
      </c>
    </row>
    <row r="199">
      <c r="C199" t="s">
        <v>898</v>
      </c>
    </row>
    <row r="200">
      <c r="C200" t="s">
        <v>898</v>
      </c>
    </row>
    <row r="201">
      <c r="C201" t="s">
        <v>898</v>
      </c>
    </row>
    <row r="202">
      <c r="C202" t="s">
        <v>898</v>
      </c>
    </row>
    <row r="203">
      <c r="C203" t="s">
        <v>898</v>
      </c>
    </row>
    <row r="204">
      <c r="C204" t="s">
        <v>898</v>
      </c>
    </row>
    <row r="205">
      <c r="C205" t="s">
        <v>898</v>
      </c>
    </row>
    <row r="206">
      <c r="C206" t="s">
        <v>898</v>
      </c>
    </row>
    <row r="207">
      <c r="C207" t="s">
        <v>898</v>
      </c>
    </row>
    <row r="208">
      <c r="C208" t="s">
        <v>898</v>
      </c>
    </row>
    <row r="209">
      <c r="C209" t="s">
        <v>898</v>
      </c>
    </row>
    <row r="210">
      <c r="C210" t="s">
        <v>898</v>
      </c>
    </row>
    <row r="211">
      <c r="C211" t="s">
        <v>898</v>
      </c>
    </row>
    <row r="212">
      <c r="C212" t="s">
        <v>898</v>
      </c>
    </row>
    <row r="213">
      <c r="C213" t="s">
        <v>898</v>
      </c>
    </row>
    <row r="214">
      <c r="C214" t="s">
        <v>898</v>
      </c>
    </row>
    <row r="215">
      <c r="C215" t="s">
        <v>898</v>
      </c>
    </row>
    <row r="216">
      <c r="C216" t="s">
        <v>898</v>
      </c>
    </row>
    <row r="217">
      <c r="C217" t="s">
        <v>898</v>
      </c>
    </row>
    <row r="218">
      <c r="C218" t="s">
        <v>898</v>
      </c>
    </row>
    <row r="219">
      <c r="C219" t="s">
        <v>898</v>
      </c>
    </row>
    <row r="220">
      <c r="C220" t="s">
        <v>898</v>
      </c>
    </row>
    <row r="221">
      <c r="C221" t="s">
        <v>898</v>
      </c>
    </row>
    <row r="222">
      <c r="C222" t="s">
        <v>898</v>
      </c>
    </row>
    <row r="223">
      <c r="C223" t="s">
        <v>898</v>
      </c>
    </row>
    <row r="224">
      <c r="C224" t="s">
        <v>898</v>
      </c>
    </row>
    <row r="225">
      <c r="C225" t="s">
        <v>898</v>
      </c>
    </row>
    <row r="226">
      <c r="C226" t="s">
        <v>898</v>
      </c>
    </row>
    <row r="227">
      <c r="C227" t="s">
        <v>898</v>
      </c>
    </row>
    <row r="228">
      <c r="C228" t="s">
        <v>898</v>
      </c>
    </row>
    <row r="229">
      <c r="C229" t="s">
        <v>898</v>
      </c>
    </row>
    <row r="230">
      <c r="C230" t="s">
        <v>898</v>
      </c>
    </row>
    <row r="231">
      <c r="C231" t="s">
        <v>898</v>
      </c>
    </row>
    <row r="232">
      <c r="C232" t="s">
        <v>898</v>
      </c>
    </row>
    <row r="233">
      <c r="C233" t="s">
        <v>898</v>
      </c>
    </row>
    <row r="234">
      <c r="C234" t="s">
        <v>898</v>
      </c>
    </row>
    <row r="235">
      <c r="C235" t="s">
        <v>898</v>
      </c>
    </row>
    <row r="236">
      <c r="C236" t="s">
        <v>898</v>
      </c>
    </row>
    <row r="237">
      <c r="C237" t="s">
        <v>898</v>
      </c>
    </row>
    <row r="238">
      <c r="C238" t="s">
        <v>898</v>
      </c>
    </row>
    <row r="239">
      <c r="C239" t="s">
        <v>898</v>
      </c>
    </row>
    <row r="240">
      <c r="C240" t="s">
        <v>898</v>
      </c>
    </row>
    <row r="241">
      <c r="C241" t="s">
        <v>898</v>
      </c>
    </row>
    <row r="242">
      <c r="C242" t="s">
        <v>898</v>
      </c>
    </row>
    <row r="243">
      <c r="C243" t="s">
        <v>898</v>
      </c>
    </row>
    <row r="244">
      <c r="C244" t="s">
        <v>898</v>
      </c>
    </row>
    <row r="245">
      <c r="C245" t="s">
        <v>898</v>
      </c>
    </row>
    <row r="246">
      <c r="C246" t="s">
        <v>898</v>
      </c>
    </row>
    <row r="247">
      <c r="C247" t="s">
        <v>898</v>
      </c>
    </row>
    <row r="248">
      <c r="C248" t="s">
        <v>898</v>
      </c>
    </row>
    <row r="249">
      <c r="C249" t="s">
        <v>898</v>
      </c>
    </row>
    <row r="250">
      <c r="C250" t="s">
        <v>898</v>
      </c>
    </row>
    <row r="251">
      <c r="C251" t="s">
        <v>898</v>
      </c>
    </row>
    <row r="252">
      <c r="C252" t="s">
        <v>898</v>
      </c>
    </row>
    <row r="253">
      <c r="C253" t="s">
        <v>898</v>
      </c>
    </row>
    <row r="254">
      <c r="C254" t="s">
        <v>898</v>
      </c>
    </row>
    <row r="255">
      <c r="C255" t="s">
        <v>898</v>
      </c>
    </row>
    <row r="256">
      <c r="C256" t="s">
        <v>898</v>
      </c>
    </row>
    <row r="257">
      <c r="C257" t="s">
        <v>898</v>
      </c>
    </row>
    <row r="258">
      <c r="C258" t="s">
        <v>898</v>
      </c>
    </row>
    <row r="259">
      <c r="C259" t="s">
        <v>898</v>
      </c>
    </row>
    <row r="260">
      <c r="C260" t="s">
        <v>898</v>
      </c>
    </row>
    <row r="261">
      <c r="C261" t="s">
        <v>898</v>
      </c>
    </row>
    <row r="262">
      <c r="C262" t="s">
        <v>898</v>
      </c>
    </row>
    <row r="263">
      <c r="C263" t="s">
        <v>898</v>
      </c>
    </row>
    <row r="264">
      <c r="C264" t="s">
        <v>898</v>
      </c>
    </row>
    <row r="265">
      <c r="C265" t="s">
        <v>898</v>
      </c>
    </row>
    <row r="266">
      <c r="C266" t="s">
        <v>898</v>
      </c>
    </row>
    <row r="267">
      <c r="C267" t="s">
        <v>898</v>
      </c>
    </row>
    <row r="268">
      <c r="C268" t="s">
        <v>898</v>
      </c>
    </row>
    <row r="269">
      <c r="C269" t="s">
        <v>898</v>
      </c>
    </row>
    <row r="270">
      <c r="C270" t="s">
        <v>898</v>
      </c>
    </row>
    <row r="271">
      <c r="C271" t="s">
        <v>898</v>
      </c>
    </row>
    <row r="272">
      <c r="C272" t="s">
        <v>898</v>
      </c>
    </row>
    <row r="273">
      <c r="C273" t="s">
        <v>898</v>
      </c>
    </row>
    <row r="274">
      <c r="C274" t="s">
        <v>898</v>
      </c>
    </row>
    <row r="275">
      <c r="C275" t="s">
        <v>898</v>
      </c>
    </row>
    <row r="276">
      <c r="C276" t="s">
        <v>898</v>
      </c>
    </row>
    <row r="277">
      <c r="C277" t="s">
        <v>898</v>
      </c>
    </row>
    <row r="278">
      <c r="C278" t="s">
        <v>898</v>
      </c>
    </row>
    <row r="279">
      <c r="C279" t="s">
        <v>898</v>
      </c>
    </row>
    <row r="280">
      <c r="C280" t="s">
        <v>898</v>
      </c>
    </row>
    <row r="281">
      <c r="C281" t="s">
        <v>898</v>
      </c>
    </row>
    <row r="282">
      <c r="C282" t="s">
        <v>898</v>
      </c>
    </row>
    <row r="283">
      <c r="C283" t="s">
        <v>898</v>
      </c>
    </row>
    <row r="284">
      <c r="C284" t="s">
        <v>898</v>
      </c>
    </row>
    <row r="285">
      <c r="C285" t="s">
        <v>898</v>
      </c>
    </row>
    <row r="286">
      <c r="C286" t="s">
        <v>898</v>
      </c>
    </row>
    <row r="287">
      <c r="C287" t="s">
        <v>898</v>
      </c>
    </row>
    <row r="288">
      <c r="C288" t="s">
        <v>898</v>
      </c>
    </row>
    <row r="289">
      <c r="C289" t="s">
        <v>898</v>
      </c>
    </row>
    <row r="290">
      <c r="C290" t="s">
        <v>898</v>
      </c>
    </row>
    <row r="291">
      <c r="C291" t="s">
        <v>898</v>
      </c>
    </row>
    <row r="292">
      <c r="C292" t="s">
        <v>898</v>
      </c>
    </row>
    <row r="293">
      <c r="C293" t="s">
        <v>898</v>
      </c>
    </row>
    <row r="294">
      <c r="C294" t="s">
        <v>898</v>
      </c>
    </row>
    <row r="295">
      <c r="C295" t="s">
        <v>898</v>
      </c>
    </row>
    <row r="296">
      <c r="C296" t="s">
        <v>898</v>
      </c>
    </row>
    <row r="297">
      <c r="C297" t="s">
        <v>898</v>
      </c>
    </row>
    <row r="298">
      <c r="C298" t="s">
        <v>898</v>
      </c>
    </row>
    <row r="299">
      <c r="C299" t="s">
        <v>898</v>
      </c>
    </row>
    <row r="300">
      <c r="C300" t="s">
        <v>898</v>
      </c>
    </row>
    <row r="301">
      <c r="C301" t="s">
        <v>898</v>
      </c>
    </row>
    <row r="302">
      <c r="C302" t="s">
        <v>898</v>
      </c>
    </row>
    <row r="303">
      <c r="C303" t="s">
        <v>898</v>
      </c>
    </row>
    <row r="304">
      <c r="C304" t="s">
        <v>898</v>
      </c>
    </row>
    <row r="305">
      <c r="C305" t="s">
        <v>898</v>
      </c>
    </row>
    <row r="306">
      <c r="C306" t="s">
        <v>898</v>
      </c>
    </row>
    <row r="307">
      <c r="C307" t="s">
        <v>898</v>
      </c>
    </row>
    <row r="308">
      <c r="C308" t="s">
        <v>898</v>
      </c>
    </row>
    <row r="309">
      <c r="C309" t="s">
        <v>898</v>
      </c>
    </row>
    <row r="310">
      <c r="C310" t="s">
        <v>898</v>
      </c>
    </row>
    <row r="311">
      <c r="C311" t="s">
        <v>898</v>
      </c>
    </row>
    <row r="312">
      <c r="C312" t="s">
        <v>898</v>
      </c>
    </row>
    <row r="313">
      <c r="C313" t="s">
        <v>898</v>
      </c>
    </row>
    <row r="314">
      <c r="C314" t="s">
        <v>898</v>
      </c>
    </row>
    <row r="315">
      <c r="C315" t="s">
        <v>898</v>
      </c>
    </row>
    <row r="316">
      <c r="C316" t="s">
        <v>898</v>
      </c>
    </row>
    <row r="317">
      <c r="C317" t="s">
        <v>898</v>
      </c>
    </row>
    <row r="318">
      <c r="C318" t="s">
        <v>898</v>
      </c>
    </row>
    <row r="319">
      <c r="C319" t="s">
        <v>898</v>
      </c>
    </row>
    <row r="320">
      <c r="C320" t="s">
        <v>898</v>
      </c>
    </row>
    <row r="321">
      <c r="C321" t="s">
        <v>898</v>
      </c>
    </row>
    <row r="322">
      <c r="C322" t="s">
        <v>898</v>
      </c>
    </row>
    <row r="323">
      <c r="C323" t="s">
        <v>898</v>
      </c>
    </row>
    <row r="324">
      <c r="C324" t="s">
        <v>898</v>
      </c>
    </row>
    <row r="325">
      <c r="C325" t="s">
        <v>898</v>
      </c>
    </row>
    <row r="326">
      <c r="C326" t="s">
        <v>898</v>
      </c>
    </row>
    <row r="327">
      <c r="C327" t="s">
        <v>898</v>
      </c>
    </row>
    <row r="328">
      <c r="C328" t="s">
        <v>898</v>
      </c>
    </row>
    <row r="329">
      <c r="C329" t="s">
        <v>898</v>
      </c>
    </row>
    <row r="330">
      <c r="C330" t="s">
        <v>898</v>
      </c>
    </row>
    <row r="331">
      <c r="C331" t="s">
        <v>898</v>
      </c>
    </row>
    <row r="332">
      <c r="C332" t="s">
        <v>898</v>
      </c>
    </row>
    <row r="333">
      <c r="C333" t="s">
        <v>898</v>
      </c>
    </row>
    <row r="334">
      <c r="C334" t="s">
        <v>898</v>
      </c>
    </row>
    <row r="335">
      <c r="C335" t="s">
        <v>898</v>
      </c>
    </row>
    <row r="336">
      <c r="C336" t="s">
        <v>898</v>
      </c>
    </row>
    <row r="337">
      <c r="C337" t="s">
        <v>898</v>
      </c>
    </row>
    <row r="338">
      <c r="C338" t="s">
        <v>898</v>
      </c>
    </row>
    <row r="339">
      <c r="C339" t="s">
        <v>898</v>
      </c>
    </row>
    <row r="340">
      <c r="C340" t="s">
        <v>898</v>
      </c>
    </row>
    <row r="341">
      <c r="C341" t="s">
        <v>898</v>
      </c>
    </row>
    <row r="342">
      <c r="C342" t="s">
        <v>898</v>
      </c>
    </row>
    <row r="343">
      <c r="C343" t="s">
        <v>898</v>
      </c>
    </row>
    <row r="344">
      <c r="C344" t="s">
        <v>898</v>
      </c>
    </row>
    <row r="345">
      <c r="C345" t="s">
        <v>898</v>
      </c>
    </row>
    <row r="346">
      <c r="C346" t="s">
        <v>898</v>
      </c>
    </row>
    <row r="347">
      <c r="C347" t="s">
        <v>898</v>
      </c>
    </row>
    <row r="348">
      <c r="C348" t="s">
        <v>898</v>
      </c>
    </row>
    <row r="349">
      <c r="C349" t="s">
        <v>898</v>
      </c>
    </row>
    <row r="350">
      <c r="C350" t="s">
        <v>898</v>
      </c>
    </row>
    <row r="351">
      <c r="C351" t="s">
        <v>898</v>
      </c>
    </row>
    <row r="352">
      <c r="C352" t="s">
        <v>898</v>
      </c>
    </row>
    <row r="353">
      <c r="C353" t="s">
        <v>898</v>
      </c>
    </row>
    <row r="354">
      <c r="C354" t="s">
        <v>898</v>
      </c>
    </row>
    <row r="355">
      <c r="C355" t="s">
        <v>898</v>
      </c>
    </row>
    <row r="356">
      <c r="C356" t="s">
        <v>898</v>
      </c>
    </row>
    <row r="357">
      <c r="C357" t="s">
        <v>898</v>
      </c>
    </row>
    <row r="358">
      <c r="C358" t="s">
        <v>898</v>
      </c>
    </row>
    <row r="359">
      <c r="C359" t="s">
        <v>898</v>
      </c>
    </row>
    <row r="360">
      <c r="C360" t="s">
        <v>898</v>
      </c>
    </row>
    <row r="361">
      <c r="C361" t="s">
        <v>898</v>
      </c>
    </row>
    <row r="362">
      <c r="C362" t="s">
        <v>898</v>
      </c>
    </row>
    <row r="363">
      <c r="C363" t="s">
        <v>898</v>
      </c>
    </row>
    <row r="364">
      <c r="C364" t="s">
        <v>898</v>
      </c>
    </row>
    <row r="365">
      <c r="C365" t="s">
        <v>898</v>
      </c>
    </row>
    <row r="366">
      <c r="C366" t="s">
        <v>898</v>
      </c>
    </row>
    <row r="367">
      <c r="C367" t="s">
        <v>898</v>
      </c>
    </row>
    <row r="368">
      <c r="C368" t="s">
        <v>898</v>
      </c>
    </row>
    <row r="369">
      <c r="C369" t="s">
        <v>898</v>
      </c>
    </row>
    <row r="370">
      <c r="C370" t="s">
        <v>898</v>
      </c>
    </row>
    <row r="371">
      <c r="C371" t="s">
        <v>898</v>
      </c>
    </row>
    <row r="372">
      <c r="C372" t="s">
        <v>898</v>
      </c>
    </row>
    <row r="373">
      <c r="C373" t="s">
        <v>898</v>
      </c>
    </row>
    <row r="374">
      <c r="C374" t="s">
        <v>898</v>
      </c>
    </row>
    <row r="375">
      <c r="C375" t="s">
        <v>898</v>
      </c>
    </row>
    <row r="376">
      <c r="C376" t="s">
        <v>898</v>
      </c>
    </row>
    <row r="377">
      <c r="C377" t="s">
        <v>898</v>
      </c>
    </row>
    <row r="378">
      <c r="C378" t="s">
        <v>898</v>
      </c>
    </row>
    <row r="379">
      <c r="C379" t="s">
        <v>898</v>
      </c>
    </row>
    <row r="380">
      <c r="C380" t="s">
        <v>898</v>
      </c>
    </row>
    <row r="381">
      <c r="C381" t="s">
        <v>898</v>
      </c>
    </row>
    <row r="382">
      <c r="C382" t="s">
        <v>898</v>
      </c>
    </row>
    <row r="383">
      <c r="C383" t="s">
        <v>898</v>
      </c>
    </row>
    <row r="384">
      <c r="C384" t="s">
        <v>898</v>
      </c>
    </row>
    <row r="385">
      <c r="C385" t="s">
        <v>898</v>
      </c>
    </row>
    <row r="386">
      <c r="C386" t="s">
        <v>898</v>
      </c>
    </row>
    <row r="387">
      <c r="C387" t="s">
        <v>898</v>
      </c>
    </row>
    <row r="388">
      <c r="C388" t="s">
        <v>898</v>
      </c>
    </row>
    <row r="389">
      <c r="C389" t="s">
        <v>898</v>
      </c>
    </row>
    <row r="390">
      <c r="C390" t="s">
        <v>898</v>
      </c>
    </row>
    <row r="391">
      <c r="C391" t="s">
        <v>898</v>
      </c>
    </row>
    <row r="392">
      <c r="C392" t="s">
        <v>898</v>
      </c>
    </row>
    <row r="393">
      <c r="C393" t="s">
        <v>898</v>
      </c>
    </row>
    <row r="394">
      <c r="C394" t="s">
        <v>898</v>
      </c>
    </row>
    <row r="395">
      <c r="C395" t="s">
        <v>898</v>
      </c>
    </row>
    <row r="396">
      <c r="C396" t="s">
        <v>898</v>
      </c>
    </row>
    <row r="397">
      <c r="C397" t="s">
        <v>898</v>
      </c>
    </row>
    <row r="398">
      <c r="C398" t="s">
        <v>898</v>
      </c>
    </row>
    <row r="399">
      <c r="C399" t="s">
        <v>898</v>
      </c>
    </row>
    <row r="400">
      <c r="C400" t="s">
        <v>898</v>
      </c>
    </row>
    <row r="401">
      <c r="C401" t="s">
        <v>898</v>
      </c>
    </row>
    <row r="402">
      <c r="C402" t="s">
        <v>898</v>
      </c>
    </row>
    <row r="403">
      <c r="C403" t="s">
        <v>898</v>
      </c>
    </row>
    <row r="404">
      <c r="C404" t="s">
        <v>898</v>
      </c>
    </row>
    <row r="405">
      <c r="C405" t="s">
        <v>898</v>
      </c>
    </row>
    <row r="406">
      <c r="C406" t="s">
        <v>898</v>
      </c>
    </row>
    <row r="407">
      <c r="C407" t="s">
        <v>898</v>
      </c>
    </row>
    <row r="408">
      <c r="C408" t="s">
        <v>898</v>
      </c>
    </row>
    <row r="409">
      <c r="C409" t="s">
        <v>898</v>
      </c>
    </row>
    <row r="410">
      <c r="C410" t="s">
        <v>898</v>
      </c>
    </row>
    <row r="411">
      <c r="C411" t="s">
        <v>898</v>
      </c>
    </row>
    <row r="412">
      <c r="C412" t="s">
        <v>898</v>
      </c>
    </row>
    <row r="413">
      <c r="C413" t="s">
        <v>898</v>
      </c>
    </row>
    <row r="414">
      <c r="C414" t="s">
        <v>898</v>
      </c>
    </row>
    <row r="415">
      <c r="C415" t="s">
        <v>898</v>
      </c>
    </row>
    <row r="416">
      <c r="C416" t="s">
        <v>898</v>
      </c>
    </row>
    <row r="417">
      <c r="C417" t="s">
        <v>898</v>
      </c>
    </row>
    <row r="418">
      <c r="C418" t="s">
        <v>898</v>
      </c>
    </row>
    <row r="419">
      <c r="C419" t="s">
        <v>898</v>
      </c>
    </row>
    <row r="420">
      <c r="C420" t="s">
        <v>898</v>
      </c>
    </row>
    <row r="421">
      <c r="C421" t="s">
        <v>898</v>
      </c>
    </row>
    <row r="422">
      <c r="C422" t="s">
        <v>898</v>
      </c>
    </row>
    <row r="423">
      <c r="C423" t="s">
        <v>898</v>
      </c>
    </row>
    <row r="424">
      <c r="C424" t="s">
        <v>898</v>
      </c>
    </row>
    <row r="425">
      <c r="C425" t="s">
        <v>898</v>
      </c>
    </row>
    <row r="426">
      <c r="C426" t="s">
        <v>898</v>
      </c>
    </row>
    <row r="427">
      <c r="C427" t="s">
        <v>898</v>
      </c>
    </row>
    <row r="428">
      <c r="C428" t="s">
        <v>898</v>
      </c>
    </row>
    <row r="429">
      <c r="C429" t="s">
        <v>898</v>
      </c>
    </row>
    <row r="430">
      <c r="C430" t="s">
        <v>898</v>
      </c>
    </row>
    <row r="431">
      <c r="C431" t="s">
        <v>898</v>
      </c>
    </row>
    <row r="432">
      <c r="C432" t="s">
        <v>898</v>
      </c>
    </row>
    <row r="433">
      <c r="C433" t="s">
        <v>898</v>
      </c>
    </row>
    <row r="434">
      <c r="C434" t="s">
        <v>898</v>
      </c>
    </row>
    <row r="435">
      <c r="C435" t="s">
        <v>898</v>
      </c>
    </row>
    <row r="436">
      <c r="C436" t="s">
        <v>898</v>
      </c>
    </row>
    <row r="437">
      <c r="C437" t="s">
        <v>898</v>
      </c>
    </row>
    <row r="438">
      <c r="C438" t="s">
        <v>898</v>
      </c>
    </row>
    <row r="439">
      <c r="C439" t="s">
        <v>898</v>
      </c>
    </row>
    <row r="440">
      <c r="C440" t="s">
        <v>898</v>
      </c>
    </row>
    <row r="441">
      <c r="C441" t="s">
        <v>898</v>
      </c>
    </row>
    <row r="442">
      <c r="C442" t="s">
        <v>898</v>
      </c>
    </row>
    <row r="443">
      <c r="C443" t="s">
        <v>898</v>
      </c>
    </row>
    <row r="444">
      <c r="C444" t="s">
        <v>898</v>
      </c>
    </row>
    <row r="445">
      <c r="C445" t="s">
        <v>898</v>
      </c>
    </row>
    <row r="446">
      <c r="C446" t="s">
        <v>898</v>
      </c>
    </row>
    <row r="447">
      <c r="C447" t="s">
        <v>898</v>
      </c>
    </row>
    <row r="448">
      <c r="C448" t="s">
        <v>898</v>
      </c>
    </row>
    <row r="449">
      <c r="C449" t="s">
        <v>898</v>
      </c>
    </row>
    <row r="450">
      <c r="C450" t="s">
        <v>898</v>
      </c>
    </row>
    <row r="451">
      <c r="C451" t="s">
        <v>898</v>
      </c>
    </row>
    <row r="452">
      <c r="C452" t="s">
        <v>898</v>
      </c>
    </row>
    <row r="453">
      <c r="C453" t="s">
        <v>898</v>
      </c>
    </row>
    <row r="454">
      <c r="C454" t="s">
        <v>898</v>
      </c>
    </row>
    <row r="455">
      <c r="C455" t="s">
        <v>898</v>
      </c>
    </row>
    <row r="456">
      <c r="C456" t="s">
        <v>898</v>
      </c>
    </row>
    <row r="457">
      <c r="C457" t="s">
        <v>898</v>
      </c>
    </row>
    <row r="458">
      <c r="C458" t="s">
        <v>898</v>
      </c>
    </row>
    <row r="459">
      <c r="C459" t="s">
        <v>898</v>
      </c>
    </row>
    <row r="460">
      <c r="C460" t="s">
        <v>898</v>
      </c>
    </row>
    <row r="461">
      <c r="C461" t="s">
        <v>898</v>
      </c>
    </row>
    <row r="462">
      <c r="C462" t="s">
        <v>898</v>
      </c>
    </row>
    <row r="463">
      <c r="C463" t="s">
        <v>898</v>
      </c>
    </row>
    <row r="464">
      <c r="C464" t="s">
        <v>898</v>
      </c>
    </row>
    <row r="465">
      <c r="C465" t="s">
        <v>898</v>
      </c>
    </row>
    <row r="466">
      <c r="C466" t="s">
        <v>898</v>
      </c>
    </row>
    <row r="467">
      <c r="C467" t="s">
        <v>898</v>
      </c>
    </row>
    <row r="468">
      <c r="C468" t="s">
        <v>898</v>
      </c>
    </row>
    <row r="469">
      <c r="C469" t="s">
        <v>898</v>
      </c>
    </row>
    <row r="470">
      <c r="C470" t="s">
        <v>898</v>
      </c>
    </row>
    <row r="471">
      <c r="C471" t="s">
        <v>898</v>
      </c>
    </row>
    <row r="472">
      <c r="C472" t="s">
        <v>898</v>
      </c>
    </row>
    <row r="473">
      <c r="C473" t="s">
        <v>898</v>
      </c>
    </row>
    <row r="474">
      <c r="C474" t="s">
        <v>898</v>
      </c>
    </row>
    <row r="475">
      <c r="C475" t="s">
        <v>898</v>
      </c>
    </row>
    <row r="476">
      <c r="C476" t="s">
        <v>898</v>
      </c>
    </row>
    <row r="477">
      <c r="C477" t="s">
        <v>898</v>
      </c>
    </row>
    <row r="478">
      <c r="C478" t="s">
        <v>898</v>
      </c>
    </row>
    <row r="479">
      <c r="C479" t="s">
        <v>898</v>
      </c>
    </row>
    <row r="480">
      <c r="C480" t="s">
        <v>898</v>
      </c>
    </row>
    <row r="481">
      <c r="C481" t="s">
        <v>898</v>
      </c>
    </row>
    <row r="482">
      <c r="C482" t="s">
        <v>898</v>
      </c>
    </row>
    <row r="483">
      <c r="C483" t="s">
        <v>898</v>
      </c>
    </row>
    <row r="484">
      <c r="C484" t="s">
        <v>898</v>
      </c>
    </row>
    <row r="485">
      <c r="C485" t="s">
        <v>898</v>
      </c>
    </row>
    <row r="486">
      <c r="C486" t="s">
        <v>898</v>
      </c>
    </row>
    <row r="487">
      <c r="C487" t="s">
        <v>898</v>
      </c>
    </row>
    <row r="488">
      <c r="C488" t="s">
        <v>898</v>
      </c>
    </row>
    <row r="489">
      <c r="C489" t="s">
        <v>898</v>
      </c>
    </row>
    <row r="490">
      <c r="C490" t="s">
        <v>898</v>
      </c>
    </row>
    <row r="491">
      <c r="C491" t="s">
        <v>898</v>
      </c>
    </row>
    <row r="492">
      <c r="C492" t="s">
        <v>898</v>
      </c>
    </row>
    <row r="493">
      <c r="C493" t="s">
        <v>898</v>
      </c>
    </row>
    <row r="494">
      <c r="C494" t="s">
        <v>898</v>
      </c>
    </row>
    <row r="495">
      <c r="C495" t="s">
        <v>898</v>
      </c>
    </row>
    <row r="496">
      <c r="C496" t="s">
        <v>898</v>
      </c>
    </row>
    <row r="497">
      <c r="C497" t="s">
        <v>898</v>
      </c>
    </row>
    <row r="498">
      <c r="C498" t="s">
        <v>898</v>
      </c>
    </row>
    <row r="499">
      <c r="C499" t="s">
        <v>898</v>
      </c>
    </row>
    <row r="500">
      <c r="C500" t="s">
        <v>898</v>
      </c>
    </row>
    <row r="501">
      <c r="C501" t="s">
        <v>898</v>
      </c>
    </row>
    <row r="502">
      <c r="C502" t="s">
        <v>898</v>
      </c>
    </row>
    <row r="503">
      <c r="C503" t="s">
        <v>898</v>
      </c>
    </row>
    <row r="504">
      <c r="C504" t="s">
        <v>898</v>
      </c>
    </row>
    <row r="505">
      <c r="C505" t="s">
        <v>898</v>
      </c>
    </row>
    <row r="506">
      <c r="C506" t="s">
        <v>898</v>
      </c>
    </row>
    <row r="507">
      <c r="C507" t="s">
        <v>898</v>
      </c>
    </row>
    <row r="508">
      <c r="C508" t="s">
        <v>898</v>
      </c>
    </row>
    <row r="509">
      <c r="C509" t="s">
        <v>898</v>
      </c>
    </row>
    <row r="510">
      <c r="C510" t="s">
        <v>898</v>
      </c>
    </row>
    <row r="511">
      <c r="C511" t="s">
        <v>898</v>
      </c>
    </row>
    <row r="512">
      <c r="C512" t="s">
        <v>898</v>
      </c>
    </row>
    <row r="513">
      <c r="C513" t="s">
        <v>898</v>
      </c>
    </row>
    <row r="514">
      <c r="C514" t="s">
        <v>898</v>
      </c>
    </row>
    <row r="515">
      <c r="C515" t="s">
        <v>898</v>
      </c>
    </row>
    <row r="516">
      <c r="C516" t="s">
        <v>898</v>
      </c>
    </row>
    <row r="517">
      <c r="C517" t="s">
        <v>898</v>
      </c>
    </row>
    <row r="518">
      <c r="C518" t="s">
        <v>898</v>
      </c>
    </row>
    <row r="519">
      <c r="C519" t="s">
        <v>898</v>
      </c>
    </row>
    <row r="520">
      <c r="C520" t="s">
        <v>898</v>
      </c>
    </row>
    <row r="521">
      <c r="C521" t="s">
        <v>898</v>
      </c>
    </row>
    <row r="522">
      <c r="C522" t="s">
        <v>898</v>
      </c>
    </row>
    <row r="523">
      <c r="C523" t="s">
        <v>898</v>
      </c>
    </row>
    <row r="524">
      <c r="C524" t="s">
        <v>898</v>
      </c>
    </row>
    <row r="525">
      <c r="C525" t="s">
        <v>898</v>
      </c>
    </row>
    <row r="526">
      <c r="C526" t="s">
        <v>898</v>
      </c>
    </row>
    <row r="527">
      <c r="C527" t="s">
        <v>898</v>
      </c>
    </row>
    <row r="528">
      <c r="C528" t="s">
        <v>898</v>
      </c>
    </row>
    <row r="529">
      <c r="C529" t="s">
        <v>898</v>
      </c>
    </row>
    <row r="530">
      <c r="C530" t="s">
        <v>898</v>
      </c>
    </row>
    <row r="531">
      <c r="C531" t="s">
        <v>898</v>
      </c>
    </row>
    <row r="532">
      <c r="C532" t="s">
        <v>898</v>
      </c>
    </row>
    <row r="533">
      <c r="C533" t="s">
        <v>898</v>
      </c>
    </row>
    <row r="534">
      <c r="C534" t="s">
        <v>898</v>
      </c>
    </row>
    <row r="535">
      <c r="C535" t="s">
        <v>898</v>
      </c>
    </row>
    <row r="536">
      <c r="C536" t="s">
        <v>898</v>
      </c>
    </row>
    <row r="537">
      <c r="C537" t="s">
        <v>898</v>
      </c>
    </row>
    <row r="538">
      <c r="C538" t="s">
        <v>898</v>
      </c>
    </row>
    <row r="539">
      <c r="C539" t="s">
        <v>898</v>
      </c>
    </row>
    <row r="540">
      <c r="C540" t="s">
        <v>898</v>
      </c>
    </row>
    <row r="541">
      <c r="C541" t="s">
        <v>898</v>
      </c>
    </row>
    <row r="542">
      <c r="C542" t="s">
        <v>898</v>
      </c>
    </row>
    <row r="543">
      <c r="C543" t="s">
        <v>898</v>
      </c>
    </row>
    <row r="544">
      <c r="C544" t="s">
        <v>898</v>
      </c>
    </row>
    <row r="545">
      <c r="C545" t="s">
        <v>898</v>
      </c>
    </row>
    <row r="546">
      <c r="C546" t="s">
        <v>898</v>
      </c>
    </row>
    <row r="547">
      <c r="C547" t="s">
        <v>898</v>
      </c>
    </row>
    <row r="548">
      <c r="C548" t="s">
        <v>898</v>
      </c>
    </row>
    <row r="549">
      <c r="C549" t="s">
        <v>898</v>
      </c>
    </row>
    <row r="550">
      <c r="C550" t="s">
        <v>898</v>
      </c>
    </row>
    <row r="551">
      <c r="C551" t="s">
        <v>898</v>
      </c>
    </row>
    <row r="552">
      <c r="C552" t="s">
        <v>898</v>
      </c>
    </row>
    <row r="553">
      <c r="C553" t="s">
        <v>898</v>
      </c>
    </row>
    <row r="554">
      <c r="C554" t="s">
        <v>898</v>
      </c>
    </row>
    <row r="555">
      <c r="C555" t="s">
        <v>898</v>
      </c>
    </row>
    <row r="556">
      <c r="C556" t="s">
        <v>898</v>
      </c>
    </row>
    <row r="557">
      <c r="C557" t="s">
        <v>898</v>
      </c>
    </row>
    <row r="558">
      <c r="C558" t="s">
        <v>898</v>
      </c>
    </row>
    <row r="559">
      <c r="C559" t="s">
        <v>898</v>
      </c>
    </row>
    <row r="560">
      <c r="C560" t="s">
        <v>898</v>
      </c>
    </row>
    <row r="561">
      <c r="C561" t="s">
        <v>898</v>
      </c>
    </row>
    <row r="562">
      <c r="C562" t="s">
        <v>898</v>
      </c>
    </row>
    <row r="563">
      <c r="C563" t="s">
        <v>898</v>
      </c>
    </row>
    <row r="564">
      <c r="C564" t="s">
        <v>898</v>
      </c>
    </row>
    <row r="565">
      <c r="C565" t="s">
        <v>898</v>
      </c>
    </row>
    <row r="566">
      <c r="C566" t="s">
        <v>898</v>
      </c>
    </row>
    <row r="567">
      <c r="C567" t="s">
        <v>898</v>
      </c>
    </row>
    <row r="568">
      <c r="C568" t="s">
        <v>898</v>
      </c>
    </row>
    <row r="569">
      <c r="C569" t="s">
        <v>898</v>
      </c>
    </row>
    <row r="570">
      <c r="C570" t="s">
        <v>898</v>
      </c>
    </row>
    <row r="571">
      <c r="C571" t="s">
        <v>898</v>
      </c>
    </row>
    <row r="572">
      <c r="C572" t="s">
        <v>898</v>
      </c>
    </row>
    <row r="573">
      <c r="C573" t="s">
        <v>898</v>
      </c>
    </row>
    <row r="574">
      <c r="C574" t="s">
        <v>898</v>
      </c>
    </row>
    <row r="575">
      <c r="C575" t="s">
        <v>898</v>
      </c>
    </row>
    <row r="576">
      <c r="C576" t="s">
        <v>898</v>
      </c>
    </row>
    <row r="577">
      <c r="C577" t="s">
        <v>898</v>
      </c>
    </row>
    <row r="578">
      <c r="C578" t="s">
        <v>898</v>
      </c>
    </row>
    <row r="579">
      <c r="C579" t="s">
        <v>898</v>
      </c>
    </row>
    <row r="580">
      <c r="C580" t="s">
        <v>898</v>
      </c>
    </row>
    <row r="581">
      <c r="C581" t="s">
        <v>898</v>
      </c>
    </row>
    <row r="582">
      <c r="C582" t="s">
        <v>898</v>
      </c>
    </row>
    <row r="583">
      <c r="C583" t="s">
        <v>898</v>
      </c>
    </row>
    <row r="584">
      <c r="C584" t="s">
        <v>898</v>
      </c>
    </row>
    <row r="585">
      <c r="C585" t="s">
        <v>898</v>
      </c>
    </row>
    <row r="586">
      <c r="C586" t="s">
        <v>898</v>
      </c>
    </row>
    <row r="587">
      <c r="C587" t="s">
        <v>898</v>
      </c>
    </row>
    <row r="588">
      <c r="C588" t="s">
        <v>898</v>
      </c>
    </row>
    <row r="589">
      <c r="C589" t="s">
        <v>898</v>
      </c>
    </row>
    <row r="590">
      <c r="C590" t="s">
        <v>898</v>
      </c>
    </row>
    <row r="591">
      <c r="C591" t="s">
        <v>898</v>
      </c>
    </row>
    <row r="592">
      <c r="C592" t="s">
        <v>898</v>
      </c>
    </row>
    <row r="593">
      <c r="C593" t="s">
        <v>898</v>
      </c>
    </row>
    <row r="594">
      <c r="C594" t="s">
        <v>898</v>
      </c>
    </row>
    <row r="595">
      <c r="C595" t="s">
        <v>898</v>
      </c>
    </row>
    <row r="596">
      <c r="C596" t="s">
        <v>898</v>
      </c>
    </row>
    <row r="597">
      <c r="C597" t="s">
        <v>898</v>
      </c>
    </row>
    <row r="598">
      <c r="C598" t="s">
        <v>898</v>
      </c>
    </row>
    <row r="599">
      <c r="C599" t="s">
        <v>898</v>
      </c>
    </row>
    <row r="600">
      <c r="C600" t="s">
        <v>898</v>
      </c>
    </row>
    <row r="601">
      <c r="C601" t="s">
        <v>898</v>
      </c>
    </row>
    <row r="602">
      <c r="C602" t="s">
        <v>898</v>
      </c>
    </row>
    <row r="603">
      <c r="C603" t="s">
        <v>898</v>
      </c>
    </row>
    <row r="604">
      <c r="C604" t="s">
        <v>898</v>
      </c>
    </row>
    <row r="605">
      <c r="C605" t="s">
        <v>898</v>
      </c>
    </row>
    <row r="606">
      <c r="C606" t="s">
        <v>898</v>
      </c>
    </row>
    <row r="607">
      <c r="C607" t="s">
        <v>898</v>
      </c>
    </row>
    <row r="608">
      <c r="C608" t="s">
        <v>898</v>
      </c>
    </row>
    <row r="609">
      <c r="C609" t="s">
        <v>898</v>
      </c>
    </row>
    <row r="610">
      <c r="C610" t="s">
        <v>898</v>
      </c>
    </row>
    <row r="611">
      <c r="C611" t="s">
        <v>898</v>
      </c>
    </row>
    <row r="612">
      <c r="C612" t="s">
        <v>898</v>
      </c>
    </row>
    <row r="613">
      <c r="C613" t="s">
        <v>898</v>
      </c>
    </row>
    <row r="614">
      <c r="C614" t="s">
        <v>898</v>
      </c>
    </row>
    <row r="615">
      <c r="C615" t="s">
        <v>898</v>
      </c>
    </row>
    <row r="616">
      <c r="C616" t="s">
        <v>898</v>
      </c>
    </row>
    <row r="617">
      <c r="C617" t="s">
        <v>898</v>
      </c>
    </row>
    <row r="618">
      <c r="C618" t="s">
        <v>898</v>
      </c>
    </row>
    <row r="619">
      <c r="C619" t="s">
        <v>898</v>
      </c>
    </row>
    <row r="620">
      <c r="C620" t="s">
        <v>898</v>
      </c>
    </row>
    <row r="621">
      <c r="C621" t="s">
        <v>898</v>
      </c>
    </row>
    <row r="622">
      <c r="C622" t="s">
        <v>898</v>
      </c>
    </row>
    <row r="623">
      <c r="C623" t="s">
        <v>898</v>
      </c>
    </row>
    <row r="624">
      <c r="C624" t="s">
        <v>898</v>
      </c>
    </row>
    <row r="625">
      <c r="C625" t="s">
        <v>898</v>
      </c>
    </row>
    <row r="626">
      <c r="C626" t="s">
        <v>898</v>
      </c>
    </row>
    <row r="627">
      <c r="C627" t="s">
        <v>898</v>
      </c>
    </row>
    <row r="628">
      <c r="C628" t="s">
        <v>898</v>
      </c>
    </row>
    <row r="629">
      <c r="C629" t="s">
        <v>898</v>
      </c>
    </row>
    <row r="630">
      <c r="C630" t="s">
        <v>898</v>
      </c>
    </row>
    <row r="631">
      <c r="C631" t="s">
        <v>898</v>
      </c>
    </row>
    <row r="632">
      <c r="C632" t="s">
        <v>898</v>
      </c>
    </row>
    <row r="633">
      <c r="C633" t="s">
        <v>898</v>
      </c>
    </row>
    <row r="634">
      <c r="C634" t="s">
        <v>898</v>
      </c>
    </row>
    <row r="635">
      <c r="C635" t="s">
        <v>898</v>
      </c>
    </row>
    <row r="636">
      <c r="C636" t="s">
        <v>898</v>
      </c>
    </row>
    <row r="637">
      <c r="C637" t="s">
        <v>898</v>
      </c>
    </row>
    <row r="638">
      <c r="C638" t="s">
        <v>898</v>
      </c>
    </row>
    <row r="639">
      <c r="C639" t="s">
        <v>898</v>
      </c>
    </row>
    <row r="640">
      <c r="C640" t="s">
        <v>898</v>
      </c>
    </row>
    <row r="641">
      <c r="C641" t="s">
        <v>898</v>
      </c>
    </row>
    <row r="642">
      <c r="C642" t="s">
        <v>898</v>
      </c>
    </row>
    <row r="643">
      <c r="C643" t="s">
        <v>898</v>
      </c>
    </row>
    <row r="644">
      <c r="C644" t="s">
        <v>898</v>
      </c>
    </row>
    <row r="645">
      <c r="C645" t="s">
        <v>898</v>
      </c>
    </row>
    <row r="646">
      <c r="C646" t="s">
        <v>898</v>
      </c>
    </row>
    <row r="647">
      <c r="C647" t="s">
        <v>898</v>
      </c>
    </row>
    <row r="648">
      <c r="C648" t="s">
        <v>898</v>
      </c>
    </row>
    <row r="649">
      <c r="C649" t="s">
        <v>898</v>
      </c>
    </row>
    <row r="650">
      <c r="C650" t="s">
        <v>898</v>
      </c>
    </row>
    <row r="651">
      <c r="C651" t="s">
        <v>898</v>
      </c>
    </row>
    <row r="652">
      <c r="C652" t="s">
        <v>898</v>
      </c>
    </row>
    <row r="653">
      <c r="C653" t="s">
        <v>898</v>
      </c>
    </row>
    <row r="654">
      <c r="C654" t="s">
        <v>898</v>
      </c>
    </row>
    <row r="655">
      <c r="C655" t="s">
        <v>898</v>
      </c>
    </row>
    <row r="656">
      <c r="C656" t="s">
        <v>898</v>
      </c>
    </row>
    <row r="657">
      <c r="C657" t="s">
        <v>898</v>
      </c>
    </row>
    <row r="658">
      <c r="C658" t="s">
        <v>898</v>
      </c>
    </row>
    <row r="659">
      <c r="C659" t="s">
        <v>898</v>
      </c>
    </row>
    <row r="660">
      <c r="C660" t="s">
        <v>898</v>
      </c>
    </row>
    <row r="661">
      <c r="C661" t="s">
        <v>898</v>
      </c>
    </row>
    <row r="662">
      <c r="C662" t="s">
        <v>898</v>
      </c>
    </row>
    <row r="663">
      <c r="C663" t="s">
        <v>898</v>
      </c>
    </row>
    <row r="664">
      <c r="C664" t="s">
        <v>898</v>
      </c>
    </row>
    <row r="665">
      <c r="C665" t="s">
        <v>898</v>
      </c>
    </row>
    <row r="666">
      <c r="C666" t="s">
        <v>898</v>
      </c>
    </row>
    <row r="667">
      <c r="C667" t="s">
        <v>898</v>
      </c>
    </row>
    <row r="668">
      <c r="C668" t="s">
        <v>898</v>
      </c>
    </row>
    <row r="669">
      <c r="C669" t="s">
        <v>898</v>
      </c>
    </row>
    <row r="670">
      <c r="C670" t="s">
        <v>898</v>
      </c>
    </row>
    <row r="671">
      <c r="C671" t="s">
        <v>898</v>
      </c>
    </row>
    <row r="672">
      <c r="C672" t="s">
        <v>898</v>
      </c>
    </row>
    <row r="673">
      <c r="C673" t="s">
        <v>898</v>
      </c>
    </row>
    <row r="674">
      <c r="C674" t="s">
        <v>898</v>
      </c>
    </row>
    <row r="675">
      <c r="C675" t="s">
        <v>898</v>
      </c>
    </row>
    <row r="676">
      <c r="C676" t="s">
        <v>898</v>
      </c>
    </row>
    <row r="677">
      <c r="C677" t="s">
        <v>898</v>
      </c>
    </row>
    <row r="678">
      <c r="C678" t="s">
        <v>898</v>
      </c>
    </row>
    <row r="679">
      <c r="C679" t="s">
        <v>898</v>
      </c>
    </row>
    <row r="680">
      <c r="C680" t="s">
        <v>898</v>
      </c>
    </row>
    <row r="681">
      <c r="C681" t="s">
        <v>898</v>
      </c>
    </row>
    <row r="682">
      <c r="C682" t="s">
        <v>898</v>
      </c>
    </row>
    <row r="683">
      <c r="C683" t="s">
        <v>898</v>
      </c>
    </row>
    <row r="684">
      <c r="C684" t="s">
        <v>898</v>
      </c>
    </row>
    <row r="685">
      <c r="C685" t="s">
        <v>898</v>
      </c>
    </row>
    <row r="686">
      <c r="C686" t="s">
        <v>898</v>
      </c>
    </row>
    <row r="687">
      <c r="C687" t="s">
        <v>898</v>
      </c>
    </row>
    <row r="688">
      <c r="C688" t="s">
        <v>898</v>
      </c>
    </row>
    <row r="689">
      <c r="C689" t="s">
        <v>898</v>
      </c>
    </row>
    <row r="690">
      <c r="C690" t="s">
        <v>898</v>
      </c>
    </row>
    <row r="691">
      <c r="C691" t="s">
        <v>898</v>
      </c>
    </row>
    <row r="692">
      <c r="C692" t="s">
        <v>898</v>
      </c>
    </row>
    <row r="693">
      <c r="C693" t="s">
        <v>898</v>
      </c>
    </row>
    <row r="694">
      <c r="C694" t="s">
        <v>898</v>
      </c>
    </row>
    <row r="695">
      <c r="C695" t="s">
        <v>898</v>
      </c>
    </row>
    <row r="696">
      <c r="C696" t="s">
        <v>898</v>
      </c>
    </row>
    <row r="697">
      <c r="C697" t="s">
        <v>898</v>
      </c>
    </row>
    <row r="698">
      <c r="C698" t="s">
        <v>898</v>
      </c>
    </row>
    <row r="699">
      <c r="C699" t="s">
        <v>898</v>
      </c>
    </row>
    <row r="700">
      <c r="C700" t="s">
        <v>898</v>
      </c>
    </row>
    <row r="701">
      <c r="C701" t="s">
        <v>898</v>
      </c>
    </row>
    <row r="702">
      <c r="C702" t="s">
        <v>898</v>
      </c>
    </row>
    <row r="703">
      <c r="C703" t="s">
        <v>898</v>
      </c>
    </row>
    <row r="704">
      <c r="C704" t="s">
        <v>898</v>
      </c>
    </row>
    <row r="705">
      <c r="C705" t="s">
        <v>898</v>
      </c>
    </row>
    <row r="706">
      <c r="C706" t="s">
        <v>898</v>
      </c>
    </row>
    <row r="707">
      <c r="C707" t="s">
        <v>898</v>
      </c>
    </row>
    <row r="708">
      <c r="C708" t="s">
        <v>898</v>
      </c>
    </row>
    <row r="709">
      <c r="C709" t="s">
        <v>898</v>
      </c>
    </row>
    <row r="710">
      <c r="C710" t="s">
        <v>898</v>
      </c>
    </row>
    <row r="711">
      <c r="C711" t="s">
        <v>898</v>
      </c>
    </row>
    <row r="712">
      <c r="C712" t="s">
        <v>898</v>
      </c>
    </row>
    <row r="713">
      <c r="C713" t="s">
        <v>898</v>
      </c>
    </row>
    <row r="714">
      <c r="C714" t="s">
        <v>898</v>
      </c>
    </row>
    <row r="715">
      <c r="C715" t="s">
        <v>898</v>
      </c>
    </row>
    <row r="716">
      <c r="C716" t="s">
        <v>898</v>
      </c>
    </row>
    <row r="717">
      <c r="C717" t="s">
        <v>898</v>
      </c>
    </row>
    <row r="718">
      <c r="C718" t="s">
        <v>898</v>
      </c>
    </row>
    <row r="719">
      <c r="C719" t="s">
        <v>898</v>
      </c>
    </row>
    <row r="720">
      <c r="C720" t="s">
        <v>898</v>
      </c>
    </row>
    <row r="721">
      <c r="C721" t="s">
        <v>898</v>
      </c>
    </row>
    <row r="722">
      <c r="C722" t="s">
        <v>898</v>
      </c>
    </row>
    <row r="723">
      <c r="C723" t="s">
        <v>898</v>
      </c>
    </row>
    <row r="724">
      <c r="C724" t="s">
        <v>898</v>
      </c>
    </row>
    <row r="725">
      <c r="C725" t="s">
        <v>898</v>
      </c>
    </row>
    <row r="726">
      <c r="C726" t="s">
        <v>898</v>
      </c>
    </row>
    <row r="727">
      <c r="C727" t="s">
        <v>898</v>
      </c>
    </row>
    <row r="728">
      <c r="C728" t="s">
        <v>898</v>
      </c>
    </row>
    <row r="729">
      <c r="C729" t="s">
        <v>898</v>
      </c>
    </row>
    <row r="730">
      <c r="C730" t="s">
        <v>898</v>
      </c>
    </row>
    <row r="731">
      <c r="C731" t="s">
        <v>898</v>
      </c>
    </row>
    <row r="732">
      <c r="C732" t="s">
        <v>898</v>
      </c>
    </row>
    <row r="733">
      <c r="C733" t="s">
        <v>898</v>
      </c>
    </row>
    <row r="734">
      <c r="C734" t="s">
        <v>898</v>
      </c>
    </row>
    <row r="735">
      <c r="C735" t="s">
        <v>898</v>
      </c>
    </row>
    <row r="736">
      <c r="C736" t="s">
        <v>898</v>
      </c>
    </row>
    <row r="737">
      <c r="C737" t="s">
        <v>898</v>
      </c>
    </row>
    <row r="738">
      <c r="C738" t="s">
        <v>898</v>
      </c>
    </row>
    <row r="739">
      <c r="C739" t="s">
        <v>898</v>
      </c>
    </row>
    <row r="740">
      <c r="C740" t="s">
        <v>898</v>
      </c>
    </row>
    <row r="741">
      <c r="C741" t="s">
        <v>898</v>
      </c>
    </row>
    <row r="742">
      <c r="C742" t="s">
        <v>898</v>
      </c>
    </row>
    <row r="743">
      <c r="C743" t="s">
        <v>898</v>
      </c>
    </row>
    <row r="744">
      <c r="C744" t="s">
        <v>898</v>
      </c>
    </row>
    <row r="745">
      <c r="C745" t="s">
        <v>898</v>
      </c>
    </row>
    <row r="746">
      <c r="C746" t="s">
        <v>898</v>
      </c>
    </row>
    <row r="747">
      <c r="C747" t="s">
        <v>898</v>
      </c>
    </row>
    <row r="748">
      <c r="C748" t="s">
        <v>898</v>
      </c>
    </row>
    <row r="749">
      <c r="C749" t="s">
        <v>898</v>
      </c>
    </row>
    <row r="750">
      <c r="C750" t="s">
        <v>898</v>
      </c>
    </row>
    <row r="751">
      <c r="C751" t="s">
        <v>898</v>
      </c>
    </row>
    <row r="752">
      <c r="C752" t="s">
        <v>898</v>
      </c>
    </row>
    <row r="753">
      <c r="C753" t="s">
        <v>898</v>
      </c>
    </row>
    <row r="754">
      <c r="C754" t="s">
        <v>898</v>
      </c>
    </row>
    <row r="755">
      <c r="C755" t="s">
        <v>898</v>
      </c>
    </row>
    <row r="756">
      <c r="C756" t="s">
        <v>898</v>
      </c>
    </row>
    <row r="757">
      <c r="C757" t="s">
        <v>898</v>
      </c>
    </row>
    <row r="758">
      <c r="C758" t="s">
        <v>898</v>
      </c>
    </row>
    <row r="759">
      <c r="C759" t="s">
        <v>898</v>
      </c>
    </row>
    <row r="760">
      <c r="C760" t="s">
        <v>898</v>
      </c>
    </row>
    <row r="761">
      <c r="C761" t="s">
        <v>898</v>
      </c>
    </row>
    <row r="762">
      <c r="C762" t="s">
        <v>898</v>
      </c>
    </row>
    <row r="763">
      <c r="C763" t="s">
        <v>898</v>
      </c>
    </row>
    <row r="764">
      <c r="C764" t="s">
        <v>898</v>
      </c>
    </row>
    <row r="765">
      <c r="C765" t="s">
        <v>898</v>
      </c>
    </row>
    <row r="766">
      <c r="C766" t="s">
        <v>898</v>
      </c>
    </row>
    <row r="767">
      <c r="C767" t="s">
        <v>898</v>
      </c>
    </row>
    <row r="768">
      <c r="C768" t="s">
        <v>898</v>
      </c>
    </row>
    <row r="769">
      <c r="C769" t="s">
        <v>898</v>
      </c>
    </row>
    <row r="770">
      <c r="C770" t="s">
        <v>898</v>
      </c>
    </row>
    <row r="771">
      <c r="C771" t="s">
        <v>898</v>
      </c>
    </row>
    <row r="772">
      <c r="C772" t="s">
        <v>898</v>
      </c>
    </row>
    <row r="773">
      <c r="C773" t="s">
        <v>898</v>
      </c>
    </row>
    <row r="774">
      <c r="C774" t="s">
        <v>898</v>
      </c>
    </row>
    <row r="775">
      <c r="C775" t="s">
        <v>898</v>
      </c>
    </row>
    <row r="776">
      <c r="C776" t="s">
        <v>898</v>
      </c>
    </row>
    <row r="777">
      <c r="C777" t="s">
        <v>898</v>
      </c>
    </row>
    <row r="778">
      <c r="C778" t="s">
        <v>898</v>
      </c>
    </row>
    <row r="779">
      <c r="C779" t="s">
        <v>898</v>
      </c>
    </row>
    <row r="780">
      <c r="C780" t="s">
        <v>898</v>
      </c>
    </row>
    <row r="781">
      <c r="C781" t="s">
        <v>898</v>
      </c>
    </row>
    <row r="782">
      <c r="C782" t="s">
        <v>898</v>
      </c>
    </row>
    <row r="783">
      <c r="C783" t="s">
        <v>898</v>
      </c>
    </row>
    <row r="784">
      <c r="C784" t="s">
        <v>898</v>
      </c>
    </row>
    <row r="785">
      <c r="C785" t="s">
        <v>898</v>
      </c>
    </row>
    <row r="786">
      <c r="C786" t="s">
        <v>898</v>
      </c>
    </row>
    <row r="787">
      <c r="C787" t="s">
        <v>898</v>
      </c>
    </row>
    <row r="788">
      <c r="C788" t="s">
        <v>898</v>
      </c>
    </row>
    <row r="789">
      <c r="C789" t="s">
        <v>898</v>
      </c>
    </row>
    <row r="790">
      <c r="C790" t="s">
        <v>898</v>
      </c>
    </row>
    <row r="791">
      <c r="C791" t="s">
        <v>898</v>
      </c>
    </row>
    <row r="792">
      <c r="C792" t="s">
        <v>898</v>
      </c>
    </row>
    <row r="793">
      <c r="C793" t="s">
        <v>898</v>
      </c>
    </row>
    <row r="794">
      <c r="C794" t="s">
        <v>898</v>
      </c>
    </row>
    <row r="795">
      <c r="C795" t="s">
        <v>898</v>
      </c>
    </row>
    <row r="796">
      <c r="C796" t="s">
        <v>898</v>
      </c>
    </row>
    <row r="797">
      <c r="C797" t="s">
        <v>898</v>
      </c>
    </row>
    <row r="798">
      <c r="C798" t="s">
        <v>898</v>
      </c>
    </row>
    <row r="799">
      <c r="C799" t="s">
        <v>898</v>
      </c>
    </row>
    <row r="800">
      <c r="C800" t="s">
        <v>898</v>
      </c>
    </row>
    <row r="801">
      <c r="C801" t="s">
        <v>898</v>
      </c>
    </row>
    <row r="802">
      <c r="C802" t="s">
        <v>898</v>
      </c>
    </row>
    <row r="803">
      <c r="C803" t="s">
        <v>898</v>
      </c>
    </row>
    <row r="804">
      <c r="C804" t="s">
        <v>898</v>
      </c>
    </row>
    <row r="805">
      <c r="C805" t="s">
        <v>898</v>
      </c>
    </row>
    <row r="806">
      <c r="C806" t="s">
        <v>898</v>
      </c>
    </row>
    <row r="807">
      <c r="C807" t="s">
        <v>898</v>
      </c>
    </row>
    <row r="808">
      <c r="C808" t="s">
        <v>898</v>
      </c>
    </row>
    <row r="809">
      <c r="C809" t="s">
        <v>898</v>
      </c>
    </row>
    <row r="810">
      <c r="C810" t="s">
        <v>898</v>
      </c>
    </row>
    <row r="811">
      <c r="C811" t="s">
        <v>898</v>
      </c>
    </row>
    <row r="812">
      <c r="C812" t="s">
        <v>898</v>
      </c>
    </row>
    <row r="813">
      <c r="C813" t="s">
        <v>898</v>
      </c>
    </row>
    <row r="814">
      <c r="C814" t="s">
        <v>898</v>
      </c>
    </row>
    <row r="815">
      <c r="C815" t="s">
        <v>898</v>
      </c>
    </row>
    <row r="816">
      <c r="C816" t="s">
        <v>898</v>
      </c>
    </row>
    <row r="817">
      <c r="C817" t="s">
        <v>898</v>
      </c>
    </row>
    <row r="818">
      <c r="C818" t="s">
        <v>898</v>
      </c>
    </row>
    <row r="819">
      <c r="C819" t="s">
        <v>898</v>
      </c>
    </row>
    <row r="820">
      <c r="C820" t="s">
        <v>898</v>
      </c>
    </row>
    <row r="821">
      <c r="C821" t="s">
        <v>898</v>
      </c>
    </row>
    <row r="822">
      <c r="C822" t="s">
        <v>898</v>
      </c>
    </row>
    <row r="823">
      <c r="C823" t="s">
        <v>898</v>
      </c>
    </row>
    <row r="824">
      <c r="C824" t="s">
        <v>898</v>
      </c>
    </row>
    <row r="825">
      <c r="C825" t="s">
        <v>898</v>
      </c>
    </row>
    <row r="826">
      <c r="C826" t="s">
        <v>898</v>
      </c>
    </row>
    <row r="827">
      <c r="C827" t="s">
        <v>898</v>
      </c>
    </row>
    <row r="828">
      <c r="C828" t="s">
        <v>898</v>
      </c>
    </row>
    <row r="829">
      <c r="C829" t="s">
        <v>898</v>
      </c>
    </row>
    <row r="830">
      <c r="C830" t="s">
        <v>898</v>
      </c>
    </row>
    <row r="831">
      <c r="C831" t="s">
        <v>898</v>
      </c>
    </row>
    <row r="832">
      <c r="C832" t="s">
        <v>898</v>
      </c>
    </row>
    <row r="833">
      <c r="C833" t="s">
        <v>898</v>
      </c>
    </row>
    <row r="834">
      <c r="C834" t="s">
        <v>898</v>
      </c>
    </row>
    <row r="835">
      <c r="C835" t="s">
        <v>898</v>
      </c>
    </row>
    <row r="836">
      <c r="C836" t="s">
        <v>898</v>
      </c>
    </row>
    <row r="837">
      <c r="C837" t="s">
        <v>898</v>
      </c>
    </row>
    <row r="838">
      <c r="C838" t="s">
        <v>898</v>
      </c>
    </row>
    <row r="839">
      <c r="C839" t="s">
        <v>898</v>
      </c>
    </row>
    <row r="840">
      <c r="C840" t="s">
        <v>898</v>
      </c>
    </row>
    <row r="841">
      <c r="C841" t="s">
        <v>898</v>
      </c>
    </row>
    <row r="842">
      <c r="C842" t="s">
        <v>898</v>
      </c>
    </row>
    <row r="843">
      <c r="C843" t="s">
        <v>898</v>
      </c>
    </row>
    <row r="844">
      <c r="C844" t="s">
        <v>898</v>
      </c>
    </row>
    <row r="845">
      <c r="C845" t="s">
        <v>898</v>
      </c>
    </row>
    <row r="846">
      <c r="C846" t="s">
        <v>898</v>
      </c>
    </row>
    <row r="847">
      <c r="C847" t="s">
        <v>898</v>
      </c>
    </row>
    <row r="848">
      <c r="C848" t="s">
        <v>898</v>
      </c>
    </row>
    <row r="849">
      <c r="C849" t="s">
        <v>898</v>
      </c>
    </row>
    <row r="850">
      <c r="C850" t="s">
        <v>898</v>
      </c>
    </row>
    <row r="851">
      <c r="C851" t="s">
        <v>898</v>
      </c>
    </row>
    <row r="852">
      <c r="C852" t="s">
        <v>898</v>
      </c>
    </row>
    <row r="853">
      <c r="C853" t="s">
        <v>898</v>
      </c>
    </row>
    <row r="854">
      <c r="C854" t="s">
        <v>898</v>
      </c>
    </row>
    <row r="855">
      <c r="C855" t="s">
        <v>898</v>
      </c>
    </row>
    <row r="856">
      <c r="C856" t="s">
        <v>898</v>
      </c>
    </row>
    <row r="857">
      <c r="C857" t="s">
        <v>898</v>
      </c>
    </row>
    <row r="858">
      <c r="C858" t="s">
        <v>898</v>
      </c>
    </row>
    <row r="859">
      <c r="C859" t="s">
        <v>898</v>
      </c>
    </row>
    <row r="860">
      <c r="C860" t="s">
        <v>898</v>
      </c>
    </row>
    <row r="861">
      <c r="C861" t="s">
        <v>898</v>
      </c>
    </row>
    <row r="862">
      <c r="C862" t="s">
        <v>898</v>
      </c>
    </row>
    <row r="863">
      <c r="C863" t="s">
        <v>898</v>
      </c>
    </row>
    <row r="864">
      <c r="C864" t="s">
        <v>898</v>
      </c>
    </row>
    <row r="865">
      <c r="C865" t="s">
        <v>898</v>
      </c>
    </row>
    <row r="866">
      <c r="C866" t="s">
        <v>898</v>
      </c>
    </row>
    <row r="867">
      <c r="C867" t="s">
        <v>898</v>
      </c>
    </row>
    <row r="868">
      <c r="C868" t="s">
        <v>898</v>
      </c>
    </row>
    <row r="869">
      <c r="C869" t="s">
        <v>898</v>
      </c>
    </row>
    <row r="870">
      <c r="C870" t="s">
        <v>898</v>
      </c>
    </row>
    <row r="871">
      <c r="C871" t="s">
        <v>898</v>
      </c>
    </row>
    <row r="872">
      <c r="C872" t="s">
        <v>898</v>
      </c>
    </row>
    <row r="873">
      <c r="C873" t="s">
        <v>898</v>
      </c>
    </row>
    <row r="874">
      <c r="C874" t="s">
        <v>898</v>
      </c>
    </row>
    <row r="875">
      <c r="C875" t="s">
        <v>898</v>
      </c>
    </row>
    <row r="876">
      <c r="C876" t="s">
        <v>898</v>
      </c>
    </row>
    <row r="877">
      <c r="C877" t="s">
        <v>898</v>
      </c>
    </row>
    <row r="878">
      <c r="C878" t="s">
        <v>898</v>
      </c>
    </row>
    <row r="879">
      <c r="C879" t="s">
        <v>898</v>
      </c>
    </row>
    <row r="880">
      <c r="C880" t="s">
        <v>898</v>
      </c>
    </row>
    <row r="881">
      <c r="C881" t="s">
        <v>898</v>
      </c>
    </row>
    <row r="882">
      <c r="C882" t="s">
        <v>898</v>
      </c>
    </row>
    <row r="883">
      <c r="C883" t="s">
        <v>898</v>
      </c>
    </row>
    <row r="884">
      <c r="C884" t="s">
        <v>898</v>
      </c>
    </row>
    <row r="885">
      <c r="C885" t="s">
        <v>898</v>
      </c>
    </row>
    <row r="886">
      <c r="C886" t="s">
        <v>898</v>
      </c>
    </row>
    <row r="887">
      <c r="C887" t="s">
        <v>898</v>
      </c>
    </row>
    <row r="888">
      <c r="C888" t="s">
        <v>898</v>
      </c>
    </row>
    <row r="889">
      <c r="C889" t="s">
        <v>898</v>
      </c>
    </row>
    <row r="890">
      <c r="C890" t="s">
        <v>898</v>
      </c>
    </row>
    <row r="891">
      <c r="C891" t="s">
        <v>898</v>
      </c>
    </row>
    <row r="892">
      <c r="C892" t="s">
        <v>898</v>
      </c>
    </row>
    <row r="893">
      <c r="C893" t="s">
        <v>898</v>
      </c>
    </row>
    <row r="894">
      <c r="C894" t="s">
        <v>898</v>
      </c>
    </row>
    <row r="895">
      <c r="C895" t="s">
        <v>898</v>
      </c>
    </row>
    <row r="896">
      <c r="C896" t="s">
        <v>898</v>
      </c>
    </row>
    <row r="897">
      <c r="C897" t="s">
        <v>898</v>
      </c>
    </row>
    <row r="898">
      <c r="C898" t="s">
        <v>898</v>
      </c>
    </row>
    <row r="899">
      <c r="C899" t="s">
        <v>898</v>
      </c>
    </row>
    <row r="900">
      <c r="C900" t="s">
        <v>898</v>
      </c>
    </row>
    <row r="901">
      <c r="C901" t="s">
        <v>898</v>
      </c>
    </row>
    <row r="902">
      <c r="C902" t="s">
        <v>898</v>
      </c>
    </row>
    <row r="903">
      <c r="C903" t="s">
        <v>898</v>
      </c>
    </row>
    <row r="904">
      <c r="C904" t="s">
        <v>898</v>
      </c>
    </row>
    <row r="905">
      <c r="C905" t="s">
        <v>898</v>
      </c>
    </row>
    <row r="906">
      <c r="C906" t="s">
        <v>898</v>
      </c>
    </row>
    <row r="907">
      <c r="C907" t="s">
        <v>898</v>
      </c>
    </row>
    <row r="908">
      <c r="C908" t="s">
        <v>898</v>
      </c>
    </row>
    <row r="909">
      <c r="C909" t="s">
        <v>898</v>
      </c>
    </row>
    <row r="910">
      <c r="C910" t="s">
        <v>898</v>
      </c>
    </row>
    <row r="911">
      <c r="C911" t="s">
        <v>898</v>
      </c>
    </row>
    <row r="912">
      <c r="C912" t="s">
        <v>898</v>
      </c>
    </row>
    <row r="913">
      <c r="C913" t="s">
        <v>898</v>
      </c>
    </row>
    <row r="914">
      <c r="C914" t="s">
        <v>898</v>
      </c>
    </row>
    <row r="915">
      <c r="C915" t="s">
        <v>898</v>
      </c>
    </row>
    <row r="916">
      <c r="C916" t="s">
        <v>898</v>
      </c>
    </row>
    <row r="917">
      <c r="C917" t="s">
        <v>898</v>
      </c>
    </row>
    <row r="918">
      <c r="C918" t="s">
        <v>898</v>
      </c>
    </row>
    <row r="919">
      <c r="C919" t="s">
        <v>898</v>
      </c>
    </row>
    <row r="920">
      <c r="C920" t="s">
        <v>898</v>
      </c>
    </row>
    <row r="921">
      <c r="C921" t="s">
        <v>898</v>
      </c>
    </row>
    <row r="922">
      <c r="C922" t="s">
        <v>898</v>
      </c>
    </row>
    <row r="923">
      <c r="C923" t="s">
        <v>898</v>
      </c>
    </row>
    <row r="924">
      <c r="C924" t="s">
        <v>898</v>
      </c>
    </row>
    <row r="925">
      <c r="C925" t="s">
        <v>898</v>
      </c>
    </row>
    <row r="926">
      <c r="C926" t="s">
        <v>898</v>
      </c>
    </row>
    <row r="927">
      <c r="C927" t="s">
        <v>898</v>
      </c>
    </row>
    <row r="928">
      <c r="C928" t="s">
        <v>898</v>
      </c>
    </row>
    <row r="929">
      <c r="C929" t="s">
        <v>898</v>
      </c>
    </row>
    <row r="930">
      <c r="C930" t="s">
        <v>898</v>
      </c>
    </row>
    <row r="931">
      <c r="C931" t="s">
        <v>898</v>
      </c>
    </row>
    <row r="932">
      <c r="C932" t="s">
        <v>898</v>
      </c>
    </row>
    <row r="933">
      <c r="C933" t="s">
        <v>898</v>
      </c>
    </row>
    <row r="934">
      <c r="C934" t="s">
        <v>898</v>
      </c>
    </row>
    <row r="935">
      <c r="C935" t="s">
        <v>898</v>
      </c>
    </row>
    <row r="936">
      <c r="C936" t="s">
        <v>898</v>
      </c>
    </row>
    <row r="937">
      <c r="C937" t="s">
        <v>898</v>
      </c>
    </row>
    <row r="938">
      <c r="C938" t="s">
        <v>898</v>
      </c>
    </row>
    <row r="939">
      <c r="C939" t="s">
        <v>898</v>
      </c>
    </row>
    <row r="940">
      <c r="C940" t="s">
        <v>898</v>
      </c>
    </row>
    <row r="941">
      <c r="C941" t="s">
        <v>898</v>
      </c>
    </row>
    <row r="942">
      <c r="C942" t="s">
        <v>898</v>
      </c>
    </row>
    <row r="943">
      <c r="C943" t="s">
        <v>898</v>
      </c>
    </row>
    <row r="944">
      <c r="C944" t="s">
        <v>898</v>
      </c>
    </row>
    <row r="945">
      <c r="C945" t="s">
        <v>898</v>
      </c>
    </row>
    <row r="946">
      <c r="C946" t="s">
        <v>898</v>
      </c>
    </row>
    <row r="947">
      <c r="C947" t="s">
        <v>898</v>
      </c>
    </row>
    <row r="948">
      <c r="C948" t="s">
        <v>898</v>
      </c>
    </row>
    <row r="949">
      <c r="C949" t="s">
        <v>898</v>
      </c>
    </row>
    <row r="950">
      <c r="C950" t="s">
        <v>898</v>
      </c>
    </row>
    <row r="951">
      <c r="C951" t="s">
        <v>898</v>
      </c>
    </row>
    <row r="952">
      <c r="C952" t="s">
        <v>898</v>
      </c>
    </row>
    <row r="953">
      <c r="C953" t="s">
        <v>898</v>
      </c>
    </row>
    <row r="954">
      <c r="C954" t="s">
        <v>898</v>
      </c>
    </row>
    <row r="955">
      <c r="C955" t="s">
        <v>898</v>
      </c>
    </row>
    <row r="956">
      <c r="C956" t="s">
        <v>898</v>
      </c>
    </row>
    <row r="957">
      <c r="C957" t="s">
        <v>898</v>
      </c>
    </row>
    <row r="958">
      <c r="C958" t="s">
        <v>898</v>
      </c>
    </row>
    <row r="959">
      <c r="C959" t="s">
        <v>898</v>
      </c>
    </row>
    <row r="960">
      <c r="C960" t="s">
        <v>898</v>
      </c>
    </row>
    <row r="961">
      <c r="C961" t="s">
        <v>898</v>
      </c>
    </row>
    <row r="962">
      <c r="C962" t="s">
        <v>898</v>
      </c>
    </row>
    <row r="963">
      <c r="C963" t="s">
        <v>898</v>
      </c>
    </row>
    <row r="964">
      <c r="C964" t="s">
        <v>898</v>
      </c>
    </row>
    <row r="965">
      <c r="C965" t="s">
        <v>898</v>
      </c>
    </row>
    <row r="966">
      <c r="C966" t="s">
        <v>898</v>
      </c>
    </row>
    <row r="967">
      <c r="C967" t="s">
        <v>898</v>
      </c>
    </row>
    <row r="968">
      <c r="C968" t="s">
        <v>898</v>
      </c>
    </row>
    <row r="969">
      <c r="C969" t="s">
        <v>898</v>
      </c>
    </row>
    <row r="970">
      <c r="C970" t="s">
        <v>898</v>
      </c>
    </row>
    <row r="971">
      <c r="C971" t="s">
        <v>898</v>
      </c>
    </row>
    <row r="972">
      <c r="C972" t="s">
        <v>898</v>
      </c>
    </row>
    <row r="973">
      <c r="C973" t="s">
        <v>898</v>
      </c>
    </row>
    <row r="974">
      <c r="C974" t="s">
        <v>898</v>
      </c>
    </row>
    <row r="975">
      <c r="C975" t="s">
        <v>898</v>
      </c>
    </row>
    <row r="976">
      <c r="C976" t="s">
        <v>898</v>
      </c>
    </row>
    <row r="977">
      <c r="C977" t="s">
        <v>898</v>
      </c>
    </row>
    <row r="978">
      <c r="C978" t="s">
        <v>898</v>
      </c>
    </row>
    <row r="979">
      <c r="C979" t="s">
        <v>898</v>
      </c>
    </row>
    <row r="980">
      <c r="C980" t="s">
        <v>898</v>
      </c>
    </row>
    <row r="981">
      <c r="C981" t="s">
        <v>898</v>
      </c>
    </row>
    <row r="982">
      <c r="C982" t="s">
        <v>898</v>
      </c>
    </row>
    <row r="983">
      <c r="C983" t="s">
        <v>898</v>
      </c>
    </row>
    <row r="984">
      <c r="C984" t="s">
        <v>898</v>
      </c>
    </row>
    <row r="985">
      <c r="C985" t="s">
        <v>898</v>
      </c>
    </row>
    <row r="986">
      <c r="C986" t="s">
        <v>898</v>
      </c>
    </row>
    <row r="987">
      <c r="C987" t="s">
        <v>898</v>
      </c>
    </row>
    <row r="988">
      <c r="C988" t="s">
        <v>898</v>
      </c>
    </row>
    <row r="989">
      <c r="C989" t="s">
        <v>898</v>
      </c>
    </row>
    <row r="990">
      <c r="C990" t="s">
        <v>898</v>
      </c>
    </row>
    <row r="991">
      <c r="C991" t="s">
        <v>898</v>
      </c>
    </row>
    <row r="992">
      <c r="C992" t="s">
        <v>898</v>
      </c>
    </row>
    <row r="993">
      <c r="C993" t="s">
        <v>898</v>
      </c>
    </row>
    <row r="994">
      <c r="C994" t="s">
        <v>898</v>
      </c>
    </row>
    <row r="995">
      <c r="C995" t="s">
        <v>898</v>
      </c>
    </row>
    <row r="996">
      <c r="C996" t="s">
        <v>898</v>
      </c>
    </row>
    <row r="997">
      <c r="C997" t="s">
        <v>898</v>
      </c>
    </row>
    <row r="998">
      <c r="C998" t="s">
        <v>898</v>
      </c>
    </row>
    <row r="999">
      <c r="C999" t="s">
        <v>898</v>
      </c>
    </row>
    <row r="1000">
      <c r="C1000" t="s">
        <v>898</v>
      </c>
    </row>
    <row r="1001">
      <c r="C1001" t="s">
        <v>898</v>
      </c>
    </row>
    <row r="1002">
      <c r="C1002" t="s">
        <v>898</v>
      </c>
    </row>
    <row r="1003">
      <c r="C1003" t="s">
        <v>898</v>
      </c>
    </row>
    <row r="1004">
      <c r="C1004" t="s">
        <v>898</v>
      </c>
    </row>
    <row r="1005">
      <c r="C1005" t="s">
        <v>898</v>
      </c>
    </row>
    <row r="1006">
      <c r="C1006" t="s">
        <v>898</v>
      </c>
    </row>
    <row r="1007">
      <c r="C1007" t="s">
        <v>898</v>
      </c>
    </row>
    <row r="1008">
      <c r="C1008" t="s">
        <v>898</v>
      </c>
    </row>
    <row r="1009">
      <c r="C1009" t="s">
        <v>898</v>
      </c>
    </row>
    <row r="1010">
      <c r="C1010" t="s">
        <v>898</v>
      </c>
    </row>
    <row r="1011">
      <c r="C1011" t="s">
        <v>898</v>
      </c>
    </row>
    <row r="1012">
      <c r="C1012" t="s">
        <v>898</v>
      </c>
    </row>
    <row r="1013">
      <c r="C1013" t="s">
        <v>898</v>
      </c>
    </row>
    <row r="1014">
      <c r="C1014" t="s">
        <v>898</v>
      </c>
    </row>
    <row r="1015">
      <c r="C1015" t="s">
        <v>898</v>
      </c>
    </row>
    <row r="1016">
      <c r="C1016" t="s">
        <v>898</v>
      </c>
    </row>
    <row r="1017">
      <c r="C1017" t="s">
        <v>898</v>
      </c>
    </row>
    <row r="1018">
      <c r="C1018" t="s">
        <v>898</v>
      </c>
    </row>
    <row r="1019">
      <c r="C1019" t="s">
        <v>898</v>
      </c>
    </row>
    <row r="1020">
      <c r="C1020" t="s">
        <v>898</v>
      </c>
    </row>
    <row r="1021">
      <c r="C1021" t="s">
        <v>898</v>
      </c>
    </row>
    <row r="1022">
      <c r="C1022" t="s">
        <v>898</v>
      </c>
    </row>
    <row r="1023">
      <c r="C1023" t="s">
        <v>898</v>
      </c>
    </row>
    <row r="1024">
      <c r="C1024" t="s">
        <v>898</v>
      </c>
    </row>
    <row r="1025">
      <c r="C1025" t="s">
        <v>898</v>
      </c>
    </row>
    <row r="1026">
      <c r="C1026" t="s">
        <v>898</v>
      </c>
    </row>
    <row r="1027">
      <c r="C1027" t="s">
        <v>898</v>
      </c>
    </row>
    <row r="1028">
      <c r="C1028" t="s">
        <v>898</v>
      </c>
    </row>
    <row r="1029">
      <c r="C1029" t="s">
        <v>898</v>
      </c>
    </row>
    <row r="1030">
      <c r="C1030" t="s">
        <v>898</v>
      </c>
    </row>
    <row r="1031">
      <c r="C1031" t="s">
        <v>898</v>
      </c>
    </row>
    <row r="1032">
      <c r="C1032" t="s">
        <v>898</v>
      </c>
    </row>
    <row r="1033">
      <c r="C1033" t="s">
        <v>898</v>
      </c>
    </row>
    <row r="1034">
      <c r="C1034" t="s">
        <v>898</v>
      </c>
    </row>
    <row r="1035">
      <c r="C1035" t="s">
        <v>898</v>
      </c>
    </row>
    <row r="1036">
      <c r="C1036" t="s">
        <v>898</v>
      </c>
    </row>
    <row r="1037">
      <c r="C1037" t="s">
        <v>898</v>
      </c>
    </row>
    <row r="1038">
      <c r="C1038" t="s">
        <v>898</v>
      </c>
    </row>
    <row r="1039">
      <c r="C1039" t="s">
        <v>898</v>
      </c>
    </row>
    <row r="1040">
      <c r="C1040" t="s">
        <v>898</v>
      </c>
    </row>
    <row r="1041">
      <c r="C1041" t="s">
        <v>898</v>
      </c>
    </row>
    <row r="1042">
      <c r="C1042" t="s">
        <v>898</v>
      </c>
    </row>
    <row r="1043">
      <c r="C1043" t="s">
        <v>898</v>
      </c>
    </row>
    <row r="1044">
      <c r="C1044" t="s">
        <v>898</v>
      </c>
    </row>
    <row r="1045">
      <c r="C1045" t="s">
        <v>898</v>
      </c>
    </row>
    <row r="1046">
      <c r="C1046" t="s">
        <v>898</v>
      </c>
    </row>
    <row r="1047">
      <c r="C1047" t="s">
        <v>898</v>
      </c>
    </row>
    <row r="1048">
      <c r="C1048" t="s">
        <v>898</v>
      </c>
    </row>
    <row r="1049">
      <c r="C1049" t="s">
        <v>898</v>
      </c>
    </row>
    <row r="1050">
      <c r="C1050" t="s">
        <v>898</v>
      </c>
    </row>
    <row r="1051">
      <c r="C1051" t="s">
        <v>898</v>
      </c>
    </row>
    <row r="1052">
      <c r="C1052" t="s">
        <v>898</v>
      </c>
    </row>
    <row r="1053">
      <c r="C1053" t="s">
        <v>898</v>
      </c>
    </row>
    <row r="1054">
      <c r="C1054" t="s">
        <v>898</v>
      </c>
    </row>
    <row r="1055">
      <c r="C1055" t="s">
        <v>898</v>
      </c>
    </row>
    <row r="1056">
      <c r="C1056" t="s">
        <v>898</v>
      </c>
    </row>
    <row r="1057">
      <c r="C1057" t="s">
        <v>898</v>
      </c>
    </row>
    <row r="1058">
      <c r="C1058" t="s">
        <v>898</v>
      </c>
    </row>
    <row r="1059">
      <c r="C1059" t="s">
        <v>898</v>
      </c>
    </row>
    <row r="1060">
      <c r="C1060" t="s">
        <v>898</v>
      </c>
    </row>
    <row r="1061">
      <c r="C1061" t="s">
        <v>898</v>
      </c>
    </row>
    <row r="1062">
      <c r="C1062" t="s">
        <v>898</v>
      </c>
    </row>
    <row r="1063">
      <c r="C1063" t="s">
        <v>898</v>
      </c>
    </row>
    <row r="1064">
      <c r="C1064" t="s">
        <v>898</v>
      </c>
    </row>
    <row r="1065">
      <c r="C1065" t="s">
        <v>898</v>
      </c>
    </row>
    <row r="1066">
      <c r="C1066" t="s">
        <v>898</v>
      </c>
    </row>
    <row r="1067">
      <c r="C1067" t="s">
        <v>898</v>
      </c>
    </row>
    <row r="1068">
      <c r="C1068" t="s">
        <v>898</v>
      </c>
    </row>
    <row r="1069">
      <c r="C1069" t="s">
        <v>898</v>
      </c>
    </row>
    <row r="1070">
      <c r="C1070" t="s">
        <v>898</v>
      </c>
    </row>
    <row r="1071">
      <c r="C1071" t="s">
        <v>898</v>
      </c>
    </row>
    <row r="1072">
      <c r="C1072" t="s">
        <v>898</v>
      </c>
    </row>
    <row r="1073">
      <c r="C1073" t="s">
        <v>898</v>
      </c>
    </row>
    <row r="1074">
      <c r="C1074" t="s">
        <v>898</v>
      </c>
    </row>
    <row r="1075">
      <c r="C1075" t="s">
        <v>898</v>
      </c>
    </row>
    <row r="1076">
      <c r="C1076" t="s">
        <v>898</v>
      </c>
    </row>
    <row r="1077">
      <c r="C1077" t="s">
        <v>898</v>
      </c>
    </row>
    <row r="1078">
      <c r="C1078" t="s">
        <v>898</v>
      </c>
    </row>
    <row r="1079">
      <c r="C1079" t="s">
        <v>898</v>
      </c>
    </row>
    <row r="1080">
      <c r="C1080" t="s">
        <v>898</v>
      </c>
    </row>
    <row r="1081">
      <c r="C1081" t="s">
        <v>898</v>
      </c>
    </row>
    <row r="1082">
      <c r="C1082" t="s">
        <v>898</v>
      </c>
    </row>
    <row r="1083">
      <c r="C1083" t="s">
        <v>898</v>
      </c>
    </row>
    <row r="1084">
      <c r="C1084" t="s">
        <v>898</v>
      </c>
    </row>
    <row r="1085">
      <c r="C1085" t="s">
        <v>898</v>
      </c>
    </row>
    <row r="1086">
      <c r="C1086" t="s">
        <v>898</v>
      </c>
    </row>
    <row r="1087">
      <c r="C1087" t="s">
        <v>898</v>
      </c>
    </row>
    <row r="1088">
      <c r="C1088" t="s">
        <v>898</v>
      </c>
    </row>
    <row r="1089">
      <c r="C1089" t="s">
        <v>898</v>
      </c>
    </row>
    <row r="1090">
      <c r="C1090" t="s">
        <v>898</v>
      </c>
    </row>
    <row r="1091">
      <c r="C1091" t="s">
        <v>898</v>
      </c>
    </row>
    <row r="1092">
      <c r="C1092" t="s">
        <v>898</v>
      </c>
    </row>
    <row r="1093">
      <c r="C1093" t="s">
        <v>898</v>
      </c>
    </row>
    <row r="1094">
      <c r="C1094" t="s">
        <v>898</v>
      </c>
    </row>
    <row r="1095">
      <c r="C1095" t="s">
        <v>898</v>
      </c>
    </row>
    <row r="1096">
      <c r="C1096" t="s">
        <v>898</v>
      </c>
    </row>
    <row r="1097">
      <c r="C1097" t="s">
        <v>898</v>
      </c>
    </row>
    <row r="1098">
      <c r="C1098" t="s">
        <v>898</v>
      </c>
    </row>
    <row r="1099">
      <c r="C1099" t="s">
        <v>898</v>
      </c>
    </row>
    <row r="1100">
      <c r="C1100" t="s">
        <v>898</v>
      </c>
    </row>
    <row r="1101">
      <c r="C1101" t="s">
        <v>898</v>
      </c>
    </row>
    <row r="1102">
      <c r="C1102" t="s">
        <v>898</v>
      </c>
    </row>
    <row r="1103">
      <c r="C1103" t="s">
        <v>898</v>
      </c>
    </row>
    <row r="1104">
      <c r="C1104" t="s">
        <v>898</v>
      </c>
    </row>
    <row r="1105">
      <c r="C1105" t="s">
        <v>898</v>
      </c>
    </row>
    <row r="1106">
      <c r="C1106" t="s">
        <v>898</v>
      </c>
    </row>
    <row r="1107">
      <c r="C1107" t="s">
        <v>898</v>
      </c>
    </row>
    <row r="1108">
      <c r="C1108" t="s">
        <v>898</v>
      </c>
    </row>
    <row r="1109">
      <c r="C1109" t="s">
        <v>898</v>
      </c>
    </row>
    <row r="1110">
      <c r="C1110" t="s">
        <v>898</v>
      </c>
    </row>
    <row r="1111">
      <c r="C1111" t="s">
        <v>898</v>
      </c>
    </row>
    <row r="1112">
      <c r="C1112" t="s">
        <v>898</v>
      </c>
    </row>
    <row r="1113">
      <c r="C1113" t="s">
        <v>898</v>
      </c>
    </row>
    <row r="1114">
      <c r="C1114" t="s">
        <v>898</v>
      </c>
    </row>
    <row r="1115">
      <c r="C1115" t="s">
        <v>898</v>
      </c>
    </row>
    <row r="1116">
      <c r="C1116" t="s">
        <v>898</v>
      </c>
    </row>
    <row r="1117">
      <c r="C1117" t="s">
        <v>898</v>
      </c>
    </row>
    <row r="1118">
      <c r="C1118" t="s">
        <v>898</v>
      </c>
    </row>
    <row r="1119">
      <c r="C1119" t="s">
        <v>898</v>
      </c>
    </row>
    <row r="1120">
      <c r="C1120" t="s">
        <v>898</v>
      </c>
    </row>
    <row r="1121">
      <c r="C1121" t="s">
        <v>898</v>
      </c>
    </row>
    <row r="1122">
      <c r="C1122" t="s">
        <v>898</v>
      </c>
    </row>
    <row r="1123">
      <c r="C1123" t="s">
        <v>898</v>
      </c>
    </row>
    <row r="1124">
      <c r="C1124" t="s">
        <v>898</v>
      </c>
    </row>
    <row r="1125">
      <c r="C1125" t="s">
        <v>898</v>
      </c>
    </row>
    <row r="1126">
      <c r="C1126" t="s">
        <v>898</v>
      </c>
    </row>
    <row r="1127">
      <c r="C1127" t="s">
        <v>898</v>
      </c>
    </row>
    <row r="1128">
      <c r="C1128" t="s">
        <v>898</v>
      </c>
    </row>
    <row r="1129">
      <c r="C1129" t="s">
        <v>898</v>
      </c>
    </row>
    <row r="1130">
      <c r="C1130" t="s">
        <v>898</v>
      </c>
    </row>
    <row r="1131">
      <c r="C1131" t="s">
        <v>898</v>
      </c>
    </row>
    <row r="1132">
      <c r="C1132" t="s">
        <v>898</v>
      </c>
    </row>
    <row r="1133">
      <c r="C1133" t="s">
        <v>898</v>
      </c>
    </row>
    <row r="1134">
      <c r="C1134" t="s">
        <v>898</v>
      </c>
    </row>
    <row r="1135">
      <c r="C1135" t="s">
        <v>898</v>
      </c>
    </row>
    <row r="1136">
      <c r="C1136" t="s">
        <v>898</v>
      </c>
    </row>
    <row r="1137">
      <c r="C1137" t="s">
        <v>898</v>
      </c>
    </row>
    <row r="1138">
      <c r="C1138" t="s">
        <v>898</v>
      </c>
    </row>
    <row r="1139">
      <c r="C1139" t="s">
        <v>898</v>
      </c>
    </row>
    <row r="1140">
      <c r="C1140" t="s">
        <v>898</v>
      </c>
    </row>
    <row r="1141">
      <c r="C1141" t="s">
        <v>898</v>
      </c>
    </row>
    <row r="1142">
      <c r="C1142" t="s">
        <v>898</v>
      </c>
    </row>
    <row r="1143">
      <c r="C1143" t="s">
        <v>898</v>
      </c>
    </row>
    <row r="1144">
      <c r="C1144" t="s">
        <v>898</v>
      </c>
    </row>
    <row r="1145">
      <c r="C1145" t="s">
        <v>898</v>
      </c>
    </row>
    <row r="1146">
      <c r="C1146" t="s">
        <v>898</v>
      </c>
    </row>
    <row r="1147">
      <c r="C1147" t="s">
        <v>898</v>
      </c>
    </row>
    <row r="1148">
      <c r="C1148" t="s">
        <v>898</v>
      </c>
    </row>
    <row r="1149">
      <c r="C1149" t="s">
        <v>898</v>
      </c>
    </row>
    <row r="1150">
      <c r="C1150" t="s">
        <v>898</v>
      </c>
    </row>
    <row r="1151">
      <c r="C1151" t="s">
        <v>898</v>
      </c>
    </row>
    <row r="1152">
      <c r="C1152" t="s">
        <v>898</v>
      </c>
    </row>
    <row r="1153">
      <c r="C1153" t="s">
        <v>898</v>
      </c>
    </row>
    <row r="1154">
      <c r="C1154" t="s">
        <v>898</v>
      </c>
    </row>
    <row r="1155">
      <c r="C1155" t="s">
        <v>898</v>
      </c>
    </row>
    <row r="1156">
      <c r="C1156" t="s">
        <v>898</v>
      </c>
    </row>
    <row r="1157">
      <c r="C1157" t="s">
        <v>898</v>
      </c>
    </row>
    <row r="1158">
      <c r="C1158" t="s">
        <v>898</v>
      </c>
    </row>
    <row r="1159">
      <c r="C1159" t="s">
        <v>898</v>
      </c>
    </row>
    <row r="1160">
      <c r="C1160" t="s">
        <v>898</v>
      </c>
    </row>
    <row r="1161">
      <c r="C1161" t="s">
        <v>898</v>
      </c>
    </row>
    <row r="1162">
      <c r="C1162" t="s">
        <v>898</v>
      </c>
    </row>
    <row r="1163">
      <c r="C1163" t="s">
        <v>898</v>
      </c>
    </row>
    <row r="1164">
      <c r="C1164" t="s">
        <v>898</v>
      </c>
    </row>
    <row r="1165">
      <c r="C1165" t="s">
        <v>898</v>
      </c>
    </row>
    <row r="1166">
      <c r="C1166" t="s">
        <v>898</v>
      </c>
    </row>
    <row r="1167">
      <c r="C1167" t="s">
        <v>898</v>
      </c>
    </row>
    <row r="1168">
      <c r="C1168" t="s">
        <v>898</v>
      </c>
    </row>
    <row r="1169">
      <c r="C1169" t="s">
        <v>898</v>
      </c>
    </row>
    <row r="1170">
      <c r="C1170" t="s">
        <v>898</v>
      </c>
    </row>
    <row r="1171">
      <c r="C1171" t="s">
        <v>898</v>
      </c>
    </row>
    <row r="1172">
      <c r="C1172" t="s">
        <v>898</v>
      </c>
    </row>
    <row r="1173">
      <c r="C1173" t="s">
        <v>898</v>
      </c>
    </row>
    <row r="1174">
      <c r="C1174" t="s">
        <v>898</v>
      </c>
    </row>
    <row r="1175">
      <c r="C1175" t="s">
        <v>898</v>
      </c>
    </row>
    <row r="1176">
      <c r="C1176" t="s">
        <v>898</v>
      </c>
    </row>
    <row r="1177">
      <c r="C1177" t="s">
        <v>898</v>
      </c>
    </row>
    <row r="1178">
      <c r="C1178" t="s">
        <v>898</v>
      </c>
    </row>
    <row r="1179">
      <c r="C1179" t="s">
        <v>898</v>
      </c>
    </row>
    <row r="1180">
      <c r="C1180" t="s">
        <v>898</v>
      </c>
    </row>
    <row r="1181">
      <c r="C1181" t="s">
        <v>898</v>
      </c>
    </row>
    <row r="1182">
      <c r="C1182" t="s">
        <v>898</v>
      </c>
    </row>
    <row r="1183">
      <c r="C1183" t="s">
        <v>898</v>
      </c>
    </row>
    <row r="1184">
      <c r="C1184" t="s">
        <v>898</v>
      </c>
    </row>
    <row r="1185">
      <c r="C1185" t="s">
        <v>898</v>
      </c>
    </row>
    <row r="1186">
      <c r="C1186" t="s">
        <v>898</v>
      </c>
    </row>
    <row r="1187">
      <c r="C1187" t="s">
        <v>898</v>
      </c>
    </row>
    <row r="1188">
      <c r="C1188" t="s">
        <v>898</v>
      </c>
    </row>
    <row r="1189">
      <c r="C1189" t="s">
        <v>898</v>
      </c>
    </row>
    <row r="1190">
      <c r="C1190" t="s">
        <v>898</v>
      </c>
    </row>
    <row r="1191">
      <c r="C1191" t="s">
        <v>898</v>
      </c>
    </row>
    <row r="1192">
      <c r="C1192" t="s">
        <v>898</v>
      </c>
    </row>
    <row r="1193">
      <c r="C1193" t="s">
        <v>898</v>
      </c>
    </row>
    <row r="1194">
      <c r="C1194" t="s">
        <v>898</v>
      </c>
    </row>
    <row r="1195">
      <c r="C1195" t="s">
        <v>898</v>
      </c>
    </row>
    <row r="1196">
      <c r="C1196" t="s">
        <v>898</v>
      </c>
    </row>
    <row r="1197">
      <c r="C1197" t="s">
        <v>898</v>
      </c>
    </row>
    <row r="1198">
      <c r="C1198" t="s">
        <v>898</v>
      </c>
    </row>
    <row r="1199">
      <c r="C1199" t="s">
        <v>898</v>
      </c>
    </row>
    <row r="1200">
      <c r="C1200" t="s">
        <v>898</v>
      </c>
    </row>
    <row r="1201">
      <c r="C1201" t="s">
        <v>898</v>
      </c>
    </row>
    <row r="1202">
      <c r="C1202" t="s">
        <v>898</v>
      </c>
    </row>
    <row r="1203">
      <c r="C1203" t="s">
        <v>898</v>
      </c>
    </row>
    <row r="1204">
      <c r="C1204" t="s">
        <v>898</v>
      </c>
    </row>
    <row r="1205">
      <c r="C1205" t="s">
        <v>898</v>
      </c>
    </row>
    <row r="1206">
      <c r="C1206" t="s">
        <v>898</v>
      </c>
    </row>
    <row r="1207">
      <c r="C1207" t="s">
        <v>898</v>
      </c>
    </row>
    <row r="1208">
      <c r="C1208" t="s">
        <v>898</v>
      </c>
    </row>
    <row r="1209">
      <c r="C1209" t="s">
        <v>898</v>
      </c>
    </row>
    <row r="1210">
      <c r="C1210" t="s">
        <v>898</v>
      </c>
    </row>
    <row r="1211">
      <c r="C1211" t="s">
        <v>898</v>
      </c>
    </row>
    <row r="1212">
      <c r="C1212" t="s">
        <v>898</v>
      </c>
    </row>
    <row r="1213">
      <c r="C1213" t="s">
        <v>898</v>
      </c>
    </row>
    <row r="1214">
      <c r="C1214" t="s">
        <v>898</v>
      </c>
    </row>
    <row r="1215">
      <c r="C1215" t="s">
        <v>898</v>
      </c>
    </row>
    <row r="1216">
      <c r="C1216" t="s">
        <v>898</v>
      </c>
    </row>
    <row r="1217">
      <c r="C1217" t="s">
        <v>898</v>
      </c>
    </row>
    <row r="1218">
      <c r="C1218" t="s">
        <v>898</v>
      </c>
    </row>
    <row r="1219">
      <c r="C1219" t="s">
        <v>898</v>
      </c>
    </row>
    <row r="1220">
      <c r="C1220" t="s">
        <v>898</v>
      </c>
    </row>
    <row r="1221">
      <c r="C1221" t="s">
        <v>898</v>
      </c>
    </row>
    <row r="1222">
      <c r="C1222" t="s">
        <v>898</v>
      </c>
    </row>
    <row r="1223">
      <c r="C1223" t="s">
        <v>898</v>
      </c>
    </row>
    <row r="1224">
      <c r="C1224" t="s">
        <v>898</v>
      </c>
    </row>
    <row r="1225">
      <c r="C1225" t="s">
        <v>898</v>
      </c>
    </row>
    <row r="1226">
      <c r="C1226" t="s">
        <v>898</v>
      </c>
    </row>
    <row r="1227">
      <c r="C1227" t="s">
        <v>898</v>
      </c>
    </row>
    <row r="1228">
      <c r="C1228" t="s">
        <v>898</v>
      </c>
    </row>
    <row r="1229">
      <c r="C1229" t="s">
        <v>898</v>
      </c>
    </row>
    <row r="1230">
      <c r="C1230" t="s">
        <v>898</v>
      </c>
    </row>
    <row r="1231">
      <c r="C1231" t="s">
        <v>898</v>
      </c>
    </row>
    <row r="1232">
      <c r="C1232" t="s">
        <v>898</v>
      </c>
    </row>
    <row r="1233">
      <c r="C1233" t="s">
        <v>898</v>
      </c>
    </row>
    <row r="1234">
      <c r="C1234" t="s">
        <v>898</v>
      </c>
    </row>
    <row r="1235">
      <c r="C1235" t="s">
        <v>898</v>
      </c>
    </row>
    <row r="1236">
      <c r="C1236" t="s">
        <v>898</v>
      </c>
    </row>
    <row r="1237">
      <c r="C1237" t="s">
        <v>898</v>
      </c>
    </row>
    <row r="1238">
      <c r="C1238" t="s">
        <v>898</v>
      </c>
    </row>
    <row r="1239">
      <c r="C1239" t="s">
        <v>898</v>
      </c>
    </row>
    <row r="1240">
      <c r="C1240" t="s">
        <v>898</v>
      </c>
    </row>
    <row r="1241">
      <c r="C1241" t="s">
        <v>898</v>
      </c>
    </row>
    <row r="1242">
      <c r="C1242" t="s">
        <v>898</v>
      </c>
    </row>
    <row r="1243">
      <c r="C1243" t="s">
        <v>898</v>
      </c>
    </row>
    <row r="1244">
      <c r="C1244" t="s">
        <v>898</v>
      </c>
    </row>
    <row r="1245">
      <c r="C1245" t="s">
        <v>898</v>
      </c>
    </row>
    <row r="1246">
      <c r="C1246" t="s">
        <v>898</v>
      </c>
    </row>
    <row r="1247">
      <c r="C1247" t="s">
        <v>898</v>
      </c>
    </row>
    <row r="1248">
      <c r="C1248" t="s">
        <v>898</v>
      </c>
    </row>
    <row r="1249">
      <c r="C1249" t="s">
        <v>898</v>
      </c>
    </row>
    <row r="1250">
      <c r="C1250" t="s">
        <v>898</v>
      </c>
    </row>
    <row r="1251">
      <c r="C1251" t="s">
        <v>898</v>
      </c>
    </row>
    <row r="1252">
      <c r="C1252" t="s">
        <v>898</v>
      </c>
    </row>
    <row r="1253">
      <c r="C1253" t="s">
        <v>898</v>
      </c>
    </row>
    <row r="1254">
      <c r="C1254" t="s">
        <v>898</v>
      </c>
    </row>
    <row r="1255">
      <c r="C1255" t="s">
        <v>898</v>
      </c>
    </row>
    <row r="1256">
      <c r="C1256" t="s">
        <v>898</v>
      </c>
    </row>
    <row r="1257">
      <c r="C1257" t="s">
        <v>898</v>
      </c>
    </row>
    <row r="1258">
      <c r="C1258" t="s">
        <v>898</v>
      </c>
    </row>
    <row r="1259">
      <c r="C1259" t="s">
        <v>898</v>
      </c>
    </row>
    <row r="1260">
      <c r="C1260" t="s">
        <v>898</v>
      </c>
    </row>
    <row r="1261">
      <c r="C1261" t="s">
        <v>898</v>
      </c>
    </row>
    <row r="1262">
      <c r="C1262" t="s">
        <v>898</v>
      </c>
    </row>
    <row r="1263">
      <c r="C1263" t="s">
        <v>898</v>
      </c>
    </row>
    <row r="1264">
      <c r="C1264" t="s">
        <v>898</v>
      </c>
    </row>
    <row r="1265">
      <c r="C1265" t="s">
        <v>898</v>
      </c>
    </row>
    <row r="1266">
      <c r="C1266" t="s">
        <v>898</v>
      </c>
    </row>
    <row r="1267">
      <c r="C1267" t="s">
        <v>898</v>
      </c>
    </row>
    <row r="1268">
      <c r="C1268" t="s">
        <v>898</v>
      </c>
    </row>
    <row r="1269">
      <c r="C1269" t="s">
        <v>898</v>
      </c>
    </row>
    <row r="1270">
      <c r="C1270" t="s">
        <v>898</v>
      </c>
    </row>
    <row r="1271">
      <c r="C1271" t="s">
        <v>898</v>
      </c>
    </row>
    <row r="1272">
      <c r="C1272" t="s">
        <v>898</v>
      </c>
    </row>
    <row r="1273">
      <c r="C1273" t="s">
        <v>898</v>
      </c>
    </row>
    <row r="1274">
      <c r="C1274" t="s">
        <v>898</v>
      </c>
    </row>
    <row r="1275">
      <c r="C1275" t="s">
        <v>898</v>
      </c>
    </row>
    <row r="1276">
      <c r="C1276" t="s">
        <v>898</v>
      </c>
    </row>
    <row r="1277">
      <c r="C1277" t="s">
        <v>898</v>
      </c>
    </row>
    <row r="1278">
      <c r="C1278" t="s">
        <v>898</v>
      </c>
    </row>
    <row r="1279">
      <c r="C1279" t="s">
        <v>898</v>
      </c>
    </row>
    <row r="1280">
      <c r="C1280" t="s">
        <v>898</v>
      </c>
    </row>
    <row r="1281">
      <c r="C1281" t="s">
        <v>898</v>
      </c>
    </row>
    <row r="1282">
      <c r="C1282" t="s">
        <v>898</v>
      </c>
    </row>
    <row r="1283">
      <c r="C1283" t="s">
        <v>898</v>
      </c>
    </row>
    <row r="1284">
      <c r="C1284" t="s">
        <v>898</v>
      </c>
    </row>
    <row r="1285">
      <c r="C1285" t="s">
        <v>898</v>
      </c>
    </row>
    <row r="1286">
      <c r="C1286" t="s">
        <v>898</v>
      </c>
    </row>
    <row r="1287">
      <c r="C1287" t="s">
        <v>898</v>
      </c>
    </row>
    <row r="1288">
      <c r="C1288" t="s">
        <v>898</v>
      </c>
    </row>
    <row r="1289">
      <c r="C1289" t="s">
        <v>898</v>
      </c>
    </row>
    <row r="1290">
      <c r="C1290" t="s">
        <v>898</v>
      </c>
    </row>
    <row r="1291">
      <c r="C1291" t="s">
        <v>898</v>
      </c>
    </row>
    <row r="1292">
      <c r="C1292" t="s">
        <v>898</v>
      </c>
    </row>
    <row r="1293">
      <c r="C1293" t="s">
        <v>898</v>
      </c>
    </row>
    <row r="1294">
      <c r="C1294" t="s">
        <v>898</v>
      </c>
    </row>
    <row r="1295">
      <c r="C1295" t="s">
        <v>898</v>
      </c>
    </row>
    <row r="1296">
      <c r="C1296" t="s">
        <v>898</v>
      </c>
    </row>
    <row r="1297">
      <c r="C1297" t="s">
        <v>898</v>
      </c>
    </row>
    <row r="1298">
      <c r="C1298" t="s">
        <v>898</v>
      </c>
    </row>
    <row r="1299">
      <c r="C1299" t="s">
        <v>898</v>
      </c>
    </row>
    <row r="1300">
      <c r="C1300" t="s">
        <v>898</v>
      </c>
    </row>
    <row r="1301">
      <c r="C1301" t="s">
        <v>898</v>
      </c>
    </row>
    <row r="1302">
      <c r="C1302" t="s">
        <v>898</v>
      </c>
    </row>
    <row r="1303">
      <c r="C1303" t="s">
        <v>898</v>
      </c>
    </row>
    <row r="1304">
      <c r="C1304" t="s">
        <v>898</v>
      </c>
    </row>
    <row r="1305">
      <c r="C1305" t="s">
        <v>898</v>
      </c>
    </row>
    <row r="1306">
      <c r="C1306" t="s">
        <v>898</v>
      </c>
    </row>
    <row r="1307">
      <c r="C1307" t="s">
        <v>898</v>
      </c>
    </row>
    <row r="1308">
      <c r="C1308" t="s">
        <v>898</v>
      </c>
    </row>
    <row r="1309">
      <c r="C1309" t="s">
        <v>898</v>
      </c>
    </row>
    <row r="1310">
      <c r="C1310" t="s">
        <v>898</v>
      </c>
    </row>
    <row r="1311">
      <c r="C1311" t="s">
        <v>898</v>
      </c>
    </row>
    <row r="1312">
      <c r="C1312" t="s">
        <v>898</v>
      </c>
    </row>
    <row r="1313">
      <c r="C1313" t="s">
        <v>898</v>
      </c>
    </row>
    <row r="1314">
      <c r="C1314" t="s">
        <v>898</v>
      </c>
    </row>
    <row r="1315">
      <c r="C1315" t="s">
        <v>898</v>
      </c>
    </row>
    <row r="1316">
      <c r="C1316" t="s">
        <v>898</v>
      </c>
    </row>
    <row r="1317">
      <c r="C1317" t="s">
        <v>898</v>
      </c>
    </row>
    <row r="1318">
      <c r="C1318" t="s">
        <v>898</v>
      </c>
    </row>
    <row r="1319">
      <c r="C1319" t="s">
        <v>898</v>
      </c>
    </row>
    <row r="1320">
      <c r="C1320" t="s">
        <v>898</v>
      </c>
    </row>
    <row r="1321">
      <c r="C1321" t="s">
        <v>898</v>
      </c>
    </row>
    <row r="1322">
      <c r="C1322" t="s">
        <v>898</v>
      </c>
    </row>
    <row r="1323">
      <c r="C1323" t="s">
        <v>898</v>
      </c>
    </row>
    <row r="1324">
      <c r="C1324" t="s">
        <v>898</v>
      </c>
    </row>
    <row r="1325">
      <c r="C1325" t="s">
        <v>898</v>
      </c>
    </row>
    <row r="1326">
      <c r="C1326" t="s">
        <v>898</v>
      </c>
    </row>
    <row r="1327">
      <c r="C1327" t="s">
        <v>898</v>
      </c>
    </row>
    <row r="1328">
      <c r="C1328" t="s">
        <v>898</v>
      </c>
    </row>
    <row r="1329">
      <c r="C1329" t="s">
        <v>898</v>
      </c>
    </row>
    <row r="1330">
      <c r="C1330" t="s">
        <v>898</v>
      </c>
    </row>
    <row r="1331">
      <c r="C1331" t="s">
        <v>898</v>
      </c>
    </row>
    <row r="1332">
      <c r="C1332" t="s">
        <v>898</v>
      </c>
    </row>
    <row r="1333">
      <c r="C1333" t="s">
        <v>898</v>
      </c>
    </row>
    <row r="1334">
      <c r="C1334" t="s">
        <v>898</v>
      </c>
    </row>
    <row r="1335">
      <c r="C1335" t="s">
        <v>898</v>
      </c>
    </row>
    <row r="1336">
      <c r="C1336" t="s">
        <v>898</v>
      </c>
    </row>
    <row r="1337">
      <c r="C1337" t="s">
        <v>898</v>
      </c>
    </row>
    <row r="1338">
      <c r="C1338" t="s">
        <v>898</v>
      </c>
    </row>
    <row r="1339">
      <c r="C1339" t="s">
        <v>898</v>
      </c>
    </row>
    <row r="1340">
      <c r="C1340" t="s">
        <v>898</v>
      </c>
    </row>
    <row r="1341">
      <c r="C1341" t="s">
        <v>898</v>
      </c>
    </row>
    <row r="1342">
      <c r="C1342" t="s">
        <v>898</v>
      </c>
    </row>
    <row r="1343">
      <c r="C1343" t="s">
        <v>898</v>
      </c>
    </row>
    <row r="1344">
      <c r="C1344" t="s">
        <v>898</v>
      </c>
    </row>
    <row r="1345">
      <c r="C1345" t="s">
        <v>898</v>
      </c>
    </row>
    <row r="1346">
      <c r="C1346" t="s">
        <v>898</v>
      </c>
    </row>
    <row r="1347">
      <c r="C1347" t="s">
        <v>898</v>
      </c>
    </row>
    <row r="1348">
      <c r="C1348" t="s">
        <v>898</v>
      </c>
    </row>
    <row r="1349">
      <c r="C1349" t="s">
        <v>898</v>
      </c>
    </row>
    <row r="1350">
      <c r="C1350" t="s">
        <v>898</v>
      </c>
    </row>
    <row r="1351">
      <c r="C1351" t="s">
        <v>898</v>
      </c>
    </row>
    <row r="1352">
      <c r="C1352" t="s">
        <v>898</v>
      </c>
    </row>
    <row r="1353">
      <c r="C1353" t="s">
        <v>898</v>
      </c>
    </row>
    <row r="1354">
      <c r="C1354" t="s">
        <v>898</v>
      </c>
    </row>
    <row r="1355">
      <c r="C1355" t="s">
        <v>898</v>
      </c>
    </row>
    <row r="1356">
      <c r="C1356" t="s">
        <v>898</v>
      </c>
    </row>
    <row r="1357">
      <c r="C1357" t="s">
        <v>898</v>
      </c>
    </row>
    <row r="1358">
      <c r="C1358" t="s">
        <v>898</v>
      </c>
    </row>
    <row r="1359">
      <c r="C1359" t="s">
        <v>898</v>
      </c>
    </row>
    <row r="1360">
      <c r="C1360" t="s">
        <v>898</v>
      </c>
    </row>
    <row r="1361">
      <c r="C1361" t="s">
        <v>898</v>
      </c>
    </row>
    <row r="1362">
      <c r="C1362" t="s">
        <v>898</v>
      </c>
    </row>
    <row r="1363">
      <c r="C1363" t="s">
        <v>898</v>
      </c>
    </row>
    <row r="1364">
      <c r="C1364" t="s">
        <v>898</v>
      </c>
    </row>
    <row r="1365">
      <c r="C1365" t="s">
        <v>898</v>
      </c>
    </row>
    <row r="1366">
      <c r="C1366" t="s">
        <v>898</v>
      </c>
    </row>
    <row r="1367">
      <c r="C1367" t="s">
        <v>898</v>
      </c>
    </row>
    <row r="1368">
      <c r="C1368" t="s">
        <v>898</v>
      </c>
    </row>
    <row r="1369">
      <c r="C1369" t="s">
        <v>898</v>
      </c>
    </row>
    <row r="1370">
      <c r="C1370" t="s">
        <v>898</v>
      </c>
    </row>
    <row r="1371">
      <c r="C1371" t="s">
        <v>898</v>
      </c>
    </row>
    <row r="1372">
      <c r="C1372" t="s">
        <v>898</v>
      </c>
    </row>
    <row r="1373">
      <c r="C1373" t="s">
        <v>898</v>
      </c>
    </row>
    <row r="1374">
      <c r="C1374" t="s">
        <v>898</v>
      </c>
    </row>
    <row r="1375">
      <c r="C1375" t="s">
        <v>898</v>
      </c>
    </row>
    <row r="1376">
      <c r="C1376" t="s">
        <v>898</v>
      </c>
    </row>
    <row r="1377">
      <c r="C1377" t="s">
        <v>898</v>
      </c>
    </row>
    <row r="1378">
      <c r="C1378" t="s">
        <v>898</v>
      </c>
    </row>
    <row r="1379">
      <c r="C1379" t="s">
        <v>898</v>
      </c>
    </row>
    <row r="1380">
      <c r="C1380" t="s">
        <v>898</v>
      </c>
    </row>
    <row r="1381">
      <c r="C1381" t="s">
        <v>898</v>
      </c>
    </row>
    <row r="1382">
      <c r="C1382" t="s">
        <v>898</v>
      </c>
    </row>
    <row r="1383">
      <c r="C1383" t="s">
        <v>898</v>
      </c>
    </row>
    <row r="1384">
      <c r="C1384" t="s">
        <v>898</v>
      </c>
    </row>
    <row r="1385">
      <c r="C1385" t="s">
        <v>898</v>
      </c>
    </row>
    <row r="1386">
      <c r="C1386" t="s">
        <v>898</v>
      </c>
    </row>
    <row r="1387">
      <c r="C1387" t="s">
        <v>898</v>
      </c>
    </row>
    <row r="1388">
      <c r="C1388" t="s">
        <v>898</v>
      </c>
    </row>
    <row r="1389">
      <c r="C1389" t="s">
        <v>898</v>
      </c>
    </row>
    <row r="1390">
      <c r="C1390" t="s">
        <v>898</v>
      </c>
    </row>
    <row r="1391">
      <c r="C1391" t="s">
        <v>898</v>
      </c>
    </row>
    <row r="1392">
      <c r="C1392" t="s">
        <v>898</v>
      </c>
    </row>
    <row r="1393">
      <c r="C1393" t="s">
        <v>898</v>
      </c>
    </row>
    <row r="1394">
      <c r="C1394" t="s">
        <v>898</v>
      </c>
    </row>
    <row r="1395">
      <c r="C1395" t="s">
        <v>898</v>
      </c>
    </row>
    <row r="1396">
      <c r="C1396" t="s">
        <v>898</v>
      </c>
    </row>
    <row r="1397">
      <c r="C1397" t="s">
        <v>898</v>
      </c>
    </row>
    <row r="1398">
      <c r="C1398" t="s">
        <v>898</v>
      </c>
    </row>
    <row r="1399">
      <c r="C1399" t="s">
        <v>898</v>
      </c>
    </row>
    <row r="1400">
      <c r="C1400" t="s">
        <v>898</v>
      </c>
    </row>
    <row r="1401">
      <c r="C1401" t="s">
        <v>898</v>
      </c>
    </row>
    <row r="1402">
      <c r="C1402" t="s">
        <v>898</v>
      </c>
    </row>
    <row r="1403">
      <c r="C1403" t="s">
        <v>898</v>
      </c>
    </row>
    <row r="1404">
      <c r="C1404" t="s">
        <v>898</v>
      </c>
    </row>
    <row r="1405">
      <c r="C1405" t="s">
        <v>898</v>
      </c>
    </row>
    <row r="1406">
      <c r="C1406" t="s">
        <v>898</v>
      </c>
    </row>
    <row r="1407">
      <c r="C1407" t="s">
        <v>898</v>
      </c>
    </row>
    <row r="1408">
      <c r="C1408" t="s">
        <v>898</v>
      </c>
    </row>
    <row r="1409">
      <c r="C1409" t="s">
        <v>898</v>
      </c>
    </row>
    <row r="1410">
      <c r="C1410" t="s">
        <v>898</v>
      </c>
    </row>
    <row r="1411">
      <c r="C1411" t="s">
        <v>898</v>
      </c>
    </row>
    <row r="1412">
      <c r="C1412" t="s">
        <v>898</v>
      </c>
    </row>
    <row r="1413">
      <c r="C1413" t="s">
        <v>898</v>
      </c>
    </row>
    <row r="1414">
      <c r="C1414" t="s">
        <v>898</v>
      </c>
    </row>
    <row r="1415">
      <c r="C1415" t="s">
        <v>898</v>
      </c>
    </row>
    <row r="1416">
      <c r="C1416" t="s">
        <v>898</v>
      </c>
    </row>
    <row r="1417">
      <c r="C1417" t="s">
        <v>898</v>
      </c>
    </row>
    <row r="1418">
      <c r="C1418" t="s">
        <v>898</v>
      </c>
    </row>
    <row r="1419">
      <c r="C1419" t="s">
        <v>898</v>
      </c>
    </row>
    <row r="1420">
      <c r="C1420" t="s">
        <v>898</v>
      </c>
    </row>
    <row r="1421">
      <c r="C1421" t="s">
        <v>898</v>
      </c>
    </row>
    <row r="1422">
      <c r="C1422" t="s">
        <v>898</v>
      </c>
    </row>
    <row r="1423">
      <c r="C1423" t="s">
        <v>898</v>
      </c>
    </row>
    <row r="1424">
      <c r="C1424" t="s">
        <v>898</v>
      </c>
    </row>
    <row r="1425">
      <c r="C1425" t="s">
        <v>898</v>
      </c>
    </row>
    <row r="1426">
      <c r="C1426" t="s">
        <v>898</v>
      </c>
    </row>
    <row r="1427">
      <c r="C1427" t="s">
        <v>898</v>
      </c>
    </row>
    <row r="1428">
      <c r="C1428" t="s">
        <v>898</v>
      </c>
    </row>
    <row r="1429">
      <c r="C1429" t="s">
        <v>898</v>
      </c>
    </row>
    <row r="1430">
      <c r="C1430" t="s">
        <v>898</v>
      </c>
    </row>
    <row r="1431">
      <c r="C1431" t="s">
        <v>898</v>
      </c>
    </row>
    <row r="1432">
      <c r="C1432" t="s">
        <v>898</v>
      </c>
    </row>
    <row r="1433">
      <c r="C1433" t="s">
        <v>898</v>
      </c>
    </row>
    <row r="1434">
      <c r="C1434" t="s">
        <v>898</v>
      </c>
    </row>
    <row r="1435">
      <c r="C1435" t="s">
        <v>898</v>
      </c>
    </row>
    <row r="1436">
      <c r="C1436" t="s">
        <v>898</v>
      </c>
    </row>
    <row r="1437">
      <c r="C1437" t="s">
        <v>898</v>
      </c>
    </row>
    <row r="1438">
      <c r="C1438" t="s">
        <v>898</v>
      </c>
    </row>
    <row r="1439">
      <c r="C1439" t="s">
        <v>898</v>
      </c>
    </row>
    <row r="1440">
      <c r="C1440" t="s">
        <v>898</v>
      </c>
    </row>
    <row r="1441">
      <c r="C1441" t="s">
        <v>898</v>
      </c>
    </row>
    <row r="1442">
      <c r="C1442" t="s">
        <v>898</v>
      </c>
    </row>
    <row r="1443">
      <c r="C1443" t="s">
        <v>898</v>
      </c>
    </row>
    <row r="1444">
      <c r="C1444" t="s">
        <v>898</v>
      </c>
    </row>
    <row r="1445">
      <c r="C1445" t="s">
        <v>898</v>
      </c>
    </row>
    <row r="1446">
      <c r="C1446" t="s">
        <v>898</v>
      </c>
    </row>
    <row r="1447">
      <c r="C1447" t="s">
        <v>898</v>
      </c>
    </row>
    <row r="1448">
      <c r="C1448" t="s">
        <v>898</v>
      </c>
    </row>
    <row r="1449">
      <c r="C1449" t="s">
        <v>898</v>
      </c>
    </row>
    <row r="1450">
      <c r="C1450" t="s">
        <v>898</v>
      </c>
    </row>
    <row r="1451">
      <c r="C1451" t="s">
        <v>898</v>
      </c>
    </row>
    <row r="1452">
      <c r="C1452" t="s">
        <v>898</v>
      </c>
    </row>
    <row r="1453">
      <c r="C1453" t="s">
        <v>898</v>
      </c>
    </row>
    <row r="1454">
      <c r="C1454" t="s">
        <v>898</v>
      </c>
    </row>
    <row r="1455">
      <c r="C1455" t="s">
        <v>898</v>
      </c>
    </row>
    <row r="1456">
      <c r="C1456" t="s">
        <v>898</v>
      </c>
    </row>
    <row r="1457">
      <c r="C1457" t="s">
        <v>898</v>
      </c>
    </row>
    <row r="1458">
      <c r="C1458" t="s">
        <v>898</v>
      </c>
    </row>
    <row r="1459">
      <c r="C1459" t="s">
        <v>898</v>
      </c>
    </row>
    <row r="1460">
      <c r="C1460" t="s">
        <v>898</v>
      </c>
    </row>
    <row r="1461">
      <c r="C1461" t="s">
        <v>898</v>
      </c>
    </row>
    <row r="1462">
      <c r="C1462" t="s">
        <v>898</v>
      </c>
    </row>
    <row r="1463">
      <c r="C1463" t="s">
        <v>898</v>
      </c>
    </row>
    <row r="1464">
      <c r="C1464" t="s">
        <v>898</v>
      </c>
    </row>
    <row r="1465">
      <c r="C1465" t="s">
        <v>898</v>
      </c>
    </row>
    <row r="1466">
      <c r="C1466" t="s">
        <v>898</v>
      </c>
    </row>
    <row r="1467">
      <c r="C1467" t="s">
        <v>898</v>
      </c>
    </row>
    <row r="1468">
      <c r="C1468" t="s">
        <v>898</v>
      </c>
    </row>
    <row r="1469">
      <c r="C1469" t="s">
        <v>898</v>
      </c>
    </row>
    <row r="1470">
      <c r="C1470" t="s">
        <v>898</v>
      </c>
    </row>
    <row r="1471">
      <c r="C1471" t="s">
        <v>898</v>
      </c>
    </row>
    <row r="1472">
      <c r="C1472" t="s">
        <v>898</v>
      </c>
    </row>
    <row r="1473">
      <c r="C1473" t="s">
        <v>898</v>
      </c>
    </row>
    <row r="1474">
      <c r="C1474" t="s">
        <v>898</v>
      </c>
    </row>
    <row r="1475">
      <c r="C1475" t="s">
        <v>898</v>
      </c>
    </row>
    <row r="1476">
      <c r="C1476" t="s">
        <v>898</v>
      </c>
    </row>
    <row r="1477">
      <c r="C1477" t="s">
        <v>898</v>
      </c>
    </row>
    <row r="1478">
      <c r="C1478" t="s">
        <v>898</v>
      </c>
    </row>
    <row r="1479">
      <c r="C1479" t="s">
        <v>898</v>
      </c>
    </row>
    <row r="1480">
      <c r="C1480" t="s">
        <v>898</v>
      </c>
    </row>
    <row r="1481">
      <c r="C1481" t="s">
        <v>898</v>
      </c>
    </row>
    <row r="1482">
      <c r="C1482" t="s">
        <v>898</v>
      </c>
    </row>
    <row r="1483">
      <c r="C1483" t="s">
        <v>898</v>
      </c>
    </row>
    <row r="1484">
      <c r="C1484" t="s">
        <v>898</v>
      </c>
    </row>
    <row r="1485">
      <c r="C1485" t="s">
        <v>898</v>
      </c>
    </row>
    <row r="1486">
      <c r="C1486" t="s">
        <v>898</v>
      </c>
    </row>
    <row r="1487">
      <c r="C1487" t="s">
        <v>898</v>
      </c>
    </row>
    <row r="1488">
      <c r="C1488" t="s">
        <v>898</v>
      </c>
    </row>
    <row r="1489">
      <c r="C1489" t="s">
        <v>898</v>
      </c>
    </row>
    <row r="1490">
      <c r="C1490" t="s">
        <v>898</v>
      </c>
    </row>
    <row r="1491">
      <c r="C1491" t="s">
        <v>898</v>
      </c>
    </row>
    <row r="1492">
      <c r="C1492" t="s">
        <v>898</v>
      </c>
    </row>
    <row r="1493">
      <c r="C1493" t="s">
        <v>898</v>
      </c>
    </row>
    <row r="1494">
      <c r="C1494" t="s">
        <v>898</v>
      </c>
    </row>
    <row r="1495">
      <c r="C1495" t="s">
        <v>898</v>
      </c>
    </row>
    <row r="1496">
      <c r="C1496" t="s">
        <v>898</v>
      </c>
    </row>
    <row r="1497">
      <c r="C1497" t="s">
        <v>898</v>
      </c>
    </row>
    <row r="1498">
      <c r="C1498" t="s">
        <v>898</v>
      </c>
    </row>
    <row r="1499">
      <c r="C1499" t="s">
        <v>898</v>
      </c>
    </row>
    <row r="1500">
      <c r="C1500" t="s">
        <v>898</v>
      </c>
    </row>
    <row r="1501">
      <c r="C1501" t="s">
        <v>898</v>
      </c>
    </row>
    <row r="1502">
      <c r="C1502" t="s">
        <v>898</v>
      </c>
    </row>
    <row r="1503">
      <c r="C1503" t="s">
        <v>898</v>
      </c>
    </row>
    <row r="1504">
      <c r="C1504" t="s">
        <v>898</v>
      </c>
    </row>
    <row r="1505">
      <c r="C1505" t="s">
        <v>898</v>
      </c>
    </row>
    <row r="1506">
      <c r="C1506" t="s">
        <v>898</v>
      </c>
    </row>
    <row r="1507">
      <c r="C1507" t="s">
        <v>898</v>
      </c>
    </row>
    <row r="1508">
      <c r="C1508" t="s">
        <v>898</v>
      </c>
    </row>
    <row r="1509">
      <c r="C1509" t="s">
        <v>898</v>
      </c>
    </row>
    <row r="1510">
      <c r="C1510" t="s">
        <v>898</v>
      </c>
    </row>
    <row r="1511">
      <c r="C1511" t="s">
        <v>898</v>
      </c>
    </row>
    <row r="1512">
      <c r="C1512" t="s">
        <v>898</v>
      </c>
    </row>
    <row r="1513">
      <c r="C1513" t="s">
        <v>898</v>
      </c>
    </row>
    <row r="1514">
      <c r="C1514" t="s">
        <v>898</v>
      </c>
    </row>
    <row r="1515">
      <c r="C1515" t="s">
        <v>898</v>
      </c>
    </row>
    <row r="1516">
      <c r="C1516" t="s">
        <v>898</v>
      </c>
    </row>
    <row r="1517">
      <c r="C1517" t="s">
        <v>898</v>
      </c>
    </row>
    <row r="1518">
      <c r="C1518" t="s">
        <v>898</v>
      </c>
    </row>
    <row r="1519">
      <c r="C1519" t="s">
        <v>898</v>
      </c>
    </row>
    <row r="1520">
      <c r="C1520" t="s">
        <v>898</v>
      </c>
    </row>
    <row r="1521">
      <c r="C1521" t="s">
        <v>898</v>
      </c>
    </row>
    <row r="1522">
      <c r="C1522" t="s">
        <v>898</v>
      </c>
    </row>
    <row r="1523">
      <c r="C1523" t="s">
        <v>898</v>
      </c>
    </row>
    <row r="1524">
      <c r="C1524" t="s">
        <v>898</v>
      </c>
    </row>
    <row r="1525">
      <c r="C1525" t="s">
        <v>898</v>
      </c>
    </row>
    <row r="1526">
      <c r="C1526" t="s">
        <v>898</v>
      </c>
    </row>
    <row r="1527">
      <c r="C1527" t="s">
        <v>898</v>
      </c>
    </row>
    <row r="1528">
      <c r="C1528" t="s">
        <v>898</v>
      </c>
    </row>
    <row r="1529">
      <c r="C1529" t="s">
        <v>898</v>
      </c>
    </row>
    <row r="1530">
      <c r="C1530" t="s">
        <v>898</v>
      </c>
    </row>
    <row r="1531">
      <c r="C1531" t="s">
        <v>898</v>
      </c>
    </row>
    <row r="1532">
      <c r="C1532" t="s">
        <v>898</v>
      </c>
    </row>
    <row r="1533">
      <c r="C1533" t="s">
        <v>898</v>
      </c>
    </row>
    <row r="1534">
      <c r="C1534" t="s">
        <v>898</v>
      </c>
    </row>
    <row r="1535">
      <c r="C1535" t="s">
        <v>898</v>
      </c>
    </row>
    <row r="1536">
      <c r="C1536" t="s">
        <v>898</v>
      </c>
    </row>
    <row r="1537">
      <c r="C1537" t="s">
        <v>898</v>
      </c>
    </row>
    <row r="1538">
      <c r="C1538" t="s">
        <v>898</v>
      </c>
    </row>
    <row r="1539">
      <c r="C1539" t="s">
        <v>898</v>
      </c>
    </row>
    <row r="1540">
      <c r="C1540" t="s">
        <v>898</v>
      </c>
    </row>
    <row r="1541">
      <c r="C1541" t="s">
        <v>898</v>
      </c>
    </row>
    <row r="1542">
      <c r="C1542" t="s">
        <v>898</v>
      </c>
    </row>
    <row r="1543">
      <c r="C1543" t="s">
        <v>898</v>
      </c>
    </row>
    <row r="1544">
      <c r="C1544" t="s">
        <v>898</v>
      </c>
    </row>
    <row r="1545">
      <c r="C1545" t="s">
        <v>898</v>
      </c>
    </row>
    <row r="1546">
      <c r="C1546" t="s">
        <v>898</v>
      </c>
    </row>
    <row r="1547">
      <c r="C1547" t="s">
        <v>898</v>
      </c>
    </row>
    <row r="1548">
      <c r="C1548" t="s">
        <v>898</v>
      </c>
    </row>
    <row r="1549">
      <c r="C1549" t="s">
        <v>898</v>
      </c>
    </row>
    <row r="1550">
      <c r="C1550" t="s">
        <v>898</v>
      </c>
    </row>
    <row r="1551">
      <c r="C1551" t="s">
        <v>898</v>
      </c>
    </row>
    <row r="1552">
      <c r="C1552" t="s">
        <v>898</v>
      </c>
    </row>
    <row r="1553">
      <c r="C1553" t="s">
        <v>898</v>
      </c>
    </row>
    <row r="1554">
      <c r="C1554" t="s">
        <v>898</v>
      </c>
    </row>
    <row r="1555">
      <c r="C1555" t="s">
        <v>898</v>
      </c>
    </row>
    <row r="1556">
      <c r="C1556" t="s">
        <v>898</v>
      </c>
    </row>
    <row r="1557">
      <c r="C1557" t="s">
        <v>898</v>
      </c>
    </row>
    <row r="1558">
      <c r="C1558" t="s">
        <v>898</v>
      </c>
    </row>
    <row r="1559">
      <c r="C1559" t="s">
        <v>898</v>
      </c>
    </row>
    <row r="1560">
      <c r="C1560" t="s">
        <v>898</v>
      </c>
    </row>
    <row r="1561">
      <c r="C1561" t="s">
        <v>898</v>
      </c>
    </row>
    <row r="1562">
      <c r="C1562" t="s">
        <v>898</v>
      </c>
    </row>
    <row r="1563">
      <c r="C1563" t="s">
        <v>898</v>
      </c>
    </row>
    <row r="1564">
      <c r="C1564" t="s">
        <v>898</v>
      </c>
    </row>
    <row r="1565">
      <c r="C1565" t="s">
        <v>898</v>
      </c>
    </row>
    <row r="1566">
      <c r="C1566" t="s">
        <v>898</v>
      </c>
    </row>
    <row r="1567">
      <c r="C1567" t="s">
        <v>898</v>
      </c>
    </row>
    <row r="1568">
      <c r="C1568" t="s">
        <v>898</v>
      </c>
    </row>
    <row r="1569">
      <c r="C1569" t="s">
        <v>898</v>
      </c>
    </row>
    <row r="1570">
      <c r="C1570" t="s">
        <v>898</v>
      </c>
    </row>
    <row r="1571">
      <c r="C1571" t="s">
        <v>898</v>
      </c>
    </row>
    <row r="1572">
      <c r="C1572" t="s">
        <v>898</v>
      </c>
    </row>
    <row r="1573">
      <c r="C1573" t="s">
        <v>898</v>
      </c>
    </row>
    <row r="1574">
      <c r="C1574" t="s">
        <v>898</v>
      </c>
    </row>
    <row r="1575">
      <c r="C1575" t="s">
        <v>898</v>
      </c>
    </row>
    <row r="1576">
      <c r="C1576" t="s">
        <v>898</v>
      </c>
    </row>
    <row r="1577">
      <c r="C1577" t="s">
        <v>898</v>
      </c>
    </row>
    <row r="1578">
      <c r="C1578" t="s">
        <v>898</v>
      </c>
    </row>
    <row r="1579">
      <c r="C1579" t="s">
        <v>898</v>
      </c>
    </row>
    <row r="1580">
      <c r="C1580" t="s">
        <v>898</v>
      </c>
    </row>
    <row r="1581">
      <c r="C1581" t="s">
        <v>898</v>
      </c>
    </row>
    <row r="1582">
      <c r="C1582" t="s">
        <v>898</v>
      </c>
    </row>
    <row r="1583">
      <c r="C1583" t="s">
        <v>898</v>
      </c>
    </row>
    <row r="1584">
      <c r="C1584" t="s">
        <v>898</v>
      </c>
    </row>
    <row r="1585">
      <c r="C1585" t="s">
        <v>898</v>
      </c>
    </row>
    <row r="1586">
      <c r="C1586" t="s">
        <v>898</v>
      </c>
    </row>
    <row r="1587">
      <c r="C1587" t="s">
        <v>898</v>
      </c>
    </row>
    <row r="1588">
      <c r="C1588" t="s">
        <v>898</v>
      </c>
    </row>
    <row r="1589">
      <c r="C1589" t="s">
        <v>898</v>
      </c>
    </row>
    <row r="1590">
      <c r="C1590" t="s">
        <v>898</v>
      </c>
    </row>
    <row r="1591">
      <c r="C1591" t="s">
        <v>898</v>
      </c>
    </row>
    <row r="1592">
      <c r="C1592" t="s">
        <v>898</v>
      </c>
    </row>
    <row r="1593">
      <c r="C1593" t="s">
        <v>898</v>
      </c>
    </row>
    <row r="1594">
      <c r="C1594" t="s">
        <v>898</v>
      </c>
    </row>
    <row r="1595">
      <c r="C1595" t="s">
        <v>898</v>
      </c>
    </row>
    <row r="1596">
      <c r="C1596" t="s">
        <v>898</v>
      </c>
    </row>
    <row r="1597">
      <c r="C1597" t="s">
        <v>898</v>
      </c>
    </row>
    <row r="1598">
      <c r="C1598" t="s">
        <v>898</v>
      </c>
    </row>
    <row r="1599">
      <c r="C1599" t="s">
        <v>898</v>
      </c>
    </row>
    <row r="1600">
      <c r="C1600" t="s">
        <v>898</v>
      </c>
    </row>
    <row r="1601">
      <c r="C1601" t="s">
        <v>898</v>
      </c>
    </row>
    <row r="1602">
      <c r="C1602" t="s">
        <v>898</v>
      </c>
    </row>
    <row r="1603">
      <c r="C1603" t="s">
        <v>898</v>
      </c>
    </row>
    <row r="1604">
      <c r="C1604" t="s">
        <v>898</v>
      </c>
    </row>
    <row r="1605">
      <c r="C1605" t="s">
        <v>898</v>
      </c>
    </row>
    <row r="1606">
      <c r="C1606" t="s">
        <v>898</v>
      </c>
    </row>
    <row r="1607">
      <c r="C1607" t="s">
        <v>898</v>
      </c>
    </row>
    <row r="1608">
      <c r="C1608" t="s">
        <v>898</v>
      </c>
    </row>
    <row r="1609">
      <c r="C1609" t="s">
        <v>898</v>
      </c>
    </row>
    <row r="1610">
      <c r="C1610" t="s">
        <v>898</v>
      </c>
    </row>
    <row r="1611">
      <c r="C1611" t="s">
        <v>898</v>
      </c>
    </row>
    <row r="1612">
      <c r="C1612" t="s">
        <v>898</v>
      </c>
    </row>
    <row r="1613">
      <c r="C1613" t="s">
        <v>898</v>
      </c>
    </row>
    <row r="1614">
      <c r="C1614" t="s">
        <v>898</v>
      </c>
    </row>
    <row r="1615">
      <c r="C1615" t="s">
        <v>898</v>
      </c>
    </row>
    <row r="1616">
      <c r="C1616" t="s">
        <v>898</v>
      </c>
    </row>
    <row r="1617">
      <c r="C1617" t="s">
        <v>898</v>
      </c>
    </row>
    <row r="1618">
      <c r="C1618" t="s">
        <v>898</v>
      </c>
    </row>
    <row r="1619">
      <c r="C1619" t="s">
        <v>898</v>
      </c>
    </row>
    <row r="1620">
      <c r="C1620" t="s">
        <v>898</v>
      </c>
    </row>
    <row r="1621">
      <c r="C1621" t="s">
        <v>898</v>
      </c>
    </row>
    <row r="1622">
      <c r="C1622" t="s">
        <v>898</v>
      </c>
    </row>
    <row r="1623">
      <c r="C1623" t="s">
        <v>898</v>
      </c>
    </row>
    <row r="1624">
      <c r="C1624" t="s">
        <v>898</v>
      </c>
    </row>
    <row r="1625">
      <c r="C1625" t="s">
        <v>898</v>
      </c>
    </row>
    <row r="1626">
      <c r="C1626" t="s">
        <v>898</v>
      </c>
    </row>
    <row r="1627">
      <c r="C1627" t="s">
        <v>898</v>
      </c>
    </row>
    <row r="1628">
      <c r="C1628" t="s">
        <v>898</v>
      </c>
    </row>
    <row r="1629">
      <c r="C1629" t="s">
        <v>898</v>
      </c>
    </row>
    <row r="1630">
      <c r="C1630" t="s">
        <v>898</v>
      </c>
    </row>
    <row r="1631">
      <c r="C1631" t="s">
        <v>898</v>
      </c>
    </row>
    <row r="1632">
      <c r="C1632" t="s">
        <v>898</v>
      </c>
    </row>
    <row r="1633">
      <c r="C1633" t="s">
        <v>898</v>
      </c>
    </row>
    <row r="1634">
      <c r="C1634" t="s">
        <v>898</v>
      </c>
    </row>
    <row r="1635">
      <c r="C1635" t="s">
        <v>898</v>
      </c>
    </row>
    <row r="1636">
      <c r="C1636" t="s">
        <v>898</v>
      </c>
    </row>
    <row r="1637">
      <c r="C1637" t="s">
        <v>898</v>
      </c>
    </row>
    <row r="1638">
      <c r="C1638" t="s">
        <v>898</v>
      </c>
    </row>
    <row r="1639">
      <c r="C1639" t="s">
        <v>898</v>
      </c>
    </row>
    <row r="1640">
      <c r="C1640" t="s">
        <v>898</v>
      </c>
    </row>
    <row r="1641">
      <c r="C1641" t="s">
        <v>898</v>
      </c>
    </row>
    <row r="1642">
      <c r="C1642" t="s">
        <v>898</v>
      </c>
    </row>
    <row r="1643">
      <c r="C1643" t="s">
        <v>898</v>
      </c>
    </row>
    <row r="1644">
      <c r="C1644" t="s">
        <v>898</v>
      </c>
    </row>
    <row r="1645">
      <c r="C1645" t="s">
        <v>898</v>
      </c>
    </row>
    <row r="1646">
      <c r="C1646" t="s">
        <v>898</v>
      </c>
    </row>
    <row r="1647">
      <c r="C1647" t="s">
        <v>898</v>
      </c>
    </row>
    <row r="1648">
      <c r="C1648" t="s">
        <v>898</v>
      </c>
    </row>
    <row r="1649">
      <c r="C1649" t="s">
        <v>898</v>
      </c>
    </row>
    <row r="1650">
      <c r="C1650" t="s">
        <v>898</v>
      </c>
    </row>
    <row r="1651">
      <c r="C1651" t="s">
        <v>898</v>
      </c>
    </row>
    <row r="1652">
      <c r="C1652" t="s">
        <v>898</v>
      </c>
    </row>
    <row r="1653">
      <c r="C1653" t="s">
        <v>898</v>
      </c>
    </row>
    <row r="1654">
      <c r="C1654" t="s">
        <v>898</v>
      </c>
    </row>
    <row r="1655">
      <c r="C1655" t="s">
        <v>898</v>
      </c>
    </row>
    <row r="1656">
      <c r="C1656" t="s">
        <v>898</v>
      </c>
    </row>
    <row r="1657">
      <c r="C1657" t="s">
        <v>898</v>
      </c>
    </row>
    <row r="1658">
      <c r="C1658" t="s">
        <v>898</v>
      </c>
    </row>
    <row r="1659">
      <c r="C1659" t="s">
        <v>898</v>
      </c>
    </row>
    <row r="1660">
      <c r="C1660" t="s">
        <v>898</v>
      </c>
    </row>
    <row r="1661">
      <c r="C1661" t="s">
        <v>898</v>
      </c>
    </row>
    <row r="1662">
      <c r="C1662" t="s">
        <v>898</v>
      </c>
    </row>
    <row r="1663">
      <c r="C1663" t="s">
        <v>898</v>
      </c>
    </row>
    <row r="1664">
      <c r="C1664" t="s">
        <v>898</v>
      </c>
    </row>
    <row r="1665">
      <c r="C1665" t="s">
        <v>898</v>
      </c>
    </row>
    <row r="1666">
      <c r="C1666" t="s">
        <v>898</v>
      </c>
    </row>
    <row r="1667">
      <c r="C1667" t="s">
        <v>898</v>
      </c>
    </row>
    <row r="1668">
      <c r="C1668" t="s">
        <v>898</v>
      </c>
    </row>
    <row r="1669">
      <c r="C1669" t="s">
        <v>898</v>
      </c>
    </row>
    <row r="1670">
      <c r="C1670" t="s">
        <v>898</v>
      </c>
    </row>
    <row r="1671">
      <c r="C1671" t="s">
        <v>898</v>
      </c>
    </row>
    <row r="1672">
      <c r="C1672" t="s">
        <v>898</v>
      </c>
    </row>
    <row r="1673">
      <c r="C1673" t="s">
        <v>898</v>
      </c>
    </row>
    <row r="1674">
      <c r="C1674" t="s">
        <v>898</v>
      </c>
    </row>
    <row r="1675">
      <c r="C1675" t="s">
        <v>898</v>
      </c>
    </row>
    <row r="1676">
      <c r="C1676" t="s">
        <v>898</v>
      </c>
    </row>
    <row r="1677">
      <c r="C1677" t="s">
        <v>898</v>
      </c>
    </row>
    <row r="1678">
      <c r="C1678" t="s">
        <v>898</v>
      </c>
    </row>
    <row r="1679">
      <c r="C1679" t="s">
        <v>898</v>
      </c>
    </row>
    <row r="1680">
      <c r="C1680" t="s">
        <v>898</v>
      </c>
    </row>
    <row r="1681">
      <c r="C1681" t="s">
        <v>898</v>
      </c>
    </row>
    <row r="1682">
      <c r="C1682" t="s">
        <v>898</v>
      </c>
    </row>
    <row r="1683">
      <c r="C1683" t="s">
        <v>898</v>
      </c>
    </row>
    <row r="1684">
      <c r="C1684" t="s">
        <v>898</v>
      </c>
    </row>
    <row r="1685">
      <c r="C1685" t="s">
        <v>898</v>
      </c>
    </row>
    <row r="1686">
      <c r="C1686" t="s">
        <v>898</v>
      </c>
    </row>
    <row r="1687">
      <c r="C1687" t="s">
        <v>898</v>
      </c>
    </row>
    <row r="1688">
      <c r="C1688" t="s">
        <v>898</v>
      </c>
    </row>
    <row r="1689">
      <c r="C1689" t="s">
        <v>898</v>
      </c>
    </row>
    <row r="1690">
      <c r="C1690" t="s">
        <v>898</v>
      </c>
    </row>
    <row r="1691">
      <c r="C1691" t="s">
        <v>898</v>
      </c>
    </row>
    <row r="1692">
      <c r="C1692" t="s">
        <v>898</v>
      </c>
    </row>
    <row r="1693">
      <c r="C1693" t="s">
        <v>898</v>
      </c>
    </row>
    <row r="1694">
      <c r="C1694" t="s">
        <v>898</v>
      </c>
    </row>
    <row r="1695">
      <c r="C1695" t="s">
        <v>898</v>
      </c>
    </row>
    <row r="1696">
      <c r="C1696" t="s">
        <v>898</v>
      </c>
    </row>
    <row r="1697">
      <c r="C1697" t="s">
        <v>898</v>
      </c>
    </row>
    <row r="1698">
      <c r="C1698" t="s">
        <v>898</v>
      </c>
    </row>
    <row r="1699">
      <c r="C1699" t="s">
        <v>898</v>
      </c>
    </row>
    <row r="1700">
      <c r="C1700" t="s">
        <v>898</v>
      </c>
    </row>
    <row r="1701">
      <c r="C1701" t="s">
        <v>898</v>
      </c>
    </row>
    <row r="1702">
      <c r="C1702" t="s">
        <v>898</v>
      </c>
    </row>
    <row r="1703">
      <c r="C1703" t="s">
        <v>898</v>
      </c>
    </row>
    <row r="1704">
      <c r="C1704" t="s">
        <v>898</v>
      </c>
    </row>
    <row r="1705">
      <c r="C1705" t="s">
        <v>898</v>
      </c>
    </row>
    <row r="1706">
      <c r="C1706" t="s">
        <v>898</v>
      </c>
    </row>
    <row r="1707">
      <c r="C1707" t="s">
        <v>898</v>
      </c>
    </row>
    <row r="1708">
      <c r="C1708" t="s">
        <v>898</v>
      </c>
    </row>
    <row r="1709">
      <c r="C1709" t="s">
        <v>898</v>
      </c>
    </row>
    <row r="1710">
      <c r="C1710" t="s">
        <v>898</v>
      </c>
    </row>
    <row r="1711">
      <c r="C1711" t="s">
        <v>898</v>
      </c>
    </row>
    <row r="1712">
      <c r="C1712" t="s">
        <v>898</v>
      </c>
    </row>
    <row r="1713">
      <c r="C1713" t="s">
        <v>898</v>
      </c>
    </row>
    <row r="1714">
      <c r="C1714" t="s">
        <v>898</v>
      </c>
    </row>
    <row r="1715">
      <c r="C1715" t="s">
        <v>898</v>
      </c>
    </row>
    <row r="1716">
      <c r="C1716" t="s">
        <v>898</v>
      </c>
    </row>
    <row r="1717">
      <c r="C1717" t="s">
        <v>898</v>
      </c>
    </row>
    <row r="1718">
      <c r="C1718" t="s">
        <v>898</v>
      </c>
    </row>
    <row r="1719">
      <c r="C1719" t="s">
        <v>898</v>
      </c>
    </row>
    <row r="1720">
      <c r="C1720" t="s">
        <v>898</v>
      </c>
    </row>
    <row r="1721">
      <c r="C1721" t="s">
        <v>898</v>
      </c>
    </row>
    <row r="1722">
      <c r="C1722" t="s">
        <v>898</v>
      </c>
    </row>
    <row r="1723">
      <c r="C1723" t="s">
        <v>898</v>
      </c>
    </row>
    <row r="1724">
      <c r="C1724" t="s">
        <v>898</v>
      </c>
    </row>
    <row r="1725">
      <c r="C1725" t="s">
        <v>898</v>
      </c>
    </row>
    <row r="1726">
      <c r="C1726" t="s">
        <v>898</v>
      </c>
    </row>
    <row r="1727">
      <c r="C1727" t="s">
        <v>898</v>
      </c>
    </row>
    <row r="1728">
      <c r="C1728" t="s">
        <v>898</v>
      </c>
    </row>
    <row r="1729">
      <c r="C1729" t="s">
        <v>898</v>
      </c>
    </row>
    <row r="1730">
      <c r="C1730" t="s">
        <v>898</v>
      </c>
    </row>
    <row r="1731">
      <c r="C1731" t="s">
        <v>898</v>
      </c>
    </row>
    <row r="1732">
      <c r="C1732" t="s">
        <v>898</v>
      </c>
    </row>
    <row r="1733">
      <c r="C1733" t="s">
        <v>898</v>
      </c>
    </row>
    <row r="1734">
      <c r="C1734" t="s">
        <v>898</v>
      </c>
    </row>
    <row r="1735">
      <c r="C1735" t="s">
        <v>898</v>
      </c>
    </row>
    <row r="1736">
      <c r="C1736" t="s">
        <v>898</v>
      </c>
    </row>
    <row r="1737">
      <c r="C1737" t="s">
        <v>898</v>
      </c>
    </row>
    <row r="1738">
      <c r="C1738" t="s">
        <v>898</v>
      </c>
    </row>
    <row r="1739">
      <c r="C1739" t="s">
        <v>898</v>
      </c>
    </row>
    <row r="1740">
      <c r="C1740" t="s">
        <v>898</v>
      </c>
    </row>
    <row r="1741">
      <c r="C1741" t="s">
        <v>898</v>
      </c>
    </row>
    <row r="1742">
      <c r="C1742" t="s">
        <v>898</v>
      </c>
    </row>
    <row r="1743">
      <c r="C1743" t="s">
        <v>898</v>
      </c>
    </row>
    <row r="1744">
      <c r="C1744" t="s">
        <v>898</v>
      </c>
    </row>
    <row r="1745">
      <c r="C1745" t="s">
        <v>898</v>
      </c>
    </row>
    <row r="1746">
      <c r="C1746" t="s">
        <v>898</v>
      </c>
    </row>
    <row r="1747">
      <c r="C1747" t="s">
        <v>898</v>
      </c>
    </row>
    <row r="1748">
      <c r="C1748" t="s">
        <v>898</v>
      </c>
    </row>
    <row r="1749">
      <c r="C1749" t="s">
        <v>898</v>
      </c>
    </row>
    <row r="1750">
      <c r="C1750" t="s">
        <v>898</v>
      </c>
    </row>
    <row r="1751">
      <c r="C1751" t="s">
        <v>898</v>
      </c>
    </row>
    <row r="1752">
      <c r="C1752" t="s">
        <v>898</v>
      </c>
    </row>
    <row r="1753">
      <c r="C1753" t="s">
        <v>898</v>
      </c>
    </row>
    <row r="1754">
      <c r="C1754" t="s">
        <v>898</v>
      </c>
    </row>
    <row r="1755">
      <c r="C1755" t="s">
        <v>898</v>
      </c>
    </row>
    <row r="1756">
      <c r="C1756" t="s">
        <v>898</v>
      </c>
    </row>
    <row r="1757">
      <c r="C1757" t="s">
        <v>898</v>
      </c>
    </row>
    <row r="1758">
      <c r="C1758" t="s">
        <v>898</v>
      </c>
    </row>
    <row r="1759">
      <c r="C1759" t="s">
        <v>898</v>
      </c>
    </row>
    <row r="1760">
      <c r="C1760" t="s">
        <v>898</v>
      </c>
    </row>
    <row r="1761">
      <c r="C1761" t="s">
        <v>898</v>
      </c>
    </row>
    <row r="1762">
      <c r="C1762" t="s">
        <v>898</v>
      </c>
    </row>
    <row r="1763">
      <c r="C1763" t="s">
        <v>898</v>
      </c>
    </row>
    <row r="1764">
      <c r="C1764" t="s">
        <v>898</v>
      </c>
    </row>
    <row r="1765">
      <c r="C1765" t="s">
        <v>898</v>
      </c>
    </row>
    <row r="1766">
      <c r="C1766" t="s">
        <v>898</v>
      </c>
    </row>
    <row r="1767">
      <c r="C1767" t="s">
        <v>898</v>
      </c>
    </row>
    <row r="1768">
      <c r="C1768" t="s">
        <v>898</v>
      </c>
    </row>
    <row r="1769">
      <c r="C1769" t="s">
        <v>898</v>
      </c>
    </row>
    <row r="1770">
      <c r="C1770" t="s">
        <v>898</v>
      </c>
    </row>
    <row r="1771">
      <c r="C1771" t="s">
        <v>898</v>
      </c>
    </row>
    <row r="1772">
      <c r="C1772" t="s">
        <v>898</v>
      </c>
    </row>
    <row r="1773">
      <c r="C1773" t="s">
        <v>898</v>
      </c>
    </row>
    <row r="1774">
      <c r="C1774" t="s">
        <v>898</v>
      </c>
    </row>
    <row r="1775">
      <c r="C1775" t="s">
        <v>898</v>
      </c>
    </row>
    <row r="1776">
      <c r="C1776" t="s">
        <v>898</v>
      </c>
    </row>
    <row r="1777">
      <c r="C1777" t="s">
        <v>898</v>
      </c>
    </row>
    <row r="1778">
      <c r="C1778" t="s">
        <v>898</v>
      </c>
    </row>
    <row r="1779">
      <c r="C1779" t="s">
        <v>898</v>
      </c>
    </row>
    <row r="1780">
      <c r="C1780" t="s">
        <v>898</v>
      </c>
    </row>
    <row r="1781">
      <c r="C1781" t="s">
        <v>898</v>
      </c>
    </row>
    <row r="1782">
      <c r="C1782" t="s">
        <v>898</v>
      </c>
    </row>
    <row r="1783">
      <c r="C1783" t="s">
        <v>898</v>
      </c>
    </row>
    <row r="1784">
      <c r="C1784" t="s">
        <v>898</v>
      </c>
    </row>
    <row r="1785">
      <c r="C1785" t="s">
        <v>898</v>
      </c>
    </row>
    <row r="1786">
      <c r="C1786" t="s">
        <v>898</v>
      </c>
    </row>
    <row r="1787">
      <c r="C1787" t="s">
        <v>898</v>
      </c>
    </row>
    <row r="1788">
      <c r="C1788" t="s">
        <v>898</v>
      </c>
    </row>
    <row r="1789">
      <c r="C1789" t="s">
        <v>898</v>
      </c>
    </row>
    <row r="1790">
      <c r="C1790" t="s">
        <v>898</v>
      </c>
    </row>
    <row r="1791">
      <c r="C1791" t="s">
        <v>898</v>
      </c>
    </row>
    <row r="1792">
      <c r="C1792" t="s">
        <v>898</v>
      </c>
    </row>
    <row r="1793">
      <c r="C1793" t="s">
        <v>898</v>
      </c>
    </row>
    <row r="1794">
      <c r="C1794" t="s">
        <v>898</v>
      </c>
    </row>
    <row r="1795">
      <c r="C1795" t="s">
        <v>898</v>
      </c>
    </row>
    <row r="1796">
      <c r="C1796" t="s">
        <v>898</v>
      </c>
    </row>
    <row r="1797">
      <c r="C1797" t="s">
        <v>898</v>
      </c>
    </row>
    <row r="1798">
      <c r="C1798" t="s">
        <v>898</v>
      </c>
    </row>
    <row r="1799">
      <c r="C1799" t="s">
        <v>898</v>
      </c>
    </row>
    <row r="1800">
      <c r="C1800" t="s">
        <v>898</v>
      </c>
    </row>
    <row r="1801">
      <c r="C1801" t="s">
        <v>898</v>
      </c>
    </row>
    <row r="1802">
      <c r="C1802" t="s">
        <v>898</v>
      </c>
    </row>
    <row r="1803">
      <c r="C1803" t="s">
        <v>898</v>
      </c>
    </row>
    <row r="1804">
      <c r="C1804" t="s">
        <v>898</v>
      </c>
    </row>
    <row r="1805">
      <c r="C1805" t="s">
        <v>898</v>
      </c>
    </row>
    <row r="1806">
      <c r="C1806" t="s">
        <v>898</v>
      </c>
    </row>
    <row r="1807">
      <c r="C1807" t="s">
        <v>898</v>
      </c>
    </row>
    <row r="1808">
      <c r="C1808" t="s">
        <v>898</v>
      </c>
    </row>
    <row r="1809">
      <c r="C1809" t="s">
        <v>898</v>
      </c>
    </row>
    <row r="1810">
      <c r="C1810" t="s">
        <v>898</v>
      </c>
    </row>
    <row r="1811">
      <c r="C1811" t="s">
        <v>898</v>
      </c>
    </row>
    <row r="1812">
      <c r="C1812" t="s">
        <v>898</v>
      </c>
    </row>
    <row r="1813">
      <c r="C1813" t="s">
        <v>898</v>
      </c>
    </row>
    <row r="1814">
      <c r="C1814" t="s">
        <v>898</v>
      </c>
    </row>
    <row r="1815">
      <c r="C1815" t="s">
        <v>898</v>
      </c>
    </row>
    <row r="1816">
      <c r="C1816" t="s">
        <v>898</v>
      </c>
    </row>
    <row r="1817">
      <c r="C1817" t="s">
        <v>898</v>
      </c>
    </row>
    <row r="1818">
      <c r="C1818" t="s">
        <v>898</v>
      </c>
    </row>
    <row r="1819">
      <c r="C1819" t="s">
        <v>898</v>
      </c>
    </row>
    <row r="1820">
      <c r="C1820" t="s">
        <v>898</v>
      </c>
    </row>
    <row r="1821">
      <c r="C1821" t="s">
        <v>898</v>
      </c>
    </row>
    <row r="1822">
      <c r="C1822" t="s">
        <v>898</v>
      </c>
    </row>
    <row r="1823">
      <c r="C1823" t="s">
        <v>898</v>
      </c>
    </row>
    <row r="1824">
      <c r="C1824" t="s">
        <v>898</v>
      </c>
    </row>
    <row r="1825">
      <c r="C1825" t="s">
        <v>898</v>
      </c>
    </row>
    <row r="1826">
      <c r="C1826" t="s">
        <v>898</v>
      </c>
    </row>
    <row r="1827">
      <c r="C1827" t="s">
        <v>898</v>
      </c>
    </row>
    <row r="1828">
      <c r="C1828" t="s">
        <v>898</v>
      </c>
    </row>
    <row r="1829">
      <c r="C1829" t="s">
        <v>898</v>
      </c>
    </row>
    <row r="1830">
      <c r="C1830" t="s">
        <v>898</v>
      </c>
    </row>
    <row r="1831">
      <c r="C1831" t="s">
        <v>898</v>
      </c>
    </row>
    <row r="1832">
      <c r="C1832" t="s">
        <v>898</v>
      </c>
    </row>
    <row r="1833">
      <c r="C1833" t="s">
        <v>898</v>
      </c>
    </row>
    <row r="1834">
      <c r="C1834" t="s">
        <v>898</v>
      </c>
    </row>
    <row r="1835">
      <c r="C1835" t="s">
        <v>898</v>
      </c>
    </row>
    <row r="1836">
      <c r="C1836" t="s">
        <v>898</v>
      </c>
    </row>
    <row r="1837">
      <c r="C1837" t="s">
        <v>898</v>
      </c>
    </row>
    <row r="1838">
      <c r="C1838" t="s">
        <v>898</v>
      </c>
    </row>
    <row r="1839">
      <c r="C1839" t="s">
        <v>898</v>
      </c>
    </row>
    <row r="1840">
      <c r="C1840" t="s">
        <v>898</v>
      </c>
    </row>
    <row r="1841">
      <c r="C1841" t="s">
        <v>898</v>
      </c>
    </row>
    <row r="1842">
      <c r="C1842" t="s">
        <v>898</v>
      </c>
    </row>
    <row r="1843">
      <c r="C1843" t="s">
        <v>898</v>
      </c>
    </row>
    <row r="1844">
      <c r="C1844" t="s">
        <v>898</v>
      </c>
    </row>
    <row r="1845">
      <c r="C1845" t="s">
        <v>898</v>
      </c>
    </row>
    <row r="1846">
      <c r="C1846" t="s">
        <v>898</v>
      </c>
    </row>
    <row r="1847">
      <c r="C1847" t="s">
        <v>898</v>
      </c>
    </row>
    <row r="1848">
      <c r="C1848" t="s">
        <v>898</v>
      </c>
    </row>
    <row r="1849">
      <c r="C1849" t="s">
        <v>898</v>
      </c>
    </row>
    <row r="1850">
      <c r="C1850" t="s">
        <v>898</v>
      </c>
    </row>
    <row r="1851">
      <c r="C1851" t="s">
        <v>898</v>
      </c>
    </row>
    <row r="1852">
      <c r="C1852" t="s">
        <v>898</v>
      </c>
    </row>
    <row r="1853">
      <c r="C1853" t="s">
        <v>898</v>
      </c>
    </row>
    <row r="1854">
      <c r="C1854" t="s">
        <v>898</v>
      </c>
    </row>
    <row r="1855">
      <c r="C1855" t="s">
        <v>898</v>
      </c>
    </row>
    <row r="1856">
      <c r="C1856" t="s">
        <v>898</v>
      </c>
    </row>
    <row r="1857">
      <c r="C1857" t="s">
        <v>898</v>
      </c>
    </row>
    <row r="1858">
      <c r="C1858" t="s">
        <v>898</v>
      </c>
    </row>
    <row r="1859">
      <c r="C1859" t="s">
        <v>898</v>
      </c>
    </row>
    <row r="1860">
      <c r="C1860" t="s">
        <v>898</v>
      </c>
    </row>
    <row r="1861">
      <c r="C1861" t="s">
        <v>898</v>
      </c>
    </row>
    <row r="1862">
      <c r="C1862" t="s">
        <v>898</v>
      </c>
    </row>
    <row r="1863">
      <c r="C1863" t="s">
        <v>898</v>
      </c>
    </row>
    <row r="1864">
      <c r="C1864" t="s">
        <v>898</v>
      </c>
    </row>
    <row r="1865">
      <c r="C1865" t="s">
        <v>898</v>
      </c>
    </row>
    <row r="1866">
      <c r="C1866" t="s">
        <v>898</v>
      </c>
    </row>
    <row r="1867">
      <c r="C1867" t="s">
        <v>898</v>
      </c>
    </row>
    <row r="1868">
      <c r="C1868" t="s">
        <v>898</v>
      </c>
    </row>
    <row r="1869">
      <c r="C1869" t="s">
        <v>898</v>
      </c>
    </row>
    <row r="1870">
      <c r="C1870" t="s">
        <v>898</v>
      </c>
    </row>
    <row r="1871">
      <c r="C1871" t="s">
        <v>898</v>
      </c>
    </row>
    <row r="1872">
      <c r="C1872" t="s">
        <v>898</v>
      </c>
    </row>
    <row r="1873">
      <c r="C1873" t="s">
        <v>898</v>
      </c>
    </row>
    <row r="1874">
      <c r="C1874" t="s">
        <v>898</v>
      </c>
    </row>
    <row r="1875">
      <c r="C1875" t="s">
        <v>898</v>
      </c>
    </row>
    <row r="1876">
      <c r="C1876" t="s">
        <v>898</v>
      </c>
    </row>
    <row r="1877">
      <c r="C1877" t="s">
        <v>898</v>
      </c>
    </row>
    <row r="1878">
      <c r="C1878" t="s">
        <v>898</v>
      </c>
    </row>
    <row r="1879">
      <c r="C1879" t="s">
        <v>898</v>
      </c>
    </row>
    <row r="1880">
      <c r="C1880" t="s">
        <v>898</v>
      </c>
    </row>
    <row r="1881">
      <c r="C1881" t="s">
        <v>898</v>
      </c>
    </row>
    <row r="1882">
      <c r="C1882" t="s">
        <v>898</v>
      </c>
    </row>
    <row r="1883">
      <c r="C1883" t="s">
        <v>898</v>
      </c>
    </row>
    <row r="1884">
      <c r="C1884" t="s">
        <v>898</v>
      </c>
    </row>
    <row r="1885">
      <c r="C1885" t="s">
        <v>898</v>
      </c>
    </row>
    <row r="1886">
      <c r="C1886" t="s">
        <v>898</v>
      </c>
    </row>
    <row r="1887">
      <c r="C1887" t="s">
        <v>898</v>
      </c>
    </row>
    <row r="1888">
      <c r="C1888" t="s">
        <v>898</v>
      </c>
    </row>
    <row r="1889">
      <c r="C1889" t="s">
        <v>898</v>
      </c>
    </row>
    <row r="1890">
      <c r="C1890" t="s">
        <v>898</v>
      </c>
    </row>
    <row r="1891">
      <c r="C1891" t="s">
        <v>898</v>
      </c>
    </row>
    <row r="1892">
      <c r="C1892" t="s">
        <v>898</v>
      </c>
    </row>
    <row r="1893">
      <c r="C1893" t="s">
        <v>898</v>
      </c>
    </row>
    <row r="1894">
      <c r="C1894" t="s">
        <v>898</v>
      </c>
    </row>
    <row r="1895">
      <c r="C1895" t="s">
        <v>898</v>
      </c>
    </row>
    <row r="1896">
      <c r="C1896" t="s">
        <v>898</v>
      </c>
    </row>
    <row r="1897">
      <c r="C1897" t="s">
        <v>898</v>
      </c>
    </row>
    <row r="1898">
      <c r="C1898" t="s">
        <v>898</v>
      </c>
    </row>
    <row r="1899">
      <c r="C1899" t="s">
        <v>898</v>
      </c>
    </row>
    <row r="1900">
      <c r="C1900" t="s">
        <v>898</v>
      </c>
    </row>
    <row r="1901">
      <c r="C1901" t="s">
        <v>898</v>
      </c>
    </row>
    <row r="1902">
      <c r="C1902" t="s">
        <v>898</v>
      </c>
    </row>
    <row r="1903">
      <c r="C1903" t="s">
        <v>898</v>
      </c>
    </row>
    <row r="1904">
      <c r="C1904" t="s">
        <v>898</v>
      </c>
    </row>
    <row r="1905">
      <c r="C1905" t="s">
        <v>898</v>
      </c>
    </row>
    <row r="1906">
      <c r="C1906" t="s">
        <v>898</v>
      </c>
    </row>
    <row r="1907">
      <c r="C1907" t="s">
        <v>898</v>
      </c>
    </row>
    <row r="1908">
      <c r="C1908" t="s">
        <v>898</v>
      </c>
    </row>
    <row r="1909">
      <c r="C1909" t="s">
        <v>898</v>
      </c>
    </row>
    <row r="1910">
      <c r="C1910" t="s">
        <v>898</v>
      </c>
    </row>
    <row r="1911">
      <c r="C1911" t="s">
        <v>898</v>
      </c>
    </row>
    <row r="1912">
      <c r="C1912" t="s">
        <v>898</v>
      </c>
    </row>
    <row r="1913">
      <c r="C1913" t="s">
        <v>898</v>
      </c>
    </row>
    <row r="1914">
      <c r="C1914" t="s">
        <v>898</v>
      </c>
    </row>
    <row r="1915">
      <c r="C1915" t="s">
        <v>898</v>
      </c>
    </row>
    <row r="1916">
      <c r="C1916" t="s">
        <v>898</v>
      </c>
    </row>
    <row r="1917">
      <c r="C1917" t="s">
        <v>898</v>
      </c>
    </row>
    <row r="1918">
      <c r="C1918" t="s">
        <v>898</v>
      </c>
    </row>
    <row r="1919">
      <c r="C1919" t="s">
        <v>898</v>
      </c>
    </row>
    <row r="1920">
      <c r="C1920" t="s">
        <v>898</v>
      </c>
    </row>
    <row r="1921">
      <c r="C1921" t="s">
        <v>898</v>
      </c>
    </row>
    <row r="1922">
      <c r="C1922" t="s">
        <v>898</v>
      </c>
    </row>
    <row r="1923">
      <c r="C1923" t="s">
        <v>898</v>
      </c>
    </row>
    <row r="1924">
      <c r="C1924" t="s">
        <v>898</v>
      </c>
    </row>
    <row r="1925">
      <c r="C1925" t="s">
        <v>898</v>
      </c>
    </row>
    <row r="1926">
      <c r="C1926" t="s">
        <v>898</v>
      </c>
    </row>
    <row r="1927">
      <c r="C1927" t="s">
        <v>898</v>
      </c>
    </row>
    <row r="1928">
      <c r="C1928" t="s">
        <v>898</v>
      </c>
    </row>
    <row r="1929">
      <c r="C1929" t="s">
        <v>898</v>
      </c>
    </row>
    <row r="1930">
      <c r="C1930" t="s">
        <v>898</v>
      </c>
    </row>
    <row r="1931">
      <c r="C1931" t="s">
        <v>898</v>
      </c>
    </row>
    <row r="1932">
      <c r="C1932" t="s">
        <v>898</v>
      </c>
    </row>
    <row r="1933">
      <c r="C1933" t="s">
        <v>898</v>
      </c>
    </row>
    <row r="1934">
      <c r="C1934" t="s">
        <v>898</v>
      </c>
    </row>
    <row r="1935">
      <c r="C1935" t="s">
        <v>898</v>
      </c>
    </row>
    <row r="1936">
      <c r="C1936" t="s">
        <v>898</v>
      </c>
    </row>
    <row r="1937">
      <c r="C1937" t="s">
        <v>898</v>
      </c>
    </row>
    <row r="1938">
      <c r="C1938" t="s">
        <v>898</v>
      </c>
    </row>
    <row r="1939">
      <c r="C1939" t="s">
        <v>898</v>
      </c>
    </row>
    <row r="1940">
      <c r="C1940" t="s">
        <v>898</v>
      </c>
    </row>
    <row r="1941">
      <c r="C1941" t="s">
        <v>898</v>
      </c>
    </row>
    <row r="1942">
      <c r="C1942" t="s">
        <v>898</v>
      </c>
    </row>
    <row r="1943">
      <c r="C1943" t="s">
        <v>898</v>
      </c>
    </row>
    <row r="1944">
      <c r="C1944" t="s">
        <v>898</v>
      </c>
    </row>
    <row r="1945">
      <c r="C1945" t="s">
        <v>898</v>
      </c>
    </row>
    <row r="1946">
      <c r="C1946" t="s">
        <v>898</v>
      </c>
    </row>
    <row r="1947">
      <c r="C1947" t="s">
        <v>898</v>
      </c>
    </row>
    <row r="1948">
      <c r="C1948" t="s">
        <v>898</v>
      </c>
    </row>
    <row r="1949">
      <c r="C1949" t="s">
        <v>898</v>
      </c>
    </row>
    <row r="1950">
      <c r="C1950" t="s">
        <v>898</v>
      </c>
    </row>
    <row r="1951">
      <c r="C1951" t="s">
        <v>898</v>
      </c>
    </row>
    <row r="1952">
      <c r="C1952" t="s">
        <v>898</v>
      </c>
    </row>
    <row r="1953">
      <c r="C1953" t="s">
        <v>898</v>
      </c>
    </row>
    <row r="1954">
      <c r="C1954" t="s">
        <v>898</v>
      </c>
    </row>
    <row r="1955">
      <c r="C1955" t="s">
        <v>898</v>
      </c>
    </row>
    <row r="1956">
      <c r="C1956" t="s">
        <v>898</v>
      </c>
    </row>
    <row r="1957">
      <c r="C1957" t="s">
        <v>898</v>
      </c>
    </row>
    <row r="1958">
      <c r="C1958" t="s">
        <v>898</v>
      </c>
    </row>
    <row r="1959">
      <c r="C1959" t="s">
        <v>898</v>
      </c>
    </row>
    <row r="1960">
      <c r="C1960" t="s">
        <v>898</v>
      </c>
    </row>
    <row r="1961">
      <c r="C1961" t="s">
        <v>898</v>
      </c>
    </row>
    <row r="1962">
      <c r="C1962" t="s">
        <v>898</v>
      </c>
    </row>
    <row r="1963">
      <c r="C1963" t="s">
        <v>898</v>
      </c>
    </row>
    <row r="1964">
      <c r="C1964" t="s">
        <v>898</v>
      </c>
    </row>
    <row r="1965">
      <c r="C1965" t="s">
        <v>898</v>
      </c>
    </row>
    <row r="1966">
      <c r="C1966" t="s">
        <v>898</v>
      </c>
    </row>
    <row r="1967">
      <c r="C1967" t="s">
        <v>898</v>
      </c>
    </row>
    <row r="1968">
      <c r="C1968" t="s">
        <v>898</v>
      </c>
    </row>
    <row r="1969">
      <c r="C1969" t="s">
        <v>898</v>
      </c>
    </row>
    <row r="1970">
      <c r="C1970" t="s">
        <v>898</v>
      </c>
    </row>
    <row r="1971">
      <c r="C1971" t="s">
        <v>898</v>
      </c>
    </row>
    <row r="1972">
      <c r="C1972" t="s">
        <v>898</v>
      </c>
    </row>
    <row r="1973">
      <c r="C1973" t="s">
        <v>898</v>
      </c>
    </row>
    <row r="1974">
      <c r="C1974" t="s">
        <v>898</v>
      </c>
    </row>
    <row r="1975">
      <c r="C1975" t="s">
        <v>898</v>
      </c>
    </row>
    <row r="1976">
      <c r="C1976" t="s">
        <v>898</v>
      </c>
    </row>
    <row r="1977">
      <c r="C1977" t="s">
        <v>898</v>
      </c>
    </row>
    <row r="1978">
      <c r="C1978" t="s">
        <v>898</v>
      </c>
    </row>
    <row r="1979">
      <c r="C1979" t="s">
        <v>898</v>
      </c>
    </row>
    <row r="1980">
      <c r="C1980" t="s">
        <v>898</v>
      </c>
    </row>
    <row r="1981">
      <c r="C1981" t="s">
        <v>898</v>
      </c>
    </row>
    <row r="1982">
      <c r="C1982" t="s">
        <v>898</v>
      </c>
    </row>
    <row r="1983">
      <c r="C1983" t="s">
        <v>898</v>
      </c>
    </row>
    <row r="1984">
      <c r="C1984" t="s">
        <v>898</v>
      </c>
    </row>
    <row r="1985">
      <c r="C1985" t="s">
        <v>898</v>
      </c>
    </row>
    <row r="1986">
      <c r="C1986" t="s">
        <v>898</v>
      </c>
    </row>
    <row r="1987">
      <c r="C1987" t="s">
        <v>898</v>
      </c>
    </row>
    <row r="1988">
      <c r="C1988" t="s">
        <v>898</v>
      </c>
    </row>
    <row r="1989">
      <c r="C1989" t="s">
        <v>898</v>
      </c>
    </row>
    <row r="1990">
      <c r="C1990" t="s">
        <v>898</v>
      </c>
    </row>
    <row r="1991">
      <c r="C1991" t="s">
        <v>898</v>
      </c>
    </row>
    <row r="1992">
      <c r="C1992" t="s">
        <v>898</v>
      </c>
    </row>
    <row r="1993">
      <c r="C1993" t="s">
        <v>898</v>
      </c>
    </row>
    <row r="1994">
      <c r="C1994" t="s">
        <v>898</v>
      </c>
    </row>
    <row r="1995">
      <c r="C1995" t="s">
        <v>898</v>
      </c>
    </row>
    <row r="1996">
      <c r="C1996" t="s">
        <v>898</v>
      </c>
    </row>
    <row r="1997">
      <c r="C1997" t="s">
        <v>898</v>
      </c>
    </row>
    <row r="1998">
      <c r="C1998" t="s">
        <v>898</v>
      </c>
    </row>
    <row r="1999">
      <c r="C1999" t="s">
        <v>898</v>
      </c>
    </row>
    <row r="2000">
      <c r="C2000" t="s">
        <v>898</v>
      </c>
    </row>
    <row r="2001">
      <c r="C2001" t="s">
        <v>898</v>
      </c>
    </row>
    <row r="2002">
      <c r="C2002" t="s">
        <v>898</v>
      </c>
    </row>
    <row r="2003">
      <c r="C2003" t="s">
        <v>898</v>
      </c>
    </row>
    <row r="2004">
      <c r="C2004" t="s">
        <v>898</v>
      </c>
    </row>
    <row r="2005">
      <c r="C2005" t="s">
        <v>898</v>
      </c>
    </row>
    <row r="2006">
      <c r="C2006" t="s">
        <v>898</v>
      </c>
    </row>
    <row r="2007">
      <c r="C2007" t="s">
        <v>898</v>
      </c>
    </row>
    <row r="2008">
      <c r="C2008" t="s">
        <v>898</v>
      </c>
    </row>
    <row r="2009">
      <c r="C2009" t="s">
        <v>898</v>
      </c>
    </row>
    <row r="2010">
      <c r="C2010" t="s">
        <v>898</v>
      </c>
    </row>
    <row r="2011">
      <c r="C2011" t="s">
        <v>898</v>
      </c>
    </row>
    <row r="2012">
      <c r="C2012" t="s">
        <v>898</v>
      </c>
    </row>
    <row r="2013">
      <c r="C2013" t="s">
        <v>898</v>
      </c>
    </row>
    <row r="2014">
      <c r="C2014" t="s">
        <v>898</v>
      </c>
    </row>
    <row r="2015">
      <c r="C2015" t="s">
        <v>898</v>
      </c>
    </row>
    <row r="2016">
      <c r="C2016" t="s">
        <v>898</v>
      </c>
    </row>
    <row r="2017">
      <c r="C2017" t="s">
        <v>898</v>
      </c>
    </row>
    <row r="2018">
      <c r="C2018" t="s">
        <v>898</v>
      </c>
    </row>
    <row r="2019">
      <c r="C2019" t="s">
        <v>898</v>
      </c>
    </row>
    <row r="2020">
      <c r="C2020" t="s">
        <v>898</v>
      </c>
    </row>
    <row r="2021">
      <c r="C2021" t="s">
        <v>898</v>
      </c>
    </row>
    <row r="2022">
      <c r="C2022" t="s">
        <v>898</v>
      </c>
    </row>
    <row r="2023">
      <c r="C2023" t="s">
        <v>898</v>
      </c>
    </row>
    <row r="2024">
      <c r="C2024" t="s">
        <v>898</v>
      </c>
    </row>
    <row r="2025">
      <c r="C2025" t="s">
        <v>898</v>
      </c>
    </row>
    <row r="2026">
      <c r="C2026" t="s">
        <v>898</v>
      </c>
    </row>
    <row r="2027">
      <c r="C2027" t="s">
        <v>898</v>
      </c>
    </row>
    <row r="2028">
      <c r="C2028" t="s">
        <v>898</v>
      </c>
    </row>
    <row r="2029">
      <c r="C2029" t="s">
        <v>898</v>
      </c>
    </row>
    <row r="2030">
      <c r="C2030" t="s">
        <v>898</v>
      </c>
    </row>
    <row r="2031">
      <c r="C2031" t="s">
        <v>898</v>
      </c>
    </row>
    <row r="2032">
      <c r="C2032" t="s">
        <v>898</v>
      </c>
    </row>
    <row r="2033">
      <c r="C2033" t="s">
        <v>898</v>
      </c>
    </row>
    <row r="2034">
      <c r="C2034" t="s">
        <v>898</v>
      </c>
    </row>
    <row r="2035">
      <c r="C2035" t="s">
        <v>898</v>
      </c>
    </row>
    <row r="2036">
      <c r="C2036" t="s">
        <v>898</v>
      </c>
    </row>
    <row r="2037">
      <c r="C2037" t="s">
        <v>898</v>
      </c>
    </row>
    <row r="2038">
      <c r="C2038" t="s">
        <v>898</v>
      </c>
    </row>
    <row r="2039">
      <c r="C2039" t="s">
        <v>898</v>
      </c>
    </row>
    <row r="2040">
      <c r="C2040" t="s">
        <v>898</v>
      </c>
    </row>
    <row r="2041">
      <c r="C2041" t="s">
        <v>898</v>
      </c>
    </row>
    <row r="2042">
      <c r="C2042" t="s">
        <v>898</v>
      </c>
    </row>
    <row r="2043">
      <c r="C2043" t="s">
        <v>898</v>
      </c>
    </row>
    <row r="2044">
      <c r="C2044" t="s">
        <v>898</v>
      </c>
    </row>
    <row r="2045">
      <c r="C2045" t="s">
        <v>898</v>
      </c>
    </row>
    <row r="2046">
      <c r="C2046" t="s">
        <v>898</v>
      </c>
    </row>
    <row r="2047">
      <c r="C2047" t="s">
        <v>898</v>
      </c>
    </row>
    <row r="2048">
      <c r="C2048" t="s">
        <v>898</v>
      </c>
    </row>
    <row r="2049">
      <c r="C2049" t="s">
        <v>898</v>
      </c>
    </row>
    <row r="2050">
      <c r="C2050" t="s">
        <v>898</v>
      </c>
    </row>
    <row r="2051">
      <c r="C2051" t="s">
        <v>898</v>
      </c>
    </row>
    <row r="2052">
      <c r="C2052" t="s">
        <v>898</v>
      </c>
    </row>
    <row r="2053">
      <c r="C2053" t="s">
        <v>898</v>
      </c>
    </row>
    <row r="2054">
      <c r="C2054" t="s">
        <v>898</v>
      </c>
    </row>
    <row r="2055">
      <c r="C2055" t="s">
        <v>898</v>
      </c>
    </row>
    <row r="2056">
      <c r="C2056" t="s">
        <v>898</v>
      </c>
    </row>
    <row r="2057">
      <c r="C2057" t="s">
        <v>898</v>
      </c>
    </row>
    <row r="2058">
      <c r="C2058" t="s">
        <v>898</v>
      </c>
    </row>
    <row r="2059">
      <c r="C2059" t="s">
        <v>898</v>
      </c>
    </row>
    <row r="2060">
      <c r="C2060" t="s">
        <v>898</v>
      </c>
    </row>
    <row r="2061">
      <c r="C2061" t="s">
        <v>898</v>
      </c>
    </row>
    <row r="2062">
      <c r="C2062" t="s">
        <v>898</v>
      </c>
    </row>
    <row r="2063">
      <c r="C2063" t="s">
        <v>898</v>
      </c>
    </row>
    <row r="2064">
      <c r="C2064" t="s">
        <v>898</v>
      </c>
    </row>
    <row r="2065">
      <c r="C2065" t="s">
        <v>898</v>
      </c>
    </row>
    <row r="2066">
      <c r="C2066" t="s">
        <v>898</v>
      </c>
    </row>
    <row r="2067">
      <c r="C2067" t="s">
        <v>898</v>
      </c>
    </row>
    <row r="2068">
      <c r="C2068" t="s">
        <v>898</v>
      </c>
    </row>
    <row r="2069">
      <c r="C2069" t="s">
        <v>898</v>
      </c>
    </row>
    <row r="2070">
      <c r="C2070" t="s">
        <v>898</v>
      </c>
    </row>
    <row r="2071">
      <c r="C2071" t="s">
        <v>898</v>
      </c>
    </row>
    <row r="2072">
      <c r="C2072" t="s">
        <v>898</v>
      </c>
    </row>
    <row r="2073">
      <c r="C2073" t="s">
        <v>898</v>
      </c>
    </row>
    <row r="2074">
      <c r="C2074" t="s">
        <v>898</v>
      </c>
    </row>
    <row r="2075">
      <c r="C2075" t="s">
        <v>898</v>
      </c>
    </row>
    <row r="2076">
      <c r="C2076" t="s">
        <v>898</v>
      </c>
    </row>
    <row r="2077">
      <c r="C2077" t="s">
        <v>898</v>
      </c>
    </row>
    <row r="2078">
      <c r="C2078" t="s">
        <v>898</v>
      </c>
    </row>
    <row r="2079">
      <c r="C2079" t="s">
        <v>898</v>
      </c>
    </row>
    <row r="2080">
      <c r="C2080" t="s">
        <v>898</v>
      </c>
    </row>
    <row r="2081">
      <c r="C2081" t="s">
        <v>898</v>
      </c>
    </row>
    <row r="2082">
      <c r="C2082" t="s">
        <v>898</v>
      </c>
    </row>
    <row r="2083">
      <c r="C2083" t="s">
        <v>898</v>
      </c>
    </row>
    <row r="2084">
      <c r="C2084" t="s">
        <v>898</v>
      </c>
    </row>
    <row r="2085">
      <c r="C2085" t="s">
        <v>898</v>
      </c>
    </row>
    <row r="2086">
      <c r="C2086" t="s">
        <v>898</v>
      </c>
    </row>
    <row r="2087">
      <c r="C2087" t="s">
        <v>898</v>
      </c>
    </row>
    <row r="2088">
      <c r="C2088" t="s">
        <v>898</v>
      </c>
    </row>
    <row r="2089">
      <c r="C2089" t="s">
        <v>898</v>
      </c>
    </row>
    <row r="2090">
      <c r="C2090" t="s">
        <v>898</v>
      </c>
    </row>
    <row r="2091">
      <c r="C2091" t="s">
        <v>898</v>
      </c>
    </row>
    <row r="2092">
      <c r="C2092" t="s">
        <v>898</v>
      </c>
    </row>
    <row r="2093">
      <c r="C2093" t="s">
        <v>898</v>
      </c>
    </row>
    <row r="2094">
      <c r="C2094" t="s">
        <v>898</v>
      </c>
    </row>
    <row r="2095">
      <c r="C2095" t="s">
        <v>898</v>
      </c>
    </row>
    <row r="2096">
      <c r="C2096" t="s">
        <v>898</v>
      </c>
    </row>
    <row r="2097">
      <c r="C2097" t="s">
        <v>898</v>
      </c>
    </row>
    <row r="2098">
      <c r="C2098" t="s">
        <v>898</v>
      </c>
    </row>
    <row r="2099">
      <c r="C2099" t="s">
        <v>898</v>
      </c>
    </row>
    <row r="2100">
      <c r="C2100" t="s">
        <v>898</v>
      </c>
    </row>
    <row r="2101">
      <c r="C2101" t="s">
        <v>898</v>
      </c>
    </row>
    <row r="2102">
      <c r="C2102" t="s">
        <v>898</v>
      </c>
    </row>
    <row r="2103">
      <c r="C2103" t="s">
        <v>898</v>
      </c>
    </row>
    <row r="2104">
      <c r="C2104" t="s">
        <v>898</v>
      </c>
    </row>
    <row r="2105">
      <c r="C2105" t="s">
        <v>898</v>
      </c>
    </row>
    <row r="2106">
      <c r="C2106" t="s">
        <v>898</v>
      </c>
    </row>
    <row r="2107">
      <c r="C2107" t="s">
        <v>898</v>
      </c>
    </row>
    <row r="2108">
      <c r="C2108" t="s">
        <v>898</v>
      </c>
    </row>
    <row r="2109">
      <c r="C2109" t="s">
        <v>898</v>
      </c>
    </row>
    <row r="2110">
      <c r="C2110" t="s">
        <v>898</v>
      </c>
    </row>
    <row r="2111">
      <c r="C2111" t="s">
        <v>898</v>
      </c>
    </row>
    <row r="2112">
      <c r="C2112" t="s">
        <v>898</v>
      </c>
    </row>
    <row r="2113">
      <c r="C2113" t="s">
        <v>898</v>
      </c>
    </row>
    <row r="2114">
      <c r="C2114" t="s">
        <v>898</v>
      </c>
    </row>
    <row r="2115">
      <c r="C2115" t="s">
        <v>898</v>
      </c>
    </row>
    <row r="2116">
      <c r="C2116" t="s">
        <v>898</v>
      </c>
    </row>
    <row r="2117">
      <c r="C2117" t="s">
        <v>898</v>
      </c>
    </row>
    <row r="2118">
      <c r="C2118" t="s">
        <v>898</v>
      </c>
    </row>
    <row r="2119">
      <c r="C2119" t="s">
        <v>898</v>
      </c>
    </row>
    <row r="2120">
      <c r="C2120" t="s">
        <v>898</v>
      </c>
    </row>
    <row r="2121">
      <c r="C2121" t="s">
        <v>898</v>
      </c>
    </row>
    <row r="2122">
      <c r="C2122" t="s">
        <v>898</v>
      </c>
    </row>
    <row r="2123">
      <c r="C2123" t="s">
        <v>898</v>
      </c>
    </row>
    <row r="2124">
      <c r="C2124" t="s">
        <v>898</v>
      </c>
    </row>
    <row r="2125">
      <c r="C2125" t="s">
        <v>898</v>
      </c>
    </row>
    <row r="2126">
      <c r="C2126" t="s">
        <v>898</v>
      </c>
    </row>
    <row r="2127">
      <c r="C2127" t="s">
        <v>898</v>
      </c>
    </row>
    <row r="2128">
      <c r="C2128" t="s">
        <v>898</v>
      </c>
    </row>
    <row r="2129">
      <c r="C2129" t="s">
        <v>898</v>
      </c>
    </row>
    <row r="2130">
      <c r="C2130" t="s">
        <v>898</v>
      </c>
    </row>
    <row r="2131">
      <c r="C2131" t="s">
        <v>898</v>
      </c>
    </row>
    <row r="2132">
      <c r="C2132" t="s">
        <v>898</v>
      </c>
    </row>
    <row r="2133">
      <c r="C2133" t="s">
        <v>898</v>
      </c>
    </row>
    <row r="2134">
      <c r="C2134" t="s">
        <v>898</v>
      </c>
    </row>
    <row r="2135">
      <c r="C2135" t="s">
        <v>898</v>
      </c>
    </row>
    <row r="2136">
      <c r="C2136" t="s">
        <v>898</v>
      </c>
    </row>
    <row r="2137">
      <c r="C2137" t="s">
        <v>898</v>
      </c>
    </row>
    <row r="2138">
      <c r="C2138" t="s">
        <v>898</v>
      </c>
    </row>
    <row r="2139">
      <c r="C2139" t="s">
        <v>898</v>
      </c>
    </row>
    <row r="2140">
      <c r="C2140" t="s">
        <v>898</v>
      </c>
    </row>
    <row r="2141">
      <c r="C2141" t="s">
        <v>898</v>
      </c>
    </row>
    <row r="2142">
      <c r="C2142" t="s">
        <v>898</v>
      </c>
    </row>
    <row r="2143">
      <c r="C2143" t="s">
        <v>898</v>
      </c>
    </row>
    <row r="2144">
      <c r="C2144" t="s">
        <v>898</v>
      </c>
    </row>
    <row r="2145">
      <c r="C2145" t="s">
        <v>898</v>
      </c>
    </row>
    <row r="2146">
      <c r="C2146" t="s">
        <v>898</v>
      </c>
    </row>
    <row r="2147">
      <c r="C2147" t="s">
        <v>898</v>
      </c>
    </row>
    <row r="2148">
      <c r="C2148" t="s">
        <v>898</v>
      </c>
    </row>
    <row r="2149">
      <c r="C2149" t="s">
        <v>898</v>
      </c>
    </row>
    <row r="2150">
      <c r="C2150" t="s">
        <v>898</v>
      </c>
    </row>
    <row r="2151">
      <c r="C2151" t="s">
        <v>898</v>
      </c>
    </row>
    <row r="2152">
      <c r="C2152" t="s">
        <v>898</v>
      </c>
    </row>
    <row r="2153">
      <c r="C2153" t="s">
        <v>898</v>
      </c>
    </row>
    <row r="2154">
      <c r="C2154" t="s">
        <v>898</v>
      </c>
    </row>
    <row r="2155">
      <c r="C2155" t="s">
        <v>898</v>
      </c>
    </row>
    <row r="2156">
      <c r="C2156" t="s">
        <v>898</v>
      </c>
    </row>
    <row r="2157">
      <c r="C2157" t="s">
        <v>898</v>
      </c>
    </row>
    <row r="2158">
      <c r="C2158" t="s">
        <v>898</v>
      </c>
    </row>
    <row r="2159">
      <c r="C2159" t="s">
        <v>898</v>
      </c>
    </row>
    <row r="2160">
      <c r="C2160" t="s">
        <v>898</v>
      </c>
    </row>
    <row r="2161">
      <c r="C2161" t="s">
        <v>898</v>
      </c>
    </row>
    <row r="2162">
      <c r="C2162" t="s">
        <v>898</v>
      </c>
    </row>
    <row r="2163">
      <c r="C2163" t="s">
        <v>898</v>
      </c>
    </row>
    <row r="2164">
      <c r="C2164" t="s">
        <v>898</v>
      </c>
    </row>
    <row r="2165">
      <c r="C2165" t="s">
        <v>898</v>
      </c>
    </row>
    <row r="2166">
      <c r="C2166" t="s">
        <v>898</v>
      </c>
    </row>
    <row r="2167">
      <c r="C2167" t="s">
        <v>898</v>
      </c>
    </row>
    <row r="2168">
      <c r="C2168" t="s">
        <v>898</v>
      </c>
    </row>
    <row r="2169">
      <c r="C2169" t="s">
        <v>898</v>
      </c>
    </row>
    <row r="2170">
      <c r="C2170" t="s">
        <v>898</v>
      </c>
    </row>
    <row r="2171">
      <c r="C2171" t="s">
        <v>898</v>
      </c>
    </row>
    <row r="2172">
      <c r="C2172" t="s">
        <v>898</v>
      </c>
    </row>
    <row r="2173">
      <c r="C2173" t="s">
        <v>898</v>
      </c>
    </row>
    <row r="2174">
      <c r="C2174" t="s">
        <v>898</v>
      </c>
    </row>
    <row r="2175">
      <c r="C2175" t="s">
        <v>898</v>
      </c>
    </row>
    <row r="2176">
      <c r="C2176" t="s">
        <v>898</v>
      </c>
    </row>
    <row r="2177">
      <c r="C2177" t="s">
        <v>898</v>
      </c>
    </row>
    <row r="2178">
      <c r="C2178" t="s">
        <v>898</v>
      </c>
    </row>
    <row r="2179">
      <c r="C2179" t="s">
        <v>898</v>
      </c>
    </row>
    <row r="2180">
      <c r="C2180" t="s">
        <v>898</v>
      </c>
    </row>
    <row r="2181">
      <c r="C2181" t="s">
        <v>898</v>
      </c>
    </row>
    <row r="2182">
      <c r="C2182" t="s">
        <v>898</v>
      </c>
    </row>
    <row r="2183">
      <c r="C2183" t="s">
        <v>898</v>
      </c>
    </row>
    <row r="2184">
      <c r="C2184" t="s">
        <v>898</v>
      </c>
    </row>
    <row r="2185">
      <c r="C2185" t="s">
        <v>898</v>
      </c>
    </row>
    <row r="2186">
      <c r="C2186" t="s">
        <v>898</v>
      </c>
    </row>
    <row r="2187">
      <c r="C2187" t="s">
        <v>898</v>
      </c>
    </row>
    <row r="2188">
      <c r="C2188" t="s">
        <v>898</v>
      </c>
    </row>
    <row r="2189">
      <c r="C2189" t="s">
        <v>898</v>
      </c>
    </row>
    <row r="2190">
      <c r="C2190" t="s">
        <v>898</v>
      </c>
    </row>
    <row r="2191">
      <c r="C2191" t="s">
        <v>898</v>
      </c>
    </row>
    <row r="2192">
      <c r="C2192" t="s">
        <v>898</v>
      </c>
    </row>
    <row r="2193">
      <c r="C2193" t="s">
        <v>898</v>
      </c>
    </row>
    <row r="2194">
      <c r="C2194" t="s">
        <v>898</v>
      </c>
    </row>
    <row r="2195">
      <c r="C2195" t="s">
        <v>898</v>
      </c>
    </row>
    <row r="2196">
      <c r="C2196" t="s">
        <v>898</v>
      </c>
    </row>
    <row r="2197">
      <c r="C2197" t="s">
        <v>898</v>
      </c>
    </row>
    <row r="2198">
      <c r="C2198" t="s">
        <v>898</v>
      </c>
    </row>
    <row r="2199">
      <c r="C2199" t="s">
        <v>898</v>
      </c>
    </row>
    <row r="2200">
      <c r="C2200" t="s">
        <v>898</v>
      </c>
    </row>
    <row r="2201">
      <c r="C2201" t="s">
        <v>898</v>
      </c>
    </row>
    <row r="2202">
      <c r="C2202" t="s">
        <v>898</v>
      </c>
    </row>
    <row r="2203">
      <c r="C2203" t="s">
        <v>898</v>
      </c>
    </row>
    <row r="2204">
      <c r="C2204" t="s">
        <v>898</v>
      </c>
    </row>
    <row r="2205">
      <c r="C2205" t="s">
        <v>898</v>
      </c>
    </row>
    <row r="2206">
      <c r="C2206" t="s">
        <v>898</v>
      </c>
    </row>
    <row r="2207">
      <c r="C2207" t="s">
        <v>898</v>
      </c>
    </row>
    <row r="2208">
      <c r="C2208" t="s">
        <v>898</v>
      </c>
    </row>
    <row r="2209">
      <c r="C2209" t="s">
        <v>898</v>
      </c>
    </row>
    <row r="2210">
      <c r="C2210" t="s">
        <v>898</v>
      </c>
    </row>
    <row r="2211">
      <c r="C2211" t="s">
        <v>898</v>
      </c>
    </row>
    <row r="2212">
      <c r="C2212" t="s">
        <v>898</v>
      </c>
    </row>
    <row r="2213">
      <c r="C2213" t="s">
        <v>898</v>
      </c>
    </row>
    <row r="2214">
      <c r="C2214" t="s">
        <v>898</v>
      </c>
    </row>
    <row r="2215">
      <c r="C2215" t="s">
        <v>898</v>
      </c>
    </row>
    <row r="2216">
      <c r="C2216" t="s">
        <v>898</v>
      </c>
    </row>
    <row r="2217">
      <c r="C2217" t="s">
        <v>898</v>
      </c>
    </row>
    <row r="2218">
      <c r="C2218" t="s">
        <v>898</v>
      </c>
    </row>
    <row r="2219">
      <c r="C2219" t="s">
        <v>898</v>
      </c>
    </row>
    <row r="2220">
      <c r="C2220" t="s">
        <v>898</v>
      </c>
    </row>
    <row r="2221">
      <c r="C2221" t="s">
        <v>898</v>
      </c>
    </row>
    <row r="2222">
      <c r="C2222" t="s">
        <v>898</v>
      </c>
    </row>
    <row r="2223">
      <c r="C2223" t="s">
        <v>898</v>
      </c>
    </row>
    <row r="2224">
      <c r="C2224" t="s">
        <v>898</v>
      </c>
    </row>
    <row r="2225">
      <c r="C2225" t="s">
        <v>898</v>
      </c>
    </row>
    <row r="2226">
      <c r="C2226" t="s">
        <v>898</v>
      </c>
    </row>
    <row r="2227">
      <c r="C2227" t="s">
        <v>898</v>
      </c>
    </row>
    <row r="2228">
      <c r="C2228" t="s">
        <v>898</v>
      </c>
    </row>
    <row r="2229">
      <c r="C2229" t="s">
        <v>898</v>
      </c>
    </row>
    <row r="2230">
      <c r="C2230" t="s">
        <v>898</v>
      </c>
    </row>
    <row r="2231">
      <c r="C2231" t="s">
        <v>898</v>
      </c>
    </row>
    <row r="2232">
      <c r="C2232" t="s">
        <v>898</v>
      </c>
    </row>
    <row r="2233">
      <c r="C2233" t="s">
        <v>898</v>
      </c>
    </row>
    <row r="2234">
      <c r="C2234" t="s">
        <v>898</v>
      </c>
    </row>
    <row r="2235">
      <c r="C2235" t="s">
        <v>898</v>
      </c>
    </row>
    <row r="2236">
      <c r="C2236" t="s">
        <v>898</v>
      </c>
    </row>
    <row r="2237">
      <c r="C2237" t="s">
        <v>898</v>
      </c>
    </row>
    <row r="2238">
      <c r="C2238" t="s">
        <v>898</v>
      </c>
    </row>
    <row r="2239">
      <c r="C2239" t="s">
        <v>898</v>
      </c>
    </row>
    <row r="2240">
      <c r="C2240" t="s">
        <v>898</v>
      </c>
    </row>
    <row r="2241">
      <c r="C2241" t="s">
        <v>898</v>
      </c>
    </row>
    <row r="2242">
      <c r="C2242" t="s">
        <v>898</v>
      </c>
    </row>
    <row r="2243">
      <c r="C2243" t="s">
        <v>898</v>
      </c>
    </row>
    <row r="2244">
      <c r="C2244" t="s">
        <v>898</v>
      </c>
    </row>
    <row r="2245">
      <c r="C2245" t="s">
        <v>898</v>
      </c>
    </row>
    <row r="2246">
      <c r="C2246" t="s">
        <v>898</v>
      </c>
    </row>
    <row r="2247">
      <c r="C2247" t="s">
        <v>898</v>
      </c>
    </row>
    <row r="2248">
      <c r="C2248" t="s">
        <v>898</v>
      </c>
    </row>
    <row r="2249">
      <c r="C2249" t="s">
        <v>898</v>
      </c>
    </row>
    <row r="2250">
      <c r="C2250" t="s">
        <v>898</v>
      </c>
    </row>
    <row r="2251">
      <c r="C2251" t="s">
        <v>898</v>
      </c>
    </row>
    <row r="2252">
      <c r="C2252" t="s">
        <v>898</v>
      </c>
    </row>
    <row r="2253">
      <c r="C2253" t="s">
        <v>898</v>
      </c>
    </row>
    <row r="2254">
      <c r="C2254" t="s">
        <v>898</v>
      </c>
    </row>
    <row r="2255">
      <c r="C2255" t="s">
        <v>898</v>
      </c>
    </row>
    <row r="2256">
      <c r="C2256" t="s">
        <v>898</v>
      </c>
    </row>
    <row r="2257">
      <c r="C2257" t="s">
        <v>898</v>
      </c>
    </row>
    <row r="2258">
      <c r="C2258" t="s">
        <v>898</v>
      </c>
    </row>
    <row r="2259">
      <c r="C2259" t="s">
        <v>898</v>
      </c>
    </row>
    <row r="2260">
      <c r="C2260" t="s">
        <v>898</v>
      </c>
    </row>
    <row r="2261">
      <c r="C2261" t="s">
        <v>898</v>
      </c>
    </row>
    <row r="2262">
      <c r="C2262" t="s">
        <v>898</v>
      </c>
    </row>
    <row r="2263">
      <c r="C2263" t="s">
        <v>898</v>
      </c>
    </row>
    <row r="2264">
      <c r="C2264" t="s">
        <v>898</v>
      </c>
    </row>
    <row r="2265">
      <c r="C2265" t="s">
        <v>898</v>
      </c>
    </row>
    <row r="2266">
      <c r="C2266" t="s">
        <v>898</v>
      </c>
    </row>
    <row r="2267">
      <c r="C2267" t="s">
        <v>898</v>
      </c>
    </row>
    <row r="2268">
      <c r="C2268" t="s">
        <v>898</v>
      </c>
    </row>
    <row r="2269">
      <c r="C2269" t="s">
        <v>898</v>
      </c>
    </row>
    <row r="2270">
      <c r="C2270" t="s">
        <v>898</v>
      </c>
    </row>
    <row r="2271">
      <c r="C2271" t="s">
        <v>898</v>
      </c>
    </row>
    <row r="2272">
      <c r="C2272" t="s">
        <v>898</v>
      </c>
    </row>
    <row r="2273">
      <c r="C2273" t="s">
        <v>898</v>
      </c>
    </row>
    <row r="2274">
      <c r="C2274" t="s">
        <v>898</v>
      </c>
    </row>
    <row r="2275">
      <c r="C2275" t="s">
        <v>898</v>
      </c>
    </row>
    <row r="2276">
      <c r="C2276" t="s">
        <v>898</v>
      </c>
    </row>
    <row r="2277">
      <c r="C2277" t="s">
        <v>898</v>
      </c>
    </row>
    <row r="2278">
      <c r="C2278" t="s">
        <v>898</v>
      </c>
    </row>
    <row r="2279">
      <c r="C2279" t="s">
        <v>898</v>
      </c>
    </row>
    <row r="2280">
      <c r="C2280" t="s">
        <v>898</v>
      </c>
    </row>
    <row r="2281">
      <c r="C2281" t="s">
        <v>898</v>
      </c>
    </row>
    <row r="2282">
      <c r="C2282" t="s">
        <v>898</v>
      </c>
    </row>
    <row r="2283">
      <c r="C2283" t="s">
        <v>898</v>
      </c>
    </row>
    <row r="2284">
      <c r="C2284" t="s">
        <v>898</v>
      </c>
    </row>
    <row r="2285">
      <c r="C2285" t="s">
        <v>898</v>
      </c>
    </row>
    <row r="2286">
      <c r="C2286" t="s">
        <v>898</v>
      </c>
    </row>
    <row r="2287">
      <c r="C2287" t="s">
        <v>898</v>
      </c>
    </row>
    <row r="2288">
      <c r="C2288" t="s">
        <v>898</v>
      </c>
    </row>
    <row r="2289">
      <c r="C2289" t="s">
        <v>898</v>
      </c>
    </row>
    <row r="2290">
      <c r="C2290" t="s">
        <v>898</v>
      </c>
    </row>
    <row r="2291">
      <c r="C2291" t="s">
        <v>898</v>
      </c>
    </row>
    <row r="2292">
      <c r="C2292" t="s">
        <v>898</v>
      </c>
    </row>
    <row r="2293">
      <c r="C2293" t="s">
        <v>898</v>
      </c>
    </row>
    <row r="2294">
      <c r="C2294" t="s">
        <v>898</v>
      </c>
    </row>
    <row r="2295">
      <c r="C2295" t="s">
        <v>898</v>
      </c>
    </row>
    <row r="2296">
      <c r="C2296" t="s">
        <v>898</v>
      </c>
    </row>
    <row r="2297">
      <c r="C2297" t="s">
        <v>898</v>
      </c>
    </row>
    <row r="2298">
      <c r="C2298" t="s">
        <v>898</v>
      </c>
    </row>
    <row r="2299">
      <c r="C2299" t="s">
        <v>898</v>
      </c>
    </row>
    <row r="2300">
      <c r="C2300" t="s">
        <v>898</v>
      </c>
    </row>
    <row r="2301">
      <c r="C2301" t="s">
        <v>898</v>
      </c>
    </row>
    <row r="2302">
      <c r="C2302" t="s">
        <v>898</v>
      </c>
    </row>
    <row r="2303">
      <c r="C2303" t="s">
        <v>898</v>
      </c>
    </row>
    <row r="2304">
      <c r="C2304" t="s">
        <v>898</v>
      </c>
    </row>
    <row r="2305">
      <c r="C2305" t="s">
        <v>898</v>
      </c>
    </row>
    <row r="2306">
      <c r="C2306" t="s">
        <v>898</v>
      </c>
    </row>
    <row r="2307">
      <c r="C2307" t="s">
        <v>898</v>
      </c>
    </row>
    <row r="2308">
      <c r="C2308" t="s">
        <v>898</v>
      </c>
    </row>
    <row r="2309">
      <c r="C2309" t="s">
        <v>898</v>
      </c>
    </row>
    <row r="2310">
      <c r="C2310" t="s">
        <v>898</v>
      </c>
    </row>
    <row r="2311">
      <c r="C2311" t="s">
        <v>898</v>
      </c>
    </row>
    <row r="2312">
      <c r="C2312" t="s">
        <v>898</v>
      </c>
    </row>
    <row r="2313">
      <c r="C2313" t="s">
        <v>898</v>
      </c>
    </row>
    <row r="2314">
      <c r="C2314" t="s">
        <v>898</v>
      </c>
    </row>
    <row r="2315">
      <c r="C2315" t="s">
        <v>898</v>
      </c>
    </row>
    <row r="2316">
      <c r="C2316" t="s">
        <v>898</v>
      </c>
    </row>
    <row r="2317">
      <c r="C2317" t="s">
        <v>898</v>
      </c>
    </row>
    <row r="2318">
      <c r="C2318" t="s">
        <v>898</v>
      </c>
    </row>
    <row r="2319">
      <c r="C2319" t="s">
        <v>898</v>
      </c>
    </row>
    <row r="2320">
      <c r="C2320" t="s">
        <v>898</v>
      </c>
    </row>
    <row r="2321">
      <c r="C2321" t="s">
        <v>898</v>
      </c>
    </row>
    <row r="2322">
      <c r="C2322" t="s">
        <v>898</v>
      </c>
    </row>
    <row r="2323">
      <c r="C2323" t="s">
        <v>898</v>
      </c>
    </row>
    <row r="2324">
      <c r="C2324" t="s">
        <v>898</v>
      </c>
    </row>
    <row r="2325">
      <c r="C2325" t="s">
        <v>898</v>
      </c>
    </row>
    <row r="2326">
      <c r="C2326" t="s">
        <v>898</v>
      </c>
    </row>
    <row r="2327">
      <c r="C2327" t="s">
        <v>898</v>
      </c>
    </row>
    <row r="2328">
      <c r="C2328" t="s">
        <v>898</v>
      </c>
    </row>
    <row r="2329">
      <c r="C2329" t="s">
        <v>898</v>
      </c>
    </row>
    <row r="2330">
      <c r="C2330" t="s">
        <v>898</v>
      </c>
    </row>
    <row r="2331">
      <c r="C2331" t="s">
        <v>898</v>
      </c>
    </row>
    <row r="2332">
      <c r="C2332" t="s">
        <v>898</v>
      </c>
    </row>
    <row r="2333">
      <c r="C2333" t="s">
        <v>898</v>
      </c>
    </row>
    <row r="2334">
      <c r="C2334" t="s">
        <v>898</v>
      </c>
    </row>
    <row r="2335">
      <c r="C2335" t="s">
        <v>898</v>
      </c>
    </row>
    <row r="2336">
      <c r="C2336" t="s">
        <v>898</v>
      </c>
    </row>
    <row r="2337">
      <c r="C2337" t="s">
        <v>898</v>
      </c>
    </row>
    <row r="2338">
      <c r="C2338" t="s">
        <v>898</v>
      </c>
    </row>
    <row r="2339">
      <c r="C2339" t="s">
        <v>898</v>
      </c>
    </row>
    <row r="2340">
      <c r="C2340" t="s">
        <v>898</v>
      </c>
    </row>
    <row r="2341">
      <c r="C2341" t="s">
        <v>898</v>
      </c>
    </row>
    <row r="2342">
      <c r="C2342" t="s">
        <v>898</v>
      </c>
    </row>
    <row r="2343">
      <c r="C2343" t="s">
        <v>898</v>
      </c>
    </row>
    <row r="2344">
      <c r="C2344" t="s">
        <v>898</v>
      </c>
    </row>
    <row r="2345">
      <c r="C2345" t="s">
        <v>898</v>
      </c>
    </row>
    <row r="2346">
      <c r="C2346" t="s">
        <v>898</v>
      </c>
    </row>
    <row r="2347">
      <c r="C2347" t="s">
        <v>898</v>
      </c>
    </row>
    <row r="2348">
      <c r="C2348" t="s">
        <v>898</v>
      </c>
    </row>
    <row r="2349">
      <c r="C2349" t="s">
        <v>898</v>
      </c>
    </row>
    <row r="2350">
      <c r="C2350" t="s">
        <v>898</v>
      </c>
    </row>
    <row r="2351">
      <c r="C2351" t="s">
        <v>898</v>
      </c>
    </row>
    <row r="2352">
      <c r="C2352" t="s">
        <v>898</v>
      </c>
    </row>
    <row r="2353">
      <c r="C2353" t="s">
        <v>898</v>
      </c>
    </row>
    <row r="2354">
      <c r="C2354" t="s">
        <v>898</v>
      </c>
    </row>
    <row r="2355">
      <c r="C2355" t="s">
        <v>898</v>
      </c>
    </row>
    <row r="2356">
      <c r="C2356" t="s">
        <v>898</v>
      </c>
    </row>
    <row r="2357">
      <c r="C2357" t="s">
        <v>898</v>
      </c>
    </row>
    <row r="2358">
      <c r="C2358" t="s">
        <v>898</v>
      </c>
    </row>
    <row r="2359">
      <c r="C2359" t="s">
        <v>898</v>
      </c>
    </row>
    <row r="2360">
      <c r="C2360" t="s">
        <v>898</v>
      </c>
    </row>
    <row r="2361">
      <c r="C2361" t="s">
        <v>898</v>
      </c>
    </row>
    <row r="2362">
      <c r="C2362" t="s">
        <v>898</v>
      </c>
    </row>
    <row r="2363">
      <c r="C2363" t="s">
        <v>898</v>
      </c>
    </row>
    <row r="2364">
      <c r="C2364" t="s">
        <v>898</v>
      </c>
    </row>
    <row r="2365">
      <c r="C2365" t="s">
        <v>898</v>
      </c>
    </row>
    <row r="2366">
      <c r="C2366" t="s">
        <v>898</v>
      </c>
    </row>
    <row r="2367">
      <c r="C2367" t="s">
        <v>898</v>
      </c>
    </row>
    <row r="2368">
      <c r="C2368" t="s">
        <v>898</v>
      </c>
    </row>
    <row r="2369">
      <c r="C2369" t="s">
        <v>898</v>
      </c>
    </row>
    <row r="2370">
      <c r="C2370" t="s">
        <v>898</v>
      </c>
    </row>
    <row r="2371">
      <c r="C2371" t="s">
        <v>898</v>
      </c>
    </row>
    <row r="2372">
      <c r="C2372" t="s">
        <v>898</v>
      </c>
    </row>
    <row r="2373">
      <c r="C2373" t="s">
        <v>898</v>
      </c>
    </row>
    <row r="2374">
      <c r="C2374" t="s">
        <v>898</v>
      </c>
    </row>
    <row r="2375">
      <c r="C2375" t="s">
        <v>898</v>
      </c>
    </row>
    <row r="2376">
      <c r="C2376" t="s">
        <v>898</v>
      </c>
    </row>
    <row r="2377">
      <c r="C2377" t="s">
        <v>898</v>
      </c>
    </row>
    <row r="2378">
      <c r="C2378" t="s">
        <v>898</v>
      </c>
    </row>
    <row r="2379">
      <c r="C2379" t="s">
        <v>898</v>
      </c>
    </row>
    <row r="2380">
      <c r="C2380" t="s">
        <v>898</v>
      </c>
    </row>
    <row r="2381">
      <c r="C2381" t="s">
        <v>898</v>
      </c>
    </row>
    <row r="2382">
      <c r="C2382" t="s">
        <v>898</v>
      </c>
    </row>
    <row r="2383">
      <c r="C2383" t="s">
        <v>898</v>
      </c>
    </row>
    <row r="2384">
      <c r="C2384" t="s">
        <v>898</v>
      </c>
    </row>
    <row r="2385">
      <c r="C2385" t="s">
        <v>898</v>
      </c>
    </row>
    <row r="2386">
      <c r="C2386" t="s">
        <v>898</v>
      </c>
    </row>
    <row r="2387">
      <c r="C2387" t="s">
        <v>898</v>
      </c>
    </row>
    <row r="2388">
      <c r="C2388" t="s">
        <v>898</v>
      </c>
    </row>
    <row r="2389">
      <c r="C2389" t="s">
        <v>898</v>
      </c>
    </row>
    <row r="2390">
      <c r="C2390" t="s">
        <v>898</v>
      </c>
    </row>
    <row r="2391">
      <c r="C2391" t="s">
        <v>898</v>
      </c>
    </row>
    <row r="2392">
      <c r="C2392" t="s">
        <v>898</v>
      </c>
    </row>
    <row r="2393">
      <c r="C2393" t="s">
        <v>898</v>
      </c>
    </row>
    <row r="2394">
      <c r="C2394" t="s">
        <v>898</v>
      </c>
    </row>
    <row r="2395">
      <c r="C2395" t="s">
        <v>898</v>
      </c>
    </row>
    <row r="2396">
      <c r="C2396" t="s">
        <v>898</v>
      </c>
    </row>
    <row r="2397">
      <c r="C2397" t="s">
        <v>898</v>
      </c>
    </row>
    <row r="2398">
      <c r="C2398" t="s">
        <v>898</v>
      </c>
    </row>
    <row r="2399">
      <c r="C2399" t="s">
        <v>898</v>
      </c>
    </row>
    <row r="2400">
      <c r="C2400" t="s">
        <v>898</v>
      </c>
    </row>
    <row r="2401">
      <c r="C2401" t="s">
        <v>898</v>
      </c>
    </row>
    <row r="2402">
      <c r="C2402" t="s">
        <v>898</v>
      </c>
    </row>
    <row r="2403">
      <c r="C2403" t="s">
        <v>898</v>
      </c>
    </row>
    <row r="2404">
      <c r="C2404" t="s">
        <v>898</v>
      </c>
    </row>
    <row r="2405">
      <c r="C2405" t="s">
        <v>898</v>
      </c>
    </row>
    <row r="2406">
      <c r="C2406" t="s">
        <v>898</v>
      </c>
    </row>
    <row r="2407">
      <c r="C2407" t="s">
        <v>898</v>
      </c>
    </row>
    <row r="2408">
      <c r="C2408" t="s">
        <v>898</v>
      </c>
    </row>
    <row r="2409">
      <c r="C2409" t="s">
        <v>898</v>
      </c>
    </row>
    <row r="2410">
      <c r="C2410" t="s">
        <v>898</v>
      </c>
    </row>
    <row r="2411">
      <c r="C2411" t="s">
        <v>898</v>
      </c>
    </row>
    <row r="2412">
      <c r="C2412" t="s">
        <v>898</v>
      </c>
    </row>
    <row r="2413">
      <c r="C2413" t="s">
        <v>898</v>
      </c>
    </row>
    <row r="2414">
      <c r="C2414" t="s">
        <v>898</v>
      </c>
    </row>
    <row r="2415">
      <c r="C2415" t="s">
        <v>898</v>
      </c>
    </row>
    <row r="2416">
      <c r="C2416" t="s">
        <v>898</v>
      </c>
    </row>
    <row r="2417">
      <c r="C2417" t="s">
        <v>898</v>
      </c>
    </row>
    <row r="2418">
      <c r="C2418" t="s">
        <v>898</v>
      </c>
    </row>
    <row r="2419">
      <c r="C2419" t="s">
        <v>898</v>
      </c>
    </row>
    <row r="2420">
      <c r="C2420" t="s">
        <v>898</v>
      </c>
    </row>
    <row r="2421">
      <c r="C2421" t="s">
        <v>898</v>
      </c>
    </row>
    <row r="2422">
      <c r="C2422" t="s">
        <v>898</v>
      </c>
    </row>
    <row r="2423">
      <c r="C2423" t="s">
        <v>898</v>
      </c>
    </row>
    <row r="2424">
      <c r="C2424" t="s">
        <v>898</v>
      </c>
    </row>
    <row r="2425">
      <c r="C2425" t="s">
        <v>898</v>
      </c>
    </row>
    <row r="2426">
      <c r="C2426" t="s">
        <v>898</v>
      </c>
    </row>
    <row r="2427">
      <c r="C2427" t="s">
        <v>898</v>
      </c>
    </row>
    <row r="2428">
      <c r="C2428" t="s">
        <v>898</v>
      </c>
    </row>
    <row r="2429">
      <c r="C2429" t="s">
        <v>898</v>
      </c>
    </row>
    <row r="2430">
      <c r="C2430" t="s">
        <v>898</v>
      </c>
    </row>
    <row r="2431">
      <c r="C2431" t="s">
        <v>898</v>
      </c>
    </row>
    <row r="2432">
      <c r="C2432" t="s">
        <v>898</v>
      </c>
    </row>
    <row r="2433">
      <c r="C2433" t="s">
        <v>898</v>
      </c>
    </row>
    <row r="2434">
      <c r="C2434" t="s">
        <v>898</v>
      </c>
    </row>
    <row r="2435">
      <c r="C2435" t="s">
        <v>898</v>
      </c>
    </row>
    <row r="2436">
      <c r="C2436" t="s">
        <v>898</v>
      </c>
    </row>
    <row r="2437">
      <c r="C2437" t="s">
        <v>898</v>
      </c>
    </row>
    <row r="2438">
      <c r="C2438" t="s">
        <v>898</v>
      </c>
    </row>
    <row r="2439">
      <c r="C2439" t="s">
        <v>898</v>
      </c>
    </row>
    <row r="2440">
      <c r="C2440" t="s">
        <v>898</v>
      </c>
    </row>
    <row r="2441">
      <c r="C2441" t="s">
        <v>898</v>
      </c>
    </row>
    <row r="2442">
      <c r="C2442" t="s">
        <v>898</v>
      </c>
    </row>
    <row r="2443">
      <c r="C2443" t="s">
        <v>898</v>
      </c>
    </row>
    <row r="2444">
      <c r="C2444" t="s">
        <v>898</v>
      </c>
    </row>
    <row r="2445">
      <c r="C2445" t="s">
        <v>898</v>
      </c>
    </row>
    <row r="2446">
      <c r="C2446" t="s">
        <v>898</v>
      </c>
    </row>
    <row r="2447">
      <c r="C2447" t="s">
        <v>898</v>
      </c>
    </row>
    <row r="2448">
      <c r="C2448" t="s">
        <v>898</v>
      </c>
    </row>
    <row r="2449">
      <c r="C2449" t="s">
        <v>898</v>
      </c>
    </row>
    <row r="2450">
      <c r="C2450" t="s">
        <v>898</v>
      </c>
    </row>
    <row r="2451">
      <c r="C2451" t="s">
        <v>898</v>
      </c>
    </row>
    <row r="2452">
      <c r="C2452" t="s">
        <v>898</v>
      </c>
    </row>
    <row r="2453">
      <c r="C2453" t="s">
        <v>898</v>
      </c>
    </row>
    <row r="2454">
      <c r="C2454" t="s">
        <v>898</v>
      </c>
    </row>
    <row r="2455">
      <c r="C2455" t="s">
        <v>898</v>
      </c>
    </row>
    <row r="2456">
      <c r="C2456" t="s">
        <v>898</v>
      </c>
    </row>
    <row r="2457">
      <c r="C2457" t="s">
        <v>898</v>
      </c>
    </row>
    <row r="2458">
      <c r="C2458" t="s">
        <v>898</v>
      </c>
    </row>
    <row r="2459">
      <c r="C2459" t="s">
        <v>898</v>
      </c>
    </row>
    <row r="2460">
      <c r="C2460" t="s">
        <v>898</v>
      </c>
    </row>
    <row r="2461">
      <c r="C2461" t="s">
        <v>898</v>
      </c>
    </row>
    <row r="2462">
      <c r="C2462" t="s">
        <v>898</v>
      </c>
    </row>
    <row r="2463">
      <c r="C2463" t="s">
        <v>898</v>
      </c>
    </row>
    <row r="2464">
      <c r="C2464" t="s">
        <v>898</v>
      </c>
    </row>
    <row r="2465">
      <c r="C2465" t="s">
        <v>898</v>
      </c>
    </row>
    <row r="2466">
      <c r="C2466" t="s">
        <v>898</v>
      </c>
    </row>
    <row r="2467">
      <c r="C2467" t="s">
        <v>898</v>
      </c>
    </row>
    <row r="2468">
      <c r="C2468" t="s">
        <v>898</v>
      </c>
    </row>
    <row r="2469">
      <c r="C2469" t="s">
        <v>898</v>
      </c>
    </row>
    <row r="2470">
      <c r="C2470" t="s">
        <v>898</v>
      </c>
    </row>
    <row r="2471">
      <c r="C2471" t="s">
        <v>898</v>
      </c>
    </row>
    <row r="2472">
      <c r="C2472" t="s">
        <v>898</v>
      </c>
    </row>
    <row r="2473">
      <c r="C2473" t="s">
        <v>898</v>
      </c>
    </row>
    <row r="2474">
      <c r="C2474" t="s">
        <v>898</v>
      </c>
    </row>
    <row r="2475">
      <c r="C2475" t="s">
        <v>898</v>
      </c>
    </row>
    <row r="2476">
      <c r="C2476" t="s">
        <v>898</v>
      </c>
    </row>
    <row r="2477">
      <c r="C2477" t="s">
        <v>898</v>
      </c>
    </row>
    <row r="2478">
      <c r="C2478" t="s">
        <v>898</v>
      </c>
    </row>
    <row r="2479">
      <c r="C2479" t="s">
        <v>898</v>
      </c>
    </row>
    <row r="2480">
      <c r="C2480" t="s">
        <v>898</v>
      </c>
    </row>
    <row r="2481">
      <c r="C2481" t="s">
        <v>898</v>
      </c>
    </row>
    <row r="2482">
      <c r="C2482" t="s">
        <v>898</v>
      </c>
    </row>
    <row r="2483">
      <c r="C2483" t="s">
        <v>898</v>
      </c>
    </row>
    <row r="2484">
      <c r="C2484" t="s">
        <v>898</v>
      </c>
    </row>
    <row r="2485">
      <c r="C2485" t="s">
        <v>898</v>
      </c>
    </row>
    <row r="2486">
      <c r="C2486" t="s">
        <v>898</v>
      </c>
    </row>
    <row r="2487">
      <c r="C2487" t="s">
        <v>898</v>
      </c>
    </row>
    <row r="2488">
      <c r="C2488" t="s">
        <v>898</v>
      </c>
    </row>
    <row r="2489">
      <c r="C2489" t="s">
        <v>898</v>
      </c>
    </row>
    <row r="2490">
      <c r="C2490" t="s">
        <v>898</v>
      </c>
    </row>
    <row r="2491">
      <c r="C2491" t="s">
        <v>898</v>
      </c>
    </row>
    <row r="2492">
      <c r="C2492" t="s">
        <v>898</v>
      </c>
    </row>
    <row r="2493">
      <c r="C2493" t="s">
        <v>898</v>
      </c>
    </row>
    <row r="2494">
      <c r="C2494" t="s">
        <v>898</v>
      </c>
    </row>
    <row r="2495">
      <c r="C2495" t="s">
        <v>898</v>
      </c>
    </row>
    <row r="2496">
      <c r="C2496" t="s">
        <v>898</v>
      </c>
    </row>
    <row r="2497">
      <c r="C2497" t="s">
        <v>898</v>
      </c>
    </row>
    <row r="2498">
      <c r="C2498" t="s">
        <v>898</v>
      </c>
    </row>
    <row r="2499">
      <c r="C2499" t="s">
        <v>898</v>
      </c>
    </row>
    <row r="2500">
      <c r="C2500" t="s">
        <v>898</v>
      </c>
    </row>
    <row r="2501">
      <c r="C2501" t="s">
        <v>898</v>
      </c>
    </row>
    <row r="2502">
      <c r="C2502" t="s">
        <v>898</v>
      </c>
    </row>
    <row r="2503">
      <c r="C2503" t="s">
        <v>898</v>
      </c>
    </row>
    <row r="2504">
      <c r="C2504" t="s">
        <v>898</v>
      </c>
    </row>
    <row r="2505">
      <c r="C2505" t="s">
        <v>898</v>
      </c>
    </row>
    <row r="2506">
      <c r="C2506" t="s">
        <v>898</v>
      </c>
    </row>
    <row r="2507">
      <c r="C2507" t="s">
        <v>898</v>
      </c>
    </row>
    <row r="2508">
      <c r="C2508" t="s">
        <v>898</v>
      </c>
    </row>
    <row r="2509">
      <c r="C2509" t="s">
        <v>898</v>
      </c>
    </row>
    <row r="2510">
      <c r="C2510" t="s">
        <v>898</v>
      </c>
    </row>
    <row r="2511">
      <c r="C2511" t="s">
        <v>898</v>
      </c>
    </row>
    <row r="2512">
      <c r="C2512" t="s">
        <v>898</v>
      </c>
    </row>
    <row r="2513">
      <c r="C2513" t="s">
        <v>898</v>
      </c>
    </row>
    <row r="2514">
      <c r="C2514" t="s">
        <v>898</v>
      </c>
    </row>
    <row r="2515">
      <c r="C2515" t="s">
        <v>898</v>
      </c>
    </row>
    <row r="2516">
      <c r="C2516" t="s">
        <v>898</v>
      </c>
    </row>
    <row r="2517">
      <c r="C2517" t="s">
        <v>898</v>
      </c>
    </row>
    <row r="2518">
      <c r="C2518" t="s">
        <v>898</v>
      </c>
    </row>
    <row r="2519">
      <c r="C2519" t="s">
        <v>898</v>
      </c>
    </row>
    <row r="2520">
      <c r="C2520" t="s">
        <v>898</v>
      </c>
    </row>
    <row r="2521">
      <c r="C2521" t="s">
        <v>898</v>
      </c>
    </row>
    <row r="2522">
      <c r="C2522" t="s">
        <v>898</v>
      </c>
    </row>
    <row r="2523">
      <c r="C2523" t="s">
        <v>898</v>
      </c>
    </row>
    <row r="2524">
      <c r="C2524" t="s">
        <v>898</v>
      </c>
    </row>
    <row r="2525">
      <c r="C2525" t="s">
        <v>898</v>
      </c>
    </row>
    <row r="2526">
      <c r="C2526" t="s">
        <v>898</v>
      </c>
    </row>
    <row r="2527">
      <c r="C2527" t="s">
        <v>898</v>
      </c>
    </row>
    <row r="2528">
      <c r="C2528" t="s">
        <v>898</v>
      </c>
    </row>
    <row r="2529">
      <c r="C2529" t="s">
        <v>898</v>
      </c>
    </row>
    <row r="2530">
      <c r="C2530" t="s">
        <v>898</v>
      </c>
    </row>
    <row r="2531">
      <c r="C2531" t="s">
        <v>898</v>
      </c>
    </row>
    <row r="2532">
      <c r="C2532" t="s">
        <v>898</v>
      </c>
    </row>
    <row r="2533">
      <c r="C2533" t="s">
        <v>898</v>
      </c>
    </row>
    <row r="2534">
      <c r="C2534" t="s">
        <v>898</v>
      </c>
    </row>
    <row r="2535">
      <c r="C2535" t="s">
        <v>898</v>
      </c>
    </row>
    <row r="2536">
      <c r="C2536" t="s">
        <v>898</v>
      </c>
    </row>
    <row r="2537">
      <c r="C2537" t="s">
        <v>898</v>
      </c>
    </row>
    <row r="2538">
      <c r="C2538" t="s">
        <v>898</v>
      </c>
    </row>
    <row r="2539">
      <c r="C2539" t="s">
        <v>898</v>
      </c>
    </row>
    <row r="2540">
      <c r="C2540" t="s">
        <v>898</v>
      </c>
    </row>
    <row r="2541">
      <c r="C2541" t="s">
        <v>898</v>
      </c>
    </row>
    <row r="2542">
      <c r="C2542" t="s">
        <v>898</v>
      </c>
    </row>
    <row r="2543">
      <c r="C2543" t="s">
        <v>898</v>
      </c>
    </row>
    <row r="2544">
      <c r="C2544" t="s">
        <v>898</v>
      </c>
    </row>
    <row r="2545">
      <c r="C2545" t="s">
        <v>898</v>
      </c>
    </row>
    <row r="2546">
      <c r="C2546" t="s">
        <v>898</v>
      </c>
    </row>
    <row r="2547">
      <c r="C2547" t="s">
        <v>898</v>
      </c>
    </row>
    <row r="2548">
      <c r="C2548" t="s">
        <v>898</v>
      </c>
    </row>
    <row r="2549">
      <c r="C2549" t="s">
        <v>898</v>
      </c>
    </row>
    <row r="2550">
      <c r="C2550" t="s">
        <v>898</v>
      </c>
    </row>
    <row r="2551">
      <c r="C2551" t="s">
        <v>898</v>
      </c>
    </row>
    <row r="2552">
      <c r="C2552" t="s">
        <v>898</v>
      </c>
    </row>
    <row r="2553">
      <c r="C2553" t="s">
        <v>898</v>
      </c>
    </row>
    <row r="2554">
      <c r="C2554" t="s">
        <v>898</v>
      </c>
    </row>
    <row r="2555">
      <c r="C2555" t="s">
        <v>898</v>
      </c>
    </row>
    <row r="2556">
      <c r="C2556" t="s">
        <v>898</v>
      </c>
    </row>
    <row r="2557">
      <c r="C2557" t="s">
        <v>898</v>
      </c>
    </row>
    <row r="2558">
      <c r="C2558" t="s">
        <v>898</v>
      </c>
    </row>
    <row r="2559">
      <c r="C2559" t="s">
        <v>898</v>
      </c>
    </row>
    <row r="2560">
      <c r="C2560" t="s">
        <v>898</v>
      </c>
    </row>
    <row r="2561">
      <c r="C2561" t="s">
        <v>898</v>
      </c>
    </row>
    <row r="2562">
      <c r="C2562" t="s">
        <v>898</v>
      </c>
    </row>
    <row r="2563">
      <c r="C2563" t="s">
        <v>898</v>
      </c>
    </row>
    <row r="2564">
      <c r="C2564" t="s">
        <v>898</v>
      </c>
    </row>
    <row r="2565">
      <c r="C2565" t="s">
        <v>898</v>
      </c>
    </row>
    <row r="2566">
      <c r="C2566" t="s">
        <v>898</v>
      </c>
    </row>
    <row r="2567">
      <c r="C2567" t="s">
        <v>898</v>
      </c>
    </row>
    <row r="2568">
      <c r="C2568" t="s">
        <v>898</v>
      </c>
    </row>
    <row r="2569">
      <c r="C2569" t="s">
        <v>898</v>
      </c>
    </row>
    <row r="2570">
      <c r="C2570" t="s">
        <v>898</v>
      </c>
    </row>
    <row r="2571">
      <c r="C2571" t="s">
        <v>898</v>
      </c>
    </row>
    <row r="2572">
      <c r="C2572" t="s">
        <v>898</v>
      </c>
    </row>
    <row r="2573">
      <c r="C2573" t="s">
        <v>898</v>
      </c>
    </row>
    <row r="2574">
      <c r="C2574" t="s">
        <v>898</v>
      </c>
    </row>
    <row r="2575">
      <c r="C2575" t="s">
        <v>898</v>
      </c>
    </row>
    <row r="2576">
      <c r="C2576" t="s">
        <v>898</v>
      </c>
    </row>
    <row r="2577">
      <c r="C2577" t="s">
        <v>898</v>
      </c>
    </row>
    <row r="2578">
      <c r="C2578" t="s">
        <v>898</v>
      </c>
    </row>
    <row r="2579">
      <c r="C2579" t="s">
        <v>898</v>
      </c>
    </row>
    <row r="2580">
      <c r="C2580" t="s">
        <v>898</v>
      </c>
    </row>
    <row r="2581">
      <c r="C2581" t="s">
        <v>898</v>
      </c>
    </row>
    <row r="2582">
      <c r="C2582" t="s">
        <v>898</v>
      </c>
    </row>
    <row r="2583">
      <c r="C2583" t="s">
        <v>898</v>
      </c>
    </row>
    <row r="2584">
      <c r="C2584" t="s">
        <v>898</v>
      </c>
    </row>
    <row r="2585">
      <c r="C2585" t="s">
        <v>898</v>
      </c>
    </row>
    <row r="2586">
      <c r="C2586" t="s">
        <v>898</v>
      </c>
    </row>
    <row r="2587">
      <c r="C2587" t="s">
        <v>898</v>
      </c>
    </row>
    <row r="2588">
      <c r="C2588" t="s">
        <v>898</v>
      </c>
    </row>
    <row r="2589">
      <c r="C2589" t="s">
        <v>898</v>
      </c>
    </row>
    <row r="2590">
      <c r="C2590" t="s">
        <v>898</v>
      </c>
    </row>
    <row r="2591">
      <c r="C2591" t="s">
        <v>898</v>
      </c>
    </row>
    <row r="2592">
      <c r="C2592" t="s">
        <v>898</v>
      </c>
    </row>
    <row r="2593">
      <c r="C2593" t="s">
        <v>898</v>
      </c>
    </row>
    <row r="2594">
      <c r="C2594" t="s">
        <v>898</v>
      </c>
    </row>
    <row r="2595">
      <c r="C2595" t="s">
        <v>898</v>
      </c>
    </row>
    <row r="2596">
      <c r="C2596" t="s">
        <v>898</v>
      </c>
    </row>
    <row r="2597">
      <c r="C2597" t="s">
        <v>898</v>
      </c>
    </row>
    <row r="2598">
      <c r="C2598" t="s">
        <v>898</v>
      </c>
    </row>
    <row r="2599">
      <c r="C2599" t="s">
        <v>898</v>
      </c>
    </row>
    <row r="2600">
      <c r="C2600" t="s">
        <v>898</v>
      </c>
    </row>
    <row r="2601">
      <c r="C2601" t="s">
        <v>898</v>
      </c>
    </row>
    <row r="2602">
      <c r="C2602" t="s">
        <v>898</v>
      </c>
    </row>
    <row r="2603">
      <c r="C2603" t="s">
        <v>898</v>
      </c>
    </row>
    <row r="2604">
      <c r="C2604" t="s">
        <v>898</v>
      </c>
    </row>
    <row r="2605">
      <c r="C2605" t="s">
        <v>898</v>
      </c>
    </row>
    <row r="2606">
      <c r="C2606" t="s">
        <v>898</v>
      </c>
    </row>
    <row r="2607">
      <c r="C2607" t="s">
        <v>898</v>
      </c>
    </row>
    <row r="2608">
      <c r="C2608" t="s">
        <v>898</v>
      </c>
    </row>
    <row r="2609">
      <c r="C2609" t="s">
        <v>898</v>
      </c>
    </row>
    <row r="2610">
      <c r="C2610" t="s">
        <v>898</v>
      </c>
    </row>
    <row r="2611">
      <c r="C2611" t="s">
        <v>898</v>
      </c>
    </row>
    <row r="2612">
      <c r="C2612" t="s">
        <v>898</v>
      </c>
    </row>
    <row r="2613">
      <c r="C2613" t="s">
        <v>898</v>
      </c>
    </row>
    <row r="2614">
      <c r="C2614" t="s">
        <v>898</v>
      </c>
    </row>
    <row r="2615">
      <c r="C2615" t="s">
        <v>898</v>
      </c>
    </row>
    <row r="2616">
      <c r="C2616" t="s">
        <v>898</v>
      </c>
    </row>
    <row r="2617">
      <c r="C2617" t="s">
        <v>898</v>
      </c>
    </row>
    <row r="2618">
      <c r="C2618" t="s">
        <v>898</v>
      </c>
    </row>
    <row r="2619">
      <c r="C2619" t="s">
        <v>898</v>
      </c>
    </row>
    <row r="2620">
      <c r="C2620" t="s">
        <v>898</v>
      </c>
    </row>
    <row r="2621">
      <c r="C2621" t="s">
        <v>898</v>
      </c>
    </row>
    <row r="2622">
      <c r="C2622" t="s">
        <v>898</v>
      </c>
    </row>
    <row r="2623">
      <c r="C2623" t="s">
        <v>898</v>
      </c>
    </row>
    <row r="2624">
      <c r="C2624" t="s">
        <v>898</v>
      </c>
    </row>
    <row r="2625">
      <c r="C2625" t="s">
        <v>898</v>
      </c>
    </row>
    <row r="2626">
      <c r="C2626" t="s">
        <v>898</v>
      </c>
    </row>
    <row r="2627">
      <c r="C2627" t="s">
        <v>898</v>
      </c>
    </row>
    <row r="2628">
      <c r="C2628" t="s">
        <v>898</v>
      </c>
    </row>
    <row r="2629">
      <c r="C2629" t="s">
        <v>898</v>
      </c>
    </row>
    <row r="2630">
      <c r="C2630" t="s">
        <v>898</v>
      </c>
    </row>
    <row r="2631">
      <c r="C2631" t="s">
        <v>898</v>
      </c>
    </row>
    <row r="2632">
      <c r="C2632" t="s">
        <v>898</v>
      </c>
    </row>
    <row r="2633">
      <c r="C2633" t="s">
        <v>898</v>
      </c>
    </row>
    <row r="2634">
      <c r="C2634" t="s">
        <v>898</v>
      </c>
    </row>
    <row r="2635">
      <c r="C2635" t="s">
        <v>898</v>
      </c>
    </row>
    <row r="2636">
      <c r="C2636" t="s">
        <v>898</v>
      </c>
    </row>
    <row r="2637">
      <c r="C2637" t="s">
        <v>898</v>
      </c>
    </row>
    <row r="2638">
      <c r="C2638" t="s">
        <v>898</v>
      </c>
    </row>
    <row r="2639">
      <c r="C2639" t="s">
        <v>898</v>
      </c>
    </row>
    <row r="2640">
      <c r="C2640" t="s">
        <v>898</v>
      </c>
    </row>
    <row r="2641">
      <c r="C2641" t="s">
        <v>898</v>
      </c>
    </row>
    <row r="2642">
      <c r="C2642" t="s">
        <v>898</v>
      </c>
    </row>
    <row r="2643">
      <c r="C2643" t="s">
        <v>898</v>
      </c>
    </row>
    <row r="2644">
      <c r="C2644" t="s">
        <v>898</v>
      </c>
    </row>
    <row r="2645">
      <c r="C2645" t="s">
        <v>898</v>
      </c>
    </row>
    <row r="2646">
      <c r="C2646" t="s">
        <v>898</v>
      </c>
    </row>
    <row r="2647">
      <c r="C2647" t="s">
        <v>898</v>
      </c>
    </row>
    <row r="2648">
      <c r="C2648" t="s">
        <v>898</v>
      </c>
    </row>
    <row r="2649">
      <c r="C2649" t="s">
        <v>898</v>
      </c>
    </row>
    <row r="2650">
      <c r="C2650" t="s">
        <v>898</v>
      </c>
    </row>
    <row r="2651">
      <c r="C2651" t="s">
        <v>898</v>
      </c>
    </row>
    <row r="2652">
      <c r="C2652" t="s">
        <v>898</v>
      </c>
    </row>
    <row r="2653">
      <c r="C2653" t="s">
        <v>898</v>
      </c>
    </row>
    <row r="2654">
      <c r="C2654" t="s">
        <v>898</v>
      </c>
    </row>
    <row r="2655">
      <c r="C2655" t="s">
        <v>898</v>
      </c>
    </row>
    <row r="2656">
      <c r="C2656" t="s">
        <v>898</v>
      </c>
    </row>
    <row r="2657">
      <c r="C2657" t="s">
        <v>898</v>
      </c>
    </row>
    <row r="2658">
      <c r="C2658" t="s">
        <v>898</v>
      </c>
    </row>
    <row r="2659">
      <c r="C2659" t="s">
        <v>898</v>
      </c>
    </row>
    <row r="2660">
      <c r="C2660" t="s">
        <v>898</v>
      </c>
    </row>
    <row r="2661">
      <c r="C2661" t="s">
        <v>898</v>
      </c>
    </row>
    <row r="2662">
      <c r="C2662" t="s">
        <v>898</v>
      </c>
    </row>
    <row r="2663">
      <c r="C2663" t="s">
        <v>898</v>
      </c>
    </row>
    <row r="2664">
      <c r="C2664" t="s">
        <v>898</v>
      </c>
    </row>
    <row r="2665">
      <c r="C2665" t="s">
        <v>898</v>
      </c>
    </row>
    <row r="2666">
      <c r="C2666" t="s">
        <v>898</v>
      </c>
    </row>
    <row r="2667">
      <c r="C2667" t="s">
        <v>898</v>
      </c>
    </row>
    <row r="2668">
      <c r="C2668" t="s">
        <v>898</v>
      </c>
    </row>
    <row r="2669">
      <c r="C2669" t="s">
        <v>898</v>
      </c>
    </row>
    <row r="2670">
      <c r="C2670" t="s">
        <v>898</v>
      </c>
    </row>
    <row r="2671">
      <c r="C2671" t="s">
        <v>898</v>
      </c>
    </row>
    <row r="2672">
      <c r="C2672" t="s">
        <v>898</v>
      </c>
    </row>
    <row r="2673">
      <c r="C2673" t="s">
        <v>898</v>
      </c>
    </row>
    <row r="2674">
      <c r="C2674" t="s">
        <v>898</v>
      </c>
    </row>
    <row r="2675">
      <c r="C2675" t="s">
        <v>898</v>
      </c>
    </row>
    <row r="2676">
      <c r="C2676" t="s">
        <v>898</v>
      </c>
    </row>
    <row r="2677">
      <c r="C2677" t="s">
        <v>898</v>
      </c>
    </row>
    <row r="2678">
      <c r="C2678" t="s">
        <v>898</v>
      </c>
    </row>
    <row r="2679">
      <c r="C2679" t="s">
        <v>898</v>
      </c>
    </row>
    <row r="2680">
      <c r="C2680" t="s">
        <v>898</v>
      </c>
    </row>
    <row r="2681">
      <c r="C2681" t="s">
        <v>898</v>
      </c>
    </row>
    <row r="2682">
      <c r="C2682" t="s">
        <v>898</v>
      </c>
    </row>
    <row r="2683">
      <c r="C2683" t="s">
        <v>898</v>
      </c>
    </row>
    <row r="2684">
      <c r="C2684" t="s">
        <v>898</v>
      </c>
    </row>
    <row r="2685">
      <c r="C2685" t="s">
        <v>898</v>
      </c>
    </row>
    <row r="2686">
      <c r="C2686" t="s">
        <v>898</v>
      </c>
    </row>
    <row r="2687">
      <c r="C2687" t="s">
        <v>898</v>
      </c>
    </row>
    <row r="2688">
      <c r="C2688" t="s">
        <v>898</v>
      </c>
    </row>
    <row r="2689">
      <c r="C2689" t="s">
        <v>898</v>
      </c>
    </row>
    <row r="2690">
      <c r="C2690" t="s">
        <v>898</v>
      </c>
    </row>
    <row r="2691">
      <c r="C2691" t="s">
        <v>898</v>
      </c>
    </row>
    <row r="2692">
      <c r="C2692" t="s">
        <v>898</v>
      </c>
    </row>
    <row r="2693">
      <c r="C2693" t="s">
        <v>898</v>
      </c>
    </row>
    <row r="2694">
      <c r="C2694" t="s">
        <v>898</v>
      </c>
    </row>
    <row r="2695">
      <c r="C2695" t="s">
        <v>898</v>
      </c>
    </row>
    <row r="2696">
      <c r="C2696" t="s">
        <v>898</v>
      </c>
    </row>
    <row r="2697">
      <c r="C2697" t="s">
        <v>898</v>
      </c>
    </row>
    <row r="2698">
      <c r="C2698" t="s">
        <v>898</v>
      </c>
    </row>
    <row r="2699">
      <c r="C2699" t="s">
        <v>898</v>
      </c>
    </row>
    <row r="2700">
      <c r="C2700" t="s">
        <v>898</v>
      </c>
    </row>
    <row r="2701">
      <c r="C2701" t="s">
        <v>898</v>
      </c>
    </row>
    <row r="2702">
      <c r="C2702" t="s">
        <v>898</v>
      </c>
    </row>
    <row r="2703">
      <c r="C2703" t="s">
        <v>898</v>
      </c>
    </row>
    <row r="2704">
      <c r="C2704" t="s">
        <v>898</v>
      </c>
    </row>
    <row r="2705">
      <c r="C2705" t="s">
        <v>898</v>
      </c>
    </row>
    <row r="2706">
      <c r="C2706" t="s">
        <v>898</v>
      </c>
    </row>
    <row r="2707">
      <c r="C2707" t="s">
        <v>898</v>
      </c>
    </row>
    <row r="2708">
      <c r="C2708" t="s">
        <v>898</v>
      </c>
    </row>
    <row r="2709">
      <c r="C2709" t="s">
        <v>898</v>
      </c>
    </row>
    <row r="2710">
      <c r="C2710" t="s">
        <v>898</v>
      </c>
    </row>
    <row r="2711">
      <c r="C2711" t="s">
        <v>898</v>
      </c>
    </row>
    <row r="2712">
      <c r="C2712" t="s">
        <v>898</v>
      </c>
    </row>
    <row r="2713">
      <c r="C2713" t="s">
        <v>898</v>
      </c>
    </row>
    <row r="2714">
      <c r="C2714" t="s">
        <v>898</v>
      </c>
    </row>
    <row r="2715">
      <c r="C2715" t="s">
        <v>898</v>
      </c>
    </row>
    <row r="2716">
      <c r="C2716" t="s">
        <v>898</v>
      </c>
    </row>
    <row r="2717">
      <c r="C2717" t="s">
        <v>898</v>
      </c>
    </row>
    <row r="2718">
      <c r="C2718" t="s">
        <v>898</v>
      </c>
    </row>
    <row r="2719">
      <c r="C2719" t="s">
        <v>898</v>
      </c>
    </row>
    <row r="2720">
      <c r="C2720" t="s">
        <v>898</v>
      </c>
    </row>
    <row r="2721">
      <c r="C2721" t="s">
        <v>898</v>
      </c>
    </row>
    <row r="2722">
      <c r="C2722" t="s">
        <v>898</v>
      </c>
    </row>
    <row r="2723">
      <c r="C2723" t="s">
        <v>898</v>
      </c>
    </row>
    <row r="2724">
      <c r="C2724" t="s">
        <v>898</v>
      </c>
    </row>
    <row r="2725">
      <c r="C2725" t="s">
        <v>898</v>
      </c>
    </row>
    <row r="2726">
      <c r="C2726" t="s">
        <v>898</v>
      </c>
    </row>
    <row r="2727">
      <c r="C2727" t="s">
        <v>898</v>
      </c>
    </row>
    <row r="2728">
      <c r="C2728" t="s">
        <v>898</v>
      </c>
    </row>
    <row r="2729">
      <c r="C2729" t="s">
        <v>898</v>
      </c>
    </row>
    <row r="2730">
      <c r="C2730" t="s">
        <v>898</v>
      </c>
    </row>
    <row r="2731">
      <c r="C2731" t="s">
        <v>898</v>
      </c>
    </row>
    <row r="2732">
      <c r="C2732" t="s">
        <v>898</v>
      </c>
    </row>
    <row r="2733">
      <c r="C2733" t="s">
        <v>898</v>
      </c>
    </row>
    <row r="2734">
      <c r="C2734" t="s">
        <v>898</v>
      </c>
    </row>
    <row r="2735">
      <c r="C2735" t="s">
        <v>898</v>
      </c>
    </row>
    <row r="2736">
      <c r="C2736" t="s">
        <v>898</v>
      </c>
    </row>
    <row r="2737">
      <c r="C2737" t="s">
        <v>898</v>
      </c>
    </row>
    <row r="2738">
      <c r="C2738" t="s">
        <v>898</v>
      </c>
    </row>
    <row r="2739">
      <c r="C2739" t="s">
        <v>898</v>
      </c>
    </row>
    <row r="2740">
      <c r="C2740" t="s">
        <v>898</v>
      </c>
    </row>
    <row r="2741">
      <c r="C2741" t="s">
        <v>898</v>
      </c>
    </row>
    <row r="2742">
      <c r="C2742" t="s">
        <v>898</v>
      </c>
    </row>
    <row r="2743">
      <c r="C2743" t="s">
        <v>898</v>
      </c>
    </row>
    <row r="2744">
      <c r="C2744" t="s">
        <v>898</v>
      </c>
    </row>
    <row r="2745">
      <c r="C2745" t="s">
        <v>898</v>
      </c>
    </row>
    <row r="2746">
      <c r="C2746" t="s">
        <v>898</v>
      </c>
    </row>
    <row r="2747">
      <c r="C2747" t="s">
        <v>898</v>
      </c>
    </row>
    <row r="2748">
      <c r="C2748" t="s">
        <v>898</v>
      </c>
    </row>
    <row r="2749">
      <c r="C2749" t="s">
        <v>898</v>
      </c>
    </row>
    <row r="2750">
      <c r="C2750" t="s">
        <v>898</v>
      </c>
    </row>
    <row r="2751">
      <c r="C2751" t="s">
        <v>898</v>
      </c>
    </row>
    <row r="2752">
      <c r="C2752" t="s">
        <v>898</v>
      </c>
    </row>
    <row r="2753">
      <c r="C2753" t="s">
        <v>898</v>
      </c>
    </row>
    <row r="2754">
      <c r="C2754" t="s">
        <v>898</v>
      </c>
    </row>
    <row r="2755">
      <c r="C2755" t="s">
        <v>898</v>
      </c>
    </row>
    <row r="2756">
      <c r="C2756" t="s">
        <v>898</v>
      </c>
    </row>
    <row r="2757">
      <c r="C2757" t="s">
        <v>898</v>
      </c>
    </row>
    <row r="2758">
      <c r="C2758" t="s">
        <v>898</v>
      </c>
    </row>
    <row r="2759">
      <c r="C2759" t="s">
        <v>898</v>
      </c>
    </row>
    <row r="2760">
      <c r="C2760" t="s">
        <v>898</v>
      </c>
    </row>
    <row r="2761">
      <c r="C2761" t="s">
        <v>898</v>
      </c>
    </row>
    <row r="2762">
      <c r="C2762" t="s">
        <v>898</v>
      </c>
    </row>
    <row r="2763">
      <c r="C2763" t="s">
        <v>898</v>
      </c>
    </row>
    <row r="2764">
      <c r="C2764" t="s">
        <v>898</v>
      </c>
    </row>
    <row r="2765">
      <c r="C2765" t="s">
        <v>898</v>
      </c>
    </row>
    <row r="2766">
      <c r="C2766" t="s">
        <v>898</v>
      </c>
    </row>
    <row r="2767">
      <c r="C2767" t="s">
        <v>898</v>
      </c>
    </row>
    <row r="2768">
      <c r="C2768" t="s">
        <v>898</v>
      </c>
    </row>
    <row r="2769">
      <c r="C2769" t="s">
        <v>898</v>
      </c>
    </row>
    <row r="2770">
      <c r="C2770" t="s">
        <v>898</v>
      </c>
    </row>
    <row r="2771">
      <c r="C2771" t="s">
        <v>898</v>
      </c>
    </row>
    <row r="2772">
      <c r="C2772" t="s">
        <v>898</v>
      </c>
    </row>
    <row r="2773">
      <c r="C2773" t="s">
        <v>898</v>
      </c>
    </row>
    <row r="2774">
      <c r="C2774" t="s">
        <v>898</v>
      </c>
    </row>
    <row r="2775">
      <c r="C2775" t="s">
        <v>898</v>
      </c>
    </row>
    <row r="2776">
      <c r="C2776" t="s">
        <v>898</v>
      </c>
    </row>
    <row r="2777">
      <c r="C2777" t="s">
        <v>898</v>
      </c>
    </row>
    <row r="2778">
      <c r="C2778" t="s">
        <v>898</v>
      </c>
    </row>
    <row r="2779">
      <c r="C2779" t="s">
        <v>898</v>
      </c>
    </row>
    <row r="2780">
      <c r="C2780" t="s">
        <v>898</v>
      </c>
    </row>
    <row r="2781">
      <c r="C2781" t="s">
        <v>898</v>
      </c>
    </row>
    <row r="2782">
      <c r="C2782" t="s">
        <v>898</v>
      </c>
    </row>
    <row r="2783">
      <c r="C2783" t="s">
        <v>898</v>
      </c>
    </row>
    <row r="2784">
      <c r="C2784" t="s">
        <v>898</v>
      </c>
    </row>
    <row r="2785">
      <c r="C2785" t="s">
        <v>898</v>
      </c>
    </row>
    <row r="2786">
      <c r="C2786" t="s">
        <v>898</v>
      </c>
    </row>
    <row r="2787">
      <c r="C2787" t="s">
        <v>898</v>
      </c>
    </row>
    <row r="2788">
      <c r="C2788" t="s">
        <v>898</v>
      </c>
    </row>
    <row r="2789">
      <c r="C2789" t="s">
        <v>898</v>
      </c>
    </row>
    <row r="2790">
      <c r="C2790" t="s">
        <v>898</v>
      </c>
    </row>
    <row r="2791">
      <c r="C2791" t="s">
        <v>898</v>
      </c>
    </row>
    <row r="2792">
      <c r="C2792" t="s">
        <v>898</v>
      </c>
    </row>
    <row r="2793">
      <c r="C2793" t="s">
        <v>898</v>
      </c>
    </row>
    <row r="2794">
      <c r="C2794" t="s">
        <v>898</v>
      </c>
    </row>
    <row r="2795">
      <c r="C2795" t="s">
        <v>898</v>
      </c>
    </row>
    <row r="2796">
      <c r="C2796" t="s">
        <v>898</v>
      </c>
    </row>
    <row r="2797">
      <c r="C2797" t="s">
        <v>898</v>
      </c>
    </row>
    <row r="2798">
      <c r="C2798" t="s">
        <v>898</v>
      </c>
    </row>
    <row r="2799">
      <c r="C2799" t="s">
        <v>898</v>
      </c>
    </row>
    <row r="2800">
      <c r="C2800" t="s">
        <v>898</v>
      </c>
    </row>
    <row r="2801">
      <c r="C2801" t="s">
        <v>898</v>
      </c>
    </row>
    <row r="2802">
      <c r="C2802" t="s">
        <v>898</v>
      </c>
    </row>
    <row r="2803">
      <c r="C2803" t="s">
        <v>898</v>
      </c>
    </row>
    <row r="2804">
      <c r="C2804" t="s">
        <v>898</v>
      </c>
    </row>
    <row r="2805">
      <c r="C2805" t="s">
        <v>898</v>
      </c>
    </row>
    <row r="2806">
      <c r="C2806" t="s">
        <v>898</v>
      </c>
    </row>
    <row r="2807">
      <c r="C2807" t="s">
        <v>898</v>
      </c>
    </row>
    <row r="2808">
      <c r="C2808" t="s">
        <v>898</v>
      </c>
    </row>
    <row r="2809">
      <c r="C2809" t="s">
        <v>898</v>
      </c>
    </row>
    <row r="2810">
      <c r="C2810" t="s">
        <v>898</v>
      </c>
    </row>
    <row r="2811">
      <c r="C2811" t="s">
        <v>898</v>
      </c>
    </row>
    <row r="2812">
      <c r="C2812" t="s">
        <v>898</v>
      </c>
    </row>
    <row r="2813">
      <c r="C2813" t="s">
        <v>898</v>
      </c>
    </row>
    <row r="2814">
      <c r="C2814" t="s">
        <v>898</v>
      </c>
    </row>
    <row r="2815">
      <c r="C2815" t="s">
        <v>898</v>
      </c>
    </row>
    <row r="2816">
      <c r="C2816" t="s">
        <v>898</v>
      </c>
    </row>
    <row r="2817">
      <c r="C2817" t="s">
        <v>898</v>
      </c>
    </row>
    <row r="2818">
      <c r="C2818" t="s">
        <v>898</v>
      </c>
    </row>
    <row r="2819">
      <c r="C2819" t="s">
        <v>898</v>
      </c>
    </row>
    <row r="2820">
      <c r="C2820" t="s">
        <v>898</v>
      </c>
    </row>
    <row r="2821">
      <c r="C2821" t="s">
        <v>898</v>
      </c>
    </row>
    <row r="2822">
      <c r="C2822" t="s">
        <v>898</v>
      </c>
    </row>
    <row r="2823">
      <c r="C2823" t="s">
        <v>898</v>
      </c>
    </row>
    <row r="2824">
      <c r="C2824" t="s">
        <v>898</v>
      </c>
    </row>
    <row r="2825">
      <c r="C2825" t="s">
        <v>898</v>
      </c>
    </row>
    <row r="2826">
      <c r="C2826" t="s">
        <v>898</v>
      </c>
    </row>
    <row r="2827">
      <c r="C2827" t="s">
        <v>898</v>
      </c>
    </row>
    <row r="2828">
      <c r="C2828" t="s">
        <v>898</v>
      </c>
    </row>
    <row r="2829">
      <c r="C2829" t="s">
        <v>898</v>
      </c>
    </row>
    <row r="2830">
      <c r="C2830" t="s">
        <v>898</v>
      </c>
    </row>
    <row r="2831">
      <c r="C2831" t="s">
        <v>898</v>
      </c>
    </row>
    <row r="2832">
      <c r="C2832" t="s">
        <v>898</v>
      </c>
    </row>
    <row r="2833">
      <c r="C2833" t="s">
        <v>898</v>
      </c>
    </row>
    <row r="2834">
      <c r="C2834" t="s">
        <v>898</v>
      </c>
    </row>
    <row r="2835">
      <c r="C2835" t="s">
        <v>898</v>
      </c>
    </row>
    <row r="2836">
      <c r="C2836" t="s">
        <v>898</v>
      </c>
    </row>
    <row r="2837">
      <c r="C2837" t="s">
        <v>898</v>
      </c>
    </row>
    <row r="2838">
      <c r="C2838" t="s">
        <v>898</v>
      </c>
    </row>
    <row r="2839">
      <c r="C2839" t="s">
        <v>898</v>
      </c>
    </row>
    <row r="2840">
      <c r="C2840" t="s">
        <v>898</v>
      </c>
    </row>
    <row r="2841">
      <c r="C2841" t="s">
        <v>898</v>
      </c>
    </row>
    <row r="2842">
      <c r="C2842" t="s">
        <v>898</v>
      </c>
    </row>
    <row r="2843">
      <c r="C2843" t="s">
        <v>898</v>
      </c>
    </row>
    <row r="2844">
      <c r="C2844" t="s">
        <v>898</v>
      </c>
    </row>
    <row r="2845">
      <c r="C2845" t="s">
        <v>898</v>
      </c>
    </row>
    <row r="2846">
      <c r="C2846" t="s">
        <v>898</v>
      </c>
    </row>
    <row r="2847">
      <c r="C2847" t="s">
        <v>898</v>
      </c>
    </row>
    <row r="2848">
      <c r="C2848" t="s">
        <v>898</v>
      </c>
    </row>
    <row r="2849">
      <c r="C2849" t="s">
        <v>898</v>
      </c>
    </row>
    <row r="2850">
      <c r="C2850" t="s">
        <v>898</v>
      </c>
    </row>
    <row r="2851">
      <c r="C2851" t="s">
        <v>898</v>
      </c>
    </row>
    <row r="2852">
      <c r="C2852" t="s">
        <v>898</v>
      </c>
    </row>
    <row r="2853">
      <c r="C2853" t="s">
        <v>898</v>
      </c>
    </row>
    <row r="2854">
      <c r="C2854" t="s">
        <v>898</v>
      </c>
    </row>
    <row r="2855">
      <c r="C2855" t="s">
        <v>898</v>
      </c>
    </row>
    <row r="2856">
      <c r="C2856" t="s">
        <v>898</v>
      </c>
    </row>
    <row r="2857">
      <c r="C2857" t="s">
        <v>898</v>
      </c>
    </row>
    <row r="2858">
      <c r="C2858" t="s">
        <v>898</v>
      </c>
    </row>
    <row r="2859">
      <c r="C2859" t="s">
        <v>898</v>
      </c>
    </row>
    <row r="2860">
      <c r="C2860" t="s">
        <v>898</v>
      </c>
    </row>
    <row r="2861">
      <c r="C2861" t="s">
        <v>898</v>
      </c>
    </row>
    <row r="2862">
      <c r="C2862" t="s">
        <v>898</v>
      </c>
    </row>
    <row r="2863">
      <c r="C2863" t="s">
        <v>898</v>
      </c>
    </row>
    <row r="2864">
      <c r="C2864" t="s">
        <v>898</v>
      </c>
    </row>
    <row r="2865">
      <c r="C2865" t="s">
        <v>898</v>
      </c>
    </row>
    <row r="2866">
      <c r="C2866" t="s">
        <v>898</v>
      </c>
    </row>
    <row r="2867">
      <c r="C2867" t="s">
        <v>898</v>
      </c>
    </row>
    <row r="2868">
      <c r="C2868" t="s">
        <v>898</v>
      </c>
    </row>
    <row r="2869">
      <c r="C2869" t="s">
        <v>898</v>
      </c>
    </row>
    <row r="2870">
      <c r="C2870" t="s">
        <v>898</v>
      </c>
    </row>
    <row r="2871">
      <c r="C2871" t="s">
        <v>898</v>
      </c>
    </row>
    <row r="2872">
      <c r="C2872" t="s">
        <v>898</v>
      </c>
    </row>
    <row r="2873">
      <c r="C2873" t="s">
        <v>898</v>
      </c>
    </row>
    <row r="2874">
      <c r="C2874" t="s">
        <v>898</v>
      </c>
    </row>
    <row r="2875">
      <c r="C2875" t="s">
        <v>898</v>
      </c>
    </row>
    <row r="2876">
      <c r="C2876" t="s">
        <v>898</v>
      </c>
    </row>
    <row r="2877">
      <c r="C2877" t="s">
        <v>898</v>
      </c>
    </row>
    <row r="2878">
      <c r="C2878" t="s">
        <v>898</v>
      </c>
    </row>
    <row r="2879">
      <c r="C2879" t="s">
        <v>898</v>
      </c>
    </row>
    <row r="2880">
      <c r="C2880" t="s">
        <v>898</v>
      </c>
    </row>
    <row r="2881">
      <c r="C2881" t="s">
        <v>898</v>
      </c>
    </row>
    <row r="2882">
      <c r="C2882" t="s">
        <v>898</v>
      </c>
    </row>
    <row r="2883">
      <c r="C2883" t="s">
        <v>898</v>
      </c>
    </row>
    <row r="2884">
      <c r="C2884" t="s">
        <v>898</v>
      </c>
    </row>
    <row r="2885">
      <c r="C2885" t="s">
        <v>898</v>
      </c>
    </row>
    <row r="2886">
      <c r="C2886" t="s">
        <v>898</v>
      </c>
    </row>
    <row r="2887">
      <c r="C2887" t="s">
        <v>898</v>
      </c>
    </row>
    <row r="2888">
      <c r="C2888" t="s">
        <v>898</v>
      </c>
    </row>
    <row r="2889">
      <c r="C2889" t="s">
        <v>898</v>
      </c>
    </row>
    <row r="2890">
      <c r="C2890" t="s">
        <v>898</v>
      </c>
    </row>
    <row r="2891">
      <c r="C2891" t="s">
        <v>898</v>
      </c>
    </row>
    <row r="2892">
      <c r="C2892" t="s">
        <v>898</v>
      </c>
    </row>
    <row r="2893">
      <c r="C2893" t="s">
        <v>898</v>
      </c>
    </row>
    <row r="2894">
      <c r="C2894" t="s">
        <v>898</v>
      </c>
    </row>
    <row r="2895">
      <c r="C2895" t="s">
        <v>898</v>
      </c>
    </row>
    <row r="2896">
      <c r="C2896" t="s">
        <v>898</v>
      </c>
    </row>
    <row r="2897">
      <c r="C2897" t="s">
        <v>898</v>
      </c>
    </row>
    <row r="2898">
      <c r="C2898" t="s">
        <v>898</v>
      </c>
    </row>
    <row r="2899">
      <c r="C2899" t="s">
        <v>898</v>
      </c>
    </row>
    <row r="2900">
      <c r="C2900" t="s">
        <v>898</v>
      </c>
    </row>
    <row r="2901">
      <c r="C2901" t="s">
        <v>898</v>
      </c>
    </row>
    <row r="2902">
      <c r="C2902" t="s">
        <v>898</v>
      </c>
    </row>
    <row r="2903">
      <c r="C2903" t="s">
        <v>898</v>
      </c>
    </row>
    <row r="2904">
      <c r="C2904" t="s">
        <v>898</v>
      </c>
    </row>
    <row r="2905">
      <c r="C2905" t="s">
        <v>898</v>
      </c>
    </row>
    <row r="2906">
      <c r="C2906" t="s">
        <v>898</v>
      </c>
    </row>
    <row r="2907">
      <c r="C2907" t="s">
        <v>898</v>
      </c>
    </row>
    <row r="2908">
      <c r="C2908" t="s">
        <v>898</v>
      </c>
    </row>
    <row r="2909">
      <c r="C2909" t="s">
        <v>898</v>
      </c>
    </row>
    <row r="2910">
      <c r="C2910" t="s">
        <v>898</v>
      </c>
    </row>
    <row r="2911">
      <c r="C2911" t="s">
        <v>898</v>
      </c>
    </row>
    <row r="2912">
      <c r="C2912" t="s">
        <v>898</v>
      </c>
    </row>
    <row r="2913">
      <c r="C2913" t="s">
        <v>898</v>
      </c>
    </row>
    <row r="2914">
      <c r="C2914" t="s">
        <v>898</v>
      </c>
    </row>
    <row r="2915">
      <c r="C2915" t="s">
        <v>898</v>
      </c>
    </row>
    <row r="2916">
      <c r="C2916" t="s">
        <v>898</v>
      </c>
    </row>
    <row r="2917">
      <c r="C2917" t="s">
        <v>898</v>
      </c>
    </row>
    <row r="2918">
      <c r="C2918" t="s">
        <v>898</v>
      </c>
    </row>
    <row r="2919">
      <c r="C2919" t="s">
        <v>898</v>
      </c>
    </row>
    <row r="2920">
      <c r="C2920" t="s">
        <v>898</v>
      </c>
    </row>
    <row r="2921">
      <c r="C2921" t="s">
        <v>898</v>
      </c>
    </row>
    <row r="2922">
      <c r="C2922" t="s">
        <v>898</v>
      </c>
    </row>
    <row r="2923">
      <c r="C2923" t="s">
        <v>898</v>
      </c>
    </row>
    <row r="2924">
      <c r="C2924" t="s">
        <v>898</v>
      </c>
    </row>
    <row r="2925">
      <c r="C2925" t="s">
        <v>898</v>
      </c>
    </row>
    <row r="2926">
      <c r="C2926" t="s">
        <v>898</v>
      </c>
    </row>
    <row r="2927">
      <c r="C2927" t="s">
        <v>898</v>
      </c>
    </row>
    <row r="2928">
      <c r="C2928" t="s">
        <v>898</v>
      </c>
    </row>
    <row r="2929">
      <c r="C2929" t="s">
        <v>898</v>
      </c>
    </row>
    <row r="2930">
      <c r="C2930" t="s">
        <v>898</v>
      </c>
    </row>
    <row r="2931">
      <c r="C2931" t="s">
        <v>898</v>
      </c>
    </row>
    <row r="2932">
      <c r="C2932" t="s">
        <v>898</v>
      </c>
    </row>
    <row r="2933">
      <c r="C2933" t="s">
        <v>898</v>
      </c>
    </row>
    <row r="2934">
      <c r="C2934" t="s">
        <v>898</v>
      </c>
    </row>
    <row r="2935">
      <c r="C2935" t="s">
        <v>898</v>
      </c>
    </row>
    <row r="2936">
      <c r="C2936" t="s">
        <v>898</v>
      </c>
    </row>
    <row r="2937">
      <c r="C2937" t="s">
        <v>898</v>
      </c>
    </row>
    <row r="2938">
      <c r="C2938" t="s">
        <v>898</v>
      </c>
    </row>
    <row r="2939">
      <c r="C2939" t="s">
        <v>898</v>
      </c>
    </row>
    <row r="2940">
      <c r="C2940" t="s">
        <v>898</v>
      </c>
    </row>
    <row r="2941">
      <c r="C2941" t="s">
        <v>898</v>
      </c>
    </row>
    <row r="2942">
      <c r="C2942" t="s">
        <v>898</v>
      </c>
    </row>
    <row r="2943">
      <c r="C2943" t="s">
        <v>898</v>
      </c>
    </row>
    <row r="2944">
      <c r="C2944" t="s">
        <v>898</v>
      </c>
    </row>
    <row r="2945">
      <c r="C2945" t="s">
        <v>898</v>
      </c>
    </row>
    <row r="2946">
      <c r="C2946" t="s">
        <v>898</v>
      </c>
    </row>
    <row r="2947">
      <c r="C2947" t="s">
        <v>898</v>
      </c>
    </row>
    <row r="2948">
      <c r="C2948" t="s">
        <v>898</v>
      </c>
    </row>
    <row r="2949">
      <c r="C2949" t="s">
        <v>898</v>
      </c>
    </row>
    <row r="2950">
      <c r="C2950" t="s">
        <v>898</v>
      </c>
    </row>
    <row r="2951">
      <c r="C2951" t="s">
        <v>898</v>
      </c>
    </row>
    <row r="2952">
      <c r="C2952" t="s">
        <v>898</v>
      </c>
    </row>
    <row r="2953">
      <c r="C2953" t="s">
        <v>898</v>
      </c>
    </row>
    <row r="2954">
      <c r="C2954" t="s">
        <v>898</v>
      </c>
    </row>
    <row r="2955">
      <c r="C2955" t="s">
        <v>898</v>
      </c>
    </row>
    <row r="2956">
      <c r="C2956" t="s">
        <v>898</v>
      </c>
    </row>
    <row r="2957">
      <c r="C2957" t="s">
        <v>898</v>
      </c>
    </row>
    <row r="2958">
      <c r="C2958" t="s">
        <v>898</v>
      </c>
    </row>
    <row r="2959">
      <c r="C2959" t="s">
        <v>898</v>
      </c>
    </row>
    <row r="2960">
      <c r="C2960" t="s">
        <v>898</v>
      </c>
    </row>
    <row r="2961">
      <c r="C2961" t="s">
        <v>898</v>
      </c>
    </row>
    <row r="2962">
      <c r="C2962" t="s">
        <v>898</v>
      </c>
    </row>
    <row r="2963">
      <c r="C2963" t="s">
        <v>898</v>
      </c>
    </row>
    <row r="2964">
      <c r="C2964" t="s">
        <v>898</v>
      </c>
    </row>
    <row r="2965">
      <c r="C2965" t="s">
        <v>898</v>
      </c>
    </row>
    <row r="2966">
      <c r="C2966" t="s">
        <v>898</v>
      </c>
    </row>
    <row r="2967">
      <c r="C2967" t="s">
        <v>898</v>
      </c>
    </row>
    <row r="2968">
      <c r="C2968" t="s">
        <v>898</v>
      </c>
    </row>
    <row r="2969">
      <c r="C2969" t="s">
        <v>898</v>
      </c>
    </row>
    <row r="2970">
      <c r="C2970" t="s">
        <v>898</v>
      </c>
    </row>
    <row r="2971">
      <c r="C2971" t="s">
        <v>898</v>
      </c>
    </row>
    <row r="2972">
      <c r="C2972" t="s">
        <v>898</v>
      </c>
    </row>
    <row r="2973">
      <c r="C2973" t="s">
        <v>898</v>
      </c>
    </row>
    <row r="2974">
      <c r="C2974" t="s">
        <v>898</v>
      </c>
    </row>
    <row r="2975">
      <c r="C2975" t="s">
        <v>898</v>
      </c>
    </row>
    <row r="2976">
      <c r="C2976" t="s">
        <v>898</v>
      </c>
    </row>
    <row r="2977">
      <c r="C2977" t="s">
        <v>898</v>
      </c>
    </row>
    <row r="2978">
      <c r="C2978" t="s">
        <v>898</v>
      </c>
    </row>
    <row r="2979">
      <c r="C2979" t="s">
        <v>898</v>
      </c>
    </row>
    <row r="2980">
      <c r="C2980" t="s">
        <v>898</v>
      </c>
    </row>
    <row r="2981">
      <c r="C2981" t="s">
        <v>898</v>
      </c>
    </row>
    <row r="2982">
      <c r="C2982" t="s">
        <v>898</v>
      </c>
    </row>
    <row r="2983">
      <c r="C2983" t="s">
        <v>898</v>
      </c>
    </row>
    <row r="2984">
      <c r="C2984" t="s">
        <v>898</v>
      </c>
    </row>
    <row r="2985">
      <c r="C2985" t="s">
        <v>898</v>
      </c>
    </row>
    <row r="2986">
      <c r="C2986" t="s">
        <v>898</v>
      </c>
    </row>
    <row r="2987">
      <c r="C2987" t="s">
        <v>898</v>
      </c>
    </row>
    <row r="2988">
      <c r="C2988" t="s">
        <v>898</v>
      </c>
    </row>
    <row r="2989">
      <c r="C2989" t="s">
        <v>898</v>
      </c>
    </row>
    <row r="2990">
      <c r="C2990" t="s">
        <v>898</v>
      </c>
    </row>
    <row r="2991">
      <c r="C2991" t="s">
        <v>898</v>
      </c>
    </row>
    <row r="2992">
      <c r="C2992" t="s">
        <v>898</v>
      </c>
    </row>
    <row r="2993">
      <c r="C2993" t="s">
        <v>898</v>
      </c>
    </row>
    <row r="2994">
      <c r="C2994" t="s">
        <v>898</v>
      </c>
    </row>
    <row r="2995">
      <c r="C2995" t="s">
        <v>898</v>
      </c>
    </row>
    <row r="2996">
      <c r="C2996" t="s">
        <v>898</v>
      </c>
    </row>
    <row r="2997">
      <c r="C2997" t="s">
        <v>898</v>
      </c>
    </row>
    <row r="2998">
      <c r="C2998" t="s">
        <v>898</v>
      </c>
    </row>
    <row r="2999">
      <c r="C2999" t="s">
        <v>898</v>
      </c>
    </row>
    <row r="3000">
      <c r="C3000" t="s">
        <v>898</v>
      </c>
    </row>
    <row r="3001">
      <c r="C3001" t="s">
        <v>898</v>
      </c>
    </row>
    <row r="3002">
      <c r="C3002" t="s">
        <v>898</v>
      </c>
    </row>
    <row r="3003">
      <c r="C3003" t="s">
        <v>898</v>
      </c>
    </row>
    <row r="3004">
      <c r="C3004" t="s">
        <v>898</v>
      </c>
    </row>
    <row r="3005">
      <c r="C3005" t="s">
        <v>898</v>
      </c>
    </row>
    <row r="3006">
      <c r="C3006" t="s">
        <v>898</v>
      </c>
    </row>
    <row r="3007">
      <c r="C3007" t="s">
        <v>898</v>
      </c>
    </row>
    <row r="3008">
      <c r="C3008" t="s">
        <v>898</v>
      </c>
    </row>
    <row r="3009">
      <c r="C3009" t="s">
        <v>898</v>
      </c>
    </row>
    <row r="3010">
      <c r="C3010" t="s">
        <v>898</v>
      </c>
    </row>
    <row r="3011">
      <c r="C3011" t="s">
        <v>898</v>
      </c>
    </row>
    <row r="3012">
      <c r="C3012" t="s">
        <v>898</v>
      </c>
    </row>
    <row r="3013">
      <c r="C3013" t="s">
        <v>898</v>
      </c>
    </row>
    <row r="3014">
      <c r="C3014" t="s">
        <v>898</v>
      </c>
    </row>
    <row r="3015">
      <c r="C3015" t="s">
        <v>898</v>
      </c>
    </row>
    <row r="3016">
      <c r="C3016" t="s">
        <v>898</v>
      </c>
    </row>
    <row r="3017">
      <c r="C3017" t="s">
        <v>898</v>
      </c>
    </row>
    <row r="3018">
      <c r="C3018" t="s">
        <v>898</v>
      </c>
    </row>
    <row r="3019">
      <c r="C3019" t="s">
        <v>898</v>
      </c>
    </row>
    <row r="3020">
      <c r="C3020" t="s">
        <v>898</v>
      </c>
    </row>
    <row r="3021">
      <c r="C3021" t="s">
        <v>898</v>
      </c>
    </row>
    <row r="3022">
      <c r="C3022" t="s">
        <v>898</v>
      </c>
    </row>
    <row r="3023">
      <c r="C3023" t="s">
        <v>898</v>
      </c>
    </row>
    <row r="3024">
      <c r="C3024" t="s">
        <v>898</v>
      </c>
    </row>
    <row r="3025">
      <c r="C3025" t="s">
        <v>898</v>
      </c>
    </row>
    <row r="3026">
      <c r="C3026" t="s">
        <v>898</v>
      </c>
    </row>
    <row r="3027">
      <c r="C3027" t="s">
        <v>898</v>
      </c>
    </row>
    <row r="3028">
      <c r="C3028" t="s">
        <v>898</v>
      </c>
    </row>
    <row r="3029">
      <c r="C3029" t="s">
        <v>898</v>
      </c>
    </row>
    <row r="3030">
      <c r="C3030" t="s">
        <v>898</v>
      </c>
    </row>
    <row r="3031">
      <c r="C3031" t="s">
        <v>898</v>
      </c>
    </row>
    <row r="3032">
      <c r="C3032" t="s">
        <v>898</v>
      </c>
    </row>
    <row r="3033">
      <c r="C3033" t="s">
        <v>898</v>
      </c>
    </row>
    <row r="3034">
      <c r="C3034" t="s">
        <v>898</v>
      </c>
    </row>
    <row r="3035">
      <c r="C3035" t="s">
        <v>898</v>
      </c>
    </row>
    <row r="3036">
      <c r="C3036" t="s">
        <v>898</v>
      </c>
    </row>
    <row r="3037">
      <c r="C3037" t="s">
        <v>898</v>
      </c>
    </row>
    <row r="3038">
      <c r="C3038" t="s">
        <v>898</v>
      </c>
    </row>
    <row r="3039">
      <c r="C3039" t="s">
        <v>898</v>
      </c>
    </row>
    <row r="3040">
      <c r="C3040" t="s">
        <v>898</v>
      </c>
    </row>
    <row r="3041">
      <c r="C3041" t="s">
        <v>898</v>
      </c>
    </row>
    <row r="3042">
      <c r="C3042" t="s">
        <v>898</v>
      </c>
    </row>
    <row r="3043">
      <c r="C3043" t="s">
        <v>898</v>
      </c>
    </row>
    <row r="3044">
      <c r="C3044" t="s">
        <v>898</v>
      </c>
    </row>
    <row r="3045">
      <c r="C3045" t="s">
        <v>898</v>
      </c>
    </row>
    <row r="3046">
      <c r="C3046" t="s">
        <v>898</v>
      </c>
    </row>
    <row r="3047">
      <c r="C3047" t="s">
        <v>898</v>
      </c>
    </row>
    <row r="3048">
      <c r="C3048" t="s">
        <v>898</v>
      </c>
    </row>
    <row r="3049">
      <c r="C3049" t="s">
        <v>898</v>
      </c>
    </row>
    <row r="3050">
      <c r="C3050" t="s">
        <v>898</v>
      </c>
    </row>
    <row r="3051">
      <c r="C3051" t="s">
        <v>898</v>
      </c>
    </row>
    <row r="3052">
      <c r="C3052" t="s">
        <v>898</v>
      </c>
    </row>
    <row r="3053">
      <c r="C3053" t="s">
        <v>898</v>
      </c>
    </row>
    <row r="3054">
      <c r="C3054" t="s">
        <v>898</v>
      </c>
    </row>
    <row r="3055">
      <c r="C3055" t="s">
        <v>898</v>
      </c>
    </row>
    <row r="3056">
      <c r="C3056" t="s">
        <v>898</v>
      </c>
    </row>
    <row r="3057">
      <c r="C3057" t="s">
        <v>898</v>
      </c>
    </row>
    <row r="3058">
      <c r="C3058" t="s">
        <v>898</v>
      </c>
    </row>
    <row r="3059">
      <c r="C3059" t="s">
        <v>898</v>
      </c>
    </row>
    <row r="3060">
      <c r="C3060" t="s">
        <v>898</v>
      </c>
    </row>
    <row r="3061">
      <c r="C3061" t="s">
        <v>898</v>
      </c>
    </row>
    <row r="3062">
      <c r="C3062" t="s">
        <v>898</v>
      </c>
    </row>
    <row r="3063">
      <c r="C3063" t="s">
        <v>898</v>
      </c>
    </row>
    <row r="3064">
      <c r="C3064" t="s">
        <v>898</v>
      </c>
    </row>
    <row r="3065">
      <c r="C3065" t="s">
        <v>898</v>
      </c>
    </row>
    <row r="3066">
      <c r="C3066" t="s">
        <v>898</v>
      </c>
    </row>
    <row r="3067">
      <c r="C3067" t="s">
        <v>898</v>
      </c>
    </row>
    <row r="3068">
      <c r="C3068" t="s">
        <v>898</v>
      </c>
    </row>
    <row r="3069">
      <c r="C3069" t="s">
        <v>898</v>
      </c>
    </row>
    <row r="3070">
      <c r="C3070" t="s">
        <v>898</v>
      </c>
    </row>
    <row r="3071">
      <c r="C3071" t="s">
        <v>898</v>
      </c>
    </row>
    <row r="3072">
      <c r="C3072" t="s">
        <v>898</v>
      </c>
    </row>
    <row r="3073">
      <c r="C3073" t="s">
        <v>898</v>
      </c>
    </row>
    <row r="3074">
      <c r="C3074" t="s">
        <v>898</v>
      </c>
    </row>
    <row r="3075">
      <c r="C3075" t="s">
        <v>898</v>
      </c>
    </row>
    <row r="3076">
      <c r="C3076" t="s">
        <v>898</v>
      </c>
    </row>
    <row r="3077">
      <c r="C3077" t="s">
        <v>898</v>
      </c>
    </row>
    <row r="3078">
      <c r="C3078" t="s">
        <v>898</v>
      </c>
    </row>
    <row r="3079">
      <c r="C3079" t="s">
        <v>898</v>
      </c>
    </row>
    <row r="3080">
      <c r="C3080" t="s">
        <v>898</v>
      </c>
    </row>
    <row r="3081">
      <c r="C3081" t="s">
        <v>898</v>
      </c>
    </row>
    <row r="3082">
      <c r="C3082" t="s">
        <v>898</v>
      </c>
    </row>
    <row r="3083">
      <c r="C3083" t="s">
        <v>898</v>
      </c>
    </row>
    <row r="3084">
      <c r="C3084" t="s">
        <v>898</v>
      </c>
    </row>
    <row r="3085">
      <c r="C3085" t="s">
        <v>898</v>
      </c>
    </row>
    <row r="3086">
      <c r="C3086" t="s">
        <v>898</v>
      </c>
    </row>
    <row r="3087">
      <c r="C3087" t="s">
        <v>898</v>
      </c>
    </row>
    <row r="3088">
      <c r="C3088" t="s">
        <v>898</v>
      </c>
    </row>
    <row r="3089">
      <c r="C3089" t="s">
        <v>898</v>
      </c>
    </row>
    <row r="3090">
      <c r="C3090" t="s">
        <v>898</v>
      </c>
    </row>
    <row r="3091">
      <c r="C3091" t="s">
        <v>898</v>
      </c>
    </row>
    <row r="3092">
      <c r="C3092" t="s">
        <v>898</v>
      </c>
    </row>
    <row r="3093">
      <c r="C3093" t="s">
        <v>898</v>
      </c>
    </row>
    <row r="3094">
      <c r="C3094" t="s">
        <v>898</v>
      </c>
    </row>
    <row r="3095">
      <c r="C3095" t="s">
        <v>898</v>
      </c>
    </row>
    <row r="3096">
      <c r="C3096" t="s">
        <v>898</v>
      </c>
    </row>
    <row r="3097">
      <c r="C3097" t="s">
        <v>898</v>
      </c>
    </row>
    <row r="3098">
      <c r="C3098" t="s">
        <v>898</v>
      </c>
    </row>
    <row r="3099">
      <c r="C3099" t="s">
        <v>898</v>
      </c>
    </row>
    <row r="3100">
      <c r="C3100" t="s">
        <v>898</v>
      </c>
    </row>
    <row r="3101">
      <c r="C3101" t="s">
        <v>898</v>
      </c>
    </row>
    <row r="3102">
      <c r="C3102" t="s">
        <v>898</v>
      </c>
    </row>
    <row r="3103">
      <c r="C3103" t="s">
        <v>898</v>
      </c>
    </row>
    <row r="3104">
      <c r="C3104" t="s">
        <v>898</v>
      </c>
    </row>
    <row r="3105">
      <c r="C3105" t="s">
        <v>898</v>
      </c>
    </row>
    <row r="3106">
      <c r="C3106" t="s">
        <v>898</v>
      </c>
    </row>
    <row r="3107">
      <c r="C3107" t="s">
        <v>898</v>
      </c>
    </row>
    <row r="3108">
      <c r="C3108" t="s">
        <v>898</v>
      </c>
    </row>
    <row r="3109">
      <c r="C3109" t="s">
        <v>898</v>
      </c>
    </row>
    <row r="3110">
      <c r="C3110" t="s">
        <v>898</v>
      </c>
    </row>
    <row r="3111">
      <c r="C3111" t="s">
        <v>898</v>
      </c>
    </row>
    <row r="3112">
      <c r="C3112" t="s">
        <v>898</v>
      </c>
    </row>
    <row r="3113">
      <c r="C3113" t="s">
        <v>898</v>
      </c>
    </row>
    <row r="3114">
      <c r="C3114" t="s">
        <v>898</v>
      </c>
    </row>
    <row r="3115">
      <c r="C3115" t="s">
        <v>898</v>
      </c>
    </row>
    <row r="3116">
      <c r="C3116" t="s">
        <v>898</v>
      </c>
    </row>
    <row r="3117">
      <c r="C3117" t="s">
        <v>898</v>
      </c>
    </row>
    <row r="3118">
      <c r="C3118" t="s">
        <v>898</v>
      </c>
    </row>
    <row r="3119">
      <c r="C3119" t="s">
        <v>898</v>
      </c>
    </row>
    <row r="3120">
      <c r="C3120" t="s">
        <v>898</v>
      </c>
    </row>
    <row r="3121">
      <c r="C3121" t="s">
        <v>898</v>
      </c>
    </row>
    <row r="3122">
      <c r="C3122" t="s">
        <v>898</v>
      </c>
    </row>
    <row r="3123">
      <c r="C3123" t="s">
        <v>898</v>
      </c>
    </row>
    <row r="3124">
      <c r="C3124" t="s">
        <v>898</v>
      </c>
    </row>
    <row r="3125">
      <c r="C3125" t="s">
        <v>898</v>
      </c>
    </row>
    <row r="3126">
      <c r="C3126" t="s">
        <v>898</v>
      </c>
    </row>
    <row r="3127">
      <c r="C3127" t="s">
        <v>898</v>
      </c>
    </row>
    <row r="3128">
      <c r="C3128" t="s">
        <v>898</v>
      </c>
    </row>
    <row r="3129">
      <c r="C3129" t="s">
        <v>898</v>
      </c>
    </row>
    <row r="3130">
      <c r="C3130" t="s">
        <v>898</v>
      </c>
    </row>
    <row r="3131">
      <c r="C3131" t="s">
        <v>898</v>
      </c>
    </row>
    <row r="3132">
      <c r="C3132" t="s">
        <v>898</v>
      </c>
    </row>
    <row r="3133">
      <c r="C3133" t="s">
        <v>898</v>
      </c>
    </row>
    <row r="3134">
      <c r="C3134" t="s">
        <v>898</v>
      </c>
    </row>
    <row r="3135">
      <c r="C3135" t="s">
        <v>898</v>
      </c>
    </row>
    <row r="3136">
      <c r="C3136" t="s">
        <v>898</v>
      </c>
    </row>
    <row r="3137">
      <c r="C3137" t="s">
        <v>898</v>
      </c>
    </row>
    <row r="3138">
      <c r="C3138" t="s">
        <v>898</v>
      </c>
    </row>
    <row r="3139">
      <c r="C3139" t="s">
        <v>898</v>
      </c>
    </row>
    <row r="3140">
      <c r="C3140" t="s">
        <v>898</v>
      </c>
    </row>
    <row r="3141">
      <c r="C3141" t="s">
        <v>898</v>
      </c>
    </row>
    <row r="3142">
      <c r="C3142" t="s">
        <v>898</v>
      </c>
    </row>
    <row r="3143">
      <c r="C3143" t="s">
        <v>898</v>
      </c>
    </row>
    <row r="3144">
      <c r="C3144" t="s">
        <v>898</v>
      </c>
    </row>
    <row r="3145">
      <c r="C3145" t="s">
        <v>898</v>
      </c>
    </row>
    <row r="3146">
      <c r="C3146" t="s">
        <v>898</v>
      </c>
    </row>
    <row r="3147">
      <c r="C3147" t="s">
        <v>898</v>
      </c>
    </row>
    <row r="3148">
      <c r="C3148" t="s">
        <v>898</v>
      </c>
    </row>
    <row r="3149">
      <c r="C3149" t="s">
        <v>898</v>
      </c>
    </row>
    <row r="3150">
      <c r="C3150" t="s">
        <v>898</v>
      </c>
    </row>
    <row r="3151">
      <c r="C3151" t="s">
        <v>898</v>
      </c>
    </row>
    <row r="3152">
      <c r="C3152" t="s">
        <v>898</v>
      </c>
    </row>
    <row r="3153">
      <c r="C3153" t="s">
        <v>898</v>
      </c>
    </row>
    <row r="3154">
      <c r="C3154" t="s">
        <v>898</v>
      </c>
    </row>
    <row r="3155">
      <c r="C3155" t="s">
        <v>898</v>
      </c>
    </row>
    <row r="3156">
      <c r="C3156" t="s">
        <v>898</v>
      </c>
    </row>
    <row r="3157">
      <c r="C3157" t="s">
        <v>898</v>
      </c>
    </row>
    <row r="3158">
      <c r="C3158" t="s">
        <v>898</v>
      </c>
    </row>
    <row r="3159">
      <c r="C3159" t="s">
        <v>898</v>
      </c>
    </row>
    <row r="3160">
      <c r="C3160" t="s">
        <v>898</v>
      </c>
    </row>
    <row r="3161">
      <c r="C3161" t="s">
        <v>898</v>
      </c>
    </row>
    <row r="3162">
      <c r="C3162" t="s">
        <v>898</v>
      </c>
    </row>
    <row r="3163">
      <c r="C3163" t="s">
        <v>898</v>
      </c>
    </row>
    <row r="3164">
      <c r="C3164" t="s">
        <v>898</v>
      </c>
    </row>
    <row r="3165">
      <c r="C3165" t="s">
        <v>898</v>
      </c>
    </row>
    <row r="3166">
      <c r="C3166" t="s">
        <v>898</v>
      </c>
    </row>
    <row r="3167">
      <c r="C3167" t="s">
        <v>898</v>
      </c>
    </row>
    <row r="3168">
      <c r="C3168" t="s">
        <v>898</v>
      </c>
    </row>
    <row r="3169">
      <c r="C3169" t="s">
        <v>898</v>
      </c>
    </row>
    <row r="3170">
      <c r="C3170" t="s">
        <v>898</v>
      </c>
    </row>
    <row r="3171">
      <c r="C3171" t="s">
        <v>898</v>
      </c>
    </row>
    <row r="3172">
      <c r="C3172" t="s">
        <v>898</v>
      </c>
    </row>
    <row r="3173">
      <c r="C3173" t="s">
        <v>898</v>
      </c>
    </row>
    <row r="3174">
      <c r="C3174" t="s">
        <v>898</v>
      </c>
    </row>
    <row r="3175">
      <c r="C3175" t="s">
        <v>898</v>
      </c>
    </row>
    <row r="3176">
      <c r="C3176" t="s">
        <v>898</v>
      </c>
    </row>
    <row r="3177">
      <c r="C3177" t="s">
        <v>898</v>
      </c>
    </row>
    <row r="3178">
      <c r="C3178" t="s">
        <v>898</v>
      </c>
    </row>
    <row r="3179">
      <c r="C3179" t="s">
        <v>898</v>
      </c>
    </row>
    <row r="3180">
      <c r="C3180" t="s">
        <v>898</v>
      </c>
    </row>
    <row r="3181">
      <c r="C3181" t="s">
        <v>898</v>
      </c>
    </row>
    <row r="3182">
      <c r="C3182" t="s">
        <v>898</v>
      </c>
    </row>
    <row r="3183">
      <c r="C3183" t="s">
        <v>898</v>
      </c>
    </row>
    <row r="3184">
      <c r="C3184" t="s">
        <v>898</v>
      </c>
    </row>
    <row r="3185">
      <c r="C3185" t="s">
        <v>898</v>
      </c>
    </row>
    <row r="3186">
      <c r="C3186" t="s">
        <v>898</v>
      </c>
    </row>
    <row r="3187">
      <c r="C3187" t="s">
        <v>898</v>
      </c>
    </row>
    <row r="3188">
      <c r="C3188" t="s">
        <v>898</v>
      </c>
    </row>
    <row r="3189">
      <c r="C3189" t="s">
        <v>898</v>
      </c>
    </row>
    <row r="3190">
      <c r="C3190" t="s">
        <v>898</v>
      </c>
    </row>
    <row r="3191">
      <c r="C3191" t="s">
        <v>898</v>
      </c>
    </row>
    <row r="3192">
      <c r="C3192" t="s">
        <v>898</v>
      </c>
    </row>
    <row r="3193">
      <c r="C3193" t="s">
        <v>898</v>
      </c>
    </row>
    <row r="3194">
      <c r="C3194" t="s">
        <v>898</v>
      </c>
    </row>
    <row r="3195">
      <c r="C3195" t="s">
        <v>898</v>
      </c>
    </row>
    <row r="3196">
      <c r="C3196" t="s">
        <v>898</v>
      </c>
    </row>
    <row r="3197">
      <c r="C3197" t="s">
        <v>898</v>
      </c>
    </row>
    <row r="3198">
      <c r="C3198" t="s">
        <v>898</v>
      </c>
    </row>
    <row r="3199">
      <c r="C3199" t="s">
        <v>898</v>
      </c>
    </row>
    <row r="3200">
      <c r="C3200" t="s">
        <v>898</v>
      </c>
    </row>
    <row r="3201">
      <c r="C3201" t="s">
        <v>898</v>
      </c>
    </row>
    <row r="3202">
      <c r="C3202" t="s">
        <v>898</v>
      </c>
    </row>
    <row r="3203">
      <c r="C3203" t="s">
        <v>898</v>
      </c>
    </row>
    <row r="3204">
      <c r="C3204" t="s">
        <v>898</v>
      </c>
    </row>
    <row r="3205">
      <c r="C3205" t="s">
        <v>898</v>
      </c>
    </row>
    <row r="3206">
      <c r="C3206" t="s">
        <v>898</v>
      </c>
    </row>
    <row r="3207">
      <c r="C3207" t="s">
        <v>898</v>
      </c>
    </row>
    <row r="3208">
      <c r="C3208" t="s">
        <v>898</v>
      </c>
    </row>
    <row r="3209">
      <c r="C3209" t="s">
        <v>898</v>
      </c>
    </row>
    <row r="3210">
      <c r="C3210" t="s">
        <v>898</v>
      </c>
    </row>
    <row r="3211">
      <c r="C3211" t="s">
        <v>898</v>
      </c>
    </row>
    <row r="3212">
      <c r="C3212" t="s">
        <v>898</v>
      </c>
    </row>
    <row r="3213">
      <c r="C3213" t="s">
        <v>898</v>
      </c>
    </row>
    <row r="3214">
      <c r="C3214" t="s">
        <v>898</v>
      </c>
    </row>
    <row r="3215">
      <c r="C3215" t="s">
        <v>898</v>
      </c>
    </row>
    <row r="3216">
      <c r="C3216" t="s">
        <v>898</v>
      </c>
    </row>
    <row r="3217">
      <c r="C3217" t="s">
        <v>898</v>
      </c>
    </row>
    <row r="3218">
      <c r="C3218" t="s">
        <v>898</v>
      </c>
    </row>
    <row r="3219">
      <c r="C3219" t="s">
        <v>898</v>
      </c>
    </row>
    <row r="3220">
      <c r="C3220" t="s">
        <v>898</v>
      </c>
    </row>
    <row r="3221">
      <c r="C3221" t="s">
        <v>898</v>
      </c>
    </row>
    <row r="3222">
      <c r="C3222" t="s">
        <v>898</v>
      </c>
    </row>
    <row r="3223">
      <c r="C3223" t="s">
        <v>898</v>
      </c>
    </row>
    <row r="3224">
      <c r="C3224" t="s">
        <v>898</v>
      </c>
    </row>
    <row r="3225">
      <c r="C3225" t="s">
        <v>898</v>
      </c>
    </row>
    <row r="3226">
      <c r="C3226" t="s">
        <v>898</v>
      </c>
    </row>
    <row r="3227">
      <c r="C3227" t="s">
        <v>898</v>
      </c>
    </row>
    <row r="3228">
      <c r="C3228" t="s">
        <v>898</v>
      </c>
    </row>
    <row r="3229">
      <c r="C3229" t="s">
        <v>898</v>
      </c>
    </row>
    <row r="3230">
      <c r="C3230" t="s">
        <v>898</v>
      </c>
    </row>
    <row r="3231">
      <c r="C3231" t="s">
        <v>898</v>
      </c>
    </row>
    <row r="3232">
      <c r="C3232" t="s">
        <v>898</v>
      </c>
    </row>
    <row r="3233">
      <c r="C3233" t="s">
        <v>898</v>
      </c>
    </row>
    <row r="3234">
      <c r="C3234" t="s">
        <v>898</v>
      </c>
    </row>
    <row r="3235">
      <c r="C3235" t="s">
        <v>898</v>
      </c>
    </row>
    <row r="3236">
      <c r="C3236" t="s">
        <v>898</v>
      </c>
    </row>
    <row r="3237">
      <c r="C3237" t="s">
        <v>898</v>
      </c>
    </row>
    <row r="3238">
      <c r="C3238" t="s">
        <v>898</v>
      </c>
    </row>
    <row r="3239">
      <c r="C3239" t="s">
        <v>898</v>
      </c>
    </row>
    <row r="3240">
      <c r="C3240" t="s">
        <v>898</v>
      </c>
    </row>
    <row r="3241">
      <c r="C3241" t="s">
        <v>898</v>
      </c>
    </row>
    <row r="3242">
      <c r="C3242" t="s">
        <v>898</v>
      </c>
    </row>
    <row r="3243">
      <c r="C3243" t="s">
        <v>898</v>
      </c>
    </row>
    <row r="3244">
      <c r="C3244" t="s">
        <v>898</v>
      </c>
    </row>
    <row r="3245">
      <c r="C3245" t="s">
        <v>898</v>
      </c>
    </row>
    <row r="3246">
      <c r="C3246" t="s">
        <v>898</v>
      </c>
    </row>
    <row r="3247">
      <c r="C3247" t="s">
        <v>898</v>
      </c>
    </row>
    <row r="3248">
      <c r="C3248" t="s">
        <v>898</v>
      </c>
    </row>
    <row r="3249">
      <c r="C3249" t="s">
        <v>898</v>
      </c>
    </row>
    <row r="3250">
      <c r="C3250" t="s">
        <v>898</v>
      </c>
    </row>
    <row r="3251">
      <c r="C3251" t="s">
        <v>898</v>
      </c>
    </row>
    <row r="3252">
      <c r="C3252" t="s">
        <v>898</v>
      </c>
    </row>
    <row r="3253">
      <c r="C3253" t="s">
        <v>898</v>
      </c>
    </row>
    <row r="3254">
      <c r="C3254" t="s">
        <v>898</v>
      </c>
    </row>
    <row r="3255">
      <c r="C3255" t="s">
        <v>898</v>
      </c>
    </row>
    <row r="3256">
      <c r="C3256" t="s">
        <v>898</v>
      </c>
    </row>
    <row r="3257">
      <c r="C3257" t="s">
        <v>898</v>
      </c>
    </row>
    <row r="3258">
      <c r="C3258" t="s">
        <v>898</v>
      </c>
    </row>
    <row r="3259">
      <c r="C3259" t="s">
        <v>898</v>
      </c>
    </row>
    <row r="3260">
      <c r="C3260" t="s">
        <v>898</v>
      </c>
    </row>
    <row r="3261">
      <c r="C3261" t="s">
        <v>898</v>
      </c>
    </row>
    <row r="3262">
      <c r="C3262" t="s">
        <v>898</v>
      </c>
    </row>
    <row r="3263">
      <c r="C3263" t="s">
        <v>898</v>
      </c>
    </row>
    <row r="3264">
      <c r="C3264" t="s">
        <v>898</v>
      </c>
    </row>
    <row r="3265">
      <c r="C3265" t="s">
        <v>898</v>
      </c>
    </row>
    <row r="3266">
      <c r="C3266" t="s">
        <v>898</v>
      </c>
    </row>
    <row r="3267">
      <c r="C3267" t="s">
        <v>898</v>
      </c>
    </row>
    <row r="3268">
      <c r="C3268" t="s">
        <v>898</v>
      </c>
    </row>
    <row r="3269">
      <c r="C3269" t="s">
        <v>898</v>
      </c>
    </row>
    <row r="3270">
      <c r="C3270" t="s">
        <v>898</v>
      </c>
    </row>
    <row r="3271">
      <c r="C3271" t="s">
        <v>898</v>
      </c>
    </row>
    <row r="3272">
      <c r="C3272" t="s">
        <v>898</v>
      </c>
    </row>
    <row r="3273">
      <c r="C3273" t="s">
        <v>898</v>
      </c>
    </row>
    <row r="3274">
      <c r="C3274" t="s">
        <v>898</v>
      </c>
    </row>
    <row r="3275">
      <c r="C3275" t="s">
        <v>898</v>
      </c>
    </row>
    <row r="3276">
      <c r="C3276" t="s">
        <v>898</v>
      </c>
    </row>
    <row r="3277">
      <c r="C3277" t="s">
        <v>898</v>
      </c>
    </row>
    <row r="3278">
      <c r="C3278" t="s">
        <v>898</v>
      </c>
    </row>
    <row r="3279">
      <c r="C3279" t="s">
        <v>898</v>
      </c>
    </row>
    <row r="3280">
      <c r="C3280" t="s">
        <v>898</v>
      </c>
    </row>
    <row r="3281">
      <c r="C3281" t="s">
        <v>898</v>
      </c>
    </row>
    <row r="3282">
      <c r="C3282" t="s">
        <v>898</v>
      </c>
    </row>
    <row r="3283">
      <c r="C3283" t="s">
        <v>898</v>
      </c>
    </row>
    <row r="3284">
      <c r="C3284" t="s">
        <v>898</v>
      </c>
    </row>
    <row r="3285">
      <c r="C3285" t="s">
        <v>898</v>
      </c>
    </row>
    <row r="3286">
      <c r="C3286" t="s">
        <v>898</v>
      </c>
    </row>
    <row r="3287">
      <c r="C3287" t="s">
        <v>898</v>
      </c>
    </row>
    <row r="3288">
      <c r="C3288" t="s">
        <v>898</v>
      </c>
    </row>
    <row r="3289">
      <c r="C3289" t="s">
        <v>898</v>
      </c>
    </row>
    <row r="3290">
      <c r="C3290" t="s">
        <v>898</v>
      </c>
    </row>
    <row r="3291">
      <c r="C3291" t="s">
        <v>898</v>
      </c>
    </row>
    <row r="3292">
      <c r="C3292" t="s">
        <v>898</v>
      </c>
    </row>
    <row r="3293">
      <c r="C3293" t="s">
        <v>898</v>
      </c>
    </row>
    <row r="3294">
      <c r="C3294" t="s">
        <v>898</v>
      </c>
    </row>
    <row r="3295">
      <c r="C3295" t="s">
        <v>898</v>
      </c>
    </row>
    <row r="3296">
      <c r="C3296" t="s">
        <v>898</v>
      </c>
    </row>
    <row r="3297">
      <c r="C3297" t="s">
        <v>898</v>
      </c>
    </row>
    <row r="3298">
      <c r="C3298" t="s">
        <v>898</v>
      </c>
    </row>
    <row r="3299">
      <c r="C3299" t="s">
        <v>898</v>
      </c>
    </row>
    <row r="3300">
      <c r="C3300" t="s">
        <v>898</v>
      </c>
    </row>
    <row r="3301">
      <c r="C3301" t="s">
        <v>898</v>
      </c>
    </row>
    <row r="3302">
      <c r="C3302" t="s">
        <v>898</v>
      </c>
    </row>
    <row r="3303">
      <c r="C3303" t="s">
        <v>898</v>
      </c>
    </row>
    <row r="3304">
      <c r="C3304" t="s">
        <v>898</v>
      </c>
    </row>
    <row r="3305">
      <c r="C3305" t="s">
        <v>898</v>
      </c>
    </row>
    <row r="3306">
      <c r="C3306" t="s">
        <v>898</v>
      </c>
    </row>
    <row r="3307">
      <c r="C3307" t="s">
        <v>898</v>
      </c>
    </row>
    <row r="3308">
      <c r="C3308" t="s">
        <v>898</v>
      </c>
    </row>
    <row r="3309">
      <c r="C3309" t="s">
        <v>898</v>
      </c>
    </row>
    <row r="3310">
      <c r="C3310" t="s">
        <v>898</v>
      </c>
    </row>
    <row r="3311">
      <c r="C3311" t="s">
        <v>898</v>
      </c>
    </row>
    <row r="3312">
      <c r="C3312" t="s">
        <v>898</v>
      </c>
    </row>
    <row r="3313">
      <c r="C3313" t="s">
        <v>898</v>
      </c>
    </row>
    <row r="3314">
      <c r="C3314" t="s">
        <v>898</v>
      </c>
    </row>
    <row r="3315">
      <c r="C3315" t="s">
        <v>898</v>
      </c>
    </row>
    <row r="3316">
      <c r="C3316" t="s">
        <v>898</v>
      </c>
    </row>
    <row r="3317">
      <c r="C3317" t="s">
        <v>898</v>
      </c>
    </row>
    <row r="3318">
      <c r="C3318" t="s">
        <v>898</v>
      </c>
    </row>
    <row r="3319">
      <c r="C3319" t="s">
        <v>898</v>
      </c>
    </row>
    <row r="3320">
      <c r="C3320" t="s">
        <v>898</v>
      </c>
    </row>
    <row r="3321">
      <c r="C3321" t="s">
        <v>898</v>
      </c>
    </row>
    <row r="3322">
      <c r="C3322" t="s">
        <v>898</v>
      </c>
    </row>
    <row r="3323">
      <c r="C3323" t="s">
        <v>898</v>
      </c>
    </row>
    <row r="3324">
      <c r="C3324" t="s">
        <v>898</v>
      </c>
    </row>
    <row r="3325">
      <c r="C3325" t="s">
        <v>898</v>
      </c>
    </row>
    <row r="3326">
      <c r="C3326" t="s">
        <v>898</v>
      </c>
    </row>
    <row r="3327">
      <c r="C3327" t="s">
        <v>898</v>
      </c>
    </row>
    <row r="3328">
      <c r="C3328" t="s">
        <v>898</v>
      </c>
    </row>
    <row r="3329">
      <c r="C3329" t="s">
        <v>898</v>
      </c>
    </row>
    <row r="3330">
      <c r="C3330" t="s">
        <v>898</v>
      </c>
    </row>
    <row r="3331">
      <c r="C3331" t="s">
        <v>898</v>
      </c>
    </row>
    <row r="3332">
      <c r="C3332" t="s">
        <v>898</v>
      </c>
    </row>
    <row r="3333">
      <c r="C3333" t="s">
        <v>898</v>
      </c>
    </row>
    <row r="3334">
      <c r="C3334" t="s">
        <v>898</v>
      </c>
    </row>
    <row r="3335">
      <c r="C3335" t="s">
        <v>898</v>
      </c>
    </row>
    <row r="3336">
      <c r="C3336" t="s">
        <v>898</v>
      </c>
    </row>
    <row r="3337">
      <c r="C3337" t="s">
        <v>898</v>
      </c>
    </row>
    <row r="3338">
      <c r="C3338" t="s">
        <v>898</v>
      </c>
    </row>
    <row r="3339">
      <c r="C3339" t="s">
        <v>898</v>
      </c>
    </row>
    <row r="3340">
      <c r="C3340" t="s">
        <v>898</v>
      </c>
    </row>
    <row r="3341">
      <c r="C3341" t="s">
        <v>898</v>
      </c>
    </row>
    <row r="3342">
      <c r="C3342" t="s">
        <v>898</v>
      </c>
    </row>
    <row r="3343">
      <c r="C3343" t="s">
        <v>898</v>
      </c>
    </row>
    <row r="3344">
      <c r="C3344" t="s">
        <v>898</v>
      </c>
    </row>
    <row r="3345">
      <c r="C3345" t="s">
        <v>898</v>
      </c>
    </row>
    <row r="3346">
      <c r="C3346" t="s">
        <v>898</v>
      </c>
    </row>
    <row r="3347">
      <c r="C3347" t="s">
        <v>898</v>
      </c>
    </row>
    <row r="3348">
      <c r="C3348" t="s">
        <v>898</v>
      </c>
    </row>
    <row r="3349">
      <c r="C3349" t="s">
        <v>898</v>
      </c>
    </row>
    <row r="3350">
      <c r="C3350" t="s">
        <v>898</v>
      </c>
    </row>
    <row r="3351">
      <c r="C3351" t="s">
        <v>898</v>
      </c>
    </row>
    <row r="3352">
      <c r="C3352" t="s">
        <v>898</v>
      </c>
    </row>
    <row r="3353">
      <c r="C3353" t="s">
        <v>898</v>
      </c>
    </row>
    <row r="3354">
      <c r="C3354" t="s">
        <v>898</v>
      </c>
    </row>
    <row r="3355">
      <c r="C3355" t="s">
        <v>898</v>
      </c>
    </row>
    <row r="3356">
      <c r="C3356" t="s">
        <v>898</v>
      </c>
    </row>
    <row r="3357">
      <c r="C3357" t="s">
        <v>898</v>
      </c>
    </row>
    <row r="3358">
      <c r="C3358" t="s">
        <v>898</v>
      </c>
    </row>
    <row r="3359">
      <c r="C3359" t="s">
        <v>898</v>
      </c>
    </row>
    <row r="3360">
      <c r="C3360" t="s">
        <v>898</v>
      </c>
    </row>
    <row r="3361">
      <c r="C3361" t="s">
        <v>898</v>
      </c>
    </row>
    <row r="3362">
      <c r="C3362" t="s">
        <v>898</v>
      </c>
    </row>
    <row r="3363">
      <c r="C3363" t="s">
        <v>898</v>
      </c>
    </row>
    <row r="3364">
      <c r="C3364" t="s">
        <v>898</v>
      </c>
    </row>
    <row r="3365">
      <c r="C3365" t="s">
        <v>898</v>
      </c>
    </row>
    <row r="3366">
      <c r="C3366" t="s">
        <v>898</v>
      </c>
    </row>
    <row r="3367">
      <c r="C3367" t="s">
        <v>898</v>
      </c>
    </row>
    <row r="3368">
      <c r="C3368" t="s">
        <v>898</v>
      </c>
    </row>
    <row r="3369">
      <c r="C3369" t="s">
        <v>898</v>
      </c>
    </row>
    <row r="3370">
      <c r="C3370" t="s">
        <v>898</v>
      </c>
    </row>
    <row r="3371">
      <c r="C3371" t="s">
        <v>898</v>
      </c>
    </row>
    <row r="3372">
      <c r="C3372" t="s">
        <v>898</v>
      </c>
    </row>
    <row r="3373">
      <c r="C3373" t="s">
        <v>898</v>
      </c>
    </row>
    <row r="3374">
      <c r="C3374" t="s">
        <v>898</v>
      </c>
    </row>
    <row r="3375">
      <c r="C3375" t="s">
        <v>898</v>
      </c>
    </row>
    <row r="3376">
      <c r="C3376" t="s">
        <v>898</v>
      </c>
    </row>
    <row r="3377">
      <c r="C3377" t="s">
        <v>898</v>
      </c>
    </row>
    <row r="3378">
      <c r="C3378" t="s">
        <v>898</v>
      </c>
    </row>
    <row r="3379">
      <c r="C3379" t="s">
        <v>898</v>
      </c>
    </row>
    <row r="3380">
      <c r="C3380" t="s">
        <v>898</v>
      </c>
    </row>
    <row r="3381">
      <c r="C3381" t="s">
        <v>898</v>
      </c>
    </row>
    <row r="3382">
      <c r="C3382" t="s">
        <v>898</v>
      </c>
    </row>
    <row r="3383">
      <c r="C3383" t="s">
        <v>898</v>
      </c>
    </row>
    <row r="3384">
      <c r="C3384" t="s">
        <v>898</v>
      </c>
    </row>
    <row r="3385">
      <c r="C3385" t="s">
        <v>898</v>
      </c>
    </row>
    <row r="3386">
      <c r="C3386" t="s">
        <v>898</v>
      </c>
    </row>
    <row r="3387">
      <c r="C3387" t="s">
        <v>898</v>
      </c>
    </row>
    <row r="3388">
      <c r="C3388" t="s">
        <v>898</v>
      </c>
    </row>
    <row r="3389">
      <c r="C3389" t="s">
        <v>898</v>
      </c>
    </row>
    <row r="3390">
      <c r="C3390" t="s">
        <v>898</v>
      </c>
    </row>
    <row r="3391">
      <c r="C3391" t="s">
        <v>898</v>
      </c>
    </row>
    <row r="3392">
      <c r="C3392" t="s">
        <v>898</v>
      </c>
    </row>
    <row r="3393">
      <c r="C3393" t="s">
        <v>898</v>
      </c>
    </row>
    <row r="3394">
      <c r="C3394" t="s">
        <v>898</v>
      </c>
    </row>
    <row r="3395">
      <c r="C3395" t="s">
        <v>898</v>
      </c>
    </row>
    <row r="3396">
      <c r="C3396" t="s">
        <v>898</v>
      </c>
    </row>
    <row r="3397">
      <c r="C3397" t="s">
        <v>898</v>
      </c>
    </row>
    <row r="3398">
      <c r="C3398" t="s">
        <v>898</v>
      </c>
    </row>
    <row r="3399">
      <c r="C3399" t="s">
        <v>898</v>
      </c>
    </row>
    <row r="3400">
      <c r="C3400" t="s">
        <v>898</v>
      </c>
    </row>
    <row r="3401">
      <c r="C3401" t="s">
        <v>898</v>
      </c>
    </row>
    <row r="3402">
      <c r="C3402" t="s">
        <v>898</v>
      </c>
    </row>
    <row r="3403">
      <c r="C3403" t="s">
        <v>898</v>
      </c>
    </row>
    <row r="3404">
      <c r="C3404" t="s">
        <v>898</v>
      </c>
    </row>
    <row r="3405">
      <c r="C3405" t="s">
        <v>898</v>
      </c>
    </row>
    <row r="3406">
      <c r="C3406" t="s">
        <v>898</v>
      </c>
    </row>
    <row r="3407">
      <c r="C3407" t="s">
        <v>898</v>
      </c>
    </row>
    <row r="3408">
      <c r="C3408" t="s">
        <v>898</v>
      </c>
    </row>
    <row r="3409">
      <c r="C3409" t="s">
        <v>898</v>
      </c>
    </row>
    <row r="3410">
      <c r="C3410" t="s">
        <v>898</v>
      </c>
    </row>
    <row r="3411">
      <c r="C3411" t="s">
        <v>898</v>
      </c>
    </row>
    <row r="3412">
      <c r="C3412" t="s">
        <v>898</v>
      </c>
    </row>
    <row r="3413">
      <c r="C3413" t="s">
        <v>898</v>
      </c>
    </row>
    <row r="3414">
      <c r="C3414" t="s">
        <v>898</v>
      </c>
    </row>
    <row r="3415">
      <c r="C3415" t="s">
        <v>898</v>
      </c>
    </row>
    <row r="3416">
      <c r="C3416" t="s">
        <v>898</v>
      </c>
    </row>
    <row r="3417">
      <c r="C3417" t="s">
        <v>898</v>
      </c>
    </row>
    <row r="3418">
      <c r="C3418" t="s">
        <v>898</v>
      </c>
    </row>
    <row r="3419">
      <c r="C3419" t="s">
        <v>898</v>
      </c>
    </row>
    <row r="3420">
      <c r="C3420" t="s">
        <v>898</v>
      </c>
    </row>
    <row r="3421">
      <c r="C3421" t="s">
        <v>898</v>
      </c>
    </row>
    <row r="3422">
      <c r="C3422" t="s">
        <v>898</v>
      </c>
    </row>
    <row r="3423">
      <c r="C3423" t="s">
        <v>898</v>
      </c>
    </row>
    <row r="3424">
      <c r="C3424" t="s">
        <v>898</v>
      </c>
    </row>
    <row r="3425">
      <c r="C3425" t="s">
        <v>898</v>
      </c>
    </row>
    <row r="3426">
      <c r="C3426" t="s">
        <v>898</v>
      </c>
    </row>
    <row r="3427">
      <c r="C3427" t="s">
        <v>898</v>
      </c>
    </row>
    <row r="3428">
      <c r="C3428" t="s">
        <v>898</v>
      </c>
    </row>
    <row r="3429">
      <c r="C3429" t="s">
        <v>898</v>
      </c>
    </row>
    <row r="3430">
      <c r="C3430" t="s">
        <v>898</v>
      </c>
    </row>
    <row r="3431">
      <c r="C3431" t="s">
        <v>898</v>
      </c>
    </row>
    <row r="3432">
      <c r="C3432" t="s">
        <v>898</v>
      </c>
    </row>
    <row r="3433">
      <c r="C3433" t="s">
        <v>898</v>
      </c>
    </row>
    <row r="3434">
      <c r="C3434" t="s">
        <v>898</v>
      </c>
    </row>
    <row r="3435">
      <c r="C3435" t="s">
        <v>898</v>
      </c>
    </row>
    <row r="3436">
      <c r="C3436" t="s">
        <v>898</v>
      </c>
    </row>
    <row r="3437">
      <c r="C3437" t="s">
        <v>898</v>
      </c>
    </row>
    <row r="3438">
      <c r="C3438" t="s">
        <v>898</v>
      </c>
    </row>
    <row r="3439">
      <c r="C3439" t="s">
        <v>898</v>
      </c>
    </row>
    <row r="3440">
      <c r="C3440" t="s">
        <v>898</v>
      </c>
    </row>
    <row r="3441">
      <c r="C3441" t="s">
        <v>898</v>
      </c>
    </row>
    <row r="3442">
      <c r="C3442" t="s">
        <v>898</v>
      </c>
    </row>
    <row r="3443">
      <c r="C3443" t="s">
        <v>898</v>
      </c>
    </row>
    <row r="3444">
      <c r="C3444" t="s">
        <v>898</v>
      </c>
    </row>
    <row r="3445">
      <c r="C3445" t="s">
        <v>898</v>
      </c>
    </row>
    <row r="3446">
      <c r="C3446" t="s">
        <v>898</v>
      </c>
    </row>
    <row r="3447">
      <c r="C3447" t="s">
        <v>898</v>
      </c>
    </row>
    <row r="3448">
      <c r="C3448" t="s">
        <v>898</v>
      </c>
    </row>
    <row r="3449">
      <c r="C3449" t="s">
        <v>898</v>
      </c>
    </row>
    <row r="3450">
      <c r="C3450" t="s">
        <v>898</v>
      </c>
    </row>
    <row r="3451">
      <c r="C3451" t="s">
        <v>898</v>
      </c>
    </row>
    <row r="3452">
      <c r="C3452" t="s">
        <v>898</v>
      </c>
    </row>
    <row r="3453">
      <c r="C3453" t="s">
        <v>898</v>
      </c>
    </row>
    <row r="3454">
      <c r="C3454" t="s">
        <v>898</v>
      </c>
    </row>
    <row r="3455">
      <c r="C3455" t="s">
        <v>898</v>
      </c>
    </row>
    <row r="3456">
      <c r="C3456" t="s">
        <v>898</v>
      </c>
    </row>
    <row r="3457">
      <c r="C3457" t="s">
        <v>898</v>
      </c>
    </row>
    <row r="3458">
      <c r="C3458" t="s">
        <v>898</v>
      </c>
    </row>
    <row r="3459">
      <c r="C3459" t="s">
        <v>898</v>
      </c>
    </row>
    <row r="3460">
      <c r="C3460" t="s">
        <v>898</v>
      </c>
    </row>
    <row r="3461">
      <c r="C3461" t="s">
        <v>898</v>
      </c>
    </row>
    <row r="3462">
      <c r="C3462" t="s">
        <v>898</v>
      </c>
    </row>
    <row r="3463">
      <c r="C3463" t="s">
        <v>898</v>
      </c>
    </row>
    <row r="3464">
      <c r="C3464" t="s">
        <v>898</v>
      </c>
    </row>
    <row r="3465">
      <c r="C3465" t="s">
        <v>898</v>
      </c>
    </row>
    <row r="3466">
      <c r="C3466" t="s">
        <v>898</v>
      </c>
    </row>
    <row r="3467">
      <c r="C3467" t="s">
        <v>898</v>
      </c>
    </row>
    <row r="3468">
      <c r="C3468" t="s">
        <v>898</v>
      </c>
    </row>
    <row r="3469">
      <c r="C3469" t="s">
        <v>898</v>
      </c>
    </row>
    <row r="3470">
      <c r="C3470" t="s">
        <v>898</v>
      </c>
    </row>
    <row r="3471">
      <c r="C3471" t="s">
        <v>898</v>
      </c>
    </row>
    <row r="3472">
      <c r="C3472" t="s">
        <v>898</v>
      </c>
    </row>
    <row r="3473">
      <c r="C3473" t="s">
        <v>898</v>
      </c>
    </row>
    <row r="3474">
      <c r="C3474" t="s">
        <v>898</v>
      </c>
    </row>
    <row r="3475">
      <c r="C3475" t="s">
        <v>898</v>
      </c>
    </row>
    <row r="3476">
      <c r="C3476" t="s">
        <v>898</v>
      </c>
    </row>
    <row r="3477">
      <c r="C3477" t="s">
        <v>898</v>
      </c>
    </row>
    <row r="3478">
      <c r="C3478" t="s">
        <v>898</v>
      </c>
    </row>
    <row r="3479">
      <c r="C3479" t="s">
        <v>898</v>
      </c>
    </row>
    <row r="3480">
      <c r="C3480" t="s">
        <v>898</v>
      </c>
    </row>
    <row r="3481">
      <c r="C3481" t="s">
        <v>898</v>
      </c>
    </row>
    <row r="3482">
      <c r="C3482" t="s">
        <v>898</v>
      </c>
    </row>
    <row r="3483">
      <c r="C3483" t="s">
        <v>898</v>
      </c>
    </row>
    <row r="3484">
      <c r="C3484" t="s">
        <v>898</v>
      </c>
    </row>
    <row r="3485">
      <c r="C3485" t="s">
        <v>898</v>
      </c>
    </row>
    <row r="3486">
      <c r="C3486" t="s">
        <v>898</v>
      </c>
    </row>
    <row r="3487">
      <c r="C3487" t="s">
        <v>898</v>
      </c>
    </row>
    <row r="3488">
      <c r="C3488" t="s">
        <v>898</v>
      </c>
    </row>
    <row r="3489">
      <c r="C3489" t="s">
        <v>898</v>
      </c>
    </row>
    <row r="3490">
      <c r="C3490" t="s">
        <v>898</v>
      </c>
    </row>
    <row r="3491">
      <c r="C3491" t="s">
        <v>898</v>
      </c>
    </row>
    <row r="3492">
      <c r="C3492" t="s">
        <v>898</v>
      </c>
    </row>
    <row r="3493">
      <c r="C3493" t="s">
        <v>898</v>
      </c>
    </row>
    <row r="3494">
      <c r="C3494" t="s">
        <v>898</v>
      </c>
    </row>
    <row r="3495">
      <c r="C3495" t="s">
        <v>898</v>
      </c>
    </row>
    <row r="3496">
      <c r="C3496" t="s">
        <v>898</v>
      </c>
    </row>
    <row r="3497">
      <c r="C3497" t="s">
        <v>898</v>
      </c>
    </row>
    <row r="3498">
      <c r="C3498" t="s">
        <v>898</v>
      </c>
    </row>
    <row r="3499">
      <c r="C3499" t="s">
        <v>898</v>
      </c>
    </row>
    <row r="3500">
      <c r="C3500" t="s">
        <v>898</v>
      </c>
    </row>
    <row r="3501">
      <c r="C3501" t="s">
        <v>898</v>
      </c>
    </row>
    <row r="3502">
      <c r="C3502" t="s">
        <v>898</v>
      </c>
    </row>
    <row r="3503">
      <c r="C3503" t="s">
        <v>898</v>
      </c>
    </row>
    <row r="3504">
      <c r="C3504" t="s">
        <v>898</v>
      </c>
    </row>
    <row r="3505">
      <c r="C3505" t="s">
        <v>898</v>
      </c>
    </row>
    <row r="3506">
      <c r="C3506" t="s">
        <v>898</v>
      </c>
    </row>
    <row r="3507">
      <c r="C3507" t="s">
        <v>898</v>
      </c>
    </row>
    <row r="3508">
      <c r="C3508" t="s">
        <v>898</v>
      </c>
    </row>
    <row r="3509">
      <c r="C3509" t="s">
        <v>898</v>
      </c>
    </row>
    <row r="3510">
      <c r="C3510" t="s">
        <v>898</v>
      </c>
    </row>
    <row r="3511">
      <c r="C3511" t="s">
        <v>898</v>
      </c>
    </row>
    <row r="3512">
      <c r="C3512" t="s">
        <v>898</v>
      </c>
    </row>
    <row r="3513">
      <c r="C3513" t="s">
        <v>898</v>
      </c>
    </row>
    <row r="3514">
      <c r="C3514" t="s">
        <v>898</v>
      </c>
    </row>
    <row r="3515">
      <c r="C3515" t="s">
        <v>898</v>
      </c>
    </row>
    <row r="3516">
      <c r="C3516" t="s">
        <v>898</v>
      </c>
    </row>
    <row r="3517">
      <c r="C3517" t="s">
        <v>898</v>
      </c>
    </row>
    <row r="3518">
      <c r="C3518" t="s">
        <v>898</v>
      </c>
    </row>
    <row r="3519">
      <c r="C3519" t="s">
        <v>898</v>
      </c>
    </row>
    <row r="3520">
      <c r="C3520" t="s">
        <v>898</v>
      </c>
    </row>
    <row r="3521">
      <c r="C3521" t="s">
        <v>898</v>
      </c>
    </row>
    <row r="3522">
      <c r="C3522" t="s">
        <v>898</v>
      </c>
    </row>
    <row r="3523">
      <c r="C3523" t="s">
        <v>898</v>
      </c>
    </row>
    <row r="3524">
      <c r="C3524" t="s">
        <v>898</v>
      </c>
    </row>
    <row r="3525">
      <c r="C3525" t="s">
        <v>898</v>
      </c>
    </row>
    <row r="3526">
      <c r="C3526" t="s">
        <v>898</v>
      </c>
    </row>
    <row r="3527">
      <c r="C3527" t="s">
        <v>898</v>
      </c>
    </row>
    <row r="3528">
      <c r="C3528" t="s">
        <v>898</v>
      </c>
    </row>
    <row r="3529">
      <c r="C3529" t="s">
        <v>898</v>
      </c>
    </row>
    <row r="3530">
      <c r="C3530" t="s">
        <v>898</v>
      </c>
    </row>
    <row r="3531">
      <c r="C3531" t="s">
        <v>898</v>
      </c>
    </row>
    <row r="3532">
      <c r="C3532" t="s">
        <v>898</v>
      </c>
    </row>
    <row r="3533">
      <c r="C3533" t="s">
        <v>898</v>
      </c>
    </row>
    <row r="3534">
      <c r="C3534" t="s">
        <v>898</v>
      </c>
    </row>
    <row r="3535">
      <c r="C3535" t="s">
        <v>898</v>
      </c>
    </row>
    <row r="3536">
      <c r="C3536" t="s">
        <v>898</v>
      </c>
    </row>
    <row r="3537">
      <c r="C3537" t="s">
        <v>898</v>
      </c>
    </row>
    <row r="3538">
      <c r="C3538" t="s">
        <v>898</v>
      </c>
    </row>
    <row r="3539">
      <c r="C3539" t="s">
        <v>898</v>
      </c>
    </row>
    <row r="3540">
      <c r="C3540" t="s">
        <v>898</v>
      </c>
    </row>
    <row r="3541">
      <c r="C3541" t="s">
        <v>898</v>
      </c>
    </row>
    <row r="3542">
      <c r="C3542" t="s">
        <v>898</v>
      </c>
    </row>
    <row r="3543">
      <c r="C3543" t="s">
        <v>898</v>
      </c>
    </row>
    <row r="3544">
      <c r="C3544" t="s">
        <v>898</v>
      </c>
    </row>
    <row r="3545">
      <c r="C3545" t="s">
        <v>898</v>
      </c>
    </row>
    <row r="3546">
      <c r="C3546" t="s">
        <v>898</v>
      </c>
    </row>
    <row r="3547">
      <c r="C3547" t="s">
        <v>898</v>
      </c>
    </row>
    <row r="3548">
      <c r="C3548" t="s">
        <v>898</v>
      </c>
    </row>
    <row r="3549">
      <c r="C3549" t="s">
        <v>898</v>
      </c>
    </row>
    <row r="3550">
      <c r="C3550" t="s">
        <v>898</v>
      </c>
    </row>
    <row r="3551">
      <c r="C3551" t="s">
        <v>898</v>
      </c>
    </row>
    <row r="3552">
      <c r="C3552" t="s">
        <v>898</v>
      </c>
    </row>
    <row r="3553">
      <c r="C3553" t="s">
        <v>898</v>
      </c>
    </row>
    <row r="3554">
      <c r="C3554" t="s">
        <v>898</v>
      </c>
    </row>
    <row r="3555">
      <c r="C3555" t="s">
        <v>898</v>
      </c>
    </row>
    <row r="3556">
      <c r="C3556" t="s">
        <v>898</v>
      </c>
    </row>
    <row r="3557">
      <c r="C3557" t="s">
        <v>898</v>
      </c>
    </row>
    <row r="3558">
      <c r="C3558" t="s">
        <v>898</v>
      </c>
    </row>
    <row r="3559">
      <c r="C3559" t="s">
        <v>898</v>
      </c>
    </row>
    <row r="3560">
      <c r="C3560" t="s">
        <v>898</v>
      </c>
    </row>
    <row r="3561">
      <c r="C3561" t="s">
        <v>898</v>
      </c>
    </row>
    <row r="3562">
      <c r="C3562" t="s">
        <v>898</v>
      </c>
    </row>
    <row r="3563">
      <c r="C3563" t="s">
        <v>898</v>
      </c>
    </row>
    <row r="3564">
      <c r="C3564" t="s">
        <v>898</v>
      </c>
    </row>
    <row r="3565">
      <c r="C3565" t="s">
        <v>898</v>
      </c>
    </row>
    <row r="3566">
      <c r="C3566" t="s">
        <v>898</v>
      </c>
    </row>
    <row r="3567">
      <c r="C3567" t="s">
        <v>898</v>
      </c>
    </row>
    <row r="3568">
      <c r="C3568" t="s">
        <v>898</v>
      </c>
    </row>
    <row r="3569">
      <c r="C3569" t="s">
        <v>898</v>
      </c>
    </row>
    <row r="3570">
      <c r="C3570" t="s">
        <v>898</v>
      </c>
    </row>
    <row r="3571">
      <c r="C3571" t="s">
        <v>898</v>
      </c>
    </row>
    <row r="3572">
      <c r="C3572" t="s">
        <v>898</v>
      </c>
    </row>
    <row r="3573">
      <c r="C3573" t="s">
        <v>898</v>
      </c>
    </row>
    <row r="3574">
      <c r="C3574" t="s">
        <v>898</v>
      </c>
    </row>
    <row r="3575">
      <c r="C3575" t="s">
        <v>898</v>
      </c>
    </row>
    <row r="3576">
      <c r="C3576" t="s">
        <v>898</v>
      </c>
    </row>
    <row r="3577">
      <c r="C3577" t="s">
        <v>898</v>
      </c>
    </row>
    <row r="3578">
      <c r="C3578" t="s">
        <v>898</v>
      </c>
    </row>
    <row r="3579">
      <c r="C3579" t="s">
        <v>898</v>
      </c>
    </row>
    <row r="3580">
      <c r="C3580" t="s">
        <v>898</v>
      </c>
    </row>
    <row r="3581">
      <c r="C3581" t="s">
        <v>898</v>
      </c>
    </row>
    <row r="3582">
      <c r="C3582" t="s">
        <v>898</v>
      </c>
    </row>
    <row r="3583">
      <c r="C3583" t="s">
        <v>898</v>
      </c>
    </row>
    <row r="3584">
      <c r="C3584" t="s">
        <v>898</v>
      </c>
    </row>
    <row r="3585">
      <c r="C3585" t="s">
        <v>898</v>
      </c>
    </row>
    <row r="3586">
      <c r="C3586" t="s">
        <v>898</v>
      </c>
    </row>
    <row r="3587">
      <c r="C3587" t="s">
        <v>898</v>
      </c>
    </row>
    <row r="3588">
      <c r="C3588" t="s">
        <v>898</v>
      </c>
    </row>
    <row r="3589">
      <c r="C3589" t="s">
        <v>898</v>
      </c>
    </row>
    <row r="3590">
      <c r="C3590" t="s">
        <v>898</v>
      </c>
    </row>
    <row r="3591">
      <c r="C3591" t="s">
        <v>898</v>
      </c>
    </row>
    <row r="3592">
      <c r="C3592" t="s">
        <v>898</v>
      </c>
    </row>
    <row r="3593">
      <c r="C3593" t="s">
        <v>898</v>
      </c>
    </row>
    <row r="3594">
      <c r="C3594" t="s">
        <v>898</v>
      </c>
    </row>
    <row r="3595">
      <c r="C3595" t="s">
        <v>898</v>
      </c>
    </row>
    <row r="3596">
      <c r="C3596" t="s">
        <v>898</v>
      </c>
    </row>
    <row r="3597">
      <c r="C3597" t="s">
        <v>898</v>
      </c>
    </row>
    <row r="3598">
      <c r="C3598" t="s">
        <v>898</v>
      </c>
    </row>
    <row r="3599">
      <c r="C3599" t="s">
        <v>898</v>
      </c>
    </row>
    <row r="3600">
      <c r="C3600" t="s">
        <v>898</v>
      </c>
    </row>
    <row r="3601">
      <c r="C3601" t="s">
        <v>898</v>
      </c>
    </row>
    <row r="3602">
      <c r="C3602" t="s">
        <v>898</v>
      </c>
    </row>
    <row r="3603">
      <c r="C3603" t="s">
        <v>898</v>
      </c>
    </row>
    <row r="3604">
      <c r="C3604" t="s">
        <v>898</v>
      </c>
    </row>
    <row r="3605">
      <c r="C3605" t="s">
        <v>898</v>
      </c>
    </row>
    <row r="3606">
      <c r="C3606" t="s">
        <v>898</v>
      </c>
    </row>
    <row r="3607">
      <c r="C3607" t="s">
        <v>898</v>
      </c>
    </row>
    <row r="3608">
      <c r="C3608" t="s">
        <v>898</v>
      </c>
    </row>
    <row r="3609">
      <c r="C3609" t="s">
        <v>898</v>
      </c>
    </row>
    <row r="3610">
      <c r="C3610" t="s">
        <v>898</v>
      </c>
    </row>
    <row r="3611">
      <c r="C3611" t="s">
        <v>898</v>
      </c>
    </row>
    <row r="3612">
      <c r="C3612" t="s">
        <v>898</v>
      </c>
    </row>
    <row r="3613">
      <c r="C3613" t="s">
        <v>898</v>
      </c>
    </row>
    <row r="3614">
      <c r="C3614" t="s">
        <v>898</v>
      </c>
    </row>
    <row r="3615">
      <c r="C3615" t="s">
        <v>898</v>
      </c>
    </row>
    <row r="3616">
      <c r="C3616" t="s">
        <v>898</v>
      </c>
    </row>
    <row r="3617">
      <c r="C3617" t="s">
        <v>898</v>
      </c>
    </row>
    <row r="3618">
      <c r="C3618" t="s">
        <v>898</v>
      </c>
    </row>
    <row r="3619">
      <c r="C3619" t="s">
        <v>898</v>
      </c>
    </row>
    <row r="3620">
      <c r="C3620" t="s">
        <v>898</v>
      </c>
    </row>
    <row r="3621">
      <c r="C3621" t="s">
        <v>898</v>
      </c>
    </row>
    <row r="3622">
      <c r="C3622" t="s">
        <v>898</v>
      </c>
    </row>
    <row r="3623">
      <c r="C3623" t="s">
        <v>898</v>
      </c>
    </row>
    <row r="3624">
      <c r="C3624" t="s">
        <v>898</v>
      </c>
    </row>
    <row r="3625">
      <c r="C3625" t="s">
        <v>898</v>
      </c>
    </row>
    <row r="3626">
      <c r="C3626" t="s">
        <v>898</v>
      </c>
    </row>
    <row r="3627">
      <c r="C3627" t="s">
        <v>898</v>
      </c>
    </row>
    <row r="3628">
      <c r="C3628" t="s">
        <v>898</v>
      </c>
    </row>
    <row r="3629">
      <c r="C3629" t="s">
        <v>898</v>
      </c>
    </row>
    <row r="3630">
      <c r="C3630" t="s">
        <v>898</v>
      </c>
    </row>
    <row r="3631">
      <c r="C3631" t="s">
        <v>898</v>
      </c>
    </row>
    <row r="3632">
      <c r="C3632" t="s">
        <v>898</v>
      </c>
    </row>
    <row r="3633">
      <c r="C3633" t="s">
        <v>898</v>
      </c>
    </row>
    <row r="3634">
      <c r="C3634" t="s">
        <v>898</v>
      </c>
    </row>
    <row r="3635">
      <c r="C3635" t="s">
        <v>898</v>
      </c>
    </row>
    <row r="3636">
      <c r="C3636" t="s">
        <v>898</v>
      </c>
    </row>
    <row r="3637">
      <c r="C3637" t="s">
        <v>898</v>
      </c>
    </row>
    <row r="3638">
      <c r="C3638" t="s">
        <v>898</v>
      </c>
    </row>
    <row r="3639">
      <c r="C3639" t="s">
        <v>898</v>
      </c>
    </row>
    <row r="3640">
      <c r="C3640" t="s">
        <v>898</v>
      </c>
    </row>
    <row r="3641">
      <c r="C3641" t="s">
        <v>898</v>
      </c>
    </row>
    <row r="3642">
      <c r="C3642" t="s">
        <v>898</v>
      </c>
    </row>
    <row r="3643">
      <c r="C3643" t="s">
        <v>898</v>
      </c>
    </row>
    <row r="3644">
      <c r="C3644" t="s">
        <v>898</v>
      </c>
    </row>
    <row r="3645">
      <c r="C3645" t="s">
        <v>898</v>
      </c>
    </row>
    <row r="3646">
      <c r="C3646" t="s">
        <v>898</v>
      </c>
    </row>
    <row r="3647">
      <c r="C3647" t="s">
        <v>898</v>
      </c>
    </row>
    <row r="3648">
      <c r="C3648" t="s">
        <v>898</v>
      </c>
    </row>
    <row r="3649">
      <c r="C3649" t="s">
        <v>898</v>
      </c>
    </row>
    <row r="3650">
      <c r="C3650" t="s">
        <v>898</v>
      </c>
    </row>
    <row r="3651">
      <c r="C3651" t="s">
        <v>898</v>
      </c>
    </row>
    <row r="3652">
      <c r="C3652" t="s">
        <v>898</v>
      </c>
    </row>
    <row r="3653">
      <c r="C3653" t="s">
        <v>898</v>
      </c>
    </row>
    <row r="3654">
      <c r="C3654" t="s">
        <v>898</v>
      </c>
    </row>
    <row r="3655">
      <c r="C3655" t="s">
        <v>898</v>
      </c>
    </row>
    <row r="3656">
      <c r="C3656" t="s">
        <v>898</v>
      </c>
    </row>
    <row r="3657">
      <c r="C3657" t="s">
        <v>898</v>
      </c>
    </row>
    <row r="3658">
      <c r="C3658" t="s">
        <v>898</v>
      </c>
    </row>
    <row r="3659">
      <c r="C3659" t="s">
        <v>898</v>
      </c>
    </row>
    <row r="3660">
      <c r="C3660" t="s">
        <v>898</v>
      </c>
    </row>
    <row r="3661">
      <c r="C3661" t="s">
        <v>898</v>
      </c>
    </row>
    <row r="3662">
      <c r="C3662" t="s">
        <v>898</v>
      </c>
    </row>
    <row r="3663">
      <c r="C3663" t="s">
        <v>898</v>
      </c>
    </row>
    <row r="3664">
      <c r="C3664" t="s">
        <v>898</v>
      </c>
    </row>
    <row r="3665">
      <c r="C3665" t="s">
        <v>898</v>
      </c>
    </row>
    <row r="3666">
      <c r="C3666" t="s">
        <v>898</v>
      </c>
    </row>
    <row r="3667">
      <c r="C3667" t="s">
        <v>898</v>
      </c>
    </row>
    <row r="3668">
      <c r="C3668" t="s">
        <v>898</v>
      </c>
    </row>
    <row r="3669">
      <c r="C3669" t="s">
        <v>898</v>
      </c>
    </row>
    <row r="3670">
      <c r="C3670" t="s">
        <v>898</v>
      </c>
    </row>
    <row r="3671">
      <c r="C3671" t="s">
        <v>898</v>
      </c>
    </row>
    <row r="3672">
      <c r="C3672" t="s">
        <v>898</v>
      </c>
    </row>
    <row r="3673">
      <c r="C3673" t="s">
        <v>898</v>
      </c>
    </row>
    <row r="3674">
      <c r="C3674" t="s">
        <v>898</v>
      </c>
    </row>
    <row r="3675">
      <c r="C3675" t="s">
        <v>898</v>
      </c>
    </row>
    <row r="3676">
      <c r="C3676" t="s">
        <v>898</v>
      </c>
    </row>
    <row r="3677">
      <c r="C3677" t="s">
        <v>898</v>
      </c>
    </row>
    <row r="3678">
      <c r="C3678" t="s">
        <v>898</v>
      </c>
    </row>
    <row r="3679">
      <c r="C3679" t="s">
        <v>898</v>
      </c>
    </row>
    <row r="3680">
      <c r="C3680" t="s">
        <v>898</v>
      </c>
    </row>
    <row r="3681">
      <c r="C3681" t="s">
        <v>898</v>
      </c>
    </row>
    <row r="3682">
      <c r="C3682" t="s">
        <v>898</v>
      </c>
    </row>
    <row r="3683">
      <c r="C3683" t="s">
        <v>898</v>
      </c>
    </row>
    <row r="3684">
      <c r="C3684" t="s">
        <v>898</v>
      </c>
    </row>
    <row r="3685">
      <c r="C3685" t="s">
        <v>898</v>
      </c>
    </row>
    <row r="3686">
      <c r="C3686" t="s">
        <v>898</v>
      </c>
    </row>
    <row r="3687">
      <c r="C3687" t="s">
        <v>898</v>
      </c>
    </row>
    <row r="3688">
      <c r="C3688" t="s">
        <v>898</v>
      </c>
    </row>
    <row r="3689">
      <c r="C3689" t="s">
        <v>898</v>
      </c>
    </row>
    <row r="3690">
      <c r="C3690" t="s">
        <v>898</v>
      </c>
    </row>
    <row r="3691">
      <c r="C3691" t="s">
        <v>898</v>
      </c>
    </row>
    <row r="3692">
      <c r="C3692" t="s">
        <v>898</v>
      </c>
    </row>
    <row r="3693">
      <c r="C3693" t="s">
        <v>898</v>
      </c>
    </row>
    <row r="3694">
      <c r="C3694" t="s">
        <v>898</v>
      </c>
    </row>
    <row r="3695">
      <c r="C3695" t="s">
        <v>898</v>
      </c>
    </row>
    <row r="3696">
      <c r="C3696" t="s">
        <v>898</v>
      </c>
    </row>
    <row r="3697">
      <c r="C3697" t="s">
        <v>898</v>
      </c>
    </row>
    <row r="3698">
      <c r="C3698" t="s">
        <v>898</v>
      </c>
    </row>
    <row r="3699">
      <c r="C3699" t="s">
        <v>898</v>
      </c>
    </row>
    <row r="3700">
      <c r="C3700" t="s">
        <v>898</v>
      </c>
    </row>
    <row r="3701">
      <c r="C3701" t="s">
        <v>898</v>
      </c>
    </row>
    <row r="3702">
      <c r="C3702" t="s">
        <v>898</v>
      </c>
    </row>
    <row r="3703">
      <c r="C3703" t="s">
        <v>898</v>
      </c>
    </row>
    <row r="3704">
      <c r="C3704" t="s">
        <v>898</v>
      </c>
    </row>
    <row r="3705">
      <c r="C3705" t="s">
        <v>898</v>
      </c>
    </row>
    <row r="3706">
      <c r="C3706" t="s">
        <v>898</v>
      </c>
    </row>
    <row r="3707">
      <c r="C3707" t="s">
        <v>898</v>
      </c>
    </row>
    <row r="3708">
      <c r="C3708" t="s">
        <v>898</v>
      </c>
    </row>
    <row r="3709">
      <c r="C3709" t="s">
        <v>898</v>
      </c>
    </row>
    <row r="3710">
      <c r="C3710" t="s">
        <v>898</v>
      </c>
    </row>
    <row r="3711">
      <c r="C3711" t="s">
        <v>898</v>
      </c>
    </row>
    <row r="3712">
      <c r="C3712" t="s">
        <v>898</v>
      </c>
    </row>
    <row r="3713">
      <c r="C3713" t="s">
        <v>898</v>
      </c>
    </row>
    <row r="3714">
      <c r="C3714" t="s">
        <v>898</v>
      </c>
    </row>
    <row r="3715">
      <c r="C3715" t="s">
        <v>898</v>
      </c>
    </row>
    <row r="3716">
      <c r="C3716" t="s">
        <v>898</v>
      </c>
    </row>
    <row r="3717">
      <c r="C3717" t="s">
        <v>898</v>
      </c>
    </row>
    <row r="3718">
      <c r="C3718" t="s">
        <v>898</v>
      </c>
    </row>
    <row r="3719">
      <c r="C3719" t="s">
        <v>898</v>
      </c>
    </row>
    <row r="3720">
      <c r="C3720" t="s">
        <v>898</v>
      </c>
    </row>
    <row r="3721">
      <c r="C3721" t="s">
        <v>898</v>
      </c>
    </row>
    <row r="3722">
      <c r="C3722" t="s">
        <v>898</v>
      </c>
    </row>
    <row r="3723">
      <c r="C3723" t="s">
        <v>898</v>
      </c>
    </row>
    <row r="3724">
      <c r="C3724" t="s">
        <v>898</v>
      </c>
    </row>
    <row r="3725">
      <c r="C3725" t="s">
        <v>898</v>
      </c>
    </row>
    <row r="3726">
      <c r="C3726" t="s">
        <v>898</v>
      </c>
    </row>
    <row r="3727">
      <c r="C3727" t="s">
        <v>898</v>
      </c>
    </row>
    <row r="3728">
      <c r="C3728" t="s">
        <v>898</v>
      </c>
    </row>
    <row r="3729">
      <c r="C3729" t="s">
        <v>898</v>
      </c>
    </row>
    <row r="3730">
      <c r="C3730" t="s">
        <v>898</v>
      </c>
    </row>
    <row r="3731">
      <c r="C3731" t="s">
        <v>898</v>
      </c>
    </row>
    <row r="3732">
      <c r="C3732" t="s">
        <v>898</v>
      </c>
    </row>
    <row r="3733">
      <c r="C3733" t="s">
        <v>898</v>
      </c>
    </row>
    <row r="3734">
      <c r="C3734" t="s">
        <v>898</v>
      </c>
    </row>
    <row r="3735">
      <c r="C3735" t="s">
        <v>898</v>
      </c>
    </row>
    <row r="3736">
      <c r="C3736" t="s">
        <v>898</v>
      </c>
    </row>
    <row r="3737">
      <c r="C3737" t="s">
        <v>898</v>
      </c>
    </row>
    <row r="3738">
      <c r="C3738" t="s">
        <v>898</v>
      </c>
    </row>
    <row r="3739">
      <c r="C3739" t="s">
        <v>898</v>
      </c>
    </row>
    <row r="3740">
      <c r="C3740" t="s">
        <v>898</v>
      </c>
    </row>
    <row r="3741">
      <c r="C3741" t="s">
        <v>898</v>
      </c>
    </row>
    <row r="3742">
      <c r="C3742" t="s">
        <v>898</v>
      </c>
    </row>
    <row r="3743">
      <c r="C3743" t="s">
        <v>898</v>
      </c>
    </row>
    <row r="3744">
      <c r="C3744" t="s">
        <v>898</v>
      </c>
    </row>
    <row r="3745">
      <c r="C3745" t="s">
        <v>898</v>
      </c>
    </row>
    <row r="3746">
      <c r="C3746" t="s">
        <v>898</v>
      </c>
    </row>
    <row r="3747">
      <c r="C3747" t="s">
        <v>898</v>
      </c>
    </row>
    <row r="3748">
      <c r="C3748" t="s">
        <v>898</v>
      </c>
    </row>
    <row r="3749">
      <c r="C3749" t="s">
        <v>898</v>
      </c>
    </row>
    <row r="3750">
      <c r="C3750" t="s">
        <v>898</v>
      </c>
    </row>
    <row r="3751">
      <c r="C3751" t="s">
        <v>898</v>
      </c>
    </row>
    <row r="3752">
      <c r="C3752" t="s">
        <v>898</v>
      </c>
    </row>
    <row r="3753">
      <c r="C3753" t="s">
        <v>898</v>
      </c>
    </row>
    <row r="3754">
      <c r="C3754" t="s">
        <v>898</v>
      </c>
    </row>
    <row r="3755">
      <c r="C3755" t="s">
        <v>898</v>
      </c>
    </row>
    <row r="3756">
      <c r="C3756" t="s">
        <v>898</v>
      </c>
    </row>
    <row r="3757">
      <c r="C3757" t="s">
        <v>898</v>
      </c>
    </row>
    <row r="3758">
      <c r="C3758" t="s">
        <v>898</v>
      </c>
    </row>
    <row r="3759">
      <c r="C3759" t="s">
        <v>898</v>
      </c>
    </row>
    <row r="3760">
      <c r="C3760" t="s">
        <v>898</v>
      </c>
    </row>
    <row r="3761">
      <c r="C3761" t="s">
        <v>898</v>
      </c>
    </row>
    <row r="3762">
      <c r="C3762" t="s">
        <v>898</v>
      </c>
    </row>
    <row r="3763">
      <c r="C3763" t="s">
        <v>898</v>
      </c>
    </row>
    <row r="3764">
      <c r="C3764" t="s">
        <v>898</v>
      </c>
    </row>
    <row r="3765">
      <c r="C3765" t="s">
        <v>898</v>
      </c>
    </row>
    <row r="3766">
      <c r="C3766" t="s">
        <v>898</v>
      </c>
    </row>
    <row r="3767">
      <c r="C3767" t="s">
        <v>898</v>
      </c>
    </row>
    <row r="3768">
      <c r="C3768" t="s">
        <v>898</v>
      </c>
    </row>
    <row r="3769">
      <c r="C3769" t="s">
        <v>898</v>
      </c>
    </row>
    <row r="3770">
      <c r="C3770" t="s">
        <v>898</v>
      </c>
    </row>
    <row r="3771">
      <c r="C3771" t="s">
        <v>898</v>
      </c>
    </row>
    <row r="3772">
      <c r="C3772" t="s">
        <v>898</v>
      </c>
    </row>
    <row r="3773">
      <c r="C3773" t="s">
        <v>898</v>
      </c>
    </row>
    <row r="3774">
      <c r="C3774" t="s">
        <v>898</v>
      </c>
    </row>
    <row r="3775">
      <c r="C3775" t="s">
        <v>898</v>
      </c>
    </row>
    <row r="3776">
      <c r="C3776" t="s">
        <v>898</v>
      </c>
    </row>
    <row r="3777">
      <c r="C3777" t="s">
        <v>898</v>
      </c>
    </row>
    <row r="3778">
      <c r="C3778" t="s">
        <v>898</v>
      </c>
    </row>
    <row r="3779">
      <c r="C3779" t="s">
        <v>898</v>
      </c>
    </row>
    <row r="3780">
      <c r="C3780" t="s">
        <v>898</v>
      </c>
    </row>
    <row r="3781">
      <c r="C3781" t="s">
        <v>898</v>
      </c>
    </row>
    <row r="3782">
      <c r="C3782" t="s">
        <v>898</v>
      </c>
    </row>
    <row r="3783">
      <c r="C3783" t="s">
        <v>898</v>
      </c>
    </row>
    <row r="3784">
      <c r="C3784" t="s">
        <v>898</v>
      </c>
    </row>
    <row r="3785">
      <c r="C3785" t="s">
        <v>898</v>
      </c>
    </row>
    <row r="3786">
      <c r="C3786" t="s">
        <v>898</v>
      </c>
    </row>
    <row r="3787">
      <c r="C3787" t="s">
        <v>898</v>
      </c>
    </row>
    <row r="3788">
      <c r="C3788" t="s">
        <v>898</v>
      </c>
    </row>
    <row r="3789">
      <c r="C3789" t="s">
        <v>898</v>
      </c>
    </row>
    <row r="3790">
      <c r="C3790" t="s">
        <v>898</v>
      </c>
    </row>
    <row r="3791">
      <c r="C3791" t="s">
        <v>898</v>
      </c>
    </row>
    <row r="3792">
      <c r="C3792" t="s">
        <v>898</v>
      </c>
    </row>
    <row r="3793">
      <c r="C3793" t="s">
        <v>898</v>
      </c>
    </row>
    <row r="3794">
      <c r="C3794" t="s">
        <v>898</v>
      </c>
    </row>
    <row r="3795">
      <c r="C3795" t="s">
        <v>898</v>
      </c>
    </row>
    <row r="3796">
      <c r="C3796" t="s">
        <v>898</v>
      </c>
    </row>
    <row r="3797">
      <c r="C3797" t="s">
        <v>898</v>
      </c>
    </row>
    <row r="3798">
      <c r="C3798" t="s">
        <v>898</v>
      </c>
    </row>
    <row r="3799">
      <c r="C3799" t="s">
        <v>898</v>
      </c>
    </row>
    <row r="3800">
      <c r="C3800" t="s">
        <v>898</v>
      </c>
    </row>
    <row r="3801">
      <c r="C3801" t="s">
        <v>898</v>
      </c>
    </row>
    <row r="3802">
      <c r="C3802" t="s">
        <v>898</v>
      </c>
    </row>
    <row r="3803">
      <c r="C3803" t="s">
        <v>898</v>
      </c>
    </row>
    <row r="3804">
      <c r="C3804" t="s">
        <v>898</v>
      </c>
    </row>
    <row r="3805">
      <c r="C3805" t="s">
        <v>898</v>
      </c>
    </row>
    <row r="3806">
      <c r="C3806" t="s">
        <v>898</v>
      </c>
    </row>
    <row r="3807">
      <c r="C3807" t="s">
        <v>898</v>
      </c>
    </row>
    <row r="3808">
      <c r="C3808" t="s">
        <v>898</v>
      </c>
    </row>
    <row r="3809">
      <c r="C3809" t="s">
        <v>898</v>
      </c>
    </row>
    <row r="3810">
      <c r="C3810" t="s">
        <v>898</v>
      </c>
    </row>
    <row r="3811">
      <c r="C3811" t="s">
        <v>898</v>
      </c>
    </row>
    <row r="3812">
      <c r="C3812" t="s">
        <v>898</v>
      </c>
    </row>
    <row r="3813">
      <c r="C3813" t="s">
        <v>898</v>
      </c>
    </row>
    <row r="3814">
      <c r="C3814" t="s">
        <v>898</v>
      </c>
    </row>
    <row r="3815">
      <c r="C3815" t="s">
        <v>898</v>
      </c>
    </row>
    <row r="3816">
      <c r="C3816" t="s">
        <v>898</v>
      </c>
    </row>
    <row r="3817">
      <c r="C3817" t="s">
        <v>898</v>
      </c>
    </row>
    <row r="3818">
      <c r="C3818" t="s">
        <v>898</v>
      </c>
    </row>
    <row r="3819">
      <c r="C3819" t="s">
        <v>898</v>
      </c>
    </row>
    <row r="3820">
      <c r="C3820" t="s">
        <v>898</v>
      </c>
    </row>
    <row r="3821">
      <c r="C3821" t="s">
        <v>898</v>
      </c>
    </row>
    <row r="3822">
      <c r="C3822" t="s">
        <v>898</v>
      </c>
    </row>
    <row r="3823">
      <c r="C3823" t="s">
        <v>898</v>
      </c>
    </row>
    <row r="3824">
      <c r="C3824" t="s">
        <v>898</v>
      </c>
    </row>
    <row r="3825">
      <c r="C3825" t="s">
        <v>898</v>
      </c>
    </row>
    <row r="3826">
      <c r="C3826" t="s">
        <v>898</v>
      </c>
    </row>
    <row r="3827">
      <c r="C3827" t="s">
        <v>898</v>
      </c>
    </row>
    <row r="3828">
      <c r="C3828" t="s">
        <v>898</v>
      </c>
    </row>
    <row r="3829">
      <c r="C3829" t="s">
        <v>898</v>
      </c>
    </row>
    <row r="3830">
      <c r="C3830" t="s">
        <v>898</v>
      </c>
    </row>
    <row r="3831">
      <c r="C3831" t="s">
        <v>898</v>
      </c>
    </row>
    <row r="3832">
      <c r="C3832" t="s">
        <v>898</v>
      </c>
    </row>
    <row r="3833">
      <c r="C3833" t="s">
        <v>898</v>
      </c>
    </row>
    <row r="3834">
      <c r="C3834" t="s">
        <v>898</v>
      </c>
    </row>
    <row r="3835">
      <c r="C3835" t="s">
        <v>898</v>
      </c>
    </row>
    <row r="3836">
      <c r="C3836" t="s">
        <v>898</v>
      </c>
    </row>
    <row r="3837">
      <c r="C3837" t="s">
        <v>898</v>
      </c>
    </row>
    <row r="3838">
      <c r="C3838" t="s">
        <v>898</v>
      </c>
    </row>
    <row r="3839">
      <c r="C3839" t="s">
        <v>898</v>
      </c>
    </row>
    <row r="3840">
      <c r="C3840" t="s">
        <v>898</v>
      </c>
    </row>
    <row r="3841">
      <c r="C3841" t="s">
        <v>898</v>
      </c>
    </row>
    <row r="3842">
      <c r="C3842" t="s">
        <v>898</v>
      </c>
    </row>
    <row r="3843">
      <c r="C3843" t="s">
        <v>898</v>
      </c>
    </row>
    <row r="3844">
      <c r="C3844" t="s">
        <v>898</v>
      </c>
    </row>
    <row r="3845">
      <c r="C3845" t="s">
        <v>898</v>
      </c>
    </row>
    <row r="3846">
      <c r="C3846" t="s">
        <v>898</v>
      </c>
    </row>
    <row r="3847">
      <c r="C3847" t="s">
        <v>898</v>
      </c>
    </row>
    <row r="3848">
      <c r="C3848" t="s">
        <v>898</v>
      </c>
    </row>
    <row r="3849">
      <c r="C3849" t="s">
        <v>898</v>
      </c>
    </row>
    <row r="3850">
      <c r="C3850" t="s">
        <v>898</v>
      </c>
    </row>
    <row r="3851">
      <c r="C3851" t="s">
        <v>898</v>
      </c>
    </row>
    <row r="3852">
      <c r="C3852" t="s">
        <v>898</v>
      </c>
    </row>
    <row r="3853">
      <c r="C3853" t="s">
        <v>898</v>
      </c>
    </row>
    <row r="3854">
      <c r="C3854" t="s">
        <v>898</v>
      </c>
    </row>
    <row r="3855">
      <c r="C3855" t="s">
        <v>898</v>
      </c>
    </row>
    <row r="3856">
      <c r="C3856" t="s">
        <v>898</v>
      </c>
    </row>
    <row r="3857">
      <c r="C3857" t="s">
        <v>898</v>
      </c>
    </row>
    <row r="3858">
      <c r="C3858" t="s">
        <v>898</v>
      </c>
    </row>
    <row r="3859">
      <c r="C3859" t="s">
        <v>898</v>
      </c>
    </row>
    <row r="3860">
      <c r="C3860" t="s">
        <v>898</v>
      </c>
    </row>
    <row r="3861">
      <c r="C3861" t="s">
        <v>898</v>
      </c>
    </row>
    <row r="3862">
      <c r="C3862" t="s">
        <v>898</v>
      </c>
    </row>
    <row r="3863">
      <c r="C3863" t="s">
        <v>898</v>
      </c>
    </row>
    <row r="3864">
      <c r="C3864" t="s">
        <v>898</v>
      </c>
    </row>
    <row r="3865">
      <c r="C3865" t="s">
        <v>898</v>
      </c>
    </row>
    <row r="3866">
      <c r="C3866" t="s">
        <v>898</v>
      </c>
    </row>
    <row r="3867">
      <c r="C3867" t="s">
        <v>898</v>
      </c>
    </row>
    <row r="3868">
      <c r="C3868" t="s">
        <v>898</v>
      </c>
    </row>
    <row r="3869">
      <c r="C3869" t="s">
        <v>898</v>
      </c>
    </row>
    <row r="3870">
      <c r="C3870" t="s">
        <v>898</v>
      </c>
    </row>
    <row r="3871">
      <c r="C3871" t="s">
        <v>898</v>
      </c>
    </row>
    <row r="3872">
      <c r="C3872" t="s">
        <v>898</v>
      </c>
    </row>
    <row r="3873">
      <c r="C3873" t="s">
        <v>898</v>
      </c>
    </row>
    <row r="3874">
      <c r="C3874" t="s">
        <v>898</v>
      </c>
    </row>
    <row r="3875">
      <c r="C3875" t="s">
        <v>898</v>
      </c>
    </row>
    <row r="3876">
      <c r="C3876" t="s">
        <v>898</v>
      </c>
    </row>
    <row r="3877">
      <c r="C3877" t="s">
        <v>898</v>
      </c>
    </row>
    <row r="3878">
      <c r="C3878" t="s">
        <v>898</v>
      </c>
    </row>
    <row r="3879">
      <c r="C3879" t="s">
        <v>898</v>
      </c>
    </row>
    <row r="3880">
      <c r="C3880" t="s">
        <v>898</v>
      </c>
    </row>
    <row r="3881">
      <c r="C3881" t="s">
        <v>898</v>
      </c>
    </row>
    <row r="3882">
      <c r="C3882" t="s">
        <v>898</v>
      </c>
    </row>
    <row r="3883">
      <c r="C3883" t="s">
        <v>898</v>
      </c>
    </row>
    <row r="3884">
      <c r="C3884" t="s">
        <v>898</v>
      </c>
    </row>
    <row r="3885">
      <c r="C3885" t="s">
        <v>898</v>
      </c>
    </row>
    <row r="3886">
      <c r="C3886" t="s">
        <v>898</v>
      </c>
    </row>
    <row r="3887">
      <c r="C3887" t="s">
        <v>898</v>
      </c>
    </row>
    <row r="3888">
      <c r="C3888" t="s">
        <v>898</v>
      </c>
    </row>
    <row r="3889">
      <c r="C3889" t="s">
        <v>898</v>
      </c>
    </row>
    <row r="3890">
      <c r="C3890" t="s">
        <v>898</v>
      </c>
    </row>
    <row r="3891">
      <c r="C3891" t="s">
        <v>898</v>
      </c>
    </row>
    <row r="3892">
      <c r="C3892" t="s">
        <v>898</v>
      </c>
    </row>
    <row r="3893">
      <c r="C3893" t="s">
        <v>898</v>
      </c>
    </row>
    <row r="3894">
      <c r="C3894" t="s">
        <v>898</v>
      </c>
    </row>
    <row r="3895">
      <c r="C3895" t="s">
        <v>898</v>
      </c>
    </row>
    <row r="3896">
      <c r="C3896" t="s">
        <v>898</v>
      </c>
    </row>
    <row r="3897">
      <c r="C3897" t="s">
        <v>898</v>
      </c>
    </row>
    <row r="3898">
      <c r="C3898" t="s">
        <v>898</v>
      </c>
    </row>
    <row r="3899">
      <c r="C3899" t="s">
        <v>898</v>
      </c>
    </row>
    <row r="3900">
      <c r="C3900" t="s">
        <v>898</v>
      </c>
    </row>
    <row r="3901">
      <c r="C3901" t="s">
        <v>898</v>
      </c>
    </row>
    <row r="3902">
      <c r="C3902" t="s">
        <v>898</v>
      </c>
    </row>
    <row r="3903">
      <c r="C3903" t="s">
        <v>898</v>
      </c>
    </row>
    <row r="3904">
      <c r="C3904" t="s">
        <v>898</v>
      </c>
    </row>
    <row r="3905">
      <c r="C3905" t="s">
        <v>898</v>
      </c>
    </row>
    <row r="3906">
      <c r="C3906" t="s">
        <v>898</v>
      </c>
    </row>
    <row r="3907">
      <c r="C3907" t="s">
        <v>898</v>
      </c>
    </row>
    <row r="3908">
      <c r="C3908" t="s">
        <v>898</v>
      </c>
    </row>
    <row r="3909">
      <c r="C3909" t="s">
        <v>898</v>
      </c>
    </row>
    <row r="3910">
      <c r="C3910" t="s">
        <v>898</v>
      </c>
    </row>
    <row r="3911">
      <c r="C3911" t="s">
        <v>898</v>
      </c>
    </row>
    <row r="3912">
      <c r="C3912" t="s">
        <v>898</v>
      </c>
    </row>
    <row r="3913">
      <c r="C3913" t="s">
        <v>898</v>
      </c>
    </row>
    <row r="3914">
      <c r="C3914" t="s">
        <v>898</v>
      </c>
    </row>
    <row r="3915">
      <c r="C3915" t="s">
        <v>898</v>
      </c>
    </row>
    <row r="3916">
      <c r="C3916" t="s">
        <v>898</v>
      </c>
    </row>
    <row r="3917">
      <c r="C3917" t="s">
        <v>898</v>
      </c>
    </row>
    <row r="3918">
      <c r="C3918" t="s">
        <v>898</v>
      </c>
    </row>
    <row r="3919">
      <c r="C3919" t="s">
        <v>898</v>
      </c>
    </row>
    <row r="3920">
      <c r="C3920" t="s">
        <v>898</v>
      </c>
    </row>
    <row r="3921">
      <c r="C3921" t="s">
        <v>898</v>
      </c>
    </row>
    <row r="3922">
      <c r="C3922" t="s">
        <v>898</v>
      </c>
    </row>
    <row r="3923">
      <c r="C3923" t="s">
        <v>898</v>
      </c>
    </row>
    <row r="3924">
      <c r="C3924" t="s">
        <v>898</v>
      </c>
    </row>
    <row r="3925">
      <c r="C3925" t="s">
        <v>898</v>
      </c>
    </row>
    <row r="3926">
      <c r="C3926" t="s">
        <v>898</v>
      </c>
    </row>
    <row r="3927">
      <c r="C3927" t="s">
        <v>898</v>
      </c>
    </row>
    <row r="3928">
      <c r="C3928" t="s">
        <v>898</v>
      </c>
    </row>
    <row r="3929">
      <c r="C3929" t="s">
        <v>898</v>
      </c>
    </row>
    <row r="3930">
      <c r="C3930" t="s">
        <v>898</v>
      </c>
    </row>
    <row r="3931">
      <c r="C3931" t="s">
        <v>898</v>
      </c>
    </row>
    <row r="3932">
      <c r="C3932" t="s">
        <v>898</v>
      </c>
    </row>
    <row r="3933">
      <c r="C3933" t="s">
        <v>898</v>
      </c>
    </row>
    <row r="3934">
      <c r="C3934" t="s">
        <v>898</v>
      </c>
    </row>
    <row r="3935">
      <c r="C3935" t="s">
        <v>898</v>
      </c>
    </row>
    <row r="3936">
      <c r="C3936" t="s">
        <v>898</v>
      </c>
    </row>
    <row r="3937">
      <c r="C3937" t="s">
        <v>898</v>
      </c>
    </row>
    <row r="3938">
      <c r="C3938" t="s">
        <v>898</v>
      </c>
    </row>
    <row r="3939">
      <c r="C3939" t="s">
        <v>898</v>
      </c>
    </row>
    <row r="3940">
      <c r="C3940" t="s">
        <v>898</v>
      </c>
    </row>
    <row r="3941">
      <c r="C3941" t="s">
        <v>898</v>
      </c>
    </row>
    <row r="3942">
      <c r="C3942" t="s">
        <v>898</v>
      </c>
    </row>
    <row r="3943">
      <c r="C3943" t="s">
        <v>898</v>
      </c>
    </row>
    <row r="3944">
      <c r="C3944" t="s">
        <v>898</v>
      </c>
    </row>
    <row r="3945">
      <c r="C3945" t="s">
        <v>898</v>
      </c>
    </row>
    <row r="3946">
      <c r="C3946" t="s">
        <v>898</v>
      </c>
    </row>
    <row r="3947">
      <c r="C3947" t="s">
        <v>898</v>
      </c>
    </row>
    <row r="3948">
      <c r="C3948" t="s">
        <v>898</v>
      </c>
    </row>
    <row r="3949">
      <c r="C3949" t="s">
        <v>898</v>
      </c>
    </row>
    <row r="3950">
      <c r="C3950" t="s">
        <v>898</v>
      </c>
    </row>
    <row r="3951">
      <c r="C3951" t="s">
        <v>898</v>
      </c>
    </row>
    <row r="3952">
      <c r="C3952" t="s">
        <v>898</v>
      </c>
    </row>
    <row r="3953">
      <c r="C3953" t="s">
        <v>898</v>
      </c>
    </row>
    <row r="3954">
      <c r="C3954" t="s">
        <v>898</v>
      </c>
    </row>
    <row r="3955">
      <c r="C3955" t="s">
        <v>898</v>
      </c>
    </row>
    <row r="3956">
      <c r="C3956" t="s">
        <v>898</v>
      </c>
    </row>
    <row r="3957">
      <c r="C3957" t="s">
        <v>898</v>
      </c>
    </row>
    <row r="3958">
      <c r="C3958" t="s">
        <v>898</v>
      </c>
    </row>
    <row r="3959">
      <c r="C3959" t="s">
        <v>898</v>
      </c>
    </row>
    <row r="3960">
      <c r="C3960" t="s">
        <v>898</v>
      </c>
    </row>
    <row r="3961">
      <c r="C3961" t="s">
        <v>898</v>
      </c>
    </row>
    <row r="3962">
      <c r="C3962" t="s">
        <v>898</v>
      </c>
    </row>
    <row r="3963">
      <c r="C3963" t="s">
        <v>898</v>
      </c>
    </row>
    <row r="3964">
      <c r="C3964" t="s">
        <v>898</v>
      </c>
    </row>
    <row r="3965">
      <c r="C3965" t="s">
        <v>898</v>
      </c>
    </row>
    <row r="3966">
      <c r="C3966" t="s">
        <v>898</v>
      </c>
    </row>
    <row r="3967">
      <c r="C3967" t="s">
        <v>898</v>
      </c>
    </row>
    <row r="3968">
      <c r="C3968" t="s">
        <v>898</v>
      </c>
    </row>
    <row r="3969">
      <c r="C3969" t="s">
        <v>898</v>
      </c>
    </row>
    <row r="3970">
      <c r="C3970" t="s">
        <v>898</v>
      </c>
    </row>
    <row r="3971">
      <c r="C3971" t="s">
        <v>898</v>
      </c>
    </row>
    <row r="3972">
      <c r="C3972" t="s">
        <v>898</v>
      </c>
    </row>
    <row r="3973">
      <c r="C3973" t="s">
        <v>898</v>
      </c>
    </row>
    <row r="3974">
      <c r="C3974" t="s">
        <v>898</v>
      </c>
    </row>
    <row r="3975">
      <c r="C3975" t="s">
        <v>898</v>
      </c>
    </row>
    <row r="3976">
      <c r="C3976" t="s">
        <v>898</v>
      </c>
    </row>
    <row r="3977">
      <c r="C3977" t="s">
        <v>898</v>
      </c>
    </row>
    <row r="3978">
      <c r="C3978" t="s">
        <v>898</v>
      </c>
    </row>
    <row r="3979">
      <c r="C3979" t="s">
        <v>898</v>
      </c>
    </row>
    <row r="3980">
      <c r="C3980" t="s">
        <v>898</v>
      </c>
    </row>
    <row r="3981">
      <c r="C3981" t="s">
        <v>898</v>
      </c>
    </row>
    <row r="3982">
      <c r="C3982" t="s">
        <v>898</v>
      </c>
    </row>
    <row r="3983">
      <c r="C3983" t="s">
        <v>898</v>
      </c>
    </row>
    <row r="3984">
      <c r="C3984" t="s">
        <v>898</v>
      </c>
    </row>
    <row r="3985">
      <c r="C3985" t="s">
        <v>898</v>
      </c>
    </row>
    <row r="3986">
      <c r="C3986" t="s">
        <v>898</v>
      </c>
    </row>
    <row r="3987">
      <c r="C3987" t="s">
        <v>898</v>
      </c>
    </row>
    <row r="3988">
      <c r="C3988" t="s">
        <v>898</v>
      </c>
    </row>
    <row r="3989">
      <c r="C3989" t="s">
        <v>898</v>
      </c>
    </row>
    <row r="3990">
      <c r="C3990" t="s">
        <v>898</v>
      </c>
    </row>
    <row r="3991">
      <c r="C3991" t="s">
        <v>898</v>
      </c>
    </row>
    <row r="3992">
      <c r="C3992" t="s">
        <v>898</v>
      </c>
    </row>
    <row r="3993">
      <c r="C3993" t="s">
        <v>898</v>
      </c>
    </row>
    <row r="3994">
      <c r="C3994" t="s">
        <v>898</v>
      </c>
    </row>
    <row r="3995">
      <c r="C3995" t="s">
        <v>898</v>
      </c>
    </row>
    <row r="3996">
      <c r="C3996" t="s">
        <v>898</v>
      </c>
    </row>
    <row r="3997">
      <c r="C3997" t="s">
        <v>898</v>
      </c>
    </row>
    <row r="3998">
      <c r="C3998" t="s">
        <v>898</v>
      </c>
    </row>
    <row r="3999">
      <c r="C3999" t="s">
        <v>898</v>
      </c>
    </row>
    <row r="4000">
      <c r="C4000" t="s">
        <v>898</v>
      </c>
    </row>
    <row r="4001">
      <c r="C4001" t="s">
        <v>898</v>
      </c>
    </row>
    <row r="4002">
      <c r="C4002" t="s">
        <v>898</v>
      </c>
    </row>
    <row r="4003">
      <c r="C4003" t="s">
        <v>898</v>
      </c>
    </row>
    <row r="4004">
      <c r="C4004" t="s">
        <v>898</v>
      </c>
    </row>
    <row r="4005">
      <c r="C4005" t="s">
        <v>898</v>
      </c>
    </row>
    <row r="4006">
      <c r="C4006" t="s">
        <v>898</v>
      </c>
    </row>
    <row r="4007">
      <c r="C4007" t="s">
        <v>898</v>
      </c>
    </row>
    <row r="4008">
      <c r="C4008" t="s">
        <v>898</v>
      </c>
    </row>
    <row r="4009">
      <c r="C4009" t="s">
        <v>898</v>
      </c>
    </row>
    <row r="4010">
      <c r="C4010" t="s">
        <v>898</v>
      </c>
    </row>
    <row r="4011">
      <c r="C4011" t="s">
        <v>898</v>
      </c>
    </row>
    <row r="4012">
      <c r="C4012" t="s">
        <v>898</v>
      </c>
    </row>
    <row r="4013">
      <c r="C4013" t="s">
        <v>898</v>
      </c>
    </row>
    <row r="4014">
      <c r="C4014" t="s">
        <v>898</v>
      </c>
    </row>
    <row r="4015">
      <c r="C4015" t="s">
        <v>898</v>
      </c>
    </row>
    <row r="4016">
      <c r="C4016" t="s">
        <v>898</v>
      </c>
    </row>
    <row r="4017">
      <c r="C4017" t="s">
        <v>898</v>
      </c>
    </row>
    <row r="4018">
      <c r="C4018" t="s">
        <v>898</v>
      </c>
    </row>
    <row r="4019">
      <c r="C4019" t="s">
        <v>898</v>
      </c>
    </row>
    <row r="4020">
      <c r="C4020" t="s">
        <v>898</v>
      </c>
    </row>
    <row r="4021">
      <c r="C4021" t="s">
        <v>898</v>
      </c>
    </row>
    <row r="4022">
      <c r="C4022" t="s">
        <v>898</v>
      </c>
    </row>
    <row r="4023">
      <c r="C4023" t="s">
        <v>898</v>
      </c>
    </row>
    <row r="4024">
      <c r="C4024" t="s">
        <v>898</v>
      </c>
    </row>
    <row r="4025">
      <c r="C4025" t="s">
        <v>898</v>
      </c>
    </row>
    <row r="4026">
      <c r="C4026" t="s">
        <v>898</v>
      </c>
    </row>
    <row r="4027">
      <c r="C4027" t="s">
        <v>898</v>
      </c>
    </row>
    <row r="4028">
      <c r="C4028" t="s">
        <v>898</v>
      </c>
    </row>
    <row r="4029">
      <c r="C4029" t="s">
        <v>898</v>
      </c>
    </row>
    <row r="4030">
      <c r="C4030" t="s">
        <v>898</v>
      </c>
    </row>
    <row r="4031">
      <c r="C4031" t="s">
        <v>898</v>
      </c>
    </row>
    <row r="4032">
      <c r="C4032" t="s">
        <v>898</v>
      </c>
    </row>
    <row r="4033">
      <c r="C4033" t="s">
        <v>898</v>
      </c>
    </row>
    <row r="4034">
      <c r="C4034" t="s">
        <v>898</v>
      </c>
    </row>
    <row r="4035">
      <c r="C4035" t="s">
        <v>898</v>
      </c>
    </row>
    <row r="4036">
      <c r="C4036" t="s">
        <v>898</v>
      </c>
    </row>
    <row r="4037">
      <c r="C4037" t="s">
        <v>898</v>
      </c>
    </row>
    <row r="4038">
      <c r="C4038" t="s">
        <v>898</v>
      </c>
    </row>
    <row r="4039">
      <c r="C4039" t="s">
        <v>898</v>
      </c>
    </row>
    <row r="4040">
      <c r="C4040" t="s">
        <v>898</v>
      </c>
    </row>
    <row r="4041">
      <c r="C4041" t="s">
        <v>898</v>
      </c>
    </row>
    <row r="4042">
      <c r="C4042" t="s">
        <v>898</v>
      </c>
    </row>
    <row r="4043">
      <c r="C4043" t="s">
        <v>898</v>
      </c>
    </row>
    <row r="4044">
      <c r="C4044" t="s">
        <v>898</v>
      </c>
    </row>
    <row r="4045">
      <c r="C4045" t="s">
        <v>898</v>
      </c>
    </row>
    <row r="4046">
      <c r="C4046" t="s">
        <v>898</v>
      </c>
    </row>
    <row r="4047">
      <c r="C4047" t="s">
        <v>898</v>
      </c>
    </row>
    <row r="4048">
      <c r="C4048" t="s">
        <v>898</v>
      </c>
    </row>
    <row r="4049">
      <c r="C4049" t="s">
        <v>898</v>
      </c>
    </row>
    <row r="4050">
      <c r="C4050" t="s">
        <v>898</v>
      </c>
    </row>
    <row r="4051">
      <c r="C4051" t="s">
        <v>898</v>
      </c>
    </row>
    <row r="4052">
      <c r="C4052" t="s">
        <v>898</v>
      </c>
    </row>
    <row r="4053">
      <c r="C4053" t="s">
        <v>898</v>
      </c>
    </row>
    <row r="4054">
      <c r="C4054" t="s">
        <v>898</v>
      </c>
    </row>
    <row r="4055">
      <c r="C4055" t="s">
        <v>898</v>
      </c>
    </row>
    <row r="4056">
      <c r="C4056" t="s">
        <v>898</v>
      </c>
    </row>
    <row r="4057">
      <c r="C4057" t="s">
        <v>898</v>
      </c>
    </row>
    <row r="4058">
      <c r="C4058" t="s">
        <v>898</v>
      </c>
    </row>
    <row r="4059">
      <c r="C4059" t="s">
        <v>898</v>
      </c>
    </row>
    <row r="4060">
      <c r="C4060" t="s">
        <v>898</v>
      </c>
    </row>
    <row r="4061">
      <c r="C4061" t="s">
        <v>898</v>
      </c>
    </row>
    <row r="4062">
      <c r="C4062" t="s">
        <v>898</v>
      </c>
    </row>
    <row r="4063">
      <c r="C4063" t="s">
        <v>898</v>
      </c>
    </row>
    <row r="4064">
      <c r="C4064" t="s">
        <v>898</v>
      </c>
    </row>
    <row r="4065">
      <c r="C4065" t="s">
        <v>898</v>
      </c>
    </row>
    <row r="4066">
      <c r="C4066" t="s">
        <v>898</v>
      </c>
    </row>
    <row r="4067">
      <c r="C4067" t="s">
        <v>898</v>
      </c>
    </row>
    <row r="4068">
      <c r="C4068" t="s">
        <v>898</v>
      </c>
    </row>
    <row r="4069">
      <c r="C4069" t="s">
        <v>898</v>
      </c>
    </row>
    <row r="4070">
      <c r="C4070" t="s">
        <v>898</v>
      </c>
    </row>
    <row r="4071">
      <c r="C4071" t="s">
        <v>898</v>
      </c>
    </row>
    <row r="4072">
      <c r="C4072" t="s">
        <v>898</v>
      </c>
    </row>
    <row r="4073">
      <c r="C4073" t="s">
        <v>898</v>
      </c>
    </row>
    <row r="4074">
      <c r="C4074" t="s">
        <v>898</v>
      </c>
    </row>
    <row r="4075">
      <c r="C4075" t="s">
        <v>898</v>
      </c>
    </row>
    <row r="4076">
      <c r="C4076" t="s">
        <v>898</v>
      </c>
    </row>
    <row r="4077">
      <c r="C4077" t="s">
        <v>898</v>
      </c>
    </row>
    <row r="4078">
      <c r="C4078" t="s">
        <v>898</v>
      </c>
    </row>
    <row r="4079">
      <c r="C4079" t="s">
        <v>898</v>
      </c>
    </row>
    <row r="4080">
      <c r="C4080" t="s">
        <v>898</v>
      </c>
    </row>
    <row r="4081">
      <c r="C4081" t="s">
        <v>898</v>
      </c>
    </row>
    <row r="4082">
      <c r="C4082" t="s">
        <v>898</v>
      </c>
    </row>
    <row r="4083">
      <c r="C4083" t="s">
        <v>898</v>
      </c>
    </row>
    <row r="4084">
      <c r="C4084" t="s">
        <v>898</v>
      </c>
    </row>
    <row r="4085">
      <c r="C4085" t="s">
        <v>898</v>
      </c>
    </row>
    <row r="4086">
      <c r="C4086" t="s">
        <v>898</v>
      </c>
    </row>
    <row r="4087">
      <c r="C4087" t="s">
        <v>898</v>
      </c>
    </row>
    <row r="4088">
      <c r="C4088" t="s">
        <v>898</v>
      </c>
    </row>
    <row r="4089">
      <c r="C4089" t="s">
        <v>898</v>
      </c>
    </row>
    <row r="4090">
      <c r="C4090" t="s">
        <v>898</v>
      </c>
    </row>
    <row r="4091">
      <c r="C4091" t="s">
        <v>898</v>
      </c>
    </row>
    <row r="4092">
      <c r="C4092" t="s">
        <v>898</v>
      </c>
    </row>
    <row r="4093">
      <c r="C4093" t="s">
        <v>898</v>
      </c>
    </row>
    <row r="4094">
      <c r="C4094" t="s">
        <v>898</v>
      </c>
    </row>
    <row r="4095">
      <c r="C4095" t="s">
        <v>898</v>
      </c>
    </row>
    <row r="4096">
      <c r="C4096" t="s">
        <v>898</v>
      </c>
    </row>
    <row r="4097">
      <c r="C4097" t="s">
        <v>898</v>
      </c>
    </row>
    <row r="4098">
      <c r="C4098" t="s">
        <v>898</v>
      </c>
    </row>
    <row r="4099">
      <c r="C4099" t="s">
        <v>898</v>
      </c>
    </row>
    <row r="4100">
      <c r="C4100" t="s">
        <v>898</v>
      </c>
    </row>
    <row r="4101">
      <c r="C4101" t="s">
        <v>898</v>
      </c>
    </row>
    <row r="4102">
      <c r="C4102" t="s">
        <v>898</v>
      </c>
    </row>
    <row r="4103">
      <c r="C4103" t="s">
        <v>898</v>
      </c>
    </row>
    <row r="4104">
      <c r="C4104" t="s">
        <v>898</v>
      </c>
    </row>
    <row r="4105">
      <c r="C4105" t="s">
        <v>898</v>
      </c>
    </row>
    <row r="4106">
      <c r="C4106" t="s">
        <v>898</v>
      </c>
    </row>
    <row r="4107">
      <c r="C4107" t="s">
        <v>898</v>
      </c>
    </row>
    <row r="4108">
      <c r="C4108" t="s">
        <v>898</v>
      </c>
    </row>
    <row r="4109">
      <c r="C4109" t="s">
        <v>898</v>
      </c>
    </row>
    <row r="4110">
      <c r="C4110" t="s">
        <v>898</v>
      </c>
    </row>
    <row r="4111">
      <c r="C4111" t="s">
        <v>898</v>
      </c>
    </row>
    <row r="4112">
      <c r="C4112" t="s">
        <v>898</v>
      </c>
    </row>
    <row r="4113">
      <c r="C4113" t="s">
        <v>898</v>
      </c>
    </row>
    <row r="4114">
      <c r="C4114" t="s">
        <v>898</v>
      </c>
    </row>
    <row r="4115">
      <c r="C4115" t="s">
        <v>898</v>
      </c>
    </row>
    <row r="4116">
      <c r="C4116" t="s">
        <v>898</v>
      </c>
    </row>
    <row r="4117">
      <c r="C4117" t="s">
        <v>898</v>
      </c>
    </row>
    <row r="4118">
      <c r="C4118" t="s">
        <v>898</v>
      </c>
    </row>
    <row r="4119">
      <c r="C4119" t="s">
        <v>898</v>
      </c>
    </row>
    <row r="4120">
      <c r="C4120" t="s">
        <v>898</v>
      </c>
    </row>
    <row r="4121">
      <c r="C4121" t="s">
        <v>898</v>
      </c>
    </row>
    <row r="4122">
      <c r="C4122" t="s">
        <v>898</v>
      </c>
    </row>
    <row r="4123">
      <c r="C4123" t="s">
        <v>898</v>
      </c>
    </row>
    <row r="4124">
      <c r="C4124" t="s">
        <v>898</v>
      </c>
    </row>
    <row r="4125">
      <c r="C4125" t="s">
        <v>898</v>
      </c>
    </row>
    <row r="4126">
      <c r="C4126" t="s">
        <v>898</v>
      </c>
    </row>
    <row r="4127">
      <c r="C4127" t="s">
        <v>898</v>
      </c>
    </row>
    <row r="4128">
      <c r="C4128" t="s">
        <v>898</v>
      </c>
    </row>
    <row r="4129">
      <c r="C4129" t="s">
        <v>898</v>
      </c>
    </row>
    <row r="4130">
      <c r="C4130" t="s">
        <v>898</v>
      </c>
    </row>
    <row r="4131">
      <c r="C4131" t="s">
        <v>898</v>
      </c>
    </row>
    <row r="4132">
      <c r="C4132" t="s">
        <v>898</v>
      </c>
    </row>
    <row r="4133">
      <c r="C4133" t="s">
        <v>898</v>
      </c>
    </row>
    <row r="4134">
      <c r="C4134" t="s">
        <v>898</v>
      </c>
    </row>
    <row r="4135">
      <c r="C4135" t="s">
        <v>898</v>
      </c>
    </row>
    <row r="4136">
      <c r="C4136" t="s">
        <v>898</v>
      </c>
    </row>
    <row r="4137">
      <c r="C4137" t="s">
        <v>898</v>
      </c>
    </row>
    <row r="4138">
      <c r="C4138" t="s">
        <v>898</v>
      </c>
    </row>
    <row r="4139">
      <c r="C4139" t="s">
        <v>898</v>
      </c>
    </row>
    <row r="4140">
      <c r="C4140" t="s">
        <v>898</v>
      </c>
    </row>
    <row r="4141">
      <c r="C4141" t="s">
        <v>898</v>
      </c>
    </row>
    <row r="4142">
      <c r="C4142" t="s">
        <v>898</v>
      </c>
    </row>
    <row r="4143">
      <c r="C4143" t="s">
        <v>898</v>
      </c>
    </row>
    <row r="4144">
      <c r="C4144" t="s">
        <v>898</v>
      </c>
    </row>
    <row r="4145">
      <c r="C4145" t="s">
        <v>898</v>
      </c>
    </row>
    <row r="4146">
      <c r="C4146" t="s">
        <v>898</v>
      </c>
    </row>
    <row r="4147">
      <c r="C4147" t="s">
        <v>898</v>
      </c>
    </row>
    <row r="4148">
      <c r="C4148" t="s">
        <v>898</v>
      </c>
    </row>
    <row r="4149">
      <c r="C4149" t="s">
        <v>898</v>
      </c>
    </row>
    <row r="4150">
      <c r="C4150" t="s">
        <v>898</v>
      </c>
    </row>
    <row r="4151">
      <c r="C4151" t="s">
        <v>898</v>
      </c>
    </row>
    <row r="4152">
      <c r="C4152" t="s">
        <v>898</v>
      </c>
    </row>
    <row r="4153">
      <c r="C4153" t="s">
        <v>898</v>
      </c>
    </row>
    <row r="4154">
      <c r="C4154" t="s">
        <v>898</v>
      </c>
    </row>
    <row r="4155">
      <c r="C4155" t="s">
        <v>898</v>
      </c>
    </row>
    <row r="4156">
      <c r="C4156" t="s">
        <v>898</v>
      </c>
    </row>
    <row r="4157">
      <c r="C4157" t="s">
        <v>898</v>
      </c>
    </row>
    <row r="4158">
      <c r="C4158" t="s">
        <v>898</v>
      </c>
    </row>
    <row r="4159">
      <c r="C4159" t="s">
        <v>898</v>
      </c>
    </row>
    <row r="4160">
      <c r="C4160" t="s">
        <v>898</v>
      </c>
    </row>
    <row r="4161">
      <c r="C4161" t="s">
        <v>898</v>
      </c>
    </row>
    <row r="4162">
      <c r="C4162" t="s">
        <v>898</v>
      </c>
    </row>
    <row r="4163">
      <c r="C4163" t="s">
        <v>898</v>
      </c>
    </row>
    <row r="4164">
      <c r="C4164" t="s">
        <v>898</v>
      </c>
    </row>
    <row r="4165">
      <c r="C4165" t="s">
        <v>898</v>
      </c>
    </row>
    <row r="4166">
      <c r="C4166" t="s">
        <v>898</v>
      </c>
    </row>
    <row r="4167">
      <c r="C4167" t="s">
        <v>898</v>
      </c>
    </row>
    <row r="4168">
      <c r="C4168" t="s">
        <v>898</v>
      </c>
    </row>
    <row r="4169">
      <c r="C4169" t="s">
        <v>898</v>
      </c>
    </row>
    <row r="4170">
      <c r="C4170" t="s">
        <v>898</v>
      </c>
    </row>
    <row r="4171">
      <c r="C4171" t="s">
        <v>898</v>
      </c>
    </row>
    <row r="4172">
      <c r="C4172" t="s">
        <v>898</v>
      </c>
    </row>
    <row r="4173">
      <c r="C4173" t="s">
        <v>898</v>
      </c>
    </row>
    <row r="4174">
      <c r="C4174" t="s">
        <v>898</v>
      </c>
    </row>
    <row r="4175">
      <c r="C4175" t="s">
        <v>898</v>
      </c>
    </row>
    <row r="4176">
      <c r="C4176" t="s">
        <v>898</v>
      </c>
    </row>
    <row r="4177">
      <c r="C4177" t="s">
        <v>898</v>
      </c>
    </row>
    <row r="4178">
      <c r="C4178" t="s">
        <v>898</v>
      </c>
    </row>
    <row r="4179">
      <c r="C4179" t="s">
        <v>898</v>
      </c>
    </row>
    <row r="4180">
      <c r="C4180" t="s">
        <v>898</v>
      </c>
    </row>
    <row r="4181">
      <c r="C4181" t="s">
        <v>898</v>
      </c>
    </row>
    <row r="4182">
      <c r="C4182" t="s">
        <v>898</v>
      </c>
    </row>
    <row r="4183">
      <c r="C4183" t="s">
        <v>898</v>
      </c>
    </row>
    <row r="4184">
      <c r="C4184" t="s">
        <v>898</v>
      </c>
    </row>
    <row r="4185">
      <c r="C4185" t="s">
        <v>898</v>
      </c>
    </row>
    <row r="4186">
      <c r="C4186" t="s">
        <v>898</v>
      </c>
    </row>
    <row r="4187">
      <c r="C4187" t="s">
        <v>898</v>
      </c>
    </row>
    <row r="4188">
      <c r="C4188" t="s">
        <v>898</v>
      </c>
    </row>
    <row r="4189">
      <c r="C4189" t="s">
        <v>898</v>
      </c>
    </row>
    <row r="4190">
      <c r="C4190" t="s">
        <v>898</v>
      </c>
    </row>
    <row r="4191">
      <c r="C4191" t="s">
        <v>898</v>
      </c>
    </row>
    <row r="4192">
      <c r="C4192" t="s">
        <v>898</v>
      </c>
    </row>
    <row r="4193">
      <c r="C4193" t="s">
        <v>898</v>
      </c>
    </row>
    <row r="4194">
      <c r="C4194" t="s">
        <v>898</v>
      </c>
    </row>
    <row r="4195">
      <c r="C4195" t="s">
        <v>898</v>
      </c>
    </row>
    <row r="4196">
      <c r="C4196" t="s">
        <v>898</v>
      </c>
    </row>
    <row r="4197">
      <c r="C4197" t="s">
        <v>898</v>
      </c>
    </row>
    <row r="4198">
      <c r="C4198" t="s">
        <v>898</v>
      </c>
    </row>
    <row r="4199">
      <c r="C4199" t="s">
        <v>898</v>
      </c>
    </row>
    <row r="4200">
      <c r="C4200" t="s">
        <v>898</v>
      </c>
    </row>
    <row r="4201">
      <c r="C4201" t="s">
        <v>898</v>
      </c>
    </row>
    <row r="4202">
      <c r="C4202" t="s">
        <v>898</v>
      </c>
    </row>
    <row r="4203">
      <c r="C4203" t="s">
        <v>898</v>
      </c>
    </row>
    <row r="4204">
      <c r="C4204" t="s">
        <v>898</v>
      </c>
    </row>
    <row r="4205">
      <c r="C4205" t="s">
        <v>898</v>
      </c>
    </row>
    <row r="4206">
      <c r="C4206" t="s">
        <v>898</v>
      </c>
    </row>
    <row r="4207">
      <c r="C4207" t="s">
        <v>898</v>
      </c>
    </row>
    <row r="4208">
      <c r="C4208" t="s">
        <v>898</v>
      </c>
    </row>
    <row r="4209">
      <c r="C4209" t="s">
        <v>898</v>
      </c>
    </row>
    <row r="4210">
      <c r="C4210" t="s">
        <v>898</v>
      </c>
    </row>
    <row r="4211">
      <c r="C4211" t="s">
        <v>898</v>
      </c>
    </row>
    <row r="4212">
      <c r="C4212" t="s">
        <v>898</v>
      </c>
    </row>
    <row r="4213">
      <c r="C4213" t="s">
        <v>898</v>
      </c>
    </row>
    <row r="4214">
      <c r="C4214" t="s">
        <v>898</v>
      </c>
    </row>
    <row r="4215">
      <c r="C4215" t="s">
        <v>898</v>
      </c>
    </row>
    <row r="4216">
      <c r="C4216" t="s">
        <v>898</v>
      </c>
    </row>
    <row r="4217">
      <c r="C4217" t="s">
        <v>898</v>
      </c>
    </row>
    <row r="4218">
      <c r="C4218" t="s">
        <v>898</v>
      </c>
    </row>
    <row r="4219">
      <c r="C4219" t="s">
        <v>898</v>
      </c>
    </row>
    <row r="4220">
      <c r="C4220" t="s">
        <v>898</v>
      </c>
    </row>
    <row r="4221">
      <c r="C4221" t="s">
        <v>898</v>
      </c>
    </row>
    <row r="4222">
      <c r="C4222" t="s">
        <v>898</v>
      </c>
    </row>
    <row r="4223">
      <c r="C4223" t="s">
        <v>898</v>
      </c>
    </row>
    <row r="4224">
      <c r="C4224" t="s">
        <v>898</v>
      </c>
    </row>
    <row r="4225">
      <c r="C4225" t="s">
        <v>898</v>
      </c>
    </row>
    <row r="4226">
      <c r="C4226" t="s">
        <v>898</v>
      </c>
    </row>
    <row r="4227">
      <c r="C4227" t="s">
        <v>898</v>
      </c>
    </row>
    <row r="4228">
      <c r="C4228" t="s">
        <v>898</v>
      </c>
    </row>
    <row r="4229">
      <c r="C4229" t="s">
        <v>898</v>
      </c>
    </row>
    <row r="4230">
      <c r="C4230" t="s">
        <v>898</v>
      </c>
    </row>
    <row r="4231">
      <c r="C4231" t="s">
        <v>898</v>
      </c>
    </row>
    <row r="4232">
      <c r="C4232" t="s">
        <v>898</v>
      </c>
    </row>
    <row r="4233">
      <c r="C4233" t="s">
        <v>898</v>
      </c>
    </row>
    <row r="4234">
      <c r="C4234" t="s">
        <v>898</v>
      </c>
    </row>
    <row r="4235">
      <c r="C4235" t="s">
        <v>898</v>
      </c>
    </row>
    <row r="4236">
      <c r="C4236" t="s">
        <v>898</v>
      </c>
    </row>
    <row r="4237">
      <c r="C4237" t="s">
        <v>898</v>
      </c>
    </row>
    <row r="4238">
      <c r="C4238" t="s">
        <v>898</v>
      </c>
    </row>
    <row r="4239">
      <c r="C4239" t="s">
        <v>898</v>
      </c>
    </row>
    <row r="4240">
      <c r="C4240" t="s">
        <v>898</v>
      </c>
    </row>
    <row r="4241">
      <c r="C4241" t="s">
        <v>898</v>
      </c>
    </row>
    <row r="4242">
      <c r="C4242" t="s">
        <v>898</v>
      </c>
    </row>
    <row r="4243">
      <c r="C4243" t="s">
        <v>898</v>
      </c>
    </row>
    <row r="4244">
      <c r="C4244" t="s">
        <v>898</v>
      </c>
    </row>
    <row r="4245">
      <c r="C4245" t="s">
        <v>898</v>
      </c>
    </row>
    <row r="4246">
      <c r="C4246" t="s">
        <v>898</v>
      </c>
    </row>
    <row r="4247">
      <c r="C4247" t="s">
        <v>898</v>
      </c>
    </row>
    <row r="4248">
      <c r="C4248" t="s">
        <v>898</v>
      </c>
    </row>
    <row r="4249">
      <c r="C4249" t="s">
        <v>898</v>
      </c>
    </row>
    <row r="4250">
      <c r="C4250" t="s">
        <v>898</v>
      </c>
    </row>
    <row r="4251">
      <c r="C4251" t="s">
        <v>898</v>
      </c>
    </row>
    <row r="4252">
      <c r="C4252" t="s">
        <v>898</v>
      </c>
    </row>
    <row r="4253">
      <c r="C4253" t="s">
        <v>898</v>
      </c>
    </row>
    <row r="4254">
      <c r="C4254" t="s">
        <v>898</v>
      </c>
    </row>
    <row r="4255">
      <c r="C4255" t="s">
        <v>898</v>
      </c>
    </row>
    <row r="4256">
      <c r="C4256" t="s">
        <v>898</v>
      </c>
    </row>
    <row r="4257">
      <c r="C4257" t="s">
        <v>898</v>
      </c>
    </row>
    <row r="4258">
      <c r="C4258" t="s">
        <v>898</v>
      </c>
    </row>
    <row r="4259">
      <c r="C4259" t="s">
        <v>898</v>
      </c>
    </row>
    <row r="4260">
      <c r="C4260" t="s">
        <v>898</v>
      </c>
    </row>
    <row r="4261">
      <c r="C4261" t="s">
        <v>898</v>
      </c>
    </row>
    <row r="4262">
      <c r="C4262" t="s">
        <v>898</v>
      </c>
    </row>
    <row r="4263">
      <c r="C4263" t="s">
        <v>898</v>
      </c>
    </row>
    <row r="4264">
      <c r="C4264" t="s">
        <v>898</v>
      </c>
    </row>
    <row r="4265">
      <c r="C4265" t="s">
        <v>898</v>
      </c>
    </row>
    <row r="4266">
      <c r="C4266" t="s">
        <v>898</v>
      </c>
    </row>
    <row r="4267">
      <c r="C4267" t="s">
        <v>898</v>
      </c>
    </row>
    <row r="4268">
      <c r="C4268" t="s">
        <v>898</v>
      </c>
    </row>
    <row r="4269">
      <c r="C4269" t="s">
        <v>898</v>
      </c>
    </row>
    <row r="4270">
      <c r="C4270" t="s">
        <v>898</v>
      </c>
    </row>
    <row r="4271">
      <c r="C4271" t="s">
        <v>898</v>
      </c>
    </row>
    <row r="4272">
      <c r="C4272" t="s">
        <v>898</v>
      </c>
    </row>
    <row r="4273">
      <c r="C4273" t="s">
        <v>898</v>
      </c>
    </row>
    <row r="4274">
      <c r="C4274" t="s">
        <v>898</v>
      </c>
    </row>
    <row r="4275">
      <c r="C4275" t="s">
        <v>898</v>
      </c>
    </row>
    <row r="4276">
      <c r="C4276" t="s">
        <v>898</v>
      </c>
    </row>
    <row r="4277">
      <c r="C4277" t="s">
        <v>898</v>
      </c>
    </row>
    <row r="4278">
      <c r="C4278" t="s">
        <v>898</v>
      </c>
    </row>
    <row r="4279">
      <c r="C4279" t="s">
        <v>898</v>
      </c>
    </row>
    <row r="4280">
      <c r="C4280" t="s">
        <v>898</v>
      </c>
    </row>
    <row r="4281">
      <c r="C4281" t="s">
        <v>898</v>
      </c>
    </row>
    <row r="4282">
      <c r="C4282" t="s">
        <v>898</v>
      </c>
    </row>
    <row r="4283">
      <c r="C4283" t="s">
        <v>898</v>
      </c>
    </row>
    <row r="4284">
      <c r="C4284" t="s">
        <v>898</v>
      </c>
    </row>
    <row r="4285">
      <c r="C4285" t="s">
        <v>898</v>
      </c>
    </row>
    <row r="4286">
      <c r="C4286" t="s">
        <v>898</v>
      </c>
    </row>
    <row r="4287">
      <c r="C4287" t="s">
        <v>898</v>
      </c>
    </row>
    <row r="4288">
      <c r="C4288" t="s">
        <v>898</v>
      </c>
    </row>
    <row r="4289">
      <c r="C4289" t="s">
        <v>898</v>
      </c>
    </row>
    <row r="4290">
      <c r="C4290" t="s">
        <v>898</v>
      </c>
    </row>
    <row r="4291">
      <c r="C4291" t="s">
        <v>898</v>
      </c>
    </row>
    <row r="4292">
      <c r="C4292" t="s">
        <v>898</v>
      </c>
    </row>
    <row r="4293">
      <c r="C4293" t="s">
        <v>898</v>
      </c>
    </row>
    <row r="4294">
      <c r="C4294" t="s">
        <v>898</v>
      </c>
    </row>
    <row r="4295">
      <c r="C4295" t="s">
        <v>898</v>
      </c>
    </row>
    <row r="4296">
      <c r="C4296" t="s">
        <v>898</v>
      </c>
    </row>
    <row r="4297">
      <c r="C4297" t="s">
        <v>898</v>
      </c>
    </row>
    <row r="4298">
      <c r="C4298" t="s">
        <v>898</v>
      </c>
    </row>
    <row r="4299">
      <c r="C4299" t="s">
        <v>898</v>
      </c>
    </row>
    <row r="4300">
      <c r="C4300" t="s">
        <v>898</v>
      </c>
    </row>
    <row r="4301">
      <c r="C4301" t="s">
        <v>898</v>
      </c>
    </row>
    <row r="4302">
      <c r="C4302" t="s">
        <v>898</v>
      </c>
    </row>
    <row r="4303">
      <c r="C4303" t="s">
        <v>898</v>
      </c>
    </row>
    <row r="4304">
      <c r="C4304" t="s">
        <v>898</v>
      </c>
    </row>
    <row r="4305">
      <c r="C4305" t="s">
        <v>898</v>
      </c>
    </row>
    <row r="4306">
      <c r="C4306" t="s">
        <v>898</v>
      </c>
    </row>
    <row r="4307">
      <c r="C4307" t="s">
        <v>898</v>
      </c>
    </row>
    <row r="4308">
      <c r="C4308" t="s">
        <v>898</v>
      </c>
    </row>
    <row r="4309">
      <c r="C4309" t="s">
        <v>898</v>
      </c>
    </row>
    <row r="4310">
      <c r="C4310" t="s">
        <v>898</v>
      </c>
    </row>
    <row r="4311">
      <c r="C4311" t="s">
        <v>898</v>
      </c>
    </row>
    <row r="4312">
      <c r="C4312" t="s">
        <v>898</v>
      </c>
    </row>
    <row r="4313">
      <c r="C4313" t="s">
        <v>898</v>
      </c>
    </row>
    <row r="4314">
      <c r="C4314" t="s">
        <v>898</v>
      </c>
    </row>
    <row r="4315">
      <c r="C4315" t="s">
        <v>898</v>
      </c>
    </row>
    <row r="4316">
      <c r="C4316" t="s">
        <v>898</v>
      </c>
    </row>
    <row r="4317">
      <c r="C4317" t="s">
        <v>898</v>
      </c>
    </row>
    <row r="4318">
      <c r="C4318" t="s">
        <v>898</v>
      </c>
    </row>
    <row r="4319">
      <c r="C4319" t="s">
        <v>898</v>
      </c>
    </row>
    <row r="4320">
      <c r="C4320" t="s">
        <v>898</v>
      </c>
    </row>
    <row r="4321">
      <c r="C4321" t="s">
        <v>898</v>
      </c>
    </row>
    <row r="4322">
      <c r="C4322" t="s">
        <v>898</v>
      </c>
    </row>
    <row r="4323">
      <c r="C4323" t="s">
        <v>898</v>
      </c>
    </row>
    <row r="4324">
      <c r="C4324" t="s">
        <v>898</v>
      </c>
    </row>
    <row r="4325">
      <c r="C4325" t="s">
        <v>898</v>
      </c>
    </row>
    <row r="4326">
      <c r="C4326" t="s">
        <v>898</v>
      </c>
    </row>
    <row r="4327">
      <c r="C4327" t="s">
        <v>898</v>
      </c>
    </row>
    <row r="4328">
      <c r="C4328" t="s">
        <v>898</v>
      </c>
    </row>
    <row r="4329">
      <c r="C4329" t="s">
        <v>898</v>
      </c>
    </row>
    <row r="4330">
      <c r="C4330" t="s">
        <v>898</v>
      </c>
    </row>
    <row r="4331">
      <c r="C4331" t="s">
        <v>898</v>
      </c>
    </row>
    <row r="4332">
      <c r="C4332" t="s">
        <v>898</v>
      </c>
    </row>
    <row r="4333">
      <c r="C4333" t="s">
        <v>898</v>
      </c>
    </row>
    <row r="4334">
      <c r="C4334" t="s">
        <v>898</v>
      </c>
    </row>
    <row r="4335">
      <c r="C4335" t="s">
        <v>898</v>
      </c>
    </row>
    <row r="4336">
      <c r="C4336" t="s">
        <v>898</v>
      </c>
    </row>
    <row r="4337">
      <c r="C4337" t="s">
        <v>898</v>
      </c>
    </row>
    <row r="4338">
      <c r="C4338" t="s">
        <v>898</v>
      </c>
    </row>
    <row r="4339">
      <c r="C4339" t="s">
        <v>898</v>
      </c>
    </row>
    <row r="4340">
      <c r="C4340" t="s">
        <v>898</v>
      </c>
    </row>
    <row r="4341">
      <c r="C4341" t="s">
        <v>898</v>
      </c>
    </row>
    <row r="4342">
      <c r="C4342" t="s">
        <v>898</v>
      </c>
    </row>
    <row r="4343">
      <c r="C4343" t="s">
        <v>898</v>
      </c>
    </row>
    <row r="4344">
      <c r="C4344" t="s">
        <v>898</v>
      </c>
    </row>
    <row r="4345">
      <c r="C4345" t="s">
        <v>898</v>
      </c>
    </row>
    <row r="4346">
      <c r="C4346" t="s">
        <v>898</v>
      </c>
    </row>
    <row r="4347">
      <c r="C4347" t="s">
        <v>898</v>
      </c>
    </row>
    <row r="4348">
      <c r="C4348" t="s">
        <v>898</v>
      </c>
    </row>
    <row r="4349">
      <c r="C4349" t="s">
        <v>898</v>
      </c>
    </row>
    <row r="4350">
      <c r="C4350" t="s">
        <v>898</v>
      </c>
    </row>
    <row r="4351">
      <c r="C4351" t="s">
        <v>898</v>
      </c>
    </row>
    <row r="4352">
      <c r="C4352" t="s">
        <v>898</v>
      </c>
    </row>
    <row r="4353">
      <c r="C4353" t="s">
        <v>898</v>
      </c>
    </row>
    <row r="4354">
      <c r="C4354" t="s">
        <v>898</v>
      </c>
    </row>
    <row r="4355">
      <c r="C4355" t="s">
        <v>898</v>
      </c>
    </row>
    <row r="4356">
      <c r="C4356" t="s">
        <v>898</v>
      </c>
    </row>
    <row r="4357">
      <c r="C4357" t="s">
        <v>898</v>
      </c>
    </row>
    <row r="4358">
      <c r="C4358" t="s">
        <v>898</v>
      </c>
    </row>
    <row r="4359">
      <c r="C4359" t="s">
        <v>898</v>
      </c>
    </row>
    <row r="4360">
      <c r="C4360" t="s">
        <v>898</v>
      </c>
    </row>
    <row r="4361">
      <c r="C4361" t="s">
        <v>898</v>
      </c>
    </row>
    <row r="4362">
      <c r="C4362" t="s">
        <v>898</v>
      </c>
    </row>
    <row r="4363">
      <c r="C4363" t="s">
        <v>898</v>
      </c>
    </row>
    <row r="4364">
      <c r="C4364" t="s">
        <v>898</v>
      </c>
    </row>
    <row r="4365">
      <c r="C4365" t="s">
        <v>898</v>
      </c>
    </row>
    <row r="4366">
      <c r="C4366" t="s">
        <v>898</v>
      </c>
    </row>
    <row r="4367">
      <c r="C4367" t="s">
        <v>898</v>
      </c>
    </row>
    <row r="4368">
      <c r="C4368" t="s">
        <v>898</v>
      </c>
    </row>
    <row r="4369">
      <c r="C4369" t="s">
        <v>898</v>
      </c>
    </row>
    <row r="4370">
      <c r="C4370" t="s">
        <v>898</v>
      </c>
    </row>
    <row r="4371">
      <c r="C4371" t="s">
        <v>898</v>
      </c>
    </row>
    <row r="4372">
      <c r="C4372" t="s">
        <v>898</v>
      </c>
    </row>
    <row r="4373">
      <c r="C4373" t="s">
        <v>898</v>
      </c>
    </row>
    <row r="4374">
      <c r="C4374" t="s">
        <v>898</v>
      </c>
    </row>
    <row r="4375">
      <c r="C4375" t="s">
        <v>898</v>
      </c>
    </row>
    <row r="4376">
      <c r="C4376" t="s">
        <v>898</v>
      </c>
    </row>
    <row r="4377">
      <c r="C4377" t="s">
        <v>898</v>
      </c>
    </row>
    <row r="4378">
      <c r="C4378" t="s">
        <v>898</v>
      </c>
    </row>
    <row r="4379">
      <c r="C4379" t="s">
        <v>898</v>
      </c>
    </row>
    <row r="4380">
      <c r="C4380" t="s">
        <v>898</v>
      </c>
    </row>
    <row r="4381">
      <c r="C4381" t="s">
        <v>898</v>
      </c>
    </row>
    <row r="4382">
      <c r="C4382" t="s">
        <v>898</v>
      </c>
    </row>
    <row r="4383">
      <c r="C4383" t="s">
        <v>898</v>
      </c>
    </row>
    <row r="4384">
      <c r="C4384" t="s">
        <v>898</v>
      </c>
    </row>
    <row r="4385">
      <c r="C4385" t="s">
        <v>898</v>
      </c>
    </row>
    <row r="4386">
      <c r="C4386" t="s">
        <v>898</v>
      </c>
    </row>
    <row r="4387">
      <c r="C4387" t="s">
        <v>898</v>
      </c>
    </row>
    <row r="4388">
      <c r="C4388" t="s">
        <v>898</v>
      </c>
    </row>
    <row r="4389">
      <c r="C4389" t="s">
        <v>898</v>
      </c>
    </row>
    <row r="4390">
      <c r="C4390" t="s">
        <v>898</v>
      </c>
    </row>
    <row r="4391">
      <c r="C4391" t="s">
        <v>898</v>
      </c>
    </row>
    <row r="4392">
      <c r="C4392" t="s">
        <v>898</v>
      </c>
    </row>
    <row r="4393">
      <c r="C4393" t="s">
        <v>898</v>
      </c>
    </row>
    <row r="4394">
      <c r="C4394" t="s">
        <v>898</v>
      </c>
    </row>
    <row r="4395">
      <c r="C4395" t="s">
        <v>898</v>
      </c>
    </row>
    <row r="4396">
      <c r="C4396" t="s">
        <v>898</v>
      </c>
    </row>
    <row r="4397">
      <c r="C4397" t="s">
        <v>898</v>
      </c>
    </row>
    <row r="4398">
      <c r="C4398" t="s">
        <v>898</v>
      </c>
    </row>
    <row r="4399">
      <c r="C4399" t="s">
        <v>898</v>
      </c>
    </row>
    <row r="4400">
      <c r="C4400" t="s">
        <v>898</v>
      </c>
    </row>
    <row r="4401">
      <c r="C4401" t="s">
        <v>898</v>
      </c>
    </row>
    <row r="4402">
      <c r="C4402" t="s">
        <v>898</v>
      </c>
    </row>
    <row r="4403">
      <c r="C4403" t="s">
        <v>898</v>
      </c>
    </row>
    <row r="4404">
      <c r="C4404" t="s">
        <v>898</v>
      </c>
    </row>
    <row r="4405">
      <c r="C4405" t="s">
        <v>898</v>
      </c>
    </row>
    <row r="4406">
      <c r="C4406" t="s">
        <v>898</v>
      </c>
    </row>
    <row r="4407">
      <c r="C4407" t="s">
        <v>898</v>
      </c>
    </row>
    <row r="4408">
      <c r="C4408" t="s">
        <v>898</v>
      </c>
    </row>
    <row r="4409">
      <c r="C4409" t="s">
        <v>898</v>
      </c>
    </row>
    <row r="4410">
      <c r="C4410" t="s">
        <v>898</v>
      </c>
    </row>
    <row r="4411">
      <c r="C4411" t="s">
        <v>898</v>
      </c>
    </row>
    <row r="4412">
      <c r="C4412" t="s">
        <v>898</v>
      </c>
    </row>
    <row r="4413">
      <c r="C4413" t="s">
        <v>898</v>
      </c>
    </row>
    <row r="4414">
      <c r="C4414" t="s">
        <v>898</v>
      </c>
    </row>
    <row r="4415">
      <c r="C4415" t="s">
        <v>898</v>
      </c>
    </row>
    <row r="4416">
      <c r="C4416" t="s">
        <v>898</v>
      </c>
    </row>
    <row r="4417">
      <c r="C4417" t="s">
        <v>898</v>
      </c>
    </row>
    <row r="4418">
      <c r="C4418" t="s">
        <v>898</v>
      </c>
    </row>
    <row r="4419">
      <c r="C4419" t="s">
        <v>898</v>
      </c>
    </row>
    <row r="4420">
      <c r="C4420" t="s">
        <v>898</v>
      </c>
    </row>
    <row r="4421">
      <c r="C4421" t="s">
        <v>898</v>
      </c>
    </row>
    <row r="4422">
      <c r="C4422" t="s">
        <v>898</v>
      </c>
    </row>
    <row r="4423">
      <c r="C4423" t="s">
        <v>898</v>
      </c>
    </row>
    <row r="4424">
      <c r="C4424" t="s">
        <v>898</v>
      </c>
    </row>
    <row r="4425">
      <c r="C4425" t="s">
        <v>898</v>
      </c>
    </row>
    <row r="4426">
      <c r="C4426" t="s">
        <v>898</v>
      </c>
    </row>
    <row r="4427">
      <c r="C4427" t="s">
        <v>898</v>
      </c>
    </row>
    <row r="4428">
      <c r="C4428" t="s">
        <v>898</v>
      </c>
    </row>
    <row r="4429">
      <c r="C4429" t="s">
        <v>898</v>
      </c>
    </row>
    <row r="4430">
      <c r="C4430" t="s">
        <v>898</v>
      </c>
    </row>
    <row r="4431">
      <c r="C4431" t="s">
        <v>898</v>
      </c>
    </row>
    <row r="4432">
      <c r="C4432" t="s">
        <v>898</v>
      </c>
    </row>
    <row r="4433">
      <c r="C4433" t="s">
        <v>898</v>
      </c>
    </row>
    <row r="4434">
      <c r="C4434" t="s">
        <v>898</v>
      </c>
    </row>
    <row r="4435">
      <c r="C4435" t="s">
        <v>898</v>
      </c>
    </row>
    <row r="4436">
      <c r="C4436" t="s">
        <v>898</v>
      </c>
    </row>
    <row r="4437">
      <c r="C4437" t="s">
        <v>898</v>
      </c>
    </row>
    <row r="4438">
      <c r="C4438" t="s">
        <v>898</v>
      </c>
    </row>
    <row r="4439">
      <c r="C4439" t="s">
        <v>898</v>
      </c>
    </row>
    <row r="4440">
      <c r="C4440" t="s">
        <v>898</v>
      </c>
    </row>
    <row r="4441">
      <c r="C4441" t="s">
        <v>898</v>
      </c>
    </row>
    <row r="4442">
      <c r="C4442" t="s">
        <v>898</v>
      </c>
    </row>
    <row r="4443">
      <c r="C4443" t="s">
        <v>898</v>
      </c>
    </row>
    <row r="4444">
      <c r="C4444" t="s">
        <v>898</v>
      </c>
    </row>
    <row r="4445">
      <c r="C4445" t="s">
        <v>898</v>
      </c>
    </row>
    <row r="4446">
      <c r="C4446" t="s">
        <v>898</v>
      </c>
    </row>
    <row r="4447">
      <c r="C4447" t="s">
        <v>898</v>
      </c>
    </row>
    <row r="4448">
      <c r="C4448" t="s">
        <v>898</v>
      </c>
    </row>
    <row r="4449">
      <c r="C4449" t="s">
        <v>898</v>
      </c>
    </row>
    <row r="4450">
      <c r="C4450" t="s">
        <v>898</v>
      </c>
    </row>
    <row r="4451">
      <c r="C4451" t="s">
        <v>898</v>
      </c>
    </row>
    <row r="4452">
      <c r="C4452" t="s">
        <v>898</v>
      </c>
    </row>
    <row r="4453">
      <c r="C4453" t="s">
        <v>898</v>
      </c>
    </row>
    <row r="4454">
      <c r="C4454" t="s">
        <v>898</v>
      </c>
    </row>
    <row r="4455">
      <c r="C4455" t="s">
        <v>898</v>
      </c>
    </row>
    <row r="4456">
      <c r="C4456" t="s">
        <v>898</v>
      </c>
    </row>
    <row r="4457">
      <c r="C4457" t="s">
        <v>898</v>
      </c>
    </row>
    <row r="4458">
      <c r="C4458" t="s">
        <v>898</v>
      </c>
    </row>
    <row r="4459">
      <c r="C4459" t="s">
        <v>898</v>
      </c>
    </row>
    <row r="4460">
      <c r="C4460" t="s">
        <v>898</v>
      </c>
    </row>
    <row r="4461">
      <c r="C4461" t="s">
        <v>898</v>
      </c>
    </row>
    <row r="4462">
      <c r="C4462" t="s">
        <v>898</v>
      </c>
    </row>
    <row r="4463">
      <c r="C4463" t="s">
        <v>898</v>
      </c>
    </row>
    <row r="4464">
      <c r="C4464" t="s">
        <v>898</v>
      </c>
    </row>
    <row r="4465">
      <c r="C4465" t="s">
        <v>898</v>
      </c>
    </row>
    <row r="4466">
      <c r="C4466" t="s">
        <v>898</v>
      </c>
    </row>
    <row r="4467">
      <c r="C4467" t="s">
        <v>898</v>
      </c>
    </row>
    <row r="4468">
      <c r="C4468" t="s">
        <v>898</v>
      </c>
    </row>
    <row r="4469">
      <c r="C4469" t="s">
        <v>898</v>
      </c>
    </row>
    <row r="4470">
      <c r="C4470" t="s">
        <v>898</v>
      </c>
    </row>
    <row r="4471">
      <c r="C4471" t="s">
        <v>898</v>
      </c>
    </row>
    <row r="4472">
      <c r="C4472" t="s">
        <v>898</v>
      </c>
    </row>
    <row r="4473">
      <c r="C4473" t="s">
        <v>898</v>
      </c>
    </row>
    <row r="4474">
      <c r="C4474" t="s">
        <v>898</v>
      </c>
    </row>
    <row r="4475">
      <c r="C4475" t="s">
        <v>898</v>
      </c>
    </row>
    <row r="4476">
      <c r="C4476" t="s">
        <v>898</v>
      </c>
    </row>
    <row r="4477">
      <c r="C4477" t="s">
        <v>898</v>
      </c>
    </row>
    <row r="4478">
      <c r="C4478" t="s">
        <v>898</v>
      </c>
    </row>
    <row r="4479">
      <c r="C4479" t="s">
        <v>898</v>
      </c>
    </row>
    <row r="4480">
      <c r="C4480" t="s">
        <v>898</v>
      </c>
    </row>
    <row r="4481">
      <c r="C4481" t="s">
        <v>898</v>
      </c>
    </row>
    <row r="4482">
      <c r="C4482" t="s">
        <v>898</v>
      </c>
    </row>
    <row r="4483">
      <c r="C4483" t="s">
        <v>898</v>
      </c>
    </row>
    <row r="4484">
      <c r="C4484" t="s">
        <v>898</v>
      </c>
    </row>
    <row r="4485">
      <c r="C4485" t="s">
        <v>898</v>
      </c>
    </row>
    <row r="4486">
      <c r="C4486" t="s">
        <v>898</v>
      </c>
    </row>
    <row r="4487">
      <c r="C4487" t="s">
        <v>898</v>
      </c>
    </row>
    <row r="4488">
      <c r="C4488" t="s">
        <v>898</v>
      </c>
    </row>
    <row r="4489">
      <c r="C4489" t="s">
        <v>898</v>
      </c>
    </row>
    <row r="4490">
      <c r="C4490" t="s">
        <v>898</v>
      </c>
    </row>
    <row r="4491">
      <c r="C4491" t="s">
        <v>898</v>
      </c>
    </row>
    <row r="4492">
      <c r="C4492" t="s">
        <v>898</v>
      </c>
    </row>
    <row r="4493">
      <c r="C4493" t="s">
        <v>898</v>
      </c>
    </row>
    <row r="4494">
      <c r="C4494" t="s">
        <v>898</v>
      </c>
    </row>
    <row r="4495">
      <c r="C4495" t="s">
        <v>898</v>
      </c>
    </row>
    <row r="4496">
      <c r="C4496" t="s">
        <v>898</v>
      </c>
    </row>
    <row r="4497">
      <c r="C4497" t="s">
        <v>898</v>
      </c>
    </row>
    <row r="4498">
      <c r="C4498" t="s">
        <v>898</v>
      </c>
    </row>
    <row r="4499">
      <c r="C4499" t="s">
        <v>898</v>
      </c>
    </row>
    <row r="4500">
      <c r="C4500" t="s">
        <v>898</v>
      </c>
    </row>
    <row r="4501">
      <c r="C4501" t="s">
        <v>898</v>
      </c>
    </row>
    <row r="4502">
      <c r="C4502" t="s">
        <v>898</v>
      </c>
    </row>
    <row r="4503">
      <c r="C4503" t="s">
        <v>898</v>
      </c>
    </row>
    <row r="4504">
      <c r="C4504" t="s">
        <v>898</v>
      </c>
    </row>
    <row r="4505">
      <c r="C4505" t="s">
        <v>898</v>
      </c>
    </row>
    <row r="4506">
      <c r="C4506" t="s">
        <v>898</v>
      </c>
    </row>
    <row r="4507">
      <c r="C4507" t="s">
        <v>898</v>
      </c>
    </row>
    <row r="4508">
      <c r="C4508" t="s">
        <v>898</v>
      </c>
    </row>
    <row r="4509">
      <c r="C4509" t="s">
        <v>898</v>
      </c>
    </row>
    <row r="4510">
      <c r="C4510" t="s">
        <v>898</v>
      </c>
    </row>
    <row r="4511">
      <c r="C4511" t="s">
        <v>898</v>
      </c>
    </row>
    <row r="4512">
      <c r="C4512" t="s">
        <v>898</v>
      </c>
    </row>
    <row r="4513">
      <c r="C4513" t="s">
        <v>898</v>
      </c>
    </row>
    <row r="4514">
      <c r="C4514" t="s">
        <v>898</v>
      </c>
    </row>
    <row r="4515">
      <c r="C4515" t="s">
        <v>898</v>
      </c>
    </row>
    <row r="4516">
      <c r="C4516" t="s">
        <v>898</v>
      </c>
    </row>
    <row r="4517">
      <c r="C4517" t="s">
        <v>898</v>
      </c>
    </row>
    <row r="4518">
      <c r="C4518" t="s">
        <v>898</v>
      </c>
    </row>
    <row r="4519">
      <c r="C4519" t="s">
        <v>898</v>
      </c>
    </row>
    <row r="4520">
      <c r="C4520" t="s">
        <v>898</v>
      </c>
    </row>
    <row r="4521">
      <c r="C4521" t="s">
        <v>898</v>
      </c>
    </row>
    <row r="4522">
      <c r="C4522" t="s">
        <v>898</v>
      </c>
    </row>
    <row r="4523">
      <c r="C4523" t="s">
        <v>898</v>
      </c>
    </row>
    <row r="4524">
      <c r="C4524" t="s">
        <v>898</v>
      </c>
    </row>
    <row r="4525">
      <c r="C4525" t="s">
        <v>898</v>
      </c>
    </row>
    <row r="4526">
      <c r="C4526" t="s">
        <v>898</v>
      </c>
    </row>
    <row r="4527">
      <c r="C4527" t="s">
        <v>898</v>
      </c>
    </row>
    <row r="4528">
      <c r="C4528" t="s">
        <v>898</v>
      </c>
    </row>
    <row r="4529">
      <c r="C4529" t="s">
        <v>898</v>
      </c>
    </row>
    <row r="4530">
      <c r="C4530" t="s">
        <v>898</v>
      </c>
    </row>
    <row r="4531">
      <c r="C4531" t="s">
        <v>898</v>
      </c>
    </row>
    <row r="4532">
      <c r="C4532" t="s">
        <v>898</v>
      </c>
    </row>
    <row r="4533">
      <c r="C4533" t="s">
        <v>898</v>
      </c>
    </row>
    <row r="4534">
      <c r="C4534" t="s">
        <v>898</v>
      </c>
    </row>
    <row r="4535">
      <c r="C4535" t="s">
        <v>898</v>
      </c>
    </row>
    <row r="4536">
      <c r="C4536" t="s">
        <v>898</v>
      </c>
    </row>
    <row r="4537">
      <c r="C4537" t="s">
        <v>898</v>
      </c>
    </row>
    <row r="4538">
      <c r="C4538" t="s">
        <v>898</v>
      </c>
    </row>
    <row r="4539">
      <c r="C4539" t="s">
        <v>898</v>
      </c>
    </row>
    <row r="4540">
      <c r="C4540" t="s">
        <v>898</v>
      </c>
    </row>
    <row r="4541">
      <c r="C4541" t="s">
        <v>898</v>
      </c>
    </row>
    <row r="4542">
      <c r="C4542" t="s">
        <v>898</v>
      </c>
    </row>
    <row r="4543">
      <c r="C4543" t="s">
        <v>898</v>
      </c>
    </row>
    <row r="4544">
      <c r="C4544" t="s">
        <v>898</v>
      </c>
    </row>
    <row r="4545">
      <c r="C4545" t="s">
        <v>898</v>
      </c>
    </row>
    <row r="4546">
      <c r="C4546" t="s">
        <v>898</v>
      </c>
    </row>
    <row r="4547">
      <c r="C4547" t="s">
        <v>898</v>
      </c>
    </row>
    <row r="4548">
      <c r="C4548" t="s">
        <v>898</v>
      </c>
    </row>
    <row r="4549">
      <c r="C4549" t="s">
        <v>898</v>
      </c>
    </row>
    <row r="4550">
      <c r="C4550" t="s">
        <v>898</v>
      </c>
    </row>
    <row r="4551">
      <c r="C4551" t="s">
        <v>898</v>
      </c>
    </row>
    <row r="4552">
      <c r="C4552" t="s">
        <v>898</v>
      </c>
    </row>
    <row r="4553">
      <c r="C4553" t="s">
        <v>898</v>
      </c>
    </row>
    <row r="4554">
      <c r="C4554" t="s">
        <v>898</v>
      </c>
    </row>
    <row r="4555">
      <c r="C4555" t="s">
        <v>898</v>
      </c>
    </row>
    <row r="4556">
      <c r="C4556" t="s">
        <v>898</v>
      </c>
    </row>
    <row r="4557">
      <c r="C4557" t="s">
        <v>898</v>
      </c>
    </row>
    <row r="4558">
      <c r="C4558" t="s">
        <v>898</v>
      </c>
    </row>
    <row r="4559">
      <c r="C4559" t="s">
        <v>898</v>
      </c>
    </row>
    <row r="4560">
      <c r="C4560" t="s">
        <v>898</v>
      </c>
    </row>
    <row r="4561">
      <c r="C4561" t="s">
        <v>898</v>
      </c>
    </row>
    <row r="4562">
      <c r="C4562" t="s">
        <v>898</v>
      </c>
    </row>
    <row r="4563">
      <c r="C4563" t="s">
        <v>898</v>
      </c>
    </row>
    <row r="4564">
      <c r="C4564" t="s">
        <v>898</v>
      </c>
    </row>
    <row r="4565">
      <c r="C4565" t="s">
        <v>898</v>
      </c>
    </row>
    <row r="4566">
      <c r="C4566" t="s">
        <v>898</v>
      </c>
    </row>
    <row r="4567">
      <c r="C4567" t="s">
        <v>898</v>
      </c>
    </row>
    <row r="4568">
      <c r="C4568" t="s">
        <v>898</v>
      </c>
    </row>
    <row r="4569">
      <c r="C4569" t="s">
        <v>898</v>
      </c>
    </row>
    <row r="4570">
      <c r="C4570" t="s">
        <v>898</v>
      </c>
    </row>
    <row r="4571">
      <c r="C4571" t="s">
        <v>898</v>
      </c>
    </row>
    <row r="4572">
      <c r="C4572" t="s">
        <v>898</v>
      </c>
    </row>
    <row r="4573">
      <c r="C4573" t="s">
        <v>898</v>
      </c>
    </row>
    <row r="4574">
      <c r="C4574" t="s">
        <v>898</v>
      </c>
    </row>
    <row r="4575">
      <c r="C4575" t="s">
        <v>898</v>
      </c>
    </row>
    <row r="4576">
      <c r="C4576" t="s">
        <v>898</v>
      </c>
    </row>
    <row r="4577">
      <c r="C4577" t="s">
        <v>898</v>
      </c>
    </row>
    <row r="4578">
      <c r="C4578" t="s">
        <v>898</v>
      </c>
    </row>
    <row r="4579">
      <c r="C4579" t="s">
        <v>898</v>
      </c>
    </row>
    <row r="4580">
      <c r="C4580" t="s">
        <v>898</v>
      </c>
    </row>
    <row r="4581">
      <c r="C4581" t="s">
        <v>898</v>
      </c>
    </row>
    <row r="4582">
      <c r="C4582" t="s">
        <v>898</v>
      </c>
    </row>
    <row r="4583">
      <c r="C4583" t="s">
        <v>898</v>
      </c>
    </row>
    <row r="4584">
      <c r="C4584" t="s">
        <v>898</v>
      </c>
    </row>
    <row r="4585">
      <c r="C4585" t="s">
        <v>898</v>
      </c>
    </row>
    <row r="4586">
      <c r="C4586" t="s">
        <v>898</v>
      </c>
    </row>
    <row r="4587">
      <c r="C4587" t="s">
        <v>898</v>
      </c>
    </row>
    <row r="4588">
      <c r="C4588" t="s">
        <v>898</v>
      </c>
    </row>
    <row r="4589">
      <c r="C4589" t="s">
        <v>898</v>
      </c>
    </row>
    <row r="4590">
      <c r="C4590" t="s">
        <v>898</v>
      </c>
    </row>
    <row r="4591">
      <c r="C4591" t="s">
        <v>898</v>
      </c>
    </row>
    <row r="4592">
      <c r="C4592" t="s">
        <v>898</v>
      </c>
    </row>
    <row r="4593">
      <c r="C4593" t="s">
        <v>898</v>
      </c>
    </row>
    <row r="4594">
      <c r="C4594" t="s">
        <v>898</v>
      </c>
    </row>
    <row r="4595">
      <c r="C4595" t="s">
        <v>898</v>
      </c>
    </row>
    <row r="4596">
      <c r="C4596" t="s">
        <v>898</v>
      </c>
    </row>
    <row r="4597">
      <c r="C4597" t="s">
        <v>898</v>
      </c>
    </row>
    <row r="4598">
      <c r="C4598" t="s">
        <v>898</v>
      </c>
    </row>
    <row r="4599">
      <c r="C4599" t="s">
        <v>898</v>
      </c>
    </row>
    <row r="4600">
      <c r="C4600" t="s">
        <v>898</v>
      </c>
    </row>
    <row r="4601">
      <c r="C4601" t="s">
        <v>898</v>
      </c>
    </row>
    <row r="4602">
      <c r="C4602" t="s">
        <v>898</v>
      </c>
    </row>
    <row r="4603">
      <c r="C4603" t="s">
        <v>898</v>
      </c>
    </row>
    <row r="4604">
      <c r="C4604" t="s">
        <v>898</v>
      </c>
    </row>
    <row r="4605">
      <c r="C4605" t="s">
        <v>898</v>
      </c>
    </row>
    <row r="4606">
      <c r="C4606" t="s">
        <v>898</v>
      </c>
    </row>
    <row r="4607">
      <c r="C4607" t="s">
        <v>898</v>
      </c>
    </row>
    <row r="4608">
      <c r="C4608" t="s">
        <v>898</v>
      </c>
    </row>
    <row r="4609">
      <c r="C4609" t="s">
        <v>898</v>
      </c>
    </row>
    <row r="4610">
      <c r="C4610" t="s">
        <v>898</v>
      </c>
    </row>
    <row r="4611">
      <c r="C4611" t="s">
        <v>898</v>
      </c>
    </row>
    <row r="4612">
      <c r="C4612" t="s">
        <v>898</v>
      </c>
    </row>
    <row r="4613">
      <c r="C4613" t="s">
        <v>898</v>
      </c>
    </row>
    <row r="4614">
      <c r="C4614" t="s">
        <v>898</v>
      </c>
    </row>
    <row r="4615">
      <c r="C4615" t="s">
        <v>898</v>
      </c>
    </row>
    <row r="4616">
      <c r="C4616" t="s">
        <v>898</v>
      </c>
    </row>
    <row r="4617">
      <c r="C4617" t="s">
        <v>898</v>
      </c>
    </row>
    <row r="4618">
      <c r="C4618" t="s">
        <v>898</v>
      </c>
    </row>
    <row r="4619">
      <c r="C4619" t="s">
        <v>898</v>
      </c>
    </row>
    <row r="4620">
      <c r="C4620" t="s">
        <v>898</v>
      </c>
    </row>
    <row r="4621">
      <c r="C4621" t="s">
        <v>898</v>
      </c>
    </row>
    <row r="4622">
      <c r="C4622" t="s">
        <v>898</v>
      </c>
    </row>
    <row r="4623">
      <c r="C4623" t="s">
        <v>898</v>
      </c>
    </row>
    <row r="4624">
      <c r="C4624" t="s">
        <v>898</v>
      </c>
    </row>
    <row r="4625">
      <c r="C4625" t="s">
        <v>898</v>
      </c>
    </row>
    <row r="4626">
      <c r="C4626" t="s">
        <v>898</v>
      </c>
    </row>
    <row r="4627">
      <c r="C4627" t="s">
        <v>898</v>
      </c>
    </row>
    <row r="4628">
      <c r="C4628" t="s">
        <v>898</v>
      </c>
    </row>
    <row r="4629">
      <c r="C4629" t="s">
        <v>898</v>
      </c>
    </row>
    <row r="4630">
      <c r="C4630" t="s">
        <v>898</v>
      </c>
    </row>
    <row r="4631">
      <c r="C4631" t="s">
        <v>898</v>
      </c>
    </row>
    <row r="4632">
      <c r="C4632" t="s">
        <v>898</v>
      </c>
    </row>
    <row r="4633">
      <c r="C4633" t="s">
        <v>898</v>
      </c>
    </row>
    <row r="4634">
      <c r="C4634" t="s">
        <v>898</v>
      </c>
    </row>
    <row r="4635">
      <c r="C4635" t="s">
        <v>898</v>
      </c>
    </row>
    <row r="4636">
      <c r="C4636" t="s">
        <v>898</v>
      </c>
    </row>
    <row r="4637">
      <c r="C4637" t="s">
        <v>898</v>
      </c>
    </row>
    <row r="4638">
      <c r="C4638" t="s">
        <v>898</v>
      </c>
    </row>
    <row r="4639">
      <c r="C4639" t="s">
        <v>898</v>
      </c>
    </row>
    <row r="4640">
      <c r="C4640" t="s">
        <v>898</v>
      </c>
    </row>
    <row r="4641">
      <c r="C4641" t="s">
        <v>898</v>
      </c>
    </row>
    <row r="4642">
      <c r="C4642" t="s">
        <v>898</v>
      </c>
    </row>
    <row r="4643">
      <c r="C4643" t="s">
        <v>898</v>
      </c>
    </row>
    <row r="4644">
      <c r="C4644" t="s">
        <v>898</v>
      </c>
    </row>
    <row r="4645">
      <c r="C4645" t="s">
        <v>898</v>
      </c>
    </row>
    <row r="4646">
      <c r="C4646" t="s">
        <v>898</v>
      </c>
    </row>
    <row r="4647">
      <c r="C4647" t="s">
        <v>898</v>
      </c>
    </row>
    <row r="4648">
      <c r="C4648" t="s">
        <v>898</v>
      </c>
    </row>
    <row r="4649">
      <c r="C4649" t="s">
        <v>898</v>
      </c>
    </row>
    <row r="4650">
      <c r="C4650" t="s">
        <v>898</v>
      </c>
    </row>
    <row r="4651">
      <c r="C4651" t="s">
        <v>898</v>
      </c>
    </row>
    <row r="4652">
      <c r="C4652" t="s">
        <v>898</v>
      </c>
    </row>
    <row r="4653">
      <c r="C4653" t="s">
        <v>898</v>
      </c>
    </row>
    <row r="4654">
      <c r="C4654" t="s">
        <v>898</v>
      </c>
    </row>
    <row r="4655">
      <c r="C4655" t="s">
        <v>898</v>
      </c>
    </row>
    <row r="4656">
      <c r="C4656" t="s">
        <v>898</v>
      </c>
    </row>
    <row r="4657">
      <c r="C4657" t="s">
        <v>898</v>
      </c>
    </row>
    <row r="4658">
      <c r="C4658" t="s">
        <v>898</v>
      </c>
    </row>
    <row r="4659">
      <c r="C4659" t="s">
        <v>898</v>
      </c>
    </row>
    <row r="4660">
      <c r="C4660" t="s">
        <v>898</v>
      </c>
    </row>
    <row r="4661">
      <c r="C4661" t="s">
        <v>898</v>
      </c>
    </row>
    <row r="4662">
      <c r="C4662" t="s">
        <v>898</v>
      </c>
    </row>
    <row r="4663">
      <c r="C4663" t="s">
        <v>898</v>
      </c>
    </row>
    <row r="4664">
      <c r="C4664" t="s">
        <v>898</v>
      </c>
    </row>
    <row r="4665">
      <c r="C4665" t="s">
        <v>898</v>
      </c>
    </row>
    <row r="4666">
      <c r="C4666" t="s">
        <v>898</v>
      </c>
    </row>
    <row r="4667">
      <c r="C4667" t="s">
        <v>898</v>
      </c>
    </row>
    <row r="4668">
      <c r="C4668" t="s">
        <v>898</v>
      </c>
    </row>
    <row r="4669">
      <c r="C4669" t="s">
        <v>898</v>
      </c>
    </row>
    <row r="4670">
      <c r="C4670" t="s">
        <v>898</v>
      </c>
    </row>
    <row r="4671">
      <c r="C4671" t="s">
        <v>898</v>
      </c>
    </row>
    <row r="4672">
      <c r="C4672" t="s">
        <v>898</v>
      </c>
    </row>
    <row r="4673">
      <c r="C4673" t="s">
        <v>898</v>
      </c>
    </row>
    <row r="4674">
      <c r="C4674" t="s">
        <v>898</v>
      </c>
    </row>
    <row r="4675">
      <c r="C4675" t="s">
        <v>898</v>
      </c>
    </row>
    <row r="4676">
      <c r="C4676" t="s">
        <v>898</v>
      </c>
    </row>
    <row r="4677">
      <c r="C4677" t="s">
        <v>898</v>
      </c>
    </row>
    <row r="4678">
      <c r="C4678" t="s">
        <v>898</v>
      </c>
    </row>
    <row r="4679">
      <c r="C4679" t="s">
        <v>898</v>
      </c>
    </row>
    <row r="4680">
      <c r="C4680" t="s">
        <v>898</v>
      </c>
    </row>
    <row r="4681">
      <c r="C4681" t="s">
        <v>898</v>
      </c>
    </row>
    <row r="4682">
      <c r="C4682" t="s">
        <v>898</v>
      </c>
    </row>
    <row r="4683">
      <c r="C4683" t="s">
        <v>898</v>
      </c>
    </row>
    <row r="4684">
      <c r="C4684" t="s">
        <v>898</v>
      </c>
    </row>
    <row r="4685">
      <c r="C4685" t="s">
        <v>898</v>
      </c>
    </row>
    <row r="4686">
      <c r="C4686" t="s">
        <v>898</v>
      </c>
    </row>
    <row r="4687">
      <c r="C4687" t="s">
        <v>898</v>
      </c>
    </row>
    <row r="4688">
      <c r="C4688" t="s">
        <v>898</v>
      </c>
    </row>
    <row r="4689">
      <c r="C4689" t="s">
        <v>898</v>
      </c>
    </row>
    <row r="4690">
      <c r="C4690" t="s">
        <v>898</v>
      </c>
    </row>
    <row r="4691">
      <c r="C4691" t="s">
        <v>898</v>
      </c>
    </row>
    <row r="4692">
      <c r="C4692" t="s">
        <v>898</v>
      </c>
    </row>
    <row r="4693">
      <c r="C4693" t="s">
        <v>898</v>
      </c>
    </row>
    <row r="4694">
      <c r="C4694" t="s">
        <v>898</v>
      </c>
    </row>
    <row r="4695">
      <c r="C4695" t="s">
        <v>898</v>
      </c>
    </row>
    <row r="4696">
      <c r="C4696" t="s">
        <v>898</v>
      </c>
    </row>
    <row r="4697">
      <c r="C4697" t="s">
        <v>898</v>
      </c>
    </row>
    <row r="4698">
      <c r="C4698" t="s">
        <v>898</v>
      </c>
    </row>
    <row r="4699">
      <c r="C4699" t="s">
        <v>898</v>
      </c>
    </row>
    <row r="4700">
      <c r="C4700" t="s">
        <v>898</v>
      </c>
    </row>
    <row r="4701">
      <c r="C4701" t="s">
        <v>898</v>
      </c>
    </row>
    <row r="4702">
      <c r="C4702" t="s">
        <v>898</v>
      </c>
    </row>
    <row r="4703">
      <c r="C4703" t="s">
        <v>898</v>
      </c>
    </row>
    <row r="4704">
      <c r="C4704" t="s">
        <v>898</v>
      </c>
    </row>
    <row r="4705">
      <c r="C4705" t="s">
        <v>898</v>
      </c>
    </row>
    <row r="4706">
      <c r="C4706" t="s">
        <v>898</v>
      </c>
    </row>
    <row r="4707">
      <c r="C4707" t="s">
        <v>898</v>
      </c>
    </row>
    <row r="4708">
      <c r="C4708" t="s">
        <v>898</v>
      </c>
    </row>
    <row r="4709">
      <c r="C4709" t="s">
        <v>898</v>
      </c>
    </row>
    <row r="4710">
      <c r="C4710" t="s">
        <v>898</v>
      </c>
    </row>
    <row r="4711">
      <c r="C4711" t="s">
        <v>898</v>
      </c>
    </row>
    <row r="4712">
      <c r="C4712" t="s">
        <v>898</v>
      </c>
    </row>
    <row r="4713">
      <c r="C4713" t="s">
        <v>898</v>
      </c>
    </row>
    <row r="4714">
      <c r="C4714" t="s">
        <v>898</v>
      </c>
    </row>
    <row r="4715">
      <c r="C4715" t="s">
        <v>898</v>
      </c>
    </row>
    <row r="4716">
      <c r="C4716" t="s">
        <v>898</v>
      </c>
    </row>
    <row r="4717">
      <c r="C4717" t="s">
        <v>898</v>
      </c>
    </row>
    <row r="4718">
      <c r="C4718" t="s">
        <v>898</v>
      </c>
    </row>
    <row r="4719">
      <c r="C4719" t="s">
        <v>898</v>
      </c>
    </row>
    <row r="4720">
      <c r="C4720" t="s">
        <v>898</v>
      </c>
    </row>
    <row r="4721">
      <c r="C4721" t="s">
        <v>898</v>
      </c>
    </row>
    <row r="4722">
      <c r="C4722" t="s">
        <v>898</v>
      </c>
    </row>
    <row r="4723">
      <c r="C4723" t="s">
        <v>898</v>
      </c>
    </row>
    <row r="4724">
      <c r="C4724" t="s">
        <v>898</v>
      </c>
    </row>
    <row r="4725">
      <c r="C4725" t="s">
        <v>898</v>
      </c>
    </row>
    <row r="4726">
      <c r="C4726" t="s">
        <v>898</v>
      </c>
    </row>
    <row r="4727">
      <c r="C4727" t="s">
        <v>898</v>
      </c>
    </row>
    <row r="4728">
      <c r="C4728" t="s">
        <v>898</v>
      </c>
    </row>
    <row r="4729">
      <c r="C4729" t="s">
        <v>898</v>
      </c>
    </row>
    <row r="4730">
      <c r="C4730" t="s">
        <v>898</v>
      </c>
    </row>
    <row r="4731">
      <c r="C4731" t="s">
        <v>898</v>
      </c>
    </row>
    <row r="4732">
      <c r="C4732" t="s">
        <v>898</v>
      </c>
    </row>
    <row r="4733">
      <c r="C4733" t="s">
        <v>898</v>
      </c>
    </row>
    <row r="4734">
      <c r="C4734" t="s">
        <v>898</v>
      </c>
    </row>
    <row r="4735">
      <c r="C4735" t="s">
        <v>898</v>
      </c>
    </row>
    <row r="4736">
      <c r="C4736" t="s">
        <v>898</v>
      </c>
    </row>
    <row r="4737">
      <c r="C4737" t="s">
        <v>898</v>
      </c>
    </row>
    <row r="4738">
      <c r="C4738" t="s">
        <v>898</v>
      </c>
    </row>
    <row r="4739">
      <c r="C4739" t="s">
        <v>898</v>
      </c>
    </row>
    <row r="4740">
      <c r="C4740" t="s">
        <v>898</v>
      </c>
    </row>
    <row r="4741">
      <c r="C4741" t="s">
        <v>898</v>
      </c>
    </row>
    <row r="4742">
      <c r="C4742" t="s">
        <v>898</v>
      </c>
    </row>
    <row r="4743">
      <c r="C4743" t="s">
        <v>898</v>
      </c>
    </row>
    <row r="4744">
      <c r="C4744" t="s">
        <v>898</v>
      </c>
    </row>
    <row r="4745">
      <c r="C4745" t="s">
        <v>898</v>
      </c>
    </row>
    <row r="4746">
      <c r="C4746" t="s">
        <v>898</v>
      </c>
    </row>
    <row r="4747">
      <c r="C4747" t="s">
        <v>898</v>
      </c>
    </row>
    <row r="4748">
      <c r="C4748" t="s">
        <v>898</v>
      </c>
    </row>
    <row r="4749">
      <c r="C4749" t="s">
        <v>898</v>
      </c>
    </row>
    <row r="4750">
      <c r="C4750" t="s">
        <v>898</v>
      </c>
    </row>
    <row r="4751">
      <c r="C4751" t="s">
        <v>898</v>
      </c>
    </row>
    <row r="4752">
      <c r="C4752" t="s">
        <v>898</v>
      </c>
    </row>
    <row r="4753">
      <c r="C4753" t="s">
        <v>898</v>
      </c>
    </row>
    <row r="4754">
      <c r="C4754" t="s">
        <v>898</v>
      </c>
    </row>
    <row r="4755">
      <c r="C4755" t="s">
        <v>898</v>
      </c>
    </row>
    <row r="4756">
      <c r="C4756" t="s">
        <v>898</v>
      </c>
    </row>
    <row r="4757">
      <c r="C4757" t="s">
        <v>898</v>
      </c>
    </row>
    <row r="4758">
      <c r="C4758" t="s">
        <v>898</v>
      </c>
    </row>
    <row r="4759">
      <c r="C4759" t="s">
        <v>898</v>
      </c>
    </row>
    <row r="4760">
      <c r="C4760" t="s">
        <v>898</v>
      </c>
    </row>
    <row r="4761">
      <c r="C4761" t="s">
        <v>898</v>
      </c>
    </row>
    <row r="4762">
      <c r="C4762" t="s">
        <v>898</v>
      </c>
    </row>
    <row r="4763">
      <c r="C4763" t="s">
        <v>898</v>
      </c>
    </row>
    <row r="4764">
      <c r="C4764" t="s">
        <v>898</v>
      </c>
    </row>
    <row r="4765">
      <c r="C4765" t="s">
        <v>898</v>
      </c>
    </row>
    <row r="4766">
      <c r="C4766" t="s">
        <v>898</v>
      </c>
    </row>
    <row r="4767">
      <c r="C4767" t="s">
        <v>898</v>
      </c>
    </row>
    <row r="4768">
      <c r="C4768" t="s">
        <v>898</v>
      </c>
    </row>
    <row r="4769">
      <c r="C4769" t="s">
        <v>898</v>
      </c>
    </row>
    <row r="4770">
      <c r="C4770" t="s">
        <v>898</v>
      </c>
    </row>
    <row r="4771">
      <c r="C4771" t="s">
        <v>898</v>
      </c>
    </row>
    <row r="4772">
      <c r="C4772" t="s">
        <v>898</v>
      </c>
    </row>
    <row r="4773">
      <c r="C4773" t="s">
        <v>898</v>
      </c>
    </row>
    <row r="4774">
      <c r="C4774" t="s">
        <v>898</v>
      </c>
    </row>
    <row r="4775">
      <c r="C4775" t="s">
        <v>898</v>
      </c>
    </row>
    <row r="4776">
      <c r="C4776" t="s">
        <v>898</v>
      </c>
    </row>
    <row r="4777">
      <c r="C4777" t="s">
        <v>898</v>
      </c>
    </row>
    <row r="4778">
      <c r="C4778" t="s">
        <v>898</v>
      </c>
    </row>
    <row r="4779">
      <c r="C4779" t="s">
        <v>898</v>
      </c>
    </row>
    <row r="4780">
      <c r="C4780" t="s">
        <v>898</v>
      </c>
    </row>
    <row r="4781">
      <c r="C4781" t="s">
        <v>898</v>
      </c>
    </row>
    <row r="4782">
      <c r="C4782" t="s">
        <v>898</v>
      </c>
    </row>
    <row r="4783">
      <c r="C4783" t="s">
        <v>898</v>
      </c>
    </row>
    <row r="4784">
      <c r="C4784" t="s">
        <v>898</v>
      </c>
    </row>
    <row r="4785">
      <c r="C4785" t="s">
        <v>898</v>
      </c>
    </row>
    <row r="4786">
      <c r="C4786" t="s">
        <v>898</v>
      </c>
    </row>
    <row r="4787">
      <c r="C4787" t="s">
        <v>898</v>
      </c>
    </row>
    <row r="4788">
      <c r="C4788" t="s">
        <v>898</v>
      </c>
    </row>
    <row r="4789">
      <c r="C4789" t="s">
        <v>898</v>
      </c>
    </row>
    <row r="4790">
      <c r="C4790" t="s">
        <v>898</v>
      </c>
    </row>
    <row r="4791">
      <c r="C4791" t="s">
        <v>898</v>
      </c>
    </row>
    <row r="4792">
      <c r="C4792" t="s">
        <v>898</v>
      </c>
    </row>
    <row r="4793">
      <c r="C4793" t="s">
        <v>898</v>
      </c>
    </row>
    <row r="4794">
      <c r="C4794" t="s">
        <v>898</v>
      </c>
    </row>
    <row r="4795">
      <c r="C4795" t="s">
        <v>898</v>
      </c>
    </row>
    <row r="4796">
      <c r="C4796" t="s">
        <v>898</v>
      </c>
    </row>
    <row r="4797">
      <c r="C4797" t="s">
        <v>898</v>
      </c>
    </row>
    <row r="4798">
      <c r="C4798" t="s">
        <v>898</v>
      </c>
    </row>
    <row r="4799">
      <c r="C4799" t="s">
        <v>898</v>
      </c>
    </row>
    <row r="4800">
      <c r="C4800" t="s">
        <v>898</v>
      </c>
    </row>
    <row r="4801">
      <c r="C4801" t="s">
        <v>898</v>
      </c>
    </row>
    <row r="4802">
      <c r="C4802" t="s">
        <v>898</v>
      </c>
    </row>
    <row r="4803">
      <c r="C4803" t="s">
        <v>898</v>
      </c>
    </row>
    <row r="4804">
      <c r="C4804" t="s">
        <v>898</v>
      </c>
    </row>
    <row r="4805">
      <c r="C4805" t="s">
        <v>898</v>
      </c>
    </row>
    <row r="4806">
      <c r="C4806" t="s">
        <v>898</v>
      </c>
    </row>
    <row r="4807">
      <c r="C4807" t="s">
        <v>898</v>
      </c>
    </row>
    <row r="4808">
      <c r="C4808" t="s">
        <v>898</v>
      </c>
    </row>
    <row r="4809">
      <c r="C4809" t="s">
        <v>898</v>
      </c>
    </row>
    <row r="4810">
      <c r="C4810" t="s">
        <v>898</v>
      </c>
    </row>
    <row r="4811">
      <c r="C4811" t="s">
        <v>898</v>
      </c>
    </row>
    <row r="4812">
      <c r="C4812" t="s">
        <v>898</v>
      </c>
    </row>
    <row r="4813">
      <c r="C4813" t="s">
        <v>898</v>
      </c>
    </row>
    <row r="4814">
      <c r="C4814" t="s">
        <v>898</v>
      </c>
    </row>
    <row r="4815">
      <c r="C4815" t="s">
        <v>898</v>
      </c>
    </row>
    <row r="4816">
      <c r="C4816" t="s">
        <v>898</v>
      </c>
    </row>
    <row r="4817">
      <c r="C4817" t="s">
        <v>898</v>
      </c>
    </row>
    <row r="4818">
      <c r="C4818" t="s">
        <v>898</v>
      </c>
    </row>
    <row r="4819">
      <c r="C4819" t="s">
        <v>898</v>
      </c>
    </row>
    <row r="4820">
      <c r="C4820" t="s">
        <v>898</v>
      </c>
    </row>
    <row r="4821">
      <c r="C4821" t="s">
        <v>898</v>
      </c>
    </row>
    <row r="4822">
      <c r="C4822" t="s">
        <v>898</v>
      </c>
    </row>
    <row r="4823">
      <c r="C4823" t="s">
        <v>898</v>
      </c>
    </row>
    <row r="4824">
      <c r="C4824" t="s">
        <v>898</v>
      </c>
    </row>
    <row r="4825">
      <c r="C4825" t="s">
        <v>898</v>
      </c>
    </row>
    <row r="4826">
      <c r="C4826" t="s">
        <v>898</v>
      </c>
    </row>
    <row r="4827">
      <c r="C4827" t="s">
        <v>898</v>
      </c>
    </row>
    <row r="4828">
      <c r="C4828" t="s">
        <v>898</v>
      </c>
    </row>
    <row r="4829">
      <c r="C4829" t="s">
        <v>898</v>
      </c>
    </row>
    <row r="4830">
      <c r="C4830" t="s">
        <v>898</v>
      </c>
    </row>
    <row r="4831">
      <c r="C4831" t="s">
        <v>898</v>
      </c>
    </row>
    <row r="4832">
      <c r="C4832" t="s">
        <v>898</v>
      </c>
    </row>
    <row r="4833">
      <c r="C4833" t="s">
        <v>898</v>
      </c>
    </row>
    <row r="4834">
      <c r="C4834" t="s">
        <v>898</v>
      </c>
    </row>
    <row r="4835">
      <c r="C4835" t="s">
        <v>898</v>
      </c>
    </row>
    <row r="4836">
      <c r="C4836" t="s">
        <v>898</v>
      </c>
    </row>
    <row r="4837">
      <c r="C4837" t="s">
        <v>898</v>
      </c>
    </row>
    <row r="4838">
      <c r="C4838" t="s">
        <v>898</v>
      </c>
    </row>
    <row r="4839">
      <c r="C4839" t="s">
        <v>898</v>
      </c>
    </row>
    <row r="4840">
      <c r="C4840" t="s">
        <v>898</v>
      </c>
    </row>
    <row r="4841">
      <c r="C4841" t="s">
        <v>898</v>
      </c>
    </row>
    <row r="4842">
      <c r="C4842" t="s">
        <v>898</v>
      </c>
    </row>
    <row r="4843">
      <c r="C4843" t="s">
        <v>898</v>
      </c>
    </row>
    <row r="4844">
      <c r="C4844" t="s">
        <v>898</v>
      </c>
    </row>
    <row r="4845">
      <c r="C4845" t="s">
        <v>898</v>
      </c>
    </row>
    <row r="4846">
      <c r="C4846" t="s">
        <v>898</v>
      </c>
    </row>
    <row r="4847">
      <c r="C4847" t="s">
        <v>898</v>
      </c>
    </row>
    <row r="4848">
      <c r="C4848" t="s">
        <v>898</v>
      </c>
    </row>
    <row r="4849">
      <c r="C4849" t="s">
        <v>898</v>
      </c>
    </row>
    <row r="4850">
      <c r="C4850" t="s">
        <v>898</v>
      </c>
    </row>
    <row r="4851">
      <c r="C4851" t="s">
        <v>898</v>
      </c>
    </row>
    <row r="4852">
      <c r="C4852" t="s">
        <v>898</v>
      </c>
    </row>
    <row r="4853">
      <c r="C4853" t="s">
        <v>898</v>
      </c>
    </row>
    <row r="4854">
      <c r="C4854" t="s">
        <v>898</v>
      </c>
    </row>
    <row r="4855">
      <c r="C4855" t="s">
        <v>898</v>
      </c>
    </row>
    <row r="4856">
      <c r="C4856" t="s">
        <v>898</v>
      </c>
    </row>
    <row r="4857">
      <c r="C4857" t="s">
        <v>898</v>
      </c>
    </row>
    <row r="4858">
      <c r="C4858" t="s">
        <v>898</v>
      </c>
    </row>
    <row r="4859">
      <c r="C4859" t="s">
        <v>898</v>
      </c>
    </row>
    <row r="4860">
      <c r="C4860" t="s">
        <v>898</v>
      </c>
    </row>
    <row r="4861">
      <c r="C4861" t="s">
        <v>898</v>
      </c>
    </row>
    <row r="4862">
      <c r="C4862" t="s">
        <v>898</v>
      </c>
    </row>
    <row r="4863">
      <c r="C4863" t="s">
        <v>898</v>
      </c>
    </row>
    <row r="4864">
      <c r="C4864" t="s">
        <v>898</v>
      </c>
    </row>
    <row r="4865">
      <c r="C4865" t="s">
        <v>898</v>
      </c>
    </row>
    <row r="4866">
      <c r="C4866" t="s">
        <v>898</v>
      </c>
    </row>
    <row r="4867">
      <c r="C4867" t="s">
        <v>898</v>
      </c>
    </row>
    <row r="4868">
      <c r="C4868" t="s">
        <v>898</v>
      </c>
    </row>
    <row r="4869">
      <c r="C4869" t="s">
        <v>898</v>
      </c>
    </row>
    <row r="4870">
      <c r="C4870" t="s">
        <v>898</v>
      </c>
    </row>
    <row r="4871">
      <c r="C4871" t="s">
        <v>898</v>
      </c>
    </row>
    <row r="4872">
      <c r="C4872" t="s">
        <v>898</v>
      </c>
    </row>
    <row r="4873">
      <c r="C4873" t="s">
        <v>898</v>
      </c>
    </row>
    <row r="4874">
      <c r="C4874" t="s">
        <v>898</v>
      </c>
    </row>
    <row r="4875">
      <c r="C4875" t="s">
        <v>898</v>
      </c>
    </row>
    <row r="4876">
      <c r="C4876" t="s">
        <v>898</v>
      </c>
    </row>
    <row r="4877">
      <c r="C4877" t="s">
        <v>898</v>
      </c>
    </row>
    <row r="4878">
      <c r="C4878" t="s">
        <v>898</v>
      </c>
    </row>
    <row r="4879">
      <c r="C4879" t="s">
        <v>898</v>
      </c>
    </row>
    <row r="4880">
      <c r="C4880" t="s">
        <v>898</v>
      </c>
    </row>
    <row r="4881">
      <c r="C4881" t="s">
        <v>898</v>
      </c>
    </row>
    <row r="4882">
      <c r="C4882" t="s">
        <v>898</v>
      </c>
    </row>
    <row r="4883">
      <c r="C4883" t="s">
        <v>898</v>
      </c>
    </row>
    <row r="4884">
      <c r="C4884" t="s">
        <v>898</v>
      </c>
    </row>
    <row r="4885">
      <c r="C4885" t="s">
        <v>898</v>
      </c>
    </row>
    <row r="4886">
      <c r="C4886" t="s">
        <v>898</v>
      </c>
    </row>
    <row r="4887">
      <c r="C4887" t="s">
        <v>898</v>
      </c>
    </row>
    <row r="4888">
      <c r="C4888" t="s">
        <v>898</v>
      </c>
    </row>
    <row r="4889">
      <c r="C4889" t="s">
        <v>898</v>
      </c>
    </row>
    <row r="4890">
      <c r="C4890" t="s">
        <v>898</v>
      </c>
    </row>
    <row r="4891">
      <c r="C4891" t="s">
        <v>898</v>
      </c>
    </row>
    <row r="4892">
      <c r="C4892" t="s">
        <v>898</v>
      </c>
    </row>
    <row r="4893">
      <c r="C4893" t="s">
        <v>898</v>
      </c>
    </row>
    <row r="4894">
      <c r="C4894" t="s">
        <v>898</v>
      </c>
    </row>
    <row r="4895">
      <c r="C4895" t="s">
        <v>898</v>
      </c>
    </row>
    <row r="4896">
      <c r="C4896" t="s">
        <v>898</v>
      </c>
    </row>
    <row r="4897">
      <c r="C4897" t="s">
        <v>898</v>
      </c>
    </row>
    <row r="4898">
      <c r="C4898" t="s">
        <v>898</v>
      </c>
    </row>
    <row r="4899">
      <c r="C4899" t="s">
        <v>898</v>
      </c>
    </row>
    <row r="4900">
      <c r="C4900" t="s">
        <v>898</v>
      </c>
    </row>
    <row r="4901">
      <c r="C4901" t="s">
        <v>898</v>
      </c>
    </row>
    <row r="4902">
      <c r="C4902" t="s">
        <v>898</v>
      </c>
    </row>
    <row r="4903">
      <c r="C4903" t="s">
        <v>898</v>
      </c>
    </row>
    <row r="4904">
      <c r="C4904" t="s">
        <v>898</v>
      </c>
    </row>
    <row r="4905">
      <c r="C4905" t="s">
        <v>898</v>
      </c>
    </row>
    <row r="4906">
      <c r="C4906" t="s">
        <v>898</v>
      </c>
    </row>
    <row r="4907">
      <c r="C4907" t="s">
        <v>898</v>
      </c>
    </row>
    <row r="4908">
      <c r="C4908" t="s">
        <v>898</v>
      </c>
    </row>
    <row r="4909">
      <c r="C4909" t="s">
        <v>898</v>
      </c>
    </row>
    <row r="4910">
      <c r="C4910" t="s">
        <v>898</v>
      </c>
    </row>
    <row r="4911">
      <c r="C4911" t="s">
        <v>898</v>
      </c>
    </row>
    <row r="4912">
      <c r="C4912" t="s">
        <v>898</v>
      </c>
    </row>
    <row r="4913">
      <c r="C4913" t="s">
        <v>898</v>
      </c>
    </row>
    <row r="4914">
      <c r="C4914" t="s">
        <v>898</v>
      </c>
    </row>
    <row r="4915">
      <c r="C4915" t="s">
        <v>898</v>
      </c>
    </row>
    <row r="4916">
      <c r="C4916" t="s">
        <v>898</v>
      </c>
    </row>
    <row r="4917">
      <c r="C4917" t="s">
        <v>898</v>
      </c>
    </row>
    <row r="4918">
      <c r="C4918" t="s">
        <v>898</v>
      </c>
    </row>
    <row r="4919">
      <c r="C4919" t="s">
        <v>898</v>
      </c>
    </row>
    <row r="4920">
      <c r="C4920" t="s">
        <v>898</v>
      </c>
    </row>
    <row r="4921">
      <c r="C4921" t="s">
        <v>898</v>
      </c>
    </row>
    <row r="4922">
      <c r="C4922" t="s">
        <v>898</v>
      </c>
    </row>
    <row r="4923">
      <c r="C4923" t="s">
        <v>898</v>
      </c>
    </row>
    <row r="4924">
      <c r="C4924" t="s">
        <v>898</v>
      </c>
    </row>
    <row r="4925">
      <c r="C4925" t="s">
        <v>898</v>
      </c>
    </row>
    <row r="4926">
      <c r="C4926" t="s">
        <v>898</v>
      </c>
    </row>
    <row r="4927">
      <c r="C4927" t="s">
        <v>898</v>
      </c>
    </row>
    <row r="4928">
      <c r="C4928" t="s">
        <v>898</v>
      </c>
    </row>
    <row r="4929">
      <c r="C4929" t="s">
        <v>898</v>
      </c>
    </row>
    <row r="4930">
      <c r="C4930" t="s">
        <v>898</v>
      </c>
    </row>
    <row r="4931">
      <c r="C4931" t="s">
        <v>898</v>
      </c>
    </row>
    <row r="4932">
      <c r="C4932" t="s">
        <v>898</v>
      </c>
    </row>
    <row r="4933">
      <c r="C4933" t="s">
        <v>898</v>
      </c>
    </row>
    <row r="4934">
      <c r="C4934" t="s">
        <v>898</v>
      </c>
    </row>
    <row r="4935">
      <c r="C4935" t="s">
        <v>898</v>
      </c>
    </row>
    <row r="4936">
      <c r="C4936" t="s">
        <v>898</v>
      </c>
    </row>
    <row r="4937">
      <c r="C4937" t="s">
        <v>898</v>
      </c>
    </row>
    <row r="4938">
      <c r="C4938" t="s">
        <v>898</v>
      </c>
    </row>
    <row r="4939">
      <c r="C4939" t="s">
        <v>898</v>
      </c>
    </row>
    <row r="4940">
      <c r="C4940" t="s">
        <v>898</v>
      </c>
    </row>
    <row r="4941">
      <c r="C4941" t="s">
        <v>898</v>
      </c>
    </row>
    <row r="4942">
      <c r="C4942" t="s">
        <v>898</v>
      </c>
    </row>
    <row r="4943">
      <c r="C4943" t="s">
        <v>898</v>
      </c>
    </row>
    <row r="4944">
      <c r="C4944" t="s">
        <v>898</v>
      </c>
    </row>
    <row r="4945">
      <c r="C4945" t="s">
        <v>898</v>
      </c>
    </row>
    <row r="4946">
      <c r="C4946" t="s">
        <v>898</v>
      </c>
    </row>
    <row r="4947">
      <c r="C4947" t="s">
        <v>898</v>
      </c>
    </row>
    <row r="4948">
      <c r="C4948" t="s">
        <v>898</v>
      </c>
    </row>
    <row r="4949">
      <c r="C4949" t="s">
        <v>898</v>
      </c>
    </row>
    <row r="4950">
      <c r="C4950" t="s">
        <v>898</v>
      </c>
    </row>
    <row r="4951">
      <c r="C4951" t="s">
        <v>898</v>
      </c>
    </row>
    <row r="4952">
      <c r="C4952" t="s">
        <v>898</v>
      </c>
    </row>
    <row r="4953">
      <c r="C4953" t="s">
        <v>898</v>
      </c>
    </row>
    <row r="4954">
      <c r="C4954" t="s">
        <v>898</v>
      </c>
    </row>
    <row r="4955">
      <c r="C4955" t="s">
        <v>898</v>
      </c>
    </row>
    <row r="4956">
      <c r="C4956" t="s">
        <v>898</v>
      </c>
    </row>
    <row r="4957">
      <c r="C4957" t="s">
        <v>898</v>
      </c>
    </row>
    <row r="4958">
      <c r="C4958" t="s">
        <v>898</v>
      </c>
    </row>
    <row r="4959">
      <c r="C4959" t="s">
        <v>898</v>
      </c>
    </row>
    <row r="4960">
      <c r="C4960" t="s">
        <v>898</v>
      </c>
    </row>
    <row r="4961">
      <c r="C4961" t="s">
        <v>898</v>
      </c>
    </row>
    <row r="4962">
      <c r="C4962" t="s">
        <v>898</v>
      </c>
    </row>
    <row r="4963">
      <c r="C4963" t="s">
        <v>898</v>
      </c>
    </row>
    <row r="4964">
      <c r="C4964" t="s">
        <v>898</v>
      </c>
    </row>
    <row r="4965">
      <c r="C4965" t="s">
        <v>898</v>
      </c>
    </row>
    <row r="4966">
      <c r="C4966" t="s">
        <v>898</v>
      </c>
    </row>
    <row r="4967">
      <c r="C4967" t="s">
        <v>898</v>
      </c>
    </row>
    <row r="4968">
      <c r="C4968" t="s">
        <v>898</v>
      </c>
    </row>
    <row r="4969">
      <c r="C4969" t="s">
        <v>898</v>
      </c>
    </row>
    <row r="4970">
      <c r="C4970" t="s">
        <v>898</v>
      </c>
    </row>
    <row r="4971">
      <c r="C4971" t="s">
        <v>898</v>
      </c>
    </row>
    <row r="4972">
      <c r="C4972" t="s">
        <v>898</v>
      </c>
    </row>
    <row r="4973">
      <c r="C4973" t="s">
        <v>898</v>
      </c>
    </row>
    <row r="4974">
      <c r="C4974" t="s">
        <v>898</v>
      </c>
    </row>
    <row r="4975">
      <c r="C4975" t="s">
        <v>898</v>
      </c>
    </row>
    <row r="4976">
      <c r="C4976" t="s">
        <v>898</v>
      </c>
    </row>
    <row r="4977">
      <c r="C4977" t="s">
        <v>898</v>
      </c>
    </row>
    <row r="4978">
      <c r="C4978" t="s">
        <v>898</v>
      </c>
    </row>
    <row r="4979">
      <c r="C4979" t="s">
        <v>898</v>
      </c>
    </row>
    <row r="4980">
      <c r="C4980" t="s">
        <v>898</v>
      </c>
    </row>
    <row r="4981">
      <c r="C4981" t="s">
        <v>898</v>
      </c>
    </row>
    <row r="4982">
      <c r="C4982" t="s">
        <v>898</v>
      </c>
    </row>
    <row r="4983">
      <c r="C4983" t="s">
        <v>898</v>
      </c>
    </row>
    <row r="4984">
      <c r="C4984" t="s">
        <v>898</v>
      </c>
    </row>
    <row r="4985">
      <c r="C4985" t="s">
        <v>898</v>
      </c>
    </row>
    <row r="4986">
      <c r="C4986" t="s">
        <v>898</v>
      </c>
    </row>
    <row r="4987">
      <c r="C4987" t="s">
        <v>898</v>
      </c>
    </row>
    <row r="4988">
      <c r="C4988" t="s">
        <v>898</v>
      </c>
    </row>
    <row r="4989">
      <c r="C4989" t="s">
        <v>898</v>
      </c>
    </row>
    <row r="4990">
      <c r="C4990" t="s">
        <v>898</v>
      </c>
    </row>
    <row r="4991">
      <c r="C4991" t="s">
        <v>898</v>
      </c>
    </row>
    <row r="4992">
      <c r="C4992" t="s">
        <v>898</v>
      </c>
    </row>
    <row r="4993">
      <c r="C4993" t="s">
        <v>898</v>
      </c>
    </row>
    <row r="4994">
      <c r="C4994" t="s">
        <v>898</v>
      </c>
    </row>
    <row r="4995">
      <c r="C4995" t="s">
        <v>898</v>
      </c>
    </row>
    <row r="4996">
      <c r="C4996" t="s">
        <v>898</v>
      </c>
    </row>
    <row r="4997">
      <c r="C4997" t="s">
        <v>898</v>
      </c>
    </row>
    <row r="4998">
      <c r="C4998" t="s">
        <v>898</v>
      </c>
    </row>
    <row r="4999">
      <c r="C4999" t="s">
        <v>898</v>
      </c>
    </row>
    <row r="5000">
      <c r="C5000" t="s">
        <v>898</v>
      </c>
    </row>
    <row r="5001">
      <c r="C5001" t="s">
        <v>898</v>
      </c>
    </row>
    <row r="5002">
      <c r="C5002" t="s">
        <v>898</v>
      </c>
    </row>
    <row r="5003">
      <c r="C5003" t="s">
        <v>898</v>
      </c>
    </row>
    <row r="5004">
      <c r="C5004" t="s">
        <v>898</v>
      </c>
    </row>
    <row r="5005">
      <c r="C5005" t="s">
        <v>898</v>
      </c>
    </row>
    <row r="5006">
      <c r="C5006" t="s">
        <v>898</v>
      </c>
    </row>
    <row r="5007">
      <c r="C5007" t="s">
        <v>898</v>
      </c>
    </row>
    <row r="5008">
      <c r="C5008" t="s">
        <v>898</v>
      </c>
    </row>
    <row r="5009">
      <c r="C5009" t="s">
        <v>898</v>
      </c>
    </row>
    <row r="5010">
      <c r="C5010" t="s">
        <v>898</v>
      </c>
    </row>
    <row r="5011">
      <c r="C5011" t="s">
        <v>898</v>
      </c>
    </row>
    <row r="5012">
      <c r="C5012" t="s">
        <v>898</v>
      </c>
    </row>
    <row r="5013">
      <c r="C5013" t="s">
        <v>898</v>
      </c>
    </row>
    <row r="5014">
      <c r="C5014" t="s">
        <v>898</v>
      </c>
    </row>
    <row r="5015">
      <c r="C5015" t="s">
        <v>898</v>
      </c>
    </row>
    <row r="5016">
      <c r="C5016" t="s">
        <v>898</v>
      </c>
    </row>
    <row r="5017">
      <c r="C5017" t="s">
        <v>898</v>
      </c>
    </row>
    <row r="5018">
      <c r="C5018" t="s">
        <v>898</v>
      </c>
    </row>
    <row r="5019">
      <c r="C5019" t="s">
        <v>898</v>
      </c>
    </row>
    <row r="5020">
      <c r="C5020" t="s">
        <v>898</v>
      </c>
    </row>
    <row r="5021">
      <c r="C5021" t="s">
        <v>898</v>
      </c>
    </row>
    <row r="5022">
      <c r="C5022" t="s">
        <v>898</v>
      </c>
    </row>
    <row r="5023">
      <c r="C5023" t="s">
        <v>898</v>
      </c>
    </row>
    <row r="5024">
      <c r="C5024" t="s">
        <v>898</v>
      </c>
    </row>
    <row r="5025">
      <c r="C5025" t="s">
        <v>898</v>
      </c>
    </row>
    <row r="5026">
      <c r="C5026" t="s">
        <v>898</v>
      </c>
    </row>
    <row r="5027">
      <c r="C5027" t="s">
        <v>898</v>
      </c>
    </row>
    <row r="5028">
      <c r="C5028" t="s">
        <v>898</v>
      </c>
    </row>
    <row r="5029">
      <c r="C5029" t="s">
        <v>898</v>
      </c>
    </row>
    <row r="5030">
      <c r="C5030" t="s">
        <v>898</v>
      </c>
    </row>
    <row r="5031">
      <c r="C5031" t="s">
        <v>898</v>
      </c>
    </row>
    <row r="5032">
      <c r="C5032" t="s">
        <v>898</v>
      </c>
    </row>
    <row r="5033">
      <c r="C5033" t="s">
        <v>898</v>
      </c>
    </row>
    <row r="5034">
      <c r="C5034" t="s">
        <v>898</v>
      </c>
    </row>
    <row r="5035">
      <c r="C5035" t="s">
        <v>898</v>
      </c>
    </row>
    <row r="5036">
      <c r="C5036" t="s">
        <v>898</v>
      </c>
    </row>
    <row r="5037">
      <c r="C5037" t="s">
        <v>898</v>
      </c>
    </row>
    <row r="5038">
      <c r="C5038" t="s">
        <v>898</v>
      </c>
    </row>
    <row r="5039">
      <c r="C5039" t="s">
        <v>898</v>
      </c>
    </row>
    <row r="5040">
      <c r="C5040" t="s">
        <v>898</v>
      </c>
    </row>
    <row r="5041">
      <c r="C5041" t="s">
        <v>898</v>
      </c>
    </row>
    <row r="5042">
      <c r="C5042" t="s">
        <v>898</v>
      </c>
    </row>
    <row r="5043">
      <c r="C5043" t="s">
        <v>898</v>
      </c>
    </row>
    <row r="5044">
      <c r="C5044" t="s">
        <v>898</v>
      </c>
    </row>
    <row r="5045">
      <c r="C5045" t="s">
        <v>898</v>
      </c>
    </row>
    <row r="5046">
      <c r="C5046" t="s">
        <v>898</v>
      </c>
    </row>
    <row r="5047">
      <c r="C5047" t="s">
        <v>898</v>
      </c>
    </row>
    <row r="5048">
      <c r="C5048" t="s">
        <v>898</v>
      </c>
    </row>
    <row r="5049">
      <c r="C5049" t="s">
        <v>898</v>
      </c>
    </row>
    <row r="5050">
      <c r="C5050" t="s">
        <v>898</v>
      </c>
    </row>
    <row r="5051">
      <c r="C5051" t="s">
        <v>898</v>
      </c>
    </row>
    <row r="5052">
      <c r="C5052" t="s">
        <v>898</v>
      </c>
    </row>
    <row r="5053">
      <c r="C5053" t="s">
        <v>898</v>
      </c>
    </row>
    <row r="5054">
      <c r="C5054" t="s">
        <v>898</v>
      </c>
    </row>
    <row r="5055">
      <c r="C5055" t="s">
        <v>898</v>
      </c>
    </row>
    <row r="5056">
      <c r="C5056" t="s">
        <v>898</v>
      </c>
    </row>
    <row r="5057">
      <c r="C5057" t="s">
        <v>898</v>
      </c>
    </row>
    <row r="5058">
      <c r="C5058" t="s">
        <v>898</v>
      </c>
    </row>
    <row r="5059">
      <c r="C5059" t="s">
        <v>898</v>
      </c>
    </row>
    <row r="5060">
      <c r="C5060" t="s">
        <v>898</v>
      </c>
    </row>
    <row r="5061">
      <c r="C5061" t="s">
        <v>898</v>
      </c>
    </row>
    <row r="5062">
      <c r="C5062" t="s">
        <v>898</v>
      </c>
    </row>
    <row r="5063">
      <c r="C5063" t="s">
        <v>898</v>
      </c>
    </row>
    <row r="5064">
      <c r="C5064" t="s">
        <v>898</v>
      </c>
    </row>
    <row r="5065">
      <c r="C5065" t="s">
        <v>898</v>
      </c>
    </row>
    <row r="5066">
      <c r="C5066" t="s">
        <v>898</v>
      </c>
    </row>
    <row r="5067">
      <c r="C5067" t="s">
        <v>898</v>
      </c>
    </row>
    <row r="5068">
      <c r="C5068" t="s">
        <v>898</v>
      </c>
    </row>
    <row r="5069">
      <c r="C5069" t="s">
        <v>898</v>
      </c>
    </row>
    <row r="5070">
      <c r="C5070" t="s">
        <v>898</v>
      </c>
    </row>
    <row r="5071">
      <c r="C5071" t="s">
        <v>898</v>
      </c>
    </row>
    <row r="5072">
      <c r="C5072" t="s">
        <v>898</v>
      </c>
    </row>
    <row r="5073">
      <c r="C5073" t="s">
        <v>898</v>
      </c>
    </row>
    <row r="5074">
      <c r="C5074" t="s">
        <v>898</v>
      </c>
    </row>
    <row r="5075">
      <c r="C5075" t="s">
        <v>898</v>
      </c>
    </row>
    <row r="5076">
      <c r="C5076" t="s">
        <v>898</v>
      </c>
    </row>
    <row r="5077">
      <c r="C5077" t="s">
        <v>898</v>
      </c>
    </row>
    <row r="5078">
      <c r="C5078" t="s">
        <v>898</v>
      </c>
    </row>
    <row r="5079">
      <c r="C5079" t="s">
        <v>898</v>
      </c>
    </row>
    <row r="5080">
      <c r="C5080" t="s">
        <v>898</v>
      </c>
    </row>
    <row r="5081">
      <c r="C5081" t="s">
        <v>898</v>
      </c>
    </row>
    <row r="5082">
      <c r="C5082" t="s">
        <v>898</v>
      </c>
    </row>
    <row r="5083">
      <c r="C5083" t="s">
        <v>898</v>
      </c>
    </row>
    <row r="5084">
      <c r="C5084" t="s">
        <v>898</v>
      </c>
    </row>
    <row r="5085">
      <c r="C5085" t="s">
        <v>898</v>
      </c>
    </row>
    <row r="5086">
      <c r="C5086" t="s">
        <v>898</v>
      </c>
    </row>
    <row r="5087">
      <c r="C5087" t="s">
        <v>898</v>
      </c>
    </row>
    <row r="5088">
      <c r="C5088" t="s">
        <v>898</v>
      </c>
    </row>
    <row r="5089">
      <c r="C5089" t="s">
        <v>898</v>
      </c>
    </row>
    <row r="5090">
      <c r="C5090" t="s">
        <v>898</v>
      </c>
    </row>
    <row r="5091">
      <c r="C5091" t="s">
        <v>898</v>
      </c>
    </row>
    <row r="5092">
      <c r="C5092" t="s">
        <v>898</v>
      </c>
    </row>
    <row r="5093">
      <c r="C5093" t="s">
        <v>898</v>
      </c>
    </row>
    <row r="5094">
      <c r="C5094" t="s">
        <v>898</v>
      </c>
    </row>
    <row r="5095">
      <c r="C5095" t="s">
        <v>898</v>
      </c>
    </row>
    <row r="5096">
      <c r="C5096" t="s">
        <v>898</v>
      </c>
    </row>
    <row r="5097">
      <c r="C5097" t="s">
        <v>898</v>
      </c>
    </row>
    <row r="5098">
      <c r="C5098" t="s">
        <v>898</v>
      </c>
    </row>
    <row r="5099">
      <c r="C5099" t="s">
        <v>898</v>
      </c>
    </row>
    <row r="5100">
      <c r="C5100" t="s">
        <v>898</v>
      </c>
    </row>
    <row r="5101">
      <c r="C5101" t="s">
        <v>898</v>
      </c>
    </row>
    <row r="5102">
      <c r="C5102" t="s">
        <v>898</v>
      </c>
    </row>
    <row r="5103">
      <c r="C5103" t="s">
        <v>898</v>
      </c>
    </row>
    <row r="5104">
      <c r="C5104" t="s">
        <v>898</v>
      </c>
    </row>
    <row r="5105">
      <c r="C5105" t="s">
        <v>898</v>
      </c>
    </row>
    <row r="5106">
      <c r="C5106" t="s">
        <v>898</v>
      </c>
    </row>
    <row r="5107">
      <c r="C5107" t="s">
        <v>898</v>
      </c>
    </row>
    <row r="5108">
      <c r="C5108" t="s">
        <v>898</v>
      </c>
    </row>
    <row r="5109">
      <c r="C5109" t="s">
        <v>898</v>
      </c>
    </row>
    <row r="5110">
      <c r="C5110" t="s">
        <v>898</v>
      </c>
    </row>
    <row r="5111">
      <c r="C5111" t="s">
        <v>898</v>
      </c>
    </row>
    <row r="5112">
      <c r="C5112" t="s">
        <v>898</v>
      </c>
    </row>
    <row r="5113">
      <c r="C5113" t="s">
        <v>898</v>
      </c>
    </row>
    <row r="5114">
      <c r="C5114" t="s">
        <v>898</v>
      </c>
    </row>
    <row r="5115">
      <c r="C5115" t="s">
        <v>898</v>
      </c>
    </row>
    <row r="5116">
      <c r="C5116" t="s">
        <v>898</v>
      </c>
    </row>
    <row r="5117">
      <c r="C5117" t="s">
        <v>898</v>
      </c>
    </row>
    <row r="5118">
      <c r="C5118" t="s">
        <v>898</v>
      </c>
    </row>
    <row r="5119">
      <c r="C5119" t="s">
        <v>898</v>
      </c>
    </row>
    <row r="5120">
      <c r="C5120" t="s">
        <v>898</v>
      </c>
    </row>
    <row r="5121">
      <c r="C5121" t="s">
        <v>898</v>
      </c>
    </row>
    <row r="5122">
      <c r="C5122" t="s">
        <v>898</v>
      </c>
    </row>
    <row r="5123">
      <c r="C5123" t="s">
        <v>898</v>
      </c>
    </row>
    <row r="5124">
      <c r="C5124" t="s">
        <v>898</v>
      </c>
    </row>
    <row r="5125">
      <c r="C5125" t="s">
        <v>898</v>
      </c>
    </row>
    <row r="5126">
      <c r="C5126" t="s">
        <v>898</v>
      </c>
    </row>
    <row r="5127">
      <c r="C5127" t="s">
        <v>898</v>
      </c>
    </row>
    <row r="5128">
      <c r="C5128" t="s">
        <v>898</v>
      </c>
    </row>
    <row r="5129">
      <c r="C5129" t="s">
        <v>898</v>
      </c>
    </row>
    <row r="5130">
      <c r="C5130" t="s">
        <v>898</v>
      </c>
    </row>
    <row r="5131">
      <c r="C5131" t="s">
        <v>898</v>
      </c>
    </row>
    <row r="5132">
      <c r="C5132" t="s">
        <v>898</v>
      </c>
    </row>
    <row r="5133">
      <c r="C5133" t="s">
        <v>898</v>
      </c>
    </row>
    <row r="5134">
      <c r="C5134" t="s">
        <v>898</v>
      </c>
    </row>
    <row r="5135">
      <c r="C5135" t="s">
        <v>898</v>
      </c>
    </row>
    <row r="5136">
      <c r="C5136" t="s">
        <v>898</v>
      </c>
    </row>
    <row r="5137">
      <c r="C5137" t="s">
        <v>898</v>
      </c>
    </row>
    <row r="5138">
      <c r="C5138" t="s">
        <v>898</v>
      </c>
    </row>
    <row r="5139">
      <c r="C5139" t="s">
        <v>898</v>
      </c>
    </row>
    <row r="5140">
      <c r="C5140" t="s">
        <v>898</v>
      </c>
    </row>
    <row r="5141">
      <c r="C5141" t="s">
        <v>898</v>
      </c>
    </row>
    <row r="5142">
      <c r="C5142" t="s">
        <v>898</v>
      </c>
    </row>
    <row r="5143">
      <c r="C5143" t="s">
        <v>898</v>
      </c>
    </row>
    <row r="5144">
      <c r="C5144" t="s">
        <v>898</v>
      </c>
    </row>
    <row r="5145">
      <c r="C5145" t="s">
        <v>898</v>
      </c>
    </row>
    <row r="5146">
      <c r="C5146" t="s">
        <v>898</v>
      </c>
    </row>
    <row r="5147">
      <c r="C5147" t="s">
        <v>898</v>
      </c>
    </row>
    <row r="5148">
      <c r="C5148" t="s">
        <v>898</v>
      </c>
    </row>
    <row r="5149">
      <c r="C5149" t="s">
        <v>898</v>
      </c>
    </row>
    <row r="5150">
      <c r="C5150" t="s">
        <v>898</v>
      </c>
    </row>
    <row r="5151">
      <c r="C5151" t="s">
        <v>898</v>
      </c>
    </row>
    <row r="5152">
      <c r="C5152" t="s">
        <v>898</v>
      </c>
    </row>
    <row r="5153">
      <c r="C5153" t="s">
        <v>898</v>
      </c>
    </row>
    <row r="5154">
      <c r="C5154" t="s">
        <v>898</v>
      </c>
    </row>
    <row r="5155">
      <c r="C5155" t="s">
        <v>898</v>
      </c>
    </row>
    <row r="5156">
      <c r="C5156" t="s">
        <v>898</v>
      </c>
    </row>
    <row r="5157">
      <c r="C5157" t="s">
        <v>898</v>
      </c>
    </row>
    <row r="5158">
      <c r="C5158" t="s">
        <v>898</v>
      </c>
    </row>
    <row r="5159">
      <c r="C5159" t="s">
        <v>898</v>
      </c>
    </row>
    <row r="5160">
      <c r="C5160" t="s">
        <v>898</v>
      </c>
    </row>
    <row r="5161">
      <c r="C5161" t="s">
        <v>898</v>
      </c>
    </row>
    <row r="5162">
      <c r="C5162" t="s">
        <v>898</v>
      </c>
    </row>
    <row r="5163">
      <c r="C5163" t="s">
        <v>898</v>
      </c>
    </row>
    <row r="5164">
      <c r="C5164" t="s">
        <v>898</v>
      </c>
    </row>
    <row r="5165">
      <c r="C5165" t="s">
        <v>898</v>
      </c>
    </row>
    <row r="5166">
      <c r="C5166" t="s">
        <v>898</v>
      </c>
    </row>
    <row r="5167">
      <c r="C5167" t="s">
        <v>898</v>
      </c>
    </row>
    <row r="5168">
      <c r="C5168" t="s">
        <v>898</v>
      </c>
    </row>
    <row r="5169">
      <c r="C5169" t="s">
        <v>898</v>
      </c>
    </row>
    <row r="5170">
      <c r="C5170" t="s">
        <v>898</v>
      </c>
    </row>
    <row r="5171">
      <c r="C5171" t="s">
        <v>898</v>
      </c>
    </row>
    <row r="5172">
      <c r="C5172" t="s">
        <v>898</v>
      </c>
    </row>
    <row r="5173">
      <c r="C5173" t="s">
        <v>898</v>
      </c>
    </row>
    <row r="5174">
      <c r="C5174" t="s">
        <v>898</v>
      </c>
    </row>
    <row r="5175">
      <c r="C5175" t="s">
        <v>898</v>
      </c>
    </row>
    <row r="5176">
      <c r="C5176" t="s">
        <v>898</v>
      </c>
    </row>
    <row r="5177">
      <c r="C5177" t="s">
        <v>898</v>
      </c>
    </row>
    <row r="5178">
      <c r="C5178" t="s">
        <v>898</v>
      </c>
    </row>
    <row r="5179">
      <c r="C5179" t="s">
        <v>898</v>
      </c>
    </row>
    <row r="5180">
      <c r="C5180" t="s">
        <v>898</v>
      </c>
    </row>
    <row r="5181">
      <c r="C5181" t="s">
        <v>898</v>
      </c>
    </row>
    <row r="5182">
      <c r="C5182" t="s">
        <v>898</v>
      </c>
    </row>
    <row r="5183">
      <c r="C5183" t="s">
        <v>898</v>
      </c>
    </row>
    <row r="5184">
      <c r="C5184" t="s">
        <v>898</v>
      </c>
    </row>
    <row r="5185">
      <c r="C5185" t="s">
        <v>898</v>
      </c>
    </row>
    <row r="5186">
      <c r="C5186" t="s">
        <v>898</v>
      </c>
    </row>
    <row r="5187">
      <c r="C5187" t="s">
        <v>898</v>
      </c>
    </row>
    <row r="5188">
      <c r="C5188" t="s">
        <v>898</v>
      </c>
    </row>
    <row r="5189">
      <c r="C5189" t="s">
        <v>898</v>
      </c>
    </row>
    <row r="5190">
      <c r="C5190" t="s">
        <v>898</v>
      </c>
    </row>
    <row r="5191">
      <c r="C5191" t="s">
        <v>898</v>
      </c>
    </row>
    <row r="5192">
      <c r="C5192" t="s">
        <v>898</v>
      </c>
    </row>
    <row r="5193">
      <c r="C5193" t="s">
        <v>898</v>
      </c>
    </row>
    <row r="5194">
      <c r="C5194" t="s">
        <v>898</v>
      </c>
    </row>
    <row r="5195">
      <c r="C5195" t="s">
        <v>898</v>
      </c>
    </row>
    <row r="5196">
      <c r="C5196" t="s">
        <v>898</v>
      </c>
    </row>
    <row r="5197">
      <c r="C5197" t="s">
        <v>898</v>
      </c>
    </row>
    <row r="5198">
      <c r="C5198" t="s">
        <v>898</v>
      </c>
    </row>
    <row r="5199">
      <c r="C5199" t="s">
        <v>898</v>
      </c>
    </row>
    <row r="5200">
      <c r="C5200" t="s">
        <v>898</v>
      </c>
    </row>
    <row r="5201">
      <c r="C5201" t="s">
        <v>898</v>
      </c>
    </row>
    <row r="5202">
      <c r="C5202" t="s">
        <v>898</v>
      </c>
    </row>
    <row r="5203">
      <c r="C5203" t="s">
        <v>898</v>
      </c>
    </row>
    <row r="5204">
      <c r="C5204" t="s">
        <v>898</v>
      </c>
    </row>
    <row r="5205">
      <c r="C5205" t="s">
        <v>898</v>
      </c>
    </row>
    <row r="5206">
      <c r="C5206" t="s">
        <v>898</v>
      </c>
    </row>
    <row r="5207">
      <c r="C5207" t="s">
        <v>898</v>
      </c>
    </row>
    <row r="5208">
      <c r="C5208" t="s">
        <v>898</v>
      </c>
    </row>
    <row r="5209">
      <c r="C5209" t="s">
        <v>898</v>
      </c>
    </row>
    <row r="5210">
      <c r="C5210" t="s">
        <v>898</v>
      </c>
    </row>
    <row r="5211">
      <c r="C5211" t="s">
        <v>898</v>
      </c>
    </row>
    <row r="5212">
      <c r="C5212" t="s">
        <v>898</v>
      </c>
    </row>
    <row r="5213">
      <c r="C5213" t="s">
        <v>898</v>
      </c>
    </row>
    <row r="5214">
      <c r="C5214" t="s">
        <v>898</v>
      </c>
    </row>
    <row r="5215">
      <c r="C5215" t="s">
        <v>898</v>
      </c>
    </row>
    <row r="5216">
      <c r="C5216" t="s">
        <v>898</v>
      </c>
    </row>
    <row r="5217">
      <c r="C5217" t="s">
        <v>898</v>
      </c>
    </row>
    <row r="5218">
      <c r="C5218" t="s">
        <v>898</v>
      </c>
    </row>
    <row r="5219">
      <c r="C5219" t="s">
        <v>898</v>
      </c>
    </row>
    <row r="5220">
      <c r="C5220" t="s">
        <v>898</v>
      </c>
    </row>
    <row r="5221">
      <c r="C5221" t="s">
        <v>898</v>
      </c>
    </row>
    <row r="5222">
      <c r="C5222" t="s">
        <v>898</v>
      </c>
    </row>
    <row r="5223">
      <c r="C5223" t="s">
        <v>898</v>
      </c>
    </row>
    <row r="5224">
      <c r="C5224" t="s">
        <v>898</v>
      </c>
    </row>
    <row r="5225">
      <c r="C5225" t="s">
        <v>898</v>
      </c>
    </row>
    <row r="5226">
      <c r="C5226" t="s">
        <v>898</v>
      </c>
    </row>
    <row r="5227">
      <c r="C5227" t="s">
        <v>898</v>
      </c>
    </row>
    <row r="5228">
      <c r="C5228" t="s">
        <v>898</v>
      </c>
    </row>
    <row r="5229">
      <c r="C5229" t="s">
        <v>898</v>
      </c>
    </row>
    <row r="5230">
      <c r="C5230" t="s">
        <v>898</v>
      </c>
    </row>
    <row r="5231">
      <c r="C5231" t="s">
        <v>898</v>
      </c>
    </row>
    <row r="5232">
      <c r="C5232" t="s">
        <v>898</v>
      </c>
    </row>
    <row r="5233">
      <c r="C5233" t="s">
        <v>898</v>
      </c>
    </row>
    <row r="5234">
      <c r="C5234" t="s">
        <v>898</v>
      </c>
    </row>
    <row r="5235">
      <c r="C5235" t="s">
        <v>898</v>
      </c>
    </row>
    <row r="5236">
      <c r="C5236" t="s">
        <v>898</v>
      </c>
    </row>
    <row r="5237">
      <c r="C5237" t="s">
        <v>898</v>
      </c>
    </row>
    <row r="5238">
      <c r="C5238" t="s">
        <v>898</v>
      </c>
    </row>
    <row r="5239">
      <c r="C5239" t="s">
        <v>898</v>
      </c>
    </row>
    <row r="5240">
      <c r="C5240" t="s">
        <v>898</v>
      </c>
    </row>
    <row r="5241">
      <c r="C5241" t="s">
        <v>898</v>
      </c>
    </row>
    <row r="5242">
      <c r="C5242" t="s">
        <v>898</v>
      </c>
    </row>
    <row r="5243">
      <c r="C5243" t="s">
        <v>898</v>
      </c>
    </row>
    <row r="5244">
      <c r="C5244" t="s">
        <v>898</v>
      </c>
    </row>
    <row r="5245">
      <c r="C5245" t="s">
        <v>898</v>
      </c>
    </row>
    <row r="5246">
      <c r="C5246" t="s">
        <v>898</v>
      </c>
    </row>
    <row r="5247">
      <c r="C5247" t="s">
        <v>898</v>
      </c>
    </row>
    <row r="5248">
      <c r="C5248" t="s">
        <v>898</v>
      </c>
    </row>
    <row r="5249">
      <c r="C5249" t="s">
        <v>898</v>
      </c>
    </row>
    <row r="5250">
      <c r="C5250" t="s">
        <v>898</v>
      </c>
    </row>
    <row r="5251">
      <c r="C5251" t="s">
        <v>898</v>
      </c>
    </row>
    <row r="5252">
      <c r="C5252" t="s">
        <v>898</v>
      </c>
    </row>
    <row r="5253">
      <c r="C5253" t="s">
        <v>898</v>
      </c>
    </row>
    <row r="5254">
      <c r="C5254" t="s">
        <v>898</v>
      </c>
    </row>
    <row r="5255">
      <c r="C5255" t="s">
        <v>898</v>
      </c>
    </row>
    <row r="5256">
      <c r="C5256" t="s">
        <v>898</v>
      </c>
    </row>
    <row r="5257">
      <c r="C5257" t="s">
        <v>898</v>
      </c>
    </row>
    <row r="5258">
      <c r="C5258" t="s">
        <v>898</v>
      </c>
    </row>
    <row r="5259">
      <c r="C5259" t="s">
        <v>898</v>
      </c>
    </row>
    <row r="5260">
      <c r="C5260" t="s">
        <v>898</v>
      </c>
    </row>
    <row r="5261">
      <c r="C5261" t="s">
        <v>898</v>
      </c>
    </row>
    <row r="5262">
      <c r="C5262" t="s">
        <v>898</v>
      </c>
    </row>
    <row r="5263">
      <c r="C5263" t="s">
        <v>898</v>
      </c>
    </row>
    <row r="5264">
      <c r="C5264" t="s">
        <v>898</v>
      </c>
    </row>
    <row r="5265">
      <c r="C5265" t="s">
        <v>898</v>
      </c>
    </row>
    <row r="5266">
      <c r="C5266" t="s">
        <v>898</v>
      </c>
    </row>
    <row r="5267">
      <c r="C5267" t="s">
        <v>898</v>
      </c>
    </row>
    <row r="5268">
      <c r="C5268" t="s">
        <v>898</v>
      </c>
    </row>
    <row r="5269">
      <c r="C5269" t="s">
        <v>898</v>
      </c>
    </row>
    <row r="5270">
      <c r="C5270" t="s">
        <v>898</v>
      </c>
    </row>
    <row r="5271">
      <c r="C5271" t="s">
        <v>898</v>
      </c>
    </row>
    <row r="5272">
      <c r="C5272" t="s">
        <v>898</v>
      </c>
    </row>
    <row r="5273">
      <c r="C5273" t="s">
        <v>898</v>
      </c>
    </row>
    <row r="5274">
      <c r="C5274" t="s">
        <v>898</v>
      </c>
    </row>
    <row r="5275">
      <c r="C5275" t="s">
        <v>898</v>
      </c>
    </row>
    <row r="5276">
      <c r="C5276" t="s">
        <v>898</v>
      </c>
    </row>
    <row r="5277">
      <c r="C5277" t="s">
        <v>898</v>
      </c>
    </row>
    <row r="5278">
      <c r="C5278" t="s">
        <v>898</v>
      </c>
    </row>
    <row r="5279">
      <c r="C5279" t="s">
        <v>898</v>
      </c>
    </row>
    <row r="5280">
      <c r="C5280" t="s">
        <v>898</v>
      </c>
    </row>
    <row r="5281">
      <c r="C5281" t="s">
        <v>898</v>
      </c>
    </row>
    <row r="5282">
      <c r="C5282" t="s">
        <v>898</v>
      </c>
    </row>
    <row r="5283">
      <c r="C5283" t="s">
        <v>898</v>
      </c>
    </row>
    <row r="5284">
      <c r="C5284" t="s">
        <v>898</v>
      </c>
    </row>
    <row r="5285">
      <c r="C5285" t="s">
        <v>898</v>
      </c>
    </row>
    <row r="5286">
      <c r="C5286" t="s">
        <v>898</v>
      </c>
    </row>
    <row r="5287">
      <c r="C5287" t="s">
        <v>898</v>
      </c>
    </row>
    <row r="5288">
      <c r="C5288" t="s">
        <v>898</v>
      </c>
    </row>
    <row r="5289">
      <c r="C5289" t="s">
        <v>898</v>
      </c>
    </row>
    <row r="5290">
      <c r="C5290" t="s">
        <v>898</v>
      </c>
    </row>
    <row r="5291">
      <c r="C5291" t="s">
        <v>898</v>
      </c>
    </row>
    <row r="5292">
      <c r="C5292" t="s">
        <v>898</v>
      </c>
    </row>
    <row r="5293">
      <c r="C5293" t="s">
        <v>898</v>
      </c>
    </row>
    <row r="5294">
      <c r="C5294" t="s">
        <v>898</v>
      </c>
    </row>
    <row r="5295">
      <c r="C5295" t="s">
        <v>898</v>
      </c>
    </row>
    <row r="5296">
      <c r="C5296" t="s">
        <v>898</v>
      </c>
    </row>
    <row r="5297">
      <c r="C5297" t="s">
        <v>898</v>
      </c>
    </row>
    <row r="5298">
      <c r="C5298" t="s">
        <v>898</v>
      </c>
    </row>
    <row r="5299">
      <c r="C5299" t="s">
        <v>898</v>
      </c>
    </row>
    <row r="5300">
      <c r="C5300" t="s">
        <v>898</v>
      </c>
    </row>
    <row r="5301">
      <c r="C5301" t="s">
        <v>898</v>
      </c>
    </row>
    <row r="5302">
      <c r="C5302" t="s">
        <v>898</v>
      </c>
    </row>
    <row r="5303">
      <c r="C5303" t="s">
        <v>898</v>
      </c>
    </row>
    <row r="5304">
      <c r="C5304" t="s">
        <v>898</v>
      </c>
    </row>
    <row r="5305">
      <c r="C5305" t="s">
        <v>898</v>
      </c>
    </row>
    <row r="5306">
      <c r="C5306" t="s">
        <v>898</v>
      </c>
    </row>
    <row r="5307">
      <c r="C5307" t="s">
        <v>898</v>
      </c>
    </row>
    <row r="5308">
      <c r="C5308" t="s">
        <v>898</v>
      </c>
    </row>
    <row r="5309">
      <c r="C5309" t="s">
        <v>898</v>
      </c>
    </row>
    <row r="5310">
      <c r="C5310" t="s">
        <v>898</v>
      </c>
    </row>
    <row r="5311">
      <c r="C5311" t="s">
        <v>898</v>
      </c>
    </row>
    <row r="5312">
      <c r="C5312" t="s">
        <v>898</v>
      </c>
    </row>
    <row r="5313">
      <c r="C5313" t="s">
        <v>898</v>
      </c>
    </row>
    <row r="5314">
      <c r="C5314" t="s">
        <v>898</v>
      </c>
    </row>
    <row r="5315">
      <c r="C5315" t="s">
        <v>898</v>
      </c>
    </row>
    <row r="5316">
      <c r="C5316" t="s">
        <v>898</v>
      </c>
    </row>
    <row r="5317">
      <c r="C5317" t="s">
        <v>898</v>
      </c>
    </row>
    <row r="5318">
      <c r="C5318" t="s">
        <v>898</v>
      </c>
    </row>
    <row r="5319">
      <c r="C5319" t="s">
        <v>898</v>
      </c>
    </row>
    <row r="5320">
      <c r="C5320" t="s">
        <v>898</v>
      </c>
    </row>
    <row r="5321">
      <c r="C5321" t="s">
        <v>898</v>
      </c>
    </row>
    <row r="5322">
      <c r="C5322" t="s">
        <v>898</v>
      </c>
    </row>
    <row r="5323">
      <c r="C5323" t="s">
        <v>898</v>
      </c>
    </row>
    <row r="5324">
      <c r="C5324" t="s">
        <v>898</v>
      </c>
    </row>
    <row r="5325">
      <c r="C5325" t="s">
        <v>898</v>
      </c>
    </row>
    <row r="5326">
      <c r="C5326" t="s">
        <v>898</v>
      </c>
    </row>
    <row r="5327">
      <c r="C5327" t="s">
        <v>898</v>
      </c>
    </row>
    <row r="5328">
      <c r="C5328" t="s">
        <v>898</v>
      </c>
    </row>
    <row r="5329">
      <c r="C5329" t="s">
        <v>898</v>
      </c>
    </row>
    <row r="5330">
      <c r="C5330" t="s">
        <v>898</v>
      </c>
    </row>
    <row r="5331">
      <c r="C5331" t="s">
        <v>898</v>
      </c>
    </row>
    <row r="5332">
      <c r="C5332" t="s">
        <v>898</v>
      </c>
    </row>
    <row r="5333">
      <c r="C5333" t="s">
        <v>898</v>
      </c>
    </row>
    <row r="5334">
      <c r="C5334" t="s">
        <v>898</v>
      </c>
    </row>
    <row r="5335">
      <c r="C5335" t="s">
        <v>898</v>
      </c>
    </row>
    <row r="5336">
      <c r="C5336" t="s">
        <v>898</v>
      </c>
    </row>
    <row r="5337">
      <c r="C5337" t="s">
        <v>898</v>
      </c>
    </row>
    <row r="5338">
      <c r="C5338" t="s">
        <v>898</v>
      </c>
    </row>
    <row r="5339">
      <c r="C5339" t="s">
        <v>898</v>
      </c>
    </row>
    <row r="5340">
      <c r="C5340" t="s">
        <v>898</v>
      </c>
    </row>
    <row r="5341">
      <c r="C5341" t="s">
        <v>898</v>
      </c>
    </row>
    <row r="5342">
      <c r="C5342" t="s">
        <v>898</v>
      </c>
    </row>
    <row r="5343">
      <c r="C5343" t="s">
        <v>898</v>
      </c>
    </row>
    <row r="5344">
      <c r="C5344" t="s">
        <v>898</v>
      </c>
    </row>
    <row r="5345">
      <c r="C5345" t="s">
        <v>898</v>
      </c>
    </row>
    <row r="5346">
      <c r="C5346" t="s">
        <v>898</v>
      </c>
    </row>
    <row r="5347">
      <c r="C5347" t="s">
        <v>898</v>
      </c>
    </row>
    <row r="5348">
      <c r="C5348" t="s">
        <v>898</v>
      </c>
    </row>
    <row r="5349">
      <c r="C5349" t="s">
        <v>898</v>
      </c>
    </row>
    <row r="5350">
      <c r="C5350" t="s">
        <v>898</v>
      </c>
    </row>
    <row r="5351">
      <c r="C5351" t="s">
        <v>898</v>
      </c>
    </row>
    <row r="5352">
      <c r="C5352" t="s">
        <v>898</v>
      </c>
    </row>
    <row r="5353">
      <c r="C5353" t="s">
        <v>898</v>
      </c>
    </row>
    <row r="5354">
      <c r="C5354" t="s">
        <v>898</v>
      </c>
    </row>
    <row r="5355">
      <c r="C5355" t="s">
        <v>898</v>
      </c>
    </row>
    <row r="5356">
      <c r="C5356" t="s">
        <v>898</v>
      </c>
    </row>
    <row r="5357">
      <c r="C5357" t="s">
        <v>898</v>
      </c>
    </row>
    <row r="5358">
      <c r="C5358" t="s">
        <v>898</v>
      </c>
    </row>
    <row r="5359">
      <c r="C5359" t="s">
        <v>898</v>
      </c>
    </row>
    <row r="5360">
      <c r="C5360" t="s">
        <v>898</v>
      </c>
    </row>
    <row r="5361">
      <c r="C5361" t="s">
        <v>898</v>
      </c>
    </row>
    <row r="5362">
      <c r="C5362" t="s">
        <v>898</v>
      </c>
    </row>
    <row r="5363">
      <c r="C5363" t="s">
        <v>898</v>
      </c>
    </row>
    <row r="5364">
      <c r="C5364" t="s">
        <v>898</v>
      </c>
    </row>
    <row r="5365">
      <c r="C5365" t="s">
        <v>898</v>
      </c>
    </row>
    <row r="5366">
      <c r="C5366" t="s">
        <v>898</v>
      </c>
    </row>
    <row r="5367">
      <c r="C5367" t="s">
        <v>898</v>
      </c>
    </row>
    <row r="5368">
      <c r="C5368" t="s">
        <v>898</v>
      </c>
    </row>
    <row r="5369">
      <c r="C5369" t="s">
        <v>898</v>
      </c>
    </row>
    <row r="5370">
      <c r="C5370" t="s">
        <v>898</v>
      </c>
    </row>
    <row r="5371">
      <c r="C5371" t="s">
        <v>898</v>
      </c>
    </row>
    <row r="5372">
      <c r="C5372" t="s">
        <v>898</v>
      </c>
    </row>
    <row r="5373">
      <c r="C5373" t="s">
        <v>898</v>
      </c>
    </row>
    <row r="5374">
      <c r="C5374" t="s">
        <v>898</v>
      </c>
    </row>
    <row r="5375">
      <c r="C5375" t="s">
        <v>898</v>
      </c>
    </row>
    <row r="5376">
      <c r="C5376" t="s">
        <v>898</v>
      </c>
    </row>
    <row r="5377">
      <c r="C5377" t="s">
        <v>898</v>
      </c>
    </row>
    <row r="5378">
      <c r="C5378" t="s">
        <v>898</v>
      </c>
    </row>
    <row r="5379">
      <c r="C5379" t="s">
        <v>898</v>
      </c>
    </row>
    <row r="5380">
      <c r="C5380" t="s">
        <v>898</v>
      </c>
    </row>
    <row r="5381">
      <c r="C5381" t="s">
        <v>898</v>
      </c>
    </row>
    <row r="5382">
      <c r="C5382" t="s">
        <v>898</v>
      </c>
    </row>
    <row r="5383">
      <c r="C5383" t="s">
        <v>898</v>
      </c>
    </row>
    <row r="5384">
      <c r="C5384" t="s">
        <v>898</v>
      </c>
    </row>
    <row r="5385">
      <c r="C5385" t="s">
        <v>898</v>
      </c>
    </row>
    <row r="5386">
      <c r="C5386" t="s">
        <v>898</v>
      </c>
    </row>
    <row r="5387">
      <c r="C5387" t="s">
        <v>898</v>
      </c>
    </row>
    <row r="5388">
      <c r="C5388" t="s">
        <v>898</v>
      </c>
    </row>
    <row r="5389">
      <c r="C5389" t="s">
        <v>898</v>
      </c>
    </row>
    <row r="5390">
      <c r="C5390" t="s">
        <v>898</v>
      </c>
    </row>
    <row r="5391">
      <c r="C5391" t="s">
        <v>898</v>
      </c>
    </row>
    <row r="5392">
      <c r="C5392" t="s">
        <v>898</v>
      </c>
    </row>
    <row r="5393">
      <c r="C5393" t="s">
        <v>898</v>
      </c>
    </row>
    <row r="5394">
      <c r="C5394" t="s">
        <v>898</v>
      </c>
    </row>
    <row r="5395">
      <c r="C5395" t="s">
        <v>898</v>
      </c>
    </row>
    <row r="5396">
      <c r="C5396" t="s">
        <v>898</v>
      </c>
    </row>
    <row r="5397">
      <c r="C5397" t="s">
        <v>898</v>
      </c>
    </row>
    <row r="5398">
      <c r="C5398" t="s">
        <v>898</v>
      </c>
    </row>
    <row r="5399">
      <c r="C5399" t="s">
        <v>898</v>
      </c>
    </row>
    <row r="5400">
      <c r="C5400" t="s">
        <v>898</v>
      </c>
    </row>
    <row r="5401">
      <c r="C5401" t="s">
        <v>898</v>
      </c>
    </row>
    <row r="5402">
      <c r="C5402" t="s">
        <v>898</v>
      </c>
    </row>
    <row r="5403">
      <c r="C5403" t="s">
        <v>898</v>
      </c>
    </row>
    <row r="5404">
      <c r="C5404" t="s">
        <v>898</v>
      </c>
    </row>
    <row r="5405">
      <c r="C5405" t="s">
        <v>898</v>
      </c>
    </row>
    <row r="5406">
      <c r="C5406" t="s">
        <v>898</v>
      </c>
    </row>
    <row r="5407">
      <c r="C5407" t="s">
        <v>898</v>
      </c>
    </row>
    <row r="5408">
      <c r="C5408" t="s">
        <v>898</v>
      </c>
    </row>
    <row r="5409">
      <c r="C5409" t="s">
        <v>898</v>
      </c>
    </row>
    <row r="5410">
      <c r="C5410" t="s">
        <v>898</v>
      </c>
    </row>
    <row r="5411">
      <c r="C5411" t="s">
        <v>898</v>
      </c>
    </row>
    <row r="5412">
      <c r="C5412" t="s">
        <v>898</v>
      </c>
    </row>
    <row r="5413">
      <c r="C5413" t="s">
        <v>898</v>
      </c>
    </row>
    <row r="5414">
      <c r="C5414" t="s">
        <v>898</v>
      </c>
    </row>
    <row r="5415">
      <c r="C5415" t="s">
        <v>898</v>
      </c>
    </row>
    <row r="5416">
      <c r="C5416" t="s">
        <v>898</v>
      </c>
    </row>
    <row r="5417">
      <c r="C5417" t="s">
        <v>898</v>
      </c>
    </row>
    <row r="5418">
      <c r="C5418" t="s">
        <v>898</v>
      </c>
    </row>
    <row r="5419">
      <c r="C5419" t="s">
        <v>898</v>
      </c>
    </row>
    <row r="5420">
      <c r="C5420" t="s">
        <v>898</v>
      </c>
    </row>
    <row r="5421">
      <c r="C5421" t="s">
        <v>898</v>
      </c>
    </row>
    <row r="5422">
      <c r="C5422" t="s">
        <v>898</v>
      </c>
    </row>
    <row r="5423">
      <c r="C5423" t="s">
        <v>898</v>
      </c>
    </row>
    <row r="5424">
      <c r="C5424" t="s">
        <v>898</v>
      </c>
    </row>
    <row r="5425">
      <c r="C5425" t="s">
        <v>898</v>
      </c>
    </row>
    <row r="5426">
      <c r="C5426" t="s">
        <v>898</v>
      </c>
    </row>
    <row r="5427">
      <c r="C5427" t="s">
        <v>898</v>
      </c>
    </row>
    <row r="5428">
      <c r="C5428" t="s">
        <v>898</v>
      </c>
    </row>
    <row r="5429">
      <c r="C5429" t="s">
        <v>898</v>
      </c>
    </row>
    <row r="5430">
      <c r="C5430" t="s">
        <v>898</v>
      </c>
    </row>
    <row r="5431">
      <c r="C5431" t="s">
        <v>898</v>
      </c>
    </row>
    <row r="5432">
      <c r="C5432" t="s">
        <v>898</v>
      </c>
    </row>
    <row r="5433">
      <c r="C5433" t="s">
        <v>898</v>
      </c>
    </row>
    <row r="5434">
      <c r="C5434" t="s">
        <v>898</v>
      </c>
    </row>
    <row r="5435">
      <c r="C5435" t="s">
        <v>898</v>
      </c>
    </row>
    <row r="5436">
      <c r="C5436" t="s">
        <v>898</v>
      </c>
    </row>
    <row r="5437">
      <c r="C5437" t="s">
        <v>898</v>
      </c>
    </row>
    <row r="5438">
      <c r="C5438" t="s">
        <v>898</v>
      </c>
    </row>
    <row r="5439">
      <c r="C5439" t="s">
        <v>898</v>
      </c>
    </row>
    <row r="5440">
      <c r="C5440" t="s">
        <v>898</v>
      </c>
    </row>
    <row r="5441">
      <c r="C5441" t="s">
        <v>898</v>
      </c>
    </row>
    <row r="5442">
      <c r="C5442" t="s">
        <v>898</v>
      </c>
    </row>
    <row r="5443">
      <c r="C5443" t="s">
        <v>898</v>
      </c>
    </row>
    <row r="5444">
      <c r="C5444" t="s">
        <v>898</v>
      </c>
    </row>
    <row r="5445">
      <c r="C5445" t="s">
        <v>898</v>
      </c>
    </row>
    <row r="5446">
      <c r="C5446" t="s">
        <v>898</v>
      </c>
    </row>
    <row r="5447">
      <c r="C5447" t="s">
        <v>898</v>
      </c>
    </row>
    <row r="5448">
      <c r="C5448" t="s">
        <v>898</v>
      </c>
    </row>
    <row r="5449">
      <c r="C5449" t="s">
        <v>898</v>
      </c>
    </row>
    <row r="5450">
      <c r="C5450" t="s">
        <v>898</v>
      </c>
    </row>
    <row r="5451">
      <c r="C5451" t="s">
        <v>898</v>
      </c>
    </row>
    <row r="5452">
      <c r="C5452" t="s">
        <v>898</v>
      </c>
    </row>
    <row r="5453">
      <c r="C5453" t="s">
        <v>898</v>
      </c>
    </row>
    <row r="5454">
      <c r="C5454" t="s">
        <v>898</v>
      </c>
    </row>
    <row r="5455">
      <c r="C5455" t="s">
        <v>898</v>
      </c>
    </row>
    <row r="5456">
      <c r="C5456" t="s">
        <v>898</v>
      </c>
    </row>
    <row r="5457">
      <c r="C5457" t="s">
        <v>898</v>
      </c>
    </row>
    <row r="5458">
      <c r="C5458" t="s">
        <v>898</v>
      </c>
    </row>
    <row r="5459">
      <c r="C5459" t="s">
        <v>898</v>
      </c>
    </row>
    <row r="5460">
      <c r="C5460" t="s">
        <v>898</v>
      </c>
    </row>
    <row r="5461">
      <c r="C5461" t="s">
        <v>898</v>
      </c>
    </row>
    <row r="5462">
      <c r="C5462" t="s">
        <v>898</v>
      </c>
    </row>
    <row r="5463">
      <c r="C5463" t="s">
        <v>898</v>
      </c>
    </row>
    <row r="5464">
      <c r="C5464" t="s">
        <v>898</v>
      </c>
    </row>
    <row r="5465">
      <c r="C5465" t="s">
        <v>898</v>
      </c>
    </row>
    <row r="5466">
      <c r="C5466" t="s">
        <v>898</v>
      </c>
    </row>
    <row r="5467">
      <c r="C5467" t="s">
        <v>898</v>
      </c>
    </row>
    <row r="5468">
      <c r="C5468" t="s">
        <v>898</v>
      </c>
    </row>
    <row r="5469">
      <c r="C5469" t="s">
        <v>898</v>
      </c>
    </row>
    <row r="5470">
      <c r="C5470" t="s">
        <v>898</v>
      </c>
    </row>
    <row r="5471">
      <c r="C5471" t="s">
        <v>898</v>
      </c>
    </row>
    <row r="5472">
      <c r="C5472" t="s">
        <v>898</v>
      </c>
    </row>
    <row r="5473">
      <c r="C5473" t="s">
        <v>898</v>
      </c>
    </row>
    <row r="5474">
      <c r="C5474" t="s">
        <v>898</v>
      </c>
    </row>
    <row r="5475">
      <c r="C5475" t="s">
        <v>898</v>
      </c>
    </row>
    <row r="5476">
      <c r="C5476" t="s">
        <v>898</v>
      </c>
    </row>
    <row r="5477">
      <c r="C5477" t="s">
        <v>898</v>
      </c>
    </row>
    <row r="5478">
      <c r="C5478" t="s">
        <v>898</v>
      </c>
    </row>
    <row r="5479">
      <c r="C5479" t="s">
        <v>898</v>
      </c>
    </row>
    <row r="5480">
      <c r="C5480" t="s">
        <v>898</v>
      </c>
    </row>
    <row r="5481">
      <c r="C5481" t="s">
        <v>898</v>
      </c>
    </row>
    <row r="5482">
      <c r="C5482" t="s">
        <v>898</v>
      </c>
    </row>
    <row r="5483">
      <c r="C5483" t="s">
        <v>898</v>
      </c>
    </row>
    <row r="5484">
      <c r="C5484" t="s">
        <v>898</v>
      </c>
    </row>
    <row r="5485">
      <c r="C5485" t="s">
        <v>898</v>
      </c>
    </row>
    <row r="5486">
      <c r="C5486" t="s">
        <v>898</v>
      </c>
    </row>
    <row r="5487">
      <c r="C5487" t="s">
        <v>898</v>
      </c>
    </row>
    <row r="5488">
      <c r="C5488" t="s">
        <v>898</v>
      </c>
    </row>
    <row r="5489">
      <c r="C5489" t="s">
        <v>898</v>
      </c>
    </row>
    <row r="5490">
      <c r="C5490" t="s">
        <v>898</v>
      </c>
    </row>
    <row r="5491">
      <c r="C5491" t="s">
        <v>898</v>
      </c>
    </row>
    <row r="5492">
      <c r="C5492" t="s">
        <v>898</v>
      </c>
    </row>
    <row r="5493">
      <c r="C5493" t="s">
        <v>898</v>
      </c>
    </row>
    <row r="5494">
      <c r="C5494" t="s">
        <v>898</v>
      </c>
    </row>
    <row r="5495">
      <c r="C5495" t="s">
        <v>898</v>
      </c>
    </row>
    <row r="5496">
      <c r="C5496" t="s">
        <v>898</v>
      </c>
    </row>
    <row r="5497">
      <c r="C5497" t="s">
        <v>898</v>
      </c>
    </row>
    <row r="5498">
      <c r="C5498" t="s">
        <v>898</v>
      </c>
    </row>
    <row r="5499">
      <c r="C5499" t="s">
        <v>898</v>
      </c>
    </row>
    <row r="5500">
      <c r="C5500" t="s">
        <v>898</v>
      </c>
    </row>
    <row r="5501">
      <c r="C5501" t="s">
        <v>898</v>
      </c>
    </row>
    <row r="5502">
      <c r="C5502" t="s">
        <v>898</v>
      </c>
    </row>
    <row r="5503">
      <c r="C5503" t="s">
        <v>898</v>
      </c>
    </row>
    <row r="5504">
      <c r="C5504" t="s">
        <v>898</v>
      </c>
    </row>
    <row r="5505">
      <c r="C5505" t="s">
        <v>898</v>
      </c>
    </row>
    <row r="5506">
      <c r="C5506" t="s">
        <v>898</v>
      </c>
    </row>
    <row r="5507">
      <c r="C5507" t="s">
        <v>898</v>
      </c>
    </row>
    <row r="5508">
      <c r="C5508" t="s">
        <v>898</v>
      </c>
    </row>
    <row r="5509">
      <c r="C5509" t="s">
        <v>898</v>
      </c>
    </row>
    <row r="5510">
      <c r="C5510" t="s">
        <v>898</v>
      </c>
    </row>
    <row r="5511">
      <c r="C5511" t="s">
        <v>898</v>
      </c>
    </row>
    <row r="5512">
      <c r="C5512" t="s">
        <v>898</v>
      </c>
    </row>
    <row r="5513">
      <c r="C5513" t="s">
        <v>898</v>
      </c>
    </row>
    <row r="5514">
      <c r="C5514" t="s">
        <v>898</v>
      </c>
    </row>
    <row r="5515">
      <c r="C5515" t="s">
        <v>898</v>
      </c>
    </row>
    <row r="5516">
      <c r="C5516" t="s">
        <v>898</v>
      </c>
    </row>
    <row r="5517">
      <c r="C5517" t="s">
        <v>898</v>
      </c>
    </row>
    <row r="5518">
      <c r="C5518" t="s">
        <v>898</v>
      </c>
    </row>
    <row r="5519">
      <c r="C5519" t="s">
        <v>898</v>
      </c>
    </row>
    <row r="5520">
      <c r="C5520" t="s">
        <v>898</v>
      </c>
    </row>
    <row r="5521">
      <c r="C5521" t="s">
        <v>898</v>
      </c>
    </row>
    <row r="5522">
      <c r="C5522" t="s">
        <v>898</v>
      </c>
    </row>
    <row r="5523">
      <c r="C5523" t="s">
        <v>898</v>
      </c>
    </row>
    <row r="5524">
      <c r="C5524" t="s">
        <v>898</v>
      </c>
    </row>
    <row r="5525">
      <c r="C5525" t="s">
        <v>898</v>
      </c>
    </row>
    <row r="5526">
      <c r="C5526" t="s">
        <v>898</v>
      </c>
    </row>
    <row r="5527">
      <c r="C5527" t="s">
        <v>898</v>
      </c>
    </row>
    <row r="5528">
      <c r="C5528" t="s">
        <v>898</v>
      </c>
    </row>
    <row r="5529">
      <c r="C5529" t="s">
        <v>898</v>
      </c>
    </row>
    <row r="5530">
      <c r="C5530" t="s">
        <v>898</v>
      </c>
    </row>
    <row r="5531">
      <c r="C5531" t="s">
        <v>898</v>
      </c>
    </row>
    <row r="5532">
      <c r="C5532" t="s">
        <v>898</v>
      </c>
    </row>
    <row r="5533">
      <c r="C5533" t="s">
        <v>898</v>
      </c>
    </row>
    <row r="5534">
      <c r="C5534" t="s">
        <v>898</v>
      </c>
    </row>
    <row r="5535">
      <c r="C5535" t="s">
        <v>898</v>
      </c>
    </row>
    <row r="5536">
      <c r="C5536" t="s">
        <v>898</v>
      </c>
    </row>
    <row r="5537">
      <c r="C5537" t="s">
        <v>898</v>
      </c>
    </row>
    <row r="5538">
      <c r="C5538" t="s">
        <v>898</v>
      </c>
    </row>
    <row r="5539">
      <c r="C5539" t="s">
        <v>898</v>
      </c>
    </row>
    <row r="5540">
      <c r="C5540" t="s">
        <v>898</v>
      </c>
    </row>
    <row r="5541">
      <c r="C5541" t="s">
        <v>898</v>
      </c>
    </row>
    <row r="5542">
      <c r="C5542" t="s">
        <v>898</v>
      </c>
    </row>
    <row r="5543">
      <c r="C5543" t="s">
        <v>898</v>
      </c>
    </row>
    <row r="5544">
      <c r="C5544" t="s">
        <v>898</v>
      </c>
    </row>
    <row r="5545">
      <c r="C5545" t="s">
        <v>898</v>
      </c>
    </row>
    <row r="5546">
      <c r="C5546" t="s">
        <v>898</v>
      </c>
    </row>
    <row r="5547">
      <c r="C5547" t="s">
        <v>898</v>
      </c>
    </row>
    <row r="5548">
      <c r="C5548" t="s">
        <v>898</v>
      </c>
    </row>
    <row r="5549">
      <c r="C5549" t="s">
        <v>898</v>
      </c>
    </row>
    <row r="5550">
      <c r="C5550" t="s">
        <v>898</v>
      </c>
    </row>
    <row r="5551">
      <c r="C5551" t="s">
        <v>898</v>
      </c>
    </row>
    <row r="5552">
      <c r="C5552" t="s">
        <v>898</v>
      </c>
    </row>
    <row r="5553">
      <c r="C5553" t="s">
        <v>898</v>
      </c>
    </row>
    <row r="5554">
      <c r="C5554" t="s">
        <v>898</v>
      </c>
    </row>
    <row r="5555">
      <c r="C5555" t="s">
        <v>898</v>
      </c>
    </row>
    <row r="5556">
      <c r="C5556" t="s">
        <v>898</v>
      </c>
    </row>
    <row r="5557">
      <c r="C5557" t="s">
        <v>898</v>
      </c>
    </row>
    <row r="5558">
      <c r="C5558" t="s">
        <v>898</v>
      </c>
    </row>
    <row r="5559">
      <c r="C5559" t="s">
        <v>898</v>
      </c>
    </row>
    <row r="5560">
      <c r="C5560" t="s">
        <v>898</v>
      </c>
    </row>
    <row r="5561">
      <c r="C5561" t="s">
        <v>898</v>
      </c>
    </row>
    <row r="5562">
      <c r="C5562" t="s">
        <v>898</v>
      </c>
    </row>
    <row r="5563">
      <c r="C5563" t="s">
        <v>898</v>
      </c>
    </row>
    <row r="5564">
      <c r="C5564" t="s">
        <v>898</v>
      </c>
    </row>
    <row r="5565">
      <c r="C5565" t="s">
        <v>898</v>
      </c>
    </row>
    <row r="5566">
      <c r="C5566" t="s">
        <v>898</v>
      </c>
    </row>
    <row r="5567">
      <c r="C5567" t="s">
        <v>898</v>
      </c>
    </row>
    <row r="5568">
      <c r="C5568" t="s">
        <v>898</v>
      </c>
    </row>
    <row r="5569">
      <c r="C5569" t="s">
        <v>898</v>
      </c>
    </row>
    <row r="5570">
      <c r="C5570" t="s">
        <v>898</v>
      </c>
    </row>
    <row r="5571">
      <c r="C5571" t="s">
        <v>898</v>
      </c>
    </row>
    <row r="5572">
      <c r="C5572" t="s">
        <v>898</v>
      </c>
    </row>
    <row r="5573">
      <c r="C5573" t="s">
        <v>898</v>
      </c>
    </row>
    <row r="5574">
      <c r="C5574" t="s">
        <v>898</v>
      </c>
    </row>
    <row r="5575">
      <c r="C5575" t="s">
        <v>898</v>
      </c>
    </row>
    <row r="5576">
      <c r="C5576" t="s">
        <v>898</v>
      </c>
    </row>
    <row r="5577">
      <c r="C5577" t="s">
        <v>898</v>
      </c>
    </row>
    <row r="5578">
      <c r="C5578" t="s">
        <v>898</v>
      </c>
    </row>
    <row r="5579">
      <c r="C5579" t="s">
        <v>898</v>
      </c>
    </row>
    <row r="5580">
      <c r="C5580" t="s">
        <v>898</v>
      </c>
    </row>
    <row r="5581">
      <c r="C5581" t="s">
        <v>898</v>
      </c>
    </row>
    <row r="5582">
      <c r="C5582" t="s">
        <v>898</v>
      </c>
    </row>
    <row r="5583">
      <c r="C5583" t="s">
        <v>898</v>
      </c>
    </row>
    <row r="5584">
      <c r="C5584" t="s">
        <v>898</v>
      </c>
    </row>
    <row r="5585">
      <c r="C5585" t="s">
        <v>898</v>
      </c>
    </row>
    <row r="5586">
      <c r="C5586" t="s">
        <v>898</v>
      </c>
    </row>
    <row r="5587">
      <c r="C5587" t="s">
        <v>898</v>
      </c>
    </row>
    <row r="5588">
      <c r="C5588" t="s">
        <v>898</v>
      </c>
    </row>
    <row r="5589">
      <c r="C5589" t="s">
        <v>898</v>
      </c>
    </row>
    <row r="5590">
      <c r="C5590" t="s">
        <v>898</v>
      </c>
    </row>
    <row r="5591">
      <c r="C5591" t="s">
        <v>898</v>
      </c>
    </row>
    <row r="5592">
      <c r="C5592" t="s">
        <v>898</v>
      </c>
    </row>
    <row r="5593">
      <c r="C5593" t="s">
        <v>898</v>
      </c>
    </row>
    <row r="5594">
      <c r="C5594" t="s">
        <v>898</v>
      </c>
    </row>
    <row r="5595">
      <c r="C5595" t="s">
        <v>898</v>
      </c>
    </row>
    <row r="5596">
      <c r="C5596" t="s">
        <v>898</v>
      </c>
    </row>
    <row r="5597">
      <c r="C5597" t="s">
        <v>898</v>
      </c>
    </row>
    <row r="5598">
      <c r="C5598" t="s">
        <v>898</v>
      </c>
    </row>
    <row r="5599">
      <c r="C5599" t="s">
        <v>898</v>
      </c>
    </row>
    <row r="5600">
      <c r="C5600" t="s">
        <v>898</v>
      </c>
    </row>
    <row r="5601">
      <c r="C5601" t="s">
        <v>898</v>
      </c>
    </row>
    <row r="5602">
      <c r="C5602" t="s">
        <v>898</v>
      </c>
    </row>
    <row r="5603">
      <c r="C5603" t="s">
        <v>898</v>
      </c>
    </row>
    <row r="5604">
      <c r="C5604" t="s">
        <v>898</v>
      </c>
    </row>
    <row r="5605">
      <c r="C5605" t="s">
        <v>898</v>
      </c>
    </row>
    <row r="5606">
      <c r="C5606" t="s">
        <v>898</v>
      </c>
    </row>
    <row r="5607">
      <c r="C5607" t="s">
        <v>898</v>
      </c>
    </row>
    <row r="5608">
      <c r="C5608" t="s">
        <v>898</v>
      </c>
    </row>
    <row r="5609">
      <c r="C5609" t="s">
        <v>898</v>
      </c>
    </row>
    <row r="5610">
      <c r="C5610" t="s">
        <v>898</v>
      </c>
    </row>
    <row r="5611">
      <c r="C5611" t="s">
        <v>898</v>
      </c>
    </row>
    <row r="5612">
      <c r="C5612" t="s">
        <v>898</v>
      </c>
    </row>
    <row r="5613">
      <c r="C5613" t="s">
        <v>898</v>
      </c>
    </row>
    <row r="5614">
      <c r="C5614" t="s">
        <v>898</v>
      </c>
    </row>
    <row r="5615">
      <c r="C5615" t="s">
        <v>898</v>
      </c>
    </row>
    <row r="5616">
      <c r="C5616" t="s">
        <v>898</v>
      </c>
    </row>
    <row r="5617">
      <c r="C5617" t="s">
        <v>898</v>
      </c>
    </row>
    <row r="5618">
      <c r="C5618" t="s">
        <v>898</v>
      </c>
    </row>
    <row r="5619">
      <c r="C5619" t="s">
        <v>898</v>
      </c>
    </row>
    <row r="5620">
      <c r="C5620" t="s">
        <v>898</v>
      </c>
    </row>
    <row r="5621">
      <c r="C5621" t="s">
        <v>898</v>
      </c>
    </row>
    <row r="5622">
      <c r="C5622" t="s">
        <v>898</v>
      </c>
    </row>
    <row r="5623">
      <c r="C5623" t="s">
        <v>898</v>
      </c>
    </row>
    <row r="5624">
      <c r="C5624" t="s">
        <v>898</v>
      </c>
    </row>
    <row r="5625">
      <c r="C5625" t="s">
        <v>898</v>
      </c>
    </row>
    <row r="5626">
      <c r="C5626" t="s">
        <v>898</v>
      </c>
    </row>
    <row r="5627">
      <c r="C5627" t="s">
        <v>898</v>
      </c>
    </row>
    <row r="5628">
      <c r="C5628" t="s">
        <v>898</v>
      </c>
    </row>
    <row r="5629">
      <c r="C5629" t="s">
        <v>898</v>
      </c>
    </row>
    <row r="5630">
      <c r="C5630" t="s">
        <v>898</v>
      </c>
    </row>
    <row r="5631">
      <c r="C5631" t="s">
        <v>898</v>
      </c>
    </row>
    <row r="5632">
      <c r="C5632" t="s">
        <v>898</v>
      </c>
    </row>
    <row r="5633">
      <c r="C5633" t="s">
        <v>898</v>
      </c>
    </row>
    <row r="5634">
      <c r="C5634" t="s">
        <v>898</v>
      </c>
    </row>
    <row r="5635">
      <c r="C5635" t="s">
        <v>898</v>
      </c>
    </row>
    <row r="5636">
      <c r="C5636" t="s">
        <v>898</v>
      </c>
    </row>
    <row r="5637">
      <c r="C5637" t="s">
        <v>898</v>
      </c>
    </row>
    <row r="5638">
      <c r="C5638" t="s">
        <v>898</v>
      </c>
    </row>
    <row r="5639">
      <c r="C5639" t="s">
        <v>898</v>
      </c>
    </row>
    <row r="5640">
      <c r="C5640" t="s">
        <v>898</v>
      </c>
    </row>
    <row r="5641">
      <c r="C5641" t="s">
        <v>898</v>
      </c>
    </row>
    <row r="5642">
      <c r="C5642" t="s">
        <v>898</v>
      </c>
    </row>
    <row r="5643">
      <c r="C5643" t="s">
        <v>898</v>
      </c>
    </row>
    <row r="5644">
      <c r="C5644" t="s">
        <v>898</v>
      </c>
    </row>
    <row r="5645">
      <c r="C5645" t="s">
        <v>898</v>
      </c>
    </row>
    <row r="5646">
      <c r="C5646" t="s">
        <v>898</v>
      </c>
    </row>
    <row r="5647">
      <c r="C5647" t="s">
        <v>898</v>
      </c>
    </row>
    <row r="5648">
      <c r="C5648" t="s">
        <v>898</v>
      </c>
    </row>
    <row r="5649">
      <c r="C5649" t="s">
        <v>898</v>
      </c>
    </row>
    <row r="5650">
      <c r="C5650" t="s">
        <v>898</v>
      </c>
    </row>
    <row r="5651">
      <c r="C5651" t="s">
        <v>898</v>
      </c>
    </row>
    <row r="5652">
      <c r="C5652" t="s">
        <v>898</v>
      </c>
    </row>
    <row r="5653">
      <c r="C5653" t="s">
        <v>898</v>
      </c>
    </row>
    <row r="5654">
      <c r="C5654" t="s">
        <v>898</v>
      </c>
    </row>
    <row r="5655">
      <c r="C5655" t="s">
        <v>898</v>
      </c>
    </row>
    <row r="5656">
      <c r="C5656" t="s">
        <v>898</v>
      </c>
    </row>
    <row r="5657">
      <c r="C5657" t="s">
        <v>898</v>
      </c>
    </row>
    <row r="5658">
      <c r="C5658" t="s">
        <v>898</v>
      </c>
    </row>
    <row r="5659">
      <c r="C5659" t="s">
        <v>898</v>
      </c>
    </row>
    <row r="5660">
      <c r="C5660" t="s">
        <v>898</v>
      </c>
    </row>
    <row r="5661">
      <c r="C5661" t="s">
        <v>898</v>
      </c>
    </row>
    <row r="5662">
      <c r="C5662" t="s">
        <v>898</v>
      </c>
    </row>
    <row r="5663">
      <c r="C5663" t="s">
        <v>898</v>
      </c>
    </row>
    <row r="5664">
      <c r="C5664" t="s">
        <v>898</v>
      </c>
    </row>
    <row r="5665">
      <c r="C5665" t="s">
        <v>898</v>
      </c>
    </row>
    <row r="5666">
      <c r="C5666" t="s">
        <v>898</v>
      </c>
    </row>
    <row r="5667">
      <c r="C5667" t="s">
        <v>898</v>
      </c>
    </row>
    <row r="5668">
      <c r="C5668" t="s">
        <v>898</v>
      </c>
    </row>
    <row r="5669">
      <c r="C5669" t="s">
        <v>898</v>
      </c>
    </row>
    <row r="5670">
      <c r="C5670" t="s">
        <v>898</v>
      </c>
    </row>
    <row r="5671">
      <c r="C5671" t="s">
        <v>898</v>
      </c>
    </row>
    <row r="5672">
      <c r="C5672" t="s">
        <v>898</v>
      </c>
    </row>
    <row r="5673">
      <c r="C5673" t="s">
        <v>898</v>
      </c>
    </row>
    <row r="5674">
      <c r="C5674" t="s">
        <v>898</v>
      </c>
    </row>
    <row r="5675">
      <c r="C5675" t="s">
        <v>898</v>
      </c>
    </row>
    <row r="5676">
      <c r="C5676" t="s">
        <v>898</v>
      </c>
    </row>
    <row r="5677">
      <c r="C5677" t="s">
        <v>898</v>
      </c>
    </row>
    <row r="5678">
      <c r="C5678" t="s">
        <v>898</v>
      </c>
    </row>
    <row r="5679">
      <c r="C5679" t="s">
        <v>898</v>
      </c>
    </row>
    <row r="5680">
      <c r="C5680" t="s">
        <v>898</v>
      </c>
    </row>
    <row r="5681">
      <c r="C5681" t="s">
        <v>898</v>
      </c>
    </row>
    <row r="5682">
      <c r="C5682" t="s">
        <v>898</v>
      </c>
    </row>
    <row r="5683">
      <c r="C5683" t="s">
        <v>898</v>
      </c>
    </row>
    <row r="5684">
      <c r="C5684" t="s">
        <v>898</v>
      </c>
    </row>
    <row r="5685">
      <c r="C5685" t="s">
        <v>898</v>
      </c>
    </row>
    <row r="5686">
      <c r="C5686" t="s">
        <v>898</v>
      </c>
    </row>
    <row r="5687">
      <c r="C5687" t="s">
        <v>898</v>
      </c>
    </row>
    <row r="5688">
      <c r="C5688" t="s">
        <v>898</v>
      </c>
    </row>
    <row r="5689">
      <c r="C5689" t="s">
        <v>898</v>
      </c>
    </row>
    <row r="5690">
      <c r="C5690" t="s">
        <v>898</v>
      </c>
    </row>
    <row r="5691">
      <c r="C5691" t="s">
        <v>898</v>
      </c>
    </row>
    <row r="5692">
      <c r="C5692" t="s">
        <v>898</v>
      </c>
    </row>
    <row r="5693">
      <c r="C5693" t="s">
        <v>898</v>
      </c>
    </row>
    <row r="5694">
      <c r="C5694" t="s">
        <v>898</v>
      </c>
    </row>
    <row r="5695">
      <c r="C5695" t="s">
        <v>898</v>
      </c>
    </row>
    <row r="5696">
      <c r="C5696" t="s">
        <v>898</v>
      </c>
    </row>
    <row r="5697">
      <c r="C5697" t="s">
        <v>898</v>
      </c>
    </row>
    <row r="5698">
      <c r="C5698" t="s">
        <v>898</v>
      </c>
    </row>
    <row r="5699">
      <c r="C5699" t="s">
        <v>898</v>
      </c>
    </row>
    <row r="5700">
      <c r="C5700" t="s">
        <v>898</v>
      </c>
    </row>
    <row r="5701">
      <c r="C5701" t="s">
        <v>898</v>
      </c>
    </row>
    <row r="5702">
      <c r="C5702" t="s">
        <v>898</v>
      </c>
    </row>
    <row r="5703">
      <c r="C5703" t="s">
        <v>898</v>
      </c>
    </row>
    <row r="5704">
      <c r="C5704" t="s">
        <v>898</v>
      </c>
    </row>
    <row r="5705">
      <c r="C5705" t="s">
        <v>898</v>
      </c>
    </row>
    <row r="5706">
      <c r="C5706" t="s">
        <v>898</v>
      </c>
    </row>
    <row r="5707">
      <c r="C5707" t="s">
        <v>898</v>
      </c>
    </row>
    <row r="5708">
      <c r="C5708" t="s">
        <v>898</v>
      </c>
    </row>
    <row r="5709">
      <c r="C5709" t="s">
        <v>898</v>
      </c>
    </row>
    <row r="5710">
      <c r="C5710" t="s">
        <v>898</v>
      </c>
    </row>
    <row r="5711">
      <c r="C5711" t="s">
        <v>898</v>
      </c>
    </row>
    <row r="5712">
      <c r="C5712" t="s">
        <v>898</v>
      </c>
    </row>
    <row r="5713">
      <c r="C5713" t="s">
        <v>898</v>
      </c>
    </row>
    <row r="5714">
      <c r="C5714" t="s">
        <v>898</v>
      </c>
    </row>
    <row r="5715">
      <c r="C5715" t="s">
        <v>898</v>
      </c>
    </row>
    <row r="5716">
      <c r="C5716" t="s">
        <v>898</v>
      </c>
    </row>
    <row r="5717">
      <c r="C5717" t="s">
        <v>898</v>
      </c>
    </row>
    <row r="5718">
      <c r="C5718" t="s">
        <v>898</v>
      </c>
    </row>
    <row r="5719">
      <c r="C5719" t="s">
        <v>898</v>
      </c>
    </row>
    <row r="5720">
      <c r="C5720" t="s">
        <v>898</v>
      </c>
    </row>
    <row r="5721">
      <c r="C5721" t="s">
        <v>898</v>
      </c>
    </row>
    <row r="5722">
      <c r="C5722" t="s">
        <v>898</v>
      </c>
    </row>
    <row r="5723">
      <c r="C5723" t="s">
        <v>898</v>
      </c>
    </row>
    <row r="5724">
      <c r="C5724" t="s">
        <v>898</v>
      </c>
    </row>
    <row r="5725">
      <c r="C5725" t="s">
        <v>898</v>
      </c>
    </row>
    <row r="5726">
      <c r="C5726" t="s">
        <v>898</v>
      </c>
    </row>
    <row r="5727">
      <c r="C5727" t="s">
        <v>898</v>
      </c>
    </row>
    <row r="5728">
      <c r="C5728" t="s">
        <v>898</v>
      </c>
    </row>
    <row r="5729">
      <c r="C5729" t="s">
        <v>898</v>
      </c>
    </row>
    <row r="5730">
      <c r="C5730" t="s">
        <v>898</v>
      </c>
    </row>
    <row r="5731">
      <c r="C5731" t="s">
        <v>898</v>
      </c>
    </row>
    <row r="5732">
      <c r="C5732" t="s">
        <v>898</v>
      </c>
    </row>
    <row r="5733">
      <c r="C5733" t="s">
        <v>898</v>
      </c>
    </row>
    <row r="5734">
      <c r="C5734" t="s">
        <v>898</v>
      </c>
    </row>
    <row r="5735">
      <c r="C5735" t="s">
        <v>898</v>
      </c>
    </row>
    <row r="5736">
      <c r="C5736" t="s">
        <v>898</v>
      </c>
    </row>
    <row r="5737">
      <c r="C5737" t="s">
        <v>898</v>
      </c>
    </row>
    <row r="5738">
      <c r="C5738" t="s">
        <v>898</v>
      </c>
    </row>
    <row r="5739">
      <c r="C5739" t="s">
        <v>898</v>
      </c>
    </row>
    <row r="5740">
      <c r="C5740" t="s">
        <v>898</v>
      </c>
    </row>
    <row r="5741">
      <c r="C5741" t="s">
        <v>898</v>
      </c>
    </row>
    <row r="5742">
      <c r="C5742" t="s">
        <v>898</v>
      </c>
    </row>
    <row r="5743">
      <c r="C5743" t="s">
        <v>898</v>
      </c>
    </row>
    <row r="5744">
      <c r="C5744" t="s">
        <v>898</v>
      </c>
    </row>
    <row r="5745">
      <c r="C5745" t="s">
        <v>898</v>
      </c>
    </row>
    <row r="5746">
      <c r="C5746" t="s">
        <v>898</v>
      </c>
    </row>
    <row r="5747">
      <c r="C5747" t="s">
        <v>898</v>
      </c>
    </row>
    <row r="5748">
      <c r="C5748" t="s">
        <v>898</v>
      </c>
    </row>
    <row r="5749">
      <c r="C5749" t="s">
        <v>898</v>
      </c>
    </row>
    <row r="5750">
      <c r="C5750" t="s">
        <v>898</v>
      </c>
    </row>
    <row r="5751">
      <c r="C5751" t="s">
        <v>898</v>
      </c>
    </row>
    <row r="5752">
      <c r="C5752" t="s">
        <v>898</v>
      </c>
    </row>
    <row r="5753">
      <c r="C5753" t="s">
        <v>898</v>
      </c>
    </row>
    <row r="5754">
      <c r="C5754" t="s">
        <v>898</v>
      </c>
    </row>
    <row r="5755">
      <c r="C5755" t="s">
        <v>898</v>
      </c>
    </row>
    <row r="5756">
      <c r="C5756" t="s">
        <v>898</v>
      </c>
    </row>
    <row r="5757">
      <c r="C5757" t="s">
        <v>898</v>
      </c>
    </row>
    <row r="5758">
      <c r="C5758" t="s">
        <v>898</v>
      </c>
    </row>
    <row r="5759">
      <c r="C5759" t="s">
        <v>898</v>
      </c>
    </row>
    <row r="5760">
      <c r="C5760" t="s">
        <v>898</v>
      </c>
    </row>
    <row r="5761">
      <c r="C5761" t="s">
        <v>898</v>
      </c>
    </row>
    <row r="5762">
      <c r="C5762" t="s">
        <v>898</v>
      </c>
    </row>
    <row r="5763">
      <c r="C5763" t="s">
        <v>898</v>
      </c>
    </row>
    <row r="5764">
      <c r="C5764" t="s">
        <v>898</v>
      </c>
    </row>
    <row r="5765">
      <c r="C5765" t="s">
        <v>898</v>
      </c>
    </row>
    <row r="5766">
      <c r="C5766" t="s">
        <v>898</v>
      </c>
    </row>
    <row r="5767">
      <c r="C5767" t="s">
        <v>898</v>
      </c>
    </row>
    <row r="5768">
      <c r="C5768" t="s">
        <v>898</v>
      </c>
    </row>
    <row r="5769">
      <c r="C5769" t="s">
        <v>898</v>
      </c>
    </row>
    <row r="5770">
      <c r="C5770" t="s">
        <v>898</v>
      </c>
    </row>
    <row r="5771">
      <c r="C5771" t="s">
        <v>898</v>
      </c>
    </row>
    <row r="5772">
      <c r="C5772" t="s">
        <v>898</v>
      </c>
    </row>
    <row r="5773">
      <c r="C5773" t="s">
        <v>898</v>
      </c>
    </row>
    <row r="5774">
      <c r="C5774" t="s">
        <v>898</v>
      </c>
    </row>
    <row r="5775">
      <c r="C5775" t="s">
        <v>898</v>
      </c>
    </row>
    <row r="5776">
      <c r="C5776" t="s">
        <v>898</v>
      </c>
    </row>
    <row r="5777">
      <c r="C5777" t="s">
        <v>898</v>
      </c>
    </row>
    <row r="5778">
      <c r="C5778" t="s">
        <v>898</v>
      </c>
    </row>
    <row r="5779">
      <c r="C5779" t="s">
        <v>898</v>
      </c>
    </row>
    <row r="5780">
      <c r="C5780" t="s">
        <v>898</v>
      </c>
    </row>
    <row r="5781">
      <c r="C5781" t="s">
        <v>898</v>
      </c>
    </row>
    <row r="5782">
      <c r="C5782" t="s">
        <v>898</v>
      </c>
    </row>
    <row r="5783">
      <c r="C5783" t="s">
        <v>898</v>
      </c>
    </row>
    <row r="5784">
      <c r="C5784" t="s">
        <v>898</v>
      </c>
    </row>
    <row r="5785">
      <c r="C5785" t="s">
        <v>898</v>
      </c>
    </row>
    <row r="5786">
      <c r="C5786" t="s">
        <v>898</v>
      </c>
    </row>
    <row r="5787">
      <c r="C5787" t="s">
        <v>898</v>
      </c>
    </row>
    <row r="5788">
      <c r="C5788" t="s">
        <v>898</v>
      </c>
    </row>
    <row r="5789">
      <c r="C5789" t="s">
        <v>898</v>
      </c>
    </row>
    <row r="5790">
      <c r="C5790" t="s">
        <v>898</v>
      </c>
    </row>
    <row r="5791">
      <c r="C5791" t="s">
        <v>898</v>
      </c>
    </row>
    <row r="5792">
      <c r="C5792" t="s">
        <v>898</v>
      </c>
    </row>
    <row r="5793">
      <c r="C5793" t="s">
        <v>898</v>
      </c>
    </row>
    <row r="5794">
      <c r="C5794" t="s">
        <v>898</v>
      </c>
    </row>
    <row r="5795">
      <c r="C5795" t="s">
        <v>898</v>
      </c>
    </row>
    <row r="5796">
      <c r="C5796" t="s">
        <v>898</v>
      </c>
    </row>
    <row r="5797">
      <c r="C5797" t="s">
        <v>898</v>
      </c>
    </row>
    <row r="5798">
      <c r="C5798" t="s">
        <v>898</v>
      </c>
    </row>
    <row r="5799">
      <c r="C5799" t="s">
        <v>898</v>
      </c>
    </row>
    <row r="5800">
      <c r="C5800" t="s">
        <v>898</v>
      </c>
    </row>
    <row r="5801">
      <c r="C5801" t="s">
        <v>898</v>
      </c>
    </row>
    <row r="5802">
      <c r="C5802" t="s">
        <v>898</v>
      </c>
    </row>
    <row r="5803">
      <c r="C5803" t="s">
        <v>898</v>
      </c>
    </row>
    <row r="5804">
      <c r="C5804" t="s">
        <v>898</v>
      </c>
    </row>
    <row r="5805">
      <c r="C5805" t="s">
        <v>898</v>
      </c>
    </row>
    <row r="5806">
      <c r="C5806" t="s">
        <v>898</v>
      </c>
    </row>
    <row r="5807">
      <c r="C5807" t="s">
        <v>898</v>
      </c>
    </row>
    <row r="5808">
      <c r="C5808" t="s">
        <v>898</v>
      </c>
    </row>
    <row r="5809">
      <c r="C5809" t="s">
        <v>898</v>
      </c>
    </row>
    <row r="5810">
      <c r="C5810" t="s">
        <v>898</v>
      </c>
    </row>
    <row r="5811">
      <c r="C5811" t="s">
        <v>898</v>
      </c>
    </row>
    <row r="5812">
      <c r="C5812" t="s">
        <v>898</v>
      </c>
    </row>
    <row r="5813">
      <c r="C5813" t="s">
        <v>898</v>
      </c>
    </row>
    <row r="5814">
      <c r="C5814" t="s">
        <v>898</v>
      </c>
    </row>
    <row r="5815">
      <c r="C5815" t="s">
        <v>898</v>
      </c>
    </row>
    <row r="5816">
      <c r="C5816" t="s">
        <v>898</v>
      </c>
    </row>
    <row r="5817">
      <c r="C5817" t="s">
        <v>898</v>
      </c>
    </row>
    <row r="5818">
      <c r="C5818" t="s">
        <v>898</v>
      </c>
    </row>
    <row r="5819">
      <c r="C5819" t="s">
        <v>898</v>
      </c>
    </row>
    <row r="5820">
      <c r="C5820" t="s">
        <v>898</v>
      </c>
    </row>
    <row r="5821">
      <c r="C5821" t="s">
        <v>898</v>
      </c>
    </row>
    <row r="5822">
      <c r="C5822" t="s">
        <v>898</v>
      </c>
    </row>
    <row r="5823">
      <c r="C5823" t="s">
        <v>898</v>
      </c>
    </row>
    <row r="5824">
      <c r="C5824" t="s">
        <v>898</v>
      </c>
    </row>
    <row r="5825">
      <c r="C5825" t="s">
        <v>898</v>
      </c>
    </row>
    <row r="5826">
      <c r="C5826" t="s">
        <v>898</v>
      </c>
    </row>
    <row r="5827">
      <c r="C5827" t="s">
        <v>898</v>
      </c>
    </row>
    <row r="5828">
      <c r="C5828" t="s">
        <v>898</v>
      </c>
    </row>
    <row r="5829">
      <c r="C5829" t="s">
        <v>898</v>
      </c>
    </row>
    <row r="5830">
      <c r="C5830" t="s">
        <v>898</v>
      </c>
    </row>
    <row r="5831">
      <c r="C5831" t="s">
        <v>898</v>
      </c>
    </row>
    <row r="5832">
      <c r="C5832" t="s">
        <v>898</v>
      </c>
    </row>
    <row r="5833">
      <c r="C5833" t="s">
        <v>898</v>
      </c>
    </row>
    <row r="5834">
      <c r="C5834" t="s">
        <v>898</v>
      </c>
    </row>
    <row r="5835">
      <c r="C5835" t="s">
        <v>898</v>
      </c>
    </row>
    <row r="5836">
      <c r="C5836" t="s">
        <v>898</v>
      </c>
    </row>
    <row r="5837">
      <c r="C5837" t="s">
        <v>898</v>
      </c>
    </row>
    <row r="5838">
      <c r="C5838" t="s">
        <v>898</v>
      </c>
    </row>
    <row r="5839">
      <c r="C5839" t="s">
        <v>898</v>
      </c>
    </row>
    <row r="5840">
      <c r="C5840" t="s">
        <v>898</v>
      </c>
    </row>
    <row r="5841">
      <c r="C5841" t="s">
        <v>898</v>
      </c>
    </row>
    <row r="5842">
      <c r="C5842" t="s">
        <v>898</v>
      </c>
    </row>
    <row r="5843">
      <c r="C5843" t="s">
        <v>898</v>
      </c>
    </row>
    <row r="5844">
      <c r="C5844" t="s">
        <v>898</v>
      </c>
    </row>
    <row r="5845">
      <c r="C5845" t="s">
        <v>898</v>
      </c>
    </row>
    <row r="5846">
      <c r="C5846" t="s">
        <v>898</v>
      </c>
    </row>
    <row r="5847">
      <c r="C5847" t="s">
        <v>898</v>
      </c>
    </row>
    <row r="5848">
      <c r="C5848" t="s">
        <v>898</v>
      </c>
    </row>
    <row r="5849">
      <c r="C5849" t="s">
        <v>898</v>
      </c>
    </row>
    <row r="5850">
      <c r="C5850" t="s">
        <v>898</v>
      </c>
    </row>
    <row r="5851">
      <c r="C5851" t="s">
        <v>898</v>
      </c>
    </row>
    <row r="5852">
      <c r="C5852" t="s">
        <v>898</v>
      </c>
    </row>
    <row r="5853">
      <c r="C5853" t="s">
        <v>898</v>
      </c>
    </row>
    <row r="5854">
      <c r="C5854" t="s">
        <v>898</v>
      </c>
    </row>
    <row r="5855">
      <c r="C5855" t="s">
        <v>898</v>
      </c>
    </row>
    <row r="5856">
      <c r="C5856" t="s">
        <v>898</v>
      </c>
    </row>
    <row r="5857">
      <c r="C5857" t="s">
        <v>898</v>
      </c>
    </row>
    <row r="5858">
      <c r="C5858" t="s">
        <v>898</v>
      </c>
    </row>
    <row r="5859">
      <c r="C5859" t="s">
        <v>898</v>
      </c>
    </row>
    <row r="5860">
      <c r="C5860" t="s">
        <v>898</v>
      </c>
    </row>
    <row r="5861">
      <c r="C5861" t="s">
        <v>898</v>
      </c>
    </row>
    <row r="5862">
      <c r="C5862" t="s">
        <v>898</v>
      </c>
    </row>
    <row r="5863">
      <c r="C5863" t="s">
        <v>898</v>
      </c>
    </row>
    <row r="5864">
      <c r="C5864" t="s">
        <v>898</v>
      </c>
    </row>
    <row r="5865">
      <c r="C5865" t="s">
        <v>898</v>
      </c>
    </row>
    <row r="5866">
      <c r="C5866" t="s">
        <v>898</v>
      </c>
    </row>
    <row r="5867">
      <c r="C5867" t="s">
        <v>898</v>
      </c>
    </row>
    <row r="5868">
      <c r="C5868" t="s">
        <v>898</v>
      </c>
    </row>
    <row r="5869">
      <c r="C5869" t="s">
        <v>898</v>
      </c>
    </row>
    <row r="5870">
      <c r="C5870" t="s">
        <v>898</v>
      </c>
    </row>
    <row r="5871">
      <c r="C5871" t="s">
        <v>898</v>
      </c>
    </row>
    <row r="5872">
      <c r="C5872" t="s">
        <v>898</v>
      </c>
    </row>
    <row r="5873">
      <c r="C5873" t="s">
        <v>898</v>
      </c>
    </row>
    <row r="5874">
      <c r="C5874" t="s">
        <v>898</v>
      </c>
    </row>
    <row r="5875">
      <c r="C5875" t="s">
        <v>898</v>
      </c>
    </row>
    <row r="5876">
      <c r="C5876" t="s">
        <v>898</v>
      </c>
    </row>
    <row r="5877">
      <c r="C5877" t="s">
        <v>898</v>
      </c>
    </row>
    <row r="5878">
      <c r="C5878" t="s">
        <v>898</v>
      </c>
    </row>
    <row r="5879">
      <c r="C5879" t="s">
        <v>898</v>
      </c>
    </row>
    <row r="5880">
      <c r="C5880" t="s">
        <v>898</v>
      </c>
    </row>
    <row r="5881">
      <c r="C5881" t="s">
        <v>898</v>
      </c>
    </row>
    <row r="5882">
      <c r="C5882" t="s">
        <v>898</v>
      </c>
    </row>
    <row r="5883">
      <c r="C5883" t="s">
        <v>898</v>
      </c>
    </row>
    <row r="5884">
      <c r="C5884" t="s">
        <v>898</v>
      </c>
    </row>
    <row r="5885">
      <c r="C5885" t="s">
        <v>898</v>
      </c>
    </row>
    <row r="5886">
      <c r="C5886" t="s">
        <v>898</v>
      </c>
    </row>
    <row r="5887">
      <c r="C5887" t="s">
        <v>898</v>
      </c>
    </row>
    <row r="5888">
      <c r="C5888" t="s">
        <v>898</v>
      </c>
    </row>
    <row r="5889">
      <c r="C5889" t="s">
        <v>898</v>
      </c>
    </row>
    <row r="5890">
      <c r="C5890" t="s">
        <v>898</v>
      </c>
    </row>
    <row r="5891">
      <c r="C5891" t="s">
        <v>898</v>
      </c>
    </row>
    <row r="5892">
      <c r="C5892" t="s">
        <v>898</v>
      </c>
    </row>
    <row r="5893">
      <c r="C5893" t="s">
        <v>898</v>
      </c>
    </row>
    <row r="5894">
      <c r="C5894" t="s">
        <v>898</v>
      </c>
    </row>
    <row r="5895">
      <c r="C5895" t="s">
        <v>898</v>
      </c>
    </row>
    <row r="5896">
      <c r="C5896" t="s">
        <v>898</v>
      </c>
    </row>
    <row r="5897">
      <c r="C5897" t="s">
        <v>898</v>
      </c>
    </row>
    <row r="5898">
      <c r="C5898" t="s">
        <v>898</v>
      </c>
    </row>
    <row r="5899">
      <c r="C5899" t="s">
        <v>898</v>
      </c>
    </row>
    <row r="5900">
      <c r="C5900" t="s">
        <v>898</v>
      </c>
    </row>
    <row r="5901">
      <c r="C5901" t="s">
        <v>898</v>
      </c>
    </row>
    <row r="5902">
      <c r="C5902" t="s">
        <v>898</v>
      </c>
    </row>
    <row r="5903">
      <c r="C5903" t="s">
        <v>898</v>
      </c>
    </row>
    <row r="5904">
      <c r="C5904" t="s">
        <v>898</v>
      </c>
    </row>
    <row r="5905">
      <c r="C5905" t="s">
        <v>898</v>
      </c>
    </row>
    <row r="5906">
      <c r="C5906" t="s">
        <v>898</v>
      </c>
    </row>
    <row r="5907">
      <c r="C5907" t="s">
        <v>898</v>
      </c>
    </row>
    <row r="5908">
      <c r="C5908" t="s">
        <v>898</v>
      </c>
    </row>
    <row r="5909">
      <c r="C5909" t="s">
        <v>898</v>
      </c>
    </row>
    <row r="5910">
      <c r="C5910" t="s">
        <v>898</v>
      </c>
    </row>
    <row r="5911">
      <c r="C5911" t="s">
        <v>898</v>
      </c>
    </row>
    <row r="5912">
      <c r="C5912" t="s">
        <v>898</v>
      </c>
    </row>
    <row r="5913">
      <c r="C5913" t="s">
        <v>898</v>
      </c>
    </row>
    <row r="5914">
      <c r="C5914" t="s">
        <v>898</v>
      </c>
    </row>
    <row r="5915">
      <c r="C5915" t="s">
        <v>898</v>
      </c>
    </row>
    <row r="5916">
      <c r="C5916" t="s">
        <v>898</v>
      </c>
    </row>
    <row r="5917">
      <c r="C5917" t="s">
        <v>898</v>
      </c>
    </row>
    <row r="5918">
      <c r="C5918" t="s">
        <v>898</v>
      </c>
    </row>
    <row r="5919">
      <c r="C5919" t="s">
        <v>898</v>
      </c>
    </row>
    <row r="5920">
      <c r="C5920" t="s">
        <v>898</v>
      </c>
    </row>
    <row r="5921">
      <c r="C5921" t="s">
        <v>898</v>
      </c>
    </row>
    <row r="5922">
      <c r="C5922" t="s">
        <v>898</v>
      </c>
    </row>
    <row r="5923">
      <c r="C5923" t="s">
        <v>898</v>
      </c>
    </row>
    <row r="5924">
      <c r="C5924" t="s">
        <v>898</v>
      </c>
    </row>
    <row r="5925">
      <c r="C5925" t="s">
        <v>898</v>
      </c>
    </row>
    <row r="5926">
      <c r="C5926" t="s">
        <v>898</v>
      </c>
    </row>
    <row r="5927">
      <c r="C5927" t="s">
        <v>898</v>
      </c>
    </row>
    <row r="5928">
      <c r="C5928" t="s">
        <v>898</v>
      </c>
    </row>
    <row r="5929">
      <c r="C5929" t="s">
        <v>898</v>
      </c>
    </row>
    <row r="5930">
      <c r="C5930" t="s">
        <v>898</v>
      </c>
    </row>
    <row r="5931">
      <c r="C5931" t="s">
        <v>898</v>
      </c>
    </row>
    <row r="5932">
      <c r="C5932" t="s">
        <v>898</v>
      </c>
    </row>
    <row r="5933">
      <c r="C5933" t="s">
        <v>898</v>
      </c>
    </row>
    <row r="5934">
      <c r="C5934" t="s">
        <v>898</v>
      </c>
    </row>
    <row r="5935">
      <c r="C5935" t="s">
        <v>898</v>
      </c>
    </row>
    <row r="5936">
      <c r="C5936" t="s">
        <v>898</v>
      </c>
    </row>
    <row r="5937">
      <c r="C5937" t="s">
        <v>898</v>
      </c>
    </row>
    <row r="5938">
      <c r="C5938" t="s">
        <v>898</v>
      </c>
    </row>
    <row r="5939">
      <c r="C5939" t="s">
        <v>898</v>
      </c>
    </row>
    <row r="5940">
      <c r="C5940" t="s">
        <v>898</v>
      </c>
    </row>
    <row r="5941">
      <c r="C5941" t="s">
        <v>898</v>
      </c>
    </row>
    <row r="5942">
      <c r="C5942" t="s">
        <v>898</v>
      </c>
    </row>
    <row r="5943">
      <c r="C5943" t="s">
        <v>898</v>
      </c>
    </row>
    <row r="5944">
      <c r="C5944" t="s">
        <v>898</v>
      </c>
    </row>
    <row r="5945">
      <c r="C5945" t="s">
        <v>898</v>
      </c>
    </row>
    <row r="5946">
      <c r="C5946" t="s">
        <v>898</v>
      </c>
    </row>
    <row r="5947">
      <c r="C5947" t="s">
        <v>898</v>
      </c>
    </row>
    <row r="5948">
      <c r="C5948" t="s">
        <v>898</v>
      </c>
    </row>
    <row r="5949">
      <c r="C5949" t="s">
        <v>898</v>
      </c>
    </row>
    <row r="5950">
      <c r="C5950" t="s">
        <v>898</v>
      </c>
    </row>
    <row r="5951">
      <c r="C5951" t="s">
        <v>898</v>
      </c>
    </row>
    <row r="5952">
      <c r="C5952" t="s">
        <v>898</v>
      </c>
    </row>
    <row r="5953">
      <c r="C5953" t="s">
        <v>898</v>
      </c>
    </row>
    <row r="5954">
      <c r="C5954" t="s">
        <v>898</v>
      </c>
    </row>
    <row r="5955">
      <c r="C5955" t="s">
        <v>898</v>
      </c>
    </row>
    <row r="5956">
      <c r="C5956" t="s">
        <v>898</v>
      </c>
    </row>
    <row r="5957">
      <c r="C5957" t="s">
        <v>898</v>
      </c>
    </row>
    <row r="5958">
      <c r="C5958" t="s">
        <v>898</v>
      </c>
    </row>
    <row r="5959">
      <c r="C5959" t="s">
        <v>898</v>
      </c>
    </row>
    <row r="5960">
      <c r="C5960" t="s">
        <v>898</v>
      </c>
    </row>
    <row r="5961">
      <c r="C5961" t="s">
        <v>898</v>
      </c>
    </row>
    <row r="5962">
      <c r="C5962" t="s">
        <v>898</v>
      </c>
    </row>
    <row r="5963">
      <c r="C5963" t="s">
        <v>898</v>
      </c>
    </row>
    <row r="5964">
      <c r="C5964" t="s">
        <v>898</v>
      </c>
    </row>
    <row r="5965">
      <c r="C5965" t="s">
        <v>898</v>
      </c>
    </row>
    <row r="5966">
      <c r="C5966" t="s">
        <v>898</v>
      </c>
    </row>
    <row r="5967">
      <c r="C5967" t="s">
        <v>898</v>
      </c>
    </row>
    <row r="5968">
      <c r="C5968" t="s">
        <v>898</v>
      </c>
    </row>
    <row r="5969">
      <c r="C5969" t="s">
        <v>898</v>
      </c>
    </row>
    <row r="5970">
      <c r="C5970" t="s">
        <v>898</v>
      </c>
    </row>
    <row r="5971">
      <c r="C5971" t="s">
        <v>898</v>
      </c>
    </row>
    <row r="5972">
      <c r="C5972" t="s">
        <v>898</v>
      </c>
    </row>
    <row r="5973">
      <c r="C5973" t="s">
        <v>898</v>
      </c>
    </row>
    <row r="5974">
      <c r="C5974" t="s">
        <v>898</v>
      </c>
    </row>
    <row r="5975">
      <c r="C5975" t="s">
        <v>898</v>
      </c>
    </row>
    <row r="5976">
      <c r="C5976" t="s">
        <v>898</v>
      </c>
    </row>
    <row r="5977">
      <c r="C5977" t="s">
        <v>898</v>
      </c>
    </row>
    <row r="5978">
      <c r="C5978" t="s">
        <v>898</v>
      </c>
    </row>
    <row r="5979">
      <c r="C5979" t="s">
        <v>898</v>
      </c>
    </row>
    <row r="5980">
      <c r="C5980" t="s">
        <v>898</v>
      </c>
    </row>
    <row r="5981">
      <c r="C5981" t="s">
        <v>898</v>
      </c>
    </row>
    <row r="5982">
      <c r="C5982" t="s">
        <v>898</v>
      </c>
    </row>
    <row r="5983">
      <c r="C5983" t="s">
        <v>898</v>
      </c>
    </row>
    <row r="5984">
      <c r="C5984" t="s">
        <v>898</v>
      </c>
    </row>
    <row r="5985">
      <c r="C5985" t="s">
        <v>898</v>
      </c>
    </row>
    <row r="5986">
      <c r="C5986" t="s">
        <v>898</v>
      </c>
    </row>
    <row r="5987">
      <c r="C5987" t="s">
        <v>898</v>
      </c>
    </row>
    <row r="5988">
      <c r="C5988" t="s">
        <v>898</v>
      </c>
    </row>
    <row r="5989">
      <c r="C5989" t="s">
        <v>898</v>
      </c>
    </row>
    <row r="5990">
      <c r="C5990" t="s">
        <v>898</v>
      </c>
    </row>
    <row r="5991">
      <c r="C5991" t="s">
        <v>898</v>
      </c>
    </row>
    <row r="5992">
      <c r="C5992" t="s">
        <v>898</v>
      </c>
    </row>
    <row r="5993">
      <c r="C5993" t="s">
        <v>898</v>
      </c>
    </row>
    <row r="5994">
      <c r="C5994" t="s">
        <v>898</v>
      </c>
    </row>
    <row r="5995">
      <c r="C5995" t="s">
        <v>898</v>
      </c>
    </row>
    <row r="5996">
      <c r="C5996" t="s">
        <v>898</v>
      </c>
    </row>
    <row r="5997">
      <c r="C5997" t="s">
        <v>898</v>
      </c>
    </row>
    <row r="5998">
      <c r="C5998" t="s">
        <v>898</v>
      </c>
    </row>
    <row r="5999">
      <c r="C5999" t="s">
        <v>898</v>
      </c>
    </row>
    <row r="6000">
      <c r="C6000" t="s">
        <v>898</v>
      </c>
    </row>
    <row r="6001">
      <c r="C6001" t="s">
        <v>898</v>
      </c>
    </row>
    <row r="6002">
      <c r="C6002" t="s">
        <v>898</v>
      </c>
    </row>
    <row r="6003">
      <c r="C6003" t="s">
        <v>898</v>
      </c>
    </row>
    <row r="6004">
      <c r="C6004" t="s">
        <v>898</v>
      </c>
    </row>
    <row r="6005">
      <c r="C6005" t="s">
        <v>898</v>
      </c>
    </row>
    <row r="6006">
      <c r="C6006" t="s">
        <v>898</v>
      </c>
    </row>
    <row r="6007">
      <c r="C6007" t="s">
        <v>898</v>
      </c>
    </row>
    <row r="6008">
      <c r="C6008" t="s">
        <v>898</v>
      </c>
    </row>
    <row r="6009">
      <c r="C6009" t="s">
        <v>898</v>
      </c>
    </row>
    <row r="6010">
      <c r="C6010" t="s">
        <v>898</v>
      </c>
    </row>
    <row r="6011">
      <c r="C6011" t="s">
        <v>898</v>
      </c>
    </row>
    <row r="6012">
      <c r="C6012" t="s">
        <v>898</v>
      </c>
    </row>
    <row r="6013">
      <c r="C6013" t="s">
        <v>898</v>
      </c>
    </row>
    <row r="6014">
      <c r="C6014" t="s">
        <v>898</v>
      </c>
    </row>
    <row r="6015">
      <c r="C6015" t="s">
        <v>898</v>
      </c>
    </row>
    <row r="6016">
      <c r="C6016" t="s">
        <v>898</v>
      </c>
    </row>
    <row r="6017">
      <c r="C6017" t="s">
        <v>898</v>
      </c>
    </row>
    <row r="6018">
      <c r="C6018" t="s">
        <v>898</v>
      </c>
    </row>
    <row r="6019">
      <c r="C6019" t="s">
        <v>898</v>
      </c>
    </row>
    <row r="6020">
      <c r="C6020" t="s">
        <v>898</v>
      </c>
    </row>
    <row r="6021">
      <c r="C6021" t="s">
        <v>898</v>
      </c>
    </row>
    <row r="6022">
      <c r="C6022" t="s">
        <v>898</v>
      </c>
    </row>
    <row r="6023">
      <c r="C6023" t="s">
        <v>898</v>
      </c>
    </row>
    <row r="6024">
      <c r="C6024" t="s">
        <v>898</v>
      </c>
    </row>
    <row r="6025">
      <c r="C6025" t="s">
        <v>898</v>
      </c>
    </row>
    <row r="6026">
      <c r="C6026" t="s">
        <v>898</v>
      </c>
    </row>
    <row r="6027">
      <c r="C6027" t="s">
        <v>898</v>
      </c>
    </row>
    <row r="6028">
      <c r="C6028" t="s">
        <v>898</v>
      </c>
    </row>
    <row r="6029">
      <c r="C6029" t="s">
        <v>898</v>
      </c>
    </row>
    <row r="6030">
      <c r="C6030" t="s">
        <v>898</v>
      </c>
    </row>
    <row r="6031">
      <c r="C6031" t="s">
        <v>898</v>
      </c>
    </row>
    <row r="6032">
      <c r="C6032" t="s">
        <v>898</v>
      </c>
    </row>
    <row r="6033">
      <c r="C6033" t="s">
        <v>898</v>
      </c>
    </row>
    <row r="6034">
      <c r="C6034" t="s">
        <v>898</v>
      </c>
    </row>
    <row r="6035">
      <c r="C6035" t="s">
        <v>898</v>
      </c>
    </row>
    <row r="6036">
      <c r="C6036" t="s">
        <v>898</v>
      </c>
    </row>
    <row r="6037">
      <c r="C6037" t="s">
        <v>898</v>
      </c>
    </row>
    <row r="6038">
      <c r="C6038" t="s">
        <v>898</v>
      </c>
    </row>
    <row r="6039">
      <c r="C6039" t="s">
        <v>898</v>
      </c>
    </row>
    <row r="6040">
      <c r="C6040" t="s">
        <v>898</v>
      </c>
    </row>
    <row r="6041">
      <c r="C6041" t="s">
        <v>898</v>
      </c>
    </row>
    <row r="6042">
      <c r="C6042" t="s">
        <v>898</v>
      </c>
    </row>
    <row r="6043">
      <c r="C6043" t="s">
        <v>898</v>
      </c>
    </row>
    <row r="6044">
      <c r="C6044" t="s">
        <v>898</v>
      </c>
    </row>
    <row r="6045">
      <c r="C6045" t="s">
        <v>898</v>
      </c>
    </row>
    <row r="6046">
      <c r="C6046" t="s">
        <v>898</v>
      </c>
    </row>
    <row r="6047">
      <c r="C6047" t="s">
        <v>898</v>
      </c>
    </row>
    <row r="6048">
      <c r="C6048" t="s">
        <v>898</v>
      </c>
    </row>
    <row r="6049">
      <c r="C6049" t="s">
        <v>898</v>
      </c>
    </row>
    <row r="6050">
      <c r="C6050" t="s">
        <v>898</v>
      </c>
    </row>
    <row r="6051">
      <c r="C6051" t="s">
        <v>898</v>
      </c>
    </row>
    <row r="6052">
      <c r="C6052" t="s">
        <v>898</v>
      </c>
    </row>
    <row r="6053">
      <c r="C6053" t="s">
        <v>898</v>
      </c>
    </row>
    <row r="6054">
      <c r="C6054" t="s">
        <v>898</v>
      </c>
    </row>
    <row r="6055">
      <c r="C6055" t="s">
        <v>898</v>
      </c>
    </row>
    <row r="6056">
      <c r="C6056" t="s">
        <v>898</v>
      </c>
    </row>
    <row r="6057">
      <c r="C6057" t="s">
        <v>898</v>
      </c>
    </row>
    <row r="6058">
      <c r="C6058" t="s">
        <v>898</v>
      </c>
    </row>
    <row r="6059">
      <c r="C6059" t="s">
        <v>898</v>
      </c>
    </row>
    <row r="6060">
      <c r="C6060" t="s">
        <v>898</v>
      </c>
    </row>
    <row r="6061">
      <c r="C6061" t="s">
        <v>898</v>
      </c>
    </row>
    <row r="6062">
      <c r="C6062" t="s">
        <v>898</v>
      </c>
    </row>
    <row r="6063">
      <c r="C6063" t="s">
        <v>898</v>
      </c>
    </row>
    <row r="6064">
      <c r="C6064" t="s">
        <v>898</v>
      </c>
    </row>
    <row r="6065">
      <c r="C6065" t="s">
        <v>898</v>
      </c>
    </row>
    <row r="6066">
      <c r="C6066" t="s">
        <v>898</v>
      </c>
    </row>
    <row r="6067">
      <c r="C6067" t="s">
        <v>898</v>
      </c>
    </row>
    <row r="6068">
      <c r="C6068" t="s">
        <v>898</v>
      </c>
    </row>
    <row r="6069">
      <c r="C6069" t="s">
        <v>898</v>
      </c>
    </row>
    <row r="6070">
      <c r="C6070" t="s">
        <v>898</v>
      </c>
    </row>
    <row r="6071">
      <c r="C6071" t="s">
        <v>898</v>
      </c>
    </row>
    <row r="6072">
      <c r="C6072" t="s">
        <v>898</v>
      </c>
    </row>
    <row r="6073">
      <c r="C6073" t="s">
        <v>898</v>
      </c>
    </row>
    <row r="6074">
      <c r="C6074" t="s">
        <v>898</v>
      </c>
    </row>
    <row r="6075">
      <c r="C6075" t="s">
        <v>898</v>
      </c>
    </row>
    <row r="6076">
      <c r="C6076" t="s">
        <v>898</v>
      </c>
    </row>
    <row r="6077">
      <c r="C6077" t="s">
        <v>898</v>
      </c>
    </row>
    <row r="6078">
      <c r="C6078" t="s">
        <v>898</v>
      </c>
    </row>
    <row r="6079">
      <c r="C6079" t="s">
        <v>898</v>
      </c>
    </row>
    <row r="6080">
      <c r="C6080" t="s">
        <v>898</v>
      </c>
    </row>
    <row r="6081">
      <c r="C6081" t="s">
        <v>898</v>
      </c>
    </row>
    <row r="6082">
      <c r="C6082" t="s">
        <v>898</v>
      </c>
    </row>
    <row r="6083">
      <c r="C6083" t="s">
        <v>898</v>
      </c>
    </row>
    <row r="6084">
      <c r="C6084" t="s">
        <v>898</v>
      </c>
    </row>
    <row r="6085">
      <c r="C6085" t="s">
        <v>898</v>
      </c>
    </row>
    <row r="6086">
      <c r="C6086" t="s">
        <v>898</v>
      </c>
    </row>
    <row r="6087">
      <c r="C6087" t="s">
        <v>898</v>
      </c>
    </row>
    <row r="6088">
      <c r="C6088" t="s">
        <v>898</v>
      </c>
    </row>
    <row r="6089">
      <c r="C6089" t="s">
        <v>898</v>
      </c>
    </row>
    <row r="6090">
      <c r="C6090" t="s">
        <v>898</v>
      </c>
    </row>
    <row r="6091">
      <c r="C6091" t="s">
        <v>898</v>
      </c>
    </row>
    <row r="6092">
      <c r="C6092" t="s">
        <v>898</v>
      </c>
    </row>
    <row r="6093">
      <c r="C6093" t="s">
        <v>898</v>
      </c>
    </row>
    <row r="6094">
      <c r="C6094" t="s">
        <v>898</v>
      </c>
    </row>
    <row r="6095">
      <c r="C6095" t="s">
        <v>898</v>
      </c>
    </row>
    <row r="6096">
      <c r="C6096" t="s">
        <v>898</v>
      </c>
    </row>
    <row r="6097">
      <c r="C6097" t="s">
        <v>898</v>
      </c>
    </row>
    <row r="6098">
      <c r="C6098" t="s">
        <v>898</v>
      </c>
    </row>
    <row r="6099">
      <c r="C6099" t="s">
        <v>898</v>
      </c>
    </row>
    <row r="6100">
      <c r="C6100" t="s">
        <v>898</v>
      </c>
    </row>
    <row r="6101">
      <c r="C6101" t="s">
        <v>898</v>
      </c>
    </row>
    <row r="6102">
      <c r="C6102" t="s">
        <v>898</v>
      </c>
    </row>
    <row r="6103">
      <c r="C6103" t="s">
        <v>898</v>
      </c>
    </row>
    <row r="6104">
      <c r="C6104" t="s">
        <v>898</v>
      </c>
    </row>
    <row r="6105">
      <c r="C6105" t="s">
        <v>898</v>
      </c>
    </row>
    <row r="6106">
      <c r="C6106" t="s">
        <v>898</v>
      </c>
    </row>
    <row r="6107">
      <c r="C6107" t="s">
        <v>898</v>
      </c>
    </row>
    <row r="6108">
      <c r="C6108" t="s">
        <v>898</v>
      </c>
    </row>
    <row r="6109">
      <c r="C6109" t="s">
        <v>898</v>
      </c>
    </row>
    <row r="6110">
      <c r="C6110" t="s">
        <v>898</v>
      </c>
    </row>
    <row r="6111">
      <c r="C6111" t="s">
        <v>898</v>
      </c>
    </row>
    <row r="6112">
      <c r="C6112" t="s">
        <v>898</v>
      </c>
    </row>
    <row r="6113">
      <c r="C6113" t="s">
        <v>898</v>
      </c>
    </row>
    <row r="6114">
      <c r="C6114" t="s">
        <v>898</v>
      </c>
    </row>
    <row r="6115">
      <c r="C6115" t="s">
        <v>898</v>
      </c>
    </row>
    <row r="6116">
      <c r="C6116" t="s">
        <v>898</v>
      </c>
    </row>
    <row r="6117">
      <c r="C6117" t="s">
        <v>898</v>
      </c>
    </row>
    <row r="6118">
      <c r="C6118" t="s">
        <v>898</v>
      </c>
    </row>
    <row r="6119">
      <c r="C6119" t="s">
        <v>898</v>
      </c>
    </row>
    <row r="6120">
      <c r="C6120" t="s">
        <v>898</v>
      </c>
    </row>
    <row r="6121">
      <c r="C6121" t="s">
        <v>898</v>
      </c>
    </row>
    <row r="6122">
      <c r="C6122" t="s">
        <v>898</v>
      </c>
    </row>
    <row r="6123">
      <c r="C6123" t="s">
        <v>898</v>
      </c>
    </row>
    <row r="6124">
      <c r="C6124" t="s">
        <v>898</v>
      </c>
    </row>
    <row r="6125">
      <c r="C6125" t="s">
        <v>898</v>
      </c>
    </row>
    <row r="6126">
      <c r="C6126" t="s">
        <v>898</v>
      </c>
    </row>
    <row r="6127">
      <c r="C6127" t="s">
        <v>898</v>
      </c>
    </row>
    <row r="6128">
      <c r="C6128" t="s">
        <v>898</v>
      </c>
    </row>
    <row r="6129">
      <c r="C6129" t="s">
        <v>898</v>
      </c>
    </row>
    <row r="6130">
      <c r="C6130" t="s">
        <v>898</v>
      </c>
    </row>
    <row r="6131">
      <c r="C6131" t="s">
        <v>898</v>
      </c>
    </row>
    <row r="6132">
      <c r="C6132" t="s">
        <v>898</v>
      </c>
    </row>
    <row r="6133">
      <c r="C6133" t="s">
        <v>898</v>
      </c>
    </row>
    <row r="6134">
      <c r="C6134" t="s">
        <v>898</v>
      </c>
    </row>
    <row r="6135">
      <c r="C6135" t="s">
        <v>898</v>
      </c>
    </row>
    <row r="6136">
      <c r="C6136" t="s">
        <v>898</v>
      </c>
    </row>
    <row r="6137">
      <c r="C6137" t="s">
        <v>898</v>
      </c>
    </row>
    <row r="6138">
      <c r="C6138" t="s">
        <v>898</v>
      </c>
    </row>
    <row r="6139">
      <c r="C6139" t="s">
        <v>898</v>
      </c>
    </row>
    <row r="6140">
      <c r="C6140" t="s">
        <v>898</v>
      </c>
    </row>
    <row r="6141">
      <c r="C6141" t="s">
        <v>898</v>
      </c>
    </row>
    <row r="6142">
      <c r="C6142" t="s">
        <v>898</v>
      </c>
    </row>
    <row r="6143">
      <c r="C6143" t="s">
        <v>898</v>
      </c>
    </row>
    <row r="6144">
      <c r="C6144" t="s">
        <v>898</v>
      </c>
    </row>
    <row r="6145">
      <c r="C6145" t="s">
        <v>898</v>
      </c>
    </row>
    <row r="6146">
      <c r="C6146" t="s">
        <v>898</v>
      </c>
    </row>
    <row r="6147">
      <c r="C6147" t="s">
        <v>898</v>
      </c>
    </row>
    <row r="6148">
      <c r="C6148" t="s">
        <v>898</v>
      </c>
    </row>
    <row r="6149">
      <c r="C6149" t="s">
        <v>898</v>
      </c>
    </row>
    <row r="6150">
      <c r="C6150" t="s">
        <v>898</v>
      </c>
    </row>
    <row r="6151">
      <c r="C6151" t="s">
        <v>898</v>
      </c>
    </row>
    <row r="6152">
      <c r="C6152" t="s">
        <v>898</v>
      </c>
    </row>
    <row r="6153">
      <c r="C6153" t="s">
        <v>898</v>
      </c>
    </row>
    <row r="6154">
      <c r="C6154" t="s">
        <v>898</v>
      </c>
    </row>
    <row r="6155">
      <c r="C6155" t="s">
        <v>898</v>
      </c>
    </row>
    <row r="6156">
      <c r="C6156" t="s">
        <v>898</v>
      </c>
    </row>
    <row r="6157">
      <c r="C6157" t="s">
        <v>898</v>
      </c>
    </row>
    <row r="6158">
      <c r="C6158" t="s">
        <v>898</v>
      </c>
    </row>
    <row r="6159">
      <c r="C6159" t="s">
        <v>898</v>
      </c>
    </row>
    <row r="6160">
      <c r="C6160" t="s">
        <v>898</v>
      </c>
    </row>
    <row r="6161">
      <c r="C6161" t="s">
        <v>898</v>
      </c>
    </row>
    <row r="6162">
      <c r="C6162" t="s">
        <v>898</v>
      </c>
    </row>
    <row r="6163">
      <c r="C6163" t="s">
        <v>898</v>
      </c>
    </row>
    <row r="6164">
      <c r="C6164" t="s">
        <v>898</v>
      </c>
    </row>
    <row r="6165">
      <c r="C6165" t="s">
        <v>898</v>
      </c>
    </row>
    <row r="6166">
      <c r="C6166" t="s">
        <v>898</v>
      </c>
    </row>
    <row r="6167">
      <c r="C6167" t="s">
        <v>898</v>
      </c>
    </row>
    <row r="6168">
      <c r="C6168" t="s">
        <v>898</v>
      </c>
    </row>
    <row r="6169">
      <c r="C6169" t="s">
        <v>898</v>
      </c>
    </row>
    <row r="6170">
      <c r="C6170" t="s">
        <v>898</v>
      </c>
    </row>
    <row r="6171">
      <c r="C6171" t="s">
        <v>898</v>
      </c>
    </row>
    <row r="6172">
      <c r="C6172" t="s">
        <v>898</v>
      </c>
    </row>
    <row r="6173">
      <c r="C6173" t="s">
        <v>898</v>
      </c>
    </row>
    <row r="6174">
      <c r="C6174" t="s">
        <v>898</v>
      </c>
    </row>
    <row r="6175">
      <c r="C6175" t="s">
        <v>898</v>
      </c>
    </row>
    <row r="6176">
      <c r="C6176" t="s">
        <v>898</v>
      </c>
    </row>
    <row r="6177">
      <c r="C6177" t="s">
        <v>898</v>
      </c>
    </row>
    <row r="6178">
      <c r="C6178" t="s">
        <v>898</v>
      </c>
    </row>
    <row r="6179">
      <c r="C6179" t="s">
        <v>898</v>
      </c>
    </row>
    <row r="6180">
      <c r="C6180" t="s">
        <v>898</v>
      </c>
    </row>
    <row r="6181">
      <c r="C6181" t="s">
        <v>898</v>
      </c>
    </row>
    <row r="6182">
      <c r="C6182" t="s">
        <v>898</v>
      </c>
    </row>
    <row r="6183">
      <c r="C6183" t="s">
        <v>898</v>
      </c>
    </row>
    <row r="6184">
      <c r="C6184" t="s">
        <v>898</v>
      </c>
    </row>
    <row r="6185">
      <c r="C6185" t="s">
        <v>898</v>
      </c>
    </row>
    <row r="6186">
      <c r="C6186" t="s">
        <v>898</v>
      </c>
    </row>
    <row r="6187">
      <c r="C6187" t="s">
        <v>898</v>
      </c>
    </row>
    <row r="6188">
      <c r="C6188" t="s">
        <v>898</v>
      </c>
    </row>
    <row r="6189">
      <c r="C6189" t="s">
        <v>898</v>
      </c>
    </row>
    <row r="6190">
      <c r="C6190" t="s">
        <v>898</v>
      </c>
    </row>
    <row r="6191">
      <c r="C6191" t="s">
        <v>898</v>
      </c>
    </row>
    <row r="6192">
      <c r="C6192" t="s">
        <v>898</v>
      </c>
    </row>
    <row r="6193">
      <c r="C6193" t="s">
        <v>898</v>
      </c>
    </row>
    <row r="6194">
      <c r="C6194" t="s">
        <v>898</v>
      </c>
    </row>
    <row r="6195">
      <c r="C6195" t="s">
        <v>898</v>
      </c>
    </row>
    <row r="6196">
      <c r="C6196" t="s">
        <v>898</v>
      </c>
    </row>
    <row r="6197">
      <c r="C6197" t="s">
        <v>898</v>
      </c>
    </row>
    <row r="6198">
      <c r="C6198" t="s">
        <v>898</v>
      </c>
    </row>
    <row r="6199">
      <c r="C6199" t="s">
        <v>898</v>
      </c>
    </row>
    <row r="6200">
      <c r="C6200" t="s">
        <v>898</v>
      </c>
    </row>
    <row r="6201">
      <c r="C6201" t="s">
        <v>898</v>
      </c>
    </row>
    <row r="6202">
      <c r="C6202" t="s">
        <v>898</v>
      </c>
    </row>
    <row r="6203">
      <c r="C6203" t="s">
        <v>898</v>
      </c>
    </row>
    <row r="6204">
      <c r="C6204" t="s">
        <v>898</v>
      </c>
    </row>
    <row r="6205">
      <c r="C6205" t="s">
        <v>898</v>
      </c>
    </row>
    <row r="6206">
      <c r="C6206" t="s">
        <v>898</v>
      </c>
    </row>
    <row r="6207">
      <c r="C6207" t="s">
        <v>898</v>
      </c>
    </row>
    <row r="6208">
      <c r="C6208" t="s">
        <v>898</v>
      </c>
    </row>
    <row r="6209">
      <c r="C6209" t="s">
        <v>898</v>
      </c>
    </row>
    <row r="6210">
      <c r="C6210" t="s">
        <v>898</v>
      </c>
    </row>
    <row r="6211">
      <c r="C6211" t="s">
        <v>898</v>
      </c>
    </row>
    <row r="6212">
      <c r="C6212" t="s">
        <v>898</v>
      </c>
    </row>
    <row r="6213">
      <c r="C6213" t="s">
        <v>898</v>
      </c>
    </row>
    <row r="6214">
      <c r="C6214" t="s">
        <v>898</v>
      </c>
    </row>
    <row r="6215">
      <c r="C6215" t="s">
        <v>898</v>
      </c>
    </row>
    <row r="6216">
      <c r="C6216" t="s">
        <v>898</v>
      </c>
    </row>
    <row r="6217">
      <c r="C6217" t="s">
        <v>898</v>
      </c>
    </row>
    <row r="6218">
      <c r="C6218" t="s">
        <v>898</v>
      </c>
    </row>
    <row r="6219">
      <c r="C6219" t="s">
        <v>898</v>
      </c>
    </row>
    <row r="6220">
      <c r="C6220" t="s">
        <v>898</v>
      </c>
    </row>
    <row r="6221">
      <c r="C6221" t="s">
        <v>898</v>
      </c>
    </row>
    <row r="6222">
      <c r="C6222" t="s">
        <v>898</v>
      </c>
    </row>
    <row r="6223">
      <c r="C6223" t="s">
        <v>898</v>
      </c>
    </row>
    <row r="6224">
      <c r="C6224" t="s">
        <v>898</v>
      </c>
    </row>
    <row r="6225">
      <c r="C6225" t="s">
        <v>898</v>
      </c>
    </row>
    <row r="6226">
      <c r="C6226" t="s">
        <v>898</v>
      </c>
    </row>
    <row r="6227">
      <c r="C6227" t="s">
        <v>898</v>
      </c>
    </row>
    <row r="6228">
      <c r="C6228" t="s">
        <v>898</v>
      </c>
    </row>
    <row r="6229">
      <c r="C6229" t="s">
        <v>898</v>
      </c>
    </row>
    <row r="6230">
      <c r="C6230" t="s">
        <v>898</v>
      </c>
    </row>
    <row r="6231">
      <c r="C6231" t="s">
        <v>898</v>
      </c>
    </row>
    <row r="6232">
      <c r="C6232" t="s">
        <v>898</v>
      </c>
    </row>
    <row r="6233">
      <c r="C6233" t="s">
        <v>898</v>
      </c>
    </row>
    <row r="6234">
      <c r="C6234" t="s">
        <v>898</v>
      </c>
    </row>
    <row r="6235">
      <c r="C6235" t="s">
        <v>898</v>
      </c>
    </row>
    <row r="6236">
      <c r="C6236" t="s">
        <v>898</v>
      </c>
    </row>
    <row r="6237">
      <c r="C6237" t="s">
        <v>898</v>
      </c>
    </row>
    <row r="6238">
      <c r="C6238" t="s">
        <v>898</v>
      </c>
    </row>
    <row r="6239">
      <c r="C6239" t="s">
        <v>898</v>
      </c>
    </row>
    <row r="6240">
      <c r="C6240" t="s">
        <v>898</v>
      </c>
    </row>
    <row r="6241">
      <c r="C6241" t="s">
        <v>898</v>
      </c>
    </row>
    <row r="6242">
      <c r="C6242" t="s">
        <v>898</v>
      </c>
    </row>
    <row r="6243">
      <c r="C6243" t="s">
        <v>898</v>
      </c>
    </row>
    <row r="6244">
      <c r="C6244" t="s">
        <v>898</v>
      </c>
    </row>
    <row r="6245">
      <c r="C6245" t="s">
        <v>898</v>
      </c>
    </row>
    <row r="6246">
      <c r="C6246" t="s">
        <v>898</v>
      </c>
    </row>
    <row r="6247">
      <c r="C6247" t="s">
        <v>898</v>
      </c>
    </row>
    <row r="6248">
      <c r="C6248" t="s">
        <v>898</v>
      </c>
    </row>
    <row r="6249">
      <c r="C6249" t="s">
        <v>898</v>
      </c>
    </row>
    <row r="6250">
      <c r="C6250" t="s">
        <v>898</v>
      </c>
    </row>
    <row r="6251">
      <c r="C6251" t="s">
        <v>898</v>
      </c>
    </row>
    <row r="6252">
      <c r="C6252" t="s">
        <v>898</v>
      </c>
    </row>
    <row r="6253">
      <c r="C6253" t="s">
        <v>898</v>
      </c>
    </row>
    <row r="6254">
      <c r="C6254" t="s">
        <v>898</v>
      </c>
    </row>
    <row r="6255">
      <c r="C6255" t="s">
        <v>898</v>
      </c>
    </row>
    <row r="6256">
      <c r="C6256" t="s">
        <v>898</v>
      </c>
    </row>
    <row r="6257">
      <c r="C6257" t="s">
        <v>898</v>
      </c>
    </row>
    <row r="6258">
      <c r="C6258" t="s">
        <v>898</v>
      </c>
    </row>
    <row r="6259">
      <c r="C6259" t="s">
        <v>898</v>
      </c>
    </row>
    <row r="6260">
      <c r="C6260" t="s">
        <v>898</v>
      </c>
    </row>
    <row r="6261">
      <c r="C6261" t="s">
        <v>898</v>
      </c>
    </row>
    <row r="6262">
      <c r="C6262" t="s">
        <v>898</v>
      </c>
    </row>
    <row r="6263">
      <c r="C6263" t="s">
        <v>898</v>
      </c>
    </row>
    <row r="6264">
      <c r="C6264" t="s">
        <v>898</v>
      </c>
    </row>
    <row r="6265">
      <c r="C6265" t="s">
        <v>898</v>
      </c>
    </row>
    <row r="6266">
      <c r="C6266" t="s">
        <v>898</v>
      </c>
    </row>
    <row r="6267">
      <c r="C6267" t="s">
        <v>898</v>
      </c>
    </row>
    <row r="6268">
      <c r="C6268" t="s">
        <v>898</v>
      </c>
    </row>
    <row r="6269">
      <c r="C6269" t="s">
        <v>898</v>
      </c>
    </row>
    <row r="6270">
      <c r="C6270" t="s">
        <v>898</v>
      </c>
    </row>
    <row r="6271">
      <c r="C6271" t="s">
        <v>898</v>
      </c>
    </row>
    <row r="6272">
      <c r="C6272" t="s">
        <v>898</v>
      </c>
    </row>
    <row r="6273">
      <c r="C6273" t="s">
        <v>898</v>
      </c>
    </row>
    <row r="6274">
      <c r="C6274" t="s">
        <v>898</v>
      </c>
    </row>
    <row r="6275">
      <c r="C6275" t="s">
        <v>898</v>
      </c>
    </row>
    <row r="6276">
      <c r="C6276" t="s">
        <v>898</v>
      </c>
    </row>
    <row r="6277">
      <c r="C6277" t="s">
        <v>898</v>
      </c>
    </row>
    <row r="6278">
      <c r="C6278" t="s">
        <v>898</v>
      </c>
    </row>
    <row r="6279">
      <c r="C6279" t="s">
        <v>898</v>
      </c>
    </row>
    <row r="6280">
      <c r="C6280" t="s">
        <v>898</v>
      </c>
    </row>
    <row r="6281">
      <c r="C6281" t="s">
        <v>898</v>
      </c>
    </row>
    <row r="6282">
      <c r="C6282" t="s">
        <v>898</v>
      </c>
    </row>
    <row r="6283">
      <c r="C6283" t="s">
        <v>898</v>
      </c>
    </row>
    <row r="6284">
      <c r="C6284" t="s">
        <v>898</v>
      </c>
    </row>
    <row r="6285">
      <c r="C6285" t="s">
        <v>898</v>
      </c>
    </row>
    <row r="6286">
      <c r="C6286" t="s">
        <v>898</v>
      </c>
    </row>
    <row r="6287">
      <c r="C6287" t="s">
        <v>898</v>
      </c>
    </row>
    <row r="6288">
      <c r="C6288" t="s">
        <v>898</v>
      </c>
    </row>
    <row r="6289">
      <c r="C6289" t="s">
        <v>898</v>
      </c>
    </row>
    <row r="6290">
      <c r="C6290" t="s">
        <v>898</v>
      </c>
    </row>
    <row r="6291">
      <c r="C6291" t="s">
        <v>898</v>
      </c>
    </row>
    <row r="6292">
      <c r="C6292" t="s">
        <v>898</v>
      </c>
    </row>
    <row r="6293">
      <c r="C6293" t="s">
        <v>898</v>
      </c>
    </row>
    <row r="6294">
      <c r="C6294" t="s">
        <v>898</v>
      </c>
    </row>
    <row r="6295">
      <c r="C6295" t="s">
        <v>898</v>
      </c>
    </row>
    <row r="6296">
      <c r="C6296" t="s">
        <v>898</v>
      </c>
    </row>
    <row r="6297">
      <c r="C6297" t="s">
        <v>898</v>
      </c>
    </row>
    <row r="6298">
      <c r="C6298" t="s">
        <v>898</v>
      </c>
    </row>
    <row r="6299">
      <c r="C6299" t="s">
        <v>898</v>
      </c>
    </row>
    <row r="6300">
      <c r="C6300" t="s">
        <v>898</v>
      </c>
    </row>
    <row r="6301">
      <c r="C6301" t="s">
        <v>898</v>
      </c>
    </row>
    <row r="6302">
      <c r="C6302" t="s">
        <v>898</v>
      </c>
    </row>
    <row r="6303">
      <c r="C6303" t="s">
        <v>898</v>
      </c>
    </row>
    <row r="6304">
      <c r="C6304" t="s">
        <v>898</v>
      </c>
    </row>
    <row r="6305">
      <c r="C6305" t="s">
        <v>898</v>
      </c>
    </row>
    <row r="6306">
      <c r="C6306" t="s">
        <v>898</v>
      </c>
    </row>
    <row r="6307">
      <c r="C6307" t="s">
        <v>898</v>
      </c>
    </row>
    <row r="6308">
      <c r="C6308" t="s">
        <v>898</v>
      </c>
    </row>
    <row r="6309">
      <c r="C6309" t="s">
        <v>898</v>
      </c>
    </row>
    <row r="6310">
      <c r="C6310" t="s">
        <v>898</v>
      </c>
    </row>
    <row r="6311">
      <c r="C6311" t="s">
        <v>898</v>
      </c>
    </row>
    <row r="6312">
      <c r="C6312" t="s">
        <v>898</v>
      </c>
    </row>
    <row r="6313">
      <c r="C6313" t="s">
        <v>898</v>
      </c>
    </row>
    <row r="6314">
      <c r="C6314" t="s">
        <v>898</v>
      </c>
    </row>
    <row r="6315">
      <c r="C6315" t="s">
        <v>898</v>
      </c>
    </row>
    <row r="6316">
      <c r="C6316" t="s">
        <v>898</v>
      </c>
    </row>
    <row r="6317">
      <c r="C6317" t="s">
        <v>898</v>
      </c>
    </row>
    <row r="6318">
      <c r="C6318" t="s">
        <v>898</v>
      </c>
    </row>
    <row r="6319">
      <c r="C6319" t="s">
        <v>898</v>
      </c>
    </row>
    <row r="6320">
      <c r="C6320" t="s">
        <v>898</v>
      </c>
    </row>
    <row r="6321">
      <c r="C6321" t="s">
        <v>898</v>
      </c>
    </row>
    <row r="6322">
      <c r="C6322" t="s">
        <v>898</v>
      </c>
    </row>
    <row r="6323">
      <c r="C6323" t="s">
        <v>898</v>
      </c>
    </row>
    <row r="6324">
      <c r="C6324" t="s">
        <v>898</v>
      </c>
    </row>
    <row r="6325">
      <c r="C6325" t="s">
        <v>898</v>
      </c>
    </row>
    <row r="6326">
      <c r="C6326" t="s">
        <v>898</v>
      </c>
    </row>
    <row r="6327">
      <c r="C6327" t="s">
        <v>898</v>
      </c>
    </row>
    <row r="6328">
      <c r="C6328" t="s">
        <v>898</v>
      </c>
    </row>
    <row r="6329">
      <c r="C6329" t="s">
        <v>898</v>
      </c>
    </row>
    <row r="6330">
      <c r="C6330" t="s">
        <v>898</v>
      </c>
    </row>
    <row r="6331">
      <c r="C6331" t="s">
        <v>898</v>
      </c>
    </row>
    <row r="6332">
      <c r="C6332" t="s">
        <v>898</v>
      </c>
    </row>
    <row r="6333">
      <c r="C6333" t="s">
        <v>898</v>
      </c>
    </row>
    <row r="6334">
      <c r="C6334" t="s">
        <v>898</v>
      </c>
    </row>
    <row r="6335">
      <c r="C6335" t="s">
        <v>898</v>
      </c>
    </row>
    <row r="6336">
      <c r="C6336" t="s">
        <v>898</v>
      </c>
    </row>
    <row r="6337">
      <c r="C6337" t="s">
        <v>898</v>
      </c>
    </row>
    <row r="6338">
      <c r="C6338" t="s">
        <v>898</v>
      </c>
    </row>
    <row r="6339">
      <c r="C6339" t="s">
        <v>898</v>
      </c>
    </row>
    <row r="6340">
      <c r="C6340" t="s">
        <v>898</v>
      </c>
    </row>
    <row r="6341">
      <c r="C6341" t="s">
        <v>898</v>
      </c>
    </row>
    <row r="6342">
      <c r="C6342" t="s">
        <v>898</v>
      </c>
    </row>
    <row r="6343">
      <c r="C6343" t="s">
        <v>898</v>
      </c>
    </row>
    <row r="6344">
      <c r="C6344" t="s">
        <v>898</v>
      </c>
    </row>
    <row r="6345">
      <c r="C6345" t="s">
        <v>898</v>
      </c>
    </row>
    <row r="6346">
      <c r="C6346" t="s">
        <v>898</v>
      </c>
    </row>
    <row r="6347">
      <c r="C6347" t="s">
        <v>898</v>
      </c>
    </row>
    <row r="6348">
      <c r="C6348" t="s">
        <v>898</v>
      </c>
    </row>
    <row r="6349">
      <c r="C6349" t="s">
        <v>898</v>
      </c>
    </row>
    <row r="6350">
      <c r="C6350" t="s">
        <v>898</v>
      </c>
    </row>
    <row r="6351">
      <c r="C6351" t="s">
        <v>898</v>
      </c>
    </row>
    <row r="6352">
      <c r="C6352" t="s">
        <v>898</v>
      </c>
    </row>
    <row r="6353">
      <c r="C6353" t="s">
        <v>898</v>
      </c>
    </row>
    <row r="6354">
      <c r="C6354" t="s">
        <v>898</v>
      </c>
    </row>
    <row r="6355">
      <c r="C6355" t="s">
        <v>898</v>
      </c>
    </row>
    <row r="6356">
      <c r="C6356" t="s">
        <v>898</v>
      </c>
    </row>
    <row r="6357">
      <c r="C6357" t="s">
        <v>898</v>
      </c>
    </row>
    <row r="6358">
      <c r="C6358" t="s">
        <v>898</v>
      </c>
    </row>
    <row r="6359">
      <c r="C6359" t="s">
        <v>898</v>
      </c>
    </row>
    <row r="6360">
      <c r="C6360" t="s">
        <v>898</v>
      </c>
    </row>
    <row r="6361">
      <c r="C6361" t="s">
        <v>898</v>
      </c>
    </row>
    <row r="6362">
      <c r="C6362" t="s">
        <v>898</v>
      </c>
    </row>
    <row r="6363">
      <c r="C6363" t="s">
        <v>898</v>
      </c>
    </row>
    <row r="6364">
      <c r="C6364" t="s">
        <v>898</v>
      </c>
    </row>
    <row r="6365">
      <c r="C6365" t="s">
        <v>898</v>
      </c>
    </row>
    <row r="6366">
      <c r="C6366" t="s">
        <v>898</v>
      </c>
    </row>
    <row r="6367">
      <c r="C6367" t="s">
        <v>898</v>
      </c>
    </row>
    <row r="6368">
      <c r="C6368" t="s">
        <v>898</v>
      </c>
    </row>
    <row r="6369">
      <c r="C6369" t="s">
        <v>898</v>
      </c>
    </row>
    <row r="6370">
      <c r="C6370" t="s">
        <v>898</v>
      </c>
    </row>
    <row r="6371">
      <c r="C6371" t="s">
        <v>898</v>
      </c>
    </row>
    <row r="6372">
      <c r="C6372" t="s">
        <v>898</v>
      </c>
    </row>
    <row r="6373">
      <c r="C6373" t="s">
        <v>898</v>
      </c>
    </row>
    <row r="6374">
      <c r="C6374" t="s">
        <v>898</v>
      </c>
    </row>
    <row r="6375">
      <c r="C6375" t="s">
        <v>898</v>
      </c>
    </row>
    <row r="6376">
      <c r="C6376" t="s">
        <v>898</v>
      </c>
    </row>
    <row r="6377">
      <c r="C6377" t="s">
        <v>898</v>
      </c>
    </row>
    <row r="6378">
      <c r="C6378" t="s">
        <v>898</v>
      </c>
    </row>
    <row r="6379">
      <c r="C6379" t="s">
        <v>898</v>
      </c>
    </row>
    <row r="6380">
      <c r="C6380" t="s">
        <v>898</v>
      </c>
    </row>
    <row r="6381">
      <c r="C6381" t="s">
        <v>898</v>
      </c>
    </row>
    <row r="6382">
      <c r="C6382" t="s">
        <v>898</v>
      </c>
    </row>
    <row r="6383">
      <c r="C6383" t="s">
        <v>898</v>
      </c>
    </row>
    <row r="6384">
      <c r="C6384" t="s">
        <v>898</v>
      </c>
    </row>
    <row r="6385">
      <c r="C6385" t="s">
        <v>898</v>
      </c>
    </row>
    <row r="6386">
      <c r="C6386" t="s">
        <v>898</v>
      </c>
    </row>
    <row r="6387">
      <c r="C6387" t="s">
        <v>898</v>
      </c>
    </row>
    <row r="6388">
      <c r="C6388" t="s">
        <v>898</v>
      </c>
    </row>
    <row r="6389">
      <c r="C6389" t="s">
        <v>898</v>
      </c>
    </row>
    <row r="6390">
      <c r="C6390" t="s">
        <v>898</v>
      </c>
    </row>
    <row r="6391">
      <c r="C6391" t="s">
        <v>898</v>
      </c>
    </row>
    <row r="6392">
      <c r="C6392" t="s">
        <v>898</v>
      </c>
    </row>
    <row r="6393">
      <c r="C6393" t="s">
        <v>898</v>
      </c>
    </row>
    <row r="6394">
      <c r="C6394" t="s">
        <v>898</v>
      </c>
    </row>
    <row r="6395">
      <c r="C6395" t="s">
        <v>898</v>
      </c>
    </row>
    <row r="6396">
      <c r="C6396" t="s">
        <v>898</v>
      </c>
    </row>
    <row r="6397">
      <c r="C6397" t="s">
        <v>898</v>
      </c>
    </row>
    <row r="6398">
      <c r="C6398" t="s">
        <v>898</v>
      </c>
    </row>
    <row r="6399">
      <c r="C6399" t="s">
        <v>898</v>
      </c>
    </row>
    <row r="6400">
      <c r="C6400" t="s">
        <v>898</v>
      </c>
    </row>
    <row r="6401">
      <c r="C6401" t="s">
        <v>898</v>
      </c>
    </row>
    <row r="6402">
      <c r="C6402" t="s">
        <v>898</v>
      </c>
    </row>
    <row r="6403">
      <c r="C6403" t="s">
        <v>898</v>
      </c>
    </row>
    <row r="6404">
      <c r="C6404" t="s">
        <v>898</v>
      </c>
    </row>
    <row r="6405">
      <c r="C6405" t="s">
        <v>898</v>
      </c>
    </row>
    <row r="6406">
      <c r="C6406" t="s">
        <v>898</v>
      </c>
    </row>
    <row r="6407">
      <c r="C6407" t="s">
        <v>898</v>
      </c>
    </row>
    <row r="6408">
      <c r="C6408" t="s">
        <v>898</v>
      </c>
    </row>
    <row r="6409">
      <c r="C6409" t="s">
        <v>898</v>
      </c>
    </row>
    <row r="6410">
      <c r="C6410" t="s">
        <v>898</v>
      </c>
    </row>
    <row r="6411">
      <c r="C6411" t="s">
        <v>898</v>
      </c>
    </row>
    <row r="6412">
      <c r="C6412" t="s">
        <v>898</v>
      </c>
    </row>
    <row r="6413">
      <c r="C6413" t="s">
        <v>898</v>
      </c>
    </row>
    <row r="6414">
      <c r="C6414" t="s">
        <v>898</v>
      </c>
    </row>
    <row r="6415">
      <c r="C6415" t="s">
        <v>898</v>
      </c>
    </row>
    <row r="6416">
      <c r="C6416" t="s">
        <v>898</v>
      </c>
    </row>
    <row r="6417">
      <c r="C6417" t="s">
        <v>898</v>
      </c>
    </row>
    <row r="6418">
      <c r="C6418" t="s">
        <v>898</v>
      </c>
    </row>
    <row r="6419">
      <c r="C6419" t="s">
        <v>898</v>
      </c>
    </row>
    <row r="6420">
      <c r="C6420" t="s">
        <v>898</v>
      </c>
    </row>
    <row r="6421">
      <c r="C6421" t="s">
        <v>898</v>
      </c>
    </row>
    <row r="6422">
      <c r="C6422" t="s">
        <v>898</v>
      </c>
    </row>
    <row r="6423">
      <c r="C6423" t="s">
        <v>898</v>
      </c>
    </row>
    <row r="6424">
      <c r="C6424" t="s">
        <v>898</v>
      </c>
    </row>
    <row r="6425">
      <c r="C6425" t="s">
        <v>898</v>
      </c>
    </row>
    <row r="6426">
      <c r="C6426" t="s">
        <v>898</v>
      </c>
    </row>
    <row r="6427">
      <c r="C6427" t="s">
        <v>898</v>
      </c>
    </row>
    <row r="6428">
      <c r="C6428" t="s">
        <v>898</v>
      </c>
    </row>
    <row r="6429">
      <c r="C6429" t="s">
        <v>898</v>
      </c>
    </row>
    <row r="6430">
      <c r="C6430" t="s">
        <v>898</v>
      </c>
    </row>
    <row r="6431">
      <c r="C6431" t="s">
        <v>898</v>
      </c>
    </row>
    <row r="6432">
      <c r="C6432" t="s">
        <v>898</v>
      </c>
    </row>
    <row r="6433">
      <c r="C6433" t="s">
        <v>898</v>
      </c>
    </row>
    <row r="6434">
      <c r="C6434" t="s">
        <v>898</v>
      </c>
    </row>
    <row r="6435">
      <c r="C6435" t="s">
        <v>898</v>
      </c>
    </row>
    <row r="6436">
      <c r="C6436" t="s">
        <v>898</v>
      </c>
    </row>
    <row r="6437">
      <c r="C6437" t="s">
        <v>898</v>
      </c>
    </row>
    <row r="6438">
      <c r="C6438" t="s">
        <v>898</v>
      </c>
    </row>
    <row r="6439">
      <c r="C6439" t="s">
        <v>898</v>
      </c>
    </row>
    <row r="6440">
      <c r="C6440" t="s">
        <v>898</v>
      </c>
    </row>
    <row r="6441">
      <c r="C6441" t="s">
        <v>898</v>
      </c>
    </row>
    <row r="6442">
      <c r="C6442" t="s">
        <v>898</v>
      </c>
    </row>
    <row r="6443">
      <c r="C6443" t="s">
        <v>898</v>
      </c>
    </row>
    <row r="6444">
      <c r="C6444" t="s">
        <v>898</v>
      </c>
    </row>
    <row r="6445">
      <c r="C6445" t="s">
        <v>898</v>
      </c>
    </row>
    <row r="6446">
      <c r="C6446" t="s">
        <v>898</v>
      </c>
    </row>
    <row r="6447">
      <c r="C6447" t="s">
        <v>898</v>
      </c>
    </row>
    <row r="6448">
      <c r="C6448" t="s">
        <v>898</v>
      </c>
    </row>
    <row r="6449">
      <c r="C6449" t="s">
        <v>898</v>
      </c>
    </row>
    <row r="6450">
      <c r="C6450" t="s">
        <v>898</v>
      </c>
    </row>
    <row r="6451">
      <c r="C6451" t="s">
        <v>898</v>
      </c>
    </row>
    <row r="6452">
      <c r="C6452" t="s">
        <v>898</v>
      </c>
    </row>
    <row r="6453">
      <c r="C6453" t="s">
        <v>898</v>
      </c>
    </row>
    <row r="6454">
      <c r="C6454" t="s">
        <v>898</v>
      </c>
    </row>
    <row r="6455">
      <c r="C6455" t="s">
        <v>898</v>
      </c>
    </row>
    <row r="6456">
      <c r="C6456" t="s">
        <v>898</v>
      </c>
    </row>
    <row r="6457">
      <c r="C6457" t="s">
        <v>898</v>
      </c>
    </row>
    <row r="6458">
      <c r="C6458" t="s">
        <v>898</v>
      </c>
    </row>
    <row r="6459">
      <c r="C6459" t="s">
        <v>898</v>
      </c>
    </row>
    <row r="6460">
      <c r="C6460" t="s">
        <v>898</v>
      </c>
    </row>
    <row r="6461">
      <c r="C6461" t="s">
        <v>898</v>
      </c>
    </row>
    <row r="6462">
      <c r="C6462" t="s">
        <v>898</v>
      </c>
    </row>
    <row r="6463">
      <c r="C6463" t="s">
        <v>898</v>
      </c>
    </row>
    <row r="6464">
      <c r="C6464" t="s">
        <v>898</v>
      </c>
    </row>
    <row r="6465">
      <c r="C6465" t="s">
        <v>898</v>
      </c>
    </row>
    <row r="6466">
      <c r="C6466" t="s">
        <v>898</v>
      </c>
    </row>
    <row r="6467">
      <c r="C6467" t="s">
        <v>898</v>
      </c>
    </row>
    <row r="6468">
      <c r="C6468" t="s">
        <v>898</v>
      </c>
    </row>
    <row r="6469">
      <c r="C6469" t="s">
        <v>898</v>
      </c>
    </row>
    <row r="6470">
      <c r="C6470" t="s">
        <v>898</v>
      </c>
    </row>
    <row r="6471">
      <c r="C6471" t="s">
        <v>898</v>
      </c>
    </row>
    <row r="6472">
      <c r="C6472" t="s">
        <v>898</v>
      </c>
    </row>
    <row r="6473">
      <c r="C6473" t="s">
        <v>898</v>
      </c>
    </row>
    <row r="6474">
      <c r="C6474" t="s">
        <v>898</v>
      </c>
    </row>
    <row r="6475">
      <c r="C6475" t="s">
        <v>898</v>
      </c>
    </row>
    <row r="6476">
      <c r="C6476" t="s">
        <v>898</v>
      </c>
    </row>
    <row r="6477">
      <c r="C6477" t="s">
        <v>898</v>
      </c>
    </row>
    <row r="6478">
      <c r="C6478" t="s">
        <v>898</v>
      </c>
    </row>
    <row r="6479">
      <c r="C6479" t="s">
        <v>898</v>
      </c>
    </row>
    <row r="6480">
      <c r="C6480" t="s">
        <v>898</v>
      </c>
    </row>
    <row r="6481">
      <c r="C6481" t="s">
        <v>898</v>
      </c>
    </row>
    <row r="6482">
      <c r="C6482" t="s">
        <v>898</v>
      </c>
    </row>
    <row r="6483">
      <c r="C6483" t="s">
        <v>898</v>
      </c>
    </row>
    <row r="6484">
      <c r="C6484" t="s">
        <v>898</v>
      </c>
    </row>
    <row r="6485">
      <c r="C6485" t="s">
        <v>898</v>
      </c>
    </row>
    <row r="6486">
      <c r="C6486" t="s">
        <v>898</v>
      </c>
    </row>
    <row r="6487">
      <c r="C6487" t="s">
        <v>898</v>
      </c>
    </row>
    <row r="6488">
      <c r="C6488" t="s">
        <v>898</v>
      </c>
    </row>
    <row r="6489">
      <c r="C6489" t="s">
        <v>898</v>
      </c>
    </row>
    <row r="6490">
      <c r="C6490" t="s">
        <v>898</v>
      </c>
    </row>
    <row r="6491">
      <c r="C6491" t="s">
        <v>898</v>
      </c>
    </row>
    <row r="6492">
      <c r="C6492" t="s">
        <v>898</v>
      </c>
    </row>
    <row r="6493">
      <c r="C6493" t="s">
        <v>898</v>
      </c>
    </row>
    <row r="6494">
      <c r="C6494" t="s">
        <v>898</v>
      </c>
    </row>
    <row r="6495">
      <c r="C6495" t="s">
        <v>898</v>
      </c>
    </row>
    <row r="6496">
      <c r="C6496" t="s">
        <v>898</v>
      </c>
    </row>
    <row r="6497">
      <c r="C6497" t="s">
        <v>898</v>
      </c>
    </row>
    <row r="6498">
      <c r="C6498" t="s">
        <v>898</v>
      </c>
    </row>
    <row r="6499">
      <c r="C6499" t="s">
        <v>898</v>
      </c>
    </row>
    <row r="6500">
      <c r="C6500" t="s">
        <v>898</v>
      </c>
    </row>
    <row r="6501">
      <c r="C6501" t="s">
        <v>898</v>
      </c>
    </row>
    <row r="6502">
      <c r="C6502" t="s">
        <v>898</v>
      </c>
    </row>
    <row r="6503">
      <c r="C6503" t="s">
        <v>898</v>
      </c>
    </row>
    <row r="6504">
      <c r="C6504" t="s">
        <v>898</v>
      </c>
    </row>
    <row r="6505">
      <c r="C6505" t="s">
        <v>898</v>
      </c>
    </row>
    <row r="6506">
      <c r="C6506" t="s">
        <v>898</v>
      </c>
    </row>
    <row r="6507">
      <c r="C6507" t="s">
        <v>898</v>
      </c>
    </row>
    <row r="6508">
      <c r="C6508" t="s">
        <v>898</v>
      </c>
    </row>
    <row r="6509">
      <c r="C6509" t="s">
        <v>898</v>
      </c>
    </row>
    <row r="6510">
      <c r="C6510" t="s">
        <v>898</v>
      </c>
    </row>
    <row r="6511">
      <c r="C6511" t="s">
        <v>898</v>
      </c>
    </row>
    <row r="6512">
      <c r="C6512" t="s">
        <v>898</v>
      </c>
    </row>
    <row r="6513">
      <c r="C6513" t="s">
        <v>898</v>
      </c>
    </row>
    <row r="6514">
      <c r="C6514" t="s">
        <v>898</v>
      </c>
    </row>
    <row r="6515">
      <c r="C6515" t="s">
        <v>898</v>
      </c>
    </row>
    <row r="6516">
      <c r="C6516" t="s">
        <v>898</v>
      </c>
    </row>
    <row r="6517">
      <c r="C6517" t="s">
        <v>898</v>
      </c>
    </row>
    <row r="6518">
      <c r="C6518" t="s">
        <v>898</v>
      </c>
    </row>
    <row r="6519">
      <c r="C6519" t="s">
        <v>898</v>
      </c>
    </row>
    <row r="6520">
      <c r="C6520" t="s">
        <v>898</v>
      </c>
    </row>
    <row r="6521">
      <c r="C6521" t="s">
        <v>898</v>
      </c>
    </row>
    <row r="6522">
      <c r="C6522" t="s">
        <v>898</v>
      </c>
    </row>
    <row r="6523">
      <c r="C6523" t="s">
        <v>898</v>
      </c>
    </row>
    <row r="6524">
      <c r="C6524" t="s">
        <v>898</v>
      </c>
    </row>
    <row r="6525">
      <c r="C6525" t="s">
        <v>898</v>
      </c>
    </row>
    <row r="6526">
      <c r="C6526" t="s">
        <v>898</v>
      </c>
    </row>
    <row r="6527">
      <c r="C6527" t="s">
        <v>898</v>
      </c>
    </row>
    <row r="6528">
      <c r="C6528" t="s">
        <v>898</v>
      </c>
    </row>
    <row r="6529">
      <c r="C6529" t="s">
        <v>898</v>
      </c>
    </row>
    <row r="6530">
      <c r="C6530" t="s">
        <v>898</v>
      </c>
    </row>
    <row r="6531">
      <c r="C6531" t="s">
        <v>898</v>
      </c>
    </row>
    <row r="6532">
      <c r="C6532" t="s">
        <v>898</v>
      </c>
    </row>
    <row r="6533">
      <c r="C6533" t="s">
        <v>898</v>
      </c>
    </row>
    <row r="6534">
      <c r="C6534" t="s">
        <v>898</v>
      </c>
    </row>
    <row r="6535">
      <c r="C6535" t="s">
        <v>898</v>
      </c>
    </row>
    <row r="6536">
      <c r="C6536" t="s">
        <v>898</v>
      </c>
    </row>
    <row r="6537">
      <c r="C6537" t="s">
        <v>898</v>
      </c>
    </row>
    <row r="6538">
      <c r="C6538" t="s">
        <v>898</v>
      </c>
    </row>
    <row r="6539">
      <c r="C6539" t="s">
        <v>898</v>
      </c>
    </row>
    <row r="6540">
      <c r="C6540" t="s">
        <v>898</v>
      </c>
    </row>
    <row r="6541">
      <c r="C6541" t="s">
        <v>898</v>
      </c>
    </row>
    <row r="6542">
      <c r="C6542" t="s">
        <v>898</v>
      </c>
    </row>
    <row r="6543">
      <c r="C6543" t="s">
        <v>898</v>
      </c>
    </row>
    <row r="6544">
      <c r="C6544" t="s">
        <v>898</v>
      </c>
    </row>
    <row r="6545">
      <c r="C6545" t="s">
        <v>898</v>
      </c>
    </row>
    <row r="6546">
      <c r="C6546" t="s">
        <v>898</v>
      </c>
    </row>
    <row r="6547">
      <c r="C6547" t="s">
        <v>898</v>
      </c>
    </row>
    <row r="6548">
      <c r="C6548" t="s">
        <v>898</v>
      </c>
    </row>
    <row r="6549">
      <c r="C6549" t="s">
        <v>898</v>
      </c>
    </row>
    <row r="6550">
      <c r="C6550" t="s">
        <v>898</v>
      </c>
    </row>
    <row r="6551">
      <c r="C6551" t="s">
        <v>898</v>
      </c>
    </row>
    <row r="6552">
      <c r="C6552" t="s">
        <v>898</v>
      </c>
    </row>
    <row r="6553">
      <c r="C6553" t="s">
        <v>898</v>
      </c>
    </row>
    <row r="6554">
      <c r="C6554" t="s">
        <v>898</v>
      </c>
    </row>
    <row r="6555">
      <c r="C6555" t="s">
        <v>898</v>
      </c>
    </row>
    <row r="6556">
      <c r="C6556" t="s">
        <v>898</v>
      </c>
    </row>
    <row r="6557">
      <c r="C6557" t="s">
        <v>898</v>
      </c>
    </row>
    <row r="6558">
      <c r="C6558" t="s">
        <v>898</v>
      </c>
    </row>
    <row r="6559">
      <c r="C6559" t="s">
        <v>898</v>
      </c>
    </row>
    <row r="6560">
      <c r="C6560" t="s">
        <v>898</v>
      </c>
    </row>
    <row r="6561">
      <c r="C6561" t="s">
        <v>898</v>
      </c>
    </row>
    <row r="6562">
      <c r="C6562" t="s">
        <v>898</v>
      </c>
    </row>
    <row r="6563">
      <c r="C6563" t="s">
        <v>898</v>
      </c>
    </row>
    <row r="6564">
      <c r="C6564" t="s">
        <v>898</v>
      </c>
    </row>
    <row r="6565">
      <c r="C6565" t="s">
        <v>898</v>
      </c>
    </row>
    <row r="6566">
      <c r="C6566" t="s">
        <v>898</v>
      </c>
    </row>
    <row r="6567">
      <c r="C6567" t="s">
        <v>898</v>
      </c>
    </row>
    <row r="6568">
      <c r="C6568" t="s">
        <v>898</v>
      </c>
    </row>
    <row r="6569">
      <c r="C6569" t="s">
        <v>898</v>
      </c>
    </row>
    <row r="6570">
      <c r="C6570" t="s">
        <v>898</v>
      </c>
    </row>
    <row r="6571">
      <c r="C6571" t="s">
        <v>898</v>
      </c>
    </row>
    <row r="6572">
      <c r="C6572" t="s">
        <v>898</v>
      </c>
    </row>
    <row r="6573">
      <c r="C6573" t="s">
        <v>898</v>
      </c>
    </row>
    <row r="6574">
      <c r="C6574" t="s">
        <v>898</v>
      </c>
    </row>
    <row r="6575">
      <c r="C6575" t="s">
        <v>898</v>
      </c>
    </row>
    <row r="6576">
      <c r="C6576" t="s">
        <v>898</v>
      </c>
    </row>
    <row r="6577">
      <c r="C6577" t="s">
        <v>898</v>
      </c>
    </row>
    <row r="6578">
      <c r="C6578" t="s">
        <v>898</v>
      </c>
    </row>
    <row r="6579">
      <c r="C6579" t="s">
        <v>898</v>
      </c>
    </row>
    <row r="6580">
      <c r="C6580" t="s">
        <v>898</v>
      </c>
    </row>
    <row r="6581">
      <c r="C6581" t="s">
        <v>898</v>
      </c>
    </row>
    <row r="6582">
      <c r="C6582" t="s">
        <v>898</v>
      </c>
    </row>
    <row r="6583">
      <c r="C6583" t="s">
        <v>898</v>
      </c>
    </row>
    <row r="6584">
      <c r="C6584" t="s">
        <v>898</v>
      </c>
    </row>
    <row r="6585">
      <c r="C6585" t="s">
        <v>898</v>
      </c>
    </row>
    <row r="6586">
      <c r="C6586" t="s">
        <v>898</v>
      </c>
    </row>
    <row r="6587">
      <c r="C6587" t="s">
        <v>898</v>
      </c>
    </row>
    <row r="6588">
      <c r="C6588" t="s">
        <v>898</v>
      </c>
    </row>
    <row r="6589">
      <c r="C6589" t="s">
        <v>898</v>
      </c>
    </row>
    <row r="6590">
      <c r="C6590" t="s">
        <v>898</v>
      </c>
    </row>
    <row r="6591">
      <c r="C6591" t="s">
        <v>898</v>
      </c>
    </row>
    <row r="6592">
      <c r="C6592" t="s">
        <v>898</v>
      </c>
    </row>
    <row r="6593">
      <c r="C6593" t="s">
        <v>898</v>
      </c>
    </row>
    <row r="6594">
      <c r="C6594" t="s">
        <v>898</v>
      </c>
    </row>
    <row r="6595">
      <c r="C6595" t="s">
        <v>898</v>
      </c>
    </row>
    <row r="6596">
      <c r="C6596" t="s">
        <v>898</v>
      </c>
    </row>
    <row r="6597">
      <c r="C6597" t="s">
        <v>898</v>
      </c>
    </row>
    <row r="6598">
      <c r="C6598" t="s">
        <v>898</v>
      </c>
    </row>
    <row r="6599">
      <c r="C6599" t="s">
        <v>898</v>
      </c>
    </row>
    <row r="6600">
      <c r="C6600" t="s">
        <v>898</v>
      </c>
    </row>
    <row r="6601">
      <c r="C6601" t="s">
        <v>898</v>
      </c>
    </row>
    <row r="6602">
      <c r="C6602" t="s">
        <v>898</v>
      </c>
    </row>
    <row r="6603">
      <c r="C6603" t="s">
        <v>898</v>
      </c>
    </row>
    <row r="6604">
      <c r="C6604" t="s">
        <v>898</v>
      </c>
    </row>
    <row r="6605">
      <c r="C6605" t="s">
        <v>898</v>
      </c>
    </row>
    <row r="6606">
      <c r="C6606" t="s">
        <v>898</v>
      </c>
    </row>
    <row r="6607">
      <c r="C6607" t="s">
        <v>898</v>
      </c>
    </row>
    <row r="6608">
      <c r="C6608" t="s">
        <v>898</v>
      </c>
    </row>
    <row r="6609">
      <c r="C6609" t="s">
        <v>898</v>
      </c>
    </row>
    <row r="6610">
      <c r="C6610" t="s">
        <v>898</v>
      </c>
    </row>
    <row r="6611">
      <c r="C6611" t="s">
        <v>898</v>
      </c>
    </row>
    <row r="6612">
      <c r="C6612" t="s">
        <v>898</v>
      </c>
    </row>
    <row r="6613">
      <c r="C6613" t="s">
        <v>898</v>
      </c>
    </row>
    <row r="6614">
      <c r="C6614" t="s">
        <v>898</v>
      </c>
    </row>
    <row r="6615">
      <c r="C6615" t="s">
        <v>898</v>
      </c>
    </row>
    <row r="6616">
      <c r="C6616" t="s">
        <v>898</v>
      </c>
    </row>
    <row r="6617">
      <c r="C6617" t="s">
        <v>898</v>
      </c>
    </row>
    <row r="6618">
      <c r="C6618" t="s">
        <v>898</v>
      </c>
    </row>
    <row r="6619">
      <c r="C6619" t="s">
        <v>898</v>
      </c>
    </row>
    <row r="6620">
      <c r="C6620" t="s">
        <v>898</v>
      </c>
    </row>
    <row r="6621">
      <c r="C6621" t="s">
        <v>898</v>
      </c>
    </row>
    <row r="6622">
      <c r="C6622" t="s">
        <v>898</v>
      </c>
    </row>
    <row r="6623">
      <c r="C6623" t="s">
        <v>898</v>
      </c>
    </row>
    <row r="6624">
      <c r="C6624" t="s">
        <v>898</v>
      </c>
    </row>
    <row r="6625">
      <c r="C6625" t="s">
        <v>898</v>
      </c>
    </row>
    <row r="6626">
      <c r="C6626" t="s">
        <v>898</v>
      </c>
    </row>
    <row r="6627">
      <c r="C6627" t="s">
        <v>898</v>
      </c>
    </row>
    <row r="6628">
      <c r="C6628" t="s">
        <v>898</v>
      </c>
    </row>
    <row r="6629">
      <c r="C6629" t="s">
        <v>898</v>
      </c>
    </row>
    <row r="6630">
      <c r="C6630" t="s">
        <v>898</v>
      </c>
    </row>
    <row r="6631">
      <c r="C6631" t="s">
        <v>898</v>
      </c>
    </row>
    <row r="6632">
      <c r="C6632" t="s">
        <v>898</v>
      </c>
    </row>
    <row r="6633">
      <c r="C6633" t="s">
        <v>898</v>
      </c>
    </row>
    <row r="6634">
      <c r="C6634" t="s">
        <v>898</v>
      </c>
    </row>
    <row r="6635">
      <c r="C6635" t="s">
        <v>898</v>
      </c>
    </row>
    <row r="6636">
      <c r="C6636" t="s">
        <v>898</v>
      </c>
    </row>
    <row r="6637">
      <c r="C6637" t="s">
        <v>898</v>
      </c>
    </row>
    <row r="6638">
      <c r="C6638" t="s">
        <v>898</v>
      </c>
    </row>
    <row r="6639">
      <c r="C6639" t="s">
        <v>898</v>
      </c>
    </row>
    <row r="6640">
      <c r="C6640" t="s">
        <v>898</v>
      </c>
    </row>
    <row r="6641">
      <c r="C6641" t="s">
        <v>898</v>
      </c>
    </row>
    <row r="6642">
      <c r="C6642" t="s">
        <v>898</v>
      </c>
    </row>
    <row r="6643">
      <c r="C6643" t="s">
        <v>898</v>
      </c>
    </row>
    <row r="6644">
      <c r="C6644" t="s">
        <v>898</v>
      </c>
    </row>
    <row r="6645">
      <c r="C6645" t="s">
        <v>898</v>
      </c>
    </row>
    <row r="6646">
      <c r="C6646" t="s">
        <v>898</v>
      </c>
    </row>
    <row r="6647">
      <c r="C6647" t="s">
        <v>898</v>
      </c>
    </row>
    <row r="6648">
      <c r="C6648" t="s">
        <v>898</v>
      </c>
    </row>
    <row r="6649">
      <c r="C6649" t="s">
        <v>898</v>
      </c>
    </row>
    <row r="6650">
      <c r="C6650" t="s">
        <v>898</v>
      </c>
    </row>
    <row r="6651">
      <c r="C6651" t="s">
        <v>898</v>
      </c>
    </row>
    <row r="6652">
      <c r="C6652" t="s">
        <v>898</v>
      </c>
    </row>
    <row r="6653">
      <c r="C6653" t="s">
        <v>898</v>
      </c>
    </row>
    <row r="6654">
      <c r="C6654" t="s">
        <v>898</v>
      </c>
    </row>
    <row r="6655">
      <c r="C6655" t="s">
        <v>898</v>
      </c>
    </row>
    <row r="6656">
      <c r="C6656" t="s">
        <v>898</v>
      </c>
    </row>
    <row r="6657">
      <c r="C6657" t="s">
        <v>898</v>
      </c>
    </row>
    <row r="6658">
      <c r="C6658" t="s">
        <v>898</v>
      </c>
    </row>
    <row r="6659">
      <c r="C6659" t="s">
        <v>898</v>
      </c>
    </row>
    <row r="6660">
      <c r="C6660" t="s">
        <v>898</v>
      </c>
    </row>
    <row r="6661">
      <c r="C6661" t="s">
        <v>898</v>
      </c>
    </row>
    <row r="6662">
      <c r="C6662" t="s">
        <v>898</v>
      </c>
    </row>
    <row r="6663">
      <c r="C6663" t="s">
        <v>898</v>
      </c>
    </row>
    <row r="6664">
      <c r="C6664" t="s">
        <v>898</v>
      </c>
    </row>
    <row r="6665">
      <c r="C6665" t="s">
        <v>898</v>
      </c>
    </row>
    <row r="6666">
      <c r="C6666" t="s">
        <v>898</v>
      </c>
    </row>
    <row r="6667">
      <c r="C6667" t="s">
        <v>898</v>
      </c>
    </row>
    <row r="6668">
      <c r="C6668" t="s">
        <v>898</v>
      </c>
    </row>
    <row r="6669">
      <c r="C6669" t="s">
        <v>898</v>
      </c>
    </row>
    <row r="6670">
      <c r="C6670" t="s">
        <v>898</v>
      </c>
    </row>
    <row r="6671">
      <c r="C6671" t="s">
        <v>898</v>
      </c>
    </row>
    <row r="6672">
      <c r="C6672" t="s">
        <v>898</v>
      </c>
    </row>
    <row r="6673">
      <c r="C6673" t="s">
        <v>898</v>
      </c>
    </row>
    <row r="6674">
      <c r="C6674" t="s">
        <v>898</v>
      </c>
    </row>
    <row r="6675">
      <c r="C6675" t="s">
        <v>898</v>
      </c>
    </row>
    <row r="6676">
      <c r="C6676" t="s">
        <v>898</v>
      </c>
    </row>
    <row r="6677">
      <c r="C6677" t="s">
        <v>898</v>
      </c>
    </row>
    <row r="6678">
      <c r="C6678" t="s">
        <v>898</v>
      </c>
    </row>
    <row r="6679">
      <c r="C6679" t="s">
        <v>898</v>
      </c>
    </row>
    <row r="6680">
      <c r="C6680" t="s">
        <v>898</v>
      </c>
    </row>
    <row r="6681">
      <c r="C6681" t="s">
        <v>898</v>
      </c>
    </row>
    <row r="6682">
      <c r="C6682" t="s">
        <v>898</v>
      </c>
    </row>
    <row r="6683">
      <c r="C6683" t="s">
        <v>898</v>
      </c>
    </row>
    <row r="6684">
      <c r="C6684" t="s">
        <v>898</v>
      </c>
    </row>
    <row r="6685">
      <c r="C6685" t="s">
        <v>898</v>
      </c>
    </row>
    <row r="6686">
      <c r="C6686" t="s">
        <v>898</v>
      </c>
    </row>
    <row r="6687">
      <c r="C6687" t="s">
        <v>898</v>
      </c>
    </row>
    <row r="6688">
      <c r="C6688" t="s">
        <v>898</v>
      </c>
    </row>
    <row r="6689">
      <c r="C6689" t="s">
        <v>898</v>
      </c>
    </row>
    <row r="6690">
      <c r="C6690" t="s">
        <v>898</v>
      </c>
    </row>
    <row r="6691">
      <c r="C6691" t="s">
        <v>898</v>
      </c>
    </row>
    <row r="6692">
      <c r="C6692" t="s">
        <v>898</v>
      </c>
    </row>
    <row r="6693">
      <c r="C6693" t="s">
        <v>898</v>
      </c>
    </row>
    <row r="6694">
      <c r="C6694" t="s">
        <v>898</v>
      </c>
    </row>
    <row r="6695">
      <c r="C6695" t="s">
        <v>898</v>
      </c>
    </row>
    <row r="6696">
      <c r="C6696" t="s">
        <v>898</v>
      </c>
    </row>
    <row r="6697">
      <c r="C6697" t="s">
        <v>898</v>
      </c>
    </row>
    <row r="6698">
      <c r="C6698" t="s">
        <v>898</v>
      </c>
    </row>
    <row r="6699">
      <c r="C6699" t="s">
        <v>898</v>
      </c>
    </row>
    <row r="6700">
      <c r="C6700" t="s">
        <v>898</v>
      </c>
    </row>
    <row r="6701">
      <c r="C6701" t="s">
        <v>898</v>
      </c>
    </row>
    <row r="6702">
      <c r="C6702" t="s">
        <v>898</v>
      </c>
    </row>
    <row r="6703">
      <c r="C6703" t="s">
        <v>898</v>
      </c>
    </row>
    <row r="6704">
      <c r="C6704" t="s">
        <v>898</v>
      </c>
    </row>
    <row r="6705">
      <c r="C6705" t="s">
        <v>898</v>
      </c>
    </row>
    <row r="6706">
      <c r="C6706" t="s">
        <v>898</v>
      </c>
    </row>
    <row r="6707">
      <c r="C6707" t="s">
        <v>898</v>
      </c>
    </row>
    <row r="6708">
      <c r="C6708" t="s">
        <v>898</v>
      </c>
    </row>
    <row r="6709">
      <c r="C6709" t="s">
        <v>898</v>
      </c>
    </row>
    <row r="6710">
      <c r="C6710" t="s">
        <v>898</v>
      </c>
    </row>
    <row r="6711">
      <c r="C6711" t="s">
        <v>898</v>
      </c>
    </row>
    <row r="6712">
      <c r="C6712" t="s">
        <v>898</v>
      </c>
    </row>
    <row r="6713">
      <c r="C6713" t="s">
        <v>898</v>
      </c>
    </row>
    <row r="6714">
      <c r="C6714" t="s">
        <v>898</v>
      </c>
    </row>
    <row r="6715">
      <c r="C6715" t="s">
        <v>898</v>
      </c>
    </row>
    <row r="6716">
      <c r="C6716" t="s">
        <v>898</v>
      </c>
    </row>
    <row r="6717">
      <c r="C6717" t="s">
        <v>898</v>
      </c>
    </row>
    <row r="6718">
      <c r="C6718" t="s">
        <v>898</v>
      </c>
    </row>
    <row r="6719">
      <c r="C6719" t="s">
        <v>898</v>
      </c>
    </row>
    <row r="6720">
      <c r="C6720" t="s">
        <v>898</v>
      </c>
    </row>
    <row r="6721">
      <c r="C6721" t="s">
        <v>898</v>
      </c>
    </row>
    <row r="6722">
      <c r="C6722" t="s">
        <v>898</v>
      </c>
    </row>
    <row r="6723">
      <c r="C6723" t="s">
        <v>898</v>
      </c>
    </row>
    <row r="6724">
      <c r="C6724" t="s">
        <v>898</v>
      </c>
    </row>
    <row r="6725">
      <c r="C6725" t="s">
        <v>898</v>
      </c>
    </row>
    <row r="6726">
      <c r="C6726" t="s">
        <v>898</v>
      </c>
    </row>
    <row r="6727">
      <c r="C6727" t="s">
        <v>898</v>
      </c>
    </row>
    <row r="6728">
      <c r="C6728" t="s">
        <v>898</v>
      </c>
    </row>
    <row r="6729">
      <c r="C6729" t="s">
        <v>898</v>
      </c>
    </row>
    <row r="6730">
      <c r="C6730" t="s">
        <v>898</v>
      </c>
    </row>
    <row r="6731">
      <c r="C6731" t="s">
        <v>898</v>
      </c>
    </row>
    <row r="6732">
      <c r="C6732" t="s">
        <v>898</v>
      </c>
    </row>
    <row r="6733">
      <c r="C6733" t="s">
        <v>898</v>
      </c>
    </row>
    <row r="6734">
      <c r="C6734" t="s">
        <v>898</v>
      </c>
    </row>
    <row r="6735">
      <c r="C6735" t="s">
        <v>898</v>
      </c>
    </row>
    <row r="6736">
      <c r="C6736" t="s">
        <v>898</v>
      </c>
    </row>
    <row r="6737">
      <c r="C6737" t="s">
        <v>898</v>
      </c>
    </row>
    <row r="6738">
      <c r="C6738" t="s">
        <v>898</v>
      </c>
    </row>
    <row r="6739">
      <c r="C6739" t="s">
        <v>898</v>
      </c>
    </row>
    <row r="6740">
      <c r="C6740" t="s">
        <v>898</v>
      </c>
    </row>
    <row r="6741">
      <c r="C6741" t="s">
        <v>898</v>
      </c>
    </row>
    <row r="6742">
      <c r="C6742" t="s">
        <v>898</v>
      </c>
    </row>
    <row r="6743">
      <c r="C6743" t="s">
        <v>898</v>
      </c>
    </row>
    <row r="6744">
      <c r="C6744" t="s">
        <v>898</v>
      </c>
    </row>
    <row r="6745">
      <c r="C6745" t="s">
        <v>898</v>
      </c>
    </row>
    <row r="6746">
      <c r="C6746" t="s">
        <v>898</v>
      </c>
    </row>
    <row r="6747">
      <c r="C6747" t="s">
        <v>898</v>
      </c>
    </row>
    <row r="6748">
      <c r="C6748" t="s">
        <v>898</v>
      </c>
    </row>
    <row r="6749">
      <c r="C6749" t="s">
        <v>898</v>
      </c>
    </row>
    <row r="6750">
      <c r="C6750" t="s">
        <v>898</v>
      </c>
    </row>
    <row r="6751">
      <c r="C6751" t="s">
        <v>898</v>
      </c>
    </row>
    <row r="6752">
      <c r="C6752" t="s">
        <v>898</v>
      </c>
    </row>
    <row r="6753">
      <c r="C6753" t="s">
        <v>898</v>
      </c>
    </row>
    <row r="6754">
      <c r="C6754" t="s">
        <v>898</v>
      </c>
    </row>
    <row r="6755">
      <c r="C6755" t="s">
        <v>898</v>
      </c>
    </row>
    <row r="6756">
      <c r="C6756" t="s">
        <v>898</v>
      </c>
    </row>
    <row r="6757">
      <c r="C6757" t="s">
        <v>898</v>
      </c>
    </row>
    <row r="6758">
      <c r="C6758" t="s">
        <v>898</v>
      </c>
    </row>
    <row r="6759">
      <c r="C6759" t="s">
        <v>898</v>
      </c>
    </row>
    <row r="6760">
      <c r="C6760" t="s">
        <v>898</v>
      </c>
    </row>
    <row r="6761">
      <c r="C6761" t="s">
        <v>898</v>
      </c>
    </row>
    <row r="6762">
      <c r="C6762" t="s">
        <v>898</v>
      </c>
    </row>
    <row r="6763">
      <c r="C6763" t="s">
        <v>898</v>
      </c>
    </row>
    <row r="6764">
      <c r="C6764" t="s">
        <v>898</v>
      </c>
    </row>
    <row r="6765">
      <c r="C6765" t="s">
        <v>898</v>
      </c>
    </row>
    <row r="6766">
      <c r="C6766" t="s">
        <v>898</v>
      </c>
    </row>
    <row r="6767">
      <c r="C6767" t="s">
        <v>898</v>
      </c>
    </row>
    <row r="6768">
      <c r="C6768" t="s">
        <v>898</v>
      </c>
    </row>
    <row r="6769">
      <c r="C6769" t="s">
        <v>898</v>
      </c>
    </row>
    <row r="6770">
      <c r="C6770" t="s">
        <v>898</v>
      </c>
    </row>
    <row r="6771">
      <c r="C6771" t="s">
        <v>898</v>
      </c>
    </row>
    <row r="6772">
      <c r="C6772" t="s">
        <v>898</v>
      </c>
    </row>
    <row r="6773">
      <c r="C6773" t="s">
        <v>898</v>
      </c>
    </row>
    <row r="6774">
      <c r="C6774" t="s">
        <v>898</v>
      </c>
    </row>
    <row r="6775">
      <c r="C6775" t="s">
        <v>898</v>
      </c>
    </row>
    <row r="6776">
      <c r="C6776" t="s">
        <v>898</v>
      </c>
    </row>
    <row r="6777">
      <c r="C6777" t="s">
        <v>898</v>
      </c>
    </row>
    <row r="6778">
      <c r="C6778" t="s">
        <v>898</v>
      </c>
    </row>
    <row r="6779">
      <c r="C6779" t="s">
        <v>898</v>
      </c>
    </row>
    <row r="6780">
      <c r="C6780" t="s">
        <v>898</v>
      </c>
    </row>
    <row r="6781">
      <c r="C6781" t="s">
        <v>898</v>
      </c>
    </row>
    <row r="6782">
      <c r="C6782" t="s">
        <v>898</v>
      </c>
    </row>
    <row r="6783">
      <c r="C6783" t="s">
        <v>898</v>
      </c>
    </row>
    <row r="6784">
      <c r="C6784" t="s">
        <v>898</v>
      </c>
    </row>
    <row r="6785">
      <c r="C6785" t="s">
        <v>898</v>
      </c>
    </row>
    <row r="6786">
      <c r="C6786" t="s">
        <v>898</v>
      </c>
    </row>
    <row r="6787">
      <c r="C6787" t="s">
        <v>898</v>
      </c>
    </row>
    <row r="6788">
      <c r="C6788" t="s">
        <v>898</v>
      </c>
    </row>
    <row r="6789">
      <c r="C6789" t="s">
        <v>898</v>
      </c>
    </row>
    <row r="6790">
      <c r="C6790" t="s">
        <v>898</v>
      </c>
    </row>
    <row r="6791">
      <c r="C6791" t="s">
        <v>898</v>
      </c>
    </row>
    <row r="6792">
      <c r="C6792" t="s">
        <v>898</v>
      </c>
    </row>
    <row r="6793">
      <c r="C6793" t="s">
        <v>898</v>
      </c>
    </row>
    <row r="6794">
      <c r="C6794" t="s">
        <v>898</v>
      </c>
    </row>
    <row r="6795">
      <c r="C6795" t="s">
        <v>898</v>
      </c>
    </row>
    <row r="6796">
      <c r="C6796" t="s">
        <v>898</v>
      </c>
    </row>
    <row r="6797">
      <c r="C6797" t="s">
        <v>898</v>
      </c>
    </row>
    <row r="6798">
      <c r="C6798" t="s">
        <v>898</v>
      </c>
    </row>
    <row r="6799">
      <c r="C6799" t="s">
        <v>898</v>
      </c>
    </row>
    <row r="6800">
      <c r="C6800" t="s">
        <v>898</v>
      </c>
    </row>
    <row r="6801">
      <c r="C6801" t="s">
        <v>898</v>
      </c>
    </row>
    <row r="6802">
      <c r="C6802" t="s">
        <v>898</v>
      </c>
    </row>
    <row r="6803">
      <c r="C6803" t="s">
        <v>898</v>
      </c>
    </row>
    <row r="6804">
      <c r="C6804" t="s">
        <v>898</v>
      </c>
    </row>
    <row r="6805">
      <c r="C6805" t="s">
        <v>898</v>
      </c>
    </row>
    <row r="6806">
      <c r="C6806" t="s">
        <v>898</v>
      </c>
    </row>
    <row r="6807">
      <c r="C6807" t="s">
        <v>898</v>
      </c>
    </row>
    <row r="6808">
      <c r="C6808" t="s">
        <v>898</v>
      </c>
    </row>
    <row r="6809">
      <c r="C6809" t="s">
        <v>898</v>
      </c>
    </row>
    <row r="6810">
      <c r="C6810" t="s">
        <v>898</v>
      </c>
    </row>
    <row r="6811">
      <c r="C6811" t="s">
        <v>898</v>
      </c>
    </row>
    <row r="6812">
      <c r="C6812" t="s">
        <v>898</v>
      </c>
    </row>
    <row r="6813">
      <c r="C6813" t="s">
        <v>898</v>
      </c>
    </row>
    <row r="6814">
      <c r="C6814" t="s">
        <v>898</v>
      </c>
    </row>
    <row r="6815">
      <c r="C6815" t="s">
        <v>898</v>
      </c>
    </row>
    <row r="6816">
      <c r="C6816" t="s">
        <v>898</v>
      </c>
    </row>
    <row r="6817">
      <c r="C6817" t="s">
        <v>898</v>
      </c>
    </row>
    <row r="6818">
      <c r="C6818" t="s">
        <v>898</v>
      </c>
    </row>
    <row r="6819">
      <c r="C6819" t="s">
        <v>898</v>
      </c>
    </row>
    <row r="6820">
      <c r="C6820" t="s">
        <v>898</v>
      </c>
    </row>
    <row r="6821">
      <c r="C6821" t="s">
        <v>898</v>
      </c>
    </row>
    <row r="6822">
      <c r="C6822" t="s">
        <v>898</v>
      </c>
    </row>
    <row r="6823">
      <c r="C6823" t="s">
        <v>898</v>
      </c>
    </row>
    <row r="6824">
      <c r="C6824" t="s">
        <v>898</v>
      </c>
    </row>
    <row r="6825">
      <c r="C6825" t="s">
        <v>898</v>
      </c>
    </row>
    <row r="6826">
      <c r="C6826" t="s">
        <v>898</v>
      </c>
    </row>
    <row r="6827">
      <c r="C6827" t="s">
        <v>898</v>
      </c>
    </row>
    <row r="6828">
      <c r="C6828" t="s">
        <v>898</v>
      </c>
    </row>
    <row r="6829">
      <c r="C6829" t="s">
        <v>898</v>
      </c>
    </row>
    <row r="6830">
      <c r="C6830" t="s">
        <v>898</v>
      </c>
    </row>
    <row r="6831">
      <c r="C6831" t="s">
        <v>898</v>
      </c>
    </row>
    <row r="6832">
      <c r="C6832" t="s">
        <v>898</v>
      </c>
    </row>
    <row r="6833">
      <c r="C6833" t="s">
        <v>898</v>
      </c>
    </row>
    <row r="6834">
      <c r="C6834" t="s">
        <v>898</v>
      </c>
    </row>
    <row r="6835">
      <c r="C6835" t="s">
        <v>898</v>
      </c>
    </row>
    <row r="6836">
      <c r="C6836" t="s">
        <v>898</v>
      </c>
    </row>
    <row r="6837">
      <c r="C6837" t="s">
        <v>898</v>
      </c>
    </row>
    <row r="6838">
      <c r="C6838" t="s">
        <v>898</v>
      </c>
    </row>
    <row r="6839">
      <c r="C6839" t="s">
        <v>898</v>
      </c>
    </row>
    <row r="6840">
      <c r="C6840" t="s">
        <v>898</v>
      </c>
    </row>
    <row r="6841">
      <c r="C6841" t="s">
        <v>898</v>
      </c>
    </row>
    <row r="6842">
      <c r="C6842" t="s">
        <v>898</v>
      </c>
    </row>
    <row r="6843">
      <c r="C6843" t="s">
        <v>898</v>
      </c>
    </row>
    <row r="6844">
      <c r="C6844" t="s">
        <v>898</v>
      </c>
    </row>
    <row r="6845">
      <c r="C6845" t="s">
        <v>898</v>
      </c>
    </row>
    <row r="6846">
      <c r="C6846" t="s">
        <v>898</v>
      </c>
    </row>
    <row r="6847">
      <c r="C6847" t="s">
        <v>898</v>
      </c>
    </row>
    <row r="6848">
      <c r="C6848" t="s">
        <v>898</v>
      </c>
    </row>
    <row r="6849">
      <c r="C6849" t="s">
        <v>898</v>
      </c>
    </row>
    <row r="6850">
      <c r="C6850" t="s">
        <v>898</v>
      </c>
    </row>
    <row r="6851">
      <c r="C6851" t="s">
        <v>898</v>
      </c>
    </row>
    <row r="6852">
      <c r="C6852" t="s">
        <v>898</v>
      </c>
    </row>
    <row r="6853">
      <c r="C6853" t="s">
        <v>898</v>
      </c>
    </row>
    <row r="6854">
      <c r="C6854" t="s">
        <v>898</v>
      </c>
    </row>
    <row r="6855">
      <c r="C6855" t="s">
        <v>898</v>
      </c>
    </row>
    <row r="6856">
      <c r="C6856" t="s">
        <v>898</v>
      </c>
    </row>
    <row r="6857">
      <c r="C6857" t="s">
        <v>898</v>
      </c>
    </row>
    <row r="6858">
      <c r="C6858" t="s">
        <v>898</v>
      </c>
    </row>
    <row r="6859">
      <c r="C6859" t="s">
        <v>898</v>
      </c>
    </row>
    <row r="6860">
      <c r="C6860" t="s">
        <v>898</v>
      </c>
    </row>
    <row r="6861">
      <c r="C6861" t="s">
        <v>898</v>
      </c>
    </row>
    <row r="6862">
      <c r="C6862" t="s">
        <v>898</v>
      </c>
    </row>
    <row r="6863">
      <c r="C6863" t="s">
        <v>898</v>
      </c>
    </row>
    <row r="6864">
      <c r="C6864" t="s">
        <v>898</v>
      </c>
    </row>
    <row r="6865">
      <c r="C6865" t="s">
        <v>898</v>
      </c>
    </row>
    <row r="6866">
      <c r="C6866" t="s">
        <v>898</v>
      </c>
    </row>
    <row r="6867">
      <c r="C6867" t="s">
        <v>898</v>
      </c>
    </row>
    <row r="6868">
      <c r="C6868" t="s">
        <v>898</v>
      </c>
    </row>
    <row r="6869">
      <c r="C6869" t="s">
        <v>898</v>
      </c>
    </row>
    <row r="6870">
      <c r="C6870" t="s">
        <v>898</v>
      </c>
    </row>
    <row r="6871">
      <c r="C6871" t="s">
        <v>898</v>
      </c>
    </row>
    <row r="6872">
      <c r="C6872" t="s">
        <v>898</v>
      </c>
    </row>
    <row r="6873">
      <c r="C6873" t="s">
        <v>898</v>
      </c>
    </row>
    <row r="6874">
      <c r="C6874" t="s">
        <v>898</v>
      </c>
    </row>
    <row r="6875">
      <c r="C6875" t="s">
        <v>898</v>
      </c>
    </row>
    <row r="6876">
      <c r="C6876" t="s">
        <v>898</v>
      </c>
    </row>
    <row r="6877">
      <c r="C6877" t="s">
        <v>898</v>
      </c>
    </row>
    <row r="6878">
      <c r="C6878" t="s">
        <v>898</v>
      </c>
    </row>
    <row r="6879">
      <c r="C6879" t="s">
        <v>898</v>
      </c>
    </row>
    <row r="6880">
      <c r="C6880" t="s">
        <v>898</v>
      </c>
    </row>
    <row r="6881">
      <c r="C6881" t="s">
        <v>898</v>
      </c>
    </row>
    <row r="6882">
      <c r="C6882" t="s">
        <v>898</v>
      </c>
    </row>
    <row r="6883">
      <c r="C6883" t="s">
        <v>898</v>
      </c>
    </row>
    <row r="6884">
      <c r="C6884" t="s">
        <v>898</v>
      </c>
    </row>
    <row r="6885">
      <c r="C6885" t="s">
        <v>898</v>
      </c>
    </row>
    <row r="6886">
      <c r="C6886" t="s">
        <v>898</v>
      </c>
    </row>
    <row r="6887">
      <c r="C6887" t="s">
        <v>898</v>
      </c>
    </row>
    <row r="6888">
      <c r="C6888" t="s">
        <v>898</v>
      </c>
    </row>
    <row r="6889">
      <c r="C6889" t="s">
        <v>898</v>
      </c>
    </row>
    <row r="6890">
      <c r="C6890" t="s">
        <v>898</v>
      </c>
    </row>
    <row r="6891">
      <c r="C6891" t="s">
        <v>898</v>
      </c>
    </row>
    <row r="6892">
      <c r="C6892" t="s">
        <v>898</v>
      </c>
    </row>
    <row r="6893">
      <c r="C6893" t="s">
        <v>898</v>
      </c>
    </row>
    <row r="6894">
      <c r="C6894" t="s">
        <v>898</v>
      </c>
    </row>
    <row r="6895">
      <c r="C6895" t="s">
        <v>898</v>
      </c>
    </row>
    <row r="6896">
      <c r="C6896" t="s">
        <v>898</v>
      </c>
    </row>
    <row r="6897">
      <c r="C6897" t="s">
        <v>898</v>
      </c>
    </row>
    <row r="6898">
      <c r="C6898" t="s">
        <v>898</v>
      </c>
    </row>
    <row r="6899">
      <c r="C6899" t="s">
        <v>898</v>
      </c>
    </row>
    <row r="6900">
      <c r="C6900" t="s">
        <v>898</v>
      </c>
    </row>
    <row r="6901">
      <c r="C6901" t="s">
        <v>898</v>
      </c>
    </row>
    <row r="6902">
      <c r="C6902" t="s">
        <v>898</v>
      </c>
    </row>
    <row r="6903">
      <c r="C6903" t="s">
        <v>898</v>
      </c>
    </row>
    <row r="6904">
      <c r="C6904" t="s">
        <v>898</v>
      </c>
    </row>
    <row r="6905">
      <c r="C6905" t="s">
        <v>898</v>
      </c>
    </row>
    <row r="6906">
      <c r="C6906" t="s">
        <v>898</v>
      </c>
    </row>
    <row r="6907">
      <c r="C6907" t="s">
        <v>898</v>
      </c>
    </row>
    <row r="6908">
      <c r="C6908" t="s">
        <v>898</v>
      </c>
    </row>
    <row r="6909">
      <c r="C6909" t="s">
        <v>898</v>
      </c>
    </row>
    <row r="6910">
      <c r="C6910" t="s">
        <v>898</v>
      </c>
    </row>
    <row r="6911">
      <c r="C6911" t="s">
        <v>898</v>
      </c>
    </row>
    <row r="6912">
      <c r="C6912" t="s">
        <v>898</v>
      </c>
    </row>
    <row r="6913">
      <c r="C6913" t="s">
        <v>898</v>
      </c>
    </row>
    <row r="6914">
      <c r="C6914" t="s">
        <v>898</v>
      </c>
    </row>
    <row r="6915">
      <c r="C6915" t="s">
        <v>898</v>
      </c>
    </row>
    <row r="6916">
      <c r="C6916" t="s">
        <v>898</v>
      </c>
    </row>
    <row r="6917">
      <c r="C6917" t="s">
        <v>898</v>
      </c>
    </row>
    <row r="6918">
      <c r="C6918" t="s">
        <v>898</v>
      </c>
    </row>
    <row r="6919">
      <c r="C6919" t="s">
        <v>898</v>
      </c>
    </row>
    <row r="6920">
      <c r="C6920" t="s">
        <v>898</v>
      </c>
    </row>
    <row r="6921">
      <c r="C6921" t="s">
        <v>898</v>
      </c>
    </row>
    <row r="6922">
      <c r="C6922" t="s">
        <v>898</v>
      </c>
    </row>
    <row r="6923">
      <c r="C6923" t="s">
        <v>898</v>
      </c>
    </row>
    <row r="6924">
      <c r="C6924" t="s">
        <v>898</v>
      </c>
    </row>
    <row r="6925">
      <c r="C6925" t="s">
        <v>898</v>
      </c>
    </row>
    <row r="6926">
      <c r="C6926" t="s">
        <v>898</v>
      </c>
    </row>
    <row r="6927">
      <c r="C6927" t="s">
        <v>898</v>
      </c>
    </row>
    <row r="6928">
      <c r="C6928" t="s">
        <v>898</v>
      </c>
    </row>
    <row r="6929">
      <c r="C6929" t="s">
        <v>898</v>
      </c>
    </row>
    <row r="6930">
      <c r="C6930" t="s">
        <v>898</v>
      </c>
    </row>
    <row r="6931">
      <c r="C6931" t="s">
        <v>898</v>
      </c>
    </row>
    <row r="6932">
      <c r="C6932" t="s">
        <v>898</v>
      </c>
    </row>
    <row r="6933">
      <c r="C6933" t="s">
        <v>898</v>
      </c>
    </row>
    <row r="6934">
      <c r="C6934" t="s">
        <v>898</v>
      </c>
    </row>
    <row r="6935">
      <c r="C6935" t="s">
        <v>898</v>
      </c>
    </row>
    <row r="6936">
      <c r="C6936" t="s">
        <v>898</v>
      </c>
    </row>
    <row r="6937">
      <c r="C6937" t="s">
        <v>898</v>
      </c>
    </row>
    <row r="6938">
      <c r="C6938" t="s">
        <v>898</v>
      </c>
    </row>
    <row r="6939">
      <c r="C6939" t="s">
        <v>898</v>
      </c>
    </row>
    <row r="6940">
      <c r="C6940" t="s">
        <v>898</v>
      </c>
    </row>
    <row r="6941">
      <c r="C6941" t="s">
        <v>898</v>
      </c>
    </row>
    <row r="6942">
      <c r="C6942" t="s">
        <v>898</v>
      </c>
    </row>
    <row r="6943">
      <c r="C6943" t="s">
        <v>898</v>
      </c>
    </row>
    <row r="6944">
      <c r="C6944" t="s">
        <v>898</v>
      </c>
    </row>
    <row r="6945">
      <c r="C6945" t="s">
        <v>898</v>
      </c>
    </row>
    <row r="6946">
      <c r="C6946" t="s">
        <v>898</v>
      </c>
    </row>
    <row r="6947">
      <c r="C6947" t="s">
        <v>898</v>
      </c>
    </row>
    <row r="6948">
      <c r="C6948" t="s">
        <v>898</v>
      </c>
    </row>
    <row r="6949">
      <c r="C6949" t="s">
        <v>898</v>
      </c>
    </row>
    <row r="6950">
      <c r="C6950" t="s">
        <v>898</v>
      </c>
    </row>
    <row r="6951">
      <c r="C6951" t="s">
        <v>898</v>
      </c>
    </row>
    <row r="6952">
      <c r="C6952" t="s">
        <v>898</v>
      </c>
    </row>
    <row r="6953">
      <c r="C6953" t="s">
        <v>898</v>
      </c>
    </row>
    <row r="6954">
      <c r="C6954" t="s">
        <v>898</v>
      </c>
    </row>
    <row r="6955">
      <c r="C6955" t="s">
        <v>898</v>
      </c>
    </row>
    <row r="6956">
      <c r="C6956" t="s">
        <v>898</v>
      </c>
    </row>
    <row r="6957">
      <c r="C6957" t="s">
        <v>898</v>
      </c>
    </row>
    <row r="6958">
      <c r="C6958" t="s">
        <v>898</v>
      </c>
    </row>
    <row r="6959">
      <c r="C6959" t="s">
        <v>898</v>
      </c>
    </row>
    <row r="6960">
      <c r="C6960" t="s">
        <v>898</v>
      </c>
    </row>
    <row r="6961">
      <c r="C6961" t="s">
        <v>898</v>
      </c>
    </row>
    <row r="6962">
      <c r="C6962" t="s">
        <v>898</v>
      </c>
    </row>
    <row r="6963">
      <c r="C6963" t="s">
        <v>898</v>
      </c>
    </row>
    <row r="6964">
      <c r="C6964" t="s">
        <v>898</v>
      </c>
    </row>
    <row r="6965">
      <c r="C6965" t="s">
        <v>898</v>
      </c>
    </row>
    <row r="6966">
      <c r="C6966" t="s">
        <v>898</v>
      </c>
    </row>
    <row r="6967">
      <c r="C6967" t="s">
        <v>898</v>
      </c>
    </row>
    <row r="6968">
      <c r="C6968" t="s">
        <v>898</v>
      </c>
    </row>
    <row r="6969">
      <c r="C6969" t="s">
        <v>898</v>
      </c>
    </row>
    <row r="6970">
      <c r="C6970" t="s">
        <v>898</v>
      </c>
    </row>
    <row r="6971">
      <c r="C6971" t="s">
        <v>898</v>
      </c>
    </row>
    <row r="6972">
      <c r="C6972" t="s">
        <v>898</v>
      </c>
    </row>
    <row r="6973">
      <c r="C6973" t="s">
        <v>898</v>
      </c>
    </row>
    <row r="6974">
      <c r="C6974" t="s">
        <v>898</v>
      </c>
    </row>
    <row r="6975">
      <c r="C6975" t="s">
        <v>898</v>
      </c>
    </row>
    <row r="6976">
      <c r="C6976" t="s">
        <v>898</v>
      </c>
    </row>
    <row r="6977">
      <c r="C6977" t="s">
        <v>898</v>
      </c>
    </row>
    <row r="6978">
      <c r="C6978" t="s">
        <v>898</v>
      </c>
    </row>
    <row r="6979">
      <c r="C6979" t="s">
        <v>898</v>
      </c>
    </row>
    <row r="6980">
      <c r="C6980" t="s">
        <v>898</v>
      </c>
    </row>
    <row r="6981">
      <c r="C6981" t="s">
        <v>898</v>
      </c>
    </row>
    <row r="6982">
      <c r="C6982" t="s">
        <v>898</v>
      </c>
    </row>
    <row r="6983">
      <c r="C6983" t="s">
        <v>898</v>
      </c>
    </row>
    <row r="6984">
      <c r="C6984" t="s">
        <v>898</v>
      </c>
    </row>
    <row r="6985">
      <c r="C6985" t="s">
        <v>898</v>
      </c>
    </row>
    <row r="6986">
      <c r="C6986" t="s">
        <v>898</v>
      </c>
    </row>
    <row r="6987">
      <c r="C6987" t="s">
        <v>898</v>
      </c>
    </row>
    <row r="6988">
      <c r="C6988" t="s">
        <v>898</v>
      </c>
    </row>
    <row r="6989">
      <c r="C6989" t="s">
        <v>898</v>
      </c>
    </row>
    <row r="6990">
      <c r="C6990" t="s">
        <v>898</v>
      </c>
    </row>
    <row r="6991">
      <c r="C6991" t="s">
        <v>898</v>
      </c>
    </row>
    <row r="6992">
      <c r="C6992" t="s">
        <v>898</v>
      </c>
    </row>
    <row r="6993">
      <c r="C6993" t="s">
        <v>898</v>
      </c>
    </row>
    <row r="6994">
      <c r="C6994" t="s">
        <v>898</v>
      </c>
    </row>
    <row r="6995">
      <c r="C6995" t="s">
        <v>898</v>
      </c>
    </row>
    <row r="6996">
      <c r="C6996" t="s">
        <v>898</v>
      </c>
    </row>
    <row r="6997">
      <c r="C6997" t="s">
        <v>898</v>
      </c>
    </row>
    <row r="6998">
      <c r="C6998" t="s">
        <v>898</v>
      </c>
    </row>
    <row r="6999">
      <c r="C6999" t="s">
        <v>898</v>
      </c>
    </row>
    <row r="7000">
      <c r="C7000" t="s">
        <v>898</v>
      </c>
    </row>
    <row r="7001">
      <c r="C7001" t="s">
        <v>898</v>
      </c>
    </row>
    <row r="7002">
      <c r="C7002" t="s">
        <v>898</v>
      </c>
    </row>
    <row r="7003">
      <c r="C7003" t="s">
        <v>898</v>
      </c>
    </row>
    <row r="7004">
      <c r="C7004" t="s">
        <v>898</v>
      </c>
    </row>
    <row r="7005">
      <c r="C7005" t="s">
        <v>898</v>
      </c>
    </row>
    <row r="7006">
      <c r="C7006" t="s">
        <v>898</v>
      </c>
    </row>
    <row r="7007">
      <c r="C7007" t="s">
        <v>898</v>
      </c>
    </row>
    <row r="7008">
      <c r="C7008" t="s">
        <v>898</v>
      </c>
    </row>
    <row r="7009">
      <c r="C7009" t="s">
        <v>898</v>
      </c>
    </row>
    <row r="7010">
      <c r="C7010" t="s">
        <v>898</v>
      </c>
    </row>
    <row r="7011">
      <c r="C7011" t="s">
        <v>898</v>
      </c>
    </row>
    <row r="7012">
      <c r="C7012" t="s">
        <v>898</v>
      </c>
    </row>
    <row r="7013">
      <c r="C7013" t="s">
        <v>898</v>
      </c>
    </row>
    <row r="7014">
      <c r="C7014" t="s">
        <v>898</v>
      </c>
    </row>
    <row r="7015">
      <c r="C7015" t="s">
        <v>898</v>
      </c>
    </row>
    <row r="7016">
      <c r="C7016" t="s">
        <v>898</v>
      </c>
    </row>
    <row r="7017">
      <c r="C7017" t="s">
        <v>898</v>
      </c>
    </row>
    <row r="7018">
      <c r="C7018" t="s">
        <v>898</v>
      </c>
    </row>
    <row r="7019">
      <c r="C7019" t="s">
        <v>898</v>
      </c>
    </row>
    <row r="7020">
      <c r="C7020" t="s">
        <v>898</v>
      </c>
    </row>
    <row r="7021">
      <c r="C7021" t="s">
        <v>898</v>
      </c>
    </row>
    <row r="7022">
      <c r="C7022" t="s">
        <v>898</v>
      </c>
    </row>
    <row r="7023">
      <c r="C7023" t="s">
        <v>898</v>
      </c>
    </row>
    <row r="7024">
      <c r="C7024" t="s">
        <v>898</v>
      </c>
    </row>
    <row r="7025">
      <c r="C7025" t="s">
        <v>898</v>
      </c>
    </row>
    <row r="7026">
      <c r="C7026" t="s">
        <v>898</v>
      </c>
    </row>
    <row r="7027">
      <c r="C7027" t="s">
        <v>898</v>
      </c>
    </row>
    <row r="7028">
      <c r="C7028" t="s">
        <v>898</v>
      </c>
    </row>
    <row r="7029">
      <c r="C7029" t="s">
        <v>898</v>
      </c>
    </row>
    <row r="7030">
      <c r="C7030" t="s">
        <v>898</v>
      </c>
    </row>
    <row r="7031">
      <c r="C7031" t="s">
        <v>898</v>
      </c>
    </row>
    <row r="7032">
      <c r="C7032" t="s">
        <v>898</v>
      </c>
    </row>
    <row r="7033">
      <c r="C7033" t="s">
        <v>898</v>
      </c>
    </row>
    <row r="7034">
      <c r="C7034" t="s">
        <v>898</v>
      </c>
    </row>
    <row r="7035">
      <c r="C7035" t="s">
        <v>898</v>
      </c>
    </row>
    <row r="7036">
      <c r="C7036" t="s">
        <v>898</v>
      </c>
    </row>
    <row r="7037">
      <c r="C7037" t="s">
        <v>898</v>
      </c>
    </row>
    <row r="7038">
      <c r="C7038" t="s">
        <v>898</v>
      </c>
    </row>
    <row r="7039">
      <c r="C7039" t="s">
        <v>898</v>
      </c>
    </row>
    <row r="7040">
      <c r="C7040" t="s">
        <v>898</v>
      </c>
    </row>
    <row r="7041">
      <c r="C7041" t="s">
        <v>898</v>
      </c>
    </row>
    <row r="7042">
      <c r="C7042" t="s">
        <v>898</v>
      </c>
    </row>
    <row r="7043">
      <c r="C7043" t="s">
        <v>898</v>
      </c>
    </row>
    <row r="7044">
      <c r="C7044" t="s">
        <v>898</v>
      </c>
    </row>
    <row r="7045">
      <c r="C7045" t="s">
        <v>898</v>
      </c>
    </row>
    <row r="7046">
      <c r="C7046" t="s">
        <v>898</v>
      </c>
    </row>
    <row r="7047">
      <c r="C7047" t="s">
        <v>898</v>
      </c>
    </row>
    <row r="7048">
      <c r="C7048" t="s">
        <v>898</v>
      </c>
    </row>
    <row r="7049">
      <c r="C7049" t="s">
        <v>898</v>
      </c>
    </row>
    <row r="7050">
      <c r="C7050" t="s">
        <v>898</v>
      </c>
    </row>
    <row r="7051">
      <c r="C7051" t="s">
        <v>898</v>
      </c>
    </row>
    <row r="7052">
      <c r="C7052" t="s">
        <v>898</v>
      </c>
    </row>
    <row r="7053">
      <c r="C7053" t="s">
        <v>898</v>
      </c>
    </row>
    <row r="7054">
      <c r="C7054" t="s">
        <v>898</v>
      </c>
    </row>
    <row r="7055">
      <c r="C7055" t="s">
        <v>898</v>
      </c>
    </row>
    <row r="7056">
      <c r="C7056" t="s">
        <v>898</v>
      </c>
    </row>
    <row r="7057">
      <c r="C7057" t="s">
        <v>898</v>
      </c>
    </row>
    <row r="7058">
      <c r="C7058" t="s">
        <v>898</v>
      </c>
    </row>
    <row r="7059">
      <c r="C7059" t="s">
        <v>898</v>
      </c>
    </row>
    <row r="7060">
      <c r="C7060" t="s">
        <v>898</v>
      </c>
    </row>
    <row r="7061">
      <c r="C7061" t="s">
        <v>898</v>
      </c>
    </row>
    <row r="7062">
      <c r="C7062" t="s">
        <v>898</v>
      </c>
    </row>
    <row r="7063">
      <c r="C7063" t="s">
        <v>898</v>
      </c>
    </row>
    <row r="7064">
      <c r="C7064" t="s">
        <v>898</v>
      </c>
    </row>
    <row r="7065">
      <c r="C7065" t="s">
        <v>898</v>
      </c>
    </row>
    <row r="7066">
      <c r="C7066" t="s">
        <v>898</v>
      </c>
    </row>
    <row r="7067">
      <c r="C7067" t="s">
        <v>898</v>
      </c>
    </row>
    <row r="7068">
      <c r="C7068" t="s">
        <v>898</v>
      </c>
    </row>
    <row r="7069">
      <c r="C7069" t="s">
        <v>898</v>
      </c>
    </row>
    <row r="7070">
      <c r="C7070" t="s">
        <v>898</v>
      </c>
    </row>
    <row r="7071">
      <c r="C7071" t="s">
        <v>898</v>
      </c>
    </row>
    <row r="7072">
      <c r="C7072" t="s">
        <v>898</v>
      </c>
    </row>
    <row r="7073">
      <c r="C7073" t="s">
        <v>898</v>
      </c>
    </row>
    <row r="7074">
      <c r="C7074" t="s">
        <v>898</v>
      </c>
    </row>
    <row r="7075">
      <c r="C7075" t="s">
        <v>898</v>
      </c>
    </row>
    <row r="7076">
      <c r="C7076" t="s">
        <v>898</v>
      </c>
    </row>
    <row r="7077">
      <c r="C7077" t="s">
        <v>898</v>
      </c>
    </row>
    <row r="7078">
      <c r="C7078" t="s">
        <v>898</v>
      </c>
    </row>
    <row r="7079">
      <c r="C7079" t="s">
        <v>898</v>
      </c>
    </row>
    <row r="7080">
      <c r="C7080" t="s">
        <v>898</v>
      </c>
    </row>
    <row r="7081">
      <c r="C7081" t="s">
        <v>898</v>
      </c>
    </row>
    <row r="7082">
      <c r="C7082" t="s">
        <v>898</v>
      </c>
    </row>
    <row r="7083">
      <c r="C7083" t="s">
        <v>898</v>
      </c>
    </row>
    <row r="7084">
      <c r="C7084" t="s">
        <v>898</v>
      </c>
    </row>
    <row r="7085">
      <c r="C7085" t="s">
        <v>898</v>
      </c>
    </row>
    <row r="7086">
      <c r="C7086" t="s">
        <v>898</v>
      </c>
    </row>
    <row r="7087">
      <c r="C7087" t="s">
        <v>898</v>
      </c>
    </row>
    <row r="7088">
      <c r="C7088" t="s">
        <v>898</v>
      </c>
    </row>
    <row r="7089">
      <c r="C7089" t="s">
        <v>898</v>
      </c>
    </row>
    <row r="7090">
      <c r="C7090" t="s">
        <v>898</v>
      </c>
    </row>
    <row r="7091">
      <c r="C7091" t="s">
        <v>898</v>
      </c>
    </row>
    <row r="7092">
      <c r="C7092" t="s">
        <v>898</v>
      </c>
    </row>
    <row r="7093">
      <c r="C7093" t="s">
        <v>898</v>
      </c>
    </row>
    <row r="7094">
      <c r="C7094" t="s">
        <v>898</v>
      </c>
    </row>
    <row r="7095">
      <c r="C7095" t="s">
        <v>898</v>
      </c>
    </row>
    <row r="7096">
      <c r="C7096" t="s">
        <v>898</v>
      </c>
    </row>
    <row r="7097">
      <c r="C7097" t="s">
        <v>898</v>
      </c>
    </row>
    <row r="7098">
      <c r="C7098" t="s">
        <v>898</v>
      </c>
    </row>
    <row r="7099">
      <c r="C7099" t="s">
        <v>898</v>
      </c>
    </row>
    <row r="7100">
      <c r="C7100" t="s">
        <v>898</v>
      </c>
    </row>
    <row r="7101">
      <c r="C7101" t="s">
        <v>898</v>
      </c>
    </row>
    <row r="7102">
      <c r="C7102" t="s">
        <v>898</v>
      </c>
    </row>
    <row r="7103">
      <c r="C7103" t="s">
        <v>898</v>
      </c>
    </row>
    <row r="7104">
      <c r="C7104" t="s">
        <v>898</v>
      </c>
    </row>
    <row r="7105">
      <c r="C7105" t="s">
        <v>898</v>
      </c>
    </row>
    <row r="7106">
      <c r="C7106" t="s">
        <v>898</v>
      </c>
    </row>
    <row r="7107">
      <c r="C7107" t="s">
        <v>898</v>
      </c>
    </row>
    <row r="7108">
      <c r="C7108" t="s">
        <v>898</v>
      </c>
    </row>
    <row r="7109">
      <c r="C7109" t="s">
        <v>898</v>
      </c>
    </row>
    <row r="7110">
      <c r="C7110" t="s">
        <v>898</v>
      </c>
    </row>
    <row r="7111">
      <c r="C7111" t="s">
        <v>898</v>
      </c>
    </row>
    <row r="7112">
      <c r="C7112" t="s">
        <v>898</v>
      </c>
    </row>
    <row r="7113">
      <c r="C7113" t="s">
        <v>898</v>
      </c>
    </row>
    <row r="7114">
      <c r="C7114" t="s">
        <v>898</v>
      </c>
    </row>
    <row r="7115">
      <c r="C7115" t="s">
        <v>898</v>
      </c>
    </row>
    <row r="7116">
      <c r="C7116" t="s">
        <v>898</v>
      </c>
    </row>
    <row r="7117">
      <c r="C7117" t="s">
        <v>898</v>
      </c>
    </row>
    <row r="7118">
      <c r="C7118" t="s">
        <v>898</v>
      </c>
    </row>
    <row r="7119">
      <c r="C7119" t="s">
        <v>898</v>
      </c>
    </row>
    <row r="7120">
      <c r="C7120" t="s">
        <v>898</v>
      </c>
    </row>
    <row r="7121">
      <c r="C7121" t="s">
        <v>898</v>
      </c>
    </row>
    <row r="7122">
      <c r="C7122" t="s">
        <v>898</v>
      </c>
    </row>
    <row r="7123">
      <c r="C7123" t="s">
        <v>898</v>
      </c>
    </row>
    <row r="7124">
      <c r="C7124" t="s">
        <v>898</v>
      </c>
    </row>
    <row r="7125">
      <c r="C7125" t="s">
        <v>898</v>
      </c>
    </row>
    <row r="7126">
      <c r="C7126" t="s">
        <v>898</v>
      </c>
    </row>
    <row r="7127">
      <c r="C7127" t="s">
        <v>898</v>
      </c>
    </row>
    <row r="7128">
      <c r="C7128" t="s">
        <v>898</v>
      </c>
    </row>
    <row r="7129">
      <c r="C7129" t="s">
        <v>898</v>
      </c>
    </row>
    <row r="7130">
      <c r="C7130" t="s">
        <v>898</v>
      </c>
    </row>
    <row r="7131">
      <c r="C7131" t="s">
        <v>898</v>
      </c>
    </row>
    <row r="7132">
      <c r="C7132" t="s">
        <v>898</v>
      </c>
    </row>
    <row r="7133">
      <c r="C7133" t="s">
        <v>898</v>
      </c>
    </row>
    <row r="7134">
      <c r="C7134" t="s">
        <v>898</v>
      </c>
    </row>
    <row r="7135">
      <c r="C7135" t="s">
        <v>898</v>
      </c>
    </row>
    <row r="7136">
      <c r="C7136" t="s">
        <v>898</v>
      </c>
    </row>
    <row r="7137">
      <c r="C7137" t="s">
        <v>898</v>
      </c>
    </row>
    <row r="7138">
      <c r="C7138" t="s">
        <v>898</v>
      </c>
    </row>
    <row r="7139">
      <c r="C7139" t="s">
        <v>898</v>
      </c>
    </row>
    <row r="7140">
      <c r="C7140" t="s">
        <v>898</v>
      </c>
    </row>
    <row r="7141">
      <c r="C7141" t="s">
        <v>898</v>
      </c>
    </row>
    <row r="7142">
      <c r="C7142" t="s">
        <v>898</v>
      </c>
    </row>
    <row r="7143">
      <c r="C7143" t="s">
        <v>898</v>
      </c>
    </row>
    <row r="7144">
      <c r="C7144" t="s">
        <v>898</v>
      </c>
    </row>
    <row r="7145">
      <c r="C7145" t="s">
        <v>898</v>
      </c>
    </row>
    <row r="7146">
      <c r="C7146" t="s">
        <v>898</v>
      </c>
    </row>
    <row r="7147">
      <c r="C7147" t="s">
        <v>898</v>
      </c>
    </row>
    <row r="7148">
      <c r="C7148" t="s">
        <v>898</v>
      </c>
    </row>
    <row r="7149">
      <c r="C7149" t="s">
        <v>898</v>
      </c>
    </row>
    <row r="7150">
      <c r="C7150" t="s">
        <v>898</v>
      </c>
    </row>
    <row r="7151">
      <c r="C7151" t="s">
        <v>898</v>
      </c>
    </row>
    <row r="7152">
      <c r="C7152" t="s">
        <v>898</v>
      </c>
    </row>
    <row r="7153">
      <c r="C7153" t="s">
        <v>898</v>
      </c>
    </row>
    <row r="7154">
      <c r="C7154" t="s">
        <v>898</v>
      </c>
    </row>
    <row r="7155">
      <c r="C7155" t="s">
        <v>898</v>
      </c>
    </row>
    <row r="7156">
      <c r="C7156" t="s">
        <v>898</v>
      </c>
    </row>
    <row r="7157">
      <c r="C7157" t="s">
        <v>898</v>
      </c>
    </row>
    <row r="7158">
      <c r="C7158" t="s">
        <v>898</v>
      </c>
    </row>
    <row r="7159">
      <c r="C7159" t="s">
        <v>898</v>
      </c>
    </row>
    <row r="7160">
      <c r="C7160" t="s">
        <v>898</v>
      </c>
    </row>
    <row r="7161">
      <c r="C7161" t="s">
        <v>898</v>
      </c>
    </row>
    <row r="7162">
      <c r="C7162" t="s">
        <v>898</v>
      </c>
    </row>
    <row r="7163">
      <c r="C7163" t="s">
        <v>898</v>
      </c>
    </row>
    <row r="7164">
      <c r="C7164" t="s">
        <v>898</v>
      </c>
    </row>
    <row r="7165">
      <c r="C7165" t="s">
        <v>898</v>
      </c>
    </row>
    <row r="7166">
      <c r="C7166" t="s">
        <v>898</v>
      </c>
    </row>
    <row r="7167">
      <c r="C7167" t="s">
        <v>898</v>
      </c>
    </row>
    <row r="7168">
      <c r="C7168" t="s">
        <v>898</v>
      </c>
    </row>
    <row r="7169">
      <c r="C7169" t="s">
        <v>898</v>
      </c>
    </row>
    <row r="7170">
      <c r="C7170" t="s">
        <v>898</v>
      </c>
    </row>
    <row r="7171">
      <c r="C7171" t="s">
        <v>898</v>
      </c>
    </row>
    <row r="7172">
      <c r="C7172" t="s">
        <v>898</v>
      </c>
    </row>
    <row r="7173">
      <c r="C7173" t="s">
        <v>898</v>
      </c>
    </row>
    <row r="7174">
      <c r="C7174" t="s">
        <v>898</v>
      </c>
    </row>
    <row r="7175">
      <c r="C7175" t="s">
        <v>898</v>
      </c>
    </row>
    <row r="7176">
      <c r="C7176" t="s">
        <v>898</v>
      </c>
    </row>
    <row r="7177">
      <c r="C7177" t="s">
        <v>898</v>
      </c>
    </row>
    <row r="7178">
      <c r="C7178" t="s">
        <v>898</v>
      </c>
    </row>
    <row r="7179">
      <c r="C7179" t="s">
        <v>898</v>
      </c>
    </row>
    <row r="7180">
      <c r="C7180" t="s">
        <v>898</v>
      </c>
    </row>
    <row r="7181">
      <c r="C7181" t="s">
        <v>898</v>
      </c>
    </row>
    <row r="7182">
      <c r="C7182" t="s">
        <v>898</v>
      </c>
    </row>
    <row r="7183">
      <c r="C7183" t="s">
        <v>898</v>
      </c>
    </row>
    <row r="7184">
      <c r="C7184" t="s">
        <v>898</v>
      </c>
    </row>
    <row r="7185">
      <c r="C7185" t="s">
        <v>898</v>
      </c>
    </row>
    <row r="7186">
      <c r="C7186" t="s">
        <v>898</v>
      </c>
    </row>
    <row r="7187">
      <c r="C7187" t="s">
        <v>898</v>
      </c>
    </row>
    <row r="7188">
      <c r="C7188" t="s">
        <v>898</v>
      </c>
    </row>
    <row r="7189">
      <c r="C7189" t="s">
        <v>898</v>
      </c>
    </row>
    <row r="7190">
      <c r="C7190" t="s">
        <v>898</v>
      </c>
    </row>
    <row r="7191">
      <c r="C7191" t="s">
        <v>898</v>
      </c>
    </row>
    <row r="7192">
      <c r="C7192" t="s">
        <v>898</v>
      </c>
    </row>
    <row r="7193">
      <c r="C7193" t="s">
        <v>898</v>
      </c>
    </row>
    <row r="7194">
      <c r="C7194" t="s">
        <v>898</v>
      </c>
    </row>
    <row r="7195">
      <c r="C7195" t="s">
        <v>898</v>
      </c>
    </row>
    <row r="7196">
      <c r="C7196" t="s">
        <v>898</v>
      </c>
    </row>
    <row r="7197">
      <c r="C7197" t="s">
        <v>898</v>
      </c>
    </row>
    <row r="7198">
      <c r="C7198" t="s">
        <v>898</v>
      </c>
    </row>
    <row r="7199">
      <c r="C7199" t="s">
        <v>898</v>
      </c>
    </row>
    <row r="7200">
      <c r="C7200" t="s">
        <v>898</v>
      </c>
    </row>
    <row r="7201">
      <c r="C7201" t="s">
        <v>898</v>
      </c>
    </row>
    <row r="7202">
      <c r="C7202" t="s">
        <v>898</v>
      </c>
    </row>
    <row r="7203">
      <c r="C7203" t="s">
        <v>898</v>
      </c>
    </row>
    <row r="7204">
      <c r="C7204" t="s">
        <v>898</v>
      </c>
    </row>
    <row r="7205">
      <c r="C7205" t="s">
        <v>898</v>
      </c>
    </row>
    <row r="7206">
      <c r="C7206" t="s">
        <v>898</v>
      </c>
    </row>
    <row r="7207">
      <c r="C7207" t="s">
        <v>898</v>
      </c>
    </row>
    <row r="7208">
      <c r="C7208" t="s">
        <v>898</v>
      </c>
    </row>
    <row r="7209">
      <c r="C7209" t="s">
        <v>898</v>
      </c>
    </row>
    <row r="7210">
      <c r="C7210" t="s">
        <v>898</v>
      </c>
    </row>
    <row r="7211">
      <c r="C7211" t="s">
        <v>898</v>
      </c>
    </row>
    <row r="7212">
      <c r="C7212" t="s">
        <v>898</v>
      </c>
    </row>
    <row r="7213">
      <c r="C7213" t="s">
        <v>898</v>
      </c>
    </row>
    <row r="7214">
      <c r="C7214" t="s">
        <v>898</v>
      </c>
    </row>
    <row r="7215">
      <c r="C7215" t="s">
        <v>898</v>
      </c>
    </row>
    <row r="7216">
      <c r="C7216" t="s">
        <v>898</v>
      </c>
    </row>
    <row r="7217">
      <c r="C7217" t="s">
        <v>898</v>
      </c>
    </row>
    <row r="7218">
      <c r="C7218" t="s">
        <v>898</v>
      </c>
    </row>
    <row r="7219">
      <c r="C7219" t="s">
        <v>898</v>
      </c>
    </row>
    <row r="7220">
      <c r="C7220" t="s">
        <v>898</v>
      </c>
    </row>
    <row r="7221">
      <c r="C7221" t="s">
        <v>898</v>
      </c>
    </row>
    <row r="7222">
      <c r="C7222" t="s">
        <v>898</v>
      </c>
    </row>
    <row r="7223">
      <c r="C7223" t="s">
        <v>898</v>
      </c>
    </row>
    <row r="7224">
      <c r="C7224" t="s">
        <v>898</v>
      </c>
    </row>
    <row r="7225">
      <c r="C7225" t="s">
        <v>898</v>
      </c>
    </row>
    <row r="7226">
      <c r="C7226" t="s">
        <v>898</v>
      </c>
    </row>
    <row r="7227">
      <c r="C7227" t="s">
        <v>898</v>
      </c>
    </row>
    <row r="7228">
      <c r="C7228" t="s">
        <v>898</v>
      </c>
    </row>
    <row r="7229">
      <c r="C7229" t="s">
        <v>898</v>
      </c>
    </row>
    <row r="7230">
      <c r="C7230" t="s">
        <v>898</v>
      </c>
    </row>
    <row r="7231">
      <c r="C7231" t="s">
        <v>898</v>
      </c>
    </row>
    <row r="7232">
      <c r="C7232" t="s">
        <v>898</v>
      </c>
    </row>
    <row r="7233">
      <c r="C7233" t="s">
        <v>898</v>
      </c>
    </row>
    <row r="7234">
      <c r="C7234" t="s">
        <v>898</v>
      </c>
    </row>
    <row r="7235">
      <c r="C7235" t="s">
        <v>898</v>
      </c>
    </row>
    <row r="7236">
      <c r="C7236" t="s">
        <v>898</v>
      </c>
    </row>
    <row r="7237">
      <c r="C7237" t="s">
        <v>898</v>
      </c>
    </row>
    <row r="7238">
      <c r="C7238" t="s">
        <v>898</v>
      </c>
    </row>
    <row r="7239">
      <c r="C7239" t="s">
        <v>898</v>
      </c>
    </row>
    <row r="7240">
      <c r="C7240" t="s">
        <v>898</v>
      </c>
    </row>
    <row r="7241">
      <c r="C7241" t="s">
        <v>898</v>
      </c>
    </row>
    <row r="7242">
      <c r="C7242" t="s">
        <v>898</v>
      </c>
    </row>
    <row r="7243">
      <c r="C7243" t="s">
        <v>898</v>
      </c>
    </row>
    <row r="7244">
      <c r="C7244" t="s">
        <v>898</v>
      </c>
    </row>
    <row r="7245">
      <c r="C7245" t="s">
        <v>898</v>
      </c>
    </row>
    <row r="7246">
      <c r="C7246" t="s">
        <v>898</v>
      </c>
    </row>
    <row r="7247">
      <c r="C7247" t="s">
        <v>898</v>
      </c>
    </row>
    <row r="7248">
      <c r="C7248" t="s">
        <v>898</v>
      </c>
    </row>
    <row r="7249">
      <c r="C7249" t="s">
        <v>898</v>
      </c>
    </row>
    <row r="7250">
      <c r="C7250" t="s">
        <v>898</v>
      </c>
    </row>
    <row r="7251">
      <c r="C7251" t="s">
        <v>898</v>
      </c>
    </row>
    <row r="7252">
      <c r="C7252" t="s">
        <v>898</v>
      </c>
    </row>
    <row r="7253">
      <c r="C7253" t="s">
        <v>898</v>
      </c>
    </row>
    <row r="7254">
      <c r="C7254" t="s">
        <v>898</v>
      </c>
    </row>
    <row r="7255">
      <c r="C7255" t="s">
        <v>898</v>
      </c>
    </row>
    <row r="7256">
      <c r="C7256" t="s">
        <v>898</v>
      </c>
    </row>
    <row r="7257">
      <c r="C7257" t="s">
        <v>898</v>
      </c>
    </row>
    <row r="7258">
      <c r="C7258" t="s">
        <v>898</v>
      </c>
    </row>
    <row r="7259">
      <c r="C7259" t="s">
        <v>898</v>
      </c>
    </row>
    <row r="7260">
      <c r="C7260" t="s">
        <v>898</v>
      </c>
    </row>
    <row r="7261">
      <c r="C7261" t="s">
        <v>898</v>
      </c>
    </row>
    <row r="7262">
      <c r="C7262" t="s">
        <v>898</v>
      </c>
    </row>
    <row r="7263">
      <c r="C7263" t="s">
        <v>898</v>
      </c>
    </row>
    <row r="7264">
      <c r="C7264" t="s">
        <v>898</v>
      </c>
    </row>
    <row r="7265">
      <c r="C7265" t="s">
        <v>898</v>
      </c>
    </row>
    <row r="7266">
      <c r="C7266" t="s">
        <v>898</v>
      </c>
    </row>
    <row r="7267">
      <c r="C7267" t="s">
        <v>898</v>
      </c>
    </row>
    <row r="7268">
      <c r="C7268" t="s">
        <v>898</v>
      </c>
    </row>
    <row r="7269">
      <c r="C7269" t="s">
        <v>898</v>
      </c>
    </row>
    <row r="7270">
      <c r="C7270" t="s">
        <v>898</v>
      </c>
    </row>
    <row r="7271">
      <c r="C7271" t="s">
        <v>898</v>
      </c>
    </row>
    <row r="7272">
      <c r="C7272" t="s">
        <v>898</v>
      </c>
    </row>
    <row r="7273">
      <c r="C7273" t="s">
        <v>898</v>
      </c>
    </row>
    <row r="7274">
      <c r="C7274" t="s">
        <v>898</v>
      </c>
    </row>
    <row r="7275">
      <c r="C7275" t="s">
        <v>898</v>
      </c>
    </row>
    <row r="7276">
      <c r="C7276" t="s">
        <v>898</v>
      </c>
    </row>
    <row r="7277">
      <c r="C7277" t="s">
        <v>898</v>
      </c>
    </row>
    <row r="7278">
      <c r="C7278" t="s">
        <v>898</v>
      </c>
    </row>
    <row r="7279">
      <c r="C7279" t="s">
        <v>898</v>
      </c>
    </row>
    <row r="7280">
      <c r="C7280" t="s">
        <v>898</v>
      </c>
    </row>
    <row r="7281">
      <c r="C7281" t="s">
        <v>898</v>
      </c>
    </row>
    <row r="7282">
      <c r="C7282" t="s">
        <v>898</v>
      </c>
    </row>
    <row r="7283">
      <c r="C7283" t="s">
        <v>898</v>
      </c>
    </row>
    <row r="7284">
      <c r="C7284" t="s">
        <v>898</v>
      </c>
    </row>
    <row r="7285">
      <c r="C7285" t="s">
        <v>898</v>
      </c>
    </row>
    <row r="7286">
      <c r="C7286" t="s">
        <v>898</v>
      </c>
    </row>
    <row r="7287">
      <c r="C7287" t="s">
        <v>898</v>
      </c>
    </row>
    <row r="7288">
      <c r="C7288" t="s">
        <v>898</v>
      </c>
    </row>
    <row r="7289">
      <c r="C7289" t="s">
        <v>898</v>
      </c>
    </row>
    <row r="7290">
      <c r="C7290" t="s">
        <v>898</v>
      </c>
    </row>
    <row r="7291">
      <c r="C7291" t="s">
        <v>898</v>
      </c>
    </row>
    <row r="7292">
      <c r="C7292" t="s">
        <v>898</v>
      </c>
    </row>
    <row r="7293">
      <c r="C7293" t="s">
        <v>898</v>
      </c>
    </row>
    <row r="7294">
      <c r="C7294" t="s">
        <v>898</v>
      </c>
    </row>
    <row r="7295">
      <c r="C7295" t="s">
        <v>898</v>
      </c>
    </row>
    <row r="7296">
      <c r="C7296" t="s">
        <v>898</v>
      </c>
    </row>
    <row r="7297">
      <c r="C7297" t="s">
        <v>898</v>
      </c>
    </row>
    <row r="7298">
      <c r="C7298" t="s">
        <v>898</v>
      </c>
    </row>
    <row r="7299">
      <c r="C7299" t="s">
        <v>898</v>
      </c>
    </row>
    <row r="7300">
      <c r="C7300" t="s">
        <v>898</v>
      </c>
    </row>
    <row r="7301">
      <c r="C7301" t="s">
        <v>898</v>
      </c>
    </row>
    <row r="7302">
      <c r="C7302" t="s">
        <v>898</v>
      </c>
    </row>
    <row r="7303">
      <c r="C7303" t="s">
        <v>898</v>
      </c>
    </row>
    <row r="7304">
      <c r="C7304" t="s">
        <v>898</v>
      </c>
    </row>
    <row r="7305">
      <c r="C7305" t="s">
        <v>898</v>
      </c>
    </row>
    <row r="7306">
      <c r="C7306" t="s">
        <v>898</v>
      </c>
    </row>
    <row r="7307">
      <c r="C7307" t="s">
        <v>898</v>
      </c>
    </row>
    <row r="7308">
      <c r="C7308" t="s">
        <v>898</v>
      </c>
    </row>
    <row r="7309">
      <c r="C7309" t="s">
        <v>898</v>
      </c>
    </row>
    <row r="7310">
      <c r="C7310" t="s">
        <v>898</v>
      </c>
    </row>
    <row r="7311">
      <c r="C7311" t="s">
        <v>898</v>
      </c>
    </row>
    <row r="7312">
      <c r="C7312" t="s">
        <v>898</v>
      </c>
    </row>
    <row r="7313">
      <c r="C7313" t="s">
        <v>898</v>
      </c>
    </row>
    <row r="7314">
      <c r="C7314" t="s">
        <v>898</v>
      </c>
    </row>
    <row r="7315">
      <c r="C7315" t="s">
        <v>898</v>
      </c>
    </row>
    <row r="7316">
      <c r="C7316" t="s">
        <v>898</v>
      </c>
    </row>
    <row r="7317">
      <c r="C7317" t="s">
        <v>898</v>
      </c>
    </row>
    <row r="7318">
      <c r="C7318" t="s">
        <v>898</v>
      </c>
    </row>
    <row r="7319">
      <c r="C7319" t="s">
        <v>898</v>
      </c>
    </row>
    <row r="7320">
      <c r="C7320" t="s">
        <v>898</v>
      </c>
    </row>
    <row r="7321">
      <c r="C7321" t="s">
        <v>898</v>
      </c>
    </row>
    <row r="7322">
      <c r="C7322" t="s">
        <v>898</v>
      </c>
    </row>
    <row r="7323">
      <c r="C7323" t="s">
        <v>898</v>
      </c>
    </row>
    <row r="7324">
      <c r="C7324" t="s">
        <v>898</v>
      </c>
    </row>
    <row r="7325">
      <c r="C7325" t="s">
        <v>898</v>
      </c>
    </row>
    <row r="7326">
      <c r="C7326" t="s">
        <v>898</v>
      </c>
    </row>
    <row r="7327">
      <c r="C7327" t="s">
        <v>898</v>
      </c>
    </row>
    <row r="7328">
      <c r="C7328" t="s">
        <v>898</v>
      </c>
    </row>
    <row r="7329">
      <c r="C7329" t="s">
        <v>898</v>
      </c>
    </row>
    <row r="7330">
      <c r="C7330" t="s">
        <v>898</v>
      </c>
    </row>
    <row r="7331">
      <c r="C7331" t="s">
        <v>898</v>
      </c>
    </row>
    <row r="7332">
      <c r="C7332" t="s">
        <v>898</v>
      </c>
    </row>
    <row r="7333">
      <c r="C7333" t="s">
        <v>898</v>
      </c>
    </row>
    <row r="7334">
      <c r="C7334" t="s">
        <v>898</v>
      </c>
    </row>
    <row r="7335">
      <c r="C7335" t="s">
        <v>898</v>
      </c>
    </row>
    <row r="7336">
      <c r="C7336" t="s">
        <v>898</v>
      </c>
    </row>
    <row r="7337">
      <c r="C7337" t="s">
        <v>898</v>
      </c>
    </row>
    <row r="7338">
      <c r="C7338" t="s">
        <v>898</v>
      </c>
    </row>
    <row r="7339">
      <c r="C7339" t="s">
        <v>898</v>
      </c>
    </row>
    <row r="7340">
      <c r="C7340" t="s">
        <v>898</v>
      </c>
    </row>
    <row r="7341">
      <c r="C7341" t="s">
        <v>898</v>
      </c>
    </row>
    <row r="7342">
      <c r="C7342" t="s">
        <v>898</v>
      </c>
    </row>
    <row r="7343">
      <c r="C7343" t="s">
        <v>898</v>
      </c>
    </row>
    <row r="7344">
      <c r="C7344" t="s">
        <v>898</v>
      </c>
    </row>
    <row r="7345">
      <c r="C7345" t="s">
        <v>898</v>
      </c>
    </row>
    <row r="7346">
      <c r="C7346" t="s">
        <v>898</v>
      </c>
    </row>
    <row r="7347">
      <c r="C7347" t="s">
        <v>898</v>
      </c>
    </row>
    <row r="7348">
      <c r="C7348" t="s">
        <v>898</v>
      </c>
    </row>
    <row r="7349">
      <c r="C7349" t="s">
        <v>898</v>
      </c>
    </row>
    <row r="7350">
      <c r="C7350" t="s">
        <v>898</v>
      </c>
    </row>
    <row r="7351">
      <c r="C7351" t="s">
        <v>898</v>
      </c>
    </row>
    <row r="7352">
      <c r="C7352" t="s">
        <v>898</v>
      </c>
    </row>
    <row r="7353">
      <c r="C7353" t="s">
        <v>898</v>
      </c>
    </row>
    <row r="7354">
      <c r="C7354" t="s">
        <v>898</v>
      </c>
    </row>
    <row r="7355">
      <c r="C7355" t="s">
        <v>898</v>
      </c>
    </row>
    <row r="7356">
      <c r="C7356" t="s">
        <v>898</v>
      </c>
    </row>
    <row r="7357">
      <c r="C7357" t="s">
        <v>898</v>
      </c>
    </row>
    <row r="7358">
      <c r="C7358" t="s">
        <v>898</v>
      </c>
    </row>
    <row r="7359">
      <c r="C7359" t="s">
        <v>898</v>
      </c>
    </row>
    <row r="7360">
      <c r="C7360" t="s">
        <v>898</v>
      </c>
    </row>
    <row r="7361">
      <c r="C7361" t="s">
        <v>898</v>
      </c>
    </row>
    <row r="7362">
      <c r="C7362" t="s">
        <v>898</v>
      </c>
    </row>
    <row r="7363">
      <c r="C7363" t="s">
        <v>898</v>
      </c>
    </row>
    <row r="7364">
      <c r="C7364" t="s">
        <v>898</v>
      </c>
    </row>
    <row r="7365">
      <c r="C7365" t="s">
        <v>898</v>
      </c>
    </row>
    <row r="7366">
      <c r="C7366" t="s">
        <v>898</v>
      </c>
    </row>
    <row r="7367">
      <c r="C7367" t="s">
        <v>898</v>
      </c>
    </row>
    <row r="7368">
      <c r="C7368" t="s">
        <v>898</v>
      </c>
    </row>
    <row r="7369">
      <c r="C7369" t="s">
        <v>898</v>
      </c>
    </row>
    <row r="7370">
      <c r="C7370" t="s">
        <v>898</v>
      </c>
    </row>
    <row r="7371">
      <c r="C7371" t="s">
        <v>898</v>
      </c>
    </row>
    <row r="7372">
      <c r="C7372" t="s">
        <v>898</v>
      </c>
    </row>
    <row r="7373">
      <c r="C7373" t="s">
        <v>898</v>
      </c>
    </row>
    <row r="7374">
      <c r="C7374" t="s">
        <v>898</v>
      </c>
    </row>
    <row r="7375">
      <c r="C7375" t="s">
        <v>898</v>
      </c>
    </row>
    <row r="7376">
      <c r="C7376" t="s">
        <v>898</v>
      </c>
    </row>
    <row r="7377">
      <c r="C7377" t="s">
        <v>898</v>
      </c>
    </row>
    <row r="7378">
      <c r="C7378" t="s">
        <v>898</v>
      </c>
    </row>
    <row r="7379">
      <c r="C7379" t="s">
        <v>898</v>
      </c>
    </row>
    <row r="7380">
      <c r="C7380" t="s">
        <v>898</v>
      </c>
    </row>
    <row r="7381">
      <c r="C7381" t="s">
        <v>898</v>
      </c>
    </row>
    <row r="7382">
      <c r="C7382" t="s">
        <v>898</v>
      </c>
    </row>
    <row r="7383">
      <c r="C7383" t="s">
        <v>898</v>
      </c>
    </row>
    <row r="7384">
      <c r="C7384" t="s">
        <v>898</v>
      </c>
    </row>
    <row r="7385">
      <c r="C7385" t="s">
        <v>898</v>
      </c>
    </row>
    <row r="7386">
      <c r="C7386" t="s">
        <v>898</v>
      </c>
    </row>
    <row r="7387">
      <c r="C7387" t="s">
        <v>898</v>
      </c>
    </row>
    <row r="7388">
      <c r="C7388" t="s">
        <v>898</v>
      </c>
    </row>
    <row r="7389">
      <c r="C7389" t="s">
        <v>898</v>
      </c>
    </row>
    <row r="7390">
      <c r="C7390" t="s">
        <v>898</v>
      </c>
    </row>
    <row r="7391">
      <c r="C7391" t="s">
        <v>898</v>
      </c>
    </row>
    <row r="7392">
      <c r="C7392" t="s">
        <v>898</v>
      </c>
    </row>
    <row r="7393">
      <c r="C7393" t="s">
        <v>898</v>
      </c>
    </row>
    <row r="7394">
      <c r="C7394" t="s">
        <v>898</v>
      </c>
    </row>
    <row r="7395">
      <c r="C7395" t="s">
        <v>898</v>
      </c>
    </row>
    <row r="7396">
      <c r="C7396" t="s">
        <v>898</v>
      </c>
    </row>
    <row r="7397">
      <c r="C7397" t="s">
        <v>898</v>
      </c>
    </row>
    <row r="7398">
      <c r="C7398" t="s">
        <v>898</v>
      </c>
    </row>
    <row r="7399">
      <c r="C7399" t="s">
        <v>898</v>
      </c>
    </row>
    <row r="7400">
      <c r="C7400" t="s">
        <v>898</v>
      </c>
    </row>
    <row r="7401">
      <c r="C7401" t="s">
        <v>898</v>
      </c>
    </row>
    <row r="7402">
      <c r="C7402" t="s">
        <v>898</v>
      </c>
    </row>
    <row r="7403">
      <c r="C7403" t="s">
        <v>898</v>
      </c>
    </row>
    <row r="7404">
      <c r="C7404" t="s">
        <v>898</v>
      </c>
    </row>
    <row r="7405">
      <c r="C7405" t="s">
        <v>898</v>
      </c>
    </row>
    <row r="7406">
      <c r="C7406" t="s">
        <v>898</v>
      </c>
    </row>
    <row r="7407">
      <c r="C7407" t="s">
        <v>898</v>
      </c>
    </row>
    <row r="7408">
      <c r="C7408" t="s">
        <v>898</v>
      </c>
    </row>
    <row r="7409">
      <c r="C7409" t="s">
        <v>898</v>
      </c>
    </row>
    <row r="7410">
      <c r="C7410" t="s">
        <v>898</v>
      </c>
    </row>
    <row r="7411">
      <c r="C7411" t="s">
        <v>898</v>
      </c>
    </row>
    <row r="7412">
      <c r="C7412" t="s">
        <v>898</v>
      </c>
    </row>
    <row r="7413">
      <c r="C7413" t="s">
        <v>898</v>
      </c>
    </row>
    <row r="7414">
      <c r="C7414" t="s">
        <v>898</v>
      </c>
    </row>
    <row r="7415">
      <c r="C7415" t="s">
        <v>898</v>
      </c>
    </row>
    <row r="7416">
      <c r="C7416" t="s">
        <v>898</v>
      </c>
    </row>
    <row r="7417">
      <c r="C7417" t="s">
        <v>898</v>
      </c>
    </row>
    <row r="7418">
      <c r="C7418" t="s">
        <v>898</v>
      </c>
    </row>
    <row r="7419">
      <c r="C7419" t="s">
        <v>898</v>
      </c>
    </row>
    <row r="7420">
      <c r="C7420" t="s">
        <v>898</v>
      </c>
    </row>
    <row r="7421">
      <c r="C7421" t="s">
        <v>898</v>
      </c>
    </row>
    <row r="7422">
      <c r="C7422" t="s">
        <v>898</v>
      </c>
    </row>
    <row r="7423">
      <c r="C7423" t="s">
        <v>898</v>
      </c>
    </row>
    <row r="7424">
      <c r="C7424" t="s">
        <v>898</v>
      </c>
    </row>
    <row r="7425">
      <c r="C7425" t="s">
        <v>898</v>
      </c>
    </row>
    <row r="7426">
      <c r="C7426" t="s">
        <v>898</v>
      </c>
    </row>
    <row r="7427">
      <c r="C7427" t="s">
        <v>898</v>
      </c>
    </row>
    <row r="7428">
      <c r="C7428" t="s">
        <v>898</v>
      </c>
    </row>
    <row r="7429">
      <c r="C7429" t="s">
        <v>898</v>
      </c>
    </row>
    <row r="7430">
      <c r="C7430" t="s">
        <v>898</v>
      </c>
    </row>
    <row r="7431">
      <c r="C7431" t="s">
        <v>898</v>
      </c>
    </row>
    <row r="7432">
      <c r="C7432" t="s">
        <v>898</v>
      </c>
    </row>
    <row r="7433">
      <c r="C7433" t="s">
        <v>898</v>
      </c>
    </row>
    <row r="7434">
      <c r="C7434" t="s">
        <v>898</v>
      </c>
    </row>
    <row r="7435">
      <c r="C7435" t="s">
        <v>898</v>
      </c>
    </row>
    <row r="7436">
      <c r="C7436" t="s">
        <v>898</v>
      </c>
    </row>
    <row r="7437">
      <c r="C7437" t="s">
        <v>898</v>
      </c>
    </row>
    <row r="7438">
      <c r="C7438" t="s">
        <v>898</v>
      </c>
    </row>
    <row r="7439">
      <c r="C7439" t="s">
        <v>898</v>
      </c>
    </row>
    <row r="7440">
      <c r="C7440" t="s">
        <v>898</v>
      </c>
    </row>
    <row r="7441">
      <c r="C7441" t="s">
        <v>898</v>
      </c>
    </row>
    <row r="7442">
      <c r="C7442" t="s">
        <v>898</v>
      </c>
    </row>
    <row r="7443">
      <c r="C7443" t="s">
        <v>898</v>
      </c>
    </row>
    <row r="7444">
      <c r="C7444" t="s">
        <v>898</v>
      </c>
    </row>
    <row r="7445">
      <c r="C7445" t="s">
        <v>898</v>
      </c>
    </row>
    <row r="7446">
      <c r="C7446" t="s">
        <v>898</v>
      </c>
    </row>
    <row r="7447">
      <c r="C7447" t="s">
        <v>898</v>
      </c>
    </row>
    <row r="7448">
      <c r="C7448" t="s">
        <v>898</v>
      </c>
    </row>
    <row r="7449">
      <c r="C7449" t="s">
        <v>898</v>
      </c>
    </row>
    <row r="7450">
      <c r="C7450" t="s">
        <v>898</v>
      </c>
    </row>
    <row r="7451">
      <c r="C7451" t="s">
        <v>898</v>
      </c>
    </row>
    <row r="7452">
      <c r="C7452" t="s">
        <v>898</v>
      </c>
    </row>
    <row r="7453">
      <c r="C7453" t="s">
        <v>898</v>
      </c>
    </row>
    <row r="7454">
      <c r="C7454" t="s">
        <v>898</v>
      </c>
    </row>
    <row r="7455">
      <c r="C7455" t="s">
        <v>898</v>
      </c>
    </row>
    <row r="7456">
      <c r="C7456" t="s">
        <v>898</v>
      </c>
    </row>
    <row r="7457">
      <c r="C7457" t="s">
        <v>898</v>
      </c>
    </row>
    <row r="7458">
      <c r="C7458" t="s">
        <v>898</v>
      </c>
    </row>
    <row r="7459">
      <c r="C7459" t="s">
        <v>898</v>
      </c>
    </row>
    <row r="7460">
      <c r="C7460" t="s">
        <v>898</v>
      </c>
    </row>
    <row r="7461">
      <c r="C7461" t="s">
        <v>898</v>
      </c>
    </row>
    <row r="7462">
      <c r="C7462" t="s">
        <v>898</v>
      </c>
    </row>
    <row r="7463">
      <c r="C7463" t="s">
        <v>898</v>
      </c>
    </row>
    <row r="7464">
      <c r="C7464" t="s">
        <v>898</v>
      </c>
    </row>
    <row r="7465">
      <c r="C7465" t="s">
        <v>898</v>
      </c>
    </row>
    <row r="7466">
      <c r="C7466" t="s">
        <v>898</v>
      </c>
    </row>
    <row r="7467">
      <c r="C7467" t="s">
        <v>898</v>
      </c>
    </row>
    <row r="7468">
      <c r="C7468" t="s">
        <v>898</v>
      </c>
    </row>
    <row r="7469">
      <c r="C7469" t="s">
        <v>898</v>
      </c>
    </row>
    <row r="7470">
      <c r="C7470" t="s">
        <v>898</v>
      </c>
    </row>
    <row r="7471">
      <c r="C7471" t="s">
        <v>898</v>
      </c>
    </row>
    <row r="7472">
      <c r="C7472" t="s">
        <v>898</v>
      </c>
    </row>
    <row r="7473">
      <c r="C7473" t="s">
        <v>898</v>
      </c>
    </row>
    <row r="7474">
      <c r="C7474" t="s">
        <v>898</v>
      </c>
    </row>
    <row r="7475">
      <c r="C7475" t="s">
        <v>898</v>
      </c>
    </row>
    <row r="7476">
      <c r="C7476" t="s">
        <v>898</v>
      </c>
    </row>
    <row r="7477">
      <c r="C7477" t="s">
        <v>898</v>
      </c>
    </row>
    <row r="7478">
      <c r="C7478" t="s">
        <v>898</v>
      </c>
    </row>
    <row r="7479">
      <c r="C7479" t="s">
        <v>898</v>
      </c>
    </row>
    <row r="7480">
      <c r="C7480" t="s">
        <v>898</v>
      </c>
    </row>
    <row r="7481">
      <c r="C7481" t="s">
        <v>898</v>
      </c>
    </row>
    <row r="7482">
      <c r="C7482" t="s">
        <v>898</v>
      </c>
    </row>
    <row r="7483">
      <c r="C7483" t="s">
        <v>898</v>
      </c>
    </row>
    <row r="7484">
      <c r="C7484" t="s">
        <v>898</v>
      </c>
    </row>
    <row r="7485">
      <c r="C7485" t="s">
        <v>898</v>
      </c>
    </row>
    <row r="7486">
      <c r="C7486" t="s">
        <v>898</v>
      </c>
    </row>
    <row r="7487">
      <c r="C7487" t="s">
        <v>898</v>
      </c>
    </row>
    <row r="7488">
      <c r="C7488" t="s">
        <v>898</v>
      </c>
    </row>
    <row r="7489">
      <c r="C7489" t="s">
        <v>898</v>
      </c>
    </row>
    <row r="7490">
      <c r="C7490" t="s">
        <v>898</v>
      </c>
    </row>
    <row r="7491">
      <c r="C7491" t="s">
        <v>898</v>
      </c>
    </row>
    <row r="7492">
      <c r="C7492" t="s">
        <v>898</v>
      </c>
    </row>
    <row r="7493">
      <c r="C7493" t="s">
        <v>898</v>
      </c>
    </row>
    <row r="7494">
      <c r="C7494" t="s">
        <v>898</v>
      </c>
    </row>
    <row r="7495">
      <c r="C7495" t="s">
        <v>898</v>
      </c>
    </row>
    <row r="7496">
      <c r="C7496" t="s">
        <v>898</v>
      </c>
    </row>
    <row r="7497">
      <c r="C7497" t="s">
        <v>898</v>
      </c>
    </row>
    <row r="7498">
      <c r="C7498" t="s">
        <v>898</v>
      </c>
    </row>
    <row r="7499">
      <c r="C7499" t="s">
        <v>898</v>
      </c>
    </row>
    <row r="7500">
      <c r="C7500" t="s">
        <v>898</v>
      </c>
    </row>
    <row r="7501">
      <c r="C7501" t="s">
        <v>898</v>
      </c>
    </row>
    <row r="7502">
      <c r="C7502" t="s">
        <v>898</v>
      </c>
    </row>
    <row r="7503">
      <c r="C7503" t="s">
        <v>898</v>
      </c>
    </row>
    <row r="7504">
      <c r="C7504" t="s">
        <v>898</v>
      </c>
    </row>
    <row r="7505">
      <c r="C7505" t="s">
        <v>898</v>
      </c>
    </row>
    <row r="7506">
      <c r="C7506" t="s">
        <v>898</v>
      </c>
    </row>
    <row r="7507">
      <c r="C7507" t="s">
        <v>898</v>
      </c>
    </row>
    <row r="7508">
      <c r="C7508" t="s">
        <v>898</v>
      </c>
    </row>
    <row r="7509">
      <c r="C7509" t="s">
        <v>898</v>
      </c>
    </row>
    <row r="7510">
      <c r="C7510" t="s">
        <v>898</v>
      </c>
    </row>
    <row r="7511">
      <c r="C7511" t="s">
        <v>898</v>
      </c>
    </row>
    <row r="7512">
      <c r="C7512" t="s">
        <v>898</v>
      </c>
    </row>
    <row r="7513">
      <c r="C7513" t="s">
        <v>898</v>
      </c>
    </row>
    <row r="7514">
      <c r="C7514" t="s">
        <v>898</v>
      </c>
    </row>
    <row r="7515">
      <c r="C7515" t="s">
        <v>898</v>
      </c>
    </row>
    <row r="7516">
      <c r="C7516" t="s">
        <v>898</v>
      </c>
    </row>
    <row r="7517">
      <c r="C7517" t="s">
        <v>898</v>
      </c>
    </row>
    <row r="7518">
      <c r="C7518" t="s">
        <v>898</v>
      </c>
    </row>
    <row r="7519">
      <c r="C7519" t="s">
        <v>898</v>
      </c>
    </row>
    <row r="7520">
      <c r="C7520" t="s">
        <v>898</v>
      </c>
    </row>
    <row r="7521">
      <c r="C7521" t="s">
        <v>898</v>
      </c>
    </row>
    <row r="7522">
      <c r="C7522" t="s">
        <v>898</v>
      </c>
    </row>
    <row r="7523">
      <c r="C7523" t="s">
        <v>898</v>
      </c>
    </row>
    <row r="7524">
      <c r="C7524" t="s">
        <v>898</v>
      </c>
    </row>
    <row r="7525">
      <c r="C7525" t="s">
        <v>898</v>
      </c>
    </row>
    <row r="7526">
      <c r="C7526" t="s">
        <v>898</v>
      </c>
    </row>
    <row r="7527">
      <c r="C7527" t="s">
        <v>898</v>
      </c>
    </row>
    <row r="7528">
      <c r="C7528" t="s">
        <v>898</v>
      </c>
    </row>
    <row r="7529">
      <c r="C7529" t="s">
        <v>898</v>
      </c>
    </row>
    <row r="7530">
      <c r="C7530" t="s">
        <v>898</v>
      </c>
    </row>
    <row r="7531">
      <c r="C7531" t="s">
        <v>898</v>
      </c>
    </row>
    <row r="7532">
      <c r="C7532" t="s">
        <v>898</v>
      </c>
    </row>
    <row r="7533">
      <c r="C7533" t="s">
        <v>898</v>
      </c>
    </row>
    <row r="7534">
      <c r="C7534" t="s">
        <v>898</v>
      </c>
    </row>
    <row r="7535">
      <c r="C7535" t="s">
        <v>898</v>
      </c>
    </row>
    <row r="7536">
      <c r="C7536" t="s">
        <v>898</v>
      </c>
    </row>
    <row r="7537">
      <c r="C7537" t="s">
        <v>898</v>
      </c>
    </row>
    <row r="7538">
      <c r="C7538" t="s">
        <v>898</v>
      </c>
    </row>
    <row r="7539">
      <c r="C7539" t="s">
        <v>898</v>
      </c>
    </row>
    <row r="7540">
      <c r="C7540" t="s">
        <v>898</v>
      </c>
    </row>
    <row r="7541">
      <c r="C7541" t="s">
        <v>898</v>
      </c>
    </row>
    <row r="7542">
      <c r="C7542" t="s">
        <v>898</v>
      </c>
    </row>
    <row r="7543">
      <c r="C7543" t="s">
        <v>898</v>
      </c>
    </row>
    <row r="7544">
      <c r="C7544" t="s">
        <v>898</v>
      </c>
    </row>
    <row r="7545">
      <c r="C7545" t="s">
        <v>898</v>
      </c>
    </row>
    <row r="7546">
      <c r="C7546" t="s">
        <v>898</v>
      </c>
    </row>
    <row r="7547">
      <c r="C7547" t="s">
        <v>898</v>
      </c>
    </row>
    <row r="7548">
      <c r="C7548" t="s">
        <v>898</v>
      </c>
    </row>
    <row r="7549">
      <c r="C7549" t="s">
        <v>898</v>
      </c>
    </row>
    <row r="7550">
      <c r="C7550" t="s">
        <v>898</v>
      </c>
    </row>
    <row r="7551">
      <c r="C7551" t="s">
        <v>898</v>
      </c>
    </row>
    <row r="7552">
      <c r="C7552" t="s">
        <v>898</v>
      </c>
    </row>
    <row r="7553">
      <c r="C7553" t="s">
        <v>898</v>
      </c>
    </row>
    <row r="7554">
      <c r="C7554" t="s">
        <v>898</v>
      </c>
    </row>
    <row r="7555">
      <c r="C7555" t="s">
        <v>898</v>
      </c>
    </row>
    <row r="7556">
      <c r="C7556" t="s">
        <v>898</v>
      </c>
    </row>
    <row r="7557">
      <c r="C7557" t="s">
        <v>898</v>
      </c>
    </row>
    <row r="7558">
      <c r="C7558" t="s">
        <v>898</v>
      </c>
    </row>
    <row r="7559">
      <c r="C7559" t="s">
        <v>898</v>
      </c>
    </row>
    <row r="7560">
      <c r="C7560" t="s">
        <v>898</v>
      </c>
    </row>
    <row r="7561">
      <c r="C7561" t="s">
        <v>898</v>
      </c>
    </row>
    <row r="7562">
      <c r="C7562" t="s">
        <v>898</v>
      </c>
    </row>
    <row r="7563">
      <c r="C7563" t="s">
        <v>898</v>
      </c>
    </row>
    <row r="7564">
      <c r="C7564" t="s">
        <v>898</v>
      </c>
    </row>
    <row r="7565">
      <c r="C7565" t="s">
        <v>898</v>
      </c>
    </row>
    <row r="7566">
      <c r="C7566" t="s">
        <v>898</v>
      </c>
    </row>
    <row r="7567">
      <c r="C7567" t="s">
        <v>898</v>
      </c>
    </row>
    <row r="7568">
      <c r="C7568" t="s">
        <v>898</v>
      </c>
    </row>
    <row r="7569">
      <c r="C7569" t="s">
        <v>898</v>
      </c>
    </row>
    <row r="7570">
      <c r="C7570" t="s">
        <v>898</v>
      </c>
    </row>
    <row r="7571">
      <c r="C7571" t="s">
        <v>898</v>
      </c>
    </row>
    <row r="7572">
      <c r="C7572" t="s">
        <v>898</v>
      </c>
    </row>
    <row r="7573">
      <c r="C7573" t="s">
        <v>898</v>
      </c>
    </row>
    <row r="7574">
      <c r="C7574" t="s">
        <v>898</v>
      </c>
    </row>
    <row r="7575">
      <c r="C7575" t="s">
        <v>898</v>
      </c>
    </row>
    <row r="7576">
      <c r="C7576" t="s">
        <v>898</v>
      </c>
    </row>
    <row r="7577">
      <c r="C7577" t="s">
        <v>898</v>
      </c>
    </row>
    <row r="7578">
      <c r="C7578" t="s">
        <v>898</v>
      </c>
    </row>
    <row r="7579">
      <c r="C7579" t="s">
        <v>898</v>
      </c>
    </row>
    <row r="7580">
      <c r="C7580" t="s">
        <v>898</v>
      </c>
    </row>
    <row r="7581">
      <c r="C7581" t="s">
        <v>898</v>
      </c>
    </row>
    <row r="7582">
      <c r="C7582" t="s">
        <v>898</v>
      </c>
    </row>
    <row r="7583">
      <c r="C7583" t="s">
        <v>898</v>
      </c>
    </row>
    <row r="7584">
      <c r="C7584" t="s">
        <v>898</v>
      </c>
    </row>
    <row r="7585">
      <c r="C7585" t="s">
        <v>898</v>
      </c>
    </row>
    <row r="7586">
      <c r="C7586" t="s">
        <v>898</v>
      </c>
    </row>
    <row r="7587">
      <c r="C7587" t="s">
        <v>898</v>
      </c>
    </row>
    <row r="7588">
      <c r="C7588" t="s">
        <v>898</v>
      </c>
    </row>
    <row r="7589">
      <c r="C7589" t="s">
        <v>898</v>
      </c>
    </row>
    <row r="7590">
      <c r="C7590" t="s">
        <v>898</v>
      </c>
    </row>
    <row r="7591">
      <c r="C7591" t="s">
        <v>898</v>
      </c>
    </row>
    <row r="7592">
      <c r="C7592" t="s">
        <v>898</v>
      </c>
    </row>
    <row r="7593">
      <c r="C7593" t="s">
        <v>898</v>
      </c>
    </row>
    <row r="7594">
      <c r="C7594" t="s">
        <v>898</v>
      </c>
    </row>
    <row r="7595">
      <c r="C7595" t="s">
        <v>898</v>
      </c>
    </row>
    <row r="7596">
      <c r="C7596" t="s">
        <v>898</v>
      </c>
    </row>
    <row r="7597">
      <c r="C7597" t="s">
        <v>898</v>
      </c>
    </row>
    <row r="7598">
      <c r="C7598" t="s">
        <v>898</v>
      </c>
    </row>
    <row r="7599">
      <c r="C7599" t="s">
        <v>898</v>
      </c>
    </row>
    <row r="7600">
      <c r="C7600" t="s">
        <v>898</v>
      </c>
    </row>
    <row r="7601">
      <c r="C7601" t="s">
        <v>898</v>
      </c>
    </row>
    <row r="7602">
      <c r="C7602" t="s">
        <v>898</v>
      </c>
    </row>
    <row r="7603">
      <c r="C7603" t="s">
        <v>898</v>
      </c>
    </row>
    <row r="7604">
      <c r="C7604" t="s">
        <v>898</v>
      </c>
    </row>
    <row r="7605">
      <c r="C7605" t="s">
        <v>898</v>
      </c>
    </row>
    <row r="7606">
      <c r="C7606" t="s">
        <v>898</v>
      </c>
    </row>
    <row r="7607">
      <c r="C7607" t="s">
        <v>898</v>
      </c>
    </row>
    <row r="7608">
      <c r="C7608" t="s">
        <v>898</v>
      </c>
    </row>
    <row r="7609">
      <c r="C7609" t="s">
        <v>898</v>
      </c>
    </row>
    <row r="7610">
      <c r="C7610" t="s">
        <v>898</v>
      </c>
    </row>
    <row r="7611">
      <c r="C7611" t="s">
        <v>898</v>
      </c>
    </row>
    <row r="7612">
      <c r="C7612" t="s">
        <v>898</v>
      </c>
    </row>
    <row r="7613">
      <c r="C7613" t="s">
        <v>898</v>
      </c>
    </row>
    <row r="7614">
      <c r="C7614" t="s">
        <v>898</v>
      </c>
    </row>
    <row r="7615">
      <c r="C7615" t="s">
        <v>898</v>
      </c>
    </row>
    <row r="7616">
      <c r="C7616" t="s">
        <v>898</v>
      </c>
    </row>
    <row r="7617">
      <c r="C7617" t="s">
        <v>898</v>
      </c>
    </row>
    <row r="7618">
      <c r="C7618" t="s">
        <v>898</v>
      </c>
    </row>
    <row r="7619">
      <c r="C7619" t="s">
        <v>898</v>
      </c>
    </row>
    <row r="7620">
      <c r="C7620" t="s">
        <v>898</v>
      </c>
    </row>
    <row r="7621">
      <c r="C7621" t="s">
        <v>898</v>
      </c>
    </row>
    <row r="7622">
      <c r="C7622" t="s">
        <v>898</v>
      </c>
    </row>
    <row r="7623">
      <c r="C7623" t="s">
        <v>898</v>
      </c>
    </row>
    <row r="7624">
      <c r="C7624" t="s">
        <v>898</v>
      </c>
    </row>
    <row r="7625">
      <c r="C7625" t="s">
        <v>898</v>
      </c>
    </row>
    <row r="7626">
      <c r="C7626" t="s">
        <v>898</v>
      </c>
    </row>
    <row r="7627">
      <c r="C7627" t="s">
        <v>898</v>
      </c>
    </row>
    <row r="7628">
      <c r="C7628" t="s">
        <v>898</v>
      </c>
    </row>
    <row r="7629">
      <c r="C7629" t="s">
        <v>898</v>
      </c>
    </row>
    <row r="7630">
      <c r="C7630" t="s">
        <v>898</v>
      </c>
    </row>
    <row r="7631">
      <c r="C7631" t="s">
        <v>898</v>
      </c>
    </row>
    <row r="7632">
      <c r="C7632" t="s">
        <v>898</v>
      </c>
    </row>
    <row r="7633">
      <c r="C7633" t="s">
        <v>898</v>
      </c>
    </row>
    <row r="7634">
      <c r="C7634" t="s">
        <v>898</v>
      </c>
    </row>
    <row r="7635">
      <c r="C7635" t="s">
        <v>898</v>
      </c>
    </row>
    <row r="7636">
      <c r="C7636" t="s">
        <v>898</v>
      </c>
    </row>
    <row r="7637">
      <c r="C7637" t="s">
        <v>898</v>
      </c>
    </row>
    <row r="7638">
      <c r="C7638" t="s">
        <v>898</v>
      </c>
    </row>
    <row r="7639">
      <c r="C7639" t="s">
        <v>898</v>
      </c>
    </row>
    <row r="7640">
      <c r="C7640" t="s">
        <v>898</v>
      </c>
    </row>
    <row r="7641">
      <c r="C7641" t="s">
        <v>898</v>
      </c>
    </row>
    <row r="7642">
      <c r="C7642" t="s">
        <v>898</v>
      </c>
    </row>
    <row r="7643">
      <c r="C7643" t="s">
        <v>898</v>
      </c>
    </row>
    <row r="7644">
      <c r="C7644" t="s">
        <v>898</v>
      </c>
    </row>
    <row r="7645">
      <c r="C7645" t="s">
        <v>898</v>
      </c>
    </row>
    <row r="7646">
      <c r="C7646" t="s">
        <v>898</v>
      </c>
    </row>
    <row r="7647">
      <c r="C7647" t="s">
        <v>898</v>
      </c>
    </row>
    <row r="7648">
      <c r="C7648" t="s">
        <v>898</v>
      </c>
    </row>
    <row r="7649">
      <c r="C7649" t="s">
        <v>898</v>
      </c>
    </row>
    <row r="7650">
      <c r="C7650" t="s">
        <v>898</v>
      </c>
    </row>
    <row r="7651">
      <c r="C7651" t="s">
        <v>898</v>
      </c>
    </row>
    <row r="7652">
      <c r="C7652" t="s">
        <v>898</v>
      </c>
    </row>
    <row r="7653">
      <c r="C7653" t="s">
        <v>898</v>
      </c>
    </row>
    <row r="7654">
      <c r="C7654" t="s">
        <v>898</v>
      </c>
    </row>
    <row r="7655">
      <c r="C7655" t="s">
        <v>898</v>
      </c>
    </row>
    <row r="7656">
      <c r="C7656" t="s">
        <v>898</v>
      </c>
    </row>
    <row r="7657">
      <c r="C7657" t="s">
        <v>898</v>
      </c>
    </row>
    <row r="7658">
      <c r="C7658" t="s">
        <v>898</v>
      </c>
    </row>
    <row r="7659">
      <c r="C7659" t="s">
        <v>898</v>
      </c>
    </row>
    <row r="7660">
      <c r="C7660" t="s">
        <v>898</v>
      </c>
    </row>
    <row r="7661">
      <c r="C7661" t="s">
        <v>898</v>
      </c>
    </row>
    <row r="7662">
      <c r="C7662" t="s">
        <v>898</v>
      </c>
    </row>
    <row r="7663">
      <c r="C7663" t="s">
        <v>898</v>
      </c>
    </row>
    <row r="7664">
      <c r="C7664" t="s">
        <v>898</v>
      </c>
    </row>
    <row r="7665">
      <c r="C7665" t="s">
        <v>898</v>
      </c>
    </row>
    <row r="7666">
      <c r="C7666" t="s">
        <v>898</v>
      </c>
    </row>
    <row r="7667">
      <c r="C7667" t="s">
        <v>898</v>
      </c>
    </row>
    <row r="7668">
      <c r="C7668" t="s">
        <v>898</v>
      </c>
    </row>
    <row r="7669">
      <c r="C7669" t="s">
        <v>898</v>
      </c>
    </row>
    <row r="7670">
      <c r="C7670" t="s">
        <v>898</v>
      </c>
    </row>
    <row r="7671">
      <c r="C7671" t="s">
        <v>898</v>
      </c>
    </row>
    <row r="7672">
      <c r="C7672" t="s">
        <v>898</v>
      </c>
    </row>
    <row r="7673">
      <c r="C7673" t="s">
        <v>898</v>
      </c>
    </row>
    <row r="7674">
      <c r="C7674" t="s">
        <v>898</v>
      </c>
    </row>
    <row r="7675">
      <c r="C7675" t="s">
        <v>898</v>
      </c>
    </row>
    <row r="7676">
      <c r="C7676" t="s">
        <v>898</v>
      </c>
    </row>
    <row r="7677">
      <c r="C7677" t="s">
        <v>898</v>
      </c>
    </row>
    <row r="7678">
      <c r="C7678" t="s">
        <v>898</v>
      </c>
    </row>
    <row r="7679">
      <c r="C7679" t="s">
        <v>898</v>
      </c>
    </row>
    <row r="7680">
      <c r="C7680" t="s">
        <v>898</v>
      </c>
    </row>
    <row r="7681">
      <c r="C7681" t="s">
        <v>898</v>
      </c>
    </row>
    <row r="7682">
      <c r="C7682" t="s">
        <v>898</v>
      </c>
    </row>
    <row r="7683">
      <c r="C7683" t="s">
        <v>898</v>
      </c>
    </row>
    <row r="7684">
      <c r="C7684" t="s">
        <v>898</v>
      </c>
    </row>
    <row r="7685">
      <c r="C7685" t="s">
        <v>898</v>
      </c>
    </row>
    <row r="7686">
      <c r="C7686" t="s">
        <v>898</v>
      </c>
    </row>
    <row r="7687">
      <c r="C7687" t="s">
        <v>898</v>
      </c>
    </row>
    <row r="7688">
      <c r="C7688" t="s">
        <v>898</v>
      </c>
    </row>
    <row r="7689">
      <c r="C7689" t="s">
        <v>898</v>
      </c>
    </row>
    <row r="7690">
      <c r="C7690" t="s">
        <v>898</v>
      </c>
    </row>
    <row r="7691">
      <c r="C7691" t="s">
        <v>898</v>
      </c>
    </row>
    <row r="7692">
      <c r="C7692" t="s">
        <v>898</v>
      </c>
    </row>
    <row r="7693">
      <c r="C7693" t="s">
        <v>898</v>
      </c>
    </row>
    <row r="7694">
      <c r="C7694" t="s">
        <v>898</v>
      </c>
    </row>
    <row r="7695">
      <c r="C7695" t="s">
        <v>898</v>
      </c>
    </row>
    <row r="7696">
      <c r="C7696" t="s">
        <v>898</v>
      </c>
    </row>
    <row r="7697">
      <c r="C7697" t="s">
        <v>898</v>
      </c>
    </row>
    <row r="7698">
      <c r="C7698" t="s">
        <v>898</v>
      </c>
    </row>
    <row r="7699">
      <c r="C7699" t="s">
        <v>898</v>
      </c>
    </row>
    <row r="7700">
      <c r="C7700" t="s">
        <v>898</v>
      </c>
    </row>
    <row r="7701">
      <c r="C7701" t="s">
        <v>898</v>
      </c>
    </row>
    <row r="7702">
      <c r="C7702" t="s">
        <v>898</v>
      </c>
    </row>
    <row r="7703">
      <c r="C7703" t="s">
        <v>898</v>
      </c>
    </row>
    <row r="7704">
      <c r="C7704" t="s">
        <v>898</v>
      </c>
    </row>
    <row r="7705">
      <c r="C7705" t="s">
        <v>898</v>
      </c>
    </row>
    <row r="7706">
      <c r="C7706" t="s">
        <v>898</v>
      </c>
    </row>
    <row r="7707">
      <c r="C7707" t="s">
        <v>898</v>
      </c>
    </row>
    <row r="7708">
      <c r="C7708" t="s">
        <v>898</v>
      </c>
    </row>
    <row r="7709">
      <c r="C7709" t="s">
        <v>898</v>
      </c>
    </row>
    <row r="7710">
      <c r="C7710" t="s">
        <v>898</v>
      </c>
    </row>
    <row r="7711">
      <c r="C7711" t="s">
        <v>898</v>
      </c>
    </row>
    <row r="7712">
      <c r="C7712" t="s">
        <v>898</v>
      </c>
    </row>
    <row r="7713">
      <c r="C7713" t="s">
        <v>898</v>
      </c>
    </row>
    <row r="7714">
      <c r="C7714" t="s">
        <v>898</v>
      </c>
    </row>
    <row r="7715">
      <c r="C7715" t="s">
        <v>898</v>
      </c>
    </row>
    <row r="7716">
      <c r="C7716" t="s">
        <v>898</v>
      </c>
    </row>
    <row r="7717">
      <c r="C7717" t="s">
        <v>898</v>
      </c>
    </row>
    <row r="7718">
      <c r="C7718" t="s">
        <v>898</v>
      </c>
    </row>
    <row r="7719">
      <c r="C7719" t="s">
        <v>898</v>
      </c>
    </row>
    <row r="7720">
      <c r="C7720" t="s">
        <v>898</v>
      </c>
    </row>
    <row r="7721">
      <c r="C7721" t="s">
        <v>898</v>
      </c>
    </row>
    <row r="7722">
      <c r="C7722" t="s">
        <v>898</v>
      </c>
    </row>
    <row r="7723">
      <c r="C7723" t="s">
        <v>898</v>
      </c>
    </row>
    <row r="7724">
      <c r="C7724" t="s">
        <v>898</v>
      </c>
    </row>
    <row r="7725">
      <c r="C7725" t="s">
        <v>898</v>
      </c>
    </row>
    <row r="7726">
      <c r="C7726" t="s">
        <v>898</v>
      </c>
    </row>
    <row r="7727">
      <c r="C7727" t="s">
        <v>898</v>
      </c>
    </row>
    <row r="7728">
      <c r="C7728" t="s">
        <v>898</v>
      </c>
    </row>
    <row r="7729">
      <c r="C7729" t="s">
        <v>898</v>
      </c>
    </row>
    <row r="7730">
      <c r="C7730" t="s">
        <v>898</v>
      </c>
    </row>
    <row r="7731">
      <c r="C7731" t="s">
        <v>898</v>
      </c>
    </row>
    <row r="7732">
      <c r="C7732" t="s">
        <v>898</v>
      </c>
    </row>
    <row r="7733">
      <c r="C7733" t="s">
        <v>898</v>
      </c>
    </row>
    <row r="7734">
      <c r="C7734" t="s">
        <v>898</v>
      </c>
    </row>
    <row r="7735">
      <c r="C7735" t="s">
        <v>898</v>
      </c>
    </row>
    <row r="7736">
      <c r="C7736" t="s">
        <v>898</v>
      </c>
    </row>
    <row r="7737">
      <c r="C7737" t="s">
        <v>898</v>
      </c>
    </row>
    <row r="7738">
      <c r="C7738" t="s">
        <v>898</v>
      </c>
    </row>
    <row r="7739">
      <c r="C7739" t="s">
        <v>898</v>
      </c>
    </row>
    <row r="7740">
      <c r="C7740" t="s">
        <v>898</v>
      </c>
    </row>
    <row r="7741">
      <c r="C7741" t="s">
        <v>898</v>
      </c>
    </row>
    <row r="7742">
      <c r="C7742" t="s">
        <v>898</v>
      </c>
    </row>
    <row r="7743">
      <c r="C7743" t="s">
        <v>898</v>
      </c>
    </row>
    <row r="7744">
      <c r="C7744" t="s">
        <v>898</v>
      </c>
    </row>
    <row r="7745">
      <c r="C7745" t="s">
        <v>898</v>
      </c>
    </row>
    <row r="7746">
      <c r="C7746" t="s">
        <v>898</v>
      </c>
    </row>
    <row r="7747">
      <c r="C7747" t="s">
        <v>898</v>
      </c>
    </row>
    <row r="7748">
      <c r="C7748" t="s">
        <v>898</v>
      </c>
    </row>
    <row r="7749">
      <c r="C7749" t="s">
        <v>898</v>
      </c>
    </row>
    <row r="7750">
      <c r="C7750" t="s">
        <v>898</v>
      </c>
    </row>
    <row r="7751">
      <c r="C7751" t="s">
        <v>898</v>
      </c>
    </row>
    <row r="7752">
      <c r="C7752" t="s">
        <v>898</v>
      </c>
    </row>
    <row r="7753">
      <c r="C7753" t="s">
        <v>898</v>
      </c>
    </row>
    <row r="7754">
      <c r="C7754" t="s">
        <v>898</v>
      </c>
    </row>
    <row r="7755">
      <c r="C7755" t="s">
        <v>898</v>
      </c>
    </row>
    <row r="7756">
      <c r="C7756" t="s">
        <v>898</v>
      </c>
    </row>
    <row r="7757">
      <c r="C7757" t="s">
        <v>898</v>
      </c>
    </row>
    <row r="7758">
      <c r="C7758" t="s">
        <v>898</v>
      </c>
    </row>
    <row r="7759">
      <c r="C7759" t="s">
        <v>898</v>
      </c>
    </row>
    <row r="7760">
      <c r="C7760" t="s">
        <v>898</v>
      </c>
    </row>
    <row r="7761">
      <c r="C7761" t="s">
        <v>898</v>
      </c>
    </row>
    <row r="7762">
      <c r="C7762" t="s">
        <v>898</v>
      </c>
    </row>
    <row r="7763">
      <c r="C7763" t="s">
        <v>898</v>
      </c>
    </row>
    <row r="7764">
      <c r="C7764" t="s">
        <v>898</v>
      </c>
    </row>
    <row r="7765">
      <c r="C7765" t="s">
        <v>898</v>
      </c>
    </row>
    <row r="7766">
      <c r="C7766" t="s">
        <v>898</v>
      </c>
    </row>
    <row r="7767">
      <c r="C7767" t="s">
        <v>898</v>
      </c>
    </row>
    <row r="7768">
      <c r="C7768" t="s">
        <v>898</v>
      </c>
    </row>
    <row r="7769">
      <c r="C7769" t="s">
        <v>898</v>
      </c>
    </row>
    <row r="7770">
      <c r="C7770" t="s">
        <v>898</v>
      </c>
    </row>
    <row r="7771">
      <c r="C7771" t="s">
        <v>898</v>
      </c>
    </row>
    <row r="7772">
      <c r="C7772" t="s">
        <v>898</v>
      </c>
    </row>
    <row r="7773">
      <c r="C7773" t="s">
        <v>898</v>
      </c>
    </row>
    <row r="7774">
      <c r="C7774" t="s">
        <v>898</v>
      </c>
    </row>
    <row r="7775">
      <c r="C7775" t="s">
        <v>898</v>
      </c>
    </row>
    <row r="7776">
      <c r="C7776" t="s">
        <v>898</v>
      </c>
    </row>
    <row r="7777">
      <c r="C7777" t="s">
        <v>898</v>
      </c>
    </row>
    <row r="7778">
      <c r="C7778" t="s">
        <v>898</v>
      </c>
    </row>
    <row r="7779">
      <c r="C7779" t="s">
        <v>898</v>
      </c>
    </row>
    <row r="7780">
      <c r="C7780" t="s">
        <v>898</v>
      </c>
    </row>
    <row r="7781">
      <c r="C7781" t="s">
        <v>898</v>
      </c>
    </row>
    <row r="7782">
      <c r="C7782" t="s">
        <v>898</v>
      </c>
    </row>
    <row r="7783">
      <c r="C7783" t="s">
        <v>898</v>
      </c>
    </row>
    <row r="7784">
      <c r="C7784" t="s">
        <v>898</v>
      </c>
    </row>
    <row r="7785">
      <c r="C7785" t="s">
        <v>898</v>
      </c>
    </row>
    <row r="7786">
      <c r="C7786" t="s">
        <v>898</v>
      </c>
    </row>
    <row r="7787">
      <c r="C7787" t="s">
        <v>898</v>
      </c>
    </row>
    <row r="7788">
      <c r="C7788" t="s">
        <v>898</v>
      </c>
    </row>
    <row r="7789">
      <c r="C7789" t="s">
        <v>898</v>
      </c>
    </row>
    <row r="7790">
      <c r="C7790" t="s">
        <v>898</v>
      </c>
    </row>
    <row r="7791">
      <c r="C7791" t="s">
        <v>898</v>
      </c>
    </row>
    <row r="7792">
      <c r="C7792" t="s">
        <v>898</v>
      </c>
    </row>
    <row r="7793">
      <c r="C7793" t="s">
        <v>898</v>
      </c>
    </row>
    <row r="7794">
      <c r="C7794" t="s">
        <v>898</v>
      </c>
    </row>
    <row r="7795">
      <c r="C7795" t="s">
        <v>898</v>
      </c>
    </row>
    <row r="7796">
      <c r="C7796" t="s">
        <v>898</v>
      </c>
    </row>
    <row r="7797">
      <c r="C7797" t="s">
        <v>898</v>
      </c>
    </row>
    <row r="7798">
      <c r="C7798" t="s">
        <v>898</v>
      </c>
    </row>
    <row r="7799">
      <c r="C7799" t="s">
        <v>898</v>
      </c>
    </row>
    <row r="7800">
      <c r="C7800" t="s">
        <v>898</v>
      </c>
    </row>
    <row r="7801">
      <c r="C7801" t="s">
        <v>898</v>
      </c>
    </row>
    <row r="7802">
      <c r="C7802" t="s">
        <v>898</v>
      </c>
    </row>
    <row r="7803">
      <c r="C7803" t="s">
        <v>898</v>
      </c>
    </row>
    <row r="7804">
      <c r="C7804" t="s">
        <v>898</v>
      </c>
    </row>
    <row r="7805">
      <c r="C7805" t="s">
        <v>898</v>
      </c>
    </row>
    <row r="7806">
      <c r="C7806" t="s">
        <v>898</v>
      </c>
    </row>
    <row r="7807">
      <c r="C7807" t="s">
        <v>898</v>
      </c>
    </row>
    <row r="7808">
      <c r="C7808" t="s">
        <v>898</v>
      </c>
    </row>
    <row r="7809">
      <c r="C7809" t="s">
        <v>898</v>
      </c>
    </row>
    <row r="7810">
      <c r="C7810" t="s">
        <v>898</v>
      </c>
    </row>
    <row r="7811">
      <c r="C7811" t="s">
        <v>898</v>
      </c>
    </row>
    <row r="7812">
      <c r="C7812" t="s">
        <v>898</v>
      </c>
    </row>
    <row r="7813">
      <c r="C7813" t="s">
        <v>898</v>
      </c>
    </row>
    <row r="7814">
      <c r="C7814" t="s">
        <v>898</v>
      </c>
    </row>
    <row r="7815">
      <c r="C7815" t="s">
        <v>898</v>
      </c>
    </row>
    <row r="7816">
      <c r="C7816" t="s">
        <v>898</v>
      </c>
    </row>
    <row r="7817">
      <c r="C7817" t="s">
        <v>898</v>
      </c>
    </row>
    <row r="7818">
      <c r="C7818" t="s">
        <v>898</v>
      </c>
    </row>
    <row r="7819">
      <c r="C7819" t="s">
        <v>898</v>
      </c>
    </row>
    <row r="7820">
      <c r="C7820" t="s">
        <v>898</v>
      </c>
    </row>
    <row r="7821">
      <c r="C7821" t="s">
        <v>898</v>
      </c>
    </row>
    <row r="7822">
      <c r="C7822" t="s">
        <v>898</v>
      </c>
    </row>
    <row r="7823">
      <c r="C7823" t="s">
        <v>898</v>
      </c>
    </row>
    <row r="7824">
      <c r="C7824" t="s">
        <v>898</v>
      </c>
    </row>
    <row r="7825">
      <c r="C7825" t="s">
        <v>898</v>
      </c>
    </row>
    <row r="7826">
      <c r="C7826" t="s">
        <v>898</v>
      </c>
    </row>
    <row r="7827">
      <c r="C7827" t="s">
        <v>898</v>
      </c>
    </row>
    <row r="7828">
      <c r="C7828" t="s">
        <v>898</v>
      </c>
    </row>
    <row r="7829">
      <c r="C7829" t="s">
        <v>898</v>
      </c>
    </row>
    <row r="7830">
      <c r="C7830" t="s">
        <v>898</v>
      </c>
    </row>
    <row r="7831">
      <c r="C7831" t="s">
        <v>898</v>
      </c>
    </row>
    <row r="7832">
      <c r="C7832" t="s">
        <v>898</v>
      </c>
    </row>
    <row r="7833">
      <c r="C7833" t="s">
        <v>898</v>
      </c>
    </row>
    <row r="7834">
      <c r="C7834" t="s">
        <v>898</v>
      </c>
    </row>
    <row r="7835">
      <c r="C7835" t="s">
        <v>898</v>
      </c>
    </row>
    <row r="7836">
      <c r="C7836" t="s">
        <v>898</v>
      </c>
    </row>
    <row r="7837">
      <c r="C7837" t="s">
        <v>898</v>
      </c>
    </row>
    <row r="7838">
      <c r="C7838" t="s">
        <v>898</v>
      </c>
    </row>
    <row r="7839">
      <c r="C7839" t="s">
        <v>898</v>
      </c>
    </row>
    <row r="7840">
      <c r="C7840" t="s">
        <v>898</v>
      </c>
    </row>
    <row r="7841">
      <c r="C7841" t="s">
        <v>898</v>
      </c>
    </row>
    <row r="7842">
      <c r="C7842" t="s">
        <v>898</v>
      </c>
    </row>
    <row r="7843">
      <c r="C7843" t="s">
        <v>898</v>
      </c>
    </row>
    <row r="7844">
      <c r="C7844" t="s">
        <v>898</v>
      </c>
    </row>
    <row r="7845">
      <c r="C7845" t="s">
        <v>898</v>
      </c>
    </row>
    <row r="7846">
      <c r="C7846" t="s">
        <v>898</v>
      </c>
    </row>
    <row r="7847">
      <c r="C7847" t="s">
        <v>898</v>
      </c>
    </row>
    <row r="7848">
      <c r="C7848" t="s">
        <v>898</v>
      </c>
    </row>
    <row r="7849">
      <c r="C7849" t="s">
        <v>898</v>
      </c>
    </row>
    <row r="7850">
      <c r="C7850" t="s">
        <v>898</v>
      </c>
    </row>
    <row r="7851">
      <c r="C7851" t="s">
        <v>898</v>
      </c>
    </row>
    <row r="7852">
      <c r="C7852" t="s">
        <v>898</v>
      </c>
    </row>
    <row r="7853">
      <c r="C7853" t="s">
        <v>898</v>
      </c>
    </row>
    <row r="7854">
      <c r="C7854" t="s">
        <v>898</v>
      </c>
    </row>
    <row r="7855">
      <c r="C7855" t="s">
        <v>898</v>
      </c>
    </row>
    <row r="7856">
      <c r="C7856" t="s">
        <v>898</v>
      </c>
    </row>
    <row r="7857">
      <c r="C7857" t="s">
        <v>898</v>
      </c>
    </row>
    <row r="7858">
      <c r="C7858" t="s">
        <v>898</v>
      </c>
    </row>
    <row r="7859">
      <c r="C7859" t="s">
        <v>898</v>
      </c>
    </row>
    <row r="7860">
      <c r="C7860" t="s">
        <v>898</v>
      </c>
    </row>
    <row r="7861">
      <c r="C7861" t="s">
        <v>898</v>
      </c>
    </row>
    <row r="7862">
      <c r="C7862" t="s">
        <v>898</v>
      </c>
    </row>
    <row r="7863">
      <c r="C7863" t="s">
        <v>898</v>
      </c>
    </row>
    <row r="7864">
      <c r="C7864" t="s">
        <v>898</v>
      </c>
    </row>
    <row r="7865">
      <c r="C7865" t="s">
        <v>898</v>
      </c>
    </row>
    <row r="7866">
      <c r="C7866" t="s">
        <v>898</v>
      </c>
    </row>
    <row r="7867">
      <c r="C7867" t="s">
        <v>898</v>
      </c>
    </row>
    <row r="7868">
      <c r="C7868" t="s">
        <v>898</v>
      </c>
    </row>
    <row r="7869">
      <c r="C7869" t="s">
        <v>898</v>
      </c>
    </row>
    <row r="7870">
      <c r="C7870" t="s">
        <v>898</v>
      </c>
    </row>
    <row r="7871">
      <c r="C7871" t="s">
        <v>898</v>
      </c>
    </row>
    <row r="7872">
      <c r="C7872" t="s">
        <v>898</v>
      </c>
    </row>
    <row r="7873">
      <c r="C7873" t="s">
        <v>898</v>
      </c>
    </row>
    <row r="7874">
      <c r="C7874" t="s">
        <v>898</v>
      </c>
    </row>
    <row r="7875">
      <c r="C7875" t="s">
        <v>898</v>
      </c>
    </row>
    <row r="7876">
      <c r="C7876" t="s">
        <v>898</v>
      </c>
    </row>
    <row r="7877">
      <c r="C7877" t="s">
        <v>898</v>
      </c>
    </row>
    <row r="7878">
      <c r="C7878" t="s">
        <v>898</v>
      </c>
    </row>
    <row r="7879">
      <c r="C7879" t="s">
        <v>898</v>
      </c>
    </row>
    <row r="7880">
      <c r="C7880" t="s">
        <v>898</v>
      </c>
    </row>
    <row r="7881">
      <c r="C7881" t="s">
        <v>898</v>
      </c>
    </row>
    <row r="7882">
      <c r="C7882" t="s">
        <v>898</v>
      </c>
    </row>
    <row r="7883">
      <c r="C7883" t="s">
        <v>898</v>
      </c>
    </row>
    <row r="7884">
      <c r="C7884" t="s">
        <v>898</v>
      </c>
    </row>
    <row r="7885">
      <c r="C7885" t="s">
        <v>898</v>
      </c>
    </row>
    <row r="7886">
      <c r="C7886" t="s">
        <v>898</v>
      </c>
    </row>
    <row r="7887">
      <c r="C7887" t="s">
        <v>898</v>
      </c>
    </row>
    <row r="7888">
      <c r="C7888" t="s">
        <v>898</v>
      </c>
    </row>
    <row r="7889">
      <c r="C7889" t="s">
        <v>898</v>
      </c>
    </row>
    <row r="7890">
      <c r="C7890" t="s">
        <v>898</v>
      </c>
    </row>
    <row r="7891">
      <c r="C7891" t="s">
        <v>898</v>
      </c>
    </row>
    <row r="7892">
      <c r="C7892" t="s">
        <v>898</v>
      </c>
    </row>
    <row r="7893">
      <c r="C7893" t="s">
        <v>898</v>
      </c>
    </row>
    <row r="7894">
      <c r="C7894" t="s">
        <v>898</v>
      </c>
    </row>
    <row r="7895">
      <c r="C7895" t="s">
        <v>898</v>
      </c>
    </row>
    <row r="7896">
      <c r="C7896" t="s">
        <v>898</v>
      </c>
    </row>
    <row r="7897">
      <c r="C7897" t="s">
        <v>898</v>
      </c>
    </row>
    <row r="7898">
      <c r="C7898" t="s">
        <v>898</v>
      </c>
    </row>
    <row r="7899">
      <c r="C7899" t="s">
        <v>898</v>
      </c>
    </row>
    <row r="7900">
      <c r="C7900" t="s">
        <v>898</v>
      </c>
    </row>
    <row r="7901">
      <c r="C7901" t="s">
        <v>898</v>
      </c>
    </row>
    <row r="7902">
      <c r="C7902" t="s">
        <v>898</v>
      </c>
    </row>
    <row r="7903">
      <c r="C7903" t="s">
        <v>898</v>
      </c>
    </row>
    <row r="7904">
      <c r="C7904" t="s">
        <v>898</v>
      </c>
    </row>
    <row r="7905">
      <c r="C7905" t="s">
        <v>898</v>
      </c>
    </row>
    <row r="7906">
      <c r="C7906" t="s">
        <v>898</v>
      </c>
    </row>
    <row r="7907">
      <c r="C7907" t="s">
        <v>898</v>
      </c>
    </row>
    <row r="7908">
      <c r="C7908" t="s">
        <v>898</v>
      </c>
    </row>
    <row r="7909">
      <c r="C7909" t="s">
        <v>898</v>
      </c>
    </row>
    <row r="7910">
      <c r="C7910" t="s">
        <v>898</v>
      </c>
    </row>
    <row r="7911">
      <c r="C7911" t="s">
        <v>898</v>
      </c>
    </row>
    <row r="7912">
      <c r="C7912" t="s">
        <v>898</v>
      </c>
    </row>
    <row r="7913">
      <c r="C7913" t="s">
        <v>898</v>
      </c>
    </row>
    <row r="7914">
      <c r="C7914" t="s">
        <v>898</v>
      </c>
    </row>
    <row r="7915">
      <c r="C7915" t="s">
        <v>898</v>
      </c>
    </row>
    <row r="7916">
      <c r="C7916" t="s">
        <v>898</v>
      </c>
    </row>
    <row r="7917">
      <c r="C7917" t="s">
        <v>898</v>
      </c>
    </row>
    <row r="7918">
      <c r="C7918" t="s">
        <v>898</v>
      </c>
    </row>
    <row r="7919">
      <c r="C7919" t="s">
        <v>898</v>
      </c>
    </row>
    <row r="7920">
      <c r="C7920" t="s">
        <v>898</v>
      </c>
    </row>
    <row r="7921">
      <c r="C7921" t="s">
        <v>898</v>
      </c>
    </row>
    <row r="7922">
      <c r="C7922" t="s">
        <v>898</v>
      </c>
    </row>
    <row r="7923">
      <c r="C7923" t="s">
        <v>898</v>
      </c>
    </row>
    <row r="7924">
      <c r="C7924" t="s">
        <v>898</v>
      </c>
    </row>
    <row r="7925">
      <c r="C7925" t="s">
        <v>898</v>
      </c>
    </row>
    <row r="7926">
      <c r="C7926" t="s">
        <v>898</v>
      </c>
    </row>
    <row r="7927">
      <c r="C7927" t="s">
        <v>898</v>
      </c>
    </row>
    <row r="7928">
      <c r="C7928" t="s">
        <v>898</v>
      </c>
    </row>
    <row r="7929">
      <c r="C7929" t="s">
        <v>898</v>
      </c>
    </row>
    <row r="7930">
      <c r="C7930" t="s">
        <v>898</v>
      </c>
    </row>
    <row r="7931">
      <c r="C7931" t="s">
        <v>898</v>
      </c>
    </row>
    <row r="7932">
      <c r="C7932" t="s">
        <v>898</v>
      </c>
    </row>
    <row r="7933">
      <c r="C7933" t="s">
        <v>898</v>
      </c>
    </row>
    <row r="7934">
      <c r="C7934" t="s">
        <v>898</v>
      </c>
    </row>
    <row r="7935">
      <c r="C7935" t="s">
        <v>898</v>
      </c>
    </row>
    <row r="7936">
      <c r="C7936" t="s">
        <v>898</v>
      </c>
    </row>
    <row r="7937">
      <c r="C7937" t="s">
        <v>898</v>
      </c>
    </row>
    <row r="7938">
      <c r="C7938" t="s">
        <v>898</v>
      </c>
    </row>
    <row r="7939">
      <c r="C7939" t="s">
        <v>898</v>
      </c>
    </row>
    <row r="7940">
      <c r="C7940" t="s">
        <v>898</v>
      </c>
    </row>
    <row r="7941">
      <c r="C7941" t="s">
        <v>898</v>
      </c>
    </row>
    <row r="7942">
      <c r="C7942" t="s">
        <v>898</v>
      </c>
    </row>
    <row r="7943">
      <c r="C7943" t="s">
        <v>898</v>
      </c>
    </row>
    <row r="7944">
      <c r="C7944" t="s">
        <v>898</v>
      </c>
    </row>
    <row r="7945">
      <c r="C7945" t="s">
        <v>898</v>
      </c>
    </row>
    <row r="7946">
      <c r="C7946" t="s">
        <v>898</v>
      </c>
    </row>
    <row r="7947">
      <c r="C7947" t="s">
        <v>898</v>
      </c>
    </row>
    <row r="7948">
      <c r="C7948" t="s">
        <v>898</v>
      </c>
    </row>
    <row r="7949">
      <c r="C7949" t="s">
        <v>898</v>
      </c>
    </row>
    <row r="7950">
      <c r="C7950" t="s">
        <v>898</v>
      </c>
    </row>
    <row r="7951">
      <c r="C7951" t="s">
        <v>898</v>
      </c>
    </row>
    <row r="7952">
      <c r="C7952" t="s">
        <v>898</v>
      </c>
    </row>
    <row r="7953">
      <c r="C7953" t="s">
        <v>898</v>
      </c>
    </row>
    <row r="7954">
      <c r="C7954" t="s">
        <v>898</v>
      </c>
    </row>
    <row r="7955">
      <c r="C7955" t="s">
        <v>898</v>
      </c>
    </row>
    <row r="7956">
      <c r="C7956" t="s">
        <v>898</v>
      </c>
    </row>
    <row r="7957">
      <c r="C7957" t="s">
        <v>898</v>
      </c>
    </row>
    <row r="7958">
      <c r="C7958" t="s">
        <v>898</v>
      </c>
    </row>
    <row r="7959">
      <c r="C7959" t="s">
        <v>898</v>
      </c>
    </row>
    <row r="7960">
      <c r="C7960" t="s">
        <v>898</v>
      </c>
    </row>
    <row r="7961">
      <c r="C7961" t="s">
        <v>898</v>
      </c>
    </row>
    <row r="7962">
      <c r="C7962" t="s">
        <v>898</v>
      </c>
    </row>
    <row r="7963">
      <c r="C7963" t="s">
        <v>898</v>
      </c>
    </row>
    <row r="7964">
      <c r="C7964" t="s">
        <v>898</v>
      </c>
    </row>
    <row r="7965">
      <c r="C7965" t="s">
        <v>898</v>
      </c>
    </row>
    <row r="7966">
      <c r="C7966" t="s">
        <v>898</v>
      </c>
    </row>
    <row r="7967">
      <c r="C7967" t="s">
        <v>898</v>
      </c>
    </row>
    <row r="7968">
      <c r="C7968" t="s">
        <v>898</v>
      </c>
    </row>
    <row r="7969">
      <c r="C7969" t="s">
        <v>898</v>
      </c>
    </row>
    <row r="7970">
      <c r="C7970" t="s">
        <v>898</v>
      </c>
    </row>
    <row r="7971">
      <c r="C7971" t="s">
        <v>898</v>
      </c>
    </row>
    <row r="7972">
      <c r="C7972" t="s">
        <v>898</v>
      </c>
    </row>
    <row r="7973">
      <c r="C7973" t="s">
        <v>898</v>
      </c>
    </row>
    <row r="7974">
      <c r="C7974" t="s">
        <v>898</v>
      </c>
    </row>
    <row r="7975">
      <c r="C7975" t="s">
        <v>898</v>
      </c>
    </row>
    <row r="7976">
      <c r="C7976" t="s">
        <v>898</v>
      </c>
    </row>
    <row r="7977">
      <c r="C7977" t="s">
        <v>898</v>
      </c>
    </row>
    <row r="7978">
      <c r="C7978" t="s">
        <v>898</v>
      </c>
    </row>
    <row r="7979">
      <c r="C7979" t="s">
        <v>898</v>
      </c>
    </row>
    <row r="7980">
      <c r="C7980" t="s">
        <v>898</v>
      </c>
    </row>
    <row r="7981">
      <c r="C7981" t="s">
        <v>898</v>
      </c>
    </row>
    <row r="7982">
      <c r="C7982" t="s">
        <v>898</v>
      </c>
    </row>
    <row r="7983">
      <c r="C7983" t="s">
        <v>898</v>
      </c>
    </row>
    <row r="7984">
      <c r="C7984" t="s">
        <v>898</v>
      </c>
    </row>
    <row r="7985">
      <c r="C7985" t="s">
        <v>898</v>
      </c>
    </row>
    <row r="7986">
      <c r="C7986" t="s">
        <v>898</v>
      </c>
    </row>
    <row r="7987">
      <c r="C7987" t="s">
        <v>898</v>
      </c>
    </row>
    <row r="7988">
      <c r="C7988" t="s">
        <v>898</v>
      </c>
    </row>
    <row r="7989">
      <c r="C7989" t="s">
        <v>898</v>
      </c>
    </row>
    <row r="7990">
      <c r="C7990" t="s">
        <v>898</v>
      </c>
    </row>
    <row r="7991">
      <c r="C7991" t="s">
        <v>898</v>
      </c>
    </row>
    <row r="7992">
      <c r="C7992" t="s">
        <v>898</v>
      </c>
    </row>
    <row r="7993">
      <c r="C7993" t="s">
        <v>898</v>
      </c>
    </row>
    <row r="7994">
      <c r="C7994" t="s">
        <v>898</v>
      </c>
    </row>
    <row r="7995">
      <c r="C7995" t="s">
        <v>898</v>
      </c>
    </row>
    <row r="7996">
      <c r="C7996" t="s">
        <v>898</v>
      </c>
    </row>
    <row r="7997">
      <c r="C7997" t="s">
        <v>898</v>
      </c>
    </row>
    <row r="7998">
      <c r="C7998" t="s">
        <v>898</v>
      </c>
    </row>
    <row r="7999">
      <c r="C7999" t="s">
        <v>898</v>
      </c>
    </row>
    <row r="8000">
      <c r="C8000" t="s">
        <v>898</v>
      </c>
    </row>
    <row r="8001">
      <c r="C8001" t="s">
        <v>898</v>
      </c>
    </row>
    <row r="8002">
      <c r="C8002" t="s">
        <v>898</v>
      </c>
    </row>
    <row r="8003">
      <c r="C8003" t="s">
        <v>898</v>
      </c>
    </row>
    <row r="8004">
      <c r="C8004" t="s">
        <v>898</v>
      </c>
    </row>
    <row r="8005">
      <c r="C8005" t="s">
        <v>898</v>
      </c>
    </row>
    <row r="8006">
      <c r="C8006" t="s">
        <v>898</v>
      </c>
    </row>
    <row r="8007">
      <c r="C8007" t="s">
        <v>898</v>
      </c>
    </row>
    <row r="8008">
      <c r="C8008" t="s">
        <v>898</v>
      </c>
    </row>
    <row r="8009">
      <c r="C8009" t="s">
        <v>898</v>
      </c>
    </row>
    <row r="8010">
      <c r="C8010" t="s">
        <v>898</v>
      </c>
    </row>
    <row r="8011">
      <c r="C8011" t="s">
        <v>898</v>
      </c>
    </row>
    <row r="8012">
      <c r="C8012" t="s">
        <v>898</v>
      </c>
    </row>
    <row r="8013">
      <c r="C8013" t="s">
        <v>898</v>
      </c>
    </row>
    <row r="8014">
      <c r="C8014" t="s">
        <v>898</v>
      </c>
    </row>
    <row r="8015">
      <c r="C8015" t="s">
        <v>898</v>
      </c>
    </row>
    <row r="8016">
      <c r="C8016" t="s">
        <v>898</v>
      </c>
    </row>
    <row r="8017">
      <c r="C8017" t="s">
        <v>898</v>
      </c>
    </row>
    <row r="8018">
      <c r="C8018" t="s">
        <v>898</v>
      </c>
    </row>
    <row r="8019">
      <c r="C8019" t="s">
        <v>898</v>
      </c>
    </row>
    <row r="8020">
      <c r="C8020" t="s">
        <v>898</v>
      </c>
    </row>
    <row r="8021">
      <c r="C8021" t="s">
        <v>898</v>
      </c>
    </row>
    <row r="8022">
      <c r="C8022" t="s">
        <v>898</v>
      </c>
    </row>
    <row r="8023">
      <c r="C8023" t="s">
        <v>898</v>
      </c>
    </row>
    <row r="8024">
      <c r="C8024" t="s">
        <v>898</v>
      </c>
    </row>
    <row r="8025">
      <c r="C8025" t="s">
        <v>898</v>
      </c>
    </row>
    <row r="8026">
      <c r="C8026" t="s">
        <v>898</v>
      </c>
    </row>
    <row r="8027">
      <c r="C8027" t="s">
        <v>898</v>
      </c>
    </row>
    <row r="8028">
      <c r="C8028" t="s">
        <v>898</v>
      </c>
    </row>
    <row r="8029">
      <c r="C8029" t="s">
        <v>898</v>
      </c>
    </row>
    <row r="8030">
      <c r="C8030" t="s">
        <v>898</v>
      </c>
    </row>
    <row r="8031">
      <c r="C8031" t="s">
        <v>898</v>
      </c>
    </row>
    <row r="8032">
      <c r="C8032" t="s">
        <v>898</v>
      </c>
    </row>
    <row r="8033">
      <c r="C8033" t="s">
        <v>898</v>
      </c>
    </row>
    <row r="8034">
      <c r="C8034" t="s">
        <v>898</v>
      </c>
    </row>
    <row r="8035">
      <c r="C8035" t="s">
        <v>898</v>
      </c>
    </row>
    <row r="8036">
      <c r="C8036" t="s">
        <v>898</v>
      </c>
    </row>
    <row r="8037">
      <c r="C8037" t="s">
        <v>898</v>
      </c>
    </row>
    <row r="8038">
      <c r="C8038" t="s">
        <v>898</v>
      </c>
    </row>
    <row r="8039">
      <c r="C8039" t="s">
        <v>898</v>
      </c>
    </row>
    <row r="8040">
      <c r="C8040" t="s">
        <v>898</v>
      </c>
    </row>
    <row r="8041">
      <c r="C8041" t="s">
        <v>898</v>
      </c>
    </row>
    <row r="8042">
      <c r="C8042" t="s">
        <v>898</v>
      </c>
    </row>
    <row r="8043">
      <c r="C8043" t="s">
        <v>898</v>
      </c>
    </row>
    <row r="8044">
      <c r="C8044" t="s">
        <v>898</v>
      </c>
    </row>
    <row r="8045">
      <c r="C8045" t="s">
        <v>898</v>
      </c>
    </row>
    <row r="8046">
      <c r="C8046" t="s">
        <v>898</v>
      </c>
    </row>
    <row r="8047">
      <c r="C8047" t="s">
        <v>898</v>
      </c>
    </row>
    <row r="8048">
      <c r="C8048" t="s">
        <v>898</v>
      </c>
    </row>
    <row r="8049">
      <c r="C8049" t="s">
        <v>898</v>
      </c>
    </row>
    <row r="8050">
      <c r="C8050" t="s">
        <v>898</v>
      </c>
    </row>
    <row r="8051">
      <c r="C8051" t="s">
        <v>898</v>
      </c>
    </row>
    <row r="8052">
      <c r="C8052" t="s">
        <v>898</v>
      </c>
    </row>
    <row r="8053">
      <c r="C8053" t="s">
        <v>898</v>
      </c>
    </row>
    <row r="8054">
      <c r="C8054" t="s">
        <v>898</v>
      </c>
    </row>
    <row r="8055">
      <c r="C8055" t="s">
        <v>898</v>
      </c>
    </row>
    <row r="8056">
      <c r="C8056" t="s">
        <v>898</v>
      </c>
    </row>
    <row r="8057">
      <c r="C8057" t="s">
        <v>898</v>
      </c>
    </row>
    <row r="8058">
      <c r="C8058" t="s">
        <v>898</v>
      </c>
    </row>
    <row r="8059">
      <c r="C8059" t="s">
        <v>898</v>
      </c>
    </row>
    <row r="8060">
      <c r="C8060" t="s">
        <v>898</v>
      </c>
    </row>
    <row r="8061">
      <c r="C8061" t="s">
        <v>898</v>
      </c>
    </row>
    <row r="8062">
      <c r="C8062" t="s">
        <v>898</v>
      </c>
    </row>
    <row r="8063">
      <c r="C8063" t="s">
        <v>898</v>
      </c>
    </row>
    <row r="8064">
      <c r="C8064" t="s">
        <v>898</v>
      </c>
    </row>
    <row r="8065">
      <c r="C8065" t="s">
        <v>898</v>
      </c>
    </row>
    <row r="8066">
      <c r="C8066" t="s">
        <v>898</v>
      </c>
    </row>
    <row r="8067">
      <c r="C8067" t="s">
        <v>898</v>
      </c>
    </row>
    <row r="8068">
      <c r="C8068" t="s">
        <v>898</v>
      </c>
    </row>
    <row r="8069">
      <c r="C8069" t="s">
        <v>898</v>
      </c>
    </row>
    <row r="8070">
      <c r="C8070" t="s">
        <v>898</v>
      </c>
    </row>
    <row r="8071">
      <c r="C8071" t="s">
        <v>898</v>
      </c>
    </row>
    <row r="8072">
      <c r="C8072" t="s">
        <v>898</v>
      </c>
    </row>
    <row r="8073">
      <c r="C8073" t="s">
        <v>898</v>
      </c>
    </row>
    <row r="8074">
      <c r="C8074" t="s">
        <v>898</v>
      </c>
    </row>
    <row r="8075">
      <c r="C8075" t="s">
        <v>898</v>
      </c>
    </row>
    <row r="8076">
      <c r="C8076" t="s">
        <v>898</v>
      </c>
    </row>
    <row r="8077">
      <c r="C8077" t="s">
        <v>898</v>
      </c>
    </row>
    <row r="8078">
      <c r="C8078" t="s">
        <v>898</v>
      </c>
    </row>
    <row r="8079">
      <c r="C8079" t="s">
        <v>898</v>
      </c>
    </row>
    <row r="8080">
      <c r="C8080" t="s">
        <v>898</v>
      </c>
    </row>
    <row r="8081">
      <c r="C8081" t="s">
        <v>898</v>
      </c>
    </row>
    <row r="8082">
      <c r="C8082" t="s">
        <v>898</v>
      </c>
    </row>
    <row r="8083">
      <c r="C8083" t="s">
        <v>898</v>
      </c>
    </row>
    <row r="8084">
      <c r="C8084" t="s">
        <v>898</v>
      </c>
    </row>
    <row r="8085">
      <c r="C8085" t="s">
        <v>898</v>
      </c>
    </row>
    <row r="8086">
      <c r="C8086" t="s">
        <v>898</v>
      </c>
    </row>
    <row r="8087">
      <c r="C8087" t="s">
        <v>898</v>
      </c>
    </row>
    <row r="8088">
      <c r="C8088" t="s">
        <v>898</v>
      </c>
    </row>
    <row r="8089">
      <c r="C8089" t="s">
        <v>898</v>
      </c>
    </row>
    <row r="8090">
      <c r="C8090" t="s">
        <v>898</v>
      </c>
    </row>
    <row r="8091">
      <c r="C8091" t="s">
        <v>898</v>
      </c>
    </row>
    <row r="8092">
      <c r="C8092" t="s">
        <v>898</v>
      </c>
    </row>
    <row r="8093">
      <c r="C8093" t="s">
        <v>898</v>
      </c>
    </row>
    <row r="8094">
      <c r="C8094" t="s">
        <v>898</v>
      </c>
    </row>
    <row r="8095">
      <c r="C8095" t="s">
        <v>898</v>
      </c>
    </row>
    <row r="8096">
      <c r="C8096" t="s">
        <v>898</v>
      </c>
    </row>
    <row r="8097">
      <c r="C8097" t="s">
        <v>898</v>
      </c>
    </row>
    <row r="8098">
      <c r="C8098" t="s">
        <v>898</v>
      </c>
    </row>
    <row r="8099">
      <c r="C8099" t="s">
        <v>898</v>
      </c>
    </row>
    <row r="8100">
      <c r="C8100" t="s">
        <v>898</v>
      </c>
    </row>
    <row r="8101">
      <c r="C8101" t="s">
        <v>898</v>
      </c>
    </row>
    <row r="8102">
      <c r="C8102" t="s">
        <v>898</v>
      </c>
    </row>
    <row r="8103">
      <c r="C8103" t="s">
        <v>898</v>
      </c>
    </row>
    <row r="8104">
      <c r="C8104" t="s">
        <v>898</v>
      </c>
    </row>
    <row r="8105">
      <c r="C8105" t="s">
        <v>898</v>
      </c>
    </row>
    <row r="8106">
      <c r="C8106" t="s">
        <v>898</v>
      </c>
    </row>
    <row r="8107">
      <c r="C8107" t="s">
        <v>898</v>
      </c>
    </row>
    <row r="8108">
      <c r="C8108" t="s">
        <v>898</v>
      </c>
    </row>
    <row r="8109">
      <c r="C8109" t="s">
        <v>898</v>
      </c>
    </row>
    <row r="8110">
      <c r="C8110" t="s">
        <v>898</v>
      </c>
    </row>
    <row r="8111">
      <c r="C8111" t="s">
        <v>898</v>
      </c>
    </row>
    <row r="8112">
      <c r="C8112" t="s">
        <v>898</v>
      </c>
    </row>
    <row r="8113">
      <c r="C8113" t="s">
        <v>898</v>
      </c>
    </row>
    <row r="8114">
      <c r="C8114" t="s">
        <v>898</v>
      </c>
    </row>
    <row r="8115">
      <c r="C8115" t="s">
        <v>898</v>
      </c>
    </row>
    <row r="8116">
      <c r="C8116" t="s">
        <v>898</v>
      </c>
    </row>
    <row r="8117">
      <c r="C8117" t="s">
        <v>898</v>
      </c>
    </row>
    <row r="8118">
      <c r="C8118" t="s">
        <v>898</v>
      </c>
    </row>
    <row r="8119">
      <c r="C8119" t="s">
        <v>898</v>
      </c>
    </row>
    <row r="8120">
      <c r="C8120" t="s">
        <v>898</v>
      </c>
    </row>
    <row r="8121">
      <c r="C8121" t="s">
        <v>898</v>
      </c>
    </row>
    <row r="8122">
      <c r="C8122" t="s">
        <v>898</v>
      </c>
    </row>
    <row r="8123">
      <c r="C8123" t="s">
        <v>898</v>
      </c>
    </row>
    <row r="8124">
      <c r="C8124" t="s">
        <v>898</v>
      </c>
    </row>
    <row r="8125">
      <c r="C8125" t="s">
        <v>898</v>
      </c>
    </row>
    <row r="8126">
      <c r="C8126" t="s">
        <v>898</v>
      </c>
    </row>
    <row r="8127">
      <c r="C8127" t="s">
        <v>898</v>
      </c>
    </row>
    <row r="8128">
      <c r="C8128" t="s">
        <v>898</v>
      </c>
    </row>
    <row r="8129">
      <c r="C8129" t="s">
        <v>898</v>
      </c>
    </row>
    <row r="8130">
      <c r="C8130" t="s">
        <v>898</v>
      </c>
    </row>
    <row r="8131">
      <c r="C8131" t="s">
        <v>898</v>
      </c>
    </row>
    <row r="8132">
      <c r="C8132" t="s">
        <v>898</v>
      </c>
    </row>
    <row r="8133">
      <c r="C8133" t="s">
        <v>898</v>
      </c>
    </row>
    <row r="8134">
      <c r="C8134" t="s">
        <v>898</v>
      </c>
    </row>
    <row r="8135">
      <c r="C8135" t="s">
        <v>898</v>
      </c>
    </row>
    <row r="8136">
      <c r="C8136" t="s">
        <v>898</v>
      </c>
    </row>
    <row r="8137">
      <c r="C8137" t="s">
        <v>898</v>
      </c>
    </row>
    <row r="8138">
      <c r="C8138" t="s">
        <v>898</v>
      </c>
    </row>
    <row r="8139">
      <c r="C8139" t="s">
        <v>898</v>
      </c>
    </row>
    <row r="8140">
      <c r="C8140" t="s">
        <v>898</v>
      </c>
    </row>
    <row r="8141">
      <c r="C8141" t="s">
        <v>898</v>
      </c>
    </row>
    <row r="8142">
      <c r="C8142" t="s">
        <v>898</v>
      </c>
    </row>
    <row r="8143">
      <c r="C8143" t="s">
        <v>898</v>
      </c>
    </row>
    <row r="8144">
      <c r="C8144" t="s">
        <v>898</v>
      </c>
    </row>
    <row r="8145">
      <c r="C8145" t="s">
        <v>898</v>
      </c>
    </row>
    <row r="8146">
      <c r="C8146" t="s">
        <v>898</v>
      </c>
    </row>
    <row r="8147">
      <c r="C8147" t="s">
        <v>898</v>
      </c>
    </row>
    <row r="8148">
      <c r="C8148" t="s">
        <v>898</v>
      </c>
    </row>
    <row r="8149">
      <c r="C8149" t="s">
        <v>898</v>
      </c>
    </row>
    <row r="8150">
      <c r="C8150" t="s">
        <v>898</v>
      </c>
    </row>
    <row r="8151">
      <c r="C8151" t="s">
        <v>898</v>
      </c>
    </row>
    <row r="8152">
      <c r="C8152" t="s">
        <v>898</v>
      </c>
    </row>
    <row r="8153">
      <c r="C8153" t="s">
        <v>898</v>
      </c>
    </row>
    <row r="8154">
      <c r="C8154" t="s">
        <v>898</v>
      </c>
    </row>
    <row r="8155">
      <c r="C8155" t="s">
        <v>898</v>
      </c>
    </row>
    <row r="8156">
      <c r="C8156" t="s">
        <v>898</v>
      </c>
    </row>
    <row r="8157">
      <c r="C8157" t="s">
        <v>898</v>
      </c>
    </row>
    <row r="8158">
      <c r="C8158" t="s">
        <v>898</v>
      </c>
    </row>
    <row r="8159">
      <c r="C8159" t="s">
        <v>898</v>
      </c>
    </row>
    <row r="8160">
      <c r="C8160" t="s">
        <v>898</v>
      </c>
    </row>
    <row r="8161">
      <c r="C8161" t="s">
        <v>898</v>
      </c>
    </row>
    <row r="8162">
      <c r="C8162" t="s">
        <v>898</v>
      </c>
    </row>
    <row r="8163">
      <c r="C8163" t="s">
        <v>898</v>
      </c>
    </row>
    <row r="8164">
      <c r="C8164" t="s">
        <v>898</v>
      </c>
    </row>
    <row r="8165">
      <c r="C8165" t="s">
        <v>898</v>
      </c>
    </row>
    <row r="8166">
      <c r="C8166" t="s">
        <v>898</v>
      </c>
    </row>
    <row r="8167">
      <c r="C8167" t="s">
        <v>898</v>
      </c>
    </row>
    <row r="8168">
      <c r="C8168" t="s">
        <v>898</v>
      </c>
    </row>
    <row r="8169">
      <c r="C8169" t="s">
        <v>898</v>
      </c>
    </row>
    <row r="8170">
      <c r="C8170" t="s">
        <v>898</v>
      </c>
    </row>
    <row r="8171">
      <c r="C8171" t="s">
        <v>898</v>
      </c>
    </row>
    <row r="8172">
      <c r="C8172" t="s">
        <v>898</v>
      </c>
    </row>
    <row r="8173">
      <c r="C8173" t="s">
        <v>898</v>
      </c>
    </row>
    <row r="8174">
      <c r="C8174" t="s">
        <v>898</v>
      </c>
    </row>
    <row r="8175">
      <c r="C8175" t="s">
        <v>898</v>
      </c>
    </row>
    <row r="8176">
      <c r="C8176" t="s">
        <v>898</v>
      </c>
    </row>
    <row r="8177">
      <c r="C8177" t="s">
        <v>898</v>
      </c>
    </row>
    <row r="8178">
      <c r="C8178" t="s">
        <v>898</v>
      </c>
    </row>
    <row r="8179">
      <c r="C8179" t="s">
        <v>898</v>
      </c>
    </row>
    <row r="8180">
      <c r="C8180" t="s">
        <v>898</v>
      </c>
    </row>
    <row r="8181">
      <c r="C8181" t="s">
        <v>898</v>
      </c>
    </row>
    <row r="8182">
      <c r="C8182" t="s">
        <v>898</v>
      </c>
    </row>
    <row r="8183">
      <c r="C8183" t="s">
        <v>898</v>
      </c>
    </row>
    <row r="8184">
      <c r="C8184" t="s">
        <v>898</v>
      </c>
    </row>
    <row r="8185">
      <c r="C8185" t="s">
        <v>898</v>
      </c>
    </row>
    <row r="8186">
      <c r="C8186" t="s">
        <v>898</v>
      </c>
    </row>
    <row r="8187">
      <c r="C8187" t="s">
        <v>898</v>
      </c>
    </row>
    <row r="8188">
      <c r="C8188" t="s">
        <v>898</v>
      </c>
    </row>
    <row r="8189">
      <c r="C8189" t="s">
        <v>898</v>
      </c>
    </row>
    <row r="8190">
      <c r="C8190" t="s">
        <v>898</v>
      </c>
    </row>
    <row r="8191">
      <c r="C8191" t="s">
        <v>898</v>
      </c>
    </row>
    <row r="8192">
      <c r="C8192" t="s">
        <v>898</v>
      </c>
    </row>
    <row r="8193">
      <c r="C8193" t="s">
        <v>898</v>
      </c>
    </row>
    <row r="8194">
      <c r="C8194" t="s">
        <v>898</v>
      </c>
    </row>
    <row r="8195">
      <c r="C8195" t="s">
        <v>898</v>
      </c>
    </row>
    <row r="8196">
      <c r="C8196" t="s">
        <v>898</v>
      </c>
    </row>
    <row r="8197">
      <c r="C8197" t="s">
        <v>898</v>
      </c>
    </row>
    <row r="8198">
      <c r="C8198" t="s">
        <v>898</v>
      </c>
    </row>
    <row r="8199">
      <c r="C8199" t="s">
        <v>898</v>
      </c>
    </row>
    <row r="8200">
      <c r="C8200" t="s">
        <v>898</v>
      </c>
    </row>
    <row r="8201">
      <c r="C8201" t="s">
        <v>898</v>
      </c>
    </row>
    <row r="8202">
      <c r="C8202" t="s">
        <v>898</v>
      </c>
    </row>
    <row r="8203">
      <c r="C8203" t="s">
        <v>898</v>
      </c>
    </row>
    <row r="8204">
      <c r="C8204" t="s">
        <v>898</v>
      </c>
    </row>
    <row r="8205">
      <c r="C8205" t="s">
        <v>898</v>
      </c>
    </row>
    <row r="8206">
      <c r="C8206" t="s">
        <v>898</v>
      </c>
    </row>
    <row r="8207">
      <c r="C8207" t="s">
        <v>898</v>
      </c>
    </row>
    <row r="8208">
      <c r="C8208" t="s">
        <v>898</v>
      </c>
    </row>
    <row r="8209">
      <c r="C8209" t="s">
        <v>898</v>
      </c>
    </row>
    <row r="8210">
      <c r="C8210" t="s">
        <v>898</v>
      </c>
    </row>
    <row r="8211">
      <c r="C8211" t="s">
        <v>898</v>
      </c>
    </row>
    <row r="8212">
      <c r="C8212" t="s">
        <v>898</v>
      </c>
    </row>
    <row r="8213">
      <c r="C8213" t="s">
        <v>898</v>
      </c>
    </row>
    <row r="8214">
      <c r="C8214" t="s">
        <v>898</v>
      </c>
    </row>
    <row r="8215">
      <c r="C8215" t="s">
        <v>898</v>
      </c>
    </row>
    <row r="8216">
      <c r="C8216" t="s">
        <v>898</v>
      </c>
    </row>
    <row r="8217">
      <c r="C8217" t="s">
        <v>898</v>
      </c>
    </row>
    <row r="8218">
      <c r="C8218" t="s">
        <v>898</v>
      </c>
    </row>
    <row r="8219">
      <c r="C8219" t="s">
        <v>898</v>
      </c>
    </row>
    <row r="8220">
      <c r="C8220" t="s">
        <v>898</v>
      </c>
    </row>
    <row r="8221">
      <c r="C8221" t="s">
        <v>898</v>
      </c>
    </row>
    <row r="8222">
      <c r="C8222" t="s">
        <v>898</v>
      </c>
    </row>
    <row r="8223">
      <c r="C8223" t="s">
        <v>898</v>
      </c>
    </row>
    <row r="8224">
      <c r="C8224" t="s">
        <v>898</v>
      </c>
    </row>
    <row r="8225">
      <c r="C8225" t="s">
        <v>898</v>
      </c>
    </row>
    <row r="8226">
      <c r="C8226" t="s">
        <v>898</v>
      </c>
    </row>
    <row r="8227">
      <c r="C8227" t="s">
        <v>898</v>
      </c>
    </row>
    <row r="8228">
      <c r="C8228" t="s">
        <v>898</v>
      </c>
    </row>
    <row r="8229">
      <c r="C8229" t="s">
        <v>898</v>
      </c>
    </row>
    <row r="8230">
      <c r="C8230" t="s">
        <v>898</v>
      </c>
    </row>
    <row r="8231">
      <c r="C8231" t="s">
        <v>898</v>
      </c>
    </row>
    <row r="8232">
      <c r="C8232" t="s">
        <v>898</v>
      </c>
    </row>
    <row r="8233">
      <c r="C8233" t="s">
        <v>898</v>
      </c>
    </row>
    <row r="8234">
      <c r="C8234" t="s">
        <v>898</v>
      </c>
    </row>
    <row r="8235">
      <c r="C8235" t="s">
        <v>898</v>
      </c>
    </row>
    <row r="8236">
      <c r="C8236" t="s">
        <v>898</v>
      </c>
    </row>
    <row r="8237">
      <c r="C8237" t="s">
        <v>898</v>
      </c>
    </row>
    <row r="8238">
      <c r="C8238" t="s">
        <v>898</v>
      </c>
    </row>
    <row r="8239">
      <c r="C8239" t="s">
        <v>898</v>
      </c>
    </row>
    <row r="8240">
      <c r="C8240" t="s">
        <v>898</v>
      </c>
    </row>
    <row r="8241">
      <c r="C8241" t="s">
        <v>898</v>
      </c>
    </row>
    <row r="8242">
      <c r="C8242" t="s">
        <v>898</v>
      </c>
    </row>
    <row r="8243">
      <c r="C8243" t="s">
        <v>898</v>
      </c>
    </row>
    <row r="8244">
      <c r="C8244" t="s">
        <v>898</v>
      </c>
    </row>
    <row r="8245">
      <c r="C8245" t="s">
        <v>898</v>
      </c>
    </row>
    <row r="8246">
      <c r="C8246" t="s">
        <v>898</v>
      </c>
    </row>
    <row r="8247">
      <c r="C8247" t="s">
        <v>898</v>
      </c>
    </row>
    <row r="8248">
      <c r="C8248" t="s">
        <v>898</v>
      </c>
    </row>
    <row r="8249">
      <c r="C8249" t="s">
        <v>898</v>
      </c>
    </row>
    <row r="8250">
      <c r="C8250" t="s">
        <v>898</v>
      </c>
    </row>
    <row r="8251">
      <c r="C8251" t="s">
        <v>898</v>
      </c>
    </row>
    <row r="8252">
      <c r="C8252" t="s">
        <v>898</v>
      </c>
    </row>
    <row r="8253">
      <c r="C8253" t="s">
        <v>898</v>
      </c>
    </row>
    <row r="8254">
      <c r="C8254" t="s">
        <v>898</v>
      </c>
    </row>
    <row r="8255">
      <c r="C8255" t="s">
        <v>898</v>
      </c>
    </row>
    <row r="8256">
      <c r="C8256" t="s">
        <v>898</v>
      </c>
    </row>
    <row r="8257">
      <c r="C8257" t="s">
        <v>898</v>
      </c>
    </row>
    <row r="8258">
      <c r="C8258" t="s">
        <v>898</v>
      </c>
    </row>
    <row r="8259">
      <c r="C8259" t="s">
        <v>898</v>
      </c>
    </row>
    <row r="8260">
      <c r="C8260" t="s">
        <v>898</v>
      </c>
    </row>
    <row r="8261">
      <c r="C8261" t="s">
        <v>898</v>
      </c>
    </row>
    <row r="8262">
      <c r="C8262" t="s">
        <v>898</v>
      </c>
    </row>
    <row r="8263">
      <c r="C8263" t="s">
        <v>898</v>
      </c>
    </row>
    <row r="8264">
      <c r="C8264" t="s">
        <v>898</v>
      </c>
    </row>
    <row r="8265">
      <c r="C8265" t="s">
        <v>898</v>
      </c>
    </row>
    <row r="8266">
      <c r="C8266" t="s">
        <v>898</v>
      </c>
    </row>
    <row r="8267">
      <c r="C8267" t="s">
        <v>898</v>
      </c>
    </row>
    <row r="8268">
      <c r="C8268" t="s">
        <v>898</v>
      </c>
    </row>
    <row r="8269">
      <c r="C8269" t="s">
        <v>898</v>
      </c>
    </row>
    <row r="8270">
      <c r="C8270" t="s">
        <v>898</v>
      </c>
    </row>
    <row r="8271">
      <c r="C8271" t="s">
        <v>898</v>
      </c>
    </row>
    <row r="8272">
      <c r="C8272" t="s">
        <v>898</v>
      </c>
    </row>
    <row r="8273">
      <c r="C8273" t="s">
        <v>898</v>
      </c>
    </row>
    <row r="8274">
      <c r="C8274" t="s">
        <v>898</v>
      </c>
    </row>
    <row r="8275">
      <c r="C8275" t="s">
        <v>898</v>
      </c>
    </row>
    <row r="8276">
      <c r="C8276" t="s">
        <v>898</v>
      </c>
    </row>
    <row r="8277">
      <c r="C8277" t="s">
        <v>898</v>
      </c>
    </row>
    <row r="8278">
      <c r="C8278" t="s">
        <v>898</v>
      </c>
    </row>
    <row r="8279">
      <c r="C8279" t="s">
        <v>898</v>
      </c>
    </row>
    <row r="8280">
      <c r="C8280" t="s">
        <v>898</v>
      </c>
    </row>
    <row r="8281">
      <c r="C8281" t="s">
        <v>898</v>
      </c>
    </row>
    <row r="8282">
      <c r="C8282" t="s">
        <v>898</v>
      </c>
    </row>
    <row r="8283">
      <c r="C8283" t="s">
        <v>898</v>
      </c>
    </row>
    <row r="8284">
      <c r="C8284" t="s">
        <v>898</v>
      </c>
    </row>
    <row r="8285">
      <c r="C8285" t="s">
        <v>898</v>
      </c>
    </row>
    <row r="8286">
      <c r="C8286" t="s">
        <v>898</v>
      </c>
    </row>
    <row r="8287">
      <c r="C8287" t="s">
        <v>898</v>
      </c>
    </row>
    <row r="8288">
      <c r="C8288" t="s">
        <v>898</v>
      </c>
    </row>
    <row r="8289">
      <c r="C8289" t="s">
        <v>898</v>
      </c>
    </row>
    <row r="8290">
      <c r="C8290" t="s">
        <v>898</v>
      </c>
    </row>
    <row r="8291">
      <c r="C8291" t="s">
        <v>898</v>
      </c>
    </row>
    <row r="8292">
      <c r="C8292" t="s">
        <v>898</v>
      </c>
    </row>
    <row r="8293">
      <c r="C8293" t="s">
        <v>898</v>
      </c>
    </row>
    <row r="8294">
      <c r="C8294" t="s">
        <v>898</v>
      </c>
    </row>
    <row r="8295">
      <c r="C8295" t="s">
        <v>898</v>
      </c>
    </row>
    <row r="8296">
      <c r="C8296" t="s">
        <v>898</v>
      </c>
    </row>
    <row r="8297">
      <c r="C8297" t="s">
        <v>898</v>
      </c>
    </row>
    <row r="8298">
      <c r="C8298" t="s">
        <v>898</v>
      </c>
    </row>
    <row r="8299">
      <c r="C8299" t="s">
        <v>898</v>
      </c>
    </row>
    <row r="8300">
      <c r="C8300" t="s">
        <v>898</v>
      </c>
    </row>
    <row r="8301">
      <c r="C8301" t="s">
        <v>898</v>
      </c>
    </row>
    <row r="8302">
      <c r="C8302" t="s">
        <v>898</v>
      </c>
    </row>
    <row r="8303">
      <c r="C8303" t="s">
        <v>898</v>
      </c>
    </row>
    <row r="8304">
      <c r="C8304" t="s">
        <v>898</v>
      </c>
    </row>
    <row r="8305">
      <c r="C8305" t="s">
        <v>898</v>
      </c>
    </row>
    <row r="8306">
      <c r="C8306" t="s">
        <v>898</v>
      </c>
    </row>
    <row r="8307">
      <c r="C8307" t="s">
        <v>898</v>
      </c>
    </row>
    <row r="8308">
      <c r="C8308" t="s">
        <v>898</v>
      </c>
    </row>
    <row r="8309">
      <c r="C8309" t="s">
        <v>898</v>
      </c>
    </row>
    <row r="8310">
      <c r="C8310" t="s">
        <v>898</v>
      </c>
    </row>
    <row r="8311">
      <c r="C8311" t="s">
        <v>898</v>
      </c>
    </row>
    <row r="8312">
      <c r="C8312" t="s">
        <v>898</v>
      </c>
    </row>
    <row r="8313">
      <c r="C8313" t="s">
        <v>898</v>
      </c>
    </row>
    <row r="8314">
      <c r="C8314" t="s">
        <v>898</v>
      </c>
    </row>
    <row r="8315">
      <c r="C8315" t="s">
        <v>898</v>
      </c>
    </row>
    <row r="8316">
      <c r="C8316" t="s">
        <v>898</v>
      </c>
    </row>
    <row r="8317">
      <c r="C8317" t="s">
        <v>898</v>
      </c>
    </row>
    <row r="8318">
      <c r="C8318" t="s">
        <v>898</v>
      </c>
    </row>
    <row r="8319">
      <c r="C8319" t="s">
        <v>898</v>
      </c>
    </row>
    <row r="8320">
      <c r="C8320" t="s">
        <v>898</v>
      </c>
    </row>
    <row r="8321">
      <c r="C8321" t="s">
        <v>898</v>
      </c>
    </row>
    <row r="8322">
      <c r="C8322" t="s">
        <v>898</v>
      </c>
    </row>
    <row r="8323">
      <c r="C8323" t="s">
        <v>898</v>
      </c>
    </row>
    <row r="8324">
      <c r="C8324" t="s">
        <v>898</v>
      </c>
    </row>
    <row r="8325">
      <c r="C8325" t="s">
        <v>898</v>
      </c>
    </row>
    <row r="8326">
      <c r="C8326" t="s">
        <v>898</v>
      </c>
    </row>
    <row r="8327">
      <c r="C8327" t="s">
        <v>898</v>
      </c>
    </row>
    <row r="8328">
      <c r="C8328" t="s">
        <v>898</v>
      </c>
    </row>
    <row r="8329">
      <c r="C8329" t="s">
        <v>898</v>
      </c>
    </row>
    <row r="8330">
      <c r="C8330" t="s">
        <v>898</v>
      </c>
    </row>
    <row r="8331">
      <c r="C8331" t="s">
        <v>898</v>
      </c>
    </row>
    <row r="8332">
      <c r="C8332" t="s">
        <v>898</v>
      </c>
    </row>
    <row r="8333">
      <c r="C8333" t="s">
        <v>898</v>
      </c>
    </row>
    <row r="8334">
      <c r="C8334" t="s">
        <v>898</v>
      </c>
    </row>
    <row r="8335">
      <c r="C8335" t="s">
        <v>898</v>
      </c>
    </row>
    <row r="8336">
      <c r="C8336" t="s">
        <v>898</v>
      </c>
    </row>
    <row r="8337">
      <c r="C8337" t="s">
        <v>898</v>
      </c>
    </row>
    <row r="8338">
      <c r="C8338" t="s">
        <v>898</v>
      </c>
    </row>
    <row r="8339">
      <c r="C8339" t="s">
        <v>898</v>
      </c>
    </row>
    <row r="8340">
      <c r="C8340" t="s">
        <v>898</v>
      </c>
    </row>
    <row r="8341">
      <c r="C8341" t="s">
        <v>898</v>
      </c>
    </row>
    <row r="8342">
      <c r="C8342" t="s">
        <v>898</v>
      </c>
    </row>
    <row r="8343">
      <c r="C8343" t="s">
        <v>898</v>
      </c>
    </row>
    <row r="8344">
      <c r="C8344" t="s">
        <v>898</v>
      </c>
    </row>
    <row r="8345">
      <c r="C8345" t="s">
        <v>898</v>
      </c>
    </row>
    <row r="8346">
      <c r="C8346" t="s">
        <v>898</v>
      </c>
    </row>
    <row r="8347">
      <c r="C8347" t="s">
        <v>898</v>
      </c>
    </row>
    <row r="8348">
      <c r="C8348" t="s">
        <v>898</v>
      </c>
    </row>
    <row r="8349">
      <c r="C8349" t="s">
        <v>898</v>
      </c>
    </row>
    <row r="8350">
      <c r="C8350" t="s">
        <v>898</v>
      </c>
    </row>
    <row r="8351">
      <c r="C8351" t="s">
        <v>898</v>
      </c>
    </row>
    <row r="8352">
      <c r="C8352" t="s">
        <v>898</v>
      </c>
    </row>
    <row r="8353">
      <c r="C8353" t="s">
        <v>898</v>
      </c>
    </row>
    <row r="8354">
      <c r="C8354" t="s">
        <v>898</v>
      </c>
    </row>
    <row r="8355">
      <c r="C8355" t="s">
        <v>898</v>
      </c>
    </row>
    <row r="8356">
      <c r="C8356" t="s">
        <v>898</v>
      </c>
    </row>
    <row r="8357">
      <c r="C8357" t="s">
        <v>898</v>
      </c>
    </row>
    <row r="8358">
      <c r="C8358" t="s">
        <v>898</v>
      </c>
    </row>
    <row r="8359">
      <c r="C8359" t="s">
        <v>898</v>
      </c>
    </row>
    <row r="8360">
      <c r="C8360" t="s">
        <v>898</v>
      </c>
    </row>
    <row r="8361">
      <c r="C8361" t="s">
        <v>898</v>
      </c>
    </row>
    <row r="8362">
      <c r="C8362" t="s">
        <v>898</v>
      </c>
    </row>
    <row r="8363">
      <c r="C8363" t="s">
        <v>898</v>
      </c>
    </row>
    <row r="8364">
      <c r="C8364" t="s">
        <v>898</v>
      </c>
    </row>
    <row r="8365">
      <c r="C8365" t="s">
        <v>898</v>
      </c>
    </row>
    <row r="8366">
      <c r="C8366" t="s">
        <v>898</v>
      </c>
    </row>
    <row r="8367">
      <c r="C8367" t="s">
        <v>898</v>
      </c>
    </row>
    <row r="8368">
      <c r="C8368" t="s">
        <v>898</v>
      </c>
    </row>
    <row r="8369">
      <c r="C8369" t="s">
        <v>898</v>
      </c>
    </row>
    <row r="8370">
      <c r="C8370" t="s">
        <v>898</v>
      </c>
    </row>
    <row r="8371">
      <c r="C8371" t="s">
        <v>898</v>
      </c>
    </row>
    <row r="8372">
      <c r="C8372" t="s">
        <v>898</v>
      </c>
    </row>
    <row r="8373">
      <c r="C8373" t="s">
        <v>898</v>
      </c>
    </row>
    <row r="8374">
      <c r="C8374" t="s">
        <v>898</v>
      </c>
    </row>
    <row r="8375">
      <c r="C8375" t="s">
        <v>898</v>
      </c>
    </row>
    <row r="8376">
      <c r="C8376" t="s">
        <v>898</v>
      </c>
    </row>
    <row r="8377">
      <c r="C8377" t="s">
        <v>898</v>
      </c>
    </row>
    <row r="8378">
      <c r="C8378" t="s">
        <v>898</v>
      </c>
    </row>
    <row r="8379">
      <c r="C8379" t="s">
        <v>898</v>
      </c>
    </row>
    <row r="8380">
      <c r="C8380" t="s">
        <v>898</v>
      </c>
    </row>
    <row r="8381">
      <c r="C8381" t="s">
        <v>898</v>
      </c>
    </row>
    <row r="8382">
      <c r="C8382" t="s">
        <v>898</v>
      </c>
    </row>
    <row r="8383">
      <c r="C8383" t="s">
        <v>898</v>
      </c>
    </row>
    <row r="8384">
      <c r="C8384" t="s">
        <v>898</v>
      </c>
    </row>
    <row r="8385">
      <c r="C8385" t="s">
        <v>898</v>
      </c>
    </row>
    <row r="8386">
      <c r="C8386" t="s">
        <v>898</v>
      </c>
    </row>
    <row r="8387">
      <c r="C8387" t="s">
        <v>898</v>
      </c>
    </row>
    <row r="8388">
      <c r="C8388" t="s">
        <v>898</v>
      </c>
    </row>
    <row r="8389">
      <c r="C8389" t="s">
        <v>898</v>
      </c>
    </row>
    <row r="8390">
      <c r="C8390" t="s">
        <v>898</v>
      </c>
    </row>
    <row r="8391">
      <c r="C8391" t="s">
        <v>898</v>
      </c>
    </row>
    <row r="8392">
      <c r="C8392" t="s">
        <v>898</v>
      </c>
    </row>
    <row r="8393">
      <c r="C8393" t="s">
        <v>898</v>
      </c>
    </row>
    <row r="8394">
      <c r="C8394" t="s">
        <v>898</v>
      </c>
    </row>
    <row r="8395">
      <c r="C8395" t="s">
        <v>898</v>
      </c>
    </row>
    <row r="8396">
      <c r="C8396" t="s">
        <v>898</v>
      </c>
    </row>
    <row r="8397">
      <c r="C8397" t="s">
        <v>898</v>
      </c>
    </row>
    <row r="8398">
      <c r="C8398" t="s">
        <v>898</v>
      </c>
    </row>
    <row r="8399">
      <c r="C8399" t="s">
        <v>898</v>
      </c>
    </row>
    <row r="8400">
      <c r="C8400" t="s">
        <v>898</v>
      </c>
    </row>
    <row r="8401">
      <c r="C8401" t="s">
        <v>898</v>
      </c>
    </row>
    <row r="8402">
      <c r="C8402" t="s">
        <v>898</v>
      </c>
    </row>
    <row r="8403">
      <c r="C8403" t="s">
        <v>898</v>
      </c>
    </row>
    <row r="8404">
      <c r="C8404" t="s">
        <v>898</v>
      </c>
    </row>
    <row r="8405">
      <c r="C8405" t="s">
        <v>898</v>
      </c>
    </row>
    <row r="8406">
      <c r="C8406" t="s">
        <v>898</v>
      </c>
    </row>
    <row r="8407">
      <c r="C8407" t="s">
        <v>898</v>
      </c>
    </row>
    <row r="8408">
      <c r="C8408" t="s">
        <v>898</v>
      </c>
    </row>
    <row r="8409">
      <c r="C8409" t="s">
        <v>898</v>
      </c>
    </row>
    <row r="8410">
      <c r="C8410" t="s">
        <v>898</v>
      </c>
    </row>
    <row r="8411">
      <c r="C8411" t="s">
        <v>898</v>
      </c>
    </row>
    <row r="8412">
      <c r="C8412" t="s">
        <v>898</v>
      </c>
    </row>
    <row r="8413">
      <c r="C8413" t="s">
        <v>898</v>
      </c>
    </row>
    <row r="8414">
      <c r="C8414" t="s">
        <v>898</v>
      </c>
    </row>
    <row r="8415">
      <c r="C8415" t="s">
        <v>898</v>
      </c>
    </row>
    <row r="8416">
      <c r="C8416" t="s">
        <v>898</v>
      </c>
    </row>
    <row r="8417">
      <c r="C8417" t="s">
        <v>898</v>
      </c>
    </row>
    <row r="8418">
      <c r="C8418" t="s">
        <v>898</v>
      </c>
    </row>
    <row r="8419">
      <c r="C8419" t="s">
        <v>898</v>
      </c>
    </row>
    <row r="8420">
      <c r="C8420" t="s">
        <v>898</v>
      </c>
    </row>
    <row r="8421">
      <c r="C8421" t="s">
        <v>898</v>
      </c>
    </row>
    <row r="8422">
      <c r="C8422" t="s">
        <v>898</v>
      </c>
    </row>
    <row r="8423">
      <c r="C8423" t="s">
        <v>898</v>
      </c>
    </row>
    <row r="8424">
      <c r="C8424" t="s">
        <v>898</v>
      </c>
    </row>
    <row r="8425">
      <c r="C8425" t="s">
        <v>898</v>
      </c>
    </row>
    <row r="8426">
      <c r="C8426" t="s">
        <v>898</v>
      </c>
    </row>
    <row r="8427">
      <c r="C8427" t="s">
        <v>898</v>
      </c>
    </row>
    <row r="8428">
      <c r="C8428" t="s">
        <v>898</v>
      </c>
    </row>
    <row r="8429">
      <c r="C8429" t="s">
        <v>898</v>
      </c>
    </row>
    <row r="8430">
      <c r="C8430" t="s">
        <v>898</v>
      </c>
    </row>
    <row r="8431">
      <c r="C8431" t="s">
        <v>898</v>
      </c>
    </row>
    <row r="8432">
      <c r="C8432" t="s">
        <v>898</v>
      </c>
    </row>
    <row r="8433">
      <c r="C8433" t="s">
        <v>898</v>
      </c>
    </row>
    <row r="8434">
      <c r="C8434" t="s">
        <v>898</v>
      </c>
    </row>
    <row r="8435">
      <c r="C8435" t="s">
        <v>898</v>
      </c>
    </row>
    <row r="8436">
      <c r="C8436" t="s">
        <v>898</v>
      </c>
    </row>
    <row r="8437">
      <c r="C8437" t="s">
        <v>898</v>
      </c>
    </row>
    <row r="8438">
      <c r="C8438" t="s">
        <v>898</v>
      </c>
    </row>
    <row r="8439">
      <c r="C8439" t="s">
        <v>898</v>
      </c>
    </row>
    <row r="8440">
      <c r="C8440" t="s">
        <v>898</v>
      </c>
    </row>
    <row r="8441">
      <c r="C8441" t="s">
        <v>898</v>
      </c>
    </row>
    <row r="8442">
      <c r="C8442" t="s">
        <v>898</v>
      </c>
    </row>
    <row r="8443">
      <c r="C8443" t="s">
        <v>898</v>
      </c>
    </row>
    <row r="8444">
      <c r="C8444" t="s">
        <v>898</v>
      </c>
    </row>
    <row r="8445">
      <c r="C8445" t="s">
        <v>898</v>
      </c>
    </row>
    <row r="8446">
      <c r="C8446" t="s">
        <v>898</v>
      </c>
    </row>
    <row r="8447">
      <c r="C8447" t="s">
        <v>898</v>
      </c>
    </row>
    <row r="8448">
      <c r="C8448" t="s">
        <v>898</v>
      </c>
    </row>
    <row r="8449">
      <c r="C8449" t="s">
        <v>898</v>
      </c>
    </row>
    <row r="8450">
      <c r="C8450" t="s">
        <v>898</v>
      </c>
    </row>
    <row r="8451">
      <c r="C8451" t="s">
        <v>898</v>
      </c>
    </row>
    <row r="8452">
      <c r="C8452" t="s">
        <v>898</v>
      </c>
    </row>
    <row r="8453">
      <c r="C8453" t="s">
        <v>898</v>
      </c>
    </row>
    <row r="8454">
      <c r="C8454" t="s">
        <v>898</v>
      </c>
    </row>
    <row r="8455">
      <c r="C8455" t="s">
        <v>898</v>
      </c>
    </row>
    <row r="8456">
      <c r="C8456" t="s">
        <v>898</v>
      </c>
    </row>
    <row r="8457">
      <c r="C8457" t="s">
        <v>898</v>
      </c>
    </row>
    <row r="8458">
      <c r="C8458" t="s">
        <v>898</v>
      </c>
    </row>
    <row r="8459">
      <c r="C8459" t="s">
        <v>898</v>
      </c>
    </row>
    <row r="8460">
      <c r="C8460" t="s">
        <v>898</v>
      </c>
    </row>
    <row r="8461">
      <c r="C8461" t="s">
        <v>898</v>
      </c>
    </row>
    <row r="8462">
      <c r="C8462" t="s">
        <v>898</v>
      </c>
    </row>
    <row r="8463">
      <c r="C8463" t="s">
        <v>898</v>
      </c>
    </row>
    <row r="8464">
      <c r="C8464" t="s">
        <v>898</v>
      </c>
    </row>
    <row r="8465">
      <c r="C8465" t="s">
        <v>898</v>
      </c>
    </row>
    <row r="8466">
      <c r="C8466" t="s">
        <v>898</v>
      </c>
    </row>
    <row r="8467">
      <c r="C8467" t="s">
        <v>898</v>
      </c>
    </row>
    <row r="8468">
      <c r="C8468" t="s">
        <v>898</v>
      </c>
    </row>
    <row r="8469">
      <c r="C8469" t="s">
        <v>898</v>
      </c>
    </row>
    <row r="8470">
      <c r="C8470" t="s">
        <v>898</v>
      </c>
    </row>
    <row r="8471">
      <c r="C8471" t="s">
        <v>898</v>
      </c>
    </row>
    <row r="8472">
      <c r="C8472" t="s">
        <v>898</v>
      </c>
    </row>
    <row r="8473">
      <c r="C8473" t="s">
        <v>898</v>
      </c>
    </row>
    <row r="8474">
      <c r="C8474" t="s">
        <v>898</v>
      </c>
    </row>
    <row r="8475">
      <c r="C8475" t="s">
        <v>898</v>
      </c>
    </row>
    <row r="8476">
      <c r="C8476" t="s">
        <v>898</v>
      </c>
    </row>
    <row r="8477">
      <c r="C8477" t="s">
        <v>898</v>
      </c>
    </row>
    <row r="8478">
      <c r="C8478" t="s">
        <v>898</v>
      </c>
    </row>
    <row r="8479">
      <c r="C8479" t="s">
        <v>898</v>
      </c>
    </row>
    <row r="8480">
      <c r="C8480" t="s">
        <v>898</v>
      </c>
    </row>
    <row r="8481">
      <c r="C8481" t="s">
        <v>898</v>
      </c>
    </row>
    <row r="8482">
      <c r="C8482" t="s">
        <v>898</v>
      </c>
    </row>
    <row r="8483">
      <c r="C8483" t="s">
        <v>898</v>
      </c>
    </row>
    <row r="8484">
      <c r="C8484" t="s">
        <v>898</v>
      </c>
    </row>
    <row r="8485">
      <c r="C8485" t="s">
        <v>898</v>
      </c>
    </row>
    <row r="8486">
      <c r="C8486" t="s">
        <v>898</v>
      </c>
    </row>
    <row r="8487">
      <c r="C8487" t="s">
        <v>898</v>
      </c>
    </row>
    <row r="8488">
      <c r="C8488" t="s">
        <v>898</v>
      </c>
    </row>
    <row r="8489">
      <c r="C8489" t="s">
        <v>898</v>
      </c>
    </row>
    <row r="8490">
      <c r="C8490" t="s">
        <v>898</v>
      </c>
    </row>
    <row r="8491">
      <c r="C8491" t="s">
        <v>898</v>
      </c>
    </row>
    <row r="8492">
      <c r="C8492" t="s">
        <v>898</v>
      </c>
    </row>
    <row r="8493">
      <c r="C8493" t="s">
        <v>898</v>
      </c>
    </row>
    <row r="8494">
      <c r="C8494" t="s">
        <v>898</v>
      </c>
    </row>
    <row r="8495">
      <c r="C8495" t="s">
        <v>898</v>
      </c>
    </row>
    <row r="8496">
      <c r="C8496" t="s">
        <v>898</v>
      </c>
    </row>
    <row r="8497">
      <c r="C8497" t="s">
        <v>898</v>
      </c>
    </row>
    <row r="8498">
      <c r="C8498" t="s">
        <v>898</v>
      </c>
    </row>
    <row r="8499">
      <c r="C8499" t="s">
        <v>898</v>
      </c>
    </row>
    <row r="8500">
      <c r="C8500" t="s">
        <v>898</v>
      </c>
    </row>
    <row r="8501">
      <c r="C8501" t="s">
        <v>898</v>
      </c>
    </row>
    <row r="8502">
      <c r="C8502" t="s">
        <v>898</v>
      </c>
    </row>
    <row r="8503">
      <c r="C8503" t="s">
        <v>898</v>
      </c>
    </row>
    <row r="8504">
      <c r="C8504" t="s">
        <v>898</v>
      </c>
    </row>
    <row r="8505">
      <c r="C8505" t="s">
        <v>898</v>
      </c>
    </row>
    <row r="8506">
      <c r="C8506" t="s">
        <v>898</v>
      </c>
    </row>
    <row r="8507">
      <c r="C8507" t="s">
        <v>898</v>
      </c>
    </row>
    <row r="8508">
      <c r="C8508" t="s">
        <v>898</v>
      </c>
    </row>
    <row r="8509">
      <c r="C8509" t="s">
        <v>898</v>
      </c>
    </row>
    <row r="8510">
      <c r="C8510" t="s">
        <v>898</v>
      </c>
    </row>
    <row r="8511">
      <c r="C8511" t="s">
        <v>898</v>
      </c>
    </row>
    <row r="8512">
      <c r="C8512" t="s">
        <v>898</v>
      </c>
    </row>
    <row r="8513">
      <c r="C8513" t="s">
        <v>898</v>
      </c>
    </row>
    <row r="8514">
      <c r="C8514" t="s">
        <v>898</v>
      </c>
    </row>
    <row r="8515">
      <c r="C8515" t="s">
        <v>898</v>
      </c>
    </row>
    <row r="8516">
      <c r="C8516" t="s">
        <v>898</v>
      </c>
    </row>
    <row r="8517">
      <c r="C8517" t="s">
        <v>898</v>
      </c>
    </row>
    <row r="8518">
      <c r="C8518" t="s">
        <v>898</v>
      </c>
    </row>
    <row r="8519">
      <c r="C8519" t="s">
        <v>898</v>
      </c>
    </row>
    <row r="8520">
      <c r="C8520" t="s">
        <v>898</v>
      </c>
    </row>
    <row r="8521">
      <c r="C8521" t="s">
        <v>898</v>
      </c>
    </row>
    <row r="8522">
      <c r="C8522" t="s">
        <v>898</v>
      </c>
    </row>
    <row r="8523">
      <c r="C8523" t="s">
        <v>898</v>
      </c>
    </row>
    <row r="8524">
      <c r="C8524" t="s">
        <v>898</v>
      </c>
    </row>
    <row r="8525">
      <c r="C8525" t="s">
        <v>898</v>
      </c>
    </row>
    <row r="8526">
      <c r="C8526" t="s">
        <v>898</v>
      </c>
    </row>
    <row r="8527">
      <c r="C8527" t="s">
        <v>898</v>
      </c>
    </row>
    <row r="8528">
      <c r="C8528" t="s">
        <v>898</v>
      </c>
    </row>
    <row r="8529">
      <c r="C8529" t="s">
        <v>898</v>
      </c>
    </row>
    <row r="8530">
      <c r="C8530" t="s">
        <v>898</v>
      </c>
    </row>
    <row r="8531">
      <c r="C8531" t="s">
        <v>898</v>
      </c>
    </row>
    <row r="8532">
      <c r="C8532" t="s">
        <v>898</v>
      </c>
    </row>
    <row r="8533">
      <c r="C8533" t="s">
        <v>898</v>
      </c>
    </row>
    <row r="8534">
      <c r="C8534" t="s">
        <v>898</v>
      </c>
    </row>
    <row r="8535">
      <c r="C8535" t="s">
        <v>898</v>
      </c>
    </row>
    <row r="8536">
      <c r="C8536" t="s">
        <v>898</v>
      </c>
    </row>
    <row r="8537">
      <c r="C8537" t="s">
        <v>898</v>
      </c>
    </row>
    <row r="8538">
      <c r="C8538" t="s">
        <v>898</v>
      </c>
    </row>
    <row r="8539">
      <c r="C8539" t="s">
        <v>898</v>
      </c>
    </row>
    <row r="8540">
      <c r="C8540" t="s">
        <v>898</v>
      </c>
    </row>
    <row r="8541">
      <c r="C8541" t="s">
        <v>898</v>
      </c>
    </row>
    <row r="8542">
      <c r="C8542" t="s">
        <v>898</v>
      </c>
    </row>
    <row r="8543">
      <c r="C8543" t="s">
        <v>898</v>
      </c>
    </row>
    <row r="8544">
      <c r="C8544" t="s">
        <v>898</v>
      </c>
    </row>
    <row r="8545">
      <c r="C8545" t="s">
        <v>898</v>
      </c>
    </row>
    <row r="8546">
      <c r="C8546" t="s">
        <v>898</v>
      </c>
    </row>
    <row r="8547">
      <c r="C8547" t="s">
        <v>898</v>
      </c>
    </row>
    <row r="8548">
      <c r="C8548" t="s">
        <v>898</v>
      </c>
    </row>
    <row r="8549">
      <c r="C8549" t="s">
        <v>898</v>
      </c>
    </row>
    <row r="8550">
      <c r="C8550" t="s">
        <v>898</v>
      </c>
    </row>
    <row r="8551">
      <c r="C8551" t="s">
        <v>898</v>
      </c>
    </row>
    <row r="8552">
      <c r="C8552" t="s">
        <v>898</v>
      </c>
    </row>
    <row r="8553">
      <c r="C8553" t="s">
        <v>898</v>
      </c>
    </row>
    <row r="8554">
      <c r="C8554" t="s">
        <v>898</v>
      </c>
    </row>
    <row r="8555">
      <c r="C8555" t="s">
        <v>898</v>
      </c>
    </row>
    <row r="8556">
      <c r="C8556" t="s">
        <v>898</v>
      </c>
    </row>
    <row r="8557">
      <c r="C8557" t="s">
        <v>898</v>
      </c>
    </row>
    <row r="8558">
      <c r="C8558" t="s">
        <v>898</v>
      </c>
    </row>
    <row r="8559">
      <c r="C8559" t="s">
        <v>898</v>
      </c>
    </row>
    <row r="8560">
      <c r="C8560" t="s">
        <v>898</v>
      </c>
    </row>
    <row r="8561">
      <c r="C8561" t="s">
        <v>898</v>
      </c>
    </row>
    <row r="8562">
      <c r="C8562" t="s">
        <v>898</v>
      </c>
    </row>
    <row r="8563">
      <c r="C8563" t="s">
        <v>898</v>
      </c>
    </row>
    <row r="8564">
      <c r="C8564" t="s">
        <v>898</v>
      </c>
    </row>
    <row r="8565">
      <c r="C8565" t="s">
        <v>898</v>
      </c>
    </row>
    <row r="8566">
      <c r="C8566" t="s">
        <v>898</v>
      </c>
    </row>
    <row r="8567">
      <c r="C8567" t="s">
        <v>898</v>
      </c>
    </row>
    <row r="8568">
      <c r="C8568" t="s">
        <v>898</v>
      </c>
    </row>
    <row r="8569">
      <c r="C8569" t="s">
        <v>898</v>
      </c>
    </row>
    <row r="8570">
      <c r="C8570" t="s">
        <v>898</v>
      </c>
    </row>
    <row r="8571">
      <c r="C8571" t="s">
        <v>898</v>
      </c>
    </row>
    <row r="8572">
      <c r="C8572" t="s">
        <v>898</v>
      </c>
    </row>
    <row r="8573">
      <c r="C8573" t="s">
        <v>898</v>
      </c>
    </row>
    <row r="8574">
      <c r="C8574" t="s">
        <v>898</v>
      </c>
    </row>
    <row r="8575">
      <c r="C8575" t="s">
        <v>898</v>
      </c>
    </row>
    <row r="8576">
      <c r="C8576" t="s">
        <v>898</v>
      </c>
    </row>
    <row r="8577">
      <c r="C8577" t="s">
        <v>898</v>
      </c>
    </row>
    <row r="8578">
      <c r="C8578" t="s">
        <v>898</v>
      </c>
    </row>
    <row r="8579">
      <c r="C8579" t="s">
        <v>898</v>
      </c>
    </row>
    <row r="8580">
      <c r="C8580" t="s">
        <v>898</v>
      </c>
    </row>
    <row r="8581">
      <c r="C8581" t="s">
        <v>898</v>
      </c>
    </row>
    <row r="8582">
      <c r="C8582" t="s">
        <v>898</v>
      </c>
    </row>
    <row r="8583">
      <c r="C8583" t="s">
        <v>898</v>
      </c>
    </row>
    <row r="8584">
      <c r="C8584" t="s">
        <v>898</v>
      </c>
    </row>
    <row r="8585">
      <c r="C8585" t="s">
        <v>898</v>
      </c>
    </row>
    <row r="8586">
      <c r="C8586" t="s">
        <v>898</v>
      </c>
    </row>
    <row r="8587">
      <c r="C8587" t="s">
        <v>898</v>
      </c>
    </row>
    <row r="8588">
      <c r="C8588" t="s">
        <v>898</v>
      </c>
    </row>
    <row r="8589">
      <c r="C8589" t="s">
        <v>898</v>
      </c>
    </row>
    <row r="8590">
      <c r="C8590" t="s">
        <v>898</v>
      </c>
    </row>
    <row r="8591">
      <c r="C8591" t="s">
        <v>898</v>
      </c>
    </row>
    <row r="8592">
      <c r="C8592" t="s">
        <v>898</v>
      </c>
    </row>
    <row r="8593">
      <c r="C8593" t="s">
        <v>898</v>
      </c>
    </row>
    <row r="8594">
      <c r="C8594" t="s">
        <v>898</v>
      </c>
    </row>
    <row r="8595">
      <c r="C8595" t="s">
        <v>898</v>
      </c>
    </row>
    <row r="8596">
      <c r="C8596" t="s">
        <v>898</v>
      </c>
    </row>
    <row r="8597">
      <c r="C8597" t="s">
        <v>898</v>
      </c>
    </row>
    <row r="8598">
      <c r="C8598" t="s">
        <v>898</v>
      </c>
    </row>
    <row r="8599">
      <c r="C8599" t="s">
        <v>898</v>
      </c>
    </row>
    <row r="8600">
      <c r="C8600" t="s">
        <v>898</v>
      </c>
    </row>
    <row r="8601">
      <c r="C8601" t="s">
        <v>898</v>
      </c>
    </row>
    <row r="8602">
      <c r="C8602" t="s">
        <v>898</v>
      </c>
    </row>
    <row r="8603">
      <c r="C8603" t="s">
        <v>898</v>
      </c>
    </row>
    <row r="8604">
      <c r="C8604" t="s">
        <v>898</v>
      </c>
    </row>
    <row r="8605">
      <c r="C8605" t="s">
        <v>898</v>
      </c>
    </row>
    <row r="8606">
      <c r="C8606" t="s">
        <v>898</v>
      </c>
    </row>
    <row r="8607">
      <c r="C8607" t="s">
        <v>898</v>
      </c>
    </row>
    <row r="8608">
      <c r="C8608" t="s">
        <v>898</v>
      </c>
    </row>
    <row r="8609">
      <c r="C8609" t="s">
        <v>898</v>
      </c>
    </row>
    <row r="8610">
      <c r="C8610" t="s">
        <v>898</v>
      </c>
    </row>
    <row r="8611">
      <c r="C8611" t="s">
        <v>898</v>
      </c>
    </row>
    <row r="8612">
      <c r="C8612" t="s">
        <v>898</v>
      </c>
    </row>
    <row r="8613">
      <c r="C8613" t="s">
        <v>898</v>
      </c>
    </row>
    <row r="8614">
      <c r="C8614" t="s">
        <v>898</v>
      </c>
    </row>
    <row r="8615">
      <c r="C8615" t="s">
        <v>898</v>
      </c>
    </row>
    <row r="8616">
      <c r="C8616" t="s">
        <v>898</v>
      </c>
    </row>
    <row r="8617">
      <c r="C8617" t="s">
        <v>898</v>
      </c>
    </row>
    <row r="8618">
      <c r="C8618" t="s">
        <v>898</v>
      </c>
    </row>
    <row r="8619">
      <c r="C8619" t="s">
        <v>898</v>
      </c>
    </row>
    <row r="8620">
      <c r="C8620" t="s">
        <v>898</v>
      </c>
    </row>
    <row r="8621">
      <c r="C8621" t="s">
        <v>898</v>
      </c>
    </row>
    <row r="8622">
      <c r="C8622" t="s">
        <v>898</v>
      </c>
    </row>
    <row r="8623">
      <c r="C8623" t="s">
        <v>898</v>
      </c>
    </row>
    <row r="8624">
      <c r="C8624" t="s">
        <v>898</v>
      </c>
    </row>
    <row r="8625">
      <c r="C8625" t="s">
        <v>898</v>
      </c>
    </row>
    <row r="8626">
      <c r="C8626" t="s">
        <v>898</v>
      </c>
    </row>
    <row r="8627">
      <c r="C8627" t="s">
        <v>898</v>
      </c>
    </row>
    <row r="8628">
      <c r="C8628" t="s">
        <v>898</v>
      </c>
    </row>
    <row r="8629">
      <c r="C8629" t="s">
        <v>898</v>
      </c>
    </row>
    <row r="8630">
      <c r="C8630" t="s">
        <v>898</v>
      </c>
    </row>
    <row r="8631">
      <c r="C8631" t="s">
        <v>898</v>
      </c>
    </row>
    <row r="8632">
      <c r="C8632" t="s">
        <v>898</v>
      </c>
    </row>
    <row r="8633">
      <c r="C8633" t="s">
        <v>898</v>
      </c>
    </row>
    <row r="8634">
      <c r="C8634" t="s">
        <v>898</v>
      </c>
    </row>
    <row r="8635">
      <c r="C8635" t="s">
        <v>898</v>
      </c>
    </row>
    <row r="8636">
      <c r="C8636" t="s">
        <v>898</v>
      </c>
    </row>
    <row r="8637">
      <c r="C8637" t="s">
        <v>898</v>
      </c>
    </row>
    <row r="8638">
      <c r="C8638" t="s">
        <v>898</v>
      </c>
    </row>
    <row r="8639">
      <c r="C8639" t="s">
        <v>898</v>
      </c>
    </row>
    <row r="8640">
      <c r="C8640" t="s">
        <v>898</v>
      </c>
    </row>
    <row r="8641">
      <c r="C8641" t="s">
        <v>898</v>
      </c>
    </row>
    <row r="8642">
      <c r="C8642" t="s">
        <v>898</v>
      </c>
    </row>
    <row r="8643">
      <c r="C8643" t="s">
        <v>898</v>
      </c>
    </row>
    <row r="8644">
      <c r="C8644" t="s">
        <v>898</v>
      </c>
    </row>
    <row r="8645">
      <c r="C8645" t="s">
        <v>898</v>
      </c>
    </row>
    <row r="8646">
      <c r="C8646" t="s">
        <v>898</v>
      </c>
    </row>
    <row r="8647">
      <c r="C8647" t="s">
        <v>898</v>
      </c>
    </row>
    <row r="8648">
      <c r="C8648" t="s">
        <v>898</v>
      </c>
    </row>
    <row r="8649">
      <c r="C8649" t="s">
        <v>898</v>
      </c>
    </row>
    <row r="8650">
      <c r="C8650" t="s">
        <v>898</v>
      </c>
    </row>
    <row r="8651">
      <c r="C8651" t="s">
        <v>898</v>
      </c>
    </row>
    <row r="8652">
      <c r="C8652" t="s">
        <v>898</v>
      </c>
    </row>
    <row r="8653">
      <c r="C8653" t="s">
        <v>898</v>
      </c>
    </row>
    <row r="8654">
      <c r="C8654" t="s">
        <v>898</v>
      </c>
    </row>
    <row r="8655">
      <c r="C8655" t="s">
        <v>898</v>
      </c>
    </row>
    <row r="8656">
      <c r="C8656" t="s">
        <v>898</v>
      </c>
    </row>
    <row r="8657">
      <c r="C8657" t="s">
        <v>898</v>
      </c>
    </row>
    <row r="8658">
      <c r="C8658" t="s">
        <v>898</v>
      </c>
    </row>
    <row r="8659">
      <c r="C8659" t="s">
        <v>898</v>
      </c>
    </row>
    <row r="8660">
      <c r="C8660" t="s">
        <v>898</v>
      </c>
    </row>
    <row r="8661">
      <c r="C8661" t="s">
        <v>898</v>
      </c>
    </row>
    <row r="8662">
      <c r="C8662" t="s">
        <v>898</v>
      </c>
    </row>
    <row r="8663">
      <c r="C8663" t="s">
        <v>898</v>
      </c>
    </row>
    <row r="8664">
      <c r="C8664" t="s">
        <v>898</v>
      </c>
    </row>
    <row r="8665">
      <c r="C8665" t="s">
        <v>898</v>
      </c>
    </row>
    <row r="8666">
      <c r="C8666" t="s">
        <v>898</v>
      </c>
    </row>
    <row r="8667">
      <c r="C8667" t="s">
        <v>898</v>
      </c>
    </row>
    <row r="8668">
      <c r="C8668" t="s">
        <v>898</v>
      </c>
    </row>
    <row r="8669">
      <c r="C8669" t="s">
        <v>898</v>
      </c>
    </row>
    <row r="8670">
      <c r="C8670" t="s">
        <v>898</v>
      </c>
    </row>
    <row r="8671">
      <c r="C8671" t="s">
        <v>898</v>
      </c>
    </row>
    <row r="8672">
      <c r="C8672" t="s">
        <v>898</v>
      </c>
    </row>
    <row r="8673">
      <c r="C8673" t="s">
        <v>898</v>
      </c>
    </row>
    <row r="8674">
      <c r="C8674" t="s">
        <v>898</v>
      </c>
    </row>
    <row r="8675">
      <c r="C8675" t="s">
        <v>898</v>
      </c>
    </row>
    <row r="8676">
      <c r="C8676" t="s">
        <v>898</v>
      </c>
    </row>
    <row r="8677">
      <c r="C8677" t="s">
        <v>898</v>
      </c>
    </row>
    <row r="8678">
      <c r="C8678" t="s">
        <v>898</v>
      </c>
    </row>
    <row r="8679">
      <c r="C8679" t="s">
        <v>898</v>
      </c>
    </row>
    <row r="8680">
      <c r="C8680" t="s">
        <v>898</v>
      </c>
    </row>
    <row r="8681">
      <c r="C8681" t="s">
        <v>898</v>
      </c>
    </row>
    <row r="8682">
      <c r="C8682" t="s">
        <v>898</v>
      </c>
    </row>
    <row r="8683">
      <c r="C8683" t="s">
        <v>898</v>
      </c>
    </row>
    <row r="8684">
      <c r="C8684" t="s">
        <v>898</v>
      </c>
    </row>
    <row r="8685">
      <c r="C8685" t="s">
        <v>898</v>
      </c>
    </row>
    <row r="8686">
      <c r="C8686" t="s">
        <v>898</v>
      </c>
    </row>
    <row r="8687">
      <c r="C8687" t="s">
        <v>898</v>
      </c>
    </row>
    <row r="8688">
      <c r="C8688" t="s">
        <v>898</v>
      </c>
    </row>
    <row r="8689">
      <c r="C8689" t="s">
        <v>898</v>
      </c>
    </row>
    <row r="8690">
      <c r="C8690" t="s">
        <v>898</v>
      </c>
    </row>
    <row r="8691">
      <c r="C8691" t="s">
        <v>898</v>
      </c>
    </row>
    <row r="8692">
      <c r="C8692" t="s">
        <v>898</v>
      </c>
    </row>
    <row r="8693">
      <c r="C8693" t="s">
        <v>898</v>
      </c>
    </row>
    <row r="8694">
      <c r="C8694" t="s">
        <v>898</v>
      </c>
    </row>
    <row r="8695">
      <c r="C8695" t="s">
        <v>898</v>
      </c>
    </row>
    <row r="8696">
      <c r="C8696" t="s">
        <v>898</v>
      </c>
    </row>
    <row r="8697">
      <c r="C8697" t="s">
        <v>898</v>
      </c>
    </row>
    <row r="8698">
      <c r="C8698" t="s">
        <v>898</v>
      </c>
    </row>
    <row r="8699">
      <c r="C8699" t="s">
        <v>898</v>
      </c>
    </row>
    <row r="8700">
      <c r="C8700" t="s">
        <v>898</v>
      </c>
    </row>
    <row r="8701">
      <c r="C8701" t="s">
        <v>898</v>
      </c>
    </row>
    <row r="8702">
      <c r="C8702" t="s">
        <v>898</v>
      </c>
    </row>
    <row r="8703">
      <c r="C8703" t="s">
        <v>898</v>
      </c>
    </row>
    <row r="8704">
      <c r="C8704" t="s">
        <v>898</v>
      </c>
    </row>
    <row r="8705">
      <c r="C8705" t="s">
        <v>898</v>
      </c>
    </row>
    <row r="8706">
      <c r="C8706" t="s">
        <v>898</v>
      </c>
    </row>
    <row r="8707">
      <c r="C8707" t="s">
        <v>898</v>
      </c>
    </row>
    <row r="8708">
      <c r="C8708" t="s">
        <v>898</v>
      </c>
    </row>
    <row r="8709">
      <c r="C8709" t="s">
        <v>898</v>
      </c>
    </row>
    <row r="8710">
      <c r="C8710" t="s">
        <v>898</v>
      </c>
    </row>
    <row r="8711">
      <c r="C8711" t="s">
        <v>898</v>
      </c>
    </row>
    <row r="8712">
      <c r="C8712" t="s">
        <v>898</v>
      </c>
    </row>
    <row r="8713">
      <c r="C8713" t="s">
        <v>898</v>
      </c>
    </row>
    <row r="8714">
      <c r="C8714" t="s">
        <v>898</v>
      </c>
    </row>
    <row r="8715">
      <c r="C8715" t="s">
        <v>898</v>
      </c>
    </row>
    <row r="8716">
      <c r="C8716" t="s">
        <v>898</v>
      </c>
    </row>
    <row r="8717">
      <c r="C8717" t="s">
        <v>898</v>
      </c>
    </row>
    <row r="8718">
      <c r="C8718" t="s">
        <v>898</v>
      </c>
    </row>
    <row r="8719">
      <c r="C8719" t="s">
        <v>898</v>
      </c>
    </row>
    <row r="8720">
      <c r="C8720" t="s">
        <v>898</v>
      </c>
    </row>
    <row r="8721">
      <c r="C8721" t="s">
        <v>898</v>
      </c>
    </row>
    <row r="8722">
      <c r="C8722" t="s">
        <v>898</v>
      </c>
    </row>
    <row r="8723">
      <c r="C8723" t="s">
        <v>898</v>
      </c>
    </row>
    <row r="8724">
      <c r="C8724" t="s">
        <v>898</v>
      </c>
    </row>
    <row r="8725">
      <c r="C8725" t="s">
        <v>898</v>
      </c>
    </row>
    <row r="8726">
      <c r="C8726" t="s">
        <v>898</v>
      </c>
    </row>
    <row r="8727">
      <c r="C8727" t="s">
        <v>898</v>
      </c>
    </row>
    <row r="8728">
      <c r="C8728" t="s">
        <v>898</v>
      </c>
    </row>
    <row r="8729">
      <c r="C8729" t="s">
        <v>898</v>
      </c>
    </row>
    <row r="8730">
      <c r="C8730" t="s">
        <v>898</v>
      </c>
    </row>
    <row r="8731">
      <c r="C8731" t="s">
        <v>898</v>
      </c>
    </row>
    <row r="8732">
      <c r="C8732" t="s">
        <v>898</v>
      </c>
    </row>
    <row r="8733">
      <c r="C8733" t="s">
        <v>898</v>
      </c>
    </row>
    <row r="8734">
      <c r="C8734" t="s">
        <v>898</v>
      </c>
    </row>
    <row r="8735">
      <c r="C8735" t="s">
        <v>898</v>
      </c>
    </row>
    <row r="8736">
      <c r="C8736" t="s">
        <v>898</v>
      </c>
    </row>
    <row r="8737">
      <c r="C8737" t="s">
        <v>898</v>
      </c>
    </row>
    <row r="8738">
      <c r="C8738" t="s">
        <v>898</v>
      </c>
    </row>
    <row r="8739">
      <c r="C8739" t="s">
        <v>898</v>
      </c>
    </row>
    <row r="8740">
      <c r="C8740" t="s">
        <v>898</v>
      </c>
    </row>
    <row r="8741">
      <c r="C8741" t="s">
        <v>898</v>
      </c>
    </row>
    <row r="8742">
      <c r="C8742" t="s">
        <v>898</v>
      </c>
    </row>
    <row r="8743">
      <c r="C8743" t="s">
        <v>898</v>
      </c>
    </row>
    <row r="8744">
      <c r="C8744" t="s">
        <v>898</v>
      </c>
    </row>
    <row r="8745">
      <c r="C8745" t="s">
        <v>898</v>
      </c>
    </row>
    <row r="8746">
      <c r="C8746" t="s">
        <v>898</v>
      </c>
    </row>
    <row r="8747">
      <c r="C8747" t="s">
        <v>898</v>
      </c>
    </row>
    <row r="8748">
      <c r="C8748" t="s">
        <v>898</v>
      </c>
    </row>
    <row r="8749">
      <c r="C8749" t="s">
        <v>898</v>
      </c>
    </row>
    <row r="8750">
      <c r="C8750" t="s">
        <v>898</v>
      </c>
    </row>
    <row r="8751">
      <c r="C8751" t="s">
        <v>898</v>
      </c>
    </row>
    <row r="8752">
      <c r="C8752" t="s">
        <v>898</v>
      </c>
    </row>
    <row r="8753">
      <c r="C8753" t="s">
        <v>898</v>
      </c>
    </row>
    <row r="8754">
      <c r="C8754" t="s">
        <v>898</v>
      </c>
    </row>
    <row r="8755">
      <c r="C8755" t="s">
        <v>898</v>
      </c>
    </row>
    <row r="8756">
      <c r="C8756" t="s">
        <v>898</v>
      </c>
    </row>
    <row r="8757">
      <c r="C8757" t="s">
        <v>898</v>
      </c>
    </row>
    <row r="8758">
      <c r="C8758" t="s">
        <v>898</v>
      </c>
    </row>
    <row r="8759">
      <c r="C8759" t="s">
        <v>898</v>
      </c>
    </row>
    <row r="8760">
      <c r="C8760" t="s">
        <v>898</v>
      </c>
    </row>
    <row r="8761">
      <c r="C8761" t="s">
        <v>898</v>
      </c>
    </row>
    <row r="8762">
      <c r="C8762" t="s">
        <v>898</v>
      </c>
    </row>
    <row r="8763">
      <c r="C8763" t="s">
        <v>898</v>
      </c>
    </row>
    <row r="8764">
      <c r="C8764" t="s">
        <v>898</v>
      </c>
    </row>
    <row r="8765">
      <c r="C8765" t="s">
        <v>898</v>
      </c>
    </row>
    <row r="8766">
      <c r="C8766" t="s">
        <v>898</v>
      </c>
    </row>
    <row r="8767">
      <c r="C8767" t="s">
        <v>898</v>
      </c>
    </row>
    <row r="8768">
      <c r="C8768" t="s">
        <v>898</v>
      </c>
    </row>
    <row r="8769">
      <c r="C8769" t="s">
        <v>898</v>
      </c>
    </row>
    <row r="8770">
      <c r="C8770" t="s">
        <v>898</v>
      </c>
    </row>
    <row r="8771">
      <c r="C8771" t="s">
        <v>898</v>
      </c>
    </row>
    <row r="8772">
      <c r="C8772" t="s">
        <v>898</v>
      </c>
    </row>
    <row r="8773">
      <c r="C8773" t="s">
        <v>898</v>
      </c>
    </row>
    <row r="8774">
      <c r="C8774" t="s">
        <v>898</v>
      </c>
    </row>
    <row r="8775">
      <c r="C8775" t="s">
        <v>898</v>
      </c>
    </row>
    <row r="8776">
      <c r="C8776" t="s">
        <v>898</v>
      </c>
    </row>
    <row r="8777">
      <c r="C8777" t="s">
        <v>898</v>
      </c>
    </row>
    <row r="8778">
      <c r="C8778" t="s">
        <v>898</v>
      </c>
    </row>
    <row r="8779">
      <c r="C8779" t="s">
        <v>898</v>
      </c>
    </row>
    <row r="8780">
      <c r="C8780" t="s">
        <v>898</v>
      </c>
    </row>
    <row r="8781">
      <c r="C8781" t="s">
        <v>898</v>
      </c>
    </row>
    <row r="8782">
      <c r="C8782" t="s">
        <v>898</v>
      </c>
    </row>
    <row r="8783">
      <c r="C8783" t="s">
        <v>898</v>
      </c>
    </row>
    <row r="8784">
      <c r="C8784" t="s">
        <v>898</v>
      </c>
    </row>
    <row r="8785">
      <c r="C8785" t="s">
        <v>898</v>
      </c>
    </row>
    <row r="8786">
      <c r="C8786" t="s">
        <v>898</v>
      </c>
    </row>
    <row r="8787">
      <c r="C8787" t="s">
        <v>898</v>
      </c>
    </row>
    <row r="8788">
      <c r="C8788" t="s">
        <v>898</v>
      </c>
    </row>
    <row r="8789">
      <c r="C8789" t="s">
        <v>898</v>
      </c>
    </row>
    <row r="8790">
      <c r="C8790" t="s">
        <v>898</v>
      </c>
    </row>
    <row r="8791">
      <c r="C8791" t="s">
        <v>898</v>
      </c>
    </row>
    <row r="8792">
      <c r="C8792" t="s">
        <v>898</v>
      </c>
    </row>
    <row r="8793">
      <c r="C8793" t="s">
        <v>898</v>
      </c>
    </row>
    <row r="8794">
      <c r="C8794" t="s">
        <v>898</v>
      </c>
    </row>
    <row r="8795">
      <c r="C8795" t="s">
        <v>898</v>
      </c>
    </row>
    <row r="8796">
      <c r="C8796" t="s">
        <v>898</v>
      </c>
    </row>
    <row r="8797">
      <c r="C8797" t="s">
        <v>898</v>
      </c>
    </row>
    <row r="8798">
      <c r="C8798" t="s">
        <v>898</v>
      </c>
    </row>
    <row r="8799">
      <c r="C8799" t="s">
        <v>898</v>
      </c>
    </row>
    <row r="8800">
      <c r="C8800" t="s">
        <v>898</v>
      </c>
    </row>
    <row r="8801">
      <c r="C8801" t="s">
        <v>898</v>
      </c>
    </row>
    <row r="8802">
      <c r="C8802" t="s">
        <v>898</v>
      </c>
    </row>
    <row r="8803">
      <c r="C8803" t="s">
        <v>898</v>
      </c>
    </row>
    <row r="8804">
      <c r="C8804" t="s">
        <v>898</v>
      </c>
    </row>
    <row r="8805">
      <c r="C8805" t="s">
        <v>898</v>
      </c>
    </row>
    <row r="8806">
      <c r="C8806" t="s">
        <v>898</v>
      </c>
    </row>
    <row r="8807">
      <c r="C8807" t="s">
        <v>898</v>
      </c>
    </row>
    <row r="8808">
      <c r="C8808" t="s">
        <v>898</v>
      </c>
    </row>
    <row r="8809">
      <c r="C8809" t="s">
        <v>898</v>
      </c>
    </row>
    <row r="8810">
      <c r="C8810" t="s">
        <v>898</v>
      </c>
    </row>
    <row r="8811">
      <c r="C8811" t="s">
        <v>898</v>
      </c>
    </row>
    <row r="8812">
      <c r="C8812" t="s">
        <v>898</v>
      </c>
    </row>
    <row r="8813">
      <c r="C8813" t="s">
        <v>898</v>
      </c>
    </row>
    <row r="8814">
      <c r="C8814" t="s">
        <v>898</v>
      </c>
    </row>
    <row r="8815">
      <c r="C8815" t="s">
        <v>898</v>
      </c>
    </row>
    <row r="8816">
      <c r="C8816" t="s">
        <v>898</v>
      </c>
    </row>
    <row r="8817">
      <c r="C8817" t="s">
        <v>898</v>
      </c>
    </row>
    <row r="8818">
      <c r="C8818" t="s">
        <v>898</v>
      </c>
    </row>
    <row r="8819">
      <c r="C8819" t="s">
        <v>898</v>
      </c>
    </row>
    <row r="8820">
      <c r="C8820" t="s">
        <v>898</v>
      </c>
    </row>
    <row r="8821">
      <c r="C8821" t="s">
        <v>898</v>
      </c>
    </row>
    <row r="8822">
      <c r="C8822" t="s">
        <v>898</v>
      </c>
    </row>
    <row r="8823">
      <c r="C8823" t="s">
        <v>898</v>
      </c>
    </row>
    <row r="8824">
      <c r="C8824" t="s">
        <v>898</v>
      </c>
    </row>
    <row r="8825">
      <c r="C8825" t="s">
        <v>898</v>
      </c>
    </row>
    <row r="8826">
      <c r="C8826" t="s">
        <v>898</v>
      </c>
    </row>
    <row r="8827">
      <c r="C8827" t="s">
        <v>898</v>
      </c>
    </row>
    <row r="8828">
      <c r="C8828" t="s">
        <v>898</v>
      </c>
    </row>
    <row r="8829">
      <c r="C8829" t="s">
        <v>898</v>
      </c>
    </row>
    <row r="8830">
      <c r="C8830" t="s">
        <v>898</v>
      </c>
    </row>
    <row r="8831">
      <c r="C8831" t="s">
        <v>898</v>
      </c>
    </row>
    <row r="8832">
      <c r="C8832" t="s">
        <v>898</v>
      </c>
    </row>
    <row r="8833">
      <c r="C8833" t="s">
        <v>898</v>
      </c>
    </row>
    <row r="8834">
      <c r="C8834" t="s">
        <v>898</v>
      </c>
    </row>
    <row r="8835">
      <c r="C8835" t="s">
        <v>898</v>
      </c>
    </row>
    <row r="8836">
      <c r="C8836" t="s">
        <v>898</v>
      </c>
    </row>
    <row r="8837">
      <c r="C8837" t="s">
        <v>898</v>
      </c>
    </row>
    <row r="8838">
      <c r="C8838" t="s">
        <v>898</v>
      </c>
    </row>
    <row r="8839">
      <c r="C8839" t="s">
        <v>898</v>
      </c>
    </row>
    <row r="8840">
      <c r="C8840" t="s">
        <v>898</v>
      </c>
    </row>
    <row r="8841">
      <c r="C8841" t="s">
        <v>898</v>
      </c>
    </row>
    <row r="8842">
      <c r="C8842" t="s">
        <v>898</v>
      </c>
    </row>
    <row r="8843">
      <c r="C8843" t="s">
        <v>898</v>
      </c>
    </row>
    <row r="8844">
      <c r="C8844" t="s">
        <v>898</v>
      </c>
    </row>
    <row r="8845">
      <c r="C8845" t="s">
        <v>898</v>
      </c>
    </row>
    <row r="8846">
      <c r="C8846" t="s">
        <v>898</v>
      </c>
    </row>
    <row r="8847">
      <c r="C8847" t="s">
        <v>898</v>
      </c>
    </row>
    <row r="8848">
      <c r="C8848" t="s">
        <v>898</v>
      </c>
    </row>
    <row r="8849">
      <c r="C8849" t="s">
        <v>898</v>
      </c>
    </row>
    <row r="8850">
      <c r="C8850" t="s">
        <v>898</v>
      </c>
    </row>
    <row r="8851">
      <c r="C8851" t="s">
        <v>898</v>
      </c>
    </row>
    <row r="8852">
      <c r="C8852" t="s">
        <v>898</v>
      </c>
    </row>
    <row r="8853">
      <c r="C8853" t="s">
        <v>898</v>
      </c>
    </row>
    <row r="8854">
      <c r="C8854" t="s">
        <v>898</v>
      </c>
    </row>
    <row r="8855">
      <c r="C8855" t="s">
        <v>898</v>
      </c>
    </row>
    <row r="8856">
      <c r="C8856" t="s">
        <v>898</v>
      </c>
    </row>
    <row r="8857">
      <c r="C8857" t="s">
        <v>898</v>
      </c>
    </row>
    <row r="8858">
      <c r="C8858" t="s">
        <v>898</v>
      </c>
    </row>
    <row r="8859">
      <c r="C8859" t="s">
        <v>898</v>
      </c>
    </row>
    <row r="8860">
      <c r="C8860" t="s">
        <v>898</v>
      </c>
    </row>
    <row r="8861">
      <c r="C8861" t="s">
        <v>898</v>
      </c>
    </row>
    <row r="8862">
      <c r="C8862" t="s">
        <v>898</v>
      </c>
    </row>
    <row r="8863">
      <c r="C8863" t="s">
        <v>898</v>
      </c>
    </row>
    <row r="8864">
      <c r="C8864" t="s">
        <v>898</v>
      </c>
    </row>
    <row r="8865">
      <c r="C8865" t="s">
        <v>898</v>
      </c>
    </row>
    <row r="8866">
      <c r="C8866" t="s">
        <v>898</v>
      </c>
    </row>
    <row r="8867">
      <c r="C8867" t="s">
        <v>898</v>
      </c>
    </row>
    <row r="8868">
      <c r="C8868" t="s">
        <v>898</v>
      </c>
    </row>
    <row r="8869">
      <c r="C8869" t="s">
        <v>898</v>
      </c>
    </row>
    <row r="8870">
      <c r="C8870" t="s">
        <v>898</v>
      </c>
    </row>
    <row r="8871">
      <c r="C8871" t="s">
        <v>898</v>
      </c>
    </row>
    <row r="8872">
      <c r="C8872" t="s">
        <v>898</v>
      </c>
    </row>
    <row r="8873">
      <c r="C8873" t="s">
        <v>898</v>
      </c>
    </row>
    <row r="8874">
      <c r="C8874" t="s">
        <v>898</v>
      </c>
    </row>
    <row r="8875">
      <c r="C8875" t="s">
        <v>898</v>
      </c>
    </row>
    <row r="8876">
      <c r="C8876" t="s">
        <v>898</v>
      </c>
    </row>
    <row r="8877">
      <c r="C8877" t="s">
        <v>898</v>
      </c>
    </row>
    <row r="8878">
      <c r="C8878" t="s">
        <v>898</v>
      </c>
    </row>
    <row r="8879">
      <c r="C8879" t="s">
        <v>898</v>
      </c>
    </row>
    <row r="8880">
      <c r="C8880" t="s">
        <v>898</v>
      </c>
    </row>
    <row r="8881">
      <c r="C8881" t="s">
        <v>898</v>
      </c>
    </row>
    <row r="8882">
      <c r="C8882" t="s">
        <v>898</v>
      </c>
    </row>
    <row r="8883">
      <c r="C8883" t="s">
        <v>898</v>
      </c>
    </row>
    <row r="8884">
      <c r="C8884" t="s">
        <v>898</v>
      </c>
    </row>
    <row r="8885">
      <c r="C8885" t="s">
        <v>898</v>
      </c>
    </row>
    <row r="8886">
      <c r="C8886" t="s">
        <v>898</v>
      </c>
    </row>
    <row r="8887">
      <c r="C8887" t="s">
        <v>898</v>
      </c>
    </row>
    <row r="8888">
      <c r="C8888" t="s">
        <v>898</v>
      </c>
    </row>
    <row r="8889">
      <c r="C8889" t="s">
        <v>898</v>
      </c>
    </row>
    <row r="8890">
      <c r="C8890" t="s">
        <v>898</v>
      </c>
    </row>
    <row r="8891">
      <c r="C8891" t="s">
        <v>898</v>
      </c>
    </row>
    <row r="8892">
      <c r="C8892" t="s">
        <v>898</v>
      </c>
    </row>
    <row r="8893">
      <c r="C8893" t="s">
        <v>898</v>
      </c>
    </row>
    <row r="8894">
      <c r="C8894" t="s">
        <v>898</v>
      </c>
    </row>
    <row r="8895">
      <c r="C8895" t="s">
        <v>898</v>
      </c>
    </row>
    <row r="8896">
      <c r="C8896" t="s">
        <v>898</v>
      </c>
    </row>
    <row r="8897">
      <c r="C8897" t="s">
        <v>898</v>
      </c>
    </row>
    <row r="8898">
      <c r="C8898" t="s">
        <v>898</v>
      </c>
    </row>
    <row r="8899">
      <c r="C8899" t="s">
        <v>898</v>
      </c>
    </row>
    <row r="8900">
      <c r="C8900" t="s">
        <v>898</v>
      </c>
    </row>
    <row r="8901">
      <c r="C8901" t="s">
        <v>898</v>
      </c>
    </row>
    <row r="8902">
      <c r="C8902" t="s">
        <v>898</v>
      </c>
    </row>
    <row r="8903">
      <c r="C8903" t="s">
        <v>898</v>
      </c>
    </row>
    <row r="8904">
      <c r="C8904" t="s">
        <v>898</v>
      </c>
    </row>
    <row r="8905">
      <c r="C8905" t="s">
        <v>898</v>
      </c>
    </row>
    <row r="8906">
      <c r="C8906" t="s">
        <v>898</v>
      </c>
    </row>
    <row r="8907">
      <c r="C8907" t="s">
        <v>898</v>
      </c>
    </row>
    <row r="8908">
      <c r="C8908" t="s">
        <v>898</v>
      </c>
    </row>
    <row r="8909">
      <c r="C8909" t="s">
        <v>898</v>
      </c>
    </row>
    <row r="8910">
      <c r="C8910" t="s">
        <v>898</v>
      </c>
    </row>
    <row r="8911">
      <c r="C8911" t="s">
        <v>898</v>
      </c>
    </row>
    <row r="8912">
      <c r="C8912" t="s">
        <v>898</v>
      </c>
    </row>
    <row r="8913">
      <c r="C8913" t="s">
        <v>898</v>
      </c>
    </row>
    <row r="8914">
      <c r="C8914" t="s">
        <v>898</v>
      </c>
    </row>
    <row r="8915">
      <c r="C8915" t="s">
        <v>898</v>
      </c>
    </row>
    <row r="8916">
      <c r="C8916" t="s">
        <v>898</v>
      </c>
    </row>
    <row r="8917">
      <c r="C8917" t="s">
        <v>898</v>
      </c>
    </row>
    <row r="8918">
      <c r="C8918" t="s">
        <v>898</v>
      </c>
    </row>
    <row r="8919">
      <c r="C8919" t="s">
        <v>898</v>
      </c>
    </row>
    <row r="8920">
      <c r="C8920" t="s">
        <v>898</v>
      </c>
    </row>
    <row r="8921">
      <c r="C8921" t="s">
        <v>898</v>
      </c>
    </row>
    <row r="8922">
      <c r="C8922" t="s">
        <v>898</v>
      </c>
    </row>
    <row r="8923">
      <c r="C8923" t="s">
        <v>898</v>
      </c>
    </row>
    <row r="8924">
      <c r="C8924" t="s">
        <v>898</v>
      </c>
    </row>
    <row r="8925">
      <c r="C8925" t="s">
        <v>898</v>
      </c>
    </row>
    <row r="8926">
      <c r="C8926" t="s">
        <v>898</v>
      </c>
    </row>
    <row r="8927">
      <c r="C8927" t="s">
        <v>898</v>
      </c>
    </row>
    <row r="8928">
      <c r="C8928" t="s">
        <v>898</v>
      </c>
    </row>
    <row r="8929">
      <c r="C8929" t="s">
        <v>898</v>
      </c>
    </row>
    <row r="8930">
      <c r="C8930" t="s">
        <v>898</v>
      </c>
    </row>
    <row r="8931">
      <c r="C8931" t="s">
        <v>898</v>
      </c>
    </row>
    <row r="8932">
      <c r="C8932" t="s">
        <v>898</v>
      </c>
    </row>
    <row r="8933">
      <c r="C8933" t="s">
        <v>898</v>
      </c>
    </row>
    <row r="8934">
      <c r="C8934" t="s">
        <v>898</v>
      </c>
    </row>
    <row r="8935">
      <c r="C8935" t="s">
        <v>898</v>
      </c>
    </row>
    <row r="8936">
      <c r="C8936" t="s">
        <v>898</v>
      </c>
    </row>
    <row r="8937">
      <c r="C8937" t="s">
        <v>898</v>
      </c>
    </row>
    <row r="8938">
      <c r="C8938" t="s">
        <v>898</v>
      </c>
    </row>
    <row r="8939">
      <c r="C8939" t="s">
        <v>898</v>
      </c>
    </row>
    <row r="8940">
      <c r="C8940" t="s">
        <v>898</v>
      </c>
    </row>
    <row r="8941">
      <c r="C8941" t="s">
        <v>898</v>
      </c>
    </row>
    <row r="8942">
      <c r="C8942" t="s">
        <v>898</v>
      </c>
    </row>
    <row r="8943">
      <c r="C8943" t="s">
        <v>898</v>
      </c>
    </row>
    <row r="8944">
      <c r="C8944" t="s">
        <v>898</v>
      </c>
    </row>
    <row r="8945">
      <c r="C8945" t="s">
        <v>898</v>
      </c>
    </row>
    <row r="8946">
      <c r="C8946" t="s">
        <v>898</v>
      </c>
    </row>
    <row r="8947">
      <c r="C8947" t="s">
        <v>898</v>
      </c>
    </row>
    <row r="8948">
      <c r="C8948" t="s">
        <v>898</v>
      </c>
    </row>
    <row r="8949">
      <c r="C8949" t="s">
        <v>898</v>
      </c>
    </row>
    <row r="8950">
      <c r="C8950" t="s">
        <v>898</v>
      </c>
    </row>
    <row r="8951">
      <c r="C8951" t="s">
        <v>898</v>
      </c>
    </row>
    <row r="8952">
      <c r="C8952" t="s">
        <v>898</v>
      </c>
    </row>
    <row r="8953">
      <c r="C8953" t="s">
        <v>898</v>
      </c>
    </row>
    <row r="8954">
      <c r="C8954" t="s">
        <v>898</v>
      </c>
    </row>
    <row r="8955">
      <c r="C8955" t="s">
        <v>898</v>
      </c>
    </row>
    <row r="8956">
      <c r="C8956" t="s">
        <v>898</v>
      </c>
    </row>
    <row r="8957">
      <c r="C8957" t="s">
        <v>898</v>
      </c>
    </row>
    <row r="8958">
      <c r="C8958" t="s">
        <v>898</v>
      </c>
    </row>
    <row r="8959">
      <c r="C8959" t="s">
        <v>898</v>
      </c>
    </row>
    <row r="8960">
      <c r="C8960" t="s">
        <v>898</v>
      </c>
    </row>
    <row r="8961">
      <c r="C8961" t="s">
        <v>898</v>
      </c>
    </row>
    <row r="8962">
      <c r="C8962" t="s">
        <v>898</v>
      </c>
    </row>
    <row r="8963">
      <c r="C8963" t="s">
        <v>898</v>
      </c>
    </row>
    <row r="8964">
      <c r="C8964" t="s">
        <v>898</v>
      </c>
    </row>
    <row r="8965">
      <c r="C8965" t="s">
        <v>898</v>
      </c>
    </row>
    <row r="8966">
      <c r="C8966" t="s">
        <v>898</v>
      </c>
    </row>
    <row r="8967">
      <c r="C8967" t="s">
        <v>898</v>
      </c>
    </row>
    <row r="8968">
      <c r="C8968" t="s">
        <v>898</v>
      </c>
    </row>
    <row r="8969">
      <c r="C8969" t="s">
        <v>898</v>
      </c>
    </row>
    <row r="8970">
      <c r="C8970" t="s">
        <v>898</v>
      </c>
    </row>
    <row r="8971">
      <c r="C8971" t="s">
        <v>898</v>
      </c>
    </row>
    <row r="8972">
      <c r="C8972" t="s">
        <v>898</v>
      </c>
    </row>
    <row r="8973">
      <c r="C8973" t="s">
        <v>898</v>
      </c>
    </row>
    <row r="8974">
      <c r="C8974" t="s">
        <v>898</v>
      </c>
    </row>
    <row r="8975">
      <c r="C8975" t="s">
        <v>898</v>
      </c>
    </row>
    <row r="8976">
      <c r="C8976" t="s">
        <v>898</v>
      </c>
    </row>
    <row r="8977">
      <c r="C8977" t="s">
        <v>898</v>
      </c>
    </row>
    <row r="8978">
      <c r="C8978" t="s">
        <v>898</v>
      </c>
    </row>
    <row r="8979">
      <c r="C8979" t="s">
        <v>898</v>
      </c>
    </row>
    <row r="8980">
      <c r="C8980" t="s">
        <v>898</v>
      </c>
    </row>
    <row r="8981">
      <c r="C8981" t="s">
        <v>898</v>
      </c>
    </row>
    <row r="8982">
      <c r="C8982" t="s">
        <v>898</v>
      </c>
    </row>
    <row r="8983">
      <c r="C8983" t="s">
        <v>898</v>
      </c>
    </row>
    <row r="8984">
      <c r="C8984" t="s">
        <v>898</v>
      </c>
    </row>
    <row r="8985">
      <c r="C8985" t="s">
        <v>898</v>
      </c>
    </row>
    <row r="8986">
      <c r="C8986" t="s">
        <v>898</v>
      </c>
    </row>
    <row r="8987">
      <c r="C8987" t="s">
        <v>898</v>
      </c>
    </row>
    <row r="8988">
      <c r="C8988" t="s">
        <v>898</v>
      </c>
    </row>
    <row r="8989">
      <c r="C8989" t="s">
        <v>898</v>
      </c>
    </row>
    <row r="8990">
      <c r="C8990" t="s">
        <v>898</v>
      </c>
    </row>
    <row r="8991">
      <c r="C8991" t="s">
        <v>898</v>
      </c>
    </row>
    <row r="8992">
      <c r="C8992" t="s">
        <v>898</v>
      </c>
    </row>
    <row r="8993">
      <c r="C8993" t="s">
        <v>898</v>
      </c>
    </row>
    <row r="8994">
      <c r="C8994" t="s">
        <v>898</v>
      </c>
    </row>
    <row r="8995">
      <c r="C8995" t="s">
        <v>898</v>
      </c>
    </row>
    <row r="8996">
      <c r="C8996" t="s">
        <v>898</v>
      </c>
    </row>
    <row r="8997">
      <c r="C8997" t="s">
        <v>898</v>
      </c>
    </row>
    <row r="8998">
      <c r="C8998" t="s">
        <v>898</v>
      </c>
    </row>
    <row r="8999">
      <c r="C8999" t="s">
        <v>898</v>
      </c>
    </row>
    <row r="9000">
      <c r="C9000" t="s">
        <v>898</v>
      </c>
    </row>
    <row r="9001">
      <c r="C9001" t="s">
        <v>898</v>
      </c>
    </row>
    <row r="9002">
      <c r="C9002" t="s">
        <v>898</v>
      </c>
    </row>
    <row r="9003">
      <c r="C9003" t="s">
        <v>898</v>
      </c>
    </row>
    <row r="9004">
      <c r="C9004" t="s">
        <v>898</v>
      </c>
    </row>
    <row r="9005">
      <c r="C9005" t="s">
        <v>898</v>
      </c>
    </row>
    <row r="9006">
      <c r="C9006" t="s">
        <v>898</v>
      </c>
    </row>
    <row r="9007">
      <c r="C9007" t="s">
        <v>898</v>
      </c>
    </row>
    <row r="9008">
      <c r="C9008" t="s">
        <v>898</v>
      </c>
    </row>
    <row r="9009">
      <c r="C9009" t="s">
        <v>898</v>
      </c>
    </row>
    <row r="9010">
      <c r="C9010" t="s">
        <v>898</v>
      </c>
    </row>
    <row r="9011">
      <c r="C9011" t="s">
        <v>898</v>
      </c>
    </row>
    <row r="9012">
      <c r="C9012" t="s">
        <v>898</v>
      </c>
    </row>
    <row r="9013">
      <c r="C9013" t="s">
        <v>898</v>
      </c>
    </row>
    <row r="9014">
      <c r="C9014" t="s">
        <v>898</v>
      </c>
    </row>
    <row r="9015">
      <c r="C9015" t="s">
        <v>898</v>
      </c>
    </row>
    <row r="9016">
      <c r="C9016" t="s">
        <v>898</v>
      </c>
    </row>
    <row r="9017">
      <c r="C9017" t="s">
        <v>898</v>
      </c>
    </row>
    <row r="9018">
      <c r="C9018" t="s">
        <v>898</v>
      </c>
    </row>
    <row r="9019">
      <c r="C9019" t="s">
        <v>898</v>
      </c>
    </row>
    <row r="9020">
      <c r="C9020" t="s">
        <v>898</v>
      </c>
    </row>
    <row r="9021">
      <c r="C9021" t="s">
        <v>898</v>
      </c>
    </row>
    <row r="9022">
      <c r="C9022" t="s">
        <v>898</v>
      </c>
    </row>
    <row r="9023">
      <c r="C9023" t="s">
        <v>898</v>
      </c>
    </row>
    <row r="9024">
      <c r="C9024" t="s">
        <v>898</v>
      </c>
    </row>
    <row r="9025">
      <c r="C9025" t="s">
        <v>898</v>
      </c>
    </row>
    <row r="9026">
      <c r="C9026" t="s">
        <v>898</v>
      </c>
    </row>
    <row r="9027">
      <c r="C9027" t="s">
        <v>898</v>
      </c>
    </row>
    <row r="9028">
      <c r="C9028" t="s">
        <v>898</v>
      </c>
    </row>
    <row r="9029">
      <c r="C9029" t="s">
        <v>898</v>
      </c>
    </row>
    <row r="9030">
      <c r="C9030" t="s">
        <v>898</v>
      </c>
    </row>
    <row r="9031">
      <c r="C9031" t="s">
        <v>898</v>
      </c>
    </row>
    <row r="9032">
      <c r="C9032" t="s">
        <v>898</v>
      </c>
    </row>
    <row r="9033">
      <c r="C9033" t="s">
        <v>898</v>
      </c>
    </row>
    <row r="9034">
      <c r="C9034" t="s">
        <v>898</v>
      </c>
    </row>
    <row r="9035">
      <c r="C9035" t="s">
        <v>898</v>
      </c>
    </row>
    <row r="9036">
      <c r="C9036" t="s">
        <v>898</v>
      </c>
    </row>
    <row r="9037">
      <c r="C9037" t="s">
        <v>898</v>
      </c>
    </row>
    <row r="9038">
      <c r="C9038" t="s">
        <v>898</v>
      </c>
    </row>
    <row r="9039">
      <c r="C9039" t="s">
        <v>898</v>
      </c>
    </row>
    <row r="9040">
      <c r="C9040" t="s">
        <v>898</v>
      </c>
    </row>
    <row r="9041">
      <c r="C9041" t="s">
        <v>898</v>
      </c>
    </row>
    <row r="9042">
      <c r="C9042" t="s">
        <v>898</v>
      </c>
    </row>
    <row r="9043">
      <c r="C9043" t="s">
        <v>898</v>
      </c>
    </row>
    <row r="9044">
      <c r="C9044" t="s">
        <v>898</v>
      </c>
    </row>
    <row r="9045">
      <c r="C9045" t="s">
        <v>898</v>
      </c>
    </row>
    <row r="9046">
      <c r="C9046" t="s">
        <v>898</v>
      </c>
    </row>
    <row r="9047">
      <c r="C9047" t="s">
        <v>898</v>
      </c>
    </row>
    <row r="9048">
      <c r="C9048" t="s">
        <v>898</v>
      </c>
    </row>
    <row r="9049">
      <c r="C9049" t="s">
        <v>898</v>
      </c>
    </row>
    <row r="9050">
      <c r="C9050" t="s">
        <v>898</v>
      </c>
    </row>
    <row r="9051">
      <c r="C9051" t="s">
        <v>898</v>
      </c>
    </row>
    <row r="9052">
      <c r="C9052" t="s">
        <v>898</v>
      </c>
    </row>
    <row r="9053">
      <c r="C9053" t="s">
        <v>898</v>
      </c>
    </row>
    <row r="9054">
      <c r="C9054" t="s">
        <v>898</v>
      </c>
    </row>
    <row r="9055">
      <c r="C9055" t="s">
        <v>898</v>
      </c>
    </row>
    <row r="9056">
      <c r="C9056" t="s">
        <v>898</v>
      </c>
    </row>
    <row r="9057">
      <c r="C9057" t="s">
        <v>898</v>
      </c>
    </row>
    <row r="9058">
      <c r="C9058" t="s">
        <v>898</v>
      </c>
    </row>
    <row r="9059">
      <c r="C9059" t="s">
        <v>898</v>
      </c>
    </row>
    <row r="9060">
      <c r="C9060" t="s">
        <v>898</v>
      </c>
    </row>
    <row r="9061">
      <c r="C9061" t="s">
        <v>898</v>
      </c>
    </row>
    <row r="9062">
      <c r="C9062" t="s">
        <v>898</v>
      </c>
    </row>
    <row r="9063">
      <c r="C9063" t="s">
        <v>898</v>
      </c>
    </row>
    <row r="9064">
      <c r="C9064" t="s">
        <v>898</v>
      </c>
    </row>
    <row r="9065">
      <c r="C9065" t="s">
        <v>898</v>
      </c>
    </row>
    <row r="9066">
      <c r="C9066" t="s">
        <v>898</v>
      </c>
    </row>
    <row r="9067">
      <c r="C9067" t="s">
        <v>898</v>
      </c>
    </row>
    <row r="9068">
      <c r="C9068" t="s">
        <v>898</v>
      </c>
    </row>
    <row r="9069">
      <c r="C9069" t="s">
        <v>898</v>
      </c>
    </row>
    <row r="9070">
      <c r="C9070" t="s">
        <v>898</v>
      </c>
    </row>
    <row r="9071">
      <c r="C9071" t="s">
        <v>898</v>
      </c>
    </row>
    <row r="9072">
      <c r="C9072" t="s">
        <v>898</v>
      </c>
    </row>
    <row r="9073">
      <c r="C9073" t="s">
        <v>898</v>
      </c>
    </row>
    <row r="9074">
      <c r="C9074" t="s">
        <v>898</v>
      </c>
    </row>
    <row r="9075">
      <c r="C9075" t="s">
        <v>898</v>
      </c>
    </row>
    <row r="9076">
      <c r="C9076" t="s">
        <v>898</v>
      </c>
    </row>
    <row r="9077">
      <c r="C9077" t="s">
        <v>898</v>
      </c>
    </row>
    <row r="9078">
      <c r="C9078" t="s">
        <v>898</v>
      </c>
    </row>
    <row r="9079">
      <c r="C9079" t="s">
        <v>898</v>
      </c>
    </row>
    <row r="9080">
      <c r="C9080" t="s">
        <v>898</v>
      </c>
    </row>
    <row r="9081">
      <c r="C9081" t="s">
        <v>898</v>
      </c>
    </row>
    <row r="9082">
      <c r="C9082" t="s">
        <v>898</v>
      </c>
    </row>
    <row r="9083">
      <c r="C9083" t="s">
        <v>898</v>
      </c>
    </row>
    <row r="9084">
      <c r="C9084" t="s">
        <v>898</v>
      </c>
    </row>
    <row r="9085">
      <c r="C9085" t="s">
        <v>898</v>
      </c>
    </row>
    <row r="9086">
      <c r="C9086" t="s">
        <v>898</v>
      </c>
    </row>
    <row r="9087">
      <c r="C9087" t="s">
        <v>898</v>
      </c>
    </row>
    <row r="9088">
      <c r="C9088" t="s">
        <v>898</v>
      </c>
    </row>
    <row r="9089">
      <c r="C9089" t="s">
        <v>898</v>
      </c>
    </row>
    <row r="9090">
      <c r="C9090" t="s">
        <v>898</v>
      </c>
    </row>
    <row r="9091">
      <c r="C9091" t="s">
        <v>898</v>
      </c>
    </row>
    <row r="9092">
      <c r="C9092" t="s">
        <v>898</v>
      </c>
    </row>
    <row r="9093">
      <c r="C9093" t="s">
        <v>898</v>
      </c>
    </row>
    <row r="9094">
      <c r="C9094" t="s">
        <v>898</v>
      </c>
    </row>
    <row r="9095">
      <c r="C9095" t="s">
        <v>898</v>
      </c>
    </row>
    <row r="9096">
      <c r="C9096" t="s">
        <v>898</v>
      </c>
    </row>
    <row r="9097">
      <c r="C9097" t="s">
        <v>898</v>
      </c>
    </row>
    <row r="9098">
      <c r="C9098" t="s">
        <v>898</v>
      </c>
    </row>
    <row r="9099">
      <c r="C9099" t="s">
        <v>898</v>
      </c>
    </row>
    <row r="9100">
      <c r="C9100" t="s">
        <v>898</v>
      </c>
    </row>
    <row r="9101">
      <c r="C9101" t="s">
        <v>898</v>
      </c>
    </row>
    <row r="9102">
      <c r="C9102" t="s">
        <v>898</v>
      </c>
    </row>
    <row r="9103">
      <c r="C9103" t="s">
        <v>898</v>
      </c>
    </row>
    <row r="9104">
      <c r="C9104" t="s">
        <v>898</v>
      </c>
    </row>
    <row r="9105">
      <c r="C9105" t="s">
        <v>898</v>
      </c>
    </row>
    <row r="9106">
      <c r="C9106" t="s">
        <v>898</v>
      </c>
    </row>
    <row r="9107">
      <c r="C9107" t="s">
        <v>898</v>
      </c>
    </row>
    <row r="9108">
      <c r="C9108" t="s">
        <v>898</v>
      </c>
    </row>
    <row r="9109">
      <c r="C9109" t="s">
        <v>898</v>
      </c>
    </row>
    <row r="9110">
      <c r="C9110" t="s">
        <v>898</v>
      </c>
    </row>
    <row r="9111">
      <c r="C9111" t="s">
        <v>898</v>
      </c>
    </row>
    <row r="9112">
      <c r="C9112" t="s">
        <v>898</v>
      </c>
    </row>
    <row r="9113">
      <c r="C9113" t="s">
        <v>898</v>
      </c>
    </row>
    <row r="9114">
      <c r="C9114" t="s">
        <v>898</v>
      </c>
    </row>
    <row r="9115">
      <c r="C9115" t="s">
        <v>898</v>
      </c>
    </row>
    <row r="9116">
      <c r="C9116" t="s">
        <v>898</v>
      </c>
    </row>
    <row r="9117">
      <c r="C9117" t="s">
        <v>898</v>
      </c>
    </row>
    <row r="9118">
      <c r="C9118" t="s">
        <v>898</v>
      </c>
    </row>
    <row r="9119">
      <c r="C9119" t="s">
        <v>898</v>
      </c>
    </row>
    <row r="9120">
      <c r="C9120" t="s">
        <v>898</v>
      </c>
    </row>
    <row r="9121">
      <c r="C9121" t="s">
        <v>898</v>
      </c>
    </row>
    <row r="9122">
      <c r="C9122" t="s">
        <v>898</v>
      </c>
    </row>
    <row r="9123">
      <c r="C9123" t="s">
        <v>898</v>
      </c>
    </row>
    <row r="9124">
      <c r="C9124" t="s">
        <v>898</v>
      </c>
    </row>
    <row r="9125">
      <c r="C9125" t="s">
        <v>898</v>
      </c>
    </row>
    <row r="9126">
      <c r="C9126" t="s">
        <v>898</v>
      </c>
    </row>
    <row r="9127">
      <c r="C9127" t="s">
        <v>898</v>
      </c>
    </row>
    <row r="9128">
      <c r="C9128" t="s">
        <v>898</v>
      </c>
    </row>
    <row r="9129">
      <c r="C9129" t="s">
        <v>898</v>
      </c>
    </row>
    <row r="9130">
      <c r="C9130" t="s">
        <v>898</v>
      </c>
    </row>
    <row r="9131">
      <c r="C9131" t="s">
        <v>898</v>
      </c>
    </row>
    <row r="9132">
      <c r="C9132" t="s">
        <v>898</v>
      </c>
    </row>
    <row r="9133">
      <c r="C9133" t="s">
        <v>898</v>
      </c>
    </row>
    <row r="9134">
      <c r="C9134" t="s">
        <v>898</v>
      </c>
    </row>
    <row r="9135">
      <c r="C9135" t="s">
        <v>898</v>
      </c>
    </row>
    <row r="9136">
      <c r="C9136" t="s">
        <v>898</v>
      </c>
    </row>
    <row r="9137">
      <c r="C9137" t="s">
        <v>898</v>
      </c>
    </row>
    <row r="9138">
      <c r="C9138" t="s">
        <v>898</v>
      </c>
    </row>
    <row r="9139">
      <c r="C9139" t="s">
        <v>898</v>
      </c>
    </row>
    <row r="9140">
      <c r="C9140" t="s">
        <v>898</v>
      </c>
    </row>
    <row r="9141">
      <c r="C9141" t="s">
        <v>898</v>
      </c>
    </row>
    <row r="9142">
      <c r="C9142" t="s">
        <v>898</v>
      </c>
    </row>
    <row r="9143">
      <c r="C9143" t="s">
        <v>898</v>
      </c>
    </row>
    <row r="9144">
      <c r="C9144" t="s">
        <v>898</v>
      </c>
    </row>
    <row r="9145">
      <c r="C9145" t="s">
        <v>898</v>
      </c>
    </row>
    <row r="9146">
      <c r="C9146" t="s">
        <v>898</v>
      </c>
    </row>
    <row r="9147">
      <c r="C9147" t="s">
        <v>898</v>
      </c>
    </row>
    <row r="9148">
      <c r="C9148" t="s">
        <v>898</v>
      </c>
    </row>
    <row r="9149">
      <c r="C9149" t="s">
        <v>898</v>
      </c>
    </row>
    <row r="9150">
      <c r="C9150" t="s">
        <v>898</v>
      </c>
    </row>
    <row r="9151">
      <c r="C9151" t="s">
        <v>898</v>
      </c>
    </row>
    <row r="9152">
      <c r="C9152" t="s">
        <v>898</v>
      </c>
    </row>
    <row r="9153">
      <c r="C9153" t="s">
        <v>898</v>
      </c>
    </row>
    <row r="9154">
      <c r="C9154" t="s">
        <v>898</v>
      </c>
    </row>
    <row r="9155">
      <c r="C9155" t="s">
        <v>898</v>
      </c>
    </row>
    <row r="9156">
      <c r="C9156" t="s">
        <v>898</v>
      </c>
    </row>
    <row r="9157">
      <c r="C9157" t="s">
        <v>898</v>
      </c>
    </row>
    <row r="9158">
      <c r="C9158" t="s">
        <v>898</v>
      </c>
    </row>
    <row r="9159">
      <c r="C9159" t="s">
        <v>898</v>
      </c>
    </row>
    <row r="9160">
      <c r="C9160" t="s">
        <v>898</v>
      </c>
    </row>
    <row r="9161">
      <c r="C9161" t="s">
        <v>898</v>
      </c>
    </row>
    <row r="9162">
      <c r="C9162" t="s">
        <v>898</v>
      </c>
    </row>
    <row r="9163">
      <c r="C9163" t="s">
        <v>898</v>
      </c>
    </row>
    <row r="9164">
      <c r="C9164" t="s">
        <v>898</v>
      </c>
    </row>
    <row r="9165">
      <c r="C9165" t="s">
        <v>898</v>
      </c>
    </row>
    <row r="9166">
      <c r="C9166" t="s">
        <v>898</v>
      </c>
    </row>
    <row r="9167">
      <c r="C9167" t="s">
        <v>898</v>
      </c>
    </row>
    <row r="9168">
      <c r="C9168" t="s">
        <v>898</v>
      </c>
    </row>
    <row r="9169">
      <c r="C9169" t="s">
        <v>898</v>
      </c>
    </row>
    <row r="9170">
      <c r="C9170" t="s">
        <v>898</v>
      </c>
    </row>
    <row r="9171">
      <c r="C9171" t="s">
        <v>898</v>
      </c>
    </row>
    <row r="9172">
      <c r="C9172" t="s">
        <v>898</v>
      </c>
    </row>
    <row r="9173">
      <c r="C9173" t="s">
        <v>898</v>
      </c>
    </row>
    <row r="9174">
      <c r="C9174" t="s">
        <v>898</v>
      </c>
    </row>
    <row r="9175">
      <c r="C9175" t="s">
        <v>898</v>
      </c>
    </row>
    <row r="9176">
      <c r="C9176" t="s">
        <v>898</v>
      </c>
    </row>
    <row r="9177">
      <c r="C9177" t="s">
        <v>898</v>
      </c>
    </row>
    <row r="9178">
      <c r="C9178" t="s">
        <v>898</v>
      </c>
    </row>
    <row r="9179">
      <c r="C9179" t="s">
        <v>898</v>
      </c>
    </row>
    <row r="9180">
      <c r="C9180" t="s">
        <v>898</v>
      </c>
    </row>
    <row r="9181">
      <c r="C9181" t="s">
        <v>898</v>
      </c>
    </row>
    <row r="9182">
      <c r="C9182" t="s">
        <v>898</v>
      </c>
    </row>
    <row r="9183">
      <c r="C9183" t="s">
        <v>898</v>
      </c>
    </row>
    <row r="9184">
      <c r="C9184" t="s">
        <v>898</v>
      </c>
    </row>
    <row r="9185">
      <c r="C9185" t="s">
        <v>898</v>
      </c>
    </row>
    <row r="9186">
      <c r="C9186" t="s">
        <v>898</v>
      </c>
    </row>
    <row r="9187">
      <c r="C9187" t="s">
        <v>898</v>
      </c>
    </row>
    <row r="9188">
      <c r="C9188" t="s">
        <v>898</v>
      </c>
    </row>
    <row r="9189">
      <c r="C9189" t="s">
        <v>898</v>
      </c>
    </row>
    <row r="9190">
      <c r="C9190" t="s">
        <v>898</v>
      </c>
    </row>
    <row r="9191">
      <c r="C9191" t="s">
        <v>898</v>
      </c>
    </row>
    <row r="9192">
      <c r="C9192" t="s">
        <v>898</v>
      </c>
    </row>
    <row r="9193">
      <c r="C9193" t="s">
        <v>898</v>
      </c>
    </row>
    <row r="9194">
      <c r="C9194" t="s">
        <v>898</v>
      </c>
    </row>
    <row r="9195">
      <c r="C9195" t="s">
        <v>898</v>
      </c>
    </row>
    <row r="9196">
      <c r="C9196" t="s">
        <v>898</v>
      </c>
    </row>
    <row r="9197">
      <c r="C9197" t="s">
        <v>898</v>
      </c>
    </row>
    <row r="9198">
      <c r="C9198" t="s">
        <v>898</v>
      </c>
    </row>
    <row r="9199">
      <c r="C9199" t="s">
        <v>898</v>
      </c>
    </row>
    <row r="9200">
      <c r="C9200" t="s">
        <v>898</v>
      </c>
    </row>
    <row r="9201">
      <c r="C9201" t="s">
        <v>898</v>
      </c>
    </row>
    <row r="9202">
      <c r="C9202" t="s">
        <v>898</v>
      </c>
    </row>
    <row r="9203">
      <c r="C9203" t="s">
        <v>898</v>
      </c>
    </row>
    <row r="9204">
      <c r="C9204" t="s">
        <v>898</v>
      </c>
    </row>
    <row r="9205">
      <c r="C9205" t="s">
        <v>898</v>
      </c>
    </row>
    <row r="9206">
      <c r="C9206" t="s">
        <v>898</v>
      </c>
    </row>
    <row r="9207">
      <c r="C9207" t="s">
        <v>898</v>
      </c>
    </row>
    <row r="9208">
      <c r="C9208" t="s">
        <v>898</v>
      </c>
    </row>
    <row r="9209">
      <c r="C9209" t="s">
        <v>898</v>
      </c>
    </row>
    <row r="9210">
      <c r="C9210" t="s">
        <v>898</v>
      </c>
    </row>
    <row r="9211">
      <c r="C9211" t="s">
        <v>898</v>
      </c>
    </row>
    <row r="9212">
      <c r="C9212" t="s">
        <v>898</v>
      </c>
    </row>
    <row r="9213">
      <c r="C9213" t="s">
        <v>898</v>
      </c>
    </row>
    <row r="9214">
      <c r="C9214" t="s">
        <v>898</v>
      </c>
    </row>
    <row r="9215">
      <c r="C9215" t="s">
        <v>898</v>
      </c>
    </row>
    <row r="9216">
      <c r="C9216" t="s">
        <v>898</v>
      </c>
    </row>
    <row r="9217">
      <c r="C9217" t="s">
        <v>898</v>
      </c>
    </row>
    <row r="9218">
      <c r="C9218" t="s">
        <v>898</v>
      </c>
    </row>
    <row r="9219">
      <c r="C9219" t="s">
        <v>898</v>
      </c>
    </row>
    <row r="9220">
      <c r="C9220" t="s">
        <v>898</v>
      </c>
    </row>
    <row r="9221">
      <c r="C9221" t="s">
        <v>898</v>
      </c>
    </row>
    <row r="9222">
      <c r="C9222" t="s">
        <v>898</v>
      </c>
    </row>
    <row r="9223">
      <c r="C9223" t="s">
        <v>898</v>
      </c>
    </row>
    <row r="9224">
      <c r="C9224" t="s">
        <v>898</v>
      </c>
    </row>
    <row r="9225">
      <c r="C9225" t="s">
        <v>898</v>
      </c>
    </row>
    <row r="9226">
      <c r="C9226" t="s">
        <v>898</v>
      </c>
    </row>
    <row r="9227">
      <c r="C9227" t="s">
        <v>898</v>
      </c>
    </row>
    <row r="9228">
      <c r="C9228" t="s">
        <v>898</v>
      </c>
    </row>
    <row r="9229">
      <c r="C9229" t="s">
        <v>898</v>
      </c>
    </row>
    <row r="9230">
      <c r="C9230" t="s">
        <v>898</v>
      </c>
    </row>
    <row r="9231">
      <c r="C9231" t="s">
        <v>898</v>
      </c>
    </row>
    <row r="9232">
      <c r="C9232" t="s">
        <v>898</v>
      </c>
    </row>
    <row r="9233">
      <c r="C9233" t="s">
        <v>898</v>
      </c>
    </row>
    <row r="9234">
      <c r="C9234" t="s">
        <v>898</v>
      </c>
    </row>
    <row r="9235">
      <c r="C9235" t="s">
        <v>898</v>
      </c>
    </row>
    <row r="9236">
      <c r="C9236" t="s">
        <v>898</v>
      </c>
    </row>
    <row r="9237">
      <c r="C9237" t="s">
        <v>898</v>
      </c>
    </row>
    <row r="9238">
      <c r="C9238" t="s">
        <v>898</v>
      </c>
    </row>
    <row r="9239">
      <c r="C9239" t="s">
        <v>898</v>
      </c>
    </row>
    <row r="9240">
      <c r="C9240" t="s">
        <v>898</v>
      </c>
    </row>
    <row r="9241">
      <c r="C9241" t="s">
        <v>898</v>
      </c>
    </row>
    <row r="9242">
      <c r="C9242" t="s">
        <v>898</v>
      </c>
    </row>
    <row r="9243">
      <c r="C9243" t="s">
        <v>898</v>
      </c>
    </row>
    <row r="9244">
      <c r="C9244" t="s">
        <v>898</v>
      </c>
    </row>
    <row r="9245">
      <c r="C9245" t="s">
        <v>898</v>
      </c>
    </row>
    <row r="9246">
      <c r="C9246" t="s">
        <v>898</v>
      </c>
    </row>
    <row r="9247">
      <c r="C9247" t="s">
        <v>898</v>
      </c>
    </row>
    <row r="9248">
      <c r="C9248" t="s">
        <v>898</v>
      </c>
    </row>
    <row r="9249">
      <c r="C9249" t="s">
        <v>898</v>
      </c>
    </row>
    <row r="9250">
      <c r="C9250" t="s">
        <v>898</v>
      </c>
    </row>
    <row r="9251">
      <c r="C9251" t="s">
        <v>898</v>
      </c>
    </row>
    <row r="9252">
      <c r="C9252" t="s">
        <v>898</v>
      </c>
    </row>
    <row r="9253">
      <c r="C9253" t="s">
        <v>898</v>
      </c>
    </row>
    <row r="9254">
      <c r="C9254" t="s">
        <v>898</v>
      </c>
    </row>
    <row r="9255">
      <c r="C9255" t="s">
        <v>898</v>
      </c>
    </row>
    <row r="9256">
      <c r="C9256" t="s">
        <v>898</v>
      </c>
    </row>
    <row r="9257">
      <c r="C9257" t="s">
        <v>898</v>
      </c>
    </row>
    <row r="9258">
      <c r="C9258" t="s">
        <v>898</v>
      </c>
    </row>
    <row r="9259">
      <c r="C9259" t="s">
        <v>898</v>
      </c>
    </row>
    <row r="9260">
      <c r="C9260" t="s">
        <v>898</v>
      </c>
    </row>
    <row r="9261">
      <c r="C9261" t="s">
        <v>898</v>
      </c>
    </row>
    <row r="9262">
      <c r="C9262" t="s">
        <v>898</v>
      </c>
    </row>
    <row r="9263">
      <c r="C9263" t="s">
        <v>898</v>
      </c>
    </row>
    <row r="9264">
      <c r="C9264" t="s">
        <v>898</v>
      </c>
    </row>
    <row r="9265">
      <c r="C9265" t="s">
        <v>898</v>
      </c>
    </row>
    <row r="9266">
      <c r="C9266" t="s">
        <v>898</v>
      </c>
    </row>
    <row r="9267">
      <c r="C9267" t="s">
        <v>898</v>
      </c>
    </row>
    <row r="9268">
      <c r="C9268" t="s">
        <v>898</v>
      </c>
    </row>
    <row r="9269">
      <c r="C9269" t="s">
        <v>898</v>
      </c>
    </row>
    <row r="9270">
      <c r="C9270" t="s">
        <v>898</v>
      </c>
    </row>
    <row r="9271">
      <c r="C9271" t="s">
        <v>898</v>
      </c>
    </row>
    <row r="9272">
      <c r="C9272" t="s">
        <v>898</v>
      </c>
    </row>
    <row r="9273">
      <c r="C9273" t="s">
        <v>898</v>
      </c>
    </row>
    <row r="9274">
      <c r="C9274" t="s">
        <v>898</v>
      </c>
    </row>
    <row r="9275">
      <c r="C9275" t="s">
        <v>898</v>
      </c>
    </row>
    <row r="9276">
      <c r="C9276" t="s">
        <v>898</v>
      </c>
    </row>
    <row r="9277">
      <c r="C9277" t="s">
        <v>898</v>
      </c>
    </row>
    <row r="9278">
      <c r="C9278" t="s">
        <v>898</v>
      </c>
    </row>
    <row r="9279">
      <c r="C9279" t="s">
        <v>898</v>
      </c>
    </row>
    <row r="9280">
      <c r="C9280" t="s">
        <v>898</v>
      </c>
    </row>
    <row r="9281">
      <c r="C9281" t="s">
        <v>898</v>
      </c>
    </row>
    <row r="9282">
      <c r="C9282" t="s">
        <v>898</v>
      </c>
    </row>
    <row r="9283">
      <c r="C9283" t="s">
        <v>898</v>
      </c>
    </row>
    <row r="9284">
      <c r="C9284" t="s">
        <v>898</v>
      </c>
    </row>
    <row r="9285">
      <c r="C9285" t="s">
        <v>898</v>
      </c>
    </row>
    <row r="9286">
      <c r="C9286" t="s">
        <v>898</v>
      </c>
    </row>
    <row r="9287">
      <c r="C9287" t="s">
        <v>898</v>
      </c>
    </row>
    <row r="9288">
      <c r="C9288" t="s">
        <v>898</v>
      </c>
    </row>
    <row r="9289">
      <c r="C9289" t="s">
        <v>898</v>
      </c>
    </row>
    <row r="9290">
      <c r="C9290" t="s">
        <v>898</v>
      </c>
    </row>
    <row r="9291">
      <c r="C9291" t="s">
        <v>898</v>
      </c>
    </row>
    <row r="9292">
      <c r="C9292" t="s">
        <v>898</v>
      </c>
    </row>
    <row r="9293">
      <c r="C9293" t="s">
        <v>898</v>
      </c>
    </row>
    <row r="9294">
      <c r="C9294" t="s">
        <v>898</v>
      </c>
    </row>
    <row r="9295">
      <c r="C9295" t="s">
        <v>898</v>
      </c>
    </row>
    <row r="9296">
      <c r="C9296" t="s">
        <v>898</v>
      </c>
    </row>
    <row r="9297">
      <c r="C9297" t="s">
        <v>898</v>
      </c>
    </row>
    <row r="9298">
      <c r="C9298" t="s">
        <v>898</v>
      </c>
    </row>
    <row r="9299">
      <c r="C9299" t="s">
        <v>898</v>
      </c>
    </row>
    <row r="9300">
      <c r="C9300" t="s">
        <v>898</v>
      </c>
    </row>
    <row r="9301">
      <c r="C9301" t="s">
        <v>898</v>
      </c>
    </row>
    <row r="9302">
      <c r="C9302" t="s">
        <v>898</v>
      </c>
    </row>
    <row r="9303">
      <c r="C9303" t="s">
        <v>898</v>
      </c>
    </row>
    <row r="9304">
      <c r="C9304" t="s">
        <v>898</v>
      </c>
    </row>
    <row r="9305">
      <c r="C9305" t="s">
        <v>898</v>
      </c>
    </row>
    <row r="9306">
      <c r="C9306" t="s">
        <v>898</v>
      </c>
    </row>
    <row r="9307">
      <c r="C9307" t="s">
        <v>898</v>
      </c>
    </row>
    <row r="9308">
      <c r="C9308" t="s">
        <v>898</v>
      </c>
    </row>
    <row r="9309">
      <c r="C9309" t="s">
        <v>898</v>
      </c>
    </row>
    <row r="9310">
      <c r="C9310" t="s">
        <v>898</v>
      </c>
    </row>
    <row r="9311">
      <c r="C9311" t="s">
        <v>898</v>
      </c>
    </row>
    <row r="9312">
      <c r="C9312" t="s">
        <v>898</v>
      </c>
    </row>
    <row r="9313">
      <c r="C9313" t="s">
        <v>898</v>
      </c>
    </row>
    <row r="9314">
      <c r="C9314" t="s">
        <v>898</v>
      </c>
    </row>
    <row r="9315">
      <c r="C9315" t="s">
        <v>898</v>
      </c>
    </row>
    <row r="9316">
      <c r="C9316" t="s">
        <v>898</v>
      </c>
    </row>
    <row r="9317">
      <c r="C9317" t="s">
        <v>898</v>
      </c>
    </row>
    <row r="9318">
      <c r="C9318" t="s">
        <v>898</v>
      </c>
    </row>
    <row r="9319">
      <c r="C9319" t="s">
        <v>898</v>
      </c>
    </row>
    <row r="9320">
      <c r="C9320" t="s">
        <v>898</v>
      </c>
    </row>
    <row r="9321">
      <c r="C9321" t="s">
        <v>898</v>
      </c>
    </row>
    <row r="9322">
      <c r="C9322" t="s">
        <v>898</v>
      </c>
    </row>
    <row r="9323">
      <c r="C9323" t="s">
        <v>898</v>
      </c>
    </row>
    <row r="9324">
      <c r="C9324" t="s">
        <v>898</v>
      </c>
    </row>
    <row r="9325">
      <c r="C9325" t="s">
        <v>898</v>
      </c>
    </row>
    <row r="9326">
      <c r="C9326" t="s">
        <v>898</v>
      </c>
    </row>
    <row r="9327">
      <c r="C9327" t="s">
        <v>898</v>
      </c>
    </row>
    <row r="9328">
      <c r="C9328" t="s">
        <v>898</v>
      </c>
    </row>
    <row r="9329">
      <c r="C9329" t="s">
        <v>898</v>
      </c>
    </row>
    <row r="9330">
      <c r="C9330" t="s">
        <v>898</v>
      </c>
    </row>
    <row r="9331">
      <c r="C9331" t="s">
        <v>898</v>
      </c>
    </row>
    <row r="9332">
      <c r="C9332" t="s">
        <v>898</v>
      </c>
    </row>
    <row r="9333">
      <c r="C9333" t="s">
        <v>898</v>
      </c>
    </row>
    <row r="9334">
      <c r="C9334" t="s">
        <v>898</v>
      </c>
    </row>
    <row r="9335">
      <c r="C9335" t="s">
        <v>898</v>
      </c>
    </row>
    <row r="9336">
      <c r="C9336" t="s">
        <v>898</v>
      </c>
    </row>
    <row r="9337">
      <c r="C9337" t="s">
        <v>898</v>
      </c>
    </row>
    <row r="9338">
      <c r="C9338" t="s">
        <v>898</v>
      </c>
    </row>
    <row r="9339">
      <c r="C9339" t="s">
        <v>898</v>
      </c>
    </row>
    <row r="9340">
      <c r="C9340" t="s">
        <v>898</v>
      </c>
    </row>
    <row r="9341">
      <c r="C9341" t="s">
        <v>898</v>
      </c>
    </row>
    <row r="9342">
      <c r="C9342" t="s">
        <v>898</v>
      </c>
    </row>
    <row r="9343">
      <c r="C9343" t="s">
        <v>898</v>
      </c>
    </row>
    <row r="9344">
      <c r="C9344" t="s">
        <v>898</v>
      </c>
    </row>
    <row r="9345">
      <c r="C9345" t="s">
        <v>898</v>
      </c>
    </row>
    <row r="9346">
      <c r="C9346" t="s">
        <v>898</v>
      </c>
    </row>
    <row r="9347">
      <c r="C9347" t="s">
        <v>898</v>
      </c>
    </row>
    <row r="9348">
      <c r="C9348" t="s">
        <v>898</v>
      </c>
    </row>
    <row r="9349">
      <c r="C9349" t="s">
        <v>898</v>
      </c>
    </row>
    <row r="9350">
      <c r="C9350" t="s">
        <v>898</v>
      </c>
    </row>
    <row r="9351">
      <c r="C9351" t="s">
        <v>898</v>
      </c>
    </row>
    <row r="9352">
      <c r="C9352" t="s">
        <v>898</v>
      </c>
    </row>
    <row r="9353">
      <c r="C9353" t="s">
        <v>898</v>
      </c>
    </row>
    <row r="9354">
      <c r="C9354" t="s">
        <v>898</v>
      </c>
    </row>
    <row r="9355">
      <c r="C9355" t="s">
        <v>898</v>
      </c>
    </row>
    <row r="9356">
      <c r="C9356" t="s">
        <v>898</v>
      </c>
    </row>
    <row r="9357">
      <c r="C9357" t="s">
        <v>898</v>
      </c>
    </row>
    <row r="9358">
      <c r="C9358" t="s">
        <v>898</v>
      </c>
    </row>
    <row r="9359">
      <c r="C9359" t="s">
        <v>898</v>
      </c>
    </row>
    <row r="9360">
      <c r="C9360" t="s">
        <v>898</v>
      </c>
    </row>
    <row r="9361">
      <c r="C9361" t="s">
        <v>898</v>
      </c>
    </row>
    <row r="9362">
      <c r="C9362" t="s">
        <v>898</v>
      </c>
    </row>
    <row r="9363">
      <c r="C9363" t="s">
        <v>898</v>
      </c>
    </row>
    <row r="9364">
      <c r="C9364" t="s">
        <v>898</v>
      </c>
    </row>
    <row r="9365">
      <c r="C9365" t="s">
        <v>898</v>
      </c>
    </row>
    <row r="9366">
      <c r="C9366" t="s">
        <v>898</v>
      </c>
    </row>
    <row r="9367">
      <c r="C9367" t="s">
        <v>898</v>
      </c>
    </row>
    <row r="9368">
      <c r="C9368" t="s">
        <v>898</v>
      </c>
    </row>
    <row r="9369">
      <c r="C9369" t="s">
        <v>898</v>
      </c>
    </row>
    <row r="9370">
      <c r="C9370" t="s">
        <v>898</v>
      </c>
    </row>
    <row r="9371">
      <c r="C9371" t="s">
        <v>898</v>
      </c>
    </row>
    <row r="9372">
      <c r="C9372" t="s">
        <v>898</v>
      </c>
    </row>
    <row r="9373">
      <c r="C9373" t="s">
        <v>898</v>
      </c>
    </row>
    <row r="9374">
      <c r="C9374" t="s">
        <v>898</v>
      </c>
    </row>
    <row r="9375">
      <c r="C9375" t="s">
        <v>898</v>
      </c>
    </row>
    <row r="9376">
      <c r="C9376" t="s">
        <v>898</v>
      </c>
    </row>
    <row r="9377">
      <c r="C9377" t="s">
        <v>898</v>
      </c>
    </row>
    <row r="9378">
      <c r="C9378" t="s">
        <v>898</v>
      </c>
    </row>
    <row r="9379">
      <c r="C9379" t="s">
        <v>898</v>
      </c>
    </row>
    <row r="9380">
      <c r="C9380" t="s">
        <v>898</v>
      </c>
    </row>
    <row r="9381">
      <c r="C9381" t="s">
        <v>898</v>
      </c>
    </row>
    <row r="9382">
      <c r="C9382" t="s">
        <v>898</v>
      </c>
    </row>
    <row r="9383">
      <c r="C9383" t="s">
        <v>898</v>
      </c>
    </row>
    <row r="9384">
      <c r="C9384" t="s">
        <v>898</v>
      </c>
    </row>
    <row r="9385">
      <c r="C9385" t="s">
        <v>898</v>
      </c>
    </row>
    <row r="9386">
      <c r="C9386" t="s">
        <v>898</v>
      </c>
    </row>
    <row r="9387">
      <c r="C9387" t="s">
        <v>898</v>
      </c>
    </row>
    <row r="9388">
      <c r="C9388" t="s">
        <v>898</v>
      </c>
    </row>
    <row r="9389">
      <c r="C9389" t="s">
        <v>898</v>
      </c>
    </row>
    <row r="9390">
      <c r="C9390" t="s">
        <v>898</v>
      </c>
    </row>
    <row r="9391">
      <c r="C9391" t="s">
        <v>898</v>
      </c>
    </row>
    <row r="9392">
      <c r="C9392" t="s">
        <v>898</v>
      </c>
    </row>
    <row r="9393">
      <c r="C9393" t="s">
        <v>898</v>
      </c>
    </row>
    <row r="9394">
      <c r="C9394" t="s">
        <v>898</v>
      </c>
    </row>
    <row r="9395">
      <c r="C9395" t="s">
        <v>898</v>
      </c>
    </row>
    <row r="9396">
      <c r="C9396" t="s">
        <v>898</v>
      </c>
    </row>
    <row r="9397">
      <c r="C9397" t="s">
        <v>898</v>
      </c>
    </row>
    <row r="9398">
      <c r="C9398" t="s">
        <v>898</v>
      </c>
    </row>
    <row r="9399">
      <c r="C9399" t="s">
        <v>898</v>
      </c>
    </row>
    <row r="9400">
      <c r="C9400" t="s">
        <v>898</v>
      </c>
    </row>
    <row r="9401">
      <c r="C9401" t="s">
        <v>898</v>
      </c>
    </row>
    <row r="9402">
      <c r="C9402" t="s">
        <v>898</v>
      </c>
    </row>
    <row r="9403">
      <c r="C9403" t="s">
        <v>898</v>
      </c>
    </row>
    <row r="9404">
      <c r="C9404" t="s">
        <v>898</v>
      </c>
    </row>
    <row r="9405">
      <c r="C9405" t="s">
        <v>898</v>
      </c>
    </row>
    <row r="9406">
      <c r="C9406" t="s">
        <v>898</v>
      </c>
    </row>
    <row r="9407">
      <c r="C9407" t="s">
        <v>898</v>
      </c>
    </row>
    <row r="9408">
      <c r="C9408" t="s">
        <v>898</v>
      </c>
    </row>
    <row r="9409">
      <c r="C9409" t="s">
        <v>898</v>
      </c>
    </row>
    <row r="9410">
      <c r="C9410" t="s">
        <v>898</v>
      </c>
    </row>
    <row r="9411">
      <c r="C9411" t="s">
        <v>898</v>
      </c>
    </row>
    <row r="9412">
      <c r="C9412" t="s">
        <v>898</v>
      </c>
    </row>
    <row r="9413">
      <c r="C9413" t="s">
        <v>898</v>
      </c>
    </row>
    <row r="9414">
      <c r="C9414" t="s">
        <v>898</v>
      </c>
    </row>
    <row r="9415">
      <c r="C9415" t="s">
        <v>898</v>
      </c>
    </row>
    <row r="9416">
      <c r="C9416" t="s">
        <v>898</v>
      </c>
    </row>
    <row r="9417">
      <c r="C9417" t="s">
        <v>898</v>
      </c>
    </row>
    <row r="9418">
      <c r="C9418" t="s">
        <v>898</v>
      </c>
    </row>
    <row r="9419">
      <c r="C9419" t="s">
        <v>898</v>
      </c>
    </row>
    <row r="9420">
      <c r="C9420" t="s">
        <v>898</v>
      </c>
    </row>
    <row r="9421">
      <c r="C9421" t="s">
        <v>898</v>
      </c>
    </row>
    <row r="9422">
      <c r="C9422" t="s">
        <v>898</v>
      </c>
    </row>
    <row r="9423">
      <c r="C9423" t="s">
        <v>898</v>
      </c>
    </row>
    <row r="9424">
      <c r="C9424" t="s">
        <v>898</v>
      </c>
    </row>
    <row r="9425">
      <c r="C9425" t="s">
        <v>898</v>
      </c>
    </row>
    <row r="9426">
      <c r="C9426" t="s">
        <v>898</v>
      </c>
    </row>
    <row r="9427">
      <c r="C9427" t="s">
        <v>898</v>
      </c>
    </row>
    <row r="9428">
      <c r="C9428" t="s">
        <v>898</v>
      </c>
    </row>
    <row r="9429">
      <c r="C9429" t="s">
        <v>898</v>
      </c>
    </row>
    <row r="9430">
      <c r="C9430" t="s">
        <v>898</v>
      </c>
    </row>
    <row r="9431">
      <c r="C9431" t="s">
        <v>898</v>
      </c>
    </row>
    <row r="9432">
      <c r="C9432" t="s">
        <v>898</v>
      </c>
    </row>
    <row r="9433">
      <c r="C9433" t="s">
        <v>898</v>
      </c>
    </row>
    <row r="9434">
      <c r="C9434" t="s">
        <v>898</v>
      </c>
    </row>
    <row r="9435">
      <c r="C9435" t="s">
        <v>898</v>
      </c>
    </row>
    <row r="9436">
      <c r="C9436" t="s">
        <v>898</v>
      </c>
    </row>
    <row r="9437">
      <c r="C9437" t="s">
        <v>898</v>
      </c>
    </row>
    <row r="9438">
      <c r="C9438" t="s">
        <v>898</v>
      </c>
    </row>
    <row r="9439">
      <c r="C9439" t="s">
        <v>898</v>
      </c>
    </row>
    <row r="9440">
      <c r="C9440" t="s">
        <v>898</v>
      </c>
    </row>
    <row r="9441">
      <c r="C9441" t="s">
        <v>898</v>
      </c>
    </row>
    <row r="9442">
      <c r="C9442" t="s">
        <v>898</v>
      </c>
    </row>
    <row r="9443">
      <c r="C9443" t="s">
        <v>898</v>
      </c>
    </row>
    <row r="9444">
      <c r="C9444" t="s">
        <v>898</v>
      </c>
    </row>
    <row r="9445">
      <c r="C9445" t="s">
        <v>898</v>
      </c>
    </row>
    <row r="9446">
      <c r="C9446" t="s">
        <v>898</v>
      </c>
    </row>
    <row r="9447">
      <c r="C9447" t="s">
        <v>898</v>
      </c>
    </row>
    <row r="9448">
      <c r="C9448" t="s">
        <v>898</v>
      </c>
    </row>
    <row r="9449">
      <c r="C9449" t="s">
        <v>898</v>
      </c>
    </row>
    <row r="9450">
      <c r="C9450" t="s">
        <v>898</v>
      </c>
    </row>
    <row r="9451">
      <c r="C9451" t="s">
        <v>898</v>
      </c>
    </row>
    <row r="9452">
      <c r="C9452" t="s">
        <v>898</v>
      </c>
    </row>
    <row r="9453">
      <c r="C9453" t="s">
        <v>898</v>
      </c>
    </row>
    <row r="9454">
      <c r="C9454" t="s">
        <v>898</v>
      </c>
    </row>
    <row r="9455">
      <c r="C9455" t="s">
        <v>898</v>
      </c>
    </row>
    <row r="9456">
      <c r="C9456" t="s">
        <v>898</v>
      </c>
    </row>
    <row r="9457">
      <c r="C9457" t="s">
        <v>898</v>
      </c>
    </row>
    <row r="9458">
      <c r="C9458" t="s">
        <v>898</v>
      </c>
    </row>
    <row r="9459">
      <c r="C9459" t="s">
        <v>898</v>
      </c>
    </row>
    <row r="9460">
      <c r="C9460" t="s">
        <v>898</v>
      </c>
    </row>
    <row r="9461">
      <c r="C9461" t="s">
        <v>898</v>
      </c>
    </row>
    <row r="9462">
      <c r="C9462" t="s">
        <v>898</v>
      </c>
    </row>
    <row r="9463">
      <c r="C9463" t="s">
        <v>898</v>
      </c>
    </row>
    <row r="9464">
      <c r="C9464" t="s">
        <v>898</v>
      </c>
    </row>
    <row r="9465">
      <c r="C9465" t="s">
        <v>898</v>
      </c>
    </row>
    <row r="9466">
      <c r="C9466" t="s">
        <v>898</v>
      </c>
    </row>
    <row r="9467">
      <c r="C9467" t="s">
        <v>898</v>
      </c>
    </row>
    <row r="9468">
      <c r="C9468" t="s">
        <v>898</v>
      </c>
    </row>
    <row r="9469">
      <c r="C9469" t="s">
        <v>898</v>
      </c>
    </row>
    <row r="9470">
      <c r="C9470" t="s">
        <v>898</v>
      </c>
    </row>
    <row r="9471">
      <c r="C9471" t="s">
        <v>898</v>
      </c>
    </row>
    <row r="9472">
      <c r="C9472" t="s">
        <v>898</v>
      </c>
    </row>
    <row r="9473">
      <c r="C9473" t="s">
        <v>898</v>
      </c>
    </row>
    <row r="9474">
      <c r="C9474" t="s">
        <v>898</v>
      </c>
    </row>
    <row r="9475">
      <c r="C9475" t="s">
        <v>898</v>
      </c>
    </row>
    <row r="9476">
      <c r="C9476" t="s">
        <v>898</v>
      </c>
    </row>
    <row r="9477">
      <c r="C9477" t="s">
        <v>898</v>
      </c>
    </row>
    <row r="9478">
      <c r="C9478" t="s">
        <v>898</v>
      </c>
    </row>
    <row r="9479">
      <c r="C9479" t="s">
        <v>898</v>
      </c>
    </row>
    <row r="9480">
      <c r="C9480" t="s">
        <v>898</v>
      </c>
    </row>
    <row r="9481">
      <c r="C9481" t="s">
        <v>898</v>
      </c>
    </row>
    <row r="9482">
      <c r="C9482" t="s">
        <v>898</v>
      </c>
    </row>
    <row r="9483">
      <c r="C9483" t="s">
        <v>898</v>
      </c>
    </row>
    <row r="9484">
      <c r="C9484" t="s">
        <v>898</v>
      </c>
    </row>
    <row r="9485">
      <c r="C9485" t="s">
        <v>898</v>
      </c>
    </row>
    <row r="9486">
      <c r="C9486" t="s">
        <v>898</v>
      </c>
    </row>
    <row r="9487">
      <c r="C9487" t="s">
        <v>898</v>
      </c>
    </row>
    <row r="9488">
      <c r="C9488" t="s">
        <v>898</v>
      </c>
    </row>
    <row r="9489">
      <c r="C9489" t="s">
        <v>898</v>
      </c>
    </row>
    <row r="9490">
      <c r="C9490" t="s">
        <v>898</v>
      </c>
    </row>
    <row r="9491">
      <c r="C9491" t="s">
        <v>898</v>
      </c>
    </row>
    <row r="9492">
      <c r="C9492" t="s">
        <v>898</v>
      </c>
    </row>
    <row r="9493">
      <c r="C9493" t="s">
        <v>898</v>
      </c>
    </row>
    <row r="9494">
      <c r="C9494" t="s">
        <v>898</v>
      </c>
    </row>
    <row r="9495">
      <c r="C9495" t="s">
        <v>898</v>
      </c>
    </row>
    <row r="9496">
      <c r="C9496" t="s">
        <v>898</v>
      </c>
    </row>
    <row r="9497">
      <c r="C9497" t="s">
        <v>898</v>
      </c>
    </row>
    <row r="9498">
      <c r="C9498" t="s">
        <v>898</v>
      </c>
    </row>
    <row r="9499">
      <c r="C9499" t="s">
        <v>898</v>
      </c>
    </row>
    <row r="9500">
      <c r="C9500" t="s">
        <v>898</v>
      </c>
    </row>
    <row r="9501">
      <c r="C9501" t="s">
        <v>898</v>
      </c>
    </row>
    <row r="9502">
      <c r="C9502" t="s">
        <v>898</v>
      </c>
    </row>
    <row r="9503">
      <c r="C9503" t="s">
        <v>898</v>
      </c>
    </row>
    <row r="9504">
      <c r="C9504" t="s">
        <v>898</v>
      </c>
    </row>
    <row r="9505">
      <c r="C9505" t="s">
        <v>898</v>
      </c>
    </row>
    <row r="9506">
      <c r="C9506" t="s">
        <v>898</v>
      </c>
    </row>
    <row r="9507">
      <c r="C9507" t="s">
        <v>898</v>
      </c>
    </row>
    <row r="9508">
      <c r="C9508" t="s">
        <v>898</v>
      </c>
    </row>
    <row r="9509">
      <c r="C9509" t="s">
        <v>898</v>
      </c>
    </row>
    <row r="9510">
      <c r="C9510" t="s">
        <v>898</v>
      </c>
    </row>
    <row r="9511">
      <c r="C9511" t="s">
        <v>898</v>
      </c>
    </row>
    <row r="9512">
      <c r="C9512" t="s">
        <v>898</v>
      </c>
    </row>
    <row r="9513">
      <c r="C9513" t="s">
        <v>898</v>
      </c>
    </row>
    <row r="9514">
      <c r="C9514" t="s">
        <v>898</v>
      </c>
    </row>
    <row r="9515">
      <c r="C9515" t="s">
        <v>898</v>
      </c>
    </row>
    <row r="9516">
      <c r="C9516" t="s">
        <v>898</v>
      </c>
    </row>
    <row r="9517">
      <c r="C9517" t="s">
        <v>898</v>
      </c>
    </row>
    <row r="9518">
      <c r="C9518" t="s">
        <v>898</v>
      </c>
    </row>
    <row r="9519">
      <c r="C9519" t="s">
        <v>898</v>
      </c>
    </row>
    <row r="9520">
      <c r="C9520" t="s">
        <v>898</v>
      </c>
    </row>
    <row r="9521">
      <c r="C9521" t="s">
        <v>898</v>
      </c>
    </row>
    <row r="9522">
      <c r="C9522" t="s">
        <v>898</v>
      </c>
    </row>
    <row r="9523">
      <c r="C9523" t="s">
        <v>898</v>
      </c>
    </row>
    <row r="9524">
      <c r="C9524" t="s">
        <v>898</v>
      </c>
    </row>
    <row r="9525">
      <c r="C9525" t="s">
        <v>898</v>
      </c>
    </row>
    <row r="9526">
      <c r="C9526" t="s">
        <v>898</v>
      </c>
    </row>
    <row r="9527">
      <c r="C9527" t="s">
        <v>898</v>
      </c>
    </row>
    <row r="9528">
      <c r="C9528" t="s">
        <v>898</v>
      </c>
    </row>
    <row r="9529">
      <c r="C9529" t="s">
        <v>898</v>
      </c>
    </row>
    <row r="9530">
      <c r="C9530" t="s">
        <v>898</v>
      </c>
    </row>
    <row r="9531">
      <c r="C9531" t="s">
        <v>898</v>
      </c>
    </row>
    <row r="9532">
      <c r="C9532" t="s">
        <v>898</v>
      </c>
    </row>
    <row r="9533">
      <c r="C9533" t="s">
        <v>898</v>
      </c>
    </row>
    <row r="9534">
      <c r="C9534" t="s">
        <v>898</v>
      </c>
    </row>
    <row r="9535">
      <c r="C9535" t="s">
        <v>898</v>
      </c>
    </row>
    <row r="9536">
      <c r="C9536" t="s">
        <v>898</v>
      </c>
    </row>
    <row r="9537">
      <c r="C9537" t="s">
        <v>898</v>
      </c>
    </row>
    <row r="9538">
      <c r="C9538" t="s">
        <v>898</v>
      </c>
    </row>
    <row r="9539">
      <c r="C9539" t="s">
        <v>898</v>
      </c>
    </row>
    <row r="9540">
      <c r="C9540" t="s">
        <v>898</v>
      </c>
    </row>
    <row r="9541">
      <c r="C9541" t="s">
        <v>898</v>
      </c>
    </row>
    <row r="9542">
      <c r="C9542" t="s">
        <v>898</v>
      </c>
    </row>
    <row r="9543">
      <c r="C9543" t="s">
        <v>898</v>
      </c>
    </row>
    <row r="9544">
      <c r="C9544" t="s">
        <v>898</v>
      </c>
    </row>
    <row r="9545">
      <c r="C9545" t="s">
        <v>898</v>
      </c>
    </row>
    <row r="9546">
      <c r="C9546" t="s">
        <v>898</v>
      </c>
    </row>
    <row r="9547">
      <c r="C9547" t="s">
        <v>898</v>
      </c>
    </row>
    <row r="9548">
      <c r="C9548" t="s">
        <v>898</v>
      </c>
    </row>
    <row r="9549">
      <c r="C9549" t="s">
        <v>898</v>
      </c>
    </row>
    <row r="9550">
      <c r="C9550" t="s">
        <v>898</v>
      </c>
    </row>
    <row r="9551">
      <c r="C9551" t="s">
        <v>898</v>
      </c>
    </row>
    <row r="9552">
      <c r="C9552" t="s">
        <v>898</v>
      </c>
    </row>
    <row r="9553">
      <c r="C9553" t="s">
        <v>898</v>
      </c>
    </row>
    <row r="9554">
      <c r="C9554" t="s">
        <v>898</v>
      </c>
    </row>
    <row r="9555">
      <c r="C9555" t="s">
        <v>898</v>
      </c>
    </row>
    <row r="9556">
      <c r="C9556" t="s">
        <v>898</v>
      </c>
    </row>
    <row r="9557">
      <c r="C9557" t="s">
        <v>898</v>
      </c>
    </row>
    <row r="9558">
      <c r="C9558" t="s">
        <v>898</v>
      </c>
    </row>
    <row r="9559">
      <c r="C9559" t="s">
        <v>898</v>
      </c>
    </row>
    <row r="9560">
      <c r="C9560" t="s">
        <v>898</v>
      </c>
    </row>
    <row r="9561">
      <c r="C9561" t="s">
        <v>898</v>
      </c>
    </row>
    <row r="9562">
      <c r="C9562" t="s">
        <v>898</v>
      </c>
    </row>
    <row r="9563">
      <c r="C9563" t="s">
        <v>898</v>
      </c>
    </row>
    <row r="9564">
      <c r="C9564" t="s">
        <v>898</v>
      </c>
    </row>
    <row r="9565">
      <c r="C9565" t="s">
        <v>898</v>
      </c>
    </row>
    <row r="9566">
      <c r="C9566" t="s">
        <v>898</v>
      </c>
    </row>
    <row r="9567">
      <c r="C9567" t="s">
        <v>898</v>
      </c>
    </row>
    <row r="9568">
      <c r="C9568" t="s">
        <v>898</v>
      </c>
    </row>
    <row r="9569">
      <c r="C9569" t="s">
        <v>898</v>
      </c>
    </row>
    <row r="9570">
      <c r="C9570" t="s">
        <v>898</v>
      </c>
    </row>
    <row r="9571">
      <c r="C9571" t="s">
        <v>898</v>
      </c>
    </row>
    <row r="9572">
      <c r="C9572" t="s">
        <v>898</v>
      </c>
    </row>
    <row r="9573">
      <c r="C9573" t="s">
        <v>898</v>
      </c>
    </row>
    <row r="9574">
      <c r="C9574" t="s">
        <v>898</v>
      </c>
    </row>
    <row r="9575">
      <c r="C9575" t="s">
        <v>898</v>
      </c>
    </row>
    <row r="9576">
      <c r="C9576" t="s">
        <v>898</v>
      </c>
    </row>
    <row r="9577">
      <c r="C9577" t="s">
        <v>898</v>
      </c>
    </row>
    <row r="9578">
      <c r="C9578" t="s">
        <v>898</v>
      </c>
    </row>
    <row r="9579">
      <c r="C9579" t="s">
        <v>898</v>
      </c>
    </row>
    <row r="9580">
      <c r="C9580" t="s">
        <v>898</v>
      </c>
    </row>
    <row r="9581">
      <c r="C9581" t="s">
        <v>898</v>
      </c>
    </row>
    <row r="9582">
      <c r="C9582" t="s">
        <v>898</v>
      </c>
    </row>
    <row r="9583">
      <c r="C9583" t="s">
        <v>898</v>
      </c>
    </row>
    <row r="9584">
      <c r="C9584" t="s">
        <v>898</v>
      </c>
    </row>
    <row r="9585">
      <c r="C9585" t="s">
        <v>898</v>
      </c>
    </row>
    <row r="9586">
      <c r="C9586" t="s">
        <v>898</v>
      </c>
    </row>
    <row r="9587">
      <c r="C9587" t="s">
        <v>898</v>
      </c>
    </row>
    <row r="9588">
      <c r="C9588" t="s">
        <v>898</v>
      </c>
    </row>
    <row r="9589">
      <c r="C9589" t="s">
        <v>898</v>
      </c>
    </row>
    <row r="9590">
      <c r="C9590" t="s">
        <v>898</v>
      </c>
    </row>
    <row r="9591">
      <c r="C9591" t="s">
        <v>898</v>
      </c>
    </row>
    <row r="9592">
      <c r="C9592" t="s">
        <v>898</v>
      </c>
    </row>
    <row r="9593">
      <c r="C9593" t="s">
        <v>898</v>
      </c>
    </row>
    <row r="9594">
      <c r="C9594" t="s">
        <v>898</v>
      </c>
    </row>
    <row r="9595">
      <c r="C9595" t="s">
        <v>898</v>
      </c>
    </row>
    <row r="9596">
      <c r="C9596" t="s">
        <v>898</v>
      </c>
    </row>
    <row r="9597">
      <c r="C9597" t="s">
        <v>898</v>
      </c>
    </row>
    <row r="9598">
      <c r="C9598" t="s">
        <v>898</v>
      </c>
    </row>
    <row r="9599">
      <c r="C9599" t="s">
        <v>898</v>
      </c>
    </row>
    <row r="9600">
      <c r="C9600" t="s">
        <v>898</v>
      </c>
    </row>
    <row r="9601">
      <c r="C9601" t="s">
        <v>898</v>
      </c>
    </row>
    <row r="9602">
      <c r="C9602" t="s">
        <v>898</v>
      </c>
    </row>
    <row r="9603">
      <c r="C9603" t="s">
        <v>898</v>
      </c>
    </row>
    <row r="9604">
      <c r="C9604" t="s">
        <v>898</v>
      </c>
    </row>
    <row r="9605">
      <c r="C9605" t="s">
        <v>898</v>
      </c>
    </row>
    <row r="9606">
      <c r="C9606" t="s">
        <v>898</v>
      </c>
    </row>
    <row r="9607">
      <c r="C9607" t="s">
        <v>898</v>
      </c>
    </row>
    <row r="9608">
      <c r="C9608" t="s">
        <v>898</v>
      </c>
    </row>
    <row r="9609">
      <c r="C9609" t="s">
        <v>898</v>
      </c>
    </row>
    <row r="9610">
      <c r="C9610" t="s">
        <v>898</v>
      </c>
    </row>
    <row r="9611">
      <c r="C9611" t="s">
        <v>898</v>
      </c>
    </row>
    <row r="9612">
      <c r="C9612" t="s">
        <v>898</v>
      </c>
    </row>
    <row r="9613">
      <c r="C9613" t="s">
        <v>898</v>
      </c>
    </row>
    <row r="9614">
      <c r="C9614" t="s">
        <v>898</v>
      </c>
    </row>
    <row r="9615">
      <c r="C9615" t="s">
        <v>898</v>
      </c>
    </row>
    <row r="9616">
      <c r="C9616" t="s">
        <v>898</v>
      </c>
    </row>
    <row r="9617">
      <c r="C9617" t="s">
        <v>898</v>
      </c>
    </row>
    <row r="9618">
      <c r="C9618" t="s">
        <v>898</v>
      </c>
    </row>
    <row r="9619">
      <c r="C9619" t="s">
        <v>898</v>
      </c>
    </row>
    <row r="9620">
      <c r="C9620" t="s">
        <v>898</v>
      </c>
    </row>
    <row r="9621">
      <c r="C9621" t="s">
        <v>898</v>
      </c>
    </row>
    <row r="9622">
      <c r="C9622" t="s">
        <v>898</v>
      </c>
    </row>
    <row r="9623">
      <c r="C9623" t="s">
        <v>898</v>
      </c>
    </row>
    <row r="9624">
      <c r="C9624" t="s">
        <v>898</v>
      </c>
    </row>
    <row r="9625">
      <c r="C9625" t="s">
        <v>898</v>
      </c>
    </row>
    <row r="9626">
      <c r="C9626" t="s">
        <v>898</v>
      </c>
    </row>
    <row r="9627">
      <c r="C9627" t="s">
        <v>898</v>
      </c>
    </row>
    <row r="9628">
      <c r="C9628" t="s">
        <v>898</v>
      </c>
    </row>
    <row r="9629">
      <c r="C9629" t="s">
        <v>898</v>
      </c>
    </row>
    <row r="9630">
      <c r="C9630" t="s">
        <v>898</v>
      </c>
    </row>
    <row r="9631">
      <c r="C9631" t="s">
        <v>898</v>
      </c>
    </row>
    <row r="9632">
      <c r="C9632" t="s">
        <v>898</v>
      </c>
    </row>
    <row r="9633">
      <c r="C9633" t="s">
        <v>898</v>
      </c>
    </row>
    <row r="9634">
      <c r="C9634" t="s">
        <v>898</v>
      </c>
    </row>
    <row r="9635">
      <c r="C9635" t="s">
        <v>898</v>
      </c>
    </row>
    <row r="9636">
      <c r="C9636" t="s">
        <v>898</v>
      </c>
    </row>
    <row r="9637">
      <c r="C9637" t="s">
        <v>898</v>
      </c>
    </row>
    <row r="9638">
      <c r="C9638" t="s">
        <v>898</v>
      </c>
    </row>
    <row r="9639">
      <c r="C9639" t="s">
        <v>898</v>
      </c>
    </row>
    <row r="9640">
      <c r="C9640" t="s">
        <v>898</v>
      </c>
    </row>
    <row r="9641">
      <c r="C9641" t="s">
        <v>898</v>
      </c>
    </row>
    <row r="9642">
      <c r="C9642" t="s">
        <v>898</v>
      </c>
    </row>
    <row r="9643">
      <c r="C9643" t="s">
        <v>898</v>
      </c>
    </row>
    <row r="9644">
      <c r="C9644" t="s">
        <v>898</v>
      </c>
    </row>
    <row r="9645">
      <c r="C9645" t="s">
        <v>898</v>
      </c>
    </row>
    <row r="9646">
      <c r="C9646" t="s">
        <v>898</v>
      </c>
    </row>
    <row r="9647">
      <c r="C9647" t="s">
        <v>898</v>
      </c>
    </row>
    <row r="9648">
      <c r="C9648" t="s">
        <v>898</v>
      </c>
    </row>
    <row r="9649">
      <c r="C9649" t="s">
        <v>898</v>
      </c>
    </row>
    <row r="9650">
      <c r="C9650" t="s">
        <v>898</v>
      </c>
    </row>
    <row r="9651">
      <c r="C9651" t="s">
        <v>898</v>
      </c>
    </row>
    <row r="9652">
      <c r="C9652" t="s">
        <v>898</v>
      </c>
    </row>
    <row r="9653">
      <c r="C9653" t="s">
        <v>898</v>
      </c>
    </row>
    <row r="9654">
      <c r="C9654" t="s">
        <v>898</v>
      </c>
    </row>
    <row r="9655">
      <c r="C9655" t="s">
        <v>898</v>
      </c>
    </row>
    <row r="9656">
      <c r="C9656" t="s">
        <v>898</v>
      </c>
    </row>
    <row r="9657">
      <c r="C9657" t="s">
        <v>898</v>
      </c>
    </row>
    <row r="9658">
      <c r="C9658" t="s">
        <v>898</v>
      </c>
    </row>
    <row r="9659">
      <c r="C9659" t="s">
        <v>898</v>
      </c>
    </row>
    <row r="9660">
      <c r="C9660" t="s">
        <v>898</v>
      </c>
    </row>
    <row r="9661">
      <c r="C9661" t="s">
        <v>898</v>
      </c>
    </row>
    <row r="9662">
      <c r="C9662" t="s">
        <v>898</v>
      </c>
    </row>
    <row r="9663">
      <c r="C9663" t="s">
        <v>898</v>
      </c>
    </row>
    <row r="9664">
      <c r="C9664" t="s">
        <v>898</v>
      </c>
    </row>
    <row r="9665">
      <c r="C9665" t="s">
        <v>898</v>
      </c>
    </row>
    <row r="9666">
      <c r="C9666" t="s">
        <v>898</v>
      </c>
    </row>
    <row r="9667">
      <c r="C9667" t="s">
        <v>898</v>
      </c>
    </row>
    <row r="9668">
      <c r="C9668" t="s">
        <v>898</v>
      </c>
    </row>
    <row r="9669">
      <c r="C9669" t="s">
        <v>898</v>
      </c>
    </row>
    <row r="9670">
      <c r="C9670" t="s">
        <v>898</v>
      </c>
    </row>
    <row r="9671">
      <c r="C9671" t="s">
        <v>898</v>
      </c>
    </row>
    <row r="9672">
      <c r="C9672" t="s">
        <v>898</v>
      </c>
    </row>
    <row r="9673">
      <c r="C9673" t="s">
        <v>898</v>
      </c>
    </row>
    <row r="9674">
      <c r="C9674" t="s">
        <v>898</v>
      </c>
    </row>
    <row r="9675">
      <c r="C9675" t="s">
        <v>898</v>
      </c>
    </row>
    <row r="9676">
      <c r="C9676" t="s">
        <v>898</v>
      </c>
    </row>
    <row r="9677">
      <c r="C9677" t="s">
        <v>898</v>
      </c>
    </row>
    <row r="9678">
      <c r="C9678" t="s">
        <v>898</v>
      </c>
    </row>
    <row r="9679">
      <c r="C9679" t="s">
        <v>898</v>
      </c>
    </row>
    <row r="9680">
      <c r="C9680" t="s">
        <v>898</v>
      </c>
    </row>
    <row r="9681">
      <c r="C9681" t="s">
        <v>898</v>
      </c>
    </row>
    <row r="9682">
      <c r="C9682" t="s">
        <v>898</v>
      </c>
    </row>
    <row r="9683">
      <c r="C9683" t="s">
        <v>898</v>
      </c>
    </row>
    <row r="9684">
      <c r="C9684" t="s">
        <v>898</v>
      </c>
    </row>
    <row r="9685">
      <c r="C9685" t="s">
        <v>898</v>
      </c>
    </row>
    <row r="9686">
      <c r="C9686" t="s">
        <v>898</v>
      </c>
    </row>
    <row r="9687">
      <c r="C9687" t="s">
        <v>898</v>
      </c>
    </row>
    <row r="9688">
      <c r="C9688" t="s">
        <v>898</v>
      </c>
    </row>
    <row r="9689">
      <c r="C9689" t="s">
        <v>898</v>
      </c>
    </row>
    <row r="9690">
      <c r="C9690" t="s">
        <v>898</v>
      </c>
    </row>
    <row r="9691">
      <c r="C9691" t="s">
        <v>898</v>
      </c>
    </row>
    <row r="9692">
      <c r="C9692" t="s">
        <v>898</v>
      </c>
    </row>
    <row r="9693">
      <c r="C9693" t="s">
        <v>898</v>
      </c>
    </row>
    <row r="9694">
      <c r="C9694" t="s">
        <v>898</v>
      </c>
    </row>
    <row r="9695">
      <c r="C9695" t="s">
        <v>898</v>
      </c>
    </row>
    <row r="9696">
      <c r="C9696" t="s">
        <v>898</v>
      </c>
    </row>
    <row r="9697">
      <c r="C9697" t="s">
        <v>898</v>
      </c>
    </row>
    <row r="9698">
      <c r="C9698" t="s">
        <v>898</v>
      </c>
    </row>
    <row r="9699">
      <c r="C9699" t="s">
        <v>898</v>
      </c>
    </row>
    <row r="9700">
      <c r="C9700" t="s">
        <v>898</v>
      </c>
    </row>
    <row r="9701">
      <c r="C9701" t="s">
        <v>898</v>
      </c>
    </row>
    <row r="9702">
      <c r="C9702" t="s">
        <v>898</v>
      </c>
    </row>
    <row r="9703">
      <c r="C9703" t="s">
        <v>898</v>
      </c>
    </row>
    <row r="9704">
      <c r="C9704" t="s">
        <v>898</v>
      </c>
    </row>
    <row r="9705">
      <c r="C9705" t="s">
        <v>898</v>
      </c>
    </row>
    <row r="9706">
      <c r="C9706" t="s">
        <v>898</v>
      </c>
    </row>
    <row r="9707">
      <c r="C9707" t="s">
        <v>898</v>
      </c>
    </row>
    <row r="9708">
      <c r="C9708" t="s">
        <v>898</v>
      </c>
    </row>
    <row r="9709">
      <c r="C9709" t="s">
        <v>898</v>
      </c>
    </row>
    <row r="9710">
      <c r="C9710" t="s">
        <v>898</v>
      </c>
    </row>
    <row r="9711">
      <c r="C9711" t="s">
        <v>898</v>
      </c>
    </row>
    <row r="9712">
      <c r="C9712" t="s">
        <v>898</v>
      </c>
    </row>
    <row r="9713">
      <c r="C9713" t="s">
        <v>898</v>
      </c>
    </row>
    <row r="9714">
      <c r="C9714" t="s">
        <v>898</v>
      </c>
    </row>
    <row r="9715">
      <c r="C9715" t="s">
        <v>898</v>
      </c>
    </row>
    <row r="9716">
      <c r="C9716" t="s">
        <v>898</v>
      </c>
    </row>
    <row r="9717">
      <c r="C9717" t="s">
        <v>898</v>
      </c>
    </row>
    <row r="9718">
      <c r="C9718" t="s">
        <v>898</v>
      </c>
    </row>
    <row r="9719">
      <c r="C9719" t="s">
        <v>898</v>
      </c>
    </row>
    <row r="9720">
      <c r="C9720" t="s">
        <v>898</v>
      </c>
    </row>
    <row r="9721">
      <c r="C9721" t="s">
        <v>898</v>
      </c>
    </row>
    <row r="9722">
      <c r="C9722" t="s">
        <v>898</v>
      </c>
    </row>
    <row r="9723">
      <c r="C9723" t="s">
        <v>898</v>
      </c>
    </row>
    <row r="9724">
      <c r="C9724" t="s">
        <v>898</v>
      </c>
    </row>
    <row r="9725">
      <c r="C9725" t="s">
        <v>898</v>
      </c>
    </row>
    <row r="9726">
      <c r="C9726" t="s">
        <v>898</v>
      </c>
    </row>
    <row r="9727">
      <c r="C9727" t="s">
        <v>898</v>
      </c>
    </row>
    <row r="9728">
      <c r="C9728" t="s">
        <v>898</v>
      </c>
    </row>
    <row r="9729">
      <c r="C9729" t="s">
        <v>898</v>
      </c>
    </row>
    <row r="9730">
      <c r="C9730" t="s">
        <v>898</v>
      </c>
    </row>
    <row r="9731">
      <c r="C9731" t="s">
        <v>898</v>
      </c>
    </row>
    <row r="9732">
      <c r="C9732" t="s">
        <v>898</v>
      </c>
    </row>
    <row r="9733">
      <c r="C9733" t="s">
        <v>898</v>
      </c>
    </row>
    <row r="9734">
      <c r="C9734" t="s">
        <v>898</v>
      </c>
    </row>
    <row r="9735">
      <c r="C9735" t="s">
        <v>898</v>
      </c>
    </row>
    <row r="9736">
      <c r="C9736" t="s">
        <v>898</v>
      </c>
    </row>
    <row r="9737">
      <c r="C9737" t="s">
        <v>898</v>
      </c>
    </row>
    <row r="9738">
      <c r="C9738" t="s">
        <v>898</v>
      </c>
    </row>
    <row r="9739">
      <c r="C9739" t="s">
        <v>898</v>
      </c>
    </row>
    <row r="9740">
      <c r="C9740" t="s">
        <v>898</v>
      </c>
    </row>
    <row r="9741">
      <c r="C9741" t="s">
        <v>898</v>
      </c>
    </row>
    <row r="9742">
      <c r="C9742" t="s">
        <v>898</v>
      </c>
    </row>
    <row r="9743">
      <c r="C9743" t="s">
        <v>898</v>
      </c>
    </row>
    <row r="9744">
      <c r="C9744" t="s">
        <v>898</v>
      </c>
    </row>
    <row r="9745">
      <c r="C9745" t="s">
        <v>898</v>
      </c>
    </row>
    <row r="9746">
      <c r="C9746" t="s">
        <v>898</v>
      </c>
    </row>
    <row r="9747">
      <c r="C9747" t="s">
        <v>898</v>
      </c>
    </row>
    <row r="9748">
      <c r="C9748" t="s">
        <v>898</v>
      </c>
    </row>
    <row r="9749">
      <c r="C9749" t="s">
        <v>898</v>
      </c>
    </row>
    <row r="9750">
      <c r="C9750" t="s">
        <v>898</v>
      </c>
    </row>
    <row r="9751">
      <c r="C9751" t="s">
        <v>898</v>
      </c>
    </row>
    <row r="9752">
      <c r="C9752" t="s">
        <v>898</v>
      </c>
    </row>
    <row r="9753">
      <c r="C9753" t="s">
        <v>898</v>
      </c>
    </row>
    <row r="9754">
      <c r="C9754" t="s">
        <v>898</v>
      </c>
    </row>
    <row r="9755">
      <c r="C9755" t="s">
        <v>898</v>
      </c>
    </row>
    <row r="9756">
      <c r="C9756" t="s">
        <v>898</v>
      </c>
    </row>
    <row r="9757">
      <c r="C9757" t="s">
        <v>898</v>
      </c>
    </row>
    <row r="9758">
      <c r="C9758" t="s">
        <v>898</v>
      </c>
    </row>
    <row r="9759">
      <c r="C9759" t="s">
        <v>898</v>
      </c>
    </row>
    <row r="9760">
      <c r="C9760" t="s">
        <v>898</v>
      </c>
    </row>
    <row r="9761">
      <c r="C9761" t="s">
        <v>898</v>
      </c>
    </row>
    <row r="9762">
      <c r="C9762" t="s">
        <v>898</v>
      </c>
    </row>
    <row r="9763">
      <c r="C9763" t="s">
        <v>898</v>
      </c>
    </row>
    <row r="9764">
      <c r="C9764" t="s">
        <v>898</v>
      </c>
    </row>
    <row r="9765">
      <c r="C9765" t="s">
        <v>898</v>
      </c>
    </row>
    <row r="9766">
      <c r="C9766" t="s">
        <v>898</v>
      </c>
    </row>
    <row r="9767">
      <c r="C9767" t="s">
        <v>898</v>
      </c>
    </row>
    <row r="9768">
      <c r="C9768" t="s">
        <v>898</v>
      </c>
    </row>
    <row r="9769">
      <c r="C9769" t="s">
        <v>898</v>
      </c>
    </row>
    <row r="9770">
      <c r="C9770" t="s">
        <v>898</v>
      </c>
    </row>
    <row r="9771">
      <c r="C9771" t="s">
        <v>898</v>
      </c>
    </row>
    <row r="9772">
      <c r="C9772" t="s">
        <v>898</v>
      </c>
    </row>
    <row r="9773">
      <c r="C9773" t="s">
        <v>898</v>
      </c>
    </row>
    <row r="9774">
      <c r="C9774" t="s">
        <v>898</v>
      </c>
    </row>
    <row r="9775">
      <c r="C9775" t="s">
        <v>898</v>
      </c>
    </row>
    <row r="9776">
      <c r="C9776" t="s">
        <v>898</v>
      </c>
    </row>
    <row r="9777">
      <c r="C9777" t="s">
        <v>898</v>
      </c>
    </row>
    <row r="9778">
      <c r="C9778" t="s">
        <v>898</v>
      </c>
    </row>
    <row r="9779">
      <c r="C9779" t="s">
        <v>898</v>
      </c>
    </row>
    <row r="9780">
      <c r="C9780" t="s">
        <v>898</v>
      </c>
    </row>
    <row r="9781">
      <c r="C9781" t="s">
        <v>898</v>
      </c>
    </row>
    <row r="9782">
      <c r="C9782" t="s">
        <v>898</v>
      </c>
    </row>
    <row r="9783">
      <c r="C9783" t="s">
        <v>898</v>
      </c>
    </row>
    <row r="9784">
      <c r="C9784" t="s">
        <v>898</v>
      </c>
    </row>
    <row r="9785">
      <c r="C9785" t="s">
        <v>898</v>
      </c>
    </row>
    <row r="9786">
      <c r="C9786" t="s">
        <v>898</v>
      </c>
    </row>
    <row r="9787">
      <c r="C9787" t="s">
        <v>898</v>
      </c>
    </row>
    <row r="9788">
      <c r="C9788" t="s">
        <v>898</v>
      </c>
    </row>
    <row r="9789">
      <c r="C9789" t="s">
        <v>898</v>
      </c>
    </row>
    <row r="9790">
      <c r="C9790" t="s">
        <v>898</v>
      </c>
    </row>
    <row r="9791">
      <c r="C9791" t="s">
        <v>898</v>
      </c>
    </row>
    <row r="9792">
      <c r="C9792" t="s">
        <v>898</v>
      </c>
    </row>
    <row r="9793">
      <c r="C9793" t="s">
        <v>898</v>
      </c>
    </row>
    <row r="9794">
      <c r="C9794" t="s">
        <v>898</v>
      </c>
    </row>
    <row r="9795">
      <c r="C9795" t="s">
        <v>898</v>
      </c>
    </row>
    <row r="9796">
      <c r="C9796" t="s">
        <v>898</v>
      </c>
    </row>
    <row r="9797">
      <c r="C9797" t="s">
        <v>898</v>
      </c>
    </row>
    <row r="9798">
      <c r="C9798" t="s">
        <v>898</v>
      </c>
    </row>
    <row r="9799">
      <c r="C9799" t="s">
        <v>898</v>
      </c>
    </row>
    <row r="9800">
      <c r="C9800" t="s">
        <v>898</v>
      </c>
    </row>
    <row r="9801">
      <c r="C9801" t="s">
        <v>898</v>
      </c>
    </row>
    <row r="9802">
      <c r="C9802" t="s">
        <v>898</v>
      </c>
    </row>
    <row r="9803">
      <c r="C9803" t="s">
        <v>898</v>
      </c>
    </row>
    <row r="9804">
      <c r="C9804" t="s">
        <v>898</v>
      </c>
    </row>
    <row r="9805">
      <c r="C9805" t="s">
        <v>898</v>
      </c>
    </row>
    <row r="9806">
      <c r="C9806" t="s">
        <v>898</v>
      </c>
    </row>
    <row r="9807">
      <c r="C9807" t="s">
        <v>898</v>
      </c>
    </row>
    <row r="9808">
      <c r="C9808" t="s">
        <v>898</v>
      </c>
    </row>
    <row r="9809">
      <c r="C9809" t="s">
        <v>898</v>
      </c>
    </row>
    <row r="9810">
      <c r="C9810" t="s">
        <v>898</v>
      </c>
    </row>
    <row r="9811">
      <c r="C9811" t="s">
        <v>898</v>
      </c>
    </row>
    <row r="9812">
      <c r="C9812" t="s">
        <v>898</v>
      </c>
    </row>
    <row r="9813">
      <c r="C9813" t="s">
        <v>898</v>
      </c>
    </row>
    <row r="9814">
      <c r="C9814" t="s">
        <v>898</v>
      </c>
    </row>
    <row r="9815">
      <c r="C9815" t="s">
        <v>898</v>
      </c>
    </row>
    <row r="9816">
      <c r="C9816" t="s">
        <v>898</v>
      </c>
    </row>
    <row r="9817">
      <c r="C9817" t="s">
        <v>898</v>
      </c>
    </row>
    <row r="9818">
      <c r="C9818" t="s">
        <v>898</v>
      </c>
    </row>
    <row r="9819">
      <c r="C9819" t="s">
        <v>898</v>
      </c>
    </row>
    <row r="9820">
      <c r="C9820" t="s">
        <v>898</v>
      </c>
    </row>
    <row r="9821">
      <c r="C9821" t="s">
        <v>898</v>
      </c>
    </row>
    <row r="9822">
      <c r="C9822" t="s">
        <v>898</v>
      </c>
    </row>
    <row r="9823">
      <c r="C9823" t="s">
        <v>898</v>
      </c>
    </row>
    <row r="9824">
      <c r="C9824" t="s">
        <v>898</v>
      </c>
    </row>
    <row r="9825">
      <c r="C9825" t="s">
        <v>898</v>
      </c>
    </row>
    <row r="9826">
      <c r="C9826" t="s">
        <v>898</v>
      </c>
    </row>
    <row r="9827">
      <c r="C9827" t="s">
        <v>898</v>
      </c>
    </row>
    <row r="9828">
      <c r="C9828" t="s">
        <v>898</v>
      </c>
    </row>
    <row r="9829">
      <c r="C9829" t="s">
        <v>898</v>
      </c>
    </row>
    <row r="9830">
      <c r="C9830" t="s">
        <v>898</v>
      </c>
    </row>
    <row r="9831">
      <c r="C9831" t="s">
        <v>898</v>
      </c>
    </row>
    <row r="9832">
      <c r="C9832" t="s">
        <v>898</v>
      </c>
    </row>
    <row r="9833">
      <c r="C9833" t="s">
        <v>898</v>
      </c>
    </row>
    <row r="9834">
      <c r="C9834" t="s">
        <v>898</v>
      </c>
    </row>
    <row r="9835">
      <c r="C9835" t="s">
        <v>898</v>
      </c>
    </row>
    <row r="9836">
      <c r="C9836" t="s">
        <v>898</v>
      </c>
    </row>
    <row r="9837">
      <c r="C9837" t="s">
        <v>898</v>
      </c>
    </row>
    <row r="9838">
      <c r="C9838" t="s">
        <v>898</v>
      </c>
    </row>
    <row r="9839">
      <c r="C9839" t="s">
        <v>898</v>
      </c>
    </row>
    <row r="9840">
      <c r="C9840" t="s">
        <v>898</v>
      </c>
    </row>
    <row r="9841">
      <c r="C9841" t="s">
        <v>898</v>
      </c>
    </row>
    <row r="9842">
      <c r="C9842" t="s">
        <v>898</v>
      </c>
    </row>
    <row r="9843">
      <c r="C9843" t="s">
        <v>898</v>
      </c>
    </row>
    <row r="9844">
      <c r="C9844" t="s">
        <v>898</v>
      </c>
    </row>
    <row r="9845">
      <c r="C9845" t="s">
        <v>898</v>
      </c>
    </row>
    <row r="9846">
      <c r="C9846" t="s">
        <v>898</v>
      </c>
    </row>
    <row r="9847">
      <c r="C9847" t="s">
        <v>898</v>
      </c>
    </row>
    <row r="9848">
      <c r="C9848" t="s">
        <v>898</v>
      </c>
    </row>
    <row r="9849">
      <c r="C9849" t="s">
        <v>898</v>
      </c>
    </row>
    <row r="9850">
      <c r="C9850" t="s">
        <v>898</v>
      </c>
    </row>
    <row r="9851">
      <c r="C9851" t="s">
        <v>898</v>
      </c>
    </row>
    <row r="9852">
      <c r="C9852" t="s">
        <v>898</v>
      </c>
    </row>
    <row r="9853">
      <c r="C9853" t="s">
        <v>898</v>
      </c>
    </row>
    <row r="9854">
      <c r="C9854" t="s">
        <v>898</v>
      </c>
    </row>
    <row r="9855">
      <c r="C9855" t="s">
        <v>898</v>
      </c>
    </row>
    <row r="9856">
      <c r="C9856" t="s">
        <v>898</v>
      </c>
    </row>
    <row r="9857">
      <c r="C9857" t="s">
        <v>898</v>
      </c>
    </row>
    <row r="9858">
      <c r="C9858" t="s">
        <v>898</v>
      </c>
    </row>
    <row r="9859">
      <c r="C9859" t="s">
        <v>898</v>
      </c>
    </row>
    <row r="9860">
      <c r="C9860" t="s">
        <v>898</v>
      </c>
    </row>
    <row r="9861">
      <c r="C9861" t="s">
        <v>898</v>
      </c>
    </row>
    <row r="9862">
      <c r="C9862" t="s">
        <v>898</v>
      </c>
    </row>
    <row r="9863">
      <c r="C9863" t="s">
        <v>898</v>
      </c>
    </row>
    <row r="9864">
      <c r="C9864" t="s">
        <v>898</v>
      </c>
    </row>
    <row r="9865">
      <c r="C9865" t="s">
        <v>898</v>
      </c>
    </row>
    <row r="9866">
      <c r="C9866" t="s">
        <v>898</v>
      </c>
    </row>
    <row r="9867">
      <c r="C9867" t="s">
        <v>898</v>
      </c>
    </row>
    <row r="9868">
      <c r="C9868" t="s">
        <v>898</v>
      </c>
    </row>
    <row r="9869">
      <c r="C9869" t="s">
        <v>898</v>
      </c>
    </row>
    <row r="9870">
      <c r="C9870" t="s">
        <v>898</v>
      </c>
    </row>
    <row r="9871">
      <c r="C9871" t="s">
        <v>898</v>
      </c>
    </row>
    <row r="9872">
      <c r="C9872" t="s">
        <v>898</v>
      </c>
    </row>
    <row r="9873">
      <c r="C9873" t="s">
        <v>898</v>
      </c>
    </row>
    <row r="9874">
      <c r="C9874" t="s">
        <v>898</v>
      </c>
    </row>
    <row r="9875">
      <c r="C9875" t="s">
        <v>898</v>
      </c>
    </row>
    <row r="9876">
      <c r="C9876" t="s">
        <v>898</v>
      </c>
    </row>
    <row r="9877">
      <c r="C9877" t="s">
        <v>898</v>
      </c>
    </row>
    <row r="9878">
      <c r="C9878" t="s">
        <v>898</v>
      </c>
    </row>
    <row r="9879">
      <c r="C9879" t="s">
        <v>898</v>
      </c>
    </row>
    <row r="9880">
      <c r="C9880" t="s">
        <v>898</v>
      </c>
    </row>
    <row r="9881">
      <c r="C9881" t="s">
        <v>898</v>
      </c>
    </row>
    <row r="9882">
      <c r="C9882" t="s">
        <v>898</v>
      </c>
    </row>
    <row r="9883">
      <c r="C9883" t="s">
        <v>898</v>
      </c>
    </row>
    <row r="9884">
      <c r="C9884" t="s">
        <v>898</v>
      </c>
    </row>
    <row r="9885">
      <c r="C9885" t="s">
        <v>898</v>
      </c>
    </row>
    <row r="9886">
      <c r="C9886" t="s">
        <v>898</v>
      </c>
    </row>
    <row r="9887">
      <c r="C9887" t="s">
        <v>898</v>
      </c>
    </row>
    <row r="9888">
      <c r="C9888" t="s">
        <v>898</v>
      </c>
    </row>
    <row r="9889">
      <c r="C9889" t="s">
        <v>898</v>
      </c>
    </row>
    <row r="9890">
      <c r="C9890" t="s">
        <v>898</v>
      </c>
    </row>
    <row r="9891">
      <c r="C9891" t="s">
        <v>898</v>
      </c>
    </row>
    <row r="9892">
      <c r="C9892" t="s">
        <v>898</v>
      </c>
    </row>
    <row r="9893">
      <c r="C9893" t="s">
        <v>898</v>
      </c>
    </row>
    <row r="9894">
      <c r="C9894" t="s">
        <v>898</v>
      </c>
    </row>
    <row r="9895">
      <c r="C9895" t="s">
        <v>898</v>
      </c>
    </row>
    <row r="9896">
      <c r="C9896" t="s">
        <v>898</v>
      </c>
    </row>
    <row r="9897">
      <c r="C9897" t="s">
        <v>898</v>
      </c>
    </row>
    <row r="9898">
      <c r="C9898" t="s">
        <v>898</v>
      </c>
    </row>
    <row r="9899">
      <c r="C9899" t="s">
        <v>898</v>
      </c>
    </row>
    <row r="9900">
      <c r="C9900" t="s">
        <v>898</v>
      </c>
    </row>
    <row r="9901">
      <c r="C9901" t="s">
        <v>898</v>
      </c>
    </row>
    <row r="9902">
      <c r="C9902" t="s">
        <v>898</v>
      </c>
    </row>
    <row r="9903">
      <c r="C9903" t="s">
        <v>898</v>
      </c>
    </row>
    <row r="9904">
      <c r="C9904" t="s">
        <v>898</v>
      </c>
    </row>
    <row r="9905">
      <c r="C9905" t="s">
        <v>898</v>
      </c>
    </row>
    <row r="9906">
      <c r="C9906" t="s">
        <v>898</v>
      </c>
    </row>
    <row r="9907">
      <c r="C9907" t="s">
        <v>898</v>
      </c>
    </row>
    <row r="9908">
      <c r="C9908" t="s">
        <v>898</v>
      </c>
    </row>
    <row r="9909">
      <c r="C9909" t="s">
        <v>898</v>
      </c>
    </row>
    <row r="9910">
      <c r="C9910" t="s">
        <v>898</v>
      </c>
    </row>
    <row r="9911">
      <c r="C9911" t="s">
        <v>898</v>
      </c>
    </row>
    <row r="9912">
      <c r="C9912" t="s">
        <v>898</v>
      </c>
    </row>
    <row r="9913">
      <c r="C9913" t="s">
        <v>898</v>
      </c>
    </row>
    <row r="9914">
      <c r="C9914" t="s">
        <v>898</v>
      </c>
    </row>
    <row r="9915">
      <c r="C9915" t="s">
        <v>898</v>
      </c>
    </row>
    <row r="9916">
      <c r="C9916" t="s">
        <v>898</v>
      </c>
    </row>
    <row r="9917">
      <c r="C9917" t="s">
        <v>898</v>
      </c>
    </row>
    <row r="9918">
      <c r="C9918" t="s">
        <v>898</v>
      </c>
    </row>
    <row r="9919">
      <c r="C9919" t="s">
        <v>898</v>
      </c>
    </row>
    <row r="9920">
      <c r="C9920" t="s">
        <v>898</v>
      </c>
    </row>
    <row r="9921">
      <c r="C9921" t="s">
        <v>898</v>
      </c>
    </row>
    <row r="9922">
      <c r="C9922" t="s">
        <v>898</v>
      </c>
    </row>
    <row r="9923">
      <c r="C9923" t="s">
        <v>898</v>
      </c>
    </row>
    <row r="9924">
      <c r="C9924" t="s">
        <v>898</v>
      </c>
    </row>
    <row r="9925">
      <c r="C9925" t="s">
        <v>898</v>
      </c>
    </row>
    <row r="9926">
      <c r="C9926" t="s">
        <v>898</v>
      </c>
    </row>
    <row r="9927">
      <c r="C9927" t="s">
        <v>898</v>
      </c>
    </row>
    <row r="9928">
      <c r="C9928" t="s">
        <v>898</v>
      </c>
    </row>
    <row r="9929">
      <c r="C9929" t="s">
        <v>898</v>
      </c>
    </row>
    <row r="9930">
      <c r="C9930" t="s">
        <v>898</v>
      </c>
    </row>
    <row r="9931">
      <c r="C9931" t="s">
        <v>898</v>
      </c>
    </row>
    <row r="9932">
      <c r="C9932" t="s">
        <v>898</v>
      </c>
    </row>
    <row r="9933">
      <c r="C9933" t="s">
        <v>898</v>
      </c>
    </row>
    <row r="9934">
      <c r="C9934" t="s">
        <v>898</v>
      </c>
    </row>
    <row r="9935">
      <c r="C9935" t="s">
        <v>898</v>
      </c>
    </row>
    <row r="9936">
      <c r="C9936" t="s">
        <v>898</v>
      </c>
    </row>
    <row r="9937">
      <c r="C9937" t="s">
        <v>898</v>
      </c>
    </row>
    <row r="9938">
      <c r="C9938" t="s">
        <v>898</v>
      </c>
    </row>
    <row r="9939">
      <c r="C9939" t="s">
        <v>898</v>
      </c>
    </row>
    <row r="9940">
      <c r="C9940" t="s">
        <v>898</v>
      </c>
    </row>
    <row r="9941">
      <c r="C9941" t="s">
        <v>898</v>
      </c>
    </row>
    <row r="9942">
      <c r="C9942" t="s">
        <v>898</v>
      </c>
    </row>
    <row r="9943">
      <c r="C9943" t="s">
        <v>898</v>
      </c>
    </row>
    <row r="9944">
      <c r="C9944" t="s">
        <v>898</v>
      </c>
    </row>
    <row r="9945">
      <c r="C9945" t="s">
        <v>898</v>
      </c>
    </row>
    <row r="9946">
      <c r="C9946" t="s">
        <v>898</v>
      </c>
    </row>
    <row r="9947">
      <c r="C9947" t="s">
        <v>898</v>
      </c>
    </row>
    <row r="9948">
      <c r="C9948" t="s">
        <v>898</v>
      </c>
    </row>
    <row r="9949">
      <c r="C9949" t="s">
        <v>898</v>
      </c>
    </row>
    <row r="9950">
      <c r="C9950" t="s">
        <v>898</v>
      </c>
    </row>
    <row r="9951">
      <c r="C9951" t="s">
        <v>898</v>
      </c>
    </row>
    <row r="9952">
      <c r="C9952" t="s">
        <v>898</v>
      </c>
    </row>
    <row r="9953">
      <c r="C9953" t="s">
        <v>898</v>
      </c>
    </row>
    <row r="9954">
      <c r="C9954" t="s">
        <v>898</v>
      </c>
    </row>
    <row r="9955">
      <c r="C9955" t="s">
        <v>898</v>
      </c>
    </row>
    <row r="9956">
      <c r="C9956" t="s">
        <v>898</v>
      </c>
    </row>
    <row r="9957">
      <c r="C9957" t="s">
        <v>898</v>
      </c>
    </row>
    <row r="9958">
      <c r="C9958" t="s">
        <v>898</v>
      </c>
    </row>
    <row r="9959">
      <c r="C9959" t="s">
        <v>898</v>
      </c>
    </row>
    <row r="9960">
      <c r="C9960" t="s">
        <v>898</v>
      </c>
    </row>
    <row r="9961">
      <c r="C9961" t="s">
        <v>898</v>
      </c>
    </row>
    <row r="9962">
      <c r="C9962" t="s">
        <v>898</v>
      </c>
    </row>
    <row r="9963">
      <c r="C9963" t="s">
        <v>898</v>
      </c>
    </row>
    <row r="9964">
      <c r="C9964" t="s">
        <v>898</v>
      </c>
    </row>
    <row r="9965">
      <c r="C9965" t="s">
        <v>898</v>
      </c>
    </row>
    <row r="9966">
      <c r="C9966" t="s">
        <v>898</v>
      </c>
    </row>
    <row r="9967">
      <c r="C9967" t="s">
        <v>898</v>
      </c>
    </row>
    <row r="9968">
      <c r="C9968" t="s">
        <v>898</v>
      </c>
    </row>
    <row r="9969">
      <c r="C9969" t="s">
        <v>898</v>
      </c>
    </row>
    <row r="9970">
      <c r="C9970" t="s">
        <v>898</v>
      </c>
    </row>
    <row r="9971">
      <c r="C9971" t="s">
        <v>898</v>
      </c>
    </row>
    <row r="9972">
      <c r="C9972" t="s">
        <v>898</v>
      </c>
    </row>
    <row r="9973">
      <c r="C9973" t="s">
        <v>898</v>
      </c>
    </row>
    <row r="9974">
      <c r="C9974" t="s">
        <v>898</v>
      </c>
    </row>
    <row r="9975">
      <c r="C9975" t="s">
        <v>898</v>
      </c>
    </row>
    <row r="9976">
      <c r="C9976" t="s">
        <v>898</v>
      </c>
    </row>
    <row r="9977">
      <c r="C9977" t="s">
        <v>898</v>
      </c>
    </row>
    <row r="9978">
      <c r="C9978" t="s">
        <v>898</v>
      </c>
    </row>
    <row r="9979">
      <c r="C9979" t="s">
        <v>898</v>
      </c>
    </row>
    <row r="9980">
      <c r="C9980" t="s">
        <v>898</v>
      </c>
    </row>
    <row r="9981">
      <c r="C9981" t="s">
        <v>898</v>
      </c>
    </row>
    <row r="9982">
      <c r="C9982" t="s">
        <v>898</v>
      </c>
    </row>
    <row r="9983">
      <c r="C9983" t="s">
        <v>898</v>
      </c>
    </row>
    <row r="9984">
      <c r="C9984" t="s">
        <v>898</v>
      </c>
    </row>
    <row r="9985">
      <c r="C9985" t="s">
        <v>898</v>
      </c>
    </row>
    <row r="9986">
      <c r="C9986" t="s">
        <v>898</v>
      </c>
    </row>
    <row r="9987">
      <c r="C9987" t="s">
        <v>898</v>
      </c>
    </row>
    <row r="9988">
      <c r="C9988" t="s">
        <v>898</v>
      </c>
    </row>
    <row r="9989">
      <c r="C9989" t="s">
        <v>898</v>
      </c>
    </row>
    <row r="9990">
      <c r="C9990" t="s">
        <v>898</v>
      </c>
    </row>
    <row r="9991">
      <c r="C9991" t="s">
        <v>898</v>
      </c>
    </row>
    <row r="9992">
      <c r="C9992" t="s">
        <v>898</v>
      </c>
    </row>
    <row r="9993">
      <c r="C9993" t="s">
        <v>898</v>
      </c>
    </row>
    <row r="9994">
      <c r="C9994" t="s">
        <v>898</v>
      </c>
    </row>
    <row r="9995">
      <c r="C9995" t="s">
        <v>898</v>
      </c>
    </row>
    <row r="9996">
      <c r="C9996" t="s">
        <v>898</v>
      </c>
    </row>
    <row r="9997">
      <c r="C9997" t="s">
        <v>898</v>
      </c>
    </row>
    <row r="9998">
      <c r="C9998" t="s">
        <v>898</v>
      </c>
    </row>
    <row r="9999">
      <c r="C9999" t="s">
        <v>898</v>
      </c>
    </row>
    <row r="10000">
      <c r="C10000" t="s">
        <v>898</v>
      </c>
    </row>
    <row r="10001">
      <c r="C10001" t="s">
        <v>898</v>
      </c>
    </row>
    <row r="10002">
      <c r="C10002" t="s">
        <v>898</v>
      </c>
    </row>
    <row r="10003">
      <c r="C10003" t="s">
        <v>898</v>
      </c>
    </row>
    <row r="10004">
      <c r="C10004" t="s">
        <v>898</v>
      </c>
    </row>
    <row r="10005">
      <c r="C10005" t="s">
        <v>898</v>
      </c>
    </row>
    <row r="10006">
      <c r="C10006" t="s">
        <v>898</v>
      </c>
    </row>
    <row r="10007">
      <c r="C10007" t="s">
        <v>898</v>
      </c>
    </row>
    <row r="10008">
      <c r="C10008" t="s">
        <v>898</v>
      </c>
    </row>
    <row r="10009">
      <c r="C10009" t="s">
        <v>898</v>
      </c>
    </row>
    <row r="10010">
      <c r="C10010" t="s">
        <v>898</v>
      </c>
    </row>
    <row r="10011">
      <c r="C10011" t="s">
        <v>898</v>
      </c>
    </row>
    <row r="10012">
      <c r="C10012" t="s">
        <v>898</v>
      </c>
    </row>
    <row r="10013">
      <c r="C10013" t="s">
        <v>898</v>
      </c>
    </row>
    <row r="10014">
      <c r="C10014" t="s">
        <v>898</v>
      </c>
    </row>
    <row r="10015">
      <c r="C10015" t="s">
        <v>898</v>
      </c>
    </row>
    <row r="10016">
      <c r="C10016" t="s">
        <v>898</v>
      </c>
    </row>
    <row r="10017">
      <c r="C10017" t="s">
        <v>898</v>
      </c>
    </row>
    <row r="10018">
      <c r="C10018" t="s">
        <v>898</v>
      </c>
    </row>
    <row r="10019">
      <c r="C10019" t="s">
        <v>898</v>
      </c>
    </row>
    <row r="10020">
      <c r="C10020" t="s">
        <v>898</v>
      </c>
    </row>
    <row r="10021">
      <c r="C10021" t="s">
        <v>898</v>
      </c>
    </row>
    <row r="10022">
      <c r="C10022" t="s">
        <v>898</v>
      </c>
    </row>
    <row r="10023">
      <c r="C10023" t="s">
        <v>898</v>
      </c>
    </row>
    <row r="10024">
      <c r="C10024" t="s">
        <v>898</v>
      </c>
    </row>
    <row r="10025">
      <c r="C10025" t="s">
        <v>898</v>
      </c>
    </row>
    <row r="10026">
      <c r="C10026" t="s">
        <v>898</v>
      </c>
    </row>
    <row r="10027">
      <c r="C10027" t="s">
        <v>898</v>
      </c>
    </row>
    <row r="10028">
      <c r="C10028" t="s">
        <v>898</v>
      </c>
    </row>
    <row r="10029">
      <c r="C10029" t="s">
        <v>898</v>
      </c>
    </row>
    <row r="10030">
      <c r="C10030" t="s">
        <v>898</v>
      </c>
    </row>
    <row r="10031">
      <c r="C10031" t="s">
        <v>898</v>
      </c>
    </row>
    <row r="10032">
      <c r="C10032" t="s">
        <v>898</v>
      </c>
    </row>
    <row r="10033">
      <c r="C10033" t="s">
        <v>898</v>
      </c>
    </row>
    <row r="10034">
      <c r="C10034" t="s">
        <v>898</v>
      </c>
    </row>
    <row r="10035">
      <c r="C10035" t="s">
        <v>898</v>
      </c>
    </row>
    <row r="10036">
      <c r="C10036" t="s">
        <v>898</v>
      </c>
    </row>
    <row r="10037">
      <c r="C10037" t="s">
        <v>898</v>
      </c>
    </row>
    <row r="10038">
      <c r="C10038" t="s">
        <v>898</v>
      </c>
    </row>
    <row r="10039">
      <c r="C10039" t="s">
        <v>898</v>
      </c>
    </row>
    <row r="10040">
      <c r="C10040" t="s">
        <v>898</v>
      </c>
    </row>
    <row r="10041">
      <c r="C10041" t="s">
        <v>898</v>
      </c>
    </row>
    <row r="10042">
      <c r="C10042" t="s">
        <v>898</v>
      </c>
    </row>
    <row r="10043">
      <c r="C10043" t="s">
        <v>898</v>
      </c>
    </row>
    <row r="10044">
      <c r="C10044" t="s">
        <v>898</v>
      </c>
    </row>
    <row r="10045">
      <c r="C10045" t="s">
        <v>898</v>
      </c>
    </row>
    <row r="10046">
      <c r="C10046" t="s">
        <v>898</v>
      </c>
    </row>
    <row r="10047">
      <c r="C10047" t="s">
        <v>898</v>
      </c>
    </row>
    <row r="10048">
      <c r="C10048" t="s">
        <v>898</v>
      </c>
    </row>
    <row r="10049">
      <c r="C10049" t="s">
        <v>898</v>
      </c>
    </row>
    <row r="10050">
      <c r="C10050" t="s">
        <v>898</v>
      </c>
    </row>
    <row r="10051">
      <c r="C10051" t="s">
        <v>898</v>
      </c>
    </row>
    <row r="10052">
      <c r="C10052" t="s">
        <v>898</v>
      </c>
    </row>
    <row r="10053">
      <c r="C10053" t="s">
        <v>898</v>
      </c>
    </row>
    <row r="10054">
      <c r="C10054" t="s">
        <v>898</v>
      </c>
    </row>
    <row r="10055">
      <c r="C10055" t="s">
        <v>898</v>
      </c>
    </row>
    <row r="10056">
      <c r="C10056" t="s">
        <v>898</v>
      </c>
    </row>
    <row r="10057">
      <c r="C10057" t="s">
        <v>898</v>
      </c>
    </row>
    <row r="10058">
      <c r="C10058" t="s">
        <v>898</v>
      </c>
    </row>
    <row r="10059">
      <c r="C10059" t="s">
        <v>898</v>
      </c>
    </row>
    <row r="10060">
      <c r="C10060" t="s">
        <v>898</v>
      </c>
    </row>
    <row r="10061">
      <c r="C10061" t="s">
        <v>898</v>
      </c>
    </row>
    <row r="10062">
      <c r="C10062" t="s">
        <v>898</v>
      </c>
    </row>
    <row r="10063">
      <c r="C10063" t="s">
        <v>898</v>
      </c>
    </row>
    <row r="10064">
      <c r="C10064" t="s">
        <v>898</v>
      </c>
    </row>
    <row r="10065">
      <c r="C10065" t="s">
        <v>898</v>
      </c>
    </row>
    <row r="10066">
      <c r="C10066" t="s">
        <v>898</v>
      </c>
    </row>
    <row r="10067">
      <c r="C10067" t="s">
        <v>898</v>
      </c>
    </row>
    <row r="10068">
      <c r="C10068" t="s">
        <v>898</v>
      </c>
    </row>
    <row r="10069">
      <c r="C10069" t="s">
        <v>898</v>
      </c>
    </row>
    <row r="10070">
      <c r="C10070" t="s">
        <v>898</v>
      </c>
    </row>
    <row r="10071">
      <c r="C10071" t="s">
        <v>898</v>
      </c>
    </row>
    <row r="10072">
      <c r="C10072" t="s">
        <v>898</v>
      </c>
    </row>
    <row r="10073">
      <c r="C10073" t="s">
        <v>898</v>
      </c>
    </row>
    <row r="10074">
      <c r="C10074" t="s">
        <v>898</v>
      </c>
    </row>
    <row r="10075">
      <c r="C10075" t="s">
        <v>898</v>
      </c>
    </row>
    <row r="10076">
      <c r="C10076" t="s">
        <v>898</v>
      </c>
    </row>
    <row r="10077">
      <c r="C10077" t="s">
        <v>898</v>
      </c>
    </row>
    <row r="10078">
      <c r="C10078" t="s">
        <v>898</v>
      </c>
    </row>
    <row r="10079">
      <c r="C10079" t="s">
        <v>898</v>
      </c>
    </row>
    <row r="10080">
      <c r="C10080" t="s">
        <v>898</v>
      </c>
    </row>
    <row r="10081">
      <c r="C10081" t="s">
        <v>898</v>
      </c>
    </row>
    <row r="10082">
      <c r="C10082" t="s">
        <v>898</v>
      </c>
    </row>
    <row r="10083">
      <c r="C10083" t="s">
        <v>898</v>
      </c>
    </row>
    <row r="10084">
      <c r="C10084" t="s">
        <v>898</v>
      </c>
    </row>
    <row r="10085">
      <c r="C10085" t="s">
        <v>898</v>
      </c>
    </row>
    <row r="10086">
      <c r="C10086" t="s">
        <v>898</v>
      </c>
    </row>
    <row r="10087">
      <c r="C10087" t="s">
        <v>898</v>
      </c>
    </row>
    <row r="10088">
      <c r="C10088" t="s">
        <v>898</v>
      </c>
    </row>
    <row r="10089">
      <c r="C10089" t="s">
        <v>898</v>
      </c>
    </row>
    <row r="10090">
      <c r="C10090" t="s">
        <v>898</v>
      </c>
    </row>
    <row r="10091">
      <c r="C10091" t="s">
        <v>898</v>
      </c>
    </row>
    <row r="10092">
      <c r="C10092" t="s">
        <v>898</v>
      </c>
    </row>
    <row r="10093">
      <c r="C10093" t="s">
        <v>898</v>
      </c>
    </row>
    <row r="10094">
      <c r="C10094" t="s">
        <v>898</v>
      </c>
    </row>
    <row r="10095">
      <c r="C10095" t="s">
        <v>898</v>
      </c>
    </row>
    <row r="10096">
      <c r="C10096" t="s">
        <v>898</v>
      </c>
    </row>
    <row r="10097">
      <c r="C10097" t="s">
        <v>898</v>
      </c>
    </row>
    <row r="10098">
      <c r="C10098" t="s">
        <v>898</v>
      </c>
    </row>
    <row r="10099">
      <c r="C10099" t="s">
        <v>898</v>
      </c>
    </row>
    <row r="10100">
      <c r="C10100" t="s">
        <v>898</v>
      </c>
    </row>
    <row r="10101">
      <c r="C10101" t="s">
        <v>898</v>
      </c>
    </row>
    <row r="10102">
      <c r="C10102" t="s">
        <v>898</v>
      </c>
    </row>
    <row r="10103">
      <c r="C10103" t="s">
        <v>898</v>
      </c>
    </row>
    <row r="10104">
      <c r="C10104" t="s">
        <v>898</v>
      </c>
    </row>
    <row r="10105">
      <c r="C10105" t="s">
        <v>898</v>
      </c>
    </row>
    <row r="10106">
      <c r="C10106" t="s">
        <v>898</v>
      </c>
    </row>
    <row r="10107">
      <c r="C10107" t="s">
        <v>898</v>
      </c>
    </row>
    <row r="10108">
      <c r="C10108" t="s">
        <v>898</v>
      </c>
    </row>
    <row r="10109">
      <c r="C10109" t="s">
        <v>898</v>
      </c>
    </row>
    <row r="10110">
      <c r="C10110" t="s">
        <v>898</v>
      </c>
    </row>
    <row r="10111">
      <c r="C10111" t="s">
        <v>898</v>
      </c>
    </row>
    <row r="10112">
      <c r="C10112" t="s">
        <v>898</v>
      </c>
    </row>
    <row r="10113">
      <c r="C10113" t="s">
        <v>898</v>
      </c>
    </row>
    <row r="10114">
      <c r="C10114" t="s">
        <v>898</v>
      </c>
    </row>
    <row r="10115">
      <c r="C10115" t="s">
        <v>898</v>
      </c>
    </row>
    <row r="10116">
      <c r="C10116" t="s">
        <v>898</v>
      </c>
    </row>
    <row r="10117">
      <c r="C10117" t="s">
        <v>898</v>
      </c>
    </row>
    <row r="10118">
      <c r="C10118" t="s">
        <v>898</v>
      </c>
    </row>
    <row r="10119">
      <c r="C10119" t="s">
        <v>898</v>
      </c>
    </row>
    <row r="10120">
      <c r="C10120" t="s">
        <v>898</v>
      </c>
    </row>
    <row r="10121">
      <c r="C10121" t="s">
        <v>898</v>
      </c>
    </row>
    <row r="10122">
      <c r="C10122" t="s">
        <v>898</v>
      </c>
    </row>
    <row r="10123">
      <c r="C10123" t="s">
        <v>898</v>
      </c>
    </row>
    <row r="10124">
      <c r="C10124" t="s">
        <v>898</v>
      </c>
    </row>
    <row r="10125">
      <c r="C10125" t="s">
        <v>898</v>
      </c>
    </row>
    <row r="10126">
      <c r="C10126" t="s">
        <v>898</v>
      </c>
    </row>
    <row r="10127">
      <c r="C10127" t="s">
        <v>898</v>
      </c>
    </row>
    <row r="10128">
      <c r="C10128" t="s">
        <v>898</v>
      </c>
    </row>
    <row r="10129">
      <c r="C10129" t="s">
        <v>898</v>
      </c>
    </row>
    <row r="10130">
      <c r="C10130" t="s">
        <v>898</v>
      </c>
    </row>
    <row r="10131">
      <c r="C10131" t="s">
        <v>898</v>
      </c>
    </row>
    <row r="10132">
      <c r="C10132" t="s">
        <v>898</v>
      </c>
    </row>
    <row r="10133">
      <c r="C10133" t="s">
        <v>898</v>
      </c>
    </row>
    <row r="10134">
      <c r="C10134" t="s">
        <v>898</v>
      </c>
    </row>
    <row r="10135">
      <c r="C10135" t="s">
        <v>898</v>
      </c>
    </row>
    <row r="10136">
      <c r="C10136" t="s">
        <v>898</v>
      </c>
    </row>
    <row r="10137">
      <c r="C10137" t="s">
        <v>898</v>
      </c>
    </row>
    <row r="10138">
      <c r="C10138" t="s">
        <v>898</v>
      </c>
    </row>
    <row r="10139">
      <c r="C10139" t="s">
        <v>898</v>
      </c>
    </row>
    <row r="10140">
      <c r="C10140" t="s">
        <v>898</v>
      </c>
    </row>
    <row r="10141">
      <c r="C10141" t="s">
        <v>898</v>
      </c>
    </row>
    <row r="10142">
      <c r="C10142" t="s">
        <v>898</v>
      </c>
    </row>
    <row r="10143">
      <c r="C10143" t="s">
        <v>898</v>
      </c>
    </row>
    <row r="10144">
      <c r="C10144" t="s">
        <v>898</v>
      </c>
    </row>
    <row r="10145">
      <c r="C10145" t="s">
        <v>898</v>
      </c>
    </row>
    <row r="10146">
      <c r="C10146" t="s">
        <v>898</v>
      </c>
    </row>
    <row r="10147">
      <c r="C10147" t="s">
        <v>898</v>
      </c>
    </row>
    <row r="10148">
      <c r="C10148" t="s">
        <v>898</v>
      </c>
    </row>
    <row r="10149">
      <c r="C10149" t="s">
        <v>898</v>
      </c>
    </row>
    <row r="10150">
      <c r="C10150" t="s">
        <v>898</v>
      </c>
    </row>
    <row r="10151">
      <c r="C10151" t="s">
        <v>898</v>
      </c>
    </row>
    <row r="10152">
      <c r="C10152" t="s">
        <v>898</v>
      </c>
    </row>
    <row r="10153">
      <c r="C10153" t="s">
        <v>898</v>
      </c>
    </row>
    <row r="10154">
      <c r="C10154" t="s">
        <v>898</v>
      </c>
    </row>
    <row r="10155">
      <c r="C10155" t="s">
        <v>898</v>
      </c>
    </row>
    <row r="10156">
      <c r="C10156" t="s">
        <v>898</v>
      </c>
    </row>
    <row r="10157">
      <c r="C10157" t="s">
        <v>898</v>
      </c>
    </row>
    <row r="10158">
      <c r="C10158" t="s">
        <v>898</v>
      </c>
    </row>
    <row r="10159">
      <c r="C10159" t="s">
        <v>898</v>
      </c>
    </row>
    <row r="10160">
      <c r="C10160" t="s">
        <v>898</v>
      </c>
    </row>
    <row r="10161">
      <c r="C10161" t="s">
        <v>898</v>
      </c>
    </row>
    <row r="10162">
      <c r="C10162" t="s">
        <v>898</v>
      </c>
    </row>
    <row r="10163">
      <c r="C10163" t="s">
        <v>898</v>
      </c>
    </row>
    <row r="10164">
      <c r="C10164" t="s">
        <v>898</v>
      </c>
    </row>
    <row r="10165">
      <c r="C10165" t="s">
        <v>898</v>
      </c>
    </row>
    <row r="10166">
      <c r="C10166" t="s">
        <v>898</v>
      </c>
    </row>
    <row r="10167">
      <c r="C10167" t="s">
        <v>898</v>
      </c>
    </row>
    <row r="10168">
      <c r="C10168" t="s">
        <v>898</v>
      </c>
    </row>
    <row r="10169">
      <c r="C10169" t="s">
        <v>898</v>
      </c>
    </row>
    <row r="10170">
      <c r="C10170" t="s">
        <v>898</v>
      </c>
    </row>
    <row r="10171">
      <c r="C10171" t="s">
        <v>898</v>
      </c>
    </row>
    <row r="10172">
      <c r="C10172" t="s">
        <v>898</v>
      </c>
    </row>
    <row r="10173">
      <c r="C10173" t="s">
        <v>898</v>
      </c>
    </row>
    <row r="10174">
      <c r="C10174" t="s">
        <v>898</v>
      </c>
    </row>
    <row r="10175">
      <c r="C10175" t="s">
        <v>898</v>
      </c>
    </row>
    <row r="10176">
      <c r="C10176" t="s">
        <v>898</v>
      </c>
    </row>
    <row r="10177">
      <c r="C10177" t="s">
        <v>898</v>
      </c>
    </row>
    <row r="10178">
      <c r="C10178" t="s">
        <v>898</v>
      </c>
    </row>
    <row r="10179">
      <c r="C10179" t="s">
        <v>898</v>
      </c>
    </row>
    <row r="10180">
      <c r="C10180" t="s">
        <v>898</v>
      </c>
    </row>
    <row r="10181">
      <c r="C10181" t="s">
        <v>898</v>
      </c>
    </row>
    <row r="10182">
      <c r="C10182" t="s">
        <v>898</v>
      </c>
    </row>
    <row r="10183">
      <c r="C10183" t="s">
        <v>898</v>
      </c>
    </row>
    <row r="10184">
      <c r="C10184" t="s">
        <v>898</v>
      </c>
    </row>
    <row r="10185">
      <c r="C10185" t="s">
        <v>898</v>
      </c>
    </row>
    <row r="10186">
      <c r="C10186" t="s">
        <v>898</v>
      </c>
    </row>
    <row r="10187">
      <c r="C10187" t="s">
        <v>898</v>
      </c>
    </row>
    <row r="10188">
      <c r="C10188" t="s">
        <v>898</v>
      </c>
    </row>
    <row r="10189">
      <c r="C10189" t="s">
        <v>898</v>
      </c>
    </row>
    <row r="10190">
      <c r="C10190" t="s">
        <v>898</v>
      </c>
    </row>
    <row r="10191">
      <c r="C10191" t="s">
        <v>898</v>
      </c>
    </row>
    <row r="10192">
      <c r="C10192" t="s">
        <v>898</v>
      </c>
    </row>
    <row r="10193">
      <c r="C10193" t="s">
        <v>898</v>
      </c>
    </row>
    <row r="10194">
      <c r="C10194" t="s">
        <v>898</v>
      </c>
    </row>
    <row r="10195">
      <c r="C10195" t="s">
        <v>898</v>
      </c>
    </row>
    <row r="10196">
      <c r="C10196" t="s">
        <v>898</v>
      </c>
    </row>
    <row r="10197">
      <c r="C10197" t="s">
        <v>898</v>
      </c>
    </row>
    <row r="10198">
      <c r="C10198" t="s">
        <v>898</v>
      </c>
    </row>
    <row r="10199">
      <c r="C10199" t="s">
        <v>898</v>
      </c>
    </row>
    <row r="10200">
      <c r="C10200" t="s">
        <v>898</v>
      </c>
    </row>
    <row r="10201">
      <c r="C10201" t="s">
        <v>898</v>
      </c>
    </row>
    <row r="10202">
      <c r="C10202" t="s">
        <v>898</v>
      </c>
    </row>
    <row r="10203">
      <c r="C10203" t="s">
        <v>898</v>
      </c>
    </row>
    <row r="10204">
      <c r="C10204" t="s">
        <v>898</v>
      </c>
    </row>
    <row r="10205">
      <c r="C10205" t="s">
        <v>898</v>
      </c>
    </row>
    <row r="10206">
      <c r="C10206" t="s">
        <v>898</v>
      </c>
    </row>
    <row r="10207">
      <c r="C10207" t="s">
        <v>898</v>
      </c>
    </row>
    <row r="10208">
      <c r="C10208" t="s">
        <v>898</v>
      </c>
    </row>
    <row r="10209">
      <c r="C10209" t="s">
        <v>898</v>
      </c>
    </row>
    <row r="10210">
      <c r="C10210" t="s">
        <v>898</v>
      </c>
    </row>
    <row r="10211">
      <c r="C10211" t="s">
        <v>898</v>
      </c>
    </row>
    <row r="10212">
      <c r="C10212" t="s">
        <v>898</v>
      </c>
    </row>
    <row r="10213">
      <c r="C10213" t="s">
        <v>898</v>
      </c>
    </row>
    <row r="10214">
      <c r="C10214" t="s">
        <v>898</v>
      </c>
    </row>
    <row r="10215">
      <c r="C10215" t="s">
        <v>898</v>
      </c>
    </row>
    <row r="10216">
      <c r="C10216" t="s">
        <v>898</v>
      </c>
    </row>
    <row r="10217">
      <c r="C10217" t="s">
        <v>898</v>
      </c>
    </row>
    <row r="10218">
      <c r="C10218" t="s">
        <v>898</v>
      </c>
    </row>
    <row r="10219">
      <c r="C10219" t="s">
        <v>898</v>
      </c>
    </row>
    <row r="10220">
      <c r="C10220" t="s">
        <v>898</v>
      </c>
    </row>
    <row r="10221">
      <c r="C10221" t="s">
        <v>898</v>
      </c>
    </row>
    <row r="10222">
      <c r="C10222" t="s">
        <v>898</v>
      </c>
    </row>
    <row r="10223">
      <c r="C10223" t="s">
        <v>898</v>
      </c>
    </row>
    <row r="10224">
      <c r="C10224" t="s">
        <v>898</v>
      </c>
    </row>
    <row r="10225">
      <c r="C10225" t="s">
        <v>898</v>
      </c>
    </row>
    <row r="10226">
      <c r="C10226" t="s">
        <v>898</v>
      </c>
    </row>
    <row r="10227">
      <c r="C10227" t="s">
        <v>898</v>
      </c>
    </row>
    <row r="10228">
      <c r="C10228" t="s">
        <v>898</v>
      </c>
    </row>
    <row r="10229">
      <c r="C10229" t="s">
        <v>898</v>
      </c>
    </row>
    <row r="10230">
      <c r="C10230" t="s">
        <v>898</v>
      </c>
    </row>
    <row r="10231">
      <c r="C10231" t="s">
        <v>898</v>
      </c>
    </row>
    <row r="10232">
      <c r="C10232" t="s">
        <v>898</v>
      </c>
    </row>
    <row r="10233">
      <c r="C10233" t="s">
        <v>898</v>
      </c>
    </row>
    <row r="10234">
      <c r="C10234" t="s">
        <v>898</v>
      </c>
    </row>
    <row r="10235">
      <c r="C10235" t="s">
        <v>898</v>
      </c>
    </row>
    <row r="10236">
      <c r="C10236" t="s">
        <v>898</v>
      </c>
    </row>
    <row r="10237">
      <c r="C10237" t="s">
        <v>898</v>
      </c>
    </row>
    <row r="10238">
      <c r="C10238" t="s">
        <v>898</v>
      </c>
    </row>
    <row r="10239">
      <c r="C10239" t="s">
        <v>898</v>
      </c>
    </row>
    <row r="10240">
      <c r="C10240" t="s">
        <v>898</v>
      </c>
    </row>
    <row r="10241">
      <c r="C10241" t="s">
        <v>898</v>
      </c>
    </row>
    <row r="10242">
      <c r="C10242" t="s">
        <v>898</v>
      </c>
    </row>
    <row r="10243">
      <c r="C10243" t="s">
        <v>898</v>
      </c>
    </row>
    <row r="10244">
      <c r="C10244" t="s">
        <v>898</v>
      </c>
    </row>
    <row r="10245">
      <c r="C10245" t="s">
        <v>898</v>
      </c>
    </row>
    <row r="10246">
      <c r="C10246" t="s">
        <v>898</v>
      </c>
    </row>
    <row r="10247">
      <c r="C10247" t="s">
        <v>898</v>
      </c>
    </row>
    <row r="10248">
      <c r="C10248" t="s">
        <v>898</v>
      </c>
    </row>
    <row r="10249">
      <c r="C10249" t="s">
        <v>898</v>
      </c>
    </row>
    <row r="10250">
      <c r="C10250" t="s">
        <v>898</v>
      </c>
    </row>
    <row r="10251">
      <c r="C10251" t="s">
        <v>898</v>
      </c>
    </row>
    <row r="10252">
      <c r="C10252" t="s">
        <v>898</v>
      </c>
    </row>
    <row r="10253">
      <c r="C10253" t="s">
        <v>898</v>
      </c>
    </row>
    <row r="10254">
      <c r="C10254" t="s">
        <v>898</v>
      </c>
    </row>
    <row r="10255">
      <c r="C10255" t="s">
        <v>898</v>
      </c>
    </row>
    <row r="10256">
      <c r="C10256" t="s">
        <v>898</v>
      </c>
    </row>
    <row r="10257">
      <c r="C10257" t="s">
        <v>898</v>
      </c>
    </row>
    <row r="10258">
      <c r="C10258" t="s">
        <v>898</v>
      </c>
    </row>
    <row r="10259">
      <c r="C10259" t="s">
        <v>898</v>
      </c>
    </row>
    <row r="10260">
      <c r="C10260" t="s">
        <v>898</v>
      </c>
    </row>
    <row r="10261">
      <c r="C10261" t="s">
        <v>898</v>
      </c>
    </row>
    <row r="10262">
      <c r="C10262" t="s">
        <v>898</v>
      </c>
    </row>
    <row r="10263">
      <c r="C10263" t="s">
        <v>898</v>
      </c>
    </row>
    <row r="10264">
      <c r="C10264" t="s">
        <v>898</v>
      </c>
    </row>
    <row r="10265">
      <c r="C10265" t="s">
        <v>898</v>
      </c>
    </row>
    <row r="10266">
      <c r="C10266" t="s">
        <v>898</v>
      </c>
    </row>
    <row r="10267">
      <c r="C10267" t="s">
        <v>898</v>
      </c>
    </row>
    <row r="10268">
      <c r="C10268" t="s">
        <v>898</v>
      </c>
    </row>
    <row r="10269">
      <c r="C10269" t="s">
        <v>898</v>
      </c>
    </row>
    <row r="10270">
      <c r="C10270" t="s">
        <v>898</v>
      </c>
    </row>
    <row r="10271">
      <c r="C10271" t="s">
        <v>898</v>
      </c>
    </row>
    <row r="10272">
      <c r="C10272" t="s">
        <v>898</v>
      </c>
    </row>
    <row r="10273">
      <c r="C10273" t="s">
        <v>898</v>
      </c>
    </row>
    <row r="10274">
      <c r="C10274" t="s">
        <v>898</v>
      </c>
    </row>
    <row r="10275">
      <c r="C10275" t="s">
        <v>898</v>
      </c>
    </row>
    <row r="10276">
      <c r="C10276" t="s">
        <v>898</v>
      </c>
    </row>
    <row r="10277">
      <c r="C10277" t="s">
        <v>898</v>
      </c>
    </row>
    <row r="10278">
      <c r="C10278" t="s">
        <v>898</v>
      </c>
    </row>
    <row r="10279">
      <c r="C10279" t="s">
        <v>898</v>
      </c>
    </row>
    <row r="10280">
      <c r="C10280" t="s">
        <v>898</v>
      </c>
    </row>
    <row r="10281">
      <c r="C10281" t="s">
        <v>898</v>
      </c>
    </row>
    <row r="10282">
      <c r="C10282" t="s">
        <v>898</v>
      </c>
    </row>
    <row r="10283">
      <c r="C10283" t="s">
        <v>898</v>
      </c>
    </row>
    <row r="10284">
      <c r="C10284" t="s">
        <v>898</v>
      </c>
    </row>
    <row r="10285">
      <c r="C10285" t="s">
        <v>898</v>
      </c>
    </row>
    <row r="10286">
      <c r="C10286" t="s">
        <v>898</v>
      </c>
    </row>
    <row r="10287">
      <c r="C10287" t="s">
        <v>898</v>
      </c>
    </row>
    <row r="10288">
      <c r="C10288" t="s">
        <v>898</v>
      </c>
    </row>
    <row r="10289">
      <c r="C10289" t="s">
        <v>898</v>
      </c>
    </row>
    <row r="10290">
      <c r="C10290" t="s">
        <v>898</v>
      </c>
    </row>
    <row r="10291">
      <c r="C10291" t="s">
        <v>898</v>
      </c>
    </row>
    <row r="10292">
      <c r="C10292" t="s">
        <v>898</v>
      </c>
    </row>
    <row r="10293">
      <c r="C10293" t="s">
        <v>898</v>
      </c>
    </row>
    <row r="10294">
      <c r="C10294" t="s">
        <v>898</v>
      </c>
    </row>
    <row r="10295">
      <c r="C10295" t="s">
        <v>898</v>
      </c>
    </row>
    <row r="10296">
      <c r="C10296" t="s">
        <v>898</v>
      </c>
    </row>
    <row r="10297">
      <c r="C10297" t="s">
        <v>898</v>
      </c>
    </row>
    <row r="10298">
      <c r="C10298" t="s">
        <v>898</v>
      </c>
    </row>
    <row r="10299">
      <c r="C10299" t="s">
        <v>898</v>
      </c>
    </row>
    <row r="10300">
      <c r="C10300" t="s">
        <v>898</v>
      </c>
    </row>
    <row r="10301">
      <c r="C10301" t="s">
        <v>898</v>
      </c>
    </row>
    <row r="10302">
      <c r="C10302" t="s">
        <v>898</v>
      </c>
    </row>
    <row r="10303">
      <c r="C10303" t="s">
        <v>898</v>
      </c>
    </row>
    <row r="10304">
      <c r="C10304" t="s">
        <v>898</v>
      </c>
    </row>
    <row r="10305">
      <c r="C10305" t="s">
        <v>898</v>
      </c>
    </row>
    <row r="10306">
      <c r="C10306" t="s">
        <v>898</v>
      </c>
    </row>
    <row r="10307">
      <c r="C10307" t="s">
        <v>898</v>
      </c>
    </row>
    <row r="10308">
      <c r="C10308" t="s">
        <v>898</v>
      </c>
    </row>
    <row r="10309">
      <c r="C10309" t="s">
        <v>898</v>
      </c>
    </row>
    <row r="10310">
      <c r="C10310" t="s">
        <v>898</v>
      </c>
    </row>
    <row r="10311">
      <c r="C10311" t="s">
        <v>898</v>
      </c>
    </row>
    <row r="10312">
      <c r="C10312" t="s">
        <v>898</v>
      </c>
    </row>
    <row r="10313">
      <c r="C10313" t="s">
        <v>898</v>
      </c>
    </row>
    <row r="10314">
      <c r="C10314" t="s">
        <v>898</v>
      </c>
    </row>
    <row r="10315">
      <c r="C10315" t="s">
        <v>898</v>
      </c>
    </row>
    <row r="10316">
      <c r="C10316" t="s">
        <v>898</v>
      </c>
    </row>
    <row r="10317">
      <c r="C10317" t="s">
        <v>898</v>
      </c>
    </row>
    <row r="10318">
      <c r="C10318" t="s">
        <v>898</v>
      </c>
    </row>
    <row r="10319">
      <c r="C10319" t="s">
        <v>898</v>
      </c>
    </row>
    <row r="10320">
      <c r="C10320" t="s">
        <v>898</v>
      </c>
    </row>
    <row r="10321">
      <c r="C10321" t="s">
        <v>898</v>
      </c>
    </row>
    <row r="10322">
      <c r="C10322" t="s">
        <v>898</v>
      </c>
    </row>
    <row r="10323">
      <c r="C10323" t="s">
        <v>898</v>
      </c>
    </row>
    <row r="10324">
      <c r="C10324" t="s">
        <v>898</v>
      </c>
    </row>
    <row r="10325">
      <c r="C10325" t="s">
        <v>898</v>
      </c>
    </row>
    <row r="10326">
      <c r="C10326" t="s">
        <v>898</v>
      </c>
    </row>
    <row r="10327">
      <c r="C10327" t="s">
        <v>898</v>
      </c>
    </row>
    <row r="10328">
      <c r="C10328" t="s">
        <v>898</v>
      </c>
    </row>
    <row r="10329">
      <c r="C10329" t="s">
        <v>898</v>
      </c>
    </row>
    <row r="10330">
      <c r="C10330" t="s">
        <v>898</v>
      </c>
    </row>
    <row r="10331">
      <c r="C10331" t="s">
        <v>898</v>
      </c>
    </row>
    <row r="10332">
      <c r="C10332" t="s">
        <v>898</v>
      </c>
    </row>
    <row r="10333">
      <c r="C10333" t="s">
        <v>898</v>
      </c>
    </row>
    <row r="10334">
      <c r="C10334" t="s">
        <v>898</v>
      </c>
    </row>
    <row r="10335">
      <c r="C10335" t="s">
        <v>898</v>
      </c>
    </row>
    <row r="10336">
      <c r="C10336" t="s">
        <v>898</v>
      </c>
    </row>
    <row r="10337">
      <c r="C10337" t="s">
        <v>898</v>
      </c>
    </row>
    <row r="10338">
      <c r="C10338" t="s">
        <v>898</v>
      </c>
    </row>
    <row r="10339">
      <c r="C10339" t="s">
        <v>898</v>
      </c>
    </row>
    <row r="10340">
      <c r="C10340" t="s">
        <v>898</v>
      </c>
    </row>
    <row r="10341">
      <c r="C10341" t="s">
        <v>898</v>
      </c>
    </row>
    <row r="10342">
      <c r="C10342" t="s">
        <v>898</v>
      </c>
    </row>
    <row r="10343">
      <c r="C10343" t="s">
        <v>898</v>
      </c>
    </row>
    <row r="10344">
      <c r="C10344" t="s">
        <v>898</v>
      </c>
    </row>
    <row r="10345">
      <c r="C10345" t="s">
        <v>898</v>
      </c>
    </row>
    <row r="10346">
      <c r="C10346" t="s">
        <v>898</v>
      </c>
    </row>
    <row r="10347">
      <c r="C10347" t="s">
        <v>898</v>
      </c>
    </row>
    <row r="10348">
      <c r="C10348" t="s">
        <v>898</v>
      </c>
    </row>
    <row r="10349">
      <c r="C10349" t="s">
        <v>898</v>
      </c>
    </row>
    <row r="10350">
      <c r="C10350" t="s">
        <v>898</v>
      </c>
    </row>
    <row r="10351">
      <c r="C10351" t="s">
        <v>898</v>
      </c>
    </row>
    <row r="10352">
      <c r="C10352" t="s">
        <v>898</v>
      </c>
    </row>
    <row r="10353">
      <c r="C10353" t="s">
        <v>898</v>
      </c>
    </row>
    <row r="10354">
      <c r="C10354" t="s">
        <v>898</v>
      </c>
    </row>
    <row r="10355">
      <c r="C10355" t="s">
        <v>898</v>
      </c>
    </row>
    <row r="10356">
      <c r="C10356" t="s">
        <v>898</v>
      </c>
    </row>
    <row r="10357">
      <c r="C10357" t="s">
        <v>898</v>
      </c>
    </row>
    <row r="10358">
      <c r="C10358" t="s">
        <v>898</v>
      </c>
    </row>
    <row r="10359">
      <c r="C10359" t="s">
        <v>898</v>
      </c>
    </row>
    <row r="10360">
      <c r="C10360" t="s">
        <v>898</v>
      </c>
    </row>
    <row r="10361">
      <c r="C10361" t="s">
        <v>898</v>
      </c>
    </row>
    <row r="10362">
      <c r="C10362" t="s">
        <v>898</v>
      </c>
    </row>
    <row r="10363">
      <c r="C10363" t="s">
        <v>898</v>
      </c>
    </row>
    <row r="10364">
      <c r="C10364" t="s">
        <v>898</v>
      </c>
    </row>
    <row r="10365">
      <c r="C10365" t="s">
        <v>898</v>
      </c>
    </row>
    <row r="10366">
      <c r="C10366" t="s">
        <v>898</v>
      </c>
    </row>
    <row r="10367">
      <c r="C10367" t="s">
        <v>898</v>
      </c>
    </row>
    <row r="10368">
      <c r="C10368" t="s">
        <v>898</v>
      </c>
    </row>
    <row r="10369">
      <c r="C10369" t="s">
        <v>898</v>
      </c>
    </row>
    <row r="10370">
      <c r="C10370" t="s">
        <v>898</v>
      </c>
    </row>
    <row r="10371">
      <c r="C10371" t="s">
        <v>898</v>
      </c>
    </row>
    <row r="10372">
      <c r="C10372" t="s">
        <v>898</v>
      </c>
    </row>
    <row r="10373">
      <c r="C10373" t="s">
        <v>898</v>
      </c>
    </row>
    <row r="10374">
      <c r="C10374" t="s">
        <v>898</v>
      </c>
    </row>
    <row r="10375">
      <c r="C10375" t="s">
        <v>898</v>
      </c>
    </row>
    <row r="10376">
      <c r="C10376" t="s">
        <v>898</v>
      </c>
    </row>
    <row r="10377">
      <c r="C10377" t="s">
        <v>898</v>
      </c>
    </row>
    <row r="10378">
      <c r="C10378" t="s">
        <v>898</v>
      </c>
    </row>
    <row r="10379">
      <c r="C10379" t="s">
        <v>898</v>
      </c>
    </row>
    <row r="10380">
      <c r="C10380" t="s">
        <v>898</v>
      </c>
    </row>
    <row r="10381">
      <c r="C10381" t="s">
        <v>898</v>
      </c>
    </row>
    <row r="10382">
      <c r="C10382" t="s">
        <v>898</v>
      </c>
    </row>
    <row r="10383">
      <c r="C10383" t="s">
        <v>898</v>
      </c>
    </row>
    <row r="10384">
      <c r="C10384" t="s">
        <v>898</v>
      </c>
    </row>
    <row r="10385">
      <c r="C10385" t="s">
        <v>898</v>
      </c>
    </row>
    <row r="10386">
      <c r="C10386" t="s">
        <v>898</v>
      </c>
    </row>
    <row r="10387">
      <c r="C10387" t="s">
        <v>898</v>
      </c>
    </row>
    <row r="10388">
      <c r="C10388" t="s">
        <v>898</v>
      </c>
    </row>
    <row r="10389">
      <c r="C10389" t="s">
        <v>898</v>
      </c>
    </row>
    <row r="10390">
      <c r="C10390" t="s">
        <v>898</v>
      </c>
    </row>
    <row r="10391">
      <c r="C10391" t="s">
        <v>898</v>
      </c>
    </row>
    <row r="10392">
      <c r="C10392" t="s">
        <v>898</v>
      </c>
    </row>
    <row r="10393">
      <c r="C10393" t="s">
        <v>898</v>
      </c>
    </row>
    <row r="10394">
      <c r="C10394" t="s">
        <v>898</v>
      </c>
    </row>
    <row r="10395">
      <c r="C10395" t="s">
        <v>898</v>
      </c>
    </row>
    <row r="10396">
      <c r="C10396" t="s">
        <v>898</v>
      </c>
    </row>
    <row r="10397">
      <c r="C10397" t="s">
        <v>898</v>
      </c>
    </row>
    <row r="10398">
      <c r="C10398" t="s">
        <v>898</v>
      </c>
    </row>
    <row r="10399">
      <c r="C10399" t="s">
        <v>898</v>
      </c>
    </row>
    <row r="10400">
      <c r="C10400" t="s">
        <v>898</v>
      </c>
    </row>
    <row r="10401">
      <c r="C10401" t="s">
        <v>898</v>
      </c>
    </row>
    <row r="10402">
      <c r="C10402" t="s">
        <v>898</v>
      </c>
    </row>
    <row r="10403">
      <c r="C10403" t="s">
        <v>898</v>
      </c>
    </row>
    <row r="10404">
      <c r="C10404" t="s">
        <v>898</v>
      </c>
    </row>
    <row r="10405">
      <c r="C10405" t="s">
        <v>898</v>
      </c>
    </row>
    <row r="10406">
      <c r="C10406" t="s">
        <v>898</v>
      </c>
    </row>
    <row r="10407">
      <c r="C10407" t="s">
        <v>898</v>
      </c>
    </row>
    <row r="10408">
      <c r="C10408" t="s">
        <v>898</v>
      </c>
    </row>
    <row r="10409">
      <c r="C10409" t="s">
        <v>898</v>
      </c>
    </row>
    <row r="10410">
      <c r="C10410" t="s">
        <v>898</v>
      </c>
    </row>
    <row r="10411">
      <c r="C10411" t="s">
        <v>898</v>
      </c>
    </row>
    <row r="10412">
      <c r="C10412" t="s">
        <v>898</v>
      </c>
    </row>
    <row r="10413">
      <c r="C10413" t="s">
        <v>898</v>
      </c>
    </row>
    <row r="10414">
      <c r="C10414" t="s">
        <v>898</v>
      </c>
    </row>
    <row r="10415">
      <c r="C10415" t="s">
        <v>898</v>
      </c>
    </row>
    <row r="10416">
      <c r="C10416" t="s">
        <v>898</v>
      </c>
    </row>
    <row r="10417">
      <c r="C10417" t="s">
        <v>898</v>
      </c>
    </row>
    <row r="10418">
      <c r="C10418" t="s">
        <v>898</v>
      </c>
    </row>
    <row r="10419">
      <c r="C10419" t="s">
        <v>898</v>
      </c>
    </row>
    <row r="10420">
      <c r="C10420" t="s">
        <v>898</v>
      </c>
    </row>
    <row r="10421">
      <c r="C10421" t="s">
        <v>898</v>
      </c>
    </row>
    <row r="10422">
      <c r="C10422" t="s">
        <v>898</v>
      </c>
    </row>
    <row r="10423">
      <c r="C10423" t="s">
        <v>898</v>
      </c>
    </row>
    <row r="10424">
      <c r="C10424" t="s">
        <v>898</v>
      </c>
    </row>
    <row r="10425">
      <c r="C10425" t="s">
        <v>898</v>
      </c>
    </row>
    <row r="10426">
      <c r="C10426" t="s">
        <v>898</v>
      </c>
    </row>
    <row r="10427">
      <c r="C10427" t="s">
        <v>898</v>
      </c>
    </row>
    <row r="10428">
      <c r="C10428" t="s">
        <v>898</v>
      </c>
    </row>
    <row r="10429">
      <c r="C10429" t="s">
        <v>898</v>
      </c>
    </row>
    <row r="10430">
      <c r="C10430" t="s">
        <v>898</v>
      </c>
    </row>
    <row r="10431">
      <c r="C10431" t="s">
        <v>898</v>
      </c>
    </row>
    <row r="10432">
      <c r="C10432" t="s">
        <v>898</v>
      </c>
    </row>
    <row r="10433">
      <c r="C10433" t="s">
        <v>898</v>
      </c>
    </row>
    <row r="10434">
      <c r="C10434" t="s">
        <v>898</v>
      </c>
    </row>
    <row r="10435">
      <c r="C10435" t="s">
        <v>898</v>
      </c>
    </row>
    <row r="10436">
      <c r="C10436" t="s">
        <v>898</v>
      </c>
    </row>
    <row r="10437">
      <c r="C10437" t="s">
        <v>898</v>
      </c>
    </row>
    <row r="10438">
      <c r="C10438" t="s">
        <v>898</v>
      </c>
    </row>
    <row r="10439">
      <c r="C10439" t="s">
        <v>898</v>
      </c>
    </row>
    <row r="10440">
      <c r="C10440" t="s">
        <v>898</v>
      </c>
    </row>
    <row r="10441">
      <c r="C10441" t="s">
        <v>898</v>
      </c>
    </row>
    <row r="10442">
      <c r="C10442" t="s">
        <v>898</v>
      </c>
    </row>
    <row r="10443">
      <c r="C10443" t="s">
        <v>898</v>
      </c>
    </row>
    <row r="10444">
      <c r="C10444" t="s">
        <v>898</v>
      </c>
    </row>
    <row r="10445">
      <c r="C10445" t="s">
        <v>898</v>
      </c>
    </row>
    <row r="10446">
      <c r="C10446" t="s">
        <v>898</v>
      </c>
    </row>
    <row r="10447">
      <c r="C10447" t="s">
        <v>898</v>
      </c>
    </row>
    <row r="10448">
      <c r="C10448" t="s">
        <v>898</v>
      </c>
    </row>
    <row r="10449">
      <c r="C10449" t="s">
        <v>898</v>
      </c>
    </row>
    <row r="10450">
      <c r="C10450" t="s">
        <v>898</v>
      </c>
    </row>
    <row r="10451">
      <c r="C10451" t="s">
        <v>898</v>
      </c>
    </row>
    <row r="10452">
      <c r="C10452" t="s">
        <v>898</v>
      </c>
    </row>
    <row r="10453">
      <c r="C10453" t="s">
        <v>898</v>
      </c>
    </row>
    <row r="10454">
      <c r="C10454" t="s">
        <v>898</v>
      </c>
    </row>
    <row r="10455">
      <c r="C10455" t="s">
        <v>898</v>
      </c>
    </row>
    <row r="10456">
      <c r="C10456" t="s">
        <v>898</v>
      </c>
    </row>
    <row r="10457">
      <c r="C10457" t="s">
        <v>898</v>
      </c>
    </row>
    <row r="10458">
      <c r="C10458" t="s">
        <v>898</v>
      </c>
    </row>
    <row r="10459">
      <c r="C10459" t="s">
        <v>898</v>
      </c>
    </row>
    <row r="10460">
      <c r="C10460" t="s">
        <v>898</v>
      </c>
    </row>
    <row r="10461">
      <c r="C10461" t="s">
        <v>898</v>
      </c>
    </row>
    <row r="10462">
      <c r="C10462" t="s">
        <v>898</v>
      </c>
    </row>
    <row r="10463">
      <c r="C10463" t="s">
        <v>898</v>
      </c>
    </row>
    <row r="10464">
      <c r="C10464" t="s">
        <v>898</v>
      </c>
    </row>
    <row r="10465">
      <c r="C10465" t="s">
        <v>898</v>
      </c>
    </row>
    <row r="10466">
      <c r="C10466" t="s">
        <v>898</v>
      </c>
    </row>
    <row r="10467">
      <c r="C10467" t="s">
        <v>898</v>
      </c>
    </row>
    <row r="10468">
      <c r="C10468" t="s">
        <v>898</v>
      </c>
    </row>
    <row r="10469">
      <c r="C10469" t="s">
        <v>898</v>
      </c>
    </row>
    <row r="10470">
      <c r="C10470" t="s">
        <v>898</v>
      </c>
    </row>
    <row r="10471">
      <c r="C10471" t="s">
        <v>898</v>
      </c>
    </row>
    <row r="10472">
      <c r="C10472" t="s">
        <v>898</v>
      </c>
    </row>
    <row r="10473">
      <c r="C10473" t="s">
        <v>898</v>
      </c>
    </row>
    <row r="10474">
      <c r="C10474" t="s">
        <v>898</v>
      </c>
    </row>
    <row r="10475">
      <c r="C10475" t="s">
        <v>898</v>
      </c>
    </row>
    <row r="10476">
      <c r="C10476" t="s">
        <v>898</v>
      </c>
    </row>
    <row r="10477">
      <c r="C10477" t="s">
        <v>898</v>
      </c>
    </row>
    <row r="10478">
      <c r="C10478" t="s">
        <v>898</v>
      </c>
    </row>
    <row r="10479">
      <c r="C10479" t="s">
        <v>898</v>
      </c>
    </row>
    <row r="10480">
      <c r="C10480" t="s">
        <v>898</v>
      </c>
    </row>
    <row r="10481">
      <c r="C10481" t="s">
        <v>898</v>
      </c>
    </row>
    <row r="10482">
      <c r="C10482" t="s">
        <v>898</v>
      </c>
    </row>
    <row r="10483">
      <c r="C10483" t="s">
        <v>898</v>
      </c>
    </row>
    <row r="10484">
      <c r="C10484" t="s">
        <v>898</v>
      </c>
    </row>
    <row r="10485">
      <c r="C10485" t="s">
        <v>898</v>
      </c>
    </row>
    <row r="10486">
      <c r="C10486" t="s">
        <v>898</v>
      </c>
    </row>
    <row r="10487">
      <c r="C10487" t="s">
        <v>898</v>
      </c>
    </row>
    <row r="10488">
      <c r="C10488" t="s">
        <v>898</v>
      </c>
    </row>
    <row r="10489">
      <c r="C10489" t="s">
        <v>898</v>
      </c>
    </row>
    <row r="10490">
      <c r="C10490" t="s">
        <v>898</v>
      </c>
    </row>
    <row r="10491">
      <c r="C10491" t="s">
        <v>898</v>
      </c>
    </row>
    <row r="10492">
      <c r="C10492" t="s">
        <v>898</v>
      </c>
    </row>
    <row r="10493">
      <c r="C10493" t="s">
        <v>898</v>
      </c>
    </row>
    <row r="10494">
      <c r="C10494" t="s">
        <v>898</v>
      </c>
    </row>
    <row r="10495">
      <c r="C10495" t="s">
        <v>898</v>
      </c>
    </row>
    <row r="10496">
      <c r="C10496" t="s">
        <v>898</v>
      </c>
    </row>
    <row r="10497">
      <c r="C10497" t="s">
        <v>898</v>
      </c>
    </row>
    <row r="10498">
      <c r="C10498" t="s">
        <v>898</v>
      </c>
    </row>
    <row r="10499">
      <c r="C10499" t="s">
        <v>898</v>
      </c>
    </row>
    <row r="10500">
      <c r="C10500" t="s">
        <v>898</v>
      </c>
    </row>
    <row r="10501">
      <c r="C10501" t="s">
        <v>898</v>
      </c>
    </row>
    <row r="10502">
      <c r="C10502" t="s">
        <v>898</v>
      </c>
    </row>
    <row r="10503">
      <c r="C10503" t="s">
        <v>898</v>
      </c>
    </row>
    <row r="10504">
      <c r="C10504" t="s">
        <v>898</v>
      </c>
    </row>
    <row r="10505">
      <c r="C10505" t="s">
        <v>898</v>
      </c>
    </row>
    <row r="10506">
      <c r="C10506" t="s">
        <v>898</v>
      </c>
    </row>
    <row r="10507">
      <c r="C10507" t="s">
        <v>898</v>
      </c>
    </row>
    <row r="10508">
      <c r="C10508" t="s">
        <v>898</v>
      </c>
    </row>
    <row r="10509">
      <c r="C10509" t="s">
        <v>898</v>
      </c>
    </row>
    <row r="10510">
      <c r="C10510" t="s">
        <v>898</v>
      </c>
    </row>
    <row r="10511">
      <c r="C10511" t="s">
        <v>898</v>
      </c>
    </row>
    <row r="10512">
      <c r="C10512" t="s">
        <v>898</v>
      </c>
    </row>
    <row r="10513">
      <c r="C10513" t="s">
        <v>898</v>
      </c>
    </row>
    <row r="10514">
      <c r="C10514" t="s">
        <v>898</v>
      </c>
    </row>
    <row r="10515">
      <c r="C10515" t="s">
        <v>898</v>
      </c>
    </row>
    <row r="10516">
      <c r="C10516" t="s">
        <v>898</v>
      </c>
    </row>
    <row r="10517">
      <c r="C10517" t="s">
        <v>898</v>
      </c>
    </row>
    <row r="10518">
      <c r="C10518" t="s">
        <v>898</v>
      </c>
    </row>
    <row r="10519">
      <c r="C10519" t="s">
        <v>898</v>
      </c>
    </row>
    <row r="10520">
      <c r="C10520" t="s">
        <v>898</v>
      </c>
    </row>
    <row r="10521">
      <c r="C10521" t="s">
        <v>898</v>
      </c>
    </row>
    <row r="10522">
      <c r="C10522" t="s">
        <v>898</v>
      </c>
    </row>
    <row r="10523">
      <c r="C10523" t="s">
        <v>898</v>
      </c>
    </row>
    <row r="10524">
      <c r="C10524" t="s">
        <v>898</v>
      </c>
    </row>
    <row r="10525">
      <c r="C10525" t="s">
        <v>898</v>
      </c>
    </row>
    <row r="10526">
      <c r="C10526" t="s">
        <v>898</v>
      </c>
    </row>
    <row r="10527">
      <c r="C10527" t="s">
        <v>898</v>
      </c>
    </row>
    <row r="10528">
      <c r="C10528" t="s">
        <v>898</v>
      </c>
    </row>
    <row r="10529">
      <c r="C10529" t="s">
        <v>898</v>
      </c>
    </row>
    <row r="10530">
      <c r="C10530" t="s">
        <v>898</v>
      </c>
    </row>
    <row r="10531">
      <c r="C10531" t="s">
        <v>898</v>
      </c>
    </row>
    <row r="10532">
      <c r="C10532" t="s">
        <v>898</v>
      </c>
    </row>
    <row r="10533">
      <c r="C10533" t="s">
        <v>898</v>
      </c>
    </row>
    <row r="10534">
      <c r="C10534" t="s">
        <v>898</v>
      </c>
    </row>
    <row r="10535">
      <c r="C10535" t="s">
        <v>898</v>
      </c>
    </row>
    <row r="10536">
      <c r="C10536" t="s">
        <v>898</v>
      </c>
    </row>
    <row r="10537">
      <c r="C10537" t="s">
        <v>898</v>
      </c>
    </row>
    <row r="10538">
      <c r="C10538" t="s">
        <v>898</v>
      </c>
    </row>
    <row r="10539">
      <c r="C10539" t="s">
        <v>898</v>
      </c>
    </row>
    <row r="10540">
      <c r="C10540" t="s">
        <v>898</v>
      </c>
    </row>
    <row r="10541">
      <c r="C10541" t="s">
        <v>898</v>
      </c>
    </row>
    <row r="10542">
      <c r="C10542" t="s">
        <v>898</v>
      </c>
    </row>
    <row r="10543">
      <c r="C10543" t="s">
        <v>898</v>
      </c>
    </row>
    <row r="10544">
      <c r="C10544" t="s">
        <v>898</v>
      </c>
    </row>
    <row r="10545">
      <c r="C10545" t="s">
        <v>898</v>
      </c>
    </row>
    <row r="10546">
      <c r="C10546" t="s">
        <v>898</v>
      </c>
    </row>
    <row r="10547">
      <c r="C10547" t="s">
        <v>898</v>
      </c>
    </row>
    <row r="10548">
      <c r="C10548" t="s">
        <v>898</v>
      </c>
    </row>
    <row r="10549">
      <c r="C10549" t="s">
        <v>898</v>
      </c>
    </row>
    <row r="10550">
      <c r="C10550" t="s">
        <v>898</v>
      </c>
    </row>
    <row r="10551">
      <c r="C10551" t="s">
        <v>898</v>
      </c>
    </row>
    <row r="10552">
      <c r="C10552" t="s">
        <v>898</v>
      </c>
    </row>
    <row r="10553">
      <c r="C10553" t="s">
        <v>898</v>
      </c>
    </row>
    <row r="10554">
      <c r="C10554" t="s">
        <v>898</v>
      </c>
    </row>
    <row r="10555">
      <c r="C10555" t="s">
        <v>898</v>
      </c>
    </row>
    <row r="10556">
      <c r="C10556" t="s">
        <v>898</v>
      </c>
    </row>
    <row r="10557">
      <c r="C10557" t="s">
        <v>898</v>
      </c>
    </row>
    <row r="10558">
      <c r="C10558" t="s">
        <v>898</v>
      </c>
    </row>
    <row r="10559">
      <c r="C10559" t="s">
        <v>898</v>
      </c>
    </row>
    <row r="10560">
      <c r="C10560" t="s">
        <v>898</v>
      </c>
    </row>
    <row r="10561">
      <c r="C10561" t="s">
        <v>898</v>
      </c>
    </row>
    <row r="10562">
      <c r="C10562" t="s">
        <v>898</v>
      </c>
    </row>
    <row r="10563">
      <c r="C10563" t="s">
        <v>898</v>
      </c>
    </row>
    <row r="10564">
      <c r="C10564" t="s">
        <v>898</v>
      </c>
    </row>
    <row r="10565">
      <c r="C10565" t="s">
        <v>898</v>
      </c>
    </row>
    <row r="10566">
      <c r="C10566" t="s">
        <v>898</v>
      </c>
    </row>
    <row r="10567">
      <c r="C10567" t="s">
        <v>898</v>
      </c>
    </row>
    <row r="10568">
      <c r="C10568" t="s">
        <v>898</v>
      </c>
    </row>
    <row r="10569">
      <c r="C10569" t="s">
        <v>898</v>
      </c>
    </row>
    <row r="10570">
      <c r="C10570" t="s">
        <v>898</v>
      </c>
    </row>
    <row r="10571">
      <c r="C10571" t="s">
        <v>898</v>
      </c>
    </row>
    <row r="10572">
      <c r="C10572" t="s">
        <v>898</v>
      </c>
    </row>
    <row r="10573">
      <c r="C10573" t="s">
        <v>898</v>
      </c>
    </row>
    <row r="10574">
      <c r="C10574" t="s">
        <v>898</v>
      </c>
    </row>
    <row r="10575">
      <c r="C10575" t="s">
        <v>898</v>
      </c>
    </row>
    <row r="10576">
      <c r="C10576" t="s">
        <v>898</v>
      </c>
    </row>
    <row r="10577">
      <c r="C10577" t="s">
        <v>898</v>
      </c>
    </row>
    <row r="10578">
      <c r="C10578" t="s">
        <v>898</v>
      </c>
    </row>
    <row r="10579">
      <c r="C10579" t="s">
        <v>898</v>
      </c>
    </row>
    <row r="10580">
      <c r="C10580" t="s">
        <v>898</v>
      </c>
    </row>
    <row r="10581">
      <c r="C10581" t="s">
        <v>898</v>
      </c>
    </row>
    <row r="10582">
      <c r="C10582" t="s">
        <v>898</v>
      </c>
    </row>
    <row r="10583">
      <c r="C10583" t="s">
        <v>898</v>
      </c>
    </row>
    <row r="10584">
      <c r="C10584" t="s">
        <v>898</v>
      </c>
    </row>
    <row r="10585">
      <c r="C10585" t="s">
        <v>898</v>
      </c>
    </row>
    <row r="10586">
      <c r="C10586" t="s">
        <v>898</v>
      </c>
    </row>
    <row r="10587">
      <c r="C10587" t="s">
        <v>898</v>
      </c>
    </row>
    <row r="10588">
      <c r="C10588" t="s">
        <v>898</v>
      </c>
    </row>
    <row r="10589">
      <c r="C10589" t="s">
        <v>898</v>
      </c>
    </row>
    <row r="10590">
      <c r="C10590" t="s">
        <v>898</v>
      </c>
    </row>
    <row r="10591">
      <c r="C10591" t="s">
        <v>898</v>
      </c>
    </row>
    <row r="10592">
      <c r="C10592" t="s">
        <v>898</v>
      </c>
    </row>
    <row r="10593">
      <c r="C10593" t="s">
        <v>898</v>
      </c>
    </row>
    <row r="10594">
      <c r="C10594" t="s">
        <v>898</v>
      </c>
    </row>
    <row r="10595">
      <c r="C10595" t="s">
        <v>898</v>
      </c>
    </row>
    <row r="10596">
      <c r="C10596" t="s">
        <v>898</v>
      </c>
    </row>
    <row r="10597">
      <c r="C10597" t="s">
        <v>898</v>
      </c>
    </row>
    <row r="10598">
      <c r="C10598" t="s">
        <v>898</v>
      </c>
    </row>
    <row r="10599">
      <c r="C10599" t="s">
        <v>898</v>
      </c>
    </row>
    <row r="10600">
      <c r="C10600" t="s">
        <v>898</v>
      </c>
    </row>
    <row r="10601">
      <c r="C10601" t="s">
        <v>898</v>
      </c>
    </row>
    <row r="10602">
      <c r="C10602" t="s">
        <v>898</v>
      </c>
    </row>
    <row r="10603">
      <c r="C10603" t="s">
        <v>898</v>
      </c>
    </row>
    <row r="10604">
      <c r="C10604" t="s">
        <v>898</v>
      </c>
    </row>
    <row r="10605">
      <c r="C10605" t="s">
        <v>898</v>
      </c>
    </row>
    <row r="10606">
      <c r="C10606" t="s">
        <v>898</v>
      </c>
    </row>
    <row r="10607">
      <c r="C10607" t="s">
        <v>898</v>
      </c>
    </row>
    <row r="10608">
      <c r="C10608" t="s">
        <v>898</v>
      </c>
    </row>
    <row r="10609">
      <c r="C10609" t="s">
        <v>898</v>
      </c>
    </row>
    <row r="10610">
      <c r="C10610" t="s">
        <v>898</v>
      </c>
    </row>
    <row r="10611">
      <c r="C10611" t="s">
        <v>898</v>
      </c>
    </row>
    <row r="10612">
      <c r="C10612" t="s">
        <v>898</v>
      </c>
    </row>
    <row r="10613">
      <c r="C10613" t="s">
        <v>898</v>
      </c>
    </row>
    <row r="10614">
      <c r="C10614" t="s">
        <v>898</v>
      </c>
    </row>
    <row r="10615">
      <c r="C10615" t="s">
        <v>898</v>
      </c>
    </row>
    <row r="10616">
      <c r="C10616" t="s">
        <v>898</v>
      </c>
    </row>
    <row r="10617">
      <c r="C10617" t="s">
        <v>898</v>
      </c>
    </row>
    <row r="10618">
      <c r="C10618" t="s">
        <v>898</v>
      </c>
    </row>
    <row r="10619">
      <c r="C10619" t="s">
        <v>898</v>
      </c>
    </row>
    <row r="10620">
      <c r="C10620" t="s">
        <v>898</v>
      </c>
    </row>
    <row r="10621">
      <c r="C10621" t="s">
        <v>898</v>
      </c>
    </row>
    <row r="10622">
      <c r="C10622" t="s">
        <v>898</v>
      </c>
    </row>
    <row r="10623">
      <c r="C10623" t="s">
        <v>898</v>
      </c>
    </row>
    <row r="10624">
      <c r="C10624" t="s">
        <v>898</v>
      </c>
    </row>
    <row r="10625">
      <c r="C10625" t="s">
        <v>898</v>
      </c>
    </row>
    <row r="10626">
      <c r="C10626" t="s">
        <v>898</v>
      </c>
    </row>
    <row r="10627">
      <c r="C10627" t="s">
        <v>898</v>
      </c>
    </row>
    <row r="10628">
      <c r="C10628" t="s">
        <v>898</v>
      </c>
    </row>
    <row r="10629">
      <c r="C10629" t="s">
        <v>898</v>
      </c>
    </row>
    <row r="10630">
      <c r="C10630" t="s">
        <v>898</v>
      </c>
    </row>
    <row r="10631">
      <c r="C10631" t="s">
        <v>898</v>
      </c>
    </row>
    <row r="10632">
      <c r="C10632" t="s">
        <v>898</v>
      </c>
    </row>
    <row r="10633">
      <c r="C10633" t="s">
        <v>898</v>
      </c>
    </row>
    <row r="10634">
      <c r="C10634" t="s">
        <v>898</v>
      </c>
    </row>
    <row r="10635">
      <c r="C10635" t="s">
        <v>898</v>
      </c>
    </row>
    <row r="10636">
      <c r="C10636" t="s">
        <v>898</v>
      </c>
    </row>
    <row r="10637">
      <c r="C10637" t="s">
        <v>898</v>
      </c>
    </row>
    <row r="10638">
      <c r="C10638" t="s">
        <v>898</v>
      </c>
    </row>
    <row r="10639">
      <c r="C10639" t="s">
        <v>898</v>
      </c>
    </row>
    <row r="10640">
      <c r="C10640" t="s">
        <v>898</v>
      </c>
    </row>
    <row r="10641">
      <c r="C10641" t="s">
        <v>898</v>
      </c>
    </row>
    <row r="10642">
      <c r="C10642" t="s">
        <v>898</v>
      </c>
    </row>
    <row r="10643">
      <c r="C10643" t="s">
        <v>898</v>
      </c>
    </row>
    <row r="10644">
      <c r="C10644" t="s">
        <v>898</v>
      </c>
    </row>
    <row r="10645">
      <c r="C10645" t="s">
        <v>898</v>
      </c>
    </row>
    <row r="10646">
      <c r="C10646" t="s">
        <v>898</v>
      </c>
    </row>
    <row r="10647">
      <c r="C10647" t="s">
        <v>898</v>
      </c>
    </row>
    <row r="10648">
      <c r="C10648" t="s">
        <v>898</v>
      </c>
    </row>
    <row r="10649">
      <c r="C10649" t="s">
        <v>898</v>
      </c>
    </row>
    <row r="10650">
      <c r="C10650" t="s">
        <v>898</v>
      </c>
    </row>
    <row r="10651">
      <c r="C10651" t="s">
        <v>898</v>
      </c>
    </row>
    <row r="10652">
      <c r="C10652" t="s">
        <v>898</v>
      </c>
    </row>
    <row r="10653">
      <c r="C10653" t="s">
        <v>898</v>
      </c>
    </row>
    <row r="10654">
      <c r="C10654" t="s">
        <v>898</v>
      </c>
    </row>
    <row r="10655">
      <c r="C10655" t="s">
        <v>898</v>
      </c>
    </row>
    <row r="10656">
      <c r="C10656" t="s">
        <v>898</v>
      </c>
    </row>
    <row r="10657">
      <c r="C10657" t="s">
        <v>898</v>
      </c>
    </row>
    <row r="10658">
      <c r="C10658" t="s">
        <v>898</v>
      </c>
    </row>
    <row r="10659">
      <c r="C10659" t="s">
        <v>898</v>
      </c>
    </row>
    <row r="10660">
      <c r="C10660" t="s">
        <v>898</v>
      </c>
    </row>
    <row r="10661">
      <c r="C10661" t="s">
        <v>898</v>
      </c>
    </row>
    <row r="10662">
      <c r="C10662" t="s">
        <v>898</v>
      </c>
    </row>
    <row r="10663">
      <c r="C10663" t="s">
        <v>898</v>
      </c>
    </row>
    <row r="10664">
      <c r="C10664" t="s">
        <v>898</v>
      </c>
    </row>
    <row r="10665">
      <c r="C10665" t="s">
        <v>898</v>
      </c>
    </row>
    <row r="10666">
      <c r="C10666" t="s">
        <v>898</v>
      </c>
    </row>
    <row r="10667">
      <c r="C10667" t="s">
        <v>898</v>
      </c>
    </row>
    <row r="10668">
      <c r="C10668" t="s">
        <v>898</v>
      </c>
    </row>
    <row r="10669">
      <c r="C10669" t="s">
        <v>898</v>
      </c>
    </row>
    <row r="10670">
      <c r="C10670" t="s">
        <v>898</v>
      </c>
    </row>
    <row r="10671">
      <c r="C10671" t="s">
        <v>898</v>
      </c>
    </row>
    <row r="10672">
      <c r="C10672" t="s">
        <v>898</v>
      </c>
    </row>
    <row r="10673">
      <c r="C10673" t="s">
        <v>898</v>
      </c>
    </row>
    <row r="10674">
      <c r="C10674" t="s">
        <v>898</v>
      </c>
    </row>
    <row r="10675">
      <c r="C10675" t="s">
        <v>898</v>
      </c>
    </row>
    <row r="10676">
      <c r="C10676" t="s">
        <v>898</v>
      </c>
    </row>
    <row r="10677">
      <c r="C10677" t="s">
        <v>898</v>
      </c>
    </row>
    <row r="10678">
      <c r="C10678" t="s">
        <v>898</v>
      </c>
    </row>
    <row r="10679">
      <c r="C10679" t="s">
        <v>898</v>
      </c>
    </row>
    <row r="10680">
      <c r="C10680" t="s">
        <v>898</v>
      </c>
    </row>
    <row r="10681">
      <c r="C10681" t="s">
        <v>898</v>
      </c>
    </row>
    <row r="10682">
      <c r="C10682" t="s">
        <v>898</v>
      </c>
    </row>
    <row r="10683">
      <c r="C10683" t="s">
        <v>898</v>
      </c>
    </row>
    <row r="10684">
      <c r="C10684" t="s">
        <v>898</v>
      </c>
    </row>
    <row r="10685">
      <c r="C10685" t="s">
        <v>898</v>
      </c>
    </row>
    <row r="10686">
      <c r="C10686" t="s">
        <v>898</v>
      </c>
    </row>
    <row r="10687">
      <c r="C10687" t="s">
        <v>898</v>
      </c>
    </row>
    <row r="10688">
      <c r="C10688" t="s">
        <v>898</v>
      </c>
    </row>
    <row r="10689">
      <c r="C10689" t="s">
        <v>898</v>
      </c>
    </row>
    <row r="10690">
      <c r="C10690" t="s">
        <v>898</v>
      </c>
    </row>
    <row r="10691">
      <c r="C10691" t="s">
        <v>898</v>
      </c>
    </row>
    <row r="10692">
      <c r="C10692" t="s">
        <v>898</v>
      </c>
    </row>
    <row r="10693">
      <c r="C10693" t="s">
        <v>898</v>
      </c>
    </row>
    <row r="10694">
      <c r="C10694" t="s">
        <v>898</v>
      </c>
    </row>
    <row r="10695">
      <c r="C10695" t="s">
        <v>898</v>
      </c>
    </row>
    <row r="10696">
      <c r="C10696" t="s">
        <v>898</v>
      </c>
    </row>
    <row r="10697">
      <c r="C10697" t="s">
        <v>898</v>
      </c>
    </row>
    <row r="10698">
      <c r="C10698" t="s">
        <v>898</v>
      </c>
    </row>
    <row r="10699">
      <c r="C10699" t="s">
        <v>898</v>
      </c>
    </row>
    <row r="10700">
      <c r="C10700" t="s">
        <v>898</v>
      </c>
    </row>
    <row r="10701">
      <c r="C10701" t="s">
        <v>898</v>
      </c>
    </row>
    <row r="10702">
      <c r="C10702" t="s">
        <v>898</v>
      </c>
    </row>
    <row r="10703">
      <c r="C10703" t="s">
        <v>898</v>
      </c>
    </row>
    <row r="10704">
      <c r="C10704" t="s">
        <v>898</v>
      </c>
    </row>
    <row r="10705">
      <c r="C10705" t="s">
        <v>898</v>
      </c>
    </row>
    <row r="10706">
      <c r="C10706" t="s">
        <v>898</v>
      </c>
    </row>
    <row r="10707">
      <c r="C10707" t="s">
        <v>898</v>
      </c>
    </row>
    <row r="10708">
      <c r="C10708" t="s">
        <v>898</v>
      </c>
    </row>
    <row r="10709">
      <c r="C10709" t="s">
        <v>898</v>
      </c>
    </row>
    <row r="10710">
      <c r="C10710" t="s">
        <v>898</v>
      </c>
    </row>
    <row r="10711">
      <c r="C10711" t="s">
        <v>898</v>
      </c>
    </row>
    <row r="10712">
      <c r="C10712" t="s">
        <v>898</v>
      </c>
    </row>
    <row r="10713">
      <c r="C10713" t="s">
        <v>898</v>
      </c>
    </row>
    <row r="10714">
      <c r="C10714" t="s">
        <v>898</v>
      </c>
    </row>
    <row r="10715">
      <c r="C10715" t="s">
        <v>898</v>
      </c>
    </row>
    <row r="10716">
      <c r="C10716" t="s">
        <v>898</v>
      </c>
    </row>
    <row r="10717">
      <c r="C10717" t="s">
        <v>898</v>
      </c>
    </row>
    <row r="10718">
      <c r="C10718" t="s">
        <v>898</v>
      </c>
    </row>
    <row r="10719">
      <c r="C10719" t="s">
        <v>898</v>
      </c>
    </row>
    <row r="10720">
      <c r="C10720" t="s">
        <v>898</v>
      </c>
    </row>
    <row r="10721">
      <c r="C10721" t="s">
        <v>898</v>
      </c>
    </row>
    <row r="10722">
      <c r="C10722" t="s">
        <v>898</v>
      </c>
    </row>
    <row r="10723">
      <c r="C10723" t="s">
        <v>898</v>
      </c>
    </row>
    <row r="10724">
      <c r="C10724" t="s">
        <v>898</v>
      </c>
    </row>
    <row r="10725">
      <c r="C10725" t="s">
        <v>898</v>
      </c>
    </row>
    <row r="10726">
      <c r="C10726" t="s">
        <v>898</v>
      </c>
    </row>
    <row r="10727">
      <c r="C10727" t="s">
        <v>898</v>
      </c>
    </row>
    <row r="10728">
      <c r="C10728" t="s">
        <v>898</v>
      </c>
    </row>
    <row r="10729">
      <c r="C10729" t="s">
        <v>898</v>
      </c>
    </row>
    <row r="10730">
      <c r="C10730" t="s">
        <v>898</v>
      </c>
    </row>
    <row r="10731">
      <c r="C10731" t="s">
        <v>898</v>
      </c>
    </row>
    <row r="10732">
      <c r="C10732" t="s">
        <v>898</v>
      </c>
    </row>
    <row r="10733">
      <c r="C10733" t="s">
        <v>898</v>
      </c>
    </row>
    <row r="10734">
      <c r="C10734" t="s">
        <v>898</v>
      </c>
    </row>
    <row r="10735">
      <c r="C10735" t="s">
        <v>898</v>
      </c>
    </row>
    <row r="10736">
      <c r="C10736" t="s">
        <v>898</v>
      </c>
    </row>
    <row r="10737">
      <c r="C10737" t="s">
        <v>898</v>
      </c>
    </row>
    <row r="10738">
      <c r="C10738" t="s">
        <v>898</v>
      </c>
    </row>
    <row r="10739">
      <c r="C10739" t="s">
        <v>898</v>
      </c>
    </row>
    <row r="10740">
      <c r="C10740" t="s">
        <v>898</v>
      </c>
    </row>
    <row r="10741">
      <c r="C10741" t="s">
        <v>898</v>
      </c>
    </row>
    <row r="10742">
      <c r="C10742" t="s">
        <v>898</v>
      </c>
    </row>
    <row r="10743">
      <c r="C10743" t="s">
        <v>898</v>
      </c>
    </row>
    <row r="10744">
      <c r="C10744" t="s">
        <v>898</v>
      </c>
    </row>
    <row r="10745">
      <c r="C10745" t="s">
        <v>898</v>
      </c>
    </row>
    <row r="10746">
      <c r="C10746" t="s">
        <v>898</v>
      </c>
    </row>
    <row r="10747">
      <c r="C10747" t="s">
        <v>898</v>
      </c>
    </row>
    <row r="10748">
      <c r="C10748" t="s">
        <v>898</v>
      </c>
    </row>
    <row r="10749">
      <c r="C10749" t="s">
        <v>898</v>
      </c>
    </row>
    <row r="10750">
      <c r="C10750" t="s">
        <v>898</v>
      </c>
    </row>
    <row r="10751">
      <c r="C10751" t="s">
        <v>898</v>
      </c>
    </row>
    <row r="10752">
      <c r="C10752" t="s">
        <v>898</v>
      </c>
    </row>
    <row r="10753">
      <c r="C10753" t="s">
        <v>898</v>
      </c>
    </row>
    <row r="10754">
      <c r="C10754" t="s">
        <v>898</v>
      </c>
    </row>
    <row r="10755">
      <c r="C10755" t="s">
        <v>898</v>
      </c>
    </row>
    <row r="10756">
      <c r="C10756" t="s">
        <v>898</v>
      </c>
    </row>
    <row r="10757">
      <c r="C10757" t="s">
        <v>898</v>
      </c>
    </row>
    <row r="10758">
      <c r="C10758" t="s">
        <v>898</v>
      </c>
    </row>
    <row r="10759">
      <c r="C10759" t="s">
        <v>898</v>
      </c>
    </row>
    <row r="10760">
      <c r="C10760" t="s">
        <v>898</v>
      </c>
    </row>
    <row r="10761">
      <c r="C10761" t="s">
        <v>898</v>
      </c>
    </row>
    <row r="10762">
      <c r="C10762" t="s">
        <v>898</v>
      </c>
    </row>
    <row r="10763">
      <c r="C10763" t="s">
        <v>898</v>
      </c>
    </row>
    <row r="10764">
      <c r="C10764" t="s">
        <v>898</v>
      </c>
    </row>
    <row r="10765">
      <c r="C10765" t="s">
        <v>898</v>
      </c>
    </row>
    <row r="10766">
      <c r="C10766" t="s">
        <v>898</v>
      </c>
    </row>
    <row r="10767">
      <c r="C10767" t="s">
        <v>898</v>
      </c>
    </row>
    <row r="10768">
      <c r="C10768" t="s">
        <v>898</v>
      </c>
    </row>
    <row r="10769">
      <c r="C10769" t="s">
        <v>898</v>
      </c>
    </row>
    <row r="10770">
      <c r="C10770" t="s">
        <v>898</v>
      </c>
    </row>
    <row r="10771">
      <c r="C10771" t="s">
        <v>898</v>
      </c>
    </row>
    <row r="10772">
      <c r="C10772" t="s">
        <v>898</v>
      </c>
    </row>
    <row r="10773">
      <c r="C10773" t="s">
        <v>898</v>
      </c>
    </row>
    <row r="10774">
      <c r="C10774" t="s">
        <v>898</v>
      </c>
    </row>
    <row r="10775">
      <c r="C10775" t="s">
        <v>898</v>
      </c>
    </row>
    <row r="10776">
      <c r="C10776" t="s">
        <v>898</v>
      </c>
    </row>
    <row r="10777">
      <c r="C10777" t="s">
        <v>898</v>
      </c>
    </row>
    <row r="10778">
      <c r="C10778" t="s">
        <v>898</v>
      </c>
    </row>
    <row r="10779">
      <c r="C10779" t="s">
        <v>898</v>
      </c>
    </row>
    <row r="10780">
      <c r="C10780" t="s">
        <v>898</v>
      </c>
    </row>
    <row r="10781">
      <c r="C10781" t="s">
        <v>898</v>
      </c>
    </row>
    <row r="10782">
      <c r="C10782" t="s">
        <v>898</v>
      </c>
    </row>
    <row r="10783">
      <c r="C10783" t="s">
        <v>898</v>
      </c>
    </row>
    <row r="10784">
      <c r="C10784" t="s">
        <v>898</v>
      </c>
    </row>
    <row r="10785">
      <c r="C10785" t="s">
        <v>898</v>
      </c>
    </row>
    <row r="10786">
      <c r="C10786" t="s">
        <v>898</v>
      </c>
    </row>
    <row r="10787">
      <c r="C10787" t="s">
        <v>898</v>
      </c>
    </row>
    <row r="10788">
      <c r="C10788" t="s">
        <v>898</v>
      </c>
    </row>
    <row r="10789">
      <c r="C10789" t="s">
        <v>898</v>
      </c>
    </row>
    <row r="10790">
      <c r="C10790" t="s">
        <v>898</v>
      </c>
    </row>
    <row r="10791">
      <c r="C10791" t="s">
        <v>898</v>
      </c>
    </row>
    <row r="10792">
      <c r="C10792" t="s">
        <v>898</v>
      </c>
    </row>
    <row r="10793">
      <c r="C10793" t="s">
        <v>898</v>
      </c>
    </row>
    <row r="10794">
      <c r="C10794" t="s">
        <v>898</v>
      </c>
    </row>
    <row r="10795">
      <c r="C10795" t="s">
        <v>898</v>
      </c>
    </row>
    <row r="10796">
      <c r="C10796" t="s">
        <v>898</v>
      </c>
    </row>
    <row r="10797">
      <c r="C10797" t="s">
        <v>898</v>
      </c>
    </row>
    <row r="10798">
      <c r="C10798" t="s">
        <v>898</v>
      </c>
    </row>
    <row r="10799">
      <c r="C10799" t="s">
        <v>898</v>
      </c>
    </row>
    <row r="10800">
      <c r="C10800" t="s">
        <v>898</v>
      </c>
    </row>
    <row r="10801">
      <c r="C10801" t="s">
        <v>898</v>
      </c>
    </row>
    <row r="10802">
      <c r="C10802" t="s">
        <v>898</v>
      </c>
    </row>
    <row r="10803">
      <c r="C10803" t="s">
        <v>898</v>
      </c>
    </row>
    <row r="10804">
      <c r="C10804" t="s">
        <v>898</v>
      </c>
    </row>
    <row r="10805">
      <c r="C10805" t="s">
        <v>898</v>
      </c>
    </row>
    <row r="10806">
      <c r="C10806" t="s">
        <v>898</v>
      </c>
    </row>
    <row r="10807">
      <c r="C10807" t="s">
        <v>898</v>
      </c>
    </row>
    <row r="10808">
      <c r="C10808" t="s">
        <v>898</v>
      </c>
    </row>
    <row r="10809">
      <c r="C10809" t="s">
        <v>898</v>
      </c>
    </row>
    <row r="10810">
      <c r="C10810" t="s">
        <v>898</v>
      </c>
    </row>
    <row r="10811">
      <c r="C10811" t="s">
        <v>898</v>
      </c>
    </row>
    <row r="10812">
      <c r="C10812" t="s">
        <v>898</v>
      </c>
    </row>
    <row r="10813">
      <c r="C10813" t="s">
        <v>898</v>
      </c>
    </row>
    <row r="10814">
      <c r="C10814" t="s">
        <v>898</v>
      </c>
    </row>
    <row r="10815">
      <c r="C10815" t="s">
        <v>898</v>
      </c>
    </row>
    <row r="10816">
      <c r="C10816" t="s">
        <v>898</v>
      </c>
    </row>
    <row r="10817">
      <c r="C10817" t="s">
        <v>898</v>
      </c>
    </row>
    <row r="10818">
      <c r="C10818" t="s">
        <v>898</v>
      </c>
    </row>
    <row r="10819">
      <c r="C10819" t="s">
        <v>898</v>
      </c>
    </row>
    <row r="10820">
      <c r="C10820" t="s">
        <v>898</v>
      </c>
    </row>
    <row r="10821">
      <c r="C10821" t="s">
        <v>898</v>
      </c>
    </row>
    <row r="10822">
      <c r="C10822" t="s">
        <v>898</v>
      </c>
    </row>
    <row r="10823">
      <c r="C10823" t="s">
        <v>898</v>
      </c>
    </row>
    <row r="10824">
      <c r="C10824" t="s">
        <v>898</v>
      </c>
    </row>
    <row r="10825">
      <c r="C10825" t="s">
        <v>898</v>
      </c>
    </row>
    <row r="10826">
      <c r="C10826" t="s">
        <v>898</v>
      </c>
    </row>
    <row r="10827">
      <c r="C10827" t="s">
        <v>898</v>
      </c>
    </row>
    <row r="10828">
      <c r="C10828" t="s">
        <v>898</v>
      </c>
    </row>
    <row r="10829">
      <c r="C10829" t="s">
        <v>898</v>
      </c>
    </row>
    <row r="10830">
      <c r="C10830" t="s">
        <v>898</v>
      </c>
    </row>
    <row r="10831">
      <c r="C10831" t="s">
        <v>898</v>
      </c>
    </row>
    <row r="10832">
      <c r="C10832" t="s">
        <v>898</v>
      </c>
    </row>
    <row r="10833">
      <c r="C10833" t="s">
        <v>898</v>
      </c>
    </row>
    <row r="10834">
      <c r="C10834" t="s">
        <v>898</v>
      </c>
    </row>
    <row r="10835">
      <c r="C10835" t="s">
        <v>898</v>
      </c>
    </row>
    <row r="10836">
      <c r="C10836" t="s">
        <v>898</v>
      </c>
    </row>
    <row r="10837">
      <c r="C10837" t="s">
        <v>898</v>
      </c>
    </row>
    <row r="10838">
      <c r="C10838" t="s">
        <v>898</v>
      </c>
    </row>
    <row r="10839">
      <c r="C10839" t="s">
        <v>898</v>
      </c>
    </row>
    <row r="10840">
      <c r="C10840" t="s">
        <v>898</v>
      </c>
    </row>
    <row r="10841">
      <c r="C10841" t="s">
        <v>898</v>
      </c>
    </row>
    <row r="10842">
      <c r="C10842" t="s">
        <v>898</v>
      </c>
    </row>
    <row r="10843">
      <c r="C10843" t="s">
        <v>898</v>
      </c>
    </row>
    <row r="10844">
      <c r="C10844" t="s">
        <v>898</v>
      </c>
    </row>
    <row r="10845">
      <c r="C10845" t="s">
        <v>898</v>
      </c>
    </row>
    <row r="10846">
      <c r="C10846" t="s">
        <v>898</v>
      </c>
    </row>
    <row r="10847">
      <c r="C10847" t="s">
        <v>898</v>
      </c>
    </row>
    <row r="10848">
      <c r="C10848" t="s">
        <v>898</v>
      </c>
    </row>
    <row r="10849">
      <c r="C10849" t="s">
        <v>898</v>
      </c>
    </row>
    <row r="10850">
      <c r="C10850" t="s">
        <v>898</v>
      </c>
    </row>
    <row r="10851">
      <c r="C10851" t="s">
        <v>898</v>
      </c>
    </row>
    <row r="10852">
      <c r="C10852" t="s">
        <v>898</v>
      </c>
    </row>
    <row r="10853">
      <c r="C10853" t="s">
        <v>898</v>
      </c>
    </row>
    <row r="10854">
      <c r="C10854" t="s">
        <v>898</v>
      </c>
    </row>
    <row r="10855">
      <c r="C10855" t="s">
        <v>898</v>
      </c>
    </row>
    <row r="10856">
      <c r="C10856" t="s">
        <v>898</v>
      </c>
    </row>
    <row r="10857">
      <c r="C10857" t="s">
        <v>898</v>
      </c>
    </row>
    <row r="10858">
      <c r="C10858" t="s">
        <v>898</v>
      </c>
    </row>
    <row r="10859">
      <c r="C10859" t="s">
        <v>898</v>
      </c>
    </row>
    <row r="10860">
      <c r="C10860" t="s">
        <v>898</v>
      </c>
    </row>
    <row r="10861">
      <c r="C10861" t="s">
        <v>898</v>
      </c>
    </row>
    <row r="10862">
      <c r="C10862" t="s">
        <v>898</v>
      </c>
    </row>
    <row r="10863">
      <c r="C10863" t="s">
        <v>898</v>
      </c>
    </row>
    <row r="10864">
      <c r="C10864" t="s">
        <v>898</v>
      </c>
    </row>
    <row r="10865">
      <c r="C10865" t="s">
        <v>898</v>
      </c>
    </row>
    <row r="10866">
      <c r="C10866" t="s">
        <v>898</v>
      </c>
    </row>
    <row r="10867">
      <c r="C10867" t="s">
        <v>898</v>
      </c>
    </row>
    <row r="10868">
      <c r="C10868" t="s">
        <v>898</v>
      </c>
    </row>
    <row r="10869">
      <c r="C10869" t="s">
        <v>898</v>
      </c>
    </row>
    <row r="10870">
      <c r="C10870" t="s">
        <v>898</v>
      </c>
    </row>
    <row r="10871">
      <c r="C10871" t="s">
        <v>898</v>
      </c>
    </row>
    <row r="10872">
      <c r="C10872" t="s">
        <v>898</v>
      </c>
    </row>
    <row r="10873">
      <c r="C10873" t="s">
        <v>898</v>
      </c>
    </row>
    <row r="10874">
      <c r="C10874" t="s">
        <v>898</v>
      </c>
    </row>
    <row r="10875">
      <c r="C10875" t="s">
        <v>898</v>
      </c>
    </row>
    <row r="10876">
      <c r="C10876" t="s">
        <v>898</v>
      </c>
    </row>
    <row r="10877">
      <c r="C10877" t="s">
        <v>898</v>
      </c>
    </row>
    <row r="10878">
      <c r="C10878" t="s">
        <v>898</v>
      </c>
    </row>
    <row r="10879">
      <c r="C10879" t="s">
        <v>898</v>
      </c>
    </row>
    <row r="10880">
      <c r="C10880" t="s">
        <v>898</v>
      </c>
    </row>
    <row r="10881">
      <c r="C10881" t="s">
        <v>898</v>
      </c>
    </row>
    <row r="10882">
      <c r="C10882" t="s">
        <v>898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0" width="5.5"/>
    <col customWidth="1" min="21" max="33" width="5.5"/>
    <col customWidth="1" hidden="1" min="34" max="48" width="5.5"/>
  </cols>
  <sheetData>
    <row r="1">
      <c r="A1" s="189" t="s">
        <v>902</v>
      </c>
      <c r="B1" s="189" t="s">
        <v>891</v>
      </c>
      <c r="C1" s="190">
        <v>0.25</v>
      </c>
      <c r="D1" s="190">
        <v>0.2708333333333333</v>
      </c>
      <c r="E1" s="190">
        <v>0.2916666666666667</v>
      </c>
      <c r="F1" s="190">
        <v>0.3125</v>
      </c>
      <c r="G1" s="190">
        <v>0.3333333333333333</v>
      </c>
      <c r="H1" s="190">
        <v>0.3541666666666667</v>
      </c>
      <c r="I1" s="190">
        <v>0.375</v>
      </c>
      <c r="J1" s="190">
        <v>0.3958333333333333</v>
      </c>
      <c r="K1" s="190">
        <v>0.4166666666666667</v>
      </c>
      <c r="L1" s="190">
        <v>0.4375</v>
      </c>
      <c r="M1" s="190">
        <v>0.4583333333333333</v>
      </c>
      <c r="N1" s="190">
        <v>0.4791666666666667</v>
      </c>
      <c r="O1" s="190">
        <v>0.5</v>
      </c>
      <c r="P1" s="190">
        <v>0.5208333333333334</v>
      </c>
      <c r="Q1" s="190">
        <v>0.5416666666666666</v>
      </c>
      <c r="R1" s="190">
        <v>0.5625</v>
      </c>
      <c r="S1" s="190">
        <v>0.5833333333333334</v>
      </c>
      <c r="T1" s="190">
        <v>0.6041666666666666</v>
      </c>
      <c r="U1" s="190">
        <v>0.625</v>
      </c>
      <c r="V1" s="190">
        <v>0.6458333333333334</v>
      </c>
      <c r="W1" s="190">
        <v>0.6666666666666666</v>
      </c>
      <c r="X1" s="190">
        <v>0.6875</v>
      </c>
      <c r="Y1" s="190">
        <v>0.7083333333333334</v>
      </c>
      <c r="Z1" s="190">
        <v>0.7291666666666666</v>
      </c>
      <c r="AA1" s="190">
        <v>0.75</v>
      </c>
      <c r="AB1" s="190">
        <v>0.7708333333333334</v>
      </c>
      <c r="AC1" s="190">
        <v>0.7916666666666666</v>
      </c>
      <c r="AD1" s="190">
        <v>0.8125</v>
      </c>
      <c r="AE1" s="190">
        <v>0.8333333333333334</v>
      </c>
      <c r="AF1" s="190">
        <v>0.8541666666666666</v>
      </c>
      <c r="AG1" s="190">
        <v>0.875</v>
      </c>
      <c r="AH1" s="190">
        <v>0.8958333333333334</v>
      </c>
      <c r="AI1" s="190">
        <v>0.9166666666666666</v>
      </c>
      <c r="AJ1" s="190">
        <v>0.9375</v>
      </c>
      <c r="AK1" s="190">
        <v>0.9583333333333334</v>
      </c>
      <c r="AL1" s="190">
        <v>0.9791666666666666</v>
      </c>
      <c r="AM1" s="190">
        <v>0.0</v>
      </c>
      <c r="AN1" s="190">
        <v>0.020833333333333332</v>
      </c>
      <c r="AO1" s="190">
        <v>0.041666666666666664</v>
      </c>
      <c r="AP1" s="190">
        <v>0.0625</v>
      </c>
      <c r="AQ1" s="190">
        <v>0.08333333333333333</v>
      </c>
      <c r="AR1" s="190">
        <v>0.10416666666666667</v>
      </c>
      <c r="AS1" s="191"/>
      <c r="AT1" s="191"/>
      <c r="AU1" s="191"/>
      <c r="AV1" s="191"/>
    </row>
    <row r="2">
      <c r="A2" s="1"/>
      <c r="B2" s="1"/>
      <c r="AB2" s="192"/>
      <c r="AC2" s="192"/>
      <c r="AD2" s="192"/>
      <c r="AE2" s="192"/>
      <c r="AF2" s="192"/>
      <c r="AG2" s="192"/>
    </row>
    <row r="3">
      <c r="A3" s="1"/>
      <c r="B3" s="1"/>
      <c r="V3" s="192"/>
      <c r="W3" s="192"/>
      <c r="X3" s="192"/>
      <c r="Y3" s="192"/>
      <c r="Z3" s="192"/>
      <c r="AA3" s="192"/>
    </row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4" width="5.5"/>
  </cols>
  <sheetData>
    <row r="1">
      <c r="A1" s="189" t="s">
        <v>902</v>
      </c>
      <c r="B1" s="189" t="s">
        <v>891</v>
      </c>
      <c r="C1" s="190">
        <v>0.25</v>
      </c>
      <c r="D1" s="190">
        <v>0.2708333333333333</v>
      </c>
      <c r="E1" s="190">
        <v>0.2916666666666667</v>
      </c>
      <c r="F1" s="190">
        <v>0.3125</v>
      </c>
      <c r="G1" s="190">
        <v>0.3333333333333333</v>
      </c>
      <c r="H1" s="190">
        <v>0.3541666666666667</v>
      </c>
      <c r="I1" s="190">
        <v>0.375</v>
      </c>
      <c r="J1" s="190">
        <v>0.3958333333333333</v>
      </c>
      <c r="K1" s="190">
        <v>0.4166666666666667</v>
      </c>
      <c r="L1" s="190">
        <v>0.4375</v>
      </c>
      <c r="M1" s="190">
        <v>0.4583333333333333</v>
      </c>
      <c r="N1" s="190">
        <v>0.4791666666666667</v>
      </c>
      <c r="O1" s="190">
        <v>0.5</v>
      </c>
      <c r="P1" s="190">
        <v>0.5208333333333334</v>
      </c>
      <c r="Q1" s="190">
        <v>0.5416666666666666</v>
      </c>
      <c r="R1" s="190">
        <v>0.5625</v>
      </c>
      <c r="S1" s="190">
        <v>0.5833333333333334</v>
      </c>
      <c r="T1" s="190">
        <v>0.6041666666666666</v>
      </c>
      <c r="U1" s="190">
        <v>0.625</v>
      </c>
      <c r="V1" s="190">
        <v>0.6458333333333334</v>
      </c>
      <c r="W1" s="190">
        <v>0.6666666666666666</v>
      </c>
      <c r="X1" s="190">
        <v>0.6875</v>
      </c>
      <c r="Y1" s="190">
        <v>0.7083333333333334</v>
      </c>
      <c r="Z1" s="190">
        <v>0.7291666666666666</v>
      </c>
      <c r="AA1" s="190">
        <v>0.75</v>
      </c>
      <c r="AB1" s="190">
        <v>0.7708333333333334</v>
      </c>
      <c r="AC1" s="190">
        <v>0.7916666666666666</v>
      </c>
      <c r="AD1" s="190">
        <v>0.8125</v>
      </c>
      <c r="AE1" s="190">
        <v>0.8333333333333334</v>
      </c>
      <c r="AF1" s="190">
        <v>0.8541666666666666</v>
      </c>
      <c r="AG1" s="190">
        <v>0.875</v>
      </c>
      <c r="AH1" s="190">
        <v>0.8958333333333334</v>
      </c>
      <c r="AI1" s="190">
        <v>0.9166666666666666</v>
      </c>
      <c r="AJ1" s="190">
        <v>0.9375</v>
      </c>
      <c r="AK1" s="190">
        <v>0.9583333333333334</v>
      </c>
      <c r="AL1" s="190">
        <v>0.9791666666666666</v>
      </c>
      <c r="AM1" s="190">
        <v>0.0</v>
      </c>
      <c r="AN1" s="190">
        <v>0.020833333333333332</v>
      </c>
      <c r="AO1" s="190">
        <v>0.041666666666666664</v>
      </c>
      <c r="AP1" s="190">
        <v>0.0625</v>
      </c>
      <c r="AQ1" s="190">
        <v>0.08333333333333333</v>
      </c>
      <c r="AR1" s="190">
        <v>0.10416666666666667</v>
      </c>
    </row>
    <row r="2">
      <c r="A2" s="1"/>
      <c r="B2" s="1"/>
      <c r="AA2" s="192"/>
      <c r="AB2" s="192"/>
      <c r="AC2" s="192"/>
      <c r="AD2" s="192"/>
      <c r="AE2" s="192"/>
      <c r="AF2" s="192"/>
    </row>
    <row r="3">
      <c r="A3" s="1"/>
      <c r="B3" s="1"/>
      <c r="AA3" s="192"/>
      <c r="AB3" s="192"/>
      <c r="AC3" s="192"/>
      <c r="AD3" s="192"/>
      <c r="AE3" s="192"/>
      <c r="AF3" s="192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0.38"/>
    <col customWidth="1" hidden="1" min="3" max="11" width="5.5"/>
    <col customWidth="1" hidden="1" min="12" max="12" width="9.25"/>
    <col customWidth="1" hidden="1" min="13" max="26" width="5.5"/>
    <col customWidth="1" min="27" max="33" width="5.5"/>
    <col customWidth="1" hidden="1" min="34" max="48" width="5.5"/>
  </cols>
  <sheetData>
    <row r="1">
      <c r="A1" s="189" t="s">
        <v>902</v>
      </c>
      <c r="B1" s="189" t="s">
        <v>891</v>
      </c>
      <c r="C1" s="190">
        <v>0.25</v>
      </c>
      <c r="D1" s="190">
        <v>0.2708333333333333</v>
      </c>
      <c r="E1" s="190">
        <v>0.2916666666666667</v>
      </c>
      <c r="F1" s="190">
        <v>0.3125</v>
      </c>
      <c r="G1" s="190">
        <v>0.3333333333333333</v>
      </c>
      <c r="H1" s="190">
        <v>0.3541666666666667</v>
      </c>
      <c r="I1" s="190">
        <v>0.375</v>
      </c>
      <c r="J1" s="190">
        <v>0.3958333333333333</v>
      </c>
      <c r="K1" s="190">
        <v>0.4166666666666667</v>
      </c>
      <c r="L1" s="190">
        <v>0.4375</v>
      </c>
      <c r="M1" s="190">
        <v>0.4583333333333333</v>
      </c>
      <c r="N1" s="190">
        <v>0.4791666666666667</v>
      </c>
      <c r="O1" s="190">
        <v>0.5</v>
      </c>
      <c r="P1" s="190">
        <v>0.5208333333333334</v>
      </c>
      <c r="Q1" s="190">
        <v>0.5416666666666666</v>
      </c>
      <c r="R1" s="190">
        <v>0.5625</v>
      </c>
      <c r="S1" s="190">
        <v>0.5833333333333334</v>
      </c>
      <c r="T1" s="190">
        <v>0.6041666666666666</v>
      </c>
      <c r="U1" s="190">
        <v>0.625</v>
      </c>
      <c r="V1" s="190">
        <v>0.6458333333333334</v>
      </c>
      <c r="W1" s="190">
        <v>0.6666666666666666</v>
      </c>
      <c r="X1" s="190">
        <v>0.6875</v>
      </c>
      <c r="Y1" s="190">
        <v>0.7083333333333334</v>
      </c>
      <c r="Z1" s="190">
        <v>0.7291666666666666</v>
      </c>
      <c r="AA1" s="190">
        <v>0.75</v>
      </c>
      <c r="AB1" s="190">
        <v>0.7708333333333334</v>
      </c>
      <c r="AC1" s="190">
        <v>0.7916666666666666</v>
      </c>
      <c r="AD1" s="190">
        <v>0.8125</v>
      </c>
      <c r="AE1" s="190">
        <v>0.8333333333333334</v>
      </c>
      <c r="AF1" s="190">
        <v>0.8541666666666666</v>
      </c>
      <c r="AG1" s="190">
        <v>0.875</v>
      </c>
      <c r="AH1" s="190">
        <v>0.8958333333333334</v>
      </c>
      <c r="AI1" s="190">
        <v>0.9166666666666666</v>
      </c>
      <c r="AJ1" s="190">
        <v>0.9375</v>
      </c>
      <c r="AK1" s="190">
        <v>0.9583333333333334</v>
      </c>
      <c r="AL1" s="190">
        <v>0.9791666666666666</v>
      </c>
      <c r="AM1" s="190">
        <v>0.0</v>
      </c>
      <c r="AN1" s="190">
        <v>0.020833333333333332</v>
      </c>
      <c r="AO1" s="190">
        <v>0.041666666666666664</v>
      </c>
      <c r="AP1" s="190">
        <v>0.0625</v>
      </c>
      <c r="AQ1" s="190">
        <v>0.08333333333333333</v>
      </c>
      <c r="AR1" s="190">
        <v>0.10416666666666667</v>
      </c>
      <c r="AS1" s="191"/>
      <c r="AT1" s="191"/>
      <c r="AU1" s="191"/>
      <c r="AV1" s="191"/>
    </row>
    <row r="2">
      <c r="A2" s="1"/>
      <c r="B2" s="1"/>
      <c r="AB2" s="193"/>
      <c r="AC2" s="194"/>
      <c r="AD2" s="194"/>
      <c r="AE2" s="194"/>
      <c r="AF2" s="194"/>
      <c r="AG2" s="195"/>
    </row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hidden="1" min="37" max="44" width="5.5"/>
  </cols>
  <sheetData>
    <row r="1">
      <c r="A1" s="189" t="s">
        <v>902</v>
      </c>
      <c r="B1" s="189" t="s">
        <v>891</v>
      </c>
      <c r="C1" s="190">
        <v>0.25</v>
      </c>
      <c r="D1" s="190">
        <v>0.2708333333333333</v>
      </c>
      <c r="E1" s="190">
        <v>0.2916666666666667</v>
      </c>
      <c r="F1" s="190">
        <v>0.3125</v>
      </c>
      <c r="G1" s="190">
        <v>0.3333333333333333</v>
      </c>
      <c r="H1" s="190">
        <v>0.3541666666666667</v>
      </c>
      <c r="I1" s="190">
        <v>0.375</v>
      </c>
      <c r="J1" s="190">
        <v>0.3958333333333333</v>
      </c>
      <c r="K1" s="190">
        <v>0.4166666666666667</v>
      </c>
      <c r="L1" s="190">
        <v>0.4375</v>
      </c>
      <c r="M1" s="190">
        <v>0.4583333333333333</v>
      </c>
      <c r="N1" s="190">
        <v>0.4791666666666667</v>
      </c>
      <c r="O1" s="190">
        <v>0.5</v>
      </c>
      <c r="P1" s="190">
        <v>0.5208333333333334</v>
      </c>
      <c r="Q1" s="190">
        <v>0.5416666666666666</v>
      </c>
      <c r="R1" s="190">
        <v>0.5625</v>
      </c>
      <c r="S1" s="190">
        <v>0.5833333333333334</v>
      </c>
      <c r="T1" s="190">
        <v>0.6041666666666666</v>
      </c>
      <c r="U1" s="190">
        <v>0.625</v>
      </c>
      <c r="V1" s="190">
        <v>0.6458333333333334</v>
      </c>
      <c r="W1" s="190">
        <v>0.6666666666666666</v>
      </c>
      <c r="X1" s="190">
        <v>0.6875</v>
      </c>
      <c r="Y1" s="190">
        <v>0.7083333333333334</v>
      </c>
      <c r="Z1" s="190">
        <v>0.7291666666666666</v>
      </c>
      <c r="AA1" s="190">
        <v>0.75</v>
      </c>
      <c r="AB1" s="190">
        <v>0.7708333333333334</v>
      </c>
      <c r="AC1" s="190">
        <v>0.7916666666666666</v>
      </c>
      <c r="AD1" s="190">
        <v>0.8125</v>
      </c>
      <c r="AE1" s="190">
        <v>0.8333333333333334</v>
      </c>
      <c r="AF1" s="190">
        <v>0.8541666666666666</v>
      </c>
      <c r="AG1" s="190">
        <v>0.875</v>
      </c>
      <c r="AH1" s="190">
        <v>0.8958333333333334</v>
      </c>
      <c r="AI1" s="190">
        <v>0.9166666666666666</v>
      </c>
      <c r="AJ1" s="190">
        <v>0.9375</v>
      </c>
      <c r="AK1" s="190">
        <v>0.9583333333333334</v>
      </c>
      <c r="AL1" s="190">
        <v>0.9791666666666666</v>
      </c>
      <c r="AM1" s="190">
        <v>0.0</v>
      </c>
      <c r="AN1" s="190">
        <v>0.020833333333333332</v>
      </c>
      <c r="AO1" s="190">
        <v>0.041666666666666664</v>
      </c>
      <c r="AP1" s="190">
        <v>0.0625</v>
      </c>
      <c r="AQ1" s="190">
        <v>0.08333333333333333</v>
      </c>
      <c r="AR1" s="190">
        <v>0.10416666666666667</v>
      </c>
    </row>
    <row r="2">
      <c r="A2" s="1"/>
      <c r="B2" s="1"/>
      <c r="M2" s="196"/>
      <c r="N2" s="196"/>
      <c r="O2" s="196"/>
      <c r="P2" s="196"/>
      <c r="Q2" s="196"/>
      <c r="R2" s="196"/>
      <c r="T2" s="196"/>
      <c r="U2" s="196"/>
      <c r="V2" s="196"/>
      <c r="W2" s="196"/>
      <c r="X2" s="196"/>
      <c r="Y2" s="196"/>
      <c r="AB2" s="197"/>
      <c r="AC2" s="198"/>
      <c r="AD2" s="198"/>
      <c r="AE2" s="198"/>
      <c r="AF2" s="198"/>
      <c r="AG2" s="199"/>
    </row>
    <row r="3">
      <c r="A3" s="1"/>
      <c r="B3" s="1"/>
      <c r="AE3" s="196"/>
      <c r="AF3" s="196"/>
      <c r="AG3" s="196"/>
      <c r="AH3" s="196"/>
      <c r="AI3" s="196"/>
      <c r="AJ3" s="196"/>
    </row>
    <row r="4">
      <c r="A4" s="1"/>
      <c r="B4" s="1"/>
      <c r="M4" s="196"/>
      <c r="N4" s="196"/>
      <c r="O4" s="196"/>
      <c r="P4" s="196"/>
      <c r="Q4" s="196"/>
      <c r="R4" s="196"/>
      <c r="U4" s="192"/>
      <c r="V4" s="192"/>
      <c r="W4" s="192"/>
      <c r="X4" s="192"/>
      <c r="Y4" s="192"/>
      <c r="Z4" s="192"/>
    </row>
    <row r="5">
      <c r="A5" s="1"/>
      <c r="B5" s="1"/>
      <c r="AB5" s="196"/>
      <c r="AC5" s="196"/>
      <c r="AD5" s="196"/>
      <c r="AE5" s="196"/>
      <c r="AF5" s="196"/>
      <c r="AG5" s="196"/>
    </row>
    <row r="6">
      <c r="A6" s="1"/>
      <c r="B6" s="1"/>
      <c r="M6" s="196"/>
      <c r="N6" s="196"/>
      <c r="O6" s="196"/>
      <c r="P6" s="196"/>
      <c r="Q6" s="196"/>
      <c r="R6" s="196"/>
      <c r="T6" s="192"/>
      <c r="U6" s="192"/>
      <c r="V6" s="192"/>
      <c r="W6" s="192"/>
      <c r="X6" s="192"/>
      <c r="Y6" s="192"/>
    </row>
    <row r="7">
      <c r="A7" s="1"/>
      <c r="B7" s="1"/>
      <c r="S7" s="192"/>
      <c r="T7" s="192"/>
      <c r="U7" s="192"/>
      <c r="V7" s="192"/>
      <c r="W7" s="192"/>
      <c r="X7" s="192"/>
    </row>
    <row r="8">
      <c r="A8" s="1"/>
      <c r="B8" s="1"/>
      <c r="M8" s="192"/>
      <c r="N8" s="192"/>
      <c r="O8" s="192"/>
      <c r="P8" s="192"/>
      <c r="Q8" s="192"/>
      <c r="R8" s="192"/>
    </row>
    <row r="9">
      <c r="A9" s="1"/>
      <c r="B9" s="1"/>
      <c r="M9" s="193"/>
      <c r="N9" s="194"/>
      <c r="O9" s="194"/>
      <c r="P9" s="194"/>
      <c r="Q9" s="194"/>
      <c r="R9" s="195"/>
      <c r="T9" s="193"/>
      <c r="U9" s="194"/>
      <c r="V9" s="194"/>
      <c r="W9" s="194"/>
      <c r="X9" s="194"/>
      <c r="Y9" s="195"/>
    </row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min="37" max="40" width="5.5"/>
    <col customWidth="1" hidden="1" min="41" max="44" width="5.5"/>
  </cols>
  <sheetData>
    <row r="1">
      <c r="A1" s="189" t="s">
        <v>902</v>
      </c>
      <c r="B1" s="189" t="s">
        <v>891</v>
      </c>
      <c r="C1" s="190">
        <v>0.25</v>
      </c>
      <c r="D1" s="190">
        <v>0.2708333333333333</v>
      </c>
      <c r="E1" s="190">
        <v>0.2916666666666667</v>
      </c>
      <c r="F1" s="190">
        <v>0.3125</v>
      </c>
      <c r="G1" s="190">
        <v>0.3333333333333333</v>
      </c>
      <c r="H1" s="190">
        <v>0.3541666666666667</v>
      </c>
      <c r="I1" s="190">
        <v>0.375</v>
      </c>
      <c r="J1" s="190">
        <v>0.3958333333333333</v>
      </c>
      <c r="K1" s="190">
        <v>0.4166666666666667</v>
      </c>
      <c r="L1" s="190">
        <v>0.4375</v>
      </c>
      <c r="M1" s="190">
        <v>0.4583333333333333</v>
      </c>
      <c r="N1" s="190">
        <v>0.4791666666666667</v>
      </c>
      <c r="O1" s="190">
        <v>0.5</v>
      </c>
      <c r="P1" s="190">
        <v>0.5208333333333334</v>
      </c>
      <c r="Q1" s="190">
        <v>0.5416666666666666</v>
      </c>
      <c r="R1" s="190">
        <v>0.5625</v>
      </c>
      <c r="S1" s="190">
        <v>0.5833333333333334</v>
      </c>
      <c r="T1" s="190">
        <v>0.6041666666666666</v>
      </c>
      <c r="U1" s="190">
        <v>0.625</v>
      </c>
      <c r="V1" s="190">
        <v>0.6458333333333334</v>
      </c>
      <c r="W1" s="190">
        <v>0.6666666666666666</v>
      </c>
      <c r="X1" s="190">
        <v>0.6875</v>
      </c>
      <c r="Y1" s="190">
        <v>0.7083333333333334</v>
      </c>
      <c r="Z1" s="190">
        <v>0.7291666666666666</v>
      </c>
      <c r="AA1" s="190">
        <v>0.75</v>
      </c>
      <c r="AB1" s="190">
        <v>0.7708333333333334</v>
      </c>
      <c r="AC1" s="190">
        <v>0.7916666666666666</v>
      </c>
      <c r="AD1" s="190">
        <v>0.8125</v>
      </c>
      <c r="AE1" s="190">
        <v>0.8333333333333334</v>
      </c>
      <c r="AF1" s="190">
        <v>0.8541666666666666</v>
      </c>
      <c r="AG1" s="190">
        <v>0.875</v>
      </c>
      <c r="AH1" s="190">
        <v>0.8958333333333334</v>
      </c>
      <c r="AI1" s="190">
        <v>0.9166666666666666</v>
      </c>
      <c r="AJ1" s="190">
        <v>0.9375</v>
      </c>
      <c r="AK1" s="190">
        <v>0.9583333333333334</v>
      </c>
      <c r="AL1" s="190">
        <v>0.9791666666666666</v>
      </c>
      <c r="AM1" s="190">
        <v>0.0</v>
      </c>
      <c r="AN1" s="190">
        <v>0.020833333333333332</v>
      </c>
      <c r="AO1" s="190">
        <v>0.041666666666666664</v>
      </c>
      <c r="AP1" s="190">
        <v>0.0625</v>
      </c>
      <c r="AQ1" s="190">
        <v>0.08333333333333333</v>
      </c>
      <c r="AR1" s="190">
        <v>0.10416666666666667</v>
      </c>
    </row>
    <row r="2">
      <c r="A2" s="1"/>
      <c r="B2" s="1"/>
      <c r="M2" s="196"/>
      <c r="N2" s="196"/>
      <c r="O2" s="196"/>
      <c r="P2" s="196"/>
      <c r="Q2" s="196"/>
      <c r="R2" s="196"/>
      <c r="T2" s="196"/>
      <c r="U2" s="196"/>
      <c r="V2" s="196"/>
      <c r="W2" s="196"/>
      <c r="X2" s="196"/>
      <c r="Y2" s="196"/>
      <c r="AB2" s="196"/>
      <c r="AC2" s="196"/>
      <c r="AD2" s="196"/>
      <c r="AE2" s="196"/>
      <c r="AF2" s="196"/>
      <c r="AG2" s="196"/>
    </row>
    <row r="3">
      <c r="A3" s="1"/>
      <c r="B3" s="1"/>
      <c r="M3" s="196"/>
      <c r="N3" s="196"/>
      <c r="O3" s="196"/>
      <c r="P3" s="196"/>
      <c r="Q3" s="196"/>
      <c r="R3" s="196"/>
      <c r="T3" s="196"/>
      <c r="U3" s="196"/>
      <c r="V3" s="196"/>
      <c r="W3" s="196"/>
      <c r="X3" s="196"/>
      <c r="Y3" s="196"/>
      <c r="AB3" s="196"/>
      <c r="AC3" s="196"/>
      <c r="AD3" s="196"/>
      <c r="AE3" s="196"/>
      <c r="AF3" s="196"/>
      <c r="AG3" s="196"/>
    </row>
    <row r="4">
      <c r="A4" s="1"/>
      <c r="B4" s="1"/>
      <c r="T4" s="200"/>
      <c r="U4" s="200"/>
      <c r="V4" s="200"/>
      <c r="W4" s="200"/>
      <c r="X4" s="200"/>
      <c r="Y4" s="200"/>
    </row>
    <row r="5">
      <c r="A5" s="1"/>
      <c r="B5" s="1"/>
      <c r="AB5" s="196"/>
      <c r="AC5" s="196"/>
      <c r="AD5" s="196"/>
      <c r="AE5" s="196"/>
      <c r="AF5" s="196"/>
      <c r="AG5" s="196"/>
    </row>
    <row r="6">
      <c r="A6" s="1"/>
      <c r="B6" s="1"/>
      <c r="M6" s="196"/>
      <c r="N6" s="196"/>
      <c r="O6" s="196"/>
      <c r="P6" s="196"/>
      <c r="Q6" s="196"/>
      <c r="R6" s="196"/>
      <c r="T6" s="197"/>
      <c r="U6" s="198"/>
      <c r="V6" s="198"/>
      <c r="W6" s="198"/>
      <c r="X6" s="198"/>
      <c r="Y6" s="199"/>
      <c r="AA6" s="196"/>
      <c r="AB6" s="196"/>
      <c r="AC6" s="196"/>
      <c r="AD6" s="196"/>
      <c r="AE6" s="196"/>
      <c r="AF6" s="196"/>
      <c r="AH6" s="192"/>
      <c r="AI6" s="192"/>
      <c r="AJ6" s="192"/>
      <c r="AK6" s="192"/>
      <c r="AL6" s="192"/>
      <c r="AM6" s="192"/>
    </row>
    <row r="7">
      <c r="A7" s="1"/>
      <c r="B7" s="1"/>
      <c r="M7" s="196"/>
      <c r="N7" s="196"/>
      <c r="O7" s="196"/>
      <c r="P7" s="196"/>
      <c r="Q7" s="196"/>
      <c r="R7" s="196"/>
      <c r="T7" s="197"/>
      <c r="U7" s="198"/>
      <c r="V7" s="198"/>
      <c r="W7" s="198"/>
      <c r="X7" s="198"/>
      <c r="Y7" s="199"/>
      <c r="AA7" s="196"/>
      <c r="AB7" s="196"/>
      <c r="AC7" s="196"/>
      <c r="AD7" s="196"/>
      <c r="AE7" s="196"/>
      <c r="AF7" s="196"/>
      <c r="AH7" s="192"/>
      <c r="AI7" s="192"/>
      <c r="AJ7" s="192"/>
      <c r="AK7" s="192"/>
      <c r="AL7" s="192"/>
      <c r="AM7" s="192"/>
    </row>
    <row r="8">
      <c r="A8" s="1"/>
      <c r="B8" s="1"/>
      <c r="T8" s="196"/>
      <c r="U8" s="196"/>
      <c r="V8" s="196"/>
      <c r="W8" s="196"/>
      <c r="X8" s="196"/>
      <c r="Y8" s="196"/>
    </row>
    <row r="9">
      <c r="A9" s="1"/>
      <c r="B9" s="1"/>
      <c r="O9" s="196"/>
      <c r="P9" s="196"/>
      <c r="Q9" s="196"/>
      <c r="R9" s="196"/>
      <c r="S9" s="196"/>
      <c r="T9" s="196"/>
      <c r="V9" s="196"/>
      <c r="W9" s="196"/>
      <c r="X9" s="196"/>
      <c r="Y9" s="196"/>
      <c r="Z9" s="196"/>
      <c r="AA9" s="196"/>
      <c r="AC9" s="197"/>
      <c r="AD9" s="198"/>
      <c r="AE9" s="198"/>
      <c r="AF9" s="198"/>
      <c r="AG9" s="198"/>
      <c r="AH9" s="199"/>
    </row>
    <row r="10">
      <c r="A10" s="1"/>
      <c r="B10" s="1"/>
      <c r="M10" s="196"/>
      <c r="N10" s="196"/>
      <c r="O10" s="196"/>
      <c r="P10" s="196"/>
      <c r="Q10" s="196"/>
      <c r="R10" s="196"/>
      <c r="T10" s="196"/>
      <c r="U10" s="196"/>
      <c r="V10" s="196"/>
      <c r="W10" s="196"/>
      <c r="X10" s="196"/>
      <c r="Y10" s="196"/>
      <c r="AB10" s="196"/>
      <c r="AC10" s="196"/>
      <c r="AD10" s="196"/>
      <c r="AE10" s="196"/>
      <c r="AF10" s="196"/>
      <c r="AG10" s="196"/>
    </row>
    <row r="11">
      <c r="A11" s="1"/>
      <c r="B11" s="1"/>
      <c r="M11" s="197"/>
      <c r="N11" s="198"/>
      <c r="O11" s="198"/>
      <c r="P11" s="198"/>
      <c r="Q11" s="198"/>
      <c r="R11" s="199"/>
      <c r="T11" s="196"/>
      <c r="U11" s="196"/>
      <c r="V11" s="196"/>
      <c r="W11" s="196"/>
      <c r="X11" s="196"/>
      <c r="Y11" s="196"/>
    </row>
    <row r="12">
      <c r="A12" s="1"/>
      <c r="B12" s="1"/>
      <c r="M12" s="196"/>
      <c r="N12" s="196"/>
      <c r="O12" s="196"/>
      <c r="P12" s="196"/>
      <c r="Q12" s="196"/>
      <c r="R12" s="196"/>
      <c r="U12" s="192"/>
      <c r="V12" s="192"/>
      <c r="W12" s="192"/>
      <c r="X12" s="192"/>
      <c r="Y12" s="192"/>
      <c r="Z12" s="192"/>
      <c r="AB12" s="192"/>
      <c r="AC12" s="192"/>
      <c r="AD12" s="192"/>
      <c r="AE12" s="192"/>
      <c r="AF12" s="192"/>
      <c r="AG12" s="192"/>
    </row>
    <row r="13">
      <c r="A13" s="1"/>
      <c r="B13" s="1"/>
      <c r="M13" s="192"/>
      <c r="N13" s="192"/>
      <c r="O13" s="192"/>
      <c r="P13" s="192"/>
      <c r="Q13" s="192"/>
      <c r="R13" s="192"/>
      <c r="T13" s="201"/>
      <c r="U13" s="201"/>
      <c r="V13" s="201"/>
      <c r="W13" s="201"/>
      <c r="X13" s="201"/>
      <c r="Y13" s="201"/>
      <c r="AE13" s="192"/>
      <c r="AF13" s="192"/>
      <c r="AG13" s="192"/>
      <c r="AH13" s="192"/>
      <c r="AI13" s="192"/>
      <c r="AJ13" s="192"/>
    </row>
    <row r="14">
      <c r="A14" s="1"/>
      <c r="B14" s="1"/>
      <c r="S14" s="196"/>
      <c r="T14" s="196"/>
      <c r="U14" s="196"/>
      <c r="V14" s="196"/>
      <c r="W14" s="196"/>
      <c r="X14" s="196"/>
      <c r="Z14" s="202"/>
      <c r="AA14" s="202"/>
      <c r="AB14" s="202"/>
      <c r="AC14" s="202"/>
      <c r="AD14" s="202"/>
      <c r="AE14" s="202"/>
    </row>
    <row r="15">
      <c r="A15" s="1"/>
      <c r="B15" s="1"/>
      <c r="M15" s="192"/>
      <c r="N15" s="192"/>
      <c r="O15" s="192"/>
      <c r="P15" s="192"/>
      <c r="Q15" s="192"/>
      <c r="R15" s="192"/>
      <c r="S15" s="193"/>
      <c r="T15" s="194"/>
      <c r="U15" s="194"/>
      <c r="V15" s="194"/>
      <c r="W15" s="194"/>
      <c r="X15" s="195"/>
      <c r="AA15" s="192"/>
      <c r="AB15" s="192"/>
      <c r="AC15" s="192"/>
      <c r="AD15" s="192"/>
      <c r="AE15" s="192"/>
      <c r="AF15" s="192"/>
    </row>
    <row r="16">
      <c r="A16" s="1"/>
      <c r="B16" s="1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</row>
    <row r="17">
      <c r="A17" s="1"/>
      <c r="B17" s="1"/>
      <c r="O17" s="192"/>
      <c r="P17" s="192"/>
      <c r="Q17" s="192"/>
      <c r="R17" s="192"/>
      <c r="S17" s="192"/>
      <c r="T17" s="192"/>
    </row>
    <row r="18">
      <c r="A18" s="1"/>
      <c r="B18" s="1"/>
      <c r="O18" s="192"/>
      <c r="P18" s="192"/>
      <c r="Q18" s="192"/>
      <c r="R18" s="192"/>
      <c r="S18" s="192"/>
      <c r="T18" s="192"/>
    </row>
    <row r="19">
      <c r="A19" s="1"/>
      <c r="B19" s="1"/>
      <c r="P19" s="193"/>
      <c r="Q19" s="194"/>
      <c r="R19" s="194"/>
      <c r="S19" s="194"/>
      <c r="T19" s="194"/>
      <c r="U19" s="195"/>
    </row>
    <row r="20">
      <c r="A20" s="1"/>
      <c r="B20" s="1"/>
      <c r="Q20" s="193"/>
      <c r="R20" s="194"/>
      <c r="S20" s="194"/>
      <c r="T20" s="194"/>
      <c r="U20" s="194"/>
      <c r="V20" s="195"/>
    </row>
    <row r="21">
      <c r="A21" s="1"/>
      <c r="B21" s="1"/>
      <c r="Q21" s="193"/>
      <c r="R21" s="194"/>
      <c r="S21" s="194"/>
      <c r="T21" s="194"/>
      <c r="U21" s="194"/>
      <c r="V21" s="195"/>
    </row>
    <row r="22">
      <c r="A22" s="1"/>
      <c r="B22" s="1"/>
      <c r="Q22" s="192"/>
      <c r="R22" s="192"/>
      <c r="S22" s="192"/>
      <c r="T22" s="192"/>
      <c r="U22" s="192"/>
      <c r="V22" s="192"/>
    </row>
    <row r="23">
      <c r="A23" s="1"/>
      <c r="B23" s="1"/>
      <c r="S23" s="193"/>
      <c r="T23" s="194"/>
      <c r="U23" s="194"/>
      <c r="V23" s="194"/>
      <c r="W23" s="194"/>
      <c r="X23" s="195"/>
    </row>
    <row r="24">
      <c r="A24" s="1"/>
      <c r="B24" s="1"/>
      <c r="S24" s="201"/>
      <c r="T24" s="201"/>
      <c r="U24" s="201"/>
      <c r="V24" s="201"/>
      <c r="W24" s="201"/>
      <c r="X24" s="201"/>
    </row>
    <row r="25">
      <c r="A25" s="1"/>
      <c r="B25" s="1"/>
      <c r="T25" s="193"/>
      <c r="U25" s="194"/>
      <c r="V25" s="194"/>
      <c r="W25" s="194"/>
      <c r="X25" s="194"/>
      <c r="Y25" s="195"/>
    </row>
    <row r="26">
      <c r="A26" s="1"/>
      <c r="B26" s="1"/>
      <c r="T26" s="193"/>
      <c r="U26" s="194"/>
      <c r="V26" s="194"/>
      <c r="W26" s="194"/>
      <c r="X26" s="194"/>
      <c r="Y26" s="195"/>
    </row>
    <row r="27">
      <c r="A27" s="1"/>
      <c r="B27" s="1"/>
      <c r="M27" s="197"/>
      <c r="N27" s="198"/>
      <c r="O27" s="198"/>
      <c r="P27" s="198"/>
      <c r="Q27" s="198"/>
      <c r="R27" s="199"/>
    </row>
    <row r="28">
      <c r="A28" s="203"/>
      <c r="B28" s="1"/>
      <c r="AI28" s="192"/>
      <c r="AJ28" s="192"/>
      <c r="AK28" s="192"/>
      <c r="AL28" s="192"/>
      <c r="AM28" s="192"/>
      <c r="AN28" s="192"/>
    </row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3" max="3" width="55.5"/>
  </cols>
  <sheetData>
    <row r="1">
      <c r="A1" s="204"/>
      <c r="B1" s="205"/>
      <c r="C1" s="1" t="s">
        <v>903</v>
      </c>
    </row>
    <row r="2">
      <c r="A2" s="204"/>
      <c r="B2" s="204"/>
      <c r="C2" s="1"/>
    </row>
    <row r="3">
      <c r="A3" s="204"/>
      <c r="B3" s="202"/>
      <c r="C3" s="1" t="s">
        <v>904</v>
      </c>
    </row>
    <row r="4">
      <c r="A4" s="204"/>
      <c r="B4" s="204"/>
      <c r="C4" s="1"/>
    </row>
    <row r="5">
      <c r="A5" s="204"/>
      <c r="B5" s="196"/>
      <c r="C5" s="1" t="s">
        <v>905</v>
      </c>
    </row>
    <row r="6">
      <c r="A6" s="204"/>
      <c r="B6" s="204"/>
      <c r="C6" s="1"/>
    </row>
    <row r="7">
      <c r="A7" s="204"/>
      <c r="B7" s="192"/>
      <c r="C7" s="1" t="s">
        <v>906</v>
      </c>
    </row>
    <row r="8">
      <c r="A8" s="204"/>
      <c r="B8" s="204"/>
      <c r="C8" s="1" t="s">
        <v>907</v>
      </c>
    </row>
    <row r="9">
      <c r="A9" s="204"/>
      <c r="B9" s="206"/>
      <c r="C9" s="1" t="s">
        <v>908</v>
      </c>
    </row>
    <row r="10">
      <c r="A10" s="207"/>
      <c r="B10" s="208"/>
      <c r="C10" s="1" t="s">
        <v>909</v>
      </c>
    </row>
    <row r="11">
      <c r="A11" s="204"/>
      <c r="B11" s="209"/>
      <c r="C11" s="1" t="s">
        <v>910</v>
      </c>
    </row>
    <row r="12">
      <c r="A12" s="204"/>
      <c r="B12" s="210" t="s">
        <v>911</v>
      </c>
      <c r="C12" s="211" t="s">
        <v>912</v>
      </c>
    </row>
    <row r="13">
      <c r="A13" s="204"/>
      <c r="B13" s="204"/>
      <c r="C13" s="211"/>
    </row>
    <row r="14">
      <c r="A14" s="204"/>
      <c r="B14" s="212"/>
      <c r="C14" s="211" t="s">
        <v>913</v>
      </c>
    </row>
    <row r="15">
      <c r="B15" s="204"/>
      <c r="C15" s="204"/>
    </row>
    <row r="16">
      <c r="B16" s="204"/>
      <c r="C16" s="20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8" width="5.5"/>
  </cols>
  <sheetData>
    <row r="1">
      <c r="A1" s="189" t="s">
        <v>902</v>
      </c>
      <c r="B1" s="189" t="s">
        <v>891</v>
      </c>
      <c r="C1" s="190">
        <v>0.25</v>
      </c>
      <c r="D1" s="190">
        <v>0.2708333333333333</v>
      </c>
      <c r="E1" s="190">
        <v>0.2916666666666667</v>
      </c>
      <c r="F1" s="190">
        <v>0.3125</v>
      </c>
      <c r="G1" s="190">
        <v>0.3333333333333333</v>
      </c>
      <c r="H1" s="190">
        <v>0.3541666666666667</v>
      </c>
      <c r="I1" s="190">
        <v>0.375</v>
      </c>
      <c r="J1" s="190">
        <v>0.3958333333333333</v>
      </c>
      <c r="K1" s="190">
        <v>0.4166666666666667</v>
      </c>
      <c r="L1" s="190">
        <v>0.4375</v>
      </c>
      <c r="M1" s="190">
        <v>0.4583333333333333</v>
      </c>
      <c r="N1" s="190">
        <v>0.4791666666666667</v>
      </c>
      <c r="O1" s="190">
        <v>0.5</v>
      </c>
      <c r="P1" s="190">
        <v>0.5208333333333334</v>
      </c>
      <c r="Q1" s="190">
        <v>0.5416666666666666</v>
      </c>
      <c r="R1" s="190">
        <v>0.5625</v>
      </c>
      <c r="S1" s="190">
        <v>0.5833333333333334</v>
      </c>
      <c r="T1" s="190">
        <v>0.6041666666666666</v>
      </c>
      <c r="U1" s="190">
        <v>0.625</v>
      </c>
      <c r="V1" s="190">
        <v>0.6458333333333334</v>
      </c>
      <c r="W1" s="190">
        <v>0.6666666666666666</v>
      </c>
      <c r="X1" s="190">
        <v>0.6875</v>
      </c>
      <c r="Y1" s="190">
        <v>0.7083333333333334</v>
      </c>
      <c r="Z1" s="190">
        <v>0.7291666666666666</v>
      </c>
      <c r="AA1" s="190">
        <v>0.75</v>
      </c>
      <c r="AB1" s="190">
        <v>0.7708333333333334</v>
      </c>
      <c r="AC1" s="190">
        <v>0.7916666666666666</v>
      </c>
      <c r="AD1" s="190">
        <v>0.8125</v>
      </c>
      <c r="AE1" s="190">
        <v>0.8333333333333334</v>
      </c>
      <c r="AF1" s="190">
        <v>0.8541666666666666</v>
      </c>
      <c r="AG1" s="190">
        <v>0.875</v>
      </c>
      <c r="AH1" s="190">
        <v>0.8958333333333334</v>
      </c>
      <c r="AI1" s="190">
        <v>0.9166666666666666</v>
      </c>
      <c r="AJ1" s="190">
        <v>0.9375</v>
      </c>
      <c r="AK1" s="190">
        <v>0.9583333333333334</v>
      </c>
      <c r="AL1" s="190">
        <v>0.9791666666666666</v>
      </c>
      <c r="AM1" s="190">
        <v>0.0</v>
      </c>
      <c r="AN1" s="190">
        <v>0.020833333333333332</v>
      </c>
      <c r="AO1" s="190">
        <v>0.041666666666666664</v>
      </c>
      <c r="AP1" s="190">
        <v>0.0625</v>
      </c>
      <c r="AQ1" s="190">
        <v>0.08333333333333333</v>
      </c>
      <c r="AR1" s="190">
        <v>0.10416666666666667</v>
      </c>
      <c r="AS1" s="191"/>
      <c r="AT1" s="191"/>
      <c r="AU1" s="191"/>
      <c r="AV1" s="191"/>
    </row>
    <row r="2">
      <c r="A2" s="1"/>
      <c r="B2" s="1"/>
      <c r="AB2" s="197"/>
      <c r="AC2" s="198"/>
      <c r="AD2" s="198"/>
      <c r="AE2" s="198"/>
      <c r="AF2" s="198"/>
      <c r="AG2" s="19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7" width="5.5"/>
    <col customWidth="1" min="28" max="28" width="7.13"/>
    <col customWidth="1" min="29" max="34" width="6.5"/>
    <col customWidth="1" min="35" max="48" width="5.5"/>
  </cols>
  <sheetData>
    <row r="1">
      <c r="A1" s="189" t="s">
        <v>902</v>
      </c>
      <c r="B1" s="189" t="s">
        <v>891</v>
      </c>
      <c r="C1" s="190">
        <v>0.25</v>
      </c>
      <c r="D1" s="190">
        <v>0.2708333333333333</v>
      </c>
      <c r="E1" s="190">
        <v>0.2916666666666667</v>
      </c>
      <c r="F1" s="190">
        <v>0.3125</v>
      </c>
      <c r="G1" s="190">
        <v>0.3333333333333333</v>
      </c>
      <c r="H1" s="190">
        <v>0.3541666666666667</v>
      </c>
      <c r="I1" s="190">
        <v>0.375</v>
      </c>
      <c r="J1" s="190">
        <v>0.3958333333333333</v>
      </c>
      <c r="K1" s="190">
        <v>0.4166666666666667</v>
      </c>
      <c r="L1" s="190">
        <v>0.4375</v>
      </c>
      <c r="M1" s="190">
        <v>0.4583333333333333</v>
      </c>
      <c r="N1" s="190">
        <v>0.4791666666666667</v>
      </c>
      <c r="O1" s="190">
        <v>0.5</v>
      </c>
      <c r="P1" s="190">
        <v>0.5208333333333334</v>
      </c>
      <c r="Q1" s="190">
        <v>0.5416666666666666</v>
      </c>
      <c r="R1" s="190">
        <v>0.5625</v>
      </c>
      <c r="S1" s="190">
        <v>0.5833333333333334</v>
      </c>
      <c r="T1" s="190">
        <v>0.6041666666666666</v>
      </c>
      <c r="U1" s="190">
        <v>0.625</v>
      </c>
      <c r="V1" s="190">
        <v>0.6458333333333334</v>
      </c>
      <c r="W1" s="190">
        <v>0.6666666666666666</v>
      </c>
      <c r="X1" s="190">
        <v>0.6875</v>
      </c>
      <c r="Y1" s="190">
        <v>0.7083333333333334</v>
      </c>
      <c r="Z1" s="190">
        <v>0.7291666666666666</v>
      </c>
      <c r="AA1" s="190">
        <v>0.75</v>
      </c>
      <c r="AB1" s="190">
        <v>0.7708333333333334</v>
      </c>
      <c r="AC1" s="190">
        <v>0.7916666666666666</v>
      </c>
      <c r="AD1" s="190">
        <v>0.8125</v>
      </c>
      <c r="AE1" s="190">
        <v>0.8333333333333334</v>
      </c>
      <c r="AF1" s="190">
        <v>0.8541666666666666</v>
      </c>
      <c r="AG1" s="190">
        <v>0.875</v>
      </c>
      <c r="AH1" s="190">
        <v>0.8958333333333334</v>
      </c>
      <c r="AI1" s="190">
        <v>0.9166666666666666</v>
      </c>
      <c r="AJ1" s="190">
        <v>0.9375</v>
      </c>
      <c r="AK1" s="190">
        <v>0.9583333333333334</v>
      </c>
      <c r="AL1" s="190">
        <v>0.9791666666666666</v>
      </c>
      <c r="AM1" s="190">
        <v>0.0</v>
      </c>
      <c r="AN1" s="190">
        <v>0.020833333333333332</v>
      </c>
      <c r="AO1" s="190">
        <v>0.041666666666666664</v>
      </c>
      <c r="AP1" s="190">
        <v>0.0625</v>
      </c>
      <c r="AQ1" s="190">
        <v>0.08333333333333333</v>
      </c>
      <c r="AR1" s="190">
        <v>0.10416666666666667</v>
      </c>
      <c r="AS1" s="191"/>
      <c r="AT1" s="191"/>
      <c r="AU1" s="191"/>
      <c r="AV1" s="191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min="37" max="44" width="5.5"/>
  </cols>
  <sheetData>
    <row r="1">
      <c r="A1" s="1" t="str">
        <f>IFERROR(__xludf.DUMMYFUNCTION("{filter(Wednesday!A:AR,Wednesday!B:B&lt;&gt;"""");filter(Wednesday!A2:AR544,Wednesday!B2:B544&lt;&gt;"""")}"),"#VALUE!")</f>
        <v>#VALUE!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0.13"/>
    <col customWidth="1" min="3" max="3" width="15.88"/>
    <col customWidth="1" min="4" max="4" width="4.5"/>
    <col customWidth="1" min="5" max="5" width="9.63"/>
    <col customWidth="1" min="6" max="6" width="9.5"/>
    <col customWidth="1" min="7" max="7" width="29.88"/>
    <col customWidth="1" min="8" max="8" width="20.25"/>
    <col customWidth="1" min="9" max="9" width="6.63"/>
    <col customWidth="1" min="10" max="10" width="9.38"/>
    <col customWidth="1" min="11" max="21" width="9.63"/>
  </cols>
  <sheetData>
    <row r="1">
      <c r="A1" s="214" t="s">
        <v>914</v>
      </c>
      <c r="B1" s="215" t="s">
        <v>12</v>
      </c>
      <c r="C1" s="216" t="s">
        <v>13</v>
      </c>
      <c r="D1" s="217" t="s">
        <v>15</v>
      </c>
      <c r="E1" s="217" t="s">
        <v>16</v>
      </c>
      <c r="F1" s="216" t="s">
        <v>17</v>
      </c>
      <c r="G1" s="217" t="s">
        <v>915</v>
      </c>
      <c r="H1" s="217" t="s">
        <v>19</v>
      </c>
      <c r="I1" s="217" t="s">
        <v>20</v>
      </c>
      <c r="J1" s="218" t="s">
        <v>21</v>
      </c>
      <c r="K1" s="219" t="s">
        <v>916</v>
      </c>
      <c r="L1" s="219" t="s">
        <v>23</v>
      </c>
      <c r="M1" s="220" t="s">
        <v>917</v>
      </c>
      <c r="N1" s="214" t="s">
        <v>29</v>
      </c>
      <c r="O1" s="214" t="s">
        <v>30</v>
      </c>
      <c r="P1" s="214" t="s">
        <v>32</v>
      </c>
      <c r="Q1" s="214" t="s">
        <v>33</v>
      </c>
      <c r="R1" s="214" t="s">
        <v>34</v>
      </c>
      <c r="S1" s="214" t="s">
        <v>36</v>
      </c>
      <c r="T1" s="214" t="s">
        <v>38</v>
      </c>
      <c r="U1" s="214" t="s">
        <v>40</v>
      </c>
    </row>
    <row r="2">
      <c r="A2" s="221">
        <v>45902.61792826389</v>
      </c>
      <c r="B2" s="214" t="s">
        <v>43</v>
      </c>
      <c r="C2" s="214" t="s">
        <v>422</v>
      </c>
      <c r="D2" s="214">
        <v>1.0</v>
      </c>
      <c r="E2" s="214">
        <v>0.0</v>
      </c>
      <c r="F2" s="214" t="s">
        <v>918</v>
      </c>
      <c r="G2" s="221">
        <v>45906.64583333333</v>
      </c>
      <c r="H2" s="214"/>
      <c r="I2" s="214"/>
      <c r="J2" s="222"/>
      <c r="K2" s="222"/>
      <c r="L2" s="222"/>
      <c r="M2" s="222"/>
      <c r="N2" s="214">
        <v>34.0</v>
      </c>
      <c r="O2" s="214">
        <v>11.0</v>
      </c>
      <c r="P2" s="214">
        <v>1.0</v>
      </c>
      <c r="Q2" s="214" t="b">
        <v>0</v>
      </c>
      <c r="R2" s="214">
        <v>100.0</v>
      </c>
      <c r="S2" s="214" t="s">
        <v>441</v>
      </c>
      <c r="T2" s="214" t="s">
        <v>365</v>
      </c>
      <c r="U2" s="214"/>
    </row>
    <row r="3">
      <c r="A3" s="221">
        <v>45902.61792826389</v>
      </c>
      <c r="B3" s="214" t="s">
        <v>43</v>
      </c>
      <c r="C3" s="214" t="s">
        <v>527</v>
      </c>
      <c r="D3" s="214">
        <v>0.0</v>
      </c>
      <c r="E3" s="214">
        <v>1.0</v>
      </c>
      <c r="F3" s="214" t="s">
        <v>919</v>
      </c>
      <c r="G3" s="221">
        <v>45906.64583333333</v>
      </c>
      <c r="H3" s="214"/>
      <c r="I3" s="214" t="s">
        <v>920</v>
      </c>
      <c r="J3" s="222"/>
      <c r="K3" s="222"/>
      <c r="L3" s="222"/>
      <c r="M3" s="222"/>
      <c r="N3" s="214">
        <v>10.0</v>
      </c>
      <c r="O3" s="214">
        <v>42.0</v>
      </c>
      <c r="P3" s="214">
        <v>1.0</v>
      </c>
      <c r="Q3" s="214" t="b">
        <v>0</v>
      </c>
      <c r="R3" s="214">
        <v>100.0</v>
      </c>
      <c r="S3" s="214" t="s">
        <v>530</v>
      </c>
      <c r="T3" s="214" t="s">
        <v>365</v>
      </c>
      <c r="U3" s="214"/>
    </row>
    <row r="4">
      <c r="A4" s="221">
        <v>45902.61792826389</v>
      </c>
      <c r="B4" s="214" t="s">
        <v>43</v>
      </c>
      <c r="C4" s="214" t="s">
        <v>118</v>
      </c>
      <c r="D4" s="214">
        <v>0.0</v>
      </c>
      <c r="E4" s="214">
        <v>1.0</v>
      </c>
      <c r="F4" s="214" t="s">
        <v>921</v>
      </c>
      <c r="G4" s="221">
        <v>45906.79166666667</v>
      </c>
      <c r="H4" s="214" t="s">
        <v>249</v>
      </c>
      <c r="I4" s="214" t="s">
        <v>920</v>
      </c>
      <c r="J4" s="222" t="s">
        <v>67</v>
      </c>
      <c r="K4" s="222">
        <v>-2.5</v>
      </c>
      <c r="L4" s="222" t="s">
        <v>67</v>
      </c>
      <c r="M4" s="222">
        <v>54.5</v>
      </c>
      <c r="N4" s="214">
        <v>14.0</v>
      </c>
      <c r="O4" s="214">
        <v>48.0</v>
      </c>
      <c r="P4" s="214">
        <v>1.0</v>
      </c>
      <c r="Q4" s="214" t="b">
        <v>0</v>
      </c>
      <c r="R4" s="214">
        <v>100.0</v>
      </c>
      <c r="S4" s="214" t="s">
        <v>317</v>
      </c>
      <c r="T4" s="214" t="s">
        <v>321</v>
      </c>
      <c r="U4" s="214"/>
    </row>
    <row r="5">
      <c r="A5" s="221">
        <v>45902.61792826389</v>
      </c>
      <c r="B5" s="214" t="s">
        <v>43</v>
      </c>
      <c r="C5" s="214" t="s">
        <v>157</v>
      </c>
      <c r="D5" s="214">
        <v>1.0</v>
      </c>
      <c r="E5" s="214">
        <v>0.0</v>
      </c>
      <c r="F5" s="214" t="s">
        <v>922</v>
      </c>
      <c r="G5" s="221">
        <v>45906.79166666667</v>
      </c>
      <c r="H5" s="214" t="s">
        <v>395</v>
      </c>
      <c r="I5" s="214" t="s">
        <v>920</v>
      </c>
      <c r="J5" s="222"/>
      <c r="K5" s="222"/>
      <c r="L5" s="222"/>
      <c r="M5" s="222"/>
      <c r="N5" s="214">
        <v>14.0</v>
      </c>
      <c r="O5" s="214">
        <v>12.0</v>
      </c>
      <c r="P5" s="214">
        <v>1.0</v>
      </c>
      <c r="Q5" s="214" t="b">
        <v>0</v>
      </c>
      <c r="R5" s="214">
        <v>100.0</v>
      </c>
      <c r="S5" s="214" t="s">
        <v>361</v>
      </c>
      <c r="T5" s="214" t="s">
        <v>365</v>
      </c>
      <c r="U5" s="214"/>
    </row>
    <row r="6">
      <c r="A6" s="221">
        <v>45902.61792826389</v>
      </c>
      <c r="B6" s="214" t="s">
        <v>43</v>
      </c>
      <c r="C6" s="214" t="s">
        <v>189</v>
      </c>
      <c r="D6" s="214">
        <v>1.0</v>
      </c>
      <c r="E6" s="214">
        <v>0.0</v>
      </c>
      <c r="F6" s="214" t="s">
        <v>923</v>
      </c>
      <c r="G6" s="221">
        <v>45906.8125</v>
      </c>
      <c r="H6" s="214" t="s">
        <v>493</v>
      </c>
      <c r="I6" s="214" t="s">
        <v>924</v>
      </c>
      <c r="J6" s="222" t="s">
        <v>67</v>
      </c>
      <c r="K6" s="222">
        <v>4.5</v>
      </c>
      <c r="L6" s="222" t="s">
        <v>67</v>
      </c>
      <c r="M6" s="222">
        <v>53.5</v>
      </c>
      <c r="N6" s="214">
        <v>38.0</v>
      </c>
      <c r="O6" s="214">
        <v>19.0</v>
      </c>
      <c r="P6" s="214">
        <v>1.0</v>
      </c>
      <c r="Q6" s="214" t="b">
        <v>1</v>
      </c>
      <c r="R6" s="214">
        <v>100.0</v>
      </c>
      <c r="S6" s="214" t="s">
        <v>471</v>
      </c>
      <c r="T6" s="214" t="s">
        <v>321</v>
      </c>
      <c r="U6" s="214"/>
    </row>
    <row r="7">
      <c r="A7" s="221">
        <v>45902.61792826389</v>
      </c>
      <c r="B7" s="214" t="s">
        <v>43</v>
      </c>
      <c r="C7" s="214" t="s">
        <v>45</v>
      </c>
      <c r="D7" s="214">
        <v>1.0</v>
      </c>
      <c r="E7" s="214">
        <v>0.0</v>
      </c>
      <c r="F7" s="214" t="s">
        <v>925</v>
      </c>
      <c r="G7" s="221">
        <v>45906.8125</v>
      </c>
      <c r="H7" s="214" t="s">
        <v>95</v>
      </c>
      <c r="I7" s="214" t="s">
        <v>926</v>
      </c>
      <c r="J7" s="222"/>
      <c r="K7" s="222"/>
      <c r="L7" s="222"/>
      <c r="M7" s="222"/>
      <c r="N7" s="214">
        <v>38.0</v>
      </c>
      <c r="O7" s="214">
        <v>24.0</v>
      </c>
      <c r="P7" s="214">
        <v>1.0</v>
      </c>
      <c r="Q7" s="214" t="b">
        <v>1</v>
      </c>
      <c r="R7" s="214">
        <v>100.0</v>
      </c>
      <c r="S7" s="214" t="s">
        <v>556</v>
      </c>
      <c r="T7" s="214" t="s">
        <v>321</v>
      </c>
      <c r="U7" s="214"/>
    </row>
    <row r="8">
      <c r="A8" s="221">
        <v>45902.61792826389</v>
      </c>
      <c r="B8" s="214" t="s">
        <v>43</v>
      </c>
      <c r="C8" s="214" t="s">
        <v>228</v>
      </c>
      <c r="D8" s="214">
        <v>1.0</v>
      </c>
      <c r="E8" s="214">
        <v>0.0</v>
      </c>
      <c r="F8" s="214" t="s">
        <v>927</v>
      </c>
      <c r="G8" s="221">
        <v>45906.875</v>
      </c>
      <c r="H8" s="214" t="s">
        <v>493</v>
      </c>
      <c r="I8" s="214" t="s">
        <v>920</v>
      </c>
      <c r="J8" s="222"/>
      <c r="K8" s="222"/>
      <c r="L8" s="222"/>
      <c r="M8" s="222"/>
      <c r="N8" s="214">
        <v>19.0</v>
      </c>
      <c r="O8" s="214">
        <v>3.0</v>
      </c>
      <c r="P8" s="214">
        <v>1.0</v>
      </c>
      <c r="Q8" s="214" t="b">
        <v>0</v>
      </c>
      <c r="R8" s="214">
        <v>100.0</v>
      </c>
      <c r="S8" s="214" t="s">
        <v>535</v>
      </c>
      <c r="T8" s="214" t="s">
        <v>365</v>
      </c>
      <c r="U8" s="214"/>
    </row>
    <row r="9">
      <c r="A9" s="221">
        <v>45902.61792826389</v>
      </c>
      <c r="B9" s="214" t="s">
        <v>43</v>
      </c>
      <c r="C9" s="214" t="s">
        <v>145</v>
      </c>
      <c r="D9" s="214">
        <v>1.0</v>
      </c>
      <c r="E9" s="214">
        <v>0.0</v>
      </c>
      <c r="F9" s="214" t="s">
        <v>928</v>
      </c>
      <c r="G9" s="221">
        <v>45906.5</v>
      </c>
      <c r="H9" s="214" t="s">
        <v>132</v>
      </c>
      <c r="I9" s="214" t="s">
        <v>929</v>
      </c>
      <c r="J9" s="222" t="s">
        <v>67</v>
      </c>
      <c r="K9" s="222">
        <v>-8.5</v>
      </c>
      <c r="L9" s="222" t="s">
        <v>67</v>
      </c>
      <c r="M9" s="222">
        <v>54.0</v>
      </c>
      <c r="N9" s="214">
        <v>46.0</v>
      </c>
      <c r="O9" s="214">
        <v>11.0</v>
      </c>
      <c r="P9" s="214">
        <v>1.0</v>
      </c>
      <c r="Q9" s="214" t="b">
        <v>1</v>
      </c>
      <c r="R9" s="214">
        <v>100.0</v>
      </c>
      <c r="S9" s="214" t="s">
        <v>407</v>
      </c>
      <c r="T9" s="214" t="s">
        <v>321</v>
      </c>
      <c r="U9" s="214"/>
    </row>
    <row r="10">
      <c r="A10" s="221">
        <v>45902.61792826389</v>
      </c>
      <c r="B10" s="214" t="s">
        <v>43</v>
      </c>
      <c r="C10" s="214" t="s">
        <v>133</v>
      </c>
      <c r="D10" s="214">
        <v>1.0</v>
      </c>
      <c r="E10" s="214">
        <v>0.0</v>
      </c>
      <c r="F10" s="214" t="s">
        <v>930</v>
      </c>
      <c r="G10" s="221">
        <v>45906.5</v>
      </c>
      <c r="H10" s="214" t="s">
        <v>493</v>
      </c>
      <c r="I10" s="214" t="s">
        <v>931</v>
      </c>
      <c r="J10" s="222" t="s">
        <v>67</v>
      </c>
      <c r="K10" s="222">
        <v>-3.0</v>
      </c>
      <c r="L10" s="222" t="s">
        <v>67</v>
      </c>
      <c r="M10" s="222">
        <v>60.5</v>
      </c>
      <c r="N10" s="214">
        <v>67.0</v>
      </c>
      <c r="O10" s="214">
        <v>7.0</v>
      </c>
      <c r="P10" s="214">
        <v>1.0</v>
      </c>
      <c r="Q10" s="214" t="b">
        <v>1</v>
      </c>
      <c r="R10" s="214">
        <v>100.0</v>
      </c>
      <c r="S10" s="214" t="s">
        <v>471</v>
      </c>
      <c r="T10" s="214" t="s">
        <v>321</v>
      </c>
      <c r="U10" s="214"/>
    </row>
    <row r="11">
      <c r="A11" s="221">
        <v>45902.61792826389</v>
      </c>
      <c r="B11" s="214" t="s">
        <v>43</v>
      </c>
      <c r="C11" s="214" t="s">
        <v>176</v>
      </c>
      <c r="D11" s="214">
        <v>1.0</v>
      </c>
      <c r="E11" s="214">
        <v>0.0</v>
      </c>
      <c r="F11" s="214"/>
      <c r="G11" s="214"/>
      <c r="H11" s="214"/>
      <c r="I11" s="214"/>
      <c r="J11" s="222"/>
      <c r="K11" s="222"/>
      <c r="L11" s="222"/>
      <c r="M11" s="222"/>
      <c r="N11" s="214">
        <v>49.0</v>
      </c>
      <c r="O11" s="214">
        <v>13.0</v>
      </c>
      <c r="P11" s="214">
        <v>3.0</v>
      </c>
      <c r="Q11" s="214" t="b">
        <v>1</v>
      </c>
      <c r="R11" s="214">
        <v>100.0</v>
      </c>
      <c r="S11" s="214" t="s">
        <v>525</v>
      </c>
      <c r="T11" s="214" t="s">
        <v>365</v>
      </c>
      <c r="U11" s="214"/>
    </row>
    <row r="12">
      <c r="A12" s="221">
        <v>45902.61792826389</v>
      </c>
      <c r="B12" s="214"/>
      <c r="C12" s="214"/>
      <c r="D12" s="214"/>
      <c r="E12" s="214"/>
      <c r="F12" s="214"/>
      <c r="G12" s="214"/>
      <c r="H12" s="214"/>
      <c r="I12" s="214"/>
      <c r="J12" s="222"/>
      <c r="K12" s="222"/>
      <c r="L12" s="222"/>
      <c r="M12" s="222"/>
      <c r="N12" s="214"/>
      <c r="O12" s="214"/>
      <c r="P12" s="214"/>
      <c r="Q12" s="214"/>
      <c r="R12" s="214"/>
      <c r="S12" s="214"/>
      <c r="T12" s="214"/>
      <c r="U12" s="214"/>
    </row>
    <row r="13">
      <c r="A13" s="221">
        <v>45902.61792826389</v>
      </c>
      <c r="B13" s="214" t="s">
        <v>95</v>
      </c>
      <c r="C13" s="214" t="s">
        <v>177</v>
      </c>
      <c r="D13" s="214">
        <v>0.0</v>
      </c>
      <c r="E13" s="214">
        <v>1.0</v>
      </c>
      <c r="F13" s="214" t="s">
        <v>932</v>
      </c>
      <c r="G13" s="221">
        <v>45905.875</v>
      </c>
      <c r="H13" s="214"/>
      <c r="I13" s="214" t="s">
        <v>933</v>
      </c>
      <c r="J13" s="222" t="s">
        <v>67</v>
      </c>
      <c r="K13" s="222">
        <v>5.5</v>
      </c>
      <c r="L13" s="222" t="s">
        <v>67</v>
      </c>
      <c r="M13" s="222">
        <v>59.5</v>
      </c>
      <c r="N13" s="214">
        <v>7.0</v>
      </c>
      <c r="O13" s="214">
        <v>34.0</v>
      </c>
      <c r="P13" s="214">
        <v>1.0</v>
      </c>
      <c r="Q13" s="214" t="b">
        <v>0</v>
      </c>
      <c r="R13" s="214">
        <v>100.0</v>
      </c>
      <c r="S13" s="214" t="s">
        <v>525</v>
      </c>
      <c r="T13" s="214" t="s">
        <v>365</v>
      </c>
      <c r="U13" s="214"/>
    </row>
    <row r="14">
      <c r="A14" s="221">
        <v>45902.61792826389</v>
      </c>
      <c r="B14" s="214" t="s">
        <v>95</v>
      </c>
      <c r="C14" s="214" t="s">
        <v>221</v>
      </c>
      <c r="D14" s="214">
        <v>1.0</v>
      </c>
      <c r="E14" s="214">
        <v>0.0</v>
      </c>
      <c r="F14" s="214" t="s">
        <v>934</v>
      </c>
      <c r="G14" s="221">
        <v>45906.64583333333</v>
      </c>
      <c r="H14" s="214" t="s">
        <v>311</v>
      </c>
      <c r="I14" s="214" t="s">
        <v>920</v>
      </c>
      <c r="J14" s="222" t="s">
        <v>67</v>
      </c>
      <c r="K14" s="222">
        <v>-10.0</v>
      </c>
      <c r="L14" s="222" t="s">
        <v>67</v>
      </c>
      <c r="M14" s="222">
        <v>68.0</v>
      </c>
      <c r="N14" s="214">
        <v>52.0</v>
      </c>
      <c r="O14" s="214">
        <v>27.0</v>
      </c>
      <c r="P14" s="214">
        <v>1.0</v>
      </c>
      <c r="Q14" s="214" t="b">
        <v>0</v>
      </c>
      <c r="R14" s="214">
        <v>100.0</v>
      </c>
      <c r="S14" s="214" t="s">
        <v>441</v>
      </c>
      <c r="T14" s="214" t="s">
        <v>365</v>
      </c>
      <c r="U14" s="214"/>
    </row>
    <row r="15">
      <c r="A15" s="221">
        <v>45902.61792826389</v>
      </c>
      <c r="B15" s="214" t="s">
        <v>95</v>
      </c>
      <c r="C15" s="214" t="s">
        <v>198</v>
      </c>
      <c r="D15" s="214">
        <v>1.0</v>
      </c>
      <c r="E15" s="214">
        <v>0.0</v>
      </c>
      <c r="F15" s="214" t="s">
        <v>935</v>
      </c>
      <c r="G15" s="221">
        <v>45906.75</v>
      </c>
      <c r="H15" s="214"/>
      <c r="I15" s="214" t="s">
        <v>920</v>
      </c>
      <c r="J15" s="222"/>
      <c r="K15" s="222"/>
      <c r="L15" s="222"/>
      <c r="M15" s="222"/>
      <c r="N15" s="214">
        <v>43.0</v>
      </c>
      <c r="O15" s="214">
        <v>10.0</v>
      </c>
      <c r="P15" s="214">
        <v>1.0</v>
      </c>
      <c r="Q15" s="214" t="b">
        <v>0</v>
      </c>
      <c r="R15" s="214">
        <v>100.0</v>
      </c>
      <c r="S15" s="214" t="s">
        <v>471</v>
      </c>
      <c r="T15" s="214" t="s">
        <v>321</v>
      </c>
      <c r="U15" s="214"/>
    </row>
    <row r="16">
      <c r="A16" s="221">
        <v>45902.61792826389</v>
      </c>
      <c r="B16" s="214" t="s">
        <v>95</v>
      </c>
      <c r="C16" s="214" t="s">
        <v>100</v>
      </c>
      <c r="D16" s="214">
        <v>0.0</v>
      </c>
      <c r="E16" s="214">
        <v>1.0</v>
      </c>
      <c r="F16" s="214" t="s">
        <v>936</v>
      </c>
      <c r="G16" s="221">
        <v>45906.75</v>
      </c>
      <c r="H16" s="214"/>
      <c r="I16" s="214" t="s">
        <v>920</v>
      </c>
      <c r="J16" s="222" t="s">
        <v>67</v>
      </c>
      <c r="K16" s="222">
        <v>5.0</v>
      </c>
      <c r="L16" s="222" t="s">
        <v>67</v>
      </c>
      <c r="M16" s="222">
        <v>58.5</v>
      </c>
      <c r="N16" s="214">
        <v>17.0</v>
      </c>
      <c r="O16" s="214">
        <v>24.0</v>
      </c>
      <c r="P16" s="214">
        <v>1.0</v>
      </c>
      <c r="Q16" s="214" t="b">
        <v>0</v>
      </c>
      <c r="R16" s="214">
        <v>100.0</v>
      </c>
      <c r="S16" s="214" t="s">
        <v>361</v>
      </c>
      <c r="T16" s="214" t="s">
        <v>365</v>
      </c>
      <c r="U16" s="214"/>
    </row>
    <row r="17">
      <c r="A17" s="221">
        <v>45902.61792826389</v>
      </c>
      <c r="B17" s="214" t="s">
        <v>95</v>
      </c>
      <c r="C17" s="214" t="s">
        <v>197</v>
      </c>
      <c r="D17" s="214">
        <v>1.0</v>
      </c>
      <c r="E17" s="214">
        <v>0.0</v>
      </c>
      <c r="F17" s="214" t="s">
        <v>937</v>
      </c>
      <c r="G17" s="221">
        <v>45906.8125</v>
      </c>
      <c r="H17" s="214" t="s">
        <v>224</v>
      </c>
      <c r="I17" s="214" t="s">
        <v>933</v>
      </c>
      <c r="J17" s="222" t="s">
        <v>67</v>
      </c>
      <c r="K17" s="222">
        <v>3.5</v>
      </c>
      <c r="L17" s="222" t="s">
        <v>67</v>
      </c>
      <c r="M17" s="222">
        <v>52.0</v>
      </c>
      <c r="N17" s="214">
        <v>73.0</v>
      </c>
      <c r="O17" s="214">
        <v>13.0</v>
      </c>
      <c r="P17" s="214">
        <v>1.0</v>
      </c>
      <c r="Q17" s="214" t="b">
        <v>1</v>
      </c>
      <c r="R17" s="214">
        <v>100.0</v>
      </c>
      <c r="S17" s="214" t="s">
        <v>407</v>
      </c>
      <c r="T17" s="214" t="s">
        <v>321</v>
      </c>
      <c r="U17" s="214"/>
    </row>
    <row r="18">
      <c r="A18" s="221">
        <v>45902.61792826389</v>
      </c>
      <c r="B18" s="214" t="s">
        <v>95</v>
      </c>
      <c r="C18" s="214" t="s">
        <v>128</v>
      </c>
      <c r="D18" s="214">
        <v>1.0</v>
      </c>
      <c r="E18" s="214">
        <v>0.0</v>
      </c>
      <c r="F18" s="214" t="s">
        <v>938</v>
      </c>
      <c r="G18" s="221">
        <v>45906.8125</v>
      </c>
      <c r="H18" s="214" t="s">
        <v>311</v>
      </c>
      <c r="I18" s="214" t="s">
        <v>939</v>
      </c>
      <c r="J18" s="222" t="s">
        <v>67</v>
      </c>
      <c r="K18" s="222">
        <v>-8.5</v>
      </c>
      <c r="L18" s="222" t="s">
        <v>67</v>
      </c>
      <c r="M18" s="222">
        <v>43.5</v>
      </c>
      <c r="N18" s="214">
        <v>35.0</v>
      </c>
      <c r="O18" s="214">
        <v>3.0</v>
      </c>
      <c r="P18" s="214">
        <v>1.0</v>
      </c>
      <c r="Q18" s="214" t="b">
        <v>0</v>
      </c>
      <c r="R18" s="214">
        <v>100.0</v>
      </c>
      <c r="S18" s="214" t="s">
        <v>556</v>
      </c>
      <c r="T18" s="214" t="s">
        <v>321</v>
      </c>
      <c r="U18" s="214"/>
    </row>
    <row r="19">
      <c r="A19" s="221">
        <v>45902.61792826389</v>
      </c>
      <c r="B19" s="214" t="s">
        <v>95</v>
      </c>
      <c r="C19" s="214" t="s">
        <v>165</v>
      </c>
      <c r="D19" s="214">
        <v>0.0</v>
      </c>
      <c r="E19" s="214">
        <v>1.0</v>
      </c>
      <c r="F19" s="214" t="s">
        <v>925</v>
      </c>
      <c r="G19" s="221">
        <v>45906.8125</v>
      </c>
      <c r="H19" s="214" t="s">
        <v>43</v>
      </c>
      <c r="I19" s="214" t="s">
        <v>926</v>
      </c>
      <c r="J19" s="222"/>
      <c r="K19" s="222"/>
      <c r="L19" s="222"/>
      <c r="M19" s="222"/>
      <c r="N19" s="214">
        <v>0.0</v>
      </c>
      <c r="O19" s="214">
        <v>31.0</v>
      </c>
      <c r="P19" s="214">
        <v>1.0</v>
      </c>
      <c r="Q19" s="214" t="b">
        <v>0</v>
      </c>
      <c r="R19" s="214">
        <v>100.0</v>
      </c>
      <c r="S19" s="214" t="s">
        <v>530</v>
      </c>
      <c r="T19" s="214" t="s">
        <v>365</v>
      </c>
      <c r="U19" s="214"/>
    </row>
    <row r="20">
      <c r="A20" s="221">
        <v>45902.61792826389</v>
      </c>
      <c r="B20" s="214" t="s">
        <v>95</v>
      </c>
      <c r="C20" s="214" t="s">
        <v>117</v>
      </c>
      <c r="D20" s="214">
        <v>1.0</v>
      </c>
      <c r="E20" s="214">
        <v>0.0</v>
      </c>
      <c r="F20" s="214" t="s">
        <v>940</v>
      </c>
      <c r="G20" s="221">
        <v>45906.5</v>
      </c>
      <c r="H20" s="214" t="s">
        <v>96</v>
      </c>
      <c r="I20" s="214" t="s">
        <v>924</v>
      </c>
      <c r="J20" s="222" t="s">
        <v>67</v>
      </c>
      <c r="K20" s="222">
        <v>-5.0</v>
      </c>
      <c r="L20" s="222" t="s">
        <v>67</v>
      </c>
      <c r="M20" s="222">
        <v>58.5</v>
      </c>
      <c r="N20" s="214">
        <v>24.0</v>
      </c>
      <c r="O20" s="214">
        <v>17.0</v>
      </c>
      <c r="P20" s="214">
        <v>1.0</v>
      </c>
      <c r="Q20" s="214" t="b">
        <v>0</v>
      </c>
      <c r="R20" s="214">
        <v>100.0</v>
      </c>
      <c r="S20" s="214" t="s">
        <v>317</v>
      </c>
      <c r="T20" s="214" t="s">
        <v>321</v>
      </c>
      <c r="U20" s="214"/>
    </row>
    <row r="21">
      <c r="A21" s="221">
        <v>45902.61792826389</v>
      </c>
      <c r="B21" s="214" t="s">
        <v>95</v>
      </c>
      <c r="C21" s="214" t="s">
        <v>233</v>
      </c>
      <c r="D21" s="214">
        <v>0.0</v>
      </c>
      <c r="E21" s="214">
        <v>1.0</v>
      </c>
      <c r="F21" s="214" t="s">
        <v>941</v>
      </c>
      <c r="G21" s="221">
        <v>45906.5</v>
      </c>
      <c r="H21" s="214" t="s">
        <v>132</v>
      </c>
      <c r="I21" s="214" t="s">
        <v>933</v>
      </c>
      <c r="J21" s="222"/>
      <c r="K21" s="222"/>
      <c r="L21" s="222"/>
      <c r="M21" s="222"/>
      <c r="N21" s="214">
        <v>9.0</v>
      </c>
      <c r="O21" s="214">
        <v>10.0</v>
      </c>
      <c r="P21" s="214">
        <v>1.0</v>
      </c>
      <c r="Q21" s="214" t="b">
        <v>0</v>
      </c>
      <c r="R21" s="214">
        <v>100.0</v>
      </c>
      <c r="S21" s="214" t="s">
        <v>535</v>
      </c>
      <c r="T21" s="214" t="s">
        <v>365</v>
      </c>
      <c r="U21" s="214"/>
    </row>
    <row r="22">
      <c r="A22" s="221">
        <v>45902.61792826389</v>
      </c>
      <c r="B22" s="214" t="s">
        <v>95</v>
      </c>
      <c r="C22" s="214" t="s">
        <v>130</v>
      </c>
      <c r="D22" s="214">
        <v>1.0</v>
      </c>
      <c r="E22" s="214">
        <v>0.0</v>
      </c>
      <c r="F22" s="214"/>
      <c r="G22" s="214"/>
      <c r="H22" s="214"/>
      <c r="I22" s="214"/>
      <c r="J22" s="222"/>
      <c r="K22" s="222"/>
      <c r="L22" s="222"/>
      <c r="M22" s="222"/>
      <c r="N22" s="214">
        <v>48.0</v>
      </c>
      <c r="O22" s="214">
        <v>14.0</v>
      </c>
      <c r="P22" s="214">
        <v>3.0</v>
      </c>
      <c r="Q22" s="214" t="b">
        <v>1</v>
      </c>
      <c r="R22" s="214">
        <v>100.0</v>
      </c>
      <c r="S22" s="214" t="s">
        <v>471</v>
      </c>
      <c r="T22" s="214" t="s">
        <v>321</v>
      </c>
      <c r="U22" s="214"/>
    </row>
    <row r="23">
      <c r="A23" s="221">
        <v>45902.61792826389</v>
      </c>
      <c r="B23" s="214"/>
      <c r="C23" s="214"/>
      <c r="D23" s="214"/>
      <c r="E23" s="214"/>
      <c r="F23" s="214"/>
      <c r="G23" s="214"/>
      <c r="H23" s="214"/>
      <c r="I23" s="214"/>
      <c r="J23" s="222"/>
      <c r="K23" s="222"/>
      <c r="L23" s="222"/>
      <c r="M23" s="222"/>
      <c r="N23" s="214"/>
      <c r="O23" s="214"/>
      <c r="P23" s="214"/>
      <c r="Q23" s="214"/>
      <c r="R23" s="214"/>
      <c r="S23" s="214"/>
      <c r="T23" s="214"/>
      <c r="U23" s="214"/>
    </row>
    <row r="24">
      <c r="A24" s="221">
        <v>45902.61792826389</v>
      </c>
      <c r="B24" s="214" t="s">
        <v>62</v>
      </c>
      <c r="C24" s="214" t="s">
        <v>163</v>
      </c>
      <c r="D24" s="214">
        <v>1.0</v>
      </c>
      <c r="E24" s="214">
        <v>0.0</v>
      </c>
      <c r="F24" s="214" t="s">
        <v>942</v>
      </c>
      <c r="G24" s="221">
        <v>45906.64583333333</v>
      </c>
      <c r="H24" s="214" t="s">
        <v>224</v>
      </c>
      <c r="I24" s="214" t="s">
        <v>943</v>
      </c>
      <c r="J24" s="222"/>
      <c r="K24" s="222"/>
      <c r="L24" s="222"/>
      <c r="M24" s="222"/>
      <c r="N24" s="214">
        <v>52.0</v>
      </c>
      <c r="O24" s="214">
        <v>42.0</v>
      </c>
      <c r="P24" s="214">
        <v>1.0</v>
      </c>
      <c r="Q24" s="214" t="b">
        <v>1</v>
      </c>
      <c r="R24" s="214">
        <v>100.0</v>
      </c>
      <c r="S24" s="214" t="s">
        <v>361</v>
      </c>
      <c r="T24" s="214" t="s">
        <v>365</v>
      </c>
      <c r="U24" s="214"/>
    </row>
    <row r="25">
      <c r="A25" s="221">
        <v>45902.61792826389</v>
      </c>
      <c r="B25" s="214" t="s">
        <v>62</v>
      </c>
      <c r="C25" s="214" t="s">
        <v>155</v>
      </c>
      <c r="D25" s="214">
        <v>0.0</v>
      </c>
      <c r="E25" s="214">
        <v>1.0</v>
      </c>
      <c r="F25" s="214" t="s">
        <v>944</v>
      </c>
      <c r="G25" s="221">
        <v>45906.75</v>
      </c>
      <c r="H25" s="214"/>
      <c r="I25" s="214" t="s">
        <v>920</v>
      </c>
      <c r="J25" s="222"/>
      <c r="K25" s="222"/>
      <c r="L25" s="222"/>
      <c r="M25" s="222"/>
      <c r="N25" s="214">
        <v>14.0</v>
      </c>
      <c r="O25" s="214">
        <v>27.0</v>
      </c>
      <c r="P25" s="214">
        <v>1.0</v>
      </c>
      <c r="Q25" s="214" t="b">
        <v>0</v>
      </c>
      <c r="R25" s="214">
        <v>100.0</v>
      </c>
      <c r="S25" s="214" t="s">
        <v>441</v>
      </c>
      <c r="T25" s="214" t="s">
        <v>365</v>
      </c>
      <c r="U25" s="214"/>
    </row>
    <row r="26">
      <c r="A26" s="221">
        <v>45902.61792826389</v>
      </c>
      <c r="B26" s="214" t="s">
        <v>62</v>
      </c>
      <c r="C26" s="214" t="s">
        <v>190</v>
      </c>
      <c r="D26" s="214">
        <v>1.0</v>
      </c>
      <c r="E26" s="214">
        <v>0.0</v>
      </c>
      <c r="F26" s="214" t="s">
        <v>945</v>
      </c>
      <c r="G26" s="221">
        <v>45906.75</v>
      </c>
      <c r="H26" s="214"/>
      <c r="I26" s="214" t="s">
        <v>946</v>
      </c>
      <c r="J26" s="222" t="s">
        <v>67</v>
      </c>
      <c r="K26" s="222">
        <v>-1.5</v>
      </c>
      <c r="L26" s="222" t="s">
        <v>67</v>
      </c>
      <c r="M26" s="222">
        <v>49.5</v>
      </c>
      <c r="N26" s="214">
        <v>34.0</v>
      </c>
      <c r="O26" s="214">
        <v>15.0</v>
      </c>
      <c r="P26" s="214">
        <v>1.0</v>
      </c>
      <c r="Q26" s="214" t="b">
        <v>0</v>
      </c>
      <c r="R26" s="214">
        <v>100.0</v>
      </c>
      <c r="S26" s="214" t="s">
        <v>317</v>
      </c>
      <c r="T26" s="214" t="s">
        <v>321</v>
      </c>
      <c r="U26" s="214"/>
    </row>
    <row r="27">
      <c r="A27" s="221">
        <v>45902.61792826389</v>
      </c>
      <c r="B27" s="214" t="s">
        <v>62</v>
      </c>
      <c r="C27" s="214" t="s">
        <v>127</v>
      </c>
      <c r="D27" s="214">
        <v>1.0</v>
      </c>
      <c r="E27" s="214">
        <v>1.0</v>
      </c>
      <c r="F27" s="214" t="s">
        <v>947</v>
      </c>
      <c r="G27" s="221">
        <v>45906.79166666667</v>
      </c>
      <c r="H27" s="214" t="s">
        <v>395</v>
      </c>
      <c r="I27" s="214" t="s">
        <v>948</v>
      </c>
      <c r="J27" s="222" t="s">
        <v>67</v>
      </c>
      <c r="K27" s="222">
        <v>-6.5</v>
      </c>
      <c r="L27" s="222" t="s">
        <v>67</v>
      </c>
      <c r="M27" s="222">
        <v>51.5</v>
      </c>
      <c r="N27" s="214">
        <v>59.0</v>
      </c>
      <c r="O27" s="214">
        <v>59.0</v>
      </c>
      <c r="P27" s="214">
        <v>1.0</v>
      </c>
      <c r="Q27" s="214" t="b">
        <v>1</v>
      </c>
      <c r="R27" s="214">
        <v>100.0</v>
      </c>
      <c r="S27" s="214" t="s">
        <v>471</v>
      </c>
      <c r="T27" s="214" t="s">
        <v>321</v>
      </c>
      <c r="U27" s="214"/>
    </row>
    <row r="28">
      <c r="A28" s="221">
        <v>45902.61792826389</v>
      </c>
      <c r="B28" s="214" t="s">
        <v>62</v>
      </c>
      <c r="C28" s="214" t="s">
        <v>178</v>
      </c>
      <c r="D28" s="214">
        <v>0.0</v>
      </c>
      <c r="E28" s="214">
        <v>1.0</v>
      </c>
      <c r="F28" s="214" t="s">
        <v>949</v>
      </c>
      <c r="G28" s="221">
        <v>45906.79166666667</v>
      </c>
      <c r="H28" s="214"/>
      <c r="I28" s="214" t="s">
        <v>920</v>
      </c>
      <c r="J28" s="222" t="s">
        <v>67</v>
      </c>
      <c r="K28" s="222">
        <v>2.5</v>
      </c>
      <c r="L28" s="222" t="s">
        <v>67</v>
      </c>
      <c r="M28" s="222">
        <v>42.5</v>
      </c>
      <c r="N28" s="214">
        <v>21.0</v>
      </c>
      <c r="O28" s="214">
        <v>38.0</v>
      </c>
      <c r="P28" s="214">
        <v>1.0</v>
      </c>
      <c r="Q28" s="214" t="b">
        <v>0</v>
      </c>
      <c r="R28" s="214">
        <v>100.0</v>
      </c>
      <c r="S28" s="214" t="s">
        <v>525</v>
      </c>
      <c r="T28" s="214" t="s">
        <v>365</v>
      </c>
      <c r="U28" s="214"/>
    </row>
    <row r="29">
      <c r="A29" s="221">
        <v>45902.61792826389</v>
      </c>
      <c r="B29" s="214" t="s">
        <v>62</v>
      </c>
      <c r="C29" s="214" t="s">
        <v>304</v>
      </c>
      <c r="D29" s="214">
        <v>0.0</v>
      </c>
      <c r="E29" s="214">
        <v>1.0</v>
      </c>
      <c r="F29" s="214" t="s">
        <v>950</v>
      </c>
      <c r="G29" s="221">
        <v>45906.79166666667</v>
      </c>
      <c r="H29" s="214"/>
      <c r="I29" s="214" t="s">
        <v>920</v>
      </c>
      <c r="J29" s="222"/>
      <c r="K29" s="222"/>
      <c r="L29" s="222"/>
      <c r="M29" s="222"/>
      <c r="N29" s="214">
        <v>27.0</v>
      </c>
      <c r="O29" s="214">
        <v>52.0</v>
      </c>
      <c r="P29" s="214">
        <v>1.0</v>
      </c>
      <c r="Q29" s="214" t="b">
        <v>0</v>
      </c>
      <c r="R29" s="214">
        <v>100.0</v>
      </c>
      <c r="S29" s="214" t="s">
        <v>530</v>
      </c>
      <c r="T29" s="214" t="s">
        <v>365</v>
      </c>
      <c r="U29" s="214"/>
    </row>
    <row r="30">
      <c r="A30" s="221">
        <v>45902.61792826389</v>
      </c>
      <c r="B30" s="214" t="s">
        <v>62</v>
      </c>
      <c r="C30" s="214" t="s">
        <v>201</v>
      </c>
      <c r="D30" s="214">
        <v>0.0</v>
      </c>
      <c r="E30" s="214">
        <v>1.0</v>
      </c>
      <c r="F30" s="214" t="s">
        <v>951</v>
      </c>
      <c r="G30" s="221">
        <v>45906.82291666667</v>
      </c>
      <c r="H30" s="214" t="s">
        <v>493</v>
      </c>
      <c r="I30" s="214" t="s">
        <v>952</v>
      </c>
      <c r="J30" s="222" t="s">
        <v>67</v>
      </c>
      <c r="K30" s="222">
        <v>-10.5</v>
      </c>
      <c r="L30" s="222" t="s">
        <v>67</v>
      </c>
      <c r="M30" s="222">
        <v>43.5</v>
      </c>
      <c r="N30" s="214">
        <v>17.0</v>
      </c>
      <c r="O30" s="214">
        <v>31.0</v>
      </c>
      <c r="P30" s="214">
        <v>1.0</v>
      </c>
      <c r="Q30" s="214" t="b">
        <v>0</v>
      </c>
      <c r="R30" s="214">
        <v>100.0</v>
      </c>
      <c r="S30" s="214" t="s">
        <v>556</v>
      </c>
      <c r="T30" s="214" t="s">
        <v>321</v>
      </c>
      <c r="U30" s="214"/>
    </row>
    <row r="31">
      <c r="A31" s="221">
        <v>45902.61792826389</v>
      </c>
      <c r="B31" s="214" t="s">
        <v>62</v>
      </c>
      <c r="C31" s="214" t="s">
        <v>196</v>
      </c>
      <c r="D31" s="214">
        <v>0.0</v>
      </c>
      <c r="E31" s="214">
        <v>1.0</v>
      </c>
      <c r="F31" s="214" t="s">
        <v>953</v>
      </c>
      <c r="G31" s="221">
        <v>45906.83333333333</v>
      </c>
      <c r="H31" s="214" t="s">
        <v>224</v>
      </c>
      <c r="I31" s="214" t="s">
        <v>943</v>
      </c>
      <c r="J31" s="222"/>
      <c r="K31" s="222"/>
      <c r="L31" s="222"/>
      <c r="M31" s="222"/>
      <c r="N31" s="214">
        <v>10.0</v>
      </c>
      <c r="O31" s="214">
        <v>43.0</v>
      </c>
      <c r="P31" s="214">
        <v>1.0</v>
      </c>
      <c r="Q31" s="214" t="b">
        <v>1</v>
      </c>
      <c r="R31" s="214">
        <v>100.0</v>
      </c>
      <c r="S31" s="214" t="s">
        <v>407</v>
      </c>
      <c r="T31" s="214" t="s">
        <v>321</v>
      </c>
      <c r="U31" s="214"/>
    </row>
    <row r="32">
      <c r="A32" s="221">
        <v>45902.61792826389</v>
      </c>
      <c r="B32" s="214" t="s">
        <v>62</v>
      </c>
      <c r="C32" s="214" t="s">
        <v>199</v>
      </c>
      <c r="D32" s="214">
        <v>1.0</v>
      </c>
      <c r="E32" s="214">
        <v>0.0</v>
      </c>
      <c r="F32" s="214" t="s">
        <v>954</v>
      </c>
      <c r="G32" s="221">
        <v>45906.95833333333</v>
      </c>
      <c r="H32" s="214"/>
      <c r="I32" s="214" t="s">
        <v>929</v>
      </c>
      <c r="J32" s="222" t="s">
        <v>67</v>
      </c>
      <c r="K32" s="222">
        <v>2.5</v>
      </c>
      <c r="L32" s="222" t="s">
        <v>67</v>
      </c>
      <c r="M32" s="222">
        <v>49.5</v>
      </c>
      <c r="N32" s="214">
        <v>38.0</v>
      </c>
      <c r="O32" s="214">
        <v>21.0</v>
      </c>
      <c r="P32" s="214">
        <v>1.0</v>
      </c>
      <c r="Q32" s="214" t="b">
        <v>0</v>
      </c>
      <c r="R32" s="214">
        <v>100.0</v>
      </c>
      <c r="S32" s="214" t="s">
        <v>407</v>
      </c>
      <c r="T32" s="214" t="s">
        <v>321</v>
      </c>
      <c r="U32" s="214"/>
    </row>
    <row r="33">
      <c r="A33" s="221">
        <v>45902.61792826389</v>
      </c>
      <c r="B33" s="214" t="s">
        <v>62</v>
      </c>
      <c r="C33" s="214" t="s">
        <v>227</v>
      </c>
      <c r="D33" s="214">
        <v>1.0</v>
      </c>
      <c r="E33" s="214">
        <v>0.0</v>
      </c>
      <c r="F33" s="214" t="s">
        <v>955</v>
      </c>
      <c r="G33" s="221">
        <v>45906.5</v>
      </c>
      <c r="H33" s="214" t="s">
        <v>156</v>
      </c>
      <c r="I33" s="214" t="s">
        <v>943</v>
      </c>
      <c r="J33" s="222" t="s">
        <v>67</v>
      </c>
      <c r="K33" s="222">
        <v>-2.5</v>
      </c>
      <c r="L33" s="222" t="s">
        <v>67</v>
      </c>
      <c r="M33" s="222">
        <v>52.5</v>
      </c>
      <c r="N33" s="214">
        <v>28.0</v>
      </c>
      <c r="O33" s="214">
        <v>7.0</v>
      </c>
      <c r="P33" s="214">
        <v>1.0</v>
      </c>
      <c r="Q33" s="214" t="b">
        <v>1</v>
      </c>
      <c r="R33" s="214">
        <v>100.0</v>
      </c>
      <c r="S33" s="214" t="s">
        <v>535</v>
      </c>
      <c r="T33" s="214" t="s">
        <v>365</v>
      </c>
      <c r="U33" s="214"/>
    </row>
    <row r="34">
      <c r="A34" s="221">
        <v>45902.61792826389</v>
      </c>
      <c r="B34" s="214"/>
      <c r="C34" s="214"/>
      <c r="D34" s="214"/>
      <c r="E34" s="214"/>
      <c r="F34" s="214"/>
      <c r="G34" s="214"/>
      <c r="H34" s="214"/>
      <c r="I34" s="214"/>
      <c r="J34" s="222"/>
      <c r="K34" s="222"/>
      <c r="L34" s="222"/>
      <c r="M34" s="222"/>
      <c r="N34" s="214"/>
      <c r="O34" s="214"/>
      <c r="P34" s="214"/>
      <c r="Q34" s="214"/>
      <c r="R34" s="214"/>
      <c r="S34" s="214"/>
      <c r="T34" s="214"/>
      <c r="U34" s="214"/>
    </row>
    <row r="35">
      <c r="A35" s="221">
        <v>45902.61792826389</v>
      </c>
      <c r="B35" s="214" t="s">
        <v>193</v>
      </c>
      <c r="C35" s="214" t="s">
        <v>182</v>
      </c>
      <c r="D35" s="214">
        <v>0.0</v>
      </c>
      <c r="E35" s="214">
        <v>1.0</v>
      </c>
      <c r="F35" s="214" t="s">
        <v>956</v>
      </c>
      <c r="G35" s="221">
        <v>45906.625</v>
      </c>
      <c r="H35" s="214"/>
      <c r="I35" s="214" t="s">
        <v>957</v>
      </c>
      <c r="J35" s="222"/>
      <c r="K35" s="222"/>
      <c r="L35" s="222"/>
      <c r="M35" s="222"/>
      <c r="N35" s="214">
        <v>17.0</v>
      </c>
      <c r="O35" s="214">
        <v>34.0</v>
      </c>
      <c r="P35" s="214">
        <v>1.0</v>
      </c>
      <c r="Q35" s="214" t="b">
        <v>0</v>
      </c>
      <c r="R35" s="214">
        <v>100.0</v>
      </c>
      <c r="S35" s="214" t="s">
        <v>525</v>
      </c>
      <c r="T35" s="214" t="s">
        <v>365</v>
      </c>
      <c r="U35" s="214"/>
    </row>
    <row r="36">
      <c r="A36" s="221">
        <v>45902.61792826389</v>
      </c>
      <c r="B36" s="214" t="s">
        <v>193</v>
      </c>
      <c r="C36" s="214" t="s">
        <v>144</v>
      </c>
      <c r="D36" s="214">
        <v>1.0</v>
      </c>
      <c r="E36" s="214">
        <v>0.0</v>
      </c>
      <c r="F36" s="214" t="s">
        <v>958</v>
      </c>
      <c r="G36" s="221">
        <v>45906.64583333333</v>
      </c>
      <c r="H36" s="214"/>
      <c r="I36" s="214" t="s">
        <v>929</v>
      </c>
      <c r="J36" s="222" t="s">
        <v>67</v>
      </c>
      <c r="K36" s="222">
        <v>-7.5</v>
      </c>
      <c r="L36" s="222" t="s">
        <v>67</v>
      </c>
      <c r="M36" s="222">
        <v>46.5</v>
      </c>
      <c r="N36" s="214">
        <v>14.0</v>
      </c>
      <c r="O36" s="214">
        <v>7.0</v>
      </c>
      <c r="P36" s="214">
        <v>1.0</v>
      </c>
      <c r="Q36" s="214" t="b">
        <v>0</v>
      </c>
      <c r="R36" s="214">
        <v>100.0</v>
      </c>
      <c r="S36" s="214" t="s">
        <v>407</v>
      </c>
      <c r="T36" s="214" t="s">
        <v>321</v>
      </c>
      <c r="U36" s="214"/>
    </row>
    <row r="37">
      <c r="A37" s="221">
        <v>45902.61792826389</v>
      </c>
      <c r="B37" s="214" t="s">
        <v>193</v>
      </c>
      <c r="C37" s="214" t="s">
        <v>211</v>
      </c>
      <c r="D37" s="214">
        <v>1.0</v>
      </c>
      <c r="E37" s="214">
        <v>0.0</v>
      </c>
      <c r="F37" s="214" t="s">
        <v>959</v>
      </c>
      <c r="G37" s="221">
        <v>45906.64583333333</v>
      </c>
      <c r="H37" s="214"/>
      <c r="I37" s="214" t="s">
        <v>946</v>
      </c>
      <c r="J37" s="222" t="s">
        <v>67</v>
      </c>
      <c r="K37" s="222">
        <v>5.5</v>
      </c>
      <c r="L37" s="222" t="s">
        <v>67</v>
      </c>
      <c r="M37" s="222">
        <v>52.5</v>
      </c>
      <c r="N37" s="214">
        <v>45.0</v>
      </c>
      <c r="O37" s="214">
        <v>26.0</v>
      </c>
      <c r="P37" s="214">
        <v>1.0</v>
      </c>
      <c r="Q37" s="214" t="b">
        <v>0</v>
      </c>
      <c r="R37" s="214">
        <v>100.0</v>
      </c>
      <c r="S37" s="214" t="s">
        <v>556</v>
      </c>
      <c r="T37" s="214" t="s">
        <v>321</v>
      </c>
      <c r="U37" s="214"/>
    </row>
    <row r="38">
      <c r="A38" s="221">
        <v>45902.61792826389</v>
      </c>
      <c r="B38" s="214" t="s">
        <v>193</v>
      </c>
      <c r="C38" s="214" t="s">
        <v>126</v>
      </c>
      <c r="D38" s="214">
        <v>2.0</v>
      </c>
      <c r="E38" s="214">
        <v>0.0</v>
      </c>
      <c r="F38" s="214" t="s">
        <v>960</v>
      </c>
      <c r="G38" s="221">
        <v>45906.64583333333</v>
      </c>
      <c r="H38" s="214" t="s">
        <v>156</v>
      </c>
      <c r="I38" s="214" t="s">
        <v>924</v>
      </c>
      <c r="J38" s="222"/>
      <c r="K38" s="222"/>
      <c r="L38" s="222"/>
      <c r="M38" s="222"/>
      <c r="N38" s="214">
        <v>77.0</v>
      </c>
      <c r="O38" s="214">
        <v>14.0</v>
      </c>
      <c r="P38" s="214">
        <v>1.0</v>
      </c>
      <c r="Q38" s="214" t="b">
        <v>1</v>
      </c>
      <c r="R38" s="214">
        <v>100.0</v>
      </c>
      <c r="S38" s="214" t="s">
        <v>471</v>
      </c>
      <c r="T38" s="214" t="s">
        <v>321</v>
      </c>
      <c r="U38" s="214"/>
    </row>
    <row r="39">
      <c r="A39" s="221">
        <v>45902.61792826389</v>
      </c>
      <c r="B39" s="214" t="s">
        <v>193</v>
      </c>
      <c r="C39" s="214" t="s">
        <v>194</v>
      </c>
      <c r="D39" s="214">
        <v>0.0</v>
      </c>
      <c r="E39" s="214">
        <v>1.0</v>
      </c>
      <c r="F39" s="214" t="s">
        <v>961</v>
      </c>
      <c r="G39" s="221">
        <v>45906.64583333333</v>
      </c>
      <c r="H39" s="214" t="s">
        <v>395</v>
      </c>
      <c r="I39" s="214" t="s">
        <v>962</v>
      </c>
      <c r="J39" s="222"/>
      <c r="K39" s="222"/>
      <c r="L39" s="222"/>
      <c r="M39" s="222"/>
      <c r="N39" s="214">
        <v>15.0</v>
      </c>
      <c r="O39" s="214">
        <v>34.0</v>
      </c>
      <c r="P39" s="214">
        <v>1.0</v>
      </c>
      <c r="Q39" s="214" t="b">
        <v>1</v>
      </c>
      <c r="R39" s="214">
        <v>100.0</v>
      </c>
      <c r="S39" s="214" t="s">
        <v>680</v>
      </c>
      <c r="T39" s="214" t="s">
        <v>365</v>
      </c>
      <c r="U39" s="214"/>
    </row>
    <row r="40">
      <c r="A40" s="221">
        <v>45902.61792826389</v>
      </c>
      <c r="B40" s="214" t="s">
        <v>193</v>
      </c>
      <c r="C40" s="214" t="s">
        <v>150</v>
      </c>
      <c r="D40" s="214">
        <v>0.0</v>
      </c>
      <c r="E40" s="214">
        <v>1.0</v>
      </c>
      <c r="F40" s="214" t="s">
        <v>963</v>
      </c>
      <c r="G40" s="221">
        <v>45906.75</v>
      </c>
      <c r="H40" s="214"/>
      <c r="I40" s="214" t="s">
        <v>920</v>
      </c>
      <c r="J40" s="222"/>
      <c r="K40" s="222"/>
      <c r="L40" s="222"/>
      <c r="M40" s="222"/>
      <c r="N40" s="214">
        <v>7.0</v>
      </c>
      <c r="O40" s="214">
        <v>39.0</v>
      </c>
      <c r="P40" s="214">
        <v>1.0</v>
      </c>
      <c r="Q40" s="214" t="b">
        <v>0</v>
      </c>
      <c r="R40" s="214">
        <v>100.0</v>
      </c>
      <c r="S40" s="214" t="s">
        <v>361</v>
      </c>
      <c r="T40" s="214" t="s">
        <v>365</v>
      </c>
      <c r="U40" s="214"/>
    </row>
    <row r="41">
      <c r="A41" s="221">
        <v>45902.61792826389</v>
      </c>
      <c r="B41" s="214" t="s">
        <v>193</v>
      </c>
      <c r="C41" s="214" t="s">
        <v>164</v>
      </c>
      <c r="D41" s="214">
        <v>0.0</v>
      </c>
      <c r="E41" s="214">
        <v>1.0</v>
      </c>
      <c r="F41" s="214" t="s">
        <v>964</v>
      </c>
      <c r="G41" s="221">
        <v>45906.8125</v>
      </c>
      <c r="H41" s="214" t="s">
        <v>96</v>
      </c>
      <c r="I41" s="214" t="s">
        <v>929</v>
      </c>
      <c r="J41" s="222"/>
      <c r="K41" s="222"/>
      <c r="L41" s="222"/>
      <c r="M41" s="222"/>
      <c r="N41" s="214">
        <v>0.0</v>
      </c>
      <c r="O41" s="214">
        <v>10.0</v>
      </c>
      <c r="P41" s="214">
        <v>1.0</v>
      </c>
      <c r="Q41" s="214" t="b">
        <v>0</v>
      </c>
      <c r="R41" s="214">
        <v>100.0</v>
      </c>
      <c r="S41" s="214" t="s">
        <v>530</v>
      </c>
      <c r="T41" s="214" t="s">
        <v>365</v>
      </c>
      <c r="U41" s="214"/>
    </row>
    <row r="42">
      <c r="A42" s="221">
        <v>45902.61792826389</v>
      </c>
      <c r="B42" s="214" t="s">
        <v>193</v>
      </c>
      <c r="C42" s="214" t="s">
        <v>552</v>
      </c>
      <c r="D42" s="214">
        <v>0.0</v>
      </c>
      <c r="E42" s="214">
        <v>1.0</v>
      </c>
      <c r="F42" s="214" t="s">
        <v>965</v>
      </c>
      <c r="G42" s="221">
        <v>45906.83333333333</v>
      </c>
      <c r="H42" s="214"/>
      <c r="I42" s="214"/>
      <c r="J42" s="222" t="s">
        <v>67</v>
      </c>
      <c r="K42" s="222">
        <v>12.5</v>
      </c>
      <c r="L42" s="222" t="s">
        <v>67</v>
      </c>
      <c r="M42" s="222">
        <v>58.5</v>
      </c>
      <c r="N42" s="214">
        <v>12.0</v>
      </c>
      <c r="O42" s="214">
        <v>14.0</v>
      </c>
      <c r="P42" s="214">
        <v>1.0</v>
      </c>
      <c r="Q42" s="214" t="b">
        <v>0</v>
      </c>
      <c r="R42" s="214">
        <v>100.0</v>
      </c>
      <c r="S42" s="214" t="s">
        <v>441</v>
      </c>
      <c r="T42" s="214" t="s">
        <v>365</v>
      </c>
      <c r="U42" s="214"/>
    </row>
    <row r="43">
      <c r="A43" s="221">
        <v>45902.61792826389</v>
      </c>
      <c r="B43" s="214" t="s">
        <v>193</v>
      </c>
      <c r="C43" s="214" t="s">
        <v>104</v>
      </c>
      <c r="D43" s="214">
        <v>1.0</v>
      </c>
      <c r="E43" s="214">
        <v>0.0</v>
      </c>
      <c r="F43" s="214" t="s">
        <v>966</v>
      </c>
      <c r="G43" s="221">
        <v>45906.5</v>
      </c>
      <c r="H43" s="214" t="s">
        <v>249</v>
      </c>
      <c r="I43" s="214" t="s">
        <v>962</v>
      </c>
      <c r="J43" s="222" t="s">
        <v>67</v>
      </c>
      <c r="K43" s="222">
        <v>-5.5</v>
      </c>
      <c r="L43" s="222" t="s">
        <v>67</v>
      </c>
      <c r="M43" s="222">
        <v>59.5</v>
      </c>
      <c r="N43" s="214">
        <v>42.0</v>
      </c>
      <c r="O43" s="214">
        <v>13.0</v>
      </c>
      <c r="P43" s="214">
        <v>1.0</v>
      </c>
      <c r="Q43" s="214" t="b">
        <v>0</v>
      </c>
      <c r="R43" s="214">
        <v>100.0</v>
      </c>
      <c r="S43" s="214" t="s">
        <v>317</v>
      </c>
      <c r="T43" s="214" t="s">
        <v>321</v>
      </c>
      <c r="U43" s="214"/>
    </row>
    <row r="44">
      <c r="A44" s="221">
        <v>45902.61792826389</v>
      </c>
      <c r="B44" s="214" t="s">
        <v>193</v>
      </c>
      <c r="C44" s="214" t="s">
        <v>236</v>
      </c>
      <c r="D44" s="214"/>
      <c r="E44" s="214"/>
      <c r="F44" s="214"/>
      <c r="G44" s="214"/>
      <c r="H44" s="214"/>
      <c r="I44" s="214"/>
      <c r="J44" s="222"/>
      <c r="K44" s="222"/>
      <c r="L44" s="222"/>
      <c r="M44" s="222"/>
      <c r="N44" s="214"/>
      <c r="O44" s="214"/>
      <c r="P44" s="214"/>
      <c r="Q44" s="214"/>
      <c r="R44" s="214"/>
      <c r="S44" s="214" t="s">
        <v>535</v>
      </c>
      <c r="T44" s="214" t="s">
        <v>365</v>
      </c>
      <c r="U44" s="214"/>
    </row>
    <row r="45">
      <c r="A45" s="221">
        <v>45902.61792826389</v>
      </c>
      <c r="B45" s="214"/>
      <c r="C45" s="214"/>
      <c r="D45" s="214"/>
      <c r="E45" s="214"/>
      <c r="F45" s="214"/>
      <c r="G45" s="214"/>
      <c r="H45" s="214"/>
      <c r="I45" s="214"/>
      <c r="J45" s="222"/>
      <c r="K45" s="222"/>
      <c r="L45" s="222"/>
      <c r="M45" s="222"/>
      <c r="N45" s="214"/>
      <c r="O45" s="214"/>
      <c r="P45" s="214"/>
      <c r="Q45" s="214"/>
      <c r="R45" s="214"/>
      <c r="S45" s="214"/>
      <c r="T45" s="214"/>
      <c r="U45" s="214"/>
    </row>
    <row r="46">
      <c r="A46" s="221">
        <v>45902.61792826389</v>
      </c>
      <c r="B46" s="214" t="s">
        <v>311</v>
      </c>
      <c r="C46" s="214" t="s">
        <v>172</v>
      </c>
      <c r="D46" s="214">
        <v>1.0</v>
      </c>
      <c r="E46" s="214">
        <v>0.0</v>
      </c>
      <c r="F46" s="214" t="s">
        <v>967</v>
      </c>
      <c r="G46" s="221">
        <v>45905.8125</v>
      </c>
      <c r="H46" s="214" t="s">
        <v>493</v>
      </c>
      <c r="I46" s="214" t="s">
        <v>929</v>
      </c>
      <c r="J46" s="222" t="s">
        <v>67</v>
      </c>
      <c r="K46" s="222">
        <v>-2.5</v>
      </c>
      <c r="L46" s="222" t="s">
        <v>67</v>
      </c>
      <c r="M46" s="222">
        <v>40.5</v>
      </c>
      <c r="N46" s="214">
        <v>19.0</v>
      </c>
      <c r="O46" s="214">
        <v>17.0</v>
      </c>
      <c r="P46" s="214">
        <v>1.0</v>
      </c>
      <c r="Q46" s="214" t="b">
        <v>1</v>
      </c>
      <c r="R46" s="214">
        <v>100.0</v>
      </c>
      <c r="S46" s="214" t="s">
        <v>530</v>
      </c>
      <c r="T46" s="214" t="s">
        <v>365</v>
      </c>
      <c r="U46" s="214"/>
    </row>
    <row r="47">
      <c r="A47" s="221">
        <v>45902.61792826389</v>
      </c>
      <c r="B47" s="214" t="s">
        <v>311</v>
      </c>
      <c r="C47" s="214" t="s">
        <v>192</v>
      </c>
      <c r="D47" s="214">
        <v>1.0</v>
      </c>
      <c r="E47" s="214">
        <v>0.0</v>
      </c>
      <c r="F47" s="214" t="s">
        <v>968</v>
      </c>
      <c r="G47" s="221">
        <v>45906.64583333333</v>
      </c>
      <c r="H47" s="214" t="s">
        <v>96</v>
      </c>
      <c r="I47" s="214" t="s">
        <v>969</v>
      </c>
      <c r="J47" s="222" t="s">
        <v>67</v>
      </c>
      <c r="K47" s="222">
        <v>-1.5</v>
      </c>
      <c r="L47" s="222" t="s">
        <v>67</v>
      </c>
      <c r="M47" s="222">
        <v>53.5</v>
      </c>
      <c r="N47" s="214">
        <v>59.0</v>
      </c>
      <c r="O47" s="214">
        <v>13.0</v>
      </c>
      <c r="P47" s="214">
        <v>1.0</v>
      </c>
      <c r="Q47" s="214" t="b">
        <v>0</v>
      </c>
      <c r="R47" s="214">
        <v>100.0</v>
      </c>
      <c r="S47" s="214" t="s">
        <v>407</v>
      </c>
      <c r="T47" s="214" t="s">
        <v>321</v>
      </c>
      <c r="U47" s="214"/>
    </row>
    <row r="48">
      <c r="A48" s="221">
        <v>45902.61792826389</v>
      </c>
      <c r="B48" s="214" t="s">
        <v>311</v>
      </c>
      <c r="C48" s="214" t="s">
        <v>161</v>
      </c>
      <c r="D48" s="214">
        <v>0.0</v>
      </c>
      <c r="E48" s="214">
        <v>1.0</v>
      </c>
      <c r="F48" s="214" t="s">
        <v>934</v>
      </c>
      <c r="G48" s="221">
        <v>45906.64583333333</v>
      </c>
      <c r="H48" s="214" t="s">
        <v>95</v>
      </c>
      <c r="I48" s="214" t="s">
        <v>920</v>
      </c>
      <c r="J48" s="222" t="s">
        <v>67</v>
      </c>
      <c r="K48" s="222">
        <v>-8.5</v>
      </c>
      <c r="L48" s="222" t="s">
        <v>67</v>
      </c>
      <c r="M48" s="222">
        <v>55.5</v>
      </c>
      <c r="N48" s="214">
        <v>24.0</v>
      </c>
      <c r="O48" s="214">
        <v>42.0</v>
      </c>
      <c r="P48" s="214">
        <v>1.0</v>
      </c>
      <c r="Q48" s="214" t="b">
        <v>1</v>
      </c>
      <c r="R48" s="214">
        <v>100.0</v>
      </c>
      <c r="S48" s="214" t="s">
        <v>361</v>
      </c>
      <c r="T48" s="214" t="s">
        <v>365</v>
      </c>
      <c r="U48" s="214"/>
    </row>
    <row r="49">
      <c r="A49" s="221">
        <v>45902.61792826389</v>
      </c>
      <c r="B49" s="214" t="s">
        <v>311</v>
      </c>
      <c r="C49" s="214" t="s">
        <v>152</v>
      </c>
      <c r="D49" s="214">
        <v>0.0</v>
      </c>
      <c r="E49" s="214">
        <v>1.0</v>
      </c>
      <c r="F49" s="214" t="s">
        <v>970</v>
      </c>
      <c r="G49" s="221">
        <v>45906.75</v>
      </c>
      <c r="H49" s="214" t="s">
        <v>193</v>
      </c>
      <c r="I49" s="214" t="s">
        <v>920</v>
      </c>
      <c r="J49" s="222" t="s">
        <v>67</v>
      </c>
      <c r="K49" s="222">
        <v>16.5</v>
      </c>
      <c r="L49" s="222" t="s">
        <v>67</v>
      </c>
      <c r="M49" s="222">
        <v>48.0</v>
      </c>
      <c r="N49" s="214">
        <v>7.0</v>
      </c>
      <c r="O49" s="214">
        <v>45.0</v>
      </c>
      <c r="P49" s="214">
        <v>1.0</v>
      </c>
      <c r="Q49" s="214" t="b">
        <v>0</v>
      </c>
      <c r="R49" s="214">
        <v>100.0</v>
      </c>
      <c r="S49" s="214" t="s">
        <v>441</v>
      </c>
      <c r="T49" s="214" t="s">
        <v>365</v>
      </c>
      <c r="U49" s="214"/>
    </row>
    <row r="50">
      <c r="A50" s="221">
        <v>45902.61792826389</v>
      </c>
      <c r="B50" s="214" t="s">
        <v>311</v>
      </c>
      <c r="C50" s="214" t="s">
        <v>139</v>
      </c>
      <c r="D50" s="214">
        <v>1.0</v>
      </c>
      <c r="E50" s="214">
        <v>0.0</v>
      </c>
      <c r="F50" s="214" t="s">
        <v>938</v>
      </c>
      <c r="G50" s="221">
        <v>45906.8125</v>
      </c>
      <c r="H50" s="214" t="s">
        <v>95</v>
      </c>
      <c r="I50" s="214" t="s">
        <v>939</v>
      </c>
      <c r="J50" s="222" t="s">
        <v>67</v>
      </c>
      <c r="K50" s="222">
        <v>10.5</v>
      </c>
      <c r="L50" s="222" t="s">
        <v>67</v>
      </c>
      <c r="M50" s="222">
        <v>43.5</v>
      </c>
      <c r="N50" s="214">
        <v>34.0</v>
      </c>
      <c r="O50" s="214">
        <v>17.0</v>
      </c>
      <c r="P50" s="214">
        <v>1.0</v>
      </c>
      <c r="Q50" s="214" t="b">
        <v>1</v>
      </c>
      <c r="R50" s="214">
        <v>100.0</v>
      </c>
      <c r="S50" s="214" t="s">
        <v>407</v>
      </c>
      <c r="T50" s="214" t="s">
        <v>321</v>
      </c>
      <c r="U50" s="214"/>
    </row>
    <row r="51">
      <c r="A51" s="221">
        <v>45902.61792826389</v>
      </c>
      <c r="B51" s="214" t="s">
        <v>311</v>
      </c>
      <c r="C51" s="214" t="s">
        <v>206</v>
      </c>
      <c r="D51" s="214">
        <v>1.0</v>
      </c>
      <c r="E51" s="214">
        <v>0.0</v>
      </c>
      <c r="F51" s="214" t="s">
        <v>971</v>
      </c>
      <c r="G51" s="221">
        <v>45906.8125</v>
      </c>
      <c r="H51" s="214" t="s">
        <v>249</v>
      </c>
      <c r="I51" s="214" t="s">
        <v>972</v>
      </c>
      <c r="J51" s="222" t="s">
        <v>67</v>
      </c>
      <c r="K51" s="222">
        <v>-1.5</v>
      </c>
      <c r="L51" s="222" t="s">
        <v>67</v>
      </c>
      <c r="M51" s="222">
        <v>59.5</v>
      </c>
      <c r="N51" s="214">
        <v>17.0</v>
      </c>
      <c r="O51" s="214">
        <v>10.0</v>
      </c>
      <c r="P51" s="214">
        <v>1.0</v>
      </c>
      <c r="Q51" s="214" t="b">
        <v>0</v>
      </c>
      <c r="R51" s="214">
        <v>100.0</v>
      </c>
      <c r="S51" s="214" t="s">
        <v>556</v>
      </c>
      <c r="T51" s="214" t="s">
        <v>321</v>
      </c>
      <c r="U51" s="214"/>
    </row>
    <row r="52">
      <c r="A52" s="221">
        <v>45902.61792826389</v>
      </c>
      <c r="B52" s="214" t="s">
        <v>311</v>
      </c>
      <c r="C52" s="214" t="s">
        <v>122</v>
      </c>
      <c r="D52" s="214">
        <v>0.0</v>
      </c>
      <c r="E52" s="214">
        <v>1.0</v>
      </c>
      <c r="F52" s="214" t="s">
        <v>973</v>
      </c>
      <c r="G52" s="221">
        <v>45906.8125</v>
      </c>
      <c r="H52" s="214" t="s">
        <v>395</v>
      </c>
      <c r="I52" s="214" t="s">
        <v>974</v>
      </c>
      <c r="J52" s="222" t="s">
        <v>67</v>
      </c>
      <c r="K52" s="222">
        <v>6.5</v>
      </c>
      <c r="L52" s="222" t="s">
        <v>67</v>
      </c>
      <c r="M52" s="222">
        <v>42.5</v>
      </c>
      <c r="N52" s="214">
        <v>11.0</v>
      </c>
      <c r="O52" s="214">
        <v>24.0</v>
      </c>
      <c r="P52" s="214">
        <v>1.0</v>
      </c>
      <c r="Q52" s="214" t="b">
        <v>1</v>
      </c>
      <c r="R52" s="214">
        <v>100.0</v>
      </c>
      <c r="S52" s="214" t="s">
        <v>317</v>
      </c>
      <c r="T52" s="214" t="s">
        <v>321</v>
      </c>
      <c r="U52" s="214"/>
    </row>
    <row r="53">
      <c r="A53" s="221">
        <v>45902.61792826389</v>
      </c>
      <c r="B53" s="214" t="s">
        <v>311</v>
      </c>
      <c r="C53" s="214" t="s">
        <v>234</v>
      </c>
      <c r="D53" s="214">
        <v>0.0</v>
      </c>
      <c r="E53" s="214">
        <v>2.0</v>
      </c>
      <c r="F53" s="214" t="s">
        <v>975</v>
      </c>
      <c r="G53" s="221">
        <v>45906.99930555555</v>
      </c>
      <c r="H53" s="214" t="s">
        <v>96</v>
      </c>
      <c r="I53" s="214" t="s">
        <v>957</v>
      </c>
      <c r="J53" s="222" t="s">
        <v>67</v>
      </c>
      <c r="K53" s="222">
        <v>6.5</v>
      </c>
      <c r="L53" s="222" t="s">
        <v>67</v>
      </c>
      <c r="M53" s="222">
        <v>48.5</v>
      </c>
      <c r="N53" s="214">
        <v>45.0</v>
      </c>
      <c r="O53" s="214">
        <v>79.0</v>
      </c>
      <c r="P53" s="214">
        <v>1.0</v>
      </c>
      <c r="Q53" s="214" t="b">
        <v>1</v>
      </c>
      <c r="R53" s="214">
        <v>100.0</v>
      </c>
      <c r="S53" s="214" t="s">
        <v>535</v>
      </c>
      <c r="T53" s="214" t="s">
        <v>365</v>
      </c>
      <c r="U53" s="214"/>
    </row>
    <row r="54">
      <c r="A54" s="221">
        <v>45902.61792826389</v>
      </c>
      <c r="B54" s="214" t="s">
        <v>311</v>
      </c>
      <c r="C54" s="214" t="s">
        <v>125</v>
      </c>
      <c r="D54" s="214">
        <v>2.0</v>
      </c>
      <c r="E54" s="214">
        <v>0.0</v>
      </c>
      <c r="F54" s="214" t="s">
        <v>976</v>
      </c>
      <c r="G54" s="221">
        <v>45906.5</v>
      </c>
      <c r="H54" s="214" t="s">
        <v>249</v>
      </c>
      <c r="I54" s="214" t="s">
        <v>977</v>
      </c>
      <c r="J54" s="222" t="s">
        <v>67</v>
      </c>
      <c r="K54" s="222">
        <v>3.5</v>
      </c>
      <c r="L54" s="222" t="s">
        <v>67</v>
      </c>
      <c r="M54" s="222">
        <v>54.5</v>
      </c>
      <c r="N54" s="214">
        <v>79.0</v>
      </c>
      <c r="O54" s="214">
        <v>28.0</v>
      </c>
      <c r="P54" s="214">
        <v>1.0</v>
      </c>
      <c r="Q54" s="214" t="b">
        <v>0</v>
      </c>
      <c r="R54" s="214">
        <v>100.0</v>
      </c>
      <c r="S54" s="214" t="s">
        <v>471</v>
      </c>
      <c r="T54" s="214" t="s">
        <v>321</v>
      </c>
      <c r="U54" s="214"/>
    </row>
    <row r="55">
      <c r="A55" s="221">
        <v>45902.61792826389</v>
      </c>
      <c r="B55" s="214" t="s">
        <v>311</v>
      </c>
      <c r="C55" s="214" t="s">
        <v>186</v>
      </c>
      <c r="D55" s="214">
        <v>1.0</v>
      </c>
      <c r="E55" s="214">
        <v>0.0</v>
      </c>
      <c r="F55" s="214" t="s">
        <v>978</v>
      </c>
      <c r="G55" s="221">
        <v>45906.53125</v>
      </c>
      <c r="H55" s="214" t="s">
        <v>238</v>
      </c>
      <c r="I55" s="214" t="s">
        <v>952</v>
      </c>
      <c r="J55" s="222"/>
      <c r="K55" s="222"/>
      <c r="L55" s="222"/>
      <c r="M55" s="222"/>
      <c r="N55" s="214">
        <v>28.0</v>
      </c>
      <c r="O55" s="214">
        <v>16.0</v>
      </c>
      <c r="P55" s="214">
        <v>1.0</v>
      </c>
      <c r="Q55" s="214" t="b">
        <v>0</v>
      </c>
      <c r="R55" s="214">
        <v>100.0</v>
      </c>
      <c r="S55" s="214" t="s">
        <v>525</v>
      </c>
      <c r="T55" s="214" t="s">
        <v>365</v>
      </c>
      <c r="U55" s="214"/>
    </row>
    <row r="56">
      <c r="A56" s="221">
        <v>45902.61792826389</v>
      </c>
      <c r="B56" s="214"/>
      <c r="C56" s="214"/>
      <c r="D56" s="214"/>
      <c r="E56" s="214"/>
      <c r="F56" s="214"/>
      <c r="G56" s="214"/>
      <c r="H56" s="214"/>
      <c r="I56" s="214"/>
      <c r="J56" s="222"/>
      <c r="K56" s="222"/>
      <c r="L56" s="222"/>
      <c r="M56" s="222"/>
      <c r="N56" s="214"/>
      <c r="O56" s="214"/>
      <c r="P56" s="214"/>
      <c r="Q56" s="214"/>
      <c r="R56" s="214"/>
      <c r="S56" s="214"/>
      <c r="T56" s="214"/>
      <c r="U56" s="214"/>
    </row>
    <row r="57">
      <c r="A57" s="221">
        <v>45902.61792826389</v>
      </c>
      <c r="B57" s="214" t="s">
        <v>224</v>
      </c>
      <c r="C57" s="214" t="s">
        <v>103</v>
      </c>
      <c r="D57" s="214">
        <v>1.0</v>
      </c>
      <c r="E57" s="214">
        <v>0.0</v>
      </c>
      <c r="F57" s="214" t="s">
        <v>942</v>
      </c>
      <c r="G57" s="221">
        <v>45906.64583333333</v>
      </c>
      <c r="H57" s="214" t="s">
        <v>62</v>
      </c>
      <c r="I57" s="214" t="s">
        <v>943</v>
      </c>
      <c r="J57" s="222" t="s">
        <v>67</v>
      </c>
      <c r="K57" s="222">
        <v>6.0</v>
      </c>
      <c r="L57" s="222" t="s">
        <v>67</v>
      </c>
      <c r="M57" s="222">
        <v>39.5</v>
      </c>
      <c r="N57" s="214">
        <v>52.0</v>
      </c>
      <c r="O57" s="214">
        <v>7.0</v>
      </c>
      <c r="P57" s="214">
        <v>1.0</v>
      </c>
      <c r="Q57" s="214" t="b">
        <v>0</v>
      </c>
      <c r="R57" s="214">
        <v>100.0</v>
      </c>
      <c r="S57" s="214" t="s">
        <v>361</v>
      </c>
      <c r="T57" s="214" t="s">
        <v>365</v>
      </c>
      <c r="U57" s="214"/>
    </row>
    <row r="58">
      <c r="A58" s="221">
        <v>45902.61792826389</v>
      </c>
      <c r="B58" s="214" t="s">
        <v>224</v>
      </c>
      <c r="C58" s="214" t="s">
        <v>166</v>
      </c>
      <c r="D58" s="214">
        <v>1.0</v>
      </c>
      <c r="E58" s="214">
        <v>0.0</v>
      </c>
      <c r="F58" s="214" t="s">
        <v>979</v>
      </c>
      <c r="G58" s="221">
        <v>45906.64583333333</v>
      </c>
      <c r="H58" s="214" t="s">
        <v>238</v>
      </c>
      <c r="I58" s="214" t="s">
        <v>920</v>
      </c>
      <c r="J58" s="222" t="s">
        <v>67</v>
      </c>
      <c r="K58" s="222">
        <v>-6.5</v>
      </c>
      <c r="L58" s="222" t="s">
        <v>67</v>
      </c>
      <c r="M58" s="222">
        <v>49.5</v>
      </c>
      <c r="N58" s="214">
        <v>26.0</v>
      </c>
      <c r="O58" s="214">
        <v>7.0</v>
      </c>
      <c r="P58" s="214">
        <v>1.0</v>
      </c>
      <c r="Q58" s="214" t="b">
        <v>0</v>
      </c>
      <c r="R58" s="214">
        <v>100.0</v>
      </c>
      <c r="S58" s="214" t="s">
        <v>530</v>
      </c>
      <c r="T58" s="214" t="s">
        <v>365</v>
      </c>
      <c r="U58" s="214"/>
    </row>
    <row r="59">
      <c r="A59" s="221">
        <v>45902.61792826389</v>
      </c>
      <c r="B59" s="214" t="s">
        <v>224</v>
      </c>
      <c r="C59" s="214" t="s">
        <v>191</v>
      </c>
      <c r="D59" s="214">
        <v>0.0</v>
      </c>
      <c r="E59" s="214">
        <v>1.0</v>
      </c>
      <c r="F59" s="214" t="s">
        <v>980</v>
      </c>
      <c r="G59" s="221">
        <v>45906.64583333333</v>
      </c>
      <c r="H59" s="214" t="s">
        <v>224</v>
      </c>
      <c r="I59" s="214" t="s">
        <v>977</v>
      </c>
      <c r="J59" s="222" t="s">
        <v>67</v>
      </c>
      <c r="K59" s="222">
        <v>-2.5</v>
      </c>
      <c r="L59" s="222" t="s">
        <v>67</v>
      </c>
      <c r="M59" s="222">
        <v>54.5</v>
      </c>
      <c r="N59" s="214">
        <v>20.0</v>
      </c>
      <c r="O59" s="214">
        <v>27.0</v>
      </c>
      <c r="P59" s="214">
        <v>1.0</v>
      </c>
      <c r="Q59" s="214" t="b">
        <v>0</v>
      </c>
      <c r="R59" s="214">
        <v>100.0</v>
      </c>
      <c r="S59" s="214" t="s">
        <v>471</v>
      </c>
      <c r="T59" s="214" t="s">
        <v>321</v>
      </c>
      <c r="U59" s="214"/>
    </row>
    <row r="60">
      <c r="A60" s="221">
        <v>45902.61792826389</v>
      </c>
      <c r="B60" s="214" t="s">
        <v>224</v>
      </c>
      <c r="C60" s="214" t="s">
        <v>203</v>
      </c>
      <c r="D60" s="214">
        <v>1.0</v>
      </c>
      <c r="E60" s="214">
        <v>0.0</v>
      </c>
      <c r="F60" s="214" t="s">
        <v>981</v>
      </c>
      <c r="G60" s="221">
        <v>45906.67708333333</v>
      </c>
      <c r="H60" s="214" t="s">
        <v>96</v>
      </c>
      <c r="I60" s="214" t="s">
        <v>952</v>
      </c>
      <c r="J60" s="222" t="s">
        <v>67</v>
      </c>
      <c r="K60" s="222">
        <v>-13.5</v>
      </c>
      <c r="L60" s="222" t="s">
        <v>67</v>
      </c>
      <c r="M60" s="222">
        <v>49.5</v>
      </c>
      <c r="N60" s="214">
        <v>55.0</v>
      </c>
      <c r="O60" s="214">
        <v>0.0</v>
      </c>
      <c r="P60" s="214">
        <v>1.0</v>
      </c>
      <c r="Q60" s="214" t="b">
        <v>0</v>
      </c>
      <c r="R60" s="214">
        <v>100.0</v>
      </c>
      <c r="S60" s="214" t="s">
        <v>556</v>
      </c>
      <c r="T60" s="214" t="s">
        <v>321</v>
      </c>
      <c r="U60" s="214"/>
    </row>
    <row r="61">
      <c r="A61" s="221">
        <v>45902.61792826389</v>
      </c>
      <c r="B61" s="214" t="s">
        <v>224</v>
      </c>
      <c r="C61" s="214" t="s">
        <v>216</v>
      </c>
      <c r="D61" s="214">
        <v>0.0</v>
      </c>
      <c r="E61" s="214">
        <v>1.0</v>
      </c>
      <c r="F61" s="214" t="s">
        <v>937</v>
      </c>
      <c r="G61" s="221">
        <v>45906.8125</v>
      </c>
      <c r="H61" s="214" t="s">
        <v>95</v>
      </c>
      <c r="I61" s="214" t="s">
        <v>933</v>
      </c>
      <c r="J61" s="222" t="s">
        <v>67</v>
      </c>
      <c r="K61" s="222">
        <v>-6.5</v>
      </c>
      <c r="L61" s="222" t="s">
        <v>67</v>
      </c>
      <c r="M61" s="222">
        <v>48.5</v>
      </c>
      <c r="N61" s="214">
        <v>14.0</v>
      </c>
      <c r="O61" s="214">
        <v>42.0</v>
      </c>
      <c r="P61" s="214">
        <v>1.0</v>
      </c>
      <c r="Q61" s="214" t="b">
        <v>0</v>
      </c>
      <c r="R61" s="214">
        <v>100.0</v>
      </c>
      <c r="S61" s="214" t="s">
        <v>441</v>
      </c>
      <c r="T61" s="214" t="s">
        <v>365</v>
      </c>
      <c r="U61" s="214"/>
    </row>
    <row r="62">
      <c r="A62" s="221">
        <v>45902.61792826389</v>
      </c>
      <c r="B62" s="214" t="s">
        <v>224</v>
      </c>
      <c r="C62" s="214" t="s">
        <v>140</v>
      </c>
      <c r="D62" s="214">
        <v>1.0</v>
      </c>
      <c r="E62" s="214">
        <v>0.0</v>
      </c>
      <c r="F62" s="214" t="s">
        <v>982</v>
      </c>
      <c r="G62" s="221">
        <v>45906.8125</v>
      </c>
      <c r="H62" s="214" t="s">
        <v>493</v>
      </c>
      <c r="I62" s="214" t="s">
        <v>983</v>
      </c>
      <c r="J62" s="222"/>
      <c r="K62" s="222"/>
      <c r="L62" s="222"/>
      <c r="M62" s="222"/>
      <c r="N62" s="214">
        <v>23.0</v>
      </c>
      <c r="O62" s="214">
        <v>6.0</v>
      </c>
      <c r="P62" s="214">
        <v>1.0</v>
      </c>
      <c r="Q62" s="214" t="b">
        <v>1</v>
      </c>
      <c r="R62" s="214">
        <v>100.0</v>
      </c>
      <c r="S62" s="214" t="s">
        <v>407</v>
      </c>
      <c r="T62" s="214" t="s">
        <v>321</v>
      </c>
      <c r="U62" s="214"/>
    </row>
    <row r="63">
      <c r="A63" s="221">
        <v>45902.61792826389</v>
      </c>
      <c r="B63" s="214" t="s">
        <v>224</v>
      </c>
      <c r="C63" s="214" t="s">
        <v>185</v>
      </c>
      <c r="D63" s="214">
        <v>2.0</v>
      </c>
      <c r="E63" s="214">
        <v>0.0</v>
      </c>
      <c r="F63" s="214" t="s">
        <v>953</v>
      </c>
      <c r="G63" s="221">
        <v>45906.83333333333</v>
      </c>
      <c r="H63" s="214" t="s">
        <v>62</v>
      </c>
      <c r="I63" s="214" t="s">
        <v>943</v>
      </c>
      <c r="J63" s="222" t="s">
        <v>67</v>
      </c>
      <c r="K63" s="222">
        <v>1.5</v>
      </c>
      <c r="L63" s="222" t="s">
        <v>67</v>
      </c>
      <c r="M63" s="222">
        <v>49.5</v>
      </c>
      <c r="N63" s="214">
        <v>76.0</v>
      </c>
      <c r="O63" s="214">
        <v>52.0</v>
      </c>
      <c r="P63" s="214">
        <v>1.0</v>
      </c>
      <c r="Q63" s="214" t="b">
        <v>0</v>
      </c>
      <c r="R63" s="214">
        <v>100.0</v>
      </c>
      <c r="S63" s="214" t="s">
        <v>525</v>
      </c>
      <c r="T63" s="214" t="s">
        <v>365</v>
      </c>
      <c r="U63" s="214"/>
    </row>
    <row r="64">
      <c r="A64" s="221">
        <v>45902.61792826389</v>
      </c>
      <c r="B64" s="214" t="s">
        <v>224</v>
      </c>
      <c r="C64" s="214" t="s">
        <v>226</v>
      </c>
      <c r="D64" s="214">
        <v>1.0</v>
      </c>
      <c r="E64" s="214">
        <v>0.0</v>
      </c>
      <c r="F64" s="214" t="s">
        <v>984</v>
      </c>
      <c r="G64" s="221">
        <v>45906.92708333333</v>
      </c>
      <c r="H64" s="214" t="s">
        <v>493</v>
      </c>
      <c r="I64" s="214" t="s">
        <v>948</v>
      </c>
      <c r="J64" s="222" t="s">
        <v>67</v>
      </c>
      <c r="K64" s="222">
        <v>2.5</v>
      </c>
      <c r="L64" s="222" t="s">
        <v>67</v>
      </c>
      <c r="M64" s="222">
        <v>54.5</v>
      </c>
      <c r="N64" s="214">
        <v>69.0</v>
      </c>
      <c r="O64" s="214">
        <v>0.0</v>
      </c>
      <c r="P64" s="214">
        <v>1.0</v>
      </c>
      <c r="Q64" s="214" t="b">
        <v>1</v>
      </c>
      <c r="R64" s="214">
        <v>100.0</v>
      </c>
      <c r="S64" s="214" t="s">
        <v>471</v>
      </c>
      <c r="T64" s="214" t="s">
        <v>321</v>
      </c>
      <c r="U64" s="214"/>
    </row>
    <row r="65">
      <c r="A65" s="221">
        <v>45902.61792826389</v>
      </c>
      <c r="B65" s="214" t="s">
        <v>224</v>
      </c>
      <c r="C65" s="214" t="s">
        <v>113</v>
      </c>
      <c r="D65" s="214">
        <v>1.0</v>
      </c>
      <c r="E65" s="214">
        <v>0.0</v>
      </c>
      <c r="F65" s="214" t="s">
        <v>985</v>
      </c>
      <c r="G65" s="221">
        <v>45906.5</v>
      </c>
      <c r="H65" s="214"/>
      <c r="I65" s="214" t="s">
        <v>974</v>
      </c>
      <c r="J65" s="222"/>
      <c r="K65" s="222"/>
      <c r="L65" s="222"/>
      <c r="M65" s="222"/>
      <c r="N65" s="214">
        <v>31.0</v>
      </c>
      <c r="O65" s="214">
        <v>17.0</v>
      </c>
      <c r="P65" s="214">
        <v>1.0</v>
      </c>
      <c r="Q65" s="214" t="b">
        <v>0</v>
      </c>
      <c r="R65" s="214">
        <v>100.0</v>
      </c>
      <c r="S65" s="214" t="s">
        <v>317</v>
      </c>
      <c r="T65" s="214" t="s">
        <v>321</v>
      </c>
      <c r="U65" s="214"/>
    </row>
    <row r="66">
      <c r="A66" s="221">
        <v>45902.61792826389</v>
      </c>
      <c r="B66" s="214" t="s">
        <v>224</v>
      </c>
      <c r="C66" s="214" t="s">
        <v>235</v>
      </c>
      <c r="D66" s="214"/>
      <c r="E66" s="214"/>
      <c r="F66" s="214"/>
      <c r="G66" s="214"/>
      <c r="H66" s="214"/>
      <c r="I66" s="214"/>
      <c r="J66" s="222"/>
      <c r="K66" s="222"/>
      <c r="L66" s="222"/>
      <c r="M66" s="222"/>
      <c r="N66" s="214"/>
      <c r="O66" s="214"/>
      <c r="P66" s="214"/>
      <c r="Q66" s="214"/>
      <c r="R66" s="214"/>
      <c r="S66" s="214" t="s">
        <v>535</v>
      </c>
      <c r="T66" s="214" t="s">
        <v>365</v>
      </c>
      <c r="U66" s="214"/>
    </row>
    <row r="67">
      <c r="A67" s="221">
        <v>45902.61792826389</v>
      </c>
      <c r="B67" s="214"/>
      <c r="C67" s="214"/>
      <c r="D67" s="214"/>
      <c r="E67" s="214"/>
      <c r="F67" s="214"/>
      <c r="G67" s="214"/>
      <c r="H67" s="214"/>
      <c r="I67" s="214"/>
      <c r="J67" s="222"/>
      <c r="K67" s="222"/>
      <c r="L67" s="222"/>
      <c r="M67" s="222"/>
      <c r="N67" s="214"/>
      <c r="O67" s="214"/>
      <c r="P67" s="214"/>
      <c r="Q67" s="214"/>
      <c r="R67" s="214"/>
      <c r="S67" s="214"/>
      <c r="T67" s="214"/>
      <c r="U67" s="214"/>
    </row>
    <row r="68">
      <c r="A68" s="221">
        <v>45902.61792826389</v>
      </c>
      <c r="B68" s="214" t="s">
        <v>96</v>
      </c>
      <c r="C68" s="214" t="s">
        <v>204</v>
      </c>
      <c r="D68" s="214">
        <v>1.0</v>
      </c>
      <c r="E68" s="214">
        <v>0.0</v>
      </c>
      <c r="F68" s="214" t="s">
        <v>986</v>
      </c>
      <c r="G68" s="221">
        <v>45906.64583333333</v>
      </c>
      <c r="H68" s="214"/>
      <c r="I68" s="214" t="s">
        <v>972</v>
      </c>
      <c r="J68" s="222" t="s">
        <v>67</v>
      </c>
      <c r="K68" s="222">
        <v>-6.5</v>
      </c>
      <c r="L68" s="222" t="s">
        <v>67</v>
      </c>
      <c r="M68" s="222">
        <v>52.5</v>
      </c>
      <c r="N68" s="214">
        <v>45.0</v>
      </c>
      <c r="O68" s="214">
        <v>7.0</v>
      </c>
      <c r="P68" s="214">
        <v>1.0</v>
      </c>
      <c r="Q68" s="214" t="b">
        <v>0</v>
      </c>
      <c r="R68" s="214">
        <v>100.0</v>
      </c>
      <c r="S68" s="214" t="s">
        <v>556</v>
      </c>
      <c r="T68" s="214" t="s">
        <v>321</v>
      </c>
      <c r="U68" s="214"/>
    </row>
    <row r="69">
      <c r="A69" s="221">
        <v>45902.61792826389</v>
      </c>
      <c r="B69" s="214" t="s">
        <v>96</v>
      </c>
      <c r="C69" s="214" t="s">
        <v>222</v>
      </c>
      <c r="D69" s="214">
        <v>1.0</v>
      </c>
      <c r="E69" s="214">
        <v>0.0</v>
      </c>
      <c r="F69" s="214" t="s">
        <v>987</v>
      </c>
      <c r="G69" s="221">
        <v>45906.64583333333</v>
      </c>
      <c r="H69" s="214" t="s">
        <v>249</v>
      </c>
      <c r="I69" s="214" t="s">
        <v>974</v>
      </c>
      <c r="J69" s="222"/>
      <c r="K69" s="222"/>
      <c r="L69" s="222"/>
      <c r="M69" s="222"/>
      <c r="N69" s="214">
        <v>38.0</v>
      </c>
      <c r="O69" s="214">
        <v>20.0</v>
      </c>
      <c r="P69" s="214">
        <v>1.0</v>
      </c>
      <c r="Q69" s="214" t="b">
        <v>0</v>
      </c>
      <c r="R69" s="214">
        <v>100.0</v>
      </c>
      <c r="S69" s="214" t="s">
        <v>441</v>
      </c>
      <c r="T69" s="214" t="s">
        <v>365</v>
      </c>
      <c r="U69" s="214"/>
    </row>
    <row r="70">
      <c r="A70" s="221">
        <v>45902.61792826389</v>
      </c>
      <c r="B70" s="214" t="s">
        <v>96</v>
      </c>
      <c r="C70" s="214" t="s">
        <v>129</v>
      </c>
      <c r="D70" s="214">
        <v>1.0</v>
      </c>
      <c r="E70" s="214">
        <v>0.0</v>
      </c>
      <c r="F70" s="214" t="s">
        <v>968</v>
      </c>
      <c r="G70" s="221">
        <v>45906.64583333333</v>
      </c>
      <c r="H70" s="214" t="s">
        <v>311</v>
      </c>
      <c r="I70" s="214" t="s">
        <v>969</v>
      </c>
      <c r="J70" s="222"/>
      <c r="K70" s="222"/>
      <c r="L70" s="222"/>
      <c r="M70" s="222"/>
      <c r="N70" s="214">
        <v>27.0</v>
      </c>
      <c r="O70" s="214">
        <v>7.0</v>
      </c>
      <c r="P70" s="214">
        <v>1.0</v>
      </c>
      <c r="Q70" s="214" t="b">
        <v>1</v>
      </c>
      <c r="R70" s="214">
        <v>100.0</v>
      </c>
      <c r="S70" s="214" t="s">
        <v>471</v>
      </c>
      <c r="T70" s="214" t="s">
        <v>321</v>
      </c>
      <c r="U70" s="214"/>
    </row>
    <row r="71">
      <c r="A71" s="221">
        <v>45902.61792826389</v>
      </c>
      <c r="B71" s="214" t="s">
        <v>96</v>
      </c>
      <c r="C71" s="214" t="s">
        <v>173</v>
      </c>
      <c r="D71" s="214">
        <v>0.0</v>
      </c>
      <c r="E71" s="214">
        <v>1.0</v>
      </c>
      <c r="F71" s="214" t="s">
        <v>988</v>
      </c>
      <c r="G71" s="221">
        <v>45906.66666666667</v>
      </c>
      <c r="H71" s="214" t="s">
        <v>132</v>
      </c>
      <c r="I71" s="214" t="s">
        <v>926</v>
      </c>
      <c r="J71" s="222" t="s">
        <v>67</v>
      </c>
      <c r="K71" s="222">
        <v>-3.0</v>
      </c>
      <c r="L71" s="222" t="s">
        <v>67</v>
      </c>
      <c r="M71" s="222">
        <v>54.0</v>
      </c>
      <c r="N71" s="214">
        <v>31.0</v>
      </c>
      <c r="O71" s="214">
        <v>34.0</v>
      </c>
      <c r="P71" s="214">
        <v>1.0</v>
      </c>
      <c r="Q71" s="214" t="b">
        <v>0</v>
      </c>
      <c r="R71" s="214">
        <v>100.0</v>
      </c>
      <c r="S71" s="214" t="s">
        <v>530</v>
      </c>
      <c r="T71" s="214" t="s">
        <v>365</v>
      </c>
      <c r="U71" s="214"/>
    </row>
    <row r="72">
      <c r="A72" s="221">
        <v>45902.61792826389</v>
      </c>
      <c r="B72" s="214" t="s">
        <v>96</v>
      </c>
      <c r="C72" s="214" t="s">
        <v>153</v>
      </c>
      <c r="D72" s="214">
        <v>0.0</v>
      </c>
      <c r="E72" s="214">
        <v>1.0</v>
      </c>
      <c r="F72" s="214" t="s">
        <v>989</v>
      </c>
      <c r="G72" s="221">
        <v>45906.66666666667</v>
      </c>
      <c r="H72" s="214" t="s">
        <v>238</v>
      </c>
      <c r="I72" s="214" t="s">
        <v>933</v>
      </c>
      <c r="J72" s="222"/>
      <c r="K72" s="222"/>
      <c r="L72" s="222"/>
      <c r="M72" s="222"/>
      <c r="N72" s="214">
        <v>14.0</v>
      </c>
      <c r="O72" s="214">
        <v>34.0</v>
      </c>
      <c r="P72" s="214">
        <v>1.0</v>
      </c>
      <c r="Q72" s="214" t="b">
        <v>0</v>
      </c>
      <c r="R72" s="214">
        <v>100.0</v>
      </c>
      <c r="S72" s="214" t="s">
        <v>535</v>
      </c>
      <c r="T72" s="214" t="s">
        <v>365</v>
      </c>
      <c r="U72" s="214"/>
    </row>
    <row r="73">
      <c r="A73" s="221">
        <v>45902.61792826389</v>
      </c>
      <c r="B73" s="214" t="s">
        <v>96</v>
      </c>
      <c r="C73" s="214" t="s">
        <v>105</v>
      </c>
      <c r="D73" s="214">
        <v>1.0</v>
      </c>
      <c r="E73" s="214">
        <v>0.0</v>
      </c>
      <c r="F73" s="214" t="s">
        <v>981</v>
      </c>
      <c r="G73" s="221">
        <v>45906.67708333333</v>
      </c>
      <c r="H73" s="214" t="s">
        <v>224</v>
      </c>
      <c r="I73" s="214" t="s">
        <v>952</v>
      </c>
      <c r="J73" s="222" t="s">
        <v>67</v>
      </c>
      <c r="K73" s="222">
        <v>3.5</v>
      </c>
      <c r="L73" s="222" t="s">
        <v>67</v>
      </c>
      <c r="M73" s="222">
        <v>62.5</v>
      </c>
      <c r="N73" s="214">
        <v>34.0</v>
      </c>
      <c r="O73" s="214">
        <v>7.0</v>
      </c>
      <c r="P73" s="214">
        <v>1.0</v>
      </c>
      <c r="Q73" s="214" t="b">
        <v>1</v>
      </c>
      <c r="R73" s="214">
        <v>100.0</v>
      </c>
      <c r="S73" s="214" t="s">
        <v>361</v>
      </c>
      <c r="T73" s="214" t="s">
        <v>365</v>
      </c>
      <c r="U73" s="214"/>
    </row>
    <row r="74">
      <c r="A74" s="221">
        <v>45902.61792826389</v>
      </c>
      <c r="B74" s="214" t="s">
        <v>96</v>
      </c>
      <c r="C74" s="214" t="s">
        <v>142</v>
      </c>
      <c r="D74" s="214">
        <v>1.0</v>
      </c>
      <c r="E74" s="214">
        <v>0.0</v>
      </c>
      <c r="F74" s="214" t="s">
        <v>964</v>
      </c>
      <c r="G74" s="221">
        <v>45906.8125</v>
      </c>
      <c r="H74" s="214" t="s">
        <v>193</v>
      </c>
      <c r="I74" s="214" t="s">
        <v>929</v>
      </c>
      <c r="J74" s="222" t="s">
        <v>67</v>
      </c>
      <c r="K74" s="222">
        <v>-2.5</v>
      </c>
      <c r="L74" s="222" t="s">
        <v>67</v>
      </c>
      <c r="M74" s="222">
        <v>45.5</v>
      </c>
      <c r="N74" s="214">
        <v>20.0</v>
      </c>
      <c r="O74" s="214">
        <v>17.0</v>
      </c>
      <c r="P74" s="214">
        <v>1.0</v>
      </c>
      <c r="Q74" s="214" t="b">
        <v>1</v>
      </c>
      <c r="R74" s="214">
        <v>100.0</v>
      </c>
      <c r="S74" s="214" t="s">
        <v>407</v>
      </c>
      <c r="T74" s="214" t="s">
        <v>321</v>
      </c>
      <c r="U74" s="214"/>
    </row>
    <row r="75">
      <c r="A75" s="221">
        <v>45902.61792826389</v>
      </c>
      <c r="B75" s="214" t="s">
        <v>96</v>
      </c>
      <c r="C75" s="214" t="s">
        <v>536</v>
      </c>
      <c r="D75" s="214">
        <v>1.0</v>
      </c>
      <c r="E75" s="214">
        <v>1.0</v>
      </c>
      <c r="F75" s="214" t="s">
        <v>975</v>
      </c>
      <c r="G75" s="221">
        <v>45906.99930555555</v>
      </c>
      <c r="H75" s="214" t="s">
        <v>311</v>
      </c>
      <c r="I75" s="214" t="s">
        <v>957</v>
      </c>
      <c r="J75" s="222"/>
      <c r="K75" s="222"/>
      <c r="L75" s="222"/>
      <c r="M75" s="222"/>
      <c r="N75" s="214">
        <v>29.0</v>
      </c>
      <c r="O75" s="214">
        <v>60.0</v>
      </c>
      <c r="P75" s="214">
        <v>1.0</v>
      </c>
      <c r="Q75" s="214" t="b">
        <v>0</v>
      </c>
      <c r="R75" s="214">
        <v>100.0</v>
      </c>
      <c r="S75" s="214" t="s">
        <v>525</v>
      </c>
      <c r="T75" s="214" t="s">
        <v>365</v>
      </c>
      <c r="U75" s="214"/>
    </row>
    <row r="76">
      <c r="A76" s="221">
        <v>45902.61792826389</v>
      </c>
      <c r="B76" s="214" t="s">
        <v>96</v>
      </c>
      <c r="C76" s="214" t="s">
        <v>121</v>
      </c>
      <c r="D76" s="214">
        <v>1.0</v>
      </c>
      <c r="E76" s="214">
        <v>0.0</v>
      </c>
      <c r="F76" s="214" t="s">
        <v>940</v>
      </c>
      <c r="G76" s="221">
        <v>45906.5</v>
      </c>
      <c r="H76" s="214" t="s">
        <v>95</v>
      </c>
      <c r="I76" s="214" t="s">
        <v>924</v>
      </c>
      <c r="J76" s="222"/>
      <c r="K76" s="222"/>
      <c r="L76" s="222"/>
      <c r="M76" s="222"/>
      <c r="N76" s="214">
        <v>48.0</v>
      </c>
      <c r="O76" s="214">
        <v>7.0</v>
      </c>
      <c r="P76" s="214">
        <v>1.0</v>
      </c>
      <c r="Q76" s="214" t="b">
        <v>1</v>
      </c>
      <c r="R76" s="214">
        <v>100.0</v>
      </c>
      <c r="S76" s="214" t="s">
        <v>317</v>
      </c>
      <c r="T76" s="214" t="s">
        <v>321</v>
      </c>
      <c r="U76" s="214"/>
    </row>
    <row r="77">
      <c r="A77" s="221">
        <v>45902.61792826389</v>
      </c>
      <c r="B77" s="214" t="s">
        <v>96</v>
      </c>
      <c r="C77" s="214" t="s">
        <v>229</v>
      </c>
      <c r="D77" s="214">
        <v>0.0</v>
      </c>
      <c r="E77" s="214">
        <v>1.0</v>
      </c>
      <c r="F77" s="214"/>
      <c r="G77" s="214"/>
      <c r="H77" s="214"/>
      <c r="I77" s="214"/>
      <c r="J77" s="222"/>
      <c r="K77" s="222"/>
      <c r="L77" s="222"/>
      <c r="M77" s="222"/>
      <c r="N77" s="214">
        <v>24.0</v>
      </c>
      <c r="O77" s="214">
        <v>27.0</v>
      </c>
      <c r="P77" s="214">
        <v>3.0</v>
      </c>
      <c r="Q77" s="214" t="b">
        <v>1</v>
      </c>
      <c r="R77" s="214">
        <v>100.0</v>
      </c>
      <c r="S77" s="214" t="s">
        <v>725</v>
      </c>
      <c r="T77" s="214"/>
      <c r="U77" s="214"/>
    </row>
    <row r="78">
      <c r="A78" s="221">
        <v>45902.61792826389</v>
      </c>
      <c r="B78" s="214"/>
      <c r="C78" s="214"/>
      <c r="D78" s="214"/>
      <c r="E78" s="214"/>
      <c r="F78" s="214"/>
      <c r="G78" s="214"/>
      <c r="H78" s="214"/>
      <c r="I78" s="214"/>
      <c r="J78" s="222"/>
      <c r="K78" s="222"/>
      <c r="L78" s="222"/>
      <c r="M78" s="222"/>
      <c r="N78" s="214"/>
      <c r="O78" s="214"/>
      <c r="P78" s="214"/>
      <c r="Q78" s="214"/>
      <c r="R78" s="214"/>
      <c r="S78" s="214"/>
      <c r="T78" s="214"/>
      <c r="U78" s="214"/>
    </row>
    <row r="79">
      <c r="A79" s="221">
        <v>45902.61792826389</v>
      </c>
      <c r="B79" s="214" t="s">
        <v>238</v>
      </c>
      <c r="C79" s="214" t="s">
        <v>548</v>
      </c>
      <c r="D79" s="214">
        <v>0.0</v>
      </c>
      <c r="E79" s="214">
        <v>1.0</v>
      </c>
      <c r="F79" s="214" t="s">
        <v>990</v>
      </c>
      <c r="G79" s="221">
        <v>45906.64583333333</v>
      </c>
      <c r="H79" s="214" t="s">
        <v>395</v>
      </c>
      <c r="I79" s="214" t="s">
        <v>991</v>
      </c>
      <c r="J79" s="222" t="s">
        <v>67</v>
      </c>
      <c r="K79" s="222">
        <v>-2.5</v>
      </c>
      <c r="L79" s="222" t="s">
        <v>67</v>
      </c>
      <c r="M79" s="222">
        <v>42.5</v>
      </c>
      <c r="N79" s="214">
        <v>0.0</v>
      </c>
      <c r="O79" s="214">
        <v>17.0</v>
      </c>
      <c r="P79" s="214">
        <v>1.0</v>
      </c>
      <c r="Q79" s="214" t="b">
        <v>0</v>
      </c>
      <c r="R79" s="214">
        <v>100.0</v>
      </c>
      <c r="S79" s="214" t="s">
        <v>530</v>
      </c>
      <c r="T79" s="214" t="s">
        <v>365</v>
      </c>
      <c r="U79" s="214"/>
    </row>
    <row r="80">
      <c r="A80" s="221">
        <v>45902.61792826389</v>
      </c>
      <c r="B80" s="214" t="s">
        <v>238</v>
      </c>
      <c r="C80" s="214" t="s">
        <v>98</v>
      </c>
      <c r="D80" s="214">
        <v>0.0</v>
      </c>
      <c r="E80" s="214">
        <v>1.0</v>
      </c>
      <c r="F80" s="214" t="s">
        <v>979</v>
      </c>
      <c r="G80" s="221">
        <v>45906.64583333333</v>
      </c>
      <c r="H80" s="214" t="s">
        <v>224</v>
      </c>
      <c r="I80" s="214" t="s">
        <v>920</v>
      </c>
      <c r="J80" s="222"/>
      <c r="K80" s="222"/>
      <c r="L80" s="222"/>
      <c r="M80" s="222"/>
      <c r="N80" s="214">
        <v>17.0</v>
      </c>
      <c r="O80" s="214">
        <v>20.0</v>
      </c>
      <c r="P80" s="214">
        <v>1.0</v>
      </c>
      <c r="Q80" s="214" t="b">
        <v>1</v>
      </c>
      <c r="R80" s="214">
        <v>100.0</v>
      </c>
      <c r="S80" s="214" t="s">
        <v>471</v>
      </c>
      <c r="T80" s="214" t="s">
        <v>321</v>
      </c>
      <c r="U80" s="214"/>
    </row>
    <row r="81">
      <c r="A81" s="221">
        <v>45902.61792826389</v>
      </c>
      <c r="B81" s="214" t="s">
        <v>238</v>
      </c>
      <c r="C81" s="214" t="s">
        <v>148</v>
      </c>
      <c r="D81" s="214">
        <v>1.0</v>
      </c>
      <c r="E81" s="214">
        <v>0.0</v>
      </c>
      <c r="F81" s="214" t="s">
        <v>989</v>
      </c>
      <c r="G81" s="221">
        <v>45906.66666666667</v>
      </c>
      <c r="H81" s="214" t="s">
        <v>96</v>
      </c>
      <c r="I81" s="214" t="s">
        <v>933</v>
      </c>
      <c r="J81" s="222"/>
      <c r="K81" s="222"/>
      <c r="L81" s="222"/>
      <c r="M81" s="222"/>
      <c r="N81" s="214">
        <v>17.0</v>
      </c>
      <c r="O81" s="214">
        <v>0.0</v>
      </c>
      <c r="P81" s="214">
        <v>1.0</v>
      </c>
      <c r="Q81" s="214" t="b">
        <v>1</v>
      </c>
      <c r="R81" s="214">
        <v>100.0</v>
      </c>
      <c r="S81" s="214" t="s">
        <v>407</v>
      </c>
      <c r="T81" s="214" t="s">
        <v>321</v>
      </c>
      <c r="U81" s="214"/>
    </row>
    <row r="82">
      <c r="A82" s="221">
        <v>45902.61792826389</v>
      </c>
      <c r="B82" s="214" t="s">
        <v>238</v>
      </c>
      <c r="C82" s="214" t="s">
        <v>102</v>
      </c>
      <c r="D82" s="214">
        <v>1.0</v>
      </c>
      <c r="E82" s="214">
        <v>0.0</v>
      </c>
      <c r="F82" s="214" t="s">
        <v>992</v>
      </c>
      <c r="G82" s="221">
        <v>45906.79166666667</v>
      </c>
      <c r="H82" s="214" t="s">
        <v>249</v>
      </c>
      <c r="I82" s="214" t="s">
        <v>920</v>
      </c>
      <c r="J82" s="222" t="s">
        <v>67</v>
      </c>
      <c r="K82" s="222">
        <v>-4.5</v>
      </c>
      <c r="L82" s="222" t="s">
        <v>67</v>
      </c>
      <c r="M82" s="222">
        <v>58.5</v>
      </c>
      <c r="N82" s="214">
        <v>45.0</v>
      </c>
      <c r="O82" s="214">
        <v>10.0</v>
      </c>
      <c r="P82" s="214">
        <v>1.0</v>
      </c>
      <c r="Q82" s="214" t="b">
        <v>0</v>
      </c>
      <c r="R82" s="214">
        <v>100.0</v>
      </c>
      <c r="S82" s="214" t="s">
        <v>361</v>
      </c>
      <c r="T82" s="214" t="s">
        <v>365</v>
      </c>
      <c r="U82" s="214"/>
    </row>
    <row r="83">
      <c r="A83" s="221">
        <v>45902.61792826389</v>
      </c>
      <c r="B83" s="214" t="s">
        <v>238</v>
      </c>
      <c r="C83" s="214" t="s">
        <v>220</v>
      </c>
      <c r="D83" s="214">
        <v>1.0</v>
      </c>
      <c r="E83" s="214">
        <v>0.0</v>
      </c>
      <c r="F83" s="214" t="s">
        <v>993</v>
      </c>
      <c r="G83" s="221">
        <v>45906.79166666667</v>
      </c>
      <c r="H83" s="214" t="s">
        <v>132</v>
      </c>
      <c r="I83" s="214" t="s">
        <v>920</v>
      </c>
      <c r="J83" s="222" t="s">
        <v>67</v>
      </c>
      <c r="K83" s="222">
        <v>-8.5</v>
      </c>
      <c r="L83" s="222" t="s">
        <v>67</v>
      </c>
      <c r="M83" s="222">
        <v>57.5</v>
      </c>
      <c r="N83" s="214">
        <v>38.0</v>
      </c>
      <c r="O83" s="214">
        <v>21.0</v>
      </c>
      <c r="P83" s="214">
        <v>1.0</v>
      </c>
      <c r="Q83" s="214" t="b">
        <v>0</v>
      </c>
      <c r="R83" s="214">
        <v>100.0</v>
      </c>
      <c r="S83" s="214" t="s">
        <v>441</v>
      </c>
      <c r="T83" s="214" t="s">
        <v>365</v>
      </c>
      <c r="U83" s="214"/>
    </row>
    <row r="84">
      <c r="A84" s="221">
        <v>45902.61792826389</v>
      </c>
      <c r="B84" s="214" t="s">
        <v>238</v>
      </c>
      <c r="C84" s="214" t="s">
        <v>160</v>
      </c>
      <c r="D84" s="214">
        <v>0.0</v>
      </c>
      <c r="E84" s="214">
        <v>1.0</v>
      </c>
      <c r="F84" s="214" t="s">
        <v>994</v>
      </c>
      <c r="G84" s="221">
        <v>45906.875</v>
      </c>
      <c r="H84" s="214"/>
      <c r="I84" s="214" t="s">
        <v>920</v>
      </c>
      <c r="J84" s="222"/>
      <c r="K84" s="222"/>
      <c r="L84" s="222"/>
      <c r="M84" s="222"/>
      <c r="N84" s="214">
        <v>16.0</v>
      </c>
      <c r="O84" s="214">
        <v>28.0</v>
      </c>
      <c r="P84" s="214">
        <v>1.0</v>
      </c>
      <c r="Q84" s="214" t="b">
        <v>0</v>
      </c>
      <c r="R84" s="214">
        <v>100.0</v>
      </c>
      <c r="S84" s="214" t="s">
        <v>535</v>
      </c>
      <c r="T84" s="214" t="s">
        <v>365</v>
      </c>
      <c r="U84" s="214"/>
    </row>
    <row r="85">
      <c r="A85" s="221">
        <v>45902.61792826389</v>
      </c>
      <c r="B85" s="214" t="s">
        <v>238</v>
      </c>
      <c r="C85" s="214" t="s">
        <v>549</v>
      </c>
      <c r="D85" s="214">
        <v>0.0</v>
      </c>
      <c r="E85" s="214">
        <v>1.0</v>
      </c>
      <c r="F85" s="214" t="s">
        <v>995</v>
      </c>
      <c r="G85" s="221">
        <v>45906.5</v>
      </c>
      <c r="H85" s="214" t="s">
        <v>132</v>
      </c>
      <c r="I85" s="214" t="s">
        <v>939</v>
      </c>
      <c r="J85" s="222" t="s">
        <v>67</v>
      </c>
      <c r="K85" s="222">
        <v>-3.5</v>
      </c>
      <c r="L85" s="222" t="s">
        <v>67</v>
      </c>
      <c r="M85" s="222">
        <v>62.5</v>
      </c>
      <c r="N85" s="214">
        <v>14.0</v>
      </c>
      <c r="O85" s="214">
        <v>16.0</v>
      </c>
      <c r="P85" s="214">
        <v>1.0</v>
      </c>
      <c r="Q85" s="214" t="b">
        <v>1</v>
      </c>
      <c r="R85" s="214">
        <v>100.0</v>
      </c>
      <c r="S85" s="214" t="s">
        <v>525</v>
      </c>
      <c r="T85" s="214" t="s">
        <v>365</v>
      </c>
      <c r="U85" s="214"/>
    </row>
    <row r="86">
      <c r="A86" s="221">
        <v>45902.61792826389</v>
      </c>
      <c r="B86" s="214" t="s">
        <v>238</v>
      </c>
      <c r="C86" s="214" t="s">
        <v>141</v>
      </c>
      <c r="D86" s="214">
        <v>1.0</v>
      </c>
      <c r="E86" s="214">
        <v>0.0</v>
      </c>
      <c r="F86" s="214" t="s">
        <v>996</v>
      </c>
      <c r="G86" s="221">
        <v>45906.5</v>
      </c>
      <c r="H86" s="214"/>
      <c r="I86" s="214" t="s">
        <v>929</v>
      </c>
      <c r="J86" s="222" t="s">
        <v>67</v>
      </c>
      <c r="K86" s="222">
        <v>-6.5</v>
      </c>
      <c r="L86" s="222" t="s">
        <v>67</v>
      </c>
      <c r="M86" s="222">
        <v>42.5</v>
      </c>
      <c r="N86" s="214">
        <v>23.0</v>
      </c>
      <c r="O86" s="214">
        <v>10.0</v>
      </c>
      <c r="P86" s="214">
        <v>1.0</v>
      </c>
      <c r="Q86" s="214" t="b">
        <v>0</v>
      </c>
      <c r="R86" s="214">
        <v>100.0</v>
      </c>
      <c r="S86" s="214" t="s">
        <v>407</v>
      </c>
      <c r="T86" s="214" t="s">
        <v>321</v>
      </c>
      <c r="U86" s="214"/>
    </row>
    <row r="87">
      <c r="A87" s="221">
        <v>45902.61792826389</v>
      </c>
      <c r="B87" s="214" t="s">
        <v>238</v>
      </c>
      <c r="C87" s="214" t="s">
        <v>119</v>
      </c>
      <c r="D87" s="214">
        <v>1.0</v>
      </c>
      <c r="E87" s="214">
        <v>0.0</v>
      </c>
      <c r="F87" s="214" t="s">
        <v>997</v>
      </c>
      <c r="G87" s="221">
        <v>45906.5</v>
      </c>
      <c r="H87" s="214" t="s">
        <v>132</v>
      </c>
      <c r="I87" s="214" t="s">
        <v>926</v>
      </c>
      <c r="J87" s="222" t="s">
        <v>67</v>
      </c>
      <c r="K87" s="222">
        <v>-7.5</v>
      </c>
      <c r="L87" s="222" t="s">
        <v>67</v>
      </c>
      <c r="M87" s="222">
        <v>51.5</v>
      </c>
      <c r="N87" s="214">
        <v>61.0</v>
      </c>
      <c r="O87" s="214">
        <v>9.0</v>
      </c>
      <c r="P87" s="214">
        <v>1.0</v>
      </c>
      <c r="Q87" s="214" t="b">
        <v>1</v>
      </c>
      <c r="R87" s="214">
        <v>100.0</v>
      </c>
      <c r="S87" s="214" t="s">
        <v>317</v>
      </c>
      <c r="T87" s="214" t="s">
        <v>321</v>
      </c>
      <c r="U87" s="214"/>
    </row>
    <row r="88">
      <c r="A88" s="221">
        <v>45902.61792826389</v>
      </c>
      <c r="B88" s="214" t="s">
        <v>238</v>
      </c>
      <c r="C88" s="214" t="s">
        <v>539</v>
      </c>
      <c r="D88" s="214">
        <v>1.0</v>
      </c>
      <c r="E88" s="214">
        <v>0.0</v>
      </c>
      <c r="F88" s="214" t="s">
        <v>978</v>
      </c>
      <c r="G88" s="221">
        <v>45906.53125</v>
      </c>
      <c r="H88" s="214" t="s">
        <v>311</v>
      </c>
      <c r="I88" s="214" t="s">
        <v>952</v>
      </c>
      <c r="J88" s="222" t="s">
        <v>67</v>
      </c>
      <c r="K88" s="222">
        <v>-3.5</v>
      </c>
      <c r="L88" s="222" t="s">
        <v>67</v>
      </c>
      <c r="M88" s="222">
        <v>52.0</v>
      </c>
      <c r="N88" s="214">
        <v>42.0</v>
      </c>
      <c r="O88" s="214">
        <v>24.0</v>
      </c>
      <c r="P88" s="214">
        <v>1.0</v>
      </c>
      <c r="Q88" s="214" t="b">
        <v>1</v>
      </c>
      <c r="R88" s="214">
        <v>100.0</v>
      </c>
      <c r="S88" s="214" t="s">
        <v>556</v>
      </c>
      <c r="T88" s="214" t="s">
        <v>321</v>
      </c>
      <c r="U88" s="214"/>
    </row>
    <row r="89">
      <c r="A89" s="221">
        <v>45902.61792826389</v>
      </c>
      <c r="B89" s="214"/>
      <c r="C89" s="214"/>
      <c r="D89" s="214"/>
      <c r="E89" s="214"/>
      <c r="F89" s="214"/>
      <c r="G89" s="214"/>
      <c r="H89" s="214"/>
      <c r="I89" s="214"/>
      <c r="J89" s="222"/>
      <c r="K89" s="222"/>
      <c r="L89" s="222"/>
      <c r="M89" s="222"/>
      <c r="N89" s="214"/>
      <c r="O89" s="214"/>
      <c r="P89" s="214"/>
      <c r="Q89" s="214"/>
      <c r="R89" s="214"/>
      <c r="S89" s="214"/>
      <c r="T89" s="214"/>
      <c r="U89" s="214"/>
    </row>
    <row r="90">
      <c r="A90" s="221">
        <v>45902.61792826389</v>
      </c>
      <c r="B90" s="214" t="s">
        <v>156</v>
      </c>
      <c r="C90" s="214" t="s">
        <v>154</v>
      </c>
      <c r="D90" s="214">
        <v>1.0</v>
      </c>
      <c r="E90" s="214">
        <v>0.0</v>
      </c>
      <c r="F90" s="214" t="s">
        <v>998</v>
      </c>
      <c r="G90" s="221">
        <v>45906.64583333333</v>
      </c>
      <c r="H90" s="214" t="s">
        <v>395</v>
      </c>
      <c r="I90" s="214" t="s">
        <v>920</v>
      </c>
      <c r="J90" s="222" t="s">
        <v>67</v>
      </c>
      <c r="K90" s="222">
        <v>10.0</v>
      </c>
      <c r="L90" s="222" t="s">
        <v>67</v>
      </c>
      <c r="M90" s="222">
        <v>68.0</v>
      </c>
      <c r="N90" s="214">
        <v>51.0</v>
      </c>
      <c r="O90" s="214">
        <v>0.0</v>
      </c>
      <c r="P90" s="214">
        <v>1.0</v>
      </c>
      <c r="Q90" s="214" t="b">
        <v>1</v>
      </c>
      <c r="R90" s="214">
        <v>100.0</v>
      </c>
      <c r="S90" s="214" t="s">
        <v>361</v>
      </c>
      <c r="T90" s="214" t="s">
        <v>365</v>
      </c>
      <c r="U90" s="214"/>
    </row>
    <row r="91">
      <c r="A91" s="221">
        <v>45902.61792826389</v>
      </c>
      <c r="B91" s="214" t="s">
        <v>156</v>
      </c>
      <c r="C91" s="214" t="s">
        <v>208</v>
      </c>
      <c r="D91" s="214">
        <v>1.0</v>
      </c>
      <c r="E91" s="214">
        <v>0.0</v>
      </c>
      <c r="F91" s="214" t="s">
        <v>960</v>
      </c>
      <c r="G91" s="221">
        <v>45906.64583333333</v>
      </c>
      <c r="H91" s="214" t="s">
        <v>193</v>
      </c>
      <c r="I91" s="214" t="s">
        <v>924</v>
      </c>
      <c r="J91" s="222" t="s">
        <v>67</v>
      </c>
      <c r="K91" s="222">
        <v>-3.5</v>
      </c>
      <c r="L91" s="222" t="s">
        <v>67</v>
      </c>
      <c r="M91" s="222">
        <v>40.5</v>
      </c>
      <c r="N91" s="214">
        <v>61.0</v>
      </c>
      <c r="O91" s="214">
        <v>6.0</v>
      </c>
      <c r="P91" s="214">
        <v>1.0</v>
      </c>
      <c r="Q91" s="214" t="b">
        <v>0</v>
      </c>
      <c r="R91" s="214">
        <v>100.0</v>
      </c>
      <c r="S91" s="214" t="s">
        <v>556</v>
      </c>
      <c r="T91" s="214" t="s">
        <v>321</v>
      </c>
      <c r="U91" s="214"/>
    </row>
    <row r="92">
      <c r="A92" s="221">
        <v>45902.61792826389</v>
      </c>
      <c r="B92" s="214" t="s">
        <v>156</v>
      </c>
      <c r="C92" s="214" t="s">
        <v>202</v>
      </c>
      <c r="D92" s="214">
        <v>1.0</v>
      </c>
      <c r="E92" s="214">
        <v>0.0</v>
      </c>
      <c r="F92" s="214" t="s">
        <v>999</v>
      </c>
      <c r="G92" s="221">
        <v>45906.70833333333</v>
      </c>
      <c r="H92" s="214" t="s">
        <v>132</v>
      </c>
      <c r="I92" s="214" t="s">
        <v>972</v>
      </c>
      <c r="J92" s="222" t="s">
        <v>67</v>
      </c>
      <c r="K92" s="222">
        <v>3.0</v>
      </c>
      <c r="L92" s="222" t="s">
        <v>67</v>
      </c>
      <c r="M92" s="222">
        <v>60.5</v>
      </c>
      <c r="N92" s="214">
        <v>52.0</v>
      </c>
      <c r="O92" s="214">
        <v>7.0</v>
      </c>
      <c r="P92" s="214">
        <v>1.0</v>
      </c>
      <c r="Q92" s="214" t="b">
        <v>1</v>
      </c>
      <c r="R92" s="214">
        <v>100.0</v>
      </c>
      <c r="S92" s="214" t="s">
        <v>556</v>
      </c>
      <c r="T92" s="214" t="s">
        <v>321</v>
      </c>
      <c r="U92" s="214"/>
    </row>
    <row r="93">
      <c r="A93" s="221">
        <v>45902.61792826389</v>
      </c>
      <c r="B93" s="214" t="s">
        <v>156</v>
      </c>
      <c r="C93" s="214" t="s">
        <v>181</v>
      </c>
      <c r="D93" s="214">
        <v>0.0</v>
      </c>
      <c r="E93" s="214">
        <v>1.0</v>
      </c>
      <c r="F93" s="214" t="s">
        <v>1000</v>
      </c>
      <c r="G93" s="221">
        <v>45906.70833333333</v>
      </c>
      <c r="H93" s="214"/>
      <c r="I93" s="214" t="s">
        <v>957</v>
      </c>
      <c r="J93" s="222"/>
      <c r="K93" s="222"/>
      <c r="L93" s="222"/>
      <c r="M93" s="222"/>
      <c r="N93" s="214">
        <v>11.0</v>
      </c>
      <c r="O93" s="214">
        <v>46.0</v>
      </c>
      <c r="P93" s="214">
        <v>1.0</v>
      </c>
      <c r="Q93" s="214" t="b">
        <v>0</v>
      </c>
      <c r="R93" s="214">
        <v>100.0</v>
      </c>
      <c r="S93" s="214" t="s">
        <v>525</v>
      </c>
      <c r="T93" s="214" t="s">
        <v>365</v>
      </c>
      <c r="U93" s="214"/>
    </row>
    <row r="94">
      <c r="A94" s="221">
        <v>45902.61792826389</v>
      </c>
      <c r="B94" s="214" t="s">
        <v>156</v>
      </c>
      <c r="C94" s="214" t="s">
        <v>174</v>
      </c>
      <c r="D94" s="214">
        <v>0.0</v>
      </c>
      <c r="E94" s="214">
        <v>1.0</v>
      </c>
      <c r="F94" s="214" t="s">
        <v>1001</v>
      </c>
      <c r="G94" s="221">
        <v>45906.79166666667</v>
      </c>
      <c r="H94" s="214" t="s">
        <v>395</v>
      </c>
      <c r="I94" s="214" t="s">
        <v>920</v>
      </c>
      <c r="J94" s="222" t="s">
        <v>67</v>
      </c>
      <c r="K94" s="222">
        <v>7.5</v>
      </c>
      <c r="L94" s="222" t="s">
        <v>67</v>
      </c>
      <c r="M94" s="222">
        <v>51.5</v>
      </c>
      <c r="N94" s="214">
        <v>16.0</v>
      </c>
      <c r="O94" s="214">
        <v>24.0</v>
      </c>
      <c r="P94" s="214">
        <v>1.0</v>
      </c>
      <c r="Q94" s="214" t="b">
        <v>0</v>
      </c>
      <c r="R94" s="214">
        <v>100.0</v>
      </c>
      <c r="S94" s="214" t="s">
        <v>530</v>
      </c>
      <c r="T94" s="214" t="s">
        <v>365</v>
      </c>
      <c r="U94" s="214"/>
    </row>
    <row r="95">
      <c r="A95" s="221">
        <v>45902.61792826389</v>
      </c>
      <c r="B95" s="214" t="s">
        <v>156</v>
      </c>
      <c r="C95" s="214" t="s">
        <v>116</v>
      </c>
      <c r="D95" s="214">
        <v>1.0</v>
      </c>
      <c r="E95" s="214">
        <v>0.0</v>
      </c>
      <c r="F95" s="214" t="s">
        <v>1002</v>
      </c>
      <c r="G95" s="221">
        <v>45906.79166666667</v>
      </c>
      <c r="H95" s="214"/>
      <c r="I95" s="214" t="s">
        <v>946</v>
      </c>
      <c r="J95" s="222" t="s">
        <v>67</v>
      </c>
      <c r="K95" s="222">
        <v>-3.5</v>
      </c>
      <c r="L95" s="222" t="s">
        <v>67</v>
      </c>
      <c r="M95" s="222">
        <v>54.5</v>
      </c>
      <c r="N95" s="214">
        <v>27.0</v>
      </c>
      <c r="O95" s="214">
        <v>24.0</v>
      </c>
      <c r="P95" s="214">
        <v>1.0</v>
      </c>
      <c r="Q95" s="214" t="b">
        <v>0</v>
      </c>
      <c r="R95" s="214">
        <v>100.0</v>
      </c>
      <c r="S95" s="214" t="s">
        <v>317</v>
      </c>
      <c r="T95" s="214" t="s">
        <v>321</v>
      </c>
      <c r="U95" s="214"/>
    </row>
    <row r="96">
      <c r="A96" s="221">
        <v>45902.61792826389</v>
      </c>
      <c r="B96" s="214" t="s">
        <v>156</v>
      </c>
      <c r="C96" s="214" t="s">
        <v>109</v>
      </c>
      <c r="D96" s="214">
        <v>1.0</v>
      </c>
      <c r="E96" s="214">
        <v>0.0</v>
      </c>
      <c r="F96" s="214" t="s">
        <v>1003</v>
      </c>
      <c r="G96" s="221">
        <v>45906.79166666667</v>
      </c>
      <c r="H96" s="214"/>
      <c r="I96" s="214" t="s">
        <v>920</v>
      </c>
      <c r="J96" s="222"/>
      <c r="K96" s="222"/>
      <c r="L96" s="222"/>
      <c r="M96" s="222"/>
      <c r="N96" s="214">
        <v>17.0</v>
      </c>
      <c r="O96" s="214">
        <v>10.0</v>
      </c>
      <c r="P96" s="214">
        <v>1.0</v>
      </c>
      <c r="Q96" s="214" t="b">
        <v>0</v>
      </c>
      <c r="R96" s="214">
        <v>100.0</v>
      </c>
      <c r="S96" s="214" t="s">
        <v>471</v>
      </c>
      <c r="T96" s="214" t="s">
        <v>321</v>
      </c>
      <c r="U96" s="214"/>
    </row>
    <row r="97">
      <c r="A97" s="221">
        <v>45902.61792826389</v>
      </c>
      <c r="B97" s="214" t="s">
        <v>156</v>
      </c>
      <c r="C97" s="214" t="s">
        <v>223</v>
      </c>
      <c r="D97" s="214">
        <v>0.0</v>
      </c>
      <c r="E97" s="214">
        <v>1.0</v>
      </c>
      <c r="F97" s="214" t="s">
        <v>1004</v>
      </c>
      <c r="G97" s="221">
        <v>45906.8125</v>
      </c>
      <c r="H97" s="214"/>
      <c r="I97" s="214" t="s">
        <v>920</v>
      </c>
      <c r="J97" s="222" t="s">
        <v>67</v>
      </c>
      <c r="K97" s="222">
        <v>8.5</v>
      </c>
      <c r="L97" s="222" t="s">
        <v>67</v>
      </c>
      <c r="M97" s="222">
        <v>55.5</v>
      </c>
      <c r="N97" s="214">
        <v>7.0</v>
      </c>
      <c r="O97" s="214">
        <v>48.0</v>
      </c>
      <c r="P97" s="214">
        <v>1.0</v>
      </c>
      <c r="Q97" s="214" t="b">
        <v>0</v>
      </c>
      <c r="R97" s="214">
        <v>100.0</v>
      </c>
      <c r="S97" s="214" t="s">
        <v>441</v>
      </c>
      <c r="T97" s="214" t="s">
        <v>365</v>
      </c>
      <c r="U97" s="214"/>
    </row>
    <row r="98">
      <c r="A98" s="221">
        <v>45902.61792826389</v>
      </c>
      <c r="B98" s="214" t="s">
        <v>156</v>
      </c>
      <c r="C98" s="214" t="s">
        <v>135</v>
      </c>
      <c r="D98" s="214">
        <v>1.0</v>
      </c>
      <c r="E98" s="214">
        <v>0.0</v>
      </c>
      <c r="F98" s="214" t="s">
        <v>1005</v>
      </c>
      <c r="G98" s="221">
        <v>45906.5</v>
      </c>
      <c r="H98" s="214" t="s">
        <v>249</v>
      </c>
      <c r="I98" s="214" t="s">
        <v>948</v>
      </c>
      <c r="J98" s="222" t="s">
        <v>67</v>
      </c>
      <c r="K98" s="222">
        <v>9.5</v>
      </c>
      <c r="L98" s="222" t="s">
        <v>67</v>
      </c>
      <c r="M98" s="222">
        <v>47.5</v>
      </c>
      <c r="N98" s="214">
        <v>52.0</v>
      </c>
      <c r="O98" s="214">
        <v>3.0</v>
      </c>
      <c r="P98" s="214">
        <v>1.0</v>
      </c>
      <c r="Q98" s="214" t="b">
        <v>1</v>
      </c>
      <c r="R98" s="214">
        <v>100.0</v>
      </c>
      <c r="S98" s="214" t="s">
        <v>407</v>
      </c>
      <c r="T98" s="214" t="s">
        <v>321</v>
      </c>
      <c r="U98" s="214"/>
    </row>
    <row r="99">
      <c r="A99" s="221">
        <v>45902.61792826389</v>
      </c>
      <c r="B99" s="214" t="s">
        <v>156</v>
      </c>
      <c r="C99" s="214" t="s">
        <v>232</v>
      </c>
      <c r="D99" s="214">
        <v>0.0</v>
      </c>
      <c r="E99" s="214">
        <v>1.0</v>
      </c>
      <c r="F99" s="214" t="s">
        <v>955</v>
      </c>
      <c r="G99" s="221">
        <v>45906.5</v>
      </c>
      <c r="H99" s="214" t="s">
        <v>62</v>
      </c>
      <c r="I99" s="214" t="s">
        <v>943</v>
      </c>
      <c r="J99" s="222" t="s">
        <v>67</v>
      </c>
      <c r="K99" s="222">
        <v>3.0</v>
      </c>
      <c r="L99" s="222" t="s">
        <v>67</v>
      </c>
      <c r="M99" s="222">
        <v>54.0</v>
      </c>
      <c r="N99" s="214">
        <v>10.0</v>
      </c>
      <c r="O99" s="214">
        <v>17.0</v>
      </c>
      <c r="P99" s="214">
        <v>1.0</v>
      </c>
      <c r="Q99" s="214" t="b">
        <v>0</v>
      </c>
      <c r="R99" s="214">
        <v>100.0</v>
      </c>
      <c r="S99" s="214" t="s">
        <v>535</v>
      </c>
      <c r="T99" s="214" t="s">
        <v>365</v>
      </c>
      <c r="U99" s="214"/>
    </row>
    <row r="100">
      <c r="A100" s="221">
        <v>45902.61792826389</v>
      </c>
      <c r="B100" s="214"/>
      <c r="C100" s="214"/>
      <c r="D100" s="214"/>
      <c r="E100" s="214"/>
      <c r="F100" s="214"/>
      <c r="G100" s="214"/>
      <c r="H100" s="214"/>
      <c r="I100" s="214"/>
      <c r="J100" s="222"/>
      <c r="K100" s="222"/>
      <c r="L100" s="222"/>
      <c r="M100" s="222"/>
      <c r="N100" s="214"/>
      <c r="O100" s="214"/>
      <c r="P100" s="214"/>
      <c r="Q100" s="214"/>
      <c r="R100" s="214"/>
      <c r="S100" s="214"/>
      <c r="T100" s="214"/>
      <c r="U100" s="214"/>
    </row>
    <row r="101">
      <c r="A101" s="221">
        <v>45902.61792826389</v>
      </c>
      <c r="B101" s="214" t="s">
        <v>249</v>
      </c>
      <c r="C101" s="214" t="s">
        <v>111</v>
      </c>
      <c r="D101" s="214">
        <v>0.0</v>
      </c>
      <c r="E101" s="214">
        <v>1.0</v>
      </c>
      <c r="F101" s="214" t="s">
        <v>987</v>
      </c>
      <c r="G101" s="221">
        <v>45906.64583333333</v>
      </c>
      <c r="H101" s="214" t="s">
        <v>96</v>
      </c>
      <c r="I101" s="214" t="s">
        <v>974</v>
      </c>
      <c r="J101" s="222" t="s">
        <v>67</v>
      </c>
      <c r="K101" s="222">
        <v>-4.5</v>
      </c>
      <c r="L101" s="222" t="s">
        <v>67</v>
      </c>
      <c r="M101" s="222">
        <v>53.5</v>
      </c>
      <c r="N101" s="214">
        <v>10.0</v>
      </c>
      <c r="O101" s="214">
        <v>17.0</v>
      </c>
      <c r="P101" s="214">
        <v>1.0</v>
      </c>
      <c r="Q101" s="214" t="b">
        <v>1</v>
      </c>
      <c r="R101" s="214">
        <v>100.0</v>
      </c>
      <c r="S101" s="214" t="s">
        <v>317</v>
      </c>
      <c r="T101" s="214" t="s">
        <v>321</v>
      </c>
      <c r="U101" s="214"/>
    </row>
    <row r="102">
      <c r="A102" s="221">
        <v>45902.61792826389</v>
      </c>
      <c r="B102" s="214" t="s">
        <v>249</v>
      </c>
      <c r="C102" s="214" t="s">
        <v>167</v>
      </c>
      <c r="D102" s="214">
        <v>0.0</v>
      </c>
      <c r="E102" s="214">
        <v>1.0</v>
      </c>
      <c r="F102" s="214" t="s">
        <v>1006</v>
      </c>
      <c r="G102" s="221">
        <v>45906.64583333333</v>
      </c>
      <c r="H102" s="214"/>
      <c r="I102" s="214" t="s">
        <v>920</v>
      </c>
      <c r="J102" s="222" t="s">
        <v>67</v>
      </c>
      <c r="K102" s="222">
        <v>2.5</v>
      </c>
      <c r="L102" s="222" t="s">
        <v>67</v>
      </c>
      <c r="M102" s="222">
        <v>52.5</v>
      </c>
      <c r="N102" s="214">
        <v>10.0</v>
      </c>
      <c r="O102" s="214">
        <v>23.0</v>
      </c>
      <c r="P102" s="214">
        <v>1.0</v>
      </c>
      <c r="Q102" s="214" t="b">
        <v>0</v>
      </c>
      <c r="R102" s="214">
        <v>100.0</v>
      </c>
      <c r="S102" s="214" t="s">
        <v>530</v>
      </c>
      <c r="T102" s="214" t="s">
        <v>365</v>
      </c>
      <c r="U102" s="214"/>
    </row>
    <row r="103">
      <c r="A103" s="221">
        <v>45902.61792826389</v>
      </c>
      <c r="B103" s="214" t="s">
        <v>249</v>
      </c>
      <c r="C103" s="214" t="s">
        <v>209</v>
      </c>
      <c r="D103" s="214">
        <v>1.0</v>
      </c>
      <c r="E103" s="214">
        <v>0.0</v>
      </c>
      <c r="F103" s="214" t="s">
        <v>1007</v>
      </c>
      <c r="G103" s="221">
        <v>45906.64583333333</v>
      </c>
      <c r="H103" s="214" t="s">
        <v>493</v>
      </c>
      <c r="I103" s="214" t="s">
        <v>939</v>
      </c>
      <c r="J103" s="222" t="s">
        <v>67</v>
      </c>
      <c r="K103" s="222">
        <v>-14.5</v>
      </c>
      <c r="L103" s="222" t="s">
        <v>67</v>
      </c>
      <c r="M103" s="222">
        <v>52.5</v>
      </c>
      <c r="N103" s="214">
        <v>63.0</v>
      </c>
      <c r="O103" s="214">
        <v>7.0</v>
      </c>
      <c r="P103" s="214">
        <v>1.0</v>
      </c>
      <c r="Q103" s="214" t="b">
        <v>1</v>
      </c>
      <c r="R103" s="214">
        <v>100.0</v>
      </c>
      <c r="S103" s="214" t="s">
        <v>556</v>
      </c>
      <c r="T103" s="214" t="s">
        <v>321</v>
      </c>
      <c r="U103" s="214"/>
    </row>
    <row r="104">
      <c r="A104" s="221">
        <v>45902.61792826389</v>
      </c>
      <c r="B104" s="214" t="s">
        <v>249</v>
      </c>
      <c r="C104" s="214" t="s">
        <v>159</v>
      </c>
      <c r="D104" s="214">
        <v>0.0</v>
      </c>
      <c r="E104" s="214">
        <v>1.0</v>
      </c>
      <c r="F104" s="214" t="s">
        <v>921</v>
      </c>
      <c r="G104" s="221">
        <v>45906.79166666667</v>
      </c>
      <c r="H104" s="214" t="s">
        <v>43</v>
      </c>
      <c r="I104" s="214" t="s">
        <v>920</v>
      </c>
      <c r="J104" s="222"/>
      <c r="K104" s="222"/>
      <c r="L104" s="222"/>
      <c r="M104" s="222"/>
      <c r="N104" s="214">
        <v>11.0</v>
      </c>
      <c r="O104" s="214">
        <v>34.0</v>
      </c>
      <c r="P104" s="214">
        <v>1.0</v>
      </c>
      <c r="Q104" s="214" t="b">
        <v>1</v>
      </c>
      <c r="R104" s="214">
        <v>100.0</v>
      </c>
      <c r="S104" s="214" t="s">
        <v>361</v>
      </c>
      <c r="T104" s="214" t="s">
        <v>365</v>
      </c>
      <c r="U104" s="214"/>
    </row>
    <row r="105">
      <c r="A105" s="221">
        <v>45902.61792826389</v>
      </c>
      <c r="B105" s="214" t="s">
        <v>249</v>
      </c>
      <c r="C105" s="214" t="s">
        <v>217</v>
      </c>
      <c r="D105" s="214">
        <v>0.0</v>
      </c>
      <c r="E105" s="214">
        <v>1.0</v>
      </c>
      <c r="F105" s="214" t="s">
        <v>992</v>
      </c>
      <c r="G105" s="221">
        <v>45906.79166666667</v>
      </c>
      <c r="H105" s="214" t="s">
        <v>238</v>
      </c>
      <c r="I105" s="214" t="s">
        <v>920</v>
      </c>
      <c r="J105" s="222"/>
      <c r="K105" s="222"/>
      <c r="L105" s="222"/>
      <c r="M105" s="222"/>
      <c r="N105" s="214">
        <v>7.0</v>
      </c>
      <c r="O105" s="214">
        <v>63.0</v>
      </c>
      <c r="P105" s="214">
        <v>1.0</v>
      </c>
      <c r="Q105" s="214" t="b">
        <v>1</v>
      </c>
      <c r="R105" s="214">
        <v>100.0</v>
      </c>
      <c r="S105" s="214" t="s">
        <v>441</v>
      </c>
      <c r="T105" s="214" t="s">
        <v>365</v>
      </c>
      <c r="U105" s="214"/>
    </row>
    <row r="106">
      <c r="A106" s="221">
        <v>45902.61792826389</v>
      </c>
      <c r="B106" s="214" t="s">
        <v>249</v>
      </c>
      <c r="C106" s="214" t="s">
        <v>151</v>
      </c>
      <c r="D106" s="214">
        <v>1.0</v>
      </c>
      <c r="E106" s="214">
        <v>0.0</v>
      </c>
      <c r="F106" s="214" t="s">
        <v>971</v>
      </c>
      <c r="G106" s="221">
        <v>45906.8125</v>
      </c>
      <c r="H106" s="214" t="s">
        <v>311</v>
      </c>
      <c r="I106" s="214" t="s">
        <v>972</v>
      </c>
      <c r="J106" s="222"/>
      <c r="K106" s="222"/>
      <c r="L106" s="222"/>
      <c r="M106" s="222"/>
      <c r="N106" s="214">
        <v>24.0</v>
      </c>
      <c r="O106" s="214">
        <v>0.0</v>
      </c>
      <c r="P106" s="214">
        <v>1.0</v>
      </c>
      <c r="Q106" s="214" t="b">
        <v>1</v>
      </c>
      <c r="R106" s="214">
        <v>100.0</v>
      </c>
      <c r="S106" s="214" t="s">
        <v>535</v>
      </c>
      <c r="T106" s="214" t="s">
        <v>365</v>
      </c>
      <c r="U106" s="214"/>
    </row>
    <row r="107">
      <c r="A107" s="221">
        <v>45902.61792826389</v>
      </c>
      <c r="B107" s="214" t="s">
        <v>249</v>
      </c>
      <c r="C107" s="214" t="s">
        <v>183</v>
      </c>
      <c r="D107" s="214">
        <v>1.0</v>
      </c>
      <c r="E107" s="214">
        <v>0.0</v>
      </c>
      <c r="F107" s="214" t="s">
        <v>1008</v>
      </c>
      <c r="G107" s="221">
        <v>45906.92708333333</v>
      </c>
      <c r="H107" s="214" t="s">
        <v>493</v>
      </c>
      <c r="I107" s="214" t="s">
        <v>962</v>
      </c>
      <c r="J107" s="222"/>
      <c r="K107" s="222"/>
      <c r="L107" s="222"/>
      <c r="M107" s="222"/>
      <c r="N107" s="214">
        <v>42.0</v>
      </c>
      <c r="O107" s="214">
        <v>0.0</v>
      </c>
      <c r="P107" s="214">
        <v>1.0</v>
      </c>
      <c r="Q107" s="214" t="b">
        <v>0</v>
      </c>
      <c r="R107" s="214">
        <v>100.0</v>
      </c>
      <c r="S107" s="214" t="s">
        <v>525</v>
      </c>
      <c r="T107" s="214" t="s">
        <v>365</v>
      </c>
      <c r="U107" s="214"/>
    </row>
    <row r="108">
      <c r="A108" s="221">
        <v>45902.61792826389</v>
      </c>
      <c r="B108" s="214" t="s">
        <v>249</v>
      </c>
      <c r="C108" s="214" t="s">
        <v>124</v>
      </c>
      <c r="D108" s="214">
        <v>0.0</v>
      </c>
      <c r="E108" s="214">
        <v>1.0</v>
      </c>
      <c r="F108" s="214" t="s">
        <v>966</v>
      </c>
      <c r="G108" s="221">
        <v>45906.5</v>
      </c>
      <c r="H108" s="214" t="s">
        <v>193</v>
      </c>
      <c r="I108" s="214" t="s">
        <v>962</v>
      </c>
      <c r="J108" s="222" t="s">
        <v>67</v>
      </c>
      <c r="K108" s="222">
        <v>1.5</v>
      </c>
      <c r="L108" s="222" t="s">
        <v>67</v>
      </c>
      <c r="M108" s="222">
        <v>59.5</v>
      </c>
      <c r="N108" s="214">
        <v>24.0</v>
      </c>
      <c r="O108" s="214">
        <v>38.0</v>
      </c>
      <c r="P108" s="214">
        <v>1.0</v>
      </c>
      <c r="Q108" s="214" t="b">
        <v>1</v>
      </c>
      <c r="R108" s="214">
        <v>100.0</v>
      </c>
      <c r="S108" s="214" t="s">
        <v>471</v>
      </c>
      <c r="T108" s="214" t="s">
        <v>321</v>
      </c>
      <c r="U108" s="214"/>
    </row>
    <row r="109">
      <c r="A109" s="221">
        <v>45902.61792826389</v>
      </c>
      <c r="B109" s="214" t="s">
        <v>249</v>
      </c>
      <c r="C109" s="214" t="s">
        <v>137</v>
      </c>
      <c r="D109" s="214">
        <v>1.0</v>
      </c>
      <c r="E109" s="214">
        <v>0.0</v>
      </c>
      <c r="F109" s="214" t="s">
        <v>976</v>
      </c>
      <c r="G109" s="221">
        <v>45906.5</v>
      </c>
      <c r="H109" s="214" t="s">
        <v>311</v>
      </c>
      <c r="I109" s="214" t="s">
        <v>977</v>
      </c>
      <c r="J109" s="222" t="s">
        <v>67</v>
      </c>
      <c r="K109" s="222">
        <v>3.5</v>
      </c>
      <c r="L109" s="222" t="s">
        <v>67</v>
      </c>
      <c r="M109" s="222">
        <v>40.5</v>
      </c>
      <c r="N109" s="214">
        <v>34.0</v>
      </c>
      <c r="O109" s="214">
        <v>7.0</v>
      </c>
      <c r="P109" s="214">
        <v>1.0</v>
      </c>
      <c r="Q109" s="214" t="b">
        <v>1</v>
      </c>
      <c r="R109" s="214">
        <v>100.0</v>
      </c>
      <c r="S109" s="214" t="s">
        <v>407</v>
      </c>
      <c r="T109" s="214" t="s">
        <v>321</v>
      </c>
      <c r="U109" s="214"/>
    </row>
    <row r="110">
      <c r="A110" s="221">
        <v>45902.61792826389</v>
      </c>
      <c r="B110" s="214" t="s">
        <v>249</v>
      </c>
      <c r="C110" s="214" t="s">
        <v>112</v>
      </c>
      <c r="D110" s="214">
        <v>1.0</v>
      </c>
      <c r="E110" s="214">
        <v>0.0</v>
      </c>
      <c r="F110" s="214" t="s">
        <v>1005</v>
      </c>
      <c r="G110" s="221">
        <v>45906.5</v>
      </c>
      <c r="H110" s="214" t="s">
        <v>156</v>
      </c>
      <c r="I110" s="214" t="s">
        <v>948</v>
      </c>
      <c r="J110" s="222" t="s">
        <v>67</v>
      </c>
      <c r="K110" s="222">
        <v>14.5</v>
      </c>
      <c r="L110" s="222" t="s">
        <v>67</v>
      </c>
      <c r="M110" s="222">
        <v>52.5</v>
      </c>
      <c r="N110" s="214">
        <v>45.0</v>
      </c>
      <c r="O110" s="214">
        <v>17.0</v>
      </c>
      <c r="P110" s="214">
        <v>1.0</v>
      </c>
      <c r="Q110" s="214" t="b">
        <v>0</v>
      </c>
      <c r="R110" s="214">
        <v>100.0</v>
      </c>
      <c r="S110" s="214" t="s">
        <v>317</v>
      </c>
      <c r="T110" s="214" t="s">
        <v>321</v>
      </c>
      <c r="U110" s="214"/>
    </row>
    <row r="111">
      <c r="A111" s="221">
        <v>45902.61792826389</v>
      </c>
      <c r="B111" s="214"/>
      <c r="C111" s="214"/>
      <c r="D111" s="214"/>
      <c r="E111" s="214"/>
      <c r="F111" s="214"/>
      <c r="G111" s="214"/>
      <c r="H111" s="214"/>
      <c r="I111" s="214"/>
      <c r="J111" s="222"/>
      <c r="K111" s="222"/>
      <c r="L111" s="222"/>
      <c r="M111" s="222"/>
      <c r="N111" s="214"/>
      <c r="O111" s="214"/>
      <c r="P111" s="214"/>
      <c r="Q111" s="214"/>
      <c r="R111" s="214"/>
      <c r="S111" s="214"/>
      <c r="T111" s="214"/>
      <c r="U111" s="214"/>
    </row>
    <row r="112">
      <c r="A112" s="221">
        <v>45902.61792826389</v>
      </c>
      <c r="B112" s="214" t="s">
        <v>395</v>
      </c>
      <c r="C112" s="214" t="s">
        <v>231</v>
      </c>
      <c r="D112" s="214">
        <v>1.0</v>
      </c>
      <c r="E112" s="214">
        <v>0.0</v>
      </c>
      <c r="F112" s="214" t="s">
        <v>1009</v>
      </c>
      <c r="G112" s="221">
        <v>45905.79166666667</v>
      </c>
      <c r="H112" s="214" t="s">
        <v>132</v>
      </c>
      <c r="I112" s="214" t="s">
        <v>924</v>
      </c>
      <c r="J112" s="222" t="s">
        <v>67</v>
      </c>
      <c r="K112" s="222">
        <v>-9.0</v>
      </c>
      <c r="L112" s="222" t="s">
        <v>67</v>
      </c>
      <c r="M112" s="222">
        <v>52.5</v>
      </c>
      <c r="N112" s="214">
        <v>45.0</v>
      </c>
      <c r="O112" s="214">
        <v>10.0</v>
      </c>
      <c r="P112" s="214">
        <v>1.0</v>
      </c>
      <c r="Q112" s="214" t="b">
        <v>1</v>
      </c>
      <c r="R112" s="214">
        <v>100.0</v>
      </c>
      <c r="S112" s="214" t="s">
        <v>441</v>
      </c>
      <c r="T112" s="214" t="s">
        <v>365</v>
      </c>
      <c r="U112" s="214"/>
    </row>
    <row r="113">
      <c r="A113" s="221">
        <v>45902.61792826389</v>
      </c>
      <c r="B113" s="214" t="s">
        <v>395</v>
      </c>
      <c r="C113" s="214" t="s">
        <v>179</v>
      </c>
      <c r="D113" s="214">
        <v>1.0</v>
      </c>
      <c r="E113" s="214">
        <v>1.0</v>
      </c>
      <c r="F113" s="214" t="s">
        <v>961</v>
      </c>
      <c r="G113" s="221">
        <v>45906.64583333333</v>
      </c>
      <c r="H113" s="214" t="s">
        <v>193</v>
      </c>
      <c r="I113" s="214" t="s">
        <v>962</v>
      </c>
      <c r="J113" s="222" t="s">
        <v>67</v>
      </c>
      <c r="K113" s="222">
        <v>2.5</v>
      </c>
      <c r="L113" s="222" t="s">
        <v>67</v>
      </c>
      <c r="M113" s="222">
        <v>40.5</v>
      </c>
      <c r="N113" s="214">
        <v>49.0</v>
      </c>
      <c r="O113" s="214">
        <v>45.0</v>
      </c>
      <c r="P113" s="214">
        <v>1.0</v>
      </c>
      <c r="Q113" s="214" t="b">
        <v>0</v>
      </c>
      <c r="R113" s="214">
        <v>100.0</v>
      </c>
      <c r="S113" s="214" t="s">
        <v>525</v>
      </c>
      <c r="T113" s="214" t="s">
        <v>365</v>
      </c>
      <c r="U113" s="214"/>
    </row>
    <row r="114">
      <c r="A114" s="221">
        <v>45902.61792826389</v>
      </c>
      <c r="B114" s="214" t="s">
        <v>395</v>
      </c>
      <c r="C114" s="214" t="s">
        <v>114</v>
      </c>
      <c r="D114" s="214">
        <v>1.0</v>
      </c>
      <c r="E114" s="214">
        <v>0.0</v>
      </c>
      <c r="F114" s="214" t="s">
        <v>1010</v>
      </c>
      <c r="G114" s="221">
        <v>45906.64583333333</v>
      </c>
      <c r="H114" s="214"/>
      <c r="I114" s="214" t="s">
        <v>946</v>
      </c>
      <c r="J114" s="222" t="s">
        <v>67</v>
      </c>
      <c r="K114" s="222">
        <v>-2.5</v>
      </c>
      <c r="L114" s="222" t="s">
        <v>67</v>
      </c>
      <c r="M114" s="222">
        <v>51.5</v>
      </c>
      <c r="N114" s="214">
        <v>27.0</v>
      </c>
      <c r="O114" s="214">
        <v>20.0</v>
      </c>
      <c r="P114" s="214">
        <v>1.0</v>
      </c>
      <c r="Q114" s="214" t="b">
        <v>0</v>
      </c>
      <c r="R114" s="214">
        <v>100.0</v>
      </c>
      <c r="S114" s="214" t="s">
        <v>317</v>
      </c>
      <c r="T114" s="214" t="s">
        <v>321</v>
      </c>
      <c r="U114" s="214"/>
    </row>
    <row r="115">
      <c r="A115" s="221">
        <v>45902.61792826389</v>
      </c>
      <c r="B115" s="214" t="s">
        <v>395</v>
      </c>
      <c r="C115" s="214" t="s">
        <v>175</v>
      </c>
      <c r="D115" s="214">
        <v>0.0</v>
      </c>
      <c r="E115" s="214">
        <v>1.0</v>
      </c>
      <c r="F115" s="214" t="s">
        <v>998</v>
      </c>
      <c r="G115" s="221">
        <v>45906.64583333333</v>
      </c>
      <c r="H115" s="214" t="s">
        <v>156</v>
      </c>
      <c r="I115" s="214" t="s">
        <v>920</v>
      </c>
      <c r="J115" s="222" t="s">
        <v>67</v>
      </c>
      <c r="K115" s="222">
        <v>8.5</v>
      </c>
      <c r="L115" s="222" t="s">
        <v>67</v>
      </c>
      <c r="M115" s="222">
        <v>57.5</v>
      </c>
      <c r="N115" s="214">
        <v>6.0</v>
      </c>
      <c r="O115" s="214">
        <v>23.0</v>
      </c>
      <c r="P115" s="214">
        <v>1.0</v>
      </c>
      <c r="Q115" s="214" t="b">
        <v>0</v>
      </c>
      <c r="R115" s="214">
        <v>100.0</v>
      </c>
      <c r="S115" s="214" t="s">
        <v>530</v>
      </c>
      <c r="T115" s="214" t="s">
        <v>365</v>
      </c>
      <c r="U115" s="214"/>
    </row>
    <row r="116">
      <c r="A116" s="221">
        <v>45902.61792826389</v>
      </c>
      <c r="B116" s="214" t="s">
        <v>395</v>
      </c>
      <c r="C116" s="214" t="s">
        <v>147</v>
      </c>
      <c r="D116" s="214">
        <v>1.0</v>
      </c>
      <c r="E116" s="214">
        <v>0.0</v>
      </c>
      <c r="F116" s="214" t="s">
        <v>990</v>
      </c>
      <c r="G116" s="221">
        <v>45906.64583333333</v>
      </c>
      <c r="H116" s="214" t="s">
        <v>238</v>
      </c>
      <c r="I116" s="214" t="s">
        <v>991</v>
      </c>
      <c r="J116" s="222" t="s">
        <v>67</v>
      </c>
      <c r="K116" s="222">
        <v>6.5</v>
      </c>
      <c r="L116" s="222" t="s">
        <v>67</v>
      </c>
      <c r="M116" s="222">
        <v>51.5</v>
      </c>
      <c r="N116" s="214">
        <v>34.0</v>
      </c>
      <c r="O116" s="214">
        <v>31.0</v>
      </c>
      <c r="P116" s="214">
        <v>1.0</v>
      </c>
      <c r="Q116" s="214" t="b">
        <v>1</v>
      </c>
      <c r="R116" s="214">
        <v>100.0</v>
      </c>
      <c r="S116" s="214" t="s">
        <v>407</v>
      </c>
      <c r="T116" s="214" t="s">
        <v>321</v>
      </c>
      <c r="U116" s="214"/>
    </row>
    <row r="117">
      <c r="A117" s="221">
        <v>45902.61792826389</v>
      </c>
      <c r="B117" s="214" t="s">
        <v>395</v>
      </c>
      <c r="C117" s="214" t="s">
        <v>162</v>
      </c>
      <c r="D117" s="214">
        <v>2.0</v>
      </c>
      <c r="E117" s="214">
        <v>0.0</v>
      </c>
      <c r="F117" s="214" t="s">
        <v>1001</v>
      </c>
      <c r="G117" s="221">
        <v>45906.79166666667</v>
      </c>
      <c r="H117" s="214" t="s">
        <v>156</v>
      </c>
      <c r="I117" s="214" t="s">
        <v>920</v>
      </c>
      <c r="J117" s="222" t="s">
        <v>67</v>
      </c>
      <c r="K117" s="222">
        <v>9.0</v>
      </c>
      <c r="L117" s="222" t="s">
        <v>67</v>
      </c>
      <c r="M117" s="222">
        <v>52.5</v>
      </c>
      <c r="N117" s="214">
        <v>96.0</v>
      </c>
      <c r="O117" s="214">
        <v>30.0</v>
      </c>
      <c r="P117" s="214">
        <v>1.0</v>
      </c>
      <c r="Q117" s="214" t="b">
        <v>1</v>
      </c>
      <c r="R117" s="214">
        <v>100.0</v>
      </c>
      <c r="S117" s="214" t="s">
        <v>535</v>
      </c>
      <c r="T117" s="214" t="s">
        <v>365</v>
      </c>
      <c r="U117" s="214"/>
    </row>
    <row r="118">
      <c r="A118" s="221">
        <v>45902.61792826389</v>
      </c>
      <c r="B118" s="214" t="s">
        <v>395</v>
      </c>
      <c r="C118" s="214" t="s">
        <v>225</v>
      </c>
      <c r="D118" s="214">
        <v>0.0</v>
      </c>
      <c r="E118" s="214">
        <v>1.0</v>
      </c>
      <c r="F118" s="214" t="s">
        <v>947</v>
      </c>
      <c r="G118" s="221">
        <v>45906.79166666667</v>
      </c>
      <c r="H118" s="214" t="s">
        <v>62</v>
      </c>
      <c r="I118" s="214" t="s">
        <v>948</v>
      </c>
      <c r="J118" s="222" t="s">
        <v>67</v>
      </c>
      <c r="K118" s="222">
        <v>-6.0</v>
      </c>
      <c r="L118" s="222" t="s">
        <v>67</v>
      </c>
      <c r="M118" s="222">
        <v>39.5</v>
      </c>
      <c r="N118" s="214">
        <v>27.0</v>
      </c>
      <c r="O118" s="214">
        <v>30.0</v>
      </c>
      <c r="P118" s="214">
        <v>1.0</v>
      </c>
      <c r="Q118" s="214" t="b">
        <v>0</v>
      </c>
      <c r="R118" s="214">
        <v>100.0</v>
      </c>
      <c r="S118" s="214" t="s">
        <v>361</v>
      </c>
      <c r="T118" s="214" t="s">
        <v>365</v>
      </c>
      <c r="U118" s="214"/>
    </row>
    <row r="119">
      <c r="A119" s="221">
        <v>45902.61792826389</v>
      </c>
      <c r="B119" s="214" t="s">
        <v>395</v>
      </c>
      <c r="C119" s="214" t="s">
        <v>101</v>
      </c>
      <c r="D119" s="214">
        <v>1.0</v>
      </c>
      <c r="E119" s="214">
        <v>0.0</v>
      </c>
      <c r="F119" s="214" t="s">
        <v>922</v>
      </c>
      <c r="G119" s="221">
        <v>45906.79166666667</v>
      </c>
      <c r="H119" s="214" t="s">
        <v>43</v>
      </c>
      <c r="I119" s="214" t="s">
        <v>920</v>
      </c>
      <c r="J119" s="222"/>
      <c r="K119" s="222"/>
      <c r="L119" s="222"/>
      <c r="M119" s="222"/>
      <c r="N119" s="214">
        <v>27.0</v>
      </c>
      <c r="O119" s="214">
        <v>0.0</v>
      </c>
      <c r="P119" s="214">
        <v>1.0</v>
      </c>
      <c r="Q119" s="214" t="b">
        <v>1</v>
      </c>
      <c r="R119" s="214">
        <v>100.0</v>
      </c>
      <c r="S119" s="214" t="s">
        <v>471</v>
      </c>
      <c r="T119" s="214" t="s">
        <v>321</v>
      </c>
      <c r="U119" s="214"/>
    </row>
    <row r="120">
      <c r="A120" s="221">
        <v>45902.61792826389</v>
      </c>
      <c r="B120" s="214" t="s">
        <v>395</v>
      </c>
      <c r="C120" s="214" t="s">
        <v>213</v>
      </c>
      <c r="D120" s="214">
        <v>1.0</v>
      </c>
      <c r="E120" s="214">
        <v>0.0</v>
      </c>
      <c r="F120" s="214" t="s">
        <v>973</v>
      </c>
      <c r="G120" s="221">
        <v>45906.8125</v>
      </c>
      <c r="H120" s="214" t="s">
        <v>311</v>
      </c>
      <c r="I120" s="214" t="s">
        <v>974</v>
      </c>
      <c r="J120" s="222" t="s">
        <v>67</v>
      </c>
      <c r="K120" s="222">
        <v>2.5</v>
      </c>
      <c r="L120" s="222" t="s">
        <v>67</v>
      </c>
      <c r="M120" s="222">
        <v>51.5</v>
      </c>
      <c r="N120" s="214">
        <v>45.0</v>
      </c>
      <c r="O120" s="214">
        <v>3.0</v>
      </c>
      <c r="P120" s="214">
        <v>1.0</v>
      </c>
      <c r="Q120" s="214" t="b">
        <v>0</v>
      </c>
      <c r="R120" s="214">
        <v>100.0</v>
      </c>
      <c r="S120" s="214" t="s">
        <v>556</v>
      </c>
      <c r="T120" s="214" t="s">
        <v>321</v>
      </c>
      <c r="U120" s="214"/>
    </row>
    <row r="121">
      <c r="A121" s="221">
        <v>45902.61792826389</v>
      </c>
      <c r="B121" s="214" t="s">
        <v>395</v>
      </c>
      <c r="C121" s="214" t="s">
        <v>99</v>
      </c>
      <c r="D121" s="214">
        <v>1.0</v>
      </c>
      <c r="E121" s="214">
        <v>0.0</v>
      </c>
      <c r="F121" s="214" t="s">
        <v>1011</v>
      </c>
      <c r="G121" s="221">
        <v>45906.5</v>
      </c>
      <c r="H121" s="214" t="s">
        <v>493</v>
      </c>
      <c r="I121" s="214" t="s">
        <v>946</v>
      </c>
      <c r="J121" s="222" t="s">
        <v>67</v>
      </c>
      <c r="K121" s="222">
        <v>2.5</v>
      </c>
      <c r="L121" s="222" t="s">
        <v>67</v>
      </c>
      <c r="M121" s="222">
        <v>54.5</v>
      </c>
      <c r="N121" s="214">
        <v>59.0</v>
      </c>
      <c r="O121" s="214">
        <v>13.0</v>
      </c>
      <c r="P121" s="214">
        <v>1.0</v>
      </c>
      <c r="Q121" s="214" t="b">
        <v>0</v>
      </c>
      <c r="R121" s="214">
        <v>100.0</v>
      </c>
      <c r="S121" s="214" t="s">
        <v>725</v>
      </c>
      <c r="T121" s="214"/>
      <c r="U121" s="214"/>
    </row>
    <row r="122">
      <c r="A122" s="221">
        <v>45902.61792826389</v>
      </c>
      <c r="B122" s="214"/>
      <c r="C122" s="214"/>
      <c r="D122" s="214"/>
      <c r="E122" s="214"/>
      <c r="F122" s="214"/>
      <c r="G122" s="214"/>
      <c r="H122" s="214"/>
      <c r="I122" s="214"/>
      <c r="J122" s="222"/>
      <c r="K122" s="222"/>
      <c r="L122" s="222"/>
      <c r="M122" s="222"/>
      <c r="N122" s="214"/>
      <c r="O122" s="214"/>
      <c r="P122" s="214"/>
      <c r="Q122" s="214"/>
      <c r="R122" s="214"/>
      <c r="S122" s="214"/>
      <c r="T122" s="214"/>
      <c r="U122" s="214"/>
    </row>
    <row r="123">
      <c r="A123" s="221">
        <v>45902.61792826389</v>
      </c>
      <c r="B123" s="214" t="s">
        <v>132</v>
      </c>
      <c r="C123" s="214" t="s">
        <v>115</v>
      </c>
      <c r="D123" s="214">
        <v>1.0</v>
      </c>
      <c r="E123" s="214">
        <v>0.0</v>
      </c>
      <c r="F123" s="214" t="s">
        <v>1009</v>
      </c>
      <c r="G123" s="221">
        <v>45905.79166666667</v>
      </c>
      <c r="H123" s="214" t="s">
        <v>395</v>
      </c>
      <c r="I123" s="214" t="s">
        <v>924</v>
      </c>
      <c r="J123" s="222" t="s">
        <v>67</v>
      </c>
      <c r="K123" s="222">
        <v>-2.5</v>
      </c>
      <c r="L123" s="222" t="s">
        <v>67</v>
      </c>
      <c r="M123" s="222">
        <v>49.5</v>
      </c>
      <c r="N123" s="214">
        <v>51.0</v>
      </c>
      <c r="O123" s="214">
        <v>17.0</v>
      </c>
      <c r="P123" s="214">
        <v>1.0</v>
      </c>
      <c r="Q123" s="214" t="b">
        <v>0</v>
      </c>
      <c r="R123" s="214">
        <v>100.0</v>
      </c>
      <c r="S123" s="214" t="s">
        <v>317</v>
      </c>
      <c r="T123" s="214" t="s">
        <v>321</v>
      </c>
      <c r="U123" s="214"/>
    </row>
    <row r="124">
      <c r="A124" s="221">
        <v>45902.61792826389</v>
      </c>
      <c r="B124" s="214" t="s">
        <v>132</v>
      </c>
      <c r="C124" s="214" t="s">
        <v>187</v>
      </c>
      <c r="D124" s="214">
        <v>1.0</v>
      </c>
      <c r="E124" s="214">
        <v>0.0</v>
      </c>
      <c r="F124" s="214" t="s">
        <v>1012</v>
      </c>
      <c r="G124" s="221">
        <v>45906.66666666667</v>
      </c>
      <c r="H124" s="214"/>
      <c r="I124" s="214" t="s">
        <v>1013</v>
      </c>
      <c r="J124" s="222"/>
      <c r="K124" s="222"/>
      <c r="L124" s="222"/>
      <c r="M124" s="222"/>
      <c r="N124" s="214">
        <v>10.0</v>
      </c>
      <c r="O124" s="214">
        <v>0.0</v>
      </c>
      <c r="P124" s="214">
        <v>1.0</v>
      </c>
      <c r="Q124" s="214" t="b">
        <v>0</v>
      </c>
      <c r="R124" s="214">
        <v>100.0</v>
      </c>
      <c r="S124" s="214" t="s">
        <v>525</v>
      </c>
      <c r="T124" s="214" t="s">
        <v>365</v>
      </c>
      <c r="U124" s="214"/>
    </row>
    <row r="125">
      <c r="A125" s="221">
        <v>45902.61792826389</v>
      </c>
      <c r="B125" s="214" t="s">
        <v>132</v>
      </c>
      <c r="C125" s="214" t="s">
        <v>134</v>
      </c>
      <c r="D125" s="214">
        <v>1.0</v>
      </c>
      <c r="E125" s="214">
        <v>0.0</v>
      </c>
      <c r="F125" s="214" t="s">
        <v>988</v>
      </c>
      <c r="G125" s="221">
        <v>45906.66666666667</v>
      </c>
      <c r="H125" s="214" t="s">
        <v>96</v>
      </c>
      <c r="I125" s="214" t="s">
        <v>926</v>
      </c>
      <c r="J125" s="222" t="s">
        <v>67</v>
      </c>
      <c r="K125" s="222">
        <v>4.5</v>
      </c>
      <c r="L125" s="222" t="s">
        <v>67</v>
      </c>
      <c r="M125" s="222">
        <v>58.5</v>
      </c>
      <c r="N125" s="214">
        <v>45.0</v>
      </c>
      <c r="O125" s="214">
        <v>3.0</v>
      </c>
      <c r="P125" s="214">
        <v>1.0</v>
      </c>
      <c r="Q125" s="214" t="b">
        <v>1</v>
      </c>
      <c r="R125" s="214">
        <v>100.0</v>
      </c>
      <c r="S125" s="214" t="s">
        <v>471</v>
      </c>
      <c r="T125" s="214" t="s">
        <v>321</v>
      </c>
      <c r="U125" s="214"/>
    </row>
    <row r="126">
      <c r="A126" s="221">
        <v>45902.61792826389</v>
      </c>
      <c r="B126" s="214" t="s">
        <v>132</v>
      </c>
      <c r="C126" s="214" t="s">
        <v>215</v>
      </c>
      <c r="D126" s="214">
        <v>1.0</v>
      </c>
      <c r="E126" s="214">
        <v>0.0</v>
      </c>
      <c r="F126" s="214" t="s">
        <v>999</v>
      </c>
      <c r="G126" s="221">
        <v>45906.70833333333</v>
      </c>
      <c r="H126" s="214" t="s">
        <v>156</v>
      </c>
      <c r="I126" s="214" t="s">
        <v>972</v>
      </c>
      <c r="J126" s="222" t="s">
        <v>67</v>
      </c>
      <c r="K126" s="222">
        <v>6.5</v>
      </c>
      <c r="L126" s="222" t="s">
        <v>67</v>
      </c>
      <c r="M126" s="222">
        <v>49.5</v>
      </c>
      <c r="N126" s="214">
        <v>42.0</v>
      </c>
      <c r="O126" s="214">
        <v>24.0</v>
      </c>
      <c r="P126" s="214">
        <v>1.0</v>
      </c>
      <c r="Q126" s="214" t="b">
        <v>0</v>
      </c>
      <c r="R126" s="214">
        <v>100.0</v>
      </c>
      <c r="S126" s="214" t="s">
        <v>441</v>
      </c>
      <c r="T126" s="214" t="s">
        <v>365</v>
      </c>
      <c r="U126" s="214"/>
    </row>
    <row r="127">
      <c r="A127" s="221">
        <v>45902.61792826389</v>
      </c>
      <c r="B127" s="214" t="s">
        <v>132</v>
      </c>
      <c r="C127" s="214" t="s">
        <v>107</v>
      </c>
      <c r="D127" s="214">
        <v>1.0</v>
      </c>
      <c r="E127" s="214">
        <v>0.0</v>
      </c>
      <c r="F127" s="214" t="s">
        <v>993</v>
      </c>
      <c r="G127" s="221">
        <v>45906.79166666667</v>
      </c>
      <c r="H127" s="214" t="s">
        <v>238</v>
      </c>
      <c r="I127" s="214" t="s">
        <v>920</v>
      </c>
      <c r="J127" s="222" t="s">
        <v>67</v>
      </c>
      <c r="K127" s="222">
        <v>13.5</v>
      </c>
      <c r="L127" s="222" t="s">
        <v>67</v>
      </c>
      <c r="M127" s="222">
        <v>49.5</v>
      </c>
      <c r="N127" s="214">
        <v>23.0</v>
      </c>
      <c r="O127" s="214">
        <v>3.0</v>
      </c>
      <c r="P127" s="214">
        <v>1.0</v>
      </c>
      <c r="Q127" s="214" t="b">
        <v>1</v>
      </c>
      <c r="R127" s="214">
        <v>100.0</v>
      </c>
      <c r="S127" s="214" t="s">
        <v>361</v>
      </c>
      <c r="T127" s="214" t="s">
        <v>365</v>
      </c>
      <c r="U127" s="214"/>
    </row>
    <row r="128">
      <c r="A128" s="221">
        <v>45902.61792826389</v>
      </c>
      <c r="B128" s="214" t="s">
        <v>132</v>
      </c>
      <c r="C128" s="214" t="s">
        <v>210</v>
      </c>
      <c r="D128" s="214">
        <v>1.0</v>
      </c>
      <c r="E128" s="214">
        <v>0.0</v>
      </c>
      <c r="F128" s="214" t="s">
        <v>1014</v>
      </c>
      <c r="G128" s="221">
        <v>45906.79166666667</v>
      </c>
      <c r="H128" s="214"/>
      <c r="I128" s="214" t="s">
        <v>972</v>
      </c>
      <c r="J128" s="222" t="s">
        <v>67</v>
      </c>
      <c r="K128" s="222">
        <v>-9.5</v>
      </c>
      <c r="L128" s="222" t="s">
        <v>67</v>
      </c>
      <c r="M128" s="222">
        <v>47.5</v>
      </c>
      <c r="N128" s="214">
        <v>24.0</v>
      </c>
      <c r="O128" s="214">
        <v>11.0</v>
      </c>
      <c r="P128" s="214">
        <v>1.0</v>
      </c>
      <c r="Q128" s="214" t="b">
        <v>0</v>
      </c>
      <c r="R128" s="214">
        <v>100.0</v>
      </c>
      <c r="S128" s="214" t="s">
        <v>556</v>
      </c>
      <c r="T128" s="214" t="s">
        <v>321</v>
      </c>
      <c r="U128" s="214"/>
    </row>
    <row r="129">
      <c r="A129" s="221">
        <v>45902.61792826389</v>
      </c>
      <c r="B129" s="214" t="s">
        <v>132</v>
      </c>
      <c r="C129" s="214" t="s">
        <v>131</v>
      </c>
      <c r="D129" s="214">
        <v>0.0</v>
      </c>
      <c r="E129" s="214">
        <v>1.0</v>
      </c>
      <c r="F129" s="214" t="s">
        <v>995</v>
      </c>
      <c r="G129" s="221">
        <v>45906.5</v>
      </c>
      <c r="H129" s="214" t="s">
        <v>238</v>
      </c>
      <c r="I129" s="214" t="s">
        <v>939</v>
      </c>
      <c r="J129" s="222" t="s">
        <v>67</v>
      </c>
      <c r="K129" s="222">
        <v>-11.5</v>
      </c>
      <c r="L129" s="222" t="s">
        <v>67</v>
      </c>
      <c r="M129" s="222">
        <v>51.5</v>
      </c>
      <c r="N129" s="214">
        <v>7.0</v>
      </c>
      <c r="O129" s="214">
        <v>14.0</v>
      </c>
      <c r="P129" s="214">
        <v>1.0</v>
      </c>
      <c r="Q129" s="214" t="b">
        <v>0</v>
      </c>
      <c r="R129" s="214">
        <v>100.0</v>
      </c>
      <c r="S129" s="214" t="s">
        <v>556</v>
      </c>
      <c r="T129" s="214" t="s">
        <v>321</v>
      </c>
      <c r="U129" s="214"/>
    </row>
    <row r="130">
      <c r="A130" s="221">
        <v>45902.61792826389</v>
      </c>
      <c r="B130" s="214" t="s">
        <v>132</v>
      </c>
      <c r="C130" s="214" t="s">
        <v>136</v>
      </c>
      <c r="D130" s="214">
        <v>1.0</v>
      </c>
      <c r="E130" s="214">
        <v>0.0</v>
      </c>
      <c r="F130" s="214" t="s">
        <v>941</v>
      </c>
      <c r="G130" s="221">
        <v>45906.5</v>
      </c>
      <c r="H130" s="214" t="s">
        <v>95</v>
      </c>
      <c r="I130" s="214" t="s">
        <v>933</v>
      </c>
      <c r="J130" s="222" t="s">
        <v>67</v>
      </c>
      <c r="K130" s="222">
        <v>6.5</v>
      </c>
      <c r="L130" s="222" t="s">
        <v>67</v>
      </c>
      <c r="M130" s="222">
        <v>52.5</v>
      </c>
      <c r="N130" s="214">
        <v>27.0</v>
      </c>
      <c r="O130" s="214">
        <v>14.0</v>
      </c>
      <c r="P130" s="214">
        <v>1.0</v>
      </c>
      <c r="Q130" s="214" t="b">
        <v>1</v>
      </c>
      <c r="R130" s="214">
        <v>100.0</v>
      </c>
      <c r="S130" s="214" t="s">
        <v>407</v>
      </c>
      <c r="T130" s="214" t="s">
        <v>321</v>
      </c>
      <c r="U130" s="214"/>
    </row>
    <row r="131">
      <c r="A131" s="221">
        <v>45902.61792826389</v>
      </c>
      <c r="B131" s="214" t="s">
        <v>132</v>
      </c>
      <c r="C131" s="214" t="s">
        <v>168</v>
      </c>
      <c r="D131" s="214">
        <v>1.0</v>
      </c>
      <c r="E131" s="214">
        <v>0.0</v>
      </c>
      <c r="F131" s="214" t="s">
        <v>997</v>
      </c>
      <c r="G131" s="221">
        <v>45906.5</v>
      </c>
      <c r="H131" s="214" t="s">
        <v>238</v>
      </c>
      <c r="I131" s="214" t="s">
        <v>926</v>
      </c>
      <c r="J131" s="222"/>
      <c r="K131" s="222"/>
      <c r="L131" s="222"/>
      <c r="M131" s="222"/>
      <c r="N131" s="214">
        <v>16.0</v>
      </c>
      <c r="O131" s="214">
        <v>14.0</v>
      </c>
      <c r="P131" s="214">
        <v>1.0</v>
      </c>
      <c r="Q131" s="214" t="b">
        <v>0</v>
      </c>
      <c r="R131" s="214">
        <v>100.0</v>
      </c>
      <c r="S131" s="214" t="s">
        <v>530</v>
      </c>
      <c r="T131" s="214" t="s">
        <v>365</v>
      </c>
      <c r="U131" s="214"/>
    </row>
    <row r="132">
      <c r="A132" s="221">
        <v>45902.61792826389</v>
      </c>
      <c r="B132" s="214" t="s">
        <v>132</v>
      </c>
      <c r="C132" s="214" t="s">
        <v>545</v>
      </c>
      <c r="D132" s="214">
        <v>1.0</v>
      </c>
      <c r="E132" s="214">
        <v>0.0</v>
      </c>
      <c r="F132" s="214" t="s">
        <v>928</v>
      </c>
      <c r="G132" s="221">
        <v>45906.5</v>
      </c>
      <c r="H132" s="214" t="s">
        <v>43</v>
      </c>
      <c r="I132" s="214" t="s">
        <v>929</v>
      </c>
      <c r="J132" s="222"/>
      <c r="K132" s="222"/>
      <c r="L132" s="222"/>
      <c r="M132" s="222"/>
      <c r="N132" s="214">
        <v>42.0</v>
      </c>
      <c r="O132" s="214">
        <v>9.0</v>
      </c>
      <c r="P132" s="214">
        <v>1.0</v>
      </c>
      <c r="Q132" s="214" t="b">
        <v>0</v>
      </c>
      <c r="R132" s="214">
        <v>100.0</v>
      </c>
      <c r="S132" s="214" t="s">
        <v>535</v>
      </c>
      <c r="T132" s="214" t="s">
        <v>365</v>
      </c>
      <c r="U132" s="214"/>
    </row>
    <row r="133">
      <c r="A133" s="221">
        <v>45902.61792826389</v>
      </c>
      <c r="B133" s="214"/>
      <c r="C133" s="214"/>
      <c r="D133" s="214"/>
      <c r="E133" s="214"/>
      <c r="F133" s="214"/>
      <c r="G133" s="214"/>
      <c r="H133" s="214"/>
      <c r="I133" s="214"/>
      <c r="J133" s="222"/>
      <c r="K133" s="222"/>
      <c r="L133" s="222"/>
      <c r="M133" s="222"/>
      <c r="N133" s="214"/>
      <c r="O133" s="214"/>
      <c r="P133" s="214"/>
      <c r="Q133" s="214"/>
      <c r="R133" s="214"/>
      <c r="S133" s="214"/>
      <c r="T133" s="214"/>
      <c r="U133" s="214"/>
    </row>
    <row r="134">
      <c r="A134" s="221">
        <v>45902.61792826389</v>
      </c>
      <c r="B134" s="214" t="s">
        <v>493</v>
      </c>
      <c r="C134" s="214" t="s">
        <v>138</v>
      </c>
      <c r="D134" s="214">
        <v>1.0</v>
      </c>
      <c r="E134" s="214">
        <v>0.0</v>
      </c>
      <c r="F134" s="214" t="s">
        <v>967</v>
      </c>
      <c r="G134" s="221">
        <v>45905.8125</v>
      </c>
      <c r="H134" s="214" t="s">
        <v>311</v>
      </c>
      <c r="I134" s="214" t="s">
        <v>929</v>
      </c>
      <c r="J134" s="222"/>
      <c r="K134" s="222"/>
      <c r="L134" s="222"/>
      <c r="M134" s="222"/>
      <c r="N134" s="214">
        <v>39.0</v>
      </c>
      <c r="O134" s="214">
        <v>7.0</v>
      </c>
      <c r="P134" s="214">
        <v>1.0</v>
      </c>
      <c r="Q134" s="214" t="b">
        <v>0</v>
      </c>
      <c r="R134" s="214">
        <v>100.0</v>
      </c>
      <c r="S134" s="214" t="s">
        <v>407</v>
      </c>
      <c r="T134" s="214" t="s">
        <v>321</v>
      </c>
      <c r="U134" s="214"/>
    </row>
    <row r="135">
      <c r="A135" s="221">
        <v>45902.61792826389</v>
      </c>
      <c r="B135" s="214" t="s">
        <v>493</v>
      </c>
      <c r="C135" s="214" t="s">
        <v>143</v>
      </c>
      <c r="D135" s="214">
        <v>0.0</v>
      </c>
      <c r="E135" s="214">
        <v>1.0</v>
      </c>
      <c r="F135" s="214" t="s">
        <v>1015</v>
      </c>
      <c r="G135" s="221">
        <v>45905.8125</v>
      </c>
      <c r="H135" s="214"/>
      <c r="I135" s="214" t="s">
        <v>929</v>
      </c>
      <c r="J135" s="222"/>
      <c r="K135" s="222"/>
      <c r="L135" s="222"/>
      <c r="M135" s="222"/>
      <c r="N135" s="214">
        <v>3.0</v>
      </c>
      <c r="O135" s="214">
        <v>23.0</v>
      </c>
      <c r="P135" s="214">
        <v>1.0</v>
      </c>
      <c r="Q135" s="214" t="b">
        <v>0</v>
      </c>
      <c r="R135" s="214">
        <v>100.0</v>
      </c>
      <c r="S135" s="214" t="s">
        <v>407</v>
      </c>
      <c r="T135" s="214" t="s">
        <v>321</v>
      </c>
      <c r="U135" s="214"/>
    </row>
    <row r="136">
      <c r="A136" s="221">
        <v>45902.61792826389</v>
      </c>
      <c r="B136" s="214" t="s">
        <v>493</v>
      </c>
      <c r="C136" s="214" t="s">
        <v>106</v>
      </c>
      <c r="D136" s="214">
        <v>1.0</v>
      </c>
      <c r="E136" s="214">
        <v>0.0</v>
      </c>
      <c r="F136" s="214" t="s">
        <v>1016</v>
      </c>
      <c r="G136" s="221">
        <v>45906.58333333333</v>
      </c>
      <c r="H136" s="214"/>
      <c r="I136" s="214" t="s">
        <v>920</v>
      </c>
      <c r="J136" s="222"/>
      <c r="K136" s="222"/>
      <c r="L136" s="222"/>
      <c r="M136" s="222"/>
      <c r="N136" s="214">
        <v>42.0</v>
      </c>
      <c r="O136" s="214">
        <v>10.0</v>
      </c>
      <c r="P136" s="214">
        <v>1.0</v>
      </c>
      <c r="Q136" s="214" t="b">
        <v>0</v>
      </c>
      <c r="R136" s="214">
        <v>100.0</v>
      </c>
      <c r="S136" s="214" t="s">
        <v>361</v>
      </c>
      <c r="T136" s="214" t="s">
        <v>365</v>
      </c>
      <c r="U136" s="214"/>
    </row>
    <row r="137">
      <c r="A137" s="221">
        <v>45902.61792826389</v>
      </c>
      <c r="B137" s="214" t="s">
        <v>493</v>
      </c>
      <c r="C137" s="214" t="s">
        <v>123</v>
      </c>
      <c r="D137" s="214">
        <v>1.0</v>
      </c>
      <c r="E137" s="214">
        <v>0.0</v>
      </c>
      <c r="F137" s="214" t="s">
        <v>1017</v>
      </c>
      <c r="G137" s="221">
        <v>45906.58333333333</v>
      </c>
      <c r="H137" s="214"/>
      <c r="I137" s="214" t="s">
        <v>946</v>
      </c>
      <c r="J137" s="222"/>
      <c r="K137" s="222"/>
      <c r="L137" s="222"/>
      <c r="M137" s="222"/>
      <c r="N137" s="214">
        <v>10.0</v>
      </c>
      <c r="O137" s="214">
        <v>9.0</v>
      </c>
      <c r="P137" s="214">
        <v>1.0</v>
      </c>
      <c r="Q137" s="214" t="b">
        <v>0</v>
      </c>
      <c r="R137" s="214">
        <v>100.0</v>
      </c>
      <c r="S137" s="214" t="s">
        <v>317</v>
      </c>
      <c r="T137" s="214" t="s">
        <v>321</v>
      </c>
      <c r="U137" s="214"/>
    </row>
    <row r="138">
      <c r="A138" s="221">
        <v>45902.61792826389</v>
      </c>
      <c r="B138" s="214" t="s">
        <v>493</v>
      </c>
      <c r="C138" s="214" t="s">
        <v>110</v>
      </c>
      <c r="D138" s="214">
        <v>1.0</v>
      </c>
      <c r="E138" s="214">
        <v>0.0</v>
      </c>
      <c r="F138" s="214" t="s">
        <v>982</v>
      </c>
      <c r="G138" s="221">
        <v>45906.8125</v>
      </c>
      <c r="H138" s="214" t="s">
        <v>224</v>
      </c>
      <c r="I138" s="214" t="s">
        <v>983</v>
      </c>
      <c r="J138" s="222" t="s">
        <v>67</v>
      </c>
      <c r="K138" s="222">
        <v>2.5</v>
      </c>
      <c r="L138" s="222" t="s">
        <v>67</v>
      </c>
      <c r="M138" s="222">
        <v>45.5</v>
      </c>
      <c r="N138" s="214">
        <v>66.0</v>
      </c>
      <c r="O138" s="214">
        <v>10.0</v>
      </c>
      <c r="P138" s="214">
        <v>1.0</v>
      </c>
      <c r="Q138" s="214" t="b">
        <v>0</v>
      </c>
      <c r="R138" s="214">
        <v>100.0</v>
      </c>
      <c r="S138" s="214" t="s">
        <v>317</v>
      </c>
      <c r="T138" s="214" t="s">
        <v>321</v>
      </c>
      <c r="U138" s="214"/>
    </row>
    <row r="139">
      <c r="A139" s="221">
        <v>45902.61792826389</v>
      </c>
      <c r="B139" s="214" t="s">
        <v>493</v>
      </c>
      <c r="C139" s="214" t="s">
        <v>146</v>
      </c>
      <c r="D139" s="214">
        <v>1.0</v>
      </c>
      <c r="E139" s="214">
        <v>0.0</v>
      </c>
      <c r="F139" s="214" t="s">
        <v>1018</v>
      </c>
      <c r="G139" s="221">
        <v>45906.8125</v>
      </c>
      <c r="H139" s="214"/>
      <c r="I139" s="214" t="s">
        <v>929</v>
      </c>
      <c r="J139" s="222"/>
      <c r="K139" s="222"/>
      <c r="L139" s="222"/>
      <c r="M139" s="222"/>
      <c r="N139" s="214">
        <v>31.0</v>
      </c>
      <c r="O139" s="214">
        <v>0.0</v>
      </c>
      <c r="P139" s="214">
        <v>1.0</v>
      </c>
      <c r="Q139" s="214" t="b">
        <v>0</v>
      </c>
      <c r="R139" s="214">
        <v>100.0</v>
      </c>
      <c r="S139" s="214" t="s">
        <v>407</v>
      </c>
      <c r="T139" s="214" t="s">
        <v>321</v>
      </c>
      <c r="U139" s="214"/>
    </row>
    <row r="140">
      <c r="A140" s="221">
        <v>45902.61792826389</v>
      </c>
      <c r="B140" s="214" t="s">
        <v>493</v>
      </c>
      <c r="C140" s="214" t="s">
        <v>108</v>
      </c>
      <c r="D140" s="214">
        <v>1.0</v>
      </c>
      <c r="E140" s="214">
        <v>0.0</v>
      </c>
      <c r="F140" s="214" t="s">
        <v>927</v>
      </c>
      <c r="G140" s="221">
        <v>45906.875</v>
      </c>
      <c r="H140" s="214" t="s">
        <v>43</v>
      </c>
      <c r="I140" s="214" t="s">
        <v>920</v>
      </c>
      <c r="J140" s="222"/>
      <c r="K140" s="222"/>
      <c r="L140" s="222"/>
      <c r="M140" s="222"/>
      <c r="N140" s="214">
        <v>35.0</v>
      </c>
      <c r="O140" s="214">
        <v>7.0</v>
      </c>
      <c r="P140" s="214">
        <v>1.0</v>
      </c>
      <c r="Q140" s="214" t="b">
        <v>1</v>
      </c>
      <c r="R140" s="214">
        <v>100.0</v>
      </c>
      <c r="S140" s="214" t="s">
        <v>361</v>
      </c>
      <c r="T140" s="214" t="s">
        <v>365</v>
      </c>
      <c r="U140" s="214"/>
    </row>
    <row r="141">
      <c r="A141" s="221">
        <v>45902.61792826389</v>
      </c>
      <c r="B141" s="214" t="s">
        <v>493</v>
      </c>
      <c r="C141" s="214" t="s">
        <v>188</v>
      </c>
      <c r="D141" s="214">
        <v>1.0</v>
      </c>
      <c r="E141" s="214">
        <v>0.0</v>
      </c>
      <c r="F141" s="214" t="s">
        <v>1019</v>
      </c>
      <c r="G141" s="221">
        <v>45906.91666666667</v>
      </c>
      <c r="H141" s="214"/>
      <c r="I141" s="214" t="s">
        <v>920</v>
      </c>
      <c r="J141" s="222"/>
      <c r="K141" s="222"/>
      <c r="L141" s="222"/>
      <c r="M141" s="222"/>
      <c r="N141" s="214">
        <v>40.0</v>
      </c>
      <c r="O141" s="214">
        <v>6.0</v>
      </c>
      <c r="P141" s="214">
        <v>1.0</v>
      </c>
      <c r="Q141" s="214" t="b">
        <v>0</v>
      </c>
      <c r="R141" s="214">
        <v>100.0</v>
      </c>
      <c r="S141" s="214" t="s">
        <v>471</v>
      </c>
      <c r="T141" s="214" t="s">
        <v>321</v>
      </c>
      <c r="U141" s="214"/>
    </row>
    <row r="142">
      <c r="A142" s="221">
        <v>45902.61792826389</v>
      </c>
      <c r="B142" s="214" t="s">
        <v>493</v>
      </c>
      <c r="C142" s="214" t="s">
        <v>195</v>
      </c>
      <c r="D142" s="214">
        <v>0.0</v>
      </c>
      <c r="E142" s="214">
        <v>1.0</v>
      </c>
      <c r="F142" s="214" t="s">
        <v>984</v>
      </c>
      <c r="G142" s="221">
        <v>45906.92708333333</v>
      </c>
      <c r="H142" s="214" t="s">
        <v>224</v>
      </c>
      <c r="I142" s="214" t="s">
        <v>948</v>
      </c>
      <c r="J142" s="222"/>
      <c r="K142" s="222"/>
      <c r="L142" s="222"/>
      <c r="M142" s="222"/>
      <c r="N142" s="214">
        <v>20.0</v>
      </c>
      <c r="O142" s="214">
        <v>23.0</v>
      </c>
      <c r="P142" s="214">
        <v>1.0</v>
      </c>
      <c r="Q142" s="214" t="b">
        <v>0</v>
      </c>
      <c r="R142" s="214">
        <v>100.0</v>
      </c>
      <c r="S142" s="214" t="s">
        <v>317</v>
      </c>
      <c r="T142" s="214" t="s">
        <v>321</v>
      </c>
      <c r="U142" s="214"/>
    </row>
    <row r="143">
      <c r="A143" s="221">
        <v>45902.61792826389</v>
      </c>
      <c r="B143" s="214" t="s">
        <v>493</v>
      </c>
      <c r="C143" s="214" t="s">
        <v>120</v>
      </c>
      <c r="D143" s="214">
        <v>0.0</v>
      </c>
      <c r="E143" s="214">
        <v>1.0</v>
      </c>
      <c r="F143" s="214" t="s">
        <v>1011</v>
      </c>
      <c r="G143" s="221">
        <v>45906.5</v>
      </c>
      <c r="H143" s="214" t="s">
        <v>395</v>
      </c>
      <c r="I143" s="214" t="s">
        <v>946</v>
      </c>
      <c r="J143" s="222" t="s">
        <v>67</v>
      </c>
      <c r="K143" s="222">
        <v>-7.5</v>
      </c>
      <c r="L143" s="222" t="s">
        <v>67</v>
      </c>
      <c r="M143" s="222">
        <v>61.5</v>
      </c>
      <c r="N143" s="214">
        <v>26.0</v>
      </c>
      <c r="O143" s="214">
        <v>45.0</v>
      </c>
      <c r="P143" s="214">
        <v>1.0</v>
      </c>
      <c r="Q143" s="214" t="b">
        <v>1</v>
      </c>
      <c r="R143" s="214">
        <v>100.0</v>
      </c>
      <c r="S143" s="214" t="s">
        <v>317</v>
      </c>
      <c r="T143" s="214" t="s">
        <v>321</v>
      </c>
      <c r="U143" s="214"/>
    </row>
    <row r="144">
      <c r="A144" s="221">
        <v>45902.61792826389</v>
      </c>
      <c r="B144" s="214"/>
      <c r="C144" s="214"/>
      <c r="D144" s="214"/>
      <c r="E144" s="214"/>
      <c r="F144" s="214"/>
      <c r="G144" s="214"/>
      <c r="H144" s="214"/>
      <c r="I144" s="214"/>
      <c r="J144" s="222"/>
      <c r="K144" s="222"/>
      <c r="L144" s="222"/>
      <c r="M144" s="222"/>
      <c r="N144" s="214"/>
      <c r="O144" s="214"/>
      <c r="P144" s="214"/>
      <c r="Q144" s="214"/>
      <c r="R144" s="214"/>
      <c r="S144" s="214"/>
      <c r="T144" s="214"/>
      <c r="U144" s="214"/>
    </row>
    <row r="145">
      <c r="A145" s="221">
        <v>45902.61792826389</v>
      </c>
      <c r="B145" s="214" t="s">
        <v>493</v>
      </c>
      <c r="C145" s="214" t="s">
        <v>205</v>
      </c>
      <c r="D145" s="214">
        <v>1.0</v>
      </c>
      <c r="E145" s="214">
        <v>0.0</v>
      </c>
      <c r="F145" s="214" t="s">
        <v>1007</v>
      </c>
      <c r="G145" s="221">
        <v>45906.64583333333</v>
      </c>
      <c r="H145" s="214" t="s">
        <v>249</v>
      </c>
      <c r="I145" s="214" t="s">
        <v>939</v>
      </c>
      <c r="J145" s="222"/>
      <c r="K145" s="222"/>
      <c r="L145" s="222"/>
      <c r="M145" s="222"/>
      <c r="N145" s="214">
        <v>24.0</v>
      </c>
      <c r="O145" s="214">
        <v>16.0</v>
      </c>
      <c r="P145" s="214">
        <v>1.0</v>
      </c>
      <c r="Q145" s="214" t="b">
        <v>0</v>
      </c>
      <c r="R145" s="214">
        <v>100.0</v>
      </c>
      <c r="S145" s="214" t="s">
        <v>556</v>
      </c>
      <c r="T145" s="214" t="s">
        <v>321</v>
      </c>
      <c r="U145" s="214"/>
    </row>
    <row r="146">
      <c r="A146" s="221">
        <v>45902.61792826389</v>
      </c>
      <c r="B146" s="214" t="s">
        <v>493</v>
      </c>
      <c r="C146" s="214" t="s">
        <v>546</v>
      </c>
      <c r="D146" s="214">
        <v>0.0</v>
      </c>
      <c r="E146" s="214">
        <v>1.0</v>
      </c>
      <c r="F146" s="214" t="s">
        <v>1020</v>
      </c>
      <c r="G146" s="221">
        <v>45906.70833333333</v>
      </c>
      <c r="H146" s="214"/>
      <c r="I146" s="214" t="s">
        <v>920</v>
      </c>
      <c r="J146" s="222"/>
      <c r="K146" s="222"/>
      <c r="L146" s="222"/>
      <c r="M146" s="222"/>
      <c r="N146" s="214">
        <v>17.0</v>
      </c>
      <c r="O146" s="214">
        <v>34.0</v>
      </c>
      <c r="P146" s="214">
        <v>1.0</v>
      </c>
      <c r="Q146" s="214" t="b">
        <v>0</v>
      </c>
      <c r="R146" s="214">
        <v>100.0</v>
      </c>
      <c r="S146" s="214" t="s">
        <v>441</v>
      </c>
      <c r="T146" s="214" t="s">
        <v>365</v>
      </c>
      <c r="U146" s="214"/>
    </row>
    <row r="147">
      <c r="A147" s="221">
        <v>45902.61792826389</v>
      </c>
      <c r="B147" s="214" t="s">
        <v>493</v>
      </c>
      <c r="C147" s="214" t="s">
        <v>207</v>
      </c>
      <c r="D147" s="214">
        <v>1.0</v>
      </c>
      <c r="E147" s="214">
        <v>0.0</v>
      </c>
      <c r="F147" s="214" t="s">
        <v>923</v>
      </c>
      <c r="G147" s="221">
        <v>45906.8125</v>
      </c>
      <c r="H147" s="214" t="s">
        <v>43</v>
      </c>
      <c r="I147" s="214" t="s">
        <v>924</v>
      </c>
      <c r="J147" s="222"/>
      <c r="K147" s="222"/>
      <c r="L147" s="222"/>
      <c r="M147" s="222"/>
      <c r="N147" s="214">
        <v>34.0</v>
      </c>
      <c r="O147" s="214">
        <v>17.0</v>
      </c>
      <c r="P147" s="214">
        <v>1.0</v>
      </c>
      <c r="Q147" s="214" t="b">
        <v>0</v>
      </c>
      <c r="R147" s="214">
        <v>100.0</v>
      </c>
      <c r="S147" s="214" t="s">
        <v>556</v>
      </c>
      <c r="T147" s="214" t="s">
        <v>321</v>
      </c>
      <c r="U147" s="214"/>
    </row>
    <row r="148">
      <c r="A148" s="221">
        <v>45902.61792826389</v>
      </c>
      <c r="B148" s="214" t="s">
        <v>493</v>
      </c>
      <c r="C148" s="214" t="s">
        <v>219</v>
      </c>
      <c r="D148" s="214">
        <v>1.0</v>
      </c>
      <c r="E148" s="214">
        <v>0.0</v>
      </c>
      <c r="F148" s="214" t="s">
        <v>951</v>
      </c>
      <c r="G148" s="221">
        <v>45906.82291666667</v>
      </c>
      <c r="H148" s="214" t="s">
        <v>62</v>
      </c>
      <c r="I148" s="214" t="s">
        <v>952</v>
      </c>
      <c r="J148" s="222"/>
      <c r="K148" s="222"/>
      <c r="L148" s="222"/>
      <c r="M148" s="222"/>
      <c r="N148" s="214">
        <v>29.0</v>
      </c>
      <c r="O148" s="214">
        <v>0.0</v>
      </c>
      <c r="P148" s="214">
        <v>1.0</v>
      </c>
      <c r="Q148" s="214" t="b">
        <v>1</v>
      </c>
      <c r="R148" s="214">
        <v>100.0</v>
      </c>
      <c r="S148" s="214" t="s">
        <v>441</v>
      </c>
      <c r="T148" s="214" t="s">
        <v>365</v>
      </c>
      <c r="U148" s="214"/>
    </row>
    <row r="149">
      <c r="A149" s="221">
        <v>45902.61792826389</v>
      </c>
      <c r="B149" s="214" t="s">
        <v>493</v>
      </c>
      <c r="C149" s="214" t="s">
        <v>200</v>
      </c>
      <c r="D149" s="214">
        <v>1.0</v>
      </c>
      <c r="E149" s="214">
        <v>0.0</v>
      </c>
      <c r="F149" s="214" t="s">
        <v>1008</v>
      </c>
      <c r="G149" s="221">
        <v>45906.92708333333</v>
      </c>
      <c r="H149" s="214" t="s">
        <v>249</v>
      </c>
      <c r="I149" s="214" t="s">
        <v>962</v>
      </c>
      <c r="J149" s="222" t="s">
        <v>67</v>
      </c>
      <c r="K149" s="222">
        <v>7.5</v>
      </c>
      <c r="L149" s="222" t="s">
        <v>67</v>
      </c>
      <c r="M149" s="222">
        <v>61.5</v>
      </c>
      <c r="N149" s="214">
        <v>13.0</v>
      </c>
      <c r="O149" s="214">
        <v>10.0</v>
      </c>
      <c r="P149" s="214">
        <v>1.0</v>
      </c>
      <c r="Q149" s="214" t="b">
        <v>1</v>
      </c>
      <c r="R149" s="214">
        <v>100.0</v>
      </c>
      <c r="S149" s="214" t="s">
        <v>680</v>
      </c>
      <c r="T149" s="214" t="s">
        <v>365</v>
      </c>
      <c r="U149" s="214"/>
    </row>
    <row r="150">
      <c r="A150" s="221">
        <v>45909.06845365741</v>
      </c>
      <c r="B150" s="214" t="s">
        <v>43</v>
      </c>
      <c r="C150" s="214" t="s">
        <v>176</v>
      </c>
      <c r="D150" s="214">
        <v>1.0</v>
      </c>
      <c r="E150" s="214">
        <v>0.0</v>
      </c>
      <c r="F150" s="214"/>
      <c r="G150" s="221"/>
      <c r="H150" s="214"/>
      <c r="I150" s="214"/>
      <c r="J150" s="222"/>
      <c r="K150" s="222"/>
      <c r="L150" s="222"/>
      <c r="M150" s="222"/>
      <c r="N150" s="214">
        <v>49.0</v>
      </c>
      <c r="O150" s="214">
        <v>13.0</v>
      </c>
      <c r="P150" s="214">
        <v>0.0</v>
      </c>
      <c r="Q150" s="214" t="b">
        <v>0</v>
      </c>
      <c r="R150" s="214">
        <v>59.0</v>
      </c>
      <c r="S150" s="214" t="s">
        <v>525</v>
      </c>
      <c r="T150" s="214" t="s">
        <v>365</v>
      </c>
      <c r="U150" s="214"/>
    </row>
    <row r="151">
      <c r="A151" s="221">
        <v>45909.06845365741</v>
      </c>
      <c r="B151" s="214" t="s">
        <v>43</v>
      </c>
      <c r="C151" s="214" t="s">
        <v>228</v>
      </c>
      <c r="D151" s="214">
        <v>2.0</v>
      </c>
      <c r="E151" s="214">
        <v>0.0</v>
      </c>
      <c r="F151" s="214" t="s">
        <v>1021</v>
      </c>
      <c r="G151" s="214" t="s">
        <v>61</v>
      </c>
      <c r="H151" s="214" t="s">
        <v>493</v>
      </c>
      <c r="I151" s="214"/>
      <c r="J151" s="222" t="s">
        <v>67</v>
      </c>
      <c r="K151" s="222">
        <v>4.5</v>
      </c>
      <c r="L151" s="222" t="s">
        <v>67</v>
      </c>
      <c r="M151" s="222">
        <v>52.5</v>
      </c>
      <c r="N151" s="214">
        <v>40.0</v>
      </c>
      <c r="O151" s="214">
        <v>17.0</v>
      </c>
      <c r="P151" s="214">
        <v>2.0</v>
      </c>
      <c r="Q151" s="214" t="b">
        <v>0</v>
      </c>
      <c r="R151" s="214">
        <v>100.0</v>
      </c>
      <c r="S151" s="214" t="s">
        <v>535</v>
      </c>
      <c r="T151" s="214" t="s">
        <v>365</v>
      </c>
      <c r="U151" s="214"/>
    </row>
    <row r="152">
      <c r="A152" s="221">
        <v>45909.06845365741</v>
      </c>
      <c r="B152" s="214" t="s">
        <v>43</v>
      </c>
      <c r="C152" s="214" t="s">
        <v>189</v>
      </c>
      <c r="D152" s="214">
        <v>1.0</v>
      </c>
      <c r="E152" s="214">
        <v>1.0</v>
      </c>
      <c r="F152" s="214" t="s">
        <v>1022</v>
      </c>
      <c r="G152" s="214" t="s">
        <v>61</v>
      </c>
      <c r="H152" s="214" t="s">
        <v>493</v>
      </c>
      <c r="I152" s="214"/>
      <c r="J152" s="222" t="s">
        <v>67</v>
      </c>
      <c r="K152" s="222">
        <v>-6.5</v>
      </c>
      <c r="L152" s="222" t="s">
        <v>67</v>
      </c>
      <c r="M152" s="222">
        <v>58.5</v>
      </c>
      <c r="N152" s="214">
        <v>58.0</v>
      </c>
      <c r="O152" s="214">
        <v>43.0</v>
      </c>
      <c r="P152" s="214">
        <v>2.0</v>
      </c>
      <c r="Q152" s="214" t="b">
        <v>1</v>
      </c>
      <c r="R152" s="214">
        <v>100.0</v>
      </c>
      <c r="S152" s="214" t="s">
        <v>471</v>
      </c>
      <c r="T152" s="214" t="s">
        <v>321</v>
      </c>
      <c r="U152" s="214"/>
    </row>
    <row r="153">
      <c r="A153" s="221">
        <v>45909.06845365741</v>
      </c>
      <c r="B153" s="214" t="s">
        <v>43</v>
      </c>
      <c r="C153" s="214" t="s">
        <v>45</v>
      </c>
      <c r="D153" s="214">
        <v>2.0</v>
      </c>
      <c r="E153" s="214">
        <v>0.0</v>
      </c>
      <c r="F153" s="214" t="s">
        <v>1023</v>
      </c>
      <c r="G153" s="214" t="s">
        <v>61</v>
      </c>
      <c r="H153" s="214" t="s">
        <v>95</v>
      </c>
      <c r="I153" s="214"/>
      <c r="J153" s="222" t="s">
        <v>67</v>
      </c>
      <c r="K153" s="222">
        <v>-43.5</v>
      </c>
      <c r="L153" s="222" t="s">
        <v>67</v>
      </c>
      <c r="M153" s="222">
        <v>52.5</v>
      </c>
      <c r="N153" s="214">
        <v>80.0</v>
      </c>
      <c r="O153" s="214">
        <v>27.0</v>
      </c>
      <c r="P153" s="214">
        <v>2.0</v>
      </c>
      <c r="Q153" s="214" t="b">
        <v>1</v>
      </c>
      <c r="R153" s="214">
        <v>100.0</v>
      </c>
      <c r="S153" s="214" t="s">
        <v>556</v>
      </c>
      <c r="T153" s="214" t="s">
        <v>321</v>
      </c>
      <c r="U153" s="214"/>
    </row>
    <row r="154">
      <c r="A154" s="221">
        <v>45909.06845365741</v>
      </c>
      <c r="B154" s="214" t="s">
        <v>43</v>
      </c>
      <c r="C154" s="214" t="s">
        <v>118</v>
      </c>
      <c r="D154" s="214">
        <v>1.0</v>
      </c>
      <c r="E154" s="214">
        <v>1.0</v>
      </c>
      <c r="F154" s="214" t="s">
        <v>1024</v>
      </c>
      <c r="G154" s="214" t="s">
        <v>61</v>
      </c>
      <c r="H154" s="214" t="s">
        <v>249</v>
      </c>
      <c r="I154" s="214"/>
      <c r="J154" s="222" t="s">
        <v>67</v>
      </c>
      <c r="K154" s="222">
        <v>-12.5</v>
      </c>
      <c r="L154" s="222" t="s">
        <v>67</v>
      </c>
      <c r="M154" s="222">
        <v>49.5</v>
      </c>
      <c r="N154" s="214">
        <v>34.0</v>
      </c>
      <c r="O154" s="214">
        <v>51.0</v>
      </c>
      <c r="P154" s="214">
        <v>2.0</v>
      </c>
      <c r="Q154" s="214" t="b">
        <v>0</v>
      </c>
      <c r="R154" s="214">
        <v>100.0</v>
      </c>
      <c r="S154" s="214" t="s">
        <v>317</v>
      </c>
      <c r="T154" s="214" t="s">
        <v>321</v>
      </c>
      <c r="U154" s="214"/>
    </row>
    <row r="155">
      <c r="A155" s="221">
        <v>45909.06845365741</v>
      </c>
      <c r="B155" s="214" t="s">
        <v>43</v>
      </c>
      <c r="C155" s="214" t="s">
        <v>157</v>
      </c>
      <c r="D155" s="214">
        <v>1.0</v>
      </c>
      <c r="E155" s="214">
        <v>1.0</v>
      </c>
      <c r="F155" s="214" t="s">
        <v>1025</v>
      </c>
      <c r="G155" s="214" t="s">
        <v>61</v>
      </c>
      <c r="H155" s="214" t="s">
        <v>395</v>
      </c>
      <c r="I155" s="214"/>
      <c r="J155" s="222" t="s">
        <v>67</v>
      </c>
      <c r="K155" s="222">
        <v>14.0</v>
      </c>
      <c r="L155" s="222" t="s">
        <v>67</v>
      </c>
      <c r="M155" s="222">
        <v>38.5</v>
      </c>
      <c r="N155" s="214">
        <v>23.0</v>
      </c>
      <c r="O155" s="214">
        <v>47.0</v>
      </c>
      <c r="P155" s="214">
        <v>2.0</v>
      </c>
      <c r="Q155" s="214" t="b">
        <v>0</v>
      </c>
      <c r="R155" s="214">
        <v>100.0</v>
      </c>
      <c r="S155" s="214" t="s">
        <v>361</v>
      </c>
      <c r="T155" s="214" t="s">
        <v>365</v>
      </c>
      <c r="U155" s="214"/>
    </row>
    <row r="156">
      <c r="A156" s="221">
        <v>45909.06845365741</v>
      </c>
      <c r="B156" s="214" t="s">
        <v>43</v>
      </c>
      <c r="C156" s="214" t="s">
        <v>422</v>
      </c>
      <c r="D156" s="214">
        <v>2.0</v>
      </c>
      <c r="E156" s="214">
        <v>0.0</v>
      </c>
      <c r="F156" s="214" t="s">
        <v>1026</v>
      </c>
      <c r="G156" s="214" t="s">
        <v>61</v>
      </c>
      <c r="H156" s="214"/>
      <c r="I156" s="214"/>
      <c r="J156" s="222"/>
      <c r="K156" s="222"/>
      <c r="L156" s="222"/>
      <c r="M156" s="222"/>
      <c r="N156" s="214">
        <v>54.0</v>
      </c>
      <c r="O156" s="214">
        <v>24.0</v>
      </c>
      <c r="P156" s="214">
        <v>2.0</v>
      </c>
      <c r="Q156" s="214" t="b">
        <v>0</v>
      </c>
      <c r="R156" s="214">
        <v>100.0</v>
      </c>
      <c r="S156" s="214" t="s">
        <v>441</v>
      </c>
      <c r="T156" s="214" t="s">
        <v>365</v>
      </c>
      <c r="U156" s="214"/>
    </row>
    <row r="157">
      <c r="A157" s="221">
        <v>45909.06845365741</v>
      </c>
      <c r="B157" s="214" t="s">
        <v>43</v>
      </c>
      <c r="C157" s="214" t="s">
        <v>133</v>
      </c>
      <c r="D157" s="214">
        <v>2.0</v>
      </c>
      <c r="E157" s="214">
        <v>0.0</v>
      </c>
      <c r="F157" s="214" t="s">
        <v>1027</v>
      </c>
      <c r="G157" s="214" t="s">
        <v>61</v>
      </c>
      <c r="H157" s="214" t="s">
        <v>493</v>
      </c>
      <c r="I157" s="214"/>
      <c r="J157" s="222" t="s">
        <v>67</v>
      </c>
      <c r="K157" s="222">
        <v>-48.5</v>
      </c>
      <c r="L157" s="222" t="s">
        <v>67</v>
      </c>
      <c r="M157" s="222">
        <v>58.5</v>
      </c>
      <c r="N157" s="214">
        <v>129.0</v>
      </c>
      <c r="O157" s="214">
        <v>21.0</v>
      </c>
      <c r="P157" s="214">
        <v>2.0</v>
      </c>
      <c r="Q157" s="214" t="b">
        <v>1</v>
      </c>
      <c r="R157" s="214">
        <v>100.0</v>
      </c>
      <c r="S157" s="214" t="s">
        <v>471</v>
      </c>
      <c r="T157" s="214" t="s">
        <v>321</v>
      </c>
      <c r="U157" s="214"/>
    </row>
    <row r="158">
      <c r="A158" s="221">
        <v>45909.06845365741</v>
      </c>
      <c r="B158" s="214" t="s">
        <v>43</v>
      </c>
      <c r="C158" s="214" t="s">
        <v>145</v>
      </c>
      <c r="D158" s="214">
        <v>2.0</v>
      </c>
      <c r="E158" s="214">
        <v>0.0</v>
      </c>
      <c r="F158" s="214" t="s">
        <v>1028</v>
      </c>
      <c r="G158" s="214" t="s">
        <v>61</v>
      </c>
      <c r="H158" s="214" t="s">
        <v>132</v>
      </c>
      <c r="I158" s="214"/>
      <c r="J158" s="222" t="s">
        <v>67</v>
      </c>
      <c r="K158" s="222">
        <v>-41.5</v>
      </c>
      <c r="L158" s="222" t="s">
        <v>67</v>
      </c>
      <c r="M158" s="222">
        <v>53.5</v>
      </c>
      <c r="N158" s="214">
        <v>80.0</v>
      </c>
      <c r="O158" s="214">
        <v>11.0</v>
      </c>
      <c r="P158" s="214">
        <v>2.0</v>
      </c>
      <c r="Q158" s="214" t="b">
        <v>1</v>
      </c>
      <c r="R158" s="214">
        <v>100.0</v>
      </c>
      <c r="S158" s="214" t="s">
        <v>407</v>
      </c>
      <c r="T158" s="214" t="s">
        <v>321</v>
      </c>
      <c r="U158" s="214"/>
    </row>
    <row r="159">
      <c r="A159" s="221">
        <v>45909.06845365741</v>
      </c>
      <c r="B159" s="214" t="s">
        <v>43</v>
      </c>
      <c r="C159" s="214" t="s">
        <v>527</v>
      </c>
      <c r="D159" s="214">
        <v>0.0</v>
      </c>
      <c r="E159" s="214">
        <v>2.0</v>
      </c>
      <c r="F159" s="214" t="s">
        <v>1029</v>
      </c>
      <c r="G159" s="214" t="s">
        <v>61</v>
      </c>
      <c r="H159" s="214"/>
      <c r="I159" s="214"/>
      <c r="J159" s="222"/>
      <c r="K159" s="222"/>
      <c r="L159" s="222"/>
      <c r="M159" s="222"/>
      <c r="N159" s="214">
        <v>36.0</v>
      </c>
      <c r="O159" s="214">
        <v>69.0</v>
      </c>
      <c r="P159" s="214">
        <v>2.0</v>
      </c>
      <c r="Q159" s="214" t="b">
        <v>0</v>
      </c>
      <c r="R159" s="214">
        <v>100.0</v>
      </c>
      <c r="S159" s="214" t="s">
        <v>530</v>
      </c>
      <c r="T159" s="214" t="s">
        <v>365</v>
      </c>
      <c r="U159" s="214"/>
    </row>
    <row r="160">
      <c r="A160" s="221">
        <v>45909.06845365741</v>
      </c>
      <c r="B160" s="214"/>
      <c r="C160" s="214"/>
      <c r="D160" s="214"/>
      <c r="E160" s="214"/>
      <c r="F160" s="214"/>
      <c r="G160" s="221"/>
      <c r="H160" s="214"/>
      <c r="I160" s="214"/>
      <c r="J160" s="222"/>
      <c r="K160" s="222"/>
      <c r="L160" s="222"/>
      <c r="M160" s="222"/>
      <c r="N160" s="214"/>
      <c r="O160" s="214"/>
      <c r="P160" s="214"/>
      <c r="Q160" s="214"/>
      <c r="R160" s="214"/>
      <c r="S160" s="214"/>
      <c r="T160" s="214"/>
      <c r="U160" s="214"/>
    </row>
    <row r="161">
      <c r="A161" s="221">
        <v>45909.06845365741</v>
      </c>
      <c r="B161" s="214" t="s">
        <v>95</v>
      </c>
      <c r="C161" s="214" t="s">
        <v>130</v>
      </c>
      <c r="D161" s="214">
        <v>1.0</v>
      </c>
      <c r="E161" s="214">
        <v>0.0</v>
      </c>
      <c r="F161" s="214"/>
      <c r="G161" s="221"/>
      <c r="H161" s="214"/>
      <c r="I161" s="214"/>
      <c r="J161" s="222"/>
      <c r="K161" s="222"/>
      <c r="L161" s="222"/>
      <c r="M161" s="222"/>
      <c r="N161" s="214">
        <v>48.0</v>
      </c>
      <c r="O161" s="214">
        <v>14.0</v>
      </c>
      <c r="P161" s="214">
        <v>0.0</v>
      </c>
      <c r="Q161" s="214" t="b">
        <v>1</v>
      </c>
      <c r="R161" s="214">
        <v>59.0</v>
      </c>
      <c r="S161" s="214" t="s">
        <v>471</v>
      </c>
      <c r="T161" s="214" t="s">
        <v>321</v>
      </c>
      <c r="U161" s="214"/>
    </row>
    <row r="162">
      <c r="A162" s="221">
        <v>45909.06845365741</v>
      </c>
      <c r="B162" s="214" t="s">
        <v>95</v>
      </c>
      <c r="C162" s="214" t="s">
        <v>128</v>
      </c>
      <c r="D162" s="214">
        <v>2.0</v>
      </c>
      <c r="E162" s="214">
        <v>0.0</v>
      </c>
      <c r="F162" s="214" t="s">
        <v>1030</v>
      </c>
      <c r="G162" s="214" t="s">
        <v>61</v>
      </c>
      <c r="H162" s="214" t="s">
        <v>311</v>
      </c>
      <c r="I162" s="214"/>
      <c r="J162" s="222" t="s">
        <v>67</v>
      </c>
      <c r="K162" s="222">
        <v>-4.5</v>
      </c>
      <c r="L162" s="222" t="s">
        <v>67</v>
      </c>
      <c r="M162" s="222">
        <v>44.5</v>
      </c>
      <c r="N162" s="214">
        <v>59.0</v>
      </c>
      <c r="O162" s="214">
        <v>16.0</v>
      </c>
      <c r="P162" s="214">
        <v>2.0</v>
      </c>
      <c r="Q162" s="214" t="b">
        <v>0</v>
      </c>
      <c r="R162" s="214">
        <v>100.0</v>
      </c>
      <c r="S162" s="214" t="s">
        <v>556</v>
      </c>
      <c r="T162" s="214" t="s">
        <v>321</v>
      </c>
      <c r="U162" s="214"/>
    </row>
    <row r="163">
      <c r="A163" s="221">
        <v>45909.06845365741</v>
      </c>
      <c r="B163" s="214" t="s">
        <v>95</v>
      </c>
      <c r="C163" s="214" t="s">
        <v>197</v>
      </c>
      <c r="D163" s="214">
        <v>2.0</v>
      </c>
      <c r="E163" s="214">
        <v>0.0</v>
      </c>
      <c r="F163" s="214" t="s">
        <v>1031</v>
      </c>
      <c r="G163" s="214" t="s">
        <v>61</v>
      </c>
      <c r="H163" s="214" t="s">
        <v>224</v>
      </c>
      <c r="I163" s="214"/>
      <c r="J163" s="222" t="s">
        <v>67</v>
      </c>
      <c r="K163" s="222">
        <v>-28.5</v>
      </c>
      <c r="L163" s="222" t="s">
        <v>67</v>
      </c>
      <c r="M163" s="222">
        <v>60.5</v>
      </c>
      <c r="N163" s="214">
        <v>132.0</v>
      </c>
      <c r="O163" s="214">
        <v>33.0</v>
      </c>
      <c r="P163" s="214">
        <v>2.0</v>
      </c>
      <c r="Q163" s="214" t="b">
        <v>1</v>
      </c>
      <c r="R163" s="214">
        <v>100.0</v>
      </c>
      <c r="S163" s="214" t="s">
        <v>407</v>
      </c>
      <c r="T163" s="214" t="s">
        <v>321</v>
      </c>
      <c r="U163" s="214"/>
    </row>
    <row r="164">
      <c r="A164" s="221">
        <v>45909.06845365741</v>
      </c>
      <c r="B164" s="214" t="s">
        <v>95</v>
      </c>
      <c r="C164" s="214" t="s">
        <v>165</v>
      </c>
      <c r="D164" s="214">
        <v>0.0</v>
      </c>
      <c r="E164" s="214">
        <v>2.0</v>
      </c>
      <c r="F164" s="214" t="s">
        <v>1023</v>
      </c>
      <c r="G164" s="214" t="s">
        <v>61</v>
      </c>
      <c r="H164" s="214" t="s">
        <v>43</v>
      </c>
      <c r="I164" s="214"/>
      <c r="J164" s="222" t="s">
        <v>67</v>
      </c>
      <c r="K164" s="222">
        <v>43.5</v>
      </c>
      <c r="L164" s="222" t="s">
        <v>67</v>
      </c>
      <c r="M164" s="222">
        <v>52.5</v>
      </c>
      <c r="N164" s="214">
        <v>3.0</v>
      </c>
      <c r="O164" s="214">
        <v>73.0</v>
      </c>
      <c r="P164" s="214">
        <v>2.0</v>
      </c>
      <c r="Q164" s="214" t="b">
        <v>0</v>
      </c>
      <c r="R164" s="214">
        <v>100.0</v>
      </c>
      <c r="S164" s="214" t="s">
        <v>530</v>
      </c>
      <c r="T164" s="214" t="s">
        <v>365</v>
      </c>
      <c r="U164" s="214"/>
    </row>
    <row r="165">
      <c r="A165" s="221">
        <v>45909.06845365741</v>
      </c>
      <c r="B165" s="214" t="s">
        <v>95</v>
      </c>
      <c r="C165" s="214" t="s">
        <v>100</v>
      </c>
      <c r="D165" s="214">
        <v>1.0</v>
      </c>
      <c r="E165" s="214">
        <v>1.0</v>
      </c>
      <c r="F165" s="214" t="s">
        <v>1032</v>
      </c>
      <c r="G165" s="214" t="s">
        <v>61</v>
      </c>
      <c r="H165" s="214"/>
      <c r="I165" s="214"/>
      <c r="J165" s="222" t="s">
        <v>67</v>
      </c>
      <c r="K165" s="222">
        <v>5.0</v>
      </c>
      <c r="L165" s="222" t="s">
        <v>67</v>
      </c>
      <c r="M165" s="222">
        <v>58.5</v>
      </c>
      <c r="N165" s="214">
        <v>73.0</v>
      </c>
      <c r="O165" s="214">
        <v>27.0</v>
      </c>
      <c r="P165" s="214">
        <v>2.0</v>
      </c>
      <c r="Q165" s="214" t="b">
        <v>0</v>
      </c>
      <c r="R165" s="214">
        <v>100.0</v>
      </c>
      <c r="S165" s="214" t="s">
        <v>361</v>
      </c>
      <c r="T165" s="214" t="s">
        <v>365</v>
      </c>
      <c r="U165" s="214"/>
    </row>
    <row r="166">
      <c r="A166" s="221">
        <v>45909.06845365741</v>
      </c>
      <c r="B166" s="214" t="s">
        <v>95</v>
      </c>
      <c r="C166" s="214" t="s">
        <v>198</v>
      </c>
      <c r="D166" s="214">
        <v>2.0</v>
      </c>
      <c r="E166" s="214">
        <v>0.0</v>
      </c>
      <c r="F166" s="214" t="s">
        <v>1033</v>
      </c>
      <c r="G166" s="214" t="s">
        <v>61</v>
      </c>
      <c r="H166" s="214"/>
      <c r="I166" s="214"/>
      <c r="J166" s="222"/>
      <c r="K166" s="222"/>
      <c r="L166" s="222"/>
      <c r="M166" s="222"/>
      <c r="N166" s="214">
        <v>106.0</v>
      </c>
      <c r="O166" s="214">
        <v>19.0</v>
      </c>
      <c r="P166" s="214">
        <v>2.0</v>
      </c>
      <c r="Q166" s="214" t="b">
        <v>0</v>
      </c>
      <c r="R166" s="214">
        <v>100.0</v>
      </c>
      <c r="S166" s="214" t="s">
        <v>471</v>
      </c>
      <c r="T166" s="214" t="s">
        <v>321</v>
      </c>
      <c r="U166" s="214"/>
    </row>
    <row r="167">
      <c r="A167" s="221">
        <v>45909.06845365741</v>
      </c>
      <c r="B167" s="214" t="s">
        <v>95</v>
      </c>
      <c r="C167" s="214" t="s">
        <v>221</v>
      </c>
      <c r="D167" s="214">
        <v>2.0</v>
      </c>
      <c r="E167" s="214">
        <v>0.0</v>
      </c>
      <c r="F167" s="214" t="s">
        <v>1034</v>
      </c>
      <c r="G167" s="214" t="s">
        <v>61</v>
      </c>
      <c r="H167" s="214" t="s">
        <v>311</v>
      </c>
      <c r="I167" s="214"/>
      <c r="J167" s="222" t="s">
        <v>67</v>
      </c>
      <c r="K167" s="222">
        <v>4.0</v>
      </c>
      <c r="L167" s="222" t="s">
        <v>67</v>
      </c>
      <c r="M167" s="222">
        <v>64.5</v>
      </c>
      <c r="N167" s="214">
        <v>95.0</v>
      </c>
      <c r="O167" s="214">
        <v>63.0</v>
      </c>
      <c r="P167" s="214">
        <v>2.0</v>
      </c>
      <c r="Q167" s="214" t="b">
        <v>0</v>
      </c>
      <c r="R167" s="214">
        <v>100.0</v>
      </c>
      <c r="S167" s="214" t="s">
        <v>441</v>
      </c>
      <c r="T167" s="214" t="s">
        <v>365</v>
      </c>
      <c r="U167" s="214"/>
    </row>
    <row r="168">
      <c r="A168" s="221">
        <v>45909.06845365741</v>
      </c>
      <c r="B168" s="214" t="s">
        <v>95</v>
      </c>
      <c r="C168" s="214" t="s">
        <v>233</v>
      </c>
      <c r="D168" s="214">
        <v>0.0</v>
      </c>
      <c r="E168" s="214">
        <v>2.0</v>
      </c>
      <c r="F168" s="214" t="s">
        <v>1035</v>
      </c>
      <c r="G168" s="214" t="s">
        <v>61</v>
      </c>
      <c r="H168" s="214" t="s">
        <v>132</v>
      </c>
      <c r="I168" s="214"/>
      <c r="J168" s="222" t="s">
        <v>67</v>
      </c>
      <c r="K168" s="222">
        <v>35.5</v>
      </c>
      <c r="L168" s="222" t="s">
        <v>67</v>
      </c>
      <c r="M168" s="222">
        <v>52.5</v>
      </c>
      <c r="N168" s="214">
        <v>18.0</v>
      </c>
      <c r="O168" s="214">
        <v>66.0</v>
      </c>
      <c r="P168" s="214">
        <v>2.0</v>
      </c>
      <c r="Q168" s="214" t="b">
        <v>0</v>
      </c>
      <c r="R168" s="214">
        <v>100.0</v>
      </c>
      <c r="S168" s="214" t="s">
        <v>535</v>
      </c>
      <c r="T168" s="214" t="s">
        <v>365</v>
      </c>
      <c r="U168" s="214"/>
    </row>
    <row r="169">
      <c r="A169" s="221">
        <v>45909.06845365741</v>
      </c>
      <c r="B169" s="214" t="s">
        <v>95</v>
      </c>
      <c r="C169" s="214" t="s">
        <v>117</v>
      </c>
      <c r="D169" s="214">
        <v>2.0</v>
      </c>
      <c r="E169" s="214">
        <v>0.0</v>
      </c>
      <c r="F169" s="214" t="s">
        <v>1036</v>
      </c>
      <c r="G169" s="214" t="s">
        <v>61</v>
      </c>
      <c r="H169" s="214" t="s">
        <v>96</v>
      </c>
      <c r="I169" s="214"/>
      <c r="J169" s="222" t="s">
        <v>67</v>
      </c>
      <c r="K169" s="222">
        <v>-3.5</v>
      </c>
      <c r="L169" s="222" t="s">
        <v>67</v>
      </c>
      <c r="M169" s="222">
        <v>54.5</v>
      </c>
      <c r="N169" s="214">
        <v>59.0</v>
      </c>
      <c r="O169" s="214">
        <v>48.0</v>
      </c>
      <c r="P169" s="214">
        <v>2.0</v>
      </c>
      <c r="Q169" s="214" t="b">
        <v>1</v>
      </c>
      <c r="R169" s="214">
        <v>100.0</v>
      </c>
      <c r="S169" s="214" t="s">
        <v>317</v>
      </c>
      <c r="T169" s="214" t="s">
        <v>321</v>
      </c>
      <c r="U169" s="214"/>
    </row>
    <row r="170">
      <c r="A170" s="221">
        <v>45909.06845365741</v>
      </c>
      <c r="B170" s="214" t="s">
        <v>95</v>
      </c>
      <c r="C170" s="214" t="s">
        <v>177</v>
      </c>
      <c r="D170" s="214">
        <v>1.0</v>
      </c>
      <c r="E170" s="214">
        <v>1.0</v>
      </c>
      <c r="F170" s="214" t="s">
        <v>1037</v>
      </c>
      <c r="G170" s="214" t="s">
        <v>61</v>
      </c>
      <c r="H170" s="214"/>
      <c r="I170" s="214"/>
      <c r="J170" s="222" t="s">
        <v>67</v>
      </c>
      <c r="K170" s="222">
        <v>-29.5</v>
      </c>
      <c r="L170" s="222" t="s">
        <v>67</v>
      </c>
      <c r="M170" s="222">
        <v>56.5</v>
      </c>
      <c r="N170" s="214">
        <v>58.0</v>
      </c>
      <c r="O170" s="214">
        <v>48.0</v>
      </c>
      <c r="P170" s="214">
        <v>2.0</v>
      </c>
      <c r="Q170" s="214" t="b">
        <v>0</v>
      </c>
      <c r="R170" s="214">
        <v>100.0</v>
      </c>
      <c r="S170" s="214" t="s">
        <v>525</v>
      </c>
      <c r="T170" s="214" t="s">
        <v>365</v>
      </c>
      <c r="U170" s="214"/>
    </row>
    <row r="171">
      <c r="A171" s="221">
        <v>45909.06845365741</v>
      </c>
      <c r="B171" s="214"/>
      <c r="C171" s="214"/>
      <c r="D171" s="214"/>
      <c r="E171" s="214"/>
      <c r="F171" s="214"/>
      <c r="G171" s="221"/>
      <c r="H171" s="214"/>
      <c r="I171" s="214"/>
      <c r="J171" s="222"/>
      <c r="K171" s="222"/>
      <c r="L171" s="222"/>
      <c r="M171" s="222"/>
      <c r="N171" s="214"/>
      <c r="O171" s="214"/>
      <c r="P171" s="214"/>
      <c r="Q171" s="214"/>
      <c r="R171" s="214"/>
      <c r="S171" s="214"/>
      <c r="T171" s="214"/>
      <c r="U171" s="214"/>
    </row>
    <row r="172">
      <c r="A172" s="221">
        <v>45909.06845365741</v>
      </c>
      <c r="B172" s="214" t="s">
        <v>62</v>
      </c>
      <c r="C172" s="214" t="s">
        <v>199</v>
      </c>
      <c r="D172" s="214">
        <v>2.0</v>
      </c>
      <c r="E172" s="214">
        <v>0.0</v>
      </c>
      <c r="F172" s="214" t="s">
        <v>1038</v>
      </c>
      <c r="G172" s="214" t="s">
        <v>61</v>
      </c>
      <c r="H172" s="214"/>
      <c r="I172" s="214"/>
      <c r="J172" s="222" t="s">
        <v>67</v>
      </c>
      <c r="K172" s="222">
        <v>2.5</v>
      </c>
      <c r="L172" s="222" t="s">
        <v>67</v>
      </c>
      <c r="M172" s="222">
        <v>49.5</v>
      </c>
      <c r="N172" s="214">
        <v>108.0</v>
      </c>
      <c r="O172" s="214">
        <v>31.0</v>
      </c>
      <c r="P172" s="214">
        <v>2.0</v>
      </c>
      <c r="Q172" s="214" t="b">
        <v>0</v>
      </c>
      <c r="R172" s="214">
        <v>100.0</v>
      </c>
      <c r="S172" s="214" t="s">
        <v>407</v>
      </c>
      <c r="T172" s="214" t="s">
        <v>321</v>
      </c>
      <c r="U172" s="214"/>
    </row>
    <row r="173">
      <c r="A173" s="221">
        <v>45909.06845365741</v>
      </c>
      <c r="B173" s="214" t="s">
        <v>62</v>
      </c>
      <c r="C173" s="214" t="s">
        <v>196</v>
      </c>
      <c r="D173" s="214">
        <v>0.0</v>
      </c>
      <c r="E173" s="214">
        <v>2.0</v>
      </c>
      <c r="F173" s="214" t="s">
        <v>1039</v>
      </c>
      <c r="G173" s="214" t="s">
        <v>61</v>
      </c>
      <c r="H173" s="214" t="s">
        <v>224</v>
      </c>
      <c r="I173" s="214"/>
      <c r="J173" s="222" t="s">
        <v>67</v>
      </c>
      <c r="K173" s="222">
        <v>-2.5</v>
      </c>
      <c r="L173" s="222" t="s">
        <v>67</v>
      </c>
      <c r="M173" s="222">
        <v>54.5</v>
      </c>
      <c r="N173" s="214">
        <v>33.0</v>
      </c>
      <c r="O173" s="214">
        <v>73.0</v>
      </c>
      <c r="P173" s="214">
        <v>2.0</v>
      </c>
      <c r="Q173" s="214" t="b">
        <v>1</v>
      </c>
      <c r="R173" s="214">
        <v>100.0</v>
      </c>
      <c r="S173" s="214" t="s">
        <v>407</v>
      </c>
      <c r="T173" s="214" t="s">
        <v>321</v>
      </c>
      <c r="U173" s="214"/>
    </row>
    <row r="174">
      <c r="A174" s="221">
        <v>45909.06845365741</v>
      </c>
      <c r="B174" s="214" t="s">
        <v>62</v>
      </c>
      <c r="C174" s="214" t="s">
        <v>201</v>
      </c>
      <c r="D174" s="214">
        <v>1.0</v>
      </c>
      <c r="E174" s="214">
        <v>1.0</v>
      </c>
      <c r="F174" s="214" t="s">
        <v>1040</v>
      </c>
      <c r="G174" s="214" t="s">
        <v>61</v>
      </c>
      <c r="H174" s="214" t="s">
        <v>493</v>
      </c>
      <c r="I174" s="214"/>
      <c r="J174" s="222" t="s">
        <v>67</v>
      </c>
      <c r="K174" s="222">
        <v>-34.5</v>
      </c>
      <c r="L174" s="222" t="s">
        <v>67</v>
      </c>
      <c r="M174" s="222">
        <v>49.5</v>
      </c>
      <c r="N174" s="214">
        <v>90.0</v>
      </c>
      <c r="O174" s="214">
        <v>31.0</v>
      </c>
      <c r="P174" s="214">
        <v>2.0</v>
      </c>
      <c r="Q174" s="214" t="b">
        <v>0</v>
      </c>
      <c r="R174" s="214">
        <v>100.0</v>
      </c>
      <c r="S174" s="214" t="s">
        <v>556</v>
      </c>
      <c r="T174" s="214" t="s">
        <v>321</v>
      </c>
      <c r="U174" s="214"/>
    </row>
    <row r="175">
      <c r="A175" s="221">
        <v>45909.06845365741</v>
      </c>
      <c r="B175" s="214" t="s">
        <v>62</v>
      </c>
      <c r="C175" s="214" t="s">
        <v>178</v>
      </c>
      <c r="D175" s="214">
        <v>1.0</v>
      </c>
      <c r="E175" s="214">
        <v>1.0</v>
      </c>
      <c r="F175" s="214" t="s">
        <v>1041</v>
      </c>
      <c r="G175" s="214" t="s">
        <v>61</v>
      </c>
      <c r="H175" s="214"/>
      <c r="I175" s="214"/>
      <c r="J175" s="222" t="s">
        <v>67</v>
      </c>
      <c r="K175" s="222">
        <v>2.5</v>
      </c>
      <c r="L175" s="222" t="s">
        <v>67</v>
      </c>
      <c r="M175" s="222">
        <v>42.5</v>
      </c>
      <c r="N175" s="214">
        <v>42.0</v>
      </c>
      <c r="O175" s="214">
        <v>55.0</v>
      </c>
      <c r="P175" s="214">
        <v>2.0</v>
      </c>
      <c r="Q175" s="214" t="b">
        <v>0</v>
      </c>
      <c r="R175" s="214">
        <v>100.0</v>
      </c>
      <c r="S175" s="214" t="s">
        <v>525</v>
      </c>
      <c r="T175" s="214" t="s">
        <v>365</v>
      </c>
      <c r="U175" s="214"/>
    </row>
    <row r="176">
      <c r="A176" s="221">
        <v>45909.06845365741</v>
      </c>
      <c r="B176" s="214" t="s">
        <v>62</v>
      </c>
      <c r="C176" s="214" t="s">
        <v>127</v>
      </c>
      <c r="D176" s="214">
        <v>1.0</v>
      </c>
      <c r="E176" s="214">
        <v>2.0</v>
      </c>
      <c r="F176" s="214" t="s">
        <v>1042</v>
      </c>
      <c r="G176" s="214" t="s">
        <v>61</v>
      </c>
      <c r="H176" s="214" t="s">
        <v>395</v>
      </c>
      <c r="I176" s="214"/>
      <c r="J176" s="222" t="s">
        <v>67</v>
      </c>
      <c r="K176" s="222">
        <v>-17.5</v>
      </c>
      <c r="L176" s="222" t="s">
        <v>67</v>
      </c>
      <c r="M176" s="222">
        <v>47.5</v>
      </c>
      <c r="N176" s="214">
        <v>80.0</v>
      </c>
      <c r="O176" s="214">
        <v>83.0</v>
      </c>
      <c r="P176" s="214">
        <v>2.0</v>
      </c>
      <c r="Q176" s="214" t="b">
        <v>1</v>
      </c>
      <c r="R176" s="214">
        <v>100.0</v>
      </c>
      <c r="S176" s="214" t="s">
        <v>471</v>
      </c>
      <c r="T176" s="214" t="s">
        <v>321</v>
      </c>
      <c r="U176" s="214"/>
    </row>
    <row r="177">
      <c r="A177" s="221">
        <v>45909.06845365741</v>
      </c>
      <c r="B177" s="214" t="s">
        <v>62</v>
      </c>
      <c r="C177" s="214" t="s">
        <v>155</v>
      </c>
      <c r="D177" s="214">
        <v>1.0</v>
      </c>
      <c r="E177" s="214">
        <v>1.0</v>
      </c>
      <c r="F177" s="214" t="s">
        <v>1043</v>
      </c>
      <c r="G177" s="214" t="s">
        <v>61</v>
      </c>
      <c r="H177" s="214"/>
      <c r="I177" s="214"/>
      <c r="J177" s="222"/>
      <c r="K177" s="222"/>
      <c r="L177" s="222"/>
      <c r="M177" s="222"/>
      <c r="N177" s="214">
        <v>68.0</v>
      </c>
      <c r="O177" s="214">
        <v>33.0</v>
      </c>
      <c r="P177" s="214">
        <v>2.0</v>
      </c>
      <c r="Q177" s="214" t="b">
        <v>0</v>
      </c>
      <c r="R177" s="214">
        <v>100.0</v>
      </c>
      <c r="S177" s="214" t="s">
        <v>441</v>
      </c>
      <c r="T177" s="214" t="s">
        <v>365</v>
      </c>
      <c r="U177" s="214"/>
    </row>
    <row r="178">
      <c r="A178" s="221">
        <v>45909.06845365741</v>
      </c>
      <c r="B178" s="214" t="s">
        <v>62</v>
      </c>
      <c r="C178" s="214" t="s">
        <v>190</v>
      </c>
      <c r="D178" s="214">
        <v>2.0</v>
      </c>
      <c r="E178" s="214">
        <v>0.0</v>
      </c>
      <c r="F178" s="214" t="s">
        <v>1044</v>
      </c>
      <c r="G178" s="214" t="s">
        <v>61</v>
      </c>
      <c r="H178" s="214"/>
      <c r="I178" s="214"/>
      <c r="J178" s="222" t="s">
        <v>67</v>
      </c>
      <c r="K178" s="222">
        <v>-1.5</v>
      </c>
      <c r="L178" s="222" t="s">
        <v>67</v>
      </c>
      <c r="M178" s="222">
        <v>49.5</v>
      </c>
      <c r="N178" s="214">
        <v>69.0</v>
      </c>
      <c r="O178" s="214">
        <v>18.0</v>
      </c>
      <c r="P178" s="214">
        <v>2.0</v>
      </c>
      <c r="Q178" s="214" t="b">
        <v>0</v>
      </c>
      <c r="R178" s="214">
        <v>100.0</v>
      </c>
      <c r="S178" s="214" t="s">
        <v>317</v>
      </c>
      <c r="T178" s="214" t="s">
        <v>321</v>
      </c>
      <c r="U178" s="214"/>
    </row>
    <row r="179">
      <c r="A179" s="221">
        <v>45909.06845365741</v>
      </c>
      <c r="B179" s="214" t="s">
        <v>62</v>
      </c>
      <c r="C179" s="214" t="s">
        <v>163</v>
      </c>
      <c r="D179" s="214">
        <v>1.0</v>
      </c>
      <c r="E179" s="214">
        <v>1.0</v>
      </c>
      <c r="F179" s="214" t="s">
        <v>1045</v>
      </c>
      <c r="G179" s="214" t="s">
        <v>61</v>
      </c>
      <c r="H179" s="214" t="s">
        <v>224</v>
      </c>
      <c r="I179" s="214"/>
      <c r="J179" s="222" t="s">
        <v>67</v>
      </c>
      <c r="K179" s="222">
        <v>21.0</v>
      </c>
      <c r="L179" s="222" t="s">
        <v>67</v>
      </c>
      <c r="M179" s="222">
        <v>59.5</v>
      </c>
      <c r="N179" s="214">
        <v>76.0</v>
      </c>
      <c r="O179" s="214">
        <v>80.0</v>
      </c>
      <c r="P179" s="214">
        <v>2.0</v>
      </c>
      <c r="Q179" s="214" t="b">
        <v>1</v>
      </c>
      <c r="R179" s="214">
        <v>100.0</v>
      </c>
      <c r="S179" s="214" t="s">
        <v>361</v>
      </c>
      <c r="T179" s="214" t="s">
        <v>365</v>
      </c>
      <c r="U179" s="214"/>
    </row>
    <row r="180">
      <c r="A180" s="221">
        <v>45909.06845365741</v>
      </c>
      <c r="B180" s="214" t="s">
        <v>62</v>
      </c>
      <c r="C180" s="214" t="s">
        <v>227</v>
      </c>
      <c r="D180" s="214">
        <v>1.0</v>
      </c>
      <c r="E180" s="214">
        <v>1.0</v>
      </c>
      <c r="F180" s="214" t="s">
        <v>1046</v>
      </c>
      <c r="G180" s="214" t="s">
        <v>61</v>
      </c>
      <c r="H180" s="214" t="s">
        <v>156</v>
      </c>
      <c r="I180" s="214"/>
      <c r="J180" s="222" t="s">
        <v>67</v>
      </c>
      <c r="K180" s="222">
        <v>-6.5</v>
      </c>
      <c r="L180" s="222" t="s">
        <v>67</v>
      </c>
      <c r="M180" s="222">
        <v>51.5</v>
      </c>
      <c r="N180" s="214">
        <v>52.0</v>
      </c>
      <c r="O180" s="214">
        <v>41.0</v>
      </c>
      <c r="P180" s="214">
        <v>2.0</v>
      </c>
      <c r="Q180" s="214" t="b">
        <v>0</v>
      </c>
      <c r="R180" s="214">
        <v>100.0</v>
      </c>
      <c r="S180" s="214" t="s">
        <v>535</v>
      </c>
      <c r="T180" s="214" t="s">
        <v>365</v>
      </c>
      <c r="U180" s="214"/>
    </row>
    <row r="181">
      <c r="A181" s="221">
        <v>45909.06845365741</v>
      </c>
      <c r="B181" s="214" t="s">
        <v>62</v>
      </c>
      <c r="C181" s="214" t="s">
        <v>304</v>
      </c>
      <c r="D181" s="214">
        <v>0.0</v>
      </c>
      <c r="E181" s="214">
        <v>2.0</v>
      </c>
      <c r="F181" s="214" t="s">
        <v>1047</v>
      </c>
      <c r="G181" s="214" t="s">
        <v>61</v>
      </c>
      <c r="H181" s="214"/>
      <c r="I181" s="214"/>
      <c r="J181" s="222"/>
      <c r="K181" s="222"/>
      <c r="L181" s="222"/>
      <c r="M181" s="222"/>
      <c r="N181" s="214">
        <v>50.0</v>
      </c>
      <c r="O181" s="214">
        <v>80.0</v>
      </c>
      <c r="P181" s="214">
        <v>2.0</v>
      </c>
      <c r="Q181" s="214" t="b">
        <v>0</v>
      </c>
      <c r="R181" s="214">
        <v>100.0</v>
      </c>
      <c r="S181" s="214" t="s">
        <v>530</v>
      </c>
      <c r="T181" s="214" t="s">
        <v>365</v>
      </c>
      <c r="U181" s="214"/>
    </row>
    <row r="182">
      <c r="A182" s="221">
        <v>45909.06845365741</v>
      </c>
      <c r="B182" s="214"/>
      <c r="C182" s="214"/>
      <c r="D182" s="214"/>
      <c r="E182" s="214"/>
      <c r="F182" s="214"/>
      <c r="G182" s="221"/>
      <c r="H182" s="214"/>
      <c r="I182" s="214"/>
      <c r="J182" s="222"/>
      <c r="K182" s="222"/>
      <c r="L182" s="222"/>
      <c r="M182" s="222"/>
      <c r="N182" s="214"/>
      <c r="O182" s="214"/>
      <c r="P182" s="214"/>
      <c r="Q182" s="214"/>
      <c r="R182" s="214"/>
      <c r="S182" s="214"/>
      <c r="T182" s="214"/>
      <c r="U182" s="214"/>
    </row>
    <row r="183">
      <c r="A183" s="221">
        <v>45909.06845365741</v>
      </c>
      <c r="B183" s="214" t="s">
        <v>193</v>
      </c>
      <c r="C183" s="214" t="s">
        <v>552</v>
      </c>
      <c r="D183" s="214">
        <v>1.0</v>
      </c>
      <c r="E183" s="214">
        <v>1.0</v>
      </c>
      <c r="F183" s="214" t="s">
        <v>1048</v>
      </c>
      <c r="G183" s="214" t="s">
        <v>61</v>
      </c>
      <c r="H183" s="214"/>
      <c r="I183" s="214"/>
      <c r="J183" s="222" t="s">
        <v>67</v>
      </c>
      <c r="K183" s="222">
        <v>12.5</v>
      </c>
      <c r="L183" s="222" t="s">
        <v>67</v>
      </c>
      <c r="M183" s="222">
        <v>58.5</v>
      </c>
      <c r="N183" s="214">
        <v>46.0</v>
      </c>
      <c r="O183" s="214">
        <v>24.0</v>
      </c>
      <c r="P183" s="214">
        <v>2.0</v>
      </c>
      <c r="Q183" s="214" t="b">
        <v>0</v>
      </c>
      <c r="R183" s="214">
        <v>100.0</v>
      </c>
      <c r="S183" s="214" t="s">
        <v>441</v>
      </c>
      <c r="T183" s="214" t="s">
        <v>365</v>
      </c>
      <c r="U183" s="214"/>
    </row>
    <row r="184">
      <c r="A184" s="221">
        <v>45909.06845365741</v>
      </c>
      <c r="B184" s="214" t="s">
        <v>193</v>
      </c>
      <c r="C184" s="214" t="s">
        <v>150</v>
      </c>
      <c r="D184" s="214">
        <v>1.0</v>
      </c>
      <c r="E184" s="214">
        <v>1.0</v>
      </c>
      <c r="F184" s="214" t="s">
        <v>1049</v>
      </c>
      <c r="G184" s="214" t="s">
        <v>61</v>
      </c>
      <c r="H184" s="214"/>
      <c r="I184" s="214"/>
      <c r="J184" s="222"/>
      <c r="K184" s="222"/>
      <c r="L184" s="222"/>
      <c r="M184" s="222"/>
      <c r="N184" s="214">
        <v>63.0</v>
      </c>
      <c r="O184" s="214">
        <v>53.0</v>
      </c>
      <c r="P184" s="214">
        <v>2.0</v>
      </c>
      <c r="Q184" s="214" t="b">
        <v>0</v>
      </c>
      <c r="R184" s="214">
        <v>100.0</v>
      </c>
      <c r="S184" s="214" t="s">
        <v>361</v>
      </c>
      <c r="T184" s="214" t="s">
        <v>365</v>
      </c>
      <c r="U184" s="214"/>
    </row>
    <row r="185">
      <c r="A185" s="221">
        <v>45909.06845365741</v>
      </c>
      <c r="B185" s="214" t="s">
        <v>193</v>
      </c>
      <c r="C185" s="214" t="s">
        <v>126</v>
      </c>
      <c r="D185" s="214">
        <v>2.0</v>
      </c>
      <c r="E185" s="214">
        <v>1.0</v>
      </c>
      <c r="F185" s="214" t="s">
        <v>1050</v>
      </c>
      <c r="G185" s="214" t="s">
        <v>61</v>
      </c>
      <c r="H185" s="214" t="s">
        <v>156</v>
      </c>
      <c r="I185" s="214"/>
      <c r="J185" s="222" t="s">
        <v>67</v>
      </c>
      <c r="K185" s="222">
        <v>6.5</v>
      </c>
      <c r="L185" s="222" t="s">
        <v>67</v>
      </c>
      <c r="M185" s="222">
        <v>50.5</v>
      </c>
      <c r="N185" s="214">
        <v>108.0</v>
      </c>
      <c r="O185" s="214">
        <v>56.0</v>
      </c>
      <c r="P185" s="214">
        <v>2.0</v>
      </c>
      <c r="Q185" s="214" t="b">
        <v>1</v>
      </c>
      <c r="R185" s="214">
        <v>100.0</v>
      </c>
      <c r="S185" s="214" t="s">
        <v>471</v>
      </c>
      <c r="T185" s="214" t="s">
        <v>321</v>
      </c>
      <c r="U185" s="214"/>
    </row>
    <row r="186">
      <c r="A186" s="221">
        <v>45909.06845365741</v>
      </c>
      <c r="B186" s="214" t="s">
        <v>193</v>
      </c>
      <c r="C186" s="214" t="s">
        <v>194</v>
      </c>
      <c r="D186" s="214">
        <v>0.0</v>
      </c>
      <c r="E186" s="214">
        <v>2.0</v>
      </c>
      <c r="F186" s="214" t="s">
        <v>1051</v>
      </c>
      <c r="G186" s="214" t="s">
        <v>61</v>
      </c>
      <c r="H186" s="214" t="s">
        <v>395</v>
      </c>
      <c r="I186" s="214"/>
      <c r="J186" s="222" t="s">
        <v>67</v>
      </c>
      <c r="K186" s="222">
        <v>-2.5</v>
      </c>
      <c r="L186" s="222" t="s">
        <v>67</v>
      </c>
      <c r="M186" s="222">
        <v>45.5</v>
      </c>
      <c r="N186" s="214">
        <v>42.0</v>
      </c>
      <c r="O186" s="214">
        <v>70.0</v>
      </c>
      <c r="P186" s="214">
        <v>2.0</v>
      </c>
      <c r="Q186" s="214" t="b">
        <v>1</v>
      </c>
      <c r="R186" s="214">
        <v>100.0</v>
      </c>
      <c r="S186" s="214" t="s">
        <v>680</v>
      </c>
      <c r="T186" s="214" t="s">
        <v>365</v>
      </c>
      <c r="U186" s="214"/>
    </row>
    <row r="187">
      <c r="A187" s="221">
        <v>45909.06845365741</v>
      </c>
      <c r="B187" s="214" t="s">
        <v>193</v>
      </c>
      <c r="C187" s="214" t="s">
        <v>211</v>
      </c>
      <c r="D187" s="214">
        <v>2.0</v>
      </c>
      <c r="E187" s="214">
        <v>0.0</v>
      </c>
      <c r="F187" s="214" t="s">
        <v>1052</v>
      </c>
      <c r="G187" s="214" t="s">
        <v>61</v>
      </c>
      <c r="H187" s="214"/>
      <c r="I187" s="214"/>
      <c r="J187" s="222" t="s">
        <v>67</v>
      </c>
      <c r="K187" s="222"/>
      <c r="L187" s="222" t="s">
        <v>67</v>
      </c>
      <c r="M187" s="222">
        <v>52.5</v>
      </c>
      <c r="N187" s="214">
        <v>117.0</v>
      </c>
      <c r="O187" s="214">
        <v>43.0</v>
      </c>
      <c r="P187" s="214">
        <v>2.0</v>
      </c>
      <c r="Q187" s="214" t="b">
        <v>0</v>
      </c>
      <c r="R187" s="214">
        <v>100.0</v>
      </c>
      <c r="S187" s="214" t="s">
        <v>556</v>
      </c>
      <c r="T187" s="214" t="s">
        <v>321</v>
      </c>
      <c r="U187" s="214"/>
    </row>
    <row r="188">
      <c r="A188" s="221">
        <v>45909.06845365741</v>
      </c>
      <c r="B188" s="214" t="s">
        <v>193</v>
      </c>
      <c r="C188" s="214" t="s">
        <v>144</v>
      </c>
      <c r="D188" s="214">
        <v>2.0</v>
      </c>
      <c r="E188" s="214">
        <v>0.0</v>
      </c>
      <c r="F188" s="214" t="s">
        <v>1053</v>
      </c>
      <c r="G188" s="214" t="s">
        <v>61</v>
      </c>
      <c r="H188" s="214"/>
      <c r="I188" s="214"/>
      <c r="J188" s="222" t="s">
        <v>67</v>
      </c>
      <c r="K188" s="222"/>
      <c r="L188" s="222" t="s">
        <v>67</v>
      </c>
      <c r="M188" s="222">
        <v>46.5</v>
      </c>
      <c r="N188" s="214">
        <v>84.0</v>
      </c>
      <c r="O188" s="214">
        <v>7.0</v>
      </c>
      <c r="P188" s="214">
        <v>2.0</v>
      </c>
      <c r="Q188" s="214" t="b">
        <v>0</v>
      </c>
      <c r="R188" s="214">
        <v>100.0</v>
      </c>
      <c r="S188" s="214" t="s">
        <v>407</v>
      </c>
      <c r="T188" s="214" t="s">
        <v>321</v>
      </c>
      <c r="U188" s="214"/>
    </row>
    <row r="189">
      <c r="A189" s="221">
        <v>45909.06845365741</v>
      </c>
      <c r="B189" s="214" t="s">
        <v>193</v>
      </c>
      <c r="C189" s="214" t="s">
        <v>182</v>
      </c>
      <c r="D189" s="214">
        <v>1.0</v>
      </c>
      <c r="E189" s="214">
        <v>1.0</v>
      </c>
      <c r="F189" s="214" t="s">
        <v>1054</v>
      </c>
      <c r="G189" s="214" t="s">
        <v>61</v>
      </c>
      <c r="H189" s="214"/>
      <c r="I189" s="214"/>
      <c r="J189" s="222"/>
      <c r="K189" s="222"/>
      <c r="L189" s="222"/>
      <c r="M189" s="222"/>
      <c r="N189" s="214">
        <v>49.0</v>
      </c>
      <c r="O189" s="214">
        <v>56.0</v>
      </c>
      <c r="P189" s="214">
        <v>2.0</v>
      </c>
      <c r="Q189" s="214" t="b">
        <v>0</v>
      </c>
      <c r="R189" s="214">
        <v>100.0</v>
      </c>
      <c r="S189" s="214" t="s">
        <v>525</v>
      </c>
      <c r="T189" s="214" t="s">
        <v>365</v>
      </c>
      <c r="U189" s="214"/>
    </row>
    <row r="190">
      <c r="A190" s="221">
        <v>45909.06845365741</v>
      </c>
      <c r="B190" s="214" t="s">
        <v>193</v>
      </c>
      <c r="C190" s="214" t="s">
        <v>164</v>
      </c>
      <c r="D190" s="214">
        <v>0.0</v>
      </c>
      <c r="E190" s="214">
        <v>2.0</v>
      </c>
      <c r="F190" s="214" t="s">
        <v>1055</v>
      </c>
      <c r="G190" s="214" t="s">
        <v>61</v>
      </c>
      <c r="H190" s="214" t="s">
        <v>96</v>
      </c>
      <c r="I190" s="214"/>
      <c r="J190" s="222" t="s">
        <v>67</v>
      </c>
      <c r="K190" s="222">
        <v>33.5</v>
      </c>
      <c r="L190" s="222" t="s">
        <v>67</v>
      </c>
      <c r="M190" s="222">
        <v>47.5</v>
      </c>
      <c r="N190" s="214">
        <v>0.0</v>
      </c>
      <c r="O190" s="214">
        <v>78.0</v>
      </c>
      <c r="P190" s="214">
        <v>2.0</v>
      </c>
      <c r="Q190" s="214" t="b">
        <v>0</v>
      </c>
      <c r="R190" s="214">
        <v>100.0</v>
      </c>
      <c r="S190" s="214" t="s">
        <v>530</v>
      </c>
      <c r="T190" s="214" t="s">
        <v>365</v>
      </c>
      <c r="U190" s="214"/>
    </row>
    <row r="191">
      <c r="A191" s="221">
        <v>45909.06845365741</v>
      </c>
      <c r="B191" s="214" t="s">
        <v>193</v>
      </c>
      <c r="C191" s="214" t="s">
        <v>236</v>
      </c>
      <c r="D191" s="214">
        <v>1.0</v>
      </c>
      <c r="E191" s="214">
        <v>1.0</v>
      </c>
      <c r="F191" s="214" t="s">
        <v>1056</v>
      </c>
      <c r="G191" s="214" t="s">
        <v>61</v>
      </c>
      <c r="H191" s="214" t="s">
        <v>311</v>
      </c>
      <c r="I191" s="214"/>
      <c r="J191" s="222"/>
      <c r="K191" s="222"/>
      <c r="L191" s="222"/>
      <c r="M191" s="222"/>
      <c r="N191" s="214">
        <v>34.0</v>
      </c>
      <c r="O191" s="214">
        <v>93.0</v>
      </c>
      <c r="P191" s="214">
        <v>2.0</v>
      </c>
      <c r="Q191" s="214" t="b">
        <v>0</v>
      </c>
      <c r="R191" s="214">
        <v>100.0</v>
      </c>
      <c r="S191" s="214" t="s">
        <v>535</v>
      </c>
      <c r="T191" s="214" t="s">
        <v>365</v>
      </c>
      <c r="U191" s="214"/>
    </row>
    <row r="192">
      <c r="A192" s="221">
        <v>45909.06845365741</v>
      </c>
      <c r="B192" s="214" t="s">
        <v>193</v>
      </c>
      <c r="C192" s="214" t="s">
        <v>104</v>
      </c>
      <c r="D192" s="214">
        <v>1.0</v>
      </c>
      <c r="E192" s="214">
        <v>1.0</v>
      </c>
      <c r="F192" s="214" t="s">
        <v>1057</v>
      </c>
      <c r="G192" s="214" t="s">
        <v>597</v>
      </c>
      <c r="H192" s="214" t="s">
        <v>249</v>
      </c>
      <c r="I192" s="214"/>
      <c r="J192" s="222" t="s">
        <v>67</v>
      </c>
      <c r="K192" s="222">
        <v>-2.5</v>
      </c>
      <c r="L192" s="222" t="s">
        <v>67</v>
      </c>
      <c r="M192" s="222">
        <v>62.5</v>
      </c>
      <c r="N192" s="214">
        <v>87.0</v>
      </c>
      <c r="O192" s="214">
        <v>61.0</v>
      </c>
      <c r="P192" s="214">
        <v>2.0</v>
      </c>
      <c r="Q192" s="214" t="b">
        <v>0</v>
      </c>
      <c r="R192" s="214">
        <v>100.0</v>
      </c>
      <c r="S192" s="214" t="s">
        <v>317</v>
      </c>
      <c r="T192" s="214" t="s">
        <v>321</v>
      </c>
      <c r="U192" s="214"/>
    </row>
    <row r="193">
      <c r="A193" s="221">
        <v>45909.06845365741</v>
      </c>
      <c r="B193" s="214"/>
      <c r="C193" s="214"/>
      <c r="D193" s="214"/>
      <c r="E193" s="214"/>
      <c r="F193" s="214"/>
      <c r="G193" s="221"/>
      <c r="H193" s="214"/>
      <c r="I193" s="214"/>
      <c r="J193" s="222"/>
      <c r="K193" s="222"/>
      <c r="L193" s="222"/>
      <c r="M193" s="222"/>
      <c r="N193" s="214"/>
      <c r="O193" s="214"/>
      <c r="P193" s="214"/>
      <c r="Q193" s="214"/>
      <c r="R193" s="214"/>
      <c r="S193" s="214"/>
      <c r="T193" s="214"/>
      <c r="U193" s="214"/>
    </row>
    <row r="194">
      <c r="A194" s="221">
        <v>45909.06845365741</v>
      </c>
      <c r="B194" s="214" t="s">
        <v>311</v>
      </c>
      <c r="C194" s="214" t="s">
        <v>234</v>
      </c>
      <c r="D194" s="214">
        <v>0.0</v>
      </c>
      <c r="E194" s="214">
        <v>3.0</v>
      </c>
      <c r="F194" s="214" t="s">
        <v>1058</v>
      </c>
      <c r="G194" s="214" t="s">
        <v>61</v>
      </c>
      <c r="H194" s="214" t="s">
        <v>96</v>
      </c>
      <c r="I194" s="214"/>
      <c r="J194" s="222" t="s">
        <v>67</v>
      </c>
      <c r="K194" s="222">
        <v>6.5</v>
      </c>
      <c r="L194" s="222" t="s">
        <v>67</v>
      </c>
      <c r="M194" s="222">
        <v>49.5</v>
      </c>
      <c r="N194" s="214">
        <v>65.0</v>
      </c>
      <c r="O194" s="214">
        <v>116.0</v>
      </c>
      <c r="P194" s="214">
        <v>2.0</v>
      </c>
      <c r="Q194" s="214" t="b">
        <v>1</v>
      </c>
      <c r="R194" s="214">
        <v>100.0</v>
      </c>
      <c r="S194" s="214" t="s">
        <v>535</v>
      </c>
      <c r="T194" s="214" t="s">
        <v>365</v>
      </c>
      <c r="U194" s="214"/>
    </row>
    <row r="195">
      <c r="A195" s="221">
        <v>45909.06845365741</v>
      </c>
      <c r="B195" s="214" t="s">
        <v>311</v>
      </c>
      <c r="C195" s="214" t="s">
        <v>139</v>
      </c>
      <c r="D195" s="214">
        <v>1.0</v>
      </c>
      <c r="E195" s="214">
        <v>1.0</v>
      </c>
      <c r="F195" s="214" t="s">
        <v>1030</v>
      </c>
      <c r="G195" s="214" t="s">
        <v>61</v>
      </c>
      <c r="H195" s="214" t="s">
        <v>95</v>
      </c>
      <c r="I195" s="214"/>
      <c r="J195" s="222" t="s">
        <v>67</v>
      </c>
      <c r="K195" s="222">
        <v>4.5</v>
      </c>
      <c r="L195" s="222" t="s">
        <v>67</v>
      </c>
      <c r="M195" s="222">
        <v>44.5</v>
      </c>
      <c r="N195" s="214">
        <v>47.0</v>
      </c>
      <c r="O195" s="214">
        <v>41.0</v>
      </c>
      <c r="P195" s="214">
        <v>2.0</v>
      </c>
      <c r="Q195" s="214" t="b">
        <v>1</v>
      </c>
      <c r="R195" s="214">
        <v>100.0</v>
      </c>
      <c r="S195" s="214" t="s">
        <v>407</v>
      </c>
      <c r="T195" s="214" t="s">
        <v>321</v>
      </c>
      <c r="U195" s="214"/>
    </row>
    <row r="196">
      <c r="A196" s="221">
        <v>45909.06845365741</v>
      </c>
      <c r="B196" s="214" t="s">
        <v>311</v>
      </c>
      <c r="C196" s="214" t="s">
        <v>122</v>
      </c>
      <c r="D196" s="214">
        <v>0.0</v>
      </c>
      <c r="E196" s="214">
        <v>2.0</v>
      </c>
      <c r="F196" s="214" t="s">
        <v>1059</v>
      </c>
      <c r="G196" s="214" t="s">
        <v>61</v>
      </c>
      <c r="H196" s="214" t="s">
        <v>395</v>
      </c>
      <c r="I196" s="214"/>
      <c r="J196" s="222" t="s">
        <v>67</v>
      </c>
      <c r="K196" s="222">
        <v>-2.5</v>
      </c>
      <c r="L196" s="222" t="s">
        <v>67</v>
      </c>
      <c r="M196" s="222">
        <v>47.5</v>
      </c>
      <c r="N196" s="214">
        <v>31.0</v>
      </c>
      <c r="O196" s="214">
        <v>68.0</v>
      </c>
      <c r="P196" s="214">
        <v>2.0</v>
      </c>
      <c r="Q196" s="214" t="b">
        <v>1</v>
      </c>
      <c r="R196" s="214">
        <v>100.0</v>
      </c>
      <c r="S196" s="214" t="s">
        <v>317</v>
      </c>
      <c r="T196" s="214" t="s">
        <v>321</v>
      </c>
      <c r="U196" s="214"/>
    </row>
    <row r="197">
      <c r="A197" s="221">
        <v>45909.06845365741</v>
      </c>
      <c r="B197" s="214" t="s">
        <v>311</v>
      </c>
      <c r="C197" s="214" t="s">
        <v>206</v>
      </c>
      <c r="D197" s="214">
        <v>2.0</v>
      </c>
      <c r="E197" s="214">
        <v>0.0</v>
      </c>
      <c r="F197" s="214" t="s">
        <v>1060</v>
      </c>
      <c r="G197" s="214" t="s">
        <v>61</v>
      </c>
      <c r="H197" s="214" t="s">
        <v>249</v>
      </c>
      <c r="I197" s="214"/>
      <c r="J197" s="222" t="s">
        <v>67</v>
      </c>
      <c r="K197" s="222">
        <v>-36.5</v>
      </c>
      <c r="L197" s="222" t="s">
        <v>67</v>
      </c>
      <c r="M197" s="222">
        <v>50.5</v>
      </c>
      <c r="N197" s="214">
        <v>40.0</v>
      </c>
      <c r="O197" s="214">
        <v>17.0</v>
      </c>
      <c r="P197" s="214">
        <v>2.0</v>
      </c>
      <c r="Q197" s="214" t="b">
        <v>1</v>
      </c>
      <c r="R197" s="214">
        <v>100.0</v>
      </c>
      <c r="S197" s="214" t="s">
        <v>556</v>
      </c>
      <c r="T197" s="214" t="s">
        <v>321</v>
      </c>
      <c r="U197" s="214"/>
    </row>
    <row r="198">
      <c r="A198" s="221">
        <v>45909.06845365741</v>
      </c>
      <c r="B198" s="214" t="s">
        <v>311</v>
      </c>
      <c r="C198" s="214" t="s">
        <v>152</v>
      </c>
      <c r="D198" s="214">
        <v>0.0</v>
      </c>
      <c r="E198" s="214">
        <v>2.0</v>
      </c>
      <c r="F198" s="214" t="s">
        <v>1056</v>
      </c>
      <c r="G198" s="214" t="s">
        <v>61</v>
      </c>
      <c r="H198" s="214" t="s">
        <v>193</v>
      </c>
      <c r="I198" s="214"/>
      <c r="J198" s="222" t="s">
        <v>67</v>
      </c>
      <c r="K198" s="222">
        <v>-8.5</v>
      </c>
      <c r="L198" s="222" t="s">
        <v>67</v>
      </c>
      <c r="M198" s="222">
        <v>54.5</v>
      </c>
      <c r="N198" s="214">
        <v>27.0</v>
      </c>
      <c r="O198" s="214">
        <v>66.0</v>
      </c>
      <c r="P198" s="214">
        <v>2.0</v>
      </c>
      <c r="Q198" s="214" t="b">
        <v>1</v>
      </c>
      <c r="R198" s="214">
        <v>100.0</v>
      </c>
      <c r="S198" s="214" t="s">
        <v>441</v>
      </c>
      <c r="T198" s="214" t="s">
        <v>365</v>
      </c>
      <c r="U198" s="214"/>
    </row>
    <row r="199">
      <c r="A199" s="221">
        <v>45909.06845365741</v>
      </c>
      <c r="B199" s="214" t="s">
        <v>311</v>
      </c>
      <c r="C199" s="214" t="s">
        <v>161</v>
      </c>
      <c r="D199" s="214">
        <v>0.0</v>
      </c>
      <c r="E199" s="214">
        <v>2.0</v>
      </c>
      <c r="F199" s="214" t="s">
        <v>1034</v>
      </c>
      <c r="G199" s="214" t="s">
        <v>61</v>
      </c>
      <c r="H199" s="214" t="s">
        <v>95</v>
      </c>
      <c r="I199" s="214"/>
      <c r="J199" s="222" t="s">
        <v>67</v>
      </c>
      <c r="K199" s="222">
        <v>-4.0</v>
      </c>
      <c r="L199" s="222" t="s">
        <v>67</v>
      </c>
      <c r="M199" s="222">
        <v>64.5</v>
      </c>
      <c r="N199" s="214">
        <v>60.0</v>
      </c>
      <c r="O199" s="214">
        <v>85.0</v>
      </c>
      <c r="P199" s="214">
        <v>2.0</v>
      </c>
      <c r="Q199" s="214" t="b">
        <v>1</v>
      </c>
      <c r="R199" s="214">
        <v>100.0</v>
      </c>
      <c r="S199" s="214" t="s">
        <v>361</v>
      </c>
      <c r="T199" s="214" t="s">
        <v>365</v>
      </c>
      <c r="U199" s="214"/>
    </row>
    <row r="200">
      <c r="A200" s="221">
        <v>45909.06845365741</v>
      </c>
      <c r="B200" s="214" t="s">
        <v>311</v>
      </c>
      <c r="C200" s="214" t="s">
        <v>192</v>
      </c>
      <c r="D200" s="214">
        <v>2.0</v>
      </c>
      <c r="E200" s="214">
        <v>0.0</v>
      </c>
      <c r="F200" s="214" t="s">
        <v>1061</v>
      </c>
      <c r="G200" s="214" t="s">
        <v>61</v>
      </c>
      <c r="H200" s="214" t="s">
        <v>96</v>
      </c>
      <c r="I200" s="214"/>
      <c r="J200" s="222" t="s">
        <v>67</v>
      </c>
      <c r="K200" s="222">
        <v>-27.5</v>
      </c>
      <c r="L200" s="222" t="s">
        <v>67</v>
      </c>
      <c r="M200" s="222">
        <v>55.5</v>
      </c>
      <c r="N200" s="214">
        <v>128.0</v>
      </c>
      <c r="O200" s="214">
        <v>16.0</v>
      </c>
      <c r="P200" s="214">
        <v>2.0</v>
      </c>
      <c r="Q200" s="214" t="b">
        <v>0</v>
      </c>
      <c r="R200" s="214">
        <v>100.0</v>
      </c>
      <c r="S200" s="214" t="s">
        <v>407</v>
      </c>
      <c r="T200" s="214" t="s">
        <v>321</v>
      </c>
      <c r="U200" s="214"/>
    </row>
    <row r="201">
      <c r="A201" s="221">
        <v>45909.06845365741</v>
      </c>
      <c r="B201" s="214" t="s">
        <v>311</v>
      </c>
      <c r="C201" s="214" t="s">
        <v>186</v>
      </c>
      <c r="D201" s="214">
        <v>1.0</v>
      </c>
      <c r="E201" s="214">
        <v>1.0</v>
      </c>
      <c r="F201" s="214" t="s">
        <v>1062</v>
      </c>
      <c r="G201" s="214" t="s">
        <v>61</v>
      </c>
      <c r="H201" s="214" t="s">
        <v>238</v>
      </c>
      <c r="I201" s="214"/>
      <c r="J201" s="222" t="s">
        <v>67</v>
      </c>
      <c r="K201" s="222">
        <v>31.5</v>
      </c>
      <c r="L201" s="222" t="s">
        <v>67</v>
      </c>
      <c r="M201" s="222">
        <v>55.5</v>
      </c>
      <c r="N201" s="214">
        <v>50.0</v>
      </c>
      <c r="O201" s="214">
        <v>60.0</v>
      </c>
      <c r="P201" s="214">
        <v>2.0</v>
      </c>
      <c r="Q201" s="214" t="b">
        <v>0</v>
      </c>
      <c r="R201" s="214">
        <v>100.0</v>
      </c>
      <c r="S201" s="214" t="s">
        <v>525</v>
      </c>
      <c r="T201" s="214" t="s">
        <v>365</v>
      </c>
      <c r="U201" s="214"/>
    </row>
    <row r="202">
      <c r="A202" s="221">
        <v>45909.06845365741</v>
      </c>
      <c r="B202" s="214" t="s">
        <v>311</v>
      </c>
      <c r="C202" s="214" t="s">
        <v>125</v>
      </c>
      <c r="D202" s="214">
        <v>3.0</v>
      </c>
      <c r="E202" s="214">
        <v>0.0</v>
      </c>
      <c r="F202" s="214" t="s">
        <v>1063</v>
      </c>
      <c r="G202" s="214" t="s">
        <v>61</v>
      </c>
      <c r="H202" s="214" t="s">
        <v>249</v>
      </c>
      <c r="I202" s="214"/>
      <c r="J202" s="222" t="s">
        <v>67</v>
      </c>
      <c r="K202" s="222">
        <v>-3.5</v>
      </c>
      <c r="L202" s="222" t="s">
        <v>67</v>
      </c>
      <c r="M202" s="222">
        <v>41.5</v>
      </c>
      <c r="N202" s="214">
        <v>95.0</v>
      </c>
      <c r="O202" s="214">
        <v>41.0</v>
      </c>
      <c r="P202" s="214">
        <v>2.0</v>
      </c>
      <c r="Q202" s="214" t="b">
        <v>0</v>
      </c>
      <c r="R202" s="214">
        <v>100.0</v>
      </c>
      <c r="S202" s="214" t="s">
        <v>471</v>
      </c>
      <c r="T202" s="214" t="s">
        <v>321</v>
      </c>
      <c r="U202" s="214"/>
    </row>
    <row r="203">
      <c r="A203" s="221">
        <v>45909.06845365741</v>
      </c>
      <c r="B203" s="214" t="s">
        <v>311</v>
      </c>
      <c r="C203" s="214" t="s">
        <v>172</v>
      </c>
      <c r="D203" s="214">
        <v>1.0</v>
      </c>
      <c r="E203" s="214">
        <v>1.0</v>
      </c>
      <c r="F203" s="214" t="s">
        <v>1064</v>
      </c>
      <c r="G203" s="214" t="s">
        <v>61</v>
      </c>
      <c r="H203" s="214" t="s">
        <v>493</v>
      </c>
      <c r="I203" s="214"/>
      <c r="J203" s="222" t="s">
        <v>67</v>
      </c>
      <c r="K203" s="222">
        <v>16.5</v>
      </c>
      <c r="L203" s="222" t="s">
        <v>67</v>
      </c>
      <c r="M203" s="222">
        <v>46.5</v>
      </c>
      <c r="N203" s="214">
        <v>28.0</v>
      </c>
      <c r="O203" s="214">
        <v>37.0</v>
      </c>
      <c r="P203" s="214">
        <v>2.0</v>
      </c>
      <c r="Q203" s="214" t="b">
        <v>0</v>
      </c>
      <c r="R203" s="214">
        <v>100.0</v>
      </c>
      <c r="S203" s="214" t="s">
        <v>530</v>
      </c>
      <c r="T203" s="214" t="s">
        <v>365</v>
      </c>
      <c r="U203" s="214"/>
    </row>
    <row r="204">
      <c r="A204" s="221">
        <v>45909.06845365741</v>
      </c>
      <c r="B204" s="214"/>
      <c r="C204" s="214"/>
      <c r="D204" s="214"/>
      <c r="E204" s="214"/>
      <c r="F204" s="214"/>
      <c r="G204" s="221"/>
      <c r="H204" s="214"/>
      <c r="I204" s="214"/>
      <c r="J204" s="222"/>
      <c r="K204" s="222"/>
      <c r="L204" s="222"/>
      <c r="M204" s="222"/>
      <c r="N204" s="214"/>
      <c r="O204" s="214"/>
      <c r="P204" s="214"/>
      <c r="Q204" s="214"/>
      <c r="R204" s="214"/>
      <c r="S204" s="214"/>
      <c r="T204" s="214"/>
      <c r="U204" s="214"/>
    </row>
    <row r="205">
      <c r="A205" s="221">
        <v>45909.06845365741</v>
      </c>
      <c r="B205" s="214" t="s">
        <v>224</v>
      </c>
      <c r="C205" s="214" t="s">
        <v>226</v>
      </c>
      <c r="D205" s="214">
        <v>2.0</v>
      </c>
      <c r="E205" s="214">
        <v>0.0</v>
      </c>
      <c r="F205" s="214" t="s">
        <v>1065</v>
      </c>
      <c r="G205" s="214" t="s">
        <v>61</v>
      </c>
      <c r="H205" s="214" t="s">
        <v>493</v>
      </c>
      <c r="I205" s="214"/>
      <c r="J205" s="222" t="s">
        <v>67</v>
      </c>
      <c r="K205" s="222">
        <v>-20.5</v>
      </c>
      <c r="L205" s="222" t="s">
        <v>67</v>
      </c>
      <c r="M205" s="222">
        <v>45.5</v>
      </c>
      <c r="N205" s="214">
        <v>96.0</v>
      </c>
      <c r="O205" s="214">
        <v>3.0</v>
      </c>
      <c r="P205" s="214">
        <v>2.0</v>
      </c>
      <c r="Q205" s="214" t="b">
        <v>1</v>
      </c>
      <c r="R205" s="214">
        <v>100.0</v>
      </c>
      <c r="S205" s="214" t="s">
        <v>471</v>
      </c>
      <c r="T205" s="214" t="s">
        <v>321</v>
      </c>
      <c r="U205" s="214"/>
    </row>
    <row r="206">
      <c r="A206" s="221">
        <v>45909.06845365741</v>
      </c>
      <c r="B206" s="214" t="s">
        <v>224</v>
      </c>
      <c r="C206" s="214" t="s">
        <v>185</v>
      </c>
      <c r="D206" s="214">
        <v>3.0</v>
      </c>
      <c r="E206" s="214">
        <v>0.0</v>
      </c>
      <c r="F206" s="214" t="s">
        <v>1039</v>
      </c>
      <c r="G206" s="214" t="s">
        <v>61</v>
      </c>
      <c r="H206" s="214" t="s">
        <v>62</v>
      </c>
      <c r="I206" s="214"/>
      <c r="J206" s="222" t="s">
        <v>67</v>
      </c>
      <c r="K206" s="222">
        <v>2.5</v>
      </c>
      <c r="L206" s="222" t="s">
        <v>67</v>
      </c>
      <c r="M206" s="222">
        <v>54.5</v>
      </c>
      <c r="N206" s="214">
        <v>106.0</v>
      </c>
      <c r="O206" s="214">
        <v>75.0</v>
      </c>
      <c r="P206" s="214">
        <v>2.0</v>
      </c>
      <c r="Q206" s="214" t="b">
        <v>0</v>
      </c>
      <c r="R206" s="214">
        <v>100.0</v>
      </c>
      <c r="S206" s="214" t="s">
        <v>525</v>
      </c>
      <c r="T206" s="214" t="s">
        <v>365</v>
      </c>
      <c r="U206" s="214"/>
    </row>
    <row r="207">
      <c r="A207" s="221">
        <v>45909.06845365741</v>
      </c>
      <c r="B207" s="214" t="s">
        <v>224</v>
      </c>
      <c r="C207" s="214" t="s">
        <v>216</v>
      </c>
      <c r="D207" s="214">
        <v>0.0</v>
      </c>
      <c r="E207" s="214">
        <v>2.0</v>
      </c>
      <c r="F207" s="214" t="s">
        <v>1031</v>
      </c>
      <c r="G207" s="214" t="s">
        <v>61</v>
      </c>
      <c r="H207" s="214" t="s">
        <v>95</v>
      </c>
      <c r="I207" s="214"/>
      <c r="J207" s="222" t="s">
        <v>67</v>
      </c>
      <c r="K207" s="222">
        <v>28.5</v>
      </c>
      <c r="L207" s="222" t="s">
        <v>67</v>
      </c>
      <c r="M207" s="222">
        <v>60.5</v>
      </c>
      <c r="N207" s="214">
        <v>34.0</v>
      </c>
      <c r="O207" s="214">
        <v>101.0</v>
      </c>
      <c r="P207" s="214">
        <v>2.0</v>
      </c>
      <c r="Q207" s="214" t="b">
        <v>0</v>
      </c>
      <c r="R207" s="214">
        <v>100.0</v>
      </c>
      <c r="S207" s="214" t="s">
        <v>441</v>
      </c>
      <c r="T207" s="214" t="s">
        <v>365</v>
      </c>
      <c r="U207" s="214"/>
    </row>
    <row r="208">
      <c r="A208" s="221">
        <v>45909.06845365741</v>
      </c>
      <c r="B208" s="214" t="s">
        <v>224</v>
      </c>
      <c r="C208" s="214" t="s">
        <v>103</v>
      </c>
      <c r="D208" s="214">
        <v>2.0</v>
      </c>
      <c r="E208" s="214">
        <v>0.0</v>
      </c>
      <c r="F208" s="214" t="s">
        <v>1045</v>
      </c>
      <c r="G208" s="214" t="s">
        <v>61</v>
      </c>
      <c r="H208" s="214" t="s">
        <v>62</v>
      </c>
      <c r="I208" s="214"/>
      <c r="J208" s="222" t="s">
        <v>67</v>
      </c>
      <c r="K208" s="222">
        <v>-21.0</v>
      </c>
      <c r="L208" s="222" t="s">
        <v>67</v>
      </c>
      <c r="M208" s="222">
        <v>59.5</v>
      </c>
      <c r="N208" s="214">
        <v>90.0</v>
      </c>
      <c r="O208" s="214">
        <v>31.0</v>
      </c>
      <c r="P208" s="214">
        <v>2.0</v>
      </c>
      <c r="Q208" s="214" t="b">
        <v>0</v>
      </c>
      <c r="R208" s="214">
        <v>100.0</v>
      </c>
      <c r="S208" s="214" t="s">
        <v>361</v>
      </c>
      <c r="T208" s="214" t="s">
        <v>365</v>
      </c>
      <c r="U208" s="214"/>
    </row>
    <row r="209">
      <c r="A209" s="221">
        <v>45909.06845365741</v>
      </c>
      <c r="B209" s="214" t="s">
        <v>224</v>
      </c>
      <c r="C209" s="214" t="s">
        <v>203</v>
      </c>
      <c r="D209" s="214">
        <v>1.0</v>
      </c>
      <c r="E209" s="214">
        <v>1.0</v>
      </c>
      <c r="F209" s="214" t="s">
        <v>1066</v>
      </c>
      <c r="G209" s="214" t="s">
        <v>61</v>
      </c>
      <c r="H209" s="214" t="s">
        <v>96</v>
      </c>
      <c r="I209" s="214"/>
      <c r="J209" s="222" t="s">
        <v>67</v>
      </c>
      <c r="K209" s="222">
        <v>-18.5</v>
      </c>
      <c r="L209" s="222" t="s">
        <v>67</v>
      </c>
      <c r="M209" s="222">
        <v>56.5</v>
      </c>
      <c r="N209" s="214">
        <v>71.0</v>
      </c>
      <c r="O209" s="214">
        <v>18.0</v>
      </c>
      <c r="P209" s="214">
        <v>2.0</v>
      </c>
      <c r="Q209" s="214" t="b">
        <v>0</v>
      </c>
      <c r="R209" s="214">
        <v>100.0</v>
      </c>
      <c r="S209" s="214" t="s">
        <v>556</v>
      </c>
      <c r="T209" s="214" t="s">
        <v>321</v>
      </c>
      <c r="U209" s="214"/>
    </row>
    <row r="210">
      <c r="A210" s="221">
        <v>45909.06845365741</v>
      </c>
      <c r="B210" s="214" t="s">
        <v>224</v>
      </c>
      <c r="C210" s="214" t="s">
        <v>191</v>
      </c>
      <c r="D210" s="214">
        <v>1.0</v>
      </c>
      <c r="E210" s="214">
        <v>1.0</v>
      </c>
      <c r="F210" s="214" t="s">
        <v>1067</v>
      </c>
      <c r="G210" s="214" t="s">
        <v>61</v>
      </c>
      <c r="H210" s="214" t="s">
        <v>224</v>
      </c>
      <c r="I210" s="214"/>
      <c r="J210" s="222" t="s">
        <v>67</v>
      </c>
      <c r="K210" s="222">
        <v>-23.5</v>
      </c>
      <c r="L210" s="222" t="s">
        <v>67</v>
      </c>
      <c r="M210" s="222">
        <v>50.5</v>
      </c>
      <c r="N210" s="214">
        <v>51.0</v>
      </c>
      <c r="O210" s="214">
        <v>34.0</v>
      </c>
      <c r="P210" s="214">
        <v>2.0</v>
      </c>
      <c r="Q210" s="214" t="b">
        <v>1</v>
      </c>
      <c r="R210" s="214">
        <v>100.0</v>
      </c>
      <c r="S210" s="214" t="s">
        <v>471</v>
      </c>
      <c r="T210" s="214" t="s">
        <v>321</v>
      </c>
      <c r="U210" s="214"/>
    </row>
    <row r="211">
      <c r="A211" s="221">
        <v>45909.06845365741</v>
      </c>
      <c r="B211" s="214" t="s">
        <v>224</v>
      </c>
      <c r="C211" s="214" t="s">
        <v>166</v>
      </c>
      <c r="D211" s="214">
        <v>1.0</v>
      </c>
      <c r="E211" s="214">
        <v>1.0</v>
      </c>
      <c r="F211" s="214" t="s">
        <v>1068</v>
      </c>
      <c r="G211" s="214" t="s">
        <v>61</v>
      </c>
      <c r="H211" s="214" t="s">
        <v>238</v>
      </c>
      <c r="I211" s="214"/>
      <c r="J211" s="222" t="s">
        <v>67</v>
      </c>
      <c r="K211" s="222">
        <v>23.5</v>
      </c>
      <c r="L211" s="222" t="s">
        <v>67</v>
      </c>
      <c r="M211" s="222">
        <v>46.5</v>
      </c>
      <c r="N211" s="214">
        <v>46.0</v>
      </c>
      <c r="O211" s="214">
        <v>41.0</v>
      </c>
      <c r="P211" s="214">
        <v>2.0</v>
      </c>
      <c r="Q211" s="214" t="b">
        <v>0</v>
      </c>
      <c r="R211" s="214">
        <v>100.0</v>
      </c>
      <c r="S211" s="214" t="s">
        <v>530</v>
      </c>
      <c r="T211" s="214" t="s">
        <v>365</v>
      </c>
      <c r="U211" s="214"/>
    </row>
    <row r="212">
      <c r="A212" s="221">
        <v>45909.06845365741</v>
      </c>
      <c r="B212" s="214" t="s">
        <v>224</v>
      </c>
      <c r="C212" s="214" t="s">
        <v>113</v>
      </c>
      <c r="D212" s="214">
        <v>2.0</v>
      </c>
      <c r="E212" s="214">
        <v>0.0</v>
      </c>
      <c r="F212" s="214" t="s">
        <v>1069</v>
      </c>
      <c r="G212" s="214" t="s">
        <v>61</v>
      </c>
      <c r="H212" s="214"/>
      <c r="I212" s="214"/>
      <c r="J212" s="222"/>
      <c r="K212" s="222"/>
      <c r="L212" s="222"/>
      <c r="M212" s="222"/>
      <c r="N212" s="214">
        <v>108.0</v>
      </c>
      <c r="O212" s="214">
        <v>20.0</v>
      </c>
      <c r="P212" s="214">
        <v>2.0</v>
      </c>
      <c r="Q212" s="214" t="b">
        <v>0</v>
      </c>
      <c r="R212" s="214">
        <v>100.0</v>
      </c>
      <c r="S212" s="214" t="s">
        <v>317</v>
      </c>
      <c r="T212" s="214" t="s">
        <v>321</v>
      </c>
      <c r="U212" s="214"/>
    </row>
    <row r="213">
      <c r="A213" s="221">
        <v>45909.06845365741</v>
      </c>
      <c r="B213" s="214" t="s">
        <v>224</v>
      </c>
      <c r="C213" s="214" t="s">
        <v>235</v>
      </c>
      <c r="D213" s="214">
        <v>1.0</v>
      </c>
      <c r="E213" s="214">
        <v>1.0</v>
      </c>
      <c r="F213" s="214" t="s">
        <v>1067</v>
      </c>
      <c r="G213" s="214" t="s">
        <v>61</v>
      </c>
      <c r="H213" s="214" t="s">
        <v>224</v>
      </c>
      <c r="I213" s="214"/>
      <c r="J213" s="222"/>
      <c r="K213" s="222"/>
      <c r="L213" s="222"/>
      <c r="M213" s="222"/>
      <c r="N213" s="214">
        <v>42.0</v>
      </c>
      <c r="O213" s="214">
        <v>48.0</v>
      </c>
      <c r="P213" s="214">
        <v>2.0</v>
      </c>
      <c r="Q213" s="214" t="b">
        <v>0</v>
      </c>
      <c r="R213" s="214">
        <v>100.0</v>
      </c>
      <c r="S213" s="214" t="s">
        <v>535</v>
      </c>
      <c r="T213" s="214" t="s">
        <v>365</v>
      </c>
      <c r="U213" s="214"/>
    </row>
    <row r="214">
      <c r="A214" s="221">
        <v>45909.06845365741</v>
      </c>
      <c r="B214" s="214" t="s">
        <v>224</v>
      </c>
      <c r="C214" s="214" t="s">
        <v>140</v>
      </c>
      <c r="D214" s="214">
        <v>2.0</v>
      </c>
      <c r="E214" s="214">
        <v>0.0</v>
      </c>
      <c r="F214" s="214" t="s">
        <v>1070</v>
      </c>
      <c r="G214" s="214" t="s">
        <v>597</v>
      </c>
      <c r="H214" s="214" t="s">
        <v>493</v>
      </c>
      <c r="I214" s="214"/>
      <c r="J214" s="222" t="s">
        <v>67</v>
      </c>
      <c r="K214" s="222">
        <v>-4.5</v>
      </c>
      <c r="L214" s="222" t="s">
        <v>67</v>
      </c>
      <c r="M214" s="222">
        <v>45.5</v>
      </c>
      <c r="N214" s="214">
        <v>65.0</v>
      </c>
      <c r="O214" s="214">
        <v>46.0</v>
      </c>
      <c r="P214" s="214">
        <v>2.0</v>
      </c>
      <c r="Q214" s="214" t="b">
        <v>1</v>
      </c>
      <c r="R214" s="214">
        <v>100.0</v>
      </c>
      <c r="S214" s="214" t="s">
        <v>407</v>
      </c>
      <c r="T214" s="214" t="s">
        <v>321</v>
      </c>
      <c r="U214" s="214"/>
    </row>
    <row r="215">
      <c r="A215" s="221">
        <v>45909.06845365741</v>
      </c>
      <c r="B215" s="214"/>
      <c r="C215" s="214"/>
      <c r="D215" s="214"/>
      <c r="E215" s="214"/>
      <c r="F215" s="214"/>
      <c r="G215" s="221"/>
      <c r="H215" s="214"/>
      <c r="I215" s="214"/>
      <c r="J215" s="222"/>
      <c r="K215" s="222"/>
      <c r="L215" s="222"/>
      <c r="M215" s="222"/>
      <c r="N215" s="214"/>
      <c r="O215" s="214"/>
      <c r="P215" s="214"/>
      <c r="Q215" s="214"/>
      <c r="R215" s="214"/>
      <c r="S215" s="214"/>
      <c r="T215" s="214"/>
      <c r="U215" s="214"/>
    </row>
    <row r="216">
      <c r="A216" s="221">
        <v>45909.06845365741</v>
      </c>
      <c r="B216" s="214" t="s">
        <v>96</v>
      </c>
      <c r="C216" s="214" t="s">
        <v>229</v>
      </c>
      <c r="D216" s="214">
        <v>0.0</v>
      </c>
      <c r="E216" s="214">
        <v>1.0</v>
      </c>
      <c r="F216" s="214"/>
      <c r="G216" s="221"/>
      <c r="H216" s="214"/>
      <c r="I216" s="214"/>
      <c r="J216" s="222"/>
      <c r="K216" s="222"/>
      <c r="L216" s="222"/>
      <c r="M216" s="222"/>
      <c r="N216" s="214">
        <v>24.0</v>
      </c>
      <c r="O216" s="214">
        <v>27.0</v>
      </c>
      <c r="P216" s="214">
        <v>0.0</v>
      </c>
      <c r="Q216" s="214" t="b">
        <v>1</v>
      </c>
      <c r="R216" s="214">
        <v>59.0</v>
      </c>
      <c r="S216" s="214" t="s">
        <v>725</v>
      </c>
      <c r="T216" s="214"/>
      <c r="U216" s="214"/>
    </row>
    <row r="217">
      <c r="A217" s="221">
        <v>45909.06845365741</v>
      </c>
      <c r="B217" s="214" t="s">
        <v>96</v>
      </c>
      <c r="C217" s="214" t="s">
        <v>536</v>
      </c>
      <c r="D217" s="214">
        <v>2.0</v>
      </c>
      <c r="E217" s="214">
        <v>1.0</v>
      </c>
      <c r="F217" s="214" t="s">
        <v>1058</v>
      </c>
      <c r="G217" s="214" t="s">
        <v>61</v>
      </c>
      <c r="H217" s="214" t="s">
        <v>311</v>
      </c>
      <c r="I217" s="214"/>
      <c r="J217" s="222" t="s">
        <v>67</v>
      </c>
      <c r="K217" s="222">
        <v>-6.5</v>
      </c>
      <c r="L217" s="222" t="s">
        <v>67</v>
      </c>
      <c r="M217" s="222">
        <v>49.5</v>
      </c>
      <c r="N217" s="214">
        <v>66.0</v>
      </c>
      <c r="O217" s="214">
        <v>80.0</v>
      </c>
      <c r="P217" s="214">
        <v>2.0</v>
      </c>
      <c r="Q217" s="214" t="b">
        <v>0</v>
      </c>
      <c r="R217" s="214">
        <v>100.0</v>
      </c>
      <c r="S217" s="214" t="s">
        <v>525</v>
      </c>
      <c r="T217" s="214" t="s">
        <v>365</v>
      </c>
      <c r="U217" s="214"/>
    </row>
    <row r="218">
      <c r="A218" s="221">
        <v>45909.06845365741</v>
      </c>
      <c r="B218" s="214" t="s">
        <v>96</v>
      </c>
      <c r="C218" s="214" t="s">
        <v>222</v>
      </c>
      <c r="D218" s="214">
        <v>1.0</v>
      </c>
      <c r="E218" s="214">
        <v>1.0</v>
      </c>
      <c r="F218" s="214" t="s">
        <v>1071</v>
      </c>
      <c r="G218" s="214" t="s">
        <v>61</v>
      </c>
      <c r="H218" s="214" t="s">
        <v>249</v>
      </c>
      <c r="I218" s="214"/>
      <c r="J218" s="222" t="s">
        <v>67</v>
      </c>
      <c r="K218" s="222">
        <v>30.5</v>
      </c>
      <c r="L218" s="222" t="s">
        <v>67</v>
      </c>
      <c r="M218" s="222">
        <v>51.5</v>
      </c>
      <c r="N218" s="214">
        <v>54.0</v>
      </c>
      <c r="O218" s="214">
        <v>47.0</v>
      </c>
      <c r="P218" s="214">
        <v>2.0</v>
      </c>
      <c r="Q218" s="214" t="b">
        <v>1</v>
      </c>
      <c r="R218" s="214">
        <v>100.0</v>
      </c>
      <c r="S218" s="214" t="s">
        <v>441</v>
      </c>
      <c r="T218" s="214" t="s">
        <v>365</v>
      </c>
      <c r="U218" s="214"/>
    </row>
    <row r="219">
      <c r="A219" s="221">
        <v>45909.06845365741</v>
      </c>
      <c r="B219" s="214" t="s">
        <v>96</v>
      </c>
      <c r="C219" s="214" t="s">
        <v>105</v>
      </c>
      <c r="D219" s="214">
        <v>2.0</v>
      </c>
      <c r="E219" s="214">
        <v>0.0</v>
      </c>
      <c r="F219" s="214" t="s">
        <v>1066</v>
      </c>
      <c r="G219" s="214" t="s">
        <v>61</v>
      </c>
      <c r="H219" s="214" t="s">
        <v>224</v>
      </c>
      <c r="I219" s="214"/>
      <c r="J219" s="222" t="s">
        <v>67</v>
      </c>
      <c r="K219" s="222">
        <v>18.5</v>
      </c>
      <c r="L219" s="222" t="s">
        <v>67</v>
      </c>
      <c r="M219" s="222">
        <v>56.5</v>
      </c>
      <c r="N219" s="214">
        <v>52.0</v>
      </c>
      <c r="O219" s="214">
        <v>23.0</v>
      </c>
      <c r="P219" s="214">
        <v>2.0</v>
      </c>
      <c r="Q219" s="214" t="b">
        <v>1</v>
      </c>
      <c r="R219" s="214">
        <v>100.0</v>
      </c>
      <c r="S219" s="214" t="s">
        <v>361</v>
      </c>
      <c r="T219" s="214" t="s">
        <v>365</v>
      </c>
      <c r="U219" s="214"/>
    </row>
    <row r="220">
      <c r="A220" s="221">
        <v>45909.06845365741</v>
      </c>
      <c r="B220" s="214" t="s">
        <v>96</v>
      </c>
      <c r="C220" s="214" t="s">
        <v>153</v>
      </c>
      <c r="D220" s="214">
        <v>0.0</v>
      </c>
      <c r="E220" s="214">
        <v>2.0</v>
      </c>
      <c r="F220" s="214" t="s">
        <v>1072</v>
      </c>
      <c r="G220" s="214" t="s">
        <v>61</v>
      </c>
      <c r="H220" s="214" t="s">
        <v>238</v>
      </c>
      <c r="I220" s="214"/>
      <c r="J220" s="222" t="s">
        <v>67</v>
      </c>
      <c r="K220" s="222">
        <v>28.5</v>
      </c>
      <c r="L220" s="222" t="s">
        <v>67</v>
      </c>
      <c r="M220" s="222">
        <v>44.5</v>
      </c>
      <c r="N220" s="214">
        <v>24.0</v>
      </c>
      <c r="O220" s="214">
        <v>76.0</v>
      </c>
      <c r="P220" s="214">
        <v>2.0</v>
      </c>
      <c r="Q220" s="214" t="b">
        <v>0</v>
      </c>
      <c r="R220" s="214">
        <v>100.0</v>
      </c>
      <c r="S220" s="214" t="s">
        <v>535</v>
      </c>
      <c r="T220" s="214" t="s">
        <v>365</v>
      </c>
      <c r="U220" s="214"/>
    </row>
    <row r="221">
      <c r="A221" s="221">
        <v>45909.06845365741</v>
      </c>
      <c r="B221" s="214" t="s">
        <v>96</v>
      </c>
      <c r="C221" s="214" t="s">
        <v>173</v>
      </c>
      <c r="D221" s="214">
        <v>1.0</v>
      </c>
      <c r="E221" s="214">
        <v>1.0</v>
      </c>
      <c r="F221" s="214" t="s">
        <v>1073</v>
      </c>
      <c r="G221" s="214" t="s">
        <v>61</v>
      </c>
      <c r="H221" s="214" t="s">
        <v>132</v>
      </c>
      <c r="I221" s="214"/>
      <c r="J221" s="222" t="s">
        <v>67</v>
      </c>
      <c r="K221" s="222">
        <v>3.5</v>
      </c>
      <c r="L221" s="222" t="s">
        <v>67</v>
      </c>
      <c r="M221" s="222">
        <v>59.5</v>
      </c>
      <c r="N221" s="214">
        <v>48.0</v>
      </c>
      <c r="O221" s="214">
        <v>44.0</v>
      </c>
      <c r="P221" s="214">
        <v>2.0</v>
      </c>
      <c r="Q221" s="214" t="b">
        <v>0</v>
      </c>
      <c r="R221" s="214">
        <v>100.0</v>
      </c>
      <c r="S221" s="214" t="s">
        <v>530</v>
      </c>
      <c r="T221" s="214" t="s">
        <v>365</v>
      </c>
      <c r="U221" s="214"/>
    </row>
    <row r="222">
      <c r="A222" s="221">
        <v>45909.06845365741</v>
      </c>
      <c r="B222" s="214" t="s">
        <v>96</v>
      </c>
      <c r="C222" s="214" t="s">
        <v>204</v>
      </c>
      <c r="D222" s="214">
        <v>2.0</v>
      </c>
      <c r="E222" s="214">
        <v>0.0</v>
      </c>
      <c r="F222" s="214" t="s">
        <v>1074</v>
      </c>
      <c r="G222" s="214" t="s">
        <v>61</v>
      </c>
      <c r="H222" s="214"/>
      <c r="I222" s="214"/>
      <c r="J222" s="222" t="s">
        <v>67</v>
      </c>
      <c r="K222" s="222">
        <v>-6.5</v>
      </c>
      <c r="L222" s="222" t="s">
        <v>67</v>
      </c>
      <c r="M222" s="222">
        <v>52.5</v>
      </c>
      <c r="N222" s="214">
        <v>73.0</v>
      </c>
      <c r="O222" s="214">
        <v>13.0</v>
      </c>
      <c r="P222" s="214">
        <v>2.0</v>
      </c>
      <c r="Q222" s="214" t="b">
        <v>0</v>
      </c>
      <c r="R222" s="214">
        <v>100.0</v>
      </c>
      <c r="S222" s="214" t="s">
        <v>556</v>
      </c>
      <c r="T222" s="214" t="s">
        <v>321</v>
      </c>
      <c r="U222" s="214"/>
    </row>
    <row r="223">
      <c r="A223" s="221">
        <v>45909.06845365741</v>
      </c>
      <c r="B223" s="214" t="s">
        <v>96</v>
      </c>
      <c r="C223" s="214" t="s">
        <v>129</v>
      </c>
      <c r="D223" s="214">
        <v>1.0</v>
      </c>
      <c r="E223" s="214">
        <v>1.0</v>
      </c>
      <c r="F223" s="214" t="s">
        <v>1061</v>
      </c>
      <c r="G223" s="214" t="s">
        <v>61</v>
      </c>
      <c r="H223" s="214" t="s">
        <v>311</v>
      </c>
      <c r="I223" s="214"/>
      <c r="J223" s="222" t="s">
        <v>67</v>
      </c>
      <c r="K223" s="222">
        <v>27.5</v>
      </c>
      <c r="L223" s="222" t="s">
        <v>67</v>
      </c>
      <c r="M223" s="222">
        <v>55.5</v>
      </c>
      <c r="N223" s="214">
        <v>30.0</v>
      </c>
      <c r="O223" s="214">
        <v>76.0</v>
      </c>
      <c r="P223" s="214">
        <v>2.0</v>
      </c>
      <c r="Q223" s="214" t="b">
        <v>1</v>
      </c>
      <c r="R223" s="214">
        <v>100.0</v>
      </c>
      <c r="S223" s="214" t="s">
        <v>471</v>
      </c>
      <c r="T223" s="214" t="s">
        <v>321</v>
      </c>
      <c r="U223" s="214"/>
    </row>
    <row r="224">
      <c r="A224" s="221">
        <v>45909.06845365741</v>
      </c>
      <c r="B224" s="214" t="s">
        <v>96</v>
      </c>
      <c r="C224" s="214" t="s">
        <v>121</v>
      </c>
      <c r="D224" s="214">
        <v>1.0</v>
      </c>
      <c r="E224" s="214">
        <v>1.0</v>
      </c>
      <c r="F224" s="214" t="s">
        <v>1036</v>
      </c>
      <c r="G224" s="214" t="s">
        <v>61</v>
      </c>
      <c r="H224" s="214" t="s">
        <v>95</v>
      </c>
      <c r="I224" s="214"/>
      <c r="J224" s="222" t="s">
        <v>67</v>
      </c>
      <c r="K224" s="222">
        <v>3.5</v>
      </c>
      <c r="L224" s="222" t="s">
        <v>67</v>
      </c>
      <c r="M224" s="222">
        <v>54.5</v>
      </c>
      <c r="N224" s="214">
        <v>79.0</v>
      </c>
      <c r="O224" s="214">
        <v>42.0</v>
      </c>
      <c r="P224" s="214">
        <v>2.0</v>
      </c>
      <c r="Q224" s="214" t="b">
        <v>0</v>
      </c>
      <c r="R224" s="214">
        <v>100.0</v>
      </c>
      <c r="S224" s="214" t="s">
        <v>317</v>
      </c>
      <c r="T224" s="214" t="s">
        <v>321</v>
      </c>
      <c r="U224" s="214"/>
    </row>
    <row r="225">
      <c r="A225" s="221">
        <v>45909.06845365741</v>
      </c>
      <c r="B225" s="214" t="s">
        <v>96</v>
      </c>
      <c r="C225" s="214" t="s">
        <v>142</v>
      </c>
      <c r="D225" s="214">
        <v>2.0</v>
      </c>
      <c r="E225" s="214">
        <v>0.0</v>
      </c>
      <c r="F225" s="214" t="s">
        <v>1055</v>
      </c>
      <c r="G225" s="214" t="s">
        <v>61</v>
      </c>
      <c r="H225" s="214" t="s">
        <v>193</v>
      </c>
      <c r="I225" s="214"/>
      <c r="J225" s="222" t="s">
        <v>67</v>
      </c>
      <c r="K225" s="222">
        <v>-33.5</v>
      </c>
      <c r="L225" s="222" t="s">
        <v>67</v>
      </c>
      <c r="M225" s="222">
        <v>47.5</v>
      </c>
      <c r="N225" s="214">
        <v>88.0</v>
      </c>
      <c r="O225" s="214">
        <v>17.0</v>
      </c>
      <c r="P225" s="214">
        <v>2.0</v>
      </c>
      <c r="Q225" s="214" t="b">
        <v>1</v>
      </c>
      <c r="R225" s="214">
        <v>100.0</v>
      </c>
      <c r="S225" s="214" t="s">
        <v>407</v>
      </c>
      <c r="T225" s="214" t="s">
        <v>321</v>
      </c>
      <c r="U225" s="214"/>
    </row>
    <row r="226">
      <c r="A226" s="221">
        <v>45909.06845365741</v>
      </c>
      <c r="B226" s="214"/>
      <c r="C226" s="214"/>
      <c r="D226" s="214"/>
      <c r="E226" s="214"/>
      <c r="F226" s="214"/>
      <c r="G226" s="221"/>
      <c r="H226" s="214"/>
      <c r="I226" s="214"/>
      <c r="J226" s="222"/>
      <c r="K226" s="222"/>
      <c r="L226" s="222"/>
      <c r="M226" s="222"/>
      <c r="N226" s="214"/>
      <c r="O226" s="214"/>
      <c r="P226" s="214"/>
      <c r="Q226" s="214"/>
      <c r="R226" s="214"/>
      <c r="S226" s="214"/>
      <c r="T226" s="214"/>
      <c r="U226" s="214"/>
    </row>
    <row r="227">
      <c r="A227" s="221">
        <v>45909.06845365741</v>
      </c>
      <c r="B227" s="214" t="s">
        <v>238</v>
      </c>
      <c r="C227" s="214" t="s">
        <v>160</v>
      </c>
      <c r="D227" s="214">
        <v>1.0</v>
      </c>
      <c r="E227" s="214">
        <v>1.0</v>
      </c>
      <c r="F227" s="214" t="s">
        <v>1075</v>
      </c>
      <c r="G227" s="214" t="s">
        <v>61</v>
      </c>
      <c r="H227" s="214"/>
      <c r="I227" s="214"/>
      <c r="J227" s="222"/>
      <c r="K227" s="222"/>
      <c r="L227" s="222"/>
      <c r="M227" s="222"/>
      <c r="N227" s="214">
        <v>58.0</v>
      </c>
      <c r="O227" s="214">
        <v>45.0</v>
      </c>
      <c r="P227" s="214">
        <v>2.0</v>
      </c>
      <c r="Q227" s="214" t="b">
        <v>0</v>
      </c>
      <c r="R227" s="214">
        <v>100.0</v>
      </c>
      <c r="S227" s="214" t="s">
        <v>535</v>
      </c>
      <c r="T227" s="214" t="s">
        <v>365</v>
      </c>
      <c r="U227" s="214"/>
    </row>
    <row r="228">
      <c r="A228" s="221">
        <v>45909.06845365741</v>
      </c>
      <c r="B228" s="214" t="s">
        <v>238</v>
      </c>
      <c r="C228" s="214" t="s">
        <v>220</v>
      </c>
      <c r="D228" s="214">
        <v>1.0</v>
      </c>
      <c r="E228" s="214">
        <v>1.0</v>
      </c>
      <c r="F228" s="214" t="s">
        <v>1076</v>
      </c>
      <c r="G228" s="214" t="s">
        <v>61</v>
      </c>
      <c r="H228" s="214" t="s">
        <v>132</v>
      </c>
      <c r="I228" s="214"/>
      <c r="J228" s="222" t="s">
        <v>67</v>
      </c>
      <c r="K228" s="222">
        <v>10.5</v>
      </c>
      <c r="L228" s="222" t="s">
        <v>67</v>
      </c>
      <c r="M228" s="222">
        <v>50.5</v>
      </c>
      <c r="N228" s="214">
        <v>69.0</v>
      </c>
      <c r="O228" s="214">
        <v>54.0</v>
      </c>
      <c r="P228" s="214">
        <v>2.0</v>
      </c>
      <c r="Q228" s="214" t="b">
        <v>0</v>
      </c>
      <c r="R228" s="214">
        <v>100.0</v>
      </c>
      <c r="S228" s="214" t="s">
        <v>441</v>
      </c>
      <c r="T228" s="214" t="s">
        <v>365</v>
      </c>
      <c r="U228" s="214"/>
    </row>
    <row r="229">
      <c r="A229" s="221">
        <v>45909.06845365741</v>
      </c>
      <c r="B229" s="214" t="s">
        <v>238</v>
      </c>
      <c r="C229" s="214" t="s">
        <v>548</v>
      </c>
      <c r="D229" s="214">
        <v>0.0</v>
      </c>
      <c r="E229" s="214">
        <v>2.0</v>
      </c>
      <c r="F229" s="214" t="s">
        <v>1077</v>
      </c>
      <c r="G229" s="214" t="s">
        <v>61</v>
      </c>
      <c r="H229" s="214" t="s">
        <v>395</v>
      </c>
      <c r="I229" s="214"/>
      <c r="J229" s="222" t="s">
        <v>67</v>
      </c>
      <c r="K229" s="222">
        <v>15.5</v>
      </c>
      <c r="L229" s="222" t="s">
        <v>67</v>
      </c>
      <c r="M229" s="222">
        <v>45.5</v>
      </c>
      <c r="N229" s="214">
        <v>17.0</v>
      </c>
      <c r="O229" s="214">
        <v>62.0</v>
      </c>
      <c r="P229" s="214">
        <v>2.0</v>
      </c>
      <c r="Q229" s="214" t="b">
        <v>0</v>
      </c>
      <c r="R229" s="214">
        <v>100.0</v>
      </c>
      <c r="S229" s="214" t="s">
        <v>530</v>
      </c>
      <c r="T229" s="214" t="s">
        <v>365</v>
      </c>
      <c r="U229" s="214"/>
    </row>
    <row r="230">
      <c r="A230" s="221">
        <v>45909.06845365741</v>
      </c>
      <c r="B230" s="214" t="s">
        <v>238</v>
      </c>
      <c r="C230" s="214" t="s">
        <v>148</v>
      </c>
      <c r="D230" s="214">
        <v>2.0</v>
      </c>
      <c r="E230" s="214">
        <v>0.0</v>
      </c>
      <c r="F230" s="214" t="s">
        <v>1072</v>
      </c>
      <c r="G230" s="214" t="s">
        <v>61</v>
      </c>
      <c r="H230" s="214" t="s">
        <v>96</v>
      </c>
      <c r="I230" s="214"/>
      <c r="J230" s="222" t="s">
        <v>67</v>
      </c>
      <c r="K230" s="222">
        <v>-28.5</v>
      </c>
      <c r="L230" s="222" t="s">
        <v>67</v>
      </c>
      <c r="M230" s="222">
        <v>44.5</v>
      </c>
      <c r="N230" s="214">
        <v>59.0</v>
      </c>
      <c r="O230" s="214">
        <v>10.0</v>
      </c>
      <c r="P230" s="214">
        <v>2.0</v>
      </c>
      <c r="Q230" s="214" t="b">
        <v>1</v>
      </c>
      <c r="R230" s="214">
        <v>100.0</v>
      </c>
      <c r="S230" s="214" t="s">
        <v>407</v>
      </c>
      <c r="T230" s="214" t="s">
        <v>321</v>
      </c>
      <c r="U230" s="214"/>
    </row>
    <row r="231">
      <c r="A231" s="221">
        <v>45909.06845365741</v>
      </c>
      <c r="B231" s="214" t="s">
        <v>238</v>
      </c>
      <c r="C231" s="214" t="s">
        <v>98</v>
      </c>
      <c r="D231" s="214">
        <v>1.0</v>
      </c>
      <c r="E231" s="214">
        <v>1.0</v>
      </c>
      <c r="F231" s="214" t="s">
        <v>1068</v>
      </c>
      <c r="G231" s="214" t="s">
        <v>61</v>
      </c>
      <c r="H231" s="214" t="s">
        <v>224</v>
      </c>
      <c r="I231" s="214"/>
      <c r="J231" s="222" t="s">
        <v>67</v>
      </c>
      <c r="K231" s="222">
        <v>-23.5</v>
      </c>
      <c r="L231" s="222" t="s">
        <v>67</v>
      </c>
      <c r="M231" s="222">
        <v>46.5</v>
      </c>
      <c r="N231" s="214">
        <v>51.0</v>
      </c>
      <c r="O231" s="214">
        <v>40.0</v>
      </c>
      <c r="P231" s="214">
        <v>2.0</v>
      </c>
      <c r="Q231" s="214" t="b">
        <v>1</v>
      </c>
      <c r="R231" s="214">
        <v>100.0</v>
      </c>
      <c r="S231" s="214" t="s">
        <v>471</v>
      </c>
      <c r="T231" s="214" t="s">
        <v>321</v>
      </c>
      <c r="U231" s="214"/>
    </row>
    <row r="232">
      <c r="A232" s="221">
        <v>45909.06845365741</v>
      </c>
      <c r="B232" s="214" t="s">
        <v>238</v>
      </c>
      <c r="C232" s="214" t="s">
        <v>539</v>
      </c>
      <c r="D232" s="214">
        <v>2.0</v>
      </c>
      <c r="E232" s="214">
        <v>0.0</v>
      </c>
      <c r="F232" s="214" t="s">
        <v>1062</v>
      </c>
      <c r="G232" s="214" t="s">
        <v>61</v>
      </c>
      <c r="H232" s="214" t="s">
        <v>311</v>
      </c>
      <c r="I232" s="214"/>
      <c r="J232" s="222" t="s">
        <v>67</v>
      </c>
      <c r="K232" s="222">
        <v>-31.5</v>
      </c>
      <c r="L232" s="222" t="s">
        <v>67</v>
      </c>
      <c r="M232" s="222">
        <v>55.5</v>
      </c>
      <c r="N232" s="214">
        <v>86.0</v>
      </c>
      <c r="O232" s="214">
        <v>46.0</v>
      </c>
      <c r="P232" s="214">
        <v>2.0</v>
      </c>
      <c r="Q232" s="214" t="b">
        <v>1</v>
      </c>
      <c r="R232" s="214">
        <v>100.0</v>
      </c>
      <c r="S232" s="214" t="s">
        <v>556</v>
      </c>
      <c r="T232" s="214" t="s">
        <v>321</v>
      </c>
      <c r="U232" s="214"/>
    </row>
    <row r="233">
      <c r="A233" s="221">
        <v>45909.06845365741</v>
      </c>
      <c r="B233" s="214" t="s">
        <v>238</v>
      </c>
      <c r="C233" s="214" t="s">
        <v>549</v>
      </c>
      <c r="D233" s="214">
        <v>0.0</v>
      </c>
      <c r="E233" s="214">
        <v>2.0</v>
      </c>
      <c r="F233" s="214" t="s">
        <v>1078</v>
      </c>
      <c r="G233" s="214" t="s">
        <v>61</v>
      </c>
      <c r="H233" s="214" t="s">
        <v>132</v>
      </c>
      <c r="I233" s="214"/>
      <c r="J233" s="222" t="s">
        <v>67</v>
      </c>
      <c r="K233" s="222">
        <v>36.5</v>
      </c>
      <c r="L233" s="222" t="s">
        <v>67</v>
      </c>
      <c r="M233" s="222">
        <v>52.5</v>
      </c>
      <c r="N233" s="214">
        <v>21.0</v>
      </c>
      <c r="O233" s="214">
        <v>54.0</v>
      </c>
      <c r="P233" s="214">
        <v>2.0</v>
      </c>
      <c r="Q233" s="214" t="b">
        <v>0</v>
      </c>
      <c r="R233" s="214">
        <v>100.0</v>
      </c>
      <c r="S233" s="214" t="s">
        <v>525</v>
      </c>
      <c r="T233" s="214" t="s">
        <v>365</v>
      </c>
      <c r="U233" s="214"/>
    </row>
    <row r="234">
      <c r="A234" s="221">
        <v>45909.06845365741</v>
      </c>
      <c r="B234" s="214" t="s">
        <v>238</v>
      </c>
      <c r="C234" s="214" t="s">
        <v>119</v>
      </c>
      <c r="D234" s="214">
        <v>2.0</v>
      </c>
      <c r="E234" s="214">
        <v>0.0</v>
      </c>
      <c r="F234" s="214" t="s">
        <v>1079</v>
      </c>
      <c r="G234" s="214" t="s">
        <v>61</v>
      </c>
      <c r="H234" s="214" t="s">
        <v>132</v>
      </c>
      <c r="I234" s="214"/>
      <c r="J234" s="222" t="s">
        <v>67</v>
      </c>
      <c r="K234" s="222">
        <v>-21.5</v>
      </c>
      <c r="L234" s="222" t="s">
        <v>67</v>
      </c>
      <c r="M234" s="222">
        <v>49.5</v>
      </c>
      <c r="N234" s="214">
        <v>106.0</v>
      </c>
      <c r="O234" s="214">
        <v>26.0</v>
      </c>
      <c r="P234" s="214">
        <v>2.0</v>
      </c>
      <c r="Q234" s="214" t="b">
        <v>1</v>
      </c>
      <c r="R234" s="214">
        <v>100.0</v>
      </c>
      <c r="S234" s="214" t="s">
        <v>317</v>
      </c>
      <c r="T234" s="214" t="s">
        <v>321</v>
      </c>
      <c r="U234" s="214"/>
    </row>
    <row r="235">
      <c r="A235" s="221">
        <v>45909.06845365741</v>
      </c>
      <c r="B235" s="214" t="s">
        <v>238</v>
      </c>
      <c r="C235" s="214" t="s">
        <v>141</v>
      </c>
      <c r="D235" s="214">
        <v>2.0</v>
      </c>
      <c r="E235" s="214">
        <v>0.0</v>
      </c>
      <c r="F235" s="214" t="s">
        <v>1080</v>
      </c>
      <c r="G235" s="214" t="s">
        <v>61</v>
      </c>
      <c r="H235" s="214"/>
      <c r="I235" s="214"/>
      <c r="J235" s="222" t="s">
        <v>67</v>
      </c>
      <c r="K235" s="222">
        <v>-6.5</v>
      </c>
      <c r="L235" s="222" t="s">
        <v>67</v>
      </c>
      <c r="M235" s="222">
        <v>42.5</v>
      </c>
      <c r="N235" s="214">
        <v>89.0</v>
      </c>
      <c r="O235" s="214">
        <v>10.0</v>
      </c>
      <c r="P235" s="214">
        <v>2.0</v>
      </c>
      <c r="Q235" s="214" t="b">
        <v>0</v>
      </c>
      <c r="R235" s="214">
        <v>100.0</v>
      </c>
      <c r="S235" s="214" t="s">
        <v>407</v>
      </c>
      <c r="T235" s="214" t="s">
        <v>321</v>
      </c>
      <c r="U235" s="214"/>
    </row>
    <row r="236">
      <c r="A236" s="221">
        <v>45909.06845365741</v>
      </c>
      <c r="B236" s="214" t="s">
        <v>238</v>
      </c>
      <c r="C236" s="214" t="s">
        <v>102</v>
      </c>
      <c r="D236" s="214">
        <v>2.0</v>
      </c>
      <c r="E236" s="214">
        <v>0.0</v>
      </c>
      <c r="F236" s="214" t="s">
        <v>1081</v>
      </c>
      <c r="G236" s="214" t="s">
        <v>61</v>
      </c>
      <c r="H236" s="214" t="s">
        <v>249</v>
      </c>
      <c r="I236" s="214"/>
      <c r="J236" s="222" t="s">
        <v>67</v>
      </c>
      <c r="K236" s="222">
        <v>-13.5</v>
      </c>
      <c r="L236" s="222" t="s">
        <v>67</v>
      </c>
      <c r="M236" s="222">
        <v>58.5</v>
      </c>
      <c r="N236" s="214">
        <v>83.0</v>
      </c>
      <c r="O236" s="214">
        <v>26.0</v>
      </c>
      <c r="P236" s="214">
        <v>2.0</v>
      </c>
      <c r="Q236" s="214" t="b">
        <v>1</v>
      </c>
      <c r="R236" s="214">
        <v>100.0</v>
      </c>
      <c r="S236" s="214" t="s">
        <v>361</v>
      </c>
      <c r="T236" s="214" t="s">
        <v>365</v>
      </c>
      <c r="U236" s="214"/>
    </row>
    <row r="237">
      <c r="A237" s="221">
        <v>45909.06845365741</v>
      </c>
      <c r="B237" s="214"/>
      <c r="C237" s="214"/>
      <c r="D237" s="214"/>
      <c r="E237" s="214"/>
      <c r="F237" s="214"/>
      <c r="G237" s="221"/>
      <c r="H237" s="214"/>
      <c r="I237" s="214"/>
      <c r="J237" s="222"/>
      <c r="K237" s="222"/>
      <c r="L237" s="222"/>
      <c r="M237" s="222"/>
      <c r="N237" s="214"/>
      <c r="O237" s="214"/>
      <c r="P237" s="214"/>
      <c r="Q237" s="214"/>
      <c r="R237" s="214"/>
      <c r="S237" s="214"/>
      <c r="T237" s="214"/>
      <c r="U237" s="214"/>
    </row>
    <row r="238">
      <c r="A238" s="221">
        <v>45909.06845365741</v>
      </c>
      <c r="B238" s="214" t="s">
        <v>156</v>
      </c>
      <c r="C238" s="214" t="s">
        <v>109</v>
      </c>
      <c r="D238" s="214">
        <v>2.0</v>
      </c>
      <c r="E238" s="214">
        <v>0.0</v>
      </c>
      <c r="F238" s="214" t="s">
        <v>1082</v>
      </c>
      <c r="G238" s="214" t="s">
        <v>61</v>
      </c>
      <c r="H238" s="214"/>
      <c r="I238" s="214"/>
      <c r="J238" s="222"/>
      <c r="K238" s="222"/>
      <c r="L238" s="222"/>
      <c r="M238" s="222"/>
      <c r="N238" s="214">
        <v>85.0</v>
      </c>
      <c r="O238" s="214">
        <v>17.0</v>
      </c>
      <c r="P238" s="214">
        <v>2.0</v>
      </c>
      <c r="Q238" s="214" t="b">
        <v>0</v>
      </c>
      <c r="R238" s="214">
        <v>100.0</v>
      </c>
      <c r="S238" s="214" t="s">
        <v>471</v>
      </c>
      <c r="T238" s="214" t="s">
        <v>321</v>
      </c>
      <c r="U238" s="214"/>
    </row>
    <row r="239">
      <c r="A239" s="221">
        <v>45909.06845365741</v>
      </c>
      <c r="B239" s="214" t="s">
        <v>156</v>
      </c>
      <c r="C239" s="214" t="s">
        <v>223</v>
      </c>
      <c r="D239" s="214">
        <v>1.0</v>
      </c>
      <c r="E239" s="214">
        <v>1.0</v>
      </c>
      <c r="F239" s="214" t="s">
        <v>1083</v>
      </c>
      <c r="G239" s="214" t="s">
        <v>61</v>
      </c>
      <c r="H239" s="214"/>
      <c r="I239" s="214"/>
      <c r="J239" s="222" t="s">
        <v>67</v>
      </c>
      <c r="K239" s="222">
        <v>8.5</v>
      </c>
      <c r="L239" s="222" t="s">
        <v>67</v>
      </c>
      <c r="M239" s="222">
        <v>55.5</v>
      </c>
      <c r="N239" s="214">
        <v>20.0</v>
      </c>
      <c r="O239" s="214">
        <v>48.0</v>
      </c>
      <c r="P239" s="214">
        <v>2.0</v>
      </c>
      <c r="Q239" s="214" t="b">
        <v>0</v>
      </c>
      <c r="R239" s="214">
        <v>100.0</v>
      </c>
      <c r="S239" s="214" t="s">
        <v>441</v>
      </c>
      <c r="T239" s="214" t="s">
        <v>365</v>
      </c>
      <c r="U239" s="214"/>
    </row>
    <row r="240">
      <c r="A240" s="221">
        <v>45909.06845365741</v>
      </c>
      <c r="B240" s="214" t="s">
        <v>156</v>
      </c>
      <c r="C240" s="214" t="s">
        <v>174</v>
      </c>
      <c r="D240" s="214">
        <v>1.0</v>
      </c>
      <c r="E240" s="214">
        <v>1.0</v>
      </c>
      <c r="F240" s="214" t="s">
        <v>1084</v>
      </c>
      <c r="G240" s="214" t="s">
        <v>61</v>
      </c>
      <c r="H240" s="214" t="s">
        <v>395</v>
      </c>
      <c r="I240" s="214"/>
      <c r="J240" s="222" t="s">
        <v>67</v>
      </c>
      <c r="K240" s="222">
        <v>-7.0</v>
      </c>
      <c r="L240" s="222" t="s">
        <v>67</v>
      </c>
      <c r="M240" s="222">
        <v>58.5</v>
      </c>
      <c r="N240" s="214">
        <v>61.0</v>
      </c>
      <c r="O240" s="214">
        <v>45.0</v>
      </c>
      <c r="P240" s="214">
        <v>2.0</v>
      </c>
      <c r="Q240" s="214" t="b">
        <v>0</v>
      </c>
      <c r="R240" s="214">
        <v>100.0</v>
      </c>
      <c r="S240" s="214" t="s">
        <v>530</v>
      </c>
      <c r="T240" s="214" t="s">
        <v>365</v>
      </c>
      <c r="U240" s="214"/>
    </row>
    <row r="241">
      <c r="A241" s="221">
        <v>45909.06845365741</v>
      </c>
      <c r="B241" s="214" t="s">
        <v>156</v>
      </c>
      <c r="C241" s="214" t="s">
        <v>116</v>
      </c>
      <c r="D241" s="214">
        <v>2.0</v>
      </c>
      <c r="E241" s="214">
        <v>0.0</v>
      </c>
      <c r="F241" s="214" t="s">
        <v>1085</v>
      </c>
      <c r="G241" s="214" t="s">
        <v>61</v>
      </c>
      <c r="H241" s="214"/>
      <c r="I241" s="214"/>
      <c r="J241" s="222" t="s">
        <v>67</v>
      </c>
      <c r="K241" s="222">
        <v>-3.5</v>
      </c>
      <c r="L241" s="222" t="s">
        <v>67</v>
      </c>
      <c r="M241" s="222">
        <v>54.5</v>
      </c>
      <c r="N241" s="214">
        <v>72.0</v>
      </c>
      <c r="O241" s="214">
        <v>27.0</v>
      </c>
      <c r="P241" s="214">
        <v>2.0</v>
      </c>
      <c r="Q241" s="214" t="b">
        <v>0</v>
      </c>
      <c r="R241" s="214">
        <v>100.0</v>
      </c>
      <c r="S241" s="214" t="s">
        <v>317</v>
      </c>
      <c r="T241" s="214" t="s">
        <v>321</v>
      </c>
      <c r="U241" s="214"/>
    </row>
    <row r="242">
      <c r="A242" s="221">
        <v>45909.06845365741</v>
      </c>
      <c r="B242" s="214" t="s">
        <v>156</v>
      </c>
      <c r="C242" s="214" t="s">
        <v>202</v>
      </c>
      <c r="D242" s="214">
        <v>2.0</v>
      </c>
      <c r="E242" s="214">
        <v>0.0</v>
      </c>
      <c r="F242" s="214" t="s">
        <v>1086</v>
      </c>
      <c r="G242" s="214" t="s">
        <v>61</v>
      </c>
      <c r="H242" s="214" t="s">
        <v>132</v>
      </c>
      <c r="I242" s="214"/>
      <c r="J242" s="222" t="s">
        <v>67</v>
      </c>
      <c r="K242" s="222">
        <v>-23.5</v>
      </c>
      <c r="L242" s="222" t="s">
        <v>67</v>
      </c>
      <c r="M242" s="222">
        <v>64.5</v>
      </c>
      <c r="N242" s="214">
        <v>108.0</v>
      </c>
      <c r="O242" s="214">
        <v>21.0</v>
      </c>
      <c r="P242" s="214">
        <v>2.0</v>
      </c>
      <c r="Q242" s="214" t="b">
        <v>1</v>
      </c>
      <c r="R242" s="214">
        <v>100.0</v>
      </c>
      <c r="S242" s="214" t="s">
        <v>556</v>
      </c>
      <c r="T242" s="214" t="s">
        <v>321</v>
      </c>
      <c r="U242" s="214"/>
    </row>
    <row r="243">
      <c r="A243" s="221">
        <v>45909.06845365741</v>
      </c>
      <c r="B243" s="214" t="s">
        <v>156</v>
      </c>
      <c r="C243" s="214" t="s">
        <v>181</v>
      </c>
      <c r="D243" s="214">
        <v>1.0</v>
      </c>
      <c r="E243" s="214">
        <v>1.0</v>
      </c>
      <c r="F243" s="214" t="s">
        <v>1087</v>
      </c>
      <c r="G243" s="214" t="s">
        <v>61</v>
      </c>
      <c r="H243" s="214"/>
      <c r="I243" s="214"/>
      <c r="J243" s="222"/>
      <c r="K243" s="222"/>
      <c r="L243" s="222"/>
      <c r="M243" s="222"/>
      <c r="N243" s="214">
        <v>31.0</v>
      </c>
      <c r="O243" s="214">
        <v>63.0</v>
      </c>
      <c r="P243" s="214">
        <v>2.0</v>
      </c>
      <c r="Q243" s="214" t="b">
        <v>0</v>
      </c>
      <c r="R243" s="214">
        <v>100.0</v>
      </c>
      <c r="S243" s="214" t="s">
        <v>525</v>
      </c>
      <c r="T243" s="214" t="s">
        <v>365</v>
      </c>
      <c r="U243" s="214"/>
    </row>
    <row r="244">
      <c r="A244" s="221">
        <v>45909.06845365741</v>
      </c>
      <c r="B244" s="214" t="s">
        <v>156</v>
      </c>
      <c r="C244" s="214" t="s">
        <v>208</v>
      </c>
      <c r="D244" s="214">
        <v>2.0</v>
      </c>
      <c r="E244" s="214">
        <v>0.0</v>
      </c>
      <c r="F244" s="214" t="s">
        <v>1050</v>
      </c>
      <c r="G244" s="214" t="s">
        <v>61</v>
      </c>
      <c r="H244" s="214" t="s">
        <v>193</v>
      </c>
      <c r="I244" s="214"/>
      <c r="J244" s="222" t="s">
        <v>67</v>
      </c>
      <c r="K244" s="222">
        <v>-6.5</v>
      </c>
      <c r="L244" s="222" t="s">
        <v>67</v>
      </c>
      <c r="M244" s="222">
        <v>50.5</v>
      </c>
      <c r="N244" s="214">
        <v>103.0</v>
      </c>
      <c r="O244" s="214">
        <v>37.0</v>
      </c>
      <c r="P244" s="214">
        <v>2.0</v>
      </c>
      <c r="Q244" s="214" t="b">
        <v>0</v>
      </c>
      <c r="R244" s="214">
        <v>100.0</v>
      </c>
      <c r="S244" s="214" t="s">
        <v>556</v>
      </c>
      <c r="T244" s="214" t="s">
        <v>321</v>
      </c>
      <c r="U244" s="214"/>
    </row>
    <row r="245">
      <c r="A245" s="221">
        <v>45909.06845365741</v>
      </c>
      <c r="B245" s="214" t="s">
        <v>156</v>
      </c>
      <c r="C245" s="214" t="s">
        <v>232</v>
      </c>
      <c r="D245" s="214">
        <v>1.0</v>
      </c>
      <c r="E245" s="214">
        <v>1.0</v>
      </c>
      <c r="F245" s="214" t="s">
        <v>1046</v>
      </c>
      <c r="G245" s="214" t="s">
        <v>61</v>
      </c>
      <c r="H245" s="214" t="s">
        <v>62</v>
      </c>
      <c r="I245" s="214"/>
      <c r="J245" s="222" t="s">
        <v>67</v>
      </c>
      <c r="K245" s="222">
        <v>6.5</v>
      </c>
      <c r="L245" s="222" t="s">
        <v>67</v>
      </c>
      <c r="M245" s="222">
        <v>51.5</v>
      </c>
      <c r="N245" s="214">
        <v>44.0</v>
      </c>
      <c r="O245" s="214">
        <v>41.0</v>
      </c>
      <c r="P245" s="214">
        <v>2.0</v>
      </c>
      <c r="Q245" s="214" t="b">
        <v>1</v>
      </c>
      <c r="R245" s="214">
        <v>100.0</v>
      </c>
      <c r="S245" s="214" t="s">
        <v>535</v>
      </c>
      <c r="T245" s="214" t="s">
        <v>365</v>
      </c>
      <c r="U245" s="214"/>
    </row>
    <row r="246">
      <c r="A246" s="221">
        <v>45909.06845365741</v>
      </c>
      <c r="B246" s="214" t="s">
        <v>156</v>
      </c>
      <c r="C246" s="214" t="s">
        <v>135</v>
      </c>
      <c r="D246" s="214">
        <v>2.0</v>
      </c>
      <c r="E246" s="214">
        <v>0.0</v>
      </c>
      <c r="F246" s="214" t="s">
        <v>1088</v>
      </c>
      <c r="G246" s="214" t="s">
        <v>61</v>
      </c>
      <c r="H246" s="214" t="s">
        <v>249</v>
      </c>
      <c r="I246" s="214"/>
      <c r="J246" s="222" t="s">
        <v>67</v>
      </c>
      <c r="K246" s="222">
        <v>-3.5</v>
      </c>
      <c r="L246" s="222" t="s">
        <v>67</v>
      </c>
      <c r="M246" s="222">
        <v>49.5</v>
      </c>
      <c r="N246" s="214">
        <v>97.0</v>
      </c>
      <c r="O246" s="214">
        <v>22.0</v>
      </c>
      <c r="P246" s="214">
        <v>2.0</v>
      </c>
      <c r="Q246" s="214" t="b">
        <v>1</v>
      </c>
      <c r="R246" s="214">
        <v>100.0</v>
      </c>
      <c r="S246" s="214" t="s">
        <v>407</v>
      </c>
      <c r="T246" s="214" t="s">
        <v>321</v>
      </c>
      <c r="U246" s="214"/>
    </row>
    <row r="247">
      <c r="A247" s="221">
        <v>45909.06845365741</v>
      </c>
      <c r="B247" s="214" t="s">
        <v>156</v>
      </c>
      <c r="C247" s="214" t="s">
        <v>154</v>
      </c>
      <c r="D247" s="214">
        <v>2.0</v>
      </c>
      <c r="E247" s="214">
        <v>0.0</v>
      </c>
      <c r="F247" s="214" t="s">
        <v>1089</v>
      </c>
      <c r="G247" s="214" t="s">
        <v>532</v>
      </c>
      <c r="H247" s="214" t="s">
        <v>395</v>
      </c>
      <c r="I247" s="214"/>
      <c r="J247" s="222" t="s">
        <v>67</v>
      </c>
      <c r="K247" s="222">
        <v>-10.0</v>
      </c>
      <c r="L247" s="222" t="s">
        <v>67</v>
      </c>
      <c r="M247" s="222">
        <v>57.5</v>
      </c>
      <c r="N247" s="214">
        <v>84.0</v>
      </c>
      <c r="O247" s="214">
        <v>30.0</v>
      </c>
      <c r="P247" s="214">
        <v>2.0</v>
      </c>
      <c r="Q247" s="214" t="b">
        <v>1</v>
      </c>
      <c r="R247" s="214">
        <v>100.0</v>
      </c>
      <c r="S247" s="214" t="s">
        <v>361</v>
      </c>
      <c r="T247" s="214" t="s">
        <v>365</v>
      </c>
      <c r="U247" s="214"/>
    </row>
    <row r="248">
      <c r="A248" s="221">
        <v>45909.06845365741</v>
      </c>
      <c r="B248" s="214"/>
      <c r="C248" s="214"/>
      <c r="D248" s="214"/>
      <c r="E248" s="214"/>
      <c r="F248" s="214"/>
      <c r="G248" s="221"/>
      <c r="H248" s="214"/>
      <c r="I248" s="214"/>
      <c r="J248" s="222"/>
      <c r="K248" s="222"/>
      <c r="L248" s="222"/>
      <c r="M248" s="222"/>
      <c r="N248" s="214"/>
      <c r="O248" s="214"/>
      <c r="P248" s="214"/>
      <c r="Q248" s="214"/>
      <c r="R248" s="214"/>
      <c r="S248" s="214"/>
      <c r="T248" s="214"/>
      <c r="U248" s="214"/>
    </row>
    <row r="249">
      <c r="A249" s="221">
        <v>45909.06845365741</v>
      </c>
      <c r="B249" s="214" t="s">
        <v>249</v>
      </c>
      <c r="C249" s="214" t="s">
        <v>183</v>
      </c>
      <c r="D249" s="214">
        <v>1.0</v>
      </c>
      <c r="E249" s="214">
        <v>1.0</v>
      </c>
      <c r="F249" s="214" t="s">
        <v>1090</v>
      </c>
      <c r="G249" s="214" t="s">
        <v>61</v>
      </c>
      <c r="H249" s="214" t="s">
        <v>493</v>
      </c>
      <c r="I249" s="214"/>
      <c r="J249" s="222" t="s">
        <v>67</v>
      </c>
      <c r="K249" s="222">
        <v>1.5</v>
      </c>
      <c r="L249" s="222" t="s">
        <v>67</v>
      </c>
      <c r="M249" s="222">
        <v>46.5</v>
      </c>
      <c r="N249" s="214">
        <v>55.0</v>
      </c>
      <c r="O249" s="214">
        <v>36.0</v>
      </c>
      <c r="P249" s="214">
        <v>2.0</v>
      </c>
      <c r="Q249" s="214" t="b">
        <v>0</v>
      </c>
      <c r="R249" s="214">
        <v>100.0</v>
      </c>
      <c r="S249" s="214" t="s">
        <v>525</v>
      </c>
      <c r="T249" s="214" t="s">
        <v>365</v>
      </c>
      <c r="U249" s="214"/>
    </row>
    <row r="250">
      <c r="A250" s="221">
        <v>45909.06845365741</v>
      </c>
      <c r="B250" s="214" t="s">
        <v>249</v>
      </c>
      <c r="C250" s="214" t="s">
        <v>151</v>
      </c>
      <c r="D250" s="214">
        <v>1.0</v>
      </c>
      <c r="E250" s="214">
        <v>1.0</v>
      </c>
      <c r="F250" s="214" t="s">
        <v>1060</v>
      </c>
      <c r="G250" s="214" t="s">
        <v>61</v>
      </c>
      <c r="H250" s="214" t="s">
        <v>311</v>
      </c>
      <c r="I250" s="214"/>
      <c r="J250" s="222" t="s">
        <v>67</v>
      </c>
      <c r="K250" s="222">
        <v>36.5</v>
      </c>
      <c r="L250" s="222" t="s">
        <v>67</v>
      </c>
      <c r="M250" s="222">
        <v>50.5</v>
      </c>
      <c r="N250" s="214">
        <v>31.0</v>
      </c>
      <c r="O250" s="214">
        <v>23.0</v>
      </c>
      <c r="P250" s="214">
        <v>2.0</v>
      </c>
      <c r="Q250" s="214" t="b">
        <v>0</v>
      </c>
      <c r="R250" s="214">
        <v>100.0</v>
      </c>
      <c r="S250" s="214" t="s">
        <v>535</v>
      </c>
      <c r="T250" s="214" t="s">
        <v>365</v>
      </c>
      <c r="U250" s="214"/>
    </row>
    <row r="251">
      <c r="A251" s="221">
        <v>45909.06845365741</v>
      </c>
      <c r="B251" s="214" t="s">
        <v>249</v>
      </c>
      <c r="C251" s="214" t="s">
        <v>159</v>
      </c>
      <c r="D251" s="214">
        <v>0.0</v>
      </c>
      <c r="E251" s="214">
        <v>2.0</v>
      </c>
      <c r="F251" s="214" t="s">
        <v>1024</v>
      </c>
      <c r="G251" s="214" t="s">
        <v>61</v>
      </c>
      <c r="H251" s="214" t="s">
        <v>43</v>
      </c>
      <c r="I251" s="214"/>
      <c r="J251" s="222" t="s">
        <v>67</v>
      </c>
      <c r="K251" s="222">
        <v>12.5</v>
      </c>
      <c r="L251" s="222" t="s">
        <v>67</v>
      </c>
      <c r="M251" s="222">
        <v>49.5</v>
      </c>
      <c r="N251" s="214">
        <v>14.0</v>
      </c>
      <c r="O251" s="214">
        <v>54.0</v>
      </c>
      <c r="P251" s="214">
        <v>2.0</v>
      </c>
      <c r="Q251" s="214" t="b">
        <v>1</v>
      </c>
      <c r="R251" s="214">
        <v>100.0</v>
      </c>
      <c r="S251" s="214" t="s">
        <v>361</v>
      </c>
      <c r="T251" s="214" t="s">
        <v>365</v>
      </c>
      <c r="U251" s="214"/>
    </row>
    <row r="252">
      <c r="A252" s="221">
        <v>45909.06845365741</v>
      </c>
      <c r="B252" s="214" t="s">
        <v>249</v>
      </c>
      <c r="C252" s="214" t="s">
        <v>111</v>
      </c>
      <c r="D252" s="214">
        <v>1.0</v>
      </c>
      <c r="E252" s="214">
        <v>1.0</v>
      </c>
      <c r="F252" s="214" t="s">
        <v>1071</v>
      </c>
      <c r="G252" s="214" t="s">
        <v>61</v>
      </c>
      <c r="H252" s="214" t="s">
        <v>96</v>
      </c>
      <c r="I252" s="214"/>
      <c r="J252" s="222" t="s">
        <v>67</v>
      </c>
      <c r="K252" s="222">
        <v>-30.5</v>
      </c>
      <c r="L252" s="222" t="s">
        <v>67</v>
      </c>
      <c r="M252" s="222">
        <v>51.5</v>
      </c>
      <c r="N252" s="214">
        <v>37.0</v>
      </c>
      <c r="O252" s="214">
        <v>33.0</v>
      </c>
      <c r="P252" s="214">
        <v>2.0</v>
      </c>
      <c r="Q252" s="214" t="b">
        <v>0</v>
      </c>
      <c r="R252" s="214">
        <v>100.0</v>
      </c>
      <c r="S252" s="214" t="s">
        <v>317</v>
      </c>
      <c r="T252" s="214" t="s">
        <v>321</v>
      </c>
      <c r="U252" s="214"/>
    </row>
    <row r="253">
      <c r="A253" s="221">
        <v>45909.06845365741</v>
      </c>
      <c r="B253" s="214" t="s">
        <v>249</v>
      </c>
      <c r="C253" s="214" t="s">
        <v>209</v>
      </c>
      <c r="D253" s="214">
        <v>2.0</v>
      </c>
      <c r="E253" s="214">
        <v>0.0</v>
      </c>
      <c r="F253" s="214" t="s">
        <v>1091</v>
      </c>
      <c r="G253" s="214" t="s">
        <v>61</v>
      </c>
      <c r="H253" s="214" t="s">
        <v>493</v>
      </c>
      <c r="I253" s="214"/>
      <c r="J253" s="222" t="s">
        <v>67</v>
      </c>
      <c r="K253" s="222">
        <v>-8.5</v>
      </c>
      <c r="L253" s="222" t="s">
        <v>67</v>
      </c>
      <c r="M253" s="222">
        <v>50.5</v>
      </c>
      <c r="N253" s="214">
        <v>93.0</v>
      </c>
      <c r="O253" s="214">
        <v>30.0</v>
      </c>
      <c r="P253" s="214">
        <v>2.0</v>
      </c>
      <c r="Q253" s="214" t="b">
        <v>1</v>
      </c>
      <c r="R253" s="214">
        <v>100.0</v>
      </c>
      <c r="S253" s="214" t="s">
        <v>556</v>
      </c>
      <c r="T253" s="214" t="s">
        <v>321</v>
      </c>
      <c r="U253" s="214"/>
    </row>
    <row r="254">
      <c r="A254" s="221">
        <v>45909.06845365741</v>
      </c>
      <c r="B254" s="214" t="s">
        <v>249</v>
      </c>
      <c r="C254" s="214" t="s">
        <v>167</v>
      </c>
      <c r="D254" s="214">
        <v>1.0</v>
      </c>
      <c r="E254" s="214">
        <v>1.0</v>
      </c>
      <c r="F254" s="214" t="s">
        <v>1092</v>
      </c>
      <c r="G254" s="214" t="s">
        <v>61</v>
      </c>
      <c r="H254" s="214"/>
      <c r="I254" s="214"/>
      <c r="J254" s="222" t="s">
        <v>67</v>
      </c>
      <c r="K254" s="222"/>
      <c r="L254" s="222" t="s">
        <v>67</v>
      </c>
      <c r="M254" s="222">
        <v>52.5</v>
      </c>
      <c r="N254" s="214">
        <v>55.0</v>
      </c>
      <c r="O254" s="214">
        <v>29.0</v>
      </c>
      <c r="P254" s="214">
        <v>2.0</v>
      </c>
      <c r="Q254" s="214" t="b">
        <v>0</v>
      </c>
      <c r="R254" s="214">
        <v>100.0</v>
      </c>
      <c r="S254" s="214" t="s">
        <v>530</v>
      </c>
      <c r="T254" s="214" t="s">
        <v>365</v>
      </c>
      <c r="U254" s="214"/>
    </row>
    <row r="255">
      <c r="A255" s="221">
        <v>45909.06845365741</v>
      </c>
      <c r="B255" s="214" t="s">
        <v>249</v>
      </c>
      <c r="C255" s="214" t="s">
        <v>112</v>
      </c>
      <c r="D255" s="214">
        <v>1.0</v>
      </c>
      <c r="E255" s="214">
        <v>1.0</v>
      </c>
      <c r="F255" s="214" t="s">
        <v>1088</v>
      </c>
      <c r="G255" s="214" t="s">
        <v>61</v>
      </c>
      <c r="H255" s="214" t="s">
        <v>156</v>
      </c>
      <c r="I255" s="214"/>
      <c r="J255" s="222" t="s">
        <v>67</v>
      </c>
      <c r="K255" s="222">
        <v>3.5</v>
      </c>
      <c r="L255" s="222" t="s">
        <v>67</v>
      </c>
      <c r="M255" s="222">
        <v>49.5</v>
      </c>
      <c r="N255" s="214">
        <v>64.0</v>
      </c>
      <c r="O255" s="214">
        <v>62.0</v>
      </c>
      <c r="P255" s="214">
        <v>2.0</v>
      </c>
      <c r="Q255" s="214" t="b">
        <v>0</v>
      </c>
      <c r="R255" s="214">
        <v>100.0</v>
      </c>
      <c r="S255" s="214" t="s">
        <v>317</v>
      </c>
      <c r="T255" s="214" t="s">
        <v>321</v>
      </c>
      <c r="U255" s="214"/>
    </row>
    <row r="256">
      <c r="A256" s="221">
        <v>45909.06845365741</v>
      </c>
      <c r="B256" s="214" t="s">
        <v>249</v>
      </c>
      <c r="C256" s="214" t="s">
        <v>137</v>
      </c>
      <c r="D256" s="214">
        <v>1.0</v>
      </c>
      <c r="E256" s="214">
        <v>1.0</v>
      </c>
      <c r="F256" s="214" t="s">
        <v>1063</v>
      </c>
      <c r="G256" s="214" t="s">
        <v>61</v>
      </c>
      <c r="H256" s="214" t="s">
        <v>311</v>
      </c>
      <c r="I256" s="214"/>
      <c r="J256" s="222" t="s">
        <v>67</v>
      </c>
      <c r="K256" s="222">
        <v>3.5</v>
      </c>
      <c r="L256" s="222" t="s">
        <v>67</v>
      </c>
      <c r="M256" s="222">
        <v>41.5</v>
      </c>
      <c r="N256" s="214">
        <v>47.0</v>
      </c>
      <c r="O256" s="214">
        <v>23.0</v>
      </c>
      <c r="P256" s="214">
        <v>2.0</v>
      </c>
      <c r="Q256" s="214" t="b">
        <v>1</v>
      </c>
      <c r="R256" s="214">
        <v>100.0</v>
      </c>
      <c r="S256" s="214" t="s">
        <v>407</v>
      </c>
      <c r="T256" s="214" t="s">
        <v>321</v>
      </c>
      <c r="U256" s="214"/>
    </row>
    <row r="257">
      <c r="A257" s="221">
        <v>45909.06845365741</v>
      </c>
      <c r="B257" s="214" t="s">
        <v>249</v>
      </c>
      <c r="C257" s="214" t="s">
        <v>217</v>
      </c>
      <c r="D257" s="214">
        <v>0.0</v>
      </c>
      <c r="E257" s="214">
        <v>2.0</v>
      </c>
      <c r="F257" s="214" t="s">
        <v>1081</v>
      </c>
      <c r="G257" s="214" t="s">
        <v>61</v>
      </c>
      <c r="H257" s="214" t="s">
        <v>238</v>
      </c>
      <c r="I257" s="214"/>
      <c r="J257" s="222" t="s">
        <v>67</v>
      </c>
      <c r="K257" s="222">
        <v>13.5</v>
      </c>
      <c r="L257" s="222" t="s">
        <v>67</v>
      </c>
      <c r="M257" s="222">
        <v>58.5</v>
      </c>
      <c r="N257" s="214">
        <v>23.0</v>
      </c>
      <c r="O257" s="214">
        <v>101.0</v>
      </c>
      <c r="P257" s="214">
        <v>2.0</v>
      </c>
      <c r="Q257" s="214" t="b">
        <v>0</v>
      </c>
      <c r="R257" s="214">
        <v>100.0</v>
      </c>
      <c r="S257" s="214" t="s">
        <v>441</v>
      </c>
      <c r="T257" s="214" t="s">
        <v>365</v>
      </c>
      <c r="U257" s="214"/>
    </row>
    <row r="258">
      <c r="A258" s="221">
        <v>45909.06845365741</v>
      </c>
      <c r="B258" s="214" t="s">
        <v>249</v>
      </c>
      <c r="C258" s="214" t="s">
        <v>124</v>
      </c>
      <c r="D258" s="214">
        <v>1.0</v>
      </c>
      <c r="E258" s="214">
        <v>1.0</v>
      </c>
      <c r="F258" s="214" t="s">
        <v>1057</v>
      </c>
      <c r="G258" s="214" t="s">
        <v>597</v>
      </c>
      <c r="H258" s="214" t="s">
        <v>193</v>
      </c>
      <c r="I258" s="214"/>
      <c r="J258" s="222" t="s">
        <v>67</v>
      </c>
      <c r="K258" s="222">
        <v>2.5</v>
      </c>
      <c r="L258" s="222" t="s">
        <v>67</v>
      </c>
      <c r="M258" s="222">
        <v>62.5</v>
      </c>
      <c r="N258" s="214">
        <v>72.0</v>
      </c>
      <c r="O258" s="214">
        <v>83.0</v>
      </c>
      <c r="P258" s="214">
        <v>2.0</v>
      </c>
      <c r="Q258" s="214" t="b">
        <v>1</v>
      </c>
      <c r="R258" s="214">
        <v>100.0</v>
      </c>
      <c r="S258" s="214" t="s">
        <v>471</v>
      </c>
      <c r="T258" s="214" t="s">
        <v>321</v>
      </c>
      <c r="U258" s="214"/>
    </row>
    <row r="259">
      <c r="A259" s="221">
        <v>45909.06845365741</v>
      </c>
      <c r="B259" s="214"/>
      <c r="C259" s="214"/>
      <c r="D259" s="214"/>
      <c r="E259" s="214"/>
      <c r="F259" s="214"/>
      <c r="G259" s="221"/>
      <c r="H259" s="214"/>
      <c r="I259" s="214"/>
      <c r="J259" s="222"/>
      <c r="K259" s="222"/>
      <c r="L259" s="222"/>
      <c r="M259" s="222"/>
      <c r="N259" s="214"/>
      <c r="O259" s="214"/>
      <c r="P259" s="214"/>
      <c r="Q259" s="214"/>
      <c r="R259" s="214"/>
      <c r="S259" s="214"/>
      <c r="T259" s="214"/>
      <c r="U259" s="214"/>
    </row>
    <row r="260">
      <c r="A260" s="221">
        <v>45909.06845365741</v>
      </c>
      <c r="B260" s="214" t="s">
        <v>395</v>
      </c>
      <c r="C260" s="214" t="s">
        <v>213</v>
      </c>
      <c r="D260" s="214">
        <v>2.0</v>
      </c>
      <c r="E260" s="214">
        <v>0.0</v>
      </c>
      <c r="F260" s="214" t="s">
        <v>1059</v>
      </c>
      <c r="G260" s="214" t="s">
        <v>61</v>
      </c>
      <c r="H260" s="214" t="s">
        <v>311</v>
      </c>
      <c r="I260" s="214"/>
      <c r="J260" s="222" t="s">
        <v>67</v>
      </c>
      <c r="K260" s="222">
        <v>2.5</v>
      </c>
      <c r="L260" s="222" t="s">
        <v>67</v>
      </c>
      <c r="M260" s="222">
        <v>47.5</v>
      </c>
      <c r="N260" s="214">
        <v>89.0</v>
      </c>
      <c r="O260" s="214">
        <v>23.0</v>
      </c>
      <c r="P260" s="214">
        <v>2.0</v>
      </c>
      <c r="Q260" s="214" t="b">
        <v>0</v>
      </c>
      <c r="R260" s="214">
        <v>100.0</v>
      </c>
      <c r="S260" s="214" t="s">
        <v>556</v>
      </c>
      <c r="T260" s="214" t="s">
        <v>321</v>
      </c>
      <c r="U260" s="214"/>
    </row>
    <row r="261">
      <c r="A261" s="221">
        <v>45909.06845365741</v>
      </c>
      <c r="B261" s="214" t="s">
        <v>395</v>
      </c>
      <c r="C261" s="214" t="s">
        <v>225</v>
      </c>
      <c r="D261" s="214">
        <v>1.0</v>
      </c>
      <c r="E261" s="214">
        <v>1.0</v>
      </c>
      <c r="F261" s="214" t="s">
        <v>1042</v>
      </c>
      <c r="G261" s="214" t="s">
        <v>61</v>
      </c>
      <c r="H261" s="214" t="s">
        <v>62</v>
      </c>
      <c r="I261" s="214"/>
      <c r="J261" s="222" t="s">
        <v>67</v>
      </c>
      <c r="K261" s="222">
        <v>17.5</v>
      </c>
      <c r="L261" s="222" t="s">
        <v>67</v>
      </c>
      <c r="M261" s="222">
        <v>47.5</v>
      </c>
      <c r="N261" s="214">
        <v>51.0</v>
      </c>
      <c r="O261" s="214">
        <v>51.0</v>
      </c>
      <c r="P261" s="214">
        <v>2.0</v>
      </c>
      <c r="Q261" s="214" t="b">
        <v>0</v>
      </c>
      <c r="R261" s="214">
        <v>100.0</v>
      </c>
      <c r="S261" s="214" t="s">
        <v>361</v>
      </c>
      <c r="T261" s="214" t="s">
        <v>365</v>
      </c>
      <c r="U261" s="214"/>
    </row>
    <row r="262">
      <c r="A262" s="221">
        <v>45909.06845365741</v>
      </c>
      <c r="B262" s="214" t="s">
        <v>395</v>
      </c>
      <c r="C262" s="214" t="s">
        <v>162</v>
      </c>
      <c r="D262" s="214">
        <v>2.0</v>
      </c>
      <c r="E262" s="214">
        <v>1.0</v>
      </c>
      <c r="F262" s="214" t="s">
        <v>1084</v>
      </c>
      <c r="G262" s="214" t="s">
        <v>61</v>
      </c>
      <c r="H262" s="214" t="s">
        <v>156</v>
      </c>
      <c r="I262" s="214"/>
      <c r="J262" s="222" t="s">
        <v>67</v>
      </c>
      <c r="K262" s="222">
        <v>7.0</v>
      </c>
      <c r="L262" s="222" t="s">
        <v>67</v>
      </c>
      <c r="M262" s="222">
        <v>58.5</v>
      </c>
      <c r="N262" s="214">
        <v>117.0</v>
      </c>
      <c r="O262" s="214">
        <v>75.0</v>
      </c>
      <c r="P262" s="214">
        <v>2.0</v>
      </c>
      <c r="Q262" s="214" t="b">
        <v>1</v>
      </c>
      <c r="R262" s="214">
        <v>100.0</v>
      </c>
      <c r="S262" s="214" t="s">
        <v>535</v>
      </c>
      <c r="T262" s="214" t="s">
        <v>365</v>
      </c>
      <c r="U262" s="214"/>
    </row>
    <row r="263">
      <c r="A263" s="221">
        <v>45909.06845365741</v>
      </c>
      <c r="B263" s="214" t="s">
        <v>395</v>
      </c>
      <c r="C263" s="214" t="s">
        <v>101</v>
      </c>
      <c r="D263" s="214">
        <v>2.0</v>
      </c>
      <c r="E263" s="214">
        <v>0.0</v>
      </c>
      <c r="F263" s="214" t="s">
        <v>1025</v>
      </c>
      <c r="G263" s="214" t="s">
        <v>61</v>
      </c>
      <c r="H263" s="214" t="s">
        <v>43</v>
      </c>
      <c r="I263" s="214"/>
      <c r="J263" s="222" t="s">
        <v>67</v>
      </c>
      <c r="K263" s="222">
        <v>-14.0</v>
      </c>
      <c r="L263" s="222" t="s">
        <v>67</v>
      </c>
      <c r="M263" s="222">
        <v>38.5</v>
      </c>
      <c r="N263" s="214">
        <v>62.0</v>
      </c>
      <c r="O263" s="214">
        <v>9.0</v>
      </c>
      <c r="P263" s="214">
        <v>2.0</v>
      </c>
      <c r="Q263" s="214" t="b">
        <v>1</v>
      </c>
      <c r="R263" s="214">
        <v>100.0</v>
      </c>
      <c r="S263" s="214" t="s">
        <v>471</v>
      </c>
      <c r="T263" s="214" t="s">
        <v>321</v>
      </c>
      <c r="U263" s="214"/>
    </row>
    <row r="264">
      <c r="A264" s="221">
        <v>45909.06845365741</v>
      </c>
      <c r="B264" s="214" t="s">
        <v>395</v>
      </c>
      <c r="C264" s="214" t="s">
        <v>147</v>
      </c>
      <c r="D264" s="214">
        <v>2.0</v>
      </c>
      <c r="E264" s="214">
        <v>0.0</v>
      </c>
      <c r="F264" s="214" t="s">
        <v>1077</v>
      </c>
      <c r="G264" s="214" t="s">
        <v>61</v>
      </c>
      <c r="H264" s="214" t="s">
        <v>238</v>
      </c>
      <c r="I264" s="214"/>
      <c r="J264" s="222" t="s">
        <v>67</v>
      </c>
      <c r="K264" s="222">
        <v>-15.5</v>
      </c>
      <c r="L264" s="222" t="s">
        <v>67</v>
      </c>
      <c r="M264" s="222">
        <v>45.5</v>
      </c>
      <c r="N264" s="214">
        <v>79.0</v>
      </c>
      <c r="O264" s="214">
        <v>48.0</v>
      </c>
      <c r="P264" s="214">
        <v>2.0</v>
      </c>
      <c r="Q264" s="214" t="b">
        <v>1</v>
      </c>
      <c r="R264" s="214">
        <v>100.0</v>
      </c>
      <c r="S264" s="214" t="s">
        <v>407</v>
      </c>
      <c r="T264" s="214" t="s">
        <v>321</v>
      </c>
      <c r="U264" s="214"/>
    </row>
    <row r="265">
      <c r="A265" s="221">
        <v>45909.06845365741</v>
      </c>
      <c r="B265" s="214" t="s">
        <v>395</v>
      </c>
      <c r="C265" s="214" t="s">
        <v>114</v>
      </c>
      <c r="D265" s="214">
        <v>2.0</v>
      </c>
      <c r="E265" s="214">
        <v>0.0</v>
      </c>
      <c r="F265" s="214" t="s">
        <v>1093</v>
      </c>
      <c r="G265" s="214" t="s">
        <v>61</v>
      </c>
      <c r="H265" s="214"/>
      <c r="I265" s="214"/>
      <c r="J265" s="222" t="s">
        <v>67</v>
      </c>
      <c r="K265" s="222">
        <v>-2.5</v>
      </c>
      <c r="L265" s="222" t="s">
        <v>67</v>
      </c>
      <c r="M265" s="222">
        <v>51.5</v>
      </c>
      <c r="N265" s="214">
        <v>86.0</v>
      </c>
      <c r="O265" s="214">
        <v>32.0</v>
      </c>
      <c r="P265" s="214">
        <v>2.0</v>
      </c>
      <c r="Q265" s="214" t="b">
        <v>0</v>
      </c>
      <c r="R265" s="214">
        <v>100.0</v>
      </c>
      <c r="S265" s="214" t="s">
        <v>317</v>
      </c>
      <c r="T265" s="214" t="s">
        <v>321</v>
      </c>
      <c r="U265" s="214"/>
    </row>
    <row r="266">
      <c r="A266" s="221">
        <v>45909.06845365741</v>
      </c>
      <c r="B266" s="214" t="s">
        <v>395</v>
      </c>
      <c r="C266" s="214" t="s">
        <v>179</v>
      </c>
      <c r="D266" s="214">
        <v>2.0</v>
      </c>
      <c r="E266" s="214">
        <v>1.0</v>
      </c>
      <c r="F266" s="214" t="s">
        <v>1051</v>
      </c>
      <c r="G266" s="214" t="s">
        <v>61</v>
      </c>
      <c r="H266" s="214" t="s">
        <v>193</v>
      </c>
      <c r="I266" s="214"/>
      <c r="J266" s="222" t="s">
        <v>67</v>
      </c>
      <c r="K266" s="222">
        <v>2.5</v>
      </c>
      <c r="L266" s="222" t="s">
        <v>67</v>
      </c>
      <c r="M266" s="222">
        <v>45.5</v>
      </c>
      <c r="N266" s="214">
        <v>85.0</v>
      </c>
      <c r="O266" s="214">
        <v>72.0</v>
      </c>
      <c r="P266" s="214">
        <v>2.0</v>
      </c>
      <c r="Q266" s="214" t="b">
        <v>0</v>
      </c>
      <c r="R266" s="214">
        <v>100.0</v>
      </c>
      <c r="S266" s="214" t="s">
        <v>525</v>
      </c>
      <c r="T266" s="214" t="s">
        <v>365</v>
      </c>
      <c r="U266" s="214"/>
    </row>
    <row r="267">
      <c r="A267" s="221">
        <v>45909.06845365741</v>
      </c>
      <c r="B267" s="214" t="s">
        <v>395</v>
      </c>
      <c r="C267" s="214" t="s">
        <v>231</v>
      </c>
      <c r="D267" s="214">
        <v>1.0</v>
      </c>
      <c r="E267" s="214">
        <v>1.0</v>
      </c>
      <c r="F267" s="214" t="s">
        <v>1094</v>
      </c>
      <c r="G267" s="214" t="s">
        <v>61</v>
      </c>
      <c r="H267" s="214" t="s">
        <v>132</v>
      </c>
      <c r="I267" s="214"/>
      <c r="J267" s="222" t="s">
        <v>67</v>
      </c>
      <c r="K267" s="222">
        <v>14.5</v>
      </c>
      <c r="L267" s="222" t="s">
        <v>67</v>
      </c>
      <c r="M267" s="222">
        <v>55.5</v>
      </c>
      <c r="N267" s="214">
        <v>59.0</v>
      </c>
      <c r="O267" s="214">
        <v>38.0</v>
      </c>
      <c r="P267" s="214">
        <v>2.0</v>
      </c>
      <c r="Q267" s="214" t="b">
        <v>0</v>
      </c>
      <c r="R267" s="214">
        <v>100.0</v>
      </c>
      <c r="S267" s="214" t="s">
        <v>441</v>
      </c>
      <c r="T267" s="214" t="s">
        <v>365</v>
      </c>
      <c r="U267" s="214"/>
    </row>
    <row r="268">
      <c r="A268" s="221">
        <v>45909.06845365741</v>
      </c>
      <c r="B268" s="214" t="s">
        <v>395</v>
      </c>
      <c r="C268" s="214" t="s">
        <v>175</v>
      </c>
      <c r="D268" s="214">
        <v>0.0</v>
      </c>
      <c r="E268" s="214">
        <v>2.0</v>
      </c>
      <c r="F268" s="214" t="s">
        <v>1089</v>
      </c>
      <c r="G268" s="214" t="s">
        <v>532</v>
      </c>
      <c r="H268" s="214" t="s">
        <v>156</v>
      </c>
      <c r="I268" s="214"/>
      <c r="J268" s="222" t="s">
        <v>67</v>
      </c>
      <c r="K268" s="222">
        <v>10.0</v>
      </c>
      <c r="L268" s="222" t="s">
        <v>67</v>
      </c>
      <c r="M268" s="222">
        <v>57.5</v>
      </c>
      <c r="N268" s="214">
        <v>36.0</v>
      </c>
      <c r="O268" s="214">
        <v>56.0</v>
      </c>
      <c r="P268" s="214">
        <v>2.0</v>
      </c>
      <c r="Q268" s="214" t="b">
        <v>0</v>
      </c>
      <c r="R268" s="214">
        <v>100.0</v>
      </c>
      <c r="S268" s="214" t="s">
        <v>530</v>
      </c>
      <c r="T268" s="214" t="s">
        <v>365</v>
      </c>
      <c r="U268" s="214"/>
    </row>
    <row r="269">
      <c r="A269" s="221">
        <v>45909.06845365741</v>
      </c>
      <c r="B269" s="214" t="s">
        <v>395</v>
      </c>
      <c r="C269" s="214" t="s">
        <v>99</v>
      </c>
      <c r="D269" s="214">
        <v>1.0</v>
      </c>
      <c r="E269" s="214">
        <v>1.0</v>
      </c>
      <c r="F269" s="214" t="s">
        <v>1095</v>
      </c>
      <c r="G269" s="214" t="s">
        <v>532</v>
      </c>
      <c r="H269" s="214" t="s">
        <v>493</v>
      </c>
      <c r="I269" s="214"/>
      <c r="J269" s="222" t="s">
        <v>67</v>
      </c>
      <c r="K269" s="222">
        <v>6.5</v>
      </c>
      <c r="L269" s="222" t="s">
        <v>67</v>
      </c>
      <c r="M269" s="222">
        <v>57.5</v>
      </c>
      <c r="N269" s="214">
        <v>79.0</v>
      </c>
      <c r="O269" s="214">
        <v>40.0</v>
      </c>
      <c r="P269" s="214">
        <v>2.0</v>
      </c>
      <c r="Q269" s="214" t="b">
        <v>0</v>
      </c>
      <c r="R269" s="214">
        <v>100.0</v>
      </c>
      <c r="S269" s="214" t="s">
        <v>725</v>
      </c>
      <c r="T269" s="214"/>
      <c r="U269" s="214"/>
    </row>
    <row r="270">
      <c r="A270" s="221">
        <v>45909.06845365741</v>
      </c>
      <c r="B270" s="214"/>
      <c r="C270" s="214"/>
      <c r="D270" s="214"/>
      <c r="E270" s="214"/>
      <c r="F270" s="214"/>
      <c r="G270" s="221"/>
      <c r="H270" s="214"/>
      <c r="I270" s="214"/>
      <c r="J270" s="222"/>
      <c r="K270" s="222"/>
      <c r="L270" s="222"/>
      <c r="M270" s="222"/>
      <c r="N270" s="214"/>
      <c r="O270" s="214"/>
      <c r="P270" s="214"/>
      <c r="Q270" s="214"/>
      <c r="R270" s="214"/>
      <c r="S270" s="214"/>
      <c r="T270" s="214"/>
      <c r="U270" s="214"/>
    </row>
    <row r="271">
      <c r="A271" s="221">
        <v>45909.06845365741</v>
      </c>
      <c r="B271" s="214" t="s">
        <v>132</v>
      </c>
      <c r="C271" s="214" t="s">
        <v>210</v>
      </c>
      <c r="D271" s="214">
        <v>2.0</v>
      </c>
      <c r="E271" s="214">
        <v>0.0</v>
      </c>
      <c r="F271" s="214" t="s">
        <v>1096</v>
      </c>
      <c r="G271" s="214" t="s">
        <v>61</v>
      </c>
      <c r="H271" s="214"/>
      <c r="I271" s="214"/>
      <c r="J271" s="222" t="s">
        <v>67</v>
      </c>
      <c r="K271" s="222">
        <v>-9.5</v>
      </c>
      <c r="L271" s="222" t="s">
        <v>67</v>
      </c>
      <c r="M271" s="222">
        <v>47.5</v>
      </c>
      <c r="N271" s="214">
        <v>62.0</v>
      </c>
      <c r="O271" s="214">
        <v>21.0</v>
      </c>
      <c r="P271" s="214">
        <v>2.0</v>
      </c>
      <c r="Q271" s="214" t="b">
        <v>0</v>
      </c>
      <c r="R271" s="214">
        <v>100.0</v>
      </c>
      <c r="S271" s="214" t="s">
        <v>556</v>
      </c>
      <c r="T271" s="214" t="s">
        <v>321</v>
      </c>
      <c r="U271" s="214"/>
    </row>
    <row r="272">
      <c r="A272" s="221">
        <v>45909.06845365741</v>
      </c>
      <c r="B272" s="214" t="s">
        <v>132</v>
      </c>
      <c r="C272" s="214" t="s">
        <v>107</v>
      </c>
      <c r="D272" s="214">
        <v>2.0</v>
      </c>
      <c r="E272" s="214">
        <v>0.0</v>
      </c>
      <c r="F272" s="214" t="s">
        <v>1076</v>
      </c>
      <c r="G272" s="214" t="s">
        <v>61</v>
      </c>
      <c r="H272" s="214" t="s">
        <v>238</v>
      </c>
      <c r="I272" s="214"/>
      <c r="J272" s="222" t="s">
        <v>67</v>
      </c>
      <c r="K272" s="222">
        <v>-10.5</v>
      </c>
      <c r="L272" s="222" t="s">
        <v>67</v>
      </c>
      <c r="M272" s="222">
        <v>50.5</v>
      </c>
      <c r="N272" s="214">
        <v>56.0</v>
      </c>
      <c r="O272" s="214">
        <v>34.0</v>
      </c>
      <c r="P272" s="214">
        <v>2.0</v>
      </c>
      <c r="Q272" s="214" t="b">
        <v>1</v>
      </c>
      <c r="R272" s="214">
        <v>100.0</v>
      </c>
      <c r="S272" s="214" t="s">
        <v>361</v>
      </c>
      <c r="T272" s="214" t="s">
        <v>365</v>
      </c>
      <c r="U272" s="214"/>
    </row>
    <row r="273">
      <c r="A273" s="221">
        <v>45909.06845365741</v>
      </c>
      <c r="B273" s="214" t="s">
        <v>132</v>
      </c>
      <c r="C273" s="214" t="s">
        <v>215</v>
      </c>
      <c r="D273" s="214">
        <v>1.0</v>
      </c>
      <c r="E273" s="214">
        <v>1.0</v>
      </c>
      <c r="F273" s="214" t="s">
        <v>1086</v>
      </c>
      <c r="G273" s="214" t="s">
        <v>61</v>
      </c>
      <c r="H273" s="214" t="s">
        <v>156</v>
      </c>
      <c r="I273" s="214"/>
      <c r="J273" s="222" t="s">
        <v>67</v>
      </c>
      <c r="K273" s="222">
        <v>23.5</v>
      </c>
      <c r="L273" s="222" t="s">
        <v>67</v>
      </c>
      <c r="M273" s="222">
        <v>64.5</v>
      </c>
      <c r="N273" s="214">
        <v>56.0</v>
      </c>
      <c r="O273" s="214">
        <v>80.0</v>
      </c>
      <c r="P273" s="214">
        <v>2.0</v>
      </c>
      <c r="Q273" s="214" t="b">
        <v>0</v>
      </c>
      <c r="R273" s="214">
        <v>100.0</v>
      </c>
      <c r="S273" s="214" t="s">
        <v>441</v>
      </c>
      <c r="T273" s="214" t="s">
        <v>365</v>
      </c>
      <c r="U273" s="214"/>
    </row>
    <row r="274">
      <c r="A274" s="221">
        <v>45909.06845365741</v>
      </c>
      <c r="B274" s="214" t="s">
        <v>132</v>
      </c>
      <c r="C274" s="214" t="s">
        <v>134</v>
      </c>
      <c r="D274" s="214">
        <v>1.0</v>
      </c>
      <c r="E274" s="214">
        <v>1.0</v>
      </c>
      <c r="F274" s="214" t="s">
        <v>1073</v>
      </c>
      <c r="G274" s="214" t="s">
        <v>61</v>
      </c>
      <c r="H274" s="214" t="s">
        <v>96</v>
      </c>
      <c r="I274" s="214"/>
      <c r="J274" s="222" t="s">
        <v>67</v>
      </c>
      <c r="K274" s="222">
        <v>-3.5</v>
      </c>
      <c r="L274" s="222" t="s">
        <v>67</v>
      </c>
      <c r="M274" s="222">
        <v>59.5</v>
      </c>
      <c r="N274" s="214">
        <v>55.0</v>
      </c>
      <c r="O274" s="214">
        <v>20.0</v>
      </c>
      <c r="P274" s="214">
        <v>2.0</v>
      </c>
      <c r="Q274" s="214" t="b">
        <v>1</v>
      </c>
      <c r="R274" s="214">
        <v>100.0</v>
      </c>
      <c r="S274" s="214" t="s">
        <v>471</v>
      </c>
      <c r="T274" s="214" t="s">
        <v>321</v>
      </c>
      <c r="U274" s="214"/>
    </row>
    <row r="275">
      <c r="A275" s="221">
        <v>45909.06845365741</v>
      </c>
      <c r="B275" s="214" t="s">
        <v>132</v>
      </c>
      <c r="C275" s="214" t="s">
        <v>187</v>
      </c>
      <c r="D275" s="214">
        <v>2.0</v>
      </c>
      <c r="E275" s="214">
        <v>0.0</v>
      </c>
      <c r="F275" s="214" t="s">
        <v>1097</v>
      </c>
      <c r="G275" s="214" t="s">
        <v>61</v>
      </c>
      <c r="H275" s="214"/>
      <c r="I275" s="214"/>
      <c r="J275" s="222"/>
      <c r="K275" s="222"/>
      <c r="L275" s="222"/>
      <c r="M275" s="222"/>
      <c r="N275" s="214">
        <v>41.0</v>
      </c>
      <c r="O275" s="214">
        <v>7.0</v>
      </c>
      <c r="P275" s="214">
        <v>2.0</v>
      </c>
      <c r="Q275" s="214" t="b">
        <v>0</v>
      </c>
      <c r="R275" s="214">
        <v>100.0</v>
      </c>
      <c r="S275" s="214" t="s">
        <v>525</v>
      </c>
      <c r="T275" s="214" t="s">
        <v>365</v>
      </c>
      <c r="U275" s="214"/>
    </row>
    <row r="276">
      <c r="A276" s="221">
        <v>45909.06845365741</v>
      </c>
      <c r="B276" s="214" t="s">
        <v>132</v>
      </c>
      <c r="C276" s="214" t="s">
        <v>131</v>
      </c>
      <c r="D276" s="214">
        <v>1.0</v>
      </c>
      <c r="E276" s="214">
        <v>1.0</v>
      </c>
      <c r="F276" s="214" t="s">
        <v>1078</v>
      </c>
      <c r="G276" s="214" t="s">
        <v>61</v>
      </c>
      <c r="H276" s="214" t="s">
        <v>238</v>
      </c>
      <c r="I276" s="214"/>
      <c r="J276" s="222" t="s">
        <v>67</v>
      </c>
      <c r="K276" s="222">
        <v>-36.5</v>
      </c>
      <c r="L276" s="222" t="s">
        <v>67</v>
      </c>
      <c r="M276" s="222">
        <v>52.5</v>
      </c>
      <c r="N276" s="214">
        <v>45.0</v>
      </c>
      <c r="O276" s="214">
        <v>21.0</v>
      </c>
      <c r="P276" s="214">
        <v>2.0</v>
      </c>
      <c r="Q276" s="214" t="b">
        <v>1</v>
      </c>
      <c r="R276" s="214">
        <v>100.0</v>
      </c>
      <c r="S276" s="214" t="s">
        <v>556</v>
      </c>
      <c r="T276" s="214" t="s">
        <v>321</v>
      </c>
      <c r="U276" s="214"/>
    </row>
    <row r="277">
      <c r="A277" s="221">
        <v>45909.06845365741</v>
      </c>
      <c r="B277" s="214" t="s">
        <v>132</v>
      </c>
      <c r="C277" s="214" t="s">
        <v>136</v>
      </c>
      <c r="D277" s="214">
        <v>2.0</v>
      </c>
      <c r="E277" s="214">
        <v>0.0</v>
      </c>
      <c r="F277" s="214" t="s">
        <v>1035</v>
      </c>
      <c r="G277" s="214" t="s">
        <v>61</v>
      </c>
      <c r="H277" s="214" t="s">
        <v>95</v>
      </c>
      <c r="I277" s="214"/>
      <c r="J277" s="222" t="s">
        <v>67</v>
      </c>
      <c r="K277" s="222">
        <v>-35.5</v>
      </c>
      <c r="L277" s="222" t="s">
        <v>67</v>
      </c>
      <c r="M277" s="222">
        <v>52.5</v>
      </c>
      <c r="N277" s="214">
        <v>83.0</v>
      </c>
      <c r="O277" s="214">
        <v>23.0</v>
      </c>
      <c r="P277" s="214">
        <v>2.0</v>
      </c>
      <c r="Q277" s="214" t="b">
        <v>1</v>
      </c>
      <c r="R277" s="214">
        <v>100.0</v>
      </c>
      <c r="S277" s="214" t="s">
        <v>407</v>
      </c>
      <c r="T277" s="214" t="s">
        <v>321</v>
      </c>
      <c r="U277" s="214"/>
    </row>
    <row r="278">
      <c r="A278" s="221">
        <v>45909.06845365741</v>
      </c>
      <c r="B278" s="214" t="s">
        <v>132</v>
      </c>
      <c r="C278" s="214" t="s">
        <v>168</v>
      </c>
      <c r="D278" s="214">
        <v>1.0</v>
      </c>
      <c r="E278" s="214">
        <v>1.0</v>
      </c>
      <c r="F278" s="214" t="s">
        <v>1079</v>
      </c>
      <c r="G278" s="214" t="s">
        <v>61</v>
      </c>
      <c r="H278" s="214" t="s">
        <v>238</v>
      </c>
      <c r="I278" s="214"/>
      <c r="J278" s="222" t="s">
        <v>67</v>
      </c>
      <c r="K278" s="222">
        <v>21.5</v>
      </c>
      <c r="L278" s="222" t="s">
        <v>67</v>
      </c>
      <c r="M278" s="222">
        <v>49.5</v>
      </c>
      <c r="N278" s="214">
        <v>33.0</v>
      </c>
      <c r="O278" s="214">
        <v>59.0</v>
      </c>
      <c r="P278" s="214">
        <v>2.0</v>
      </c>
      <c r="Q278" s="214" t="b">
        <v>0</v>
      </c>
      <c r="R278" s="214">
        <v>100.0</v>
      </c>
      <c r="S278" s="214" t="s">
        <v>530</v>
      </c>
      <c r="T278" s="214" t="s">
        <v>365</v>
      </c>
      <c r="U278" s="214"/>
    </row>
    <row r="279">
      <c r="A279" s="221">
        <v>45909.06845365741</v>
      </c>
      <c r="B279" s="214" t="s">
        <v>132</v>
      </c>
      <c r="C279" s="214" t="s">
        <v>545</v>
      </c>
      <c r="D279" s="214">
        <v>1.0</v>
      </c>
      <c r="E279" s="214">
        <v>1.0</v>
      </c>
      <c r="F279" s="214" t="s">
        <v>1028</v>
      </c>
      <c r="G279" s="214" t="s">
        <v>61</v>
      </c>
      <c r="H279" s="214" t="s">
        <v>43</v>
      </c>
      <c r="I279" s="214"/>
      <c r="J279" s="222" t="s">
        <v>67</v>
      </c>
      <c r="K279" s="222">
        <v>41.5</v>
      </c>
      <c r="L279" s="222" t="s">
        <v>67</v>
      </c>
      <c r="M279" s="222">
        <v>53.5</v>
      </c>
      <c r="N279" s="214">
        <v>42.0</v>
      </c>
      <c r="O279" s="214">
        <v>43.0</v>
      </c>
      <c r="P279" s="214">
        <v>2.0</v>
      </c>
      <c r="Q279" s="214" t="b">
        <v>0</v>
      </c>
      <c r="R279" s="214">
        <v>100.0</v>
      </c>
      <c r="S279" s="214" t="s">
        <v>535</v>
      </c>
      <c r="T279" s="214" t="s">
        <v>365</v>
      </c>
      <c r="U279" s="214"/>
    </row>
    <row r="280">
      <c r="A280" s="221">
        <v>45909.06845365741</v>
      </c>
      <c r="B280" s="214" t="s">
        <v>132</v>
      </c>
      <c r="C280" s="214" t="s">
        <v>115</v>
      </c>
      <c r="D280" s="214">
        <v>2.0</v>
      </c>
      <c r="E280" s="214">
        <v>0.0</v>
      </c>
      <c r="F280" s="214" t="s">
        <v>1094</v>
      </c>
      <c r="G280" s="214" t="s">
        <v>61</v>
      </c>
      <c r="H280" s="214" t="s">
        <v>395</v>
      </c>
      <c r="I280" s="214"/>
      <c r="J280" s="222" t="s">
        <v>67</v>
      </c>
      <c r="K280" s="222">
        <v>-14.5</v>
      </c>
      <c r="L280" s="222" t="s">
        <v>67</v>
      </c>
      <c r="M280" s="222">
        <v>55.5</v>
      </c>
      <c r="N280" s="214">
        <v>79.0</v>
      </c>
      <c r="O280" s="214">
        <v>31.0</v>
      </c>
      <c r="P280" s="214">
        <v>2.0</v>
      </c>
      <c r="Q280" s="214" t="b">
        <v>1</v>
      </c>
      <c r="R280" s="214">
        <v>100.0</v>
      </c>
      <c r="S280" s="214" t="s">
        <v>317</v>
      </c>
      <c r="T280" s="214" t="s">
        <v>321</v>
      </c>
      <c r="U280" s="214"/>
    </row>
    <row r="281">
      <c r="A281" s="221">
        <v>45909.06845365741</v>
      </c>
      <c r="B281" s="214"/>
      <c r="C281" s="214"/>
      <c r="D281" s="214"/>
      <c r="E281" s="214"/>
      <c r="F281" s="214"/>
      <c r="G281" s="221"/>
      <c r="H281" s="214"/>
      <c r="I281" s="214"/>
      <c r="J281" s="222"/>
      <c r="K281" s="222"/>
      <c r="L281" s="222"/>
      <c r="M281" s="222"/>
      <c r="N281" s="214"/>
      <c r="O281" s="214"/>
      <c r="P281" s="214"/>
      <c r="Q281" s="214"/>
      <c r="R281" s="214"/>
      <c r="S281" s="214"/>
      <c r="T281" s="214"/>
      <c r="U281" s="214"/>
    </row>
    <row r="282">
      <c r="A282" s="221">
        <v>45909.06845365741</v>
      </c>
      <c r="B282" s="214" t="s">
        <v>493</v>
      </c>
      <c r="C282" s="214" t="s">
        <v>195</v>
      </c>
      <c r="D282" s="214">
        <v>0.0</v>
      </c>
      <c r="E282" s="214">
        <v>2.0</v>
      </c>
      <c r="F282" s="214" t="s">
        <v>1065</v>
      </c>
      <c r="G282" s="214" t="s">
        <v>61</v>
      </c>
      <c r="H282" s="214" t="s">
        <v>224</v>
      </c>
      <c r="I282" s="214"/>
      <c r="J282" s="222" t="s">
        <v>67</v>
      </c>
      <c r="K282" s="222">
        <v>20.5</v>
      </c>
      <c r="L282" s="222" t="s">
        <v>67</v>
      </c>
      <c r="M282" s="222">
        <v>45.5</v>
      </c>
      <c r="N282" s="214">
        <v>23.0</v>
      </c>
      <c r="O282" s="214">
        <v>50.0</v>
      </c>
      <c r="P282" s="214">
        <v>2.0</v>
      </c>
      <c r="Q282" s="214" t="b">
        <v>0</v>
      </c>
      <c r="R282" s="214">
        <v>100.0</v>
      </c>
      <c r="S282" s="214" t="s">
        <v>317</v>
      </c>
      <c r="T282" s="214" t="s">
        <v>321</v>
      </c>
      <c r="U282" s="214"/>
    </row>
    <row r="283">
      <c r="A283" s="221">
        <v>45909.06845365741</v>
      </c>
      <c r="B283" s="214" t="s">
        <v>493</v>
      </c>
      <c r="C283" s="214" t="s">
        <v>108</v>
      </c>
      <c r="D283" s="214">
        <v>1.0</v>
      </c>
      <c r="E283" s="214">
        <v>1.0</v>
      </c>
      <c r="F283" s="214" t="s">
        <v>1021</v>
      </c>
      <c r="G283" s="214" t="s">
        <v>61</v>
      </c>
      <c r="H283" s="214" t="s">
        <v>43</v>
      </c>
      <c r="I283" s="214"/>
      <c r="J283" s="222" t="s">
        <v>67</v>
      </c>
      <c r="K283" s="222">
        <v>-4.5</v>
      </c>
      <c r="L283" s="222" t="s">
        <v>67</v>
      </c>
      <c r="M283" s="222">
        <v>52.5</v>
      </c>
      <c r="N283" s="214">
        <v>49.0</v>
      </c>
      <c r="O283" s="214">
        <v>28.0</v>
      </c>
      <c r="P283" s="214">
        <v>2.0</v>
      </c>
      <c r="Q283" s="214" t="b">
        <v>1</v>
      </c>
      <c r="R283" s="214">
        <v>100.0</v>
      </c>
      <c r="S283" s="214" t="s">
        <v>361</v>
      </c>
      <c r="T283" s="214" t="s">
        <v>365</v>
      </c>
      <c r="U283" s="214"/>
    </row>
    <row r="284">
      <c r="A284" s="221">
        <v>45909.06845365741</v>
      </c>
      <c r="B284" s="214" t="s">
        <v>493</v>
      </c>
      <c r="C284" s="214" t="s">
        <v>146</v>
      </c>
      <c r="D284" s="214">
        <v>2.0</v>
      </c>
      <c r="E284" s="214">
        <v>0.0</v>
      </c>
      <c r="F284" s="214" t="s">
        <v>1098</v>
      </c>
      <c r="G284" s="214" t="s">
        <v>61</v>
      </c>
      <c r="H284" s="214"/>
      <c r="I284" s="214"/>
      <c r="J284" s="222"/>
      <c r="K284" s="222"/>
      <c r="L284" s="222"/>
      <c r="M284" s="222"/>
      <c r="N284" s="214">
        <v>65.0</v>
      </c>
      <c r="O284" s="214">
        <v>17.0</v>
      </c>
      <c r="P284" s="214">
        <v>2.0</v>
      </c>
      <c r="Q284" s="214" t="b">
        <v>0</v>
      </c>
      <c r="R284" s="214">
        <v>100.0</v>
      </c>
      <c r="S284" s="214" t="s">
        <v>407</v>
      </c>
      <c r="T284" s="214" t="s">
        <v>321</v>
      </c>
      <c r="U284" s="214"/>
    </row>
    <row r="285">
      <c r="A285" s="221">
        <v>45909.06845365741</v>
      </c>
      <c r="B285" s="214" t="s">
        <v>493</v>
      </c>
      <c r="C285" s="214" t="s">
        <v>123</v>
      </c>
      <c r="D285" s="214">
        <v>2.0</v>
      </c>
      <c r="E285" s="214">
        <v>0.0</v>
      </c>
      <c r="F285" s="214" t="s">
        <v>1099</v>
      </c>
      <c r="G285" s="214" t="s">
        <v>61</v>
      </c>
      <c r="H285" s="214"/>
      <c r="I285" s="214"/>
      <c r="J285" s="222"/>
      <c r="K285" s="222"/>
      <c r="L285" s="222"/>
      <c r="M285" s="222"/>
      <c r="N285" s="214">
        <v>52.0</v>
      </c>
      <c r="O285" s="214">
        <v>19.0</v>
      </c>
      <c r="P285" s="214">
        <v>2.0</v>
      </c>
      <c r="Q285" s="214" t="b">
        <v>0</v>
      </c>
      <c r="R285" s="214">
        <v>100.0</v>
      </c>
      <c r="S285" s="214" t="s">
        <v>317</v>
      </c>
      <c r="T285" s="214" t="s">
        <v>321</v>
      </c>
      <c r="U285" s="214"/>
    </row>
    <row r="286">
      <c r="A286" s="221">
        <v>45909.06845365741</v>
      </c>
      <c r="B286" s="214" t="s">
        <v>493</v>
      </c>
      <c r="C286" s="214" t="s">
        <v>106</v>
      </c>
      <c r="D286" s="214">
        <v>2.0</v>
      </c>
      <c r="E286" s="214">
        <v>0.0</v>
      </c>
      <c r="F286" s="214" t="s">
        <v>1100</v>
      </c>
      <c r="G286" s="214" t="s">
        <v>61</v>
      </c>
      <c r="H286" s="214"/>
      <c r="I286" s="214"/>
      <c r="J286" s="222"/>
      <c r="K286" s="222"/>
      <c r="L286" s="222"/>
      <c r="M286" s="222"/>
      <c r="N286" s="214">
        <v>97.0</v>
      </c>
      <c r="O286" s="214">
        <v>17.0</v>
      </c>
      <c r="P286" s="214">
        <v>2.0</v>
      </c>
      <c r="Q286" s="214" t="b">
        <v>0</v>
      </c>
      <c r="R286" s="214">
        <v>100.0</v>
      </c>
      <c r="S286" s="214" t="s">
        <v>361</v>
      </c>
      <c r="T286" s="214" t="s">
        <v>365</v>
      </c>
      <c r="U286" s="214"/>
    </row>
    <row r="287">
      <c r="A287" s="221">
        <v>45909.06845365741</v>
      </c>
      <c r="B287" s="214" t="s">
        <v>493</v>
      </c>
      <c r="C287" s="214" t="s">
        <v>138</v>
      </c>
      <c r="D287" s="214">
        <v>2.0</v>
      </c>
      <c r="E287" s="214">
        <v>0.0</v>
      </c>
      <c r="F287" s="214" t="s">
        <v>1064</v>
      </c>
      <c r="G287" s="214" t="s">
        <v>61</v>
      </c>
      <c r="H287" s="214" t="s">
        <v>311</v>
      </c>
      <c r="I287" s="214"/>
      <c r="J287" s="222" t="s">
        <v>67</v>
      </c>
      <c r="K287" s="222">
        <v>-16.5</v>
      </c>
      <c r="L287" s="222" t="s">
        <v>67</v>
      </c>
      <c r="M287" s="222">
        <v>46.5</v>
      </c>
      <c r="N287" s="214">
        <v>59.0</v>
      </c>
      <c r="O287" s="214">
        <v>16.0</v>
      </c>
      <c r="P287" s="214">
        <v>2.0</v>
      </c>
      <c r="Q287" s="214" t="b">
        <v>1</v>
      </c>
      <c r="R287" s="214">
        <v>100.0</v>
      </c>
      <c r="S287" s="214" t="s">
        <v>407</v>
      </c>
      <c r="T287" s="214" t="s">
        <v>321</v>
      </c>
      <c r="U287" s="214"/>
    </row>
    <row r="288">
      <c r="A288" s="221">
        <v>45909.06845365741</v>
      </c>
      <c r="B288" s="214" t="s">
        <v>493</v>
      </c>
      <c r="C288" s="214" t="s">
        <v>143</v>
      </c>
      <c r="D288" s="214">
        <v>1.0</v>
      </c>
      <c r="E288" s="214">
        <v>1.0</v>
      </c>
      <c r="F288" s="214" t="s">
        <v>1101</v>
      </c>
      <c r="G288" s="214" t="s">
        <v>61</v>
      </c>
      <c r="H288" s="214"/>
      <c r="I288" s="214"/>
      <c r="J288" s="222" t="s">
        <v>67</v>
      </c>
      <c r="K288" s="222">
        <v>-28.5</v>
      </c>
      <c r="L288" s="222" t="s">
        <v>67</v>
      </c>
      <c r="M288" s="222">
        <v>51.5</v>
      </c>
      <c r="N288" s="214">
        <v>45.0</v>
      </c>
      <c r="O288" s="214">
        <v>30.0</v>
      </c>
      <c r="P288" s="214">
        <v>2.0</v>
      </c>
      <c r="Q288" s="214" t="b">
        <v>0</v>
      </c>
      <c r="R288" s="214">
        <v>100.0</v>
      </c>
      <c r="S288" s="214" t="s">
        <v>407</v>
      </c>
      <c r="T288" s="214" t="s">
        <v>321</v>
      </c>
      <c r="U288" s="214"/>
    </row>
    <row r="289">
      <c r="A289" s="221">
        <v>45909.06845365741</v>
      </c>
      <c r="B289" s="214" t="s">
        <v>493</v>
      </c>
      <c r="C289" s="214" t="s">
        <v>188</v>
      </c>
      <c r="D289" s="214">
        <v>2.0</v>
      </c>
      <c r="E289" s="214">
        <v>0.0</v>
      </c>
      <c r="F289" s="214" t="s">
        <v>1102</v>
      </c>
      <c r="G289" s="214" t="s">
        <v>61</v>
      </c>
      <c r="H289" s="214"/>
      <c r="I289" s="214"/>
      <c r="J289" s="222"/>
      <c r="K289" s="222"/>
      <c r="L289" s="222"/>
      <c r="M289" s="222"/>
      <c r="N289" s="214">
        <v>88.0</v>
      </c>
      <c r="O289" s="214">
        <v>9.0</v>
      </c>
      <c r="P289" s="214">
        <v>2.0</v>
      </c>
      <c r="Q289" s="214" t="b">
        <v>0</v>
      </c>
      <c r="R289" s="214">
        <v>100.0</v>
      </c>
      <c r="S289" s="214" t="s">
        <v>471</v>
      </c>
      <c r="T289" s="214" t="s">
        <v>321</v>
      </c>
      <c r="U289" s="214"/>
    </row>
    <row r="290">
      <c r="A290" s="221">
        <v>45909.06845365741</v>
      </c>
      <c r="B290" s="214" t="s">
        <v>493</v>
      </c>
      <c r="C290" s="214" t="s">
        <v>110</v>
      </c>
      <c r="D290" s="214">
        <v>1.0</v>
      </c>
      <c r="E290" s="214">
        <v>1.0</v>
      </c>
      <c r="F290" s="214" t="s">
        <v>1070</v>
      </c>
      <c r="G290" s="214" t="s">
        <v>597</v>
      </c>
      <c r="H290" s="214" t="s">
        <v>224</v>
      </c>
      <c r="I290" s="214"/>
      <c r="J290" s="222" t="s">
        <v>67</v>
      </c>
      <c r="K290" s="222">
        <v>4.5</v>
      </c>
      <c r="L290" s="222" t="s">
        <v>67</v>
      </c>
      <c r="M290" s="222">
        <v>45.5</v>
      </c>
      <c r="N290" s="214">
        <v>106.0</v>
      </c>
      <c r="O290" s="214">
        <v>52.0</v>
      </c>
      <c r="P290" s="214">
        <v>2.0</v>
      </c>
      <c r="Q290" s="214" t="b">
        <v>0</v>
      </c>
      <c r="R290" s="214">
        <v>100.0</v>
      </c>
      <c r="S290" s="214" t="s">
        <v>317</v>
      </c>
      <c r="T290" s="214" t="s">
        <v>321</v>
      </c>
      <c r="U290" s="214"/>
    </row>
    <row r="291">
      <c r="A291" s="221">
        <v>45909.06845365741</v>
      </c>
      <c r="B291" s="214" t="s">
        <v>493</v>
      </c>
      <c r="C291" s="214" t="s">
        <v>120</v>
      </c>
      <c r="D291" s="214">
        <v>1.0</v>
      </c>
      <c r="E291" s="214">
        <v>1.0</v>
      </c>
      <c r="F291" s="214" t="s">
        <v>1095</v>
      </c>
      <c r="G291" s="214" t="s">
        <v>532</v>
      </c>
      <c r="H291" s="214" t="s">
        <v>395</v>
      </c>
      <c r="I291" s="214"/>
      <c r="J291" s="222" t="s">
        <v>67</v>
      </c>
      <c r="K291" s="222">
        <v>-6.5</v>
      </c>
      <c r="L291" s="222" t="s">
        <v>67</v>
      </c>
      <c r="M291" s="222">
        <v>57.5</v>
      </c>
      <c r="N291" s="214">
        <v>53.0</v>
      </c>
      <c r="O291" s="214">
        <v>65.0</v>
      </c>
      <c r="P291" s="214">
        <v>2.0</v>
      </c>
      <c r="Q291" s="214" t="b">
        <v>1</v>
      </c>
      <c r="R291" s="214">
        <v>100.0</v>
      </c>
      <c r="S291" s="214" t="s">
        <v>317</v>
      </c>
      <c r="T291" s="214" t="s">
        <v>321</v>
      </c>
      <c r="U291" s="214"/>
    </row>
    <row r="292">
      <c r="A292" s="221">
        <v>45909.06845365741</v>
      </c>
      <c r="B292" s="214"/>
      <c r="C292" s="214"/>
      <c r="D292" s="214"/>
      <c r="E292" s="214"/>
      <c r="F292" s="214"/>
      <c r="G292" s="221"/>
      <c r="H292" s="214"/>
      <c r="I292" s="214"/>
      <c r="J292" s="222"/>
      <c r="K292" s="222"/>
      <c r="L292" s="222"/>
      <c r="M292" s="222"/>
      <c r="N292" s="214"/>
      <c r="O292" s="214"/>
      <c r="P292" s="214"/>
      <c r="Q292" s="214"/>
      <c r="R292" s="214"/>
      <c r="S292" s="214"/>
      <c r="T292" s="214"/>
      <c r="U292" s="214"/>
    </row>
    <row r="293">
      <c r="A293" s="221">
        <v>45909.06845365741</v>
      </c>
      <c r="B293" s="214" t="s">
        <v>493</v>
      </c>
      <c r="C293" s="214" t="s">
        <v>200</v>
      </c>
      <c r="D293" s="214">
        <v>2.0</v>
      </c>
      <c r="E293" s="214">
        <v>0.0</v>
      </c>
      <c r="F293" s="214" t="s">
        <v>1090</v>
      </c>
      <c r="G293" s="214" t="s">
        <v>61</v>
      </c>
      <c r="H293" s="214" t="s">
        <v>249</v>
      </c>
      <c r="I293" s="214"/>
      <c r="J293" s="222" t="s">
        <v>67</v>
      </c>
      <c r="K293" s="222">
        <v>-1.5</v>
      </c>
      <c r="L293" s="222" t="s">
        <v>67</v>
      </c>
      <c r="M293" s="222">
        <v>46.5</v>
      </c>
      <c r="N293" s="214">
        <v>49.0</v>
      </c>
      <c r="O293" s="214">
        <v>23.0</v>
      </c>
      <c r="P293" s="214">
        <v>2.0</v>
      </c>
      <c r="Q293" s="214" t="b">
        <v>1</v>
      </c>
      <c r="R293" s="214">
        <v>100.0</v>
      </c>
      <c r="S293" s="214" t="s">
        <v>680</v>
      </c>
      <c r="T293" s="214" t="s">
        <v>365</v>
      </c>
      <c r="U293" s="214"/>
    </row>
    <row r="294">
      <c r="A294" s="221">
        <v>45909.06845365741</v>
      </c>
      <c r="B294" s="214" t="s">
        <v>493</v>
      </c>
      <c r="C294" s="214" t="s">
        <v>219</v>
      </c>
      <c r="D294" s="214">
        <v>1.0</v>
      </c>
      <c r="E294" s="214">
        <v>1.0</v>
      </c>
      <c r="F294" s="214" t="s">
        <v>1040</v>
      </c>
      <c r="G294" s="214" t="s">
        <v>61</v>
      </c>
      <c r="H294" s="214" t="s">
        <v>62</v>
      </c>
      <c r="I294" s="214"/>
      <c r="J294" s="222" t="s">
        <v>67</v>
      </c>
      <c r="K294" s="222">
        <v>34.5</v>
      </c>
      <c r="L294" s="222" t="s">
        <v>67</v>
      </c>
      <c r="M294" s="222">
        <v>49.5</v>
      </c>
      <c r="N294" s="214">
        <v>29.0</v>
      </c>
      <c r="O294" s="214">
        <v>73.0</v>
      </c>
      <c r="P294" s="214">
        <v>2.0</v>
      </c>
      <c r="Q294" s="214" t="b">
        <v>1</v>
      </c>
      <c r="R294" s="214">
        <v>100.0</v>
      </c>
      <c r="S294" s="214" t="s">
        <v>441</v>
      </c>
      <c r="T294" s="214" t="s">
        <v>365</v>
      </c>
      <c r="U294" s="214"/>
    </row>
    <row r="295">
      <c r="A295" s="221">
        <v>45909.06845365741</v>
      </c>
      <c r="B295" s="214" t="s">
        <v>493</v>
      </c>
      <c r="C295" s="214" t="s">
        <v>207</v>
      </c>
      <c r="D295" s="214">
        <v>2.0</v>
      </c>
      <c r="E295" s="214">
        <v>0.0</v>
      </c>
      <c r="F295" s="214" t="s">
        <v>1022</v>
      </c>
      <c r="G295" s="214" t="s">
        <v>61</v>
      </c>
      <c r="H295" s="214" t="s">
        <v>43</v>
      </c>
      <c r="I295" s="214"/>
      <c r="J295" s="222" t="s">
        <v>67</v>
      </c>
      <c r="K295" s="222">
        <v>6.5</v>
      </c>
      <c r="L295" s="222" t="s">
        <v>67</v>
      </c>
      <c r="M295" s="222">
        <v>58.5</v>
      </c>
      <c r="N295" s="214">
        <v>58.0</v>
      </c>
      <c r="O295" s="214">
        <v>37.0</v>
      </c>
      <c r="P295" s="214">
        <v>2.0</v>
      </c>
      <c r="Q295" s="214" t="b">
        <v>0</v>
      </c>
      <c r="R295" s="214">
        <v>100.0</v>
      </c>
      <c r="S295" s="214" t="s">
        <v>556</v>
      </c>
      <c r="T295" s="214" t="s">
        <v>321</v>
      </c>
      <c r="U295" s="214"/>
    </row>
    <row r="296">
      <c r="A296" s="221">
        <v>45909.06845365741</v>
      </c>
      <c r="B296" s="214" t="s">
        <v>493</v>
      </c>
      <c r="C296" s="214" t="s">
        <v>546</v>
      </c>
      <c r="D296" s="214">
        <v>1.0</v>
      </c>
      <c r="E296" s="214">
        <v>1.0</v>
      </c>
      <c r="F296" s="214" t="s">
        <v>1103</v>
      </c>
      <c r="G296" s="214" t="s">
        <v>61</v>
      </c>
      <c r="H296" s="214"/>
      <c r="I296" s="214"/>
      <c r="J296" s="222"/>
      <c r="K296" s="222"/>
      <c r="L296" s="222"/>
      <c r="M296" s="222"/>
      <c r="N296" s="214">
        <v>55.0</v>
      </c>
      <c r="O296" s="214">
        <v>54.0</v>
      </c>
      <c r="P296" s="214">
        <v>2.0</v>
      </c>
      <c r="Q296" s="214" t="b">
        <v>0</v>
      </c>
      <c r="R296" s="214">
        <v>100.0</v>
      </c>
      <c r="S296" s="214" t="s">
        <v>441</v>
      </c>
      <c r="T296" s="214" t="s">
        <v>365</v>
      </c>
      <c r="U296" s="214"/>
    </row>
    <row r="297">
      <c r="A297" s="221">
        <v>45909.06845365741</v>
      </c>
      <c r="B297" s="214" t="s">
        <v>493</v>
      </c>
      <c r="C297" s="214" t="s">
        <v>205</v>
      </c>
      <c r="D297" s="214">
        <v>1.0</v>
      </c>
      <c r="E297" s="214">
        <v>1.0</v>
      </c>
      <c r="F297" s="214" t="s">
        <v>1091</v>
      </c>
      <c r="G297" s="214" t="s">
        <v>61</v>
      </c>
      <c r="H297" s="214" t="s">
        <v>249</v>
      </c>
      <c r="I297" s="214"/>
      <c r="J297" s="222" t="s">
        <v>67</v>
      </c>
      <c r="K297" s="222">
        <v>8.5</v>
      </c>
      <c r="L297" s="222" t="s">
        <v>67</v>
      </c>
      <c r="M297" s="222">
        <v>50.5</v>
      </c>
      <c r="N297" s="214">
        <v>47.0</v>
      </c>
      <c r="O297" s="214">
        <v>46.0</v>
      </c>
      <c r="P297" s="214">
        <v>2.0</v>
      </c>
      <c r="Q297" s="214" t="b">
        <v>0</v>
      </c>
      <c r="R297" s="214">
        <v>100.0</v>
      </c>
      <c r="S297" s="214" t="s">
        <v>556</v>
      </c>
      <c r="T297" s="214" t="s">
        <v>321</v>
      </c>
      <c r="U297" s="214"/>
    </row>
    <row r="298">
      <c r="A298" s="221">
        <v>45916.06849857639</v>
      </c>
      <c r="B298" s="214" t="s">
        <v>43</v>
      </c>
      <c r="C298" s="214" t="s">
        <v>189</v>
      </c>
      <c r="D298" s="214">
        <v>2.0</v>
      </c>
      <c r="E298" s="214">
        <v>1.0</v>
      </c>
      <c r="F298" s="214" t="s">
        <v>1104</v>
      </c>
      <c r="G298" s="214" t="s">
        <v>61</v>
      </c>
      <c r="H298" s="214" t="s">
        <v>95</v>
      </c>
      <c r="I298" s="214"/>
      <c r="J298" s="222" t="s">
        <v>67</v>
      </c>
      <c r="K298" s="222">
        <v>-17.5</v>
      </c>
      <c r="L298" s="222" t="s">
        <v>67</v>
      </c>
      <c r="M298" s="222">
        <v>60.5</v>
      </c>
      <c r="N298" s="214">
        <v>92.0</v>
      </c>
      <c r="O298" s="214">
        <v>58.0</v>
      </c>
      <c r="P298" s="214">
        <v>2.0</v>
      </c>
      <c r="Q298" s="214" t="b">
        <v>0</v>
      </c>
      <c r="R298" s="214">
        <v>100.0</v>
      </c>
      <c r="S298" s="214" t="s">
        <v>471</v>
      </c>
      <c r="T298" s="214" t="s">
        <v>321</v>
      </c>
      <c r="U298" s="214"/>
    </row>
    <row r="299">
      <c r="A299" s="221">
        <v>45916.06849857639</v>
      </c>
      <c r="B299" s="214" t="s">
        <v>43</v>
      </c>
      <c r="C299" s="214" t="s">
        <v>176</v>
      </c>
      <c r="D299" s="214">
        <v>1.0</v>
      </c>
      <c r="E299" s="214">
        <v>1.0</v>
      </c>
      <c r="F299" s="214" t="s">
        <v>1105</v>
      </c>
      <c r="G299" s="214" t="s">
        <v>61</v>
      </c>
      <c r="H299" s="214" t="s">
        <v>311</v>
      </c>
      <c r="I299" s="214"/>
      <c r="J299" s="222" t="s">
        <v>67</v>
      </c>
      <c r="K299" s="222">
        <v>-4.5</v>
      </c>
      <c r="L299" s="222" t="s">
        <v>67</v>
      </c>
      <c r="M299" s="222">
        <v>51.5</v>
      </c>
      <c r="N299" s="214">
        <v>79.0</v>
      </c>
      <c r="O299" s="214">
        <v>62.0</v>
      </c>
      <c r="P299" s="214">
        <v>2.0</v>
      </c>
      <c r="Q299" s="214" t="b">
        <v>0</v>
      </c>
      <c r="R299" s="214">
        <v>100.0</v>
      </c>
      <c r="S299" s="214" t="s">
        <v>525</v>
      </c>
      <c r="T299" s="214" t="s">
        <v>365</v>
      </c>
      <c r="U299" s="214"/>
    </row>
    <row r="300">
      <c r="A300" s="221">
        <v>45916.06849857639</v>
      </c>
      <c r="B300" s="214" t="s">
        <v>43</v>
      </c>
      <c r="C300" s="214" t="s">
        <v>228</v>
      </c>
      <c r="D300" s="214">
        <v>2.0</v>
      </c>
      <c r="E300" s="214">
        <v>1.0</v>
      </c>
      <c r="F300" s="214" t="s">
        <v>1106</v>
      </c>
      <c r="G300" s="214" t="s">
        <v>61</v>
      </c>
      <c r="H300" s="214" t="s">
        <v>249</v>
      </c>
      <c r="I300" s="214"/>
      <c r="J300" s="222" t="s">
        <v>67</v>
      </c>
      <c r="K300" s="222">
        <v>10.0</v>
      </c>
      <c r="L300" s="222" t="s">
        <v>67</v>
      </c>
      <c r="M300" s="222">
        <v>43.5</v>
      </c>
      <c r="N300" s="214">
        <v>54.0</v>
      </c>
      <c r="O300" s="214">
        <v>66.0</v>
      </c>
      <c r="P300" s="214">
        <v>2.0</v>
      </c>
      <c r="Q300" s="214" t="b">
        <v>0</v>
      </c>
      <c r="R300" s="214">
        <v>100.0</v>
      </c>
      <c r="S300" s="214" t="s">
        <v>535</v>
      </c>
      <c r="T300" s="214" t="s">
        <v>365</v>
      </c>
      <c r="U300" s="214"/>
    </row>
    <row r="301">
      <c r="A301" s="221">
        <v>45916.06849857639</v>
      </c>
      <c r="B301" s="214" t="s">
        <v>43</v>
      </c>
      <c r="C301" s="214" t="s">
        <v>527</v>
      </c>
      <c r="D301" s="214">
        <v>0.0</v>
      </c>
      <c r="E301" s="214">
        <v>3.0</v>
      </c>
      <c r="F301" s="214" t="s">
        <v>1107</v>
      </c>
      <c r="G301" s="214" t="s">
        <v>61</v>
      </c>
      <c r="H301" s="214" t="s">
        <v>249</v>
      </c>
      <c r="I301" s="214"/>
      <c r="J301" s="222" t="s">
        <v>67</v>
      </c>
      <c r="K301" s="222">
        <v>35.5</v>
      </c>
      <c r="L301" s="222" t="s">
        <v>67</v>
      </c>
      <c r="M301" s="222">
        <v>43.5</v>
      </c>
      <c r="N301" s="214">
        <v>43.0</v>
      </c>
      <c r="O301" s="214">
        <v>116.0</v>
      </c>
      <c r="P301" s="214">
        <v>2.0</v>
      </c>
      <c r="Q301" s="214" t="b">
        <v>0</v>
      </c>
      <c r="R301" s="214">
        <v>100.0</v>
      </c>
      <c r="S301" s="214" t="s">
        <v>530</v>
      </c>
      <c r="T301" s="214" t="s">
        <v>365</v>
      </c>
      <c r="U301" s="214"/>
    </row>
    <row r="302">
      <c r="A302" s="221">
        <v>45916.06849857639</v>
      </c>
      <c r="B302" s="214" t="s">
        <v>43</v>
      </c>
      <c r="C302" s="214" t="s">
        <v>157</v>
      </c>
      <c r="D302" s="214">
        <v>2.0</v>
      </c>
      <c r="E302" s="214">
        <v>1.0</v>
      </c>
      <c r="F302" s="214" t="s">
        <v>1108</v>
      </c>
      <c r="G302" s="214" t="s">
        <v>61</v>
      </c>
      <c r="H302" s="214"/>
      <c r="I302" s="214"/>
      <c r="J302" s="222"/>
      <c r="K302" s="222"/>
      <c r="L302" s="222"/>
      <c r="M302" s="222"/>
      <c r="N302" s="214">
        <v>61.0</v>
      </c>
      <c r="O302" s="214">
        <v>64.0</v>
      </c>
      <c r="P302" s="214">
        <v>2.0</v>
      </c>
      <c r="Q302" s="214" t="b">
        <v>0</v>
      </c>
      <c r="R302" s="214">
        <v>100.0</v>
      </c>
      <c r="S302" s="214" t="s">
        <v>361</v>
      </c>
      <c r="T302" s="214" t="s">
        <v>365</v>
      </c>
      <c r="U302" s="214"/>
    </row>
    <row r="303">
      <c r="A303" s="221">
        <v>45916.06849857639</v>
      </c>
      <c r="B303" s="214" t="s">
        <v>43</v>
      </c>
      <c r="C303" s="214" t="s">
        <v>422</v>
      </c>
      <c r="D303" s="214">
        <v>2.0</v>
      </c>
      <c r="E303" s="214">
        <v>1.0</v>
      </c>
      <c r="F303" s="214" t="s">
        <v>1109</v>
      </c>
      <c r="G303" s="214" t="s">
        <v>61</v>
      </c>
      <c r="H303" s="214" t="s">
        <v>493</v>
      </c>
      <c r="I303" s="214"/>
      <c r="J303" s="222" t="s">
        <v>67</v>
      </c>
      <c r="K303" s="222">
        <v>-4.0</v>
      </c>
      <c r="L303" s="222" t="s">
        <v>67</v>
      </c>
      <c r="M303" s="222">
        <v>56.5</v>
      </c>
      <c r="N303" s="214">
        <v>76.0</v>
      </c>
      <c r="O303" s="214">
        <v>62.0</v>
      </c>
      <c r="P303" s="214">
        <v>2.0</v>
      </c>
      <c r="Q303" s="214" t="b">
        <v>1</v>
      </c>
      <c r="R303" s="214">
        <v>100.0</v>
      </c>
      <c r="S303" s="214" t="s">
        <v>441</v>
      </c>
      <c r="T303" s="214" t="s">
        <v>365</v>
      </c>
      <c r="U303" s="214"/>
    </row>
    <row r="304">
      <c r="A304" s="221">
        <v>45916.06849857639</v>
      </c>
      <c r="B304" s="214" t="s">
        <v>43</v>
      </c>
      <c r="C304" s="214" t="s">
        <v>133</v>
      </c>
      <c r="D304" s="214">
        <v>3.0</v>
      </c>
      <c r="E304" s="214">
        <v>0.0</v>
      </c>
      <c r="F304" s="214" t="s">
        <v>1110</v>
      </c>
      <c r="G304" s="214" t="s">
        <v>61</v>
      </c>
      <c r="H304" s="214" t="s">
        <v>193</v>
      </c>
      <c r="I304" s="214"/>
      <c r="J304" s="222" t="s">
        <v>67</v>
      </c>
      <c r="K304" s="222">
        <v>-23.5</v>
      </c>
      <c r="L304" s="222" t="s">
        <v>67</v>
      </c>
      <c r="M304" s="222">
        <v>62.5</v>
      </c>
      <c r="N304" s="214">
        <v>174.0</v>
      </c>
      <c r="O304" s="214">
        <v>35.0</v>
      </c>
      <c r="P304" s="214">
        <v>2.0</v>
      </c>
      <c r="Q304" s="214" t="b">
        <v>1</v>
      </c>
      <c r="R304" s="214">
        <v>100.0</v>
      </c>
      <c r="S304" s="214" t="s">
        <v>471</v>
      </c>
      <c r="T304" s="214" t="s">
        <v>321</v>
      </c>
      <c r="U304" s="214"/>
    </row>
    <row r="305">
      <c r="A305" s="221">
        <v>45916.06849857639</v>
      </c>
      <c r="B305" s="214" t="s">
        <v>43</v>
      </c>
      <c r="C305" s="214" t="s">
        <v>145</v>
      </c>
      <c r="D305" s="214">
        <v>3.0</v>
      </c>
      <c r="E305" s="214">
        <v>0.0</v>
      </c>
      <c r="F305" s="214" t="s">
        <v>1111</v>
      </c>
      <c r="G305" s="214" t="s">
        <v>61</v>
      </c>
      <c r="H305" s="214"/>
      <c r="I305" s="214"/>
      <c r="J305" s="222" t="s">
        <v>67</v>
      </c>
      <c r="K305" s="222">
        <v>-48.5</v>
      </c>
      <c r="L305" s="222" t="s">
        <v>67</v>
      </c>
      <c r="M305" s="222">
        <v>55.5</v>
      </c>
      <c r="N305" s="214">
        <v>132.0</v>
      </c>
      <c r="O305" s="214">
        <v>17.0</v>
      </c>
      <c r="P305" s="214">
        <v>2.0</v>
      </c>
      <c r="Q305" s="214" t="b">
        <v>0</v>
      </c>
      <c r="R305" s="214">
        <v>100.0</v>
      </c>
      <c r="S305" s="214" t="s">
        <v>407</v>
      </c>
      <c r="T305" s="214" t="s">
        <v>321</v>
      </c>
      <c r="U305" s="214"/>
    </row>
    <row r="306">
      <c r="A306" s="221">
        <v>45916.06849857639</v>
      </c>
      <c r="B306" s="214" t="s">
        <v>43</v>
      </c>
      <c r="C306" s="214" t="s">
        <v>118</v>
      </c>
      <c r="D306" s="214">
        <v>2.0</v>
      </c>
      <c r="E306" s="214">
        <v>1.0</v>
      </c>
      <c r="F306" s="214" t="s">
        <v>1112</v>
      </c>
      <c r="G306" s="214" t="s">
        <v>61</v>
      </c>
      <c r="H306" s="214"/>
      <c r="I306" s="214"/>
      <c r="J306" s="222" t="s">
        <v>67</v>
      </c>
      <c r="K306" s="222">
        <v>-21.5</v>
      </c>
      <c r="L306" s="222" t="s">
        <v>67</v>
      </c>
      <c r="M306" s="222">
        <v>46.5</v>
      </c>
      <c r="N306" s="214">
        <v>75.0</v>
      </c>
      <c r="O306" s="214">
        <v>57.0</v>
      </c>
      <c r="P306" s="214">
        <v>2.0</v>
      </c>
      <c r="Q306" s="214" t="b">
        <v>0</v>
      </c>
      <c r="R306" s="214">
        <v>100.0</v>
      </c>
      <c r="S306" s="214" t="s">
        <v>317</v>
      </c>
      <c r="T306" s="214" t="s">
        <v>321</v>
      </c>
      <c r="U306" s="214"/>
    </row>
    <row r="307">
      <c r="A307" s="221">
        <v>45916.06849857639</v>
      </c>
      <c r="B307" s="214" t="s">
        <v>43</v>
      </c>
      <c r="C307" s="214" t="s">
        <v>45</v>
      </c>
      <c r="D307" s="214">
        <v>3.0</v>
      </c>
      <c r="E307" s="214">
        <v>0.0</v>
      </c>
      <c r="F307" s="214" t="s">
        <v>1113</v>
      </c>
      <c r="G307" s="214" t="s">
        <v>61</v>
      </c>
      <c r="H307" s="214" t="s">
        <v>238</v>
      </c>
      <c r="I307" s="214"/>
      <c r="J307" s="222" t="s">
        <v>67</v>
      </c>
      <c r="K307" s="222">
        <v>-24.5</v>
      </c>
      <c r="L307" s="222" t="s">
        <v>67</v>
      </c>
      <c r="M307" s="222">
        <v>53.5</v>
      </c>
      <c r="N307" s="214">
        <v>111.0</v>
      </c>
      <c r="O307" s="214">
        <v>42.0</v>
      </c>
      <c r="P307" s="214">
        <v>2.0</v>
      </c>
      <c r="Q307" s="214" t="b">
        <v>1</v>
      </c>
      <c r="R307" s="214">
        <v>100.0</v>
      </c>
      <c r="S307" s="214" t="s">
        <v>556</v>
      </c>
      <c r="T307" s="214" t="s">
        <v>321</v>
      </c>
      <c r="U307" s="214"/>
    </row>
    <row r="308">
      <c r="A308" s="221">
        <v>45916.06849857639</v>
      </c>
      <c r="B308" s="214"/>
      <c r="C308" s="214"/>
      <c r="D308" s="214"/>
      <c r="E308" s="214"/>
      <c r="F308" s="214"/>
      <c r="G308" s="214"/>
      <c r="H308" s="214"/>
      <c r="I308" s="214"/>
      <c r="J308" s="222"/>
      <c r="K308" s="222"/>
      <c r="L308" s="222"/>
      <c r="M308" s="222"/>
      <c r="N308" s="214"/>
      <c r="O308" s="214"/>
      <c r="P308" s="214"/>
      <c r="Q308" s="214"/>
      <c r="R308" s="214"/>
      <c r="S308" s="214"/>
      <c r="T308" s="214"/>
      <c r="U308" s="214"/>
    </row>
    <row r="309">
      <c r="A309" s="221">
        <v>45916.06849857639</v>
      </c>
      <c r="B309" s="214" t="s">
        <v>95</v>
      </c>
      <c r="C309" s="214" t="s">
        <v>177</v>
      </c>
      <c r="D309" s="214">
        <v>1.0</v>
      </c>
      <c r="E309" s="214">
        <v>1.0</v>
      </c>
      <c r="F309" s="214"/>
      <c r="G309" s="214"/>
      <c r="H309" s="214"/>
      <c r="I309" s="214"/>
      <c r="J309" s="222" t="s">
        <v>67</v>
      </c>
      <c r="K309" s="222">
        <v>-29.5</v>
      </c>
      <c r="L309" s="222" t="s">
        <v>67</v>
      </c>
      <c r="M309" s="222">
        <v>56.5</v>
      </c>
      <c r="N309" s="214">
        <v>58.0</v>
      </c>
      <c r="O309" s="214">
        <v>48.0</v>
      </c>
      <c r="P309" s="214">
        <v>0.0</v>
      </c>
      <c r="Q309" s="214" t="b">
        <v>0</v>
      </c>
      <c r="R309" s="214">
        <v>59.0</v>
      </c>
      <c r="S309" s="214" t="s">
        <v>525</v>
      </c>
      <c r="T309" s="214" t="s">
        <v>365</v>
      </c>
      <c r="U309" s="214"/>
    </row>
    <row r="310">
      <c r="A310" s="221">
        <v>45916.06849857639</v>
      </c>
      <c r="B310" s="214" t="s">
        <v>95</v>
      </c>
      <c r="C310" s="214" t="s">
        <v>221</v>
      </c>
      <c r="D310" s="214">
        <v>2.0</v>
      </c>
      <c r="E310" s="214">
        <v>1.0</v>
      </c>
      <c r="F310" s="214" t="s">
        <v>1104</v>
      </c>
      <c r="G310" s="214" t="s">
        <v>61</v>
      </c>
      <c r="H310" s="214" t="s">
        <v>43</v>
      </c>
      <c r="I310" s="214"/>
      <c r="J310" s="222" t="s">
        <v>67</v>
      </c>
      <c r="K310" s="222">
        <v>17.5</v>
      </c>
      <c r="L310" s="222" t="s">
        <v>67</v>
      </c>
      <c r="M310" s="222">
        <v>60.5</v>
      </c>
      <c r="N310" s="214">
        <v>110.0</v>
      </c>
      <c r="O310" s="214">
        <v>97.0</v>
      </c>
      <c r="P310" s="214">
        <v>2.0</v>
      </c>
      <c r="Q310" s="214" t="b">
        <v>1</v>
      </c>
      <c r="R310" s="214">
        <v>100.0</v>
      </c>
      <c r="S310" s="214" t="s">
        <v>441</v>
      </c>
      <c r="T310" s="214" t="s">
        <v>365</v>
      </c>
      <c r="U310" s="214"/>
    </row>
    <row r="311">
      <c r="A311" s="221">
        <v>45916.06849857639</v>
      </c>
      <c r="B311" s="214" t="s">
        <v>95</v>
      </c>
      <c r="C311" s="214" t="s">
        <v>198</v>
      </c>
      <c r="D311" s="214">
        <v>3.0</v>
      </c>
      <c r="E311" s="214">
        <v>0.0</v>
      </c>
      <c r="F311" s="214" t="s">
        <v>1114</v>
      </c>
      <c r="G311" s="214" t="s">
        <v>61</v>
      </c>
      <c r="H311" s="214" t="s">
        <v>132</v>
      </c>
      <c r="I311" s="214"/>
      <c r="J311" s="222" t="s">
        <v>67</v>
      </c>
      <c r="K311" s="222">
        <v>-23.5</v>
      </c>
      <c r="L311" s="222" t="s">
        <v>67</v>
      </c>
      <c r="M311" s="222">
        <v>46.5</v>
      </c>
      <c r="N311" s="214">
        <v>137.0</v>
      </c>
      <c r="O311" s="214">
        <v>25.0</v>
      </c>
      <c r="P311" s="214">
        <v>2.0</v>
      </c>
      <c r="Q311" s="214" t="b">
        <v>1</v>
      </c>
      <c r="R311" s="214">
        <v>100.0</v>
      </c>
      <c r="S311" s="214" t="s">
        <v>471</v>
      </c>
      <c r="T311" s="214" t="s">
        <v>321</v>
      </c>
      <c r="U311" s="214"/>
    </row>
    <row r="312">
      <c r="A312" s="221">
        <v>45916.06849857639</v>
      </c>
      <c r="B312" s="214" t="s">
        <v>95</v>
      </c>
      <c r="C312" s="214" t="s">
        <v>130</v>
      </c>
      <c r="D312" s="214">
        <v>2.0</v>
      </c>
      <c r="E312" s="214">
        <v>0.0</v>
      </c>
      <c r="F312" s="214" t="s">
        <v>1115</v>
      </c>
      <c r="G312" s="214" t="s">
        <v>61</v>
      </c>
      <c r="H312" s="214"/>
      <c r="I312" s="214"/>
      <c r="J312" s="222" t="s">
        <v>67</v>
      </c>
      <c r="K312" s="222">
        <v>-37.5</v>
      </c>
      <c r="L312" s="222" t="s">
        <v>67</v>
      </c>
      <c r="M312" s="222">
        <v>56.5</v>
      </c>
      <c r="N312" s="214">
        <v>90.0</v>
      </c>
      <c r="O312" s="214">
        <v>35.0</v>
      </c>
      <c r="P312" s="214">
        <v>2.0</v>
      </c>
      <c r="Q312" s="214" t="b">
        <v>0</v>
      </c>
      <c r="R312" s="214">
        <v>100.0</v>
      </c>
      <c r="S312" s="214" t="s">
        <v>471</v>
      </c>
      <c r="T312" s="214" t="s">
        <v>321</v>
      </c>
      <c r="U312" s="214"/>
    </row>
    <row r="313">
      <c r="A313" s="221">
        <v>45916.06849857639</v>
      </c>
      <c r="B313" s="214" t="s">
        <v>95</v>
      </c>
      <c r="C313" s="214" t="s">
        <v>100</v>
      </c>
      <c r="D313" s="214">
        <v>2.0</v>
      </c>
      <c r="E313" s="214">
        <v>1.0</v>
      </c>
      <c r="F313" s="214" t="s">
        <v>1116</v>
      </c>
      <c r="G313" s="214" t="s">
        <v>61</v>
      </c>
      <c r="H313" s="214" t="s">
        <v>156</v>
      </c>
      <c r="I313" s="214"/>
      <c r="J313" s="222" t="s">
        <v>67</v>
      </c>
      <c r="K313" s="222">
        <v>-8.5</v>
      </c>
      <c r="L313" s="222" t="s">
        <v>67</v>
      </c>
      <c r="M313" s="222">
        <v>57.5</v>
      </c>
      <c r="N313" s="214">
        <v>111.0</v>
      </c>
      <c r="O313" s="214">
        <v>27.0</v>
      </c>
      <c r="P313" s="214">
        <v>2.0</v>
      </c>
      <c r="Q313" s="214" t="b">
        <v>1</v>
      </c>
      <c r="R313" s="214">
        <v>100.0</v>
      </c>
      <c r="S313" s="214" t="s">
        <v>361</v>
      </c>
      <c r="T313" s="214" t="s">
        <v>365</v>
      </c>
      <c r="U313" s="214"/>
    </row>
    <row r="314">
      <c r="A314" s="221">
        <v>45916.06849857639</v>
      </c>
      <c r="B314" s="214" t="s">
        <v>95</v>
      </c>
      <c r="C314" s="214" t="s">
        <v>197</v>
      </c>
      <c r="D314" s="214">
        <v>3.0</v>
      </c>
      <c r="E314" s="214">
        <v>0.0</v>
      </c>
      <c r="F314" s="214" t="s">
        <v>1117</v>
      </c>
      <c r="G314" s="214" t="s">
        <v>61</v>
      </c>
      <c r="H314" s="214" t="s">
        <v>493</v>
      </c>
      <c r="I314" s="214"/>
      <c r="J314" s="222" t="s">
        <v>67</v>
      </c>
      <c r="K314" s="222">
        <v>-21.5</v>
      </c>
      <c r="L314" s="222" t="s">
        <v>67</v>
      </c>
      <c r="M314" s="222">
        <v>59.5</v>
      </c>
      <c r="N314" s="214">
        <v>165.0</v>
      </c>
      <c r="O314" s="214">
        <v>50.0</v>
      </c>
      <c r="P314" s="214">
        <v>2.0</v>
      </c>
      <c r="Q314" s="214" t="b">
        <v>1</v>
      </c>
      <c r="R314" s="214">
        <v>100.0</v>
      </c>
      <c r="S314" s="214" t="s">
        <v>407</v>
      </c>
      <c r="T314" s="214" t="s">
        <v>321</v>
      </c>
      <c r="U314" s="214"/>
    </row>
    <row r="315">
      <c r="A315" s="221">
        <v>45916.06849857639</v>
      </c>
      <c r="B315" s="214" t="s">
        <v>95</v>
      </c>
      <c r="C315" s="214" t="s">
        <v>233</v>
      </c>
      <c r="D315" s="214">
        <v>1.0</v>
      </c>
      <c r="E315" s="214">
        <v>2.0</v>
      </c>
      <c r="F315" s="214" t="s">
        <v>1118</v>
      </c>
      <c r="G315" s="214" t="s">
        <v>61</v>
      </c>
      <c r="H315" s="214"/>
      <c r="I315" s="214"/>
      <c r="J315" s="222"/>
      <c r="K315" s="222"/>
      <c r="L315" s="222"/>
      <c r="M315" s="222"/>
      <c r="N315" s="214">
        <v>45.0</v>
      </c>
      <c r="O315" s="214">
        <v>79.0</v>
      </c>
      <c r="P315" s="214">
        <v>2.0</v>
      </c>
      <c r="Q315" s="214" t="b">
        <v>0</v>
      </c>
      <c r="R315" s="214">
        <v>100.0</v>
      </c>
      <c r="S315" s="214" t="s">
        <v>535</v>
      </c>
      <c r="T315" s="214" t="s">
        <v>365</v>
      </c>
      <c r="U315" s="214"/>
    </row>
    <row r="316">
      <c r="A316" s="221">
        <v>45916.06849857639</v>
      </c>
      <c r="B316" s="214" t="s">
        <v>95</v>
      </c>
      <c r="C316" s="214" t="s">
        <v>165</v>
      </c>
      <c r="D316" s="214">
        <v>1.0</v>
      </c>
      <c r="E316" s="214">
        <v>2.0</v>
      </c>
      <c r="F316" s="214" t="s">
        <v>1119</v>
      </c>
      <c r="G316" s="214" t="s">
        <v>61</v>
      </c>
      <c r="H316" s="214"/>
      <c r="I316" s="214"/>
      <c r="J316" s="222"/>
      <c r="K316" s="222"/>
      <c r="L316" s="222"/>
      <c r="M316" s="222"/>
      <c r="N316" s="214">
        <v>37.0</v>
      </c>
      <c r="O316" s="214">
        <v>102.0</v>
      </c>
      <c r="P316" s="214">
        <v>2.0</v>
      </c>
      <c r="Q316" s="214" t="b">
        <v>0</v>
      </c>
      <c r="R316" s="214">
        <v>100.0</v>
      </c>
      <c r="S316" s="214" t="s">
        <v>530</v>
      </c>
      <c r="T316" s="214" t="s">
        <v>365</v>
      </c>
      <c r="U316" s="214"/>
    </row>
    <row r="317">
      <c r="A317" s="221">
        <v>45916.06849857639</v>
      </c>
      <c r="B317" s="214" t="s">
        <v>95</v>
      </c>
      <c r="C317" s="214" t="s">
        <v>128</v>
      </c>
      <c r="D317" s="214">
        <v>3.0</v>
      </c>
      <c r="E317" s="214">
        <v>0.0</v>
      </c>
      <c r="F317" s="214" t="s">
        <v>1120</v>
      </c>
      <c r="G317" s="214" t="s">
        <v>61</v>
      </c>
      <c r="H317" s="214" t="s">
        <v>493</v>
      </c>
      <c r="I317" s="214"/>
      <c r="J317" s="222" t="s">
        <v>67</v>
      </c>
      <c r="K317" s="222">
        <v>-22.5</v>
      </c>
      <c r="L317" s="222" t="s">
        <v>67</v>
      </c>
      <c r="M317" s="222">
        <v>51.5</v>
      </c>
      <c r="N317" s="214">
        <v>101.0</v>
      </c>
      <c r="O317" s="214">
        <v>19.0</v>
      </c>
      <c r="P317" s="214">
        <v>2.0</v>
      </c>
      <c r="Q317" s="214" t="b">
        <v>0</v>
      </c>
      <c r="R317" s="214">
        <v>100.0</v>
      </c>
      <c r="S317" s="214" t="s">
        <v>556</v>
      </c>
      <c r="T317" s="214" t="s">
        <v>321</v>
      </c>
      <c r="U317" s="214"/>
    </row>
    <row r="318">
      <c r="A318" s="221">
        <v>45916.06849857639</v>
      </c>
      <c r="B318" s="214" t="s">
        <v>95</v>
      </c>
      <c r="C318" s="214" t="s">
        <v>117</v>
      </c>
      <c r="D318" s="214">
        <v>3.0</v>
      </c>
      <c r="E318" s="214">
        <v>0.0</v>
      </c>
      <c r="F318" s="214" t="s">
        <v>1121</v>
      </c>
      <c r="G318" s="214" t="s">
        <v>61</v>
      </c>
      <c r="H318" s="214" t="s">
        <v>493</v>
      </c>
      <c r="I318" s="214"/>
      <c r="J318" s="222" t="s">
        <v>67</v>
      </c>
      <c r="K318" s="222">
        <v>-7.5</v>
      </c>
      <c r="L318" s="222" t="s">
        <v>67</v>
      </c>
      <c r="M318" s="222">
        <v>52.5</v>
      </c>
      <c r="N318" s="214">
        <v>93.0</v>
      </c>
      <c r="O318" s="214">
        <v>72.0</v>
      </c>
      <c r="P318" s="214">
        <v>2.0</v>
      </c>
      <c r="Q318" s="214" t="b">
        <v>1</v>
      </c>
      <c r="R318" s="214">
        <v>100.0</v>
      </c>
      <c r="S318" s="214" t="s">
        <v>317</v>
      </c>
      <c r="T318" s="214" t="s">
        <v>321</v>
      </c>
      <c r="U318" s="214"/>
    </row>
    <row r="319">
      <c r="A319" s="221">
        <v>45916.06849857639</v>
      </c>
      <c r="B319" s="214"/>
      <c r="C319" s="214"/>
      <c r="D319" s="214"/>
      <c r="E319" s="214"/>
      <c r="F319" s="214"/>
      <c r="G319" s="214"/>
      <c r="H319" s="214"/>
      <c r="I319" s="214"/>
      <c r="J319" s="222"/>
      <c r="K319" s="222"/>
      <c r="L319" s="222"/>
      <c r="M319" s="222"/>
      <c r="N319" s="214"/>
      <c r="O319" s="214"/>
      <c r="P319" s="214"/>
      <c r="Q319" s="214"/>
      <c r="R319" s="214"/>
      <c r="S319" s="214"/>
      <c r="T319" s="214"/>
      <c r="U319" s="214"/>
    </row>
    <row r="320">
      <c r="A320" s="221">
        <v>45916.06849857639</v>
      </c>
      <c r="B320" s="214" t="s">
        <v>62</v>
      </c>
      <c r="C320" s="214" t="s">
        <v>199</v>
      </c>
      <c r="D320" s="214">
        <v>2.0</v>
      </c>
      <c r="E320" s="214">
        <v>0.0</v>
      </c>
      <c r="F320" s="214"/>
      <c r="G320" s="214"/>
      <c r="H320" s="214"/>
      <c r="I320" s="214"/>
      <c r="J320" s="222" t="s">
        <v>67</v>
      </c>
      <c r="K320" s="222">
        <v>2.5</v>
      </c>
      <c r="L320" s="222" t="s">
        <v>67</v>
      </c>
      <c r="M320" s="222">
        <v>49.5</v>
      </c>
      <c r="N320" s="214">
        <v>108.0</v>
      </c>
      <c r="O320" s="214">
        <v>31.0</v>
      </c>
      <c r="P320" s="214">
        <v>0.0</v>
      </c>
      <c r="Q320" s="214" t="b">
        <v>1</v>
      </c>
      <c r="R320" s="214">
        <v>59.0</v>
      </c>
      <c r="S320" s="214" t="s">
        <v>407</v>
      </c>
      <c r="T320" s="214" t="s">
        <v>321</v>
      </c>
      <c r="U320" s="214"/>
    </row>
    <row r="321">
      <c r="A321" s="221">
        <v>45916.06849857639</v>
      </c>
      <c r="B321" s="214" t="s">
        <v>62</v>
      </c>
      <c r="C321" s="214" t="s">
        <v>178</v>
      </c>
      <c r="D321" s="214">
        <v>1.0</v>
      </c>
      <c r="E321" s="214">
        <v>1.0</v>
      </c>
      <c r="F321" s="214"/>
      <c r="G321" s="214"/>
      <c r="H321" s="214"/>
      <c r="I321" s="214"/>
      <c r="J321" s="222" t="s">
        <v>67</v>
      </c>
      <c r="K321" s="222">
        <v>2.5</v>
      </c>
      <c r="L321" s="222" t="s">
        <v>67</v>
      </c>
      <c r="M321" s="222">
        <v>42.5</v>
      </c>
      <c r="N321" s="214">
        <v>42.0</v>
      </c>
      <c r="O321" s="214">
        <v>55.0</v>
      </c>
      <c r="P321" s="214">
        <v>0.0</v>
      </c>
      <c r="Q321" s="214" t="b">
        <v>1</v>
      </c>
      <c r="R321" s="214">
        <v>59.0</v>
      </c>
      <c r="S321" s="214" t="s">
        <v>525</v>
      </c>
      <c r="T321" s="214" t="s">
        <v>365</v>
      </c>
      <c r="U321" s="214"/>
    </row>
    <row r="322">
      <c r="A322" s="221">
        <v>45916.06849857639</v>
      </c>
      <c r="B322" s="214" t="s">
        <v>62</v>
      </c>
      <c r="C322" s="214" t="s">
        <v>190</v>
      </c>
      <c r="D322" s="214">
        <v>3.0</v>
      </c>
      <c r="E322" s="214">
        <v>0.0</v>
      </c>
      <c r="F322" s="214" t="s">
        <v>1122</v>
      </c>
      <c r="G322" s="214" t="s">
        <v>61</v>
      </c>
      <c r="H322" s="214" t="s">
        <v>238</v>
      </c>
      <c r="I322" s="214"/>
      <c r="J322" s="222" t="s">
        <v>67</v>
      </c>
      <c r="K322" s="222">
        <v>2.5</v>
      </c>
      <c r="L322" s="222" t="s">
        <v>67</v>
      </c>
      <c r="M322" s="222">
        <v>41.5</v>
      </c>
      <c r="N322" s="214">
        <v>96.0</v>
      </c>
      <c r="O322" s="214">
        <v>32.0</v>
      </c>
      <c r="P322" s="214">
        <v>2.0</v>
      </c>
      <c r="Q322" s="214" t="b">
        <v>0</v>
      </c>
      <c r="R322" s="214">
        <v>100.0</v>
      </c>
      <c r="S322" s="214" t="s">
        <v>317</v>
      </c>
      <c r="T322" s="214" t="s">
        <v>321</v>
      </c>
      <c r="U322" s="214"/>
    </row>
    <row r="323">
      <c r="A323" s="221">
        <v>45916.06849857639</v>
      </c>
      <c r="B323" s="214" t="s">
        <v>62</v>
      </c>
      <c r="C323" s="214" t="s">
        <v>163</v>
      </c>
      <c r="D323" s="214">
        <v>2.0</v>
      </c>
      <c r="E323" s="214">
        <v>1.0</v>
      </c>
      <c r="F323" s="214" t="s">
        <v>1123</v>
      </c>
      <c r="G323" s="214" t="s">
        <v>61</v>
      </c>
      <c r="H323" s="214" t="s">
        <v>193</v>
      </c>
      <c r="I323" s="214"/>
      <c r="J323" s="222" t="s">
        <v>67</v>
      </c>
      <c r="K323" s="222">
        <v>-11.5</v>
      </c>
      <c r="L323" s="222" t="s">
        <v>67</v>
      </c>
      <c r="M323" s="222">
        <v>57.5</v>
      </c>
      <c r="N323" s="214">
        <v>107.0</v>
      </c>
      <c r="O323" s="214">
        <v>108.0</v>
      </c>
      <c r="P323" s="214">
        <v>2.0</v>
      </c>
      <c r="Q323" s="214" t="b">
        <v>1</v>
      </c>
      <c r="R323" s="214">
        <v>100.0</v>
      </c>
      <c r="S323" s="214" t="s">
        <v>361</v>
      </c>
      <c r="T323" s="214" t="s">
        <v>365</v>
      </c>
      <c r="U323" s="214"/>
    </row>
    <row r="324">
      <c r="A324" s="221">
        <v>45916.06849857639</v>
      </c>
      <c r="B324" s="214" t="s">
        <v>62</v>
      </c>
      <c r="C324" s="214" t="s">
        <v>304</v>
      </c>
      <c r="D324" s="214">
        <v>0.0</v>
      </c>
      <c r="E324" s="214">
        <v>3.0</v>
      </c>
      <c r="F324" s="214" t="s">
        <v>1124</v>
      </c>
      <c r="G324" s="214" t="s">
        <v>61</v>
      </c>
      <c r="H324" s="214" t="s">
        <v>493</v>
      </c>
      <c r="I324" s="214"/>
      <c r="J324" s="222" t="s">
        <v>67</v>
      </c>
      <c r="K324" s="222">
        <v>24.5</v>
      </c>
      <c r="L324" s="222" t="s">
        <v>67</v>
      </c>
      <c r="M324" s="222">
        <v>47.5</v>
      </c>
      <c r="N324" s="214">
        <v>73.0</v>
      </c>
      <c r="O324" s="214">
        <v>128.0</v>
      </c>
      <c r="P324" s="214">
        <v>2.0</v>
      </c>
      <c r="Q324" s="214" t="b">
        <v>0</v>
      </c>
      <c r="R324" s="214">
        <v>100.0</v>
      </c>
      <c r="S324" s="214" t="s">
        <v>530</v>
      </c>
      <c r="T324" s="214" t="s">
        <v>365</v>
      </c>
      <c r="U324" s="214"/>
    </row>
    <row r="325">
      <c r="A325" s="221">
        <v>45916.06849857639</v>
      </c>
      <c r="B325" s="214" t="s">
        <v>62</v>
      </c>
      <c r="C325" s="214" t="s">
        <v>155</v>
      </c>
      <c r="D325" s="214">
        <v>2.0</v>
      </c>
      <c r="E325" s="214">
        <v>1.0</v>
      </c>
      <c r="F325" s="214" t="s">
        <v>1125</v>
      </c>
      <c r="G325" s="214" t="s">
        <v>61</v>
      </c>
      <c r="H325" s="214" t="s">
        <v>311</v>
      </c>
      <c r="I325" s="214"/>
      <c r="J325" s="222" t="s">
        <v>67</v>
      </c>
      <c r="K325" s="222">
        <v>5.5</v>
      </c>
      <c r="L325" s="222" t="s">
        <v>67</v>
      </c>
      <c r="M325" s="222">
        <v>51.5</v>
      </c>
      <c r="N325" s="214">
        <v>113.0</v>
      </c>
      <c r="O325" s="214">
        <v>59.0</v>
      </c>
      <c r="P325" s="214">
        <v>2.0</v>
      </c>
      <c r="Q325" s="214" t="b">
        <v>0</v>
      </c>
      <c r="R325" s="214">
        <v>100.0</v>
      </c>
      <c r="S325" s="214" t="s">
        <v>441</v>
      </c>
      <c r="T325" s="214" t="s">
        <v>365</v>
      </c>
      <c r="U325" s="214"/>
    </row>
    <row r="326">
      <c r="A326" s="221">
        <v>45916.06849857639</v>
      </c>
      <c r="B326" s="214" t="s">
        <v>62</v>
      </c>
      <c r="C326" s="214" t="s">
        <v>227</v>
      </c>
      <c r="D326" s="214">
        <v>1.0</v>
      </c>
      <c r="E326" s="214">
        <v>2.0</v>
      </c>
      <c r="F326" s="214" t="s">
        <v>1126</v>
      </c>
      <c r="G326" s="214" t="s">
        <v>61</v>
      </c>
      <c r="H326" s="214" t="s">
        <v>224</v>
      </c>
      <c r="I326" s="214"/>
      <c r="J326" s="222" t="s">
        <v>67</v>
      </c>
      <c r="K326" s="222">
        <v>-5.5</v>
      </c>
      <c r="L326" s="222" t="s">
        <v>67</v>
      </c>
      <c r="M326" s="222">
        <v>51.5</v>
      </c>
      <c r="N326" s="214">
        <v>65.0</v>
      </c>
      <c r="O326" s="214">
        <v>64.0</v>
      </c>
      <c r="P326" s="214">
        <v>2.0</v>
      </c>
      <c r="Q326" s="214" t="b">
        <v>1</v>
      </c>
      <c r="R326" s="214">
        <v>100.0</v>
      </c>
      <c r="S326" s="214" t="s">
        <v>535</v>
      </c>
      <c r="T326" s="214" t="s">
        <v>365</v>
      </c>
      <c r="U326" s="214"/>
    </row>
    <row r="327">
      <c r="A327" s="221">
        <v>45916.06849857639</v>
      </c>
      <c r="B327" s="214" t="s">
        <v>62</v>
      </c>
      <c r="C327" s="214" t="s">
        <v>201</v>
      </c>
      <c r="D327" s="214">
        <v>2.0</v>
      </c>
      <c r="E327" s="214">
        <v>1.0</v>
      </c>
      <c r="F327" s="214" t="s">
        <v>1127</v>
      </c>
      <c r="G327" s="214" t="s">
        <v>61</v>
      </c>
      <c r="H327" s="214" t="s">
        <v>238</v>
      </c>
      <c r="I327" s="214"/>
      <c r="J327" s="222" t="s">
        <v>67</v>
      </c>
      <c r="K327" s="222">
        <v>-21.0</v>
      </c>
      <c r="L327" s="222" t="s">
        <v>67</v>
      </c>
      <c r="M327" s="222">
        <v>44.5</v>
      </c>
      <c r="N327" s="214">
        <v>128.0</v>
      </c>
      <c r="O327" s="214">
        <v>45.0</v>
      </c>
      <c r="P327" s="214">
        <v>2.0</v>
      </c>
      <c r="Q327" s="214" t="b">
        <v>0</v>
      </c>
      <c r="R327" s="214">
        <v>100.0</v>
      </c>
      <c r="S327" s="214" t="s">
        <v>556</v>
      </c>
      <c r="T327" s="214" t="s">
        <v>321</v>
      </c>
      <c r="U327" s="214"/>
    </row>
    <row r="328">
      <c r="A328" s="221">
        <v>45916.06849857639</v>
      </c>
      <c r="B328" s="214" t="s">
        <v>62</v>
      </c>
      <c r="C328" s="214" t="s">
        <v>196</v>
      </c>
      <c r="D328" s="214">
        <v>0.0</v>
      </c>
      <c r="E328" s="214">
        <v>3.0</v>
      </c>
      <c r="F328" s="214" t="s">
        <v>1128</v>
      </c>
      <c r="G328" s="214" t="s">
        <v>61</v>
      </c>
      <c r="H328" s="214" t="s">
        <v>193</v>
      </c>
      <c r="I328" s="214"/>
      <c r="J328" s="222" t="s">
        <v>67</v>
      </c>
      <c r="K328" s="222">
        <v>-15.5</v>
      </c>
      <c r="L328" s="222" t="s">
        <v>67</v>
      </c>
      <c r="M328" s="222">
        <v>52.5</v>
      </c>
      <c r="N328" s="214">
        <v>43.0</v>
      </c>
      <c r="O328" s="214">
        <v>108.0</v>
      </c>
      <c r="P328" s="214">
        <v>2.0</v>
      </c>
      <c r="Q328" s="214" t="b">
        <v>1</v>
      </c>
      <c r="R328" s="214">
        <v>100.0</v>
      </c>
      <c r="S328" s="214" t="s">
        <v>407</v>
      </c>
      <c r="T328" s="214" t="s">
        <v>321</v>
      </c>
      <c r="U328" s="214"/>
    </row>
    <row r="329">
      <c r="A329" s="221">
        <v>45916.06849857639</v>
      </c>
      <c r="B329" s="214" t="s">
        <v>62</v>
      </c>
      <c r="C329" s="214" t="s">
        <v>127</v>
      </c>
      <c r="D329" s="214">
        <v>1.0</v>
      </c>
      <c r="E329" s="214">
        <v>3.0</v>
      </c>
      <c r="F329" s="214" t="s">
        <v>1129</v>
      </c>
      <c r="G329" s="214" t="s">
        <v>61</v>
      </c>
      <c r="H329" s="214" t="s">
        <v>493</v>
      </c>
      <c r="I329" s="214"/>
      <c r="J329" s="222" t="s">
        <v>67</v>
      </c>
      <c r="K329" s="222">
        <v>-1.5</v>
      </c>
      <c r="L329" s="222" t="s">
        <v>67</v>
      </c>
      <c r="M329" s="222">
        <v>54.5</v>
      </c>
      <c r="N329" s="214">
        <v>97.0</v>
      </c>
      <c r="O329" s="214">
        <v>106.0</v>
      </c>
      <c r="P329" s="214">
        <v>2.0</v>
      </c>
      <c r="Q329" s="214" t="b">
        <v>0</v>
      </c>
      <c r="R329" s="214">
        <v>100.0</v>
      </c>
      <c r="S329" s="214" t="s">
        <v>471</v>
      </c>
      <c r="T329" s="214" t="s">
        <v>321</v>
      </c>
      <c r="U329" s="214"/>
    </row>
    <row r="330">
      <c r="A330" s="221">
        <v>45916.06849857639</v>
      </c>
      <c r="B330" s="214"/>
      <c r="C330" s="214"/>
      <c r="D330" s="214"/>
      <c r="E330" s="214"/>
      <c r="F330" s="214"/>
      <c r="G330" s="214"/>
      <c r="H330" s="214"/>
      <c r="I330" s="214"/>
      <c r="J330" s="222"/>
      <c r="K330" s="222"/>
      <c r="L330" s="222"/>
      <c r="M330" s="222"/>
      <c r="N330" s="214"/>
      <c r="O330" s="214"/>
      <c r="P330" s="214"/>
      <c r="Q330" s="214"/>
      <c r="R330" s="214"/>
      <c r="S330" s="214"/>
      <c r="T330" s="214"/>
      <c r="U330" s="214"/>
    </row>
    <row r="331">
      <c r="A331" s="221">
        <v>45916.06849857639</v>
      </c>
      <c r="B331" s="214" t="s">
        <v>193</v>
      </c>
      <c r="C331" s="214" t="s">
        <v>126</v>
      </c>
      <c r="D331" s="214">
        <v>2.0</v>
      </c>
      <c r="E331" s="214">
        <v>1.0</v>
      </c>
      <c r="F331" s="214"/>
      <c r="G331" s="214"/>
      <c r="H331" s="214"/>
      <c r="I331" s="214"/>
      <c r="J331" s="222"/>
      <c r="K331" s="222"/>
      <c r="L331" s="222"/>
      <c r="M331" s="222"/>
      <c r="N331" s="214">
        <v>108.0</v>
      </c>
      <c r="O331" s="214">
        <v>56.0</v>
      </c>
      <c r="P331" s="214">
        <v>0.0</v>
      </c>
      <c r="Q331" s="214" t="b">
        <v>1</v>
      </c>
      <c r="R331" s="214">
        <v>59.0</v>
      </c>
      <c r="S331" s="214" t="s">
        <v>471</v>
      </c>
      <c r="T331" s="214" t="s">
        <v>321</v>
      </c>
      <c r="U331" s="214"/>
    </row>
    <row r="332">
      <c r="A332" s="221">
        <v>45916.06849857639</v>
      </c>
      <c r="B332" s="214" t="s">
        <v>193</v>
      </c>
      <c r="C332" s="214" t="s">
        <v>164</v>
      </c>
      <c r="D332" s="214">
        <v>0.0</v>
      </c>
      <c r="E332" s="214">
        <v>3.0</v>
      </c>
      <c r="F332" s="214" t="s">
        <v>1123</v>
      </c>
      <c r="G332" s="214" t="s">
        <v>61</v>
      </c>
      <c r="H332" s="214" t="s">
        <v>62</v>
      </c>
      <c r="I332" s="214"/>
      <c r="J332" s="222" t="s">
        <v>67</v>
      </c>
      <c r="K332" s="222">
        <v>11.5</v>
      </c>
      <c r="L332" s="222" t="s">
        <v>67</v>
      </c>
      <c r="M332" s="222">
        <v>57.5</v>
      </c>
      <c r="N332" s="214">
        <v>28.0</v>
      </c>
      <c r="O332" s="214">
        <v>109.0</v>
      </c>
      <c r="P332" s="214">
        <v>2.0</v>
      </c>
      <c r="Q332" s="214" t="b">
        <v>0</v>
      </c>
      <c r="R332" s="214">
        <v>100.0</v>
      </c>
      <c r="S332" s="214" t="s">
        <v>530</v>
      </c>
      <c r="T332" s="214" t="s">
        <v>365</v>
      </c>
      <c r="U332" s="214"/>
    </row>
    <row r="333">
      <c r="A333" s="221">
        <v>45916.06849857639</v>
      </c>
      <c r="B333" s="214" t="s">
        <v>193</v>
      </c>
      <c r="C333" s="214" t="s">
        <v>150</v>
      </c>
      <c r="D333" s="214">
        <v>1.0</v>
      </c>
      <c r="E333" s="214">
        <v>2.0</v>
      </c>
      <c r="F333" s="214" t="s">
        <v>1130</v>
      </c>
      <c r="G333" s="214" t="s">
        <v>61</v>
      </c>
      <c r="H333" s="214" t="s">
        <v>132</v>
      </c>
      <c r="I333" s="214"/>
      <c r="J333" s="222" t="s">
        <v>67</v>
      </c>
      <c r="K333" s="222">
        <v>2.5</v>
      </c>
      <c r="L333" s="222" t="s">
        <v>67</v>
      </c>
      <c r="M333" s="222">
        <v>58.5</v>
      </c>
      <c r="N333" s="214">
        <v>91.0</v>
      </c>
      <c r="O333" s="214">
        <v>91.0</v>
      </c>
      <c r="P333" s="214">
        <v>2.0</v>
      </c>
      <c r="Q333" s="214" t="b">
        <v>1</v>
      </c>
      <c r="R333" s="214">
        <v>100.0</v>
      </c>
      <c r="S333" s="214" t="s">
        <v>361</v>
      </c>
      <c r="T333" s="214" t="s">
        <v>365</v>
      </c>
      <c r="U333" s="214"/>
    </row>
    <row r="334">
      <c r="A334" s="221">
        <v>45916.06849857639</v>
      </c>
      <c r="B334" s="214" t="s">
        <v>193</v>
      </c>
      <c r="C334" s="214" t="s">
        <v>144</v>
      </c>
      <c r="D334" s="214">
        <v>3.0</v>
      </c>
      <c r="E334" s="214">
        <v>0.0</v>
      </c>
      <c r="F334" s="214" t="s">
        <v>1131</v>
      </c>
      <c r="G334" s="214" t="s">
        <v>61</v>
      </c>
      <c r="H334" s="214" t="s">
        <v>96</v>
      </c>
      <c r="I334" s="214"/>
      <c r="J334" s="222" t="s">
        <v>67</v>
      </c>
      <c r="K334" s="222">
        <v>-28.5</v>
      </c>
      <c r="L334" s="222" t="s">
        <v>67</v>
      </c>
      <c r="M334" s="222">
        <v>49.5</v>
      </c>
      <c r="N334" s="214">
        <v>121.0</v>
      </c>
      <c r="O334" s="214">
        <v>16.0</v>
      </c>
      <c r="P334" s="214">
        <v>2.0</v>
      </c>
      <c r="Q334" s="214" t="b">
        <v>1</v>
      </c>
      <c r="R334" s="214">
        <v>100.0</v>
      </c>
      <c r="S334" s="214" t="s">
        <v>407</v>
      </c>
      <c r="T334" s="214" t="s">
        <v>321</v>
      </c>
      <c r="U334" s="214"/>
    </row>
    <row r="335">
      <c r="A335" s="221">
        <v>45916.06849857639</v>
      </c>
      <c r="B335" s="214" t="s">
        <v>193</v>
      </c>
      <c r="C335" s="214" t="s">
        <v>194</v>
      </c>
      <c r="D335" s="214">
        <v>0.0</v>
      </c>
      <c r="E335" s="214">
        <v>3.0</v>
      </c>
      <c r="F335" s="214" t="s">
        <v>1110</v>
      </c>
      <c r="G335" s="214" t="s">
        <v>61</v>
      </c>
      <c r="H335" s="214" t="s">
        <v>43</v>
      </c>
      <c r="I335" s="214"/>
      <c r="J335" s="222" t="s">
        <v>67</v>
      </c>
      <c r="K335" s="222">
        <v>23.5</v>
      </c>
      <c r="L335" s="222" t="s">
        <v>67</v>
      </c>
      <c r="M335" s="222">
        <v>62.5</v>
      </c>
      <c r="N335" s="214">
        <v>56.0</v>
      </c>
      <c r="O335" s="214">
        <v>115.0</v>
      </c>
      <c r="P335" s="214">
        <v>2.0</v>
      </c>
      <c r="Q335" s="214" t="b">
        <v>0</v>
      </c>
      <c r="R335" s="214">
        <v>100.0</v>
      </c>
      <c r="S335" s="214" t="s">
        <v>680</v>
      </c>
      <c r="T335" s="214" t="s">
        <v>365</v>
      </c>
      <c r="U335" s="214"/>
    </row>
    <row r="336">
      <c r="A336" s="221">
        <v>45916.06849857639</v>
      </c>
      <c r="B336" s="214" t="s">
        <v>193</v>
      </c>
      <c r="C336" s="214" t="s">
        <v>236</v>
      </c>
      <c r="D336" s="214">
        <v>1.0</v>
      </c>
      <c r="E336" s="214">
        <v>2.0</v>
      </c>
      <c r="F336" s="214" t="s">
        <v>1132</v>
      </c>
      <c r="G336" s="214" t="s">
        <v>61</v>
      </c>
      <c r="H336" s="214" t="s">
        <v>193</v>
      </c>
      <c r="I336" s="214"/>
      <c r="J336" s="222" t="s">
        <v>67</v>
      </c>
      <c r="K336" s="222">
        <v>27.5</v>
      </c>
      <c r="L336" s="222" t="s">
        <v>67</v>
      </c>
      <c r="M336" s="222">
        <v>60.5</v>
      </c>
      <c r="N336" s="214">
        <v>44.0</v>
      </c>
      <c r="O336" s="214">
        <v>121.0</v>
      </c>
      <c r="P336" s="214">
        <v>2.0</v>
      </c>
      <c r="Q336" s="214" t="b">
        <v>0</v>
      </c>
      <c r="R336" s="214">
        <v>100.0</v>
      </c>
      <c r="S336" s="214" t="s">
        <v>535</v>
      </c>
      <c r="T336" s="214" t="s">
        <v>365</v>
      </c>
      <c r="U336" s="214"/>
    </row>
    <row r="337">
      <c r="A337" s="221">
        <v>45916.06849857639</v>
      </c>
      <c r="B337" s="214" t="s">
        <v>193</v>
      </c>
      <c r="C337" s="214" t="s">
        <v>104</v>
      </c>
      <c r="D337" s="214">
        <v>2.0</v>
      </c>
      <c r="E337" s="214">
        <v>1.0</v>
      </c>
      <c r="F337" s="214" t="s">
        <v>1132</v>
      </c>
      <c r="G337" s="214" t="s">
        <v>61</v>
      </c>
      <c r="H337" s="214" t="s">
        <v>193</v>
      </c>
      <c r="I337" s="214"/>
      <c r="J337" s="222" t="s">
        <v>67</v>
      </c>
      <c r="K337" s="222">
        <v>-27.5</v>
      </c>
      <c r="L337" s="222" t="s">
        <v>67</v>
      </c>
      <c r="M337" s="222">
        <v>60.5</v>
      </c>
      <c r="N337" s="214">
        <v>115.0</v>
      </c>
      <c r="O337" s="214">
        <v>71.0</v>
      </c>
      <c r="P337" s="214">
        <v>2.0</v>
      </c>
      <c r="Q337" s="214" t="b">
        <v>1</v>
      </c>
      <c r="R337" s="214">
        <v>100.0</v>
      </c>
      <c r="S337" s="214" t="s">
        <v>317</v>
      </c>
      <c r="T337" s="214" t="s">
        <v>321</v>
      </c>
      <c r="U337" s="214"/>
    </row>
    <row r="338">
      <c r="A338" s="221">
        <v>45916.06849857639</v>
      </c>
      <c r="B338" s="214" t="s">
        <v>193</v>
      </c>
      <c r="C338" s="214" t="s">
        <v>552</v>
      </c>
      <c r="D338" s="214">
        <v>1.0</v>
      </c>
      <c r="E338" s="214">
        <v>2.0</v>
      </c>
      <c r="F338" s="214" t="s">
        <v>1133</v>
      </c>
      <c r="G338" s="214" t="s">
        <v>61</v>
      </c>
      <c r="H338" s="214" t="s">
        <v>156</v>
      </c>
      <c r="I338" s="214"/>
      <c r="J338" s="222" t="s">
        <v>67</v>
      </c>
      <c r="K338" s="222">
        <v>26.5</v>
      </c>
      <c r="L338" s="222" t="s">
        <v>67</v>
      </c>
      <c r="M338" s="222">
        <v>47.5</v>
      </c>
      <c r="N338" s="214">
        <v>56.0</v>
      </c>
      <c r="O338" s="214">
        <v>76.0</v>
      </c>
      <c r="P338" s="214">
        <v>2.0</v>
      </c>
      <c r="Q338" s="214" t="b">
        <v>0</v>
      </c>
      <c r="R338" s="214">
        <v>100.0</v>
      </c>
      <c r="S338" s="214" t="s">
        <v>441</v>
      </c>
      <c r="T338" s="214" t="s">
        <v>365</v>
      </c>
      <c r="U338" s="214"/>
    </row>
    <row r="339">
      <c r="A339" s="221">
        <v>45916.06849857639</v>
      </c>
      <c r="B339" s="214" t="s">
        <v>193</v>
      </c>
      <c r="C339" s="214" t="s">
        <v>182</v>
      </c>
      <c r="D339" s="214">
        <v>2.0</v>
      </c>
      <c r="E339" s="214">
        <v>1.0</v>
      </c>
      <c r="F339" s="214" t="s">
        <v>1128</v>
      </c>
      <c r="G339" s="214" t="s">
        <v>61</v>
      </c>
      <c r="H339" s="214" t="s">
        <v>62</v>
      </c>
      <c r="I339" s="214"/>
      <c r="J339" s="222" t="s">
        <v>67</v>
      </c>
      <c r="K339" s="222">
        <v>15.5</v>
      </c>
      <c r="L339" s="222" t="s">
        <v>67</v>
      </c>
      <c r="M339" s="222">
        <v>52.5</v>
      </c>
      <c r="N339" s="214">
        <v>84.0</v>
      </c>
      <c r="O339" s="214">
        <v>66.0</v>
      </c>
      <c r="P339" s="214">
        <v>2.0</v>
      </c>
      <c r="Q339" s="214" t="b">
        <v>0</v>
      </c>
      <c r="R339" s="214">
        <v>100.0</v>
      </c>
      <c r="S339" s="214" t="s">
        <v>525</v>
      </c>
      <c r="T339" s="214" t="s">
        <v>365</v>
      </c>
      <c r="U339" s="214"/>
    </row>
    <row r="340">
      <c r="A340" s="221">
        <v>45916.06849857639</v>
      </c>
      <c r="B340" s="214" t="s">
        <v>193</v>
      </c>
      <c r="C340" s="214" t="s">
        <v>211</v>
      </c>
      <c r="D340" s="214">
        <v>2.0</v>
      </c>
      <c r="E340" s="214">
        <v>1.0</v>
      </c>
      <c r="F340" s="214" t="s">
        <v>1134</v>
      </c>
      <c r="G340" s="214" t="s">
        <v>532</v>
      </c>
      <c r="H340" s="214" t="s">
        <v>96</v>
      </c>
      <c r="I340" s="214"/>
      <c r="J340" s="222" t="s">
        <v>67</v>
      </c>
      <c r="K340" s="222">
        <v>4.0</v>
      </c>
      <c r="L340" s="222" t="s">
        <v>67</v>
      </c>
      <c r="M340" s="222">
        <v>50.5</v>
      </c>
      <c r="N340" s="214">
        <v>158.0</v>
      </c>
      <c r="O340" s="214">
        <v>87.0</v>
      </c>
      <c r="P340" s="214">
        <v>2.0</v>
      </c>
      <c r="Q340" s="214" t="b">
        <v>0</v>
      </c>
      <c r="R340" s="214">
        <v>100.0</v>
      </c>
      <c r="S340" s="214" t="s">
        <v>556</v>
      </c>
      <c r="T340" s="214" t="s">
        <v>321</v>
      </c>
      <c r="U340" s="214"/>
    </row>
    <row r="341">
      <c r="A341" s="221">
        <v>45916.06849857639</v>
      </c>
      <c r="B341" s="214"/>
      <c r="C341" s="214"/>
      <c r="D341" s="214"/>
      <c r="E341" s="214"/>
      <c r="F341" s="214"/>
      <c r="G341" s="214"/>
      <c r="H341" s="214"/>
      <c r="I341" s="214"/>
      <c r="J341" s="222"/>
      <c r="K341" s="222"/>
      <c r="L341" s="222"/>
      <c r="M341" s="222"/>
      <c r="N341" s="214"/>
      <c r="O341" s="214"/>
      <c r="P341" s="214"/>
      <c r="Q341" s="214"/>
      <c r="R341" s="214"/>
      <c r="S341" s="214"/>
      <c r="T341" s="214"/>
      <c r="U341" s="214"/>
    </row>
    <row r="342">
      <c r="A342" s="221">
        <v>45916.06849857639</v>
      </c>
      <c r="B342" s="214" t="s">
        <v>311</v>
      </c>
      <c r="C342" s="214" t="s">
        <v>234</v>
      </c>
      <c r="D342" s="214">
        <v>0.0</v>
      </c>
      <c r="E342" s="214">
        <v>3.0</v>
      </c>
      <c r="F342" s="214"/>
      <c r="G342" s="214"/>
      <c r="H342" s="214"/>
      <c r="I342" s="214"/>
      <c r="J342" s="222"/>
      <c r="K342" s="222"/>
      <c r="L342" s="222"/>
      <c r="M342" s="222"/>
      <c r="N342" s="214">
        <v>65.0</v>
      </c>
      <c r="O342" s="214">
        <v>116.0</v>
      </c>
      <c r="P342" s="214">
        <v>0.0</v>
      </c>
      <c r="Q342" s="214" t="b">
        <v>1</v>
      </c>
      <c r="R342" s="214">
        <v>59.0</v>
      </c>
      <c r="S342" s="214" t="s">
        <v>535</v>
      </c>
      <c r="T342" s="214" t="s">
        <v>365</v>
      </c>
      <c r="U342" s="214"/>
    </row>
    <row r="343">
      <c r="A343" s="221">
        <v>45916.06849857639</v>
      </c>
      <c r="B343" s="214" t="s">
        <v>311</v>
      </c>
      <c r="C343" s="214" t="s">
        <v>172</v>
      </c>
      <c r="D343" s="214">
        <v>1.0</v>
      </c>
      <c r="E343" s="214">
        <v>1.0</v>
      </c>
      <c r="F343" s="214"/>
      <c r="G343" s="214"/>
      <c r="H343" s="214"/>
      <c r="I343" s="214"/>
      <c r="J343" s="222"/>
      <c r="K343" s="222"/>
      <c r="L343" s="222"/>
      <c r="M343" s="222"/>
      <c r="N343" s="214">
        <v>28.0</v>
      </c>
      <c r="O343" s="214">
        <v>37.0</v>
      </c>
      <c r="P343" s="214">
        <v>0.0</v>
      </c>
      <c r="Q343" s="214" t="b">
        <v>1</v>
      </c>
      <c r="R343" s="214">
        <v>59.0</v>
      </c>
      <c r="S343" s="214" t="s">
        <v>530</v>
      </c>
      <c r="T343" s="214" t="s">
        <v>365</v>
      </c>
      <c r="U343" s="214"/>
    </row>
    <row r="344">
      <c r="A344" s="221">
        <v>45916.06849857639</v>
      </c>
      <c r="B344" s="214" t="s">
        <v>311</v>
      </c>
      <c r="C344" s="214" t="s">
        <v>186</v>
      </c>
      <c r="D344" s="214">
        <v>2.0</v>
      </c>
      <c r="E344" s="214">
        <v>1.0</v>
      </c>
      <c r="F344" s="214" t="s">
        <v>1105</v>
      </c>
      <c r="G344" s="214" t="s">
        <v>61</v>
      </c>
      <c r="H344" s="214" t="s">
        <v>43</v>
      </c>
      <c r="I344" s="214"/>
      <c r="J344" s="222" t="s">
        <v>67</v>
      </c>
      <c r="K344" s="222">
        <v>4.5</v>
      </c>
      <c r="L344" s="222" t="s">
        <v>67</v>
      </c>
      <c r="M344" s="222">
        <v>51.5</v>
      </c>
      <c r="N344" s="214">
        <v>99.0</v>
      </c>
      <c r="O344" s="214">
        <v>90.0</v>
      </c>
      <c r="P344" s="214">
        <v>2.0</v>
      </c>
      <c r="Q344" s="214" t="b">
        <v>1</v>
      </c>
      <c r="R344" s="214">
        <v>100.0</v>
      </c>
      <c r="S344" s="214" t="s">
        <v>525</v>
      </c>
      <c r="T344" s="214" t="s">
        <v>365</v>
      </c>
      <c r="U344" s="214"/>
    </row>
    <row r="345">
      <c r="A345" s="221">
        <v>45916.06849857639</v>
      </c>
      <c r="B345" s="214" t="s">
        <v>311</v>
      </c>
      <c r="C345" s="214" t="s">
        <v>206</v>
      </c>
      <c r="D345" s="214">
        <v>3.0</v>
      </c>
      <c r="E345" s="214">
        <v>0.0</v>
      </c>
      <c r="F345" s="214" t="s">
        <v>1135</v>
      </c>
      <c r="G345" s="214" t="s">
        <v>61</v>
      </c>
      <c r="H345" s="214" t="s">
        <v>224</v>
      </c>
      <c r="I345" s="214"/>
      <c r="J345" s="222" t="s">
        <v>67</v>
      </c>
      <c r="K345" s="222">
        <v>-7.0</v>
      </c>
      <c r="L345" s="222" t="s">
        <v>67</v>
      </c>
      <c r="M345" s="222">
        <v>46.5</v>
      </c>
      <c r="N345" s="214">
        <v>60.0</v>
      </c>
      <c r="O345" s="214">
        <v>27.0</v>
      </c>
      <c r="P345" s="214">
        <v>2.0</v>
      </c>
      <c r="Q345" s="214" t="b">
        <v>1</v>
      </c>
      <c r="R345" s="214">
        <v>100.0</v>
      </c>
      <c r="S345" s="214" t="s">
        <v>556</v>
      </c>
      <c r="T345" s="214" t="s">
        <v>321</v>
      </c>
      <c r="U345" s="214"/>
    </row>
    <row r="346">
      <c r="A346" s="221">
        <v>45916.06849857639</v>
      </c>
      <c r="B346" s="214" t="s">
        <v>311</v>
      </c>
      <c r="C346" s="214" t="s">
        <v>122</v>
      </c>
      <c r="D346" s="214">
        <v>0.0</v>
      </c>
      <c r="E346" s="214">
        <v>3.0</v>
      </c>
      <c r="F346" s="214" t="s">
        <v>1125</v>
      </c>
      <c r="G346" s="214" t="s">
        <v>61</v>
      </c>
      <c r="H346" s="214" t="s">
        <v>62</v>
      </c>
      <c r="I346" s="214"/>
      <c r="J346" s="222" t="s">
        <v>67</v>
      </c>
      <c r="K346" s="222">
        <v>-5.5</v>
      </c>
      <c r="L346" s="222" t="s">
        <v>67</v>
      </c>
      <c r="M346" s="222">
        <v>51.5</v>
      </c>
      <c r="N346" s="214">
        <v>57.0</v>
      </c>
      <c r="O346" s="214">
        <v>113.0</v>
      </c>
      <c r="P346" s="214">
        <v>2.0</v>
      </c>
      <c r="Q346" s="214" t="b">
        <v>1</v>
      </c>
      <c r="R346" s="214">
        <v>100.0</v>
      </c>
      <c r="S346" s="214" t="s">
        <v>317</v>
      </c>
      <c r="T346" s="214" t="s">
        <v>321</v>
      </c>
      <c r="U346" s="214"/>
    </row>
    <row r="347">
      <c r="A347" s="221">
        <v>45916.06849857639</v>
      </c>
      <c r="B347" s="214" t="s">
        <v>311</v>
      </c>
      <c r="C347" s="214" t="s">
        <v>152</v>
      </c>
      <c r="D347" s="214">
        <v>1.0</v>
      </c>
      <c r="E347" s="214">
        <v>2.0</v>
      </c>
      <c r="F347" s="214" t="s">
        <v>1136</v>
      </c>
      <c r="G347" s="214" t="s">
        <v>61</v>
      </c>
      <c r="H347" s="214"/>
      <c r="I347" s="214"/>
      <c r="J347" s="222"/>
      <c r="K347" s="222"/>
      <c r="L347" s="222"/>
      <c r="M347" s="222"/>
      <c r="N347" s="214">
        <v>65.0</v>
      </c>
      <c r="O347" s="214">
        <v>73.0</v>
      </c>
      <c r="P347" s="214">
        <v>2.0</v>
      </c>
      <c r="Q347" s="214" t="b">
        <v>0</v>
      </c>
      <c r="R347" s="214">
        <v>100.0</v>
      </c>
      <c r="S347" s="214" t="s">
        <v>441</v>
      </c>
      <c r="T347" s="214" t="s">
        <v>365</v>
      </c>
      <c r="U347" s="214"/>
    </row>
    <row r="348">
      <c r="A348" s="221">
        <v>45916.06849857639</v>
      </c>
      <c r="B348" s="214" t="s">
        <v>311</v>
      </c>
      <c r="C348" s="214" t="s">
        <v>125</v>
      </c>
      <c r="D348" s="214">
        <v>4.0</v>
      </c>
      <c r="E348" s="214">
        <v>0.0</v>
      </c>
      <c r="F348" s="214" t="s">
        <v>1137</v>
      </c>
      <c r="G348" s="214" t="s">
        <v>61</v>
      </c>
      <c r="H348" s="214" t="s">
        <v>132</v>
      </c>
      <c r="I348" s="214"/>
      <c r="J348" s="222" t="s">
        <v>67</v>
      </c>
      <c r="K348" s="222">
        <v>-21.0</v>
      </c>
      <c r="L348" s="222" t="s">
        <v>67</v>
      </c>
      <c r="M348" s="222">
        <v>55.5</v>
      </c>
      <c r="N348" s="214">
        <v>119.0</v>
      </c>
      <c r="O348" s="214">
        <v>57.0</v>
      </c>
      <c r="P348" s="214">
        <v>2.0</v>
      </c>
      <c r="Q348" s="214" t="b">
        <v>1</v>
      </c>
      <c r="R348" s="214">
        <v>100.0</v>
      </c>
      <c r="S348" s="214" t="s">
        <v>471</v>
      </c>
      <c r="T348" s="214" t="s">
        <v>321</v>
      </c>
      <c r="U348" s="214"/>
    </row>
    <row r="349">
      <c r="A349" s="221">
        <v>45916.06849857639</v>
      </c>
      <c r="B349" s="214" t="s">
        <v>311</v>
      </c>
      <c r="C349" s="214" t="s">
        <v>161</v>
      </c>
      <c r="D349" s="214">
        <v>1.0</v>
      </c>
      <c r="E349" s="214">
        <v>2.0</v>
      </c>
      <c r="F349" s="214" t="s">
        <v>1138</v>
      </c>
      <c r="G349" s="214" t="s">
        <v>61</v>
      </c>
      <c r="H349" s="214"/>
      <c r="I349" s="214"/>
      <c r="J349" s="222"/>
      <c r="K349" s="222"/>
      <c r="L349" s="222"/>
      <c r="M349" s="222"/>
      <c r="N349" s="214">
        <v>108.0</v>
      </c>
      <c r="O349" s="214">
        <v>105.0</v>
      </c>
      <c r="P349" s="214">
        <v>2.0</v>
      </c>
      <c r="Q349" s="214" t="b">
        <v>0</v>
      </c>
      <c r="R349" s="214">
        <v>100.0</v>
      </c>
      <c r="S349" s="214" t="s">
        <v>361</v>
      </c>
      <c r="T349" s="214" t="s">
        <v>365</v>
      </c>
      <c r="U349" s="214"/>
    </row>
    <row r="350">
      <c r="A350" s="221">
        <v>45916.06849857639</v>
      </c>
      <c r="B350" s="214" t="s">
        <v>311</v>
      </c>
      <c r="C350" s="214" t="s">
        <v>192</v>
      </c>
      <c r="D350" s="214">
        <v>3.0</v>
      </c>
      <c r="E350" s="214">
        <v>0.0</v>
      </c>
      <c r="F350" s="214" t="s">
        <v>1139</v>
      </c>
      <c r="G350" s="214" t="s">
        <v>61</v>
      </c>
      <c r="H350" s="214" t="s">
        <v>493</v>
      </c>
      <c r="I350" s="214"/>
      <c r="J350" s="222" t="s">
        <v>67</v>
      </c>
      <c r="K350" s="222">
        <v>-27.5</v>
      </c>
      <c r="L350" s="222" t="s">
        <v>67</v>
      </c>
      <c r="M350" s="222">
        <v>48.5</v>
      </c>
      <c r="N350" s="214">
        <v>162.0</v>
      </c>
      <c r="O350" s="214">
        <v>30.0</v>
      </c>
      <c r="P350" s="214">
        <v>2.0</v>
      </c>
      <c r="Q350" s="214" t="b">
        <v>1</v>
      </c>
      <c r="R350" s="214">
        <v>100.0</v>
      </c>
      <c r="S350" s="214" t="s">
        <v>407</v>
      </c>
      <c r="T350" s="214" t="s">
        <v>321</v>
      </c>
      <c r="U350" s="214"/>
    </row>
    <row r="351">
      <c r="A351" s="221">
        <v>45916.06849857639</v>
      </c>
      <c r="B351" s="214" t="s">
        <v>311</v>
      </c>
      <c r="C351" s="214" t="s">
        <v>139</v>
      </c>
      <c r="D351" s="214">
        <v>2.0</v>
      </c>
      <c r="E351" s="214">
        <v>1.0</v>
      </c>
      <c r="F351" s="214" t="s">
        <v>1140</v>
      </c>
      <c r="G351" s="214" t="s">
        <v>61</v>
      </c>
      <c r="H351" s="214" t="s">
        <v>132</v>
      </c>
      <c r="I351" s="214"/>
      <c r="J351" s="222" t="s">
        <v>67</v>
      </c>
      <c r="K351" s="222">
        <v>-27.5</v>
      </c>
      <c r="L351" s="222" t="s">
        <v>67</v>
      </c>
      <c r="M351" s="222">
        <v>42.5</v>
      </c>
      <c r="N351" s="214">
        <v>110.0</v>
      </c>
      <c r="O351" s="214">
        <v>44.0</v>
      </c>
      <c r="P351" s="214">
        <v>2.0</v>
      </c>
      <c r="Q351" s="214" t="b">
        <v>1</v>
      </c>
      <c r="R351" s="214">
        <v>100.0</v>
      </c>
      <c r="S351" s="214" t="s">
        <v>407</v>
      </c>
      <c r="T351" s="214" t="s">
        <v>321</v>
      </c>
      <c r="U351" s="214"/>
    </row>
    <row r="352">
      <c r="A352" s="221">
        <v>45916.06849857639</v>
      </c>
      <c r="B352" s="214"/>
      <c r="C352" s="214"/>
      <c r="D352" s="214"/>
      <c r="E352" s="214"/>
      <c r="F352" s="214"/>
      <c r="G352" s="214"/>
      <c r="H352" s="214"/>
      <c r="I352" s="214"/>
      <c r="J352" s="222"/>
      <c r="K352" s="222"/>
      <c r="L352" s="222"/>
      <c r="M352" s="222"/>
      <c r="N352" s="214"/>
      <c r="O352" s="214"/>
      <c r="P352" s="214"/>
      <c r="Q352" s="214"/>
      <c r="R352" s="214"/>
      <c r="S352" s="214"/>
      <c r="T352" s="214"/>
      <c r="U352" s="214"/>
    </row>
    <row r="353">
      <c r="A353" s="221">
        <v>45916.06849857639</v>
      </c>
      <c r="B353" s="214" t="s">
        <v>224</v>
      </c>
      <c r="C353" s="214" t="s">
        <v>226</v>
      </c>
      <c r="D353" s="214">
        <v>2.0</v>
      </c>
      <c r="E353" s="214">
        <v>0.0</v>
      </c>
      <c r="F353" s="214"/>
      <c r="G353" s="214"/>
      <c r="H353" s="214"/>
      <c r="I353" s="214"/>
      <c r="J353" s="222"/>
      <c r="K353" s="222"/>
      <c r="L353" s="222"/>
      <c r="M353" s="222"/>
      <c r="N353" s="214">
        <v>96.0</v>
      </c>
      <c r="O353" s="214">
        <v>3.0</v>
      </c>
      <c r="P353" s="214">
        <v>0.0</v>
      </c>
      <c r="Q353" s="214" t="b">
        <v>1</v>
      </c>
      <c r="R353" s="214">
        <v>59.0</v>
      </c>
      <c r="S353" s="214" t="s">
        <v>471</v>
      </c>
      <c r="T353" s="214" t="s">
        <v>321</v>
      </c>
      <c r="U353" s="214"/>
    </row>
    <row r="354">
      <c r="A354" s="221">
        <v>45916.06849857639</v>
      </c>
      <c r="B354" s="214" t="s">
        <v>224</v>
      </c>
      <c r="C354" s="214" t="s">
        <v>185</v>
      </c>
      <c r="D354" s="214">
        <v>3.0</v>
      </c>
      <c r="E354" s="214">
        <v>0.0</v>
      </c>
      <c r="F354" s="214"/>
      <c r="G354" s="214"/>
      <c r="H354" s="214"/>
      <c r="I354" s="214"/>
      <c r="J354" s="222"/>
      <c r="K354" s="222"/>
      <c r="L354" s="222"/>
      <c r="M354" s="222"/>
      <c r="N354" s="214">
        <v>106.0</v>
      </c>
      <c r="O354" s="214">
        <v>75.0</v>
      </c>
      <c r="P354" s="214">
        <v>0.0</v>
      </c>
      <c r="Q354" s="214" t="b">
        <v>1</v>
      </c>
      <c r="R354" s="214">
        <v>59.0</v>
      </c>
      <c r="S354" s="214" t="s">
        <v>525</v>
      </c>
      <c r="T354" s="214" t="s">
        <v>365</v>
      </c>
      <c r="U354" s="214"/>
    </row>
    <row r="355">
      <c r="A355" s="221">
        <v>45916.06849857639</v>
      </c>
      <c r="B355" s="214" t="s">
        <v>224</v>
      </c>
      <c r="C355" s="214" t="s">
        <v>113</v>
      </c>
      <c r="D355" s="214">
        <v>2.0</v>
      </c>
      <c r="E355" s="214">
        <v>0.0</v>
      </c>
      <c r="F355" s="214"/>
      <c r="G355" s="214"/>
      <c r="H355" s="214"/>
      <c r="I355" s="214"/>
      <c r="J355" s="222"/>
      <c r="K355" s="222"/>
      <c r="L355" s="222"/>
      <c r="M355" s="222"/>
      <c r="N355" s="214">
        <v>108.0</v>
      </c>
      <c r="O355" s="214">
        <v>20.0</v>
      </c>
      <c r="P355" s="214">
        <v>0.0</v>
      </c>
      <c r="Q355" s="214" t="b">
        <v>1</v>
      </c>
      <c r="R355" s="214">
        <v>59.0</v>
      </c>
      <c r="S355" s="214" t="s">
        <v>317</v>
      </c>
      <c r="T355" s="214" t="s">
        <v>321</v>
      </c>
      <c r="U355" s="214"/>
    </row>
    <row r="356">
      <c r="A356" s="221">
        <v>45916.06849857639</v>
      </c>
      <c r="B356" s="214" t="s">
        <v>224</v>
      </c>
      <c r="C356" s="214" t="s">
        <v>103</v>
      </c>
      <c r="D356" s="214">
        <v>3.0</v>
      </c>
      <c r="E356" s="214">
        <v>0.0</v>
      </c>
      <c r="F356" s="214" t="s">
        <v>1141</v>
      </c>
      <c r="G356" s="214" t="s">
        <v>61</v>
      </c>
      <c r="H356" s="214" t="s">
        <v>493</v>
      </c>
      <c r="I356" s="214"/>
      <c r="J356" s="222" t="s">
        <v>67</v>
      </c>
      <c r="K356" s="222">
        <v>-14.0</v>
      </c>
      <c r="L356" s="222" t="s">
        <v>67</v>
      </c>
      <c r="M356" s="222">
        <v>51.5</v>
      </c>
      <c r="N356" s="214">
        <v>132.0</v>
      </c>
      <c r="O356" s="214">
        <v>54.0</v>
      </c>
      <c r="P356" s="214">
        <v>2.0</v>
      </c>
      <c r="Q356" s="214" t="b">
        <v>0</v>
      </c>
      <c r="R356" s="214">
        <v>100.0</v>
      </c>
      <c r="S356" s="214" t="s">
        <v>361</v>
      </c>
      <c r="T356" s="214" t="s">
        <v>365</v>
      </c>
      <c r="U356" s="214"/>
    </row>
    <row r="357">
      <c r="A357" s="221">
        <v>45916.06849857639</v>
      </c>
      <c r="B357" s="214" t="s">
        <v>224</v>
      </c>
      <c r="C357" s="214" t="s">
        <v>203</v>
      </c>
      <c r="D357" s="214">
        <v>1.0</v>
      </c>
      <c r="E357" s="214">
        <v>2.0</v>
      </c>
      <c r="F357" s="214" t="s">
        <v>1135</v>
      </c>
      <c r="G357" s="214" t="s">
        <v>61</v>
      </c>
      <c r="H357" s="214" t="s">
        <v>311</v>
      </c>
      <c r="I357" s="214"/>
      <c r="J357" s="222" t="s">
        <v>67</v>
      </c>
      <c r="K357" s="222">
        <v>7.0</v>
      </c>
      <c r="L357" s="222" t="s">
        <v>67</v>
      </c>
      <c r="M357" s="222">
        <v>46.5</v>
      </c>
      <c r="N357" s="214">
        <v>81.0</v>
      </c>
      <c r="O357" s="214">
        <v>38.0</v>
      </c>
      <c r="P357" s="214">
        <v>2.0</v>
      </c>
      <c r="Q357" s="214" t="b">
        <v>0</v>
      </c>
      <c r="R357" s="214">
        <v>100.0</v>
      </c>
      <c r="S357" s="214" t="s">
        <v>556</v>
      </c>
      <c r="T357" s="214" t="s">
        <v>321</v>
      </c>
      <c r="U357" s="214"/>
    </row>
    <row r="358">
      <c r="A358" s="221">
        <v>45916.06849857639</v>
      </c>
      <c r="B358" s="214" t="s">
        <v>224</v>
      </c>
      <c r="C358" s="214" t="s">
        <v>216</v>
      </c>
      <c r="D358" s="214">
        <v>1.0</v>
      </c>
      <c r="E358" s="214">
        <v>2.0</v>
      </c>
      <c r="F358" s="214" t="s">
        <v>1142</v>
      </c>
      <c r="G358" s="214" t="s">
        <v>61</v>
      </c>
      <c r="H358" s="214" t="s">
        <v>156</v>
      </c>
      <c r="I358" s="214"/>
      <c r="J358" s="222" t="s">
        <v>67</v>
      </c>
      <c r="K358" s="222">
        <v>-3.5</v>
      </c>
      <c r="L358" s="222" t="s">
        <v>67</v>
      </c>
      <c r="M358" s="222">
        <v>58.5</v>
      </c>
      <c r="N358" s="214">
        <v>75.0</v>
      </c>
      <c r="O358" s="214">
        <v>135.0</v>
      </c>
      <c r="P358" s="214">
        <v>2.0</v>
      </c>
      <c r="Q358" s="214" t="b">
        <v>0</v>
      </c>
      <c r="R358" s="214">
        <v>100.0</v>
      </c>
      <c r="S358" s="214" t="s">
        <v>441</v>
      </c>
      <c r="T358" s="214" t="s">
        <v>365</v>
      </c>
      <c r="U358" s="214"/>
    </row>
    <row r="359">
      <c r="A359" s="221">
        <v>45916.06849857639</v>
      </c>
      <c r="B359" s="214" t="s">
        <v>224</v>
      </c>
      <c r="C359" s="214" t="s">
        <v>166</v>
      </c>
      <c r="D359" s="214">
        <v>2.0</v>
      </c>
      <c r="E359" s="214">
        <v>1.0</v>
      </c>
      <c r="F359" s="214" t="s">
        <v>1126</v>
      </c>
      <c r="G359" s="214" t="s">
        <v>61</v>
      </c>
      <c r="H359" s="214" t="s">
        <v>62</v>
      </c>
      <c r="I359" s="214"/>
      <c r="J359" s="222" t="s">
        <v>67</v>
      </c>
      <c r="K359" s="222">
        <v>5.5</v>
      </c>
      <c r="L359" s="222" t="s">
        <v>67</v>
      </c>
      <c r="M359" s="222">
        <v>51.5</v>
      </c>
      <c r="N359" s="214">
        <v>69.0</v>
      </c>
      <c r="O359" s="214">
        <v>54.0</v>
      </c>
      <c r="P359" s="214">
        <v>2.0</v>
      </c>
      <c r="Q359" s="214" t="b">
        <v>0</v>
      </c>
      <c r="R359" s="214">
        <v>100.0</v>
      </c>
      <c r="S359" s="214" t="s">
        <v>530</v>
      </c>
      <c r="T359" s="214" t="s">
        <v>365</v>
      </c>
      <c r="U359" s="214"/>
    </row>
    <row r="360">
      <c r="A360" s="221">
        <v>45916.06849857639</v>
      </c>
      <c r="B360" s="214" t="s">
        <v>224</v>
      </c>
      <c r="C360" s="214" t="s">
        <v>140</v>
      </c>
      <c r="D360" s="214">
        <v>3.0</v>
      </c>
      <c r="E360" s="214">
        <v>0.0</v>
      </c>
      <c r="F360" s="214" t="s">
        <v>1143</v>
      </c>
      <c r="G360" s="214" t="s">
        <v>61</v>
      </c>
      <c r="H360" s="214"/>
      <c r="I360" s="214"/>
      <c r="J360" s="222"/>
      <c r="K360" s="222"/>
      <c r="L360" s="222"/>
      <c r="M360" s="222"/>
      <c r="N360" s="214">
        <v>106.0</v>
      </c>
      <c r="O360" s="214">
        <v>70.0</v>
      </c>
      <c r="P360" s="214">
        <v>2.0</v>
      </c>
      <c r="Q360" s="214" t="b">
        <v>0</v>
      </c>
      <c r="R360" s="214">
        <v>100.0</v>
      </c>
      <c r="S360" s="214" t="s">
        <v>407</v>
      </c>
      <c r="T360" s="214" t="s">
        <v>321</v>
      </c>
      <c r="U360" s="214"/>
    </row>
    <row r="361">
      <c r="A361" s="221">
        <v>45916.06849857639</v>
      </c>
      <c r="B361" s="214" t="s">
        <v>224</v>
      </c>
      <c r="C361" s="214" t="s">
        <v>191</v>
      </c>
      <c r="D361" s="214">
        <v>1.0</v>
      </c>
      <c r="E361" s="214">
        <v>2.0</v>
      </c>
      <c r="F361" s="214" t="s">
        <v>1144</v>
      </c>
      <c r="G361" s="214" t="s">
        <v>61</v>
      </c>
      <c r="H361" s="214" t="s">
        <v>395</v>
      </c>
      <c r="I361" s="214"/>
      <c r="J361" s="222" t="s">
        <v>67</v>
      </c>
      <c r="K361" s="222">
        <v>3.5</v>
      </c>
      <c r="L361" s="222" t="s">
        <v>67</v>
      </c>
      <c r="M361" s="222">
        <v>44.5</v>
      </c>
      <c r="N361" s="214">
        <v>71.0</v>
      </c>
      <c r="O361" s="214">
        <v>70.0</v>
      </c>
      <c r="P361" s="214">
        <v>2.0</v>
      </c>
      <c r="Q361" s="214" t="b">
        <v>1</v>
      </c>
      <c r="R361" s="214">
        <v>100.0</v>
      </c>
      <c r="S361" s="214" t="s">
        <v>471</v>
      </c>
      <c r="T361" s="214" t="s">
        <v>321</v>
      </c>
      <c r="U361" s="214"/>
    </row>
    <row r="362">
      <c r="A362" s="221">
        <v>45916.06849857639</v>
      </c>
      <c r="B362" s="214" t="s">
        <v>224</v>
      </c>
      <c r="C362" s="214" t="s">
        <v>235</v>
      </c>
      <c r="D362" s="214">
        <v>2.0</v>
      </c>
      <c r="E362" s="214">
        <v>1.0</v>
      </c>
      <c r="F362" s="214" t="s">
        <v>1145</v>
      </c>
      <c r="G362" s="214" t="s">
        <v>532</v>
      </c>
      <c r="H362" s="214" t="s">
        <v>395</v>
      </c>
      <c r="I362" s="214"/>
      <c r="J362" s="222"/>
      <c r="K362" s="222"/>
      <c r="L362" s="222"/>
      <c r="M362" s="222"/>
      <c r="N362" s="214">
        <v>86.0</v>
      </c>
      <c r="O362" s="214">
        <v>89.0</v>
      </c>
      <c r="P362" s="214">
        <v>2.0</v>
      </c>
      <c r="Q362" s="214" t="b">
        <v>1</v>
      </c>
      <c r="R362" s="214">
        <v>100.0</v>
      </c>
      <c r="S362" s="214" t="s">
        <v>535</v>
      </c>
      <c r="T362" s="214" t="s">
        <v>365</v>
      </c>
      <c r="U362" s="214"/>
    </row>
    <row r="363">
      <c r="A363" s="221">
        <v>45916.06849857639</v>
      </c>
      <c r="B363" s="214"/>
      <c r="C363" s="214"/>
      <c r="D363" s="214"/>
      <c r="E363" s="214"/>
      <c r="F363" s="214"/>
      <c r="G363" s="214"/>
      <c r="H363" s="214"/>
      <c r="I363" s="214"/>
      <c r="J363" s="222"/>
      <c r="K363" s="222"/>
      <c r="L363" s="222"/>
      <c r="M363" s="222"/>
      <c r="N363" s="214"/>
      <c r="O363" s="214"/>
      <c r="P363" s="214"/>
      <c r="Q363" s="214"/>
      <c r="R363" s="214"/>
      <c r="S363" s="214"/>
      <c r="T363" s="214"/>
      <c r="U363" s="214"/>
    </row>
    <row r="364">
      <c r="A364" s="221">
        <v>45916.06849857639</v>
      </c>
      <c r="B364" s="214" t="s">
        <v>96</v>
      </c>
      <c r="C364" s="214" t="s">
        <v>129</v>
      </c>
      <c r="D364" s="214">
        <v>1.0</v>
      </c>
      <c r="E364" s="214">
        <v>1.0</v>
      </c>
      <c r="F364" s="214"/>
      <c r="G364" s="214"/>
      <c r="H364" s="214"/>
      <c r="I364" s="214"/>
      <c r="J364" s="222"/>
      <c r="K364" s="222"/>
      <c r="L364" s="222"/>
      <c r="M364" s="222"/>
      <c r="N364" s="214">
        <v>30.0</v>
      </c>
      <c r="O364" s="214">
        <v>76.0</v>
      </c>
      <c r="P364" s="214">
        <v>0.0</v>
      </c>
      <c r="Q364" s="214" t="b">
        <v>1</v>
      </c>
      <c r="R364" s="214">
        <v>59.0</v>
      </c>
      <c r="S364" s="214" t="s">
        <v>471</v>
      </c>
      <c r="T364" s="214" t="s">
        <v>321</v>
      </c>
      <c r="U364" s="214"/>
    </row>
    <row r="365">
      <c r="A365" s="221">
        <v>45916.06849857639</v>
      </c>
      <c r="B365" s="214" t="s">
        <v>96</v>
      </c>
      <c r="C365" s="214" t="s">
        <v>536</v>
      </c>
      <c r="D365" s="214">
        <v>3.0</v>
      </c>
      <c r="E365" s="214">
        <v>1.0</v>
      </c>
      <c r="F365" s="214" t="s">
        <v>1146</v>
      </c>
      <c r="G365" s="214" t="s">
        <v>61</v>
      </c>
      <c r="H365" s="214"/>
      <c r="I365" s="214"/>
      <c r="J365" s="222"/>
      <c r="K365" s="222"/>
      <c r="L365" s="222"/>
      <c r="M365" s="222"/>
      <c r="N365" s="214">
        <v>89.0</v>
      </c>
      <c r="O365" s="214">
        <v>83.0</v>
      </c>
      <c r="P365" s="214">
        <v>2.0</v>
      </c>
      <c r="Q365" s="214" t="b">
        <v>0</v>
      </c>
      <c r="R365" s="214">
        <v>100.0</v>
      </c>
      <c r="S365" s="214" t="s">
        <v>525</v>
      </c>
      <c r="T365" s="214" t="s">
        <v>365</v>
      </c>
      <c r="U365" s="214"/>
    </row>
    <row r="366">
      <c r="A366" s="221">
        <v>45916.06849857639</v>
      </c>
      <c r="B366" s="214" t="s">
        <v>96</v>
      </c>
      <c r="C366" s="214" t="s">
        <v>229</v>
      </c>
      <c r="D366" s="214">
        <v>0.0</v>
      </c>
      <c r="E366" s="214">
        <v>2.0</v>
      </c>
      <c r="F366" s="214" t="s">
        <v>1147</v>
      </c>
      <c r="G366" s="214" t="s">
        <v>61</v>
      </c>
      <c r="H366" s="214" t="s">
        <v>238</v>
      </c>
      <c r="I366" s="214"/>
      <c r="J366" s="222" t="s">
        <v>67</v>
      </c>
      <c r="K366" s="222">
        <v>-6.5</v>
      </c>
      <c r="L366" s="222" t="s">
        <v>67</v>
      </c>
      <c r="M366" s="222">
        <v>50.5</v>
      </c>
      <c r="N366" s="214">
        <v>64.0</v>
      </c>
      <c r="O366" s="214">
        <v>68.0</v>
      </c>
      <c r="P366" s="214">
        <v>2.0</v>
      </c>
      <c r="Q366" s="214" t="b">
        <v>0</v>
      </c>
      <c r="R366" s="214">
        <v>100.0</v>
      </c>
      <c r="S366" s="214" t="s">
        <v>725</v>
      </c>
      <c r="T366" s="214"/>
      <c r="U366" s="214"/>
    </row>
    <row r="367">
      <c r="A367" s="221">
        <v>45916.06849857639</v>
      </c>
      <c r="B367" s="214" t="s">
        <v>96</v>
      </c>
      <c r="C367" s="214" t="s">
        <v>173</v>
      </c>
      <c r="D367" s="214">
        <v>1.0</v>
      </c>
      <c r="E367" s="214">
        <v>2.0</v>
      </c>
      <c r="F367" s="214" t="s">
        <v>1131</v>
      </c>
      <c r="G367" s="214" t="s">
        <v>61</v>
      </c>
      <c r="H367" s="214" t="s">
        <v>193</v>
      </c>
      <c r="I367" s="214"/>
      <c r="J367" s="222" t="s">
        <v>67</v>
      </c>
      <c r="K367" s="222">
        <v>28.5</v>
      </c>
      <c r="L367" s="222" t="s">
        <v>67</v>
      </c>
      <c r="M367" s="222">
        <v>49.5</v>
      </c>
      <c r="N367" s="214">
        <v>57.0</v>
      </c>
      <c r="O367" s="214">
        <v>81.0</v>
      </c>
      <c r="P367" s="214">
        <v>2.0</v>
      </c>
      <c r="Q367" s="214" t="b">
        <v>0</v>
      </c>
      <c r="R367" s="214">
        <v>100.0</v>
      </c>
      <c r="S367" s="214" t="s">
        <v>530</v>
      </c>
      <c r="T367" s="214" t="s">
        <v>365</v>
      </c>
      <c r="U367" s="214"/>
    </row>
    <row r="368">
      <c r="A368" s="221">
        <v>45916.06849857639</v>
      </c>
      <c r="B368" s="214" t="s">
        <v>96</v>
      </c>
      <c r="C368" s="214" t="s">
        <v>105</v>
      </c>
      <c r="D368" s="214">
        <v>2.0</v>
      </c>
      <c r="E368" s="214">
        <v>1.0</v>
      </c>
      <c r="F368" s="214" t="s">
        <v>1148</v>
      </c>
      <c r="G368" s="214" t="s">
        <v>61</v>
      </c>
      <c r="H368" s="214" t="s">
        <v>156</v>
      </c>
      <c r="I368" s="214"/>
      <c r="J368" s="222" t="s">
        <v>67</v>
      </c>
      <c r="K368" s="222">
        <v>17.5</v>
      </c>
      <c r="L368" s="222" t="s">
        <v>67</v>
      </c>
      <c r="M368" s="222">
        <v>56.5</v>
      </c>
      <c r="N368" s="214">
        <v>64.0</v>
      </c>
      <c r="O368" s="214">
        <v>72.0</v>
      </c>
      <c r="P368" s="214">
        <v>2.0</v>
      </c>
      <c r="Q368" s="214" t="b">
        <v>1</v>
      </c>
      <c r="R368" s="214">
        <v>100.0</v>
      </c>
      <c r="S368" s="214" t="s">
        <v>361</v>
      </c>
      <c r="T368" s="214" t="s">
        <v>365</v>
      </c>
      <c r="U368" s="214"/>
    </row>
    <row r="369">
      <c r="A369" s="221">
        <v>45916.06849857639</v>
      </c>
      <c r="B369" s="214" t="s">
        <v>96</v>
      </c>
      <c r="C369" s="214" t="s">
        <v>142</v>
      </c>
      <c r="D369" s="214">
        <v>3.0</v>
      </c>
      <c r="E369" s="214">
        <v>0.0</v>
      </c>
      <c r="F369" s="214" t="s">
        <v>1149</v>
      </c>
      <c r="G369" s="214" t="s">
        <v>61</v>
      </c>
      <c r="H369" s="214"/>
      <c r="I369" s="214"/>
      <c r="J369" s="222"/>
      <c r="K369" s="222"/>
      <c r="L369" s="222"/>
      <c r="M369" s="222"/>
      <c r="N369" s="214">
        <v>147.0</v>
      </c>
      <c r="O369" s="214">
        <v>24.0</v>
      </c>
      <c r="P369" s="214">
        <v>2.0</v>
      </c>
      <c r="Q369" s="214" t="b">
        <v>0</v>
      </c>
      <c r="R369" s="214">
        <v>100.0</v>
      </c>
      <c r="S369" s="214" t="s">
        <v>407</v>
      </c>
      <c r="T369" s="214" t="s">
        <v>321</v>
      </c>
      <c r="U369" s="214"/>
    </row>
    <row r="370">
      <c r="A370" s="221">
        <v>45916.06849857639</v>
      </c>
      <c r="B370" s="214" t="s">
        <v>96</v>
      </c>
      <c r="C370" s="214" t="s">
        <v>222</v>
      </c>
      <c r="D370" s="214">
        <v>1.0</v>
      </c>
      <c r="E370" s="214">
        <v>2.0</v>
      </c>
      <c r="F370" s="214" t="s">
        <v>1150</v>
      </c>
      <c r="G370" s="214" t="s">
        <v>61</v>
      </c>
      <c r="H370" s="214" t="s">
        <v>238</v>
      </c>
      <c r="I370" s="214"/>
      <c r="J370" s="222" t="s">
        <v>67</v>
      </c>
      <c r="K370" s="222">
        <v>3.5</v>
      </c>
      <c r="L370" s="222" t="s">
        <v>67</v>
      </c>
      <c r="M370" s="222">
        <v>51.5</v>
      </c>
      <c r="N370" s="214">
        <v>61.0</v>
      </c>
      <c r="O370" s="214">
        <v>75.0</v>
      </c>
      <c r="P370" s="214">
        <v>2.0</v>
      </c>
      <c r="Q370" s="214" t="b">
        <v>1</v>
      </c>
      <c r="R370" s="214">
        <v>100.0</v>
      </c>
      <c r="S370" s="214" t="s">
        <v>441</v>
      </c>
      <c r="T370" s="214" t="s">
        <v>365</v>
      </c>
      <c r="U370" s="214"/>
    </row>
    <row r="371">
      <c r="A371" s="221">
        <v>45916.06849857639</v>
      </c>
      <c r="B371" s="214" t="s">
        <v>96</v>
      </c>
      <c r="C371" s="214" t="s">
        <v>121</v>
      </c>
      <c r="D371" s="214">
        <v>2.0</v>
      </c>
      <c r="E371" s="214">
        <v>1.0</v>
      </c>
      <c r="F371" s="214" t="s">
        <v>1151</v>
      </c>
      <c r="G371" s="214" t="s">
        <v>61</v>
      </c>
      <c r="H371" s="214"/>
      <c r="I371" s="214"/>
      <c r="J371" s="222"/>
      <c r="K371" s="222"/>
      <c r="L371" s="222"/>
      <c r="M371" s="222"/>
      <c r="N371" s="214">
        <v>134.0</v>
      </c>
      <c r="O371" s="214">
        <v>58.0</v>
      </c>
      <c r="P371" s="214">
        <v>2.0</v>
      </c>
      <c r="Q371" s="214" t="b">
        <v>0</v>
      </c>
      <c r="R371" s="214">
        <v>100.0</v>
      </c>
      <c r="S371" s="214" t="s">
        <v>317</v>
      </c>
      <c r="T371" s="214" t="s">
        <v>321</v>
      </c>
      <c r="U371" s="214"/>
    </row>
    <row r="372">
      <c r="A372" s="221">
        <v>45916.06849857639</v>
      </c>
      <c r="B372" s="214" t="s">
        <v>96</v>
      </c>
      <c r="C372" s="214" t="s">
        <v>153</v>
      </c>
      <c r="D372" s="214">
        <v>1.0</v>
      </c>
      <c r="E372" s="214">
        <v>2.0</v>
      </c>
      <c r="F372" s="214" t="s">
        <v>1152</v>
      </c>
      <c r="G372" s="214" t="s">
        <v>61</v>
      </c>
      <c r="H372" s="214" t="s">
        <v>156</v>
      </c>
      <c r="I372" s="214"/>
      <c r="J372" s="222" t="s">
        <v>67</v>
      </c>
      <c r="K372" s="222">
        <v>9.5</v>
      </c>
      <c r="L372" s="222" t="s">
        <v>67</v>
      </c>
      <c r="M372" s="222">
        <v>49.5</v>
      </c>
      <c r="N372" s="214">
        <v>38.0</v>
      </c>
      <c r="O372" s="214">
        <v>89.0</v>
      </c>
      <c r="P372" s="214">
        <v>2.0</v>
      </c>
      <c r="Q372" s="214" t="b">
        <v>0</v>
      </c>
      <c r="R372" s="214">
        <v>100.0</v>
      </c>
      <c r="S372" s="214" t="s">
        <v>535</v>
      </c>
      <c r="T372" s="214" t="s">
        <v>365</v>
      </c>
      <c r="U372" s="214"/>
    </row>
    <row r="373">
      <c r="A373" s="221">
        <v>45916.06849857639</v>
      </c>
      <c r="B373" s="214" t="s">
        <v>96</v>
      </c>
      <c r="C373" s="214" t="s">
        <v>204</v>
      </c>
      <c r="D373" s="214">
        <v>3.0</v>
      </c>
      <c r="E373" s="214">
        <v>0.0</v>
      </c>
      <c r="F373" s="214" t="s">
        <v>1134</v>
      </c>
      <c r="G373" s="214" t="s">
        <v>532</v>
      </c>
      <c r="H373" s="214" t="s">
        <v>193</v>
      </c>
      <c r="I373" s="214"/>
      <c r="J373" s="222" t="s">
        <v>67</v>
      </c>
      <c r="K373" s="222">
        <v>-4.0</v>
      </c>
      <c r="L373" s="222" t="s">
        <v>67</v>
      </c>
      <c r="M373" s="222">
        <v>50.5</v>
      </c>
      <c r="N373" s="214">
        <v>117.0</v>
      </c>
      <c r="O373" s="214">
        <v>54.0</v>
      </c>
      <c r="P373" s="214">
        <v>2.0</v>
      </c>
      <c r="Q373" s="214" t="b">
        <v>1</v>
      </c>
      <c r="R373" s="214">
        <v>100.0</v>
      </c>
      <c r="S373" s="214" t="s">
        <v>556</v>
      </c>
      <c r="T373" s="214" t="s">
        <v>321</v>
      </c>
      <c r="U373" s="214"/>
    </row>
    <row r="374">
      <c r="A374" s="221">
        <v>45916.06849857639</v>
      </c>
      <c r="B374" s="214"/>
      <c r="C374" s="214"/>
      <c r="D374" s="214"/>
      <c r="E374" s="214"/>
      <c r="F374" s="214"/>
      <c r="G374" s="214"/>
      <c r="H374" s="214"/>
      <c r="I374" s="214"/>
      <c r="J374" s="222"/>
      <c r="K374" s="222"/>
      <c r="L374" s="222"/>
      <c r="M374" s="222"/>
      <c r="N374" s="214"/>
      <c r="O374" s="214"/>
      <c r="P374" s="214"/>
      <c r="Q374" s="214"/>
      <c r="R374" s="214"/>
      <c r="S374" s="214"/>
      <c r="T374" s="214"/>
      <c r="U374" s="214"/>
    </row>
    <row r="375">
      <c r="A375" s="221">
        <v>45916.06849857639</v>
      </c>
      <c r="B375" s="214" t="s">
        <v>238</v>
      </c>
      <c r="C375" s="214" t="s">
        <v>548</v>
      </c>
      <c r="D375" s="214">
        <v>0.0</v>
      </c>
      <c r="E375" s="214">
        <v>2.0</v>
      </c>
      <c r="F375" s="214"/>
      <c r="G375" s="214"/>
      <c r="H375" s="214"/>
      <c r="I375" s="214"/>
      <c r="J375" s="222"/>
      <c r="K375" s="222"/>
      <c r="L375" s="222"/>
      <c r="M375" s="222"/>
      <c r="N375" s="214">
        <v>17.0</v>
      </c>
      <c r="O375" s="214">
        <v>62.0</v>
      </c>
      <c r="P375" s="214">
        <v>0.0</v>
      </c>
      <c r="Q375" s="214" t="b">
        <v>1</v>
      </c>
      <c r="R375" s="214">
        <v>59.0</v>
      </c>
      <c r="S375" s="214" t="s">
        <v>530</v>
      </c>
      <c r="T375" s="214" t="s">
        <v>365</v>
      </c>
      <c r="U375" s="214"/>
    </row>
    <row r="376">
      <c r="A376" s="221">
        <v>45916.06849857639</v>
      </c>
      <c r="B376" s="214" t="s">
        <v>238</v>
      </c>
      <c r="C376" s="214" t="s">
        <v>549</v>
      </c>
      <c r="D376" s="214">
        <v>0.0</v>
      </c>
      <c r="E376" s="214">
        <v>2.0</v>
      </c>
      <c r="F376" s="214"/>
      <c r="G376" s="214"/>
      <c r="H376" s="214"/>
      <c r="I376" s="214"/>
      <c r="J376" s="222"/>
      <c r="K376" s="222"/>
      <c r="L376" s="222"/>
      <c r="M376" s="222"/>
      <c r="N376" s="214">
        <v>21.0</v>
      </c>
      <c r="O376" s="214">
        <v>54.0</v>
      </c>
      <c r="P376" s="214">
        <v>0.0</v>
      </c>
      <c r="Q376" s="214" t="b">
        <v>1</v>
      </c>
      <c r="R376" s="214">
        <v>59.0</v>
      </c>
      <c r="S376" s="214" t="s">
        <v>525</v>
      </c>
      <c r="T376" s="214" t="s">
        <v>365</v>
      </c>
      <c r="U376" s="214"/>
    </row>
    <row r="377">
      <c r="A377" s="221">
        <v>45916.06849857639</v>
      </c>
      <c r="B377" s="214" t="s">
        <v>238</v>
      </c>
      <c r="C377" s="214" t="s">
        <v>141</v>
      </c>
      <c r="D377" s="214">
        <v>2.0</v>
      </c>
      <c r="E377" s="214">
        <v>1.0</v>
      </c>
      <c r="F377" s="214" t="s">
        <v>1122</v>
      </c>
      <c r="G377" s="214" t="s">
        <v>61</v>
      </c>
      <c r="H377" s="214" t="s">
        <v>62</v>
      </c>
      <c r="I377" s="214"/>
      <c r="J377" s="222" t="s">
        <v>67</v>
      </c>
      <c r="K377" s="222">
        <v>-2.5</v>
      </c>
      <c r="L377" s="222" t="s">
        <v>67</v>
      </c>
      <c r="M377" s="222">
        <v>41.5</v>
      </c>
      <c r="N377" s="214">
        <v>103.0</v>
      </c>
      <c r="O377" s="214">
        <v>37.0</v>
      </c>
      <c r="P377" s="214">
        <v>2.0</v>
      </c>
      <c r="Q377" s="214" t="b">
        <v>1</v>
      </c>
      <c r="R377" s="214">
        <v>100.0</v>
      </c>
      <c r="S377" s="214" t="s">
        <v>407</v>
      </c>
      <c r="T377" s="214" t="s">
        <v>321</v>
      </c>
      <c r="U377" s="214"/>
    </row>
    <row r="378">
      <c r="A378" s="221">
        <v>45916.06849857639</v>
      </c>
      <c r="B378" s="214" t="s">
        <v>238</v>
      </c>
      <c r="C378" s="214" t="s">
        <v>539</v>
      </c>
      <c r="D378" s="214">
        <v>3.0</v>
      </c>
      <c r="E378" s="214">
        <v>0.0</v>
      </c>
      <c r="F378" s="214" t="s">
        <v>1147</v>
      </c>
      <c r="G378" s="214" t="s">
        <v>61</v>
      </c>
      <c r="H378" s="214" t="s">
        <v>96</v>
      </c>
      <c r="I378" s="214"/>
      <c r="J378" s="222" t="s">
        <v>67</v>
      </c>
      <c r="K378" s="222">
        <v>6.5</v>
      </c>
      <c r="L378" s="222" t="s">
        <v>67</v>
      </c>
      <c r="M378" s="222">
        <v>50.5</v>
      </c>
      <c r="N378" s="214">
        <v>127.0</v>
      </c>
      <c r="O378" s="214">
        <v>86.0</v>
      </c>
      <c r="P378" s="214">
        <v>2.0</v>
      </c>
      <c r="Q378" s="214" t="b">
        <v>1</v>
      </c>
      <c r="R378" s="214">
        <v>100.0</v>
      </c>
      <c r="S378" s="214" t="s">
        <v>556</v>
      </c>
      <c r="T378" s="214" t="s">
        <v>321</v>
      </c>
      <c r="U378" s="214"/>
    </row>
    <row r="379">
      <c r="A379" s="221">
        <v>45916.06849857639</v>
      </c>
      <c r="B379" s="214" t="s">
        <v>238</v>
      </c>
      <c r="C379" s="214" t="s">
        <v>160</v>
      </c>
      <c r="D379" s="214">
        <v>1.0</v>
      </c>
      <c r="E379" s="214">
        <v>2.0</v>
      </c>
      <c r="F379" s="214" t="s">
        <v>1153</v>
      </c>
      <c r="G379" s="214" t="s">
        <v>61</v>
      </c>
      <c r="H379" s="214" t="s">
        <v>132</v>
      </c>
      <c r="I379" s="214"/>
      <c r="J379" s="222" t="s">
        <v>67</v>
      </c>
      <c r="K379" s="222">
        <v>40.5</v>
      </c>
      <c r="L379" s="222" t="s">
        <v>67</v>
      </c>
      <c r="M379" s="222">
        <v>51.5</v>
      </c>
      <c r="N379" s="214">
        <v>68.0</v>
      </c>
      <c r="O379" s="214">
        <v>72.0</v>
      </c>
      <c r="P379" s="214">
        <v>2.0</v>
      </c>
      <c r="Q379" s="214" t="b">
        <v>0</v>
      </c>
      <c r="R379" s="214">
        <v>100.0</v>
      </c>
      <c r="S379" s="214" t="s">
        <v>535</v>
      </c>
      <c r="T379" s="214" t="s">
        <v>365</v>
      </c>
      <c r="U379" s="214"/>
    </row>
    <row r="380">
      <c r="A380" s="221">
        <v>45916.06849857639</v>
      </c>
      <c r="B380" s="214" t="s">
        <v>238</v>
      </c>
      <c r="C380" s="214" t="s">
        <v>98</v>
      </c>
      <c r="D380" s="214">
        <v>2.0</v>
      </c>
      <c r="E380" s="214">
        <v>1.0</v>
      </c>
      <c r="F380" s="214" t="s">
        <v>1154</v>
      </c>
      <c r="G380" s="214" t="s">
        <v>61</v>
      </c>
      <c r="H380" s="214"/>
      <c r="I380" s="214"/>
      <c r="J380" s="222"/>
      <c r="K380" s="222"/>
      <c r="L380" s="222"/>
      <c r="M380" s="222"/>
      <c r="N380" s="214">
        <v>121.0</v>
      </c>
      <c r="O380" s="214">
        <v>40.0</v>
      </c>
      <c r="P380" s="214">
        <v>2.0</v>
      </c>
      <c r="Q380" s="214" t="b">
        <v>0</v>
      </c>
      <c r="R380" s="214">
        <v>100.0</v>
      </c>
      <c r="S380" s="214" t="s">
        <v>471</v>
      </c>
      <c r="T380" s="214" t="s">
        <v>321</v>
      </c>
      <c r="U380" s="214"/>
    </row>
    <row r="381">
      <c r="A381" s="221">
        <v>45916.06849857639</v>
      </c>
      <c r="B381" s="214" t="s">
        <v>238</v>
      </c>
      <c r="C381" s="214" t="s">
        <v>220</v>
      </c>
      <c r="D381" s="214">
        <v>1.0</v>
      </c>
      <c r="E381" s="214">
        <v>2.0</v>
      </c>
      <c r="F381" s="214" t="s">
        <v>1113</v>
      </c>
      <c r="G381" s="214" t="s">
        <v>61</v>
      </c>
      <c r="H381" s="214" t="s">
        <v>43</v>
      </c>
      <c r="I381" s="214"/>
      <c r="J381" s="222" t="s">
        <v>67</v>
      </c>
      <c r="K381" s="222">
        <v>24.5</v>
      </c>
      <c r="L381" s="222" t="s">
        <v>67</v>
      </c>
      <c r="M381" s="222">
        <v>53.5</v>
      </c>
      <c r="N381" s="214">
        <v>84.0</v>
      </c>
      <c r="O381" s="214">
        <v>85.0</v>
      </c>
      <c r="P381" s="214">
        <v>2.0</v>
      </c>
      <c r="Q381" s="214" t="b">
        <v>0</v>
      </c>
      <c r="R381" s="214">
        <v>100.0</v>
      </c>
      <c r="S381" s="214" t="s">
        <v>441</v>
      </c>
      <c r="T381" s="214" t="s">
        <v>365</v>
      </c>
      <c r="U381" s="214"/>
    </row>
    <row r="382">
      <c r="A382" s="221">
        <v>45916.06849857639</v>
      </c>
      <c r="B382" s="214" t="s">
        <v>238</v>
      </c>
      <c r="C382" s="214" t="s">
        <v>102</v>
      </c>
      <c r="D382" s="214">
        <v>3.0</v>
      </c>
      <c r="E382" s="214">
        <v>0.0</v>
      </c>
      <c r="F382" s="214" t="s">
        <v>1150</v>
      </c>
      <c r="G382" s="214" t="s">
        <v>61</v>
      </c>
      <c r="H382" s="214" t="s">
        <v>96</v>
      </c>
      <c r="I382" s="214"/>
      <c r="J382" s="222" t="s">
        <v>67</v>
      </c>
      <c r="K382" s="222">
        <v>-3.5</v>
      </c>
      <c r="L382" s="222" t="s">
        <v>67</v>
      </c>
      <c r="M382" s="222">
        <v>51.5</v>
      </c>
      <c r="N382" s="214">
        <v>111.0</v>
      </c>
      <c r="O382" s="214">
        <v>33.0</v>
      </c>
      <c r="P382" s="214">
        <v>2.0</v>
      </c>
      <c r="Q382" s="214" t="b">
        <v>0</v>
      </c>
      <c r="R382" s="214">
        <v>100.0</v>
      </c>
      <c r="S382" s="214" t="s">
        <v>361</v>
      </c>
      <c r="T382" s="214" t="s">
        <v>365</v>
      </c>
      <c r="U382" s="214"/>
    </row>
    <row r="383">
      <c r="A383" s="221">
        <v>45916.06849857639</v>
      </c>
      <c r="B383" s="214" t="s">
        <v>238</v>
      </c>
      <c r="C383" s="214" t="s">
        <v>148</v>
      </c>
      <c r="D383" s="214">
        <v>2.0</v>
      </c>
      <c r="E383" s="214">
        <v>1.0</v>
      </c>
      <c r="F383" s="214" t="s">
        <v>1127</v>
      </c>
      <c r="G383" s="214" t="s">
        <v>61</v>
      </c>
      <c r="H383" s="214" t="s">
        <v>62</v>
      </c>
      <c r="I383" s="214"/>
      <c r="J383" s="222" t="s">
        <v>67</v>
      </c>
      <c r="K383" s="222">
        <v>21.0</v>
      </c>
      <c r="L383" s="222" t="s">
        <v>67</v>
      </c>
      <c r="M383" s="222">
        <v>44.5</v>
      </c>
      <c r="N383" s="214">
        <v>73.0</v>
      </c>
      <c r="O383" s="214">
        <v>48.0</v>
      </c>
      <c r="P383" s="214">
        <v>2.0</v>
      </c>
      <c r="Q383" s="214" t="b">
        <v>1</v>
      </c>
      <c r="R383" s="214">
        <v>100.0</v>
      </c>
      <c r="S383" s="214" t="s">
        <v>407</v>
      </c>
      <c r="T383" s="214" t="s">
        <v>321</v>
      </c>
      <c r="U383" s="214"/>
    </row>
    <row r="384">
      <c r="A384" s="221">
        <v>45916.06849857639</v>
      </c>
      <c r="B384" s="214" t="s">
        <v>238</v>
      </c>
      <c r="C384" s="214" t="s">
        <v>119</v>
      </c>
      <c r="D384" s="214">
        <v>2.0</v>
      </c>
      <c r="E384" s="214">
        <v>1.0</v>
      </c>
      <c r="F384" s="214" t="s">
        <v>1155</v>
      </c>
      <c r="G384" s="214" t="s">
        <v>532</v>
      </c>
      <c r="H384" s="214" t="s">
        <v>132</v>
      </c>
      <c r="I384" s="214"/>
      <c r="J384" s="222" t="s">
        <v>67</v>
      </c>
      <c r="K384" s="222">
        <v>-7.5</v>
      </c>
      <c r="L384" s="222" t="s">
        <v>67</v>
      </c>
      <c r="M384" s="222">
        <v>55.5</v>
      </c>
      <c r="N384" s="214">
        <v>130.0</v>
      </c>
      <c r="O384" s="214">
        <v>57.0</v>
      </c>
      <c r="P384" s="214">
        <v>2.0</v>
      </c>
      <c r="Q384" s="214" t="b">
        <v>0</v>
      </c>
      <c r="R384" s="214">
        <v>100.0</v>
      </c>
      <c r="S384" s="214" t="s">
        <v>317</v>
      </c>
      <c r="T384" s="214" t="s">
        <v>321</v>
      </c>
      <c r="U384" s="214"/>
    </row>
    <row r="385">
      <c r="A385" s="221">
        <v>45916.06849857639</v>
      </c>
      <c r="B385" s="214"/>
      <c r="C385" s="214"/>
      <c r="D385" s="214"/>
      <c r="E385" s="214"/>
      <c r="F385" s="214"/>
      <c r="G385" s="214"/>
      <c r="H385" s="214"/>
      <c r="I385" s="214"/>
      <c r="J385" s="222"/>
      <c r="K385" s="222"/>
      <c r="L385" s="222"/>
      <c r="M385" s="222"/>
      <c r="N385" s="214"/>
      <c r="O385" s="214"/>
      <c r="P385" s="214"/>
      <c r="Q385" s="214"/>
      <c r="R385" s="214"/>
      <c r="S385" s="214"/>
      <c r="T385" s="214"/>
      <c r="U385" s="214"/>
    </row>
    <row r="386">
      <c r="A386" s="221">
        <v>45916.06849857639</v>
      </c>
      <c r="B386" s="214" t="s">
        <v>156</v>
      </c>
      <c r="C386" s="214" t="s">
        <v>109</v>
      </c>
      <c r="D386" s="214">
        <v>2.0</v>
      </c>
      <c r="E386" s="214">
        <v>0.0</v>
      </c>
      <c r="F386" s="214"/>
      <c r="G386" s="214"/>
      <c r="H386" s="214"/>
      <c r="I386" s="214"/>
      <c r="J386" s="222"/>
      <c r="K386" s="222"/>
      <c r="L386" s="222"/>
      <c r="M386" s="222"/>
      <c r="N386" s="214">
        <v>85.0</v>
      </c>
      <c r="O386" s="214">
        <v>17.0</v>
      </c>
      <c r="P386" s="214">
        <v>0.0</v>
      </c>
      <c r="Q386" s="214" t="b">
        <v>1</v>
      </c>
      <c r="R386" s="214">
        <v>59.0</v>
      </c>
      <c r="S386" s="214" t="s">
        <v>471</v>
      </c>
      <c r="T386" s="214" t="s">
        <v>321</v>
      </c>
      <c r="U386" s="214"/>
    </row>
    <row r="387">
      <c r="A387" s="221">
        <v>45916.06849857639</v>
      </c>
      <c r="B387" s="214" t="s">
        <v>156</v>
      </c>
      <c r="C387" s="214" t="s">
        <v>223</v>
      </c>
      <c r="D387" s="214">
        <v>1.0</v>
      </c>
      <c r="E387" s="214">
        <v>2.0</v>
      </c>
      <c r="F387" s="214" t="s">
        <v>1116</v>
      </c>
      <c r="G387" s="214" t="s">
        <v>61</v>
      </c>
      <c r="H387" s="214" t="s">
        <v>95</v>
      </c>
      <c r="I387" s="214"/>
      <c r="J387" s="222" t="s">
        <v>67</v>
      </c>
      <c r="K387" s="222">
        <v>8.5</v>
      </c>
      <c r="L387" s="222" t="s">
        <v>67</v>
      </c>
      <c r="M387" s="222">
        <v>57.5</v>
      </c>
      <c r="N387" s="214">
        <v>20.0</v>
      </c>
      <c r="O387" s="214">
        <v>86.0</v>
      </c>
      <c r="P387" s="214">
        <v>2.0</v>
      </c>
      <c r="Q387" s="214" t="b">
        <v>0</v>
      </c>
      <c r="R387" s="214">
        <v>100.0</v>
      </c>
      <c r="S387" s="214" t="s">
        <v>441</v>
      </c>
      <c r="T387" s="214" t="s">
        <v>365</v>
      </c>
      <c r="U387" s="214"/>
    </row>
    <row r="388">
      <c r="A388" s="221">
        <v>45916.06849857639</v>
      </c>
      <c r="B388" s="214" t="s">
        <v>156</v>
      </c>
      <c r="C388" s="214" t="s">
        <v>202</v>
      </c>
      <c r="D388" s="214">
        <v>2.0</v>
      </c>
      <c r="E388" s="214">
        <v>1.0</v>
      </c>
      <c r="F388" s="214" t="s">
        <v>1156</v>
      </c>
      <c r="G388" s="214" t="s">
        <v>61</v>
      </c>
      <c r="H388" s="214" t="s">
        <v>249</v>
      </c>
      <c r="I388" s="214"/>
      <c r="J388" s="222" t="s">
        <v>67</v>
      </c>
      <c r="K388" s="222">
        <v>6.5</v>
      </c>
      <c r="L388" s="222" t="s">
        <v>67</v>
      </c>
      <c r="M388" s="222">
        <v>62.5</v>
      </c>
      <c r="N388" s="214">
        <v>143.0</v>
      </c>
      <c r="O388" s="214">
        <v>62.0</v>
      </c>
      <c r="P388" s="214">
        <v>2.0</v>
      </c>
      <c r="Q388" s="214" t="b">
        <v>0</v>
      </c>
      <c r="R388" s="214">
        <v>100.0</v>
      </c>
      <c r="S388" s="214" t="s">
        <v>556</v>
      </c>
      <c r="T388" s="214" t="s">
        <v>321</v>
      </c>
      <c r="U388" s="214"/>
    </row>
    <row r="389">
      <c r="A389" s="221">
        <v>45916.06849857639</v>
      </c>
      <c r="B389" s="214" t="s">
        <v>156</v>
      </c>
      <c r="C389" s="214" t="s">
        <v>232</v>
      </c>
      <c r="D389" s="214">
        <v>1.0</v>
      </c>
      <c r="E389" s="214">
        <v>2.0</v>
      </c>
      <c r="F389" s="214" t="s">
        <v>1142</v>
      </c>
      <c r="G389" s="214" t="s">
        <v>61</v>
      </c>
      <c r="H389" s="214" t="s">
        <v>224</v>
      </c>
      <c r="I389" s="214"/>
      <c r="J389" s="222" t="s">
        <v>67</v>
      </c>
      <c r="K389" s="222">
        <v>3.5</v>
      </c>
      <c r="L389" s="222" t="s">
        <v>67</v>
      </c>
      <c r="M389" s="222">
        <v>58.5</v>
      </c>
      <c r="N389" s="214">
        <v>78.0</v>
      </c>
      <c r="O389" s="214">
        <v>82.0</v>
      </c>
      <c r="P389" s="214">
        <v>2.0</v>
      </c>
      <c r="Q389" s="214" t="b">
        <v>1</v>
      </c>
      <c r="R389" s="214">
        <v>100.0</v>
      </c>
      <c r="S389" s="214" t="s">
        <v>535</v>
      </c>
      <c r="T389" s="214" t="s">
        <v>365</v>
      </c>
      <c r="U389" s="214"/>
    </row>
    <row r="390">
      <c r="A390" s="221">
        <v>45916.06849857639</v>
      </c>
      <c r="B390" s="214" t="s">
        <v>156</v>
      </c>
      <c r="C390" s="214" t="s">
        <v>135</v>
      </c>
      <c r="D390" s="214">
        <v>3.0</v>
      </c>
      <c r="E390" s="214">
        <v>0.0</v>
      </c>
      <c r="F390" s="214" t="s">
        <v>1157</v>
      </c>
      <c r="G390" s="214" t="s">
        <v>61</v>
      </c>
      <c r="H390" s="214" t="s">
        <v>395</v>
      </c>
      <c r="I390" s="214"/>
      <c r="J390" s="222" t="s">
        <v>67</v>
      </c>
      <c r="K390" s="222">
        <v>-27.5</v>
      </c>
      <c r="L390" s="222" t="s">
        <v>67</v>
      </c>
      <c r="M390" s="222">
        <v>50.5</v>
      </c>
      <c r="N390" s="214">
        <v>135.0</v>
      </c>
      <c r="O390" s="214">
        <v>22.0</v>
      </c>
      <c r="P390" s="214">
        <v>2.0</v>
      </c>
      <c r="Q390" s="214" t="b">
        <v>1</v>
      </c>
      <c r="R390" s="214">
        <v>100.0</v>
      </c>
      <c r="S390" s="214" t="s">
        <v>407</v>
      </c>
      <c r="T390" s="214" t="s">
        <v>321</v>
      </c>
      <c r="U390" s="214"/>
    </row>
    <row r="391">
      <c r="A391" s="221">
        <v>45916.06849857639</v>
      </c>
      <c r="B391" s="214" t="s">
        <v>156</v>
      </c>
      <c r="C391" s="214" t="s">
        <v>116</v>
      </c>
      <c r="D391" s="214">
        <v>3.0</v>
      </c>
      <c r="E391" s="214">
        <v>0.0</v>
      </c>
      <c r="F391" s="214" t="s">
        <v>1148</v>
      </c>
      <c r="G391" s="214" t="s">
        <v>61</v>
      </c>
      <c r="H391" s="214" t="s">
        <v>96</v>
      </c>
      <c r="I391" s="214"/>
      <c r="J391" s="222" t="s">
        <v>67</v>
      </c>
      <c r="K391" s="222">
        <v>-17.5</v>
      </c>
      <c r="L391" s="222" t="s">
        <v>67</v>
      </c>
      <c r="M391" s="222">
        <v>56.5</v>
      </c>
      <c r="N391" s="214">
        <v>121.0</v>
      </c>
      <c r="O391" s="214">
        <v>39.0</v>
      </c>
      <c r="P391" s="214">
        <v>2.0</v>
      </c>
      <c r="Q391" s="214" t="b">
        <v>0</v>
      </c>
      <c r="R391" s="214">
        <v>100.0</v>
      </c>
      <c r="S391" s="214" t="s">
        <v>317</v>
      </c>
      <c r="T391" s="214" t="s">
        <v>321</v>
      </c>
      <c r="U391" s="214"/>
    </row>
    <row r="392">
      <c r="A392" s="221">
        <v>45916.06849857639</v>
      </c>
      <c r="B392" s="214" t="s">
        <v>156</v>
      </c>
      <c r="C392" s="214" t="s">
        <v>174</v>
      </c>
      <c r="D392" s="214">
        <v>2.0</v>
      </c>
      <c r="E392" s="214">
        <v>1.0</v>
      </c>
      <c r="F392" s="214" t="s">
        <v>1158</v>
      </c>
      <c r="G392" s="214" t="s">
        <v>61</v>
      </c>
      <c r="H392" s="214"/>
      <c r="I392" s="214"/>
      <c r="J392" s="222"/>
      <c r="K392" s="222"/>
      <c r="L392" s="222"/>
      <c r="M392" s="222"/>
      <c r="N392" s="214">
        <v>121.0</v>
      </c>
      <c r="O392" s="214">
        <v>45.0</v>
      </c>
      <c r="P392" s="214">
        <v>2.0</v>
      </c>
      <c r="Q392" s="214" t="b">
        <v>0</v>
      </c>
      <c r="R392" s="214">
        <v>100.0</v>
      </c>
      <c r="S392" s="214" t="s">
        <v>530</v>
      </c>
      <c r="T392" s="214" t="s">
        <v>365</v>
      </c>
      <c r="U392" s="214"/>
    </row>
    <row r="393">
      <c r="A393" s="221">
        <v>45916.06849857639</v>
      </c>
      <c r="B393" s="214" t="s">
        <v>156</v>
      </c>
      <c r="C393" s="214" t="s">
        <v>154</v>
      </c>
      <c r="D393" s="214">
        <v>3.0</v>
      </c>
      <c r="E393" s="214">
        <v>0.0</v>
      </c>
      <c r="F393" s="214" t="s">
        <v>1159</v>
      </c>
      <c r="G393" s="214" t="s">
        <v>61</v>
      </c>
      <c r="H393" s="214" t="s">
        <v>493</v>
      </c>
      <c r="I393" s="214"/>
      <c r="J393" s="222" t="s">
        <v>67</v>
      </c>
      <c r="K393" s="222">
        <v>-5.5</v>
      </c>
      <c r="L393" s="222" t="s">
        <v>67</v>
      </c>
      <c r="M393" s="222">
        <v>57.5</v>
      </c>
      <c r="N393" s="214">
        <v>143.0</v>
      </c>
      <c r="O393" s="214">
        <v>40.0</v>
      </c>
      <c r="P393" s="214">
        <v>2.0</v>
      </c>
      <c r="Q393" s="214" t="b">
        <v>1</v>
      </c>
      <c r="R393" s="214">
        <v>100.0</v>
      </c>
      <c r="S393" s="214" t="s">
        <v>361</v>
      </c>
      <c r="T393" s="214" t="s">
        <v>365</v>
      </c>
      <c r="U393" s="214"/>
    </row>
    <row r="394">
      <c r="A394" s="221">
        <v>45916.06849857639</v>
      </c>
      <c r="B394" s="214" t="s">
        <v>156</v>
      </c>
      <c r="C394" s="214" t="s">
        <v>208</v>
      </c>
      <c r="D394" s="214">
        <v>3.0</v>
      </c>
      <c r="E394" s="214">
        <v>0.0</v>
      </c>
      <c r="F394" s="214" t="s">
        <v>1133</v>
      </c>
      <c r="G394" s="214" t="s">
        <v>61</v>
      </c>
      <c r="H394" s="214" t="s">
        <v>193</v>
      </c>
      <c r="I394" s="214"/>
      <c r="J394" s="222" t="s">
        <v>67</v>
      </c>
      <c r="K394" s="222">
        <v>-26.5</v>
      </c>
      <c r="L394" s="222" t="s">
        <v>67</v>
      </c>
      <c r="M394" s="222">
        <v>47.5</v>
      </c>
      <c r="N394" s="214">
        <v>155.0</v>
      </c>
      <c r="O394" s="214">
        <v>47.0</v>
      </c>
      <c r="P394" s="214">
        <v>2.0</v>
      </c>
      <c r="Q394" s="214" t="b">
        <v>1</v>
      </c>
      <c r="R394" s="214">
        <v>100.0</v>
      </c>
      <c r="S394" s="214" t="s">
        <v>556</v>
      </c>
      <c r="T394" s="214" t="s">
        <v>321</v>
      </c>
      <c r="U394" s="214"/>
    </row>
    <row r="395">
      <c r="A395" s="221">
        <v>45916.06849857639</v>
      </c>
      <c r="B395" s="214" t="s">
        <v>156</v>
      </c>
      <c r="C395" s="214" t="s">
        <v>181</v>
      </c>
      <c r="D395" s="214">
        <v>1.0</v>
      </c>
      <c r="E395" s="214">
        <v>2.0</v>
      </c>
      <c r="F395" s="214" t="s">
        <v>1152</v>
      </c>
      <c r="G395" s="214" t="s">
        <v>61</v>
      </c>
      <c r="H395" s="214" t="s">
        <v>96</v>
      </c>
      <c r="I395" s="214"/>
      <c r="J395" s="222" t="s">
        <v>67</v>
      </c>
      <c r="K395" s="222">
        <v>-9.5</v>
      </c>
      <c r="L395" s="222" t="s">
        <v>67</v>
      </c>
      <c r="M395" s="222">
        <v>49.5</v>
      </c>
      <c r="N395" s="214">
        <v>44.0</v>
      </c>
      <c r="O395" s="214">
        <v>77.0</v>
      </c>
      <c r="P395" s="214">
        <v>2.0</v>
      </c>
      <c r="Q395" s="214" t="b">
        <v>1</v>
      </c>
      <c r="R395" s="214">
        <v>100.0</v>
      </c>
      <c r="S395" s="214" t="s">
        <v>525</v>
      </c>
      <c r="T395" s="214" t="s">
        <v>365</v>
      </c>
      <c r="U395" s="214"/>
    </row>
    <row r="396">
      <c r="A396" s="221">
        <v>45916.06849857639</v>
      </c>
      <c r="B396" s="214"/>
      <c r="C396" s="214"/>
      <c r="D396" s="214"/>
      <c r="E396" s="214"/>
      <c r="F396" s="214"/>
      <c r="G396" s="214"/>
      <c r="H396" s="214"/>
      <c r="I396" s="214"/>
      <c r="J396" s="222"/>
      <c r="K396" s="222"/>
      <c r="L396" s="222"/>
      <c r="M396" s="222"/>
      <c r="N396" s="214"/>
      <c r="O396" s="214"/>
      <c r="P396" s="214"/>
      <c r="Q396" s="214"/>
      <c r="R396" s="214"/>
      <c r="S396" s="214"/>
      <c r="T396" s="214"/>
      <c r="U396" s="214"/>
    </row>
    <row r="397">
      <c r="A397" s="221">
        <v>45916.06849857639</v>
      </c>
      <c r="B397" s="214" t="s">
        <v>249</v>
      </c>
      <c r="C397" s="214" t="s">
        <v>183</v>
      </c>
      <c r="D397" s="214">
        <v>1.0</v>
      </c>
      <c r="E397" s="214">
        <v>1.0</v>
      </c>
      <c r="F397" s="214"/>
      <c r="G397" s="214"/>
      <c r="H397" s="214"/>
      <c r="I397" s="214"/>
      <c r="J397" s="222"/>
      <c r="K397" s="222"/>
      <c r="L397" s="222"/>
      <c r="M397" s="222"/>
      <c r="N397" s="214">
        <v>55.0</v>
      </c>
      <c r="O397" s="214">
        <v>36.0</v>
      </c>
      <c r="P397" s="214">
        <v>0.0</v>
      </c>
      <c r="Q397" s="214" t="b">
        <v>1</v>
      </c>
      <c r="R397" s="214">
        <v>59.0</v>
      </c>
      <c r="S397" s="214" t="s">
        <v>525</v>
      </c>
      <c r="T397" s="214" t="s">
        <v>365</v>
      </c>
      <c r="U397" s="214"/>
    </row>
    <row r="398">
      <c r="A398" s="221">
        <v>45916.06849857639</v>
      </c>
      <c r="B398" s="214" t="s">
        <v>249</v>
      </c>
      <c r="C398" s="214" t="s">
        <v>112</v>
      </c>
      <c r="D398" s="214">
        <v>1.0</v>
      </c>
      <c r="E398" s="214">
        <v>2.0</v>
      </c>
      <c r="F398" s="214" t="s">
        <v>1160</v>
      </c>
      <c r="G398" s="214" t="s">
        <v>61</v>
      </c>
      <c r="H398" s="214" t="s">
        <v>132</v>
      </c>
      <c r="I398" s="214"/>
      <c r="J398" s="222" t="s">
        <v>67</v>
      </c>
      <c r="K398" s="222">
        <v>1.5</v>
      </c>
      <c r="L398" s="222" t="s">
        <v>67</v>
      </c>
      <c r="M398" s="222">
        <v>52.5</v>
      </c>
      <c r="N398" s="214">
        <v>91.0</v>
      </c>
      <c r="O398" s="214">
        <v>96.0</v>
      </c>
      <c r="P398" s="214">
        <v>2.0</v>
      </c>
      <c r="Q398" s="214" t="b">
        <v>0</v>
      </c>
      <c r="R398" s="214">
        <v>100.0</v>
      </c>
      <c r="S398" s="214" t="s">
        <v>317</v>
      </c>
      <c r="T398" s="214" t="s">
        <v>321</v>
      </c>
      <c r="U398" s="214"/>
    </row>
    <row r="399">
      <c r="A399" s="221">
        <v>45916.06849857639</v>
      </c>
      <c r="B399" s="214" t="s">
        <v>249</v>
      </c>
      <c r="C399" s="214" t="s">
        <v>151</v>
      </c>
      <c r="D399" s="214">
        <v>2.0</v>
      </c>
      <c r="E399" s="214">
        <v>1.0</v>
      </c>
      <c r="F399" s="214" t="s">
        <v>1106</v>
      </c>
      <c r="G399" s="214" t="s">
        <v>61</v>
      </c>
      <c r="H399" s="214" t="s">
        <v>43</v>
      </c>
      <c r="I399" s="214"/>
      <c r="J399" s="222" t="s">
        <v>67</v>
      </c>
      <c r="K399" s="222">
        <v>-10.0</v>
      </c>
      <c r="L399" s="222" t="s">
        <v>67</v>
      </c>
      <c r="M399" s="222">
        <v>43.5</v>
      </c>
      <c r="N399" s="214">
        <v>80.0</v>
      </c>
      <c r="O399" s="214">
        <v>37.0</v>
      </c>
      <c r="P399" s="214">
        <v>2.0</v>
      </c>
      <c r="Q399" s="214" t="b">
        <v>1</v>
      </c>
      <c r="R399" s="214">
        <v>100.0</v>
      </c>
      <c r="S399" s="214" t="s">
        <v>535</v>
      </c>
      <c r="T399" s="214" t="s">
        <v>365</v>
      </c>
      <c r="U399" s="214"/>
    </row>
    <row r="400">
      <c r="A400" s="221">
        <v>45916.06849857639</v>
      </c>
      <c r="B400" s="214" t="s">
        <v>249</v>
      </c>
      <c r="C400" s="214" t="s">
        <v>137</v>
      </c>
      <c r="D400" s="214">
        <v>2.0</v>
      </c>
      <c r="E400" s="214">
        <v>1.0</v>
      </c>
      <c r="F400" s="214" t="s">
        <v>1107</v>
      </c>
      <c r="G400" s="214" t="s">
        <v>61</v>
      </c>
      <c r="H400" s="214" t="s">
        <v>43</v>
      </c>
      <c r="I400" s="214"/>
      <c r="J400" s="222" t="s">
        <v>67</v>
      </c>
      <c r="K400" s="222">
        <v>-35.5</v>
      </c>
      <c r="L400" s="222" t="s">
        <v>67</v>
      </c>
      <c r="M400" s="222">
        <v>43.5</v>
      </c>
      <c r="N400" s="214">
        <v>94.0</v>
      </c>
      <c r="O400" s="214">
        <v>30.0</v>
      </c>
      <c r="P400" s="214">
        <v>2.0</v>
      </c>
      <c r="Q400" s="214" t="b">
        <v>1</v>
      </c>
      <c r="R400" s="214">
        <v>100.0</v>
      </c>
      <c r="S400" s="214" t="s">
        <v>407</v>
      </c>
      <c r="T400" s="214" t="s">
        <v>321</v>
      </c>
      <c r="U400" s="214"/>
    </row>
    <row r="401">
      <c r="A401" s="221">
        <v>45916.06849857639</v>
      </c>
      <c r="B401" s="214" t="s">
        <v>249</v>
      </c>
      <c r="C401" s="214" t="s">
        <v>209</v>
      </c>
      <c r="D401" s="214">
        <v>3.0</v>
      </c>
      <c r="E401" s="214">
        <v>0.0</v>
      </c>
      <c r="F401" s="214" t="s">
        <v>1156</v>
      </c>
      <c r="G401" s="214" t="s">
        <v>61</v>
      </c>
      <c r="H401" s="214" t="s">
        <v>156</v>
      </c>
      <c r="I401" s="214"/>
      <c r="J401" s="222" t="s">
        <v>67</v>
      </c>
      <c r="K401" s="222">
        <v>-6.5</v>
      </c>
      <c r="L401" s="222" t="s">
        <v>67</v>
      </c>
      <c r="M401" s="222">
        <v>62.5</v>
      </c>
      <c r="N401" s="214">
        <v>134.0</v>
      </c>
      <c r="O401" s="214">
        <v>65.0</v>
      </c>
      <c r="P401" s="214">
        <v>2.0</v>
      </c>
      <c r="Q401" s="214" t="b">
        <v>1</v>
      </c>
      <c r="R401" s="214">
        <v>100.0</v>
      </c>
      <c r="S401" s="214" t="s">
        <v>556</v>
      </c>
      <c r="T401" s="214" t="s">
        <v>321</v>
      </c>
      <c r="U401" s="214"/>
    </row>
    <row r="402">
      <c r="A402" s="221">
        <v>45916.06849857639</v>
      </c>
      <c r="B402" s="214" t="s">
        <v>249</v>
      </c>
      <c r="C402" s="214" t="s">
        <v>217</v>
      </c>
      <c r="D402" s="214">
        <v>1.0</v>
      </c>
      <c r="E402" s="214">
        <v>2.0</v>
      </c>
      <c r="F402" s="214" t="s">
        <v>1161</v>
      </c>
      <c r="G402" s="214" t="s">
        <v>61</v>
      </c>
      <c r="H402" s="214"/>
      <c r="I402" s="214"/>
      <c r="J402" s="222"/>
      <c r="K402" s="222"/>
      <c r="L402" s="222"/>
      <c r="M402" s="222"/>
      <c r="N402" s="214">
        <v>60.0</v>
      </c>
      <c r="O402" s="214">
        <v>122.0</v>
      </c>
      <c r="P402" s="214">
        <v>2.0</v>
      </c>
      <c r="Q402" s="214" t="b">
        <v>0</v>
      </c>
      <c r="R402" s="214">
        <v>100.0</v>
      </c>
      <c r="S402" s="214" t="s">
        <v>441</v>
      </c>
      <c r="T402" s="214" t="s">
        <v>365</v>
      </c>
      <c r="U402" s="214"/>
    </row>
    <row r="403">
      <c r="A403" s="221">
        <v>45916.06849857639</v>
      </c>
      <c r="B403" s="214" t="s">
        <v>249</v>
      </c>
      <c r="C403" s="214" t="s">
        <v>159</v>
      </c>
      <c r="D403" s="214">
        <v>1.0</v>
      </c>
      <c r="E403" s="214">
        <v>2.0</v>
      </c>
      <c r="F403" s="214" t="s">
        <v>1162</v>
      </c>
      <c r="G403" s="214" t="s">
        <v>61</v>
      </c>
      <c r="H403" s="214"/>
      <c r="I403" s="214"/>
      <c r="J403" s="222"/>
      <c r="K403" s="222"/>
      <c r="L403" s="222"/>
      <c r="M403" s="222"/>
      <c r="N403" s="214">
        <v>56.0</v>
      </c>
      <c r="O403" s="214">
        <v>89.0</v>
      </c>
      <c r="P403" s="214">
        <v>2.0</v>
      </c>
      <c r="Q403" s="214" t="b">
        <v>0</v>
      </c>
      <c r="R403" s="214">
        <v>100.0</v>
      </c>
      <c r="S403" s="214" t="s">
        <v>361</v>
      </c>
      <c r="T403" s="214" t="s">
        <v>365</v>
      </c>
      <c r="U403" s="214"/>
    </row>
    <row r="404">
      <c r="A404" s="221">
        <v>45916.06849857639</v>
      </c>
      <c r="B404" s="214" t="s">
        <v>249</v>
      </c>
      <c r="C404" s="214" t="s">
        <v>167</v>
      </c>
      <c r="D404" s="214">
        <v>2.0</v>
      </c>
      <c r="E404" s="214">
        <v>1.0</v>
      </c>
      <c r="F404" s="214" t="s">
        <v>1163</v>
      </c>
      <c r="G404" s="214" t="s">
        <v>61</v>
      </c>
      <c r="H404" s="214" t="s">
        <v>493</v>
      </c>
      <c r="I404" s="214"/>
      <c r="J404" s="222" t="s">
        <v>67</v>
      </c>
      <c r="K404" s="222">
        <v>-22.5</v>
      </c>
      <c r="L404" s="222" t="s">
        <v>67</v>
      </c>
      <c r="M404" s="222">
        <v>48.5</v>
      </c>
      <c r="N404" s="214">
        <v>86.0</v>
      </c>
      <c r="O404" s="214">
        <v>57.0</v>
      </c>
      <c r="P404" s="214">
        <v>2.0</v>
      </c>
      <c r="Q404" s="214" t="b">
        <v>1</v>
      </c>
      <c r="R404" s="214">
        <v>100.0</v>
      </c>
      <c r="S404" s="214" t="s">
        <v>530</v>
      </c>
      <c r="T404" s="214" t="s">
        <v>365</v>
      </c>
      <c r="U404" s="214"/>
    </row>
    <row r="405">
      <c r="A405" s="221">
        <v>45916.06849857639</v>
      </c>
      <c r="B405" s="214" t="s">
        <v>249</v>
      </c>
      <c r="C405" s="214" t="s">
        <v>111</v>
      </c>
      <c r="D405" s="214">
        <v>1.0</v>
      </c>
      <c r="E405" s="214">
        <v>2.0</v>
      </c>
      <c r="F405" s="214" t="s">
        <v>1164</v>
      </c>
      <c r="G405" s="214" t="s">
        <v>61</v>
      </c>
      <c r="H405" s="214" t="s">
        <v>395</v>
      </c>
      <c r="I405" s="214"/>
      <c r="J405" s="222" t="s">
        <v>67</v>
      </c>
      <c r="K405" s="222">
        <v>-3.0</v>
      </c>
      <c r="L405" s="222" t="s">
        <v>67</v>
      </c>
      <c r="M405" s="222">
        <v>51.5</v>
      </c>
      <c r="N405" s="214">
        <v>58.0</v>
      </c>
      <c r="O405" s="214">
        <v>57.0</v>
      </c>
      <c r="P405" s="214">
        <v>2.0</v>
      </c>
      <c r="Q405" s="214" t="b">
        <v>0</v>
      </c>
      <c r="R405" s="214">
        <v>100.0</v>
      </c>
      <c r="S405" s="214" t="s">
        <v>317</v>
      </c>
      <c r="T405" s="214" t="s">
        <v>321</v>
      </c>
      <c r="U405" s="214"/>
    </row>
    <row r="406">
      <c r="A406" s="221">
        <v>45916.06849857639</v>
      </c>
      <c r="B406" s="214" t="s">
        <v>249</v>
      </c>
      <c r="C406" s="214" t="s">
        <v>124</v>
      </c>
      <c r="D406" s="214">
        <v>2.0</v>
      </c>
      <c r="E406" s="214">
        <v>1.0</v>
      </c>
      <c r="F406" s="214" t="s">
        <v>1165</v>
      </c>
      <c r="G406" s="214" t="s">
        <v>61</v>
      </c>
      <c r="H406" s="214"/>
      <c r="I406" s="214"/>
      <c r="J406" s="222" t="s">
        <v>67</v>
      </c>
      <c r="K406" s="222">
        <v>-47.5</v>
      </c>
      <c r="L406" s="222" t="s">
        <v>67</v>
      </c>
      <c r="M406" s="222">
        <v>58.5</v>
      </c>
      <c r="N406" s="214">
        <v>114.0</v>
      </c>
      <c r="O406" s="214">
        <v>90.0</v>
      </c>
      <c r="P406" s="214">
        <v>2.0</v>
      </c>
      <c r="Q406" s="214" t="b">
        <v>0</v>
      </c>
      <c r="R406" s="214">
        <v>100.0</v>
      </c>
      <c r="S406" s="214" t="s">
        <v>471</v>
      </c>
      <c r="T406" s="214" t="s">
        <v>321</v>
      </c>
      <c r="U406" s="214"/>
    </row>
    <row r="407">
      <c r="A407" s="221">
        <v>45916.06849857639</v>
      </c>
      <c r="B407" s="214"/>
      <c r="C407" s="214"/>
      <c r="D407" s="214"/>
      <c r="E407" s="214"/>
      <c r="F407" s="214"/>
      <c r="G407" s="214"/>
      <c r="H407" s="214"/>
      <c r="I407" s="214"/>
      <c r="J407" s="222"/>
      <c r="K407" s="222"/>
      <c r="L407" s="222"/>
      <c r="M407" s="222"/>
      <c r="N407" s="214"/>
      <c r="O407" s="214"/>
      <c r="P407" s="214"/>
      <c r="Q407" s="214"/>
      <c r="R407" s="214"/>
      <c r="S407" s="214"/>
      <c r="T407" s="214"/>
      <c r="U407" s="214"/>
    </row>
    <row r="408">
      <c r="A408" s="221">
        <v>45916.06849857639</v>
      </c>
      <c r="B408" s="214" t="s">
        <v>395</v>
      </c>
      <c r="C408" s="214" t="s">
        <v>225</v>
      </c>
      <c r="D408" s="214">
        <v>1.0</v>
      </c>
      <c r="E408" s="214">
        <v>1.0</v>
      </c>
      <c r="F408" s="214"/>
      <c r="G408" s="214"/>
      <c r="H408" s="214"/>
      <c r="I408" s="214"/>
      <c r="J408" s="222"/>
      <c r="K408" s="222"/>
      <c r="L408" s="222"/>
      <c r="M408" s="222"/>
      <c r="N408" s="214">
        <v>51.0</v>
      </c>
      <c r="O408" s="214">
        <v>51.0</v>
      </c>
      <c r="P408" s="214">
        <v>0.0</v>
      </c>
      <c r="Q408" s="214" t="b">
        <v>1</v>
      </c>
      <c r="R408" s="214">
        <v>59.0</v>
      </c>
      <c r="S408" s="214" t="s">
        <v>361</v>
      </c>
      <c r="T408" s="214" t="s">
        <v>365</v>
      </c>
      <c r="U408" s="214"/>
    </row>
    <row r="409">
      <c r="A409" s="221">
        <v>45916.06849857639</v>
      </c>
      <c r="B409" s="214" t="s">
        <v>395</v>
      </c>
      <c r="C409" s="214" t="s">
        <v>162</v>
      </c>
      <c r="D409" s="214">
        <v>2.0</v>
      </c>
      <c r="E409" s="214">
        <v>1.0</v>
      </c>
      <c r="F409" s="214"/>
      <c r="G409" s="214"/>
      <c r="H409" s="214"/>
      <c r="I409" s="214"/>
      <c r="J409" s="222"/>
      <c r="K409" s="222"/>
      <c r="L409" s="222"/>
      <c r="M409" s="222"/>
      <c r="N409" s="214">
        <v>117.0</v>
      </c>
      <c r="O409" s="214">
        <v>75.0</v>
      </c>
      <c r="P409" s="214">
        <v>0.0</v>
      </c>
      <c r="Q409" s="214" t="b">
        <v>1</v>
      </c>
      <c r="R409" s="214">
        <v>59.0</v>
      </c>
      <c r="S409" s="214" t="s">
        <v>535</v>
      </c>
      <c r="T409" s="214" t="s">
        <v>365</v>
      </c>
      <c r="U409" s="214"/>
    </row>
    <row r="410">
      <c r="A410" s="221">
        <v>45916.06849857639</v>
      </c>
      <c r="B410" s="214" t="s">
        <v>395</v>
      </c>
      <c r="C410" s="214" t="s">
        <v>231</v>
      </c>
      <c r="D410" s="214">
        <v>1.0</v>
      </c>
      <c r="E410" s="214">
        <v>1.0</v>
      </c>
      <c r="F410" s="214"/>
      <c r="G410" s="214"/>
      <c r="H410" s="214"/>
      <c r="I410" s="214"/>
      <c r="J410" s="222"/>
      <c r="K410" s="222"/>
      <c r="L410" s="222"/>
      <c r="M410" s="222"/>
      <c r="N410" s="214">
        <v>59.0</v>
      </c>
      <c r="O410" s="214">
        <v>38.0</v>
      </c>
      <c r="P410" s="214">
        <v>0.0</v>
      </c>
      <c r="Q410" s="214" t="b">
        <v>1</v>
      </c>
      <c r="R410" s="214">
        <v>59.0</v>
      </c>
      <c r="S410" s="214" t="s">
        <v>441</v>
      </c>
      <c r="T410" s="214" t="s">
        <v>365</v>
      </c>
      <c r="U410" s="214"/>
    </row>
    <row r="411">
      <c r="A411" s="221">
        <v>45916.06849857639</v>
      </c>
      <c r="B411" s="214" t="s">
        <v>395</v>
      </c>
      <c r="C411" s="214" t="s">
        <v>179</v>
      </c>
      <c r="D411" s="214">
        <v>3.0</v>
      </c>
      <c r="E411" s="214">
        <v>1.0</v>
      </c>
      <c r="F411" s="214" t="s">
        <v>1166</v>
      </c>
      <c r="G411" s="214" t="s">
        <v>61</v>
      </c>
      <c r="H411" s="214"/>
      <c r="I411" s="214"/>
      <c r="J411" s="222"/>
      <c r="K411" s="222"/>
      <c r="L411" s="222"/>
      <c r="M411" s="222"/>
      <c r="N411" s="214">
        <v>141.0</v>
      </c>
      <c r="O411" s="214">
        <v>79.0</v>
      </c>
      <c r="P411" s="214">
        <v>2.0</v>
      </c>
      <c r="Q411" s="214" t="b">
        <v>0</v>
      </c>
      <c r="R411" s="214">
        <v>100.0</v>
      </c>
      <c r="S411" s="214" t="s">
        <v>525</v>
      </c>
      <c r="T411" s="214" t="s">
        <v>365</v>
      </c>
      <c r="U411" s="214"/>
    </row>
    <row r="412">
      <c r="A412" s="221">
        <v>45916.06849857639</v>
      </c>
      <c r="B412" s="214" t="s">
        <v>395</v>
      </c>
      <c r="C412" s="214" t="s">
        <v>213</v>
      </c>
      <c r="D412" s="214">
        <v>3.0</v>
      </c>
      <c r="E412" s="214">
        <v>0.0</v>
      </c>
      <c r="F412" s="214" t="s">
        <v>1167</v>
      </c>
      <c r="G412" s="214" t="s">
        <v>61</v>
      </c>
      <c r="H412" s="214" t="s">
        <v>132</v>
      </c>
      <c r="I412" s="214"/>
      <c r="J412" s="222" t="s">
        <v>67</v>
      </c>
      <c r="K412" s="222">
        <v>3.0</v>
      </c>
      <c r="L412" s="222" t="s">
        <v>67</v>
      </c>
      <c r="M412" s="222">
        <v>48.5</v>
      </c>
      <c r="N412" s="214">
        <v>120.0</v>
      </c>
      <c r="O412" s="214">
        <v>30.0</v>
      </c>
      <c r="P412" s="214">
        <v>2.0</v>
      </c>
      <c r="Q412" s="214" t="b">
        <v>1</v>
      </c>
      <c r="R412" s="214">
        <v>100.0</v>
      </c>
      <c r="S412" s="214" t="s">
        <v>556</v>
      </c>
      <c r="T412" s="214" t="s">
        <v>321</v>
      </c>
      <c r="U412" s="214"/>
    </row>
    <row r="413">
      <c r="A413" s="221">
        <v>45916.06849857639</v>
      </c>
      <c r="B413" s="214" t="s">
        <v>395</v>
      </c>
      <c r="C413" s="214" t="s">
        <v>175</v>
      </c>
      <c r="D413" s="214">
        <v>0.0</v>
      </c>
      <c r="E413" s="214">
        <v>3.0</v>
      </c>
      <c r="F413" s="214" t="s">
        <v>1157</v>
      </c>
      <c r="G413" s="214" t="s">
        <v>61</v>
      </c>
      <c r="H413" s="214" t="s">
        <v>156</v>
      </c>
      <c r="I413" s="214"/>
      <c r="J413" s="222" t="s">
        <v>67</v>
      </c>
      <c r="K413" s="222">
        <v>27.5</v>
      </c>
      <c r="L413" s="222" t="s">
        <v>67</v>
      </c>
      <c r="M413" s="222">
        <v>50.5</v>
      </c>
      <c r="N413" s="214">
        <v>36.0</v>
      </c>
      <c r="O413" s="214">
        <v>94.0</v>
      </c>
      <c r="P413" s="214">
        <v>2.0</v>
      </c>
      <c r="Q413" s="214" t="b">
        <v>0</v>
      </c>
      <c r="R413" s="214">
        <v>100.0</v>
      </c>
      <c r="S413" s="214" t="s">
        <v>530</v>
      </c>
      <c r="T413" s="214" t="s">
        <v>365</v>
      </c>
      <c r="U413" s="214"/>
    </row>
    <row r="414">
      <c r="A414" s="221">
        <v>45916.06849857639</v>
      </c>
      <c r="B414" s="214" t="s">
        <v>395</v>
      </c>
      <c r="C414" s="214" t="s">
        <v>147</v>
      </c>
      <c r="D414" s="214">
        <v>3.0</v>
      </c>
      <c r="E414" s="214">
        <v>0.0</v>
      </c>
      <c r="F414" s="214" t="s">
        <v>1168</v>
      </c>
      <c r="G414" s="214" t="s">
        <v>61</v>
      </c>
      <c r="H414" s="214"/>
      <c r="I414" s="214"/>
      <c r="J414" s="222"/>
      <c r="K414" s="222"/>
      <c r="L414" s="222"/>
      <c r="M414" s="222"/>
      <c r="N414" s="214">
        <v>139.0</v>
      </c>
      <c r="O414" s="214">
        <v>58.0</v>
      </c>
      <c r="P414" s="214">
        <v>2.0</v>
      </c>
      <c r="Q414" s="214" t="b">
        <v>0</v>
      </c>
      <c r="R414" s="214">
        <v>100.0</v>
      </c>
      <c r="S414" s="214" t="s">
        <v>407</v>
      </c>
      <c r="T414" s="214" t="s">
        <v>321</v>
      </c>
      <c r="U414" s="214"/>
    </row>
    <row r="415">
      <c r="A415" s="221">
        <v>45916.06849857639</v>
      </c>
      <c r="B415" s="214" t="s">
        <v>395</v>
      </c>
      <c r="C415" s="214" t="s">
        <v>114</v>
      </c>
      <c r="D415" s="214">
        <v>3.0</v>
      </c>
      <c r="E415" s="214">
        <v>0.0</v>
      </c>
      <c r="F415" s="214" t="s">
        <v>1164</v>
      </c>
      <c r="G415" s="214" t="s">
        <v>61</v>
      </c>
      <c r="H415" s="214" t="s">
        <v>249</v>
      </c>
      <c r="I415" s="214"/>
      <c r="J415" s="222" t="s">
        <v>67</v>
      </c>
      <c r="K415" s="222">
        <v>3.0</v>
      </c>
      <c r="L415" s="222" t="s">
        <v>67</v>
      </c>
      <c r="M415" s="222">
        <v>51.5</v>
      </c>
      <c r="N415" s="214">
        <v>110.0</v>
      </c>
      <c r="O415" s="214">
        <v>53.0</v>
      </c>
      <c r="P415" s="214">
        <v>2.0</v>
      </c>
      <c r="Q415" s="214" t="b">
        <v>1</v>
      </c>
      <c r="R415" s="214">
        <v>100.0</v>
      </c>
      <c r="S415" s="214" t="s">
        <v>317</v>
      </c>
      <c r="T415" s="214" t="s">
        <v>321</v>
      </c>
      <c r="U415" s="214"/>
    </row>
    <row r="416">
      <c r="A416" s="221">
        <v>45916.06849857639</v>
      </c>
      <c r="B416" s="214" t="s">
        <v>395</v>
      </c>
      <c r="C416" s="214" t="s">
        <v>101</v>
      </c>
      <c r="D416" s="214">
        <v>3.0</v>
      </c>
      <c r="E416" s="214">
        <v>0.0</v>
      </c>
      <c r="F416" s="214" t="s">
        <v>1144</v>
      </c>
      <c r="G416" s="214" t="s">
        <v>61</v>
      </c>
      <c r="H416" s="214" t="s">
        <v>224</v>
      </c>
      <c r="I416" s="214"/>
      <c r="J416" s="222" t="s">
        <v>67</v>
      </c>
      <c r="K416" s="222">
        <v>-3.5</v>
      </c>
      <c r="L416" s="222" t="s">
        <v>67</v>
      </c>
      <c r="M416" s="222">
        <v>44.5</v>
      </c>
      <c r="N416" s="214">
        <v>98.0</v>
      </c>
      <c r="O416" s="214">
        <v>29.0</v>
      </c>
      <c r="P416" s="214">
        <v>2.0</v>
      </c>
      <c r="Q416" s="214" t="b">
        <v>0</v>
      </c>
      <c r="R416" s="214">
        <v>100.0</v>
      </c>
      <c r="S416" s="214" t="s">
        <v>471</v>
      </c>
      <c r="T416" s="214" t="s">
        <v>321</v>
      </c>
      <c r="U416" s="214"/>
    </row>
    <row r="417">
      <c r="A417" s="221">
        <v>45916.06849857639</v>
      </c>
      <c r="B417" s="214" t="s">
        <v>395</v>
      </c>
      <c r="C417" s="214" t="s">
        <v>99</v>
      </c>
      <c r="D417" s="214">
        <v>1.0</v>
      </c>
      <c r="E417" s="214">
        <v>2.0</v>
      </c>
      <c r="F417" s="214" t="s">
        <v>1145</v>
      </c>
      <c r="G417" s="214" t="s">
        <v>532</v>
      </c>
      <c r="H417" s="214" t="s">
        <v>224</v>
      </c>
      <c r="I417" s="214"/>
      <c r="J417" s="222" t="s">
        <v>67</v>
      </c>
      <c r="K417" s="222">
        <v>-9.5</v>
      </c>
      <c r="L417" s="222" t="s">
        <v>67</v>
      </c>
      <c r="M417" s="222">
        <v>52.5</v>
      </c>
      <c r="N417" s="214">
        <v>120.0</v>
      </c>
      <c r="O417" s="214">
        <v>84.0</v>
      </c>
      <c r="P417" s="214">
        <v>2.0</v>
      </c>
      <c r="Q417" s="214" t="b">
        <v>0</v>
      </c>
      <c r="R417" s="214">
        <v>100.0</v>
      </c>
      <c r="S417" s="214" t="s">
        <v>725</v>
      </c>
      <c r="T417" s="214"/>
      <c r="U417" s="214"/>
    </row>
    <row r="418">
      <c r="A418" s="221">
        <v>45916.06849857639</v>
      </c>
      <c r="B418" s="214"/>
      <c r="C418" s="214"/>
      <c r="D418" s="214"/>
      <c r="E418" s="214"/>
      <c r="F418" s="214"/>
      <c r="G418" s="214"/>
      <c r="H418" s="214"/>
      <c r="I418" s="214"/>
      <c r="J418" s="222"/>
      <c r="K418" s="222"/>
      <c r="L418" s="222"/>
      <c r="M418" s="222"/>
      <c r="N418" s="214"/>
      <c r="O418" s="214"/>
      <c r="P418" s="214"/>
      <c r="Q418" s="214"/>
      <c r="R418" s="214"/>
      <c r="S418" s="214"/>
      <c r="T418" s="214"/>
      <c r="U418" s="214"/>
    </row>
    <row r="419">
      <c r="A419" s="221">
        <v>45916.06849857639</v>
      </c>
      <c r="B419" s="214" t="s">
        <v>132</v>
      </c>
      <c r="C419" s="214" t="s">
        <v>115</v>
      </c>
      <c r="D419" s="214">
        <v>2.0</v>
      </c>
      <c r="E419" s="214">
        <v>0.0</v>
      </c>
      <c r="F419" s="214"/>
      <c r="G419" s="214"/>
      <c r="H419" s="214"/>
      <c r="I419" s="214"/>
      <c r="J419" s="222"/>
      <c r="K419" s="222"/>
      <c r="L419" s="222"/>
      <c r="M419" s="222"/>
      <c r="N419" s="214">
        <v>79.0</v>
      </c>
      <c r="O419" s="214">
        <v>31.0</v>
      </c>
      <c r="P419" s="214">
        <v>0.0</v>
      </c>
      <c r="Q419" s="214" t="b">
        <v>1</v>
      </c>
      <c r="R419" s="214">
        <v>59.0</v>
      </c>
      <c r="S419" s="214" t="s">
        <v>317</v>
      </c>
      <c r="T419" s="214" t="s">
        <v>321</v>
      </c>
      <c r="U419" s="214"/>
    </row>
    <row r="420">
      <c r="A420" s="221">
        <v>45916.06849857639</v>
      </c>
      <c r="B420" s="214" t="s">
        <v>132</v>
      </c>
      <c r="C420" s="214" t="s">
        <v>545</v>
      </c>
      <c r="D420" s="214">
        <v>2.0</v>
      </c>
      <c r="E420" s="214">
        <v>1.0</v>
      </c>
      <c r="F420" s="214" t="s">
        <v>1130</v>
      </c>
      <c r="G420" s="214" t="s">
        <v>61</v>
      </c>
      <c r="H420" s="214" t="s">
        <v>193</v>
      </c>
      <c r="I420" s="214"/>
      <c r="J420" s="222" t="s">
        <v>67</v>
      </c>
      <c r="K420" s="222">
        <v>-2.5</v>
      </c>
      <c r="L420" s="222" t="s">
        <v>67</v>
      </c>
      <c r="M420" s="222">
        <v>58.5</v>
      </c>
      <c r="N420" s="214">
        <v>80.0</v>
      </c>
      <c r="O420" s="214">
        <v>71.0</v>
      </c>
      <c r="P420" s="214">
        <v>2.0</v>
      </c>
      <c r="Q420" s="214" t="b">
        <v>0</v>
      </c>
      <c r="R420" s="214">
        <v>100.0</v>
      </c>
      <c r="S420" s="214" t="s">
        <v>535</v>
      </c>
      <c r="T420" s="214" t="s">
        <v>365</v>
      </c>
      <c r="U420" s="214"/>
    </row>
    <row r="421">
      <c r="A421" s="221">
        <v>45916.06849857639</v>
      </c>
      <c r="B421" s="214" t="s">
        <v>132</v>
      </c>
      <c r="C421" s="214" t="s">
        <v>107</v>
      </c>
      <c r="D421" s="214">
        <v>3.0</v>
      </c>
      <c r="E421" s="214">
        <v>0.0</v>
      </c>
      <c r="F421" s="214" t="s">
        <v>1160</v>
      </c>
      <c r="G421" s="214" t="s">
        <v>61</v>
      </c>
      <c r="H421" s="214" t="s">
        <v>249</v>
      </c>
      <c r="I421" s="214"/>
      <c r="J421" s="222" t="s">
        <v>67</v>
      </c>
      <c r="K421" s="222">
        <v>-1.5</v>
      </c>
      <c r="L421" s="222" t="s">
        <v>67</v>
      </c>
      <c r="M421" s="222">
        <v>52.5</v>
      </c>
      <c r="N421" s="214">
        <v>90.0</v>
      </c>
      <c r="O421" s="214">
        <v>61.0</v>
      </c>
      <c r="P421" s="214">
        <v>2.0</v>
      </c>
      <c r="Q421" s="214" t="b">
        <v>1</v>
      </c>
      <c r="R421" s="214">
        <v>100.0</v>
      </c>
      <c r="S421" s="214" t="s">
        <v>361</v>
      </c>
      <c r="T421" s="214" t="s">
        <v>365</v>
      </c>
      <c r="U421" s="214"/>
    </row>
    <row r="422">
      <c r="A422" s="221">
        <v>45916.06849857639</v>
      </c>
      <c r="B422" s="214" t="s">
        <v>132</v>
      </c>
      <c r="C422" s="214" t="s">
        <v>187</v>
      </c>
      <c r="D422" s="214">
        <v>2.0</v>
      </c>
      <c r="E422" s="214">
        <v>1.0</v>
      </c>
      <c r="F422" s="214" t="s">
        <v>1114</v>
      </c>
      <c r="G422" s="214" t="s">
        <v>61</v>
      </c>
      <c r="H422" s="214" t="s">
        <v>95</v>
      </c>
      <c r="I422" s="214"/>
      <c r="J422" s="222" t="s">
        <v>67</v>
      </c>
      <c r="K422" s="222">
        <v>23.5</v>
      </c>
      <c r="L422" s="222" t="s">
        <v>67</v>
      </c>
      <c r="M422" s="222">
        <v>46.5</v>
      </c>
      <c r="N422" s="214">
        <v>47.0</v>
      </c>
      <c r="O422" s="214">
        <v>38.0</v>
      </c>
      <c r="P422" s="214">
        <v>2.0</v>
      </c>
      <c r="Q422" s="214" t="b">
        <v>0</v>
      </c>
      <c r="R422" s="214">
        <v>100.0</v>
      </c>
      <c r="S422" s="214" t="s">
        <v>525</v>
      </c>
      <c r="T422" s="214" t="s">
        <v>365</v>
      </c>
      <c r="U422" s="214"/>
    </row>
    <row r="423">
      <c r="A423" s="221">
        <v>45916.06849857639</v>
      </c>
      <c r="B423" s="214" t="s">
        <v>132</v>
      </c>
      <c r="C423" s="214" t="s">
        <v>210</v>
      </c>
      <c r="D423" s="214">
        <v>2.0</v>
      </c>
      <c r="E423" s="214">
        <v>1.0</v>
      </c>
      <c r="F423" s="214" t="s">
        <v>1167</v>
      </c>
      <c r="G423" s="214" t="s">
        <v>61</v>
      </c>
      <c r="H423" s="214" t="s">
        <v>395</v>
      </c>
      <c r="I423" s="214"/>
      <c r="J423" s="222" t="s">
        <v>67</v>
      </c>
      <c r="K423" s="222">
        <v>-3.0</v>
      </c>
      <c r="L423" s="222" t="s">
        <v>67</v>
      </c>
      <c r="M423" s="222">
        <v>48.5</v>
      </c>
      <c r="N423" s="214">
        <v>69.0</v>
      </c>
      <c r="O423" s="214">
        <v>52.0</v>
      </c>
      <c r="P423" s="214">
        <v>2.0</v>
      </c>
      <c r="Q423" s="214" t="b">
        <v>0</v>
      </c>
      <c r="R423" s="214">
        <v>100.0</v>
      </c>
      <c r="S423" s="214" t="s">
        <v>556</v>
      </c>
      <c r="T423" s="214" t="s">
        <v>321</v>
      </c>
      <c r="U423" s="214"/>
    </row>
    <row r="424">
      <c r="A424" s="221">
        <v>45916.06849857639</v>
      </c>
      <c r="B424" s="214" t="s">
        <v>132</v>
      </c>
      <c r="C424" s="214" t="s">
        <v>131</v>
      </c>
      <c r="D424" s="214">
        <v>2.0</v>
      </c>
      <c r="E424" s="214">
        <v>1.0</v>
      </c>
      <c r="F424" s="214" t="s">
        <v>1153</v>
      </c>
      <c r="G424" s="214" t="s">
        <v>61</v>
      </c>
      <c r="H424" s="214" t="s">
        <v>238</v>
      </c>
      <c r="I424" s="214"/>
      <c r="J424" s="222" t="s">
        <v>67</v>
      </c>
      <c r="K424" s="222">
        <v>-40.5</v>
      </c>
      <c r="L424" s="222" t="s">
        <v>67</v>
      </c>
      <c r="M424" s="222">
        <v>51.5</v>
      </c>
      <c r="N424" s="214">
        <v>72.0</v>
      </c>
      <c r="O424" s="214">
        <v>31.0</v>
      </c>
      <c r="P424" s="214">
        <v>2.0</v>
      </c>
      <c r="Q424" s="214" t="b">
        <v>1</v>
      </c>
      <c r="R424" s="214">
        <v>100.0</v>
      </c>
      <c r="S424" s="214" t="s">
        <v>556</v>
      </c>
      <c r="T424" s="214" t="s">
        <v>321</v>
      </c>
      <c r="U424" s="214"/>
    </row>
    <row r="425">
      <c r="A425" s="221">
        <v>45916.06849857639</v>
      </c>
      <c r="B425" s="214" t="s">
        <v>132</v>
      </c>
      <c r="C425" s="214" t="s">
        <v>215</v>
      </c>
      <c r="D425" s="214">
        <v>1.0</v>
      </c>
      <c r="E425" s="214">
        <v>2.0</v>
      </c>
      <c r="F425" s="214" t="s">
        <v>1137</v>
      </c>
      <c r="G425" s="214" t="s">
        <v>61</v>
      </c>
      <c r="H425" s="214" t="s">
        <v>311</v>
      </c>
      <c r="I425" s="214"/>
      <c r="J425" s="222" t="s">
        <v>67</v>
      </c>
      <c r="K425" s="222">
        <v>21.0</v>
      </c>
      <c r="L425" s="222" t="s">
        <v>67</v>
      </c>
      <c r="M425" s="222">
        <v>55.5</v>
      </c>
      <c r="N425" s="214">
        <v>72.0</v>
      </c>
      <c r="O425" s="214">
        <v>104.0</v>
      </c>
      <c r="P425" s="214">
        <v>2.0</v>
      </c>
      <c r="Q425" s="214" t="b">
        <v>0</v>
      </c>
      <c r="R425" s="214">
        <v>100.0</v>
      </c>
      <c r="S425" s="214" t="s">
        <v>441</v>
      </c>
      <c r="T425" s="214" t="s">
        <v>365</v>
      </c>
      <c r="U425" s="214"/>
    </row>
    <row r="426">
      <c r="A426" s="221">
        <v>45916.06849857639</v>
      </c>
      <c r="B426" s="214" t="s">
        <v>132</v>
      </c>
      <c r="C426" s="214" t="s">
        <v>168</v>
      </c>
      <c r="D426" s="214">
        <v>1.0</v>
      </c>
      <c r="E426" s="214">
        <v>2.0</v>
      </c>
      <c r="F426" s="214" t="s">
        <v>1140</v>
      </c>
      <c r="G426" s="214" t="s">
        <v>61</v>
      </c>
      <c r="H426" s="214" t="s">
        <v>311</v>
      </c>
      <c r="I426" s="214"/>
      <c r="J426" s="222" t="s">
        <v>67</v>
      </c>
      <c r="K426" s="222">
        <v>27.5</v>
      </c>
      <c r="L426" s="222" t="s">
        <v>67</v>
      </c>
      <c r="M426" s="222">
        <v>42.5</v>
      </c>
      <c r="N426" s="214">
        <v>36.0</v>
      </c>
      <c r="O426" s="214">
        <v>122.0</v>
      </c>
      <c r="P426" s="214">
        <v>2.0</v>
      </c>
      <c r="Q426" s="214" t="b">
        <v>0</v>
      </c>
      <c r="R426" s="214">
        <v>100.0</v>
      </c>
      <c r="S426" s="214" t="s">
        <v>530</v>
      </c>
      <c r="T426" s="214" t="s">
        <v>365</v>
      </c>
      <c r="U426" s="214"/>
    </row>
    <row r="427">
      <c r="A427" s="221">
        <v>45916.06849857639</v>
      </c>
      <c r="B427" s="214" t="s">
        <v>132</v>
      </c>
      <c r="C427" s="214" t="s">
        <v>136</v>
      </c>
      <c r="D427" s="214">
        <v>3.0</v>
      </c>
      <c r="E427" s="214">
        <v>0.0</v>
      </c>
      <c r="F427" s="214" t="s">
        <v>1169</v>
      </c>
      <c r="G427" s="214" t="s">
        <v>61</v>
      </c>
      <c r="H427" s="214"/>
      <c r="I427" s="214"/>
      <c r="J427" s="222" t="s">
        <v>67</v>
      </c>
      <c r="K427" s="222">
        <v>-48.5</v>
      </c>
      <c r="L427" s="222" t="s">
        <v>67</v>
      </c>
      <c r="M427" s="222">
        <v>59.5</v>
      </c>
      <c r="N427" s="214">
        <v>156.0</v>
      </c>
      <c r="O427" s="214">
        <v>23.0</v>
      </c>
      <c r="P427" s="214">
        <v>2.0</v>
      </c>
      <c r="Q427" s="214" t="b">
        <v>0</v>
      </c>
      <c r="R427" s="214">
        <v>100.0</v>
      </c>
      <c r="S427" s="214" t="s">
        <v>407</v>
      </c>
      <c r="T427" s="214" t="s">
        <v>321</v>
      </c>
      <c r="U427" s="214"/>
    </row>
    <row r="428">
      <c r="A428" s="221">
        <v>45916.06849857639</v>
      </c>
      <c r="B428" s="214" t="s">
        <v>132</v>
      </c>
      <c r="C428" s="214" t="s">
        <v>134</v>
      </c>
      <c r="D428" s="214">
        <v>2.0</v>
      </c>
      <c r="E428" s="214">
        <v>1.0</v>
      </c>
      <c r="F428" s="214" t="s">
        <v>1155</v>
      </c>
      <c r="G428" s="214" t="s">
        <v>532</v>
      </c>
      <c r="H428" s="214" t="s">
        <v>238</v>
      </c>
      <c r="I428" s="214"/>
      <c r="J428" s="222" t="s">
        <v>67</v>
      </c>
      <c r="K428" s="222">
        <v>7.5</v>
      </c>
      <c r="L428" s="222" t="s">
        <v>67</v>
      </c>
      <c r="M428" s="222">
        <v>55.5</v>
      </c>
      <c r="N428" s="214">
        <v>86.0</v>
      </c>
      <c r="O428" s="214">
        <v>44.0</v>
      </c>
      <c r="P428" s="214">
        <v>2.0</v>
      </c>
      <c r="Q428" s="214" t="b">
        <v>1</v>
      </c>
      <c r="R428" s="214">
        <v>100.0</v>
      </c>
      <c r="S428" s="214" t="s">
        <v>471</v>
      </c>
      <c r="T428" s="214" t="s">
        <v>321</v>
      </c>
      <c r="U428" s="214"/>
    </row>
    <row r="429">
      <c r="A429" s="221">
        <v>45916.06849857639</v>
      </c>
      <c r="B429" s="214"/>
      <c r="C429" s="214"/>
      <c r="D429" s="214"/>
      <c r="E429" s="214"/>
      <c r="F429" s="214"/>
      <c r="G429" s="214"/>
      <c r="H429" s="214"/>
      <c r="I429" s="214"/>
      <c r="J429" s="222"/>
      <c r="K429" s="222"/>
      <c r="L429" s="222"/>
      <c r="M429" s="222"/>
      <c r="N429" s="214"/>
      <c r="O429" s="214"/>
      <c r="P429" s="214"/>
      <c r="Q429" s="214"/>
      <c r="R429" s="214"/>
      <c r="S429" s="214"/>
      <c r="T429" s="214"/>
      <c r="U429" s="214"/>
    </row>
    <row r="430">
      <c r="A430" s="221">
        <v>45916.06849857639</v>
      </c>
      <c r="B430" s="214" t="s">
        <v>493</v>
      </c>
      <c r="C430" s="214" t="s">
        <v>195</v>
      </c>
      <c r="D430" s="214">
        <v>1.0</v>
      </c>
      <c r="E430" s="214">
        <v>2.0</v>
      </c>
      <c r="F430" s="214" t="s">
        <v>1170</v>
      </c>
      <c r="G430" s="214" t="s">
        <v>61</v>
      </c>
      <c r="H430" s="214" t="s">
        <v>493</v>
      </c>
      <c r="I430" s="214"/>
      <c r="J430" s="222" t="s">
        <v>67</v>
      </c>
      <c r="K430" s="222">
        <v>13.5</v>
      </c>
      <c r="L430" s="222" t="s">
        <v>67</v>
      </c>
      <c r="M430" s="222">
        <v>44.5</v>
      </c>
      <c r="N430" s="214">
        <v>53.0</v>
      </c>
      <c r="O430" s="214">
        <v>70.0</v>
      </c>
      <c r="P430" s="214">
        <v>2.0</v>
      </c>
      <c r="Q430" s="214" t="b">
        <v>1</v>
      </c>
      <c r="R430" s="214">
        <v>100.0</v>
      </c>
      <c r="S430" s="214" t="s">
        <v>317</v>
      </c>
      <c r="T430" s="214" t="s">
        <v>321</v>
      </c>
      <c r="U430" s="214"/>
    </row>
    <row r="431">
      <c r="A431" s="221">
        <v>45916.06849857639</v>
      </c>
      <c r="B431" s="214" t="s">
        <v>493</v>
      </c>
      <c r="C431" s="214" t="s">
        <v>110</v>
      </c>
      <c r="D431" s="214">
        <v>1.0</v>
      </c>
      <c r="E431" s="214">
        <v>2.0</v>
      </c>
      <c r="F431" s="214" t="s">
        <v>1170</v>
      </c>
      <c r="G431" s="214" t="s">
        <v>61</v>
      </c>
      <c r="H431" s="214" t="s">
        <v>493</v>
      </c>
      <c r="I431" s="214"/>
      <c r="J431" s="222" t="s">
        <v>67</v>
      </c>
      <c r="K431" s="222">
        <v>-13.5</v>
      </c>
      <c r="L431" s="222" t="s">
        <v>67</v>
      </c>
      <c r="M431" s="222">
        <v>44.5</v>
      </c>
      <c r="N431" s="214">
        <v>126.0</v>
      </c>
      <c r="O431" s="214">
        <v>82.0</v>
      </c>
      <c r="P431" s="214">
        <v>2.0</v>
      </c>
      <c r="Q431" s="214" t="b">
        <v>0</v>
      </c>
      <c r="R431" s="214">
        <v>100.0</v>
      </c>
      <c r="S431" s="214" t="s">
        <v>317</v>
      </c>
      <c r="T431" s="214" t="s">
        <v>321</v>
      </c>
      <c r="U431" s="214"/>
    </row>
    <row r="432">
      <c r="A432" s="221">
        <v>45916.06849857639</v>
      </c>
      <c r="B432" s="214" t="s">
        <v>493</v>
      </c>
      <c r="C432" s="214" t="s">
        <v>108</v>
      </c>
      <c r="D432" s="214">
        <v>1.0</v>
      </c>
      <c r="E432" s="214">
        <v>2.0</v>
      </c>
      <c r="F432" s="214" t="s">
        <v>1141</v>
      </c>
      <c r="G432" s="214" t="s">
        <v>61</v>
      </c>
      <c r="H432" s="214" t="s">
        <v>224</v>
      </c>
      <c r="I432" s="214"/>
      <c r="J432" s="222" t="s">
        <v>67</v>
      </c>
      <c r="K432" s="222">
        <v>14.0</v>
      </c>
      <c r="L432" s="222" t="s">
        <v>67</v>
      </c>
      <c r="M432" s="222">
        <v>51.5</v>
      </c>
      <c r="N432" s="214">
        <v>72.0</v>
      </c>
      <c r="O432" s="214">
        <v>70.0</v>
      </c>
      <c r="P432" s="214">
        <v>2.0</v>
      </c>
      <c r="Q432" s="214" t="b">
        <v>1</v>
      </c>
      <c r="R432" s="214">
        <v>100.0</v>
      </c>
      <c r="S432" s="214" t="s">
        <v>361</v>
      </c>
      <c r="T432" s="214" t="s">
        <v>365</v>
      </c>
      <c r="U432" s="214"/>
    </row>
    <row r="433">
      <c r="A433" s="221">
        <v>45916.06849857639</v>
      </c>
      <c r="B433" s="214" t="s">
        <v>493</v>
      </c>
      <c r="C433" s="214" t="s">
        <v>146</v>
      </c>
      <c r="D433" s="214">
        <v>2.0</v>
      </c>
      <c r="E433" s="214">
        <v>1.0</v>
      </c>
      <c r="F433" s="214" t="s">
        <v>1117</v>
      </c>
      <c r="G433" s="214" t="s">
        <v>61</v>
      </c>
      <c r="H433" s="214" t="s">
        <v>95</v>
      </c>
      <c r="I433" s="214"/>
      <c r="J433" s="222" t="s">
        <v>67</v>
      </c>
      <c r="K433" s="222">
        <v>21.5</v>
      </c>
      <c r="L433" s="222" t="s">
        <v>67</v>
      </c>
      <c r="M433" s="222">
        <v>59.5</v>
      </c>
      <c r="N433" s="214">
        <v>82.0</v>
      </c>
      <c r="O433" s="214">
        <v>50.0</v>
      </c>
      <c r="P433" s="214">
        <v>2.0</v>
      </c>
      <c r="Q433" s="214" t="b">
        <v>0</v>
      </c>
      <c r="R433" s="214">
        <v>100.0</v>
      </c>
      <c r="S433" s="214" t="s">
        <v>407</v>
      </c>
      <c r="T433" s="214" t="s">
        <v>321</v>
      </c>
      <c r="U433" s="214"/>
    </row>
    <row r="434">
      <c r="A434" s="221">
        <v>45916.06849857639</v>
      </c>
      <c r="B434" s="214" t="s">
        <v>493</v>
      </c>
      <c r="C434" s="214" t="s">
        <v>106</v>
      </c>
      <c r="D434" s="214">
        <v>2.0</v>
      </c>
      <c r="E434" s="214">
        <v>1.0</v>
      </c>
      <c r="F434" s="214" t="s">
        <v>1120</v>
      </c>
      <c r="G434" s="214" t="s">
        <v>61</v>
      </c>
      <c r="H434" s="214" t="s">
        <v>95</v>
      </c>
      <c r="I434" s="214"/>
      <c r="J434" s="222" t="s">
        <v>67</v>
      </c>
      <c r="K434" s="222">
        <v>22.5</v>
      </c>
      <c r="L434" s="222" t="s">
        <v>67</v>
      </c>
      <c r="M434" s="222">
        <v>51.5</v>
      </c>
      <c r="N434" s="214">
        <v>100.0</v>
      </c>
      <c r="O434" s="214">
        <v>59.0</v>
      </c>
      <c r="P434" s="214">
        <v>2.0</v>
      </c>
      <c r="Q434" s="214" t="b">
        <v>1</v>
      </c>
      <c r="R434" s="214">
        <v>100.0</v>
      </c>
      <c r="S434" s="214" t="s">
        <v>361</v>
      </c>
      <c r="T434" s="214" t="s">
        <v>365</v>
      </c>
      <c r="U434" s="214"/>
    </row>
    <row r="435">
      <c r="A435" s="221">
        <v>45916.06849857639</v>
      </c>
      <c r="B435" s="214" t="s">
        <v>493</v>
      </c>
      <c r="C435" s="214" t="s">
        <v>138</v>
      </c>
      <c r="D435" s="214">
        <v>3.0</v>
      </c>
      <c r="E435" s="214">
        <v>0.0</v>
      </c>
      <c r="F435" s="214" t="s">
        <v>1171</v>
      </c>
      <c r="G435" s="214" t="s">
        <v>61</v>
      </c>
      <c r="H435" s="214"/>
      <c r="I435" s="214"/>
      <c r="J435" s="222" t="s">
        <v>67</v>
      </c>
      <c r="K435" s="222">
        <v>-29.5</v>
      </c>
      <c r="L435" s="222" t="s">
        <v>67</v>
      </c>
      <c r="M435" s="222">
        <v>50.5</v>
      </c>
      <c r="N435" s="214">
        <v>103.0</v>
      </c>
      <c r="O435" s="214">
        <v>33.0</v>
      </c>
      <c r="P435" s="214">
        <v>2.0</v>
      </c>
      <c r="Q435" s="214" t="b">
        <v>0</v>
      </c>
      <c r="R435" s="214">
        <v>100.0</v>
      </c>
      <c r="S435" s="214" t="s">
        <v>407</v>
      </c>
      <c r="T435" s="214" t="s">
        <v>321</v>
      </c>
      <c r="U435" s="214"/>
    </row>
    <row r="436">
      <c r="A436" s="221">
        <v>45916.06849857639</v>
      </c>
      <c r="B436" s="214" t="s">
        <v>493</v>
      </c>
      <c r="C436" s="214" t="s">
        <v>143</v>
      </c>
      <c r="D436" s="214">
        <v>1.0</v>
      </c>
      <c r="E436" s="214">
        <v>2.0</v>
      </c>
      <c r="F436" s="214" t="s">
        <v>1139</v>
      </c>
      <c r="G436" s="214" t="s">
        <v>61</v>
      </c>
      <c r="H436" s="214" t="s">
        <v>311</v>
      </c>
      <c r="I436" s="214"/>
      <c r="J436" s="222" t="s">
        <v>67</v>
      </c>
      <c r="K436" s="222">
        <v>27.5</v>
      </c>
      <c r="L436" s="222" t="s">
        <v>67</v>
      </c>
      <c r="M436" s="222">
        <v>48.5</v>
      </c>
      <c r="N436" s="214">
        <v>59.0</v>
      </c>
      <c r="O436" s="214">
        <v>64.0</v>
      </c>
      <c r="P436" s="214">
        <v>2.0</v>
      </c>
      <c r="Q436" s="214" t="b">
        <v>0</v>
      </c>
      <c r="R436" s="214">
        <v>100.0</v>
      </c>
      <c r="S436" s="214" t="s">
        <v>407</v>
      </c>
      <c r="T436" s="214" t="s">
        <v>321</v>
      </c>
      <c r="U436" s="214"/>
    </row>
    <row r="437">
      <c r="A437" s="221">
        <v>45916.06849857639</v>
      </c>
      <c r="B437" s="214" t="s">
        <v>493</v>
      </c>
      <c r="C437" s="214" t="s">
        <v>188</v>
      </c>
      <c r="D437" s="214">
        <v>3.0</v>
      </c>
      <c r="E437" s="214">
        <v>0.0</v>
      </c>
      <c r="F437" s="214" t="s">
        <v>1129</v>
      </c>
      <c r="G437" s="214" t="s">
        <v>61</v>
      </c>
      <c r="H437" s="214" t="s">
        <v>62</v>
      </c>
      <c r="I437" s="214"/>
      <c r="J437" s="222" t="s">
        <v>67</v>
      </c>
      <c r="K437" s="222">
        <v>1.5</v>
      </c>
      <c r="L437" s="222" t="s">
        <v>67</v>
      </c>
      <c r="M437" s="222">
        <v>54.5</v>
      </c>
      <c r="N437" s="214">
        <v>111.0</v>
      </c>
      <c r="O437" s="214">
        <v>26.0</v>
      </c>
      <c r="P437" s="214">
        <v>2.0</v>
      </c>
      <c r="Q437" s="214" t="b">
        <v>1</v>
      </c>
      <c r="R437" s="214">
        <v>100.0</v>
      </c>
      <c r="S437" s="214" t="s">
        <v>471</v>
      </c>
      <c r="T437" s="214" t="s">
        <v>321</v>
      </c>
      <c r="U437" s="214"/>
    </row>
    <row r="438">
      <c r="A438" s="221">
        <v>45916.06849857639</v>
      </c>
      <c r="B438" s="214" t="s">
        <v>493</v>
      </c>
      <c r="C438" s="214" t="s">
        <v>120</v>
      </c>
      <c r="D438" s="214">
        <v>2.0</v>
      </c>
      <c r="E438" s="214">
        <v>1.0</v>
      </c>
      <c r="F438" s="214" t="s">
        <v>1172</v>
      </c>
      <c r="G438" s="214" t="s">
        <v>61</v>
      </c>
      <c r="H438" s="214"/>
      <c r="I438" s="214"/>
      <c r="J438" s="222" t="s">
        <v>67</v>
      </c>
      <c r="K438" s="222">
        <v>-37.5</v>
      </c>
      <c r="L438" s="222" t="s">
        <v>67</v>
      </c>
      <c r="M438" s="222">
        <v>66.5</v>
      </c>
      <c r="N438" s="214">
        <v>119.0</v>
      </c>
      <c r="O438" s="214">
        <v>89.0</v>
      </c>
      <c r="P438" s="214">
        <v>2.0</v>
      </c>
      <c r="Q438" s="214" t="b">
        <v>0</v>
      </c>
      <c r="R438" s="214">
        <v>100.0</v>
      </c>
      <c r="S438" s="214" t="s">
        <v>317</v>
      </c>
      <c r="T438" s="214" t="s">
        <v>321</v>
      </c>
      <c r="U438" s="214"/>
    </row>
    <row r="439">
      <c r="A439" s="221">
        <v>45916.06849857639</v>
      </c>
      <c r="B439" s="214" t="s">
        <v>493</v>
      </c>
      <c r="C439" s="214" t="s">
        <v>123</v>
      </c>
      <c r="D439" s="214">
        <v>2.0</v>
      </c>
      <c r="E439" s="214">
        <v>1.0</v>
      </c>
      <c r="F439" s="214" t="s">
        <v>1121</v>
      </c>
      <c r="G439" s="214" t="s">
        <v>61</v>
      </c>
      <c r="H439" s="214" t="s">
        <v>95</v>
      </c>
      <c r="I439" s="214"/>
      <c r="J439" s="222" t="s">
        <v>67</v>
      </c>
      <c r="K439" s="222">
        <v>7.5</v>
      </c>
      <c r="L439" s="222" t="s">
        <v>67</v>
      </c>
      <c r="M439" s="222">
        <v>52.5</v>
      </c>
      <c r="N439" s="214">
        <v>76.0</v>
      </c>
      <c r="O439" s="214">
        <v>53.0</v>
      </c>
      <c r="P439" s="214">
        <v>2.0</v>
      </c>
      <c r="Q439" s="214" t="b">
        <v>0</v>
      </c>
      <c r="R439" s="214">
        <v>100.0</v>
      </c>
      <c r="S439" s="214" t="s">
        <v>317</v>
      </c>
      <c r="T439" s="214" t="s">
        <v>321</v>
      </c>
      <c r="U439" s="214"/>
    </row>
    <row r="440">
      <c r="A440" s="221">
        <v>45916.06849857639</v>
      </c>
      <c r="B440" s="214"/>
      <c r="C440" s="214"/>
      <c r="D440" s="214"/>
      <c r="E440" s="214"/>
      <c r="F440" s="214"/>
      <c r="G440" s="214"/>
      <c r="H440" s="214"/>
      <c r="I440" s="214"/>
      <c r="J440" s="222"/>
      <c r="K440" s="222"/>
      <c r="L440" s="222"/>
      <c r="M440" s="222"/>
      <c r="N440" s="214"/>
      <c r="O440" s="214"/>
      <c r="P440" s="214"/>
      <c r="Q440" s="214"/>
      <c r="R440" s="214"/>
      <c r="S440" s="214"/>
      <c r="T440" s="214"/>
      <c r="U440" s="214"/>
    </row>
    <row r="441">
      <c r="A441" s="221">
        <v>45916.06849857639</v>
      </c>
      <c r="B441" s="214" t="s">
        <v>493</v>
      </c>
      <c r="C441" s="214" t="s">
        <v>219</v>
      </c>
      <c r="D441" s="214">
        <v>1.0</v>
      </c>
      <c r="E441" s="214">
        <v>1.0</v>
      </c>
      <c r="F441" s="214"/>
      <c r="G441" s="214"/>
      <c r="H441" s="214"/>
      <c r="I441" s="214"/>
      <c r="J441" s="222"/>
      <c r="K441" s="222"/>
      <c r="L441" s="222"/>
      <c r="M441" s="222"/>
      <c r="N441" s="214">
        <v>29.0</v>
      </c>
      <c r="O441" s="214">
        <v>73.0</v>
      </c>
      <c r="P441" s="214">
        <v>0.0</v>
      </c>
      <c r="Q441" s="214" t="b">
        <v>1</v>
      </c>
      <c r="R441" s="214">
        <v>59.0</v>
      </c>
      <c r="S441" s="214" t="s">
        <v>441</v>
      </c>
      <c r="T441" s="214" t="s">
        <v>365</v>
      </c>
      <c r="U441" s="214"/>
    </row>
    <row r="442">
      <c r="A442" s="221">
        <v>45916.06849857639</v>
      </c>
      <c r="B442" s="214" t="s">
        <v>493</v>
      </c>
      <c r="C442" s="214" t="s">
        <v>205</v>
      </c>
      <c r="D442" s="214">
        <v>2.0</v>
      </c>
      <c r="E442" s="214">
        <v>1.0</v>
      </c>
      <c r="F442" s="214" t="s">
        <v>1124</v>
      </c>
      <c r="G442" s="214" t="s">
        <v>61</v>
      </c>
      <c r="H442" s="214" t="s">
        <v>62</v>
      </c>
      <c r="I442" s="214"/>
      <c r="J442" s="222" t="s">
        <v>67</v>
      </c>
      <c r="K442" s="222">
        <v>-24.5</v>
      </c>
      <c r="L442" s="222" t="s">
        <v>67</v>
      </c>
      <c r="M442" s="222">
        <v>47.5</v>
      </c>
      <c r="N442" s="214">
        <v>95.0</v>
      </c>
      <c r="O442" s="214">
        <v>69.0</v>
      </c>
      <c r="P442" s="214">
        <v>2.0</v>
      </c>
      <c r="Q442" s="214" t="b">
        <v>1</v>
      </c>
      <c r="R442" s="214">
        <v>100.0</v>
      </c>
      <c r="S442" s="214" t="s">
        <v>556</v>
      </c>
      <c r="T442" s="214" t="s">
        <v>321</v>
      </c>
      <c r="U442" s="214"/>
    </row>
    <row r="443">
      <c r="A443" s="221">
        <v>45916.06849857639</v>
      </c>
      <c r="B443" s="214" t="s">
        <v>493</v>
      </c>
      <c r="C443" s="214" t="s">
        <v>546</v>
      </c>
      <c r="D443" s="214">
        <v>2.0</v>
      </c>
      <c r="E443" s="214">
        <v>1.0</v>
      </c>
      <c r="F443" s="214" t="s">
        <v>1109</v>
      </c>
      <c r="G443" s="214" t="s">
        <v>61</v>
      </c>
      <c r="H443" s="214" t="s">
        <v>43</v>
      </c>
      <c r="I443" s="214"/>
      <c r="J443" s="222" t="s">
        <v>67</v>
      </c>
      <c r="K443" s="222">
        <v>4.0</v>
      </c>
      <c r="L443" s="222" t="s">
        <v>67</v>
      </c>
      <c r="M443" s="222">
        <v>56.5</v>
      </c>
      <c r="N443" s="214">
        <v>93.0</v>
      </c>
      <c r="O443" s="214">
        <v>76.0</v>
      </c>
      <c r="P443" s="214">
        <v>2.0</v>
      </c>
      <c r="Q443" s="214" t="b">
        <v>0</v>
      </c>
      <c r="R443" s="214">
        <v>100.0</v>
      </c>
      <c r="S443" s="214" t="s">
        <v>441</v>
      </c>
      <c r="T443" s="214" t="s">
        <v>365</v>
      </c>
      <c r="U443" s="214"/>
    </row>
    <row r="444">
      <c r="A444" s="221">
        <v>45916.06849857639</v>
      </c>
      <c r="B444" s="214" t="s">
        <v>493</v>
      </c>
      <c r="C444" s="214" t="s">
        <v>207</v>
      </c>
      <c r="D444" s="214">
        <v>3.0</v>
      </c>
      <c r="E444" s="214">
        <v>0.0</v>
      </c>
      <c r="F444" s="214" t="s">
        <v>1173</v>
      </c>
      <c r="G444" s="214" t="s">
        <v>61</v>
      </c>
      <c r="H444" s="214"/>
      <c r="I444" s="214"/>
      <c r="J444" s="222"/>
      <c r="K444" s="222"/>
      <c r="L444" s="222"/>
      <c r="M444" s="222"/>
      <c r="N444" s="214">
        <v>121.0</v>
      </c>
      <c r="O444" s="214">
        <v>37.0</v>
      </c>
      <c r="P444" s="214">
        <v>2.0</v>
      </c>
      <c r="Q444" s="214" t="b">
        <v>0</v>
      </c>
      <c r="R444" s="214">
        <v>100.0</v>
      </c>
      <c r="S444" s="214" t="s">
        <v>556</v>
      </c>
      <c r="T444" s="214" t="s">
        <v>321</v>
      </c>
      <c r="U444" s="214"/>
    </row>
    <row r="445">
      <c r="A445" s="221">
        <v>45916.06849857639</v>
      </c>
      <c r="B445" s="214" t="s">
        <v>493</v>
      </c>
      <c r="C445" s="214" t="s">
        <v>200</v>
      </c>
      <c r="D445" s="214">
        <v>2.0</v>
      </c>
      <c r="E445" s="214">
        <v>1.0</v>
      </c>
      <c r="F445" s="214" t="s">
        <v>1159</v>
      </c>
      <c r="G445" s="214" t="s">
        <v>61</v>
      </c>
      <c r="H445" s="214" t="s">
        <v>156</v>
      </c>
      <c r="I445" s="214"/>
      <c r="J445" s="222" t="s">
        <v>67</v>
      </c>
      <c r="K445" s="222">
        <v>5.5</v>
      </c>
      <c r="L445" s="222" t="s">
        <v>67</v>
      </c>
      <c r="M445" s="222">
        <v>57.5</v>
      </c>
      <c r="N445" s="214">
        <v>59.0</v>
      </c>
      <c r="O445" s="214">
        <v>82.0</v>
      </c>
      <c r="P445" s="214">
        <v>2.0</v>
      </c>
      <c r="Q445" s="214" t="b">
        <v>0</v>
      </c>
      <c r="R445" s="214">
        <v>100.0</v>
      </c>
      <c r="S445" s="214" t="s">
        <v>680</v>
      </c>
      <c r="T445" s="214" t="s">
        <v>365</v>
      </c>
      <c r="U445" s="214"/>
    </row>
    <row r="446">
      <c r="A446" s="221">
        <v>45923.06845153935</v>
      </c>
      <c r="B446" s="214" t="s">
        <v>43</v>
      </c>
      <c r="C446" s="214" t="s">
        <v>228</v>
      </c>
      <c r="D446" s="214">
        <v>2.0</v>
      </c>
      <c r="E446" s="214">
        <v>1.0</v>
      </c>
      <c r="F446" s="214"/>
      <c r="G446" s="214"/>
      <c r="H446" s="214"/>
      <c r="I446" s="214"/>
      <c r="J446" s="222"/>
      <c r="K446" s="222"/>
      <c r="L446" s="222"/>
      <c r="M446" s="222"/>
      <c r="N446" s="214">
        <v>54.0</v>
      </c>
      <c r="O446" s="214">
        <v>66.0</v>
      </c>
      <c r="P446" s="214">
        <v>0.0</v>
      </c>
      <c r="Q446" s="214" t="b">
        <v>1</v>
      </c>
      <c r="R446" s="214">
        <v>59.0</v>
      </c>
      <c r="S446" s="214" t="s">
        <v>535</v>
      </c>
      <c r="T446" s="214" t="s">
        <v>365</v>
      </c>
      <c r="U446" s="214"/>
    </row>
    <row r="447">
      <c r="A447" s="221">
        <v>45923.06845153935</v>
      </c>
      <c r="B447" s="214" t="s">
        <v>43</v>
      </c>
      <c r="C447" s="214" t="s">
        <v>527</v>
      </c>
      <c r="D447" s="214">
        <v>0.0</v>
      </c>
      <c r="E447" s="214">
        <v>3.0</v>
      </c>
      <c r="F447" s="214"/>
      <c r="G447" s="214"/>
      <c r="H447" s="214"/>
      <c r="I447" s="214"/>
      <c r="J447" s="222"/>
      <c r="K447" s="222"/>
      <c r="L447" s="222"/>
      <c r="M447" s="222"/>
      <c r="N447" s="214">
        <v>43.0</v>
      </c>
      <c r="O447" s="214">
        <v>116.0</v>
      </c>
      <c r="P447" s="214">
        <v>0.0</v>
      </c>
      <c r="Q447" s="214" t="b">
        <v>1</v>
      </c>
      <c r="R447" s="214">
        <v>59.0</v>
      </c>
      <c r="S447" s="214" t="s">
        <v>530</v>
      </c>
      <c r="T447" s="214" t="s">
        <v>365</v>
      </c>
      <c r="U447" s="214"/>
    </row>
    <row r="448">
      <c r="A448" s="221">
        <v>45923.06845153935</v>
      </c>
      <c r="B448" s="214" t="s">
        <v>43</v>
      </c>
      <c r="C448" s="214" t="s">
        <v>422</v>
      </c>
      <c r="D448" s="214">
        <v>2.0</v>
      </c>
      <c r="E448" s="214">
        <v>1.0</v>
      </c>
      <c r="F448" s="214"/>
      <c r="G448" s="214"/>
      <c r="H448" s="214"/>
      <c r="I448" s="214"/>
      <c r="J448" s="222"/>
      <c r="K448" s="222"/>
      <c r="L448" s="222"/>
      <c r="M448" s="222"/>
      <c r="N448" s="214">
        <v>76.0</v>
      </c>
      <c r="O448" s="214">
        <v>62.0</v>
      </c>
      <c r="P448" s="214">
        <v>0.0</v>
      </c>
      <c r="Q448" s="214" t="b">
        <v>1</v>
      </c>
      <c r="R448" s="214">
        <v>59.0</v>
      </c>
      <c r="S448" s="214" t="s">
        <v>441</v>
      </c>
      <c r="T448" s="214" t="s">
        <v>365</v>
      </c>
      <c r="U448" s="214"/>
    </row>
    <row r="449">
      <c r="A449" s="221">
        <v>45923.06845153935</v>
      </c>
      <c r="B449" s="214" t="s">
        <v>43</v>
      </c>
      <c r="C449" s="214" t="s">
        <v>145</v>
      </c>
      <c r="D449" s="214">
        <v>3.0</v>
      </c>
      <c r="E449" s="214">
        <v>0.0</v>
      </c>
      <c r="F449" s="214"/>
      <c r="G449" s="214"/>
      <c r="H449" s="214"/>
      <c r="I449" s="214"/>
      <c r="J449" s="222" t="s">
        <v>67</v>
      </c>
      <c r="K449" s="222">
        <v>-48.5</v>
      </c>
      <c r="L449" s="222" t="s">
        <v>67</v>
      </c>
      <c r="M449" s="222">
        <v>55.5</v>
      </c>
      <c r="N449" s="214">
        <v>132.0</v>
      </c>
      <c r="O449" s="214">
        <v>17.0</v>
      </c>
      <c r="P449" s="214">
        <v>0.0</v>
      </c>
      <c r="Q449" s="214" t="b">
        <v>1</v>
      </c>
      <c r="R449" s="214">
        <v>59.0</v>
      </c>
      <c r="S449" s="214" t="s">
        <v>407</v>
      </c>
      <c r="T449" s="214" t="s">
        <v>321</v>
      </c>
      <c r="U449" s="214"/>
    </row>
    <row r="450">
      <c r="A450" s="221">
        <v>45923.06845153935</v>
      </c>
      <c r="B450" s="214" t="s">
        <v>43</v>
      </c>
      <c r="C450" s="214" t="s">
        <v>189</v>
      </c>
      <c r="D450" s="214">
        <v>3.0</v>
      </c>
      <c r="E450" s="214">
        <v>1.0</v>
      </c>
      <c r="F450" s="214" t="s">
        <v>1174</v>
      </c>
      <c r="G450" s="214" t="s">
        <v>61</v>
      </c>
      <c r="H450" s="214" t="s">
        <v>249</v>
      </c>
      <c r="I450" s="214"/>
      <c r="J450" s="222" t="s">
        <v>67</v>
      </c>
      <c r="K450" s="222">
        <v>2.5</v>
      </c>
      <c r="L450" s="222" t="s">
        <v>67</v>
      </c>
      <c r="M450" s="222">
        <v>60.5</v>
      </c>
      <c r="N450" s="214">
        <v>119.0</v>
      </c>
      <c r="O450" s="214">
        <v>82.0</v>
      </c>
      <c r="P450" s="214">
        <v>2.0</v>
      </c>
      <c r="Q450" s="214" t="b">
        <v>0</v>
      </c>
      <c r="R450" s="214">
        <v>100.0</v>
      </c>
      <c r="S450" s="214" t="s">
        <v>471</v>
      </c>
      <c r="T450" s="214" t="s">
        <v>321</v>
      </c>
      <c r="U450" s="214"/>
    </row>
    <row r="451">
      <c r="A451" s="221">
        <v>45923.06845153935</v>
      </c>
      <c r="B451" s="214" t="s">
        <v>43</v>
      </c>
      <c r="C451" s="214" t="s">
        <v>176</v>
      </c>
      <c r="D451" s="214">
        <v>1.0</v>
      </c>
      <c r="E451" s="214">
        <v>2.0</v>
      </c>
      <c r="F451" s="214" t="s">
        <v>1175</v>
      </c>
      <c r="G451" s="214" t="s">
        <v>61</v>
      </c>
      <c r="H451" s="214" t="s">
        <v>95</v>
      </c>
      <c r="I451" s="214"/>
      <c r="J451" s="222" t="s">
        <v>67</v>
      </c>
      <c r="K451" s="222">
        <v>11.5</v>
      </c>
      <c r="L451" s="222" t="s">
        <v>67</v>
      </c>
      <c r="M451" s="222">
        <v>51.5</v>
      </c>
      <c r="N451" s="214">
        <v>116.0</v>
      </c>
      <c r="O451" s="214">
        <v>111.0</v>
      </c>
      <c r="P451" s="214">
        <v>2.0</v>
      </c>
      <c r="Q451" s="214" t="b">
        <v>1</v>
      </c>
      <c r="R451" s="214">
        <v>100.0</v>
      </c>
      <c r="S451" s="214" t="s">
        <v>525</v>
      </c>
      <c r="T451" s="214" t="s">
        <v>365</v>
      </c>
      <c r="U451" s="214"/>
    </row>
    <row r="452">
      <c r="A452" s="221">
        <v>45923.06845153935</v>
      </c>
      <c r="B452" s="214" t="s">
        <v>43</v>
      </c>
      <c r="C452" s="214" t="s">
        <v>45</v>
      </c>
      <c r="D452" s="214">
        <v>3.0</v>
      </c>
      <c r="E452" s="214">
        <v>1.0</v>
      </c>
      <c r="F452" s="214" t="s">
        <v>1176</v>
      </c>
      <c r="G452" s="214" t="s">
        <v>61</v>
      </c>
      <c r="H452" s="214" t="s">
        <v>95</v>
      </c>
      <c r="I452" s="214"/>
      <c r="J452" s="222" t="s">
        <v>67</v>
      </c>
      <c r="K452" s="222">
        <v>6.5</v>
      </c>
      <c r="L452" s="222" t="s">
        <v>67</v>
      </c>
      <c r="M452" s="222">
        <v>46.5</v>
      </c>
      <c r="N452" s="214">
        <v>128.0</v>
      </c>
      <c r="O452" s="214">
        <v>66.0</v>
      </c>
      <c r="P452" s="214">
        <v>2.0</v>
      </c>
      <c r="Q452" s="214" t="b">
        <v>0</v>
      </c>
      <c r="R452" s="214">
        <v>100.0</v>
      </c>
      <c r="S452" s="214" t="s">
        <v>556</v>
      </c>
      <c r="T452" s="214" t="s">
        <v>321</v>
      </c>
      <c r="U452" s="214"/>
    </row>
    <row r="453">
      <c r="A453" s="221">
        <v>45923.06845153935</v>
      </c>
      <c r="B453" s="214" t="s">
        <v>43</v>
      </c>
      <c r="C453" s="214" t="s">
        <v>118</v>
      </c>
      <c r="D453" s="214">
        <v>2.0</v>
      </c>
      <c r="E453" s="214">
        <v>2.0</v>
      </c>
      <c r="F453" s="214" t="s">
        <v>1177</v>
      </c>
      <c r="G453" s="214" t="s">
        <v>61</v>
      </c>
      <c r="H453" s="214" t="s">
        <v>156</v>
      </c>
      <c r="I453" s="214"/>
      <c r="J453" s="222" t="s">
        <v>67</v>
      </c>
      <c r="K453" s="222">
        <v>6.5</v>
      </c>
      <c r="L453" s="222" t="s">
        <v>67</v>
      </c>
      <c r="M453" s="222">
        <v>46.5</v>
      </c>
      <c r="N453" s="214">
        <v>84.0</v>
      </c>
      <c r="O453" s="214">
        <v>91.0</v>
      </c>
      <c r="P453" s="214">
        <v>2.0</v>
      </c>
      <c r="Q453" s="214" t="b">
        <v>0</v>
      </c>
      <c r="R453" s="214">
        <v>100.0</v>
      </c>
      <c r="S453" s="214" t="s">
        <v>317</v>
      </c>
      <c r="T453" s="214" t="s">
        <v>321</v>
      </c>
      <c r="U453" s="214"/>
    </row>
    <row r="454">
      <c r="A454" s="221">
        <v>45923.06845153935</v>
      </c>
      <c r="B454" s="214" t="s">
        <v>43</v>
      </c>
      <c r="C454" s="214" t="s">
        <v>133</v>
      </c>
      <c r="D454" s="214">
        <v>4.0</v>
      </c>
      <c r="E454" s="214">
        <v>0.0</v>
      </c>
      <c r="F454" s="214" t="s">
        <v>1178</v>
      </c>
      <c r="G454" s="214" t="s">
        <v>61</v>
      </c>
      <c r="H454" s="214" t="s">
        <v>95</v>
      </c>
      <c r="I454" s="214"/>
      <c r="J454" s="222" t="s">
        <v>67</v>
      </c>
      <c r="K454" s="222">
        <v>3.0</v>
      </c>
      <c r="L454" s="222" t="s">
        <v>67</v>
      </c>
      <c r="M454" s="222">
        <v>56.5</v>
      </c>
      <c r="N454" s="214">
        <v>208.0</v>
      </c>
      <c r="O454" s="214">
        <v>45.0</v>
      </c>
      <c r="P454" s="214">
        <v>2.0</v>
      </c>
      <c r="Q454" s="214" t="b">
        <v>0</v>
      </c>
      <c r="R454" s="214">
        <v>100.0</v>
      </c>
      <c r="S454" s="214" t="s">
        <v>471</v>
      </c>
      <c r="T454" s="214" t="s">
        <v>321</v>
      </c>
      <c r="U454" s="214"/>
    </row>
    <row r="455">
      <c r="A455" s="221">
        <v>45923.06845153935</v>
      </c>
      <c r="B455" s="214" t="s">
        <v>43</v>
      </c>
      <c r="C455" s="214" t="s">
        <v>157</v>
      </c>
      <c r="D455" s="214">
        <v>3.0</v>
      </c>
      <c r="E455" s="214">
        <v>1.0</v>
      </c>
      <c r="F455" s="214" t="s">
        <v>1179</v>
      </c>
      <c r="G455" s="214" t="s">
        <v>61</v>
      </c>
      <c r="H455" s="214" t="s">
        <v>249</v>
      </c>
      <c r="I455" s="214"/>
      <c r="J455" s="222" t="s">
        <v>67</v>
      </c>
      <c r="K455" s="222">
        <v>-2.5</v>
      </c>
      <c r="L455" s="222" t="s">
        <v>67</v>
      </c>
      <c r="M455" s="222">
        <v>43.5</v>
      </c>
      <c r="N455" s="214">
        <v>89.0</v>
      </c>
      <c r="O455" s="214">
        <v>81.0</v>
      </c>
      <c r="P455" s="214">
        <v>2.0</v>
      </c>
      <c r="Q455" s="214" t="b">
        <v>1</v>
      </c>
      <c r="R455" s="214">
        <v>100.0</v>
      </c>
      <c r="S455" s="214" t="s">
        <v>361</v>
      </c>
      <c r="T455" s="214" t="s">
        <v>365</v>
      </c>
      <c r="U455" s="214"/>
    </row>
    <row r="456">
      <c r="A456" s="221">
        <v>45923.06845153935</v>
      </c>
      <c r="B456" s="214"/>
      <c r="C456" s="214"/>
      <c r="D456" s="214"/>
      <c r="E456" s="214"/>
      <c r="F456" s="214"/>
      <c r="G456" s="214"/>
      <c r="H456" s="214"/>
      <c r="I456" s="214"/>
      <c r="J456" s="222"/>
      <c r="K456" s="222"/>
      <c r="L456" s="222"/>
      <c r="M456" s="222"/>
      <c r="N456" s="214"/>
      <c r="O456" s="214"/>
      <c r="P456" s="214"/>
      <c r="Q456" s="214"/>
      <c r="R456" s="214"/>
      <c r="S456" s="214"/>
      <c r="T456" s="214"/>
      <c r="U456" s="214"/>
    </row>
    <row r="457">
      <c r="A457" s="221">
        <v>45923.06845153935</v>
      </c>
      <c r="B457" s="214" t="s">
        <v>95</v>
      </c>
      <c r="C457" s="214" t="s">
        <v>197</v>
      </c>
      <c r="D457" s="214">
        <v>4.0</v>
      </c>
      <c r="E457" s="214">
        <v>0.0</v>
      </c>
      <c r="F457" s="214" t="s">
        <v>1180</v>
      </c>
      <c r="G457" s="214" t="s">
        <v>61</v>
      </c>
      <c r="H457" s="214" t="s">
        <v>224</v>
      </c>
      <c r="I457" s="214"/>
      <c r="J457" s="222" t="s">
        <v>67</v>
      </c>
      <c r="K457" s="222">
        <v>-18.5</v>
      </c>
      <c r="L457" s="222" t="s">
        <v>67</v>
      </c>
      <c r="M457" s="222">
        <v>55.5</v>
      </c>
      <c r="N457" s="214">
        <v>210.0</v>
      </c>
      <c r="O457" s="214">
        <v>81.0</v>
      </c>
      <c r="P457" s="214">
        <v>2.0</v>
      </c>
      <c r="Q457" s="214" t="b">
        <v>1</v>
      </c>
      <c r="R457" s="214">
        <v>100.0</v>
      </c>
      <c r="S457" s="214" t="s">
        <v>407</v>
      </c>
      <c r="T457" s="214" t="s">
        <v>321</v>
      </c>
      <c r="U457" s="214"/>
    </row>
    <row r="458">
      <c r="A458" s="221">
        <v>45923.06845153935</v>
      </c>
      <c r="B458" s="214" t="s">
        <v>95</v>
      </c>
      <c r="C458" s="214" t="s">
        <v>221</v>
      </c>
      <c r="D458" s="214">
        <v>3.0</v>
      </c>
      <c r="E458" s="214">
        <v>1.0</v>
      </c>
      <c r="F458" s="214" t="s">
        <v>1181</v>
      </c>
      <c r="G458" s="214" t="s">
        <v>61</v>
      </c>
      <c r="H458" s="214"/>
      <c r="I458" s="214"/>
      <c r="J458" s="222" t="s">
        <v>67</v>
      </c>
      <c r="K458" s="222">
        <v>-28.5</v>
      </c>
      <c r="L458" s="222" t="s">
        <v>67</v>
      </c>
      <c r="M458" s="222">
        <v>54.5</v>
      </c>
      <c r="N458" s="214">
        <v>145.0</v>
      </c>
      <c r="O458" s="214">
        <v>100.0</v>
      </c>
      <c r="P458" s="214">
        <v>2.0</v>
      </c>
      <c r="Q458" s="214" t="b">
        <v>0</v>
      </c>
      <c r="R458" s="214">
        <v>100.0</v>
      </c>
      <c r="S458" s="214" t="s">
        <v>441</v>
      </c>
      <c r="T458" s="214" t="s">
        <v>365</v>
      </c>
      <c r="U458" s="214"/>
    </row>
    <row r="459">
      <c r="A459" s="221">
        <v>45923.06845153935</v>
      </c>
      <c r="B459" s="214" t="s">
        <v>95</v>
      </c>
      <c r="C459" s="214" t="s">
        <v>100</v>
      </c>
      <c r="D459" s="214">
        <v>2.0</v>
      </c>
      <c r="E459" s="214">
        <v>2.0</v>
      </c>
      <c r="F459" s="214" t="s">
        <v>1182</v>
      </c>
      <c r="G459" s="214" t="s">
        <v>61</v>
      </c>
      <c r="H459" s="214" t="s">
        <v>224</v>
      </c>
      <c r="I459" s="214"/>
      <c r="J459" s="222" t="s">
        <v>67</v>
      </c>
      <c r="K459" s="222">
        <v>6.5</v>
      </c>
      <c r="L459" s="222" t="s">
        <v>67</v>
      </c>
      <c r="M459" s="222">
        <v>49.5</v>
      </c>
      <c r="N459" s="214">
        <v>124.0</v>
      </c>
      <c r="O459" s="214">
        <v>61.0</v>
      </c>
      <c r="P459" s="214">
        <v>2.0</v>
      </c>
      <c r="Q459" s="214" t="b">
        <v>0</v>
      </c>
      <c r="R459" s="214">
        <v>100.0</v>
      </c>
      <c r="S459" s="214" t="s">
        <v>361</v>
      </c>
      <c r="T459" s="214" t="s">
        <v>365</v>
      </c>
      <c r="U459" s="214"/>
    </row>
    <row r="460">
      <c r="A460" s="221">
        <v>45923.06845153935</v>
      </c>
      <c r="B460" s="214" t="s">
        <v>95</v>
      </c>
      <c r="C460" s="214" t="s">
        <v>177</v>
      </c>
      <c r="D460" s="214">
        <v>2.0</v>
      </c>
      <c r="E460" s="214">
        <v>1.0</v>
      </c>
      <c r="F460" s="214" t="s">
        <v>1175</v>
      </c>
      <c r="G460" s="214" t="s">
        <v>61</v>
      </c>
      <c r="H460" s="214" t="s">
        <v>43</v>
      </c>
      <c r="I460" s="214"/>
      <c r="J460" s="222" t="s">
        <v>67</v>
      </c>
      <c r="K460" s="222">
        <v>-11.5</v>
      </c>
      <c r="L460" s="222" t="s">
        <v>67</v>
      </c>
      <c r="M460" s="222">
        <v>51.5</v>
      </c>
      <c r="N460" s="214">
        <v>107.0</v>
      </c>
      <c r="O460" s="214">
        <v>85.0</v>
      </c>
      <c r="P460" s="214">
        <v>2.0</v>
      </c>
      <c r="Q460" s="214" t="b">
        <v>0</v>
      </c>
      <c r="R460" s="214">
        <v>100.0</v>
      </c>
      <c r="S460" s="214" t="s">
        <v>525</v>
      </c>
      <c r="T460" s="214" t="s">
        <v>365</v>
      </c>
      <c r="U460" s="214"/>
    </row>
    <row r="461">
      <c r="A461" s="221">
        <v>45923.06845153935</v>
      </c>
      <c r="B461" s="214" t="s">
        <v>95</v>
      </c>
      <c r="C461" s="214" t="s">
        <v>233</v>
      </c>
      <c r="D461" s="214">
        <v>2.0</v>
      </c>
      <c r="E461" s="214">
        <v>2.0</v>
      </c>
      <c r="F461" s="214" t="s">
        <v>1183</v>
      </c>
      <c r="G461" s="214" t="s">
        <v>61</v>
      </c>
      <c r="H461" s="214" t="s">
        <v>132</v>
      </c>
      <c r="I461" s="214"/>
      <c r="J461" s="222" t="s">
        <v>67</v>
      </c>
      <c r="K461" s="222">
        <v>4.5</v>
      </c>
      <c r="L461" s="222" t="s">
        <v>67</v>
      </c>
      <c r="M461" s="222">
        <v>57.5</v>
      </c>
      <c r="N461" s="214">
        <v>73.0</v>
      </c>
      <c r="O461" s="214">
        <v>100.0</v>
      </c>
      <c r="P461" s="214">
        <v>2.0</v>
      </c>
      <c r="Q461" s="214" t="b">
        <v>0</v>
      </c>
      <c r="R461" s="214">
        <v>100.0</v>
      </c>
      <c r="S461" s="214" t="s">
        <v>535</v>
      </c>
      <c r="T461" s="214" t="s">
        <v>365</v>
      </c>
      <c r="U461" s="214"/>
    </row>
    <row r="462">
      <c r="A462" s="221">
        <v>45923.06845153935</v>
      </c>
      <c r="B462" s="214" t="s">
        <v>95</v>
      </c>
      <c r="C462" s="214" t="s">
        <v>117</v>
      </c>
      <c r="D462" s="214">
        <v>3.0</v>
      </c>
      <c r="E462" s="214">
        <v>1.0</v>
      </c>
      <c r="F462" s="214" t="s">
        <v>1184</v>
      </c>
      <c r="G462" s="214" t="s">
        <v>61</v>
      </c>
      <c r="H462" s="214" t="s">
        <v>249</v>
      </c>
      <c r="I462" s="214"/>
      <c r="J462" s="222" t="s">
        <v>67</v>
      </c>
      <c r="K462" s="222">
        <v>2.5</v>
      </c>
      <c r="L462" s="222" t="s">
        <v>67</v>
      </c>
      <c r="M462" s="222">
        <v>56.5</v>
      </c>
      <c r="N462" s="214">
        <v>126.0</v>
      </c>
      <c r="O462" s="214">
        <v>117.0</v>
      </c>
      <c r="P462" s="214">
        <v>2.0</v>
      </c>
      <c r="Q462" s="214" t="b">
        <v>0</v>
      </c>
      <c r="R462" s="214">
        <v>100.0</v>
      </c>
      <c r="S462" s="214" t="s">
        <v>317</v>
      </c>
      <c r="T462" s="214" t="s">
        <v>321</v>
      </c>
      <c r="U462" s="214"/>
    </row>
    <row r="463">
      <c r="A463" s="221">
        <v>45923.06845153935</v>
      </c>
      <c r="B463" s="214" t="s">
        <v>95</v>
      </c>
      <c r="C463" s="214" t="s">
        <v>128</v>
      </c>
      <c r="D463" s="214">
        <v>4.0</v>
      </c>
      <c r="E463" s="214">
        <v>0.0</v>
      </c>
      <c r="F463" s="214" t="s">
        <v>1176</v>
      </c>
      <c r="G463" s="214" t="s">
        <v>61</v>
      </c>
      <c r="H463" s="214" t="s">
        <v>43</v>
      </c>
      <c r="I463" s="214"/>
      <c r="J463" s="222" t="s">
        <v>67</v>
      </c>
      <c r="K463" s="222">
        <v>-6.5</v>
      </c>
      <c r="L463" s="222" t="s">
        <v>67</v>
      </c>
      <c r="M463" s="222">
        <v>46.5</v>
      </c>
      <c r="N463" s="214">
        <v>125.0</v>
      </c>
      <c r="O463" s="214">
        <v>36.0</v>
      </c>
      <c r="P463" s="214">
        <v>2.0</v>
      </c>
      <c r="Q463" s="214" t="b">
        <v>1</v>
      </c>
      <c r="R463" s="214">
        <v>100.0</v>
      </c>
      <c r="S463" s="214" t="s">
        <v>556</v>
      </c>
      <c r="T463" s="214" t="s">
        <v>321</v>
      </c>
      <c r="U463" s="214"/>
    </row>
    <row r="464">
      <c r="A464" s="221">
        <v>45923.06845153935</v>
      </c>
      <c r="B464" s="214" t="s">
        <v>95</v>
      </c>
      <c r="C464" s="214" t="s">
        <v>165</v>
      </c>
      <c r="D464" s="214">
        <v>1.0</v>
      </c>
      <c r="E464" s="214">
        <v>3.0</v>
      </c>
      <c r="F464" s="214" t="s">
        <v>1185</v>
      </c>
      <c r="G464" s="214" t="s">
        <v>61</v>
      </c>
      <c r="H464" s="214" t="s">
        <v>395</v>
      </c>
      <c r="I464" s="214"/>
      <c r="J464" s="222" t="s">
        <v>67</v>
      </c>
      <c r="K464" s="222">
        <v>21.0</v>
      </c>
      <c r="L464" s="222" t="s">
        <v>67</v>
      </c>
      <c r="M464" s="222">
        <v>53.5</v>
      </c>
      <c r="N464" s="214">
        <v>62.0</v>
      </c>
      <c r="O464" s="214">
        <v>133.0</v>
      </c>
      <c r="P464" s="214">
        <v>2.0</v>
      </c>
      <c r="Q464" s="214" t="b">
        <v>0</v>
      </c>
      <c r="R464" s="214">
        <v>100.0</v>
      </c>
      <c r="S464" s="214" t="s">
        <v>530</v>
      </c>
      <c r="T464" s="214" t="s">
        <v>365</v>
      </c>
      <c r="U464" s="214"/>
    </row>
    <row r="465">
      <c r="A465" s="221">
        <v>45923.06845153935</v>
      </c>
      <c r="B465" s="214" t="s">
        <v>95</v>
      </c>
      <c r="C465" s="214" t="s">
        <v>198</v>
      </c>
      <c r="D465" s="214">
        <v>3.0</v>
      </c>
      <c r="E465" s="214">
        <v>1.0</v>
      </c>
      <c r="F465" s="214" t="s">
        <v>1178</v>
      </c>
      <c r="G465" s="214" t="s">
        <v>61</v>
      </c>
      <c r="H465" s="214" t="s">
        <v>43</v>
      </c>
      <c r="I465" s="214"/>
      <c r="J465" s="222" t="s">
        <v>67</v>
      </c>
      <c r="K465" s="222">
        <v>-3.0</v>
      </c>
      <c r="L465" s="222" t="s">
        <v>67</v>
      </c>
      <c r="M465" s="222">
        <v>56.5</v>
      </c>
      <c r="N465" s="214">
        <v>147.0</v>
      </c>
      <c r="O465" s="214">
        <v>59.0</v>
      </c>
      <c r="P465" s="214">
        <v>2.0</v>
      </c>
      <c r="Q465" s="214" t="b">
        <v>1</v>
      </c>
      <c r="R465" s="214">
        <v>100.0</v>
      </c>
      <c r="S465" s="214" t="s">
        <v>471</v>
      </c>
      <c r="T465" s="214" t="s">
        <v>321</v>
      </c>
      <c r="U465" s="214"/>
    </row>
    <row r="466">
      <c r="A466" s="221">
        <v>45923.06845153935</v>
      </c>
      <c r="B466" s="214" t="s">
        <v>95</v>
      </c>
      <c r="C466" s="214" t="s">
        <v>130</v>
      </c>
      <c r="D466" s="214">
        <v>3.0</v>
      </c>
      <c r="E466" s="214">
        <v>0.0</v>
      </c>
      <c r="F466" s="214" t="s">
        <v>1186</v>
      </c>
      <c r="G466" s="214" t="s">
        <v>61</v>
      </c>
      <c r="H466" s="214" t="s">
        <v>193</v>
      </c>
      <c r="I466" s="214"/>
      <c r="J466" s="222" t="s">
        <v>67</v>
      </c>
      <c r="K466" s="222">
        <v>-7.0</v>
      </c>
      <c r="L466" s="222" t="s">
        <v>67</v>
      </c>
      <c r="M466" s="222">
        <v>62.5</v>
      </c>
      <c r="N466" s="214">
        <v>125.0</v>
      </c>
      <c r="O466" s="214">
        <v>59.0</v>
      </c>
      <c r="P466" s="214">
        <v>2.0</v>
      </c>
      <c r="Q466" s="214" t="b">
        <v>1</v>
      </c>
      <c r="R466" s="214">
        <v>100.0</v>
      </c>
      <c r="S466" s="214" t="s">
        <v>471</v>
      </c>
      <c r="T466" s="214" t="s">
        <v>321</v>
      </c>
      <c r="U466" s="214"/>
    </row>
    <row r="467">
      <c r="A467" s="221">
        <v>45923.06845153935</v>
      </c>
      <c r="B467" s="214"/>
      <c r="C467" s="214"/>
      <c r="D467" s="214"/>
      <c r="E467" s="214"/>
      <c r="F467" s="214"/>
      <c r="G467" s="214"/>
      <c r="H467" s="214"/>
      <c r="I467" s="214"/>
      <c r="J467" s="222"/>
      <c r="K467" s="222"/>
      <c r="L467" s="222"/>
      <c r="M467" s="222"/>
      <c r="N467" s="214"/>
      <c r="O467" s="214"/>
      <c r="P467" s="214"/>
      <c r="Q467" s="214"/>
      <c r="R467" s="214"/>
      <c r="S467" s="214"/>
      <c r="T467" s="214"/>
      <c r="U467" s="214"/>
    </row>
    <row r="468">
      <c r="A468" s="221">
        <v>45923.06845153935</v>
      </c>
      <c r="B468" s="214" t="s">
        <v>62</v>
      </c>
      <c r="C468" s="214" t="s">
        <v>155</v>
      </c>
      <c r="D468" s="214">
        <v>2.0</v>
      </c>
      <c r="E468" s="214">
        <v>1.0</v>
      </c>
      <c r="F468" s="214"/>
      <c r="G468" s="214"/>
      <c r="H468" s="214"/>
      <c r="I468" s="214"/>
      <c r="J468" s="222"/>
      <c r="K468" s="222"/>
      <c r="L468" s="222"/>
      <c r="M468" s="222"/>
      <c r="N468" s="214">
        <v>113.0</v>
      </c>
      <c r="O468" s="214">
        <v>59.0</v>
      </c>
      <c r="P468" s="214">
        <v>0.0</v>
      </c>
      <c r="Q468" s="214" t="b">
        <v>1</v>
      </c>
      <c r="R468" s="214">
        <v>59.0</v>
      </c>
      <c r="S468" s="214" t="s">
        <v>441</v>
      </c>
      <c r="T468" s="214" t="s">
        <v>365</v>
      </c>
      <c r="U468" s="214"/>
    </row>
    <row r="469">
      <c r="A469" s="221">
        <v>45923.06845153935</v>
      </c>
      <c r="B469" s="214" t="s">
        <v>62</v>
      </c>
      <c r="C469" s="214" t="s">
        <v>201</v>
      </c>
      <c r="D469" s="214">
        <v>2.0</v>
      </c>
      <c r="E469" s="214">
        <v>1.0</v>
      </c>
      <c r="F469" s="214"/>
      <c r="G469" s="214"/>
      <c r="H469" s="214"/>
      <c r="I469" s="214"/>
      <c r="J469" s="222"/>
      <c r="K469" s="222"/>
      <c r="L469" s="222"/>
      <c r="M469" s="222"/>
      <c r="N469" s="214">
        <v>128.0</v>
      </c>
      <c r="O469" s="214">
        <v>45.0</v>
      </c>
      <c r="P469" s="214">
        <v>0.0</v>
      </c>
      <c r="Q469" s="214" t="b">
        <v>1</v>
      </c>
      <c r="R469" s="214">
        <v>59.0</v>
      </c>
      <c r="S469" s="214" t="s">
        <v>556</v>
      </c>
      <c r="T469" s="214" t="s">
        <v>321</v>
      </c>
      <c r="U469" s="214"/>
    </row>
    <row r="470">
      <c r="A470" s="221">
        <v>45923.06845153935</v>
      </c>
      <c r="B470" s="214" t="s">
        <v>62</v>
      </c>
      <c r="C470" s="214" t="s">
        <v>196</v>
      </c>
      <c r="D470" s="214">
        <v>0.0</v>
      </c>
      <c r="E470" s="214">
        <v>3.0</v>
      </c>
      <c r="F470" s="214"/>
      <c r="G470" s="214"/>
      <c r="H470" s="214"/>
      <c r="I470" s="214"/>
      <c r="J470" s="222"/>
      <c r="K470" s="222"/>
      <c r="L470" s="222"/>
      <c r="M470" s="222"/>
      <c r="N470" s="214">
        <v>43.0</v>
      </c>
      <c r="O470" s="214">
        <v>108.0</v>
      </c>
      <c r="P470" s="214">
        <v>0.0</v>
      </c>
      <c r="Q470" s="214" t="b">
        <v>1</v>
      </c>
      <c r="R470" s="214">
        <v>59.0</v>
      </c>
      <c r="S470" s="214" t="s">
        <v>407</v>
      </c>
      <c r="T470" s="214" t="s">
        <v>321</v>
      </c>
      <c r="U470" s="214"/>
    </row>
    <row r="471">
      <c r="A471" s="221">
        <v>45923.06845153935</v>
      </c>
      <c r="B471" s="214" t="s">
        <v>62</v>
      </c>
      <c r="C471" s="214" t="s">
        <v>127</v>
      </c>
      <c r="D471" s="214">
        <v>1.0</v>
      </c>
      <c r="E471" s="214">
        <v>3.0</v>
      </c>
      <c r="F471" s="214"/>
      <c r="G471" s="214"/>
      <c r="H471" s="214"/>
      <c r="I471" s="214"/>
      <c r="J471" s="222"/>
      <c r="K471" s="222"/>
      <c r="L471" s="222"/>
      <c r="M471" s="222"/>
      <c r="N471" s="214">
        <v>97.0</v>
      </c>
      <c r="O471" s="214">
        <v>106.0</v>
      </c>
      <c r="P471" s="214">
        <v>0.0</v>
      </c>
      <c r="Q471" s="214" t="b">
        <v>1</v>
      </c>
      <c r="R471" s="214">
        <v>59.0</v>
      </c>
      <c r="S471" s="214" t="s">
        <v>471</v>
      </c>
      <c r="T471" s="214" t="s">
        <v>321</v>
      </c>
      <c r="U471" s="214"/>
    </row>
    <row r="472">
      <c r="A472" s="221">
        <v>45923.06845153935</v>
      </c>
      <c r="B472" s="214" t="s">
        <v>62</v>
      </c>
      <c r="C472" s="214" t="s">
        <v>190</v>
      </c>
      <c r="D472" s="214">
        <v>3.0</v>
      </c>
      <c r="E472" s="214">
        <v>1.0</v>
      </c>
      <c r="F472" s="214" t="s">
        <v>1187</v>
      </c>
      <c r="G472" s="214" t="s">
        <v>61</v>
      </c>
      <c r="H472" s="214" t="s">
        <v>249</v>
      </c>
      <c r="I472" s="214"/>
      <c r="J472" s="222" t="s">
        <v>67</v>
      </c>
      <c r="K472" s="222">
        <v>-13.5</v>
      </c>
      <c r="L472" s="222" t="s">
        <v>67</v>
      </c>
      <c r="M472" s="222">
        <v>46.5</v>
      </c>
      <c r="N472" s="214">
        <v>96.0</v>
      </c>
      <c r="O472" s="214">
        <v>66.0</v>
      </c>
      <c r="P472" s="214">
        <v>2.0</v>
      </c>
      <c r="Q472" s="214" t="b">
        <v>1</v>
      </c>
      <c r="R472" s="214">
        <v>100.0</v>
      </c>
      <c r="S472" s="214" t="s">
        <v>317</v>
      </c>
      <c r="T472" s="214" t="s">
        <v>321</v>
      </c>
      <c r="U472" s="214"/>
    </row>
    <row r="473">
      <c r="A473" s="221">
        <v>45923.06845153935</v>
      </c>
      <c r="B473" s="214" t="s">
        <v>62</v>
      </c>
      <c r="C473" s="214" t="s">
        <v>178</v>
      </c>
      <c r="D473" s="214">
        <v>1.0</v>
      </c>
      <c r="E473" s="214">
        <v>2.0</v>
      </c>
      <c r="F473" s="214" t="s">
        <v>1188</v>
      </c>
      <c r="G473" s="214" t="s">
        <v>61</v>
      </c>
      <c r="H473" s="214" t="s">
        <v>311</v>
      </c>
      <c r="I473" s="214"/>
      <c r="J473" s="222" t="s">
        <v>67</v>
      </c>
      <c r="K473" s="222">
        <v>4.0</v>
      </c>
      <c r="L473" s="222" t="s">
        <v>67</v>
      </c>
      <c r="M473" s="222">
        <v>59.5</v>
      </c>
      <c r="N473" s="214">
        <v>58.0</v>
      </c>
      <c r="O473" s="214">
        <v>72.0</v>
      </c>
      <c r="P473" s="214">
        <v>2.0</v>
      </c>
      <c r="Q473" s="214" t="b">
        <v>0</v>
      </c>
      <c r="R473" s="214">
        <v>100.0</v>
      </c>
      <c r="S473" s="214" t="s">
        <v>525</v>
      </c>
      <c r="T473" s="214" t="s">
        <v>365</v>
      </c>
      <c r="U473" s="214"/>
    </row>
    <row r="474">
      <c r="A474" s="221">
        <v>45923.06845153935</v>
      </c>
      <c r="B474" s="214" t="s">
        <v>62</v>
      </c>
      <c r="C474" s="214" t="s">
        <v>199</v>
      </c>
      <c r="D474" s="214">
        <v>3.0</v>
      </c>
      <c r="E474" s="214">
        <v>0.0</v>
      </c>
      <c r="F474" s="214" t="s">
        <v>1189</v>
      </c>
      <c r="G474" s="214" t="s">
        <v>61</v>
      </c>
      <c r="H474" s="214" t="s">
        <v>493</v>
      </c>
      <c r="I474" s="214"/>
      <c r="J474" s="222" t="s">
        <v>67</v>
      </c>
      <c r="K474" s="222">
        <v>-19.5</v>
      </c>
      <c r="L474" s="222" t="s">
        <v>67</v>
      </c>
      <c r="M474" s="222">
        <v>52.5</v>
      </c>
      <c r="N474" s="214">
        <v>167.0</v>
      </c>
      <c r="O474" s="214">
        <v>55.0</v>
      </c>
      <c r="P474" s="214">
        <v>2.0</v>
      </c>
      <c r="Q474" s="214" t="b">
        <v>1</v>
      </c>
      <c r="R474" s="214">
        <v>100.0</v>
      </c>
      <c r="S474" s="214" t="s">
        <v>407</v>
      </c>
      <c r="T474" s="214" t="s">
        <v>321</v>
      </c>
      <c r="U474" s="214"/>
    </row>
    <row r="475">
      <c r="A475" s="221">
        <v>45923.06845153935</v>
      </c>
      <c r="B475" s="214" t="s">
        <v>62</v>
      </c>
      <c r="C475" s="214" t="s">
        <v>304</v>
      </c>
      <c r="D475" s="214">
        <v>1.0</v>
      </c>
      <c r="E475" s="214">
        <v>3.0</v>
      </c>
      <c r="F475" s="214" t="s">
        <v>1190</v>
      </c>
      <c r="G475" s="214" t="s">
        <v>61</v>
      </c>
      <c r="H475" s="214" t="s">
        <v>193</v>
      </c>
      <c r="I475" s="214"/>
      <c r="J475" s="222" t="s">
        <v>67</v>
      </c>
      <c r="K475" s="222">
        <v>2.5</v>
      </c>
      <c r="L475" s="222" t="s">
        <v>67</v>
      </c>
      <c r="M475" s="222">
        <v>50.5</v>
      </c>
      <c r="N475" s="214">
        <v>107.0</v>
      </c>
      <c r="O475" s="214">
        <v>159.0</v>
      </c>
      <c r="P475" s="214">
        <v>2.0</v>
      </c>
      <c r="Q475" s="214" t="b">
        <v>0</v>
      </c>
      <c r="R475" s="214">
        <v>100.0</v>
      </c>
      <c r="S475" s="214" t="s">
        <v>530</v>
      </c>
      <c r="T475" s="214" t="s">
        <v>365</v>
      </c>
      <c r="U475" s="214"/>
    </row>
    <row r="476">
      <c r="A476" s="221">
        <v>45923.06845153935</v>
      </c>
      <c r="B476" s="214" t="s">
        <v>62</v>
      </c>
      <c r="C476" s="214" t="s">
        <v>227</v>
      </c>
      <c r="D476" s="214">
        <v>1.0</v>
      </c>
      <c r="E476" s="214">
        <v>3.0</v>
      </c>
      <c r="F476" s="214" t="s">
        <v>1191</v>
      </c>
      <c r="G476" s="214" t="s">
        <v>61</v>
      </c>
      <c r="H476" s="214" t="s">
        <v>395</v>
      </c>
      <c r="I476" s="214"/>
      <c r="J476" s="222" t="s">
        <v>67</v>
      </c>
      <c r="K476" s="222">
        <v>8.5</v>
      </c>
      <c r="L476" s="222" t="s">
        <v>67</v>
      </c>
      <c r="M476" s="222">
        <v>46.5</v>
      </c>
      <c r="N476" s="214">
        <v>78.0</v>
      </c>
      <c r="O476" s="214">
        <v>95.0</v>
      </c>
      <c r="P476" s="214">
        <v>2.0</v>
      </c>
      <c r="Q476" s="214" t="b">
        <v>0</v>
      </c>
      <c r="R476" s="214">
        <v>100.0</v>
      </c>
      <c r="S476" s="214" t="s">
        <v>535</v>
      </c>
      <c r="T476" s="214" t="s">
        <v>365</v>
      </c>
      <c r="U476" s="214"/>
    </row>
    <row r="477">
      <c r="A477" s="221">
        <v>45923.06845153935</v>
      </c>
      <c r="B477" s="214" t="s">
        <v>62</v>
      </c>
      <c r="C477" s="214" t="s">
        <v>163</v>
      </c>
      <c r="D477" s="214">
        <v>2.0</v>
      </c>
      <c r="E477" s="214">
        <v>2.0</v>
      </c>
      <c r="F477" s="214" t="s">
        <v>1192</v>
      </c>
      <c r="G477" s="214" t="s">
        <v>61</v>
      </c>
      <c r="H477" s="214" t="s">
        <v>193</v>
      </c>
      <c r="I477" s="214"/>
      <c r="J477" s="222" t="s">
        <v>67</v>
      </c>
      <c r="K477" s="222">
        <v>39.5</v>
      </c>
      <c r="L477" s="222" t="s">
        <v>67</v>
      </c>
      <c r="M477" s="222">
        <v>69.5</v>
      </c>
      <c r="N477" s="214">
        <v>131.0</v>
      </c>
      <c r="O477" s="214">
        <v>164.0</v>
      </c>
      <c r="P477" s="214">
        <v>2.0</v>
      </c>
      <c r="Q477" s="214" t="b">
        <v>1</v>
      </c>
      <c r="R477" s="214">
        <v>100.0</v>
      </c>
      <c r="S477" s="214" t="s">
        <v>361</v>
      </c>
      <c r="T477" s="214" t="s">
        <v>365</v>
      </c>
      <c r="U477" s="214"/>
    </row>
    <row r="478">
      <c r="A478" s="221">
        <v>45923.06845153935</v>
      </c>
      <c r="B478" s="214"/>
      <c r="C478" s="214"/>
      <c r="D478" s="214"/>
      <c r="E478" s="214"/>
      <c r="F478" s="214"/>
      <c r="G478" s="214"/>
      <c r="H478" s="214"/>
      <c r="I478" s="214"/>
      <c r="J478" s="222"/>
      <c r="K478" s="222"/>
      <c r="L478" s="222"/>
      <c r="M478" s="222"/>
      <c r="N478" s="214"/>
      <c r="O478" s="214"/>
      <c r="P478" s="214"/>
      <c r="Q478" s="214"/>
      <c r="R478" s="214"/>
      <c r="S478" s="214"/>
      <c r="T478" s="214"/>
      <c r="U478" s="214"/>
    </row>
    <row r="479">
      <c r="A479" s="221">
        <v>45923.06845153935</v>
      </c>
      <c r="B479" s="214" t="s">
        <v>193</v>
      </c>
      <c r="C479" s="214" t="s">
        <v>150</v>
      </c>
      <c r="D479" s="214">
        <v>1.0</v>
      </c>
      <c r="E479" s="214">
        <v>2.0</v>
      </c>
      <c r="F479" s="214"/>
      <c r="G479" s="214"/>
      <c r="H479" s="214"/>
      <c r="I479" s="214"/>
      <c r="J479" s="222"/>
      <c r="K479" s="222"/>
      <c r="L479" s="222"/>
      <c r="M479" s="222"/>
      <c r="N479" s="214">
        <v>91.0</v>
      </c>
      <c r="O479" s="214">
        <v>91.0</v>
      </c>
      <c r="P479" s="214">
        <v>0.0</v>
      </c>
      <c r="Q479" s="214" t="b">
        <v>1</v>
      </c>
      <c r="R479" s="214">
        <v>59.0</v>
      </c>
      <c r="S479" s="214" t="s">
        <v>361</v>
      </c>
      <c r="T479" s="214" t="s">
        <v>365</v>
      </c>
      <c r="U479" s="214"/>
    </row>
    <row r="480">
      <c r="A480" s="221">
        <v>45923.06845153935</v>
      </c>
      <c r="B480" s="214" t="s">
        <v>193</v>
      </c>
      <c r="C480" s="214" t="s">
        <v>144</v>
      </c>
      <c r="D480" s="214">
        <v>3.0</v>
      </c>
      <c r="E480" s="214">
        <v>0.0</v>
      </c>
      <c r="F480" s="214"/>
      <c r="G480" s="214"/>
      <c r="H480" s="214"/>
      <c r="I480" s="214"/>
      <c r="J480" s="222"/>
      <c r="K480" s="222"/>
      <c r="L480" s="222"/>
      <c r="M480" s="222"/>
      <c r="N480" s="214">
        <v>121.0</v>
      </c>
      <c r="O480" s="214">
        <v>16.0</v>
      </c>
      <c r="P480" s="214">
        <v>0.0</v>
      </c>
      <c r="Q480" s="214" t="b">
        <v>1</v>
      </c>
      <c r="R480" s="214">
        <v>59.0</v>
      </c>
      <c r="S480" s="214" t="s">
        <v>407</v>
      </c>
      <c r="T480" s="214" t="s">
        <v>321</v>
      </c>
      <c r="U480" s="214"/>
    </row>
    <row r="481">
      <c r="A481" s="221">
        <v>45923.06845153935</v>
      </c>
      <c r="B481" s="214" t="s">
        <v>193</v>
      </c>
      <c r="C481" s="214" t="s">
        <v>182</v>
      </c>
      <c r="D481" s="214">
        <v>2.0</v>
      </c>
      <c r="E481" s="214">
        <v>1.0</v>
      </c>
      <c r="F481" s="214"/>
      <c r="G481" s="214"/>
      <c r="H481" s="214"/>
      <c r="I481" s="214"/>
      <c r="J481" s="222"/>
      <c r="K481" s="222"/>
      <c r="L481" s="222"/>
      <c r="M481" s="222"/>
      <c r="N481" s="214">
        <v>84.0</v>
      </c>
      <c r="O481" s="214">
        <v>66.0</v>
      </c>
      <c r="P481" s="214">
        <v>0.0</v>
      </c>
      <c r="Q481" s="214" t="b">
        <v>1</v>
      </c>
      <c r="R481" s="214">
        <v>59.0</v>
      </c>
      <c r="S481" s="214" t="s">
        <v>525</v>
      </c>
      <c r="T481" s="214" t="s">
        <v>365</v>
      </c>
      <c r="U481" s="214"/>
    </row>
    <row r="482">
      <c r="A482" s="221">
        <v>45923.06845153935</v>
      </c>
      <c r="B482" s="214" t="s">
        <v>193</v>
      </c>
      <c r="C482" s="214" t="s">
        <v>236</v>
      </c>
      <c r="D482" s="214">
        <v>2.0</v>
      </c>
      <c r="E482" s="214">
        <v>2.0</v>
      </c>
      <c r="F482" s="214" t="s">
        <v>1193</v>
      </c>
      <c r="G482" s="214" t="s">
        <v>61</v>
      </c>
      <c r="H482" s="214"/>
      <c r="I482" s="214"/>
      <c r="J482" s="222" t="s">
        <v>67</v>
      </c>
      <c r="K482" s="222">
        <v>-13.5</v>
      </c>
      <c r="L482" s="222" t="s">
        <v>67</v>
      </c>
      <c r="M482" s="222">
        <v>52.5</v>
      </c>
      <c r="N482" s="214">
        <v>86.0</v>
      </c>
      <c r="O482" s="214">
        <v>131.0</v>
      </c>
      <c r="P482" s="214">
        <v>2.0</v>
      </c>
      <c r="Q482" s="214" t="b">
        <v>0</v>
      </c>
      <c r="R482" s="214">
        <v>100.0</v>
      </c>
      <c r="S482" s="214" t="s">
        <v>535</v>
      </c>
      <c r="T482" s="214" t="s">
        <v>365</v>
      </c>
      <c r="U482" s="214"/>
    </row>
    <row r="483">
      <c r="A483" s="221">
        <v>45923.06845153935</v>
      </c>
      <c r="B483" s="214" t="s">
        <v>193</v>
      </c>
      <c r="C483" s="214" t="s">
        <v>126</v>
      </c>
      <c r="D483" s="214">
        <v>3.0</v>
      </c>
      <c r="E483" s="214">
        <v>1.0</v>
      </c>
      <c r="F483" s="214" t="s">
        <v>1194</v>
      </c>
      <c r="G483" s="214" t="s">
        <v>61</v>
      </c>
      <c r="H483" s="214" t="s">
        <v>132</v>
      </c>
      <c r="I483" s="214"/>
      <c r="J483" s="222" t="s">
        <v>67</v>
      </c>
      <c r="K483" s="222">
        <v>-12.5</v>
      </c>
      <c r="L483" s="222" t="s">
        <v>67</v>
      </c>
      <c r="M483" s="222">
        <v>54.5</v>
      </c>
      <c r="N483" s="214">
        <v>149.0</v>
      </c>
      <c r="O483" s="214">
        <v>66.0</v>
      </c>
      <c r="P483" s="214">
        <v>2.0</v>
      </c>
      <c r="Q483" s="214" t="b">
        <v>0</v>
      </c>
      <c r="R483" s="214">
        <v>100.0</v>
      </c>
      <c r="S483" s="214" t="s">
        <v>471</v>
      </c>
      <c r="T483" s="214" t="s">
        <v>321</v>
      </c>
      <c r="U483" s="214"/>
    </row>
    <row r="484">
      <c r="A484" s="221">
        <v>45923.06845153935</v>
      </c>
      <c r="B484" s="214" t="s">
        <v>193</v>
      </c>
      <c r="C484" s="214" t="s">
        <v>164</v>
      </c>
      <c r="D484" s="214">
        <v>1.0</v>
      </c>
      <c r="E484" s="214">
        <v>3.0</v>
      </c>
      <c r="F484" s="214" t="s">
        <v>1195</v>
      </c>
      <c r="G484" s="214" t="s">
        <v>61</v>
      </c>
      <c r="H484" s="214"/>
      <c r="I484" s="214"/>
      <c r="J484" s="222" t="s">
        <v>67</v>
      </c>
      <c r="K484" s="222">
        <v>-7.5</v>
      </c>
      <c r="L484" s="222" t="s">
        <v>67</v>
      </c>
      <c r="M484" s="222">
        <v>51.5</v>
      </c>
      <c r="N484" s="214">
        <v>79.0</v>
      </c>
      <c r="O484" s="214">
        <v>116.0</v>
      </c>
      <c r="P484" s="214">
        <v>2.0</v>
      </c>
      <c r="Q484" s="214" t="b">
        <v>0</v>
      </c>
      <c r="R484" s="214">
        <v>100.0</v>
      </c>
      <c r="S484" s="214" t="s">
        <v>530</v>
      </c>
      <c r="T484" s="214" t="s">
        <v>365</v>
      </c>
      <c r="U484" s="214"/>
    </row>
    <row r="485">
      <c r="A485" s="221">
        <v>45923.06845153935</v>
      </c>
      <c r="B485" s="214" t="s">
        <v>193</v>
      </c>
      <c r="C485" s="214" t="s">
        <v>552</v>
      </c>
      <c r="D485" s="214">
        <v>1.0</v>
      </c>
      <c r="E485" s="214">
        <v>3.0</v>
      </c>
      <c r="F485" s="214" t="s">
        <v>1190</v>
      </c>
      <c r="G485" s="214" t="s">
        <v>61</v>
      </c>
      <c r="H485" s="214" t="s">
        <v>62</v>
      </c>
      <c r="I485" s="214"/>
      <c r="J485" s="222" t="s">
        <v>67</v>
      </c>
      <c r="K485" s="222">
        <v>-2.5</v>
      </c>
      <c r="L485" s="222" t="s">
        <v>67</v>
      </c>
      <c r="M485" s="222">
        <v>50.5</v>
      </c>
      <c r="N485" s="214">
        <v>87.0</v>
      </c>
      <c r="O485" s="214">
        <v>110.0</v>
      </c>
      <c r="P485" s="214">
        <v>2.0</v>
      </c>
      <c r="Q485" s="214" t="b">
        <v>1</v>
      </c>
      <c r="R485" s="214">
        <v>100.0</v>
      </c>
      <c r="S485" s="214" t="s">
        <v>441</v>
      </c>
      <c r="T485" s="214" t="s">
        <v>365</v>
      </c>
      <c r="U485" s="214"/>
    </row>
    <row r="486">
      <c r="A486" s="221">
        <v>45923.06845153935</v>
      </c>
      <c r="B486" s="214" t="s">
        <v>193</v>
      </c>
      <c r="C486" s="214" t="s">
        <v>194</v>
      </c>
      <c r="D486" s="214">
        <v>0.0</v>
      </c>
      <c r="E486" s="214">
        <v>4.0</v>
      </c>
      <c r="F486" s="214" t="s">
        <v>1196</v>
      </c>
      <c r="G486" s="214" t="s">
        <v>61</v>
      </c>
      <c r="H486" s="214" t="s">
        <v>311</v>
      </c>
      <c r="I486" s="214"/>
      <c r="J486" s="222" t="s">
        <v>67</v>
      </c>
      <c r="K486" s="222">
        <v>34.5</v>
      </c>
      <c r="L486" s="222" t="s">
        <v>67</v>
      </c>
      <c r="M486" s="222">
        <v>56.5</v>
      </c>
      <c r="N486" s="214">
        <v>63.0</v>
      </c>
      <c r="O486" s="214">
        <v>156.0</v>
      </c>
      <c r="P486" s="214">
        <v>2.0</v>
      </c>
      <c r="Q486" s="214" t="b">
        <v>0</v>
      </c>
      <c r="R486" s="214">
        <v>100.0</v>
      </c>
      <c r="S486" s="214" t="s">
        <v>680</v>
      </c>
      <c r="T486" s="214" t="s">
        <v>365</v>
      </c>
      <c r="U486" s="214"/>
    </row>
    <row r="487">
      <c r="A487" s="221">
        <v>45923.06845153935</v>
      </c>
      <c r="B487" s="214" t="s">
        <v>193</v>
      </c>
      <c r="C487" s="214" t="s">
        <v>211</v>
      </c>
      <c r="D487" s="214">
        <v>3.0</v>
      </c>
      <c r="E487" s="214">
        <v>1.0</v>
      </c>
      <c r="F487" s="214" t="s">
        <v>1192</v>
      </c>
      <c r="G487" s="214" t="s">
        <v>61</v>
      </c>
      <c r="H487" s="214" t="s">
        <v>62</v>
      </c>
      <c r="I487" s="214"/>
      <c r="J487" s="222" t="s">
        <v>67</v>
      </c>
      <c r="K487" s="222">
        <v>-39.5</v>
      </c>
      <c r="L487" s="222" t="s">
        <v>67</v>
      </c>
      <c r="M487" s="222">
        <v>69.5</v>
      </c>
      <c r="N487" s="214">
        <v>214.0</v>
      </c>
      <c r="O487" s="214">
        <v>111.0</v>
      </c>
      <c r="P487" s="214">
        <v>2.0</v>
      </c>
      <c r="Q487" s="214" t="b">
        <v>0</v>
      </c>
      <c r="R487" s="214">
        <v>100.0</v>
      </c>
      <c r="S487" s="214" t="s">
        <v>556</v>
      </c>
      <c r="T487" s="214" t="s">
        <v>321</v>
      </c>
      <c r="U487" s="214"/>
    </row>
    <row r="488">
      <c r="A488" s="221">
        <v>45923.06845153935</v>
      </c>
      <c r="B488" s="214" t="s">
        <v>193</v>
      </c>
      <c r="C488" s="214" t="s">
        <v>104</v>
      </c>
      <c r="D488" s="214">
        <v>2.0</v>
      </c>
      <c r="E488" s="214">
        <v>2.0</v>
      </c>
      <c r="F488" s="214" t="s">
        <v>1186</v>
      </c>
      <c r="G488" s="214" t="s">
        <v>61</v>
      </c>
      <c r="H488" s="214" t="s">
        <v>95</v>
      </c>
      <c r="I488" s="214"/>
      <c r="J488" s="222" t="s">
        <v>67</v>
      </c>
      <c r="K488" s="222">
        <v>7.0</v>
      </c>
      <c r="L488" s="222" t="s">
        <v>67</v>
      </c>
      <c r="M488" s="222">
        <v>62.5</v>
      </c>
      <c r="N488" s="214">
        <v>139.0</v>
      </c>
      <c r="O488" s="214">
        <v>106.0</v>
      </c>
      <c r="P488" s="214">
        <v>2.0</v>
      </c>
      <c r="Q488" s="214" t="b">
        <v>0</v>
      </c>
      <c r="R488" s="214">
        <v>100.0</v>
      </c>
      <c r="S488" s="214" t="s">
        <v>317</v>
      </c>
      <c r="T488" s="214" t="s">
        <v>321</v>
      </c>
      <c r="U488" s="214"/>
    </row>
    <row r="489">
      <c r="A489" s="221">
        <v>45923.06845153935</v>
      </c>
      <c r="B489" s="214"/>
      <c r="C489" s="214"/>
      <c r="D489" s="214"/>
      <c r="E489" s="214"/>
      <c r="F489" s="214"/>
      <c r="G489" s="214"/>
      <c r="H489" s="214"/>
      <c r="I489" s="214"/>
      <c r="J489" s="222"/>
      <c r="K489" s="222"/>
      <c r="L489" s="222"/>
      <c r="M489" s="222"/>
      <c r="N489" s="214"/>
      <c r="O489" s="214"/>
      <c r="P489" s="214"/>
      <c r="Q489" s="214"/>
      <c r="R489" s="214"/>
      <c r="S489" s="214"/>
      <c r="T489" s="214"/>
      <c r="U489" s="214"/>
    </row>
    <row r="490">
      <c r="A490" s="221">
        <v>45923.06845153935</v>
      </c>
      <c r="B490" s="214" t="s">
        <v>311</v>
      </c>
      <c r="C490" s="214" t="s">
        <v>125</v>
      </c>
      <c r="D490" s="214">
        <v>4.0</v>
      </c>
      <c r="E490" s="214">
        <v>0.0</v>
      </c>
      <c r="F490" s="214"/>
      <c r="G490" s="214"/>
      <c r="H490" s="214"/>
      <c r="I490" s="214"/>
      <c r="J490" s="222"/>
      <c r="K490" s="222"/>
      <c r="L490" s="222"/>
      <c r="M490" s="222"/>
      <c r="N490" s="214">
        <v>119.0</v>
      </c>
      <c r="O490" s="214">
        <v>57.0</v>
      </c>
      <c r="P490" s="214">
        <v>0.0</v>
      </c>
      <c r="Q490" s="214" t="b">
        <v>1</v>
      </c>
      <c r="R490" s="214">
        <v>59.0</v>
      </c>
      <c r="S490" s="214" t="s">
        <v>471</v>
      </c>
      <c r="T490" s="214" t="s">
        <v>321</v>
      </c>
      <c r="U490" s="214"/>
    </row>
    <row r="491">
      <c r="A491" s="221">
        <v>45923.06845153935</v>
      </c>
      <c r="B491" s="214" t="s">
        <v>311</v>
      </c>
      <c r="C491" s="214" t="s">
        <v>161</v>
      </c>
      <c r="D491" s="214">
        <v>2.0</v>
      </c>
      <c r="E491" s="214">
        <v>2.0</v>
      </c>
      <c r="F491" s="214" t="s">
        <v>1188</v>
      </c>
      <c r="G491" s="214" t="s">
        <v>61</v>
      </c>
      <c r="H491" s="214" t="s">
        <v>62</v>
      </c>
      <c r="I491" s="214"/>
      <c r="J491" s="222" t="s">
        <v>67</v>
      </c>
      <c r="K491" s="222">
        <v>-4.0</v>
      </c>
      <c r="L491" s="222" t="s">
        <v>67</v>
      </c>
      <c r="M491" s="222">
        <v>59.5</v>
      </c>
      <c r="N491" s="214">
        <v>125.0</v>
      </c>
      <c r="O491" s="214">
        <v>121.0</v>
      </c>
      <c r="P491" s="214">
        <v>2.0</v>
      </c>
      <c r="Q491" s="214" t="b">
        <v>1</v>
      </c>
      <c r="R491" s="214">
        <v>100.0</v>
      </c>
      <c r="S491" s="214" t="s">
        <v>361</v>
      </c>
      <c r="T491" s="214" t="s">
        <v>365</v>
      </c>
      <c r="U491" s="214"/>
    </row>
    <row r="492">
      <c r="A492" s="221">
        <v>45923.06845153935</v>
      </c>
      <c r="B492" s="214" t="s">
        <v>311</v>
      </c>
      <c r="C492" s="214" t="s">
        <v>152</v>
      </c>
      <c r="D492" s="214">
        <v>2.0</v>
      </c>
      <c r="E492" s="214">
        <v>2.0</v>
      </c>
      <c r="F492" s="214" t="s">
        <v>1197</v>
      </c>
      <c r="G492" s="214" t="s">
        <v>61</v>
      </c>
      <c r="H492" s="214" t="s">
        <v>96</v>
      </c>
      <c r="I492" s="214"/>
      <c r="J492" s="222" t="s">
        <v>67</v>
      </c>
      <c r="K492" s="222">
        <v>-2.5</v>
      </c>
      <c r="L492" s="222" t="s">
        <v>67</v>
      </c>
      <c r="M492" s="222">
        <v>47.5</v>
      </c>
      <c r="N492" s="214">
        <v>107.0</v>
      </c>
      <c r="O492" s="214">
        <v>101.0</v>
      </c>
      <c r="P492" s="214">
        <v>2.0</v>
      </c>
      <c r="Q492" s="214" t="b">
        <v>1</v>
      </c>
      <c r="R492" s="214">
        <v>100.0</v>
      </c>
      <c r="S492" s="214" t="s">
        <v>441</v>
      </c>
      <c r="T492" s="214" t="s">
        <v>365</v>
      </c>
      <c r="U492" s="214"/>
    </row>
    <row r="493">
      <c r="A493" s="221">
        <v>45923.06845153935</v>
      </c>
      <c r="B493" s="214" t="s">
        <v>311</v>
      </c>
      <c r="C493" s="214" t="s">
        <v>234</v>
      </c>
      <c r="D493" s="214">
        <v>0.0</v>
      </c>
      <c r="E493" s="214">
        <v>4.0</v>
      </c>
      <c r="F493" s="214" t="s">
        <v>1198</v>
      </c>
      <c r="G493" s="214" t="s">
        <v>61</v>
      </c>
      <c r="H493" s="214" t="s">
        <v>132</v>
      </c>
      <c r="I493" s="214"/>
      <c r="J493" s="222" t="s">
        <v>67</v>
      </c>
      <c r="K493" s="222">
        <v>39.5</v>
      </c>
      <c r="L493" s="222" t="s">
        <v>67</v>
      </c>
      <c r="M493" s="222">
        <v>51.5</v>
      </c>
      <c r="N493" s="214">
        <v>65.0</v>
      </c>
      <c r="O493" s="214">
        <v>171.0</v>
      </c>
      <c r="P493" s="214">
        <v>2.0</v>
      </c>
      <c r="Q493" s="214" t="b">
        <v>0</v>
      </c>
      <c r="R493" s="214">
        <v>100.0</v>
      </c>
      <c r="S493" s="214" t="s">
        <v>535</v>
      </c>
      <c r="T493" s="214" t="s">
        <v>365</v>
      </c>
      <c r="U493" s="214"/>
    </row>
    <row r="494">
      <c r="A494" s="221">
        <v>45923.06845153935</v>
      </c>
      <c r="B494" s="214" t="s">
        <v>311</v>
      </c>
      <c r="C494" s="214" t="s">
        <v>206</v>
      </c>
      <c r="D494" s="214">
        <v>4.0</v>
      </c>
      <c r="E494" s="214">
        <v>0.0</v>
      </c>
      <c r="F494" s="214" t="s">
        <v>1199</v>
      </c>
      <c r="G494" s="214" t="s">
        <v>61</v>
      </c>
      <c r="H494" s="214"/>
      <c r="I494" s="214"/>
      <c r="J494" s="222" t="s">
        <v>67</v>
      </c>
      <c r="K494" s="222">
        <v>-39.5</v>
      </c>
      <c r="L494" s="222" t="s">
        <v>67</v>
      </c>
      <c r="M494" s="222">
        <v>51.5</v>
      </c>
      <c r="N494" s="214">
        <v>116.0</v>
      </c>
      <c r="O494" s="214">
        <v>37.0</v>
      </c>
      <c r="P494" s="214">
        <v>2.0</v>
      </c>
      <c r="Q494" s="214" t="b">
        <v>0</v>
      </c>
      <c r="R494" s="214">
        <v>100.0</v>
      </c>
      <c r="S494" s="214" t="s">
        <v>556</v>
      </c>
      <c r="T494" s="214" t="s">
        <v>321</v>
      </c>
      <c r="U494" s="214"/>
    </row>
    <row r="495">
      <c r="A495" s="221">
        <v>45923.06845153935</v>
      </c>
      <c r="B495" s="214" t="s">
        <v>311</v>
      </c>
      <c r="C495" s="214" t="s">
        <v>186</v>
      </c>
      <c r="D495" s="214">
        <v>3.0</v>
      </c>
      <c r="E495" s="214">
        <v>1.0</v>
      </c>
      <c r="F495" s="214" t="s">
        <v>1200</v>
      </c>
      <c r="G495" s="214" t="s">
        <v>61</v>
      </c>
      <c r="H495" s="214"/>
      <c r="I495" s="214"/>
      <c r="J495" s="222" t="s">
        <v>67</v>
      </c>
      <c r="K495" s="222">
        <v>-23.5</v>
      </c>
      <c r="L495" s="222" t="s">
        <v>67</v>
      </c>
      <c r="M495" s="222">
        <v>61.5</v>
      </c>
      <c r="N495" s="214">
        <v>147.0</v>
      </c>
      <c r="O495" s="214">
        <v>97.0</v>
      </c>
      <c r="P495" s="214">
        <v>2.0</v>
      </c>
      <c r="Q495" s="214" t="b">
        <v>0</v>
      </c>
      <c r="R495" s="214">
        <v>100.0</v>
      </c>
      <c r="S495" s="214" t="s">
        <v>525</v>
      </c>
      <c r="T495" s="214" t="s">
        <v>365</v>
      </c>
      <c r="U495" s="214"/>
    </row>
    <row r="496">
      <c r="A496" s="221">
        <v>45923.06845153935</v>
      </c>
      <c r="B496" s="214" t="s">
        <v>311</v>
      </c>
      <c r="C496" s="214" t="s">
        <v>172</v>
      </c>
      <c r="D496" s="214">
        <v>1.0</v>
      </c>
      <c r="E496" s="214">
        <v>2.0</v>
      </c>
      <c r="F496" s="214" t="s">
        <v>1201</v>
      </c>
      <c r="G496" s="214" t="s">
        <v>61</v>
      </c>
      <c r="H496" s="214" t="s">
        <v>493</v>
      </c>
      <c r="I496" s="214"/>
      <c r="J496" s="222" t="s">
        <v>67</v>
      </c>
      <c r="K496" s="222">
        <v>21.5</v>
      </c>
      <c r="L496" s="222" t="s">
        <v>67</v>
      </c>
      <c r="M496" s="222">
        <v>48.5</v>
      </c>
      <c r="N496" s="214">
        <v>38.0</v>
      </c>
      <c r="O496" s="214">
        <v>75.0</v>
      </c>
      <c r="P496" s="214">
        <v>2.0</v>
      </c>
      <c r="Q496" s="214" t="b">
        <v>0</v>
      </c>
      <c r="R496" s="214">
        <v>100.0</v>
      </c>
      <c r="S496" s="214" t="s">
        <v>530</v>
      </c>
      <c r="T496" s="214" t="s">
        <v>365</v>
      </c>
      <c r="U496" s="214"/>
    </row>
    <row r="497">
      <c r="A497" s="221">
        <v>45923.06845153935</v>
      </c>
      <c r="B497" s="214" t="s">
        <v>311</v>
      </c>
      <c r="C497" s="214" t="s">
        <v>139</v>
      </c>
      <c r="D497" s="214">
        <v>3.0</v>
      </c>
      <c r="E497" s="214">
        <v>1.0</v>
      </c>
      <c r="F497" s="214" t="s">
        <v>1202</v>
      </c>
      <c r="G497" s="214" t="s">
        <v>61</v>
      </c>
      <c r="H497" s="214" t="s">
        <v>96</v>
      </c>
      <c r="I497" s="214"/>
      <c r="J497" s="222" t="s">
        <v>67</v>
      </c>
      <c r="K497" s="222">
        <v>-1.5</v>
      </c>
      <c r="L497" s="222" t="s">
        <v>67</v>
      </c>
      <c r="M497" s="222">
        <v>47.5</v>
      </c>
      <c r="N497" s="214">
        <v>140.0</v>
      </c>
      <c r="O497" s="214">
        <v>71.0</v>
      </c>
      <c r="P497" s="214">
        <v>2.0</v>
      </c>
      <c r="Q497" s="214" t="b">
        <v>1</v>
      </c>
      <c r="R497" s="214">
        <v>100.0</v>
      </c>
      <c r="S497" s="214" t="s">
        <v>407</v>
      </c>
      <c r="T497" s="214" t="s">
        <v>321</v>
      </c>
      <c r="U497" s="214"/>
    </row>
    <row r="498">
      <c r="A498" s="221">
        <v>45923.06845153935</v>
      </c>
      <c r="B498" s="214" t="s">
        <v>311</v>
      </c>
      <c r="C498" s="214" t="s">
        <v>192</v>
      </c>
      <c r="D498" s="214">
        <v>4.0</v>
      </c>
      <c r="E498" s="214">
        <v>0.0</v>
      </c>
      <c r="F498" s="214" t="s">
        <v>1196</v>
      </c>
      <c r="G498" s="214" t="s">
        <v>61</v>
      </c>
      <c r="H498" s="214" t="s">
        <v>193</v>
      </c>
      <c r="I498" s="214"/>
      <c r="J498" s="222" t="s">
        <v>67</v>
      </c>
      <c r="K498" s="222">
        <v>-34.5</v>
      </c>
      <c r="L498" s="222" t="s">
        <v>67</v>
      </c>
      <c r="M498" s="222">
        <v>56.5</v>
      </c>
      <c r="N498" s="214">
        <v>203.0</v>
      </c>
      <c r="O498" s="214">
        <v>37.0</v>
      </c>
      <c r="P498" s="214">
        <v>2.0</v>
      </c>
      <c r="Q498" s="214" t="b">
        <v>1</v>
      </c>
      <c r="R498" s="214">
        <v>100.0</v>
      </c>
      <c r="S498" s="214" t="s">
        <v>407</v>
      </c>
      <c r="T498" s="214" t="s">
        <v>321</v>
      </c>
      <c r="U498" s="214"/>
    </row>
    <row r="499">
      <c r="A499" s="221">
        <v>45923.06845153935</v>
      </c>
      <c r="B499" s="214" t="s">
        <v>311</v>
      </c>
      <c r="C499" s="214" t="s">
        <v>122</v>
      </c>
      <c r="D499" s="214">
        <v>1.0</v>
      </c>
      <c r="E499" s="214">
        <v>3.0</v>
      </c>
      <c r="F499" s="214" t="s">
        <v>1203</v>
      </c>
      <c r="G499" s="214" t="s">
        <v>61</v>
      </c>
      <c r="H499" s="214"/>
      <c r="I499" s="214"/>
      <c r="J499" s="222" t="s">
        <v>67</v>
      </c>
      <c r="K499" s="222">
        <v>-35.5</v>
      </c>
      <c r="L499" s="222" t="s">
        <v>67</v>
      </c>
      <c r="M499" s="222">
        <v>48.5</v>
      </c>
      <c r="N499" s="214">
        <v>95.0</v>
      </c>
      <c r="O499" s="214">
        <v>119.0</v>
      </c>
      <c r="P499" s="214">
        <v>2.0</v>
      </c>
      <c r="Q499" s="214" t="b">
        <v>0</v>
      </c>
      <c r="R499" s="214">
        <v>100.0</v>
      </c>
      <c r="S499" s="214" t="s">
        <v>317</v>
      </c>
      <c r="T499" s="214" t="s">
        <v>321</v>
      </c>
      <c r="U499" s="214"/>
    </row>
    <row r="500">
      <c r="A500" s="221">
        <v>45923.06845153935</v>
      </c>
      <c r="B500" s="214"/>
      <c r="C500" s="214"/>
      <c r="D500" s="214"/>
      <c r="E500" s="214"/>
      <c r="F500" s="214"/>
      <c r="G500" s="214"/>
      <c r="H500" s="214"/>
      <c r="I500" s="214"/>
      <c r="J500" s="222"/>
      <c r="K500" s="222"/>
      <c r="L500" s="222"/>
      <c r="M500" s="222"/>
      <c r="N500" s="214"/>
      <c r="O500" s="214"/>
      <c r="P500" s="214"/>
      <c r="Q500" s="214"/>
      <c r="R500" s="214"/>
      <c r="S500" s="214"/>
      <c r="T500" s="214"/>
      <c r="U500" s="214"/>
    </row>
    <row r="501">
      <c r="A501" s="221">
        <v>45923.06845153935</v>
      </c>
      <c r="B501" s="214" t="s">
        <v>224</v>
      </c>
      <c r="C501" s="214" t="s">
        <v>103</v>
      </c>
      <c r="D501" s="214">
        <v>3.0</v>
      </c>
      <c r="E501" s="214">
        <v>0.0</v>
      </c>
      <c r="F501" s="214"/>
      <c r="G501" s="214"/>
      <c r="H501" s="214"/>
      <c r="I501" s="214"/>
      <c r="J501" s="222"/>
      <c r="K501" s="222"/>
      <c r="L501" s="222"/>
      <c r="M501" s="222"/>
      <c r="N501" s="214">
        <v>132.0</v>
      </c>
      <c r="O501" s="214">
        <v>54.0</v>
      </c>
      <c r="P501" s="214">
        <v>0.0</v>
      </c>
      <c r="Q501" s="214" t="b">
        <v>0</v>
      </c>
      <c r="R501" s="214">
        <v>59.0</v>
      </c>
      <c r="S501" s="214" t="s">
        <v>361</v>
      </c>
      <c r="T501" s="214" t="s">
        <v>365</v>
      </c>
      <c r="U501" s="214"/>
    </row>
    <row r="502">
      <c r="A502" s="221">
        <v>45923.06845153935</v>
      </c>
      <c r="B502" s="214" t="s">
        <v>224</v>
      </c>
      <c r="C502" s="214" t="s">
        <v>140</v>
      </c>
      <c r="D502" s="214">
        <v>3.0</v>
      </c>
      <c r="E502" s="214">
        <v>1.0</v>
      </c>
      <c r="F502" s="214" t="s">
        <v>1180</v>
      </c>
      <c r="G502" s="214" t="s">
        <v>61</v>
      </c>
      <c r="H502" s="214" t="s">
        <v>95</v>
      </c>
      <c r="I502" s="214"/>
      <c r="J502" s="222" t="s">
        <v>67</v>
      </c>
      <c r="K502" s="222">
        <v>18.5</v>
      </c>
      <c r="L502" s="222" t="s">
        <v>67</v>
      </c>
      <c r="M502" s="222">
        <v>55.5</v>
      </c>
      <c r="N502" s="214">
        <v>137.0</v>
      </c>
      <c r="O502" s="214">
        <v>115.0</v>
      </c>
      <c r="P502" s="214">
        <v>2.0</v>
      </c>
      <c r="Q502" s="214" t="b">
        <v>0</v>
      </c>
      <c r="R502" s="214">
        <v>100.0</v>
      </c>
      <c r="S502" s="214" t="s">
        <v>407</v>
      </c>
      <c r="T502" s="214" t="s">
        <v>321</v>
      </c>
      <c r="U502" s="214"/>
    </row>
    <row r="503">
      <c r="A503" s="221">
        <v>45923.06845153935</v>
      </c>
      <c r="B503" s="214" t="s">
        <v>224</v>
      </c>
      <c r="C503" s="214" t="s">
        <v>191</v>
      </c>
      <c r="D503" s="214">
        <v>2.0</v>
      </c>
      <c r="E503" s="214">
        <v>2.0</v>
      </c>
      <c r="F503" s="214" t="s">
        <v>1204</v>
      </c>
      <c r="G503" s="214" t="s">
        <v>61</v>
      </c>
      <c r="H503" s="214" t="s">
        <v>132</v>
      </c>
      <c r="I503" s="214"/>
      <c r="J503" s="222" t="s">
        <v>67</v>
      </c>
      <c r="K503" s="222">
        <v>-13.5</v>
      </c>
      <c r="L503" s="222" t="s">
        <v>67</v>
      </c>
      <c r="M503" s="222">
        <v>44.5</v>
      </c>
      <c r="N503" s="214">
        <v>108.0</v>
      </c>
      <c r="O503" s="214">
        <v>90.0</v>
      </c>
      <c r="P503" s="214">
        <v>2.0</v>
      </c>
      <c r="Q503" s="214" t="b">
        <v>1</v>
      </c>
      <c r="R503" s="214">
        <v>100.0</v>
      </c>
      <c r="S503" s="214" t="s">
        <v>471</v>
      </c>
      <c r="T503" s="214" t="s">
        <v>321</v>
      </c>
      <c r="U503" s="214"/>
    </row>
    <row r="504">
      <c r="A504" s="221">
        <v>45923.06845153935</v>
      </c>
      <c r="B504" s="214" t="s">
        <v>224</v>
      </c>
      <c r="C504" s="214" t="s">
        <v>203</v>
      </c>
      <c r="D504" s="214">
        <v>1.0</v>
      </c>
      <c r="E504" s="214">
        <v>3.0</v>
      </c>
      <c r="F504" s="214" t="s">
        <v>1205</v>
      </c>
      <c r="G504" s="214" t="s">
        <v>61</v>
      </c>
      <c r="H504" s="214" t="s">
        <v>156</v>
      </c>
      <c r="I504" s="214"/>
      <c r="J504" s="222" t="s">
        <v>67</v>
      </c>
      <c r="K504" s="222">
        <v>9.5</v>
      </c>
      <c r="L504" s="222" t="s">
        <v>67</v>
      </c>
      <c r="M504" s="222">
        <v>51.5</v>
      </c>
      <c r="N504" s="214">
        <v>88.0</v>
      </c>
      <c r="O504" s="214">
        <v>64.0</v>
      </c>
      <c r="P504" s="214">
        <v>2.0</v>
      </c>
      <c r="Q504" s="214" t="b">
        <v>0</v>
      </c>
      <c r="R504" s="214">
        <v>100.0</v>
      </c>
      <c r="S504" s="214" t="s">
        <v>556</v>
      </c>
      <c r="T504" s="214" t="s">
        <v>321</v>
      </c>
      <c r="U504" s="214"/>
    </row>
    <row r="505">
      <c r="A505" s="221">
        <v>45923.06845153935</v>
      </c>
      <c r="B505" s="214" t="s">
        <v>224</v>
      </c>
      <c r="C505" s="214" t="s">
        <v>226</v>
      </c>
      <c r="D505" s="214">
        <v>3.0</v>
      </c>
      <c r="E505" s="214">
        <v>0.0</v>
      </c>
      <c r="F505" s="214" t="s">
        <v>1182</v>
      </c>
      <c r="G505" s="214" t="s">
        <v>61</v>
      </c>
      <c r="H505" s="214" t="s">
        <v>95</v>
      </c>
      <c r="I505" s="214"/>
      <c r="J505" s="222" t="s">
        <v>67</v>
      </c>
      <c r="K505" s="222">
        <v>-6.5</v>
      </c>
      <c r="L505" s="222" t="s">
        <v>67</v>
      </c>
      <c r="M505" s="222">
        <v>49.5</v>
      </c>
      <c r="N505" s="214">
        <v>130.0</v>
      </c>
      <c r="O505" s="214">
        <v>16.0</v>
      </c>
      <c r="P505" s="214">
        <v>2.0</v>
      </c>
      <c r="Q505" s="214" t="b">
        <v>1</v>
      </c>
      <c r="R505" s="214">
        <v>100.0</v>
      </c>
      <c r="S505" s="214" t="s">
        <v>471</v>
      </c>
      <c r="T505" s="214" t="s">
        <v>321</v>
      </c>
      <c r="U505" s="214"/>
    </row>
    <row r="506">
      <c r="A506" s="221">
        <v>45923.06845153935</v>
      </c>
      <c r="B506" s="214" t="s">
        <v>224</v>
      </c>
      <c r="C506" s="214" t="s">
        <v>216</v>
      </c>
      <c r="D506" s="214">
        <v>2.0</v>
      </c>
      <c r="E506" s="214">
        <v>2.0</v>
      </c>
      <c r="F506" s="214" t="s">
        <v>1206</v>
      </c>
      <c r="G506" s="214" t="s">
        <v>61</v>
      </c>
      <c r="H506" s="214"/>
      <c r="I506" s="214"/>
      <c r="J506" s="222" t="s">
        <v>67</v>
      </c>
      <c r="K506" s="222">
        <v>-23.5</v>
      </c>
      <c r="L506" s="222" t="s">
        <v>67</v>
      </c>
      <c r="M506" s="222">
        <v>55.5</v>
      </c>
      <c r="N506" s="214">
        <v>120.0</v>
      </c>
      <c r="O506" s="214">
        <v>152.0</v>
      </c>
      <c r="P506" s="214">
        <v>2.0</v>
      </c>
      <c r="Q506" s="214" t="b">
        <v>0</v>
      </c>
      <c r="R506" s="214">
        <v>100.0</v>
      </c>
      <c r="S506" s="214" t="s">
        <v>441</v>
      </c>
      <c r="T506" s="214" t="s">
        <v>365</v>
      </c>
      <c r="U506" s="214"/>
    </row>
    <row r="507">
      <c r="A507" s="221">
        <v>45923.06845153935</v>
      </c>
      <c r="B507" s="214" t="s">
        <v>224</v>
      </c>
      <c r="C507" s="214" t="s">
        <v>235</v>
      </c>
      <c r="D507" s="214">
        <v>3.0</v>
      </c>
      <c r="E507" s="214">
        <v>1.0</v>
      </c>
      <c r="F507" s="214" t="s">
        <v>1207</v>
      </c>
      <c r="G507" s="214" t="s">
        <v>61</v>
      </c>
      <c r="H507" s="214" t="s">
        <v>132</v>
      </c>
      <c r="I507" s="214"/>
      <c r="J507" s="222"/>
      <c r="K507" s="222"/>
      <c r="L507" s="222"/>
      <c r="M507" s="222"/>
      <c r="N507" s="214">
        <v>124.0</v>
      </c>
      <c r="O507" s="214">
        <v>105.0</v>
      </c>
      <c r="P507" s="214">
        <v>2.0</v>
      </c>
      <c r="Q507" s="214" t="b">
        <v>1</v>
      </c>
      <c r="R507" s="214">
        <v>100.0</v>
      </c>
      <c r="S507" s="214" t="s">
        <v>535</v>
      </c>
      <c r="T507" s="214" t="s">
        <v>365</v>
      </c>
      <c r="U507" s="214"/>
    </row>
    <row r="508">
      <c r="A508" s="221">
        <v>45923.06845153935</v>
      </c>
      <c r="B508" s="214" t="s">
        <v>224</v>
      </c>
      <c r="C508" s="214" t="s">
        <v>113</v>
      </c>
      <c r="D508" s="214">
        <v>3.0</v>
      </c>
      <c r="E508" s="214">
        <v>0.0</v>
      </c>
      <c r="F508" s="214" t="s">
        <v>1208</v>
      </c>
      <c r="G508" s="214" t="s">
        <v>61</v>
      </c>
      <c r="H508" s="214" t="s">
        <v>493</v>
      </c>
      <c r="I508" s="214"/>
      <c r="J508" s="222" t="s">
        <v>67</v>
      </c>
      <c r="K508" s="222">
        <v>-45.5</v>
      </c>
      <c r="L508" s="222" t="s">
        <v>67</v>
      </c>
      <c r="M508" s="222">
        <v>55.5</v>
      </c>
      <c r="N508" s="214">
        <v>174.0</v>
      </c>
      <c r="O508" s="214">
        <v>30.0</v>
      </c>
      <c r="P508" s="214">
        <v>2.0</v>
      </c>
      <c r="Q508" s="214" t="b">
        <v>1</v>
      </c>
      <c r="R508" s="214">
        <v>100.0</v>
      </c>
      <c r="S508" s="214" t="s">
        <v>317</v>
      </c>
      <c r="T508" s="214" t="s">
        <v>321</v>
      </c>
      <c r="U508" s="214"/>
    </row>
    <row r="509">
      <c r="A509" s="221">
        <v>45923.06845153935</v>
      </c>
      <c r="B509" s="214" t="s">
        <v>224</v>
      </c>
      <c r="C509" s="214" t="s">
        <v>185</v>
      </c>
      <c r="D509" s="214">
        <v>3.0</v>
      </c>
      <c r="E509" s="214">
        <v>0.0</v>
      </c>
      <c r="F509" s="214" t="s">
        <v>1209</v>
      </c>
      <c r="G509" s="214" t="s">
        <v>61</v>
      </c>
      <c r="H509" s="214" t="s">
        <v>238</v>
      </c>
      <c r="I509" s="214"/>
      <c r="J509" s="222" t="s">
        <v>67</v>
      </c>
      <c r="K509" s="222">
        <v>-2.5</v>
      </c>
      <c r="L509" s="222" t="s">
        <v>67</v>
      </c>
      <c r="M509" s="222">
        <v>49.5</v>
      </c>
      <c r="N509" s="214">
        <v>106.0</v>
      </c>
      <c r="O509" s="214">
        <v>75.0</v>
      </c>
      <c r="P509" s="214">
        <v>2.0</v>
      </c>
      <c r="Q509" s="214" t="b">
        <v>0</v>
      </c>
      <c r="R509" s="214">
        <v>100.0</v>
      </c>
      <c r="S509" s="214" t="s">
        <v>525</v>
      </c>
      <c r="T509" s="214" t="s">
        <v>365</v>
      </c>
      <c r="U509" s="214"/>
    </row>
    <row r="510">
      <c r="A510" s="221">
        <v>45923.06845153935</v>
      </c>
      <c r="B510" s="214" t="s">
        <v>224</v>
      </c>
      <c r="C510" s="214" t="s">
        <v>166</v>
      </c>
      <c r="D510" s="214">
        <v>2.0</v>
      </c>
      <c r="E510" s="214">
        <v>2.0</v>
      </c>
      <c r="F510" s="214" t="s">
        <v>1210</v>
      </c>
      <c r="G510" s="214" t="s">
        <v>61</v>
      </c>
      <c r="H510" s="214" t="s">
        <v>132</v>
      </c>
      <c r="I510" s="214"/>
      <c r="J510" s="222" t="s">
        <v>67</v>
      </c>
      <c r="K510" s="222">
        <v>26.5</v>
      </c>
      <c r="L510" s="222" t="s">
        <v>67</v>
      </c>
      <c r="M510" s="222">
        <v>51.5</v>
      </c>
      <c r="N510" s="214">
        <v>86.0</v>
      </c>
      <c r="O510" s="214">
        <v>94.0</v>
      </c>
      <c r="P510" s="214">
        <v>2.0</v>
      </c>
      <c r="Q510" s="214" t="b">
        <v>0</v>
      </c>
      <c r="R510" s="214">
        <v>100.0</v>
      </c>
      <c r="S510" s="214" t="s">
        <v>530</v>
      </c>
      <c r="T510" s="214" t="s">
        <v>365</v>
      </c>
      <c r="U510" s="214"/>
    </row>
    <row r="511">
      <c r="A511" s="221">
        <v>45923.06845153935</v>
      </c>
      <c r="B511" s="214"/>
      <c r="C511" s="214"/>
      <c r="D511" s="214"/>
      <c r="E511" s="214"/>
      <c r="F511" s="214"/>
      <c r="G511" s="214"/>
      <c r="H511" s="214"/>
      <c r="I511" s="214"/>
      <c r="J511" s="222"/>
      <c r="K511" s="222"/>
      <c r="L511" s="222"/>
      <c r="M511" s="222"/>
      <c r="N511" s="214"/>
      <c r="O511" s="214"/>
      <c r="P511" s="214"/>
      <c r="Q511" s="214"/>
      <c r="R511" s="214"/>
      <c r="S511" s="214"/>
      <c r="T511" s="214"/>
      <c r="U511" s="214"/>
    </row>
    <row r="512">
      <c r="A512" s="221">
        <v>45923.06845153935</v>
      </c>
      <c r="B512" s="214" t="s">
        <v>96</v>
      </c>
      <c r="C512" s="214" t="s">
        <v>204</v>
      </c>
      <c r="D512" s="214">
        <v>3.0</v>
      </c>
      <c r="E512" s="214">
        <v>0.0</v>
      </c>
      <c r="F512" s="214"/>
      <c r="G512" s="214"/>
      <c r="H512" s="214"/>
      <c r="I512" s="214"/>
      <c r="J512" s="222"/>
      <c r="K512" s="222"/>
      <c r="L512" s="222"/>
      <c r="M512" s="222"/>
      <c r="N512" s="214">
        <v>117.0</v>
      </c>
      <c r="O512" s="214">
        <v>54.0</v>
      </c>
      <c r="P512" s="214">
        <v>0.0</v>
      </c>
      <c r="Q512" s="214" t="b">
        <v>1</v>
      </c>
      <c r="R512" s="214">
        <v>59.0</v>
      </c>
      <c r="S512" s="214" t="s">
        <v>556</v>
      </c>
      <c r="T512" s="214" t="s">
        <v>321</v>
      </c>
      <c r="U512" s="214"/>
    </row>
    <row r="513">
      <c r="A513" s="221">
        <v>45923.06845153935</v>
      </c>
      <c r="B513" s="214" t="s">
        <v>96</v>
      </c>
      <c r="C513" s="214" t="s">
        <v>536</v>
      </c>
      <c r="D513" s="214">
        <v>3.0</v>
      </c>
      <c r="E513" s="214">
        <v>2.0</v>
      </c>
      <c r="F513" s="214" t="s">
        <v>1211</v>
      </c>
      <c r="G513" s="214" t="s">
        <v>61</v>
      </c>
      <c r="H513" s="214" t="s">
        <v>395</v>
      </c>
      <c r="I513" s="214"/>
      <c r="J513" s="222" t="s">
        <v>67</v>
      </c>
      <c r="K513" s="222">
        <v>3.0</v>
      </c>
      <c r="L513" s="222" t="s">
        <v>67</v>
      </c>
      <c r="M513" s="222">
        <v>47.5</v>
      </c>
      <c r="N513" s="214">
        <v>110.0</v>
      </c>
      <c r="O513" s="214">
        <v>106.0</v>
      </c>
      <c r="P513" s="214">
        <v>2.0</v>
      </c>
      <c r="Q513" s="214" t="b">
        <v>1</v>
      </c>
      <c r="R513" s="214">
        <v>100.0</v>
      </c>
      <c r="S513" s="214" t="s">
        <v>525</v>
      </c>
      <c r="T513" s="214" t="s">
        <v>365</v>
      </c>
      <c r="U513" s="214"/>
    </row>
    <row r="514">
      <c r="A514" s="221">
        <v>45923.06845153935</v>
      </c>
      <c r="B514" s="214" t="s">
        <v>96</v>
      </c>
      <c r="C514" s="214" t="s">
        <v>153</v>
      </c>
      <c r="D514" s="214">
        <v>1.0</v>
      </c>
      <c r="E514" s="214">
        <v>3.0</v>
      </c>
      <c r="F514" s="214" t="s">
        <v>1197</v>
      </c>
      <c r="G514" s="214" t="s">
        <v>61</v>
      </c>
      <c r="H514" s="214" t="s">
        <v>311</v>
      </c>
      <c r="I514" s="214"/>
      <c r="J514" s="222" t="s">
        <v>67</v>
      </c>
      <c r="K514" s="222">
        <v>2.5</v>
      </c>
      <c r="L514" s="222" t="s">
        <v>67</v>
      </c>
      <c r="M514" s="222">
        <v>47.5</v>
      </c>
      <c r="N514" s="214">
        <v>66.0</v>
      </c>
      <c r="O514" s="214">
        <v>131.0</v>
      </c>
      <c r="P514" s="214">
        <v>2.0</v>
      </c>
      <c r="Q514" s="214" t="b">
        <v>0</v>
      </c>
      <c r="R514" s="214">
        <v>100.0</v>
      </c>
      <c r="S514" s="214" t="s">
        <v>535</v>
      </c>
      <c r="T514" s="214" t="s">
        <v>365</v>
      </c>
      <c r="U514" s="214"/>
    </row>
    <row r="515">
      <c r="A515" s="221">
        <v>45923.06845153935</v>
      </c>
      <c r="B515" s="214" t="s">
        <v>96</v>
      </c>
      <c r="C515" s="214" t="s">
        <v>121</v>
      </c>
      <c r="D515" s="214">
        <v>3.0</v>
      </c>
      <c r="E515" s="214">
        <v>1.0</v>
      </c>
      <c r="F515" s="214" t="s">
        <v>1212</v>
      </c>
      <c r="G515" s="214" t="s">
        <v>61</v>
      </c>
      <c r="H515" s="214" t="s">
        <v>493</v>
      </c>
      <c r="I515" s="214"/>
      <c r="J515" s="222" t="s">
        <v>67</v>
      </c>
      <c r="K515" s="222">
        <v>-15.5</v>
      </c>
      <c r="L515" s="222" t="s">
        <v>67</v>
      </c>
      <c r="M515" s="222">
        <v>48.5</v>
      </c>
      <c r="N515" s="214">
        <v>182.0</v>
      </c>
      <c r="O515" s="214">
        <v>78.0</v>
      </c>
      <c r="P515" s="214">
        <v>2.0</v>
      </c>
      <c r="Q515" s="214" t="b">
        <v>1</v>
      </c>
      <c r="R515" s="214">
        <v>100.0</v>
      </c>
      <c r="S515" s="214" t="s">
        <v>317</v>
      </c>
      <c r="T515" s="214" t="s">
        <v>321</v>
      </c>
      <c r="U515" s="214"/>
    </row>
    <row r="516">
      <c r="A516" s="221">
        <v>45923.06845153935</v>
      </c>
      <c r="B516" s="214" t="s">
        <v>96</v>
      </c>
      <c r="C516" s="214" t="s">
        <v>229</v>
      </c>
      <c r="D516" s="214">
        <v>1.0</v>
      </c>
      <c r="E516" s="214">
        <v>2.0</v>
      </c>
      <c r="F516" s="214" t="s">
        <v>1213</v>
      </c>
      <c r="G516" s="214" t="s">
        <v>61</v>
      </c>
      <c r="H516" s="214" t="s">
        <v>493</v>
      </c>
      <c r="I516" s="214"/>
      <c r="J516" s="222" t="s">
        <v>67</v>
      </c>
      <c r="K516" s="222">
        <v>-24.5</v>
      </c>
      <c r="L516" s="222" t="s">
        <v>67</v>
      </c>
      <c r="M516" s="222">
        <v>51.5</v>
      </c>
      <c r="N516" s="214">
        <v>120.0</v>
      </c>
      <c r="O516" s="214">
        <v>98.0</v>
      </c>
      <c r="P516" s="214">
        <v>2.0</v>
      </c>
      <c r="Q516" s="214" t="b">
        <v>0</v>
      </c>
      <c r="R516" s="214">
        <v>100.0</v>
      </c>
      <c r="S516" s="214" t="s">
        <v>725</v>
      </c>
      <c r="T516" s="214"/>
      <c r="U516" s="214"/>
    </row>
    <row r="517">
      <c r="A517" s="221">
        <v>45923.06845153935</v>
      </c>
      <c r="B517" s="214" t="s">
        <v>96</v>
      </c>
      <c r="C517" s="214" t="s">
        <v>142</v>
      </c>
      <c r="D517" s="214">
        <v>3.0</v>
      </c>
      <c r="E517" s="214">
        <v>1.0</v>
      </c>
      <c r="F517" s="214" t="s">
        <v>1202</v>
      </c>
      <c r="G517" s="214" t="s">
        <v>61</v>
      </c>
      <c r="H517" s="214" t="s">
        <v>311</v>
      </c>
      <c r="I517" s="214"/>
      <c r="J517" s="222" t="s">
        <v>67</v>
      </c>
      <c r="K517" s="222">
        <v>1.5</v>
      </c>
      <c r="L517" s="222" t="s">
        <v>67</v>
      </c>
      <c r="M517" s="222">
        <v>47.5</v>
      </c>
      <c r="N517" s="214">
        <v>174.0</v>
      </c>
      <c r="O517" s="214">
        <v>54.0</v>
      </c>
      <c r="P517" s="214">
        <v>2.0</v>
      </c>
      <c r="Q517" s="214" t="b">
        <v>0</v>
      </c>
      <c r="R517" s="214">
        <v>100.0</v>
      </c>
      <c r="S517" s="214" t="s">
        <v>407</v>
      </c>
      <c r="T517" s="214" t="s">
        <v>321</v>
      </c>
      <c r="U517" s="214"/>
    </row>
    <row r="518">
      <c r="A518" s="221">
        <v>45923.06845153935</v>
      </c>
      <c r="B518" s="214" t="s">
        <v>96</v>
      </c>
      <c r="C518" s="214" t="s">
        <v>173</v>
      </c>
      <c r="D518" s="214">
        <v>2.0</v>
      </c>
      <c r="E518" s="214">
        <v>2.0</v>
      </c>
      <c r="F518" s="214" t="s">
        <v>1214</v>
      </c>
      <c r="G518" s="214" t="s">
        <v>61</v>
      </c>
      <c r="H518" s="214"/>
      <c r="I518" s="214"/>
      <c r="J518" s="222" t="s">
        <v>67</v>
      </c>
      <c r="K518" s="222">
        <v>-25.5</v>
      </c>
      <c r="L518" s="222" t="s">
        <v>67</v>
      </c>
      <c r="M518" s="222">
        <v>51.5</v>
      </c>
      <c r="N518" s="214">
        <v>109.0</v>
      </c>
      <c r="O518" s="214">
        <v>116.0</v>
      </c>
      <c r="P518" s="214">
        <v>2.0</v>
      </c>
      <c r="Q518" s="214" t="b">
        <v>0</v>
      </c>
      <c r="R518" s="214">
        <v>100.0</v>
      </c>
      <c r="S518" s="214" t="s">
        <v>530</v>
      </c>
      <c r="T518" s="214" t="s">
        <v>365</v>
      </c>
      <c r="U518" s="214"/>
    </row>
    <row r="519">
      <c r="A519" s="221">
        <v>45923.06845153935</v>
      </c>
      <c r="B519" s="214" t="s">
        <v>96</v>
      </c>
      <c r="C519" s="214" t="s">
        <v>222</v>
      </c>
      <c r="D519" s="214">
        <v>2.0</v>
      </c>
      <c r="E519" s="214">
        <v>2.0</v>
      </c>
      <c r="F519" s="214" t="s">
        <v>1215</v>
      </c>
      <c r="G519" s="214" t="s">
        <v>61</v>
      </c>
      <c r="H519" s="214" t="s">
        <v>249</v>
      </c>
      <c r="I519" s="214"/>
      <c r="J519" s="222" t="s">
        <v>67</v>
      </c>
      <c r="K519" s="222">
        <v>6.5</v>
      </c>
      <c r="L519" s="222" t="s">
        <v>67</v>
      </c>
      <c r="M519" s="222">
        <v>44.5</v>
      </c>
      <c r="N519" s="214">
        <v>82.0</v>
      </c>
      <c r="O519" s="214">
        <v>92.0</v>
      </c>
      <c r="P519" s="214">
        <v>2.0</v>
      </c>
      <c r="Q519" s="214" t="b">
        <v>1</v>
      </c>
      <c r="R519" s="214">
        <v>100.0</v>
      </c>
      <c r="S519" s="214" t="s">
        <v>441</v>
      </c>
      <c r="T519" s="214" t="s">
        <v>365</v>
      </c>
      <c r="U519" s="214"/>
    </row>
    <row r="520">
      <c r="A520" s="221">
        <v>45923.06845153935</v>
      </c>
      <c r="B520" s="214" t="s">
        <v>96</v>
      </c>
      <c r="C520" s="214" t="s">
        <v>105</v>
      </c>
      <c r="D520" s="214">
        <v>3.0</v>
      </c>
      <c r="E520" s="214">
        <v>1.0</v>
      </c>
      <c r="F520" s="214" t="s">
        <v>1216</v>
      </c>
      <c r="G520" s="214" t="s">
        <v>61</v>
      </c>
      <c r="H520" s="214"/>
      <c r="I520" s="214"/>
      <c r="J520" s="222" t="s">
        <v>67</v>
      </c>
      <c r="K520" s="222">
        <v>-27.5</v>
      </c>
      <c r="L520" s="222" t="s">
        <v>67</v>
      </c>
      <c r="M520" s="222">
        <v>56.5</v>
      </c>
      <c r="N520" s="214">
        <v>127.0</v>
      </c>
      <c r="O520" s="214">
        <v>86.0</v>
      </c>
      <c r="P520" s="214">
        <v>2.0</v>
      </c>
      <c r="Q520" s="214" t="b">
        <v>0</v>
      </c>
      <c r="R520" s="214">
        <v>100.0</v>
      </c>
      <c r="S520" s="214" t="s">
        <v>361</v>
      </c>
      <c r="T520" s="214" t="s">
        <v>365</v>
      </c>
      <c r="U520" s="214"/>
    </row>
    <row r="521">
      <c r="A521" s="221">
        <v>45923.06845153935</v>
      </c>
      <c r="B521" s="214" t="s">
        <v>96</v>
      </c>
      <c r="C521" s="214" t="s">
        <v>129</v>
      </c>
      <c r="D521" s="214">
        <v>1.0</v>
      </c>
      <c r="E521" s="214">
        <v>2.0</v>
      </c>
      <c r="F521" s="214" t="s">
        <v>1217</v>
      </c>
      <c r="G521" s="214" t="s">
        <v>61</v>
      </c>
      <c r="H521" s="214" t="s">
        <v>493</v>
      </c>
      <c r="I521" s="214"/>
      <c r="J521" s="222" t="s">
        <v>67</v>
      </c>
      <c r="K521" s="222">
        <v>-11.5</v>
      </c>
      <c r="L521" s="222" t="s">
        <v>67</v>
      </c>
      <c r="M521" s="222">
        <v>54.5</v>
      </c>
      <c r="N521" s="214">
        <v>42.0</v>
      </c>
      <c r="O521" s="214">
        <v>95.0</v>
      </c>
      <c r="P521" s="214">
        <v>2.0</v>
      </c>
      <c r="Q521" s="214" t="b">
        <v>1</v>
      </c>
      <c r="R521" s="214">
        <v>100.0</v>
      </c>
      <c r="S521" s="214" t="s">
        <v>471</v>
      </c>
      <c r="T521" s="214" t="s">
        <v>321</v>
      </c>
      <c r="U521" s="214"/>
    </row>
    <row r="522">
      <c r="A522" s="221">
        <v>45923.06845153935</v>
      </c>
      <c r="B522" s="214"/>
      <c r="C522" s="214"/>
      <c r="D522" s="214"/>
      <c r="E522" s="214"/>
      <c r="F522" s="214"/>
      <c r="G522" s="214"/>
      <c r="H522" s="214"/>
      <c r="I522" s="214"/>
      <c r="J522" s="222"/>
      <c r="K522" s="222"/>
      <c r="L522" s="222"/>
      <c r="M522" s="222"/>
      <c r="N522" s="214"/>
      <c r="O522" s="214"/>
      <c r="P522" s="214"/>
      <c r="Q522" s="214"/>
      <c r="R522" s="214"/>
      <c r="S522" s="214"/>
      <c r="T522" s="214"/>
      <c r="U522" s="214"/>
    </row>
    <row r="523">
      <c r="A523" s="221">
        <v>45923.06845153935</v>
      </c>
      <c r="B523" s="214" t="s">
        <v>238</v>
      </c>
      <c r="C523" s="214" t="s">
        <v>141</v>
      </c>
      <c r="D523" s="214">
        <v>2.0</v>
      </c>
      <c r="E523" s="214">
        <v>1.0</v>
      </c>
      <c r="F523" s="214"/>
      <c r="G523" s="214"/>
      <c r="H523" s="214"/>
      <c r="I523" s="214"/>
      <c r="J523" s="222"/>
      <c r="K523" s="222"/>
      <c r="L523" s="222"/>
      <c r="M523" s="222"/>
      <c r="N523" s="214">
        <v>103.0</v>
      </c>
      <c r="O523" s="214">
        <v>37.0</v>
      </c>
      <c r="P523" s="214">
        <v>0.0</v>
      </c>
      <c r="Q523" s="214" t="b">
        <v>1</v>
      </c>
      <c r="R523" s="214">
        <v>59.0</v>
      </c>
      <c r="S523" s="214" t="s">
        <v>407</v>
      </c>
      <c r="T523" s="214" t="s">
        <v>321</v>
      </c>
      <c r="U523" s="214"/>
    </row>
    <row r="524">
      <c r="A524" s="221">
        <v>45923.06845153935</v>
      </c>
      <c r="B524" s="214" t="s">
        <v>238</v>
      </c>
      <c r="C524" s="214" t="s">
        <v>539</v>
      </c>
      <c r="D524" s="214">
        <v>3.0</v>
      </c>
      <c r="E524" s="214">
        <v>0.0</v>
      </c>
      <c r="F524" s="214"/>
      <c r="G524" s="214"/>
      <c r="H524" s="214"/>
      <c r="I524" s="214"/>
      <c r="J524" s="222"/>
      <c r="K524" s="222"/>
      <c r="L524" s="222"/>
      <c r="M524" s="222"/>
      <c r="N524" s="214">
        <v>127.0</v>
      </c>
      <c r="O524" s="214">
        <v>86.0</v>
      </c>
      <c r="P524" s="214">
        <v>0.0</v>
      </c>
      <c r="Q524" s="214" t="b">
        <v>1</v>
      </c>
      <c r="R524" s="214">
        <v>59.0</v>
      </c>
      <c r="S524" s="214" t="s">
        <v>556</v>
      </c>
      <c r="T524" s="214" t="s">
        <v>321</v>
      </c>
      <c r="U524" s="214"/>
    </row>
    <row r="525">
      <c r="A525" s="221">
        <v>45923.06845153935</v>
      </c>
      <c r="B525" s="214" t="s">
        <v>238</v>
      </c>
      <c r="C525" s="214" t="s">
        <v>98</v>
      </c>
      <c r="D525" s="214">
        <v>2.0</v>
      </c>
      <c r="E525" s="214">
        <v>1.0</v>
      </c>
      <c r="F525" s="214"/>
      <c r="G525" s="214"/>
      <c r="H525" s="214"/>
      <c r="I525" s="214"/>
      <c r="J525" s="222"/>
      <c r="K525" s="222"/>
      <c r="L525" s="222"/>
      <c r="M525" s="222"/>
      <c r="N525" s="214">
        <v>121.0</v>
      </c>
      <c r="O525" s="214">
        <v>40.0</v>
      </c>
      <c r="P525" s="214">
        <v>0.0</v>
      </c>
      <c r="Q525" s="214" t="b">
        <v>1</v>
      </c>
      <c r="R525" s="214">
        <v>59.0</v>
      </c>
      <c r="S525" s="214" t="s">
        <v>471</v>
      </c>
      <c r="T525" s="214" t="s">
        <v>321</v>
      </c>
      <c r="U525" s="214"/>
    </row>
    <row r="526">
      <c r="A526" s="221">
        <v>45923.06845153935</v>
      </c>
      <c r="B526" s="214" t="s">
        <v>238</v>
      </c>
      <c r="C526" s="214" t="s">
        <v>119</v>
      </c>
      <c r="D526" s="214">
        <v>2.0</v>
      </c>
      <c r="E526" s="214">
        <v>1.0</v>
      </c>
      <c r="F526" s="214"/>
      <c r="G526" s="214"/>
      <c r="H526" s="214"/>
      <c r="I526" s="214"/>
      <c r="J526" s="222"/>
      <c r="K526" s="222"/>
      <c r="L526" s="222"/>
      <c r="M526" s="222"/>
      <c r="N526" s="214">
        <v>130.0</v>
      </c>
      <c r="O526" s="214">
        <v>57.0</v>
      </c>
      <c r="P526" s="214">
        <v>0.0</v>
      </c>
      <c r="Q526" s="214" t="b">
        <v>1</v>
      </c>
      <c r="R526" s="214">
        <v>59.0</v>
      </c>
      <c r="S526" s="214" t="s">
        <v>317</v>
      </c>
      <c r="T526" s="214" t="s">
        <v>321</v>
      </c>
      <c r="U526" s="214"/>
    </row>
    <row r="527">
      <c r="A527" s="221">
        <v>45923.06845153935</v>
      </c>
      <c r="B527" s="214" t="s">
        <v>238</v>
      </c>
      <c r="C527" s="214" t="s">
        <v>160</v>
      </c>
      <c r="D527" s="214">
        <v>1.0</v>
      </c>
      <c r="E527" s="214">
        <v>3.0</v>
      </c>
      <c r="F527" s="214" t="s">
        <v>1218</v>
      </c>
      <c r="G527" s="214" t="s">
        <v>61</v>
      </c>
      <c r="H527" s="214" t="s">
        <v>493</v>
      </c>
      <c r="I527" s="214"/>
      <c r="J527" s="222" t="s">
        <v>67</v>
      </c>
      <c r="K527" s="222">
        <v>-6.5</v>
      </c>
      <c r="L527" s="222" t="s">
        <v>67</v>
      </c>
      <c r="M527" s="222">
        <v>47.5</v>
      </c>
      <c r="N527" s="214">
        <v>93.0</v>
      </c>
      <c r="O527" s="214">
        <v>103.0</v>
      </c>
      <c r="P527" s="214">
        <v>2.0</v>
      </c>
      <c r="Q527" s="214" t="b">
        <v>0</v>
      </c>
      <c r="R527" s="214">
        <v>100.0</v>
      </c>
      <c r="S527" s="214" t="s">
        <v>535</v>
      </c>
      <c r="T527" s="214" t="s">
        <v>365</v>
      </c>
      <c r="U527" s="214"/>
    </row>
    <row r="528">
      <c r="A528" s="221">
        <v>45923.06845153935</v>
      </c>
      <c r="B528" s="214" t="s">
        <v>238</v>
      </c>
      <c r="C528" s="214" t="s">
        <v>220</v>
      </c>
      <c r="D528" s="214">
        <v>1.0</v>
      </c>
      <c r="E528" s="214">
        <v>3.0</v>
      </c>
      <c r="F528" s="214" t="s">
        <v>1219</v>
      </c>
      <c r="G528" s="214" t="s">
        <v>61</v>
      </c>
      <c r="H528" s="214" t="s">
        <v>156</v>
      </c>
      <c r="I528" s="214"/>
      <c r="J528" s="222" t="s">
        <v>67</v>
      </c>
      <c r="K528" s="222">
        <v>-14.5</v>
      </c>
      <c r="L528" s="222" t="s">
        <v>67</v>
      </c>
      <c r="M528" s="222">
        <v>51.5</v>
      </c>
      <c r="N528" s="214">
        <v>104.0</v>
      </c>
      <c r="O528" s="214">
        <v>123.0</v>
      </c>
      <c r="P528" s="214">
        <v>2.0</v>
      </c>
      <c r="Q528" s="214" t="b">
        <v>1</v>
      </c>
      <c r="R528" s="214">
        <v>100.0</v>
      </c>
      <c r="S528" s="214" t="s">
        <v>441</v>
      </c>
      <c r="T528" s="214" t="s">
        <v>365</v>
      </c>
      <c r="U528" s="214"/>
    </row>
    <row r="529">
      <c r="A529" s="221">
        <v>45923.06845153935</v>
      </c>
      <c r="B529" s="214" t="s">
        <v>238</v>
      </c>
      <c r="C529" s="214" t="s">
        <v>549</v>
      </c>
      <c r="D529" s="214">
        <v>1.0</v>
      </c>
      <c r="E529" s="214">
        <v>2.0</v>
      </c>
      <c r="F529" s="214" t="s">
        <v>1220</v>
      </c>
      <c r="G529" s="214" t="s">
        <v>61</v>
      </c>
      <c r="H529" s="214"/>
      <c r="I529" s="214"/>
      <c r="J529" s="222" t="s">
        <v>67</v>
      </c>
      <c r="K529" s="222">
        <v>-14.5</v>
      </c>
      <c r="L529" s="222" t="s">
        <v>67</v>
      </c>
      <c r="M529" s="222">
        <v>50.5</v>
      </c>
      <c r="N529" s="214">
        <v>52.0</v>
      </c>
      <c r="O529" s="214">
        <v>82.0</v>
      </c>
      <c r="P529" s="214">
        <v>2.0</v>
      </c>
      <c r="Q529" s="214" t="b">
        <v>0</v>
      </c>
      <c r="R529" s="214">
        <v>100.0</v>
      </c>
      <c r="S529" s="214" t="s">
        <v>525</v>
      </c>
      <c r="T529" s="214" t="s">
        <v>365</v>
      </c>
      <c r="U529" s="214"/>
    </row>
    <row r="530">
      <c r="A530" s="221">
        <v>45923.06845153935</v>
      </c>
      <c r="B530" s="214" t="s">
        <v>238</v>
      </c>
      <c r="C530" s="214" t="s">
        <v>548</v>
      </c>
      <c r="D530" s="214">
        <v>0.0</v>
      </c>
      <c r="E530" s="214">
        <v>3.0</v>
      </c>
      <c r="F530" s="214" t="s">
        <v>1209</v>
      </c>
      <c r="G530" s="214" t="s">
        <v>61</v>
      </c>
      <c r="H530" s="214" t="s">
        <v>224</v>
      </c>
      <c r="I530" s="214"/>
      <c r="J530" s="222" t="s">
        <v>67</v>
      </c>
      <c r="K530" s="222">
        <v>2.5</v>
      </c>
      <c r="L530" s="222" t="s">
        <v>67</v>
      </c>
      <c r="M530" s="222">
        <v>49.5</v>
      </c>
      <c r="N530" s="214">
        <v>55.0</v>
      </c>
      <c r="O530" s="214">
        <v>103.0</v>
      </c>
      <c r="P530" s="214">
        <v>2.0</v>
      </c>
      <c r="Q530" s="214" t="b">
        <v>1</v>
      </c>
      <c r="R530" s="214">
        <v>100.0</v>
      </c>
      <c r="S530" s="214" t="s">
        <v>530</v>
      </c>
      <c r="T530" s="214" t="s">
        <v>365</v>
      </c>
      <c r="U530" s="214"/>
    </row>
    <row r="531">
      <c r="A531" s="221">
        <v>45923.06845153935</v>
      </c>
      <c r="B531" s="214" t="s">
        <v>238</v>
      </c>
      <c r="C531" s="214" t="s">
        <v>102</v>
      </c>
      <c r="D531" s="214">
        <v>4.0</v>
      </c>
      <c r="E531" s="214">
        <v>0.0</v>
      </c>
      <c r="F531" s="214" t="s">
        <v>1221</v>
      </c>
      <c r="G531" s="214" t="s">
        <v>61</v>
      </c>
      <c r="H531" s="214" t="s">
        <v>156</v>
      </c>
      <c r="I531" s="214"/>
      <c r="J531" s="222" t="s">
        <v>67</v>
      </c>
      <c r="K531" s="222">
        <v>7.5</v>
      </c>
      <c r="L531" s="222" t="s">
        <v>67</v>
      </c>
      <c r="M531" s="222">
        <v>60.5</v>
      </c>
      <c r="N531" s="214">
        <v>143.0</v>
      </c>
      <c r="O531" s="214">
        <v>64.0</v>
      </c>
      <c r="P531" s="214">
        <v>2.0</v>
      </c>
      <c r="Q531" s="214" t="b">
        <v>1</v>
      </c>
      <c r="R531" s="214">
        <v>100.0</v>
      </c>
      <c r="S531" s="214" t="s">
        <v>361</v>
      </c>
      <c r="T531" s="214" t="s">
        <v>365</v>
      </c>
      <c r="U531" s="214"/>
    </row>
    <row r="532">
      <c r="A532" s="221">
        <v>45923.06845153935</v>
      </c>
      <c r="B532" s="214" t="s">
        <v>238</v>
      </c>
      <c r="C532" s="214" t="s">
        <v>148</v>
      </c>
      <c r="D532" s="214">
        <v>2.0</v>
      </c>
      <c r="E532" s="214">
        <v>2.0</v>
      </c>
      <c r="F532" s="214" t="s">
        <v>1222</v>
      </c>
      <c r="G532" s="214" t="s">
        <v>61</v>
      </c>
      <c r="H532" s="214" t="s">
        <v>493</v>
      </c>
      <c r="I532" s="214"/>
      <c r="J532" s="222" t="s">
        <v>67</v>
      </c>
      <c r="K532" s="222">
        <v>-9.5</v>
      </c>
      <c r="L532" s="222" t="s">
        <v>67</v>
      </c>
      <c r="M532" s="222">
        <v>44.5</v>
      </c>
      <c r="N532" s="214">
        <v>83.0</v>
      </c>
      <c r="O532" s="214">
        <v>75.0</v>
      </c>
      <c r="P532" s="214">
        <v>2.0</v>
      </c>
      <c r="Q532" s="214" t="b">
        <v>0</v>
      </c>
      <c r="R532" s="214">
        <v>100.0</v>
      </c>
      <c r="S532" s="214" t="s">
        <v>407</v>
      </c>
      <c r="T532" s="214" t="s">
        <v>321</v>
      </c>
      <c r="U532" s="214"/>
    </row>
    <row r="533">
      <c r="A533" s="221">
        <v>45923.06845153935</v>
      </c>
      <c r="B533" s="214"/>
      <c r="C533" s="214"/>
      <c r="D533" s="214"/>
      <c r="E533" s="214"/>
      <c r="F533" s="214"/>
      <c r="G533" s="214"/>
      <c r="H533" s="214"/>
      <c r="I533" s="214"/>
      <c r="J533" s="222"/>
      <c r="K533" s="222"/>
      <c r="L533" s="222"/>
      <c r="M533" s="222"/>
      <c r="N533" s="214"/>
      <c r="O533" s="214"/>
      <c r="P533" s="214"/>
      <c r="Q533" s="214"/>
      <c r="R533" s="214"/>
      <c r="S533" s="214"/>
      <c r="T533" s="214"/>
      <c r="U533" s="214"/>
    </row>
    <row r="534">
      <c r="A534" s="221">
        <v>45923.06845153935</v>
      </c>
      <c r="B534" s="214" t="s">
        <v>156</v>
      </c>
      <c r="C534" s="214" t="s">
        <v>116</v>
      </c>
      <c r="D534" s="214">
        <v>4.0</v>
      </c>
      <c r="E534" s="214">
        <v>0.0</v>
      </c>
      <c r="F534" s="214" t="s">
        <v>1205</v>
      </c>
      <c r="G534" s="214" t="s">
        <v>61</v>
      </c>
      <c r="H534" s="214" t="s">
        <v>224</v>
      </c>
      <c r="I534" s="214"/>
      <c r="J534" s="222" t="s">
        <v>67</v>
      </c>
      <c r="K534" s="222">
        <v>-9.5</v>
      </c>
      <c r="L534" s="222" t="s">
        <v>67</v>
      </c>
      <c r="M534" s="222">
        <v>51.5</v>
      </c>
      <c r="N534" s="214">
        <v>147.0</v>
      </c>
      <c r="O534" s="214">
        <v>46.0</v>
      </c>
      <c r="P534" s="214">
        <v>2.0</v>
      </c>
      <c r="Q534" s="214" t="b">
        <v>1</v>
      </c>
      <c r="R534" s="214">
        <v>100.0</v>
      </c>
      <c r="S534" s="214" t="s">
        <v>317</v>
      </c>
      <c r="T534" s="214" t="s">
        <v>321</v>
      </c>
      <c r="U534" s="214"/>
    </row>
    <row r="535">
      <c r="A535" s="221">
        <v>45923.06845153935</v>
      </c>
      <c r="B535" s="214" t="s">
        <v>156</v>
      </c>
      <c r="C535" s="214" t="s">
        <v>135</v>
      </c>
      <c r="D535" s="214">
        <v>3.0</v>
      </c>
      <c r="E535" s="214">
        <v>1.0</v>
      </c>
      <c r="F535" s="214" t="s">
        <v>1223</v>
      </c>
      <c r="G535" s="214" t="s">
        <v>61</v>
      </c>
      <c r="H535" s="214" t="s">
        <v>132</v>
      </c>
      <c r="I535" s="214"/>
      <c r="J535" s="222" t="s">
        <v>67</v>
      </c>
      <c r="K535" s="222">
        <v>6.5</v>
      </c>
      <c r="L535" s="222" t="s">
        <v>67</v>
      </c>
      <c r="M535" s="222">
        <v>52.5</v>
      </c>
      <c r="N535" s="214">
        <v>145.0</v>
      </c>
      <c r="O535" s="214">
        <v>85.0</v>
      </c>
      <c r="P535" s="214">
        <v>2.0</v>
      </c>
      <c r="Q535" s="214" t="b">
        <v>0</v>
      </c>
      <c r="R535" s="214">
        <v>100.0</v>
      </c>
      <c r="S535" s="214" t="s">
        <v>407</v>
      </c>
      <c r="T535" s="214" t="s">
        <v>321</v>
      </c>
      <c r="U535" s="214"/>
    </row>
    <row r="536">
      <c r="A536" s="221">
        <v>45923.06845153935</v>
      </c>
      <c r="B536" s="214" t="s">
        <v>156</v>
      </c>
      <c r="C536" s="214" t="s">
        <v>208</v>
      </c>
      <c r="D536" s="214">
        <v>4.0</v>
      </c>
      <c r="E536" s="214">
        <v>0.0</v>
      </c>
      <c r="F536" s="214" t="s">
        <v>1224</v>
      </c>
      <c r="G536" s="214" t="s">
        <v>61</v>
      </c>
      <c r="H536" s="214" t="s">
        <v>132</v>
      </c>
      <c r="I536" s="214"/>
      <c r="J536" s="222" t="s">
        <v>67</v>
      </c>
      <c r="K536" s="222">
        <v>-9.5</v>
      </c>
      <c r="L536" s="222" t="s">
        <v>67</v>
      </c>
      <c r="M536" s="222">
        <v>48.5</v>
      </c>
      <c r="N536" s="214">
        <v>184.0</v>
      </c>
      <c r="O536" s="214">
        <v>67.0</v>
      </c>
      <c r="P536" s="214">
        <v>2.0</v>
      </c>
      <c r="Q536" s="214" t="b">
        <v>1</v>
      </c>
      <c r="R536" s="214">
        <v>100.0</v>
      </c>
      <c r="S536" s="214" t="s">
        <v>556</v>
      </c>
      <c r="T536" s="214" t="s">
        <v>321</v>
      </c>
      <c r="U536" s="214"/>
    </row>
    <row r="537">
      <c r="A537" s="221">
        <v>45923.06845153935</v>
      </c>
      <c r="B537" s="214" t="s">
        <v>156</v>
      </c>
      <c r="C537" s="214" t="s">
        <v>232</v>
      </c>
      <c r="D537" s="214">
        <v>2.0</v>
      </c>
      <c r="E537" s="214">
        <v>2.0</v>
      </c>
      <c r="F537" s="214" t="s">
        <v>1225</v>
      </c>
      <c r="G537" s="214" t="s">
        <v>61</v>
      </c>
      <c r="H537" s="214"/>
      <c r="I537" s="214"/>
      <c r="J537" s="222" t="s">
        <v>67</v>
      </c>
      <c r="K537" s="222">
        <v>-35.5</v>
      </c>
      <c r="L537" s="222" t="s">
        <v>67</v>
      </c>
      <c r="M537" s="222">
        <v>60.5</v>
      </c>
      <c r="N537" s="214">
        <v>123.0</v>
      </c>
      <c r="O537" s="214">
        <v>92.0</v>
      </c>
      <c r="P537" s="214">
        <v>2.0</v>
      </c>
      <c r="Q537" s="214" t="b">
        <v>0</v>
      </c>
      <c r="R537" s="214">
        <v>100.0</v>
      </c>
      <c r="S537" s="214" t="s">
        <v>535</v>
      </c>
      <c r="T537" s="214" t="s">
        <v>365</v>
      </c>
      <c r="U537" s="214"/>
    </row>
    <row r="538">
      <c r="A538" s="221">
        <v>45923.06845153935</v>
      </c>
      <c r="B538" s="214" t="s">
        <v>156</v>
      </c>
      <c r="C538" s="214" t="s">
        <v>223</v>
      </c>
      <c r="D538" s="214">
        <v>2.0</v>
      </c>
      <c r="E538" s="214">
        <v>2.0</v>
      </c>
      <c r="F538" s="214" t="s">
        <v>1219</v>
      </c>
      <c r="G538" s="214" t="s">
        <v>61</v>
      </c>
      <c r="H538" s="214" t="s">
        <v>238</v>
      </c>
      <c r="I538" s="214"/>
      <c r="J538" s="222" t="s">
        <v>67</v>
      </c>
      <c r="K538" s="222">
        <v>14.5</v>
      </c>
      <c r="L538" s="222" t="s">
        <v>67</v>
      </c>
      <c r="M538" s="222">
        <v>51.5</v>
      </c>
      <c r="N538" s="214">
        <v>58.0</v>
      </c>
      <c r="O538" s="214">
        <v>106.0</v>
      </c>
      <c r="P538" s="214">
        <v>2.0</v>
      </c>
      <c r="Q538" s="214" t="b">
        <v>0</v>
      </c>
      <c r="R538" s="214">
        <v>100.0</v>
      </c>
      <c r="S538" s="214" t="s">
        <v>441</v>
      </c>
      <c r="T538" s="214" t="s">
        <v>365</v>
      </c>
      <c r="U538" s="214"/>
    </row>
    <row r="539">
      <c r="A539" s="221">
        <v>45923.06845153935</v>
      </c>
      <c r="B539" s="214" t="s">
        <v>156</v>
      </c>
      <c r="C539" s="214" t="s">
        <v>181</v>
      </c>
      <c r="D539" s="214">
        <v>1.0</v>
      </c>
      <c r="E539" s="214">
        <v>3.0</v>
      </c>
      <c r="F539" s="214" t="s">
        <v>1226</v>
      </c>
      <c r="G539" s="214" t="s">
        <v>61</v>
      </c>
      <c r="H539" s="214" t="s">
        <v>395</v>
      </c>
      <c r="I539" s="214"/>
      <c r="J539" s="222" t="s">
        <v>67</v>
      </c>
      <c r="K539" s="222">
        <v>9.5</v>
      </c>
      <c r="L539" s="222" t="s">
        <v>67</v>
      </c>
      <c r="M539" s="222">
        <v>54.5</v>
      </c>
      <c r="N539" s="214">
        <v>60.0</v>
      </c>
      <c r="O539" s="214">
        <v>108.0</v>
      </c>
      <c r="P539" s="214">
        <v>2.0</v>
      </c>
      <c r="Q539" s="214" t="b">
        <v>0</v>
      </c>
      <c r="R539" s="214">
        <v>100.0</v>
      </c>
      <c r="S539" s="214" t="s">
        <v>525</v>
      </c>
      <c r="T539" s="214" t="s">
        <v>365</v>
      </c>
      <c r="U539" s="214"/>
    </row>
    <row r="540">
      <c r="A540" s="221">
        <v>45923.06845153935</v>
      </c>
      <c r="B540" s="214" t="s">
        <v>156</v>
      </c>
      <c r="C540" s="214" t="s">
        <v>109</v>
      </c>
      <c r="D540" s="214">
        <v>3.0</v>
      </c>
      <c r="E540" s="214">
        <v>0.0</v>
      </c>
      <c r="F540" s="214" t="s">
        <v>1177</v>
      </c>
      <c r="G540" s="214" t="s">
        <v>61</v>
      </c>
      <c r="H540" s="214" t="s">
        <v>43</v>
      </c>
      <c r="I540" s="214"/>
      <c r="J540" s="222" t="s">
        <v>67</v>
      </c>
      <c r="K540" s="222">
        <v>-6.5</v>
      </c>
      <c r="L540" s="222" t="s">
        <v>67</v>
      </c>
      <c r="M540" s="222">
        <v>46.5</v>
      </c>
      <c r="N540" s="214">
        <v>119.0</v>
      </c>
      <c r="O540" s="214">
        <v>26.0</v>
      </c>
      <c r="P540" s="214">
        <v>2.0</v>
      </c>
      <c r="Q540" s="214" t="b">
        <v>1</v>
      </c>
      <c r="R540" s="214">
        <v>100.0</v>
      </c>
      <c r="S540" s="214" t="s">
        <v>471</v>
      </c>
      <c r="T540" s="214" t="s">
        <v>321</v>
      </c>
      <c r="U540" s="214"/>
    </row>
    <row r="541">
      <c r="A541" s="221">
        <v>45923.06845153935</v>
      </c>
      <c r="B541" s="214" t="s">
        <v>156</v>
      </c>
      <c r="C541" s="214" t="s">
        <v>174</v>
      </c>
      <c r="D541" s="214">
        <v>2.0</v>
      </c>
      <c r="E541" s="214">
        <v>2.0</v>
      </c>
      <c r="F541" s="214" t="s">
        <v>1227</v>
      </c>
      <c r="G541" s="214" t="s">
        <v>61</v>
      </c>
      <c r="H541" s="214" t="s">
        <v>395</v>
      </c>
      <c r="I541" s="214"/>
      <c r="J541" s="222" t="s">
        <v>67</v>
      </c>
      <c r="K541" s="222">
        <v>-14.5</v>
      </c>
      <c r="L541" s="222" t="s">
        <v>67</v>
      </c>
      <c r="M541" s="222">
        <v>50.5</v>
      </c>
      <c r="N541" s="214">
        <v>134.0</v>
      </c>
      <c r="O541" s="214">
        <v>59.0</v>
      </c>
      <c r="P541" s="214">
        <v>2.0</v>
      </c>
      <c r="Q541" s="214" t="b">
        <v>0</v>
      </c>
      <c r="R541" s="214">
        <v>100.0</v>
      </c>
      <c r="S541" s="214" t="s">
        <v>530</v>
      </c>
      <c r="T541" s="214" t="s">
        <v>365</v>
      </c>
      <c r="U541" s="214"/>
    </row>
    <row r="542">
      <c r="A542" s="221">
        <v>45923.06845153935</v>
      </c>
      <c r="B542" s="214" t="s">
        <v>156</v>
      </c>
      <c r="C542" s="214" t="s">
        <v>202</v>
      </c>
      <c r="D542" s="214">
        <v>2.0</v>
      </c>
      <c r="E542" s="214">
        <v>2.0</v>
      </c>
      <c r="F542" s="214" t="s">
        <v>1221</v>
      </c>
      <c r="G542" s="214" t="s">
        <v>61</v>
      </c>
      <c r="H542" s="214" t="s">
        <v>238</v>
      </c>
      <c r="I542" s="214"/>
      <c r="J542" s="222" t="s">
        <v>67</v>
      </c>
      <c r="K542" s="222">
        <v>-7.5</v>
      </c>
      <c r="L542" s="222" t="s">
        <v>67</v>
      </c>
      <c r="M542" s="222">
        <v>60.5</v>
      </c>
      <c r="N542" s="214">
        <v>174.0</v>
      </c>
      <c r="O542" s="214">
        <v>94.0</v>
      </c>
      <c r="P542" s="214">
        <v>2.0</v>
      </c>
      <c r="Q542" s="214" t="b">
        <v>0</v>
      </c>
      <c r="R542" s="214">
        <v>100.0</v>
      </c>
      <c r="S542" s="214" t="s">
        <v>556</v>
      </c>
      <c r="T542" s="214" t="s">
        <v>321</v>
      </c>
      <c r="U542" s="214"/>
    </row>
    <row r="543">
      <c r="A543" s="221">
        <v>45923.06845153935</v>
      </c>
      <c r="B543" s="214" t="s">
        <v>156</v>
      </c>
      <c r="C543" s="214" t="s">
        <v>154</v>
      </c>
      <c r="D543" s="214">
        <v>4.0</v>
      </c>
      <c r="E543" s="214">
        <v>0.0</v>
      </c>
      <c r="F543" s="214" t="s">
        <v>1228</v>
      </c>
      <c r="G543" s="214" t="s">
        <v>532</v>
      </c>
      <c r="H543" s="214" t="s">
        <v>395</v>
      </c>
      <c r="I543" s="214"/>
      <c r="J543" s="222" t="s">
        <v>67</v>
      </c>
      <c r="K543" s="222">
        <v>-1.5</v>
      </c>
      <c r="L543" s="222" t="s">
        <v>67</v>
      </c>
      <c r="M543" s="222">
        <v>51.5</v>
      </c>
      <c r="N543" s="214">
        <v>188.0</v>
      </c>
      <c r="O543" s="214">
        <v>78.0</v>
      </c>
      <c r="P543" s="214">
        <v>2.0</v>
      </c>
      <c r="Q543" s="214" t="b">
        <v>1</v>
      </c>
      <c r="R543" s="214">
        <v>100.0</v>
      </c>
      <c r="S543" s="214" t="s">
        <v>361</v>
      </c>
      <c r="T543" s="214" t="s">
        <v>365</v>
      </c>
      <c r="U543" s="214"/>
    </row>
    <row r="544">
      <c r="A544" s="221">
        <v>45923.06845153935</v>
      </c>
      <c r="B544" s="214"/>
      <c r="C544" s="214"/>
      <c r="D544" s="214"/>
      <c r="E544" s="214"/>
      <c r="F544" s="214"/>
      <c r="G544" s="214"/>
      <c r="H544" s="214"/>
      <c r="I544" s="214"/>
      <c r="J544" s="222"/>
      <c r="K544" s="222"/>
      <c r="L544" s="222"/>
      <c r="M544" s="222"/>
      <c r="N544" s="214"/>
      <c r="O544" s="214"/>
      <c r="P544" s="214"/>
      <c r="Q544" s="214"/>
      <c r="R544" s="214"/>
      <c r="S544" s="214"/>
      <c r="T544" s="214"/>
      <c r="U544" s="214"/>
    </row>
    <row r="545">
      <c r="A545" s="221">
        <v>45923.06845153935</v>
      </c>
      <c r="B545" s="214" t="s">
        <v>249</v>
      </c>
      <c r="C545" s="214" t="s">
        <v>183</v>
      </c>
      <c r="D545" s="214">
        <v>2.0</v>
      </c>
      <c r="E545" s="214">
        <v>1.0</v>
      </c>
      <c r="F545" s="214" t="s">
        <v>1187</v>
      </c>
      <c r="G545" s="214" t="s">
        <v>61</v>
      </c>
      <c r="H545" s="214" t="s">
        <v>62</v>
      </c>
      <c r="I545" s="214"/>
      <c r="J545" s="222" t="s">
        <v>67</v>
      </c>
      <c r="K545" s="222">
        <v>13.5</v>
      </c>
      <c r="L545" s="222" t="s">
        <v>67</v>
      </c>
      <c r="M545" s="222">
        <v>46.5</v>
      </c>
      <c r="N545" s="214">
        <v>89.0</v>
      </c>
      <c r="O545" s="214">
        <v>36.0</v>
      </c>
      <c r="P545" s="214">
        <v>2.0</v>
      </c>
      <c r="Q545" s="214" t="b">
        <v>0</v>
      </c>
      <c r="R545" s="214">
        <v>100.0</v>
      </c>
      <c r="S545" s="214" t="s">
        <v>525</v>
      </c>
      <c r="T545" s="214" t="s">
        <v>365</v>
      </c>
      <c r="U545" s="214"/>
    </row>
    <row r="546">
      <c r="A546" s="221">
        <v>45923.06845153935</v>
      </c>
      <c r="B546" s="214" t="s">
        <v>249</v>
      </c>
      <c r="C546" s="214" t="s">
        <v>217</v>
      </c>
      <c r="D546" s="214">
        <v>1.0</v>
      </c>
      <c r="E546" s="214">
        <v>3.0</v>
      </c>
      <c r="F546" s="214" t="s">
        <v>1229</v>
      </c>
      <c r="G546" s="214" t="s">
        <v>61</v>
      </c>
      <c r="H546" s="214" t="s">
        <v>395</v>
      </c>
      <c r="I546" s="214"/>
      <c r="J546" s="222" t="s">
        <v>67</v>
      </c>
      <c r="K546" s="222">
        <v>28.5</v>
      </c>
      <c r="L546" s="222" t="s">
        <v>67</v>
      </c>
      <c r="M546" s="222">
        <v>52.5</v>
      </c>
      <c r="N546" s="214">
        <v>81.0</v>
      </c>
      <c r="O546" s="214">
        <v>192.0</v>
      </c>
      <c r="P546" s="214">
        <v>2.0</v>
      </c>
      <c r="Q546" s="214" t="b">
        <v>0</v>
      </c>
      <c r="R546" s="214">
        <v>100.0</v>
      </c>
      <c r="S546" s="214" t="s">
        <v>441</v>
      </c>
      <c r="T546" s="214" t="s">
        <v>365</v>
      </c>
      <c r="U546" s="214"/>
    </row>
    <row r="547">
      <c r="A547" s="221">
        <v>45923.06845153935</v>
      </c>
      <c r="B547" s="214" t="s">
        <v>249</v>
      </c>
      <c r="C547" s="214" t="s">
        <v>124</v>
      </c>
      <c r="D547" s="214">
        <v>2.0</v>
      </c>
      <c r="E547" s="214">
        <v>2.0</v>
      </c>
      <c r="F547" s="214" t="s">
        <v>1174</v>
      </c>
      <c r="G547" s="214" t="s">
        <v>61</v>
      </c>
      <c r="H547" s="214" t="s">
        <v>43</v>
      </c>
      <c r="I547" s="214"/>
      <c r="J547" s="222" t="s">
        <v>67</v>
      </c>
      <c r="K547" s="222">
        <v>-2.5</v>
      </c>
      <c r="L547" s="222" t="s">
        <v>67</v>
      </c>
      <c r="M547" s="222">
        <v>60.5</v>
      </c>
      <c r="N547" s="214">
        <v>138.0</v>
      </c>
      <c r="O547" s="214">
        <v>117.0</v>
      </c>
      <c r="P547" s="214">
        <v>2.0</v>
      </c>
      <c r="Q547" s="214" t="b">
        <v>1</v>
      </c>
      <c r="R547" s="214">
        <v>100.0</v>
      </c>
      <c r="S547" s="214" t="s">
        <v>471</v>
      </c>
      <c r="T547" s="214" t="s">
        <v>321</v>
      </c>
      <c r="U547" s="214"/>
    </row>
    <row r="548">
      <c r="A548" s="221">
        <v>45923.06845153935</v>
      </c>
      <c r="B548" s="214" t="s">
        <v>249</v>
      </c>
      <c r="C548" s="214" t="s">
        <v>151</v>
      </c>
      <c r="D548" s="214">
        <v>3.0</v>
      </c>
      <c r="E548" s="214">
        <v>1.0</v>
      </c>
      <c r="F548" s="214" t="s">
        <v>1230</v>
      </c>
      <c r="G548" s="214" t="s">
        <v>61</v>
      </c>
      <c r="H548" s="214" t="s">
        <v>493</v>
      </c>
      <c r="I548" s="214"/>
      <c r="J548" s="222" t="s">
        <v>67</v>
      </c>
      <c r="K548" s="222">
        <v>-3.5</v>
      </c>
      <c r="L548" s="222" t="s">
        <v>67</v>
      </c>
      <c r="M548" s="222">
        <v>50.5</v>
      </c>
      <c r="N548" s="214">
        <v>110.0</v>
      </c>
      <c r="O548" s="214">
        <v>57.0</v>
      </c>
      <c r="P548" s="214">
        <v>2.0</v>
      </c>
      <c r="Q548" s="214" t="b">
        <v>1</v>
      </c>
      <c r="R548" s="214">
        <v>100.0</v>
      </c>
      <c r="S548" s="214" t="s">
        <v>535</v>
      </c>
      <c r="T548" s="214" t="s">
        <v>365</v>
      </c>
      <c r="U548" s="214"/>
    </row>
    <row r="549">
      <c r="A549" s="221">
        <v>45923.06845153935</v>
      </c>
      <c r="B549" s="214" t="s">
        <v>249</v>
      </c>
      <c r="C549" s="214" t="s">
        <v>112</v>
      </c>
      <c r="D549" s="214">
        <v>2.0</v>
      </c>
      <c r="E549" s="214">
        <v>2.0</v>
      </c>
      <c r="F549" s="214" t="s">
        <v>1184</v>
      </c>
      <c r="G549" s="214" t="s">
        <v>61</v>
      </c>
      <c r="H549" s="214" t="s">
        <v>95</v>
      </c>
      <c r="I549" s="214"/>
      <c r="J549" s="222" t="s">
        <v>67</v>
      </c>
      <c r="K549" s="222">
        <v>-2.5</v>
      </c>
      <c r="L549" s="222" t="s">
        <v>67</v>
      </c>
      <c r="M549" s="222">
        <v>56.5</v>
      </c>
      <c r="N549" s="214">
        <v>136.0</v>
      </c>
      <c r="O549" s="214">
        <v>129.0</v>
      </c>
      <c r="P549" s="214">
        <v>2.0</v>
      </c>
      <c r="Q549" s="214" t="b">
        <v>1</v>
      </c>
      <c r="R549" s="214">
        <v>100.0</v>
      </c>
      <c r="S549" s="214" t="s">
        <v>317</v>
      </c>
      <c r="T549" s="214" t="s">
        <v>321</v>
      </c>
      <c r="U549" s="214"/>
    </row>
    <row r="550">
      <c r="A550" s="221">
        <v>45923.06845153935</v>
      </c>
      <c r="B550" s="214" t="s">
        <v>249</v>
      </c>
      <c r="C550" s="214" t="s">
        <v>209</v>
      </c>
      <c r="D550" s="214">
        <v>4.0</v>
      </c>
      <c r="E550" s="214">
        <v>0.0</v>
      </c>
      <c r="F550" s="214" t="s">
        <v>1231</v>
      </c>
      <c r="G550" s="214" t="s">
        <v>61</v>
      </c>
      <c r="H550" s="214" t="s">
        <v>132</v>
      </c>
      <c r="I550" s="214"/>
      <c r="J550" s="222" t="s">
        <v>67</v>
      </c>
      <c r="K550" s="222">
        <v>-12.5</v>
      </c>
      <c r="L550" s="222" t="s">
        <v>67</v>
      </c>
      <c r="M550" s="222">
        <v>61.5</v>
      </c>
      <c r="N550" s="214">
        <v>179.0</v>
      </c>
      <c r="O550" s="214">
        <v>75.0</v>
      </c>
      <c r="P550" s="214">
        <v>2.0</v>
      </c>
      <c r="Q550" s="214" t="b">
        <v>0</v>
      </c>
      <c r="R550" s="214">
        <v>100.0</v>
      </c>
      <c r="S550" s="214" t="s">
        <v>556</v>
      </c>
      <c r="T550" s="214" t="s">
        <v>321</v>
      </c>
      <c r="U550" s="214"/>
    </row>
    <row r="551">
      <c r="A551" s="221">
        <v>45923.06845153935</v>
      </c>
      <c r="B551" s="214" t="s">
        <v>249</v>
      </c>
      <c r="C551" s="214" t="s">
        <v>167</v>
      </c>
      <c r="D551" s="214">
        <v>2.0</v>
      </c>
      <c r="E551" s="214">
        <v>2.0</v>
      </c>
      <c r="F551" s="214" t="s">
        <v>1215</v>
      </c>
      <c r="G551" s="214" t="s">
        <v>61</v>
      </c>
      <c r="H551" s="214" t="s">
        <v>96</v>
      </c>
      <c r="I551" s="214"/>
      <c r="J551" s="222" t="s">
        <v>67</v>
      </c>
      <c r="K551" s="222">
        <v>-6.5</v>
      </c>
      <c r="L551" s="222" t="s">
        <v>67</v>
      </c>
      <c r="M551" s="222">
        <v>44.5</v>
      </c>
      <c r="N551" s="214">
        <v>103.0</v>
      </c>
      <c r="O551" s="214">
        <v>78.0</v>
      </c>
      <c r="P551" s="214">
        <v>2.0</v>
      </c>
      <c r="Q551" s="214" t="b">
        <v>0</v>
      </c>
      <c r="R551" s="214">
        <v>100.0</v>
      </c>
      <c r="S551" s="214" t="s">
        <v>530</v>
      </c>
      <c r="T551" s="214" t="s">
        <v>365</v>
      </c>
      <c r="U551" s="214"/>
    </row>
    <row r="552">
      <c r="A552" s="221">
        <v>45923.06845153935</v>
      </c>
      <c r="B552" s="214" t="s">
        <v>249</v>
      </c>
      <c r="C552" s="214" t="s">
        <v>111</v>
      </c>
      <c r="D552" s="214">
        <v>1.0</v>
      </c>
      <c r="E552" s="214">
        <v>3.0</v>
      </c>
      <c r="F552" s="214" t="s">
        <v>1232</v>
      </c>
      <c r="G552" s="214" t="s">
        <v>61</v>
      </c>
      <c r="H552" s="214" t="s">
        <v>493</v>
      </c>
      <c r="I552" s="214"/>
      <c r="J552" s="222" t="s">
        <v>67</v>
      </c>
      <c r="K552" s="222">
        <v>-16.5</v>
      </c>
      <c r="L552" s="222" t="s">
        <v>67</v>
      </c>
      <c r="M552" s="222">
        <v>54.5</v>
      </c>
      <c r="N552" s="214">
        <v>79.0</v>
      </c>
      <c r="O552" s="214">
        <v>91.0</v>
      </c>
      <c r="P552" s="214">
        <v>2.0</v>
      </c>
      <c r="Q552" s="214" t="b">
        <v>0</v>
      </c>
      <c r="R552" s="214">
        <v>100.0</v>
      </c>
      <c r="S552" s="214" t="s">
        <v>317</v>
      </c>
      <c r="T552" s="214" t="s">
        <v>321</v>
      </c>
      <c r="U552" s="214"/>
    </row>
    <row r="553">
      <c r="A553" s="221">
        <v>45923.06845153935</v>
      </c>
      <c r="B553" s="214" t="s">
        <v>249</v>
      </c>
      <c r="C553" s="214" t="s">
        <v>137</v>
      </c>
      <c r="D553" s="214">
        <v>3.0</v>
      </c>
      <c r="E553" s="214">
        <v>1.0</v>
      </c>
      <c r="F553" s="214" t="s">
        <v>1233</v>
      </c>
      <c r="G553" s="214" t="s">
        <v>61</v>
      </c>
      <c r="H553" s="214" t="s">
        <v>395</v>
      </c>
      <c r="I553" s="214"/>
      <c r="J553" s="222" t="s">
        <v>67</v>
      </c>
      <c r="K553" s="222">
        <v>-2.5</v>
      </c>
      <c r="L553" s="222" t="s">
        <v>67</v>
      </c>
      <c r="M553" s="222">
        <v>45.5</v>
      </c>
      <c r="N553" s="214">
        <v>132.0</v>
      </c>
      <c r="O553" s="214">
        <v>58.0</v>
      </c>
      <c r="P553" s="214">
        <v>2.0</v>
      </c>
      <c r="Q553" s="214" t="b">
        <v>1</v>
      </c>
      <c r="R553" s="214">
        <v>100.0</v>
      </c>
      <c r="S553" s="214" t="s">
        <v>407</v>
      </c>
      <c r="T553" s="214" t="s">
        <v>321</v>
      </c>
      <c r="U553" s="214"/>
    </row>
    <row r="554">
      <c r="A554" s="221">
        <v>45923.06845153935</v>
      </c>
      <c r="B554" s="214" t="s">
        <v>249</v>
      </c>
      <c r="C554" s="214" t="s">
        <v>159</v>
      </c>
      <c r="D554" s="214">
        <v>1.0</v>
      </c>
      <c r="E554" s="214">
        <v>3.0</v>
      </c>
      <c r="F554" s="214" t="s">
        <v>1179</v>
      </c>
      <c r="G554" s="214" t="s">
        <v>61</v>
      </c>
      <c r="H554" s="214" t="s">
        <v>43</v>
      </c>
      <c r="I554" s="214"/>
      <c r="J554" s="222" t="s">
        <v>67</v>
      </c>
      <c r="K554" s="222">
        <v>2.5</v>
      </c>
      <c r="L554" s="222" t="s">
        <v>67</v>
      </c>
      <c r="M554" s="222">
        <v>43.5</v>
      </c>
      <c r="N554" s="214">
        <v>73.0</v>
      </c>
      <c r="O554" s="214">
        <v>117.0</v>
      </c>
      <c r="P554" s="214">
        <v>2.0</v>
      </c>
      <c r="Q554" s="214" t="b">
        <v>0</v>
      </c>
      <c r="R554" s="214">
        <v>100.0</v>
      </c>
      <c r="S554" s="214" t="s">
        <v>361</v>
      </c>
      <c r="T554" s="214" t="s">
        <v>365</v>
      </c>
      <c r="U554" s="214"/>
    </row>
    <row r="555">
      <c r="A555" s="221">
        <v>45923.06845153935</v>
      </c>
      <c r="B555" s="214"/>
      <c r="C555" s="214"/>
      <c r="D555" s="214"/>
      <c r="E555" s="214"/>
      <c r="F555" s="214"/>
      <c r="G555" s="214"/>
      <c r="H555" s="214"/>
      <c r="I555" s="214"/>
      <c r="J555" s="222"/>
      <c r="K555" s="222"/>
      <c r="L555" s="222"/>
      <c r="M555" s="222"/>
      <c r="N555" s="214"/>
      <c r="O555" s="214"/>
      <c r="P555" s="214"/>
      <c r="Q555" s="214"/>
      <c r="R555" s="214"/>
      <c r="S555" s="214"/>
      <c r="T555" s="214"/>
      <c r="U555" s="214"/>
    </row>
    <row r="556">
      <c r="A556" s="221">
        <v>45923.06845153935</v>
      </c>
      <c r="B556" s="214" t="s">
        <v>395</v>
      </c>
      <c r="C556" s="214" t="s">
        <v>101</v>
      </c>
      <c r="D556" s="214">
        <v>3.0</v>
      </c>
      <c r="E556" s="214">
        <v>0.0</v>
      </c>
      <c r="F556" s="214"/>
      <c r="G556" s="214"/>
      <c r="H556" s="214"/>
      <c r="I556" s="214"/>
      <c r="J556" s="222"/>
      <c r="K556" s="222"/>
      <c r="L556" s="222"/>
      <c r="M556" s="222"/>
      <c r="N556" s="214">
        <v>98.0</v>
      </c>
      <c r="O556" s="214">
        <v>29.0</v>
      </c>
      <c r="P556" s="214">
        <v>0.0</v>
      </c>
      <c r="Q556" s="214" t="b">
        <v>1</v>
      </c>
      <c r="R556" s="214">
        <v>59.0</v>
      </c>
      <c r="S556" s="214" t="s">
        <v>471</v>
      </c>
      <c r="T556" s="214" t="s">
        <v>321</v>
      </c>
      <c r="U556" s="214"/>
    </row>
    <row r="557">
      <c r="A557" s="221">
        <v>45923.06845153935</v>
      </c>
      <c r="B557" s="214" t="s">
        <v>395</v>
      </c>
      <c r="C557" s="214" t="s">
        <v>179</v>
      </c>
      <c r="D557" s="214">
        <v>4.0</v>
      </c>
      <c r="E557" s="214">
        <v>1.0</v>
      </c>
      <c r="F557" s="214" t="s">
        <v>1211</v>
      </c>
      <c r="G557" s="214" t="s">
        <v>61</v>
      </c>
      <c r="H557" s="214" t="s">
        <v>96</v>
      </c>
      <c r="I557" s="214"/>
      <c r="J557" s="222" t="s">
        <v>67</v>
      </c>
      <c r="K557" s="222">
        <v>-3.0</v>
      </c>
      <c r="L557" s="222" t="s">
        <v>67</v>
      </c>
      <c r="M557" s="222">
        <v>47.5</v>
      </c>
      <c r="N557" s="214">
        <v>164.0</v>
      </c>
      <c r="O557" s="214">
        <v>100.0</v>
      </c>
      <c r="P557" s="214">
        <v>2.0</v>
      </c>
      <c r="Q557" s="214" t="b">
        <v>0</v>
      </c>
      <c r="R557" s="214">
        <v>100.0</v>
      </c>
      <c r="S557" s="214" t="s">
        <v>525</v>
      </c>
      <c r="T557" s="214" t="s">
        <v>365</v>
      </c>
      <c r="U557" s="214"/>
    </row>
    <row r="558">
      <c r="A558" s="221">
        <v>45923.06845153935</v>
      </c>
      <c r="B558" s="214" t="s">
        <v>395</v>
      </c>
      <c r="C558" s="214" t="s">
        <v>213</v>
      </c>
      <c r="D558" s="214">
        <v>4.0</v>
      </c>
      <c r="E558" s="214">
        <v>0.0</v>
      </c>
      <c r="F558" s="214" t="s">
        <v>1229</v>
      </c>
      <c r="G558" s="214" t="s">
        <v>61</v>
      </c>
      <c r="H558" s="214" t="s">
        <v>249</v>
      </c>
      <c r="I558" s="214"/>
      <c r="J558" s="222" t="s">
        <v>67</v>
      </c>
      <c r="K558" s="222">
        <v>-28.5</v>
      </c>
      <c r="L558" s="222" t="s">
        <v>67</v>
      </c>
      <c r="M558" s="222">
        <v>52.5</v>
      </c>
      <c r="N558" s="214">
        <v>190.0</v>
      </c>
      <c r="O558" s="214">
        <v>51.0</v>
      </c>
      <c r="P558" s="214">
        <v>2.0</v>
      </c>
      <c r="Q558" s="214" t="b">
        <v>1</v>
      </c>
      <c r="R558" s="214">
        <v>100.0</v>
      </c>
      <c r="S558" s="214" t="s">
        <v>556</v>
      </c>
      <c r="T558" s="214" t="s">
        <v>321</v>
      </c>
      <c r="U558" s="214"/>
    </row>
    <row r="559">
      <c r="A559" s="221">
        <v>45923.06845153935</v>
      </c>
      <c r="B559" s="214" t="s">
        <v>395</v>
      </c>
      <c r="C559" s="214" t="s">
        <v>162</v>
      </c>
      <c r="D559" s="214">
        <v>3.0</v>
      </c>
      <c r="E559" s="214">
        <v>1.0</v>
      </c>
      <c r="F559" s="214" t="s">
        <v>1226</v>
      </c>
      <c r="G559" s="214" t="s">
        <v>61</v>
      </c>
      <c r="H559" s="214" t="s">
        <v>156</v>
      </c>
      <c r="I559" s="214"/>
      <c r="J559" s="222" t="s">
        <v>67</v>
      </c>
      <c r="K559" s="222">
        <v>-9.5</v>
      </c>
      <c r="L559" s="222" t="s">
        <v>67</v>
      </c>
      <c r="M559" s="222">
        <v>54.5</v>
      </c>
      <c r="N559" s="214">
        <v>148.0</v>
      </c>
      <c r="O559" s="214">
        <v>91.0</v>
      </c>
      <c r="P559" s="214">
        <v>2.0</v>
      </c>
      <c r="Q559" s="214" t="b">
        <v>1</v>
      </c>
      <c r="R559" s="214">
        <v>100.0</v>
      </c>
      <c r="S559" s="214" t="s">
        <v>535</v>
      </c>
      <c r="T559" s="214" t="s">
        <v>365</v>
      </c>
      <c r="U559" s="214"/>
    </row>
    <row r="560">
      <c r="A560" s="221">
        <v>45923.06845153935</v>
      </c>
      <c r="B560" s="214" t="s">
        <v>395</v>
      </c>
      <c r="C560" s="214" t="s">
        <v>114</v>
      </c>
      <c r="D560" s="214">
        <v>4.0</v>
      </c>
      <c r="E560" s="214">
        <v>0.0</v>
      </c>
      <c r="F560" s="214" t="s">
        <v>1234</v>
      </c>
      <c r="G560" s="214" t="s">
        <v>61</v>
      </c>
      <c r="H560" s="214" t="s">
        <v>493</v>
      </c>
      <c r="I560" s="214"/>
      <c r="J560" s="222" t="s">
        <v>67</v>
      </c>
      <c r="K560" s="222">
        <v>-22.5</v>
      </c>
      <c r="L560" s="222" t="s">
        <v>67</v>
      </c>
      <c r="M560" s="222">
        <v>52.5</v>
      </c>
      <c r="N560" s="214">
        <v>155.0</v>
      </c>
      <c r="O560" s="214">
        <v>77.0</v>
      </c>
      <c r="P560" s="214">
        <v>2.0</v>
      </c>
      <c r="Q560" s="214" t="b">
        <v>0</v>
      </c>
      <c r="R560" s="214">
        <v>100.0</v>
      </c>
      <c r="S560" s="214" t="s">
        <v>317</v>
      </c>
      <c r="T560" s="214" t="s">
        <v>321</v>
      </c>
      <c r="U560" s="214"/>
    </row>
    <row r="561">
      <c r="A561" s="221">
        <v>45923.06845153935</v>
      </c>
      <c r="B561" s="214" t="s">
        <v>395</v>
      </c>
      <c r="C561" s="214" t="s">
        <v>231</v>
      </c>
      <c r="D561" s="214">
        <v>2.0</v>
      </c>
      <c r="E561" s="214">
        <v>1.0</v>
      </c>
      <c r="F561" s="214" t="s">
        <v>1191</v>
      </c>
      <c r="G561" s="214" t="s">
        <v>61</v>
      </c>
      <c r="H561" s="214" t="s">
        <v>62</v>
      </c>
      <c r="I561" s="214"/>
      <c r="J561" s="222" t="s">
        <v>67</v>
      </c>
      <c r="K561" s="222">
        <v>-8.5</v>
      </c>
      <c r="L561" s="222" t="s">
        <v>67</v>
      </c>
      <c r="M561" s="222">
        <v>46.5</v>
      </c>
      <c r="N561" s="214">
        <v>90.0</v>
      </c>
      <c r="O561" s="214">
        <v>51.0</v>
      </c>
      <c r="P561" s="214">
        <v>2.0</v>
      </c>
      <c r="Q561" s="214" t="b">
        <v>1</v>
      </c>
      <c r="R561" s="214">
        <v>100.0</v>
      </c>
      <c r="S561" s="214" t="s">
        <v>441</v>
      </c>
      <c r="T561" s="214" t="s">
        <v>365</v>
      </c>
      <c r="U561" s="214"/>
    </row>
    <row r="562">
      <c r="A562" s="221">
        <v>45923.06845153935</v>
      </c>
      <c r="B562" s="214" t="s">
        <v>395</v>
      </c>
      <c r="C562" s="214" t="s">
        <v>175</v>
      </c>
      <c r="D562" s="214">
        <v>1.0</v>
      </c>
      <c r="E562" s="214">
        <v>3.0</v>
      </c>
      <c r="F562" s="214" t="s">
        <v>1227</v>
      </c>
      <c r="G562" s="214" t="s">
        <v>61</v>
      </c>
      <c r="H562" s="214" t="s">
        <v>156</v>
      </c>
      <c r="I562" s="214"/>
      <c r="J562" s="222" t="s">
        <v>67</v>
      </c>
      <c r="K562" s="222">
        <v>14.5</v>
      </c>
      <c r="L562" s="222" t="s">
        <v>67</v>
      </c>
      <c r="M562" s="222">
        <v>50.5</v>
      </c>
      <c r="N562" s="214">
        <v>50.0</v>
      </c>
      <c r="O562" s="214">
        <v>107.0</v>
      </c>
      <c r="P562" s="214">
        <v>2.0</v>
      </c>
      <c r="Q562" s="214" t="b">
        <v>1</v>
      </c>
      <c r="R562" s="214">
        <v>100.0</v>
      </c>
      <c r="S562" s="214" t="s">
        <v>530</v>
      </c>
      <c r="T562" s="214" t="s">
        <v>365</v>
      </c>
      <c r="U562" s="214"/>
    </row>
    <row r="563">
      <c r="A563" s="221">
        <v>45923.06845153935</v>
      </c>
      <c r="B563" s="214" t="s">
        <v>395</v>
      </c>
      <c r="C563" s="214" t="s">
        <v>99</v>
      </c>
      <c r="D563" s="214">
        <v>2.0</v>
      </c>
      <c r="E563" s="214">
        <v>2.0</v>
      </c>
      <c r="F563" s="214" t="s">
        <v>1185</v>
      </c>
      <c r="G563" s="214" t="s">
        <v>61</v>
      </c>
      <c r="H563" s="214" t="s">
        <v>95</v>
      </c>
      <c r="I563" s="214"/>
      <c r="J563" s="222" t="s">
        <v>67</v>
      </c>
      <c r="K563" s="222">
        <v>-21.0</v>
      </c>
      <c r="L563" s="222" t="s">
        <v>67</v>
      </c>
      <c r="M563" s="222">
        <v>53.5</v>
      </c>
      <c r="N563" s="214">
        <v>151.0</v>
      </c>
      <c r="O563" s="214">
        <v>109.0</v>
      </c>
      <c r="P563" s="214">
        <v>2.0</v>
      </c>
      <c r="Q563" s="214" t="b">
        <v>1</v>
      </c>
      <c r="R563" s="214">
        <v>100.0</v>
      </c>
      <c r="S563" s="214" t="s">
        <v>725</v>
      </c>
      <c r="T563" s="214"/>
      <c r="U563" s="214"/>
    </row>
    <row r="564">
      <c r="A564" s="221">
        <v>45923.06845153935</v>
      </c>
      <c r="B564" s="214" t="s">
        <v>395</v>
      </c>
      <c r="C564" s="214" t="s">
        <v>147</v>
      </c>
      <c r="D564" s="214">
        <v>3.0</v>
      </c>
      <c r="E564" s="214">
        <v>1.0</v>
      </c>
      <c r="F564" s="214" t="s">
        <v>1233</v>
      </c>
      <c r="G564" s="214" t="s">
        <v>61</v>
      </c>
      <c r="H564" s="214" t="s">
        <v>249</v>
      </c>
      <c r="I564" s="214"/>
      <c r="J564" s="222" t="s">
        <v>67</v>
      </c>
      <c r="K564" s="222">
        <v>2.5</v>
      </c>
      <c r="L564" s="222" t="s">
        <v>67</v>
      </c>
      <c r="M564" s="222">
        <v>45.5</v>
      </c>
      <c r="N564" s="214">
        <v>167.0</v>
      </c>
      <c r="O564" s="214">
        <v>96.0</v>
      </c>
      <c r="P564" s="214">
        <v>2.0</v>
      </c>
      <c r="Q564" s="214" t="b">
        <v>0</v>
      </c>
      <c r="R564" s="214">
        <v>100.0</v>
      </c>
      <c r="S564" s="214" t="s">
        <v>407</v>
      </c>
      <c r="T564" s="214" t="s">
        <v>321</v>
      </c>
      <c r="U564" s="214"/>
    </row>
    <row r="565">
      <c r="A565" s="221">
        <v>45923.06845153935</v>
      </c>
      <c r="B565" s="214" t="s">
        <v>395</v>
      </c>
      <c r="C565" s="214" t="s">
        <v>225</v>
      </c>
      <c r="D565" s="214">
        <v>1.0</v>
      </c>
      <c r="E565" s="214">
        <v>2.0</v>
      </c>
      <c r="F565" s="214" t="s">
        <v>1228</v>
      </c>
      <c r="G565" s="214" t="s">
        <v>532</v>
      </c>
      <c r="H565" s="214" t="s">
        <v>156</v>
      </c>
      <c r="I565" s="214"/>
      <c r="J565" s="222" t="s">
        <v>67</v>
      </c>
      <c r="K565" s="222">
        <v>1.5</v>
      </c>
      <c r="L565" s="222" t="s">
        <v>67</v>
      </c>
      <c r="M565" s="222">
        <v>51.5</v>
      </c>
      <c r="N565" s="214">
        <v>89.0</v>
      </c>
      <c r="O565" s="214">
        <v>96.0</v>
      </c>
      <c r="P565" s="214">
        <v>2.0</v>
      </c>
      <c r="Q565" s="214" t="b">
        <v>0</v>
      </c>
      <c r="R565" s="214">
        <v>100.0</v>
      </c>
      <c r="S565" s="214" t="s">
        <v>361</v>
      </c>
      <c r="T565" s="214" t="s">
        <v>365</v>
      </c>
      <c r="U565" s="214"/>
    </row>
    <row r="566">
      <c r="A566" s="221">
        <v>45923.06845153935</v>
      </c>
      <c r="B566" s="214"/>
      <c r="C566" s="214"/>
      <c r="D566" s="214"/>
      <c r="E566" s="214"/>
      <c r="F566" s="214"/>
      <c r="G566" s="214"/>
      <c r="H566" s="214"/>
      <c r="I566" s="214"/>
      <c r="J566" s="222"/>
      <c r="K566" s="222"/>
      <c r="L566" s="222"/>
      <c r="M566" s="222"/>
      <c r="N566" s="214"/>
      <c r="O566" s="214"/>
      <c r="P566" s="214"/>
      <c r="Q566" s="214"/>
      <c r="R566" s="214"/>
      <c r="S566" s="214"/>
      <c r="T566" s="214"/>
      <c r="U566" s="214"/>
    </row>
    <row r="567">
      <c r="A567" s="221">
        <v>45923.06845153935</v>
      </c>
      <c r="B567" s="214" t="s">
        <v>132</v>
      </c>
      <c r="C567" s="214" t="s">
        <v>187</v>
      </c>
      <c r="D567" s="214">
        <v>2.0</v>
      </c>
      <c r="E567" s="214">
        <v>2.0</v>
      </c>
      <c r="F567" s="214" t="s">
        <v>1204</v>
      </c>
      <c r="G567" s="214" t="s">
        <v>61</v>
      </c>
      <c r="H567" s="214" t="s">
        <v>224</v>
      </c>
      <c r="I567" s="214"/>
      <c r="J567" s="222" t="s">
        <v>67</v>
      </c>
      <c r="K567" s="222">
        <v>13.5</v>
      </c>
      <c r="L567" s="222" t="s">
        <v>67</v>
      </c>
      <c r="M567" s="222">
        <v>44.5</v>
      </c>
      <c r="N567" s="214">
        <v>67.0</v>
      </c>
      <c r="O567" s="214">
        <v>75.0</v>
      </c>
      <c r="P567" s="214">
        <v>2.0</v>
      </c>
      <c r="Q567" s="214" t="b">
        <v>0</v>
      </c>
      <c r="R567" s="214">
        <v>100.0</v>
      </c>
      <c r="S567" s="214" t="s">
        <v>525</v>
      </c>
      <c r="T567" s="214" t="s">
        <v>365</v>
      </c>
      <c r="U567" s="214"/>
    </row>
    <row r="568">
      <c r="A568" s="221">
        <v>45923.06845153935</v>
      </c>
      <c r="B568" s="214" t="s">
        <v>132</v>
      </c>
      <c r="C568" s="214" t="s">
        <v>131</v>
      </c>
      <c r="D568" s="214">
        <v>3.0</v>
      </c>
      <c r="E568" s="214">
        <v>1.0</v>
      </c>
      <c r="F568" s="214" t="s">
        <v>1198</v>
      </c>
      <c r="G568" s="214" t="s">
        <v>61</v>
      </c>
      <c r="H568" s="214" t="s">
        <v>311</v>
      </c>
      <c r="I568" s="214"/>
      <c r="J568" s="222" t="s">
        <v>67</v>
      </c>
      <c r="K568" s="222">
        <v>-39.5</v>
      </c>
      <c r="L568" s="222" t="s">
        <v>67</v>
      </c>
      <c r="M568" s="222">
        <v>51.5</v>
      </c>
      <c r="N568" s="214">
        <v>127.0</v>
      </c>
      <c r="O568" s="214">
        <v>31.0</v>
      </c>
      <c r="P568" s="214">
        <v>2.0</v>
      </c>
      <c r="Q568" s="214" t="b">
        <v>1</v>
      </c>
      <c r="R568" s="214">
        <v>100.0</v>
      </c>
      <c r="S568" s="214" t="s">
        <v>556</v>
      </c>
      <c r="T568" s="214" t="s">
        <v>321</v>
      </c>
      <c r="U568" s="214"/>
    </row>
    <row r="569">
      <c r="A569" s="221">
        <v>45923.06845153935</v>
      </c>
      <c r="B569" s="214" t="s">
        <v>132</v>
      </c>
      <c r="C569" s="214" t="s">
        <v>136</v>
      </c>
      <c r="D569" s="214">
        <v>4.0</v>
      </c>
      <c r="E569" s="214">
        <v>0.0</v>
      </c>
      <c r="F569" s="214" t="s">
        <v>1223</v>
      </c>
      <c r="G569" s="214" t="s">
        <v>61</v>
      </c>
      <c r="H569" s="214" t="s">
        <v>156</v>
      </c>
      <c r="I569" s="214"/>
      <c r="J569" s="222" t="s">
        <v>67</v>
      </c>
      <c r="K569" s="222">
        <v>-6.5</v>
      </c>
      <c r="L569" s="222" t="s">
        <v>67</v>
      </c>
      <c r="M569" s="222">
        <v>52.5</v>
      </c>
      <c r="N569" s="214">
        <v>219.0</v>
      </c>
      <c r="O569" s="214">
        <v>33.0</v>
      </c>
      <c r="P569" s="214">
        <v>2.0</v>
      </c>
      <c r="Q569" s="214" t="b">
        <v>1</v>
      </c>
      <c r="R569" s="214">
        <v>100.0</v>
      </c>
      <c r="S569" s="214" t="s">
        <v>407</v>
      </c>
      <c r="T569" s="214" t="s">
        <v>321</v>
      </c>
      <c r="U569" s="214"/>
    </row>
    <row r="570">
      <c r="A570" s="221">
        <v>45923.06845153935</v>
      </c>
      <c r="B570" s="214" t="s">
        <v>132</v>
      </c>
      <c r="C570" s="214" t="s">
        <v>210</v>
      </c>
      <c r="D570" s="214">
        <v>2.0</v>
      </c>
      <c r="E570" s="214">
        <v>2.0</v>
      </c>
      <c r="F570" s="214" t="s">
        <v>1224</v>
      </c>
      <c r="G570" s="214" t="s">
        <v>61</v>
      </c>
      <c r="H570" s="214" t="s">
        <v>156</v>
      </c>
      <c r="I570" s="214"/>
      <c r="J570" s="222" t="s">
        <v>67</v>
      </c>
      <c r="K570" s="222">
        <v>9.5</v>
      </c>
      <c r="L570" s="222" t="s">
        <v>67</v>
      </c>
      <c r="M570" s="222">
        <v>48.5</v>
      </c>
      <c r="N570" s="214">
        <v>89.0</v>
      </c>
      <c r="O570" s="214">
        <v>81.0</v>
      </c>
      <c r="P570" s="214">
        <v>2.0</v>
      </c>
      <c r="Q570" s="214" t="b">
        <v>0</v>
      </c>
      <c r="R570" s="214">
        <v>100.0</v>
      </c>
      <c r="S570" s="214" t="s">
        <v>556</v>
      </c>
      <c r="T570" s="214" t="s">
        <v>321</v>
      </c>
      <c r="U570" s="214"/>
    </row>
    <row r="571">
      <c r="A571" s="221">
        <v>45923.06845153935</v>
      </c>
      <c r="B571" s="214" t="s">
        <v>132</v>
      </c>
      <c r="C571" s="214" t="s">
        <v>215</v>
      </c>
      <c r="D571" s="214">
        <v>1.0</v>
      </c>
      <c r="E571" s="214">
        <v>3.0</v>
      </c>
      <c r="F571" s="214" t="s">
        <v>1183</v>
      </c>
      <c r="G571" s="214" t="s">
        <v>61</v>
      </c>
      <c r="H571" s="214" t="s">
        <v>95</v>
      </c>
      <c r="I571" s="214"/>
      <c r="J571" s="222" t="s">
        <v>67</v>
      </c>
      <c r="K571" s="222">
        <v>-4.5</v>
      </c>
      <c r="L571" s="222" t="s">
        <v>67</v>
      </c>
      <c r="M571" s="222">
        <v>57.5</v>
      </c>
      <c r="N571" s="214">
        <v>93.0</v>
      </c>
      <c r="O571" s="214">
        <v>132.0</v>
      </c>
      <c r="P571" s="214">
        <v>2.0</v>
      </c>
      <c r="Q571" s="214" t="b">
        <v>1</v>
      </c>
      <c r="R571" s="214">
        <v>100.0</v>
      </c>
      <c r="S571" s="214" t="s">
        <v>441</v>
      </c>
      <c r="T571" s="214" t="s">
        <v>365</v>
      </c>
      <c r="U571" s="214"/>
    </row>
    <row r="572">
      <c r="A572" s="221">
        <v>45923.06845153935</v>
      </c>
      <c r="B572" s="214" t="s">
        <v>132</v>
      </c>
      <c r="C572" s="214" t="s">
        <v>134</v>
      </c>
      <c r="D572" s="214">
        <v>2.0</v>
      </c>
      <c r="E572" s="214">
        <v>2.0</v>
      </c>
      <c r="F572" s="214" t="s">
        <v>1194</v>
      </c>
      <c r="G572" s="214" t="s">
        <v>61</v>
      </c>
      <c r="H572" s="214" t="s">
        <v>193</v>
      </c>
      <c r="I572" s="214"/>
      <c r="J572" s="222" t="s">
        <v>67</v>
      </c>
      <c r="K572" s="222">
        <v>12.5</v>
      </c>
      <c r="L572" s="222" t="s">
        <v>67</v>
      </c>
      <c r="M572" s="222">
        <v>54.5</v>
      </c>
      <c r="N572" s="214">
        <v>96.0</v>
      </c>
      <c r="O572" s="214">
        <v>85.0</v>
      </c>
      <c r="P572" s="214">
        <v>2.0</v>
      </c>
      <c r="Q572" s="214" t="b">
        <v>1</v>
      </c>
      <c r="R572" s="214">
        <v>100.0</v>
      </c>
      <c r="S572" s="214" t="s">
        <v>471</v>
      </c>
      <c r="T572" s="214" t="s">
        <v>321</v>
      </c>
      <c r="U572" s="214"/>
    </row>
    <row r="573">
      <c r="A573" s="221">
        <v>45923.06845153935</v>
      </c>
      <c r="B573" s="214" t="s">
        <v>132</v>
      </c>
      <c r="C573" s="214" t="s">
        <v>545</v>
      </c>
      <c r="D573" s="214">
        <v>2.0</v>
      </c>
      <c r="E573" s="214">
        <v>2.0</v>
      </c>
      <c r="F573" s="214" t="s">
        <v>1207</v>
      </c>
      <c r="G573" s="214" t="s">
        <v>61</v>
      </c>
      <c r="H573" s="214" t="s">
        <v>224</v>
      </c>
      <c r="I573" s="214"/>
      <c r="J573" s="222" t="s">
        <v>67</v>
      </c>
      <c r="K573" s="222">
        <v>-4.5</v>
      </c>
      <c r="L573" s="222" t="s">
        <v>67</v>
      </c>
      <c r="M573" s="222">
        <v>55.5</v>
      </c>
      <c r="N573" s="214">
        <v>96.0</v>
      </c>
      <c r="O573" s="214">
        <v>109.0</v>
      </c>
      <c r="P573" s="214">
        <v>2.0</v>
      </c>
      <c r="Q573" s="214" t="b">
        <v>0</v>
      </c>
      <c r="R573" s="214">
        <v>100.0</v>
      </c>
      <c r="S573" s="214" t="s">
        <v>535</v>
      </c>
      <c r="T573" s="214" t="s">
        <v>365</v>
      </c>
      <c r="U573" s="214"/>
    </row>
    <row r="574">
      <c r="A574" s="221">
        <v>45923.06845153935</v>
      </c>
      <c r="B574" s="214" t="s">
        <v>132</v>
      </c>
      <c r="C574" s="214" t="s">
        <v>107</v>
      </c>
      <c r="D574" s="214">
        <v>3.0</v>
      </c>
      <c r="E574" s="214">
        <v>1.0</v>
      </c>
      <c r="F574" s="214" t="s">
        <v>1231</v>
      </c>
      <c r="G574" s="214" t="s">
        <v>61</v>
      </c>
      <c r="H574" s="214" t="s">
        <v>249</v>
      </c>
      <c r="I574" s="214"/>
      <c r="J574" s="222" t="s">
        <v>67</v>
      </c>
      <c r="K574" s="222">
        <v>12.5</v>
      </c>
      <c r="L574" s="222" t="s">
        <v>67</v>
      </c>
      <c r="M574" s="222">
        <v>61.5</v>
      </c>
      <c r="N574" s="214">
        <v>100.0</v>
      </c>
      <c r="O574" s="214">
        <v>106.0</v>
      </c>
      <c r="P574" s="214">
        <v>2.0</v>
      </c>
      <c r="Q574" s="214" t="b">
        <v>1</v>
      </c>
      <c r="R574" s="214">
        <v>100.0</v>
      </c>
      <c r="S574" s="214" t="s">
        <v>361</v>
      </c>
      <c r="T574" s="214" t="s">
        <v>365</v>
      </c>
      <c r="U574" s="214"/>
    </row>
    <row r="575">
      <c r="A575" s="221">
        <v>45923.06845153935</v>
      </c>
      <c r="B575" s="214" t="s">
        <v>132</v>
      </c>
      <c r="C575" s="214" t="s">
        <v>168</v>
      </c>
      <c r="D575" s="214">
        <v>2.0</v>
      </c>
      <c r="E575" s="214">
        <v>2.0</v>
      </c>
      <c r="F575" s="214" t="s">
        <v>1235</v>
      </c>
      <c r="G575" s="214" t="s">
        <v>61</v>
      </c>
      <c r="H575" s="214"/>
      <c r="I575" s="214"/>
      <c r="J575" s="222" t="s">
        <v>67</v>
      </c>
      <c r="K575" s="222">
        <v>-28.5</v>
      </c>
      <c r="L575" s="222" t="s">
        <v>67</v>
      </c>
      <c r="M575" s="222">
        <v>45.5</v>
      </c>
      <c r="N575" s="214">
        <v>85.0</v>
      </c>
      <c r="O575" s="214">
        <v>132.0</v>
      </c>
      <c r="P575" s="214">
        <v>2.0</v>
      </c>
      <c r="Q575" s="214" t="b">
        <v>0</v>
      </c>
      <c r="R575" s="214">
        <v>100.0</v>
      </c>
      <c r="S575" s="214" t="s">
        <v>530</v>
      </c>
      <c r="T575" s="214" t="s">
        <v>365</v>
      </c>
      <c r="U575" s="214"/>
    </row>
    <row r="576">
      <c r="A576" s="221">
        <v>45923.06845153935</v>
      </c>
      <c r="B576" s="214" t="s">
        <v>132</v>
      </c>
      <c r="C576" s="214" t="s">
        <v>115</v>
      </c>
      <c r="D576" s="214">
        <v>3.0</v>
      </c>
      <c r="E576" s="214">
        <v>0.0</v>
      </c>
      <c r="F576" s="214" t="s">
        <v>1210</v>
      </c>
      <c r="G576" s="214" t="s">
        <v>61</v>
      </c>
      <c r="H576" s="214" t="s">
        <v>224</v>
      </c>
      <c r="I576" s="214"/>
      <c r="J576" s="222" t="s">
        <v>67</v>
      </c>
      <c r="K576" s="222">
        <v>-26.5</v>
      </c>
      <c r="L576" s="222" t="s">
        <v>67</v>
      </c>
      <c r="M576" s="222">
        <v>51.5</v>
      </c>
      <c r="N576" s="214">
        <v>119.0</v>
      </c>
      <c r="O576" s="214">
        <v>48.0</v>
      </c>
      <c r="P576" s="214">
        <v>2.0</v>
      </c>
      <c r="Q576" s="214" t="b">
        <v>1</v>
      </c>
      <c r="R576" s="214">
        <v>100.0</v>
      </c>
      <c r="S576" s="214" t="s">
        <v>317</v>
      </c>
      <c r="T576" s="214" t="s">
        <v>321</v>
      </c>
      <c r="U576" s="214"/>
    </row>
    <row r="577">
      <c r="A577" s="221">
        <v>45923.06845153935</v>
      </c>
      <c r="B577" s="214"/>
      <c r="C577" s="214"/>
      <c r="D577" s="214"/>
      <c r="E577" s="214"/>
      <c r="F577" s="214"/>
      <c r="G577" s="214"/>
      <c r="H577" s="214"/>
      <c r="I577" s="214"/>
      <c r="J577" s="222"/>
      <c r="K577" s="222"/>
      <c r="L577" s="222"/>
      <c r="M577" s="222"/>
      <c r="N577" s="214"/>
      <c r="O577" s="214"/>
      <c r="P577" s="214"/>
      <c r="Q577" s="214"/>
      <c r="R577" s="214"/>
      <c r="S577" s="214"/>
      <c r="T577" s="214"/>
      <c r="U577" s="214"/>
    </row>
    <row r="578">
      <c r="A578" s="221">
        <v>45923.06845153935</v>
      </c>
      <c r="B578" s="214" t="s">
        <v>493</v>
      </c>
      <c r="C578" s="214" t="s">
        <v>110</v>
      </c>
      <c r="D578" s="214">
        <v>1.0</v>
      </c>
      <c r="E578" s="214">
        <v>2.0</v>
      </c>
      <c r="F578" s="214"/>
      <c r="G578" s="214"/>
      <c r="H578" s="214"/>
      <c r="I578" s="214"/>
      <c r="J578" s="222"/>
      <c r="K578" s="222"/>
      <c r="L578" s="222"/>
      <c r="M578" s="222"/>
      <c r="N578" s="214">
        <v>126.0</v>
      </c>
      <c r="O578" s="214">
        <v>82.0</v>
      </c>
      <c r="P578" s="214">
        <v>0.0</v>
      </c>
      <c r="Q578" s="214" t="b">
        <v>1</v>
      </c>
      <c r="R578" s="214">
        <v>59.0</v>
      </c>
      <c r="S578" s="214" t="s">
        <v>317</v>
      </c>
      <c r="T578" s="214" t="s">
        <v>321</v>
      </c>
      <c r="U578" s="214"/>
    </row>
    <row r="579">
      <c r="A579" s="221">
        <v>45923.06845153935</v>
      </c>
      <c r="B579" s="214" t="s">
        <v>493</v>
      </c>
      <c r="C579" s="214" t="s">
        <v>143</v>
      </c>
      <c r="D579" s="214">
        <v>1.0</v>
      </c>
      <c r="E579" s="214">
        <v>2.0</v>
      </c>
      <c r="F579" s="214"/>
      <c r="G579" s="214"/>
      <c r="H579" s="214"/>
      <c r="I579" s="214"/>
      <c r="J579" s="222"/>
      <c r="K579" s="222"/>
      <c r="L579" s="222"/>
      <c r="M579" s="222"/>
      <c r="N579" s="214">
        <v>59.0</v>
      </c>
      <c r="O579" s="214">
        <v>64.0</v>
      </c>
      <c r="P579" s="214">
        <v>0.0</v>
      </c>
      <c r="Q579" s="214" t="b">
        <v>1</v>
      </c>
      <c r="R579" s="214">
        <v>59.0</v>
      </c>
      <c r="S579" s="214" t="s">
        <v>407</v>
      </c>
      <c r="T579" s="214" t="s">
        <v>321</v>
      </c>
      <c r="U579" s="214"/>
    </row>
    <row r="580">
      <c r="A580" s="221">
        <v>45923.06845153935</v>
      </c>
      <c r="B580" s="214" t="s">
        <v>493</v>
      </c>
      <c r="C580" s="214" t="s">
        <v>188</v>
      </c>
      <c r="D580" s="214">
        <v>3.0</v>
      </c>
      <c r="E580" s="214">
        <v>0.0</v>
      </c>
      <c r="F580" s="214"/>
      <c r="G580" s="214"/>
      <c r="H580" s="214"/>
      <c r="I580" s="214"/>
      <c r="J580" s="222"/>
      <c r="K580" s="222"/>
      <c r="L580" s="222"/>
      <c r="M580" s="222"/>
      <c r="N580" s="214">
        <v>111.0</v>
      </c>
      <c r="O580" s="214">
        <v>26.0</v>
      </c>
      <c r="P580" s="214">
        <v>0.0</v>
      </c>
      <c r="Q580" s="214" t="b">
        <v>1</v>
      </c>
      <c r="R580" s="214">
        <v>59.0</v>
      </c>
      <c r="S580" s="214" t="s">
        <v>471</v>
      </c>
      <c r="T580" s="214" t="s">
        <v>321</v>
      </c>
      <c r="U580" s="214"/>
    </row>
    <row r="581">
      <c r="A581" s="221">
        <v>45923.06845153935</v>
      </c>
      <c r="B581" s="214" t="s">
        <v>493</v>
      </c>
      <c r="C581" s="214" t="s">
        <v>123</v>
      </c>
      <c r="D581" s="214">
        <v>2.0</v>
      </c>
      <c r="E581" s="214">
        <v>1.0</v>
      </c>
      <c r="F581" s="214"/>
      <c r="G581" s="214"/>
      <c r="H581" s="214"/>
      <c r="I581" s="214"/>
      <c r="J581" s="222"/>
      <c r="K581" s="222"/>
      <c r="L581" s="222"/>
      <c r="M581" s="222"/>
      <c r="N581" s="214">
        <v>76.0</v>
      </c>
      <c r="O581" s="214">
        <v>53.0</v>
      </c>
      <c r="P581" s="214">
        <v>0.0</v>
      </c>
      <c r="Q581" s="214" t="b">
        <v>1</v>
      </c>
      <c r="R581" s="214">
        <v>59.0</v>
      </c>
      <c r="S581" s="214" t="s">
        <v>317</v>
      </c>
      <c r="T581" s="214" t="s">
        <v>321</v>
      </c>
      <c r="U581" s="214"/>
    </row>
    <row r="582">
      <c r="A582" s="221">
        <v>45923.06845153935</v>
      </c>
      <c r="B582" s="214" t="s">
        <v>493</v>
      </c>
      <c r="C582" s="214" t="s">
        <v>195</v>
      </c>
      <c r="D582" s="214">
        <v>1.0</v>
      </c>
      <c r="E582" s="214">
        <v>3.0</v>
      </c>
      <c r="F582" s="214" t="s">
        <v>1212</v>
      </c>
      <c r="G582" s="214" t="s">
        <v>61</v>
      </c>
      <c r="H582" s="214" t="s">
        <v>96</v>
      </c>
      <c r="I582" s="214"/>
      <c r="J582" s="222" t="s">
        <v>67</v>
      </c>
      <c r="K582" s="222">
        <v>15.5</v>
      </c>
      <c r="L582" s="222" t="s">
        <v>67</v>
      </c>
      <c r="M582" s="222">
        <v>48.5</v>
      </c>
      <c r="N582" s="214">
        <v>73.0</v>
      </c>
      <c r="O582" s="214">
        <v>118.0</v>
      </c>
      <c r="P582" s="214">
        <v>2.0</v>
      </c>
      <c r="Q582" s="214" t="b">
        <v>0</v>
      </c>
      <c r="R582" s="214">
        <v>100.0</v>
      </c>
      <c r="S582" s="214" t="s">
        <v>317</v>
      </c>
      <c r="T582" s="214" t="s">
        <v>321</v>
      </c>
      <c r="U582" s="214"/>
    </row>
    <row r="583">
      <c r="A583" s="221">
        <v>45923.06845153935</v>
      </c>
      <c r="B583" s="214" t="s">
        <v>493</v>
      </c>
      <c r="C583" s="214" t="s">
        <v>146</v>
      </c>
      <c r="D583" s="214">
        <v>2.0</v>
      </c>
      <c r="E583" s="214">
        <v>2.0</v>
      </c>
      <c r="F583" s="214" t="s">
        <v>1213</v>
      </c>
      <c r="G583" s="214" t="s">
        <v>61</v>
      </c>
      <c r="H583" s="214" t="s">
        <v>96</v>
      </c>
      <c r="I583" s="214"/>
      <c r="J583" s="222" t="s">
        <v>67</v>
      </c>
      <c r="K583" s="222">
        <v>24.5</v>
      </c>
      <c r="L583" s="222" t="s">
        <v>67</v>
      </c>
      <c r="M583" s="222">
        <v>51.5</v>
      </c>
      <c r="N583" s="214">
        <v>112.0</v>
      </c>
      <c r="O583" s="214">
        <v>106.0</v>
      </c>
      <c r="P583" s="214">
        <v>2.0</v>
      </c>
      <c r="Q583" s="214" t="b">
        <v>1</v>
      </c>
      <c r="R583" s="214">
        <v>100.0</v>
      </c>
      <c r="S583" s="214" t="s">
        <v>407</v>
      </c>
      <c r="T583" s="214" t="s">
        <v>321</v>
      </c>
      <c r="U583" s="214"/>
    </row>
    <row r="584">
      <c r="A584" s="221">
        <v>45923.06845153935</v>
      </c>
      <c r="B584" s="214" t="s">
        <v>493</v>
      </c>
      <c r="C584" s="214" t="s">
        <v>106</v>
      </c>
      <c r="D584" s="214">
        <v>2.0</v>
      </c>
      <c r="E584" s="214">
        <v>2.0</v>
      </c>
      <c r="F584" s="214" t="s">
        <v>1234</v>
      </c>
      <c r="G584" s="214" t="s">
        <v>61</v>
      </c>
      <c r="H584" s="214" t="s">
        <v>395</v>
      </c>
      <c r="I584" s="214"/>
      <c r="J584" s="222" t="s">
        <v>67</v>
      </c>
      <c r="K584" s="222">
        <v>22.5</v>
      </c>
      <c r="L584" s="222" t="s">
        <v>67</v>
      </c>
      <c r="M584" s="222">
        <v>52.5</v>
      </c>
      <c r="N584" s="214">
        <v>124.0</v>
      </c>
      <c r="O584" s="214">
        <v>104.0</v>
      </c>
      <c r="P584" s="214">
        <v>2.0</v>
      </c>
      <c r="Q584" s="214" t="b">
        <v>1</v>
      </c>
      <c r="R584" s="214">
        <v>100.0</v>
      </c>
      <c r="S584" s="214" t="s">
        <v>361</v>
      </c>
      <c r="T584" s="214" t="s">
        <v>365</v>
      </c>
      <c r="U584" s="214"/>
    </row>
    <row r="585">
      <c r="A585" s="221">
        <v>45923.06845153935</v>
      </c>
      <c r="B585" s="214" t="s">
        <v>493</v>
      </c>
      <c r="C585" s="214" t="s">
        <v>120</v>
      </c>
      <c r="D585" s="214">
        <v>3.0</v>
      </c>
      <c r="E585" s="214">
        <v>1.0</v>
      </c>
      <c r="F585" s="214" t="s">
        <v>1232</v>
      </c>
      <c r="G585" s="214" t="s">
        <v>61</v>
      </c>
      <c r="H585" s="214" t="s">
        <v>249</v>
      </c>
      <c r="I585" s="214"/>
      <c r="J585" s="222" t="s">
        <v>67</v>
      </c>
      <c r="K585" s="222">
        <v>16.5</v>
      </c>
      <c r="L585" s="222" t="s">
        <v>67</v>
      </c>
      <c r="M585" s="222">
        <v>54.5</v>
      </c>
      <c r="N585" s="214">
        <v>153.0</v>
      </c>
      <c r="O585" s="214">
        <v>110.0</v>
      </c>
      <c r="P585" s="214">
        <v>2.0</v>
      </c>
      <c r="Q585" s="214" t="b">
        <v>1</v>
      </c>
      <c r="R585" s="214">
        <v>100.0</v>
      </c>
      <c r="S585" s="214" t="s">
        <v>317</v>
      </c>
      <c r="T585" s="214" t="s">
        <v>321</v>
      </c>
      <c r="U585" s="214"/>
    </row>
    <row r="586">
      <c r="A586" s="221">
        <v>45923.06845153935</v>
      </c>
      <c r="B586" s="214" t="s">
        <v>493</v>
      </c>
      <c r="C586" s="214" t="s">
        <v>138</v>
      </c>
      <c r="D586" s="214">
        <v>4.0</v>
      </c>
      <c r="E586" s="214">
        <v>0.0</v>
      </c>
      <c r="F586" s="214" t="s">
        <v>1222</v>
      </c>
      <c r="G586" s="214" t="s">
        <v>61</v>
      </c>
      <c r="H586" s="214" t="s">
        <v>238</v>
      </c>
      <c r="I586" s="214"/>
      <c r="J586" s="222" t="s">
        <v>67</v>
      </c>
      <c r="K586" s="222">
        <v>9.5</v>
      </c>
      <c r="L586" s="222" t="s">
        <v>67</v>
      </c>
      <c r="M586" s="222">
        <v>44.5</v>
      </c>
      <c r="N586" s="214">
        <v>130.0</v>
      </c>
      <c r="O586" s="214">
        <v>43.0</v>
      </c>
      <c r="P586" s="214">
        <v>2.0</v>
      </c>
      <c r="Q586" s="214" t="b">
        <v>1</v>
      </c>
      <c r="R586" s="214">
        <v>100.0</v>
      </c>
      <c r="S586" s="214" t="s">
        <v>407</v>
      </c>
      <c r="T586" s="214" t="s">
        <v>321</v>
      </c>
      <c r="U586" s="214"/>
    </row>
    <row r="587">
      <c r="A587" s="221">
        <v>45923.06845153935</v>
      </c>
      <c r="B587" s="214" t="s">
        <v>493</v>
      </c>
      <c r="C587" s="214" t="s">
        <v>108</v>
      </c>
      <c r="D587" s="214">
        <v>2.0</v>
      </c>
      <c r="E587" s="214">
        <v>2.0</v>
      </c>
      <c r="F587" s="214" t="s">
        <v>1217</v>
      </c>
      <c r="G587" s="214" t="s">
        <v>61</v>
      </c>
      <c r="H587" s="214" t="s">
        <v>96</v>
      </c>
      <c r="I587" s="214"/>
      <c r="J587" s="222" t="s">
        <v>67</v>
      </c>
      <c r="K587" s="222">
        <v>11.5</v>
      </c>
      <c r="L587" s="222" t="s">
        <v>67</v>
      </c>
      <c r="M587" s="222">
        <v>54.5</v>
      </c>
      <c r="N587" s="214">
        <v>91.0</v>
      </c>
      <c r="O587" s="214">
        <v>82.0</v>
      </c>
      <c r="P587" s="214">
        <v>2.0</v>
      </c>
      <c r="Q587" s="214" t="b">
        <v>0</v>
      </c>
      <c r="R587" s="214">
        <v>100.0</v>
      </c>
      <c r="S587" s="214" t="s">
        <v>361</v>
      </c>
      <c r="T587" s="214" t="s">
        <v>365</v>
      </c>
      <c r="U587" s="214"/>
    </row>
    <row r="588">
      <c r="A588" s="221">
        <v>45923.06845153935</v>
      </c>
      <c r="B588" s="214"/>
      <c r="C588" s="214"/>
      <c r="D588" s="214"/>
      <c r="E588" s="214"/>
      <c r="F588" s="214"/>
      <c r="G588" s="214"/>
      <c r="H588" s="214"/>
      <c r="I588" s="214"/>
      <c r="J588" s="222"/>
      <c r="K588" s="222"/>
      <c r="L588" s="222"/>
      <c r="M588" s="222"/>
      <c r="N588" s="214"/>
      <c r="O588" s="214"/>
      <c r="P588" s="214"/>
      <c r="Q588" s="214"/>
      <c r="R588" s="214"/>
      <c r="S588" s="214"/>
      <c r="T588" s="214"/>
      <c r="U588" s="214"/>
    </row>
    <row r="589">
      <c r="A589" s="221">
        <v>45923.06845153935</v>
      </c>
      <c r="B589" s="214" t="s">
        <v>493</v>
      </c>
      <c r="C589" s="214" t="s">
        <v>205</v>
      </c>
      <c r="D589" s="214">
        <v>2.0</v>
      </c>
      <c r="E589" s="214">
        <v>1.0</v>
      </c>
      <c r="F589" s="214"/>
      <c r="G589" s="214"/>
      <c r="H589" s="214"/>
      <c r="I589" s="214"/>
      <c r="J589" s="222"/>
      <c r="K589" s="222"/>
      <c r="L589" s="222"/>
      <c r="M589" s="222"/>
      <c r="N589" s="214">
        <v>95.0</v>
      </c>
      <c r="O589" s="214">
        <v>69.0</v>
      </c>
      <c r="P589" s="214">
        <v>0.0</v>
      </c>
      <c r="Q589" s="214" t="b">
        <v>1</v>
      </c>
      <c r="R589" s="214">
        <v>59.0</v>
      </c>
      <c r="S589" s="214" t="s">
        <v>556</v>
      </c>
      <c r="T589" s="214" t="s">
        <v>321</v>
      </c>
      <c r="U589" s="214"/>
    </row>
    <row r="590">
      <c r="A590" s="221">
        <v>45923.06845153935</v>
      </c>
      <c r="B590" s="214" t="s">
        <v>493</v>
      </c>
      <c r="C590" s="214" t="s">
        <v>219</v>
      </c>
      <c r="D590" s="214">
        <v>2.0</v>
      </c>
      <c r="E590" s="214">
        <v>1.0</v>
      </c>
      <c r="F590" s="214" t="s">
        <v>1218</v>
      </c>
      <c r="G590" s="214" t="s">
        <v>61</v>
      </c>
      <c r="H590" s="214" t="s">
        <v>238</v>
      </c>
      <c r="I590" s="214"/>
      <c r="J590" s="222" t="s">
        <v>67</v>
      </c>
      <c r="K590" s="222">
        <v>6.5</v>
      </c>
      <c r="L590" s="222" t="s">
        <v>67</v>
      </c>
      <c r="M590" s="222">
        <v>47.5</v>
      </c>
      <c r="N590" s="214">
        <v>60.0</v>
      </c>
      <c r="O590" s="214">
        <v>98.0</v>
      </c>
      <c r="P590" s="214">
        <v>2.0</v>
      </c>
      <c r="Q590" s="214" t="b">
        <v>1</v>
      </c>
      <c r="R590" s="214">
        <v>100.0</v>
      </c>
      <c r="S590" s="214" t="s">
        <v>441</v>
      </c>
      <c r="T590" s="214" t="s">
        <v>365</v>
      </c>
      <c r="U590" s="214"/>
    </row>
    <row r="591">
      <c r="A591" s="221">
        <v>45923.06845153935</v>
      </c>
      <c r="B591" s="214" t="s">
        <v>493</v>
      </c>
      <c r="C591" s="214" t="s">
        <v>546</v>
      </c>
      <c r="D591" s="214">
        <v>2.0</v>
      </c>
      <c r="E591" s="214">
        <v>2.0</v>
      </c>
      <c r="F591" s="214" t="s">
        <v>1230</v>
      </c>
      <c r="G591" s="214" t="s">
        <v>61</v>
      </c>
      <c r="H591" s="214" t="s">
        <v>249</v>
      </c>
      <c r="I591" s="214"/>
      <c r="J591" s="222" t="s">
        <v>67</v>
      </c>
      <c r="K591" s="222">
        <v>3.5</v>
      </c>
      <c r="L591" s="222" t="s">
        <v>67</v>
      </c>
      <c r="M591" s="222">
        <v>50.5</v>
      </c>
      <c r="N591" s="214">
        <v>113.0</v>
      </c>
      <c r="O591" s="214">
        <v>106.0</v>
      </c>
      <c r="P591" s="214">
        <v>2.0</v>
      </c>
      <c r="Q591" s="214" t="b">
        <v>0</v>
      </c>
      <c r="R591" s="214">
        <v>100.0</v>
      </c>
      <c r="S591" s="214" t="s">
        <v>441</v>
      </c>
      <c r="T591" s="214" t="s">
        <v>365</v>
      </c>
      <c r="U591" s="214"/>
    </row>
    <row r="592">
      <c r="A592" s="221">
        <v>45923.06845153935</v>
      </c>
      <c r="B592" s="214" t="s">
        <v>493</v>
      </c>
      <c r="C592" s="214" t="s">
        <v>200</v>
      </c>
      <c r="D592" s="214">
        <v>2.0</v>
      </c>
      <c r="E592" s="214">
        <v>2.0</v>
      </c>
      <c r="F592" s="214" t="s">
        <v>1189</v>
      </c>
      <c r="G592" s="214" t="s">
        <v>61</v>
      </c>
      <c r="H592" s="214" t="s">
        <v>62</v>
      </c>
      <c r="I592" s="214"/>
      <c r="J592" s="222" t="s">
        <v>67</v>
      </c>
      <c r="K592" s="222">
        <v>19.5</v>
      </c>
      <c r="L592" s="222" t="s">
        <v>67</v>
      </c>
      <c r="M592" s="222">
        <v>52.5</v>
      </c>
      <c r="N592" s="214">
        <v>83.0</v>
      </c>
      <c r="O592" s="214">
        <v>141.0</v>
      </c>
      <c r="P592" s="214">
        <v>2.0</v>
      </c>
      <c r="Q592" s="214" t="b">
        <v>0</v>
      </c>
      <c r="R592" s="214">
        <v>100.0</v>
      </c>
      <c r="S592" s="214" t="s">
        <v>680</v>
      </c>
      <c r="T592" s="214" t="s">
        <v>365</v>
      </c>
      <c r="U592" s="214"/>
    </row>
    <row r="593">
      <c r="A593" s="221">
        <v>45923.06845153935</v>
      </c>
      <c r="B593" s="214" t="s">
        <v>493</v>
      </c>
      <c r="C593" s="214" t="s">
        <v>207</v>
      </c>
      <c r="D593" s="214">
        <v>4.0</v>
      </c>
      <c r="E593" s="214">
        <v>0.0</v>
      </c>
      <c r="F593" s="214" t="s">
        <v>1201</v>
      </c>
      <c r="G593" s="214" t="s">
        <v>61</v>
      </c>
      <c r="H593" s="214" t="s">
        <v>311</v>
      </c>
      <c r="I593" s="214"/>
      <c r="J593" s="222" t="s">
        <v>67</v>
      </c>
      <c r="K593" s="222">
        <v>-21.5</v>
      </c>
      <c r="L593" s="222" t="s">
        <v>67</v>
      </c>
      <c r="M593" s="222">
        <v>48.5</v>
      </c>
      <c r="N593" s="214">
        <v>159.0</v>
      </c>
      <c r="O593" s="214">
        <v>47.0</v>
      </c>
      <c r="P593" s="214">
        <v>2.0</v>
      </c>
      <c r="Q593" s="214" t="b">
        <v>1</v>
      </c>
      <c r="R593" s="214">
        <v>100.0</v>
      </c>
      <c r="S593" s="214" t="s">
        <v>556</v>
      </c>
      <c r="T593" s="214" t="s">
        <v>321</v>
      </c>
      <c r="U593" s="214"/>
    </row>
    <row r="594">
      <c r="A594" s="221">
        <v>45930.06847215278</v>
      </c>
      <c r="B594" s="214" t="s">
        <v>43</v>
      </c>
      <c r="C594" s="214" t="s">
        <v>118</v>
      </c>
      <c r="D594" s="214">
        <v>2.0</v>
      </c>
      <c r="E594" s="214">
        <v>2.0</v>
      </c>
      <c r="F594" s="214"/>
      <c r="G594" s="214"/>
      <c r="H594" s="214"/>
      <c r="I594" s="214"/>
      <c r="J594" s="222"/>
      <c r="K594" s="222"/>
      <c r="L594" s="222"/>
      <c r="M594" s="222"/>
      <c r="N594" s="214">
        <v>84.0</v>
      </c>
      <c r="O594" s="214">
        <v>91.0</v>
      </c>
      <c r="P594" s="214">
        <v>0.0</v>
      </c>
      <c r="Q594" s="214" t="b">
        <v>1</v>
      </c>
      <c r="R594" s="214">
        <v>59.0</v>
      </c>
      <c r="S594" s="214" t="s">
        <v>317</v>
      </c>
      <c r="T594" s="214" t="s">
        <v>321</v>
      </c>
      <c r="U594" s="214"/>
    </row>
    <row r="595">
      <c r="A595" s="221">
        <v>45930.06847215278</v>
      </c>
      <c r="B595" s="214" t="s">
        <v>43</v>
      </c>
      <c r="C595" s="214" t="s">
        <v>133</v>
      </c>
      <c r="D595" s="214">
        <v>4.0</v>
      </c>
      <c r="E595" s="214">
        <v>0.0</v>
      </c>
      <c r="F595" s="214"/>
      <c r="G595" s="214"/>
      <c r="H595" s="214"/>
      <c r="I595" s="214"/>
      <c r="J595" s="222"/>
      <c r="K595" s="222"/>
      <c r="L595" s="222"/>
      <c r="M595" s="222"/>
      <c r="N595" s="214">
        <v>208.0</v>
      </c>
      <c r="O595" s="214">
        <v>45.0</v>
      </c>
      <c r="P595" s="214">
        <v>0.0</v>
      </c>
      <c r="Q595" s="214" t="b">
        <v>1</v>
      </c>
      <c r="R595" s="214">
        <v>59.0</v>
      </c>
      <c r="S595" s="214" t="s">
        <v>471</v>
      </c>
      <c r="T595" s="214" t="s">
        <v>321</v>
      </c>
      <c r="U595" s="214"/>
    </row>
    <row r="596">
      <c r="A596" s="221">
        <v>45930.06847215278</v>
      </c>
      <c r="B596" s="214" t="s">
        <v>43</v>
      </c>
      <c r="C596" s="214" t="s">
        <v>422</v>
      </c>
      <c r="D596" s="214">
        <v>2.0</v>
      </c>
      <c r="E596" s="214">
        <v>2.0</v>
      </c>
      <c r="F596" s="214" t="s">
        <v>1236</v>
      </c>
      <c r="G596" s="214" t="s">
        <v>61</v>
      </c>
      <c r="H596" s="214" t="s">
        <v>95</v>
      </c>
      <c r="I596" s="214"/>
      <c r="J596" s="222" t="s">
        <v>67</v>
      </c>
      <c r="K596" s="222">
        <v>15.5</v>
      </c>
      <c r="L596" s="222" t="s">
        <v>67</v>
      </c>
      <c r="M596" s="222">
        <v>60.5</v>
      </c>
      <c r="N596" s="214">
        <v>90.0</v>
      </c>
      <c r="O596" s="214">
        <v>109.0</v>
      </c>
      <c r="P596" s="214">
        <v>2.0</v>
      </c>
      <c r="Q596" s="214" t="b">
        <v>1</v>
      </c>
      <c r="R596" s="214">
        <v>100.0</v>
      </c>
      <c r="S596" s="214" t="s">
        <v>441</v>
      </c>
      <c r="T596" s="214" t="s">
        <v>365</v>
      </c>
      <c r="U596" s="214"/>
    </row>
    <row r="597">
      <c r="A597" s="221">
        <v>45930.06847215278</v>
      </c>
      <c r="B597" s="214" t="s">
        <v>43</v>
      </c>
      <c r="C597" s="214" t="s">
        <v>527</v>
      </c>
      <c r="D597" s="214">
        <v>0.0</v>
      </c>
      <c r="E597" s="214">
        <v>4.0</v>
      </c>
      <c r="F597" s="214" t="s">
        <v>1237</v>
      </c>
      <c r="G597" s="214" t="s">
        <v>61</v>
      </c>
      <c r="H597" s="214" t="s">
        <v>156</v>
      </c>
      <c r="I597" s="214"/>
      <c r="J597" s="222" t="s">
        <v>67</v>
      </c>
      <c r="K597" s="222">
        <v>44.5</v>
      </c>
      <c r="L597" s="222" t="s">
        <v>67</v>
      </c>
      <c r="M597" s="222">
        <v>55.5</v>
      </c>
      <c r="N597" s="214">
        <v>49.0</v>
      </c>
      <c r="O597" s="214">
        <v>158.0</v>
      </c>
      <c r="P597" s="214">
        <v>2.0</v>
      </c>
      <c r="Q597" s="214" t="b">
        <v>0</v>
      </c>
      <c r="R597" s="214">
        <v>100.0</v>
      </c>
      <c r="S597" s="214" t="s">
        <v>530</v>
      </c>
      <c r="T597" s="214" t="s">
        <v>365</v>
      </c>
      <c r="U597" s="214"/>
    </row>
    <row r="598">
      <c r="A598" s="221">
        <v>45930.06847215278</v>
      </c>
      <c r="B598" s="214" t="s">
        <v>43</v>
      </c>
      <c r="C598" s="214" t="s">
        <v>176</v>
      </c>
      <c r="D598" s="214">
        <v>1.0</v>
      </c>
      <c r="E598" s="214">
        <v>3.0</v>
      </c>
      <c r="F598" s="214" t="s">
        <v>1238</v>
      </c>
      <c r="G598" s="214" t="s">
        <v>61</v>
      </c>
      <c r="H598" s="214" t="s">
        <v>96</v>
      </c>
      <c r="I598" s="214"/>
      <c r="J598" s="222" t="s">
        <v>67</v>
      </c>
      <c r="K598" s="222">
        <v>-6.5</v>
      </c>
      <c r="L598" s="222" t="s">
        <v>67</v>
      </c>
      <c r="M598" s="222">
        <v>53.5</v>
      </c>
      <c r="N598" s="214">
        <v>151.0</v>
      </c>
      <c r="O598" s="214">
        <v>155.0</v>
      </c>
      <c r="P598" s="214">
        <v>2.0</v>
      </c>
      <c r="Q598" s="214" t="b">
        <v>1</v>
      </c>
      <c r="R598" s="214">
        <v>100.0</v>
      </c>
      <c r="S598" s="214" t="s">
        <v>525</v>
      </c>
      <c r="T598" s="214" t="s">
        <v>365</v>
      </c>
      <c r="U598" s="214"/>
    </row>
    <row r="599">
      <c r="A599" s="221">
        <v>45930.06847215278</v>
      </c>
      <c r="B599" s="214" t="s">
        <v>43</v>
      </c>
      <c r="C599" s="214" t="s">
        <v>228</v>
      </c>
      <c r="D599" s="214">
        <v>2.0</v>
      </c>
      <c r="E599" s="214">
        <v>2.0</v>
      </c>
      <c r="F599" s="214" t="s">
        <v>1239</v>
      </c>
      <c r="G599" s="214" t="s">
        <v>61</v>
      </c>
      <c r="H599" s="214" t="s">
        <v>193</v>
      </c>
      <c r="I599" s="214"/>
      <c r="J599" s="222" t="s">
        <v>67</v>
      </c>
      <c r="K599" s="222">
        <v>14.5</v>
      </c>
      <c r="L599" s="222" t="s">
        <v>67</v>
      </c>
      <c r="M599" s="222">
        <v>53.5</v>
      </c>
      <c r="N599" s="214">
        <v>74.0</v>
      </c>
      <c r="O599" s="214">
        <v>104.0</v>
      </c>
      <c r="P599" s="214">
        <v>2.0</v>
      </c>
      <c r="Q599" s="214" t="b">
        <v>1</v>
      </c>
      <c r="R599" s="214">
        <v>100.0</v>
      </c>
      <c r="S599" s="214" t="s">
        <v>535</v>
      </c>
      <c r="T599" s="214" t="s">
        <v>365</v>
      </c>
      <c r="U599" s="214"/>
    </row>
    <row r="600">
      <c r="A600" s="221">
        <v>45930.06847215278</v>
      </c>
      <c r="B600" s="214" t="s">
        <v>43</v>
      </c>
      <c r="C600" s="214" t="s">
        <v>45</v>
      </c>
      <c r="D600" s="214">
        <v>3.0</v>
      </c>
      <c r="E600" s="214">
        <v>2.0</v>
      </c>
      <c r="F600" s="214" t="s">
        <v>1240</v>
      </c>
      <c r="G600" s="214" t="s">
        <v>61</v>
      </c>
      <c r="H600" s="214" t="s">
        <v>238</v>
      </c>
      <c r="I600" s="214"/>
      <c r="J600" s="222" t="s">
        <v>67</v>
      </c>
      <c r="K600" s="222">
        <v>6.5</v>
      </c>
      <c r="L600" s="222" t="s">
        <v>67</v>
      </c>
      <c r="M600" s="222">
        <v>52.5</v>
      </c>
      <c r="N600" s="214">
        <v>138.0</v>
      </c>
      <c r="O600" s="214">
        <v>82.0</v>
      </c>
      <c r="P600" s="214">
        <v>2.0</v>
      </c>
      <c r="Q600" s="214" t="b">
        <v>0</v>
      </c>
      <c r="R600" s="214">
        <v>100.0</v>
      </c>
      <c r="S600" s="214" t="s">
        <v>556</v>
      </c>
      <c r="T600" s="214" t="s">
        <v>321</v>
      </c>
      <c r="U600" s="214"/>
    </row>
    <row r="601">
      <c r="A601" s="221">
        <v>45930.06847215278</v>
      </c>
      <c r="B601" s="214" t="s">
        <v>43</v>
      </c>
      <c r="C601" s="214" t="s">
        <v>157</v>
      </c>
      <c r="D601" s="214">
        <v>3.0</v>
      </c>
      <c r="E601" s="214">
        <v>2.0</v>
      </c>
      <c r="F601" s="214" t="s">
        <v>1241</v>
      </c>
      <c r="G601" s="214" t="s">
        <v>61</v>
      </c>
      <c r="H601" s="214" t="s">
        <v>224</v>
      </c>
      <c r="I601" s="214"/>
      <c r="J601" s="222" t="s">
        <v>67</v>
      </c>
      <c r="K601" s="222">
        <v>14.0</v>
      </c>
      <c r="L601" s="222" t="s">
        <v>67</v>
      </c>
      <c r="M601" s="222">
        <v>45.5</v>
      </c>
      <c r="N601" s="214">
        <v>102.0</v>
      </c>
      <c r="O601" s="214">
        <v>102.0</v>
      </c>
      <c r="P601" s="214">
        <v>2.0</v>
      </c>
      <c r="Q601" s="214" t="b">
        <v>1</v>
      </c>
      <c r="R601" s="214">
        <v>100.0</v>
      </c>
      <c r="S601" s="214" t="s">
        <v>361</v>
      </c>
      <c r="T601" s="214" t="s">
        <v>365</v>
      </c>
      <c r="U601" s="214"/>
    </row>
    <row r="602">
      <c r="A602" s="221">
        <v>45930.06847215278</v>
      </c>
      <c r="B602" s="214" t="s">
        <v>43</v>
      </c>
      <c r="C602" s="214" t="s">
        <v>189</v>
      </c>
      <c r="D602" s="214">
        <v>4.0</v>
      </c>
      <c r="E602" s="214">
        <v>1.0</v>
      </c>
      <c r="F602" s="214" t="s">
        <v>1242</v>
      </c>
      <c r="G602" s="214" t="s">
        <v>61</v>
      </c>
      <c r="H602" s="214" t="s">
        <v>95</v>
      </c>
      <c r="I602" s="214"/>
      <c r="J602" s="222" t="s">
        <v>67</v>
      </c>
      <c r="K602" s="222">
        <v>-3.0</v>
      </c>
      <c r="L602" s="222" t="s">
        <v>67</v>
      </c>
      <c r="M602" s="222">
        <v>54.5</v>
      </c>
      <c r="N602" s="214">
        <v>146.0</v>
      </c>
      <c r="O602" s="214">
        <v>106.0</v>
      </c>
      <c r="P602" s="214">
        <v>2.0</v>
      </c>
      <c r="Q602" s="214" t="b">
        <v>0</v>
      </c>
      <c r="R602" s="214">
        <v>100.0</v>
      </c>
      <c r="S602" s="214" t="s">
        <v>471</v>
      </c>
      <c r="T602" s="214" t="s">
        <v>321</v>
      </c>
      <c r="U602" s="214"/>
    </row>
    <row r="603">
      <c r="A603" s="221">
        <v>45930.06847215278</v>
      </c>
      <c r="B603" s="214" t="s">
        <v>43</v>
      </c>
      <c r="C603" s="214" t="s">
        <v>145</v>
      </c>
      <c r="D603" s="214">
        <v>3.0</v>
      </c>
      <c r="E603" s="214">
        <v>1.0</v>
      </c>
      <c r="F603" s="214" t="s">
        <v>1243</v>
      </c>
      <c r="G603" s="214" t="s">
        <v>597</v>
      </c>
      <c r="H603" s="214" t="s">
        <v>311</v>
      </c>
      <c r="I603" s="214"/>
      <c r="J603" s="222" t="s">
        <v>67</v>
      </c>
      <c r="K603" s="222">
        <v>-3.5</v>
      </c>
      <c r="L603" s="222" t="s">
        <v>67</v>
      </c>
      <c r="M603" s="222">
        <v>52.5</v>
      </c>
      <c r="N603" s="214">
        <v>156.0</v>
      </c>
      <c r="O603" s="214">
        <v>47.0</v>
      </c>
      <c r="P603" s="214">
        <v>2.0</v>
      </c>
      <c r="Q603" s="214" t="b">
        <v>0</v>
      </c>
      <c r="R603" s="214">
        <v>100.0</v>
      </c>
      <c r="S603" s="214" t="s">
        <v>407</v>
      </c>
      <c r="T603" s="214" t="s">
        <v>321</v>
      </c>
      <c r="U603" s="214"/>
    </row>
    <row r="604">
      <c r="A604" s="221">
        <v>45930.06847215278</v>
      </c>
      <c r="B604" s="214"/>
      <c r="C604" s="214"/>
      <c r="D604" s="214"/>
      <c r="E604" s="214"/>
      <c r="F604" s="214"/>
      <c r="G604" s="214"/>
      <c r="H604" s="214"/>
      <c r="I604" s="214"/>
      <c r="J604" s="222"/>
      <c r="K604" s="222"/>
      <c r="L604" s="222"/>
      <c r="M604" s="222"/>
      <c r="N604" s="214"/>
      <c r="O604" s="214"/>
      <c r="P604" s="214"/>
      <c r="Q604" s="214"/>
      <c r="R604" s="214"/>
      <c r="S604" s="214"/>
      <c r="T604" s="214"/>
      <c r="U604" s="214"/>
    </row>
    <row r="605">
      <c r="A605" s="221">
        <v>45930.06847215278</v>
      </c>
      <c r="B605" s="214" t="s">
        <v>95</v>
      </c>
      <c r="C605" s="214" t="s">
        <v>221</v>
      </c>
      <c r="D605" s="214">
        <v>3.0</v>
      </c>
      <c r="E605" s="214">
        <v>1.0</v>
      </c>
      <c r="F605" s="214"/>
      <c r="G605" s="214"/>
      <c r="H605" s="214"/>
      <c r="I605" s="214"/>
      <c r="J605" s="222" t="s">
        <v>67</v>
      </c>
      <c r="K605" s="222">
        <v>-28.5</v>
      </c>
      <c r="L605" s="222" t="s">
        <v>67</v>
      </c>
      <c r="M605" s="222">
        <v>54.5</v>
      </c>
      <c r="N605" s="214">
        <v>145.0</v>
      </c>
      <c r="O605" s="214">
        <v>100.0</v>
      </c>
      <c r="P605" s="214">
        <v>0.0</v>
      </c>
      <c r="Q605" s="214" t="b">
        <v>1</v>
      </c>
      <c r="R605" s="214">
        <v>59.0</v>
      </c>
      <c r="S605" s="214" t="s">
        <v>441</v>
      </c>
      <c r="T605" s="214" t="s">
        <v>365</v>
      </c>
      <c r="U605" s="214"/>
    </row>
    <row r="606">
      <c r="A606" s="221">
        <v>45930.06847215278</v>
      </c>
      <c r="B606" s="214" t="s">
        <v>95</v>
      </c>
      <c r="C606" s="214" t="s">
        <v>128</v>
      </c>
      <c r="D606" s="214">
        <v>4.0</v>
      </c>
      <c r="E606" s="214">
        <v>0.0</v>
      </c>
      <c r="F606" s="214"/>
      <c r="G606" s="214"/>
      <c r="H606" s="214"/>
      <c r="I606" s="214"/>
      <c r="J606" s="222"/>
      <c r="K606" s="222"/>
      <c r="L606" s="222"/>
      <c r="M606" s="222"/>
      <c r="N606" s="214">
        <v>125.0</v>
      </c>
      <c r="O606" s="214">
        <v>36.0</v>
      </c>
      <c r="P606" s="214">
        <v>0.0</v>
      </c>
      <c r="Q606" s="214" t="b">
        <v>1</v>
      </c>
      <c r="R606" s="214">
        <v>59.0</v>
      </c>
      <c r="S606" s="214" t="s">
        <v>556</v>
      </c>
      <c r="T606" s="214" t="s">
        <v>321</v>
      </c>
      <c r="U606" s="214"/>
    </row>
    <row r="607">
      <c r="A607" s="221">
        <v>45930.06847215278</v>
      </c>
      <c r="B607" s="214" t="s">
        <v>95</v>
      </c>
      <c r="C607" s="214" t="s">
        <v>165</v>
      </c>
      <c r="D607" s="214">
        <v>1.0</v>
      </c>
      <c r="E607" s="214">
        <v>3.0</v>
      </c>
      <c r="F607" s="214"/>
      <c r="G607" s="214"/>
      <c r="H607" s="214"/>
      <c r="I607" s="214"/>
      <c r="J607" s="222"/>
      <c r="K607" s="222"/>
      <c r="L607" s="222"/>
      <c r="M607" s="222"/>
      <c r="N607" s="214">
        <v>62.0</v>
      </c>
      <c r="O607" s="214">
        <v>133.0</v>
      </c>
      <c r="P607" s="214">
        <v>0.0</v>
      </c>
      <c r="Q607" s="214" t="b">
        <v>1</v>
      </c>
      <c r="R607" s="214">
        <v>59.0</v>
      </c>
      <c r="S607" s="214" t="s">
        <v>530</v>
      </c>
      <c r="T607" s="214" t="s">
        <v>365</v>
      </c>
      <c r="U607" s="214"/>
    </row>
    <row r="608">
      <c r="A608" s="221">
        <v>45930.06847215278</v>
      </c>
      <c r="B608" s="214" t="s">
        <v>95</v>
      </c>
      <c r="C608" s="214" t="s">
        <v>177</v>
      </c>
      <c r="D608" s="214">
        <v>3.0</v>
      </c>
      <c r="E608" s="214">
        <v>1.0</v>
      </c>
      <c r="F608" s="214" t="s">
        <v>1236</v>
      </c>
      <c r="G608" s="214" t="s">
        <v>61</v>
      </c>
      <c r="H608" s="214" t="s">
        <v>43</v>
      </c>
      <c r="I608" s="214"/>
      <c r="J608" s="222" t="s">
        <v>67</v>
      </c>
      <c r="K608" s="222">
        <v>-15.5</v>
      </c>
      <c r="L608" s="222" t="s">
        <v>67</v>
      </c>
      <c r="M608" s="222">
        <v>60.5</v>
      </c>
      <c r="N608" s="214">
        <v>154.0</v>
      </c>
      <c r="O608" s="214">
        <v>99.0</v>
      </c>
      <c r="P608" s="214">
        <v>2.0</v>
      </c>
      <c r="Q608" s="214" t="b">
        <v>0</v>
      </c>
      <c r="R608" s="214">
        <v>100.0</v>
      </c>
      <c r="S608" s="214" t="s">
        <v>525</v>
      </c>
      <c r="T608" s="214" t="s">
        <v>365</v>
      </c>
      <c r="U608" s="214"/>
    </row>
    <row r="609">
      <c r="A609" s="221">
        <v>45930.06847215278</v>
      </c>
      <c r="B609" s="214" t="s">
        <v>95</v>
      </c>
      <c r="C609" s="214" t="s">
        <v>117</v>
      </c>
      <c r="D609" s="214">
        <v>3.0</v>
      </c>
      <c r="E609" s="214">
        <v>2.0</v>
      </c>
      <c r="F609" s="214" t="s">
        <v>1244</v>
      </c>
      <c r="G609" s="214" t="s">
        <v>61</v>
      </c>
      <c r="H609" s="214" t="s">
        <v>311</v>
      </c>
      <c r="I609" s="214"/>
      <c r="J609" s="222" t="s">
        <v>67</v>
      </c>
      <c r="K609" s="222">
        <v>-10.5</v>
      </c>
      <c r="L609" s="222" t="s">
        <v>67</v>
      </c>
      <c r="M609" s="222">
        <v>57.5</v>
      </c>
      <c r="N609" s="214">
        <v>147.0</v>
      </c>
      <c r="O609" s="214">
        <v>140.0</v>
      </c>
      <c r="P609" s="214">
        <v>2.0</v>
      </c>
      <c r="Q609" s="214" t="b">
        <v>0</v>
      </c>
      <c r="R609" s="214">
        <v>100.0</v>
      </c>
      <c r="S609" s="214" t="s">
        <v>317</v>
      </c>
      <c r="T609" s="214" t="s">
        <v>321</v>
      </c>
      <c r="U609" s="214"/>
    </row>
    <row r="610">
      <c r="A610" s="221">
        <v>45930.06847215278</v>
      </c>
      <c r="B610" s="214" t="s">
        <v>95</v>
      </c>
      <c r="C610" s="214" t="s">
        <v>233</v>
      </c>
      <c r="D610" s="214">
        <v>3.0</v>
      </c>
      <c r="E610" s="214">
        <v>2.0</v>
      </c>
      <c r="F610" s="214" t="s">
        <v>1245</v>
      </c>
      <c r="G610" s="214" t="s">
        <v>61</v>
      </c>
      <c r="H610" s="214" t="s">
        <v>96</v>
      </c>
      <c r="I610" s="214"/>
      <c r="J610" s="222" t="s">
        <v>67</v>
      </c>
      <c r="K610" s="222">
        <v>-7.5</v>
      </c>
      <c r="L610" s="222" t="s">
        <v>67</v>
      </c>
      <c r="M610" s="222">
        <v>53.5</v>
      </c>
      <c r="N610" s="214">
        <v>97.0</v>
      </c>
      <c r="O610" s="214">
        <v>116.0</v>
      </c>
      <c r="P610" s="214">
        <v>2.0</v>
      </c>
      <c r="Q610" s="214" t="b">
        <v>1</v>
      </c>
      <c r="R610" s="214">
        <v>100.0</v>
      </c>
      <c r="S610" s="214" t="s">
        <v>535</v>
      </c>
      <c r="T610" s="214" t="s">
        <v>365</v>
      </c>
      <c r="U610" s="214"/>
    </row>
    <row r="611">
      <c r="A611" s="221">
        <v>45930.06847215278</v>
      </c>
      <c r="B611" s="214" t="s">
        <v>95</v>
      </c>
      <c r="C611" s="214" t="s">
        <v>198</v>
      </c>
      <c r="D611" s="214">
        <v>4.0</v>
      </c>
      <c r="E611" s="214">
        <v>1.0</v>
      </c>
      <c r="F611" s="214" t="s">
        <v>1246</v>
      </c>
      <c r="G611" s="214" t="s">
        <v>61</v>
      </c>
      <c r="H611" s="214" t="s">
        <v>132</v>
      </c>
      <c r="I611" s="214"/>
      <c r="J611" s="222" t="s">
        <v>67</v>
      </c>
      <c r="K611" s="222">
        <v>-12.5</v>
      </c>
      <c r="L611" s="222" t="s">
        <v>67</v>
      </c>
      <c r="M611" s="222">
        <v>47.5</v>
      </c>
      <c r="N611" s="214">
        <v>195.0</v>
      </c>
      <c r="O611" s="214">
        <v>73.0</v>
      </c>
      <c r="P611" s="214">
        <v>2.0</v>
      </c>
      <c r="Q611" s="214" t="b">
        <v>0</v>
      </c>
      <c r="R611" s="214">
        <v>100.0</v>
      </c>
      <c r="S611" s="214" t="s">
        <v>471</v>
      </c>
      <c r="T611" s="214" t="s">
        <v>321</v>
      </c>
      <c r="U611" s="214"/>
    </row>
    <row r="612">
      <c r="A612" s="221">
        <v>45930.06847215278</v>
      </c>
      <c r="B612" s="214" t="s">
        <v>95</v>
      </c>
      <c r="C612" s="214" t="s">
        <v>197</v>
      </c>
      <c r="D612" s="214">
        <v>4.0</v>
      </c>
      <c r="E612" s="214">
        <v>1.0</v>
      </c>
      <c r="F612" s="214" t="s">
        <v>1247</v>
      </c>
      <c r="G612" s="214" t="s">
        <v>61</v>
      </c>
      <c r="H612" s="214" t="s">
        <v>156</v>
      </c>
      <c r="I612" s="214"/>
      <c r="J612" s="222" t="s">
        <v>67</v>
      </c>
      <c r="K612" s="222">
        <v>-6.5</v>
      </c>
      <c r="L612" s="222" t="s">
        <v>67</v>
      </c>
      <c r="M612" s="222">
        <v>60.5</v>
      </c>
      <c r="N612" s="214">
        <v>242.0</v>
      </c>
      <c r="O612" s="214">
        <v>115.0</v>
      </c>
      <c r="P612" s="214">
        <v>2.0</v>
      </c>
      <c r="Q612" s="214" t="b">
        <v>1</v>
      </c>
      <c r="R612" s="214">
        <v>100.0</v>
      </c>
      <c r="S612" s="214" t="s">
        <v>407</v>
      </c>
      <c r="T612" s="214" t="s">
        <v>321</v>
      </c>
      <c r="U612" s="214"/>
    </row>
    <row r="613">
      <c r="A613" s="221">
        <v>45930.06847215278</v>
      </c>
      <c r="B613" s="214" t="s">
        <v>95</v>
      </c>
      <c r="C613" s="214" t="s">
        <v>130</v>
      </c>
      <c r="D613" s="214">
        <v>3.0</v>
      </c>
      <c r="E613" s="214">
        <v>1.0</v>
      </c>
      <c r="F613" s="214" t="s">
        <v>1242</v>
      </c>
      <c r="G613" s="214" t="s">
        <v>61</v>
      </c>
      <c r="H613" s="214" t="s">
        <v>43</v>
      </c>
      <c r="I613" s="214"/>
      <c r="J613" s="222" t="s">
        <v>67</v>
      </c>
      <c r="K613" s="222">
        <v>3.0</v>
      </c>
      <c r="L613" s="222" t="s">
        <v>67</v>
      </c>
      <c r="M613" s="222">
        <v>54.5</v>
      </c>
      <c r="N613" s="214">
        <v>149.0</v>
      </c>
      <c r="O613" s="214">
        <v>86.0</v>
      </c>
      <c r="P613" s="214">
        <v>2.0</v>
      </c>
      <c r="Q613" s="214" t="b">
        <v>1</v>
      </c>
      <c r="R613" s="214">
        <v>100.0</v>
      </c>
      <c r="S613" s="214" t="s">
        <v>471</v>
      </c>
      <c r="T613" s="214" t="s">
        <v>321</v>
      </c>
      <c r="U613" s="214"/>
    </row>
    <row r="614">
      <c r="A614" s="221">
        <v>45930.06847215278</v>
      </c>
      <c r="B614" s="214" t="s">
        <v>95</v>
      </c>
      <c r="C614" s="214" t="s">
        <v>100</v>
      </c>
      <c r="D614" s="214">
        <v>3.0</v>
      </c>
      <c r="E614" s="214">
        <v>2.0</v>
      </c>
      <c r="F614" s="214" t="s">
        <v>1248</v>
      </c>
      <c r="G614" s="214" t="s">
        <v>61</v>
      </c>
      <c r="H614" s="214" t="s">
        <v>395</v>
      </c>
      <c r="I614" s="214"/>
      <c r="J614" s="222" t="s">
        <v>67</v>
      </c>
      <c r="K614" s="222">
        <v>-4.5</v>
      </c>
      <c r="L614" s="222" t="s">
        <v>67</v>
      </c>
      <c r="M614" s="222">
        <v>52.5</v>
      </c>
      <c r="N614" s="214">
        <v>152.0</v>
      </c>
      <c r="O614" s="214">
        <v>67.0</v>
      </c>
      <c r="P614" s="214">
        <v>2.0</v>
      </c>
      <c r="Q614" s="214" t="b">
        <v>1</v>
      </c>
      <c r="R614" s="214">
        <v>100.0</v>
      </c>
      <c r="S614" s="214" t="s">
        <v>361</v>
      </c>
      <c r="T614" s="214" t="s">
        <v>365</v>
      </c>
      <c r="U614" s="214"/>
    </row>
    <row r="615">
      <c r="A615" s="221">
        <v>45930.06847215278</v>
      </c>
      <c r="B615" s="214"/>
      <c r="C615" s="214"/>
      <c r="D615" s="214"/>
      <c r="E615" s="214"/>
      <c r="F615" s="214"/>
      <c r="G615" s="214"/>
      <c r="H615" s="214"/>
      <c r="I615" s="214"/>
      <c r="J615" s="222"/>
      <c r="K615" s="222"/>
      <c r="L615" s="222"/>
      <c r="M615" s="222"/>
      <c r="N615" s="214"/>
      <c r="O615" s="214"/>
      <c r="P615" s="214"/>
      <c r="Q615" s="214"/>
      <c r="R615" s="214"/>
      <c r="S615" s="214"/>
      <c r="T615" s="214"/>
      <c r="U615" s="214"/>
    </row>
    <row r="616">
      <c r="A616" s="221">
        <v>45930.06847215278</v>
      </c>
      <c r="B616" s="214" t="s">
        <v>62</v>
      </c>
      <c r="C616" s="214" t="s">
        <v>163</v>
      </c>
      <c r="D616" s="214">
        <v>2.0</v>
      </c>
      <c r="E616" s="214">
        <v>2.0</v>
      </c>
      <c r="F616" s="214"/>
      <c r="G616" s="214"/>
      <c r="H616" s="214"/>
      <c r="I616" s="214"/>
      <c r="J616" s="222"/>
      <c r="K616" s="222"/>
      <c r="L616" s="222"/>
      <c r="M616" s="222"/>
      <c r="N616" s="214">
        <v>131.0</v>
      </c>
      <c r="O616" s="214">
        <v>164.0</v>
      </c>
      <c r="P616" s="214">
        <v>0.0</v>
      </c>
      <c r="Q616" s="214" t="b">
        <v>1</v>
      </c>
      <c r="R616" s="214">
        <v>59.0</v>
      </c>
      <c r="S616" s="214" t="s">
        <v>361</v>
      </c>
      <c r="T616" s="214" t="s">
        <v>365</v>
      </c>
      <c r="U616" s="214"/>
    </row>
    <row r="617">
      <c r="A617" s="221">
        <v>45930.06847215278</v>
      </c>
      <c r="B617" s="214" t="s">
        <v>62</v>
      </c>
      <c r="C617" s="214" t="s">
        <v>201</v>
      </c>
      <c r="D617" s="214">
        <v>3.0</v>
      </c>
      <c r="E617" s="214">
        <v>1.0</v>
      </c>
      <c r="F617" s="214" t="s">
        <v>1249</v>
      </c>
      <c r="G617" s="214" t="s">
        <v>61</v>
      </c>
      <c r="H617" s="214" t="s">
        <v>96</v>
      </c>
      <c r="I617" s="214"/>
      <c r="J617" s="222" t="s">
        <v>67</v>
      </c>
      <c r="K617" s="222">
        <v>3.0</v>
      </c>
      <c r="L617" s="222" t="s">
        <v>67</v>
      </c>
      <c r="M617" s="222">
        <v>53.5</v>
      </c>
      <c r="N617" s="214">
        <v>152.0</v>
      </c>
      <c r="O617" s="214">
        <v>66.0</v>
      </c>
      <c r="P617" s="214">
        <v>2.0</v>
      </c>
      <c r="Q617" s="214" t="b">
        <v>1</v>
      </c>
      <c r="R617" s="214">
        <v>100.0</v>
      </c>
      <c r="S617" s="214" t="s">
        <v>556</v>
      </c>
      <c r="T617" s="214" t="s">
        <v>321</v>
      </c>
      <c r="U617" s="214"/>
    </row>
    <row r="618">
      <c r="A618" s="221">
        <v>45930.06847215278</v>
      </c>
      <c r="B618" s="214" t="s">
        <v>62</v>
      </c>
      <c r="C618" s="214" t="s">
        <v>178</v>
      </c>
      <c r="D618" s="214">
        <v>1.0</v>
      </c>
      <c r="E618" s="214">
        <v>3.0</v>
      </c>
      <c r="F618" s="214" t="s">
        <v>1250</v>
      </c>
      <c r="G618" s="214" t="s">
        <v>61</v>
      </c>
      <c r="H618" s="214" t="s">
        <v>493</v>
      </c>
      <c r="I618" s="214"/>
      <c r="J618" s="222" t="s">
        <v>67</v>
      </c>
      <c r="K618" s="222">
        <v>-5.5</v>
      </c>
      <c r="L618" s="222" t="s">
        <v>67</v>
      </c>
      <c r="M618" s="222">
        <v>49.5</v>
      </c>
      <c r="N618" s="214">
        <v>61.0</v>
      </c>
      <c r="O618" s="214">
        <v>92.0</v>
      </c>
      <c r="P618" s="214">
        <v>2.0</v>
      </c>
      <c r="Q618" s="214" t="b">
        <v>0</v>
      </c>
      <c r="R618" s="214">
        <v>100.0</v>
      </c>
      <c r="S618" s="214" t="s">
        <v>525</v>
      </c>
      <c r="T618" s="214" t="s">
        <v>365</v>
      </c>
      <c r="U618" s="214"/>
    </row>
    <row r="619">
      <c r="A619" s="221">
        <v>45930.06847215278</v>
      </c>
      <c r="B619" s="214" t="s">
        <v>62</v>
      </c>
      <c r="C619" s="214" t="s">
        <v>155</v>
      </c>
      <c r="D619" s="214">
        <v>3.0</v>
      </c>
      <c r="E619" s="214">
        <v>1.0</v>
      </c>
      <c r="F619" s="214" t="s">
        <v>1251</v>
      </c>
      <c r="G619" s="214" t="s">
        <v>61</v>
      </c>
      <c r="H619" s="214" t="s">
        <v>62</v>
      </c>
      <c r="I619" s="214"/>
      <c r="J619" s="222" t="s">
        <v>67</v>
      </c>
      <c r="K619" s="222">
        <v>-14.5</v>
      </c>
      <c r="L619" s="222" t="s">
        <v>67</v>
      </c>
      <c r="M619" s="222">
        <v>53.5</v>
      </c>
      <c r="N619" s="214">
        <v>134.0</v>
      </c>
      <c r="O619" s="214">
        <v>66.0</v>
      </c>
      <c r="P619" s="214">
        <v>2.0</v>
      </c>
      <c r="Q619" s="214" t="b">
        <v>1</v>
      </c>
      <c r="R619" s="214">
        <v>100.0</v>
      </c>
      <c r="S619" s="214" t="s">
        <v>441</v>
      </c>
      <c r="T619" s="214" t="s">
        <v>365</v>
      </c>
      <c r="U619" s="214"/>
    </row>
    <row r="620">
      <c r="A620" s="221">
        <v>45930.06847215278</v>
      </c>
      <c r="B620" s="214" t="s">
        <v>62</v>
      </c>
      <c r="C620" s="214" t="s">
        <v>227</v>
      </c>
      <c r="D620" s="214">
        <v>1.0</v>
      </c>
      <c r="E620" s="214">
        <v>4.0</v>
      </c>
      <c r="F620" s="214" t="s">
        <v>1251</v>
      </c>
      <c r="G620" s="214" t="s">
        <v>61</v>
      </c>
      <c r="H620" s="214" t="s">
        <v>62</v>
      </c>
      <c r="I620" s="214"/>
      <c r="J620" s="222" t="s">
        <v>67</v>
      </c>
      <c r="K620" s="222">
        <v>14.5</v>
      </c>
      <c r="L620" s="222" t="s">
        <v>67</v>
      </c>
      <c r="M620" s="222">
        <v>53.5</v>
      </c>
      <c r="N620" s="214">
        <v>85.0</v>
      </c>
      <c r="O620" s="214">
        <v>116.0</v>
      </c>
      <c r="P620" s="214">
        <v>2.0</v>
      </c>
      <c r="Q620" s="214" t="b">
        <v>0</v>
      </c>
      <c r="R620" s="214">
        <v>100.0</v>
      </c>
      <c r="S620" s="214" t="s">
        <v>535</v>
      </c>
      <c r="T620" s="214" t="s">
        <v>365</v>
      </c>
      <c r="U620" s="214"/>
    </row>
    <row r="621">
      <c r="A621" s="221">
        <v>45930.06847215278</v>
      </c>
      <c r="B621" s="214" t="s">
        <v>62</v>
      </c>
      <c r="C621" s="214" t="s">
        <v>190</v>
      </c>
      <c r="D621" s="214">
        <v>4.0</v>
      </c>
      <c r="E621" s="214">
        <v>1.0</v>
      </c>
      <c r="F621" s="214" t="s">
        <v>1252</v>
      </c>
      <c r="G621" s="214" t="s">
        <v>61</v>
      </c>
      <c r="H621" s="214" t="s">
        <v>493</v>
      </c>
      <c r="I621" s="214"/>
      <c r="J621" s="222" t="s">
        <v>67</v>
      </c>
      <c r="K621" s="222">
        <v>6.5</v>
      </c>
      <c r="L621" s="222" t="s">
        <v>67</v>
      </c>
      <c r="M621" s="222">
        <v>53.5</v>
      </c>
      <c r="N621" s="214">
        <v>124.0</v>
      </c>
      <c r="O621" s="214">
        <v>90.0</v>
      </c>
      <c r="P621" s="214">
        <v>2.0</v>
      </c>
      <c r="Q621" s="214" t="b">
        <v>1</v>
      </c>
      <c r="R621" s="214">
        <v>100.0</v>
      </c>
      <c r="S621" s="214" t="s">
        <v>317</v>
      </c>
      <c r="T621" s="214" t="s">
        <v>321</v>
      </c>
      <c r="U621" s="214"/>
    </row>
    <row r="622">
      <c r="A622" s="221">
        <v>45930.06847215278</v>
      </c>
      <c r="B622" s="214" t="s">
        <v>62</v>
      </c>
      <c r="C622" s="214" t="s">
        <v>196</v>
      </c>
      <c r="D622" s="214">
        <v>0.0</v>
      </c>
      <c r="E622" s="214">
        <v>4.0</v>
      </c>
      <c r="F622" s="214" t="s">
        <v>1253</v>
      </c>
      <c r="G622" s="214" t="s">
        <v>61</v>
      </c>
      <c r="H622" s="214" t="s">
        <v>493</v>
      </c>
      <c r="I622" s="214"/>
      <c r="J622" s="222" t="s">
        <v>67</v>
      </c>
      <c r="K622" s="222">
        <v>6.5</v>
      </c>
      <c r="L622" s="222" t="s">
        <v>67</v>
      </c>
      <c r="M622" s="222">
        <v>45.5</v>
      </c>
      <c r="N622" s="214">
        <v>57.0</v>
      </c>
      <c r="O622" s="214">
        <v>125.0</v>
      </c>
      <c r="P622" s="214">
        <v>2.0</v>
      </c>
      <c r="Q622" s="214" t="b">
        <v>0</v>
      </c>
      <c r="R622" s="214">
        <v>100.0</v>
      </c>
      <c r="S622" s="214" t="s">
        <v>407</v>
      </c>
      <c r="T622" s="214" t="s">
        <v>321</v>
      </c>
      <c r="U622" s="214"/>
    </row>
    <row r="623">
      <c r="A623" s="221">
        <v>45930.06847215278</v>
      </c>
      <c r="B623" s="214" t="s">
        <v>62</v>
      </c>
      <c r="C623" s="214" t="s">
        <v>199</v>
      </c>
      <c r="D623" s="214">
        <v>3.0</v>
      </c>
      <c r="E623" s="214">
        <v>1.0</v>
      </c>
      <c r="F623" s="214" t="s">
        <v>1254</v>
      </c>
      <c r="G623" s="214" t="s">
        <v>61</v>
      </c>
      <c r="H623" s="214" t="s">
        <v>193</v>
      </c>
      <c r="I623" s="214"/>
      <c r="J623" s="222" t="s">
        <v>67</v>
      </c>
      <c r="K623" s="222">
        <v>8.5</v>
      </c>
      <c r="L623" s="222" t="s">
        <v>67</v>
      </c>
      <c r="M623" s="222">
        <v>51.5</v>
      </c>
      <c r="N623" s="214">
        <v>173.0</v>
      </c>
      <c r="O623" s="214">
        <v>79.0</v>
      </c>
      <c r="P623" s="214">
        <v>2.0</v>
      </c>
      <c r="Q623" s="214" t="b">
        <v>0</v>
      </c>
      <c r="R623" s="214">
        <v>100.0</v>
      </c>
      <c r="S623" s="214" t="s">
        <v>407</v>
      </c>
      <c r="T623" s="214" t="s">
        <v>321</v>
      </c>
      <c r="U623" s="214"/>
    </row>
    <row r="624">
      <c r="A624" s="221">
        <v>45930.06847215278</v>
      </c>
      <c r="B624" s="214" t="s">
        <v>62</v>
      </c>
      <c r="C624" s="214" t="s">
        <v>304</v>
      </c>
      <c r="D624" s="214">
        <v>1.0</v>
      </c>
      <c r="E624" s="214">
        <v>4.0</v>
      </c>
      <c r="F624" s="214" t="s">
        <v>1255</v>
      </c>
      <c r="G624" s="214" t="s">
        <v>61</v>
      </c>
      <c r="H624" s="214" t="s">
        <v>132</v>
      </c>
      <c r="I624" s="214"/>
      <c r="J624" s="222" t="s">
        <v>67</v>
      </c>
      <c r="K624" s="222">
        <v>4.5</v>
      </c>
      <c r="L624" s="222" t="s">
        <v>67</v>
      </c>
      <c r="M624" s="222">
        <v>54.5</v>
      </c>
      <c r="N624" s="214">
        <v>120.0</v>
      </c>
      <c r="O624" s="214">
        <v>183.0</v>
      </c>
      <c r="P624" s="214">
        <v>2.0</v>
      </c>
      <c r="Q624" s="214" t="b">
        <v>0</v>
      </c>
      <c r="R624" s="214">
        <v>100.0</v>
      </c>
      <c r="S624" s="214" t="s">
        <v>530</v>
      </c>
      <c r="T624" s="214" t="s">
        <v>365</v>
      </c>
      <c r="U624" s="214"/>
    </row>
    <row r="625">
      <c r="A625" s="221">
        <v>45930.06847215278</v>
      </c>
      <c r="B625" s="214" t="s">
        <v>62</v>
      </c>
      <c r="C625" s="214" t="s">
        <v>127</v>
      </c>
      <c r="D625" s="214">
        <v>2.0</v>
      </c>
      <c r="E625" s="214">
        <v>3.0</v>
      </c>
      <c r="F625" s="214" t="s">
        <v>1256</v>
      </c>
      <c r="G625" s="214" t="s">
        <v>61</v>
      </c>
      <c r="H625" s="214" t="s">
        <v>156</v>
      </c>
      <c r="I625" s="214"/>
      <c r="J625" s="222" t="s">
        <v>67</v>
      </c>
      <c r="K625" s="222">
        <v>-6.5</v>
      </c>
      <c r="L625" s="222" t="s">
        <v>67</v>
      </c>
      <c r="M625" s="222">
        <v>49.5</v>
      </c>
      <c r="N625" s="214">
        <v>131.0</v>
      </c>
      <c r="O625" s="214">
        <v>126.0</v>
      </c>
      <c r="P625" s="214">
        <v>2.0</v>
      </c>
      <c r="Q625" s="214" t="b">
        <v>0</v>
      </c>
      <c r="R625" s="214">
        <v>100.0</v>
      </c>
      <c r="S625" s="214" t="s">
        <v>471</v>
      </c>
      <c r="T625" s="214" t="s">
        <v>321</v>
      </c>
      <c r="U625" s="214"/>
    </row>
    <row r="626">
      <c r="A626" s="221">
        <v>45930.06847215278</v>
      </c>
      <c r="B626" s="214"/>
      <c r="C626" s="214"/>
      <c r="D626" s="214"/>
      <c r="E626" s="214"/>
      <c r="F626" s="214"/>
      <c r="G626" s="214"/>
      <c r="H626" s="214"/>
      <c r="I626" s="214"/>
      <c r="J626" s="222"/>
      <c r="K626" s="222"/>
      <c r="L626" s="222"/>
      <c r="M626" s="222"/>
      <c r="N626" s="214"/>
      <c r="O626" s="214"/>
      <c r="P626" s="214"/>
      <c r="Q626" s="214"/>
      <c r="R626" s="214"/>
      <c r="S626" s="214"/>
      <c r="T626" s="214"/>
      <c r="U626" s="214"/>
    </row>
    <row r="627">
      <c r="A627" s="221">
        <v>45930.06847215278</v>
      </c>
      <c r="B627" s="214" t="s">
        <v>193</v>
      </c>
      <c r="C627" s="214" t="s">
        <v>104</v>
      </c>
      <c r="D627" s="214">
        <v>2.0</v>
      </c>
      <c r="E627" s="214">
        <v>2.0</v>
      </c>
      <c r="F627" s="214"/>
      <c r="G627" s="214"/>
      <c r="H627" s="214"/>
      <c r="I627" s="214"/>
      <c r="J627" s="222"/>
      <c r="K627" s="222"/>
      <c r="L627" s="222"/>
      <c r="M627" s="222"/>
      <c r="N627" s="214">
        <v>139.0</v>
      </c>
      <c r="O627" s="214">
        <v>106.0</v>
      </c>
      <c r="P627" s="214">
        <v>0.0</v>
      </c>
      <c r="Q627" s="214" t="b">
        <v>1</v>
      </c>
      <c r="R627" s="214">
        <v>59.0</v>
      </c>
      <c r="S627" s="214" t="s">
        <v>317</v>
      </c>
      <c r="T627" s="214" t="s">
        <v>321</v>
      </c>
      <c r="U627" s="214"/>
    </row>
    <row r="628">
      <c r="A628" s="221">
        <v>45930.06847215278</v>
      </c>
      <c r="B628" s="214" t="s">
        <v>193</v>
      </c>
      <c r="C628" s="214" t="s">
        <v>236</v>
      </c>
      <c r="D628" s="214">
        <v>2.0</v>
      </c>
      <c r="E628" s="214">
        <v>3.0</v>
      </c>
      <c r="F628" s="214" t="s">
        <v>1257</v>
      </c>
      <c r="G628" s="214" t="s">
        <v>61</v>
      </c>
      <c r="H628" s="214" t="s">
        <v>395</v>
      </c>
      <c r="I628" s="214"/>
      <c r="J628" s="222" t="s">
        <v>67</v>
      </c>
      <c r="K628" s="222">
        <v>4.0</v>
      </c>
      <c r="L628" s="222" t="s">
        <v>67</v>
      </c>
      <c r="M628" s="222">
        <v>61.5</v>
      </c>
      <c r="N628" s="214">
        <v>108.0</v>
      </c>
      <c r="O628" s="214">
        <v>158.0</v>
      </c>
      <c r="P628" s="214">
        <v>2.0</v>
      </c>
      <c r="Q628" s="214" t="b">
        <v>0</v>
      </c>
      <c r="R628" s="214">
        <v>100.0</v>
      </c>
      <c r="S628" s="214" t="s">
        <v>535</v>
      </c>
      <c r="T628" s="214" t="s">
        <v>365</v>
      </c>
      <c r="U628" s="214"/>
    </row>
    <row r="629">
      <c r="A629" s="221">
        <v>45930.06847215278</v>
      </c>
      <c r="B629" s="214" t="s">
        <v>193</v>
      </c>
      <c r="C629" s="214" t="s">
        <v>150</v>
      </c>
      <c r="D629" s="214">
        <v>1.0</v>
      </c>
      <c r="E629" s="214">
        <v>3.0</v>
      </c>
      <c r="F629" s="214" t="s">
        <v>1258</v>
      </c>
      <c r="G629" s="214" t="s">
        <v>61</v>
      </c>
      <c r="H629" s="214" t="s">
        <v>238</v>
      </c>
      <c r="I629" s="214"/>
      <c r="J629" s="222" t="s">
        <v>67</v>
      </c>
      <c r="K629" s="222">
        <v>13.5</v>
      </c>
      <c r="L629" s="222" t="s">
        <v>67</v>
      </c>
      <c r="M629" s="222">
        <v>62.5</v>
      </c>
      <c r="N629" s="214">
        <v>117.0</v>
      </c>
      <c r="O629" s="214">
        <v>146.0</v>
      </c>
      <c r="P629" s="214">
        <v>2.0</v>
      </c>
      <c r="Q629" s="214" t="b">
        <v>0</v>
      </c>
      <c r="R629" s="214">
        <v>100.0</v>
      </c>
      <c r="S629" s="214" t="s">
        <v>361</v>
      </c>
      <c r="T629" s="214" t="s">
        <v>365</v>
      </c>
      <c r="U629" s="214"/>
    </row>
    <row r="630">
      <c r="A630" s="221">
        <v>45930.06847215278</v>
      </c>
      <c r="B630" s="214" t="s">
        <v>193</v>
      </c>
      <c r="C630" s="214" t="s">
        <v>182</v>
      </c>
      <c r="D630" s="214">
        <v>3.0</v>
      </c>
      <c r="E630" s="214">
        <v>1.0</v>
      </c>
      <c r="F630" s="214" t="s">
        <v>1239</v>
      </c>
      <c r="G630" s="214" t="s">
        <v>61</v>
      </c>
      <c r="H630" s="214" t="s">
        <v>43</v>
      </c>
      <c r="I630" s="214"/>
      <c r="J630" s="222" t="s">
        <v>67</v>
      </c>
      <c r="K630" s="222">
        <v>-14.5</v>
      </c>
      <c r="L630" s="222" t="s">
        <v>67</v>
      </c>
      <c r="M630" s="222">
        <v>53.5</v>
      </c>
      <c r="N630" s="214">
        <v>122.0</v>
      </c>
      <c r="O630" s="214">
        <v>86.0</v>
      </c>
      <c r="P630" s="214">
        <v>2.0</v>
      </c>
      <c r="Q630" s="214" t="b">
        <v>0</v>
      </c>
      <c r="R630" s="214">
        <v>100.0</v>
      </c>
      <c r="S630" s="214" t="s">
        <v>525</v>
      </c>
      <c r="T630" s="214" t="s">
        <v>365</v>
      </c>
      <c r="U630" s="214"/>
    </row>
    <row r="631">
      <c r="A631" s="221">
        <v>45930.06847215278</v>
      </c>
      <c r="B631" s="214" t="s">
        <v>193</v>
      </c>
      <c r="C631" s="214" t="s">
        <v>164</v>
      </c>
      <c r="D631" s="214">
        <v>1.0</v>
      </c>
      <c r="E631" s="214">
        <v>4.0</v>
      </c>
      <c r="F631" s="214" t="s">
        <v>1259</v>
      </c>
      <c r="G631" s="214" t="s">
        <v>61</v>
      </c>
      <c r="H631" s="214" t="s">
        <v>156</v>
      </c>
      <c r="I631" s="214"/>
      <c r="J631" s="222" t="s">
        <v>67</v>
      </c>
      <c r="K631" s="222">
        <v>21.0</v>
      </c>
      <c r="L631" s="222" t="s">
        <v>67</v>
      </c>
      <c r="M631" s="222">
        <v>49.5</v>
      </c>
      <c r="N631" s="214">
        <v>82.0</v>
      </c>
      <c r="O631" s="214">
        <v>161.0</v>
      </c>
      <c r="P631" s="214">
        <v>2.0</v>
      </c>
      <c r="Q631" s="214" t="b">
        <v>0</v>
      </c>
      <c r="R631" s="214">
        <v>100.0</v>
      </c>
      <c r="S631" s="214" t="s">
        <v>530</v>
      </c>
      <c r="T631" s="214" t="s">
        <v>365</v>
      </c>
      <c r="U631" s="214"/>
    </row>
    <row r="632">
      <c r="A632" s="221">
        <v>45930.06847215278</v>
      </c>
      <c r="B632" s="214" t="s">
        <v>193</v>
      </c>
      <c r="C632" s="214" t="s">
        <v>144</v>
      </c>
      <c r="D632" s="214">
        <v>4.0</v>
      </c>
      <c r="E632" s="214">
        <v>0.0</v>
      </c>
      <c r="F632" s="214" t="s">
        <v>1254</v>
      </c>
      <c r="G632" s="214" t="s">
        <v>61</v>
      </c>
      <c r="H632" s="214" t="s">
        <v>62</v>
      </c>
      <c r="I632" s="214"/>
      <c r="J632" s="222" t="s">
        <v>67</v>
      </c>
      <c r="K632" s="222">
        <v>-8.5</v>
      </c>
      <c r="L632" s="222" t="s">
        <v>67</v>
      </c>
      <c r="M632" s="222">
        <v>51.5</v>
      </c>
      <c r="N632" s="214">
        <v>145.0</v>
      </c>
      <c r="O632" s="214">
        <v>22.0</v>
      </c>
      <c r="P632" s="214">
        <v>2.0</v>
      </c>
      <c r="Q632" s="214" t="b">
        <v>1</v>
      </c>
      <c r="R632" s="214">
        <v>100.0</v>
      </c>
      <c r="S632" s="214" t="s">
        <v>407</v>
      </c>
      <c r="T632" s="214" t="s">
        <v>321</v>
      </c>
      <c r="U632" s="214"/>
    </row>
    <row r="633">
      <c r="A633" s="221">
        <v>45930.06847215278</v>
      </c>
      <c r="B633" s="214" t="s">
        <v>193</v>
      </c>
      <c r="C633" s="214" t="s">
        <v>126</v>
      </c>
      <c r="D633" s="214">
        <v>3.0</v>
      </c>
      <c r="E633" s="214">
        <v>2.0</v>
      </c>
      <c r="F633" s="214" t="s">
        <v>1260</v>
      </c>
      <c r="G633" s="214" t="s">
        <v>61</v>
      </c>
      <c r="H633" s="214" t="s">
        <v>238</v>
      </c>
      <c r="I633" s="214"/>
      <c r="J633" s="222" t="s">
        <v>67</v>
      </c>
      <c r="K633" s="222">
        <v>-4.5</v>
      </c>
      <c r="L633" s="222" t="s">
        <v>67</v>
      </c>
      <c r="M633" s="222">
        <v>57.5</v>
      </c>
      <c r="N633" s="214">
        <v>183.0</v>
      </c>
      <c r="O633" s="214">
        <v>103.0</v>
      </c>
      <c r="P633" s="214">
        <v>2.0</v>
      </c>
      <c r="Q633" s="214" t="b">
        <v>1</v>
      </c>
      <c r="R633" s="214">
        <v>100.0</v>
      </c>
      <c r="S633" s="214" t="s">
        <v>471</v>
      </c>
      <c r="T633" s="214" t="s">
        <v>321</v>
      </c>
      <c r="U633" s="214"/>
    </row>
    <row r="634">
      <c r="A634" s="221">
        <v>45930.06847215278</v>
      </c>
      <c r="B634" s="214" t="s">
        <v>193</v>
      </c>
      <c r="C634" s="214" t="s">
        <v>552</v>
      </c>
      <c r="D634" s="214">
        <v>2.0</v>
      </c>
      <c r="E634" s="214">
        <v>3.0</v>
      </c>
      <c r="F634" s="214" t="s">
        <v>1261</v>
      </c>
      <c r="G634" s="214" t="s">
        <v>597</v>
      </c>
      <c r="H634" s="214" t="s">
        <v>311</v>
      </c>
      <c r="I634" s="214"/>
      <c r="J634" s="222" t="s">
        <v>67</v>
      </c>
      <c r="K634" s="222">
        <v>-1.5</v>
      </c>
      <c r="L634" s="222" t="s">
        <v>67</v>
      </c>
      <c r="M634" s="222">
        <v>47.5</v>
      </c>
      <c r="N634" s="214">
        <v>141.0</v>
      </c>
      <c r="O634" s="214">
        <v>161.0</v>
      </c>
      <c r="P634" s="214">
        <v>2.0</v>
      </c>
      <c r="Q634" s="214" t="b">
        <v>0</v>
      </c>
      <c r="R634" s="214">
        <v>100.0</v>
      </c>
      <c r="S634" s="214" t="s">
        <v>441</v>
      </c>
      <c r="T634" s="214" t="s">
        <v>365</v>
      </c>
      <c r="U634" s="214"/>
    </row>
    <row r="635">
      <c r="A635" s="221">
        <v>45930.06847215278</v>
      </c>
      <c r="B635" s="214" t="s">
        <v>193</v>
      </c>
      <c r="C635" s="214" t="s">
        <v>211</v>
      </c>
      <c r="D635" s="214">
        <v>4.0</v>
      </c>
      <c r="E635" s="214">
        <v>1.0</v>
      </c>
      <c r="F635" s="214" t="s">
        <v>1262</v>
      </c>
      <c r="G635" s="214" t="s">
        <v>532</v>
      </c>
      <c r="H635" s="214" t="s">
        <v>493</v>
      </c>
      <c r="I635" s="214"/>
      <c r="J635" s="222" t="s">
        <v>67</v>
      </c>
      <c r="K635" s="222">
        <v>-7.5</v>
      </c>
      <c r="L635" s="222" t="s">
        <v>67</v>
      </c>
      <c r="M635" s="222">
        <v>63.5</v>
      </c>
      <c r="N635" s="214">
        <v>255.0</v>
      </c>
      <c r="O635" s="214">
        <v>145.0</v>
      </c>
      <c r="P635" s="214">
        <v>2.0</v>
      </c>
      <c r="Q635" s="214" t="b">
        <v>1</v>
      </c>
      <c r="R635" s="214">
        <v>100.0</v>
      </c>
      <c r="S635" s="214" t="s">
        <v>556</v>
      </c>
      <c r="T635" s="214" t="s">
        <v>321</v>
      </c>
      <c r="U635" s="214"/>
    </row>
    <row r="636">
      <c r="A636" s="221">
        <v>45930.06847215278</v>
      </c>
      <c r="B636" s="214" t="s">
        <v>193</v>
      </c>
      <c r="C636" s="214" t="s">
        <v>194</v>
      </c>
      <c r="D636" s="214">
        <v>0.0</v>
      </c>
      <c r="E636" s="214">
        <v>5.0</v>
      </c>
      <c r="F636" s="214" t="s">
        <v>1263</v>
      </c>
      <c r="G636" s="214" t="s">
        <v>532</v>
      </c>
      <c r="H636" s="214" t="s">
        <v>395</v>
      </c>
      <c r="I636" s="214"/>
      <c r="J636" s="222" t="s">
        <v>67</v>
      </c>
      <c r="K636" s="222">
        <v>13.5</v>
      </c>
      <c r="L636" s="222" t="s">
        <v>67</v>
      </c>
      <c r="M636" s="222">
        <v>47.5</v>
      </c>
      <c r="N636" s="214">
        <v>87.0</v>
      </c>
      <c r="O636" s="214">
        <v>183.0</v>
      </c>
      <c r="P636" s="214">
        <v>2.0</v>
      </c>
      <c r="Q636" s="214" t="b">
        <v>0</v>
      </c>
      <c r="R636" s="214">
        <v>100.0</v>
      </c>
      <c r="S636" s="214" t="s">
        <v>680</v>
      </c>
      <c r="T636" s="214" t="s">
        <v>365</v>
      </c>
      <c r="U636" s="214"/>
    </row>
    <row r="637">
      <c r="A637" s="221">
        <v>45930.06847215278</v>
      </c>
      <c r="B637" s="214"/>
      <c r="C637" s="214"/>
      <c r="D637" s="214"/>
      <c r="E637" s="214"/>
      <c r="F637" s="214"/>
      <c r="G637" s="214"/>
      <c r="H637" s="214"/>
      <c r="I637" s="214"/>
      <c r="J637" s="222"/>
      <c r="K637" s="222"/>
      <c r="L637" s="222"/>
      <c r="M637" s="222"/>
      <c r="N637" s="214"/>
      <c r="O637" s="214"/>
      <c r="P637" s="214"/>
      <c r="Q637" s="214"/>
      <c r="R637" s="214"/>
      <c r="S637" s="214"/>
      <c r="T637" s="214"/>
      <c r="U637" s="214"/>
    </row>
    <row r="638">
      <c r="A638" s="221">
        <v>45930.06847215278</v>
      </c>
      <c r="B638" s="214" t="s">
        <v>311</v>
      </c>
      <c r="C638" s="214" t="s">
        <v>161</v>
      </c>
      <c r="D638" s="214">
        <v>2.0</v>
      </c>
      <c r="E638" s="214">
        <v>2.0</v>
      </c>
      <c r="F638" s="214"/>
      <c r="G638" s="214"/>
      <c r="H638" s="214"/>
      <c r="I638" s="214"/>
      <c r="J638" s="222"/>
      <c r="K638" s="222"/>
      <c r="L638" s="222"/>
      <c r="M638" s="222"/>
      <c r="N638" s="214">
        <v>125.0</v>
      </c>
      <c r="O638" s="214">
        <v>121.0</v>
      </c>
      <c r="P638" s="214">
        <v>0.0</v>
      </c>
      <c r="Q638" s="214" t="b">
        <v>1</v>
      </c>
      <c r="R638" s="214">
        <v>59.0</v>
      </c>
      <c r="S638" s="214" t="s">
        <v>361</v>
      </c>
      <c r="T638" s="214" t="s">
        <v>365</v>
      </c>
      <c r="U638" s="214"/>
    </row>
    <row r="639">
      <c r="A639" s="221">
        <v>45930.06847215278</v>
      </c>
      <c r="B639" s="214" t="s">
        <v>311</v>
      </c>
      <c r="C639" s="214" t="s">
        <v>234</v>
      </c>
      <c r="D639" s="214">
        <v>0.0</v>
      </c>
      <c r="E639" s="214">
        <v>4.0</v>
      </c>
      <c r="F639" s="214"/>
      <c r="G639" s="214"/>
      <c r="H639" s="214"/>
      <c r="I639" s="214"/>
      <c r="J639" s="222"/>
      <c r="K639" s="222"/>
      <c r="L639" s="222"/>
      <c r="M639" s="222"/>
      <c r="N639" s="214">
        <v>65.0</v>
      </c>
      <c r="O639" s="214">
        <v>171.0</v>
      </c>
      <c r="P639" s="214">
        <v>0.0</v>
      </c>
      <c r="Q639" s="214" t="b">
        <v>1</v>
      </c>
      <c r="R639" s="214">
        <v>59.0</v>
      </c>
      <c r="S639" s="214" t="s">
        <v>535</v>
      </c>
      <c r="T639" s="214" t="s">
        <v>365</v>
      </c>
      <c r="U639" s="214"/>
    </row>
    <row r="640">
      <c r="A640" s="221">
        <v>45930.06847215278</v>
      </c>
      <c r="B640" s="214" t="s">
        <v>311</v>
      </c>
      <c r="C640" s="214" t="s">
        <v>139</v>
      </c>
      <c r="D640" s="214">
        <v>3.0</v>
      </c>
      <c r="E640" s="214">
        <v>1.0</v>
      </c>
      <c r="F640" s="214"/>
      <c r="G640" s="214"/>
      <c r="H640" s="214"/>
      <c r="I640" s="214"/>
      <c r="J640" s="222"/>
      <c r="K640" s="222"/>
      <c r="L640" s="222"/>
      <c r="M640" s="222"/>
      <c r="N640" s="214">
        <v>140.0</v>
      </c>
      <c r="O640" s="214">
        <v>71.0</v>
      </c>
      <c r="P640" s="214">
        <v>0.0</v>
      </c>
      <c r="Q640" s="214" t="b">
        <v>1</v>
      </c>
      <c r="R640" s="214">
        <v>59.0</v>
      </c>
      <c r="S640" s="214" t="s">
        <v>407</v>
      </c>
      <c r="T640" s="214" t="s">
        <v>321</v>
      </c>
      <c r="U640" s="214"/>
    </row>
    <row r="641">
      <c r="A641" s="221">
        <v>45930.06847215278</v>
      </c>
      <c r="B641" s="214" t="s">
        <v>311</v>
      </c>
      <c r="C641" s="214" t="s">
        <v>125</v>
      </c>
      <c r="D641" s="214">
        <v>5.0</v>
      </c>
      <c r="E641" s="214">
        <v>0.0</v>
      </c>
      <c r="F641" s="214" t="s">
        <v>1264</v>
      </c>
      <c r="G641" s="214" t="s">
        <v>61</v>
      </c>
      <c r="H641" s="214" t="s">
        <v>493</v>
      </c>
      <c r="I641" s="214"/>
      <c r="J641" s="222" t="s">
        <v>67</v>
      </c>
      <c r="K641" s="222">
        <v>-6.5</v>
      </c>
      <c r="L641" s="222" t="s">
        <v>67</v>
      </c>
      <c r="M641" s="222">
        <v>48.5</v>
      </c>
      <c r="N641" s="214">
        <v>158.0</v>
      </c>
      <c r="O641" s="214">
        <v>71.0</v>
      </c>
      <c r="P641" s="214">
        <v>2.0</v>
      </c>
      <c r="Q641" s="214" t="b">
        <v>0</v>
      </c>
      <c r="R641" s="214">
        <v>100.0</v>
      </c>
      <c r="S641" s="214" t="s">
        <v>471</v>
      </c>
      <c r="T641" s="214" t="s">
        <v>321</v>
      </c>
      <c r="U641" s="214"/>
    </row>
    <row r="642">
      <c r="A642" s="221">
        <v>45930.06847215278</v>
      </c>
      <c r="B642" s="214" t="s">
        <v>311</v>
      </c>
      <c r="C642" s="214" t="s">
        <v>122</v>
      </c>
      <c r="D642" s="214">
        <v>2.0</v>
      </c>
      <c r="E642" s="214">
        <v>3.0</v>
      </c>
      <c r="F642" s="214" t="s">
        <v>1244</v>
      </c>
      <c r="G642" s="214" t="s">
        <v>61</v>
      </c>
      <c r="H642" s="214" t="s">
        <v>95</v>
      </c>
      <c r="I642" s="214"/>
      <c r="J642" s="222" t="s">
        <v>67</v>
      </c>
      <c r="K642" s="222">
        <v>10.5</v>
      </c>
      <c r="L642" s="222" t="s">
        <v>67</v>
      </c>
      <c r="M642" s="222">
        <v>57.5</v>
      </c>
      <c r="N642" s="214">
        <v>118.0</v>
      </c>
      <c r="O642" s="214">
        <v>140.0</v>
      </c>
      <c r="P642" s="214">
        <v>2.0</v>
      </c>
      <c r="Q642" s="214" t="b">
        <v>1</v>
      </c>
      <c r="R642" s="214">
        <v>100.0</v>
      </c>
      <c r="S642" s="214" t="s">
        <v>317</v>
      </c>
      <c r="T642" s="214" t="s">
        <v>321</v>
      </c>
      <c r="U642" s="214"/>
    </row>
    <row r="643">
      <c r="A643" s="221">
        <v>45930.06847215278</v>
      </c>
      <c r="B643" s="214" t="s">
        <v>311</v>
      </c>
      <c r="C643" s="214" t="s">
        <v>206</v>
      </c>
      <c r="D643" s="214">
        <v>4.0</v>
      </c>
      <c r="E643" s="214">
        <v>1.0</v>
      </c>
      <c r="F643" s="214" t="s">
        <v>1265</v>
      </c>
      <c r="G643" s="214" t="s">
        <v>61</v>
      </c>
      <c r="H643" s="214" t="s">
        <v>249</v>
      </c>
      <c r="I643" s="214"/>
      <c r="J643" s="222" t="s">
        <v>67</v>
      </c>
      <c r="K643" s="222">
        <v>1.5</v>
      </c>
      <c r="L643" s="222" t="s">
        <v>67</v>
      </c>
      <c r="M643" s="222">
        <v>56.5</v>
      </c>
      <c r="N643" s="214">
        <v>135.0</v>
      </c>
      <c r="O643" s="214">
        <v>61.0</v>
      </c>
      <c r="P643" s="214">
        <v>2.0</v>
      </c>
      <c r="Q643" s="214" t="b">
        <v>0</v>
      </c>
      <c r="R643" s="214">
        <v>100.0</v>
      </c>
      <c r="S643" s="214" t="s">
        <v>556</v>
      </c>
      <c r="T643" s="214" t="s">
        <v>321</v>
      </c>
      <c r="U643" s="214"/>
    </row>
    <row r="644">
      <c r="A644" s="221">
        <v>45930.06847215278</v>
      </c>
      <c r="B644" s="214" t="s">
        <v>311</v>
      </c>
      <c r="C644" s="214" t="s">
        <v>172</v>
      </c>
      <c r="D644" s="214">
        <v>1.0</v>
      </c>
      <c r="E644" s="214">
        <v>3.0</v>
      </c>
      <c r="F644" s="214" t="s">
        <v>1266</v>
      </c>
      <c r="G644" s="214" t="s">
        <v>61</v>
      </c>
      <c r="H644" s="214" t="s">
        <v>249</v>
      </c>
      <c r="I644" s="214"/>
      <c r="J644" s="222" t="s">
        <v>67</v>
      </c>
      <c r="K644" s="222">
        <v>2.5</v>
      </c>
      <c r="L644" s="222" t="s">
        <v>67</v>
      </c>
      <c r="M644" s="222">
        <v>43.5</v>
      </c>
      <c r="N644" s="214">
        <v>41.0</v>
      </c>
      <c r="O644" s="214">
        <v>81.0</v>
      </c>
      <c r="P644" s="214">
        <v>2.0</v>
      </c>
      <c r="Q644" s="214" t="b">
        <v>1</v>
      </c>
      <c r="R644" s="214">
        <v>100.0</v>
      </c>
      <c r="S644" s="214" t="s">
        <v>530</v>
      </c>
      <c r="T644" s="214" t="s">
        <v>365</v>
      </c>
      <c r="U644" s="214"/>
    </row>
    <row r="645">
      <c r="A645" s="221">
        <v>45930.06847215278</v>
      </c>
      <c r="B645" s="214" t="s">
        <v>311</v>
      </c>
      <c r="C645" s="214" t="s">
        <v>186</v>
      </c>
      <c r="D645" s="214">
        <v>3.0</v>
      </c>
      <c r="E645" s="214">
        <v>2.0</v>
      </c>
      <c r="F645" s="214" t="s">
        <v>1267</v>
      </c>
      <c r="G645" s="214" t="s">
        <v>61</v>
      </c>
      <c r="H645" s="214" t="s">
        <v>395</v>
      </c>
      <c r="I645" s="214"/>
      <c r="J645" s="222" t="s">
        <v>67</v>
      </c>
      <c r="K645" s="222">
        <v>22.5</v>
      </c>
      <c r="L645" s="222" t="s">
        <v>67</v>
      </c>
      <c r="M645" s="222">
        <v>58.5</v>
      </c>
      <c r="N645" s="214">
        <v>182.0</v>
      </c>
      <c r="O645" s="214">
        <v>152.0</v>
      </c>
      <c r="P645" s="214">
        <v>2.0</v>
      </c>
      <c r="Q645" s="214" t="b">
        <v>0</v>
      </c>
      <c r="R645" s="214">
        <v>100.0</v>
      </c>
      <c r="S645" s="214" t="s">
        <v>525</v>
      </c>
      <c r="T645" s="214" t="s">
        <v>365</v>
      </c>
      <c r="U645" s="214"/>
    </row>
    <row r="646">
      <c r="A646" s="221">
        <v>45930.06847215278</v>
      </c>
      <c r="B646" s="214" t="s">
        <v>311</v>
      </c>
      <c r="C646" s="214" t="s">
        <v>152</v>
      </c>
      <c r="D646" s="214">
        <v>2.0</v>
      </c>
      <c r="E646" s="214">
        <v>3.0</v>
      </c>
      <c r="F646" s="214" t="s">
        <v>1261</v>
      </c>
      <c r="G646" s="214" t="s">
        <v>597</v>
      </c>
      <c r="H646" s="214" t="s">
        <v>193</v>
      </c>
      <c r="I646" s="214"/>
      <c r="J646" s="222" t="s">
        <v>67</v>
      </c>
      <c r="K646" s="222">
        <v>1.5</v>
      </c>
      <c r="L646" s="222" t="s">
        <v>67</v>
      </c>
      <c r="M646" s="222">
        <v>47.5</v>
      </c>
      <c r="N646" s="214">
        <v>158.0</v>
      </c>
      <c r="O646" s="214">
        <v>155.0</v>
      </c>
      <c r="P646" s="214">
        <v>2.0</v>
      </c>
      <c r="Q646" s="214" t="b">
        <v>1</v>
      </c>
      <c r="R646" s="214">
        <v>100.0</v>
      </c>
      <c r="S646" s="214" t="s">
        <v>441</v>
      </c>
      <c r="T646" s="214" t="s">
        <v>365</v>
      </c>
      <c r="U646" s="214"/>
    </row>
    <row r="647">
      <c r="A647" s="221">
        <v>45930.06847215278</v>
      </c>
      <c r="B647" s="214" t="s">
        <v>311</v>
      </c>
      <c r="C647" s="214" t="s">
        <v>192</v>
      </c>
      <c r="D647" s="214">
        <v>5.0</v>
      </c>
      <c r="E647" s="214">
        <v>0.0</v>
      </c>
      <c r="F647" s="214" t="s">
        <v>1243</v>
      </c>
      <c r="G647" s="214" t="s">
        <v>597</v>
      </c>
      <c r="H647" s="214" t="s">
        <v>43</v>
      </c>
      <c r="I647" s="214"/>
      <c r="J647" s="222" t="s">
        <v>67</v>
      </c>
      <c r="K647" s="222">
        <v>3.5</v>
      </c>
      <c r="L647" s="222" t="s">
        <v>67</v>
      </c>
      <c r="M647" s="222">
        <v>52.5</v>
      </c>
      <c r="N647" s="214">
        <v>233.0</v>
      </c>
      <c r="O647" s="214">
        <v>61.0</v>
      </c>
      <c r="P647" s="214">
        <v>2.0</v>
      </c>
      <c r="Q647" s="214" t="b">
        <v>1</v>
      </c>
      <c r="R647" s="214">
        <v>100.0</v>
      </c>
      <c r="S647" s="214" t="s">
        <v>407</v>
      </c>
      <c r="T647" s="214" t="s">
        <v>321</v>
      </c>
      <c r="U647" s="214"/>
    </row>
    <row r="648">
      <c r="A648" s="221">
        <v>45930.06847215278</v>
      </c>
      <c r="B648" s="214"/>
      <c r="C648" s="214"/>
      <c r="D648" s="214"/>
      <c r="E648" s="214"/>
      <c r="F648" s="214"/>
      <c r="G648" s="214"/>
      <c r="H648" s="214"/>
      <c r="I648" s="214"/>
      <c r="J648" s="222"/>
      <c r="K648" s="222"/>
      <c r="L648" s="222"/>
      <c r="M648" s="222"/>
      <c r="N648" s="214"/>
      <c r="O648" s="214"/>
      <c r="P648" s="214"/>
      <c r="Q648" s="214"/>
      <c r="R648" s="214"/>
      <c r="S648" s="214"/>
      <c r="T648" s="214"/>
      <c r="U648" s="214"/>
    </row>
    <row r="649">
      <c r="A649" s="221">
        <v>45930.06847215278</v>
      </c>
      <c r="B649" s="214" t="s">
        <v>224</v>
      </c>
      <c r="C649" s="214" t="s">
        <v>140</v>
      </c>
      <c r="D649" s="214">
        <v>3.0</v>
      </c>
      <c r="E649" s="214">
        <v>1.0</v>
      </c>
      <c r="F649" s="214"/>
      <c r="G649" s="214"/>
      <c r="H649" s="214"/>
      <c r="I649" s="214"/>
      <c r="J649" s="222"/>
      <c r="K649" s="222"/>
      <c r="L649" s="222"/>
      <c r="M649" s="222"/>
      <c r="N649" s="214">
        <v>137.0</v>
      </c>
      <c r="O649" s="214">
        <v>115.0</v>
      </c>
      <c r="P649" s="214">
        <v>0.0</v>
      </c>
      <c r="Q649" s="214" t="b">
        <v>1</v>
      </c>
      <c r="R649" s="214">
        <v>59.0</v>
      </c>
      <c r="S649" s="214" t="s">
        <v>407</v>
      </c>
      <c r="T649" s="214" t="s">
        <v>321</v>
      </c>
      <c r="U649" s="214"/>
    </row>
    <row r="650">
      <c r="A650" s="221">
        <v>45930.06847215278</v>
      </c>
      <c r="B650" s="214" t="s">
        <v>224</v>
      </c>
      <c r="C650" s="214" t="s">
        <v>203</v>
      </c>
      <c r="D650" s="214">
        <v>1.0</v>
      </c>
      <c r="E650" s="214">
        <v>3.0</v>
      </c>
      <c r="F650" s="214"/>
      <c r="G650" s="214"/>
      <c r="H650" s="214"/>
      <c r="I650" s="214"/>
      <c r="J650" s="222"/>
      <c r="K650" s="222"/>
      <c r="L650" s="222"/>
      <c r="M650" s="222"/>
      <c r="N650" s="214">
        <v>88.0</v>
      </c>
      <c r="O650" s="214">
        <v>64.0</v>
      </c>
      <c r="P650" s="214">
        <v>0.0</v>
      </c>
      <c r="Q650" s="214" t="b">
        <v>1</v>
      </c>
      <c r="R650" s="214">
        <v>59.0</v>
      </c>
      <c r="S650" s="214" t="s">
        <v>556</v>
      </c>
      <c r="T650" s="214" t="s">
        <v>321</v>
      </c>
      <c r="U650" s="214"/>
    </row>
    <row r="651">
      <c r="A651" s="221">
        <v>45930.06847215278</v>
      </c>
      <c r="B651" s="214" t="s">
        <v>224</v>
      </c>
      <c r="C651" s="214" t="s">
        <v>235</v>
      </c>
      <c r="D651" s="214">
        <v>3.0</v>
      </c>
      <c r="E651" s="214">
        <v>1.0</v>
      </c>
      <c r="F651" s="214"/>
      <c r="G651" s="214"/>
      <c r="H651" s="214"/>
      <c r="I651" s="214"/>
      <c r="J651" s="222"/>
      <c r="K651" s="222"/>
      <c r="L651" s="222"/>
      <c r="M651" s="222"/>
      <c r="N651" s="214">
        <v>124.0</v>
      </c>
      <c r="O651" s="214">
        <v>105.0</v>
      </c>
      <c r="P651" s="214">
        <v>0.0</v>
      </c>
      <c r="Q651" s="214" t="b">
        <v>1</v>
      </c>
      <c r="R651" s="214">
        <v>59.0</v>
      </c>
      <c r="S651" s="214" t="s">
        <v>535</v>
      </c>
      <c r="T651" s="214" t="s">
        <v>365</v>
      </c>
      <c r="U651" s="214"/>
    </row>
    <row r="652">
      <c r="A652" s="221">
        <v>45930.06847215278</v>
      </c>
      <c r="B652" s="214" t="s">
        <v>224</v>
      </c>
      <c r="C652" s="214" t="s">
        <v>185</v>
      </c>
      <c r="D652" s="214">
        <v>4.0</v>
      </c>
      <c r="E652" s="214">
        <v>0.0</v>
      </c>
      <c r="F652" s="214"/>
      <c r="G652" s="214"/>
      <c r="H652" s="214"/>
      <c r="I652" s="214"/>
      <c r="J652" s="222"/>
      <c r="K652" s="222"/>
      <c r="L652" s="222"/>
      <c r="M652" s="222"/>
      <c r="N652" s="214">
        <v>147.0</v>
      </c>
      <c r="O652" s="214">
        <v>113.0</v>
      </c>
      <c r="P652" s="214">
        <v>0.0</v>
      </c>
      <c r="Q652" s="214" t="b">
        <v>1</v>
      </c>
      <c r="R652" s="214">
        <v>59.0</v>
      </c>
      <c r="S652" s="214" t="s">
        <v>525</v>
      </c>
      <c r="T652" s="214" t="s">
        <v>365</v>
      </c>
      <c r="U652" s="214"/>
    </row>
    <row r="653">
      <c r="A653" s="221">
        <v>45930.06847215278</v>
      </c>
      <c r="B653" s="214" t="s">
        <v>224</v>
      </c>
      <c r="C653" s="214" t="s">
        <v>191</v>
      </c>
      <c r="D653" s="214">
        <v>2.0</v>
      </c>
      <c r="E653" s="214">
        <v>3.0</v>
      </c>
      <c r="F653" s="214" t="s">
        <v>1268</v>
      </c>
      <c r="G653" s="214" t="s">
        <v>61</v>
      </c>
      <c r="H653" s="214" t="s">
        <v>224</v>
      </c>
      <c r="I653" s="214"/>
      <c r="J653" s="222" t="s">
        <v>67</v>
      </c>
      <c r="K653" s="222">
        <v>6.5</v>
      </c>
      <c r="L653" s="222" t="s">
        <v>67</v>
      </c>
      <c r="M653" s="222">
        <v>49.5</v>
      </c>
      <c r="N653" s="214">
        <v>129.0</v>
      </c>
      <c r="O653" s="214">
        <v>114.0</v>
      </c>
      <c r="P653" s="214">
        <v>2.0</v>
      </c>
      <c r="Q653" s="214" t="b">
        <v>1</v>
      </c>
      <c r="R653" s="214">
        <v>100.0</v>
      </c>
      <c r="S653" s="214" t="s">
        <v>471</v>
      </c>
      <c r="T653" s="214" t="s">
        <v>321</v>
      </c>
      <c r="U653" s="214"/>
    </row>
    <row r="654">
      <c r="A654" s="221">
        <v>45930.06847215278</v>
      </c>
      <c r="B654" s="214" t="s">
        <v>224</v>
      </c>
      <c r="C654" s="214" t="s">
        <v>226</v>
      </c>
      <c r="D654" s="214">
        <v>4.0</v>
      </c>
      <c r="E654" s="214">
        <v>0.0</v>
      </c>
      <c r="F654" s="214" t="s">
        <v>1268</v>
      </c>
      <c r="G654" s="214" t="s">
        <v>61</v>
      </c>
      <c r="H654" s="214" t="s">
        <v>224</v>
      </c>
      <c r="I654" s="214"/>
      <c r="J654" s="222" t="s">
        <v>67</v>
      </c>
      <c r="K654" s="222">
        <v>-6.5</v>
      </c>
      <c r="L654" s="222" t="s">
        <v>67</v>
      </c>
      <c r="M654" s="222">
        <v>49.5</v>
      </c>
      <c r="N654" s="214">
        <v>154.0</v>
      </c>
      <c r="O654" s="214">
        <v>37.0</v>
      </c>
      <c r="P654" s="214">
        <v>2.0</v>
      </c>
      <c r="Q654" s="214" t="b">
        <v>0</v>
      </c>
      <c r="R654" s="214">
        <v>100.0</v>
      </c>
      <c r="S654" s="214" t="s">
        <v>471</v>
      </c>
      <c r="T654" s="214" t="s">
        <v>321</v>
      </c>
      <c r="U654" s="214"/>
    </row>
    <row r="655">
      <c r="A655" s="221">
        <v>45930.06847215278</v>
      </c>
      <c r="B655" s="214" t="s">
        <v>224</v>
      </c>
      <c r="C655" s="214" t="s">
        <v>103</v>
      </c>
      <c r="D655" s="214">
        <v>4.0</v>
      </c>
      <c r="E655" s="214">
        <v>0.0</v>
      </c>
      <c r="F655" s="214" t="s">
        <v>1241</v>
      </c>
      <c r="G655" s="214" t="s">
        <v>61</v>
      </c>
      <c r="H655" s="214" t="s">
        <v>43</v>
      </c>
      <c r="I655" s="214"/>
      <c r="J655" s="222" t="s">
        <v>67</v>
      </c>
      <c r="K655" s="222">
        <v>-14.0</v>
      </c>
      <c r="L655" s="222" t="s">
        <v>67</v>
      </c>
      <c r="M655" s="222">
        <v>45.5</v>
      </c>
      <c r="N655" s="214">
        <v>153.0</v>
      </c>
      <c r="O655" s="214">
        <v>67.0</v>
      </c>
      <c r="P655" s="214">
        <v>2.0</v>
      </c>
      <c r="Q655" s="214" t="b">
        <v>0</v>
      </c>
      <c r="R655" s="214">
        <v>100.0</v>
      </c>
      <c r="S655" s="214" t="s">
        <v>361</v>
      </c>
      <c r="T655" s="214" t="s">
        <v>365</v>
      </c>
      <c r="U655" s="214"/>
    </row>
    <row r="656">
      <c r="A656" s="221">
        <v>45930.06847215278</v>
      </c>
      <c r="B656" s="214" t="s">
        <v>224</v>
      </c>
      <c r="C656" s="214" t="s">
        <v>216</v>
      </c>
      <c r="D656" s="214">
        <v>2.0</v>
      </c>
      <c r="E656" s="214">
        <v>3.0</v>
      </c>
      <c r="F656" s="214" t="s">
        <v>1269</v>
      </c>
      <c r="G656" s="214" t="s">
        <v>61</v>
      </c>
      <c r="H656" s="214" t="s">
        <v>395</v>
      </c>
      <c r="I656" s="214"/>
      <c r="J656" s="222" t="s">
        <v>67</v>
      </c>
      <c r="K656" s="222">
        <v>16.5</v>
      </c>
      <c r="L656" s="222" t="s">
        <v>67</v>
      </c>
      <c r="M656" s="222">
        <v>56.5</v>
      </c>
      <c r="N656" s="214">
        <v>130.0</v>
      </c>
      <c r="O656" s="214">
        <v>187.0</v>
      </c>
      <c r="P656" s="214">
        <v>2.0</v>
      </c>
      <c r="Q656" s="214" t="b">
        <v>0</v>
      </c>
      <c r="R656" s="214">
        <v>100.0</v>
      </c>
      <c r="S656" s="214" t="s">
        <v>441</v>
      </c>
      <c r="T656" s="214" t="s">
        <v>365</v>
      </c>
      <c r="U656" s="214"/>
    </row>
    <row r="657">
      <c r="A657" s="221">
        <v>45930.06847215278</v>
      </c>
      <c r="B657" s="214" t="s">
        <v>224</v>
      </c>
      <c r="C657" s="214" t="s">
        <v>166</v>
      </c>
      <c r="D657" s="214">
        <v>2.0</v>
      </c>
      <c r="E657" s="214">
        <v>3.0</v>
      </c>
      <c r="F657" s="214" t="s">
        <v>1270</v>
      </c>
      <c r="G657" s="214" t="s">
        <v>61</v>
      </c>
      <c r="H657" s="214" t="s">
        <v>96</v>
      </c>
      <c r="I657" s="214"/>
      <c r="J657" s="222" t="s">
        <v>67</v>
      </c>
      <c r="K657" s="222">
        <v>7.5</v>
      </c>
      <c r="L657" s="222" t="s">
        <v>67</v>
      </c>
      <c r="M657" s="222">
        <v>50.5</v>
      </c>
      <c r="N657" s="214">
        <v>106.0</v>
      </c>
      <c r="O657" s="214">
        <v>129.0</v>
      </c>
      <c r="P657" s="214">
        <v>2.0</v>
      </c>
      <c r="Q657" s="214" t="b">
        <v>0</v>
      </c>
      <c r="R657" s="214">
        <v>100.0</v>
      </c>
      <c r="S657" s="214" t="s">
        <v>530</v>
      </c>
      <c r="T657" s="214" t="s">
        <v>365</v>
      </c>
      <c r="U657" s="214"/>
    </row>
    <row r="658">
      <c r="A658" s="221">
        <v>45930.06847215278</v>
      </c>
      <c r="B658" s="214" t="s">
        <v>224</v>
      </c>
      <c r="C658" s="214" t="s">
        <v>113</v>
      </c>
      <c r="D658" s="214">
        <v>3.0</v>
      </c>
      <c r="E658" s="214">
        <v>1.0</v>
      </c>
      <c r="F658" s="214" t="s">
        <v>1271</v>
      </c>
      <c r="G658" s="214" t="s">
        <v>597</v>
      </c>
      <c r="H658" s="214" t="s">
        <v>96</v>
      </c>
      <c r="I658" s="214"/>
      <c r="J658" s="222" t="s">
        <v>67</v>
      </c>
      <c r="K658" s="222">
        <v>-6.5</v>
      </c>
      <c r="L658" s="222" t="s">
        <v>67</v>
      </c>
      <c r="M658" s="222">
        <v>59.5</v>
      </c>
      <c r="N658" s="214">
        <v>212.0</v>
      </c>
      <c r="O658" s="214">
        <v>76.0</v>
      </c>
      <c r="P658" s="214">
        <v>2.0</v>
      </c>
      <c r="Q658" s="214" t="b">
        <v>0</v>
      </c>
      <c r="R658" s="214">
        <v>100.0</v>
      </c>
      <c r="S658" s="214" t="s">
        <v>317</v>
      </c>
      <c r="T658" s="214" t="s">
        <v>321</v>
      </c>
      <c r="U658" s="214"/>
    </row>
    <row r="659">
      <c r="A659" s="221">
        <v>45930.06847215278</v>
      </c>
      <c r="B659" s="214"/>
      <c r="C659" s="214"/>
      <c r="D659" s="214"/>
      <c r="E659" s="214"/>
      <c r="F659" s="214"/>
      <c r="G659" s="214"/>
      <c r="H659" s="214"/>
      <c r="I659" s="214"/>
      <c r="J659" s="222"/>
      <c r="K659" s="222"/>
      <c r="L659" s="222"/>
      <c r="M659" s="222"/>
      <c r="N659" s="214"/>
      <c r="O659" s="214"/>
      <c r="P659" s="214"/>
      <c r="Q659" s="214"/>
      <c r="R659" s="214"/>
      <c r="S659" s="214"/>
      <c r="T659" s="214"/>
      <c r="U659" s="214"/>
    </row>
    <row r="660">
      <c r="A660" s="221">
        <v>45930.06847215278</v>
      </c>
      <c r="B660" s="214" t="s">
        <v>96</v>
      </c>
      <c r="C660" s="214" t="s">
        <v>142</v>
      </c>
      <c r="D660" s="214">
        <v>3.0</v>
      </c>
      <c r="E660" s="214">
        <v>1.0</v>
      </c>
      <c r="F660" s="214"/>
      <c r="G660" s="214"/>
      <c r="H660" s="214"/>
      <c r="I660" s="214"/>
      <c r="J660" s="222"/>
      <c r="K660" s="222"/>
      <c r="L660" s="222"/>
      <c r="M660" s="222"/>
      <c r="N660" s="214">
        <v>174.0</v>
      </c>
      <c r="O660" s="214">
        <v>54.0</v>
      </c>
      <c r="P660" s="214">
        <v>0.0</v>
      </c>
      <c r="Q660" s="214" t="b">
        <v>1</v>
      </c>
      <c r="R660" s="214">
        <v>59.0</v>
      </c>
      <c r="S660" s="214" t="s">
        <v>407</v>
      </c>
      <c r="T660" s="214" t="s">
        <v>321</v>
      </c>
      <c r="U660" s="214"/>
    </row>
    <row r="661">
      <c r="A661" s="221">
        <v>45930.06847215278</v>
      </c>
      <c r="B661" s="214" t="s">
        <v>96</v>
      </c>
      <c r="C661" s="214" t="s">
        <v>222</v>
      </c>
      <c r="D661" s="214">
        <v>2.0</v>
      </c>
      <c r="E661" s="214">
        <v>2.0</v>
      </c>
      <c r="F661" s="214"/>
      <c r="G661" s="214"/>
      <c r="H661" s="214"/>
      <c r="I661" s="214"/>
      <c r="J661" s="222"/>
      <c r="K661" s="222"/>
      <c r="L661" s="222"/>
      <c r="M661" s="222"/>
      <c r="N661" s="214">
        <v>82.0</v>
      </c>
      <c r="O661" s="214">
        <v>92.0</v>
      </c>
      <c r="P661" s="214">
        <v>0.0</v>
      </c>
      <c r="Q661" s="214" t="b">
        <v>1</v>
      </c>
      <c r="R661" s="214">
        <v>59.0</v>
      </c>
      <c r="S661" s="214" t="s">
        <v>441</v>
      </c>
      <c r="T661" s="214" t="s">
        <v>365</v>
      </c>
      <c r="U661" s="214"/>
    </row>
    <row r="662">
      <c r="A662" s="221">
        <v>45930.06847215278</v>
      </c>
      <c r="B662" s="214" t="s">
        <v>96</v>
      </c>
      <c r="C662" s="214" t="s">
        <v>105</v>
      </c>
      <c r="D662" s="214">
        <v>3.0</v>
      </c>
      <c r="E662" s="214">
        <v>1.0</v>
      </c>
      <c r="F662" s="214"/>
      <c r="G662" s="214"/>
      <c r="H662" s="214"/>
      <c r="I662" s="214"/>
      <c r="J662" s="222" t="s">
        <v>67</v>
      </c>
      <c r="K662" s="222">
        <v>-27.5</v>
      </c>
      <c r="L662" s="222" t="s">
        <v>67</v>
      </c>
      <c r="M662" s="222">
        <v>56.5</v>
      </c>
      <c r="N662" s="214">
        <v>127.0</v>
      </c>
      <c r="O662" s="214">
        <v>86.0</v>
      </c>
      <c r="P662" s="214">
        <v>0.0</v>
      </c>
      <c r="Q662" s="214" t="b">
        <v>1</v>
      </c>
      <c r="R662" s="214">
        <v>59.0</v>
      </c>
      <c r="S662" s="214" t="s">
        <v>361</v>
      </c>
      <c r="T662" s="214" t="s">
        <v>365</v>
      </c>
      <c r="U662" s="214"/>
    </row>
    <row r="663">
      <c r="A663" s="221">
        <v>45930.06847215278</v>
      </c>
      <c r="B663" s="214" t="s">
        <v>96</v>
      </c>
      <c r="C663" s="214" t="s">
        <v>204</v>
      </c>
      <c r="D663" s="214">
        <v>3.0</v>
      </c>
      <c r="E663" s="214">
        <v>1.0</v>
      </c>
      <c r="F663" s="214" t="s">
        <v>1249</v>
      </c>
      <c r="G663" s="214" t="s">
        <v>61</v>
      </c>
      <c r="H663" s="214" t="s">
        <v>62</v>
      </c>
      <c r="I663" s="214"/>
      <c r="J663" s="222" t="s">
        <v>67</v>
      </c>
      <c r="K663" s="222">
        <v>-3.0</v>
      </c>
      <c r="L663" s="222" t="s">
        <v>67</v>
      </c>
      <c r="M663" s="222">
        <v>53.5</v>
      </c>
      <c r="N663" s="214">
        <v>138.0</v>
      </c>
      <c r="O663" s="214">
        <v>78.0</v>
      </c>
      <c r="P663" s="214">
        <v>2.0</v>
      </c>
      <c r="Q663" s="214" t="b">
        <v>0</v>
      </c>
      <c r="R663" s="214">
        <v>100.0</v>
      </c>
      <c r="S663" s="214" t="s">
        <v>556</v>
      </c>
      <c r="T663" s="214" t="s">
        <v>321</v>
      </c>
      <c r="U663" s="214"/>
    </row>
    <row r="664">
      <c r="A664" s="221">
        <v>45930.06847215278</v>
      </c>
      <c r="B664" s="214" t="s">
        <v>96</v>
      </c>
      <c r="C664" s="214" t="s">
        <v>153</v>
      </c>
      <c r="D664" s="214">
        <v>1.0</v>
      </c>
      <c r="E664" s="214">
        <v>4.0</v>
      </c>
      <c r="F664" s="214" t="s">
        <v>1245</v>
      </c>
      <c r="G664" s="214" t="s">
        <v>61</v>
      </c>
      <c r="H664" s="214" t="s">
        <v>95</v>
      </c>
      <c r="I664" s="214"/>
      <c r="J664" s="222" t="s">
        <v>67</v>
      </c>
      <c r="K664" s="222">
        <v>7.5</v>
      </c>
      <c r="L664" s="222" t="s">
        <v>67</v>
      </c>
      <c r="M664" s="222">
        <v>53.5</v>
      </c>
      <c r="N664" s="214">
        <v>82.0</v>
      </c>
      <c r="O664" s="214">
        <v>155.0</v>
      </c>
      <c r="P664" s="214">
        <v>2.0</v>
      </c>
      <c r="Q664" s="214" t="b">
        <v>0</v>
      </c>
      <c r="R664" s="214">
        <v>100.0</v>
      </c>
      <c r="S664" s="214" t="s">
        <v>535</v>
      </c>
      <c r="T664" s="214" t="s">
        <v>365</v>
      </c>
      <c r="U664" s="214"/>
    </row>
    <row r="665">
      <c r="A665" s="221">
        <v>45930.06847215278</v>
      </c>
      <c r="B665" s="214" t="s">
        <v>96</v>
      </c>
      <c r="C665" s="214" t="s">
        <v>536</v>
      </c>
      <c r="D665" s="214">
        <v>4.0</v>
      </c>
      <c r="E665" s="214">
        <v>2.0</v>
      </c>
      <c r="F665" s="214" t="s">
        <v>1238</v>
      </c>
      <c r="G665" s="214" t="s">
        <v>61</v>
      </c>
      <c r="H665" s="214" t="s">
        <v>43</v>
      </c>
      <c r="I665" s="214"/>
      <c r="J665" s="222" t="s">
        <v>67</v>
      </c>
      <c r="K665" s="222">
        <v>6.5</v>
      </c>
      <c r="L665" s="222" t="s">
        <v>67</v>
      </c>
      <c r="M665" s="222">
        <v>53.5</v>
      </c>
      <c r="N665" s="214">
        <v>154.0</v>
      </c>
      <c r="O665" s="214">
        <v>141.0</v>
      </c>
      <c r="P665" s="214">
        <v>2.0</v>
      </c>
      <c r="Q665" s="214" t="b">
        <v>0</v>
      </c>
      <c r="R665" s="214">
        <v>100.0</v>
      </c>
      <c r="S665" s="214" t="s">
        <v>525</v>
      </c>
      <c r="T665" s="214" t="s">
        <v>365</v>
      </c>
      <c r="U665" s="214"/>
    </row>
    <row r="666">
      <c r="A666" s="221">
        <v>45930.06847215278</v>
      </c>
      <c r="B666" s="214" t="s">
        <v>96</v>
      </c>
      <c r="C666" s="214" t="s">
        <v>129</v>
      </c>
      <c r="D666" s="214">
        <v>1.0</v>
      </c>
      <c r="E666" s="214">
        <v>3.0</v>
      </c>
      <c r="F666" s="214" t="s">
        <v>1272</v>
      </c>
      <c r="G666" s="214" t="s">
        <v>61</v>
      </c>
      <c r="H666" s="214" t="s">
        <v>249</v>
      </c>
      <c r="I666" s="214"/>
      <c r="J666" s="222" t="s">
        <v>67</v>
      </c>
      <c r="K666" s="222">
        <v>20.5</v>
      </c>
      <c r="L666" s="222" t="s">
        <v>67</v>
      </c>
      <c r="M666" s="222">
        <v>58.5</v>
      </c>
      <c r="N666" s="214">
        <v>69.0</v>
      </c>
      <c r="O666" s="214">
        <v>140.0</v>
      </c>
      <c r="P666" s="214">
        <v>2.0</v>
      </c>
      <c r="Q666" s="214" t="b">
        <v>1</v>
      </c>
      <c r="R666" s="214">
        <v>100.0</v>
      </c>
      <c r="S666" s="214" t="s">
        <v>471</v>
      </c>
      <c r="T666" s="214" t="s">
        <v>321</v>
      </c>
      <c r="U666" s="214"/>
    </row>
    <row r="667">
      <c r="A667" s="221">
        <v>45930.06847215278</v>
      </c>
      <c r="B667" s="214" t="s">
        <v>96</v>
      </c>
      <c r="C667" s="214" t="s">
        <v>229</v>
      </c>
      <c r="D667" s="214">
        <v>2.0</v>
      </c>
      <c r="E667" s="214">
        <v>2.0</v>
      </c>
      <c r="F667" s="214" t="s">
        <v>1273</v>
      </c>
      <c r="G667" s="214" t="s">
        <v>61</v>
      </c>
      <c r="H667" s="214" t="s">
        <v>156</v>
      </c>
      <c r="I667" s="214"/>
      <c r="J667" s="222" t="s">
        <v>67</v>
      </c>
      <c r="K667" s="222">
        <v>-4.5</v>
      </c>
      <c r="L667" s="222" t="s">
        <v>67</v>
      </c>
      <c r="M667" s="222">
        <v>63.5</v>
      </c>
      <c r="N667" s="214">
        <v>176.0</v>
      </c>
      <c r="O667" s="214">
        <v>111.0</v>
      </c>
      <c r="P667" s="214">
        <v>2.0</v>
      </c>
      <c r="Q667" s="214" t="b">
        <v>0</v>
      </c>
      <c r="R667" s="214">
        <v>100.0</v>
      </c>
      <c r="S667" s="214" t="s">
        <v>725</v>
      </c>
      <c r="T667" s="214"/>
      <c r="U667" s="214"/>
    </row>
    <row r="668">
      <c r="A668" s="221">
        <v>45930.06847215278</v>
      </c>
      <c r="B668" s="214" t="s">
        <v>96</v>
      </c>
      <c r="C668" s="214" t="s">
        <v>173</v>
      </c>
      <c r="D668" s="214">
        <v>3.0</v>
      </c>
      <c r="E668" s="214">
        <v>2.0</v>
      </c>
      <c r="F668" s="214" t="s">
        <v>1270</v>
      </c>
      <c r="G668" s="214" t="s">
        <v>61</v>
      </c>
      <c r="H668" s="214" t="s">
        <v>224</v>
      </c>
      <c r="I668" s="214"/>
      <c r="J668" s="222" t="s">
        <v>67</v>
      </c>
      <c r="K668" s="222">
        <v>-7.5</v>
      </c>
      <c r="L668" s="222" t="s">
        <v>67</v>
      </c>
      <c r="M668" s="222">
        <v>50.5</v>
      </c>
      <c r="N668" s="214">
        <v>144.0</v>
      </c>
      <c r="O668" s="214">
        <v>136.0</v>
      </c>
      <c r="P668" s="214">
        <v>2.0</v>
      </c>
      <c r="Q668" s="214" t="b">
        <v>1</v>
      </c>
      <c r="R668" s="214">
        <v>100.0</v>
      </c>
      <c r="S668" s="214" t="s">
        <v>530</v>
      </c>
      <c r="T668" s="214" t="s">
        <v>365</v>
      </c>
      <c r="U668" s="214"/>
    </row>
    <row r="669">
      <c r="A669" s="221">
        <v>45930.06847215278</v>
      </c>
      <c r="B669" s="214" t="s">
        <v>96</v>
      </c>
      <c r="C669" s="214" t="s">
        <v>121</v>
      </c>
      <c r="D669" s="214">
        <v>4.0</v>
      </c>
      <c r="E669" s="214">
        <v>1.0</v>
      </c>
      <c r="F669" s="214" t="s">
        <v>1271</v>
      </c>
      <c r="G669" s="214" t="s">
        <v>597</v>
      </c>
      <c r="H669" s="214" t="s">
        <v>224</v>
      </c>
      <c r="I669" s="214"/>
      <c r="J669" s="222" t="s">
        <v>67</v>
      </c>
      <c r="K669" s="222">
        <v>6.5</v>
      </c>
      <c r="L669" s="222" t="s">
        <v>67</v>
      </c>
      <c r="M669" s="222">
        <v>59.5</v>
      </c>
      <c r="N669" s="214">
        <v>228.0</v>
      </c>
      <c r="O669" s="214">
        <v>116.0</v>
      </c>
      <c r="P669" s="214">
        <v>2.0</v>
      </c>
      <c r="Q669" s="214" t="b">
        <v>1</v>
      </c>
      <c r="R669" s="214">
        <v>100.0</v>
      </c>
      <c r="S669" s="214" t="s">
        <v>317</v>
      </c>
      <c r="T669" s="214" t="s">
        <v>321</v>
      </c>
      <c r="U669" s="214"/>
    </row>
    <row r="670">
      <c r="A670" s="221">
        <v>45930.06847215278</v>
      </c>
      <c r="B670" s="214"/>
      <c r="C670" s="214"/>
      <c r="D670" s="214"/>
      <c r="E670" s="214"/>
      <c r="F670" s="214"/>
      <c r="G670" s="214"/>
      <c r="H670" s="214"/>
      <c r="I670" s="214"/>
      <c r="J670" s="222"/>
      <c r="K670" s="222"/>
      <c r="L670" s="222"/>
      <c r="M670" s="222"/>
      <c r="N670" s="214"/>
      <c r="O670" s="214"/>
      <c r="P670" s="214"/>
      <c r="Q670" s="214"/>
      <c r="R670" s="214"/>
      <c r="S670" s="214"/>
      <c r="T670" s="214"/>
      <c r="U670" s="214"/>
    </row>
    <row r="671">
      <c r="A671" s="221">
        <v>45930.06847215278</v>
      </c>
      <c r="B671" s="214" t="s">
        <v>238</v>
      </c>
      <c r="C671" s="214" t="s">
        <v>148</v>
      </c>
      <c r="D671" s="214">
        <v>2.0</v>
      </c>
      <c r="E671" s="214">
        <v>2.0</v>
      </c>
      <c r="F671" s="214"/>
      <c r="G671" s="214"/>
      <c r="H671" s="214"/>
      <c r="I671" s="214"/>
      <c r="J671" s="222"/>
      <c r="K671" s="222"/>
      <c r="L671" s="222"/>
      <c r="M671" s="222"/>
      <c r="N671" s="214">
        <v>83.0</v>
      </c>
      <c r="O671" s="214">
        <v>75.0</v>
      </c>
      <c r="P671" s="214">
        <v>0.0</v>
      </c>
      <c r="Q671" s="214" t="b">
        <v>1</v>
      </c>
      <c r="R671" s="214">
        <v>59.0</v>
      </c>
      <c r="S671" s="214" t="s">
        <v>407</v>
      </c>
      <c r="T671" s="214" t="s">
        <v>321</v>
      </c>
      <c r="U671" s="214"/>
    </row>
    <row r="672">
      <c r="A672" s="221">
        <v>45930.06847215278</v>
      </c>
      <c r="B672" s="214" t="s">
        <v>238</v>
      </c>
      <c r="C672" s="214" t="s">
        <v>160</v>
      </c>
      <c r="D672" s="214">
        <v>1.0</v>
      </c>
      <c r="E672" s="214">
        <v>4.0</v>
      </c>
      <c r="F672" s="214" t="s">
        <v>1274</v>
      </c>
      <c r="G672" s="214" t="s">
        <v>61</v>
      </c>
      <c r="H672" s="214" t="s">
        <v>249</v>
      </c>
      <c r="I672" s="214"/>
      <c r="J672" s="222" t="s">
        <v>67</v>
      </c>
      <c r="K672" s="222">
        <v>3.5</v>
      </c>
      <c r="L672" s="222" t="s">
        <v>67</v>
      </c>
      <c r="M672" s="222">
        <v>47.5</v>
      </c>
      <c r="N672" s="214">
        <v>104.0</v>
      </c>
      <c r="O672" s="214">
        <v>133.0</v>
      </c>
      <c r="P672" s="214">
        <v>2.0</v>
      </c>
      <c r="Q672" s="214" t="b">
        <v>0</v>
      </c>
      <c r="R672" s="214">
        <v>100.0</v>
      </c>
      <c r="S672" s="214" t="s">
        <v>535</v>
      </c>
      <c r="T672" s="214" t="s">
        <v>365</v>
      </c>
      <c r="U672" s="214"/>
    </row>
    <row r="673">
      <c r="A673" s="221">
        <v>45930.06847215278</v>
      </c>
      <c r="B673" s="214" t="s">
        <v>238</v>
      </c>
      <c r="C673" s="214" t="s">
        <v>549</v>
      </c>
      <c r="D673" s="214">
        <v>1.0</v>
      </c>
      <c r="E673" s="214">
        <v>3.0</v>
      </c>
      <c r="F673" s="214" t="s">
        <v>1275</v>
      </c>
      <c r="G673" s="214" t="s">
        <v>61</v>
      </c>
      <c r="H673" s="214" t="s">
        <v>493</v>
      </c>
      <c r="I673" s="214"/>
      <c r="J673" s="222" t="s">
        <v>67</v>
      </c>
      <c r="K673" s="222">
        <v>3.5</v>
      </c>
      <c r="L673" s="222" t="s">
        <v>67</v>
      </c>
      <c r="M673" s="222">
        <v>50.5</v>
      </c>
      <c r="N673" s="214">
        <v>81.0</v>
      </c>
      <c r="O673" s="214">
        <v>112.0</v>
      </c>
      <c r="P673" s="214">
        <v>2.0</v>
      </c>
      <c r="Q673" s="214" t="b">
        <v>0</v>
      </c>
      <c r="R673" s="214">
        <v>100.0</v>
      </c>
      <c r="S673" s="214" t="s">
        <v>525</v>
      </c>
      <c r="T673" s="214" t="s">
        <v>365</v>
      </c>
      <c r="U673" s="214"/>
    </row>
    <row r="674">
      <c r="A674" s="221">
        <v>45930.06847215278</v>
      </c>
      <c r="B674" s="214" t="s">
        <v>238</v>
      </c>
      <c r="C674" s="214" t="s">
        <v>102</v>
      </c>
      <c r="D674" s="214">
        <v>5.0</v>
      </c>
      <c r="E674" s="214">
        <v>0.0</v>
      </c>
      <c r="F674" s="214" t="s">
        <v>1258</v>
      </c>
      <c r="G674" s="214" t="s">
        <v>61</v>
      </c>
      <c r="H674" s="214" t="s">
        <v>193</v>
      </c>
      <c r="I674" s="214"/>
      <c r="J674" s="222" t="s">
        <v>67</v>
      </c>
      <c r="K674" s="222">
        <v>-13.5</v>
      </c>
      <c r="L674" s="222" t="s">
        <v>67</v>
      </c>
      <c r="M674" s="222">
        <v>62.5</v>
      </c>
      <c r="N674" s="214">
        <v>198.0</v>
      </c>
      <c r="O674" s="214">
        <v>90.0</v>
      </c>
      <c r="P674" s="214">
        <v>2.0</v>
      </c>
      <c r="Q674" s="214" t="b">
        <v>1</v>
      </c>
      <c r="R674" s="214">
        <v>100.0</v>
      </c>
      <c r="S674" s="214" t="s">
        <v>361</v>
      </c>
      <c r="T674" s="214" t="s">
        <v>365</v>
      </c>
      <c r="U674" s="214"/>
    </row>
    <row r="675">
      <c r="A675" s="221">
        <v>45930.06847215278</v>
      </c>
      <c r="B675" s="214" t="s">
        <v>238</v>
      </c>
      <c r="C675" s="214" t="s">
        <v>539</v>
      </c>
      <c r="D675" s="214">
        <v>4.0</v>
      </c>
      <c r="E675" s="214">
        <v>0.0</v>
      </c>
      <c r="F675" s="214" t="s">
        <v>1240</v>
      </c>
      <c r="G675" s="214" t="s">
        <v>61</v>
      </c>
      <c r="H675" s="214" t="s">
        <v>43</v>
      </c>
      <c r="I675" s="214"/>
      <c r="J675" s="222" t="s">
        <v>67</v>
      </c>
      <c r="K675" s="222">
        <v>-6.5</v>
      </c>
      <c r="L675" s="222" t="s">
        <v>67</v>
      </c>
      <c r="M675" s="222">
        <v>52.5</v>
      </c>
      <c r="N675" s="214">
        <v>143.0</v>
      </c>
      <c r="O675" s="214">
        <v>96.0</v>
      </c>
      <c r="P675" s="214">
        <v>2.0</v>
      </c>
      <c r="Q675" s="214" t="b">
        <v>1</v>
      </c>
      <c r="R675" s="214">
        <v>100.0</v>
      </c>
      <c r="S675" s="214" t="s">
        <v>556</v>
      </c>
      <c r="T675" s="214" t="s">
        <v>321</v>
      </c>
      <c r="U675" s="214"/>
    </row>
    <row r="676">
      <c r="A676" s="221">
        <v>45930.06847215278</v>
      </c>
      <c r="B676" s="214" t="s">
        <v>238</v>
      </c>
      <c r="C676" s="214" t="s">
        <v>548</v>
      </c>
      <c r="D676" s="214">
        <v>1.0</v>
      </c>
      <c r="E676" s="214">
        <v>3.0</v>
      </c>
      <c r="F676" s="214" t="s">
        <v>1276</v>
      </c>
      <c r="G676" s="214" t="s">
        <v>61</v>
      </c>
      <c r="H676" s="214"/>
      <c r="I676" s="214"/>
      <c r="J676" s="222" t="s">
        <v>67</v>
      </c>
      <c r="K676" s="222">
        <v>-20.5</v>
      </c>
      <c r="L676" s="222" t="s">
        <v>67</v>
      </c>
      <c r="M676" s="222">
        <v>49.5</v>
      </c>
      <c r="N676" s="214">
        <v>93.0</v>
      </c>
      <c r="O676" s="214">
        <v>103.0</v>
      </c>
      <c r="P676" s="214">
        <v>2.0</v>
      </c>
      <c r="Q676" s="214" t="b">
        <v>0</v>
      </c>
      <c r="R676" s="214">
        <v>100.0</v>
      </c>
      <c r="S676" s="214" t="s">
        <v>530</v>
      </c>
      <c r="T676" s="214" t="s">
        <v>365</v>
      </c>
      <c r="U676" s="214"/>
    </row>
    <row r="677">
      <c r="A677" s="221">
        <v>45930.06847215278</v>
      </c>
      <c r="B677" s="214" t="s">
        <v>238</v>
      </c>
      <c r="C677" s="214" t="s">
        <v>119</v>
      </c>
      <c r="D677" s="214">
        <v>2.0</v>
      </c>
      <c r="E677" s="214">
        <v>2.0</v>
      </c>
      <c r="F677" s="214" t="s">
        <v>1277</v>
      </c>
      <c r="G677" s="214" t="s">
        <v>61</v>
      </c>
      <c r="H677" s="214" t="s">
        <v>132</v>
      </c>
      <c r="I677" s="214"/>
      <c r="J677" s="222" t="s">
        <v>67</v>
      </c>
      <c r="K677" s="222">
        <v>4.5</v>
      </c>
      <c r="L677" s="222" t="s">
        <v>67</v>
      </c>
      <c r="M677" s="222">
        <v>57.5</v>
      </c>
      <c r="N677" s="214">
        <v>157.0</v>
      </c>
      <c r="O677" s="214">
        <v>91.0</v>
      </c>
      <c r="P677" s="214">
        <v>2.0</v>
      </c>
      <c r="Q677" s="214" t="b">
        <v>0</v>
      </c>
      <c r="R677" s="214">
        <v>100.0</v>
      </c>
      <c r="S677" s="214" t="s">
        <v>317</v>
      </c>
      <c r="T677" s="214" t="s">
        <v>321</v>
      </c>
      <c r="U677" s="214"/>
    </row>
    <row r="678">
      <c r="A678" s="221">
        <v>45930.06847215278</v>
      </c>
      <c r="B678" s="214" t="s">
        <v>238</v>
      </c>
      <c r="C678" s="214" t="s">
        <v>98</v>
      </c>
      <c r="D678" s="214">
        <v>3.0</v>
      </c>
      <c r="E678" s="214">
        <v>1.0</v>
      </c>
      <c r="F678" s="214" t="s">
        <v>1260</v>
      </c>
      <c r="G678" s="214" t="s">
        <v>61</v>
      </c>
      <c r="H678" s="214" t="s">
        <v>193</v>
      </c>
      <c r="I678" s="214"/>
      <c r="J678" s="222" t="s">
        <v>67</v>
      </c>
      <c r="K678" s="222">
        <v>4.5</v>
      </c>
      <c r="L678" s="222" t="s">
        <v>67</v>
      </c>
      <c r="M678" s="222">
        <v>57.5</v>
      </c>
      <c r="N678" s="214">
        <v>158.0</v>
      </c>
      <c r="O678" s="214">
        <v>74.0</v>
      </c>
      <c r="P678" s="214">
        <v>2.0</v>
      </c>
      <c r="Q678" s="214" t="b">
        <v>0</v>
      </c>
      <c r="R678" s="214">
        <v>100.0</v>
      </c>
      <c r="S678" s="214" t="s">
        <v>471</v>
      </c>
      <c r="T678" s="214" t="s">
        <v>321</v>
      </c>
      <c r="U678" s="214"/>
    </row>
    <row r="679">
      <c r="A679" s="221">
        <v>45930.06847215278</v>
      </c>
      <c r="B679" s="214" t="s">
        <v>238</v>
      </c>
      <c r="C679" s="214" t="s">
        <v>141</v>
      </c>
      <c r="D679" s="214">
        <v>3.0</v>
      </c>
      <c r="E679" s="214">
        <v>1.0</v>
      </c>
      <c r="F679" s="214" t="s">
        <v>1278</v>
      </c>
      <c r="G679" s="214" t="s">
        <v>61</v>
      </c>
      <c r="H679" s="214" t="s">
        <v>395</v>
      </c>
      <c r="I679" s="214"/>
      <c r="J679" s="222" t="s">
        <v>67</v>
      </c>
      <c r="K679" s="222">
        <v>-5.5</v>
      </c>
      <c r="L679" s="222" t="s">
        <v>67</v>
      </c>
      <c r="M679" s="222">
        <v>51.5</v>
      </c>
      <c r="N679" s="214">
        <v>134.0</v>
      </c>
      <c r="O679" s="214">
        <v>65.0</v>
      </c>
      <c r="P679" s="214">
        <v>2.0</v>
      </c>
      <c r="Q679" s="214" t="b">
        <v>1</v>
      </c>
      <c r="R679" s="214">
        <v>100.0</v>
      </c>
      <c r="S679" s="214" t="s">
        <v>407</v>
      </c>
      <c r="T679" s="214" t="s">
        <v>321</v>
      </c>
      <c r="U679" s="214"/>
    </row>
    <row r="680">
      <c r="A680" s="221">
        <v>45930.06847215278</v>
      </c>
      <c r="B680" s="214" t="s">
        <v>238</v>
      </c>
      <c r="C680" s="214" t="s">
        <v>220</v>
      </c>
      <c r="D680" s="214">
        <v>1.0</v>
      </c>
      <c r="E680" s="214">
        <v>4.0</v>
      </c>
      <c r="F680" s="214" t="s">
        <v>1279</v>
      </c>
      <c r="G680" s="214" t="s">
        <v>61</v>
      </c>
      <c r="H680" s="214" t="s">
        <v>156</v>
      </c>
      <c r="I680" s="214"/>
      <c r="J680" s="222" t="s">
        <v>67</v>
      </c>
      <c r="K680" s="222">
        <v>12.5</v>
      </c>
      <c r="L680" s="222" t="s">
        <v>67</v>
      </c>
      <c r="M680" s="222">
        <v>63.5</v>
      </c>
      <c r="N680" s="214">
        <v>126.0</v>
      </c>
      <c r="O680" s="214">
        <v>159.0</v>
      </c>
      <c r="P680" s="214">
        <v>2.0</v>
      </c>
      <c r="Q680" s="214" t="b">
        <v>1</v>
      </c>
      <c r="R680" s="214">
        <v>100.0</v>
      </c>
      <c r="S680" s="214" t="s">
        <v>441</v>
      </c>
      <c r="T680" s="214" t="s">
        <v>365</v>
      </c>
      <c r="U680" s="214"/>
    </row>
    <row r="681">
      <c r="A681" s="221">
        <v>45930.06847215278</v>
      </c>
      <c r="B681" s="214"/>
      <c r="C681" s="214"/>
      <c r="D681" s="214"/>
      <c r="E681" s="214"/>
      <c r="F681" s="214"/>
      <c r="G681" s="214"/>
      <c r="H681" s="214"/>
      <c r="I681" s="214"/>
      <c r="J681" s="222"/>
      <c r="K681" s="222"/>
      <c r="L681" s="222"/>
      <c r="M681" s="222"/>
      <c r="N681" s="214"/>
      <c r="O681" s="214"/>
      <c r="P681" s="214"/>
      <c r="Q681" s="214"/>
      <c r="R681" s="214"/>
      <c r="S681" s="214"/>
      <c r="T681" s="214"/>
      <c r="U681" s="214"/>
    </row>
    <row r="682">
      <c r="A682" s="221">
        <v>45930.06847215278</v>
      </c>
      <c r="B682" s="214" t="s">
        <v>156</v>
      </c>
      <c r="C682" s="214" t="s">
        <v>116</v>
      </c>
      <c r="D682" s="214">
        <v>4.0</v>
      </c>
      <c r="E682" s="214">
        <v>0.0</v>
      </c>
      <c r="F682" s="214"/>
      <c r="G682" s="214"/>
      <c r="H682" s="214"/>
      <c r="I682" s="214"/>
      <c r="J682" s="222"/>
      <c r="K682" s="222"/>
      <c r="L682" s="222"/>
      <c r="M682" s="222"/>
      <c r="N682" s="214">
        <v>147.0</v>
      </c>
      <c r="O682" s="214">
        <v>46.0</v>
      </c>
      <c r="P682" s="214">
        <v>0.0</v>
      </c>
      <c r="Q682" s="214" t="b">
        <v>1</v>
      </c>
      <c r="R682" s="214">
        <v>59.0</v>
      </c>
      <c r="S682" s="214" t="s">
        <v>317</v>
      </c>
      <c r="T682" s="214" t="s">
        <v>321</v>
      </c>
      <c r="U682" s="214"/>
    </row>
    <row r="683">
      <c r="A683" s="221">
        <v>45930.06847215278</v>
      </c>
      <c r="B683" s="214" t="s">
        <v>156</v>
      </c>
      <c r="C683" s="214" t="s">
        <v>223</v>
      </c>
      <c r="D683" s="214">
        <v>2.0</v>
      </c>
      <c r="E683" s="214">
        <v>2.0</v>
      </c>
      <c r="F683" s="214"/>
      <c r="G683" s="214"/>
      <c r="H683" s="214"/>
      <c r="I683" s="214"/>
      <c r="J683" s="222"/>
      <c r="K683" s="222"/>
      <c r="L683" s="222"/>
      <c r="M683" s="222"/>
      <c r="N683" s="214">
        <v>58.0</v>
      </c>
      <c r="O683" s="214">
        <v>106.0</v>
      </c>
      <c r="P683" s="214">
        <v>0.0</v>
      </c>
      <c r="Q683" s="214" t="b">
        <v>1</v>
      </c>
      <c r="R683" s="214">
        <v>59.0</v>
      </c>
      <c r="S683" s="214" t="s">
        <v>441</v>
      </c>
      <c r="T683" s="214" t="s">
        <v>365</v>
      </c>
      <c r="U683" s="214"/>
    </row>
    <row r="684">
      <c r="A684" s="221">
        <v>45930.06847215278</v>
      </c>
      <c r="B684" s="214" t="s">
        <v>156</v>
      </c>
      <c r="C684" s="214" t="s">
        <v>181</v>
      </c>
      <c r="D684" s="214">
        <v>1.0</v>
      </c>
      <c r="E684" s="214">
        <v>3.0</v>
      </c>
      <c r="F684" s="214"/>
      <c r="G684" s="214"/>
      <c r="H684" s="214"/>
      <c r="I684" s="214"/>
      <c r="J684" s="222"/>
      <c r="K684" s="222"/>
      <c r="L684" s="222"/>
      <c r="M684" s="222"/>
      <c r="N684" s="214">
        <v>60.0</v>
      </c>
      <c r="O684" s="214">
        <v>108.0</v>
      </c>
      <c r="P684" s="214">
        <v>0.0</v>
      </c>
      <c r="Q684" s="214" t="b">
        <v>1</v>
      </c>
      <c r="R684" s="214">
        <v>59.0</v>
      </c>
      <c r="S684" s="214" t="s">
        <v>525</v>
      </c>
      <c r="T684" s="214" t="s">
        <v>365</v>
      </c>
      <c r="U684" s="214"/>
    </row>
    <row r="685">
      <c r="A685" s="221">
        <v>45930.06847215278</v>
      </c>
      <c r="B685" s="214" t="s">
        <v>156</v>
      </c>
      <c r="C685" s="214" t="s">
        <v>208</v>
      </c>
      <c r="D685" s="214">
        <v>5.0</v>
      </c>
      <c r="E685" s="214">
        <v>0.0</v>
      </c>
      <c r="F685" s="214" t="s">
        <v>1237</v>
      </c>
      <c r="G685" s="214" t="s">
        <v>61</v>
      </c>
      <c r="H685" s="214" t="s">
        <v>43</v>
      </c>
      <c r="I685" s="214"/>
      <c r="J685" s="222" t="s">
        <v>67</v>
      </c>
      <c r="K685" s="222">
        <v>-44.5</v>
      </c>
      <c r="L685" s="222" t="s">
        <v>67</v>
      </c>
      <c r="M685" s="222">
        <v>55.5</v>
      </c>
      <c r="N685" s="214">
        <v>226.0</v>
      </c>
      <c r="O685" s="214">
        <v>73.0</v>
      </c>
      <c r="P685" s="214">
        <v>2.0</v>
      </c>
      <c r="Q685" s="214" t="b">
        <v>1</v>
      </c>
      <c r="R685" s="214">
        <v>100.0</v>
      </c>
      <c r="S685" s="214" t="s">
        <v>556</v>
      </c>
      <c r="T685" s="214" t="s">
        <v>321</v>
      </c>
      <c r="U685" s="214"/>
    </row>
    <row r="686">
      <c r="A686" s="221">
        <v>45930.06847215278</v>
      </c>
      <c r="B686" s="214" t="s">
        <v>156</v>
      </c>
      <c r="C686" s="214" t="s">
        <v>232</v>
      </c>
      <c r="D686" s="214">
        <v>2.0</v>
      </c>
      <c r="E686" s="214">
        <v>3.0</v>
      </c>
      <c r="F686" s="214" t="s">
        <v>1280</v>
      </c>
      <c r="G686" s="214" t="s">
        <v>61</v>
      </c>
      <c r="H686" s="214" t="s">
        <v>493</v>
      </c>
      <c r="I686" s="214"/>
      <c r="J686" s="222" t="s">
        <v>67</v>
      </c>
      <c r="K686" s="222">
        <v>4.0</v>
      </c>
      <c r="L686" s="222" t="s">
        <v>67</v>
      </c>
      <c r="M686" s="222">
        <v>55.5</v>
      </c>
      <c r="N686" s="214">
        <v>148.0</v>
      </c>
      <c r="O686" s="214">
        <v>134.0</v>
      </c>
      <c r="P686" s="214">
        <v>2.0</v>
      </c>
      <c r="Q686" s="214" t="b">
        <v>0</v>
      </c>
      <c r="R686" s="214">
        <v>100.0</v>
      </c>
      <c r="S686" s="214" t="s">
        <v>535</v>
      </c>
      <c r="T686" s="214" t="s">
        <v>365</v>
      </c>
      <c r="U686" s="214"/>
    </row>
    <row r="687">
      <c r="A687" s="221">
        <v>45930.06847215278</v>
      </c>
      <c r="B687" s="214" t="s">
        <v>156</v>
      </c>
      <c r="C687" s="214" t="s">
        <v>174</v>
      </c>
      <c r="D687" s="214">
        <v>3.0</v>
      </c>
      <c r="E687" s="214">
        <v>2.0</v>
      </c>
      <c r="F687" s="214" t="s">
        <v>1259</v>
      </c>
      <c r="G687" s="214" t="s">
        <v>61</v>
      </c>
      <c r="H687" s="214" t="s">
        <v>193</v>
      </c>
      <c r="I687" s="214"/>
      <c r="J687" s="222" t="s">
        <v>67</v>
      </c>
      <c r="K687" s="222">
        <v>-21.0</v>
      </c>
      <c r="L687" s="222" t="s">
        <v>67</v>
      </c>
      <c r="M687" s="222">
        <v>49.5</v>
      </c>
      <c r="N687" s="214">
        <v>179.0</v>
      </c>
      <c r="O687" s="214">
        <v>62.0</v>
      </c>
      <c r="P687" s="214">
        <v>2.0</v>
      </c>
      <c r="Q687" s="214" t="b">
        <v>1</v>
      </c>
      <c r="R687" s="214">
        <v>100.0</v>
      </c>
      <c r="S687" s="214" t="s">
        <v>530</v>
      </c>
      <c r="T687" s="214" t="s">
        <v>365</v>
      </c>
      <c r="U687" s="214"/>
    </row>
    <row r="688">
      <c r="A688" s="221">
        <v>45930.06847215278</v>
      </c>
      <c r="B688" s="214" t="s">
        <v>156</v>
      </c>
      <c r="C688" s="214" t="s">
        <v>135</v>
      </c>
      <c r="D688" s="214">
        <v>4.0</v>
      </c>
      <c r="E688" s="214">
        <v>1.0</v>
      </c>
      <c r="F688" s="214" t="s">
        <v>1247</v>
      </c>
      <c r="G688" s="214" t="s">
        <v>61</v>
      </c>
      <c r="H688" s="214" t="s">
        <v>95</v>
      </c>
      <c r="I688" s="214"/>
      <c r="J688" s="222" t="s">
        <v>67</v>
      </c>
      <c r="K688" s="222">
        <v>6.5</v>
      </c>
      <c r="L688" s="222" t="s">
        <v>67</v>
      </c>
      <c r="M688" s="222">
        <v>60.5</v>
      </c>
      <c r="N688" s="214">
        <v>179.0</v>
      </c>
      <c r="O688" s="214">
        <v>117.0</v>
      </c>
      <c r="P688" s="214">
        <v>2.0</v>
      </c>
      <c r="Q688" s="214" t="b">
        <v>0</v>
      </c>
      <c r="R688" s="214">
        <v>100.0</v>
      </c>
      <c r="S688" s="214" t="s">
        <v>407</v>
      </c>
      <c r="T688" s="214" t="s">
        <v>321</v>
      </c>
      <c r="U688" s="214"/>
    </row>
    <row r="689">
      <c r="A689" s="221">
        <v>45930.06847215278</v>
      </c>
      <c r="B689" s="214" t="s">
        <v>156</v>
      </c>
      <c r="C689" s="214" t="s">
        <v>109</v>
      </c>
      <c r="D689" s="214">
        <v>3.0</v>
      </c>
      <c r="E689" s="214">
        <v>1.0</v>
      </c>
      <c r="F689" s="214" t="s">
        <v>1256</v>
      </c>
      <c r="G689" s="214" t="s">
        <v>61</v>
      </c>
      <c r="H689" s="214" t="s">
        <v>62</v>
      </c>
      <c r="I689" s="214"/>
      <c r="J689" s="222" t="s">
        <v>67</v>
      </c>
      <c r="K689" s="222">
        <v>6.5</v>
      </c>
      <c r="L689" s="222" t="s">
        <v>67</v>
      </c>
      <c r="M689" s="222">
        <v>49.5</v>
      </c>
      <c r="N689" s="214">
        <v>139.0</v>
      </c>
      <c r="O689" s="214">
        <v>60.0</v>
      </c>
      <c r="P689" s="214">
        <v>2.0</v>
      </c>
      <c r="Q689" s="214" t="b">
        <v>1</v>
      </c>
      <c r="R689" s="214">
        <v>100.0</v>
      </c>
      <c r="S689" s="214" t="s">
        <v>471</v>
      </c>
      <c r="T689" s="214" t="s">
        <v>321</v>
      </c>
      <c r="U689" s="214"/>
    </row>
    <row r="690">
      <c r="A690" s="221">
        <v>45930.06847215278</v>
      </c>
      <c r="B690" s="214" t="s">
        <v>156</v>
      </c>
      <c r="C690" s="214" t="s">
        <v>154</v>
      </c>
      <c r="D690" s="214">
        <v>5.0</v>
      </c>
      <c r="E690" s="214">
        <v>0.0</v>
      </c>
      <c r="F690" s="214" t="s">
        <v>1279</v>
      </c>
      <c r="G690" s="214" t="s">
        <v>61</v>
      </c>
      <c r="H690" s="214" t="s">
        <v>238</v>
      </c>
      <c r="I690" s="214"/>
      <c r="J690" s="222" t="s">
        <v>67</v>
      </c>
      <c r="K690" s="222">
        <v>-12.5</v>
      </c>
      <c r="L690" s="222" t="s">
        <v>67</v>
      </c>
      <c r="M690" s="222">
        <v>63.5</v>
      </c>
      <c r="N690" s="214">
        <v>224.0</v>
      </c>
      <c r="O690" s="214">
        <v>100.0</v>
      </c>
      <c r="P690" s="214">
        <v>2.0</v>
      </c>
      <c r="Q690" s="214" t="b">
        <v>0</v>
      </c>
      <c r="R690" s="214">
        <v>100.0</v>
      </c>
      <c r="S690" s="214" t="s">
        <v>361</v>
      </c>
      <c r="T690" s="214" t="s">
        <v>365</v>
      </c>
      <c r="U690" s="214"/>
    </row>
    <row r="691">
      <c r="A691" s="221">
        <v>45930.06847215278</v>
      </c>
      <c r="B691" s="214" t="s">
        <v>156</v>
      </c>
      <c r="C691" s="214" t="s">
        <v>202</v>
      </c>
      <c r="D691" s="214">
        <v>2.0</v>
      </c>
      <c r="E691" s="214">
        <v>3.0</v>
      </c>
      <c r="F691" s="214" t="s">
        <v>1273</v>
      </c>
      <c r="G691" s="214" t="s">
        <v>61</v>
      </c>
      <c r="H691" s="214" t="s">
        <v>96</v>
      </c>
      <c r="I691" s="214"/>
      <c r="J691" s="222" t="s">
        <v>67</v>
      </c>
      <c r="K691" s="222">
        <v>4.5</v>
      </c>
      <c r="L691" s="222" t="s">
        <v>67</v>
      </c>
      <c r="M691" s="222">
        <v>63.5</v>
      </c>
      <c r="N691" s="214">
        <v>187.0</v>
      </c>
      <c r="O691" s="214">
        <v>150.0</v>
      </c>
      <c r="P691" s="214">
        <v>2.0</v>
      </c>
      <c r="Q691" s="214" t="b">
        <v>1</v>
      </c>
      <c r="R691" s="214">
        <v>100.0</v>
      </c>
      <c r="S691" s="214" t="s">
        <v>556</v>
      </c>
      <c r="T691" s="214" t="s">
        <v>321</v>
      </c>
      <c r="U691" s="214"/>
    </row>
    <row r="692">
      <c r="A692" s="221">
        <v>45930.06847215278</v>
      </c>
      <c r="B692" s="214"/>
      <c r="C692" s="214"/>
      <c r="D692" s="214"/>
      <c r="E692" s="214"/>
      <c r="F692" s="214"/>
      <c r="G692" s="214"/>
      <c r="H692" s="214"/>
      <c r="I692" s="214"/>
      <c r="J692" s="222"/>
      <c r="K692" s="222"/>
      <c r="L692" s="222"/>
      <c r="M692" s="222"/>
      <c r="N692" s="214"/>
      <c r="O692" s="214"/>
      <c r="P692" s="214"/>
      <c r="Q692" s="214"/>
      <c r="R692" s="214"/>
      <c r="S692" s="214"/>
      <c r="T692" s="214"/>
      <c r="U692" s="214"/>
    </row>
    <row r="693">
      <c r="A693" s="221">
        <v>45930.06847215278</v>
      </c>
      <c r="B693" s="214" t="s">
        <v>249</v>
      </c>
      <c r="C693" s="214" t="s">
        <v>217</v>
      </c>
      <c r="D693" s="214">
        <v>1.0</v>
      </c>
      <c r="E693" s="214">
        <v>3.0</v>
      </c>
      <c r="F693" s="214"/>
      <c r="G693" s="214"/>
      <c r="H693" s="214"/>
      <c r="I693" s="214"/>
      <c r="J693" s="222"/>
      <c r="K693" s="222"/>
      <c r="L693" s="222"/>
      <c r="M693" s="222"/>
      <c r="N693" s="214">
        <v>81.0</v>
      </c>
      <c r="O693" s="214">
        <v>192.0</v>
      </c>
      <c r="P693" s="214">
        <v>0.0</v>
      </c>
      <c r="Q693" s="214" t="b">
        <v>1</v>
      </c>
      <c r="R693" s="214">
        <v>59.0</v>
      </c>
      <c r="S693" s="214" t="s">
        <v>441</v>
      </c>
      <c r="T693" s="214" t="s">
        <v>365</v>
      </c>
      <c r="U693" s="214"/>
    </row>
    <row r="694">
      <c r="A694" s="221">
        <v>45930.06847215278</v>
      </c>
      <c r="B694" s="214" t="s">
        <v>249</v>
      </c>
      <c r="C694" s="214" t="s">
        <v>111</v>
      </c>
      <c r="D694" s="214">
        <v>1.0</v>
      </c>
      <c r="E694" s="214">
        <v>3.0</v>
      </c>
      <c r="F694" s="214"/>
      <c r="G694" s="214"/>
      <c r="H694" s="214"/>
      <c r="I694" s="214"/>
      <c r="J694" s="222"/>
      <c r="K694" s="222"/>
      <c r="L694" s="222"/>
      <c r="M694" s="222"/>
      <c r="N694" s="214">
        <v>79.0</v>
      </c>
      <c r="O694" s="214">
        <v>91.0</v>
      </c>
      <c r="P694" s="214">
        <v>0.0</v>
      </c>
      <c r="Q694" s="214" t="b">
        <v>1</v>
      </c>
      <c r="R694" s="214">
        <v>59.0</v>
      </c>
      <c r="S694" s="214" t="s">
        <v>317</v>
      </c>
      <c r="T694" s="214" t="s">
        <v>321</v>
      </c>
      <c r="U694" s="214"/>
    </row>
    <row r="695">
      <c r="A695" s="221">
        <v>45930.06847215278</v>
      </c>
      <c r="B695" s="214" t="s">
        <v>249</v>
      </c>
      <c r="C695" s="214" t="s">
        <v>159</v>
      </c>
      <c r="D695" s="214">
        <v>1.0</v>
      </c>
      <c r="E695" s="214">
        <v>3.0</v>
      </c>
      <c r="F695" s="214"/>
      <c r="G695" s="214"/>
      <c r="H695" s="214"/>
      <c r="I695" s="214"/>
      <c r="J695" s="222"/>
      <c r="K695" s="222"/>
      <c r="L695" s="222"/>
      <c r="M695" s="222"/>
      <c r="N695" s="214">
        <v>73.0</v>
      </c>
      <c r="O695" s="214">
        <v>117.0</v>
      </c>
      <c r="P695" s="214">
        <v>0.0</v>
      </c>
      <c r="Q695" s="214" t="b">
        <v>1</v>
      </c>
      <c r="R695" s="214">
        <v>59.0</v>
      </c>
      <c r="S695" s="214" t="s">
        <v>361</v>
      </c>
      <c r="T695" s="214" t="s">
        <v>365</v>
      </c>
      <c r="U695" s="214"/>
    </row>
    <row r="696">
      <c r="A696" s="221">
        <v>45930.06847215278</v>
      </c>
      <c r="B696" s="214" t="s">
        <v>249</v>
      </c>
      <c r="C696" s="214" t="s">
        <v>151</v>
      </c>
      <c r="D696" s="214">
        <v>4.0</v>
      </c>
      <c r="E696" s="214">
        <v>1.0</v>
      </c>
      <c r="F696" s="214" t="s">
        <v>1274</v>
      </c>
      <c r="G696" s="214" t="s">
        <v>61</v>
      </c>
      <c r="H696" s="214" t="s">
        <v>238</v>
      </c>
      <c r="I696" s="214"/>
      <c r="J696" s="222" t="s">
        <v>67</v>
      </c>
      <c r="K696" s="222">
        <v>-3.5</v>
      </c>
      <c r="L696" s="222" t="s">
        <v>67</v>
      </c>
      <c r="M696" s="222">
        <v>47.5</v>
      </c>
      <c r="N696" s="214">
        <v>140.0</v>
      </c>
      <c r="O696" s="214">
        <v>68.0</v>
      </c>
      <c r="P696" s="214">
        <v>2.0</v>
      </c>
      <c r="Q696" s="214" t="b">
        <v>1</v>
      </c>
      <c r="R696" s="214">
        <v>100.0</v>
      </c>
      <c r="S696" s="214" t="s">
        <v>535</v>
      </c>
      <c r="T696" s="214" t="s">
        <v>365</v>
      </c>
      <c r="U696" s="214"/>
    </row>
    <row r="697">
      <c r="A697" s="221">
        <v>45930.06847215278</v>
      </c>
      <c r="B697" s="214" t="s">
        <v>249</v>
      </c>
      <c r="C697" s="214" t="s">
        <v>209</v>
      </c>
      <c r="D697" s="214">
        <v>5.0</v>
      </c>
      <c r="E697" s="214">
        <v>0.0</v>
      </c>
      <c r="F697" s="214" t="s">
        <v>1265</v>
      </c>
      <c r="G697" s="214" t="s">
        <v>61</v>
      </c>
      <c r="H697" s="214" t="s">
        <v>311</v>
      </c>
      <c r="I697" s="214"/>
      <c r="J697" s="222" t="s">
        <v>67</v>
      </c>
      <c r="K697" s="222">
        <v>-1.5</v>
      </c>
      <c r="L697" s="222" t="s">
        <v>67</v>
      </c>
      <c r="M697" s="222">
        <v>56.5</v>
      </c>
      <c r="N697" s="214">
        <v>203.0</v>
      </c>
      <c r="O697" s="214">
        <v>94.0</v>
      </c>
      <c r="P697" s="214">
        <v>2.0</v>
      </c>
      <c r="Q697" s="214" t="b">
        <v>1</v>
      </c>
      <c r="R697" s="214">
        <v>100.0</v>
      </c>
      <c r="S697" s="214" t="s">
        <v>556</v>
      </c>
      <c r="T697" s="214" t="s">
        <v>321</v>
      </c>
      <c r="U697" s="214"/>
    </row>
    <row r="698">
      <c r="A698" s="221">
        <v>45930.06847215278</v>
      </c>
      <c r="B698" s="214" t="s">
        <v>249</v>
      </c>
      <c r="C698" s="214" t="s">
        <v>124</v>
      </c>
      <c r="D698" s="214">
        <v>3.0</v>
      </c>
      <c r="E698" s="214">
        <v>2.0</v>
      </c>
      <c r="F698" s="214" t="s">
        <v>1272</v>
      </c>
      <c r="G698" s="214" t="s">
        <v>61</v>
      </c>
      <c r="H698" s="214" t="s">
        <v>96</v>
      </c>
      <c r="I698" s="214"/>
      <c r="J698" s="222" t="s">
        <v>67</v>
      </c>
      <c r="K698" s="222">
        <v>-20.5</v>
      </c>
      <c r="L698" s="222" t="s">
        <v>67</v>
      </c>
      <c r="M698" s="222">
        <v>58.5</v>
      </c>
      <c r="N698" s="214">
        <v>183.0</v>
      </c>
      <c r="O698" s="214">
        <v>144.0</v>
      </c>
      <c r="P698" s="214">
        <v>2.0</v>
      </c>
      <c r="Q698" s="214" t="b">
        <v>0</v>
      </c>
      <c r="R698" s="214">
        <v>100.0</v>
      </c>
      <c r="S698" s="214" t="s">
        <v>471</v>
      </c>
      <c r="T698" s="214" t="s">
        <v>321</v>
      </c>
      <c r="U698" s="214"/>
    </row>
    <row r="699">
      <c r="A699" s="221">
        <v>45930.06847215278</v>
      </c>
      <c r="B699" s="214" t="s">
        <v>249</v>
      </c>
      <c r="C699" s="214" t="s">
        <v>137</v>
      </c>
      <c r="D699" s="214">
        <v>3.0</v>
      </c>
      <c r="E699" s="214">
        <v>2.0</v>
      </c>
      <c r="F699" s="214" t="s">
        <v>1281</v>
      </c>
      <c r="G699" s="214" t="s">
        <v>61</v>
      </c>
      <c r="H699" s="214" t="s">
        <v>132</v>
      </c>
      <c r="I699" s="214"/>
      <c r="J699" s="222" t="s">
        <v>67</v>
      </c>
      <c r="K699" s="222">
        <v>7.5</v>
      </c>
      <c r="L699" s="222" t="s">
        <v>67</v>
      </c>
      <c r="M699" s="222">
        <v>48.5</v>
      </c>
      <c r="N699" s="214">
        <v>147.0</v>
      </c>
      <c r="O699" s="214">
        <v>78.0</v>
      </c>
      <c r="P699" s="214">
        <v>2.0</v>
      </c>
      <c r="Q699" s="214" t="b">
        <v>0</v>
      </c>
      <c r="R699" s="214">
        <v>100.0</v>
      </c>
      <c r="S699" s="214" t="s">
        <v>407</v>
      </c>
      <c r="T699" s="214" t="s">
        <v>321</v>
      </c>
      <c r="U699" s="214"/>
    </row>
    <row r="700">
      <c r="A700" s="221">
        <v>45930.06847215278</v>
      </c>
      <c r="B700" s="214" t="s">
        <v>249</v>
      </c>
      <c r="C700" s="214" t="s">
        <v>167</v>
      </c>
      <c r="D700" s="214">
        <v>2.0</v>
      </c>
      <c r="E700" s="214">
        <v>3.0</v>
      </c>
      <c r="F700" s="214" t="s">
        <v>1282</v>
      </c>
      <c r="G700" s="214" t="s">
        <v>61</v>
      </c>
      <c r="H700" s="214" t="s">
        <v>395</v>
      </c>
      <c r="I700" s="214"/>
      <c r="J700" s="222" t="s">
        <v>67</v>
      </c>
      <c r="K700" s="222">
        <v>3.5</v>
      </c>
      <c r="L700" s="222" t="s">
        <v>67</v>
      </c>
      <c r="M700" s="222">
        <v>50.5</v>
      </c>
      <c r="N700" s="214">
        <v>120.0</v>
      </c>
      <c r="O700" s="214">
        <v>98.0</v>
      </c>
      <c r="P700" s="214">
        <v>2.0</v>
      </c>
      <c r="Q700" s="214" t="b">
        <v>0</v>
      </c>
      <c r="R700" s="214">
        <v>100.0</v>
      </c>
      <c r="S700" s="214" t="s">
        <v>530</v>
      </c>
      <c r="T700" s="214" t="s">
        <v>365</v>
      </c>
      <c r="U700" s="214"/>
    </row>
    <row r="701">
      <c r="A701" s="221">
        <v>45930.06847215278</v>
      </c>
      <c r="B701" s="214" t="s">
        <v>249</v>
      </c>
      <c r="C701" s="214" t="s">
        <v>183</v>
      </c>
      <c r="D701" s="214">
        <v>3.0</v>
      </c>
      <c r="E701" s="214">
        <v>1.0</v>
      </c>
      <c r="F701" s="214" t="s">
        <v>1266</v>
      </c>
      <c r="G701" s="214" t="s">
        <v>61</v>
      </c>
      <c r="H701" s="214" t="s">
        <v>311</v>
      </c>
      <c r="I701" s="214"/>
      <c r="J701" s="222" t="s">
        <v>67</v>
      </c>
      <c r="K701" s="222">
        <v>-2.5</v>
      </c>
      <c r="L701" s="222" t="s">
        <v>67</v>
      </c>
      <c r="M701" s="222">
        <v>43.5</v>
      </c>
      <c r="N701" s="214">
        <v>95.0</v>
      </c>
      <c r="O701" s="214">
        <v>39.0</v>
      </c>
      <c r="P701" s="214">
        <v>2.0</v>
      </c>
      <c r="Q701" s="214" t="b">
        <v>0</v>
      </c>
      <c r="R701" s="214">
        <v>100.0</v>
      </c>
      <c r="S701" s="214" t="s">
        <v>525</v>
      </c>
      <c r="T701" s="214" t="s">
        <v>365</v>
      </c>
      <c r="U701" s="214"/>
    </row>
    <row r="702">
      <c r="A702" s="221">
        <v>45930.06847215278</v>
      </c>
      <c r="B702" s="214" t="s">
        <v>249</v>
      </c>
      <c r="C702" s="214" t="s">
        <v>112</v>
      </c>
      <c r="D702" s="214">
        <v>3.0</v>
      </c>
      <c r="E702" s="214">
        <v>2.0</v>
      </c>
      <c r="F702" s="214" t="s">
        <v>1283</v>
      </c>
      <c r="G702" s="214" t="s">
        <v>61</v>
      </c>
      <c r="H702" s="214" t="s">
        <v>493</v>
      </c>
      <c r="I702" s="214"/>
      <c r="J702" s="222" t="s">
        <v>67</v>
      </c>
      <c r="K702" s="222">
        <v>-4.5</v>
      </c>
      <c r="L702" s="222" t="s">
        <v>67</v>
      </c>
      <c r="M702" s="222">
        <v>60.5</v>
      </c>
      <c r="N702" s="214">
        <v>174.0</v>
      </c>
      <c r="O702" s="214">
        <v>132.0</v>
      </c>
      <c r="P702" s="214">
        <v>2.0</v>
      </c>
      <c r="Q702" s="214" t="b">
        <v>1</v>
      </c>
      <c r="R702" s="214">
        <v>100.0</v>
      </c>
      <c r="S702" s="214" t="s">
        <v>317</v>
      </c>
      <c r="T702" s="214" t="s">
        <v>321</v>
      </c>
      <c r="U702" s="214"/>
    </row>
    <row r="703">
      <c r="A703" s="221">
        <v>45930.06847215278</v>
      </c>
      <c r="B703" s="214"/>
      <c r="C703" s="214"/>
      <c r="D703" s="214"/>
      <c r="E703" s="214"/>
      <c r="F703" s="214"/>
      <c r="G703" s="214"/>
      <c r="H703" s="214"/>
      <c r="I703" s="214"/>
      <c r="J703" s="222"/>
      <c r="K703" s="222"/>
      <c r="L703" s="222"/>
      <c r="M703" s="222"/>
      <c r="N703" s="214"/>
      <c r="O703" s="214"/>
      <c r="P703" s="214"/>
      <c r="Q703" s="214"/>
      <c r="R703" s="214"/>
      <c r="S703" s="214"/>
      <c r="T703" s="214"/>
      <c r="U703" s="214"/>
    </row>
    <row r="704">
      <c r="A704" s="221">
        <v>45930.06847215278</v>
      </c>
      <c r="B704" s="214" t="s">
        <v>395</v>
      </c>
      <c r="C704" s="214" t="s">
        <v>179</v>
      </c>
      <c r="D704" s="214">
        <v>4.0</v>
      </c>
      <c r="E704" s="214">
        <v>1.0</v>
      </c>
      <c r="F704" s="214"/>
      <c r="G704" s="214"/>
      <c r="H704" s="214"/>
      <c r="I704" s="214"/>
      <c r="J704" s="222"/>
      <c r="K704" s="222"/>
      <c r="L704" s="222"/>
      <c r="M704" s="222"/>
      <c r="N704" s="214">
        <v>164.0</v>
      </c>
      <c r="O704" s="214">
        <v>100.0</v>
      </c>
      <c r="P704" s="214">
        <v>0.0</v>
      </c>
      <c r="Q704" s="214" t="b">
        <v>1</v>
      </c>
      <c r="R704" s="214">
        <v>59.0</v>
      </c>
      <c r="S704" s="214" t="s">
        <v>525</v>
      </c>
      <c r="T704" s="214" t="s">
        <v>365</v>
      </c>
      <c r="U704" s="214"/>
    </row>
    <row r="705">
      <c r="A705" s="221">
        <v>45930.06847215278</v>
      </c>
      <c r="B705" s="214" t="s">
        <v>395</v>
      </c>
      <c r="C705" s="214" t="s">
        <v>162</v>
      </c>
      <c r="D705" s="214">
        <v>4.0</v>
      </c>
      <c r="E705" s="214">
        <v>1.0</v>
      </c>
      <c r="F705" s="214" t="s">
        <v>1257</v>
      </c>
      <c r="G705" s="214" t="s">
        <v>61</v>
      </c>
      <c r="H705" s="214" t="s">
        <v>193</v>
      </c>
      <c r="I705" s="214"/>
      <c r="J705" s="222" t="s">
        <v>67</v>
      </c>
      <c r="K705" s="222">
        <v>-4.0</v>
      </c>
      <c r="L705" s="222" t="s">
        <v>67</v>
      </c>
      <c r="M705" s="222">
        <v>61.5</v>
      </c>
      <c r="N705" s="214">
        <v>175.0</v>
      </c>
      <c r="O705" s="214">
        <v>113.0</v>
      </c>
      <c r="P705" s="214">
        <v>2.0</v>
      </c>
      <c r="Q705" s="214" t="b">
        <v>1</v>
      </c>
      <c r="R705" s="214">
        <v>100.0</v>
      </c>
      <c r="S705" s="214" t="s">
        <v>535</v>
      </c>
      <c r="T705" s="214" t="s">
        <v>365</v>
      </c>
      <c r="U705" s="214"/>
    </row>
    <row r="706">
      <c r="A706" s="221">
        <v>45930.06847215278</v>
      </c>
      <c r="B706" s="214" t="s">
        <v>395</v>
      </c>
      <c r="C706" s="214" t="s">
        <v>175</v>
      </c>
      <c r="D706" s="214">
        <v>2.0</v>
      </c>
      <c r="E706" s="214">
        <v>3.0</v>
      </c>
      <c r="F706" s="214" t="s">
        <v>1284</v>
      </c>
      <c r="G706" s="214" t="s">
        <v>61</v>
      </c>
      <c r="H706" s="214"/>
      <c r="I706" s="214"/>
      <c r="J706" s="222" t="s">
        <v>67</v>
      </c>
      <c r="K706" s="222">
        <v>-7.5</v>
      </c>
      <c r="L706" s="222" t="s">
        <v>67</v>
      </c>
      <c r="M706" s="222">
        <v>43.5</v>
      </c>
      <c r="N706" s="214">
        <v>97.0</v>
      </c>
      <c r="O706" s="214">
        <v>121.0</v>
      </c>
      <c r="P706" s="214">
        <v>2.0</v>
      </c>
      <c r="Q706" s="214" t="b">
        <v>0</v>
      </c>
      <c r="R706" s="214">
        <v>100.0</v>
      </c>
      <c r="S706" s="214" t="s">
        <v>530</v>
      </c>
      <c r="T706" s="214" t="s">
        <v>365</v>
      </c>
      <c r="U706" s="214"/>
    </row>
    <row r="707">
      <c r="A707" s="221">
        <v>45930.06847215278</v>
      </c>
      <c r="B707" s="214" t="s">
        <v>395</v>
      </c>
      <c r="C707" s="214" t="s">
        <v>99</v>
      </c>
      <c r="D707" s="214">
        <v>3.0</v>
      </c>
      <c r="E707" s="214">
        <v>2.0</v>
      </c>
      <c r="F707" s="214" t="s">
        <v>1282</v>
      </c>
      <c r="G707" s="214" t="s">
        <v>61</v>
      </c>
      <c r="H707" s="214" t="s">
        <v>249</v>
      </c>
      <c r="I707" s="214"/>
      <c r="J707" s="222" t="s">
        <v>67</v>
      </c>
      <c r="K707" s="222">
        <v>-3.5</v>
      </c>
      <c r="L707" s="222" t="s">
        <v>67</v>
      </c>
      <c r="M707" s="222">
        <v>50.5</v>
      </c>
      <c r="N707" s="214">
        <v>171.0</v>
      </c>
      <c r="O707" s="214">
        <v>126.0</v>
      </c>
      <c r="P707" s="214">
        <v>2.0</v>
      </c>
      <c r="Q707" s="214" t="b">
        <v>1</v>
      </c>
      <c r="R707" s="214">
        <v>100.0</v>
      </c>
      <c r="S707" s="214" t="s">
        <v>725</v>
      </c>
      <c r="T707" s="214"/>
      <c r="U707" s="214"/>
    </row>
    <row r="708">
      <c r="A708" s="221">
        <v>45930.06847215278</v>
      </c>
      <c r="B708" s="214" t="s">
        <v>395</v>
      </c>
      <c r="C708" s="214" t="s">
        <v>231</v>
      </c>
      <c r="D708" s="214">
        <v>3.0</v>
      </c>
      <c r="E708" s="214">
        <v>1.0</v>
      </c>
      <c r="F708" s="214" t="s">
        <v>1269</v>
      </c>
      <c r="G708" s="214" t="s">
        <v>61</v>
      </c>
      <c r="H708" s="214" t="s">
        <v>224</v>
      </c>
      <c r="I708" s="214"/>
      <c r="J708" s="222" t="s">
        <v>67</v>
      </c>
      <c r="K708" s="222">
        <v>-16.5</v>
      </c>
      <c r="L708" s="222" t="s">
        <v>67</v>
      </c>
      <c r="M708" s="222">
        <v>56.5</v>
      </c>
      <c r="N708" s="214">
        <v>125.0</v>
      </c>
      <c r="O708" s="214">
        <v>61.0</v>
      </c>
      <c r="P708" s="214">
        <v>2.0</v>
      </c>
      <c r="Q708" s="214" t="b">
        <v>1</v>
      </c>
      <c r="R708" s="214">
        <v>100.0</v>
      </c>
      <c r="S708" s="214" t="s">
        <v>441</v>
      </c>
      <c r="T708" s="214" t="s">
        <v>365</v>
      </c>
      <c r="U708" s="214"/>
    </row>
    <row r="709">
      <c r="A709" s="221">
        <v>45930.06847215278</v>
      </c>
      <c r="B709" s="214" t="s">
        <v>395</v>
      </c>
      <c r="C709" s="214" t="s">
        <v>213</v>
      </c>
      <c r="D709" s="214">
        <v>5.0</v>
      </c>
      <c r="E709" s="214">
        <v>0.0</v>
      </c>
      <c r="F709" s="214" t="s">
        <v>1267</v>
      </c>
      <c r="G709" s="214" t="s">
        <v>61</v>
      </c>
      <c r="H709" s="214" t="s">
        <v>311</v>
      </c>
      <c r="I709" s="214"/>
      <c r="J709" s="222" t="s">
        <v>67</v>
      </c>
      <c r="K709" s="222">
        <v>-22.5</v>
      </c>
      <c r="L709" s="222" t="s">
        <v>67</v>
      </c>
      <c r="M709" s="222">
        <v>58.5</v>
      </c>
      <c r="N709" s="214">
        <v>245.0</v>
      </c>
      <c r="O709" s="214">
        <v>86.0</v>
      </c>
      <c r="P709" s="214">
        <v>2.0</v>
      </c>
      <c r="Q709" s="214" t="b">
        <v>1</v>
      </c>
      <c r="R709" s="214">
        <v>100.0</v>
      </c>
      <c r="S709" s="214" t="s">
        <v>556</v>
      </c>
      <c r="T709" s="214" t="s">
        <v>321</v>
      </c>
      <c r="U709" s="214"/>
    </row>
    <row r="710">
      <c r="A710" s="221">
        <v>45930.06847215278</v>
      </c>
      <c r="B710" s="214" t="s">
        <v>395</v>
      </c>
      <c r="C710" s="214" t="s">
        <v>147</v>
      </c>
      <c r="D710" s="214">
        <v>3.0</v>
      </c>
      <c r="E710" s="214">
        <v>2.0</v>
      </c>
      <c r="F710" s="214" t="s">
        <v>1278</v>
      </c>
      <c r="G710" s="214" t="s">
        <v>61</v>
      </c>
      <c r="H710" s="214" t="s">
        <v>238</v>
      </c>
      <c r="I710" s="214"/>
      <c r="J710" s="222" t="s">
        <v>67</v>
      </c>
      <c r="K710" s="222">
        <v>5.5</v>
      </c>
      <c r="L710" s="222" t="s">
        <v>67</v>
      </c>
      <c r="M710" s="222">
        <v>51.5</v>
      </c>
      <c r="N710" s="214">
        <v>195.0</v>
      </c>
      <c r="O710" s="214">
        <v>127.0</v>
      </c>
      <c r="P710" s="214">
        <v>2.0</v>
      </c>
      <c r="Q710" s="214" t="b">
        <v>0</v>
      </c>
      <c r="R710" s="214">
        <v>100.0</v>
      </c>
      <c r="S710" s="214" t="s">
        <v>407</v>
      </c>
      <c r="T710" s="214" t="s">
        <v>321</v>
      </c>
      <c r="U710" s="214"/>
    </row>
    <row r="711">
      <c r="A711" s="221">
        <v>45930.06847215278</v>
      </c>
      <c r="B711" s="214" t="s">
        <v>395</v>
      </c>
      <c r="C711" s="214" t="s">
        <v>225</v>
      </c>
      <c r="D711" s="214">
        <v>1.0</v>
      </c>
      <c r="E711" s="214">
        <v>3.0</v>
      </c>
      <c r="F711" s="214" t="s">
        <v>1248</v>
      </c>
      <c r="G711" s="214" t="s">
        <v>61</v>
      </c>
      <c r="H711" s="214" t="s">
        <v>95</v>
      </c>
      <c r="I711" s="214"/>
      <c r="J711" s="222" t="s">
        <v>67</v>
      </c>
      <c r="K711" s="222">
        <v>4.5</v>
      </c>
      <c r="L711" s="222" t="s">
        <v>67</v>
      </c>
      <c r="M711" s="222">
        <v>52.5</v>
      </c>
      <c r="N711" s="214">
        <v>95.0</v>
      </c>
      <c r="O711" s="214">
        <v>124.0</v>
      </c>
      <c r="P711" s="214">
        <v>2.0</v>
      </c>
      <c r="Q711" s="214" t="b">
        <v>0</v>
      </c>
      <c r="R711" s="214">
        <v>100.0</v>
      </c>
      <c r="S711" s="214" t="s">
        <v>361</v>
      </c>
      <c r="T711" s="214" t="s">
        <v>365</v>
      </c>
      <c r="U711" s="214"/>
    </row>
    <row r="712">
      <c r="A712" s="221">
        <v>45930.06847215278</v>
      </c>
      <c r="B712" s="214" t="s">
        <v>395</v>
      </c>
      <c r="C712" s="214" t="s">
        <v>114</v>
      </c>
      <c r="D712" s="214">
        <v>5.0</v>
      </c>
      <c r="E712" s="214">
        <v>0.0</v>
      </c>
      <c r="F712" s="214" t="s">
        <v>1285</v>
      </c>
      <c r="G712" s="214" t="s">
        <v>532</v>
      </c>
      <c r="H712" s="214" t="s">
        <v>493</v>
      </c>
      <c r="I712" s="214"/>
      <c r="J712" s="222" t="s">
        <v>67</v>
      </c>
      <c r="K712" s="222">
        <v>-13.5</v>
      </c>
      <c r="L712" s="222" t="s">
        <v>67</v>
      </c>
      <c r="M712" s="222">
        <v>51.5</v>
      </c>
      <c r="N712" s="214">
        <v>185.0</v>
      </c>
      <c r="O712" s="214">
        <v>106.0</v>
      </c>
      <c r="P712" s="214">
        <v>2.0</v>
      </c>
      <c r="Q712" s="214" t="b">
        <v>1</v>
      </c>
      <c r="R712" s="214">
        <v>100.0</v>
      </c>
      <c r="S712" s="214" t="s">
        <v>317</v>
      </c>
      <c r="T712" s="214" t="s">
        <v>321</v>
      </c>
      <c r="U712" s="214"/>
    </row>
    <row r="713">
      <c r="A713" s="221">
        <v>45930.06847215278</v>
      </c>
      <c r="B713" s="214" t="s">
        <v>395</v>
      </c>
      <c r="C713" s="214" t="s">
        <v>101</v>
      </c>
      <c r="D713" s="214">
        <v>4.0</v>
      </c>
      <c r="E713" s="214">
        <v>0.0</v>
      </c>
      <c r="F713" s="214" t="s">
        <v>1263</v>
      </c>
      <c r="G713" s="214" t="s">
        <v>532</v>
      </c>
      <c r="H713" s="214" t="s">
        <v>193</v>
      </c>
      <c r="I713" s="214"/>
      <c r="J713" s="222" t="s">
        <v>67</v>
      </c>
      <c r="K713" s="222">
        <v>-13.5</v>
      </c>
      <c r="L713" s="222" t="s">
        <v>67</v>
      </c>
      <c r="M713" s="222">
        <v>47.5</v>
      </c>
      <c r="N713" s="214">
        <v>125.0</v>
      </c>
      <c r="O713" s="214">
        <v>53.0</v>
      </c>
      <c r="P713" s="214">
        <v>2.0</v>
      </c>
      <c r="Q713" s="214" t="b">
        <v>1</v>
      </c>
      <c r="R713" s="214">
        <v>100.0</v>
      </c>
      <c r="S713" s="214" t="s">
        <v>471</v>
      </c>
      <c r="T713" s="214" t="s">
        <v>321</v>
      </c>
      <c r="U713" s="214"/>
    </row>
    <row r="714">
      <c r="A714" s="221">
        <v>45930.06847215278</v>
      </c>
      <c r="B714" s="214"/>
      <c r="C714" s="214"/>
      <c r="D714" s="214"/>
      <c r="E714" s="214"/>
      <c r="F714" s="214"/>
      <c r="G714" s="214"/>
      <c r="H714" s="214"/>
      <c r="I714" s="214"/>
      <c r="J714" s="222"/>
      <c r="K714" s="222"/>
      <c r="L714" s="222"/>
      <c r="M714" s="222"/>
      <c r="N714" s="214"/>
      <c r="O714" s="214"/>
      <c r="P714" s="214"/>
      <c r="Q714" s="214"/>
      <c r="R714" s="214"/>
      <c r="S714" s="214"/>
      <c r="T714" s="214"/>
      <c r="U714" s="214"/>
    </row>
    <row r="715">
      <c r="A715" s="221">
        <v>45930.06847215278</v>
      </c>
      <c r="B715" s="214" t="s">
        <v>132</v>
      </c>
      <c r="C715" s="214" t="s">
        <v>187</v>
      </c>
      <c r="D715" s="214">
        <v>2.0</v>
      </c>
      <c r="E715" s="214">
        <v>2.0</v>
      </c>
      <c r="F715" s="214"/>
      <c r="G715" s="214"/>
      <c r="H715" s="214"/>
      <c r="I715" s="214"/>
      <c r="J715" s="222"/>
      <c r="K715" s="222"/>
      <c r="L715" s="222"/>
      <c r="M715" s="222"/>
      <c r="N715" s="214">
        <v>67.0</v>
      </c>
      <c r="O715" s="214">
        <v>75.0</v>
      </c>
      <c r="P715" s="214">
        <v>0.0</v>
      </c>
      <c r="Q715" s="214" t="b">
        <v>0</v>
      </c>
      <c r="R715" s="214">
        <v>59.0</v>
      </c>
      <c r="S715" s="214" t="s">
        <v>525</v>
      </c>
      <c r="T715" s="214" t="s">
        <v>365</v>
      </c>
      <c r="U715" s="214"/>
    </row>
    <row r="716">
      <c r="A716" s="221">
        <v>45930.06847215278</v>
      </c>
      <c r="B716" s="214" t="s">
        <v>132</v>
      </c>
      <c r="C716" s="214" t="s">
        <v>131</v>
      </c>
      <c r="D716" s="214">
        <v>3.0</v>
      </c>
      <c r="E716" s="214">
        <v>1.0</v>
      </c>
      <c r="F716" s="214"/>
      <c r="G716" s="214"/>
      <c r="H716" s="214"/>
      <c r="I716" s="214"/>
      <c r="J716" s="222"/>
      <c r="K716" s="222"/>
      <c r="L716" s="222"/>
      <c r="M716" s="222"/>
      <c r="N716" s="214">
        <v>127.0</v>
      </c>
      <c r="O716" s="214">
        <v>31.0</v>
      </c>
      <c r="P716" s="214">
        <v>0.0</v>
      </c>
      <c r="Q716" s="214" t="b">
        <v>1</v>
      </c>
      <c r="R716" s="214">
        <v>59.0</v>
      </c>
      <c r="S716" s="214" t="s">
        <v>556</v>
      </c>
      <c r="T716" s="214" t="s">
        <v>321</v>
      </c>
      <c r="U716" s="214"/>
    </row>
    <row r="717">
      <c r="A717" s="221">
        <v>45930.06847215278</v>
      </c>
      <c r="B717" s="214" t="s">
        <v>132</v>
      </c>
      <c r="C717" s="214" t="s">
        <v>545</v>
      </c>
      <c r="D717" s="214">
        <v>2.0</v>
      </c>
      <c r="E717" s="214">
        <v>2.0</v>
      </c>
      <c r="F717" s="214"/>
      <c r="G717" s="214"/>
      <c r="H717" s="214"/>
      <c r="I717" s="214"/>
      <c r="J717" s="222"/>
      <c r="K717" s="222"/>
      <c r="L717" s="222"/>
      <c r="M717" s="222"/>
      <c r="N717" s="214">
        <v>96.0</v>
      </c>
      <c r="O717" s="214">
        <v>109.0</v>
      </c>
      <c r="P717" s="214">
        <v>0.0</v>
      </c>
      <c r="Q717" s="214" t="b">
        <v>1</v>
      </c>
      <c r="R717" s="214">
        <v>59.0</v>
      </c>
      <c r="S717" s="214" t="s">
        <v>535</v>
      </c>
      <c r="T717" s="214" t="s">
        <v>365</v>
      </c>
      <c r="U717" s="214"/>
    </row>
    <row r="718">
      <c r="A718" s="221">
        <v>45930.06847215278</v>
      </c>
      <c r="B718" s="214" t="s">
        <v>132</v>
      </c>
      <c r="C718" s="214" t="s">
        <v>210</v>
      </c>
      <c r="D718" s="214">
        <v>3.0</v>
      </c>
      <c r="E718" s="214">
        <v>2.0</v>
      </c>
      <c r="F718" s="214" t="s">
        <v>1287</v>
      </c>
      <c r="G718" s="214" t="s">
        <v>61</v>
      </c>
      <c r="H718" s="214" t="s">
        <v>493</v>
      </c>
      <c r="I718" s="214"/>
      <c r="J718" s="222" t="s">
        <v>67</v>
      </c>
      <c r="K718" s="222">
        <v>-5.5</v>
      </c>
      <c r="L718" s="222" t="s">
        <v>67</v>
      </c>
      <c r="M718" s="222">
        <v>47.5</v>
      </c>
      <c r="N718" s="214">
        <v>124.0</v>
      </c>
      <c r="O718" s="214">
        <v>94.0</v>
      </c>
      <c r="P718" s="214">
        <v>2.0</v>
      </c>
      <c r="Q718" s="214" t="b">
        <v>1</v>
      </c>
      <c r="R718" s="214">
        <v>100.0</v>
      </c>
      <c r="S718" s="214" t="s">
        <v>556</v>
      </c>
      <c r="T718" s="214" t="s">
        <v>321</v>
      </c>
      <c r="U718" s="214"/>
    </row>
    <row r="719">
      <c r="A719" s="221">
        <v>45930.06847215278</v>
      </c>
      <c r="B719" s="214" t="s">
        <v>132</v>
      </c>
      <c r="C719" s="214" t="s">
        <v>107</v>
      </c>
      <c r="D719" s="214">
        <v>4.0</v>
      </c>
      <c r="E719" s="214">
        <v>1.0</v>
      </c>
      <c r="F719" s="214" t="s">
        <v>1288</v>
      </c>
      <c r="G719" s="214" t="s">
        <v>61</v>
      </c>
      <c r="H719" s="214" t="s">
        <v>493</v>
      </c>
      <c r="I719" s="214"/>
      <c r="J719" s="222" t="s">
        <v>67</v>
      </c>
      <c r="K719" s="222">
        <v>-15.5</v>
      </c>
      <c r="L719" s="222" t="s">
        <v>67</v>
      </c>
      <c r="M719" s="222">
        <v>51.5</v>
      </c>
      <c r="N719" s="214">
        <v>131.0</v>
      </c>
      <c r="O719" s="214">
        <v>120.0</v>
      </c>
      <c r="P719" s="214">
        <v>2.0</v>
      </c>
      <c r="Q719" s="214" t="b">
        <v>1</v>
      </c>
      <c r="R719" s="214">
        <v>100.0</v>
      </c>
      <c r="S719" s="214" t="s">
        <v>361</v>
      </c>
      <c r="T719" s="214" t="s">
        <v>365</v>
      </c>
      <c r="U719" s="214"/>
    </row>
    <row r="720">
      <c r="A720" s="221">
        <v>45930.06847215278</v>
      </c>
      <c r="B720" s="214" t="s">
        <v>132</v>
      </c>
      <c r="C720" s="214" t="s">
        <v>136</v>
      </c>
      <c r="D720" s="214">
        <v>5.0</v>
      </c>
      <c r="E720" s="214">
        <v>0.0</v>
      </c>
      <c r="F720" s="214" t="s">
        <v>1281</v>
      </c>
      <c r="G720" s="214" t="s">
        <v>61</v>
      </c>
      <c r="H720" s="214" t="s">
        <v>249</v>
      </c>
      <c r="I720" s="214"/>
      <c r="J720" s="222" t="s">
        <v>67</v>
      </c>
      <c r="K720" s="222">
        <v>-7.5</v>
      </c>
      <c r="L720" s="222" t="s">
        <v>67</v>
      </c>
      <c r="M720" s="222">
        <v>48.5</v>
      </c>
      <c r="N720" s="214">
        <v>239.0</v>
      </c>
      <c r="O720" s="214">
        <v>48.0</v>
      </c>
      <c r="P720" s="214">
        <v>2.0</v>
      </c>
      <c r="Q720" s="214" t="b">
        <v>1</v>
      </c>
      <c r="R720" s="214">
        <v>100.0</v>
      </c>
      <c r="S720" s="214" t="s">
        <v>407</v>
      </c>
      <c r="T720" s="214" t="s">
        <v>321</v>
      </c>
      <c r="U720" s="214"/>
    </row>
    <row r="721">
      <c r="A721" s="221">
        <v>45930.06847215278</v>
      </c>
      <c r="B721" s="214" t="s">
        <v>132</v>
      </c>
      <c r="C721" s="214" t="s">
        <v>134</v>
      </c>
      <c r="D721" s="214">
        <v>2.0</v>
      </c>
      <c r="E721" s="214">
        <v>3.0</v>
      </c>
      <c r="F721" s="214" t="s">
        <v>1246</v>
      </c>
      <c r="G721" s="214" t="s">
        <v>61</v>
      </c>
      <c r="H721" s="214" t="s">
        <v>95</v>
      </c>
      <c r="I721" s="214"/>
      <c r="J721" s="222" t="s">
        <v>67</v>
      </c>
      <c r="K721" s="222">
        <v>12.5</v>
      </c>
      <c r="L721" s="222" t="s">
        <v>67</v>
      </c>
      <c r="M721" s="222">
        <v>47.5</v>
      </c>
      <c r="N721" s="214">
        <v>110.0</v>
      </c>
      <c r="O721" s="214">
        <v>133.0</v>
      </c>
      <c r="P721" s="214">
        <v>2.0</v>
      </c>
      <c r="Q721" s="214" t="b">
        <v>1</v>
      </c>
      <c r="R721" s="214">
        <v>100.0</v>
      </c>
      <c r="S721" s="214" t="s">
        <v>471</v>
      </c>
      <c r="T721" s="214" t="s">
        <v>321</v>
      </c>
      <c r="U721" s="214"/>
    </row>
    <row r="722">
      <c r="A722" s="221">
        <v>45930.06847215278</v>
      </c>
      <c r="B722" s="214" t="s">
        <v>132</v>
      </c>
      <c r="C722" s="214" t="s">
        <v>215</v>
      </c>
      <c r="D722" s="214">
        <v>1.0</v>
      </c>
      <c r="E722" s="214">
        <v>4.0</v>
      </c>
      <c r="F722" s="214" t="s">
        <v>1289</v>
      </c>
      <c r="G722" s="214" t="s">
        <v>61</v>
      </c>
      <c r="H722" s="214" t="s">
        <v>493</v>
      </c>
      <c r="I722" s="214"/>
      <c r="J722" s="222" t="s">
        <v>67</v>
      </c>
      <c r="K722" s="222">
        <v>1.5</v>
      </c>
      <c r="L722" s="222" t="s">
        <v>67</v>
      </c>
      <c r="M722" s="222">
        <v>55.5</v>
      </c>
      <c r="N722" s="214">
        <v>109.0</v>
      </c>
      <c r="O722" s="214">
        <v>160.0</v>
      </c>
      <c r="P722" s="214">
        <v>2.0</v>
      </c>
      <c r="Q722" s="214" t="b">
        <v>1</v>
      </c>
      <c r="R722" s="214">
        <v>100.0</v>
      </c>
      <c r="S722" s="214" t="s">
        <v>441</v>
      </c>
      <c r="T722" s="214" t="s">
        <v>365</v>
      </c>
      <c r="U722" s="214"/>
    </row>
    <row r="723">
      <c r="A723" s="221">
        <v>45930.06847215278</v>
      </c>
      <c r="B723" s="214" t="s">
        <v>132</v>
      </c>
      <c r="C723" s="214" t="s">
        <v>168</v>
      </c>
      <c r="D723" s="214">
        <v>3.0</v>
      </c>
      <c r="E723" s="214">
        <v>2.0</v>
      </c>
      <c r="F723" s="214" t="s">
        <v>1255</v>
      </c>
      <c r="G723" s="214" t="s">
        <v>61</v>
      </c>
      <c r="H723" s="214" t="s">
        <v>62</v>
      </c>
      <c r="I723" s="214"/>
      <c r="J723" s="222" t="s">
        <v>67</v>
      </c>
      <c r="K723" s="222">
        <v>-4.5</v>
      </c>
      <c r="L723" s="222" t="s">
        <v>67</v>
      </c>
      <c r="M723" s="222">
        <v>54.5</v>
      </c>
      <c r="N723" s="214">
        <v>109.0</v>
      </c>
      <c r="O723" s="214">
        <v>145.0</v>
      </c>
      <c r="P723" s="214">
        <v>2.0</v>
      </c>
      <c r="Q723" s="214" t="b">
        <v>1</v>
      </c>
      <c r="R723" s="214">
        <v>100.0</v>
      </c>
      <c r="S723" s="214" t="s">
        <v>530</v>
      </c>
      <c r="T723" s="214" t="s">
        <v>365</v>
      </c>
      <c r="U723" s="214"/>
    </row>
    <row r="724">
      <c r="A724" s="221">
        <v>45930.06847215278</v>
      </c>
      <c r="B724" s="214" t="s">
        <v>132</v>
      </c>
      <c r="C724" s="214" t="s">
        <v>115</v>
      </c>
      <c r="D724" s="214">
        <v>4.0</v>
      </c>
      <c r="E724" s="214">
        <v>0.0</v>
      </c>
      <c r="F724" s="214" t="s">
        <v>1277</v>
      </c>
      <c r="G724" s="214" t="s">
        <v>61</v>
      </c>
      <c r="H724" s="214" t="s">
        <v>238</v>
      </c>
      <c r="I724" s="214"/>
      <c r="J724" s="222" t="s">
        <v>67</v>
      </c>
      <c r="K724" s="222">
        <v>-4.5</v>
      </c>
      <c r="L724" s="222" t="s">
        <v>67</v>
      </c>
      <c r="M724" s="222">
        <v>57.5</v>
      </c>
      <c r="N724" s="214">
        <v>153.0</v>
      </c>
      <c r="O724" s="214">
        <v>75.0</v>
      </c>
      <c r="P724" s="214">
        <v>2.0</v>
      </c>
      <c r="Q724" s="214" t="b">
        <v>1</v>
      </c>
      <c r="R724" s="214">
        <v>100.0</v>
      </c>
      <c r="S724" s="214" t="s">
        <v>317</v>
      </c>
      <c r="T724" s="214" t="s">
        <v>321</v>
      </c>
      <c r="U724" s="214"/>
    </row>
    <row r="725">
      <c r="A725" s="221">
        <v>45930.06847215278</v>
      </c>
      <c r="B725" s="214"/>
      <c r="C725" s="214"/>
      <c r="D725" s="214"/>
      <c r="E725" s="214"/>
      <c r="F725" s="214"/>
      <c r="G725" s="214"/>
      <c r="H725" s="214"/>
      <c r="I725" s="214"/>
      <c r="J725" s="222"/>
      <c r="K725" s="222"/>
      <c r="L725" s="222"/>
      <c r="M725" s="222"/>
      <c r="N725" s="214"/>
      <c r="O725" s="214"/>
      <c r="P725" s="214"/>
      <c r="Q725" s="214"/>
      <c r="R725" s="214"/>
      <c r="S725" s="214"/>
      <c r="T725" s="214"/>
      <c r="U725" s="214"/>
    </row>
    <row r="726">
      <c r="A726" s="221">
        <v>45930.06847215278</v>
      </c>
      <c r="B726" s="214" t="s">
        <v>493</v>
      </c>
      <c r="C726" s="214" t="s">
        <v>146</v>
      </c>
      <c r="D726" s="214">
        <v>2.0</v>
      </c>
      <c r="E726" s="214">
        <v>2.0</v>
      </c>
      <c r="F726" s="214"/>
      <c r="G726" s="214"/>
      <c r="H726" s="214"/>
      <c r="I726" s="214"/>
      <c r="J726" s="222"/>
      <c r="K726" s="222"/>
      <c r="L726" s="222"/>
      <c r="M726" s="222"/>
      <c r="N726" s="214">
        <v>112.0</v>
      </c>
      <c r="O726" s="214">
        <v>106.0</v>
      </c>
      <c r="P726" s="214">
        <v>0.0</v>
      </c>
      <c r="Q726" s="214" t="b">
        <v>1</v>
      </c>
      <c r="R726" s="214">
        <v>59.0</v>
      </c>
      <c r="S726" s="214" t="s">
        <v>407</v>
      </c>
      <c r="T726" s="214" t="s">
        <v>321</v>
      </c>
      <c r="U726" s="214"/>
    </row>
    <row r="727">
      <c r="A727" s="221">
        <v>45930.06847215278</v>
      </c>
      <c r="B727" s="214" t="s">
        <v>493</v>
      </c>
      <c r="C727" s="214" t="s">
        <v>106</v>
      </c>
      <c r="D727" s="214">
        <v>2.0</v>
      </c>
      <c r="E727" s="214">
        <v>2.0</v>
      </c>
      <c r="F727" s="214"/>
      <c r="G727" s="214"/>
      <c r="H727" s="214"/>
      <c r="I727" s="214"/>
      <c r="J727" s="222"/>
      <c r="K727" s="222"/>
      <c r="L727" s="222"/>
      <c r="M727" s="222"/>
      <c r="N727" s="214">
        <v>124.0</v>
      </c>
      <c r="O727" s="214">
        <v>104.0</v>
      </c>
      <c r="P727" s="214">
        <v>0.0</v>
      </c>
      <c r="Q727" s="214" t="b">
        <v>1</v>
      </c>
      <c r="R727" s="214">
        <v>59.0</v>
      </c>
      <c r="S727" s="214" t="s">
        <v>361</v>
      </c>
      <c r="T727" s="214" t="s">
        <v>365</v>
      </c>
      <c r="U727" s="214"/>
    </row>
    <row r="728">
      <c r="A728" s="221">
        <v>45930.06847215278</v>
      </c>
      <c r="B728" s="214" t="s">
        <v>493</v>
      </c>
      <c r="C728" s="214" t="s">
        <v>138</v>
      </c>
      <c r="D728" s="214">
        <v>4.0</v>
      </c>
      <c r="E728" s="214">
        <v>0.0</v>
      </c>
      <c r="F728" s="214"/>
      <c r="G728" s="214"/>
      <c r="H728" s="214"/>
      <c r="I728" s="214"/>
      <c r="J728" s="222"/>
      <c r="K728" s="222"/>
      <c r="L728" s="222"/>
      <c r="M728" s="222"/>
      <c r="N728" s="214">
        <v>130.0</v>
      </c>
      <c r="O728" s="214">
        <v>43.0</v>
      </c>
      <c r="P728" s="214">
        <v>0.0</v>
      </c>
      <c r="Q728" s="214" t="b">
        <v>1</v>
      </c>
      <c r="R728" s="214">
        <v>59.0</v>
      </c>
      <c r="S728" s="214" t="s">
        <v>407</v>
      </c>
      <c r="T728" s="214" t="s">
        <v>321</v>
      </c>
      <c r="U728" s="214"/>
    </row>
    <row r="729">
      <c r="A729" s="221">
        <v>45930.06847215278</v>
      </c>
      <c r="B729" s="214" t="s">
        <v>493</v>
      </c>
      <c r="C729" s="214" t="s">
        <v>195</v>
      </c>
      <c r="D729" s="214">
        <v>2.0</v>
      </c>
      <c r="E729" s="214">
        <v>3.0</v>
      </c>
      <c r="F729" s="214" t="s">
        <v>1275</v>
      </c>
      <c r="G729" s="214" t="s">
        <v>61</v>
      </c>
      <c r="H729" s="214" t="s">
        <v>238</v>
      </c>
      <c r="I729" s="214"/>
      <c r="J729" s="222" t="s">
        <v>67</v>
      </c>
      <c r="K729" s="222">
        <v>-3.5</v>
      </c>
      <c r="L729" s="222" t="s">
        <v>67</v>
      </c>
      <c r="M729" s="222">
        <v>50.5</v>
      </c>
      <c r="N729" s="214">
        <v>103.0</v>
      </c>
      <c r="O729" s="214">
        <v>147.0</v>
      </c>
      <c r="P729" s="214">
        <v>2.0</v>
      </c>
      <c r="Q729" s="214" t="b">
        <v>1</v>
      </c>
      <c r="R729" s="214">
        <v>100.0</v>
      </c>
      <c r="S729" s="214" t="s">
        <v>317</v>
      </c>
      <c r="T729" s="214" t="s">
        <v>321</v>
      </c>
      <c r="U729" s="214"/>
    </row>
    <row r="730">
      <c r="A730" s="221">
        <v>45930.06847215278</v>
      </c>
      <c r="B730" s="214" t="s">
        <v>493</v>
      </c>
      <c r="C730" s="214" t="s">
        <v>188</v>
      </c>
      <c r="D730" s="214">
        <v>3.0</v>
      </c>
      <c r="E730" s="214">
        <v>1.0</v>
      </c>
      <c r="F730" s="214" t="s">
        <v>1264</v>
      </c>
      <c r="G730" s="214" t="s">
        <v>61</v>
      </c>
      <c r="H730" s="214" t="s">
        <v>311</v>
      </c>
      <c r="I730" s="214"/>
      <c r="J730" s="222" t="s">
        <v>67</v>
      </c>
      <c r="K730" s="222">
        <v>6.5</v>
      </c>
      <c r="L730" s="222" t="s">
        <v>67</v>
      </c>
      <c r="M730" s="222">
        <v>48.5</v>
      </c>
      <c r="N730" s="214">
        <v>125.0</v>
      </c>
      <c r="O730" s="214">
        <v>65.0</v>
      </c>
      <c r="P730" s="214">
        <v>2.0</v>
      </c>
      <c r="Q730" s="214" t="b">
        <v>1</v>
      </c>
      <c r="R730" s="214">
        <v>100.0</v>
      </c>
      <c r="S730" s="214" t="s">
        <v>471</v>
      </c>
      <c r="T730" s="214" t="s">
        <v>321</v>
      </c>
      <c r="U730" s="214"/>
    </row>
    <row r="731">
      <c r="A731" s="221">
        <v>45930.06847215278</v>
      </c>
      <c r="B731" s="214" t="s">
        <v>493</v>
      </c>
      <c r="C731" s="214" t="s">
        <v>108</v>
      </c>
      <c r="D731" s="214">
        <v>2.0</v>
      </c>
      <c r="E731" s="214">
        <v>3.0</v>
      </c>
      <c r="F731" s="214" t="s">
        <v>1288</v>
      </c>
      <c r="G731" s="214" t="s">
        <v>61</v>
      </c>
      <c r="H731" s="214" t="s">
        <v>132</v>
      </c>
      <c r="I731" s="214"/>
      <c r="J731" s="222" t="s">
        <v>67</v>
      </c>
      <c r="K731" s="222">
        <v>15.5</v>
      </c>
      <c r="L731" s="222" t="s">
        <v>67</v>
      </c>
      <c r="M731" s="222">
        <v>51.5</v>
      </c>
      <c r="N731" s="214">
        <v>105.0</v>
      </c>
      <c r="O731" s="214">
        <v>113.0</v>
      </c>
      <c r="P731" s="214">
        <v>2.0</v>
      </c>
      <c r="Q731" s="214" t="b">
        <v>0</v>
      </c>
      <c r="R731" s="214">
        <v>100.0</v>
      </c>
      <c r="S731" s="214" t="s">
        <v>361</v>
      </c>
      <c r="T731" s="214" t="s">
        <v>365</v>
      </c>
      <c r="U731" s="214"/>
    </row>
    <row r="732">
      <c r="A732" s="221">
        <v>45930.06847215278</v>
      </c>
      <c r="B732" s="214" t="s">
        <v>493</v>
      </c>
      <c r="C732" s="214" t="s">
        <v>110</v>
      </c>
      <c r="D732" s="214">
        <v>1.0</v>
      </c>
      <c r="E732" s="214">
        <v>3.0</v>
      </c>
      <c r="F732" s="214" t="s">
        <v>1252</v>
      </c>
      <c r="G732" s="214" t="s">
        <v>61</v>
      </c>
      <c r="H732" s="214" t="s">
        <v>62</v>
      </c>
      <c r="I732" s="214"/>
      <c r="J732" s="222" t="s">
        <v>67</v>
      </c>
      <c r="K732" s="222">
        <v>-6.5</v>
      </c>
      <c r="L732" s="222" t="s">
        <v>67</v>
      </c>
      <c r="M732" s="222">
        <v>53.5</v>
      </c>
      <c r="N732" s="214">
        <v>150.0</v>
      </c>
      <c r="O732" s="214">
        <v>110.0</v>
      </c>
      <c r="P732" s="214">
        <v>2.0</v>
      </c>
      <c r="Q732" s="214" t="b">
        <v>0</v>
      </c>
      <c r="R732" s="214">
        <v>100.0</v>
      </c>
      <c r="S732" s="214" t="s">
        <v>317</v>
      </c>
      <c r="T732" s="214" t="s">
        <v>321</v>
      </c>
      <c r="U732" s="214"/>
    </row>
    <row r="733">
      <c r="A733" s="221">
        <v>45930.06847215278</v>
      </c>
      <c r="B733" s="214" t="s">
        <v>493</v>
      </c>
      <c r="C733" s="214" t="s">
        <v>143</v>
      </c>
      <c r="D733" s="214">
        <v>2.0</v>
      </c>
      <c r="E733" s="214">
        <v>2.0</v>
      </c>
      <c r="F733" s="214" t="s">
        <v>1253</v>
      </c>
      <c r="G733" s="214" t="s">
        <v>61</v>
      </c>
      <c r="H733" s="214" t="s">
        <v>62</v>
      </c>
      <c r="I733" s="214"/>
      <c r="J733" s="222" t="s">
        <v>67</v>
      </c>
      <c r="K733" s="222">
        <v>-6.5</v>
      </c>
      <c r="L733" s="222" t="s">
        <v>67</v>
      </c>
      <c r="M733" s="222">
        <v>45.5</v>
      </c>
      <c r="N733" s="214">
        <v>76.0</v>
      </c>
      <c r="O733" s="214">
        <v>78.0</v>
      </c>
      <c r="P733" s="214">
        <v>2.0</v>
      </c>
      <c r="Q733" s="214" t="b">
        <v>1</v>
      </c>
      <c r="R733" s="214">
        <v>100.0</v>
      </c>
      <c r="S733" s="214" t="s">
        <v>407</v>
      </c>
      <c r="T733" s="214" t="s">
        <v>321</v>
      </c>
      <c r="U733" s="214"/>
    </row>
    <row r="734">
      <c r="A734" s="221">
        <v>45930.06847215278</v>
      </c>
      <c r="B734" s="214" t="s">
        <v>493</v>
      </c>
      <c r="C734" s="214" t="s">
        <v>120</v>
      </c>
      <c r="D734" s="214">
        <v>3.0</v>
      </c>
      <c r="E734" s="214">
        <v>2.0</v>
      </c>
      <c r="F734" s="214" t="s">
        <v>1283</v>
      </c>
      <c r="G734" s="214" t="s">
        <v>61</v>
      </c>
      <c r="H734" s="214" t="s">
        <v>249</v>
      </c>
      <c r="I734" s="214"/>
      <c r="J734" s="222" t="s">
        <v>67</v>
      </c>
      <c r="K734" s="222">
        <v>4.5</v>
      </c>
      <c r="L734" s="222" t="s">
        <v>67</v>
      </c>
      <c r="M734" s="222">
        <v>60.5</v>
      </c>
      <c r="N734" s="214">
        <v>156.0</v>
      </c>
      <c r="O734" s="214">
        <v>148.0</v>
      </c>
      <c r="P734" s="214">
        <v>2.0</v>
      </c>
      <c r="Q734" s="214" t="b">
        <v>0</v>
      </c>
      <c r="R734" s="214">
        <v>100.0</v>
      </c>
      <c r="S734" s="214" t="s">
        <v>317</v>
      </c>
      <c r="T734" s="214" t="s">
        <v>321</v>
      </c>
      <c r="U734" s="214"/>
    </row>
    <row r="735">
      <c r="A735" s="221">
        <v>45930.06847215278</v>
      </c>
      <c r="B735" s="214" t="s">
        <v>493</v>
      </c>
      <c r="C735" s="214" t="s">
        <v>123</v>
      </c>
      <c r="D735" s="214">
        <v>2.0</v>
      </c>
      <c r="E735" s="214">
        <v>2.0</v>
      </c>
      <c r="F735" s="214" t="s">
        <v>1285</v>
      </c>
      <c r="G735" s="214" t="s">
        <v>532</v>
      </c>
      <c r="H735" s="214" t="s">
        <v>395</v>
      </c>
      <c r="I735" s="214"/>
      <c r="J735" s="222" t="s">
        <v>67</v>
      </c>
      <c r="K735" s="222">
        <v>13.5</v>
      </c>
      <c r="L735" s="222" t="s">
        <v>67</v>
      </c>
      <c r="M735" s="222">
        <v>51.5</v>
      </c>
      <c r="N735" s="214">
        <v>105.0</v>
      </c>
      <c r="O735" s="214">
        <v>83.0</v>
      </c>
      <c r="P735" s="214">
        <v>2.0</v>
      </c>
      <c r="Q735" s="214" t="b">
        <v>0</v>
      </c>
      <c r="R735" s="214">
        <v>100.0</v>
      </c>
      <c r="S735" s="214" t="s">
        <v>317</v>
      </c>
      <c r="T735" s="214" t="s">
        <v>321</v>
      </c>
      <c r="U735" s="214"/>
    </row>
    <row r="736">
      <c r="A736" s="221">
        <v>45930.06847215278</v>
      </c>
      <c r="B736" s="214"/>
      <c r="C736" s="214"/>
      <c r="D736" s="214"/>
      <c r="E736" s="214"/>
      <c r="F736" s="214"/>
      <c r="G736" s="214"/>
      <c r="H736" s="214"/>
      <c r="I736" s="214"/>
      <c r="J736" s="222"/>
      <c r="K736" s="222"/>
      <c r="L736" s="222"/>
      <c r="M736" s="222"/>
      <c r="N736" s="214"/>
      <c r="O736" s="214"/>
      <c r="P736" s="214"/>
      <c r="Q736" s="214"/>
      <c r="R736" s="214"/>
      <c r="S736" s="214"/>
      <c r="T736" s="214"/>
      <c r="U736" s="214"/>
    </row>
    <row r="737">
      <c r="A737" s="221">
        <v>45930.06847215278</v>
      </c>
      <c r="B737" s="214" t="s">
        <v>493</v>
      </c>
      <c r="C737" s="214" t="s">
        <v>170</v>
      </c>
      <c r="D737" s="214">
        <v>1.0</v>
      </c>
      <c r="E737" s="214">
        <v>3.0</v>
      </c>
      <c r="F737" s="214"/>
      <c r="G737" s="214"/>
      <c r="H737" s="214"/>
      <c r="I737" s="214"/>
      <c r="J737" s="222"/>
      <c r="K737" s="222"/>
      <c r="L737" s="222"/>
      <c r="M737" s="222"/>
      <c r="N737" s="214">
        <v>73.0</v>
      </c>
      <c r="O737" s="214">
        <v>176.0</v>
      </c>
      <c r="P737" s="214">
        <v>0.0</v>
      </c>
      <c r="Q737" s="214" t="b">
        <v>1</v>
      </c>
      <c r="R737" s="214">
        <v>59.0</v>
      </c>
      <c r="S737" s="214" t="s">
        <v>530</v>
      </c>
      <c r="T737" s="214" t="s">
        <v>365</v>
      </c>
      <c r="U737" s="214"/>
    </row>
    <row r="738">
      <c r="A738" s="221">
        <v>45930.06847215278</v>
      </c>
      <c r="B738" s="214" t="s">
        <v>493</v>
      </c>
      <c r="C738" s="214" t="s">
        <v>205</v>
      </c>
      <c r="D738" s="214">
        <v>2.0</v>
      </c>
      <c r="E738" s="214">
        <v>2.0</v>
      </c>
      <c r="F738" s="214" t="s">
        <v>1287</v>
      </c>
      <c r="G738" s="214" t="s">
        <v>61</v>
      </c>
      <c r="H738" s="214" t="s">
        <v>132</v>
      </c>
      <c r="I738" s="214"/>
      <c r="J738" s="222" t="s">
        <v>67</v>
      </c>
      <c r="K738" s="222">
        <v>5.5</v>
      </c>
      <c r="L738" s="222" t="s">
        <v>67</v>
      </c>
      <c r="M738" s="222">
        <v>47.5</v>
      </c>
      <c r="N738" s="214">
        <v>108.0</v>
      </c>
      <c r="O738" s="214">
        <v>104.0</v>
      </c>
      <c r="P738" s="214">
        <v>2.0</v>
      </c>
      <c r="Q738" s="214" t="b">
        <v>0</v>
      </c>
      <c r="R738" s="214">
        <v>100.0</v>
      </c>
      <c r="S738" s="214" t="s">
        <v>556</v>
      </c>
      <c r="T738" s="214" t="s">
        <v>321</v>
      </c>
      <c r="U738" s="214"/>
    </row>
    <row r="739">
      <c r="A739" s="221">
        <v>45930.06847215278</v>
      </c>
      <c r="B739" s="214" t="s">
        <v>493</v>
      </c>
      <c r="C739" s="214" t="s">
        <v>200</v>
      </c>
      <c r="D739" s="214">
        <v>3.0</v>
      </c>
      <c r="E739" s="214">
        <v>2.0</v>
      </c>
      <c r="F739" s="214" t="s">
        <v>1250</v>
      </c>
      <c r="G739" s="214" t="s">
        <v>61</v>
      </c>
      <c r="H739" s="214" t="s">
        <v>62</v>
      </c>
      <c r="I739" s="214"/>
      <c r="J739" s="222" t="s">
        <v>67</v>
      </c>
      <c r="K739" s="222">
        <v>5.5</v>
      </c>
      <c r="L739" s="222" t="s">
        <v>67</v>
      </c>
      <c r="M739" s="222">
        <v>49.5</v>
      </c>
      <c r="N739" s="214">
        <v>103.0</v>
      </c>
      <c r="O739" s="214">
        <v>144.0</v>
      </c>
      <c r="P739" s="214">
        <v>2.0</v>
      </c>
      <c r="Q739" s="214" t="b">
        <v>1</v>
      </c>
      <c r="R739" s="214">
        <v>100.0</v>
      </c>
      <c r="S739" s="214" t="s">
        <v>680</v>
      </c>
      <c r="T739" s="214" t="s">
        <v>365</v>
      </c>
      <c r="U739" s="214"/>
    </row>
    <row r="740">
      <c r="A740" s="221">
        <v>45930.06847215278</v>
      </c>
      <c r="B740" s="214" t="s">
        <v>493</v>
      </c>
      <c r="C740" s="214" t="s">
        <v>546</v>
      </c>
      <c r="D740" s="214">
        <v>3.0</v>
      </c>
      <c r="E740" s="214">
        <v>2.0</v>
      </c>
      <c r="F740" s="214" t="s">
        <v>1280</v>
      </c>
      <c r="G740" s="214" t="s">
        <v>61</v>
      </c>
      <c r="H740" s="214" t="s">
        <v>156</v>
      </c>
      <c r="I740" s="214"/>
      <c r="J740" s="222" t="s">
        <v>67</v>
      </c>
      <c r="K740" s="222">
        <v>-4.0</v>
      </c>
      <c r="L740" s="222" t="s">
        <v>67</v>
      </c>
      <c r="M740" s="222">
        <v>55.5</v>
      </c>
      <c r="N740" s="214">
        <v>155.0</v>
      </c>
      <c r="O740" s="214">
        <v>131.0</v>
      </c>
      <c r="P740" s="214">
        <v>2.0</v>
      </c>
      <c r="Q740" s="214" t="b">
        <v>1</v>
      </c>
      <c r="R740" s="214">
        <v>100.0</v>
      </c>
      <c r="S740" s="214" t="s">
        <v>441</v>
      </c>
      <c r="T740" s="214" t="s">
        <v>365</v>
      </c>
      <c r="U740" s="214"/>
    </row>
    <row r="741">
      <c r="A741" s="221">
        <v>45930.06847215278</v>
      </c>
      <c r="B741" s="214" t="s">
        <v>493</v>
      </c>
      <c r="C741" s="214" t="s">
        <v>219</v>
      </c>
      <c r="D741" s="214">
        <v>3.0</v>
      </c>
      <c r="E741" s="214">
        <v>1.0</v>
      </c>
      <c r="F741" s="214" t="s">
        <v>1289</v>
      </c>
      <c r="G741" s="214" t="s">
        <v>61</v>
      </c>
      <c r="H741" s="214" t="s">
        <v>132</v>
      </c>
      <c r="I741" s="214"/>
      <c r="J741" s="222" t="s">
        <v>67</v>
      </c>
      <c r="K741" s="222">
        <v>-1.5</v>
      </c>
      <c r="L741" s="222" t="s">
        <v>67</v>
      </c>
      <c r="M741" s="222">
        <v>55.5</v>
      </c>
      <c r="N741" s="214">
        <v>88.0</v>
      </c>
      <c r="O741" s="214">
        <v>114.0</v>
      </c>
      <c r="P741" s="214">
        <v>2.0</v>
      </c>
      <c r="Q741" s="214" t="b">
        <v>0</v>
      </c>
      <c r="R741" s="214">
        <v>100.0</v>
      </c>
      <c r="S741" s="214" t="s">
        <v>441</v>
      </c>
      <c r="T741" s="214" t="s">
        <v>365</v>
      </c>
      <c r="U741" s="214"/>
    </row>
    <row r="742">
      <c r="A742" s="221">
        <v>45937.06845290509</v>
      </c>
      <c r="B742" s="214" t="s">
        <v>43</v>
      </c>
      <c r="C742" s="214" t="s">
        <v>45</v>
      </c>
      <c r="D742" s="214">
        <v>3.0</v>
      </c>
      <c r="E742" s="214">
        <v>2.0</v>
      </c>
      <c r="F742" s="214"/>
      <c r="G742" s="214"/>
      <c r="H742" s="214"/>
      <c r="I742" s="214"/>
      <c r="J742" s="222"/>
      <c r="K742" s="222"/>
      <c r="L742" s="222"/>
      <c r="M742" s="222"/>
      <c r="N742" s="214">
        <v>138.0</v>
      </c>
      <c r="O742" s="214">
        <v>82.0</v>
      </c>
      <c r="P742" s="214">
        <v>0.0</v>
      </c>
      <c r="Q742" s="214" t="b">
        <v>1</v>
      </c>
      <c r="R742" s="214">
        <v>59.0</v>
      </c>
      <c r="S742" s="214" t="s">
        <v>556</v>
      </c>
      <c r="T742" s="214" t="s">
        <v>321</v>
      </c>
      <c r="U742" s="214"/>
    </row>
    <row r="743">
      <c r="A743" s="221">
        <v>45937.06845290509</v>
      </c>
      <c r="B743" s="214" t="s">
        <v>43</v>
      </c>
      <c r="C743" s="214" t="s">
        <v>189</v>
      </c>
      <c r="D743" s="214">
        <v>4.0</v>
      </c>
      <c r="E743" s="214">
        <v>1.0</v>
      </c>
      <c r="F743" s="214"/>
      <c r="G743" s="214"/>
      <c r="H743" s="214"/>
      <c r="I743" s="214"/>
      <c r="J743" s="222"/>
      <c r="K743" s="222"/>
      <c r="L743" s="222"/>
      <c r="M743" s="222"/>
      <c r="N743" s="214">
        <v>146.0</v>
      </c>
      <c r="O743" s="214">
        <v>106.0</v>
      </c>
      <c r="P743" s="214">
        <v>0.0</v>
      </c>
      <c r="Q743" s="214" t="b">
        <v>1</v>
      </c>
      <c r="R743" s="214">
        <v>59.0</v>
      </c>
      <c r="S743" s="214" t="s">
        <v>471</v>
      </c>
      <c r="T743" s="214" t="s">
        <v>321</v>
      </c>
      <c r="U743" s="214"/>
    </row>
    <row r="744">
      <c r="A744" s="221">
        <v>45937.06845290509</v>
      </c>
      <c r="B744" s="214" t="s">
        <v>43</v>
      </c>
      <c r="C744" s="214" t="s">
        <v>133</v>
      </c>
      <c r="D744" s="214">
        <v>5.0</v>
      </c>
      <c r="E744" s="214">
        <v>0.0</v>
      </c>
      <c r="F744" s="214" t="s">
        <v>1340</v>
      </c>
      <c r="G744" s="214" t="s">
        <v>61</v>
      </c>
      <c r="H744" s="214" t="s">
        <v>395</v>
      </c>
      <c r="I744" s="214"/>
      <c r="J744" s="222" t="s">
        <v>67</v>
      </c>
      <c r="K744" s="222">
        <v>-12.5</v>
      </c>
      <c r="L744" s="222" t="s">
        <v>67</v>
      </c>
      <c r="M744" s="222">
        <v>52.5</v>
      </c>
      <c r="N744" s="214">
        <v>243.0</v>
      </c>
      <c r="O744" s="214">
        <v>56.0</v>
      </c>
      <c r="P744" s="214">
        <v>2.0</v>
      </c>
      <c r="Q744" s="214" t="b">
        <v>0</v>
      </c>
      <c r="R744" s="214">
        <v>100.0</v>
      </c>
      <c r="S744" s="214" t="s">
        <v>471</v>
      </c>
      <c r="T744" s="214" t="s">
        <v>321</v>
      </c>
      <c r="U744" s="214"/>
    </row>
    <row r="745">
      <c r="A745" s="221">
        <v>45937.06845290509</v>
      </c>
      <c r="B745" s="214" t="s">
        <v>43</v>
      </c>
      <c r="C745" s="214" t="s">
        <v>157</v>
      </c>
      <c r="D745" s="214">
        <v>3.0</v>
      </c>
      <c r="E745" s="214">
        <v>3.0</v>
      </c>
      <c r="F745" s="214" t="s">
        <v>1341</v>
      </c>
      <c r="G745" s="214" t="s">
        <v>61</v>
      </c>
      <c r="H745" s="214" t="s">
        <v>193</v>
      </c>
      <c r="I745" s="214"/>
      <c r="J745" s="222" t="s">
        <v>67</v>
      </c>
      <c r="K745" s="222">
        <v>-4.5</v>
      </c>
      <c r="L745" s="222" t="s">
        <v>67</v>
      </c>
      <c r="M745" s="222">
        <v>54.5</v>
      </c>
      <c r="N745" s="214">
        <v>123.0</v>
      </c>
      <c r="O745" s="214">
        <v>129.0</v>
      </c>
      <c r="P745" s="214">
        <v>2.0</v>
      </c>
      <c r="Q745" s="214" t="b">
        <v>0</v>
      </c>
      <c r="R745" s="214">
        <v>100.0</v>
      </c>
      <c r="S745" s="214" t="s">
        <v>361</v>
      </c>
      <c r="T745" s="214" t="s">
        <v>365</v>
      </c>
      <c r="U745" s="214"/>
    </row>
    <row r="746">
      <c r="A746" s="221">
        <v>45937.06845290509</v>
      </c>
      <c r="B746" s="214" t="s">
        <v>43</v>
      </c>
      <c r="C746" s="214" t="s">
        <v>145</v>
      </c>
      <c r="D746" s="214">
        <v>3.0</v>
      </c>
      <c r="E746" s="214">
        <v>2.0</v>
      </c>
      <c r="F746" s="214" t="s">
        <v>1342</v>
      </c>
      <c r="G746" s="214" t="s">
        <v>61</v>
      </c>
      <c r="H746" s="214" t="s">
        <v>62</v>
      </c>
      <c r="I746" s="214"/>
      <c r="J746" s="222" t="s">
        <v>67</v>
      </c>
      <c r="K746" s="222">
        <v>-24.5</v>
      </c>
      <c r="L746" s="222" t="s">
        <v>67</v>
      </c>
      <c r="M746" s="222">
        <v>49.5</v>
      </c>
      <c r="N746" s="214">
        <v>193.0</v>
      </c>
      <c r="O746" s="214">
        <v>89.0</v>
      </c>
      <c r="P746" s="214">
        <v>2.0</v>
      </c>
      <c r="Q746" s="214" t="b">
        <v>0</v>
      </c>
      <c r="R746" s="214">
        <v>100.0</v>
      </c>
      <c r="S746" s="214" t="s">
        <v>407</v>
      </c>
      <c r="T746" s="214" t="s">
        <v>321</v>
      </c>
      <c r="U746" s="214"/>
    </row>
    <row r="747">
      <c r="A747" s="221">
        <v>45937.06845290509</v>
      </c>
      <c r="B747" s="214" t="s">
        <v>43</v>
      </c>
      <c r="C747" s="214" t="s">
        <v>422</v>
      </c>
      <c r="D747" s="214">
        <v>3.0</v>
      </c>
      <c r="E747" s="214">
        <v>2.0</v>
      </c>
      <c r="F747" s="214" t="s">
        <v>1343</v>
      </c>
      <c r="G747" s="214" t="s">
        <v>61</v>
      </c>
      <c r="H747" s="214" t="s">
        <v>193</v>
      </c>
      <c r="I747" s="214"/>
      <c r="J747" s="222" t="s">
        <v>67</v>
      </c>
      <c r="K747" s="222">
        <v>-1.5</v>
      </c>
      <c r="L747" s="222" t="s">
        <v>67</v>
      </c>
      <c r="M747" s="222">
        <v>53.5</v>
      </c>
      <c r="N747" s="214">
        <v>117.0</v>
      </c>
      <c r="O747" s="214">
        <v>132.0</v>
      </c>
      <c r="P747" s="214">
        <v>2.0</v>
      </c>
      <c r="Q747" s="214" t="b">
        <v>0</v>
      </c>
      <c r="R747" s="214">
        <v>100.0</v>
      </c>
      <c r="S747" s="214" t="s">
        <v>441</v>
      </c>
      <c r="T747" s="214" t="s">
        <v>365</v>
      </c>
      <c r="U747" s="214"/>
    </row>
    <row r="748">
      <c r="A748" s="221">
        <v>45937.06845290509</v>
      </c>
      <c r="B748" s="214" t="s">
        <v>43</v>
      </c>
      <c r="C748" s="214" t="s">
        <v>527</v>
      </c>
      <c r="D748" s="214">
        <v>0.0</v>
      </c>
      <c r="E748" s="214">
        <v>5.0</v>
      </c>
      <c r="F748" s="214" t="s">
        <v>1344</v>
      </c>
      <c r="G748" s="214" t="s">
        <v>61</v>
      </c>
      <c r="H748" s="214" t="s">
        <v>395</v>
      </c>
      <c r="I748" s="214"/>
      <c r="J748" s="222" t="s">
        <v>67</v>
      </c>
      <c r="K748" s="222">
        <v>13.5</v>
      </c>
      <c r="L748" s="222" t="s">
        <v>67</v>
      </c>
      <c r="M748" s="222">
        <v>45.5</v>
      </c>
      <c r="N748" s="214">
        <v>52.0</v>
      </c>
      <c r="O748" s="214">
        <v>179.0</v>
      </c>
      <c r="P748" s="214">
        <v>2.0</v>
      </c>
      <c r="Q748" s="214" t="b">
        <v>0</v>
      </c>
      <c r="R748" s="214">
        <v>100.0</v>
      </c>
      <c r="S748" s="214" t="s">
        <v>530</v>
      </c>
      <c r="T748" s="214" t="s">
        <v>365</v>
      </c>
      <c r="U748" s="214"/>
    </row>
    <row r="749">
      <c r="A749" s="221">
        <v>45937.06845290509</v>
      </c>
      <c r="B749" s="214" t="s">
        <v>43</v>
      </c>
      <c r="C749" s="214" t="s">
        <v>118</v>
      </c>
      <c r="D749" s="214">
        <v>2.0</v>
      </c>
      <c r="E749" s="214">
        <v>3.0</v>
      </c>
      <c r="F749" s="214" t="s">
        <v>1345</v>
      </c>
      <c r="G749" s="214" t="s">
        <v>61</v>
      </c>
      <c r="H749" s="214" t="s">
        <v>249</v>
      </c>
      <c r="I749" s="214"/>
      <c r="J749" s="222" t="s">
        <v>67</v>
      </c>
      <c r="K749" s="222">
        <v>14.0</v>
      </c>
      <c r="L749" s="222" t="s">
        <v>67</v>
      </c>
      <c r="M749" s="222">
        <v>46.5</v>
      </c>
      <c r="N749" s="214">
        <v>94.0</v>
      </c>
      <c r="O749" s="214">
        <v>129.0</v>
      </c>
      <c r="P749" s="214">
        <v>2.0</v>
      </c>
      <c r="Q749" s="214" t="b">
        <v>0</v>
      </c>
      <c r="R749" s="214">
        <v>100.0</v>
      </c>
      <c r="S749" s="214" t="s">
        <v>317</v>
      </c>
      <c r="T749" s="214" t="s">
        <v>321</v>
      </c>
      <c r="U749" s="214"/>
    </row>
    <row r="750">
      <c r="A750" s="221">
        <v>45937.06845290509</v>
      </c>
      <c r="B750" s="214" t="s">
        <v>43</v>
      </c>
      <c r="C750" s="214" t="s">
        <v>176</v>
      </c>
      <c r="D750" s="214">
        <v>1.0</v>
      </c>
      <c r="E750" s="214">
        <v>4.0</v>
      </c>
      <c r="F750" s="214" t="s">
        <v>1346</v>
      </c>
      <c r="G750" s="214" t="s">
        <v>61</v>
      </c>
      <c r="H750" s="214" t="s">
        <v>224</v>
      </c>
      <c r="I750" s="214"/>
      <c r="J750" s="222" t="s">
        <v>67</v>
      </c>
      <c r="K750" s="222">
        <v>12.5</v>
      </c>
      <c r="L750" s="222" t="s">
        <v>67</v>
      </c>
      <c r="M750" s="222">
        <v>51.5</v>
      </c>
      <c r="N750" s="214">
        <v>182.0</v>
      </c>
      <c r="O750" s="214">
        <v>189.0</v>
      </c>
      <c r="P750" s="214">
        <v>2.0</v>
      </c>
      <c r="Q750" s="214" t="b">
        <v>1</v>
      </c>
      <c r="R750" s="214">
        <v>100.0</v>
      </c>
      <c r="S750" s="214" t="s">
        <v>525</v>
      </c>
      <c r="T750" s="214" t="s">
        <v>365</v>
      </c>
      <c r="U750" s="214"/>
    </row>
    <row r="751">
      <c r="A751" s="221">
        <v>45937.06845290509</v>
      </c>
      <c r="B751" s="214" t="s">
        <v>43</v>
      </c>
      <c r="C751" s="214" t="s">
        <v>228</v>
      </c>
      <c r="D751" s="214">
        <v>3.0</v>
      </c>
      <c r="E751" s="214">
        <v>2.0</v>
      </c>
      <c r="F751" s="214" t="s">
        <v>1347</v>
      </c>
      <c r="G751" s="214" t="s">
        <v>61</v>
      </c>
      <c r="H751" s="214" t="s">
        <v>311</v>
      </c>
      <c r="I751" s="214"/>
      <c r="J751" s="222" t="s">
        <v>67</v>
      </c>
      <c r="K751" s="222">
        <v>2.5</v>
      </c>
      <c r="L751" s="222" t="s">
        <v>67</v>
      </c>
      <c r="M751" s="222">
        <v>53.5</v>
      </c>
      <c r="N751" s="214">
        <v>111.0</v>
      </c>
      <c r="O751" s="214">
        <v>114.0</v>
      </c>
      <c r="P751" s="214">
        <v>2.0</v>
      </c>
      <c r="Q751" s="214" t="b">
        <v>1</v>
      </c>
      <c r="R751" s="214">
        <v>100.0</v>
      </c>
      <c r="S751" s="214" t="s">
        <v>535</v>
      </c>
      <c r="T751" s="214" t="s">
        <v>365</v>
      </c>
      <c r="U751" s="214"/>
    </row>
    <row r="752">
      <c r="A752" s="221">
        <v>45937.06845290509</v>
      </c>
      <c r="B752" s="214"/>
      <c r="C752" s="214"/>
      <c r="D752" s="214"/>
      <c r="E752" s="214"/>
      <c r="F752" s="214"/>
      <c r="G752" s="214"/>
      <c r="H752" s="214"/>
      <c r="I752" s="214"/>
      <c r="J752" s="222"/>
      <c r="K752" s="222"/>
      <c r="L752" s="222"/>
      <c r="M752" s="222"/>
      <c r="N752" s="214"/>
      <c r="O752" s="214"/>
      <c r="P752" s="214"/>
      <c r="Q752" s="214"/>
      <c r="R752" s="214"/>
      <c r="S752" s="214"/>
      <c r="T752" s="214"/>
      <c r="U752" s="214"/>
    </row>
    <row r="753">
      <c r="A753" s="221">
        <v>45937.06845290509</v>
      </c>
      <c r="B753" s="214" t="s">
        <v>95</v>
      </c>
      <c r="C753" s="214" t="s">
        <v>233</v>
      </c>
      <c r="D753" s="214">
        <v>3.0</v>
      </c>
      <c r="E753" s="214">
        <v>2.0</v>
      </c>
      <c r="F753" s="214"/>
      <c r="G753" s="214"/>
      <c r="H753" s="214"/>
      <c r="I753" s="214"/>
      <c r="J753" s="222"/>
      <c r="K753" s="222"/>
      <c r="L753" s="222"/>
      <c r="M753" s="222"/>
      <c r="N753" s="214">
        <v>97.0</v>
      </c>
      <c r="O753" s="214">
        <v>116.0</v>
      </c>
      <c r="P753" s="214">
        <v>0.0</v>
      </c>
      <c r="Q753" s="214" t="b">
        <v>1</v>
      </c>
      <c r="R753" s="214">
        <v>59.0</v>
      </c>
      <c r="S753" s="214" t="s">
        <v>535</v>
      </c>
      <c r="T753" s="214" t="s">
        <v>365</v>
      </c>
      <c r="U753" s="214"/>
    </row>
    <row r="754">
      <c r="A754" s="221">
        <v>45937.06845290509</v>
      </c>
      <c r="B754" s="214" t="s">
        <v>95</v>
      </c>
      <c r="C754" s="214" t="s">
        <v>198</v>
      </c>
      <c r="D754" s="214">
        <v>4.0</v>
      </c>
      <c r="E754" s="214">
        <v>1.0</v>
      </c>
      <c r="F754" s="214"/>
      <c r="G754" s="214"/>
      <c r="H754" s="214"/>
      <c r="I754" s="214"/>
      <c r="J754" s="222"/>
      <c r="K754" s="222"/>
      <c r="L754" s="222"/>
      <c r="M754" s="222"/>
      <c r="N754" s="214">
        <v>195.0</v>
      </c>
      <c r="O754" s="214">
        <v>73.0</v>
      </c>
      <c r="P754" s="214">
        <v>0.0</v>
      </c>
      <c r="Q754" s="214" t="b">
        <v>1</v>
      </c>
      <c r="R754" s="214">
        <v>59.0</v>
      </c>
      <c r="S754" s="214" t="s">
        <v>471</v>
      </c>
      <c r="T754" s="214" t="s">
        <v>321</v>
      </c>
      <c r="U754" s="214"/>
    </row>
    <row r="755">
      <c r="A755" s="221">
        <v>45937.06845290509</v>
      </c>
      <c r="B755" s="214" t="s">
        <v>95</v>
      </c>
      <c r="C755" s="214" t="s">
        <v>197</v>
      </c>
      <c r="D755" s="214">
        <v>4.0</v>
      </c>
      <c r="E755" s="214">
        <v>1.0</v>
      </c>
      <c r="F755" s="214"/>
      <c r="G755" s="214"/>
      <c r="H755" s="214"/>
      <c r="I755" s="214"/>
      <c r="J755" s="222"/>
      <c r="K755" s="222"/>
      <c r="L755" s="222"/>
      <c r="M755" s="222"/>
      <c r="N755" s="214">
        <v>242.0</v>
      </c>
      <c r="O755" s="214">
        <v>115.0</v>
      </c>
      <c r="P755" s="214">
        <v>0.0</v>
      </c>
      <c r="Q755" s="214" t="b">
        <v>1</v>
      </c>
      <c r="R755" s="214">
        <v>59.0</v>
      </c>
      <c r="S755" s="214" t="s">
        <v>407</v>
      </c>
      <c r="T755" s="214" t="s">
        <v>321</v>
      </c>
      <c r="U755" s="214"/>
    </row>
    <row r="756">
      <c r="A756" s="221">
        <v>45937.06845290509</v>
      </c>
      <c r="B756" s="214" t="s">
        <v>95</v>
      </c>
      <c r="C756" s="214" t="s">
        <v>100</v>
      </c>
      <c r="D756" s="214">
        <v>3.0</v>
      </c>
      <c r="E756" s="214">
        <v>2.0</v>
      </c>
      <c r="F756" s="214"/>
      <c r="G756" s="214"/>
      <c r="H756" s="214"/>
      <c r="I756" s="214"/>
      <c r="J756" s="222"/>
      <c r="K756" s="222"/>
      <c r="L756" s="222"/>
      <c r="M756" s="222"/>
      <c r="N756" s="214">
        <v>152.0</v>
      </c>
      <c r="O756" s="214">
        <v>67.0</v>
      </c>
      <c r="P756" s="214">
        <v>0.0</v>
      </c>
      <c r="Q756" s="214" t="b">
        <v>1</v>
      </c>
      <c r="R756" s="214">
        <v>59.0</v>
      </c>
      <c r="S756" s="214" t="s">
        <v>361</v>
      </c>
      <c r="T756" s="214" t="s">
        <v>365</v>
      </c>
      <c r="U756" s="214"/>
    </row>
    <row r="757">
      <c r="A757" s="221">
        <v>45937.06845290509</v>
      </c>
      <c r="B757" s="214" t="s">
        <v>95</v>
      </c>
      <c r="C757" s="214" t="s">
        <v>130</v>
      </c>
      <c r="D757" s="214">
        <v>4.0</v>
      </c>
      <c r="E757" s="214">
        <v>1.0</v>
      </c>
      <c r="F757" s="214" t="s">
        <v>1348</v>
      </c>
      <c r="G757" s="214" t="s">
        <v>61</v>
      </c>
      <c r="H757" s="214" t="s">
        <v>224</v>
      </c>
      <c r="I757" s="214"/>
      <c r="J757" s="222" t="s">
        <v>67</v>
      </c>
      <c r="K757" s="222">
        <v>-13.5</v>
      </c>
      <c r="L757" s="222" t="s">
        <v>67</v>
      </c>
      <c r="M757" s="222">
        <v>58.5</v>
      </c>
      <c r="N757" s="214">
        <v>184.0</v>
      </c>
      <c r="O757" s="214">
        <v>107.0</v>
      </c>
      <c r="P757" s="214">
        <v>2.0</v>
      </c>
      <c r="Q757" s="214" t="b">
        <v>0</v>
      </c>
      <c r="R757" s="214">
        <v>100.0</v>
      </c>
      <c r="S757" s="214" t="s">
        <v>471</v>
      </c>
      <c r="T757" s="214" t="s">
        <v>321</v>
      </c>
      <c r="U757" s="214"/>
    </row>
    <row r="758">
      <c r="A758" s="221">
        <v>45937.06845290509</v>
      </c>
      <c r="B758" s="214" t="s">
        <v>95</v>
      </c>
      <c r="C758" s="214" t="s">
        <v>221</v>
      </c>
      <c r="D758" s="214">
        <v>3.0</v>
      </c>
      <c r="E758" s="214">
        <v>2.0</v>
      </c>
      <c r="F758" s="214" t="s">
        <v>1349</v>
      </c>
      <c r="G758" s="214" t="s">
        <v>61</v>
      </c>
      <c r="H758" s="214" t="s">
        <v>132</v>
      </c>
      <c r="I758" s="214"/>
      <c r="J758" s="222" t="s">
        <v>67</v>
      </c>
      <c r="K758" s="222">
        <v>-13.5</v>
      </c>
      <c r="L758" s="222" t="s">
        <v>67</v>
      </c>
      <c r="M758" s="222">
        <v>64.5</v>
      </c>
      <c r="N758" s="214">
        <v>175.0</v>
      </c>
      <c r="O758" s="214">
        <v>131.0</v>
      </c>
      <c r="P758" s="214">
        <v>2.0</v>
      </c>
      <c r="Q758" s="214" t="b">
        <v>1</v>
      </c>
      <c r="R758" s="214">
        <v>100.0</v>
      </c>
      <c r="S758" s="214" t="s">
        <v>441</v>
      </c>
      <c r="T758" s="214" t="s">
        <v>365</v>
      </c>
      <c r="U758" s="214"/>
    </row>
    <row r="759">
      <c r="A759" s="221">
        <v>45937.06845290509</v>
      </c>
      <c r="B759" s="214" t="s">
        <v>95</v>
      </c>
      <c r="C759" s="214" t="s">
        <v>128</v>
      </c>
      <c r="D759" s="214">
        <v>5.0</v>
      </c>
      <c r="E759" s="214">
        <v>0.0</v>
      </c>
      <c r="F759" s="214" t="s">
        <v>1350</v>
      </c>
      <c r="G759" s="214" t="s">
        <v>61</v>
      </c>
      <c r="H759" s="214" t="s">
        <v>493</v>
      </c>
      <c r="I759" s="214"/>
      <c r="J759" s="222" t="s">
        <v>67</v>
      </c>
      <c r="K759" s="222">
        <v>-45.5</v>
      </c>
      <c r="L759" s="222" t="s">
        <v>67</v>
      </c>
      <c r="M759" s="222">
        <v>52.5</v>
      </c>
      <c r="N759" s="214">
        <v>169.0</v>
      </c>
      <c r="O759" s="214">
        <v>36.0</v>
      </c>
      <c r="P759" s="214">
        <v>2.0</v>
      </c>
      <c r="Q759" s="214" t="b">
        <v>1</v>
      </c>
      <c r="R759" s="214">
        <v>100.0</v>
      </c>
      <c r="S759" s="214" t="s">
        <v>556</v>
      </c>
      <c r="T759" s="214" t="s">
        <v>321</v>
      </c>
      <c r="U759" s="214"/>
    </row>
    <row r="760">
      <c r="A760" s="221">
        <v>45937.06845290509</v>
      </c>
      <c r="B760" s="214" t="s">
        <v>95</v>
      </c>
      <c r="C760" s="214" t="s">
        <v>177</v>
      </c>
      <c r="D760" s="214">
        <v>3.0</v>
      </c>
      <c r="E760" s="214">
        <v>2.0</v>
      </c>
      <c r="F760" s="214" t="s">
        <v>1351</v>
      </c>
      <c r="G760" s="214" t="s">
        <v>61</v>
      </c>
      <c r="H760" s="214" t="s">
        <v>96</v>
      </c>
      <c r="I760" s="214"/>
      <c r="J760" s="222" t="s">
        <v>67</v>
      </c>
      <c r="K760" s="222">
        <v>21.0</v>
      </c>
      <c r="L760" s="222" t="s">
        <v>67</v>
      </c>
      <c r="M760" s="222">
        <v>62.5</v>
      </c>
      <c r="N760" s="214">
        <v>161.0</v>
      </c>
      <c r="O760" s="214">
        <v>127.0</v>
      </c>
      <c r="P760" s="214">
        <v>2.0</v>
      </c>
      <c r="Q760" s="214" t="b">
        <v>0</v>
      </c>
      <c r="R760" s="214">
        <v>100.0</v>
      </c>
      <c r="S760" s="214" t="s">
        <v>525</v>
      </c>
      <c r="T760" s="214" t="s">
        <v>365</v>
      </c>
      <c r="U760" s="214"/>
    </row>
    <row r="761">
      <c r="A761" s="221">
        <v>45937.06845290509</v>
      </c>
      <c r="B761" s="214" t="s">
        <v>95</v>
      </c>
      <c r="C761" s="214" t="s">
        <v>117</v>
      </c>
      <c r="D761" s="214">
        <v>4.0</v>
      </c>
      <c r="E761" s="214">
        <v>2.0</v>
      </c>
      <c r="F761" s="214" t="s">
        <v>1352</v>
      </c>
      <c r="G761" s="214" t="s">
        <v>61</v>
      </c>
      <c r="H761" s="214"/>
      <c r="I761" s="214"/>
      <c r="J761" s="222" t="s">
        <v>67</v>
      </c>
      <c r="K761" s="222">
        <v>-42.5</v>
      </c>
      <c r="L761" s="222" t="s">
        <v>67</v>
      </c>
      <c r="M761" s="222">
        <v>61.5</v>
      </c>
      <c r="N761" s="214">
        <v>203.0</v>
      </c>
      <c r="O761" s="214">
        <v>150.0</v>
      </c>
      <c r="P761" s="214">
        <v>2.0</v>
      </c>
      <c r="Q761" s="214" t="b">
        <v>0</v>
      </c>
      <c r="R761" s="214">
        <v>100.0</v>
      </c>
      <c r="S761" s="214" t="s">
        <v>317</v>
      </c>
      <c r="T761" s="214" t="s">
        <v>321</v>
      </c>
      <c r="U761" s="214"/>
    </row>
    <row r="762">
      <c r="A762" s="221">
        <v>45937.06845290509</v>
      </c>
      <c r="B762" s="214" t="s">
        <v>95</v>
      </c>
      <c r="C762" s="214" t="s">
        <v>165</v>
      </c>
      <c r="D762" s="214">
        <v>2.0</v>
      </c>
      <c r="E762" s="214">
        <v>3.0</v>
      </c>
      <c r="F762" s="214" t="s">
        <v>1353</v>
      </c>
      <c r="G762" s="214" t="s">
        <v>61</v>
      </c>
      <c r="H762" s="214" t="s">
        <v>96</v>
      </c>
      <c r="I762" s="214"/>
      <c r="J762" s="222" t="s">
        <v>67</v>
      </c>
      <c r="K762" s="222">
        <v>14.5</v>
      </c>
      <c r="L762" s="222" t="s">
        <v>67</v>
      </c>
      <c r="M762" s="222">
        <v>51.5</v>
      </c>
      <c r="N762" s="214">
        <v>82.0</v>
      </c>
      <c r="O762" s="214">
        <v>147.0</v>
      </c>
      <c r="P762" s="214">
        <v>2.0</v>
      </c>
      <c r="Q762" s="214" t="b">
        <v>1</v>
      </c>
      <c r="R762" s="214">
        <v>100.0</v>
      </c>
      <c r="S762" s="214" t="s">
        <v>530</v>
      </c>
      <c r="T762" s="214" t="s">
        <v>365</v>
      </c>
      <c r="U762" s="214"/>
    </row>
    <row r="763">
      <c r="A763" s="221">
        <v>45937.06845290509</v>
      </c>
      <c r="B763" s="214"/>
      <c r="C763" s="214"/>
      <c r="D763" s="214"/>
      <c r="E763" s="214"/>
      <c r="F763" s="214"/>
      <c r="G763" s="214"/>
      <c r="H763" s="214"/>
      <c r="I763" s="214"/>
      <c r="J763" s="222"/>
      <c r="K763" s="222"/>
      <c r="L763" s="222"/>
      <c r="M763" s="222"/>
      <c r="N763" s="214"/>
      <c r="O763" s="214"/>
      <c r="P763" s="214"/>
      <c r="Q763" s="214"/>
      <c r="R763" s="214"/>
      <c r="S763" s="214"/>
      <c r="T763" s="214"/>
      <c r="U763" s="214"/>
    </row>
    <row r="764">
      <c r="A764" s="221">
        <v>45937.06845290509</v>
      </c>
      <c r="B764" s="214" t="s">
        <v>62</v>
      </c>
      <c r="C764" s="214" t="s">
        <v>227</v>
      </c>
      <c r="D764" s="214">
        <v>1.0</v>
      </c>
      <c r="E764" s="214">
        <v>4.0</v>
      </c>
      <c r="F764" s="214"/>
      <c r="G764" s="214"/>
      <c r="H764" s="214"/>
      <c r="I764" s="214"/>
      <c r="J764" s="222"/>
      <c r="K764" s="222"/>
      <c r="L764" s="222"/>
      <c r="M764" s="222"/>
      <c r="N764" s="214">
        <v>85.0</v>
      </c>
      <c r="O764" s="214">
        <v>116.0</v>
      </c>
      <c r="P764" s="214">
        <v>0.0</v>
      </c>
      <c r="Q764" s="214" t="b">
        <v>1</v>
      </c>
      <c r="R764" s="214">
        <v>59.0</v>
      </c>
      <c r="S764" s="214" t="s">
        <v>535</v>
      </c>
      <c r="T764" s="214" t="s">
        <v>365</v>
      </c>
      <c r="U764" s="214"/>
    </row>
    <row r="765">
      <c r="A765" s="221">
        <v>45937.06845290509</v>
      </c>
      <c r="B765" s="214" t="s">
        <v>62</v>
      </c>
      <c r="C765" s="214" t="s">
        <v>190</v>
      </c>
      <c r="D765" s="214">
        <v>4.0</v>
      </c>
      <c r="E765" s="214">
        <v>2.0</v>
      </c>
      <c r="F765" s="214" t="s">
        <v>1354</v>
      </c>
      <c r="G765" s="214" t="s">
        <v>61</v>
      </c>
      <c r="H765" s="214" t="s">
        <v>249</v>
      </c>
      <c r="I765" s="214"/>
      <c r="J765" s="222" t="s">
        <v>67</v>
      </c>
      <c r="K765" s="222">
        <v>2.5</v>
      </c>
      <c r="L765" s="222" t="s">
        <v>67</v>
      </c>
      <c r="M765" s="222">
        <v>55.5</v>
      </c>
      <c r="N765" s="214">
        <v>145.0</v>
      </c>
      <c r="O765" s="214">
        <v>135.0</v>
      </c>
      <c r="P765" s="214">
        <v>2.0</v>
      </c>
      <c r="Q765" s="214" t="b">
        <v>1</v>
      </c>
      <c r="R765" s="214">
        <v>100.0</v>
      </c>
      <c r="S765" s="214" t="s">
        <v>317</v>
      </c>
      <c r="T765" s="214" t="s">
        <v>321</v>
      </c>
      <c r="U765" s="214"/>
    </row>
    <row r="766">
      <c r="A766" s="221">
        <v>45937.06845290509</v>
      </c>
      <c r="B766" s="214" t="s">
        <v>62</v>
      </c>
      <c r="C766" s="214" t="s">
        <v>155</v>
      </c>
      <c r="D766" s="214">
        <v>4.0</v>
      </c>
      <c r="E766" s="214">
        <v>1.0</v>
      </c>
      <c r="F766" s="214" t="s">
        <v>1355</v>
      </c>
      <c r="G766" s="214" t="s">
        <v>61</v>
      </c>
      <c r="H766" s="214" t="s">
        <v>156</v>
      </c>
      <c r="I766" s="214"/>
      <c r="J766" s="222" t="s">
        <v>67</v>
      </c>
      <c r="K766" s="222">
        <v>-20.5</v>
      </c>
      <c r="L766" s="222" t="s">
        <v>67</v>
      </c>
      <c r="M766" s="222">
        <v>54.5</v>
      </c>
      <c r="N766" s="214">
        <v>181.0</v>
      </c>
      <c r="O766" s="214">
        <v>73.0</v>
      </c>
      <c r="P766" s="214">
        <v>2.0</v>
      </c>
      <c r="Q766" s="214" t="b">
        <v>1</v>
      </c>
      <c r="R766" s="214">
        <v>100.0</v>
      </c>
      <c r="S766" s="214" t="s">
        <v>441</v>
      </c>
      <c r="T766" s="214" t="s">
        <v>365</v>
      </c>
      <c r="U766" s="214"/>
    </row>
    <row r="767">
      <c r="A767" s="221">
        <v>45937.06845290509</v>
      </c>
      <c r="B767" s="214" t="s">
        <v>62</v>
      </c>
      <c r="C767" s="214" t="s">
        <v>201</v>
      </c>
      <c r="D767" s="214">
        <v>4.0</v>
      </c>
      <c r="E767" s="214">
        <v>1.0</v>
      </c>
      <c r="F767" s="214" t="s">
        <v>1356</v>
      </c>
      <c r="G767" s="214" t="s">
        <v>61</v>
      </c>
      <c r="H767" s="214" t="s">
        <v>395</v>
      </c>
      <c r="I767" s="214"/>
      <c r="J767" s="222" t="s">
        <v>67</v>
      </c>
      <c r="K767" s="222">
        <v>-10.5</v>
      </c>
      <c r="L767" s="222" t="s">
        <v>67</v>
      </c>
      <c r="M767" s="222">
        <v>55.5</v>
      </c>
      <c r="N767" s="214">
        <v>182.0</v>
      </c>
      <c r="O767" s="214">
        <v>80.0</v>
      </c>
      <c r="P767" s="214">
        <v>2.0</v>
      </c>
      <c r="Q767" s="214" t="b">
        <v>1</v>
      </c>
      <c r="R767" s="214">
        <v>100.0</v>
      </c>
      <c r="S767" s="214" t="s">
        <v>556</v>
      </c>
      <c r="T767" s="214" t="s">
        <v>321</v>
      </c>
      <c r="U767" s="214"/>
    </row>
    <row r="768">
      <c r="A768" s="221">
        <v>45937.06845290509</v>
      </c>
      <c r="B768" s="214" t="s">
        <v>62</v>
      </c>
      <c r="C768" s="214" t="s">
        <v>196</v>
      </c>
      <c r="D768" s="214">
        <v>1.0</v>
      </c>
      <c r="E768" s="214">
        <v>4.0</v>
      </c>
      <c r="F768" s="214" t="s">
        <v>1342</v>
      </c>
      <c r="G768" s="214" t="s">
        <v>61</v>
      </c>
      <c r="H768" s="214" t="s">
        <v>43</v>
      </c>
      <c r="I768" s="214"/>
      <c r="J768" s="222" t="s">
        <v>67</v>
      </c>
      <c r="K768" s="222">
        <v>24.5</v>
      </c>
      <c r="L768" s="222" t="s">
        <v>67</v>
      </c>
      <c r="M768" s="222">
        <v>49.5</v>
      </c>
      <c r="N768" s="214">
        <v>99.0</v>
      </c>
      <c r="O768" s="214">
        <v>162.0</v>
      </c>
      <c r="P768" s="214">
        <v>2.0</v>
      </c>
      <c r="Q768" s="214" t="b">
        <v>1</v>
      </c>
      <c r="R768" s="214">
        <v>100.0</v>
      </c>
      <c r="S768" s="214" t="s">
        <v>407</v>
      </c>
      <c r="T768" s="214" t="s">
        <v>321</v>
      </c>
      <c r="U768" s="214"/>
    </row>
    <row r="769">
      <c r="A769" s="221">
        <v>45937.06845290509</v>
      </c>
      <c r="B769" s="214" t="s">
        <v>62</v>
      </c>
      <c r="C769" s="214" t="s">
        <v>199</v>
      </c>
      <c r="D769" s="214">
        <v>4.0</v>
      </c>
      <c r="E769" s="214">
        <v>1.0</v>
      </c>
      <c r="F769" s="214" t="s">
        <v>1357</v>
      </c>
      <c r="G769" s="214" t="s">
        <v>61</v>
      </c>
      <c r="H769" s="214" t="s">
        <v>493</v>
      </c>
      <c r="I769" s="214"/>
      <c r="J769" s="222" t="s">
        <v>67</v>
      </c>
      <c r="K769" s="222">
        <v>-6.5</v>
      </c>
      <c r="L769" s="222" t="s">
        <v>67</v>
      </c>
      <c r="M769" s="222">
        <v>52.5</v>
      </c>
      <c r="N769" s="214">
        <v>197.0</v>
      </c>
      <c r="O769" s="214">
        <v>99.0</v>
      </c>
      <c r="P769" s="214">
        <v>2.0</v>
      </c>
      <c r="Q769" s="214" t="b">
        <v>1</v>
      </c>
      <c r="R769" s="214">
        <v>100.0</v>
      </c>
      <c r="S769" s="214" t="s">
        <v>407</v>
      </c>
      <c r="T769" s="214" t="s">
        <v>321</v>
      </c>
      <c r="U769" s="214"/>
    </row>
    <row r="770">
      <c r="A770" s="221">
        <v>45937.06845290509</v>
      </c>
      <c r="B770" s="214" t="s">
        <v>62</v>
      </c>
      <c r="C770" s="214" t="s">
        <v>127</v>
      </c>
      <c r="D770" s="214">
        <v>2.0</v>
      </c>
      <c r="E770" s="214">
        <v>4.0</v>
      </c>
      <c r="F770" s="214" t="s">
        <v>1358</v>
      </c>
      <c r="G770" s="214" t="s">
        <v>61</v>
      </c>
      <c r="H770" s="214" t="s">
        <v>249</v>
      </c>
      <c r="I770" s="214"/>
      <c r="J770" s="222" t="s">
        <v>67</v>
      </c>
      <c r="K770" s="222">
        <v>6.5</v>
      </c>
      <c r="L770" s="222" t="s">
        <v>67</v>
      </c>
      <c r="M770" s="222">
        <v>61.5</v>
      </c>
      <c r="N770" s="214">
        <v>165.0</v>
      </c>
      <c r="O770" s="214">
        <v>161.0</v>
      </c>
      <c r="P770" s="214">
        <v>2.0</v>
      </c>
      <c r="Q770" s="214" t="b">
        <v>1</v>
      </c>
      <c r="R770" s="214">
        <v>100.0</v>
      </c>
      <c r="S770" s="214" t="s">
        <v>471</v>
      </c>
      <c r="T770" s="214" t="s">
        <v>321</v>
      </c>
      <c r="U770" s="214"/>
    </row>
    <row r="771">
      <c r="A771" s="221">
        <v>45937.06845290509</v>
      </c>
      <c r="B771" s="214" t="s">
        <v>62</v>
      </c>
      <c r="C771" s="214" t="s">
        <v>163</v>
      </c>
      <c r="D771" s="214">
        <v>2.0</v>
      </c>
      <c r="E771" s="214">
        <v>3.0</v>
      </c>
      <c r="F771" s="214" t="s">
        <v>1359</v>
      </c>
      <c r="G771" s="214" t="s">
        <v>61</v>
      </c>
      <c r="H771" s="214" t="s">
        <v>395</v>
      </c>
      <c r="I771" s="214"/>
      <c r="J771" s="222" t="s">
        <v>67</v>
      </c>
      <c r="K771" s="222">
        <v>6.5</v>
      </c>
      <c r="L771" s="222" t="s">
        <v>67</v>
      </c>
      <c r="M771" s="222">
        <v>56.5</v>
      </c>
      <c r="N771" s="214">
        <v>144.0</v>
      </c>
      <c r="O771" s="214">
        <v>195.0</v>
      </c>
      <c r="P771" s="214">
        <v>2.0</v>
      </c>
      <c r="Q771" s="214" t="b">
        <v>0</v>
      </c>
      <c r="R771" s="214">
        <v>100.0</v>
      </c>
      <c r="S771" s="214" t="s">
        <v>361</v>
      </c>
      <c r="T771" s="214" t="s">
        <v>365</v>
      </c>
      <c r="U771" s="214"/>
    </row>
    <row r="772">
      <c r="A772" s="221">
        <v>45937.06845290509</v>
      </c>
      <c r="B772" s="214" t="s">
        <v>62</v>
      </c>
      <c r="C772" s="214" t="s">
        <v>178</v>
      </c>
      <c r="D772" s="214">
        <v>1.0</v>
      </c>
      <c r="E772" s="214">
        <v>4.0</v>
      </c>
      <c r="F772" s="214" t="s">
        <v>1360</v>
      </c>
      <c r="G772" s="214" t="s">
        <v>61</v>
      </c>
      <c r="H772" s="214" t="s">
        <v>249</v>
      </c>
      <c r="I772" s="214"/>
      <c r="J772" s="222" t="s">
        <v>67</v>
      </c>
      <c r="K772" s="222">
        <v>5.5</v>
      </c>
      <c r="L772" s="222" t="s">
        <v>67</v>
      </c>
      <c r="M772" s="222">
        <v>40.5</v>
      </c>
      <c r="N772" s="214">
        <v>85.0</v>
      </c>
      <c r="O772" s="214">
        <v>137.0</v>
      </c>
      <c r="P772" s="214">
        <v>2.0</v>
      </c>
      <c r="Q772" s="214" t="b">
        <v>1</v>
      </c>
      <c r="R772" s="214">
        <v>100.0</v>
      </c>
      <c r="S772" s="214" t="s">
        <v>525</v>
      </c>
      <c r="T772" s="214" t="s">
        <v>365</v>
      </c>
      <c r="U772" s="214"/>
    </row>
    <row r="773">
      <c r="A773" s="221">
        <v>45937.06845290509</v>
      </c>
      <c r="B773" s="214" t="s">
        <v>62</v>
      </c>
      <c r="C773" s="214" t="s">
        <v>304</v>
      </c>
      <c r="D773" s="214">
        <v>1.0</v>
      </c>
      <c r="E773" s="214">
        <v>5.0</v>
      </c>
      <c r="F773" s="214" t="s">
        <v>1361</v>
      </c>
      <c r="G773" s="214" t="s">
        <v>532</v>
      </c>
      <c r="H773" s="214" t="s">
        <v>249</v>
      </c>
      <c r="I773" s="214"/>
      <c r="J773" s="222" t="s">
        <v>67</v>
      </c>
      <c r="K773" s="222">
        <v>10.0</v>
      </c>
      <c r="L773" s="222" t="s">
        <v>67</v>
      </c>
      <c r="M773" s="222">
        <v>54.5</v>
      </c>
      <c r="N773" s="214">
        <v>150.0</v>
      </c>
      <c r="O773" s="214">
        <v>214.0</v>
      </c>
      <c r="P773" s="214">
        <v>2.0</v>
      </c>
      <c r="Q773" s="214" t="b">
        <v>0</v>
      </c>
      <c r="R773" s="214">
        <v>100.0</v>
      </c>
      <c r="S773" s="214" t="s">
        <v>530</v>
      </c>
      <c r="T773" s="214" t="s">
        <v>365</v>
      </c>
      <c r="U773" s="214"/>
    </row>
    <row r="774">
      <c r="A774" s="221">
        <v>45937.06845290509</v>
      </c>
      <c r="B774" s="214"/>
      <c r="C774" s="214"/>
      <c r="D774" s="214"/>
      <c r="E774" s="214"/>
      <c r="F774" s="214"/>
      <c r="G774" s="214"/>
      <c r="H774" s="214"/>
      <c r="I774" s="214"/>
      <c r="J774" s="222"/>
      <c r="K774" s="222"/>
      <c r="L774" s="222"/>
      <c r="M774" s="222"/>
      <c r="N774" s="214"/>
      <c r="O774" s="214"/>
      <c r="P774" s="214"/>
      <c r="Q774" s="214"/>
      <c r="R774" s="214"/>
      <c r="S774" s="214"/>
      <c r="T774" s="214"/>
      <c r="U774" s="214"/>
    </row>
    <row r="775">
      <c r="A775" s="221">
        <v>45937.06845290509</v>
      </c>
      <c r="B775" s="214" t="s">
        <v>193</v>
      </c>
      <c r="C775" s="214" t="s">
        <v>236</v>
      </c>
      <c r="D775" s="214">
        <v>2.0</v>
      </c>
      <c r="E775" s="214">
        <v>3.0</v>
      </c>
      <c r="F775" s="214"/>
      <c r="G775" s="214"/>
      <c r="H775" s="214"/>
      <c r="I775" s="214"/>
      <c r="J775" s="222"/>
      <c r="K775" s="222"/>
      <c r="L775" s="222"/>
      <c r="M775" s="222"/>
      <c r="N775" s="214">
        <v>108.0</v>
      </c>
      <c r="O775" s="214">
        <v>158.0</v>
      </c>
      <c r="P775" s="214">
        <v>0.0</v>
      </c>
      <c r="Q775" s="214" t="b">
        <v>1</v>
      </c>
      <c r="R775" s="214">
        <v>59.0</v>
      </c>
      <c r="S775" s="214" t="s">
        <v>535</v>
      </c>
      <c r="T775" s="214" t="s">
        <v>365</v>
      </c>
      <c r="U775" s="214"/>
    </row>
    <row r="776">
      <c r="A776" s="221">
        <v>45937.06845290509</v>
      </c>
      <c r="B776" s="214" t="s">
        <v>193</v>
      </c>
      <c r="C776" s="214" t="s">
        <v>552</v>
      </c>
      <c r="D776" s="214">
        <v>2.0</v>
      </c>
      <c r="E776" s="214">
        <v>3.0</v>
      </c>
      <c r="F776" s="214"/>
      <c r="G776" s="214"/>
      <c r="H776" s="214"/>
      <c r="I776" s="214"/>
      <c r="J776" s="222"/>
      <c r="K776" s="222"/>
      <c r="L776" s="222"/>
      <c r="M776" s="222"/>
      <c r="N776" s="214">
        <v>141.0</v>
      </c>
      <c r="O776" s="214">
        <v>161.0</v>
      </c>
      <c r="P776" s="214">
        <v>0.0</v>
      </c>
      <c r="Q776" s="214" t="b">
        <v>1</v>
      </c>
      <c r="R776" s="214">
        <v>59.0</v>
      </c>
      <c r="S776" s="214" t="s">
        <v>441</v>
      </c>
      <c r="T776" s="214" t="s">
        <v>365</v>
      </c>
      <c r="U776" s="214"/>
    </row>
    <row r="777">
      <c r="A777" s="221">
        <v>45937.06845290509</v>
      </c>
      <c r="B777" s="214" t="s">
        <v>193</v>
      </c>
      <c r="C777" s="214" t="s">
        <v>211</v>
      </c>
      <c r="D777" s="214">
        <v>4.0</v>
      </c>
      <c r="E777" s="214">
        <v>1.0</v>
      </c>
      <c r="F777" s="214"/>
      <c r="G777" s="214"/>
      <c r="H777" s="214"/>
      <c r="I777" s="214"/>
      <c r="J777" s="222"/>
      <c r="K777" s="222"/>
      <c r="L777" s="222"/>
      <c r="M777" s="222"/>
      <c r="N777" s="214">
        <v>255.0</v>
      </c>
      <c r="O777" s="214">
        <v>145.0</v>
      </c>
      <c r="P777" s="214">
        <v>0.0</v>
      </c>
      <c r="Q777" s="214" t="b">
        <v>1</v>
      </c>
      <c r="R777" s="214">
        <v>59.0</v>
      </c>
      <c r="S777" s="214" t="s">
        <v>556</v>
      </c>
      <c r="T777" s="214" t="s">
        <v>321</v>
      </c>
      <c r="U777" s="214"/>
    </row>
    <row r="778">
      <c r="A778" s="221">
        <v>45937.06845290509</v>
      </c>
      <c r="B778" s="214" t="s">
        <v>193</v>
      </c>
      <c r="C778" s="214" t="s">
        <v>126</v>
      </c>
      <c r="D778" s="214">
        <v>4.0</v>
      </c>
      <c r="E778" s="214">
        <v>2.0</v>
      </c>
      <c r="F778" s="214" t="s">
        <v>1362</v>
      </c>
      <c r="G778" s="214" t="s">
        <v>61</v>
      </c>
      <c r="H778" s="214" t="s">
        <v>156</v>
      </c>
      <c r="I778" s="214"/>
      <c r="J778" s="222" t="s">
        <v>67</v>
      </c>
      <c r="K778" s="222">
        <v>-4.5</v>
      </c>
      <c r="L778" s="222" t="s">
        <v>67</v>
      </c>
      <c r="M778" s="222">
        <v>54.5</v>
      </c>
      <c r="N778" s="214">
        <v>210.0</v>
      </c>
      <c r="O778" s="214">
        <v>123.0</v>
      </c>
      <c r="P778" s="214">
        <v>2.0</v>
      </c>
      <c r="Q778" s="214" t="b">
        <v>0</v>
      </c>
      <c r="R778" s="214">
        <v>100.0</v>
      </c>
      <c r="S778" s="214" t="s">
        <v>471</v>
      </c>
      <c r="T778" s="214" t="s">
        <v>321</v>
      </c>
      <c r="U778" s="214"/>
    </row>
    <row r="779">
      <c r="A779" s="221">
        <v>45937.06845290509</v>
      </c>
      <c r="B779" s="214" t="s">
        <v>193</v>
      </c>
      <c r="C779" s="214" t="s">
        <v>144</v>
      </c>
      <c r="D779" s="214">
        <v>5.0</v>
      </c>
      <c r="E779" s="214">
        <v>0.0</v>
      </c>
      <c r="F779" s="214" t="s">
        <v>1363</v>
      </c>
      <c r="G779" s="214" t="s">
        <v>61</v>
      </c>
      <c r="H779" s="214" t="s">
        <v>238</v>
      </c>
      <c r="I779" s="214"/>
      <c r="J779" s="222" t="s">
        <v>67</v>
      </c>
      <c r="K779" s="222">
        <v>-23.5</v>
      </c>
      <c r="L779" s="222" t="s">
        <v>67</v>
      </c>
      <c r="M779" s="222">
        <v>43.5</v>
      </c>
      <c r="N779" s="214">
        <v>187.0</v>
      </c>
      <c r="O779" s="214">
        <v>25.0</v>
      </c>
      <c r="P779" s="214">
        <v>2.0</v>
      </c>
      <c r="Q779" s="214" t="b">
        <v>1</v>
      </c>
      <c r="R779" s="214">
        <v>100.0</v>
      </c>
      <c r="S779" s="214" t="s">
        <v>407</v>
      </c>
      <c r="T779" s="214" t="s">
        <v>321</v>
      </c>
      <c r="U779" s="214"/>
    </row>
    <row r="780">
      <c r="A780" s="221">
        <v>45937.06845290509</v>
      </c>
      <c r="B780" s="214" t="s">
        <v>193</v>
      </c>
      <c r="C780" s="214" t="s">
        <v>150</v>
      </c>
      <c r="D780" s="214">
        <v>2.0</v>
      </c>
      <c r="E780" s="214">
        <v>3.0</v>
      </c>
      <c r="F780" s="214" t="s">
        <v>1341</v>
      </c>
      <c r="G780" s="214" t="s">
        <v>61</v>
      </c>
      <c r="H780" s="214" t="s">
        <v>43</v>
      </c>
      <c r="I780" s="214"/>
      <c r="J780" s="222" t="s">
        <v>67</v>
      </c>
      <c r="K780" s="222">
        <v>4.5</v>
      </c>
      <c r="L780" s="222" t="s">
        <v>67</v>
      </c>
      <c r="M780" s="222">
        <v>54.5</v>
      </c>
      <c r="N780" s="214">
        <v>144.0</v>
      </c>
      <c r="O780" s="214">
        <v>167.0</v>
      </c>
      <c r="P780" s="214">
        <v>2.0</v>
      </c>
      <c r="Q780" s="214" t="b">
        <v>1</v>
      </c>
      <c r="R780" s="214">
        <v>100.0</v>
      </c>
      <c r="S780" s="214" t="s">
        <v>361</v>
      </c>
      <c r="T780" s="214" t="s">
        <v>365</v>
      </c>
      <c r="U780" s="214"/>
    </row>
    <row r="781">
      <c r="A781" s="221">
        <v>45937.06845290509</v>
      </c>
      <c r="B781" s="214" t="s">
        <v>193</v>
      </c>
      <c r="C781" s="214" t="s">
        <v>104</v>
      </c>
      <c r="D781" s="214">
        <v>3.0</v>
      </c>
      <c r="E781" s="214">
        <v>2.0</v>
      </c>
      <c r="F781" s="214" t="s">
        <v>1364</v>
      </c>
      <c r="G781" s="214" t="s">
        <v>61</v>
      </c>
      <c r="H781" s="214" t="s">
        <v>493</v>
      </c>
      <c r="I781" s="214"/>
      <c r="J781" s="222" t="s">
        <v>67</v>
      </c>
      <c r="K781" s="222">
        <v>-17.5</v>
      </c>
      <c r="L781" s="222" t="s">
        <v>67</v>
      </c>
      <c r="M781" s="222">
        <v>57.5</v>
      </c>
      <c r="N781" s="214">
        <v>170.0</v>
      </c>
      <c r="O781" s="214">
        <v>124.0</v>
      </c>
      <c r="P781" s="214">
        <v>2.0</v>
      </c>
      <c r="Q781" s="214" t="b">
        <v>1</v>
      </c>
      <c r="R781" s="214">
        <v>100.0</v>
      </c>
      <c r="S781" s="214" t="s">
        <v>317</v>
      </c>
      <c r="T781" s="214" t="s">
        <v>321</v>
      </c>
      <c r="U781" s="214"/>
    </row>
    <row r="782">
      <c r="A782" s="221">
        <v>45937.06845290509</v>
      </c>
      <c r="B782" s="214" t="s">
        <v>193</v>
      </c>
      <c r="C782" s="214" t="s">
        <v>194</v>
      </c>
      <c r="D782" s="214">
        <v>0.0</v>
      </c>
      <c r="E782" s="214">
        <v>6.0</v>
      </c>
      <c r="F782" s="214" t="s">
        <v>1343</v>
      </c>
      <c r="G782" s="214" t="s">
        <v>61</v>
      </c>
      <c r="H782" s="214" t="s">
        <v>43</v>
      </c>
      <c r="I782" s="214"/>
      <c r="J782" s="222" t="s">
        <v>67</v>
      </c>
      <c r="K782" s="222">
        <v>1.5</v>
      </c>
      <c r="L782" s="222" t="s">
        <v>67</v>
      </c>
      <c r="M782" s="222">
        <v>53.5</v>
      </c>
      <c r="N782" s="214">
        <v>110.0</v>
      </c>
      <c r="O782" s="214">
        <v>210.0</v>
      </c>
      <c r="P782" s="214">
        <v>2.0</v>
      </c>
      <c r="Q782" s="214" t="b">
        <v>1</v>
      </c>
      <c r="R782" s="214">
        <v>100.0</v>
      </c>
      <c r="S782" s="214" t="s">
        <v>680</v>
      </c>
      <c r="T782" s="214" t="s">
        <v>365</v>
      </c>
      <c r="U782" s="214"/>
    </row>
    <row r="783">
      <c r="A783" s="221">
        <v>45937.06845290509</v>
      </c>
      <c r="B783" s="214" t="s">
        <v>193</v>
      </c>
      <c r="C783" s="214" t="s">
        <v>164</v>
      </c>
      <c r="D783" s="214">
        <v>2.0</v>
      </c>
      <c r="E783" s="214">
        <v>4.0</v>
      </c>
      <c r="F783" s="214" t="s">
        <v>1365</v>
      </c>
      <c r="G783" s="214" t="s">
        <v>61</v>
      </c>
      <c r="H783" s="214" t="s">
        <v>132</v>
      </c>
      <c r="I783" s="214"/>
      <c r="J783" s="222" t="s">
        <v>67</v>
      </c>
      <c r="K783" s="222">
        <v>7.5</v>
      </c>
      <c r="L783" s="222" t="s">
        <v>67</v>
      </c>
      <c r="M783" s="222">
        <v>46.5</v>
      </c>
      <c r="N783" s="214">
        <v>110.0</v>
      </c>
      <c r="O783" s="214">
        <v>183.0</v>
      </c>
      <c r="P783" s="214">
        <v>2.0</v>
      </c>
      <c r="Q783" s="214" t="b">
        <v>1</v>
      </c>
      <c r="R783" s="214">
        <v>100.0</v>
      </c>
      <c r="S783" s="214" t="s">
        <v>530</v>
      </c>
      <c r="T783" s="214" t="s">
        <v>365</v>
      </c>
      <c r="U783" s="214"/>
    </row>
    <row r="784">
      <c r="A784" s="221">
        <v>45937.06845290509</v>
      </c>
      <c r="B784" s="214" t="s">
        <v>193</v>
      </c>
      <c r="C784" s="214" t="s">
        <v>182</v>
      </c>
      <c r="D784" s="214">
        <v>3.0</v>
      </c>
      <c r="E784" s="214">
        <v>2.0</v>
      </c>
      <c r="F784" s="214" t="s">
        <v>1366</v>
      </c>
      <c r="G784" s="214" t="s">
        <v>61</v>
      </c>
      <c r="H784" s="214" t="s">
        <v>238</v>
      </c>
      <c r="I784" s="214"/>
      <c r="J784" s="222" t="s">
        <v>67</v>
      </c>
      <c r="K784" s="222">
        <v>2.5</v>
      </c>
      <c r="L784" s="222" t="s">
        <v>67</v>
      </c>
      <c r="M784" s="222">
        <v>58.5</v>
      </c>
      <c r="N784" s="214">
        <v>150.0</v>
      </c>
      <c r="O784" s="214">
        <v>121.0</v>
      </c>
      <c r="P784" s="214">
        <v>2.0</v>
      </c>
      <c r="Q784" s="214" t="b">
        <v>1</v>
      </c>
      <c r="R784" s="214">
        <v>100.0</v>
      </c>
      <c r="S784" s="214" t="s">
        <v>525</v>
      </c>
      <c r="T784" s="214" t="s">
        <v>365</v>
      </c>
      <c r="U784" s="214"/>
    </row>
    <row r="785">
      <c r="A785" s="221">
        <v>45937.06845290509</v>
      </c>
      <c r="B785" s="214"/>
      <c r="C785" s="214"/>
      <c r="D785" s="214"/>
      <c r="E785" s="214"/>
      <c r="F785" s="214"/>
      <c r="G785" s="214"/>
      <c r="H785" s="214"/>
      <c r="I785" s="214"/>
      <c r="J785" s="222"/>
      <c r="K785" s="222"/>
      <c r="L785" s="222"/>
      <c r="M785" s="222"/>
      <c r="N785" s="214"/>
      <c r="O785" s="214"/>
      <c r="P785" s="214"/>
      <c r="Q785" s="214"/>
      <c r="R785" s="214"/>
      <c r="S785" s="214"/>
      <c r="T785" s="214"/>
      <c r="U785" s="214"/>
    </row>
    <row r="786">
      <c r="A786" s="221">
        <v>45937.06845290509</v>
      </c>
      <c r="B786" s="214" t="s">
        <v>311</v>
      </c>
      <c r="C786" s="214" t="s">
        <v>206</v>
      </c>
      <c r="D786" s="214">
        <v>4.0</v>
      </c>
      <c r="E786" s="214">
        <v>1.0</v>
      </c>
      <c r="F786" s="214"/>
      <c r="G786" s="214"/>
      <c r="H786" s="214"/>
      <c r="I786" s="214"/>
      <c r="J786" s="222"/>
      <c r="K786" s="222"/>
      <c r="L786" s="222"/>
      <c r="M786" s="222"/>
      <c r="N786" s="214">
        <v>135.0</v>
      </c>
      <c r="O786" s="214">
        <v>61.0</v>
      </c>
      <c r="P786" s="214">
        <v>0.0</v>
      </c>
      <c r="Q786" s="214" t="b">
        <v>1</v>
      </c>
      <c r="R786" s="214">
        <v>59.0</v>
      </c>
      <c r="S786" s="214" t="s">
        <v>556</v>
      </c>
      <c r="T786" s="214" t="s">
        <v>321</v>
      </c>
      <c r="U786" s="214"/>
    </row>
    <row r="787">
      <c r="A787" s="221">
        <v>45937.06845290509</v>
      </c>
      <c r="B787" s="214" t="s">
        <v>311</v>
      </c>
      <c r="C787" s="214" t="s">
        <v>186</v>
      </c>
      <c r="D787" s="214">
        <v>3.0</v>
      </c>
      <c r="E787" s="214">
        <v>2.0</v>
      </c>
      <c r="F787" s="214"/>
      <c r="G787" s="214"/>
      <c r="H787" s="214"/>
      <c r="I787" s="214"/>
      <c r="J787" s="222"/>
      <c r="K787" s="222"/>
      <c r="L787" s="222"/>
      <c r="M787" s="222"/>
      <c r="N787" s="214">
        <v>182.0</v>
      </c>
      <c r="O787" s="214">
        <v>152.0</v>
      </c>
      <c r="P787" s="214">
        <v>0.0</v>
      </c>
      <c r="Q787" s="214" t="b">
        <v>1</v>
      </c>
      <c r="R787" s="214">
        <v>59.0</v>
      </c>
      <c r="S787" s="214" t="s">
        <v>525</v>
      </c>
      <c r="T787" s="214" t="s">
        <v>365</v>
      </c>
      <c r="U787" s="214"/>
    </row>
    <row r="788">
      <c r="A788" s="221">
        <v>45937.06845290509</v>
      </c>
      <c r="B788" s="214" t="s">
        <v>311</v>
      </c>
      <c r="C788" s="214" t="s">
        <v>152</v>
      </c>
      <c r="D788" s="214">
        <v>2.0</v>
      </c>
      <c r="E788" s="214">
        <v>3.0</v>
      </c>
      <c r="F788" s="214"/>
      <c r="G788" s="214"/>
      <c r="H788" s="214"/>
      <c r="I788" s="214"/>
      <c r="J788" s="222"/>
      <c r="K788" s="222"/>
      <c r="L788" s="222"/>
      <c r="M788" s="222"/>
      <c r="N788" s="214">
        <v>158.0</v>
      </c>
      <c r="O788" s="214">
        <v>155.0</v>
      </c>
      <c r="P788" s="214">
        <v>0.0</v>
      </c>
      <c r="Q788" s="214" t="b">
        <v>1</v>
      </c>
      <c r="R788" s="214">
        <v>59.0</v>
      </c>
      <c r="S788" s="214" t="s">
        <v>441</v>
      </c>
      <c r="T788" s="214" t="s">
        <v>365</v>
      </c>
      <c r="U788" s="214"/>
    </row>
    <row r="789">
      <c r="A789" s="221">
        <v>45937.06845290509</v>
      </c>
      <c r="B789" s="214" t="s">
        <v>311</v>
      </c>
      <c r="C789" s="214" t="s">
        <v>192</v>
      </c>
      <c r="D789" s="214">
        <v>5.0</v>
      </c>
      <c r="E789" s="214">
        <v>0.0</v>
      </c>
      <c r="F789" s="214"/>
      <c r="G789" s="214"/>
      <c r="H789" s="214"/>
      <c r="I789" s="214"/>
      <c r="J789" s="222"/>
      <c r="K789" s="222"/>
      <c r="L789" s="222"/>
      <c r="M789" s="222"/>
      <c r="N789" s="214">
        <v>233.0</v>
      </c>
      <c r="O789" s="214">
        <v>61.0</v>
      </c>
      <c r="P789" s="214">
        <v>0.0</v>
      </c>
      <c r="Q789" s="214" t="b">
        <v>1</v>
      </c>
      <c r="R789" s="214">
        <v>59.0</v>
      </c>
      <c r="S789" s="214" t="s">
        <v>407</v>
      </c>
      <c r="T789" s="214" t="s">
        <v>321</v>
      </c>
      <c r="U789" s="214"/>
    </row>
    <row r="790">
      <c r="A790" s="221">
        <v>45937.06845290509</v>
      </c>
      <c r="B790" s="214" t="s">
        <v>311</v>
      </c>
      <c r="C790" s="214" t="s">
        <v>172</v>
      </c>
      <c r="D790" s="214">
        <v>1.0</v>
      </c>
      <c r="E790" s="214">
        <v>4.0</v>
      </c>
      <c r="F790" s="214" t="s">
        <v>1367</v>
      </c>
      <c r="G790" s="214" t="s">
        <v>61</v>
      </c>
      <c r="H790" s="214" t="s">
        <v>238</v>
      </c>
      <c r="I790" s="214"/>
      <c r="J790" s="222" t="s">
        <v>67</v>
      </c>
      <c r="K790" s="222">
        <v>4.5</v>
      </c>
      <c r="L790" s="222" t="s">
        <v>67</v>
      </c>
      <c r="M790" s="222">
        <v>38.5</v>
      </c>
      <c r="N790" s="214">
        <v>55.0</v>
      </c>
      <c r="O790" s="214">
        <v>106.0</v>
      </c>
      <c r="P790" s="214">
        <v>2.0</v>
      </c>
      <c r="Q790" s="214" t="b">
        <v>0</v>
      </c>
      <c r="R790" s="214">
        <v>100.0</v>
      </c>
      <c r="S790" s="214" t="s">
        <v>530</v>
      </c>
      <c r="T790" s="214" t="s">
        <v>365</v>
      </c>
      <c r="U790" s="214"/>
    </row>
    <row r="791">
      <c r="A791" s="221">
        <v>45937.06845290509</v>
      </c>
      <c r="B791" s="214" t="s">
        <v>311</v>
      </c>
      <c r="C791" s="214" t="s">
        <v>122</v>
      </c>
      <c r="D791" s="214">
        <v>2.0</v>
      </c>
      <c r="E791" s="214">
        <v>4.0</v>
      </c>
      <c r="F791" s="214" t="s">
        <v>1368</v>
      </c>
      <c r="G791" s="214" t="s">
        <v>61</v>
      </c>
      <c r="H791" s="214" t="s">
        <v>493</v>
      </c>
      <c r="I791" s="214"/>
      <c r="J791" s="222" t="s">
        <v>67</v>
      </c>
      <c r="K791" s="222">
        <v>-6.5</v>
      </c>
      <c r="L791" s="222" t="s">
        <v>67</v>
      </c>
      <c r="M791" s="222">
        <v>51.5</v>
      </c>
      <c r="N791" s="214">
        <v>141.0</v>
      </c>
      <c r="O791" s="214">
        <v>170.0</v>
      </c>
      <c r="P791" s="214">
        <v>2.0</v>
      </c>
      <c r="Q791" s="214" t="b">
        <v>1</v>
      </c>
      <c r="R791" s="214">
        <v>100.0</v>
      </c>
      <c r="S791" s="214" t="s">
        <v>317</v>
      </c>
      <c r="T791" s="214" t="s">
        <v>321</v>
      </c>
      <c r="U791" s="214"/>
    </row>
    <row r="792">
      <c r="A792" s="221">
        <v>45937.06845290509</v>
      </c>
      <c r="B792" s="214" t="s">
        <v>311</v>
      </c>
      <c r="C792" s="214" t="s">
        <v>161</v>
      </c>
      <c r="D792" s="214">
        <v>2.0</v>
      </c>
      <c r="E792" s="214">
        <v>3.0</v>
      </c>
      <c r="F792" s="214" t="s">
        <v>1369</v>
      </c>
      <c r="G792" s="214" t="s">
        <v>61</v>
      </c>
      <c r="H792" s="214" t="s">
        <v>493</v>
      </c>
      <c r="I792" s="214"/>
      <c r="J792" s="222" t="s">
        <v>67</v>
      </c>
      <c r="K792" s="222">
        <v>-6.5</v>
      </c>
      <c r="L792" s="222" t="s">
        <v>67</v>
      </c>
      <c r="M792" s="222">
        <v>58.5</v>
      </c>
      <c r="N792" s="214">
        <v>146.0</v>
      </c>
      <c r="O792" s="214">
        <v>148.0</v>
      </c>
      <c r="P792" s="214">
        <v>2.0</v>
      </c>
      <c r="Q792" s="214" t="b">
        <v>0</v>
      </c>
      <c r="R792" s="214">
        <v>100.0</v>
      </c>
      <c r="S792" s="214" t="s">
        <v>361</v>
      </c>
      <c r="T792" s="214" t="s">
        <v>365</v>
      </c>
      <c r="U792" s="214"/>
    </row>
    <row r="793">
      <c r="A793" s="221">
        <v>45937.06845290509</v>
      </c>
      <c r="B793" s="214" t="s">
        <v>311</v>
      </c>
      <c r="C793" s="214" t="s">
        <v>125</v>
      </c>
      <c r="D793" s="214">
        <v>5.0</v>
      </c>
      <c r="E793" s="214">
        <v>1.0</v>
      </c>
      <c r="F793" s="214" t="s">
        <v>1370</v>
      </c>
      <c r="G793" s="214" t="s">
        <v>61</v>
      </c>
      <c r="H793" s="214" t="s">
        <v>238</v>
      </c>
      <c r="I793" s="214"/>
      <c r="J793" s="222" t="s">
        <v>67</v>
      </c>
      <c r="K793" s="222">
        <v>1.5</v>
      </c>
      <c r="L793" s="222" t="s">
        <v>67</v>
      </c>
      <c r="M793" s="222">
        <v>55.5</v>
      </c>
      <c r="N793" s="214">
        <v>188.0</v>
      </c>
      <c r="O793" s="214">
        <v>109.0</v>
      </c>
      <c r="P793" s="214">
        <v>2.0</v>
      </c>
      <c r="Q793" s="214" t="b">
        <v>1</v>
      </c>
      <c r="R793" s="214">
        <v>100.0</v>
      </c>
      <c r="S793" s="214" t="s">
        <v>471</v>
      </c>
      <c r="T793" s="214" t="s">
        <v>321</v>
      </c>
      <c r="U793" s="214"/>
    </row>
    <row r="794">
      <c r="A794" s="221">
        <v>45937.06845290509</v>
      </c>
      <c r="B794" s="214" t="s">
        <v>311</v>
      </c>
      <c r="C794" s="214" t="s">
        <v>139</v>
      </c>
      <c r="D794" s="214">
        <v>4.0</v>
      </c>
      <c r="E794" s="214">
        <v>1.0</v>
      </c>
      <c r="F794" s="214" t="s">
        <v>1371</v>
      </c>
      <c r="G794" s="214" t="s">
        <v>61</v>
      </c>
      <c r="H794" s="214" t="s">
        <v>238</v>
      </c>
      <c r="I794" s="214"/>
      <c r="J794" s="222" t="s">
        <v>67</v>
      </c>
      <c r="K794" s="222">
        <v>-17.5</v>
      </c>
      <c r="L794" s="222" t="s">
        <v>67</v>
      </c>
      <c r="M794" s="222">
        <v>43.5</v>
      </c>
      <c r="N794" s="214">
        <v>164.0</v>
      </c>
      <c r="O794" s="214">
        <v>81.0</v>
      </c>
      <c r="P794" s="214">
        <v>2.0</v>
      </c>
      <c r="Q794" s="214" t="b">
        <v>1</v>
      </c>
      <c r="R794" s="214">
        <v>100.0</v>
      </c>
      <c r="S794" s="214" t="s">
        <v>407</v>
      </c>
      <c r="T794" s="214" t="s">
        <v>321</v>
      </c>
      <c r="U794" s="214"/>
    </row>
    <row r="795">
      <c r="A795" s="221">
        <v>45937.06845290509</v>
      </c>
      <c r="B795" s="214" t="s">
        <v>311</v>
      </c>
      <c r="C795" s="214" t="s">
        <v>234</v>
      </c>
      <c r="D795" s="214">
        <v>0.0</v>
      </c>
      <c r="E795" s="214">
        <v>5.0</v>
      </c>
      <c r="F795" s="214" t="s">
        <v>1347</v>
      </c>
      <c r="G795" s="214" t="s">
        <v>61</v>
      </c>
      <c r="H795" s="214" t="s">
        <v>43</v>
      </c>
      <c r="I795" s="214"/>
      <c r="J795" s="222" t="s">
        <v>67</v>
      </c>
      <c r="K795" s="222">
        <v>-2.5</v>
      </c>
      <c r="L795" s="222" t="s">
        <v>67</v>
      </c>
      <c r="M795" s="222">
        <v>53.5</v>
      </c>
      <c r="N795" s="214">
        <v>75.0</v>
      </c>
      <c r="O795" s="214">
        <v>208.0</v>
      </c>
      <c r="P795" s="214">
        <v>2.0</v>
      </c>
      <c r="Q795" s="214" t="b">
        <v>0</v>
      </c>
      <c r="R795" s="214">
        <v>100.0</v>
      </c>
      <c r="S795" s="214" t="s">
        <v>535</v>
      </c>
      <c r="T795" s="214" t="s">
        <v>365</v>
      </c>
      <c r="U795" s="214"/>
    </row>
    <row r="796">
      <c r="A796" s="221">
        <v>45937.06845290509</v>
      </c>
      <c r="B796" s="214"/>
      <c r="C796" s="214"/>
      <c r="D796" s="214"/>
      <c r="E796" s="214"/>
      <c r="F796" s="214"/>
      <c r="G796" s="214"/>
      <c r="H796" s="214"/>
      <c r="I796" s="214"/>
      <c r="J796" s="222"/>
      <c r="K796" s="222"/>
      <c r="L796" s="222"/>
      <c r="M796" s="222"/>
      <c r="N796" s="214"/>
      <c r="O796" s="214"/>
      <c r="P796" s="214"/>
      <c r="Q796" s="214"/>
      <c r="R796" s="214"/>
      <c r="S796" s="214"/>
      <c r="T796" s="214"/>
      <c r="U796" s="214"/>
    </row>
    <row r="797">
      <c r="A797" s="221">
        <v>45937.06845290509</v>
      </c>
      <c r="B797" s="214" t="s">
        <v>224</v>
      </c>
      <c r="C797" s="214" t="s">
        <v>216</v>
      </c>
      <c r="D797" s="214">
        <v>2.0</v>
      </c>
      <c r="E797" s="214">
        <v>3.0</v>
      </c>
      <c r="F797" s="214"/>
      <c r="G797" s="214"/>
      <c r="H797" s="214"/>
      <c r="I797" s="214"/>
      <c r="J797" s="222"/>
      <c r="K797" s="222"/>
      <c r="L797" s="222"/>
      <c r="M797" s="222"/>
      <c r="N797" s="214">
        <v>130.0</v>
      </c>
      <c r="O797" s="214">
        <v>187.0</v>
      </c>
      <c r="P797" s="214">
        <v>0.0</v>
      </c>
      <c r="Q797" s="214" t="b">
        <v>1</v>
      </c>
      <c r="R797" s="214">
        <v>59.0</v>
      </c>
      <c r="S797" s="214" t="s">
        <v>441</v>
      </c>
      <c r="T797" s="214" t="s">
        <v>365</v>
      </c>
      <c r="U797" s="214"/>
    </row>
    <row r="798">
      <c r="A798" s="221">
        <v>45937.06845290509</v>
      </c>
      <c r="B798" s="214" t="s">
        <v>224</v>
      </c>
      <c r="C798" s="214" t="s">
        <v>166</v>
      </c>
      <c r="D798" s="214">
        <v>2.0</v>
      </c>
      <c r="E798" s="214">
        <v>3.0</v>
      </c>
      <c r="F798" s="214"/>
      <c r="G798" s="214"/>
      <c r="H798" s="214"/>
      <c r="I798" s="214"/>
      <c r="J798" s="222"/>
      <c r="K798" s="222"/>
      <c r="L798" s="222"/>
      <c r="M798" s="222"/>
      <c r="N798" s="214">
        <v>106.0</v>
      </c>
      <c r="O798" s="214">
        <v>129.0</v>
      </c>
      <c r="P798" s="214">
        <v>0.0</v>
      </c>
      <c r="Q798" s="214" t="b">
        <v>1</v>
      </c>
      <c r="R798" s="214">
        <v>59.0</v>
      </c>
      <c r="S798" s="214" t="s">
        <v>530</v>
      </c>
      <c r="T798" s="214" t="s">
        <v>365</v>
      </c>
      <c r="U798" s="214"/>
    </row>
    <row r="799">
      <c r="A799" s="221">
        <v>45937.06845290509</v>
      </c>
      <c r="B799" s="214" t="s">
        <v>224</v>
      </c>
      <c r="C799" s="214" t="s">
        <v>113</v>
      </c>
      <c r="D799" s="214">
        <v>3.0</v>
      </c>
      <c r="E799" s="214">
        <v>2.0</v>
      </c>
      <c r="F799" s="214" t="s">
        <v>1372</v>
      </c>
      <c r="G799" s="214" t="s">
        <v>61</v>
      </c>
      <c r="H799" s="214" t="s">
        <v>156</v>
      </c>
      <c r="I799" s="214"/>
      <c r="J799" s="222" t="s">
        <v>67</v>
      </c>
      <c r="K799" s="222">
        <v>4.5</v>
      </c>
      <c r="L799" s="222" t="s">
        <v>67</v>
      </c>
      <c r="M799" s="222">
        <v>53.5</v>
      </c>
      <c r="N799" s="214">
        <v>234.0</v>
      </c>
      <c r="O799" s="214">
        <v>104.0</v>
      </c>
      <c r="P799" s="214">
        <v>2.0</v>
      </c>
      <c r="Q799" s="214" t="b">
        <v>0</v>
      </c>
      <c r="R799" s="214">
        <v>100.0</v>
      </c>
      <c r="S799" s="214" t="s">
        <v>317</v>
      </c>
      <c r="T799" s="214" t="s">
        <v>321</v>
      </c>
      <c r="U799" s="214"/>
    </row>
    <row r="800">
      <c r="A800" s="221">
        <v>45937.06845290509</v>
      </c>
      <c r="B800" s="214" t="s">
        <v>224</v>
      </c>
      <c r="C800" s="214" t="s">
        <v>191</v>
      </c>
      <c r="D800" s="214">
        <v>2.0</v>
      </c>
      <c r="E800" s="214">
        <v>4.0</v>
      </c>
      <c r="F800" s="214" t="s">
        <v>1348</v>
      </c>
      <c r="G800" s="214" t="s">
        <v>61</v>
      </c>
      <c r="H800" s="214" t="s">
        <v>95</v>
      </c>
      <c r="I800" s="214"/>
      <c r="J800" s="222" t="s">
        <v>67</v>
      </c>
      <c r="K800" s="222">
        <v>13.5</v>
      </c>
      <c r="L800" s="222" t="s">
        <v>67</v>
      </c>
      <c r="M800" s="222">
        <v>58.5</v>
      </c>
      <c r="N800" s="214">
        <v>150.0</v>
      </c>
      <c r="O800" s="214">
        <v>149.0</v>
      </c>
      <c r="P800" s="214">
        <v>2.0</v>
      </c>
      <c r="Q800" s="214" t="b">
        <v>1</v>
      </c>
      <c r="R800" s="214">
        <v>100.0</v>
      </c>
      <c r="S800" s="214" t="s">
        <v>471</v>
      </c>
      <c r="T800" s="214" t="s">
        <v>321</v>
      </c>
      <c r="U800" s="214"/>
    </row>
    <row r="801">
      <c r="A801" s="221">
        <v>45937.06845290509</v>
      </c>
      <c r="B801" s="214" t="s">
        <v>224</v>
      </c>
      <c r="C801" s="214" t="s">
        <v>185</v>
      </c>
      <c r="D801" s="214">
        <v>5.0</v>
      </c>
      <c r="E801" s="214">
        <v>0.0</v>
      </c>
      <c r="F801" s="214" t="s">
        <v>1373</v>
      </c>
      <c r="G801" s="214" t="s">
        <v>61</v>
      </c>
      <c r="H801" s="214" t="s">
        <v>132</v>
      </c>
      <c r="I801" s="214"/>
      <c r="J801" s="222" t="s">
        <v>67</v>
      </c>
      <c r="K801" s="222">
        <v>-3.5</v>
      </c>
      <c r="L801" s="222" t="s">
        <v>67</v>
      </c>
      <c r="M801" s="222">
        <v>49.5</v>
      </c>
      <c r="N801" s="214">
        <v>178.0</v>
      </c>
      <c r="O801" s="214">
        <v>130.0</v>
      </c>
      <c r="P801" s="214">
        <v>2.0</v>
      </c>
      <c r="Q801" s="214" t="b">
        <v>0</v>
      </c>
      <c r="R801" s="214">
        <v>100.0</v>
      </c>
      <c r="S801" s="214" t="s">
        <v>525</v>
      </c>
      <c r="T801" s="214" t="s">
        <v>365</v>
      </c>
      <c r="U801" s="214"/>
    </row>
    <row r="802">
      <c r="A802" s="221">
        <v>45937.06845290509</v>
      </c>
      <c r="B802" s="214" t="s">
        <v>224</v>
      </c>
      <c r="C802" s="214" t="s">
        <v>140</v>
      </c>
      <c r="D802" s="214">
        <v>3.0</v>
      </c>
      <c r="E802" s="214">
        <v>2.0</v>
      </c>
      <c r="F802" s="214" t="s">
        <v>1374</v>
      </c>
      <c r="G802" s="214" t="s">
        <v>61</v>
      </c>
      <c r="H802" s="214" t="s">
        <v>96</v>
      </c>
      <c r="I802" s="214"/>
      <c r="J802" s="222" t="s">
        <v>67</v>
      </c>
      <c r="K802" s="222">
        <v>11.5</v>
      </c>
      <c r="L802" s="222" t="s">
        <v>67</v>
      </c>
      <c r="M802" s="222">
        <v>50.5</v>
      </c>
      <c r="N802" s="214">
        <v>164.0</v>
      </c>
      <c r="O802" s="214">
        <v>153.0</v>
      </c>
      <c r="P802" s="214">
        <v>2.0</v>
      </c>
      <c r="Q802" s="214" t="b">
        <v>0</v>
      </c>
      <c r="R802" s="214">
        <v>100.0</v>
      </c>
      <c r="S802" s="214" t="s">
        <v>407</v>
      </c>
      <c r="T802" s="214" t="s">
        <v>321</v>
      </c>
      <c r="U802" s="214"/>
    </row>
    <row r="803">
      <c r="A803" s="221">
        <v>45937.06845290509</v>
      </c>
      <c r="B803" s="214" t="s">
        <v>224</v>
      </c>
      <c r="C803" s="214" t="s">
        <v>203</v>
      </c>
      <c r="D803" s="214">
        <v>2.0</v>
      </c>
      <c r="E803" s="214">
        <v>3.0</v>
      </c>
      <c r="F803" s="214" t="s">
        <v>1375</v>
      </c>
      <c r="G803" s="214" t="s">
        <v>61</v>
      </c>
      <c r="H803" s="214" t="s">
        <v>132</v>
      </c>
      <c r="I803" s="214"/>
      <c r="J803" s="222" t="s">
        <v>67</v>
      </c>
      <c r="K803" s="222">
        <v>4.5</v>
      </c>
      <c r="L803" s="222" t="s">
        <v>67</v>
      </c>
      <c r="M803" s="222">
        <v>42.5</v>
      </c>
      <c r="N803" s="214">
        <v>117.0</v>
      </c>
      <c r="O803" s="214">
        <v>85.0</v>
      </c>
      <c r="P803" s="214">
        <v>2.0</v>
      </c>
      <c r="Q803" s="214" t="b">
        <v>1</v>
      </c>
      <c r="R803" s="214">
        <v>100.0</v>
      </c>
      <c r="S803" s="214" t="s">
        <v>556</v>
      </c>
      <c r="T803" s="214" t="s">
        <v>321</v>
      </c>
      <c r="U803" s="214"/>
    </row>
    <row r="804">
      <c r="A804" s="221">
        <v>45937.06845290509</v>
      </c>
      <c r="B804" s="214" t="s">
        <v>224</v>
      </c>
      <c r="C804" s="214" t="s">
        <v>103</v>
      </c>
      <c r="D804" s="214">
        <v>5.0</v>
      </c>
      <c r="E804" s="214">
        <v>0.0</v>
      </c>
      <c r="F804" s="214" t="s">
        <v>1346</v>
      </c>
      <c r="G804" s="214" t="s">
        <v>61</v>
      </c>
      <c r="H804" s="214" t="s">
        <v>43</v>
      </c>
      <c r="I804" s="214"/>
      <c r="J804" s="222" t="s">
        <v>67</v>
      </c>
      <c r="K804" s="222">
        <v>-12.5</v>
      </c>
      <c r="L804" s="222" t="s">
        <v>67</v>
      </c>
      <c r="M804" s="222">
        <v>51.5</v>
      </c>
      <c r="N804" s="214">
        <v>187.0</v>
      </c>
      <c r="O804" s="214">
        <v>98.0</v>
      </c>
      <c r="P804" s="214">
        <v>2.0</v>
      </c>
      <c r="Q804" s="214" t="b">
        <v>0</v>
      </c>
      <c r="R804" s="214">
        <v>100.0</v>
      </c>
      <c r="S804" s="214" t="s">
        <v>361</v>
      </c>
      <c r="T804" s="214" t="s">
        <v>365</v>
      </c>
      <c r="U804" s="214"/>
    </row>
    <row r="805">
      <c r="A805" s="221">
        <v>45937.06845290509</v>
      </c>
      <c r="B805" s="214" t="s">
        <v>224</v>
      </c>
      <c r="C805" s="214" t="s">
        <v>226</v>
      </c>
      <c r="D805" s="214">
        <v>5.0</v>
      </c>
      <c r="E805" s="214">
        <v>0.0</v>
      </c>
      <c r="F805" s="214" t="s">
        <v>1376</v>
      </c>
      <c r="G805" s="214" t="s">
        <v>61</v>
      </c>
      <c r="H805" s="214" t="s">
        <v>132</v>
      </c>
      <c r="I805" s="214"/>
      <c r="J805" s="222" t="s">
        <v>67</v>
      </c>
      <c r="K805" s="222">
        <v>-18.5</v>
      </c>
      <c r="L805" s="222" t="s">
        <v>67</v>
      </c>
      <c r="M805" s="222">
        <v>46.5</v>
      </c>
      <c r="N805" s="214">
        <v>192.0</v>
      </c>
      <c r="O805" s="214">
        <v>61.0</v>
      </c>
      <c r="P805" s="214">
        <v>2.0</v>
      </c>
      <c r="Q805" s="214" t="b">
        <v>0</v>
      </c>
      <c r="R805" s="214">
        <v>100.0</v>
      </c>
      <c r="S805" s="214" t="s">
        <v>471</v>
      </c>
      <c r="T805" s="214" t="s">
        <v>321</v>
      </c>
      <c r="U805" s="214"/>
    </row>
    <row r="806">
      <c r="A806" s="221">
        <v>45937.06845290509</v>
      </c>
      <c r="B806" s="214" t="s">
        <v>224</v>
      </c>
      <c r="C806" s="214" t="s">
        <v>235</v>
      </c>
      <c r="D806" s="214">
        <v>3.0</v>
      </c>
      <c r="E806" s="214">
        <v>2.0</v>
      </c>
      <c r="F806" s="214" t="s">
        <v>1377</v>
      </c>
      <c r="G806" s="214" t="s">
        <v>61</v>
      </c>
      <c r="H806" s="214" t="s">
        <v>395</v>
      </c>
      <c r="I806" s="214"/>
      <c r="J806" s="222"/>
      <c r="K806" s="222"/>
      <c r="L806" s="222"/>
      <c r="M806" s="222"/>
      <c r="N806" s="214">
        <v>148.0</v>
      </c>
      <c r="O806" s="214">
        <v>132.0</v>
      </c>
      <c r="P806" s="214">
        <v>2.0</v>
      </c>
      <c r="Q806" s="214" t="b">
        <v>0</v>
      </c>
      <c r="R806" s="214">
        <v>100.0</v>
      </c>
      <c r="S806" s="214" t="s">
        <v>535</v>
      </c>
      <c r="T806" s="214" t="s">
        <v>365</v>
      </c>
      <c r="U806" s="214"/>
    </row>
    <row r="807">
      <c r="A807" s="221">
        <v>45937.06845290509</v>
      </c>
      <c r="B807" s="214"/>
      <c r="C807" s="214"/>
      <c r="D807" s="214"/>
      <c r="E807" s="214"/>
      <c r="F807" s="214"/>
      <c r="G807" s="214"/>
      <c r="H807" s="214"/>
      <c r="I807" s="214"/>
      <c r="J807" s="222"/>
      <c r="K807" s="222"/>
      <c r="L807" s="222"/>
      <c r="M807" s="222"/>
      <c r="N807" s="214"/>
      <c r="O807" s="214"/>
      <c r="P807" s="214"/>
      <c r="Q807" s="214"/>
      <c r="R807" s="214"/>
      <c r="S807" s="214"/>
      <c r="T807" s="214"/>
      <c r="U807" s="214"/>
    </row>
    <row r="808">
      <c r="A808" s="221">
        <v>45937.06845290509</v>
      </c>
      <c r="B808" s="214" t="s">
        <v>96</v>
      </c>
      <c r="C808" s="214" t="s">
        <v>153</v>
      </c>
      <c r="D808" s="214">
        <v>1.0</v>
      </c>
      <c r="E808" s="214">
        <v>4.0</v>
      </c>
      <c r="F808" s="214"/>
      <c r="G808" s="214"/>
      <c r="H808" s="214"/>
      <c r="I808" s="214"/>
      <c r="J808" s="222"/>
      <c r="K808" s="222"/>
      <c r="L808" s="222"/>
      <c r="M808" s="222"/>
      <c r="N808" s="214">
        <v>82.0</v>
      </c>
      <c r="O808" s="214">
        <v>155.0</v>
      </c>
      <c r="P808" s="214">
        <v>0.0</v>
      </c>
      <c r="Q808" s="214" t="b">
        <v>1</v>
      </c>
      <c r="R808" s="214">
        <v>59.0</v>
      </c>
      <c r="S808" s="214" t="s">
        <v>535</v>
      </c>
      <c r="T808" s="214" t="s">
        <v>365</v>
      </c>
      <c r="U808" s="214"/>
    </row>
    <row r="809">
      <c r="A809" s="221">
        <v>45937.06845290509</v>
      </c>
      <c r="B809" s="214" t="s">
        <v>96</v>
      </c>
      <c r="C809" s="214" t="s">
        <v>536</v>
      </c>
      <c r="D809" s="214">
        <v>4.0</v>
      </c>
      <c r="E809" s="214">
        <v>2.0</v>
      </c>
      <c r="F809" s="214"/>
      <c r="G809" s="214"/>
      <c r="H809" s="214"/>
      <c r="I809" s="214"/>
      <c r="J809" s="222"/>
      <c r="K809" s="222"/>
      <c r="L809" s="222"/>
      <c r="M809" s="222"/>
      <c r="N809" s="214">
        <v>154.0</v>
      </c>
      <c r="O809" s="214">
        <v>141.0</v>
      </c>
      <c r="P809" s="214">
        <v>0.0</v>
      </c>
      <c r="Q809" s="214" t="b">
        <v>0</v>
      </c>
      <c r="R809" s="214">
        <v>59.0</v>
      </c>
      <c r="S809" s="214" t="s">
        <v>525</v>
      </c>
      <c r="T809" s="214" t="s">
        <v>365</v>
      </c>
      <c r="U809" s="214"/>
    </row>
    <row r="810">
      <c r="A810" s="221">
        <v>45937.06845290509</v>
      </c>
      <c r="B810" s="214" t="s">
        <v>96</v>
      </c>
      <c r="C810" s="214" t="s">
        <v>142</v>
      </c>
      <c r="D810" s="214">
        <v>4.0</v>
      </c>
      <c r="E810" s="214">
        <v>1.0</v>
      </c>
      <c r="F810" s="214" t="s">
        <v>1374</v>
      </c>
      <c r="G810" s="214" t="s">
        <v>61</v>
      </c>
      <c r="H810" s="214" t="s">
        <v>224</v>
      </c>
      <c r="I810" s="214"/>
      <c r="J810" s="222" t="s">
        <v>67</v>
      </c>
      <c r="K810" s="222">
        <v>-11.5</v>
      </c>
      <c r="L810" s="222" t="s">
        <v>67</v>
      </c>
      <c r="M810" s="222">
        <v>50.5</v>
      </c>
      <c r="N810" s="214">
        <v>212.0</v>
      </c>
      <c r="O810" s="214">
        <v>81.0</v>
      </c>
      <c r="P810" s="214">
        <v>2.0</v>
      </c>
      <c r="Q810" s="214" t="b">
        <v>1</v>
      </c>
      <c r="R810" s="214">
        <v>100.0</v>
      </c>
      <c r="S810" s="214" t="s">
        <v>407</v>
      </c>
      <c r="T810" s="214" t="s">
        <v>321</v>
      </c>
      <c r="U810" s="214"/>
    </row>
    <row r="811">
      <c r="A811" s="221">
        <v>45937.06845290509</v>
      </c>
      <c r="B811" s="214" t="s">
        <v>96</v>
      </c>
      <c r="C811" s="214" t="s">
        <v>229</v>
      </c>
      <c r="D811" s="214">
        <v>3.0</v>
      </c>
      <c r="E811" s="214">
        <v>2.0</v>
      </c>
      <c r="F811" s="214" t="s">
        <v>1351</v>
      </c>
      <c r="G811" s="214" t="s">
        <v>61</v>
      </c>
      <c r="H811" s="214" t="s">
        <v>95</v>
      </c>
      <c r="I811" s="214"/>
      <c r="J811" s="222" t="s">
        <v>67</v>
      </c>
      <c r="K811" s="222">
        <v>-21.0</v>
      </c>
      <c r="L811" s="222" t="s">
        <v>67</v>
      </c>
      <c r="M811" s="222">
        <v>62.5</v>
      </c>
      <c r="N811" s="214">
        <v>204.0</v>
      </c>
      <c r="O811" s="214">
        <v>118.0</v>
      </c>
      <c r="P811" s="214">
        <v>2.0</v>
      </c>
      <c r="Q811" s="214" t="b">
        <v>1</v>
      </c>
      <c r="R811" s="214">
        <v>100.0</v>
      </c>
      <c r="S811" s="214" t="s">
        <v>725</v>
      </c>
      <c r="T811" s="214"/>
      <c r="U811" s="214"/>
    </row>
    <row r="812">
      <c r="A812" s="221">
        <v>45937.06845290509</v>
      </c>
      <c r="B812" s="214" t="s">
        <v>96</v>
      </c>
      <c r="C812" s="214" t="s">
        <v>129</v>
      </c>
      <c r="D812" s="214">
        <v>1.0</v>
      </c>
      <c r="E812" s="214">
        <v>4.0</v>
      </c>
      <c r="F812" s="214" t="s">
        <v>1378</v>
      </c>
      <c r="G812" s="214" t="s">
        <v>61</v>
      </c>
      <c r="H812" s="214" t="s">
        <v>493</v>
      </c>
      <c r="I812" s="214"/>
      <c r="J812" s="222" t="s">
        <v>67</v>
      </c>
      <c r="K812" s="222">
        <v>20.5</v>
      </c>
      <c r="L812" s="222" t="s">
        <v>67</v>
      </c>
      <c r="M812" s="222">
        <v>55.5</v>
      </c>
      <c r="N812" s="214">
        <v>82.0</v>
      </c>
      <c r="O812" s="214">
        <v>181.0</v>
      </c>
      <c r="P812" s="214">
        <v>2.0</v>
      </c>
      <c r="Q812" s="214" t="b">
        <v>1</v>
      </c>
      <c r="R812" s="214">
        <v>100.0</v>
      </c>
      <c r="S812" s="214" t="s">
        <v>471</v>
      </c>
      <c r="T812" s="214" t="s">
        <v>321</v>
      </c>
      <c r="U812" s="214"/>
    </row>
    <row r="813">
      <c r="A813" s="221">
        <v>45937.06845290509</v>
      </c>
      <c r="B813" s="214" t="s">
        <v>96</v>
      </c>
      <c r="C813" s="214" t="s">
        <v>173</v>
      </c>
      <c r="D813" s="214">
        <v>3.0</v>
      </c>
      <c r="E813" s="214">
        <v>3.0</v>
      </c>
      <c r="F813" s="214" t="s">
        <v>1353</v>
      </c>
      <c r="G813" s="214" t="s">
        <v>61</v>
      </c>
      <c r="H813" s="214" t="s">
        <v>95</v>
      </c>
      <c r="I813" s="214"/>
      <c r="J813" s="222" t="s">
        <v>67</v>
      </c>
      <c r="K813" s="222">
        <v>-14.5</v>
      </c>
      <c r="L813" s="222" t="s">
        <v>67</v>
      </c>
      <c r="M813" s="222">
        <v>51.5</v>
      </c>
      <c r="N813" s="214">
        <v>158.0</v>
      </c>
      <c r="O813" s="214">
        <v>156.0</v>
      </c>
      <c r="P813" s="214">
        <v>2.0</v>
      </c>
      <c r="Q813" s="214" t="b">
        <v>0</v>
      </c>
      <c r="R813" s="214">
        <v>100.0</v>
      </c>
      <c r="S813" s="214" t="s">
        <v>530</v>
      </c>
      <c r="T813" s="214" t="s">
        <v>365</v>
      </c>
      <c r="U813" s="214"/>
    </row>
    <row r="814">
      <c r="A814" s="221">
        <v>45937.06845290509</v>
      </c>
      <c r="B814" s="214" t="s">
        <v>96</v>
      </c>
      <c r="C814" s="214" t="s">
        <v>204</v>
      </c>
      <c r="D814" s="214">
        <v>4.0</v>
      </c>
      <c r="E814" s="214">
        <v>1.0</v>
      </c>
      <c r="F814" s="214" t="s">
        <v>1379</v>
      </c>
      <c r="G814" s="214" t="s">
        <v>61</v>
      </c>
      <c r="H814" s="214" t="s">
        <v>493</v>
      </c>
      <c r="I814" s="214"/>
      <c r="J814" s="222" t="s">
        <v>67</v>
      </c>
      <c r="K814" s="222">
        <v>-20.5</v>
      </c>
      <c r="L814" s="222" t="s">
        <v>67</v>
      </c>
      <c r="M814" s="222">
        <v>48.5</v>
      </c>
      <c r="N814" s="214">
        <v>173.0</v>
      </c>
      <c r="O814" s="214">
        <v>92.0</v>
      </c>
      <c r="P814" s="214">
        <v>2.0</v>
      </c>
      <c r="Q814" s="214" t="b">
        <v>1</v>
      </c>
      <c r="R814" s="214">
        <v>100.0</v>
      </c>
      <c r="S814" s="214" t="s">
        <v>556</v>
      </c>
      <c r="T814" s="214" t="s">
        <v>321</v>
      </c>
      <c r="U814" s="214"/>
    </row>
    <row r="815">
      <c r="A815" s="221">
        <v>45937.06845290509</v>
      </c>
      <c r="B815" s="214" t="s">
        <v>96</v>
      </c>
      <c r="C815" s="214" t="s">
        <v>105</v>
      </c>
      <c r="D815" s="214">
        <v>4.0</v>
      </c>
      <c r="E815" s="214">
        <v>1.0</v>
      </c>
      <c r="F815" s="214" t="s">
        <v>1380</v>
      </c>
      <c r="G815" s="214" t="s">
        <v>61</v>
      </c>
      <c r="H815" s="214" t="s">
        <v>249</v>
      </c>
      <c r="I815" s="214"/>
      <c r="J815" s="222" t="s">
        <v>67</v>
      </c>
      <c r="K815" s="222">
        <v>-28.5</v>
      </c>
      <c r="L815" s="222" t="s">
        <v>67</v>
      </c>
      <c r="M815" s="222">
        <v>54.5</v>
      </c>
      <c r="N815" s="214">
        <v>181.0</v>
      </c>
      <c r="O815" s="214">
        <v>112.0</v>
      </c>
      <c r="P815" s="214">
        <v>2.0</v>
      </c>
      <c r="Q815" s="214" t="b">
        <v>1</v>
      </c>
      <c r="R815" s="214">
        <v>100.0</v>
      </c>
      <c r="S815" s="214" t="s">
        <v>361</v>
      </c>
      <c r="T815" s="214" t="s">
        <v>365</v>
      </c>
      <c r="U815" s="214"/>
    </row>
    <row r="816">
      <c r="A816" s="221">
        <v>45937.06845290509</v>
      </c>
      <c r="B816" s="214" t="s">
        <v>96</v>
      </c>
      <c r="C816" s="214" t="s">
        <v>222</v>
      </c>
      <c r="D816" s="214">
        <v>3.0</v>
      </c>
      <c r="E816" s="214">
        <v>2.0</v>
      </c>
      <c r="F816" s="214" t="s">
        <v>1381</v>
      </c>
      <c r="G816" s="214" t="s">
        <v>532</v>
      </c>
      <c r="H816" s="214" t="s">
        <v>238</v>
      </c>
      <c r="I816" s="214"/>
      <c r="J816" s="222" t="s">
        <v>67</v>
      </c>
      <c r="K816" s="222">
        <v>-1.5</v>
      </c>
      <c r="L816" s="222" t="s">
        <v>67</v>
      </c>
      <c r="M816" s="222">
        <v>46.5</v>
      </c>
      <c r="N816" s="214">
        <v>113.0</v>
      </c>
      <c r="O816" s="214">
        <v>116.0</v>
      </c>
      <c r="P816" s="214">
        <v>2.0</v>
      </c>
      <c r="Q816" s="214" t="b">
        <v>0</v>
      </c>
      <c r="R816" s="214">
        <v>100.0</v>
      </c>
      <c r="S816" s="214" t="s">
        <v>441</v>
      </c>
      <c r="T816" s="214" t="s">
        <v>365</v>
      </c>
      <c r="U816" s="214"/>
    </row>
    <row r="817">
      <c r="A817" s="221">
        <v>45937.06845290509</v>
      </c>
      <c r="B817" s="214" t="s">
        <v>96</v>
      </c>
      <c r="C817" s="214" t="s">
        <v>121</v>
      </c>
      <c r="D817" s="214">
        <v>5.0</v>
      </c>
      <c r="E817" s="214">
        <v>1.0</v>
      </c>
      <c r="F817" s="214" t="s">
        <v>1382</v>
      </c>
      <c r="G817" s="214" t="s">
        <v>532</v>
      </c>
      <c r="H817" s="214" t="s">
        <v>132</v>
      </c>
      <c r="I817" s="214"/>
      <c r="J817" s="222" t="s">
        <v>67</v>
      </c>
      <c r="K817" s="222">
        <v>6.5</v>
      </c>
      <c r="L817" s="222" t="s">
        <v>67</v>
      </c>
      <c r="M817" s="222">
        <v>61.5</v>
      </c>
      <c r="N817" s="214">
        <v>258.0</v>
      </c>
      <c r="O817" s="214">
        <v>143.0</v>
      </c>
      <c r="P817" s="214">
        <v>2.0</v>
      </c>
      <c r="Q817" s="214" t="b">
        <v>1</v>
      </c>
      <c r="R817" s="214">
        <v>100.0</v>
      </c>
      <c r="S817" s="214" t="s">
        <v>317</v>
      </c>
      <c r="T817" s="214" t="s">
        <v>321</v>
      </c>
      <c r="U817" s="214"/>
    </row>
    <row r="818">
      <c r="A818" s="221">
        <v>45937.06845290509</v>
      </c>
      <c r="B818" s="214"/>
      <c r="C818" s="214"/>
      <c r="D818" s="214"/>
      <c r="E818" s="214"/>
      <c r="F818" s="214"/>
      <c r="G818" s="214"/>
      <c r="H818" s="214"/>
      <c r="I818" s="214"/>
      <c r="J818" s="222"/>
      <c r="K818" s="222"/>
      <c r="L818" s="222"/>
      <c r="M818" s="222"/>
      <c r="N818" s="214"/>
      <c r="O818" s="214"/>
      <c r="P818" s="214"/>
      <c r="Q818" s="214"/>
      <c r="R818" s="214"/>
      <c r="S818" s="214"/>
      <c r="T818" s="214"/>
      <c r="U818" s="214"/>
    </row>
    <row r="819">
      <c r="A819" s="221">
        <v>45937.06845290509</v>
      </c>
      <c r="B819" s="214" t="s">
        <v>238</v>
      </c>
      <c r="C819" s="214" t="s">
        <v>160</v>
      </c>
      <c r="D819" s="214">
        <v>1.0</v>
      </c>
      <c r="E819" s="214">
        <v>4.0</v>
      </c>
      <c r="F819" s="214"/>
      <c r="G819" s="214"/>
      <c r="H819" s="214"/>
      <c r="I819" s="214"/>
      <c r="J819" s="222"/>
      <c r="K819" s="222"/>
      <c r="L819" s="222"/>
      <c r="M819" s="222"/>
      <c r="N819" s="214">
        <v>104.0</v>
      </c>
      <c r="O819" s="214">
        <v>133.0</v>
      </c>
      <c r="P819" s="214">
        <v>0.0</v>
      </c>
      <c r="Q819" s="214" t="b">
        <v>1</v>
      </c>
      <c r="R819" s="214">
        <v>59.0</v>
      </c>
      <c r="S819" s="214" t="s">
        <v>535</v>
      </c>
      <c r="T819" s="214" t="s">
        <v>365</v>
      </c>
      <c r="U819" s="214"/>
    </row>
    <row r="820">
      <c r="A820" s="221">
        <v>45937.06845290509</v>
      </c>
      <c r="B820" s="214" t="s">
        <v>238</v>
      </c>
      <c r="C820" s="214" t="s">
        <v>102</v>
      </c>
      <c r="D820" s="214">
        <v>6.0</v>
      </c>
      <c r="E820" s="214">
        <v>0.0</v>
      </c>
      <c r="F820" s="214" t="s">
        <v>1383</v>
      </c>
      <c r="G820" s="214" t="s">
        <v>61</v>
      </c>
      <c r="H820" s="214" t="s">
        <v>493</v>
      </c>
      <c r="I820" s="214"/>
      <c r="J820" s="222" t="s">
        <v>67</v>
      </c>
      <c r="K820" s="222">
        <v>-20.5</v>
      </c>
      <c r="L820" s="222" t="s">
        <v>67</v>
      </c>
      <c r="M820" s="222">
        <v>55.5</v>
      </c>
      <c r="N820" s="214">
        <v>243.0</v>
      </c>
      <c r="O820" s="214">
        <v>97.0</v>
      </c>
      <c r="P820" s="214">
        <v>2.0</v>
      </c>
      <c r="Q820" s="214" t="b">
        <v>1</v>
      </c>
      <c r="R820" s="214">
        <v>100.0</v>
      </c>
      <c r="S820" s="214" t="s">
        <v>361</v>
      </c>
      <c r="T820" s="214" t="s">
        <v>365</v>
      </c>
      <c r="U820" s="214"/>
    </row>
    <row r="821">
      <c r="A821" s="221">
        <v>45937.06845290509</v>
      </c>
      <c r="B821" s="214" t="s">
        <v>238</v>
      </c>
      <c r="C821" s="214" t="s">
        <v>539</v>
      </c>
      <c r="D821" s="214">
        <v>5.0</v>
      </c>
      <c r="E821" s="214">
        <v>0.0</v>
      </c>
      <c r="F821" s="214" t="s">
        <v>1384</v>
      </c>
      <c r="G821" s="214" t="s">
        <v>61</v>
      </c>
      <c r="H821" s="214" t="s">
        <v>493</v>
      </c>
      <c r="I821" s="214"/>
      <c r="J821" s="222" t="s">
        <v>67</v>
      </c>
      <c r="K821" s="222">
        <v>-14.5</v>
      </c>
      <c r="L821" s="222" t="s">
        <v>67</v>
      </c>
      <c r="M821" s="222">
        <v>55.5</v>
      </c>
      <c r="N821" s="214">
        <v>174.0</v>
      </c>
      <c r="O821" s="214">
        <v>105.0</v>
      </c>
      <c r="P821" s="214">
        <v>2.0</v>
      </c>
      <c r="Q821" s="214" t="b">
        <v>1</v>
      </c>
      <c r="R821" s="214">
        <v>100.0</v>
      </c>
      <c r="S821" s="214" t="s">
        <v>556</v>
      </c>
      <c r="T821" s="214" t="s">
        <v>321</v>
      </c>
      <c r="U821" s="214"/>
    </row>
    <row r="822">
      <c r="A822" s="221">
        <v>45937.06845290509</v>
      </c>
      <c r="B822" s="214" t="s">
        <v>238</v>
      </c>
      <c r="C822" s="214" t="s">
        <v>141</v>
      </c>
      <c r="D822" s="214">
        <v>3.0</v>
      </c>
      <c r="E822" s="214">
        <v>2.0</v>
      </c>
      <c r="F822" s="214" t="s">
        <v>1363</v>
      </c>
      <c r="G822" s="214" t="s">
        <v>61</v>
      </c>
      <c r="H822" s="214" t="s">
        <v>193</v>
      </c>
      <c r="I822" s="214"/>
      <c r="J822" s="222" t="s">
        <v>67</v>
      </c>
      <c r="K822" s="222">
        <v>23.5</v>
      </c>
      <c r="L822" s="222" t="s">
        <v>67</v>
      </c>
      <c r="M822" s="222">
        <v>43.5</v>
      </c>
      <c r="N822" s="214">
        <v>137.0</v>
      </c>
      <c r="O822" s="214">
        <v>107.0</v>
      </c>
      <c r="P822" s="214">
        <v>2.0</v>
      </c>
      <c r="Q822" s="214" t="b">
        <v>0</v>
      </c>
      <c r="R822" s="214">
        <v>100.0</v>
      </c>
      <c r="S822" s="214" t="s">
        <v>407</v>
      </c>
      <c r="T822" s="214" t="s">
        <v>321</v>
      </c>
      <c r="U822" s="214"/>
    </row>
    <row r="823">
      <c r="A823" s="221">
        <v>45937.06845290509</v>
      </c>
      <c r="B823" s="214" t="s">
        <v>238</v>
      </c>
      <c r="C823" s="214" t="s">
        <v>548</v>
      </c>
      <c r="D823" s="214">
        <v>2.0</v>
      </c>
      <c r="E823" s="214">
        <v>3.0</v>
      </c>
      <c r="F823" s="214" t="s">
        <v>1367</v>
      </c>
      <c r="G823" s="214" t="s">
        <v>61</v>
      </c>
      <c r="H823" s="214" t="s">
        <v>311</v>
      </c>
      <c r="I823" s="214"/>
      <c r="J823" s="222" t="s">
        <v>67</v>
      </c>
      <c r="K823" s="222">
        <v>-4.5</v>
      </c>
      <c r="L823" s="222" t="s">
        <v>67</v>
      </c>
      <c r="M823" s="222">
        <v>38.5</v>
      </c>
      <c r="N823" s="214">
        <v>118.0</v>
      </c>
      <c r="O823" s="214">
        <v>117.0</v>
      </c>
      <c r="P823" s="214">
        <v>2.0</v>
      </c>
      <c r="Q823" s="214" t="b">
        <v>1</v>
      </c>
      <c r="R823" s="214">
        <v>100.0</v>
      </c>
      <c r="S823" s="214" t="s">
        <v>530</v>
      </c>
      <c r="T823" s="214" t="s">
        <v>365</v>
      </c>
      <c r="U823" s="214"/>
    </row>
    <row r="824">
      <c r="A824" s="221">
        <v>45937.06845290509</v>
      </c>
      <c r="B824" s="214" t="s">
        <v>238</v>
      </c>
      <c r="C824" s="214" t="s">
        <v>98</v>
      </c>
      <c r="D824" s="214">
        <v>4.0</v>
      </c>
      <c r="E824" s="214">
        <v>1.0</v>
      </c>
      <c r="F824" s="214" t="s">
        <v>1370</v>
      </c>
      <c r="G824" s="214" t="s">
        <v>61</v>
      </c>
      <c r="H824" s="214" t="s">
        <v>311</v>
      </c>
      <c r="I824" s="214"/>
      <c r="J824" s="222" t="s">
        <v>67</v>
      </c>
      <c r="K824" s="222">
        <v>-1.5</v>
      </c>
      <c r="L824" s="222" t="s">
        <v>67</v>
      </c>
      <c r="M824" s="222">
        <v>55.5</v>
      </c>
      <c r="N824" s="214">
        <v>196.0</v>
      </c>
      <c r="O824" s="214">
        <v>104.0</v>
      </c>
      <c r="P824" s="214">
        <v>2.0</v>
      </c>
      <c r="Q824" s="214" t="b">
        <v>0</v>
      </c>
      <c r="R824" s="214">
        <v>100.0</v>
      </c>
      <c r="S824" s="214" t="s">
        <v>471</v>
      </c>
      <c r="T824" s="214" t="s">
        <v>321</v>
      </c>
      <c r="U824" s="214"/>
    </row>
    <row r="825">
      <c r="A825" s="221">
        <v>45937.06845290509</v>
      </c>
      <c r="B825" s="214" t="s">
        <v>238</v>
      </c>
      <c r="C825" s="214" t="s">
        <v>119</v>
      </c>
      <c r="D825" s="214">
        <v>3.0</v>
      </c>
      <c r="E825" s="214">
        <v>2.0</v>
      </c>
      <c r="F825" s="214" t="s">
        <v>1385</v>
      </c>
      <c r="G825" s="214" t="s">
        <v>61</v>
      </c>
      <c r="H825" s="214" t="s">
        <v>493</v>
      </c>
      <c r="I825" s="214"/>
      <c r="J825" s="222" t="s">
        <v>67</v>
      </c>
      <c r="K825" s="222">
        <v>-6.5</v>
      </c>
      <c r="L825" s="222" t="s">
        <v>67</v>
      </c>
      <c r="M825" s="222">
        <v>56.5</v>
      </c>
      <c r="N825" s="214">
        <v>205.0</v>
      </c>
      <c r="O825" s="214">
        <v>98.0</v>
      </c>
      <c r="P825" s="214">
        <v>2.0</v>
      </c>
      <c r="Q825" s="214" t="b">
        <v>1</v>
      </c>
      <c r="R825" s="214">
        <v>100.0</v>
      </c>
      <c r="S825" s="214" t="s">
        <v>317</v>
      </c>
      <c r="T825" s="214" t="s">
        <v>321</v>
      </c>
      <c r="U825" s="214"/>
    </row>
    <row r="826">
      <c r="A826" s="221">
        <v>45937.06845290509</v>
      </c>
      <c r="B826" s="214" t="s">
        <v>238</v>
      </c>
      <c r="C826" s="214" t="s">
        <v>148</v>
      </c>
      <c r="D826" s="214">
        <v>2.0</v>
      </c>
      <c r="E826" s="214">
        <v>3.0</v>
      </c>
      <c r="F826" s="214" t="s">
        <v>1371</v>
      </c>
      <c r="G826" s="214" t="s">
        <v>61</v>
      </c>
      <c r="H826" s="214" t="s">
        <v>311</v>
      </c>
      <c r="I826" s="214"/>
      <c r="J826" s="222" t="s">
        <v>67</v>
      </c>
      <c r="K826" s="222">
        <v>17.5</v>
      </c>
      <c r="L826" s="222" t="s">
        <v>67</v>
      </c>
      <c r="M826" s="222">
        <v>43.5</v>
      </c>
      <c r="N826" s="214">
        <v>93.0</v>
      </c>
      <c r="O826" s="214">
        <v>99.0</v>
      </c>
      <c r="P826" s="214">
        <v>2.0</v>
      </c>
      <c r="Q826" s="214" t="b">
        <v>0</v>
      </c>
      <c r="R826" s="214">
        <v>100.0</v>
      </c>
      <c r="S826" s="214" t="s">
        <v>407</v>
      </c>
      <c r="T826" s="214" t="s">
        <v>321</v>
      </c>
      <c r="U826" s="214"/>
    </row>
    <row r="827">
      <c r="A827" s="221">
        <v>45937.06845290509</v>
      </c>
      <c r="B827" s="214" t="s">
        <v>238</v>
      </c>
      <c r="C827" s="214" t="s">
        <v>549</v>
      </c>
      <c r="D827" s="214">
        <v>2.0</v>
      </c>
      <c r="E827" s="214">
        <v>3.0</v>
      </c>
      <c r="F827" s="214" t="s">
        <v>1366</v>
      </c>
      <c r="G827" s="214" t="s">
        <v>61</v>
      </c>
      <c r="H827" s="214" t="s">
        <v>193</v>
      </c>
      <c r="I827" s="214"/>
      <c r="J827" s="222" t="s">
        <v>67</v>
      </c>
      <c r="K827" s="222">
        <v>-2.5</v>
      </c>
      <c r="L827" s="222" t="s">
        <v>67</v>
      </c>
      <c r="M827" s="222">
        <v>58.5</v>
      </c>
      <c r="N827" s="214">
        <v>116.0</v>
      </c>
      <c r="O827" s="214">
        <v>140.0</v>
      </c>
      <c r="P827" s="214">
        <v>2.0</v>
      </c>
      <c r="Q827" s="214" t="b">
        <v>0</v>
      </c>
      <c r="R827" s="214">
        <v>100.0</v>
      </c>
      <c r="S827" s="214" t="s">
        <v>525</v>
      </c>
      <c r="T827" s="214" t="s">
        <v>365</v>
      </c>
      <c r="U827" s="214"/>
    </row>
    <row r="828">
      <c r="A828" s="221">
        <v>45937.06845290509</v>
      </c>
      <c r="B828" s="214" t="s">
        <v>238</v>
      </c>
      <c r="C828" s="214" t="s">
        <v>220</v>
      </c>
      <c r="D828" s="214">
        <v>1.0</v>
      </c>
      <c r="E828" s="214">
        <v>5.0</v>
      </c>
      <c r="F828" s="214" t="s">
        <v>1381</v>
      </c>
      <c r="G828" s="214" t="s">
        <v>532</v>
      </c>
      <c r="H828" s="214" t="s">
        <v>96</v>
      </c>
      <c r="I828" s="214"/>
      <c r="J828" s="222" t="s">
        <v>67</v>
      </c>
      <c r="K828" s="222">
        <v>1.5</v>
      </c>
      <c r="L828" s="222" t="s">
        <v>67</v>
      </c>
      <c r="M828" s="222">
        <v>46.5</v>
      </c>
      <c r="N828" s="214">
        <v>150.0</v>
      </c>
      <c r="O828" s="214">
        <v>190.0</v>
      </c>
      <c r="P828" s="214">
        <v>2.0</v>
      </c>
      <c r="Q828" s="214" t="b">
        <v>1</v>
      </c>
      <c r="R828" s="214">
        <v>100.0</v>
      </c>
      <c r="S828" s="214" t="s">
        <v>441</v>
      </c>
      <c r="T828" s="214" t="s">
        <v>365</v>
      </c>
      <c r="U828" s="214"/>
    </row>
    <row r="829">
      <c r="A829" s="221">
        <v>45937.06845290509</v>
      </c>
      <c r="B829" s="214"/>
      <c r="C829" s="214"/>
      <c r="D829" s="214"/>
      <c r="E829" s="214"/>
      <c r="F829" s="214"/>
      <c r="G829" s="214"/>
      <c r="H829" s="214"/>
      <c r="I829" s="214"/>
      <c r="J829" s="222"/>
      <c r="K829" s="222"/>
      <c r="L829" s="222"/>
      <c r="M829" s="222"/>
      <c r="N829" s="214"/>
      <c r="O829" s="214"/>
      <c r="P829" s="214"/>
      <c r="Q829" s="214"/>
      <c r="R829" s="214"/>
      <c r="S829" s="214"/>
      <c r="T829" s="214"/>
      <c r="U829" s="214"/>
    </row>
    <row r="830">
      <c r="A830" s="221">
        <v>45937.06845290509</v>
      </c>
      <c r="B830" s="214" t="s">
        <v>156</v>
      </c>
      <c r="C830" s="214" t="s">
        <v>208</v>
      </c>
      <c r="D830" s="214">
        <v>5.0</v>
      </c>
      <c r="E830" s="214">
        <v>0.0</v>
      </c>
      <c r="F830" s="214"/>
      <c r="G830" s="214"/>
      <c r="H830" s="214"/>
      <c r="I830" s="214"/>
      <c r="J830" s="222"/>
      <c r="K830" s="222"/>
      <c r="L830" s="222"/>
      <c r="M830" s="222"/>
      <c r="N830" s="214">
        <v>226.0</v>
      </c>
      <c r="O830" s="214">
        <v>73.0</v>
      </c>
      <c r="P830" s="214">
        <v>0.0</v>
      </c>
      <c r="Q830" s="214" t="b">
        <v>1</v>
      </c>
      <c r="R830" s="214">
        <v>59.0</v>
      </c>
      <c r="S830" s="214" t="s">
        <v>556</v>
      </c>
      <c r="T830" s="214" t="s">
        <v>321</v>
      </c>
      <c r="U830" s="214"/>
    </row>
    <row r="831">
      <c r="A831" s="221">
        <v>45937.06845290509</v>
      </c>
      <c r="B831" s="214" t="s">
        <v>156</v>
      </c>
      <c r="C831" s="214" t="s">
        <v>232</v>
      </c>
      <c r="D831" s="214">
        <v>2.0</v>
      </c>
      <c r="E831" s="214">
        <v>3.0</v>
      </c>
      <c r="F831" s="214"/>
      <c r="G831" s="214"/>
      <c r="H831" s="214"/>
      <c r="I831" s="214"/>
      <c r="J831" s="222"/>
      <c r="K831" s="222"/>
      <c r="L831" s="222"/>
      <c r="M831" s="222"/>
      <c r="N831" s="214">
        <v>148.0</v>
      </c>
      <c r="O831" s="214">
        <v>134.0</v>
      </c>
      <c r="P831" s="214">
        <v>0.0</v>
      </c>
      <c r="Q831" s="214" t="b">
        <v>1</v>
      </c>
      <c r="R831" s="214">
        <v>59.0</v>
      </c>
      <c r="S831" s="214" t="s">
        <v>535</v>
      </c>
      <c r="T831" s="214" t="s">
        <v>365</v>
      </c>
      <c r="U831" s="214"/>
    </row>
    <row r="832">
      <c r="A832" s="221">
        <v>45937.06845290509</v>
      </c>
      <c r="B832" s="214" t="s">
        <v>156</v>
      </c>
      <c r="C832" s="214" t="s">
        <v>174</v>
      </c>
      <c r="D832" s="214">
        <v>3.0</v>
      </c>
      <c r="E832" s="214">
        <v>2.0</v>
      </c>
      <c r="F832" s="214"/>
      <c r="G832" s="214"/>
      <c r="H832" s="214"/>
      <c r="I832" s="214"/>
      <c r="J832" s="222"/>
      <c r="K832" s="222"/>
      <c r="L832" s="222"/>
      <c r="M832" s="222"/>
      <c r="N832" s="214">
        <v>179.0</v>
      </c>
      <c r="O832" s="214">
        <v>62.0</v>
      </c>
      <c r="P832" s="214">
        <v>0.0</v>
      </c>
      <c r="Q832" s="214" t="b">
        <v>1</v>
      </c>
      <c r="R832" s="214">
        <v>59.0</v>
      </c>
      <c r="S832" s="214" t="s">
        <v>530</v>
      </c>
      <c r="T832" s="214" t="s">
        <v>365</v>
      </c>
      <c r="U832" s="214"/>
    </row>
    <row r="833">
      <c r="A833" s="221">
        <v>45937.06845290509</v>
      </c>
      <c r="B833" s="214" t="s">
        <v>156</v>
      </c>
      <c r="C833" s="214" t="s">
        <v>154</v>
      </c>
      <c r="D833" s="214">
        <v>5.0</v>
      </c>
      <c r="E833" s="214">
        <v>0.0</v>
      </c>
      <c r="F833" s="214"/>
      <c r="G833" s="214"/>
      <c r="H833" s="214"/>
      <c r="I833" s="214"/>
      <c r="J833" s="222"/>
      <c r="K833" s="222"/>
      <c r="L833" s="222"/>
      <c r="M833" s="222"/>
      <c r="N833" s="214">
        <v>224.0</v>
      </c>
      <c r="O833" s="214">
        <v>100.0</v>
      </c>
      <c r="P833" s="214">
        <v>0.0</v>
      </c>
      <c r="Q833" s="214" t="b">
        <v>1</v>
      </c>
      <c r="R833" s="214">
        <v>59.0</v>
      </c>
      <c r="S833" s="214" t="s">
        <v>361</v>
      </c>
      <c r="T833" s="214" t="s">
        <v>365</v>
      </c>
      <c r="U833" s="214"/>
    </row>
    <row r="834">
      <c r="A834" s="221">
        <v>45937.06845290509</v>
      </c>
      <c r="B834" s="214" t="s">
        <v>156</v>
      </c>
      <c r="C834" s="214" t="s">
        <v>202</v>
      </c>
      <c r="D834" s="214">
        <v>2.0</v>
      </c>
      <c r="E834" s="214">
        <v>3.0</v>
      </c>
      <c r="F834" s="214"/>
      <c r="G834" s="214"/>
      <c r="H834" s="214"/>
      <c r="I834" s="214"/>
      <c r="J834" s="222"/>
      <c r="K834" s="222"/>
      <c r="L834" s="222"/>
      <c r="M834" s="222"/>
      <c r="N834" s="214">
        <v>187.0</v>
      </c>
      <c r="O834" s="214">
        <v>150.0</v>
      </c>
      <c r="P834" s="214">
        <v>0.0</v>
      </c>
      <c r="Q834" s="214" t="b">
        <v>1</v>
      </c>
      <c r="R834" s="214">
        <v>59.0</v>
      </c>
      <c r="S834" s="214" t="s">
        <v>556</v>
      </c>
      <c r="T834" s="214" t="s">
        <v>321</v>
      </c>
      <c r="U834" s="214"/>
    </row>
    <row r="835">
      <c r="A835" s="221">
        <v>45937.06845290509</v>
      </c>
      <c r="B835" s="214" t="s">
        <v>156</v>
      </c>
      <c r="C835" s="214" t="s">
        <v>181</v>
      </c>
      <c r="D835" s="214">
        <v>1.0</v>
      </c>
      <c r="E835" s="214">
        <v>4.0</v>
      </c>
      <c r="F835" s="214" t="s">
        <v>1386</v>
      </c>
      <c r="G835" s="214" t="s">
        <v>61</v>
      </c>
      <c r="H835" s="214" t="s">
        <v>395</v>
      </c>
      <c r="I835" s="214"/>
      <c r="J835" s="222" t="s">
        <v>67</v>
      </c>
      <c r="K835" s="222">
        <v>13.5</v>
      </c>
      <c r="L835" s="222" t="s">
        <v>67</v>
      </c>
      <c r="M835" s="222">
        <v>45.5</v>
      </c>
      <c r="N835" s="214">
        <v>77.0</v>
      </c>
      <c r="O835" s="214">
        <v>128.0</v>
      </c>
      <c r="P835" s="214">
        <v>2.0</v>
      </c>
      <c r="Q835" s="214" t="b">
        <v>1</v>
      </c>
      <c r="R835" s="214">
        <v>100.0</v>
      </c>
      <c r="S835" s="214" t="s">
        <v>525</v>
      </c>
      <c r="T835" s="214" t="s">
        <v>365</v>
      </c>
      <c r="U835" s="214"/>
    </row>
    <row r="836">
      <c r="A836" s="221">
        <v>45937.06845290509</v>
      </c>
      <c r="B836" s="214" t="s">
        <v>156</v>
      </c>
      <c r="C836" s="214" t="s">
        <v>116</v>
      </c>
      <c r="D836" s="214">
        <v>5.0</v>
      </c>
      <c r="E836" s="214">
        <v>0.0</v>
      </c>
      <c r="F836" s="214" t="s">
        <v>1372</v>
      </c>
      <c r="G836" s="214" t="s">
        <v>61</v>
      </c>
      <c r="H836" s="214" t="s">
        <v>224</v>
      </c>
      <c r="I836" s="214"/>
      <c r="J836" s="222" t="s">
        <v>67</v>
      </c>
      <c r="K836" s="222">
        <v>-4.5</v>
      </c>
      <c r="L836" s="222" t="s">
        <v>67</v>
      </c>
      <c r="M836" s="222">
        <v>53.5</v>
      </c>
      <c r="N836" s="214">
        <v>175.0</v>
      </c>
      <c r="O836" s="214">
        <v>68.0</v>
      </c>
      <c r="P836" s="214">
        <v>2.0</v>
      </c>
      <c r="Q836" s="214" t="b">
        <v>1</v>
      </c>
      <c r="R836" s="214">
        <v>100.0</v>
      </c>
      <c r="S836" s="214" t="s">
        <v>317</v>
      </c>
      <c r="T836" s="214" t="s">
        <v>321</v>
      </c>
      <c r="U836" s="214"/>
    </row>
    <row r="837">
      <c r="A837" s="221">
        <v>45937.06845290509</v>
      </c>
      <c r="B837" s="214" t="s">
        <v>156</v>
      </c>
      <c r="C837" s="214" t="s">
        <v>109</v>
      </c>
      <c r="D837" s="214">
        <v>3.0</v>
      </c>
      <c r="E837" s="214">
        <v>2.0</v>
      </c>
      <c r="F837" s="214" t="s">
        <v>1362</v>
      </c>
      <c r="G837" s="214" t="s">
        <v>61</v>
      </c>
      <c r="H837" s="214" t="s">
        <v>193</v>
      </c>
      <c r="I837" s="214"/>
      <c r="J837" s="222" t="s">
        <v>67</v>
      </c>
      <c r="K837" s="222">
        <v>4.5</v>
      </c>
      <c r="L837" s="222" t="s">
        <v>67</v>
      </c>
      <c r="M837" s="222">
        <v>54.5</v>
      </c>
      <c r="N837" s="214">
        <v>159.0</v>
      </c>
      <c r="O837" s="214">
        <v>87.0</v>
      </c>
      <c r="P837" s="214">
        <v>2.0</v>
      </c>
      <c r="Q837" s="214" t="b">
        <v>1</v>
      </c>
      <c r="R837" s="214">
        <v>100.0</v>
      </c>
      <c r="S837" s="214" t="s">
        <v>471</v>
      </c>
      <c r="T837" s="214" t="s">
        <v>321</v>
      </c>
      <c r="U837" s="214"/>
    </row>
    <row r="838">
      <c r="A838" s="221">
        <v>45937.06845290509</v>
      </c>
      <c r="B838" s="214" t="s">
        <v>156</v>
      </c>
      <c r="C838" s="214" t="s">
        <v>223</v>
      </c>
      <c r="D838" s="214">
        <v>2.0</v>
      </c>
      <c r="E838" s="214">
        <v>3.0</v>
      </c>
      <c r="F838" s="214" t="s">
        <v>1355</v>
      </c>
      <c r="G838" s="214" t="s">
        <v>61</v>
      </c>
      <c r="H838" s="214" t="s">
        <v>62</v>
      </c>
      <c r="I838" s="214"/>
      <c r="J838" s="222" t="s">
        <v>67</v>
      </c>
      <c r="K838" s="222">
        <v>20.5</v>
      </c>
      <c r="L838" s="222" t="s">
        <v>67</v>
      </c>
      <c r="M838" s="222">
        <v>54.5</v>
      </c>
      <c r="N838" s="214">
        <v>65.0</v>
      </c>
      <c r="O838" s="214">
        <v>153.0</v>
      </c>
      <c r="P838" s="214">
        <v>2.0</v>
      </c>
      <c r="Q838" s="214" t="b">
        <v>0</v>
      </c>
      <c r="R838" s="214">
        <v>100.0</v>
      </c>
      <c r="S838" s="214" t="s">
        <v>441</v>
      </c>
      <c r="T838" s="214" t="s">
        <v>365</v>
      </c>
      <c r="U838" s="214"/>
    </row>
    <row r="839">
      <c r="A839" s="221">
        <v>45937.06845290509</v>
      </c>
      <c r="B839" s="214" t="s">
        <v>156</v>
      </c>
      <c r="C839" s="214" t="s">
        <v>135</v>
      </c>
      <c r="D839" s="214">
        <v>5.0</v>
      </c>
      <c r="E839" s="214">
        <v>1.0</v>
      </c>
      <c r="F839" s="214" t="s">
        <v>1387</v>
      </c>
      <c r="G839" s="214" t="s">
        <v>61</v>
      </c>
      <c r="H839" s="214" t="s">
        <v>493</v>
      </c>
      <c r="I839" s="214"/>
      <c r="J839" s="222" t="s">
        <v>67</v>
      </c>
      <c r="K839" s="222">
        <v>-9.5</v>
      </c>
      <c r="L839" s="222" t="s">
        <v>67</v>
      </c>
      <c r="M839" s="222">
        <v>55.5</v>
      </c>
      <c r="N839" s="214">
        <v>222.0</v>
      </c>
      <c r="O839" s="214">
        <v>144.0</v>
      </c>
      <c r="P839" s="214">
        <v>2.0</v>
      </c>
      <c r="Q839" s="214" t="b">
        <v>1</v>
      </c>
      <c r="R839" s="214">
        <v>100.0</v>
      </c>
      <c r="S839" s="214" t="s">
        <v>407</v>
      </c>
      <c r="T839" s="214" t="s">
        <v>321</v>
      </c>
      <c r="U839" s="214"/>
    </row>
    <row r="840">
      <c r="A840" s="221">
        <v>45937.06845290509</v>
      </c>
      <c r="B840" s="214"/>
      <c r="C840" s="214"/>
      <c r="D840" s="214"/>
      <c r="E840" s="214"/>
      <c r="F840" s="214"/>
      <c r="G840" s="214"/>
      <c r="H840" s="214"/>
      <c r="I840" s="214"/>
      <c r="J840" s="222"/>
      <c r="K840" s="222"/>
      <c r="L840" s="222"/>
      <c r="M840" s="222"/>
      <c r="N840" s="214"/>
      <c r="O840" s="214"/>
      <c r="P840" s="214"/>
      <c r="Q840" s="214"/>
      <c r="R840" s="214"/>
      <c r="S840" s="214"/>
      <c r="T840" s="214"/>
      <c r="U840" s="214"/>
    </row>
    <row r="841">
      <c r="A841" s="221">
        <v>45937.06845290509</v>
      </c>
      <c r="B841" s="214" t="s">
        <v>249</v>
      </c>
      <c r="C841" s="214" t="s">
        <v>151</v>
      </c>
      <c r="D841" s="214">
        <v>4.0</v>
      </c>
      <c r="E841" s="214">
        <v>1.0</v>
      </c>
      <c r="F841" s="214"/>
      <c r="G841" s="214"/>
      <c r="H841" s="214"/>
      <c r="I841" s="214"/>
      <c r="J841" s="222"/>
      <c r="K841" s="222"/>
      <c r="L841" s="222"/>
      <c r="M841" s="222"/>
      <c r="N841" s="214">
        <v>140.0</v>
      </c>
      <c r="O841" s="214">
        <v>68.0</v>
      </c>
      <c r="P841" s="214">
        <v>0.0</v>
      </c>
      <c r="Q841" s="214" t="b">
        <v>1</v>
      </c>
      <c r="R841" s="214">
        <v>59.0</v>
      </c>
      <c r="S841" s="214" t="s">
        <v>535</v>
      </c>
      <c r="T841" s="214" t="s">
        <v>365</v>
      </c>
      <c r="U841" s="214"/>
    </row>
    <row r="842">
      <c r="A842" s="221">
        <v>45937.06845290509</v>
      </c>
      <c r="B842" s="214" t="s">
        <v>249</v>
      </c>
      <c r="C842" s="214" t="s">
        <v>209</v>
      </c>
      <c r="D842" s="214">
        <v>5.0</v>
      </c>
      <c r="E842" s="214">
        <v>0.0</v>
      </c>
      <c r="F842" s="214"/>
      <c r="G842" s="214"/>
      <c r="H842" s="214"/>
      <c r="I842" s="214"/>
      <c r="J842" s="222"/>
      <c r="K842" s="222"/>
      <c r="L842" s="222"/>
      <c r="M842" s="222"/>
      <c r="N842" s="214">
        <v>203.0</v>
      </c>
      <c r="O842" s="214">
        <v>94.0</v>
      </c>
      <c r="P842" s="214">
        <v>0.0</v>
      </c>
      <c r="Q842" s="214" t="b">
        <v>1</v>
      </c>
      <c r="R842" s="214">
        <v>59.0</v>
      </c>
      <c r="S842" s="214" t="s">
        <v>556</v>
      </c>
      <c r="T842" s="214" t="s">
        <v>321</v>
      </c>
      <c r="U842" s="214"/>
    </row>
    <row r="843">
      <c r="A843" s="221">
        <v>45937.06845290509</v>
      </c>
      <c r="B843" s="214" t="s">
        <v>249</v>
      </c>
      <c r="C843" s="214" t="s">
        <v>137</v>
      </c>
      <c r="D843" s="214">
        <v>3.0</v>
      </c>
      <c r="E843" s="214">
        <v>2.0</v>
      </c>
      <c r="F843" s="214"/>
      <c r="G843" s="214"/>
      <c r="H843" s="214"/>
      <c r="I843" s="214"/>
      <c r="J843" s="222"/>
      <c r="K843" s="222"/>
      <c r="L843" s="222"/>
      <c r="M843" s="222"/>
      <c r="N843" s="214">
        <v>147.0</v>
      </c>
      <c r="O843" s="214">
        <v>78.0</v>
      </c>
      <c r="P843" s="214">
        <v>0.0</v>
      </c>
      <c r="Q843" s="214" t="b">
        <v>1</v>
      </c>
      <c r="R843" s="214">
        <v>59.0</v>
      </c>
      <c r="S843" s="214" t="s">
        <v>407</v>
      </c>
      <c r="T843" s="214" t="s">
        <v>321</v>
      </c>
      <c r="U843" s="214"/>
    </row>
    <row r="844">
      <c r="A844" s="221">
        <v>45937.06845290509</v>
      </c>
      <c r="B844" s="214" t="s">
        <v>249</v>
      </c>
      <c r="C844" s="214" t="s">
        <v>112</v>
      </c>
      <c r="D844" s="214">
        <v>4.0</v>
      </c>
      <c r="E844" s="214">
        <v>2.0</v>
      </c>
      <c r="F844" s="214" t="s">
        <v>1354</v>
      </c>
      <c r="G844" s="214" t="s">
        <v>61</v>
      </c>
      <c r="H844" s="214" t="s">
        <v>62</v>
      </c>
      <c r="I844" s="214"/>
      <c r="J844" s="222" t="s">
        <v>67</v>
      </c>
      <c r="K844" s="222">
        <v>-2.5</v>
      </c>
      <c r="L844" s="222" t="s">
        <v>67</v>
      </c>
      <c r="M844" s="222">
        <v>55.5</v>
      </c>
      <c r="N844" s="214">
        <v>219.0</v>
      </c>
      <c r="O844" s="214">
        <v>153.0</v>
      </c>
      <c r="P844" s="214">
        <v>2.0</v>
      </c>
      <c r="Q844" s="214" t="b">
        <v>0</v>
      </c>
      <c r="R844" s="214">
        <v>100.0</v>
      </c>
      <c r="S844" s="214" t="s">
        <v>317</v>
      </c>
      <c r="T844" s="214" t="s">
        <v>321</v>
      </c>
      <c r="U844" s="214"/>
    </row>
    <row r="845">
      <c r="A845" s="221">
        <v>45937.06845290509</v>
      </c>
      <c r="B845" s="214" t="s">
        <v>249</v>
      </c>
      <c r="C845" s="214" t="s">
        <v>217</v>
      </c>
      <c r="D845" s="214">
        <v>1.0</v>
      </c>
      <c r="E845" s="214">
        <v>4.0</v>
      </c>
      <c r="F845" s="214" t="s">
        <v>1388</v>
      </c>
      <c r="G845" s="214" t="s">
        <v>61</v>
      </c>
      <c r="H845" s="214" t="s">
        <v>395</v>
      </c>
      <c r="I845" s="214"/>
      <c r="J845" s="222" t="s">
        <v>67</v>
      </c>
      <c r="K845" s="222">
        <v>20.5</v>
      </c>
      <c r="L845" s="222" t="s">
        <v>67</v>
      </c>
      <c r="M845" s="222">
        <v>52.5</v>
      </c>
      <c r="N845" s="214">
        <v>88.0</v>
      </c>
      <c r="O845" s="214">
        <v>206.0</v>
      </c>
      <c r="P845" s="214">
        <v>2.0</v>
      </c>
      <c r="Q845" s="214" t="b">
        <v>0</v>
      </c>
      <c r="R845" s="214">
        <v>100.0</v>
      </c>
      <c r="S845" s="214" t="s">
        <v>441</v>
      </c>
      <c r="T845" s="214" t="s">
        <v>365</v>
      </c>
      <c r="U845" s="214"/>
    </row>
    <row r="846">
      <c r="A846" s="221">
        <v>45937.06845290509</v>
      </c>
      <c r="B846" s="214" t="s">
        <v>249</v>
      </c>
      <c r="C846" s="214" t="s">
        <v>124</v>
      </c>
      <c r="D846" s="214">
        <v>4.0</v>
      </c>
      <c r="E846" s="214">
        <v>2.0</v>
      </c>
      <c r="F846" s="214" t="s">
        <v>1358</v>
      </c>
      <c r="G846" s="214" t="s">
        <v>61</v>
      </c>
      <c r="H846" s="214" t="s">
        <v>62</v>
      </c>
      <c r="I846" s="214"/>
      <c r="J846" s="222" t="s">
        <v>67</v>
      </c>
      <c r="K846" s="222">
        <v>-6.5</v>
      </c>
      <c r="L846" s="222" t="s">
        <v>67</v>
      </c>
      <c r="M846" s="222">
        <v>61.5</v>
      </c>
      <c r="N846" s="214">
        <v>218.0</v>
      </c>
      <c r="O846" s="214">
        <v>178.0</v>
      </c>
      <c r="P846" s="214">
        <v>2.0</v>
      </c>
      <c r="Q846" s="214" t="b">
        <v>0</v>
      </c>
      <c r="R846" s="214">
        <v>100.0</v>
      </c>
      <c r="S846" s="214" t="s">
        <v>471</v>
      </c>
      <c r="T846" s="214" t="s">
        <v>321</v>
      </c>
      <c r="U846" s="214"/>
    </row>
    <row r="847">
      <c r="A847" s="221">
        <v>45937.06845290509</v>
      </c>
      <c r="B847" s="214" t="s">
        <v>249</v>
      </c>
      <c r="C847" s="214" t="s">
        <v>111</v>
      </c>
      <c r="D847" s="214">
        <v>2.0</v>
      </c>
      <c r="E847" s="214">
        <v>3.0</v>
      </c>
      <c r="F847" s="214" t="s">
        <v>1345</v>
      </c>
      <c r="G847" s="214" t="s">
        <v>61</v>
      </c>
      <c r="H847" s="214" t="s">
        <v>43</v>
      </c>
      <c r="I847" s="214"/>
      <c r="J847" s="222" t="s">
        <v>67</v>
      </c>
      <c r="K847" s="222">
        <v>-14.0</v>
      </c>
      <c r="L847" s="222" t="s">
        <v>67</v>
      </c>
      <c r="M847" s="222">
        <v>46.5</v>
      </c>
      <c r="N847" s="214">
        <v>117.0</v>
      </c>
      <c r="O847" s="214">
        <v>101.0</v>
      </c>
      <c r="P847" s="214">
        <v>2.0</v>
      </c>
      <c r="Q847" s="214" t="b">
        <v>1</v>
      </c>
      <c r="R847" s="214">
        <v>100.0</v>
      </c>
      <c r="S847" s="214" t="s">
        <v>317</v>
      </c>
      <c r="T847" s="214" t="s">
        <v>321</v>
      </c>
      <c r="U847" s="214"/>
    </row>
    <row r="848">
      <c r="A848" s="221">
        <v>45937.06845290509</v>
      </c>
      <c r="B848" s="214" t="s">
        <v>249</v>
      </c>
      <c r="C848" s="214" t="s">
        <v>183</v>
      </c>
      <c r="D848" s="214">
        <v>4.0</v>
      </c>
      <c r="E848" s="214">
        <v>1.0</v>
      </c>
      <c r="F848" s="214" t="s">
        <v>1360</v>
      </c>
      <c r="G848" s="214" t="s">
        <v>61</v>
      </c>
      <c r="H848" s="214" t="s">
        <v>62</v>
      </c>
      <c r="I848" s="214"/>
      <c r="J848" s="222" t="s">
        <v>67</v>
      </c>
      <c r="K848" s="222">
        <v>-5.5</v>
      </c>
      <c r="L848" s="222" t="s">
        <v>67</v>
      </c>
      <c r="M848" s="222">
        <v>40.5</v>
      </c>
      <c r="N848" s="214">
        <v>140.0</v>
      </c>
      <c r="O848" s="214">
        <v>63.0</v>
      </c>
      <c r="P848" s="214">
        <v>2.0</v>
      </c>
      <c r="Q848" s="214" t="b">
        <v>0</v>
      </c>
      <c r="R848" s="214">
        <v>100.0</v>
      </c>
      <c r="S848" s="214" t="s">
        <v>525</v>
      </c>
      <c r="T848" s="214" t="s">
        <v>365</v>
      </c>
      <c r="U848" s="214"/>
    </row>
    <row r="849">
      <c r="A849" s="221">
        <v>45937.06845290509</v>
      </c>
      <c r="B849" s="214" t="s">
        <v>249</v>
      </c>
      <c r="C849" s="214" t="s">
        <v>159</v>
      </c>
      <c r="D849" s="214">
        <v>1.0</v>
      </c>
      <c r="E849" s="214">
        <v>4.0</v>
      </c>
      <c r="F849" s="214" t="s">
        <v>1380</v>
      </c>
      <c r="G849" s="214" t="s">
        <v>61</v>
      </c>
      <c r="H849" s="214" t="s">
        <v>96</v>
      </c>
      <c r="I849" s="214"/>
      <c r="J849" s="222" t="s">
        <v>67</v>
      </c>
      <c r="K849" s="222">
        <v>28.5</v>
      </c>
      <c r="L849" s="222" t="s">
        <v>67</v>
      </c>
      <c r="M849" s="222">
        <v>54.5</v>
      </c>
      <c r="N849" s="214">
        <v>99.0</v>
      </c>
      <c r="O849" s="214">
        <v>171.0</v>
      </c>
      <c r="P849" s="214">
        <v>2.0</v>
      </c>
      <c r="Q849" s="214" t="b">
        <v>0</v>
      </c>
      <c r="R849" s="214">
        <v>100.0</v>
      </c>
      <c r="S849" s="214" t="s">
        <v>361</v>
      </c>
      <c r="T849" s="214" t="s">
        <v>365</v>
      </c>
      <c r="U849" s="214"/>
    </row>
    <row r="850">
      <c r="A850" s="221">
        <v>45937.06845290509</v>
      </c>
      <c r="B850" s="214" t="s">
        <v>249</v>
      </c>
      <c r="C850" s="214" t="s">
        <v>167</v>
      </c>
      <c r="D850" s="214">
        <v>3.0</v>
      </c>
      <c r="E850" s="214">
        <v>3.0</v>
      </c>
      <c r="F850" s="214" t="s">
        <v>1361</v>
      </c>
      <c r="G850" s="214" t="s">
        <v>532</v>
      </c>
      <c r="H850" s="214" t="s">
        <v>62</v>
      </c>
      <c r="I850" s="214"/>
      <c r="J850" s="222" t="s">
        <v>67</v>
      </c>
      <c r="K850" s="222">
        <v>-10.0</v>
      </c>
      <c r="L850" s="222" t="s">
        <v>67</v>
      </c>
      <c r="M850" s="222">
        <v>54.5</v>
      </c>
      <c r="N850" s="214">
        <v>151.0</v>
      </c>
      <c r="O850" s="214">
        <v>128.0</v>
      </c>
      <c r="P850" s="214">
        <v>2.0</v>
      </c>
      <c r="Q850" s="214" t="b">
        <v>1</v>
      </c>
      <c r="R850" s="214">
        <v>100.0</v>
      </c>
      <c r="S850" s="214" t="s">
        <v>530</v>
      </c>
      <c r="T850" s="214" t="s">
        <v>365</v>
      </c>
      <c r="U850" s="214"/>
    </row>
    <row r="851">
      <c r="A851" s="221">
        <v>45937.06845290509</v>
      </c>
      <c r="B851" s="214"/>
      <c r="C851" s="214"/>
      <c r="D851" s="214"/>
      <c r="E851" s="214"/>
      <c r="F851" s="214"/>
      <c r="G851" s="214"/>
      <c r="H851" s="214"/>
      <c r="I851" s="214"/>
      <c r="J851" s="222"/>
      <c r="K851" s="222"/>
      <c r="L851" s="222"/>
      <c r="M851" s="222"/>
      <c r="N851" s="214"/>
      <c r="O851" s="214"/>
      <c r="P851" s="214"/>
      <c r="Q851" s="214"/>
      <c r="R851" s="214"/>
      <c r="S851" s="214"/>
      <c r="T851" s="214"/>
      <c r="U851" s="214"/>
    </row>
    <row r="852">
      <c r="A852" s="221">
        <v>45937.06845290509</v>
      </c>
      <c r="B852" s="214" t="s">
        <v>395</v>
      </c>
      <c r="C852" s="214" t="s">
        <v>147</v>
      </c>
      <c r="D852" s="214">
        <v>3.0</v>
      </c>
      <c r="E852" s="214">
        <v>2.0</v>
      </c>
      <c r="F852" s="214"/>
      <c r="G852" s="214"/>
      <c r="H852" s="214"/>
      <c r="I852" s="214"/>
      <c r="J852" s="222"/>
      <c r="K852" s="222"/>
      <c r="L852" s="222"/>
      <c r="M852" s="222"/>
      <c r="N852" s="214">
        <v>195.0</v>
      </c>
      <c r="O852" s="214">
        <v>127.0</v>
      </c>
      <c r="P852" s="214">
        <v>0.0</v>
      </c>
      <c r="Q852" s="214" t="b">
        <v>1</v>
      </c>
      <c r="R852" s="214">
        <v>59.0</v>
      </c>
      <c r="S852" s="214" t="s">
        <v>407</v>
      </c>
      <c r="T852" s="214" t="s">
        <v>321</v>
      </c>
      <c r="U852" s="214"/>
    </row>
    <row r="853">
      <c r="A853" s="221">
        <v>45937.06845290509</v>
      </c>
      <c r="B853" s="214" t="s">
        <v>395</v>
      </c>
      <c r="C853" s="214" t="s">
        <v>114</v>
      </c>
      <c r="D853" s="214">
        <v>5.0</v>
      </c>
      <c r="E853" s="214">
        <v>0.0</v>
      </c>
      <c r="F853" s="214"/>
      <c r="G853" s="214"/>
      <c r="H853" s="214"/>
      <c r="I853" s="214"/>
      <c r="J853" s="222"/>
      <c r="K853" s="222"/>
      <c r="L853" s="222"/>
      <c r="M853" s="222"/>
      <c r="N853" s="214">
        <v>185.0</v>
      </c>
      <c r="O853" s="214">
        <v>106.0</v>
      </c>
      <c r="P853" s="214">
        <v>0.0</v>
      </c>
      <c r="Q853" s="214" t="b">
        <v>1</v>
      </c>
      <c r="R853" s="214">
        <v>59.0</v>
      </c>
      <c r="S853" s="214" t="s">
        <v>317</v>
      </c>
      <c r="T853" s="214" t="s">
        <v>321</v>
      </c>
      <c r="U853" s="214"/>
    </row>
    <row r="854">
      <c r="A854" s="221">
        <v>45937.06845290509</v>
      </c>
      <c r="B854" s="214" t="s">
        <v>395</v>
      </c>
      <c r="C854" s="214" t="s">
        <v>179</v>
      </c>
      <c r="D854" s="214">
        <v>5.0</v>
      </c>
      <c r="E854" s="214">
        <v>1.0</v>
      </c>
      <c r="F854" s="214" t="s">
        <v>1386</v>
      </c>
      <c r="G854" s="214" t="s">
        <v>61</v>
      </c>
      <c r="H854" s="214" t="s">
        <v>156</v>
      </c>
      <c r="I854" s="214"/>
      <c r="J854" s="222" t="s">
        <v>67</v>
      </c>
      <c r="K854" s="222">
        <v>-13.5</v>
      </c>
      <c r="L854" s="222" t="s">
        <v>67</v>
      </c>
      <c r="M854" s="222">
        <v>45.5</v>
      </c>
      <c r="N854" s="214">
        <v>184.0</v>
      </c>
      <c r="O854" s="214">
        <v>117.0</v>
      </c>
      <c r="P854" s="214">
        <v>2.0</v>
      </c>
      <c r="Q854" s="214" t="b">
        <v>0</v>
      </c>
      <c r="R854" s="214">
        <v>100.0</v>
      </c>
      <c r="S854" s="214" t="s">
        <v>525</v>
      </c>
      <c r="T854" s="214" t="s">
        <v>365</v>
      </c>
      <c r="U854" s="214"/>
    </row>
    <row r="855">
      <c r="A855" s="221">
        <v>45937.06845290509</v>
      </c>
      <c r="B855" s="214" t="s">
        <v>395</v>
      </c>
      <c r="C855" s="214" t="s">
        <v>101</v>
      </c>
      <c r="D855" s="214">
        <v>4.0</v>
      </c>
      <c r="E855" s="214">
        <v>1.0</v>
      </c>
      <c r="F855" s="214" t="s">
        <v>1340</v>
      </c>
      <c r="G855" s="214" t="s">
        <v>61</v>
      </c>
      <c r="H855" s="214" t="s">
        <v>43</v>
      </c>
      <c r="I855" s="214"/>
      <c r="J855" s="222" t="s">
        <v>67</v>
      </c>
      <c r="K855" s="222">
        <v>12.5</v>
      </c>
      <c r="L855" s="222" t="s">
        <v>67</v>
      </c>
      <c r="M855" s="222">
        <v>52.5</v>
      </c>
      <c r="N855" s="214">
        <v>136.0</v>
      </c>
      <c r="O855" s="214">
        <v>88.0</v>
      </c>
      <c r="P855" s="214">
        <v>2.0</v>
      </c>
      <c r="Q855" s="214" t="b">
        <v>1</v>
      </c>
      <c r="R855" s="214">
        <v>100.0</v>
      </c>
      <c r="S855" s="214" t="s">
        <v>471</v>
      </c>
      <c r="T855" s="214" t="s">
        <v>321</v>
      </c>
      <c r="U855" s="214"/>
    </row>
    <row r="856">
      <c r="A856" s="221">
        <v>45937.06845290509</v>
      </c>
      <c r="B856" s="214" t="s">
        <v>395</v>
      </c>
      <c r="C856" s="214" t="s">
        <v>213</v>
      </c>
      <c r="D856" s="214">
        <v>5.0</v>
      </c>
      <c r="E856" s="214">
        <v>1.0</v>
      </c>
      <c r="F856" s="214" t="s">
        <v>1356</v>
      </c>
      <c r="G856" s="214" t="s">
        <v>61</v>
      </c>
      <c r="H856" s="214" t="s">
        <v>62</v>
      </c>
      <c r="I856" s="214"/>
      <c r="J856" s="222" t="s">
        <v>67</v>
      </c>
      <c r="K856" s="222">
        <v>10.5</v>
      </c>
      <c r="L856" s="222" t="s">
        <v>67</v>
      </c>
      <c r="M856" s="222">
        <v>55.5</v>
      </c>
      <c r="N856" s="214">
        <v>259.0</v>
      </c>
      <c r="O856" s="214">
        <v>116.0</v>
      </c>
      <c r="P856" s="214">
        <v>2.0</v>
      </c>
      <c r="Q856" s="214" t="b">
        <v>0</v>
      </c>
      <c r="R856" s="214">
        <v>100.0</v>
      </c>
      <c r="S856" s="214" t="s">
        <v>556</v>
      </c>
      <c r="T856" s="214" t="s">
        <v>321</v>
      </c>
      <c r="U856" s="214"/>
    </row>
    <row r="857">
      <c r="A857" s="221">
        <v>45937.06845290509</v>
      </c>
      <c r="B857" s="214" t="s">
        <v>395</v>
      </c>
      <c r="C857" s="214" t="s">
        <v>99</v>
      </c>
      <c r="D857" s="214">
        <v>4.0</v>
      </c>
      <c r="E857" s="214">
        <v>2.0</v>
      </c>
      <c r="F857" s="214" t="s">
        <v>1389</v>
      </c>
      <c r="G857" s="214" t="s">
        <v>61</v>
      </c>
      <c r="H857" s="214" t="s">
        <v>132</v>
      </c>
      <c r="I857" s="214"/>
      <c r="J857" s="222" t="s">
        <v>67</v>
      </c>
      <c r="K857" s="222">
        <v>-7.5</v>
      </c>
      <c r="L857" s="222" t="s">
        <v>67</v>
      </c>
      <c r="M857" s="222">
        <v>53.5</v>
      </c>
      <c r="N857" s="214">
        <v>222.0</v>
      </c>
      <c r="O857" s="214">
        <v>136.0</v>
      </c>
      <c r="P857" s="214">
        <v>2.0</v>
      </c>
      <c r="Q857" s="214" t="b">
        <v>0</v>
      </c>
      <c r="R857" s="214">
        <v>100.0</v>
      </c>
      <c r="S857" s="214" t="s">
        <v>725</v>
      </c>
      <c r="T857" s="214"/>
      <c r="U857" s="214"/>
    </row>
    <row r="858">
      <c r="A858" s="221">
        <v>45937.06845290509</v>
      </c>
      <c r="B858" s="214" t="s">
        <v>395</v>
      </c>
      <c r="C858" s="214" t="s">
        <v>231</v>
      </c>
      <c r="D858" s="214">
        <v>4.0</v>
      </c>
      <c r="E858" s="214">
        <v>1.0</v>
      </c>
      <c r="F858" s="214" t="s">
        <v>1388</v>
      </c>
      <c r="G858" s="214" t="s">
        <v>61</v>
      </c>
      <c r="H858" s="214" t="s">
        <v>249</v>
      </c>
      <c r="I858" s="214"/>
      <c r="J858" s="222" t="s">
        <v>67</v>
      </c>
      <c r="K858" s="222">
        <v>-20.5</v>
      </c>
      <c r="L858" s="222" t="s">
        <v>67</v>
      </c>
      <c r="M858" s="222">
        <v>52.5</v>
      </c>
      <c r="N858" s="214">
        <v>139.0</v>
      </c>
      <c r="O858" s="214">
        <v>68.0</v>
      </c>
      <c r="P858" s="214">
        <v>2.0</v>
      </c>
      <c r="Q858" s="214" t="b">
        <v>1</v>
      </c>
      <c r="R858" s="214">
        <v>100.0</v>
      </c>
      <c r="S858" s="214" t="s">
        <v>441</v>
      </c>
      <c r="T858" s="214" t="s">
        <v>365</v>
      </c>
      <c r="U858" s="214"/>
    </row>
    <row r="859">
      <c r="A859" s="221">
        <v>45937.06845290509</v>
      </c>
      <c r="B859" s="214" t="s">
        <v>395</v>
      </c>
      <c r="C859" s="214" t="s">
        <v>175</v>
      </c>
      <c r="D859" s="214">
        <v>3.0</v>
      </c>
      <c r="E859" s="214">
        <v>3.0</v>
      </c>
      <c r="F859" s="214" t="s">
        <v>1344</v>
      </c>
      <c r="G859" s="214" t="s">
        <v>61</v>
      </c>
      <c r="H859" s="214" t="s">
        <v>43</v>
      </c>
      <c r="I859" s="214"/>
      <c r="J859" s="222" t="s">
        <v>67</v>
      </c>
      <c r="K859" s="222">
        <v>-13.5</v>
      </c>
      <c r="L859" s="222" t="s">
        <v>67</v>
      </c>
      <c r="M859" s="222">
        <v>45.5</v>
      </c>
      <c r="N859" s="214">
        <v>118.0</v>
      </c>
      <c r="O859" s="214">
        <v>124.0</v>
      </c>
      <c r="P859" s="214">
        <v>2.0</v>
      </c>
      <c r="Q859" s="214" t="b">
        <v>1</v>
      </c>
      <c r="R859" s="214">
        <v>100.0</v>
      </c>
      <c r="S859" s="214" t="s">
        <v>530</v>
      </c>
      <c r="T859" s="214" t="s">
        <v>365</v>
      </c>
      <c r="U859" s="214"/>
    </row>
    <row r="860">
      <c r="A860" s="221">
        <v>45937.06845290509</v>
      </c>
      <c r="B860" s="214" t="s">
        <v>395</v>
      </c>
      <c r="C860" s="214" t="s">
        <v>225</v>
      </c>
      <c r="D860" s="214">
        <v>2.0</v>
      </c>
      <c r="E860" s="214">
        <v>3.0</v>
      </c>
      <c r="F860" s="214" t="s">
        <v>1359</v>
      </c>
      <c r="G860" s="214" t="s">
        <v>61</v>
      </c>
      <c r="H860" s="214" t="s">
        <v>62</v>
      </c>
      <c r="I860" s="214"/>
      <c r="J860" s="222" t="s">
        <v>67</v>
      </c>
      <c r="K860" s="222">
        <v>-6.5</v>
      </c>
      <c r="L860" s="222" t="s">
        <v>67</v>
      </c>
      <c r="M860" s="222">
        <v>56.5</v>
      </c>
      <c r="N860" s="214">
        <v>126.0</v>
      </c>
      <c r="O860" s="214">
        <v>137.0</v>
      </c>
      <c r="P860" s="214">
        <v>2.0</v>
      </c>
      <c r="Q860" s="214" t="b">
        <v>1</v>
      </c>
      <c r="R860" s="214">
        <v>100.0</v>
      </c>
      <c r="S860" s="214" t="s">
        <v>361</v>
      </c>
      <c r="T860" s="214" t="s">
        <v>365</v>
      </c>
      <c r="U860" s="214"/>
    </row>
    <row r="861">
      <c r="A861" s="221">
        <v>45937.06845290509</v>
      </c>
      <c r="B861" s="214" t="s">
        <v>395</v>
      </c>
      <c r="C861" s="214" t="s">
        <v>162</v>
      </c>
      <c r="D861" s="214">
        <v>5.0</v>
      </c>
      <c r="E861" s="214">
        <v>1.0</v>
      </c>
      <c r="F861" s="214" t="s">
        <v>1377</v>
      </c>
      <c r="G861" s="214" t="s">
        <v>61</v>
      </c>
      <c r="H861" s="214" t="s">
        <v>224</v>
      </c>
      <c r="I861" s="214"/>
      <c r="J861" s="222" t="s">
        <v>67</v>
      </c>
      <c r="K861" s="222">
        <v>2.5</v>
      </c>
      <c r="L861" s="222" t="s">
        <v>67</v>
      </c>
      <c r="M861" s="222">
        <v>61.5</v>
      </c>
      <c r="N861" s="214">
        <v>202.0</v>
      </c>
      <c r="O861" s="214">
        <v>137.0</v>
      </c>
      <c r="P861" s="214">
        <v>2.0</v>
      </c>
      <c r="Q861" s="214" t="b">
        <v>1</v>
      </c>
      <c r="R861" s="214">
        <v>100.0</v>
      </c>
      <c r="S861" s="214" t="s">
        <v>535</v>
      </c>
      <c r="T861" s="214" t="s">
        <v>365</v>
      </c>
      <c r="U861" s="214"/>
    </row>
    <row r="862">
      <c r="A862" s="221">
        <v>45937.06845290509</v>
      </c>
      <c r="B862" s="214"/>
      <c r="C862" s="214"/>
      <c r="D862" s="214"/>
      <c r="E862" s="214"/>
      <c r="F862" s="214"/>
      <c r="G862" s="214"/>
      <c r="H862" s="214"/>
      <c r="I862" s="214"/>
      <c r="J862" s="222"/>
      <c r="K862" s="222"/>
      <c r="L862" s="222"/>
      <c r="M862" s="222"/>
      <c r="N862" s="214"/>
      <c r="O862" s="214"/>
      <c r="P862" s="214"/>
      <c r="Q862" s="214"/>
      <c r="R862" s="214"/>
      <c r="S862" s="214"/>
      <c r="T862" s="214"/>
      <c r="U862" s="214"/>
    </row>
    <row r="863">
      <c r="A863" s="221">
        <v>45937.06845290509</v>
      </c>
      <c r="B863" s="214" t="s">
        <v>132</v>
      </c>
      <c r="C863" s="214" t="s">
        <v>210</v>
      </c>
      <c r="D863" s="214">
        <v>3.0</v>
      </c>
      <c r="E863" s="214">
        <v>2.0</v>
      </c>
      <c r="F863" s="214"/>
      <c r="G863" s="214"/>
      <c r="H863" s="214"/>
      <c r="I863" s="214"/>
      <c r="J863" s="222"/>
      <c r="K863" s="222"/>
      <c r="L863" s="222"/>
      <c r="M863" s="222"/>
      <c r="N863" s="214">
        <v>124.0</v>
      </c>
      <c r="O863" s="214">
        <v>94.0</v>
      </c>
      <c r="P863" s="214">
        <v>0.0</v>
      </c>
      <c r="Q863" s="214" t="b">
        <v>1</v>
      </c>
      <c r="R863" s="214">
        <v>59.0</v>
      </c>
      <c r="S863" s="214" t="s">
        <v>556</v>
      </c>
      <c r="T863" s="214" t="s">
        <v>321</v>
      </c>
      <c r="U863" s="214"/>
    </row>
    <row r="864">
      <c r="A864" s="221">
        <v>45937.06845290509</v>
      </c>
      <c r="B864" s="214" t="s">
        <v>132</v>
      </c>
      <c r="C864" s="214" t="s">
        <v>107</v>
      </c>
      <c r="D864" s="214">
        <v>4.0</v>
      </c>
      <c r="E864" s="214">
        <v>1.0</v>
      </c>
      <c r="F864" s="214"/>
      <c r="G864" s="214"/>
      <c r="H864" s="214"/>
      <c r="I864" s="214"/>
      <c r="J864" s="222"/>
      <c r="K864" s="222"/>
      <c r="L864" s="222"/>
      <c r="M864" s="222"/>
      <c r="N864" s="214">
        <v>131.0</v>
      </c>
      <c r="O864" s="214">
        <v>120.0</v>
      </c>
      <c r="P864" s="214">
        <v>0.0</v>
      </c>
      <c r="Q864" s="214" t="b">
        <v>1</v>
      </c>
      <c r="R864" s="214">
        <v>59.0</v>
      </c>
      <c r="S864" s="214" t="s">
        <v>361</v>
      </c>
      <c r="T864" s="214" t="s">
        <v>365</v>
      </c>
      <c r="U864" s="214"/>
    </row>
    <row r="865">
      <c r="A865" s="221">
        <v>45937.06845290509</v>
      </c>
      <c r="B865" s="214" t="s">
        <v>132</v>
      </c>
      <c r="C865" s="214" t="s">
        <v>136</v>
      </c>
      <c r="D865" s="214">
        <v>5.0</v>
      </c>
      <c r="E865" s="214">
        <v>0.0</v>
      </c>
      <c r="F865" s="214"/>
      <c r="G865" s="214"/>
      <c r="H865" s="214"/>
      <c r="I865" s="214"/>
      <c r="J865" s="222"/>
      <c r="K865" s="222"/>
      <c r="L865" s="222"/>
      <c r="M865" s="222"/>
      <c r="N865" s="214">
        <v>239.0</v>
      </c>
      <c r="O865" s="214">
        <v>48.0</v>
      </c>
      <c r="P865" s="214">
        <v>0.0</v>
      </c>
      <c r="Q865" s="214" t="b">
        <v>1</v>
      </c>
      <c r="R865" s="214">
        <v>59.0</v>
      </c>
      <c r="S865" s="214" t="s">
        <v>407</v>
      </c>
      <c r="T865" s="214" t="s">
        <v>321</v>
      </c>
      <c r="U865" s="214"/>
    </row>
    <row r="866">
      <c r="A866" s="221">
        <v>45937.06845290509</v>
      </c>
      <c r="B866" s="214" t="s">
        <v>132</v>
      </c>
      <c r="C866" s="214" t="s">
        <v>187</v>
      </c>
      <c r="D866" s="214">
        <v>2.0</v>
      </c>
      <c r="E866" s="214">
        <v>3.0</v>
      </c>
      <c r="F866" s="214" t="s">
        <v>1373</v>
      </c>
      <c r="G866" s="214" t="s">
        <v>61</v>
      </c>
      <c r="H866" s="214" t="s">
        <v>224</v>
      </c>
      <c r="I866" s="214"/>
      <c r="J866" s="222" t="s">
        <v>67</v>
      </c>
      <c r="K866" s="222">
        <v>3.5</v>
      </c>
      <c r="L866" s="222" t="s">
        <v>67</v>
      </c>
      <c r="M866" s="222">
        <v>49.5</v>
      </c>
      <c r="N866" s="214">
        <v>84.0</v>
      </c>
      <c r="O866" s="214">
        <v>106.0</v>
      </c>
      <c r="P866" s="214">
        <v>2.0</v>
      </c>
      <c r="Q866" s="214" t="b">
        <v>1</v>
      </c>
      <c r="R866" s="214">
        <v>100.0</v>
      </c>
      <c r="S866" s="214" t="s">
        <v>525</v>
      </c>
      <c r="T866" s="214" t="s">
        <v>365</v>
      </c>
      <c r="U866" s="214"/>
    </row>
    <row r="867">
      <c r="A867" s="221">
        <v>45937.06845290509</v>
      </c>
      <c r="B867" s="214" t="s">
        <v>132</v>
      </c>
      <c r="C867" s="214" t="s">
        <v>215</v>
      </c>
      <c r="D867" s="214">
        <v>2.0</v>
      </c>
      <c r="E867" s="214">
        <v>4.0</v>
      </c>
      <c r="F867" s="214" t="s">
        <v>1349</v>
      </c>
      <c r="G867" s="214" t="s">
        <v>61</v>
      </c>
      <c r="H867" s="214" t="s">
        <v>95</v>
      </c>
      <c r="I867" s="214"/>
      <c r="J867" s="222" t="s">
        <v>67</v>
      </c>
      <c r="K867" s="222">
        <v>13.5</v>
      </c>
      <c r="L867" s="222" t="s">
        <v>67</v>
      </c>
      <c r="M867" s="222">
        <v>64.5</v>
      </c>
      <c r="N867" s="214">
        <v>140.0</v>
      </c>
      <c r="O867" s="214">
        <v>190.0</v>
      </c>
      <c r="P867" s="214">
        <v>2.0</v>
      </c>
      <c r="Q867" s="214" t="b">
        <v>0</v>
      </c>
      <c r="R867" s="214">
        <v>100.0</v>
      </c>
      <c r="S867" s="214" t="s">
        <v>441</v>
      </c>
      <c r="T867" s="214" t="s">
        <v>365</v>
      </c>
      <c r="U867" s="214"/>
    </row>
    <row r="868">
      <c r="A868" s="221">
        <v>45937.06845290509</v>
      </c>
      <c r="B868" s="214" t="s">
        <v>132</v>
      </c>
      <c r="C868" s="214" t="s">
        <v>131</v>
      </c>
      <c r="D868" s="214">
        <v>3.0</v>
      </c>
      <c r="E868" s="214">
        <v>2.0</v>
      </c>
      <c r="F868" s="214" t="s">
        <v>1375</v>
      </c>
      <c r="G868" s="214" t="s">
        <v>61</v>
      </c>
      <c r="H868" s="214" t="s">
        <v>224</v>
      </c>
      <c r="I868" s="214"/>
      <c r="J868" s="222" t="s">
        <v>67</v>
      </c>
      <c r="K868" s="222">
        <v>-4.5</v>
      </c>
      <c r="L868" s="222" t="s">
        <v>67</v>
      </c>
      <c r="M868" s="222">
        <v>42.5</v>
      </c>
      <c r="N868" s="214">
        <v>148.0</v>
      </c>
      <c r="O868" s="214">
        <v>60.0</v>
      </c>
      <c r="P868" s="214">
        <v>2.0</v>
      </c>
      <c r="Q868" s="214" t="b">
        <v>0</v>
      </c>
      <c r="R868" s="214">
        <v>100.0</v>
      </c>
      <c r="S868" s="214" t="s">
        <v>556</v>
      </c>
      <c r="T868" s="214" t="s">
        <v>321</v>
      </c>
      <c r="U868" s="214"/>
    </row>
    <row r="869">
      <c r="A869" s="221">
        <v>45937.06845290509</v>
      </c>
      <c r="B869" s="214" t="s">
        <v>132</v>
      </c>
      <c r="C869" s="214" t="s">
        <v>545</v>
      </c>
      <c r="D869" s="214">
        <v>2.0</v>
      </c>
      <c r="E869" s="214">
        <v>3.0</v>
      </c>
      <c r="F869" s="214" t="s">
        <v>1389</v>
      </c>
      <c r="G869" s="214" t="s">
        <v>61</v>
      </c>
      <c r="H869" s="214" t="s">
        <v>395</v>
      </c>
      <c r="I869" s="214"/>
      <c r="J869" s="222" t="s">
        <v>67</v>
      </c>
      <c r="K869" s="222">
        <v>7.5</v>
      </c>
      <c r="L869" s="222" t="s">
        <v>67</v>
      </c>
      <c r="M869" s="222">
        <v>53.5</v>
      </c>
      <c r="N869" s="214">
        <v>106.0</v>
      </c>
      <c r="O869" s="214">
        <v>160.0</v>
      </c>
      <c r="P869" s="214">
        <v>2.0</v>
      </c>
      <c r="Q869" s="214" t="b">
        <v>1</v>
      </c>
      <c r="R869" s="214">
        <v>100.0</v>
      </c>
      <c r="S869" s="214" t="s">
        <v>535</v>
      </c>
      <c r="T869" s="214" t="s">
        <v>365</v>
      </c>
      <c r="U869" s="214"/>
    </row>
    <row r="870">
      <c r="A870" s="221">
        <v>45937.06845290509</v>
      </c>
      <c r="B870" s="214" t="s">
        <v>132</v>
      </c>
      <c r="C870" s="214" t="s">
        <v>168</v>
      </c>
      <c r="D870" s="214">
        <v>3.0</v>
      </c>
      <c r="E870" s="214">
        <v>3.0</v>
      </c>
      <c r="F870" s="214" t="s">
        <v>1365</v>
      </c>
      <c r="G870" s="214" t="s">
        <v>61</v>
      </c>
      <c r="H870" s="214" t="s">
        <v>193</v>
      </c>
      <c r="I870" s="214"/>
      <c r="J870" s="222" t="s">
        <v>67</v>
      </c>
      <c r="K870" s="222">
        <v>-7.5</v>
      </c>
      <c r="L870" s="222" t="s">
        <v>67</v>
      </c>
      <c r="M870" s="222">
        <v>46.5</v>
      </c>
      <c r="N870" s="214">
        <v>131.0</v>
      </c>
      <c r="O870" s="214">
        <v>173.0</v>
      </c>
      <c r="P870" s="214">
        <v>2.0</v>
      </c>
      <c r="Q870" s="214" t="b">
        <v>0</v>
      </c>
      <c r="R870" s="214">
        <v>100.0</v>
      </c>
      <c r="S870" s="214" t="s">
        <v>530</v>
      </c>
      <c r="T870" s="214" t="s">
        <v>365</v>
      </c>
      <c r="U870" s="214"/>
    </row>
    <row r="871">
      <c r="A871" s="221">
        <v>45937.06845290509</v>
      </c>
      <c r="B871" s="214" t="s">
        <v>132</v>
      </c>
      <c r="C871" s="214" t="s">
        <v>134</v>
      </c>
      <c r="D871" s="214">
        <v>2.0</v>
      </c>
      <c r="E871" s="214">
        <v>4.0</v>
      </c>
      <c r="F871" s="214" t="s">
        <v>1376</v>
      </c>
      <c r="G871" s="214" t="s">
        <v>61</v>
      </c>
      <c r="H871" s="214" t="s">
        <v>224</v>
      </c>
      <c r="I871" s="214"/>
      <c r="J871" s="222" t="s">
        <v>67</v>
      </c>
      <c r="K871" s="222">
        <v>18.5</v>
      </c>
      <c r="L871" s="222" t="s">
        <v>67</v>
      </c>
      <c r="M871" s="222">
        <v>46.5</v>
      </c>
      <c r="N871" s="214">
        <v>134.0</v>
      </c>
      <c r="O871" s="214">
        <v>171.0</v>
      </c>
      <c r="P871" s="214">
        <v>2.0</v>
      </c>
      <c r="Q871" s="214" t="b">
        <v>1</v>
      </c>
      <c r="R871" s="214">
        <v>100.0</v>
      </c>
      <c r="S871" s="214" t="s">
        <v>471</v>
      </c>
      <c r="T871" s="214" t="s">
        <v>321</v>
      </c>
      <c r="U871" s="214"/>
    </row>
    <row r="872">
      <c r="A872" s="221">
        <v>45937.06845290509</v>
      </c>
      <c r="B872" s="214" t="s">
        <v>132</v>
      </c>
      <c r="C872" s="214" t="s">
        <v>115</v>
      </c>
      <c r="D872" s="214">
        <v>4.0</v>
      </c>
      <c r="E872" s="214">
        <v>1.0</v>
      </c>
      <c r="F872" s="214" t="s">
        <v>1382</v>
      </c>
      <c r="G872" s="214" t="s">
        <v>532</v>
      </c>
      <c r="H872" s="214" t="s">
        <v>96</v>
      </c>
      <c r="I872" s="214"/>
      <c r="J872" s="222" t="s">
        <v>67</v>
      </c>
      <c r="K872" s="222">
        <v>-6.5</v>
      </c>
      <c r="L872" s="222" t="s">
        <v>67</v>
      </c>
      <c r="M872" s="222">
        <v>61.5</v>
      </c>
      <c r="N872" s="214">
        <v>180.0</v>
      </c>
      <c r="O872" s="214">
        <v>105.0</v>
      </c>
      <c r="P872" s="214">
        <v>2.0</v>
      </c>
      <c r="Q872" s="214" t="b">
        <v>0</v>
      </c>
      <c r="R872" s="214">
        <v>100.0</v>
      </c>
      <c r="S872" s="214" t="s">
        <v>317</v>
      </c>
      <c r="T872" s="214" t="s">
        <v>321</v>
      </c>
      <c r="U872" s="214"/>
    </row>
    <row r="873">
      <c r="A873" s="221">
        <v>45937.06845290509</v>
      </c>
      <c r="B873" s="214"/>
      <c r="C873" s="214"/>
      <c r="D873" s="214"/>
      <c r="E873" s="214"/>
      <c r="F873" s="214"/>
      <c r="G873" s="214"/>
      <c r="H873" s="214"/>
      <c r="I873" s="214"/>
      <c r="J873" s="222"/>
      <c r="K873" s="222"/>
      <c r="L873" s="222"/>
      <c r="M873" s="222"/>
      <c r="N873" s="214"/>
      <c r="O873" s="214"/>
      <c r="P873" s="214"/>
      <c r="Q873" s="214"/>
      <c r="R873" s="214"/>
      <c r="S873" s="214"/>
      <c r="T873" s="214"/>
      <c r="U873" s="214"/>
    </row>
    <row r="874">
      <c r="A874" s="221">
        <v>45937.06845290509</v>
      </c>
      <c r="B874" s="214" t="s">
        <v>493</v>
      </c>
      <c r="C874" s="214" t="s">
        <v>195</v>
      </c>
      <c r="D874" s="214">
        <v>2.0</v>
      </c>
      <c r="E874" s="214">
        <v>3.0</v>
      </c>
      <c r="F874" s="214"/>
      <c r="G874" s="214"/>
      <c r="H874" s="214"/>
      <c r="I874" s="214"/>
      <c r="J874" s="222"/>
      <c r="K874" s="222"/>
      <c r="L874" s="222"/>
      <c r="M874" s="222"/>
      <c r="N874" s="214">
        <v>103.0</v>
      </c>
      <c r="O874" s="214">
        <v>147.0</v>
      </c>
      <c r="P874" s="214">
        <v>0.0</v>
      </c>
      <c r="Q874" s="214" t="b">
        <v>1</v>
      </c>
      <c r="R874" s="214">
        <v>59.0</v>
      </c>
      <c r="S874" s="214" t="s">
        <v>317</v>
      </c>
      <c r="T874" s="214" t="s">
        <v>321</v>
      </c>
      <c r="U874" s="214"/>
    </row>
    <row r="875">
      <c r="A875" s="221">
        <v>45937.06845290509</v>
      </c>
      <c r="B875" s="214" t="s">
        <v>493</v>
      </c>
      <c r="C875" s="214" t="s">
        <v>108</v>
      </c>
      <c r="D875" s="214">
        <v>2.0</v>
      </c>
      <c r="E875" s="214">
        <v>4.0</v>
      </c>
      <c r="F875" s="214" t="s">
        <v>1383</v>
      </c>
      <c r="G875" s="214" t="s">
        <v>61</v>
      </c>
      <c r="H875" s="214" t="s">
        <v>238</v>
      </c>
      <c r="I875" s="214"/>
      <c r="J875" s="222" t="s">
        <v>67</v>
      </c>
      <c r="K875" s="222">
        <v>20.5</v>
      </c>
      <c r="L875" s="222" t="s">
        <v>67</v>
      </c>
      <c r="M875" s="222">
        <v>55.5</v>
      </c>
      <c r="N875" s="214">
        <v>112.0</v>
      </c>
      <c r="O875" s="214">
        <v>158.0</v>
      </c>
      <c r="P875" s="214">
        <v>2.0</v>
      </c>
      <c r="Q875" s="214" t="b">
        <v>0</v>
      </c>
      <c r="R875" s="214">
        <v>100.0</v>
      </c>
      <c r="S875" s="214" t="s">
        <v>361</v>
      </c>
      <c r="T875" s="214" t="s">
        <v>365</v>
      </c>
      <c r="U875" s="214"/>
    </row>
    <row r="876">
      <c r="A876" s="221">
        <v>45937.06845290509</v>
      </c>
      <c r="B876" s="214" t="s">
        <v>493</v>
      </c>
      <c r="C876" s="214" t="s">
        <v>120</v>
      </c>
      <c r="D876" s="214">
        <v>3.0</v>
      </c>
      <c r="E876" s="214">
        <v>3.0</v>
      </c>
      <c r="F876" s="214" t="s">
        <v>1364</v>
      </c>
      <c r="G876" s="214" t="s">
        <v>61</v>
      </c>
      <c r="H876" s="214" t="s">
        <v>193</v>
      </c>
      <c r="I876" s="214"/>
      <c r="J876" s="222" t="s">
        <v>67</v>
      </c>
      <c r="K876" s="222">
        <v>17.5</v>
      </c>
      <c r="L876" s="222" t="s">
        <v>67</v>
      </c>
      <c r="M876" s="222">
        <v>57.5</v>
      </c>
      <c r="N876" s="214">
        <v>174.0</v>
      </c>
      <c r="O876" s="214">
        <v>179.0</v>
      </c>
      <c r="P876" s="214">
        <v>2.0</v>
      </c>
      <c r="Q876" s="214" t="b">
        <v>0</v>
      </c>
      <c r="R876" s="214">
        <v>100.0</v>
      </c>
      <c r="S876" s="214" t="s">
        <v>317</v>
      </c>
      <c r="T876" s="214" t="s">
        <v>321</v>
      </c>
      <c r="U876" s="214"/>
    </row>
    <row r="877">
      <c r="A877" s="221">
        <v>45937.06845290509</v>
      </c>
      <c r="B877" s="214" t="s">
        <v>493</v>
      </c>
      <c r="C877" s="214" t="s">
        <v>138</v>
      </c>
      <c r="D877" s="214">
        <v>4.0</v>
      </c>
      <c r="E877" s="214">
        <v>1.0</v>
      </c>
      <c r="F877" s="214" t="s">
        <v>1357</v>
      </c>
      <c r="G877" s="214" t="s">
        <v>61</v>
      </c>
      <c r="H877" s="214" t="s">
        <v>62</v>
      </c>
      <c r="I877" s="214"/>
      <c r="J877" s="222" t="s">
        <v>67</v>
      </c>
      <c r="K877" s="222">
        <v>6.5</v>
      </c>
      <c r="L877" s="222" t="s">
        <v>67</v>
      </c>
      <c r="M877" s="222">
        <v>52.5</v>
      </c>
      <c r="N877" s="214">
        <v>150.0</v>
      </c>
      <c r="O877" s="214">
        <v>67.0</v>
      </c>
      <c r="P877" s="214">
        <v>2.0</v>
      </c>
      <c r="Q877" s="214" t="b">
        <v>0</v>
      </c>
      <c r="R877" s="214">
        <v>100.0</v>
      </c>
      <c r="S877" s="214" t="s">
        <v>407</v>
      </c>
      <c r="T877" s="214" t="s">
        <v>321</v>
      </c>
      <c r="U877" s="214"/>
    </row>
    <row r="878">
      <c r="A878" s="221">
        <v>45937.06845290509</v>
      </c>
      <c r="B878" s="214" t="s">
        <v>493</v>
      </c>
      <c r="C878" s="214" t="s">
        <v>143</v>
      </c>
      <c r="D878" s="214">
        <v>3.0</v>
      </c>
      <c r="E878" s="214">
        <v>2.0</v>
      </c>
      <c r="F878" s="214" t="s">
        <v>1390</v>
      </c>
      <c r="G878" s="214" t="s">
        <v>61</v>
      </c>
      <c r="H878" s="214" t="s">
        <v>493</v>
      </c>
      <c r="I878" s="214"/>
      <c r="J878" s="222" t="s">
        <v>67</v>
      </c>
      <c r="K878" s="222">
        <v>-11.5</v>
      </c>
      <c r="L878" s="222" t="s">
        <v>67</v>
      </c>
      <c r="M878" s="222">
        <v>41.5</v>
      </c>
      <c r="N878" s="214">
        <v>118.0</v>
      </c>
      <c r="O878" s="214">
        <v>85.0</v>
      </c>
      <c r="P878" s="214">
        <v>2.0</v>
      </c>
      <c r="Q878" s="214" t="b">
        <v>1</v>
      </c>
      <c r="R878" s="214">
        <v>100.0</v>
      </c>
      <c r="S878" s="214" t="s">
        <v>407</v>
      </c>
      <c r="T878" s="214" t="s">
        <v>321</v>
      </c>
      <c r="U878" s="214"/>
    </row>
    <row r="879">
      <c r="A879" s="221">
        <v>45937.06845290509</v>
      </c>
      <c r="B879" s="214" t="s">
        <v>493</v>
      </c>
      <c r="C879" s="214" t="s">
        <v>188</v>
      </c>
      <c r="D879" s="214">
        <v>4.0</v>
      </c>
      <c r="E879" s="214">
        <v>1.0</v>
      </c>
      <c r="F879" s="214" t="s">
        <v>1378</v>
      </c>
      <c r="G879" s="214" t="s">
        <v>61</v>
      </c>
      <c r="H879" s="214" t="s">
        <v>96</v>
      </c>
      <c r="I879" s="214"/>
      <c r="J879" s="222" t="s">
        <v>67</v>
      </c>
      <c r="K879" s="222">
        <v>-20.5</v>
      </c>
      <c r="L879" s="222" t="s">
        <v>67</v>
      </c>
      <c r="M879" s="222">
        <v>55.5</v>
      </c>
      <c r="N879" s="214">
        <v>166.0</v>
      </c>
      <c r="O879" s="214">
        <v>78.0</v>
      </c>
      <c r="P879" s="214">
        <v>2.0</v>
      </c>
      <c r="Q879" s="214" t="b">
        <v>0</v>
      </c>
      <c r="R879" s="214">
        <v>100.0</v>
      </c>
      <c r="S879" s="214" t="s">
        <v>471</v>
      </c>
      <c r="T879" s="214" t="s">
        <v>321</v>
      </c>
      <c r="U879" s="214"/>
    </row>
    <row r="880">
      <c r="A880" s="221">
        <v>45937.06845290509</v>
      </c>
      <c r="B880" s="214" t="s">
        <v>493</v>
      </c>
      <c r="C880" s="214" t="s">
        <v>123</v>
      </c>
      <c r="D880" s="214">
        <v>3.0</v>
      </c>
      <c r="E880" s="214">
        <v>2.0</v>
      </c>
      <c r="F880" s="214" t="s">
        <v>1368</v>
      </c>
      <c r="G880" s="214" t="s">
        <v>61</v>
      </c>
      <c r="H880" s="214" t="s">
        <v>311</v>
      </c>
      <c r="I880" s="214"/>
      <c r="J880" s="222" t="s">
        <v>67</v>
      </c>
      <c r="K880" s="222">
        <v>6.5</v>
      </c>
      <c r="L880" s="222" t="s">
        <v>67</v>
      </c>
      <c r="M880" s="222">
        <v>51.5</v>
      </c>
      <c r="N880" s="214">
        <v>135.0</v>
      </c>
      <c r="O880" s="214">
        <v>106.0</v>
      </c>
      <c r="P880" s="214">
        <v>2.0</v>
      </c>
      <c r="Q880" s="214" t="b">
        <v>0</v>
      </c>
      <c r="R880" s="214">
        <v>100.0</v>
      </c>
      <c r="S880" s="214" t="s">
        <v>317</v>
      </c>
      <c r="T880" s="214" t="s">
        <v>321</v>
      </c>
      <c r="U880" s="214"/>
    </row>
    <row r="881">
      <c r="A881" s="221">
        <v>45937.06845290509</v>
      </c>
      <c r="B881" s="214" t="s">
        <v>493</v>
      </c>
      <c r="C881" s="214" t="s">
        <v>106</v>
      </c>
      <c r="D881" s="214">
        <v>3.0</v>
      </c>
      <c r="E881" s="214">
        <v>2.0</v>
      </c>
      <c r="F881" s="214" t="s">
        <v>1369</v>
      </c>
      <c r="G881" s="214" t="s">
        <v>61</v>
      </c>
      <c r="H881" s="214" t="s">
        <v>311</v>
      </c>
      <c r="I881" s="214"/>
      <c r="J881" s="222" t="s">
        <v>67</v>
      </c>
      <c r="K881" s="222">
        <v>6.5</v>
      </c>
      <c r="L881" s="222" t="s">
        <v>67</v>
      </c>
      <c r="M881" s="222">
        <v>58.5</v>
      </c>
      <c r="N881" s="214">
        <v>151.0</v>
      </c>
      <c r="O881" s="214">
        <v>125.0</v>
      </c>
      <c r="P881" s="214">
        <v>2.0</v>
      </c>
      <c r="Q881" s="214" t="b">
        <v>1</v>
      </c>
      <c r="R881" s="214">
        <v>100.0</v>
      </c>
      <c r="S881" s="214" t="s">
        <v>361</v>
      </c>
      <c r="T881" s="214" t="s">
        <v>365</v>
      </c>
      <c r="U881" s="214"/>
    </row>
    <row r="882">
      <c r="A882" s="221">
        <v>45937.06845290509</v>
      </c>
      <c r="B882" s="214" t="s">
        <v>493</v>
      </c>
      <c r="C882" s="214" t="s">
        <v>146</v>
      </c>
      <c r="D882" s="214">
        <v>2.0</v>
      </c>
      <c r="E882" s="214">
        <v>3.0</v>
      </c>
      <c r="F882" s="214" t="s">
        <v>1387</v>
      </c>
      <c r="G882" s="214" t="s">
        <v>61</v>
      </c>
      <c r="H882" s="214" t="s">
        <v>156</v>
      </c>
      <c r="I882" s="214"/>
      <c r="J882" s="222" t="s">
        <v>67</v>
      </c>
      <c r="K882" s="222">
        <v>9.5</v>
      </c>
      <c r="L882" s="222" t="s">
        <v>67</v>
      </c>
      <c r="M882" s="222">
        <v>55.5</v>
      </c>
      <c r="N882" s="214">
        <v>139.0</v>
      </c>
      <c r="O882" s="214">
        <v>149.0</v>
      </c>
      <c r="P882" s="214">
        <v>2.0</v>
      </c>
      <c r="Q882" s="214" t="b">
        <v>0</v>
      </c>
      <c r="R882" s="214">
        <v>100.0</v>
      </c>
      <c r="S882" s="214" t="s">
        <v>407</v>
      </c>
      <c r="T882" s="214" t="s">
        <v>321</v>
      </c>
      <c r="U882" s="214"/>
    </row>
    <row r="883">
      <c r="A883" s="221">
        <v>45937.06845290509</v>
      </c>
      <c r="B883" s="214" t="s">
        <v>493</v>
      </c>
      <c r="C883" s="214" t="s">
        <v>110</v>
      </c>
      <c r="D883" s="214">
        <v>1.0</v>
      </c>
      <c r="E883" s="214">
        <v>4.0</v>
      </c>
      <c r="F883" s="214" t="s">
        <v>1385</v>
      </c>
      <c r="G883" s="214" t="s">
        <v>61</v>
      </c>
      <c r="H883" s="214" t="s">
        <v>238</v>
      </c>
      <c r="I883" s="214"/>
      <c r="J883" s="222" t="s">
        <v>67</v>
      </c>
      <c r="K883" s="222">
        <v>6.5</v>
      </c>
      <c r="L883" s="222" t="s">
        <v>67</v>
      </c>
      <c r="M883" s="222">
        <v>56.5</v>
      </c>
      <c r="N883" s="214">
        <v>157.0</v>
      </c>
      <c r="O883" s="214">
        <v>158.0</v>
      </c>
      <c r="P883" s="214">
        <v>2.0</v>
      </c>
      <c r="Q883" s="214" t="b">
        <v>0</v>
      </c>
      <c r="R883" s="214">
        <v>100.0</v>
      </c>
      <c r="S883" s="214" t="s">
        <v>317</v>
      </c>
      <c r="T883" s="214" t="s">
        <v>321</v>
      </c>
      <c r="U883" s="214"/>
    </row>
    <row r="884">
      <c r="A884" s="221">
        <v>45937.06845290509</v>
      </c>
      <c r="B884" s="214"/>
      <c r="C884" s="214"/>
      <c r="D884" s="214"/>
      <c r="E884" s="214"/>
      <c r="F884" s="214"/>
      <c r="G884" s="214"/>
      <c r="H884" s="214"/>
      <c r="I884" s="214"/>
      <c r="J884" s="222"/>
      <c r="K884" s="222"/>
      <c r="L884" s="222"/>
      <c r="M884" s="222"/>
      <c r="N884" s="214"/>
      <c r="O884" s="214"/>
      <c r="P884" s="214"/>
      <c r="Q884" s="214"/>
      <c r="R884" s="214"/>
      <c r="S884" s="214"/>
      <c r="T884" s="214"/>
      <c r="U884" s="214"/>
    </row>
    <row r="885">
      <c r="A885" s="221">
        <v>45937.06845290509</v>
      </c>
      <c r="B885" s="214" t="s">
        <v>493</v>
      </c>
      <c r="C885" s="214" t="s">
        <v>200</v>
      </c>
      <c r="D885" s="214">
        <v>3.0</v>
      </c>
      <c r="E885" s="214">
        <v>2.0</v>
      </c>
      <c r="F885" s="214"/>
      <c r="G885" s="214"/>
      <c r="H885" s="214"/>
      <c r="I885" s="214"/>
      <c r="J885" s="222"/>
      <c r="K885" s="222"/>
      <c r="L885" s="222"/>
      <c r="M885" s="222"/>
      <c r="N885" s="214">
        <v>103.0</v>
      </c>
      <c r="O885" s="214">
        <v>144.0</v>
      </c>
      <c r="P885" s="214">
        <v>0.0</v>
      </c>
      <c r="Q885" s="214" t="b">
        <v>1</v>
      </c>
      <c r="R885" s="214">
        <v>59.0</v>
      </c>
      <c r="S885" s="214" t="s">
        <v>680</v>
      </c>
      <c r="T885" s="214" t="s">
        <v>365</v>
      </c>
      <c r="U885" s="214"/>
    </row>
    <row r="886">
      <c r="A886" s="221">
        <v>45937.06845290509</v>
      </c>
      <c r="B886" s="214" t="s">
        <v>493</v>
      </c>
      <c r="C886" s="214" t="s">
        <v>546</v>
      </c>
      <c r="D886" s="214">
        <v>3.0</v>
      </c>
      <c r="E886" s="214">
        <v>2.0</v>
      </c>
      <c r="F886" s="214"/>
      <c r="G886" s="214"/>
      <c r="H886" s="214"/>
      <c r="I886" s="214"/>
      <c r="J886" s="222"/>
      <c r="K886" s="222"/>
      <c r="L886" s="222"/>
      <c r="M886" s="222"/>
      <c r="N886" s="214">
        <v>155.0</v>
      </c>
      <c r="O886" s="214">
        <v>131.0</v>
      </c>
      <c r="P886" s="214">
        <v>0.0</v>
      </c>
      <c r="Q886" s="214" t="b">
        <v>1</v>
      </c>
      <c r="R886" s="214">
        <v>59.0</v>
      </c>
      <c r="S886" s="214" t="s">
        <v>441</v>
      </c>
      <c r="T886" s="214" t="s">
        <v>365</v>
      </c>
      <c r="U886" s="214"/>
    </row>
    <row r="887">
      <c r="A887" s="221">
        <v>45937.06845290509</v>
      </c>
      <c r="B887" s="214" t="s">
        <v>493</v>
      </c>
      <c r="C887" s="214" t="s">
        <v>207</v>
      </c>
      <c r="D887" s="214">
        <v>4.0</v>
      </c>
      <c r="E887" s="214">
        <v>2.0</v>
      </c>
      <c r="F887" s="214" t="s">
        <v>1384</v>
      </c>
      <c r="G887" s="214" t="s">
        <v>61</v>
      </c>
      <c r="H887" s="214" t="s">
        <v>238</v>
      </c>
      <c r="I887" s="214"/>
      <c r="J887" s="222" t="s">
        <v>67</v>
      </c>
      <c r="K887" s="222">
        <v>14.5</v>
      </c>
      <c r="L887" s="222" t="s">
        <v>67</v>
      </c>
      <c r="M887" s="222">
        <v>55.5</v>
      </c>
      <c r="N887" s="214">
        <v>202.0</v>
      </c>
      <c r="O887" s="214">
        <v>119.0</v>
      </c>
      <c r="P887" s="214">
        <v>2.0</v>
      </c>
      <c r="Q887" s="214" t="b">
        <v>0</v>
      </c>
      <c r="R887" s="214">
        <v>100.0</v>
      </c>
      <c r="S887" s="214" t="s">
        <v>556</v>
      </c>
      <c r="T887" s="214" t="s">
        <v>321</v>
      </c>
      <c r="U887" s="214"/>
    </row>
    <row r="888">
      <c r="A888" s="221">
        <v>45937.06845290509</v>
      </c>
      <c r="B888" s="214" t="s">
        <v>493</v>
      </c>
      <c r="C888" s="214" t="s">
        <v>170</v>
      </c>
      <c r="D888" s="214">
        <v>1.0</v>
      </c>
      <c r="E888" s="214">
        <v>4.0</v>
      </c>
      <c r="F888" s="214" t="s">
        <v>1350</v>
      </c>
      <c r="G888" s="214" t="s">
        <v>61</v>
      </c>
      <c r="H888" s="214" t="s">
        <v>95</v>
      </c>
      <c r="I888" s="214"/>
      <c r="J888" s="222" t="s">
        <v>67</v>
      </c>
      <c r="K888" s="222">
        <v>45.5</v>
      </c>
      <c r="L888" s="222" t="s">
        <v>67</v>
      </c>
      <c r="M888" s="222">
        <v>52.5</v>
      </c>
      <c r="N888" s="214">
        <v>73.0</v>
      </c>
      <c r="O888" s="214">
        <v>220.0</v>
      </c>
      <c r="P888" s="214">
        <v>2.0</v>
      </c>
      <c r="Q888" s="214" t="b">
        <v>0</v>
      </c>
      <c r="R888" s="214">
        <v>100.0</v>
      </c>
      <c r="S888" s="214" t="s">
        <v>530</v>
      </c>
      <c r="T888" s="214" t="s">
        <v>365</v>
      </c>
      <c r="U888" s="214"/>
    </row>
    <row r="889">
      <c r="A889" s="221">
        <v>45937.06845290509</v>
      </c>
      <c r="B889" s="214" t="s">
        <v>493</v>
      </c>
      <c r="C889" s="214" t="s">
        <v>219</v>
      </c>
      <c r="D889" s="214">
        <v>3.0</v>
      </c>
      <c r="E889" s="214">
        <v>2.0</v>
      </c>
      <c r="F889" s="214" t="s">
        <v>1390</v>
      </c>
      <c r="G889" s="214" t="s">
        <v>61</v>
      </c>
      <c r="H889" s="214" t="s">
        <v>493</v>
      </c>
      <c r="I889" s="214"/>
      <c r="J889" s="222" t="s">
        <v>67</v>
      </c>
      <c r="K889" s="222">
        <v>11.5</v>
      </c>
      <c r="L889" s="222" t="s">
        <v>67</v>
      </c>
      <c r="M889" s="222">
        <v>41.5</v>
      </c>
      <c r="N889" s="214">
        <v>95.0</v>
      </c>
      <c r="O889" s="214">
        <v>156.0</v>
      </c>
      <c r="P889" s="214">
        <v>2.0</v>
      </c>
      <c r="Q889" s="214" t="b">
        <v>0</v>
      </c>
      <c r="R889" s="214">
        <v>100.0</v>
      </c>
      <c r="S889" s="214" t="s">
        <v>441</v>
      </c>
      <c r="T889" s="214" t="s">
        <v>365</v>
      </c>
      <c r="U889" s="214"/>
    </row>
    <row r="890">
      <c r="A890" s="221">
        <v>45944.06859804398</v>
      </c>
      <c r="B890" s="214" t="s">
        <v>43</v>
      </c>
      <c r="C890" s="214" t="s">
        <v>118</v>
      </c>
      <c r="D890" s="214">
        <v>2.0</v>
      </c>
      <c r="E890" s="214">
        <v>3.0</v>
      </c>
      <c r="F890" s="214"/>
      <c r="G890" s="214"/>
      <c r="H890" s="214"/>
      <c r="I890" s="214"/>
      <c r="J890" s="222"/>
      <c r="K890" s="222"/>
      <c r="L890" s="222"/>
      <c r="M890" s="222"/>
      <c r="N890" s="214">
        <v>94.0</v>
      </c>
      <c r="O890" s="214">
        <v>129.0</v>
      </c>
      <c r="P890" s="214">
        <v>0.0</v>
      </c>
      <c r="Q890" s="214" t="b">
        <v>1</v>
      </c>
      <c r="R890" s="214">
        <v>59.0</v>
      </c>
      <c r="S890" s="214" t="s">
        <v>317</v>
      </c>
      <c r="T890" s="214" t="s">
        <v>321</v>
      </c>
      <c r="U890" s="214"/>
    </row>
    <row r="891">
      <c r="A891" s="221">
        <v>45944.06859804398</v>
      </c>
      <c r="B891" s="214" t="s">
        <v>43</v>
      </c>
      <c r="C891" s="214" t="s">
        <v>228</v>
      </c>
      <c r="D891" s="214">
        <v>3.0</v>
      </c>
      <c r="E891" s="214">
        <v>2.0</v>
      </c>
      <c r="F891" s="214"/>
      <c r="G891" s="214"/>
      <c r="H891" s="214"/>
      <c r="I891" s="214"/>
      <c r="J891" s="222"/>
      <c r="K891" s="222"/>
      <c r="L891" s="222"/>
      <c r="M891" s="222"/>
      <c r="N891" s="214">
        <v>111.0</v>
      </c>
      <c r="O891" s="214">
        <v>114.0</v>
      </c>
      <c r="P891" s="214">
        <v>0.0</v>
      </c>
      <c r="Q891" s="214" t="b">
        <v>1</v>
      </c>
      <c r="R891" s="214">
        <v>59.0</v>
      </c>
      <c r="S891" s="214" t="s">
        <v>535</v>
      </c>
      <c r="T891" s="214" t="s">
        <v>365</v>
      </c>
      <c r="U891" s="214"/>
    </row>
    <row r="892">
      <c r="A892" s="221">
        <v>45944.06859804398</v>
      </c>
      <c r="B892" s="214" t="s">
        <v>43</v>
      </c>
      <c r="C892" s="214" t="s">
        <v>189</v>
      </c>
      <c r="D892" s="214">
        <v>4.0</v>
      </c>
      <c r="E892" s="214">
        <v>2.0</v>
      </c>
      <c r="F892" s="214" t="s">
        <v>1391</v>
      </c>
      <c r="G892" s="214" t="s">
        <v>61</v>
      </c>
      <c r="H892" s="214" t="s">
        <v>95</v>
      </c>
      <c r="I892" s="214"/>
      <c r="J892" s="222" t="s">
        <v>67</v>
      </c>
      <c r="K892" s="222">
        <v>7.5</v>
      </c>
      <c r="L892" s="222" t="s">
        <v>67</v>
      </c>
      <c r="M892" s="222">
        <v>45.5</v>
      </c>
      <c r="N892" s="214">
        <v>156.0</v>
      </c>
      <c r="O892" s="214">
        <v>148.0</v>
      </c>
      <c r="P892" s="214">
        <v>2.0</v>
      </c>
      <c r="Q892" s="214" t="b">
        <v>1</v>
      </c>
      <c r="R892" s="214">
        <v>100.0</v>
      </c>
      <c r="S892" s="214" t="s">
        <v>471</v>
      </c>
      <c r="T892" s="214" t="s">
        <v>321</v>
      </c>
      <c r="U892" s="214"/>
    </row>
    <row r="893">
      <c r="A893" s="221">
        <v>45944.06859804398</v>
      </c>
      <c r="B893" s="214" t="s">
        <v>43</v>
      </c>
      <c r="C893" s="214" t="s">
        <v>45</v>
      </c>
      <c r="D893" s="214">
        <v>3.0</v>
      </c>
      <c r="E893" s="214">
        <v>3.0</v>
      </c>
      <c r="F893" s="214" t="s">
        <v>1392</v>
      </c>
      <c r="G893" s="214" t="s">
        <v>61</v>
      </c>
      <c r="H893" s="214" t="s">
        <v>96</v>
      </c>
      <c r="I893" s="214"/>
      <c r="J893" s="222" t="s">
        <v>67</v>
      </c>
      <c r="K893" s="222">
        <v>3.5</v>
      </c>
      <c r="L893" s="222" t="s">
        <v>67</v>
      </c>
      <c r="M893" s="222">
        <v>46.5</v>
      </c>
      <c r="N893" s="214">
        <v>148.0</v>
      </c>
      <c r="O893" s="214">
        <v>102.0</v>
      </c>
      <c r="P893" s="214">
        <v>2.0</v>
      </c>
      <c r="Q893" s="214" t="b">
        <v>0</v>
      </c>
      <c r="R893" s="214">
        <v>100.0</v>
      </c>
      <c r="S893" s="214" t="s">
        <v>556</v>
      </c>
      <c r="T893" s="214" t="s">
        <v>321</v>
      </c>
      <c r="U893" s="214"/>
    </row>
    <row r="894">
      <c r="A894" s="221">
        <v>45944.06859804398</v>
      </c>
      <c r="B894" s="214" t="s">
        <v>43</v>
      </c>
      <c r="C894" s="214" t="s">
        <v>133</v>
      </c>
      <c r="D894" s="214">
        <v>6.0</v>
      </c>
      <c r="E894" s="214">
        <v>0.0</v>
      </c>
      <c r="F894" s="214" t="s">
        <v>1393</v>
      </c>
      <c r="G894" s="214" t="s">
        <v>61</v>
      </c>
      <c r="H894" s="214" t="s">
        <v>193</v>
      </c>
      <c r="I894" s="214"/>
      <c r="J894" s="222" t="s">
        <v>67</v>
      </c>
      <c r="K894" s="222">
        <v>-14.5</v>
      </c>
      <c r="L894" s="222" t="s">
        <v>67</v>
      </c>
      <c r="M894" s="222">
        <v>58.5</v>
      </c>
      <c r="N894" s="214">
        <v>285.0</v>
      </c>
      <c r="O894" s="214">
        <v>73.0</v>
      </c>
      <c r="P894" s="214">
        <v>2.0</v>
      </c>
      <c r="Q894" s="214" t="b">
        <v>0</v>
      </c>
      <c r="R894" s="214">
        <v>100.0</v>
      </c>
      <c r="S894" s="214" t="s">
        <v>471</v>
      </c>
      <c r="T894" s="214" t="s">
        <v>321</v>
      </c>
      <c r="U894" s="214"/>
    </row>
    <row r="895">
      <c r="A895" s="221">
        <v>45944.06859804398</v>
      </c>
      <c r="B895" s="214" t="s">
        <v>43</v>
      </c>
      <c r="C895" s="214" t="s">
        <v>157</v>
      </c>
      <c r="D895" s="214">
        <v>3.0</v>
      </c>
      <c r="E895" s="214">
        <v>4.0</v>
      </c>
      <c r="F895" s="214" t="s">
        <v>1394</v>
      </c>
      <c r="G895" s="214" t="s">
        <v>61</v>
      </c>
      <c r="H895" s="214" t="s">
        <v>311</v>
      </c>
      <c r="I895" s="214"/>
      <c r="J895" s="222" t="s">
        <v>67</v>
      </c>
      <c r="K895" s="222">
        <v>10.0</v>
      </c>
      <c r="L895" s="222" t="s">
        <v>67</v>
      </c>
      <c r="M895" s="222">
        <v>47.5</v>
      </c>
      <c r="N895" s="214">
        <v>136.0</v>
      </c>
      <c r="O895" s="214">
        <v>190.0</v>
      </c>
      <c r="P895" s="214">
        <v>2.0</v>
      </c>
      <c r="Q895" s="214" t="b">
        <v>0</v>
      </c>
      <c r="R895" s="214">
        <v>100.0</v>
      </c>
      <c r="S895" s="214" t="s">
        <v>361</v>
      </c>
      <c r="T895" s="214" t="s">
        <v>365</v>
      </c>
      <c r="U895" s="214"/>
    </row>
    <row r="896">
      <c r="A896" s="221">
        <v>45944.06859804398</v>
      </c>
      <c r="B896" s="214" t="s">
        <v>43</v>
      </c>
      <c r="C896" s="214" t="s">
        <v>176</v>
      </c>
      <c r="D896" s="214">
        <v>1.0</v>
      </c>
      <c r="E896" s="214">
        <v>5.0</v>
      </c>
      <c r="F896" s="214" t="s">
        <v>1395</v>
      </c>
      <c r="G896" s="214" t="s">
        <v>61</v>
      </c>
      <c r="H896" s="214" t="s">
        <v>224</v>
      </c>
      <c r="I896" s="214"/>
      <c r="J896" s="222" t="s">
        <v>67</v>
      </c>
      <c r="K896" s="222">
        <v>6.5</v>
      </c>
      <c r="L896" s="222" t="s">
        <v>67</v>
      </c>
      <c r="M896" s="222">
        <v>64.5</v>
      </c>
      <c r="N896" s="214">
        <v>230.0</v>
      </c>
      <c r="O896" s="214">
        <v>240.0</v>
      </c>
      <c r="P896" s="214">
        <v>2.0</v>
      </c>
      <c r="Q896" s="214" t="b">
        <v>1</v>
      </c>
      <c r="R896" s="214">
        <v>100.0</v>
      </c>
      <c r="S896" s="214" t="s">
        <v>525</v>
      </c>
      <c r="T896" s="214" t="s">
        <v>365</v>
      </c>
      <c r="U896" s="214"/>
    </row>
    <row r="897">
      <c r="A897" s="221">
        <v>45944.06859804398</v>
      </c>
      <c r="B897" s="214" t="s">
        <v>43</v>
      </c>
      <c r="C897" s="214" t="s">
        <v>422</v>
      </c>
      <c r="D897" s="214">
        <v>4.0</v>
      </c>
      <c r="E897" s="214">
        <v>2.0</v>
      </c>
      <c r="F897" s="214" t="s">
        <v>1396</v>
      </c>
      <c r="G897" s="214" t="s">
        <v>61</v>
      </c>
      <c r="H897" s="214" t="s">
        <v>249</v>
      </c>
      <c r="I897" s="214"/>
      <c r="J897" s="222" t="s">
        <v>67</v>
      </c>
      <c r="K897" s="222">
        <v>-2.5</v>
      </c>
      <c r="L897" s="222" t="s">
        <v>67</v>
      </c>
      <c r="M897" s="222">
        <v>55.5</v>
      </c>
      <c r="N897" s="214">
        <v>158.0</v>
      </c>
      <c r="O897" s="214">
        <v>152.0</v>
      </c>
      <c r="P897" s="214">
        <v>2.0</v>
      </c>
      <c r="Q897" s="214" t="b">
        <v>1</v>
      </c>
      <c r="R897" s="214">
        <v>100.0</v>
      </c>
      <c r="S897" s="214" t="s">
        <v>441</v>
      </c>
      <c r="T897" s="214" t="s">
        <v>365</v>
      </c>
      <c r="U897" s="214"/>
    </row>
    <row r="898">
      <c r="A898" s="221">
        <v>45944.06859804398</v>
      </c>
      <c r="B898" s="214" t="s">
        <v>43</v>
      </c>
      <c r="C898" s="214" t="s">
        <v>145</v>
      </c>
      <c r="D898" s="214">
        <v>3.0</v>
      </c>
      <c r="E898" s="214">
        <v>3.0</v>
      </c>
      <c r="F898" s="214" t="s">
        <v>1397</v>
      </c>
      <c r="G898" s="214" t="s">
        <v>61</v>
      </c>
      <c r="H898" s="214" t="s">
        <v>493</v>
      </c>
      <c r="I898" s="214"/>
      <c r="J898" s="222" t="s">
        <v>67</v>
      </c>
      <c r="K898" s="222">
        <v>-22.5</v>
      </c>
      <c r="L898" s="222" t="s">
        <v>67</v>
      </c>
      <c r="M898" s="222">
        <v>47.5</v>
      </c>
      <c r="N898" s="214">
        <v>214.0</v>
      </c>
      <c r="O898" s="214">
        <v>111.0</v>
      </c>
      <c r="P898" s="214">
        <v>2.0</v>
      </c>
      <c r="Q898" s="214" t="b">
        <v>0</v>
      </c>
      <c r="R898" s="214">
        <v>100.0</v>
      </c>
      <c r="S898" s="214" t="s">
        <v>407</v>
      </c>
      <c r="T898" s="214" t="s">
        <v>321</v>
      </c>
      <c r="U898" s="214"/>
    </row>
    <row r="899">
      <c r="A899" s="221">
        <v>45944.06859804398</v>
      </c>
      <c r="B899" s="214" t="s">
        <v>43</v>
      </c>
      <c r="C899" s="214" t="s">
        <v>527</v>
      </c>
      <c r="D899" s="214">
        <v>0.0</v>
      </c>
      <c r="E899" s="214">
        <v>6.0</v>
      </c>
      <c r="F899" s="214" t="s">
        <v>1398</v>
      </c>
      <c r="G899" s="214" t="s">
        <v>61</v>
      </c>
      <c r="H899" s="214" t="s">
        <v>493</v>
      </c>
      <c r="I899" s="214"/>
      <c r="J899" s="222" t="s">
        <v>67</v>
      </c>
      <c r="K899" s="222">
        <v>2.5</v>
      </c>
      <c r="L899" s="222" t="s">
        <v>67</v>
      </c>
      <c r="M899" s="222">
        <v>51.5</v>
      </c>
      <c r="N899" s="214">
        <v>58.0</v>
      </c>
      <c r="O899" s="214">
        <v>221.0</v>
      </c>
      <c r="P899" s="214">
        <v>2.0</v>
      </c>
      <c r="Q899" s="214" t="b">
        <v>0</v>
      </c>
      <c r="R899" s="214">
        <v>100.0</v>
      </c>
      <c r="S899" s="214" t="s">
        <v>530</v>
      </c>
      <c r="T899" s="214" t="s">
        <v>365</v>
      </c>
      <c r="U899" s="214"/>
    </row>
    <row r="900">
      <c r="A900" s="221">
        <v>45944.06859804398</v>
      </c>
      <c r="B900" s="214"/>
      <c r="C900" s="214"/>
      <c r="D900" s="214"/>
      <c r="E900" s="214"/>
      <c r="F900" s="214"/>
      <c r="G900" s="214"/>
      <c r="H900" s="214"/>
      <c r="I900" s="214"/>
      <c r="J900" s="222"/>
      <c r="K900" s="222"/>
      <c r="L900" s="222"/>
      <c r="M900" s="222"/>
      <c r="N900" s="214"/>
      <c r="O900" s="214"/>
      <c r="P900" s="214"/>
      <c r="Q900" s="214"/>
      <c r="R900" s="214"/>
      <c r="S900" s="214"/>
      <c r="T900" s="214"/>
      <c r="U900" s="214"/>
    </row>
    <row r="901">
      <c r="A901" s="221">
        <v>45944.06859804398</v>
      </c>
      <c r="B901" s="214" t="s">
        <v>95</v>
      </c>
      <c r="C901" s="214" t="s">
        <v>198</v>
      </c>
      <c r="D901" s="214">
        <v>5.0</v>
      </c>
      <c r="E901" s="214">
        <v>1.0</v>
      </c>
      <c r="F901" s="214" t="s">
        <v>1391</v>
      </c>
      <c r="G901" s="214" t="s">
        <v>61</v>
      </c>
      <c r="H901" s="214" t="s">
        <v>43</v>
      </c>
      <c r="I901" s="214"/>
      <c r="J901" s="222" t="s">
        <v>67</v>
      </c>
      <c r="K901" s="222">
        <v>-7.5</v>
      </c>
      <c r="L901" s="222" t="s">
        <v>67</v>
      </c>
      <c r="M901" s="222">
        <v>45.5</v>
      </c>
      <c r="N901" s="214">
        <v>237.0</v>
      </c>
      <c r="O901" s="214">
        <v>83.0</v>
      </c>
      <c r="P901" s="214">
        <v>2.0</v>
      </c>
      <c r="Q901" s="214" t="b">
        <v>0</v>
      </c>
      <c r="R901" s="214">
        <v>100.0</v>
      </c>
      <c r="S901" s="214" t="s">
        <v>471</v>
      </c>
      <c r="T901" s="214" t="s">
        <v>321</v>
      </c>
      <c r="U901" s="214"/>
    </row>
    <row r="902">
      <c r="A902" s="221">
        <v>45944.06859804398</v>
      </c>
      <c r="B902" s="214" t="s">
        <v>95</v>
      </c>
      <c r="C902" s="214" t="s">
        <v>177</v>
      </c>
      <c r="D902" s="214">
        <v>4.0</v>
      </c>
      <c r="E902" s="214">
        <v>2.0</v>
      </c>
      <c r="F902" s="214" t="s">
        <v>1401</v>
      </c>
      <c r="G902" s="214" t="s">
        <v>61</v>
      </c>
      <c r="H902" s="214" t="s">
        <v>193</v>
      </c>
      <c r="I902" s="214"/>
      <c r="J902" s="222" t="s">
        <v>67</v>
      </c>
      <c r="K902" s="222">
        <v>-16.5</v>
      </c>
      <c r="L902" s="222" t="s">
        <v>67</v>
      </c>
      <c r="M902" s="222">
        <v>58.5</v>
      </c>
      <c r="N902" s="214">
        <v>202.0</v>
      </c>
      <c r="O902" s="214">
        <v>152.0</v>
      </c>
      <c r="P902" s="214">
        <v>2.0</v>
      </c>
      <c r="Q902" s="214" t="b">
        <v>0</v>
      </c>
      <c r="R902" s="214">
        <v>100.0</v>
      </c>
      <c r="S902" s="214" t="s">
        <v>525</v>
      </c>
      <c r="T902" s="214" t="s">
        <v>365</v>
      </c>
      <c r="U902" s="214"/>
    </row>
    <row r="903">
      <c r="A903" s="221">
        <v>45944.06859804398</v>
      </c>
      <c r="B903" s="214" t="s">
        <v>95</v>
      </c>
      <c r="C903" s="214" t="s">
        <v>197</v>
      </c>
      <c r="D903" s="214">
        <v>5.0</v>
      </c>
      <c r="E903" s="214">
        <v>1.0</v>
      </c>
      <c r="F903" s="214" t="s">
        <v>1402</v>
      </c>
      <c r="G903" s="214" t="s">
        <v>61</v>
      </c>
      <c r="H903" s="214" t="s">
        <v>311</v>
      </c>
      <c r="I903" s="214"/>
      <c r="J903" s="222" t="s">
        <v>67</v>
      </c>
      <c r="K903" s="222">
        <v>-2.5</v>
      </c>
      <c r="L903" s="222" t="s">
        <v>67</v>
      </c>
      <c r="M903" s="222">
        <v>56.5</v>
      </c>
      <c r="N903" s="214">
        <v>273.0</v>
      </c>
      <c r="O903" s="214">
        <v>128.0</v>
      </c>
      <c r="P903" s="214">
        <v>2.0</v>
      </c>
      <c r="Q903" s="214" t="b">
        <v>1</v>
      </c>
      <c r="R903" s="214">
        <v>100.0</v>
      </c>
      <c r="S903" s="214" t="s">
        <v>407</v>
      </c>
      <c r="T903" s="214" t="s">
        <v>321</v>
      </c>
      <c r="U903" s="214"/>
    </row>
    <row r="904">
      <c r="A904" s="221">
        <v>45944.06859804398</v>
      </c>
      <c r="B904" s="214" t="s">
        <v>95</v>
      </c>
      <c r="C904" s="214" t="s">
        <v>130</v>
      </c>
      <c r="D904" s="214">
        <v>4.0</v>
      </c>
      <c r="E904" s="214">
        <v>2.0</v>
      </c>
      <c r="F904" s="214" t="s">
        <v>1403</v>
      </c>
      <c r="G904" s="214" t="s">
        <v>61</v>
      </c>
      <c r="H904" s="214" t="s">
        <v>62</v>
      </c>
      <c r="I904" s="214"/>
      <c r="J904" s="222" t="s">
        <v>67</v>
      </c>
      <c r="K904" s="222">
        <v>-1.5</v>
      </c>
      <c r="L904" s="222" t="s">
        <v>67</v>
      </c>
      <c r="M904" s="222">
        <v>55.5</v>
      </c>
      <c r="N904" s="214">
        <v>212.0</v>
      </c>
      <c r="O904" s="214">
        <v>148.0</v>
      </c>
      <c r="P904" s="214">
        <v>2.0</v>
      </c>
      <c r="Q904" s="214" t="b">
        <v>1</v>
      </c>
      <c r="R904" s="214">
        <v>100.0</v>
      </c>
      <c r="S904" s="214" t="s">
        <v>471</v>
      </c>
      <c r="T904" s="214" t="s">
        <v>321</v>
      </c>
      <c r="U904" s="214"/>
    </row>
    <row r="905">
      <c r="A905" s="221">
        <v>45944.06859804398</v>
      </c>
      <c r="B905" s="214" t="s">
        <v>95</v>
      </c>
      <c r="C905" s="214" t="s">
        <v>117</v>
      </c>
      <c r="D905" s="214">
        <v>4.0</v>
      </c>
      <c r="E905" s="214">
        <v>3.0</v>
      </c>
      <c r="F905" s="214" t="s">
        <v>1404</v>
      </c>
      <c r="G905" s="214" t="s">
        <v>61</v>
      </c>
      <c r="H905" s="214" t="s">
        <v>96</v>
      </c>
      <c r="I905" s="214"/>
      <c r="J905" s="222" t="s">
        <v>67</v>
      </c>
      <c r="K905" s="222">
        <v>22.5</v>
      </c>
      <c r="L905" s="222" t="s">
        <v>67</v>
      </c>
      <c r="M905" s="222">
        <v>58.5</v>
      </c>
      <c r="N905" s="214">
        <v>210.0</v>
      </c>
      <c r="O905" s="214">
        <v>186.0</v>
      </c>
      <c r="P905" s="214">
        <v>2.0</v>
      </c>
      <c r="Q905" s="214" t="b">
        <v>1</v>
      </c>
      <c r="R905" s="214">
        <v>100.0</v>
      </c>
      <c r="S905" s="214" t="s">
        <v>317</v>
      </c>
      <c r="T905" s="214" t="s">
        <v>321</v>
      </c>
      <c r="U905" s="214"/>
    </row>
    <row r="906">
      <c r="A906" s="221">
        <v>45944.06859804398</v>
      </c>
      <c r="B906" s="214" t="s">
        <v>95</v>
      </c>
      <c r="C906" s="214" t="s">
        <v>128</v>
      </c>
      <c r="D906" s="214">
        <v>5.0</v>
      </c>
      <c r="E906" s="214">
        <v>1.0</v>
      </c>
      <c r="F906" s="214" t="s">
        <v>1405</v>
      </c>
      <c r="G906" s="214" t="s">
        <v>61</v>
      </c>
      <c r="H906" s="214" t="s">
        <v>132</v>
      </c>
      <c r="I906" s="214"/>
      <c r="J906" s="222" t="s">
        <v>67</v>
      </c>
      <c r="K906" s="222">
        <v>-1.5</v>
      </c>
      <c r="L906" s="222" t="s">
        <v>67</v>
      </c>
      <c r="M906" s="222">
        <v>44.5</v>
      </c>
      <c r="N906" s="214">
        <v>175.0</v>
      </c>
      <c r="O906" s="214">
        <v>59.0</v>
      </c>
      <c r="P906" s="214">
        <v>2.0</v>
      </c>
      <c r="Q906" s="214" t="b">
        <v>0</v>
      </c>
      <c r="R906" s="214">
        <v>100.0</v>
      </c>
      <c r="S906" s="214" t="s">
        <v>556</v>
      </c>
      <c r="T906" s="214" t="s">
        <v>321</v>
      </c>
      <c r="U906" s="214"/>
    </row>
    <row r="907">
      <c r="A907" s="221">
        <v>45944.06859804398</v>
      </c>
      <c r="B907" s="214" t="s">
        <v>95</v>
      </c>
      <c r="C907" s="214" t="s">
        <v>165</v>
      </c>
      <c r="D907" s="214">
        <v>2.0</v>
      </c>
      <c r="E907" s="214">
        <v>4.0</v>
      </c>
      <c r="F907" s="214" t="s">
        <v>1406</v>
      </c>
      <c r="G907" s="214" t="s">
        <v>61</v>
      </c>
      <c r="H907" s="214" t="s">
        <v>395</v>
      </c>
      <c r="I907" s="214"/>
      <c r="J907" s="222" t="s">
        <v>67</v>
      </c>
      <c r="K907" s="222">
        <v>8.5</v>
      </c>
      <c r="L907" s="222" t="s">
        <v>67</v>
      </c>
      <c r="M907" s="222">
        <v>43.5</v>
      </c>
      <c r="N907" s="214">
        <v>82.0</v>
      </c>
      <c r="O907" s="214">
        <v>189.0</v>
      </c>
      <c r="P907" s="214">
        <v>2.0</v>
      </c>
      <c r="Q907" s="214" t="b">
        <v>0</v>
      </c>
      <c r="R907" s="214">
        <v>100.0</v>
      </c>
      <c r="S907" s="214" t="s">
        <v>530</v>
      </c>
      <c r="T907" s="214" t="s">
        <v>365</v>
      </c>
      <c r="U907" s="214"/>
    </row>
    <row r="908">
      <c r="A908" s="221">
        <v>45944.06859804398</v>
      </c>
      <c r="B908" s="214" t="s">
        <v>95</v>
      </c>
      <c r="C908" s="214" t="s">
        <v>100</v>
      </c>
      <c r="D908" s="214">
        <v>3.0</v>
      </c>
      <c r="E908" s="214">
        <v>3.0</v>
      </c>
      <c r="F908" s="214" t="s">
        <v>1407</v>
      </c>
      <c r="G908" s="214" t="s">
        <v>61</v>
      </c>
      <c r="H908" s="214" t="s">
        <v>132</v>
      </c>
      <c r="I908" s="214"/>
      <c r="J908" s="222" t="s">
        <v>67</v>
      </c>
      <c r="K908" s="222">
        <v>6.5</v>
      </c>
      <c r="L908" s="222" t="s">
        <v>67</v>
      </c>
      <c r="M908" s="222">
        <v>53.5</v>
      </c>
      <c r="N908" s="214">
        <v>171.0</v>
      </c>
      <c r="O908" s="214">
        <v>93.0</v>
      </c>
      <c r="P908" s="214">
        <v>2.0</v>
      </c>
      <c r="Q908" s="214" t="b">
        <v>0</v>
      </c>
      <c r="R908" s="214">
        <v>100.0</v>
      </c>
      <c r="S908" s="214" t="s">
        <v>361</v>
      </c>
      <c r="T908" s="214" t="s">
        <v>365</v>
      </c>
      <c r="U908" s="214"/>
    </row>
    <row r="909">
      <c r="A909" s="221">
        <v>45944.06859804398</v>
      </c>
      <c r="B909" s="214" t="s">
        <v>95</v>
      </c>
      <c r="C909" s="214" t="s">
        <v>233</v>
      </c>
      <c r="D909" s="214">
        <v>4.0</v>
      </c>
      <c r="E909" s="214">
        <v>2.0</v>
      </c>
      <c r="F909" s="214" t="s">
        <v>1411</v>
      </c>
      <c r="G909" s="214" t="s">
        <v>61</v>
      </c>
      <c r="H909" s="214" t="s">
        <v>249</v>
      </c>
      <c r="I909" s="214"/>
      <c r="J909" s="222" t="s">
        <v>67</v>
      </c>
      <c r="K909" s="222">
        <v>5.5</v>
      </c>
      <c r="L909" s="222" t="s">
        <v>67</v>
      </c>
      <c r="M909" s="222">
        <v>45.5</v>
      </c>
      <c r="N909" s="214">
        <v>132.0</v>
      </c>
      <c r="O909" s="214">
        <v>123.0</v>
      </c>
      <c r="P909" s="214">
        <v>2.0</v>
      </c>
      <c r="Q909" s="214" t="b">
        <v>1</v>
      </c>
      <c r="R909" s="214">
        <v>100.0</v>
      </c>
      <c r="S909" s="214" t="s">
        <v>535</v>
      </c>
      <c r="T909" s="214" t="s">
        <v>365</v>
      </c>
      <c r="U909" s="214"/>
    </row>
    <row r="910">
      <c r="A910" s="221">
        <v>45944.06859804398</v>
      </c>
      <c r="B910" s="214" t="s">
        <v>95</v>
      </c>
      <c r="C910" s="214" t="s">
        <v>221</v>
      </c>
      <c r="D910" s="214">
        <v>3.0</v>
      </c>
      <c r="E910" s="214">
        <v>3.0</v>
      </c>
      <c r="F910" s="214" t="s">
        <v>1412</v>
      </c>
      <c r="G910" s="214" t="s">
        <v>532</v>
      </c>
      <c r="H910" s="214" t="s">
        <v>96</v>
      </c>
      <c r="I910" s="214"/>
      <c r="J910" s="222" t="s">
        <v>67</v>
      </c>
      <c r="K910" s="222">
        <v>-7.5</v>
      </c>
      <c r="L910" s="222" t="s">
        <v>67</v>
      </c>
      <c r="M910" s="222">
        <v>54.5</v>
      </c>
      <c r="N910" s="214">
        <v>216.0</v>
      </c>
      <c r="O910" s="214">
        <v>179.0</v>
      </c>
      <c r="P910" s="214">
        <v>2.0</v>
      </c>
      <c r="Q910" s="214" t="b">
        <v>1</v>
      </c>
      <c r="R910" s="214">
        <v>100.0</v>
      </c>
      <c r="S910" s="214" t="s">
        <v>441</v>
      </c>
      <c r="T910" s="214" t="s">
        <v>365</v>
      </c>
      <c r="U910" s="214"/>
    </row>
    <row r="911">
      <c r="A911" s="221">
        <v>45944.06859804398</v>
      </c>
      <c r="B911" s="214"/>
      <c r="C911" s="214"/>
      <c r="D911" s="214"/>
      <c r="E911" s="214"/>
      <c r="F911" s="214"/>
      <c r="G911" s="214"/>
      <c r="H911" s="214"/>
      <c r="I911" s="214"/>
      <c r="J911" s="222"/>
      <c r="K911" s="222"/>
      <c r="L911" s="222"/>
      <c r="M911" s="222"/>
      <c r="N911" s="214"/>
      <c r="O911" s="214"/>
      <c r="P911" s="214"/>
      <c r="Q911" s="214"/>
      <c r="R911" s="214"/>
      <c r="S911" s="214"/>
      <c r="T911" s="214"/>
      <c r="U911" s="214"/>
    </row>
    <row r="912">
      <c r="A912" s="221">
        <v>45944.06859804398</v>
      </c>
      <c r="B912" s="214" t="s">
        <v>62</v>
      </c>
      <c r="C912" s="214" t="s">
        <v>190</v>
      </c>
      <c r="D912" s="214">
        <v>4.0</v>
      </c>
      <c r="E912" s="214">
        <v>2.0</v>
      </c>
      <c r="F912" s="214"/>
      <c r="G912" s="214"/>
      <c r="H912" s="214"/>
      <c r="I912" s="214"/>
      <c r="J912" s="222"/>
      <c r="K912" s="222"/>
      <c r="L912" s="222"/>
      <c r="M912" s="222"/>
      <c r="N912" s="214">
        <v>145.0</v>
      </c>
      <c r="O912" s="214">
        <v>135.0</v>
      </c>
      <c r="P912" s="214">
        <v>0.0</v>
      </c>
      <c r="Q912" s="214" t="b">
        <v>1</v>
      </c>
      <c r="R912" s="214">
        <v>59.0</v>
      </c>
      <c r="S912" s="214" t="s">
        <v>317</v>
      </c>
      <c r="T912" s="214" t="s">
        <v>321</v>
      </c>
      <c r="U912" s="214"/>
    </row>
    <row r="913">
      <c r="A913" s="221">
        <v>45944.06859804398</v>
      </c>
      <c r="B913" s="214" t="s">
        <v>62</v>
      </c>
      <c r="C913" s="214" t="s">
        <v>163</v>
      </c>
      <c r="D913" s="214">
        <v>2.0</v>
      </c>
      <c r="E913" s="214">
        <v>4.0</v>
      </c>
      <c r="F913" s="214" t="s">
        <v>1413</v>
      </c>
      <c r="G913" s="214" t="s">
        <v>61</v>
      </c>
      <c r="H913" s="214" t="s">
        <v>193</v>
      </c>
      <c r="I913" s="214"/>
      <c r="J913" s="222" t="s">
        <v>67</v>
      </c>
      <c r="K913" s="222">
        <v>4.5</v>
      </c>
      <c r="L913" s="222" t="s">
        <v>67</v>
      </c>
      <c r="M913" s="222">
        <v>67.5</v>
      </c>
      <c r="N913" s="214">
        <v>177.0</v>
      </c>
      <c r="O913" s="214">
        <v>248.0</v>
      </c>
      <c r="P913" s="214">
        <v>2.0</v>
      </c>
      <c r="Q913" s="214" t="b">
        <v>0</v>
      </c>
      <c r="R913" s="214">
        <v>100.0</v>
      </c>
      <c r="S913" s="214" t="s">
        <v>361</v>
      </c>
      <c r="T913" s="214" t="s">
        <v>365</v>
      </c>
      <c r="U913" s="214"/>
    </row>
    <row r="914">
      <c r="A914" s="221">
        <v>45944.06859804398</v>
      </c>
      <c r="B914" s="214" t="s">
        <v>62</v>
      </c>
      <c r="C914" s="214" t="s">
        <v>127</v>
      </c>
      <c r="D914" s="214">
        <v>3.0</v>
      </c>
      <c r="E914" s="214">
        <v>4.0</v>
      </c>
      <c r="F914" s="214" t="s">
        <v>1403</v>
      </c>
      <c r="G914" s="214" t="s">
        <v>61</v>
      </c>
      <c r="H914" s="214" t="s">
        <v>95</v>
      </c>
      <c r="I914" s="214"/>
      <c r="J914" s="222" t="s">
        <v>67</v>
      </c>
      <c r="K914" s="222">
        <v>1.5</v>
      </c>
      <c r="L914" s="222" t="s">
        <v>67</v>
      </c>
      <c r="M914" s="222">
        <v>55.5</v>
      </c>
      <c r="N914" s="214">
        <v>206.0</v>
      </c>
      <c r="O914" s="214">
        <v>189.0</v>
      </c>
      <c r="P914" s="214">
        <v>2.0</v>
      </c>
      <c r="Q914" s="214" t="b">
        <v>0</v>
      </c>
      <c r="R914" s="214">
        <v>100.0</v>
      </c>
      <c r="S914" s="214" t="s">
        <v>471</v>
      </c>
      <c r="T914" s="214" t="s">
        <v>321</v>
      </c>
      <c r="U914" s="214"/>
    </row>
    <row r="915">
      <c r="A915" s="221">
        <v>45944.06859804398</v>
      </c>
      <c r="B915" s="214" t="s">
        <v>62</v>
      </c>
      <c r="C915" s="214" t="s">
        <v>155</v>
      </c>
      <c r="D915" s="214">
        <v>4.0</v>
      </c>
      <c r="E915" s="214">
        <v>2.0</v>
      </c>
      <c r="F915" s="214" t="s">
        <v>1414</v>
      </c>
      <c r="G915" s="214" t="s">
        <v>61</v>
      </c>
      <c r="H915" s="214" t="s">
        <v>311</v>
      </c>
      <c r="I915" s="214"/>
      <c r="J915" s="222" t="s">
        <v>67</v>
      </c>
      <c r="K915" s="222">
        <v>-14.5</v>
      </c>
      <c r="L915" s="222" t="s">
        <v>67</v>
      </c>
      <c r="M915" s="222">
        <v>56.5</v>
      </c>
      <c r="N915" s="214">
        <v>205.0</v>
      </c>
      <c r="O915" s="214">
        <v>121.0</v>
      </c>
      <c r="P915" s="214">
        <v>2.0</v>
      </c>
      <c r="Q915" s="214" t="b">
        <v>0</v>
      </c>
      <c r="R915" s="214">
        <v>100.0</v>
      </c>
      <c r="S915" s="214" t="s">
        <v>441</v>
      </c>
      <c r="T915" s="214" t="s">
        <v>365</v>
      </c>
      <c r="U915" s="214"/>
    </row>
    <row r="916">
      <c r="A916" s="221">
        <v>45944.06859804398</v>
      </c>
      <c r="B916" s="214" t="s">
        <v>62</v>
      </c>
      <c r="C916" s="214" t="s">
        <v>304</v>
      </c>
      <c r="D916" s="214">
        <v>2.0</v>
      </c>
      <c r="E916" s="214">
        <v>5.0</v>
      </c>
      <c r="F916" s="214" t="s">
        <v>1415</v>
      </c>
      <c r="G916" s="214" t="s">
        <v>61</v>
      </c>
      <c r="H916" s="214" t="s">
        <v>311</v>
      </c>
      <c r="I916" s="214"/>
      <c r="J916" s="222" t="s">
        <v>67</v>
      </c>
      <c r="K916" s="222">
        <v>2.5</v>
      </c>
      <c r="L916" s="222" t="s">
        <v>67</v>
      </c>
      <c r="M916" s="222">
        <v>47.5</v>
      </c>
      <c r="N916" s="214">
        <v>166.0</v>
      </c>
      <c r="O916" s="214">
        <v>224.0</v>
      </c>
      <c r="P916" s="214">
        <v>2.0</v>
      </c>
      <c r="Q916" s="214" t="b">
        <v>1</v>
      </c>
      <c r="R916" s="214">
        <v>100.0</v>
      </c>
      <c r="S916" s="214" t="s">
        <v>530</v>
      </c>
      <c r="T916" s="214" t="s">
        <v>365</v>
      </c>
      <c r="U916" s="214"/>
    </row>
    <row r="917">
      <c r="A917" s="221">
        <v>45944.06859804398</v>
      </c>
      <c r="B917" s="214" t="s">
        <v>62</v>
      </c>
      <c r="C917" s="214" t="s">
        <v>201</v>
      </c>
      <c r="D917" s="214">
        <v>5.0</v>
      </c>
      <c r="E917" s="214">
        <v>1.0</v>
      </c>
      <c r="F917" s="214" t="s">
        <v>1416</v>
      </c>
      <c r="G917" s="214" t="s">
        <v>61</v>
      </c>
      <c r="H917" s="214" t="s">
        <v>156</v>
      </c>
      <c r="I917" s="214"/>
      <c r="J917" s="222" t="s">
        <v>67</v>
      </c>
      <c r="K917" s="222">
        <v>-3.5</v>
      </c>
      <c r="L917" s="222" t="s">
        <v>67</v>
      </c>
      <c r="M917" s="222">
        <v>51.5</v>
      </c>
      <c r="N917" s="214">
        <v>209.0</v>
      </c>
      <c r="O917" s="214">
        <v>104.0</v>
      </c>
      <c r="P917" s="214">
        <v>2.0</v>
      </c>
      <c r="Q917" s="214" t="b">
        <v>1</v>
      </c>
      <c r="R917" s="214">
        <v>100.0</v>
      </c>
      <c r="S917" s="214" t="s">
        <v>556</v>
      </c>
      <c r="T917" s="214" t="s">
        <v>321</v>
      </c>
      <c r="U917" s="214"/>
    </row>
    <row r="918">
      <c r="A918" s="221">
        <v>45944.06859804398</v>
      </c>
      <c r="B918" s="214" t="s">
        <v>62</v>
      </c>
      <c r="C918" s="214" t="s">
        <v>196</v>
      </c>
      <c r="D918" s="214">
        <v>2.0</v>
      </c>
      <c r="E918" s="214">
        <v>4.0</v>
      </c>
      <c r="F918" s="214" t="s">
        <v>1417</v>
      </c>
      <c r="G918" s="214" t="s">
        <v>61</v>
      </c>
      <c r="H918" s="214" t="s">
        <v>224</v>
      </c>
      <c r="I918" s="214"/>
      <c r="J918" s="222" t="s">
        <v>67</v>
      </c>
      <c r="K918" s="222">
        <v>8.5</v>
      </c>
      <c r="L918" s="222" t="s">
        <v>67</v>
      </c>
      <c r="M918" s="222">
        <v>54.5</v>
      </c>
      <c r="N918" s="214">
        <v>137.0</v>
      </c>
      <c r="O918" s="214">
        <v>175.0</v>
      </c>
      <c r="P918" s="214">
        <v>2.0</v>
      </c>
      <c r="Q918" s="214" t="b">
        <v>1</v>
      </c>
      <c r="R918" s="214">
        <v>100.0</v>
      </c>
      <c r="S918" s="214" t="s">
        <v>407</v>
      </c>
      <c r="T918" s="214" t="s">
        <v>321</v>
      </c>
      <c r="U918" s="214"/>
    </row>
    <row r="919">
      <c r="A919" s="221">
        <v>45944.06859804398</v>
      </c>
      <c r="B919" s="214" t="s">
        <v>62</v>
      </c>
      <c r="C919" s="214" t="s">
        <v>178</v>
      </c>
      <c r="D919" s="214">
        <v>2.0</v>
      </c>
      <c r="E919" s="214">
        <v>4.0</v>
      </c>
      <c r="F919" s="214" t="s">
        <v>1418</v>
      </c>
      <c r="G919" s="214" t="s">
        <v>61</v>
      </c>
      <c r="H919" s="214" t="s">
        <v>395</v>
      </c>
      <c r="I919" s="214"/>
      <c r="J919" s="222" t="s">
        <v>67</v>
      </c>
      <c r="K919" s="222">
        <v>6.5</v>
      </c>
      <c r="L919" s="222" t="s">
        <v>67</v>
      </c>
      <c r="M919" s="222">
        <v>47.5</v>
      </c>
      <c r="N919" s="214">
        <v>134.0</v>
      </c>
      <c r="O919" s="214">
        <v>158.0</v>
      </c>
      <c r="P919" s="214">
        <v>2.0</v>
      </c>
      <c r="Q919" s="214" t="b">
        <v>0</v>
      </c>
      <c r="R919" s="214">
        <v>100.0</v>
      </c>
      <c r="S919" s="214" t="s">
        <v>525</v>
      </c>
      <c r="T919" s="214" t="s">
        <v>365</v>
      </c>
      <c r="U919" s="214"/>
    </row>
    <row r="920">
      <c r="A920" s="221">
        <v>45944.06859804398</v>
      </c>
      <c r="B920" s="214" t="s">
        <v>62</v>
      </c>
      <c r="C920" s="214" t="s">
        <v>199</v>
      </c>
      <c r="D920" s="214">
        <v>5.0</v>
      </c>
      <c r="E920" s="214">
        <v>1.0</v>
      </c>
      <c r="F920" s="214" t="s">
        <v>1419</v>
      </c>
      <c r="G920" s="214" t="s">
        <v>61</v>
      </c>
      <c r="H920" s="214" t="s">
        <v>395</v>
      </c>
      <c r="I920" s="214"/>
      <c r="J920" s="222" t="s">
        <v>67</v>
      </c>
      <c r="K920" s="222">
        <v>-10.5</v>
      </c>
      <c r="L920" s="222" t="s">
        <v>67</v>
      </c>
      <c r="M920" s="222">
        <v>60.5</v>
      </c>
      <c r="N920" s="214">
        <v>235.0</v>
      </c>
      <c r="O920" s="214">
        <v>118.0</v>
      </c>
      <c r="P920" s="214">
        <v>2.0</v>
      </c>
      <c r="Q920" s="214" t="b">
        <v>1</v>
      </c>
      <c r="R920" s="214">
        <v>100.0</v>
      </c>
      <c r="S920" s="214" t="s">
        <v>407</v>
      </c>
      <c r="T920" s="214" t="s">
        <v>321</v>
      </c>
      <c r="U920" s="214"/>
    </row>
    <row r="921">
      <c r="A921" s="221">
        <v>45944.06859804398</v>
      </c>
      <c r="B921" s="214" t="s">
        <v>62</v>
      </c>
      <c r="C921" s="214" t="s">
        <v>227</v>
      </c>
      <c r="D921" s="214">
        <v>2.0</v>
      </c>
      <c r="E921" s="214">
        <v>4.0</v>
      </c>
      <c r="F921" s="214" t="s">
        <v>1420</v>
      </c>
      <c r="G921" s="214" t="s">
        <v>61</v>
      </c>
      <c r="H921" s="214" t="s">
        <v>238</v>
      </c>
      <c r="I921" s="214"/>
      <c r="J921" s="222" t="s">
        <v>67</v>
      </c>
      <c r="K921" s="222">
        <v>-1.5</v>
      </c>
      <c r="L921" s="222" t="s">
        <v>67</v>
      </c>
      <c r="M921" s="222">
        <v>47.5</v>
      </c>
      <c r="N921" s="214">
        <v>104.0</v>
      </c>
      <c r="O921" s="214">
        <v>124.0</v>
      </c>
      <c r="P921" s="214">
        <v>2.0</v>
      </c>
      <c r="Q921" s="214" t="b">
        <v>1</v>
      </c>
      <c r="R921" s="214">
        <v>100.0</v>
      </c>
      <c r="S921" s="214" t="s">
        <v>535</v>
      </c>
      <c r="T921" s="214" t="s">
        <v>365</v>
      </c>
      <c r="U921" s="214"/>
    </row>
    <row r="922">
      <c r="A922" s="221">
        <v>45944.06859804398</v>
      </c>
      <c r="B922" s="214"/>
      <c r="C922" s="214"/>
      <c r="D922" s="214"/>
      <c r="E922" s="214"/>
      <c r="F922" s="214"/>
      <c r="G922" s="214"/>
      <c r="H922" s="214"/>
      <c r="I922" s="214"/>
      <c r="J922" s="222"/>
      <c r="K922" s="222"/>
      <c r="L922" s="222"/>
      <c r="M922" s="222"/>
      <c r="N922" s="214"/>
      <c r="O922" s="214"/>
      <c r="P922" s="214"/>
      <c r="Q922" s="214"/>
      <c r="R922" s="214"/>
      <c r="S922" s="214"/>
      <c r="T922" s="214"/>
      <c r="U922" s="214"/>
    </row>
    <row r="923">
      <c r="A923" s="221">
        <v>45944.06859804398</v>
      </c>
      <c r="B923" s="214" t="s">
        <v>193</v>
      </c>
      <c r="C923" s="214" t="s">
        <v>182</v>
      </c>
      <c r="D923" s="214">
        <v>3.0</v>
      </c>
      <c r="E923" s="214">
        <v>3.0</v>
      </c>
      <c r="F923" s="214" t="s">
        <v>1401</v>
      </c>
      <c r="G923" s="214" t="s">
        <v>61</v>
      </c>
      <c r="H923" s="214" t="s">
        <v>95</v>
      </c>
      <c r="I923" s="214"/>
      <c r="J923" s="222" t="s">
        <v>67</v>
      </c>
      <c r="K923" s="222">
        <v>16.5</v>
      </c>
      <c r="L923" s="222" t="s">
        <v>67</v>
      </c>
      <c r="M923" s="222">
        <v>58.5</v>
      </c>
      <c r="N923" s="214">
        <v>175.0</v>
      </c>
      <c r="O923" s="214">
        <v>162.0</v>
      </c>
      <c r="P923" s="214">
        <v>2.0</v>
      </c>
      <c r="Q923" s="214" t="b">
        <v>1</v>
      </c>
      <c r="R923" s="214">
        <v>100.0</v>
      </c>
      <c r="S923" s="214" t="s">
        <v>525</v>
      </c>
      <c r="T923" s="214" t="s">
        <v>365</v>
      </c>
      <c r="U923" s="214"/>
    </row>
    <row r="924">
      <c r="A924" s="221">
        <v>45944.06859804398</v>
      </c>
      <c r="B924" s="214" t="s">
        <v>193</v>
      </c>
      <c r="C924" s="214" t="s">
        <v>126</v>
      </c>
      <c r="D924" s="214">
        <v>4.0</v>
      </c>
      <c r="E924" s="214">
        <v>3.0</v>
      </c>
      <c r="F924" s="214" t="s">
        <v>1393</v>
      </c>
      <c r="G924" s="214" t="s">
        <v>61</v>
      </c>
      <c r="H924" s="214" t="s">
        <v>43</v>
      </c>
      <c r="I924" s="214"/>
      <c r="J924" s="222" t="s">
        <v>67</v>
      </c>
      <c r="K924" s="222">
        <v>14.5</v>
      </c>
      <c r="L924" s="222" t="s">
        <v>67</v>
      </c>
      <c r="M924" s="222">
        <v>58.5</v>
      </c>
      <c r="N924" s="214">
        <v>227.0</v>
      </c>
      <c r="O924" s="214">
        <v>165.0</v>
      </c>
      <c r="P924" s="214">
        <v>2.0</v>
      </c>
      <c r="Q924" s="214" t="b">
        <v>1</v>
      </c>
      <c r="R924" s="214">
        <v>100.0</v>
      </c>
      <c r="S924" s="214" t="s">
        <v>471</v>
      </c>
      <c r="T924" s="214" t="s">
        <v>321</v>
      </c>
      <c r="U924" s="214"/>
    </row>
    <row r="925">
      <c r="A925" s="221">
        <v>45944.06859804398</v>
      </c>
      <c r="B925" s="214" t="s">
        <v>193</v>
      </c>
      <c r="C925" s="214" t="s">
        <v>150</v>
      </c>
      <c r="D925" s="214">
        <v>3.0</v>
      </c>
      <c r="E925" s="214">
        <v>3.0</v>
      </c>
      <c r="F925" s="214" t="s">
        <v>1413</v>
      </c>
      <c r="G925" s="214" t="s">
        <v>61</v>
      </c>
      <c r="H925" s="214" t="s">
        <v>62</v>
      </c>
      <c r="I925" s="214"/>
      <c r="J925" s="222" t="s">
        <v>67</v>
      </c>
      <c r="K925" s="222">
        <v>-4.5</v>
      </c>
      <c r="L925" s="222" t="s">
        <v>67</v>
      </c>
      <c r="M925" s="222">
        <v>67.5</v>
      </c>
      <c r="N925" s="214">
        <v>197.0</v>
      </c>
      <c r="O925" s="214">
        <v>200.0</v>
      </c>
      <c r="P925" s="214">
        <v>2.0</v>
      </c>
      <c r="Q925" s="214" t="b">
        <v>1</v>
      </c>
      <c r="R925" s="214">
        <v>100.0</v>
      </c>
      <c r="S925" s="214" t="s">
        <v>361</v>
      </c>
      <c r="T925" s="214" t="s">
        <v>365</v>
      </c>
      <c r="U925" s="214"/>
    </row>
    <row r="926">
      <c r="A926" s="221">
        <v>45944.06859804398</v>
      </c>
      <c r="B926" s="214" t="s">
        <v>193</v>
      </c>
      <c r="C926" s="214" t="s">
        <v>211</v>
      </c>
      <c r="D926" s="214">
        <v>5.0</v>
      </c>
      <c r="E926" s="214">
        <v>1.0</v>
      </c>
      <c r="F926" s="214" t="s">
        <v>1421</v>
      </c>
      <c r="G926" s="214" t="s">
        <v>61</v>
      </c>
      <c r="H926" s="214" t="s">
        <v>156</v>
      </c>
      <c r="I926" s="214"/>
      <c r="J926" s="222" t="s">
        <v>67</v>
      </c>
      <c r="K926" s="222">
        <v>-12.5</v>
      </c>
      <c r="L926" s="222" t="s">
        <v>67</v>
      </c>
      <c r="M926" s="222">
        <v>68.5</v>
      </c>
      <c r="N926" s="214">
        <v>289.0</v>
      </c>
      <c r="O926" s="214">
        <v>176.0</v>
      </c>
      <c r="P926" s="214">
        <v>2.0</v>
      </c>
      <c r="Q926" s="214" t="b">
        <v>1</v>
      </c>
      <c r="R926" s="214">
        <v>100.0</v>
      </c>
      <c r="S926" s="214" t="s">
        <v>556</v>
      </c>
      <c r="T926" s="214" t="s">
        <v>321</v>
      </c>
      <c r="U926" s="214"/>
    </row>
    <row r="927">
      <c r="A927" s="221">
        <v>45944.06859804398</v>
      </c>
      <c r="B927" s="214" t="s">
        <v>193</v>
      </c>
      <c r="C927" s="214" t="s">
        <v>194</v>
      </c>
      <c r="D927" s="214">
        <v>0.0</v>
      </c>
      <c r="E927" s="214">
        <v>7.0</v>
      </c>
      <c r="F927" s="214" t="s">
        <v>1422</v>
      </c>
      <c r="G927" s="214" t="s">
        <v>61</v>
      </c>
      <c r="H927" s="214" t="s">
        <v>493</v>
      </c>
      <c r="I927" s="214"/>
      <c r="J927" s="222" t="s">
        <v>67</v>
      </c>
      <c r="K927" s="222">
        <v>2.5</v>
      </c>
      <c r="L927" s="222" t="s">
        <v>67</v>
      </c>
      <c r="M927" s="222">
        <v>51.5</v>
      </c>
      <c r="N927" s="214">
        <v>124.0</v>
      </c>
      <c r="O927" s="214">
        <v>249.0</v>
      </c>
      <c r="P927" s="214">
        <v>2.0</v>
      </c>
      <c r="Q927" s="214" t="b">
        <v>0</v>
      </c>
      <c r="R927" s="214">
        <v>100.0</v>
      </c>
      <c r="S927" s="214" t="s">
        <v>680</v>
      </c>
      <c r="T927" s="214" t="s">
        <v>365</v>
      </c>
      <c r="U927" s="214"/>
    </row>
    <row r="928">
      <c r="A928" s="221">
        <v>45944.06859804398</v>
      </c>
      <c r="B928" s="214" t="s">
        <v>193</v>
      </c>
      <c r="C928" s="214" t="s">
        <v>552</v>
      </c>
      <c r="D928" s="214">
        <v>2.0</v>
      </c>
      <c r="E928" s="214">
        <v>4.0</v>
      </c>
      <c r="F928" s="214" t="s">
        <v>1423</v>
      </c>
      <c r="G928" s="214" t="s">
        <v>61</v>
      </c>
      <c r="H928" s="214" t="s">
        <v>395</v>
      </c>
      <c r="I928" s="214"/>
      <c r="J928" s="222" t="s">
        <v>67</v>
      </c>
      <c r="K928" s="222">
        <v>18.5</v>
      </c>
      <c r="L928" s="222" t="s">
        <v>67</v>
      </c>
      <c r="M928" s="222">
        <v>45.5</v>
      </c>
      <c r="N928" s="214">
        <v>155.0</v>
      </c>
      <c r="O928" s="214">
        <v>185.0</v>
      </c>
      <c r="P928" s="214">
        <v>2.0</v>
      </c>
      <c r="Q928" s="214" t="b">
        <v>0</v>
      </c>
      <c r="R928" s="214">
        <v>100.0</v>
      </c>
      <c r="S928" s="214" t="s">
        <v>441</v>
      </c>
      <c r="T928" s="214" t="s">
        <v>365</v>
      </c>
      <c r="U928" s="214"/>
    </row>
    <row r="929">
      <c r="A929" s="221">
        <v>45944.06859804398</v>
      </c>
      <c r="B929" s="214" t="s">
        <v>193</v>
      </c>
      <c r="C929" s="214" t="s">
        <v>144</v>
      </c>
      <c r="D929" s="214">
        <v>6.0</v>
      </c>
      <c r="E929" s="214">
        <v>0.0</v>
      </c>
      <c r="F929" s="214" t="s">
        <v>1424</v>
      </c>
      <c r="G929" s="214" t="s">
        <v>61</v>
      </c>
      <c r="H929" s="214" t="s">
        <v>156</v>
      </c>
      <c r="I929" s="214"/>
      <c r="J929" s="222" t="s">
        <v>67</v>
      </c>
      <c r="K929" s="222">
        <v>-14.5</v>
      </c>
      <c r="L929" s="222" t="s">
        <v>67</v>
      </c>
      <c r="M929" s="222">
        <v>50.5</v>
      </c>
      <c r="N929" s="214">
        <v>221.0</v>
      </c>
      <c r="O929" s="214">
        <v>41.0</v>
      </c>
      <c r="P929" s="214">
        <v>2.0</v>
      </c>
      <c r="Q929" s="214" t="b">
        <v>1</v>
      </c>
      <c r="R929" s="214">
        <v>100.0</v>
      </c>
      <c r="S929" s="214" t="s">
        <v>407</v>
      </c>
      <c r="T929" s="214" t="s">
        <v>321</v>
      </c>
      <c r="U929" s="214"/>
    </row>
    <row r="930">
      <c r="A930" s="221">
        <v>45944.06859804398</v>
      </c>
      <c r="B930" s="214" t="s">
        <v>193</v>
      </c>
      <c r="C930" s="214" t="s">
        <v>104</v>
      </c>
      <c r="D930" s="214">
        <v>4.0</v>
      </c>
      <c r="E930" s="214">
        <v>2.0</v>
      </c>
      <c r="F930" s="214" t="s">
        <v>1425</v>
      </c>
      <c r="G930" s="214" t="s">
        <v>61</v>
      </c>
      <c r="H930" s="214" t="s">
        <v>493</v>
      </c>
      <c r="I930" s="214"/>
      <c r="J930" s="222" t="s">
        <v>67</v>
      </c>
      <c r="K930" s="222">
        <v>-18.5</v>
      </c>
      <c r="L930" s="222" t="s">
        <v>67</v>
      </c>
      <c r="M930" s="222">
        <v>55.5</v>
      </c>
      <c r="N930" s="214">
        <v>204.0</v>
      </c>
      <c r="O930" s="214">
        <v>134.0</v>
      </c>
      <c r="P930" s="214">
        <v>2.0</v>
      </c>
      <c r="Q930" s="214" t="b">
        <v>1</v>
      </c>
      <c r="R930" s="214">
        <v>100.0</v>
      </c>
      <c r="S930" s="214" t="s">
        <v>317</v>
      </c>
      <c r="T930" s="214" t="s">
        <v>321</v>
      </c>
      <c r="U930" s="214"/>
    </row>
    <row r="931">
      <c r="A931" s="221">
        <v>45944.06859804398</v>
      </c>
      <c r="B931" s="214" t="s">
        <v>193</v>
      </c>
      <c r="C931" s="214" t="s">
        <v>164</v>
      </c>
      <c r="D931" s="214">
        <v>2.0</v>
      </c>
      <c r="E931" s="214">
        <v>5.0</v>
      </c>
      <c r="F931" s="214" t="s">
        <v>1426</v>
      </c>
      <c r="G931" s="214" t="s">
        <v>61</v>
      </c>
      <c r="H931" s="214" t="s">
        <v>238</v>
      </c>
      <c r="I931" s="214"/>
      <c r="J931" s="222" t="s">
        <v>67</v>
      </c>
      <c r="K931" s="222">
        <v>11.5</v>
      </c>
      <c r="L931" s="222" t="s">
        <v>67</v>
      </c>
      <c r="M931" s="222">
        <v>46.5</v>
      </c>
      <c r="N931" s="214">
        <v>117.0</v>
      </c>
      <c r="O931" s="214">
        <v>203.0</v>
      </c>
      <c r="P931" s="214">
        <v>2.0</v>
      </c>
      <c r="Q931" s="214" t="b">
        <v>0</v>
      </c>
      <c r="R931" s="214">
        <v>100.0</v>
      </c>
      <c r="S931" s="214" t="s">
        <v>530</v>
      </c>
      <c r="T931" s="214" t="s">
        <v>365</v>
      </c>
      <c r="U931" s="214"/>
    </row>
    <row r="932">
      <c r="A932" s="221">
        <v>45944.06859804398</v>
      </c>
      <c r="B932" s="214" t="s">
        <v>193</v>
      </c>
      <c r="C932" s="214" t="s">
        <v>236</v>
      </c>
      <c r="D932" s="214">
        <v>3.0</v>
      </c>
      <c r="E932" s="214">
        <v>3.0</v>
      </c>
      <c r="F932" s="214" t="s">
        <v>1427</v>
      </c>
      <c r="G932" s="214" t="s">
        <v>61</v>
      </c>
      <c r="H932" s="214" t="s">
        <v>96</v>
      </c>
      <c r="I932" s="214"/>
      <c r="J932" s="222" t="s">
        <v>67</v>
      </c>
      <c r="K932" s="222">
        <v>-2.5</v>
      </c>
      <c r="L932" s="222" t="s">
        <v>67</v>
      </c>
      <c r="M932" s="222">
        <v>50.5</v>
      </c>
      <c r="N932" s="214">
        <v>130.0</v>
      </c>
      <c r="O932" s="214">
        <v>178.0</v>
      </c>
      <c r="P932" s="214">
        <v>2.0</v>
      </c>
      <c r="Q932" s="214" t="b">
        <v>1</v>
      </c>
      <c r="R932" s="214">
        <v>100.0</v>
      </c>
      <c r="S932" s="214" t="s">
        <v>535</v>
      </c>
      <c r="T932" s="214" t="s">
        <v>365</v>
      </c>
      <c r="U932" s="214"/>
    </row>
    <row r="933">
      <c r="A933" s="221">
        <v>45944.06859804398</v>
      </c>
      <c r="B933" s="214"/>
      <c r="C933" s="214"/>
      <c r="D933" s="214"/>
      <c r="E933" s="214"/>
      <c r="F933" s="214"/>
      <c r="G933" s="214"/>
      <c r="H933" s="214"/>
      <c r="I933" s="214"/>
      <c r="J933" s="222"/>
      <c r="K933" s="222"/>
      <c r="L933" s="222"/>
      <c r="M933" s="222"/>
      <c r="N933" s="214"/>
      <c r="O933" s="214"/>
      <c r="P933" s="214"/>
      <c r="Q933" s="214"/>
      <c r="R933" s="214"/>
      <c r="S933" s="214"/>
      <c r="T933" s="214"/>
      <c r="U933" s="214"/>
    </row>
    <row r="934">
      <c r="A934" s="221">
        <v>45944.06859804398</v>
      </c>
      <c r="B934" s="214" t="s">
        <v>311</v>
      </c>
      <c r="C934" s="214" t="s">
        <v>186</v>
      </c>
      <c r="D934" s="214">
        <v>3.0</v>
      </c>
      <c r="E934" s="214">
        <v>3.0</v>
      </c>
      <c r="F934" s="214" t="s">
        <v>1428</v>
      </c>
      <c r="G934" s="214" t="s">
        <v>61</v>
      </c>
      <c r="H934" s="214" t="s">
        <v>96</v>
      </c>
      <c r="I934" s="214"/>
      <c r="J934" s="222" t="s">
        <v>67</v>
      </c>
      <c r="K934" s="222">
        <v>-1.5</v>
      </c>
      <c r="L934" s="222" t="s">
        <v>67</v>
      </c>
      <c r="M934" s="222">
        <v>57.5</v>
      </c>
      <c r="N934" s="214">
        <v>208.0</v>
      </c>
      <c r="O934" s="214">
        <v>196.0</v>
      </c>
      <c r="P934" s="214">
        <v>2.0</v>
      </c>
      <c r="Q934" s="214" t="b">
        <v>0</v>
      </c>
      <c r="R934" s="214">
        <v>100.0</v>
      </c>
      <c r="S934" s="214" t="s">
        <v>525</v>
      </c>
      <c r="T934" s="214" t="s">
        <v>365</v>
      </c>
      <c r="U934" s="214"/>
    </row>
    <row r="935">
      <c r="A935" s="221">
        <v>45944.06859804398</v>
      </c>
      <c r="B935" s="214" t="s">
        <v>311</v>
      </c>
      <c r="C935" s="214" t="s">
        <v>206</v>
      </c>
      <c r="D935" s="214">
        <v>5.0</v>
      </c>
      <c r="E935" s="214">
        <v>1.0</v>
      </c>
      <c r="F935" s="214" t="s">
        <v>1429</v>
      </c>
      <c r="G935" s="214" t="s">
        <v>61</v>
      </c>
      <c r="H935" s="214" t="s">
        <v>132</v>
      </c>
      <c r="I935" s="214"/>
      <c r="J935" s="222" t="s">
        <v>67</v>
      </c>
      <c r="K935" s="222">
        <v>-9.5</v>
      </c>
      <c r="L935" s="222" t="s">
        <v>67</v>
      </c>
      <c r="M935" s="222">
        <v>44.5</v>
      </c>
      <c r="N935" s="214">
        <v>155.0</v>
      </c>
      <c r="O935" s="214">
        <v>71.0</v>
      </c>
      <c r="P935" s="214">
        <v>2.0</v>
      </c>
      <c r="Q935" s="214" t="b">
        <v>1</v>
      </c>
      <c r="R935" s="214">
        <v>100.0</v>
      </c>
      <c r="S935" s="214" t="s">
        <v>556</v>
      </c>
      <c r="T935" s="214" t="s">
        <v>321</v>
      </c>
      <c r="U935" s="214"/>
    </row>
    <row r="936">
      <c r="A936" s="221">
        <v>45944.06859804398</v>
      </c>
      <c r="B936" s="214" t="s">
        <v>311</v>
      </c>
      <c r="C936" s="214" t="s">
        <v>161</v>
      </c>
      <c r="D936" s="214">
        <v>3.0</v>
      </c>
      <c r="E936" s="214">
        <v>3.0</v>
      </c>
      <c r="F936" s="214" t="s">
        <v>1394</v>
      </c>
      <c r="G936" s="214" t="s">
        <v>61</v>
      </c>
      <c r="H936" s="214" t="s">
        <v>43</v>
      </c>
      <c r="I936" s="214"/>
      <c r="J936" s="222" t="s">
        <v>67</v>
      </c>
      <c r="K936" s="222">
        <v>-10.0</v>
      </c>
      <c r="L936" s="222" t="s">
        <v>67</v>
      </c>
      <c r="M936" s="222">
        <v>47.5</v>
      </c>
      <c r="N936" s="214">
        <v>207.0</v>
      </c>
      <c r="O936" s="214">
        <v>161.0</v>
      </c>
      <c r="P936" s="214">
        <v>2.0</v>
      </c>
      <c r="Q936" s="214" t="b">
        <v>1</v>
      </c>
      <c r="R936" s="214">
        <v>100.0</v>
      </c>
      <c r="S936" s="214" t="s">
        <v>361</v>
      </c>
      <c r="T936" s="214" t="s">
        <v>365</v>
      </c>
      <c r="U936" s="214"/>
    </row>
    <row r="937">
      <c r="A937" s="221">
        <v>45944.06859804398</v>
      </c>
      <c r="B937" s="214" t="s">
        <v>311</v>
      </c>
      <c r="C937" s="214" t="s">
        <v>139</v>
      </c>
      <c r="D937" s="214">
        <v>4.0</v>
      </c>
      <c r="E937" s="214">
        <v>2.0</v>
      </c>
      <c r="F937" s="214" t="s">
        <v>1402</v>
      </c>
      <c r="G937" s="214" t="s">
        <v>61</v>
      </c>
      <c r="H937" s="214" t="s">
        <v>95</v>
      </c>
      <c r="I937" s="214"/>
      <c r="J937" s="222" t="s">
        <v>67</v>
      </c>
      <c r="K937" s="222">
        <v>2.5</v>
      </c>
      <c r="L937" s="222" t="s">
        <v>67</v>
      </c>
      <c r="M937" s="222">
        <v>56.5</v>
      </c>
      <c r="N937" s="214">
        <v>177.0</v>
      </c>
      <c r="O937" s="214">
        <v>112.0</v>
      </c>
      <c r="P937" s="214">
        <v>2.0</v>
      </c>
      <c r="Q937" s="214" t="b">
        <v>0</v>
      </c>
      <c r="R937" s="214">
        <v>100.0</v>
      </c>
      <c r="S937" s="214" t="s">
        <v>407</v>
      </c>
      <c r="T937" s="214" t="s">
        <v>321</v>
      </c>
      <c r="U937" s="214"/>
    </row>
    <row r="938">
      <c r="A938" s="221">
        <v>45944.06859804398</v>
      </c>
      <c r="B938" s="214" t="s">
        <v>311</v>
      </c>
      <c r="C938" s="214" t="s">
        <v>192</v>
      </c>
      <c r="D938" s="214">
        <v>5.0</v>
      </c>
      <c r="E938" s="214">
        <v>1.0</v>
      </c>
      <c r="F938" s="214" t="s">
        <v>1430</v>
      </c>
      <c r="G938" s="214" t="s">
        <v>61</v>
      </c>
      <c r="H938" s="214" t="s">
        <v>132</v>
      </c>
      <c r="I938" s="214"/>
      <c r="J938" s="222" t="s">
        <v>67</v>
      </c>
      <c r="K938" s="222">
        <v>-7.0</v>
      </c>
      <c r="L938" s="222" t="s">
        <v>67</v>
      </c>
      <c r="M938" s="222">
        <v>53.5</v>
      </c>
      <c r="N938" s="214">
        <v>253.0</v>
      </c>
      <c r="O938" s="214">
        <v>91.0</v>
      </c>
      <c r="P938" s="214">
        <v>2.0</v>
      </c>
      <c r="Q938" s="214" t="b">
        <v>0</v>
      </c>
      <c r="R938" s="214">
        <v>100.0</v>
      </c>
      <c r="S938" s="214" t="s">
        <v>407</v>
      </c>
      <c r="T938" s="214" t="s">
        <v>321</v>
      </c>
      <c r="U938" s="214"/>
    </row>
    <row r="939">
      <c r="A939" s="221">
        <v>45944.06859804398</v>
      </c>
      <c r="B939" s="214" t="s">
        <v>311</v>
      </c>
      <c r="C939" s="214" t="s">
        <v>125</v>
      </c>
      <c r="D939" s="214">
        <v>5.0</v>
      </c>
      <c r="E939" s="214">
        <v>2.0</v>
      </c>
      <c r="F939" s="214" t="s">
        <v>1431</v>
      </c>
      <c r="G939" s="214" t="s">
        <v>61</v>
      </c>
      <c r="H939" s="214" t="s">
        <v>224</v>
      </c>
      <c r="I939" s="214"/>
      <c r="J939" s="222" t="s">
        <v>67</v>
      </c>
      <c r="K939" s="222">
        <v>-2.5</v>
      </c>
      <c r="L939" s="222" t="s">
        <v>67</v>
      </c>
      <c r="M939" s="222">
        <v>51.5</v>
      </c>
      <c r="N939" s="214">
        <v>205.0</v>
      </c>
      <c r="O939" s="214">
        <v>133.0</v>
      </c>
      <c r="P939" s="214">
        <v>2.0</v>
      </c>
      <c r="Q939" s="214" t="b">
        <v>0</v>
      </c>
      <c r="R939" s="214">
        <v>100.0</v>
      </c>
      <c r="S939" s="214" t="s">
        <v>471</v>
      </c>
      <c r="T939" s="214" t="s">
        <v>321</v>
      </c>
      <c r="U939" s="214"/>
    </row>
    <row r="940">
      <c r="A940" s="221">
        <v>45944.06859804398</v>
      </c>
      <c r="B940" s="214" t="s">
        <v>311</v>
      </c>
      <c r="C940" s="214" t="s">
        <v>152</v>
      </c>
      <c r="D940" s="214">
        <v>3.0</v>
      </c>
      <c r="E940" s="214">
        <v>3.0</v>
      </c>
      <c r="F940" s="214" t="s">
        <v>1414</v>
      </c>
      <c r="G940" s="214" t="s">
        <v>61</v>
      </c>
      <c r="H940" s="214" t="s">
        <v>62</v>
      </c>
      <c r="I940" s="214"/>
      <c r="J940" s="222" t="s">
        <v>67</v>
      </c>
      <c r="K940" s="222">
        <v>14.5</v>
      </c>
      <c r="L940" s="222" t="s">
        <v>67</v>
      </c>
      <c r="M940" s="222">
        <v>56.5</v>
      </c>
      <c r="N940" s="214">
        <v>206.0</v>
      </c>
      <c r="O940" s="214">
        <v>179.0</v>
      </c>
      <c r="P940" s="214">
        <v>2.0</v>
      </c>
      <c r="Q940" s="214" t="b">
        <v>1</v>
      </c>
      <c r="R940" s="214">
        <v>100.0</v>
      </c>
      <c r="S940" s="214" t="s">
        <v>441</v>
      </c>
      <c r="T940" s="214" t="s">
        <v>365</v>
      </c>
      <c r="U940" s="214"/>
    </row>
    <row r="941">
      <c r="A941" s="221">
        <v>45944.06859804398</v>
      </c>
      <c r="B941" s="214" t="s">
        <v>311</v>
      </c>
      <c r="C941" s="214" t="s">
        <v>122</v>
      </c>
      <c r="D941" s="214">
        <v>2.0</v>
      </c>
      <c r="E941" s="214">
        <v>5.0</v>
      </c>
      <c r="F941" s="214" t="s">
        <v>1432</v>
      </c>
      <c r="G941" s="214" t="s">
        <v>61</v>
      </c>
      <c r="H941" s="214" t="s">
        <v>395</v>
      </c>
      <c r="I941" s="214"/>
      <c r="J941" s="222" t="s">
        <v>67</v>
      </c>
      <c r="K941" s="222">
        <v>14.5</v>
      </c>
      <c r="L941" s="222" t="s">
        <v>67</v>
      </c>
      <c r="M941" s="222">
        <v>54.5</v>
      </c>
      <c r="N941" s="214">
        <v>161.0</v>
      </c>
      <c r="O941" s="214">
        <v>205.0</v>
      </c>
      <c r="P941" s="214">
        <v>2.0</v>
      </c>
      <c r="Q941" s="214" t="b">
        <v>0</v>
      </c>
      <c r="R941" s="214">
        <v>100.0</v>
      </c>
      <c r="S941" s="214" t="s">
        <v>317</v>
      </c>
      <c r="T941" s="214" t="s">
        <v>321</v>
      </c>
      <c r="U941" s="214"/>
    </row>
    <row r="942">
      <c r="A942" s="221">
        <v>45944.06859804398</v>
      </c>
      <c r="B942" s="214" t="s">
        <v>311</v>
      </c>
      <c r="C942" s="214" t="s">
        <v>172</v>
      </c>
      <c r="D942" s="214">
        <v>1.0</v>
      </c>
      <c r="E942" s="214">
        <v>5.0</v>
      </c>
      <c r="F942" s="214" t="s">
        <v>1415</v>
      </c>
      <c r="G942" s="214" t="s">
        <v>61</v>
      </c>
      <c r="H942" s="214" t="s">
        <v>62</v>
      </c>
      <c r="I942" s="214"/>
      <c r="J942" s="222" t="s">
        <v>67</v>
      </c>
      <c r="K942" s="222">
        <v>-2.5</v>
      </c>
      <c r="L942" s="222" t="s">
        <v>67</v>
      </c>
      <c r="M942" s="222">
        <v>47.5</v>
      </c>
      <c r="N942" s="214">
        <v>65.0</v>
      </c>
      <c r="O942" s="214">
        <v>122.0</v>
      </c>
      <c r="P942" s="214">
        <v>2.0</v>
      </c>
      <c r="Q942" s="214" t="b">
        <v>0</v>
      </c>
      <c r="R942" s="214">
        <v>100.0</v>
      </c>
      <c r="S942" s="214" t="s">
        <v>530</v>
      </c>
      <c r="T942" s="214" t="s">
        <v>365</v>
      </c>
      <c r="U942" s="214"/>
    </row>
    <row r="943">
      <c r="A943" s="221">
        <v>45944.06859804398</v>
      </c>
      <c r="B943" s="214" t="s">
        <v>311</v>
      </c>
      <c r="C943" s="214" t="s">
        <v>234</v>
      </c>
      <c r="D943" s="214">
        <v>0.0</v>
      </c>
      <c r="E943" s="214">
        <v>6.0</v>
      </c>
      <c r="F943" s="214" t="s">
        <v>1433</v>
      </c>
      <c r="G943" s="214" t="s">
        <v>61</v>
      </c>
      <c r="H943" s="214" t="s">
        <v>156</v>
      </c>
      <c r="I943" s="214"/>
      <c r="J943" s="222" t="s">
        <v>67</v>
      </c>
      <c r="K943" s="222">
        <v>7.5</v>
      </c>
      <c r="L943" s="222" t="s">
        <v>67</v>
      </c>
      <c r="M943" s="222">
        <v>54.5</v>
      </c>
      <c r="N943" s="214">
        <v>102.0</v>
      </c>
      <c r="O943" s="214">
        <v>237.0</v>
      </c>
      <c r="P943" s="214">
        <v>2.0</v>
      </c>
      <c r="Q943" s="214" t="b">
        <v>0</v>
      </c>
      <c r="R943" s="214">
        <v>100.0</v>
      </c>
      <c r="S943" s="214" t="s">
        <v>535</v>
      </c>
      <c r="T943" s="214" t="s">
        <v>365</v>
      </c>
      <c r="U943" s="214"/>
    </row>
    <row r="944">
      <c r="A944" s="221">
        <v>45944.06859804398</v>
      </c>
      <c r="B944" s="214"/>
      <c r="C944" s="214"/>
      <c r="D944" s="214"/>
      <c r="E944" s="214"/>
      <c r="F944" s="214"/>
      <c r="G944" s="214"/>
      <c r="H944" s="214"/>
      <c r="I944" s="214"/>
      <c r="J944" s="222"/>
      <c r="K944" s="222"/>
      <c r="L944" s="222"/>
      <c r="M944" s="222"/>
      <c r="N944" s="214"/>
      <c r="O944" s="214"/>
      <c r="P944" s="214"/>
      <c r="Q944" s="214"/>
      <c r="R944" s="214"/>
      <c r="S944" s="214"/>
      <c r="T944" s="214"/>
      <c r="U944" s="214"/>
    </row>
    <row r="945">
      <c r="A945" s="221">
        <v>45944.06859804398</v>
      </c>
      <c r="B945" s="214" t="s">
        <v>224</v>
      </c>
      <c r="C945" s="214" t="s">
        <v>235</v>
      </c>
      <c r="D945" s="214">
        <v>3.0</v>
      </c>
      <c r="E945" s="214">
        <v>2.0</v>
      </c>
      <c r="F945" s="214"/>
      <c r="G945" s="214"/>
      <c r="H945" s="214"/>
      <c r="I945" s="214"/>
      <c r="J945" s="222"/>
      <c r="K945" s="222"/>
      <c r="L945" s="222"/>
      <c r="M945" s="222"/>
      <c r="N945" s="214">
        <v>148.0</v>
      </c>
      <c r="O945" s="214">
        <v>132.0</v>
      </c>
      <c r="P945" s="214">
        <v>0.0</v>
      </c>
      <c r="Q945" s="214" t="b">
        <v>1</v>
      </c>
      <c r="R945" s="214">
        <v>59.0</v>
      </c>
      <c r="S945" s="214" t="s">
        <v>535</v>
      </c>
      <c r="T945" s="214" t="s">
        <v>365</v>
      </c>
      <c r="U945" s="214"/>
    </row>
    <row r="946">
      <c r="A946" s="221">
        <v>45944.06859804398</v>
      </c>
      <c r="B946" s="214" t="s">
        <v>224</v>
      </c>
      <c r="C946" s="214" t="s">
        <v>203</v>
      </c>
      <c r="D946" s="214">
        <v>2.0</v>
      </c>
      <c r="E946" s="214">
        <v>4.0</v>
      </c>
      <c r="F946" s="214" t="s">
        <v>1434</v>
      </c>
      <c r="G946" s="214" t="s">
        <v>61</v>
      </c>
      <c r="H946" s="214" t="s">
        <v>238</v>
      </c>
      <c r="I946" s="214"/>
      <c r="J946" s="222" t="s">
        <v>67</v>
      </c>
      <c r="K946" s="222">
        <v>7.5</v>
      </c>
      <c r="L946" s="222" t="s">
        <v>67</v>
      </c>
      <c r="M946" s="222">
        <v>47.5</v>
      </c>
      <c r="N946" s="214">
        <v>134.0</v>
      </c>
      <c r="O946" s="214">
        <v>119.0</v>
      </c>
      <c r="P946" s="214">
        <v>2.0</v>
      </c>
      <c r="Q946" s="214" t="b">
        <v>0</v>
      </c>
      <c r="R946" s="214">
        <v>100.0</v>
      </c>
      <c r="S946" s="214" t="s">
        <v>556</v>
      </c>
      <c r="T946" s="214" t="s">
        <v>321</v>
      </c>
      <c r="U946" s="214"/>
    </row>
    <row r="947">
      <c r="A947" s="221">
        <v>45944.06859804398</v>
      </c>
      <c r="B947" s="214" t="s">
        <v>224</v>
      </c>
      <c r="C947" s="214" t="s">
        <v>103</v>
      </c>
      <c r="D947" s="214">
        <v>6.0</v>
      </c>
      <c r="E947" s="214">
        <v>0.0</v>
      </c>
      <c r="F947" s="214" t="s">
        <v>1435</v>
      </c>
      <c r="G947" s="214" t="s">
        <v>61</v>
      </c>
      <c r="H947" s="214" t="s">
        <v>493</v>
      </c>
      <c r="I947" s="214"/>
      <c r="J947" s="222" t="s">
        <v>67</v>
      </c>
      <c r="K947" s="222">
        <v>-10.5</v>
      </c>
      <c r="L947" s="222" t="s">
        <v>67</v>
      </c>
      <c r="M947" s="222">
        <v>52.5</v>
      </c>
      <c r="N947" s="214">
        <v>219.0</v>
      </c>
      <c r="O947" s="214">
        <v>129.0</v>
      </c>
      <c r="P947" s="214">
        <v>2.0</v>
      </c>
      <c r="Q947" s="214" t="b">
        <v>0</v>
      </c>
      <c r="R947" s="214">
        <v>100.0</v>
      </c>
      <c r="S947" s="214" t="s">
        <v>361</v>
      </c>
      <c r="T947" s="214" t="s">
        <v>365</v>
      </c>
      <c r="U947" s="214"/>
    </row>
    <row r="948">
      <c r="A948" s="221">
        <v>45944.06859804398</v>
      </c>
      <c r="B948" s="214" t="s">
        <v>224</v>
      </c>
      <c r="C948" s="214" t="s">
        <v>185</v>
      </c>
      <c r="D948" s="214">
        <v>6.0</v>
      </c>
      <c r="E948" s="214">
        <v>0.0</v>
      </c>
      <c r="F948" s="214" t="s">
        <v>1395</v>
      </c>
      <c r="G948" s="214" t="s">
        <v>61</v>
      </c>
      <c r="H948" s="214" t="s">
        <v>43</v>
      </c>
      <c r="I948" s="214"/>
      <c r="J948" s="222" t="s">
        <v>67</v>
      </c>
      <c r="K948" s="222">
        <v>-6.5</v>
      </c>
      <c r="L948" s="222" t="s">
        <v>67</v>
      </c>
      <c r="M948" s="222">
        <v>64.5</v>
      </c>
      <c r="N948" s="214">
        <v>229.0</v>
      </c>
      <c r="O948" s="214">
        <v>178.0</v>
      </c>
      <c r="P948" s="214">
        <v>2.0</v>
      </c>
      <c r="Q948" s="214" t="b">
        <v>0</v>
      </c>
      <c r="R948" s="214">
        <v>100.0</v>
      </c>
      <c r="S948" s="214" t="s">
        <v>525</v>
      </c>
      <c r="T948" s="214" t="s">
        <v>365</v>
      </c>
      <c r="U948" s="214"/>
    </row>
    <row r="949">
      <c r="A949" s="221">
        <v>45944.06859804398</v>
      </c>
      <c r="B949" s="214" t="s">
        <v>224</v>
      </c>
      <c r="C949" s="214" t="s">
        <v>191</v>
      </c>
      <c r="D949" s="214">
        <v>3.0</v>
      </c>
      <c r="E949" s="214">
        <v>4.0</v>
      </c>
      <c r="F949" s="214" t="s">
        <v>1431</v>
      </c>
      <c r="G949" s="214" t="s">
        <v>61</v>
      </c>
      <c r="H949" s="214" t="s">
        <v>311</v>
      </c>
      <c r="I949" s="214"/>
      <c r="J949" s="222" t="s">
        <v>67</v>
      </c>
      <c r="K949" s="222">
        <v>2.5</v>
      </c>
      <c r="L949" s="222" t="s">
        <v>67</v>
      </c>
      <c r="M949" s="222">
        <v>51.5</v>
      </c>
      <c r="N949" s="214">
        <v>174.0</v>
      </c>
      <c r="O949" s="214">
        <v>166.0</v>
      </c>
      <c r="P949" s="214">
        <v>2.0</v>
      </c>
      <c r="Q949" s="214" t="b">
        <v>1</v>
      </c>
      <c r="R949" s="214">
        <v>100.0</v>
      </c>
      <c r="S949" s="214" t="s">
        <v>471</v>
      </c>
      <c r="T949" s="214" t="s">
        <v>321</v>
      </c>
      <c r="U949" s="214"/>
    </row>
    <row r="950">
      <c r="A950" s="221">
        <v>45944.06859804398</v>
      </c>
      <c r="B950" s="214" t="s">
        <v>224</v>
      </c>
      <c r="C950" s="214" t="s">
        <v>166</v>
      </c>
      <c r="D950" s="214">
        <v>3.0</v>
      </c>
      <c r="E950" s="214">
        <v>3.0</v>
      </c>
      <c r="F950" s="214" t="s">
        <v>1436</v>
      </c>
      <c r="G950" s="214" t="s">
        <v>61</v>
      </c>
      <c r="H950" s="214" t="s">
        <v>156</v>
      </c>
      <c r="I950" s="214"/>
      <c r="J950" s="222" t="s">
        <v>67</v>
      </c>
      <c r="K950" s="222">
        <v>10.5</v>
      </c>
      <c r="L950" s="222" t="s">
        <v>67</v>
      </c>
      <c r="M950" s="222">
        <v>48.5</v>
      </c>
      <c r="N950" s="214">
        <v>134.0</v>
      </c>
      <c r="O950" s="214">
        <v>152.0</v>
      </c>
      <c r="P950" s="214">
        <v>2.0</v>
      </c>
      <c r="Q950" s="214" t="b">
        <v>1</v>
      </c>
      <c r="R950" s="214">
        <v>100.0</v>
      </c>
      <c r="S950" s="214" t="s">
        <v>530</v>
      </c>
      <c r="T950" s="214" t="s">
        <v>365</v>
      </c>
      <c r="U950" s="214"/>
    </row>
    <row r="951">
      <c r="A951" s="221">
        <v>45944.06859804398</v>
      </c>
      <c r="B951" s="214" t="s">
        <v>224</v>
      </c>
      <c r="C951" s="214" t="s">
        <v>113</v>
      </c>
      <c r="D951" s="214">
        <v>3.0</v>
      </c>
      <c r="E951" s="214">
        <v>3.0</v>
      </c>
      <c r="F951" s="214" t="s">
        <v>1437</v>
      </c>
      <c r="G951" s="214" t="s">
        <v>61</v>
      </c>
      <c r="H951" s="214" t="s">
        <v>238</v>
      </c>
      <c r="I951" s="214"/>
      <c r="J951" s="222" t="s">
        <v>67</v>
      </c>
      <c r="K951" s="222">
        <v>-10.0</v>
      </c>
      <c r="L951" s="222" t="s">
        <v>67</v>
      </c>
      <c r="M951" s="222">
        <v>57.5</v>
      </c>
      <c r="N951" s="214">
        <v>265.0</v>
      </c>
      <c r="O951" s="214">
        <v>138.0</v>
      </c>
      <c r="P951" s="214">
        <v>2.0</v>
      </c>
      <c r="Q951" s="214" t="b">
        <v>0</v>
      </c>
      <c r="R951" s="214">
        <v>100.0</v>
      </c>
      <c r="S951" s="214" t="s">
        <v>317</v>
      </c>
      <c r="T951" s="214" t="s">
        <v>321</v>
      </c>
      <c r="U951" s="214"/>
    </row>
    <row r="952">
      <c r="A952" s="221">
        <v>45944.06859804398</v>
      </c>
      <c r="B952" s="214" t="s">
        <v>224</v>
      </c>
      <c r="C952" s="214" t="s">
        <v>140</v>
      </c>
      <c r="D952" s="214">
        <v>3.0</v>
      </c>
      <c r="E952" s="214">
        <v>3.0</v>
      </c>
      <c r="F952" s="214" t="s">
        <v>1417</v>
      </c>
      <c r="G952" s="214" t="s">
        <v>61</v>
      </c>
      <c r="H952" s="214" t="s">
        <v>62</v>
      </c>
      <c r="I952" s="214"/>
      <c r="J952" s="222" t="s">
        <v>67</v>
      </c>
      <c r="K952" s="222">
        <v>-8.5</v>
      </c>
      <c r="L952" s="222" t="s">
        <v>67</v>
      </c>
      <c r="M952" s="222">
        <v>54.5</v>
      </c>
      <c r="N952" s="214">
        <v>177.0</v>
      </c>
      <c r="O952" s="214">
        <v>191.0</v>
      </c>
      <c r="P952" s="214">
        <v>2.0</v>
      </c>
      <c r="Q952" s="214" t="b">
        <v>0</v>
      </c>
      <c r="R952" s="214">
        <v>100.0</v>
      </c>
      <c r="S952" s="214" t="s">
        <v>407</v>
      </c>
      <c r="T952" s="214" t="s">
        <v>321</v>
      </c>
      <c r="U952" s="214"/>
    </row>
    <row r="953">
      <c r="A953" s="221">
        <v>45944.06859804398</v>
      </c>
      <c r="B953" s="214" t="s">
        <v>224</v>
      </c>
      <c r="C953" s="214" t="s">
        <v>216</v>
      </c>
      <c r="D953" s="214">
        <v>2.0</v>
      </c>
      <c r="E953" s="214">
        <v>4.0</v>
      </c>
      <c r="F953" s="214" t="s">
        <v>1438</v>
      </c>
      <c r="G953" s="214" t="s">
        <v>61</v>
      </c>
      <c r="H953" s="214" t="s">
        <v>493</v>
      </c>
      <c r="I953" s="214"/>
      <c r="J953" s="222" t="s">
        <v>67</v>
      </c>
      <c r="K953" s="222">
        <v>3.5</v>
      </c>
      <c r="L953" s="222" t="s">
        <v>67</v>
      </c>
      <c r="M953" s="222">
        <v>59.5</v>
      </c>
      <c r="N953" s="214">
        <v>165.0</v>
      </c>
      <c r="O953" s="214">
        <v>225.0</v>
      </c>
      <c r="P953" s="214">
        <v>2.0</v>
      </c>
      <c r="Q953" s="214" t="b">
        <v>1</v>
      </c>
      <c r="R953" s="214">
        <v>100.0</v>
      </c>
      <c r="S953" s="214" t="s">
        <v>441</v>
      </c>
      <c r="T953" s="214" t="s">
        <v>365</v>
      </c>
      <c r="U953" s="214"/>
    </row>
    <row r="954">
      <c r="A954" s="221">
        <v>45944.06859804398</v>
      </c>
      <c r="B954" s="214" t="s">
        <v>224</v>
      </c>
      <c r="C954" s="214" t="s">
        <v>226</v>
      </c>
      <c r="D954" s="214">
        <v>6.0</v>
      </c>
      <c r="E954" s="214">
        <v>0.0</v>
      </c>
      <c r="F954" s="214" t="s">
        <v>1439</v>
      </c>
      <c r="G954" s="214" t="s">
        <v>597</v>
      </c>
      <c r="H954" s="214" t="s">
        <v>493</v>
      </c>
      <c r="I954" s="214"/>
      <c r="J954" s="222" t="s">
        <v>67</v>
      </c>
      <c r="K954" s="222">
        <v>-1.5</v>
      </c>
      <c r="L954" s="222" t="s">
        <v>67</v>
      </c>
      <c r="M954" s="222">
        <v>47.5</v>
      </c>
      <c r="N954" s="214">
        <v>225.0</v>
      </c>
      <c r="O954" s="214">
        <v>88.0</v>
      </c>
      <c r="P954" s="214">
        <v>2.0</v>
      </c>
      <c r="Q954" s="214" t="b">
        <v>0</v>
      </c>
      <c r="R954" s="214">
        <v>100.0</v>
      </c>
      <c r="S954" s="214" t="s">
        <v>471</v>
      </c>
      <c r="T954" s="214" t="s">
        <v>321</v>
      </c>
      <c r="U954" s="214"/>
    </row>
    <row r="955">
      <c r="A955" s="221">
        <v>45944.06859804398</v>
      </c>
      <c r="B955" s="214"/>
      <c r="C955" s="214"/>
      <c r="D955" s="214"/>
      <c r="E955" s="214"/>
      <c r="F955" s="214"/>
      <c r="G955" s="214"/>
      <c r="H955" s="214"/>
      <c r="I955" s="214"/>
      <c r="J955" s="222"/>
      <c r="K955" s="222"/>
      <c r="L955" s="222"/>
      <c r="M955" s="222"/>
      <c r="N955" s="214"/>
      <c r="O955" s="214"/>
      <c r="P955" s="214"/>
      <c r="Q955" s="214"/>
      <c r="R955" s="214"/>
      <c r="S955" s="214"/>
      <c r="T955" s="214"/>
      <c r="U955" s="214"/>
    </row>
    <row r="956">
      <c r="A956" s="221">
        <v>45944.06859804398</v>
      </c>
      <c r="B956" s="214" t="s">
        <v>96</v>
      </c>
      <c r="C956" s="214" t="s">
        <v>173</v>
      </c>
      <c r="D956" s="214">
        <v>3.0</v>
      </c>
      <c r="E956" s="214">
        <v>3.0</v>
      </c>
      <c r="F956" s="214"/>
      <c r="G956" s="214"/>
      <c r="H956" s="214"/>
      <c r="I956" s="214"/>
      <c r="J956" s="222"/>
      <c r="K956" s="222"/>
      <c r="L956" s="222"/>
      <c r="M956" s="222"/>
      <c r="N956" s="214">
        <v>158.0</v>
      </c>
      <c r="O956" s="214">
        <v>156.0</v>
      </c>
      <c r="P956" s="214">
        <v>0.0</v>
      </c>
      <c r="Q956" s="214" t="b">
        <v>1</v>
      </c>
      <c r="R956" s="214">
        <v>59.0</v>
      </c>
      <c r="S956" s="214" t="s">
        <v>530</v>
      </c>
      <c r="T956" s="214" t="s">
        <v>365</v>
      </c>
      <c r="U956" s="214"/>
    </row>
    <row r="957">
      <c r="A957" s="221">
        <v>45944.06859804398</v>
      </c>
      <c r="B957" s="214" t="s">
        <v>96</v>
      </c>
      <c r="C957" s="214" t="s">
        <v>121</v>
      </c>
      <c r="D957" s="214">
        <v>5.0</v>
      </c>
      <c r="E957" s="214">
        <v>1.0</v>
      </c>
      <c r="F957" s="214"/>
      <c r="G957" s="214"/>
      <c r="H957" s="214"/>
      <c r="I957" s="214"/>
      <c r="J957" s="222"/>
      <c r="K957" s="222"/>
      <c r="L957" s="222"/>
      <c r="M957" s="222"/>
      <c r="N957" s="214">
        <v>258.0</v>
      </c>
      <c r="O957" s="214">
        <v>143.0</v>
      </c>
      <c r="P957" s="214">
        <v>0.0</v>
      </c>
      <c r="Q957" s="214" t="b">
        <v>1</v>
      </c>
      <c r="R957" s="214">
        <v>59.0</v>
      </c>
      <c r="S957" s="214" t="s">
        <v>317</v>
      </c>
      <c r="T957" s="214" t="s">
        <v>321</v>
      </c>
      <c r="U957" s="214"/>
    </row>
    <row r="958">
      <c r="A958" s="221">
        <v>45944.06859804398</v>
      </c>
      <c r="B958" s="214" t="s">
        <v>96</v>
      </c>
      <c r="C958" s="214" t="s">
        <v>536</v>
      </c>
      <c r="D958" s="214">
        <v>5.0</v>
      </c>
      <c r="E958" s="214">
        <v>2.0</v>
      </c>
      <c r="F958" s="214" t="s">
        <v>1428</v>
      </c>
      <c r="G958" s="214" t="s">
        <v>61</v>
      </c>
      <c r="H958" s="214" t="s">
        <v>311</v>
      </c>
      <c r="I958" s="214"/>
      <c r="J958" s="222" t="s">
        <v>67</v>
      </c>
      <c r="K958" s="222">
        <v>1.5</v>
      </c>
      <c r="L958" s="222" t="s">
        <v>67</v>
      </c>
      <c r="M958" s="222">
        <v>57.5</v>
      </c>
      <c r="N958" s="214">
        <v>198.0</v>
      </c>
      <c r="O958" s="214">
        <v>167.0</v>
      </c>
      <c r="P958" s="214">
        <v>2.0</v>
      </c>
      <c r="Q958" s="214" t="b">
        <v>1</v>
      </c>
      <c r="R958" s="214">
        <v>100.0</v>
      </c>
      <c r="S958" s="214" t="s">
        <v>525</v>
      </c>
      <c r="T958" s="214" t="s">
        <v>365</v>
      </c>
      <c r="U958" s="214"/>
    </row>
    <row r="959">
      <c r="A959" s="221">
        <v>45944.06859804398</v>
      </c>
      <c r="B959" s="214" t="s">
        <v>96</v>
      </c>
      <c r="C959" s="214" t="s">
        <v>204</v>
      </c>
      <c r="D959" s="214">
        <v>5.0</v>
      </c>
      <c r="E959" s="214">
        <v>1.0</v>
      </c>
      <c r="F959" s="214" t="s">
        <v>1392</v>
      </c>
      <c r="G959" s="214" t="s">
        <v>61</v>
      </c>
      <c r="H959" s="214" t="s">
        <v>43</v>
      </c>
      <c r="I959" s="214"/>
      <c r="J959" s="222" t="s">
        <v>67</v>
      </c>
      <c r="K959" s="222">
        <v>-3.5</v>
      </c>
      <c r="L959" s="222" t="s">
        <v>67</v>
      </c>
      <c r="M959" s="222">
        <v>46.5</v>
      </c>
      <c r="N959" s="214">
        <v>193.0</v>
      </c>
      <c r="O959" s="214">
        <v>102.0</v>
      </c>
      <c r="P959" s="214">
        <v>2.0</v>
      </c>
      <c r="Q959" s="214" t="b">
        <v>1</v>
      </c>
      <c r="R959" s="214">
        <v>100.0</v>
      </c>
      <c r="S959" s="214" t="s">
        <v>556</v>
      </c>
      <c r="T959" s="214" t="s">
        <v>321</v>
      </c>
      <c r="U959" s="214"/>
    </row>
    <row r="960">
      <c r="A960" s="221">
        <v>45944.06859804398</v>
      </c>
      <c r="B960" s="214" t="s">
        <v>96</v>
      </c>
      <c r="C960" s="214" t="s">
        <v>229</v>
      </c>
      <c r="D960" s="214">
        <v>4.0</v>
      </c>
      <c r="E960" s="214">
        <v>2.0</v>
      </c>
      <c r="F960" s="214" t="s">
        <v>1404</v>
      </c>
      <c r="G960" s="214" t="s">
        <v>61</v>
      </c>
      <c r="H960" s="214" t="s">
        <v>95</v>
      </c>
      <c r="I960" s="214"/>
      <c r="J960" s="222" t="s">
        <v>67</v>
      </c>
      <c r="K960" s="222">
        <v>-22.5</v>
      </c>
      <c r="L960" s="222" t="s">
        <v>67</v>
      </c>
      <c r="M960" s="222">
        <v>58.5</v>
      </c>
      <c r="N960" s="214">
        <v>240.0</v>
      </c>
      <c r="O960" s="214">
        <v>125.0</v>
      </c>
      <c r="P960" s="214">
        <v>2.0</v>
      </c>
      <c r="Q960" s="214" t="b">
        <v>0</v>
      </c>
      <c r="R960" s="214">
        <v>100.0</v>
      </c>
      <c r="S960" s="214" t="s">
        <v>725</v>
      </c>
      <c r="T960" s="214"/>
      <c r="U960" s="214"/>
    </row>
    <row r="961">
      <c r="A961" s="221">
        <v>45944.06859804398</v>
      </c>
      <c r="B961" s="214" t="s">
        <v>96</v>
      </c>
      <c r="C961" s="214" t="s">
        <v>142</v>
      </c>
      <c r="D961" s="214">
        <v>5.0</v>
      </c>
      <c r="E961" s="214">
        <v>1.0</v>
      </c>
      <c r="F961" s="214" t="s">
        <v>1440</v>
      </c>
      <c r="G961" s="214" t="s">
        <v>61</v>
      </c>
      <c r="H961" s="214" t="s">
        <v>493</v>
      </c>
      <c r="I961" s="214"/>
      <c r="J961" s="222" t="s">
        <v>67</v>
      </c>
      <c r="K961" s="222">
        <v>-6.5</v>
      </c>
      <c r="L961" s="222" t="s">
        <v>67</v>
      </c>
      <c r="M961" s="222">
        <v>47.5</v>
      </c>
      <c r="N961" s="214">
        <v>246.0</v>
      </c>
      <c r="O961" s="214">
        <v>112.0</v>
      </c>
      <c r="P961" s="214">
        <v>2.0</v>
      </c>
      <c r="Q961" s="214" t="b">
        <v>1</v>
      </c>
      <c r="R961" s="214">
        <v>100.0</v>
      </c>
      <c r="S961" s="214" t="s">
        <v>407</v>
      </c>
      <c r="T961" s="214" t="s">
        <v>321</v>
      </c>
      <c r="U961" s="214"/>
    </row>
    <row r="962">
      <c r="A962" s="221">
        <v>45944.06859804398</v>
      </c>
      <c r="B962" s="214" t="s">
        <v>96</v>
      </c>
      <c r="C962" s="214" t="s">
        <v>129</v>
      </c>
      <c r="D962" s="214">
        <v>1.0</v>
      </c>
      <c r="E962" s="214">
        <v>5.0</v>
      </c>
      <c r="F962" s="214" t="s">
        <v>1441</v>
      </c>
      <c r="G962" s="214" t="s">
        <v>61</v>
      </c>
      <c r="H962" s="214" t="s">
        <v>395</v>
      </c>
      <c r="I962" s="214"/>
      <c r="J962" s="222" t="s">
        <v>67</v>
      </c>
      <c r="K962" s="222">
        <v>14.5</v>
      </c>
      <c r="L962" s="222" t="s">
        <v>67</v>
      </c>
      <c r="M962" s="222">
        <v>47.5</v>
      </c>
      <c r="N962" s="214">
        <v>99.0</v>
      </c>
      <c r="O962" s="214">
        <v>220.0</v>
      </c>
      <c r="P962" s="214">
        <v>2.0</v>
      </c>
      <c r="Q962" s="214" t="b">
        <v>1</v>
      </c>
      <c r="R962" s="214">
        <v>100.0</v>
      </c>
      <c r="S962" s="214" t="s">
        <v>471</v>
      </c>
      <c r="T962" s="214" t="s">
        <v>321</v>
      </c>
      <c r="U962" s="214"/>
    </row>
    <row r="963">
      <c r="A963" s="221">
        <v>45944.06859804398</v>
      </c>
      <c r="B963" s="214" t="s">
        <v>96</v>
      </c>
      <c r="C963" s="214" t="s">
        <v>105</v>
      </c>
      <c r="D963" s="214">
        <v>5.0</v>
      </c>
      <c r="E963" s="214">
        <v>1.0</v>
      </c>
      <c r="F963" s="214" t="s">
        <v>1442</v>
      </c>
      <c r="G963" s="214" t="s">
        <v>61</v>
      </c>
      <c r="H963" s="214" t="s">
        <v>156</v>
      </c>
      <c r="I963" s="214"/>
      <c r="J963" s="222" t="s">
        <v>67</v>
      </c>
      <c r="K963" s="222">
        <v>1.5</v>
      </c>
      <c r="L963" s="222" t="s">
        <v>67</v>
      </c>
      <c r="M963" s="222">
        <v>66.5</v>
      </c>
      <c r="N963" s="214">
        <v>244.0</v>
      </c>
      <c r="O963" s="214">
        <v>148.0</v>
      </c>
      <c r="P963" s="214">
        <v>2.0</v>
      </c>
      <c r="Q963" s="214" t="b">
        <v>1</v>
      </c>
      <c r="R963" s="214">
        <v>100.0</v>
      </c>
      <c r="S963" s="214" t="s">
        <v>361</v>
      </c>
      <c r="T963" s="214" t="s">
        <v>365</v>
      </c>
      <c r="U963" s="214"/>
    </row>
    <row r="964">
      <c r="A964" s="221">
        <v>45944.06859804398</v>
      </c>
      <c r="B964" s="214" t="s">
        <v>96</v>
      </c>
      <c r="C964" s="214" t="s">
        <v>153</v>
      </c>
      <c r="D964" s="214">
        <v>1.0</v>
      </c>
      <c r="E964" s="214">
        <v>5.0</v>
      </c>
      <c r="F964" s="214" t="s">
        <v>1427</v>
      </c>
      <c r="G964" s="214" t="s">
        <v>61</v>
      </c>
      <c r="H964" s="214" t="s">
        <v>193</v>
      </c>
      <c r="I964" s="214"/>
      <c r="J964" s="222" t="s">
        <v>67</v>
      </c>
      <c r="K964" s="222">
        <v>2.5</v>
      </c>
      <c r="L964" s="222" t="s">
        <v>67</v>
      </c>
      <c r="M964" s="222">
        <v>50.5</v>
      </c>
      <c r="N964" s="214">
        <v>102.0</v>
      </c>
      <c r="O964" s="214">
        <v>177.0</v>
      </c>
      <c r="P964" s="214">
        <v>2.0</v>
      </c>
      <c r="Q964" s="214" t="b">
        <v>0</v>
      </c>
      <c r="R964" s="214">
        <v>100.0</v>
      </c>
      <c r="S964" s="214" t="s">
        <v>535</v>
      </c>
      <c r="T964" s="214" t="s">
        <v>365</v>
      </c>
      <c r="U964" s="214"/>
    </row>
    <row r="965">
      <c r="A965" s="221">
        <v>45944.06859804398</v>
      </c>
      <c r="B965" s="214" t="s">
        <v>96</v>
      </c>
      <c r="C965" s="214" t="s">
        <v>222</v>
      </c>
      <c r="D965" s="214">
        <v>4.0</v>
      </c>
      <c r="E965" s="214">
        <v>2.0</v>
      </c>
      <c r="F965" s="214" t="s">
        <v>1412</v>
      </c>
      <c r="G965" s="214" t="s">
        <v>532</v>
      </c>
      <c r="H965" s="214" t="s">
        <v>95</v>
      </c>
      <c r="I965" s="214"/>
      <c r="J965" s="222" t="s">
        <v>67</v>
      </c>
      <c r="K965" s="222">
        <v>7.5</v>
      </c>
      <c r="L965" s="222" t="s">
        <v>67</v>
      </c>
      <c r="M965" s="222">
        <v>54.5</v>
      </c>
      <c r="N965" s="214">
        <v>161.0</v>
      </c>
      <c r="O965" s="214">
        <v>157.0</v>
      </c>
      <c r="P965" s="214">
        <v>2.0</v>
      </c>
      <c r="Q965" s="214" t="b">
        <v>0</v>
      </c>
      <c r="R965" s="214">
        <v>100.0</v>
      </c>
      <c r="S965" s="214" t="s">
        <v>441</v>
      </c>
      <c r="T965" s="214" t="s">
        <v>365</v>
      </c>
      <c r="U965" s="214"/>
    </row>
    <row r="966">
      <c r="A966" s="221">
        <v>45944.06859804398</v>
      </c>
      <c r="B966" s="214"/>
      <c r="C966" s="214"/>
      <c r="D966" s="214"/>
      <c r="E966" s="214"/>
      <c r="F966" s="214"/>
      <c r="G966" s="214"/>
      <c r="H966" s="214"/>
      <c r="I966" s="214"/>
      <c r="J966" s="222"/>
      <c r="K966" s="222"/>
      <c r="L966" s="222"/>
      <c r="M966" s="222"/>
      <c r="N966" s="214"/>
      <c r="O966" s="214"/>
      <c r="P966" s="214"/>
      <c r="Q966" s="214"/>
      <c r="R966" s="214"/>
      <c r="S966" s="214"/>
      <c r="T966" s="214"/>
      <c r="U966" s="214"/>
    </row>
    <row r="967">
      <c r="A967" s="221">
        <v>45944.06859804398</v>
      </c>
      <c r="B967" s="214" t="s">
        <v>238</v>
      </c>
      <c r="C967" s="214" t="s">
        <v>102</v>
      </c>
      <c r="D967" s="214">
        <v>6.0</v>
      </c>
      <c r="E967" s="214">
        <v>0.0</v>
      </c>
      <c r="F967" s="214"/>
      <c r="G967" s="214"/>
      <c r="H967" s="214"/>
      <c r="I967" s="214"/>
      <c r="J967" s="222"/>
      <c r="K967" s="222"/>
      <c r="L967" s="222"/>
      <c r="M967" s="222"/>
      <c r="N967" s="214">
        <v>243.0</v>
      </c>
      <c r="O967" s="214">
        <v>97.0</v>
      </c>
      <c r="P967" s="214">
        <v>0.0</v>
      </c>
      <c r="Q967" s="214" t="b">
        <v>1</v>
      </c>
      <c r="R967" s="214">
        <v>59.0</v>
      </c>
      <c r="S967" s="214" t="s">
        <v>361</v>
      </c>
      <c r="T967" s="214" t="s">
        <v>365</v>
      </c>
      <c r="U967" s="214"/>
    </row>
    <row r="968">
      <c r="A968" s="221">
        <v>45944.06859804398</v>
      </c>
      <c r="B968" s="214" t="s">
        <v>238</v>
      </c>
      <c r="C968" s="214" t="s">
        <v>220</v>
      </c>
      <c r="D968" s="214">
        <v>1.0</v>
      </c>
      <c r="E968" s="214">
        <v>5.0</v>
      </c>
      <c r="F968" s="214"/>
      <c r="G968" s="214"/>
      <c r="H968" s="214"/>
      <c r="I968" s="214"/>
      <c r="J968" s="222"/>
      <c r="K968" s="222"/>
      <c r="L968" s="222"/>
      <c r="M968" s="222"/>
      <c r="N968" s="214">
        <v>150.0</v>
      </c>
      <c r="O968" s="214">
        <v>190.0</v>
      </c>
      <c r="P968" s="214">
        <v>0.0</v>
      </c>
      <c r="Q968" s="214" t="b">
        <v>1</v>
      </c>
      <c r="R968" s="214">
        <v>59.0</v>
      </c>
      <c r="S968" s="214" t="s">
        <v>441</v>
      </c>
      <c r="T968" s="214" t="s">
        <v>365</v>
      </c>
      <c r="U968" s="214"/>
    </row>
    <row r="969">
      <c r="A969" s="221">
        <v>45944.06859804398</v>
      </c>
      <c r="B969" s="214" t="s">
        <v>238</v>
      </c>
      <c r="C969" s="214" t="s">
        <v>141</v>
      </c>
      <c r="D969" s="214">
        <v>4.0</v>
      </c>
      <c r="E969" s="214">
        <v>2.0</v>
      </c>
      <c r="F969" s="214" t="s">
        <v>1443</v>
      </c>
      <c r="G969" s="214" t="s">
        <v>61</v>
      </c>
      <c r="H969" s="214" t="s">
        <v>493</v>
      </c>
      <c r="I969" s="214"/>
      <c r="J969" s="222" t="s">
        <v>67</v>
      </c>
      <c r="K969" s="222">
        <v>-8.5</v>
      </c>
      <c r="L969" s="222" t="s">
        <v>67</v>
      </c>
      <c r="M969" s="222">
        <v>49.5</v>
      </c>
      <c r="N969" s="214">
        <v>164.0</v>
      </c>
      <c r="O969" s="214">
        <v>127.0</v>
      </c>
      <c r="P969" s="214">
        <v>2.0</v>
      </c>
      <c r="Q969" s="214" t="b">
        <v>1</v>
      </c>
      <c r="R969" s="214">
        <v>100.0</v>
      </c>
      <c r="S969" s="214" t="s">
        <v>407</v>
      </c>
      <c r="T969" s="214" t="s">
        <v>321</v>
      </c>
      <c r="U969" s="214"/>
    </row>
    <row r="970">
      <c r="A970" s="221">
        <v>45944.06859804398</v>
      </c>
      <c r="B970" s="214" t="s">
        <v>238</v>
      </c>
      <c r="C970" s="214" t="s">
        <v>549</v>
      </c>
      <c r="D970" s="214">
        <v>2.0</v>
      </c>
      <c r="E970" s="214">
        <v>4.0</v>
      </c>
      <c r="F970" s="214" t="s">
        <v>1444</v>
      </c>
      <c r="G970" s="214" t="s">
        <v>61</v>
      </c>
      <c r="H970" s="214" t="s">
        <v>132</v>
      </c>
      <c r="I970" s="214"/>
      <c r="J970" s="222" t="s">
        <v>67</v>
      </c>
      <c r="K970" s="222">
        <v>-2.5</v>
      </c>
      <c r="L970" s="222" t="s">
        <v>67</v>
      </c>
      <c r="M970" s="222">
        <v>49.5</v>
      </c>
      <c r="N970" s="214">
        <v>144.0</v>
      </c>
      <c r="O970" s="214">
        <v>175.0</v>
      </c>
      <c r="P970" s="214">
        <v>2.0</v>
      </c>
      <c r="Q970" s="214" t="b">
        <v>1</v>
      </c>
      <c r="R970" s="214">
        <v>100.0</v>
      </c>
      <c r="S970" s="214" t="s">
        <v>525</v>
      </c>
      <c r="T970" s="214" t="s">
        <v>365</v>
      </c>
      <c r="U970" s="214"/>
    </row>
    <row r="971">
      <c r="A971" s="221">
        <v>45944.06859804398</v>
      </c>
      <c r="B971" s="214" t="s">
        <v>238</v>
      </c>
      <c r="C971" s="214" t="s">
        <v>539</v>
      </c>
      <c r="D971" s="214">
        <v>6.0</v>
      </c>
      <c r="E971" s="214">
        <v>0.0</v>
      </c>
      <c r="F971" s="214" t="s">
        <v>1434</v>
      </c>
      <c r="G971" s="214" t="s">
        <v>61</v>
      </c>
      <c r="H971" s="214" t="s">
        <v>224</v>
      </c>
      <c r="I971" s="214"/>
      <c r="J971" s="222" t="s">
        <v>67</v>
      </c>
      <c r="K971" s="222">
        <v>-7.5</v>
      </c>
      <c r="L971" s="222" t="s">
        <v>67</v>
      </c>
      <c r="M971" s="222">
        <v>47.5</v>
      </c>
      <c r="N971" s="214">
        <v>208.0</v>
      </c>
      <c r="O971" s="214">
        <v>122.0</v>
      </c>
      <c r="P971" s="214">
        <v>2.0</v>
      </c>
      <c r="Q971" s="214" t="b">
        <v>1</v>
      </c>
      <c r="R971" s="214">
        <v>100.0</v>
      </c>
      <c r="S971" s="214" t="s">
        <v>556</v>
      </c>
      <c r="T971" s="214" t="s">
        <v>321</v>
      </c>
      <c r="U971" s="214"/>
    </row>
    <row r="972">
      <c r="A972" s="221">
        <v>45944.06859804398</v>
      </c>
      <c r="B972" s="214" t="s">
        <v>238</v>
      </c>
      <c r="C972" s="214" t="s">
        <v>148</v>
      </c>
      <c r="D972" s="214">
        <v>2.0</v>
      </c>
      <c r="E972" s="214">
        <v>4.0</v>
      </c>
      <c r="F972" s="214" t="s">
        <v>1445</v>
      </c>
      <c r="G972" s="214" t="s">
        <v>61</v>
      </c>
      <c r="H972" s="214" t="s">
        <v>249</v>
      </c>
      <c r="I972" s="214"/>
      <c r="J972" s="222" t="s">
        <v>67</v>
      </c>
      <c r="K972" s="222">
        <v>3.5</v>
      </c>
      <c r="L972" s="222" t="s">
        <v>67</v>
      </c>
      <c r="M972" s="222">
        <v>36.5</v>
      </c>
      <c r="N972" s="214">
        <v>93.0</v>
      </c>
      <c r="O972" s="214">
        <v>136.0</v>
      </c>
      <c r="P972" s="214">
        <v>2.0</v>
      </c>
      <c r="Q972" s="214" t="b">
        <v>0</v>
      </c>
      <c r="R972" s="214">
        <v>100.0</v>
      </c>
      <c r="S972" s="214" t="s">
        <v>407</v>
      </c>
      <c r="T972" s="214" t="s">
        <v>321</v>
      </c>
      <c r="U972" s="214"/>
    </row>
    <row r="973">
      <c r="A973" s="221">
        <v>45944.06859804398</v>
      </c>
      <c r="B973" s="214" t="s">
        <v>238</v>
      </c>
      <c r="C973" s="214" t="s">
        <v>119</v>
      </c>
      <c r="D973" s="214">
        <v>4.0</v>
      </c>
      <c r="E973" s="214">
        <v>2.0</v>
      </c>
      <c r="F973" s="214" t="s">
        <v>1437</v>
      </c>
      <c r="G973" s="214" t="s">
        <v>61</v>
      </c>
      <c r="H973" s="214" t="s">
        <v>224</v>
      </c>
      <c r="I973" s="214"/>
      <c r="J973" s="222" t="s">
        <v>67</v>
      </c>
      <c r="K973" s="222">
        <v>10.0</v>
      </c>
      <c r="L973" s="222" t="s">
        <v>67</v>
      </c>
      <c r="M973" s="222">
        <v>57.5</v>
      </c>
      <c r="N973" s="214">
        <v>239.0</v>
      </c>
      <c r="O973" s="214">
        <v>129.0</v>
      </c>
      <c r="P973" s="214">
        <v>2.0</v>
      </c>
      <c r="Q973" s="214" t="b">
        <v>1</v>
      </c>
      <c r="R973" s="214">
        <v>100.0</v>
      </c>
      <c r="S973" s="214" t="s">
        <v>317</v>
      </c>
      <c r="T973" s="214" t="s">
        <v>321</v>
      </c>
      <c r="U973" s="214"/>
    </row>
    <row r="974">
      <c r="A974" s="221">
        <v>45944.06859804398</v>
      </c>
      <c r="B974" s="214" t="s">
        <v>238</v>
      </c>
      <c r="C974" s="214" t="s">
        <v>98</v>
      </c>
      <c r="D974" s="214">
        <v>5.0</v>
      </c>
      <c r="E974" s="214">
        <v>1.0</v>
      </c>
      <c r="F974" s="214" t="s">
        <v>1446</v>
      </c>
      <c r="G974" s="214" t="s">
        <v>61</v>
      </c>
      <c r="H974" s="214" t="s">
        <v>156</v>
      </c>
      <c r="I974" s="214"/>
      <c r="J974" s="222" t="s">
        <v>67</v>
      </c>
      <c r="K974" s="222">
        <v>-10.5</v>
      </c>
      <c r="L974" s="222" t="s">
        <v>67</v>
      </c>
      <c r="M974" s="222">
        <v>53.5</v>
      </c>
      <c r="N974" s="214">
        <v>216.0</v>
      </c>
      <c r="O974" s="214">
        <v>115.0</v>
      </c>
      <c r="P974" s="214">
        <v>2.0</v>
      </c>
      <c r="Q974" s="214" t="b">
        <v>0</v>
      </c>
      <c r="R974" s="214">
        <v>100.0</v>
      </c>
      <c r="S974" s="214" t="s">
        <v>471</v>
      </c>
      <c r="T974" s="214" t="s">
        <v>321</v>
      </c>
      <c r="U974" s="214"/>
    </row>
    <row r="975">
      <c r="A975" s="221">
        <v>45944.06859804398</v>
      </c>
      <c r="B975" s="214" t="s">
        <v>238</v>
      </c>
      <c r="C975" s="214" t="s">
        <v>548</v>
      </c>
      <c r="D975" s="214">
        <v>3.0</v>
      </c>
      <c r="E975" s="214">
        <v>3.0</v>
      </c>
      <c r="F975" s="214" t="s">
        <v>1426</v>
      </c>
      <c r="G975" s="214" t="s">
        <v>61</v>
      </c>
      <c r="H975" s="214" t="s">
        <v>193</v>
      </c>
      <c r="I975" s="214"/>
      <c r="J975" s="222" t="s">
        <v>67</v>
      </c>
      <c r="K975" s="222">
        <v>-11.5</v>
      </c>
      <c r="L975" s="222" t="s">
        <v>67</v>
      </c>
      <c r="M975" s="222">
        <v>46.5</v>
      </c>
      <c r="N975" s="214">
        <v>138.0</v>
      </c>
      <c r="O975" s="214">
        <v>124.0</v>
      </c>
      <c r="P975" s="214">
        <v>2.0</v>
      </c>
      <c r="Q975" s="214" t="b">
        <v>1</v>
      </c>
      <c r="R975" s="214">
        <v>100.0</v>
      </c>
      <c r="S975" s="214" t="s">
        <v>530</v>
      </c>
      <c r="T975" s="214" t="s">
        <v>365</v>
      </c>
      <c r="U975" s="214"/>
    </row>
    <row r="976">
      <c r="A976" s="221">
        <v>45944.06859804398</v>
      </c>
      <c r="B976" s="214" t="s">
        <v>238</v>
      </c>
      <c r="C976" s="214" t="s">
        <v>160</v>
      </c>
      <c r="D976" s="214">
        <v>1.0</v>
      </c>
      <c r="E976" s="214">
        <v>5.0</v>
      </c>
      <c r="F976" s="214" t="s">
        <v>1420</v>
      </c>
      <c r="G976" s="214" t="s">
        <v>61</v>
      </c>
      <c r="H976" s="214" t="s">
        <v>62</v>
      </c>
      <c r="I976" s="214"/>
      <c r="J976" s="222" t="s">
        <v>67</v>
      </c>
      <c r="K976" s="222">
        <v>1.5</v>
      </c>
      <c r="L976" s="222" t="s">
        <v>67</v>
      </c>
      <c r="M976" s="222">
        <v>47.5</v>
      </c>
      <c r="N976" s="214">
        <v>112.0</v>
      </c>
      <c r="O976" s="214">
        <v>152.0</v>
      </c>
      <c r="P976" s="214">
        <v>2.0</v>
      </c>
      <c r="Q976" s="214" t="b">
        <v>0</v>
      </c>
      <c r="R976" s="214">
        <v>100.0</v>
      </c>
      <c r="S976" s="214" t="s">
        <v>535</v>
      </c>
      <c r="T976" s="214" t="s">
        <v>365</v>
      </c>
      <c r="U976" s="214"/>
    </row>
    <row r="977">
      <c r="A977" s="221">
        <v>45944.06859804398</v>
      </c>
      <c r="B977" s="214"/>
      <c r="C977" s="214"/>
      <c r="D977" s="214"/>
      <c r="E977" s="214"/>
      <c r="F977" s="214"/>
      <c r="G977" s="214"/>
      <c r="H977" s="214"/>
      <c r="I977" s="214"/>
      <c r="J977" s="222"/>
      <c r="K977" s="222"/>
      <c r="L977" s="222"/>
      <c r="M977" s="222"/>
      <c r="N977" s="214"/>
      <c r="O977" s="214"/>
      <c r="P977" s="214"/>
      <c r="Q977" s="214"/>
      <c r="R977" s="214"/>
      <c r="S977" s="214"/>
      <c r="T977" s="214"/>
      <c r="U977" s="214"/>
    </row>
    <row r="978">
      <c r="A978" s="221">
        <v>45944.06859804398</v>
      </c>
      <c r="B978" s="214" t="s">
        <v>156</v>
      </c>
      <c r="C978" s="214" t="s">
        <v>116</v>
      </c>
      <c r="D978" s="214">
        <v>5.0</v>
      </c>
      <c r="E978" s="214">
        <v>0.0</v>
      </c>
      <c r="F978" s="214"/>
      <c r="G978" s="214"/>
      <c r="H978" s="214"/>
      <c r="I978" s="214"/>
      <c r="J978" s="222"/>
      <c r="K978" s="222"/>
      <c r="L978" s="222"/>
      <c r="M978" s="222"/>
      <c r="N978" s="214">
        <v>175.0</v>
      </c>
      <c r="O978" s="214">
        <v>68.0</v>
      </c>
      <c r="P978" s="214">
        <v>0.0</v>
      </c>
      <c r="Q978" s="214" t="b">
        <v>1</v>
      </c>
      <c r="R978" s="214">
        <v>59.0</v>
      </c>
      <c r="S978" s="214" t="s">
        <v>317</v>
      </c>
      <c r="T978" s="214" t="s">
        <v>321</v>
      </c>
      <c r="U978" s="214"/>
    </row>
    <row r="979">
      <c r="A979" s="221">
        <v>45944.06859804398</v>
      </c>
      <c r="B979" s="214" t="s">
        <v>156</v>
      </c>
      <c r="C979" s="214" t="s">
        <v>181</v>
      </c>
      <c r="D979" s="214">
        <v>1.0</v>
      </c>
      <c r="E979" s="214">
        <v>5.0</v>
      </c>
      <c r="F979" s="214" t="s">
        <v>1447</v>
      </c>
      <c r="G979" s="214" t="s">
        <v>61</v>
      </c>
      <c r="H979" s="214" t="s">
        <v>249</v>
      </c>
      <c r="I979" s="214"/>
      <c r="J979" s="222" t="s">
        <v>67</v>
      </c>
      <c r="K979" s="222">
        <v>7.5</v>
      </c>
      <c r="L979" s="222" t="s">
        <v>67</v>
      </c>
      <c r="M979" s="222">
        <v>42.5</v>
      </c>
      <c r="N979" s="214">
        <v>87.0</v>
      </c>
      <c r="O979" s="214">
        <v>172.0</v>
      </c>
      <c r="P979" s="214">
        <v>2.0</v>
      </c>
      <c r="Q979" s="214" t="b">
        <v>1</v>
      </c>
      <c r="R979" s="214">
        <v>100.0</v>
      </c>
      <c r="S979" s="214" t="s">
        <v>525</v>
      </c>
      <c r="T979" s="214" t="s">
        <v>365</v>
      </c>
      <c r="U979" s="214"/>
    </row>
    <row r="980">
      <c r="A980" s="221">
        <v>45944.06859804398</v>
      </c>
      <c r="B980" s="214" t="s">
        <v>156</v>
      </c>
      <c r="C980" s="214" t="s">
        <v>223</v>
      </c>
      <c r="D980" s="214">
        <v>3.0</v>
      </c>
      <c r="E980" s="214">
        <v>3.0</v>
      </c>
      <c r="F980" s="214" t="s">
        <v>1448</v>
      </c>
      <c r="G980" s="214" t="s">
        <v>61</v>
      </c>
      <c r="H980" s="214" t="s">
        <v>493</v>
      </c>
      <c r="I980" s="214"/>
      <c r="J980" s="222" t="s">
        <v>67</v>
      </c>
      <c r="K980" s="222">
        <v>2.5</v>
      </c>
      <c r="L980" s="222" t="s">
        <v>67</v>
      </c>
      <c r="M980" s="222">
        <v>45.5</v>
      </c>
      <c r="N980" s="214">
        <v>88.0</v>
      </c>
      <c r="O980" s="214">
        <v>161.0</v>
      </c>
      <c r="P980" s="214">
        <v>2.0</v>
      </c>
      <c r="Q980" s="214" t="b">
        <v>1</v>
      </c>
      <c r="R980" s="214">
        <v>100.0</v>
      </c>
      <c r="S980" s="214" t="s">
        <v>441</v>
      </c>
      <c r="T980" s="214" t="s">
        <v>365</v>
      </c>
      <c r="U980" s="214"/>
    </row>
    <row r="981">
      <c r="A981" s="221">
        <v>45944.06859804398</v>
      </c>
      <c r="B981" s="214" t="s">
        <v>156</v>
      </c>
      <c r="C981" s="214" t="s">
        <v>202</v>
      </c>
      <c r="D981" s="214">
        <v>2.0</v>
      </c>
      <c r="E981" s="214">
        <v>4.0</v>
      </c>
      <c r="F981" s="214" t="s">
        <v>1421</v>
      </c>
      <c r="G981" s="214" t="s">
        <v>61</v>
      </c>
      <c r="H981" s="214" t="s">
        <v>193</v>
      </c>
      <c r="I981" s="214"/>
      <c r="J981" s="222" t="s">
        <v>67</v>
      </c>
      <c r="K981" s="222">
        <v>12.5</v>
      </c>
      <c r="L981" s="222" t="s">
        <v>67</v>
      </c>
      <c r="M981" s="222">
        <v>68.5</v>
      </c>
      <c r="N981" s="214">
        <v>218.0</v>
      </c>
      <c r="O981" s="214">
        <v>184.0</v>
      </c>
      <c r="P981" s="214">
        <v>2.0</v>
      </c>
      <c r="Q981" s="214" t="b">
        <v>0</v>
      </c>
      <c r="R981" s="214">
        <v>100.0</v>
      </c>
      <c r="S981" s="214" t="s">
        <v>556</v>
      </c>
      <c r="T981" s="214" t="s">
        <v>321</v>
      </c>
      <c r="U981" s="214"/>
    </row>
    <row r="982">
      <c r="A982" s="221">
        <v>45944.06859804398</v>
      </c>
      <c r="B982" s="214" t="s">
        <v>156</v>
      </c>
      <c r="C982" s="214" t="s">
        <v>174</v>
      </c>
      <c r="D982" s="214">
        <v>3.0</v>
      </c>
      <c r="E982" s="214">
        <v>3.0</v>
      </c>
      <c r="F982" s="214" t="s">
        <v>1436</v>
      </c>
      <c r="G982" s="214" t="s">
        <v>61</v>
      </c>
      <c r="H982" s="214" t="s">
        <v>224</v>
      </c>
      <c r="I982" s="214"/>
      <c r="J982" s="222" t="s">
        <v>67</v>
      </c>
      <c r="K982" s="222">
        <v>-10.5</v>
      </c>
      <c r="L982" s="222" t="s">
        <v>67</v>
      </c>
      <c r="M982" s="222">
        <v>48.5</v>
      </c>
      <c r="N982" s="214">
        <v>202.0</v>
      </c>
      <c r="O982" s="214">
        <v>90.0</v>
      </c>
      <c r="P982" s="214">
        <v>2.0</v>
      </c>
      <c r="Q982" s="214" t="b">
        <v>0</v>
      </c>
      <c r="R982" s="214">
        <v>100.0</v>
      </c>
      <c r="S982" s="214" t="s">
        <v>530</v>
      </c>
      <c r="T982" s="214" t="s">
        <v>365</v>
      </c>
      <c r="U982" s="214"/>
    </row>
    <row r="983">
      <c r="A983" s="221">
        <v>45944.06859804398</v>
      </c>
      <c r="B983" s="214" t="s">
        <v>156</v>
      </c>
      <c r="C983" s="214" t="s">
        <v>135</v>
      </c>
      <c r="D983" s="214">
        <v>5.0</v>
      </c>
      <c r="E983" s="214">
        <v>2.0</v>
      </c>
      <c r="F983" s="214" t="s">
        <v>1424</v>
      </c>
      <c r="G983" s="214" t="s">
        <v>61</v>
      </c>
      <c r="H983" s="214" t="s">
        <v>193</v>
      </c>
      <c r="I983" s="214"/>
      <c r="J983" s="222" t="s">
        <v>67</v>
      </c>
      <c r="K983" s="222">
        <v>14.5</v>
      </c>
      <c r="L983" s="222" t="s">
        <v>67</v>
      </c>
      <c r="M983" s="222">
        <v>50.5</v>
      </c>
      <c r="N983" s="214">
        <v>238.0</v>
      </c>
      <c r="O983" s="214">
        <v>178.0</v>
      </c>
      <c r="P983" s="214">
        <v>2.0</v>
      </c>
      <c r="Q983" s="214" t="b">
        <v>0</v>
      </c>
      <c r="R983" s="214">
        <v>100.0</v>
      </c>
      <c r="S983" s="214" t="s">
        <v>407</v>
      </c>
      <c r="T983" s="214" t="s">
        <v>321</v>
      </c>
      <c r="U983" s="214"/>
    </row>
    <row r="984">
      <c r="A984" s="221">
        <v>45944.06859804398</v>
      </c>
      <c r="B984" s="214" t="s">
        <v>156</v>
      </c>
      <c r="C984" s="214" t="s">
        <v>208</v>
      </c>
      <c r="D984" s="214">
        <v>5.0</v>
      </c>
      <c r="E984" s="214">
        <v>1.0</v>
      </c>
      <c r="F984" s="214" t="s">
        <v>1416</v>
      </c>
      <c r="G984" s="214" t="s">
        <v>61</v>
      </c>
      <c r="H984" s="214" t="s">
        <v>62</v>
      </c>
      <c r="I984" s="214"/>
      <c r="J984" s="222" t="s">
        <v>67</v>
      </c>
      <c r="K984" s="222">
        <v>3.5</v>
      </c>
      <c r="L984" s="222" t="s">
        <v>67</v>
      </c>
      <c r="M984" s="222">
        <v>51.5</v>
      </c>
      <c r="N984" s="214">
        <v>250.0</v>
      </c>
      <c r="O984" s="214">
        <v>100.0</v>
      </c>
      <c r="P984" s="214">
        <v>2.0</v>
      </c>
      <c r="Q984" s="214" t="b">
        <v>0</v>
      </c>
      <c r="R984" s="214">
        <v>100.0</v>
      </c>
      <c r="S984" s="214" t="s">
        <v>556</v>
      </c>
      <c r="T984" s="214" t="s">
        <v>321</v>
      </c>
      <c r="U984" s="214"/>
    </row>
    <row r="985">
      <c r="A985" s="221">
        <v>45944.06859804398</v>
      </c>
      <c r="B985" s="214" t="s">
        <v>156</v>
      </c>
      <c r="C985" s="214" t="s">
        <v>109</v>
      </c>
      <c r="D985" s="214">
        <v>3.0</v>
      </c>
      <c r="E985" s="214">
        <v>3.0</v>
      </c>
      <c r="F985" s="214" t="s">
        <v>1446</v>
      </c>
      <c r="G985" s="214" t="s">
        <v>61</v>
      </c>
      <c r="H985" s="214" t="s">
        <v>238</v>
      </c>
      <c r="I985" s="214"/>
      <c r="J985" s="222" t="s">
        <v>67</v>
      </c>
      <c r="K985" s="222">
        <v>10.5</v>
      </c>
      <c r="L985" s="222" t="s">
        <v>67</v>
      </c>
      <c r="M985" s="222">
        <v>53.5</v>
      </c>
      <c r="N985" s="214">
        <v>170.0</v>
      </c>
      <c r="O985" s="214">
        <v>107.0</v>
      </c>
      <c r="P985" s="214">
        <v>2.0</v>
      </c>
      <c r="Q985" s="214" t="b">
        <v>1</v>
      </c>
      <c r="R985" s="214">
        <v>100.0</v>
      </c>
      <c r="S985" s="214" t="s">
        <v>471</v>
      </c>
      <c r="T985" s="214" t="s">
        <v>321</v>
      </c>
      <c r="U985" s="214"/>
    </row>
    <row r="986">
      <c r="A986" s="221">
        <v>45944.06859804398</v>
      </c>
      <c r="B986" s="214" t="s">
        <v>156</v>
      </c>
      <c r="C986" s="214" t="s">
        <v>154</v>
      </c>
      <c r="D986" s="214">
        <v>5.0</v>
      </c>
      <c r="E986" s="214">
        <v>1.0</v>
      </c>
      <c r="F986" s="214" t="s">
        <v>1442</v>
      </c>
      <c r="G986" s="214" t="s">
        <v>61</v>
      </c>
      <c r="H986" s="214" t="s">
        <v>96</v>
      </c>
      <c r="I986" s="214"/>
      <c r="J986" s="222" t="s">
        <v>67</v>
      </c>
      <c r="K986" s="222">
        <v>-1.5</v>
      </c>
      <c r="L986" s="222" t="s">
        <v>67</v>
      </c>
      <c r="M986" s="222">
        <v>66.5</v>
      </c>
      <c r="N986" s="214">
        <v>260.0</v>
      </c>
      <c r="O986" s="214">
        <v>163.0</v>
      </c>
      <c r="P986" s="214">
        <v>2.0</v>
      </c>
      <c r="Q986" s="214" t="b">
        <v>0</v>
      </c>
      <c r="R986" s="214">
        <v>100.0</v>
      </c>
      <c r="S986" s="214" t="s">
        <v>361</v>
      </c>
      <c r="T986" s="214" t="s">
        <v>365</v>
      </c>
      <c r="U986" s="214"/>
    </row>
    <row r="987">
      <c r="A987" s="221">
        <v>45944.06859804398</v>
      </c>
      <c r="B987" s="214" t="s">
        <v>156</v>
      </c>
      <c r="C987" s="214" t="s">
        <v>232</v>
      </c>
      <c r="D987" s="214">
        <v>3.0</v>
      </c>
      <c r="E987" s="214">
        <v>3.0</v>
      </c>
      <c r="F987" s="214" t="s">
        <v>1433</v>
      </c>
      <c r="G987" s="214" t="s">
        <v>61</v>
      </c>
      <c r="H987" s="214" t="s">
        <v>311</v>
      </c>
      <c r="I987" s="214"/>
      <c r="J987" s="222" t="s">
        <v>67</v>
      </c>
      <c r="K987" s="222">
        <v>-7.5</v>
      </c>
      <c r="L987" s="222" t="s">
        <v>67</v>
      </c>
      <c r="M987" s="222">
        <v>54.5</v>
      </c>
      <c r="N987" s="214">
        <v>177.0</v>
      </c>
      <c r="O987" s="214">
        <v>161.0</v>
      </c>
      <c r="P987" s="214">
        <v>2.0</v>
      </c>
      <c r="Q987" s="214" t="b">
        <v>1</v>
      </c>
      <c r="R987" s="214">
        <v>100.0</v>
      </c>
      <c r="S987" s="214" t="s">
        <v>535</v>
      </c>
      <c r="T987" s="214" t="s">
        <v>365</v>
      </c>
      <c r="U987" s="214"/>
    </row>
    <row r="988">
      <c r="A988" s="221">
        <v>45944.06859804398</v>
      </c>
      <c r="B988" s="214"/>
      <c r="C988" s="214"/>
      <c r="D988" s="214"/>
      <c r="E988" s="214"/>
      <c r="F988" s="214"/>
      <c r="G988" s="214"/>
      <c r="H988" s="214"/>
      <c r="I988" s="214"/>
      <c r="J988" s="222"/>
      <c r="K988" s="222"/>
      <c r="L988" s="222"/>
      <c r="M988" s="222"/>
      <c r="N988" s="214"/>
      <c r="O988" s="214"/>
      <c r="P988" s="214"/>
      <c r="Q988" s="214"/>
      <c r="R988" s="214"/>
      <c r="S988" s="214"/>
      <c r="T988" s="214"/>
      <c r="U988" s="214"/>
    </row>
    <row r="989">
      <c r="A989" s="221">
        <v>45944.06859804398</v>
      </c>
      <c r="B989" s="214" t="s">
        <v>249</v>
      </c>
      <c r="C989" s="214" t="s">
        <v>112</v>
      </c>
      <c r="D989" s="214">
        <v>4.0</v>
      </c>
      <c r="E989" s="214">
        <v>2.0</v>
      </c>
      <c r="F989" s="214"/>
      <c r="G989" s="214"/>
      <c r="H989" s="214"/>
      <c r="I989" s="214"/>
      <c r="J989" s="222"/>
      <c r="K989" s="222"/>
      <c r="L989" s="222"/>
      <c r="M989" s="222"/>
      <c r="N989" s="214">
        <v>219.0</v>
      </c>
      <c r="O989" s="214">
        <v>153.0</v>
      </c>
      <c r="P989" s="214">
        <v>0.0</v>
      </c>
      <c r="Q989" s="214" t="b">
        <v>1</v>
      </c>
      <c r="R989" s="214">
        <v>59.0</v>
      </c>
      <c r="S989" s="214" t="s">
        <v>317</v>
      </c>
      <c r="T989" s="214" t="s">
        <v>321</v>
      </c>
      <c r="U989" s="214"/>
    </row>
    <row r="990">
      <c r="A990" s="221">
        <v>45944.06859804398</v>
      </c>
      <c r="B990" s="214" t="s">
        <v>249</v>
      </c>
      <c r="C990" s="214" t="s">
        <v>124</v>
      </c>
      <c r="D990" s="214">
        <v>4.0</v>
      </c>
      <c r="E990" s="214">
        <v>2.0</v>
      </c>
      <c r="F990" s="214"/>
      <c r="G990" s="214"/>
      <c r="H990" s="214"/>
      <c r="I990" s="214"/>
      <c r="J990" s="222"/>
      <c r="K990" s="222"/>
      <c r="L990" s="222"/>
      <c r="M990" s="222"/>
      <c r="N990" s="214">
        <v>218.0</v>
      </c>
      <c r="O990" s="214">
        <v>178.0</v>
      </c>
      <c r="P990" s="214">
        <v>0.0</v>
      </c>
      <c r="Q990" s="214" t="b">
        <v>1</v>
      </c>
      <c r="R990" s="214">
        <v>59.0</v>
      </c>
      <c r="S990" s="214" t="s">
        <v>471</v>
      </c>
      <c r="T990" s="214" t="s">
        <v>321</v>
      </c>
      <c r="U990" s="214"/>
    </row>
    <row r="991">
      <c r="A991" s="221">
        <v>45944.06859804398</v>
      </c>
      <c r="B991" s="214" t="s">
        <v>249</v>
      </c>
      <c r="C991" s="214" t="s">
        <v>167</v>
      </c>
      <c r="D991" s="214">
        <v>3.0</v>
      </c>
      <c r="E991" s="214">
        <v>3.0</v>
      </c>
      <c r="F991" s="214"/>
      <c r="G991" s="214"/>
      <c r="H991" s="214"/>
      <c r="I991" s="214"/>
      <c r="J991" s="222"/>
      <c r="K991" s="222"/>
      <c r="L991" s="222"/>
      <c r="M991" s="222"/>
      <c r="N991" s="214">
        <v>151.0</v>
      </c>
      <c r="O991" s="214">
        <v>128.0</v>
      </c>
      <c r="P991" s="214">
        <v>0.0</v>
      </c>
      <c r="Q991" s="214" t="b">
        <v>1</v>
      </c>
      <c r="R991" s="214">
        <v>59.0</v>
      </c>
      <c r="S991" s="214" t="s">
        <v>530</v>
      </c>
      <c r="T991" s="214" t="s">
        <v>365</v>
      </c>
      <c r="U991" s="214"/>
    </row>
    <row r="992">
      <c r="A992" s="221">
        <v>45944.06859804398</v>
      </c>
      <c r="B992" s="214" t="s">
        <v>249</v>
      </c>
      <c r="C992" s="214" t="s">
        <v>183</v>
      </c>
      <c r="D992" s="214">
        <v>5.0</v>
      </c>
      <c r="E992" s="214">
        <v>1.0</v>
      </c>
      <c r="F992" s="214" t="s">
        <v>1447</v>
      </c>
      <c r="G992" s="214" t="s">
        <v>61</v>
      </c>
      <c r="H992" s="214" t="s">
        <v>156</v>
      </c>
      <c r="I992" s="214"/>
      <c r="J992" s="222" t="s">
        <v>67</v>
      </c>
      <c r="K992" s="222">
        <v>-7.5</v>
      </c>
      <c r="L992" s="222" t="s">
        <v>67</v>
      </c>
      <c r="M992" s="222">
        <v>42.5</v>
      </c>
      <c r="N992" s="214">
        <v>184.0</v>
      </c>
      <c r="O992" s="214">
        <v>73.0</v>
      </c>
      <c r="P992" s="214">
        <v>2.0</v>
      </c>
      <c r="Q992" s="214" t="b">
        <v>0</v>
      </c>
      <c r="R992" s="214">
        <v>100.0</v>
      </c>
      <c r="S992" s="214" t="s">
        <v>525</v>
      </c>
      <c r="T992" s="214" t="s">
        <v>365</v>
      </c>
      <c r="U992" s="214"/>
    </row>
    <row r="993">
      <c r="A993" s="221">
        <v>45944.06859804398</v>
      </c>
      <c r="B993" s="214" t="s">
        <v>249</v>
      </c>
      <c r="C993" s="214" t="s">
        <v>111</v>
      </c>
      <c r="D993" s="214">
        <v>3.0</v>
      </c>
      <c r="E993" s="214">
        <v>3.0</v>
      </c>
      <c r="F993" s="214" t="s">
        <v>1449</v>
      </c>
      <c r="G993" s="214" t="s">
        <v>61</v>
      </c>
      <c r="H993" s="214" t="s">
        <v>493</v>
      </c>
      <c r="I993" s="214"/>
      <c r="J993" s="222" t="s">
        <v>67</v>
      </c>
      <c r="K993" s="222">
        <v>-14.5</v>
      </c>
      <c r="L993" s="222" t="s">
        <v>67</v>
      </c>
      <c r="M993" s="222">
        <v>54.5</v>
      </c>
      <c r="N993" s="214">
        <v>158.0</v>
      </c>
      <c r="O993" s="214">
        <v>111.0</v>
      </c>
      <c r="P993" s="214">
        <v>2.0</v>
      </c>
      <c r="Q993" s="214" t="b">
        <v>1</v>
      </c>
      <c r="R993" s="214">
        <v>100.0</v>
      </c>
      <c r="S993" s="214" t="s">
        <v>317</v>
      </c>
      <c r="T993" s="214" t="s">
        <v>321</v>
      </c>
      <c r="U993" s="214"/>
    </row>
    <row r="994">
      <c r="A994" s="221">
        <v>45944.06859804398</v>
      </c>
      <c r="B994" s="214" t="s">
        <v>249</v>
      </c>
      <c r="C994" s="214" t="s">
        <v>137</v>
      </c>
      <c r="D994" s="214">
        <v>4.0</v>
      </c>
      <c r="E994" s="214">
        <v>2.0</v>
      </c>
      <c r="F994" s="214" t="s">
        <v>1445</v>
      </c>
      <c r="G994" s="214" t="s">
        <v>61</v>
      </c>
      <c r="H994" s="214" t="s">
        <v>238</v>
      </c>
      <c r="I994" s="214"/>
      <c r="J994" s="222" t="s">
        <v>67</v>
      </c>
      <c r="K994" s="222">
        <v>-3.5</v>
      </c>
      <c r="L994" s="222" t="s">
        <v>67</v>
      </c>
      <c r="M994" s="222">
        <v>36.5</v>
      </c>
      <c r="N994" s="214">
        <v>184.0</v>
      </c>
      <c r="O994" s="214">
        <v>78.0</v>
      </c>
      <c r="P994" s="214">
        <v>2.0</v>
      </c>
      <c r="Q994" s="214" t="b">
        <v>1</v>
      </c>
      <c r="R994" s="214">
        <v>100.0</v>
      </c>
      <c r="S994" s="214" t="s">
        <v>407</v>
      </c>
      <c r="T994" s="214" t="s">
        <v>321</v>
      </c>
      <c r="U994" s="214"/>
    </row>
    <row r="995">
      <c r="A995" s="221">
        <v>45944.06859804398</v>
      </c>
      <c r="B995" s="214" t="s">
        <v>249</v>
      </c>
      <c r="C995" s="214" t="s">
        <v>217</v>
      </c>
      <c r="D995" s="214">
        <v>1.0</v>
      </c>
      <c r="E995" s="214">
        <v>5.0</v>
      </c>
      <c r="F995" s="214" t="s">
        <v>1396</v>
      </c>
      <c r="G995" s="214" t="s">
        <v>61</v>
      </c>
      <c r="H995" s="214" t="s">
        <v>43</v>
      </c>
      <c r="I995" s="214"/>
      <c r="J995" s="222" t="s">
        <v>67</v>
      </c>
      <c r="K995" s="222">
        <v>2.5</v>
      </c>
      <c r="L995" s="222" t="s">
        <v>67</v>
      </c>
      <c r="M995" s="222">
        <v>55.5</v>
      </c>
      <c r="N995" s="214">
        <v>108.0</v>
      </c>
      <c r="O995" s="214">
        <v>247.0</v>
      </c>
      <c r="P995" s="214">
        <v>2.0</v>
      </c>
      <c r="Q995" s="214" t="b">
        <v>0</v>
      </c>
      <c r="R995" s="214">
        <v>100.0</v>
      </c>
      <c r="S995" s="214" t="s">
        <v>441</v>
      </c>
      <c r="T995" s="214" t="s">
        <v>365</v>
      </c>
      <c r="U995" s="214"/>
    </row>
    <row r="996">
      <c r="A996" s="221">
        <v>45944.06859804398</v>
      </c>
      <c r="B996" s="214" t="s">
        <v>249</v>
      </c>
      <c r="C996" s="214" t="s">
        <v>209</v>
      </c>
      <c r="D996" s="214">
        <v>6.0</v>
      </c>
      <c r="E996" s="214">
        <v>0.0</v>
      </c>
      <c r="F996" s="214" t="s">
        <v>1450</v>
      </c>
      <c r="G996" s="214" t="s">
        <v>61</v>
      </c>
      <c r="H996" s="214" t="s">
        <v>493</v>
      </c>
      <c r="I996" s="214"/>
      <c r="J996" s="222" t="s">
        <v>67</v>
      </c>
      <c r="K996" s="222">
        <v>-31.5</v>
      </c>
      <c r="L996" s="222" t="s">
        <v>67</v>
      </c>
      <c r="M996" s="222">
        <v>57.5</v>
      </c>
      <c r="N996" s="214">
        <v>227.0</v>
      </c>
      <c r="O996" s="214">
        <v>115.0</v>
      </c>
      <c r="P996" s="214">
        <v>2.0</v>
      </c>
      <c r="Q996" s="214" t="b">
        <v>0</v>
      </c>
      <c r="R996" s="214">
        <v>100.0</v>
      </c>
      <c r="S996" s="214" t="s">
        <v>556</v>
      </c>
      <c r="T996" s="214" t="s">
        <v>321</v>
      </c>
      <c r="U996" s="214"/>
    </row>
    <row r="997">
      <c r="A997" s="221">
        <v>45944.06859804398</v>
      </c>
      <c r="B997" s="214" t="s">
        <v>249</v>
      </c>
      <c r="C997" s="214" t="s">
        <v>159</v>
      </c>
      <c r="D997" s="214">
        <v>1.0</v>
      </c>
      <c r="E997" s="214">
        <v>5.0</v>
      </c>
      <c r="F997" s="214" t="s">
        <v>1451</v>
      </c>
      <c r="G997" s="214" t="s">
        <v>61</v>
      </c>
      <c r="H997" s="214" t="s">
        <v>395</v>
      </c>
      <c r="I997" s="214"/>
      <c r="J997" s="222" t="s">
        <v>67</v>
      </c>
      <c r="K997" s="222">
        <v>18.5</v>
      </c>
      <c r="L997" s="222" t="s">
        <v>67</v>
      </c>
      <c r="M997" s="222">
        <v>46.5</v>
      </c>
      <c r="N997" s="214">
        <v>106.0</v>
      </c>
      <c r="O997" s="214">
        <v>195.0</v>
      </c>
      <c r="P997" s="214">
        <v>2.0</v>
      </c>
      <c r="Q997" s="214" t="b">
        <v>0</v>
      </c>
      <c r="R997" s="214">
        <v>100.0</v>
      </c>
      <c r="S997" s="214" t="s">
        <v>361</v>
      </c>
      <c r="T997" s="214" t="s">
        <v>365</v>
      </c>
      <c r="U997" s="214"/>
    </row>
    <row r="998">
      <c r="A998" s="221">
        <v>45944.06859804398</v>
      </c>
      <c r="B998" s="214" t="s">
        <v>249</v>
      </c>
      <c r="C998" s="214" t="s">
        <v>151</v>
      </c>
      <c r="D998" s="214">
        <v>4.0</v>
      </c>
      <c r="E998" s="214">
        <v>2.0</v>
      </c>
      <c r="F998" s="214" t="s">
        <v>1411</v>
      </c>
      <c r="G998" s="214" t="s">
        <v>61</v>
      </c>
      <c r="H998" s="214" t="s">
        <v>95</v>
      </c>
      <c r="I998" s="214"/>
      <c r="J998" s="222" t="s">
        <v>67</v>
      </c>
      <c r="K998" s="222">
        <v>-5.5</v>
      </c>
      <c r="L998" s="222" t="s">
        <v>67</v>
      </c>
      <c r="M998" s="222">
        <v>45.5</v>
      </c>
      <c r="N998" s="214">
        <v>147.0</v>
      </c>
      <c r="O998" s="214">
        <v>103.0</v>
      </c>
      <c r="P998" s="214">
        <v>2.0</v>
      </c>
      <c r="Q998" s="214" t="b">
        <v>0</v>
      </c>
      <c r="R998" s="214">
        <v>100.0</v>
      </c>
      <c r="S998" s="214" t="s">
        <v>535</v>
      </c>
      <c r="T998" s="214" t="s">
        <v>365</v>
      </c>
      <c r="U998" s="214"/>
    </row>
    <row r="999">
      <c r="A999" s="221">
        <v>45944.06859804398</v>
      </c>
      <c r="B999" s="214"/>
      <c r="C999" s="214"/>
      <c r="D999" s="214"/>
      <c r="E999" s="214"/>
      <c r="F999" s="214"/>
      <c r="G999" s="214"/>
      <c r="H999" s="214"/>
      <c r="I999" s="214"/>
      <c r="J999" s="222"/>
      <c r="K999" s="222"/>
      <c r="L999" s="222"/>
      <c r="M999" s="222"/>
      <c r="N999" s="214"/>
      <c r="O999" s="214"/>
      <c r="P999" s="214"/>
      <c r="Q999" s="214"/>
      <c r="R999" s="214"/>
      <c r="S999" s="214"/>
      <c r="T999" s="214"/>
      <c r="U999" s="214"/>
    </row>
    <row r="1000">
      <c r="A1000" s="221">
        <v>45944.06859804398</v>
      </c>
      <c r="B1000" s="214" t="s">
        <v>395</v>
      </c>
      <c r="C1000" s="214" t="s">
        <v>213</v>
      </c>
      <c r="D1000" s="214">
        <v>5.0</v>
      </c>
      <c r="E1000" s="214">
        <v>1.0</v>
      </c>
      <c r="F1000" s="214"/>
      <c r="G1000" s="214"/>
      <c r="H1000" s="214"/>
      <c r="I1000" s="214"/>
      <c r="J1000" s="222"/>
      <c r="K1000" s="222"/>
      <c r="L1000" s="222"/>
      <c r="M1000" s="222"/>
      <c r="N1000" s="214">
        <v>259.0</v>
      </c>
      <c r="O1000" s="214">
        <v>116.0</v>
      </c>
      <c r="P1000" s="214">
        <v>0.0</v>
      </c>
      <c r="Q1000" s="214" t="b">
        <v>1</v>
      </c>
      <c r="R1000" s="214">
        <v>59.0</v>
      </c>
      <c r="S1000" s="214" t="s">
        <v>556</v>
      </c>
      <c r="T1000" s="214" t="s">
        <v>321</v>
      </c>
      <c r="U1000" s="214"/>
    </row>
    <row r="1001">
      <c r="A1001" s="221">
        <v>45944.06859804398</v>
      </c>
      <c r="B1001" s="214" t="s">
        <v>395</v>
      </c>
      <c r="C1001" s="214" t="s">
        <v>99</v>
      </c>
      <c r="D1001" s="214">
        <v>4.0</v>
      </c>
      <c r="E1001" s="214">
        <v>2.0</v>
      </c>
      <c r="F1001" s="214"/>
      <c r="G1001" s="214"/>
      <c r="H1001" s="214"/>
      <c r="I1001" s="214"/>
      <c r="J1001" s="222"/>
      <c r="K1001" s="222"/>
      <c r="L1001" s="222"/>
      <c r="M1001" s="222"/>
      <c r="N1001" s="214">
        <v>222.0</v>
      </c>
      <c r="O1001" s="214">
        <v>136.0</v>
      </c>
      <c r="P1001" s="214">
        <v>0.0</v>
      </c>
      <c r="Q1001" s="214" t="b">
        <v>1</v>
      </c>
      <c r="R1001" s="214">
        <v>59.0</v>
      </c>
      <c r="S1001" s="214" t="s">
        <v>725</v>
      </c>
      <c r="T1001" s="214"/>
      <c r="U1001" s="214"/>
    </row>
    <row r="1002">
      <c r="A1002" s="221">
        <v>45944.06859804398</v>
      </c>
      <c r="B1002" s="214" t="s">
        <v>395</v>
      </c>
      <c r="C1002" s="214" t="s">
        <v>162</v>
      </c>
      <c r="D1002" s="214">
        <v>5.0</v>
      </c>
      <c r="E1002" s="214">
        <v>1.0</v>
      </c>
      <c r="F1002" s="214"/>
      <c r="G1002" s="214"/>
      <c r="H1002" s="214"/>
      <c r="I1002" s="214"/>
      <c r="J1002" s="222"/>
      <c r="K1002" s="222"/>
      <c r="L1002" s="222"/>
      <c r="M1002" s="222"/>
      <c r="N1002" s="214">
        <v>202.0</v>
      </c>
      <c r="O1002" s="214">
        <v>137.0</v>
      </c>
      <c r="P1002" s="214">
        <v>0.0</v>
      </c>
      <c r="Q1002" s="214" t="b">
        <v>1</v>
      </c>
      <c r="R1002" s="214">
        <v>59.0</v>
      </c>
      <c r="S1002" s="214" t="s">
        <v>535</v>
      </c>
      <c r="T1002" s="214" t="s">
        <v>365</v>
      </c>
      <c r="U1002" s="214"/>
    </row>
    <row r="1003">
      <c r="A1003" s="221">
        <v>45944.06859804398</v>
      </c>
      <c r="B1003" s="214" t="s">
        <v>395</v>
      </c>
      <c r="C1003" s="214" t="s">
        <v>114</v>
      </c>
      <c r="D1003" s="214">
        <v>6.0</v>
      </c>
      <c r="E1003" s="214">
        <v>0.0</v>
      </c>
      <c r="F1003" s="214" t="s">
        <v>1432</v>
      </c>
      <c r="G1003" s="214" t="s">
        <v>61</v>
      </c>
      <c r="H1003" s="214" t="s">
        <v>311</v>
      </c>
      <c r="I1003" s="214"/>
      <c r="J1003" s="222" t="s">
        <v>67</v>
      </c>
      <c r="K1003" s="222">
        <v>-14.5</v>
      </c>
      <c r="L1003" s="222" t="s">
        <v>67</v>
      </c>
      <c r="M1003" s="222">
        <v>54.5</v>
      </c>
      <c r="N1003" s="214">
        <v>220.0</v>
      </c>
      <c r="O1003" s="214">
        <v>126.0</v>
      </c>
      <c r="P1003" s="214">
        <v>2.0</v>
      </c>
      <c r="Q1003" s="214" t="b">
        <v>1</v>
      </c>
      <c r="R1003" s="214">
        <v>100.0</v>
      </c>
      <c r="S1003" s="214" t="s">
        <v>317</v>
      </c>
      <c r="T1003" s="214" t="s">
        <v>321</v>
      </c>
      <c r="U1003" s="214"/>
    </row>
    <row r="1004">
      <c r="A1004" s="221">
        <v>45944.06859804398</v>
      </c>
      <c r="B1004" s="214" t="s">
        <v>395</v>
      </c>
      <c r="C1004" s="214" t="s">
        <v>175</v>
      </c>
      <c r="D1004" s="214">
        <v>4.0</v>
      </c>
      <c r="E1004" s="214">
        <v>3.0</v>
      </c>
      <c r="F1004" s="214" t="s">
        <v>1406</v>
      </c>
      <c r="G1004" s="214" t="s">
        <v>61</v>
      </c>
      <c r="H1004" s="214" t="s">
        <v>95</v>
      </c>
      <c r="I1004" s="214"/>
      <c r="J1004" s="222" t="s">
        <v>67</v>
      </c>
      <c r="K1004" s="222">
        <v>-8.5</v>
      </c>
      <c r="L1004" s="222" t="s">
        <v>67</v>
      </c>
      <c r="M1004" s="222">
        <v>43.5</v>
      </c>
      <c r="N1004" s="214">
        <v>160.0</v>
      </c>
      <c r="O1004" s="214">
        <v>124.0</v>
      </c>
      <c r="P1004" s="214">
        <v>2.0</v>
      </c>
      <c r="Q1004" s="214" t="b">
        <v>1</v>
      </c>
      <c r="R1004" s="214">
        <v>100.0</v>
      </c>
      <c r="S1004" s="214" t="s">
        <v>530</v>
      </c>
      <c r="T1004" s="214" t="s">
        <v>365</v>
      </c>
      <c r="U1004" s="214"/>
    </row>
    <row r="1005">
      <c r="A1005" s="221">
        <v>45944.06859804398</v>
      </c>
      <c r="B1005" s="214" t="s">
        <v>395</v>
      </c>
      <c r="C1005" s="214" t="s">
        <v>231</v>
      </c>
      <c r="D1005" s="214">
        <v>5.0</v>
      </c>
      <c r="E1005" s="214">
        <v>1.0</v>
      </c>
      <c r="F1005" s="214" t="s">
        <v>1423</v>
      </c>
      <c r="G1005" s="214" t="s">
        <v>61</v>
      </c>
      <c r="H1005" s="214" t="s">
        <v>193</v>
      </c>
      <c r="I1005" s="214"/>
      <c r="J1005" s="222" t="s">
        <v>67</v>
      </c>
      <c r="K1005" s="222">
        <v>-18.5</v>
      </c>
      <c r="L1005" s="222" t="s">
        <v>67</v>
      </c>
      <c r="M1005" s="222">
        <v>45.5</v>
      </c>
      <c r="N1005" s="214">
        <v>163.0</v>
      </c>
      <c r="O1005" s="214">
        <v>82.0</v>
      </c>
      <c r="P1005" s="214">
        <v>2.0</v>
      </c>
      <c r="Q1005" s="214" t="b">
        <v>1</v>
      </c>
      <c r="R1005" s="214">
        <v>100.0</v>
      </c>
      <c r="S1005" s="214" t="s">
        <v>441</v>
      </c>
      <c r="T1005" s="214" t="s">
        <v>365</v>
      </c>
      <c r="U1005" s="214"/>
    </row>
    <row r="1006">
      <c r="A1006" s="221">
        <v>45944.06859804398</v>
      </c>
      <c r="B1006" s="214" t="s">
        <v>395</v>
      </c>
      <c r="C1006" s="214" t="s">
        <v>101</v>
      </c>
      <c r="D1006" s="214">
        <v>5.0</v>
      </c>
      <c r="E1006" s="214">
        <v>1.0</v>
      </c>
      <c r="F1006" s="214" t="s">
        <v>1441</v>
      </c>
      <c r="G1006" s="214" t="s">
        <v>61</v>
      </c>
      <c r="H1006" s="214" t="s">
        <v>96</v>
      </c>
      <c r="I1006" s="214"/>
      <c r="J1006" s="222" t="s">
        <v>67</v>
      </c>
      <c r="K1006" s="222">
        <v>-14.5</v>
      </c>
      <c r="L1006" s="222" t="s">
        <v>67</v>
      </c>
      <c r="M1006" s="222">
        <v>47.5</v>
      </c>
      <c r="N1006" s="214">
        <v>175.0</v>
      </c>
      <c r="O1006" s="214">
        <v>105.0</v>
      </c>
      <c r="P1006" s="214">
        <v>2.0</v>
      </c>
      <c r="Q1006" s="214" t="b">
        <v>0</v>
      </c>
      <c r="R1006" s="214">
        <v>100.0</v>
      </c>
      <c r="S1006" s="214" t="s">
        <v>471</v>
      </c>
      <c r="T1006" s="214" t="s">
        <v>321</v>
      </c>
      <c r="U1006" s="214"/>
    </row>
    <row r="1007">
      <c r="A1007" s="221">
        <v>45944.06859804398</v>
      </c>
      <c r="B1007" s="214" t="s">
        <v>395</v>
      </c>
      <c r="C1007" s="214" t="s">
        <v>225</v>
      </c>
      <c r="D1007" s="214">
        <v>3.0</v>
      </c>
      <c r="E1007" s="214">
        <v>3.0</v>
      </c>
      <c r="F1007" s="214" t="s">
        <v>1451</v>
      </c>
      <c r="G1007" s="214" t="s">
        <v>61</v>
      </c>
      <c r="H1007" s="214" t="s">
        <v>249</v>
      </c>
      <c r="I1007" s="214"/>
      <c r="J1007" s="222" t="s">
        <v>67</v>
      </c>
      <c r="K1007" s="222">
        <v>-18.5</v>
      </c>
      <c r="L1007" s="222" t="s">
        <v>67</v>
      </c>
      <c r="M1007" s="222">
        <v>46.5</v>
      </c>
      <c r="N1007" s="214">
        <v>150.0</v>
      </c>
      <c r="O1007" s="214">
        <v>144.0</v>
      </c>
      <c r="P1007" s="214">
        <v>2.0</v>
      </c>
      <c r="Q1007" s="214" t="b">
        <v>1</v>
      </c>
      <c r="R1007" s="214">
        <v>100.0</v>
      </c>
      <c r="S1007" s="214" t="s">
        <v>361</v>
      </c>
      <c r="T1007" s="214" t="s">
        <v>365</v>
      </c>
      <c r="U1007" s="214"/>
    </row>
    <row r="1008">
      <c r="A1008" s="221">
        <v>45944.06859804398</v>
      </c>
      <c r="B1008" s="214" t="s">
        <v>395</v>
      </c>
      <c r="C1008" s="214" t="s">
        <v>179</v>
      </c>
      <c r="D1008" s="214">
        <v>5.0</v>
      </c>
      <c r="E1008" s="214">
        <v>2.0</v>
      </c>
      <c r="F1008" s="214" t="s">
        <v>1418</v>
      </c>
      <c r="G1008" s="214" t="s">
        <v>61</v>
      </c>
      <c r="H1008" s="214" t="s">
        <v>62</v>
      </c>
      <c r="I1008" s="214"/>
      <c r="J1008" s="222" t="s">
        <v>67</v>
      </c>
      <c r="K1008" s="222">
        <v>-6.5</v>
      </c>
      <c r="L1008" s="222" t="s">
        <v>67</v>
      </c>
      <c r="M1008" s="222">
        <v>47.5</v>
      </c>
      <c r="N1008" s="214">
        <v>205.0</v>
      </c>
      <c r="O1008" s="214">
        <v>166.0</v>
      </c>
      <c r="P1008" s="214">
        <v>2.0</v>
      </c>
      <c r="Q1008" s="214" t="b">
        <v>1</v>
      </c>
      <c r="R1008" s="214">
        <v>100.0</v>
      </c>
      <c r="S1008" s="214" t="s">
        <v>525</v>
      </c>
      <c r="T1008" s="214" t="s">
        <v>365</v>
      </c>
      <c r="U1008" s="214"/>
    </row>
    <row r="1009">
      <c r="A1009" s="221">
        <v>45944.06859804398</v>
      </c>
      <c r="B1009" s="214" t="s">
        <v>395</v>
      </c>
      <c r="C1009" s="214" t="s">
        <v>147</v>
      </c>
      <c r="D1009" s="214">
        <v>3.0</v>
      </c>
      <c r="E1009" s="214">
        <v>3.0</v>
      </c>
      <c r="F1009" s="214" t="s">
        <v>1419</v>
      </c>
      <c r="G1009" s="214" t="s">
        <v>61</v>
      </c>
      <c r="H1009" s="214" t="s">
        <v>62</v>
      </c>
      <c r="I1009" s="214"/>
      <c r="J1009" s="222" t="s">
        <v>67</v>
      </c>
      <c r="K1009" s="222">
        <v>10.5</v>
      </c>
      <c r="L1009" s="222" t="s">
        <v>67</v>
      </c>
      <c r="M1009" s="222">
        <v>60.5</v>
      </c>
      <c r="N1009" s="214">
        <v>214.0</v>
      </c>
      <c r="O1009" s="214">
        <v>165.0</v>
      </c>
      <c r="P1009" s="214">
        <v>2.0</v>
      </c>
      <c r="Q1009" s="214" t="b">
        <v>0</v>
      </c>
      <c r="R1009" s="214">
        <v>100.0</v>
      </c>
      <c r="S1009" s="214" t="s">
        <v>407</v>
      </c>
      <c r="T1009" s="214" t="s">
        <v>321</v>
      </c>
      <c r="U1009" s="214"/>
    </row>
    <row r="1010">
      <c r="A1010" s="221">
        <v>45944.06859804398</v>
      </c>
      <c r="B1010" s="214"/>
      <c r="C1010" s="214"/>
      <c r="D1010" s="214"/>
      <c r="E1010" s="214"/>
      <c r="F1010" s="214"/>
      <c r="G1010" s="214"/>
      <c r="H1010" s="214"/>
      <c r="I1010" s="214"/>
      <c r="J1010" s="222"/>
      <c r="K1010" s="222"/>
      <c r="L1010" s="222"/>
      <c r="M1010" s="222"/>
      <c r="N1010" s="214"/>
      <c r="O1010" s="214"/>
      <c r="P1010" s="214"/>
      <c r="Q1010" s="214"/>
      <c r="R1010" s="214"/>
      <c r="S1010" s="214"/>
      <c r="T1010" s="214"/>
      <c r="U1010" s="214"/>
    </row>
    <row r="1011">
      <c r="A1011" s="221">
        <v>45944.06859804398</v>
      </c>
      <c r="B1011" s="214" t="s">
        <v>132</v>
      </c>
      <c r="C1011" s="214" t="s">
        <v>215</v>
      </c>
      <c r="D1011" s="214">
        <v>2.0</v>
      </c>
      <c r="E1011" s="214">
        <v>4.0</v>
      </c>
      <c r="F1011" s="214"/>
      <c r="G1011" s="214"/>
      <c r="H1011" s="214"/>
      <c r="I1011" s="214"/>
      <c r="J1011" s="222"/>
      <c r="K1011" s="222"/>
      <c r="L1011" s="222"/>
      <c r="M1011" s="222"/>
      <c r="N1011" s="214">
        <v>140.0</v>
      </c>
      <c r="O1011" s="214">
        <v>190.0</v>
      </c>
      <c r="P1011" s="214">
        <v>0.0</v>
      </c>
      <c r="Q1011" s="214" t="b">
        <v>1</v>
      </c>
      <c r="R1011" s="214">
        <v>59.0</v>
      </c>
      <c r="S1011" s="214" t="s">
        <v>441</v>
      </c>
      <c r="T1011" s="214" t="s">
        <v>365</v>
      </c>
      <c r="U1011" s="214"/>
    </row>
    <row r="1012">
      <c r="A1012" s="221">
        <v>45944.06859804398</v>
      </c>
      <c r="B1012" s="214" t="s">
        <v>132</v>
      </c>
      <c r="C1012" s="214" t="s">
        <v>545</v>
      </c>
      <c r="D1012" s="214">
        <v>2.0</v>
      </c>
      <c r="E1012" s="214">
        <v>3.0</v>
      </c>
      <c r="F1012" s="214"/>
      <c r="G1012" s="214"/>
      <c r="H1012" s="214"/>
      <c r="I1012" s="214"/>
      <c r="J1012" s="222"/>
      <c r="K1012" s="222"/>
      <c r="L1012" s="222"/>
      <c r="M1012" s="222"/>
      <c r="N1012" s="214">
        <v>106.0</v>
      </c>
      <c r="O1012" s="214">
        <v>160.0</v>
      </c>
      <c r="P1012" s="214">
        <v>0.0</v>
      </c>
      <c r="Q1012" s="214" t="b">
        <v>1</v>
      </c>
      <c r="R1012" s="214">
        <v>59.0</v>
      </c>
      <c r="S1012" s="214" t="s">
        <v>535</v>
      </c>
      <c r="T1012" s="214" t="s">
        <v>365</v>
      </c>
      <c r="U1012" s="214"/>
    </row>
    <row r="1013">
      <c r="A1013" s="221">
        <v>45944.06859804398</v>
      </c>
      <c r="B1013" s="214" t="s">
        <v>132</v>
      </c>
      <c r="C1013" s="214" t="s">
        <v>168</v>
      </c>
      <c r="D1013" s="214">
        <v>3.0</v>
      </c>
      <c r="E1013" s="214">
        <v>3.0</v>
      </c>
      <c r="F1013" s="214"/>
      <c r="G1013" s="214"/>
      <c r="H1013" s="214"/>
      <c r="I1013" s="214"/>
      <c r="J1013" s="222"/>
      <c r="K1013" s="222"/>
      <c r="L1013" s="222"/>
      <c r="M1013" s="222"/>
      <c r="N1013" s="214">
        <v>131.0</v>
      </c>
      <c r="O1013" s="214">
        <v>173.0</v>
      </c>
      <c r="P1013" s="214">
        <v>0.0</v>
      </c>
      <c r="Q1013" s="214" t="b">
        <v>0</v>
      </c>
      <c r="R1013" s="214">
        <v>59.0</v>
      </c>
      <c r="S1013" s="214" t="s">
        <v>530</v>
      </c>
      <c r="T1013" s="214" t="s">
        <v>365</v>
      </c>
      <c r="U1013" s="214"/>
    </row>
    <row r="1014">
      <c r="A1014" s="221">
        <v>45944.06859804398</v>
      </c>
      <c r="B1014" s="214" t="s">
        <v>132</v>
      </c>
      <c r="C1014" s="214" t="s">
        <v>134</v>
      </c>
      <c r="D1014" s="214">
        <v>2.0</v>
      </c>
      <c r="E1014" s="214">
        <v>4.0</v>
      </c>
      <c r="F1014" s="214"/>
      <c r="G1014" s="214"/>
      <c r="H1014" s="214"/>
      <c r="I1014" s="214"/>
      <c r="J1014" s="222"/>
      <c r="K1014" s="222"/>
      <c r="L1014" s="222"/>
      <c r="M1014" s="222"/>
      <c r="N1014" s="214">
        <v>134.0</v>
      </c>
      <c r="O1014" s="214">
        <v>171.0</v>
      </c>
      <c r="P1014" s="214">
        <v>0.0</v>
      </c>
      <c r="Q1014" s="214" t="b">
        <v>1</v>
      </c>
      <c r="R1014" s="214">
        <v>59.0</v>
      </c>
      <c r="S1014" s="214" t="s">
        <v>471</v>
      </c>
      <c r="T1014" s="214" t="s">
        <v>321</v>
      </c>
      <c r="U1014" s="214"/>
    </row>
    <row r="1015">
      <c r="A1015" s="221">
        <v>45944.06859804398</v>
      </c>
      <c r="B1015" s="214" t="s">
        <v>132</v>
      </c>
      <c r="C1015" s="214" t="s">
        <v>115</v>
      </c>
      <c r="D1015" s="214">
        <v>4.0</v>
      </c>
      <c r="E1015" s="214">
        <v>1.0</v>
      </c>
      <c r="F1015" s="214"/>
      <c r="G1015" s="214"/>
      <c r="H1015" s="214"/>
      <c r="I1015" s="214"/>
      <c r="J1015" s="222"/>
      <c r="K1015" s="222"/>
      <c r="L1015" s="222"/>
      <c r="M1015" s="222"/>
      <c r="N1015" s="214">
        <v>180.0</v>
      </c>
      <c r="O1015" s="214">
        <v>105.0</v>
      </c>
      <c r="P1015" s="214">
        <v>0.0</v>
      </c>
      <c r="Q1015" s="214" t="b">
        <v>1</v>
      </c>
      <c r="R1015" s="214">
        <v>59.0</v>
      </c>
      <c r="S1015" s="214" t="s">
        <v>317</v>
      </c>
      <c r="T1015" s="214" t="s">
        <v>321</v>
      </c>
      <c r="U1015" s="214"/>
    </row>
    <row r="1016">
      <c r="A1016" s="221">
        <v>45944.06859804398</v>
      </c>
      <c r="B1016" s="214" t="s">
        <v>132</v>
      </c>
      <c r="C1016" s="214" t="s">
        <v>210</v>
      </c>
      <c r="D1016" s="214">
        <v>3.0</v>
      </c>
      <c r="E1016" s="214">
        <v>3.0</v>
      </c>
      <c r="F1016" s="214" t="s">
        <v>1429</v>
      </c>
      <c r="G1016" s="214" t="s">
        <v>61</v>
      </c>
      <c r="H1016" s="214" t="s">
        <v>311</v>
      </c>
      <c r="I1016" s="214"/>
      <c r="J1016" s="222" t="s">
        <v>67</v>
      </c>
      <c r="K1016" s="222">
        <v>9.5</v>
      </c>
      <c r="L1016" s="222" t="s">
        <v>67</v>
      </c>
      <c r="M1016" s="222">
        <v>44.5</v>
      </c>
      <c r="N1016" s="214">
        <v>134.0</v>
      </c>
      <c r="O1016" s="214">
        <v>114.0</v>
      </c>
      <c r="P1016" s="214">
        <v>2.0</v>
      </c>
      <c r="Q1016" s="214" t="b">
        <v>0</v>
      </c>
      <c r="R1016" s="214">
        <v>100.0</v>
      </c>
      <c r="S1016" s="214" t="s">
        <v>556</v>
      </c>
      <c r="T1016" s="214" t="s">
        <v>321</v>
      </c>
      <c r="U1016" s="214"/>
    </row>
    <row r="1017">
      <c r="A1017" s="221">
        <v>45944.06859804398</v>
      </c>
      <c r="B1017" s="214" t="s">
        <v>132</v>
      </c>
      <c r="C1017" s="214" t="s">
        <v>187</v>
      </c>
      <c r="D1017" s="214">
        <v>3.0</v>
      </c>
      <c r="E1017" s="214">
        <v>3.0</v>
      </c>
      <c r="F1017" s="214" t="s">
        <v>1444</v>
      </c>
      <c r="G1017" s="214" t="s">
        <v>61</v>
      </c>
      <c r="H1017" s="214" t="s">
        <v>238</v>
      </c>
      <c r="I1017" s="214"/>
      <c r="J1017" s="222" t="s">
        <v>67</v>
      </c>
      <c r="K1017" s="222">
        <v>2.5</v>
      </c>
      <c r="L1017" s="222" t="s">
        <v>67</v>
      </c>
      <c r="M1017" s="222">
        <v>49.5</v>
      </c>
      <c r="N1017" s="214">
        <v>119.0</v>
      </c>
      <c r="O1017" s="214">
        <v>134.0</v>
      </c>
      <c r="P1017" s="214">
        <v>2.0</v>
      </c>
      <c r="Q1017" s="214" t="b">
        <v>0</v>
      </c>
      <c r="R1017" s="214">
        <v>100.0</v>
      </c>
      <c r="S1017" s="214" t="s">
        <v>525</v>
      </c>
      <c r="T1017" s="214" t="s">
        <v>365</v>
      </c>
      <c r="U1017" s="214"/>
    </row>
    <row r="1018">
      <c r="A1018" s="221">
        <v>45944.06859804398</v>
      </c>
      <c r="B1018" s="214" t="s">
        <v>132</v>
      </c>
      <c r="C1018" s="214" t="s">
        <v>136</v>
      </c>
      <c r="D1018" s="214">
        <v>6.0</v>
      </c>
      <c r="E1018" s="214">
        <v>0.0</v>
      </c>
      <c r="F1018" s="214" t="s">
        <v>1430</v>
      </c>
      <c r="G1018" s="214" t="s">
        <v>61</v>
      </c>
      <c r="H1018" s="214" t="s">
        <v>311</v>
      </c>
      <c r="I1018" s="214"/>
      <c r="J1018" s="222" t="s">
        <v>67</v>
      </c>
      <c r="K1018" s="222">
        <v>7.0</v>
      </c>
      <c r="L1018" s="222" t="s">
        <v>67</v>
      </c>
      <c r="M1018" s="222">
        <v>53.5</v>
      </c>
      <c r="N1018" s="214">
        <v>269.0</v>
      </c>
      <c r="O1018" s="214">
        <v>68.0</v>
      </c>
      <c r="P1018" s="214">
        <v>2.0</v>
      </c>
      <c r="Q1018" s="214" t="b">
        <v>1</v>
      </c>
      <c r="R1018" s="214">
        <v>100.0</v>
      </c>
      <c r="S1018" s="214" t="s">
        <v>407</v>
      </c>
      <c r="T1018" s="214" t="s">
        <v>321</v>
      </c>
      <c r="U1018" s="214"/>
    </row>
    <row r="1019">
      <c r="A1019" s="221">
        <v>45944.06859804398</v>
      </c>
      <c r="B1019" s="214" t="s">
        <v>132</v>
      </c>
      <c r="C1019" s="214" t="s">
        <v>131</v>
      </c>
      <c r="D1019" s="214">
        <v>4.0</v>
      </c>
      <c r="E1019" s="214">
        <v>2.0</v>
      </c>
      <c r="F1019" s="214" t="s">
        <v>1405</v>
      </c>
      <c r="G1019" s="214" t="s">
        <v>61</v>
      </c>
      <c r="H1019" s="214" t="s">
        <v>95</v>
      </c>
      <c r="I1019" s="214"/>
      <c r="J1019" s="222" t="s">
        <v>67</v>
      </c>
      <c r="K1019" s="222">
        <v>1.5</v>
      </c>
      <c r="L1019" s="222" t="s">
        <v>67</v>
      </c>
      <c r="M1019" s="222">
        <v>44.5</v>
      </c>
      <c r="N1019" s="214">
        <v>171.0</v>
      </c>
      <c r="O1019" s="214">
        <v>66.0</v>
      </c>
      <c r="P1019" s="214">
        <v>2.0</v>
      </c>
      <c r="Q1019" s="214" t="b">
        <v>1</v>
      </c>
      <c r="R1019" s="214">
        <v>100.0</v>
      </c>
      <c r="S1019" s="214" t="s">
        <v>556</v>
      </c>
      <c r="T1019" s="214" t="s">
        <v>321</v>
      </c>
      <c r="U1019" s="214"/>
    </row>
    <row r="1020">
      <c r="A1020" s="221">
        <v>45944.06859804398</v>
      </c>
      <c r="B1020" s="214" t="s">
        <v>132</v>
      </c>
      <c r="C1020" s="214" t="s">
        <v>107</v>
      </c>
      <c r="D1020" s="214">
        <v>5.0</v>
      </c>
      <c r="E1020" s="214">
        <v>1.0</v>
      </c>
      <c r="F1020" s="214" t="s">
        <v>1407</v>
      </c>
      <c r="G1020" s="214" t="s">
        <v>61</v>
      </c>
      <c r="H1020" s="214" t="s">
        <v>95</v>
      </c>
      <c r="I1020" s="214"/>
      <c r="J1020" s="222" t="s">
        <v>67</v>
      </c>
      <c r="K1020" s="222">
        <v>-6.5</v>
      </c>
      <c r="L1020" s="222" t="s">
        <v>67</v>
      </c>
      <c r="M1020" s="222">
        <v>53.5</v>
      </c>
      <c r="N1020" s="214">
        <v>157.0</v>
      </c>
      <c r="O1020" s="214">
        <v>139.0</v>
      </c>
      <c r="P1020" s="214">
        <v>2.0</v>
      </c>
      <c r="Q1020" s="214" t="b">
        <v>1</v>
      </c>
      <c r="R1020" s="214">
        <v>100.0</v>
      </c>
      <c r="S1020" s="214" t="s">
        <v>361</v>
      </c>
      <c r="T1020" s="214" t="s">
        <v>365</v>
      </c>
      <c r="U1020" s="214"/>
    </row>
    <row r="1021">
      <c r="A1021" s="221">
        <v>45944.06859804398</v>
      </c>
      <c r="B1021" s="214"/>
      <c r="C1021" s="214"/>
      <c r="D1021" s="214"/>
      <c r="E1021" s="214"/>
      <c r="F1021" s="214"/>
      <c r="G1021" s="214"/>
      <c r="H1021" s="214"/>
      <c r="I1021" s="214"/>
      <c r="J1021" s="222"/>
      <c r="K1021" s="222"/>
      <c r="L1021" s="222"/>
      <c r="M1021" s="222"/>
      <c r="N1021" s="214"/>
      <c r="O1021" s="214"/>
      <c r="P1021" s="214"/>
      <c r="Q1021" s="214"/>
      <c r="R1021" s="214"/>
      <c r="S1021" s="214"/>
      <c r="T1021" s="214"/>
      <c r="U1021" s="214"/>
    </row>
    <row r="1022">
      <c r="A1022" s="221">
        <v>45944.06859804398</v>
      </c>
      <c r="B1022" s="214" t="s">
        <v>493</v>
      </c>
      <c r="C1022" s="214" t="s">
        <v>108</v>
      </c>
      <c r="D1022" s="214">
        <v>2.0</v>
      </c>
      <c r="E1022" s="214">
        <v>4.0</v>
      </c>
      <c r="F1022" s="214"/>
      <c r="G1022" s="214"/>
      <c r="H1022" s="214"/>
      <c r="I1022" s="214"/>
      <c r="J1022" s="222"/>
      <c r="K1022" s="222"/>
      <c r="L1022" s="222"/>
      <c r="M1022" s="222"/>
      <c r="N1022" s="214">
        <v>112.0</v>
      </c>
      <c r="O1022" s="214">
        <v>158.0</v>
      </c>
      <c r="P1022" s="214">
        <v>0.0</v>
      </c>
      <c r="Q1022" s="214" t="b">
        <v>1</v>
      </c>
      <c r="R1022" s="214">
        <v>59.0</v>
      </c>
      <c r="S1022" s="214" t="s">
        <v>361</v>
      </c>
      <c r="T1022" s="214" t="s">
        <v>365</v>
      </c>
      <c r="U1022" s="214"/>
    </row>
    <row r="1023">
      <c r="A1023" s="221">
        <v>45944.06859804398</v>
      </c>
      <c r="B1023" s="214" t="s">
        <v>493</v>
      </c>
      <c r="C1023" s="214" t="s">
        <v>120</v>
      </c>
      <c r="D1023" s="214">
        <v>3.0</v>
      </c>
      <c r="E1023" s="214">
        <v>3.0</v>
      </c>
      <c r="F1023" s="214"/>
      <c r="G1023" s="214"/>
      <c r="H1023" s="214"/>
      <c r="I1023" s="214"/>
      <c r="J1023" s="222"/>
      <c r="K1023" s="222"/>
      <c r="L1023" s="222"/>
      <c r="M1023" s="222"/>
      <c r="N1023" s="214">
        <v>174.0</v>
      </c>
      <c r="O1023" s="214">
        <v>179.0</v>
      </c>
      <c r="P1023" s="214">
        <v>0.0</v>
      </c>
      <c r="Q1023" s="214" t="b">
        <v>1</v>
      </c>
      <c r="R1023" s="214">
        <v>59.0</v>
      </c>
      <c r="S1023" s="214" t="s">
        <v>317</v>
      </c>
      <c r="T1023" s="214" t="s">
        <v>321</v>
      </c>
      <c r="U1023" s="214"/>
    </row>
    <row r="1024">
      <c r="A1024" s="221">
        <v>45944.06859804398</v>
      </c>
      <c r="B1024" s="214" t="s">
        <v>493</v>
      </c>
      <c r="C1024" s="214" t="s">
        <v>146</v>
      </c>
      <c r="D1024" s="214">
        <v>2.0</v>
      </c>
      <c r="E1024" s="214">
        <v>4.0</v>
      </c>
      <c r="F1024" s="214" t="s">
        <v>1443</v>
      </c>
      <c r="G1024" s="214" t="s">
        <v>61</v>
      </c>
      <c r="H1024" s="214" t="s">
        <v>238</v>
      </c>
      <c r="I1024" s="214"/>
      <c r="J1024" s="222" t="s">
        <v>67</v>
      </c>
      <c r="K1024" s="222">
        <v>8.5</v>
      </c>
      <c r="L1024" s="222" t="s">
        <v>67</v>
      </c>
      <c r="M1024" s="222">
        <v>49.5</v>
      </c>
      <c r="N1024" s="214">
        <v>159.0</v>
      </c>
      <c r="O1024" s="214">
        <v>176.0</v>
      </c>
      <c r="P1024" s="214">
        <v>2.0</v>
      </c>
      <c r="Q1024" s="214" t="b">
        <v>0</v>
      </c>
      <c r="R1024" s="214">
        <v>100.0</v>
      </c>
      <c r="S1024" s="214" t="s">
        <v>407</v>
      </c>
      <c r="T1024" s="214" t="s">
        <v>321</v>
      </c>
      <c r="U1024" s="214"/>
    </row>
    <row r="1025">
      <c r="A1025" s="221">
        <v>45944.06859804398</v>
      </c>
      <c r="B1025" s="214" t="s">
        <v>493</v>
      </c>
      <c r="C1025" s="214" t="s">
        <v>110</v>
      </c>
      <c r="D1025" s="214">
        <v>1.0</v>
      </c>
      <c r="E1025" s="214">
        <v>5.0</v>
      </c>
      <c r="F1025" s="214" t="s">
        <v>1449</v>
      </c>
      <c r="G1025" s="214" t="s">
        <v>61</v>
      </c>
      <c r="H1025" s="214" t="s">
        <v>249</v>
      </c>
      <c r="I1025" s="214"/>
      <c r="J1025" s="222" t="s">
        <v>67</v>
      </c>
      <c r="K1025" s="222">
        <v>14.5</v>
      </c>
      <c r="L1025" s="222" t="s">
        <v>67</v>
      </c>
      <c r="M1025" s="222">
        <v>54.5</v>
      </c>
      <c r="N1025" s="214">
        <v>167.0</v>
      </c>
      <c r="O1025" s="214">
        <v>199.0</v>
      </c>
      <c r="P1025" s="214">
        <v>2.0</v>
      </c>
      <c r="Q1025" s="214" t="b">
        <v>0</v>
      </c>
      <c r="R1025" s="214">
        <v>100.0</v>
      </c>
      <c r="S1025" s="214" t="s">
        <v>317</v>
      </c>
      <c r="T1025" s="214" t="s">
        <v>321</v>
      </c>
      <c r="U1025" s="214"/>
    </row>
    <row r="1026">
      <c r="A1026" s="221">
        <v>45944.06859804398</v>
      </c>
      <c r="B1026" s="214" t="s">
        <v>493</v>
      </c>
      <c r="C1026" s="214" t="s">
        <v>106</v>
      </c>
      <c r="D1026" s="214">
        <v>3.0</v>
      </c>
      <c r="E1026" s="214">
        <v>3.0</v>
      </c>
      <c r="F1026" s="214" t="s">
        <v>1435</v>
      </c>
      <c r="G1026" s="214" t="s">
        <v>61</v>
      </c>
      <c r="H1026" s="214" t="s">
        <v>224</v>
      </c>
      <c r="I1026" s="214"/>
      <c r="J1026" s="222" t="s">
        <v>67</v>
      </c>
      <c r="K1026" s="222">
        <v>10.5</v>
      </c>
      <c r="L1026" s="222" t="s">
        <v>67</v>
      </c>
      <c r="M1026" s="222">
        <v>52.5</v>
      </c>
      <c r="N1026" s="214">
        <v>182.0</v>
      </c>
      <c r="O1026" s="214">
        <v>157.0</v>
      </c>
      <c r="P1026" s="214">
        <v>2.0</v>
      </c>
      <c r="Q1026" s="214" t="b">
        <v>1</v>
      </c>
      <c r="R1026" s="214">
        <v>100.0</v>
      </c>
      <c r="S1026" s="214" t="s">
        <v>361</v>
      </c>
      <c r="T1026" s="214" t="s">
        <v>365</v>
      </c>
      <c r="U1026" s="214"/>
    </row>
    <row r="1027">
      <c r="A1027" s="221">
        <v>45944.06859804398</v>
      </c>
      <c r="B1027" s="214" t="s">
        <v>493</v>
      </c>
      <c r="C1027" s="214" t="s">
        <v>123</v>
      </c>
      <c r="D1027" s="214">
        <v>3.0</v>
      </c>
      <c r="E1027" s="214">
        <v>2.0</v>
      </c>
      <c r="F1027" s="214" t="s">
        <v>1422</v>
      </c>
      <c r="G1027" s="214" t="s">
        <v>61</v>
      </c>
      <c r="H1027" s="214" t="s">
        <v>193</v>
      </c>
      <c r="I1027" s="214"/>
      <c r="J1027" s="222" t="s">
        <v>67</v>
      </c>
      <c r="K1027" s="222">
        <v>-2.5</v>
      </c>
      <c r="L1027" s="222" t="s">
        <v>67</v>
      </c>
      <c r="M1027" s="222">
        <v>51.5</v>
      </c>
      <c r="N1027" s="214">
        <v>135.0</v>
      </c>
      <c r="O1027" s="214">
        <v>106.0</v>
      </c>
      <c r="P1027" s="214">
        <v>2.0</v>
      </c>
      <c r="Q1027" s="214" t="b">
        <v>1</v>
      </c>
      <c r="R1027" s="214">
        <v>100.0</v>
      </c>
      <c r="S1027" s="214" t="s">
        <v>317</v>
      </c>
      <c r="T1027" s="214" t="s">
        <v>321</v>
      </c>
      <c r="U1027" s="214"/>
    </row>
    <row r="1028">
      <c r="A1028" s="221">
        <v>45944.06859804398</v>
      </c>
      <c r="B1028" s="214" t="s">
        <v>493</v>
      </c>
      <c r="C1028" s="214" t="s">
        <v>138</v>
      </c>
      <c r="D1028" s="214">
        <v>4.0</v>
      </c>
      <c r="E1028" s="214">
        <v>2.0</v>
      </c>
      <c r="F1028" s="214" t="s">
        <v>1440</v>
      </c>
      <c r="G1028" s="214" t="s">
        <v>61</v>
      </c>
      <c r="H1028" s="214" t="s">
        <v>96</v>
      </c>
      <c r="I1028" s="214"/>
      <c r="J1028" s="222" t="s">
        <v>67</v>
      </c>
      <c r="K1028" s="222">
        <v>6.5</v>
      </c>
      <c r="L1028" s="222" t="s">
        <v>67</v>
      </c>
      <c r="M1028" s="222">
        <v>47.5</v>
      </c>
      <c r="N1028" s="214">
        <v>181.0</v>
      </c>
      <c r="O1028" s="214">
        <v>101.0</v>
      </c>
      <c r="P1028" s="214">
        <v>2.0</v>
      </c>
      <c r="Q1028" s="214" t="b">
        <v>0</v>
      </c>
      <c r="R1028" s="214">
        <v>100.0</v>
      </c>
      <c r="S1028" s="214" t="s">
        <v>407</v>
      </c>
      <c r="T1028" s="214" t="s">
        <v>321</v>
      </c>
      <c r="U1028" s="214"/>
    </row>
    <row r="1029">
      <c r="A1029" s="221">
        <v>45944.06859804398</v>
      </c>
      <c r="B1029" s="214" t="s">
        <v>493</v>
      </c>
      <c r="C1029" s="214" t="s">
        <v>143</v>
      </c>
      <c r="D1029" s="214">
        <v>4.0</v>
      </c>
      <c r="E1029" s="214">
        <v>2.0</v>
      </c>
      <c r="F1029" s="214" t="s">
        <v>1397</v>
      </c>
      <c r="G1029" s="214" t="s">
        <v>61</v>
      </c>
      <c r="H1029" s="214" t="s">
        <v>43</v>
      </c>
      <c r="I1029" s="214"/>
      <c r="J1029" s="222" t="s">
        <v>67</v>
      </c>
      <c r="K1029" s="222">
        <v>22.5</v>
      </c>
      <c r="L1029" s="222" t="s">
        <v>67</v>
      </c>
      <c r="M1029" s="222">
        <v>47.5</v>
      </c>
      <c r="N1029" s="214">
        <v>140.0</v>
      </c>
      <c r="O1029" s="214">
        <v>106.0</v>
      </c>
      <c r="P1029" s="214">
        <v>2.0</v>
      </c>
      <c r="Q1029" s="214" t="b">
        <v>1</v>
      </c>
      <c r="R1029" s="214">
        <v>100.0</v>
      </c>
      <c r="S1029" s="214" t="s">
        <v>407</v>
      </c>
      <c r="T1029" s="214" t="s">
        <v>321</v>
      </c>
      <c r="U1029" s="214"/>
    </row>
    <row r="1030">
      <c r="A1030" s="221">
        <v>45944.06859804398</v>
      </c>
      <c r="B1030" s="214" t="s">
        <v>493</v>
      </c>
      <c r="C1030" s="214" t="s">
        <v>195</v>
      </c>
      <c r="D1030" s="214">
        <v>2.0</v>
      </c>
      <c r="E1030" s="214">
        <v>4.0</v>
      </c>
      <c r="F1030" s="214" t="s">
        <v>1425</v>
      </c>
      <c r="G1030" s="214" t="s">
        <v>61</v>
      </c>
      <c r="H1030" s="214" t="s">
        <v>193</v>
      </c>
      <c r="I1030" s="214"/>
      <c r="J1030" s="222" t="s">
        <v>67</v>
      </c>
      <c r="K1030" s="222">
        <v>18.5</v>
      </c>
      <c r="L1030" s="222" t="s">
        <v>67</v>
      </c>
      <c r="M1030" s="222">
        <v>55.5</v>
      </c>
      <c r="N1030" s="214">
        <v>113.0</v>
      </c>
      <c r="O1030" s="214">
        <v>181.0</v>
      </c>
      <c r="P1030" s="214">
        <v>2.0</v>
      </c>
      <c r="Q1030" s="214" t="b">
        <v>0</v>
      </c>
      <c r="R1030" s="214">
        <v>100.0</v>
      </c>
      <c r="S1030" s="214" t="s">
        <v>317</v>
      </c>
      <c r="T1030" s="214" t="s">
        <v>321</v>
      </c>
      <c r="U1030" s="214"/>
    </row>
    <row r="1031">
      <c r="A1031" s="221">
        <v>45944.06859804398</v>
      </c>
      <c r="B1031" s="214" t="s">
        <v>493</v>
      </c>
      <c r="C1031" s="214" t="s">
        <v>188</v>
      </c>
      <c r="D1031" s="214">
        <v>4.0</v>
      </c>
      <c r="E1031" s="214">
        <v>2.0</v>
      </c>
      <c r="F1031" s="214" t="s">
        <v>1439</v>
      </c>
      <c r="G1031" s="214" t="s">
        <v>597</v>
      </c>
      <c r="H1031" s="214" t="s">
        <v>224</v>
      </c>
      <c r="I1031" s="214"/>
      <c r="J1031" s="222" t="s">
        <v>67</v>
      </c>
      <c r="K1031" s="222">
        <v>1.5</v>
      </c>
      <c r="L1031" s="222" t="s">
        <v>67</v>
      </c>
      <c r="M1031" s="222">
        <v>47.5</v>
      </c>
      <c r="N1031" s="214">
        <v>193.0</v>
      </c>
      <c r="O1031" s="214">
        <v>111.0</v>
      </c>
      <c r="P1031" s="214">
        <v>2.0</v>
      </c>
      <c r="Q1031" s="214" t="b">
        <v>1</v>
      </c>
      <c r="R1031" s="214">
        <v>100.0</v>
      </c>
      <c r="S1031" s="214" t="s">
        <v>471</v>
      </c>
      <c r="T1031" s="214" t="s">
        <v>321</v>
      </c>
      <c r="U1031" s="214"/>
    </row>
    <row r="1032">
      <c r="A1032" s="221">
        <v>45944.06859804398</v>
      </c>
      <c r="B1032" s="214"/>
      <c r="C1032" s="214"/>
      <c r="D1032" s="214"/>
      <c r="E1032" s="214"/>
      <c r="F1032" s="214"/>
      <c r="G1032" s="214"/>
      <c r="H1032" s="214"/>
      <c r="I1032" s="214"/>
      <c r="J1032" s="222"/>
      <c r="K1032" s="222"/>
      <c r="L1032" s="222"/>
      <c r="M1032" s="222"/>
      <c r="N1032" s="214"/>
      <c r="O1032" s="214"/>
      <c r="P1032" s="214"/>
      <c r="Q1032" s="214"/>
      <c r="R1032" s="214"/>
      <c r="S1032" s="214"/>
      <c r="T1032" s="214"/>
      <c r="U1032" s="214"/>
    </row>
    <row r="1033">
      <c r="A1033" s="221">
        <v>45944.06859804398</v>
      </c>
      <c r="B1033" s="214" t="s">
        <v>493</v>
      </c>
      <c r="C1033" s="214" t="s">
        <v>207</v>
      </c>
      <c r="D1033" s="214">
        <v>4.0</v>
      </c>
      <c r="E1033" s="214">
        <v>2.0</v>
      </c>
      <c r="F1033" s="214"/>
      <c r="G1033" s="214"/>
      <c r="H1033" s="214"/>
      <c r="I1033" s="214"/>
      <c r="J1033" s="222"/>
      <c r="K1033" s="222"/>
      <c r="L1033" s="222"/>
      <c r="M1033" s="222"/>
      <c r="N1033" s="214">
        <v>202.0</v>
      </c>
      <c r="O1033" s="214">
        <v>119.0</v>
      </c>
      <c r="P1033" s="214">
        <v>0.0</v>
      </c>
      <c r="Q1033" s="214" t="b">
        <v>1</v>
      </c>
      <c r="R1033" s="214">
        <v>59.0</v>
      </c>
      <c r="S1033" s="214" t="s">
        <v>556</v>
      </c>
      <c r="T1033" s="214" t="s">
        <v>321</v>
      </c>
      <c r="U1033" s="214"/>
    </row>
    <row r="1034">
      <c r="A1034" s="221">
        <v>45944.06859804398</v>
      </c>
      <c r="B1034" s="214" t="s">
        <v>493</v>
      </c>
      <c r="C1034" s="214" t="s">
        <v>205</v>
      </c>
      <c r="D1034" s="214">
        <v>2.0</v>
      </c>
      <c r="E1034" s="214">
        <v>3.0</v>
      </c>
      <c r="F1034" s="214"/>
      <c r="G1034" s="214"/>
      <c r="H1034" s="214"/>
      <c r="I1034" s="214"/>
      <c r="J1034" s="222"/>
      <c r="K1034" s="222"/>
      <c r="L1034" s="222"/>
      <c r="M1034" s="222"/>
      <c r="N1034" s="214">
        <v>122.0</v>
      </c>
      <c r="O1034" s="214">
        <v>139.0</v>
      </c>
      <c r="P1034" s="214">
        <v>0.0</v>
      </c>
      <c r="Q1034" s="214" t="b">
        <v>1</v>
      </c>
      <c r="R1034" s="214">
        <v>59.0</v>
      </c>
      <c r="S1034" s="214" t="s">
        <v>556</v>
      </c>
      <c r="T1034" s="214" t="s">
        <v>321</v>
      </c>
      <c r="U1034" s="214"/>
    </row>
    <row r="1035">
      <c r="A1035" s="221">
        <v>45944.06859804398</v>
      </c>
      <c r="B1035" s="214" t="s">
        <v>493</v>
      </c>
      <c r="C1035" s="214" t="s">
        <v>219</v>
      </c>
      <c r="D1035" s="214">
        <v>3.0</v>
      </c>
      <c r="E1035" s="214">
        <v>3.0</v>
      </c>
      <c r="F1035" s="214" t="s">
        <v>1448</v>
      </c>
      <c r="G1035" s="214" t="s">
        <v>61</v>
      </c>
      <c r="H1035" s="214" t="s">
        <v>156</v>
      </c>
      <c r="I1035" s="214"/>
      <c r="J1035" s="222" t="s">
        <v>67</v>
      </c>
      <c r="K1035" s="222">
        <v>-2.5</v>
      </c>
      <c r="L1035" s="222" t="s">
        <v>67</v>
      </c>
      <c r="M1035" s="222">
        <v>45.5</v>
      </c>
      <c r="N1035" s="214">
        <v>103.0</v>
      </c>
      <c r="O1035" s="214">
        <v>179.0</v>
      </c>
      <c r="P1035" s="214">
        <v>2.0</v>
      </c>
      <c r="Q1035" s="214" t="b">
        <v>0</v>
      </c>
      <c r="R1035" s="214">
        <v>100.0</v>
      </c>
      <c r="S1035" s="214" t="s">
        <v>441</v>
      </c>
      <c r="T1035" s="214" t="s">
        <v>365</v>
      </c>
      <c r="U1035" s="214"/>
    </row>
    <row r="1036">
      <c r="A1036" s="221">
        <v>45944.06859804398</v>
      </c>
      <c r="B1036" s="214" t="s">
        <v>493</v>
      </c>
      <c r="C1036" s="214" t="s">
        <v>170</v>
      </c>
      <c r="D1036" s="214">
        <v>2.0</v>
      </c>
      <c r="E1036" s="214">
        <v>4.0</v>
      </c>
      <c r="F1036" s="214" t="s">
        <v>1398</v>
      </c>
      <c r="G1036" s="214" t="s">
        <v>61</v>
      </c>
      <c r="H1036" s="214" t="s">
        <v>43</v>
      </c>
      <c r="I1036" s="214"/>
      <c r="J1036" s="222" t="s">
        <v>67</v>
      </c>
      <c r="K1036" s="222">
        <v>-2.5</v>
      </c>
      <c r="L1036" s="222" t="s">
        <v>67</v>
      </c>
      <c r="M1036" s="222">
        <v>51.5</v>
      </c>
      <c r="N1036" s="214">
        <v>115.0</v>
      </c>
      <c r="O1036" s="214">
        <v>226.0</v>
      </c>
      <c r="P1036" s="214">
        <v>2.0</v>
      </c>
      <c r="Q1036" s="214" t="b">
        <v>1</v>
      </c>
      <c r="R1036" s="214">
        <v>100.0</v>
      </c>
      <c r="S1036" s="214" t="s">
        <v>530</v>
      </c>
      <c r="T1036" s="214" t="s">
        <v>365</v>
      </c>
      <c r="U1036" s="214"/>
    </row>
    <row r="1037">
      <c r="A1037" s="221">
        <v>45944.06859804398</v>
      </c>
      <c r="B1037" s="214" t="s">
        <v>493</v>
      </c>
      <c r="C1037" s="214" t="s">
        <v>200</v>
      </c>
      <c r="D1037" s="214">
        <v>3.0</v>
      </c>
      <c r="E1037" s="214">
        <v>3.0</v>
      </c>
      <c r="F1037" s="214" t="s">
        <v>1450</v>
      </c>
      <c r="G1037" s="214" t="s">
        <v>61</v>
      </c>
      <c r="H1037" s="214" t="s">
        <v>249</v>
      </c>
      <c r="I1037" s="214"/>
      <c r="J1037" s="222" t="s">
        <v>67</v>
      </c>
      <c r="K1037" s="222">
        <v>31.5</v>
      </c>
      <c r="L1037" s="222" t="s">
        <v>67</v>
      </c>
      <c r="M1037" s="222">
        <v>57.5</v>
      </c>
      <c r="N1037" s="214">
        <v>124.0</v>
      </c>
      <c r="O1037" s="214">
        <v>168.0</v>
      </c>
      <c r="P1037" s="214">
        <v>2.0</v>
      </c>
      <c r="Q1037" s="214" t="b">
        <v>1</v>
      </c>
      <c r="R1037" s="214">
        <v>100.0</v>
      </c>
      <c r="S1037" s="214" t="s">
        <v>680</v>
      </c>
      <c r="T1037" s="214" t="s">
        <v>365</v>
      </c>
      <c r="U1037" s="214"/>
    </row>
    <row r="1038">
      <c r="A1038" s="221">
        <v>45951.06845711806</v>
      </c>
      <c r="B1038" s="214" t="s">
        <v>43</v>
      </c>
      <c r="C1038" s="214" t="s">
        <v>157</v>
      </c>
      <c r="D1038" s="214">
        <v>3.0</v>
      </c>
      <c r="E1038" s="214">
        <v>4.0</v>
      </c>
      <c r="F1038" s="214"/>
      <c r="G1038" s="214"/>
      <c r="H1038" s="214"/>
      <c r="I1038" s="214"/>
      <c r="J1038" s="222"/>
      <c r="K1038" s="222"/>
      <c r="L1038" s="222"/>
      <c r="M1038" s="222"/>
      <c r="N1038" s="214">
        <v>136.0</v>
      </c>
      <c r="O1038" s="214">
        <v>190.0</v>
      </c>
      <c r="P1038" s="214">
        <v>0.0</v>
      </c>
      <c r="Q1038" s="214" t="b">
        <v>1</v>
      </c>
      <c r="R1038" s="214">
        <v>59.0</v>
      </c>
      <c r="S1038" s="214" t="s">
        <v>361</v>
      </c>
      <c r="T1038" s="214" t="s">
        <v>365</v>
      </c>
      <c r="U1038" s="214"/>
    </row>
    <row r="1039">
      <c r="A1039" s="221">
        <v>45951.06845711806</v>
      </c>
      <c r="B1039" s="214" t="s">
        <v>43</v>
      </c>
      <c r="C1039" s="214" t="s">
        <v>145</v>
      </c>
      <c r="D1039" s="214">
        <v>3.0</v>
      </c>
      <c r="E1039" s="214">
        <v>4.0</v>
      </c>
      <c r="F1039" s="214" t="s">
        <v>1452</v>
      </c>
      <c r="G1039" s="214" t="s">
        <v>61</v>
      </c>
      <c r="H1039" s="214" t="s">
        <v>249</v>
      </c>
      <c r="I1039" s="214"/>
      <c r="J1039" s="222" t="s">
        <v>67</v>
      </c>
      <c r="K1039" s="222">
        <v>2.5</v>
      </c>
      <c r="L1039" s="222" t="s">
        <v>67</v>
      </c>
      <c r="M1039" s="222">
        <v>40.5</v>
      </c>
      <c r="N1039" s="214">
        <v>238.0</v>
      </c>
      <c r="O1039" s="214">
        <v>136.0</v>
      </c>
      <c r="P1039" s="214">
        <v>2.0</v>
      </c>
      <c r="Q1039" s="214" t="b">
        <v>1</v>
      </c>
      <c r="R1039" s="214">
        <v>100.0</v>
      </c>
      <c r="S1039" s="214" t="s">
        <v>407</v>
      </c>
      <c r="T1039" s="214" t="s">
        <v>321</v>
      </c>
      <c r="U1039" s="214"/>
    </row>
    <row r="1040">
      <c r="A1040" s="221">
        <v>45951.06845711806</v>
      </c>
      <c r="B1040" s="214" t="s">
        <v>43</v>
      </c>
      <c r="C1040" s="214" t="s">
        <v>189</v>
      </c>
      <c r="D1040" s="214">
        <v>5.0</v>
      </c>
      <c r="E1040" s="214">
        <v>2.0</v>
      </c>
      <c r="F1040" s="214" t="s">
        <v>1453</v>
      </c>
      <c r="G1040" s="214" t="s">
        <v>61</v>
      </c>
      <c r="H1040" s="214" t="s">
        <v>43</v>
      </c>
      <c r="I1040" s="214"/>
      <c r="J1040" s="222" t="s">
        <v>67</v>
      </c>
      <c r="K1040" s="222">
        <v>7.0</v>
      </c>
      <c r="L1040" s="222" t="s">
        <v>67</v>
      </c>
      <c r="M1040" s="222">
        <v>51.5</v>
      </c>
      <c r="N1040" s="214">
        <v>182.0</v>
      </c>
      <c r="O1040" s="214">
        <v>170.0</v>
      </c>
      <c r="P1040" s="214">
        <v>2.0</v>
      </c>
      <c r="Q1040" s="214" t="b">
        <v>1</v>
      </c>
      <c r="R1040" s="214">
        <v>100.0</v>
      </c>
      <c r="S1040" s="214" t="s">
        <v>471</v>
      </c>
      <c r="T1040" s="214" t="s">
        <v>321</v>
      </c>
      <c r="U1040" s="214"/>
    </row>
    <row r="1041">
      <c r="A1041" s="221">
        <v>45951.06845711806</v>
      </c>
      <c r="B1041" s="214" t="s">
        <v>43</v>
      </c>
      <c r="C1041" s="214" t="s">
        <v>133</v>
      </c>
      <c r="D1041" s="214">
        <v>6.0</v>
      </c>
      <c r="E1041" s="214">
        <v>1.0</v>
      </c>
      <c r="F1041" s="214" t="s">
        <v>1453</v>
      </c>
      <c r="G1041" s="214" t="s">
        <v>61</v>
      </c>
      <c r="H1041" s="214" t="s">
        <v>43</v>
      </c>
      <c r="I1041" s="214"/>
      <c r="J1041" s="222" t="s">
        <v>67</v>
      </c>
      <c r="K1041" s="222">
        <v>-7.0</v>
      </c>
      <c r="L1041" s="222" t="s">
        <v>67</v>
      </c>
      <c r="M1041" s="222">
        <v>51.5</v>
      </c>
      <c r="N1041" s="214">
        <v>307.0</v>
      </c>
      <c r="O1041" s="214">
        <v>99.0</v>
      </c>
      <c r="P1041" s="214">
        <v>2.0</v>
      </c>
      <c r="Q1041" s="214" t="b">
        <v>0</v>
      </c>
      <c r="R1041" s="214">
        <v>100.0</v>
      </c>
      <c r="S1041" s="214" t="s">
        <v>471</v>
      </c>
      <c r="T1041" s="214" t="s">
        <v>321</v>
      </c>
      <c r="U1041" s="214"/>
    </row>
    <row r="1042">
      <c r="A1042" s="221">
        <v>45951.06845711806</v>
      </c>
      <c r="B1042" s="214" t="s">
        <v>43</v>
      </c>
      <c r="C1042" s="214" t="s">
        <v>422</v>
      </c>
      <c r="D1042" s="214">
        <v>4.0</v>
      </c>
      <c r="E1042" s="214">
        <v>3.0</v>
      </c>
      <c r="F1042" s="214" t="s">
        <v>1454</v>
      </c>
      <c r="G1042" s="214" t="s">
        <v>61</v>
      </c>
      <c r="H1042" s="214" t="s">
        <v>156</v>
      </c>
      <c r="I1042" s="214"/>
      <c r="J1042" s="222" t="s">
        <v>67</v>
      </c>
      <c r="K1042" s="222">
        <v>-10.0</v>
      </c>
      <c r="L1042" s="222" t="s">
        <v>67</v>
      </c>
      <c r="M1042" s="222">
        <v>48.5</v>
      </c>
      <c r="N1042" s="214">
        <v>195.0</v>
      </c>
      <c r="O1042" s="214">
        <v>197.0</v>
      </c>
      <c r="P1042" s="214">
        <v>2.0</v>
      </c>
      <c r="Q1042" s="214" t="b">
        <v>0</v>
      </c>
      <c r="R1042" s="214">
        <v>100.0</v>
      </c>
      <c r="S1042" s="214" t="s">
        <v>441</v>
      </c>
      <c r="T1042" s="214" t="s">
        <v>365</v>
      </c>
      <c r="U1042" s="214"/>
    </row>
    <row r="1043">
      <c r="A1043" s="221">
        <v>45951.06845711806</v>
      </c>
      <c r="B1043" s="214" t="s">
        <v>43</v>
      </c>
      <c r="C1043" s="214" t="s">
        <v>176</v>
      </c>
      <c r="D1043" s="214">
        <v>2.0</v>
      </c>
      <c r="E1043" s="214">
        <v>5.0</v>
      </c>
      <c r="F1043" s="214" t="s">
        <v>1455</v>
      </c>
      <c r="G1043" s="214" t="s">
        <v>61</v>
      </c>
      <c r="H1043" s="214" t="s">
        <v>132</v>
      </c>
      <c r="I1043" s="214"/>
      <c r="J1043" s="222" t="s">
        <v>67</v>
      </c>
      <c r="K1043" s="222">
        <v>-4.0</v>
      </c>
      <c r="L1043" s="222" t="s">
        <v>67</v>
      </c>
      <c r="M1043" s="222">
        <v>57.5</v>
      </c>
      <c r="N1043" s="214">
        <v>254.0</v>
      </c>
      <c r="O1043" s="214">
        <v>261.0</v>
      </c>
      <c r="P1043" s="214">
        <v>2.0</v>
      </c>
      <c r="Q1043" s="214" t="b">
        <v>0</v>
      </c>
      <c r="R1043" s="214">
        <v>100.0</v>
      </c>
      <c r="S1043" s="214" t="s">
        <v>525</v>
      </c>
      <c r="T1043" s="214" t="s">
        <v>365</v>
      </c>
      <c r="U1043" s="214"/>
    </row>
    <row r="1044">
      <c r="A1044" s="221">
        <v>45951.06845711806</v>
      </c>
      <c r="B1044" s="214" t="s">
        <v>43</v>
      </c>
      <c r="C1044" s="214" t="s">
        <v>527</v>
      </c>
      <c r="D1044" s="214">
        <v>0.0</v>
      </c>
      <c r="E1044" s="214">
        <v>7.0</v>
      </c>
      <c r="F1044" s="214" t="s">
        <v>1456</v>
      </c>
      <c r="G1044" s="214" t="s">
        <v>61</v>
      </c>
      <c r="H1044" s="214" t="s">
        <v>249</v>
      </c>
      <c r="I1044" s="214"/>
      <c r="J1044" s="222" t="s">
        <v>67</v>
      </c>
      <c r="K1044" s="222">
        <v>16.5</v>
      </c>
      <c r="L1044" s="222" t="s">
        <v>67</v>
      </c>
      <c r="M1044" s="222">
        <v>46.5</v>
      </c>
      <c r="N1044" s="214">
        <v>79.0</v>
      </c>
      <c r="O1044" s="214">
        <v>249.0</v>
      </c>
      <c r="P1044" s="214">
        <v>2.0</v>
      </c>
      <c r="Q1044" s="214" t="b">
        <v>0</v>
      </c>
      <c r="R1044" s="214">
        <v>100.0</v>
      </c>
      <c r="S1044" s="214" t="s">
        <v>530</v>
      </c>
      <c r="T1044" s="214" t="s">
        <v>365</v>
      </c>
      <c r="U1044" s="214"/>
    </row>
    <row r="1045">
      <c r="A1045" s="221">
        <v>45951.06845711806</v>
      </c>
      <c r="B1045" s="214" t="s">
        <v>43</v>
      </c>
      <c r="C1045" s="214" t="s">
        <v>118</v>
      </c>
      <c r="D1045" s="214">
        <v>2.0</v>
      </c>
      <c r="E1045" s="214">
        <v>4.0</v>
      </c>
      <c r="F1045" s="214" t="s">
        <v>1457</v>
      </c>
      <c r="G1045" s="214" t="s">
        <v>61</v>
      </c>
      <c r="H1045" s="214" t="s">
        <v>62</v>
      </c>
      <c r="I1045" s="214"/>
      <c r="J1045" s="222" t="s">
        <v>67</v>
      </c>
      <c r="K1045" s="222">
        <v>9.5</v>
      </c>
      <c r="L1045" s="222" t="s">
        <v>67</v>
      </c>
      <c r="M1045" s="222">
        <v>47.5</v>
      </c>
      <c r="N1045" s="214">
        <v>112.0</v>
      </c>
      <c r="O1045" s="214">
        <v>150.0</v>
      </c>
      <c r="P1045" s="214">
        <v>2.0</v>
      </c>
      <c r="Q1045" s="214" t="b">
        <v>0</v>
      </c>
      <c r="R1045" s="214">
        <v>100.0</v>
      </c>
      <c r="S1045" s="214" t="s">
        <v>317</v>
      </c>
      <c r="T1045" s="214" t="s">
        <v>321</v>
      </c>
      <c r="U1045" s="214"/>
    </row>
    <row r="1046">
      <c r="A1046" s="221">
        <v>45951.06845711806</v>
      </c>
      <c r="B1046" s="214" t="s">
        <v>43</v>
      </c>
      <c r="C1046" s="214" t="s">
        <v>228</v>
      </c>
      <c r="D1046" s="214">
        <v>3.0</v>
      </c>
      <c r="E1046" s="214">
        <v>3.0</v>
      </c>
      <c r="F1046" s="214" t="s">
        <v>1458</v>
      </c>
      <c r="G1046" s="214" t="s">
        <v>61</v>
      </c>
      <c r="H1046" s="214" t="s">
        <v>62</v>
      </c>
      <c r="I1046" s="214"/>
      <c r="J1046" s="222" t="s">
        <v>67</v>
      </c>
      <c r="K1046" s="222">
        <v>9.5</v>
      </c>
      <c r="L1046" s="222" t="s">
        <v>67</v>
      </c>
      <c r="M1046" s="222">
        <v>46.5</v>
      </c>
      <c r="N1046" s="214">
        <v>138.0</v>
      </c>
      <c r="O1046" s="214">
        <v>144.0</v>
      </c>
      <c r="P1046" s="214">
        <v>2.0</v>
      </c>
      <c r="Q1046" s="214" t="b">
        <v>1</v>
      </c>
      <c r="R1046" s="214">
        <v>100.0</v>
      </c>
      <c r="S1046" s="214" t="s">
        <v>535</v>
      </c>
      <c r="T1046" s="214" t="s">
        <v>365</v>
      </c>
      <c r="U1046" s="214"/>
    </row>
    <row r="1047">
      <c r="A1047" s="221">
        <v>45951.06845711806</v>
      </c>
      <c r="B1047" s="214" t="s">
        <v>43</v>
      </c>
      <c r="C1047" s="214" t="s">
        <v>45</v>
      </c>
      <c r="D1047" s="214">
        <v>3.0</v>
      </c>
      <c r="E1047" s="214">
        <v>4.0</v>
      </c>
      <c r="F1047" s="214" t="s">
        <v>1459</v>
      </c>
      <c r="G1047" s="214" t="s">
        <v>597</v>
      </c>
      <c r="H1047" s="214" t="s">
        <v>156</v>
      </c>
      <c r="I1047" s="214"/>
      <c r="J1047" s="222" t="s">
        <v>67</v>
      </c>
      <c r="K1047" s="222">
        <v>1.5</v>
      </c>
      <c r="L1047" s="222" t="s">
        <v>67</v>
      </c>
      <c r="M1047" s="222">
        <v>43.5</v>
      </c>
      <c r="N1047" s="214">
        <v>165.0</v>
      </c>
      <c r="O1047" s="214">
        <v>125.0</v>
      </c>
      <c r="P1047" s="214">
        <v>2.0</v>
      </c>
      <c r="Q1047" s="214" t="b">
        <v>0</v>
      </c>
      <c r="R1047" s="214">
        <v>100.0</v>
      </c>
      <c r="S1047" s="214" t="s">
        <v>556</v>
      </c>
      <c r="T1047" s="214" t="s">
        <v>321</v>
      </c>
      <c r="U1047" s="214"/>
    </row>
    <row r="1048">
      <c r="A1048" s="221">
        <v>45951.06845711806</v>
      </c>
      <c r="B1048" s="214"/>
      <c r="C1048" s="214"/>
      <c r="D1048" s="214"/>
      <c r="E1048" s="214"/>
      <c r="F1048" s="214"/>
      <c r="G1048" s="214"/>
      <c r="H1048" s="214"/>
      <c r="I1048" s="214"/>
      <c r="J1048" s="222"/>
      <c r="K1048" s="222"/>
      <c r="L1048" s="222"/>
      <c r="M1048" s="222"/>
      <c r="N1048" s="214"/>
      <c r="O1048" s="214"/>
      <c r="P1048" s="214"/>
      <c r="Q1048" s="214"/>
      <c r="R1048" s="214"/>
      <c r="S1048" s="214"/>
      <c r="T1048" s="214"/>
      <c r="U1048" s="214"/>
    </row>
    <row r="1049">
      <c r="A1049" s="221">
        <v>45951.06845711806</v>
      </c>
      <c r="B1049" s="214" t="s">
        <v>95</v>
      </c>
      <c r="C1049" s="214" t="s">
        <v>117</v>
      </c>
      <c r="D1049" s="214">
        <v>4.0</v>
      </c>
      <c r="E1049" s="214">
        <v>3.0</v>
      </c>
      <c r="F1049" s="214"/>
      <c r="G1049" s="214"/>
      <c r="H1049" s="214"/>
      <c r="I1049" s="214"/>
      <c r="J1049" s="222"/>
      <c r="K1049" s="222"/>
      <c r="L1049" s="222"/>
      <c r="M1049" s="222"/>
      <c r="N1049" s="214">
        <v>210.0</v>
      </c>
      <c r="O1049" s="214">
        <v>186.0</v>
      </c>
      <c r="P1049" s="214">
        <v>0.0</v>
      </c>
      <c r="Q1049" s="214" t="b">
        <v>1</v>
      </c>
      <c r="R1049" s="214">
        <v>59.0</v>
      </c>
      <c r="S1049" s="214" t="s">
        <v>317</v>
      </c>
      <c r="T1049" s="214" t="s">
        <v>321</v>
      </c>
      <c r="U1049" s="214"/>
    </row>
    <row r="1050">
      <c r="A1050" s="221">
        <v>45951.06845711806</v>
      </c>
      <c r="B1050" s="214" t="s">
        <v>95</v>
      </c>
      <c r="C1050" s="214" t="s">
        <v>233</v>
      </c>
      <c r="D1050" s="214">
        <v>4.0</v>
      </c>
      <c r="E1050" s="214">
        <v>2.0</v>
      </c>
      <c r="F1050" s="214"/>
      <c r="G1050" s="214"/>
      <c r="H1050" s="214"/>
      <c r="I1050" s="214"/>
      <c r="J1050" s="222"/>
      <c r="K1050" s="222"/>
      <c r="L1050" s="222"/>
      <c r="M1050" s="222"/>
      <c r="N1050" s="214">
        <v>132.0</v>
      </c>
      <c r="O1050" s="214">
        <v>123.0</v>
      </c>
      <c r="P1050" s="214">
        <v>0.0</v>
      </c>
      <c r="Q1050" s="214" t="b">
        <v>1</v>
      </c>
      <c r="R1050" s="214">
        <v>59.0</v>
      </c>
      <c r="S1050" s="214" t="s">
        <v>535</v>
      </c>
      <c r="T1050" s="214" t="s">
        <v>365</v>
      </c>
      <c r="U1050" s="214"/>
    </row>
    <row r="1051">
      <c r="A1051" s="221">
        <v>45951.06845711806</v>
      </c>
      <c r="B1051" s="214" t="s">
        <v>95</v>
      </c>
      <c r="C1051" s="214" t="s">
        <v>198</v>
      </c>
      <c r="D1051" s="214">
        <v>5.0</v>
      </c>
      <c r="E1051" s="214">
        <v>2.0</v>
      </c>
      <c r="F1051" s="214" t="s">
        <v>1460</v>
      </c>
      <c r="G1051" s="214" t="s">
        <v>61</v>
      </c>
      <c r="H1051" s="214" t="s">
        <v>224</v>
      </c>
      <c r="I1051" s="214"/>
      <c r="J1051" s="222" t="s">
        <v>67</v>
      </c>
      <c r="K1051" s="222">
        <v>-3.5</v>
      </c>
      <c r="L1051" s="222" t="s">
        <v>67</v>
      </c>
      <c r="M1051" s="222">
        <v>49.5</v>
      </c>
      <c r="N1051" s="214">
        <v>258.0</v>
      </c>
      <c r="O1051" s="214">
        <v>107.0</v>
      </c>
      <c r="P1051" s="214">
        <v>2.0</v>
      </c>
      <c r="Q1051" s="214" t="b">
        <v>0</v>
      </c>
      <c r="R1051" s="214">
        <v>100.0</v>
      </c>
      <c r="S1051" s="214" t="s">
        <v>471</v>
      </c>
      <c r="T1051" s="214" t="s">
        <v>321</v>
      </c>
      <c r="U1051" s="214"/>
    </row>
    <row r="1052">
      <c r="A1052" s="221">
        <v>45951.06845711806</v>
      </c>
      <c r="B1052" s="214" t="s">
        <v>95</v>
      </c>
      <c r="C1052" s="214" t="s">
        <v>197</v>
      </c>
      <c r="D1052" s="214">
        <v>5.0</v>
      </c>
      <c r="E1052" s="214">
        <v>2.0</v>
      </c>
      <c r="F1052" s="214" t="s">
        <v>1461</v>
      </c>
      <c r="G1052" s="214" t="s">
        <v>61</v>
      </c>
      <c r="H1052" s="214" t="s">
        <v>96</v>
      </c>
      <c r="I1052" s="214"/>
      <c r="J1052" s="222" t="s">
        <v>67</v>
      </c>
      <c r="K1052" s="222">
        <v>9.5</v>
      </c>
      <c r="L1052" s="222" t="s">
        <v>67</v>
      </c>
      <c r="M1052" s="222">
        <v>60.5</v>
      </c>
      <c r="N1052" s="214">
        <v>297.0</v>
      </c>
      <c r="O1052" s="214">
        <v>162.0</v>
      </c>
      <c r="P1052" s="214">
        <v>2.0</v>
      </c>
      <c r="Q1052" s="214" t="b">
        <v>0</v>
      </c>
      <c r="R1052" s="214">
        <v>100.0</v>
      </c>
      <c r="S1052" s="214" t="s">
        <v>407</v>
      </c>
      <c r="T1052" s="214" t="s">
        <v>321</v>
      </c>
      <c r="U1052" s="214"/>
    </row>
    <row r="1053">
      <c r="A1053" s="221">
        <v>45951.06845711806</v>
      </c>
      <c r="B1053" s="214" t="s">
        <v>95</v>
      </c>
      <c r="C1053" s="214" t="s">
        <v>165</v>
      </c>
      <c r="D1053" s="214">
        <v>3.0</v>
      </c>
      <c r="E1053" s="214">
        <v>4.0</v>
      </c>
      <c r="F1053" s="214" t="s">
        <v>1466</v>
      </c>
      <c r="G1053" s="214" t="s">
        <v>61</v>
      </c>
      <c r="H1053" s="214" t="s">
        <v>193</v>
      </c>
      <c r="I1053" s="214"/>
      <c r="J1053" s="222" t="s">
        <v>67</v>
      </c>
      <c r="K1053" s="222">
        <v>-1.5</v>
      </c>
      <c r="L1053" s="222" t="s">
        <v>67</v>
      </c>
      <c r="M1053" s="222">
        <v>43.5</v>
      </c>
      <c r="N1053" s="214">
        <v>124.0</v>
      </c>
      <c r="O1053" s="214">
        <v>217.0</v>
      </c>
      <c r="P1053" s="214">
        <v>2.0</v>
      </c>
      <c r="Q1053" s="214" t="b">
        <v>1</v>
      </c>
      <c r="R1053" s="214">
        <v>100.0</v>
      </c>
      <c r="S1053" s="214" t="s">
        <v>530</v>
      </c>
      <c r="T1053" s="214" t="s">
        <v>365</v>
      </c>
      <c r="U1053" s="214"/>
    </row>
    <row r="1054">
      <c r="A1054" s="221">
        <v>45951.06845711806</v>
      </c>
      <c r="B1054" s="214" t="s">
        <v>95</v>
      </c>
      <c r="C1054" s="214" t="s">
        <v>177</v>
      </c>
      <c r="D1054" s="214">
        <v>5.0</v>
      </c>
      <c r="E1054" s="214">
        <v>2.0</v>
      </c>
      <c r="F1054" s="214" t="s">
        <v>1468</v>
      </c>
      <c r="G1054" s="214" t="s">
        <v>61</v>
      </c>
      <c r="H1054" s="214" t="s">
        <v>224</v>
      </c>
      <c r="I1054" s="214"/>
      <c r="J1054" s="222" t="s">
        <v>67</v>
      </c>
      <c r="K1054" s="222">
        <v>-12.5</v>
      </c>
      <c r="L1054" s="222" t="s">
        <v>67</v>
      </c>
      <c r="M1054" s="222">
        <v>62.5</v>
      </c>
      <c r="N1054" s="214">
        <v>258.0</v>
      </c>
      <c r="O1054" s="214">
        <v>183.0</v>
      </c>
      <c r="P1054" s="214">
        <v>2.0</v>
      </c>
      <c r="Q1054" s="214" t="b">
        <v>1</v>
      </c>
      <c r="R1054" s="214">
        <v>100.0</v>
      </c>
      <c r="S1054" s="214" t="s">
        <v>525</v>
      </c>
      <c r="T1054" s="214" t="s">
        <v>365</v>
      </c>
      <c r="U1054" s="214"/>
    </row>
    <row r="1055">
      <c r="A1055" s="221">
        <v>45951.06845711806</v>
      </c>
      <c r="B1055" s="214" t="s">
        <v>95</v>
      </c>
      <c r="C1055" s="214" t="s">
        <v>130</v>
      </c>
      <c r="D1055" s="214">
        <v>5.0</v>
      </c>
      <c r="E1055" s="214">
        <v>2.0</v>
      </c>
      <c r="F1055" s="214" t="s">
        <v>1469</v>
      </c>
      <c r="G1055" s="214" t="s">
        <v>61</v>
      </c>
      <c r="H1055" s="214" t="s">
        <v>249</v>
      </c>
      <c r="I1055" s="214"/>
      <c r="J1055" s="222" t="s">
        <v>67</v>
      </c>
      <c r="K1055" s="222">
        <v>-2.5</v>
      </c>
      <c r="L1055" s="222" t="s">
        <v>67</v>
      </c>
      <c r="M1055" s="222">
        <v>64.5</v>
      </c>
      <c r="N1055" s="214">
        <v>254.0</v>
      </c>
      <c r="O1055" s="214">
        <v>184.0</v>
      </c>
      <c r="P1055" s="214">
        <v>2.0</v>
      </c>
      <c r="Q1055" s="214" t="b">
        <v>1</v>
      </c>
      <c r="R1055" s="214">
        <v>100.0</v>
      </c>
      <c r="S1055" s="214" t="s">
        <v>471</v>
      </c>
      <c r="T1055" s="214" t="s">
        <v>321</v>
      </c>
      <c r="U1055" s="214"/>
    </row>
    <row r="1056">
      <c r="A1056" s="221">
        <v>45951.06845711806</v>
      </c>
      <c r="B1056" s="214" t="s">
        <v>95</v>
      </c>
      <c r="C1056" s="214" t="s">
        <v>128</v>
      </c>
      <c r="D1056" s="214">
        <v>6.0</v>
      </c>
      <c r="E1056" s="214">
        <v>1.0</v>
      </c>
      <c r="F1056" s="214" t="s">
        <v>1470</v>
      </c>
      <c r="G1056" s="214" t="s">
        <v>61</v>
      </c>
      <c r="H1056" s="214" t="s">
        <v>132</v>
      </c>
      <c r="I1056" s="214"/>
      <c r="J1056" s="222" t="s">
        <v>67</v>
      </c>
      <c r="K1056" s="222">
        <v>-5.5</v>
      </c>
      <c r="L1056" s="222" t="s">
        <v>67</v>
      </c>
      <c r="M1056" s="222">
        <v>43.5</v>
      </c>
      <c r="N1056" s="214">
        <v>201.0</v>
      </c>
      <c r="O1056" s="214">
        <v>66.0</v>
      </c>
      <c r="P1056" s="214">
        <v>2.0</v>
      </c>
      <c r="Q1056" s="214" t="b">
        <v>1</v>
      </c>
      <c r="R1056" s="214">
        <v>100.0</v>
      </c>
      <c r="S1056" s="214" t="s">
        <v>556</v>
      </c>
      <c r="T1056" s="214" t="s">
        <v>321</v>
      </c>
      <c r="U1056" s="214"/>
    </row>
    <row r="1057">
      <c r="A1057" s="221">
        <v>45951.06845711806</v>
      </c>
      <c r="B1057" s="214" t="s">
        <v>95</v>
      </c>
      <c r="C1057" s="214" t="s">
        <v>100</v>
      </c>
      <c r="D1057" s="214">
        <v>4.0</v>
      </c>
      <c r="E1057" s="214">
        <v>3.0</v>
      </c>
      <c r="F1057" s="214" t="s">
        <v>1471</v>
      </c>
      <c r="G1057" s="214" t="s">
        <v>61</v>
      </c>
      <c r="H1057" s="214" t="s">
        <v>493</v>
      </c>
      <c r="I1057" s="214"/>
      <c r="J1057" s="222" t="s">
        <v>67</v>
      </c>
      <c r="K1057" s="222">
        <v>-16.5</v>
      </c>
      <c r="L1057" s="222" t="s">
        <v>67</v>
      </c>
      <c r="M1057" s="222">
        <v>54.5</v>
      </c>
      <c r="N1057" s="214">
        <v>212.0</v>
      </c>
      <c r="O1057" s="214">
        <v>120.0</v>
      </c>
      <c r="P1057" s="214">
        <v>2.0</v>
      </c>
      <c r="Q1057" s="214" t="b">
        <v>1</v>
      </c>
      <c r="R1057" s="214">
        <v>100.0</v>
      </c>
      <c r="S1057" s="214" t="s">
        <v>361</v>
      </c>
      <c r="T1057" s="214" t="s">
        <v>365</v>
      </c>
      <c r="U1057" s="214"/>
    </row>
    <row r="1058">
      <c r="A1058" s="221">
        <v>45951.06845711806</v>
      </c>
      <c r="B1058" s="214" t="s">
        <v>95</v>
      </c>
      <c r="C1058" s="214" t="s">
        <v>221</v>
      </c>
      <c r="D1058" s="214">
        <v>3.0</v>
      </c>
      <c r="E1058" s="214">
        <v>4.0</v>
      </c>
      <c r="F1058" s="214" t="s">
        <v>1472</v>
      </c>
      <c r="G1058" s="214" t="s">
        <v>597</v>
      </c>
      <c r="H1058" s="214" t="s">
        <v>311</v>
      </c>
      <c r="I1058" s="214"/>
      <c r="J1058" s="222" t="s">
        <v>67</v>
      </c>
      <c r="K1058" s="222">
        <v>-3.0</v>
      </c>
      <c r="L1058" s="222" t="s">
        <v>67</v>
      </c>
      <c r="M1058" s="222">
        <v>65.5</v>
      </c>
      <c r="N1058" s="214">
        <v>253.0</v>
      </c>
      <c r="O1058" s="214">
        <v>219.0</v>
      </c>
      <c r="P1058" s="214">
        <v>2.0</v>
      </c>
      <c r="Q1058" s="214" t="b">
        <v>1</v>
      </c>
      <c r="R1058" s="214">
        <v>100.0</v>
      </c>
      <c r="S1058" s="214" t="s">
        <v>441</v>
      </c>
      <c r="T1058" s="214" t="s">
        <v>365</v>
      </c>
      <c r="U1058" s="214"/>
    </row>
    <row r="1059">
      <c r="A1059" s="221">
        <v>45951.06845711806</v>
      </c>
      <c r="B1059" s="214"/>
      <c r="C1059" s="214"/>
      <c r="D1059" s="214"/>
      <c r="E1059" s="214"/>
      <c r="F1059" s="214"/>
      <c r="G1059" s="214"/>
      <c r="H1059" s="214"/>
      <c r="I1059" s="214"/>
      <c r="J1059" s="222"/>
      <c r="K1059" s="222"/>
      <c r="L1059" s="222"/>
      <c r="M1059" s="222"/>
      <c r="N1059" s="214"/>
      <c r="O1059" s="214"/>
      <c r="P1059" s="214"/>
      <c r="Q1059" s="214"/>
      <c r="R1059" s="214"/>
      <c r="S1059" s="214"/>
      <c r="T1059" s="214"/>
      <c r="U1059" s="214"/>
    </row>
    <row r="1060">
      <c r="A1060" s="221">
        <v>45951.06845711806</v>
      </c>
      <c r="B1060" s="214" t="s">
        <v>62</v>
      </c>
      <c r="C1060" s="214" t="s">
        <v>127</v>
      </c>
      <c r="D1060" s="214">
        <v>3.0</v>
      </c>
      <c r="E1060" s="214">
        <v>4.0</v>
      </c>
      <c r="F1060" s="214"/>
      <c r="G1060" s="214"/>
      <c r="H1060" s="214"/>
      <c r="I1060" s="214"/>
      <c r="J1060" s="222"/>
      <c r="K1060" s="222"/>
      <c r="L1060" s="222"/>
      <c r="M1060" s="222"/>
      <c r="N1060" s="214">
        <v>206.0</v>
      </c>
      <c r="O1060" s="214">
        <v>189.0</v>
      </c>
      <c r="P1060" s="214">
        <v>0.0</v>
      </c>
      <c r="Q1060" s="214" t="b">
        <v>1</v>
      </c>
      <c r="R1060" s="214">
        <v>59.0</v>
      </c>
      <c r="S1060" s="214" t="s">
        <v>471</v>
      </c>
      <c r="T1060" s="214" t="s">
        <v>321</v>
      </c>
      <c r="U1060" s="214"/>
    </row>
    <row r="1061">
      <c r="A1061" s="221">
        <v>45951.06845711806</v>
      </c>
      <c r="B1061" s="214" t="s">
        <v>62</v>
      </c>
      <c r="C1061" s="214" t="s">
        <v>201</v>
      </c>
      <c r="D1061" s="214">
        <v>6.0</v>
      </c>
      <c r="E1061" s="214">
        <v>1.0</v>
      </c>
      <c r="F1061" s="214" t="s">
        <v>1473</v>
      </c>
      <c r="G1061" s="214" t="s">
        <v>61</v>
      </c>
      <c r="H1061" s="214" t="s">
        <v>193</v>
      </c>
      <c r="I1061" s="214"/>
      <c r="J1061" s="222" t="s">
        <v>67</v>
      </c>
      <c r="K1061" s="222">
        <v>-8.5</v>
      </c>
      <c r="L1061" s="222" t="s">
        <v>67</v>
      </c>
      <c r="M1061" s="222">
        <v>59.5</v>
      </c>
      <c r="N1061" s="214">
        <v>246.0</v>
      </c>
      <c r="O1061" s="214">
        <v>124.0</v>
      </c>
      <c r="P1061" s="214">
        <v>2.0</v>
      </c>
      <c r="Q1061" s="214" t="b">
        <v>0</v>
      </c>
      <c r="R1061" s="214">
        <v>100.0</v>
      </c>
      <c r="S1061" s="214" t="s">
        <v>556</v>
      </c>
      <c r="T1061" s="214" t="s">
        <v>321</v>
      </c>
      <c r="U1061" s="214"/>
    </row>
    <row r="1062">
      <c r="A1062" s="221">
        <v>45951.06845711806</v>
      </c>
      <c r="B1062" s="214" t="s">
        <v>62</v>
      </c>
      <c r="C1062" s="214" t="s">
        <v>196</v>
      </c>
      <c r="D1062" s="214">
        <v>3.0</v>
      </c>
      <c r="E1062" s="214">
        <v>4.0</v>
      </c>
      <c r="F1062" s="214" t="s">
        <v>1474</v>
      </c>
      <c r="G1062" s="214" t="s">
        <v>61</v>
      </c>
      <c r="H1062" s="214" t="s">
        <v>493</v>
      </c>
      <c r="I1062" s="214"/>
      <c r="J1062" s="222" t="s">
        <v>67</v>
      </c>
      <c r="K1062" s="222">
        <v>-2.5</v>
      </c>
      <c r="L1062" s="222" t="s">
        <v>67</v>
      </c>
      <c r="M1062" s="222">
        <v>52.5</v>
      </c>
      <c r="N1062" s="214">
        <v>157.0</v>
      </c>
      <c r="O1062" s="214">
        <v>192.0</v>
      </c>
      <c r="P1062" s="214">
        <v>2.0</v>
      </c>
      <c r="Q1062" s="214" t="b">
        <v>0</v>
      </c>
      <c r="R1062" s="214">
        <v>100.0</v>
      </c>
      <c r="S1062" s="214" t="s">
        <v>407</v>
      </c>
      <c r="T1062" s="214" t="s">
        <v>321</v>
      </c>
      <c r="U1062" s="214"/>
    </row>
    <row r="1063">
      <c r="A1063" s="221">
        <v>45951.06845711806</v>
      </c>
      <c r="B1063" s="214" t="s">
        <v>62</v>
      </c>
      <c r="C1063" s="214" t="s">
        <v>178</v>
      </c>
      <c r="D1063" s="214">
        <v>2.0</v>
      </c>
      <c r="E1063" s="214">
        <v>5.0</v>
      </c>
      <c r="F1063" s="214" t="s">
        <v>1475</v>
      </c>
      <c r="G1063" s="214" t="s">
        <v>61</v>
      </c>
      <c r="H1063" s="214" t="s">
        <v>96</v>
      </c>
      <c r="I1063" s="214"/>
      <c r="J1063" s="222" t="s">
        <v>67</v>
      </c>
      <c r="K1063" s="222">
        <v>-2.5</v>
      </c>
      <c r="L1063" s="222" t="s">
        <v>67</v>
      </c>
      <c r="M1063" s="222">
        <v>54.5</v>
      </c>
      <c r="N1063" s="214">
        <v>153.0</v>
      </c>
      <c r="O1063" s="214">
        <v>189.0</v>
      </c>
      <c r="P1063" s="214">
        <v>2.0</v>
      </c>
      <c r="Q1063" s="214" t="b">
        <v>0</v>
      </c>
      <c r="R1063" s="214">
        <v>100.0</v>
      </c>
      <c r="S1063" s="214" t="s">
        <v>525</v>
      </c>
      <c r="T1063" s="214" t="s">
        <v>365</v>
      </c>
      <c r="U1063" s="214"/>
    </row>
    <row r="1064">
      <c r="A1064" s="221">
        <v>45951.06845711806</v>
      </c>
      <c r="B1064" s="214" t="s">
        <v>62</v>
      </c>
      <c r="C1064" s="214" t="s">
        <v>163</v>
      </c>
      <c r="D1064" s="214">
        <v>3.0</v>
      </c>
      <c r="E1064" s="214">
        <v>4.0</v>
      </c>
      <c r="F1064" s="214" t="s">
        <v>1476</v>
      </c>
      <c r="G1064" s="214" t="s">
        <v>61</v>
      </c>
      <c r="H1064" s="214" t="s">
        <v>238</v>
      </c>
      <c r="I1064" s="214"/>
      <c r="J1064" s="222" t="s">
        <v>67</v>
      </c>
      <c r="K1064" s="222">
        <v>21.5</v>
      </c>
      <c r="L1064" s="222" t="s">
        <v>67</v>
      </c>
      <c r="M1064" s="222">
        <v>62.5</v>
      </c>
      <c r="N1064" s="214">
        <v>208.0</v>
      </c>
      <c r="O1064" s="214">
        <v>272.0</v>
      </c>
      <c r="P1064" s="214">
        <v>2.0</v>
      </c>
      <c r="Q1064" s="214" t="b">
        <v>1</v>
      </c>
      <c r="R1064" s="214">
        <v>100.0</v>
      </c>
      <c r="S1064" s="214" t="s">
        <v>361</v>
      </c>
      <c r="T1064" s="214" t="s">
        <v>365</v>
      </c>
      <c r="U1064" s="214"/>
    </row>
    <row r="1065">
      <c r="A1065" s="221">
        <v>45951.06845711806</v>
      </c>
      <c r="B1065" s="214" t="s">
        <v>62</v>
      </c>
      <c r="C1065" s="214" t="s">
        <v>155</v>
      </c>
      <c r="D1065" s="214">
        <v>4.0</v>
      </c>
      <c r="E1065" s="214">
        <v>3.0</v>
      </c>
      <c r="F1065" s="214" t="s">
        <v>1477</v>
      </c>
      <c r="G1065" s="214" t="s">
        <v>61</v>
      </c>
      <c r="H1065" s="214" t="s">
        <v>395</v>
      </c>
      <c r="I1065" s="214"/>
      <c r="J1065" s="222" t="s">
        <v>67</v>
      </c>
      <c r="K1065" s="222">
        <v>-1.5</v>
      </c>
      <c r="L1065" s="222" t="s">
        <v>67</v>
      </c>
      <c r="M1065" s="222">
        <v>47.5</v>
      </c>
      <c r="N1065" s="214">
        <v>232.0</v>
      </c>
      <c r="O1065" s="214">
        <v>184.0</v>
      </c>
      <c r="P1065" s="214">
        <v>2.0</v>
      </c>
      <c r="Q1065" s="214" t="b">
        <v>0</v>
      </c>
      <c r="R1065" s="214">
        <v>100.0</v>
      </c>
      <c r="S1065" s="214" t="s">
        <v>441</v>
      </c>
      <c r="T1065" s="214" t="s">
        <v>365</v>
      </c>
      <c r="U1065" s="214"/>
    </row>
    <row r="1066">
      <c r="A1066" s="221">
        <v>45951.06845711806</v>
      </c>
      <c r="B1066" s="214" t="s">
        <v>62</v>
      </c>
      <c r="C1066" s="214" t="s">
        <v>304</v>
      </c>
      <c r="D1066" s="214">
        <v>2.0</v>
      </c>
      <c r="E1066" s="214">
        <v>6.0</v>
      </c>
      <c r="F1066" s="214" t="s">
        <v>1478</v>
      </c>
      <c r="G1066" s="214" t="s">
        <v>61</v>
      </c>
      <c r="H1066" s="214" t="s">
        <v>238</v>
      </c>
      <c r="I1066" s="214"/>
      <c r="J1066" s="222" t="s">
        <v>67</v>
      </c>
      <c r="K1066" s="222">
        <v>13.5</v>
      </c>
      <c r="L1066" s="222" t="s">
        <v>67</v>
      </c>
      <c r="M1066" s="222">
        <v>47.5</v>
      </c>
      <c r="N1066" s="214">
        <v>196.0</v>
      </c>
      <c r="O1066" s="214">
        <v>268.0</v>
      </c>
      <c r="P1066" s="214">
        <v>2.0</v>
      </c>
      <c r="Q1066" s="214" t="b">
        <v>0</v>
      </c>
      <c r="R1066" s="214">
        <v>100.0</v>
      </c>
      <c r="S1066" s="214" t="s">
        <v>530</v>
      </c>
      <c r="T1066" s="214" t="s">
        <v>365</v>
      </c>
      <c r="U1066" s="214"/>
    </row>
    <row r="1067">
      <c r="A1067" s="221">
        <v>45951.06845711806</v>
      </c>
      <c r="B1067" s="214" t="s">
        <v>62</v>
      </c>
      <c r="C1067" s="214" t="s">
        <v>199</v>
      </c>
      <c r="D1067" s="214">
        <v>5.0</v>
      </c>
      <c r="E1067" s="214">
        <v>2.0</v>
      </c>
      <c r="F1067" s="214" t="s">
        <v>1479</v>
      </c>
      <c r="G1067" s="214" t="s">
        <v>61</v>
      </c>
      <c r="H1067" s="214" t="s">
        <v>311</v>
      </c>
      <c r="I1067" s="214"/>
      <c r="J1067" s="222" t="s">
        <v>67</v>
      </c>
      <c r="K1067" s="222">
        <v>4.5</v>
      </c>
      <c r="L1067" s="222" t="s">
        <v>67</v>
      </c>
      <c r="M1067" s="222">
        <v>50.5</v>
      </c>
      <c r="N1067" s="214">
        <v>242.0</v>
      </c>
      <c r="O1067" s="214">
        <v>142.0</v>
      </c>
      <c r="P1067" s="214">
        <v>2.0</v>
      </c>
      <c r="Q1067" s="214" t="b">
        <v>1</v>
      </c>
      <c r="R1067" s="214">
        <v>100.0</v>
      </c>
      <c r="S1067" s="214" t="s">
        <v>407</v>
      </c>
      <c r="T1067" s="214" t="s">
        <v>321</v>
      </c>
      <c r="U1067" s="214"/>
    </row>
    <row r="1068">
      <c r="A1068" s="221">
        <v>45951.06845711806</v>
      </c>
      <c r="B1068" s="214" t="s">
        <v>62</v>
      </c>
      <c r="C1068" s="214" t="s">
        <v>190</v>
      </c>
      <c r="D1068" s="214">
        <v>5.0</v>
      </c>
      <c r="E1068" s="214">
        <v>2.0</v>
      </c>
      <c r="F1068" s="214" t="s">
        <v>1457</v>
      </c>
      <c r="G1068" s="214" t="s">
        <v>61</v>
      </c>
      <c r="H1068" s="214" t="s">
        <v>43</v>
      </c>
      <c r="I1068" s="214"/>
      <c r="J1068" s="222" t="s">
        <v>67</v>
      </c>
      <c r="K1068" s="222">
        <v>-9.5</v>
      </c>
      <c r="L1068" s="222" t="s">
        <v>67</v>
      </c>
      <c r="M1068" s="222">
        <v>47.5</v>
      </c>
      <c r="N1068" s="214">
        <v>166.0</v>
      </c>
      <c r="O1068" s="214">
        <v>153.0</v>
      </c>
      <c r="P1068" s="214">
        <v>2.0</v>
      </c>
      <c r="Q1068" s="214" t="b">
        <v>1</v>
      </c>
      <c r="R1068" s="214">
        <v>100.0</v>
      </c>
      <c r="S1068" s="214" t="s">
        <v>317</v>
      </c>
      <c r="T1068" s="214" t="s">
        <v>321</v>
      </c>
      <c r="U1068" s="214"/>
    </row>
    <row r="1069">
      <c r="A1069" s="221">
        <v>45951.06845711806</v>
      </c>
      <c r="B1069" s="214" t="s">
        <v>62</v>
      </c>
      <c r="C1069" s="214" t="s">
        <v>227</v>
      </c>
      <c r="D1069" s="214">
        <v>3.0</v>
      </c>
      <c r="E1069" s="214">
        <v>4.0</v>
      </c>
      <c r="F1069" s="214" t="s">
        <v>1458</v>
      </c>
      <c r="G1069" s="214" t="s">
        <v>61</v>
      </c>
      <c r="H1069" s="214" t="s">
        <v>43</v>
      </c>
      <c r="I1069" s="214"/>
      <c r="J1069" s="222" t="s">
        <v>67</v>
      </c>
      <c r="K1069" s="222">
        <v>-9.5</v>
      </c>
      <c r="L1069" s="222" t="s">
        <v>67</v>
      </c>
      <c r="M1069" s="222">
        <v>46.5</v>
      </c>
      <c r="N1069" s="214">
        <v>134.0</v>
      </c>
      <c r="O1069" s="214">
        <v>151.0</v>
      </c>
      <c r="P1069" s="214">
        <v>2.0</v>
      </c>
      <c r="Q1069" s="214" t="b">
        <v>0</v>
      </c>
      <c r="R1069" s="214">
        <v>100.0</v>
      </c>
      <c r="S1069" s="214" t="s">
        <v>535</v>
      </c>
      <c r="T1069" s="214" t="s">
        <v>365</v>
      </c>
      <c r="U1069" s="214"/>
    </row>
    <row r="1070">
      <c r="A1070" s="221">
        <v>45951.06845711806</v>
      </c>
      <c r="B1070" s="214"/>
      <c r="C1070" s="214"/>
      <c r="D1070" s="214"/>
      <c r="E1070" s="214"/>
      <c r="F1070" s="214"/>
      <c r="G1070" s="214"/>
      <c r="H1070" s="214"/>
      <c r="I1070" s="214"/>
      <c r="J1070" s="222"/>
      <c r="K1070" s="222"/>
      <c r="L1070" s="222"/>
      <c r="M1070" s="222"/>
      <c r="N1070" s="214"/>
      <c r="O1070" s="214"/>
      <c r="P1070" s="214"/>
      <c r="Q1070" s="214"/>
      <c r="R1070" s="214"/>
      <c r="S1070" s="214"/>
      <c r="T1070" s="214"/>
      <c r="U1070" s="214"/>
    </row>
    <row r="1071">
      <c r="A1071" s="221">
        <v>45951.06845711806</v>
      </c>
      <c r="B1071" s="214" t="s">
        <v>193</v>
      </c>
      <c r="C1071" s="214" t="s">
        <v>126</v>
      </c>
      <c r="D1071" s="214">
        <v>4.0</v>
      </c>
      <c r="E1071" s="214">
        <v>3.0</v>
      </c>
      <c r="F1071" s="214"/>
      <c r="G1071" s="214"/>
      <c r="H1071" s="214"/>
      <c r="I1071" s="214"/>
      <c r="J1071" s="222"/>
      <c r="K1071" s="222"/>
      <c r="L1071" s="222"/>
      <c r="M1071" s="222"/>
      <c r="N1071" s="214">
        <v>227.0</v>
      </c>
      <c r="O1071" s="214">
        <v>165.0</v>
      </c>
      <c r="P1071" s="214">
        <v>0.0</v>
      </c>
      <c r="Q1071" s="214" t="b">
        <v>1</v>
      </c>
      <c r="R1071" s="214">
        <v>59.0</v>
      </c>
      <c r="S1071" s="214" t="s">
        <v>471</v>
      </c>
      <c r="T1071" s="214" t="s">
        <v>321</v>
      </c>
      <c r="U1071" s="214"/>
    </row>
    <row r="1072">
      <c r="A1072" s="221">
        <v>45951.06845711806</v>
      </c>
      <c r="B1072" s="214" t="s">
        <v>193</v>
      </c>
      <c r="C1072" s="214" t="s">
        <v>236</v>
      </c>
      <c r="D1072" s="214">
        <v>3.0</v>
      </c>
      <c r="E1072" s="214">
        <v>3.0</v>
      </c>
      <c r="F1072" s="214"/>
      <c r="G1072" s="214"/>
      <c r="H1072" s="214"/>
      <c r="I1072" s="214"/>
      <c r="J1072" s="222"/>
      <c r="K1072" s="222"/>
      <c r="L1072" s="222"/>
      <c r="M1072" s="222"/>
      <c r="N1072" s="214">
        <v>130.0</v>
      </c>
      <c r="O1072" s="214">
        <v>178.0</v>
      </c>
      <c r="P1072" s="214">
        <v>0.0</v>
      </c>
      <c r="Q1072" s="214" t="b">
        <v>1</v>
      </c>
      <c r="R1072" s="214">
        <v>59.0</v>
      </c>
      <c r="S1072" s="214" t="s">
        <v>535</v>
      </c>
      <c r="T1072" s="214" t="s">
        <v>365</v>
      </c>
      <c r="U1072" s="214"/>
    </row>
    <row r="1073">
      <c r="A1073" s="221">
        <v>45951.06845711806</v>
      </c>
      <c r="B1073" s="214" t="s">
        <v>193</v>
      </c>
      <c r="C1073" s="214" t="s">
        <v>194</v>
      </c>
      <c r="D1073" s="214">
        <v>1.0</v>
      </c>
      <c r="E1073" s="214">
        <v>7.0</v>
      </c>
      <c r="F1073" s="214" t="s">
        <v>1480</v>
      </c>
      <c r="G1073" s="214" t="s">
        <v>61</v>
      </c>
      <c r="H1073" s="214"/>
      <c r="I1073" s="214"/>
      <c r="J1073" s="222" t="s">
        <v>67</v>
      </c>
      <c r="K1073" s="222">
        <v>-22.5</v>
      </c>
      <c r="L1073" s="222" t="s">
        <v>67</v>
      </c>
      <c r="M1073" s="222">
        <v>54.5</v>
      </c>
      <c r="N1073" s="214">
        <v>169.0</v>
      </c>
      <c r="O1073" s="214">
        <v>262.0</v>
      </c>
      <c r="P1073" s="214">
        <v>2.0</v>
      </c>
      <c r="Q1073" s="214" t="b">
        <v>0</v>
      </c>
      <c r="R1073" s="214">
        <v>100.0</v>
      </c>
      <c r="S1073" s="214" t="s">
        <v>680</v>
      </c>
      <c r="T1073" s="214" t="s">
        <v>365</v>
      </c>
      <c r="U1073" s="214"/>
    </row>
    <row r="1074">
      <c r="A1074" s="221">
        <v>45951.06845711806</v>
      </c>
      <c r="B1074" s="214" t="s">
        <v>193</v>
      </c>
      <c r="C1074" s="214" t="s">
        <v>182</v>
      </c>
      <c r="D1074" s="214">
        <v>4.0</v>
      </c>
      <c r="E1074" s="214">
        <v>3.0</v>
      </c>
      <c r="F1074" s="214" t="s">
        <v>1481</v>
      </c>
      <c r="G1074" s="214" t="s">
        <v>61</v>
      </c>
      <c r="H1074" s="214" t="s">
        <v>156</v>
      </c>
      <c r="I1074" s="214"/>
      <c r="J1074" s="222" t="s">
        <v>67</v>
      </c>
      <c r="K1074" s="222">
        <v>-12.5</v>
      </c>
      <c r="L1074" s="222" t="s">
        <v>67</v>
      </c>
      <c r="M1074" s="222">
        <v>49.5</v>
      </c>
      <c r="N1074" s="214">
        <v>199.0</v>
      </c>
      <c r="O1074" s="214">
        <v>184.0</v>
      </c>
      <c r="P1074" s="214">
        <v>2.0</v>
      </c>
      <c r="Q1074" s="214" t="b">
        <v>1</v>
      </c>
      <c r="R1074" s="214">
        <v>100.0</v>
      </c>
      <c r="S1074" s="214" t="s">
        <v>525</v>
      </c>
      <c r="T1074" s="214" t="s">
        <v>365</v>
      </c>
      <c r="U1074" s="214"/>
    </row>
    <row r="1075">
      <c r="A1075" s="221">
        <v>45951.06845711806</v>
      </c>
      <c r="B1075" s="214" t="s">
        <v>193</v>
      </c>
      <c r="C1075" s="214" t="s">
        <v>211</v>
      </c>
      <c r="D1075" s="214">
        <v>5.0</v>
      </c>
      <c r="E1075" s="214">
        <v>2.0</v>
      </c>
      <c r="F1075" s="214" t="s">
        <v>1473</v>
      </c>
      <c r="G1075" s="214" t="s">
        <v>61</v>
      </c>
      <c r="H1075" s="214" t="s">
        <v>62</v>
      </c>
      <c r="I1075" s="214"/>
      <c r="J1075" s="222" t="s">
        <v>67</v>
      </c>
      <c r="K1075" s="222">
        <v>8.5</v>
      </c>
      <c r="L1075" s="222" t="s">
        <v>67</v>
      </c>
      <c r="M1075" s="222">
        <v>59.5</v>
      </c>
      <c r="N1075" s="214">
        <v>309.0</v>
      </c>
      <c r="O1075" s="214">
        <v>213.0</v>
      </c>
      <c r="P1075" s="214">
        <v>2.0</v>
      </c>
      <c r="Q1075" s="214" t="b">
        <v>1</v>
      </c>
      <c r="R1075" s="214">
        <v>100.0</v>
      </c>
      <c r="S1075" s="214" t="s">
        <v>556</v>
      </c>
      <c r="T1075" s="214" t="s">
        <v>321</v>
      </c>
      <c r="U1075" s="214"/>
    </row>
    <row r="1076">
      <c r="A1076" s="221">
        <v>45951.06845711806</v>
      </c>
      <c r="B1076" s="214" t="s">
        <v>193</v>
      </c>
      <c r="C1076" s="214" t="s">
        <v>150</v>
      </c>
      <c r="D1076" s="214">
        <v>3.0</v>
      </c>
      <c r="E1076" s="214">
        <v>4.0</v>
      </c>
      <c r="F1076" s="214" t="s">
        <v>1482</v>
      </c>
      <c r="G1076" s="214" t="s">
        <v>61</v>
      </c>
      <c r="H1076" s="214" t="s">
        <v>96</v>
      </c>
      <c r="I1076" s="214"/>
      <c r="J1076" s="222" t="s">
        <v>67</v>
      </c>
      <c r="K1076" s="222">
        <v>21.5</v>
      </c>
      <c r="L1076" s="222" t="s">
        <v>67</v>
      </c>
      <c r="M1076" s="222">
        <v>73.5</v>
      </c>
      <c r="N1076" s="214">
        <v>210.0</v>
      </c>
      <c r="O1076" s="214">
        <v>248.0</v>
      </c>
      <c r="P1076" s="214">
        <v>2.0</v>
      </c>
      <c r="Q1076" s="214" t="b">
        <v>1</v>
      </c>
      <c r="R1076" s="214">
        <v>100.0</v>
      </c>
      <c r="S1076" s="214" t="s">
        <v>361</v>
      </c>
      <c r="T1076" s="214" t="s">
        <v>365</v>
      </c>
      <c r="U1076" s="214"/>
    </row>
    <row r="1077">
      <c r="A1077" s="221">
        <v>45951.06845711806</v>
      </c>
      <c r="B1077" s="214" t="s">
        <v>193</v>
      </c>
      <c r="C1077" s="214" t="s">
        <v>552</v>
      </c>
      <c r="D1077" s="214">
        <v>2.0</v>
      </c>
      <c r="E1077" s="214">
        <v>5.0</v>
      </c>
      <c r="F1077" s="214" t="s">
        <v>1483</v>
      </c>
      <c r="G1077" s="214" t="s">
        <v>61</v>
      </c>
      <c r="H1077" s="214" t="s">
        <v>493</v>
      </c>
      <c r="I1077" s="214"/>
      <c r="J1077" s="222" t="s">
        <v>67</v>
      </c>
      <c r="K1077" s="222">
        <v>3.5</v>
      </c>
      <c r="L1077" s="222" t="s">
        <v>67</v>
      </c>
      <c r="M1077" s="222">
        <v>54.5</v>
      </c>
      <c r="N1077" s="214">
        <v>165.0</v>
      </c>
      <c r="O1077" s="214">
        <v>207.0</v>
      </c>
      <c r="P1077" s="214">
        <v>2.0</v>
      </c>
      <c r="Q1077" s="214" t="b">
        <v>0</v>
      </c>
      <c r="R1077" s="214">
        <v>100.0</v>
      </c>
      <c r="S1077" s="214" t="s">
        <v>441</v>
      </c>
      <c r="T1077" s="214" t="s">
        <v>365</v>
      </c>
      <c r="U1077" s="214"/>
    </row>
    <row r="1078">
      <c r="A1078" s="221">
        <v>45951.06845711806</v>
      </c>
      <c r="B1078" s="214" t="s">
        <v>193</v>
      </c>
      <c r="C1078" s="214" t="s">
        <v>164</v>
      </c>
      <c r="D1078" s="214">
        <v>2.0</v>
      </c>
      <c r="E1078" s="214">
        <v>6.0</v>
      </c>
      <c r="F1078" s="214" t="s">
        <v>1466</v>
      </c>
      <c r="G1078" s="214" t="s">
        <v>61</v>
      </c>
      <c r="H1078" s="214" t="s">
        <v>95</v>
      </c>
      <c r="I1078" s="214"/>
      <c r="J1078" s="222" t="s">
        <v>67</v>
      </c>
      <c r="K1078" s="222">
        <v>1.5</v>
      </c>
      <c r="L1078" s="222" t="s">
        <v>67</v>
      </c>
      <c r="M1078" s="222">
        <v>43.5</v>
      </c>
      <c r="N1078" s="214">
        <v>145.0</v>
      </c>
      <c r="O1078" s="214">
        <v>245.0</v>
      </c>
      <c r="P1078" s="214">
        <v>2.0</v>
      </c>
      <c r="Q1078" s="214" t="b">
        <v>0</v>
      </c>
      <c r="R1078" s="214">
        <v>100.0</v>
      </c>
      <c r="S1078" s="214" t="s">
        <v>530</v>
      </c>
      <c r="T1078" s="214" t="s">
        <v>365</v>
      </c>
      <c r="U1078" s="214"/>
    </row>
    <row r="1079">
      <c r="A1079" s="221">
        <v>45951.06845711806</v>
      </c>
      <c r="B1079" s="214" t="s">
        <v>193</v>
      </c>
      <c r="C1079" s="214" t="s">
        <v>104</v>
      </c>
      <c r="D1079" s="214">
        <v>5.0</v>
      </c>
      <c r="E1079" s="214">
        <v>2.0</v>
      </c>
      <c r="F1079" s="214" t="s">
        <v>1484</v>
      </c>
      <c r="G1079" s="214" t="s">
        <v>61</v>
      </c>
      <c r="H1079" s="214" t="s">
        <v>249</v>
      </c>
      <c r="I1079" s="214"/>
      <c r="J1079" s="222" t="s">
        <v>67</v>
      </c>
      <c r="K1079" s="222">
        <v>5.5</v>
      </c>
      <c r="L1079" s="222" t="s">
        <v>67</v>
      </c>
      <c r="M1079" s="222">
        <v>50.5</v>
      </c>
      <c r="N1079" s="214">
        <v>239.0</v>
      </c>
      <c r="O1079" s="214">
        <v>158.0</v>
      </c>
      <c r="P1079" s="214">
        <v>2.0</v>
      </c>
      <c r="Q1079" s="214" t="b">
        <v>1</v>
      </c>
      <c r="R1079" s="214">
        <v>100.0</v>
      </c>
      <c r="S1079" s="214" t="s">
        <v>317</v>
      </c>
      <c r="T1079" s="214" t="s">
        <v>321</v>
      </c>
      <c r="U1079" s="214"/>
    </row>
    <row r="1080">
      <c r="A1080" s="221">
        <v>45951.06845711806</v>
      </c>
      <c r="B1080" s="214" t="s">
        <v>193</v>
      </c>
      <c r="C1080" s="214" t="s">
        <v>144</v>
      </c>
      <c r="D1080" s="214">
        <v>7.0</v>
      </c>
      <c r="E1080" s="214">
        <v>0.0</v>
      </c>
      <c r="F1080" s="214" t="s">
        <v>1485</v>
      </c>
      <c r="G1080" s="214" t="s">
        <v>61</v>
      </c>
      <c r="H1080" s="214" t="s">
        <v>238</v>
      </c>
      <c r="I1080" s="214"/>
      <c r="J1080" s="222" t="s">
        <v>67</v>
      </c>
      <c r="K1080" s="222">
        <v>-25.5</v>
      </c>
      <c r="L1080" s="222" t="s">
        <v>67</v>
      </c>
      <c r="M1080" s="222">
        <v>41.5</v>
      </c>
      <c r="N1080" s="214">
        <v>255.0</v>
      </c>
      <c r="O1080" s="214">
        <v>41.0</v>
      </c>
      <c r="P1080" s="214">
        <v>2.0</v>
      </c>
      <c r="Q1080" s="214" t="b">
        <v>0</v>
      </c>
      <c r="R1080" s="214">
        <v>100.0</v>
      </c>
      <c r="S1080" s="214" t="s">
        <v>407</v>
      </c>
      <c r="T1080" s="214" t="s">
        <v>321</v>
      </c>
      <c r="U1080" s="214"/>
    </row>
    <row r="1081">
      <c r="A1081" s="221">
        <v>45951.06845711806</v>
      </c>
      <c r="B1081" s="214"/>
      <c r="C1081" s="214"/>
      <c r="D1081" s="214"/>
      <c r="E1081" s="214"/>
      <c r="F1081" s="214"/>
      <c r="G1081" s="214"/>
      <c r="H1081" s="214"/>
      <c r="I1081" s="214"/>
      <c r="J1081" s="222"/>
      <c r="K1081" s="222"/>
      <c r="L1081" s="222"/>
      <c r="M1081" s="222"/>
      <c r="N1081" s="214"/>
      <c r="O1081" s="214"/>
      <c r="P1081" s="214"/>
      <c r="Q1081" s="214"/>
      <c r="R1081" s="214"/>
      <c r="S1081" s="214"/>
      <c r="T1081" s="214"/>
      <c r="U1081" s="214"/>
    </row>
    <row r="1082">
      <c r="A1082" s="221">
        <v>45951.06845711806</v>
      </c>
      <c r="B1082" s="214" t="s">
        <v>311</v>
      </c>
      <c r="C1082" s="214" t="s">
        <v>125</v>
      </c>
      <c r="D1082" s="214">
        <v>5.0</v>
      </c>
      <c r="E1082" s="214">
        <v>2.0</v>
      </c>
      <c r="F1082" s="214"/>
      <c r="G1082" s="214"/>
      <c r="H1082" s="214"/>
      <c r="I1082" s="214"/>
      <c r="J1082" s="222"/>
      <c r="K1082" s="222"/>
      <c r="L1082" s="222"/>
      <c r="M1082" s="222"/>
      <c r="N1082" s="214">
        <v>205.0</v>
      </c>
      <c r="O1082" s="214">
        <v>133.0</v>
      </c>
      <c r="P1082" s="214">
        <v>0.0</v>
      </c>
      <c r="Q1082" s="214" t="b">
        <v>1</v>
      </c>
      <c r="R1082" s="214">
        <v>59.0</v>
      </c>
      <c r="S1082" s="214" t="s">
        <v>471</v>
      </c>
      <c r="T1082" s="214" t="s">
        <v>321</v>
      </c>
      <c r="U1082" s="214"/>
    </row>
    <row r="1083">
      <c r="A1083" s="221">
        <v>45951.06845711806</v>
      </c>
      <c r="B1083" s="214" t="s">
        <v>311</v>
      </c>
      <c r="C1083" s="214" t="s">
        <v>122</v>
      </c>
      <c r="D1083" s="214">
        <v>2.0</v>
      </c>
      <c r="E1083" s="214">
        <v>5.0</v>
      </c>
      <c r="F1083" s="214"/>
      <c r="G1083" s="214"/>
      <c r="H1083" s="214"/>
      <c r="I1083" s="214"/>
      <c r="J1083" s="222"/>
      <c r="K1083" s="222"/>
      <c r="L1083" s="222"/>
      <c r="M1083" s="222"/>
      <c r="N1083" s="214">
        <v>161.0</v>
      </c>
      <c r="O1083" s="214">
        <v>205.0</v>
      </c>
      <c r="P1083" s="214">
        <v>0.0</v>
      </c>
      <c r="Q1083" s="214" t="b">
        <v>1</v>
      </c>
      <c r="R1083" s="214">
        <v>59.0</v>
      </c>
      <c r="S1083" s="214" t="s">
        <v>317</v>
      </c>
      <c r="T1083" s="214" t="s">
        <v>321</v>
      </c>
      <c r="U1083" s="214"/>
    </row>
    <row r="1084">
      <c r="A1084" s="221">
        <v>45951.06845711806</v>
      </c>
      <c r="B1084" s="214" t="s">
        <v>311</v>
      </c>
      <c r="C1084" s="214" t="s">
        <v>192</v>
      </c>
      <c r="D1084" s="214">
        <v>6.0</v>
      </c>
      <c r="E1084" s="214">
        <v>1.0</v>
      </c>
      <c r="F1084" s="214" t="s">
        <v>1486</v>
      </c>
      <c r="G1084" s="214" t="s">
        <v>61</v>
      </c>
      <c r="H1084" s="214" t="s">
        <v>395</v>
      </c>
      <c r="I1084" s="214"/>
      <c r="J1084" s="222" t="s">
        <v>67</v>
      </c>
      <c r="K1084" s="222">
        <v>-17.5</v>
      </c>
      <c r="L1084" s="222" t="s">
        <v>67</v>
      </c>
      <c r="M1084" s="222">
        <v>60.5</v>
      </c>
      <c r="N1084" s="214">
        <v>309.0</v>
      </c>
      <c r="O1084" s="214">
        <v>101.0</v>
      </c>
      <c r="P1084" s="214">
        <v>2.0</v>
      </c>
      <c r="Q1084" s="214" t="b">
        <v>0</v>
      </c>
      <c r="R1084" s="214">
        <v>100.0</v>
      </c>
      <c r="S1084" s="214" t="s">
        <v>407</v>
      </c>
      <c r="T1084" s="214" t="s">
        <v>321</v>
      </c>
      <c r="U1084" s="214"/>
    </row>
    <row r="1085">
      <c r="A1085" s="221">
        <v>45951.06845711806</v>
      </c>
      <c r="B1085" s="214" t="s">
        <v>311</v>
      </c>
      <c r="C1085" s="214" t="s">
        <v>161</v>
      </c>
      <c r="D1085" s="214">
        <v>3.0</v>
      </c>
      <c r="E1085" s="214">
        <v>4.0</v>
      </c>
      <c r="F1085" s="214" t="s">
        <v>1487</v>
      </c>
      <c r="G1085" s="214" t="s">
        <v>61</v>
      </c>
      <c r="H1085" s="214" t="s">
        <v>156</v>
      </c>
      <c r="I1085" s="214"/>
      <c r="J1085" s="222" t="s">
        <v>67</v>
      </c>
      <c r="K1085" s="222">
        <v>3.5</v>
      </c>
      <c r="L1085" s="222" t="s">
        <v>67</v>
      </c>
      <c r="M1085" s="222">
        <v>66.5</v>
      </c>
      <c r="N1085" s="214">
        <v>224.0</v>
      </c>
      <c r="O1085" s="214">
        <v>216.0</v>
      </c>
      <c r="P1085" s="214">
        <v>2.0</v>
      </c>
      <c r="Q1085" s="214" t="b">
        <v>1</v>
      </c>
      <c r="R1085" s="214">
        <v>100.0</v>
      </c>
      <c r="S1085" s="214" t="s">
        <v>361</v>
      </c>
      <c r="T1085" s="214" t="s">
        <v>365</v>
      </c>
      <c r="U1085" s="214"/>
    </row>
    <row r="1086">
      <c r="A1086" s="221">
        <v>45951.06845711806</v>
      </c>
      <c r="B1086" s="214" t="s">
        <v>311</v>
      </c>
      <c r="C1086" s="214" t="s">
        <v>172</v>
      </c>
      <c r="D1086" s="214">
        <v>1.0</v>
      </c>
      <c r="E1086" s="214">
        <v>6.0</v>
      </c>
      <c r="F1086" s="214" t="s">
        <v>1488</v>
      </c>
      <c r="G1086" s="214" t="s">
        <v>61</v>
      </c>
      <c r="H1086" s="214" t="s">
        <v>96</v>
      </c>
      <c r="I1086" s="214"/>
      <c r="J1086" s="222" t="s">
        <v>67</v>
      </c>
      <c r="K1086" s="222">
        <v>10.5</v>
      </c>
      <c r="L1086" s="222" t="s">
        <v>67</v>
      </c>
      <c r="M1086" s="222">
        <v>41.5</v>
      </c>
      <c r="N1086" s="214">
        <v>86.0</v>
      </c>
      <c r="O1086" s="214">
        <v>170.0</v>
      </c>
      <c r="P1086" s="214">
        <v>2.0</v>
      </c>
      <c r="Q1086" s="214" t="b">
        <v>0</v>
      </c>
      <c r="R1086" s="214">
        <v>100.0</v>
      </c>
      <c r="S1086" s="214" t="s">
        <v>530</v>
      </c>
      <c r="T1086" s="214" t="s">
        <v>365</v>
      </c>
      <c r="U1086" s="214"/>
    </row>
    <row r="1087">
      <c r="A1087" s="221">
        <v>45951.06845711806</v>
      </c>
      <c r="B1087" s="214" t="s">
        <v>311</v>
      </c>
      <c r="C1087" s="214" t="s">
        <v>139</v>
      </c>
      <c r="D1087" s="214">
        <v>5.0</v>
      </c>
      <c r="E1087" s="214">
        <v>2.0</v>
      </c>
      <c r="F1087" s="214" t="s">
        <v>1479</v>
      </c>
      <c r="G1087" s="214" t="s">
        <v>61</v>
      </c>
      <c r="H1087" s="214" t="s">
        <v>62</v>
      </c>
      <c r="I1087" s="214"/>
      <c r="J1087" s="222" t="s">
        <v>67</v>
      </c>
      <c r="K1087" s="222">
        <v>-4.5</v>
      </c>
      <c r="L1087" s="222" t="s">
        <v>67</v>
      </c>
      <c r="M1087" s="222">
        <v>50.5</v>
      </c>
      <c r="N1087" s="214">
        <v>201.0</v>
      </c>
      <c r="O1087" s="214">
        <v>119.0</v>
      </c>
      <c r="P1087" s="214">
        <v>2.0</v>
      </c>
      <c r="Q1087" s="214" t="b">
        <v>0</v>
      </c>
      <c r="R1087" s="214">
        <v>100.0</v>
      </c>
      <c r="S1087" s="214" t="s">
        <v>407</v>
      </c>
      <c r="T1087" s="214" t="s">
        <v>321</v>
      </c>
      <c r="U1087" s="214"/>
    </row>
    <row r="1088">
      <c r="A1088" s="221">
        <v>45951.06845711806</v>
      </c>
      <c r="B1088" s="214" t="s">
        <v>311</v>
      </c>
      <c r="C1088" s="214" t="s">
        <v>206</v>
      </c>
      <c r="D1088" s="214">
        <v>5.0</v>
      </c>
      <c r="E1088" s="214">
        <v>2.0</v>
      </c>
      <c r="F1088" s="214" t="s">
        <v>1489</v>
      </c>
      <c r="G1088" s="214" t="s">
        <v>61</v>
      </c>
      <c r="H1088" s="214" t="s">
        <v>395</v>
      </c>
      <c r="I1088" s="214"/>
      <c r="J1088" s="222" t="s">
        <v>67</v>
      </c>
      <c r="K1088" s="222">
        <v>3.0</v>
      </c>
      <c r="L1088" s="222" t="s">
        <v>67</v>
      </c>
      <c r="M1088" s="222">
        <v>49.5</v>
      </c>
      <c r="N1088" s="214">
        <v>179.0</v>
      </c>
      <c r="O1088" s="214">
        <v>102.0</v>
      </c>
      <c r="P1088" s="214">
        <v>2.0</v>
      </c>
      <c r="Q1088" s="214" t="b">
        <v>0</v>
      </c>
      <c r="R1088" s="214">
        <v>100.0</v>
      </c>
      <c r="S1088" s="214" t="s">
        <v>556</v>
      </c>
      <c r="T1088" s="214" t="s">
        <v>321</v>
      </c>
      <c r="U1088" s="214"/>
    </row>
    <row r="1089">
      <c r="A1089" s="221">
        <v>45951.06845711806</v>
      </c>
      <c r="B1089" s="214" t="s">
        <v>311</v>
      </c>
      <c r="C1089" s="214" t="s">
        <v>186</v>
      </c>
      <c r="D1089" s="214">
        <v>4.0</v>
      </c>
      <c r="E1089" s="214">
        <v>3.0</v>
      </c>
      <c r="F1089" s="214" t="s">
        <v>1490</v>
      </c>
      <c r="G1089" s="214" t="s">
        <v>61</v>
      </c>
      <c r="H1089" s="214" t="s">
        <v>238</v>
      </c>
      <c r="I1089" s="214"/>
      <c r="J1089" s="222" t="s">
        <v>67</v>
      </c>
      <c r="K1089" s="222">
        <v>-4.0</v>
      </c>
      <c r="L1089" s="222" t="s">
        <v>67</v>
      </c>
      <c r="M1089" s="222">
        <v>61.5</v>
      </c>
      <c r="N1089" s="214">
        <v>238.0</v>
      </c>
      <c r="O1089" s="214">
        <v>221.0</v>
      </c>
      <c r="P1089" s="214">
        <v>2.0</v>
      </c>
      <c r="Q1089" s="214" t="b">
        <v>0</v>
      </c>
      <c r="R1089" s="214">
        <v>100.0</v>
      </c>
      <c r="S1089" s="214" t="s">
        <v>525</v>
      </c>
      <c r="T1089" s="214" t="s">
        <v>365</v>
      </c>
      <c r="U1089" s="214"/>
    </row>
    <row r="1090">
      <c r="A1090" s="221">
        <v>45951.06845711806</v>
      </c>
      <c r="B1090" s="214" t="s">
        <v>311</v>
      </c>
      <c r="C1090" s="214" t="s">
        <v>234</v>
      </c>
      <c r="D1090" s="214">
        <v>0.0</v>
      </c>
      <c r="E1090" s="214">
        <v>7.0</v>
      </c>
      <c r="F1090" s="214" t="s">
        <v>1491</v>
      </c>
      <c r="G1090" s="214" t="s">
        <v>61</v>
      </c>
      <c r="H1090" s="214" t="s">
        <v>238</v>
      </c>
      <c r="I1090" s="214"/>
      <c r="J1090" s="222" t="s">
        <v>67</v>
      </c>
      <c r="K1090" s="222">
        <v>2.5</v>
      </c>
      <c r="L1090" s="222" t="s">
        <v>67</v>
      </c>
      <c r="M1090" s="222">
        <v>47.5</v>
      </c>
      <c r="N1090" s="214">
        <v>119.0</v>
      </c>
      <c r="O1090" s="214">
        <v>272.0</v>
      </c>
      <c r="P1090" s="214">
        <v>2.0</v>
      </c>
      <c r="Q1090" s="214" t="b">
        <v>1</v>
      </c>
      <c r="R1090" s="214">
        <v>100.0</v>
      </c>
      <c r="S1090" s="214" t="s">
        <v>535</v>
      </c>
      <c r="T1090" s="214" t="s">
        <v>365</v>
      </c>
      <c r="U1090" s="214"/>
    </row>
    <row r="1091">
      <c r="A1091" s="221">
        <v>45951.06845711806</v>
      </c>
      <c r="B1091" s="214" t="s">
        <v>311</v>
      </c>
      <c r="C1091" s="214" t="s">
        <v>152</v>
      </c>
      <c r="D1091" s="214">
        <v>4.0</v>
      </c>
      <c r="E1091" s="214">
        <v>3.0</v>
      </c>
      <c r="F1091" s="214" t="s">
        <v>1472</v>
      </c>
      <c r="G1091" s="214" t="s">
        <v>597</v>
      </c>
      <c r="H1091" s="214" t="s">
        <v>95</v>
      </c>
      <c r="I1091" s="214"/>
      <c r="J1091" s="222" t="s">
        <v>67</v>
      </c>
      <c r="K1091" s="222">
        <v>3.0</v>
      </c>
      <c r="L1091" s="222" t="s">
        <v>67</v>
      </c>
      <c r="M1091" s="222">
        <v>65.5</v>
      </c>
      <c r="N1091" s="214">
        <v>246.0</v>
      </c>
      <c r="O1091" s="214">
        <v>216.0</v>
      </c>
      <c r="P1091" s="214">
        <v>2.0</v>
      </c>
      <c r="Q1091" s="214" t="b">
        <v>0</v>
      </c>
      <c r="R1091" s="214">
        <v>100.0</v>
      </c>
      <c r="S1091" s="214" t="s">
        <v>441</v>
      </c>
      <c r="T1091" s="214" t="s">
        <v>365</v>
      </c>
      <c r="U1091" s="214"/>
    </row>
    <row r="1092">
      <c r="A1092" s="221">
        <v>45951.06845711806</v>
      </c>
      <c r="B1092" s="214"/>
      <c r="C1092" s="214"/>
      <c r="D1092" s="214"/>
      <c r="E1092" s="214"/>
      <c r="F1092" s="214"/>
      <c r="G1092" s="214"/>
      <c r="H1092" s="214"/>
      <c r="I1092" s="214"/>
      <c r="J1092" s="222"/>
      <c r="K1092" s="222"/>
      <c r="L1092" s="222"/>
      <c r="M1092" s="222"/>
      <c r="N1092" s="214"/>
      <c r="O1092" s="214"/>
      <c r="P1092" s="214"/>
      <c r="Q1092" s="214"/>
      <c r="R1092" s="214"/>
      <c r="S1092" s="214"/>
      <c r="T1092" s="214"/>
      <c r="U1092" s="214"/>
    </row>
    <row r="1093">
      <c r="A1093" s="221">
        <v>45951.06845711806</v>
      </c>
      <c r="B1093" s="214" t="s">
        <v>224</v>
      </c>
      <c r="C1093" s="214" t="s">
        <v>103</v>
      </c>
      <c r="D1093" s="214">
        <v>6.0</v>
      </c>
      <c r="E1093" s="214">
        <v>0.0</v>
      </c>
      <c r="F1093" s="214"/>
      <c r="G1093" s="214"/>
      <c r="H1093" s="214"/>
      <c r="I1093" s="214"/>
      <c r="J1093" s="222"/>
      <c r="K1093" s="222"/>
      <c r="L1093" s="222"/>
      <c r="M1093" s="222"/>
      <c r="N1093" s="214">
        <v>219.0</v>
      </c>
      <c r="O1093" s="214">
        <v>129.0</v>
      </c>
      <c r="P1093" s="214">
        <v>0.0</v>
      </c>
      <c r="Q1093" s="214" t="b">
        <v>0</v>
      </c>
      <c r="R1093" s="214">
        <v>59.0</v>
      </c>
      <c r="S1093" s="214" t="s">
        <v>361</v>
      </c>
      <c r="T1093" s="214" t="s">
        <v>365</v>
      </c>
      <c r="U1093" s="214"/>
    </row>
    <row r="1094">
      <c r="A1094" s="221">
        <v>45951.06845711806</v>
      </c>
      <c r="B1094" s="214" t="s">
        <v>224</v>
      </c>
      <c r="C1094" s="214" t="s">
        <v>191</v>
      </c>
      <c r="D1094" s="214">
        <v>3.0</v>
      </c>
      <c r="E1094" s="214">
        <v>4.0</v>
      </c>
      <c r="F1094" s="214"/>
      <c r="G1094" s="214"/>
      <c r="H1094" s="214"/>
      <c r="I1094" s="214"/>
      <c r="J1094" s="222"/>
      <c r="K1094" s="222"/>
      <c r="L1094" s="222"/>
      <c r="M1094" s="222"/>
      <c r="N1094" s="214">
        <v>174.0</v>
      </c>
      <c r="O1094" s="214">
        <v>166.0</v>
      </c>
      <c r="P1094" s="214">
        <v>0.0</v>
      </c>
      <c r="Q1094" s="214" t="b">
        <v>1</v>
      </c>
      <c r="R1094" s="214">
        <v>59.0</v>
      </c>
      <c r="S1094" s="214" t="s">
        <v>471</v>
      </c>
      <c r="T1094" s="214" t="s">
        <v>321</v>
      </c>
      <c r="U1094" s="214"/>
    </row>
    <row r="1095">
      <c r="A1095" s="221">
        <v>45951.06845711806</v>
      </c>
      <c r="B1095" s="214" t="s">
        <v>224</v>
      </c>
      <c r="C1095" s="214" t="s">
        <v>113</v>
      </c>
      <c r="D1095" s="214">
        <v>3.0</v>
      </c>
      <c r="E1095" s="214">
        <v>4.0</v>
      </c>
      <c r="F1095" s="214" t="s">
        <v>1492</v>
      </c>
      <c r="G1095" s="214" t="s">
        <v>61</v>
      </c>
      <c r="H1095" s="214" t="s">
        <v>493</v>
      </c>
      <c r="I1095" s="214"/>
      <c r="J1095" s="222" t="s">
        <v>67</v>
      </c>
      <c r="K1095" s="222">
        <v>-17.5</v>
      </c>
      <c r="L1095" s="222" t="s">
        <v>67</v>
      </c>
      <c r="M1095" s="222">
        <v>54.5</v>
      </c>
      <c r="N1095" s="214">
        <v>278.0</v>
      </c>
      <c r="O1095" s="214">
        <v>158.0</v>
      </c>
      <c r="P1095" s="214">
        <v>2.0</v>
      </c>
      <c r="Q1095" s="214" t="b">
        <v>0</v>
      </c>
      <c r="R1095" s="214">
        <v>100.0</v>
      </c>
      <c r="S1095" s="214" t="s">
        <v>317</v>
      </c>
      <c r="T1095" s="214" t="s">
        <v>321</v>
      </c>
      <c r="U1095" s="214"/>
    </row>
    <row r="1096">
      <c r="A1096" s="221">
        <v>45951.06845711806</v>
      </c>
      <c r="B1096" s="214" t="s">
        <v>224</v>
      </c>
      <c r="C1096" s="214" t="s">
        <v>226</v>
      </c>
      <c r="D1096" s="214">
        <v>7.0</v>
      </c>
      <c r="E1096" s="214">
        <v>0.0</v>
      </c>
      <c r="F1096" s="214" t="s">
        <v>1460</v>
      </c>
      <c r="G1096" s="214" t="s">
        <v>61</v>
      </c>
      <c r="H1096" s="214" t="s">
        <v>95</v>
      </c>
      <c r="I1096" s="214"/>
      <c r="J1096" s="222" t="s">
        <v>67</v>
      </c>
      <c r="K1096" s="222">
        <v>3.5</v>
      </c>
      <c r="L1096" s="222" t="s">
        <v>67</v>
      </c>
      <c r="M1096" s="222">
        <v>49.5</v>
      </c>
      <c r="N1096" s="214">
        <v>249.0</v>
      </c>
      <c r="O1096" s="214">
        <v>109.0</v>
      </c>
      <c r="P1096" s="214">
        <v>2.0</v>
      </c>
      <c r="Q1096" s="214" t="b">
        <v>1</v>
      </c>
      <c r="R1096" s="214">
        <v>100.0</v>
      </c>
      <c r="S1096" s="214" t="s">
        <v>471</v>
      </c>
      <c r="T1096" s="214" t="s">
        <v>321</v>
      </c>
      <c r="U1096" s="214"/>
    </row>
    <row r="1097">
      <c r="A1097" s="221">
        <v>45951.06845711806</v>
      </c>
      <c r="B1097" s="214" t="s">
        <v>224</v>
      </c>
      <c r="C1097" s="214" t="s">
        <v>216</v>
      </c>
      <c r="D1097" s="214">
        <v>3.0</v>
      </c>
      <c r="E1097" s="214">
        <v>4.0</v>
      </c>
      <c r="F1097" s="214" t="s">
        <v>1493</v>
      </c>
      <c r="G1097" s="214" t="s">
        <v>61</v>
      </c>
      <c r="H1097" s="214" t="s">
        <v>249</v>
      </c>
      <c r="I1097" s="214"/>
      <c r="J1097" s="222" t="s">
        <v>67</v>
      </c>
      <c r="K1097" s="222">
        <v>-6.5</v>
      </c>
      <c r="L1097" s="222" t="s">
        <v>67</v>
      </c>
      <c r="M1097" s="222">
        <v>60.5</v>
      </c>
      <c r="N1097" s="214">
        <v>206.0</v>
      </c>
      <c r="O1097" s="214">
        <v>249.0</v>
      </c>
      <c r="P1097" s="214">
        <v>2.0</v>
      </c>
      <c r="Q1097" s="214" t="b">
        <v>1</v>
      </c>
      <c r="R1097" s="214">
        <v>100.0</v>
      </c>
      <c r="S1097" s="214" t="s">
        <v>441</v>
      </c>
      <c r="T1097" s="214" t="s">
        <v>365</v>
      </c>
      <c r="U1097" s="214"/>
    </row>
    <row r="1098">
      <c r="A1098" s="221">
        <v>45951.06845711806</v>
      </c>
      <c r="B1098" s="214" t="s">
        <v>224</v>
      </c>
      <c r="C1098" s="214" t="s">
        <v>203</v>
      </c>
      <c r="D1098" s="214">
        <v>3.0</v>
      </c>
      <c r="E1098" s="214">
        <v>4.0</v>
      </c>
      <c r="F1098" s="214" t="s">
        <v>1494</v>
      </c>
      <c r="G1098" s="214" t="s">
        <v>61</v>
      </c>
      <c r="H1098" s="214" t="s">
        <v>493</v>
      </c>
      <c r="I1098" s="214"/>
      <c r="J1098" s="222" t="s">
        <v>67</v>
      </c>
      <c r="K1098" s="222">
        <v>-9.5</v>
      </c>
      <c r="L1098" s="222" t="s">
        <v>67</v>
      </c>
      <c r="M1098" s="222">
        <v>50.5</v>
      </c>
      <c r="N1098" s="214">
        <v>157.0</v>
      </c>
      <c r="O1098" s="214">
        <v>140.0</v>
      </c>
      <c r="P1098" s="214">
        <v>2.0</v>
      </c>
      <c r="Q1098" s="214" t="b">
        <v>1</v>
      </c>
      <c r="R1098" s="214">
        <v>100.0</v>
      </c>
      <c r="S1098" s="214" t="s">
        <v>556</v>
      </c>
      <c r="T1098" s="214" t="s">
        <v>321</v>
      </c>
      <c r="U1098" s="214"/>
    </row>
    <row r="1099">
      <c r="A1099" s="221">
        <v>45951.06845711806</v>
      </c>
      <c r="B1099" s="214" t="s">
        <v>224</v>
      </c>
      <c r="C1099" s="214" t="s">
        <v>185</v>
      </c>
      <c r="D1099" s="214">
        <v>6.0</v>
      </c>
      <c r="E1099" s="214">
        <v>1.0</v>
      </c>
      <c r="F1099" s="214" t="s">
        <v>1468</v>
      </c>
      <c r="G1099" s="214" t="s">
        <v>61</v>
      </c>
      <c r="H1099" s="214" t="s">
        <v>95</v>
      </c>
      <c r="I1099" s="214"/>
      <c r="J1099" s="222" t="s">
        <v>67</v>
      </c>
      <c r="K1099" s="222">
        <v>12.5</v>
      </c>
      <c r="L1099" s="222" t="s">
        <v>67</v>
      </c>
      <c r="M1099" s="222">
        <v>62.5</v>
      </c>
      <c r="N1099" s="214">
        <v>260.0</v>
      </c>
      <c r="O1099" s="214">
        <v>234.0</v>
      </c>
      <c r="P1099" s="214">
        <v>2.0</v>
      </c>
      <c r="Q1099" s="214" t="b">
        <v>0</v>
      </c>
      <c r="R1099" s="214">
        <v>100.0</v>
      </c>
      <c r="S1099" s="214" t="s">
        <v>525</v>
      </c>
      <c r="T1099" s="214" t="s">
        <v>365</v>
      </c>
      <c r="U1099" s="214"/>
    </row>
    <row r="1100">
      <c r="A1100" s="221">
        <v>45951.06845711806</v>
      </c>
      <c r="B1100" s="214" t="s">
        <v>224</v>
      </c>
      <c r="C1100" s="214" t="s">
        <v>140</v>
      </c>
      <c r="D1100" s="214">
        <v>3.0</v>
      </c>
      <c r="E1100" s="214">
        <v>4.0</v>
      </c>
      <c r="F1100" s="214" t="s">
        <v>1495</v>
      </c>
      <c r="G1100" s="214" t="s">
        <v>61</v>
      </c>
      <c r="H1100" s="214" t="s">
        <v>132</v>
      </c>
      <c r="I1100" s="214"/>
      <c r="J1100" s="222" t="s">
        <v>67</v>
      </c>
      <c r="K1100" s="222">
        <v>27.5</v>
      </c>
      <c r="L1100" s="222" t="s">
        <v>67</v>
      </c>
      <c r="M1100" s="222">
        <v>51.5</v>
      </c>
      <c r="N1100" s="214">
        <v>190.0</v>
      </c>
      <c r="O1100" s="214">
        <v>229.0</v>
      </c>
      <c r="P1100" s="214">
        <v>2.0</v>
      </c>
      <c r="Q1100" s="214" t="b">
        <v>1</v>
      </c>
      <c r="R1100" s="214">
        <v>100.0</v>
      </c>
      <c r="S1100" s="214" t="s">
        <v>407</v>
      </c>
      <c r="T1100" s="214" t="s">
        <v>321</v>
      </c>
      <c r="U1100" s="214"/>
    </row>
    <row r="1101">
      <c r="A1101" s="221">
        <v>45951.06845711806</v>
      </c>
      <c r="B1101" s="214" t="s">
        <v>224</v>
      </c>
      <c r="C1101" s="214" t="s">
        <v>166</v>
      </c>
      <c r="D1101" s="214">
        <v>3.0</v>
      </c>
      <c r="E1101" s="214">
        <v>4.0</v>
      </c>
      <c r="F1101" s="214" t="s">
        <v>1496</v>
      </c>
      <c r="G1101" s="214" t="s">
        <v>61</v>
      </c>
      <c r="H1101" s="214" t="s">
        <v>132</v>
      </c>
      <c r="I1101" s="214"/>
      <c r="J1101" s="222" t="s">
        <v>67</v>
      </c>
      <c r="K1101" s="222">
        <v>-3.5</v>
      </c>
      <c r="L1101" s="222" t="s">
        <v>67</v>
      </c>
      <c r="M1101" s="222">
        <v>43.5</v>
      </c>
      <c r="N1101" s="214">
        <v>140.0</v>
      </c>
      <c r="O1101" s="214">
        <v>179.0</v>
      </c>
      <c r="P1101" s="214">
        <v>2.0</v>
      </c>
      <c r="Q1101" s="214" t="b">
        <v>0</v>
      </c>
      <c r="R1101" s="214">
        <v>100.0</v>
      </c>
      <c r="S1101" s="214" t="s">
        <v>530</v>
      </c>
      <c r="T1101" s="214" t="s">
        <v>365</v>
      </c>
      <c r="U1101" s="214"/>
    </row>
    <row r="1102">
      <c r="A1102" s="221">
        <v>45951.06845711806</v>
      </c>
      <c r="B1102" s="214" t="s">
        <v>224</v>
      </c>
      <c r="C1102" s="214" t="s">
        <v>235</v>
      </c>
      <c r="D1102" s="214">
        <v>3.0</v>
      </c>
      <c r="E1102" s="214">
        <v>3.0</v>
      </c>
      <c r="F1102" s="214" t="s">
        <v>1497</v>
      </c>
      <c r="G1102" s="214" t="s">
        <v>61</v>
      </c>
      <c r="H1102" s="214" t="s">
        <v>156</v>
      </c>
      <c r="I1102" s="214"/>
      <c r="J1102" s="222"/>
      <c r="K1102" s="222"/>
      <c r="L1102" s="222"/>
      <c r="M1102" s="222"/>
      <c r="N1102" s="214">
        <v>173.0</v>
      </c>
      <c r="O1102" s="214">
        <v>170.0</v>
      </c>
      <c r="P1102" s="214">
        <v>2.0</v>
      </c>
      <c r="Q1102" s="214" t="b">
        <v>1</v>
      </c>
      <c r="R1102" s="214">
        <v>100.0</v>
      </c>
      <c r="S1102" s="214" t="s">
        <v>535</v>
      </c>
      <c r="T1102" s="214" t="s">
        <v>365</v>
      </c>
      <c r="U1102" s="214"/>
    </row>
    <row r="1103">
      <c r="A1103" s="221">
        <v>45951.06845711806</v>
      </c>
      <c r="B1103" s="214"/>
      <c r="C1103" s="214"/>
      <c r="D1103" s="214"/>
      <c r="E1103" s="214"/>
      <c r="F1103" s="214"/>
      <c r="G1103" s="214"/>
      <c r="H1103" s="214"/>
      <c r="I1103" s="214"/>
      <c r="J1103" s="222"/>
      <c r="K1103" s="222"/>
      <c r="L1103" s="222"/>
      <c r="M1103" s="222"/>
      <c r="N1103" s="214"/>
      <c r="O1103" s="214"/>
      <c r="P1103" s="214"/>
      <c r="Q1103" s="214"/>
      <c r="R1103" s="214"/>
      <c r="S1103" s="214"/>
      <c r="T1103" s="214"/>
      <c r="U1103" s="214"/>
    </row>
    <row r="1104">
      <c r="A1104" s="221">
        <v>45951.06845711806</v>
      </c>
      <c r="B1104" s="214" t="s">
        <v>96</v>
      </c>
      <c r="C1104" s="214" t="s">
        <v>153</v>
      </c>
      <c r="D1104" s="214">
        <v>1.0</v>
      </c>
      <c r="E1104" s="214">
        <v>5.0</v>
      </c>
      <c r="F1104" s="214"/>
      <c r="G1104" s="214"/>
      <c r="H1104" s="214"/>
      <c r="I1104" s="214"/>
      <c r="J1104" s="222"/>
      <c r="K1104" s="222"/>
      <c r="L1104" s="222"/>
      <c r="M1104" s="222"/>
      <c r="N1104" s="214">
        <v>102.0</v>
      </c>
      <c r="O1104" s="214">
        <v>177.0</v>
      </c>
      <c r="P1104" s="214">
        <v>0.0</v>
      </c>
      <c r="Q1104" s="214" t="b">
        <v>1</v>
      </c>
      <c r="R1104" s="214">
        <v>59.0</v>
      </c>
      <c r="S1104" s="214" t="s">
        <v>535</v>
      </c>
      <c r="T1104" s="214" t="s">
        <v>365</v>
      </c>
      <c r="U1104" s="214"/>
    </row>
    <row r="1105">
      <c r="A1105" s="221">
        <v>45951.06845711806</v>
      </c>
      <c r="B1105" s="214" t="s">
        <v>96</v>
      </c>
      <c r="C1105" s="214" t="s">
        <v>129</v>
      </c>
      <c r="D1105" s="214">
        <v>1.0</v>
      </c>
      <c r="E1105" s="214">
        <v>6.0</v>
      </c>
      <c r="F1105" s="214" t="s">
        <v>1498</v>
      </c>
      <c r="G1105" s="214" t="s">
        <v>61</v>
      </c>
      <c r="H1105" s="214" t="s">
        <v>238</v>
      </c>
      <c r="I1105" s="214"/>
      <c r="J1105" s="222" t="s">
        <v>67</v>
      </c>
      <c r="K1105" s="222">
        <v>21.5</v>
      </c>
      <c r="L1105" s="222" t="s">
        <v>67</v>
      </c>
      <c r="M1105" s="222">
        <v>57.5</v>
      </c>
      <c r="N1105" s="214">
        <v>116.0</v>
      </c>
      <c r="O1105" s="214">
        <v>269.0</v>
      </c>
      <c r="P1105" s="214">
        <v>2.0</v>
      </c>
      <c r="Q1105" s="214" t="b">
        <v>0</v>
      </c>
      <c r="R1105" s="214">
        <v>100.0</v>
      </c>
      <c r="S1105" s="214" t="s">
        <v>471</v>
      </c>
      <c r="T1105" s="214" t="s">
        <v>321</v>
      </c>
      <c r="U1105" s="214"/>
    </row>
    <row r="1106">
      <c r="A1106" s="221">
        <v>45951.06845711806</v>
      </c>
      <c r="B1106" s="214" t="s">
        <v>96</v>
      </c>
      <c r="C1106" s="214" t="s">
        <v>229</v>
      </c>
      <c r="D1106" s="214">
        <v>5.0</v>
      </c>
      <c r="E1106" s="214">
        <v>2.0</v>
      </c>
      <c r="F1106" s="214" t="s">
        <v>1461</v>
      </c>
      <c r="G1106" s="214" t="s">
        <v>61</v>
      </c>
      <c r="H1106" s="214" t="s">
        <v>95</v>
      </c>
      <c r="I1106" s="214"/>
      <c r="J1106" s="222" t="s">
        <v>67</v>
      </c>
      <c r="K1106" s="222">
        <v>-9.5</v>
      </c>
      <c r="L1106" s="222" t="s">
        <v>67</v>
      </c>
      <c r="M1106" s="222">
        <v>60.5</v>
      </c>
      <c r="N1106" s="214">
        <v>274.0</v>
      </c>
      <c r="O1106" s="214">
        <v>149.0</v>
      </c>
      <c r="P1106" s="214">
        <v>2.0</v>
      </c>
      <c r="Q1106" s="214" t="b">
        <v>1</v>
      </c>
      <c r="R1106" s="214">
        <v>100.0</v>
      </c>
      <c r="S1106" s="214" t="s">
        <v>725</v>
      </c>
      <c r="T1106" s="214"/>
      <c r="U1106" s="214"/>
    </row>
    <row r="1107">
      <c r="A1107" s="221">
        <v>45951.06845711806</v>
      </c>
      <c r="B1107" s="214" t="s">
        <v>96</v>
      </c>
      <c r="C1107" s="214" t="s">
        <v>105</v>
      </c>
      <c r="D1107" s="214">
        <v>6.0</v>
      </c>
      <c r="E1107" s="214">
        <v>1.0</v>
      </c>
      <c r="F1107" s="214" t="s">
        <v>1482</v>
      </c>
      <c r="G1107" s="214" t="s">
        <v>61</v>
      </c>
      <c r="H1107" s="214" t="s">
        <v>193</v>
      </c>
      <c r="I1107" s="214"/>
      <c r="J1107" s="222" t="s">
        <v>67</v>
      </c>
      <c r="K1107" s="222">
        <v>-21.5</v>
      </c>
      <c r="L1107" s="222" t="s">
        <v>67</v>
      </c>
      <c r="M1107" s="222">
        <v>73.5</v>
      </c>
      <c r="N1107" s="214">
        <v>292.0</v>
      </c>
      <c r="O1107" s="214">
        <v>161.0</v>
      </c>
      <c r="P1107" s="214">
        <v>2.0</v>
      </c>
      <c r="Q1107" s="214" t="b">
        <v>0</v>
      </c>
      <c r="R1107" s="214">
        <v>100.0</v>
      </c>
      <c r="S1107" s="214" t="s">
        <v>361</v>
      </c>
      <c r="T1107" s="214" t="s">
        <v>365</v>
      </c>
      <c r="U1107" s="214"/>
    </row>
    <row r="1108">
      <c r="A1108" s="221">
        <v>45951.06845711806</v>
      </c>
      <c r="B1108" s="214" t="s">
        <v>96</v>
      </c>
      <c r="C1108" s="214" t="s">
        <v>536</v>
      </c>
      <c r="D1108" s="214">
        <v>6.0</v>
      </c>
      <c r="E1108" s="214">
        <v>2.0</v>
      </c>
      <c r="F1108" s="214" t="s">
        <v>1475</v>
      </c>
      <c r="G1108" s="214" t="s">
        <v>61</v>
      </c>
      <c r="H1108" s="214" t="s">
        <v>62</v>
      </c>
      <c r="I1108" s="214"/>
      <c r="J1108" s="222" t="s">
        <v>67</v>
      </c>
      <c r="K1108" s="222">
        <v>2.5</v>
      </c>
      <c r="L1108" s="222" t="s">
        <v>67</v>
      </c>
      <c r="M1108" s="222">
        <v>54.5</v>
      </c>
      <c r="N1108" s="214">
        <v>229.0</v>
      </c>
      <c r="O1108" s="214">
        <v>186.0</v>
      </c>
      <c r="P1108" s="214">
        <v>2.0</v>
      </c>
      <c r="Q1108" s="214" t="b">
        <v>1</v>
      </c>
      <c r="R1108" s="214">
        <v>100.0</v>
      </c>
      <c r="S1108" s="214" t="s">
        <v>525</v>
      </c>
      <c r="T1108" s="214" t="s">
        <v>365</v>
      </c>
      <c r="U1108" s="214"/>
    </row>
    <row r="1109">
      <c r="A1109" s="221">
        <v>45951.06845711806</v>
      </c>
      <c r="B1109" s="214" t="s">
        <v>96</v>
      </c>
      <c r="C1109" s="214" t="s">
        <v>121</v>
      </c>
      <c r="D1109" s="214">
        <v>6.0</v>
      </c>
      <c r="E1109" s="214">
        <v>1.0</v>
      </c>
      <c r="F1109" s="214" t="s">
        <v>1499</v>
      </c>
      <c r="G1109" s="214" t="s">
        <v>61</v>
      </c>
      <c r="H1109" s="214" t="s">
        <v>493</v>
      </c>
      <c r="I1109" s="214"/>
      <c r="J1109" s="222" t="s">
        <v>67</v>
      </c>
      <c r="K1109" s="222">
        <v>-17.5</v>
      </c>
      <c r="L1109" s="222" t="s">
        <v>67</v>
      </c>
      <c r="M1109" s="222">
        <v>55.5</v>
      </c>
      <c r="N1109" s="214">
        <v>280.0</v>
      </c>
      <c r="O1109" s="214">
        <v>163.0</v>
      </c>
      <c r="P1109" s="214">
        <v>2.0</v>
      </c>
      <c r="Q1109" s="214" t="b">
        <v>1</v>
      </c>
      <c r="R1109" s="214">
        <v>100.0</v>
      </c>
      <c r="S1109" s="214" t="s">
        <v>317</v>
      </c>
      <c r="T1109" s="214" t="s">
        <v>321</v>
      </c>
      <c r="U1109" s="214"/>
    </row>
    <row r="1110">
      <c r="A1110" s="221">
        <v>45951.06845711806</v>
      </c>
      <c r="B1110" s="214" t="s">
        <v>96</v>
      </c>
      <c r="C1110" s="214" t="s">
        <v>204</v>
      </c>
      <c r="D1110" s="214">
        <v>6.0</v>
      </c>
      <c r="E1110" s="214">
        <v>1.0</v>
      </c>
      <c r="F1110" s="214" t="s">
        <v>1500</v>
      </c>
      <c r="G1110" s="214" t="s">
        <v>61</v>
      </c>
      <c r="H1110" s="214" t="s">
        <v>249</v>
      </c>
      <c r="I1110" s="214"/>
      <c r="J1110" s="222" t="s">
        <v>67</v>
      </c>
      <c r="K1110" s="222">
        <v>-7.5</v>
      </c>
      <c r="L1110" s="222" t="s">
        <v>67</v>
      </c>
      <c r="M1110" s="222">
        <v>56.5</v>
      </c>
      <c r="N1110" s="214">
        <v>236.0</v>
      </c>
      <c r="O1110" s="214">
        <v>137.0</v>
      </c>
      <c r="P1110" s="214">
        <v>2.0</v>
      </c>
      <c r="Q1110" s="214" t="b">
        <v>0</v>
      </c>
      <c r="R1110" s="214">
        <v>100.0</v>
      </c>
      <c r="S1110" s="214" t="s">
        <v>556</v>
      </c>
      <c r="T1110" s="214" t="s">
        <v>321</v>
      </c>
      <c r="U1110" s="214"/>
    </row>
    <row r="1111">
      <c r="A1111" s="221">
        <v>45951.06845711806</v>
      </c>
      <c r="B1111" s="214" t="s">
        <v>96</v>
      </c>
      <c r="C1111" s="214" t="s">
        <v>173</v>
      </c>
      <c r="D1111" s="214">
        <v>4.0</v>
      </c>
      <c r="E1111" s="214">
        <v>3.0</v>
      </c>
      <c r="F1111" s="214" t="s">
        <v>1488</v>
      </c>
      <c r="G1111" s="214" t="s">
        <v>61</v>
      </c>
      <c r="H1111" s="214" t="s">
        <v>311</v>
      </c>
      <c r="I1111" s="214"/>
      <c r="J1111" s="222" t="s">
        <v>67</v>
      </c>
      <c r="K1111" s="222">
        <v>-10.5</v>
      </c>
      <c r="L1111" s="222" t="s">
        <v>67</v>
      </c>
      <c r="M1111" s="222">
        <v>41.5</v>
      </c>
      <c r="N1111" s="214">
        <v>206.0</v>
      </c>
      <c r="O1111" s="214">
        <v>177.0</v>
      </c>
      <c r="P1111" s="214">
        <v>2.0</v>
      </c>
      <c r="Q1111" s="214" t="b">
        <v>1</v>
      </c>
      <c r="R1111" s="214">
        <v>100.0</v>
      </c>
      <c r="S1111" s="214" t="s">
        <v>530</v>
      </c>
      <c r="T1111" s="214" t="s">
        <v>365</v>
      </c>
      <c r="U1111" s="214"/>
    </row>
    <row r="1112">
      <c r="A1112" s="221">
        <v>45951.06845711806</v>
      </c>
      <c r="B1112" s="214" t="s">
        <v>96</v>
      </c>
      <c r="C1112" s="214" t="s">
        <v>222</v>
      </c>
      <c r="D1112" s="214">
        <v>5.0</v>
      </c>
      <c r="E1112" s="214">
        <v>2.0</v>
      </c>
      <c r="F1112" s="214" t="s">
        <v>1501</v>
      </c>
      <c r="G1112" s="214" t="s">
        <v>61</v>
      </c>
      <c r="H1112" s="214" t="s">
        <v>493</v>
      </c>
      <c r="I1112" s="214"/>
      <c r="J1112" s="222" t="s">
        <v>67</v>
      </c>
      <c r="K1112" s="222">
        <v>-6.0</v>
      </c>
      <c r="L1112" s="222" t="s">
        <v>67</v>
      </c>
      <c r="M1112" s="222">
        <v>46.5</v>
      </c>
      <c r="N1112" s="214">
        <v>198.0</v>
      </c>
      <c r="O1112" s="214">
        <v>171.0</v>
      </c>
      <c r="P1112" s="214">
        <v>2.0</v>
      </c>
      <c r="Q1112" s="214" t="b">
        <v>0</v>
      </c>
      <c r="R1112" s="214">
        <v>100.0</v>
      </c>
      <c r="S1112" s="214" t="s">
        <v>441</v>
      </c>
      <c r="T1112" s="214" t="s">
        <v>365</v>
      </c>
      <c r="U1112" s="214"/>
    </row>
    <row r="1113">
      <c r="A1113" s="221">
        <v>45951.06845711806</v>
      </c>
      <c r="B1113" s="214" t="s">
        <v>96</v>
      </c>
      <c r="C1113" s="214" t="s">
        <v>142</v>
      </c>
      <c r="D1113" s="214">
        <v>5.0</v>
      </c>
      <c r="E1113" s="214">
        <v>2.0</v>
      </c>
      <c r="F1113" s="214" t="s">
        <v>1502</v>
      </c>
      <c r="G1113" s="214" t="s">
        <v>61</v>
      </c>
      <c r="H1113" s="214" t="s">
        <v>238</v>
      </c>
      <c r="I1113" s="214"/>
      <c r="J1113" s="222" t="s">
        <v>67</v>
      </c>
      <c r="K1113" s="222">
        <v>-7.5</v>
      </c>
      <c r="L1113" s="222" t="s">
        <v>67</v>
      </c>
      <c r="M1113" s="222">
        <v>47.5</v>
      </c>
      <c r="N1113" s="214">
        <v>252.0</v>
      </c>
      <c r="O1113" s="214">
        <v>136.0</v>
      </c>
      <c r="P1113" s="214">
        <v>2.0</v>
      </c>
      <c r="Q1113" s="214" t="b">
        <v>1</v>
      </c>
      <c r="R1113" s="214">
        <v>100.0</v>
      </c>
      <c r="S1113" s="214" t="s">
        <v>407</v>
      </c>
      <c r="T1113" s="214" t="s">
        <v>321</v>
      </c>
      <c r="U1113" s="214"/>
    </row>
    <row r="1114">
      <c r="A1114" s="221">
        <v>45951.06845711806</v>
      </c>
      <c r="B1114" s="214"/>
      <c r="C1114" s="214"/>
      <c r="D1114" s="214"/>
      <c r="E1114" s="214"/>
      <c r="F1114" s="214"/>
      <c r="G1114" s="214"/>
      <c r="H1114" s="214"/>
      <c r="I1114" s="214"/>
      <c r="J1114" s="222"/>
      <c r="K1114" s="222"/>
      <c r="L1114" s="222"/>
      <c r="M1114" s="222"/>
      <c r="N1114" s="214"/>
      <c r="O1114" s="214"/>
      <c r="P1114" s="214"/>
      <c r="Q1114" s="214"/>
      <c r="R1114" s="214"/>
      <c r="S1114" s="214"/>
      <c r="T1114" s="214"/>
      <c r="U1114" s="214"/>
    </row>
    <row r="1115">
      <c r="A1115" s="221">
        <v>45951.06845711806</v>
      </c>
      <c r="B1115" s="214" t="s">
        <v>238</v>
      </c>
      <c r="C1115" s="214" t="s">
        <v>98</v>
      </c>
      <c r="D1115" s="214">
        <v>6.0</v>
      </c>
      <c r="E1115" s="214">
        <v>1.0</v>
      </c>
      <c r="F1115" s="214" t="s">
        <v>1498</v>
      </c>
      <c r="G1115" s="214" t="s">
        <v>61</v>
      </c>
      <c r="H1115" s="214" t="s">
        <v>96</v>
      </c>
      <c r="I1115" s="214"/>
      <c r="J1115" s="222" t="s">
        <v>67</v>
      </c>
      <c r="K1115" s="222">
        <v>-21.5</v>
      </c>
      <c r="L1115" s="222" t="s">
        <v>67</v>
      </c>
      <c r="M1115" s="222">
        <v>57.5</v>
      </c>
      <c r="N1115" s="214">
        <v>265.0</v>
      </c>
      <c r="O1115" s="214">
        <v>132.0</v>
      </c>
      <c r="P1115" s="214">
        <v>2.0</v>
      </c>
      <c r="Q1115" s="214" t="b">
        <v>1</v>
      </c>
      <c r="R1115" s="214">
        <v>100.0</v>
      </c>
      <c r="S1115" s="214" t="s">
        <v>471</v>
      </c>
      <c r="T1115" s="214" t="s">
        <v>321</v>
      </c>
      <c r="U1115" s="214"/>
    </row>
    <row r="1116">
      <c r="A1116" s="221">
        <v>45951.06845711806</v>
      </c>
      <c r="B1116" s="214" t="s">
        <v>238</v>
      </c>
      <c r="C1116" s="214" t="s">
        <v>119</v>
      </c>
      <c r="D1116" s="214">
        <v>5.0</v>
      </c>
      <c r="E1116" s="214">
        <v>2.0</v>
      </c>
      <c r="F1116" s="214" t="s">
        <v>1503</v>
      </c>
      <c r="G1116" s="214" t="s">
        <v>61</v>
      </c>
      <c r="H1116" s="214" t="s">
        <v>493</v>
      </c>
      <c r="I1116" s="214"/>
      <c r="J1116" s="222" t="s">
        <v>67</v>
      </c>
      <c r="K1116" s="222">
        <v>-10.5</v>
      </c>
      <c r="L1116" s="222" t="s">
        <v>67</v>
      </c>
      <c r="M1116" s="222">
        <v>54.5</v>
      </c>
      <c r="N1116" s="214">
        <v>269.0</v>
      </c>
      <c r="O1116" s="214">
        <v>142.0</v>
      </c>
      <c r="P1116" s="214">
        <v>2.0</v>
      </c>
      <c r="Q1116" s="214" t="b">
        <v>1</v>
      </c>
      <c r="R1116" s="214">
        <v>100.0</v>
      </c>
      <c r="S1116" s="214" t="s">
        <v>317</v>
      </c>
      <c r="T1116" s="214" t="s">
        <v>321</v>
      </c>
      <c r="U1116" s="214"/>
    </row>
    <row r="1117">
      <c r="A1117" s="221">
        <v>45951.06845711806</v>
      </c>
      <c r="B1117" s="214" t="s">
        <v>238</v>
      </c>
      <c r="C1117" s="214" t="s">
        <v>539</v>
      </c>
      <c r="D1117" s="214">
        <v>7.0</v>
      </c>
      <c r="E1117" s="214">
        <v>0.0</v>
      </c>
      <c r="F1117" s="214" t="s">
        <v>1504</v>
      </c>
      <c r="G1117" s="214" t="s">
        <v>61</v>
      </c>
      <c r="H1117" s="214" t="s">
        <v>156</v>
      </c>
      <c r="I1117" s="214"/>
      <c r="J1117" s="222" t="s">
        <v>67</v>
      </c>
      <c r="K1117" s="222">
        <v>-7.5</v>
      </c>
      <c r="L1117" s="222" t="s">
        <v>67</v>
      </c>
      <c r="M1117" s="222">
        <v>59.5</v>
      </c>
      <c r="N1117" s="214">
        <v>253.0</v>
      </c>
      <c r="O1117" s="214">
        <v>164.0</v>
      </c>
      <c r="P1117" s="214">
        <v>2.0</v>
      </c>
      <c r="Q1117" s="214" t="b">
        <v>0</v>
      </c>
      <c r="R1117" s="214">
        <v>100.0</v>
      </c>
      <c r="S1117" s="214" t="s">
        <v>556</v>
      </c>
      <c r="T1117" s="214" t="s">
        <v>321</v>
      </c>
      <c r="U1117" s="214"/>
    </row>
    <row r="1118">
      <c r="A1118" s="221">
        <v>45951.06845711806</v>
      </c>
      <c r="B1118" s="214" t="s">
        <v>238</v>
      </c>
      <c r="C1118" s="214" t="s">
        <v>102</v>
      </c>
      <c r="D1118" s="214">
        <v>6.0</v>
      </c>
      <c r="E1118" s="214">
        <v>1.0</v>
      </c>
      <c r="F1118" s="214" t="s">
        <v>1476</v>
      </c>
      <c r="G1118" s="214" t="s">
        <v>61</v>
      </c>
      <c r="H1118" s="214" t="s">
        <v>62</v>
      </c>
      <c r="I1118" s="214"/>
      <c r="J1118" s="222" t="s">
        <v>67</v>
      </c>
      <c r="K1118" s="222">
        <v>-21.5</v>
      </c>
      <c r="L1118" s="222" t="s">
        <v>67</v>
      </c>
      <c r="M1118" s="222">
        <v>62.5</v>
      </c>
      <c r="N1118" s="214">
        <v>267.0</v>
      </c>
      <c r="O1118" s="214">
        <v>128.0</v>
      </c>
      <c r="P1118" s="214">
        <v>2.0</v>
      </c>
      <c r="Q1118" s="214" t="b">
        <v>0</v>
      </c>
      <c r="R1118" s="214">
        <v>100.0</v>
      </c>
      <c r="S1118" s="214" t="s">
        <v>361</v>
      </c>
      <c r="T1118" s="214" t="s">
        <v>365</v>
      </c>
      <c r="U1118" s="214"/>
    </row>
    <row r="1119">
      <c r="A1119" s="221">
        <v>45951.06845711806</v>
      </c>
      <c r="B1119" s="214" t="s">
        <v>238</v>
      </c>
      <c r="C1119" s="214" t="s">
        <v>148</v>
      </c>
      <c r="D1119" s="214">
        <v>2.0</v>
      </c>
      <c r="E1119" s="214">
        <v>5.0</v>
      </c>
      <c r="F1119" s="214" t="s">
        <v>1485</v>
      </c>
      <c r="G1119" s="214" t="s">
        <v>61</v>
      </c>
      <c r="H1119" s="214" t="s">
        <v>193</v>
      </c>
      <c r="I1119" s="214"/>
      <c r="J1119" s="222" t="s">
        <v>67</v>
      </c>
      <c r="K1119" s="222">
        <v>25.5</v>
      </c>
      <c r="L1119" s="222" t="s">
        <v>67</v>
      </c>
      <c r="M1119" s="222">
        <v>41.5</v>
      </c>
      <c r="N1119" s="214">
        <v>93.0</v>
      </c>
      <c r="O1119" s="214">
        <v>170.0</v>
      </c>
      <c r="P1119" s="214">
        <v>2.0</v>
      </c>
      <c r="Q1119" s="214" t="b">
        <v>1</v>
      </c>
      <c r="R1119" s="214">
        <v>100.0</v>
      </c>
      <c r="S1119" s="214" t="s">
        <v>407</v>
      </c>
      <c r="T1119" s="214" t="s">
        <v>321</v>
      </c>
      <c r="U1119" s="214"/>
    </row>
    <row r="1120">
      <c r="A1120" s="221">
        <v>45951.06845711806</v>
      </c>
      <c r="B1120" s="214" t="s">
        <v>238</v>
      </c>
      <c r="C1120" s="214" t="s">
        <v>548</v>
      </c>
      <c r="D1120" s="214">
        <v>4.0</v>
      </c>
      <c r="E1120" s="214">
        <v>3.0</v>
      </c>
      <c r="F1120" s="214" t="s">
        <v>1478</v>
      </c>
      <c r="G1120" s="214" t="s">
        <v>61</v>
      </c>
      <c r="H1120" s="214" t="s">
        <v>62</v>
      </c>
      <c r="I1120" s="214"/>
      <c r="J1120" s="222" t="s">
        <v>67</v>
      </c>
      <c r="K1120" s="222">
        <v>-13.5</v>
      </c>
      <c r="L1120" s="222" t="s">
        <v>67</v>
      </c>
      <c r="M1120" s="222">
        <v>47.5</v>
      </c>
      <c r="N1120" s="214">
        <v>182.0</v>
      </c>
      <c r="O1120" s="214">
        <v>154.0</v>
      </c>
      <c r="P1120" s="214">
        <v>2.0</v>
      </c>
      <c r="Q1120" s="214" t="b">
        <v>1</v>
      </c>
      <c r="R1120" s="214">
        <v>100.0</v>
      </c>
      <c r="S1120" s="214" t="s">
        <v>530</v>
      </c>
      <c r="T1120" s="214" t="s">
        <v>365</v>
      </c>
      <c r="U1120" s="214"/>
    </row>
    <row r="1121">
      <c r="A1121" s="221">
        <v>45951.06845711806</v>
      </c>
      <c r="B1121" s="214" t="s">
        <v>238</v>
      </c>
      <c r="C1121" s="214" t="s">
        <v>549</v>
      </c>
      <c r="D1121" s="214">
        <v>2.0</v>
      </c>
      <c r="E1121" s="214">
        <v>5.0</v>
      </c>
      <c r="F1121" s="214" t="s">
        <v>1490</v>
      </c>
      <c r="G1121" s="214" t="s">
        <v>61</v>
      </c>
      <c r="H1121" s="214" t="s">
        <v>311</v>
      </c>
      <c r="I1121" s="214"/>
      <c r="J1121" s="222" t="s">
        <v>67</v>
      </c>
      <c r="K1121" s="222">
        <v>4.0</v>
      </c>
      <c r="L1121" s="222" t="s">
        <v>67</v>
      </c>
      <c r="M1121" s="222">
        <v>61.5</v>
      </c>
      <c r="N1121" s="214">
        <v>169.0</v>
      </c>
      <c r="O1121" s="214">
        <v>205.0</v>
      </c>
      <c r="P1121" s="214">
        <v>2.0</v>
      </c>
      <c r="Q1121" s="214" t="b">
        <v>1</v>
      </c>
      <c r="R1121" s="214">
        <v>100.0</v>
      </c>
      <c r="S1121" s="214" t="s">
        <v>525</v>
      </c>
      <c r="T1121" s="214" t="s">
        <v>365</v>
      </c>
      <c r="U1121" s="214"/>
    </row>
    <row r="1122">
      <c r="A1122" s="221">
        <v>45951.06845711806</v>
      </c>
      <c r="B1122" s="214" t="s">
        <v>238</v>
      </c>
      <c r="C1122" s="214" t="s">
        <v>141</v>
      </c>
      <c r="D1122" s="214">
        <v>5.0</v>
      </c>
      <c r="E1122" s="214">
        <v>2.0</v>
      </c>
      <c r="F1122" s="214" t="s">
        <v>1502</v>
      </c>
      <c r="G1122" s="214" t="s">
        <v>61</v>
      </c>
      <c r="H1122" s="214" t="s">
        <v>96</v>
      </c>
      <c r="I1122" s="214"/>
      <c r="J1122" s="222" t="s">
        <v>67</v>
      </c>
      <c r="K1122" s="222">
        <v>7.5</v>
      </c>
      <c r="L1122" s="222" t="s">
        <v>67</v>
      </c>
      <c r="M1122" s="222">
        <v>47.5</v>
      </c>
      <c r="N1122" s="214">
        <v>188.0</v>
      </c>
      <c r="O1122" s="214">
        <v>133.0</v>
      </c>
      <c r="P1122" s="214">
        <v>2.0</v>
      </c>
      <c r="Q1122" s="214" t="b">
        <v>0</v>
      </c>
      <c r="R1122" s="214">
        <v>100.0</v>
      </c>
      <c r="S1122" s="214" t="s">
        <v>407</v>
      </c>
      <c r="T1122" s="214" t="s">
        <v>321</v>
      </c>
      <c r="U1122" s="214"/>
    </row>
    <row r="1123">
      <c r="A1123" s="221">
        <v>45951.06845711806</v>
      </c>
      <c r="B1123" s="214" t="s">
        <v>238</v>
      </c>
      <c r="C1123" s="214" t="s">
        <v>160</v>
      </c>
      <c r="D1123" s="214">
        <v>2.0</v>
      </c>
      <c r="E1123" s="214">
        <v>5.0</v>
      </c>
      <c r="F1123" s="214" t="s">
        <v>1491</v>
      </c>
      <c r="G1123" s="214" t="s">
        <v>61</v>
      </c>
      <c r="H1123" s="214" t="s">
        <v>311</v>
      </c>
      <c r="I1123" s="214"/>
      <c r="J1123" s="222" t="s">
        <v>67</v>
      </c>
      <c r="K1123" s="222">
        <v>-2.5</v>
      </c>
      <c r="L1123" s="222" t="s">
        <v>67</v>
      </c>
      <c r="M1123" s="222">
        <v>47.5</v>
      </c>
      <c r="N1123" s="214">
        <v>147.0</v>
      </c>
      <c r="O1123" s="214">
        <v>169.0</v>
      </c>
      <c r="P1123" s="214">
        <v>2.0</v>
      </c>
      <c r="Q1123" s="214" t="b">
        <v>0</v>
      </c>
      <c r="R1123" s="214">
        <v>100.0</v>
      </c>
      <c r="S1123" s="214" t="s">
        <v>535</v>
      </c>
      <c r="T1123" s="214" t="s">
        <v>365</v>
      </c>
      <c r="U1123" s="214"/>
    </row>
    <row r="1124">
      <c r="A1124" s="221">
        <v>45951.06845711806</v>
      </c>
      <c r="B1124" s="214" t="s">
        <v>238</v>
      </c>
      <c r="C1124" s="214" t="s">
        <v>220</v>
      </c>
      <c r="D1124" s="214">
        <v>1.0</v>
      </c>
      <c r="E1124" s="214">
        <v>6.0</v>
      </c>
      <c r="F1124" s="214" t="s">
        <v>1505</v>
      </c>
      <c r="G1124" s="214" t="s">
        <v>61</v>
      </c>
      <c r="H1124" s="214" t="s">
        <v>132</v>
      </c>
      <c r="I1124" s="214"/>
      <c r="J1124" s="222" t="s">
        <v>67</v>
      </c>
      <c r="K1124" s="222">
        <v>-7.5</v>
      </c>
      <c r="L1124" s="222" t="s">
        <v>67</v>
      </c>
      <c r="M1124" s="222">
        <v>58.5</v>
      </c>
      <c r="N1124" s="214">
        <v>164.0</v>
      </c>
      <c r="O1124" s="214">
        <v>205.0</v>
      </c>
      <c r="P1124" s="214">
        <v>2.0</v>
      </c>
      <c r="Q1124" s="214" t="b">
        <v>1</v>
      </c>
      <c r="R1124" s="214">
        <v>100.0</v>
      </c>
      <c r="S1124" s="214" t="s">
        <v>441</v>
      </c>
      <c r="T1124" s="214" t="s">
        <v>365</v>
      </c>
      <c r="U1124" s="214"/>
    </row>
    <row r="1125">
      <c r="A1125" s="221">
        <v>45951.06845711806</v>
      </c>
      <c r="B1125" s="214"/>
      <c r="C1125" s="214"/>
      <c r="D1125" s="214"/>
      <c r="E1125" s="214"/>
      <c r="F1125" s="214"/>
      <c r="G1125" s="214"/>
      <c r="H1125" s="214"/>
      <c r="I1125" s="214"/>
      <c r="J1125" s="222"/>
      <c r="K1125" s="222"/>
      <c r="L1125" s="222"/>
      <c r="M1125" s="222"/>
      <c r="N1125" s="214"/>
      <c r="O1125" s="214"/>
      <c r="P1125" s="214"/>
      <c r="Q1125" s="214"/>
      <c r="R1125" s="214"/>
      <c r="S1125" s="214"/>
      <c r="T1125" s="214"/>
      <c r="U1125" s="214"/>
    </row>
    <row r="1126">
      <c r="A1126" s="221">
        <v>45951.06845711806</v>
      </c>
      <c r="B1126" s="214" t="s">
        <v>156</v>
      </c>
      <c r="C1126" s="214" t="s">
        <v>135</v>
      </c>
      <c r="D1126" s="214">
        <v>5.0</v>
      </c>
      <c r="E1126" s="214">
        <v>2.0</v>
      </c>
      <c r="F1126" s="214"/>
      <c r="G1126" s="214"/>
      <c r="H1126" s="214"/>
      <c r="I1126" s="214"/>
      <c r="J1126" s="222"/>
      <c r="K1126" s="222"/>
      <c r="L1126" s="222"/>
      <c r="M1126" s="222"/>
      <c r="N1126" s="214">
        <v>238.0</v>
      </c>
      <c r="O1126" s="214">
        <v>178.0</v>
      </c>
      <c r="P1126" s="214">
        <v>0.0</v>
      </c>
      <c r="Q1126" s="214" t="b">
        <v>1</v>
      </c>
      <c r="R1126" s="214">
        <v>59.0</v>
      </c>
      <c r="S1126" s="214" t="s">
        <v>407</v>
      </c>
      <c r="T1126" s="214" t="s">
        <v>321</v>
      </c>
      <c r="U1126" s="214"/>
    </row>
    <row r="1127">
      <c r="A1127" s="221">
        <v>45951.06845711806</v>
      </c>
      <c r="B1127" s="214" t="s">
        <v>156</v>
      </c>
      <c r="C1127" s="214" t="s">
        <v>181</v>
      </c>
      <c r="D1127" s="214">
        <v>1.0</v>
      </c>
      <c r="E1127" s="214">
        <v>6.0</v>
      </c>
      <c r="F1127" s="214" t="s">
        <v>1481</v>
      </c>
      <c r="G1127" s="214" t="s">
        <v>61</v>
      </c>
      <c r="H1127" s="214" t="s">
        <v>193</v>
      </c>
      <c r="I1127" s="214"/>
      <c r="J1127" s="222" t="s">
        <v>67</v>
      </c>
      <c r="K1127" s="222">
        <v>12.5</v>
      </c>
      <c r="L1127" s="222" t="s">
        <v>67</v>
      </c>
      <c r="M1127" s="222">
        <v>49.5</v>
      </c>
      <c r="N1127" s="214">
        <v>109.0</v>
      </c>
      <c r="O1127" s="214">
        <v>196.0</v>
      </c>
      <c r="P1127" s="214">
        <v>2.0</v>
      </c>
      <c r="Q1127" s="214" t="b">
        <v>0</v>
      </c>
      <c r="R1127" s="214">
        <v>100.0</v>
      </c>
      <c r="S1127" s="214" t="s">
        <v>525</v>
      </c>
      <c r="T1127" s="214" t="s">
        <v>365</v>
      </c>
      <c r="U1127" s="214"/>
    </row>
    <row r="1128">
      <c r="A1128" s="221">
        <v>45951.06845711806</v>
      </c>
      <c r="B1128" s="214" t="s">
        <v>156</v>
      </c>
      <c r="C1128" s="214" t="s">
        <v>202</v>
      </c>
      <c r="D1128" s="214">
        <v>2.0</v>
      </c>
      <c r="E1128" s="214">
        <v>5.0</v>
      </c>
      <c r="F1128" s="214" t="s">
        <v>1504</v>
      </c>
      <c r="G1128" s="214" t="s">
        <v>61</v>
      </c>
      <c r="H1128" s="214" t="s">
        <v>238</v>
      </c>
      <c r="I1128" s="214"/>
      <c r="J1128" s="222" t="s">
        <v>67</v>
      </c>
      <c r="K1128" s="222">
        <v>7.5</v>
      </c>
      <c r="L1128" s="222" t="s">
        <v>67</v>
      </c>
      <c r="M1128" s="222">
        <v>59.5</v>
      </c>
      <c r="N1128" s="214">
        <v>260.0</v>
      </c>
      <c r="O1128" s="214">
        <v>229.0</v>
      </c>
      <c r="P1128" s="214">
        <v>2.0</v>
      </c>
      <c r="Q1128" s="214" t="b">
        <v>1</v>
      </c>
      <c r="R1128" s="214">
        <v>100.0</v>
      </c>
      <c r="S1128" s="214" t="s">
        <v>556</v>
      </c>
      <c r="T1128" s="214" t="s">
        <v>321</v>
      </c>
      <c r="U1128" s="214"/>
    </row>
    <row r="1129">
      <c r="A1129" s="221">
        <v>45951.06845711806</v>
      </c>
      <c r="B1129" s="214" t="s">
        <v>156</v>
      </c>
      <c r="C1129" s="214" t="s">
        <v>154</v>
      </c>
      <c r="D1129" s="214">
        <v>6.0</v>
      </c>
      <c r="E1129" s="214">
        <v>1.0</v>
      </c>
      <c r="F1129" s="214" t="s">
        <v>1487</v>
      </c>
      <c r="G1129" s="214" t="s">
        <v>61</v>
      </c>
      <c r="H1129" s="214" t="s">
        <v>311</v>
      </c>
      <c r="I1129" s="214"/>
      <c r="J1129" s="222" t="s">
        <v>67</v>
      </c>
      <c r="K1129" s="222">
        <v>-3.5</v>
      </c>
      <c r="L1129" s="222" t="s">
        <v>67</v>
      </c>
      <c r="M1129" s="222">
        <v>66.5</v>
      </c>
      <c r="N1129" s="214">
        <v>315.0</v>
      </c>
      <c r="O1129" s="214">
        <v>180.0</v>
      </c>
      <c r="P1129" s="214">
        <v>2.0</v>
      </c>
      <c r="Q1129" s="214" t="b">
        <v>0</v>
      </c>
      <c r="R1129" s="214">
        <v>100.0</v>
      </c>
      <c r="S1129" s="214" t="s">
        <v>361</v>
      </c>
      <c r="T1129" s="214" t="s">
        <v>365</v>
      </c>
      <c r="U1129" s="214"/>
    </row>
    <row r="1130">
      <c r="A1130" s="221">
        <v>45951.06845711806</v>
      </c>
      <c r="B1130" s="214" t="s">
        <v>156</v>
      </c>
      <c r="C1130" s="214" t="s">
        <v>223</v>
      </c>
      <c r="D1130" s="214">
        <v>4.0</v>
      </c>
      <c r="E1130" s="214">
        <v>3.0</v>
      </c>
      <c r="F1130" s="214" t="s">
        <v>1454</v>
      </c>
      <c r="G1130" s="214" t="s">
        <v>61</v>
      </c>
      <c r="H1130" s="214" t="s">
        <v>43</v>
      </c>
      <c r="I1130" s="214"/>
      <c r="J1130" s="222" t="s">
        <v>67</v>
      </c>
      <c r="K1130" s="222">
        <v>10.0</v>
      </c>
      <c r="L1130" s="222" t="s">
        <v>67</v>
      </c>
      <c r="M1130" s="222">
        <v>48.5</v>
      </c>
      <c r="N1130" s="214">
        <v>133.0</v>
      </c>
      <c r="O1130" s="214">
        <v>198.0</v>
      </c>
      <c r="P1130" s="214">
        <v>2.0</v>
      </c>
      <c r="Q1130" s="214" t="b">
        <v>1</v>
      </c>
      <c r="R1130" s="214">
        <v>100.0</v>
      </c>
      <c r="S1130" s="214" t="s">
        <v>441</v>
      </c>
      <c r="T1130" s="214" t="s">
        <v>365</v>
      </c>
      <c r="U1130" s="214"/>
    </row>
    <row r="1131">
      <c r="A1131" s="221">
        <v>45951.06845711806</v>
      </c>
      <c r="B1131" s="214" t="s">
        <v>156</v>
      </c>
      <c r="C1131" s="214" t="s">
        <v>174</v>
      </c>
      <c r="D1131" s="214">
        <v>4.0</v>
      </c>
      <c r="E1131" s="214">
        <v>3.0</v>
      </c>
      <c r="F1131" s="214" t="s">
        <v>1506</v>
      </c>
      <c r="G1131" s="214" t="s">
        <v>61</v>
      </c>
      <c r="H1131" s="214" t="s">
        <v>493</v>
      </c>
      <c r="I1131" s="214"/>
      <c r="J1131" s="222" t="s">
        <v>67</v>
      </c>
      <c r="K1131" s="222">
        <v>-25.5</v>
      </c>
      <c r="L1131" s="222" t="s">
        <v>67</v>
      </c>
      <c r="M1131" s="222">
        <v>50.5</v>
      </c>
      <c r="N1131" s="214">
        <v>247.0</v>
      </c>
      <c r="O1131" s="214">
        <v>100.0</v>
      </c>
      <c r="P1131" s="214">
        <v>2.0</v>
      </c>
      <c r="Q1131" s="214" t="b">
        <v>1</v>
      </c>
      <c r="R1131" s="214">
        <v>100.0</v>
      </c>
      <c r="S1131" s="214" t="s">
        <v>530</v>
      </c>
      <c r="T1131" s="214" t="s">
        <v>365</v>
      </c>
      <c r="U1131" s="214"/>
    </row>
    <row r="1132">
      <c r="A1132" s="221">
        <v>45951.06845711806</v>
      </c>
      <c r="B1132" s="214" t="s">
        <v>156</v>
      </c>
      <c r="C1132" s="214" t="s">
        <v>109</v>
      </c>
      <c r="D1132" s="214">
        <v>4.0</v>
      </c>
      <c r="E1132" s="214">
        <v>3.0</v>
      </c>
      <c r="F1132" s="214" t="s">
        <v>1507</v>
      </c>
      <c r="G1132" s="214" t="s">
        <v>61</v>
      </c>
      <c r="H1132" s="214" t="s">
        <v>132</v>
      </c>
      <c r="I1132" s="214"/>
      <c r="J1132" s="222" t="s">
        <v>67</v>
      </c>
      <c r="K1132" s="222">
        <v>-7.5</v>
      </c>
      <c r="L1132" s="222" t="s">
        <v>67</v>
      </c>
      <c r="M1132" s="222">
        <v>46.5</v>
      </c>
      <c r="N1132" s="214">
        <v>215.0</v>
      </c>
      <c r="O1132" s="214">
        <v>120.0</v>
      </c>
      <c r="P1132" s="214">
        <v>2.0</v>
      </c>
      <c r="Q1132" s="214" t="b">
        <v>1</v>
      </c>
      <c r="R1132" s="214">
        <v>100.0</v>
      </c>
      <c r="S1132" s="214" t="s">
        <v>471</v>
      </c>
      <c r="T1132" s="214" t="s">
        <v>321</v>
      </c>
      <c r="U1132" s="214"/>
    </row>
    <row r="1133">
      <c r="A1133" s="221">
        <v>45951.06845711806</v>
      </c>
      <c r="B1133" s="214" t="s">
        <v>156</v>
      </c>
      <c r="C1133" s="214" t="s">
        <v>116</v>
      </c>
      <c r="D1133" s="214">
        <v>5.0</v>
      </c>
      <c r="E1133" s="214">
        <v>1.0</v>
      </c>
      <c r="F1133" s="214" t="s">
        <v>1508</v>
      </c>
      <c r="G1133" s="214" t="s">
        <v>61</v>
      </c>
      <c r="H1133" s="214" t="s">
        <v>132</v>
      </c>
      <c r="I1133" s="214"/>
      <c r="J1133" s="222" t="s">
        <v>67</v>
      </c>
      <c r="K1133" s="222">
        <v>-13.5</v>
      </c>
      <c r="L1133" s="222" t="s">
        <v>67</v>
      </c>
      <c r="M1133" s="222">
        <v>50.5</v>
      </c>
      <c r="N1133" s="214">
        <v>196.0</v>
      </c>
      <c r="O1133" s="214">
        <v>92.0</v>
      </c>
      <c r="P1133" s="214">
        <v>2.0</v>
      </c>
      <c r="Q1133" s="214" t="b">
        <v>1</v>
      </c>
      <c r="R1133" s="214">
        <v>100.0</v>
      </c>
      <c r="S1133" s="214" t="s">
        <v>317</v>
      </c>
      <c r="T1133" s="214" t="s">
        <v>321</v>
      </c>
      <c r="U1133" s="214"/>
    </row>
    <row r="1134">
      <c r="A1134" s="221">
        <v>45951.06845711806</v>
      </c>
      <c r="B1134" s="214" t="s">
        <v>156</v>
      </c>
      <c r="C1134" s="214" t="s">
        <v>232</v>
      </c>
      <c r="D1134" s="214">
        <v>4.0</v>
      </c>
      <c r="E1134" s="214">
        <v>3.0</v>
      </c>
      <c r="F1134" s="214" t="s">
        <v>1497</v>
      </c>
      <c r="G1134" s="214" t="s">
        <v>61</v>
      </c>
      <c r="H1134" s="214" t="s">
        <v>224</v>
      </c>
      <c r="I1134" s="214"/>
      <c r="J1134" s="222" t="s">
        <v>67</v>
      </c>
      <c r="K1134" s="222">
        <v>2.5</v>
      </c>
      <c r="L1134" s="222" t="s">
        <v>67</v>
      </c>
      <c r="M1134" s="222">
        <v>57.5</v>
      </c>
      <c r="N1134" s="214">
        <v>215.0</v>
      </c>
      <c r="O1134" s="214">
        <v>186.0</v>
      </c>
      <c r="P1134" s="214">
        <v>2.0</v>
      </c>
      <c r="Q1134" s="214" t="b">
        <v>0</v>
      </c>
      <c r="R1134" s="214">
        <v>100.0</v>
      </c>
      <c r="S1134" s="214" t="s">
        <v>535</v>
      </c>
      <c r="T1134" s="214" t="s">
        <v>365</v>
      </c>
      <c r="U1134" s="214"/>
    </row>
    <row r="1135">
      <c r="A1135" s="221">
        <v>45951.06845711806</v>
      </c>
      <c r="B1135" s="214" t="s">
        <v>156</v>
      </c>
      <c r="C1135" s="214" t="s">
        <v>208</v>
      </c>
      <c r="D1135" s="214">
        <v>6.0</v>
      </c>
      <c r="E1135" s="214">
        <v>1.0</v>
      </c>
      <c r="F1135" s="214" t="s">
        <v>1459</v>
      </c>
      <c r="G1135" s="214" t="s">
        <v>597</v>
      </c>
      <c r="H1135" s="214" t="s">
        <v>43</v>
      </c>
      <c r="I1135" s="214"/>
      <c r="J1135" s="222" t="s">
        <v>67</v>
      </c>
      <c r="K1135" s="222">
        <v>-1.5</v>
      </c>
      <c r="L1135" s="222" t="s">
        <v>67</v>
      </c>
      <c r="M1135" s="222">
        <v>43.5</v>
      </c>
      <c r="N1135" s="214">
        <v>273.0</v>
      </c>
      <c r="O1135" s="214">
        <v>117.0</v>
      </c>
      <c r="P1135" s="214">
        <v>2.0</v>
      </c>
      <c r="Q1135" s="214" t="b">
        <v>1</v>
      </c>
      <c r="R1135" s="214">
        <v>100.0</v>
      </c>
      <c r="S1135" s="214" t="s">
        <v>556</v>
      </c>
      <c r="T1135" s="214" t="s">
        <v>321</v>
      </c>
      <c r="U1135" s="214"/>
    </row>
    <row r="1136">
      <c r="A1136" s="221">
        <v>45951.06845711806</v>
      </c>
      <c r="B1136" s="214"/>
      <c r="C1136" s="214"/>
      <c r="D1136" s="214"/>
      <c r="E1136" s="214"/>
      <c r="F1136" s="214"/>
      <c r="G1136" s="214"/>
      <c r="H1136" s="214"/>
      <c r="I1136" s="214"/>
      <c r="J1136" s="222"/>
      <c r="K1136" s="222"/>
      <c r="L1136" s="222"/>
      <c r="M1136" s="222"/>
      <c r="N1136" s="214"/>
      <c r="O1136" s="214"/>
      <c r="P1136" s="214"/>
      <c r="Q1136" s="214"/>
      <c r="R1136" s="214"/>
      <c r="S1136" s="214"/>
      <c r="T1136" s="214"/>
      <c r="U1136" s="214"/>
    </row>
    <row r="1137">
      <c r="A1137" s="221">
        <v>45951.06845711806</v>
      </c>
      <c r="B1137" s="214" t="s">
        <v>249</v>
      </c>
      <c r="C1137" s="214" t="s">
        <v>183</v>
      </c>
      <c r="D1137" s="214">
        <v>5.0</v>
      </c>
      <c r="E1137" s="214">
        <v>1.0</v>
      </c>
      <c r="F1137" s="214"/>
      <c r="G1137" s="214"/>
      <c r="H1137" s="214"/>
      <c r="I1137" s="214"/>
      <c r="J1137" s="222"/>
      <c r="K1137" s="222"/>
      <c r="L1137" s="222"/>
      <c r="M1137" s="222"/>
      <c r="N1137" s="214">
        <v>184.0</v>
      </c>
      <c r="O1137" s="214">
        <v>73.0</v>
      </c>
      <c r="P1137" s="214">
        <v>0.0</v>
      </c>
      <c r="Q1137" s="214" t="b">
        <v>1</v>
      </c>
      <c r="R1137" s="214">
        <v>59.0</v>
      </c>
      <c r="S1137" s="214" t="s">
        <v>525</v>
      </c>
      <c r="T1137" s="214" t="s">
        <v>365</v>
      </c>
      <c r="U1137" s="214"/>
    </row>
    <row r="1138">
      <c r="A1138" s="221">
        <v>45951.06845711806</v>
      </c>
      <c r="B1138" s="214" t="s">
        <v>249</v>
      </c>
      <c r="C1138" s="214" t="s">
        <v>151</v>
      </c>
      <c r="D1138" s="214">
        <v>4.0</v>
      </c>
      <c r="E1138" s="214">
        <v>2.0</v>
      </c>
      <c r="F1138" s="214"/>
      <c r="G1138" s="214"/>
      <c r="H1138" s="214"/>
      <c r="I1138" s="214"/>
      <c r="J1138" s="222"/>
      <c r="K1138" s="222"/>
      <c r="L1138" s="222"/>
      <c r="M1138" s="222"/>
      <c r="N1138" s="214">
        <v>147.0</v>
      </c>
      <c r="O1138" s="214">
        <v>103.0</v>
      </c>
      <c r="P1138" s="214">
        <v>0.0</v>
      </c>
      <c r="Q1138" s="214" t="b">
        <v>1</v>
      </c>
      <c r="R1138" s="214">
        <v>59.0</v>
      </c>
      <c r="S1138" s="214" t="s">
        <v>535</v>
      </c>
      <c r="T1138" s="214" t="s">
        <v>365</v>
      </c>
      <c r="U1138" s="214"/>
    </row>
    <row r="1139">
      <c r="A1139" s="221">
        <v>45951.06845711806</v>
      </c>
      <c r="B1139" s="214" t="s">
        <v>249</v>
      </c>
      <c r="C1139" s="214" t="s">
        <v>217</v>
      </c>
      <c r="D1139" s="214">
        <v>1.0</v>
      </c>
      <c r="E1139" s="214">
        <v>6.0</v>
      </c>
      <c r="F1139" s="214" t="s">
        <v>1493</v>
      </c>
      <c r="G1139" s="214" t="s">
        <v>61</v>
      </c>
      <c r="H1139" s="214" t="s">
        <v>224</v>
      </c>
      <c r="I1139" s="214"/>
      <c r="J1139" s="222" t="s">
        <v>67</v>
      </c>
      <c r="K1139" s="222">
        <v>6.5</v>
      </c>
      <c r="L1139" s="222" t="s">
        <v>67</v>
      </c>
      <c r="M1139" s="222">
        <v>60.5</v>
      </c>
      <c r="N1139" s="214">
        <v>132.0</v>
      </c>
      <c r="O1139" s="214">
        <v>288.0</v>
      </c>
      <c r="P1139" s="214">
        <v>2.0</v>
      </c>
      <c r="Q1139" s="214" t="b">
        <v>0</v>
      </c>
      <c r="R1139" s="214">
        <v>100.0</v>
      </c>
      <c r="S1139" s="214" t="s">
        <v>441</v>
      </c>
      <c r="T1139" s="214" t="s">
        <v>365</v>
      </c>
      <c r="U1139" s="214"/>
    </row>
    <row r="1140">
      <c r="A1140" s="221">
        <v>45951.06845711806</v>
      </c>
      <c r="B1140" s="214" t="s">
        <v>249</v>
      </c>
      <c r="C1140" s="214" t="s">
        <v>137</v>
      </c>
      <c r="D1140" s="214">
        <v>5.0</v>
      </c>
      <c r="E1140" s="214">
        <v>2.0</v>
      </c>
      <c r="F1140" s="214" t="s">
        <v>1452</v>
      </c>
      <c r="G1140" s="214" t="s">
        <v>61</v>
      </c>
      <c r="H1140" s="214" t="s">
        <v>43</v>
      </c>
      <c r="I1140" s="214"/>
      <c r="J1140" s="222" t="s">
        <v>67</v>
      </c>
      <c r="K1140" s="222">
        <v>-2.5</v>
      </c>
      <c r="L1140" s="222" t="s">
        <v>67</v>
      </c>
      <c r="M1140" s="222">
        <v>40.5</v>
      </c>
      <c r="N1140" s="214">
        <v>209.0</v>
      </c>
      <c r="O1140" s="214">
        <v>102.0</v>
      </c>
      <c r="P1140" s="214">
        <v>2.0</v>
      </c>
      <c r="Q1140" s="214" t="b">
        <v>0</v>
      </c>
      <c r="R1140" s="214">
        <v>100.0</v>
      </c>
      <c r="S1140" s="214" t="s">
        <v>407</v>
      </c>
      <c r="T1140" s="214" t="s">
        <v>321</v>
      </c>
      <c r="U1140" s="214"/>
    </row>
    <row r="1141">
      <c r="A1141" s="221">
        <v>45951.06845711806</v>
      </c>
      <c r="B1141" s="214" t="s">
        <v>249</v>
      </c>
      <c r="C1141" s="214" t="s">
        <v>111</v>
      </c>
      <c r="D1141" s="214">
        <v>3.0</v>
      </c>
      <c r="E1141" s="214">
        <v>4.0</v>
      </c>
      <c r="F1141" s="214" t="s">
        <v>1484</v>
      </c>
      <c r="G1141" s="214" t="s">
        <v>61</v>
      </c>
      <c r="H1141" s="214" t="s">
        <v>193</v>
      </c>
      <c r="I1141" s="214"/>
      <c r="J1141" s="222" t="s">
        <v>67</v>
      </c>
      <c r="K1141" s="222">
        <v>-5.5</v>
      </c>
      <c r="L1141" s="222" t="s">
        <v>67</v>
      </c>
      <c r="M1141" s="222">
        <v>50.5</v>
      </c>
      <c r="N1141" s="214">
        <v>182.0</v>
      </c>
      <c r="O1141" s="214">
        <v>146.0</v>
      </c>
      <c r="P1141" s="214">
        <v>2.0</v>
      </c>
      <c r="Q1141" s="214" t="b">
        <v>0</v>
      </c>
      <c r="R1141" s="214">
        <v>100.0</v>
      </c>
      <c r="S1141" s="214" t="s">
        <v>317</v>
      </c>
      <c r="T1141" s="214" t="s">
        <v>321</v>
      </c>
      <c r="U1141" s="214"/>
    </row>
    <row r="1142">
      <c r="A1142" s="221">
        <v>45951.06845711806</v>
      </c>
      <c r="B1142" s="214" t="s">
        <v>249</v>
      </c>
      <c r="C1142" s="214" t="s">
        <v>209</v>
      </c>
      <c r="D1142" s="214">
        <v>6.0</v>
      </c>
      <c r="E1142" s="214">
        <v>1.0</v>
      </c>
      <c r="F1142" s="214" t="s">
        <v>1500</v>
      </c>
      <c r="G1142" s="214" t="s">
        <v>61</v>
      </c>
      <c r="H1142" s="214" t="s">
        <v>96</v>
      </c>
      <c r="I1142" s="214"/>
      <c r="J1142" s="222" t="s">
        <v>67</v>
      </c>
      <c r="K1142" s="222">
        <v>7.5</v>
      </c>
      <c r="L1142" s="222" t="s">
        <v>67</v>
      </c>
      <c r="M1142" s="222">
        <v>56.5</v>
      </c>
      <c r="N1142" s="214">
        <v>262.0</v>
      </c>
      <c r="O1142" s="214">
        <v>158.0</v>
      </c>
      <c r="P1142" s="214">
        <v>2.0</v>
      </c>
      <c r="Q1142" s="214" t="b">
        <v>1</v>
      </c>
      <c r="R1142" s="214">
        <v>100.0</v>
      </c>
      <c r="S1142" s="214" t="s">
        <v>556</v>
      </c>
      <c r="T1142" s="214" t="s">
        <v>321</v>
      </c>
      <c r="U1142" s="214"/>
    </row>
    <row r="1143">
      <c r="A1143" s="221">
        <v>45951.06845711806</v>
      </c>
      <c r="B1143" s="214" t="s">
        <v>249</v>
      </c>
      <c r="C1143" s="214" t="s">
        <v>159</v>
      </c>
      <c r="D1143" s="214">
        <v>1.0</v>
      </c>
      <c r="E1143" s="214">
        <v>6.0</v>
      </c>
      <c r="F1143" s="214" t="s">
        <v>1509</v>
      </c>
      <c r="G1143" s="214" t="s">
        <v>61</v>
      </c>
      <c r="H1143" s="214" t="s">
        <v>493</v>
      </c>
      <c r="I1143" s="214"/>
      <c r="J1143" s="222" t="s">
        <v>67</v>
      </c>
      <c r="K1143" s="222">
        <v>11.5</v>
      </c>
      <c r="L1143" s="222" t="s">
        <v>67</v>
      </c>
      <c r="M1143" s="222">
        <v>47.5</v>
      </c>
      <c r="N1143" s="214">
        <v>120.0</v>
      </c>
      <c r="O1143" s="214">
        <v>244.0</v>
      </c>
      <c r="P1143" s="214">
        <v>2.0</v>
      </c>
      <c r="Q1143" s="214" t="b">
        <v>1</v>
      </c>
      <c r="R1143" s="214">
        <v>100.0</v>
      </c>
      <c r="S1143" s="214" t="s">
        <v>361</v>
      </c>
      <c r="T1143" s="214" t="s">
        <v>365</v>
      </c>
      <c r="U1143" s="214"/>
    </row>
    <row r="1144">
      <c r="A1144" s="221">
        <v>45951.06845711806</v>
      </c>
      <c r="B1144" s="214" t="s">
        <v>249</v>
      </c>
      <c r="C1144" s="214" t="s">
        <v>167</v>
      </c>
      <c r="D1144" s="214">
        <v>4.0</v>
      </c>
      <c r="E1144" s="214">
        <v>3.0</v>
      </c>
      <c r="F1144" s="214" t="s">
        <v>1456</v>
      </c>
      <c r="G1144" s="214" t="s">
        <v>61</v>
      </c>
      <c r="H1144" s="214" t="s">
        <v>43</v>
      </c>
      <c r="I1144" s="214"/>
      <c r="J1144" s="222" t="s">
        <v>67</v>
      </c>
      <c r="K1144" s="222">
        <v>-16.5</v>
      </c>
      <c r="L1144" s="222" t="s">
        <v>67</v>
      </c>
      <c r="M1144" s="222">
        <v>46.5</v>
      </c>
      <c r="N1144" s="214">
        <v>179.0</v>
      </c>
      <c r="O1144" s="214">
        <v>149.0</v>
      </c>
      <c r="P1144" s="214">
        <v>2.0</v>
      </c>
      <c r="Q1144" s="214" t="b">
        <v>1</v>
      </c>
      <c r="R1144" s="214">
        <v>100.0</v>
      </c>
      <c r="S1144" s="214" t="s">
        <v>530</v>
      </c>
      <c r="T1144" s="214" t="s">
        <v>365</v>
      </c>
      <c r="U1144" s="214"/>
    </row>
    <row r="1145">
      <c r="A1145" s="221">
        <v>45951.06845711806</v>
      </c>
      <c r="B1145" s="214" t="s">
        <v>249</v>
      </c>
      <c r="C1145" s="214" t="s">
        <v>124</v>
      </c>
      <c r="D1145" s="214">
        <v>4.0</v>
      </c>
      <c r="E1145" s="214">
        <v>3.0</v>
      </c>
      <c r="F1145" s="214" t="s">
        <v>1469</v>
      </c>
      <c r="G1145" s="214" t="s">
        <v>61</v>
      </c>
      <c r="H1145" s="214" t="s">
        <v>95</v>
      </c>
      <c r="I1145" s="214"/>
      <c r="J1145" s="222" t="s">
        <v>67</v>
      </c>
      <c r="K1145" s="222">
        <v>2.5</v>
      </c>
      <c r="L1145" s="222" t="s">
        <v>67</v>
      </c>
      <c r="M1145" s="222">
        <v>64.5</v>
      </c>
      <c r="N1145" s="214">
        <v>254.0</v>
      </c>
      <c r="O1145" s="214">
        <v>220.0</v>
      </c>
      <c r="P1145" s="214">
        <v>2.0</v>
      </c>
      <c r="Q1145" s="214" t="b">
        <v>0</v>
      </c>
      <c r="R1145" s="214">
        <v>100.0</v>
      </c>
      <c r="S1145" s="214" t="s">
        <v>471</v>
      </c>
      <c r="T1145" s="214" t="s">
        <v>321</v>
      </c>
      <c r="U1145" s="214"/>
    </row>
    <row r="1146">
      <c r="A1146" s="221">
        <v>45951.06845711806</v>
      </c>
      <c r="B1146" s="214" t="s">
        <v>249</v>
      </c>
      <c r="C1146" s="214" t="s">
        <v>112</v>
      </c>
      <c r="D1146" s="214">
        <v>4.0</v>
      </c>
      <c r="E1146" s="214">
        <v>3.0</v>
      </c>
      <c r="F1146" s="214" t="s">
        <v>1510</v>
      </c>
      <c r="G1146" s="214" t="s">
        <v>61</v>
      </c>
      <c r="H1146" s="214" t="s">
        <v>395</v>
      </c>
      <c r="I1146" s="214"/>
      <c r="J1146" s="222" t="s">
        <v>67</v>
      </c>
      <c r="K1146" s="222">
        <v>-1.5</v>
      </c>
      <c r="L1146" s="222" t="s">
        <v>67</v>
      </c>
      <c r="M1146" s="222">
        <v>60.5</v>
      </c>
      <c r="N1146" s="214">
        <v>237.0</v>
      </c>
      <c r="O1146" s="214">
        <v>180.0</v>
      </c>
      <c r="P1146" s="214">
        <v>2.0</v>
      </c>
      <c r="Q1146" s="214" t="b">
        <v>1</v>
      </c>
      <c r="R1146" s="214">
        <v>100.0</v>
      </c>
      <c r="S1146" s="214" t="s">
        <v>317</v>
      </c>
      <c r="T1146" s="214" t="s">
        <v>321</v>
      </c>
      <c r="U1146" s="214"/>
    </row>
    <row r="1147">
      <c r="A1147" s="221">
        <v>45951.06845711806</v>
      </c>
      <c r="B1147" s="214"/>
      <c r="C1147" s="214"/>
      <c r="D1147" s="214"/>
      <c r="E1147" s="214"/>
      <c r="F1147" s="214"/>
      <c r="G1147" s="214"/>
      <c r="H1147" s="214"/>
      <c r="I1147" s="214"/>
      <c r="J1147" s="222"/>
      <c r="K1147" s="222"/>
      <c r="L1147" s="222"/>
      <c r="M1147" s="222"/>
      <c r="N1147" s="214"/>
      <c r="O1147" s="214"/>
      <c r="P1147" s="214"/>
      <c r="Q1147" s="214"/>
      <c r="R1147" s="214"/>
      <c r="S1147" s="214"/>
      <c r="T1147" s="214"/>
      <c r="U1147" s="214"/>
    </row>
    <row r="1148">
      <c r="A1148" s="221">
        <v>45951.06845711806</v>
      </c>
      <c r="B1148" s="214" t="s">
        <v>395</v>
      </c>
      <c r="C1148" s="214" t="s">
        <v>175</v>
      </c>
      <c r="D1148" s="214">
        <v>4.0</v>
      </c>
      <c r="E1148" s="214">
        <v>3.0</v>
      </c>
      <c r="F1148" s="214"/>
      <c r="G1148" s="214"/>
      <c r="H1148" s="214"/>
      <c r="I1148" s="214"/>
      <c r="J1148" s="222"/>
      <c r="K1148" s="222"/>
      <c r="L1148" s="222"/>
      <c r="M1148" s="222"/>
      <c r="N1148" s="214">
        <v>160.0</v>
      </c>
      <c r="O1148" s="214">
        <v>124.0</v>
      </c>
      <c r="P1148" s="214">
        <v>0.0</v>
      </c>
      <c r="Q1148" s="214" t="b">
        <v>1</v>
      </c>
      <c r="R1148" s="214">
        <v>59.0</v>
      </c>
      <c r="S1148" s="214" t="s">
        <v>530</v>
      </c>
      <c r="T1148" s="214" t="s">
        <v>365</v>
      </c>
      <c r="U1148" s="214"/>
    </row>
    <row r="1149">
      <c r="A1149" s="221">
        <v>45951.06845711806</v>
      </c>
      <c r="B1149" s="214" t="s">
        <v>395</v>
      </c>
      <c r="C1149" s="214" t="s">
        <v>179</v>
      </c>
      <c r="D1149" s="214">
        <v>5.0</v>
      </c>
      <c r="E1149" s="214">
        <v>2.0</v>
      </c>
      <c r="F1149" s="214"/>
      <c r="G1149" s="214"/>
      <c r="H1149" s="214"/>
      <c r="I1149" s="214"/>
      <c r="J1149" s="222"/>
      <c r="K1149" s="222"/>
      <c r="L1149" s="222"/>
      <c r="M1149" s="222"/>
      <c r="N1149" s="214">
        <v>205.0</v>
      </c>
      <c r="O1149" s="214">
        <v>166.0</v>
      </c>
      <c r="P1149" s="214">
        <v>0.0</v>
      </c>
      <c r="Q1149" s="214" t="b">
        <v>1</v>
      </c>
      <c r="R1149" s="214">
        <v>59.0</v>
      </c>
      <c r="S1149" s="214" t="s">
        <v>525</v>
      </c>
      <c r="T1149" s="214" t="s">
        <v>365</v>
      </c>
      <c r="U1149" s="214"/>
    </row>
    <row r="1150">
      <c r="A1150" s="221">
        <v>45951.06845711806</v>
      </c>
      <c r="B1150" s="214" t="s">
        <v>395</v>
      </c>
      <c r="C1150" s="214" t="s">
        <v>147</v>
      </c>
      <c r="D1150" s="214">
        <v>3.0</v>
      </c>
      <c r="E1150" s="214">
        <v>4.0</v>
      </c>
      <c r="F1150" s="214" t="s">
        <v>1486</v>
      </c>
      <c r="G1150" s="214" t="s">
        <v>61</v>
      </c>
      <c r="H1150" s="214" t="s">
        <v>311</v>
      </c>
      <c r="I1150" s="214"/>
      <c r="J1150" s="222" t="s">
        <v>67</v>
      </c>
      <c r="K1150" s="222">
        <v>17.5</v>
      </c>
      <c r="L1150" s="222" t="s">
        <v>67</v>
      </c>
      <c r="M1150" s="222">
        <v>60.5</v>
      </c>
      <c r="N1150" s="214">
        <v>224.0</v>
      </c>
      <c r="O1150" s="214">
        <v>221.0</v>
      </c>
      <c r="P1150" s="214">
        <v>2.0</v>
      </c>
      <c r="Q1150" s="214" t="b">
        <v>1</v>
      </c>
      <c r="R1150" s="214">
        <v>100.0</v>
      </c>
      <c r="S1150" s="214" t="s">
        <v>407</v>
      </c>
      <c r="T1150" s="214" t="s">
        <v>321</v>
      </c>
      <c r="U1150" s="214"/>
    </row>
    <row r="1151">
      <c r="A1151" s="221">
        <v>45951.06845711806</v>
      </c>
      <c r="B1151" s="214" t="s">
        <v>395</v>
      </c>
      <c r="C1151" s="214" t="s">
        <v>231</v>
      </c>
      <c r="D1151" s="214">
        <v>6.0</v>
      </c>
      <c r="E1151" s="214">
        <v>1.0</v>
      </c>
      <c r="F1151" s="214" t="s">
        <v>1477</v>
      </c>
      <c r="G1151" s="214" t="s">
        <v>61</v>
      </c>
      <c r="H1151" s="214" t="s">
        <v>62</v>
      </c>
      <c r="I1151" s="214"/>
      <c r="J1151" s="222" t="s">
        <v>67</v>
      </c>
      <c r="K1151" s="222">
        <v>1.5</v>
      </c>
      <c r="L1151" s="222" t="s">
        <v>67</v>
      </c>
      <c r="M1151" s="222">
        <v>47.5</v>
      </c>
      <c r="N1151" s="214">
        <v>226.0</v>
      </c>
      <c r="O1151" s="214">
        <v>109.0</v>
      </c>
      <c r="P1151" s="214">
        <v>2.0</v>
      </c>
      <c r="Q1151" s="214" t="b">
        <v>1</v>
      </c>
      <c r="R1151" s="214">
        <v>100.0</v>
      </c>
      <c r="S1151" s="214" t="s">
        <v>441</v>
      </c>
      <c r="T1151" s="214" t="s">
        <v>365</v>
      </c>
      <c r="U1151" s="214"/>
    </row>
    <row r="1152">
      <c r="A1152" s="221">
        <v>45951.06845711806</v>
      </c>
      <c r="B1152" s="214" t="s">
        <v>395</v>
      </c>
      <c r="C1152" s="214" t="s">
        <v>114</v>
      </c>
      <c r="D1152" s="214">
        <v>7.0</v>
      </c>
      <c r="E1152" s="214">
        <v>0.0</v>
      </c>
      <c r="F1152" s="214" t="s">
        <v>1510</v>
      </c>
      <c r="G1152" s="214" t="s">
        <v>61</v>
      </c>
      <c r="H1152" s="214" t="s">
        <v>249</v>
      </c>
      <c r="I1152" s="214"/>
      <c r="J1152" s="222" t="s">
        <v>67</v>
      </c>
      <c r="K1152" s="222">
        <v>1.5</v>
      </c>
      <c r="L1152" s="222" t="s">
        <v>67</v>
      </c>
      <c r="M1152" s="222">
        <v>60.5</v>
      </c>
      <c r="N1152" s="214">
        <v>247.0</v>
      </c>
      <c r="O1152" s="214">
        <v>144.0</v>
      </c>
      <c r="P1152" s="214">
        <v>2.0</v>
      </c>
      <c r="Q1152" s="214" t="b">
        <v>0</v>
      </c>
      <c r="R1152" s="214">
        <v>100.0</v>
      </c>
      <c r="S1152" s="214" t="s">
        <v>317</v>
      </c>
      <c r="T1152" s="214" t="s">
        <v>321</v>
      </c>
      <c r="U1152" s="214"/>
    </row>
    <row r="1153">
      <c r="A1153" s="221">
        <v>45951.06845711806</v>
      </c>
      <c r="B1153" s="214" t="s">
        <v>395</v>
      </c>
      <c r="C1153" s="214" t="s">
        <v>225</v>
      </c>
      <c r="D1153" s="214">
        <v>3.0</v>
      </c>
      <c r="E1153" s="214">
        <v>4.0</v>
      </c>
      <c r="F1153" s="214" t="s">
        <v>1511</v>
      </c>
      <c r="G1153" s="214" t="s">
        <v>61</v>
      </c>
      <c r="H1153" s="214" t="s">
        <v>132</v>
      </c>
      <c r="I1153" s="214"/>
      <c r="J1153" s="222" t="s">
        <v>67</v>
      </c>
      <c r="K1153" s="222">
        <v>9.5</v>
      </c>
      <c r="L1153" s="222" t="s">
        <v>67</v>
      </c>
      <c r="M1153" s="222">
        <v>45.5</v>
      </c>
      <c r="N1153" s="214">
        <v>167.0</v>
      </c>
      <c r="O1153" s="214">
        <v>168.0</v>
      </c>
      <c r="P1153" s="214">
        <v>2.0</v>
      </c>
      <c r="Q1153" s="214" t="b">
        <v>1</v>
      </c>
      <c r="R1153" s="214">
        <v>100.0</v>
      </c>
      <c r="S1153" s="214" t="s">
        <v>361</v>
      </c>
      <c r="T1153" s="214" t="s">
        <v>365</v>
      </c>
      <c r="U1153" s="214"/>
    </row>
    <row r="1154">
      <c r="A1154" s="221">
        <v>45951.06845711806</v>
      </c>
      <c r="B1154" s="214" t="s">
        <v>395</v>
      </c>
      <c r="C1154" s="214" t="s">
        <v>213</v>
      </c>
      <c r="D1154" s="214">
        <v>6.0</v>
      </c>
      <c r="E1154" s="214">
        <v>1.0</v>
      </c>
      <c r="F1154" s="214" t="s">
        <v>1489</v>
      </c>
      <c r="G1154" s="214" t="s">
        <v>61</v>
      </c>
      <c r="H1154" s="214" t="s">
        <v>311</v>
      </c>
      <c r="I1154" s="214"/>
      <c r="J1154" s="222" t="s">
        <v>67</v>
      </c>
      <c r="K1154" s="222">
        <v>-3.0</v>
      </c>
      <c r="L1154" s="222" t="s">
        <v>67</v>
      </c>
      <c r="M1154" s="222">
        <v>49.5</v>
      </c>
      <c r="N1154" s="214">
        <v>290.0</v>
      </c>
      <c r="O1154" s="214">
        <v>140.0</v>
      </c>
      <c r="P1154" s="214">
        <v>2.0</v>
      </c>
      <c r="Q1154" s="214" t="b">
        <v>1</v>
      </c>
      <c r="R1154" s="214">
        <v>100.0</v>
      </c>
      <c r="S1154" s="214" t="s">
        <v>556</v>
      </c>
      <c r="T1154" s="214" t="s">
        <v>321</v>
      </c>
      <c r="U1154" s="214"/>
    </row>
    <row r="1155">
      <c r="A1155" s="221">
        <v>45951.06845711806</v>
      </c>
      <c r="B1155" s="214" t="s">
        <v>395</v>
      </c>
      <c r="C1155" s="214" t="s">
        <v>99</v>
      </c>
      <c r="D1155" s="214">
        <v>5.0</v>
      </c>
      <c r="E1155" s="214">
        <v>2.0</v>
      </c>
      <c r="F1155" s="214" t="s">
        <v>1512</v>
      </c>
      <c r="G1155" s="214" t="s">
        <v>61</v>
      </c>
      <c r="H1155" s="214" t="s">
        <v>493</v>
      </c>
      <c r="I1155" s="214"/>
      <c r="J1155" s="222" t="s">
        <v>67</v>
      </c>
      <c r="K1155" s="222">
        <v>1.5</v>
      </c>
      <c r="L1155" s="222" t="s">
        <v>67</v>
      </c>
      <c r="M1155" s="222">
        <v>57.5</v>
      </c>
      <c r="N1155" s="214">
        <v>260.0</v>
      </c>
      <c r="O1155" s="214">
        <v>159.0</v>
      </c>
      <c r="P1155" s="214">
        <v>2.0</v>
      </c>
      <c r="Q1155" s="214" t="b">
        <v>1</v>
      </c>
      <c r="R1155" s="214">
        <v>100.0</v>
      </c>
      <c r="S1155" s="214" t="s">
        <v>725</v>
      </c>
      <c r="T1155" s="214"/>
      <c r="U1155" s="214"/>
    </row>
    <row r="1156">
      <c r="A1156" s="221">
        <v>45951.06845711806</v>
      </c>
      <c r="B1156" s="214" t="s">
        <v>395</v>
      </c>
      <c r="C1156" s="214" t="s">
        <v>101</v>
      </c>
      <c r="D1156" s="214">
        <v>6.0</v>
      </c>
      <c r="E1156" s="214">
        <v>1.0</v>
      </c>
      <c r="F1156" s="214" t="s">
        <v>1513</v>
      </c>
      <c r="G1156" s="214" t="s">
        <v>61</v>
      </c>
      <c r="H1156" s="214" t="s">
        <v>493</v>
      </c>
      <c r="I1156" s="214"/>
      <c r="J1156" s="222" t="s">
        <v>67</v>
      </c>
      <c r="K1156" s="222">
        <v>1.5</v>
      </c>
      <c r="L1156" s="222" t="s">
        <v>67</v>
      </c>
      <c r="M1156" s="222">
        <v>47.5</v>
      </c>
      <c r="N1156" s="214">
        <v>206.0</v>
      </c>
      <c r="O1156" s="214">
        <v>133.0</v>
      </c>
      <c r="P1156" s="214">
        <v>2.0</v>
      </c>
      <c r="Q1156" s="214" t="b">
        <v>1</v>
      </c>
      <c r="R1156" s="214">
        <v>100.0</v>
      </c>
      <c r="S1156" s="214" t="s">
        <v>471</v>
      </c>
      <c r="T1156" s="214" t="s">
        <v>321</v>
      </c>
      <c r="U1156" s="214"/>
    </row>
    <row r="1157">
      <c r="A1157" s="221">
        <v>45951.06845711806</v>
      </c>
      <c r="B1157" s="214" t="s">
        <v>395</v>
      </c>
      <c r="C1157" s="214" t="s">
        <v>162</v>
      </c>
      <c r="D1157" s="214">
        <v>5.0</v>
      </c>
      <c r="E1157" s="214">
        <v>2.0</v>
      </c>
      <c r="F1157" s="214" t="s">
        <v>1514</v>
      </c>
      <c r="G1157" s="214" t="s">
        <v>61</v>
      </c>
      <c r="H1157" s="214" t="s">
        <v>132</v>
      </c>
      <c r="I1157" s="214"/>
      <c r="J1157" s="222" t="s">
        <v>67</v>
      </c>
      <c r="K1157" s="222">
        <v>-8.5</v>
      </c>
      <c r="L1157" s="222" t="s">
        <v>67</v>
      </c>
      <c r="M1157" s="222">
        <v>56.5</v>
      </c>
      <c r="N1157" s="214">
        <v>208.0</v>
      </c>
      <c r="O1157" s="214">
        <v>162.0</v>
      </c>
      <c r="P1157" s="214">
        <v>2.0</v>
      </c>
      <c r="Q1157" s="214" t="b">
        <v>1</v>
      </c>
      <c r="R1157" s="214">
        <v>100.0</v>
      </c>
      <c r="S1157" s="214" t="s">
        <v>535</v>
      </c>
      <c r="T1157" s="214" t="s">
        <v>365</v>
      </c>
      <c r="U1157" s="214"/>
    </row>
    <row r="1158">
      <c r="A1158" s="221">
        <v>45951.06845711806</v>
      </c>
      <c r="B1158" s="214"/>
      <c r="C1158" s="214"/>
      <c r="D1158" s="214"/>
      <c r="E1158" s="214"/>
      <c r="F1158" s="214"/>
      <c r="G1158" s="214"/>
      <c r="H1158" s="214"/>
      <c r="I1158" s="214"/>
      <c r="J1158" s="222"/>
      <c r="K1158" s="222"/>
      <c r="L1158" s="222"/>
      <c r="M1158" s="222"/>
      <c r="N1158" s="214"/>
      <c r="O1158" s="214"/>
      <c r="P1158" s="214"/>
      <c r="Q1158" s="214"/>
      <c r="R1158" s="214"/>
      <c r="S1158" s="214"/>
      <c r="T1158" s="214"/>
      <c r="U1158" s="214"/>
    </row>
    <row r="1159">
      <c r="A1159" s="221">
        <v>45951.06845711806</v>
      </c>
      <c r="B1159" s="214" t="s">
        <v>132</v>
      </c>
      <c r="C1159" s="214" t="s">
        <v>136</v>
      </c>
      <c r="D1159" s="214">
        <v>7.0</v>
      </c>
      <c r="E1159" s="214">
        <v>0.0</v>
      </c>
      <c r="F1159" s="214" t="s">
        <v>1495</v>
      </c>
      <c r="G1159" s="214" t="s">
        <v>61</v>
      </c>
      <c r="H1159" s="214" t="s">
        <v>224</v>
      </c>
      <c r="I1159" s="214"/>
      <c r="J1159" s="222" t="s">
        <v>67</v>
      </c>
      <c r="K1159" s="222">
        <v>-27.5</v>
      </c>
      <c r="L1159" s="222" t="s">
        <v>67</v>
      </c>
      <c r="M1159" s="222">
        <v>51.5</v>
      </c>
      <c r="N1159" s="214">
        <v>307.0</v>
      </c>
      <c r="O1159" s="214">
        <v>81.0</v>
      </c>
      <c r="P1159" s="214">
        <v>2.0</v>
      </c>
      <c r="Q1159" s="214" t="b">
        <v>0</v>
      </c>
      <c r="R1159" s="214">
        <v>100.0</v>
      </c>
      <c r="S1159" s="214" t="s">
        <v>407</v>
      </c>
      <c r="T1159" s="214" t="s">
        <v>321</v>
      </c>
      <c r="U1159" s="214"/>
    </row>
    <row r="1160">
      <c r="A1160" s="221">
        <v>45951.06845711806</v>
      </c>
      <c r="B1160" s="214" t="s">
        <v>132</v>
      </c>
      <c r="C1160" s="214" t="s">
        <v>187</v>
      </c>
      <c r="D1160" s="214">
        <v>3.0</v>
      </c>
      <c r="E1160" s="214">
        <v>4.0</v>
      </c>
      <c r="F1160" s="214" t="s">
        <v>1455</v>
      </c>
      <c r="G1160" s="214" t="s">
        <v>61</v>
      </c>
      <c r="H1160" s="214" t="s">
        <v>43</v>
      </c>
      <c r="I1160" s="214"/>
      <c r="J1160" s="222" t="s">
        <v>67</v>
      </c>
      <c r="K1160" s="222">
        <v>4.0</v>
      </c>
      <c r="L1160" s="222" t="s">
        <v>67</v>
      </c>
      <c r="M1160" s="222">
        <v>57.5</v>
      </c>
      <c r="N1160" s="214">
        <v>140.0</v>
      </c>
      <c r="O1160" s="214">
        <v>158.0</v>
      </c>
      <c r="P1160" s="214">
        <v>2.0</v>
      </c>
      <c r="Q1160" s="214" t="b">
        <v>1</v>
      </c>
      <c r="R1160" s="214">
        <v>100.0</v>
      </c>
      <c r="S1160" s="214" t="s">
        <v>525</v>
      </c>
      <c r="T1160" s="214" t="s">
        <v>365</v>
      </c>
      <c r="U1160" s="214"/>
    </row>
    <row r="1161">
      <c r="A1161" s="221">
        <v>45951.06845711806</v>
      </c>
      <c r="B1161" s="214" t="s">
        <v>132</v>
      </c>
      <c r="C1161" s="214" t="s">
        <v>134</v>
      </c>
      <c r="D1161" s="214">
        <v>2.0</v>
      </c>
      <c r="E1161" s="214">
        <v>5.0</v>
      </c>
      <c r="F1161" s="214" t="s">
        <v>1507</v>
      </c>
      <c r="G1161" s="214" t="s">
        <v>61</v>
      </c>
      <c r="H1161" s="214" t="s">
        <v>156</v>
      </c>
      <c r="I1161" s="214"/>
      <c r="J1161" s="222" t="s">
        <v>67</v>
      </c>
      <c r="K1161" s="222">
        <v>7.5</v>
      </c>
      <c r="L1161" s="222" t="s">
        <v>67</v>
      </c>
      <c r="M1161" s="222">
        <v>46.5</v>
      </c>
      <c r="N1161" s="214">
        <v>147.0</v>
      </c>
      <c r="O1161" s="214">
        <v>216.0</v>
      </c>
      <c r="P1161" s="214">
        <v>2.0</v>
      </c>
      <c r="Q1161" s="214" t="b">
        <v>0</v>
      </c>
      <c r="R1161" s="214">
        <v>100.0</v>
      </c>
      <c r="S1161" s="214" t="s">
        <v>471</v>
      </c>
      <c r="T1161" s="214" t="s">
        <v>321</v>
      </c>
      <c r="U1161" s="214"/>
    </row>
    <row r="1162">
      <c r="A1162" s="221">
        <v>45951.06845711806</v>
      </c>
      <c r="B1162" s="214" t="s">
        <v>132</v>
      </c>
      <c r="C1162" s="214" t="s">
        <v>210</v>
      </c>
      <c r="D1162" s="214">
        <v>3.0</v>
      </c>
      <c r="E1162" s="214">
        <v>4.0</v>
      </c>
      <c r="F1162" s="214" t="s">
        <v>1470</v>
      </c>
      <c r="G1162" s="214" t="s">
        <v>61</v>
      </c>
      <c r="H1162" s="214" t="s">
        <v>95</v>
      </c>
      <c r="I1162" s="214"/>
      <c r="J1162" s="222" t="s">
        <v>67</v>
      </c>
      <c r="K1162" s="222">
        <v>5.5</v>
      </c>
      <c r="L1162" s="222" t="s">
        <v>67</v>
      </c>
      <c r="M1162" s="222">
        <v>43.5</v>
      </c>
      <c r="N1162" s="214">
        <v>141.0</v>
      </c>
      <c r="O1162" s="214">
        <v>140.0</v>
      </c>
      <c r="P1162" s="214">
        <v>2.0</v>
      </c>
      <c r="Q1162" s="214" t="b">
        <v>0</v>
      </c>
      <c r="R1162" s="214">
        <v>100.0</v>
      </c>
      <c r="S1162" s="214" t="s">
        <v>556</v>
      </c>
      <c r="T1162" s="214" t="s">
        <v>321</v>
      </c>
      <c r="U1162" s="214"/>
    </row>
    <row r="1163">
      <c r="A1163" s="221">
        <v>45951.06845711806</v>
      </c>
      <c r="B1163" s="214" t="s">
        <v>132</v>
      </c>
      <c r="C1163" s="214" t="s">
        <v>107</v>
      </c>
      <c r="D1163" s="214">
        <v>6.0</v>
      </c>
      <c r="E1163" s="214">
        <v>1.0</v>
      </c>
      <c r="F1163" s="214" t="s">
        <v>1511</v>
      </c>
      <c r="G1163" s="214" t="s">
        <v>61</v>
      </c>
      <c r="H1163" s="214" t="s">
        <v>395</v>
      </c>
      <c r="I1163" s="214"/>
      <c r="J1163" s="222" t="s">
        <v>67</v>
      </c>
      <c r="K1163" s="222">
        <v>-9.5</v>
      </c>
      <c r="L1163" s="222" t="s">
        <v>67</v>
      </c>
      <c r="M1163" s="222">
        <v>45.5</v>
      </c>
      <c r="N1163" s="214">
        <v>181.0</v>
      </c>
      <c r="O1163" s="214">
        <v>156.0</v>
      </c>
      <c r="P1163" s="214">
        <v>2.0</v>
      </c>
      <c r="Q1163" s="214" t="b">
        <v>0</v>
      </c>
      <c r="R1163" s="214">
        <v>100.0</v>
      </c>
      <c r="S1163" s="214" t="s">
        <v>361</v>
      </c>
      <c r="T1163" s="214" t="s">
        <v>365</v>
      </c>
      <c r="U1163" s="214"/>
    </row>
    <row r="1164">
      <c r="A1164" s="221">
        <v>45951.06845711806</v>
      </c>
      <c r="B1164" s="214" t="s">
        <v>132</v>
      </c>
      <c r="C1164" s="214" t="s">
        <v>168</v>
      </c>
      <c r="D1164" s="214">
        <v>4.0</v>
      </c>
      <c r="E1164" s="214">
        <v>3.0</v>
      </c>
      <c r="F1164" s="214" t="s">
        <v>1496</v>
      </c>
      <c r="G1164" s="214" t="s">
        <v>61</v>
      </c>
      <c r="H1164" s="214" t="s">
        <v>224</v>
      </c>
      <c r="I1164" s="214"/>
      <c r="J1164" s="222" t="s">
        <v>67</v>
      </c>
      <c r="K1164" s="222">
        <v>3.5</v>
      </c>
      <c r="L1164" s="222" t="s">
        <v>67</v>
      </c>
      <c r="M1164" s="222">
        <v>43.5</v>
      </c>
      <c r="N1164" s="214">
        <v>158.0</v>
      </c>
      <c r="O1164" s="214">
        <v>179.0</v>
      </c>
      <c r="P1164" s="214">
        <v>2.0</v>
      </c>
      <c r="Q1164" s="214" t="b">
        <v>1</v>
      </c>
      <c r="R1164" s="214">
        <v>100.0</v>
      </c>
      <c r="S1164" s="214" t="s">
        <v>530</v>
      </c>
      <c r="T1164" s="214" t="s">
        <v>365</v>
      </c>
      <c r="U1164" s="214"/>
    </row>
    <row r="1165">
      <c r="A1165" s="221">
        <v>45951.06845711806</v>
      </c>
      <c r="B1165" s="214" t="s">
        <v>132</v>
      </c>
      <c r="C1165" s="214" t="s">
        <v>115</v>
      </c>
      <c r="D1165" s="214">
        <v>5.0</v>
      </c>
      <c r="E1165" s="214">
        <v>1.0</v>
      </c>
      <c r="F1165" s="214" t="s">
        <v>1508</v>
      </c>
      <c r="G1165" s="214" t="s">
        <v>61</v>
      </c>
      <c r="H1165" s="214" t="s">
        <v>156</v>
      </c>
      <c r="I1165" s="214"/>
      <c r="J1165" s="222" t="s">
        <v>67</v>
      </c>
      <c r="K1165" s="222">
        <v>13.5</v>
      </c>
      <c r="L1165" s="222" t="s">
        <v>67</v>
      </c>
      <c r="M1165" s="222">
        <v>50.5</v>
      </c>
      <c r="N1165" s="214">
        <v>204.0</v>
      </c>
      <c r="O1165" s="214">
        <v>126.0</v>
      </c>
      <c r="P1165" s="214">
        <v>2.0</v>
      </c>
      <c r="Q1165" s="214" t="b">
        <v>0</v>
      </c>
      <c r="R1165" s="214">
        <v>100.0</v>
      </c>
      <c r="S1165" s="214" t="s">
        <v>317</v>
      </c>
      <c r="T1165" s="214" t="s">
        <v>321</v>
      </c>
      <c r="U1165" s="214"/>
    </row>
    <row r="1166">
      <c r="A1166" s="221">
        <v>45951.06845711806</v>
      </c>
      <c r="B1166" s="214" t="s">
        <v>132</v>
      </c>
      <c r="C1166" s="214" t="s">
        <v>545</v>
      </c>
      <c r="D1166" s="214">
        <v>3.0</v>
      </c>
      <c r="E1166" s="214">
        <v>3.0</v>
      </c>
      <c r="F1166" s="214" t="s">
        <v>1514</v>
      </c>
      <c r="G1166" s="214" t="s">
        <v>61</v>
      </c>
      <c r="H1166" s="214" t="s">
        <v>395</v>
      </c>
      <c r="I1166" s="214"/>
      <c r="J1166" s="222" t="s">
        <v>67</v>
      </c>
      <c r="K1166" s="222">
        <v>8.5</v>
      </c>
      <c r="L1166" s="222" t="s">
        <v>67</v>
      </c>
      <c r="M1166" s="222">
        <v>56.5</v>
      </c>
      <c r="N1166" s="214">
        <v>131.0</v>
      </c>
      <c r="O1166" s="214">
        <v>166.0</v>
      </c>
      <c r="P1166" s="214">
        <v>2.0</v>
      </c>
      <c r="Q1166" s="214" t="b">
        <v>0</v>
      </c>
      <c r="R1166" s="214">
        <v>100.0</v>
      </c>
      <c r="S1166" s="214" t="s">
        <v>535</v>
      </c>
      <c r="T1166" s="214" t="s">
        <v>365</v>
      </c>
      <c r="U1166" s="214"/>
    </row>
    <row r="1167">
      <c r="A1167" s="221">
        <v>45951.06845711806</v>
      </c>
      <c r="B1167" s="214" t="s">
        <v>132</v>
      </c>
      <c r="C1167" s="214" t="s">
        <v>215</v>
      </c>
      <c r="D1167" s="214">
        <v>3.0</v>
      </c>
      <c r="E1167" s="214">
        <v>4.0</v>
      </c>
      <c r="F1167" s="214" t="s">
        <v>1505</v>
      </c>
      <c r="G1167" s="214" t="s">
        <v>61</v>
      </c>
      <c r="H1167" s="214" t="s">
        <v>238</v>
      </c>
      <c r="I1167" s="214"/>
      <c r="J1167" s="222" t="s">
        <v>67</v>
      </c>
      <c r="K1167" s="222">
        <v>7.5</v>
      </c>
      <c r="L1167" s="222" t="s">
        <v>67</v>
      </c>
      <c r="M1167" s="222">
        <v>58.5</v>
      </c>
      <c r="N1167" s="214">
        <v>155.0</v>
      </c>
      <c r="O1167" s="214">
        <v>204.0</v>
      </c>
      <c r="P1167" s="214">
        <v>2.0</v>
      </c>
      <c r="Q1167" s="214" t="b">
        <v>0</v>
      </c>
      <c r="R1167" s="214">
        <v>100.0</v>
      </c>
      <c r="S1167" s="214" t="s">
        <v>441</v>
      </c>
      <c r="T1167" s="214" t="s">
        <v>365</v>
      </c>
      <c r="U1167" s="214"/>
    </row>
    <row r="1168">
      <c r="A1168" s="221">
        <v>45951.06845711806</v>
      </c>
      <c r="B1168" s="214" t="s">
        <v>132</v>
      </c>
      <c r="C1168" s="214" t="s">
        <v>131</v>
      </c>
      <c r="D1168" s="214">
        <v>5.0</v>
      </c>
      <c r="E1168" s="214">
        <v>2.0</v>
      </c>
      <c r="F1168" s="214" t="s">
        <v>1515</v>
      </c>
      <c r="G1168" s="214" t="s">
        <v>532</v>
      </c>
      <c r="H1168" s="214" t="s">
        <v>493</v>
      </c>
      <c r="I1168" s="214"/>
      <c r="J1168" s="222" t="s">
        <v>67</v>
      </c>
      <c r="K1168" s="222">
        <v>-12.5</v>
      </c>
      <c r="L1168" s="222" t="s">
        <v>67</v>
      </c>
      <c r="M1168" s="222">
        <v>43.5</v>
      </c>
      <c r="N1168" s="214">
        <v>187.0</v>
      </c>
      <c r="O1168" s="214">
        <v>79.0</v>
      </c>
      <c r="P1168" s="214">
        <v>2.0</v>
      </c>
      <c r="Q1168" s="214" t="b">
        <v>1</v>
      </c>
      <c r="R1168" s="214">
        <v>100.0</v>
      </c>
      <c r="S1168" s="214" t="s">
        <v>556</v>
      </c>
      <c r="T1168" s="214" t="s">
        <v>321</v>
      </c>
      <c r="U1168" s="214"/>
    </row>
    <row r="1169">
      <c r="A1169" s="221">
        <v>45951.06845711806</v>
      </c>
      <c r="B1169" s="214"/>
      <c r="C1169" s="214"/>
      <c r="D1169" s="214"/>
      <c r="E1169" s="214"/>
      <c r="F1169" s="214"/>
      <c r="G1169" s="214"/>
      <c r="H1169" s="214"/>
      <c r="I1169" s="214"/>
      <c r="J1169" s="222"/>
      <c r="K1169" s="222"/>
      <c r="L1169" s="222"/>
      <c r="M1169" s="222"/>
      <c r="N1169" s="214"/>
      <c r="O1169" s="214"/>
      <c r="P1169" s="214"/>
      <c r="Q1169" s="214"/>
      <c r="R1169" s="214"/>
      <c r="S1169" s="214"/>
      <c r="T1169" s="214"/>
      <c r="U1169" s="214"/>
    </row>
    <row r="1170">
      <c r="A1170" s="221">
        <v>45951.06845711806</v>
      </c>
      <c r="B1170" s="214" t="s">
        <v>493</v>
      </c>
      <c r="C1170" s="214" t="s">
        <v>123</v>
      </c>
      <c r="D1170" s="214">
        <v>4.0</v>
      </c>
      <c r="E1170" s="214">
        <v>2.0</v>
      </c>
      <c r="F1170" s="214"/>
      <c r="G1170" s="214"/>
      <c r="H1170" s="214"/>
      <c r="I1170" s="214"/>
      <c r="J1170" s="222"/>
      <c r="K1170" s="222"/>
      <c r="L1170" s="222"/>
      <c r="M1170" s="222"/>
      <c r="N1170" s="214">
        <v>174.0</v>
      </c>
      <c r="O1170" s="214">
        <v>120.0</v>
      </c>
      <c r="P1170" s="214">
        <v>0.0</v>
      </c>
      <c r="Q1170" s="214" t="b">
        <v>1</v>
      </c>
      <c r="R1170" s="214">
        <v>59.0</v>
      </c>
      <c r="S1170" s="214" t="s">
        <v>317</v>
      </c>
      <c r="T1170" s="214" t="s">
        <v>321</v>
      </c>
      <c r="U1170" s="214"/>
    </row>
    <row r="1171">
      <c r="A1171" s="221">
        <v>45951.06845711806</v>
      </c>
      <c r="B1171" s="214" t="s">
        <v>493</v>
      </c>
      <c r="C1171" s="214" t="s">
        <v>195</v>
      </c>
      <c r="D1171" s="214">
        <v>3.0</v>
      </c>
      <c r="E1171" s="214">
        <v>4.0</v>
      </c>
      <c r="F1171" s="214" t="s">
        <v>1492</v>
      </c>
      <c r="G1171" s="214" t="s">
        <v>61</v>
      </c>
      <c r="H1171" s="214" t="s">
        <v>224</v>
      </c>
      <c r="I1171" s="214"/>
      <c r="J1171" s="222" t="s">
        <v>67</v>
      </c>
      <c r="K1171" s="222">
        <v>17.5</v>
      </c>
      <c r="L1171" s="222" t="s">
        <v>67</v>
      </c>
      <c r="M1171" s="222">
        <v>54.5</v>
      </c>
      <c r="N1171" s="214">
        <v>133.0</v>
      </c>
      <c r="O1171" s="214">
        <v>194.0</v>
      </c>
      <c r="P1171" s="214">
        <v>2.0</v>
      </c>
      <c r="Q1171" s="214" t="b">
        <v>1</v>
      </c>
      <c r="R1171" s="214">
        <v>100.0</v>
      </c>
      <c r="S1171" s="214" t="s">
        <v>317</v>
      </c>
      <c r="T1171" s="214" t="s">
        <v>321</v>
      </c>
      <c r="U1171" s="214"/>
    </row>
    <row r="1172">
      <c r="A1172" s="221">
        <v>45951.06845711806</v>
      </c>
      <c r="B1172" s="214" t="s">
        <v>493</v>
      </c>
      <c r="C1172" s="214" t="s">
        <v>120</v>
      </c>
      <c r="D1172" s="214">
        <v>3.0</v>
      </c>
      <c r="E1172" s="214">
        <v>4.0</v>
      </c>
      <c r="F1172" s="214" t="s">
        <v>1503</v>
      </c>
      <c r="G1172" s="214" t="s">
        <v>61</v>
      </c>
      <c r="H1172" s="214" t="s">
        <v>238</v>
      </c>
      <c r="I1172" s="214"/>
      <c r="J1172" s="222" t="s">
        <v>67</v>
      </c>
      <c r="K1172" s="222">
        <v>10.5</v>
      </c>
      <c r="L1172" s="222" t="s">
        <v>67</v>
      </c>
      <c r="M1172" s="222">
        <v>54.5</v>
      </c>
      <c r="N1172" s="214">
        <v>187.0</v>
      </c>
      <c r="O1172" s="214">
        <v>209.0</v>
      </c>
      <c r="P1172" s="214">
        <v>2.0</v>
      </c>
      <c r="Q1172" s="214" t="b">
        <v>0</v>
      </c>
      <c r="R1172" s="214">
        <v>100.0</v>
      </c>
      <c r="S1172" s="214" t="s">
        <v>317</v>
      </c>
      <c r="T1172" s="214" t="s">
        <v>321</v>
      </c>
      <c r="U1172" s="214"/>
    </row>
    <row r="1173">
      <c r="A1173" s="221">
        <v>45951.06845711806</v>
      </c>
      <c r="B1173" s="214" t="s">
        <v>493</v>
      </c>
      <c r="C1173" s="214" t="s">
        <v>138</v>
      </c>
      <c r="D1173" s="214">
        <v>4.0</v>
      </c>
      <c r="E1173" s="214">
        <v>3.0</v>
      </c>
      <c r="F1173" s="214" t="s">
        <v>1474</v>
      </c>
      <c r="G1173" s="214" t="s">
        <v>61</v>
      </c>
      <c r="H1173" s="214" t="s">
        <v>62</v>
      </c>
      <c r="I1173" s="214"/>
      <c r="J1173" s="222" t="s">
        <v>67</v>
      </c>
      <c r="K1173" s="222">
        <v>2.5</v>
      </c>
      <c r="L1173" s="222" t="s">
        <v>67</v>
      </c>
      <c r="M1173" s="222">
        <v>52.5</v>
      </c>
      <c r="N1173" s="214">
        <v>198.0</v>
      </c>
      <c r="O1173" s="214">
        <v>121.0</v>
      </c>
      <c r="P1173" s="214">
        <v>2.0</v>
      </c>
      <c r="Q1173" s="214" t="b">
        <v>1</v>
      </c>
      <c r="R1173" s="214">
        <v>100.0</v>
      </c>
      <c r="S1173" s="214" t="s">
        <v>407</v>
      </c>
      <c r="T1173" s="214" t="s">
        <v>321</v>
      </c>
      <c r="U1173" s="214"/>
    </row>
    <row r="1174">
      <c r="A1174" s="221">
        <v>45951.06845711806</v>
      </c>
      <c r="B1174" s="214" t="s">
        <v>493</v>
      </c>
      <c r="C1174" s="214" t="s">
        <v>106</v>
      </c>
      <c r="D1174" s="214">
        <v>4.0</v>
      </c>
      <c r="E1174" s="214">
        <v>3.0</v>
      </c>
      <c r="F1174" s="214" t="s">
        <v>1509</v>
      </c>
      <c r="G1174" s="214" t="s">
        <v>61</v>
      </c>
      <c r="H1174" s="214" t="s">
        <v>249</v>
      </c>
      <c r="I1174" s="214"/>
      <c r="J1174" s="222" t="s">
        <v>67</v>
      </c>
      <c r="K1174" s="222">
        <v>-11.5</v>
      </c>
      <c r="L1174" s="222" t="s">
        <v>67</v>
      </c>
      <c r="M1174" s="222">
        <v>47.5</v>
      </c>
      <c r="N1174" s="214">
        <v>231.0</v>
      </c>
      <c r="O1174" s="214">
        <v>171.0</v>
      </c>
      <c r="P1174" s="214">
        <v>2.0</v>
      </c>
      <c r="Q1174" s="214" t="b">
        <v>0</v>
      </c>
      <c r="R1174" s="214">
        <v>100.0</v>
      </c>
      <c r="S1174" s="214" t="s">
        <v>361</v>
      </c>
      <c r="T1174" s="214" t="s">
        <v>365</v>
      </c>
      <c r="U1174" s="214"/>
    </row>
    <row r="1175">
      <c r="A1175" s="221">
        <v>45951.06845711806</v>
      </c>
      <c r="B1175" s="214" t="s">
        <v>493</v>
      </c>
      <c r="C1175" s="214" t="s">
        <v>146</v>
      </c>
      <c r="D1175" s="214">
        <v>2.0</v>
      </c>
      <c r="E1175" s="214">
        <v>5.0</v>
      </c>
      <c r="F1175" s="214" t="s">
        <v>1516</v>
      </c>
      <c r="G1175" s="214" t="s">
        <v>61</v>
      </c>
      <c r="H1175" s="214" t="s">
        <v>493</v>
      </c>
      <c r="I1175" s="214"/>
      <c r="J1175" s="222" t="s">
        <v>67</v>
      </c>
      <c r="K1175" s="222">
        <v>2.5</v>
      </c>
      <c r="L1175" s="222" t="s">
        <v>67</v>
      </c>
      <c r="M1175" s="222">
        <v>46.5</v>
      </c>
      <c r="N1175" s="214">
        <v>159.0</v>
      </c>
      <c r="O1175" s="214">
        <v>195.0</v>
      </c>
      <c r="P1175" s="214">
        <v>2.0</v>
      </c>
      <c r="Q1175" s="214" t="b">
        <v>1</v>
      </c>
      <c r="R1175" s="214">
        <v>100.0</v>
      </c>
      <c r="S1175" s="214" t="s">
        <v>407</v>
      </c>
      <c r="T1175" s="214" t="s">
        <v>321</v>
      </c>
      <c r="U1175" s="214"/>
    </row>
    <row r="1176">
      <c r="A1176" s="221">
        <v>45951.06845711806</v>
      </c>
      <c r="B1176" s="214" t="s">
        <v>493</v>
      </c>
      <c r="C1176" s="214" t="s">
        <v>143</v>
      </c>
      <c r="D1176" s="214">
        <v>5.0</v>
      </c>
      <c r="E1176" s="214">
        <v>2.0</v>
      </c>
      <c r="F1176" s="214" t="s">
        <v>1516</v>
      </c>
      <c r="G1176" s="214" t="s">
        <v>61</v>
      </c>
      <c r="H1176" s="214" t="s">
        <v>493</v>
      </c>
      <c r="I1176" s="214"/>
      <c r="J1176" s="222" t="s">
        <v>67</v>
      </c>
      <c r="K1176" s="222">
        <v>-2.5</v>
      </c>
      <c r="L1176" s="222" t="s">
        <v>67</v>
      </c>
      <c r="M1176" s="222">
        <v>46.5</v>
      </c>
      <c r="N1176" s="214">
        <v>159.0</v>
      </c>
      <c r="O1176" s="214">
        <v>106.0</v>
      </c>
      <c r="P1176" s="214">
        <v>2.0</v>
      </c>
      <c r="Q1176" s="214" t="b">
        <v>0</v>
      </c>
      <c r="R1176" s="214">
        <v>100.0</v>
      </c>
      <c r="S1176" s="214" t="s">
        <v>407</v>
      </c>
      <c r="T1176" s="214" t="s">
        <v>321</v>
      </c>
      <c r="U1176" s="214"/>
    </row>
    <row r="1177">
      <c r="A1177" s="221">
        <v>45951.06845711806</v>
      </c>
      <c r="B1177" s="214" t="s">
        <v>493</v>
      </c>
      <c r="C1177" s="214" t="s">
        <v>110</v>
      </c>
      <c r="D1177" s="214">
        <v>1.0</v>
      </c>
      <c r="E1177" s="214">
        <v>6.0</v>
      </c>
      <c r="F1177" s="214" t="s">
        <v>1512</v>
      </c>
      <c r="G1177" s="214" t="s">
        <v>61</v>
      </c>
      <c r="H1177" s="214" t="s">
        <v>395</v>
      </c>
      <c r="I1177" s="214"/>
      <c r="J1177" s="222" t="s">
        <v>67</v>
      </c>
      <c r="K1177" s="222">
        <v>-1.5</v>
      </c>
      <c r="L1177" s="222" t="s">
        <v>67</v>
      </c>
      <c r="M1177" s="222">
        <v>57.5</v>
      </c>
      <c r="N1177" s="214">
        <v>190.0</v>
      </c>
      <c r="O1177" s="214">
        <v>237.0</v>
      </c>
      <c r="P1177" s="214">
        <v>2.0</v>
      </c>
      <c r="Q1177" s="214" t="b">
        <v>0</v>
      </c>
      <c r="R1177" s="214">
        <v>100.0</v>
      </c>
      <c r="S1177" s="214" t="s">
        <v>317</v>
      </c>
      <c r="T1177" s="214" t="s">
        <v>321</v>
      </c>
      <c r="U1177" s="214"/>
    </row>
    <row r="1178">
      <c r="A1178" s="221">
        <v>45951.06845711806</v>
      </c>
      <c r="B1178" s="214" t="s">
        <v>493</v>
      </c>
      <c r="C1178" s="214" t="s">
        <v>188</v>
      </c>
      <c r="D1178" s="214">
        <v>4.0</v>
      </c>
      <c r="E1178" s="214">
        <v>3.0</v>
      </c>
      <c r="F1178" s="214" t="s">
        <v>1513</v>
      </c>
      <c r="G1178" s="214" t="s">
        <v>61</v>
      </c>
      <c r="H1178" s="214" t="s">
        <v>395</v>
      </c>
      <c r="I1178" s="214"/>
      <c r="J1178" s="222" t="s">
        <v>67</v>
      </c>
      <c r="K1178" s="222">
        <v>-1.5</v>
      </c>
      <c r="L1178" s="222" t="s">
        <v>67</v>
      </c>
      <c r="M1178" s="222">
        <v>47.5</v>
      </c>
      <c r="N1178" s="214">
        <v>221.0</v>
      </c>
      <c r="O1178" s="214">
        <v>142.0</v>
      </c>
      <c r="P1178" s="214">
        <v>2.0</v>
      </c>
      <c r="Q1178" s="214" t="b">
        <v>0</v>
      </c>
      <c r="R1178" s="214">
        <v>100.0</v>
      </c>
      <c r="S1178" s="214" t="s">
        <v>471</v>
      </c>
      <c r="T1178" s="214" t="s">
        <v>321</v>
      </c>
      <c r="U1178" s="214"/>
    </row>
    <row r="1179">
      <c r="A1179" s="221">
        <v>45951.06845711806</v>
      </c>
      <c r="B1179" s="214" t="s">
        <v>493</v>
      </c>
      <c r="C1179" s="214" t="s">
        <v>108</v>
      </c>
      <c r="D1179" s="214">
        <v>2.0</v>
      </c>
      <c r="E1179" s="214">
        <v>5.0</v>
      </c>
      <c r="F1179" s="214" t="s">
        <v>1471</v>
      </c>
      <c r="G1179" s="214" t="s">
        <v>61</v>
      </c>
      <c r="H1179" s="214" t="s">
        <v>95</v>
      </c>
      <c r="I1179" s="214"/>
      <c r="J1179" s="222" t="s">
        <v>67</v>
      </c>
      <c r="K1179" s="222">
        <v>16.5</v>
      </c>
      <c r="L1179" s="222" t="s">
        <v>67</v>
      </c>
      <c r="M1179" s="222">
        <v>54.5</v>
      </c>
      <c r="N1179" s="214">
        <v>139.0</v>
      </c>
      <c r="O1179" s="214">
        <v>199.0</v>
      </c>
      <c r="P1179" s="214">
        <v>2.0</v>
      </c>
      <c r="Q1179" s="214" t="b">
        <v>0</v>
      </c>
      <c r="R1179" s="214">
        <v>100.0</v>
      </c>
      <c r="S1179" s="214" t="s">
        <v>361</v>
      </c>
      <c r="T1179" s="214" t="s">
        <v>365</v>
      </c>
      <c r="U1179" s="214"/>
    </row>
    <row r="1180">
      <c r="A1180" s="221">
        <v>45951.06845711806</v>
      </c>
      <c r="B1180" s="214"/>
      <c r="C1180" s="214"/>
      <c r="D1180" s="214"/>
      <c r="E1180" s="214"/>
      <c r="F1180" s="214"/>
      <c r="G1180" s="214"/>
      <c r="H1180" s="214"/>
      <c r="I1180" s="214"/>
      <c r="J1180" s="222"/>
      <c r="K1180" s="222"/>
      <c r="L1180" s="222"/>
      <c r="M1180" s="222"/>
      <c r="N1180" s="214"/>
      <c r="O1180" s="214"/>
      <c r="P1180" s="214"/>
      <c r="Q1180" s="214"/>
      <c r="R1180" s="214"/>
      <c r="S1180" s="214"/>
      <c r="T1180" s="214"/>
      <c r="U1180" s="214"/>
    </row>
    <row r="1181">
      <c r="A1181" s="221">
        <v>45951.06845711806</v>
      </c>
      <c r="B1181" s="214" t="s">
        <v>493</v>
      </c>
      <c r="C1181" s="214" t="s">
        <v>200</v>
      </c>
      <c r="D1181" s="214">
        <v>3.0</v>
      </c>
      <c r="E1181" s="214">
        <v>4.0</v>
      </c>
      <c r="F1181" s="214" t="s">
        <v>1499</v>
      </c>
      <c r="G1181" s="214" t="s">
        <v>61</v>
      </c>
      <c r="H1181" s="214" t="s">
        <v>96</v>
      </c>
      <c r="I1181" s="214"/>
      <c r="J1181" s="222" t="s">
        <v>67</v>
      </c>
      <c r="K1181" s="222">
        <v>17.5</v>
      </c>
      <c r="L1181" s="222" t="s">
        <v>67</v>
      </c>
      <c r="M1181" s="222">
        <v>55.5</v>
      </c>
      <c r="N1181" s="214">
        <v>144.0</v>
      </c>
      <c r="O1181" s="214">
        <v>190.0</v>
      </c>
      <c r="P1181" s="214">
        <v>2.0</v>
      </c>
      <c r="Q1181" s="214" t="b">
        <v>0</v>
      </c>
      <c r="R1181" s="214">
        <v>100.0</v>
      </c>
      <c r="S1181" s="214" t="s">
        <v>680</v>
      </c>
      <c r="T1181" s="214" t="s">
        <v>365</v>
      </c>
      <c r="U1181" s="214"/>
    </row>
    <row r="1182">
      <c r="A1182" s="221">
        <v>45951.06845711806</v>
      </c>
      <c r="B1182" s="214" t="s">
        <v>493</v>
      </c>
      <c r="C1182" s="214" t="s">
        <v>546</v>
      </c>
      <c r="D1182" s="214">
        <v>5.0</v>
      </c>
      <c r="E1182" s="214">
        <v>2.0</v>
      </c>
      <c r="F1182" s="214" t="s">
        <v>1483</v>
      </c>
      <c r="G1182" s="214" t="s">
        <v>61</v>
      </c>
      <c r="H1182" s="214" t="s">
        <v>193</v>
      </c>
      <c r="I1182" s="214"/>
      <c r="J1182" s="222" t="s">
        <v>67</v>
      </c>
      <c r="K1182" s="222">
        <v>-3.5</v>
      </c>
      <c r="L1182" s="222" t="s">
        <v>67</v>
      </c>
      <c r="M1182" s="222">
        <v>54.5</v>
      </c>
      <c r="N1182" s="214">
        <v>215.0</v>
      </c>
      <c r="O1182" s="214">
        <v>176.0</v>
      </c>
      <c r="P1182" s="214">
        <v>2.0</v>
      </c>
      <c r="Q1182" s="214" t="b">
        <v>1</v>
      </c>
      <c r="R1182" s="214">
        <v>100.0</v>
      </c>
      <c r="S1182" s="214" t="s">
        <v>441</v>
      </c>
      <c r="T1182" s="214" t="s">
        <v>365</v>
      </c>
      <c r="U1182" s="214"/>
    </row>
    <row r="1183">
      <c r="A1183" s="221">
        <v>45951.06845711806</v>
      </c>
      <c r="B1183" s="214" t="s">
        <v>493</v>
      </c>
      <c r="C1183" s="214" t="s">
        <v>207</v>
      </c>
      <c r="D1183" s="214">
        <v>4.0</v>
      </c>
      <c r="E1183" s="214">
        <v>3.0</v>
      </c>
      <c r="F1183" s="214" t="s">
        <v>1494</v>
      </c>
      <c r="G1183" s="214" t="s">
        <v>61</v>
      </c>
      <c r="H1183" s="214" t="s">
        <v>224</v>
      </c>
      <c r="I1183" s="214"/>
      <c r="J1183" s="222" t="s">
        <v>67</v>
      </c>
      <c r="K1183" s="222">
        <v>9.5</v>
      </c>
      <c r="L1183" s="222" t="s">
        <v>67</v>
      </c>
      <c r="M1183" s="222">
        <v>50.5</v>
      </c>
      <c r="N1183" s="214">
        <v>223.0</v>
      </c>
      <c r="O1183" s="214">
        <v>142.0</v>
      </c>
      <c r="P1183" s="214">
        <v>2.0</v>
      </c>
      <c r="Q1183" s="214" t="b">
        <v>0</v>
      </c>
      <c r="R1183" s="214">
        <v>100.0</v>
      </c>
      <c r="S1183" s="214" t="s">
        <v>556</v>
      </c>
      <c r="T1183" s="214" t="s">
        <v>321</v>
      </c>
      <c r="U1183" s="214"/>
    </row>
    <row r="1184">
      <c r="A1184" s="221">
        <v>45951.06845711806</v>
      </c>
      <c r="B1184" s="214" t="s">
        <v>493</v>
      </c>
      <c r="C1184" s="214" t="s">
        <v>219</v>
      </c>
      <c r="D1184" s="214">
        <v>3.0</v>
      </c>
      <c r="E1184" s="214">
        <v>4.0</v>
      </c>
      <c r="F1184" s="214" t="s">
        <v>1501</v>
      </c>
      <c r="G1184" s="214" t="s">
        <v>61</v>
      </c>
      <c r="H1184" s="214" t="s">
        <v>96</v>
      </c>
      <c r="I1184" s="214"/>
      <c r="J1184" s="222" t="s">
        <v>67</v>
      </c>
      <c r="K1184" s="222">
        <v>6.0</v>
      </c>
      <c r="L1184" s="222" t="s">
        <v>67</v>
      </c>
      <c r="M1184" s="222">
        <v>46.5</v>
      </c>
      <c r="N1184" s="214">
        <v>117.0</v>
      </c>
      <c r="O1184" s="214">
        <v>216.0</v>
      </c>
      <c r="P1184" s="214">
        <v>2.0</v>
      </c>
      <c r="Q1184" s="214" t="b">
        <v>1</v>
      </c>
      <c r="R1184" s="214">
        <v>100.0</v>
      </c>
      <c r="S1184" s="214" t="s">
        <v>441</v>
      </c>
      <c r="T1184" s="214" t="s">
        <v>365</v>
      </c>
      <c r="U1184" s="214"/>
    </row>
    <row r="1185">
      <c r="A1185" s="221">
        <v>45951.06845711806</v>
      </c>
      <c r="B1185" s="214" t="s">
        <v>493</v>
      </c>
      <c r="C1185" s="214" t="s">
        <v>170</v>
      </c>
      <c r="D1185" s="214">
        <v>2.0</v>
      </c>
      <c r="E1185" s="214">
        <v>5.0</v>
      </c>
      <c r="F1185" s="214" t="s">
        <v>1506</v>
      </c>
      <c r="G1185" s="214" t="s">
        <v>61</v>
      </c>
      <c r="H1185" s="214" t="s">
        <v>156</v>
      </c>
      <c r="I1185" s="214"/>
      <c r="J1185" s="222" t="s">
        <v>67</v>
      </c>
      <c r="K1185" s="222">
        <v>25.5</v>
      </c>
      <c r="L1185" s="222" t="s">
        <v>67</v>
      </c>
      <c r="M1185" s="222">
        <v>50.5</v>
      </c>
      <c r="N1185" s="214">
        <v>125.0</v>
      </c>
      <c r="O1185" s="214">
        <v>271.0</v>
      </c>
      <c r="P1185" s="214">
        <v>2.0</v>
      </c>
      <c r="Q1185" s="214" t="b">
        <v>0</v>
      </c>
      <c r="R1185" s="214">
        <v>100.0</v>
      </c>
      <c r="S1185" s="214" t="s">
        <v>530</v>
      </c>
      <c r="T1185" s="214" t="s">
        <v>365</v>
      </c>
      <c r="U1185" s="214"/>
    </row>
    <row r="1186">
      <c r="A1186" s="221">
        <v>45958.06845685185</v>
      </c>
      <c r="B1186" s="214" t="s">
        <v>43</v>
      </c>
      <c r="C1186" s="214" t="s">
        <v>145</v>
      </c>
      <c r="D1186" s="214">
        <v>3.0</v>
      </c>
      <c r="E1186" s="214">
        <v>4.0</v>
      </c>
      <c r="F1186" s="214"/>
      <c r="G1186" s="214"/>
      <c r="H1186" s="214"/>
      <c r="I1186" s="214"/>
      <c r="J1186" s="222"/>
      <c r="K1186" s="222"/>
      <c r="L1186" s="222"/>
      <c r="M1186" s="222"/>
      <c r="N1186" s="214">
        <v>238.0</v>
      </c>
      <c r="O1186" s="214">
        <v>136.0</v>
      </c>
      <c r="P1186" s="214">
        <v>0.0</v>
      </c>
      <c r="Q1186" s="214" t="b">
        <v>1</v>
      </c>
      <c r="R1186" s="214">
        <v>59.0</v>
      </c>
      <c r="S1186" s="214" t="s">
        <v>407</v>
      </c>
      <c r="T1186" s="214" t="s">
        <v>321</v>
      </c>
      <c r="U1186" s="214"/>
    </row>
    <row r="1187">
      <c r="A1187" s="221">
        <v>45958.06845685185</v>
      </c>
      <c r="B1187" s="214" t="s">
        <v>43</v>
      </c>
      <c r="C1187" s="214" t="s">
        <v>176</v>
      </c>
      <c r="D1187" s="214">
        <v>2.0</v>
      </c>
      <c r="E1187" s="214">
        <v>5.0</v>
      </c>
      <c r="F1187" s="214"/>
      <c r="G1187" s="214"/>
      <c r="H1187" s="214"/>
      <c r="I1187" s="214"/>
      <c r="J1187" s="222"/>
      <c r="K1187" s="222"/>
      <c r="L1187" s="222"/>
      <c r="M1187" s="222"/>
      <c r="N1187" s="214">
        <v>254.0</v>
      </c>
      <c r="O1187" s="214">
        <v>261.0</v>
      </c>
      <c r="P1187" s="214">
        <v>0.0</v>
      </c>
      <c r="Q1187" s="214" t="b">
        <v>1</v>
      </c>
      <c r="R1187" s="214">
        <v>59.0</v>
      </c>
      <c r="S1187" s="214" t="s">
        <v>525</v>
      </c>
      <c r="T1187" s="214" t="s">
        <v>365</v>
      </c>
      <c r="U1187" s="214"/>
    </row>
    <row r="1188">
      <c r="A1188" s="221">
        <v>45958.06845685185</v>
      </c>
      <c r="B1188" s="214" t="s">
        <v>43</v>
      </c>
      <c r="C1188" s="214" t="s">
        <v>189</v>
      </c>
      <c r="D1188" s="214">
        <v>5.0</v>
      </c>
      <c r="E1188" s="214">
        <v>3.0</v>
      </c>
      <c r="F1188" s="214" t="s">
        <v>1517</v>
      </c>
      <c r="G1188" s="214" t="s">
        <v>61</v>
      </c>
      <c r="H1188" s="214" t="s">
        <v>395</v>
      </c>
      <c r="I1188" s="214"/>
      <c r="J1188" s="222" t="s">
        <v>67</v>
      </c>
      <c r="K1188" s="222">
        <v>-7.0</v>
      </c>
      <c r="L1188" s="222" t="s">
        <v>67</v>
      </c>
      <c r="M1188" s="222">
        <v>46.5</v>
      </c>
      <c r="N1188" s="214">
        <v>198.0</v>
      </c>
      <c r="O1188" s="214">
        <v>194.0</v>
      </c>
      <c r="P1188" s="214">
        <v>2.0</v>
      </c>
      <c r="Q1188" s="214" t="b">
        <v>1</v>
      </c>
      <c r="R1188" s="214">
        <v>100.0</v>
      </c>
      <c r="S1188" s="214" t="s">
        <v>471</v>
      </c>
      <c r="T1188" s="214" t="s">
        <v>321</v>
      </c>
      <c r="U1188" s="214"/>
    </row>
    <row r="1189">
      <c r="A1189" s="221">
        <v>45958.06845685185</v>
      </c>
      <c r="B1189" s="214" t="s">
        <v>43</v>
      </c>
      <c r="C1189" s="214" t="s">
        <v>133</v>
      </c>
      <c r="D1189" s="214">
        <v>7.0</v>
      </c>
      <c r="E1189" s="214">
        <v>1.0</v>
      </c>
      <c r="F1189" s="214" t="s">
        <v>1518</v>
      </c>
      <c r="G1189" s="214" t="s">
        <v>61</v>
      </c>
      <c r="H1189" s="214" t="s">
        <v>96</v>
      </c>
      <c r="I1189" s="214"/>
      <c r="J1189" s="222" t="s">
        <v>67</v>
      </c>
      <c r="K1189" s="222">
        <v>-36.5</v>
      </c>
      <c r="L1189" s="222" t="s">
        <v>67</v>
      </c>
      <c r="M1189" s="222">
        <v>54.5</v>
      </c>
      <c r="N1189" s="214">
        <v>349.0</v>
      </c>
      <c r="O1189" s="214">
        <v>99.0</v>
      </c>
      <c r="P1189" s="214">
        <v>2.0</v>
      </c>
      <c r="Q1189" s="214" t="b">
        <v>0</v>
      </c>
      <c r="R1189" s="214">
        <v>100.0</v>
      </c>
      <c r="S1189" s="214" t="s">
        <v>471</v>
      </c>
      <c r="T1189" s="214" t="s">
        <v>321</v>
      </c>
      <c r="U1189" s="214"/>
    </row>
    <row r="1190">
      <c r="A1190" s="221">
        <v>45958.06845685185</v>
      </c>
      <c r="B1190" s="214" t="s">
        <v>43</v>
      </c>
      <c r="C1190" s="214" t="s">
        <v>527</v>
      </c>
      <c r="D1190" s="214">
        <v>0.0</v>
      </c>
      <c r="E1190" s="214">
        <v>8.0</v>
      </c>
      <c r="F1190" s="214" t="s">
        <v>1519</v>
      </c>
      <c r="G1190" s="214" t="s">
        <v>61</v>
      </c>
      <c r="H1190" s="214" t="s">
        <v>132</v>
      </c>
      <c r="I1190" s="214"/>
      <c r="J1190" s="222" t="s">
        <v>67</v>
      </c>
      <c r="K1190" s="222">
        <v>16.5</v>
      </c>
      <c r="L1190" s="222" t="s">
        <v>67</v>
      </c>
      <c r="M1190" s="222">
        <v>46.5</v>
      </c>
      <c r="N1190" s="214">
        <v>92.0</v>
      </c>
      <c r="O1190" s="214">
        <v>287.0</v>
      </c>
      <c r="P1190" s="214">
        <v>2.0</v>
      </c>
      <c r="Q1190" s="214" t="b">
        <v>0</v>
      </c>
      <c r="R1190" s="214">
        <v>100.0</v>
      </c>
      <c r="S1190" s="214" t="s">
        <v>530</v>
      </c>
      <c r="T1190" s="214" t="s">
        <v>365</v>
      </c>
      <c r="U1190" s="214"/>
    </row>
    <row r="1191">
      <c r="A1191" s="221">
        <v>45958.06845685185</v>
      </c>
      <c r="B1191" s="214" t="s">
        <v>43</v>
      </c>
      <c r="C1191" s="214" t="s">
        <v>422</v>
      </c>
      <c r="D1191" s="214">
        <v>4.0</v>
      </c>
      <c r="E1191" s="214">
        <v>4.0</v>
      </c>
      <c r="F1191" s="214" t="s">
        <v>1520</v>
      </c>
      <c r="G1191" s="214" t="s">
        <v>61</v>
      </c>
      <c r="H1191" s="214" t="s">
        <v>62</v>
      </c>
      <c r="I1191" s="214"/>
      <c r="J1191" s="222" t="s">
        <v>67</v>
      </c>
      <c r="K1191" s="222">
        <v>13.5</v>
      </c>
      <c r="L1191" s="222" t="s">
        <v>67</v>
      </c>
      <c r="M1191" s="222">
        <v>61.5</v>
      </c>
      <c r="N1191" s="214">
        <v>216.0</v>
      </c>
      <c r="O1191" s="214">
        <v>221.0</v>
      </c>
      <c r="P1191" s="214">
        <v>2.0</v>
      </c>
      <c r="Q1191" s="214" t="b">
        <v>0</v>
      </c>
      <c r="R1191" s="214">
        <v>100.0</v>
      </c>
      <c r="S1191" s="214" t="s">
        <v>441</v>
      </c>
      <c r="T1191" s="214" t="s">
        <v>365</v>
      </c>
      <c r="U1191" s="214"/>
    </row>
    <row r="1192">
      <c r="A1192" s="221">
        <v>45958.06845685185</v>
      </c>
      <c r="B1192" s="214" t="s">
        <v>43</v>
      </c>
      <c r="C1192" s="214" t="s">
        <v>45</v>
      </c>
      <c r="D1192" s="214">
        <v>4.0</v>
      </c>
      <c r="E1192" s="214">
        <v>4.0</v>
      </c>
      <c r="F1192" s="214" t="s">
        <v>1521</v>
      </c>
      <c r="G1192" s="214" t="s">
        <v>61</v>
      </c>
      <c r="H1192" s="214" t="s">
        <v>156</v>
      </c>
      <c r="I1192" s="214"/>
      <c r="J1192" s="222" t="s">
        <v>67</v>
      </c>
      <c r="K1192" s="222">
        <v>2.5</v>
      </c>
      <c r="L1192" s="222" t="s">
        <v>67</v>
      </c>
      <c r="M1192" s="222">
        <v>55.5</v>
      </c>
      <c r="N1192" s="214">
        <v>198.0</v>
      </c>
      <c r="O1192" s="214">
        <v>149.0</v>
      </c>
      <c r="P1192" s="214">
        <v>2.0</v>
      </c>
      <c r="Q1192" s="214" t="b">
        <v>1</v>
      </c>
      <c r="R1192" s="214">
        <v>100.0</v>
      </c>
      <c r="S1192" s="214" t="s">
        <v>556</v>
      </c>
      <c r="T1192" s="214" t="s">
        <v>321</v>
      </c>
      <c r="U1192" s="214"/>
    </row>
    <row r="1193">
      <c r="A1193" s="221">
        <v>45958.06845685185</v>
      </c>
      <c r="B1193" s="214" t="s">
        <v>43</v>
      </c>
      <c r="C1193" s="214" t="s">
        <v>157</v>
      </c>
      <c r="D1193" s="214">
        <v>4.0</v>
      </c>
      <c r="E1193" s="214">
        <v>4.0</v>
      </c>
      <c r="F1193" s="214" t="s">
        <v>1522</v>
      </c>
      <c r="G1193" s="214" t="s">
        <v>597</v>
      </c>
      <c r="H1193" s="214" t="s">
        <v>395</v>
      </c>
      <c r="I1193" s="214"/>
      <c r="J1193" s="222" t="s">
        <v>67</v>
      </c>
      <c r="K1193" s="222">
        <v>10.5</v>
      </c>
      <c r="L1193" s="222" t="s">
        <v>67</v>
      </c>
      <c r="M1193" s="222">
        <v>49.5</v>
      </c>
      <c r="N1193" s="214">
        <v>173.0</v>
      </c>
      <c r="O1193" s="214">
        <v>224.0</v>
      </c>
      <c r="P1193" s="214">
        <v>2.0</v>
      </c>
      <c r="Q1193" s="214" t="b">
        <v>1</v>
      </c>
      <c r="R1193" s="214">
        <v>100.0</v>
      </c>
      <c r="S1193" s="214" t="s">
        <v>361</v>
      </c>
      <c r="T1193" s="214" t="s">
        <v>365</v>
      </c>
      <c r="U1193" s="214"/>
    </row>
    <row r="1194">
      <c r="A1194" s="221">
        <v>45958.06845685185</v>
      </c>
      <c r="B1194" s="214" t="s">
        <v>43</v>
      </c>
      <c r="C1194" s="214" t="s">
        <v>118</v>
      </c>
      <c r="D1194" s="214">
        <v>2.0</v>
      </c>
      <c r="E1194" s="214">
        <v>5.0</v>
      </c>
      <c r="F1194" s="214" t="s">
        <v>1523</v>
      </c>
      <c r="G1194" s="214" t="s">
        <v>532</v>
      </c>
      <c r="H1194" s="214" t="s">
        <v>96</v>
      </c>
      <c r="I1194" s="214"/>
      <c r="J1194" s="222" t="s">
        <v>67</v>
      </c>
      <c r="K1194" s="222">
        <v>10.5</v>
      </c>
      <c r="L1194" s="222" t="s">
        <v>67</v>
      </c>
      <c r="M1194" s="222">
        <v>51.5</v>
      </c>
      <c r="N1194" s="214">
        <v>128.0</v>
      </c>
      <c r="O1194" s="214">
        <v>167.0</v>
      </c>
      <c r="P1194" s="214">
        <v>2.0</v>
      </c>
      <c r="Q1194" s="214" t="b">
        <v>0</v>
      </c>
      <c r="R1194" s="214">
        <v>100.0</v>
      </c>
      <c r="S1194" s="214" t="s">
        <v>317</v>
      </c>
      <c r="T1194" s="214" t="s">
        <v>321</v>
      </c>
      <c r="U1194" s="214"/>
    </row>
    <row r="1195">
      <c r="A1195" s="221">
        <v>45958.06845685185</v>
      </c>
      <c r="B1195" s="214" t="s">
        <v>43</v>
      </c>
      <c r="C1195" s="214" t="s">
        <v>228</v>
      </c>
      <c r="D1195" s="214">
        <v>3.0</v>
      </c>
      <c r="E1195" s="214">
        <v>4.0</v>
      </c>
      <c r="F1195" s="214" t="s">
        <v>1524</v>
      </c>
      <c r="G1195" s="214" t="s">
        <v>532</v>
      </c>
      <c r="H1195" s="214" t="s">
        <v>193</v>
      </c>
      <c r="I1195" s="214"/>
      <c r="J1195" s="222" t="s">
        <v>67</v>
      </c>
      <c r="K1195" s="222">
        <v>1.5</v>
      </c>
      <c r="L1195" s="222" t="s">
        <v>67</v>
      </c>
      <c r="M1195" s="222">
        <v>50.5</v>
      </c>
      <c r="N1195" s="214">
        <v>155.0</v>
      </c>
      <c r="O1195" s="214">
        <v>168.0</v>
      </c>
      <c r="P1195" s="214">
        <v>2.0</v>
      </c>
      <c r="Q1195" s="214" t="b">
        <v>0</v>
      </c>
      <c r="R1195" s="214">
        <v>100.0</v>
      </c>
      <c r="S1195" s="214" t="s">
        <v>535</v>
      </c>
      <c r="T1195" s="214" t="s">
        <v>365</v>
      </c>
      <c r="U1195" s="214"/>
    </row>
    <row r="1196">
      <c r="A1196" s="221">
        <v>45958.06845685185</v>
      </c>
      <c r="B1196" s="214"/>
      <c r="C1196" s="214"/>
      <c r="D1196" s="214"/>
      <c r="E1196" s="214"/>
      <c r="F1196" s="214"/>
      <c r="G1196" s="214"/>
      <c r="H1196" s="214"/>
      <c r="I1196" s="214"/>
      <c r="J1196" s="222"/>
      <c r="K1196" s="222"/>
      <c r="L1196" s="222"/>
      <c r="M1196" s="222"/>
      <c r="N1196" s="214"/>
      <c r="O1196" s="214"/>
      <c r="P1196" s="214"/>
      <c r="Q1196" s="214"/>
      <c r="R1196" s="214"/>
      <c r="S1196" s="214"/>
      <c r="T1196" s="214"/>
      <c r="U1196" s="214"/>
    </row>
    <row r="1197">
      <c r="A1197" s="221">
        <v>45958.06845685185</v>
      </c>
      <c r="B1197" s="214" t="s">
        <v>95</v>
      </c>
      <c r="C1197" s="214" t="s">
        <v>197</v>
      </c>
      <c r="D1197" s="214">
        <v>5.0</v>
      </c>
      <c r="E1197" s="214">
        <v>2.0</v>
      </c>
      <c r="F1197" s="214"/>
      <c r="G1197" s="214"/>
      <c r="H1197" s="214"/>
      <c r="I1197" s="214"/>
      <c r="J1197" s="222"/>
      <c r="K1197" s="222"/>
      <c r="L1197" s="222"/>
      <c r="M1197" s="222"/>
      <c r="N1197" s="214">
        <v>297.0</v>
      </c>
      <c r="O1197" s="214">
        <v>162.0</v>
      </c>
      <c r="P1197" s="214">
        <v>0.0</v>
      </c>
      <c r="Q1197" s="214" t="b">
        <v>1</v>
      </c>
      <c r="R1197" s="214">
        <v>59.0</v>
      </c>
      <c r="S1197" s="214" t="s">
        <v>407</v>
      </c>
      <c r="T1197" s="214" t="s">
        <v>321</v>
      </c>
      <c r="U1197" s="214"/>
    </row>
    <row r="1198">
      <c r="A1198" s="221">
        <v>45958.06845685185</v>
      </c>
      <c r="B1198" s="214" t="s">
        <v>95</v>
      </c>
      <c r="C1198" s="214" t="s">
        <v>100</v>
      </c>
      <c r="D1198" s="214">
        <v>4.0</v>
      </c>
      <c r="E1198" s="214">
        <v>3.0</v>
      </c>
      <c r="F1198" s="214"/>
      <c r="G1198" s="214"/>
      <c r="H1198" s="214"/>
      <c r="I1198" s="214"/>
      <c r="J1198" s="222"/>
      <c r="K1198" s="222"/>
      <c r="L1198" s="222"/>
      <c r="M1198" s="222"/>
      <c r="N1198" s="214">
        <v>212.0</v>
      </c>
      <c r="O1198" s="214">
        <v>120.0</v>
      </c>
      <c r="P1198" s="214">
        <v>0.0</v>
      </c>
      <c r="Q1198" s="214" t="b">
        <v>1</v>
      </c>
      <c r="R1198" s="214">
        <v>59.0</v>
      </c>
      <c r="S1198" s="214" t="s">
        <v>361</v>
      </c>
      <c r="T1198" s="214" t="s">
        <v>365</v>
      </c>
      <c r="U1198" s="214"/>
    </row>
    <row r="1199">
      <c r="A1199" s="221">
        <v>45958.06845685185</v>
      </c>
      <c r="B1199" s="214" t="s">
        <v>95</v>
      </c>
      <c r="C1199" s="214" t="s">
        <v>221</v>
      </c>
      <c r="D1199" s="214">
        <v>3.0</v>
      </c>
      <c r="E1199" s="214">
        <v>4.0</v>
      </c>
      <c r="F1199" s="214"/>
      <c r="G1199" s="214"/>
      <c r="H1199" s="214"/>
      <c r="I1199" s="214"/>
      <c r="J1199" s="222"/>
      <c r="K1199" s="222"/>
      <c r="L1199" s="222"/>
      <c r="M1199" s="222"/>
      <c r="N1199" s="214">
        <v>253.0</v>
      </c>
      <c r="O1199" s="214">
        <v>219.0</v>
      </c>
      <c r="P1199" s="214">
        <v>0.0</v>
      </c>
      <c r="Q1199" s="214" t="b">
        <v>1</v>
      </c>
      <c r="R1199" s="214">
        <v>59.0</v>
      </c>
      <c r="S1199" s="214" t="s">
        <v>441</v>
      </c>
      <c r="T1199" s="214" t="s">
        <v>365</v>
      </c>
      <c r="U1199" s="214"/>
    </row>
    <row r="1200">
      <c r="A1200" s="221">
        <v>45958.06845685185</v>
      </c>
      <c r="B1200" s="214" t="s">
        <v>95</v>
      </c>
      <c r="C1200" s="214" t="s">
        <v>198</v>
      </c>
      <c r="D1200" s="214">
        <v>6.0</v>
      </c>
      <c r="E1200" s="214">
        <v>2.0</v>
      </c>
      <c r="F1200" s="214" t="s">
        <v>1525</v>
      </c>
      <c r="G1200" s="214" t="s">
        <v>61</v>
      </c>
      <c r="H1200" s="214" t="s">
        <v>224</v>
      </c>
      <c r="I1200" s="214"/>
      <c r="J1200" s="222" t="s">
        <v>67</v>
      </c>
      <c r="K1200" s="222">
        <v>-13.5</v>
      </c>
      <c r="L1200" s="222" t="s">
        <v>67</v>
      </c>
      <c r="M1200" s="222">
        <v>48.5</v>
      </c>
      <c r="N1200" s="214">
        <v>311.0</v>
      </c>
      <c r="O1200" s="214">
        <v>114.0</v>
      </c>
      <c r="P1200" s="214">
        <v>2.0</v>
      </c>
      <c r="Q1200" s="214" t="b">
        <v>1</v>
      </c>
      <c r="R1200" s="214">
        <v>100.0</v>
      </c>
      <c r="S1200" s="214" t="s">
        <v>471</v>
      </c>
      <c r="T1200" s="214" t="s">
        <v>321</v>
      </c>
      <c r="U1200" s="214"/>
    </row>
    <row r="1201">
      <c r="A1201" s="221">
        <v>45958.06845685185</v>
      </c>
      <c r="B1201" s="214" t="s">
        <v>95</v>
      </c>
      <c r="C1201" s="214" t="s">
        <v>130</v>
      </c>
      <c r="D1201" s="214">
        <v>6.0</v>
      </c>
      <c r="E1201" s="214">
        <v>2.0</v>
      </c>
      <c r="F1201" s="214" t="s">
        <v>1526</v>
      </c>
      <c r="G1201" s="214" t="s">
        <v>61</v>
      </c>
      <c r="H1201" s="214" t="s">
        <v>132</v>
      </c>
      <c r="I1201" s="214"/>
      <c r="J1201" s="222" t="s">
        <v>67</v>
      </c>
      <c r="K1201" s="222">
        <v>-16.5</v>
      </c>
      <c r="L1201" s="222" t="s">
        <v>67</v>
      </c>
      <c r="M1201" s="222">
        <v>55.5</v>
      </c>
      <c r="N1201" s="214">
        <v>277.0</v>
      </c>
      <c r="O1201" s="214">
        <v>201.0</v>
      </c>
      <c r="P1201" s="214">
        <v>2.0</v>
      </c>
      <c r="Q1201" s="214" t="b">
        <v>0</v>
      </c>
      <c r="R1201" s="214">
        <v>100.0</v>
      </c>
      <c r="S1201" s="214" t="s">
        <v>471</v>
      </c>
      <c r="T1201" s="214" t="s">
        <v>321</v>
      </c>
      <c r="U1201" s="214"/>
    </row>
    <row r="1202">
      <c r="A1202" s="221">
        <v>45958.06845685185</v>
      </c>
      <c r="B1202" s="214" t="s">
        <v>95</v>
      </c>
      <c r="C1202" s="214" t="s">
        <v>117</v>
      </c>
      <c r="D1202" s="214">
        <v>4.0</v>
      </c>
      <c r="E1202" s="214">
        <v>4.0</v>
      </c>
      <c r="F1202" s="214" t="s">
        <v>1527</v>
      </c>
      <c r="G1202" s="214" t="s">
        <v>61</v>
      </c>
      <c r="H1202" s="214" t="s">
        <v>238</v>
      </c>
      <c r="I1202" s="214"/>
      <c r="J1202" s="222" t="s">
        <v>67</v>
      </c>
      <c r="K1202" s="222">
        <v>6.5</v>
      </c>
      <c r="L1202" s="222" t="s">
        <v>67</v>
      </c>
      <c r="M1202" s="222">
        <v>55.5</v>
      </c>
      <c r="N1202" s="214">
        <v>244.0</v>
      </c>
      <c r="O1202" s="214">
        <v>239.0</v>
      </c>
      <c r="P1202" s="214">
        <v>2.0</v>
      </c>
      <c r="Q1202" s="214" t="b">
        <v>0</v>
      </c>
      <c r="R1202" s="214">
        <v>100.0</v>
      </c>
      <c r="S1202" s="214" t="s">
        <v>317</v>
      </c>
      <c r="T1202" s="214" t="s">
        <v>321</v>
      </c>
      <c r="U1202" s="214"/>
    </row>
    <row r="1203">
      <c r="A1203" s="221">
        <v>45958.06845685185</v>
      </c>
      <c r="B1203" s="214" t="s">
        <v>95</v>
      </c>
      <c r="C1203" s="214" t="s">
        <v>165</v>
      </c>
      <c r="D1203" s="214">
        <v>3.0</v>
      </c>
      <c r="E1203" s="214">
        <v>5.0</v>
      </c>
      <c r="F1203" s="214" t="s">
        <v>1528</v>
      </c>
      <c r="G1203" s="214" t="s">
        <v>61</v>
      </c>
      <c r="H1203" s="214" t="s">
        <v>311</v>
      </c>
      <c r="I1203" s="214"/>
      <c r="J1203" s="222" t="s">
        <v>67</v>
      </c>
      <c r="K1203" s="222">
        <v>6.0</v>
      </c>
      <c r="L1203" s="222" t="s">
        <v>67</v>
      </c>
      <c r="M1203" s="222">
        <v>42.5</v>
      </c>
      <c r="N1203" s="214">
        <v>131.0</v>
      </c>
      <c r="O1203" s="214">
        <v>238.0</v>
      </c>
      <c r="P1203" s="214">
        <v>2.0</v>
      </c>
      <c r="Q1203" s="214" t="b">
        <v>1</v>
      </c>
      <c r="R1203" s="214">
        <v>100.0</v>
      </c>
      <c r="S1203" s="214" t="s">
        <v>530</v>
      </c>
      <c r="T1203" s="214" t="s">
        <v>365</v>
      </c>
      <c r="U1203" s="214"/>
    </row>
    <row r="1204">
      <c r="A1204" s="221">
        <v>45958.06845685185</v>
      </c>
      <c r="B1204" s="214" t="s">
        <v>95</v>
      </c>
      <c r="C1204" s="214" t="s">
        <v>128</v>
      </c>
      <c r="D1204" s="214">
        <v>6.0</v>
      </c>
      <c r="E1204" s="214">
        <v>2.0</v>
      </c>
      <c r="F1204" s="214" t="s">
        <v>1529</v>
      </c>
      <c r="G1204" s="214" t="s">
        <v>61</v>
      </c>
      <c r="H1204" s="214" t="s">
        <v>249</v>
      </c>
      <c r="I1204" s="214"/>
      <c r="J1204" s="222" t="s">
        <v>67</v>
      </c>
      <c r="K1204" s="222">
        <v>-5.5</v>
      </c>
      <c r="L1204" s="222" t="s">
        <v>67</v>
      </c>
      <c r="M1204" s="222">
        <v>52.5</v>
      </c>
      <c r="N1204" s="214">
        <v>227.0</v>
      </c>
      <c r="O1204" s="214">
        <v>100.0</v>
      </c>
      <c r="P1204" s="214">
        <v>2.0</v>
      </c>
      <c r="Q1204" s="214" t="b">
        <v>0</v>
      </c>
      <c r="R1204" s="214">
        <v>100.0</v>
      </c>
      <c r="S1204" s="214" t="s">
        <v>556</v>
      </c>
      <c r="T1204" s="214" t="s">
        <v>321</v>
      </c>
      <c r="U1204" s="214"/>
    </row>
    <row r="1205">
      <c r="A1205" s="221">
        <v>45958.06845685185</v>
      </c>
      <c r="B1205" s="214" t="s">
        <v>95</v>
      </c>
      <c r="C1205" s="214" t="s">
        <v>177</v>
      </c>
      <c r="D1205" s="214">
        <v>6.0</v>
      </c>
      <c r="E1205" s="214">
        <v>2.0</v>
      </c>
      <c r="F1205" s="214" t="s">
        <v>1530</v>
      </c>
      <c r="G1205" s="214" t="s">
        <v>61</v>
      </c>
      <c r="H1205" s="214" t="s">
        <v>156</v>
      </c>
      <c r="I1205" s="214"/>
      <c r="J1205" s="222" t="s">
        <v>67</v>
      </c>
      <c r="K1205" s="222">
        <v>-21.5</v>
      </c>
      <c r="L1205" s="222" t="s">
        <v>67</v>
      </c>
      <c r="M1205" s="222">
        <v>51.5</v>
      </c>
      <c r="N1205" s="214">
        <v>282.0</v>
      </c>
      <c r="O1205" s="214">
        <v>186.0</v>
      </c>
      <c r="P1205" s="214">
        <v>2.0</v>
      </c>
      <c r="Q1205" s="214" t="b">
        <v>0</v>
      </c>
      <c r="R1205" s="214">
        <v>100.0</v>
      </c>
      <c r="S1205" s="214" t="s">
        <v>525</v>
      </c>
      <c r="T1205" s="214" t="s">
        <v>365</v>
      </c>
      <c r="U1205" s="214"/>
    </row>
    <row r="1206">
      <c r="A1206" s="221">
        <v>45958.06845685185</v>
      </c>
      <c r="B1206" s="214" t="s">
        <v>95</v>
      </c>
      <c r="C1206" s="214" t="s">
        <v>233</v>
      </c>
      <c r="D1206" s="214">
        <v>5.0</v>
      </c>
      <c r="E1206" s="214">
        <v>2.0</v>
      </c>
      <c r="F1206" s="214" t="s">
        <v>1531</v>
      </c>
      <c r="G1206" s="214" t="s">
        <v>61</v>
      </c>
      <c r="H1206" s="214" t="s">
        <v>132</v>
      </c>
      <c r="I1206" s="214"/>
      <c r="J1206" s="222" t="s">
        <v>67</v>
      </c>
      <c r="K1206" s="222">
        <v>-3.5</v>
      </c>
      <c r="L1206" s="222" t="s">
        <v>67</v>
      </c>
      <c r="M1206" s="222">
        <v>49.5</v>
      </c>
      <c r="N1206" s="214">
        <v>177.0</v>
      </c>
      <c r="O1206" s="214">
        <v>149.0</v>
      </c>
      <c r="P1206" s="214">
        <v>2.0</v>
      </c>
      <c r="Q1206" s="214" t="b">
        <v>1</v>
      </c>
      <c r="R1206" s="214">
        <v>100.0</v>
      </c>
      <c r="S1206" s="214" t="s">
        <v>535</v>
      </c>
      <c r="T1206" s="214" t="s">
        <v>365</v>
      </c>
      <c r="U1206" s="214"/>
    </row>
    <row r="1207">
      <c r="A1207" s="221">
        <v>45958.06845685185</v>
      </c>
      <c r="B1207" s="214"/>
      <c r="C1207" s="214"/>
      <c r="D1207" s="214"/>
      <c r="E1207" s="214"/>
      <c r="F1207" s="214"/>
      <c r="G1207" s="214"/>
      <c r="H1207" s="214"/>
      <c r="I1207" s="214"/>
      <c r="J1207" s="222"/>
      <c r="K1207" s="222"/>
      <c r="L1207" s="222"/>
      <c r="M1207" s="222"/>
      <c r="N1207" s="214"/>
      <c r="O1207" s="214"/>
      <c r="P1207" s="214"/>
      <c r="Q1207" s="214"/>
      <c r="R1207" s="214"/>
      <c r="S1207" s="214"/>
      <c r="T1207" s="214"/>
      <c r="U1207" s="214"/>
    </row>
    <row r="1208">
      <c r="A1208" s="221">
        <v>45958.06845685185</v>
      </c>
      <c r="B1208" s="214" t="s">
        <v>62</v>
      </c>
      <c r="C1208" s="214" t="s">
        <v>163</v>
      </c>
      <c r="D1208" s="214">
        <v>3.0</v>
      </c>
      <c r="E1208" s="214">
        <v>4.0</v>
      </c>
      <c r="F1208" s="214"/>
      <c r="G1208" s="214"/>
      <c r="H1208" s="214"/>
      <c r="I1208" s="214"/>
      <c r="J1208" s="222"/>
      <c r="K1208" s="222"/>
      <c r="L1208" s="222"/>
      <c r="M1208" s="222"/>
      <c r="N1208" s="214">
        <v>208.0</v>
      </c>
      <c r="O1208" s="214">
        <v>272.0</v>
      </c>
      <c r="P1208" s="214">
        <v>0.0</v>
      </c>
      <c r="Q1208" s="214" t="b">
        <v>1</v>
      </c>
      <c r="R1208" s="214">
        <v>59.0</v>
      </c>
      <c r="S1208" s="214" t="s">
        <v>361</v>
      </c>
      <c r="T1208" s="214" t="s">
        <v>365</v>
      </c>
      <c r="U1208" s="214"/>
    </row>
    <row r="1209">
      <c r="A1209" s="221">
        <v>45958.06845685185</v>
      </c>
      <c r="B1209" s="214" t="s">
        <v>62</v>
      </c>
      <c r="C1209" s="214" t="s">
        <v>227</v>
      </c>
      <c r="D1209" s="214">
        <v>3.0</v>
      </c>
      <c r="E1209" s="214">
        <v>4.0</v>
      </c>
      <c r="F1209" s="214"/>
      <c r="G1209" s="214"/>
      <c r="H1209" s="214"/>
      <c r="I1209" s="214"/>
      <c r="J1209" s="222"/>
      <c r="K1209" s="222"/>
      <c r="L1209" s="222"/>
      <c r="M1209" s="222"/>
      <c r="N1209" s="214">
        <v>134.0</v>
      </c>
      <c r="O1209" s="214">
        <v>151.0</v>
      </c>
      <c r="P1209" s="214">
        <v>0.0</v>
      </c>
      <c r="Q1209" s="214" t="b">
        <v>1</v>
      </c>
      <c r="R1209" s="214">
        <v>59.0</v>
      </c>
      <c r="S1209" s="214" t="s">
        <v>535</v>
      </c>
      <c r="T1209" s="214" t="s">
        <v>365</v>
      </c>
      <c r="U1209" s="214"/>
    </row>
    <row r="1210">
      <c r="A1210" s="221">
        <v>45958.06845685185</v>
      </c>
      <c r="B1210" s="214" t="s">
        <v>62</v>
      </c>
      <c r="C1210" s="214" t="s">
        <v>178</v>
      </c>
      <c r="D1210" s="214">
        <v>2.0</v>
      </c>
      <c r="E1210" s="214">
        <v>6.0</v>
      </c>
      <c r="F1210" s="214" t="s">
        <v>1532</v>
      </c>
      <c r="G1210" s="214" t="s">
        <v>61</v>
      </c>
      <c r="H1210" s="214" t="s">
        <v>132</v>
      </c>
      <c r="I1210" s="214"/>
      <c r="J1210" s="222" t="s">
        <v>67</v>
      </c>
      <c r="K1210" s="222">
        <v>4.5</v>
      </c>
      <c r="L1210" s="222" t="s">
        <v>67</v>
      </c>
      <c r="M1210" s="222">
        <v>47.5</v>
      </c>
      <c r="N1210" s="214">
        <v>153.0</v>
      </c>
      <c r="O1210" s="214">
        <v>217.0</v>
      </c>
      <c r="P1210" s="214">
        <v>2.0</v>
      </c>
      <c r="Q1210" s="214" t="b">
        <v>1</v>
      </c>
      <c r="R1210" s="214">
        <v>100.0</v>
      </c>
      <c r="S1210" s="214" t="s">
        <v>525</v>
      </c>
      <c r="T1210" s="214" t="s">
        <v>365</v>
      </c>
      <c r="U1210" s="214"/>
    </row>
    <row r="1211">
      <c r="A1211" s="221">
        <v>45958.06845685185</v>
      </c>
      <c r="B1211" s="214" t="s">
        <v>62</v>
      </c>
      <c r="C1211" s="214" t="s">
        <v>201</v>
      </c>
      <c r="D1211" s="214">
        <v>7.0</v>
      </c>
      <c r="E1211" s="214">
        <v>1.0</v>
      </c>
      <c r="F1211" s="214" t="s">
        <v>1533</v>
      </c>
      <c r="G1211" s="214" t="s">
        <v>61</v>
      </c>
      <c r="H1211" s="214" t="s">
        <v>132</v>
      </c>
      <c r="I1211" s="214"/>
      <c r="J1211" s="222" t="s">
        <v>67</v>
      </c>
      <c r="K1211" s="222">
        <v>-11.5</v>
      </c>
      <c r="L1211" s="222" t="s">
        <v>67</v>
      </c>
      <c r="M1211" s="222">
        <v>47.5</v>
      </c>
      <c r="N1211" s="214">
        <v>275.0</v>
      </c>
      <c r="O1211" s="214">
        <v>146.0</v>
      </c>
      <c r="P1211" s="214">
        <v>2.0</v>
      </c>
      <c r="Q1211" s="214" t="b">
        <v>0</v>
      </c>
      <c r="R1211" s="214">
        <v>100.0</v>
      </c>
      <c r="S1211" s="214" t="s">
        <v>556</v>
      </c>
      <c r="T1211" s="214" t="s">
        <v>321</v>
      </c>
      <c r="U1211" s="214"/>
    </row>
    <row r="1212">
      <c r="A1212" s="221">
        <v>45958.06845685185</v>
      </c>
      <c r="B1212" s="214" t="s">
        <v>62</v>
      </c>
      <c r="C1212" s="214" t="s">
        <v>199</v>
      </c>
      <c r="D1212" s="214">
        <v>6.0</v>
      </c>
      <c r="E1212" s="214">
        <v>2.0</v>
      </c>
      <c r="F1212" s="214" t="s">
        <v>1534</v>
      </c>
      <c r="G1212" s="214" t="s">
        <v>61</v>
      </c>
      <c r="H1212" s="214" t="s">
        <v>156</v>
      </c>
      <c r="I1212" s="214"/>
      <c r="J1212" s="222" t="s">
        <v>67</v>
      </c>
      <c r="K1212" s="222">
        <v>-4.0</v>
      </c>
      <c r="L1212" s="222" t="s">
        <v>67</v>
      </c>
      <c r="M1212" s="222">
        <v>54.5</v>
      </c>
      <c r="N1212" s="214">
        <v>284.0</v>
      </c>
      <c r="O1212" s="214">
        <v>167.0</v>
      </c>
      <c r="P1212" s="214">
        <v>2.0</v>
      </c>
      <c r="Q1212" s="214" t="b">
        <v>1</v>
      </c>
      <c r="R1212" s="214">
        <v>100.0</v>
      </c>
      <c r="S1212" s="214" t="s">
        <v>407</v>
      </c>
      <c r="T1212" s="214" t="s">
        <v>321</v>
      </c>
      <c r="U1212" s="214"/>
    </row>
    <row r="1213">
      <c r="A1213" s="221">
        <v>45958.06845685185</v>
      </c>
      <c r="B1213" s="214" t="s">
        <v>62</v>
      </c>
      <c r="C1213" s="214" t="s">
        <v>155</v>
      </c>
      <c r="D1213" s="214">
        <v>5.0</v>
      </c>
      <c r="E1213" s="214">
        <v>3.0</v>
      </c>
      <c r="F1213" s="214" t="s">
        <v>1520</v>
      </c>
      <c r="G1213" s="214" t="s">
        <v>61</v>
      </c>
      <c r="H1213" s="214" t="s">
        <v>43</v>
      </c>
      <c r="I1213" s="214"/>
      <c r="J1213" s="222" t="s">
        <v>67</v>
      </c>
      <c r="K1213" s="222">
        <v>-13.5</v>
      </c>
      <c r="L1213" s="222" t="s">
        <v>67</v>
      </c>
      <c r="M1213" s="222">
        <v>61.5</v>
      </c>
      <c r="N1213" s="214">
        <v>256.0</v>
      </c>
      <c r="O1213" s="214">
        <v>205.0</v>
      </c>
      <c r="P1213" s="214">
        <v>2.0</v>
      </c>
      <c r="Q1213" s="214" t="b">
        <v>1</v>
      </c>
      <c r="R1213" s="214">
        <v>100.0</v>
      </c>
      <c r="S1213" s="214" t="s">
        <v>441</v>
      </c>
      <c r="T1213" s="214" t="s">
        <v>365</v>
      </c>
      <c r="U1213" s="214"/>
    </row>
    <row r="1214">
      <c r="A1214" s="221">
        <v>45958.06845685185</v>
      </c>
      <c r="B1214" s="214" t="s">
        <v>62</v>
      </c>
      <c r="C1214" s="214" t="s">
        <v>196</v>
      </c>
      <c r="D1214" s="214">
        <v>3.0</v>
      </c>
      <c r="E1214" s="214">
        <v>5.0</v>
      </c>
      <c r="F1214" s="214" t="s">
        <v>1535</v>
      </c>
      <c r="G1214" s="214" t="s">
        <v>61</v>
      </c>
      <c r="H1214" s="214" t="s">
        <v>132</v>
      </c>
      <c r="I1214" s="214"/>
      <c r="J1214" s="222" t="s">
        <v>67</v>
      </c>
      <c r="K1214" s="222">
        <v>25.5</v>
      </c>
      <c r="L1214" s="222" t="s">
        <v>67</v>
      </c>
      <c r="M1214" s="222">
        <v>53.5</v>
      </c>
      <c r="N1214" s="214">
        <v>163.0</v>
      </c>
      <c r="O1214" s="214">
        <v>248.0</v>
      </c>
      <c r="P1214" s="214">
        <v>2.0</v>
      </c>
      <c r="Q1214" s="214" t="b">
        <v>0</v>
      </c>
      <c r="R1214" s="214">
        <v>100.0</v>
      </c>
      <c r="S1214" s="214" t="s">
        <v>407</v>
      </c>
      <c r="T1214" s="214" t="s">
        <v>321</v>
      </c>
      <c r="U1214" s="214"/>
    </row>
    <row r="1215">
      <c r="A1215" s="221">
        <v>45958.06845685185</v>
      </c>
      <c r="B1215" s="214" t="s">
        <v>62</v>
      </c>
      <c r="C1215" s="214" t="s">
        <v>304</v>
      </c>
      <c r="D1215" s="214">
        <v>2.0</v>
      </c>
      <c r="E1215" s="214">
        <v>7.0</v>
      </c>
      <c r="F1215" s="214" t="s">
        <v>1536</v>
      </c>
      <c r="G1215" s="214" t="s">
        <v>61</v>
      </c>
      <c r="H1215" s="214" t="s">
        <v>96</v>
      </c>
      <c r="I1215" s="214"/>
      <c r="J1215" s="222" t="s">
        <v>67</v>
      </c>
      <c r="K1215" s="222">
        <v>11.5</v>
      </c>
      <c r="L1215" s="222" t="s">
        <v>67</v>
      </c>
      <c r="M1215" s="222">
        <v>58.5</v>
      </c>
      <c r="N1215" s="214">
        <v>217.0</v>
      </c>
      <c r="O1215" s="214">
        <v>296.0</v>
      </c>
      <c r="P1215" s="214">
        <v>2.0</v>
      </c>
      <c r="Q1215" s="214" t="b">
        <v>0</v>
      </c>
      <c r="R1215" s="214">
        <v>100.0</v>
      </c>
      <c r="S1215" s="214" t="s">
        <v>530</v>
      </c>
      <c r="T1215" s="214" t="s">
        <v>365</v>
      </c>
      <c r="U1215" s="214"/>
    </row>
    <row r="1216">
      <c r="A1216" s="221">
        <v>45958.06845685185</v>
      </c>
      <c r="B1216" s="214" t="s">
        <v>62</v>
      </c>
      <c r="C1216" s="214" t="s">
        <v>127</v>
      </c>
      <c r="D1216" s="214">
        <v>4.0</v>
      </c>
      <c r="E1216" s="214">
        <v>4.0</v>
      </c>
      <c r="F1216" s="214" t="s">
        <v>1537</v>
      </c>
      <c r="G1216" s="214" t="s">
        <v>61</v>
      </c>
      <c r="H1216" s="214" t="s">
        <v>193</v>
      </c>
      <c r="I1216" s="214"/>
      <c r="J1216" s="222" t="s">
        <v>67</v>
      </c>
      <c r="K1216" s="222">
        <v>3.5</v>
      </c>
      <c r="L1216" s="222" t="s">
        <v>67</v>
      </c>
      <c r="M1216" s="222">
        <v>55.5</v>
      </c>
      <c r="N1216" s="214">
        <v>248.0</v>
      </c>
      <c r="O1216" s="214">
        <v>206.0</v>
      </c>
      <c r="P1216" s="214">
        <v>2.0</v>
      </c>
      <c r="Q1216" s="214" t="b">
        <v>0</v>
      </c>
      <c r="R1216" s="214">
        <v>100.0</v>
      </c>
      <c r="S1216" s="214" t="s">
        <v>471</v>
      </c>
      <c r="T1216" s="214" t="s">
        <v>321</v>
      </c>
      <c r="U1216" s="214"/>
    </row>
    <row r="1217">
      <c r="A1217" s="221">
        <v>45958.06845685185</v>
      </c>
      <c r="B1217" s="214" t="s">
        <v>62</v>
      </c>
      <c r="C1217" s="214" t="s">
        <v>190</v>
      </c>
      <c r="D1217" s="214">
        <v>5.0</v>
      </c>
      <c r="E1217" s="214">
        <v>3.0</v>
      </c>
      <c r="F1217" s="214" t="s">
        <v>1538</v>
      </c>
      <c r="G1217" s="214" t="s">
        <v>597</v>
      </c>
      <c r="H1217" s="214" t="s">
        <v>311</v>
      </c>
      <c r="I1217" s="214"/>
      <c r="J1217" s="222" t="s">
        <v>67</v>
      </c>
      <c r="K1217" s="222">
        <v>6.0</v>
      </c>
      <c r="L1217" s="222" t="s">
        <v>67</v>
      </c>
      <c r="M1217" s="222">
        <v>50.5</v>
      </c>
      <c r="N1217" s="214">
        <v>200.0</v>
      </c>
      <c r="O1217" s="214">
        <v>195.0</v>
      </c>
      <c r="P1217" s="214">
        <v>2.0</v>
      </c>
      <c r="Q1217" s="214" t="b">
        <v>0</v>
      </c>
      <c r="R1217" s="214">
        <v>100.0</v>
      </c>
      <c r="S1217" s="214" t="s">
        <v>317</v>
      </c>
      <c r="T1217" s="214" t="s">
        <v>321</v>
      </c>
      <c r="U1217" s="214"/>
    </row>
    <row r="1218">
      <c r="A1218" s="221">
        <v>45958.06845685185</v>
      </c>
      <c r="B1218" s="214"/>
      <c r="C1218" s="214"/>
      <c r="D1218" s="214"/>
      <c r="E1218" s="214"/>
      <c r="F1218" s="214"/>
      <c r="G1218" s="214"/>
      <c r="H1218" s="214"/>
      <c r="I1218" s="214"/>
      <c r="J1218" s="222"/>
      <c r="K1218" s="222"/>
      <c r="L1218" s="222"/>
      <c r="M1218" s="222"/>
      <c r="N1218" s="214"/>
      <c r="O1218" s="214"/>
      <c r="P1218" s="214"/>
      <c r="Q1218" s="214"/>
      <c r="R1218" s="214"/>
      <c r="S1218" s="214"/>
      <c r="T1218" s="214"/>
      <c r="U1218" s="214"/>
    </row>
    <row r="1219">
      <c r="A1219" s="221">
        <v>45958.06845685185</v>
      </c>
      <c r="B1219" s="214" t="s">
        <v>193</v>
      </c>
      <c r="C1219" s="214" t="s">
        <v>194</v>
      </c>
      <c r="D1219" s="214">
        <v>1.0</v>
      </c>
      <c r="E1219" s="214">
        <v>7.0</v>
      </c>
      <c r="F1219" s="214"/>
      <c r="G1219" s="214"/>
      <c r="H1219" s="214"/>
      <c r="I1219" s="214"/>
      <c r="J1219" s="222" t="s">
        <v>67</v>
      </c>
      <c r="K1219" s="222">
        <v>-22.5</v>
      </c>
      <c r="L1219" s="222" t="s">
        <v>67</v>
      </c>
      <c r="M1219" s="222">
        <v>54.5</v>
      </c>
      <c r="N1219" s="214">
        <v>169.0</v>
      </c>
      <c r="O1219" s="214">
        <v>262.0</v>
      </c>
      <c r="P1219" s="214">
        <v>0.0</v>
      </c>
      <c r="Q1219" s="214" t="b">
        <v>1</v>
      </c>
      <c r="R1219" s="214">
        <v>59.0</v>
      </c>
      <c r="S1219" s="214" t="s">
        <v>680</v>
      </c>
      <c r="T1219" s="214" t="s">
        <v>365</v>
      </c>
      <c r="U1219" s="214"/>
    </row>
    <row r="1220">
      <c r="A1220" s="221">
        <v>45958.06845685185</v>
      </c>
      <c r="B1220" s="214" t="s">
        <v>193</v>
      </c>
      <c r="C1220" s="214" t="s">
        <v>144</v>
      </c>
      <c r="D1220" s="214">
        <v>7.0</v>
      </c>
      <c r="E1220" s="214">
        <v>0.0</v>
      </c>
      <c r="F1220" s="214"/>
      <c r="G1220" s="214"/>
      <c r="H1220" s="214"/>
      <c r="I1220" s="214"/>
      <c r="J1220" s="222"/>
      <c r="K1220" s="222"/>
      <c r="L1220" s="222"/>
      <c r="M1220" s="222"/>
      <c r="N1220" s="214">
        <v>255.0</v>
      </c>
      <c r="O1220" s="214">
        <v>41.0</v>
      </c>
      <c r="P1220" s="214">
        <v>0.0</v>
      </c>
      <c r="Q1220" s="214" t="b">
        <v>1</v>
      </c>
      <c r="R1220" s="214">
        <v>59.0</v>
      </c>
      <c r="S1220" s="214" t="s">
        <v>407</v>
      </c>
      <c r="T1220" s="214" t="s">
        <v>321</v>
      </c>
      <c r="U1220" s="214"/>
    </row>
    <row r="1221">
      <c r="A1221" s="221">
        <v>45958.06845685185</v>
      </c>
      <c r="B1221" s="214" t="s">
        <v>193</v>
      </c>
      <c r="C1221" s="214" t="s">
        <v>211</v>
      </c>
      <c r="D1221" s="214">
        <v>6.0</v>
      </c>
      <c r="E1221" s="214">
        <v>2.0</v>
      </c>
      <c r="F1221" s="214" t="s">
        <v>1539</v>
      </c>
      <c r="G1221" s="214" t="s">
        <v>61</v>
      </c>
      <c r="H1221" s="214" t="s">
        <v>493</v>
      </c>
      <c r="I1221" s="214"/>
      <c r="J1221" s="222" t="s">
        <v>67</v>
      </c>
      <c r="K1221" s="222">
        <v>-8.5</v>
      </c>
      <c r="L1221" s="222" t="s">
        <v>67</v>
      </c>
      <c r="M1221" s="222">
        <v>54.5</v>
      </c>
      <c r="N1221" s="214">
        <v>365.0</v>
      </c>
      <c r="O1221" s="214">
        <v>247.0</v>
      </c>
      <c r="P1221" s="214">
        <v>2.0</v>
      </c>
      <c r="Q1221" s="214" t="b">
        <v>1</v>
      </c>
      <c r="R1221" s="214">
        <v>100.0</v>
      </c>
      <c r="S1221" s="214" t="s">
        <v>556</v>
      </c>
      <c r="T1221" s="214" t="s">
        <v>321</v>
      </c>
      <c r="U1221" s="214"/>
    </row>
    <row r="1222">
      <c r="A1222" s="221">
        <v>45958.06845685185</v>
      </c>
      <c r="B1222" s="214" t="s">
        <v>193</v>
      </c>
      <c r="C1222" s="214" t="s">
        <v>552</v>
      </c>
      <c r="D1222" s="214">
        <v>2.0</v>
      </c>
      <c r="E1222" s="214">
        <v>6.0</v>
      </c>
      <c r="F1222" s="214" t="s">
        <v>1540</v>
      </c>
      <c r="G1222" s="214" t="s">
        <v>61</v>
      </c>
      <c r="H1222" s="214" t="s">
        <v>96</v>
      </c>
      <c r="I1222" s="214"/>
      <c r="J1222" s="222" t="s">
        <v>67</v>
      </c>
      <c r="K1222" s="222">
        <v>9.5</v>
      </c>
      <c r="L1222" s="222" t="s">
        <v>67</v>
      </c>
      <c r="M1222" s="222">
        <v>48.5</v>
      </c>
      <c r="N1222" s="214">
        <v>188.0</v>
      </c>
      <c r="O1222" s="214">
        <v>242.0</v>
      </c>
      <c r="P1222" s="214">
        <v>2.0</v>
      </c>
      <c r="Q1222" s="214" t="b">
        <v>0</v>
      </c>
      <c r="R1222" s="214">
        <v>100.0</v>
      </c>
      <c r="S1222" s="214" t="s">
        <v>441</v>
      </c>
      <c r="T1222" s="214" t="s">
        <v>365</v>
      </c>
      <c r="U1222" s="214"/>
    </row>
    <row r="1223">
      <c r="A1223" s="221">
        <v>45958.06845685185</v>
      </c>
      <c r="B1223" s="214" t="s">
        <v>193</v>
      </c>
      <c r="C1223" s="214" t="s">
        <v>150</v>
      </c>
      <c r="D1223" s="214">
        <v>3.0</v>
      </c>
      <c r="E1223" s="214">
        <v>5.0</v>
      </c>
      <c r="F1223" s="214" t="s">
        <v>1541</v>
      </c>
      <c r="G1223" s="214" t="s">
        <v>61</v>
      </c>
      <c r="H1223" s="214" t="s">
        <v>224</v>
      </c>
      <c r="I1223" s="214"/>
      <c r="J1223" s="222" t="s">
        <v>67</v>
      </c>
      <c r="K1223" s="222">
        <v>14.0</v>
      </c>
      <c r="L1223" s="222" t="s">
        <v>67</v>
      </c>
      <c r="M1223" s="222">
        <v>62.5</v>
      </c>
      <c r="N1223" s="214">
        <v>242.0</v>
      </c>
      <c r="O1223" s="214">
        <v>290.0</v>
      </c>
      <c r="P1223" s="214">
        <v>2.0</v>
      </c>
      <c r="Q1223" s="214" t="b">
        <v>1</v>
      </c>
      <c r="R1223" s="214">
        <v>100.0</v>
      </c>
      <c r="S1223" s="214" t="s">
        <v>361</v>
      </c>
      <c r="T1223" s="214" t="s">
        <v>365</v>
      </c>
      <c r="U1223" s="214"/>
    </row>
    <row r="1224">
      <c r="A1224" s="221">
        <v>45958.06845685185</v>
      </c>
      <c r="B1224" s="214" t="s">
        <v>193</v>
      </c>
      <c r="C1224" s="214" t="s">
        <v>182</v>
      </c>
      <c r="D1224" s="214">
        <v>5.0</v>
      </c>
      <c r="E1224" s="214">
        <v>3.0</v>
      </c>
      <c r="F1224" s="214" t="s">
        <v>1542</v>
      </c>
      <c r="G1224" s="214" t="s">
        <v>61</v>
      </c>
      <c r="H1224" s="214" t="s">
        <v>311</v>
      </c>
      <c r="I1224" s="214"/>
      <c r="J1224" s="222" t="s">
        <v>67</v>
      </c>
      <c r="K1224" s="222">
        <v>-3.0</v>
      </c>
      <c r="L1224" s="222" t="s">
        <v>67</v>
      </c>
      <c r="M1224" s="222">
        <v>61.5</v>
      </c>
      <c r="N1224" s="214">
        <v>232.0</v>
      </c>
      <c r="O1224" s="214">
        <v>198.0</v>
      </c>
      <c r="P1224" s="214">
        <v>2.0</v>
      </c>
      <c r="Q1224" s="214" t="b">
        <v>1</v>
      </c>
      <c r="R1224" s="214">
        <v>100.0</v>
      </c>
      <c r="S1224" s="214" t="s">
        <v>525</v>
      </c>
      <c r="T1224" s="214" t="s">
        <v>365</v>
      </c>
      <c r="U1224" s="214"/>
    </row>
    <row r="1225">
      <c r="A1225" s="221">
        <v>45958.06845685185</v>
      </c>
      <c r="B1225" s="214" t="s">
        <v>193</v>
      </c>
      <c r="C1225" s="214" t="s">
        <v>164</v>
      </c>
      <c r="D1225" s="214">
        <v>3.0</v>
      </c>
      <c r="E1225" s="214">
        <v>6.0</v>
      </c>
      <c r="F1225" s="214" t="s">
        <v>1543</v>
      </c>
      <c r="G1225" s="214" t="s">
        <v>61</v>
      </c>
      <c r="H1225" s="214" t="s">
        <v>249</v>
      </c>
      <c r="I1225" s="214"/>
      <c r="J1225" s="222" t="s">
        <v>67</v>
      </c>
      <c r="K1225" s="222">
        <v>10.0</v>
      </c>
      <c r="L1225" s="222" t="s">
        <v>67</v>
      </c>
      <c r="M1225" s="222">
        <v>49.5</v>
      </c>
      <c r="N1225" s="214">
        <v>169.0</v>
      </c>
      <c r="O1225" s="214">
        <v>261.0</v>
      </c>
      <c r="P1225" s="214">
        <v>2.0</v>
      </c>
      <c r="Q1225" s="214" t="b">
        <v>0</v>
      </c>
      <c r="R1225" s="214">
        <v>100.0</v>
      </c>
      <c r="S1225" s="214" t="s">
        <v>530</v>
      </c>
      <c r="T1225" s="214" t="s">
        <v>365</v>
      </c>
      <c r="U1225" s="214"/>
    </row>
    <row r="1226">
      <c r="A1226" s="221">
        <v>45958.06845685185</v>
      </c>
      <c r="B1226" s="214" t="s">
        <v>193</v>
      </c>
      <c r="C1226" s="214" t="s">
        <v>104</v>
      </c>
      <c r="D1226" s="214">
        <v>5.0</v>
      </c>
      <c r="E1226" s="214">
        <v>3.0</v>
      </c>
      <c r="F1226" s="214" t="s">
        <v>1544</v>
      </c>
      <c r="G1226" s="214" t="s">
        <v>61</v>
      </c>
      <c r="H1226" s="214" t="s">
        <v>493</v>
      </c>
      <c r="I1226" s="214"/>
      <c r="J1226" s="222" t="s">
        <v>67</v>
      </c>
      <c r="K1226" s="222">
        <v>-2.5</v>
      </c>
      <c r="L1226" s="222" t="s">
        <v>67</v>
      </c>
      <c r="M1226" s="222">
        <v>53.5</v>
      </c>
      <c r="N1226" s="214">
        <v>251.0</v>
      </c>
      <c r="O1226" s="214">
        <v>171.0</v>
      </c>
      <c r="P1226" s="214">
        <v>2.0</v>
      </c>
      <c r="Q1226" s="214" t="b">
        <v>1</v>
      </c>
      <c r="R1226" s="214">
        <v>100.0</v>
      </c>
      <c r="S1226" s="214" t="s">
        <v>317</v>
      </c>
      <c r="T1226" s="214" t="s">
        <v>321</v>
      </c>
      <c r="U1226" s="214"/>
    </row>
    <row r="1227">
      <c r="A1227" s="221">
        <v>45958.06845685185</v>
      </c>
      <c r="B1227" s="214" t="s">
        <v>193</v>
      </c>
      <c r="C1227" s="214" t="s">
        <v>126</v>
      </c>
      <c r="D1227" s="214">
        <v>4.0</v>
      </c>
      <c r="E1227" s="214">
        <v>4.0</v>
      </c>
      <c r="F1227" s="214" t="s">
        <v>1537</v>
      </c>
      <c r="G1227" s="214" t="s">
        <v>61</v>
      </c>
      <c r="H1227" s="214" t="s">
        <v>62</v>
      </c>
      <c r="I1227" s="214"/>
      <c r="J1227" s="222" t="s">
        <v>67</v>
      </c>
      <c r="K1227" s="222">
        <v>-3.5</v>
      </c>
      <c r="L1227" s="222" t="s">
        <v>67</v>
      </c>
      <c r="M1227" s="222">
        <v>55.5</v>
      </c>
      <c r="N1227" s="214">
        <v>244.0</v>
      </c>
      <c r="O1227" s="214">
        <v>207.0</v>
      </c>
      <c r="P1227" s="214">
        <v>2.0</v>
      </c>
      <c r="Q1227" s="214" t="b">
        <v>1</v>
      </c>
      <c r="R1227" s="214">
        <v>100.0</v>
      </c>
      <c r="S1227" s="214" t="s">
        <v>471</v>
      </c>
      <c r="T1227" s="214" t="s">
        <v>321</v>
      </c>
      <c r="U1227" s="214"/>
    </row>
    <row r="1228">
      <c r="A1228" s="221">
        <v>45958.06845685185</v>
      </c>
      <c r="B1228" s="214" t="s">
        <v>193</v>
      </c>
      <c r="C1228" s="214" t="s">
        <v>236</v>
      </c>
      <c r="D1228" s="214">
        <v>4.0</v>
      </c>
      <c r="E1228" s="214">
        <v>3.0</v>
      </c>
      <c r="F1228" s="214" t="s">
        <v>1524</v>
      </c>
      <c r="G1228" s="214" t="s">
        <v>532</v>
      </c>
      <c r="H1228" s="214" t="s">
        <v>43</v>
      </c>
      <c r="I1228" s="214"/>
      <c r="J1228" s="222" t="s">
        <v>67</v>
      </c>
      <c r="K1228" s="222">
        <v>-1.5</v>
      </c>
      <c r="L1228" s="222" t="s">
        <v>67</v>
      </c>
      <c r="M1228" s="222">
        <v>50.5</v>
      </c>
      <c r="N1228" s="214">
        <v>154.0</v>
      </c>
      <c r="O1228" s="214">
        <v>195.0</v>
      </c>
      <c r="P1228" s="214">
        <v>2.0</v>
      </c>
      <c r="Q1228" s="214" t="b">
        <v>1</v>
      </c>
      <c r="R1228" s="214">
        <v>100.0</v>
      </c>
      <c r="S1228" s="214" t="s">
        <v>535</v>
      </c>
      <c r="T1228" s="214" t="s">
        <v>365</v>
      </c>
      <c r="U1228" s="214"/>
    </row>
    <row r="1229">
      <c r="A1229" s="221">
        <v>45958.06845685185</v>
      </c>
      <c r="B1229" s="214"/>
      <c r="C1229" s="214"/>
      <c r="D1229" s="214"/>
      <c r="E1229" s="214"/>
      <c r="F1229" s="214"/>
      <c r="G1229" s="214"/>
      <c r="H1229" s="214"/>
      <c r="I1229" s="214"/>
      <c r="J1229" s="222"/>
      <c r="K1229" s="222"/>
      <c r="L1229" s="222"/>
      <c r="M1229" s="222"/>
      <c r="N1229" s="214"/>
      <c r="O1229" s="214"/>
      <c r="P1229" s="214"/>
      <c r="Q1229" s="214"/>
      <c r="R1229" s="214"/>
      <c r="S1229" s="214"/>
      <c r="T1229" s="214"/>
      <c r="U1229" s="214"/>
    </row>
    <row r="1230">
      <c r="A1230" s="221">
        <v>45958.06845685185</v>
      </c>
      <c r="B1230" s="214" t="s">
        <v>311</v>
      </c>
      <c r="C1230" s="214" t="s">
        <v>161</v>
      </c>
      <c r="D1230" s="214">
        <v>3.0</v>
      </c>
      <c r="E1230" s="214">
        <v>4.0</v>
      </c>
      <c r="F1230" s="214"/>
      <c r="G1230" s="214"/>
      <c r="H1230" s="214"/>
      <c r="I1230" s="214"/>
      <c r="J1230" s="222"/>
      <c r="K1230" s="222"/>
      <c r="L1230" s="222"/>
      <c r="M1230" s="222"/>
      <c r="N1230" s="214">
        <v>224.0</v>
      </c>
      <c r="O1230" s="214">
        <v>216.0</v>
      </c>
      <c r="P1230" s="214">
        <v>0.0</v>
      </c>
      <c r="Q1230" s="214" t="b">
        <v>1</v>
      </c>
      <c r="R1230" s="214">
        <v>59.0</v>
      </c>
      <c r="S1230" s="214" t="s">
        <v>361</v>
      </c>
      <c r="T1230" s="214" t="s">
        <v>365</v>
      </c>
      <c r="U1230" s="214"/>
    </row>
    <row r="1231">
      <c r="A1231" s="221">
        <v>45958.06845685185</v>
      </c>
      <c r="B1231" s="214" t="s">
        <v>311</v>
      </c>
      <c r="C1231" s="214" t="s">
        <v>234</v>
      </c>
      <c r="D1231" s="214">
        <v>0.0</v>
      </c>
      <c r="E1231" s="214">
        <v>7.0</v>
      </c>
      <c r="F1231" s="214"/>
      <c r="G1231" s="214"/>
      <c r="H1231" s="214"/>
      <c r="I1231" s="214"/>
      <c r="J1231" s="222"/>
      <c r="K1231" s="222"/>
      <c r="L1231" s="222"/>
      <c r="M1231" s="222"/>
      <c r="N1231" s="214">
        <v>119.0</v>
      </c>
      <c r="O1231" s="214">
        <v>272.0</v>
      </c>
      <c r="P1231" s="214">
        <v>0.0</v>
      </c>
      <c r="Q1231" s="214" t="b">
        <v>1</v>
      </c>
      <c r="R1231" s="214">
        <v>59.0</v>
      </c>
      <c r="S1231" s="214" t="s">
        <v>535</v>
      </c>
      <c r="T1231" s="214" t="s">
        <v>365</v>
      </c>
      <c r="U1231" s="214"/>
    </row>
    <row r="1232">
      <c r="A1232" s="221">
        <v>45958.06845685185</v>
      </c>
      <c r="B1232" s="214" t="s">
        <v>311</v>
      </c>
      <c r="C1232" s="214" t="s">
        <v>152</v>
      </c>
      <c r="D1232" s="214">
        <v>4.0</v>
      </c>
      <c r="E1232" s="214">
        <v>3.0</v>
      </c>
      <c r="F1232" s="214"/>
      <c r="G1232" s="214"/>
      <c r="H1232" s="214"/>
      <c r="I1232" s="214"/>
      <c r="J1232" s="222"/>
      <c r="K1232" s="222"/>
      <c r="L1232" s="222"/>
      <c r="M1232" s="222"/>
      <c r="N1232" s="214">
        <v>246.0</v>
      </c>
      <c r="O1232" s="214">
        <v>216.0</v>
      </c>
      <c r="P1232" s="214">
        <v>0.0</v>
      </c>
      <c r="Q1232" s="214" t="b">
        <v>1</v>
      </c>
      <c r="R1232" s="214">
        <v>59.0</v>
      </c>
      <c r="S1232" s="214" t="s">
        <v>441</v>
      </c>
      <c r="T1232" s="214" t="s">
        <v>365</v>
      </c>
      <c r="U1232" s="214"/>
    </row>
    <row r="1233">
      <c r="A1233" s="221">
        <v>45958.06845685185</v>
      </c>
      <c r="B1233" s="214" t="s">
        <v>311</v>
      </c>
      <c r="C1233" s="214" t="s">
        <v>139</v>
      </c>
      <c r="D1233" s="214">
        <v>6.0</v>
      </c>
      <c r="E1233" s="214">
        <v>2.0</v>
      </c>
      <c r="F1233" s="214" t="s">
        <v>1545</v>
      </c>
      <c r="G1233" s="214" t="s">
        <v>61</v>
      </c>
      <c r="H1233" s="214" t="s">
        <v>224</v>
      </c>
      <c r="I1233" s="214"/>
      <c r="J1233" s="222" t="s">
        <v>67</v>
      </c>
      <c r="K1233" s="222">
        <v>-14.5</v>
      </c>
      <c r="L1233" s="222" t="s">
        <v>67</v>
      </c>
      <c r="M1233" s="222">
        <v>46.5</v>
      </c>
      <c r="N1233" s="214">
        <v>232.0</v>
      </c>
      <c r="O1233" s="214">
        <v>139.0</v>
      </c>
      <c r="P1233" s="214">
        <v>2.0</v>
      </c>
      <c r="Q1233" s="214" t="b">
        <v>1</v>
      </c>
      <c r="R1233" s="214">
        <v>100.0</v>
      </c>
      <c r="S1233" s="214" t="s">
        <v>407</v>
      </c>
      <c r="T1233" s="214" t="s">
        <v>321</v>
      </c>
      <c r="U1233" s="214"/>
    </row>
    <row r="1234">
      <c r="A1234" s="221">
        <v>45958.06845685185</v>
      </c>
      <c r="B1234" s="214" t="s">
        <v>311</v>
      </c>
      <c r="C1234" s="214" t="s">
        <v>206</v>
      </c>
      <c r="D1234" s="214">
        <v>5.0</v>
      </c>
      <c r="E1234" s="214">
        <v>3.0</v>
      </c>
      <c r="F1234" s="214" t="s">
        <v>1546</v>
      </c>
      <c r="G1234" s="214" t="s">
        <v>61</v>
      </c>
      <c r="H1234" s="214" t="s">
        <v>238</v>
      </c>
      <c r="I1234" s="214"/>
      <c r="J1234" s="222" t="s">
        <v>67</v>
      </c>
      <c r="K1234" s="222">
        <v>2.5</v>
      </c>
      <c r="L1234" s="222" t="s">
        <v>67</v>
      </c>
      <c r="M1234" s="222">
        <v>49.5</v>
      </c>
      <c r="N1234" s="214">
        <v>204.0</v>
      </c>
      <c r="O1234" s="214">
        <v>151.0</v>
      </c>
      <c r="P1234" s="214">
        <v>2.0</v>
      </c>
      <c r="Q1234" s="214" t="b">
        <v>0</v>
      </c>
      <c r="R1234" s="214">
        <v>100.0</v>
      </c>
      <c r="S1234" s="214" t="s">
        <v>556</v>
      </c>
      <c r="T1234" s="214" t="s">
        <v>321</v>
      </c>
      <c r="U1234" s="214"/>
    </row>
    <row r="1235">
      <c r="A1235" s="221">
        <v>45958.06845685185</v>
      </c>
      <c r="B1235" s="214" t="s">
        <v>311</v>
      </c>
      <c r="C1235" s="214" t="s">
        <v>192</v>
      </c>
      <c r="D1235" s="214">
        <v>7.0</v>
      </c>
      <c r="E1235" s="214">
        <v>1.0</v>
      </c>
      <c r="F1235" s="214" t="s">
        <v>1547</v>
      </c>
      <c r="G1235" s="214" t="s">
        <v>61</v>
      </c>
      <c r="H1235" s="214" t="s">
        <v>238</v>
      </c>
      <c r="I1235" s="214"/>
      <c r="J1235" s="222" t="s">
        <v>67</v>
      </c>
      <c r="K1235" s="222">
        <v>-31.5</v>
      </c>
      <c r="L1235" s="222" t="s">
        <v>67</v>
      </c>
      <c r="M1235" s="222">
        <v>44.5</v>
      </c>
      <c r="N1235" s="214">
        <v>330.0</v>
      </c>
      <c r="O1235" s="214">
        <v>108.0</v>
      </c>
      <c r="P1235" s="214">
        <v>2.0</v>
      </c>
      <c r="Q1235" s="214" t="b">
        <v>1</v>
      </c>
      <c r="R1235" s="214">
        <v>100.0</v>
      </c>
      <c r="S1235" s="214" t="s">
        <v>407</v>
      </c>
      <c r="T1235" s="214" t="s">
        <v>321</v>
      </c>
      <c r="U1235" s="214"/>
    </row>
    <row r="1236">
      <c r="A1236" s="221">
        <v>45958.06845685185</v>
      </c>
      <c r="B1236" s="214" t="s">
        <v>311</v>
      </c>
      <c r="C1236" s="214" t="s">
        <v>125</v>
      </c>
      <c r="D1236" s="214">
        <v>5.0</v>
      </c>
      <c r="E1236" s="214">
        <v>3.0</v>
      </c>
      <c r="F1236" s="214" t="s">
        <v>1548</v>
      </c>
      <c r="G1236" s="214" t="s">
        <v>61</v>
      </c>
      <c r="H1236" s="214" t="s">
        <v>224</v>
      </c>
      <c r="I1236" s="214"/>
      <c r="J1236" s="222" t="s">
        <v>67</v>
      </c>
      <c r="K1236" s="222">
        <v>-2.5</v>
      </c>
      <c r="L1236" s="222" t="s">
        <v>67</v>
      </c>
      <c r="M1236" s="222">
        <v>48.5</v>
      </c>
      <c r="N1236" s="214">
        <v>232.0</v>
      </c>
      <c r="O1236" s="214">
        <v>174.0</v>
      </c>
      <c r="P1236" s="214">
        <v>2.0</v>
      </c>
      <c r="Q1236" s="214" t="b">
        <v>1</v>
      </c>
      <c r="R1236" s="214">
        <v>100.0</v>
      </c>
      <c r="S1236" s="214" t="s">
        <v>471</v>
      </c>
      <c r="T1236" s="214" t="s">
        <v>321</v>
      </c>
      <c r="U1236" s="214"/>
    </row>
    <row r="1237">
      <c r="A1237" s="221">
        <v>45958.06845685185</v>
      </c>
      <c r="B1237" s="214" t="s">
        <v>311</v>
      </c>
      <c r="C1237" s="214" t="s">
        <v>172</v>
      </c>
      <c r="D1237" s="214">
        <v>2.0</v>
      </c>
      <c r="E1237" s="214">
        <v>6.0</v>
      </c>
      <c r="F1237" s="214" t="s">
        <v>1528</v>
      </c>
      <c r="G1237" s="214" t="s">
        <v>61</v>
      </c>
      <c r="H1237" s="214" t="s">
        <v>95</v>
      </c>
      <c r="I1237" s="214"/>
      <c r="J1237" s="222" t="s">
        <v>67</v>
      </c>
      <c r="K1237" s="222">
        <v>-6.0</v>
      </c>
      <c r="L1237" s="222" t="s">
        <v>67</v>
      </c>
      <c r="M1237" s="222">
        <v>42.5</v>
      </c>
      <c r="N1237" s="214">
        <v>107.0</v>
      </c>
      <c r="O1237" s="214">
        <v>177.0</v>
      </c>
      <c r="P1237" s="214">
        <v>2.0</v>
      </c>
      <c r="Q1237" s="214" t="b">
        <v>0</v>
      </c>
      <c r="R1237" s="214">
        <v>100.0</v>
      </c>
      <c r="S1237" s="214" t="s">
        <v>530</v>
      </c>
      <c r="T1237" s="214" t="s">
        <v>365</v>
      </c>
      <c r="U1237" s="214"/>
    </row>
    <row r="1238">
      <c r="A1238" s="221">
        <v>45958.06845685185</v>
      </c>
      <c r="B1238" s="214" t="s">
        <v>311</v>
      </c>
      <c r="C1238" s="214" t="s">
        <v>186</v>
      </c>
      <c r="D1238" s="214">
        <v>4.0</v>
      </c>
      <c r="E1238" s="214">
        <v>4.0</v>
      </c>
      <c r="F1238" s="214" t="s">
        <v>1542</v>
      </c>
      <c r="G1238" s="214" t="s">
        <v>61</v>
      </c>
      <c r="H1238" s="214" t="s">
        <v>193</v>
      </c>
      <c r="I1238" s="214"/>
      <c r="J1238" s="222" t="s">
        <v>67</v>
      </c>
      <c r="K1238" s="222">
        <v>3.0</v>
      </c>
      <c r="L1238" s="222" t="s">
        <v>67</v>
      </c>
      <c r="M1238" s="222">
        <v>61.5</v>
      </c>
      <c r="N1238" s="214">
        <v>252.0</v>
      </c>
      <c r="O1238" s="214">
        <v>254.0</v>
      </c>
      <c r="P1238" s="214">
        <v>2.0</v>
      </c>
      <c r="Q1238" s="214" t="b">
        <v>0</v>
      </c>
      <c r="R1238" s="214">
        <v>100.0</v>
      </c>
      <c r="S1238" s="214" t="s">
        <v>525</v>
      </c>
      <c r="T1238" s="214" t="s">
        <v>365</v>
      </c>
      <c r="U1238" s="214"/>
    </row>
    <row r="1239">
      <c r="A1239" s="221">
        <v>45958.06845685185</v>
      </c>
      <c r="B1239" s="214" t="s">
        <v>311</v>
      </c>
      <c r="C1239" s="214" t="s">
        <v>122</v>
      </c>
      <c r="D1239" s="214">
        <v>3.0</v>
      </c>
      <c r="E1239" s="214">
        <v>5.0</v>
      </c>
      <c r="F1239" s="214" t="s">
        <v>1538</v>
      </c>
      <c r="G1239" s="214" t="s">
        <v>597</v>
      </c>
      <c r="H1239" s="214" t="s">
        <v>62</v>
      </c>
      <c r="I1239" s="214"/>
      <c r="J1239" s="222" t="s">
        <v>67</v>
      </c>
      <c r="K1239" s="222">
        <v>-6.0</v>
      </c>
      <c r="L1239" s="222" t="s">
        <v>67</v>
      </c>
      <c r="M1239" s="222">
        <v>50.5</v>
      </c>
      <c r="N1239" s="214">
        <v>203.0</v>
      </c>
      <c r="O1239" s="214">
        <v>239.0</v>
      </c>
      <c r="P1239" s="214">
        <v>2.0</v>
      </c>
      <c r="Q1239" s="214" t="b">
        <v>1</v>
      </c>
      <c r="R1239" s="214">
        <v>100.0</v>
      </c>
      <c r="S1239" s="214" t="s">
        <v>317</v>
      </c>
      <c r="T1239" s="214" t="s">
        <v>321</v>
      </c>
      <c r="U1239" s="214"/>
    </row>
    <row r="1240">
      <c r="A1240" s="221">
        <v>45958.06845685185</v>
      </c>
      <c r="B1240" s="214"/>
      <c r="C1240" s="214"/>
      <c r="D1240" s="214"/>
      <c r="E1240" s="214"/>
      <c r="F1240" s="214"/>
      <c r="G1240" s="214"/>
      <c r="H1240" s="214"/>
      <c r="I1240" s="214"/>
      <c r="J1240" s="222"/>
      <c r="K1240" s="222"/>
      <c r="L1240" s="222"/>
      <c r="M1240" s="222"/>
      <c r="N1240" s="214"/>
      <c r="O1240" s="214"/>
      <c r="P1240" s="214"/>
      <c r="Q1240" s="214"/>
      <c r="R1240" s="214"/>
      <c r="S1240" s="214"/>
      <c r="T1240" s="214"/>
      <c r="U1240" s="214"/>
    </row>
    <row r="1241">
      <c r="A1241" s="221">
        <v>45958.06845685185</v>
      </c>
      <c r="B1241" s="214" t="s">
        <v>224</v>
      </c>
      <c r="C1241" s="214" t="s">
        <v>113</v>
      </c>
      <c r="D1241" s="214">
        <v>3.0</v>
      </c>
      <c r="E1241" s="214">
        <v>4.0</v>
      </c>
      <c r="F1241" s="214"/>
      <c r="G1241" s="214"/>
      <c r="H1241" s="214"/>
      <c r="I1241" s="214"/>
      <c r="J1241" s="222"/>
      <c r="K1241" s="222"/>
      <c r="L1241" s="222"/>
      <c r="M1241" s="222"/>
      <c r="N1241" s="214">
        <v>278.0</v>
      </c>
      <c r="O1241" s="214">
        <v>158.0</v>
      </c>
      <c r="P1241" s="214">
        <v>0.0</v>
      </c>
      <c r="Q1241" s="214" t="b">
        <v>1</v>
      </c>
      <c r="R1241" s="214">
        <v>59.0</v>
      </c>
      <c r="S1241" s="214" t="s">
        <v>317</v>
      </c>
      <c r="T1241" s="214" t="s">
        <v>321</v>
      </c>
      <c r="U1241" s="214"/>
    </row>
    <row r="1242">
      <c r="A1242" s="221">
        <v>45958.06845685185</v>
      </c>
      <c r="B1242" s="214" t="s">
        <v>224</v>
      </c>
      <c r="C1242" s="214" t="s">
        <v>203</v>
      </c>
      <c r="D1242" s="214">
        <v>3.0</v>
      </c>
      <c r="E1242" s="214">
        <v>4.0</v>
      </c>
      <c r="F1242" s="214"/>
      <c r="G1242" s="214"/>
      <c r="H1242" s="214"/>
      <c r="I1242" s="214"/>
      <c r="J1242" s="222"/>
      <c r="K1242" s="222"/>
      <c r="L1242" s="222"/>
      <c r="M1242" s="222"/>
      <c r="N1242" s="214">
        <v>157.0</v>
      </c>
      <c r="O1242" s="214">
        <v>140.0</v>
      </c>
      <c r="P1242" s="214">
        <v>0.0</v>
      </c>
      <c r="Q1242" s="214" t="b">
        <v>1</v>
      </c>
      <c r="R1242" s="214">
        <v>59.0</v>
      </c>
      <c r="S1242" s="214" t="s">
        <v>556</v>
      </c>
      <c r="T1242" s="214" t="s">
        <v>321</v>
      </c>
      <c r="U1242" s="214"/>
    </row>
    <row r="1243">
      <c r="A1243" s="221">
        <v>45958.06845685185</v>
      </c>
      <c r="B1243" s="214" t="s">
        <v>224</v>
      </c>
      <c r="C1243" s="214" t="s">
        <v>185</v>
      </c>
      <c r="D1243" s="214">
        <v>6.0</v>
      </c>
      <c r="E1243" s="214">
        <v>1.0</v>
      </c>
      <c r="F1243" s="214"/>
      <c r="G1243" s="214"/>
      <c r="H1243" s="214"/>
      <c r="I1243" s="214"/>
      <c r="J1243" s="222"/>
      <c r="K1243" s="222"/>
      <c r="L1243" s="222"/>
      <c r="M1243" s="222"/>
      <c r="N1243" s="214">
        <v>260.0</v>
      </c>
      <c r="O1243" s="214">
        <v>234.0</v>
      </c>
      <c r="P1243" s="214">
        <v>0.0</v>
      </c>
      <c r="Q1243" s="214" t="b">
        <v>0</v>
      </c>
      <c r="R1243" s="214">
        <v>59.0</v>
      </c>
      <c r="S1243" s="214" t="s">
        <v>525</v>
      </c>
      <c r="T1243" s="214" t="s">
        <v>365</v>
      </c>
      <c r="U1243" s="214"/>
    </row>
    <row r="1244">
      <c r="A1244" s="221">
        <v>45958.06845685185</v>
      </c>
      <c r="B1244" s="214" t="s">
        <v>224</v>
      </c>
      <c r="C1244" s="214" t="s">
        <v>191</v>
      </c>
      <c r="D1244" s="214">
        <v>3.0</v>
      </c>
      <c r="E1244" s="214">
        <v>5.0</v>
      </c>
      <c r="F1244" s="214" t="s">
        <v>1525</v>
      </c>
      <c r="G1244" s="214" t="s">
        <v>61</v>
      </c>
      <c r="H1244" s="214" t="s">
        <v>95</v>
      </c>
      <c r="I1244" s="214"/>
      <c r="J1244" s="222" t="s">
        <v>67</v>
      </c>
      <c r="K1244" s="222">
        <v>13.5</v>
      </c>
      <c r="L1244" s="222" t="s">
        <v>67</v>
      </c>
      <c r="M1244" s="222">
        <v>48.5</v>
      </c>
      <c r="N1244" s="214">
        <v>181.0</v>
      </c>
      <c r="O1244" s="214">
        <v>219.0</v>
      </c>
      <c r="P1244" s="214">
        <v>2.0</v>
      </c>
      <c r="Q1244" s="214" t="b">
        <v>0</v>
      </c>
      <c r="R1244" s="214">
        <v>100.0</v>
      </c>
      <c r="S1244" s="214" t="s">
        <v>471</v>
      </c>
      <c r="T1244" s="214" t="s">
        <v>321</v>
      </c>
      <c r="U1244" s="214"/>
    </row>
    <row r="1245">
      <c r="A1245" s="221">
        <v>45958.06845685185</v>
      </c>
      <c r="B1245" s="214" t="s">
        <v>224</v>
      </c>
      <c r="C1245" s="214" t="s">
        <v>140</v>
      </c>
      <c r="D1245" s="214">
        <v>3.0</v>
      </c>
      <c r="E1245" s="214">
        <v>5.0</v>
      </c>
      <c r="F1245" s="214" t="s">
        <v>1545</v>
      </c>
      <c r="G1245" s="214" t="s">
        <v>61</v>
      </c>
      <c r="H1245" s="214" t="s">
        <v>311</v>
      </c>
      <c r="I1245" s="214"/>
      <c r="J1245" s="222" t="s">
        <v>67</v>
      </c>
      <c r="K1245" s="222">
        <v>14.5</v>
      </c>
      <c r="L1245" s="222" t="s">
        <v>67</v>
      </c>
      <c r="M1245" s="222">
        <v>46.5</v>
      </c>
      <c r="N1245" s="214">
        <v>210.0</v>
      </c>
      <c r="O1245" s="214">
        <v>260.0</v>
      </c>
      <c r="P1245" s="214">
        <v>2.0</v>
      </c>
      <c r="Q1245" s="214" t="b">
        <v>0</v>
      </c>
      <c r="R1245" s="214">
        <v>100.0</v>
      </c>
      <c r="S1245" s="214" t="s">
        <v>407</v>
      </c>
      <c r="T1245" s="214" t="s">
        <v>321</v>
      </c>
      <c r="U1245" s="214"/>
    </row>
    <row r="1246">
      <c r="A1246" s="221">
        <v>45958.06845685185</v>
      </c>
      <c r="B1246" s="214" t="s">
        <v>224</v>
      </c>
      <c r="C1246" s="214" t="s">
        <v>216</v>
      </c>
      <c r="D1246" s="214">
        <v>3.0</v>
      </c>
      <c r="E1246" s="214">
        <v>5.0</v>
      </c>
      <c r="F1246" s="214" t="s">
        <v>1549</v>
      </c>
      <c r="G1246" s="214" t="s">
        <v>61</v>
      </c>
      <c r="H1246" s="214" t="s">
        <v>132</v>
      </c>
      <c r="I1246" s="214"/>
      <c r="J1246" s="222" t="s">
        <v>67</v>
      </c>
      <c r="K1246" s="222">
        <v>1.5</v>
      </c>
      <c r="L1246" s="222" t="s">
        <v>67</v>
      </c>
      <c r="M1246" s="222">
        <v>59.5</v>
      </c>
      <c r="N1246" s="214">
        <v>230.0</v>
      </c>
      <c r="O1246" s="214">
        <v>283.0</v>
      </c>
      <c r="P1246" s="214">
        <v>2.0</v>
      </c>
      <c r="Q1246" s="214" t="b">
        <v>1</v>
      </c>
      <c r="R1246" s="214">
        <v>100.0</v>
      </c>
      <c r="S1246" s="214" t="s">
        <v>441</v>
      </c>
      <c r="T1246" s="214" t="s">
        <v>365</v>
      </c>
      <c r="U1246" s="214"/>
    </row>
    <row r="1247">
      <c r="A1247" s="221">
        <v>45958.06845685185</v>
      </c>
      <c r="B1247" s="214" t="s">
        <v>224</v>
      </c>
      <c r="C1247" s="214" t="s">
        <v>226</v>
      </c>
      <c r="D1247" s="214">
        <v>8.0</v>
      </c>
      <c r="E1247" s="214">
        <v>0.0</v>
      </c>
      <c r="F1247" s="214" t="s">
        <v>1548</v>
      </c>
      <c r="G1247" s="214" t="s">
        <v>61</v>
      </c>
      <c r="H1247" s="214" t="s">
        <v>311</v>
      </c>
      <c r="I1247" s="214"/>
      <c r="J1247" s="222" t="s">
        <v>67</v>
      </c>
      <c r="K1247" s="222">
        <v>2.5</v>
      </c>
      <c r="L1247" s="222" t="s">
        <v>67</v>
      </c>
      <c r="M1247" s="222">
        <v>48.5</v>
      </c>
      <c r="N1247" s="214">
        <v>290.0</v>
      </c>
      <c r="O1247" s="214">
        <v>136.0</v>
      </c>
      <c r="P1247" s="214">
        <v>2.0</v>
      </c>
      <c r="Q1247" s="214" t="b">
        <v>0</v>
      </c>
      <c r="R1247" s="214">
        <v>100.0</v>
      </c>
      <c r="S1247" s="214" t="s">
        <v>471</v>
      </c>
      <c r="T1247" s="214" t="s">
        <v>321</v>
      </c>
      <c r="U1247" s="214"/>
    </row>
    <row r="1248">
      <c r="A1248" s="221">
        <v>45958.06845685185</v>
      </c>
      <c r="B1248" s="214" t="s">
        <v>224</v>
      </c>
      <c r="C1248" s="214" t="s">
        <v>103</v>
      </c>
      <c r="D1248" s="214">
        <v>7.0</v>
      </c>
      <c r="E1248" s="214">
        <v>0.0</v>
      </c>
      <c r="F1248" s="214" t="s">
        <v>1541</v>
      </c>
      <c r="G1248" s="214" t="s">
        <v>61</v>
      </c>
      <c r="H1248" s="214" t="s">
        <v>193</v>
      </c>
      <c r="I1248" s="214"/>
      <c r="J1248" s="222" t="s">
        <v>67</v>
      </c>
      <c r="K1248" s="222">
        <v>-14.0</v>
      </c>
      <c r="L1248" s="222" t="s">
        <v>67</v>
      </c>
      <c r="M1248" s="222">
        <v>62.5</v>
      </c>
      <c r="N1248" s="214">
        <v>261.0</v>
      </c>
      <c r="O1248" s="214">
        <v>161.0</v>
      </c>
      <c r="P1248" s="214">
        <v>2.0</v>
      </c>
      <c r="Q1248" s="214" t="b">
        <v>0</v>
      </c>
      <c r="R1248" s="214">
        <v>100.0</v>
      </c>
      <c r="S1248" s="214" t="s">
        <v>361</v>
      </c>
      <c r="T1248" s="214" t="s">
        <v>365</v>
      </c>
      <c r="U1248" s="214"/>
    </row>
    <row r="1249">
      <c r="A1249" s="221">
        <v>45958.06845685185</v>
      </c>
      <c r="B1249" s="214" t="s">
        <v>224</v>
      </c>
      <c r="C1249" s="214" t="s">
        <v>166</v>
      </c>
      <c r="D1249" s="214">
        <v>3.0</v>
      </c>
      <c r="E1249" s="214">
        <v>5.0</v>
      </c>
      <c r="F1249" s="214" t="s">
        <v>1550</v>
      </c>
      <c r="G1249" s="214" t="s">
        <v>61</v>
      </c>
      <c r="H1249" s="214" t="s">
        <v>493</v>
      </c>
      <c r="I1249" s="214"/>
      <c r="J1249" s="222" t="s">
        <v>67</v>
      </c>
      <c r="K1249" s="222">
        <v>-7.0</v>
      </c>
      <c r="L1249" s="222" t="s">
        <v>67</v>
      </c>
      <c r="M1249" s="222">
        <v>47.5</v>
      </c>
      <c r="N1249" s="214">
        <v>161.0</v>
      </c>
      <c r="O1249" s="214">
        <v>203.0</v>
      </c>
      <c r="P1249" s="214">
        <v>2.0</v>
      </c>
      <c r="Q1249" s="214" t="b">
        <v>0</v>
      </c>
      <c r="R1249" s="214">
        <v>100.0</v>
      </c>
      <c r="S1249" s="214" t="s">
        <v>530</v>
      </c>
      <c r="T1249" s="214" t="s">
        <v>365</v>
      </c>
      <c r="U1249" s="214"/>
    </row>
    <row r="1250">
      <c r="A1250" s="221">
        <v>45958.06845685185</v>
      </c>
      <c r="B1250" s="214" t="s">
        <v>224</v>
      </c>
      <c r="C1250" s="214" t="s">
        <v>235</v>
      </c>
      <c r="D1250" s="214">
        <v>4.0</v>
      </c>
      <c r="E1250" s="214">
        <v>3.0</v>
      </c>
      <c r="F1250" s="214" t="s">
        <v>1551</v>
      </c>
      <c r="G1250" s="214" t="s">
        <v>61</v>
      </c>
      <c r="H1250" s="214" t="s">
        <v>96</v>
      </c>
      <c r="I1250" s="214"/>
      <c r="J1250" s="222"/>
      <c r="K1250" s="222"/>
      <c r="L1250" s="222"/>
      <c r="M1250" s="222"/>
      <c r="N1250" s="214">
        <v>204.0</v>
      </c>
      <c r="O1250" s="214">
        <v>198.0</v>
      </c>
      <c r="P1250" s="214">
        <v>2.0</v>
      </c>
      <c r="Q1250" s="214" t="b">
        <v>1</v>
      </c>
      <c r="R1250" s="214">
        <v>100.0</v>
      </c>
      <c r="S1250" s="214" t="s">
        <v>535</v>
      </c>
      <c r="T1250" s="214" t="s">
        <v>365</v>
      </c>
      <c r="U1250" s="214"/>
    </row>
    <row r="1251">
      <c r="A1251" s="221">
        <v>45958.06845685185</v>
      </c>
      <c r="B1251" s="214"/>
      <c r="C1251" s="214"/>
      <c r="D1251" s="214"/>
      <c r="E1251" s="214"/>
      <c r="F1251" s="214"/>
      <c r="G1251" s="214"/>
      <c r="H1251" s="214"/>
      <c r="I1251" s="214"/>
      <c r="J1251" s="222"/>
      <c r="K1251" s="222"/>
      <c r="L1251" s="222"/>
      <c r="M1251" s="222"/>
      <c r="N1251" s="214"/>
      <c r="O1251" s="214"/>
      <c r="P1251" s="214"/>
      <c r="Q1251" s="214"/>
      <c r="R1251" s="214"/>
      <c r="S1251" s="214"/>
      <c r="T1251" s="214"/>
      <c r="U1251" s="214"/>
    </row>
    <row r="1252">
      <c r="A1252" s="221">
        <v>45958.06845685185</v>
      </c>
      <c r="B1252" s="214" t="s">
        <v>96</v>
      </c>
      <c r="C1252" s="214" t="s">
        <v>229</v>
      </c>
      <c r="D1252" s="214">
        <v>5.0</v>
      </c>
      <c r="E1252" s="214">
        <v>2.0</v>
      </c>
      <c r="F1252" s="214"/>
      <c r="G1252" s="214"/>
      <c r="H1252" s="214"/>
      <c r="I1252" s="214"/>
      <c r="J1252" s="222"/>
      <c r="K1252" s="222"/>
      <c r="L1252" s="222"/>
      <c r="M1252" s="222"/>
      <c r="N1252" s="214">
        <v>274.0</v>
      </c>
      <c r="O1252" s="214">
        <v>149.0</v>
      </c>
      <c r="P1252" s="214">
        <v>0.0</v>
      </c>
      <c r="Q1252" s="214" t="b">
        <v>1</v>
      </c>
      <c r="R1252" s="214">
        <v>59.0</v>
      </c>
      <c r="S1252" s="214" t="s">
        <v>725</v>
      </c>
      <c r="T1252" s="214"/>
      <c r="U1252" s="214"/>
    </row>
    <row r="1253">
      <c r="A1253" s="221">
        <v>45958.06845685185</v>
      </c>
      <c r="B1253" s="214" t="s">
        <v>96</v>
      </c>
      <c r="C1253" s="214" t="s">
        <v>536</v>
      </c>
      <c r="D1253" s="214">
        <v>6.0</v>
      </c>
      <c r="E1253" s="214">
        <v>2.0</v>
      </c>
      <c r="F1253" s="214"/>
      <c r="G1253" s="214"/>
      <c r="H1253" s="214"/>
      <c r="I1253" s="214"/>
      <c r="J1253" s="222"/>
      <c r="K1253" s="222"/>
      <c r="L1253" s="222"/>
      <c r="M1253" s="222"/>
      <c r="N1253" s="214">
        <v>229.0</v>
      </c>
      <c r="O1253" s="214">
        <v>186.0</v>
      </c>
      <c r="P1253" s="214">
        <v>0.0</v>
      </c>
      <c r="Q1253" s="214" t="b">
        <v>1</v>
      </c>
      <c r="R1253" s="214">
        <v>59.0</v>
      </c>
      <c r="S1253" s="214" t="s">
        <v>525</v>
      </c>
      <c r="T1253" s="214" t="s">
        <v>365</v>
      </c>
      <c r="U1253" s="214"/>
    </row>
    <row r="1254">
      <c r="A1254" s="221">
        <v>45958.06845685185</v>
      </c>
      <c r="B1254" s="214" t="s">
        <v>96</v>
      </c>
      <c r="C1254" s="214" t="s">
        <v>204</v>
      </c>
      <c r="D1254" s="214">
        <v>6.0</v>
      </c>
      <c r="E1254" s="214">
        <v>1.0</v>
      </c>
      <c r="F1254" s="214"/>
      <c r="G1254" s="214"/>
      <c r="H1254" s="214"/>
      <c r="I1254" s="214"/>
      <c r="J1254" s="222"/>
      <c r="K1254" s="222"/>
      <c r="L1254" s="222"/>
      <c r="M1254" s="222"/>
      <c r="N1254" s="214">
        <v>236.0</v>
      </c>
      <c r="O1254" s="214">
        <v>137.0</v>
      </c>
      <c r="P1254" s="214">
        <v>0.0</v>
      </c>
      <c r="Q1254" s="214" t="b">
        <v>1</v>
      </c>
      <c r="R1254" s="214">
        <v>59.0</v>
      </c>
      <c r="S1254" s="214" t="s">
        <v>556</v>
      </c>
      <c r="T1254" s="214" t="s">
        <v>321</v>
      </c>
      <c r="U1254" s="214"/>
    </row>
    <row r="1255">
      <c r="A1255" s="221">
        <v>45958.06845685185</v>
      </c>
      <c r="B1255" s="214" t="s">
        <v>96</v>
      </c>
      <c r="C1255" s="214" t="s">
        <v>222</v>
      </c>
      <c r="D1255" s="214">
        <v>6.0</v>
      </c>
      <c r="E1255" s="214">
        <v>2.0</v>
      </c>
      <c r="F1255" s="214" t="s">
        <v>1540</v>
      </c>
      <c r="G1255" s="214" t="s">
        <v>61</v>
      </c>
      <c r="H1255" s="214" t="s">
        <v>193</v>
      </c>
      <c r="I1255" s="214"/>
      <c r="J1255" s="222" t="s">
        <v>67</v>
      </c>
      <c r="K1255" s="222">
        <v>-9.5</v>
      </c>
      <c r="L1255" s="222" t="s">
        <v>67</v>
      </c>
      <c r="M1255" s="222">
        <v>48.5</v>
      </c>
      <c r="N1255" s="214">
        <v>233.0</v>
      </c>
      <c r="O1255" s="214">
        <v>194.0</v>
      </c>
      <c r="P1255" s="214">
        <v>2.0</v>
      </c>
      <c r="Q1255" s="214" t="b">
        <v>1</v>
      </c>
      <c r="R1255" s="214">
        <v>100.0</v>
      </c>
      <c r="S1255" s="214" t="s">
        <v>441</v>
      </c>
      <c r="T1255" s="214" t="s">
        <v>365</v>
      </c>
      <c r="U1255" s="214"/>
    </row>
    <row r="1256">
      <c r="A1256" s="221">
        <v>45958.06845685185</v>
      </c>
      <c r="B1256" s="214" t="s">
        <v>96</v>
      </c>
      <c r="C1256" s="214" t="s">
        <v>129</v>
      </c>
      <c r="D1256" s="214">
        <v>1.0</v>
      </c>
      <c r="E1256" s="214">
        <v>7.0</v>
      </c>
      <c r="F1256" s="214" t="s">
        <v>1518</v>
      </c>
      <c r="G1256" s="214" t="s">
        <v>61</v>
      </c>
      <c r="H1256" s="214" t="s">
        <v>43</v>
      </c>
      <c r="I1256" s="214"/>
      <c r="J1256" s="222" t="s">
        <v>67</v>
      </c>
      <c r="K1256" s="222">
        <v>36.5</v>
      </c>
      <c r="L1256" s="222" t="s">
        <v>67</v>
      </c>
      <c r="M1256" s="222">
        <v>54.5</v>
      </c>
      <c r="N1256" s="214">
        <v>116.0</v>
      </c>
      <c r="O1256" s="214">
        <v>311.0</v>
      </c>
      <c r="P1256" s="214">
        <v>2.0</v>
      </c>
      <c r="Q1256" s="214" t="b">
        <v>1</v>
      </c>
      <c r="R1256" s="214">
        <v>100.0</v>
      </c>
      <c r="S1256" s="214" t="s">
        <v>471</v>
      </c>
      <c r="T1256" s="214" t="s">
        <v>321</v>
      </c>
      <c r="U1256" s="214"/>
    </row>
    <row r="1257">
      <c r="A1257" s="221">
        <v>45958.06845685185</v>
      </c>
      <c r="B1257" s="214" t="s">
        <v>96</v>
      </c>
      <c r="C1257" s="214" t="s">
        <v>105</v>
      </c>
      <c r="D1257" s="214">
        <v>6.0</v>
      </c>
      <c r="E1257" s="214">
        <v>2.0</v>
      </c>
      <c r="F1257" s="214" t="s">
        <v>1552</v>
      </c>
      <c r="G1257" s="214" t="s">
        <v>61</v>
      </c>
      <c r="H1257" s="214" t="s">
        <v>238</v>
      </c>
      <c r="I1257" s="214"/>
      <c r="J1257" s="222" t="s">
        <v>67</v>
      </c>
      <c r="K1257" s="222">
        <v>-5.5</v>
      </c>
      <c r="L1257" s="222" t="s">
        <v>67</v>
      </c>
      <c r="M1257" s="222">
        <v>58.5</v>
      </c>
      <c r="N1257" s="214">
        <v>323.0</v>
      </c>
      <c r="O1257" s="214">
        <v>195.0</v>
      </c>
      <c r="P1257" s="214">
        <v>2.0</v>
      </c>
      <c r="Q1257" s="214" t="b">
        <v>0</v>
      </c>
      <c r="R1257" s="214">
        <v>100.0</v>
      </c>
      <c r="S1257" s="214" t="s">
        <v>361</v>
      </c>
      <c r="T1257" s="214" t="s">
        <v>365</v>
      </c>
      <c r="U1257" s="214"/>
    </row>
    <row r="1258">
      <c r="A1258" s="221">
        <v>45958.06845685185</v>
      </c>
      <c r="B1258" s="214" t="s">
        <v>96</v>
      </c>
      <c r="C1258" s="214" t="s">
        <v>173</v>
      </c>
      <c r="D1258" s="214">
        <v>5.0</v>
      </c>
      <c r="E1258" s="214">
        <v>3.0</v>
      </c>
      <c r="F1258" s="214" t="s">
        <v>1536</v>
      </c>
      <c r="G1258" s="214" t="s">
        <v>61</v>
      </c>
      <c r="H1258" s="214" t="s">
        <v>62</v>
      </c>
      <c r="I1258" s="214"/>
      <c r="J1258" s="222" t="s">
        <v>67</v>
      </c>
      <c r="K1258" s="222">
        <v>-11.5</v>
      </c>
      <c r="L1258" s="222" t="s">
        <v>67</v>
      </c>
      <c r="M1258" s="222">
        <v>58.5</v>
      </c>
      <c r="N1258" s="214">
        <v>234.0</v>
      </c>
      <c r="O1258" s="214">
        <v>198.0</v>
      </c>
      <c r="P1258" s="214">
        <v>2.0</v>
      </c>
      <c r="Q1258" s="214" t="b">
        <v>1</v>
      </c>
      <c r="R1258" s="214">
        <v>100.0</v>
      </c>
      <c r="S1258" s="214" t="s">
        <v>530</v>
      </c>
      <c r="T1258" s="214" t="s">
        <v>365</v>
      </c>
      <c r="U1258" s="214"/>
    </row>
    <row r="1259">
      <c r="A1259" s="221">
        <v>45958.06845685185</v>
      </c>
      <c r="B1259" s="214" t="s">
        <v>96</v>
      </c>
      <c r="C1259" s="214" t="s">
        <v>142</v>
      </c>
      <c r="D1259" s="214">
        <v>6.0</v>
      </c>
      <c r="E1259" s="214">
        <v>2.0</v>
      </c>
      <c r="F1259" s="214" t="s">
        <v>1553</v>
      </c>
      <c r="G1259" s="214" t="s">
        <v>61</v>
      </c>
      <c r="H1259" s="214" t="s">
        <v>493</v>
      </c>
      <c r="I1259" s="214"/>
      <c r="J1259" s="222" t="s">
        <v>67</v>
      </c>
      <c r="K1259" s="222">
        <v>-7.5</v>
      </c>
      <c r="L1259" s="222" t="s">
        <v>67</v>
      </c>
      <c r="M1259" s="222">
        <v>44.5</v>
      </c>
      <c r="N1259" s="214">
        <v>280.0</v>
      </c>
      <c r="O1259" s="214">
        <v>157.0</v>
      </c>
      <c r="P1259" s="214">
        <v>2.0</v>
      </c>
      <c r="Q1259" s="214" t="b">
        <v>1</v>
      </c>
      <c r="R1259" s="214">
        <v>100.0</v>
      </c>
      <c r="S1259" s="214" t="s">
        <v>407</v>
      </c>
      <c r="T1259" s="214" t="s">
        <v>321</v>
      </c>
      <c r="U1259" s="214"/>
    </row>
    <row r="1260">
      <c r="A1260" s="221">
        <v>45958.06845685185</v>
      </c>
      <c r="B1260" s="214" t="s">
        <v>96</v>
      </c>
      <c r="C1260" s="214" t="s">
        <v>153</v>
      </c>
      <c r="D1260" s="214">
        <v>1.0</v>
      </c>
      <c r="E1260" s="214">
        <v>6.0</v>
      </c>
      <c r="F1260" s="214" t="s">
        <v>1551</v>
      </c>
      <c r="G1260" s="214" t="s">
        <v>61</v>
      </c>
      <c r="H1260" s="214" t="s">
        <v>224</v>
      </c>
      <c r="I1260" s="214"/>
      <c r="J1260" s="222" t="s">
        <v>67</v>
      </c>
      <c r="K1260" s="222">
        <v>9.5</v>
      </c>
      <c r="L1260" s="222" t="s">
        <v>67</v>
      </c>
      <c r="M1260" s="222">
        <v>55.5</v>
      </c>
      <c r="N1260" s="214">
        <v>130.0</v>
      </c>
      <c r="O1260" s="214">
        <v>208.0</v>
      </c>
      <c r="P1260" s="214">
        <v>2.0</v>
      </c>
      <c r="Q1260" s="214" t="b">
        <v>0</v>
      </c>
      <c r="R1260" s="214">
        <v>100.0</v>
      </c>
      <c r="S1260" s="214" t="s">
        <v>535</v>
      </c>
      <c r="T1260" s="214" t="s">
        <v>365</v>
      </c>
      <c r="U1260" s="214"/>
    </row>
    <row r="1261">
      <c r="A1261" s="221">
        <v>45958.06845685185</v>
      </c>
      <c r="B1261" s="214" t="s">
        <v>96</v>
      </c>
      <c r="C1261" s="214" t="s">
        <v>121</v>
      </c>
      <c r="D1261" s="214">
        <v>7.0</v>
      </c>
      <c r="E1261" s="214">
        <v>1.0</v>
      </c>
      <c r="F1261" s="214" t="s">
        <v>1523</v>
      </c>
      <c r="G1261" s="214" t="s">
        <v>532</v>
      </c>
      <c r="H1261" s="214" t="s">
        <v>43</v>
      </c>
      <c r="I1261" s="214"/>
      <c r="J1261" s="222" t="s">
        <v>67</v>
      </c>
      <c r="K1261" s="222">
        <v>-10.5</v>
      </c>
      <c r="L1261" s="222" t="s">
        <v>67</v>
      </c>
      <c r="M1261" s="222">
        <v>51.5</v>
      </c>
      <c r="N1261" s="214">
        <v>297.0</v>
      </c>
      <c r="O1261" s="214">
        <v>179.0</v>
      </c>
      <c r="P1261" s="214">
        <v>2.0</v>
      </c>
      <c r="Q1261" s="214" t="b">
        <v>1</v>
      </c>
      <c r="R1261" s="214">
        <v>100.0</v>
      </c>
      <c r="S1261" s="214" t="s">
        <v>317</v>
      </c>
      <c r="T1261" s="214" t="s">
        <v>321</v>
      </c>
      <c r="U1261" s="214"/>
    </row>
    <row r="1262">
      <c r="A1262" s="221">
        <v>45958.06845685185</v>
      </c>
      <c r="B1262" s="214"/>
      <c r="C1262" s="214"/>
      <c r="D1262" s="214"/>
      <c r="E1262" s="214"/>
      <c r="F1262" s="214"/>
      <c r="G1262" s="214"/>
      <c r="H1262" s="214"/>
      <c r="I1262" s="214"/>
      <c r="J1262" s="222"/>
      <c r="K1262" s="222"/>
      <c r="L1262" s="222"/>
      <c r="M1262" s="222"/>
      <c r="N1262" s="214"/>
      <c r="O1262" s="214"/>
      <c r="P1262" s="214"/>
      <c r="Q1262" s="214"/>
      <c r="R1262" s="214"/>
      <c r="S1262" s="214"/>
      <c r="T1262" s="214"/>
      <c r="U1262" s="214"/>
    </row>
    <row r="1263">
      <c r="A1263" s="221">
        <v>45958.06845685185</v>
      </c>
      <c r="B1263" s="214" t="s">
        <v>238</v>
      </c>
      <c r="C1263" s="214" t="s">
        <v>549</v>
      </c>
      <c r="D1263" s="214">
        <v>2.0</v>
      </c>
      <c r="E1263" s="214">
        <v>5.0</v>
      </c>
      <c r="F1263" s="214"/>
      <c r="G1263" s="214"/>
      <c r="H1263" s="214"/>
      <c r="I1263" s="214"/>
      <c r="J1263" s="222"/>
      <c r="K1263" s="222"/>
      <c r="L1263" s="222"/>
      <c r="M1263" s="222"/>
      <c r="N1263" s="214">
        <v>169.0</v>
      </c>
      <c r="O1263" s="214">
        <v>205.0</v>
      </c>
      <c r="P1263" s="214">
        <v>0.0</v>
      </c>
      <c r="Q1263" s="214" t="b">
        <v>1</v>
      </c>
      <c r="R1263" s="214">
        <v>59.0</v>
      </c>
      <c r="S1263" s="214" t="s">
        <v>525</v>
      </c>
      <c r="T1263" s="214" t="s">
        <v>365</v>
      </c>
      <c r="U1263" s="214"/>
    </row>
    <row r="1264">
      <c r="A1264" s="221">
        <v>45958.06845685185</v>
      </c>
      <c r="B1264" s="214" t="s">
        <v>238</v>
      </c>
      <c r="C1264" s="214" t="s">
        <v>160</v>
      </c>
      <c r="D1264" s="214">
        <v>2.0</v>
      </c>
      <c r="E1264" s="214">
        <v>5.0</v>
      </c>
      <c r="F1264" s="214"/>
      <c r="G1264" s="214"/>
      <c r="H1264" s="214"/>
      <c r="I1264" s="214"/>
      <c r="J1264" s="222"/>
      <c r="K1264" s="222"/>
      <c r="L1264" s="222"/>
      <c r="M1264" s="222"/>
      <c r="N1264" s="214">
        <v>147.0</v>
      </c>
      <c r="O1264" s="214">
        <v>169.0</v>
      </c>
      <c r="P1264" s="214">
        <v>0.0</v>
      </c>
      <c r="Q1264" s="214" t="b">
        <v>1</v>
      </c>
      <c r="R1264" s="214">
        <v>59.0</v>
      </c>
      <c r="S1264" s="214" t="s">
        <v>535</v>
      </c>
      <c r="T1264" s="214" t="s">
        <v>365</v>
      </c>
      <c r="U1264" s="214"/>
    </row>
    <row r="1265">
      <c r="A1265" s="221">
        <v>45958.06845685185</v>
      </c>
      <c r="B1265" s="214" t="s">
        <v>238</v>
      </c>
      <c r="C1265" s="214" t="s">
        <v>539</v>
      </c>
      <c r="D1265" s="214">
        <v>8.0</v>
      </c>
      <c r="E1265" s="214">
        <v>0.0</v>
      </c>
      <c r="F1265" s="214" t="s">
        <v>1546</v>
      </c>
      <c r="G1265" s="214" t="s">
        <v>61</v>
      </c>
      <c r="H1265" s="214" t="s">
        <v>311</v>
      </c>
      <c r="I1265" s="214"/>
      <c r="J1265" s="222" t="s">
        <v>67</v>
      </c>
      <c r="K1265" s="222">
        <v>-2.5</v>
      </c>
      <c r="L1265" s="222" t="s">
        <v>67</v>
      </c>
      <c r="M1265" s="222">
        <v>49.5</v>
      </c>
      <c r="N1265" s="214">
        <v>302.0</v>
      </c>
      <c r="O1265" s="214">
        <v>189.0</v>
      </c>
      <c r="P1265" s="214">
        <v>2.0</v>
      </c>
      <c r="Q1265" s="214" t="b">
        <v>1</v>
      </c>
      <c r="R1265" s="214">
        <v>100.0</v>
      </c>
      <c r="S1265" s="214" t="s">
        <v>556</v>
      </c>
      <c r="T1265" s="214" t="s">
        <v>321</v>
      </c>
      <c r="U1265" s="214"/>
    </row>
    <row r="1266">
      <c r="A1266" s="221">
        <v>45958.06845685185</v>
      </c>
      <c r="B1266" s="214" t="s">
        <v>238</v>
      </c>
      <c r="C1266" s="214" t="s">
        <v>148</v>
      </c>
      <c r="D1266" s="214">
        <v>2.0</v>
      </c>
      <c r="E1266" s="214">
        <v>6.0</v>
      </c>
      <c r="F1266" s="214" t="s">
        <v>1547</v>
      </c>
      <c r="G1266" s="214" t="s">
        <v>61</v>
      </c>
      <c r="H1266" s="214" t="s">
        <v>311</v>
      </c>
      <c r="I1266" s="214"/>
      <c r="J1266" s="222" t="s">
        <v>67</v>
      </c>
      <c r="K1266" s="222">
        <v>31.5</v>
      </c>
      <c r="L1266" s="222" t="s">
        <v>67</v>
      </c>
      <c r="M1266" s="222">
        <v>44.5</v>
      </c>
      <c r="N1266" s="214">
        <v>100.0</v>
      </c>
      <c r="O1266" s="214">
        <v>191.0</v>
      </c>
      <c r="P1266" s="214">
        <v>2.0</v>
      </c>
      <c r="Q1266" s="214" t="b">
        <v>0</v>
      </c>
      <c r="R1266" s="214">
        <v>100.0</v>
      </c>
      <c r="S1266" s="214" t="s">
        <v>407</v>
      </c>
      <c r="T1266" s="214" t="s">
        <v>321</v>
      </c>
      <c r="U1266" s="214"/>
    </row>
    <row r="1267">
      <c r="A1267" s="221">
        <v>45958.06845685185</v>
      </c>
      <c r="B1267" s="214" t="s">
        <v>238</v>
      </c>
      <c r="C1267" s="214" t="s">
        <v>98</v>
      </c>
      <c r="D1267" s="214">
        <v>7.0</v>
      </c>
      <c r="E1267" s="214">
        <v>1.0</v>
      </c>
      <c r="F1267" s="214" t="s">
        <v>1554</v>
      </c>
      <c r="G1267" s="214" t="s">
        <v>61</v>
      </c>
      <c r="H1267" s="214" t="s">
        <v>249</v>
      </c>
      <c r="I1267" s="214"/>
      <c r="J1267" s="222" t="s">
        <v>67</v>
      </c>
      <c r="K1267" s="222">
        <v>-3.5</v>
      </c>
      <c r="L1267" s="222" t="s">
        <v>67</v>
      </c>
      <c r="M1267" s="222">
        <v>67.5</v>
      </c>
      <c r="N1267" s="214">
        <v>306.0</v>
      </c>
      <c r="O1267" s="214">
        <v>152.0</v>
      </c>
      <c r="P1267" s="214">
        <v>2.0</v>
      </c>
      <c r="Q1267" s="214" t="b">
        <v>0</v>
      </c>
      <c r="R1267" s="214">
        <v>100.0</v>
      </c>
      <c r="S1267" s="214" t="s">
        <v>471</v>
      </c>
      <c r="T1267" s="214" t="s">
        <v>321</v>
      </c>
      <c r="U1267" s="214"/>
    </row>
    <row r="1268">
      <c r="A1268" s="221">
        <v>45958.06845685185</v>
      </c>
      <c r="B1268" s="214" t="s">
        <v>238</v>
      </c>
      <c r="C1268" s="214" t="s">
        <v>119</v>
      </c>
      <c r="D1268" s="214">
        <v>6.0</v>
      </c>
      <c r="E1268" s="214">
        <v>2.0</v>
      </c>
      <c r="F1268" s="214" t="s">
        <v>1527</v>
      </c>
      <c r="G1268" s="214" t="s">
        <v>61</v>
      </c>
      <c r="H1268" s="214" t="s">
        <v>95</v>
      </c>
      <c r="I1268" s="214"/>
      <c r="J1268" s="222" t="s">
        <v>67</v>
      </c>
      <c r="K1268" s="222">
        <v>-6.5</v>
      </c>
      <c r="L1268" s="222" t="s">
        <v>67</v>
      </c>
      <c r="M1268" s="222">
        <v>55.5</v>
      </c>
      <c r="N1268" s="214">
        <v>322.0</v>
      </c>
      <c r="O1268" s="214">
        <v>176.0</v>
      </c>
      <c r="P1268" s="214">
        <v>2.0</v>
      </c>
      <c r="Q1268" s="214" t="b">
        <v>1</v>
      </c>
      <c r="R1268" s="214">
        <v>100.0</v>
      </c>
      <c r="S1268" s="214" t="s">
        <v>317</v>
      </c>
      <c r="T1268" s="214" t="s">
        <v>321</v>
      </c>
      <c r="U1268" s="214"/>
    </row>
    <row r="1269">
      <c r="A1269" s="221">
        <v>45958.06845685185</v>
      </c>
      <c r="B1269" s="214" t="s">
        <v>238</v>
      </c>
      <c r="C1269" s="214" t="s">
        <v>548</v>
      </c>
      <c r="D1269" s="214">
        <v>5.0</v>
      </c>
      <c r="E1269" s="214">
        <v>3.0</v>
      </c>
      <c r="F1269" s="214" t="s">
        <v>1555</v>
      </c>
      <c r="G1269" s="214" t="s">
        <v>61</v>
      </c>
      <c r="H1269" s="214" t="s">
        <v>395</v>
      </c>
      <c r="I1269" s="214"/>
      <c r="J1269" s="222" t="s">
        <v>67</v>
      </c>
      <c r="K1269" s="222">
        <v>-1.5</v>
      </c>
      <c r="L1269" s="222" t="s">
        <v>67</v>
      </c>
      <c r="M1269" s="222">
        <v>41.5</v>
      </c>
      <c r="N1269" s="214">
        <v>208.0</v>
      </c>
      <c r="O1269" s="214">
        <v>171.0</v>
      </c>
      <c r="P1269" s="214">
        <v>2.0</v>
      </c>
      <c r="Q1269" s="214" t="b">
        <v>1</v>
      </c>
      <c r="R1269" s="214">
        <v>100.0</v>
      </c>
      <c r="S1269" s="214" t="s">
        <v>530</v>
      </c>
      <c r="T1269" s="214" t="s">
        <v>365</v>
      </c>
      <c r="U1269" s="214"/>
    </row>
    <row r="1270">
      <c r="A1270" s="221">
        <v>45958.06845685185</v>
      </c>
      <c r="B1270" s="214" t="s">
        <v>238</v>
      </c>
      <c r="C1270" s="214" t="s">
        <v>141</v>
      </c>
      <c r="D1270" s="214">
        <v>5.0</v>
      </c>
      <c r="E1270" s="214">
        <v>3.0</v>
      </c>
      <c r="F1270" s="214" t="s">
        <v>1556</v>
      </c>
      <c r="G1270" s="214" t="s">
        <v>61</v>
      </c>
      <c r="H1270" s="214" t="s">
        <v>249</v>
      </c>
      <c r="I1270" s="214"/>
      <c r="J1270" s="222" t="s">
        <v>67</v>
      </c>
      <c r="K1270" s="222">
        <v>8.5</v>
      </c>
      <c r="L1270" s="222" t="s">
        <v>67</v>
      </c>
      <c r="M1270" s="222">
        <v>39.5</v>
      </c>
      <c r="N1270" s="214">
        <v>191.0</v>
      </c>
      <c r="O1270" s="214">
        <v>174.0</v>
      </c>
      <c r="P1270" s="214">
        <v>2.0</v>
      </c>
      <c r="Q1270" s="214" t="b">
        <v>0</v>
      </c>
      <c r="R1270" s="214">
        <v>100.0</v>
      </c>
      <c r="S1270" s="214" t="s">
        <v>407</v>
      </c>
      <c r="T1270" s="214" t="s">
        <v>321</v>
      </c>
      <c r="U1270" s="214"/>
    </row>
    <row r="1271">
      <c r="A1271" s="221">
        <v>45958.06845685185</v>
      </c>
      <c r="B1271" s="214" t="s">
        <v>238</v>
      </c>
      <c r="C1271" s="214" t="s">
        <v>102</v>
      </c>
      <c r="D1271" s="214">
        <v>7.0</v>
      </c>
      <c r="E1271" s="214">
        <v>1.0</v>
      </c>
      <c r="F1271" s="214" t="s">
        <v>1552</v>
      </c>
      <c r="G1271" s="214" t="s">
        <v>61</v>
      </c>
      <c r="H1271" s="214" t="s">
        <v>96</v>
      </c>
      <c r="I1271" s="214"/>
      <c r="J1271" s="222" t="s">
        <v>67</v>
      </c>
      <c r="K1271" s="222">
        <v>5.5</v>
      </c>
      <c r="L1271" s="222" t="s">
        <v>67</v>
      </c>
      <c r="M1271" s="222">
        <v>58.5</v>
      </c>
      <c r="N1271" s="214">
        <v>301.0</v>
      </c>
      <c r="O1271" s="214">
        <v>159.0</v>
      </c>
      <c r="P1271" s="214">
        <v>2.0</v>
      </c>
      <c r="Q1271" s="214" t="b">
        <v>1</v>
      </c>
      <c r="R1271" s="214">
        <v>100.0</v>
      </c>
      <c r="S1271" s="214" t="s">
        <v>361</v>
      </c>
      <c r="T1271" s="214" t="s">
        <v>365</v>
      </c>
      <c r="U1271" s="214"/>
    </row>
    <row r="1272">
      <c r="A1272" s="221">
        <v>45958.06845685185</v>
      </c>
      <c r="B1272" s="214" t="s">
        <v>238</v>
      </c>
      <c r="C1272" s="214" t="s">
        <v>220</v>
      </c>
      <c r="D1272" s="214">
        <v>2.0</v>
      </c>
      <c r="E1272" s="214">
        <v>6.0</v>
      </c>
      <c r="F1272" s="214" t="s">
        <v>1557</v>
      </c>
      <c r="G1272" s="214" t="s">
        <v>61</v>
      </c>
      <c r="H1272" s="214" t="s">
        <v>249</v>
      </c>
      <c r="I1272" s="214"/>
      <c r="J1272" s="222" t="s">
        <v>67</v>
      </c>
      <c r="K1272" s="222">
        <v>-6.5</v>
      </c>
      <c r="L1272" s="222" t="s">
        <v>67</v>
      </c>
      <c r="M1272" s="222">
        <v>55.5</v>
      </c>
      <c r="N1272" s="214">
        <v>202.0</v>
      </c>
      <c r="O1272" s="214">
        <v>236.0</v>
      </c>
      <c r="P1272" s="214">
        <v>2.0</v>
      </c>
      <c r="Q1272" s="214" t="b">
        <v>1</v>
      </c>
      <c r="R1272" s="214">
        <v>100.0</v>
      </c>
      <c r="S1272" s="214" t="s">
        <v>441</v>
      </c>
      <c r="T1272" s="214" t="s">
        <v>365</v>
      </c>
      <c r="U1272" s="214"/>
    </row>
    <row r="1273">
      <c r="A1273" s="221">
        <v>45958.06845685185</v>
      </c>
      <c r="B1273" s="214"/>
      <c r="C1273" s="214"/>
      <c r="D1273" s="214"/>
      <c r="E1273" s="214"/>
      <c r="F1273" s="214"/>
      <c r="G1273" s="214"/>
      <c r="H1273" s="214"/>
      <c r="I1273" s="214"/>
      <c r="J1273" s="222"/>
      <c r="K1273" s="222"/>
      <c r="L1273" s="222"/>
      <c r="M1273" s="222"/>
      <c r="N1273" s="214"/>
      <c r="O1273" s="214"/>
      <c r="P1273" s="214"/>
      <c r="Q1273" s="214"/>
      <c r="R1273" s="214"/>
      <c r="S1273" s="214"/>
      <c r="T1273" s="214"/>
      <c r="U1273" s="214"/>
    </row>
    <row r="1274">
      <c r="A1274" s="221">
        <v>45958.06845685185</v>
      </c>
      <c r="B1274" s="214" t="s">
        <v>156</v>
      </c>
      <c r="C1274" s="214" t="s">
        <v>223</v>
      </c>
      <c r="D1274" s="214">
        <v>4.0</v>
      </c>
      <c r="E1274" s="214">
        <v>3.0</v>
      </c>
      <c r="F1274" s="214"/>
      <c r="G1274" s="214"/>
      <c r="H1274" s="214"/>
      <c r="I1274" s="214"/>
      <c r="J1274" s="222"/>
      <c r="K1274" s="222"/>
      <c r="L1274" s="222"/>
      <c r="M1274" s="222"/>
      <c r="N1274" s="214">
        <v>133.0</v>
      </c>
      <c r="O1274" s="214">
        <v>198.0</v>
      </c>
      <c r="P1274" s="214">
        <v>0.0</v>
      </c>
      <c r="Q1274" s="214" t="b">
        <v>1</v>
      </c>
      <c r="R1274" s="214">
        <v>59.0</v>
      </c>
      <c r="S1274" s="214" t="s">
        <v>441</v>
      </c>
      <c r="T1274" s="214" t="s">
        <v>365</v>
      </c>
      <c r="U1274" s="214"/>
    </row>
    <row r="1275">
      <c r="A1275" s="221">
        <v>45958.06845685185</v>
      </c>
      <c r="B1275" s="214" t="s">
        <v>156</v>
      </c>
      <c r="C1275" s="214" t="s">
        <v>109</v>
      </c>
      <c r="D1275" s="214">
        <v>4.0</v>
      </c>
      <c r="E1275" s="214">
        <v>3.0</v>
      </c>
      <c r="F1275" s="214"/>
      <c r="G1275" s="214"/>
      <c r="H1275" s="214"/>
      <c r="I1275" s="214"/>
      <c r="J1275" s="222"/>
      <c r="K1275" s="222"/>
      <c r="L1275" s="222"/>
      <c r="M1275" s="222"/>
      <c r="N1275" s="214">
        <v>215.0</v>
      </c>
      <c r="O1275" s="214">
        <v>120.0</v>
      </c>
      <c r="P1275" s="214">
        <v>0.0</v>
      </c>
      <c r="Q1275" s="214" t="b">
        <v>1</v>
      </c>
      <c r="R1275" s="214">
        <v>59.0</v>
      </c>
      <c r="S1275" s="214" t="s">
        <v>471</v>
      </c>
      <c r="T1275" s="214" t="s">
        <v>321</v>
      </c>
      <c r="U1275" s="214"/>
    </row>
    <row r="1276">
      <c r="A1276" s="221">
        <v>45958.06845685185</v>
      </c>
      <c r="B1276" s="214" t="s">
        <v>156</v>
      </c>
      <c r="C1276" s="214" t="s">
        <v>232</v>
      </c>
      <c r="D1276" s="214">
        <v>4.0</v>
      </c>
      <c r="E1276" s="214">
        <v>3.0</v>
      </c>
      <c r="F1276" s="214"/>
      <c r="G1276" s="214"/>
      <c r="H1276" s="214"/>
      <c r="I1276" s="214"/>
      <c r="J1276" s="222"/>
      <c r="K1276" s="222"/>
      <c r="L1276" s="222"/>
      <c r="M1276" s="222"/>
      <c r="N1276" s="214">
        <v>215.0</v>
      </c>
      <c r="O1276" s="214">
        <v>186.0</v>
      </c>
      <c r="P1276" s="214">
        <v>0.0</v>
      </c>
      <c r="Q1276" s="214" t="b">
        <v>1</v>
      </c>
      <c r="R1276" s="214">
        <v>59.0</v>
      </c>
      <c r="S1276" s="214" t="s">
        <v>535</v>
      </c>
      <c r="T1276" s="214" t="s">
        <v>365</v>
      </c>
      <c r="U1276" s="214"/>
    </row>
    <row r="1277">
      <c r="A1277" s="221">
        <v>45958.06845685185</v>
      </c>
      <c r="B1277" s="214" t="s">
        <v>156</v>
      </c>
      <c r="C1277" s="214" t="s">
        <v>116</v>
      </c>
      <c r="D1277" s="214">
        <v>6.0</v>
      </c>
      <c r="E1277" s="214">
        <v>1.0</v>
      </c>
      <c r="F1277" s="214" t="s">
        <v>1558</v>
      </c>
      <c r="G1277" s="214" t="s">
        <v>61</v>
      </c>
      <c r="H1277" s="214" t="s">
        <v>493</v>
      </c>
      <c r="I1277" s="214"/>
      <c r="J1277" s="222" t="s">
        <v>67</v>
      </c>
      <c r="K1277" s="222">
        <v>-29.5</v>
      </c>
      <c r="L1277" s="222" t="s">
        <v>67</v>
      </c>
      <c r="M1277" s="222">
        <v>45.5</v>
      </c>
      <c r="N1277" s="214">
        <v>238.0</v>
      </c>
      <c r="O1277" s="214">
        <v>99.0</v>
      </c>
      <c r="P1277" s="214">
        <v>2.0</v>
      </c>
      <c r="Q1277" s="214" t="b">
        <v>1</v>
      </c>
      <c r="R1277" s="214">
        <v>100.0</v>
      </c>
      <c r="S1277" s="214" t="s">
        <v>317</v>
      </c>
      <c r="T1277" s="214" t="s">
        <v>321</v>
      </c>
      <c r="U1277" s="214"/>
    </row>
    <row r="1278">
      <c r="A1278" s="221">
        <v>45958.06845685185</v>
      </c>
      <c r="B1278" s="214" t="s">
        <v>156</v>
      </c>
      <c r="C1278" s="214" t="s">
        <v>208</v>
      </c>
      <c r="D1278" s="214">
        <v>6.0</v>
      </c>
      <c r="E1278" s="214">
        <v>2.0</v>
      </c>
      <c r="F1278" s="214" t="s">
        <v>1559</v>
      </c>
      <c r="G1278" s="214" t="s">
        <v>61</v>
      </c>
      <c r="H1278" s="214" t="s">
        <v>395</v>
      </c>
      <c r="I1278" s="214"/>
      <c r="J1278" s="222" t="s">
        <v>67</v>
      </c>
      <c r="K1278" s="222">
        <v>2.5</v>
      </c>
      <c r="L1278" s="222" t="s">
        <v>67</v>
      </c>
      <c r="M1278" s="222">
        <v>52.5</v>
      </c>
      <c r="N1278" s="214">
        <v>283.0</v>
      </c>
      <c r="O1278" s="214">
        <v>134.0</v>
      </c>
      <c r="P1278" s="214">
        <v>2.0</v>
      </c>
      <c r="Q1278" s="214" t="b">
        <v>0</v>
      </c>
      <c r="R1278" s="214">
        <v>100.0</v>
      </c>
      <c r="S1278" s="214" t="s">
        <v>556</v>
      </c>
      <c r="T1278" s="214" t="s">
        <v>321</v>
      </c>
      <c r="U1278" s="214"/>
    </row>
    <row r="1279">
      <c r="A1279" s="221">
        <v>45958.06845685185</v>
      </c>
      <c r="B1279" s="214" t="s">
        <v>156</v>
      </c>
      <c r="C1279" s="214" t="s">
        <v>174</v>
      </c>
      <c r="D1279" s="214">
        <v>4.0</v>
      </c>
      <c r="E1279" s="214">
        <v>4.0</v>
      </c>
      <c r="F1279" s="214" t="s">
        <v>1560</v>
      </c>
      <c r="G1279" s="214" t="s">
        <v>61</v>
      </c>
      <c r="H1279" s="214" t="s">
        <v>493</v>
      </c>
      <c r="I1279" s="214"/>
      <c r="J1279" s="222" t="s">
        <v>67</v>
      </c>
      <c r="K1279" s="222">
        <v>-1.5</v>
      </c>
      <c r="L1279" s="222" t="s">
        <v>67</v>
      </c>
      <c r="M1279" s="222">
        <v>45.5</v>
      </c>
      <c r="N1279" s="214">
        <v>254.0</v>
      </c>
      <c r="O1279" s="214">
        <v>128.0</v>
      </c>
      <c r="P1279" s="214">
        <v>2.0</v>
      </c>
      <c r="Q1279" s="214" t="b">
        <v>0</v>
      </c>
      <c r="R1279" s="214">
        <v>100.0</v>
      </c>
      <c r="S1279" s="214" t="s">
        <v>530</v>
      </c>
      <c r="T1279" s="214" t="s">
        <v>365</v>
      </c>
      <c r="U1279" s="214"/>
    </row>
    <row r="1280">
      <c r="A1280" s="221">
        <v>45958.06845685185</v>
      </c>
      <c r="B1280" s="214" t="s">
        <v>156</v>
      </c>
      <c r="C1280" s="214" t="s">
        <v>135</v>
      </c>
      <c r="D1280" s="214">
        <v>5.0</v>
      </c>
      <c r="E1280" s="214">
        <v>3.0</v>
      </c>
      <c r="F1280" s="214" t="s">
        <v>1534</v>
      </c>
      <c r="G1280" s="214" t="s">
        <v>61</v>
      </c>
      <c r="H1280" s="214" t="s">
        <v>62</v>
      </c>
      <c r="I1280" s="214"/>
      <c r="J1280" s="222" t="s">
        <v>67</v>
      </c>
      <c r="K1280" s="222">
        <v>4.0</v>
      </c>
      <c r="L1280" s="222" t="s">
        <v>67</v>
      </c>
      <c r="M1280" s="222">
        <v>54.5</v>
      </c>
      <c r="N1280" s="214">
        <v>263.0</v>
      </c>
      <c r="O1280" s="214">
        <v>220.0</v>
      </c>
      <c r="P1280" s="214">
        <v>2.0</v>
      </c>
      <c r="Q1280" s="214" t="b">
        <v>0</v>
      </c>
      <c r="R1280" s="214">
        <v>100.0</v>
      </c>
      <c r="S1280" s="214" t="s">
        <v>407</v>
      </c>
      <c r="T1280" s="214" t="s">
        <v>321</v>
      </c>
      <c r="U1280" s="214"/>
    </row>
    <row r="1281">
      <c r="A1281" s="221">
        <v>45958.06845685185</v>
      </c>
      <c r="B1281" s="214" t="s">
        <v>156</v>
      </c>
      <c r="C1281" s="214" t="s">
        <v>202</v>
      </c>
      <c r="D1281" s="214">
        <v>2.0</v>
      </c>
      <c r="E1281" s="214">
        <v>6.0</v>
      </c>
      <c r="F1281" s="214" t="s">
        <v>1521</v>
      </c>
      <c r="G1281" s="214" t="s">
        <v>61</v>
      </c>
      <c r="H1281" s="214" t="s">
        <v>43</v>
      </c>
      <c r="I1281" s="214"/>
      <c r="J1281" s="222" t="s">
        <v>67</v>
      </c>
      <c r="K1281" s="222">
        <v>-2.5</v>
      </c>
      <c r="L1281" s="222" t="s">
        <v>67</v>
      </c>
      <c r="M1281" s="222">
        <v>55.5</v>
      </c>
      <c r="N1281" s="214">
        <v>284.0</v>
      </c>
      <c r="O1281" s="214">
        <v>262.0</v>
      </c>
      <c r="P1281" s="214">
        <v>2.0</v>
      </c>
      <c r="Q1281" s="214" t="b">
        <v>0</v>
      </c>
      <c r="R1281" s="214">
        <v>100.0</v>
      </c>
      <c r="S1281" s="214" t="s">
        <v>556</v>
      </c>
      <c r="T1281" s="214" t="s">
        <v>321</v>
      </c>
      <c r="U1281" s="214"/>
    </row>
    <row r="1282">
      <c r="A1282" s="221">
        <v>45958.06845685185</v>
      </c>
      <c r="B1282" s="214" t="s">
        <v>156</v>
      </c>
      <c r="C1282" s="214" t="s">
        <v>181</v>
      </c>
      <c r="D1282" s="214">
        <v>1.0</v>
      </c>
      <c r="E1282" s="214">
        <v>7.0</v>
      </c>
      <c r="F1282" s="214" t="s">
        <v>1530</v>
      </c>
      <c r="G1282" s="214" t="s">
        <v>61</v>
      </c>
      <c r="H1282" s="214" t="s">
        <v>95</v>
      </c>
      <c r="I1282" s="214"/>
      <c r="J1282" s="222" t="s">
        <v>67</v>
      </c>
      <c r="K1282" s="222">
        <v>21.5</v>
      </c>
      <c r="L1282" s="222" t="s">
        <v>67</v>
      </c>
      <c r="M1282" s="222">
        <v>51.5</v>
      </c>
      <c r="N1282" s="214">
        <v>112.0</v>
      </c>
      <c r="O1282" s="214">
        <v>220.0</v>
      </c>
      <c r="P1282" s="214">
        <v>2.0</v>
      </c>
      <c r="Q1282" s="214" t="b">
        <v>1</v>
      </c>
      <c r="R1282" s="214">
        <v>100.0</v>
      </c>
      <c r="S1282" s="214" t="s">
        <v>525</v>
      </c>
      <c r="T1282" s="214" t="s">
        <v>365</v>
      </c>
      <c r="U1282" s="214"/>
    </row>
    <row r="1283">
      <c r="A1283" s="221">
        <v>45958.06845685185</v>
      </c>
      <c r="B1283" s="214" t="s">
        <v>156</v>
      </c>
      <c r="C1283" s="214" t="s">
        <v>154</v>
      </c>
      <c r="D1283" s="214">
        <v>7.0</v>
      </c>
      <c r="E1283" s="214">
        <v>1.0</v>
      </c>
      <c r="F1283" s="214" t="s">
        <v>1567</v>
      </c>
      <c r="G1283" s="214" t="s">
        <v>61</v>
      </c>
      <c r="H1283" s="214" t="s">
        <v>249</v>
      </c>
      <c r="I1283" s="214"/>
      <c r="J1283" s="222" t="s">
        <v>67</v>
      </c>
      <c r="K1283" s="222">
        <v>-25.5</v>
      </c>
      <c r="L1283" s="222" t="s">
        <v>67</v>
      </c>
      <c r="M1283" s="222">
        <v>61.5</v>
      </c>
      <c r="N1283" s="214">
        <v>369.0</v>
      </c>
      <c r="O1283" s="214">
        <v>200.0</v>
      </c>
      <c r="P1283" s="214">
        <v>2.0</v>
      </c>
      <c r="Q1283" s="214" t="b">
        <v>1</v>
      </c>
      <c r="R1283" s="214">
        <v>100.0</v>
      </c>
      <c r="S1283" s="214" t="s">
        <v>361</v>
      </c>
      <c r="T1283" s="214" t="s">
        <v>365</v>
      </c>
      <c r="U1283" s="214"/>
    </row>
    <row r="1284">
      <c r="A1284" s="221">
        <v>45958.06845685185</v>
      </c>
      <c r="B1284" s="214"/>
      <c r="C1284" s="214"/>
      <c r="D1284" s="214"/>
      <c r="E1284" s="214"/>
      <c r="F1284" s="214"/>
      <c r="G1284" s="214"/>
      <c r="H1284" s="214"/>
      <c r="I1284" s="214"/>
      <c r="J1284" s="222"/>
      <c r="K1284" s="222"/>
      <c r="L1284" s="222"/>
      <c r="M1284" s="222"/>
      <c r="N1284" s="214"/>
      <c r="O1284" s="214"/>
      <c r="P1284" s="214"/>
      <c r="Q1284" s="214"/>
      <c r="R1284" s="214"/>
      <c r="S1284" s="214"/>
      <c r="T1284" s="214"/>
      <c r="U1284" s="214"/>
    </row>
    <row r="1285">
      <c r="A1285" s="221">
        <v>45958.06845685185</v>
      </c>
      <c r="B1285" s="214" t="s">
        <v>249</v>
      </c>
      <c r="C1285" s="214" t="s">
        <v>111</v>
      </c>
      <c r="D1285" s="214">
        <v>3.0</v>
      </c>
      <c r="E1285" s="214">
        <v>4.0</v>
      </c>
      <c r="F1285" s="214"/>
      <c r="G1285" s="214"/>
      <c r="H1285" s="214"/>
      <c r="I1285" s="214"/>
      <c r="J1285" s="222"/>
      <c r="K1285" s="222"/>
      <c r="L1285" s="222"/>
      <c r="M1285" s="222"/>
      <c r="N1285" s="214">
        <v>182.0</v>
      </c>
      <c r="O1285" s="214">
        <v>146.0</v>
      </c>
      <c r="P1285" s="214">
        <v>0.0</v>
      </c>
      <c r="Q1285" s="214" t="b">
        <v>1</v>
      </c>
      <c r="R1285" s="214">
        <v>59.0</v>
      </c>
      <c r="S1285" s="214" t="s">
        <v>317</v>
      </c>
      <c r="T1285" s="214" t="s">
        <v>321</v>
      </c>
      <c r="U1285" s="214"/>
    </row>
    <row r="1286">
      <c r="A1286" s="221">
        <v>45958.06845685185</v>
      </c>
      <c r="B1286" s="214" t="s">
        <v>249</v>
      </c>
      <c r="C1286" s="214" t="s">
        <v>112</v>
      </c>
      <c r="D1286" s="214">
        <v>4.0</v>
      </c>
      <c r="E1286" s="214">
        <v>3.0</v>
      </c>
      <c r="F1286" s="214"/>
      <c r="G1286" s="214"/>
      <c r="H1286" s="214"/>
      <c r="I1286" s="214"/>
      <c r="J1286" s="222"/>
      <c r="K1286" s="222"/>
      <c r="L1286" s="222"/>
      <c r="M1286" s="222"/>
      <c r="N1286" s="214">
        <v>237.0</v>
      </c>
      <c r="O1286" s="214">
        <v>180.0</v>
      </c>
      <c r="P1286" s="214">
        <v>0.0</v>
      </c>
      <c r="Q1286" s="214" t="b">
        <v>1</v>
      </c>
      <c r="R1286" s="214">
        <v>59.0</v>
      </c>
      <c r="S1286" s="214" t="s">
        <v>317</v>
      </c>
      <c r="T1286" s="214" t="s">
        <v>321</v>
      </c>
      <c r="U1286" s="214"/>
    </row>
    <row r="1287">
      <c r="A1287" s="221">
        <v>45958.06845685185</v>
      </c>
      <c r="B1287" s="214" t="s">
        <v>249</v>
      </c>
      <c r="C1287" s="214" t="s">
        <v>124</v>
      </c>
      <c r="D1287" s="214">
        <v>4.0</v>
      </c>
      <c r="E1287" s="214">
        <v>4.0</v>
      </c>
      <c r="F1287" s="214" t="s">
        <v>1554</v>
      </c>
      <c r="G1287" s="214" t="s">
        <v>61</v>
      </c>
      <c r="H1287" s="214" t="s">
        <v>238</v>
      </c>
      <c r="I1287" s="214"/>
      <c r="J1287" s="222" t="s">
        <v>67</v>
      </c>
      <c r="K1287" s="222">
        <v>3.5</v>
      </c>
      <c r="L1287" s="222" t="s">
        <v>67</v>
      </c>
      <c r="M1287" s="222">
        <v>67.5</v>
      </c>
      <c r="N1287" s="214">
        <v>274.0</v>
      </c>
      <c r="O1287" s="214">
        <v>261.0</v>
      </c>
      <c r="P1287" s="214">
        <v>2.0</v>
      </c>
      <c r="Q1287" s="214" t="b">
        <v>1</v>
      </c>
      <c r="R1287" s="214">
        <v>100.0</v>
      </c>
      <c r="S1287" s="214" t="s">
        <v>471</v>
      </c>
      <c r="T1287" s="214" t="s">
        <v>321</v>
      </c>
      <c r="U1287" s="214"/>
    </row>
    <row r="1288">
      <c r="A1288" s="221">
        <v>45958.06845685185</v>
      </c>
      <c r="B1288" s="214" t="s">
        <v>249</v>
      </c>
      <c r="C1288" s="214" t="s">
        <v>183</v>
      </c>
      <c r="D1288" s="214">
        <v>6.0</v>
      </c>
      <c r="E1288" s="214">
        <v>1.0</v>
      </c>
      <c r="F1288" s="214" t="s">
        <v>1568</v>
      </c>
      <c r="G1288" s="214" t="s">
        <v>61</v>
      </c>
      <c r="H1288" s="214" t="s">
        <v>395</v>
      </c>
      <c r="I1288" s="214"/>
      <c r="J1288" s="222" t="s">
        <v>67</v>
      </c>
      <c r="K1288" s="222">
        <v>-3.0</v>
      </c>
      <c r="L1288" s="222" t="s">
        <v>67</v>
      </c>
      <c r="M1288" s="222">
        <v>47.5</v>
      </c>
      <c r="N1288" s="214">
        <v>207.0</v>
      </c>
      <c r="O1288" s="214">
        <v>73.0</v>
      </c>
      <c r="P1288" s="214">
        <v>2.0</v>
      </c>
      <c r="Q1288" s="214" t="b">
        <v>1</v>
      </c>
      <c r="R1288" s="214">
        <v>100.0</v>
      </c>
      <c r="S1288" s="214" t="s">
        <v>525</v>
      </c>
      <c r="T1288" s="214" t="s">
        <v>365</v>
      </c>
      <c r="U1288" s="214"/>
    </row>
    <row r="1289">
      <c r="A1289" s="221">
        <v>45958.06845685185</v>
      </c>
      <c r="B1289" s="214" t="s">
        <v>249</v>
      </c>
      <c r="C1289" s="214" t="s">
        <v>137</v>
      </c>
      <c r="D1289" s="214">
        <v>6.0</v>
      </c>
      <c r="E1289" s="214">
        <v>2.0</v>
      </c>
      <c r="F1289" s="214" t="s">
        <v>1556</v>
      </c>
      <c r="G1289" s="214" t="s">
        <v>61</v>
      </c>
      <c r="H1289" s="214" t="s">
        <v>238</v>
      </c>
      <c r="I1289" s="214"/>
      <c r="J1289" s="222" t="s">
        <v>67</v>
      </c>
      <c r="K1289" s="222">
        <v>-8.5</v>
      </c>
      <c r="L1289" s="222" t="s">
        <v>67</v>
      </c>
      <c r="M1289" s="222">
        <v>39.5</v>
      </c>
      <c r="N1289" s="214">
        <v>250.0</v>
      </c>
      <c r="O1289" s="214">
        <v>105.0</v>
      </c>
      <c r="P1289" s="214">
        <v>2.0</v>
      </c>
      <c r="Q1289" s="214" t="b">
        <v>1</v>
      </c>
      <c r="R1289" s="214">
        <v>100.0</v>
      </c>
      <c r="S1289" s="214" t="s">
        <v>407</v>
      </c>
      <c r="T1289" s="214" t="s">
        <v>321</v>
      </c>
      <c r="U1289" s="214"/>
    </row>
    <row r="1290">
      <c r="A1290" s="221">
        <v>45958.06845685185</v>
      </c>
      <c r="B1290" s="214" t="s">
        <v>249</v>
      </c>
      <c r="C1290" s="214" t="s">
        <v>167</v>
      </c>
      <c r="D1290" s="214">
        <v>4.0</v>
      </c>
      <c r="E1290" s="214">
        <v>4.0</v>
      </c>
      <c r="F1290" s="214" t="s">
        <v>1543</v>
      </c>
      <c r="G1290" s="214" t="s">
        <v>61</v>
      </c>
      <c r="H1290" s="214" t="s">
        <v>193</v>
      </c>
      <c r="I1290" s="214"/>
      <c r="J1290" s="222" t="s">
        <v>67</v>
      </c>
      <c r="K1290" s="222">
        <v>-10.0</v>
      </c>
      <c r="L1290" s="222" t="s">
        <v>67</v>
      </c>
      <c r="M1290" s="222">
        <v>49.5</v>
      </c>
      <c r="N1290" s="214">
        <v>195.0</v>
      </c>
      <c r="O1290" s="214">
        <v>173.0</v>
      </c>
      <c r="P1290" s="214">
        <v>2.0</v>
      </c>
      <c r="Q1290" s="214" t="b">
        <v>1</v>
      </c>
      <c r="R1290" s="214">
        <v>100.0</v>
      </c>
      <c r="S1290" s="214" t="s">
        <v>530</v>
      </c>
      <c r="T1290" s="214" t="s">
        <v>365</v>
      </c>
      <c r="U1290" s="214"/>
    </row>
    <row r="1291">
      <c r="A1291" s="221">
        <v>45958.06845685185</v>
      </c>
      <c r="B1291" s="214" t="s">
        <v>249</v>
      </c>
      <c r="C1291" s="214" t="s">
        <v>209</v>
      </c>
      <c r="D1291" s="214">
        <v>7.0</v>
      </c>
      <c r="E1291" s="214">
        <v>1.0</v>
      </c>
      <c r="F1291" s="214" t="s">
        <v>1529</v>
      </c>
      <c r="G1291" s="214" t="s">
        <v>61</v>
      </c>
      <c r="H1291" s="214" t="s">
        <v>95</v>
      </c>
      <c r="I1291" s="214"/>
      <c r="J1291" s="222" t="s">
        <v>67</v>
      </c>
      <c r="K1291" s="222">
        <v>5.5</v>
      </c>
      <c r="L1291" s="222" t="s">
        <v>67</v>
      </c>
      <c r="M1291" s="222">
        <v>52.5</v>
      </c>
      <c r="N1291" s="214">
        <v>296.0</v>
      </c>
      <c r="O1291" s="214">
        <v>184.0</v>
      </c>
      <c r="P1291" s="214">
        <v>2.0</v>
      </c>
      <c r="Q1291" s="214" t="b">
        <v>1</v>
      </c>
      <c r="R1291" s="214">
        <v>100.0</v>
      </c>
      <c r="S1291" s="214" t="s">
        <v>556</v>
      </c>
      <c r="T1291" s="214" t="s">
        <v>321</v>
      </c>
      <c r="U1291" s="214"/>
    </row>
    <row r="1292">
      <c r="A1292" s="221">
        <v>45958.06845685185</v>
      </c>
      <c r="B1292" s="214" t="s">
        <v>249</v>
      </c>
      <c r="C1292" s="214" t="s">
        <v>159</v>
      </c>
      <c r="D1292" s="214">
        <v>1.0</v>
      </c>
      <c r="E1292" s="214">
        <v>7.0</v>
      </c>
      <c r="F1292" s="214" t="s">
        <v>1567</v>
      </c>
      <c r="G1292" s="214" t="s">
        <v>61</v>
      </c>
      <c r="H1292" s="214" t="s">
        <v>156</v>
      </c>
      <c r="I1292" s="214"/>
      <c r="J1292" s="222" t="s">
        <v>67</v>
      </c>
      <c r="K1292" s="222">
        <v>25.5</v>
      </c>
      <c r="L1292" s="222" t="s">
        <v>67</v>
      </c>
      <c r="M1292" s="222">
        <v>61.5</v>
      </c>
      <c r="N1292" s="214">
        <v>140.0</v>
      </c>
      <c r="O1292" s="214">
        <v>298.0</v>
      </c>
      <c r="P1292" s="214">
        <v>2.0</v>
      </c>
      <c r="Q1292" s="214" t="b">
        <v>0</v>
      </c>
      <c r="R1292" s="214">
        <v>100.0</v>
      </c>
      <c r="S1292" s="214" t="s">
        <v>361</v>
      </c>
      <c r="T1292" s="214" t="s">
        <v>365</v>
      </c>
      <c r="U1292" s="214"/>
    </row>
    <row r="1293">
      <c r="A1293" s="221">
        <v>45958.06845685185</v>
      </c>
      <c r="B1293" s="214" t="s">
        <v>249</v>
      </c>
      <c r="C1293" s="214" t="s">
        <v>217</v>
      </c>
      <c r="D1293" s="214">
        <v>1.0</v>
      </c>
      <c r="E1293" s="214">
        <v>7.0</v>
      </c>
      <c r="F1293" s="214" t="s">
        <v>1557</v>
      </c>
      <c r="G1293" s="214" t="s">
        <v>61</v>
      </c>
      <c r="H1293" s="214" t="s">
        <v>238</v>
      </c>
      <c r="I1293" s="214"/>
      <c r="J1293" s="222" t="s">
        <v>67</v>
      </c>
      <c r="K1293" s="222">
        <v>6.5</v>
      </c>
      <c r="L1293" s="222" t="s">
        <v>67</v>
      </c>
      <c r="M1293" s="222">
        <v>55.5</v>
      </c>
      <c r="N1293" s="214">
        <v>163.0</v>
      </c>
      <c r="O1293" s="214">
        <v>326.0</v>
      </c>
      <c r="P1293" s="214">
        <v>2.0</v>
      </c>
      <c r="Q1293" s="214" t="b">
        <v>0</v>
      </c>
      <c r="R1293" s="214">
        <v>100.0</v>
      </c>
      <c r="S1293" s="214" t="s">
        <v>441</v>
      </c>
      <c r="T1293" s="214" t="s">
        <v>365</v>
      </c>
      <c r="U1293" s="214"/>
    </row>
    <row r="1294">
      <c r="A1294" s="221">
        <v>45958.06845685185</v>
      </c>
      <c r="B1294" s="214" t="s">
        <v>249</v>
      </c>
      <c r="C1294" s="214" t="s">
        <v>151</v>
      </c>
      <c r="D1294" s="214">
        <v>4.0</v>
      </c>
      <c r="E1294" s="214">
        <v>3.0</v>
      </c>
      <c r="F1294" s="214" t="s">
        <v>1569</v>
      </c>
      <c r="G1294" s="214" t="s">
        <v>532</v>
      </c>
      <c r="H1294" s="214" t="s">
        <v>395</v>
      </c>
      <c r="I1294" s="214"/>
      <c r="J1294" s="222" t="s">
        <v>67</v>
      </c>
      <c r="K1294" s="222">
        <v>-3.5</v>
      </c>
      <c r="L1294" s="222" t="s">
        <v>67</v>
      </c>
      <c r="M1294" s="222">
        <v>50.5</v>
      </c>
      <c r="N1294" s="214">
        <v>174.0</v>
      </c>
      <c r="O1294" s="214">
        <v>131.0</v>
      </c>
      <c r="P1294" s="214">
        <v>2.0</v>
      </c>
      <c r="Q1294" s="214" t="b">
        <v>0</v>
      </c>
      <c r="R1294" s="214">
        <v>100.0</v>
      </c>
      <c r="S1294" s="214" t="s">
        <v>535</v>
      </c>
      <c r="T1294" s="214" t="s">
        <v>365</v>
      </c>
      <c r="U1294" s="214"/>
    </row>
    <row r="1295">
      <c r="A1295" s="221">
        <v>45958.06845685185</v>
      </c>
      <c r="B1295" s="214"/>
      <c r="C1295" s="214"/>
      <c r="D1295" s="214"/>
      <c r="E1295" s="214"/>
      <c r="F1295" s="214"/>
      <c r="G1295" s="214"/>
      <c r="H1295" s="214"/>
      <c r="I1295" s="214"/>
      <c r="J1295" s="222"/>
      <c r="K1295" s="222"/>
      <c r="L1295" s="222"/>
      <c r="M1295" s="222"/>
      <c r="N1295" s="214"/>
      <c r="O1295" s="214"/>
      <c r="P1295" s="214"/>
      <c r="Q1295" s="214"/>
      <c r="R1295" s="214"/>
      <c r="S1295" s="214"/>
      <c r="T1295" s="214"/>
      <c r="U1295" s="214"/>
    </row>
    <row r="1296">
      <c r="A1296" s="221">
        <v>45958.06845685185</v>
      </c>
      <c r="B1296" s="214" t="s">
        <v>395</v>
      </c>
      <c r="C1296" s="214" t="s">
        <v>231</v>
      </c>
      <c r="D1296" s="214">
        <v>6.0</v>
      </c>
      <c r="E1296" s="214">
        <v>1.0</v>
      </c>
      <c r="F1296" s="214"/>
      <c r="G1296" s="214"/>
      <c r="H1296" s="214"/>
      <c r="I1296" s="214"/>
      <c r="J1296" s="222"/>
      <c r="K1296" s="222"/>
      <c r="L1296" s="222"/>
      <c r="M1296" s="222"/>
      <c r="N1296" s="214">
        <v>226.0</v>
      </c>
      <c r="O1296" s="214">
        <v>109.0</v>
      </c>
      <c r="P1296" s="214">
        <v>0.0</v>
      </c>
      <c r="Q1296" s="214" t="b">
        <v>1</v>
      </c>
      <c r="R1296" s="214">
        <v>59.0</v>
      </c>
      <c r="S1296" s="214" t="s">
        <v>441</v>
      </c>
      <c r="T1296" s="214" t="s">
        <v>365</v>
      </c>
      <c r="U1296" s="214"/>
    </row>
    <row r="1297">
      <c r="A1297" s="221">
        <v>45958.06845685185</v>
      </c>
      <c r="B1297" s="214" t="s">
        <v>395</v>
      </c>
      <c r="C1297" s="214" t="s">
        <v>225</v>
      </c>
      <c r="D1297" s="214">
        <v>3.0</v>
      </c>
      <c r="E1297" s="214">
        <v>4.0</v>
      </c>
      <c r="F1297" s="214"/>
      <c r="G1297" s="214"/>
      <c r="H1297" s="214"/>
      <c r="I1297" s="214"/>
      <c r="J1297" s="222"/>
      <c r="K1297" s="222"/>
      <c r="L1297" s="222"/>
      <c r="M1297" s="222"/>
      <c r="N1297" s="214">
        <v>167.0</v>
      </c>
      <c r="O1297" s="214">
        <v>168.0</v>
      </c>
      <c r="P1297" s="214">
        <v>0.0</v>
      </c>
      <c r="Q1297" s="214" t="b">
        <v>1</v>
      </c>
      <c r="R1297" s="214">
        <v>59.0</v>
      </c>
      <c r="S1297" s="214" t="s">
        <v>361</v>
      </c>
      <c r="T1297" s="214" t="s">
        <v>365</v>
      </c>
      <c r="U1297" s="214"/>
    </row>
    <row r="1298">
      <c r="A1298" s="221">
        <v>45958.06845685185</v>
      </c>
      <c r="B1298" s="214" t="s">
        <v>395</v>
      </c>
      <c r="C1298" s="214" t="s">
        <v>101</v>
      </c>
      <c r="D1298" s="214">
        <v>7.0</v>
      </c>
      <c r="E1298" s="214">
        <v>1.0</v>
      </c>
      <c r="F1298" s="214" t="s">
        <v>1517</v>
      </c>
      <c r="G1298" s="214" t="s">
        <v>61</v>
      </c>
      <c r="H1298" s="214" t="s">
        <v>43</v>
      </c>
      <c r="I1298" s="214"/>
      <c r="J1298" s="222" t="s">
        <v>67</v>
      </c>
      <c r="K1298" s="222">
        <v>7.0</v>
      </c>
      <c r="L1298" s="222" t="s">
        <v>67</v>
      </c>
      <c r="M1298" s="222">
        <v>46.5</v>
      </c>
      <c r="N1298" s="214">
        <v>230.0</v>
      </c>
      <c r="O1298" s="214">
        <v>149.0</v>
      </c>
      <c r="P1298" s="214">
        <v>2.0</v>
      </c>
      <c r="Q1298" s="214" t="b">
        <v>0</v>
      </c>
      <c r="R1298" s="214">
        <v>100.0</v>
      </c>
      <c r="S1298" s="214" t="s">
        <v>471</v>
      </c>
      <c r="T1298" s="214" t="s">
        <v>321</v>
      </c>
      <c r="U1298" s="214"/>
    </row>
    <row r="1299">
      <c r="A1299" s="221">
        <v>45958.06845685185</v>
      </c>
      <c r="B1299" s="214" t="s">
        <v>395</v>
      </c>
      <c r="C1299" s="214" t="s">
        <v>213</v>
      </c>
      <c r="D1299" s="214">
        <v>7.0</v>
      </c>
      <c r="E1299" s="214">
        <v>1.0</v>
      </c>
      <c r="F1299" s="214" t="s">
        <v>1559</v>
      </c>
      <c r="G1299" s="214" t="s">
        <v>61</v>
      </c>
      <c r="H1299" s="214" t="s">
        <v>156</v>
      </c>
      <c r="I1299" s="214"/>
      <c r="J1299" s="222" t="s">
        <v>67</v>
      </c>
      <c r="K1299" s="222">
        <v>-2.5</v>
      </c>
      <c r="L1299" s="222" t="s">
        <v>67</v>
      </c>
      <c r="M1299" s="222">
        <v>52.5</v>
      </c>
      <c r="N1299" s="214">
        <v>307.0</v>
      </c>
      <c r="O1299" s="214">
        <v>150.0</v>
      </c>
      <c r="P1299" s="214">
        <v>2.0</v>
      </c>
      <c r="Q1299" s="214" t="b">
        <v>1</v>
      </c>
      <c r="R1299" s="214">
        <v>100.0</v>
      </c>
      <c r="S1299" s="214" t="s">
        <v>556</v>
      </c>
      <c r="T1299" s="214" t="s">
        <v>321</v>
      </c>
      <c r="U1299" s="214"/>
    </row>
    <row r="1300">
      <c r="A1300" s="221">
        <v>45958.06845685185</v>
      </c>
      <c r="B1300" s="214" t="s">
        <v>395</v>
      </c>
      <c r="C1300" s="214" t="s">
        <v>179</v>
      </c>
      <c r="D1300" s="214">
        <v>5.0</v>
      </c>
      <c r="E1300" s="214">
        <v>3.0</v>
      </c>
      <c r="F1300" s="214" t="s">
        <v>1568</v>
      </c>
      <c r="G1300" s="214" t="s">
        <v>61</v>
      </c>
      <c r="H1300" s="214" t="s">
        <v>249</v>
      </c>
      <c r="I1300" s="214"/>
      <c r="J1300" s="222" t="s">
        <v>67</v>
      </c>
      <c r="K1300" s="222">
        <v>3.0</v>
      </c>
      <c r="L1300" s="222" t="s">
        <v>67</v>
      </c>
      <c r="M1300" s="222">
        <v>47.5</v>
      </c>
      <c r="N1300" s="214">
        <v>205.0</v>
      </c>
      <c r="O1300" s="214">
        <v>189.0</v>
      </c>
      <c r="P1300" s="214">
        <v>2.0</v>
      </c>
      <c r="Q1300" s="214" t="b">
        <v>0</v>
      </c>
      <c r="R1300" s="214">
        <v>100.0</v>
      </c>
      <c r="S1300" s="214" t="s">
        <v>525</v>
      </c>
      <c r="T1300" s="214" t="s">
        <v>365</v>
      </c>
      <c r="U1300" s="214"/>
    </row>
    <row r="1301">
      <c r="A1301" s="221">
        <v>45958.06845685185</v>
      </c>
      <c r="B1301" s="214" t="s">
        <v>395</v>
      </c>
      <c r="C1301" s="214" t="s">
        <v>175</v>
      </c>
      <c r="D1301" s="214">
        <v>4.0</v>
      </c>
      <c r="E1301" s="214">
        <v>4.0</v>
      </c>
      <c r="F1301" s="214" t="s">
        <v>1555</v>
      </c>
      <c r="G1301" s="214" t="s">
        <v>61</v>
      </c>
      <c r="H1301" s="214" t="s">
        <v>238</v>
      </c>
      <c r="I1301" s="214"/>
      <c r="J1301" s="222" t="s">
        <v>67</v>
      </c>
      <c r="K1301" s="222">
        <v>1.5</v>
      </c>
      <c r="L1301" s="222" t="s">
        <v>67</v>
      </c>
      <c r="M1301" s="222">
        <v>41.5</v>
      </c>
      <c r="N1301" s="214">
        <v>177.0</v>
      </c>
      <c r="O1301" s="214">
        <v>150.0</v>
      </c>
      <c r="P1301" s="214">
        <v>2.0</v>
      </c>
      <c r="Q1301" s="214" t="b">
        <v>0</v>
      </c>
      <c r="R1301" s="214">
        <v>100.0</v>
      </c>
      <c r="S1301" s="214" t="s">
        <v>530</v>
      </c>
      <c r="T1301" s="214" t="s">
        <v>365</v>
      </c>
      <c r="U1301" s="214"/>
    </row>
    <row r="1302">
      <c r="A1302" s="221">
        <v>45958.06845685185</v>
      </c>
      <c r="B1302" s="214" t="s">
        <v>395</v>
      </c>
      <c r="C1302" s="214" t="s">
        <v>114</v>
      </c>
      <c r="D1302" s="214">
        <v>8.0</v>
      </c>
      <c r="E1302" s="214">
        <v>0.0</v>
      </c>
      <c r="F1302" s="214" t="s">
        <v>1570</v>
      </c>
      <c r="G1302" s="214" t="s">
        <v>61</v>
      </c>
      <c r="H1302" s="214" t="s">
        <v>493</v>
      </c>
      <c r="I1302" s="214"/>
      <c r="J1302" s="222" t="s">
        <v>67</v>
      </c>
      <c r="K1302" s="222">
        <v>-16.5</v>
      </c>
      <c r="L1302" s="222" t="s">
        <v>67</v>
      </c>
      <c r="M1302" s="222">
        <v>53.5</v>
      </c>
      <c r="N1302" s="214">
        <v>288.0</v>
      </c>
      <c r="O1302" s="214">
        <v>160.0</v>
      </c>
      <c r="P1302" s="214">
        <v>2.0</v>
      </c>
      <c r="Q1302" s="214" t="b">
        <v>1</v>
      </c>
      <c r="R1302" s="214">
        <v>100.0</v>
      </c>
      <c r="S1302" s="214" t="s">
        <v>317</v>
      </c>
      <c r="T1302" s="214" t="s">
        <v>321</v>
      </c>
      <c r="U1302" s="214"/>
    </row>
    <row r="1303">
      <c r="A1303" s="221">
        <v>45958.06845685185</v>
      </c>
      <c r="B1303" s="214" t="s">
        <v>395</v>
      </c>
      <c r="C1303" s="214" t="s">
        <v>147</v>
      </c>
      <c r="D1303" s="214">
        <v>4.0</v>
      </c>
      <c r="E1303" s="214">
        <v>4.0</v>
      </c>
      <c r="F1303" s="214" t="s">
        <v>1571</v>
      </c>
      <c r="G1303" s="214" t="s">
        <v>61</v>
      </c>
      <c r="H1303" s="214" t="s">
        <v>493</v>
      </c>
      <c r="I1303" s="214"/>
      <c r="J1303" s="222" t="s">
        <v>67</v>
      </c>
      <c r="K1303" s="222">
        <v>-1.5</v>
      </c>
      <c r="L1303" s="222" t="s">
        <v>67</v>
      </c>
      <c r="M1303" s="222">
        <v>58.5</v>
      </c>
      <c r="N1303" s="214">
        <v>251.0</v>
      </c>
      <c r="O1303" s="214">
        <v>245.0</v>
      </c>
      <c r="P1303" s="214">
        <v>2.0</v>
      </c>
      <c r="Q1303" s="214" t="b">
        <v>1</v>
      </c>
      <c r="R1303" s="214">
        <v>100.0</v>
      </c>
      <c r="S1303" s="214" t="s">
        <v>407</v>
      </c>
      <c r="T1303" s="214" t="s">
        <v>321</v>
      </c>
      <c r="U1303" s="214"/>
    </row>
    <row r="1304">
      <c r="A1304" s="221">
        <v>45958.06845685185</v>
      </c>
      <c r="B1304" s="214" t="s">
        <v>395</v>
      </c>
      <c r="C1304" s="214" t="s">
        <v>99</v>
      </c>
      <c r="D1304" s="214">
        <v>5.0</v>
      </c>
      <c r="E1304" s="214">
        <v>3.0</v>
      </c>
      <c r="F1304" s="214" t="s">
        <v>1522</v>
      </c>
      <c r="G1304" s="214" t="s">
        <v>597</v>
      </c>
      <c r="H1304" s="214" t="s">
        <v>43</v>
      </c>
      <c r="I1304" s="214"/>
      <c r="J1304" s="222" t="s">
        <v>67</v>
      </c>
      <c r="K1304" s="222">
        <v>-10.5</v>
      </c>
      <c r="L1304" s="222" t="s">
        <v>67</v>
      </c>
      <c r="M1304" s="222">
        <v>49.5</v>
      </c>
      <c r="N1304" s="214">
        <v>294.0</v>
      </c>
      <c r="O1304" s="214">
        <v>196.0</v>
      </c>
      <c r="P1304" s="214">
        <v>2.0</v>
      </c>
      <c r="Q1304" s="214" t="b">
        <v>0</v>
      </c>
      <c r="R1304" s="214">
        <v>100.0</v>
      </c>
      <c r="S1304" s="214" t="s">
        <v>725</v>
      </c>
      <c r="T1304" s="214"/>
      <c r="U1304" s="214"/>
    </row>
    <row r="1305">
      <c r="A1305" s="221">
        <v>45958.06845685185</v>
      </c>
      <c r="B1305" s="214" t="s">
        <v>395</v>
      </c>
      <c r="C1305" s="214" t="s">
        <v>162</v>
      </c>
      <c r="D1305" s="214">
        <v>6.0</v>
      </c>
      <c r="E1305" s="214">
        <v>2.0</v>
      </c>
      <c r="F1305" s="214" t="s">
        <v>1569</v>
      </c>
      <c r="G1305" s="214" t="s">
        <v>532</v>
      </c>
      <c r="H1305" s="214" t="s">
        <v>249</v>
      </c>
      <c r="I1305" s="214"/>
      <c r="J1305" s="222" t="s">
        <v>67</v>
      </c>
      <c r="K1305" s="222">
        <v>3.5</v>
      </c>
      <c r="L1305" s="222" t="s">
        <v>67</v>
      </c>
      <c r="M1305" s="222">
        <v>50.5</v>
      </c>
      <c r="N1305" s="214">
        <v>236.0</v>
      </c>
      <c r="O1305" s="214">
        <v>189.0</v>
      </c>
      <c r="P1305" s="214">
        <v>2.0</v>
      </c>
      <c r="Q1305" s="214" t="b">
        <v>1</v>
      </c>
      <c r="R1305" s="214">
        <v>100.0</v>
      </c>
      <c r="S1305" s="214" t="s">
        <v>535</v>
      </c>
      <c r="T1305" s="214" t="s">
        <v>365</v>
      </c>
      <c r="U1305" s="214"/>
    </row>
    <row r="1306">
      <c r="A1306" s="221">
        <v>45958.06845685185</v>
      </c>
      <c r="B1306" s="214"/>
      <c r="C1306" s="214"/>
      <c r="D1306" s="214"/>
      <c r="E1306" s="214"/>
      <c r="F1306" s="214"/>
      <c r="G1306" s="214"/>
      <c r="H1306" s="214"/>
      <c r="I1306" s="214"/>
      <c r="J1306" s="222"/>
      <c r="K1306" s="222"/>
      <c r="L1306" s="222"/>
      <c r="M1306" s="222"/>
      <c r="N1306" s="214"/>
      <c r="O1306" s="214"/>
      <c r="P1306" s="214"/>
      <c r="Q1306" s="214"/>
      <c r="R1306" s="214"/>
      <c r="S1306" s="214"/>
      <c r="T1306" s="214"/>
      <c r="U1306" s="214"/>
    </row>
    <row r="1307">
      <c r="A1307" s="221">
        <v>45958.06845685185</v>
      </c>
      <c r="B1307" s="214" t="s">
        <v>132</v>
      </c>
      <c r="C1307" s="214" t="s">
        <v>107</v>
      </c>
      <c r="D1307" s="214">
        <v>6.0</v>
      </c>
      <c r="E1307" s="214">
        <v>1.0</v>
      </c>
      <c r="F1307" s="214"/>
      <c r="G1307" s="214"/>
      <c r="H1307" s="214"/>
      <c r="I1307" s="214"/>
      <c r="J1307" s="222"/>
      <c r="K1307" s="222"/>
      <c r="L1307" s="222"/>
      <c r="M1307" s="222"/>
      <c r="N1307" s="214">
        <v>181.0</v>
      </c>
      <c r="O1307" s="214">
        <v>156.0</v>
      </c>
      <c r="P1307" s="214">
        <v>0.0</v>
      </c>
      <c r="Q1307" s="214" t="b">
        <v>1</v>
      </c>
      <c r="R1307" s="214">
        <v>59.0</v>
      </c>
      <c r="S1307" s="214" t="s">
        <v>361</v>
      </c>
      <c r="T1307" s="214" t="s">
        <v>365</v>
      </c>
      <c r="U1307" s="214"/>
    </row>
    <row r="1308">
      <c r="A1308" s="221">
        <v>45958.06845685185</v>
      </c>
      <c r="B1308" s="214" t="s">
        <v>132</v>
      </c>
      <c r="C1308" s="214" t="s">
        <v>115</v>
      </c>
      <c r="D1308" s="214">
        <v>6.0</v>
      </c>
      <c r="E1308" s="214">
        <v>1.0</v>
      </c>
      <c r="F1308" s="214" t="s">
        <v>1572</v>
      </c>
      <c r="G1308" s="214" t="s">
        <v>61</v>
      </c>
      <c r="H1308" s="214" t="s">
        <v>493</v>
      </c>
      <c r="I1308" s="214"/>
      <c r="J1308" s="222" t="s">
        <v>67</v>
      </c>
      <c r="K1308" s="222">
        <v>-25.5</v>
      </c>
      <c r="L1308" s="222" t="s">
        <v>67</v>
      </c>
      <c r="M1308" s="222">
        <v>54.5</v>
      </c>
      <c r="N1308" s="214">
        <v>242.0</v>
      </c>
      <c r="O1308" s="214">
        <v>150.0</v>
      </c>
      <c r="P1308" s="214">
        <v>2.0</v>
      </c>
      <c r="Q1308" s="214" t="b">
        <v>1</v>
      </c>
      <c r="R1308" s="214">
        <v>100.0</v>
      </c>
      <c r="S1308" s="214" t="s">
        <v>317</v>
      </c>
      <c r="T1308" s="214" t="s">
        <v>321</v>
      </c>
      <c r="U1308" s="214"/>
    </row>
    <row r="1309">
      <c r="A1309" s="221">
        <v>45958.06845685185</v>
      </c>
      <c r="B1309" s="214" t="s">
        <v>132</v>
      </c>
      <c r="C1309" s="214" t="s">
        <v>187</v>
      </c>
      <c r="D1309" s="214">
        <v>4.0</v>
      </c>
      <c r="E1309" s="214">
        <v>4.0</v>
      </c>
      <c r="F1309" s="214" t="s">
        <v>1532</v>
      </c>
      <c r="G1309" s="214" t="s">
        <v>61</v>
      </c>
      <c r="H1309" s="214" t="s">
        <v>62</v>
      </c>
      <c r="I1309" s="214"/>
      <c r="J1309" s="222" t="s">
        <v>67</v>
      </c>
      <c r="K1309" s="222">
        <v>-4.5</v>
      </c>
      <c r="L1309" s="222" t="s">
        <v>67</v>
      </c>
      <c r="M1309" s="222">
        <v>47.5</v>
      </c>
      <c r="N1309" s="214">
        <v>168.0</v>
      </c>
      <c r="O1309" s="214">
        <v>158.0</v>
      </c>
      <c r="P1309" s="214">
        <v>2.0</v>
      </c>
      <c r="Q1309" s="214" t="b">
        <v>0</v>
      </c>
      <c r="R1309" s="214">
        <v>100.0</v>
      </c>
      <c r="S1309" s="214" t="s">
        <v>525</v>
      </c>
      <c r="T1309" s="214" t="s">
        <v>365</v>
      </c>
      <c r="U1309" s="214"/>
    </row>
    <row r="1310">
      <c r="A1310" s="221">
        <v>45958.06845685185</v>
      </c>
      <c r="B1310" s="214" t="s">
        <v>132</v>
      </c>
      <c r="C1310" s="214" t="s">
        <v>215</v>
      </c>
      <c r="D1310" s="214">
        <v>4.0</v>
      </c>
      <c r="E1310" s="214">
        <v>4.0</v>
      </c>
      <c r="F1310" s="214" t="s">
        <v>1549</v>
      </c>
      <c r="G1310" s="214" t="s">
        <v>61</v>
      </c>
      <c r="H1310" s="214" t="s">
        <v>224</v>
      </c>
      <c r="I1310" s="214"/>
      <c r="J1310" s="222" t="s">
        <v>67</v>
      </c>
      <c r="K1310" s="222">
        <v>-1.5</v>
      </c>
      <c r="L1310" s="222" t="s">
        <v>67</v>
      </c>
      <c r="M1310" s="222">
        <v>59.5</v>
      </c>
      <c r="N1310" s="214">
        <v>189.0</v>
      </c>
      <c r="O1310" s="214">
        <v>228.0</v>
      </c>
      <c r="P1310" s="214">
        <v>2.0</v>
      </c>
      <c r="Q1310" s="214" t="b">
        <v>0</v>
      </c>
      <c r="R1310" s="214">
        <v>100.0</v>
      </c>
      <c r="S1310" s="214" t="s">
        <v>441</v>
      </c>
      <c r="T1310" s="214" t="s">
        <v>365</v>
      </c>
      <c r="U1310" s="214"/>
    </row>
    <row r="1311">
      <c r="A1311" s="221">
        <v>45958.06845685185</v>
      </c>
      <c r="B1311" s="214" t="s">
        <v>132</v>
      </c>
      <c r="C1311" s="214" t="s">
        <v>134</v>
      </c>
      <c r="D1311" s="214">
        <v>2.0</v>
      </c>
      <c r="E1311" s="214">
        <v>6.0</v>
      </c>
      <c r="F1311" s="214" t="s">
        <v>1526</v>
      </c>
      <c r="G1311" s="214" t="s">
        <v>61</v>
      </c>
      <c r="H1311" s="214" t="s">
        <v>95</v>
      </c>
      <c r="I1311" s="214"/>
      <c r="J1311" s="222" t="s">
        <v>67</v>
      </c>
      <c r="K1311" s="222">
        <v>16.5</v>
      </c>
      <c r="L1311" s="222" t="s">
        <v>67</v>
      </c>
      <c r="M1311" s="222">
        <v>55.5</v>
      </c>
      <c r="N1311" s="214">
        <v>164.0</v>
      </c>
      <c r="O1311" s="214">
        <v>239.0</v>
      </c>
      <c r="P1311" s="214">
        <v>2.0</v>
      </c>
      <c r="Q1311" s="214" t="b">
        <v>1</v>
      </c>
      <c r="R1311" s="214">
        <v>100.0</v>
      </c>
      <c r="S1311" s="214" t="s">
        <v>471</v>
      </c>
      <c r="T1311" s="214" t="s">
        <v>321</v>
      </c>
      <c r="U1311" s="214"/>
    </row>
    <row r="1312">
      <c r="A1312" s="221">
        <v>45958.06845685185</v>
      </c>
      <c r="B1312" s="214" t="s">
        <v>132</v>
      </c>
      <c r="C1312" s="214" t="s">
        <v>210</v>
      </c>
      <c r="D1312" s="214">
        <v>3.0</v>
      </c>
      <c r="E1312" s="214">
        <v>5.0</v>
      </c>
      <c r="F1312" s="214" t="s">
        <v>1533</v>
      </c>
      <c r="G1312" s="214" t="s">
        <v>61</v>
      </c>
      <c r="H1312" s="214" t="s">
        <v>62</v>
      </c>
      <c r="I1312" s="214"/>
      <c r="J1312" s="222" t="s">
        <v>67</v>
      </c>
      <c r="K1312" s="222">
        <v>11.5</v>
      </c>
      <c r="L1312" s="222" t="s">
        <v>67</v>
      </c>
      <c r="M1312" s="222">
        <v>47.5</v>
      </c>
      <c r="N1312" s="214">
        <v>163.0</v>
      </c>
      <c r="O1312" s="214">
        <v>169.0</v>
      </c>
      <c r="P1312" s="214">
        <v>2.0</v>
      </c>
      <c r="Q1312" s="214" t="b">
        <v>1</v>
      </c>
      <c r="R1312" s="214">
        <v>100.0</v>
      </c>
      <c r="S1312" s="214" t="s">
        <v>556</v>
      </c>
      <c r="T1312" s="214" t="s">
        <v>321</v>
      </c>
      <c r="U1312" s="214"/>
    </row>
    <row r="1313">
      <c r="A1313" s="221">
        <v>45958.06845685185</v>
      </c>
      <c r="B1313" s="214" t="s">
        <v>132</v>
      </c>
      <c r="C1313" s="214" t="s">
        <v>168</v>
      </c>
      <c r="D1313" s="214">
        <v>5.0</v>
      </c>
      <c r="E1313" s="214">
        <v>3.0</v>
      </c>
      <c r="F1313" s="214" t="s">
        <v>1519</v>
      </c>
      <c r="G1313" s="214" t="s">
        <v>61</v>
      </c>
      <c r="H1313" s="214" t="s">
        <v>43</v>
      </c>
      <c r="I1313" s="214"/>
      <c r="J1313" s="222" t="s">
        <v>67</v>
      </c>
      <c r="K1313" s="222">
        <v>-16.5</v>
      </c>
      <c r="L1313" s="222" t="s">
        <v>67</v>
      </c>
      <c r="M1313" s="222">
        <v>46.5</v>
      </c>
      <c r="N1313" s="214">
        <v>196.0</v>
      </c>
      <c r="O1313" s="214">
        <v>192.0</v>
      </c>
      <c r="P1313" s="214">
        <v>2.0</v>
      </c>
      <c r="Q1313" s="214" t="b">
        <v>1</v>
      </c>
      <c r="R1313" s="214">
        <v>100.0</v>
      </c>
      <c r="S1313" s="214" t="s">
        <v>530</v>
      </c>
      <c r="T1313" s="214" t="s">
        <v>365</v>
      </c>
      <c r="U1313" s="214"/>
    </row>
    <row r="1314">
      <c r="A1314" s="221">
        <v>45958.06845685185</v>
      </c>
      <c r="B1314" s="214" t="s">
        <v>132</v>
      </c>
      <c r="C1314" s="214" t="s">
        <v>136</v>
      </c>
      <c r="D1314" s="214">
        <v>8.0</v>
      </c>
      <c r="E1314" s="214">
        <v>0.0</v>
      </c>
      <c r="F1314" s="214" t="s">
        <v>1535</v>
      </c>
      <c r="G1314" s="214" t="s">
        <v>61</v>
      </c>
      <c r="H1314" s="214" t="s">
        <v>62</v>
      </c>
      <c r="I1314" s="214"/>
      <c r="J1314" s="222" t="s">
        <v>67</v>
      </c>
      <c r="K1314" s="222">
        <v>-25.5</v>
      </c>
      <c r="L1314" s="222" t="s">
        <v>67</v>
      </c>
      <c r="M1314" s="222">
        <v>53.5</v>
      </c>
      <c r="N1314" s="214">
        <v>363.0</v>
      </c>
      <c r="O1314" s="214">
        <v>87.0</v>
      </c>
      <c r="P1314" s="214">
        <v>2.0</v>
      </c>
      <c r="Q1314" s="214" t="b">
        <v>1</v>
      </c>
      <c r="R1314" s="214">
        <v>100.0</v>
      </c>
      <c r="S1314" s="214" t="s">
        <v>407</v>
      </c>
      <c r="T1314" s="214" t="s">
        <v>321</v>
      </c>
      <c r="U1314" s="214"/>
    </row>
    <row r="1315">
      <c r="A1315" s="221">
        <v>45958.06845685185</v>
      </c>
      <c r="B1315" s="214" t="s">
        <v>132</v>
      </c>
      <c r="C1315" s="214" t="s">
        <v>545</v>
      </c>
      <c r="D1315" s="214">
        <v>3.0</v>
      </c>
      <c r="E1315" s="214">
        <v>4.0</v>
      </c>
      <c r="F1315" s="214" t="s">
        <v>1531</v>
      </c>
      <c r="G1315" s="214" t="s">
        <v>61</v>
      </c>
      <c r="H1315" s="214" t="s">
        <v>95</v>
      </c>
      <c r="I1315" s="214"/>
      <c r="J1315" s="222" t="s">
        <v>67</v>
      </c>
      <c r="K1315" s="222">
        <v>3.5</v>
      </c>
      <c r="L1315" s="222" t="s">
        <v>67</v>
      </c>
      <c r="M1315" s="222">
        <v>49.5</v>
      </c>
      <c r="N1315" s="214">
        <v>157.0</v>
      </c>
      <c r="O1315" s="214">
        <v>211.0</v>
      </c>
      <c r="P1315" s="214">
        <v>2.0</v>
      </c>
      <c r="Q1315" s="214" t="b">
        <v>0</v>
      </c>
      <c r="R1315" s="214">
        <v>100.0</v>
      </c>
      <c r="S1315" s="214" t="s">
        <v>535</v>
      </c>
      <c r="T1315" s="214" t="s">
        <v>365</v>
      </c>
      <c r="U1315" s="214"/>
    </row>
    <row r="1316">
      <c r="A1316" s="221">
        <v>45958.06845685185</v>
      </c>
      <c r="B1316" s="214" t="s">
        <v>132</v>
      </c>
      <c r="C1316" s="214" t="s">
        <v>131</v>
      </c>
      <c r="D1316" s="214">
        <v>6.0</v>
      </c>
      <c r="E1316" s="214">
        <v>2.0</v>
      </c>
      <c r="F1316" s="214" t="s">
        <v>1580</v>
      </c>
      <c r="G1316" s="214" t="s">
        <v>532</v>
      </c>
      <c r="H1316" s="214" t="s">
        <v>493</v>
      </c>
      <c r="I1316" s="214"/>
      <c r="J1316" s="222" t="s">
        <v>67</v>
      </c>
      <c r="K1316" s="222">
        <v>-7.0</v>
      </c>
      <c r="L1316" s="222" t="s">
        <v>67</v>
      </c>
      <c r="M1316" s="222">
        <v>47.5</v>
      </c>
      <c r="N1316" s="214">
        <v>232.0</v>
      </c>
      <c r="O1316" s="214">
        <v>117.0</v>
      </c>
      <c r="P1316" s="214">
        <v>2.0</v>
      </c>
      <c r="Q1316" s="214" t="b">
        <v>1</v>
      </c>
      <c r="R1316" s="214">
        <v>100.0</v>
      </c>
      <c r="S1316" s="214" t="s">
        <v>556</v>
      </c>
      <c r="T1316" s="214" t="s">
        <v>321</v>
      </c>
      <c r="U1316" s="214"/>
    </row>
    <row r="1317">
      <c r="A1317" s="221">
        <v>45958.06845685185</v>
      </c>
      <c r="B1317" s="214"/>
      <c r="C1317" s="214"/>
      <c r="D1317" s="214"/>
      <c r="E1317" s="214"/>
      <c r="F1317" s="214"/>
      <c r="G1317" s="214"/>
      <c r="H1317" s="214"/>
      <c r="I1317" s="214"/>
      <c r="J1317" s="222"/>
      <c r="K1317" s="222"/>
      <c r="L1317" s="222"/>
      <c r="M1317" s="222"/>
      <c r="N1317" s="214"/>
      <c r="O1317" s="214"/>
      <c r="P1317" s="214"/>
      <c r="Q1317" s="214"/>
      <c r="R1317" s="214"/>
      <c r="S1317" s="214"/>
      <c r="T1317" s="214"/>
      <c r="U1317" s="214"/>
    </row>
    <row r="1318">
      <c r="A1318" s="221">
        <v>45958.06845685185</v>
      </c>
      <c r="B1318" s="214" t="s">
        <v>493</v>
      </c>
      <c r="C1318" s="214" t="s">
        <v>138</v>
      </c>
      <c r="D1318" s="214">
        <v>4.0</v>
      </c>
      <c r="E1318" s="214">
        <v>3.0</v>
      </c>
      <c r="F1318" s="214"/>
      <c r="G1318" s="214"/>
      <c r="H1318" s="214"/>
      <c r="I1318" s="214"/>
      <c r="J1318" s="222"/>
      <c r="K1318" s="222"/>
      <c r="L1318" s="222"/>
      <c r="M1318" s="222"/>
      <c r="N1318" s="214">
        <v>198.0</v>
      </c>
      <c r="O1318" s="214">
        <v>121.0</v>
      </c>
      <c r="P1318" s="214">
        <v>0.0</v>
      </c>
      <c r="Q1318" s="214" t="b">
        <v>1</v>
      </c>
      <c r="R1318" s="214">
        <v>59.0</v>
      </c>
      <c r="S1318" s="214" t="s">
        <v>407</v>
      </c>
      <c r="T1318" s="214" t="s">
        <v>321</v>
      </c>
      <c r="U1318" s="214"/>
    </row>
    <row r="1319">
      <c r="A1319" s="221">
        <v>45958.06845685185</v>
      </c>
      <c r="B1319" s="214" t="s">
        <v>493</v>
      </c>
      <c r="C1319" s="214" t="s">
        <v>188</v>
      </c>
      <c r="D1319" s="214">
        <v>4.0</v>
      </c>
      <c r="E1319" s="214">
        <v>3.0</v>
      </c>
      <c r="F1319" s="214"/>
      <c r="G1319" s="214"/>
      <c r="H1319" s="214"/>
      <c r="I1319" s="214"/>
      <c r="J1319" s="222"/>
      <c r="K1319" s="222"/>
      <c r="L1319" s="222"/>
      <c r="M1319" s="222"/>
      <c r="N1319" s="214">
        <v>221.0</v>
      </c>
      <c r="O1319" s="214">
        <v>142.0</v>
      </c>
      <c r="P1319" s="214">
        <v>0.0</v>
      </c>
      <c r="Q1319" s="214" t="b">
        <v>1</v>
      </c>
      <c r="R1319" s="214">
        <v>59.0</v>
      </c>
      <c r="S1319" s="214" t="s">
        <v>471</v>
      </c>
      <c r="T1319" s="214" t="s">
        <v>321</v>
      </c>
      <c r="U1319" s="214"/>
    </row>
    <row r="1320">
      <c r="A1320" s="221">
        <v>45958.06845685185</v>
      </c>
      <c r="B1320" s="214" t="s">
        <v>493</v>
      </c>
      <c r="C1320" s="214" t="s">
        <v>110</v>
      </c>
      <c r="D1320" s="214">
        <v>1.0</v>
      </c>
      <c r="E1320" s="214">
        <v>7.0</v>
      </c>
      <c r="F1320" s="214" t="s">
        <v>1572</v>
      </c>
      <c r="G1320" s="214" t="s">
        <v>61</v>
      </c>
      <c r="H1320" s="214" t="s">
        <v>132</v>
      </c>
      <c r="I1320" s="214"/>
      <c r="J1320" s="222" t="s">
        <v>67</v>
      </c>
      <c r="K1320" s="222">
        <v>25.5</v>
      </c>
      <c r="L1320" s="222" t="s">
        <v>67</v>
      </c>
      <c r="M1320" s="222">
        <v>54.5</v>
      </c>
      <c r="N1320" s="214">
        <v>214.0</v>
      </c>
      <c r="O1320" s="214">
        <v>275.0</v>
      </c>
      <c r="P1320" s="214">
        <v>2.0</v>
      </c>
      <c r="Q1320" s="214" t="b">
        <v>0</v>
      </c>
      <c r="R1320" s="214">
        <v>100.0</v>
      </c>
      <c r="S1320" s="214" t="s">
        <v>317</v>
      </c>
      <c r="T1320" s="214" t="s">
        <v>321</v>
      </c>
      <c r="U1320" s="214"/>
    </row>
    <row r="1321">
      <c r="A1321" s="221">
        <v>45958.06845685185</v>
      </c>
      <c r="B1321" s="214" t="s">
        <v>493</v>
      </c>
      <c r="C1321" s="214" t="s">
        <v>195</v>
      </c>
      <c r="D1321" s="214">
        <v>3.0</v>
      </c>
      <c r="E1321" s="214">
        <v>5.0</v>
      </c>
      <c r="F1321" s="214" t="s">
        <v>1558</v>
      </c>
      <c r="G1321" s="214" t="s">
        <v>61</v>
      </c>
      <c r="H1321" s="214" t="s">
        <v>156</v>
      </c>
      <c r="I1321" s="214"/>
      <c r="J1321" s="222" t="s">
        <v>67</v>
      </c>
      <c r="K1321" s="222">
        <v>29.5</v>
      </c>
      <c r="L1321" s="222" t="s">
        <v>67</v>
      </c>
      <c r="M1321" s="222">
        <v>45.5</v>
      </c>
      <c r="N1321" s="214">
        <v>140.0</v>
      </c>
      <c r="O1321" s="214">
        <v>236.0</v>
      </c>
      <c r="P1321" s="214">
        <v>2.0</v>
      </c>
      <c r="Q1321" s="214" t="b">
        <v>0</v>
      </c>
      <c r="R1321" s="214">
        <v>100.0</v>
      </c>
      <c r="S1321" s="214" t="s">
        <v>317</v>
      </c>
      <c r="T1321" s="214" t="s">
        <v>321</v>
      </c>
      <c r="U1321" s="214"/>
    </row>
    <row r="1322">
      <c r="A1322" s="221">
        <v>45958.06845685185</v>
      </c>
      <c r="B1322" s="214" t="s">
        <v>493</v>
      </c>
      <c r="C1322" s="214" t="s">
        <v>123</v>
      </c>
      <c r="D1322" s="214">
        <v>5.0</v>
      </c>
      <c r="E1322" s="214">
        <v>2.0</v>
      </c>
      <c r="F1322" s="214" t="s">
        <v>1544</v>
      </c>
      <c r="G1322" s="214" t="s">
        <v>61</v>
      </c>
      <c r="H1322" s="214" t="s">
        <v>193</v>
      </c>
      <c r="I1322" s="214"/>
      <c r="J1322" s="222" t="s">
        <v>67</v>
      </c>
      <c r="K1322" s="222">
        <v>2.5</v>
      </c>
      <c r="L1322" s="222" t="s">
        <v>67</v>
      </c>
      <c r="M1322" s="222">
        <v>53.5</v>
      </c>
      <c r="N1322" s="214">
        <v>187.0</v>
      </c>
      <c r="O1322" s="214">
        <v>132.0</v>
      </c>
      <c r="P1322" s="214">
        <v>2.0</v>
      </c>
      <c r="Q1322" s="214" t="b">
        <v>0</v>
      </c>
      <c r="R1322" s="214">
        <v>100.0</v>
      </c>
      <c r="S1322" s="214" t="s">
        <v>317</v>
      </c>
      <c r="T1322" s="214" t="s">
        <v>321</v>
      </c>
      <c r="U1322" s="214"/>
    </row>
    <row r="1323">
      <c r="A1323" s="221">
        <v>45958.06845685185</v>
      </c>
      <c r="B1323" s="214" t="s">
        <v>493</v>
      </c>
      <c r="C1323" s="214" t="s">
        <v>120</v>
      </c>
      <c r="D1323" s="214">
        <v>3.0</v>
      </c>
      <c r="E1323" s="214">
        <v>5.0</v>
      </c>
      <c r="F1323" s="214" t="s">
        <v>1570</v>
      </c>
      <c r="G1323" s="214" t="s">
        <v>61</v>
      </c>
      <c r="H1323" s="214" t="s">
        <v>395</v>
      </c>
      <c r="I1323" s="214"/>
      <c r="J1323" s="222" t="s">
        <v>67</v>
      </c>
      <c r="K1323" s="222">
        <v>16.5</v>
      </c>
      <c r="L1323" s="222" t="s">
        <v>67</v>
      </c>
      <c r="M1323" s="222">
        <v>53.5</v>
      </c>
      <c r="N1323" s="214">
        <v>203.0</v>
      </c>
      <c r="O1323" s="214">
        <v>250.0</v>
      </c>
      <c r="P1323" s="214">
        <v>2.0</v>
      </c>
      <c r="Q1323" s="214" t="b">
        <v>0</v>
      </c>
      <c r="R1323" s="214">
        <v>100.0</v>
      </c>
      <c r="S1323" s="214" t="s">
        <v>317</v>
      </c>
      <c r="T1323" s="214" t="s">
        <v>321</v>
      </c>
      <c r="U1323" s="214"/>
    </row>
    <row r="1324">
      <c r="A1324" s="221">
        <v>45958.06845685185</v>
      </c>
      <c r="B1324" s="214" t="s">
        <v>493</v>
      </c>
      <c r="C1324" s="214" t="s">
        <v>143</v>
      </c>
      <c r="D1324" s="214">
        <v>5.0</v>
      </c>
      <c r="E1324" s="214">
        <v>3.0</v>
      </c>
      <c r="F1324" s="214" t="s">
        <v>1553</v>
      </c>
      <c r="G1324" s="214" t="s">
        <v>61</v>
      </c>
      <c r="H1324" s="214" t="s">
        <v>96</v>
      </c>
      <c r="I1324" s="214"/>
      <c r="J1324" s="222" t="s">
        <v>67</v>
      </c>
      <c r="K1324" s="222">
        <v>7.5</v>
      </c>
      <c r="L1324" s="222" t="s">
        <v>67</v>
      </c>
      <c r="M1324" s="222">
        <v>44.5</v>
      </c>
      <c r="N1324" s="214">
        <v>180.0</v>
      </c>
      <c r="O1324" s="214">
        <v>134.0</v>
      </c>
      <c r="P1324" s="214">
        <v>2.0</v>
      </c>
      <c r="Q1324" s="214" t="b">
        <v>0</v>
      </c>
      <c r="R1324" s="214">
        <v>100.0</v>
      </c>
      <c r="S1324" s="214" t="s">
        <v>407</v>
      </c>
      <c r="T1324" s="214" t="s">
        <v>321</v>
      </c>
      <c r="U1324" s="214"/>
    </row>
    <row r="1325">
      <c r="A1325" s="221">
        <v>45958.06845685185</v>
      </c>
      <c r="B1325" s="214" t="s">
        <v>493</v>
      </c>
      <c r="C1325" s="214" t="s">
        <v>146</v>
      </c>
      <c r="D1325" s="214">
        <v>2.0</v>
      </c>
      <c r="E1325" s="214">
        <v>6.0</v>
      </c>
      <c r="F1325" s="214" t="s">
        <v>1571</v>
      </c>
      <c r="G1325" s="214" t="s">
        <v>61</v>
      </c>
      <c r="H1325" s="214" t="s">
        <v>395</v>
      </c>
      <c r="I1325" s="214"/>
      <c r="J1325" s="222" t="s">
        <v>67</v>
      </c>
      <c r="K1325" s="222">
        <v>1.5</v>
      </c>
      <c r="L1325" s="222" t="s">
        <v>67</v>
      </c>
      <c r="M1325" s="222">
        <v>58.5</v>
      </c>
      <c r="N1325" s="214">
        <v>183.0</v>
      </c>
      <c r="O1325" s="214">
        <v>222.0</v>
      </c>
      <c r="P1325" s="214">
        <v>2.0</v>
      </c>
      <c r="Q1325" s="214" t="b">
        <v>0</v>
      </c>
      <c r="R1325" s="214">
        <v>100.0</v>
      </c>
      <c r="S1325" s="214" t="s">
        <v>407</v>
      </c>
      <c r="T1325" s="214" t="s">
        <v>321</v>
      </c>
      <c r="U1325" s="214"/>
    </row>
    <row r="1326">
      <c r="A1326" s="221">
        <v>45958.06845685185</v>
      </c>
      <c r="B1326" s="214" t="s">
        <v>493</v>
      </c>
      <c r="C1326" s="214" t="s">
        <v>106</v>
      </c>
      <c r="D1326" s="214">
        <v>5.0</v>
      </c>
      <c r="E1326" s="214">
        <v>3.0</v>
      </c>
      <c r="F1326" s="214" t="s">
        <v>1583</v>
      </c>
      <c r="G1326" s="214" t="s">
        <v>532</v>
      </c>
      <c r="H1326" s="214" t="s">
        <v>493</v>
      </c>
      <c r="I1326" s="214"/>
      <c r="J1326" s="222" t="s">
        <v>67</v>
      </c>
      <c r="K1326" s="222">
        <v>-5.5</v>
      </c>
      <c r="L1326" s="222" t="s">
        <v>67</v>
      </c>
      <c r="M1326" s="222">
        <v>54.5</v>
      </c>
      <c r="N1326" s="214">
        <v>269.0</v>
      </c>
      <c r="O1326" s="214">
        <v>208.0</v>
      </c>
      <c r="P1326" s="214">
        <v>2.0</v>
      </c>
      <c r="Q1326" s="214" t="b">
        <v>1</v>
      </c>
      <c r="R1326" s="214">
        <v>100.0</v>
      </c>
      <c r="S1326" s="214" t="s">
        <v>361</v>
      </c>
      <c r="T1326" s="214" t="s">
        <v>365</v>
      </c>
      <c r="U1326" s="214"/>
    </row>
    <row r="1327">
      <c r="A1327" s="221">
        <v>45958.06845685185</v>
      </c>
      <c r="B1327" s="214" t="s">
        <v>493</v>
      </c>
      <c r="C1327" s="214" t="s">
        <v>108</v>
      </c>
      <c r="D1327" s="214">
        <v>2.0</v>
      </c>
      <c r="E1327" s="214">
        <v>6.0</v>
      </c>
      <c r="F1327" s="214" t="s">
        <v>1583</v>
      </c>
      <c r="G1327" s="214" t="s">
        <v>532</v>
      </c>
      <c r="H1327" s="214" t="s">
        <v>493</v>
      </c>
      <c r="I1327" s="214"/>
      <c r="J1327" s="222" t="s">
        <v>67</v>
      </c>
      <c r="K1327" s="222">
        <v>5.5</v>
      </c>
      <c r="L1327" s="222" t="s">
        <v>67</v>
      </c>
      <c r="M1327" s="222">
        <v>54.5</v>
      </c>
      <c r="N1327" s="214">
        <v>176.0</v>
      </c>
      <c r="O1327" s="214">
        <v>237.0</v>
      </c>
      <c r="P1327" s="214">
        <v>2.0</v>
      </c>
      <c r="Q1327" s="214" t="b">
        <v>0</v>
      </c>
      <c r="R1327" s="214">
        <v>100.0</v>
      </c>
      <c r="S1327" s="214" t="s">
        <v>361</v>
      </c>
      <c r="T1327" s="214" t="s">
        <v>365</v>
      </c>
      <c r="U1327" s="214"/>
    </row>
    <row r="1328">
      <c r="A1328" s="221">
        <v>45958.06845685185</v>
      </c>
      <c r="B1328" s="214"/>
      <c r="C1328" s="214"/>
      <c r="D1328" s="214"/>
      <c r="E1328" s="214"/>
      <c r="F1328" s="214"/>
      <c r="G1328" s="214"/>
      <c r="H1328" s="214"/>
      <c r="I1328" s="214"/>
      <c r="J1328" s="222"/>
      <c r="K1328" s="222"/>
      <c r="L1328" s="222"/>
      <c r="M1328" s="222"/>
      <c r="N1328" s="214"/>
      <c r="O1328" s="214"/>
      <c r="P1328" s="214"/>
      <c r="Q1328" s="214"/>
      <c r="R1328" s="214"/>
      <c r="S1328" s="214"/>
      <c r="T1328" s="214"/>
      <c r="U1328" s="214"/>
    </row>
    <row r="1329">
      <c r="A1329" s="221">
        <v>45958.06845685185</v>
      </c>
      <c r="B1329" s="214" t="s">
        <v>493</v>
      </c>
      <c r="C1329" s="214" t="s">
        <v>205</v>
      </c>
      <c r="D1329" s="214">
        <v>2.0</v>
      </c>
      <c r="E1329" s="214">
        <v>5.0</v>
      </c>
      <c r="F1329" s="214" t="s">
        <v>1539</v>
      </c>
      <c r="G1329" s="214" t="s">
        <v>61</v>
      </c>
      <c r="H1329" s="214" t="s">
        <v>193</v>
      </c>
      <c r="I1329" s="214"/>
      <c r="J1329" s="222" t="s">
        <v>67</v>
      </c>
      <c r="K1329" s="222">
        <v>8.5</v>
      </c>
      <c r="L1329" s="222" t="s">
        <v>67</v>
      </c>
      <c r="M1329" s="222">
        <v>54.5</v>
      </c>
      <c r="N1329" s="214">
        <v>169.0</v>
      </c>
      <c r="O1329" s="214">
        <v>211.0</v>
      </c>
      <c r="P1329" s="214">
        <v>2.0</v>
      </c>
      <c r="Q1329" s="214" t="b">
        <v>0</v>
      </c>
      <c r="R1329" s="214">
        <v>100.0</v>
      </c>
      <c r="S1329" s="214" t="s">
        <v>556</v>
      </c>
      <c r="T1329" s="214" t="s">
        <v>321</v>
      </c>
      <c r="U1329" s="214"/>
    </row>
    <row r="1330">
      <c r="A1330" s="221">
        <v>45958.06845685185</v>
      </c>
      <c r="B1330" s="214" t="s">
        <v>493</v>
      </c>
      <c r="C1330" s="214" t="s">
        <v>200</v>
      </c>
      <c r="D1330" s="214">
        <v>4.0</v>
      </c>
      <c r="E1330" s="214">
        <v>4.0</v>
      </c>
      <c r="F1330" s="214" t="s">
        <v>1560</v>
      </c>
      <c r="G1330" s="214" t="s">
        <v>61</v>
      </c>
      <c r="H1330" s="214" t="s">
        <v>156</v>
      </c>
      <c r="I1330" s="214"/>
      <c r="J1330" s="222" t="s">
        <v>67</v>
      </c>
      <c r="K1330" s="222">
        <v>1.5</v>
      </c>
      <c r="L1330" s="222" t="s">
        <v>67</v>
      </c>
      <c r="M1330" s="222">
        <v>45.5</v>
      </c>
      <c r="N1330" s="214">
        <v>172.0</v>
      </c>
      <c r="O1330" s="214">
        <v>197.0</v>
      </c>
      <c r="P1330" s="214">
        <v>2.0</v>
      </c>
      <c r="Q1330" s="214" t="b">
        <v>1</v>
      </c>
      <c r="R1330" s="214">
        <v>100.0</v>
      </c>
      <c r="S1330" s="214" t="s">
        <v>680</v>
      </c>
      <c r="T1330" s="214" t="s">
        <v>365</v>
      </c>
      <c r="U1330" s="214"/>
    </row>
    <row r="1331">
      <c r="A1331" s="221">
        <v>45958.06845685185</v>
      </c>
      <c r="B1331" s="214" t="s">
        <v>493</v>
      </c>
      <c r="C1331" s="214" t="s">
        <v>546</v>
      </c>
      <c r="D1331" s="214">
        <v>6.0</v>
      </c>
      <c r="E1331" s="214">
        <v>2.0</v>
      </c>
      <c r="F1331" s="214" t="s">
        <v>1587</v>
      </c>
      <c r="G1331" s="214" t="s">
        <v>61</v>
      </c>
      <c r="H1331" s="214" t="s">
        <v>493</v>
      </c>
      <c r="I1331" s="214"/>
      <c r="J1331" s="222" t="s">
        <v>67</v>
      </c>
      <c r="K1331" s="222">
        <v>-12.5</v>
      </c>
      <c r="L1331" s="222" t="s">
        <v>67</v>
      </c>
      <c r="M1331" s="222">
        <v>50.5</v>
      </c>
      <c r="N1331" s="214">
        <v>264.0</v>
      </c>
      <c r="O1331" s="214">
        <v>197.0</v>
      </c>
      <c r="P1331" s="214">
        <v>2.0</v>
      </c>
      <c r="Q1331" s="214" t="b">
        <v>1</v>
      </c>
      <c r="R1331" s="214">
        <v>100.0</v>
      </c>
      <c r="S1331" s="214" t="s">
        <v>441</v>
      </c>
      <c r="T1331" s="214" t="s">
        <v>365</v>
      </c>
      <c r="U1331" s="214"/>
    </row>
    <row r="1332">
      <c r="A1332" s="221">
        <v>45958.06845685185</v>
      </c>
      <c r="B1332" s="214" t="s">
        <v>493</v>
      </c>
      <c r="C1332" s="214" t="s">
        <v>219</v>
      </c>
      <c r="D1332" s="214">
        <v>3.0</v>
      </c>
      <c r="E1332" s="214">
        <v>5.0</v>
      </c>
      <c r="F1332" s="214" t="s">
        <v>1587</v>
      </c>
      <c r="G1332" s="214" t="s">
        <v>61</v>
      </c>
      <c r="H1332" s="214" t="s">
        <v>493</v>
      </c>
      <c r="I1332" s="214"/>
      <c r="J1332" s="222" t="s">
        <v>67</v>
      </c>
      <c r="K1332" s="222">
        <v>12.5</v>
      </c>
      <c r="L1332" s="222" t="s">
        <v>67</v>
      </c>
      <c r="M1332" s="222">
        <v>50.5</v>
      </c>
      <c r="N1332" s="214">
        <v>138.0</v>
      </c>
      <c r="O1332" s="214">
        <v>265.0</v>
      </c>
      <c r="P1332" s="214">
        <v>2.0</v>
      </c>
      <c r="Q1332" s="214" t="b">
        <v>0</v>
      </c>
      <c r="R1332" s="214">
        <v>100.0</v>
      </c>
      <c r="S1332" s="214" t="s">
        <v>441</v>
      </c>
      <c r="T1332" s="214" t="s">
        <v>365</v>
      </c>
      <c r="U1332" s="214"/>
    </row>
    <row r="1333">
      <c r="A1333" s="221">
        <v>45958.06845685185</v>
      </c>
      <c r="B1333" s="214" t="s">
        <v>493</v>
      </c>
      <c r="C1333" s="214" t="s">
        <v>170</v>
      </c>
      <c r="D1333" s="214">
        <v>3.0</v>
      </c>
      <c r="E1333" s="214">
        <v>5.0</v>
      </c>
      <c r="F1333" s="214" t="s">
        <v>1550</v>
      </c>
      <c r="G1333" s="214" t="s">
        <v>61</v>
      </c>
      <c r="H1333" s="214" t="s">
        <v>224</v>
      </c>
      <c r="I1333" s="214"/>
      <c r="J1333" s="222" t="s">
        <v>67</v>
      </c>
      <c r="K1333" s="222">
        <v>7.0</v>
      </c>
      <c r="L1333" s="222" t="s">
        <v>67</v>
      </c>
      <c r="M1333" s="222">
        <v>47.5</v>
      </c>
      <c r="N1333" s="214">
        <v>149.0</v>
      </c>
      <c r="O1333" s="214">
        <v>292.0</v>
      </c>
      <c r="P1333" s="214">
        <v>2.0</v>
      </c>
      <c r="Q1333" s="214" t="b">
        <v>1</v>
      </c>
      <c r="R1333" s="214">
        <v>100.0</v>
      </c>
      <c r="S1333" s="214" t="s">
        <v>530</v>
      </c>
      <c r="T1333" s="214" t="s">
        <v>365</v>
      </c>
      <c r="U1333" s="214"/>
    </row>
    <row r="1334">
      <c r="A1334" s="221">
        <v>45965.06850043981</v>
      </c>
      <c r="B1334" s="214" t="s">
        <v>43</v>
      </c>
      <c r="C1334" s="214" t="s">
        <v>527</v>
      </c>
      <c r="D1334" s="214">
        <v>0.0</v>
      </c>
      <c r="E1334" s="214">
        <v>8.0</v>
      </c>
      <c r="F1334" s="214"/>
      <c r="G1334" s="214"/>
      <c r="H1334" s="214"/>
      <c r="I1334" s="214"/>
      <c r="J1334" s="222"/>
      <c r="K1334" s="222"/>
      <c r="L1334" s="222"/>
      <c r="M1334" s="222"/>
      <c r="N1334" s="214">
        <v>92.0</v>
      </c>
      <c r="O1334" s="214">
        <v>287.0</v>
      </c>
      <c r="P1334" s="214">
        <v>0.0</v>
      </c>
      <c r="Q1334" s="214" t="b">
        <v>1</v>
      </c>
      <c r="R1334" s="214">
        <v>59.0</v>
      </c>
      <c r="S1334" s="214" t="s">
        <v>530</v>
      </c>
      <c r="T1334" s="214" t="s">
        <v>365</v>
      </c>
      <c r="U1334" s="214"/>
    </row>
    <row r="1335">
      <c r="A1335" s="221">
        <v>45965.06850043981</v>
      </c>
      <c r="B1335" s="214" t="s">
        <v>43</v>
      </c>
      <c r="C1335" s="214" t="s">
        <v>422</v>
      </c>
      <c r="D1335" s="214">
        <v>4.0</v>
      </c>
      <c r="E1335" s="214">
        <v>4.0</v>
      </c>
      <c r="F1335" s="214"/>
      <c r="G1335" s="214"/>
      <c r="H1335" s="214"/>
      <c r="I1335" s="214"/>
      <c r="J1335" s="222"/>
      <c r="K1335" s="222"/>
      <c r="L1335" s="222"/>
      <c r="M1335" s="222"/>
      <c r="N1335" s="214">
        <v>216.0</v>
      </c>
      <c r="O1335" s="214">
        <v>221.0</v>
      </c>
      <c r="P1335" s="214">
        <v>0.0</v>
      </c>
      <c r="Q1335" s="214" t="b">
        <v>1</v>
      </c>
      <c r="R1335" s="214">
        <v>59.0</v>
      </c>
      <c r="S1335" s="214" t="s">
        <v>441</v>
      </c>
      <c r="T1335" s="214" t="s">
        <v>365</v>
      </c>
      <c r="U1335" s="214"/>
    </row>
    <row r="1336">
      <c r="A1336" s="221">
        <v>45965.06850043981</v>
      </c>
      <c r="B1336" s="214" t="s">
        <v>43</v>
      </c>
      <c r="C1336" s="214" t="s">
        <v>45</v>
      </c>
      <c r="D1336" s="214">
        <v>4.0</v>
      </c>
      <c r="E1336" s="214">
        <v>5.0</v>
      </c>
      <c r="F1336" s="214" t="s">
        <v>1590</v>
      </c>
      <c r="G1336" s="214" t="s">
        <v>61</v>
      </c>
      <c r="H1336" s="214" t="s">
        <v>493</v>
      </c>
      <c r="I1336" s="214"/>
      <c r="J1336" s="222" t="s">
        <v>67</v>
      </c>
      <c r="K1336" s="222">
        <v>-11.5</v>
      </c>
      <c r="L1336" s="222" t="s">
        <v>67</v>
      </c>
      <c r="M1336" s="222">
        <v>44.5</v>
      </c>
      <c r="N1336" s="214">
        <v>201.0</v>
      </c>
      <c r="O1336" s="214">
        <v>159.0</v>
      </c>
      <c r="P1336" s="214">
        <v>2.0</v>
      </c>
      <c r="Q1336" s="214" t="b">
        <v>0</v>
      </c>
      <c r="R1336" s="214">
        <v>100.0</v>
      </c>
      <c r="S1336" s="214" t="s">
        <v>556</v>
      </c>
      <c r="T1336" s="214" t="s">
        <v>321</v>
      </c>
      <c r="U1336" s="214"/>
    </row>
    <row r="1337">
      <c r="A1337" s="221">
        <v>45965.06850043981</v>
      </c>
      <c r="B1337" s="214" t="s">
        <v>43</v>
      </c>
      <c r="C1337" s="214" t="s">
        <v>133</v>
      </c>
      <c r="D1337" s="214">
        <v>8.0</v>
      </c>
      <c r="E1337" s="214">
        <v>1.0</v>
      </c>
      <c r="F1337" s="214" t="s">
        <v>1591</v>
      </c>
      <c r="G1337" s="214" t="s">
        <v>61</v>
      </c>
      <c r="H1337" s="214" t="s">
        <v>62</v>
      </c>
      <c r="I1337" s="214"/>
      <c r="J1337" s="222" t="s">
        <v>67</v>
      </c>
      <c r="K1337" s="222">
        <v>-7.5</v>
      </c>
      <c r="L1337" s="222" t="s">
        <v>67</v>
      </c>
      <c r="M1337" s="222">
        <v>51.5</v>
      </c>
      <c r="N1337" s="214">
        <v>392.0</v>
      </c>
      <c r="O1337" s="214">
        <v>119.0</v>
      </c>
      <c r="P1337" s="214">
        <v>2.0</v>
      </c>
      <c r="Q1337" s="214" t="b">
        <v>0</v>
      </c>
      <c r="R1337" s="214">
        <v>100.0</v>
      </c>
      <c r="S1337" s="214" t="s">
        <v>471</v>
      </c>
      <c r="T1337" s="214" t="s">
        <v>321</v>
      </c>
      <c r="U1337" s="214"/>
    </row>
    <row r="1338">
      <c r="A1338" s="221">
        <v>45965.06850043981</v>
      </c>
      <c r="B1338" s="214" t="s">
        <v>43</v>
      </c>
      <c r="C1338" s="214" t="s">
        <v>228</v>
      </c>
      <c r="D1338" s="214">
        <v>3.0</v>
      </c>
      <c r="E1338" s="214">
        <v>5.0</v>
      </c>
      <c r="F1338" s="214" t="s">
        <v>1592</v>
      </c>
      <c r="G1338" s="214" t="s">
        <v>61</v>
      </c>
      <c r="H1338" s="214" t="s">
        <v>395</v>
      </c>
      <c r="I1338" s="214"/>
      <c r="J1338" s="222" t="s">
        <v>67</v>
      </c>
      <c r="K1338" s="222">
        <v>8.5</v>
      </c>
      <c r="L1338" s="222" t="s">
        <v>67</v>
      </c>
      <c r="M1338" s="222">
        <v>52.5</v>
      </c>
      <c r="N1338" s="214">
        <v>171.0</v>
      </c>
      <c r="O1338" s="214">
        <v>203.0</v>
      </c>
      <c r="P1338" s="214">
        <v>2.0</v>
      </c>
      <c r="Q1338" s="214" t="b">
        <v>0</v>
      </c>
      <c r="R1338" s="214">
        <v>100.0</v>
      </c>
      <c r="S1338" s="214" t="s">
        <v>535</v>
      </c>
      <c r="T1338" s="214" t="s">
        <v>365</v>
      </c>
      <c r="U1338" s="214"/>
    </row>
    <row r="1339">
      <c r="A1339" s="221">
        <v>45965.06850043981</v>
      </c>
      <c r="B1339" s="214" t="s">
        <v>43</v>
      </c>
      <c r="C1339" s="214" t="s">
        <v>189</v>
      </c>
      <c r="D1339" s="214">
        <v>6.0</v>
      </c>
      <c r="E1339" s="214">
        <v>3.0</v>
      </c>
      <c r="F1339" s="214" t="s">
        <v>1593</v>
      </c>
      <c r="G1339" s="214" t="s">
        <v>61</v>
      </c>
      <c r="H1339" s="214" t="s">
        <v>311</v>
      </c>
      <c r="I1339" s="214"/>
      <c r="J1339" s="222" t="s">
        <v>67</v>
      </c>
      <c r="K1339" s="222">
        <v>7.5</v>
      </c>
      <c r="L1339" s="222" t="s">
        <v>67</v>
      </c>
      <c r="M1339" s="222">
        <v>50.5</v>
      </c>
      <c r="N1339" s="214">
        <v>222.0</v>
      </c>
      <c r="O1339" s="214">
        <v>213.0</v>
      </c>
      <c r="P1339" s="214">
        <v>2.0</v>
      </c>
      <c r="Q1339" s="214" t="b">
        <v>0</v>
      </c>
      <c r="R1339" s="214">
        <v>100.0</v>
      </c>
      <c r="S1339" s="214" t="s">
        <v>471</v>
      </c>
      <c r="T1339" s="214" t="s">
        <v>321</v>
      </c>
      <c r="U1339" s="214"/>
    </row>
    <row r="1340">
      <c r="A1340" s="221">
        <v>45965.06850043981</v>
      </c>
      <c r="B1340" s="214" t="s">
        <v>43</v>
      </c>
      <c r="C1340" s="214" t="s">
        <v>145</v>
      </c>
      <c r="D1340" s="214">
        <v>3.0</v>
      </c>
      <c r="E1340" s="214">
        <v>5.0</v>
      </c>
      <c r="F1340" s="214" t="s">
        <v>1594</v>
      </c>
      <c r="G1340" s="214" t="s">
        <v>61</v>
      </c>
      <c r="H1340" s="214" t="s">
        <v>193</v>
      </c>
      <c r="I1340" s="214"/>
      <c r="J1340" s="222" t="s">
        <v>67</v>
      </c>
      <c r="K1340" s="222">
        <v>19.5</v>
      </c>
      <c r="L1340" s="222" t="s">
        <v>67</v>
      </c>
      <c r="M1340" s="222">
        <v>44.5</v>
      </c>
      <c r="N1340" s="214">
        <v>252.0</v>
      </c>
      <c r="O1340" s="214">
        <v>174.0</v>
      </c>
      <c r="P1340" s="214">
        <v>2.0</v>
      </c>
      <c r="Q1340" s="214" t="b">
        <v>0</v>
      </c>
      <c r="R1340" s="214">
        <v>100.0</v>
      </c>
      <c r="S1340" s="214" t="s">
        <v>407</v>
      </c>
      <c r="T1340" s="214" t="s">
        <v>321</v>
      </c>
      <c r="U1340" s="214"/>
    </row>
    <row r="1341">
      <c r="A1341" s="221">
        <v>45965.06850043981</v>
      </c>
      <c r="B1341" s="214" t="s">
        <v>43</v>
      </c>
      <c r="C1341" s="214" t="s">
        <v>176</v>
      </c>
      <c r="D1341" s="214">
        <v>2.0</v>
      </c>
      <c r="E1341" s="214">
        <v>6.0</v>
      </c>
      <c r="F1341" s="214" t="s">
        <v>1595</v>
      </c>
      <c r="G1341" s="214" t="s">
        <v>61</v>
      </c>
      <c r="H1341" s="214" t="s">
        <v>395</v>
      </c>
      <c r="I1341" s="214"/>
      <c r="J1341" s="222" t="s">
        <v>67</v>
      </c>
      <c r="K1341" s="222">
        <v>-1.5</v>
      </c>
      <c r="L1341" s="222" t="s">
        <v>67</v>
      </c>
      <c r="M1341" s="222">
        <v>48.5</v>
      </c>
      <c r="N1341" s="214">
        <v>271.0</v>
      </c>
      <c r="O1341" s="214">
        <v>281.0</v>
      </c>
      <c r="P1341" s="214">
        <v>2.0</v>
      </c>
      <c r="Q1341" s="214" t="b">
        <v>0</v>
      </c>
      <c r="R1341" s="214">
        <v>100.0</v>
      </c>
      <c r="S1341" s="214" t="s">
        <v>525</v>
      </c>
      <c r="T1341" s="214" t="s">
        <v>365</v>
      </c>
      <c r="U1341" s="214"/>
    </row>
    <row r="1342">
      <c r="A1342" s="221">
        <v>45965.06850043981</v>
      </c>
      <c r="B1342" s="214" t="s">
        <v>43</v>
      </c>
      <c r="C1342" s="214" t="s">
        <v>118</v>
      </c>
      <c r="D1342" s="214">
        <v>3.0</v>
      </c>
      <c r="E1342" s="214">
        <v>5.0</v>
      </c>
      <c r="F1342" s="214" t="s">
        <v>1596</v>
      </c>
      <c r="G1342" s="214" t="s">
        <v>61</v>
      </c>
      <c r="H1342" s="214" t="s">
        <v>493</v>
      </c>
      <c r="I1342" s="214"/>
      <c r="J1342" s="222" t="s">
        <v>67</v>
      </c>
      <c r="K1342" s="222">
        <v>2.5</v>
      </c>
      <c r="L1342" s="222" t="s">
        <v>67</v>
      </c>
      <c r="M1342" s="222">
        <v>45.5</v>
      </c>
      <c r="N1342" s="214">
        <v>155.0</v>
      </c>
      <c r="O1342" s="214">
        <v>177.0</v>
      </c>
      <c r="P1342" s="214">
        <v>2.0</v>
      </c>
      <c r="Q1342" s="214" t="b">
        <v>1</v>
      </c>
      <c r="R1342" s="214">
        <v>100.0</v>
      </c>
      <c r="S1342" s="214" t="s">
        <v>317</v>
      </c>
      <c r="T1342" s="214" t="s">
        <v>321</v>
      </c>
      <c r="U1342" s="214"/>
    </row>
    <row r="1343">
      <c r="A1343" s="221">
        <v>45965.06850043981</v>
      </c>
      <c r="B1343" s="214" t="s">
        <v>43</v>
      </c>
      <c r="C1343" s="214" t="s">
        <v>157</v>
      </c>
      <c r="D1343" s="214">
        <v>4.0</v>
      </c>
      <c r="E1343" s="214">
        <v>5.0</v>
      </c>
      <c r="F1343" s="214" t="s">
        <v>1597</v>
      </c>
      <c r="G1343" s="214" t="s">
        <v>61</v>
      </c>
      <c r="H1343" s="214" t="s">
        <v>238</v>
      </c>
      <c r="I1343" s="214"/>
      <c r="J1343" s="222" t="s">
        <v>67</v>
      </c>
      <c r="K1343" s="222">
        <v>14.0</v>
      </c>
      <c r="L1343" s="222" t="s">
        <v>67</v>
      </c>
      <c r="M1343" s="222">
        <v>48.5</v>
      </c>
      <c r="N1343" s="214">
        <v>187.0</v>
      </c>
      <c r="O1343" s="214">
        <v>262.0</v>
      </c>
      <c r="P1343" s="214">
        <v>2.0</v>
      </c>
      <c r="Q1343" s="214" t="b">
        <v>0</v>
      </c>
      <c r="R1343" s="214">
        <v>100.0</v>
      </c>
      <c r="S1343" s="214" t="s">
        <v>361</v>
      </c>
      <c r="T1343" s="214" t="s">
        <v>365</v>
      </c>
      <c r="U1343" s="214"/>
    </row>
    <row r="1344">
      <c r="A1344" s="221">
        <v>45965.06850043981</v>
      </c>
      <c r="B1344" s="214"/>
      <c r="C1344" s="214"/>
      <c r="D1344" s="214"/>
      <c r="E1344" s="214"/>
      <c r="F1344" s="214"/>
      <c r="G1344" s="214"/>
      <c r="H1344" s="214"/>
      <c r="I1344" s="214"/>
      <c r="J1344" s="222"/>
      <c r="K1344" s="222"/>
      <c r="L1344" s="222"/>
      <c r="M1344" s="222"/>
      <c r="N1344" s="214"/>
      <c r="O1344" s="214"/>
      <c r="P1344" s="214"/>
      <c r="Q1344" s="214"/>
      <c r="R1344" s="214"/>
      <c r="S1344" s="214"/>
      <c r="T1344" s="214"/>
      <c r="U1344" s="214"/>
    </row>
    <row r="1345">
      <c r="A1345" s="221">
        <v>45965.06850043981</v>
      </c>
      <c r="B1345" s="214" t="s">
        <v>95</v>
      </c>
      <c r="C1345" s="214" t="s">
        <v>130</v>
      </c>
      <c r="D1345" s="214">
        <v>6.0</v>
      </c>
      <c r="E1345" s="214">
        <v>2.0</v>
      </c>
      <c r="F1345" s="214"/>
      <c r="G1345" s="214"/>
      <c r="H1345" s="214"/>
      <c r="I1345" s="214"/>
      <c r="J1345" s="222"/>
      <c r="K1345" s="222"/>
      <c r="L1345" s="222"/>
      <c r="M1345" s="222"/>
      <c r="N1345" s="214">
        <v>277.0</v>
      </c>
      <c r="O1345" s="214">
        <v>201.0</v>
      </c>
      <c r="P1345" s="214">
        <v>0.0</v>
      </c>
      <c r="Q1345" s="214" t="b">
        <v>1</v>
      </c>
      <c r="R1345" s="214">
        <v>59.0</v>
      </c>
      <c r="S1345" s="214" t="s">
        <v>471</v>
      </c>
      <c r="T1345" s="214" t="s">
        <v>321</v>
      </c>
      <c r="U1345" s="214"/>
    </row>
    <row r="1346">
      <c r="A1346" s="221">
        <v>45965.06850043981</v>
      </c>
      <c r="B1346" s="214" t="s">
        <v>95</v>
      </c>
      <c r="C1346" s="214" t="s">
        <v>165</v>
      </c>
      <c r="D1346" s="214">
        <v>3.0</v>
      </c>
      <c r="E1346" s="214">
        <v>5.0</v>
      </c>
      <c r="F1346" s="214"/>
      <c r="G1346" s="214"/>
      <c r="H1346" s="214"/>
      <c r="I1346" s="214"/>
      <c r="J1346" s="222"/>
      <c r="K1346" s="222"/>
      <c r="L1346" s="222"/>
      <c r="M1346" s="222"/>
      <c r="N1346" s="214">
        <v>131.0</v>
      </c>
      <c r="O1346" s="214">
        <v>238.0</v>
      </c>
      <c r="P1346" s="214">
        <v>0.0</v>
      </c>
      <c r="Q1346" s="214" t="b">
        <v>1</v>
      </c>
      <c r="R1346" s="214">
        <v>59.0</v>
      </c>
      <c r="S1346" s="214" t="s">
        <v>530</v>
      </c>
      <c r="T1346" s="214" t="s">
        <v>365</v>
      </c>
      <c r="U1346" s="214"/>
    </row>
    <row r="1347">
      <c r="A1347" s="221">
        <v>45965.06850043981</v>
      </c>
      <c r="B1347" s="214" t="s">
        <v>95</v>
      </c>
      <c r="C1347" s="214" t="s">
        <v>198</v>
      </c>
      <c r="D1347" s="214">
        <v>7.0</v>
      </c>
      <c r="E1347" s="214">
        <v>2.0</v>
      </c>
      <c r="F1347" s="214" t="s">
        <v>1598</v>
      </c>
      <c r="G1347" s="214" t="s">
        <v>61</v>
      </c>
      <c r="H1347" s="214" t="s">
        <v>238</v>
      </c>
      <c r="I1347" s="214"/>
      <c r="J1347" s="222" t="s">
        <v>67</v>
      </c>
      <c r="K1347" s="222">
        <v>-10.0</v>
      </c>
      <c r="L1347" s="222" t="s">
        <v>67</v>
      </c>
      <c r="M1347" s="222">
        <v>54.5</v>
      </c>
      <c r="N1347" s="214">
        <v>356.0</v>
      </c>
      <c r="O1347" s="214">
        <v>128.0</v>
      </c>
      <c r="P1347" s="214">
        <v>2.0</v>
      </c>
      <c r="Q1347" s="214" t="b">
        <v>1</v>
      </c>
      <c r="R1347" s="214">
        <v>100.0</v>
      </c>
      <c r="S1347" s="214" t="s">
        <v>471</v>
      </c>
      <c r="T1347" s="214" t="s">
        <v>321</v>
      </c>
      <c r="U1347" s="214"/>
    </row>
    <row r="1348">
      <c r="A1348" s="221">
        <v>45965.06850043981</v>
      </c>
      <c r="B1348" s="214" t="s">
        <v>95</v>
      </c>
      <c r="C1348" s="214" t="s">
        <v>128</v>
      </c>
      <c r="D1348" s="214">
        <v>7.0</v>
      </c>
      <c r="E1348" s="214">
        <v>2.0</v>
      </c>
      <c r="F1348" s="214" t="s">
        <v>1599</v>
      </c>
      <c r="G1348" s="214" t="s">
        <v>61</v>
      </c>
      <c r="H1348" s="214" t="s">
        <v>193</v>
      </c>
      <c r="I1348" s="214"/>
      <c r="J1348" s="222" t="s">
        <v>67</v>
      </c>
      <c r="K1348" s="222">
        <v>2.5</v>
      </c>
      <c r="L1348" s="222" t="s">
        <v>67</v>
      </c>
      <c r="M1348" s="222">
        <v>55.5</v>
      </c>
      <c r="N1348" s="214">
        <v>260.0</v>
      </c>
      <c r="O1348" s="214">
        <v>127.0</v>
      </c>
      <c r="P1348" s="214">
        <v>2.0</v>
      </c>
      <c r="Q1348" s="214" t="b">
        <v>1</v>
      </c>
      <c r="R1348" s="214">
        <v>100.0</v>
      </c>
      <c r="S1348" s="214" t="s">
        <v>556</v>
      </c>
      <c r="T1348" s="214" t="s">
        <v>321</v>
      </c>
      <c r="U1348" s="214"/>
    </row>
    <row r="1349">
      <c r="A1349" s="221">
        <v>45965.06850043981</v>
      </c>
      <c r="B1349" s="214" t="s">
        <v>95</v>
      </c>
      <c r="C1349" s="214" t="s">
        <v>117</v>
      </c>
      <c r="D1349" s="214">
        <v>5.0</v>
      </c>
      <c r="E1349" s="214">
        <v>4.0</v>
      </c>
      <c r="F1349" s="214" t="s">
        <v>1600</v>
      </c>
      <c r="G1349" s="214" t="s">
        <v>61</v>
      </c>
      <c r="H1349" s="214" t="s">
        <v>395</v>
      </c>
      <c r="I1349" s="214"/>
      <c r="J1349" s="222" t="s">
        <v>67</v>
      </c>
      <c r="K1349" s="222">
        <v>5.5</v>
      </c>
      <c r="L1349" s="222" t="s">
        <v>67</v>
      </c>
      <c r="M1349" s="222">
        <v>58.5</v>
      </c>
      <c r="N1349" s="214">
        <v>292.0</v>
      </c>
      <c r="O1349" s="214">
        <v>275.0</v>
      </c>
      <c r="P1349" s="214">
        <v>2.0</v>
      </c>
      <c r="Q1349" s="214" t="b">
        <v>0</v>
      </c>
      <c r="R1349" s="214">
        <v>100.0</v>
      </c>
      <c r="S1349" s="214" t="s">
        <v>317</v>
      </c>
      <c r="T1349" s="214" t="s">
        <v>321</v>
      </c>
      <c r="U1349" s="214"/>
    </row>
    <row r="1350">
      <c r="A1350" s="221">
        <v>45965.06850043981</v>
      </c>
      <c r="B1350" s="214" t="s">
        <v>95</v>
      </c>
      <c r="C1350" s="214" t="s">
        <v>197</v>
      </c>
      <c r="D1350" s="214">
        <v>6.0</v>
      </c>
      <c r="E1350" s="214">
        <v>2.0</v>
      </c>
      <c r="F1350" s="214" t="s">
        <v>1601</v>
      </c>
      <c r="G1350" s="214" t="s">
        <v>61</v>
      </c>
      <c r="H1350" s="214" t="s">
        <v>96</v>
      </c>
      <c r="I1350" s="214"/>
      <c r="J1350" s="222" t="s">
        <v>67</v>
      </c>
      <c r="K1350" s="222">
        <v>-5.5</v>
      </c>
      <c r="L1350" s="222" t="s">
        <v>67</v>
      </c>
      <c r="M1350" s="222">
        <v>59.5</v>
      </c>
      <c r="N1350" s="214">
        <v>318.0</v>
      </c>
      <c r="O1350" s="214">
        <v>179.0</v>
      </c>
      <c r="P1350" s="214">
        <v>2.0</v>
      </c>
      <c r="Q1350" s="214" t="b">
        <v>1</v>
      </c>
      <c r="R1350" s="214">
        <v>100.0</v>
      </c>
      <c r="S1350" s="214" t="s">
        <v>407</v>
      </c>
      <c r="T1350" s="214" t="s">
        <v>321</v>
      </c>
      <c r="U1350" s="214"/>
    </row>
    <row r="1351">
      <c r="A1351" s="221">
        <v>45965.06850043981</v>
      </c>
      <c r="B1351" s="214" t="s">
        <v>95</v>
      </c>
      <c r="C1351" s="214" t="s">
        <v>177</v>
      </c>
      <c r="D1351" s="214">
        <v>6.0</v>
      </c>
      <c r="E1351" s="214">
        <v>3.0</v>
      </c>
      <c r="F1351" s="214" t="s">
        <v>1602</v>
      </c>
      <c r="G1351" s="214" t="s">
        <v>61</v>
      </c>
      <c r="H1351" s="214" t="s">
        <v>395</v>
      </c>
      <c r="I1351" s="214"/>
      <c r="J1351" s="222" t="s">
        <v>67</v>
      </c>
      <c r="K1351" s="222">
        <v>-17.5</v>
      </c>
      <c r="L1351" s="222" t="s">
        <v>67</v>
      </c>
      <c r="M1351" s="222">
        <v>50.5</v>
      </c>
      <c r="N1351" s="214">
        <v>289.0</v>
      </c>
      <c r="O1351" s="214">
        <v>216.0</v>
      </c>
      <c r="P1351" s="214">
        <v>2.0</v>
      </c>
      <c r="Q1351" s="214" t="b">
        <v>1</v>
      </c>
      <c r="R1351" s="214">
        <v>100.0</v>
      </c>
      <c r="S1351" s="214" t="s">
        <v>525</v>
      </c>
      <c r="T1351" s="214" t="s">
        <v>365</v>
      </c>
      <c r="U1351" s="214"/>
    </row>
    <row r="1352">
      <c r="A1352" s="221">
        <v>45965.06850043981</v>
      </c>
      <c r="B1352" s="214" t="s">
        <v>95</v>
      </c>
      <c r="C1352" s="214" t="s">
        <v>100</v>
      </c>
      <c r="D1352" s="214">
        <v>5.0</v>
      </c>
      <c r="E1352" s="214">
        <v>3.0</v>
      </c>
      <c r="F1352" s="214" t="s">
        <v>1603</v>
      </c>
      <c r="G1352" s="214" t="s">
        <v>61</v>
      </c>
      <c r="H1352" s="214" t="s">
        <v>493</v>
      </c>
      <c r="I1352" s="214"/>
      <c r="J1352" s="222" t="s">
        <v>67</v>
      </c>
      <c r="K1352" s="222">
        <v>-4.5</v>
      </c>
      <c r="L1352" s="222" t="s">
        <v>67</v>
      </c>
      <c r="M1352" s="222">
        <v>57.5</v>
      </c>
      <c r="N1352" s="214">
        <v>257.0</v>
      </c>
      <c r="O1352" s="214">
        <v>134.0</v>
      </c>
      <c r="P1352" s="214">
        <v>2.0</v>
      </c>
      <c r="Q1352" s="214" t="b">
        <v>1</v>
      </c>
      <c r="R1352" s="214">
        <v>100.0</v>
      </c>
      <c r="S1352" s="214" t="s">
        <v>361</v>
      </c>
      <c r="T1352" s="214" t="s">
        <v>365</v>
      </c>
      <c r="U1352" s="214"/>
    </row>
    <row r="1353">
      <c r="A1353" s="221">
        <v>45965.06850043981</v>
      </c>
      <c r="B1353" s="214" t="s">
        <v>95</v>
      </c>
      <c r="C1353" s="214" t="s">
        <v>221</v>
      </c>
      <c r="D1353" s="214">
        <v>3.0</v>
      </c>
      <c r="E1353" s="214">
        <v>5.0</v>
      </c>
      <c r="F1353" s="214" t="s">
        <v>1604</v>
      </c>
      <c r="G1353" s="214" t="s">
        <v>61</v>
      </c>
      <c r="H1353" s="214" t="s">
        <v>395</v>
      </c>
      <c r="I1353" s="214"/>
      <c r="J1353" s="222" t="s">
        <v>67</v>
      </c>
      <c r="K1353" s="222">
        <v>7.5</v>
      </c>
      <c r="L1353" s="222" t="s">
        <v>67</v>
      </c>
      <c r="M1353" s="222">
        <v>55.5</v>
      </c>
      <c r="N1353" s="214">
        <v>273.0</v>
      </c>
      <c r="O1353" s="214">
        <v>271.0</v>
      </c>
      <c r="P1353" s="214">
        <v>2.0</v>
      </c>
      <c r="Q1353" s="214" t="b">
        <v>1</v>
      </c>
      <c r="R1353" s="214">
        <v>100.0</v>
      </c>
      <c r="S1353" s="214" t="s">
        <v>441</v>
      </c>
      <c r="T1353" s="214" t="s">
        <v>365</v>
      </c>
      <c r="U1353" s="214"/>
    </row>
    <row r="1354">
      <c r="A1354" s="221">
        <v>45965.06850043981</v>
      </c>
      <c r="B1354" s="214" t="s">
        <v>95</v>
      </c>
      <c r="C1354" s="214" t="s">
        <v>233</v>
      </c>
      <c r="D1354" s="214">
        <v>6.0</v>
      </c>
      <c r="E1354" s="214">
        <v>2.0</v>
      </c>
      <c r="F1354" s="214" t="s">
        <v>1605</v>
      </c>
      <c r="G1354" s="214" t="s">
        <v>61</v>
      </c>
      <c r="H1354" s="214" t="s">
        <v>238</v>
      </c>
      <c r="I1354" s="214"/>
      <c r="J1354" s="222" t="s">
        <v>67</v>
      </c>
      <c r="K1354" s="222">
        <v>-9.5</v>
      </c>
      <c r="L1354" s="222" t="s">
        <v>67</v>
      </c>
      <c r="M1354" s="222">
        <v>50.5</v>
      </c>
      <c r="N1354" s="214">
        <v>210.0</v>
      </c>
      <c r="O1354" s="214">
        <v>169.0</v>
      </c>
      <c r="P1354" s="214">
        <v>2.0</v>
      </c>
      <c r="Q1354" s="214" t="b">
        <v>1</v>
      </c>
      <c r="R1354" s="214">
        <v>100.0</v>
      </c>
      <c r="S1354" s="214" t="s">
        <v>535</v>
      </c>
      <c r="T1354" s="214" t="s">
        <v>365</v>
      </c>
      <c r="U1354" s="214"/>
    </row>
    <row r="1355">
      <c r="A1355" s="221">
        <v>45965.06850043981</v>
      </c>
      <c r="B1355" s="214"/>
      <c r="C1355" s="214"/>
      <c r="D1355" s="214"/>
      <c r="E1355" s="214"/>
      <c r="F1355" s="214"/>
      <c r="G1355" s="214"/>
      <c r="H1355" s="214"/>
      <c r="I1355" s="214"/>
      <c r="J1355" s="222"/>
      <c r="K1355" s="222"/>
      <c r="L1355" s="222"/>
      <c r="M1355" s="222"/>
      <c r="N1355" s="214"/>
      <c r="O1355" s="214"/>
      <c r="P1355" s="214"/>
      <c r="Q1355" s="214"/>
      <c r="R1355" s="214"/>
      <c r="S1355" s="214"/>
      <c r="T1355" s="214"/>
      <c r="U1355" s="214"/>
    </row>
    <row r="1356">
      <c r="A1356" s="221">
        <v>45965.06850043981</v>
      </c>
      <c r="B1356" s="214" t="s">
        <v>62</v>
      </c>
      <c r="C1356" s="214" t="s">
        <v>178</v>
      </c>
      <c r="D1356" s="214">
        <v>2.0</v>
      </c>
      <c r="E1356" s="214">
        <v>6.0</v>
      </c>
      <c r="F1356" s="214"/>
      <c r="G1356" s="214"/>
      <c r="H1356" s="214"/>
      <c r="I1356" s="214"/>
      <c r="J1356" s="222"/>
      <c r="K1356" s="222"/>
      <c r="L1356" s="222"/>
      <c r="M1356" s="222"/>
      <c r="N1356" s="214">
        <v>153.0</v>
      </c>
      <c r="O1356" s="214">
        <v>217.0</v>
      </c>
      <c r="P1356" s="214">
        <v>0.0</v>
      </c>
      <c r="Q1356" s="214" t="b">
        <v>1</v>
      </c>
      <c r="R1356" s="214">
        <v>59.0</v>
      </c>
      <c r="S1356" s="214" t="s">
        <v>525</v>
      </c>
      <c r="T1356" s="214" t="s">
        <v>365</v>
      </c>
      <c r="U1356" s="214"/>
    </row>
    <row r="1357">
      <c r="A1357" s="221">
        <v>45965.06850043981</v>
      </c>
      <c r="B1357" s="214" t="s">
        <v>62</v>
      </c>
      <c r="C1357" s="214" t="s">
        <v>201</v>
      </c>
      <c r="D1357" s="214">
        <v>7.0</v>
      </c>
      <c r="E1357" s="214">
        <v>1.0</v>
      </c>
      <c r="F1357" s="214"/>
      <c r="G1357" s="214"/>
      <c r="H1357" s="214"/>
      <c r="I1357" s="214"/>
      <c r="J1357" s="222"/>
      <c r="K1357" s="222"/>
      <c r="L1357" s="222"/>
      <c r="M1357" s="222"/>
      <c r="N1357" s="214">
        <v>275.0</v>
      </c>
      <c r="O1357" s="214">
        <v>146.0</v>
      </c>
      <c r="P1357" s="214">
        <v>0.0</v>
      </c>
      <c r="Q1357" s="214" t="b">
        <v>1</v>
      </c>
      <c r="R1357" s="214">
        <v>59.0</v>
      </c>
      <c r="S1357" s="214" t="s">
        <v>556</v>
      </c>
      <c r="T1357" s="214" t="s">
        <v>321</v>
      </c>
      <c r="U1357" s="214"/>
    </row>
    <row r="1358">
      <c r="A1358" s="221">
        <v>45965.06850043981</v>
      </c>
      <c r="B1358" s="214" t="s">
        <v>62</v>
      </c>
      <c r="C1358" s="214" t="s">
        <v>199</v>
      </c>
      <c r="D1358" s="214">
        <v>6.0</v>
      </c>
      <c r="E1358" s="214">
        <v>2.0</v>
      </c>
      <c r="F1358" s="214"/>
      <c r="G1358" s="214"/>
      <c r="H1358" s="214"/>
      <c r="I1358" s="214"/>
      <c r="J1358" s="222"/>
      <c r="K1358" s="222"/>
      <c r="L1358" s="222"/>
      <c r="M1358" s="222"/>
      <c r="N1358" s="214">
        <v>284.0</v>
      </c>
      <c r="O1358" s="214">
        <v>167.0</v>
      </c>
      <c r="P1358" s="214">
        <v>0.0</v>
      </c>
      <c r="Q1358" s="214" t="b">
        <v>1</v>
      </c>
      <c r="R1358" s="214">
        <v>59.0</v>
      </c>
      <c r="S1358" s="214" t="s">
        <v>407</v>
      </c>
      <c r="T1358" s="214" t="s">
        <v>321</v>
      </c>
      <c r="U1358" s="214"/>
    </row>
    <row r="1359">
      <c r="A1359" s="221">
        <v>45965.06850043981</v>
      </c>
      <c r="B1359" s="214" t="s">
        <v>62</v>
      </c>
      <c r="C1359" s="214" t="s">
        <v>196</v>
      </c>
      <c r="D1359" s="214">
        <v>3.0</v>
      </c>
      <c r="E1359" s="214">
        <v>5.0</v>
      </c>
      <c r="F1359" s="214"/>
      <c r="G1359" s="214"/>
      <c r="H1359" s="214"/>
      <c r="I1359" s="214"/>
      <c r="J1359" s="222"/>
      <c r="K1359" s="222"/>
      <c r="L1359" s="222"/>
      <c r="M1359" s="222"/>
      <c r="N1359" s="214">
        <v>163.0</v>
      </c>
      <c r="O1359" s="214">
        <v>248.0</v>
      </c>
      <c r="P1359" s="214">
        <v>0.0</v>
      </c>
      <c r="Q1359" s="214" t="b">
        <v>1</v>
      </c>
      <c r="R1359" s="214">
        <v>59.0</v>
      </c>
      <c r="S1359" s="214" t="s">
        <v>407</v>
      </c>
      <c r="T1359" s="214" t="s">
        <v>321</v>
      </c>
      <c r="U1359" s="214"/>
    </row>
    <row r="1360">
      <c r="A1360" s="221">
        <v>45965.06850043981</v>
      </c>
      <c r="B1360" s="214" t="s">
        <v>62</v>
      </c>
      <c r="C1360" s="214" t="s">
        <v>304</v>
      </c>
      <c r="D1360" s="214">
        <v>2.0</v>
      </c>
      <c r="E1360" s="214">
        <v>7.0</v>
      </c>
      <c r="F1360" s="214"/>
      <c r="G1360" s="214"/>
      <c r="H1360" s="214"/>
      <c r="I1360" s="214"/>
      <c r="J1360" s="222"/>
      <c r="K1360" s="222"/>
      <c r="L1360" s="222"/>
      <c r="M1360" s="222"/>
      <c r="N1360" s="214">
        <v>217.0</v>
      </c>
      <c r="O1360" s="214">
        <v>296.0</v>
      </c>
      <c r="P1360" s="214">
        <v>0.0</v>
      </c>
      <c r="Q1360" s="214" t="b">
        <v>1</v>
      </c>
      <c r="R1360" s="214">
        <v>59.0</v>
      </c>
      <c r="S1360" s="214" t="s">
        <v>530</v>
      </c>
      <c r="T1360" s="214" t="s">
        <v>365</v>
      </c>
      <c r="U1360" s="214"/>
    </row>
    <row r="1361">
      <c r="A1361" s="221">
        <v>45965.06850043981</v>
      </c>
      <c r="B1361" s="214" t="s">
        <v>62</v>
      </c>
      <c r="C1361" s="214" t="s">
        <v>190</v>
      </c>
      <c r="D1361" s="214">
        <v>5.0</v>
      </c>
      <c r="E1361" s="214">
        <v>4.0</v>
      </c>
      <c r="F1361" s="214" t="s">
        <v>1606</v>
      </c>
      <c r="G1361" s="214" t="s">
        <v>61</v>
      </c>
      <c r="H1361" s="214" t="s">
        <v>96</v>
      </c>
      <c r="I1361" s="214"/>
      <c r="J1361" s="222" t="s">
        <v>67</v>
      </c>
      <c r="K1361" s="222">
        <v>5.5</v>
      </c>
      <c r="L1361" s="222" t="s">
        <v>67</v>
      </c>
      <c r="M1361" s="222">
        <v>52.5</v>
      </c>
      <c r="N1361" s="214">
        <v>221.0</v>
      </c>
      <c r="O1361" s="214">
        <v>226.0</v>
      </c>
      <c r="P1361" s="214">
        <v>2.0</v>
      </c>
      <c r="Q1361" s="214" t="b">
        <v>0</v>
      </c>
      <c r="R1361" s="214">
        <v>100.0</v>
      </c>
      <c r="S1361" s="214" t="s">
        <v>317</v>
      </c>
      <c r="T1361" s="214" t="s">
        <v>321</v>
      </c>
      <c r="U1361" s="214"/>
    </row>
    <row r="1362">
      <c r="A1362" s="221">
        <v>45965.06850043981</v>
      </c>
      <c r="B1362" s="214" t="s">
        <v>62</v>
      </c>
      <c r="C1362" s="214" t="s">
        <v>127</v>
      </c>
      <c r="D1362" s="214">
        <v>4.0</v>
      </c>
      <c r="E1362" s="214">
        <v>5.0</v>
      </c>
      <c r="F1362" s="214" t="s">
        <v>1591</v>
      </c>
      <c r="G1362" s="214" t="s">
        <v>61</v>
      </c>
      <c r="H1362" s="214" t="s">
        <v>43</v>
      </c>
      <c r="I1362" s="214"/>
      <c r="J1362" s="222" t="s">
        <v>67</v>
      </c>
      <c r="K1362" s="222">
        <v>7.5</v>
      </c>
      <c r="L1362" s="222" t="s">
        <v>67</v>
      </c>
      <c r="M1362" s="222">
        <v>51.5</v>
      </c>
      <c r="N1362" s="214">
        <v>268.0</v>
      </c>
      <c r="O1362" s="214">
        <v>249.0</v>
      </c>
      <c r="P1362" s="214">
        <v>2.0</v>
      </c>
      <c r="Q1362" s="214" t="b">
        <v>1</v>
      </c>
      <c r="R1362" s="214">
        <v>100.0</v>
      </c>
      <c r="S1362" s="214" t="s">
        <v>471</v>
      </c>
      <c r="T1362" s="214" t="s">
        <v>321</v>
      </c>
      <c r="U1362" s="214"/>
    </row>
    <row r="1363">
      <c r="A1363" s="221">
        <v>45965.06850043981</v>
      </c>
      <c r="B1363" s="214" t="s">
        <v>62</v>
      </c>
      <c r="C1363" s="214" t="s">
        <v>227</v>
      </c>
      <c r="D1363" s="214">
        <v>4.0</v>
      </c>
      <c r="E1363" s="214">
        <v>4.0</v>
      </c>
      <c r="F1363" s="214" t="s">
        <v>1607</v>
      </c>
      <c r="G1363" s="214" t="s">
        <v>61</v>
      </c>
      <c r="H1363" s="214" t="s">
        <v>224</v>
      </c>
      <c r="I1363" s="214"/>
      <c r="J1363" s="222" t="s">
        <v>67</v>
      </c>
      <c r="K1363" s="222">
        <v>-3.5</v>
      </c>
      <c r="L1363" s="222" t="s">
        <v>67</v>
      </c>
      <c r="M1363" s="222">
        <v>51.5</v>
      </c>
      <c r="N1363" s="214">
        <v>193.0</v>
      </c>
      <c r="O1363" s="214">
        <v>181.0</v>
      </c>
      <c r="P1363" s="214">
        <v>2.0</v>
      </c>
      <c r="Q1363" s="214" t="b">
        <v>1</v>
      </c>
      <c r="R1363" s="214">
        <v>100.0</v>
      </c>
      <c r="S1363" s="214" t="s">
        <v>535</v>
      </c>
      <c r="T1363" s="214" t="s">
        <v>365</v>
      </c>
      <c r="U1363" s="214"/>
    </row>
    <row r="1364">
      <c r="A1364" s="221">
        <v>45965.06850043981</v>
      </c>
      <c r="B1364" s="214" t="s">
        <v>62</v>
      </c>
      <c r="C1364" s="214" t="s">
        <v>155</v>
      </c>
      <c r="D1364" s="214">
        <v>6.0</v>
      </c>
      <c r="E1364" s="214">
        <v>3.0</v>
      </c>
      <c r="F1364" s="214" t="s">
        <v>1608</v>
      </c>
      <c r="G1364" s="214" t="s">
        <v>61</v>
      </c>
      <c r="H1364" s="214" t="s">
        <v>493</v>
      </c>
      <c r="I1364" s="214"/>
      <c r="J1364" s="222" t="s">
        <v>67</v>
      </c>
      <c r="K1364" s="222">
        <v>-16.5</v>
      </c>
      <c r="L1364" s="222" t="s">
        <v>67</v>
      </c>
      <c r="M1364" s="222">
        <v>55.5</v>
      </c>
      <c r="N1364" s="214">
        <v>287.0</v>
      </c>
      <c r="O1364" s="214">
        <v>211.0</v>
      </c>
      <c r="P1364" s="214">
        <v>2.0</v>
      </c>
      <c r="Q1364" s="214" t="b">
        <v>1</v>
      </c>
      <c r="R1364" s="214">
        <v>100.0</v>
      </c>
      <c r="S1364" s="214" t="s">
        <v>441</v>
      </c>
      <c r="T1364" s="214" t="s">
        <v>365</v>
      </c>
      <c r="U1364" s="214"/>
    </row>
    <row r="1365">
      <c r="A1365" s="221">
        <v>45965.06850043981</v>
      </c>
      <c r="B1365" s="214" t="s">
        <v>62</v>
      </c>
      <c r="C1365" s="214" t="s">
        <v>163</v>
      </c>
      <c r="D1365" s="214">
        <v>3.0</v>
      </c>
      <c r="E1365" s="214">
        <v>5.0</v>
      </c>
      <c r="F1365" s="214" t="s">
        <v>1609</v>
      </c>
      <c r="G1365" s="214" t="s">
        <v>61</v>
      </c>
      <c r="H1365" s="214" t="s">
        <v>395</v>
      </c>
      <c r="I1365" s="214"/>
      <c r="J1365" s="222" t="s">
        <v>67</v>
      </c>
      <c r="K1365" s="222">
        <v>11.5</v>
      </c>
      <c r="L1365" s="222" t="s">
        <v>67</v>
      </c>
      <c r="M1365" s="222">
        <v>63.5</v>
      </c>
      <c r="N1365" s="214">
        <v>227.0</v>
      </c>
      <c r="O1365" s="214">
        <v>310.0</v>
      </c>
      <c r="P1365" s="214">
        <v>2.0</v>
      </c>
      <c r="Q1365" s="214" t="b">
        <v>1</v>
      </c>
      <c r="R1365" s="214">
        <v>100.0</v>
      </c>
      <c r="S1365" s="214" t="s">
        <v>361</v>
      </c>
      <c r="T1365" s="214" t="s">
        <v>365</v>
      </c>
      <c r="U1365" s="214"/>
    </row>
    <row r="1366">
      <c r="A1366" s="221">
        <v>45965.06850043981</v>
      </c>
      <c r="B1366" s="214"/>
      <c r="C1366" s="214"/>
      <c r="D1366" s="214"/>
      <c r="E1366" s="214"/>
      <c r="F1366" s="214"/>
      <c r="G1366" s="214"/>
      <c r="H1366" s="214"/>
      <c r="I1366" s="214"/>
      <c r="J1366" s="222"/>
      <c r="K1366" s="222"/>
      <c r="L1366" s="222"/>
      <c r="M1366" s="222"/>
      <c r="N1366" s="214"/>
      <c r="O1366" s="214"/>
      <c r="P1366" s="214"/>
      <c r="Q1366" s="214"/>
      <c r="R1366" s="214"/>
      <c r="S1366" s="214"/>
      <c r="T1366" s="214"/>
      <c r="U1366" s="214"/>
    </row>
    <row r="1367">
      <c r="A1367" s="221">
        <v>45965.06850043981</v>
      </c>
      <c r="B1367" s="214" t="s">
        <v>193</v>
      </c>
      <c r="C1367" s="214" t="s">
        <v>150</v>
      </c>
      <c r="D1367" s="214">
        <v>3.0</v>
      </c>
      <c r="E1367" s="214">
        <v>5.0</v>
      </c>
      <c r="F1367" s="214"/>
      <c r="G1367" s="214"/>
      <c r="H1367" s="214"/>
      <c r="I1367" s="214"/>
      <c r="J1367" s="222"/>
      <c r="K1367" s="222"/>
      <c r="L1367" s="222"/>
      <c r="M1367" s="222"/>
      <c r="N1367" s="214">
        <v>242.0</v>
      </c>
      <c r="O1367" s="214">
        <v>290.0</v>
      </c>
      <c r="P1367" s="214">
        <v>0.0</v>
      </c>
      <c r="Q1367" s="214" t="b">
        <v>1</v>
      </c>
      <c r="R1367" s="214">
        <v>59.0</v>
      </c>
      <c r="S1367" s="214" t="s">
        <v>361</v>
      </c>
      <c r="T1367" s="214" t="s">
        <v>365</v>
      </c>
      <c r="U1367" s="214"/>
    </row>
    <row r="1368">
      <c r="A1368" s="221">
        <v>45965.06850043981</v>
      </c>
      <c r="B1368" s="214" t="s">
        <v>193</v>
      </c>
      <c r="C1368" s="214" t="s">
        <v>164</v>
      </c>
      <c r="D1368" s="214">
        <v>3.0</v>
      </c>
      <c r="E1368" s="214">
        <v>6.0</v>
      </c>
      <c r="F1368" s="214"/>
      <c r="G1368" s="214"/>
      <c r="H1368" s="214"/>
      <c r="I1368" s="214"/>
      <c r="J1368" s="222"/>
      <c r="K1368" s="222"/>
      <c r="L1368" s="222"/>
      <c r="M1368" s="222"/>
      <c r="N1368" s="214">
        <v>169.0</v>
      </c>
      <c r="O1368" s="214">
        <v>261.0</v>
      </c>
      <c r="P1368" s="214">
        <v>0.0</v>
      </c>
      <c r="Q1368" s="214" t="b">
        <v>1</v>
      </c>
      <c r="R1368" s="214">
        <v>59.0</v>
      </c>
      <c r="S1368" s="214" t="s">
        <v>530</v>
      </c>
      <c r="T1368" s="214" t="s">
        <v>365</v>
      </c>
      <c r="U1368" s="214"/>
    </row>
    <row r="1369">
      <c r="A1369" s="221">
        <v>45965.06850043981</v>
      </c>
      <c r="B1369" s="214" t="s">
        <v>193</v>
      </c>
      <c r="C1369" s="214" t="s">
        <v>211</v>
      </c>
      <c r="D1369" s="214">
        <v>6.0</v>
      </c>
      <c r="E1369" s="214">
        <v>3.0</v>
      </c>
      <c r="F1369" s="214" t="s">
        <v>1599</v>
      </c>
      <c r="G1369" s="214" t="s">
        <v>61</v>
      </c>
      <c r="H1369" s="214" t="s">
        <v>95</v>
      </c>
      <c r="I1369" s="214"/>
      <c r="J1369" s="222" t="s">
        <v>67</v>
      </c>
      <c r="K1369" s="222">
        <v>-2.5</v>
      </c>
      <c r="L1369" s="222" t="s">
        <v>67</v>
      </c>
      <c r="M1369" s="222">
        <v>55.5</v>
      </c>
      <c r="N1369" s="214">
        <v>392.0</v>
      </c>
      <c r="O1369" s="214">
        <v>280.0</v>
      </c>
      <c r="P1369" s="214">
        <v>2.0</v>
      </c>
      <c r="Q1369" s="214" t="b">
        <v>0</v>
      </c>
      <c r="R1369" s="214">
        <v>100.0</v>
      </c>
      <c r="S1369" s="214" t="s">
        <v>556</v>
      </c>
      <c r="T1369" s="214" t="s">
        <v>321</v>
      </c>
      <c r="U1369" s="214"/>
    </row>
    <row r="1370">
      <c r="A1370" s="221">
        <v>45965.06850043981</v>
      </c>
      <c r="B1370" s="214" t="s">
        <v>193</v>
      </c>
      <c r="C1370" s="214" t="s">
        <v>194</v>
      </c>
      <c r="D1370" s="214">
        <v>2.0</v>
      </c>
      <c r="E1370" s="214">
        <v>7.0</v>
      </c>
      <c r="F1370" s="214" t="s">
        <v>1610</v>
      </c>
      <c r="G1370" s="214" t="s">
        <v>61</v>
      </c>
      <c r="H1370" s="214" t="s">
        <v>493</v>
      </c>
      <c r="I1370" s="214"/>
      <c r="J1370" s="222" t="s">
        <v>67</v>
      </c>
      <c r="K1370" s="222">
        <v>3.5</v>
      </c>
      <c r="L1370" s="222" t="s">
        <v>67</v>
      </c>
      <c r="M1370" s="222">
        <v>46.5</v>
      </c>
      <c r="N1370" s="214">
        <v>179.0</v>
      </c>
      <c r="O1370" s="214">
        <v>269.0</v>
      </c>
      <c r="P1370" s="214">
        <v>2.0</v>
      </c>
      <c r="Q1370" s="214" t="b">
        <v>1</v>
      </c>
      <c r="R1370" s="214">
        <v>100.0</v>
      </c>
      <c r="S1370" s="214" t="s">
        <v>680</v>
      </c>
      <c r="T1370" s="214" t="s">
        <v>365</v>
      </c>
      <c r="U1370" s="214"/>
    </row>
    <row r="1371">
      <c r="A1371" s="221">
        <v>45965.06850043981</v>
      </c>
      <c r="B1371" s="214" t="s">
        <v>193</v>
      </c>
      <c r="C1371" s="214" t="s">
        <v>126</v>
      </c>
      <c r="D1371" s="214">
        <v>5.0</v>
      </c>
      <c r="E1371" s="214">
        <v>4.0</v>
      </c>
      <c r="F1371" s="214" t="s">
        <v>1611</v>
      </c>
      <c r="G1371" s="214" t="s">
        <v>61</v>
      </c>
      <c r="H1371" s="214" t="s">
        <v>96</v>
      </c>
      <c r="I1371" s="214"/>
      <c r="J1371" s="222" t="s">
        <v>67</v>
      </c>
      <c r="K1371" s="222">
        <v>-24.5</v>
      </c>
      <c r="L1371" s="222" t="s">
        <v>67</v>
      </c>
      <c r="M1371" s="222">
        <v>55.5</v>
      </c>
      <c r="N1371" s="214">
        <v>282.0</v>
      </c>
      <c r="O1371" s="214">
        <v>228.0</v>
      </c>
      <c r="P1371" s="214">
        <v>2.0</v>
      </c>
      <c r="Q1371" s="214" t="b">
        <v>0</v>
      </c>
      <c r="R1371" s="214">
        <v>100.0</v>
      </c>
      <c r="S1371" s="214" t="s">
        <v>471</v>
      </c>
      <c r="T1371" s="214" t="s">
        <v>321</v>
      </c>
      <c r="U1371" s="214"/>
    </row>
    <row r="1372">
      <c r="A1372" s="221">
        <v>45965.06850043981</v>
      </c>
      <c r="B1372" s="214" t="s">
        <v>193</v>
      </c>
      <c r="C1372" s="214" t="s">
        <v>552</v>
      </c>
      <c r="D1372" s="214">
        <v>3.0</v>
      </c>
      <c r="E1372" s="214">
        <v>6.0</v>
      </c>
      <c r="F1372" s="214" t="s">
        <v>1612</v>
      </c>
      <c r="G1372" s="214" t="s">
        <v>61</v>
      </c>
      <c r="H1372" s="214" t="s">
        <v>238</v>
      </c>
      <c r="I1372" s="214"/>
      <c r="J1372" s="222" t="s">
        <v>67</v>
      </c>
      <c r="K1372" s="222">
        <v>4.5</v>
      </c>
      <c r="L1372" s="222" t="s">
        <v>67</v>
      </c>
      <c r="M1372" s="222">
        <v>52.5</v>
      </c>
      <c r="N1372" s="214">
        <v>219.0</v>
      </c>
      <c r="O1372" s="214">
        <v>264.0</v>
      </c>
      <c r="P1372" s="214">
        <v>2.0</v>
      </c>
      <c r="Q1372" s="214" t="b">
        <v>0</v>
      </c>
      <c r="R1372" s="214">
        <v>100.0</v>
      </c>
      <c r="S1372" s="214" t="s">
        <v>441</v>
      </c>
      <c r="T1372" s="214" t="s">
        <v>365</v>
      </c>
      <c r="U1372" s="214"/>
    </row>
    <row r="1373">
      <c r="A1373" s="221">
        <v>45965.06850043981</v>
      </c>
      <c r="B1373" s="214" t="s">
        <v>193</v>
      </c>
      <c r="C1373" s="214" t="s">
        <v>182</v>
      </c>
      <c r="D1373" s="214">
        <v>6.0</v>
      </c>
      <c r="E1373" s="214">
        <v>3.0</v>
      </c>
      <c r="F1373" s="214" t="s">
        <v>1613</v>
      </c>
      <c r="G1373" s="214" t="s">
        <v>61</v>
      </c>
      <c r="H1373" s="214" t="s">
        <v>224</v>
      </c>
      <c r="I1373" s="214"/>
      <c r="J1373" s="222" t="s">
        <v>67</v>
      </c>
      <c r="K1373" s="222">
        <v>4.5</v>
      </c>
      <c r="L1373" s="222" t="s">
        <v>67</v>
      </c>
      <c r="M1373" s="222">
        <v>61.5</v>
      </c>
      <c r="N1373" s="214">
        <v>272.0</v>
      </c>
      <c r="O1373" s="214">
        <v>233.0</v>
      </c>
      <c r="P1373" s="214">
        <v>2.0</v>
      </c>
      <c r="Q1373" s="214" t="b">
        <v>1</v>
      </c>
      <c r="R1373" s="214">
        <v>100.0</v>
      </c>
      <c r="S1373" s="214" t="s">
        <v>525</v>
      </c>
      <c r="T1373" s="214" t="s">
        <v>365</v>
      </c>
      <c r="U1373" s="214"/>
    </row>
    <row r="1374">
      <c r="A1374" s="221">
        <v>45965.06850043981</v>
      </c>
      <c r="B1374" s="214" t="s">
        <v>193</v>
      </c>
      <c r="C1374" s="214" t="s">
        <v>144</v>
      </c>
      <c r="D1374" s="214">
        <v>8.0</v>
      </c>
      <c r="E1374" s="214">
        <v>0.0</v>
      </c>
      <c r="F1374" s="214" t="s">
        <v>1594</v>
      </c>
      <c r="G1374" s="214" t="s">
        <v>61</v>
      </c>
      <c r="H1374" s="214" t="s">
        <v>43</v>
      </c>
      <c r="I1374" s="214"/>
      <c r="J1374" s="222" t="s">
        <v>67</v>
      </c>
      <c r="K1374" s="222">
        <v>-19.5</v>
      </c>
      <c r="L1374" s="222" t="s">
        <v>67</v>
      </c>
      <c r="M1374" s="222">
        <v>44.5</v>
      </c>
      <c r="N1374" s="214">
        <v>293.0</v>
      </c>
      <c r="O1374" s="214">
        <v>55.0</v>
      </c>
      <c r="P1374" s="214">
        <v>2.0</v>
      </c>
      <c r="Q1374" s="214" t="b">
        <v>1</v>
      </c>
      <c r="R1374" s="214">
        <v>100.0</v>
      </c>
      <c r="S1374" s="214" t="s">
        <v>407</v>
      </c>
      <c r="T1374" s="214" t="s">
        <v>321</v>
      </c>
      <c r="U1374" s="214"/>
    </row>
    <row r="1375">
      <c r="A1375" s="221">
        <v>45965.06850043981</v>
      </c>
      <c r="B1375" s="214" t="s">
        <v>193</v>
      </c>
      <c r="C1375" s="214" t="s">
        <v>236</v>
      </c>
      <c r="D1375" s="214">
        <v>5.0</v>
      </c>
      <c r="E1375" s="214">
        <v>3.0</v>
      </c>
      <c r="F1375" s="214" t="s">
        <v>1614</v>
      </c>
      <c r="G1375" s="214" t="s">
        <v>61</v>
      </c>
      <c r="H1375" s="214" t="s">
        <v>132</v>
      </c>
      <c r="I1375" s="214"/>
      <c r="J1375" s="222" t="s">
        <v>67</v>
      </c>
      <c r="K1375" s="222">
        <v>-3.5</v>
      </c>
      <c r="L1375" s="222" t="s">
        <v>67</v>
      </c>
      <c r="M1375" s="222">
        <v>50.5</v>
      </c>
      <c r="N1375" s="214">
        <v>182.0</v>
      </c>
      <c r="O1375" s="214">
        <v>216.0</v>
      </c>
      <c r="P1375" s="214">
        <v>2.0</v>
      </c>
      <c r="Q1375" s="214" t="b">
        <v>1</v>
      </c>
      <c r="R1375" s="214">
        <v>100.0</v>
      </c>
      <c r="S1375" s="214" t="s">
        <v>535</v>
      </c>
      <c r="T1375" s="214" t="s">
        <v>365</v>
      </c>
      <c r="U1375" s="214"/>
    </row>
    <row r="1376">
      <c r="A1376" s="221">
        <v>45965.06850043981</v>
      </c>
      <c r="B1376" s="214" t="s">
        <v>193</v>
      </c>
      <c r="C1376" s="214" t="s">
        <v>104</v>
      </c>
      <c r="D1376" s="214">
        <v>6.0</v>
      </c>
      <c r="E1376" s="214">
        <v>3.0</v>
      </c>
      <c r="F1376" s="214" t="s">
        <v>1615</v>
      </c>
      <c r="G1376" s="214" t="s">
        <v>532</v>
      </c>
      <c r="H1376" s="214" t="s">
        <v>156</v>
      </c>
      <c r="I1376" s="214"/>
      <c r="J1376" s="222" t="s">
        <v>67</v>
      </c>
      <c r="K1376" s="222">
        <v>10.5</v>
      </c>
      <c r="L1376" s="222" t="s">
        <v>67</v>
      </c>
      <c r="M1376" s="222">
        <v>50.5</v>
      </c>
      <c r="N1376" s="214">
        <v>277.0</v>
      </c>
      <c r="O1376" s="214">
        <v>191.0</v>
      </c>
      <c r="P1376" s="214">
        <v>2.0</v>
      </c>
      <c r="Q1376" s="214" t="b">
        <v>1</v>
      </c>
      <c r="R1376" s="214">
        <v>100.0</v>
      </c>
      <c r="S1376" s="214" t="s">
        <v>317</v>
      </c>
      <c r="T1376" s="214" t="s">
        <v>321</v>
      </c>
      <c r="U1376" s="214"/>
    </row>
    <row r="1377">
      <c r="A1377" s="221">
        <v>45965.06850043981</v>
      </c>
      <c r="B1377" s="214"/>
      <c r="C1377" s="214"/>
      <c r="D1377" s="214"/>
      <c r="E1377" s="214"/>
      <c r="F1377" s="214"/>
      <c r="G1377" s="214"/>
      <c r="H1377" s="214"/>
      <c r="I1377" s="214"/>
      <c r="J1377" s="222"/>
      <c r="K1377" s="222"/>
      <c r="L1377" s="222"/>
      <c r="M1377" s="222"/>
      <c r="N1377" s="214"/>
      <c r="O1377" s="214"/>
      <c r="P1377" s="214"/>
      <c r="Q1377" s="214"/>
      <c r="R1377" s="214"/>
      <c r="S1377" s="214"/>
      <c r="T1377" s="214"/>
      <c r="U1377" s="214"/>
    </row>
    <row r="1378">
      <c r="A1378" s="221">
        <v>45965.06850043981</v>
      </c>
      <c r="B1378" s="214" t="s">
        <v>311</v>
      </c>
      <c r="C1378" s="214" t="s">
        <v>206</v>
      </c>
      <c r="D1378" s="214">
        <v>5.0</v>
      </c>
      <c r="E1378" s="214">
        <v>3.0</v>
      </c>
      <c r="F1378" s="214"/>
      <c r="G1378" s="214"/>
      <c r="H1378" s="214"/>
      <c r="I1378" s="214"/>
      <c r="J1378" s="222"/>
      <c r="K1378" s="222"/>
      <c r="L1378" s="222"/>
      <c r="M1378" s="222"/>
      <c r="N1378" s="214">
        <v>204.0</v>
      </c>
      <c r="O1378" s="214">
        <v>151.0</v>
      </c>
      <c r="P1378" s="214">
        <v>0.0</v>
      </c>
      <c r="Q1378" s="214" t="b">
        <v>1</v>
      </c>
      <c r="R1378" s="214">
        <v>59.0</v>
      </c>
      <c r="S1378" s="214" t="s">
        <v>556</v>
      </c>
      <c r="T1378" s="214" t="s">
        <v>321</v>
      </c>
      <c r="U1378" s="214"/>
    </row>
    <row r="1379">
      <c r="A1379" s="221">
        <v>45965.06850043981</v>
      </c>
      <c r="B1379" s="214" t="s">
        <v>311</v>
      </c>
      <c r="C1379" s="214" t="s">
        <v>192</v>
      </c>
      <c r="D1379" s="214">
        <v>7.0</v>
      </c>
      <c r="E1379" s="214">
        <v>1.0</v>
      </c>
      <c r="F1379" s="214"/>
      <c r="G1379" s="214"/>
      <c r="H1379" s="214"/>
      <c r="I1379" s="214"/>
      <c r="J1379" s="222"/>
      <c r="K1379" s="222"/>
      <c r="L1379" s="222"/>
      <c r="M1379" s="222"/>
      <c r="N1379" s="214">
        <v>330.0</v>
      </c>
      <c r="O1379" s="214">
        <v>108.0</v>
      </c>
      <c r="P1379" s="214">
        <v>0.0</v>
      </c>
      <c r="Q1379" s="214" t="b">
        <v>1</v>
      </c>
      <c r="R1379" s="214">
        <v>59.0</v>
      </c>
      <c r="S1379" s="214" t="s">
        <v>407</v>
      </c>
      <c r="T1379" s="214" t="s">
        <v>321</v>
      </c>
      <c r="U1379" s="214"/>
    </row>
    <row r="1380">
      <c r="A1380" s="221">
        <v>45965.06850043981</v>
      </c>
      <c r="B1380" s="214" t="s">
        <v>311</v>
      </c>
      <c r="C1380" s="214" t="s">
        <v>172</v>
      </c>
      <c r="D1380" s="214">
        <v>2.0</v>
      </c>
      <c r="E1380" s="214">
        <v>6.0</v>
      </c>
      <c r="F1380" s="214"/>
      <c r="G1380" s="214"/>
      <c r="H1380" s="214"/>
      <c r="I1380" s="214"/>
      <c r="J1380" s="222"/>
      <c r="K1380" s="222"/>
      <c r="L1380" s="222"/>
      <c r="M1380" s="222"/>
      <c r="N1380" s="214">
        <v>107.0</v>
      </c>
      <c r="O1380" s="214">
        <v>177.0</v>
      </c>
      <c r="P1380" s="214">
        <v>0.0</v>
      </c>
      <c r="Q1380" s="214" t="b">
        <v>1</v>
      </c>
      <c r="R1380" s="214">
        <v>59.0</v>
      </c>
      <c r="S1380" s="214" t="s">
        <v>530</v>
      </c>
      <c r="T1380" s="214" t="s">
        <v>365</v>
      </c>
      <c r="U1380" s="214"/>
    </row>
    <row r="1381">
      <c r="A1381" s="221">
        <v>45965.06850043981</v>
      </c>
      <c r="B1381" s="214" t="s">
        <v>311</v>
      </c>
      <c r="C1381" s="214" t="s">
        <v>186</v>
      </c>
      <c r="D1381" s="214">
        <v>4.0</v>
      </c>
      <c r="E1381" s="214">
        <v>4.0</v>
      </c>
      <c r="F1381" s="214"/>
      <c r="G1381" s="214"/>
      <c r="H1381" s="214"/>
      <c r="I1381" s="214"/>
      <c r="J1381" s="222"/>
      <c r="K1381" s="222"/>
      <c r="L1381" s="222"/>
      <c r="M1381" s="222"/>
      <c r="N1381" s="214">
        <v>252.0</v>
      </c>
      <c r="O1381" s="214">
        <v>254.0</v>
      </c>
      <c r="P1381" s="214">
        <v>0.0</v>
      </c>
      <c r="Q1381" s="214" t="b">
        <v>0</v>
      </c>
      <c r="R1381" s="214">
        <v>59.0</v>
      </c>
      <c r="S1381" s="214" t="s">
        <v>525</v>
      </c>
      <c r="T1381" s="214" t="s">
        <v>365</v>
      </c>
      <c r="U1381" s="214"/>
    </row>
    <row r="1382">
      <c r="A1382" s="221">
        <v>45965.06850043981</v>
      </c>
      <c r="B1382" s="214" t="s">
        <v>311</v>
      </c>
      <c r="C1382" s="214" t="s">
        <v>139</v>
      </c>
      <c r="D1382" s="214">
        <v>7.0</v>
      </c>
      <c r="E1382" s="214">
        <v>2.0</v>
      </c>
      <c r="F1382" s="214" t="s">
        <v>1616</v>
      </c>
      <c r="G1382" s="214" t="s">
        <v>61</v>
      </c>
      <c r="H1382" s="214" t="s">
        <v>493</v>
      </c>
      <c r="I1382" s="214"/>
      <c r="J1382" s="222" t="s">
        <v>67</v>
      </c>
      <c r="K1382" s="222">
        <v>-21.5</v>
      </c>
      <c r="L1382" s="222" t="s">
        <v>67</v>
      </c>
      <c r="M1382" s="222">
        <v>49.5</v>
      </c>
      <c r="N1382" s="214">
        <v>253.0</v>
      </c>
      <c r="O1382" s="214">
        <v>155.0</v>
      </c>
      <c r="P1382" s="214">
        <v>2.0</v>
      </c>
      <c r="Q1382" s="214" t="b">
        <v>1</v>
      </c>
      <c r="R1382" s="214">
        <v>100.0</v>
      </c>
      <c r="S1382" s="214" t="s">
        <v>407</v>
      </c>
      <c r="T1382" s="214" t="s">
        <v>321</v>
      </c>
      <c r="U1382" s="214"/>
    </row>
    <row r="1383">
      <c r="A1383" s="221">
        <v>45965.06850043981</v>
      </c>
      <c r="B1383" s="214" t="s">
        <v>311</v>
      </c>
      <c r="C1383" s="214" t="s">
        <v>122</v>
      </c>
      <c r="D1383" s="214">
        <v>3.0</v>
      </c>
      <c r="E1383" s="214">
        <v>6.0</v>
      </c>
      <c r="F1383" s="214" t="s">
        <v>1617</v>
      </c>
      <c r="G1383" s="214" t="s">
        <v>61</v>
      </c>
      <c r="H1383" s="214" t="s">
        <v>132</v>
      </c>
      <c r="I1383" s="214"/>
      <c r="J1383" s="222" t="s">
        <v>67</v>
      </c>
      <c r="K1383" s="222">
        <v>10.5</v>
      </c>
      <c r="L1383" s="222" t="s">
        <v>67</v>
      </c>
      <c r="M1383" s="222">
        <v>53.5</v>
      </c>
      <c r="N1383" s="214">
        <v>219.0</v>
      </c>
      <c r="O1383" s="214">
        <v>267.0</v>
      </c>
      <c r="P1383" s="214">
        <v>2.0</v>
      </c>
      <c r="Q1383" s="214" t="b">
        <v>0</v>
      </c>
      <c r="R1383" s="214">
        <v>100.0</v>
      </c>
      <c r="S1383" s="214" t="s">
        <v>317</v>
      </c>
      <c r="T1383" s="214" t="s">
        <v>321</v>
      </c>
      <c r="U1383" s="214"/>
    </row>
    <row r="1384">
      <c r="A1384" s="221">
        <v>45965.06850043981</v>
      </c>
      <c r="B1384" s="214" t="s">
        <v>311</v>
      </c>
      <c r="C1384" s="214" t="s">
        <v>125</v>
      </c>
      <c r="D1384" s="214">
        <v>5.0</v>
      </c>
      <c r="E1384" s="214">
        <v>4.0</v>
      </c>
      <c r="F1384" s="214" t="s">
        <v>1593</v>
      </c>
      <c r="G1384" s="214" t="s">
        <v>61</v>
      </c>
      <c r="H1384" s="214" t="s">
        <v>43</v>
      </c>
      <c r="I1384" s="214"/>
      <c r="J1384" s="222" t="s">
        <v>67</v>
      </c>
      <c r="K1384" s="222">
        <v>-7.5</v>
      </c>
      <c r="L1384" s="222" t="s">
        <v>67</v>
      </c>
      <c r="M1384" s="222">
        <v>50.5</v>
      </c>
      <c r="N1384" s="214">
        <v>251.0</v>
      </c>
      <c r="O1384" s="214">
        <v>198.0</v>
      </c>
      <c r="P1384" s="214">
        <v>2.0</v>
      </c>
      <c r="Q1384" s="214" t="b">
        <v>1</v>
      </c>
      <c r="R1384" s="214">
        <v>100.0</v>
      </c>
      <c r="S1384" s="214" t="s">
        <v>471</v>
      </c>
      <c r="T1384" s="214" t="s">
        <v>321</v>
      </c>
      <c r="U1384" s="214"/>
    </row>
    <row r="1385">
      <c r="A1385" s="221">
        <v>45965.06850043981</v>
      </c>
      <c r="B1385" s="214" t="s">
        <v>311</v>
      </c>
      <c r="C1385" s="214" t="s">
        <v>234</v>
      </c>
      <c r="D1385" s="214">
        <v>0.0</v>
      </c>
      <c r="E1385" s="214">
        <v>8.0</v>
      </c>
      <c r="F1385" s="214" t="s">
        <v>1618</v>
      </c>
      <c r="G1385" s="214" t="s">
        <v>61</v>
      </c>
      <c r="H1385" s="214" t="s">
        <v>249</v>
      </c>
      <c r="I1385" s="214"/>
      <c r="J1385" s="222" t="s">
        <v>67</v>
      </c>
      <c r="K1385" s="222">
        <v>16.5</v>
      </c>
      <c r="L1385" s="222" t="s">
        <v>67</v>
      </c>
      <c r="M1385" s="222">
        <v>48.5</v>
      </c>
      <c r="N1385" s="214">
        <v>133.0</v>
      </c>
      <c r="O1385" s="214">
        <v>327.0</v>
      </c>
      <c r="P1385" s="214">
        <v>2.0</v>
      </c>
      <c r="Q1385" s="214" t="b">
        <v>0</v>
      </c>
      <c r="R1385" s="214">
        <v>100.0</v>
      </c>
      <c r="S1385" s="214" t="s">
        <v>535</v>
      </c>
      <c r="T1385" s="214" t="s">
        <v>365</v>
      </c>
      <c r="U1385" s="214"/>
    </row>
    <row r="1386">
      <c r="A1386" s="221">
        <v>45965.06850043981</v>
      </c>
      <c r="B1386" s="214" t="s">
        <v>311</v>
      </c>
      <c r="C1386" s="214" t="s">
        <v>161</v>
      </c>
      <c r="D1386" s="214">
        <v>4.0</v>
      </c>
      <c r="E1386" s="214">
        <v>4.0</v>
      </c>
      <c r="F1386" s="214" t="s">
        <v>1619</v>
      </c>
      <c r="G1386" s="214" t="s">
        <v>61</v>
      </c>
      <c r="H1386" s="214" t="s">
        <v>132</v>
      </c>
      <c r="I1386" s="214"/>
      <c r="J1386" s="222" t="s">
        <v>67</v>
      </c>
      <c r="K1386" s="222">
        <v>5.5</v>
      </c>
      <c r="L1386" s="222" t="s">
        <v>67</v>
      </c>
      <c r="M1386" s="222">
        <v>54.5</v>
      </c>
      <c r="N1386" s="214">
        <v>272.0</v>
      </c>
      <c r="O1386" s="214">
        <v>242.0</v>
      </c>
      <c r="P1386" s="214">
        <v>2.0</v>
      </c>
      <c r="Q1386" s="214" t="b">
        <v>0</v>
      </c>
      <c r="R1386" s="214">
        <v>100.0</v>
      </c>
      <c r="S1386" s="214" t="s">
        <v>361</v>
      </c>
      <c r="T1386" s="214" t="s">
        <v>365</v>
      </c>
      <c r="U1386" s="214"/>
    </row>
    <row r="1387">
      <c r="A1387" s="221">
        <v>45965.06850043981</v>
      </c>
      <c r="B1387" s="214" t="s">
        <v>311</v>
      </c>
      <c r="C1387" s="214" t="s">
        <v>152</v>
      </c>
      <c r="D1387" s="214">
        <v>4.0</v>
      </c>
      <c r="E1387" s="214">
        <v>4.0</v>
      </c>
      <c r="F1387" s="214" t="s">
        <v>1620</v>
      </c>
      <c r="G1387" s="214" t="s">
        <v>61</v>
      </c>
      <c r="H1387" s="214" t="s">
        <v>156</v>
      </c>
      <c r="I1387" s="214"/>
      <c r="J1387" s="222" t="s">
        <v>67</v>
      </c>
      <c r="K1387" s="222">
        <v>-6.5</v>
      </c>
      <c r="L1387" s="222" t="s">
        <v>67</v>
      </c>
      <c r="M1387" s="222">
        <v>55.5</v>
      </c>
      <c r="N1387" s="214">
        <v>273.0</v>
      </c>
      <c r="O1387" s="214">
        <v>260.0</v>
      </c>
      <c r="P1387" s="214">
        <v>2.0</v>
      </c>
      <c r="Q1387" s="214" t="b">
        <v>0</v>
      </c>
      <c r="R1387" s="214">
        <v>100.0</v>
      </c>
      <c r="S1387" s="214" t="s">
        <v>441</v>
      </c>
      <c r="T1387" s="214" t="s">
        <v>365</v>
      </c>
      <c r="U1387" s="214"/>
    </row>
    <row r="1388">
      <c r="A1388" s="221">
        <v>45965.06850043981</v>
      </c>
      <c r="B1388" s="214"/>
      <c r="C1388" s="214"/>
      <c r="D1388" s="214"/>
      <c r="E1388" s="214"/>
      <c r="F1388" s="214"/>
      <c r="G1388" s="214"/>
      <c r="H1388" s="214"/>
      <c r="I1388" s="214"/>
      <c r="J1388" s="222"/>
      <c r="K1388" s="222"/>
      <c r="L1388" s="222"/>
      <c r="M1388" s="222"/>
      <c r="N1388" s="214"/>
      <c r="O1388" s="214"/>
      <c r="P1388" s="214"/>
      <c r="Q1388" s="214"/>
      <c r="R1388" s="214"/>
      <c r="S1388" s="214"/>
      <c r="T1388" s="214"/>
      <c r="U1388" s="214"/>
    </row>
    <row r="1389">
      <c r="A1389" s="221">
        <v>45965.06850043981</v>
      </c>
      <c r="B1389" s="214" t="s">
        <v>224</v>
      </c>
      <c r="C1389" s="214" t="s">
        <v>216</v>
      </c>
      <c r="D1389" s="214">
        <v>3.0</v>
      </c>
      <c r="E1389" s="214">
        <v>5.0</v>
      </c>
      <c r="F1389" s="214"/>
      <c r="G1389" s="214"/>
      <c r="H1389" s="214"/>
      <c r="I1389" s="214"/>
      <c r="J1389" s="222"/>
      <c r="K1389" s="222"/>
      <c r="L1389" s="222"/>
      <c r="M1389" s="222"/>
      <c r="N1389" s="214">
        <v>230.0</v>
      </c>
      <c r="O1389" s="214">
        <v>283.0</v>
      </c>
      <c r="P1389" s="214">
        <v>0.0</v>
      </c>
      <c r="Q1389" s="214" t="b">
        <v>1</v>
      </c>
      <c r="R1389" s="214">
        <v>59.0</v>
      </c>
      <c r="S1389" s="214" t="s">
        <v>441</v>
      </c>
      <c r="T1389" s="214" t="s">
        <v>365</v>
      </c>
      <c r="U1389" s="214"/>
    </row>
    <row r="1390">
      <c r="A1390" s="221">
        <v>45965.06850043981</v>
      </c>
      <c r="B1390" s="214" t="s">
        <v>224</v>
      </c>
      <c r="C1390" s="214" t="s">
        <v>226</v>
      </c>
      <c r="D1390" s="214">
        <v>8.0</v>
      </c>
      <c r="E1390" s="214">
        <v>0.0</v>
      </c>
      <c r="F1390" s="214"/>
      <c r="G1390" s="214"/>
      <c r="H1390" s="214"/>
      <c r="I1390" s="214"/>
      <c r="J1390" s="222"/>
      <c r="K1390" s="222"/>
      <c r="L1390" s="222"/>
      <c r="M1390" s="222"/>
      <c r="N1390" s="214">
        <v>290.0</v>
      </c>
      <c r="O1390" s="214">
        <v>136.0</v>
      </c>
      <c r="P1390" s="214">
        <v>0.0</v>
      </c>
      <c r="Q1390" s="214" t="b">
        <v>1</v>
      </c>
      <c r="R1390" s="214">
        <v>59.0</v>
      </c>
      <c r="S1390" s="214" t="s">
        <v>471</v>
      </c>
      <c r="T1390" s="214" t="s">
        <v>321</v>
      </c>
      <c r="U1390" s="214"/>
    </row>
    <row r="1391">
      <c r="A1391" s="221">
        <v>45965.06850043981</v>
      </c>
      <c r="B1391" s="214" t="s">
        <v>224</v>
      </c>
      <c r="C1391" s="214" t="s">
        <v>191</v>
      </c>
      <c r="D1391" s="214">
        <v>3.0</v>
      </c>
      <c r="E1391" s="214">
        <v>6.0</v>
      </c>
      <c r="F1391" s="214" t="s">
        <v>1621</v>
      </c>
      <c r="G1391" s="214" t="s">
        <v>61</v>
      </c>
      <c r="H1391" s="214" t="s">
        <v>493</v>
      </c>
      <c r="I1391" s="214"/>
      <c r="J1391" s="222" t="s">
        <v>67</v>
      </c>
      <c r="K1391" s="222">
        <v>3.5</v>
      </c>
      <c r="L1391" s="222" t="s">
        <v>67</v>
      </c>
      <c r="M1391" s="222">
        <v>53.5</v>
      </c>
      <c r="N1391" s="214">
        <v>198.0</v>
      </c>
      <c r="O1391" s="214">
        <v>271.0</v>
      </c>
      <c r="P1391" s="214">
        <v>2.0</v>
      </c>
      <c r="Q1391" s="214" t="b">
        <v>1</v>
      </c>
      <c r="R1391" s="214">
        <v>100.0</v>
      </c>
      <c r="S1391" s="214" t="s">
        <v>471</v>
      </c>
      <c r="T1391" s="214" t="s">
        <v>321</v>
      </c>
      <c r="U1391" s="214"/>
    </row>
    <row r="1392">
      <c r="A1392" s="221">
        <v>45965.06850043981</v>
      </c>
      <c r="B1392" s="214" t="s">
        <v>224</v>
      </c>
      <c r="C1392" s="214" t="s">
        <v>113</v>
      </c>
      <c r="D1392" s="214">
        <v>4.0</v>
      </c>
      <c r="E1392" s="214">
        <v>4.0</v>
      </c>
      <c r="F1392" s="214" t="s">
        <v>1622</v>
      </c>
      <c r="G1392" s="214" t="s">
        <v>61</v>
      </c>
      <c r="H1392" s="214" t="s">
        <v>493</v>
      </c>
      <c r="I1392" s="214"/>
      <c r="J1392" s="222" t="s">
        <v>67</v>
      </c>
      <c r="K1392" s="222">
        <v>-9.5</v>
      </c>
      <c r="L1392" s="222" t="s">
        <v>67</v>
      </c>
      <c r="M1392" s="222">
        <v>51.5</v>
      </c>
      <c r="N1392" s="214">
        <v>320.0</v>
      </c>
      <c r="O1392" s="214">
        <v>165.0</v>
      </c>
      <c r="P1392" s="214">
        <v>2.0</v>
      </c>
      <c r="Q1392" s="214" t="b">
        <v>0</v>
      </c>
      <c r="R1392" s="214">
        <v>100.0</v>
      </c>
      <c r="S1392" s="214" t="s">
        <v>317</v>
      </c>
      <c r="T1392" s="214" t="s">
        <v>321</v>
      </c>
      <c r="U1392" s="214"/>
    </row>
    <row r="1393">
      <c r="A1393" s="221">
        <v>45965.06850043981</v>
      </c>
      <c r="B1393" s="214" t="s">
        <v>224</v>
      </c>
      <c r="C1393" s="214" t="s">
        <v>203</v>
      </c>
      <c r="D1393" s="214">
        <v>3.0</v>
      </c>
      <c r="E1393" s="214">
        <v>5.0</v>
      </c>
      <c r="F1393" s="214" t="s">
        <v>1623</v>
      </c>
      <c r="G1393" s="214" t="s">
        <v>61</v>
      </c>
      <c r="H1393" s="214" t="s">
        <v>96</v>
      </c>
      <c r="I1393" s="214"/>
      <c r="J1393" s="222" t="s">
        <v>67</v>
      </c>
      <c r="K1393" s="222">
        <v>7.0</v>
      </c>
      <c r="L1393" s="222" t="s">
        <v>67</v>
      </c>
      <c r="M1393" s="222">
        <v>50.5</v>
      </c>
      <c r="N1393" s="214">
        <v>177.0</v>
      </c>
      <c r="O1393" s="214">
        <v>164.0</v>
      </c>
      <c r="P1393" s="214">
        <v>2.0</v>
      </c>
      <c r="Q1393" s="214" t="b">
        <v>0</v>
      </c>
      <c r="R1393" s="214">
        <v>100.0</v>
      </c>
      <c r="S1393" s="214" t="s">
        <v>556</v>
      </c>
      <c r="T1393" s="214" t="s">
        <v>321</v>
      </c>
      <c r="U1393" s="214"/>
    </row>
    <row r="1394">
      <c r="A1394" s="221">
        <v>45965.06850043981</v>
      </c>
      <c r="B1394" s="214" t="s">
        <v>224</v>
      </c>
      <c r="C1394" s="214" t="s">
        <v>235</v>
      </c>
      <c r="D1394" s="214">
        <v>4.0</v>
      </c>
      <c r="E1394" s="214">
        <v>4.0</v>
      </c>
      <c r="F1394" s="214" t="s">
        <v>1607</v>
      </c>
      <c r="G1394" s="214" t="s">
        <v>61</v>
      </c>
      <c r="H1394" s="214" t="s">
        <v>62</v>
      </c>
      <c r="I1394" s="214"/>
      <c r="J1394" s="222"/>
      <c r="K1394" s="222"/>
      <c r="L1394" s="222"/>
      <c r="M1394" s="222"/>
      <c r="N1394" s="214">
        <v>234.0</v>
      </c>
      <c r="O1394" s="214">
        <v>257.0</v>
      </c>
      <c r="P1394" s="214">
        <v>2.0</v>
      </c>
      <c r="Q1394" s="214" t="b">
        <v>0</v>
      </c>
      <c r="R1394" s="214">
        <v>100.0</v>
      </c>
      <c r="S1394" s="214" t="s">
        <v>535</v>
      </c>
      <c r="T1394" s="214" t="s">
        <v>365</v>
      </c>
      <c r="U1394" s="214"/>
    </row>
    <row r="1395">
      <c r="A1395" s="221">
        <v>45965.06850043981</v>
      </c>
      <c r="B1395" s="214" t="s">
        <v>224</v>
      </c>
      <c r="C1395" s="214" t="s">
        <v>185</v>
      </c>
      <c r="D1395" s="214">
        <v>6.0</v>
      </c>
      <c r="E1395" s="214">
        <v>2.0</v>
      </c>
      <c r="F1395" s="214" t="s">
        <v>1613</v>
      </c>
      <c r="G1395" s="214" t="s">
        <v>61</v>
      </c>
      <c r="H1395" s="214" t="s">
        <v>193</v>
      </c>
      <c r="I1395" s="214"/>
      <c r="J1395" s="222" t="s">
        <v>67</v>
      </c>
      <c r="K1395" s="222">
        <v>-4.5</v>
      </c>
      <c r="L1395" s="222" t="s">
        <v>67</v>
      </c>
      <c r="M1395" s="222">
        <v>61.5</v>
      </c>
      <c r="N1395" s="214">
        <v>295.0</v>
      </c>
      <c r="O1395" s="214">
        <v>274.0</v>
      </c>
      <c r="P1395" s="214">
        <v>2.0</v>
      </c>
      <c r="Q1395" s="214" t="b">
        <v>0</v>
      </c>
      <c r="R1395" s="214">
        <v>100.0</v>
      </c>
      <c r="S1395" s="214" t="s">
        <v>525</v>
      </c>
      <c r="T1395" s="214" t="s">
        <v>365</v>
      </c>
      <c r="U1395" s="214"/>
    </row>
    <row r="1396">
      <c r="A1396" s="221">
        <v>45965.06850043981</v>
      </c>
      <c r="B1396" s="214" t="s">
        <v>224</v>
      </c>
      <c r="C1396" s="214" t="s">
        <v>166</v>
      </c>
      <c r="D1396" s="214">
        <v>3.0</v>
      </c>
      <c r="E1396" s="214">
        <v>6.0</v>
      </c>
      <c r="F1396" s="214" t="s">
        <v>1624</v>
      </c>
      <c r="G1396" s="214" t="s">
        <v>61</v>
      </c>
      <c r="H1396" s="214" t="s">
        <v>249</v>
      </c>
      <c r="I1396" s="214"/>
      <c r="J1396" s="222" t="s">
        <v>67</v>
      </c>
      <c r="K1396" s="222">
        <v>-2.5</v>
      </c>
      <c r="L1396" s="222" t="s">
        <v>67</v>
      </c>
      <c r="M1396" s="222">
        <v>43.5</v>
      </c>
      <c r="N1396" s="214">
        <v>164.0</v>
      </c>
      <c r="O1396" s="214">
        <v>231.0</v>
      </c>
      <c r="P1396" s="214">
        <v>2.0</v>
      </c>
      <c r="Q1396" s="214" t="b">
        <v>0</v>
      </c>
      <c r="R1396" s="214">
        <v>100.0</v>
      </c>
      <c r="S1396" s="214" t="s">
        <v>530</v>
      </c>
      <c r="T1396" s="214" t="s">
        <v>365</v>
      </c>
      <c r="U1396" s="214"/>
    </row>
    <row r="1397">
      <c r="A1397" s="221">
        <v>45965.06850043981</v>
      </c>
      <c r="B1397" s="214" t="s">
        <v>224</v>
      </c>
      <c r="C1397" s="214" t="s">
        <v>103</v>
      </c>
      <c r="D1397" s="214">
        <v>7.0</v>
      </c>
      <c r="E1397" s="214">
        <v>1.0</v>
      </c>
      <c r="F1397" s="214" t="s">
        <v>1625</v>
      </c>
      <c r="G1397" s="214" t="s">
        <v>61</v>
      </c>
      <c r="H1397" s="214" t="s">
        <v>156</v>
      </c>
      <c r="I1397" s="214"/>
      <c r="J1397" s="222" t="s">
        <v>67</v>
      </c>
      <c r="K1397" s="222">
        <v>7.0</v>
      </c>
      <c r="L1397" s="222" t="s">
        <v>67</v>
      </c>
      <c r="M1397" s="222">
        <v>65.5</v>
      </c>
      <c r="N1397" s="214">
        <v>278.0</v>
      </c>
      <c r="O1397" s="214">
        <v>192.0</v>
      </c>
      <c r="P1397" s="214">
        <v>2.0</v>
      </c>
      <c r="Q1397" s="214" t="b">
        <v>0</v>
      </c>
      <c r="R1397" s="214">
        <v>100.0</v>
      </c>
      <c r="S1397" s="214" t="s">
        <v>361</v>
      </c>
      <c r="T1397" s="214" t="s">
        <v>365</v>
      </c>
      <c r="U1397" s="214"/>
    </row>
    <row r="1398">
      <c r="A1398" s="221">
        <v>45965.06850043981</v>
      </c>
      <c r="B1398" s="214" t="s">
        <v>224</v>
      </c>
      <c r="C1398" s="214" t="s">
        <v>140</v>
      </c>
      <c r="D1398" s="214">
        <v>3.0</v>
      </c>
      <c r="E1398" s="214">
        <v>6.0</v>
      </c>
      <c r="F1398" s="214" t="s">
        <v>1626</v>
      </c>
      <c r="G1398" s="214" t="s">
        <v>532</v>
      </c>
      <c r="H1398" s="214" t="s">
        <v>238</v>
      </c>
      <c r="I1398" s="214"/>
      <c r="J1398" s="222" t="s">
        <v>67</v>
      </c>
      <c r="K1398" s="222">
        <v>3.5</v>
      </c>
      <c r="L1398" s="222" t="s">
        <v>67</v>
      </c>
      <c r="M1398" s="222">
        <v>46.5</v>
      </c>
      <c r="N1398" s="214">
        <v>230.0</v>
      </c>
      <c r="O1398" s="214">
        <v>283.0</v>
      </c>
      <c r="P1398" s="214">
        <v>2.0</v>
      </c>
      <c r="Q1398" s="214" t="b">
        <v>0</v>
      </c>
      <c r="R1398" s="214">
        <v>100.0</v>
      </c>
      <c r="S1398" s="214" t="s">
        <v>407</v>
      </c>
      <c r="T1398" s="214" t="s">
        <v>321</v>
      </c>
      <c r="U1398" s="214"/>
    </row>
    <row r="1399">
      <c r="A1399" s="221">
        <v>45965.06850043981</v>
      </c>
      <c r="B1399" s="214"/>
      <c r="C1399" s="214"/>
      <c r="D1399" s="214"/>
      <c r="E1399" s="214"/>
      <c r="F1399" s="214"/>
      <c r="G1399" s="214"/>
      <c r="H1399" s="214"/>
      <c r="I1399" s="214"/>
      <c r="J1399" s="222"/>
      <c r="K1399" s="222"/>
      <c r="L1399" s="222"/>
      <c r="M1399" s="222"/>
      <c r="N1399" s="214"/>
      <c r="O1399" s="214"/>
      <c r="P1399" s="214"/>
      <c r="Q1399" s="214"/>
      <c r="R1399" s="214"/>
      <c r="S1399" s="214"/>
      <c r="T1399" s="214"/>
      <c r="U1399" s="214"/>
    </row>
    <row r="1400">
      <c r="A1400" s="221">
        <v>45965.06850043981</v>
      </c>
      <c r="B1400" s="214" t="s">
        <v>96</v>
      </c>
      <c r="C1400" s="214" t="s">
        <v>105</v>
      </c>
      <c r="D1400" s="214">
        <v>6.0</v>
      </c>
      <c r="E1400" s="214">
        <v>2.0</v>
      </c>
      <c r="F1400" s="214"/>
      <c r="G1400" s="214"/>
      <c r="H1400" s="214"/>
      <c r="I1400" s="214"/>
      <c r="J1400" s="222"/>
      <c r="K1400" s="222"/>
      <c r="L1400" s="222"/>
      <c r="M1400" s="222"/>
      <c r="N1400" s="214">
        <v>323.0</v>
      </c>
      <c r="O1400" s="214">
        <v>195.0</v>
      </c>
      <c r="P1400" s="214">
        <v>0.0</v>
      </c>
      <c r="Q1400" s="214" t="b">
        <v>1</v>
      </c>
      <c r="R1400" s="214">
        <v>59.0</v>
      </c>
      <c r="S1400" s="214" t="s">
        <v>361</v>
      </c>
      <c r="T1400" s="214" t="s">
        <v>365</v>
      </c>
      <c r="U1400" s="214"/>
    </row>
    <row r="1401">
      <c r="A1401" s="221">
        <v>45965.06850043981</v>
      </c>
      <c r="B1401" s="214" t="s">
        <v>96</v>
      </c>
      <c r="C1401" s="214" t="s">
        <v>173</v>
      </c>
      <c r="D1401" s="214">
        <v>5.0</v>
      </c>
      <c r="E1401" s="214">
        <v>3.0</v>
      </c>
      <c r="F1401" s="214"/>
      <c r="G1401" s="214"/>
      <c r="H1401" s="214"/>
      <c r="I1401" s="214"/>
      <c r="J1401" s="222"/>
      <c r="K1401" s="222"/>
      <c r="L1401" s="222"/>
      <c r="M1401" s="222"/>
      <c r="N1401" s="214">
        <v>234.0</v>
      </c>
      <c r="O1401" s="214">
        <v>198.0</v>
      </c>
      <c r="P1401" s="214">
        <v>0.0</v>
      </c>
      <c r="Q1401" s="214" t="b">
        <v>1</v>
      </c>
      <c r="R1401" s="214">
        <v>59.0</v>
      </c>
      <c r="S1401" s="214" t="s">
        <v>530</v>
      </c>
      <c r="T1401" s="214" t="s">
        <v>365</v>
      </c>
      <c r="U1401" s="214"/>
    </row>
    <row r="1402">
      <c r="A1402" s="221">
        <v>45965.06850043981</v>
      </c>
      <c r="B1402" s="214" t="s">
        <v>96</v>
      </c>
      <c r="C1402" s="214" t="s">
        <v>536</v>
      </c>
      <c r="D1402" s="214">
        <v>6.0</v>
      </c>
      <c r="E1402" s="214">
        <v>3.0</v>
      </c>
      <c r="F1402" s="214" t="s">
        <v>1627</v>
      </c>
      <c r="G1402" s="214" t="s">
        <v>61</v>
      </c>
      <c r="H1402" s="214" t="s">
        <v>238</v>
      </c>
      <c r="I1402" s="214"/>
      <c r="J1402" s="222" t="s">
        <v>67</v>
      </c>
      <c r="K1402" s="222">
        <v>1.5</v>
      </c>
      <c r="L1402" s="222" t="s">
        <v>67</v>
      </c>
      <c r="M1402" s="222">
        <v>55.5</v>
      </c>
      <c r="N1402" s="214">
        <v>267.0</v>
      </c>
      <c r="O1402" s="214">
        <v>231.0</v>
      </c>
      <c r="P1402" s="214">
        <v>2.0</v>
      </c>
      <c r="Q1402" s="214" t="b">
        <v>1</v>
      </c>
      <c r="R1402" s="214">
        <v>100.0</v>
      </c>
      <c r="S1402" s="214" t="s">
        <v>525</v>
      </c>
      <c r="T1402" s="214" t="s">
        <v>365</v>
      </c>
      <c r="U1402" s="214"/>
    </row>
    <row r="1403">
      <c r="A1403" s="221">
        <v>45965.06850043981</v>
      </c>
      <c r="B1403" s="214" t="s">
        <v>96</v>
      </c>
      <c r="C1403" s="214" t="s">
        <v>222</v>
      </c>
      <c r="D1403" s="214">
        <v>6.0</v>
      </c>
      <c r="E1403" s="214">
        <v>3.0</v>
      </c>
      <c r="F1403" s="214" t="s">
        <v>1628</v>
      </c>
      <c r="G1403" s="214" t="s">
        <v>61</v>
      </c>
      <c r="H1403" s="214" t="s">
        <v>132</v>
      </c>
      <c r="I1403" s="214"/>
      <c r="J1403" s="222" t="s">
        <v>67</v>
      </c>
      <c r="K1403" s="222">
        <v>-7.5</v>
      </c>
      <c r="L1403" s="222" t="s">
        <v>67</v>
      </c>
      <c r="M1403" s="222">
        <v>52.5</v>
      </c>
      <c r="N1403" s="214">
        <v>243.0</v>
      </c>
      <c r="O1403" s="214">
        <v>217.0</v>
      </c>
      <c r="P1403" s="214">
        <v>2.0</v>
      </c>
      <c r="Q1403" s="214" t="b">
        <v>0</v>
      </c>
      <c r="R1403" s="214">
        <v>100.0</v>
      </c>
      <c r="S1403" s="214" t="s">
        <v>441</v>
      </c>
      <c r="T1403" s="214" t="s">
        <v>365</v>
      </c>
      <c r="U1403" s="214"/>
    </row>
    <row r="1404">
      <c r="A1404" s="221">
        <v>45965.06850043981</v>
      </c>
      <c r="B1404" s="214" t="s">
        <v>96</v>
      </c>
      <c r="C1404" s="214" t="s">
        <v>142</v>
      </c>
      <c r="D1404" s="214">
        <v>6.0</v>
      </c>
      <c r="E1404" s="214">
        <v>3.0</v>
      </c>
      <c r="F1404" s="214" t="s">
        <v>1601</v>
      </c>
      <c r="G1404" s="214" t="s">
        <v>61</v>
      </c>
      <c r="H1404" s="214" t="s">
        <v>95</v>
      </c>
      <c r="I1404" s="214"/>
      <c r="J1404" s="222" t="s">
        <v>67</v>
      </c>
      <c r="K1404" s="222">
        <v>5.5</v>
      </c>
      <c r="L1404" s="222" t="s">
        <v>67</v>
      </c>
      <c r="M1404" s="222">
        <v>59.5</v>
      </c>
      <c r="N1404" s="214">
        <v>297.0</v>
      </c>
      <c r="O1404" s="214">
        <v>178.0</v>
      </c>
      <c r="P1404" s="214">
        <v>2.0</v>
      </c>
      <c r="Q1404" s="214" t="b">
        <v>0</v>
      </c>
      <c r="R1404" s="214">
        <v>100.0</v>
      </c>
      <c r="S1404" s="214" t="s">
        <v>407</v>
      </c>
      <c r="T1404" s="214" t="s">
        <v>321</v>
      </c>
      <c r="U1404" s="214"/>
    </row>
    <row r="1405">
      <c r="A1405" s="221">
        <v>45965.06850043981</v>
      </c>
      <c r="B1405" s="214" t="s">
        <v>96</v>
      </c>
      <c r="C1405" s="214" t="s">
        <v>121</v>
      </c>
      <c r="D1405" s="214">
        <v>8.0</v>
      </c>
      <c r="E1405" s="214">
        <v>1.0</v>
      </c>
      <c r="F1405" s="214" t="s">
        <v>1606</v>
      </c>
      <c r="G1405" s="214" t="s">
        <v>61</v>
      </c>
      <c r="H1405" s="214" t="s">
        <v>62</v>
      </c>
      <c r="I1405" s="214"/>
      <c r="J1405" s="222" t="s">
        <v>67</v>
      </c>
      <c r="K1405" s="222">
        <v>-5.5</v>
      </c>
      <c r="L1405" s="222" t="s">
        <v>67</v>
      </c>
      <c r="M1405" s="222">
        <v>52.5</v>
      </c>
      <c r="N1405" s="214">
        <v>328.0</v>
      </c>
      <c r="O1405" s="214">
        <v>200.0</v>
      </c>
      <c r="P1405" s="214">
        <v>2.0</v>
      </c>
      <c r="Q1405" s="214" t="b">
        <v>1</v>
      </c>
      <c r="R1405" s="214">
        <v>100.0</v>
      </c>
      <c r="S1405" s="214" t="s">
        <v>317</v>
      </c>
      <c r="T1405" s="214" t="s">
        <v>321</v>
      </c>
      <c r="U1405" s="214"/>
    </row>
    <row r="1406">
      <c r="A1406" s="221">
        <v>45965.06850043981</v>
      </c>
      <c r="B1406" s="214" t="s">
        <v>96</v>
      </c>
      <c r="C1406" s="214" t="s">
        <v>204</v>
      </c>
      <c r="D1406" s="214">
        <v>7.0</v>
      </c>
      <c r="E1406" s="214">
        <v>1.0</v>
      </c>
      <c r="F1406" s="214" t="s">
        <v>1623</v>
      </c>
      <c r="G1406" s="214" t="s">
        <v>61</v>
      </c>
      <c r="H1406" s="214" t="s">
        <v>224</v>
      </c>
      <c r="I1406" s="214"/>
      <c r="J1406" s="222" t="s">
        <v>67</v>
      </c>
      <c r="K1406" s="222">
        <v>-7.0</v>
      </c>
      <c r="L1406" s="222" t="s">
        <v>67</v>
      </c>
      <c r="M1406" s="222">
        <v>50.5</v>
      </c>
      <c r="N1406" s="214">
        <v>260.0</v>
      </c>
      <c r="O1406" s="214">
        <v>157.0</v>
      </c>
      <c r="P1406" s="214">
        <v>2.0</v>
      </c>
      <c r="Q1406" s="214" t="b">
        <v>1</v>
      </c>
      <c r="R1406" s="214">
        <v>100.0</v>
      </c>
      <c r="S1406" s="214" t="s">
        <v>556</v>
      </c>
      <c r="T1406" s="214" t="s">
        <v>321</v>
      </c>
      <c r="U1406" s="214"/>
    </row>
    <row r="1407">
      <c r="A1407" s="221">
        <v>45965.06850043981</v>
      </c>
      <c r="B1407" s="214" t="s">
        <v>96</v>
      </c>
      <c r="C1407" s="214" t="s">
        <v>129</v>
      </c>
      <c r="D1407" s="214">
        <v>1.0</v>
      </c>
      <c r="E1407" s="214">
        <v>8.0</v>
      </c>
      <c r="F1407" s="214" t="s">
        <v>1611</v>
      </c>
      <c r="G1407" s="214" t="s">
        <v>61</v>
      </c>
      <c r="H1407" s="214" t="s">
        <v>193</v>
      </c>
      <c r="I1407" s="214"/>
      <c r="J1407" s="222" t="s">
        <v>67</v>
      </c>
      <c r="K1407" s="222">
        <v>24.5</v>
      </c>
      <c r="L1407" s="222" t="s">
        <v>67</v>
      </c>
      <c r="M1407" s="222">
        <v>55.5</v>
      </c>
      <c r="N1407" s="214">
        <v>137.0</v>
      </c>
      <c r="O1407" s="214">
        <v>349.0</v>
      </c>
      <c r="P1407" s="214">
        <v>2.0</v>
      </c>
      <c r="Q1407" s="214" t="b">
        <v>1</v>
      </c>
      <c r="R1407" s="214">
        <v>100.0</v>
      </c>
      <c r="S1407" s="214" t="s">
        <v>471</v>
      </c>
      <c r="T1407" s="214" t="s">
        <v>321</v>
      </c>
      <c r="U1407" s="214"/>
    </row>
    <row r="1408">
      <c r="A1408" s="221">
        <v>45965.06850043981</v>
      </c>
      <c r="B1408" s="214" t="s">
        <v>96</v>
      </c>
      <c r="C1408" s="214" t="s">
        <v>229</v>
      </c>
      <c r="D1408" s="214">
        <v>6.0</v>
      </c>
      <c r="E1408" s="214">
        <v>2.0</v>
      </c>
      <c r="F1408" s="214" t="s">
        <v>1629</v>
      </c>
      <c r="G1408" s="214" t="s">
        <v>61</v>
      </c>
      <c r="H1408" s="214" t="s">
        <v>493</v>
      </c>
      <c r="I1408" s="214"/>
      <c r="J1408" s="222" t="s">
        <v>67</v>
      </c>
      <c r="K1408" s="222">
        <v>-28.5</v>
      </c>
      <c r="L1408" s="222" t="s">
        <v>67</v>
      </c>
      <c r="M1408" s="222">
        <v>56.5</v>
      </c>
      <c r="N1408" s="214">
        <v>299.0</v>
      </c>
      <c r="O1408" s="214">
        <v>159.0</v>
      </c>
      <c r="P1408" s="214">
        <v>2.0</v>
      </c>
      <c r="Q1408" s="214" t="b">
        <v>0</v>
      </c>
      <c r="R1408" s="214">
        <v>100.0</v>
      </c>
      <c r="S1408" s="214" t="s">
        <v>725</v>
      </c>
      <c r="T1408" s="214"/>
      <c r="U1408" s="214"/>
    </row>
    <row r="1409">
      <c r="A1409" s="221">
        <v>45965.06850043981</v>
      </c>
      <c r="B1409" s="214" t="s">
        <v>96</v>
      </c>
      <c r="C1409" s="214" t="s">
        <v>153</v>
      </c>
      <c r="D1409" s="214">
        <v>1.0</v>
      </c>
      <c r="E1409" s="214">
        <v>7.0</v>
      </c>
      <c r="F1409" s="214" t="s">
        <v>1630</v>
      </c>
      <c r="G1409" s="214" t="s">
        <v>61</v>
      </c>
      <c r="H1409" s="214" t="s">
        <v>156</v>
      </c>
      <c r="I1409" s="214"/>
      <c r="J1409" s="222" t="s">
        <v>67</v>
      </c>
      <c r="K1409" s="222">
        <v>5.5</v>
      </c>
      <c r="L1409" s="222" t="s">
        <v>67</v>
      </c>
      <c r="M1409" s="222">
        <v>54.5</v>
      </c>
      <c r="N1409" s="214">
        <v>151.0</v>
      </c>
      <c r="O1409" s="214">
        <v>232.0</v>
      </c>
      <c r="P1409" s="214">
        <v>2.0</v>
      </c>
      <c r="Q1409" s="214" t="b">
        <v>0</v>
      </c>
      <c r="R1409" s="214">
        <v>100.0</v>
      </c>
      <c r="S1409" s="214" t="s">
        <v>535</v>
      </c>
      <c r="T1409" s="214" t="s">
        <v>365</v>
      </c>
      <c r="U1409" s="214"/>
    </row>
    <row r="1410">
      <c r="A1410" s="221">
        <v>45965.06850043981</v>
      </c>
      <c r="B1410" s="214"/>
      <c r="C1410" s="214"/>
      <c r="D1410" s="214"/>
      <c r="E1410" s="214"/>
      <c r="F1410" s="214"/>
      <c r="G1410" s="214"/>
      <c r="H1410" s="214"/>
      <c r="I1410" s="214"/>
      <c r="J1410" s="222"/>
      <c r="K1410" s="222"/>
      <c r="L1410" s="222"/>
      <c r="M1410" s="222"/>
      <c r="N1410" s="214"/>
      <c r="O1410" s="214"/>
      <c r="P1410" s="214"/>
      <c r="Q1410" s="214"/>
      <c r="R1410" s="214"/>
      <c r="S1410" s="214"/>
      <c r="T1410" s="214"/>
      <c r="U1410" s="214"/>
    </row>
    <row r="1411">
      <c r="A1411" s="221">
        <v>45965.06850043981</v>
      </c>
      <c r="B1411" s="214" t="s">
        <v>238</v>
      </c>
      <c r="C1411" s="214" t="s">
        <v>539</v>
      </c>
      <c r="D1411" s="214">
        <v>8.0</v>
      </c>
      <c r="E1411" s="214">
        <v>0.0</v>
      </c>
      <c r="F1411" s="214"/>
      <c r="G1411" s="214"/>
      <c r="H1411" s="214"/>
      <c r="I1411" s="214"/>
      <c r="J1411" s="222"/>
      <c r="K1411" s="222"/>
      <c r="L1411" s="222"/>
      <c r="M1411" s="222"/>
      <c r="N1411" s="214">
        <v>302.0</v>
      </c>
      <c r="O1411" s="214">
        <v>189.0</v>
      </c>
      <c r="P1411" s="214">
        <v>0.0</v>
      </c>
      <c r="Q1411" s="214" t="b">
        <v>1</v>
      </c>
      <c r="R1411" s="214">
        <v>59.0</v>
      </c>
      <c r="S1411" s="214" t="s">
        <v>556</v>
      </c>
      <c r="T1411" s="214" t="s">
        <v>321</v>
      </c>
      <c r="U1411" s="214"/>
    </row>
    <row r="1412">
      <c r="A1412" s="221">
        <v>45965.06850043981</v>
      </c>
      <c r="B1412" s="214" t="s">
        <v>238</v>
      </c>
      <c r="C1412" s="214" t="s">
        <v>148</v>
      </c>
      <c r="D1412" s="214">
        <v>2.0</v>
      </c>
      <c r="E1412" s="214">
        <v>6.0</v>
      </c>
      <c r="F1412" s="214"/>
      <c r="G1412" s="214"/>
      <c r="H1412" s="214"/>
      <c r="I1412" s="214"/>
      <c r="J1412" s="222"/>
      <c r="K1412" s="222"/>
      <c r="L1412" s="222"/>
      <c r="M1412" s="222"/>
      <c r="N1412" s="214">
        <v>100.0</v>
      </c>
      <c r="O1412" s="214">
        <v>191.0</v>
      </c>
      <c r="P1412" s="214">
        <v>0.0</v>
      </c>
      <c r="Q1412" s="214" t="b">
        <v>1</v>
      </c>
      <c r="R1412" s="214">
        <v>59.0</v>
      </c>
      <c r="S1412" s="214" t="s">
        <v>407</v>
      </c>
      <c r="T1412" s="214" t="s">
        <v>321</v>
      </c>
      <c r="U1412" s="214"/>
    </row>
    <row r="1413">
      <c r="A1413" s="221">
        <v>45965.06850043981</v>
      </c>
      <c r="B1413" s="214" t="s">
        <v>238</v>
      </c>
      <c r="C1413" s="214" t="s">
        <v>548</v>
      </c>
      <c r="D1413" s="214">
        <v>5.0</v>
      </c>
      <c r="E1413" s="214">
        <v>3.0</v>
      </c>
      <c r="F1413" s="214"/>
      <c r="G1413" s="214"/>
      <c r="H1413" s="214"/>
      <c r="I1413" s="214"/>
      <c r="J1413" s="222"/>
      <c r="K1413" s="222"/>
      <c r="L1413" s="222"/>
      <c r="M1413" s="222"/>
      <c r="N1413" s="214">
        <v>208.0</v>
      </c>
      <c r="O1413" s="214">
        <v>171.0</v>
      </c>
      <c r="P1413" s="214">
        <v>0.0</v>
      </c>
      <c r="Q1413" s="214" t="b">
        <v>1</v>
      </c>
      <c r="R1413" s="214">
        <v>59.0</v>
      </c>
      <c r="S1413" s="214" t="s">
        <v>530</v>
      </c>
      <c r="T1413" s="214" t="s">
        <v>365</v>
      </c>
      <c r="U1413" s="214"/>
    </row>
    <row r="1414">
      <c r="A1414" s="221">
        <v>45965.06850043981</v>
      </c>
      <c r="B1414" s="214" t="s">
        <v>238</v>
      </c>
      <c r="C1414" s="214" t="s">
        <v>549</v>
      </c>
      <c r="D1414" s="214">
        <v>3.0</v>
      </c>
      <c r="E1414" s="214">
        <v>5.0</v>
      </c>
      <c r="F1414" s="214" t="s">
        <v>1627</v>
      </c>
      <c r="G1414" s="214" t="s">
        <v>61</v>
      </c>
      <c r="H1414" s="214" t="s">
        <v>96</v>
      </c>
      <c r="I1414" s="214"/>
      <c r="J1414" s="222" t="s">
        <v>67</v>
      </c>
      <c r="K1414" s="222">
        <v>-1.5</v>
      </c>
      <c r="L1414" s="222" t="s">
        <v>67</v>
      </c>
      <c r="M1414" s="222">
        <v>55.5</v>
      </c>
      <c r="N1414" s="214">
        <v>214.0</v>
      </c>
      <c r="O1414" s="214">
        <v>243.0</v>
      </c>
      <c r="P1414" s="214">
        <v>2.0</v>
      </c>
      <c r="Q1414" s="214" t="b">
        <v>0</v>
      </c>
      <c r="R1414" s="214">
        <v>100.0</v>
      </c>
      <c r="S1414" s="214" t="s">
        <v>525</v>
      </c>
      <c r="T1414" s="214" t="s">
        <v>365</v>
      </c>
      <c r="U1414" s="214"/>
    </row>
    <row r="1415">
      <c r="A1415" s="221">
        <v>45965.06850043981</v>
      </c>
      <c r="B1415" s="214" t="s">
        <v>238</v>
      </c>
      <c r="C1415" s="214" t="s">
        <v>98</v>
      </c>
      <c r="D1415" s="214">
        <v>7.0</v>
      </c>
      <c r="E1415" s="214">
        <v>2.0</v>
      </c>
      <c r="F1415" s="214" t="s">
        <v>1598</v>
      </c>
      <c r="G1415" s="214" t="s">
        <v>61</v>
      </c>
      <c r="H1415" s="214" t="s">
        <v>95</v>
      </c>
      <c r="I1415" s="214"/>
      <c r="J1415" s="222" t="s">
        <v>67</v>
      </c>
      <c r="K1415" s="222">
        <v>10.0</v>
      </c>
      <c r="L1415" s="222" t="s">
        <v>67</v>
      </c>
      <c r="M1415" s="222">
        <v>54.5</v>
      </c>
      <c r="N1415" s="214">
        <v>320.0</v>
      </c>
      <c r="O1415" s="214">
        <v>197.0</v>
      </c>
      <c r="P1415" s="214">
        <v>2.0</v>
      </c>
      <c r="Q1415" s="214" t="b">
        <v>0</v>
      </c>
      <c r="R1415" s="214">
        <v>100.0</v>
      </c>
      <c r="S1415" s="214" t="s">
        <v>471</v>
      </c>
      <c r="T1415" s="214" t="s">
        <v>321</v>
      </c>
      <c r="U1415" s="214"/>
    </row>
    <row r="1416">
      <c r="A1416" s="221">
        <v>45965.06850043981</v>
      </c>
      <c r="B1416" s="214" t="s">
        <v>238</v>
      </c>
      <c r="C1416" s="214" t="s">
        <v>119</v>
      </c>
      <c r="D1416" s="214">
        <v>7.0</v>
      </c>
      <c r="E1416" s="214">
        <v>2.0</v>
      </c>
      <c r="F1416" s="214" t="s">
        <v>1631</v>
      </c>
      <c r="G1416" s="214" t="s">
        <v>61</v>
      </c>
      <c r="H1416" s="214" t="s">
        <v>493</v>
      </c>
      <c r="I1416" s="214"/>
      <c r="J1416" s="222" t="s">
        <v>67</v>
      </c>
      <c r="K1416" s="222">
        <v>-14.5</v>
      </c>
      <c r="L1416" s="222" t="s">
        <v>67</v>
      </c>
      <c r="M1416" s="222">
        <v>51.5</v>
      </c>
      <c r="N1416" s="214">
        <v>357.0</v>
      </c>
      <c r="O1416" s="214">
        <v>196.0</v>
      </c>
      <c r="P1416" s="214">
        <v>2.0</v>
      </c>
      <c r="Q1416" s="214" t="b">
        <v>1</v>
      </c>
      <c r="R1416" s="214">
        <v>100.0</v>
      </c>
      <c r="S1416" s="214" t="s">
        <v>317</v>
      </c>
      <c r="T1416" s="214" t="s">
        <v>321</v>
      </c>
      <c r="U1416" s="214"/>
    </row>
    <row r="1417">
      <c r="A1417" s="221">
        <v>45965.06850043981</v>
      </c>
      <c r="B1417" s="214" t="s">
        <v>238</v>
      </c>
      <c r="C1417" s="214" t="s">
        <v>220</v>
      </c>
      <c r="D1417" s="214">
        <v>2.0</v>
      </c>
      <c r="E1417" s="214">
        <v>7.0</v>
      </c>
      <c r="F1417" s="214" t="s">
        <v>1612</v>
      </c>
      <c r="G1417" s="214" t="s">
        <v>61</v>
      </c>
      <c r="H1417" s="214" t="s">
        <v>193</v>
      </c>
      <c r="I1417" s="214"/>
      <c r="J1417" s="222" t="s">
        <v>67</v>
      </c>
      <c r="K1417" s="222">
        <v>-4.5</v>
      </c>
      <c r="L1417" s="222" t="s">
        <v>67</v>
      </c>
      <c r="M1417" s="222">
        <v>52.5</v>
      </c>
      <c r="N1417" s="214">
        <v>224.0</v>
      </c>
      <c r="O1417" s="214">
        <v>267.0</v>
      </c>
      <c r="P1417" s="214">
        <v>2.0</v>
      </c>
      <c r="Q1417" s="214" t="b">
        <v>1</v>
      </c>
      <c r="R1417" s="214">
        <v>100.0</v>
      </c>
      <c r="S1417" s="214" t="s">
        <v>441</v>
      </c>
      <c r="T1417" s="214" t="s">
        <v>365</v>
      </c>
      <c r="U1417" s="214"/>
    </row>
    <row r="1418">
      <c r="A1418" s="221">
        <v>45965.06850043981</v>
      </c>
      <c r="B1418" s="214" t="s">
        <v>238</v>
      </c>
      <c r="C1418" s="214" t="s">
        <v>102</v>
      </c>
      <c r="D1418" s="214">
        <v>8.0</v>
      </c>
      <c r="E1418" s="214">
        <v>1.0</v>
      </c>
      <c r="F1418" s="214" t="s">
        <v>1597</v>
      </c>
      <c r="G1418" s="214" t="s">
        <v>61</v>
      </c>
      <c r="H1418" s="214" t="s">
        <v>43</v>
      </c>
      <c r="I1418" s="214"/>
      <c r="J1418" s="222" t="s">
        <v>67</v>
      </c>
      <c r="K1418" s="222">
        <v>-14.0</v>
      </c>
      <c r="L1418" s="222" t="s">
        <v>67</v>
      </c>
      <c r="M1418" s="222">
        <v>48.5</v>
      </c>
      <c r="N1418" s="214">
        <v>339.0</v>
      </c>
      <c r="O1418" s="214">
        <v>173.0</v>
      </c>
      <c r="P1418" s="214">
        <v>2.0</v>
      </c>
      <c r="Q1418" s="214" t="b">
        <v>1</v>
      </c>
      <c r="R1418" s="214">
        <v>100.0</v>
      </c>
      <c r="S1418" s="214" t="s">
        <v>361</v>
      </c>
      <c r="T1418" s="214" t="s">
        <v>365</v>
      </c>
      <c r="U1418" s="214"/>
    </row>
    <row r="1419">
      <c r="A1419" s="221">
        <v>45965.06850043981</v>
      </c>
      <c r="B1419" s="214" t="s">
        <v>238</v>
      </c>
      <c r="C1419" s="214" t="s">
        <v>160</v>
      </c>
      <c r="D1419" s="214">
        <v>2.0</v>
      </c>
      <c r="E1419" s="214">
        <v>6.0</v>
      </c>
      <c r="F1419" s="214" t="s">
        <v>1605</v>
      </c>
      <c r="G1419" s="214" t="s">
        <v>61</v>
      </c>
      <c r="H1419" s="214" t="s">
        <v>95</v>
      </c>
      <c r="I1419" s="214"/>
      <c r="J1419" s="222" t="s">
        <v>67</v>
      </c>
      <c r="K1419" s="222">
        <v>9.5</v>
      </c>
      <c r="L1419" s="222" t="s">
        <v>67</v>
      </c>
      <c r="M1419" s="222">
        <v>50.5</v>
      </c>
      <c r="N1419" s="214">
        <v>167.0</v>
      </c>
      <c r="O1419" s="214">
        <v>202.0</v>
      </c>
      <c r="P1419" s="214">
        <v>2.0</v>
      </c>
      <c r="Q1419" s="214" t="b">
        <v>0</v>
      </c>
      <c r="R1419" s="214">
        <v>100.0</v>
      </c>
      <c r="S1419" s="214" t="s">
        <v>535</v>
      </c>
      <c r="T1419" s="214" t="s">
        <v>365</v>
      </c>
      <c r="U1419" s="214"/>
    </row>
    <row r="1420">
      <c r="A1420" s="221">
        <v>45965.06850043981</v>
      </c>
      <c r="B1420" s="214" t="s">
        <v>238</v>
      </c>
      <c r="C1420" s="214" t="s">
        <v>141</v>
      </c>
      <c r="D1420" s="214">
        <v>6.0</v>
      </c>
      <c r="E1420" s="214">
        <v>3.0</v>
      </c>
      <c r="F1420" s="214" t="s">
        <v>1626</v>
      </c>
      <c r="G1420" s="214" t="s">
        <v>532</v>
      </c>
      <c r="H1420" s="214" t="s">
        <v>224</v>
      </c>
      <c r="I1420" s="214"/>
      <c r="J1420" s="222" t="s">
        <v>67</v>
      </c>
      <c r="K1420" s="222">
        <v>-3.5</v>
      </c>
      <c r="L1420" s="222" t="s">
        <v>67</v>
      </c>
      <c r="M1420" s="222">
        <v>46.5</v>
      </c>
      <c r="N1420" s="214">
        <v>214.0</v>
      </c>
      <c r="O1420" s="214">
        <v>194.0</v>
      </c>
      <c r="P1420" s="214">
        <v>2.0</v>
      </c>
      <c r="Q1420" s="214" t="b">
        <v>1</v>
      </c>
      <c r="R1420" s="214">
        <v>100.0</v>
      </c>
      <c r="S1420" s="214" t="s">
        <v>407</v>
      </c>
      <c r="T1420" s="214" t="s">
        <v>321</v>
      </c>
      <c r="U1420" s="214"/>
    </row>
    <row r="1421">
      <c r="A1421" s="221">
        <v>45965.06850043981</v>
      </c>
      <c r="B1421" s="214"/>
      <c r="C1421" s="214"/>
      <c r="D1421" s="214"/>
      <c r="E1421" s="214"/>
      <c r="F1421" s="214"/>
      <c r="G1421" s="214"/>
      <c r="H1421" s="214"/>
      <c r="I1421" s="214"/>
      <c r="J1421" s="222"/>
      <c r="K1421" s="222"/>
      <c r="L1421" s="222"/>
      <c r="M1421" s="222"/>
      <c r="N1421" s="214"/>
      <c r="O1421" s="214"/>
      <c r="P1421" s="214"/>
      <c r="Q1421" s="214"/>
      <c r="R1421" s="214"/>
      <c r="S1421" s="214"/>
      <c r="T1421" s="214"/>
      <c r="U1421" s="214"/>
    </row>
    <row r="1422">
      <c r="A1422" s="221">
        <v>45965.06850043981</v>
      </c>
      <c r="B1422" s="214" t="s">
        <v>156</v>
      </c>
      <c r="C1422" s="214" t="s">
        <v>208</v>
      </c>
      <c r="D1422" s="214">
        <v>6.0</v>
      </c>
      <c r="E1422" s="214">
        <v>2.0</v>
      </c>
      <c r="F1422" s="214"/>
      <c r="G1422" s="214"/>
      <c r="H1422" s="214"/>
      <c r="I1422" s="214"/>
      <c r="J1422" s="222"/>
      <c r="K1422" s="222"/>
      <c r="L1422" s="222"/>
      <c r="M1422" s="222"/>
      <c r="N1422" s="214">
        <v>283.0</v>
      </c>
      <c r="O1422" s="214">
        <v>134.0</v>
      </c>
      <c r="P1422" s="214">
        <v>0.0</v>
      </c>
      <c r="Q1422" s="214" t="b">
        <v>1</v>
      </c>
      <c r="R1422" s="214">
        <v>59.0</v>
      </c>
      <c r="S1422" s="214" t="s">
        <v>556</v>
      </c>
      <c r="T1422" s="214" t="s">
        <v>321</v>
      </c>
      <c r="U1422" s="214"/>
    </row>
    <row r="1423">
      <c r="A1423" s="221">
        <v>45965.06850043981</v>
      </c>
      <c r="B1423" s="214" t="s">
        <v>156</v>
      </c>
      <c r="C1423" s="214" t="s">
        <v>174</v>
      </c>
      <c r="D1423" s="214">
        <v>4.0</v>
      </c>
      <c r="E1423" s="214">
        <v>4.0</v>
      </c>
      <c r="F1423" s="214"/>
      <c r="G1423" s="214"/>
      <c r="H1423" s="214"/>
      <c r="I1423" s="214"/>
      <c r="J1423" s="222"/>
      <c r="K1423" s="222"/>
      <c r="L1423" s="222"/>
      <c r="M1423" s="222"/>
      <c r="N1423" s="214">
        <v>254.0</v>
      </c>
      <c r="O1423" s="214">
        <v>128.0</v>
      </c>
      <c r="P1423" s="214">
        <v>0.0</v>
      </c>
      <c r="Q1423" s="214" t="b">
        <v>1</v>
      </c>
      <c r="R1423" s="214">
        <v>59.0</v>
      </c>
      <c r="S1423" s="214" t="s">
        <v>530</v>
      </c>
      <c r="T1423" s="214" t="s">
        <v>365</v>
      </c>
      <c r="U1423" s="214"/>
    </row>
    <row r="1424">
      <c r="A1424" s="221">
        <v>45965.06850043981</v>
      </c>
      <c r="B1424" s="214" t="s">
        <v>156</v>
      </c>
      <c r="C1424" s="214" t="s">
        <v>181</v>
      </c>
      <c r="D1424" s="214">
        <v>1.0</v>
      </c>
      <c r="E1424" s="214">
        <v>7.0</v>
      </c>
      <c r="F1424" s="214"/>
      <c r="G1424" s="214"/>
      <c r="H1424" s="214"/>
      <c r="I1424" s="214"/>
      <c r="J1424" s="222"/>
      <c r="K1424" s="222"/>
      <c r="L1424" s="222"/>
      <c r="M1424" s="222"/>
      <c r="N1424" s="214">
        <v>112.0</v>
      </c>
      <c r="O1424" s="214">
        <v>220.0</v>
      </c>
      <c r="P1424" s="214">
        <v>0.0</v>
      </c>
      <c r="Q1424" s="214" t="b">
        <v>1</v>
      </c>
      <c r="R1424" s="214">
        <v>59.0</v>
      </c>
      <c r="S1424" s="214" t="s">
        <v>525</v>
      </c>
      <c r="T1424" s="214" t="s">
        <v>365</v>
      </c>
      <c r="U1424" s="214"/>
    </row>
    <row r="1425">
      <c r="A1425" s="221">
        <v>45965.06850043981</v>
      </c>
      <c r="B1425" s="214" t="s">
        <v>156</v>
      </c>
      <c r="C1425" s="214" t="s">
        <v>202</v>
      </c>
      <c r="D1425" s="214">
        <v>2.0</v>
      </c>
      <c r="E1425" s="214">
        <v>7.0</v>
      </c>
      <c r="F1425" s="214" t="s">
        <v>1632</v>
      </c>
      <c r="G1425" s="214" t="s">
        <v>61</v>
      </c>
      <c r="H1425" s="214" t="s">
        <v>493</v>
      </c>
      <c r="I1425" s="214"/>
      <c r="J1425" s="222" t="s">
        <v>67</v>
      </c>
      <c r="K1425" s="222">
        <v>-4.5</v>
      </c>
      <c r="L1425" s="222" t="s">
        <v>67</v>
      </c>
      <c r="M1425" s="222">
        <v>65.5</v>
      </c>
      <c r="N1425" s="214">
        <v>319.0</v>
      </c>
      <c r="O1425" s="214">
        <v>300.0</v>
      </c>
      <c r="P1425" s="214">
        <v>2.0</v>
      </c>
      <c r="Q1425" s="214" t="b">
        <v>0</v>
      </c>
      <c r="R1425" s="214">
        <v>100.0</v>
      </c>
      <c r="S1425" s="214" t="s">
        <v>556</v>
      </c>
      <c r="T1425" s="214" t="s">
        <v>321</v>
      </c>
      <c r="U1425" s="214"/>
    </row>
    <row r="1426">
      <c r="A1426" s="221">
        <v>45965.06850043981</v>
      </c>
      <c r="B1426" s="214" t="s">
        <v>156</v>
      </c>
      <c r="C1426" s="214" t="s">
        <v>135</v>
      </c>
      <c r="D1426" s="214">
        <v>6.0</v>
      </c>
      <c r="E1426" s="214">
        <v>3.0</v>
      </c>
      <c r="F1426" s="214" t="s">
        <v>1633</v>
      </c>
      <c r="G1426" s="214" t="s">
        <v>61</v>
      </c>
      <c r="H1426" s="214" t="s">
        <v>395</v>
      </c>
      <c r="I1426" s="214"/>
      <c r="J1426" s="222" t="s">
        <v>67</v>
      </c>
      <c r="K1426" s="222">
        <v>-13.5</v>
      </c>
      <c r="L1426" s="222" t="s">
        <v>67</v>
      </c>
      <c r="M1426" s="222">
        <v>62.5</v>
      </c>
      <c r="N1426" s="214">
        <v>298.0</v>
      </c>
      <c r="O1426" s="214">
        <v>233.0</v>
      </c>
      <c r="P1426" s="214">
        <v>2.0</v>
      </c>
      <c r="Q1426" s="214" t="b">
        <v>1</v>
      </c>
      <c r="R1426" s="214">
        <v>100.0</v>
      </c>
      <c r="S1426" s="214" t="s">
        <v>407</v>
      </c>
      <c r="T1426" s="214" t="s">
        <v>321</v>
      </c>
      <c r="U1426" s="214"/>
    </row>
    <row r="1427">
      <c r="A1427" s="221">
        <v>45965.06850043981</v>
      </c>
      <c r="B1427" s="214" t="s">
        <v>156</v>
      </c>
      <c r="C1427" s="214" t="s">
        <v>109</v>
      </c>
      <c r="D1427" s="214">
        <v>4.0</v>
      </c>
      <c r="E1427" s="214">
        <v>4.0</v>
      </c>
      <c r="F1427" s="214" t="s">
        <v>1634</v>
      </c>
      <c r="G1427" s="214" t="s">
        <v>61</v>
      </c>
      <c r="H1427" s="214" t="s">
        <v>249</v>
      </c>
      <c r="I1427" s="214"/>
      <c r="J1427" s="222" t="s">
        <v>67</v>
      </c>
      <c r="K1427" s="222">
        <v>3.5</v>
      </c>
      <c r="L1427" s="222" t="s">
        <v>67</v>
      </c>
      <c r="M1427" s="222">
        <v>59.5</v>
      </c>
      <c r="N1427" s="214">
        <v>218.0</v>
      </c>
      <c r="O1427" s="214">
        <v>150.0</v>
      </c>
      <c r="P1427" s="214">
        <v>2.0</v>
      </c>
      <c r="Q1427" s="214" t="b">
        <v>1</v>
      </c>
      <c r="R1427" s="214">
        <v>100.0</v>
      </c>
      <c r="S1427" s="214" t="s">
        <v>471</v>
      </c>
      <c r="T1427" s="214" t="s">
        <v>321</v>
      </c>
      <c r="U1427" s="214"/>
    </row>
    <row r="1428">
      <c r="A1428" s="221">
        <v>45965.06850043981</v>
      </c>
      <c r="B1428" s="214" t="s">
        <v>156</v>
      </c>
      <c r="C1428" s="214" t="s">
        <v>154</v>
      </c>
      <c r="D1428" s="214">
        <v>8.0</v>
      </c>
      <c r="E1428" s="214">
        <v>1.0</v>
      </c>
      <c r="F1428" s="214" t="s">
        <v>1625</v>
      </c>
      <c r="G1428" s="214" t="s">
        <v>61</v>
      </c>
      <c r="H1428" s="214" t="s">
        <v>224</v>
      </c>
      <c r="I1428" s="214"/>
      <c r="J1428" s="222" t="s">
        <v>67</v>
      </c>
      <c r="K1428" s="222">
        <v>-7.0</v>
      </c>
      <c r="L1428" s="222" t="s">
        <v>67</v>
      </c>
      <c r="M1428" s="222">
        <v>65.5</v>
      </c>
      <c r="N1428" s="214">
        <v>400.0</v>
      </c>
      <c r="O1428" s="214">
        <v>217.0</v>
      </c>
      <c r="P1428" s="214">
        <v>2.0</v>
      </c>
      <c r="Q1428" s="214" t="b">
        <v>1</v>
      </c>
      <c r="R1428" s="214">
        <v>100.0</v>
      </c>
      <c r="S1428" s="214" t="s">
        <v>361</v>
      </c>
      <c r="T1428" s="214" t="s">
        <v>365</v>
      </c>
      <c r="U1428" s="214"/>
    </row>
    <row r="1429">
      <c r="A1429" s="221">
        <v>45965.06850043981</v>
      </c>
      <c r="B1429" s="214" t="s">
        <v>156</v>
      </c>
      <c r="C1429" s="214" t="s">
        <v>223</v>
      </c>
      <c r="D1429" s="214">
        <v>5.0</v>
      </c>
      <c r="E1429" s="214">
        <v>3.0</v>
      </c>
      <c r="F1429" s="214" t="s">
        <v>1620</v>
      </c>
      <c r="G1429" s="214" t="s">
        <v>61</v>
      </c>
      <c r="H1429" s="214" t="s">
        <v>311</v>
      </c>
      <c r="I1429" s="214"/>
      <c r="J1429" s="222" t="s">
        <v>67</v>
      </c>
      <c r="K1429" s="222">
        <v>6.5</v>
      </c>
      <c r="L1429" s="222" t="s">
        <v>67</v>
      </c>
      <c r="M1429" s="222">
        <v>55.5</v>
      </c>
      <c r="N1429" s="214">
        <v>177.0</v>
      </c>
      <c r="O1429" s="214">
        <v>225.0</v>
      </c>
      <c r="P1429" s="214">
        <v>2.0</v>
      </c>
      <c r="Q1429" s="214" t="b">
        <v>1</v>
      </c>
      <c r="R1429" s="214">
        <v>100.0</v>
      </c>
      <c r="S1429" s="214" t="s">
        <v>441</v>
      </c>
      <c r="T1429" s="214" t="s">
        <v>365</v>
      </c>
      <c r="U1429" s="214"/>
    </row>
    <row r="1430">
      <c r="A1430" s="221">
        <v>45965.06850043981</v>
      </c>
      <c r="B1430" s="214" t="s">
        <v>156</v>
      </c>
      <c r="C1430" s="214" t="s">
        <v>232</v>
      </c>
      <c r="D1430" s="214">
        <v>5.0</v>
      </c>
      <c r="E1430" s="214">
        <v>3.0</v>
      </c>
      <c r="F1430" s="214" t="s">
        <v>1630</v>
      </c>
      <c r="G1430" s="214" t="s">
        <v>61</v>
      </c>
      <c r="H1430" s="214" t="s">
        <v>96</v>
      </c>
      <c r="I1430" s="214"/>
      <c r="J1430" s="222" t="s">
        <v>67</v>
      </c>
      <c r="K1430" s="222">
        <v>-5.5</v>
      </c>
      <c r="L1430" s="222" t="s">
        <v>67</v>
      </c>
      <c r="M1430" s="222">
        <v>54.5</v>
      </c>
      <c r="N1430" s="214">
        <v>239.0</v>
      </c>
      <c r="O1430" s="214">
        <v>207.0</v>
      </c>
      <c r="P1430" s="214">
        <v>2.0</v>
      </c>
      <c r="Q1430" s="214" t="b">
        <v>1</v>
      </c>
      <c r="R1430" s="214">
        <v>100.0</v>
      </c>
      <c r="S1430" s="214" t="s">
        <v>535</v>
      </c>
      <c r="T1430" s="214" t="s">
        <v>365</v>
      </c>
      <c r="U1430" s="214"/>
    </row>
    <row r="1431">
      <c r="A1431" s="221">
        <v>45965.06850043981</v>
      </c>
      <c r="B1431" s="214" t="s">
        <v>156</v>
      </c>
      <c r="C1431" s="214" t="s">
        <v>116</v>
      </c>
      <c r="D1431" s="214">
        <v>6.0</v>
      </c>
      <c r="E1431" s="214">
        <v>2.0</v>
      </c>
      <c r="F1431" s="214" t="s">
        <v>1615</v>
      </c>
      <c r="G1431" s="214" t="s">
        <v>532</v>
      </c>
      <c r="H1431" s="214" t="s">
        <v>193</v>
      </c>
      <c r="I1431" s="214"/>
      <c r="J1431" s="222" t="s">
        <v>67</v>
      </c>
      <c r="K1431" s="222">
        <v>-10.5</v>
      </c>
      <c r="L1431" s="222" t="s">
        <v>67</v>
      </c>
      <c r="M1431" s="222">
        <v>50.5</v>
      </c>
      <c r="N1431" s="214">
        <v>258.0</v>
      </c>
      <c r="O1431" s="214">
        <v>125.0</v>
      </c>
      <c r="P1431" s="214">
        <v>2.0</v>
      </c>
      <c r="Q1431" s="214" t="b">
        <v>0</v>
      </c>
      <c r="R1431" s="214">
        <v>100.0</v>
      </c>
      <c r="S1431" s="214" t="s">
        <v>317</v>
      </c>
      <c r="T1431" s="214" t="s">
        <v>321</v>
      </c>
      <c r="U1431" s="214"/>
    </row>
    <row r="1432">
      <c r="A1432" s="221">
        <v>45965.06850043981</v>
      </c>
      <c r="B1432" s="214"/>
      <c r="C1432" s="214"/>
      <c r="D1432" s="214"/>
      <c r="E1432" s="214"/>
      <c r="F1432" s="214"/>
      <c r="G1432" s="214"/>
      <c r="H1432" s="214"/>
      <c r="I1432" s="214"/>
      <c r="J1432" s="222"/>
      <c r="K1432" s="222"/>
      <c r="L1432" s="222"/>
      <c r="M1432" s="222"/>
      <c r="N1432" s="214"/>
      <c r="O1432" s="214"/>
      <c r="P1432" s="214"/>
      <c r="Q1432" s="214"/>
      <c r="R1432" s="214"/>
      <c r="S1432" s="214"/>
      <c r="T1432" s="214"/>
      <c r="U1432" s="214"/>
    </row>
    <row r="1433">
      <c r="A1433" s="221">
        <v>45965.06850043981</v>
      </c>
      <c r="B1433" s="214" t="s">
        <v>249</v>
      </c>
      <c r="C1433" s="214" t="s">
        <v>137</v>
      </c>
      <c r="D1433" s="214">
        <v>6.0</v>
      </c>
      <c r="E1433" s="214">
        <v>2.0</v>
      </c>
      <c r="F1433" s="214"/>
      <c r="G1433" s="214"/>
      <c r="H1433" s="214"/>
      <c r="I1433" s="214"/>
      <c r="J1433" s="222"/>
      <c r="K1433" s="222"/>
      <c r="L1433" s="222"/>
      <c r="M1433" s="222"/>
      <c r="N1433" s="214">
        <v>250.0</v>
      </c>
      <c r="O1433" s="214">
        <v>105.0</v>
      </c>
      <c r="P1433" s="214">
        <v>0.0</v>
      </c>
      <c r="Q1433" s="214" t="b">
        <v>1</v>
      </c>
      <c r="R1433" s="214">
        <v>59.0</v>
      </c>
      <c r="S1433" s="214" t="s">
        <v>407</v>
      </c>
      <c r="T1433" s="214" t="s">
        <v>321</v>
      </c>
      <c r="U1433" s="214"/>
    </row>
    <row r="1434">
      <c r="A1434" s="221">
        <v>45965.06850043981</v>
      </c>
      <c r="B1434" s="214" t="s">
        <v>249</v>
      </c>
      <c r="C1434" s="214" t="s">
        <v>159</v>
      </c>
      <c r="D1434" s="214">
        <v>1.0</v>
      </c>
      <c r="E1434" s="214">
        <v>7.0</v>
      </c>
      <c r="F1434" s="214"/>
      <c r="G1434" s="214"/>
      <c r="H1434" s="214"/>
      <c r="I1434" s="214"/>
      <c r="J1434" s="222"/>
      <c r="K1434" s="222"/>
      <c r="L1434" s="222"/>
      <c r="M1434" s="222"/>
      <c r="N1434" s="214">
        <v>140.0</v>
      </c>
      <c r="O1434" s="214">
        <v>298.0</v>
      </c>
      <c r="P1434" s="214">
        <v>0.0</v>
      </c>
      <c r="Q1434" s="214" t="b">
        <v>1</v>
      </c>
      <c r="R1434" s="214">
        <v>59.0</v>
      </c>
      <c r="S1434" s="214" t="s">
        <v>361</v>
      </c>
      <c r="T1434" s="214" t="s">
        <v>365</v>
      </c>
      <c r="U1434" s="214"/>
    </row>
    <row r="1435">
      <c r="A1435" s="221">
        <v>45965.06850043981</v>
      </c>
      <c r="B1435" s="214" t="s">
        <v>249</v>
      </c>
      <c r="C1435" s="214" t="s">
        <v>217</v>
      </c>
      <c r="D1435" s="214">
        <v>1.0</v>
      </c>
      <c r="E1435" s="214">
        <v>7.0</v>
      </c>
      <c r="F1435" s="214"/>
      <c r="G1435" s="214"/>
      <c r="H1435" s="214"/>
      <c r="I1435" s="214"/>
      <c r="J1435" s="222"/>
      <c r="K1435" s="222"/>
      <c r="L1435" s="222"/>
      <c r="M1435" s="222"/>
      <c r="N1435" s="214">
        <v>163.0</v>
      </c>
      <c r="O1435" s="214">
        <v>326.0</v>
      </c>
      <c r="P1435" s="214">
        <v>0.0</v>
      </c>
      <c r="Q1435" s="214" t="b">
        <v>1</v>
      </c>
      <c r="R1435" s="214">
        <v>59.0</v>
      </c>
      <c r="S1435" s="214" t="s">
        <v>441</v>
      </c>
      <c r="T1435" s="214" t="s">
        <v>365</v>
      </c>
      <c r="U1435" s="214"/>
    </row>
    <row r="1436">
      <c r="A1436" s="221">
        <v>45965.06850043981</v>
      </c>
      <c r="B1436" s="214" t="s">
        <v>249</v>
      </c>
      <c r="C1436" s="214" t="s">
        <v>183</v>
      </c>
      <c r="D1436" s="214">
        <v>7.0</v>
      </c>
      <c r="E1436" s="214">
        <v>1.0</v>
      </c>
      <c r="F1436" s="214" t="s">
        <v>1635</v>
      </c>
      <c r="G1436" s="214" t="s">
        <v>61</v>
      </c>
      <c r="H1436" s="214" t="s">
        <v>132</v>
      </c>
      <c r="I1436" s="214"/>
      <c r="J1436" s="222" t="s">
        <v>67</v>
      </c>
      <c r="K1436" s="222">
        <v>-10.5</v>
      </c>
      <c r="L1436" s="222" t="s">
        <v>67</v>
      </c>
      <c r="M1436" s="222">
        <v>41.5</v>
      </c>
      <c r="N1436" s="214">
        <v>231.0</v>
      </c>
      <c r="O1436" s="214">
        <v>80.0</v>
      </c>
      <c r="P1436" s="214">
        <v>2.0</v>
      </c>
      <c r="Q1436" s="214" t="b">
        <v>0</v>
      </c>
      <c r="R1436" s="214">
        <v>100.0</v>
      </c>
      <c r="S1436" s="214" t="s">
        <v>525</v>
      </c>
      <c r="T1436" s="214" t="s">
        <v>365</v>
      </c>
      <c r="U1436" s="214"/>
    </row>
    <row r="1437">
      <c r="A1437" s="221">
        <v>45965.06850043981</v>
      </c>
      <c r="B1437" s="214" t="s">
        <v>249</v>
      </c>
      <c r="C1437" s="214" t="s">
        <v>209</v>
      </c>
      <c r="D1437" s="214">
        <v>8.0</v>
      </c>
      <c r="E1437" s="214">
        <v>1.0</v>
      </c>
      <c r="F1437" s="214" t="s">
        <v>1636</v>
      </c>
      <c r="G1437" s="214" t="s">
        <v>61</v>
      </c>
      <c r="H1437" s="214" t="s">
        <v>132</v>
      </c>
      <c r="I1437" s="214"/>
      <c r="J1437" s="222" t="s">
        <v>67</v>
      </c>
      <c r="K1437" s="222">
        <v>-12.5</v>
      </c>
      <c r="L1437" s="222" t="s">
        <v>67</v>
      </c>
      <c r="M1437" s="222">
        <v>55.5</v>
      </c>
      <c r="N1437" s="214">
        <v>326.0</v>
      </c>
      <c r="O1437" s="214">
        <v>198.0</v>
      </c>
      <c r="P1437" s="214">
        <v>2.0</v>
      </c>
      <c r="Q1437" s="214" t="b">
        <v>1</v>
      </c>
      <c r="R1437" s="214">
        <v>100.0</v>
      </c>
      <c r="S1437" s="214" t="s">
        <v>556</v>
      </c>
      <c r="T1437" s="214" t="s">
        <v>321</v>
      </c>
      <c r="U1437" s="214"/>
    </row>
    <row r="1438">
      <c r="A1438" s="221">
        <v>45965.06850043981</v>
      </c>
      <c r="B1438" s="214" t="s">
        <v>249</v>
      </c>
      <c r="C1438" s="214" t="s">
        <v>111</v>
      </c>
      <c r="D1438" s="214">
        <v>3.0</v>
      </c>
      <c r="E1438" s="214">
        <v>5.0</v>
      </c>
      <c r="F1438" s="214" t="s">
        <v>1637</v>
      </c>
      <c r="G1438" s="214" t="s">
        <v>61</v>
      </c>
      <c r="H1438" s="214" t="s">
        <v>249</v>
      </c>
      <c r="I1438" s="214"/>
      <c r="J1438" s="222" t="s">
        <v>67</v>
      </c>
      <c r="K1438" s="222">
        <v>-3.5</v>
      </c>
      <c r="L1438" s="222" t="s">
        <v>67</v>
      </c>
      <c r="M1438" s="222">
        <v>54.5</v>
      </c>
      <c r="N1438" s="214">
        <v>227.0</v>
      </c>
      <c r="O1438" s="214">
        <v>192.0</v>
      </c>
      <c r="P1438" s="214">
        <v>2.0</v>
      </c>
      <c r="Q1438" s="214" t="b">
        <v>0</v>
      </c>
      <c r="R1438" s="214">
        <v>100.0</v>
      </c>
      <c r="S1438" s="214" t="s">
        <v>317</v>
      </c>
      <c r="T1438" s="214" t="s">
        <v>321</v>
      </c>
      <c r="U1438" s="214"/>
    </row>
    <row r="1439">
      <c r="A1439" s="221">
        <v>45965.06850043981</v>
      </c>
      <c r="B1439" s="214" t="s">
        <v>249</v>
      </c>
      <c r="C1439" s="214" t="s">
        <v>112</v>
      </c>
      <c r="D1439" s="214">
        <v>5.0</v>
      </c>
      <c r="E1439" s="214">
        <v>3.0</v>
      </c>
      <c r="F1439" s="214" t="s">
        <v>1637</v>
      </c>
      <c r="G1439" s="214" t="s">
        <v>61</v>
      </c>
      <c r="H1439" s="214" t="s">
        <v>249</v>
      </c>
      <c r="I1439" s="214"/>
      <c r="J1439" s="222" t="s">
        <v>67</v>
      </c>
      <c r="K1439" s="222">
        <v>3.5</v>
      </c>
      <c r="L1439" s="222" t="s">
        <v>67</v>
      </c>
      <c r="M1439" s="222">
        <v>54.5</v>
      </c>
      <c r="N1439" s="214">
        <v>283.0</v>
      </c>
      <c r="O1439" s="214">
        <v>225.0</v>
      </c>
      <c r="P1439" s="214">
        <v>2.0</v>
      </c>
      <c r="Q1439" s="214" t="b">
        <v>1</v>
      </c>
      <c r="R1439" s="214">
        <v>100.0</v>
      </c>
      <c r="S1439" s="214" t="s">
        <v>317</v>
      </c>
      <c r="T1439" s="214" t="s">
        <v>321</v>
      </c>
      <c r="U1439" s="214"/>
    </row>
    <row r="1440">
      <c r="A1440" s="221">
        <v>45965.06850043981</v>
      </c>
      <c r="B1440" s="214" t="s">
        <v>249</v>
      </c>
      <c r="C1440" s="214" t="s">
        <v>124</v>
      </c>
      <c r="D1440" s="214">
        <v>5.0</v>
      </c>
      <c r="E1440" s="214">
        <v>4.0</v>
      </c>
      <c r="F1440" s="214" t="s">
        <v>1634</v>
      </c>
      <c r="G1440" s="214" t="s">
        <v>61</v>
      </c>
      <c r="H1440" s="214" t="s">
        <v>156</v>
      </c>
      <c r="I1440" s="214"/>
      <c r="J1440" s="222" t="s">
        <v>67</v>
      </c>
      <c r="K1440" s="222">
        <v>-3.5</v>
      </c>
      <c r="L1440" s="222" t="s">
        <v>67</v>
      </c>
      <c r="M1440" s="222">
        <v>59.5</v>
      </c>
      <c r="N1440" s="214">
        <v>304.0</v>
      </c>
      <c r="O1440" s="214">
        <v>264.0</v>
      </c>
      <c r="P1440" s="214">
        <v>2.0</v>
      </c>
      <c r="Q1440" s="214" t="b">
        <v>0</v>
      </c>
      <c r="R1440" s="214">
        <v>100.0</v>
      </c>
      <c r="S1440" s="214" t="s">
        <v>471</v>
      </c>
      <c r="T1440" s="214" t="s">
        <v>321</v>
      </c>
      <c r="U1440" s="214"/>
    </row>
    <row r="1441">
      <c r="A1441" s="221">
        <v>45965.06850043981</v>
      </c>
      <c r="B1441" s="214" t="s">
        <v>249</v>
      </c>
      <c r="C1441" s="214" t="s">
        <v>167</v>
      </c>
      <c r="D1441" s="214">
        <v>5.0</v>
      </c>
      <c r="E1441" s="214">
        <v>4.0</v>
      </c>
      <c r="F1441" s="214" t="s">
        <v>1624</v>
      </c>
      <c r="G1441" s="214" t="s">
        <v>61</v>
      </c>
      <c r="H1441" s="214" t="s">
        <v>224</v>
      </c>
      <c r="I1441" s="214"/>
      <c r="J1441" s="222" t="s">
        <v>67</v>
      </c>
      <c r="K1441" s="222">
        <v>2.5</v>
      </c>
      <c r="L1441" s="222" t="s">
        <v>67</v>
      </c>
      <c r="M1441" s="222">
        <v>43.5</v>
      </c>
      <c r="N1441" s="214">
        <v>223.0</v>
      </c>
      <c r="O1441" s="214">
        <v>176.0</v>
      </c>
      <c r="P1441" s="214">
        <v>2.0</v>
      </c>
      <c r="Q1441" s="214" t="b">
        <v>1</v>
      </c>
      <c r="R1441" s="214">
        <v>100.0</v>
      </c>
      <c r="S1441" s="214" t="s">
        <v>530</v>
      </c>
      <c r="T1441" s="214" t="s">
        <v>365</v>
      </c>
      <c r="U1441" s="214"/>
    </row>
    <row r="1442">
      <c r="A1442" s="221">
        <v>45965.06850043981</v>
      </c>
      <c r="B1442" s="214" t="s">
        <v>249</v>
      </c>
      <c r="C1442" s="214" t="s">
        <v>151</v>
      </c>
      <c r="D1442" s="214">
        <v>5.0</v>
      </c>
      <c r="E1442" s="214">
        <v>3.0</v>
      </c>
      <c r="F1442" s="214" t="s">
        <v>1618</v>
      </c>
      <c r="G1442" s="214" t="s">
        <v>61</v>
      </c>
      <c r="H1442" s="214" t="s">
        <v>311</v>
      </c>
      <c r="I1442" s="214"/>
      <c r="J1442" s="222" t="s">
        <v>67</v>
      </c>
      <c r="K1442" s="222">
        <v>-16.5</v>
      </c>
      <c r="L1442" s="222" t="s">
        <v>67</v>
      </c>
      <c r="M1442" s="222">
        <v>48.5</v>
      </c>
      <c r="N1442" s="214">
        <v>229.0</v>
      </c>
      <c r="O1442" s="214">
        <v>145.0</v>
      </c>
      <c r="P1442" s="214">
        <v>2.0</v>
      </c>
      <c r="Q1442" s="214" t="b">
        <v>1</v>
      </c>
      <c r="R1442" s="214">
        <v>100.0</v>
      </c>
      <c r="S1442" s="214" t="s">
        <v>535</v>
      </c>
      <c r="T1442" s="214" t="s">
        <v>365</v>
      </c>
      <c r="U1442" s="214"/>
    </row>
    <row r="1443">
      <c r="A1443" s="221">
        <v>45965.06850043981</v>
      </c>
      <c r="B1443" s="214"/>
      <c r="C1443" s="214"/>
      <c r="D1443" s="214"/>
      <c r="E1443" s="214"/>
      <c r="F1443" s="214"/>
      <c r="G1443" s="214"/>
      <c r="H1443" s="214"/>
      <c r="I1443" s="214"/>
      <c r="J1443" s="222"/>
      <c r="K1443" s="222"/>
      <c r="L1443" s="222"/>
      <c r="M1443" s="222"/>
      <c r="N1443" s="214"/>
      <c r="O1443" s="214"/>
      <c r="P1443" s="214"/>
      <c r="Q1443" s="214"/>
      <c r="R1443" s="214"/>
      <c r="S1443" s="214"/>
      <c r="T1443" s="214"/>
      <c r="U1443" s="214"/>
    </row>
    <row r="1444">
      <c r="A1444" s="221">
        <v>45965.06850043981</v>
      </c>
      <c r="B1444" s="214" t="s">
        <v>395</v>
      </c>
      <c r="C1444" s="214" t="s">
        <v>114</v>
      </c>
      <c r="D1444" s="214">
        <v>8.0</v>
      </c>
      <c r="E1444" s="214">
        <v>1.0</v>
      </c>
      <c r="F1444" s="214" t="s">
        <v>1600</v>
      </c>
      <c r="G1444" s="214" t="s">
        <v>61</v>
      </c>
      <c r="H1444" s="214" t="s">
        <v>95</v>
      </c>
      <c r="I1444" s="214"/>
      <c r="J1444" s="222" t="s">
        <v>67</v>
      </c>
      <c r="K1444" s="222">
        <v>-5.5</v>
      </c>
      <c r="L1444" s="222" t="s">
        <v>67</v>
      </c>
      <c r="M1444" s="222">
        <v>58.5</v>
      </c>
      <c r="N1444" s="214">
        <v>324.0</v>
      </c>
      <c r="O1444" s="214">
        <v>208.0</v>
      </c>
      <c r="P1444" s="214">
        <v>2.0</v>
      </c>
      <c r="Q1444" s="214" t="b">
        <v>1</v>
      </c>
      <c r="R1444" s="214">
        <v>100.0</v>
      </c>
      <c r="S1444" s="214" t="s">
        <v>317</v>
      </c>
      <c r="T1444" s="214" t="s">
        <v>321</v>
      </c>
      <c r="U1444" s="214"/>
    </row>
    <row r="1445">
      <c r="A1445" s="221">
        <v>45965.06850043981</v>
      </c>
      <c r="B1445" s="214" t="s">
        <v>395</v>
      </c>
      <c r="C1445" s="214" t="s">
        <v>175</v>
      </c>
      <c r="D1445" s="214">
        <v>5.0</v>
      </c>
      <c r="E1445" s="214">
        <v>4.0</v>
      </c>
      <c r="F1445" s="214" t="s">
        <v>1638</v>
      </c>
      <c r="G1445" s="214" t="s">
        <v>61</v>
      </c>
      <c r="H1445" s="214" t="s">
        <v>132</v>
      </c>
      <c r="I1445" s="214"/>
      <c r="J1445" s="222" t="s">
        <v>67</v>
      </c>
      <c r="K1445" s="222">
        <v>-5.5</v>
      </c>
      <c r="L1445" s="222" t="s">
        <v>67</v>
      </c>
      <c r="M1445" s="222">
        <v>42.5</v>
      </c>
      <c r="N1445" s="214">
        <v>201.0</v>
      </c>
      <c r="O1445" s="214">
        <v>171.0</v>
      </c>
      <c r="P1445" s="214">
        <v>2.0</v>
      </c>
      <c r="Q1445" s="214" t="b">
        <v>1</v>
      </c>
      <c r="R1445" s="214">
        <v>100.0</v>
      </c>
      <c r="S1445" s="214" t="s">
        <v>530</v>
      </c>
      <c r="T1445" s="214" t="s">
        <v>365</v>
      </c>
      <c r="U1445" s="214"/>
    </row>
    <row r="1446">
      <c r="A1446" s="221">
        <v>45965.06850043981</v>
      </c>
      <c r="B1446" s="214" t="s">
        <v>395</v>
      </c>
      <c r="C1446" s="214" t="s">
        <v>179</v>
      </c>
      <c r="D1446" s="214">
        <v>6.0</v>
      </c>
      <c r="E1446" s="214">
        <v>3.0</v>
      </c>
      <c r="F1446" s="214" t="s">
        <v>1602</v>
      </c>
      <c r="G1446" s="214" t="s">
        <v>61</v>
      </c>
      <c r="H1446" s="214" t="s">
        <v>95</v>
      </c>
      <c r="I1446" s="214"/>
      <c r="J1446" s="222" t="s">
        <v>67</v>
      </c>
      <c r="K1446" s="222">
        <v>17.5</v>
      </c>
      <c r="L1446" s="222" t="s">
        <v>67</v>
      </c>
      <c r="M1446" s="222">
        <v>50.5</v>
      </c>
      <c r="N1446" s="214">
        <v>235.0</v>
      </c>
      <c r="O1446" s="214">
        <v>196.0</v>
      </c>
      <c r="P1446" s="214">
        <v>2.0</v>
      </c>
      <c r="Q1446" s="214" t="b">
        <v>0</v>
      </c>
      <c r="R1446" s="214">
        <v>100.0</v>
      </c>
      <c r="S1446" s="214" t="s">
        <v>525</v>
      </c>
      <c r="T1446" s="214" t="s">
        <v>365</v>
      </c>
      <c r="U1446" s="214"/>
    </row>
    <row r="1447">
      <c r="A1447" s="221">
        <v>45965.06850043981</v>
      </c>
      <c r="B1447" s="214" t="s">
        <v>395</v>
      </c>
      <c r="C1447" s="214" t="s">
        <v>162</v>
      </c>
      <c r="D1447" s="214">
        <v>7.0</v>
      </c>
      <c r="E1447" s="214">
        <v>2.0</v>
      </c>
      <c r="F1447" s="214" t="s">
        <v>1592</v>
      </c>
      <c r="G1447" s="214" t="s">
        <v>61</v>
      </c>
      <c r="H1447" s="214" t="s">
        <v>43</v>
      </c>
      <c r="I1447" s="214"/>
      <c r="J1447" s="222" t="s">
        <v>67</v>
      </c>
      <c r="K1447" s="222">
        <v>-8.5</v>
      </c>
      <c r="L1447" s="222" t="s">
        <v>67</v>
      </c>
      <c r="M1447" s="222">
        <v>52.5</v>
      </c>
      <c r="N1447" s="214">
        <v>271.0</v>
      </c>
      <c r="O1447" s="214">
        <v>205.0</v>
      </c>
      <c r="P1447" s="214">
        <v>2.0</v>
      </c>
      <c r="Q1447" s="214" t="b">
        <v>1</v>
      </c>
      <c r="R1447" s="214">
        <v>100.0</v>
      </c>
      <c r="S1447" s="214" t="s">
        <v>535</v>
      </c>
      <c r="T1447" s="214" t="s">
        <v>365</v>
      </c>
      <c r="U1447" s="214"/>
    </row>
    <row r="1448">
      <c r="A1448" s="221">
        <v>45965.06850043981</v>
      </c>
      <c r="B1448" s="214" t="s">
        <v>395</v>
      </c>
      <c r="C1448" s="214" t="s">
        <v>147</v>
      </c>
      <c r="D1448" s="214">
        <v>4.0</v>
      </c>
      <c r="E1448" s="214">
        <v>5.0</v>
      </c>
      <c r="F1448" s="214" t="s">
        <v>1633</v>
      </c>
      <c r="G1448" s="214" t="s">
        <v>61</v>
      </c>
      <c r="H1448" s="214" t="s">
        <v>156</v>
      </c>
      <c r="I1448" s="214"/>
      <c r="J1448" s="222" t="s">
        <v>67</v>
      </c>
      <c r="K1448" s="222">
        <v>13.5</v>
      </c>
      <c r="L1448" s="222" t="s">
        <v>67</v>
      </c>
      <c r="M1448" s="222">
        <v>62.5</v>
      </c>
      <c r="N1448" s="214">
        <v>264.0</v>
      </c>
      <c r="O1448" s="214">
        <v>280.0</v>
      </c>
      <c r="P1448" s="214">
        <v>2.0</v>
      </c>
      <c r="Q1448" s="214" t="b">
        <v>0</v>
      </c>
      <c r="R1448" s="214">
        <v>100.0</v>
      </c>
      <c r="S1448" s="214" t="s">
        <v>407</v>
      </c>
      <c r="T1448" s="214" t="s">
        <v>321</v>
      </c>
      <c r="U1448" s="214"/>
    </row>
    <row r="1449">
      <c r="A1449" s="221">
        <v>45965.06850043981</v>
      </c>
      <c r="B1449" s="214" t="s">
        <v>395</v>
      </c>
      <c r="C1449" s="214" t="s">
        <v>213</v>
      </c>
      <c r="D1449" s="214">
        <v>7.0</v>
      </c>
      <c r="E1449" s="214">
        <v>2.0</v>
      </c>
      <c r="F1449" s="214" t="s">
        <v>1639</v>
      </c>
      <c r="G1449" s="214" t="s">
        <v>61</v>
      </c>
      <c r="H1449" s="214" t="s">
        <v>132</v>
      </c>
      <c r="I1449" s="214"/>
      <c r="J1449" s="222" t="s">
        <v>67</v>
      </c>
      <c r="K1449" s="222">
        <v>2.5</v>
      </c>
      <c r="L1449" s="222" t="s">
        <v>67</v>
      </c>
      <c r="M1449" s="222">
        <v>46.5</v>
      </c>
      <c r="N1449" s="214">
        <v>338.0</v>
      </c>
      <c r="O1449" s="214">
        <v>184.0</v>
      </c>
      <c r="P1449" s="214">
        <v>2.0</v>
      </c>
      <c r="Q1449" s="214" t="b">
        <v>0</v>
      </c>
      <c r="R1449" s="214">
        <v>100.0</v>
      </c>
      <c r="S1449" s="214" t="s">
        <v>556</v>
      </c>
      <c r="T1449" s="214" t="s">
        <v>321</v>
      </c>
      <c r="U1449" s="214"/>
    </row>
    <row r="1450">
      <c r="A1450" s="221">
        <v>45965.06850043981</v>
      </c>
      <c r="B1450" s="214" t="s">
        <v>395</v>
      </c>
      <c r="C1450" s="214" t="s">
        <v>101</v>
      </c>
      <c r="D1450" s="214">
        <v>7.0</v>
      </c>
      <c r="E1450" s="214">
        <v>2.0</v>
      </c>
      <c r="F1450" s="214" t="s">
        <v>1640</v>
      </c>
      <c r="G1450" s="214" t="s">
        <v>61</v>
      </c>
      <c r="H1450" s="214" t="s">
        <v>132</v>
      </c>
      <c r="I1450" s="214"/>
      <c r="J1450" s="222" t="s">
        <v>67</v>
      </c>
      <c r="K1450" s="222">
        <v>-13.5</v>
      </c>
      <c r="L1450" s="222" t="s">
        <v>67</v>
      </c>
      <c r="M1450" s="222">
        <v>48.5</v>
      </c>
      <c r="N1450" s="214">
        <v>265.0</v>
      </c>
      <c r="O1450" s="214">
        <v>194.0</v>
      </c>
      <c r="P1450" s="214">
        <v>2.0</v>
      </c>
      <c r="Q1450" s="214" t="b">
        <v>0</v>
      </c>
      <c r="R1450" s="214">
        <v>100.0</v>
      </c>
      <c r="S1450" s="214" t="s">
        <v>471</v>
      </c>
      <c r="T1450" s="214" t="s">
        <v>321</v>
      </c>
      <c r="U1450" s="214"/>
    </row>
    <row r="1451">
      <c r="A1451" s="221">
        <v>45965.06850043981</v>
      </c>
      <c r="B1451" s="214" t="s">
        <v>395</v>
      </c>
      <c r="C1451" s="214" t="s">
        <v>99</v>
      </c>
      <c r="D1451" s="214">
        <v>6.0</v>
      </c>
      <c r="E1451" s="214">
        <v>3.0</v>
      </c>
      <c r="F1451" s="214" t="s">
        <v>1609</v>
      </c>
      <c r="G1451" s="214" t="s">
        <v>61</v>
      </c>
      <c r="H1451" s="214" t="s">
        <v>62</v>
      </c>
      <c r="I1451" s="214"/>
      <c r="J1451" s="222" t="s">
        <v>67</v>
      </c>
      <c r="K1451" s="222">
        <v>-11.5</v>
      </c>
      <c r="L1451" s="222" t="s">
        <v>67</v>
      </c>
      <c r="M1451" s="222">
        <v>63.5</v>
      </c>
      <c r="N1451" s="214">
        <v>332.0</v>
      </c>
      <c r="O1451" s="214">
        <v>215.0</v>
      </c>
      <c r="P1451" s="214">
        <v>2.0</v>
      </c>
      <c r="Q1451" s="214" t="b">
        <v>0</v>
      </c>
      <c r="R1451" s="214">
        <v>100.0</v>
      </c>
      <c r="S1451" s="214" t="s">
        <v>725</v>
      </c>
      <c r="T1451" s="214"/>
      <c r="U1451" s="214"/>
    </row>
    <row r="1452">
      <c r="A1452" s="221">
        <v>45965.06850043981</v>
      </c>
      <c r="B1452" s="214" t="s">
        <v>395</v>
      </c>
      <c r="C1452" s="214" t="s">
        <v>225</v>
      </c>
      <c r="D1452" s="214">
        <v>4.0</v>
      </c>
      <c r="E1452" s="214">
        <v>4.0</v>
      </c>
      <c r="F1452" s="214" t="s">
        <v>1595</v>
      </c>
      <c r="G1452" s="214" t="s">
        <v>61</v>
      </c>
      <c r="H1452" s="214" t="s">
        <v>43</v>
      </c>
      <c r="I1452" s="214"/>
      <c r="J1452" s="222" t="s">
        <v>67</v>
      </c>
      <c r="K1452" s="222">
        <v>1.5</v>
      </c>
      <c r="L1452" s="222" t="s">
        <v>67</v>
      </c>
      <c r="M1452" s="222">
        <v>48.5</v>
      </c>
      <c r="N1452" s="214">
        <v>187.0</v>
      </c>
      <c r="O1452" s="214">
        <v>185.0</v>
      </c>
      <c r="P1452" s="214">
        <v>2.0</v>
      </c>
      <c r="Q1452" s="214" t="b">
        <v>1</v>
      </c>
      <c r="R1452" s="214">
        <v>100.0</v>
      </c>
      <c r="S1452" s="214" t="s">
        <v>361</v>
      </c>
      <c r="T1452" s="214" t="s">
        <v>365</v>
      </c>
      <c r="U1452" s="214"/>
    </row>
    <row r="1453">
      <c r="A1453" s="221">
        <v>45965.06850043981</v>
      </c>
      <c r="B1453" s="214" t="s">
        <v>395</v>
      </c>
      <c r="C1453" s="214" t="s">
        <v>231</v>
      </c>
      <c r="D1453" s="214">
        <v>7.0</v>
      </c>
      <c r="E1453" s="214">
        <v>1.0</v>
      </c>
      <c r="F1453" s="214" t="s">
        <v>1604</v>
      </c>
      <c r="G1453" s="214" t="s">
        <v>61</v>
      </c>
      <c r="H1453" s="214" t="s">
        <v>95</v>
      </c>
      <c r="I1453" s="214"/>
      <c r="J1453" s="222" t="s">
        <v>67</v>
      </c>
      <c r="K1453" s="222">
        <v>-7.5</v>
      </c>
      <c r="L1453" s="222" t="s">
        <v>67</v>
      </c>
      <c r="M1453" s="222">
        <v>55.5</v>
      </c>
      <c r="N1453" s="214">
        <v>278.0</v>
      </c>
      <c r="O1453" s="214">
        <v>129.0</v>
      </c>
      <c r="P1453" s="214">
        <v>2.0</v>
      </c>
      <c r="Q1453" s="214" t="b">
        <v>0</v>
      </c>
      <c r="R1453" s="214">
        <v>100.0</v>
      </c>
      <c r="S1453" s="214" t="s">
        <v>441</v>
      </c>
      <c r="T1453" s="214" t="s">
        <v>365</v>
      </c>
      <c r="U1453" s="214"/>
    </row>
    <row r="1454">
      <c r="A1454" s="221">
        <v>45965.06850043981</v>
      </c>
      <c r="B1454" s="214"/>
      <c r="C1454" s="214"/>
      <c r="D1454" s="214"/>
      <c r="E1454" s="214"/>
      <c r="F1454" s="214"/>
      <c r="G1454" s="214"/>
      <c r="H1454" s="214"/>
      <c r="I1454" s="214"/>
      <c r="J1454" s="222"/>
      <c r="K1454" s="222"/>
      <c r="L1454" s="222"/>
      <c r="M1454" s="222"/>
      <c r="N1454" s="214"/>
      <c r="O1454" s="214"/>
      <c r="P1454" s="214"/>
      <c r="Q1454" s="214"/>
      <c r="R1454" s="214"/>
      <c r="S1454" s="214"/>
      <c r="T1454" s="214"/>
      <c r="U1454" s="214"/>
    </row>
    <row r="1455">
      <c r="A1455" s="221">
        <v>45965.06850043981</v>
      </c>
      <c r="B1455" s="214" t="s">
        <v>132</v>
      </c>
      <c r="C1455" s="214" t="s">
        <v>215</v>
      </c>
      <c r="D1455" s="214">
        <v>5.0</v>
      </c>
      <c r="E1455" s="214">
        <v>4.0</v>
      </c>
      <c r="F1455" s="214" t="s">
        <v>1628</v>
      </c>
      <c r="G1455" s="214" t="s">
        <v>61</v>
      </c>
      <c r="H1455" s="214" t="s">
        <v>96</v>
      </c>
      <c r="I1455" s="214"/>
      <c r="J1455" s="222" t="s">
        <v>67</v>
      </c>
      <c r="K1455" s="222">
        <v>7.5</v>
      </c>
      <c r="L1455" s="222" t="s">
        <v>67</v>
      </c>
      <c r="M1455" s="222">
        <v>52.5</v>
      </c>
      <c r="N1455" s="214">
        <v>212.0</v>
      </c>
      <c r="O1455" s="214">
        <v>238.0</v>
      </c>
      <c r="P1455" s="214">
        <v>2.0</v>
      </c>
      <c r="Q1455" s="214" t="b">
        <v>1</v>
      </c>
      <c r="R1455" s="214">
        <v>100.0</v>
      </c>
      <c r="S1455" s="214" t="s">
        <v>441</v>
      </c>
      <c r="T1455" s="214" t="s">
        <v>365</v>
      </c>
      <c r="U1455" s="214"/>
    </row>
    <row r="1456">
      <c r="A1456" s="221">
        <v>45965.06850043981</v>
      </c>
      <c r="B1456" s="214" t="s">
        <v>132</v>
      </c>
      <c r="C1456" s="214" t="s">
        <v>187</v>
      </c>
      <c r="D1456" s="214">
        <v>4.0</v>
      </c>
      <c r="E1456" s="214">
        <v>5.0</v>
      </c>
      <c r="F1456" s="214" t="s">
        <v>1635</v>
      </c>
      <c r="G1456" s="214" t="s">
        <v>61</v>
      </c>
      <c r="H1456" s="214" t="s">
        <v>249</v>
      </c>
      <c r="I1456" s="214"/>
      <c r="J1456" s="222" t="s">
        <v>67</v>
      </c>
      <c r="K1456" s="222">
        <v>10.5</v>
      </c>
      <c r="L1456" s="222" t="s">
        <v>67</v>
      </c>
      <c r="M1456" s="222">
        <v>41.5</v>
      </c>
      <c r="N1456" s="214">
        <v>175.0</v>
      </c>
      <c r="O1456" s="214">
        <v>182.0</v>
      </c>
      <c r="P1456" s="214">
        <v>2.0</v>
      </c>
      <c r="Q1456" s="214" t="b">
        <v>1</v>
      </c>
      <c r="R1456" s="214">
        <v>100.0</v>
      </c>
      <c r="S1456" s="214" t="s">
        <v>525</v>
      </c>
      <c r="T1456" s="214" t="s">
        <v>365</v>
      </c>
      <c r="U1456" s="214"/>
    </row>
    <row r="1457">
      <c r="A1457" s="221">
        <v>45965.06850043981</v>
      </c>
      <c r="B1457" s="214" t="s">
        <v>132</v>
      </c>
      <c r="C1457" s="214" t="s">
        <v>210</v>
      </c>
      <c r="D1457" s="214">
        <v>3.0</v>
      </c>
      <c r="E1457" s="214">
        <v>6.0</v>
      </c>
      <c r="F1457" s="214" t="s">
        <v>1636</v>
      </c>
      <c r="G1457" s="214" t="s">
        <v>61</v>
      </c>
      <c r="H1457" s="214" t="s">
        <v>249</v>
      </c>
      <c r="I1457" s="214"/>
      <c r="J1457" s="222" t="s">
        <v>67</v>
      </c>
      <c r="K1457" s="222">
        <v>12.5</v>
      </c>
      <c r="L1457" s="222" t="s">
        <v>67</v>
      </c>
      <c r="M1457" s="222">
        <v>55.5</v>
      </c>
      <c r="N1457" s="214">
        <v>177.0</v>
      </c>
      <c r="O1457" s="214">
        <v>199.0</v>
      </c>
      <c r="P1457" s="214">
        <v>2.0</v>
      </c>
      <c r="Q1457" s="214" t="b">
        <v>0</v>
      </c>
      <c r="R1457" s="214">
        <v>100.0</v>
      </c>
      <c r="S1457" s="214" t="s">
        <v>556</v>
      </c>
      <c r="T1457" s="214" t="s">
        <v>321</v>
      </c>
      <c r="U1457" s="214"/>
    </row>
    <row r="1458">
      <c r="A1458" s="221">
        <v>45965.06850043981</v>
      </c>
      <c r="B1458" s="214" t="s">
        <v>132</v>
      </c>
      <c r="C1458" s="214" t="s">
        <v>168</v>
      </c>
      <c r="D1458" s="214">
        <v>5.0</v>
      </c>
      <c r="E1458" s="214">
        <v>4.0</v>
      </c>
      <c r="F1458" s="214" t="s">
        <v>1638</v>
      </c>
      <c r="G1458" s="214" t="s">
        <v>61</v>
      </c>
      <c r="H1458" s="214" t="s">
        <v>395</v>
      </c>
      <c r="I1458" s="214"/>
      <c r="J1458" s="222" t="s">
        <v>67</v>
      </c>
      <c r="K1458" s="222">
        <v>5.5</v>
      </c>
      <c r="L1458" s="222" t="s">
        <v>67</v>
      </c>
      <c r="M1458" s="222">
        <v>42.5</v>
      </c>
      <c r="N1458" s="214">
        <v>217.0</v>
      </c>
      <c r="O1458" s="214">
        <v>216.0</v>
      </c>
      <c r="P1458" s="214">
        <v>2.0</v>
      </c>
      <c r="Q1458" s="214" t="b">
        <v>0</v>
      </c>
      <c r="R1458" s="214">
        <v>100.0</v>
      </c>
      <c r="S1458" s="214" t="s">
        <v>530</v>
      </c>
      <c r="T1458" s="214" t="s">
        <v>365</v>
      </c>
      <c r="U1458" s="214"/>
    </row>
    <row r="1459">
      <c r="A1459" s="221">
        <v>45965.06850043981</v>
      </c>
      <c r="B1459" s="214" t="s">
        <v>132</v>
      </c>
      <c r="C1459" s="214" t="s">
        <v>136</v>
      </c>
      <c r="D1459" s="214">
        <v>9.0</v>
      </c>
      <c r="E1459" s="214">
        <v>0.0</v>
      </c>
      <c r="F1459" s="214" t="s">
        <v>1641</v>
      </c>
      <c r="G1459" s="214" t="s">
        <v>61</v>
      </c>
      <c r="H1459" s="214" t="s">
        <v>493</v>
      </c>
      <c r="I1459" s="214"/>
      <c r="J1459" s="222" t="s">
        <v>67</v>
      </c>
      <c r="K1459" s="222">
        <v>-21.0</v>
      </c>
      <c r="L1459" s="222" t="s">
        <v>67</v>
      </c>
      <c r="M1459" s="222">
        <v>50.5</v>
      </c>
      <c r="N1459" s="214">
        <v>418.0</v>
      </c>
      <c r="O1459" s="214">
        <v>97.0</v>
      </c>
      <c r="P1459" s="214">
        <v>2.0</v>
      </c>
      <c r="Q1459" s="214" t="b">
        <v>1</v>
      </c>
      <c r="R1459" s="214">
        <v>100.0</v>
      </c>
      <c r="S1459" s="214" t="s">
        <v>407</v>
      </c>
      <c r="T1459" s="214" t="s">
        <v>321</v>
      </c>
      <c r="U1459" s="214"/>
    </row>
    <row r="1460">
      <c r="A1460" s="221">
        <v>45965.06850043981</v>
      </c>
      <c r="B1460" s="214" t="s">
        <v>132</v>
      </c>
      <c r="C1460" s="214" t="s">
        <v>115</v>
      </c>
      <c r="D1460" s="214">
        <v>7.0</v>
      </c>
      <c r="E1460" s="214">
        <v>1.0</v>
      </c>
      <c r="F1460" s="214" t="s">
        <v>1617</v>
      </c>
      <c r="G1460" s="214" t="s">
        <v>61</v>
      </c>
      <c r="H1460" s="214" t="s">
        <v>311</v>
      </c>
      <c r="I1460" s="214"/>
      <c r="J1460" s="222" t="s">
        <v>67</v>
      </c>
      <c r="K1460" s="222">
        <v>-10.5</v>
      </c>
      <c r="L1460" s="222" t="s">
        <v>67</v>
      </c>
      <c r="M1460" s="222">
        <v>53.5</v>
      </c>
      <c r="N1460" s="214">
        <v>270.0</v>
      </c>
      <c r="O1460" s="214">
        <v>166.0</v>
      </c>
      <c r="P1460" s="214">
        <v>2.0</v>
      </c>
      <c r="Q1460" s="214" t="b">
        <v>1</v>
      </c>
      <c r="R1460" s="214">
        <v>100.0</v>
      </c>
      <c r="S1460" s="214" t="s">
        <v>317</v>
      </c>
      <c r="T1460" s="214" t="s">
        <v>321</v>
      </c>
      <c r="U1460" s="214"/>
    </row>
    <row r="1461">
      <c r="A1461" s="221">
        <v>45965.06850043981</v>
      </c>
      <c r="B1461" s="214" t="s">
        <v>132</v>
      </c>
      <c r="C1461" s="214" t="s">
        <v>131</v>
      </c>
      <c r="D1461" s="214">
        <v>7.0</v>
      </c>
      <c r="E1461" s="214">
        <v>2.0</v>
      </c>
      <c r="F1461" s="214" t="s">
        <v>1639</v>
      </c>
      <c r="G1461" s="214" t="s">
        <v>61</v>
      </c>
      <c r="H1461" s="214" t="s">
        <v>395</v>
      </c>
      <c r="I1461" s="214"/>
      <c r="J1461" s="222" t="s">
        <v>67</v>
      </c>
      <c r="K1461" s="222">
        <v>-2.5</v>
      </c>
      <c r="L1461" s="222" t="s">
        <v>67</v>
      </c>
      <c r="M1461" s="222">
        <v>46.5</v>
      </c>
      <c r="N1461" s="214">
        <v>266.0</v>
      </c>
      <c r="O1461" s="214">
        <v>148.0</v>
      </c>
      <c r="P1461" s="214">
        <v>2.0</v>
      </c>
      <c r="Q1461" s="214" t="b">
        <v>1</v>
      </c>
      <c r="R1461" s="214">
        <v>100.0</v>
      </c>
      <c r="S1461" s="214" t="s">
        <v>556</v>
      </c>
      <c r="T1461" s="214" t="s">
        <v>321</v>
      </c>
      <c r="U1461" s="214"/>
    </row>
    <row r="1462">
      <c r="A1462" s="221">
        <v>45965.06850043981</v>
      </c>
      <c r="B1462" s="214" t="s">
        <v>132</v>
      </c>
      <c r="C1462" s="214" t="s">
        <v>134</v>
      </c>
      <c r="D1462" s="214">
        <v>3.0</v>
      </c>
      <c r="E1462" s="214">
        <v>6.0</v>
      </c>
      <c r="F1462" s="214" t="s">
        <v>1640</v>
      </c>
      <c r="G1462" s="214" t="s">
        <v>61</v>
      </c>
      <c r="H1462" s="214" t="s">
        <v>395</v>
      </c>
      <c r="I1462" s="214"/>
      <c r="J1462" s="222" t="s">
        <v>67</v>
      </c>
      <c r="K1462" s="222">
        <v>13.5</v>
      </c>
      <c r="L1462" s="222" t="s">
        <v>67</v>
      </c>
      <c r="M1462" s="222">
        <v>48.5</v>
      </c>
      <c r="N1462" s="214">
        <v>209.0</v>
      </c>
      <c r="O1462" s="214">
        <v>274.0</v>
      </c>
      <c r="P1462" s="214">
        <v>2.0</v>
      </c>
      <c r="Q1462" s="214" t="b">
        <v>1</v>
      </c>
      <c r="R1462" s="214">
        <v>100.0</v>
      </c>
      <c r="S1462" s="214" t="s">
        <v>471</v>
      </c>
      <c r="T1462" s="214" t="s">
        <v>321</v>
      </c>
      <c r="U1462" s="214"/>
    </row>
    <row r="1463">
      <c r="A1463" s="221">
        <v>45965.06850043981</v>
      </c>
      <c r="B1463" s="214" t="s">
        <v>132</v>
      </c>
      <c r="C1463" s="214" t="s">
        <v>107</v>
      </c>
      <c r="D1463" s="214">
        <v>6.0</v>
      </c>
      <c r="E1463" s="214">
        <v>2.0</v>
      </c>
      <c r="F1463" s="214" t="s">
        <v>1619</v>
      </c>
      <c r="G1463" s="214" t="s">
        <v>61</v>
      </c>
      <c r="H1463" s="214" t="s">
        <v>311</v>
      </c>
      <c r="I1463" s="214"/>
      <c r="J1463" s="222" t="s">
        <v>67</v>
      </c>
      <c r="K1463" s="222">
        <v>-5.5</v>
      </c>
      <c r="L1463" s="222" t="s">
        <v>67</v>
      </c>
      <c r="M1463" s="222">
        <v>54.5</v>
      </c>
      <c r="N1463" s="214">
        <v>207.0</v>
      </c>
      <c r="O1463" s="214">
        <v>204.0</v>
      </c>
      <c r="P1463" s="214">
        <v>2.0</v>
      </c>
      <c r="Q1463" s="214" t="b">
        <v>1</v>
      </c>
      <c r="R1463" s="214">
        <v>100.0</v>
      </c>
      <c r="S1463" s="214" t="s">
        <v>361</v>
      </c>
      <c r="T1463" s="214" t="s">
        <v>365</v>
      </c>
      <c r="U1463" s="214"/>
    </row>
    <row r="1464">
      <c r="A1464" s="221">
        <v>45965.06850043981</v>
      </c>
      <c r="B1464" s="214" t="s">
        <v>132</v>
      </c>
      <c r="C1464" s="214" t="s">
        <v>545</v>
      </c>
      <c r="D1464" s="214">
        <v>3.0</v>
      </c>
      <c r="E1464" s="214">
        <v>5.0</v>
      </c>
      <c r="F1464" s="214" t="s">
        <v>1614</v>
      </c>
      <c r="G1464" s="214" t="s">
        <v>61</v>
      </c>
      <c r="H1464" s="214" t="s">
        <v>193</v>
      </c>
      <c r="I1464" s="214"/>
      <c r="J1464" s="222" t="s">
        <v>67</v>
      </c>
      <c r="K1464" s="222">
        <v>3.5</v>
      </c>
      <c r="L1464" s="222" t="s">
        <v>67</v>
      </c>
      <c r="M1464" s="222">
        <v>50.5</v>
      </c>
      <c r="N1464" s="214">
        <v>178.0</v>
      </c>
      <c r="O1464" s="214">
        <v>239.0</v>
      </c>
      <c r="P1464" s="214">
        <v>2.0</v>
      </c>
      <c r="Q1464" s="214" t="b">
        <v>0</v>
      </c>
      <c r="R1464" s="214">
        <v>100.0</v>
      </c>
      <c r="S1464" s="214" t="s">
        <v>535</v>
      </c>
      <c r="T1464" s="214" t="s">
        <v>365</v>
      </c>
      <c r="U1464" s="214"/>
    </row>
    <row r="1465">
      <c r="A1465" s="221">
        <v>45965.06850043981</v>
      </c>
      <c r="B1465" s="214"/>
      <c r="C1465" s="214"/>
      <c r="D1465" s="214"/>
      <c r="E1465" s="214"/>
      <c r="F1465" s="214"/>
      <c r="G1465" s="214"/>
      <c r="H1465" s="214"/>
      <c r="I1465" s="214"/>
      <c r="J1465" s="222"/>
      <c r="K1465" s="222"/>
      <c r="L1465" s="222"/>
      <c r="M1465" s="222"/>
      <c r="N1465" s="214"/>
      <c r="O1465" s="214"/>
      <c r="P1465" s="214"/>
      <c r="Q1465" s="214"/>
      <c r="R1465" s="214"/>
      <c r="S1465" s="214"/>
      <c r="T1465" s="214"/>
      <c r="U1465" s="214"/>
    </row>
    <row r="1466">
      <c r="A1466" s="221">
        <v>45965.06850043981</v>
      </c>
      <c r="B1466" s="214" t="s">
        <v>493</v>
      </c>
      <c r="C1466" s="214" t="s">
        <v>143</v>
      </c>
      <c r="D1466" s="214">
        <v>5.0</v>
      </c>
      <c r="E1466" s="214">
        <v>3.0</v>
      </c>
      <c r="F1466" s="214"/>
      <c r="G1466" s="214"/>
      <c r="H1466" s="214"/>
      <c r="I1466" s="214"/>
      <c r="J1466" s="222"/>
      <c r="K1466" s="222"/>
      <c r="L1466" s="222"/>
      <c r="M1466" s="222"/>
      <c r="N1466" s="214">
        <v>180.0</v>
      </c>
      <c r="O1466" s="214">
        <v>134.0</v>
      </c>
      <c r="P1466" s="214">
        <v>0.0</v>
      </c>
      <c r="Q1466" s="214" t="b">
        <v>1</v>
      </c>
      <c r="R1466" s="214">
        <v>59.0</v>
      </c>
      <c r="S1466" s="214" t="s">
        <v>407</v>
      </c>
      <c r="T1466" s="214" t="s">
        <v>321</v>
      </c>
      <c r="U1466" s="214"/>
    </row>
    <row r="1467">
      <c r="A1467" s="221">
        <v>45965.06850043981</v>
      </c>
      <c r="B1467" s="214" t="s">
        <v>493</v>
      </c>
      <c r="C1467" s="214" t="s">
        <v>108</v>
      </c>
      <c r="D1467" s="214">
        <v>2.0</v>
      </c>
      <c r="E1467" s="214">
        <v>6.0</v>
      </c>
      <c r="F1467" s="214"/>
      <c r="G1467" s="214"/>
      <c r="H1467" s="214"/>
      <c r="I1467" s="214"/>
      <c r="J1467" s="222"/>
      <c r="K1467" s="222"/>
      <c r="L1467" s="222"/>
      <c r="M1467" s="222"/>
      <c r="N1467" s="214">
        <v>176.0</v>
      </c>
      <c r="O1467" s="214">
        <v>237.0</v>
      </c>
      <c r="P1467" s="214">
        <v>0.0</v>
      </c>
      <c r="Q1467" s="214" t="b">
        <v>1</v>
      </c>
      <c r="R1467" s="214">
        <v>59.0</v>
      </c>
      <c r="S1467" s="214" t="s">
        <v>361</v>
      </c>
      <c r="T1467" s="214" t="s">
        <v>365</v>
      </c>
      <c r="U1467" s="214"/>
    </row>
    <row r="1468">
      <c r="A1468" s="221">
        <v>45965.06850043981</v>
      </c>
      <c r="B1468" s="214" t="s">
        <v>493</v>
      </c>
      <c r="C1468" s="214" t="s">
        <v>188</v>
      </c>
      <c r="D1468" s="214">
        <v>5.0</v>
      </c>
      <c r="E1468" s="214">
        <v>3.0</v>
      </c>
      <c r="F1468" s="214" t="s">
        <v>1621</v>
      </c>
      <c r="G1468" s="214" t="s">
        <v>61</v>
      </c>
      <c r="H1468" s="214" t="s">
        <v>224</v>
      </c>
      <c r="I1468" s="214"/>
      <c r="J1468" s="222" t="s">
        <v>67</v>
      </c>
      <c r="K1468" s="222">
        <v>-3.5</v>
      </c>
      <c r="L1468" s="222" t="s">
        <v>67</v>
      </c>
      <c r="M1468" s="222">
        <v>53.5</v>
      </c>
      <c r="N1468" s="214">
        <v>273.0</v>
      </c>
      <c r="O1468" s="214">
        <v>159.0</v>
      </c>
      <c r="P1468" s="214">
        <v>2.0</v>
      </c>
      <c r="Q1468" s="214" t="b">
        <v>0</v>
      </c>
      <c r="R1468" s="214">
        <v>100.0</v>
      </c>
      <c r="S1468" s="214" t="s">
        <v>471</v>
      </c>
      <c r="T1468" s="214" t="s">
        <v>321</v>
      </c>
      <c r="U1468" s="214"/>
    </row>
    <row r="1469">
      <c r="A1469" s="221">
        <v>45965.06850043981</v>
      </c>
      <c r="B1469" s="214" t="s">
        <v>493</v>
      </c>
      <c r="C1469" s="214" t="s">
        <v>123</v>
      </c>
      <c r="D1469" s="214">
        <v>5.0</v>
      </c>
      <c r="E1469" s="214">
        <v>3.0</v>
      </c>
      <c r="F1469" s="214" t="s">
        <v>1622</v>
      </c>
      <c r="G1469" s="214" t="s">
        <v>61</v>
      </c>
      <c r="H1469" s="214" t="s">
        <v>224</v>
      </c>
      <c r="I1469" s="214"/>
      <c r="J1469" s="222" t="s">
        <v>67</v>
      </c>
      <c r="K1469" s="222">
        <v>9.5</v>
      </c>
      <c r="L1469" s="222" t="s">
        <v>67</v>
      </c>
      <c r="M1469" s="222">
        <v>51.5</v>
      </c>
      <c r="N1469" s="214">
        <v>194.0</v>
      </c>
      <c r="O1469" s="214">
        <v>174.0</v>
      </c>
      <c r="P1469" s="214">
        <v>2.0</v>
      </c>
      <c r="Q1469" s="214" t="b">
        <v>1</v>
      </c>
      <c r="R1469" s="214">
        <v>100.0</v>
      </c>
      <c r="S1469" s="214" t="s">
        <v>317</v>
      </c>
      <c r="T1469" s="214" t="s">
        <v>321</v>
      </c>
      <c r="U1469" s="214"/>
    </row>
    <row r="1470">
      <c r="A1470" s="221">
        <v>45965.06850043981</v>
      </c>
      <c r="B1470" s="214" t="s">
        <v>493</v>
      </c>
      <c r="C1470" s="214" t="s">
        <v>146</v>
      </c>
      <c r="D1470" s="214">
        <v>2.0</v>
      </c>
      <c r="E1470" s="214">
        <v>7.0</v>
      </c>
      <c r="F1470" s="214" t="s">
        <v>1616</v>
      </c>
      <c r="G1470" s="214" t="s">
        <v>61</v>
      </c>
      <c r="H1470" s="214" t="s">
        <v>311</v>
      </c>
      <c r="I1470" s="214"/>
      <c r="J1470" s="222" t="s">
        <v>67</v>
      </c>
      <c r="K1470" s="222">
        <v>21.5</v>
      </c>
      <c r="L1470" s="222" t="s">
        <v>67</v>
      </c>
      <c r="M1470" s="222">
        <v>49.5</v>
      </c>
      <c r="N1470" s="214">
        <v>199.0</v>
      </c>
      <c r="O1470" s="214">
        <v>243.0</v>
      </c>
      <c r="P1470" s="214">
        <v>2.0</v>
      </c>
      <c r="Q1470" s="214" t="b">
        <v>0</v>
      </c>
      <c r="R1470" s="214">
        <v>100.0</v>
      </c>
      <c r="S1470" s="214" t="s">
        <v>407</v>
      </c>
      <c r="T1470" s="214" t="s">
        <v>321</v>
      </c>
      <c r="U1470" s="214"/>
    </row>
    <row r="1471">
      <c r="A1471" s="221">
        <v>45965.06850043981</v>
      </c>
      <c r="B1471" s="214" t="s">
        <v>493</v>
      </c>
      <c r="C1471" s="214" t="s">
        <v>195</v>
      </c>
      <c r="D1471" s="214">
        <v>3.0</v>
      </c>
      <c r="E1471" s="214">
        <v>6.0</v>
      </c>
      <c r="F1471" s="214" t="s">
        <v>1631</v>
      </c>
      <c r="G1471" s="214" t="s">
        <v>61</v>
      </c>
      <c r="H1471" s="214" t="s">
        <v>238</v>
      </c>
      <c r="I1471" s="214"/>
      <c r="J1471" s="222" t="s">
        <v>67</v>
      </c>
      <c r="K1471" s="222">
        <v>14.5</v>
      </c>
      <c r="L1471" s="222" t="s">
        <v>67</v>
      </c>
      <c r="M1471" s="222">
        <v>51.5</v>
      </c>
      <c r="N1471" s="214">
        <v>160.0</v>
      </c>
      <c r="O1471" s="214">
        <v>271.0</v>
      </c>
      <c r="P1471" s="214">
        <v>2.0</v>
      </c>
      <c r="Q1471" s="214" t="b">
        <v>0</v>
      </c>
      <c r="R1471" s="214">
        <v>100.0</v>
      </c>
      <c r="S1471" s="214" t="s">
        <v>317</v>
      </c>
      <c r="T1471" s="214" t="s">
        <v>321</v>
      </c>
      <c r="U1471" s="214"/>
    </row>
    <row r="1472">
      <c r="A1472" s="221">
        <v>45965.06850043981</v>
      </c>
      <c r="B1472" s="214" t="s">
        <v>493</v>
      </c>
      <c r="C1472" s="214" t="s">
        <v>110</v>
      </c>
      <c r="D1472" s="214">
        <v>1.0</v>
      </c>
      <c r="E1472" s="214">
        <v>8.0</v>
      </c>
      <c r="F1472" s="214" t="s">
        <v>1629</v>
      </c>
      <c r="G1472" s="214" t="s">
        <v>61</v>
      </c>
      <c r="H1472" s="214" t="s">
        <v>96</v>
      </c>
      <c r="I1472" s="214"/>
      <c r="J1472" s="222" t="s">
        <v>67</v>
      </c>
      <c r="K1472" s="222">
        <v>28.5</v>
      </c>
      <c r="L1472" s="222" t="s">
        <v>67</v>
      </c>
      <c r="M1472" s="222">
        <v>56.5</v>
      </c>
      <c r="N1472" s="214">
        <v>224.0</v>
      </c>
      <c r="O1472" s="214">
        <v>300.0</v>
      </c>
      <c r="P1472" s="214">
        <v>2.0</v>
      </c>
      <c r="Q1472" s="214" t="b">
        <v>1</v>
      </c>
      <c r="R1472" s="214">
        <v>100.0</v>
      </c>
      <c r="S1472" s="214" t="s">
        <v>317</v>
      </c>
      <c r="T1472" s="214" t="s">
        <v>321</v>
      </c>
      <c r="U1472" s="214"/>
    </row>
    <row r="1473">
      <c r="A1473" s="221">
        <v>45965.06850043981</v>
      </c>
      <c r="B1473" s="214" t="s">
        <v>493</v>
      </c>
      <c r="C1473" s="214" t="s">
        <v>138</v>
      </c>
      <c r="D1473" s="214">
        <v>4.0</v>
      </c>
      <c r="E1473" s="214">
        <v>4.0</v>
      </c>
      <c r="F1473" s="214" t="s">
        <v>1641</v>
      </c>
      <c r="G1473" s="214" t="s">
        <v>61</v>
      </c>
      <c r="H1473" s="214" t="s">
        <v>132</v>
      </c>
      <c r="I1473" s="214"/>
      <c r="J1473" s="222" t="s">
        <v>67</v>
      </c>
      <c r="K1473" s="222">
        <v>21.0</v>
      </c>
      <c r="L1473" s="222" t="s">
        <v>67</v>
      </c>
      <c r="M1473" s="222">
        <v>50.5</v>
      </c>
      <c r="N1473" s="214">
        <v>208.0</v>
      </c>
      <c r="O1473" s="214">
        <v>176.0</v>
      </c>
      <c r="P1473" s="214">
        <v>2.0</v>
      </c>
      <c r="Q1473" s="214" t="b">
        <v>0</v>
      </c>
      <c r="R1473" s="214">
        <v>100.0</v>
      </c>
      <c r="S1473" s="214" t="s">
        <v>407</v>
      </c>
      <c r="T1473" s="214" t="s">
        <v>321</v>
      </c>
      <c r="U1473" s="214"/>
    </row>
    <row r="1474">
      <c r="A1474" s="221">
        <v>45965.06850043981</v>
      </c>
      <c r="B1474" s="214" t="s">
        <v>493</v>
      </c>
      <c r="C1474" s="214" t="s">
        <v>106</v>
      </c>
      <c r="D1474" s="214">
        <v>5.0</v>
      </c>
      <c r="E1474" s="214">
        <v>4.0</v>
      </c>
      <c r="F1474" s="214" t="s">
        <v>1603</v>
      </c>
      <c r="G1474" s="214" t="s">
        <v>61</v>
      </c>
      <c r="H1474" s="214" t="s">
        <v>95</v>
      </c>
      <c r="I1474" s="214"/>
      <c r="J1474" s="222" t="s">
        <v>67</v>
      </c>
      <c r="K1474" s="222">
        <v>4.5</v>
      </c>
      <c r="L1474" s="222" t="s">
        <v>67</v>
      </c>
      <c r="M1474" s="222">
        <v>57.5</v>
      </c>
      <c r="N1474" s="214">
        <v>283.0</v>
      </c>
      <c r="O1474" s="214">
        <v>253.0</v>
      </c>
      <c r="P1474" s="214">
        <v>2.0</v>
      </c>
      <c r="Q1474" s="214" t="b">
        <v>0</v>
      </c>
      <c r="R1474" s="214">
        <v>100.0</v>
      </c>
      <c r="S1474" s="214" t="s">
        <v>361</v>
      </c>
      <c r="T1474" s="214" t="s">
        <v>365</v>
      </c>
      <c r="U1474" s="214"/>
    </row>
    <row r="1475">
      <c r="A1475" s="221">
        <v>45965.06850043981</v>
      </c>
      <c r="B1475" s="214" t="s">
        <v>493</v>
      </c>
      <c r="C1475" s="214" t="s">
        <v>120</v>
      </c>
      <c r="D1475" s="214">
        <v>3.0</v>
      </c>
      <c r="E1475" s="214">
        <v>6.0</v>
      </c>
      <c r="F1475" s="214" t="s">
        <v>1596</v>
      </c>
      <c r="G1475" s="214" t="s">
        <v>61</v>
      </c>
      <c r="H1475" s="214" t="s">
        <v>43</v>
      </c>
      <c r="I1475" s="214"/>
      <c r="J1475" s="222" t="s">
        <v>67</v>
      </c>
      <c r="K1475" s="222">
        <v>-2.5</v>
      </c>
      <c r="L1475" s="222" t="s">
        <v>67</v>
      </c>
      <c r="M1475" s="222">
        <v>45.5</v>
      </c>
      <c r="N1475" s="214">
        <v>213.0</v>
      </c>
      <c r="O1475" s="214">
        <v>277.0</v>
      </c>
      <c r="P1475" s="214">
        <v>2.0</v>
      </c>
      <c r="Q1475" s="214" t="b">
        <v>0</v>
      </c>
      <c r="R1475" s="214">
        <v>100.0</v>
      </c>
      <c r="S1475" s="214" t="s">
        <v>317</v>
      </c>
      <c r="T1475" s="214" t="s">
        <v>321</v>
      </c>
      <c r="U1475" s="214"/>
    </row>
    <row r="1476">
      <c r="A1476" s="221">
        <v>45965.06850043981</v>
      </c>
      <c r="B1476" s="214"/>
      <c r="C1476" s="214"/>
      <c r="D1476" s="214"/>
      <c r="E1476" s="214"/>
      <c r="F1476" s="214"/>
      <c r="G1476" s="214"/>
      <c r="H1476" s="214"/>
      <c r="I1476" s="214"/>
      <c r="J1476" s="222"/>
      <c r="K1476" s="222"/>
      <c r="L1476" s="222"/>
      <c r="M1476" s="222"/>
      <c r="N1476" s="214"/>
      <c r="O1476" s="214"/>
      <c r="P1476" s="214"/>
      <c r="Q1476" s="214"/>
      <c r="R1476" s="214"/>
      <c r="S1476" s="214"/>
      <c r="T1476" s="214"/>
      <c r="U1476" s="214"/>
    </row>
    <row r="1477">
      <c r="A1477" s="221">
        <v>45965.06850043981</v>
      </c>
      <c r="B1477" s="214" t="s">
        <v>493</v>
      </c>
      <c r="C1477" s="214" t="s">
        <v>546</v>
      </c>
      <c r="D1477" s="214">
        <v>6.0</v>
      </c>
      <c r="E1477" s="214">
        <v>2.0</v>
      </c>
      <c r="F1477" s="214"/>
      <c r="G1477" s="214"/>
      <c r="H1477" s="214"/>
      <c r="I1477" s="214"/>
      <c r="J1477" s="222"/>
      <c r="K1477" s="222"/>
      <c r="L1477" s="222"/>
      <c r="M1477" s="222"/>
      <c r="N1477" s="214">
        <v>264.0</v>
      </c>
      <c r="O1477" s="214">
        <v>197.0</v>
      </c>
      <c r="P1477" s="214">
        <v>0.0</v>
      </c>
      <c r="Q1477" s="214" t="b">
        <v>1</v>
      </c>
      <c r="R1477" s="214">
        <v>59.0</v>
      </c>
      <c r="S1477" s="214" t="s">
        <v>441</v>
      </c>
      <c r="T1477" s="214" t="s">
        <v>365</v>
      </c>
      <c r="U1477" s="214"/>
    </row>
    <row r="1478">
      <c r="A1478" s="221">
        <v>45965.06850043981</v>
      </c>
      <c r="B1478" s="214" t="s">
        <v>493</v>
      </c>
      <c r="C1478" s="214" t="s">
        <v>170</v>
      </c>
      <c r="D1478" s="214">
        <v>3.0</v>
      </c>
      <c r="E1478" s="214">
        <v>5.0</v>
      </c>
      <c r="F1478" s="214"/>
      <c r="G1478" s="214"/>
      <c r="H1478" s="214"/>
      <c r="I1478" s="214"/>
      <c r="J1478" s="222"/>
      <c r="K1478" s="222"/>
      <c r="L1478" s="222"/>
      <c r="M1478" s="222"/>
      <c r="N1478" s="214">
        <v>149.0</v>
      </c>
      <c r="O1478" s="214">
        <v>292.0</v>
      </c>
      <c r="P1478" s="214">
        <v>0.0</v>
      </c>
      <c r="Q1478" s="214" t="b">
        <v>1</v>
      </c>
      <c r="R1478" s="214">
        <v>59.0</v>
      </c>
      <c r="S1478" s="214" t="s">
        <v>530</v>
      </c>
      <c r="T1478" s="214" t="s">
        <v>365</v>
      </c>
      <c r="U1478" s="214"/>
    </row>
    <row r="1479">
      <c r="A1479" s="221">
        <v>45965.06850043981</v>
      </c>
      <c r="B1479" s="214" t="s">
        <v>493</v>
      </c>
      <c r="C1479" s="214" t="s">
        <v>200</v>
      </c>
      <c r="D1479" s="214">
        <v>4.0</v>
      </c>
      <c r="E1479" s="214">
        <v>5.0</v>
      </c>
      <c r="F1479" s="214" t="s">
        <v>1610</v>
      </c>
      <c r="G1479" s="214" t="s">
        <v>61</v>
      </c>
      <c r="H1479" s="214" t="s">
        <v>193</v>
      </c>
      <c r="I1479" s="214"/>
      <c r="J1479" s="222" t="s">
        <v>67</v>
      </c>
      <c r="K1479" s="222">
        <v>-3.5</v>
      </c>
      <c r="L1479" s="222" t="s">
        <v>67</v>
      </c>
      <c r="M1479" s="222">
        <v>46.5</v>
      </c>
      <c r="N1479" s="214">
        <v>179.0</v>
      </c>
      <c r="O1479" s="214">
        <v>207.0</v>
      </c>
      <c r="P1479" s="214">
        <v>2.0</v>
      </c>
      <c r="Q1479" s="214" t="b">
        <v>0</v>
      </c>
      <c r="R1479" s="214">
        <v>100.0</v>
      </c>
      <c r="S1479" s="214" t="s">
        <v>680</v>
      </c>
      <c r="T1479" s="214" t="s">
        <v>365</v>
      </c>
      <c r="U1479" s="214"/>
    </row>
    <row r="1480">
      <c r="A1480" s="221">
        <v>45965.06850043981</v>
      </c>
      <c r="B1480" s="214" t="s">
        <v>493</v>
      </c>
      <c r="C1480" s="214" t="s">
        <v>205</v>
      </c>
      <c r="D1480" s="214">
        <v>3.0</v>
      </c>
      <c r="E1480" s="214">
        <v>5.0</v>
      </c>
      <c r="F1480" s="214" t="s">
        <v>1590</v>
      </c>
      <c r="G1480" s="214" t="s">
        <v>61</v>
      </c>
      <c r="H1480" s="214" t="s">
        <v>43</v>
      </c>
      <c r="I1480" s="214"/>
      <c r="J1480" s="222" t="s">
        <v>67</v>
      </c>
      <c r="K1480" s="222">
        <v>11.5</v>
      </c>
      <c r="L1480" s="222" t="s">
        <v>67</v>
      </c>
      <c r="M1480" s="222">
        <v>44.5</v>
      </c>
      <c r="N1480" s="214">
        <v>179.0</v>
      </c>
      <c r="O1480" s="214">
        <v>214.0</v>
      </c>
      <c r="P1480" s="214">
        <v>2.0</v>
      </c>
      <c r="Q1480" s="214" t="b">
        <v>1</v>
      </c>
      <c r="R1480" s="214">
        <v>100.0</v>
      </c>
      <c r="S1480" s="214" t="s">
        <v>556</v>
      </c>
      <c r="T1480" s="214" t="s">
        <v>321</v>
      </c>
      <c r="U1480" s="214"/>
    </row>
    <row r="1481">
      <c r="A1481" s="221">
        <v>45965.06850043981</v>
      </c>
      <c r="B1481" s="214" t="s">
        <v>493</v>
      </c>
      <c r="C1481" s="214" t="s">
        <v>207</v>
      </c>
      <c r="D1481" s="214">
        <v>5.0</v>
      </c>
      <c r="E1481" s="214">
        <v>4.0</v>
      </c>
      <c r="F1481" s="214" t="s">
        <v>1632</v>
      </c>
      <c r="G1481" s="214" t="s">
        <v>61</v>
      </c>
      <c r="H1481" s="214" t="s">
        <v>156</v>
      </c>
      <c r="I1481" s="214"/>
      <c r="J1481" s="222" t="s">
        <v>67</v>
      </c>
      <c r="K1481" s="222">
        <v>4.5</v>
      </c>
      <c r="L1481" s="222" t="s">
        <v>67</v>
      </c>
      <c r="M1481" s="222">
        <v>65.5</v>
      </c>
      <c r="N1481" s="214">
        <v>299.0</v>
      </c>
      <c r="O1481" s="214">
        <v>222.0</v>
      </c>
      <c r="P1481" s="214">
        <v>2.0</v>
      </c>
      <c r="Q1481" s="214" t="b">
        <v>1</v>
      </c>
      <c r="R1481" s="214">
        <v>100.0</v>
      </c>
      <c r="S1481" s="214" t="s">
        <v>556</v>
      </c>
      <c r="T1481" s="214" t="s">
        <v>321</v>
      </c>
      <c r="U1481" s="214"/>
    </row>
    <row r="1482">
      <c r="A1482" s="221">
        <v>45972.068451053245</v>
      </c>
      <c r="B1482" s="214" t="s">
        <v>43</v>
      </c>
      <c r="C1482" s="214" t="s">
        <v>189</v>
      </c>
      <c r="D1482" s="214">
        <v>6.0</v>
      </c>
      <c r="E1482" s="214">
        <v>3.0</v>
      </c>
      <c r="F1482" s="214"/>
      <c r="G1482" s="214"/>
      <c r="H1482" s="214"/>
      <c r="I1482" s="214"/>
      <c r="J1482" s="222"/>
      <c r="K1482" s="222"/>
      <c r="L1482" s="222"/>
      <c r="M1482" s="222"/>
      <c r="N1482" s="214">
        <v>222.0</v>
      </c>
      <c r="O1482" s="214">
        <v>213.0</v>
      </c>
      <c r="P1482" s="214">
        <v>0.0</v>
      </c>
      <c r="Q1482" s="214" t="b">
        <v>1</v>
      </c>
      <c r="R1482" s="214">
        <v>59.0</v>
      </c>
      <c r="S1482" s="214" t="s">
        <v>471</v>
      </c>
      <c r="T1482" s="214" t="s">
        <v>321</v>
      </c>
      <c r="U1482" s="214"/>
    </row>
    <row r="1483">
      <c r="A1483" s="221">
        <v>45972.068451053245</v>
      </c>
      <c r="B1483" s="214" t="s">
        <v>43</v>
      </c>
      <c r="C1483" s="214" t="s">
        <v>176</v>
      </c>
      <c r="D1483" s="214">
        <v>3.0</v>
      </c>
      <c r="E1483" s="214">
        <v>6.0</v>
      </c>
      <c r="F1483" s="214" t="s">
        <v>1642</v>
      </c>
      <c r="G1483" s="214" t="s">
        <v>61</v>
      </c>
      <c r="H1483" s="214" t="s">
        <v>238</v>
      </c>
      <c r="I1483" s="214"/>
      <c r="J1483" s="222" t="s">
        <v>67</v>
      </c>
      <c r="K1483" s="222">
        <v>5.5</v>
      </c>
      <c r="L1483" s="222" t="s">
        <v>67</v>
      </c>
      <c r="M1483" s="222">
        <v>65.5</v>
      </c>
      <c r="N1483" s="214">
        <v>297.0</v>
      </c>
      <c r="O1483" s="214">
        <v>297.0</v>
      </c>
      <c r="P1483" s="214">
        <v>2.0</v>
      </c>
      <c r="Q1483" s="214" t="b">
        <v>1</v>
      </c>
      <c r="R1483" s="214">
        <v>100.0</v>
      </c>
      <c r="S1483" s="214" t="s">
        <v>525</v>
      </c>
      <c r="T1483" s="214" t="s">
        <v>365</v>
      </c>
      <c r="U1483" s="214"/>
    </row>
    <row r="1484">
      <c r="A1484" s="221">
        <v>45972.068451053245</v>
      </c>
      <c r="B1484" s="214" t="s">
        <v>43</v>
      </c>
      <c r="C1484" s="214" t="s">
        <v>118</v>
      </c>
      <c r="D1484" s="214">
        <v>4.0</v>
      </c>
      <c r="E1484" s="214">
        <v>5.0</v>
      </c>
      <c r="F1484" s="214" t="s">
        <v>1643</v>
      </c>
      <c r="G1484" s="214" t="s">
        <v>61</v>
      </c>
      <c r="H1484" s="214" t="s">
        <v>493</v>
      </c>
      <c r="I1484" s="214"/>
      <c r="J1484" s="222" t="s">
        <v>67</v>
      </c>
      <c r="K1484" s="222">
        <v>-7.5</v>
      </c>
      <c r="L1484" s="222" t="s">
        <v>67</v>
      </c>
      <c r="M1484" s="222">
        <v>42.5</v>
      </c>
      <c r="N1484" s="214">
        <v>175.0</v>
      </c>
      <c r="O1484" s="214">
        <v>192.0</v>
      </c>
      <c r="P1484" s="214">
        <v>2.0</v>
      </c>
      <c r="Q1484" s="214" t="b">
        <v>1</v>
      </c>
      <c r="R1484" s="214">
        <v>100.0</v>
      </c>
      <c r="S1484" s="214" t="s">
        <v>317</v>
      </c>
      <c r="T1484" s="214" t="s">
        <v>321</v>
      </c>
      <c r="U1484" s="214"/>
    </row>
    <row r="1485">
      <c r="A1485" s="221">
        <v>45972.068451053245</v>
      </c>
      <c r="B1485" s="214" t="s">
        <v>43</v>
      </c>
      <c r="C1485" s="214" t="s">
        <v>228</v>
      </c>
      <c r="D1485" s="214">
        <v>3.0</v>
      </c>
      <c r="E1485" s="214">
        <v>6.0</v>
      </c>
      <c r="F1485" s="214" t="s">
        <v>1644</v>
      </c>
      <c r="G1485" s="214" t="s">
        <v>61</v>
      </c>
      <c r="H1485" s="214" t="s">
        <v>95</v>
      </c>
      <c r="I1485" s="214"/>
      <c r="J1485" s="222" t="s">
        <v>67</v>
      </c>
      <c r="K1485" s="222">
        <v>9.5</v>
      </c>
      <c r="L1485" s="222" t="s">
        <v>67</v>
      </c>
      <c r="M1485" s="222">
        <v>52.5</v>
      </c>
      <c r="N1485" s="214">
        <v>192.0</v>
      </c>
      <c r="O1485" s="214">
        <v>227.0</v>
      </c>
      <c r="P1485" s="214">
        <v>2.0</v>
      </c>
      <c r="Q1485" s="214" t="b">
        <v>0</v>
      </c>
      <c r="R1485" s="214">
        <v>100.0</v>
      </c>
      <c r="S1485" s="214" t="s">
        <v>535</v>
      </c>
      <c r="T1485" s="214" t="s">
        <v>365</v>
      </c>
      <c r="U1485" s="214"/>
    </row>
    <row r="1486">
      <c r="A1486" s="221">
        <v>45972.068451053245</v>
      </c>
      <c r="B1486" s="214" t="s">
        <v>43</v>
      </c>
      <c r="C1486" s="214" t="s">
        <v>157</v>
      </c>
      <c r="D1486" s="214">
        <v>5.0</v>
      </c>
      <c r="E1486" s="214">
        <v>5.0</v>
      </c>
      <c r="F1486" s="214" t="s">
        <v>1645</v>
      </c>
      <c r="G1486" s="214" t="s">
        <v>61</v>
      </c>
      <c r="H1486" s="214" t="s">
        <v>62</v>
      </c>
      <c r="I1486" s="214"/>
      <c r="J1486" s="222" t="s">
        <v>67</v>
      </c>
      <c r="K1486" s="222">
        <v>-2.5</v>
      </c>
      <c r="L1486" s="222" t="s">
        <v>67</v>
      </c>
      <c r="M1486" s="222">
        <v>52.5</v>
      </c>
      <c r="N1486" s="214">
        <v>211.0</v>
      </c>
      <c r="O1486" s="214">
        <v>279.0</v>
      </c>
      <c r="P1486" s="214">
        <v>2.0</v>
      </c>
      <c r="Q1486" s="214" t="b">
        <v>1</v>
      </c>
      <c r="R1486" s="214">
        <v>100.0</v>
      </c>
      <c r="S1486" s="214" t="s">
        <v>361</v>
      </c>
      <c r="T1486" s="214" t="s">
        <v>365</v>
      </c>
      <c r="U1486" s="214"/>
    </row>
    <row r="1487">
      <c r="A1487" s="221">
        <v>45972.068451053245</v>
      </c>
      <c r="B1487" s="214" t="s">
        <v>43</v>
      </c>
      <c r="C1487" s="214" t="s">
        <v>145</v>
      </c>
      <c r="D1487" s="214">
        <v>3.0</v>
      </c>
      <c r="E1487" s="214">
        <v>6.0</v>
      </c>
      <c r="F1487" s="214" t="s">
        <v>1646</v>
      </c>
      <c r="G1487" s="214" t="s">
        <v>61</v>
      </c>
      <c r="H1487" s="214" t="s">
        <v>132</v>
      </c>
      <c r="I1487" s="214"/>
      <c r="J1487" s="222" t="s">
        <v>67</v>
      </c>
      <c r="K1487" s="222">
        <v>14.5</v>
      </c>
      <c r="L1487" s="222" t="s">
        <v>67</v>
      </c>
      <c r="M1487" s="222">
        <v>50.5</v>
      </c>
      <c r="N1487" s="214">
        <v>276.0</v>
      </c>
      <c r="O1487" s="214">
        <v>201.0</v>
      </c>
      <c r="P1487" s="214">
        <v>2.0</v>
      </c>
      <c r="Q1487" s="214" t="b">
        <v>0</v>
      </c>
      <c r="R1487" s="214">
        <v>100.0</v>
      </c>
      <c r="S1487" s="214" t="s">
        <v>407</v>
      </c>
      <c r="T1487" s="214" t="s">
        <v>321</v>
      </c>
      <c r="U1487" s="214"/>
    </row>
    <row r="1488">
      <c r="A1488" s="221">
        <v>45972.068451053245</v>
      </c>
      <c r="B1488" s="214" t="s">
        <v>43</v>
      </c>
      <c r="C1488" s="214" t="s">
        <v>133</v>
      </c>
      <c r="D1488" s="214">
        <v>9.0</v>
      </c>
      <c r="E1488" s="214">
        <v>1.0</v>
      </c>
      <c r="F1488" s="214" t="s">
        <v>1647</v>
      </c>
      <c r="G1488" s="214" t="s">
        <v>61</v>
      </c>
      <c r="H1488" s="214" t="s">
        <v>224</v>
      </c>
      <c r="I1488" s="214"/>
      <c r="J1488" s="222" t="s">
        <v>67</v>
      </c>
      <c r="K1488" s="222">
        <v>-10.5</v>
      </c>
      <c r="L1488" s="222" t="s">
        <v>67</v>
      </c>
      <c r="M1488" s="222">
        <v>52.5</v>
      </c>
      <c r="N1488" s="214">
        <v>421.0</v>
      </c>
      <c r="O1488" s="214">
        <v>126.0</v>
      </c>
      <c r="P1488" s="214">
        <v>2.0</v>
      </c>
      <c r="Q1488" s="214" t="b">
        <v>0</v>
      </c>
      <c r="R1488" s="214">
        <v>100.0</v>
      </c>
      <c r="S1488" s="214" t="s">
        <v>471</v>
      </c>
      <c r="T1488" s="214" t="s">
        <v>321</v>
      </c>
      <c r="U1488" s="214"/>
    </row>
    <row r="1489">
      <c r="A1489" s="221">
        <v>45972.068451053245</v>
      </c>
      <c r="B1489" s="214" t="s">
        <v>43</v>
      </c>
      <c r="C1489" s="214" t="s">
        <v>422</v>
      </c>
      <c r="D1489" s="214">
        <v>4.0</v>
      </c>
      <c r="E1489" s="214">
        <v>5.0</v>
      </c>
      <c r="F1489" s="214" t="s">
        <v>1648</v>
      </c>
      <c r="G1489" s="214" t="s">
        <v>61</v>
      </c>
      <c r="H1489" s="214" t="s">
        <v>224</v>
      </c>
      <c r="I1489" s="214"/>
      <c r="J1489" s="222" t="s">
        <v>67</v>
      </c>
      <c r="K1489" s="222">
        <v>-5.5</v>
      </c>
      <c r="L1489" s="222" t="s">
        <v>67</v>
      </c>
      <c r="M1489" s="222">
        <v>61.5</v>
      </c>
      <c r="N1489" s="214">
        <v>239.0</v>
      </c>
      <c r="O1489" s="214">
        <v>246.0</v>
      </c>
      <c r="P1489" s="214">
        <v>2.0</v>
      </c>
      <c r="Q1489" s="214" t="b">
        <v>0</v>
      </c>
      <c r="R1489" s="214">
        <v>100.0</v>
      </c>
      <c r="S1489" s="214" t="s">
        <v>441</v>
      </c>
      <c r="T1489" s="214" t="s">
        <v>365</v>
      </c>
      <c r="U1489" s="214"/>
    </row>
    <row r="1490">
      <c r="A1490" s="221">
        <v>45972.068451053245</v>
      </c>
      <c r="B1490" s="214" t="s">
        <v>43</v>
      </c>
      <c r="C1490" s="214" t="s">
        <v>527</v>
      </c>
      <c r="D1490" s="214">
        <v>0.0</v>
      </c>
      <c r="E1490" s="214">
        <v>9.0</v>
      </c>
      <c r="F1490" s="214" t="s">
        <v>1649</v>
      </c>
      <c r="G1490" s="214" t="s">
        <v>61</v>
      </c>
      <c r="H1490" s="214" t="s">
        <v>193</v>
      </c>
      <c r="I1490" s="214"/>
      <c r="J1490" s="222" t="s">
        <v>67</v>
      </c>
      <c r="K1490" s="222">
        <v>9.5</v>
      </c>
      <c r="L1490" s="222" t="s">
        <v>67</v>
      </c>
      <c r="M1490" s="222">
        <v>49.5</v>
      </c>
      <c r="N1490" s="214">
        <v>102.0</v>
      </c>
      <c r="O1490" s="214">
        <v>331.0</v>
      </c>
      <c r="P1490" s="214">
        <v>2.0</v>
      </c>
      <c r="Q1490" s="214" t="b">
        <v>0</v>
      </c>
      <c r="R1490" s="214">
        <v>100.0</v>
      </c>
      <c r="S1490" s="214" t="s">
        <v>530</v>
      </c>
      <c r="T1490" s="214" t="s">
        <v>365</v>
      </c>
      <c r="U1490" s="214"/>
    </row>
    <row r="1491">
      <c r="A1491" s="221">
        <v>45972.068451053245</v>
      </c>
      <c r="B1491" s="214" t="s">
        <v>43</v>
      </c>
      <c r="C1491" s="214" t="s">
        <v>45</v>
      </c>
      <c r="D1491" s="214">
        <v>4.0</v>
      </c>
      <c r="E1491" s="214">
        <v>6.0</v>
      </c>
      <c r="F1491" s="214" t="s">
        <v>1650</v>
      </c>
      <c r="G1491" s="214" t="s">
        <v>532</v>
      </c>
      <c r="H1491" s="214" t="s">
        <v>395</v>
      </c>
      <c r="I1491" s="214"/>
      <c r="J1491" s="222" t="s">
        <v>67</v>
      </c>
      <c r="K1491" s="222">
        <v>6.0</v>
      </c>
      <c r="L1491" s="222" t="s">
        <v>67</v>
      </c>
      <c r="M1491" s="222">
        <v>45.5</v>
      </c>
      <c r="N1491" s="214">
        <v>239.0</v>
      </c>
      <c r="O1491" s="214">
        <v>204.0</v>
      </c>
      <c r="P1491" s="214">
        <v>2.0</v>
      </c>
      <c r="Q1491" s="214" t="b">
        <v>0</v>
      </c>
      <c r="R1491" s="214">
        <v>100.0</v>
      </c>
      <c r="S1491" s="214" t="s">
        <v>556</v>
      </c>
      <c r="T1491" s="214" t="s">
        <v>321</v>
      </c>
      <c r="U1491" s="214"/>
    </row>
    <row r="1492">
      <c r="A1492" s="221">
        <v>45972.068451053245</v>
      </c>
      <c r="B1492" s="214"/>
      <c r="C1492" s="214"/>
      <c r="D1492" s="214"/>
      <c r="E1492" s="214"/>
      <c r="F1492" s="214"/>
      <c r="G1492" s="214"/>
      <c r="H1492" s="214"/>
      <c r="I1492" s="214"/>
      <c r="J1492" s="222"/>
      <c r="K1492" s="222"/>
      <c r="L1492" s="222"/>
      <c r="M1492" s="222"/>
      <c r="N1492" s="214"/>
      <c r="O1492" s="214"/>
      <c r="P1492" s="214"/>
      <c r="Q1492" s="214"/>
      <c r="R1492" s="214"/>
      <c r="S1492" s="214"/>
      <c r="T1492" s="214"/>
      <c r="U1492" s="214"/>
    </row>
    <row r="1493">
      <c r="A1493" s="221">
        <v>45972.068451053245</v>
      </c>
      <c r="B1493" s="214" t="s">
        <v>95</v>
      </c>
      <c r="C1493" s="214" t="s">
        <v>198</v>
      </c>
      <c r="D1493" s="214">
        <v>7.0</v>
      </c>
      <c r="E1493" s="214">
        <v>2.0</v>
      </c>
      <c r="F1493" s="214"/>
      <c r="G1493" s="214"/>
      <c r="H1493" s="214"/>
      <c r="I1493" s="214"/>
      <c r="J1493" s="222"/>
      <c r="K1493" s="222"/>
      <c r="L1493" s="222"/>
      <c r="M1493" s="222"/>
      <c r="N1493" s="214">
        <v>356.0</v>
      </c>
      <c r="O1493" s="214">
        <v>128.0</v>
      </c>
      <c r="P1493" s="214">
        <v>0.0</v>
      </c>
      <c r="Q1493" s="214" t="b">
        <v>1</v>
      </c>
      <c r="R1493" s="214">
        <v>59.0</v>
      </c>
      <c r="S1493" s="214" t="s">
        <v>471</v>
      </c>
      <c r="T1493" s="214" t="s">
        <v>321</v>
      </c>
      <c r="U1493" s="214"/>
    </row>
    <row r="1494">
      <c r="A1494" s="221">
        <v>45972.068451053245</v>
      </c>
      <c r="B1494" s="214" t="s">
        <v>95</v>
      </c>
      <c r="C1494" s="214" t="s">
        <v>128</v>
      </c>
      <c r="D1494" s="214">
        <v>7.0</v>
      </c>
      <c r="E1494" s="214">
        <v>2.0</v>
      </c>
      <c r="F1494" s="214"/>
      <c r="G1494" s="214"/>
      <c r="H1494" s="214"/>
      <c r="I1494" s="214"/>
      <c r="J1494" s="222"/>
      <c r="K1494" s="222"/>
      <c r="L1494" s="222"/>
      <c r="M1494" s="222"/>
      <c r="N1494" s="214">
        <v>260.0</v>
      </c>
      <c r="O1494" s="214">
        <v>127.0</v>
      </c>
      <c r="P1494" s="214">
        <v>0.0</v>
      </c>
      <c r="Q1494" s="214" t="b">
        <v>1</v>
      </c>
      <c r="R1494" s="214">
        <v>59.0</v>
      </c>
      <c r="S1494" s="214" t="s">
        <v>556</v>
      </c>
      <c r="T1494" s="214" t="s">
        <v>321</v>
      </c>
      <c r="U1494" s="214"/>
    </row>
    <row r="1495">
      <c r="A1495" s="221">
        <v>45972.068451053245</v>
      </c>
      <c r="B1495" s="214" t="s">
        <v>95</v>
      </c>
      <c r="C1495" s="214" t="s">
        <v>117</v>
      </c>
      <c r="D1495" s="214">
        <v>5.0</v>
      </c>
      <c r="E1495" s="214">
        <v>4.0</v>
      </c>
      <c r="F1495" s="214"/>
      <c r="G1495" s="214"/>
      <c r="H1495" s="214"/>
      <c r="I1495" s="214"/>
      <c r="J1495" s="222"/>
      <c r="K1495" s="222"/>
      <c r="L1495" s="222"/>
      <c r="M1495" s="222"/>
      <c r="N1495" s="214">
        <v>292.0</v>
      </c>
      <c r="O1495" s="214">
        <v>275.0</v>
      </c>
      <c r="P1495" s="214">
        <v>0.0</v>
      </c>
      <c r="Q1495" s="214" t="b">
        <v>1</v>
      </c>
      <c r="R1495" s="214">
        <v>59.0</v>
      </c>
      <c r="S1495" s="214" t="s">
        <v>317</v>
      </c>
      <c r="T1495" s="214" t="s">
        <v>321</v>
      </c>
      <c r="U1495" s="214"/>
    </row>
    <row r="1496">
      <c r="A1496" s="221">
        <v>45972.068451053245</v>
      </c>
      <c r="B1496" s="214" t="s">
        <v>95</v>
      </c>
      <c r="C1496" s="214" t="s">
        <v>177</v>
      </c>
      <c r="D1496" s="214">
        <v>6.0</v>
      </c>
      <c r="E1496" s="214">
        <v>3.0</v>
      </c>
      <c r="F1496" s="214"/>
      <c r="G1496" s="214"/>
      <c r="H1496" s="214"/>
      <c r="I1496" s="214"/>
      <c r="J1496" s="222"/>
      <c r="K1496" s="222"/>
      <c r="L1496" s="222"/>
      <c r="M1496" s="222"/>
      <c r="N1496" s="214">
        <v>289.0</v>
      </c>
      <c r="O1496" s="214">
        <v>216.0</v>
      </c>
      <c r="P1496" s="214">
        <v>0.0</v>
      </c>
      <c r="Q1496" s="214" t="b">
        <v>1</v>
      </c>
      <c r="R1496" s="214">
        <v>59.0</v>
      </c>
      <c r="S1496" s="214" t="s">
        <v>525</v>
      </c>
      <c r="T1496" s="214" t="s">
        <v>365</v>
      </c>
      <c r="U1496" s="214"/>
    </row>
    <row r="1497">
      <c r="A1497" s="221">
        <v>45972.068451053245</v>
      </c>
      <c r="B1497" s="214" t="s">
        <v>95</v>
      </c>
      <c r="C1497" s="214" t="s">
        <v>221</v>
      </c>
      <c r="D1497" s="214">
        <v>3.0</v>
      </c>
      <c r="E1497" s="214">
        <v>6.0</v>
      </c>
      <c r="F1497" s="214" t="s">
        <v>1651</v>
      </c>
      <c r="G1497" s="214" t="s">
        <v>61</v>
      </c>
      <c r="H1497" s="214" t="s">
        <v>193</v>
      </c>
      <c r="I1497" s="214"/>
      <c r="J1497" s="222" t="s">
        <v>67</v>
      </c>
      <c r="K1497" s="222">
        <v>-2.5</v>
      </c>
      <c r="L1497" s="222" t="s">
        <v>67</v>
      </c>
      <c r="M1497" s="222">
        <v>63.5</v>
      </c>
      <c r="N1497" s="214">
        <v>312.0</v>
      </c>
      <c r="O1497" s="214">
        <v>313.0</v>
      </c>
      <c r="P1497" s="214">
        <v>2.0</v>
      </c>
      <c r="Q1497" s="214" t="b">
        <v>1</v>
      </c>
      <c r="R1497" s="214">
        <v>100.0</v>
      </c>
      <c r="S1497" s="214" t="s">
        <v>441</v>
      </c>
      <c r="T1497" s="214" t="s">
        <v>365</v>
      </c>
      <c r="U1497" s="214"/>
    </row>
    <row r="1498">
      <c r="A1498" s="221">
        <v>45972.068451053245</v>
      </c>
      <c r="B1498" s="214" t="s">
        <v>95</v>
      </c>
      <c r="C1498" s="214" t="s">
        <v>233</v>
      </c>
      <c r="D1498" s="214">
        <v>7.0</v>
      </c>
      <c r="E1498" s="214">
        <v>2.0</v>
      </c>
      <c r="F1498" s="214" t="s">
        <v>1644</v>
      </c>
      <c r="G1498" s="214" t="s">
        <v>61</v>
      </c>
      <c r="H1498" s="214" t="s">
        <v>43</v>
      </c>
      <c r="I1498" s="214"/>
      <c r="J1498" s="222" t="s">
        <v>67</v>
      </c>
      <c r="K1498" s="222">
        <v>-9.5</v>
      </c>
      <c r="L1498" s="222" t="s">
        <v>67</v>
      </c>
      <c r="M1498" s="222">
        <v>52.5</v>
      </c>
      <c r="N1498" s="214">
        <v>234.0</v>
      </c>
      <c r="O1498" s="214">
        <v>190.0</v>
      </c>
      <c r="P1498" s="214">
        <v>2.0</v>
      </c>
      <c r="Q1498" s="214" t="b">
        <v>1</v>
      </c>
      <c r="R1498" s="214">
        <v>100.0</v>
      </c>
      <c r="S1498" s="214" t="s">
        <v>535</v>
      </c>
      <c r="T1498" s="214" t="s">
        <v>365</v>
      </c>
      <c r="U1498" s="214"/>
    </row>
    <row r="1499">
      <c r="A1499" s="221">
        <v>45972.068451053245</v>
      </c>
      <c r="B1499" s="214" t="s">
        <v>95</v>
      </c>
      <c r="C1499" s="214" t="s">
        <v>130</v>
      </c>
      <c r="D1499" s="214">
        <v>6.0</v>
      </c>
      <c r="E1499" s="214">
        <v>3.0</v>
      </c>
      <c r="F1499" s="214" t="s">
        <v>1652</v>
      </c>
      <c r="G1499" s="214" t="s">
        <v>61</v>
      </c>
      <c r="H1499" s="214" t="s">
        <v>311</v>
      </c>
      <c r="I1499" s="214"/>
      <c r="J1499" s="222" t="s">
        <v>67</v>
      </c>
      <c r="K1499" s="222">
        <v>-7.0</v>
      </c>
      <c r="L1499" s="222" t="s">
        <v>67</v>
      </c>
      <c r="M1499" s="222">
        <v>57.5</v>
      </c>
      <c r="N1499" s="214">
        <v>294.0</v>
      </c>
      <c r="O1499" s="214">
        <v>221.0</v>
      </c>
      <c r="P1499" s="214">
        <v>2.0</v>
      </c>
      <c r="Q1499" s="214" t="b">
        <v>0</v>
      </c>
      <c r="R1499" s="214">
        <v>100.0</v>
      </c>
      <c r="S1499" s="214" t="s">
        <v>471</v>
      </c>
      <c r="T1499" s="214" t="s">
        <v>321</v>
      </c>
      <c r="U1499" s="214"/>
    </row>
    <row r="1500">
      <c r="A1500" s="221">
        <v>45972.068451053245</v>
      </c>
      <c r="B1500" s="214" t="s">
        <v>95</v>
      </c>
      <c r="C1500" s="214" t="s">
        <v>100</v>
      </c>
      <c r="D1500" s="214">
        <v>6.0</v>
      </c>
      <c r="E1500" s="214">
        <v>3.0</v>
      </c>
      <c r="F1500" s="214" t="s">
        <v>1653</v>
      </c>
      <c r="G1500" s="214" t="s">
        <v>61</v>
      </c>
      <c r="H1500" s="214" t="s">
        <v>249</v>
      </c>
      <c r="I1500" s="214"/>
      <c r="J1500" s="222" t="s">
        <v>67</v>
      </c>
      <c r="K1500" s="222">
        <v>-28.5</v>
      </c>
      <c r="L1500" s="222" t="s">
        <v>67</v>
      </c>
      <c r="M1500" s="222">
        <v>55.5</v>
      </c>
      <c r="N1500" s="214">
        <v>305.0</v>
      </c>
      <c r="O1500" s="214">
        <v>156.0</v>
      </c>
      <c r="P1500" s="214">
        <v>2.0</v>
      </c>
      <c r="Q1500" s="214" t="b">
        <v>1</v>
      </c>
      <c r="R1500" s="214">
        <v>100.0</v>
      </c>
      <c r="S1500" s="214" t="s">
        <v>361</v>
      </c>
      <c r="T1500" s="214" t="s">
        <v>365</v>
      </c>
      <c r="U1500" s="214"/>
    </row>
    <row r="1501">
      <c r="A1501" s="221">
        <v>45972.068451053245</v>
      </c>
      <c r="B1501" s="214" t="s">
        <v>95</v>
      </c>
      <c r="C1501" s="214" t="s">
        <v>197</v>
      </c>
      <c r="D1501" s="214">
        <v>7.0</v>
      </c>
      <c r="E1501" s="214">
        <v>2.0</v>
      </c>
      <c r="F1501" s="214" t="s">
        <v>1654</v>
      </c>
      <c r="G1501" s="214" t="s">
        <v>61</v>
      </c>
      <c r="H1501" s="214" t="s">
        <v>493</v>
      </c>
      <c r="I1501" s="214"/>
      <c r="J1501" s="222" t="s">
        <v>67</v>
      </c>
      <c r="K1501" s="222">
        <v>-14.5</v>
      </c>
      <c r="L1501" s="222" t="s">
        <v>67</v>
      </c>
      <c r="M1501" s="222">
        <v>50.5</v>
      </c>
      <c r="N1501" s="214">
        <v>356.0</v>
      </c>
      <c r="O1501" s="214">
        <v>196.0</v>
      </c>
      <c r="P1501" s="214">
        <v>2.0</v>
      </c>
      <c r="Q1501" s="214" t="b">
        <v>1</v>
      </c>
      <c r="R1501" s="214">
        <v>100.0</v>
      </c>
      <c r="S1501" s="214" t="s">
        <v>407</v>
      </c>
      <c r="T1501" s="214" t="s">
        <v>321</v>
      </c>
      <c r="U1501" s="214"/>
    </row>
    <row r="1502">
      <c r="A1502" s="221">
        <v>45972.068451053245</v>
      </c>
      <c r="B1502" s="214" t="s">
        <v>95</v>
      </c>
      <c r="C1502" s="214" t="s">
        <v>165</v>
      </c>
      <c r="D1502" s="214">
        <v>4.0</v>
      </c>
      <c r="E1502" s="214">
        <v>5.0</v>
      </c>
      <c r="F1502" s="214" t="s">
        <v>1655</v>
      </c>
      <c r="G1502" s="214" t="s">
        <v>61</v>
      </c>
      <c r="H1502" s="214" t="s">
        <v>493</v>
      </c>
      <c r="I1502" s="214"/>
      <c r="J1502" s="222" t="s">
        <v>67</v>
      </c>
      <c r="K1502" s="222">
        <v>-2.5</v>
      </c>
      <c r="L1502" s="222" t="s">
        <v>67</v>
      </c>
      <c r="M1502" s="222">
        <v>47.5</v>
      </c>
      <c r="N1502" s="214">
        <v>148.0</v>
      </c>
      <c r="O1502" s="214">
        <v>251.0</v>
      </c>
      <c r="P1502" s="214">
        <v>2.0</v>
      </c>
      <c r="Q1502" s="214" t="b">
        <v>1</v>
      </c>
      <c r="R1502" s="214">
        <v>100.0</v>
      </c>
      <c r="S1502" s="214" t="s">
        <v>530</v>
      </c>
      <c r="T1502" s="214" t="s">
        <v>365</v>
      </c>
      <c r="U1502" s="214"/>
    </row>
    <row r="1503">
      <c r="A1503" s="221">
        <v>45972.068451053245</v>
      </c>
      <c r="B1503" s="214"/>
      <c r="C1503" s="214"/>
      <c r="D1503" s="214"/>
      <c r="E1503" s="214"/>
      <c r="F1503" s="214"/>
      <c r="G1503" s="214"/>
      <c r="H1503" s="214"/>
      <c r="I1503" s="214"/>
      <c r="J1503" s="222"/>
      <c r="K1503" s="222"/>
      <c r="L1503" s="222"/>
      <c r="M1503" s="222"/>
      <c r="N1503" s="214"/>
      <c r="O1503" s="214"/>
      <c r="P1503" s="214"/>
      <c r="Q1503" s="214"/>
      <c r="R1503" s="214"/>
      <c r="S1503" s="214"/>
      <c r="T1503" s="214"/>
      <c r="U1503" s="214"/>
    </row>
    <row r="1504">
      <c r="A1504" s="221">
        <v>45972.068451053245</v>
      </c>
      <c r="B1504" s="214" t="s">
        <v>62</v>
      </c>
      <c r="C1504" s="214" t="s">
        <v>127</v>
      </c>
      <c r="D1504" s="214">
        <v>4.0</v>
      </c>
      <c r="E1504" s="214">
        <v>5.0</v>
      </c>
      <c r="F1504" s="214"/>
      <c r="G1504" s="214"/>
      <c r="H1504" s="214"/>
      <c r="I1504" s="214"/>
      <c r="J1504" s="222"/>
      <c r="K1504" s="222"/>
      <c r="L1504" s="222"/>
      <c r="M1504" s="222"/>
      <c r="N1504" s="214">
        <v>268.0</v>
      </c>
      <c r="O1504" s="214">
        <v>249.0</v>
      </c>
      <c r="P1504" s="214">
        <v>0.0</v>
      </c>
      <c r="Q1504" s="214" t="b">
        <v>1</v>
      </c>
      <c r="R1504" s="214">
        <v>59.0</v>
      </c>
      <c r="S1504" s="214" t="s">
        <v>471</v>
      </c>
      <c r="T1504" s="214" t="s">
        <v>321</v>
      </c>
      <c r="U1504" s="214"/>
    </row>
    <row r="1505">
      <c r="A1505" s="221">
        <v>45972.068451053245</v>
      </c>
      <c r="B1505" s="214" t="s">
        <v>62</v>
      </c>
      <c r="C1505" s="214" t="s">
        <v>155</v>
      </c>
      <c r="D1505" s="214">
        <v>6.0</v>
      </c>
      <c r="E1505" s="214">
        <v>3.0</v>
      </c>
      <c r="F1505" s="214"/>
      <c r="G1505" s="214"/>
      <c r="H1505" s="214"/>
      <c r="I1505" s="214"/>
      <c r="J1505" s="222"/>
      <c r="K1505" s="222"/>
      <c r="L1505" s="222"/>
      <c r="M1505" s="222"/>
      <c r="N1505" s="214">
        <v>287.0</v>
      </c>
      <c r="O1505" s="214">
        <v>211.0</v>
      </c>
      <c r="P1505" s="214">
        <v>0.0</v>
      </c>
      <c r="Q1505" s="214" t="b">
        <v>1</v>
      </c>
      <c r="R1505" s="214">
        <v>59.0</v>
      </c>
      <c r="S1505" s="214" t="s">
        <v>441</v>
      </c>
      <c r="T1505" s="214" t="s">
        <v>365</v>
      </c>
      <c r="U1505" s="214"/>
    </row>
    <row r="1506">
      <c r="A1506" s="221">
        <v>45972.068451053245</v>
      </c>
      <c r="B1506" s="214" t="s">
        <v>62</v>
      </c>
      <c r="C1506" s="214" t="s">
        <v>201</v>
      </c>
      <c r="D1506" s="214">
        <v>8.0</v>
      </c>
      <c r="E1506" s="214">
        <v>1.0</v>
      </c>
      <c r="F1506" s="214" t="s">
        <v>1656</v>
      </c>
      <c r="G1506" s="214" t="s">
        <v>61</v>
      </c>
      <c r="H1506" s="214" t="s">
        <v>311</v>
      </c>
      <c r="I1506" s="214"/>
      <c r="J1506" s="222" t="s">
        <v>67</v>
      </c>
      <c r="K1506" s="222">
        <v>-10.0</v>
      </c>
      <c r="L1506" s="222" t="s">
        <v>67</v>
      </c>
      <c r="M1506" s="222">
        <v>49.5</v>
      </c>
      <c r="N1506" s="214">
        <v>295.0</v>
      </c>
      <c r="O1506" s="214">
        <v>155.0</v>
      </c>
      <c r="P1506" s="214">
        <v>2.0</v>
      </c>
      <c r="Q1506" s="214" t="b">
        <v>1</v>
      </c>
      <c r="R1506" s="214">
        <v>100.0</v>
      </c>
      <c r="S1506" s="214" t="s">
        <v>556</v>
      </c>
      <c r="T1506" s="214" t="s">
        <v>321</v>
      </c>
      <c r="U1506" s="214"/>
    </row>
    <row r="1507">
      <c r="A1507" s="221">
        <v>45972.068451053245</v>
      </c>
      <c r="B1507" s="214" t="s">
        <v>62</v>
      </c>
      <c r="C1507" s="214" t="s">
        <v>196</v>
      </c>
      <c r="D1507" s="214">
        <v>3.0</v>
      </c>
      <c r="E1507" s="214">
        <v>6.0</v>
      </c>
      <c r="F1507" s="214" t="s">
        <v>1657</v>
      </c>
      <c r="G1507" s="214" t="s">
        <v>61</v>
      </c>
      <c r="H1507" s="214" t="s">
        <v>96</v>
      </c>
      <c r="I1507" s="214"/>
      <c r="J1507" s="222" t="s">
        <v>67</v>
      </c>
      <c r="K1507" s="222">
        <v>1.5</v>
      </c>
      <c r="L1507" s="222" t="s">
        <v>67</v>
      </c>
      <c r="M1507" s="222">
        <v>44.5</v>
      </c>
      <c r="N1507" s="214">
        <v>184.0</v>
      </c>
      <c r="O1507" s="214">
        <v>276.0</v>
      </c>
      <c r="P1507" s="214">
        <v>2.0</v>
      </c>
      <c r="Q1507" s="214" t="b">
        <v>0</v>
      </c>
      <c r="R1507" s="214">
        <v>100.0</v>
      </c>
      <c r="S1507" s="214" t="s">
        <v>407</v>
      </c>
      <c r="T1507" s="214" t="s">
        <v>321</v>
      </c>
      <c r="U1507" s="214"/>
    </row>
    <row r="1508">
      <c r="A1508" s="221">
        <v>45972.068451053245</v>
      </c>
      <c r="B1508" s="214" t="s">
        <v>62</v>
      </c>
      <c r="C1508" s="214" t="s">
        <v>178</v>
      </c>
      <c r="D1508" s="214">
        <v>2.0</v>
      </c>
      <c r="E1508" s="214">
        <v>7.0</v>
      </c>
      <c r="F1508" s="214" t="s">
        <v>1658</v>
      </c>
      <c r="G1508" s="214" t="s">
        <v>61</v>
      </c>
      <c r="H1508" s="214" t="s">
        <v>224</v>
      </c>
      <c r="I1508" s="214"/>
      <c r="J1508" s="222" t="s">
        <v>67</v>
      </c>
      <c r="K1508" s="222">
        <v>4.5</v>
      </c>
      <c r="L1508" s="222" t="s">
        <v>67</v>
      </c>
      <c r="M1508" s="222">
        <v>61.5</v>
      </c>
      <c r="N1508" s="214">
        <v>163.0</v>
      </c>
      <c r="O1508" s="214">
        <v>259.0</v>
      </c>
      <c r="P1508" s="214">
        <v>2.0</v>
      </c>
      <c r="Q1508" s="214" t="b">
        <v>1</v>
      </c>
      <c r="R1508" s="214">
        <v>100.0</v>
      </c>
      <c r="S1508" s="214" t="s">
        <v>525</v>
      </c>
      <c r="T1508" s="214" t="s">
        <v>365</v>
      </c>
      <c r="U1508" s="214"/>
    </row>
    <row r="1509">
      <c r="A1509" s="221">
        <v>45972.068451053245</v>
      </c>
      <c r="B1509" s="214" t="s">
        <v>62</v>
      </c>
      <c r="C1509" s="214" t="s">
        <v>199</v>
      </c>
      <c r="D1509" s="214">
        <v>6.0</v>
      </c>
      <c r="E1509" s="214">
        <v>3.0</v>
      </c>
      <c r="F1509" s="214" t="s">
        <v>1659</v>
      </c>
      <c r="G1509" s="214" t="s">
        <v>61</v>
      </c>
      <c r="H1509" s="214" t="s">
        <v>238</v>
      </c>
      <c r="I1509" s="214"/>
      <c r="J1509" s="222" t="s">
        <v>67</v>
      </c>
      <c r="K1509" s="222">
        <v>-11.5</v>
      </c>
      <c r="L1509" s="222" t="s">
        <v>67</v>
      </c>
      <c r="M1509" s="222">
        <v>44.5</v>
      </c>
      <c r="N1509" s="214">
        <v>294.0</v>
      </c>
      <c r="O1509" s="214">
        <v>180.0</v>
      </c>
      <c r="P1509" s="214">
        <v>2.0</v>
      </c>
      <c r="Q1509" s="214" t="b">
        <v>1</v>
      </c>
      <c r="R1509" s="214">
        <v>100.0</v>
      </c>
      <c r="S1509" s="214" t="s">
        <v>407</v>
      </c>
      <c r="T1509" s="214" t="s">
        <v>321</v>
      </c>
      <c r="U1509" s="214"/>
    </row>
    <row r="1510">
      <c r="A1510" s="221">
        <v>45972.068451053245</v>
      </c>
      <c r="B1510" s="214" t="s">
        <v>62</v>
      </c>
      <c r="C1510" s="214" t="s">
        <v>163</v>
      </c>
      <c r="D1510" s="214">
        <v>3.0</v>
      </c>
      <c r="E1510" s="214">
        <v>6.0</v>
      </c>
      <c r="F1510" s="214" t="s">
        <v>1645</v>
      </c>
      <c r="G1510" s="214" t="s">
        <v>61</v>
      </c>
      <c r="H1510" s="214" t="s">
        <v>43</v>
      </c>
      <c r="I1510" s="214"/>
      <c r="J1510" s="222" t="s">
        <v>67</v>
      </c>
      <c r="K1510" s="222">
        <v>2.5</v>
      </c>
      <c r="L1510" s="222" t="s">
        <v>67</v>
      </c>
      <c r="M1510" s="222">
        <v>52.5</v>
      </c>
      <c r="N1510" s="214">
        <v>244.0</v>
      </c>
      <c r="O1510" s="214">
        <v>334.0</v>
      </c>
      <c r="P1510" s="214">
        <v>2.0</v>
      </c>
      <c r="Q1510" s="214" t="b">
        <v>0</v>
      </c>
      <c r="R1510" s="214">
        <v>100.0</v>
      </c>
      <c r="S1510" s="214" t="s">
        <v>361</v>
      </c>
      <c r="T1510" s="214" t="s">
        <v>365</v>
      </c>
      <c r="U1510" s="214"/>
    </row>
    <row r="1511">
      <c r="A1511" s="221">
        <v>45972.068451053245</v>
      </c>
      <c r="B1511" s="214" t="s">
        <v>62</v>
      </c>
      <c r="C1511" s="214" t="s">
        <v>227</v>
      </c>
      <c r="D1511" s="214">
        <v>4.0</v>
      </c>
      <c r="E1511" s="214">
        <v>5.0</v>
      </c>
      <c r="F1511" s="214" t="s">
        <v>1660</v>
      </c>
      <c r="G1511" s="214" t="s">
        <v>61</v>
      </c>
      <c r="H1511" s="214" t="s">
        <v>193</v>
      </c>
      <c r="I1511" s="214"/>
      <c r="J1511" s="222" t="s">
        <v>67</v>
      </c>
      <c r="K1511" s="222">
        <v>-7.5</v>
      </c>
      <c r="L1511" s="222" t="s">
        <v>67</v>
      </c>
      <c r="M1511" s="222">
        <v>51.5</v>
      </c>
      <c r="N1511" s="214">
        <v>210.0</v>
      </c>
      <c r="O1511" s="214">
        <v>202.0</v>
      </c>
      <c r="P1511" s="214">
        <v>2.0</v>
      </c>
      <c r="Q1511" s="214" t="b">
        <v>0</v>
      </c>
      <c r="R1511" s="214">
        <v>100.0</v>
      </c>
      <c r="S1511" s="214" t="s">
        <v>535</v>
      </c>
      <c r="T1511" s="214" t="s">
        <v>365</v>
      </c>
      <c r="U1511" s="214"/>
    </row>
    <row r="1512">
      <c r="A1512" s="221">
        <v>45972.068451053245</v>
      </c>
      <c r="B1512" s="214" t="s">
        <v>62</v>
      </c>
      <c r="C1512" s="214" t="s">
        <v>304</v>
      </c>
      <c r="D1512" s="214">
        <v>3.0</v>
      </c>
      <c r="E1512" s="214">
        <v>7.0</v>
      </c>
      <c r="F1512" s="214" t="s">
        <v>1661</v>
      </c>
      <c r="G1512" s="214" t="s">
        <v>61</v>
      </c>
      <c r="H1512" s="214" t="s">
        <v>224</v>
      </c>
      <c r="I1512" s="214"/>
      <c r="J1512" s="222" t="s">
        <v>67</v>
      </c>
      <c r="K1512" s="222">
        <v>-2.5</v>
      </c>
      <c r="L1512" s="222" t="s">
        <v>67</v>
      </c>
      <c r="M1512" s="222">
        <v>50.5</v>
      </c>
      <c r="N1512" s="214">
        <v>244.0</v>
      </c>
      <c r="O1512" s="214">
        <v>317.0</v>
      </c>
      <c r="P1512" s="214">
        <v>2.0</v>
      </c>
      <c r="Q1512" s="214" t="b">
        <v>1</v>
      </c>
      <c r="R1512" s="214">
        <v>100.0</v>
      </c>
      <c r="S1512" s="214" t="s">
        <v>530</v>
      </c>
      <c r="T1512" s="214" t="s">
        <v>365</v>
      </c>
      <c r="U1512" s="214"/>
    </row>
    <row r="1513">
      <c r="A1513" s="221">
        <v>45972.068451053245</v>
      </c>
      <c r="B1513" s="214" t="s">
        <v>62</v>
      </c>
      <c r="C1513" s="214" t="s">
        <v>190</v>
      </c>
      <c r="D1513" s="214">
        <v>6.0</v>
      </c>
      <c r="E1513" s="214">
        <v>4.0</v>
      </c>
      <c r="F1513" s="214" t="s">
        <v>1662</v>
      </c>
      <c r="G1513" s="214" t="s">
        <v>532</v>
      </c>
      <c r="H1513" s="214" t="s">
        <v>132</v>
      </c>
      <c r="I1513" s="214"/>
      <c r="J1513" s="222" t="s">
        <v>67</v>
      </c>
      <c r="K1513" s="222">
        <v>18.5</v>
      </c>
      <c r="L1513" s="222" t="s">
        <v>67</v>
      </c>
      <c r="M1513" s="222">
        <v>49.5</v>
      </c>
      <c r="N1513" s="214">
        <v>250.0</v>
      </c>
      <c r="O1513" s="214">
        <v>252.0</v>
      </c>
      <c r="P1513" s="214">
        <v>2.0</v>
      </c>
      <c r="Q1513" s="214" t="b">
        <v>0</v>
      </c>
      <c r="R1513" s="214">
        <v>100.0</v>
      </c>
      <c r="S1513" s="214" t="s">
        <v>317</v>
      </c>
      <c r="T1513" s="214" t="s">
        <v>321</v>
      </c>
      <c r="U1513" s="214"/>
    </row>
    <row r="1514">
      <c r="A1514" s="221">
        <v>45972.068451053245</v>
      </c>
      <c r="B1514" s="214"/>
      <c r="C1514" s="214"/>
      <c r="D1514" s="214"/>
      <c r="E1514" s="214"/>
      <c r="F1514" s="214"/>
      <c r="G1514" s="214"/>
      <c r="H1514" s="214"/>
      <c r="I1514" s="214"/>
      <c r="J1514" s="222"/>
      <c r="K1514" s="222"/>
      <c r="L1514" s="222"/>
      <c r="M1514" s="222"/>
      <c r="N1514" s="214"/>
      <c r="O1514" s="214"/>
      <c r="P1514" s="214"/>
      <c r="Q1514" s="214"/>
      <c r="R1514" s="214"/>
      <c r="S1514" s="214"/>
      <c r="T1514" s="214"/>
      <c r="U1514" s="214"/>
    </row>
    <row r="1515">
      <c r="A1515" s="221">
        <v>45972.068451053245</v>
      </c>
      <c r="B1515" s="214" t="s">
        <v>193</v>
      </c>
      <c r="C1515" s="214" t="s">
        <v>211</v>
      </c>
      <c r="D1515" s="214">
        <v>6.0</v>
      </c>
      <c r="E1515" s="214">
        <v>3.0</v>
      </c>
      <c r="F1515" s="214"/>
      <c r="G1515" s="214"/>
      <c r="H1515" s="214"/>
      <c r="I1515" s="214"/>
      <c r="J1515" s="222"/>
      <c r="K1515" s="222"/>
      <c r="L1515" s="222"/>
      <c r="M1515" s="222"/>
      <c r="N1515" s="214">
        <v>392.0</v>
      </c>
      <c r="O1515" s="214">
        <v>280.0</v>
      </c>
      <c r="P1515" s="214">
        <v>0.0</v>
      </c>
      <c r="Q1515" s="214" t="b">
        <v>1</v>
      </c>
      <c r="R1515" s="214">
        <v>59.0</v>
      </c>
      <c r="S1515" s="214" t="s">
        <v>556</v>
      </c>
      <c r="T1515" s="214" t="s">
        <v>321</v>
      </c>
      <c r="U1515" s="214"/>
    </row>
    <row r="1516">
      <c r="A1516" s="221">
        <v>45972.068451053245</v>
      </c>
      <c r="B1516" s="214" t="s">
        <v>193</v>
      </c>
      <c r="C1516" s="214" t="s">
        <v>182</v>
      </c>
      <c r="D1516" s="214">
        <v>6.0</v>
      </c>
      <c r="E1516" s="214">
        <v>3.0</v>
      </c>
      <c r="F1516" s="214"/>
      <c r="G1516" s="214"/>
      <c r="H1516" s="214"/>
      <c r="I1516" s="214"/>
      <c r="J1516" s="222"/>
      <c r="K1516" s="222"/>
      <c r="L1516" s="222"/>
      <c r="M1516" s="222"/>
      <c r="N1516" s="214">
        <v>272.0</v>
      </c>
      <c r="O1516" s="214">
        <v>233.0</v>
      </c>
      <c r="P1516" s="214">
        <v>0.0</v>
      </c>
      <c r="Q1516" s="214" t="b">
        <v>1</v>
      </c>
      <c r="R1516" s="214">
        <v>59.0</v>
      </c>
      <c r="S1516" s="214" t="s">
        <v>525</v>
      </c>
      <c r="T1516" s="214" t="s">
        <v>365</v>
      </c>
      <c r="U1516" s="214"/>
    </row>
    <row r="1517">
      <c r="A1517" s="221">
        <v>45972.068451053245</v>
      </c>
      <c r="B1517" s="214" t="s">
        <v>193</v>
      </c>
      <c r="C1517" s="214" t="s">
        <v>194</v>
      </c>
      <c r="D1517" s="214">
        <v>2.0</v>
      </c>
      <c r="E1517" s="214">
        <v>8.0</v>
      </c>
      <c r="F1517" s="214" t="s">
        <v>1663</v>
      </c>
      <c r="G1517" s="214" t="s">
        <v>61</v>
      </c>
      <c r="H1517" s="214" t="s">
        <v>311</v>
      </c>
      <c r="I1517" s="214"/>
      <c r="J1517" s="222" t="s">
        <v>67</v>
      </c>
      <c r="K1517" s="222">
        <v>-20.5</v>
      </c>
      <c r="L1517" s="222" t="s">
        <v>67</v>
      </c>
      <c r="M1517" s="222">
        <v>52.5</v>
      </c>
      <c r="N1517" s="214">
        <v>196.0</v>
      </c>
      <c r="O1517" s="214">
        <v>290.0</v>
      </c>
      <c r="P1517" s="214">
        <v>2.0</v>
      </c>
      <c r="Q1517" s="214" t="b">
        <v>1</v>
      </c>
      <c r="R1517" s="214">
        <v>100.0</v>
      </c>
      <c r="S1517" s="214" t="s">
        <v>680</v>
      </c>
      <c r="T1517" s="214" t="s">
        <v>365</v>
      </c>
      <c r="U1517" s="214"/>
    </row>
    <row r="1518">
      <c r="A1518" s="221">
        <v>45972.068451053245</v>
      </c>
      <c r="B1518" s="214" t="s">
        <v>193</v>
      </c>
      <c r="C1518" s="214" t="s">
        <v>552</v>
      </c>
      <c r="D1518" s="214">
        <v>4.0</v>
      </c>
      <c r="E1518" s="214">
        <v>6.0</v>
      </c>
      <c r="F1518" s="214" t="s">
        <v>1651</v>
      </c>
      <c r="G1518" s="214" t="s">
        <v>61</v>
      </c>
      <c r="H1518" s="214" t="s">
        <v>95</v>
      </c>
      <c r="I1518" s="214"/>
      <c r="J1518" s="222" t="s">
        <v>67</v>
      </c>
      <c r="K1518" s="222">
        <v>2.5</v>
      </c>
      <c r="L1518" s="222" t="s">
        <v>67</v>
      </c>
      <c r="M1518" s="222">
        <v>63.5</v>
      </c>
      <c r="N1518" s="214">
        <v>261.0</v>
      </c>
      <c r="O1518" s="214">
        <v>303.0</v>
      </c>
      <c r="P1518" s="214">
        <v>2.0</v>
      </c>
      <c r="Q1518" s="214" t="b">
        <v>0</v>
      </c>
      <c r="R1518" s="214">
        <v>100.0</v>
      </c>
      <c r="S1518" s="214" t="s">
        <v>441</v>
      </c>
      <c r="T1518" s="214" t="s">
        <v>365</v>
      </c>
      <c r="U1518" s="214"/>
    </row>
    <row r="1519">
      <c r="A1519" s="221">
        <v>45972.068451053245</v>
      </c>
      <c r="B1519" s="214" t="s">
        <v>193</v>
      </c>
      <c r="C1519" s="214" t="s">
        <v>126</v>
      </c>
      <c r="D1519" s="214">
        <v>5.0</v>
      </c>
      <c r="E1519" s="214">
        <v>5.0</v>
      </c>
      <c r="F1519" s="214" t="s">
        <v>1664</v>
      </c>
      <c r="G1519" s="214" t="s">
        <v>61</v>
      </c>
      <c r="H1519" s="214" t="s">
        <v>493</v>
      </c>
      <c r="I1519" s="214"/>
      <c r="J1519" s="222" t="s">
        <v>67</v>
      </c>
      <c r="K1519" s="222">
        <v>5.5</v>
      </c>
      <c r="L1519" s="222" t="s">
        <v>67</v>
      </c>
      <c r="M1519" s="222">
        <v>57.5</v>
      </c>
      <c r="N1519" s="214">
        <v>302.0</v>
      </c>
      <c r="O1519" s="214">
        <v>252.0</v>
      </c>
      <c r="P1519" s="214">
        <v>2.0</v>
      </c>
      <c r="Q1519" s="214" t="b">
        <v>1</v>
      </c>
      <c r="R1519" s="214">
        <v>100.0</v>
      </c>
      <c r="S1519" s="214" t="s">
        <v>471</v>
      </c>
      <c r="T1519" s="214" t="s">
        <v>321</v>
      </c>
      <c r="U1519" s="214"/>
    </row>
    <row r="1520">
      <c r="A1520" s="221">
        <v>45972.068451053245</v>
      </c>
      <c r="B1520" s="214" t="s">
        <v>193</v>
      </c>
      <c r="C1520" s="214" t="s">
        <v>150</v>
      </c>
      <c r="D1520" s="214">
        <v>4.0</v>
      </c>
      <c r="E1520" s="214">
        <v>5.0</v>
      </c>
      <c r="F1520" s="214" t="s">
        <v>1665</v>
      </c>
      <c r="G1520" s="214" t="s">
        <v>61</v>
      </c>
      <c r="H1520" s="214" t="s">
        <v>493</v>
      </c>
      <c r="I1520" s="214"/>
      <c r="J1520" s="222" t="s">
        <v>67</v>
      </c>
      <c r="K1520" s="222">
        <v>-3.5</v>
      </c>
      <c r="L1520" s="222" t="s">
        <v>67</v>
      </c>
      <c r="M1520" s="222">
        <v>62.5</v>
      </c>
      <c r="N1520" s="214">
        <v>282.0</v>
      </c>
      <c r="O1520" s="214">
        <v>311.0</v>
      </c>
      <c r="P1520" s="214">
        <v>2.0</v>
      </c>
      <c r="Q1520" s="214" t="b">
        <v>1</v>
      </c>
      <c r="R1520" s="214">
        <v>100.0</v>
      </c>
      <c r="S1520" s="214" t="s">
        <v>361</v>
      </c>
      <c r="T1520" s="214" t="s">
        <v>365</v>
      </c>
      <c r="U1520" s="214"/>
    </row>
    <row r="1521">
      <c r="A1521" s="221">
        <v>45972.068451053245</v>
      </c>
      <c r="B1521" s="214" t="s">
        <v>193</v>
      </c>
      <c r="C1521" s="214" t="s">
        <v>236</v>
      </c>
      <c r="D1521" s="214">
        <v>6.0</v>
      </c>
      <c r="E1521" s="214">
        <v>3.0</v>
      </c>
      <c r="F1521" s="214" t="s">
        <v>1660</v>
      </c>
      <c r="G1521" s="214" t="s">
        <v>61</v>
      </c>
      <c r="H1521" s="214" t="s">
        <v>62</v>
      </c>
      <c r="I1521" s="214"/>
      <c r="J1521" s="222" t="s">
        <v>67</v>
      </c>
      <c r="K1521" s="222">
        <v>7.5</v>
      </c>
      <c r="L1521" s="222" t="s">
        <v>67</v>
      </c>
      <c r="M1521" s="222">
        <v>51.5</v>
      </c>
      <c r="N1521" s="214">
        <v>203.0</v>
      </c>
      <c r="O1521" s="214">
        <v>233.0</v>
      </c>
      <c r="P1521" s="214">
        <v>2.0</v>
      </c>
      <c r="Q1521" s="214" t="b">
        <v>1</v>
      </c>
      <c r="R1521" s="214">
        <v>100.0</v>
      </c>
      <c r="S1521" s="214" t="s">
        <v>535</v>
      </c>
      <c r="T1521" s="214" t="s">
        <v>365</v>
      </c>
      <c r="U1521" s="214"/>
    </row>
    <row r="1522">
      <c r="A1522" s="221">
        <v>45972.068451053245</v>
      </c>
      <c r="B1522" s="214" t="s">
        <v>193</v>
      </c>
      <c r="C1522" s="214" t="s">
        <v>144</v>
      </c>
      <c r="D1522" s="214">
        <v>9.0</v>
      </c>
      <c r="E1522" s="214">
        <v>0.0</v>
      </c>
      <c r="F1522" s="214" t="s">
        <v>1666</v>
      </c>
      <c r="G1522" s="214" t="s">
        <v>61</v>
      </c>
      <c r="H1522" s="214" t="s">
        <v>493</v>
      </c>
      <c r="I1522" s="214"/>
      <c r="J1522" s="222" t="s">
        <v>67</v>
      </c>
      <c r="K1522" s="222">
        <v>-29.5</v>
      </c>
      <c r="L1522" s="222" t="s">
        <v>67</v>
      </c>
      <c r="M1522" s="222">
        <v>48.5</v>
      </c>
      <c r="N1522" s="214">
        <v>327.0</v>
      </c>
      <c r="O1522" s="214">
        <v>65.0</v>
      </c>
      <c r="P1522" s="214">
        <v>2.0</v>
      </c>
      <c r="Q1522" s="214" t="b">
        <v>1</v>
      </c>
      <c r="R1522" s="214">
        <v>100.0</v>
      </c>
      <c r="S1522" s="214" t="s">
        <v>407</v>
      </c>
      <c r="T1522" s="214" t="s">
        <v>321</v>
      </c>
      <c r="U1522" s="214"/>
    </row>
    <row r="1523">
      <c r="A1523" s="221">
        <v>45972.068451053245</v>
      </c>
      <c r="B1523" s="214" t="s">
        <v>193</v>
      </c>
      <c r="C1523" s="214" t="s">
        <v>104</v>
      </c>
      <c r="D1523" s="214">
        <v>7.0</v>
      </c>
      <c r="E1523" s="214">
        <v>3.0</v>
      </c>
      <c r="F1523" s="214" t="s">
        <v>1667</v>
      </c>
      <c r="G1523" s="214" t="s">
        <v>61</v>
      </c>
      <c r="H1523" s="214" t="s">
        <v>493</v>
      </c>
      <c r="I1523" s="214"/>
      <c r="J1523" s="222" t="s">
        <v>67</v>
      </c>
      <c r="K1523" s="222">
        <v>-10.5</v>
      </c>
      <c r="L1523" s="222" t="s">
        <v>67</v>
      </c>
      <c r="M1523" s="222">
        <v>53.5</v>
      </c>
      <c r="N1523" s="214">
        <v>322.0</v>
      </c>
      <c r="O1523" s="214">
        <v>204.0</v>
      </c>
      <c r="P1523" s="214">
        <v>2.0</v>
      </c>
      <c r="Q1523" s="214" t="b">
        <v>1</v>
      </c>
      <c r="R1523" s="214">
        <v>100.0</v>
      </c>
      <c r="S1523" s="214" t="s">
        <v>317</v>
      </c>
      <c r="T1523" s="214" t="s">
        <v>321</v>
      </c>
      <c r="U1523" s="214"/>
    </row>
    <row r="1524">
      <c r="A1524" s="221">
        <v>45972.068451053245</v>
      </c>
      <c r="B1524" s="214" t="s">
        <v>193</v>
      </c>
      <c r="C1524" s="214" t="s">
        <v>164</v>
      </c>
      <c r="D1524" s="214">
        <v>4.0</v>
      </c>
      <c r="E1524" s="214">
        <v>6.0</v>
      </c>
      <c r="F1524" s="214" t="s">
        <v>1649</v>
      </c>
      <c r="G1524" s="214" t="s">
        <v>61</v>
      </c>
      <c r="H1524" s="214" t="s">
        <v>43</v>
      </c>
      <c r="I1524" s="214"/>
      <c r="J1524" s="222" t="s">
        <v>67</v>
      </c>
      <c r="K1524" s="222">
        <v>-9.5</v>
      </c>
      <c r="L1524" s="222" t="s">
        <v>67</v>
      </c>
      <c r="M1524" s="222">
        <v>49.5</v>
      </c>
      <c r="N1524" s="214">
        <v>213.0</v>
      </c>
      <c r="O1524" s="214">
        <v>271.0</v>
      </c>
      <c r="P1524" s="214">
        <v>2.0</v>
      </c>
      <c r="Q1524" s="214" t="b">
        <v>1</v>
      </c>
      <c r="R1524" s="214">
        <v>100.0</v>
      </c>
      <c r="S1524" s="214" t="s">
        <v>530</v>
      </c>
      <c r="T1524" s="214" t="s">
        <v>365</v>
      </c>
      <c r="U1524" s="214"/>
    </row>
    <row r="1525">
      <c r="A1525" s="221">
        <v>45972.068451053245</v>
      </c>
      <c r="B1525" s="214"/>
      <c r="C1525" s="214"/>
      <c r="D1525" s="214"/>
      <c r="E1525" s="214"/>
      <c r="F1525" s="214"/>
      <c r="G1525" s="214"/>
      <c r="H1525" s="214"/>
      <c r="I1525" s="214"/>
      <c r="J1525" s="222"/>
      <c r="K1525" s="222"/>
      <c r="L1525" s="222"/>
      <c r="M1525" s="222"/>
      <c r="N1525" s="214"/>
      <c r="O1525" s="214"/>
      <c r="P1525" s="214"/>
      <c r="Q1525" s="214"/>
      <c r="R1525" s="214"/>
      <c r="S1525" s="214"/>
      <c r="T1525" s="214"/>
      <c r="U1525" s="214"/>
    </row>
    <row r="1526">
      <c r="A1526" s="221">
        <v>45972.068451053245</v>
      </c>
      <c r="B1526" s="214" t="s">
        <v>311</v>
      </c>
      <c r="C1526" s="214" t="s">
        <v>139</v>
      </c>
      <c r="D1526" s="214">
        <v>7.0</v>
      </c>
      <c r="E1526" s="214">
        <v>2.0</v>
      </c>
      <c r="F1526" s="214"/>
      <c r="G1526" s="214"/>
      <c r="H1526" s="214"/>
      <c r="I1526" s="214"/>
      <c r="J1526" s="222"/>
      <c r="K1526" s="222"/>
      <c r="L1526" s="222"/>
      <c r="M1526" s="222"/>
      <c r="N1526" s="214">
        <v>253.0</v>
      </c>
      <c r="O1526" s="214">
        <v>155.0</v>
      </c>
      <c r="P1526" s="214">
        <v>0.0</v>
      </c>
      <c r="Q1526" s="214" t="b">
        <v>1</v>
      </c>
      <c r="R1526" s="214">
        <v>59.0</v>
      </c>
      <c r="S1526" s="214" t="s">
        <v>407</v>
      </c>
      <c r="T1526" s="214" t="s">
        <v>321</v>
      </c>
      <c r="U1526" s="214"/>
    </row>
    <row r="1527">
      <c r="A1527" s="221">
        <v>45972.068451053245</v>
      </c>
      <c r="B1527" s="214" t="s">
        <v>311</v>
      </c>
      <c r="C1527" s="214" t="s">
        <v>122</v>
      </c>
      <c r="D1527" s="214">
        <v>3.0</v>
      </c>
      <c r="E1527" s="214">
        <v>6.0</v>
      </c>
      <c r="F1527" s="214"/>
      <c r="G1527" s="214"/>
      <c r="H1527" s="214"/>
      <c r="I1527" s="214"/>
      <c r="J1527" s="222"/>
      <c r="K1527" s="222"/>
      <c r="L1527" s="222"/>
      <c r="M1527" s="222"/>
      <c r="N1527" s="214">
        <v>219.0</v>
      </c>
      <c r="O1527" s="214">
        <v>267.0</v>
      </c>
      <c r="P1527" s="214">
        <v>0.0</v>
      </c>
      <c r="Q1527" s="214" t="b">
        <v>1</v>
      </c>
      <c r="R1527" s="214">
        <v>59.0</v>
      </c>
      <c r="S1527" s="214" t="s">
        <v>317</v>
      </c>
      <c r="T1527" s="214" t="s">
        <v>321</v>
      </c>
      <c r="U1527" s="214"/>
    </row>
    <row r="1528">
      <c r="A1528" s="221">
        <v>45972.068451053245</v>
      </c>
      <c r="B1528" s="214" t="s">
        <v>311</v>
      </c>
      <c r="C1528" s="214" t="s">
        <v>234</v>
      </c>
      <c r="D1528" s="214">
        <v>1.0</v>
      </c>
      <c r="E1528" s="214">
        <v>8.0</v>
      </c>
      <c r="F1528" s="214" t="s">
        <v>1663</v>
      </c>
      <c r="G1528" s="214" t="s">
        <v>61</v>
      </c>
      <c r="H1528" s="214" t="s">
        <v>193</v>
      </c>
      <c r="I1528" s="214"/>
      <c r="J1528" s="222" t="s">
        <v>67</v>
      </c>
      <c r="K1528" s="222">
        <v>20.5</v>
      </c>
      <c r="L1528" s="222" t="s">
        <v>67</v>
      </c>
      <c r="M1528" s="222">
        <v>52.5</v>
      </c>
      <c r="N1528" s="214">
        <v>154.0</v>
      </c>
      <c r="O1528" s="214">
        <v>344.0</v>
      </c>
      <c r="P1528" s="214">
        <v>2.0</v>
      </c>
      <c r="Q1528" s="214" t="b">
        <v>0</v>
      </c>
      <c r="R1528" s="214">
        <v>100.0</v>
      </c>
      <c r="S1528" s="214" t="s">
        <v>535</v>
      </c>
      <c r="T1528" s="214" t="s">
        <v>365</v>
      </c>
      <c r="U1528" s="214"/>
    </row>
    <row r="1529">
      <c r="A1529" s="221">
        <v>45972.068451053245</v>
      </c>
      <c r="B1529" s="214" t="s">
        <v>311</v>
      </c>
      <c r="C1529" s="214" t="s">
        <v>186</v>
      </c>
      <c r="D1529" s="214">
        <v>5.0</v>
      </c>
      <c r="E1529" s="214">
        <v>4.0</v>
      </c>
      <c r="F1529" s="214" t="s">
        <v>1668</v>
      </c>
      <c r="G1529" s="214" t="s">
        <v>61</v>
      </c>
      <c r="H1529" s="214" t="s">
        <v>156</v>
      </c>
      <c r="I1529" s="214"/>
      <c r="J1529" s="222" t="s">
        <v>67</v>
      </c>
      <c r="K1529" s="222">
        <v>-9.5</v>
      </c>
      <c r="L1529" s="222" t="s">
        <v>67</v>
      </c>
      <c r="M1529" s="222">
        <v>52.5</v>
      </c>
      <c r="N1529" s="214">
        <v>303.0</v>
      </c>
      <c r="O1529" s="214">
        <v>268.0</v>
      </c>
      <c r="P1529" s="214">
        <v>2.0</v>
      </c>
      <c r="Q1529" s="214" t="b">
        <v>0</v>
      </c>
      <c r="R1529" s="214">
        <v>100.0</v>
      </c>
      <c r="S1529" s="214" t="s">
        <v>525</v>
      </c>
      <c r="T1529" s="214" t="s">
        <v>365</v>
      </c>
      <c r="U1529" s="214"/>
    </row>
    <row r="1530">
      <c r="A1530" s="221">
        <v>45972.068451053245</v>
      </c>
      <c r="B1530" s="214" t="s">
        <v>311</v>
      </c>
      <c r="C1530" s="214" t="s">
        <v>206</v>
      </c>
      <c r="D1530" s="214">
        <v>5.0</v>
      </c>
      <c r="E1530" s="214">
        <v>4.0</v>
      </c>
      <c r="F1530" s="214" t="s">
        <v>1656</v>
      </c>
      <c r="G1530" s="214" t="s">
        <v>61</v>
      </c>
      <c r="H1530" s="214" t="s">
        <v>62</v>
      </c>
      <c r="I1530" s="214"/>
      <c r="J1530" s="222" t="s">
        <v>67</v>
      </c>
      <c r="K1530" s="222">
        <v>10.0</v>
      </c>
      <c r="L1530" s="222" t="s">
        <v>67</v>
      </c>
      <c r="M1530" s="222">
        <v>49.5</v>
      </c>
      <c r="N1530" s="214">
        <v>213.0</v>
      </c>
      <c r="O1530" s="214">
        <v>171.0</v>
      </c>
      <c r="P1530" s="214">
        <v>2.0</v>
      </c>
      <c r="Q1530" s="214" t="b">
        <v>0</v>
      </c>
      <c r="R1530" s="214">
        <v>100.0</v>
      </c>
      <c r="S1530" s="214" t="s">
        <v>556</v>
      </c>
      <c r="T1530" s="214" t="s">
        <v>321</v>
      </c>
      <c r="U1530" s="214"/>
    </row>
    <row r="1531">
      <c r="A1531" s="221">
        <v>45972.068451053245</v>
      </c>
      <c r="B1531" s="214" t="s">
        <v>311</v>
      </c>
      <c r="C1531" s="214" t="s">
        <v>125</v>
      </c>
      <c r="D1531" s="214">
        <v>6.0</v>
      </c>
      <c r="E1531" s="214">
        <v>4.0</v>
      </c>
      <c r="F1531" s="214" t="s">
        <v>1652</v>
      </c>
      <c r="G1531" s="214" t="s">
        <v>61</v>
      </c>
      <c r="H1531" s="214" t="s">
        <v>95</v>
      </c>
      <c r="I1531" s="214"/>
      <c r="J1531" s="222" t="s">
        <v>67</v>
      </c>
      <c r="K1531" s="222">
        <v>7.0</v>
      </c>
      <c r="L1531" s="222" t="s">
        <v>67</v>
      </c>
      <c r="M1531" s="222">
        <v>57.5</v>
      </c>
      <c r="N1531" s="214">
        <v>271.0</v>
      </c>
      <c r="O1531" s="214">
        <v>215.0</v>
      </c>
      <c r="P1531" s="214">
        <v>2.0</v>
      </c>
      <c r="Q1531" s="214" t="b">
        <v>1</v>
      </c>
      <c r="R1531" s="214">
        <v>100.0</v>
      </c>
      <c r="S1531" s="214" t="s">
        <v>471</v>
      </c>
      <c r="T1531" s="214" t="s">
        <v>321</v>
      </c>
      <c r="U1531" s="214"/>
    </row>
    <row r="1532">
      <c r="A1532" s="221">
        <v>45972.068451053245</v>
      </c>
      <c r="B1532" s="214" t="s">
        <v>311</v>
      </c>
      <c r="C1532" s="214" t="s">
        <v>192</v>
      </c>
      <c r="D1532" s="214">
        <v>8.0</v>
      </c>
      <c r="E1532" s="214">
        <v>1.0</v>
      </c>
      <c r="F1532" s="214" t="s">
        <v>1669</v>
      </c>
      <c r="G1532" s="214" t="s">
        <v>61</v>
      </c>
      <c r="H1532" s="214" t="s">
        <v>249</v>
      </c>
      <c r="I1532" s="214"/>
      <c r="J1532" s="222" t="s">
        <v>67</v>
      </c>
      <c r="K1532" s="222">
        <v>-6.5</v>
      </c>
      <c r="L1532" s="222" t="s">
        <v>67</v>
      </c>
      <c r="M1532" s="222">
        <v>42.5</v>
      </c>
      <c r="N1532" s="214">
        <v>348.0</v>
      </c>
      <c r="O1532" s="214">
        <v>124.0</v>
      </c>
      <c r="P1532" s="214">
        <v>2.0</v>
      </c>
      <c r="Q1532" s="214" t="b">
        <v>1</v>
      </c>
      <c r="R1532" s="214">
        <v>100.0</v>
      </c>
      <c r="S1532" s="214" t="s">
        <v>407</v>
      </c>
      <c r="T1532" s="214" t="s">
        <v>321</v>
      </c>
      <c r="U1532" s="214"/>
    </row>
    <row r="1533">
      <c r="A1533" s="221">
        <v>45972.068451053245</v>
      </c>
      <c r="B1533" s="214" t="s">
        <v>311</v>
      </c>
      <c r="C1533" s="214" t="s">
        <v>152</v>
      </c>
      <c r="D1533" s="214">
        <v>4.0</v>
      </c>
      <c r="E1533" s="214">
        <v>5.0</v>
      </c>
      <c r="F1533" s="214" t="s">
        <v>1670</v>
      </c>
      <c r="G1533" s="214" t="s">
        <v>61</v>
      </c>
      <c r="H1533" s="214" t="s">
        <v>395</v>
      </c>
      <c r="I1533" s="214"/>
      <c r="J1533" s="222" t="s">
        <v>67</v>
      </c>
      <c r="K1533" s="222">
        <v>13.5</v>
      </c>
      <c r="L1533" s="222" t="s">
        <v>67</v>
      </c>
      <c r="M1533" s="222">
        <v>54.5</v>
      </c>
      <c r="N1533" s="214">
        <v>296.0</v>
      </c>
      <c r="O1533" s="214">
        <v>295.0</v>
      </c>
      <c r="P1533" s="214">
        <v>2.0</v>
      </c>
      <c r="Q1533" s="214" t="b">
        <v>0</v>
      </c>
      <c r="R1533" s="214">
        <v>100.0</v>
      </c>
      <c r="S1533" s="214" t="s">
        <v>441</v>
      </c>
      <c r="T1533" s="214" t="s">
        <v>365</v>
      </c>
      <c r="U1533" s="214"/>
    </row>
    <row r="1534">
      <c r="A1534" s="221">
        <v>45972.068451053245</v>
      </c>
      <c r="B1534" s="214" t="s">
        <v>311</v>
      </c>
      <c r="C1534" s="214" t="s">
        <v>161</v>
      </c>
      <c r="D1534" s="214">
        <v>4.0</v>
      </c>
      <c r="E1534" s="214">
        <v>5.0</v>
      </c>
      <c r="F1534" s="214" t="s">
        <v>1671</v>
      </c>
      <c r="G1534" s="214" t="s">
        <v>61</v>
      </c>
      <c r="H1534" s="214" t="s">
        <v>96</v>
      </c>
      <c r="I1534" s="214"/>
      <c r="J1534" s="222" t="s">
        <v>67</v>
      </c>
      <c r="K1534" s="222">
        <v>13.5</v>
      </c>
      <c r="L1534" s="222" t="s">
        <v>67</v>
      </c>
      <c r="M1534" s="222">
        <v>67.5</v>
      </c>
      <c r="N1534" s="214">
        <v>295.0</v>
      </c>
      <c r="O1534" s="214">
        <v>297.0</v>
      </c>
      <c r="P1534" s="214">
        <v>2.0</v>
      </c>
      <c r="Q1534" s="214" t="b">
        <v>0</v>
      </c>
      <c r="R1534" s="214">
        <v>100.0</v>
      </c>
      <c r="S1534" s="214" t="s">
        <v>361</v>
      </c>
      <c r="T1534" s="214" t="s">
        <v>365</v>
      </c>
      <c r="U1534" s="214"/>
    </row>
    <row r="1535">
      <c r="A1535" s="221">
        <v>45972.068451053245</v>
      </c>
      <c r="B1535" s="214" t="s">
        <v>311</v>
      </c>
      <c r="C1535" s="214" t="s">
        <v>172</v>
      </c>
      <c r="D1535" s="214">
        <v>2.0</v>
      </c>
      <c r="E1535" s="214">
        <v>7.0</v>
      </c>
      <c r="F1535" s="214" t="s">
        <v>1672</v>
      </c>
      <c r="G1535" s="214" t="s">
        <v>61</v>
      </c>
      <c r="H1535" s="214" t="s">
        <v>156</v>
      </c>
      <c r="I1535" s="214"/>
      <c r="J1535" s="222" t="s">
        <v>67</v>
      </c>
      <c r="K1535" s="222">
        <v>14.5</v>
      </c>
      <c r="L1535" s="222" t="s">
        <v>67</v>
      </c>
      <c r="M1535" s="222">
        <v>42.5</v>
      </c>
      <c r="N1535" s="214">
        <v>110.0</v>
      </c>
      <c r="O1535" s="214">
        <v>219.0</v>
      </c>
      <c r="P1535" s="214">
        <v>2.0</v>
      </c>
      <c r="Q1535" s="214" t="b">
        <v>0</v>
      </c>
      <c r="R1535" s="214">
        <v>100.0</v>
      </c>
      <c r="S1535" s="214" t="s">
        <v>530</v>
      </c>
      <c r="T1535" s="214" t="s">
        <v>365</v>
      </c>
      <c r="U1535" s="214"/>
    </row>
    <row r="1536">
      <c r="A1536" s="221">
        <v>45972.068451053245</v>
      </c>
      <c r="B1536" s="214"/>
      <c r="C1536" s="214"/>
      <c r="D1536" s="214"/>
      <c r="E1536" s="214"/>
      <c r="F1536" s="214"/>
      <c r="G1536" s="214"/>
      <c r="H1536" s="214"/>
      <c r="I1536" s="214"/>
      <c r="J1536" s="222"/>
      <c r="K1536" s="222"/>
      <c r="L1536" s="222"/>
      <c r="M1536" s="222"/>
      <c r="N1536" s="214"/>
      <c r="O1536" s="214"/>
      <c r="P1536" s="214"/>
      <c r="Q1536" s="214"/>
      <c r="R1536" s="214"/>
      <c r="S1536" s="214"/>
      <c r="T1536" s="214"/>
      <c r="U1536" s="214"/>
    </row>
    <row r="1537">
      <c r="A1537" s="221">
        <v>45972.068451053245</v>
      </c>
      <c r="B1537" s="214" t="s">
        <v>224</v>
      </c>
      <c r="C1537" s="214" t="s">
        <v>140</v>
      </c>
      <c r="D1537" s="214">
        <v>3.0</v>
      </c>
      <c r="E1537" s="214">
        <v>6.0</v>
      </c>
      <c r="F1537" s="214"/>
      <c r="G1537" s="214"/>
      <c r="H1537" s="214"/>
      <c r="I1537" s="214"/>
      <c r="J1537" s="222"/>
      <c r="K1537" s="222"/>
      <c r="L1537" s="222"/>
      <c r="M1537" s="222"/>
      <c r="N1537" s="214">
        <v>230.0</v>
      </c>
      <c r="O1537" s="214">
        <v>283.0</v>
      </c>
      <c r="P1537" s="214">
        <v>0.0</v>
      </c>
      <c r="Q1537" s="214" t="b">
        <v>1</v>
      </c>
      <c r="R1537" s="214">
        <v>59.0</v>
      </c>
      <c r="S1537" s="214" t="s">
        <v>407</v>
      </c>
      <c r="T1537" s="214" t="s">
        <v>321</v>
      </c>
      <c r="U1537" s="214"/>
    </row>
    <row r="1538">
      <c r="A1538" s="221">
        <v>45972.068451053245</v>
      </c>
      <c r="B1538" s="214" t="s">
        <v>224</v>
      </c>
      <c r="C1538" s="214" t="s">
        <v>113</v>
      </c>
      <c r="D1538" s="214">
        <v>4.0</v>
      </c>
      <c r="E1538" s="214">
        <v>5.0</v>
      </c>
      <c r="F1538" s="214" t="s">
        <v>1673</v>
      </c>
      <c r="G1538" s="214" t="s">
        <v>61</v>
      </c>
      <c r="H1538" s="214" t="s">
        <v>249</v>
      </c>
      <c r="I1538" s="214"/>
      <c r="J1538" s="222" t="s">
        <v>67</v>
      </c>
      <c r="K1538" s="222">
        <v>1.5</v>
      </c>
      <c r="L1538" s="222" t="s">
        <v>67</v>
      </c>
      <c r="M1538" s="222">
        <v>56.5</v>
      </c>
      <c r="N1538" s="214">
        <v>330.0</v>
      </c>
      <c r="O1538" s="214">
        <v>189.0</v>
      </c>
      <c r="P1538" s="214">
        <v>2.0</v>
      </c>
      <c r="Q1538" s="214" t="b">
        <v>0</v>
      </c>
      <c r="R1538" s="214">
        <v>100.0</v>
      </c>
      <c r="S1538" s="214" t="s">
        <v>317</v>
      </c>
      <c r="T1538" s="214" t="s">
        <v>321</v>
      </c>
      <c r="U1538" s="214"/>
    </row>
    <row r="1539">
      <c r="A1539" s="221">
        <v>45972.068451053245</v>
      </c>
      <c r="B1539" s="214" t="s">
        <v>224</v>
      </c>
      <c r="C1539" s="214" t="s">
        <v>103</v>
      </c>
      <c r="D1539" s="214">
        <v>7.0</v>
      </c>
      <c r="E1539" s="214">
        <v>2.0</v>
      </c>
      <c r="F1539" s="214" t="s">
        <v>1674</v>
      </c>
      <c r="G1539" s="214" t="s">
        <v>61</v>
      </c>
      <c r="H1539" s="214" t="s">
        <v>96</v>
      </c>
      <c r="I1539" s="214"/>
      <c r="J1539" s="222" t="s">
        <v>67</v>
      </c>
      <c r="K1539" s="222">
        <v>26.5</v>
      </c>
      <c r="L1539" s="222" t="s">
        <v>67</v>
      </c>
      <c r="M1539" s="222">
        <v>55.5</v>
      </c>
      <c r="N1539" s="214">
        <v>288.0</v>
      </c>
      <c r="O1539" s="214">
        <v>241.0</v>
      </c>
      <c r="P1539" s="214">
        <v>2.0</v>
      </c>
      <c r="Q1539" s="214" t="b">
        <v>0</v>
      </c>
      <c r="R1539" s="214">
        <v>100.0</v>
      </c>
      <c r="S1539" s="214" t="s">
        <v>361</v>
      </c>
      <c r="T1539" s="214" t="s">
        <v>365</v>
      </c>
      <c r="U1539" s="214"/>
    </row>
    <row r="1540">
      <c r="A1540" s="221">
        <v>45972.068451053245</v>
      </c>
      <c r="B1540" s="214" t="s">
        <v>224</v>
      </c>
      <c r="C1540" s="214" t="s">
        <v>203</v>
      </c>
      <c r="D1540" s="214">
        <v>3.0</v>
      </c>
      <c r="E1540" s="214">
        <v>6.0</v>
      </c>
      <c r="F1540" s="214" t="s">
        <v>1675</v>
      </c>
      <c r="G1540" s="214" t="s">
        <v>61</v>
      </c>
      <c r="H1540" s="214" t="s">
        <v>493</v>
      </c>
      <c r="I1540" s="214"/>
      <c r="J1540" s="222" t="s">
        <v>67</v>
      </c>
      <c r="K1540" s="222">
        <v>-3.5</v>
      </c>
      <c r="L1540" s="222" t="s">
        <v>67</v>
      </c>
      <c r="M1540" s="222">
        <v>44.5</v>
      </c>
      <c r="N1540" s="214">
        <v>184.0</v>
      </c>
      <c r="O1540" s="214">
        <v>202.0</v>
      </c>
      <c r="P1540" s="214">
        <v>2.0</v>
      </c>
      <c r="Q1540" s="214" t="b">
        <v>1</v>
      </c>
      <c r="R1540" s="214">
        <v>100.0</v>
      </c>
      <c r="S1540" s="214" t="s">
        <v>556</v>
      </c>
      <c r="T1540" s="214" t="s">
        <v>321</v>
      </c>
      <c r="U1540" s="214"/>
    </row>
    <row r="1541">
      <c r="A1541" s="221">
        <v>45972.068451053245</v>
      </c>
      <c r="B1541" s="214" t="s">
        <v>224</v>
      </c>
      <c r="C1541" s="214" t="s">
        <v>185</v>
      </c>
      <c r="D1541" s="214">
        <v>7.0</v>
      </c>
      <c r="E1541" s="214">
        <v>2.0</v>
      </c>
      <c r="F1541" s="214" t="s">
        <v>1658</v>
      </c>
      <c r="G1541" s="214" t="s">
        <v>61</v>
      </c>
      <c r="H1541" s="214" t="s">
        <v>62</v>
      </c>
      <c r="I1541" s="214"/>
      <c r="J1541" s="222" t="s">
        <v>67</v>
      </c>
      <c r="K1541" s="222">
        <v>-4.5</v>
      </c>
      <c r="L1541" s="222" t="s">
        <v>67</v>
      </c>
      <c r="M1541" s="222">
        <v>61.5</v>
      </c>
      <c r="N1541" s="214">
        <v>337.0</v>
      </c>
      <c r="O1541" s="214">
        <v>284.0</v>
      </c>
      <c r="P1541" s="214">
        <v>2.0</v>
      </c>
      <c r="Q1541" s="214" t="b">
        <v>0</v>
      </c>
      <c r="R1541" s="214">
        <v>100.0</v>
      </c>
      <c r="S1541" s="214" t="s">
        <v>525</v>
      </c>
      <c r="T1541" s="214" t="s">
        <v>365</v>
      </c>
      <c r="U1541" s="214"/>
    </row>
    <row r="1542">
      <c r="A1542" s="221">
        <v>45972.068451053245</v>
      </c>
      <c r="B1542" s="214" t="s">
        <v>224</v>
      </c>
      <c r="C1542" s="214" t="s">
        <v>235</v>
      </c>
      <c r="D1542" s="214">
        <v>5.0</v>
      </c>
      <c r="E1542" s="214">
        <v>4.0</v>
      </c>
      <c r="F1542" s="214" t="s">
        <v>1676</v>
      </c>
      <c r="G1542" s="214" t="s">
        <v>61</v>
      </c>
      <c r="H1542" s="214" t="s">
        <v>249</v>
      </c>
      <c r="I1542" s="214"/>
      <c r="J1542" s="222"/>
      <c r="K1542" s="222"/>
      <c r="L1542" s="222"/>
      <c r="M1542" s="222"/>
      <c r="N1542" s="214">
        <v>259.0</v>
      </c>
      <c r="O1542" s="214">
        <v>281.0</v>
      </c>
      <c r="P1542" s="214">
        <v>2.0</v>
      </c>
      <c r="Q1542" s="214" t="b">
        <v>1</v>
      </c>
      <c r="R1542" s="214">
        <v>100.0</v>
      </c>
      <c r="S1542" s="214" t="s">
        <v>535</v>
      </c>
      <c r="T1542" s="214" t="s">
        <v>365</v>
      </c>
      <c r="U1542" s="214"/>
    </row>
    <row r="1543">
      <c r="A1543" s="221">
        <v>45972.068451053245</v>
      </c>
      <c r="B1543" s="214" t="s">
        <v>224</v>
      </c>
      <c r="C1543" s="214" t="s">
        <v>166</v>
      </c>
      <c r="D1543" s="214">
        <v>3.0</v>
      </c>
      <c r="E1543" s="214">
        <v>7.0</v>
      </c>
      <c r="F1543" s="214" t="s">
        <v>1661</v>
      </c>
      <c r="G1543" s="214" t="s">
        <v>61</v>
      </c>
      <c r="H1543" s="214" t="s">
        <v>62</v>
      </c>
      <c r="I1543" s="214"/>
      <c r="J1543" s="222" t="s">
        <v>67</v>
      </c>
      <c r="K1543" s="222">
        <v>2.5</v>
      </c>
      <c r="L1543" s="222" t="s">
        <v>67</v>
      </c>
      <c r="M1543" s="222">
        <v>50.5</v>
      </c>
      <c r="N1543" s="214">
        <v>185.0</v>
      </c>
      <c r="O1543" s="214">
        <v>258.0</v>
      </c>
      <c r="P1543" s="214">
        <v>2.0</v>
      </c>
      <c r="Q1543" s="214" t="b">
        <v>0</v>
      </c>
      <c r="R1543" s="214">
        <v>100.0</v>
      </c>
      <c r="S1543" s="214" t="s">
        <v>530</v>
      </c>
      <c r="T1543" s="214" t="s">
        <v>365</v>
      </c>
      <c r="U1543" s="214"/>
    </row>
    <row r="1544">
      <c r="A1544" s="221">
        <v>45972.068451053245</v>
      </c>
      <c r="B1544" s="214" t="s">
        <v>224</v>
      </c>
      <c r="C1544" s="214" t="s">
        <v>226</v>
      </c>
      <c r="D1544" s="214">
        <v>8.0</v>
      </c>
      <c r="E1544" s="214">
        <v>1.0</v>
      </c>
      <c r="F1544" s="214" t="s">
        <v>1647</v>
      </c>
      <c r="G1544" s="214" t="s">
        <v>61</v>
      </c>
      <c r="H1544" s="214" t="s">
        <v>43</v>
      </c>
      <c r="I1544" s="214"/>
      <c r="J1544" s="222" t="s">
        <v>67</v>
      </c>
      <c r="K1544" s="222">
        <v>10.5</v>
      </c>
      <c r="L1544" s="222" t="s">
        <v>67</v>
      </c>
      <c r="M1544" s="222">
        <v>52.5</v>
      </c>
      <c r="N1544" s="214">
        <v>297.0</v>
      </c>
      <c r="O1544" s="214">
        <v>165.0</v>
      </c>
      <c r="P1544" s="214">
        <v>2.0</v>
      </c>
      <c r="Q1544" s="214" t="b">
        <v>1</v>
      </c>
      <c r="R1544" s="214">
        <v>100.0</v>
      </c>
      <c r="S1544" s="214" t="s">
        <v>471</v>
      </c>
      <c r="T1544" s="214" t="s">
        <v>321</v>
      </c>
      <c r="U1544" s="214"/>
    </row>
    <row r="1545">
      <c r="A1545" s="221">
        <v>45972.068451053245</v>
      </c>
      <c r="B1545" s="214" t="s">
        <v>224</v>
      </c>
      <c r="C1545" s="214" t="s">
        <v>191</v>
      </c>
      <c r="D1545" s="214">
        <v>3.0</v>
      </c>
      <c r="E1545" s="214">
        <v>7.0</v>
      </c>
      <c r="F1545" s="214" t="s">
        <v>1677</v>
      </c>
      <c r="G1545" s="214" t="s">
        <v>61</v>
      </c>
      <c r="H1545" s="214" t="s">
        <v>132</v>
      </c>
      <c r="I1545" s="214"/>
      <c r="J1545" s="222" t="s">
        <v>67</v>
      </c>
      <c r="K1545" s="222">
        <v>6.5</v>
      </c>
      <c r="L1545" s="222" t="s">
        <v>67</v>
      </c>
      <c r="M1545" s="222">
        <v>53.5</v>
      </c>
      <c r="N1545" s="214">
        <v>220.0</v>
      </c>
      <c r="O1545" s="214">
        <v>300.0</v>
      </c>
      <c r="P1545" s="214">
        <v>2.0</v>
      </c>
      <c r="Q1545" s="214" t="b">
        <v>1</v>
      </c>
      <c r="R1545" s="214">
        <v>100.0</v>
      </c>
      <c r="S1545" s="214" t="s">
        <v>471</v>
      </c>
      <c r="T1545" s="214" t="s">
        <v>321</v>
      </c>
      <c r="U1545" s="214"/>
    </row>
    <row r="1546">
      <c r="A1546" s="221">
        <v>45972.068451053245</v>
      </c>
      <c r="B1546" s="214" t="s">
        <v>224</v>
      </c>
      <c r="C1546" s="214" t="s">
        <v>216</v>
      </c>
      <c r="D1546" s="214">
        <v>4.0</v>
      </c>
      <c r="E1546" s="214">
        <v>5.0</v>
      </c>
      <c r="F1546" s="214" t="s">
        <v>1648</v>
      </c>
      <c r="G1546" s="214" t="s">
        <v>61</v>
      </c>
      <c r="H1546" s="214" t="s">
        <v>43</v>
      </c>
      <c r="I1546" s="214"/>
      <c r="J1546" s="222" t="s">
        <v>67</v>
      </c>
      <c r="K1546" s="222">
        <v>5.5</v>
      </c>
      <c r="L1546" s="222" t="s">
        <v>67</v>
      </c>
      <c r="M1546" s="222">
        <v>61.5</v>
      </c>
      <c r="N1546" s="214">
        <v>255.0</v>
      </c>
      <c r="O1546" s="214">
        <v>306.0</v>
      </c>
      <c r="P1546" s="214">
        <v>2.0</v>
      </c>
      <c r="Q1546" s="214" t="b">
        <v>1</v>
      </c>
      <c r="R1546" s="214">
        <v>100.0</v>
      </c>
      <c r="S1546" s="214" t="s">
        <v>441</v>
      </c>
      <c r="T1546" s="214" t="s">
        <v>365</v>
      </c>
      <c r="U1546" s="214"/>
    </row>
    <row r="1547">
      <c r="A1547" s="221">
        <v>45972.068451053245</v>
      </c>
      <c r="B1547" s="214"/>
      <c r="C1547" s="214"/>
      <c r="D1547" s="214"/>
      <c r="E1547" s="214"/>
      <c r="F1547" s="214"/>
      <c r="G1547" s="214"/>
      <c r="H1547" s="214"/>
      <c r="I1547" s="214"/>
      <c r="J1547" s="222"/>
      <c r="K1547" s="222"/>
      <c r="L1547" s="222"/>
      <c r="M1547" s="222"/>
      <c r="N1547" s="214"/>
      <c r="O1547" s="214"/>
      <c r="P1547" s="214"/>
      <c r="Q1547" s="214"/>
      <c r="R1547" s="214"/>
      <c r="S1547" s="214"/>
      <c r="T1547" s="214"/>
      <c r="U1547" s="214"/>
    </row>
    <row r="1548">
      <c r="A1548" s="221">
        <v>45972.068451053245</v>
      </c>
      <c r="B1548" s="214" t="s">
        <v>96</v>
      </c>
      <c r="C1548" s="214" t="s">
        <v>222</v>
      </c>
      <c r="D1548" s="214">
        <v>6.0</v>
      </c>
      <c r="E1548" s="214">
        <v>3.0</v>
      </c>
      <c r="F1548" s="214"/>
      <c r="G1548" s="214"/>
      <c r="H1548" s="214"/>
      <c r="I1548" s="214"/>
      <c r="J1548" s="222"/>
      <c r="K1548" s="222"/>
      <c r="L1548" s="222"/>
      <c r="M1548" s="222"/>
      <c r="N1548" s="214">
        <v>243.0</v>
      </c>
      <c r="O1548" s="214">
        <v>217.0</v>
      </c>
      <c r="P1548" s="214">
        <v>0.0</v>
      </c>
      <c r="Q1548" s="214" t="b">
        <v>1</v>
      </c>
      <c r="R1548" s="214">
        <v>59.0</v>
      </c>
      <c r="S1548" s="214" t="s">
        <v>441</v>
      </c>
      <c r="T1548" s="214" t="s">
        <v>365</v>
      </c>
      <c r="U1548" s="214"/>
    </row>
    <row r="1549">
      <c r="A1549" s="221">
        <v>45972.068451053245</v>
      </c>
      <c r="B1549" s="214" t="s">
        <v>96</v>
      </c>
      <c r="C1549" s="214" t="s">
        <v>129</v>
      </c>
      <c r="D1549" s="214">
        <v>1.0</v>
      </c>
      <c r="E1549" s="214">
        <v>8.0</v>
      </c>
      <c r="F1549" s="214"/>
      <c r="G1549" s="214"/>
      <c r="H1549" s="214"/>
      <c r="I1549" s="214"/>
      <c r="J1549" s="222"/>
      <c r="K1549" s="222"/>
      <c r="L1549" s="222"/>
      <c r="M1549" s="222"/>
      <c r="N1549" s="214">
        <v>137.0</v>
      </c>
      <c r="O1549" s="214">
        <v>349.0</v>
      </c>
      <c r="P1549" s="214">
        <v>0.0</v>
      </c>
      <c r="Q1549" s="214" t="b">
        <v>1</v>
      </c>
      <c r="R1549" s="214">
        <v>59.0</v>
      </c>
      <c r="S1549" s="214" t="s">
        <v>471</v>
      </c>
      <c r="T1549" s="214" t="s">
        <v>321</v>
      </c>
      <c r="U1549" s="214"/>
    </row>
    <row r="1550">
      <c r="A1550" s="221">
        <v>45972.068451053245</v>
      </c>
      <c r="B1550" s="214" t="s">
        <v>96</v>
      </c>
      <c r="C1550" s="214" t="s">
        <v>536</v>
      </c>
      <c r="D1550" s="214">
        <v>7.0</v>
      </c>
      <c r="E1550" s="214">
        <v>3.0</v>
      </c>
      <c r="F1550" s="214" t="s">
        <v>1678</v>
      </c>
      <c r="G1550" s="214" t="s">
        <v>61</v>
      </c>
      <c r="H1550" s="214" t="s">
        <v>249</v>
      </c>
      <c r="I1550" s="214"/>
      <c r="J1550" s="222" t="s">
        <v>67</v>
      </c>
      <c r="K1550" s="222">
        <v>7.0</v>
      </c>
      <c r="L1550" s="222" t="s">
        <v>67</v>
      </c>
      <c r="M1550" s="222">
        <v>49.5</v>
      </c>
      <c r="N1550" s="214">
        <v>305.0</v>
      </c>
      <c r="O1550" s="214">
        <v>237.0</v>
      </c>
      <c r="P1550" s="214">
        <v>2.0</v>
      </c>
      <c r="Q1550" s="214" t="b">
        <v>0</v>
      </c>
      <c r="R1550" s="214">
        <v>100.0</v>
      </c>
      <c r="S1550" s="214" t="s">
        <v>525</v>
      </c>
      <c r="T1550" s="214" t="s">
        <v>365</v>
      </c>
      <c r="U1550" s="214"/>
    </row>
    <row r="1551">
      <c r="A1551" s="221">
        <v>45972.068451053245</v>
      </c>
      <c r="B1551" s="214" t="s">
        <v>96</v>
      </c>
      <c r="C1551" s="214" t="s">
        <v>121</v>
      </c>
      <c r="D1551" s="214">
        <v>8.0</v>
      </c>
      <c r="E1551" s="214">
        <v>2.0</v>
      </c>
      <c r="F1551" s="214" t="s">
        <v>1679</v>
      </c>
      <c r="G1551" s="214" t="s">
        <v>61</v>
      </c>
      <c r="H1551" s="214" t="s">
        <v>493</v>
      </c>
      <c r="I1551" s="214"/>
      <c r="J1551" s="222" t="s">
        <v>67</v>
      </c>
      <c r="K1551" s="222">
        <v>-6.5</v>
      </c>
      <c r="L1551" s="222" t="s">
        <v>67</v>
      </c>
      <c r="M1551" s="222">
        <v>47.5</v>
      </c>
      <c r="N1551" s="214">
        <v>337.0</v>
      </c>
      <c r="O1551" s="214">
        <v>216.0</v>
      </c>
      <c r="P1551" s="214">
        <v>2.0</v>
      </c>
      <c r="Q1551" s="214" t="b">
        <v>1</v>
      </c>
      <c r="R1551" s="214">
        <v>100.0</v>
      </c>
      <c r="S1551" s="214" t="s">
        <v>317</v>
      </c>
      <c r="T1551" s="214" t="s">
        <v>321</v>
      </c>
      <c r="U1551" s="214"/>
    </row>
    <row r="1552">
      <c r="A1552" s="221">
        <v>45972.068451053245</v>
      </c>
      <c r="B1552" s="214" t="s">
        <v>96</v>
      </c>
      <c r="C1552" s="214" t="s">
        <v>229</v>
      </c>
      <c r="D1552" s="214">
        <v>7.0</v>
      </c>
      <c r="E1552" s="214">
        <v>2.0</v>
      </c>
      <c r="F1552" s="214" t="s">
        <v>1674</v>
      </c>
      <c r="G1552" s="214" t="s">
        <v>61</v>
      </c>
      <c r="H1552" s="214" t="s">
        <v>224</v>
      </c>
      <c r="I1552" s="214"/>
      <c r="J1552" s="222" t="s">
        <v>67</v>
      </c>
      <c r="K1552" s="222">
        <v>-26.5</v>
      </c>
      <c r="L1552" s="222" t="s">
        <v>67</v>
      </c>
      <c r="M1552" s="222">
        <v>55.5</v>
      </c>
      <c r="N1552" s="214">
        <v>348.0</v>
      </c>
      <c r="O1552" s="214">
        <v>169.0</v>
      </c>
      <c r="P1552" s="214">
        <v>2.0</v>
      </c>
      <c r="Q1552" s="214" t="b">
        <v>1</v>
      </c>
      <c r="R1552" s="214">
        <v>100.0</v>
      </c>
      <c r="S1552" s="214" t="s">
        <v>725</v>
      </c>
      <c r="T1552" s="214"/>
      <c r="U1552" s="214"/>
    </row>
    <row r="1553">
      <c r="A1553" s="221">
        <v>45972.068451053245</v>
      </c>
      <c r="B1553" s="214" t="s">
        <v>96</v>
      </c>
      <c r="C1553" s="214" t="s">
        <v>142</v>
      </c>
      <c r="D1553" s="214">
        <v>7.0</v>
      </c>
      <c r="E1553" s="214">
        <v>3.0</v>
      </c>
      <c r="F1553" s="214" t="s">
        <v>1657</v>
      </c>
      <c r="G1553" s="214" t="s">
        <v>61</v>
      </c>
      <c r="H1553" s="214" t="s">
        <v>62</v>
      </c>
      <c r="I1553" s="214"/>
      <c r="J1553" s="222" t="s">
        <v>67</v>
      </c>
      <c r="K1553" s="222">
        <v>-1.5</v>
      </c>
      <c r="L1553" s="222" t="s">
        <v>67</v>
      </c>
      <c r="M1553" s="222">
        <v>44.5</v>
      </c>
      <c r="N1553" s="214">
        <v>325.0</v>
      </c>
      <c r="O1553" s="214">
        <v>199.0</v>
      </c>
      <c r="P1553" s="214">
        <v>2.0</v>
      </c>
      <c r="Q1553" s="214" t="b">
        <v>1</v>
      </c>
      <c r="R1553" s="214">
        <v>100.0</v>
      </c>
      <c r="S1553" s="214" t="s">
        <v>407</v>
      </c>
      <c r="T1553" s="214" t="s">
        <v>321</v>
      </c>
      <c r="U1553" s="214"/>
    </row>
    <row r="1554">
      <c r="A1554" s="221">
        <v>45972.068451053245</v>
      </c>
      <c r="B1554" s="214" t="s">
        <v>96</v>
      </c>
      <c r="C1554" s="214" t="s">
        <v>153</v>
      </c>
      <c r="D1554" s="214">
        <v>1.0</v>
      </c>
      <c r="E1554" s="214">
        <v>8.0</v>
      </c>
      <c r="F1554" s="214" t="s">
        <v>1680</v>
      </c>
      <c r="G1554" s="214" t="s">
        <v>61</v>
      </c>
      <c r="H1554" s="214" t="s">
        <v>132</v>
      </c>
      <c r="I1554" s="214"/>
      <c r="J1554" s="222" t="s">
        <v>67</v>
      </c>
      <c r="K1554" s="222">
        <v>-1.5</v>
      </c>
      <c r="L1554" s="222" t="s">
        <v>67</v>
      </c>
      <c r="M1554" s="222">
        <v>51.5</v>
      </c>
      <c r="N1554" s="214">
        <v>181.0</v>
      </c>
      <c r="O1554" s="214">
        <v>288.0</v>
      </c>
      <c r="P1554" s="214">
        <v>2.0</v>
      </c>
      <c r="Q1554" s="214" t="b">
        <v>0</v>
      </c>
      <c r="R1554" s="214">
        <v>100.0</v>
      </c>
      <c r="S1554" s="214" t="s">
        <v>535</v>
      </c>
      <c r="T1554" s="214" t="s">
        <v>365</v>
      </c>
      <c r="U1554" s="214"/>
    </row>
    <row r="1555">
      <c r="A1555" s="221">
        <v>45972.068451053245</v>
      </c>
      <c r="B1555" s="214" t="s">
        <v>96</v>
      </c>
      <c r="C1555" s="214" t="s">
        <v>204</v>
      </c>
      <c r="D1555" s="214">
        <v>8.0</v>
      </c>
      <c r="E1555" s="214">
        <v>1.0</v>
      </c>
      <c r="F1555" s="214" t="s">
        <v>1681</v>
      </c>
      <c r="G1555" s="214" t="s">
        <v>61</v>
      </c>
      <c r="H1555" s="214" t="s">
        <v>493</v>
      </c>
      <c r="I1555" s="214"/>
      <c r="J1555" s="222" t="s">
        <v>67</v>
      </c>
      <c r="K1555" s="222">
        <v>-9.5</v>
      </c>
      <c r="L1555" s="222" t="s">
        <v>67</v>
      </c>
      <c r="M1555" s="222">
        <v>56.5</v>
      </c>
      <c r="N1555" s="214">
        <v>301.0</v>
      </c>
      <c r="O1555" s="214">
        <v>178.0</v>
      </c>
      <c r="P1555" s="214">
        <v>2.0</v>
      </c>
      <c r="Q1555" s="214" t="b">
        <v>0</v>
      </c>
      <c r="R1555" s="214">
        <v>100.0</v>
      </c>
      <c r="S1555" s="214" t="s">
        <v>556</v>
      </c>
      <c r="T1555" s="214" t="s">
        <v>321</v>
      </c>
      <c r="U1555" s="214"/>
    </row>
    <row r="1556">
      <c r="A1556" s="221">
        <v>45972.068451053245</v>
      </c>
      <c r="B1556" s="214" t="s">
        <v>96</v>
      </c>
      <c r="C1556" s="214" t="s">
        <v>105</v>
      </c>
      <c r="D1556" s="214">
        <v>7.0</v>
      </c>
      <c r="E1556" s="214">
        <v>2.0</v>
      </c>
      <c r="F1556" s="214" t="s">
        <v>1671</v>
      </c>
      <c r="G1556" s="214" t="s">
        <v>61</v>
      </c>
      <c r="H1556" s="214" t="s">
        <v>311</v>
      </c>
      <c r="I1556" s="214"/>
      <c r="J1556" s="222" t="s">
        <v>67</v>
      </c>
      <c r="K1556" s="222">
        <v>-13.5</v>
      </c>
      <c r="L1556" s="222" t="s">
        <v>67</v>
      </c>
      <c r="M1556" s="222">
        <v>67.5</v>
      </c>
      <c r="N1556" s="214">
        <v>378.0</v>
      </c>
      <c r="O1556" s="214">
        <v>218.0</v>
      </c>
      <c r="P1556" s="214">
        <v>2.0</v>
      </c>
      <c r="Q1556" s="214" t="b">
        <v>1</v>
      </c>
      <c r="R1556" s="214">
        <v>100.0</v>
      </c>
      <c r="S1556" s="214" t="s">
        <v>361</v>
      </c>
      <c r="T1556" s="214" t="s">
        <v>365</v>
      </c>
      <c r="U1556" s="214"/>
    </row>
    <row r="1557">
      <c r="A1557" s="221">
        <v>45972.068451053245</v>
      </c>
      <c r="B1557" s="214" t="s">
        <v>96</v>
      </c>
      <c r="C1557" s="214" t="s">
        <v>173</v>
      </c>
      <c r="D1557" s="214">
        <v>6.0</v>
      </c>
      <c r="E1557" s="214">
        <v>3.0</v>
      </c>
      <c r="F1557" s="214" t="s">
        <v>1682</v>
      </c>
      <c r="G1557" s="214" t="s">
        <v>61</v>
      </c>
      <c r="H1557" s="214" t="s">
        <v>238</v>
      </c>
      <c r="I1557" s="214"/>
      <c r="J1557" s="222" t="s">
        <v>67</v>
      </c>
      <c r="K1557" s="222">
        <v>-2.5</v>
      </c>
      <c r="L1557" s="222" t="s">
        <v>67</v>
      </c>
      <c r="M1557" s="222">
        <v>49.5</v>
      </c>
      <c r="N1557" s="214">
        <v>258.0</v>
      </c>
      <c r="O1557" s="214">
        <v>218.0</v>
      </c>
      <c r="P1557" s="214">
        <v>2.0</v>
      </c>
      <c r="Q1557" s="214" t="b">
        <v>1</v>
      </c>
      <c r="R1557" s="214">
        <v>100.0</v>
      </c>
      <c r="S1557" s="214" t="s">
        <v>530</v>
      </c>
      <c r="T1557" s="214" t="s">
        <v>365</v>
      </c>
      <c r="U1557" s="214"/>
    </row>
    <row r="1558">
      <c r="A1558" s="221">
        <v>45972.068451053245</v>
      </c>
      <c r="B1558" s="214"/>
      <c r="C1558" s="214"/>
      <c r="D1558" s="214"/>
      <c r="E1558" s="214"/>
      <c r="F1558" s="214"/>
      <c r="G1558" s="214"/>
      <c r="H1558" s="214"/>
      <c r="I1558" s="214"/>
      <c r="J1558" s="222"/>
      <c r="K1558" s="222"/>
      <c r="L1558" s="222"/>
      <c r="M1558" s="222"/>
      <c r="N1558" s="214"/>
      <c r="O1558" s="214"/>
      <c r="P1558" s="214"/>
      <c r="Q1558" s="214"/>
      <c r="R1558" s="214"/>
      <c r="S1558" s="214"/>
      <c r="T1558" s="214"/>
      <c r="U1558" s="214"/>
    </row>
    <row r="1559">
      <c r="A1559" s="221">
        <v>45972.068451053245</v>
      </c>
      <c r="B1559" s="214" t="s">
        <v>238</v>
      </c>
      <c r="C1559" s="214" t="s">
        <v>98</v>
      </c>
      <c r="D1559" s="214">
        <v>7.0</v>
      </c>
      <c r="E1559" s="214">
        <v>2.0</v>
      </c>
      <c r="F1559" s="214"/>
      <c r="G1559" s="214"/>
      <c r="H1559" s="214"/>
      <c r="I1559" s="214"/>
      <c r="J1559" s="222"/>
      <c r="K1559" s="222"/>
      <c r="L1559" s="222"/>
      <c r="M1559" s="222"/>
      <c r="N1559" s="214">
        <v>320.0</v>
      </c>
      <c r="O1559" s="214">
        <v>197.0</v>
      </c>
      <c r="P1559" s="214">
        <v>0.0</v>
      </c>
      <c r="Q1559" s="214" t="b">
        <v>1</v>
      </c>
      <c r="R1559" s="214">
        <v>59.0</v>
      </c>
      <c r="S1559" s="214" t="s">
        <v>471</v>
      </c>
      <c r="T1559" s="214" t="s">
        <v>321</v>
      </c>
      <c r="U1559" s="214"/>
    </row>
    <row r="1560">
      <c r="A1560" s="221">
        <v>45972.068451053245</v>
      </c>
      <c r="B1560" s="214" t="s">
        <v>238</v>
      </c>
      <c r="C1560" s="214" t="s">
        <v>119</v>
      </c>
      <c r="D1560" s="214">
        <v>7.0</v>
      </c>
      <c r="E1560" s="214">
        <v>2.0</v>
      </c>
      <c r="F1560" s="214"/>
      <c r="G1560" s="214"/>
      <c r="H1560" s="214"/>
      <c r="I1560" s="214"/>
      <c r="J1560" s="222"/>
      <c r="K1560" s="222"/>
      <c r="L1560" s="222"/>
      <c r="M1560" s="222"/>
      <c r="N1560" s="214">
        <v>357.0</v>
      </c>
      <c r="O1560" s="214">
        <v>196.0</v>
      </c>
      <c r="P1560" s="214">
        <v>0.0</v>
      </c>
      <c r="Q1560" s="214" t="b">
        <v>1</v>
      </c>
      <c r="R1560" s="214">
        <v>59.0</v>
      </c>
      <c r="S1560" s="214" t="s">
        <v>317</v>
      </c>
      <c r="T1560" s="214" t="s">
        <v>321</v>
      </c>
      <c r="U1560" s="214"/>
    </row>
    <row r="1561">
      <c r="A1561" s="221">
        <v>45972.068451053245</v>
      </c>
      <c r="B1561" s="214" t="s">
        <v>238</v>
      </c>
      <c r="C1561" s="214" t="s">
        <v>220</v>
      </c>
      <c r="D1561" s="214">
        <v>2.0</v>
      </c>
      <c r="E1561" s="214">
        <v>7.0</v>
      </c>
      <c r="F1561" s="214"/>
      <c r="G1561" s="214"/>
      <c r="H1561" s="214"/>
      <c r="I1561" s="214"/>
      <c r="J1561" s="222"/>
      <c r="K1561" s="222"/>
      <c r="L1561" s="222"/>
      <c r="M1561" s="222"/>
      <c r="N1561" s="214">
        <v>224.0</v>
      </c>
      <c r="O1561" s="214">
        <v>267.0</v>
      </c>
      <c r="P1561" s="214">
        <v>0.0</v>
      </c>
      <c r="Q1561" s="214" t="b">
        <v>1</v>
      </c>
      <c r="R1561" s="214">
        <v>59.0</v>
      </c>
      <c r="S1561" s="214" t="s">
        <v>441</v>
      </c>
      <c r="T1561" s="214" t="s">
        <v>365</v>
      </c>
      <c r="U1561" s="214"/>
    </row>
    <row r="1562">
      <c r="A1562" s="221">
        <v>45972.068451053245</v>
      </c>
      <c r="B1562" s="214" t="s">
        <v>238</v>
      </c>
      <c r="C1562" s="214" t="s">
        <v>141</v>
      </c>
      <c r="D1562" s="214">
        <v>6.0</v>
      </c>
      <c r="E1562" s="214">
        <v>3.0</v>
      </c>
      <c r="F1562" s="214"/>
      <c r="G1562" s="214"/>
      <c r="H1562" s="214"/>
      <c r="I1562" s="214"/>
      <c r="J1562" s="222"/>
      <c r="K1562" s="222"/>
      <c r="L1562" s="222"/>
      <c r="M1562" s="222"/>
      <c r="N1562" s="214">
        <v>214.0</v>
      </c>
      <c r="O1562" s="214">
        <v>194.0</v>
      </c>
      <c r="P1562" s="214">
        <v>0.0</v>
      </c>
      <c r="Q1562" s="214" t="b">
        <v>1</v>
      </c>
      <c r="R1562" s="214">
        <v>59.0</v>
      </c>
      <c r="S1562" s="214" t="s">
        <v>407</v>
      </c>
      <c r="T1562" s="214" t="s">
        <v>321</v>
      </c>
      <c r="U1562" s="214"/>
    </row>
    <row r="1563">
      <c r="A1563" s="221">
        <v>45972.068451053245</v>
      </c>
      <c r="B1563" s="214" t="s">
        <v>238</v>
      </c>
      <c r="C1563" s="214" t="s">
        <v>549</v>
      </c>
      <c r="D1563" s="214">
        <v>3.0</v>
      </c>
      <c r="E1563" s="214">
        <v>6.0</v>
      </c>
      <c r="F1563" s="214" t="s">
        <v>1642</v>
      </c>
      <c r="G1563" s="214" t="s">
        <v>61</v>
      </c>
      <c r="H1563" s="214" t="s">
        <v>43</v>
      </c>
      <c r="I1563" s="214"/>
      <c r="J1563" s="222" t="s">
        <v>67</v>
      </c>
      <c r="K1563" s="222">
        <v>-5.5</v>
      </c>
      <c r="L1563" s="222" t="s">
        <v>67</v>
      </c>
      <c r="M1563" s="222">
        <v>65.5</v>
      </c>
      <c r="N1563" s="214">
        <v>230.0</v>
      </c>
      <c r="O1563" s="214">
        <v>269.0</v>
      </c>
      <c r="P1563" s="214">
        <v>2.0</v>
      </c>
      <c r="Q1563" s="214" t="b">
        <v>0</v>
      </c>
      <c r="R1563" s="214">
        <v>100.0</v>
      </c>
      <c r="S1563" s="214" t="s">
        <v>525</v>
      </c>
      <c r="T1563" s="214" t="s">
        <v>365</v>
      </c>
      <c r="U1563" s="214"/>
    </row>
    <row r="1564">
      <c r="A1564" s="221">
        <v>45972.068451053245</v>
      </c>
      <c r="B1564" s="214" t="s">
        <v>238</v>
      </c>
      <c r="C1564" s="214" t="s">
        <v>148</v>
      </c>
      <c r="D1564" s="214">
        <v>3.0</v>
      </c>
      <c r="E1564" s="214">
        <v>6.0</v>
      </c>
      <c r="F1564" s="214" t="s">
        <v>1659</v>
      </c>
      <c r="G1564" s="214" t="s">
        <v>61</v>
      </c>
      <c r="H1564" s="214" t="s">
        <v>62</v>
      </c>
      <c r="I1564" s="214"/>
      <c r="J1564" s="222" t="s">
        <v>67</v>
      </c>
      <c r="K1564" s="222">
        <v>11.5</v>
      </c>
      <c r="L1564" s="222" t="s">
        <v>67</v>
      </c>
      <c r="M1564" s="222">
        <v>44.5</v>
      </c>
      <c r="N1564" s="214">
        <v>113.0</v>
      </c>
      <c r="O1564" s="214">
        <v>201.0</v>
      </c>
      <c r="P1564" s="214">
        <v>2.0</v>
      </c>
      <c r="Q1564" s="214" t="b">
        <v>0</v>
      </c>
      <c r="R1564" s="214">
        <v>100.0</v>
      </c>
      <c r="S1564" s="214" t="s">
        <v>407</v>
      </c>
      <c r="T1564" s="214" t="s">
        <v>321</v>
      </c>
      <c r="U1564" s="214"/>
    </row>
    <row r="1565">
      <c r="A1565" s="221">
        <v>45972.068451053245</v>
      </c>
      <c r="B1565" s="214" t="s">
        <v>238</v>
      </c>
      <c r="C1565" s="214" t="s">
        <v>539</v>
      </c>
      <c r="D1565" s="214">
        <v>9.0</v>
      </c>
      <c r="E1565" s="214">
        <v>0.0</v>
      </c>
      <c r="F1565" s="214" t="s">
        <v>1683</v>
      </c>
      <c r="G1565" s="214" t="s">
        <v>61</v>
      </c>
      <c r="H1565" s="214" t="s">
        <v>156</v>
      </c>
      <c r="I1565" s="214"/>
      <c r="J1565" s="222" t="s">
        <v>67</v>
      </c>
      <c r="K1565" s="222">
        <v>-6.5</v>
      </c>
      <c r="L1565" s="222" t="s">
        <v>67</v>
      </c>
      <c r="M1565" s="222">
        <v>48.5</v>
      </c>
      <c r="N1565" s="214">
        <v>340.0</v>
      </c>
      <c r="O1565" s="214">
        <v>206.0</v>
      </c>
      <c r="P1565" s="214">
        <v>2.0</v>
      </c>
      <c r="Q1565" s="214" t="b">
        <v>1</v>
      </c>
      <c r="R1565" s="214">
        <v>100.0</v>
      </c>
      <c r="S1565" s="214" t="s">
        <v>556</v>
      </c>
      <c r="T1565" s="214" t="s">
        <v>321</v>
      </c>
      <c r="U1565" s="214"/>
    </row>
    <row r="1566">
      <c r="A1566" s="221">
        <v>45972.068451053245</v>
      </c>
      <c r="B1566" s="214" t="s">
        <v>238</v>
      </c>
      <c r="C1566" s="214" t="s">
        <v>160</v>
      </c>
      <c r="D1566" s="214">
        <v>2.0</v>
      </c>
      <c r="E1566" s="214">
        <v>7.0</v>
      </c>
      <c r="F1566" s="214" t="s">
        <v>1684</v>
      </c>
      <c r="G1566" s="214" t="s">
        <v>61</v>
      </c>
      <c r="H1566" s="214" t="s">
        <v>156</v>
      </c>
      <c r="I1566" s="214"/>
      <c r="J1566" s="222" t="s">
        <v>67</v>
      </c>
      <c r="K1566" s="222">
        <v>1.5</v>
      </c>
      <c r="L1566" s="222" t="s">
        <v>67</v>
      </c>
      <c r="M1566" s="222">
        <v>48.5</v>
      </c>
      <c r="N1566" s="214">
        <v>194.0</v>
      </c>
      <c r="O1566" s="214">
        <v>232.0</v>
      </c>
      <c r="P1566" s="214">
        <v>2.0</v>
      </c>
      <c r="Q1566" s="214" t="b">
        <v>0</v>
      </c>
      <c r="R1566" s="214">
        <v>100.0</v>
      </c>
      <c r="S1566" s="214" t="s">
        <v>535</v>
      </c>
      <c r="T1566" s="214" t="s">
        <v>365</v>
      </c>
      <c r="U1566" s="214"/>
    </row>
    <row r="1567">
      <c r="A1567" s="221">
        <v>45972.068451053245</v>
      </c>
      <c r="B1567" s="214" t="s">
        <v>238</v>
      </c>
      <c r="C1567" s="214" t="s">
        <v>102</v>
      </c>
      <c r="D1567" s="214">
        <v>8.0</v>
      </c>
      <c r="E1567" s="214">
        <v>2.0</v>
      </c>
      <c r="F1567" s="214" t="s">
        <v>1685</v>
      </c>
      <c r="G1567" s="214" t="s">
        <v>61</v>
      </c>
      <c r="H1567" s="214" t="s">
        <v>132</v>
      </c>
      <c r="I1567" s="214"/>
      <c r="J1567" s="222" t="s">
        <v>67</v>
      </c>
      <c r="K1567" s="222">
        <v>-3.5</v>
      </c>
      <c r="L1567" s="222" t="s">
        <v>67</v>
      </c>
      <c r="M1567" s="222">
        <v>53.5</v>
      </c>
      <c r="N1567" s="214">
        <v>371.0</v>
      </c>
      <c r="O1567" s="214">
        <v>211.0</v>
      </c>
      <c r="P1567" s="214">
        <v>2.0</v>
      </c>
      <c r="Q1567" s="214" t="b">
        <v>0</v>
      </c>
      <c r="R1567" s="214">
        <v>100.0</v>
      </c>
      <c r="S1567" s="214" t="s">
        <v>361</v>
      </c>
      <c r="T1567" s="214" t="s">
        <v>365</v>
      </c>
      <c r="U1567" s="214"/>
    </row>
    <row r="1568">
      <c r="A1568" s="221">
        <v>45972.068451053245</v>
      </c>
      <c r="B1568" s="214" t="s">
        <v>238</v>
      </c>
      <c r="C1568" s="214" t="s">
        <v>548</v>
      </c>
      <c r="D1568" s="214">
        <v>5.0</v>
      </c>
      <c r="E1568" s="214">
        <v>4.0</v>
      </c>
      <c r="F1568" s="214" t="s">
        <v>1682</v>
      </c>
      <c r="G1568" s="214" t="s">
        <v>61</v>
      </c>
      <c r="H1568" s="214" t="s">
        <v>96</v>
      </c>
      <c r="I1568" s="214"/>
      <c r="J1568" s="222" t="s">
        <v>67</v>
      </c>
      <c r="K1568" s="222">
        <v>2.5</v>
      </c>
      <c r="L1568" s="222" t="s">
        <v>67</v>
      </c>
      <c r="M1568" s="222">
        <v>49.5</v>
      </c>
      <c r="N1568" s="214">
        <v>228.0</v>
      </c>
      <c r="O1568" s="214">
        <v>195.0</v>
      </c>
      <c r="P1568" s="214">
        <v>2.0</v>
      </c>
      <c r="Q1568" s="214" t="b">
        <v>0</v>
      </c>
      <c r="R1568" s="214">
        <v>100.0</v>
      </c>
      <c r="S1568" s="214" t="s">
        <v>530</v>
      </c>
      <c r="T1568" s="214" t="s">
        <v>365</v>
      </c>
      <c r="U1568" s="214"/>
    </row>
    <row r="1569">
      <c r="A1569" s="221">
        <v>45972.068451053245</v>
      </c>
      <c r="B1569" s="214"/>
      <c r="C1569" s="214"/>
      <c r="D1569" s="214"/>
      <c r="E1569" s="214"/>
      <c r="F1569" s="214"/>
      <c r="G1569" s="214"/>
      <c r="H1569" s="214"/>
      <c r="I1569" s="214"/>
      <c r="J1569" s="222"/>
      <c r="K1569" s="222"/>
      <c r="L1569" s="222"/>
      <c r="M1569" s="222"/>
      <c r="N1569" s="214"/>
      <c r="O1569" s="214"/>
      <c r="P1569" s="214"/>
      <c r="Q1569" s="214"/>
      <c r="R1569" s="214"/>
      <c r="S1569" s="214"/>
      <c r="T1569" s="214"/>
      <c r="U1569" s="214"/>
    </row>
    <row r="1570">
      <c r="A1570" s="221">
        <v>45972.068451053245</v>
      </c>
      <c r="B1570" s="214" t="s">
        <v>156</v>
      </c>
      <c r="C1570" s="214" t="s">
        <v>202</v>
      </c>
      <c r="D1570" s="214">
        <v>2.0</v>
      </c>
      <c r="E1570" s="214">
        <v>7.0</v>
      </c>
      <c r="F1570" s="214"/>
      <c r="G1570" s="214"/>
      <c r="H1570" s="214"/>
      <c r="I1570" s="214"/>
      <c r="J1570" s="222"/>
      <c r="K1570" s="222"/>
      <c r="L1570" s="222"/>
      <c r="M1570" s="222"/>
      <c r="N1570" s="214">
        <v>319.0</v>
      </c>
      <c r="O1570" s="214">
        <v>300.0</v>
      </c>
      <c r="P1570" s="214">
        <v>0.0</v>
      </c>
      <c r="Q1570" s="214" t="b">
        <v>1</v>
      </c>
      <c r="R1570" s="214">
        <v>59.0</v>
      </c>
      <c r="S1570" s="214" t="s">
        <v>556</v>
      </c>
      <c r="T1570" s="214" t="s">
        <v>321</v>
      </c>
      <c r="U1570" s="214"/>
    </row>
    <row r="1571">
      <c r="A1571" s="221">
        <v>45972.068451053245</v>
      </c>
      <c r="B1571" s="214" t="s">
        <v>156</v>
      </c>
      <c r="C1571" s="214" t="s">
        <v>135</v>
      </c>
      <c r="D1571" s="214">
        <v>6.0</v>
      </c>
      <c r="E1571" s="214">
        <v>3.0</v>
      </c>
      <c r="F1571" s="214"/>
      <c r="G1571" s="214"/>
      <c r="H1571" s="214"/>
      <c r="I1571" s="214"/>
      <c r="J1571" s="222"/>
      <c r="K1571" s="222"/>
      <c r="L1571" s="222"/>
      <c r="M1571" s="222"/>
      <c r="N1571" s="214">
        <v>298.0</v>
      </c>
      <c r="O1571" s="214">
        <v>233.0</v>
      </c>
      <c r="P1571" s="214">
        <v>0.0</v>
      </c>
      <c r="Q1571" s="214" t="b">
        <v>1</v>
      </c>
      <c r="R1571" s="214">
        <v>59.0</v>
      </c>
      <c r="S1571" s="214" t="s">
        <v>407</v>
      </c>
      <c r="T1571" s="214" t="s">
        <v>321</v>
      </c>
      <c r="U1571" s="214"/>
    </row>
    <row r="1572">
      <c r="A1572" s="221">
        <v>45972.068451053245</v>
      </c>
      <c r="B1572" s="214" t="s">
        <v>156</v>
      </c>
      <c r="C1572" s="214" t="s">
        <v>154</v>
      </c>
      <c r="D1572" s="214">
        <v>8.0</v>
      </c>
      <c r="E1572" s="214">
        <v>1.0</v>
      </c>
      <c r="F1572" s="214"/>
      <c r="G1572" s="214"/>
      <c r="H1572" s="214"/>
      <c r="I1572" s="214"/>
      <c r="J1572" s="222"/>
      <c r="K1572" s="222"/>
      <c r="L1572" s="222"/>
      <c r="M1572" s="222"/>
      <c r="N1572" s="214">
        <v>400.0</v>
      </c>
      <c r="O1572" s="214">
        <v>217.0</v>
      </c>
      <c r="P1572" s="214">
        <v>0.0</v>
      </c>
      <c r="Q1572" s="214" t="b">
        <v>1</v>
      </c>
      <c r="R1572" s="214">
        <v>59.0</v>
      </c>
      <c r="S1572" s="214" t="s">
        <v>361</v>
      </c>
      <c r="T1572" s="214" t="s">
        <v>365</v>
      </c>
      <c r="U1572" s="214"/>
    </row>
    <row r="1573">
      <c r="A1573" s="221">
        <v>45972.068451053245</v>
      </c>
      <c r="B1573" s="214" t="s">
        <v>156</v>
      </c>
      <c r="C1573" s="214" t="s">
        <v>181</v>
      </c>
      <c r="D1573" s="214">
        <v>1.0</v>
      </c>
      <c r="E1573" s="214">
        <v>8.0</v>
      </c>
      <c r="F1573" s="214" t="s">
        <v>1668</v>
      </c>
      <c r="G1573" s="214" t="s">
        <v>61</v>
      </c>
      <c r="H1573" s="214" t="s">
        <v>311</v>
      </c>
      <c r="I1573" s="214"/>
      <c r="J1573" s="222" t="s">
        <v>67</v>
      </c>
      <c r="K1573" s="222">
        <v>9.5</v>
      </c>
      <c r="L1573" s="222" t="s">
        <v>67</v>
      </c>
      <c r="M1573" s="222">
        <v>52.5</v>
      </c>
      <c r="N1573" s="214">
        <v>126.0</v>
      </c>
      <c r="O1573" s="214">
        <v>271.0</v>
      </c>
      <c r="P1573" s="214">
        <v>2.0</v>
      </c>
      <c r="Q1573" s="214" t="b">
        <v>1</v>
      </c>
      <c r="R1573" s="214">
        <v>100.0</v>
      </c>
      <c r="S1573" s="214" t="s">
        <v>525</v>
      </c>
      <c r="T1573" s="214" t="s">
        <v>365</v>
      </c>
      <c r="U1573" s="214"/>
    </row>
    <row r="1574">
      <c r="A1574" s="221">
        <v>45972.068451053245</v>
      </c>
      <c r="B1574" s="214" t="s">
        <v>156</v>
      </c>
      <c r="C1574" s="214" t="s">
        <v>223</v>
      </c>
      <c r="D1574" s="214">
        <v>6.0</v>
      </c>
      <c r="E1574" s="214">
        <v>3.0</v>
      </c>
      <c r="F1574" s="214" t="s">
        <v>1686</v>
      </c>
      <c r="G1574" s="214" t="s">
        <v>61</v>
      </c>
      <c r="H1574" s="214" t="s">
        <v>249</v>
      </c>
      <c r="I1574" s="214"/>
      <c r="J1574" s="222" t="s">
        <v>67</v>
      </c>
      <c r="K1574" s="222">
        <v>-7.5</v>
      </c>
      <c r="L1574" s="222" t="s">
        <v>67</v>
      </c>
      <c r="M1574" s="222">
        <v>57.5</v>
      </c>
      <c r="N1574" s="214">
        <v>217.0</v>
      </c>
      <c r="O1574" s="214">
        <v>252.0</v>
      </c>
      <c r="P1574" s="214">
        <v>2.0</v>
      </c>
      <c r="Q1574" s="214" t="b">
        <v>1</v>
      </c>
      <c r="R1574" s="214">
        <v>100.0</v>
      </c>
      <c r="S1574" s="214" t="s">
        <v>441</v>
      </c>
      <c r="T1574" s="214" t="s">
        <v>365</v>
      </c>
      <c r="U1574" s="214"/>
    </row>
    <row r="1575">
      <c r="A1575" s="221">
        <v>45972.068451053245</v>
      </c>
      <c r="B1575" s="214" t="s">
        <v>156</v>
      </c>
      <c r="C1575" s="214" t="s">
        <v>208</v>
      </c>
      <c r="D1575" s="214">
        <v>6.0</v>
      </c>
      <c r="E1575" s="214">
        <v>3.0</v>
      </c>
      <c r="F1575" s="214" t="s">
        <v>1683</v>
      </c>
      <c r="G1575" s="214" t="s">
        <v>61</v>
      </c>
      <c r="H1575" s="214" t="s">
        <v>238</v>
      </c>
      <c r="I1575" s="214"/>
      <c r="J1575" s="222" t="s">
        <v>67</v>
      </c>
      <c r="K1575" s="222">
        <v>6.5</v>
      </c>
      <c r="L1575" s="222" t="s">
        <v>67</v>
      </c>
      <c r="M1575" s="222">
        <v>48.5</v>
      </c>
      <c r="N1575" s="214">
        <v>300.0</v>
      </c>
      <c r="O1575" s="214">
        <v>172.0</v>
      </c>
      <c r="P1575" s="214">
        <v>2.0</v>
      </c>
      <c r="Q1575" s="214" t="b">
        <v>0</v>
      </c>
      <c r="R1575" s="214">
        <v>100.0</v>
      </c>
      <c r="S1575" s="214" t="s">
        <v>556</v>
      </c>
      <c r="T1575" s="214" t="s">
        <v>321</v>
      </c>
      <c r="U1575" s="214"/>
    </row>
    <row r="1576">
      <c r="A1576" s="221">
        <v>45972.068451053245</v>
      </c>
      <c r="B1576" s="214" t="s">
        <v>156</v>
      </c>
      <c r="C1576" s="214" t="s">
        <v>116</v>
      </c>
      <c r="D1576" s="214">
        <v>7.0</v>
      </c>
      <c r="E1576" s="214">
        <v>2.0</v>
      </c>
      <c r="F1576" s="214" t="s">
        <v>1687</v>
      </c>
      <c r="G1576" s="214" t="s">
        <v>61</v>
      </c>
      <c r="H1576" s="214" t="s">
        <v>493</v>
      </c>
      <c r="I1576" s="214"/>
      <c r="J1576" s="222" t="s">
        <v>67</v>
      </c>
      <c r="K1576" s="222">
        <v>-28.5</v>
      </c>
      <c r="L1576" s="222" t="s">
        <v>67</v>
      </c>
      <c r="M1576" s="222">
        <v>46.5</v>
      </c>
      <c r="N1576" s="214">
        <v>296.0</v>
      </c>
      <c r="O1576" s="214">
        <v>135.0</v>
      </c>
      <c r="P1576" s="214">
        <v>2.0</v>
      </c>
      <c r="Q1576" s="214" t="b">
        <v>1</v>
      </c>
      <c r="R1576" s="214">
        <v>100.0</v>
      </c>
      <c r="S1576" s="214" t="s">
        <v>317</v>
      </c>
      <c r="T1576" s="214" t="s">
        <v>321</v>
      </c>
      <c r="U1576" s="214"/>
    </row>
    <row r="1577">
      <c r="A1577" s="221">
        <v>45972.068451053245</v>
      </c>
      <c r="B1577" s="214" t="s">
        <v>156</v>
      </c>
      <c r="C1577" s="214" t="s">
        <v>232</v>
      </c>
      <c r="D1577" s="214">
        <v>6.0</v>
      </c>
      <c r="E1577" s="214">
        <v>3.0</v>
      </c>
      <c r="F1577" s="214" t="s">
        <v>1684</v>
      </c>
      <c r="G1577" s="214" t="s">
        <v>61</v>
      </c>
      <c r="H1577" s="214" t="s">
        <v>238</v>
      </c>
      <c r="I1577" s="214"/>
      <c r="J1577" s="222" t="s">
        <v>67</v>
      </c>
      <c r="K1577" s="222">
        <v>-1.5</v>
      </c>
      <c r="L1577" s="222" t="s">
        <v>67</v>
      </c>
      <c r="M1577" s="222">
        <v>48.5</v>
      </c>
      <c r="N1577" s="214">
        <v>269.0</v>
      </c>
      <c r="O1577" s="214">
        <v>234.0</v>
      </c>
      <c r="P1577" s="214">
        <v>2.0</v>
      </c>
      <c r="Q1577" s="214" t="b">
        <v>1</v>
      </c>
      <c r="R1577" s="214">
        <v>100.0</v>
      </c>
      <c r="S1577" s="214" t="s">
        <v>535</v>
      </c>
      <c r="T1577" s="214" t="s">
        <v>365</v>
      </c>
      <c r="U1577" s="214"/>
    </row>
    <row r="1578">
      <c r="A1578" s="221">
        <v>45972.068451053245</v>
      </c>
      <c r="B1578" s="214" t="s">
        <v>156</v>
      </c>
      <c r="C1578" s="214" t="s">
        <v>109</v>
      </c>
      <c r="D1578" s="214">
        <v>4.0</v>
      </c>
      <c r="E1578" s="214">
        <v>5.0</v>
      </c>
      <c r="F1578" s="214" t="s">
        <v>1688</v>
      </c>
      <c r="G1578" s="214" t="s">
        <v>61</v>
      </c>
      <c r="H1578" s="214" t="s">
        <v>395</v>
      </c>
      <c r="I1578" s="214"/>
      <c r="J1578" s="222" t="s">
        <v>67</v>
      </c>
      <c r="K1578" s="222">
        <v>-1.5</v>
      </c>
      <c r="L1578" s="222" t="s">
        <v>67</v>
      </c>
      <c r="M1578" s="222">
        <v>47.5</v>
      </c>
      <c r="N1578" s="214">
        <v>245.0</v>
      </c>
      <c r="O1578" s="214">
        <v>180.0</v>
      </c>
      <c r="P1578" s="214">
        <v>2.0</v>
      </c>
      <c r="Q1578" s="214" t="b">
        <v>1</v>
      </c>
      <c r="R1578" s="214">
        <v>100.0</v>
      </c>
      <c r="S1578" s="214" t="s">
        <v>471</v>
      </c>
      <c r="T1578" s="214" t="s">
        <v>321</v>
      </c>
      <c r="U1578" s="214"/>
    </row>
    <row r="1579">
      <c r="A1579" s="221">
        <v>45972.068451053245</v>
      </c>
      <c r="B1579" s="214" t="s">
        <v>156</v>
      </c>
      <c r="C1579" s="214" t="s">
        <v>174</v>
      </c>
      <c r="D1579" s="214">
        <v>5.0</v>
      </c>
      <c r="E1579" s="214">
        <v>4.0</v>
      </c>
      <c r="F1579" s="214" t="s">
        <v>1672</v>
      </c>
      <c r="G1579" s="214" t="s">
        <v>61</v>
      </c>
      <c r="H1579" s="214" t="s">
        <v>311</v>
      </c>
      <c r="I1579" s="214"/>
      <c r="J1579" s="222" t="s">
        <v>67</v>
      </c>
      <c r="K1579" s="222">
        <v>-14.5</v>
      </c>
      <c r="L1579" s="222" t="s">
        <v>67</v>
      </c>
      <c r="M1579" s="222">
        <v>42.5</v>
      </c>
      <c r="N1579" s="214">
        <v>296.0</v>
      </c>
      <c r="O1579" s="214">
        <v>131.0</v>
      </c>
      <c r="P1579" s="214">
        <v>2.0</v>
      </c>
      <c r="Q1579" s="214" t="b">
        <v>1</v>
      </c>
      <c r="R1579" s="214">
        <v>100.0</v>
      </c>
      <c r="S1579" s="214" t="s">
        <v>530</v>
      </c>
      <c r="T1579" s="214" t="s">
        <v>365</v>
      </c>
      <c r="U1579" s="214"/>
    </row>
    <row r="1580">
      <c r="A1580" s="221">
        <v>45972.068451053245</v>
      </c>
      <c r="B1580" s="214"/>
      <c r="C1580" s="214"/>
      <c r="D1580" s="214"/>
      <c r="E1580" s="214"/>
      <c r="F1580" s="214"/>
      <c r="G1580" s="214"/>
      <c r="H1580" s="214"/>
      <c r="I1580" s="214"/>
      <c r="J1580" s="222"/>
      <c r="K1580" s="222"/>
      <c r="L1580" s="222"/>
      <c r="M1580" s="222"/>
      <c r="N1580" s="214"/>
      <c r="O1580" s="214"/>
      <c r="P1580" s="214"/>
      <c r="Q1580" s="214"/>
      <c r="R1580" s="214"/>
      <c r="S1580" s="214"/>
      <c r="T1580" s="214"/>
      <c r="U1580" s="214"/>
    </row>
    <row r="1581">
      <c r="A1581" s="221">
        <v>45972.068451053245</v>
      </c>
      <c r="B1581" s="214" t="s">
        <v>249</v>
      </c>
      <c r="C1581" s="214" t="s">
        <v>124</v>
      </c>
      <c r="D1581" s="214">
        <v>5.0</v>
      </c>
      <c r="E1581" s="214">
        <v>4.0</v>
      </c>
      <c r="F1581" s="214"/>
      <c r="G1581" s="214"/>
      <c r="H1581" s="214"/>
      <c r="I1581" s="214"/>
      <c r="J1581" s="222"/>
      <c r="K1581" s="222"/>
      <c r="L1581" s="222"/>
      <c r="M1581" s="222"/>
      <c r="N1581" s="214">
        <v>304.0</v>
      </c>
      <c r="O1581" s="214">
        <v>264.0</v>
      </c>
      <c r="P1581" s="214">
        <v>0.0</v>
      </c>
      <c r="Q1581" s="214" t="b">
        <v>1</v>
      </c>
      <c r="R1581" s="214">
        <v>59.0</v>
      </c>
      <c r="S1581" s="214" t="s">
        <v>471</v>
      </c>
      <c r="T1581" s="214" t="s">
        <v>321</v>
      </c>
      <c r="U1581" s="214"/>
    </row>
    <row r="1582">
      <c r="A1582" s="221">
        <v>45972.068451053245</v>
      </c>
      <c r="B1582" s="214" t="s">
        <v>249</v>
      </c>
      <c r="C1582" s="214" t="s">
        <v>167</v>
      </c>
      <c r="D1582" s="214">
        <v>5.0</v>
      </c>
      <c r="E1582" s="214">
        <v>4.0</v>
      </c>
      <c r="F1582" s="214"/>
      <c r="G1582" s="214"/>
      <c r="H1582" s="214"/>
      <c r="I1582" s="214"/>
      <c r="J1582" s="222"/>
      <c r="K1582" s="222"/>
      <c r="L1582" s="222"/>
      <c r="M1582" s="222"/>
      <c r="N1582" s="214">
        <v>223.0</v>
      </c>
      <c r="O1582" s="214">
        <v>176.0</v>
      </c>
      <c r="P1582" s="214">
        <v>0.0</v>
      </c>
      <c r="Q1582" s="214" t="b">
        <v>1</v>
      </c>
      <c r="R1582" s="214">
        <v>59.0</v>
      </c>
      <c r="S1582" s="214" t="s">
        <v>530</v>
      </c>
      <c r="T1582" s="214" t="s">
        <v>365</v>
      </c>
      <c r="U1582" s="214"/>
    </row>
    <row r="1583">
      <c r="A1583" s="221">
        <v>45972.068451053245</v>
      </c>
      <c r="B1583" s="214" t="s">
        <v>249</v>
      </c>
      <c r="C1583" s="214" t="s">
        <v>183</v>
      </c>
      <c r="D1583" s="214">
        <v>7.0</v>
      </c>
      <c r="E1583" s="214">
        <v>2.0</v>
      </c>
      <c r="F1583" s="214" t="s">
        <v>1678</v>
      </c>
      <c r="G1583" s="214" t="s">
        <v>61</v>
      </c>
      <c r="H1583" s="214" t="s">
        <v>96</v>
      </c>
      <c r="I1583" s="214"/>
      <c r="J1583" s="222" t="s">
        <v>67</v>
      </c>
      <c r="K1583" s="222">
        <v>-7.0</v>
      </c>
      <c r="L1583" s="222" t="s">
        <v>67</v>
      </c>
      <c r="M1583" s="222">
        <v>49.5</v>
      </c>
      <c r="N1583" s="214">
        <v>237.0</v>
      </c>
      <c r="O1583" s="214">
        <v>118.0</v>
      </c>
      <c r="P1583" s="214">
        <v>2.0</v>
      </c>
      <c r="Q1583" s="214" t="b">
        <v>1</v>
      </c>
      <c r="R1583" s="214">
        <v>100.0</v>
      </c>
      <c r="S1583" s="214" t="s">
        <v>525</v>
      </c>
      <c r="T1583" s="214" t="s">
        <v>365</v>
      </c>
      <c r="U1583" s="214"/>
    </row>
    <row r="1584">
      <c r="A1584" s="221">
        <v>45972.068451053245</v>
      </c>
      <c r="B1584" s="214" t="s">
        <v>249</v>
      </c>
      <c r="C1584" s="214" t="s">
        <v>111</v>
      </c>
      <c r="D1584" s="214">
        <v>4.0</v>
      </c>
      <c r="E1584" s="214">
        <v>5.0</v>
      </c>
      <c r="F1584" s="214" t="s">
        <v>1673</v>
      </c>
      <c r="G1584" s="214" t="s">
        <v>61</v>
      </c>
      <c r="H1584" s="214" t="s">
        <v>224</v>
      </c>
      <c r="I1584" s="214"/>
      <c r="J1584" s="222" t="s">
        <v>67</v>
      </c>
      <c r="K1584" s="222">
        <v>-1.5</v>
      </c>
      <c r="L1584" s="222" t="s">
        <v>67</v>
      </c>
      <c r="M1584" s="222">
        <v>56.5</v>
      </c>
      <c r="N1584" s="214">
        <v>251.0</v>
      </c>
      <c r="O1584" s="214">
        <v>202.0</v>
      </c>
      <c r="P1584" s="214">
        <v>2.0</v>
      </c>
      <c r="Q1584" s="214" t="b">
        <v>1</v>
      </c>
      <c r="R1584" s="214">
        <v>100.0</v>
      </c>
      <c r="S1584" s="214" t="s">
        <v>317</v>
      </c>
      <c r="T1584" s="214" t="s">
        <v>321</v>
      </c>
      <c r="U1584" s="214"/>
    </row>
    <row r="1585">
      <c r="A1585" s="221">
        <v>45972.068451053245</v>
      </c>
      <c r="B1585" s="214" t="s">
        <v>249</v>
      </c>
      <c r="C1585" s="214" t="s">
        <v>217</v>
      </c>
      <c r="D1585" s="214">
        <v>1.0</v>
      </c>
      <c r="E1585" s="214">
        <v>8.0</v>
      </c>
      <c r="F1585" s="214" t="s">
        <v>1686</v>
      </c>
      <c r="G1585" s="214" t="s">
        <v>61</v>
      </c>
      <c r="H1585" s="214" t="s">
        <v>156</v>
      </c>
      <c r="I1585" s="214"/>
      <c r="J1585" s="222" t="s">
        <v>67</v>
      </c>
      <c r="K1585" s="222">
        <v>7.5</v>
      </c>
      <c r="L1585" s="222" t="s">
        <v>67</v>
      </c>
      <c r="M1585" s="222">
        <v>57.5</v>
      </c>
      <c r="N1585" s="214">
        <v>190.0</v>
      </c>
      <c r="O1585" s="214">
        <v>366.0</v>
      </c>
      <c r="P1585" s="214">
        <v>2.0</v>
      </c>
      <c r="Q1585" s="214" t="b">
        <v>0</v>
      </c>
      <c r="R1585" s="214">
        <v>100.0</v>
      </c>
      <c r="S1585" s="214" t="s">
        <v>441</v>
      </c>
      <c r="T1585" s="214" t="s">
        <v>365</v>
      </c>
      <c r="U1585" s="214"/>
    </row>
    <row r="1586">
      <c r="A1586" s="221">
        <v>45972.068451053245</v>
      </c>
      <c r="B1586" s="214" t="s">
        <v>249</v>
      </c>
      <c r="C1586" s="214" t="s">
        <v>137</v>
      </c>
      <c r="D1586" s="214">
        <v>6.0</v>
      </c>
      <c r="E1586" s="214">
        <v>3.0</v>
      </c>
      <c r="F1586" s="214" t="s">
        <v>1669</v>
      </c>
      <c r="G1586" s="214" t="s">
        <v>61</v>
      </c>
      <c r="H1586" s="214" t="s">
        <v>311</v>
      </c>
      <c r="I1586" s="214"/>
      <c r="J1586" s="222" t="s">
        <v>67</v>
      </c>
      <c r="K1586" s="222">
        <v>6.5</v>
      </c>
      <c r="L1586" s="222" t="s">
        <v>67</v>
      </c>
      <c r="M1586" s="222">
        <v>42.5</v>
      </c>
      <c r="N1586" s="214">
        <v>266.0</v>
      </c>
      <c r="O1586" s="214">
        <v>123.0</v>
      </c>
      <c r="P1586" s="214">
        <v>2.0</v>
      </c>
      <c r="Q1586" s="214" t="b">
        <v>0</v>
      </c>
      <c r="R1586" s="214">
        <v>100.0</v>
      </c>
      <c r="S1586" s="214" t="s">
        <v>407</v>
      </c>
      <c r="T1586" s="214" t="s">
        <v>321</v>
      </c>
      <c r="U1586" s="214"/>
    </row>
    <row r="1587">
      <c r="A1587" s="221">
        <v>45972.068451053245</v>
      </c>
      <c r="B1587" s="214" t="s">
        <v>249</v>
      </c>
      <c r="C1587" s="214" t="s">
        <v>112</v>
      </c>
      <c r="D1587" s="214">
        <v>5.0</v>
      </c>
      <c r="E1587" s="214">
        <v>4.0</v>
      </c>
      <c r="F1587" s="214" t="s">
        <v>1689</v>
      </c>
      <c r="G1587" s="214" t="s">
        <v>61</v>
      </c>
      <c r="H1587" s="214" t="s">
        <v>395</v>
      </c>
      <c r="I1587" s="214"/>
      <c r="J1587" s="222" t="s">
        <v>67</v>
      </c>
      <c r="K1587" s="222">
        <v>-9.5</v>
      </c>
      <c r="L1587" s="222" t="s">
        <v>67</v>
      </c>
      <c r="M1587" s="222">
        <v>63.5</v>
      </c>
      <c r="N1587" s="214">
        <v>317.0</v>
      </c>
      <c r="O1587" s="214">
        <v>262.0</v>
      </c>
      <c r="P1587" s="214">
        <v>2.0</v>
      </c>
      <c r="Q1587" s="214" t="b">
        <v>1</v>
      </c>
      <c r="R1587" s="214">
        <v>100.0</v>
      </c>
      <c r="S1587" s="214" t="s">
        <v>317</v>
      </c>
      <c r="T1587" s="214" t="s">
        <v>321</v>
      </c>
      <c r="U1587" s="214"/>
    </row>
    <row r="1588">
      <c r="A1588" s="221">
        <v>45972.068451053245</v>
      </c>
      <c r="B1588" s="214" t="s">
        <v>249</v>
      </c>
      <c r="C1588" s="214" t="s">
        <v>151</v>
      </c>
      <c r="D1588" s="214">
        <v>5.0</v>
      </c>
      <c r="E1588" s="214">
        <v>4.0</v>
      </c>
      <c r="F1588" s="214" t="s">
        <v>1676</v>
      </c>
      <c r="G1588" s="214" t="s">
        <v>61</v>
      </c>
      <c r="H1588" s="214" t="s">
        <v>224</v>
      </c>
      <c r="I1588" s="214"/>
      <c r="J1588" s="222" t="s">
        <v>67</v>
      </c>
      <c r="K1588" s="222">
        <v>-6.0</v>
      </c>
      <c r="L1588" s="222" t="s">
        <v>67</v>
      </c>
      <c r="M1588" s="222">
        <v>57.5</v>
      </c>
      <c r="N1588" s="214">
        <v>253.0</v>
      </c>
      <c r="O1588" s="214">
        <v>170.0</v>
      </c>
      <c r="P1588" s="214">
        <v>2.0</v>
      </c>
      <c r="Q1588" s="214" t="b">
        <v>0</v>
      </c>
      <c r="R1588" s="214">
        <v>100.0</v>
      </c>
      <c r="S1588" s="214" t="s">
        <v>535</v>
      </c>
      <c r="T1588" s="214" t="s">
        <v>365</v>
      </c>
      <c r="U1588" s="214"/>
    </row>
    <row r="1589">
      <c r="A1589" s="221">
        <v>45972.068451053245</v>
      </c>
      <c r="B1589" s="214" t="s">
        <v>249</v>
      </c>
      <c r="C1589" s="214" t="s">
        <v>159</v>
      </c>
      <c r="D1589" s="214">
        <v>1.0</v>
      </c>
      <c r="E1589" s="214">
        <v>8.0</v>
      </c>
      <c r="F1589" s="214" t="s">
        <v>1653</v>
      </c>
      <c r="G1589" s="214" t="s">
        <v>61</v>
      </c>
      <c r="H1589" s="214" t="s">
        <v>95</v>
      </c>
      <c r="I1589" s="214"/>
      <c r="J1589" s="222" t="s">
        <v>67</v>
      </c>
      <c r="K1589" s="222">
        <v>28.5</v>
      </c>
      <c r="L1589" s="222" t="s">
        <v>67</v>
      </c>
      <c r="M1589" s="222">
        <v>55.5</v>
      </c>
      <c r="N1589" s="214">
        <v>162.0</v>
      </c>
      <c r="O1589" s="214">
        <v>346.0</v>
      </c>
      <c r="P1589" s="214">
        <v>2.0</v>
      </c>
      <c r="Q1589" s="214" t="b">
        <v>0</v>
      </c>
      <c r="R1589" s="214">
        <v>100.0</v>
      </c>
      <c r="S1589" s="214" t="s">
        <v>361</v>
      </c>
      <c r="T1589" s="214" t="s">
        <v>365</v>
      </c>
      <c r="U1589" s="214"/>
    </row>
    <row r="1590">
      <c r="A1590" s="221">
        <v>45972.068451053245</v>
      </c>
      <c r="B1590" s="214" t="s">
        <v>249</v>
      </c>
      <c r="C1590" s="214" t="s">
        <v>209</v>
      </c>
      <c r="D1590" s="214">
        <v>9.0</v>
      </c>
      <c r="E1590" s="214">
        <v>1.0</v>
      </c>
      <c r="F1590" s="214" t="s">
        <v>1690</v>
      </c>
      <c r="G1590" s="214" t="s">
        <v>61</v>
      </c>
      <c r="H1590" s="214"/>
      <c r="I1590" s="214"/>
      <c r="J1590" s="222" t="s">
        <v>67</v>
      </c>
      <c r="K1590" s="222">
        <v>-53.5</v>
      </c>
      <c r="L1590" s="222" t="s">
        <v>67</v>
      </c>
      <c r="M1590" s="222">
        <v>64.5</v>
      </c>
      <c r="N1590" s="214">
        <v>375.0</v>
      </c>
      <c r="O1590" s="214">
        <v>198.0</v>
      </c>
      <c r="P1590" s="214">
        <v>2.0</v>
      </c>
      <c r="Q1590" s="214" t="b">
        <v>0</v>
      </c>
      <c r="R1590" s="214">
        <v>100.0</v>
      </c>
      <c r="S1590" s="214" t="s">
        <v>556</v>
      </c>
      <c r="T1590" s="214" t="s">
        <v>321</v>
      </c>
      <c r="U1590" s="214"/>
    </row>
    <row r="1591">
      <c r="A1591" s="221">
        <v>45972.068451053245</v>
      </c>
      <c r="B1591" s="214"/>
      <c r="C1591" s="214"/>
      <c r="D1591" s="214"/>
      <c r="E1591" s="214"/>
      <c r="F1591" s="214"/>
      <c r="G1591" s="214"/>
      <c r="H1591" s="214"/>
      <c r="I1591" s="214"/>
      <c r="J1591" s="222"/>
      <c r="K1591" s="222"/>
      <c r="L1591" s="222"/>
      <c r="M1591" s="222"/>
      <c r="N1591" s="214"/>
      <c r="O1591" s="214"/>
      <c r="P1591" s="214"/>
      <c r="Q1591" s="214"/>
      <c r="R1591" s="214"/>
      <c r="S1591" s="214"/>
      <c r="T1591" s="214"/>
      <c r="U1591" s="214"/>
    </row>
    <row r="1592">
      <c r="A1592" s="221">
        <v>45972.068451053245</v>
      </c>
      <c r="B1592" s="214" t="s">
        <v>395</v>
      </c>
      <c r="C1592" s="214" t="s">
        <v>114</v>
      </c>
      <c r="D1592" s="214">
        <v>8.0</v>
      </c>
      <c r="E1592" s="214">
        <v>1.0</v>
      </c>
      <c r="F1592" s="214"/>
      <c r="G1592" s="214"/>
      <c r="H1592" s="214"/>
      <c r="I1592" s="214"/>
      <c r="J1592" s="222"/>
      <c r="K1592" s="222"/>
      <c r="L1592" s="222"/>
      <c r="M1592" s="222"/>
      <c r="N1592" s="214">
        <v>324.0</v>
      </c>
      <c r="O1592" s="214">
        <v>208.0</v>
      </c>
      <c r="P1592" s="214">
        <v>0.0</v>
      </c>
      <c r="Q1592" s="214" t="b">
        <v>1</v>
      </c>
      <c r="R1592" s="214">
        <v>59.0</v>
      </c>
      <c r="S1592" s="214" t="s">
        <v>317</v>
      </c>
      <c r="T1592" s="214" t="s">
        <v>321</v>
      </c>
      <c r="U1592" s="214"/>
    </row>
    <row r="1593">
      <c r="A1593" s="221">
        <v>45972.068451053245</v>
      </c>
      <c r="B1593" s="214" t="s">
        <v>395</v>
      </c>
      <c r="C1593" s="214" t="s">
        <v>175</v>
      </c>
      <c r="D1593" s="214">
        <v>5.0</v>
      </c>
      <c r="E1593" s="214">
        <v>4.0</v>
      </c>
      <c r="F1593" s="214"/>
      <c r="G1593" s="214"/>
      <c r="H1593" s="214"/>
      <c r="I1593" s="214"/>
      <c r="J1593" s="222"/>
      <c r="K1593" s="222"/>
      <c r="L1593" s="222"/>
      <c r="M1593" s="222"/>
      <c r="N1593" s="214">
        <v>201.0</v>
      </c>
      <c r="O1593" s="214">
        <v>171.0</v>
      </c>
      <c r="P1593" s="214">
        <v>0.0</v>
      </c>
      <c r="Q1593" s="214" t="b">
        <v>1</v>
      </c>
      <c r="R1593" s="214">
        <v>59.0</v>
      </c>
      <c r="S1593" s="214" t="s">
        <v>530</v>
      </c>
      <c r="T1593" s="214" t="s">
        <v>365</v>
      </c>
      <c r="U1593" s="214"/>
    </row>
    <row r="1594">
      <c r="A1594" s="221">
        <v>45972.068451053245</v>
      </c>
      <c r="B1594" s="214" t="s">
        <v>395</v>
      </c>
      <c r="C1594" s="214" t="s">
        <v>179</v>
      </c>
      <c r="D1594" s="214">
        <v>6.0</v>
      </c>
      <c r="E1594" s="214">
        <v>3.0</v>
      </c>
      <c r="F1594" s="214"/>
      <c r="G1594" s="214"/>
      <c r="H1594" s="214"/>
      <c r="I1594" s="214"/>
      <c r="J1594" s="222"/>
      <c r="K1594" s="222"/>
      <c r="L1594" s="222"/>
      <c r="M1594" s="222"/>
      <c r="N1594" s="214">
        <v>235.0</v>
      </c>
      <c r="O1594" s="214">
        <v>196.0</v>
      </c>
      <c r="P1594" s="214">
        <v>0.0</v>
      </c>
      <c r="Q1594" s="214" t="b">
        <v>1</v>
      </c>
      <c r="R1594" s="214">
        <v>59.0</v>
      </c>
      <c r="S1594" s="214" t="s">
        <v>525</v>
      </c>
      <c r="T1594" s="214" t="s">
        <v>365</v>
      </c>
      <c r="U1594" s="214"/>
    </row>
    <row r="1595">
      <c r="A1595" s="221">
        <v>45972.068451053245</v>
      </c>
      <c r="B1595" s="214" t="s">
        <v>395</v>
      </c>
      <c r="C1595" s="214" t="s">
        <v>162</v>
      </c>
      <c r="D1595" s="214">
        <v>7.0</v>
      </c>
      <c r="E1595" s="214">
        <v>2.0</v>
      </c>
      <c r="F1595" s="214"/>
      <c r="G1595" s="214"/>
      <c r="H1595" s="214"/>
      <c r="I1595" s="214"/>
      <c r="J1595" s="222"/>
      <c r="K1595" s="222"/>
      <c r="L1595" s="222"/>
      <c r="M1595" s="222"/>
      <c r="N1595" s="214">
        <v>271.0</v>
      </c>
      <c r="O1595" s="214">
        <v>205.0</v>
      </c>
      <c r="P1595" s="214">
        <v>0.0</v>
      </c>
      <c r="Q1595" s="214" t="b">
        <v>1</v>
      </c>
      <c r="R1595" s="214">
        <v>59.0</v>
      </c>
      <c r="S1595" s="214" t="s">
        <v>535</v>
      </c>
      <c r="T1595" s="214" t="s">
        <v>365</v>
      </c>
      <c r="U1595" s="214"/>
    </row>
    <row r="1596">
      <c r="A1596" s="221">
        <v>45972.068451053245</v>
      </c>
      <c r="B1596" s="214" t="s">
        <v>395</v>
      </c>
      <c r="C1596" s="214" t="s">
        <v>99</v>
      </c>
      <c r="D1596" s="214">
        <v>7.0</v>
      </c>
      <c r="E1596" s="214">
        <v>3.0</v>
      </c>
      <c r="F1596" s="214" t="s">
        <v>1689</v>
      </c>
      <c r="G1596" s="214" t="s">
        <v>61</v>
      </c>
      <c r="H1596" s="214" t="s">
        <v>249</v>
      </c>
      <c r="I1596" s="214"/>
      <c r="J1596" s="222" t="s">
        <v>67</v>
      </c>
      <c r="K1596" s="222">
        <v>9.5</v>
      </c>
      <c r="L1596" s="222" t="s">
        <v>67</v>
      </c>
      <c r="M1596" s="222">
        <v>63.5</v>
      </c>
      <c r="N1596" s="214">
        <v>369.0</v>
      </c>
      <c r="O1596" s="214">
        <v>249.0</v>
      </c>
      <c r="P1596" s="214">
        <v>2.0</v>
      </c>
      <c r="Q1596" s="214" t="b">
        <v>0</v>
      </c>
      <c r="R1596" s="214">
        <v>100.0</v>
      </c>
      <c r="S1596" s="214" t="s">
        <v>725</v>
      </c>
      <c r="T1596" s="214"/>
      <c r="U1596" s="214"/>
    </row>
    <row r="1597">
      <c r="A1597" s="221">
        <v>45972.068451053245</v>
      </c>
      <c r="B1597" s="214" t="s">
        <v>395</v>
      </c>
      <c r="C1597" s="214" t="s">
        <v>147</v>
      </c>
      <c r="D1597" s="214">
        <v>5.0</v>
      </c>
      <c r="E1597" s="214">
        <v>5.0</v>
      </c>
      <c r="F1597" s="214" t="s">
        <v>1691</v>
      </c>
      <c r="G1597" s="214" t="s">
        <v>61</v>
      </c>
      <c r="H1597" s="214" t="s">
        <v>493</v>
      </c>
      <c r="I1597" s="214"/>
      <c r="J1597" s="222" t="s">
        <v>67</v>
      </c>
      <c r="K1597" s="222">
        <v>-2.5</v>
      </c>
      <c r="L1597" s="222" t="s">
        <v>67</v>
      </c>
      <c r="M1597" s="222">
        <v>57.5</v>
      </c>
      <c r="N1597" s="214">
        <v>299.0</v>
      </c>
      <c r="O1597" s="214">
        <v>300.0</v>
      </c>
      <c r="P1597" s="214">
        <v>2.0</v>
      </c>
      <c r="Q1597" s="214" t="b">
        <v>1</v>
      </c>
      <c r="R1597" s="214">
        <v>100.0</v>
      </c>
      <c r="S1597" s="214" t="s">
        <v>407</v>
      </c>
      <c r="T1597" s="214" t="s">
        <v>321</v>
      </c>
      <c r="U1597" s="214"/>
    </row>
    <row r="1598">
      <c r="A1598" s="221">
        <v>45972.068451053245</v>
      </c>
      <c r="B1598" s="214" t="s">
        <v>395</v>
      </c>
      <c r="C1598" s="214" t="s">
        <v>231</v>
      </c>
      <c r="D1598" s="214">
        <v>8.0</v>
      </c>
      <c r="E1598" s="214">
        <v>1.0</v>
      </c>
      <c r="F1598" s="214" t="s">
        <v>1670</v>
      </c>
      <c r="G1598" s="214" t="s">
        <v>61</v>
      </c>
      <c r="H1598" s="214" t="s">
        <v>311</v>
      </c>
      <c r="I1598" s="214"/>
      <c r="J1598" s="222" t="s">
        <v>67</v>
      </c>
      <c r="K1598" s="222">
        <v>-13.5</v>
      </c>
      <c r="L1598" s="222" t="s">
        <v>67</v>
      </c>
      <c r="M1598" s="222">
        <v>54.5</v>
      </c>
      <c r="N1598" s="214">
        <v>313.0</v>
      </c>
      <c r="O1598" s="214">
        <v>152.0</v>
      </c>
      <c r="P1598" s="214">
        <v>2.0</v>
      </c>
      <c r="Q1598" s="214" t="b">
        <v>1</v>
      </c>
      <c r="R1598" s="214">
        <v>100.0</v>
      </c>
      <c r="S1598" s="214" t="s">
        <v>441</v>
      </c>
      <c r="T1598" s="214" t="s">
        <v>365</v>
      </c>
      <c r="U1598" s="214"/>
    </row>
    <row r="1599">
      <c r="A1599" s="221">
        <v>45972.068451053245</v>
      </c>
      <c r="B1599" s="214" t="s">
        <v>395</v>
      </c>
      <c r="C1599" s="214" t="s">
        <v>225</v>
      </c>
      <c r="D1599" s="214">
        <v>5.0</v>
      </c>
      <c r="E1599" s="214">
        <v>4.0</v>
      </c>
      <c r="F1599" s="214" t="s">
        <v>1692</v>
      </c>
      <c r="G1599" s="214" t="s">
        <v>61</v>
      </c>
      <c r="H1599" s="214" t="s">
        <v>493</v>
      </c>
      <c r="I1599" s="214"/>
      <c r="J1599" s="222" t="s">
        <v>67</v>
      </c>
      <c r="K1599" s="222">
        <v>-6.5</v>
      </c>
      <c r="L1599" s="222" t="s">
        <v>67</v>
      </c>
      <c r="M1599" s="222">
        <v>45.5</v>
      </c>
      <c r="N1599" s="214">
        <v>201.0</v>
      </c>
      <c r="O1599" s="214">
        <v>198.0</v>
      </c>
      <c r="P1599" s="214">
        <v>2.0</v>
      </c>
      <c r="Q1599" s="214" t="b">
        <v>1</v>
      </c>
      <c r="R1599" s="214">
        <v>100.0</v>
      </c>
      <c r="S1599" s="214" t="s">
        <v>361</v>
      </c>
      <c r="T1599" s="214" t="s">
        <v>365</v>
      </c>
      <c r="U1599" s="214"/>
    </row>
    <row r="1600">
      <c r="A1600" s="221">
        <v>45972.068451053245</v>
      </c>
      <c r="B1600" s="214" t="s">
        <v>395</v>
      </c>
      <c r="C1600" s="214" t="s">
        <v>101</v>
      </c>
      <c r="D1600" s="214">
        <v>8.0</v>
      </c>
      <c r="E1600" s="214">
        <v>2.0</v>
      </c>
      <c r="F1600" s="214" t="s">
        <v>1688</v>
      </c>
      <c r="G1600" s="214" t="s">
        <v>61</v>
      </c>
      <c r="H1600" s="214" t="s">
        <v>156</v>
      </c>
      <c r="I1600" s="214"/>
      <c r="J1600" s="222" t="s">
        <v>67</v>
      </c>
      <c r="K1600" s="222">
        <v>1.5</v>
      </c>
      <c r="L1600" s="222" t="s">
        <v>67</v>
      </c>
      <c r="M1600" s="222">
        <v>47.5</v>
      </c>
      <c r="N1600" s="214">
        <v>295.0</v>
      </c>
      <c r="O1600" s="214">
        <v>221.0</v>
      </c>
      <c r="P1600" s="214">
        <v>2.0</v>
      </c>
      <c r="Q1600" s="214" t="b">
        <v>0</v>
      </c>
      <c r="R1600" s="214">
        <v>100.0</v>
      </c>
      <c r="S1600" s="214" t="s">
        <v>471</v>
      </c>
      <c r="T1600" s="214" t="s">
        <v>321</v>
      </c>
      <c r="U1600" s="214"/>
    </row>
    <row r="1601">
      <c r="A1601" s="221">
        <v>45972.068451053245</v>
      </c>
      <c r="B1601" s="214" t="s">
        <v>395</v>
      </c>
      <c r="C1601" s="214" t="s">
        <v>213</v>
      </c>
      <c r="D1601" s="214">
        <v>8.0</v>
      </c>
      <c r="E1601" s="214">
        <v>2.0</v>
      </c>
      <c r="F1601" s="214" t="s">
        <v>1650</v>
      </c>
      <c r="G1601" s="214" t="s">
        <v>532</v>
      </c>
      <c r="H1601" s="214" t="s">
        <v>43</v>
      </c>
      <c r="I1601" s="214"/>
      <c r="J1601" s="222" t="s">
        <v>67</v>
      </c>
      <c r="K1601" s="222">
        <v>-6.0</v>
      </c>
      <c r="L1601" s="222" t="s">
        <v>67</v>
      </c>
      <c r="M1601" s="222">
        <v>45.5</v>
      </c>
      <c r="N1601" s="214">
        <v>383.0</v>
      </c>
      <c r="O1601" s="214">
        <v>222.0</v>
      </c>
      <c r="P1601" s="214">
        <v>2.0</v>
      </c>
      <c r="Q1601" s="214" t="b">
        <v>1</v>
      </c>
      <c r="R1601" s="214">
        <v>100.0</v>
      </c>
      <c r="S1601" s="214" t="s">
        <v>556</v>
      </c>
      <c r="T1601" s="214" t="s">
        <v>321</v>
      </c>
      <c r="U1601" s="214"/>
    </row>
    <row r="1602">
      <c r="A1602" s="221">
        <v>45972.068451053245</v>
      </c>
      <c r="B1602" s="214"/>
      <c r="C1602" s="214"/>
      <c r="D1602" s="214"/>
      <c r="E1602" s="214"/>
      <c r="F1602" s="214"/>
      <c r="G1602" s="214"/>
      <c r="H1602" s="214"/>
      <c r="I1602" s="214"/>
      <c r="J1602" s="222"/>
      <c r="K1602" s="222"/>
      <c r="L1602" s="222"/>
      <c r="M1602" s="222"/>
      <c r="N1602" s="214"/>
      <c r="O1602" s="214"/>
      <c r="P1602" s="214"/>
      <c r="Q1602" s="214"/>
      <c r="R1602" s="214"/>
      <c r="S1602" s="214"/>
      <c r="T1602" s="214"/>
      <c r="U1602" s="214"/>
    </row>
    <row r="1603">
      <c r="A1603" s="221">
        <v>45972.068451053245</v>
      </c>
      <c r="B1603" s="214" t="s">
        <v>132</v>
      </c>
      <c r="C1603" s="214" t="s">
        <v>187</v>
      </c>
      <c r="D1603" s="214">
        <v>4.0</v>
      </c>
      <c r="E1603" s="214">
        <v>5.0</v>
      </c>
      <c r="F1603" s="214"/>
      <c r="G1603" s="214"/>
      <c r="H1603" s="214"/>
      <c r="I1603" s="214"/>
      <c r="J1603" s="222"/>
      <c r="K1603" s="222"/>
      <c r="L1603" s="222"/>
      <c r="M1603" s="222"/>
      <c r="N1603" s="214">
        <v>175.0</v>
      </c>
      <c r="O1603" s="214">
        <v>182.0</v>
      </c>
      <c r="P1603" s="214">
        <v>0.0</v>
      </c>
      <c r="Q1603" s="214" t="b">
        <v>0</v>
      </c>
      <c r="R1603" s="214">
        <v>59.0</v>
      </c>
      <c r="S1603" s="214" t="s">
        <v>525</v>
      </c>
      <c r="T1603" s="214" t="s">
        <v>365</v>
      </c>
      <c r="U1603" s="214"/>
    </row>
    <row r="1604">
      <c r="A1604" s="221">
        <v>45972.068451053245</v>
      </c>
      <c r="B1604" s="214" t="s">
        <v>132</v>
      </c>
      <c r="C1604" s="214" t="s">
        <v>210</v>
      </c>
      <c r="D1604" s="214">
        <v>3.0</v>
      </c>
      <c r="E1604" s="214">
        <v>6.0</v>
      </c>
      <c r="F1604" s="214"/>
      <c r="G1604" s="214"/>
      <c r="H1604" s="214"/>
      <c r="I1604" s="214"/>
      <c r="J1604" s="222"/>
      <c r="K1604" s="222"/>
      <c r="L1604" s="222"/>
      <c r="M1604" s="222"/>
      <c r="N1604" s="214">
        <v>177.0</v>
      </c>
      <c r="O1604" s="214">
        <v>199.0</v>
      </c>
      <c r="P1604" s="214">
        <v>0.0</v>
      </c>
      <c r="Q1604" s="214" t="b">
        <v>1</v>
      </c>
      <c r="R1604" s="214">
        <v>59.0</v>
      </c>
      <c r="S1604" s="214" t="s">
        <v>556</v>
      </c>
      <c r="T1604" s="214" t="s">
        <v>321</v>
      </c>
      <c r="U1604" s="214"/>
    </row>
    <row r="1605">
      <c r="A1605" s="221">
        <v>45972.068451053245</v>
      </c>
      <c r="B1605" s="214" t="s">
        <v>132</v>
      </c>
      <c r="C1605" s="214" t="s">
        <v>168</v>
      </c>
      <c r="D1605" s="214">
        <v>5.0</v>
      </c>
      <c r="E1605" s="214">
        <v>4.0</v>
      </c>
      <c r="F1605" s="214"/>
      <c r="G1605" s="214"/>
      <c r="H1605" s="214"/>
      <c r="I1605" s="214"/>
      <c r="J1605" s="222"/>
      <c r="K1605" s="222"/>
      <c r="L1605" s="222"/>
      <c r="M1605" s="222"/>
      <c r="N1605" s="214">
        <v>217.0</v>
      </c>
      <c r="O1605" s="214">
        <v>216.0</v>
      </c>
      <c r="P1605" s="214">
        <v>0.0</v>
      </c>
      <c r="Q1605" s="214" t="b">
        <v>1</v>
      </c>
      <c r="R1605" s="214">
        <v>59.0</v>
      </c>
      <c r="S1605" s="214" t="s">
        <v>530</v>
      </c>
      <c r="T1605" s="214" t="s">
        <v>365</v>
      </c>
      <c r="U1605" s="214"/>
    </row>
    <row r="1606">
      <c r="A1606" s="221">
        <v>45972.068451053245</v>
      </c>
      <c r="B1606" s="214" t="s">
        <v>132</v>
      </c>
      <c r="C1606" s="214" t="s">
        <v>131</v>
      </c>
      <c r="D1606" s="214">
        <v>7.0</v>
      </c>
      <c r="E1606" s="214">
        <v>2.0</v>
      </c>
      <c r="F1606" s="214"/>
      <c r="G1606" s="214"/>
      <c r="H1606" s="214"/>
      <c r="I1606" s="214"/>
      <c r="J1606" s="222"/>
      <c r="K1606" s="222"/>
      <c r="L1606" s="222"/>
      <c r="M1606" s="222"/>
      <c r="N1606" s="214">
        <v>266.0</v>
      </c>
      <c r="O1606" s="214">
        <v>148.0</v>
      </c>
      <c r="P1606" s="214">
        <v>0.0</v>
      </c>
      <c r="Q1606" s="214" t="b">
        <v>1</v>
      </c>
      <c r="R1606" s="214">
        <v>59.0</v>
      </c>
      <c r="S1606" s="214" t="s">
        <v>556</v>
      </c>
      <c r="T1606" s="214" t="s">
        <v>321</v>
      </c>
      <c r="U1606" s="214"/>
    </row>
    <row r="1607">
      <c r="A1607" s="221">
        <v>45972.068451053245</v>
      </c>
      <c r="B1607" s="214" t="s">
        <v>132</v>
      </c>
      <c r="C1607" s="214" t="s">
        <v>545</v>
      </c>
      <c r="D1607" s="214">
        <v>4.0</v>
      </c>
      <c r="E1607" s="214">
        <v>5.0</v>
      </c>
      <c r="F1607" s="214" t="s">
        <v>1680</v>
      </c>
      <c r="G1607" s="214" t="s">
        <v>61</v>
      </c>
      <c r="H1607" s="214" t="s">
        <v>96</v>
      </c>
      <c r="I1607" s="214"/>
      <c r="J1607" s="222" t="s">
        <v>67</v>
      </c>
      <c r="K1607" s="222">
        <v>1.5</v>
      </c>
      <c r="L1607" s="222" t="s">
        <v>67</v>
      </c>
      <c r="M1607" s="222">
        <v>51.5</v>
      </c>
      <c r="N1607" s="214">
        <v>234.0</v>
      </c>
      <c r="O1607" s="214">
        <v>269.0</v>
      </c>
      <c r="P1607" s="214">
        <v>2.0</v>
      </c>
      <c r="Q1607" s="214" t="b">
        <v>1</v>
      </c>
      <c r="R1607" s="214">
        <v>100.0</v>
      </c>
      <c r="S1607" s="214" t="s">
        <v>535</v>
      </c>
      <c r="T1607" s="214" t="s">
        <v>365</v>
      </c>
      <c r="U1607" s="214"/>
    </row>
    <row r="1608">
      <c r="A1608" s="221">
        <v>45972.068451053245</v>
      </c>
      <c r="B1608" s="214" t="s">
        <v>132</v>
      </c>
      <c r="C1608" s="214" t="s">
        <v>215</v>
      </c>
      <c r="D1608" s="214">
        <v>5.0</v>
      </c>
      <c r="E1608" s="214">
        <v>5.0</v>
      </c>
      <c r="F1608" s="214" t="s">
        <v>1693</v>
      </c>
      <c r="G1608" s="214" t="s">
        <v>61</v>
      </c>
      <c r="H1608" s="214" t="s">
        <v>493</v>
      </c>
      <c r="I1608" s="214"/>
      <c r="J1608" s="222" t="s">
        <v>67</v>
      </c>
      <c r="K1608" s="222">
        <v>4.5</v>
      </c>
      <c r="L1608" s="222" t="s">
        <v>67</v>
      </c>
      <c r="M1608" s="222">
        <v>55.5</v>
      </c>
      <c r="N1608" s="214">
        <v>233.0</v>
      </c>
      <c r="O1608" s="214">
        <v>265.0</v>
      </c>
      <c r="P1608" s="214">
        <v>2.0</v>
      </c>
      <c r="Q1608" s="214" t="b">
        <v>0</v>
      </c>
      <c r="R1608" s="214">
        <v>100.0</v>
      </c>
      <c r="S1608" s="214" t="s">
        <v>441</v>
      </c>
      <c r="T1608" s="214" t="s">
        <v>365</v>
      </c>
      <c r="U1608" s="214"/>
    </row>
    <row r="1609">
      <c r="A1609" s="221">
        <v>45972.068451053245</v>
      </c>
      <c r="B1609" s="214" t="s">
        <v>132</v>
      </c>
      <c r="C1609" s="214" t="s">
        <v>136</v>
      </c>
      <c r="D1609" s="214">
        <v>10.0</v>
      </c>
      <c r="E1609" s="214">
        <v>0.0</v>
      </c>
      <c r="F1609" s="214" t="s">
        <v>1646</v>
      </c>
      <c r="G1609" s="214" t="s">
        <v>61</v>
      </c>
      <c r="H1609" s="214" t="s">
        <v>43</v>
      </c>
      <c r="I1609" s="214"/>
      <c r="J1609" s="222" t="s">
        <v>67</v>
      </c>
      <c r="K1609" s="222">
        <v>-14.5</v>
      </c>
      <c r="L1609" s="222" t="s">
        <v>67</v>
      </c>
      <c r="M1609" s="222">
        <v>50.5</v>
      </c>
      <c r="N1609" s="214">
        <v>445.0</v>
      </c>
      <c r="O1609" s="214">
        <v>121.0</v>
      </c>
      <c r="P1609" s="214">
        <v>2.0</v>
      </c>
      <c r="Q1609" s="214" t="b">
        <v>1</v>
      </c>
      <c r="R1609" s="214">
        <v>100.0</v>
      </c>
      <c r="S1609" s="214" t="s">
        <v>407</v>
      </c>
      <c r="T1609" s="214" t="s">
        <v>321</v>
      </c>
      <c r="U1609" s="214"/>
    </row>
    <row r="1610">
      <c r="A1610" s="221">
        <v>45972.068451053245</v>
      </c>
      <c r="B1610" s="214" t="s">
        <v>132</v>
      </c>
      <c r="C1610" s="214" t="s">
        <v>134</v>
      </c>
      <c r="D1610" s="214">
        <v>4.0</v>
      </c>
      <c r="E1610" s="214">
        <v>6.0</v>
      </c>
      <c r="F1610" s="214" t="s">
        <v>1677</v>
      </c>
      <c r="G1610" s="214" t="s">
        <v>61</v>
      </c>
      <c r="H1610" s="214" t="s">
        <v>224</v>
      </c>
      <c r="I1610" s="214"/>
      <c r="J1610" s="222" t="s">
        <v>67</v>
      </c>
      <c r="K1610" s="222">
        <v>-6.5</v>
      </c>
      <c r="L1610" s="222" t="s">
        <v>67</v>
      </c>
      <c r="M1610" s="222">
        <v>53.5</v>
      </c>
      <c r="N1610" s="214">
        <v>238.0</v>
      </c>
      <c r="O1610" s="214">
        <v>296.0</v>
      </c>
      <c r="P1610" s="214">
        <v>2.0</v>
      </c>
      <c r="Q1610" s="214" t="b">
        <v>0</v>
      </c>
      <c r="R1610" s="214">
        <v>100.0</v>
      </c>
      <c r="S1610" s="214" t="s">
        <v>471</v>
      </c>
      <c r="T1610" s="214" t="s">
        <v>321</v>
      </c>
      <c r="U1610" s="214"/>
    </row>
    <row r="1611">
      <c r="A1611" s="221">
        <v>45972.068451053245</v>
      </c>
      <c r="B1611" s="214" t="s">
        <v>132</v>
      </c>
      <c r="C1611" s="214" t="s">
        <v>107</v>
      </c>
      <c r="D1611" s="214">
        <v>7.0</v>
      </c>
      <c r="E1611" s="214">
        <v>2.0</v>
      </c>
      <c r="F1611" s="214" t="s">
        <v>1685</v>
      </c>
      <c r="G1611" s="214" t="s">
        <v>61</v>
      </c>
      <c r="H1611" s="214" t="s">
        <v>238</v>
      </c>
      <c r="I1611" s="214"/>
      <c r="J1611" s="222" t="s">
        <v>67</v>
      </c>
      <c r="K1611" s="222">
        <v>3.5</v>
      </c>
      <c r="L1611" s="222" t="s">
        <v>67</v>
      </c>
      <c r="M1611" s="222">
        <v>53.5</v>
      </c>
      <c r="N1611" s="214">
        <v>245.0</v>
      </c>
      <c r="O1611" s="214">
        <v>236.0</v>
      </c>
      <c r="P1611" s="214">
        <v>2.0</v>
      </c>
      <c r="Q1611" s="214" t="b">
        <v>1</v>
      </c>
      <c r="R1611" s="214">
        <v>100.0</v>
      </c>
      <c r="S1611" s="214" t="s">
        <v>361</v>
      </c>
      <c r="T1611" s="214" t="s">
        <v>365</v>
      </c>
      <c r="U1611" s="214"/>
    </row>
    <row r="1612">
      <c r="A1612" s="221">
        <v>45972.068451053245</v>
      </c>
      <c r="B1612" s="214" t="s">
        <v>132</v>
      </c>
      <c r="C1612" s="214" t="s">
        <v>115</v>
      </c>
      <c r="D1612" s="214">
        <v>7.0</v>
      </c>
      <c r="E1612" s="214">
        <v>2.0</v>
      </c>
      <c r="F1612" s="214" t="s">
        <v>1662</v>
      </c>
      <c r="G1612" s="214" t="s">
        <v>532</v>
      </c>
      <c r="H1612" s="214" t="s">
        <v>62</v>
      </c>
      <c r="I1612" s="214"/>
      <c r="J1612" s="222" t="s">
        <v>67</v>
      </c>
      <c r="K1612" s="222">
        <v>-18.5</v>
      </c>
      <c r="L1612" s="222" t="s">
        <v>67</v>
      </c>
      <c r="M1612" s="222">
        <v>49.5</v>
      </c>
      <c r="N1612" s="214">
        <v>296.0</v>
      </c>
      <c r="O1612" s="214">
        <v>195.0</v>
      </c>
      <c r="P1612" s="214">
        <v>2.0</v>
      </c>
      <c r="Q1612" s="214" t="b">
        <v>1</v>
      </c>
      <c r="R1612" s="214">
        <v>100.0</v>
      </c>
      <c r="S1612" s="214" t="s">
        <v>317</v>
      </c>
      <c r="T1612" s="214" t="s">
        <v>321</v>
      </c>
      <c r="U1612" s="214"/>
    </row>
    <row r="1613">
      <c r="A1613" s="221">
        <v>45972.068451053245</v>
      </c>
      <c r="B1613" s="214"/>
      <c r="C1613" s="214"/>
      <c r="D1613" s="214"/>
      <c r="E1613" s="214"/>
      <c r="F1613" s="214"/>
      <c r="G1613" s="214"/>
      <c r="H1613" s="214"/>
      <c r="I1613" s="214"/>
      <c r="J1613" s="222"/>
      <c r="K1613" s="222"/>
      <c r="L1613" s="222"/>
      <c r="M1613" s="222"/>
      <c r="N1613" s="214"/>
      <c r="O1613" s="214"/>
      <c r="P1613" s="214"/>
      <c r="Q1613" s="214"/>
      <c r="R1613" s="214"/>
      <c r="S1613" s="214"/>
      <c r="T1613" s="214"/>
      <c r="U1613" s="214"/>
    </row>
    <row r="1614">
      <c r="A1614" s="221">
        <v>45972.068451053245</v>
      </c>
      <c r="B1614" s="214" t="s">
        <v>493</v>
      </c>
      <c r="C1614" s="214" t="s">
        <v>123</v>
      </c>
      <c r="D1614" s="214">
        <v>6.0</v>
      </c>
      <c r="E1614" s="214">
        <v>3.0</v>
      </c>
      <c r="F1614" s="214" t="s">
        <v>1679</v>
      </c>
      <c r="G1614" s="214" t="s">
        <v>61</v>
      </c>
      <c r="H1614" s="214" t="s">
        <v>96</v>
      </c>
      <c r="I1614" s="214"/>
      <c r="J1614" s="222" t="s">
        <v>67</v>
      </c>
      <c r="K1614" s="222">
        <v>6.5</v>
      </c>
      <c r="L1614" s="222" t="s">
        <v>67</v>
      </c>
      <c r="M1614" s="222">
        <v>47.5</v>
      </c>
      <c r="N1614" s="214">
        <v>210.0</v>
      </c>
      <c r="O1614" s="214">
        <v>183.0</v>
      </c>
      <c r="P1614" s="214">
        <v>2.0</v>
      </c>
      <c r="Q1614" s="214" t="b">
        <v>0</v>
      </c>
      <c r="R1614" s="214">
        <v>100.0</v>
      </c>
      <c r="S1614" s="214" t="s">
        <v>317</v>
      </c>
      <c r="T1614" s="214" t="s">
        <v>321</v>
      </c>
      <c r="U1614" s="214"/>
    </row>
    <row r="1615">
      <c r="A1615" s="221">
        <v>45972.068451053245</v>
      </c>
      <c r="B1615" s="214" t="s">
        <v>493</v>
      </c>
      <c r="C1615" s="214" t="s">
        <v>195</v>
      </c>
      <c r="D1615" s="214">
        <v>3.0</v>
      </c>
      <c r="E1615" s="214">
        <v>7.0</v>
      </c>
      <c r="F1615" s="214" t="s">
        <v>1643</v>
      </c>
      <c r="G1615" s="214" t="s">
        <v>61</v>
      </c>
      <c r="H1615" s="214" t="s">
        <v>43</v>
      </c>
      <c r="I1615" s="214"/>
      <c r="J1615" s="222" t="s">
        <v>67</v>
      </c>
      <c r="K1615" s="222">
        <v>7.5</v>
      </c>
      <c r="L1615" s="222" t="s">
        <v>67</v>
      </c>
      <c r="M1615" s="222">
        <v>42.5</v>
      </c>
      <c r="N1615" s="214">
        <v>175.0</v>
      </c>
      <c r="O1615" s="214">
        <v>291.0</v>
      </c>
      <c r="P1615" s="214">
        <v>2.0</v>
      </c>
      <c r="Q1615" s="214" t="b">
        <v>0</v>
      </c>
      <c r="R1615" s="214">
        <v>100.0</v>
      </c>
      <c r="S1615" s="214" t="s">
        <v>317</v>
      </c>
      <c r="T1615" s="214" t="s">
        <v>321</v>
      </c>
      <c r="U1615" s="214"/>
    </row>
    <row r="1616">
      <c r="A1616" s="221">
        <v>45972.068451053245</v>
      </c>
      <c r="B1616" s="214" t="s">
        <v>493</v>
      </c>
      <c r="C1616" s="214" t="s">
        <v>188</v>
      </c>
      <c r="D1616" s="214">
        <v>6.0</v>
      </c>
      <c r="E1616" s="214">
        <v>3.0</v>
      </c>
      <c r="F1616" s="214" t="s">
        <v>1664</v>
      </c>
      <c r="G1616" s="214" t="s">
        <v>61</v>
      </c>
      <c r="H1616" s="214" t="s">
        <v>193</v>
      </c>
      <c r="I1616" s="214"/>
      <c r="J1616" s="222" t="s">
        <v>67</v>
      </c>
      <c r="K1616" s="222">
        <v>-5.5</v>
      </c>
      <c r="L1616" s="222" t="s">
        <v>67</v>
      </c>
      <c r="M1616" s="222">
        <v>57.5</v>
      </c>
      <c r="N1616" s="214">
        <v>297.0</v>
      </c>
      <c r="O1616" s="214">
        <v>179.0</v>
      </c>
      <c r="P1616" s="214">
        <v>2.0</v>
      </c>
      <c r="Q1616" s="214" t="b">
        <v>0</v>
      </c>
      <c r="R1616" s="214">
        <v>100.0</v>
      </c>
      <c r="S1616" s="214" t="s">
        <v>471</v>
      </c>
      <c r="T1616" s="214" t="s">
        <v>321</v>
      </c>
      <c r="U1616" s="214"/>
    </row>
    <row r="1617">
      <c r="A1617" s="221">
        <v>45972.068451053245</v>
      </c>
      <c r="B1617" s="214" t="s">
        <v>493</v>
      </c>
      <c r="C1617" s="214" t="s">
        <v>120</v>
      </c>
      <c r="D1617" s="214">
        <v>3.0</v>
      </c>
      <c r="E1617" s="214">
        <v>7.0</v>
      </c>
      <c r="F1617" s="214" t="s">
        <v>1687</v>
      </c>
      <c r="G1617" s="214" t="s">
        <v>61</v>
      </c>
      <c r="H1617" s="214" t="s">
        <v>156</v>
      </c>
      <c r="I1617" s="214"/>
      <c r="J1617" s="222" t="s">
        <v>67</v>
      </c>
      <c r="K1617" s="222">
        <v>28.5</v>
      </c>
      <c r="L1617" s="222" t="s">
        <v>67</v>
      </c>
      <c r="M1617" s="222">
        <v>46.5</v>
      </c>
      <c r="N1617" s="214">
        <v>223.0</v>
      </c>
      <c r="O1617" s="214">
        <v>315.0</v>
      </c>
      <c r="P1617" s="214">
        <v>2.0</v>
      </c>
      <c r="Q1617" s="214" t="b">
        <v>0</v>
      </c>
      <c r="R1617" s="214">
        <v>100.0</v>
      </c>
      <c r="S1617" s="214" t="s">
        <v>317</v>
      </c>
      <c r="T1617" s="214" t="s">
        <v>321</v>
      </c>
      <c r="U1617" s="214"/>
    </row>
    <row r="1618">
      <c r="A1618" s="221">
        <v>45972.068451053245</v>
      </c>
      <c r="B1618" s="214" t="s">
        <v>493</v>
      </c>
      <c r="C1618" s="214" t="s">
        <v>108</v>
      </c>
      <c r="D1618" s="214">
        <v>2.0</v>
      </c>
      <c r="E1618" s="214">
        <v>7.0</v>
      </c>
      <c r="F1618" s="214" t="s">
        <v>1665</v>
      </c>
      <c r="G1618" s="214" t="s">
        <v>61</v>
      </c>
      <c r="H1618" s="214" t="s">
        <v>193</v>
      </c>
      <c r="I1618" s="214"/>
      <c r="J1618" s="222" t="s">
        <v>67</v>
      </c>
      <c r="K1618" s="222">
        <v>3.5</v>
      </c>
      <c r="L1618" s="222" t="s">
        <v>67</v>
      </c>
      <c r="M1618" s="222">
        <v>62.5</v>
      </c>
      <c r="N1618" s="214">
        <v>197.0</v>
      </c>
      <c r="O1618" s="214">
        <v>277.0</v>
      </c>
      <c r="P1618" s="214">
        <v>2.0</v>
      </c>
      <c r="Q1618" s="214" t="b">
        <v>0</v>
      </c>
      <c r="R1618" s="214">
        <v>100.0</v>
      </c>
      <c r="S1618" s="214" t="s">
        <v>361</v>
      </c>
      <c r="T1618" s="214" t="s">
        <v>365</v>
      </c>
      <c r="U1618" s="214"/>
    </row>
    <row r="1619">
      <c r="A1619" s="221">
        <v>45972.068451053245</v>
      </c>
      <c r="B1619" s="214" t="s">
        <v>493</v>
      </c>
      <c r="C1619" s="214" t="s">
        <v>138</v>
      </c>
      <c r="D1619" s="214">
        <v>4.0</v>
      </c>
      <c r="E1619" s="214">
        <v>5.0</v>
      </c>
      <c r="F1619" s="214" t="s">
        <v>1691</v>
      </c>
      <c r="G1619" s="214" t="s">
        <v>61</v>
      </c>
      <c r="H1619" s="214" t="s">
        <v>395</v>
      </c>
      <c r="I1619" s="214"/>
      <c r="J1619" s="222" t="s">
        <v>67</v>
      </c>
      <c r="K1619" s="222">
        <v>2.5</v>
      </c>
      <c r="L1619" s="222" t="s">
        <v>67</v>
      </c>
      <c r="M1619" s="222">
        <v>57.5</v>
      </c>
      <c r="N1619" s="214">
        <v>228.0</v>
      </c>
      <c r="O1619" s="214">
        <v>211.0</v>
      </c>
      <c r="P1619" s="214">
        <v>2.0</v>
      </c>
      <c r="Q1619" s="214" t="b">
        <v>0</v>
      </c>
      <c r="R1619" s="214">
        <v>100.0</v>
      </c>
      <c r="S1619" s="214" t="s">
        <v>407</v>
      </c>
      <c r="T1619" s="214" t="s">
        <v>321</v>
      </c>
      <c r="U1619" s="214"/>
    </row>
    <row r="1620">
      <c r="A1620" s="221">
        <v>45972.068451053245</v>
      </c>
      <c r="B1620" s="214" t="s">
        <v>493</v>
      </c>
      <c r="C1620" s="214" t="s">
        <v>146</v>
      </c>
      <c r="D1620" s="214">
        <v>2.0</v>
      </c>
      <c r="E1620" s="214">
        <v>8.0</v>
      </c>
      <c r="F1620" s="214" t="s">
        <v>1666</v>
      </c>
      <c r="G1620" s="214" t="s">
        <v>61</v>
      </c>
      <c r="H1620" s="214" t="s">
        <v>193</v>
      </c>
      <c r="I1620" s="214"/>
      <c r="J1620" s="222" t="s">
        <v>67</v>
      </c>
      <c r="K1620" s="222">
        <v>29.5</v>
      </c>
      <c r="L1620" s="222" t="s">
        <v>67</v>
      </c>
      <c r="M1620" s="222">
        <v>48.5</v>
      </c>
      <c r="N1620" s="214">
        <v>209.0</v>
      </c>
      <c r="O1620" s="214">
        <v>277.0</v>
      </c>
      <c r="P1620" s="214">
        <v>2.0</v>
      </c>
      <c r="Q1620" s="214" t="b">
        <v>0</v>
      </c>
      <c r="R1620" s="214">
        <v>100.0</v>
      </c>
      <c r="S1620" s="214" t="s">
        <v>407</v>
      </c>
      <c r="T1620" s="214" t="s">
        <v>321</v>
      </c>
      <c r="U1620" s="214"/>
    </row>
    <row r="1621">
      <c r="A1621" s="221">
        <v>45972.068451053245</v>
      </c>
      <c r="B1621" s="214" t="s">
        <v>493</v>
      </c>
      <c r="C1621" s="214" t="s">
        <v>110</v>
      </c>
      <c r="D1621" s="214">
        <v>1.0</v>
      </c>
      <c r="E1621" s="214">
        <v>9.0</v>
      </c>
      <c r="F1621" s="214" t="s">
        <v>1667</v>
      </c>
      <c r="G1621" s="214" t="s">
        <v>61</v>
      </c>
      <c r="H1621" s="214" t="s">
        <v>193</v>
      </c>
      <c r="I1621" s="214"/>
      <c r="J1621" s="222" t="s">
        <v>67</v>
      </c>
      <c r="K1621" s="222">
        <v>10.5</v>
      </c>
      <c r="L1621" s="222" t="s">
        <v>67</v>
      </c>
      <c r="M1621" s="222">
        <v>53.5</v>
      </c>
      <c r="N1621" s="214">
        <v>237.0</v>
      </c>
      <c r="O1621" s="214">
        <v>345.0</v>
      </c>
      <c r="P1621" s="214">
        <v>2.0</v>
      </c>
      <c r="Q1621" s="214" t="b">
        <v>0</v>
      </c>
      <c r="R1621" s="214">
        <v>100.0</v>
      </c>
      <c r="S1621" s="214" t="s">
        <v>317</v>
      </c>
      <c r="T1621" s="214" t="s">
        <v>321</v>
      </c>
      <c r="U1621" s="214"/>
    </row>
    <row r="1622">
      <c r="A1622" s="221">
        <v>45972.068451053245</v>
      </c>
      <c r="B1622" s="214" t="s">
        <v>493</v>
      </c>
      <c r="C1622" s="214" t="s">
        <v>106</v>
      </c>
      <c r="D1622" s="214">
        <v>5.0</v>
      </c>
      <c r="E1622" s="214">
        <v>5.0</v>
      </c>
      <c r="F1622" s="214" t="s">
        <v>1692</v>
      </c>
      <c r="G1622" s="214" t="s">
        <v>61</v>
      </c>
      <c r="H1622" s="214" t="s">
        <v>395</v>
      </c>
      <c r="I1622" s="214"/>
      <c r="J1622" s="222" t="s">
        <v>67</v>
      </c>
      <c r="K1622" s="222">
        <v>6.5</v>
      </c>
      <c r="L1622" s="222" t="s">
        <v>67</v>
      </c>
      <c r="M1622" s="222">
        <v>45.5</v>
      </c>
      <c r="N1622" s="214">
        <v>296.0</v>
      </c>
      <c r="O1622" s="214">
        <v>267.0</v>
      </c>
      <c r="P1622" s="214">
        <v>2.0</v>
      </c>
      <c r="Q1622" s="214" t="b">
        <v>0</v>
      </c>
      <c r="R1622" s="214">
        <v>100.0</v>
      </c>
      <c r="S1622" s="214" t="s">
        <v>361</v>
      </c>
      <c r="T1622" s="214" t="s">
        <v>365</v>
      </c>
      <c r="U1622" s="214"/>
    </row>
    <row r="1623">
      <c r="A1623" s="221">
        <v>45972.068451053245</v>
      </c>
      <c r="B1623" s="214" t="s">
        <v>493</v>
      </c>
      <c r="C1623" s="214" t="s">
        <v>143</v>
      </c>
      <c r="D1623" s="214">
        <v>5.0</v>
      </c>
      <c r="E1623" s="214">
        <v>4.0</v>
      </c>
      <c r="F1623" s="214" t="s">
        <v>1654</v>
      </c>
      <c r="G1623" s="214" t="s">
        <v>61</v>
      </c>
      <c r="H1623" s="214" t="s">
        <v>95</v>
      </c>
      <c r="I1623" s="214"/>
      <c r="J1623" s="222" t="s">
        <v>67</v>
      </c>
      <c r="K1623" s="222">
        <v>14.5</v>
      </c>
      <c r="L1623" s="222" t="s">
        <v>67</v>
      </c>
      <c r="M1623" s="222">
        <v>50.5</v>
      </c>
      <c r="N1623" s="214">
        <v>197.0</v>
      </c>
      <c r="O1623" s="214">
        <v>172.0</v>
      </c>
      <c r="P1623" s="214">
        <v>2.0</v>
      </c>
      <c r="Q1623" s="214" t="b">
        <v>0</v>
      </c>
      <c r="R1623" s="214">
        <v>100.0</v>
      </c>
      <c r="S1623" s="214" t="s">
        <v>407</v>
      </c>
      <c r="T1623" s="214" t="s">
        <v>321</v>
      </c>
      <c r="U1623" s="214"/>
    </row>
    <row r="1624">
      <c r="A1624" s="221">
        <v>45972.068451053245</v>
      </c>
      <c r="B1624" s="214"/>
      <c r="C1624" s="214"/>
      <c r="D1624" s="214"/>
      <c r="E1624" s="214"/>
      <c r="F1624" s="214"/>
      <c r="G1624" s="214"/>
      <c r="H1624" s="214"/>
      <c r="I1624" s="214"/>
      <c r="J1624" s="222"/>
      <c r="K1624" s="222"/>
      <c r="L1624" s="222"/>
      <c r="M1624" s="222"/>
      <c r="N1624" s="214"/>
      <c r="O1624" s="214"/>
      <c r="P1624" s="214"/>
      <c r="Q1624" s="214"/>
      <c r="R1624" s="214"/>
      <c r="S1624" s="214"/>
      <c r="T1624" s="214"/>
      <c r="U1624" s="214"/>
    </row>
    <row r="1625">
      <c r="A1625" s="221">
        <v>45972.068451053245</v>
      </c>
      <c r="B1625" s="214" t="s">
        <v>493</v>
      </c>
      <c r="C1625" s="214" t="s">
        <v>200</v>
      </c>
      <c r="D1625" s="214">
        <v>4.0</v>
      </c>
      <c r="E1625" s="214">
        <v>5.0</v>
      </c>
      <c r="F1625" s="214"/>
      <c r="G1625" s="214"/>
      <c r="H1625" s="214"/>
      <c r="I1625" s="214"/>
      <c r="J1625" s="222"/>
      <c r="K1625" s="222"/>
      <c r="L1625" s="222"/>
      <c r="M1625" s="222"/>
      <c r="N1625" s="214">
        <v>179.0</v>
      </c>
      <c r="O1625" s="214">
        <v>207.0</v>
      </c>
      <c r="P1625" s="214">
        <v>0.0</v>
      </c>
      <c r="Q1625" s="214" t="b">
        <v>1</v>
      </c>
      <c r="R1625" s="214">
        <v>59.0</v>
      </c>
      <c r="S1625" s="214" t="s">
        <v>680</v>
      </c>
      <c r="T1625" s="214" t="s">
        <v>365</v>
      </c>
      <c r="U1625" s="214"/>
    </row>
    <row r="1626">
      <c r="A1626" s="221">
        <v>45972.068451053245</v>
      </c>
      <c r="B1626" s="214" t="s">
        <v>493</v>
      </c>
      <c r="C1626" s="214" t="s">
        <v>219</v>
      </c>
      <c r="D1626" s="214">
        <v>3.0</v>
      </c>
      <c r="E1626" s="214">
        <v>6.0</v>
      </c>
      <c r="F1626" s="214"/>
      <c r="G1626" s="214"/>
      <c r="H1626" s="214"/>
      <c r="I1626" s="214"/>
      <c r="J1626" s="222"/>
      <c r="K1626" s="222"/>
      <c r="L1626" s="222"/>
      <c r="M1626" s="222"/>
      <c r="N1626" s="214">
        <v>144.0</v>
      </c>
      <c r="O1626" s="214">
        <v>296.0</v>
      </c>
      <c r="P1626" s="214">
        <v>0.0</v>
      </c>
      <c r="Q1626" s="214" t="b">
        <v>1</v>
      </c>
      <c r="R1626" s="214">
        <v>59.0</v>
      </c>
      <c r="S1626" s="214" t="s">
        <v>441</v>
      </c>
      <c r="T1626" s="214" t="s">
        <v>365</v>
      </c>
      <c r="U1626" s="214"/>
    </row>
    <row r="1627">
      <c r="A1627" s="221">
        <v>45972.068451053245</v>
      </c>
      <c r="B1627" s="214" t="s">
        <v>493</v>
      </c>
      <c r="C1627" s="214" t="s">
        <v>205</v>
      </c>
      <c r="D1627" s="214">
        <v>4.0</v>
      </c>
      <c r="E1627" s="214">
        <v>5.0</v>
      </c>
      <c r="F1627" s="214" t="s">
        <v>1675</v>
      </c>
      <c r="G1627" s="214" t="s">
        <v>61</v>
      </c>
      <c r="H1627" s="214" t="s">
        <v>224</v>
      </c>
      <c r="I1627" s="214"/>
      <c r="J1627" s="222" t="s">
        <v>67</v>
      </c>
      <c r="K1627" s="222">
        <v>3.5</v>
      </c>
      <c r="L1627" s="222" t="s">
        <v>67</v>
      </c>
      <c r="M1627" s="222">
        <v>44.5</v>
      </c>
      <c r="N1627" s="214">
        <v>217.0</v>
      </c>
      <c r="O1627" s="214">
        <v>221.0</v>
      </c>
      <c r="P1627" s="214">
        <v>2.0</v>
      </c>
      <c r="Q1627" s="214" t="b">
        <v>0</v>
      </c>
      <c r="R1627" s="214">
        <v>100.0</v>
      </c>
      <c r="S1627" s="214" t="s">
        <v>556</v>
      </c>
      <c r="T1627" s="214" t="s">
        <v>321</v>
      </c>
      <c r="U1627" s="214"/>
    </row>
    <row r="1628">
      <c r="A1628" s="221">
        <v>45972.068451053245</v>
      </c>
      <c r="B1628" s="214" t="s">
        <v>493</v>
      </c>
      <c r="C1628" s="214" t="s">
        <v>546</v>
      </c>
      <c r="D1628" s="214">
        <v>7.0</v>
      </c>
      <c r="E1628" s="214">
        <v>2.0</v>
      </c>
      <c r="F1628" s="214" t="s">
        <v>1693</v>
      </c>
      <c r="G1628" s="214" t="s">
        <v>61</v>
      </c>
      <c r="H1628" s="214" t="s">
        <v>132</v>
      </c>
      <c r="I1628" s="214"/>
      <c r="J1628" s="222" t="s">
        <v>67</v>
      </c>
      <c r="K1628" s="222">
        <v>-4.5</v>
      </c>
      <c r="L1628" s="222" t="s">
        <v>67</v>
      </c>
      <c r="M1628" s="222">
        <v>55.5</v>
      </c>
      <c r="N1628" s="214">
        <v>291.0</v>
      </c>
      <c r="O1628" s="214">
        <v>218.0</v>
      </c>
      <c r="P1628" s="214">
        <v>2.0</v>
      </c>
      <c r="Q1628" s="214" t="b">
        <v>1</v>
      </c>
      <c r="R1628" s="214">
        <v>100.0</v>
      </c>
      <c r="S1628" s="214" t="s">
        <v>441</v>
      </c>
      <c r="T1628" s="214" t="s">
        <v>365</v>
      </c>
      <c r="U1628" s="214"/>
    </row>
    <row r="1629">
      <c r="A1629" s="221">
        <v>45972.068451053245</v>
      </c>
      <c r="B1629" s="214" t="s">
        <v>493</v>
      </c>
      <c r="C1629" s="214" t="s">
        <v>207</v>
      </c>
      <c r="D1629" s="214">
        <v>5.0</v>
      </c>
      <c r="E1629" s="214">
        <v>5.0</v>
      </c>
      <c r="F1629" s="214" t="s">
        <v>1681</v>
      </c>
      <c r="G1629" s="214" t="s">
        <v>61</v>
      </c>
      <c r="H1629" s="214" t="s">
        <v>96</v>
      </c>
      <c r="I1629" s="214"/>
      <c r="J1629" s="222" t="s">
        <v>67</v>
      </c>
      <c r="K1629" s="222">
        <v>9.5</v>
      </c>
      <c r="L1629" s="222" t="s">
        <v>67</v>
      </c>
      <c r="M1629" s="222">
        <v>56.5</v>
      </c>
      <c r="N1629" s="214">
        <v>320.0</v>
      </c>
      <c r="O1629" s="214">
        <v>263.0</v>
      </c>
      <c r="P1629" s="214">
        <v>2.0</v>
      </c>
      <c r="Q1629" s="214" t="b">
        <v>1</v>
      </c>
      <c r="R1629" s="214">
        <v>100.0</v>
      </c>
      <c r="S1629" s="214" t="s">
        <v>556</v>
      </c>
      <c r="T1629" s="214" t="s">
        <v>321</v>
      </c>
      <c r="U1629" s="214"/>
    </row>
    <row r="1630">
      <c r="A1630" s="221">
        <v>45979.06848104167</v>
      </c>
      <c r="B1630" s="214" t="s">
        <v>43</v>
      </c>
      <c r="C1630" s="214" t="s">
        <v>157</v>
      </c>
      <c r="D1630" s="214">
        <v>5.0</v>
      </c>
      <c r="E1630" s="214">
        <v>5.0</v>
      </c>
      <c r="F1630" s="214"/>
      <c r="G1630" s="214"/>
      <c r="H1630" s="214"/>
      <c r="I1630" s="214"/>
      <c r="J1630" s="222"/>
      <c r="K1630" s="222"/>
      <c r="L1630" s="222"/>
      <c r="M1630" s="222"/>
      <c r="N1630" s="214">
        <v>211.0</v>
      </c>
      <c r="O1630" s="214">
        <v>279.0</v>
      </c>
      <c r="P1630" s="214">
        <v>0.0</v>
      </c>
      <c r="Q1630" s="214" t="b">
        <v>1</v>
      </c>
      <c r="R1630" s="214">
        <v>59.0</v>
      </c>
      <c r="S1630" s="214" t="s">
        <v>361</v>
      </c>
      <c r="T1630" s="214" t="s">
        <v>365</v>
      </c>
      <c r="U1630" s="214"/>
    </row>
    <row r="1631">
      <c r="A1631" s="221">
        <v>45979.06848104167</v>
      </c>
      <c r="B1631" s="214" t="s">
        <v>43</v>
      </c>
      <c r="C1631" s="214" t="s">
        <v>45</v>
      </c>
      <c r="D1631" s="214">
        <v>4.0</v>
      </c>
      <c r="E1631" s="214">
        <v>6.0</v>
      </c>
      <c r="F1631" s="214"/>
      <c r="G1631" s="214"/>
      <c r="H1631" s="214"/>
      <c r="I1631" s="214"/>
      <c r="J1631" s="222"/>
      <c r="K1631" s="222"/>
      <c r="L1631" s="222"/>
      <c r="M1631" s="222"/>
      <c r="N1631" s="214">
        <v>239.0</v>
      </c>
      <c r="O1631" s="214">
        <v>204.0</v>
      </c>
      <c r="P1631" s="214">
        <v>0.0</v>
      </c>
      <c r="Q1631" s="214" t="b">
        <v>1</v>
      </c>
      <c r="R1631" s="214">
        <v>59.0</v>
      </c>
      <c r="S1631" s="214" t="s">
        <v>556</v>
      </c>
      <c r="T1631" s="214" t="s">
        <v>321</v>
      </c>
      <c r="U1631" s="214"/>
    </row>
    <row r="1632">
      <c r="A1632" s="221">
        <v>45979.06848104167</v>
      </c>
      <c r="B1632" s="214" t="s">
        <v>43</v>
      </c>
      <c r="C1632" s="214" t="s">
        <v>118</v>
      </c>
      <c r="D1632" s="214">
        <v>4.0</v>
      </c>
      <c r="E1632" s="214">
        <v>6.0</v>
      </c>
      <c r="F1632" s="214" t="s">
        <v>1694</v>
      </c>
      <c r="G1632" s="214" t="s">
        <v>61</v>
      </c>
      <c r="H1632" s="214" t="s">
        <v>493</v>
      </c>
      <c r="I1632" s="214"/>
      <c r="J1632" s="222" t="s">
        <v>67</v>
      </c>
      <c r="K1632" s="222">
        <v>5.5</v>
      </c>
      <c r="L1632" s="222" t="s">
        <v>67</v>
      </c>
      <c r="M1632" s="222">
        <v>39.5</v>
      </c>
      <c r="N1632" s="214">
        <v>187.0</v>
      </c>
      <c r="O1632" s="214">
        <v>220.0</v>
      </c>
      <c r="P1632" s="214">
        <v>2.0</v>
      </c>
      <c r="Q1632" s="214" t="b">
        <v>0</v>
      </c>
      <c r="R1632" s="214">
        <v>100.0</v>
      </c>
      <c r="S1632" s="214" t="s">
        <v>317</v>
      </c>
      <c r="T1632" s="214" t="s">
        <v>321</v>
      </c>
      <c r="U1632" s="214"/>
    </row>
    <row r="1633">
      <c r="A1633" s="221">
        <v>45979.06848104167</v>
      </c>
      <c r="B1633" s="214" t="s">
        <v>43</v>
      </c>
      <c r="C1633" s="214" t="s">
        <v>228</v>
      </c>
      <c r="D1633" s="214">
        <v>3.0</v>
      </c>
      <c r="E1633" s="214">
        <v>7.0</v>
      </c>
      <c r="F1633" s="214" t="s">
        <v>1695</v>
      </c>
      <c r="G1633" s="214" t="s">
        <v>61</v>
      </c>
      <c r="H1633" s="214" t="s">
        <v>193</v>
      </c>
      <c r="I1633" s="214"/>
      <c r="J1633" s="222" t="s">
        <v>67</v>
      </c>
      <c r="K1633" s="222">
        <v>39.5</v>
      </c>
      <c r="L1633" s="222" t="s">
        <v>67</v>
      </c>
      <c r="M1633" s="222">
        <v>60.5</v>
      </c>
      <c r="N1633" s="214">
        <v>201.0</v>
      </c>
      <c r="O1633" s="214">
        <v>269.0</v>
      </c>
      <c r="P1633" s="214">
        <v>2.0</v>
      </c>
      <c r="Q1633" s="214" t="b">
        <v>1</v>
      </c>
      <c r="R1633" s="214">
        <v>100.0</v>
      </c>
      <c r="S1633" s="214" t="s">
        <v>535</v>
      </c>
      <c r="T1633" s="214" t="s">
        <v>365</v>
      </c>
      <c r="U1633" s="214"/>
    </row>
    <row r="1634">
      <c r="A1634" s="221">
        <v>45979.06848104167</v>
      </c>
      <c r="B1634" s="214" t="s">
        <v>43</v>
      </c>
      <c r="C1634" s="214" t="s">
        <v>422</v>
      </c>
      <c r="D1634" s="214">
        <v>4.0</v>
      </c>
      <c r="E1634" s="214">
        <v>6.0</v>
      </c>
      <c r="F1634" s="214" t="s">
        <v>1696</v>
      </c>
      <c r="G1634" s="214" t="s">
        <v>61</v>
      </c>
      <c r="H1634" s="214" t="s">
        <v>395</v>
      </c>
      <c r="I1634" s="214"/>
      <c r="J1634" s="222" t="s">
        <v>67</v>
      </c>
      <c r="K1634" s="222">
        <v>21.0</v>
      </c>
      <c r="L1634" s="222" t="s">
        <v>67</v>
      </c>
      <c r="M1634" s="222">
        <v>52.5</v>
      </c>
      <c r="N1634" s="214">
        <v>249.0</v>
      </c>
      <c r="O1634" s="214">
        <v>304.0</v>
      </c>
      <c r="P1634" s="214">
        <v>2.0</v>
      </c>
      <c r="Q1634" s="214" t="b">
        <v>0</v>
      </c>
      <c r="R1634" s="214">
        <v>100.0</v>
      </c>
      <c r="S1634" s="214" t="s">
        <v>441</v>
      </c>
      <c r="T1634" s="214" t="s">
        <v>365</v>
      </c>
      <c r="U1634" s="214"/>
    </row>
    <row r="1635">
      <c r="A1635" s="221">
        <v>45979.06848104167</v>
      </c>
      <c r="B1635" s="214" t="s">
        <v>43</v>
      </c>
      <c r="C1635" s="214" t="s">
        <v>133</v>
      </c>
      <c r="D1635" s="214">
        <v>10.0</v>
      </c>
      <c r="E1635" s="214">
        <v>1.0</v>
      </c>
      <c r="F1635" s="214" t="s">
        <v>1697</v>
      </c>
      <c r="G1635" s="214" t="s">
        <v>61</v>
      </c>
      <c r="H1635" s="214" t="s">
        <v>156</v>
      </c>
      <c r="I1635" s="214"/>
      <c r="J1635" s="222" t="s">
        <v>67</v>
      </c>
      <c r="K1635" s="222">
        <v>-23.5</v>
      </c>
      <c r="L1635" s="222" t="s">
        <v>67</v>
      </c>
      <c r="M1635" s="222">
        <v>47.5</v>
      </c>
      <c r="N1635" s="214">
        <v>469.0</v>
      </c>
      <c r="O1635" s="214">
        <v>135.0</v>
      </c>
      <c r="P1635" s="214">
        <v>2.0</v>
      </c>
      <c r="Q1635" s="214" t="b">
        <v>0</v>
      </c>
      <c r="R1635" s="214">
        <v>100.0</v>
      </c>
      <c r="S1635" s="214" t="s">
        <v>471</v>
      </c>
      <c r="T1635" s="214" t="s">
        <v>321</v>
      </c>
      <c r="U1635" s="214"/>
    </row>
    <row r="1636">
      <c r="A1636" s="221">
        <v>45979.06848104167</v>
      </c>
      <c r="B1636" s="214" t="s">
        <v>43</v>
      </c>
      <c r="C1636" s="214" t="s">
        <v>145</v>
      </c>
      <c r="D1636" s="214">
        <v>4.0</v>
      </c>
      <c r="E1636" s="214">
        <v>6.0</v>
      </c>
      <c r="F1636" s="214" t="s">
        <v>1698</v>
      </c>
      <c r="G1636" s="214" t="s">
        <v>61</v>
      </c>
      <c r="H1636" s="214" t="s">
        <v>224</v>
      </c>
      <c r="I1636" s="214"/>
      <c r="J1636" s="222" t="s">
        <v>67</v>
      </c>
      <c r="K1636" s="222">
        <v>-7.5</v>
      </c>
      <c r="L1636" s="222" t="s">
        <v>67</v>
      </c>
      <c r="M1636" s="222">
        <v>49.5</v>
      </c>
      <c r="N1636" s="214">
        <v>304.0</v>
      </c>
      <c r="O1636" s="214">
        <v>211.0</v>
      </c>
      <c r="P1636" s="214">
        <v>2.0</v>
      </c>
      <c r="Q1636" s="214" t="b">
        <v>1</v>
      </c>
      <c r="R1636" s="214">
        <v>100.0</v>
      </c>
      <c r="S1636" s="214" t="s">
        <v>407</v>
      </c>
      <c r="T1636" s="214" t="s">
        <v>321</v>
      </c>
      <c r="U1636" s="214"/>
    </row>
    <row r="1637">
      <c r="A1637" s="221">
        <v>45979.06848104167</v>
      </c>
      <c r="B1637" s="214" t="s">
        <v>43</v>
      </c>
      <c r="C1637" s="214" t="s">
        <v>189</v>
      </c>
      <c r="D1637" s="214">
        <v>7.0</v>
      </c>
      <c r="E1637" s="214">
        <v>3.0</v>
      </c>
      <c r="F1637" s="214" t="s">
        <v>1699</v>
      </c>
      <c r="G1637" s="214" t="s">
        <v>61</v>
      </c>
      <c r="H1637" s="214" t="s">
        <v>132</v>
      </c>
      <c r="I1637" s="214"/>
      <c r="J1637" s="222" t="s">
        <v>67</v>
      </c>
      <c r="K1637" s="222">
        <v>-11.5</v>
      </c>
      <c r="L1637" s="222" t="s">
        <v>67</v>
      </c>
      <c r="M1637" s="222">
        <v>47.5</v>
      </c>
      <c r="N1637" s="214">
        <v>247.0</v>
      </c>
      <c r="O1637" s="214">
        <v>236.0</v>
      </c>
      <c r="P1637" s="214">
        <v>2.0</v>
      </c>
      <c r="Q1637" s="214" t="b">
        <v>0</v>
      </c>
      <c r="R1637" s="214">
        <v>100.0</v>
      </c>
      <c r="S1637" s="214" t="s">
        <v>471</v>
      </c>
      <c r="T1637" s="214" t="s">
        <v>321</v>
      </c>
      <c r="U1637" s="214"/>
    </row>
    <row r="1638">
      <c r="A1638" s="221">
        <v>45979.06848104167</v>
      </c>
      <c r="B1638" s="214" t="s">
        <v>43</v>
      </c>
      <c r="C1638" s="214" t="s">
        <v>176</v>
      </c>
      <c r="D1638" s="214">
        <v>3.0</v>
      </c>
      <c r="E1638" s="214">
        <v>7.0</v>
      </c>
      <c r="F1638" s="214" t="s">
        <v>1700</v>
      </c>
      <c r="G1638" s="214" t="s">
        <v>61</v>
      </c>
      <c r="H1638" s="214" t="s">
        <v>395</v>
      </c>
      <c r="I1638" s="214"/>
      <c r="J1638" s="222" t="s">
        <v>67</v>
      </c>
      <c r="K1638" s="222">
        <v>7.5</v>
      </c>
      <c r="L1638" s="222" t="s">
        <v>67</v>
      </c>
      <c r="M1638" s="222">
        <v>63.5</v>
      </c>
      <c r="N1638" s="214">
        <v>313.0</v>
      </c>
      <c r="O1638" s="214">
        <v>323.0</v>
      </c>
      <c r="P1638" s="214">
        <v>2.0</v>
      </c>
      <c r="Q1638" s="214" t="b">
        <v>1</v>
      </c>
      <c r="R1638" s="214">
        <v>100.0</v>
      </c>
      <c r="S1638" s="214" t="s">
        <v>525</v>
      </c>
      <c r="T1638" s="214" t="s">
        <v>365</v>
      </c>
      <c r="U1638" s="214"/>
    </row>
    <row r="1639">
      <c r="A1639" s="221">
        <v>45979.06848104167</v>
      </c>
      <c r="B1639" s="214" t="s">
        <v>43</v>
      </c>
      <c r="C1639" s="214" t="s">
        <v>527</v>
      </c>
      <c r="D1639" s="214">
        <v>0.0</v>
      </c>
      <c r="E1639" s="214">
        <v>10.0</v>
      </c>
      <c r="F1639" s="214" t="s">
        <v>1701</v>
      </c>
      <c r="G1639" s="214" t="s">
        <v>61</v>
      </c>
      <c r="H1639" s="214" t="s">
        <v>311</v>
      </c>
      <c r="I1639" s="214"/>
      <c r="J1639" s="222" t="s">
        <v>67</v>
      </c>
      <c r="K1639" s="222">
        <v>11.5</v>
      </c>
      <c r="L1639" s="222" t="s">
        <v>67</v>
      </c>
      <c r="M1639" s="222">
        <v>43.5</v>
      </c>
      <c r="N1639" s="214">
        <v>105.0</v>
      </c>
      <c r="O1639" s="214">
        <v>376.0</v>
      </c>
      <c r="P1639" s="214">
        <v>2.0</v>
      </c>
      <c r="Q1639" s="214" t="b">
        <v>1</v>
      </c>
      <c r="R1639" s="214">
        <v>100.0</v>
      </c>
      <c r="S1639" s="214" t="s">
        <v>530</v>
      </c>
      <c r="T1639" s="214" t="s">
        <v>365</v>
      </c>
      <c r="U1639" s="214"/>
    </row>
    <row r="1640">
      <c r="A1640" s="221">
        <v>45979.06848104167</v>
      </c>
      <c r="B1640" s="214"/>
      <c r="C1640" s="214"/>
      <c r="D1640" s="214"/>
      <c r="E1640" s="214"/>
      <c r="F1640" s="214"/>
      <c r="G1640" s="214"/>
      <c r="H1640" s="214"/>
      <c r="I1640" s="214"/>
      <c r="J1640" s="222"/>
      <c r="K1640" s="222"/>
      <c r="L1640" s="222"/>
      <c r="M1640" s="222"/>
      <c r="N1640" s="214"/>
      <c r="O1640" s="214"/>
      <c r="P1640" s="214"/>
      <c r="Q1640" s="214"/>
      <c r="R1640" s="214"/>
      <c r="S1640" s="214"/>
      <c r="T1640" s="214"/>
      <c r="U1640" s="214"/>
    </row>
    <row r="1641">
      <c r="A1641" s="221">
        <v>45979.06848104167</v>
      </c>
      <c r="B1641" s="214" t="s">
        <v>95</v>
      </c>
      <c r="C1641" s="214" t="s">
        <v>130</v>
      </c>
      <c r="D1641" s="214">
        <v>6.0</v>
      </c>
      <c r="E1641" s="214">
        <v>4.0</v>
      </c>
      <c r="F1641" s="214" t="s">
        <v>1702</v>
      </c>
      <c r="G1641" s="214" t="s">
        <v>61</v>
      </c>
      <c r="H1641" s="214" t="s">
        <v>224</v>
      </c>
      <c r="I1641" s="214"/>
      <c r="J1641" s="222" t="s">
        <v>67</v>
      </c>
      <c r="K1641" s="222">
        <v>3.5</v>
      </c>
      <c r="L1641" s="222" t="s">
        <v>67</v>
      </c>
      <c r="M1641" s="222">
        <v>51.5</v>
      </c>
      <c r="N1641" s="214">
        <v>307.0</v>
      </c>
      <c r="O1641" s="214">
        <v>265.0</v>
      </c>
      <c r="P1641" s="214">
        <v>2.0</v>
      </c>
      <c r="Q1641" s="214" t="b">
        <v>1</v>
      </c>
      <c r="R1641" s="214">
        <v>100.0</v>
      </c>
      <c r="S1641" s="214" t="s">
        <v>471</v>
      </c>
      <c r="T1641" s="214" t="s">
        <v>321</v>
      </c>
      <c r="U1641" s="214"/>
    </row>
    <row r="1642">
      <c r="A1642" s="221">
        <v>45979.06848104167</v>
      </c>
      <c r="B1642" s="214" t="s">
        <v>95</v>
      </c>
      <c r="C1642" s="214" t="s">
        <v>177</v>
      </c>
      <c r="D1642" s="214">
        <v>6.0</v>
      </c>
      <c r="E1642" s="214">
        <v>4.0</v>
      </c>
      <c r="F1642" s="214" t="s">
        <v>1703</v>
      </c>
      <c r="G1642" s="214" t="s">
        <v>61</v>
      </c>
      <c r="H1642" s="214" t="s">
        <v>249</v>
      </c>
      <c r="I1642" s="214"/>
      <c r="J1642" s="222" t="s">
        <v>67</v>
      </c>
      <c r="K1642" s="222">
        <v>2.5</v>
      </c>
      <c r="L1642" s="222" t="s">
        <v>67</v>
      </c>
      <c r="M1642" s="222">
        <v>41.5</v>
      </c>
      <c r="N1642" s="214">
        <v>296.0</v>
      </c>
      <c r="O1642" s="214">
        <v>233.0</v>
      </c>
      <c r="P1642" s="214">
        <v>2.0</v>
      </c>
      <c r="Q1642" s="214" t="b">
        <v>1</v>
      </c>
      <c r="R1642" s="214">
        <v>100.0</v>
      </c>
      <c r="S1642" s="214" t="s">
        <v>525</v>
      </c>
      <c r="T1642" s="214" t="s">
        <v>365</v>
      </c>
      <c r="U1642" s="214"/>
    </row>
    <row r="1643">
      <c r="A1643" s="221">
        <v>45979.06848104167</v>
      </c>
      <c r="B1643" s="214" t="s">
        <v>95</v>
      </c>
      <c r="C1643" s="214" t="s">
        <v>233</v>
      </c>
      <c r="D1643" s="214">
        <v>7.0</v>
      </c>
      <c r="E1643" s="214">
        <v>3.0</v>
      </c>
      <c r="F1643" s="214" t="s">
        <v>1704</v>
      </c>
      <c r="G1643" s="214" t="s">
        <v>61</v>
      </c>
      <c r="H1643" s="214" t="s">
        <v>156</v>
      </c>
      <c r="I1643" s="214"/>
      <c r="J1643" s="222" t="s">
        <v>67</v>
      </c>
      <c r="K1643" s="222">
        <v>-3.0</v>
      </c>
      <c r="L1643" s="222" t="s">
        <v>67</v>
      </c>
      <c r="M1643" s="222">
        <v>56.5</v>
      </c>
      <c r="N1643" s="214">
        <v>260.0</v>
      </c>
      <c r="O1643" s="214">
        <v>225.0</v>
      </c>
      <c r="P1643" s="214">
        <v>2.0</v>
      </c>
      <c r="Q1643" s="214" t="b">
        <v>0</v>
      </c>
      <c r="R1643" s="214">
        <v>100.0</v>
      </c>
      <c r="S1643" s="214" t="s">
        <v>535</v>
      </c>
      <c r="T1643" s="214" t="s">
        <v>365</v>
      </c>
      <c r="U1643" s="214"/>
    </row>
    <row r="1644">
      <c r="A1644" s="221">
        <v>45979.06848104167</v>
      </c>
      <c r="B1644" s="214" t="s">
        <v>95</v>
      </c>
      <c r="C1644" s="214" t="s">
        <v>198</v>
      </c>
      <c r="D1644" s="214">
        <v>8.0</v>
      </c>
      <c r="E1644" s="214">
        <v>2.0</v>
      </c>
      <c r="F1644" s="214" t="s">
        <v>1705</v>
      </c>
      <c r="G1644" s="214" t="s">
        <v>61</v>
      </c>
      <c r="H1644" s="214" t="s">
        <v>249</v>
      </c>
      <c r="I1644" s="214"/>
      <c r="J1644" s="222" t="s">
        <v>67</v>
      </c>
      <c r="K1644" s="222">
        <v>-8.5</v>
      </c>
      <c r="L1644" s="222" t="s">
        <v>67</v>
      </c>
      <c r="M1644" s="222">
        <v>60.5</v>
      </c>
      <c r="N1644" s="214">
        <v>411.0</v>
      </c>
      <c r="O1644" s="214">
        <v>156.0</v>
      </c>
      <c r="P1644" s="214">
        <v>2.0</v>
      </c>
      <c r="Q1644" s="214" t="b">
        <v>0</v>
      </c>
      <c r="R1644" s="214">
        <v>100.0</v>
      </c>
      <c r="S1644" s="214" t="s">
        <v>471</v>
      </c>
      <c r="T1644" s="214" t="s">
        <v>321</v>
      </c>
      <c r="U1644" s="214"/>
    </row>
    <row r="1645">
      <c r="A1645" s="221">
        <v>45979.06848104167</v>
      </c>
      <c r="B1645" s="214" t="s">
        <v>95</v>
      </c>
      <c r="C1645" s="214" t="s">
        <v>100</v>
      </c>
      <c r="D1645" s="214">
        <v>7.0</v>
      </c>
      <c r="E1645" s="214">
        <v>3.0</v>
      </c>
      <c r="F1645" s="214" t="s">
        <v>1706</v>
      </c>
      <c r="G1645" s="214" t="s">
        <v>61</v>
      </c>
      <c r="H1645" s="214" t="s">
        <v>238</v>
      </c>
      <c r="I1645" s="214"/>
      <c r="J1645" s="222" t="s">
        <v>67</v>
      </c>
      <c r="K1645" s="222">
        <v>-3.5</v>
      </c>
      <c r="L1645" s="222" t="s">
        <v>67</v>
      </c>
      <c r="M1645" s="222">
        <v>58.5</v>
      </c>
      <c r="N1645" s="214">
        <v>336.0</v>
      </c>
      <c r="O1645" s="214">
        <v>183.0</v>
      </c>
      <c r="P1645" s="214">
        <v>2.0</v>
      </c>
      <c r="Q1645" s="214" t="b">
        <v>1</v>
      </c>
      <c r="R1645" s="214">
        <v>100.0</v>
      </c>
      <c r="S1645" s="214" t="s">
        <v>361</v>
      </c>
      <c r="T1645" s="214" t="s">
        <v>365</v>
      </c>
      <c r="U1645" s="214"/>
    </row>
    <row r="1646">
      <c r="A1646" s="221">
        <v>45979.06848104167</v>
      </c>
      <c r="B1646" s="214" t="s">
        <v>95</v>
      </c>
      <c r="C1646" s="214" t="s">
        <v>128</v>
      </c>
      <c r="D1646" s="214">
        <v>8.0</v>
      </c>
      <c r="E1646" s="214">
        <v>2.0</v>
      </c>
      <c r="F1646" s="214" t="s">
        <v>1707</v>
      </c>
      <c r="G1646" s="214" t="s">
        <v>61</v>
      </c>
      <c r="H1646" s="214" t="s">
        <v>62</v>
      </c>
      <c r="I1646" s="214"/>
      <c r="J1646" s="222" t="s">
        <v>67</v>
      </c>
      <c r="K1646" s="222">
        <v>6.0</v>
      </c>
      <c r="L1646" s="222" t="s">
        <v>67</v>
      </c>
      <c r="M1646" s="222">
        <v>45.5</v>
      </c>
      <c r="N1646" s="214">
        <v>283.0</v>
      </c>
      <c r="O1646" s="214">
        <v>148.0</v>
      </c>
      <c r="P1646" s="214">
        <v>2.0</v>
      </c>
      <c r="Q1646" s="214" t="b">
        <v>0</v>
      </c>
      <c r="R1646" s="214">
        <v>100.0</v>
      </c>
      <c r="S1646" s="214" t="s">
        <v>556</v>
      </c>
      <c r="T1646" s="214" t="s">
        <v>321</v>
      </c>
      <c r="U1646" s="214"/>
    </row>
    <row r="1647">
      <c r="A1647" s="221">
        <v>45979.06848104167</v>
      </c>
      <c r="B1647" s="214" t="s">
        <v>95</v>
      </c>
      <c r="C1647" s="214" t="s">
        <v>117</v>
      </c>
      <c r="D1647" s="214">
        <v>5.0</v>
      </c>
      <c r="E1647" s="214">
        <v>5.0</v>
      </c>
      <c r="F1647" s="214" t="s">
        <v>1708</v>
      </c>
      <c r="G1647" s="214" t="s">
        <v>61</v>
      </c>
      <c r="H1647" s="214" t="s">
        <v>156</v>
      </c>
      <c r="I1647" s="214"/>
      <c r="J1647" s="222" t="s">
        <v>67</v>
      </c>
      <c r="K1647" s="222">
        <v>14.5</v>
      </c>
      <c r="L1647" s="222" t="s">
        <v>67</v>
      </c>
      <c r="M1647" s="222">
        <v>55.5</v>
      </c>
      <c r="N1647" s="214">
        <v>299.0</v>
      </c>
      <c r="O1647" s="214">
        <v>316.0</v>
      </c>
      <c r="P1647" s="214">
        <v>2.0</v>
      </c>
      <c r="Q1647" s="214" t="b">
        <v>0</v>
      </c>
      <c r="R1647" s="214">
        <v>100.0</v>
      </c>
      <c r="S1647" s="214" t="s">
        <v>317</v>
      </c>
      <c r="T1647" s="214" t="s">
        <v>321</v>
      </c>
      <c r="U1647" s="214"/>
    </row>
    <row r="1648">
      <c r="A1648" s="221">
        <v>45979.06848104167</v>
      </c>
      <c r="B1648" s="214" t="s">
        <v>95</v>
      </c>
      <c r="C1648" s="214" t="s">
        <v>221</v>
      </c>
      <c r="D1648" s="214">
        <v>4.0</v>
      </c>
      <c r="E1648" s="214">
        <v>6.0</v>
      </c>
      <c r="F1648" s="214" t="s">
        <v>1709</v>
      </c>
      <c r="G1648" s="214" t="s">
        <v>61</v>
      </c>
      <c r="H1648" s="214" t="s">
        <v>493</v>
      </c>
      <c r="I1648" s="214"/>
      <c r="J1648" s="222" t="s">
        <v>67</v>
      </c>
      <c r="K1648" s="222">
        <v>3.0</v>
      </c>
      <c r="L1648" s="222" t="s">
        <v>67</v>
      </c>
      <c r="M1648" s="222">
        <v>65.5</v>
      </c>
      <c r="N1648" s="214">
        <v>353.0</v>
      </c>
      <c r="O1648" s="214">
        <v>327.0</v>
      </c>
      <c r="P1648" s="214">
        <v>2.0</v>
      </c>
      <c r="Q1648" s="214" t="b">
        <v>1</v>
      </c>
      <c r="R1648" s="214">
        <v>100.0</v>
      </c>
      <c r="S1648" s="214" t="s">
        <v>441</v>
      </c>
      <c r="T1648" s="214" t="s">
        <v>365</v>
      </c>
      <c r="U1648" s="214"/>
    </row>
    <row r="1649">
      <c r="A1649" s="221">
        <v>45979.06848104167</v>
      </c>
      <c r="B1649" s="214" t="s">
        <v>95</v>
      </c>
      <c r="C1649" s="214" t="s">
        <v>197</v>
      </c>
      <c r="D1649" s="214">
        <v>8.0</v>
      </c>
      <c r="E1649" s="214">
        <v>2.0</v>
      </c>
      <c r="F1649" s="214" t="s">
        <v>1710</v>
      </c>
      <c r="G1649" s="214" t="s">
        <v>61</v>
      </c>
      <c r="H1649" s="214" t="s">
        <v>249</v>
      </c>
      <c r="I1649" s="214"/>
      <c r="J1649" s="222" t="s">
        <v>67</v>
      </c>
      <c r="K1649" s="222">
        <v>-7.0</v>
      </c>
      <c r="L1649" s="222" t="s">
        <v>67</v>
      </c>
      <c r="M1649" s="222">
        <v>48.5</v>
      </c>
      <c r="N1649" s="214">
        <v>382.0</v>
      </c>
      <c r="O1649" s="214">
        <v>217.0</v>
      </c>
      <c r="P1649" s="214">
        <v>2.0</v>
      </c>
      <c r="Q1649" s="214" t="b">
        <v>1</v>
      </c>
      <c r="R1649" s="214">
        <v>100.0</v>
      </c>
      <c r="S1649" s="214" t="s">
        <v>407</v>
      </c>
      <c r="T1649" s="214" t="s">
        <v>321</v>
      </c>
      <c r="U1649" s="214"/>
    </row>
    <row r="1650">
      <c r="A1650" s="221">
        <v>45979.06848104167</v>
      </c>
      <c r="B1650" s="214" t="s">
        <v>95</v>
      </c>
      <c r="C1650" s="214" t="s">
        <v>165</v>
      </c>
      <c r="D1650" s="214">
        <v>4.0</v>
      </c>
      <c r="E1650" s="214">
        <v>6.0</v>
      </c>
      <c r="F1650" s="214" t="s">
        <v>1711</v>
      </c>
      <c r="G1650" s="214" t="s">
        <v>61</v>
      </c>
      <c r="H1650" s="214" t="s">
        <v>62</v>
      </c>
      <c r="I1650" s="214"/>
      <c r="J1650" s="222" t="s">
        <v>67</v>
      </c>
      <c r="K1650" s="222">
        <v>2.5</v>
      </c>
      <c r="L1650" s="222" t="s">
        <v>67</v>
      </c>
      <c r="M1650" s="222">
        <v>49.5</v>
      </c>
      <c r="N1650" s="214">
        <v>157.0</v>
      </c>
      <c r="O1650" s="214">
        <v>275.0</v>
      </c>
      <c r="P1650" s="214">
        <v>2.0</v>
      </c>
      <c r="Q1650" s="214" t="b">
        <v>1</v>
      </c>
      <c r="R1650" s="214">
        <v>100.0</v>
      </c>
      <c r="S1650" s="214" t="s">
        <v>530</v>
      </c>
      <c r="T1650" s="214" t="s">
        <v>365</v>
      </c>
      <c r="U1650" s="214"/>
    </row>
    <row r="1651">
      <c r="A1651" s="221">
        <v>45979.06848104167</v>
      </c>
      <c r="B1651" s="214"/>
      <c r="C1651" s="214"/>
      <c r="D1651" s="214"/>
      <c r="E1651" s="214"/>
      <c r="F1651" s="214"/>
      <c r="G1651" s="214"/>
      <c r="H1651" s="214"/>
      <c r="I1651" s="214"/>
      <c r="J1651" s="222"/>
      <c r="K1651" s="222"/>
      <c r="L1651" s="222"/>
      <c r="M1651" s="222"/>
      <c r="N1651" s="214"/>
      <c r="O1651" s="214"/>
      <c r="P1651" s="214"/>
      <c r="Q1651" s="214"/>
      <c r="R1651" s="214"/>
      <c r="S1651" s="214"/>
      <c r="T1651" s="214"/>
      <c r="U1651" s="214"/>
    </row>
    <row r="1652">
      <c r="A1652" s="221">
        <v>45979.06848104167</v>
      </c>
      <c r="B1652" s="214" t="s">
        <v>62</v>
      </c>
      <c r="C1652" s="214" t="s">
        <v>190</v>
      </c>
      <c r="D1652" s="214">
        <v>6.0</v>
      </c>
      <c r="E1652" s="214">
        <v>4.0</v>
      </c>
      <c r="F1652" s="214"/>
      <c r="G1652" s="214"/>
      <c r="H1652" s="214"/>
      <c r="I1652" s="214"/>
      <c r="J1652" s="222"/>
      <c r="K1652" s="222"/>
      <c r="L1652" s="222"/>
      <c r="M1652" s="222"/>
      <c r="N1652" s="214">
        <v>250.0</v>
      </c>
      <c r="O1652" s="214">
        <v>252.0</v>
      </c>
      <c r="P1652" s="214">
        <v>0.0</v>
      </c>
      <c r="Q1652" s="214" t="b">
        <v>1</v>
      </c>
      <c r="R1652" s="214">
        <v>59.0</v>
      </c>
      <c r="S1652" s="214" t="s">
        <v>317</v>
      </c>
      <c r="T1652" s="214" t="s">
        <v>321</v>
      </c>
      <c r="U1652" s="214"/>
    </row>
    <row r="1653">
      <c r="A1653" s="221">
        <v>45979.06848104167</v>
      </c>
      <c r="B1653" s="214" t="s">
        <v>62</v>
      </c>
      <c r="C1653" s="214" t="s">
        <v>196</v>
      </c>
      <c r="D1653" s="214">
        <v>3.0</v>
      </c>
      <c r="E1653" s="214">
        <v>7.0</v>
      </c>
      <c r="F1653" s="214" t="s">
        <v>1712</v>
      </c>
      <c r="G1653" s="214" t="s">
        <v>61</v>
      </c>
      <c r="H1653" s="214" t="s">
        <v>193</v>
      </c>
      <c r="I1653" s="214"/>
      <c r="J1653" s="222" t="s">
        <v>67</v>
      </c>
      <c r="K1653" s="222">
        <v>31.5</v>
      </c>
      <c r="L1653" s="222" t="s">
        <v>67</v>
      </c>
      <c r="M1653" s="222">
        <v>47.5</v>
      </c>
      <c r="N1653" s="214">
        <v>194.0</v>
      </c>
      <c r="O1653" s="214">
        <v>324.0</v>
      </c>
      <c r="P1653" s="214">
        <v>2.0</v>
      </c>
      <c r="Q1653" s="214" t="b">
        <v>0</v>
      </c>
      <c r="R1653" s="214">
        <v>100.0</v>
      </c>
      <c r="S1653" s="214" t="s">
        <v>407</v>
      </c>
      <c r="T1653" s="214" t="s">
        <v>321</v>
      </c>
      <c r="U1653" s="214"/>
    </row>
    <row r="1654">
      <c r="A1654" s="221">
        <v>45979.06848104167</v>
      </c>
      <c r="B1654" s="214" t="s">
        <v>62</v>
      </c>
      <c r="C1654" s="214" t="s">
        <v>199</v>
      </c>
      <c r="D1654" s="214">
        <v>7.0</v>
      </c>
      <c r="E1654" s="214">
        <v>3.0</v>
      </c>
      <c r="F1654" s="214" t="s">
        <v>1713</v>
      </c>
      <c r="G1654" s="214" t="s">
        <v>61</v>
      </c>
      <c r="H1654" s="214" t="s">
        <v>493</v>
      </c>
      <c r="I1654" s="214"/>
      <c r="J1654" s="222" t="s">
        <v>67</v>
      </c>
      <c r="K1654" s="222">
        <v>-16.5</v>
      </c>
      <c r="L1654" s="222" t="s">
        <v>67</v>
      </c>
      <c r="M1654" s="222">
        <v>51.5</v>
      </c>
      <c r="N1654" s="214">
        <v>343.0</v>
      </c>
      <c r="O1654" s="214">
        <v>193.0</v>
      </c>
      <c r="P1654" s="214">
        <v>2.0</v>
      </c>
      <c r="Q1654" s="214" t="b">
        <v>1</v>
      </c>
      <c r="R1654" s="214">
        <v>100.0</v>
      </c>
      <c r="S1654" s="214" t="s">
        <v>407</v>
      </c>
      <c r="T1654" s="214" t="s">
        <v>321</v>
      </c>
      <c r="U1654" s="214"/>
    </row>
    <row r="1655">
      <c r="A1655" s="221">
        <v>45979.06848104167</v>
      </c>
      <c r="B1655" s="214" t="s">
        <v>62</v>
      </c>
      <c r="C1655" s="214" t="s">
        <v>201</v>
      </c>
      <c r="D1655" s="214">
        <v>8.0</v>
      </c>
      <c r="E1655" s="214">
        <v>2.0</v>
      </c>
      <c r="F1655" s="214" t="s">
        <v>1707</v>
      </c>
      <c r="G1655" s="214" t="s">
        <v>61</v>
      </c>
      <c r="H1655" s="214" t="s">
        <v>95</v>
      </c>
      <c r="I1655" s="214"/>
      <c r="J1655" s="222" t="s">
        <v>67</v>
      </c>
      <c r="K1655" s="222">
        <v>-6.0</v>
      </c>
      <c r="L1655" s="222" t="s">
        <v>67</v>
      </c>
      <c r="M1655" s="222">
        <v>45.5</v>
      </c>
      <c r="N1655" s="214">
        <v>316.0</v>
      </c>
      <c r="O1655" s="214">
        <v>178.0</v>
      </c>
      <c r="P1655" s="214">
        <v>2.0</v>
      </c>
      <c r="Q1655" s="214" t="b">
        <v>1</v>
      </c>
      <c r="R1655" s="214">
        <v>100.0</v>
      </c>
      <c r="S1655" s="214" t="s">
        <v>556</v>
      </c>
      <c r="T1655" s="214" t="s">
        <v>321</v>
      </c>
      <c r="U1655" s="214"/>
    </row>
    <row r="1656">
      <c r="A1656" s="221">
        <v>45979.06848104167</v>
      </c>
      <c r="B1656" s="214" t="s">
        <v>62</v>
      </c>
      <c r="C1656" s="214" t="s">
        <v>178</v>
      </c>
      <c r="D1656" s="214">
        <v>2.0</v>
      </c>
      <c r="E1656" s="214">
        <v>8.0</v>
      </c>
      <c r="F1656" s="214" t="s">
        <v>1714</v>
      </c>
      <c r="G1656" s="214" t="s">
        <v>61</v>
      </c>
      <c r="H1656" s="214" t="s">
        <v>193</v>
      </c>
      <c r="I1656" s="214"/>
      <c r="J1656" s="222" t="s">
        <v>67</v>
      </c>
      <c r="K1656" s="222">
        <v>14.5</v>
      </c>
      <c r="L1656" s="222" t="s">
        <v>67</v>
      </c>
      <c r="M1656" s="222">
        <v>53.5</v>
      </c>
      <c r="N1656" s="214">
        <v>180.0</v>
      </c>
      <c r="O1656" s="214">
        <v>279.0</v>
      </c>
      <c r="P1656" s="214">
        <v>2.0</v>
      </c>
      <c r="Q1656" s="214" t="b">
        <v>1</v>
      </c>
      <c r="R1656" s="214">
        <v>100.0</v>
      </c>
      <c r="S1656" s="214" t="s">
        <v>525</v>
      </c>
      <c r="T1656" s="214" t="s">
        <v>365</v>
      </c>
      <c r="U1656" s="214"/>
    </row>
    <row r="1657">
      <c r="A1657" s="221">
        <v>45979.06848104167</v>
      </c>
      <c r="B1657" s="214" t="s">
        <v>62</v>
      </c>
      <c r="C1657" s="214" t="s">
        <v>163</v>
      </c>
      <c r="D1657" s="214">
        <v>3.0</v>
      </c>
      <c r="E1657" s="214">
        <v>7.0</v>
      </c>
      <c r="F1657" s="214" t="s">
        <v>1715</v>
      </c>
      <c r="G1657" s="214" t="s">
        <v>61</v>
      </c>
      <c r="H1657" s="214" t="s">
        <v>156</v>
      </c>
      <c r="I1657" s="214"/>
      <c r="J1657" s="222" t="s">
        <v>67</v>
      </c>
      <c r="K1657" s="222">
        <v>18.5</v>
      </c>
      <c r="L1657" s="222" t="s">
        <v>67</v>
      </c>
      <c r="M1657" s="222">
        <v>68.5</v>
      </c>
      <c r="N1657" s="214">
        <v>268.0</v>
      </c>
      <c r="O1657" s="214">
        <v>387.0</v>
      </c>
      <c r="P1657" s="214">
        <v>2.0</v>
      </c>
      <c r="Q1657" s="214" t="b">
        <v>0</v>
      </c>
      <c r="R1657" s="214">
        <v>100.0</v>
      </c>
      <c r="S1657" s="214" t="s">
        <v>361</v>
      </c>
      <c r="T1657" s="214" t="s">
        <v>365</v>
      </c>
      <c r="U1657" s="214"/>
    </row>
    <row r="1658">
      <c r="A1658" s="221">
        <v>45979.06848104167</v>
      </c>
      <c r="B1658" s="214" t="s">
        <v>62</v>
      </c>
      <c r="C1658" s="214" t="s">
        <v>127</v>
      </c>
      <c r="D1658" s="214">
        <v>5.0</v>
      </c>
      <c r="E1658" s="214">
        <v>5.0</v>
      </c>
      <c r="F1658" s="214" t="s">
        <v>1716</v>
      </c>
      <c r="G1658" s="214" t="s">
        <v>61</v>
      </c>
      <c r="H1658" s="214" t="s">
        <v>96</v>
      </c>
      <c r="I1658" s="214"/>
      <c r="J1658" s="222" t="s">
        <v>67</v>
      </c>
      <c r="K1658" s="222">
        <v>-19.5</v>
      </c>
      <c r="L1658" s="222" t="s">
        <v>67</v>
      </c>
      <c r="M1658" s="222">
        <v>50.5</v>
      </c>
      <c r="N1658" s="214">
        <v>282.0</v>
      </c>
      <c r="O1658" s="214">
        <v>255.0</v>
      </c>
      <c r="P1658" s="214">
        <v>2.0</v>
      </c>
      <c r="Q1658" s="214" t="b">
        <v>0</v>
      </c>
      <c r="R1658" s="214">
        <v>100.0</v>
      </c>
      <c r="S1658" s="214" t="s">
        <v>471</v>
      </c>
      <c r="T1658" s="214" t="s">
        <v>321</v>
      </c>
      <c r="U1658" s="214"/>
    </row>
    <row r="1659">
      <c r="A1659" s="221">
        <v>45979.06848104167</v>
      </c>
      <c r="B1659" s="214" t="s">
        <v>62</v>
      </c>
      <c r="C1659" s="214" t="s">
        <v>304</v>
      </c>
      <c r="D1659" s="214">
        <v>4.0</v>
      </c>
      <c r="E1659" s="214">
        <v>7.0</v>
      </c>
      <c r="F1659" s="214" t="s">
        <v>1711</v>
      </c>
      <c r="G1659" s="214" t="s">
        <v>61</v>
      </c>
      <c r="H1659" s="214" t="s">
        <v>95</v>
      </c>
      <c r="I1659" s="214"/>
      <c r="J1659" s="222" t="s">
        <v>67</v>
      </c>
      <c r="K1659" s="222">
        <v>-2.5</v>
      </c>
      <c r="L1659" s="222" t="s">
        <v>67</v>
      </c>
      <c r="M1659" s="222">
        <v>49.5</v>
      </c>
      <c r="N1659" s="214">
        <v>268.0</v>
      </c>
      <c r="O1659" s="214">
        <v>326.0</v>
      </c>
      <c r="P1659" s="214">
        <v>2.0</v>
      </c>
      <c r="Q1659" s="214" t="b">
        <v>0</v>
      </c>
      <c r="R1659" s="214">
        <v>100.0</v>
      </c>
      <c r="S1659" s="214" t="s">
        <v>530</v>
      </c>
      <c r="T1659" s="214" t="s">
        <v>365</v>
      </c>
      <c r="U1659" s="214"/>
    </row>
    <row r="1660">
      <c r="A1660" s="221">
        <v>45979.06848104167</v>
      </c>
      <c r="B1660" s="214" t="s">
        <v>62</v>
      </c>
      <c r="C1660" s="214" t="s">
        <v>155</v>
      </c>
      <c r="D1660" s="214">
        <v>7.0</v>
      </c>
      <c r="E1660" s="214">
        <v>3.0</v>
      </c>
      <c r="F1660" s="214" t="s">
        <v>1717</v>
      </c>
      <c r="G1660" s="214" t="s">
        <v>61</v>
      </c>
      <c r="H1660" s="214" t="s">
        <v>96</v>
      </c>
      <c r="I1660" s="214"/>
      <c r="J1660" s="222" t="s">
        <v>67</v>
      </c>
      <c r="K1660" s="222">
        <v>-11.5</v>
      </c>
      <c r="L1660" s="222" t="s">
        <v>67</v>
      </c>
      <c r="M1660" s="222">
        <v>52.5</v>
      </c>
      <c r="N1660" s="214">
        <v>320.0</v>
      </c>
      <c r="O1660" s="214">
        <v>211.0</v>
      </c>
      <c r="P1660" s="214">
        <v>2.0</v>
      </c>
      <c r="Q1660" s="214" t="b">
        <v>1</v>
      </c>
      <c r="R1660" s="214">
        <v>100.0</v>
      </c>
      <c r="S1660" s="214" t="s">
        <v>441</v>
      </c>
      <c r="T1660" s="214" t="s">
        <v>365</v>
      </c>
      <c r="U1660" s="214"/>
    </row>
    <row r="1661">
      <c r="A1661" s="221">
        <v>45979.06848104167</v>
      </c>
      <c r="B1661" s="214" t="s">
        <v>62</v>
      </c>
      <c r="C1661" s="214" t="s">
        <v>227</v>
      </c>
      <c r="D1661" s="214">
        <v>4.0</v>
      </c>
      <c r="E1661" s="214">
        <v>6.0</v>
      </c>
      <c r="F1661" s="214" t="s">
        <v>1718</v>
      </c>
      <c r="G1661" s="214" t="s">
        <v>532</v>
      </c>
      <c r="H1661" s="214" t="s">
        <v>132</v>
      </c>
      <c r="I1661" s="214"/>
      <c r="J1661" s="222" t="s">
        <v>67</v>
      </c>
      <c r="K1661" s="222">
        <v>-2.5</v>
      </c>
      <c r="L1661" s="222" t="s">
        <v>67</v>
      </c>
      <c r="M1661" s="222">
        <v>51.5</v>
      </c>
      <c r="N1661" s="214">
        <v>237.0</v>
      </c>
      <c r="O1661" s="214">
        <v>236.0</v>
      </c>
      <c r="P1661" s="214">
        <v>2.0</v>
      </c>
      <c r="Q1661" s="214" t="b">
        <v>0</v>
      </c>
      <c r="R1661" s="214">
        <v>100.0</v>
      </c>
      <c r="S1661" s="214" t="s">
        <v>535</v>
      </c>
      <c r="T1661" s="214" t="s">
        <v>365</v>
      </c>
      <c r="U1661" s="214"/>
    </row>
    <row r="1662">
      <c r="A1662" s="221">
        <v>45979.06848104167</v>
      </c>
      <c r="B1662" s="214"/>
      <c r="C1662" s="214"/>
      <c r="D1662" s="214"/>
      <c r="E1662" s="214"/>
      <c r="F1662" s="214"/>
      <c r="G1662" s="214"/>
      <c r="H1662" s="214"/>
      <c r="I1662" s="214"/>
      <c r="J1662" s="222"/>
      <c r="K1662" s="222"/>
      <c r="L1662" s="222"/>
      <c r="M1662" s="222"/>
      <c r="N1662" s="214"/>
      <c r="O1662" s="214"/>
      <c r="P1662" s="214"/>
      <c r="Q1662" s="214"/>
      <c r="R1662" s="214"/>
      <c r="S1662" s="214"/>
      <c r="T1662" s="214"/>
      <c r="U1662" s="214"/>
    </row>
    <row r="1663">
      <c r="A1663" s="221">
        <v>45979.06848104167</v>
      </c>
      <c r="B1663" s="214" t="s">
        <v>193</v>
      </c>
      <c r="C1663" s="214" t="s">
        <v>552</v>
      </c>
      <c r="D1663" s="214">
        <v>4.0</v>
      </c>
      <c r="E1663" s="214">
        <v>6.0</v>
      </c>
      <c r="F1663" s="214"/>
      <c r="G1663" s="214"/>
      <c r="H1663" s="214"/>
      <c r="I1663" s="214"/>
      <c r="J1663" s="222"/>
      <c r="K1663" s="222"/>
      <c r="L1663" s="222"/>
      <c r="M1663" s="222"/>
      <c r="N1663" s="214">
        <v>261.0</v>
      </c>
      <c r="O1663" s="214">
        <v>303.0</v>
      </c>
      <c r="P1663" s="214">
        <v>0.0</v>
      </c>
      <c r="Q1663" s="214" t="b">
        <v>1</v>
      </c>
      <c r="R1663" s="214">
        <v>59.0</v>
      </c>
      <c r="S1663" s="214" t="s">
        <v>441</v>
      </c>
      <c r="T1663" s="214" t="s">
        <v>365</v>
      </c>
      <c r="U1663" s="214"/>
    </row>
    <row r="1664">
      <c r="A1664" s="221">
        <v>45979.06848104167</v>
      </c>
      <c r="B1664" s="214" t="s">
        <v>193</v>
      </c>
      <c r="C1664" s="214" t="s">
        <v>126</v>
      </c>
      <c r="D1664" s="214">
        <v>5.0</v>
      </c>
      <c r="E1664" s="214">
        <v>5.0</v>
      </c>
      <c r="F1664" s="214"/>
      <c r="G1664" s="214"/>
      <c r="H1664" s="214"/>
      <c r="I1664" s="214"/>
      <c r="J1664" s="222"/>
      <c r="K1664" s="222"/>
      <c r="L1664" s="222"/>
      <c r="M1664" s="222"/>
      <c r="N1664" s="214">
        <v>302.0</v>
      </c>
      <c r="O1664" s="214">
        <v>252.0</v>
      </c>
      <c r="P1664" s="214">
        <v>0.0</v>
      </c>
      <c r="Q1664" s="214" t="b">
        <v>1</v>
      </c>
      <c r="R1664" s="214">
        <v>59.0</v>
      </c>
      <c r="S1664" s="214" t="s">
        <v>471</v>
      </c>
      <c r="T1664" s="214" t="s">
        <v>321</v>
      </c>
      <c r="U1664" s="214"/>
    </row>
    <row r="1665">
      <c r="A1665" s="221">
        <v>45979.06848104167</v>
      </c>
      <c r="B1665" s="214" t="s">
        <v>193</v>
      </c>
      <c r="C1665" s="214" t="s">
        <v>104</v>
      </c>
      <c r="D1665" s="214">
        <v>7.0</v>
      </c>
      <c r="E1665" s="214">
        <v>3.0</v>
      </c>
      <c r="F1665" s="214"/>
      <c r="G1665" s="214"/>
      <c r="H1665" s="214"/>
      <c r="I1665" s="214"/>
      <c r="J1665" s="222"/>
      <c r="K1665" s="222"/>
      <c r="L1665" s="222"/>
      <c r="M1665" s="222"/>
      <c r="N1665" s="214">
        <v>322.0</v>
      </c>
      <c r="O1665" s="214">
        <v>204.0</v>
      </c>
      <c r="P1665" s="214">
        <v>0.0</v>
      </c>
      <c r="Q1665" s="214" t="b">
        <v>1</v>
      </c>
      <c r="R1665" s="214">
        <v>59.0</v>
      </c>
      <c r="S1665" s="214" t="s">
        <v>317</v>
      </c>
      <c r="T1665" s="214" t="s">
        <v>321</v>
      </c>
      <c r="U1665" s="214"/>
    </row>
    <row r="1666">
      <c r="A1666" s="221">
        <v>45979.06848104167</v>
      </c>
      <c r="B1666" s="214" t="s">
        <v>193</v>
      </c>
      <c r="C1666" s="214" t="s">
        <v>144</v>
      </c>
      <c r="D1666" s="214">
        <v>10.0</v>
      </c>
      <c r="E1666" s="214">
        <v>0.0</v>
      </c>
      <c r="F1666" s="214" t="s">
        <v>1712</v>
      </c>
      <c r="G1666" s="214" t="s">
        <v>61</v>
      </c>
      <c r="H1666" s="214" t="s">
        <v>62</v>
      </c>
      <c r="I1666" s="214"/>
      <c r="J1666" s="222" t="s">
        <v>67</v>
      </c>
      <c r="K1666" s="222">
        <v>-31.5</v>
      </c>
      <c r="L1666" s="222" t="s">
        <v>67</v>
      </c>
      <c r="M1666" s="222">
        <v>47.5</v>
      </c>
      <c r="N1666" s="214">
        <v>375.0</v>
      </c>
      <c r="O1666" s="214">
        <v>75.0</v>
      </c>
      <c r="P1666" s="214">
        <v>2.0</v>
      </c>
      <c r="Q1666" s="214" t="b">
        <v>1</v>
      </c>
      <c r="R1666" s="214">
        <v>100.0</v>
      </c>
      <c r="S1666" s="214" t="s">
        <v>407</v>
      </c>
      <c r="T1666" s="214" t="s">
        <v>321</v>
      </c>
      <c r="U1666" s="214"/>
    </row>
    <row r="1667">
      <c r="A1667" s="221">
        <v>45979.06848104167</v>
      </c>
      <c r="B1667" s="214" t="s">
        <v>193</v>
      </c>
      <c r="C1667" s="214" t="s">
        <v>211</v>
      </c>
      <c r="D1667" s="214">
        <v>7.0</v>
      </c>
      <c r="E1667" s="214">
        <v>3.0</v>
      </c>
      <c r="F1667" s="214" t="s">
        <v>1695</v>
      </c>
      <c r="G1667" s="214" t="s">
        <v>61</v>
      </c>
      <c r="H1667" s="214" t="s">
        <v>43</v>
      </c>
      <c r="I1667" s="214"/>
      <c r="J1667" s="222" t="s">
        <v>67</v>
      </c>
      <c r="K1667" s="222">
        <v>-39.5</v>
      </c>
      <c r="L1667" s="222" t="s">
        <v>67</v>
      </c>
      <c r="M1667" s="222">
        <v>60.5</v>
      </c>
      <c r="N1667" s="214">
        <v>434.0</v>
      </c>
      <c r="O1667" s="214">
        <v>289.0</v>
      </c>
      <c r="P1667" s="214">
        <v>2.0</v>
      </c>
      <c r="Q1667" s="214" t="b">
        <v>0</v>
      </c>
      <c r="R1667" s="214">
        <v>100.0</v>
      </c>
      <c r="S1667" s="214" t="s">
        <v>556</v>
      </c>
      <c r="T1667" s="214" t="s">
        <v>321</v>
      </c>
      <c r="U1667" s="214"/>
    </row>
    <row r="1668">
      <c r="A1668" s="221">
        <v>45979.06848104167</v>
      </c>
      <c r="B1668" s="214" t="s">
        <v>193</v>
      </c>
      <c r="C1668" s="214" t="s">
        <v>150</v>
      </c>
      <c r="D1668" s="214">
        <v>4.0</v>
      </c>
      <c r="E1668" s="214">
        <v>6.0</v>
      </c>
      <c r="F1668" s="214" t="s">
        <v>1719</v>
      </c>
      <c r="G1668" s="214" t="s">
        <v>61</v>
      </c>
      <c r="H1668" s="214" t="s">
        <v>132</v>
      </c>
      <c r="I1668" s="214"/>
      <c r="J1668" s="222" t="s">
        <v>67</v>
      </c>
      <c r="K1668" s="222">
        <v>17.5</v>
      </c>
      <c r="L1668" s="222" t="s">
        <v>67</v>
      </c>
      <c r="M1668" s="222">
        <v>62.5</v>
      </c>
      <c r="N1668" s="214">
        <v>306.0</v>
      </c>
      <c r="O1668" s="214">
        <v>346.0</v>
      </c>
      <c r="P1668" s="214">
        <v>2.0</v>
      </c>
      <c r="Q1668" s="214" t="b">
        <v>0</v>
      </c>
      <c r="R1668" s="214">
        <v>100.0</v>
      </c>
      <c r="S1668" s="214" t="s">
        <v>361</v>
      </c>
      <c r="T1668" s="214" t="s">
        <v>365</v>
      </c>
      <c r="U1668" s="214"/>
    </row>
    <row r="1669">
      <c r="A1669" s="221">
        <v>45979.06848104167</v>
      </c>
      <c r="B1669" s="214" t="s">
        <v>193</v>
      </c>
      <c r="C1669" s="214" t="s">
        <v>236</v>
      </c>
      <c r="D1669" s="214">
        <v>7.0</v>
      </c>
      <c r="E1669" s="214">
        <v>3.0</v>
      </c>
      <c r="F1669" s="214" t="s">
        <v>1720</v>
      </c>
      <c r="G1669" s="214" t="s">
        <v>61</v>
      </c>
      <c r="H1669" s="214" t="s">
        <v>238</v>
      </c>
      <c r="I1669" s="214"/>
      <c r="J1669" s="222" t="s">
        <v>67</v>
      </c>
      <c r="K1669" s="222">
        <v>-4.5</v>
      </c>
      <c r="L1669" s="222" t="s">
        <v>67</v>
      </c>
      <c r="M1669" s="222">
        <v>48.5</v>
      </c>
      <c r="N1669" s="214">
        <v>241.0</v>
      </c>
      <c r="O1669" s="214">
        <v>257.0</v>
      </c>
      <c r="P1669" s="214">
        <v>2.0</v>
      </c>
      <c r="Q1669" s="214" t="b">
        <v>1</v>
      </c>
      <c r="R1669" s="214">
        <v>100.0</v>
      </c>
      <c r="S1669" s="214" t="s">
        <v>535</v>
      </c>
      <c r="T1669" s="214" t="s">
        <v>365</v>
      </c>
      <c r="U1669" s="214"/>
    </row>
    <row r="1670">
      <c r="A1670" s="221">
        <v>45979.06848104167</v>
      </c>
      <c r="B1670" s="214" t="s">
        <v>193</v>
      </c>
      <c r="C1670" s="214" t="s">
        <v>182</v>
      </c>
      <c r="D1670" s="214">
        <v>7.0</v>
      </c>
      <c r="E1670" s="214">
        <v>3.0</v>
      </c>
      <c r="F1670" s="214" t="s">
        <v>1714</v>
      </c>
      <c r="G1670" s="214" t="s">
        <v>61</v>
      </c>
      <c r="H1670" s="214" t="s">
        <v>62</v>
      </c>
      <c r="I1670" s="214"/>
      <c r="J1670" s="222" t="s">
        <v>67</v>
      </c>
      <c r="K1670" s="222">
        <v>-14.5</v>
      </c>
      <c r="L1670" s="222" t="s">
        <v>67</v>
      </c>
      <c r="M1670" s="222">
        <v>53.5</v>
      </c>
      <c r="N1670" s="214">
        <v>292.0</v>
      </c>
      <c r="O1670" s="214">
        <v>250.0</v>
      </c>
      <c r="P1670" s="214">
        <v>2.0</v>
      </c>
      <c r="Q1670" s="214" t="b">
        <v>0</v>
      </c>
      <c r="R1670" s="214">
        <v>100.0</v>
      </c>
      <c r="S1670" s="214" t="s">
        <v>525</v>
      </c>
      <c r="T1670" s="214" t="s">
        <v>365</v>
      </c>
      <c r="U1670" s="214"/>
    </row>
    <row r="1671">
      <c r="A1671" s="221">
        <v>45979.06848104167</v>
      </c>
      <c r="B1671" s="214" t="s">
        <v>193</v>
      </c>
      <c r="C1671" s="214" t="s">
        <v>194</v>
      </c>
      <c r="D1671" s="214">
        <v>2.0</v>
      </c>
      <c r="E1671" s="214">
        <v>9.0</v>
      </c>
      <c r="F1671" s="214" t="s">
        <v>1721</v>
      </c>
      <c r="G1671" s="214" t="s">
        <v>61</v>
      </c>
      <c r="H1671" s="214" t="s">
        <v>493</v>
      </c>
      <c r="I1671" s="214"/>
      <c r="J1671" s="222" t="s">
        <v>67</v>
      </c>
      <c r="K1671" s="222">
        <v>-2.5</v>
      </c>
      <c r="L1671" s="222" t="s">
        <v>67</v>
      </c>
      <c r="M1671" s="222">
        <v>50.5</v>
      </c>
      <c r="N1671" s="214">
        <v>210.0</v>
      </c>
      <c r="O1671" s="214">
        <v>321.0</v>
      </c>
      <c r="P1671" s="214">
        <v>2.0</v>
      </c>
      <c r="Q1671" s="214" t="b">
        <v>0</v>
      </c>
      <c r="R1671" s="214">
        <v>100.0</v>
      </c>
      <c r="S1671" s="214" t="s">
        <v>680</v>
      </c>
      <c r="T1671" s="214" t="s">
        <v>365</v>
      </c>
      <c r="U1671" s="214"/>
    </row>
    <row r="1672">
      <c r="A1672" s="221">
        <v>45979.06848104167</v>
      </c>
      <c r="B1672" s="214" t="s">
        <v>193</v>
      </c>
      <c r="C1672" s="214" t="s">
        <v>164</v>
      </c>
      <c r="D1672" s="214">
        <v>4.0</v>
      </c>
      <c r="E1672" s="214">
        <v>7.0</v>
      </c>
      <c r="F1672" s="214" t="s">
        <v>1722</v>
      </c>
      <c r="G1672" s="214" t="s">
        <v>532</v>
      </c>
      <c r="H1672" s="214" t="s">
        <v>493</v>
      </c>
      <c r="I1672" s="214"/>
      <c r="J1672" s="222" t="s">
        <v>67</v>
      </c>
      <c r="K1672" s="222">
        <v>-5.5</v>
      </c>
      <c r="L1672" s="222" t="s">
        <v>67</v>
      </c>
      <c r="M1672" s="222">
        <v>46.5</v>
      </c>
      <c r="N1672" s="214">
        <v>248.0</v>
      </c>
      <c r="O1672" s="214">
        <v>313.0</v>
      </c>
      <c r="P1672" s="214">
        <v>2.0</v>
      </c>
      <c r="Q1672" s="214" t="b">
        <v>0</v>
      </c>
      <c r="R1672" s="214">
        <v>100.0</v>
      </c>
      <c r="S1672" s="214" t="s">
        <v>530</v>
      </c>
      <c r="T1672" s="214" t="s">
        <v>365</v>
      </c>
      <c r="U1672" s="214"/>
    </row>
    <row r="1673">
      <c r="A1673" s="221">
        <v>45979.06848104167</v>
      </c>
      <c r="B1673" s="214"/>
      <c r="C1673" s="214"/>
      <c r="D1673" s="214"/>
      <c r="E1673" s="214"/>
      <c r="F1673" s="214"/>
      <c r="G1673" s="214"/>
      <c r="H1673" s="214"/>
      <c r="I1673" s="214"/>
      <c r="J1673" s="222"/>
      <c r="K1673" s="222"/>
      <c r="L1673" s="222"/>
      <c r="M1673" s="222"/>
      <c r="N1673" s="214"/>
      <c r="O1673" s="214"/>
      <c r="P1673" s="214"/>
      <c r="Q1673" s="214"/>
      <c r="R1673" s="214"/>
      <c r="S1673" s="214"/>
      <c r="T1673" s="214"/>
      <c r="U1673" s="214"/>
    </row>
    <row r="1674">
      <c r="A1674" s="221">
        <v>45979.06848104167</v>
      </c>
      <c r="B1674" s="214" t="s">
        <v>311</v>
      </c>
      <c r="C1674" s="214" t="s">
        <v>125</v>
      </c>
      <c r="D1674" s="214">
        <v>6.0</v>
      </c>
      <c r="E1674" s="214">
        <v>4.0</v>
      </c>
      <c r="F1674" s="214"/>
      <c r="G1674" s="214"/>
      <c r="H1674" s="214"/>
      <c r="I1674" s="214"/>
      <c r="J1674" s="222"/>
      <c r="K1674" s="222"/>
      <c r="L1674" s="222"/>
      <c r="M1674" s="222"/>
      <c r="N1674" s="214">
        <v>271.0</v>
      </c>
      <c r="O1674" s="214">
        <v>215.0</v>
      </c>
      <c r="P1674" s="214">
        <v>0.0</v>
      </c>
      <c r="Q1674" s="214" t="b">
        <v>1</v>
      </c>
      <c r="R1674" s="214">
        <v>59.0</v>
      </c>
      <c r="S1674" s="214" t="s">
        <v>471</v>
      </c>
      <c r="T1674" s="214" t="s">
        <v>321</v>
      </c>
      <c r="U1674" s="214"/>
    </row>
    <row r="1675">
      <c r="A1675" s="221">
        <v>45979.06848104167</v>
      </c>
      <c r="B1675" s="214" t="s">
        <v>311</v>
      </c>
      <c r="C1675" s="214" t="s">
        <v>122</v>
      </c>
      <c r="D1675" s="214">
        <v>3.0</v>
      </c>
      <c r="E1675" s="214">
        <v>7.0</v>
      </c>
      <c r="F1675" s="214" t="s">
        <v>1723</v>
      </c>
      <c r="G1675" s="214" t="s">
        <v>61</v>
      </c>
      <c r="H1675" s="214" t="s">
        <v>224</v>
      </c>
      <c r="I1675" s="214"/>
      <c r="J1675" s="222" t="s">
        <v>67</v>
      </c>
      <c r="K1675" s="222">
        <v>13.5</v>
      </c>
      <c r="L1675" s="222" t="s">
        <v>67</v>
      </c>
      <c r="M1675" s="222">
        <v>54.5</v>
      </c>
      <c r="N1675" s="214">
        <v>233.0</v>
      </c>
      <c r="O1675" s="214">
        <v>301.0</v>
      </c>
      <c r="P1675" s="214">
        <v>2.0</v>
      </c>
      <c r="Q1675" s="214" t="b">
        <v>1</v>
      </c>
      <c r="R1675" s="214">
        <v>100.0</v>
      </c>
      <c r="S1675" s="214" t="s">
        <v>317</v>
      </c>
      <c r="T1675" s="214" t="s">
        <v>321</v>
      </c>
      <c r="U1675" s="214"/>
    </row>
    <row r="1676">
      <c r="A1676" s="221">
        <v>45979.06848104167</v>
      </c>
      <c r="B1676" s="214" t="s">
        <v>311</v>
      </c>
      <c r="C1676" s="214" t="s">
        <v>234</v>
      </c>
      <c r="D1676" s="214">
        <v>2.0</v>
      </c>
      <c r="E1676" s="214">
        <v>8.0</v>
      </c>
      <c r="F1676" s="214" t="s">
        <v>1724</v>
      </c>
      <c r="G1676" s="214" t="s">
        <v>61</v>
      </c>
      <c r="H1676" s="214" t="s">
        <v>224</v>
      </c>
      <c r="I1676" s="214"/>
      <c r="J1676" s="222" t="s">
        <v>67</v>
      </c>
      <c r="K1676" s="222">
        <v>10.0</v>
      </c>
      <c r="L1676" s="222" t="s">
        <v>67</v>
      </c>
      <c r="M1676" s="222">
        <v>56.5</v>
      </c>
      <c r="N1676" s="214">
        <v>180.0</v>
      </c>
      <c r="O1676" s="214">
        <v>367.0</v>
      </c>
      <c r="P1676" s="214">
        <v>2.0</v>
      </c>
      <c r="Q1676" s="214" t="b">
        <v>1</v>
      </c>
      <c r="R1676" s="214">
        <v>100.0</v>
      </c>
      <c r="S1676" s="214" t="s">
        <v>535</v>
      </c>
      <c r="T1676" s="214" t="s">
        <v>365</v>
      </c>
      <c r="U1676" s="214"/>
    </row>
    <row r="1677">
      <c r="A1677" s="221">
        <v>45979.06848104167</v>
      </c>
      <c r="B1677" s="214" t="s">
        <v>311</v>
      </c>
      <c r="C1677" s="214" t="s">
        <v>152</v>
      </c>
      <c r="D1677" s="214">
        <v>5.0</v>
      </c>
      <c r="E1677" s="214">
        <v>5.0</v>
      </c>
      <c r="F1677" s="214" t="s">
        <v>1725</v>
      </c>
      <c r="G1677" s="214" t="s">
        <v>61</v>
      </c>
      <c r="H1677" s="214" t="s">
        <v>249</v>
      </c>
      <c r="I1677" s="214"/>
      <c r="J1677" s="222" t="s">
        <v>67</v>
      </c>
      <c r="K1677" s="222">
        <v>-7.5</v>
      </c>
      <c r="L1677" s="222" t="s">
        <v>67</v>
      </c>
      <c r="M1677" s="222">
        <v>61.5</v>
      </c>
      <c r="N1677" s="214">
        <v>326.0</v>
      </c>
      <c r="O1677" s="214">
        <v>313.0</v>
      </c>
      <c r="P1677" s="214">
        <v>2.0</v>
      </c>
      <c r="Q1677" s="214" t="b">
        <v>1</v>
      </c>
      <c r="R1677" s="214">
        <v>100.0</v>
      </c>
      <c r="S1677" s="214" t="s">
        <v>441</v>
      </c>
      <c r="T1677" s="214" t="s">
        <v>365</v>
      </c>
      <c r="U1677" s="214"/>
    </row>
    <row r="1678">
      <c r="A1678" s="221">
        <v>45979.06848104167</v>
      </c>
      <c r="B1678" s="214" t="s">
        <v>311</v>
      </c>
      <c r="C1678" s="214" t="s">
        <v>206</v>
      </c>
      <c r="D1678" s="214">
        <v>6.0</v>
      </c>
      <c r="E1678" s="214">
        <v>4.0</v>
      </c>
      <c r="F1678" s="214" t="s">
        <v>1726</v>
      </c>
      <c r="G1678" s="214" t="s">
        <v>61</v>
      </c>
      <c r="H1678" s="214" t="s">
        <v>156</v>
      </c>
      <c r="I1678" s="214"/>
      <c r="J1678" s="222" t="s">
        <v>67</v>
      </c>
      <c r="K1678" s="222">
        <v>-5.5</v>
      </c>
      <c r="L1678" s="222" t="s">
        <v>67</v>
      </c>
      <c r="M1678" s="222">
        <v>57.5</v>
      </c>
      <c r="N1678" s="214">
        <v>236.0</v>
      </c>
      <c r="O1678" s="214">
        <v>193.0</v>
      </c>
      <c r="P1678" s="214">
        <v>2.0</v>
      </c>
      <c r="Q1678" s="214" t="b">
        <v>1</v>
      </c>
      <c r="R1678" s="214">
        <v>100.0</v>
      </c>
      <c r="S1678" s="214" t="s">
        <v>556</v>
      </c>
      <c r="T1678" s="214" t="s">
        <v>321</v>
      </c>
      <c r="U1678" s="214"/>
    </row>
    <row r="1679">
      <c r="A1679" s="221">
        <v>45979.06848104167</v>
      </c>
      <c r="B1679" s="214" t="s">
        <v>311</v>
      </c>
      <c r="C1679" s="214" t="s">
        <v>139</v>
      </c>
      <c r="D1679" s="214">
        <v>8.0</v>
      </c>
      <c r="E1679" s="214">
        <v>2.0</v>
      </c>
      <c r="F1679" s="214" t="s">
        <v>1727</v>
      </c>
      <c r="G1679" s="214" t="s">
        <v>61</v>
      </c>
      <c r="H1679" s="214" t="s">
        <v>493</v>
      </c>
      <c r="I1679" s="214"/>
      <c r="J1679" s="222" t="s">
        <v>67</v>
      </c>
      <c r="K1679" s="222">
        <v>-10.5</v>
      </c>
      <c r="L1679" s="222" t="s">
        <v>67</v>
      </c>
      <c r="M1679" s="222">
        <v>41.5</v>
      </c>
      <c r="N1679" s="214">
        <v>277.0</v>
      </c>
      <c r="O1679" s="214">
        <v>177.0</v>
      </c>
      <c r="P1679" s="214">
        <v>2.0</v>
      </c>
      <c r="Q1679" s="214" t="b">
        <v>1</v>
      </c>
      <c r="R1679" s="214">
        <v>100.0</v>
      </c>
      <c r="S1679" s="214" t="s">
        <v>407</v>
      </c>
      <c r="T1679" s="214" t="s">
        <v>321</v>
      </c>
      <c r="U1679" s="214"/>
    </row>
    <row r="1680">
      <c r="A1680" s="221">
        <v>45979.06848104167</v>
      </c>
      <c r="B1680" s="214" t="s">
        <v>311</v>
      </c>
      <c r="C1680" s="214" t="s">
        <v>161</v>
      </c>
      <c r="D1680" s="214">
        <v>5.0</v>
      </c>
      <c r="E1680" s="214">
        <v>5.0</v>
      </c>
      <c r="F1680" s="214" t="s">
        <v>1728</v>
      </c>
      <c r="G1680" s="214" t="s">
        <v>61</v>
      </c>
      <c r="H1680" s="214" t="s">
        <v>249</v>
      </c>
      <c r="I1680" s="214"/>
      <c r="J1680" s="222" t="s">
        <v>67</v>
      </c>
      <c r="K1680" s="222">
        <v>-17.5</v>
      </c>
      <c r="L1680" s="222" t="s">
        <v>67</v>
      </c>
      <c r="M1680" s="222">
        <v>58.5</v>
      </c>
      <c r="N1680" s="214">
        <v>323.0</v>
      </c>
      <c r="O1680" s="214">
        <v>304.0</v>
      </c>
      <c r="P1680" s="214">
        <v>2.0</v>
      </c>
      <c r="Q1680" s="214" t="b">
        <v>1</v>
      </c>
      <c r="R1680" s="214">
        <v>100.0</v>
      </c>
      <c r="S1680" s="214" t="s">
        <v>361</v>
      </c>
      <c r="T1680" s="214" t="s">
        <v>365</v>
      </c>
      <c r="U1680" s="214"/>
    </row>
    <row r="1681">
      <c r="A1681" s="221">
        <v>45979.06848104167</v>
      </c>
      <c r="B1681" s="214" t="s">
        <v>311</v>
      </c>
      <c r="C1681" s="214" t="s">
        <v>192</v>
      </c>
      <c r="D1681" s="214">
        <v>9.0</v>
      </c>
      <c r="E1681" s="214">
        <v>1.0</v>
      </c>
      <c r="F1681" s="214" t="s">
        <v>1729</v>
      </c>
      <c r="G1681" s="214" t="s">
        <v>61</v>
      </c>
      <c r="H1681" s="214" t="s">
        <v>238</v>
      </c>
      <c r="I1681" s="214"/>
      <c r="J1681" s="222" t="s">
        <v>67</v>
      </c>
      <c r="K1681" s="222">
        <v>-25.5</v>
      </c>
      <c r="L1681" s="222" t="s">
        <v>67</v>
      </c>
      <c r="M1681" s="222">
        <v>44.5</v>
      </c>
      <c r="N1681" s="214">
        <v>390.0</v>
      </c>
      <c r="O1681" s="214">
        <v>137.0</v>
      </c>
      <c r="P1681" s="214">
        <v>2.0</v>
      </c>
      <c r="Q1681" s="214" t="b">
        <v>0</v>
      </c>
      <c r="R1681" s="214">
        <v>100.0</v>
      </c>
      <c r="S1681" s="214" t="s">
        <v>407</v>
      </c>
      <c r="T1681" s="214" t="s">
        <v>321</v>
      </c>
      <c r="U1681" s="214"/>
    </row>
    <row r="1682">
      <c r="A1682" s="221">
        <v>45979.06848104167</v>
      </c>
      <c r="B1682" s="214" t="s">
        <v>311</v>
      </c>
      <c r="C1682" s="214" t="s">
        <v>172</v>
      </c>
      <c r="D1682" s="214">
        <v>3.0</v>
      </c>
      <c r="E1682" s="214">
        <v>7.0</v>
      </c>
      <c r="F1682" s="214" t="s">
        <v>1701</v>
      </c>
      <c r="G1682" s="214" t="s">
        <v>61</v>
      </c>
      <c r="H1682" s="214" t="s">
        <v>43</v>
      </c>
      <c r="I1682" s="214"/>
      <c r="J1682" s="222" t="s">
        <v>67</v>
      </c>
      <c r="K1682" s="222">
        <v>-11.5</v>
      </c>
      <c r="L1682" s="222" t="s">
        <v>67</v>
      </c>
      <c r="M1682" s="222">
        <v>43.5</v>
      </c>
      <c r="N1682" s="214">
        <v>155.0</v>
      </c>
      <c r="O1682" s="214">
        <v>222.0</v>
      </c>
      <c r="P1682" s="214">
        <v>2.0</v>
      </c>
      <c r="Q1682" s="214" t="b">
        <v>0</v>
      </c>
      <c r="R1682" s="214">
        <v>100.0</v>
      </c>
      <c r="S1682" s="214" t="s">
        <v>530</v>
      </c>
      <c r="T1682" s="214" t="s">
        <v>365</v>
      </c>
      <c r="U1682" s="214"/>
    </row>
    <row r="1683">
      <c r="A1683" s="221">
        <v>45979.06848104167</v>
      </c>
      <c r="B1683" s="214" t="s">
        <v>311</v>
      </c>
      <c r="C1683" s="214" t="s">
        <v>186</v>
      </c>
      <c r="D1683" s="214">
        <v>5.0</v>
      </c>
      <c r="E1683" s="214">
        <v>5.0</v>
      </c>
      <c r="F1683" s="214" t="s">
        <v>1730</v>
      </c>
      <c r="G1683" s="214" t="s">
        <v>597</v>
      </c>
      <c r="H1683" s="214" t="s">
        <v>224</v>
      </c>
      <c r="I1683" s="214"/>
      <c r="J1683" s="222" t="s">
        <v>67</v>
      </c>
      <c r="K1683" s="222">
        <v>6.5</v>
      </c>
      <c r="L1683" s="222" t="s">
        <v>67</v>
      </c>
      <c r="M1683" s="222">
        <v>67.5</v>
      </c>
      <c r="N1683" s="214">
        <v>329.0</v>
      </c>
      <c r="O1683" s="214">
        <v>297.0</v>
      </c>
      <c r="P1683" s="214">
        <v>2.0</v>
      </c>
      <c r="Q1683" s="214" t="b">
        <v>1</v>
      </c>
      <c r="R1683" s="214">
        <v>100.0</v>
      </c>
      <c r="S1683" s="214" t="s">
        <v>525</v>
      </c>
      <c r="T1683" s="214" t="s">
        <v>365</v>
      </c>
      <c r="U1683" s="214"/>
    </row>
    <row r="1684">
      <c r="A1684" s="221">
        <v>45979.06848104167</v>
      </c>
      <c r="B1684" s="214"/>
      <c r="C1684" s="214"/>
      <c r="D1684" s="214"/>
      <c r="E1684" s="214"/>
      <c r="F1684" s="214"/>
      <c r="G1684" s="214"/>
      <c r="H1684" s="214"/>
      <c r="I1684" s="214"/>
      <c r="J1684" s="222"/>
      <c r="K1684" s="222"/>
      <c r="L1684" s="222"/>
      <c r="M1684" s="222"/>
      <c r="N1684" s="214"/>
      <c r="O1684" s="214"/>
      <c r="P1684" s="214"/>
      <c r="Q1684" s="214"/>
      <c r="R1684" s="214"/>
      <c r="S1684" s="214"/>
      <c r="T1684" s="214"/>
      <c r="U1684" s="214"/>
    </row>
    <row r="1685">
      <c r="A1685" s="221">
        <v>45979.06848104167</v>
      </c>
      <c r="B1685" s="214" t="s">
        <v>224</v>
      </c>
      <c r="C1685" s="214" t="s">
        <v>166</v>
      </c>
      <c r="D1685" s="214">
        <v>3.0</v>
      </c>
      <c r="E1685" s="214">
        <v>7.0</v>
      </c>
      <c r="F1685" s="214"/>
      <c r="G1685" s="214"/>
      <c r="H1685" s="214"/>
      <c r="I1685" s="214"/>
      <c r="J1685" s="222"/>
      <c r="K1685" s="222"/>
      <c r="L1685" s="222"/>
      <c r="M1685" s="222"/>
      <c r="N1685" s="214">
        <v>185.0</v>
      </c>
      <c r="O1685" s="214">
        <v>258.0</v>
      </c>
      <c r="P1685" s="214">
        <v>0.0</v>
      </c>
      <c r="Q1685" s="214" t="b">
        <v>1</v>
      </c>
      <c r="R1685" s="214">
        <v>59.0</v>
      </c>
      <c r="S1685" s="214" t="s">
        <v>530</v>
      </c>
      <c r="T1685" s="214" t="s">
        <v>365</v>
      </c>
      <c r="U1685" s="214"/>
    </row>
    <row r="1686">
      <c r="A1686" s="221">
        <v>45979.06848104167</v>
      </c>
      <c r="B1686" s="214" t="s">
        <v>224</v>
      </c>
      <c r="C1686" s="214" t="s">
        <v>191</v>
      </c>
      <c r="D1686" s="214">
        <v>3.0</v>
      </c>
      <c r="E1686" s="214">
        <v>7.0</v>
      </c>
      <c r="F1686" s="214"/>
      <c r="G1686" s="214"/>
      <c r="H1686" s="214"/>
      <c r="I1686" s="214"/>
      <c r="J1686" s="222"/>
      <c r="K1686" s="222"/>
      <c r="L1686" s="222"/>
      <c r="M1686" s="222"/>
      <c r="N1686" s="214">
        <v>220.0</v>
      </c>
      <c r="O1686" s="214">
        <v>300.0</v>
      </c>
      <c r="P1686" s="214">
        <v>0.0</v>
      </c>
      <c r="Q1686" s="214" t="b">
        <v>0</v>
      </c>
      <c r="R1686" s="214">
        <v>59.0</v>
      </c>
      <c r="S1686" s="214" t="s">
        <v>471</v>
      </c>
      <c r="T1686" s="214" t="s">
        <v>321</v>
      </c>
      <c r="U1686" s="214"/>
    </row>
    <row r="1687">
      <c r="A1687" s="221">
        <v>45979.06848104167</v>
      </c>
      <c r="B1687" s="214" t="s">
        <v>224</v>
      </c>
      <c r="C1687" s="214" t="s">
        <v>226</v>
      </c>
      <c r="D1687" s="214">
        <v>9.0</v>
      </c>
      <c r="E1687" s="214">
        <v>1.0</v>
      </c>
      <c r="F1687" s="214" t="s">
        <v>1702</v>
      </c>
      <c r="G1687" s="214" t="s">
        <v>61</v>
      </c>
      <c r="H1687" s="214" t="s">
        <v>95</v>
      </c>
      <c r="I1687" s="214"/>
      <c r="J1687" s="222" t="s">
        <v>67</v>
      </c>
      <c r="K1687" s="222">
        <v>-3.5</v>
      </c>
      <c r="L1687" s="222" t="s">
        <v>67</v>
      </c>
      <c r="M1687" s="222">
        <v>51.5</v>
      </c>
      <c r="N1687" s="214">
        <v>341.0</v>
      </c>
      <c r="O1687" s="214">
        <v>178.0</v>
      </c>
      <c r="P1687" s="214">
        <v>2.0</v>
      </c>
      <c r="Q1687" s="214" t="b">
        <v>0</v>
      </c>
      <c r="R1687" s="214">
        <v>100.0</v>
      </c>
      <c r="S1687" s="214" t="s">
        <v>471</v>
      </c>
      <c r="T1687" s="214" t="s">
        <v>321</v>
      </c>
      <c r="U1687" s="214"/>
    </row>
    <row r="1688">
      <c r="A1688" s="221">
        <v>45979.06848104167</v>
      </c>
      <c r="B1688" s="214" t="s">
        <v>224</v>
      </c>
      <c r="C1688" s="214" t="s">
        <v>113</v>
      </c>
      <c r="D1688" s="214">
        <v>5.0</v>
      </c>
      <c r="E1688" s="214">
        <v>5.0</v>
      </c>
      <c r="F1688" s="214" t="s">
        <v>1723</v>
      </c>
      <c r="G1688" s="214" t="s">
        <v>61</v>
      </c>
      <c r="H1688" s="214" t="s">
        <v>311</v>
      </c>
      <c r="I1688" s="214"/>
      <c r="J1688" s="222" t="s">
        <v>67</v>
      </c>
      <c r="K1688" s="222">
        <v>-13.5</v>
      </c>
      <c r="L1688" s="222" t="s">
        <v>67</v>
      </c>
      <c r="M1688" s="222">
        <v>54.5</v>
      </c>
      <c r="N1688" s="214">
        <v>364.0</v>
      </c>
      <c r="O1688" s="214">
        <v>203.0</v>
      </c>
      <c r="P1688" s="214">
        <v>2.0</v>
      </c>
      <c r="Q1688" s="214" t="b">
        <v>0</v>
      </c>
      <c r="R1688" s="214">
        <v>100.0</v>
      </c>
      <c r="S1688" s="214" t="s">
        <v>317</v>
      </c>
      <c r="T1688" s="214" t="s">
        <v>321</v>
      </c>
      <c r="U1688" s="214"/>
    </row>
    <row r="1689">
      <c r="A1689" s="221">
        <v>45979.06848104167</v>
      </c>
      <c r="B1689" s="214" t="s">
        <v>224</v>
      </c>
      <c r="C1689" s="214" t="s">
        <v>203</v>
      </c>
      <c r="D1689" s="214">
        <v>3.0</v>
      </c>
      <c r="E1689" s="214">
        <v>7.0</v>
      </c>
      <c r="F1689" s="214" t="s">
        <v>1731</v>
      </c>
      <c r="G1689" s="214" t="s">
        <v>61</v>
      </c>
      <c r="H1689" s="214" t="s">
        <v>249</v>
      </c>
      <c r="I1689" s="214"/>
      <c r="J1689" s="222" t="s">
        <v>67</v>
      </c>
      <c r="K1689" s="222">
        <v>12.5</v>
      </c>
      <c r="L1689" s="222" t="s">
        <v>67</v>
      </c>
      <c r="M1689" s="222">
        <v>53.5</v>
      </c>
      <c r="N1689" s="214">
        <v>208.0</v>
      </c>
      <c r="O1689" s="214">
        <v>236.0</v>
      </c>
      <c r="P1689" s="214">
        <v>2.0</v>
      </c>
      <c r="Q1689" s="214" t="b">
        <v>0</v>
      </c>
      <c r="R1689" s="214">
        <v>100.0</v>
      </c>
      <c r="S1689" s="214" t="s">
        <v>556</v>
      </c>
      <c r="T1689" s="214" t="s">
        <v>321</v>
      </c>
      <c r="U1689" s="214"/>
    </row>
    <row r="1690">
      <c r="A1690" s="221">
        <v>45979.06848104167</v>
      </c>
      <c r="B1690" s="214" t="s">
        <v>224</v>
      </c>
      <c r="C1690" s="214" t="s">
        <v>235</v>
      </c>
      <c r="D1690" s="214">
        <v>5.0</v>
      </c>
      <c r="E1690" s="214">
        <v>5.0</v>
      </c>
      <c r="F1690" s="214" t="s">
        <v>1724</v>
      </c>
      <c r="G1690" s="214" t="s">
        <v>61</v>
      </c>
      <c r="H1690" s="214" t="s">
        <v>311</v>
      </c>
      <c r="I1690" s="214"/>
      <c r="J1690" s="222"/>
      <c r="K1690" s="222"/>
      <c r="L1690" s="222"/>
      <c r="M1690" s="222"/>
      <c r="N1690" s="214">
        <v>282.0</v>
      </c>
      <c r="O1690" s="214">
        <v>307.0</v>
      </c>
      <c r="P1690" s="214">
        <v>2.0</v>
      </c>
      <c r="Q1690" s="214" t="b">
        <v>0</v>
      </c>
      <c r="R1690" s="214">
        <v>100.0</v>
      </c>
      <c r="S1690" s="214" t="s">
        <v>535</v>
      </c>
      <c r="T1690" s="214" t="s">
        <v>365</v>
      </c>
      <c r="U1690" s="214"/>
    </row>
    <row r="1691">
      <c r="A1691" s="221">
        <v>45979.06848104167</v>
      </c>
      <c r="B1691" s="214" t="s">
        <v>224</v>
      </c>
      <c r="C1691" s="214" t="s">
        <v>216</v>
      </c>
      <c r="D1691" s="214">
        <v>5.0</v>
      </c>
      <c r="E1691" s="214">
        <v>5.0</v>
      </c>
      <c r="F1691" s="214" t="s">
        <v>1732</v>
      </c>
      <c r="G1691" s="214" t="s">
        <v>61</v>
      </c>
      <c r="H1691" s="214" t="s">
        <v>156</v>
      </c>
      <c r="I1691" s="214"/>
      <c r="J1691" s="222" t="s">
        <v>67</v>
      </c>
      <c r="K1691" s="222">
        <v>-3.5</v>
      </c>
      <c r="L1691" s="222" t="s">
        <v>67</v>
      </c>
      <c r="M1691" s="222">
        <v>60.5</v>
      </c>
      <c r="N1691" s="214">
        <v>300.0</v>
      </c>
      <c r="O1691" s="214">
        <v>346.0</v>
      </c>
      <c r="P1691" s="214">
        <v>2.0</v>
      </c>
      <c r="Q1691" s="214" t="b">
        <v>0</v>
      </c>
      <c r="R1691" s="214">
        <v>100.0</v>
      </c>
      <c r="S1691" s="214" t="s">
        <v>441</v>
      </c>
      <c r="T1691" s="214" t="s">
        <v>365</v>
      </c>
      <c r="U1691" s="214"/>
    </row>
    <row r="1692">
      <c r="A1692" s="221">
        <v>45979.06848104167</v>
      </c>
      <c r="B1692" s="214" t="s">
        <v>224</v>
      </c>
      <c r="C1692" s="214" t="s">
        <v>140</v>
      </c>
      <c r="D1692" s="214">
        <v>3.0</v>
      </c>
      <c r="E1692" s="214">
        <v>7.0</v>
      </c>
      <c r="F1692" s="214" t="s">
        <v>1698</v>
      </c>
      <c r="G1692" s="214" t="s">
        <v>61</v>
      </c>
      <c r="H1692" s="214" t="s">
        <v>43</v>
      </c>
      <c r="I1692" s="214"/>
      <c r="J1692" s="222" t="s">
        <v>67</v>
      </c>
      <c r="K1692" s="222">
        <v>7.5</v>
      </c>
      <c r="L1692" s="222" t="s">
        <v>67</v>
      </c>
      <c r="M1692" s="222">
        <v>49.5</v>
      </c>
      <c r="N1692" s="214">
        <v>240.0</v>
      </c>
      <c r="O1692" s="214">
        <v>311.0</v>
      </c>
      <c r="P1692" s="214">
        <v>2.0</v>
      </c>
      <c r="Q1692" s="214" t="b">
        <v>0</v>
      </c>
      <c r="R1692" s="214">
        <v>100.0</v>
      </c>
      <c r="S1692" s="214" t="s">
        <v>407</v>
      </c>
      <c r="T1692" s="214" t="s">
        <v>321</v>
      </c>
      <c r="U1692" s="214"/>
    </row>
    <row r="1693">
      <c r="A1693" s="221">
        <v>45979.06848104167</v>
      </c>
      <c r="B1693" s="214" t="s">
        <v>224</v>
      </c>
      <c r="C1693" s="214" t="s">
        <v>103</v>
      </c>
      <c r="D1693" s="214">
        <v>8.0</v>
      </c>
      <c r="E1693" s="214">
        <v>2.0</v>
      </c>
      <c r="F1693" s="214" t="s">
        <v>1733</v>
      </c>
      <c r="G1693" s="214" t="s">
        <v>61</v>
      </c>
      <c r="H1693" s="214" t="s">
        <v>96</v>
      </c>
      <c r="I1693" s="214"/>
      <c r="J1693" s="222" t="s">
        <v>67</v>
      </c>
      <c r="K1693" s="222">
        <v>10.5</v>
      </c>
      <c r="L1693" s="222" t="s">
        <v>67</v>
      </c>
      <c r="M1693" s="222">
        <v>63.5</v>
      </c>
      <c r="N1693" s="214">
        <v>329.0</v>
      </c>
      <c r="O1693" s="214">
        <v>279.0</v>
      </c>
      <c r="P1693" s="214">
        <v>2.0</v>
      </c>
      <c r="Q1693" s="214" t="b">
        <v>0</v>
      </c>
      <c r="R1693" s="214">
        <v>100.0</v>
      </c>
      <c r="S1693" s="214" t="s">
        <v>361</v>
      </c>
      <c r="T1693" s="214" t="s">
        <v>365</v>
      </c>
      <c r="U1693" s="214"/>
    </row>
    <row r="1694">
      <c r="A1694" s="221">
        <v>45979.06848104167</v>
      </c>
      <c r="B1694" s="214" t="s">
        <v>224</v>
      </c>
      <c r="C1694" s="214" t="s">
        <v>185</v>
      </c>
      <c r="D1694" s="214">
        <v>8.0</v>
      </c>
      <c r="E1694" s="214">
        <v>2.0</v>
      </c>
      <c r="F1694" s="214" t="s">
        <v>1730</v>
      </c>
      <c r="G1694" s="214" t="s">
        <v>597</v>
      </c>
      <c r="H1694" s="214" t="s">
        <v>311</v>
      </c>
      <c r="I1694" s="214"/>
      <c r="J1694" s="222" t="s">
        <v>67</v>
      </c>
      <c r="K1694" s="222">
        <v>-6.5</v>
      </c>
      <c r="L1694" s="222" t="s">
        <v>67</v>
      </c>
      <c r="M1694" s="222">
        <v>67.5</v>
      </c>
      <c r="N1694" s="214">
        <v>366.0</v>
      </c>
      <c r="O1694" s="214">
        <v>310.0</v>
      </c>
      <c r="P1694" s="214">
        <v>2.0</v>
      </c>
      <c r="Q1694" s="214" t="b">
        <v>0</v>
      </c>
      <c r="R1694" s="214">
        <v>100.0</v>
      </c>
      <c r="S1694" s="214" t="s">
        <v>525</v>
      </c>
      <c r="T1694" s="214" t="s">
        <v>365</v>
      </c>
      <c r="U1694" s="214"/>
    </row>
    <row r="1695">
      <c r="A1695" s="221">
        <v>45979.06848104167</v>
      </c>
      <c r="B1695" s="214"/>
      <c r="C1695" s="214"/>
      <c r="D1695" s="214"/>
      <c r="E1695" s="214"/>
      <c r="F1695" s="214"/>
      <c r="G1695" s="214"/>
      <c r="H1695" s="214"/>
      <c r="I1695" s="214"/>
      <c r="J1695" s="222"/>
      <c r="K1695" s="222"/>
      <c r="L1695" s="222"/>
      <c r="M1695" s="222"/>
      <c r="N1695" s="214"/>
      <c r="O1695" s="214"/>
      <c r="P1695" s="214"/>
      <c r="Q1695" s="214"/>
      <c r="R1695" s="214"/>
      <c r="S1695" s="214"/>
      <c r="T1695" s="214"/>
      <c r="U1695" s="214"/>
    </row>
    <row r="1696">
      <c r="A1696" s="221">
        <v>45979.06848104167</v>
      </c>
      <c r="B1696" s="214" t="s">
        <v>96</v>
      </c>
      <c r="C1696" s="214" t="s">
        <v>536</v>
      </c>
      <c r="D1696" s="214">
        <v>7.0</v>
      </c>
      <c r="E1696" s="214">
        <v>3.0</v>
      </c>
      <c r="F1696" s="214"/>
      <c r="G1696" s="214"/>
      <c r="H1696" s="214"/>
      <c r="I1696" s="214"/>
      <c r="J1696" s="222"/>
      <c r="K1696" s="222"/>
      <c r="L1696" s="222"/>
      <c r="M1696" s="222"/>
      <c r="N1696" s="214">
        <v>305.0</v>
      </c>
      <c r="O1696" s="214">
        <v>237.0</v>
      </c>
      <c r="P1696" s="214">
        <v>0.0</v>
      </c>
      <c r="Q1696" s="214" t="b">
        <v>1</v>
      </c>
      <c r="R1696" s="214">
        <v>59.0</v>
      </c>
      <c r="S1696" s="214" t="s">
        <v>525</v>
      </c>
      <c r="T1696" s="214" t="s">
        <v>365</v>
      </c>
      <c r="U1696" s="214"/>
    </row>
    <row r="1697">
      <c r="A1697" s="221">
        <v>45979.06848104167</v>
      </c>
      <c r="B1697" s="214" t="s">
        <v>96</v>
      </c>
      <c r="C1697" s="214" t="s">
        <v>142</v>
      </c>
      <c r="D1697" s="214">
        <v>7.0</v>
      </c>
      <c r="E1697" s="214">
        <v>3.0</v>
      </c>
      <c r="F1697" s="214"/>
      <c r="G1697" s="214"/>
      <c r="H1697" s="214"/>
      <c r="I1697" s="214"/>
      <c r="J1697" s="222"/>
      <c r="K1697" s="222"/>
      <c r="L1697" s="222"/>
      <c r="M1697" s="222"/>
      <c r="N1697" s="214">
        <v>325.0</v>
      </c>
      <c r="O1697" s="214">
        <v>199.0</v>
      </c>
      <c r="P1697" s="214">
        <v>0.0</v>
      </c>
      <c r="Q1697" s="214" t="b">
        <v>1</v>
      </c>
      <c r="R1697" s="214">
        <v>59.0</v>
      </c>
      <c r="S1697" s="214" t="s">
        <v>407</v>
      </c>
      <c r="T1697" s="214" t="s">
        <v>321</v>
      </c>
      <c r="U1697" s="214"/>
    </row>
    <row r="1698">
      <c r="A1698" s="221">
        <v>45979.06848104167</v>
      </c>
      <c r="B1698" s="214" t="s">
        <v>96</v>
      </c>
      <c r="C1698" s="214" t="s">
        <v>204</v>
      </c>
      <c r="D1698" s="214">
        <v>9.0</v>
      </c>
      <c r="E1698" s="214">
        <v>1.0</v>
      </c>
      <c r="F1698" s="214" t="s">
        <v>1734</v>
      </c>
      <c r="G1698" s="214" t="s">
        <v>61</v>
      </c>
      <c r="H1698" s="214" t="s">
        <v>132</v>
      </c>
      <c r="I1698" s="214"/>
      <c r="J1698" s="222" t="s">
        <v>67</v>
      </c>
      <c r="K1698" s="222">
        <v>-6.5</v>
      </c>
      <c r="L1698" s="222" t="s">
        <v>67</v>
      </c>
      <c r="M1698" s="222">
        <v>49.5</v>
      </c>
      <c r="N1698" s="214">
        <v>336.0</v>
      </c>
      <c r="O1698" s="214">
        <v>188.0</v>
      </c>
      <c r="P1698" s="214">
        <v>2.0</v>
      </c>
      <c r="Q1698" s="214" t="b">
        <v>1</v>
      </c>
      <c r="R1698" s="214">
        <v>100.0</v>
      </c>
      <c r="S1698" s="214" t="s">
        <v>556</v>
      </c>
      <c r="T1698" s="214" t="s">
        <v>321</v>
      </c>
      <c r="U1698" s="214"/>
    </row>
    <row r="1699">
      <c r="A1699" s="221">
        <v>45979.06848104167</v>
      </c>
      <c r="B1699" s="214" t="s">
        <v>96</v>
      </c>
      <c r="C1699" s="214" t="s">
        <v>153</v>
      </c>
      <c r="D1699" s="214">
        <v>1.0</v>
      </c>
      <c r="E1699" s="214">
        <v>9.0</v>
      </c>
      <c r="F1699" s="214" t="s">
        <v>1735</v>
      </c>
      <c r="G1699" s="214" t="s">
        <v>61</v>
      </c>
      <c r="H1699" s="214" t="s">
        <v>395</v>
      </c>
      <c r="I1699" s="214"/>
      <c r="J1699" s="222" t="s">
        <v>67</v>
      </c>
      <c r="K1699" s="222">
        <v>13.5</v>
      </c>
      <c r="L1699" s="222" t="s">
        <v>67</v>
      </c>
      <c r="M1699" s="222">
        <v>54.5</v>
      </c>
      <c r="N1699" s="214">
        <v>207.0</v>
      </c>
      <c r="O1699" s="214">
        <v>330.0</v>
      </c>
      <c r="P1699" s="214">
        <v>2.0</v>
      </c>
      <c r="Q1699" s="214" t="b">
        <v>0</v>
      </c>
      <c r="R1699" s="214">
        <v>100.0</v>
      </c>
      <c r="S1699" s="214" t="s">
        <v>535</v>
      </c>
      <c r="T1699" s="214" t="s">
        <v>365</v>
      </c>
      <c r="U1699" s="214"/>
    </row>
    <row r="1700">
      <c r="A1700" s="221">
        <v>45979.06848104167</v>
      </c>
      <c r="B1700" s="214" t="s">
        <v>96</v>
      </c>
      <c r="C1700" s="214" t="s">
        <v>121</v>
      </c>
      <c r="D1700" s="214">
        <v>9.0</v>
      </c>
      <c r="E1700" s="214">
        <v>2.0</v>
      </c>
      <c r="F1700" s="214" t="s">
        <v>1736</v>
      </c>
      <c r="G1700" s="214" t="s">
        <v>61</v>
      </c>
      <c r="H1700" s="214" t="s">
        <v>249</v>
      </c>
      <c r="I1700" s="214"/>
      <c r="J1700" s="222" t="s">
        <v>67</v>
      </c>
      <c r="K1700" s="222">
        <v>4.5</v>
      </c>
      <c r="L1700" s="222" t="s">
        <v>67</v>
      </c>
      <c r="M1700" s="222">
        <v>58.5</v>
      </c>
      <c r="N1700" s="214">
        <v>371.0</v>
      </c>
      <c r="O1700" s="214">
        <v>233.0</v>
      </c>
      <c r="P1700" s="214">
        <v>2.0</v>
      </c>
      <c r="Q1700" s="214" t="b">
        <v>1</v>
      </c>
      <c r="R1700" s="214">
        <v>100.0</v>
      </c>
      <c r="S1700" s="214" t="s">
        <v>317</v>
      </c>
      <c r="T1700" s="214" t="s">
        <v>321</v>
      </c>
      <c r="U1700" s="214"/>
    </row>
    <row r="1701">
      <c r="A1701" s="221">
        <v>45979.06848104167</v>
      </c>
      <c r="B1701" s="214" t="s">
        <v>96</v>
      </c>
      <c r="C1701" s="214" t="s">
        <v>105</v>
      </c>
      <c r="D1701" s="214">
        <v>7.0</v>
      </c>
      <c r="E1701" s="214">
        <v>3.0</v>
      </c>
      <c r="F1701" s="214" t="s">
        <v>1733</v>
      </c>
      <c r="G1701" s="214" t="s">
        <v>61</v>
      </c>
      <c r="H1701" s="214" t="s">
        <v>224</v>
      </c>
      <c r="I1701" s="214"/>
      <c r="J1701" s="222" t="s">
        <v>67</v>
      </c>
      <c r="K1701" s="222">
        <v>-10.5</v>
      </c>
      <c r="L1701" s="222" t="s">
        <v>67</v>
      </c>
      <c r="M1701" s="222">
        <v>63.5</v>
      </c>
      <c r="N1701" s="214">
        <v>416.0</v>
      </c>
      <c r="O1701" s="214">
        <v>259.0</v>
      </c>
      <c r="P1701" s="214">
        <v>2.0</v>
      </c>
      <c r="Q1701" s="214" t="b">
        <v>1</v>
      </c>
      <c r="R1701" s="214">
        <v>100.0</v>
      </c>
      <c r="S1701" s="214" t="s">
        <v>361</v>
      </c>
      <c r="T1701" s="214" t="s">
        <v>365</v>
      </c>
      <c r="U1701" s="214"/>
    </row>
    <row r="1702">
      <c r="A1702" s="221">
        <v>45979.06848104167</v>
      </c>
      <c r="B1702" s="214" t="s">
        <v>96</v>
      </c>
      <c r="C1702" s="214" t="s">
        <v>229</v>
      </c>
      <c r="D1702" s="214">
        <v>8.0</v>
      </c>
      <c r="E1702" s="214">
        <v>2.0</v>
      </c>
      <c r="F1702" s="214" t="s">
        <v>1737</v>
      </c>
      <c r="G1702" s="214" t="s">
        <v>61</v>
      </c>
      <c r="H1702" s="214" t="s">
        <v>238</v>
      </c>
      <c r="I1702" s="214"/>
      <c r="J1702" s="222" t="s">
        <v>67</v>
      </c>
      <c r="K1702" s="222">
        <v>-12.5</v>
      </c>
      <c r="L1702" s="222" t="s">
        <v>67</v>
      </c>
      <c r="M1702" s="222">
        <v>53.5</v>
      </c>
      <c r="N1702" s="214">
        <v>385.0</v>
      </c>
      <c r="O1702" s="214">
        <v>184.0</v>
      </c>
      <c r="P1702" s="214">
        <v>2.0</v>
      </c>
      <c r="Q1702" s="214" t="b">
        <v>0</v>
      </c>
      <c r="R1702" s="214">
        <v>100.0</v>
      </c>
      <c r="S1702" s="214" t="s">
        <v>725</v>
      </c>
      <c r="T1702" s="214"/>
      <c r="U1702" s="214"/>
    </row>
    <row r="1703">
      <c r="A1703" s="221">
        <v>45979.06848104167</v>
      </c>
      <c r="B1703" s="214" t="s">
        <v>96</v>
      </c>
      <c r="C1703" s="214" t="s">
        <v>129</v>
      </c>
      <c r="D1703" s="214">
        <v>1.0</v>
      </c>
      <c r="E1703" s="214">
        <v>9.0</v>
      </c>
      <c r="F1703" s="214" t="s">
        <v>1716</v>
      </c>
      <c r="G1703" s="214" t="s">
        <v>61</v>
      </c>
      <c r="H1703" s="214" t="s">
        <v>62</v>
      </c>
      <c r="I1703" s="214"/>
      <c r="J1703" s="222" t="s">
        <v>67</v>
      </c>
      <c r="K1703" s="222">
        <v>19.5</v>
      </c>
      <c r="L1703" s="222" t="s">
        <v>67</v>
      </c>
      <c r="M1703" s="222">
        <v>50.5</v>
      </c>
      <c r="N1703" s="214">
        <v>143.0</v>
      </c>
      <c r="O1703" s="214">
        <v>363.0</v>
      </c>
      <c r="P1703" s="214">
        <v>2.0</v>
      </c>
      <c r="Q1703" s="214" t="b">
        <v>1</v>
      </c>
      <c r="R1703" s="214">
        <v>100.0</v>
      </c>
      <c r="S1703" s="214" t="s">
        <v>471</v>
      </c>
      <c r="T1703" s="214" t="s">
        <v>321</v>
      </c>
      <c r="U1703" s="214"/>
    </row>
    <row r="1704">
      <c r="A1704" s="221">
        <v>45979.06848104167</v>
      </c>
      <c r="B1704" s="214" t="s">
        <v>96</v>
      </c>
      <c r="C1704" s="214" t="s">
        <v>222</v>
      </c>
      <c r="D1704" s="214">
        <v>6.0</v>
      </c>
      <c r="E1704" s="214">
        <v>4.0</v>
      </c>
      <c r="F1704" s="214" t="s">
        <v>1717</v>
      </c>
      <c r="G1704" s="214" t="s">
        <v>61</v>
      </c>
      <c r="H1704" s="214" t="s">
        <v>62</v>
      </c>
      <c r="I1704" s="214"/>
      <c r="J1704" s="222" t="s">
        <v>67</v>
      </c>
      <c r="K1704" s="222">
        <v>11.5</v>
      </c>
      <c r="L1704" s="222" t="s">
        <v>67</v>
      </c>
      <c r="M1704" s="222">
        <v>52.5</v>
      </c>
      <c r="N1704" s="214">
        <v>243.0</v>
      </c>
      <c r="O1704" s="214">
        <v>250.0</v>
      </c>
      <c r="P1704" s="214">
        <v>2.0</v>
      </c>
      <c r="Q1704" s="214" t="b">
        <v>0</v>
      </c>
      <c r="R1704" s="214">
        <v>100.0</v>
      </c>
      <c r="S1704" s="214" t="s">
        <v>441</v>
      </c>
      <c r="T1704" s="214" t="s">
        <v>365</v>
      </c>
      <c r="U1704" s="214"/>
    </row>
    <row r="1705">
      <c r="A1705" s="221">
        <v>45979.06848104167</v>
      </c>
      <c r="B1705" s="214" t="s">
        <v>96</v>
      </c>
      <c r="C1705" s="214" t="s">
        <v>173</v>
      </c>
      <c r="D1705" s="214">
        <v>6.0</v>
      </c>
      <c r="E1705" s="214">
        <v>4.0</v>
      </c>
      <c r="F1705" s="214" t="s">
        <v>1738</v>
      </c>
      <c r="G1705" s="214" t="s">
        <v>61</v>
      </c>
      <c r="H1705" s="214" t="s">
        <v>395</v>
      </c>
      <c r="I1705" s="214"/>
      <c r="J1705" s="222" t="s">
        <v>67</v>
      </c>
      <c r="K1705" s="222">
        <v>-1.5</v>
      </c>
      <c r="L1705" s="222" t="s">
        <v>67</v>
      </c>
      <c r="M1705" s="222">
        <v>46.5</v>
      </c>
      <c r="N1705" s="214">
        <v>271.0</v>
      </c>
      <c r="O1705" s="214">
        <v>235.0</v>
      </c>
      <c r="P1705" s="214">
        <v>2.0</v>
      </c>
      <c r="Q1705" s="214" t="b">
        <v>1</v>
      </c>
      <c r="R1705" s="214">
        <v>100.0</v>
      </c>
      <c r="S1705" s="214" t="s">
        <v>530</v>
      </c>
      <c r="T1705" s="214" t="s">
        <v>365</v>
      </c>
      <c r="U1705" s="214"/>
    </row>
    <row r="1706">
      <c r="A1706" s="221">
        <v>45979.06848104167</v>
      </c>
      <c r="B1706" s="214"/>
      <c r="C1706" s="214"/>
      <c r="D1706" s="214"/>
      <c r="E1706" s="214"/>
      <c r="F1706" s="214"/>
      <c r="G1706" s="214"/>
      <c r="H1706" s="214"/>
      <c r="I1706" s="214"/>
      <c r="J1706" s="222"/>
      <c r="K1706" s="222"/>
      <c r="L1706" s="222"/>
      <c r="M1706" s="222"/>
      <c r="N1706" s="214"/>
      <c r="O1706" s="214"/>
      <c r="P1706" s="214"/>
      <c r="Q1706" s="214"/>
      <c r="R1706" s="214"/>
      <c r="S1706" s="214"/>
      <c r="T1706" s="214"/>
      <c r="U1706" s="214"/>
    </row>
    <row r="1707">
      <c r="A1707" s="221">
        <v>45979.06848104167</v>
      </c>
      <c r="B1707" s="214" t="s">
        <v>238</v>
      </c>
      <c r="C1707" s="214" t="s">
        <v>102</v>
      </c>
      <c r="D1707" s="214">
        <v>8.0</v>
      </c>
      <c r="E1707" s="214">
        <v>3.0</v>
      </c>
      <c r="F1707" s="214" t="s">
        <v>1706</v>
      </c>
      <c r="G1707" s="214" t="s">
        <v>61</v>
      </c>
      <c r="H1707" s="214" t="s">
        <v>95</v>
      </c>
      <c r="I1707" s="214"/>
      <c r="J1707" s="222" t="s">
        <v>67</v>
      </c>
      <c r="K1707" s="222">
        <v>3.5</v>
      </c>
      <c r="L1707" s="222" t="s">
        <v>67</v>
      </c>
      <c r="M1707" s="222">
        <v>58.5</v>
      </c>
      <c r="N1707" s="214">
        <v>398.0</v>
      </c>
      <c r="O1707" s="214">
        <v>242.0</v>
      </c>
      <c r="P1707" s="214">
        <v>2.0</v>
      </c>
      <c r="Q1707" s="214" t="b">
        <v>0</v>
      </c>
      <c r="R1707" s="214">
        <v>100.0</v>
      </c>
      <c r="S1707" s="214" t="s">
        <v>361</v>
      </c>
      <c r="T1707" s="214" t="s">
        <v>365</v>
      </c>
      <c r="U1707" s="214"/>
    </row>
    <row r="1708">
      <c r="A1708" s="221">
        <v>45979.06848104167</v>
      </c>
      <c r="B1708" s="214" t="s">
        <v>238</v>
      </c>
      <c r="C1708" s="214" t="s">
        <v>549</v>
      </c>
      <c r="D1708" s="214">
        <v>3.0</v>
      </c>
      <c r="E1708" s="214">
        <v>7.0</v>
      </c>
      <c r="F1708" s="214" t="s">
        <v>1739</v>
      </c>
      <c r="G1708" s="214" t="s">
        <v>61</v>
      </c>
      <c r="H1708" s="214" t="s">
        <v>156</v>
      </c>
      <c r="I1708" s="214"/>
      <c r="J1708" s="222" t="s">
        <v>67</v>
      </c>
      <c r="K1708" s="222">
        <v>-9.5</v>
      </c>
      <c r="L1708" s="222" t="s">
        <v>67</v>
      </c>
      <c r="M1708" s="222">
        <v>48.5</v>
      </c>
      <c r="N1708" s="214">
        <v>240.0</v>
      </c>
      <c r="O1708" s="214">
        <v>324.0</v>
      </c>
      <c r="P1708" s="214">
        <v>2.0</v>
      </c>
      <c r="Q1708" s="214" t="b">
        <v>0</v>
      </c>
      <c r="R1708" s="214">
        <v>100.0</v>
      </c>
      <c r="S1708" s="214" t="s">
        <v>525</v>
      </c>
      <c r="T1708" s="214" t="s">
        <v>365</v>
      </c>
      <c r="U1708" s="214"/>
    </row>
    <row r="1709">
      <c r="A1709" s="221">
        <v>45979.06848104167</v>
      </c>
      <c r="B1709" s="214" t="s">
        <v>238</v>
      </c>
      <c r="C1709" s="214" t="s">
        <v>220</v>
      </c>
      <c r="D1709" s="214">
        <v>3.0</v>
      </c>
      <c r="E1709" s="214">
        <v>7.0</v>
      </c>
      <c r="F1709" s="214" t="s">
        <v>1740</v>
      </c>
      <c r="G1709" s="214" t="s">
        <v>61</v>
      </c>
      <c r="H1709" s="214" t="s">
        <v>493</v>
      </c>
      <c r="I1709" s="214"/>
      <c r="J1709" s="222" t="s">
        <v>67</v>
      </c>
      <c r="K1709" s="222">
        <v>-4.5</v>
      </c>
      <c r="L1709" s="222" t="s">
        <v>67</v>
      </c>
      <c r="M1709" s="222">
        <v>49.5</v>
      </c>
      <c r="N1709" s="214">
        <v>250.0</v>
      </c>
      <c r="O1709" s="214">
        <v>281.0</v>
      </c>
      <c r="P1709" s="214">
        <v>2.0</v>
      </c>
      <c r="Q1709" s="214" t="b">
        <v>0</v>
      </c>
      <c r="R1709" s="214">
        <v>100.0</v>
      </c>
      <c r="S1709" s="214" t="s">
        <v>441</v>
      </c>
      <c r="T1709" s="214" t="s">
        <v>365</v>
      </c>
      <c r="U1709" s="214"/>
    </row>
    <row r="1710">
      <c r="A1710" s="221">
        <v>45979.06848104167</v>
      </c>
      <c r="B1710" s="214" t="s">
        <v>238</v>
      </c>
      <c r="C1710" s="214" t="s">
        <v>160</v>
      </c>
      <c r="D1710" s="214">
        <v>2.0</v>
      </c>
      <c r="E1710" s="214">
        <v>8.0</v>
      </c>
      <c r="F1710" s="214" t="s">
        <v>1720</v>
      </c>
      <c r="G1710" s="214" t="s">
        <v>61</v>
      </c>
      <c r="H1710" s="214" t="s">
        <v>193</v>
      </c>
      <c r="I1710" s="214"/>
      <c r="J1710" s="222" t="s">
        <v>67</v>
      </c>
      <c r="K1710" s="222">
        <v>4.5</v>
      </c>
      <c r="L1710" s="222" t="s">
        <v>67</v>
      </c>
      <c r="M1710" s="222">
        <v>48.5</v>
      </c>
      <c r="N1710" s="214">
        <v>218.0</v>
      </c>
      <c r="O1710" s="214">
        <v>270.0</v>
      </c>
      <c r="P1710" s="214">
        <v>2.0</v>
      </c>
      <c r="Q1710" s="214" t="b">
        <v>0</v>
      </c>
      <c r="R1710" s="214">
        <v>100.0</v>
      </c>
      <c r="S1710" s="214" t="s">
        <v>535</v>
      </c>
      <c r="T1710" s="214" t="s">
        <v>365</v>
      </c>
      <c r="U1710" s="214"/>
    </row>
    <row r="1711">
      <c r="A1711" s="221">
        <v>45979.06848104167</v>
      </c>
      <c r="B1711" s="214" t="s">
        <v>238</v>
      </c>
      <c r="C1711" s="214" t="s">
        <v>539</v>
      </c>
      <c r="D1711" s="214">
        <v>10.0</v>
      </c>
      <c r="E1711" s="214">
        <v>0.0</v>
      </c>
      <c r="F1711" s="214" t="s">
        <v>1741</v>
      </c>
      <c r="G1711" s="214" t="s">
        <v>61</v>
      </c>
      <c r="H1711" s="214" t="s">
        <v>132</v>
      </c>
      <c r="I1711" s="214"/>
      <c r="J1711" s="222" t="s">
        <v>67</v>
      </c>
      <c r="K1711" s="222">
        <v>-18.5</v>
      </c>
      <c r="L1711" s="222" t="s">
        <v>67</v>
      </c>
      <c r="M1711" s="222">
        <v>49.5</v>
      </c>
      <c r="N1711" s="214">
        <v>371.0</v>
      </c>
      <c r="O1711" s="214">
        <v>236.0</v>
      </c>
      <c r="P1711" s="214">
        <v>2.0</v>
      </c>
      <c r="Q1711" s="214" t="b">
        <v>0</v>
      </c>
      <c r="R1711" s="214">
        <v>100.0</v>
      </c>
      <c r="S1711" s="214" t="s">
        <v>556</v>
      </c>
      <c r="T1711" s="214" t="s">
        <v>321</v>
      </c>
      <c r="U1711" s="214"/>
    </row>
    <row r="1712">
      <c r="A1712" s="221">
        <v>45979.06848104167</v>
      </c>
      <c r="B1712" s="214" t="s">
        <v>238</v>
      </c>
      <c r="C1712" s="214" t="s">
        <v>119</v>
      </c>
      <c r="D1712" s="214">
        <v>7.0</v>
      </c>
      <c r="E1712" s="214">
        <v>3.0</v>
      </c>
      <c r="F1712" s="214" t="s">
        <v>1737</v>
      </c>
      <c r="G1712" s="214" t="s">
        <v>61</v>
      </c>
      <c r="H1712" s="214" t="s">
        <v>96</v>
      </c>
      <c r="I1712" s="214"/>
      <c r="J1712" s="222" t="s">
        <v>67</v>
      </c>
      <c r="K1712" s="222">
        <v>12.5</v>
      </c>
      <c r="L1712" s="222" t="s">
        <v>67</v>
      </c>
      <c r="M1712" s="222">
        <v>53.5</v>
      </c>
      <c r="N1712" s="214">
        <v>372.0</v>
      </c>
      <c r="O1712" s="214">
        <v>233.0</v>
      </c>
      <c r="P1712" s="214">
        <v>2.0</v>
      </c>
      <c r="Q1712" s="214" t="b">
        <v>1</v>
      </c>
      <c r="R1712" s="214">
        <v>100.0</v>
      </c>
      <c r="S1712" s="214" t="s">
        <v>317</v>
      </c>
      <c r="T1712" s="214" t="s">
        <v>321</v>
      </c>
      <c r="U1712" s="214"/>
    </row>
    <row r="1713">
      <c r="A1713" s="221">
        <v>45979.06848104167</v>
      </c>
      <c r="B1713" s="214" t="s">
        <v>238</v>
      </c>
      <c r="C1713" s="214" t="s">
        <v>98</v>
      </c>
      <c r="D1713" s="214">
        <v>7.0</v>
      </c>
      <c r="E1713" s="214">
        <v>3.0</v>
      </c>
      <c r="F1713" s="214" t="s">
        <v>1742</v>
      </c>
      <c r="G1713" s="214" t="s">
        <v>61</v>
      </c>
      <c r="H1713" s="214" t="s">
        <v>493</v>
      </c>
      <c r="I1713" s="214"/>
      <c r="J1713" s="222" t="s">
        <v>67</v>
      </c>
      <c r="K1713" s="222">
        <v>-6.5</v>
      </c>
      <c r="L1713" s="222" t="s">
        <v>67</v>
      </c>
      <c r="M1713" s="222">
        <v>56.5</v>
      </c>
      <c r="N1713" s="214">
        <v>344.0</v>
      </c>
      <c r="O1713" s="214">
        <v>227.0</v>
      </c>
      <c r="P1713" s="214">
        <v>2.0</v>
      </c>
      <c r="Q1713" s="214" t="b">
        <v>0</v>
      </c>
      <c r="R1713" s="214">
        <v>100.0</v>
      </c>
      <c r="S1713" s="214" t="s">
        <v>471</v>
      </c>
      <c r="T1713" s="214" t="s">
        <v>321</v>
      </c>
      <c r="U1713" s="214"/>
    </row>
    <row r="1714">
      <c r="A1714" s="221">
        <v>45979.06848104167</v>
      </c>
      <c r="B1714" s="214" t="s">
        <v>238</v>
      </c>
      <c r="C1714" s="214" t="s">
        <v>148</v>
      </c>
      <c r="D1714" s="214">
        <v>3.0</v>
      </c>
      <c r="E1714" s="214">
        <v>7.0</v>
      </c>
      <c r="F1714" s="214" t="s">
        <v>1743</v>
      </c>
      <c r="G1714" s="214" t="s">
        <v>61</v>
      </c>
      <c r="H1714" s="214" t="s">
        <v>132</v>
      </c>
      <c r="I1714" s="214"/>
      <c r="J1714" s="222" t="s">
        <v>67</v>
      </c>
      <c r="K1714" s="222">
        <v>29.5</v>
      </c>
      <c r="L1714" s="222" t="s">
        <v>67</v>
      </c>
      <c r="M1714" s="222">
        <v>43.5</v>
      </c>
      <c r="N1714" s="214">
        <v>120.0</v>
      </c>
      <c r="O1714" s="214">
        <v>232.0</v>
      </c>
      <c r="P1714" s="214">
        <v>2.0</v>
      </c>
      <c r="Q1714" s="214" t="b">
        <v>0</v>
      </c>
      <c r="R1714" s="214">
        <v>100.0</v>
      </c>
      <c r="S1714" s="214" t="s">
        <v>407</v>
      </c>
      <c r="T1714" s="214" t="s">
        <v>321</v>
      </c>
      <c r="U1714" s="214"/>
    </row>
    <row r="1715">
      <c r="A1715" s="221">
        <v>45979.06848104167</v>
      </c>
      <c r="B1715" s="214" t="s">
        <v>238</v>
      </c>
      <c r="C1715" s="214" t="s">
        <v>141</v>
      </c>
      <c r="D1715" s="214">
        <v>6.0</v>
      </c>
      <c r="E1715" s="214">
        <v>4.0</v>
      </c>
      <c r="F1715" s="214" t="s">
        <v>1729</v>
      </c>
      <c r="G1715" s="214" t="s">
        <v>61</v>
      </c>
      <c r="H1715" s="214" t="s">
        <v>311</v>
      </c>
      <c r="I1715" s="214"/>
      <c r="J1715" s="222" t="s">
        <v>67</v>
      </c>
      <c r="K1715" s="222">
        <v>25.5</v>
      </c>
      <c r="L1715" s="222" t="s">
        <v>67</v>
      </c>
      <c r="M1715" s="222">
        <v>44.5</v>
      </c>
      <c r="N1715" s="214">
        <v>227.0</v>
      </c>
      <c r="O1715" s="214">
        <v>236.0</v>
      </c>
      <c r="P1715" s="214">
        <v>2.0</v>
      </c>
      <c r="Q1715" s="214" t="b">
        <v>1</v>
      </c>
      <c r="R1715" s="214">
        <v>100.0</v>
      </c>
      <c r="S1715" s="214" t="s">
        <v>407</v>
      </c>
      <c r="T1715" s="214" t="s">
        <v>321</v>
      </c>
      <c r="U1715" s="214"/>
    </row>
    <row r="1716">
      <c r="A1716" s="221">
        <v>45979.06848104167</v>
      </c>
      <c r="B1716" s="214" t="s">
        <v>238</v>
      </c>
      <c r="C1716" s="214" t="s">
        <v>548</v>
      </c>
      <c r="D1716" s="214">
        <v>5.0</v>
      </c>
      <c r="E1716" s="214">
        <v>5.0</v>
      </c>
      <c r="F1716" s="214" t="s">
        <v>1744</v>
      </c>
      <c r="G1716" s="214" t="s">
        <v>61</v>
      </c>
      <c r="H1716" s="214" t="s">
        <v>156</v>
      </c>
      <c r="I1716" s="214"/>
      <c r="J1716" s="222" t="s">
        <v>67</v>
      </c>
      <c r="K1716" s="222">
        <v>3.5</v>
      </c>
      <c r="L1716" s="222" t="s">
        <v>67</v>
      </c>
      <c r="M1716" s="222">
        <v>45.5</v>
      </c>
      <c r="N1716" s="214">
        <v>231.0</v>
      </c>
      <c r="O1716" s="214">
        <v>219.0</v>
      </c>
      <c r="P1716" s="214">
        <v>2.0</v>
      </c>
      <c r="Q1716" s="214" t="b">
        <v>1</v>
      </c>
      <c r="R1716" s="214">
        <v>100.0</v>
      </c>
      <c r="S1716" s="214" t="s">
        <v>530</v>
      </c>
      <c r="T1716" s="214" t="s">
        <v>365</v>
      </c>
      <c r="U1716" s="214"/>
    </row>
    <row r="1717">
      <c r="A1717" s="221">
        <v>45979.06848104167</v>
      </c>
      <c r="B1717" s="214"/>
      <c r="C1717" s="214"/>
      <c r="D1717" s="214"/>
      <c r="E1717" s="214"/>
      <c r="F1717" s="214"/>
      <c r="G1717" s="214"/>
      <c r="H1717" s="214"/>
      <c r="I1717" s="214"/>
      <c r="J1717" s="222"/>
      <c r="K1717" s="222"/>
      <c r="L1717" s="222"/>
      <c r="M1717" s="222"/>
      <c r="N1717" s="214"/>
      <c r="O1717" s="214"/>
      <c r="P1717" s="214"/>
      <c r="Q1717" s="214"/>
      <c r="R1717" s="214"/>
      <c r="S1717" s="214"/>
      <c r="T1717" s="214"/>
      <c r="U1717" s="214"/>
    </row>
    <row r="1718">
      <c r="A1718" s="221">
        <v>45979.06848104167</v>
      </c>
      <c r="B1718" s="214" t="s">
        <v>156</v>
      </c>
      <c r="C1718" s="214" t="s">
        <v>208</v>
      </c>
      <c r="D1718" s="214">
        <v>7.0</v>
      </c>
      <c r="E1718" s="214">
        <v>3.0</v>
      </c>
      <c r="F1718" s="214" t="s">
        <v>1745</v>
      </c>
      <c r="G1718" s="214" t="s">
        <v>61</v>
      </c>
      <c r="H1718" s="214" t="s">
        <v>493</v>
      </c>
      <c r="I1718" s="214"/>
      <c r="J1718" s="222" t="s">
        <v>67</v>
      </c>
      <c r="K1718" s="222">
        <v>-6.5</v>
      </c>
      <c r="L1718" s="222" t="s">
        <v>67</v>
      </c>
      <c r="M1718" s="222">
        <v>51.5</v>
      </c>
      <c r="N1718" s="214">
        <v>349.0</v>
      </c>
      <c r="O1718" s="214">
        <v>199.0</v>
      </c>
      <c r="P1718" s="214">
        <v>2.0</v>
      </c>
      <c r="Q1718" s="214" t="b">
        <v>1</v>
      </c>
      <c r="R1718" s="214">
        <v>100.0</v>
      </c>
      <c r="S1718" s="214" t="s">
        <v>556</v>
      </c>
      <c r="T1718" s="214" t="s">
        <v>321</v>
      </c>
      <c r="U1718" s="214"/>
    </row>
    <row r="1719">
      <c r="A1719" s="221">
        <v>45979.06848104167</v>
      </c>
      <c r="B1719" s="214" t="s">
        <v>156</v>
      </c>
      <c r="C1719" s="214" t="s">
        <v>232</v>
      </c>
      <c r="D1719" s="214">
        <v>7.0</v>
      </c>
      <c r="E1719" s="214">
        <v>3.0</v>
      </c>
      <c r="F1719" s="214" t="s">
        <v>1704</v>
      </c>
      <c r="G1719" s="214" t="s">
        <v>61</v>
      </c>
      <c r="H1719" s="214" t="s">
        <v>95</v>
      </c>
      <c r="I1719" s="214"/>
      <c r="J1719" s="222" t="s">
        <v>67</v>
      </c>
      <c r="K1719" s="222">
        <v>3.0</v>
      </c>
      <c r="L1719" s="222" t="s">
        <v>67</v>
      </c>
      <c r="M1719" s="222">
        <v>56.5</v>
      </c>
      <c r="N1719" s="214">
        <v>304.0</v>
      </c>
      <c r="O1719" s="214">
        <v>260.0</v>
      </c>
      <c r="P1719" s="214">
        <v>2.0</v>
      </c>
      <c r="Q1719" s="214" t="b">
        <v>1</v>
      </c>
      <c r="R1719" s="214">
        <v>100.0</v>
      </c>
      <c r="S1719" s="214" t="s">
        <v>535</v>
      </c>
      <c r="T1719" s="214" t="s">
        <v>365</v>
      </c>
      <c r="U1719" s="214"/>
    </row>
    <row r="1720">
      <c r="A1720" s="221">
        <v>45979.06848104167</v>
      </c>
      <c r="B1720" s="214" t="s">
        <v>156</v>
      </c>
      <c r="C1720" s="214" t="s">
        <v>223</v>
      </c>
      <c r="D1720" s="214">
        <v>6.0</v>
      </c>
      <c r="E1720" s="214">
        <v>4.0</v>
      </c>
      <c r="F1720" s="214" t="s">
        <v>1732</v>
      </c>
      <c r="G1720" s="214" t="s">
        <v>61</v>
      </c>
      <c r="H1720" s="214" t="s">
        <v>224</v>
      </c>
      <c r="I1720" s="214"/>
      <c r="J1720" s="222" t="s">
        <v>67</v>
      </c>
      <c r="K1720" s="222">
        <v>3.5</v>
      </c>
      <c r="L1720" s="222" t="s">
        <v>67</v>
      </c>
      <c r="M1720" s="222">
        <v>60.5</v>
      </c>
      <c r="N1720" s="214">
        <v>257.0</v>
      </c>
      <c r="O1720" s="214">
        <v>297.0</v>
      </c>
      <c r="P1720" s="214">
        <v>2.0</v>
      </c>
      <c r="Q1720" s="214" t="b">
        <v>1</v>
      </c>
      <c r="R1720" s="214">
        <v>100.0</v>
      </c>
      <c r="S1720" s="214" t="s">
        <v>441</v>
      </c>
      <c r="T1720" s="214" t="s">
        <v>365</v>
      </c>
      <c r="U1720" s="214"/>
    </row>
    <row r="1721">
      <c r="A1721" s="221">
        <v>45979.06848104167</v>
      </c>
      <c r="B1721" s="214" t="s">
        <v>156</v>
      </c>
      <c r="C1721" s="214" t="s">
        <v>116</v>
      </c>
      <c r="D1721" s="214">
        <v>8.0</v>
      </c>
      <c r="E1721" s="214">
        <v>2.0</v>
      </c>
      <c r="F1721" s="214" t="s">
        <v>1708</v>
      </c>
      <c r="G1721" s="214" t="s">
        <v>61</v>
      </c>
      <c r="H1721" s="214" t="s">
        <v>95</v>
      </c>
      <c r="I1721" s="214"/>
      <c r="J1721" s="222" t="s">
        <v>67</v>
      </c>
      <c r="K1721" s="222">
        <v>-14.5</v>
      </c>
      <c r="L1721" s="222" t="s">
        <v>67</v>
      </c>
      <c r="M1721" s="222">
        <v>55.5</v>
      </c>
      <c r="N1721" s="214">
        <v>337.0</v>
      </c>
      <c r="O1721" s="214">
        <v>142.0</v>
      </c>
      <c r="P1721" s="214">
        <v>2.0</v>
      </c>
      <c r="Q1721" s="214" t="b">
        <v>1</v>
      </c>
      <c r="R1721" s="214">
        <v>100.0</v>
      </c>
      <c r="S1721" s="214" t="s">
        <v>317</v>
      </c>
      <c r="T1721" s="214" t="s">
        <v>321</v>
      </c>
      <c r="U1721" s="214"/>
    </row>
    <row r="1722">
      <c r="A1722" s="221">
        <v>45979.06848104167</v>
      </c>
      <c r="B1722" s="214" t="s">
        <v>156</v>
      </c>
      <c r="C1722" s="214" t="s">
        <v>135</v>
      </c>
      <c r="D1722" s="214">
        <v>7.0</v>
      </c>
      <c r="E1722" s="214">
        <v>3.0</v>
      </c>
      <c r="F1722" s="214" t="s">
        <v>1746</v>
      </c>
      <c r="G1722" s="214" t="s">
        <v>61</v>
      </c>
      <c r="H1722" s="214" t="s">
        <v>493</v>
      </c>
      <c r="I1722" s="214"/>
      <c r="J1722" s="222" t="s">
        <v>67</v>
      </c>
      <c r="K1722" s="222">
        <v>-15.5</v>
      </c>
      <c r="L1722" s="222" t="s">
        <v>67</v>
      </c>
      <c r="M1722" s="222">
        <v>51.5</v>
      </c>
      <c r="N1722" s="214">
        <v>322.0</v>
      </c>
      <c r="O1722" s="214">
        <v>239.0</v>
      </c>
      <c r="P1722" s="214">
        <v>2.0</v>
      </c>
      <c r="Q1722" s="214" t="b">
        <v>1</v>
      </c>
      <c r="R1722" s="214">
        <v>100.0</v>
      </c>
      <c r="S1722" s="214" t="s">
        <v>407</v>
      </c>
      <c r="T1722" s="214" t="s">
        <v>321</v>
      </c>
      <c r="U1722" s="214"/>
    </row>
    <row r="1723">
      <c r="A1723" s="221">
        <v>45979.06848104167</v>
      </c>
      <c r="B1723" s="214" t="s">
        <v>156</v>
      </c>
      <c r="C1723" s="214" t="s">
        <v>109</v>
      </c>
      <c r="D1723" s="214">
        <v>4.0</v>
      </c>
      <c r="E1723" s="214">
        <v>6.0</v>
      </c>
      <c r="F1723" s="214" t="s">
        <v>1697</v>
      </c>
      <c r="G1723" s="214" t="s">
        <v>61</v>
      </c>
      <c r="H1723" s="214" t="s">
        <v>43</v>
      </c>
      <c r="I1723" s="214"/>
      <c r="J1723" s="222" t="s">
        <v>67</v>
      </c>
      <c r="K1723" s="222">
        <v>23.5</v>
      </c>
      <c r="L1723" s="222" t="s">
        <v>67</v>
      </c>
      <c r="M1723" s="222">
        <v>47.5</v>
      </c>
      <c r="N1723" s="214">
        <v>254.0</v>
      </c>
      <c r="O1723" s="214">
        <v>228.0</v>
      </c>
      <c r="P1723" s="214">
        <v>2.0</v>
      </c>
      <c r="Q1723" s="214" t="b">
        <v>1</v>
      </c>
      <c r="R1723" s="214">
        <v>100.0</v>
      </c>
      <c r="S1723" s="214" t="s">
        <v>471</v>
      </c>
      <c r="T1723" s="214" t="s">
        <v>321</v>
      </c>
      <c r="U1723" s="214"/>
    </row>
    <row r="1724">
      <c r="A1724" s="221">
        <v>45979.06848104167</v>
      </c>
      <c r="B1724" s="214" t="s">
        <v>156</v>
      </c>
      <c r="C1724" s="214" t="s">
        <v>181</v>
      </c>
      <c r="D1724" s="214">
        <v>2.0</v>
      </c>
      <c r="E1724" s="214">
        <v>8.0</v>
      </c>
      <c r="F1724" s="214" t="s">
        <v>1739</v>
      </c>
      <c r="G1724" s="214" t="s">
        <v>61</v>
      </c>
      <c r="H1724" s="214" t="s">
        <v>238</v>
      </c>
      <c r="I1724" s="214"/>
      <c r="J1724" s="222" t="s">
        <v>67</v>
      </c>
      <c r="K1724" s="222">
        <v>9.5</v>
      </c>
      <c r="L1724" s="222" t="s">
        <v>67</v>
      </c>
      <c r="M1724" s="222">
        <v>48.5</v>
      </c>
      <c r="N1724" s="214">
        <v>181.0</v>
      </c>
      <c r="O1724" s="214">
        <v>281.0</v>
      </c>
      <c r="P1724" s="214">
        <v>2.0</v>
      </c>
      <c r="Q1724" s="214" t="b">
        <v>1</v>
      </c>
      <c r="R1724" s="214">
        <v>100.0</v>
      </c>
      <c r="S1724" s="214" t="s">
        <v>525</v>
      </c>
      <c r="T1724" s="214" t="s">
        <v>365</v>
      </c>
      <c r="U1724" s="214"/>
    </row>
    <row r="1725">
      <c r="A1725" s="221">
        <v>45979.06848104167</v>
      </c>
      <c r="B1725" s="214" t="s">
        <v>156</v>
      </c>
      <c r="C1725" s="214" t="s">
        <v>154</v>
      </c>
      <c r="D1725" s="214">
        <v>9.0</v>
      </c>
      <c r="E1725" s="214">
        <v>1.0</v>
      </c>
      <c r="F1725" s="214" t="s">
        <v>1715</v>
      </c>
      <c r="G1725" s="214" t="s">
        <v>61</v>
      </c>
      <c r="H1725" s="214" t="s">
        <v>62</v>
      </c>
      <c r="I1725" s="214"/>
      <c r="J1725" s="222" t="s">
        <v>67</v>
      </c>
      <c r="K1725" s="222">
        <v>-18.5</v>
      </c>
      <c r="L1725" s="222" t="s">
        <v>67</v>
      </c>
      <c r="M1725" s="222">
        <v>68.5</v>
      </c>
      <c r="N1725" s="214">
        <v>453.0</v>
      </c>
      <c r="O1725" s="214">
        <v>241.0</v>
      </c>
      <c r="P1725" s="214">
        <v>2.0</v>
      </c>
      <c r="Q1725" s="214" t="b">
        <v>1</v>
      </c>
      <c r="R1725" s="214">
        <v>100.0</v>
      </c>
      <c r="S1725" s="214" t="s">
        <v>361</v>
      </c>
      <c r="T1725" s="214" t="s">
        <v>365</v>
      </c>
      <c r="U1725" s="214"/>
    </row>
    <row r="1726">
      <c r="A1726" s="221">
        <v>45979.06848104167</v>
      </c>
      <c r="B1726" s="214" t="s">
        <v>156</v>
      </c>
      <c r="C1726" s="214" t="s">
        <v>202</v>
      </c>
      <c r="D1726" s="214">
        <v>2.0</v>
      </c>
      <c r="E1726" s="214">
        <v>8.0</v>
      </c>
      <c r="F1726" s="214" t="s">
        <v>1726</v>
      </c>
      <c r="G1726" s="214" t="s">
        <v>61</v>
      </c>
      <c r="H1726" s="214" t="s">
        <v>311</v>
      </c>
      <c r="I1726" s="214"/>
      <c r="J1726" s="222" t="s">
        <v>67</v>
      </c>
      <c r="K1726" s="222">
        <v>5.5</v>
      </c>
      <c r="L1726" s="222" t="s">
        <v>67</v>
      </c>
      <c r="M1726" s="222">
        <v>57.5</v>
      </c>
      <c r="N1726" s="214">
        <v>341.0</v>
      </c>
      <c r="O1726" s="214">
        <v>323.0</v>
      </c>
      <c r="P1726" s="214">
        <v>2.0</v>
      </c>
      <c r="Q1726" s="214" t="b">
        <v>0</v>
      </c>
      <c r="R1726" s="214">
        <v>100.0</v>
      </c>
      <c r="S1726" s="214" t="s">
        <v>556</v>
      </c>
      <c r="T1726" s="214" t="s">
        <v>321</v>
      </c>
      <c r="U1726" s="214"/>
    </row>
    <row r="1727">
      <c r="A1727" s="221">
        <v>45979.06848104167</v>
      </c>
      <c r="B1727" s="214" t="s">
        <v>156</v>
      </c>
      <c r="C1727" s="214" t="s">
        <v>174</v>
      </c>
      <c r="D1727" s="214">
        <v>6.0</v>
      </c>
      <c r="E1727" s="214">
        <v>4.0</v>
      </c>
      <c r="F1727" s="214" t="s">
        <v>1744</v>
      </c>
      <c r="G1727" s="214" t="s">
        <v>61</v>
      </c>
      <c r="H1727" s="214" t="s">
        <v>238</v>
      </c>
      <c r="I1727" s="214"/>
      <c r="J1727" s="222" t="s">
        <v>67</v>
      </c>
      <c r="K1727" s="222">
        <v>-3.5</v>
      </c>
      <c r="L1727" s="222" t="s">
        <v>67</v>
      </c>
      <c r="M1727" s="222">
        <v>45.5</v>
      </c>
      <c r="N1727" s="214">
        <v>320.0</v>
      </c>
      <c r="O1727" s="214">
        <v>134.0</v>
      </c>
      <c r="P1727" s="214">
        <v>2.0</v>
      </c>
      <c r="Q1727" s="214" t="b">
        <v>0</v>
      </c>
      <c r="R1727" s="214">
        <v>100.0</v>
      </c>
      <c r="S1727" s="214" t="s">
        <v>530</v>
      </c>
      <c r="T1727" s="214" t="s">
        <v>365</v>
      </c>
      <c r="U1727" s="214"/>
    </row>
    <row r="1728">
      <c r="A1728" s="221">
        <v>45979.06848104167</v>
      </c>
      <c r="B1728" s="214"/>
      <c r="C1728" s="214"/>
      <c r="D1728" s="214"/>
      <c r="E1728" s="214"/>
      <c r="F1728" s="214"/>
      <c r="G1728" s="214"/>
      <c r="H1728" s="214"/>
      <c r="I1728" s="214"/>
      <c r="J1728" s="222"/>
      <c r="K1728" s="222"/>
      <c r="L1728" s="222"/>
      <c r="M1728" s="222"/>
      <c r="N1728" s="214"/>
      <c r="O1728" s="214"/>
      <c r="P1728" s="214"/>
      <c r="Q1728" s="214"/>
      <c r="R1728" s="214"/>
      <c r="S1728" s="214"/>
      <c r="T1728" s="214"/>
      <c r="U1728" s="214"/>
    </row>
    <row r="1729">
      <c r="A1729" s="221">
        <v>45979.06848104167</v>
      </c>
      <c r="B1729" s="214" t="s">
        <v>249</v>
      </c>
      <c r="C1729" s="214" t="s">
        <v>183</v>
      </c>
      <c r="D1729" s="214">
        <v>8.0</v>
      </c>
      <c r="E1729" s="214">
        <v>2.0</v>
      </c>
      <c r="F1729" s="214" t="s">
        <v>1703</v>
      </c>
      <c r="G1729" s="214" t="s">
        <v>61</v>
      </c>
      <c r="H1729" s="214" t="s">
        <v>95</v>
      </c>
      <c r="I1729" s="214"/>
      <c r="J1729" s="222" t="s">
        <v>67</v>
      </c>
      <c r="K1729" s="222">
        <v>-2.5</v>
      </c>
      <c r="L1729" s="222" t="s">
        <v>67</v>
      </c>
      <c r="M1729" s="222">
        <v>41.5</v>
      </c>
      <c r="N1729" s="214">
        <v>254.0</v>
      </c>
      <c r="O1729" s="214">
        <v>125.0</v>
      </c>
      <c r="P1729" s="214">
        <v>2.0</v>
      </c>
      <c r="Q1729" s="214" t="b">
        <v>0</v>
      </c>
      <c r="R1729" s="214">
        <v>100.0</v>
      </c>
      <c r="S1729" s="214" t="s">
        <v>525</v>
      </c>
      <c r="T1729" s="214" t="s">
        <v>365</v>
      </c>
      <c r="U1729" s="214"/>
    </row>
    <row r="1730">
      <c r="A1730" s="221">
        <v>45979.06848104167</v>
      </c>
      <c r="B1730" s="214" t="s">
        <v>249</v>
      </c>
      <c r="C1730" s="214" t="s">
        <v>151</v>
      </c>
      <c r="D1730" s="214">
        <v>5.0</v>
      </c>
      <c r="E1730" s="214">
        <v>5.0</v>
      </c>
      <c r="F1730" s="214" t="s">
        <v>1747</v>
      </c>
      <c r="G1730" s="214" t="s">
        <v>61</v>
      </c>
      <c r="H1730" s="214" t="s">
        <v>493</v>
      </c>
      <c r="I1730" s="214"/>
      <c r="J1730" s="222" t="s">
        <v>67</v>
      </c>
      <c r="K1730" s="222">
        <v>8.5</v>
      </c>
      <c r="L1730" s="222" t="s">
        <v>67</v>
      </c>
      <c r="M1730" s="222">
        <v>43.5</v>
      </c>
      <c r="N1730" s="214">
        <v>256.0</v>
      </c>
      <c r="O1730" s="214">
        <v>198.0</v>
      </c>
      <c r="P1730" s="214">
        <v>2.0</v>
      </c>
      <c r="Q1730" s="214" t="b">
        <v>1</v>
      </c>
      <c r="R1730" s="214">
        <v>100.0</v>
      </c>
      <c r="S1730" s="214" t="s">
        <v>535</v>
      </c>
      <c r="T1730" s="214" t="s">
        <v>365</v>
      </c>
      <c r="U1730" s="214"/>
    </row>
    <row r="1731">
      <c r="A1731" s="221">
        <v>45979.06848104167</v>
      </c>
      <c r="B1731" s="214" t="s">
        <v>249</v>
      </c>
      <c r="C1731" s="214" t="s">
        <v>124</v>
      </c>
      <c r="D1731" s="214">
        <v>5.0</v>
      </c>
      <c r="E1731" s="214">
        <v>5.0</v>
      </c>
      <c r="F1731" s="214" t="s">
        <v>1705</v>
      </c>
      <c r="G1731" s="214" t="s">
        <v>61</v>
      </c>
      <c r="H1731" s="214" t="s">
        <v>95</v>
      </c>
      <c r="I1731" s="214"/>
      <c r="J1731" s="222" t="s">
        <v>67</v>
      </c>
      <c r="K1731" s="222">
        <v>8.5</v>
      </c>
      <c r="L1731" s="222" t="s">
        <v>67</v>
      </c>
      <c r="M1731" s="222">
        <v>60.5</v>
      </c>
      <c r="N1731" s="214">
        <v>332.0</v>
      </c>
      <c r="O1731" s="214">
        <v>319.0</v>
      </c>
      <c r="P1731" s="214">
        <v>2.0</v>
      </c>
      <c r="Q1731" s="214" t="b">
        <v>1</v>
      </c>
      <c r="R1731" s="214">
        <v>100.0</v>
      </c>
      <c r="S1731" s="214" t="s">
        <v>471</v>
      </c>
      <c r="T1731" s="214" t="s">
        <v>321</v>
      </c>
      <c r="U1731" s="214"/>
    </row>
    <row r="1732">
      <c r="A1732" s="221">
        <v>45979.06848104167</v>
      </c>
      <c r="B1732" s="214" t="s">
        <v>249</v>
      </c>
      <c r="C1732" s="214" t="s">
        <v>209</v>
      </c>
      <c r="D1732" s="214">
        <v>10.0</v>
      </c>
      <c r="E1732" s="214">
        <v>1.0</v>
      </c>
      <c r="F1732" s="214" t="s">
        <v>1731</v>
      </c>
      <c r="G1732" s="214" t="s">
        <v>61</v>
      </c>
      <c r="H1732" s="214" t="s">
        <v>224</v>
      </c>
      <c r="I1732" s="214"/>
      <c r="J1732" s="222" t="s">
        <v>67</v>
      </c>
      <c r="K1732" s="222">
        <v>-12.5</v>
      </c>
      <c r="L1732" s="222" t="s">
        <v>67</v>
      </c>
      <c r="M1732" s="222">
        <v>53.5</v>
      </c>
      <c r="N1732" s="214">
        <v>409.0</v>
      </c>
      <c r="O1732" s="214">
        <v>222.0</v>
      </c>
      <c r="P1732" s="214">
        <v>2.0</v>
      </c>
      <c r="Q1732" s="214" t="b">
        <v>1</v>
      </c>
      <c r="R1732" s="214">
        <v>100.0</v>
      </c>
      <c r="S1732" s="214" t="s">
        <v>556</v>
      </c>
      <c r="T1732" s="214" t="s">
        <v>321</v>
      </c>
      <c r="U1732" s="214"/>
    </row>
    <row r="1733">
      <c r="A1733" s="221">
        <v>45979.06848104167</v>
      </c>
      <c r="B1733" s="214" t="s">
        <v>249</v>
      </c>
      <c r="C1733" s="214" t="s">
        <v>112</v>
      </c>
      <c r="D1733" s="214">
        <v>5.0</v>
      </c>
      <c r="E1733" s="214">
        <v>5.0</v>
      </c>
      <c r="F1733" s="214" t="s">
        <v>1736</v>
      </c>
      <c r="G1733" s="214" t="s">
        <v>61</v>
      </c>
      <c r="H1733" s="214" t="s">
        <v>96</v>
      </c>
      <c r="I1733" s="214"/>
      <c r="J1733" s="222" t="s">
        <v>67</v>
      </c>
      <c r="K1733" s="222">
        <v>-4.5</v>
      </c>
      <c r="L1733" s="222" t="s">
        <v>67</v>
      </c>
      <c r="M1733" s="222">
        <v>58.5</v>
      </c>
      <c r="N1733" s="214">
        <v>334.0</v>
      </c>
      <c r="O1733" s="214">
        <v>296.0</v>
      </c>
      <c r="P1733" s="214">
        <v>2.0</v>
      </c>
      <c r="Q1733" s="214" t="b">
        <v>0</v>
      </c>
      <c r="R1733" s="214">
        <v>100.0</v>
      </c>
      <c r="S1733" s="214" t="s">
        <v>317</v>
      </c>
      <c r="T1733" s="214" t="s">
        <v>321</v>
      </c>
      <c r="U1733" s="214"/>
    </row>
    <row r="1734">
      <c r="A1734" s="221">
        <v>45979.06848104167</v>
      </c>
      <c r="B1734" s="214" t="s">
        <v>249</v>
      </c>
      <c r="C1734" s="214" t="s">
        <v>137</v>
      </c>
      <c r="D1734" s="214">
        <v>6.0</v>
      </c>
      <c r="E1734" s="214">
        <v>4.0</v>
      </c>
      <c r="F1734" s="214" t="s">
        <v>1710</v>
      </c>
      <c r="G1734" s="214" t="s">
        <v>61</v>
      </c>
      <c r="H1734" s="214" t="s">
        <v>95</v>
      </c>
      <c r="I1734" s="214"/>
      <c r="J1734" s="222" t="s">
        <v>67</v>
      </c>
      <c r="K1734" s="222">
        <v>7.0</v>
      </c>
      <c r="L1734" s="222" t="s">
        <v>67</v>
      </c>
      <c r="M1734" s="222">
        <v>48.5</v>
      </c>
      <c r="N1734" s="214">
        <v>287.0</v>
      </c>
      <c r="O1734" s="214">
        <v>149.0</v>
      </c>
      <c r="P1734" s="214">
        <v>2.0</v>
      </c>
      <c r="Q1734" s="214" t="b">
        <v>0</v>
      </c>
      <c r="R1734" s="214">
        <v>100.0</v>
      </c>
      <c r="S1734" s="214" t="s">
        <v>407</v>
      </c>
      <c r="T1734" s="214" t="s">
        <v>321</v>
      </c>
      <c r="U1734" s="214"/>
    </row>
    <row r="1735">
      <c r="A1735" s="221">
        <v>45979.06848104167</v>
      </c>
      <c r="B1735" s="214" t="s">
        <v>249</v>
      </c>
      <c r="C1735" s="214" t="s">
        <v>217</v>
      </c>
      <c r="D1735" s="214">
        <v>1.0</v>
      </c>
      <c r="E1735" s="214">
        <v>9.0</v>
      </c>
      <c r="F1735" s="214" t="s">
        <v>1725</v>
      </c>
      <c r="G1735" s="214" t="s">
        <v>61</v>
      </c>
      <c r="H1735" s="214" t="s">
        <v>311</v>
      </c>
      <c r="I1735" s="214"/>
      <c r="J1735" s="222" t="s">
        <v>67</v>
      </c>
      <c r="K1735" s="222">
        <v>7.5</v>
      </c>
      <c r="L1735" s="222" t="s">
        <v>67</v>
      </c>
      <c r="M1735" s="222">
        <v>61.5</v>
      </c>
      <c r="N1735" s="214">
        <v>208.0</v>
      </c>
      <c r="O1735" s="214">
        <v>396.0</v>
      </c>
      <c r="P1735" s="214">
        <v>2.0</v>
      </c>
      <c r="Q1735" s="214" t="b">
        <v>0</v>
      </c>
      <c r="R1735" s="214">
        <v>100.0</v>
      </c>
      <c r="S1735" s="214" t="s">
        <v>441</v>
      </c>
      <c r="T1735" s="214" t="s">
        <v>365</v>
      </c>
      <c r="U1735" s="214"/>
    </row>
    <row r="1736">
      <c r="A1736" s="221">
        <v>45979.06848104167</v>
      </c>
      <c r="B1736" s="214" t="s">
        <v>249</v>
      </c>
      <c r="C1736" s="214" t="s">
        <v>159</v>
      </c>
      <c r="D1736" s="214">
        <v>1.0</v>
      </c>
      <c r="E1736" s="214">
        <v>9.0</v>
      </c>
      <c r="F1736" s="214" t="s">
        <v>1728</v>
      </c>
      <c r="G1736" s="214" t="s">
        <v>61</v>
      </c>
      <c r="H1736" s="214" t="s">
        <v>311</v>
      </c>
      <c r="I1736" s="214"/>
      <c r="J1736" s="222" t="s">
        <v>67</v>
      </c>
      <c r="K1736" s="222">
        <v>17.5</v>
      </c>
      <c r="L1736" s="222" t="s">
        <v>67</v>
      </c>
      <c r="M1736" s="222">
        <v>58.5</v>
      </c>
      <c r="N1736" s="214">
        <v>169.0</v>
      </c>
      <c r="O1736" s="214">
        <v>374.0</v>
      </c>
      <c r="P1736" s="214">
        <v>2.0</v>
      </c>
      <c r="Q1736" s="214" t="b">
        <v>0</v>
      </c>
      <c r="R1736" s="214">
        <v>100.0</v>
      </c>
      <c r="S1736" s="214" t="s">
        <v>361</v>
      </c>
      <c r="T1736" s="214" t="s">
        <v>365</v>
      </c>
      <c r="U1736" s="214"/>
    </row>
    <row r="1737">
      <c r="A1737" s="221">
        <v>45979.06848104167</v>
      </c>
      <c r="B1737" s="214" t="s">
        <v>249</v>
      </c>
      <c r="C1737" s="214" t="s">
        <v>111</v>
      </c>
      <c r="D1737" s="214">
        <v>5.0</v>
      </c>
      <c r="E1737" s="214">
        <v>5.0</v>
      </c>
      <c r="F1737" s="214" t="s">
        <v>1748</v>
      </c>
      <c r="G1737" s="214" t="s">
        <v>61</v>
      </c>
      <c r="H1737" s="214" t="s">
        <v>132</v>
      </c>
      <c r="I1737" s="214"/>
      <c r="J1737" s="222" t="s">
        <v>67</v>
      </c>
      <c r="K1737" s="222">
        <v>2.5</v>
      </c>
      <c r="L1737" s="222" t="s">
        <v>67</v>
      </c>
      <c r="M1737" s="222">
        <v>50.5</v>
      </c>
      <c r="N1737" s="214">
        <v>271.0</v>
      </c>
      <c r="O1737" s="214">
        <v>221.0</v>
      </c>
      <c r="P1737" s="214">
        <v>2.0</v>
      </c>
      <c r="Q1737" s="214" t="b">
        <v>0</v>
      </c>
      <c r="R1737" s="214">
        <v>100.0</v>
      </c>
      <c r="S1737" s="214" t="s">
        <v>317</v>
      </c>
      <c r="T1737" s="214" t="s">
        <v>321</v>
      </c>
      <c r="U1737" s="214"/>
    </row>
    <row r="1738">
      <c r="A1738" s="221">
        <v>45979.06848104167</v>
      </c>
      <c r="B1738" s="214" t="s">
        <v>249</v>
      </c>
      <c r="C1738" s="214" t="s">
        <v>167</v>
      </c>
      <c r="D1738" s="214">
        <v>5.0</v>
      </c>
      <c r="E1738" s="214">
        <v>5.0</v>
      </c>
      <c r="F1738" s="214" t="s">
        <v>1749</v>
      </c>
      <c r="G1738" s="214" t="s">
        <v>61</v>
      </c>
      <c r="H1738" s="214" t="s">
        <v>132</v>
      </c>
      <c r="I1738" s="214"/>
      <c r="J1738" s="222" t="s">
        <v>67</v>
      </c>
      <c r="K1738" s="222">
        <v>1.5</v>
      </c>
      <c r="L1738" s="222" t="s">
        <v>67</v>
      </c>
      <c r="M1738" s="222">
        <v>44.5</v>
      </c>
      <c r="N1738" s="214">
        <v>242.0</v>
      </c>
      <c r="O1738" s="214">
        <v>214.0</v>
      </c>
      <c r="P1738" s="214">
        <v>2.0</v>
      </c>
      <c r="Q1738" s="214" t="b">
        <v>1</v>
      </c>
      <c r="R1738" s="214">
        <v>100.0</v>
      </c>
      <c r="S1738" s="214" t="s">
        <v>530</v>
      </c>
      <c r="T1738" s="214" t="s">
        <v>365</v>
      </c>
      <c r="U1738" s="214"/>
    </row>
    <row r="1739">
      <c r="A1739" s="221">
        <v>45979.06848104167</v>
      </c>
      <c r="B1739" s="214"/>
      <c r="C1739" s="214"/>
      <c r="D1739" s="214"/>
      <c r="E1739" s="214"/>
      <c r="F1739" s="214"/>
      <c r="G1739" s="214"/>
      <c r="H1739" s="214"/>
      <c r="I1739" s="214"/>
      <c r="J1739" s="222"/>
      <c r="K1739" s="222"/>
      <c r="L1739" s="222"/>
      <c r="M1739" s="222"/>
      <c r="N1739" s="214"/>
      <c r="O1739" s="214"/>
      <c r="P1739" s="214"/>
      <c r="Q1739" s="214"/>
      <c r="R1739" s="214"/>
      <c r="S1739" s="214"/>
      <c r="T1739" s="214"/>
      <c r="U1739" s="214"/>
    </row>
    <row r="1740">
      <c r="A1740" s="221">
        <v>45979.06848104167</v>
      </c>
      <c r="B1740" s="214" t="s">
        <v>395</v>
      </c>
      <c r="C1740" s="214" t="s">
        <v>147</v>
      </c>
      <c r="D1740" s="214">
        <v>5.0</v>
      </c>
      <c r="E1740" s="214">
        <v>5.0</v>
      </c>
      <c r="F1740" s="214"/>
      <c r="G1740" s="214"/>
      <c r="H1740" s="214"/>
      <c r="I1740" s="214"/>
      <c r="J1740" s="222"/>
      <c r="K1740" s="222"/>
      <c r="L1740" s="222"/>
      <c r="M1740" s="222"/>
      <c r="N1740" s="214">
        <v>299.0</v>
      </c>
      <c r="O1740" s="214">
        <v>300.0</v>
      </c>
      <c r="P1740" s="214">
        <v>0.0</v>
      </c>
      <c r="Q1740" s="214" t="b">
        <v>1</v>
      </c>
      <c r="R1740" s="214">
        <v>59.0</v>
      </c>
      <c r="S1740" s="214" t="s">
        <v>407</v>
      </c>
      <c r="T1740" s="214" t="s">
        <v>321</v>
      </c>
      <c r="U1740" s="214"/>
    </row>
    <row r="1741">
      <c r="A1741" s="221">
        <v>45979.06848104167</v>
      </c>
      <c r="B1741" s="214" t="s">
        <v>395</v>
      </c>
      <c r="C1741" s="214" t="s">
        <v>225</v>
      </c>
      <c r="D1741" s="214">
        <v>5.0</v>
      </c>
      <c r="E1741" s="214">
        <v>4.0</v>
      </c>
      <c r="F1741" s="214"/>
      <c r="G1741" s="214"/>
      <c r="H1741" s="214"/>
      <c r="I1741" s="214"/>
      <c r="J1741" s="222"/>
      <c r="K1741" s="222"/>
      <c r="L1741" s="222"/>
      <c r="M1741" s="222"/>
      <c r="N1741" s="214">
        <v>201.0</v>
      </c>
      <c r="O1741" s="214">
        <v>198.0</v>
      </c>
      <c r="P1741" s="214">
        <v>0.0</v>
      </c>
      <c r="Q1741" s="214" t="b">
        <v>1</v>
      </c>
      <c r="R1741" s="214">
        <v>59.0</v>
      </c>
      <c r="S1741" s="214" t="s">
        <v>361</v>
      </c>
      <c r="T1741" s="214" t="s">
        <v>365</v>
      </c>
      <c r="U1741" s="214"/>
    </row>
    <row r="1742">
      <c r="A1742" s="221">
        <v>45979.06848104167</v>
      </c>
      <c r="B1742" s="214" t="s">
        <v>395</v>
      </c>
      <c r="C1742" s="214" t="s">
        <v>101</v>
      </c>
      <c r="D1742" s="214">
        <v>8.0</v>
      </c>
      <c r="E1742" s="214">
        <v>2.0</v>
      </c>
      <c r="F1742" s="214"/>
      <c r="G1742" s="214"/>
      <c r="H1742" s="214"/>
      <c r="I1742" s="214"/>
      <c r="J1742" s="222"/>
      <c r="K1742" s="222"/>
      <c r="L1742" s="222"/>
      <c r="M1742" s="222"/>
      <c r="N1742" s="214">
        <v>295.0</v>
      </c>
      <c r="O1742" s="214">
        <v>221.0</v>
      </c>
      <c r="P1742" s="214">
        <v>0.0</v>
      </c>
      <c r="Q1742" s="214" t="b">
        <v>1</v>
      </c>
      <c r="R1742" s="214">
        <v>59.0</v>
      </c>
      <c r="S1742" s="214" t="s">
        <v>471</v>
      </c>
      <c r="T1742" s="214" t="s">
        <v>321</v>
      </c>
      <c r="U1742" s="214"/>
    </row>
    <row r="1743">
      <c r="A1743" s="221">
        <v>45979.06848104167</v>
      </c>
      <c r="B1743" s="214" t="s">
        <v>395</v>
      </c>
      <c r="C1743" s="214" t="s">
        <v>213</v>
      </c>
      <c r="D1743" s="214">
        <v>8.0</v>
      </c>
      <c r="E1743" s="214">
        <v>2.0</v>
      </c>
      <c r="F1743" s="214"/>
      <c r="G1743" s="214"/>
      <c r="H1743" s="214"/>
      <c r="I1743" s="214"/>
      <c r="J1743" s="222"/>
      <c r="K1743" s="222"/>
      <c r="L1743" s="222"/>
      <c r="M1743" s="222"/>
      <c r="N1743" s="214">
        <v>383.0</v>
      </c>
      <c r="O1743" s="214">
        <v>222.0</v>
      </c>
      <c r="P1743" s="214">
        <v>0.0</v>
      </c>
      <c r="Q1743" s="214" t="b">
        <v>1</v>
      </c>
      <c r="R1743" s="214">
        <v>59.0</v>
      </c>
      <c r="S1743" s="214" t="s">
        <v>556</v>
      </c>
      <c r="T1743" s="214" t="s">
        <v>321</v>
      </c>
      <c r="U1743" s="214"/>
    </row>
    <row r="1744">
      <c r="A1744" s="221">
        <v>45979.06848104167</v>
      </c>
      <c r="B1744" s="214" t="s">
        <v>395</v>
      </c>
      <c r="C1744" s="214" t="s">
        <v>179</v>
      </c>
      <c r="D1744" s="214">
        <v>7.0</v>
      </c>
      <c r="E1744" s="214">
        <v>3.0</v>
      </c>
      <c r="F1744" s="214" t="s">
        <v>1750</v>
      </c>
      <c r="G1744" s="214" t="s">
        <v>61</v>
      </c>
      <c r="H1744" s="214" t="s">
        <v>132</v>
      </c>
      <c r="I1744" s="214"/>
      <c r="J1744" s="222" t="s">
        <v>67</v>
      </c>
      <c r="K1744" s="222">
        <v>-3.5</v>
      </c>
      <c r="L1744" s="222" t="s">
        <v>67</v>
      </c>
      <c r="M1744" s="222">
        <v>40.5</v>
      </c>
      <c r="N1744" s="214">
        <v>259.0</v>
      </c>
      <c r="O1744" s="214">
        <v>199.0</v>
      </c>
      <c r="P1744" s="214">
        <v>2.0</v>
      </c>
      <c r="Q1744" s="214" t="b">
        <v>0</v>
      </c>
      <c r="R1744" s="214">
        <v>100.0</v>
      </c>
      <c r="S1744" s="214" t="s">
        <v>525</v>
      </c>
      <c r="T1744" s="214" t="s">
        <v>365</v>
      </c>
      <c r="U1744" s="214"/>
    </row>
    <row r="1745">
      <c r="A1745" s="221">
        <v>45979.06848104167</v>
      </c>
      <c r="B1745" s="214" t="s">
        <v>395</v>
      </c>
      <c r="C1745" s="214" t="s">
        <v>231</v>
      </c>
      <c r="D1745" s="214">
        <v>9.0</v>
      </c>
      <c r="E1745" s="214">
        <v>1.0</v>
      </c>
      <c r="F1745" s="214" t="s">
        <v>1696</v>
      </c>
      <c r="G1745" s="214" t="s">
        <v>61</v>
      </c>
      <c r="H1745" s="214" t="s">
        <v>43</v>
      </c>
      <c r="I1745" s="214"/>
      <c r="J1745" s="222" t="s">
        <v>67</v>
      </c>
      <c r="K1745" s="222">
        <v>-21.0</v>
      </c>
      <c r="L1745" s="222" t="s">
        <v>67</v>
      </c>
      <c r="M1745" s="222">
        <v>52.5</v>
      </c>
      <c r="N1745" s="214">
        <v>371.0</v>
      </c>
      <c r="O1745" s="214">
        <v>162.0</v>
      </c>
      <c r="P1745" s="214">
        <v>2.0</v>
      </c>
      <c r="Q1745" s="214" t="b">
        <v>1</v>
      </c>
      <c r="R1745" s="214">
        <v>100.0</v>
      </c>
      <c r="S1745" s="214" t="s">
        <v>441</v>
      </c>
      <c r="T1745" s="214" t="s">
        <v>365</v>
      </c>
      <c r="U1745" s="214"/>
    </row>
    <row r="1746">
      <c r="A1746" s="221">
        <v>45979.06848104167</v>
      </c>
      <c r="B1746" s="214" t="s">
        <v>395</v>
      </c>
      <c r="C1746" s="214" t="s">
        <v>162</v>
      </c>
      <c r="D1746" s="214">
        <v>8.0</v>
      </c>
      <c r="E1746" s="214">
        <v>2.0</v>
      </c>
      <c r="F1746" s="214" t="s">
        <v>1735</v>
      </c>
      <c r="G1746" s="214" t="s">
        <v>61</v>
      </c>
      <c r="H1746" s="214" t="s">
        <v>96</v>
      </c>
      <c r="I1746" s="214"/>
      <c r="J1746" s="222" t="s">
        <v>67</v>
      </c>
      <c r="K1746" s="222">
        <v>-13.5</v>
      </c>
      <c r="L1746" s="222" t="s">
        <v>67</v>
      </c>
      <c r="M1746" s="222">
        <v>54.5</v>
      </c>
      <c r="N1746" s="214">
        <v>313.0</v>
      </c>
      <c r="O1746" s="214">
        <v>231.0</v>
      </c>
      <c r="P1746" s="214">
        <v>2.0</v>
      </c>
      <c r="Q1746" s="214" t="b">
        <v>1</v>
      </c>
      <c r="R1746" s="214">
        <v>100.0</v>
      </c>
      <c r="S1746" s="214" t="s">
        <v>535</v>
      </c>
      <c r="T1746" s="214" t="s">
        <v>365</v>
      </c>
      <c r="U1746" s="214"/>
    </row>
    <row r="1747">
      <c r="A1747" s="221">
        <v>45979.06848104167</v>
      </c>
      <c r="B1747" s="214" t="s">
        <v>395</v>
      </c>
      <c r="C1747" s="214" t="s">
        <v>114</v>
      </c>
      <c r="D1747" s="214">
        <v>9.0</v>
      </c>
      <c r="E1747" s="214">
        <v>1.0</v>
      </c>
      <c r="F1747" s="214" t="s">
        <v>1751</v>
      </c>
      <c r="G1747" s="214" t="s">
        <v>61</v>
      </c>
      <c r="H1747" s="214" t="s">
        <v>493</v>
      </c>
      <c r="I1747" s="214"/>
      <c r="J1747" s="222" t="s">
        <v>67</v>
      </c>
      <c r="K1747" s="222">
        <v>-16.5</v>
      </c>
      <c r="L1747" s="222" t="s">
        <v>67</v>
      </c>
      <c r="M1747" s="222">
        <v>59.5</v>
      </c>
      <c r="N1747" s="214">
        <v>360.0</v>
      </c>
      <c r="O1747" s="214">
        <v>242.0</v>
      </c>
      <c r="P1747" s="214">
        <v>2.0</v>
      </c>
      <c r="Q1747" s="214" t="b">
        <v>1</v>
      </c>
      <c r="R1747" s="214">
        <v>100.0</v>
      </c>
      <c r="S1747" s="214" t="s">
        <v>317</v>
      </c>
      <c r="T1747" s="214" t="s">
        <v>321</v>
      </c>
      <c r="U1747" s="214"/>
    </row>
    <row r="1748">
      <c r="A1748" s="221">
        <v>45979.06848104167</v>
      </c>
      <c r="B1748" s="214" t="s">
        <v>395</v>
      </c>
      <c r="C1748" s="214" t="s">
        <v>99</v>
      </c>
      <c r="D1748" s="214">
        <v>8.0</v>
      </c>
      <c r="E1748" s="214">
        <v>3.0</v>
      </c>
      <c r="F1748" s="214" t="s">
        <v>1700</v>
      </c>
      <c r="G1748" s="214" t="s">
        <v>61</v>
      </c>
      <c r="H1748" s="214" t="s">
        <v>43</v>
      </c>
      <c r="I1748" s="214"/>
      <c r="J1748" s="222" t="s">
        <v>67</v>
      </c>
      <c r="K1748" s="222">
        <v>-7.5</v>
      </c>
      <c r="L1748" s="222" t="s">
        <v>67</v>
      </c>
      <c r="M1748" s="222">
        <v>63.5</v>
      </c>
      <c r="N1748" s="214">
        <v>385.0</v>
      </c>
      <c r="O1748" s="214">
        <v>256.0</v>
      </c>
      <c r="P1748" s="214">
        <v>2.0</v>
      </c>
      <c r="Q1748" s="214" t="b">
        <v>0</v>
      </c>
      <c r="R1748" s="214">
        <v>100.0</v>
      </c>
      <c r="S1748" s="214" t="s">
        <v>725</v>
      </c>
      <c r="T1748" s="214"/>
      <c r="U1748" s="214"/>
    </row>
    <row r="1749">
      <c r="A1749" s="221">
        <v>45979.06848104167</v>
      </c>
      <c r="B1749" s="214" t="s">
        <v>395</v>
      </c>
      <c r="C1749" s="214" t="s">
        <v>175</v>
      </c>
      <c r="D1749" s="214">
        <v>6.0</v>
      </c>
      <c r="E1749" s="214">
        <v>4.0</v>
      </c>
      <c r="F1749" s="214" t="s">
        <v>1738</v>
      </c>
      <c r="G1749" s="214" t="s">
        <v>61</v>
      </c>
      <c r="H1749" s="214" t="s">
        <v>96</v>
      </c>
      <c r="I1749" s="214"/>
      <c r="J1749" s="222" t="s">
        <v>67</v>
      </c>
      <c r="K1749" s="222">
        <v>1.5</v>
      </c>
      <c r="L1749" s="222" t="s">
        <v>67</v>
      </c>
      <c r="M1749" s="222">
        <v>46.5</v>
      </c>
      <c r="N1749" s="214">
        <v>218.0</v>
      </c>
      <c r="O1749" s="214">
        <v>184.0</v>
      </c>
      <c r="P1749" s="214">
        <v>2.0</v>
      </c>
      <c r="Q1749" s="214" t="b">
        <v>0</v>
      </c>
      <c r="R1749" s="214">
        <v>100.0</v>
      </c>
      <c r="S1749" s="214" t="s">
        <v>530</v>
      </c>
      <c r="T1749" s="214" t="s">
        <v>365</v>
      </c>
      <c r="U1749" s="214"/>
    </row>
    <row r="1750">
      <c r="A1750" s="221">
        <v>45979.06848104167</v>
      </c>
      <c r="B1750" s="214"/>
      <c r="C1750" s="214"/>
      <c r="D1750" s="214"/>
      <c r="E1750" s="214"/>
      <c r="F1750" s="214"/>
      <c r="G1750" s="214"/>
      <c r="H1750" s="214"/>
      <c r="I1750" s="214"/>
      <c r="J1750" s="222"/>
      <c r="K1750" s="222"/>
      <c r="L1750" s="222"/>
      <c r="M1750" s="222"/>
      <c r="N1750" s="214"/>
      <c r="O1750" s="214"/>
      <c r="P1750" s="214"/>
      <c r="Q1750" s="214"/>
      <c r="R1750" s="214"/>
      <c r="S1750" s="214"/>
      <c r="T1750" s="214"/>
      <c r="U1750" s="214"/>
    </row>
    <row r="1751">
      <c r="A1751" s="221">
        <v>45979.06848104167</v>
      </c>
      <c r="B1751" s="214" t="s">
        <v>132</v>
      </c>
      <c r="C1751" s="214" t="s">
        <v>215</v>
      </c>
      <c r="D1751" s="214">
        <v>5.0</v>
      </c>
      <c r="E1751" s="214">
        <v>5.0</v>
      </c>
      <c r="F1751" s="214"/>
      <c r="G1751" s="214"/>
      <c r="H1751" s="214"/>
      <c r="I1751" s="214"/>
      <c r="J1751" s="222"/>
      <c r="K1751" s="222"/>
      <c r="L1751" s="222"/>
      <c r="M1751" s="222"/>
      <c r="N1751" s="214">
        <v>233.0</v>
      </c>
      <c r="O1751" s="214">
        <v>265.0</v>
      </c>
      <c r="P1751" s="214">
        <v>0.0</v>
      </c>
      <c r="Q1751" s="214" t="b">
        <v>1</v>
      </c>
      <c r="R1751" s="214">
        <v>59.0</v>
      </c>
      <c r="S1751" s="214" t="s">
        <v>441</v>
      </c>
      <c r="T1751" s="214" t="s">
        <v>365</v>
      </c>
      <c r="U1751" s="214"/>
    </row>
    <row r="1752">
      <c r="A1752" s="221">
        <v>45979.06848104167</v>
      </c>
      <c r="B1752" s="214" t="s">
        <v>132</v>
      </c>
      <c r="C1752" s="214" t="s">
        <v>187</v>
      </c>
      <c r="D1752" s="214">
        <v>4.0</v>
      </c>
      <c r="E1752" s="214">
        <v>6.0</v>
      </c>
      <c r="F1752" s="214" t="s">
        <v>1750</v>
      </c>
      <c r="G1752" s="214" t="s">
        <v>61</v>
      </c>
      <c r="H1752" s="214" t="s">
        <v>395</v>
      </c>
      <c r="I1752" s="214"/>
      <c r="J1752" s="222" t="s">
        <v>67</v>
      </c>
      <c r="K1752" s="222">
        <v>3.5</v>
      </c>
      <c r="L1752" s="222" t="s">
        <v>67</v>
      </c>
      <c r="M1752" s="222">
        <v>40.5</v>
      </c>
      <c r="N1752" s="214">
        <v>178.0</v>
      </c>
      <c r="O1752" s="214">
        <v>206.0</v>
      </c>
      <c r="P1752" s="214">
        <v>2.0</v>
      </c>
      <c r="Q1752" s="214" t="b">
        <v>1</v>
      </c>
      <c r="R1752" s="214">
        <v>100.0</v>
      </c>
      <c r="S1752" s="214" t="s">
        <v>525</v>
      </c>
      <c r="T1752" s="214" t="s">
        <v>365</v>
      </c>
      <c r="U1752" s="214"/>
    </row>
    <row r="1753">
      <c r="A1753" s="221">
        <v>45979.06848104167</v>
      </c>
      <c r="B1753" s="214" t="s">
        <v>132</v>
      </c>
      <c r="C1753" s="214" t="s">
        <v>131</v>
      </c>
      <c r="D1753" s="214">
        <v>7.0</v>
      </c>
      <c r="E1753" s="214">
        <v>3.0</v>
      </c>
      <c r="F1753" s="214" t="s">
        <v>1734</v>
      </c>
      <c r="G1753" s="214" t="s">
        <v>61</v>
      </c>
      <c r="H1753" s="214" t="s">
        <v>96</v>
      </c>
      <c r="I1753" s="214"/>
      <c r="J1753" s="222" t="s">
        <v>67</v>
      </c>
      <c r="K1753" s="222">
        <v>6.5</v>
      </c>
      <c r="L1753" s="222" t="s">
        <v>67</v>
      </c>
      <c r="M1753" s="222">
        <v>49.5</v>
      </c>
      <c r="N1753" s="214">
        <v>276.0</v>
      </c>
      <c r="O1753" s="214">
        <v>183.0</v>
      </c>
      <c r="P1753" s="214">
        <v>2.0</v>
      </c>
      <c r="Q1753" s="214" t="b">
        <v>0</v>
      </c>
      <c r="R1753" s="214">
        <v>100.0</v>
      </c>
      <c r="S1753" s="214" t="s">
        <v>556</v>
      </c>
      <c r="T1753" s="214" t="s">
        <v>321</v>
      </c>
      <c r="U1753" s="214"/>
    </row>
    <row r="1754">
      <c r="A1754" s="221">
        <v>45979.06848104167</v>
      </c>
      <c r="B1754" s="214" t="s">
        <v>132</v>
      </c>
      <c r="C1754" s="214" t="s">
        <v>107</v>
      </c>
      <c r="D1754" s="214">
        <v>8.0</v>
      </c>
      <c r="E1754" s="214">
        <v>2.0</v>
      </c>
      <c r="F1754" s="214" t="s">
        <v>1719</v>
      </c>
      <c r="G1754" s="214" t="s">
        <v>61</v>
      </c>
      <c r="H1754" s="214" t="s">
        <v>193</v>
      </c>
      <c r="I1754" s="214"/>
      <c r="J1754" s="222" t="s">
        <v>67</v>
      </c>
      <c r="K1754" s="222">
        <v>-17.5</v>
      </c>
      <c r="L1754" s="222" t="s">
        <v>67</v>
      </c>
      <c r="M1754" s="222">
        <v>62.5</v>
      </c>
      <c r="N1754" s="214">
        <v>280.0</v>
      </c>
      <c r="O1754" s="214">
        <v>260.0</v>
      </c>
      <c r="P1754" s="214">
        <v>2.0</v>
      </c>
      <c r="Q1754" s="214" t="b">
        <v>1</v>
      </c>
      <c r="R1754" s="214">
        <v>100.0</v>
      </c>
      <c r="S1754" s="214" t="s">
        <v>361</v>
      </c>
      <c r="T1754" s="214" t="s">
        <v>365</v>
      </c>
      <c r="U1754" s="214"/>
    </row>
    <row r="1755">
      <c r="A1755" s="221">
        <v>45979.06848104167</v>
      </c>
      <c r="B1755" s="214" t="s">
        <v>132</v>
      </c>
      <c r="C1755" s="214" t="s">
        <v>134</v>
      </c>
      <c r="D1755" s="214">
        <v>4.0</v>
      </c>
      <c r="E1755" s="214">
        <v>7.0</v>
      </c>
      <c r="F1755" s="214" t="s">
        <v>1699</v>
      </c>
      <c r="G1755" s="214" t="s">
        <v>61</v>
      </c>
      <c r="H1755" s="214" t="s">
        <v>43</v>
      </c>
      <c r="I1755" s="214"/>
      <c r="J1755" s="222" t="s">
        <v>67</v>
      </c>
      <c r="K1755" s="222">
        <v>11.5</v>
      </c>
      <c r="L1755" s="222" t="s">
        <v>67</v>
      </c>
      <c r="M1755" s="222">
        <v>47.5</v>
      </c>
      <c r="N1755" s="214">
        <v>261.0</v>
      </c>
      <c r="O1755" s="214">
        <v>321.0</v>
      </c>
      <c r="P1755" s="214">
        <v>2.0</v>
      </c>
      <c r="Q1755" s="214" t="b">
        <v>1</v>
      </c>
      <c r="R1755" s="214">
        <v>100.0</v>
      </c>
      <c r="S1755" s="214" t="s">
        <v>471</v>
      </c>
      <c r="T1755" s="214" t="s">
        <v>321</v>
      </c>
      <c r="U1755" s="214"/>
    </row>
    <row r="1756">
      <c r="A1756" s="221">
        <v>45979.06848104167</v>
      </c>
      <c r="B1756" s="214" t="s">
        <v>132</v>
      </c>
      <c r="C1756" s="214" t="s">
        <v>210</v>
      </c>
      <c r="D1756" s="214">
        <v>3.0</v>
      </c>
      <c r="E1756" s="214">
        <v>7.0</v>
      </c>
      <c r="F1756" s="214" t="s">
        <v>1741</v>
      </c>
      <c r="G1756" s="214" t="s">
        <v>61</v>
      </c>
      <c r="H1756" s="214" t="s">
        <v>238</v>
      </c>
      <c r="I1756" s="214"/>
      <c r="J1756" s="222" t="s">
        <v>67</v>
      </c>
      <c r="K1756" s="222">
        <v>18.5</v>
      </c>
      <c r="L1756" s="222" t="s">
        <v>67</v>
      </c>
      <c r="M1756" s="222">
        <v>49.5</v>
      </c>
      <c r="N1756" s="214">
        <v>207.0</v>
      </c>
      <c r="O1756" s="214">
        <v>230.0</v>
      </c>
      <c r="P1756" s="214">
        <v>2.0</v>
      </c>
      <c r="Q1756" s="214" t="b">
        <v>1</v>
      </c>
      <c r="R1756" s="214">
        <v>100.0</v>
      </c>
      <c r="S1756" s="214" t="s">
        <v>556</v>
      </c>
      <c r="T1756" s="214" t="s">
        <v>321</v>
      </c>
      <c r="U1756" s="214"/>
    </row>
    <row r="1757">
      <c r="A1757" s="221">
        <v>45979.06848104167</v>
      </c>
      <c r="B1757" s="214" t="s">
        <v>132</v>
      </c>
      <c r="C1757" s="214" t="s">
        <v>136</v>
      </c>
      <c r="D1757" s="214">
        <v>11.0</v>
      </c>
      <c r="E1757" s="214">
        <v>0.0</v>
      </c>
      <c r="F1757" s="214" t="s">
        <v>1743</v>
      </c>
      <c r="G1757" s="214" t="s">
        <v>61</v>
      </c>
      <c r="H1757" s="214" t="s">
        <v>238</v>
      </c>
      <c r="I1757" s="214"/>
      <c r="J1757" s="222" t="s">
        <v>67</v>
      </c>
      <c r="K1757" s="222">
        <v>-29.5</v>
      </c>
      <c r="L1757" s="222" t="s">
        <v>67</v>
      </c>
      <c r="M1757" s="222">
        <v>43.5</v>
      </c>
      <c r="N1757" s="214">
        <v>476.0</v>
      </c>
      <c r="O1757" s="214">
        <v>128.0</v>
      </c>
      <c r="P1757" s="214">
        <v>2.0</v>
      </c>
      <c r="Q1757" s="214" t="b">
        <v>1</v>
      </c>
      <c r="R1757" s="214">
        <v>100.0</v>
      </c>
      <c r="S1757" s="214" t="s">
        <v>407</v>
      </c>
      <c r="T1757" s="214" t="s">
        <v>321</v>
      </c>
      <c r="U1757" s="214"/>
    </row>
    <row r="1758">
      <c r="A1758" s="221">
        <v>45979.06848104167</v>
      </c>
      <c r="B1758" s="214" t="s">
        <v>132</v>
      </c>
      <c r="C1758" s="214" t="s">
        <v>115</v>
      </c>
      <c r="D1758" s="214">
        <v>7.0</v>
      </c>
      <c r="E1758" s="214">
        <v>3.0</v>
      </c>
      <c r="F1758" s="214" t="s">
        <v>1748</v>
      </c>
      <c r="G1758" s="214" t="s">
        <v>61</v>
      </c>
      <c r="H1758" s="214" t="s">
        <v>249</v>
      </c>
      <c r="I1758" s="214"/>
      <c r="J1758" s="222" t="s">
        <v>67</v>
      </c>
      <c r="K1758" s="222">
        <v>-2.5</v>
      </c>
      <c r="L1758" s="222" t="s">
        <v>67</v>
      </c>
      <c r="M1758" s="222">
        <v>50.5</v>
      </c>
      <c r="N1758" s="214">
        <v>315.0</v>
      </c>
      <c r="O1758" s="214">
        <v>215.0</v>
      </c>
      <c r="P1758" s="214">
        <v>2.0</v>
      </c>
      <c r="Q1758" s="214" t="b">
        <v>1</v>
      </c>
      <c r="R1758" s="214">
        <v>100.0</v>
      </c>
      <c r="S1758" s="214" t="s">
        <v>317</v>
      </c>
      <c r="T1758" s="214" t="s">
        <v>321</v>
      </c>
      <c r="U1758" s="214"/>
    </row>
    <row r="1759">
      <c r="A1759" s="221">
        <v>45979.06848104167</v>
      </c>
      <c r="B1759" s="214" t="s">
        <v>132</v>
      </c>
      <c r="C1759" s="214" t="s">
        <v>168</v>
      </c>
      <c r="D1759" s="214">
        <v>6.0</v>
      </c>
      <c r="E1759" s="214">
        <v>4.0</v>
      </c>
      <c r="F1759" s="214" t="s">
        <v>1749</v>
      </c>
      <c r="G1759" s="214" t="s">
        <v>61</v>
      </c>
      <c r="H1759" s="214" t="s">
        <v>249</v>
      </c>
      <c r="I1759" s="214"/>
      <c r="J1759" s="222" t="s">
        <v>67</v>
      </c>
      <c r="K1759" s="222">
        <v>-1.5</v>
      </c>
      <c r="L1759" s="222" t="s">
        <v>67</v>
      </c>
      <c r="M1759" s="222">
        <v>44.5</v>
      </c>
      <c r="N1759" s="214">
        <v>255.0</v>
      </c>
      <c r="O1759" s="214">
        <v>235.0</v>
      </c>
      <c r="P1759" s="214">
        <v>2.0</v>
      </c>
      <c r="Q1759" s="214" t="b">
        <v>0</v>
      </c>
      <c r="R1759" s="214">
        <v>100.0</v>
      </c>
      <c r="S1759" s="214" t="s">
        <v>530</v>
      </c>
      <c r="T1759" s="214" t="s">
        <v>365</v>
      </c>
      <c r="U1759" s="214"/>
    </row>
    <row r="1760">
      <c r="A1760" s="221">
        <v>45979.06848104167</v>
      </c>
      <c r="B1760" s="214" t="s">
        <v>132</v>
      </c>
      <c r="C1760" s="214" t="s">
        <v>545</v>
      </c>
      <c r="D1760" s="214">
        <v>5.0</v>
      </c>
      <c r="E1760" s="214">
        <v>5.0</v>
      </c>
      <c r="F1760" s="214" t="s">
        <v>1718</v>
      </c>
      <c r="G1760" s="214" t="s">
        <v>532</v>
      </c>
      <c r="H1760" s="214" t="s">
        <v>62</v>
      </c>
      <c r="I1760" s="214"/>
      <c r="J1760" s="222" t="s">
        <v>67</v>
      </c>
      <c r="K1760" s="222">
        <v>2.5</v>
      </c>
      <c r="L1760" s="222" t="s">
        <v>67</v>
      </c>
      <c r="M1760" s="222">
        <v>51.5</v>
      </c>
      <c r="N1760" s="214">
        <v>268.0</v>
      </c>
      <c r="O1760" s="214">
        <v>296.0</v>
      </c>
      <c r="P1760" s="214">
        <v>2.0</v>
      </c>
      <c r="Q1760" s="214" t="b">
        <v>1</v>
      </c>
      <c r="R1760" s="214">
        <v>100.0</v>
      </c>
      <c r="S1760" s="214" t="s">
        <v>535</v>
      </c>
      <c r="T1760" s="214" t="s">
        <v>365</v>
      </c>
      <c r="U1760" s="214"/>
    </row>
    <row r="1761">
      <c r="A1761" s="221">
        <v>45979.06848104167</v>
      </c>
      <c r="B1761" s="214"/>
      <c r="C1761" s="214"/>
      <c r="D1761" s="214"/>
      <c r="E1761" s="214"/>
      <c r="F1761" s="214"/>
      <c r="G1761" s="214"/>
      <c r="H1761" s="214"/>
      <c r="I1761" s="214"/>
      <c r="J1761" s="222"/>
      <c r="K1761" s="222"/>
      <c r="L1761" s="222"/>
      <c r="M1761" s="222"/>
      <c r="N1761" s="214"/>
      <c r="O1761" s="214"/>
      <c r="P1761" s="214"/>
      <c r="Q1761" s="214"/>
      <c r="R1761" s="214"/>
      <c r="S1761" s="214"/>
      <c r="T1761" s="214"/>
      <c r="U1761" s="214"/>
    </row>
    <row r="1762">
      <c r="A1762" s="221">
        <v>45979.06848104167</v>
      </c>
      <c r="B1762" s="214" t="s">
        <v>493</v>
      </c>
      <c r="C1762" s="214" t="s">
        <v>195</v>
      </c>
      <c r="D1762" s="214">
        <v>3.0</v>
      </c>
      <c r="E1762" s="214">
        <v>7.0</v>
      </c>
      <c r="F1762" s="214"/>
      <c r="G1762" s="214"/>
      <c r="H1762" s="214"/>
      <c r="I1762" s="214"/>
      <c r="J1762" s="222"/>
      <c r="K1762" s="222"/>
      <c r="L1762" s="222"/>
      <c r="M1762" s="222"/>
      <c r="N1762" s="214">
        <v>175.0</v>
      </c>
      <c r="O1762" s="214">
        <v>291.0</v>
      </c>
      <c r="P1762" s="214">
        <v>0.0</v>
      </c>
      <c r="Q1762" s="214" t="b">
        <v>1</v>
      </c>
      <c r="R1762" s="214">
        <v>59.0</v>
      </c>
      <c r="S1762" s="214" t="s">
        <v>317</v>
      </c>
      <c r="T1762" s="214" t="s">
        <v>321</v>
      </c>
      <c r="U1762" s="214"/>
    </row>
    <row r="1763">
      <c r="A1763" s="221">
        <v>45979.06848104167</v>
      </c>
      <c r="B1763" s="214" t="s">
        <v>493</v>
      </c>
      <c r="C1763" s="214" t="s">
        <v>120</v>
      </c>
      <c r="D1763" s="214">
        <v>3.0</v>
      </c>
      <c r="E1763" s="214">
        <v>7.0</v>
      </c>
      <c r="F1763" s="214"/>
      <c r="G1763" s="214"/>
      <c r="H1763" s="214"/>
      <c r="I1763" s="214"/>
      <c r="J1763" s="222"/>
      <c r="K1763" s="222"/>
      <c r="L1763" s="222"/>
      <c r="M1763" s="222"/>
      <c r="N1763" s="214">
        <v>223.0</v>
      </c>
      <c r="O1763" s="214">
        <v>315.0</v>
      </c>
      <c r="P1763" s="214">
        <v>0.0</v>
      </c>
      <c r="Q1763" s="214" t="b">
        <v>1</v>
      </c>
      <c r="R1763" s="214">
        <v>59.0</v>
      </c>
      <c r="S1763" s="214" t="s">
        <v>317</v>
      </c>
      <c r="T1763" s="214" t="s">
        <v>321</v>
      </c>
      <c r="U1763" s="214"/>
    </row>
    <row r="1764">
      <c r="A1764" s="221">
        <v>45979.06848104167</v>
      </c>
      <c r="B1764" s="214" t="s">
        <v>493</v>
      </c>
      <c r="C1764" s="214" t="s">
        <v>106</v>
      </c>
      <c r="D1764" s="214">
        <v>5.0</v>
      </c>
      <c r="E1764" s="214">
        <v>5.0</v>
      </c>
      <c r="F1764" s="214"/>
      <c r="G1764" s="214"/>
      <c r="H1764" s="214"/>
      <c r="I1764" s="214"/>
      <c r="J1764" s="222"/>
      <c r="K1764" s="222"/>
      <c r="L1764" s="222"/>
      <c r="M1764" s="222"/>
      <c r="N1764" s="214">
        <v>296.0</v>
      </c>
      <c r="O1764" s="214">
        <v>267.0</v>
      </c>
      <c r="P1764" s="214">
        <v>0.0</v>
      </c>
      <c r="Q1764" s="214" t="b">
        <v>1</v>
      </c>
      <c r="R1764" s="214">
        <v>59.0</v>
      </c>
      <c r="S1764" s="214" t="s">
        <v>361</v>
      </c>
      <c r="T1764" s="214" t="s">
        <v>365</v>
      </c>
      <c r="U1764" s="214"/>
    </row>
    <row r="1765">
      <c r="A1765" s="221">
        <v>45979.06848104167</v>
      </c>
      <c r="B1765" s="214" t="s">
        <v>493</v>
      </c>
      <c r="C1765" s="214" t="s">
        <v>146</v>
      </c>
      <c r="D1765" s="214">
        <v>2.0</v>
      </c>
      <c r="E1765" s="214">
        <v>9.0</v>
      </c>
      <c r="F1765" s="214" t="s">
        <v>1713</v>
      </c>
      <c r="G1765" s="214" t="s">
        <v>61</v>
      </c>
      <c r="H1765" s="214" t="s">
        <v>62</v>
      </c>
      <c r="I1765" s="214"/>
      <c r="J1765" s="222" t="s">
        <v>67</v>
      </c>
      <c r="K1765" s="222">
        <v>16.5</v>
      </c>
      <c r="L1765" s="222" t="s">
        <v>67</v>
      </c>
      <c r="M1765" s="222">
        <v>51.5</v>
      </c>
      <c r="N1765" s="214">
        <v>222.0</v>
      </c>
      <c r="O1765" s="214">
        <v>326.0</v>
      </c>
      <c r="P1765" s="214">
        <v>2.0</v>
      </c>
      <c r="Q1765" s="214" t="b">
        <v>0</v>
      </c>
      <c r="R1765" s="214">
        <v>100.0</v>
      </c>
      <c r="S1765" s="214" t="s">
        <v>407</v>
      </c>
      <c r="T1765" s="214" t="s">
        <v>321</v>
      </c>
      <c r="U1765" s="214"/>
    </row>
    <row r="1766">
      <c r="A1766" s="221">
        <v>45979.06848104167</v>
      </c>
      <c r="B1766" s="214" t="s">
        <v>493</v>
      </c>
      <c r="C1766" s="214" t="s">
        <v>123</v>
      </c>
      <c r="D1766" s="214">
        <v>7.0</v>
      </c>
      <c r="E1766" s="214">
        <v>3.0</v>
      </c>
      <c r="F1766" s="214" t="s">
        <v>1694</v>
      </c>
      <c r="G1766" s="214" t="s">
        <v>61</v>
      </c>
      <c r="H1766" s="214" t="s">
        <v>43</v>
      </c>
      <c r="I1766" s="214"/>
      <c r="J1766" s="222" t="s">
        <v>67</v>
      </c>
      <c r="K1766" s="222">
        <v>-5.5</v>
      </c>
      <c r="L1766" s="222" t="s">
        <v>67</v>
      </c>
      <c r="M1766" s="222">
        <v>39.5</v>
      </c>
      <c r="N1766" s="214">
        <v>238.0</v>
      </c>
      <c r="O1766" s="214">
        <v>195.0</v>
      </c>
      <c r="P1766" s="214">
        <v>2.0</v>
      </c>
      <c r="Q1766" s="214" t="b">
        <v>1</v>
      </c>
      <c r="R1766" s="214">
        <v>100.0</v>
      </c>
      <c r="S1766" s="214" t="s">
        <v>317</v>
      </c>
      <c r="T1766" s="214" t="s">
        <v>321</v>
      </c>
      <c r="U1766" s="214"/>
    </row>
    <row r="1767">
      <c r="A1767" s="221">
        <v>45979.06848104167</v>
      </c>
      <c r="B1767" s="214" t="s">
        <v>493</v>
      </c>
      <c r="C1767" s="214" t="s">
        <v>110</v>
      </c>
      <c r="D1767" s="214">
        <v>1.0</v>
      </c>
      <c r="E1767" s="214">
        <v>10.0</v>
      </c>
      <c r="F1767" s="214" t="s">
        <v>1751</v>
      </c>
      <c r="G1767" s="214" t="s">
        <v>61</v>
      </c>
      <c r="H1767" s="214" t="s">
        <v>395</v>
      </c>
      <c r="I1767" s="214"/>
      <c r="J1767" s="222" t="s">
        <v>67</v>
      </c>
      <c r="K1767" s="222">
        <v>16.5</v>
      </c>
      <c r="L1767" s="222" t="s">
        <v>67</v>
      </c>
      <c r="M1767" s="222">
        <v>59.5</v>
      </c>
      <c r="N1767" s="214">
        <v>271.0</v>
      </c>
      <c r="O1767" s="214">
        <v>381.0</v>
      </c>
      <c r="P1767" s="214">
        <v>2.0</v>
      </c>
      <c r="Q1767" s="214" t="b">
        <v>0</v>
      </c>
      <c r="R1767" s="214">
        <v>100.0</v>
      </c>
      <c r="S1767" s="214" t="s">
        <v>317</v>
      </c>
      <c r="T1767" s="214" t="s">
        <v>321</v>
      </c>
      <c r="U1767" s="214"/>
    </row>
    <row r="1768">
      <c r="A1768" s="221">
        <v>45979.06848104167</v>
      </c>
      <c r="B1768" s="214" t="s">
        <v>493</v>
      </c>
      <c r="C1768" s="214" t="s">
        <v>138</v>
      </c>
      <c r="D1768" s="214">
        <v>4.0</v>
      </c>
      <c r="E1768" s="214">
        <v>6.0</v>
      </c>
      <c r="F1768" s="214" t="s">
        <v>1746</v>
      </c>
      <c r="G1768" s="214" t="s">
        <v>61</v>
      </c>
      <c r="H1768" s="214" t="s">
        <v>156</v>
      </c>
      <c r="I1768" s="214"/>
      <c r="J1768" s="222" t="s">
        <v>67</v>
      </c>
      <c r="K1768" s="222">
        <v>15.5</v>
      </c>
      <c r="L1768" s="222" t="s">
        <v>67</v>
      </c>
      <c r="M1768" s="222">
        <v>51.5</v>
      </c>
      <c r="N1768" s="214">
        <v>234.0</v>
      </c>
      <c r="O1768" s="214">
        <v>235.0</v>
      </c>
      <c r="P1768" s="214">
        <v>2.0</v>
      </c>
      <c r="Q1768" s="214" t="b">
        <v>0</v>
      </c>
      <c r="R1768" s="214">
        <v>100.0</v>
      </c>
      <c r="S1768" s="214" t="s">
        <v>407</v>
      </c>
      <c r="T1768" s="214" t="s">
        <v>321</v>
      </c>
      <c r="U1768" s="214"/>
    </row>
    <row r="1769">
      <c r="A1769" s="221">
        <v>45979.06848104167</v>
      </c>
      <c r="B1769" s="214" t="s">
        <v>493</v>
      </c>
      <c r="C1769" s="214" t="s">
        <v>108</v>
      </c>
      <c r="D1769" s="214">
        <v>3.0</v>
      </c>
      <c r="E1769" s="214">
        <v>7.0</v>
      </c>
      <c r="F1769" s="214" t="s">
        <v>1721</v>
      </c>
      <c r="G1769" s="214" t="s">
        <v>61</v>
      </c>
      <c r="H1769" s="214" t="s">
        <v>193</v>
      </c>
      <c r="I1769" s="214"/>
      <c r="J1769" s="222" t="s">
        <v>67</v>
      </c>
      <c r="K1769" s="222">
        <v>2.5</v>
      </c>
      <c r="L1769" s="222" t="s">
        <v>67</v>
      </c>
      <c r="M1769" s="222">
        <v>50.5</v>
      </c>
      <c r="N1769" s="214">
        <v>228.0</v>
      </c>
      <c r="O1769" s="214">
        <v>291.0</v>
      </c>
      <c r="P1769" s="214">
        <v>2.0</v>
      </c>
      <c r="Q1769" s="214" t="b">
        <v>1</v>
      </c>
      <c r="R1769" s="214">
        <v>100.0</v>
      </c>
      <c r="S1769" s="214" t="s">
        <v>361</v>
      </c>
      <c r="T1769" s="214" t="s">
        <v>365</v>
      </c>
      <c r="U1769" s="214"/>
    </row>
    <row r="1770">
      <c r="A1770" s="221">
        <v>45979.06848104167</v>
      </c>
      <c r="B1770" s="214" t="s">
        <v>493</v>
      </c>
      <c r="C1770" s="214" t="s">
        <v>143</v>
      </c>
      <c r="D1770" s="214">
        <v>5.0</v>
      </c>
      <c r="E1770" s="214">
        <v>5.0</v>
      </c>
      <c r="F1770" s="214" t="s">
        <v>1727</v>
      </c>
      <c r="G1770" s="214" t="s">
        <v>61</v>
      </c>
      <c r="H1770" s="214" t="s">
        <v>311</v>
      </c>
      <c r="I1770" s="214"/>
      <c r="J1770" s="222" t="s">
        <v>67</v>
      </c>
      <c r="K1770" s="222">
        <v>10.5</v>
      </c>
      <c r="L1770" s="222" t="s">
        <v>67</v>
      </c>
      <c r="M1770" s="222">
        <v>41.5</v>
      </c>
      <c r="N1770" s="214">
        <v>219.0</v>
      </c>
      <c r="O1770" s="214">
        <v>196.0</v>
      </c>
      <c r="P1770" s="214">
        <v>2.0</v>
      </c>
      <c r="Q1770" s="214" t="b">
        <v>0</v>
      </c>
      <c r="R1770" s="214">
        <v>100.0</v>
      </c>
      <c r="S1770" s="214" t="s">
        <v>407</v>
      </c>
      <c r="T1770" s="214" t="s">
        <v>321</v>
      </c>
      <c r="U1770" s="214"/>
    </row>
    <row r="1771">
      <c r="A1771" s="221">
        <v>45979.06848104167</v>
      </c>
      <c r="B1771" s="214" t="s">
        <v>493</v>
      </c>
      <c r="C1771" s="214" t="s">
        <v>188</v>
      </c>
      <c r="D1771" s="214">
        <v>7.0</v>
      </c>
      <c r="E1771" s="214">
        <v>3.0</v>
      </c>
      <c r="F1771" s="214" t="s">
        <v>1742</v>
      </c>
      <c r="G1771" s="214" t="s">
        <v>61</v>
      </c>
      <c r="H1771" s="214" t="s">
        <v>238</v>
      </c>
      <c r="I1771" s="214"/>
      <c r="J1771" s="222" t="s">
        <v>67</v>
      </c>
      <c r="K1771" s="222">
        <v>6.5</v>
      </c>
      <c r="L1771" s="222" t="s">
        <v>67</v>
      </c>
      <c r="M1771" s="222">
        <v>56.5</v>
      </c>
      <c r="N1771" s="214">
        <v>327.0</v>
      </c>
      <c r="O1771" s="214">
        <v>203.0</v>
      </c>
      <c r="P1771" s="214">
        <v>2.0</v>
      </c>
      <c r="Q1771" s="214" t="b">
        <v>1</v>
      </c>
      <c r="R1771" s="214">
        <v>100.0</v>
      </c>
      <c r="S1771" s="214" t="s">
        <v>471</v>
      </c>
      <c r="T1771" s="214" t="s">
        <v>321</v>
      </c>
      <c r="U1771" s="214"/>
    </row>
    <row r="1772">
      <c r="A1772" s="221">
        <v>45979.06848104167</v>
      </c>
      <c r="B1772" s="214"/>
      <c r="C1772" s="214"/>
      <c r="D1772" s="214"/>
      <c r="E1772" s="214"/>
      <c r="F1772" s="214"/>
      <c r="G1772" s="214"/>
      <c r="H1772" s="214"/>
      <c r="I1772" s="214"/>
      <c r="J1772" s="222"/>
      <c r="K1772" s="222"/>
      <c r="L1772" s="222"/>
      <c r="M1772" s="222"/>
      <c r="N1772" s="214"/>
      <c r="O1772" s="214"/>
      <c r="P1772" s="214"/>
      <c r="Q1772" s="214"/>
      <c r="R1772" s="214"/>
      <c r="S1772" s="214"/>
      <c r="T1772" s="214"/>
      <c r="U1772" s="214"/>
    </row>
    <row r="1773">
      <c r="A1773" s="221">
        <v>45979.06848104167</v>
      </c>
      <c r="B1773" s="214" t="s">
        <v>493</v>
      </c>
      <c r="C1773" s="214" t="s">
        <v>200</v>
      </c>
      <c r="D1773" s="214">
        <v>5.0</v>
      </c>
      <c r="E1773" s="214">
        <v>5.0</v>
      </c>
      <c r="F1773" s="214" t="s">
        <v>1747</v>
      </c>
      <c r="G1773" s="214" t="s">
        <v>61</v>
      </c>
      <c r="H1773" s="214" t="s">
        <v>249</v>
      </c>
      <c r="I1773" s="214"/>
      <c r="J1773" s="222" t="s">
        <v>67</v>
      </c>
      <c r="K1773" s="222">
        <v>-8.5</v>
      </c>
      <c r="L1773" s="222" t="s">
        <v>67</v>
      </c>
      <c r="M1773" s="222">
        <v>43.5</v>
      </c>
      <c r="N1773" s="214">
        <v>207.0</v>
      </c>
      <c r="O1773" s="214">
        <v>210.0</v>
      </c>
      <c r="P1773" s="214">
        <v>2.0</v>
      </c>
      <c r="Q1773" s="214" t="b">
        <v>0</v>
      </c>
      <c r="R1773" s="214">
        <v>100.0</v>
      </c>
      <c r="S1773" s="214" t="s">
        <v>680</v>
      </c>
      <c r="T1773" s="214" t="s">
        <v>365</v>
      </c>
      <c r="U1773" s="214"/>
    </row>
    <row r="1774">
      <c r="A1774" s="221">
        <v>45979.06848104167</v>
      </c>
      <c r="B1774" s="214" t="s">
        <v>493</v>
      </c>
      <c r="C1774" s="214" t="s">
        <v>207</v>
      </c>
      <c r="D1774" s="214">
        <v>5.0</v>
      </c>
      <c r="E1774" s="214">
        <v>6.0</v>
      </c>
      <c r="F1774" s="214" t="s">
        <v>1745</v>
      </c>
      <c r="G1774" s="214" t="s">
        <v>61</v>
      </c>
      <c r="H1774" s="214" t="s">
        <v>156</v>
      </c>
      <c r="I1774" s="214"/>
      <c r="J1774" s="222" t="s">
        <v>67</v>
      </c>
      <c r="K1774" s="222">
        <v>6.5</v>
      </c>
      <c r="L1774" s="222" t="s">
        <v>67</v>
      </c>
      <c r="M1774" s="222">
        <v>51.5</v>
      </c>
      <c r="N1774" s="214">
        <v>347.0</v>
      </c>
      <c r="O1774" s="214">
        <v>312.0</v>
      </c>
      <c r="P1774" s="214">
        <v>2.0</v>
      </c>
      <c r="Q1774" s="214" t="b">
        <v>0</v>
      </c>
      <c r="R1774" s="214">
        <v>100.0</v>
      </c>
      <c r="S1774" s="214" t="s">
        <v>556</v>
      </c>
      <c r="T1774" s="214" t="s">
        <v>321</v>
      </c>
      <c r="U1774" s="214"/>
    </row>
    <row r="1775">
      <c r="A1775" s="221">
        <v>45979.06848104167</v>
      </c>
      <c r="B1775" s="214" t="s">
        <v>493</v>
      </c>
      <c r="C1775" s="214" t="s">
        <v>546</v>
      </c>
      <c r="D1775" s="214">
        <v>7.0</v>
      </c>
      <c r="E1775" s="214">
        <v>3.0</v>
      </c>
      <c r="F1775" s="214" t="s">
        <v>1709</v>
      </c>
      <c r="G1775" s="214" t="s">
        <v>61</v>
      </c>
      <c r="H1775" s="214" t="s">
        <v>95</v>
      </c>
      <c r="I1775" s="214"/>
      <c r="J1775" s="222" t="s">
        <v>67</v>
      </c>
      <c r="K1775" s="222">
        <v>-3.0</v>
      </c>
      <c r="L1775" s="222" t="s">
        <v>67</v>
      </c>
      <c r="M1775" s="222">
        <v>65.5</v>
      </c>
      <c r="N1775" s="214">
        <v>305.0</v>
      </c>
      <c r="O1775" s="214">
        <v>259.0</v>
      </c>
      <c r="P1775" s="214">
        <v>2.0</v>
      </c>
      <c r="Q1775" s="214" t="b">
        <v>0</v>
      </c>
      <c r="R1775" s="214">
        <v>100.0</v>
      </c>
      <c r="S1775" s="214" t="s">
        <v>441</v>
      </c>
      <c r="T1775" s="214" t="s">
        <v>365</v>
      </c>
      <c r="U1775" s="214"/>
    </row>
    <row r="1776">
      <c r="A1776" s="221">
        <v>45979.06848104167</v>
      </c>
      <c r="B1776" s="214" t="s">
        <v>493</v>
      </c>
      <c r="C1776" s="214" t="s">
        <v>219</v>
      </c>
      <c r="D1776" s="214">
        <v>3.0</v>
      </c>
      <c r="E1776" s="214">
        <v>7.0</v>
      </c>
      <c r="F1776" s="214" t="s">
        <v>1740</v>
      </c>
      <c r="G1776" s="214" t="s">
        <v>61</v>
      </c>
      <c r="H1776" s="214" t="s">
        <v>238</v>
      </c>
      <c r="I1776" s="214"/>
      <c r="J1776" s="222" t="s">
        <v>67</v>
      </c>
      <c r="K1776" s="222">
        <v>4.5</v>
      </c>
      <c r="L1776" s="222" t="s">
        <v>67</v>
      </c>
      <c r="M1776" s="222">
        <v>49.5</v>
      </c>
      <c r="N1776" s="214">
        <v>158.0</v>
      </c>
      <c r="O1776" s="214">
        <v>322.0</v>
      </c>
      <c r="P1776" s="214">
        <v>2.0</v>
      </c>
      <c r="Q1776" s="214" t="b">
        <v>1</v>
      </c>
      <c r="R1776" s="214">
        <v>100.0</v>
      </c>
      <c r="S1776" s="214" t="s">
        <v>441</v>
      </c>
      <c r="T1776" s="214" t="s">
        <v>365</v>
      </c>
      <c r="U1776" s="214"/>
    </row>
    <row r="1777">
      <c r="A1777" s="221">
        <v>45979.06848104167</v>
      </c>
      <c r="B1777" s="214" t="s">
        <v>493</v>
      </c>
      <c r="C1777" s="214" t="s">
        <v>205</v>
      </c>
      <c r="D1777" s="214">
        <v>5.0</v>
      </c>
      <c r="E1777" s="214">
        <v>5.0</v>
      </c>
      <c r="F1777" s="214" t="s">
        <v>1752</v>
      </c>
      <c r="G1777" s="214" t="s">
        <v>61</v>
      </c>
      <c r="H1777" s="214"/>
      <c r="I1777" s="214"/>
      <c r="J1777" s="222" t="s">
        <v>67</v>
      </c>
      <c r="K1777" s="222">
        <v>-21.5</v>
      </c>
      <c r="L1777" s="222" t="s">
        <v>67</v>
      </c>
      <c r="M1777" s="222">
        <v>52.5</v>
      </c>
      <c r="N1777" s="214">
        <v>259.0</v>
      </c>
      <c r="O1777" s="214">
        <v>231.0</v>
      </c>
      <c r="P1777" s="214">
        <v>2.0</v>
      </c>
      <c r="Q1777" s="214" t="b">
        <v>0</v>
      </c>
      <c r="R1777" s="214">
        <v>100.0</v>
      </c>
      <c r="S1777" s="214" t="s">
        <v>556</v>
      </c>
      <c r="T1777" s="214" t="s">
        <v>321</v>
      </c>
      <c r="U1777" s="214"/>
    </row>
    <row r="1778">
      <c r="A1778" s="221">
        <v>45986.06845535879</v>
      </c>
      <c r="B1778" s="214" t="s">
        <v>43</v>
      </c>
      <c r="C1778" s="214" t="s">
        <v>133</v>
      </c>
      <c r="D1778" s="214">
        <v>10.0</v>
      </c>
      <c r="E1778" s="214">
        <v>1.0</v>
      </c>
      <c r="F1778" s="214"/>
      <c r="G1778" s="214"/>
      <c r="H1778" s="214"/>
      <c r="I1778" s="214"/>
      <c r="J1778" s="222"/>
      <c r="K1778" s="222"/>
      <c r="L1778" s="222"/>
      <c r="M1778" s="222"/>
      <c r="N1778" s="214">
        <v>469.0</v>
      </c>
      <c r="O1778" s="214">
        <v>135.0</v>
      </c>
      <c r="P1778" s="214">
        <v>0.0</v>
      </c>
      <c r="Q1778" s="214" t="b">
        <v>1</v>
      </c>
      <c r="R1778" s="214">
        <v>59.0</v>
      </c>
      <c r="S1778" s="214" t="s">
        <v>471</v>
      </c>
      <c r="T1778" s="214" t="s">
        <v>321</v>
      </c>
      <c r="U1778" s="214"/>
    </row>
    <row r="1779">
      <c r="A1779" s="221">
        <v>45986.06845535879</v>
      </c>
      <c r="B1779" s="214" t="s">
        <v>43</v>
      </c>
      <c r="C1779" s="214" t="s">
        <v>189</v>
      </c>
      <c r="D1779" s="214">
        <v>8.0</v>
      </c>
      <c r="E1779" s="214">
        <v>3.0</v>
      </c>
      <c r="F1779" s="214" t="s">
        <v>1753</v>
      </c>
      <c r="G1779" s="214" t="s">
        <v>61</v>
      </c>
      <c r="H1779" s="214" t="s">
        <v>224</v>
      </c>
      <c r="I1779" s="214"/>
      <c r="J1779" s="222" t="s">
        <v>67</v>
      </c>
      <c r="K1779" s="222">
        <v>-7.0</v>
      </c>
      <c r="L1779" s="222" t="s">
        <v>67</v>
      </c>
      <c r="M1779" s="222">
        <v>46.5</v>
      </c>
      <c r="N1779" s="214">
        <v>289.0</v>
      </c>
      <c r="O1779" s="214">
        <v>253.0</v>
      </c>
      <c r="P1779" s="214">
        <v>2.0</v>
      </c>
      <c r="Q1779" s="214" t="b">
        <v>0</v>
      </c>
      <c r="R1779" s="214">
        <v>100.0</v>
      </c>
      <c r="S1779" s="214" t="s">
        <v>471</v>
      </c>
      <c r="T1779" s="214" t="s">
        <v>321</v>
      </c>
      <c r="U1779" s="214"/>
    </row>
    <row r="1780">
      <c r="A1780" s="221">
        <v>45986.06845535879</v>
      </c>
      <c r="B1780" s="214" t="s">
        <v>43</v>
      </c>
      <c r="C1780" s="214" t="s">
        <v>157</v>
      </c>
      <c r="D1780" s="214">
        <v>5.0</v>
      </c>
      <c r="E1780" s="214">
        <v>6.0</v>
      </c>
      <c r="F1780" s="214" t="s">
        <v>1754</v>
      </c>
      <c r="G1780" s="214" t="s">
        <v>61</v>
      </c>
      <c r="H1780" s="214" t="s">
        <v>156</v>
      </c>
      <c r="I1780" s="214"/>
      <c r="J1780" s="222" t="s">
        <v>67</v>
      </c>
      <c r="K1780" s="222">
        <v>18.5</v>
      </c>
      <c r="L1780" s="222" t="s">
        <v>67</v>
      </c>
      <c r="M1780" s="222">
        <v>55.5</v>
      </c>
      <c r="N1780" s="214">
        <v>235.0</v>
      </c>
      <c r="O1780" s="214">
        <v>335.0</v>
      </c>
      <c r="P1780" s="214">
        <v>2.0</v>
      </c>
      <c r="Q1780" s="214" t="b">
        <v>1</v>
      </c>
      <c r="R1780" s="214">
        <v>100.0</v>
      </c>
      <c r="S1780" s="214" t="s">
        <v>361</v>
      </c>
      <c r="T1780" s="214" t="s">
        <v>365</v>
      </c>
      <c r="U1780" s="214"/>
    </row>
    <row r="1781">
      <c r="A1781" s="221">
        <v>45986.06845535879</v>
      </c>
      <c r="B1781" s="214" t="s">
        <v>43</v>
      </c>
      <c r="C1781" s="214" t="s">
        <v>145</v>
      </c>
      <c r="D1781" s="214">
        <v>5.0</v>
      </c>
      <c r="E1781" s="214">
        <v>6.0</v>
      </c>
      <c r="F1781" s="214" t="s">
        <v>1755</v>
      </c>
      <c r="G1781" s="214" t="s">
        <v>61</v>
      </c>
      <c r="H1781" s="214" t="s">
        <v>96</v>
      </c>
      <c r="I1781" s="214"/>
      <c r="J1781" s="222" t="s">
        <v>67</v>
      </c>
      <c r="K1781" s="222">
        <v>-8.5</v>
      </c>
      <c r="L1781" s="222" t="s">
        <v>67</v>
      </c>
      <c r="M1781" s="222">
        <v>45.5</v>
      </c>
      <c r="N1781" s="214">
        <v>341.0</v>
      </c>
      <c r="O1781" s="214">
        <v>221.0</v>
      </c>
      <c r="P1781" s="214">
        <v>2.0</v>
      </c>
      <c r="Q1781" s="214" t="b">
        <v>0</v>
      </c>
      <c r="R1781" s="214">
        <v>100.0</v>
      </c>
      <c r="S1781" s="214" t="s">
        <v>407</v>
      </c>
      <c r="T1781" s="214" t="s">
        <v>321</v>
      </c>
      <c r="U1781" s="214"/>
    </row>
    <row r="1782">
      <c r="A1782" s="221">
        <v>45986.06845535879</v>
      </c>
      <c r="B1782" s="214" t="s">
        <v>43</v>
      </c>
      <c r="C1782" s="214" t="s">
        <v>176</v>
      </c>
      <c r="D1782" s="214">
        <v>3.0</v>
      </c>
      <c r="E1782" s="214">
        <v>8.0</v>
      </c>
      <c r="F1782" s="214" t="s">
        <v>1756</v>
      </c>
      <c r="G1782" s="214" t="s">
        <v>61</v>
      </c>
      <c r="H1782" s="214" t="s">
        <v>193</v>
      </c>
      <c r="I1782" s="214"/>
      <c r="J1782" s="222" t="s">
        <v>67</v>
      </c>
      <c r="K1782" s="222">
        <v>4.0</v>
      </c>
      <c r="L1782" s="222" t="s">
        <v>67</v>
      </c>
      <c r="M1782" s="222">
        <v>54.5</v>
      </c>
      <c r="N1782" s="214">
        <v>316.0</v>
      </c>
      <c r="O1782" s="214">
        <v>343.0</v>
      </c>
      <c r="P1782" s="214">
        <v>2.0</v>
      </c>
      <c r="Q1782" s="214" t="b">
        <v>1</v>
      </c>
      <c r="R1782" s="214">
        <v>100.0</v>
      </c>
      <c r="S1782" s="214" t="s">
        <v>525</v>
      </c>
      <c r="T1782" s="214" t="s">
        <v>365</v>
      </c>
      <c r="U1782" s="214"/>
    </row>
    <row r="1783">
      <c r="A1783" s="221">
        <v>45986.06845535879</v>
      </c>
      <c r="B1783" s="214" t="s">
        <v>43</v>
      </c>
      <c r="C1783" s="214" t="s">
        <v>118</v>
      </c>
      <c r="D1783" s="214">
        <v>4.0</v>
      </c>
      <c r="E1783" s="214">
        <v>7.0</v>
      </c>
      <c r="F1783" s="214" t="s">
        <v>1757</v>
      </c>
      <c r="G1783" s="214" t="s">
        <v>61</v>
      </c>
      <c r="H1783" s="214" t="s">
        <v>249</v>
      </c>
      <c r="I1783" s="214"/>
      <c r="J1783" s="222" t="s">
        <v>67</v>
      </c>
      <c r="K1783" s="222">
        <v>7.0</v>
      </c>
      <c r="L1783" s="222" t="s">
        <v>67</v>
      </c>
      <c r="M1783" s="222">
        <v>51.5</v>
      </c>
      <c r="N1783" s="214">
        <v>212.0</v>
      </c>
      <c r="O1783" s="214">
        <v>252.0</v>
      </c>
      <c r="P1783" s="214">
        <v>2.0</v>
      </c>
      <c r="Q1783" s="214" t="b">
        <v>0</v>
      </c>
      <c r="R1783" s="214">
        <v>100.0</v>
      </c>
      <c r="S1783" s="214" t="s">
        <v>317</v>
      </c>
      <c r="T1783" s="214" t="s">
        <v>321</v>
      </c>
      <c r="U1783" s="214"/>
    </row>
    <row r="1784">
      <c r="A1784" s="221">
        <v>45986.06845535879</v>
      </c>
      <c r="B1784" s="214" t="s">
        <v>43</v>
      </c>
      <c r="C1784" s="214" t="s">
        <v>228</v>
      </c>
      <c r="D1784" s="214">
        <v>4.0</v>
      </c>
      <c r="E1784" s="214">
        <v>7.0</v>
      </c>
      <c r="F1784" s="214" t="s">
        <v>1758</v>
      </c>
      <c r="G1784" s="214" t="s">
        <v>61</v>
      </c>
      <c r="H1784" s="214" t="s">
        <v>238</v>
      </c>
      <c r="I1784" s="214"/>
      <c r="J1784" s="222" t="s">
        <v>67</v>
      </c>
      <c r="K1784" s="222">
        <v>3.0</v>
      </c>
      <c r="L1784" s="222" t="s">
        <v>67</v>
      </c>
      <c r="M1784" s="222">
        <v>45.5</v>
      </c>
      <c r="N1784" s="214">
        <v>235.0</v>
      </c>
      <c r="O1784" s="214">
        <v>300.0</v>
      </c>
      <c r="P1784" s="214">
        <v>2.0</v>
      </c>
      <c r="Q1784" s="214" t="b">
        <v>1</v>
      </c>
      <c r="R1784" s="214">
        <v>100.0</v>
      </c>
      <c r="S1784" s="214" t="s">
        <v>535</v>
      </c>
      <c r="T1784" s="214" t="s">
        <v>365</v>
      </c>
      <c r="U1784" s="214"/>
    </row>
    <row r="1785">
      <c r="A1785" s="221">
        <v>45986.06845535879</v>
      </c>
      <c r="B1785" s="214" t="s">
        <v>43</v>
      </c>
      <c r="C1785" s="214" t="s">
        <v>422</v>
      </c>
      <c r="D1785" s="214">
        <v>5.0</v>
      </c>
      <c r="E1785" s="214">
        <v>6.0</v>
      </c>
      <c r="F1785" s="214" t="s">
        <v>1759</v>
      </c>
      <c r="G1785" s="214" t="s">
        <v>61</v>
      </c>
      <c r="H1785" s="214" t="s">
        <v>311</v>
      </c>
      <c r="I1785" s="214"/>
      <c r="J1785" s="222" t="s">
        <v>67</v>
      </c>
      <c r="K1785" s="222">
        <v>5.5</v>
      </c>
      <c r="L1785" s="222" t="s">
        <v>67</v>
      </c>
      <c r="M1785" s="222">
        <v>56.5</v>
      </c>
      <c r="N1785" s="214">
        <v>275.0</v>
      </c>
      <c r="O1785" s="214">
        <v>328.0</v>
      </c>
      <c r="P1785" s="214">
        <v>2.0</v>
      </c>
      <c r="Q1785" s="214" t="b">
        <v>0</v>
      </c>
      <c r="R1785" s="214">
        <v>100.0</v>
      </c>
      <c r="S1785" s="214" t="s">
        <v>441</v>
      </c>
      <c r="T1785" s="214" t="s">
        <v>365</v>
      </c>
      <c r="U1785" s="214"/>
    </row>
    <row r="1786">
      <c r="A1786" s="221">
        <v>45986.06845535879</v>
      </c>
      <c r="B1786" s="214" t="s">
        <v>43</v>
      </c>
      <c r="C1786" s="214" t="s">
        <v>45</v>
      </c>
      <c r="D1786" s="214">
        <v>5.0</v>
      </c>
      <c r="E1786" s="214">
        <v>6.0</v>
      </c>
      <c r="F1786" s="214" t="s">
        <v>1760</v>
      </c>
      <c r="G1786" s="214" t="s">
        <v>61</v>
      </c>
      <c r="H1786" s="214"/>
      <c r="I1786" s="214"/>
      <c r="J1786" s="222" t="s">
        <v>67</v>
      </c>
      <c r="K1786" s="222">
        <v>-27.5</v>
      </c>
      <c r="L1786" s="222" t="s">
        <v>67</v>
      </c>
      <c r="M1786" s="222">
        <v>50.5</v>
      </c>
      <c r="N1786" s="214">
        <v>301.0</v>
      </c>
      <c r="O1786" s="214">
        <v>221.0</v>
      </c>
      <c r="P1786" s="214">
        <v>2.0</v>
      </c>
      <c r="Q1786" s="214" t="b">
        <v>0</v>
      </c>
      <c r="R1786" s="214">
        <v>100.0</v>
      </c>
      <c r="S1786" s="214" t="s">
        <v>556</v>
      </c>
      <c r="T1786" s="214" t="s">
        <v>321</v>
      </c>
      <c r="U1786" s="214"/>
    </row>
    <row r="1787">
      <c r="A1787" s="221">
        <v>45986.06845535879</v>
      </c>
      <c r="B1787" s="214" t="s">
        <v>43</v>
      </c>
      <c r="C1787" s="214" t="s">
        <v>527</v>
      </c>
      <c r="D1787" s="214">
        <v>0.0</v>
      </c>
      <c r="E1787" s="214">
        <v>11.0</v>
      </c>
      <c r="F1787" s="214" t="s">
        <v>1761</v>
      </c>
      <c r="G1787" s="214" t="s">
        <v>61</v>
      </c>
      <c r="H1787" s="214" t="s">
        <v>96</v>
      </c>
      <c r="I1787" s="214"/>
      <c r="J1787" s="222" t="s">
        <v>67</v>
      </c>
      <c r="K1787" s="222">
        <v>33.5</v>
      </c>
      <c r="L1787" s="222" t="s">
        <v>67</v>
      </c>
      <c r="M1787" s="222">
        <v>51.5</v>
      </c>
      <c r="N1787" s="214">
        <v>119.0</v>
      </c>
      <c r="O1787" s="214">
        <v>418.0</v>
      </c>
      <c r="P1787" s="214">
        <v>2.0</v>
      </c>
      <c r="Q1787" s="214" t="b">
        <v>0</v>
      </c>
      <c r="R1787" s="214">
        <v>100.0</v>
      </c>
      <c r="S1787" s="214" t="s">
        <v>530</v>
      </c>
      <c r="T1787" s="214" t="s">
        <v>365</v>
      </c>
      <c r="U1787" s="214"/>
    </row>
    <row r="1788">
      <c r="A1788" s="221">
        <v>45986.06845535879</v>
      </c>
      <c r="B1788" s="214"/>
      <c r="C1788" s="214"/>
      <c r="D1788" s="214"/>
      <c r="E1788" s="214"/>
      <c r="F1788" s="214"/>
      <c r="G1788" s="214"/>
      <c r="H1788" s="214"/>
      <c r="I1788" s="214"/>
      <c r="J1788" s="222"/>
      <c r="K1788" s="222"/>
      <c r="L1788" s="222"/>
      <c r="M1788" s="222"/>
      <c r="N1788" s="214"/>
      <c r="O1788" s="214"/>
      <c r="P1788" s="214"/>
      <c r="Q1788" s="214"/>
      <c r="R1788" s="214"/>
      <c r="S1788" s="214"/>
      <c r="T1788" s="214"/>
      <c r="U1788" s="214"/>
    </row>
    <row r="1789">
      <c r="A1789" s="221">
        <v>45986.06845535879</v>
      </c>
      <c r="B1789" s="214" t="s">
        <v>95</v>
      </c>
      <c r="C1789" s="214" t="s">
        <v>177</v>
      </c>
      <c r="D1789" s="214">
        <v>7.0</v>
      </c>
      <c r="E1789" s="214">
        <v>4.0</v>
      </c>
      <c r="F1789" s="214" t="s">
        <v>1762</v>
      </c>
      <c r="G1789" s="214" t="s">
        <v>61</v>
      </c>
      <c r="H1789" s="214" t="s">
        <v>62</v>
      </c>
      <c r="I1789" s="214"/>
      <c r="J1789" s="222" t="s">
        <v>67</v>
      </c>
      <c r="K1789" s="222">
        <v>-17.5</v>
      </c>
      <c r="L1789" s="222" t="s">
        <v>67</v>
      </c>
      <c r="M1789" s="222">
        <v>45.5</v>
      </c>
      <c r="N1789" s="214">
        <v>345.0</v>
      </c>
      <c r="O1789" s="214">
        <v>254.0</v>
      </c>
      <c r="P1789" s="214">
        <v>2.0</v>
      </c>
      <c r="Q1789" s="214" t="b">
        <v>0</v>
      </c>
      <c r="R1789" s="214">
        <v>100.0</v>
      </c>
      <c r="S1789" s="214" t="s">
        <v>525</v>
      </c>
      <c r="T1789" s="214" t="s">
        <v>365</v>
      </c>
      <c r="U1789" s="214"/>
    </row>
    <row r="1790">
      <c r="A1790" s="221">
        <v>45986.06845535879</v>
      </c>
      <c r="B1790" s="214" t="s">
        <v>95</v>
      </c>
      <c r="C1790" s="214" t="s">
        <v>221</v>
      </c>
      <c r="D1790" s="214">
        <v>5.0</v>
      </c>
      <c r="E1790" s="214">
        <v>6.0</v>
      </c>
      <c r="F1790" s="214" t="s">
        <v>1763</v>
      </c>
      <c r="G1790" s="214" t="s">
        <v>61</v>
      </c>
      <c r="H1790" s="214" t="s">
        <v>493</v>
      </c>
      <c r="I1790" s="214"/>
      <c r="J1790" s="222" t="s">
        <v>67</v>
      </c>
      <c r="K1790" s="222">
        <v>-19.5</v>
      </c>
      <c r="L1790" s="222" t="s">
        <v>67</v>
      </c>
      <c r="M1790" s="222">
        <v>58.5</v>
      </c>
      <c r="N1790" s="214">
        <v>384.0</v>
      </c>
      <c r="O1790" s="214">
        <v>341.0</v>
      </c>
      <c r="P1790" s="214">
        <v>2.0</v>
      </c>
      <c r="Q1790" s="214" t="b">
        <v>0</v>
      </c>
      <c r="R1790" s="214">
        <v>100.0</v>
      </c>
      <c r="S1790" s="214" t="s">
        <v>441</v>
      </c>
      <c r="T1790" s="214" t="s">
        <v>365</v>
      </c>
      <c r="U1790" s="214"/>
    </row>
    <row r="1791">
      <c r="A1791" s="221">
        <v>45986.06845535879</v>
      </c>
      <c r="B1791" s="214" t="s">
        <v>95</v>
      </c>
      <c r="C1791" s="214" t="s">
        <v>198</v>
      </c>
      <c r="D1791" s="214">
        <v>9.0</v>
      </c>
      <c r="E1791" s="214">
        <v>2.0</v>
      </c>
      <c r="F1791" s="214" t="s">
        <v>1764</v>
      </c>
      <c r="G1791" s="214" t="s">
        <v>61</v>
      </c>
      <c r="H1791" s="214" t="s">
        <v>62</v>
      </c>
      <c r="I1791" s="214"/>
      <c r="J1791" s="222" t="s">
        <v>67</v>
      </c>
      <c r="K1791" s="222">
        <v>-17.5</v>
      </c>
      <c r="L1791" s="222" t="s">
        <v>67</v>
      </c>
      <c r="M1791" s="222">
        <v>51.5</v>
      </c>
      <c r="N1791" s="214">
        <v>462.0</v>
      </c>
      <c r="O1791" s="214">
        <v>203.0</v>
      </c>
      <c r="P1791" s="214">
        <v>2.0</v>
      </c>
      <c r="Q1791" s="214" t="b">
        <v>0</v>
      </c>
      <c r="R1791" s="214">
        <v>100.0</v>
      </c>
      <c r="S1791" s="214" t="s">
        <v>471</v>
      </c>
      <c r="T1791" s="214" t="s">
        <v>321</v>
      </c>
      <c r="U1791" s="214"/>
    </row>
    <row r="1792">
      <c r="A1792" s="221">
        <v>45986.06845535879</v>
      </c>
      <c r="B1792" s="214" t="s">
        <v>95</v>
      </c>
      <c r="C1792" s="214" t="s">
        <v>197</v>
      </c>
      <c r="D1792" s="214">
        <v>8.0</v>
      </c>
      <c r="E1792" s="214">
        <v>3.0</v>
      </c>
      <c r="F1792" s="214" t="s">
        <v>1765</v>
      </c>
      <c r="G1792" s="214" t="s">
        <v>61</v>
      </c>
      <c r="H1792" s="214" t="s">
        <v>311</v>
      </c>
      <c r="I1792" s="214"/>
      <c r="J1792" s="222" t="s">
        <v>67</v>
      </c>
      <c r="K1792" s="222">
        <v>10.0</v>
      </c>
      <c r="L1792" s="222" t="s">
        <v>67</v>
      </c>
      <c r="M1792" s="222">
        <v>59.5</v>
      </c>
      <c r="N1792" s="214">
        <v>409.0</v>
      </c>
      <c r="O1792" s="214">
        <v>259.0</v>
      </c>
      <c r="P1792" s="214">
        <v>2.0</v>
      </c>
      <c r="Q1792" s="214" t="b">
        <v>0</v>
      </c>
      <c r="R1792" s="214">
        <v>100.0</v>
      </c>
      <c r="S1792" s="214" t="s">
        <v>407</v>
      </c>
      <c r="T1792" s="214" t="s">
        <v>321</v>
      </c>
      <c r="U1792" s="214"/>
    </row>
    <row r="1793">
      <c r="A1793" s="221">
        <v>45986.06845535879</v>
      </c>
      <c r="B1793" s="214" t="s">
        <v>95</v>
      </c>
      <c r="C1793" s="214" t="s">
        <v>130</v>
      </c>
      <c r="D1793" s="214">
        <v>7.0</v>
      </c>
      <c r="E1793" s="214">
        <v>4.0</v>
      </c>
      <c r="F1793" s="214" t="s">
        <v>1766</v>
      </c>
      <c r="G1793" s="214" t="s">
        <v>61</v>
      </c>
      <c r="H1793" s="214" t="s">
        <v>395</v>
      </c>
      <c r="I1793" s="214"/>
      <c r="J1793" s="222" t="s">
        <v>67</v>
      </c>
      <c r="K1793" s="222">
        <v>1.5</v>
      </c>
      <c r="L1793" s="222" t="s">
        <v>67</v>
      </c>
      <c r="M1793" s="222">
        <v>55.5</v>
      </c>
      <c r="N1793" s="214">
        <v>324.0</v>
      </c>
      <c r="O1793" s="214">
        <v>279.0</v>
      </c>
      <c r="P1793" s="214">
        <v>2.0</v>
      </c>
      <c r="Q1793" s="214" t="b">
        <v>1</v>
      </c>
      <c r="R1793" s="214">
        <v>100.0</v>
      </c>
      <c r="S1793" s="214" t="s">
        <v>471</v>
      </c>
      <c r="T1793" s="214" t="s">
        <v>321</v>
      </c>
      <c r="U1793" s="214"/>
    </row>
    <row r="1794">
      <c r="A1794" s="221">
        <v>45986.06845535879</v>
      </c>
      <c r="B1794" s="214" t="s">
        <v>95</v>
      </c>
      <c r="C1794" s="214" t="s">
        <v>100</v>
      </c>
      <c r="D1794" s="214">
        <v>7.0</v>
      </c>
      <c r="E1794" s="214">
        <v>4.0</v>
      </c>
      <c r="F1794" s="214" t="s">
        <v>1767</v>
      </c>
      <c r="G1794" s="214" t="s">
        <v>61</v>
      </c>
      <c r="H1794" s="214" t="s">
        <v>311</v>
      </c>
      <c r="I1794" s="214"/>
      <c r="J1794" s="222" t="s">
        <v>67</v>
      </c>
      <c r="K1794" s="222">
        <v>-2.5</v>
      </c>
      <c r="L1794" s="222" t="s">
        <v>67</v>
      </c>
      <c r="M1794" s="222">
        <v>62.5</v>
      </c>
      <c r="N1794" s="214">
        <v>360.0</v>
      </c>
      <c r="O1794" s="214">
        <v>241.0</v>
      </c>
      <c r="P1794" s="214">
        <v>2.0</v>
      </c>
      <c r="Q1794" s="214" t="b">
        <v>1</v>
      </c>
      <c r="R1794" s="214">
        <v>100.0</v>
      </c>
      <c r="S1794" s="214" t="s">
        <v>361</v>
      </c>
      <c r="T1794" s="214" t="s">
        <v>365</v>
      </c>
      <c r="U1794" s="214"/>
    </row>
    <row r="1795">
      <c r="A1795" s="221">
        <v>45986.06845535879</v>
      </c>
      <c r="B1795" s="214" t="s">
        <v>95</v>
      </c>
      <c r="C1795" s="214" t="s">
        <v>233</v>
      </c>
      <c r="D1795" s="214">
        <v>8.0</v>
      </c>
      <c r="E1795" s="214">
        <v>3.0</v>
      </c>
      <c r="F1795" s="214" t="s">
        <v>1768</v>
      </c>
      <c r="G1795" s="214" t="s">
        <v>61</v>
      </c>
      <c r="H1795" s="214" t="s">
        <v>193</v>
      </c>
      <c r="I1795" s="214"/>
      <c r="J1795" s="222" t="s">
        <v>67</v>
      </c>
      <c r="K1795" s="222">
        <v>-6.5</v>
      </c>
      <c r="L1795" s="222" t="s">
        <v>67</v>
      </c>
      <c r="M1795" s="222">
        <v>55.5</v>
      </c>
      <c r="N1795" s="214">
        <v>301.0</v>
      </c>
      <c r="O1795" s="214">
        <v>259.0</v>
      </c>
      <c r="P1795" s="214">
        <v>2.0</v>
      </c>
      <c r="Q1795" s="214" t="b">
        <v>1</v>
      </c>
      <c r="R1795" s="214">
        <v>100.0</v>
      </c>
      <c r="S1795" s="214" t="s">
        <v>535</v>
      </c>
      <c r="T1795" s="214" t="s">
        <v>365</v>
      </c>
      <c r="U1795" s="214"/>
    </row>
    <row r="1796">
      <c r="A1796" s="221">
        <v>45986.06845535879</v>
      </c>
      <c r="B1796" s="214" t="s">
        <v>95</v>
      </c>
      <c r="C1796" s="214" t="s">
        <v>165</v>
      </c>
      <c r="D1796" s="214">
        <v>4.0</v>
      </c>
      <c r="E1796" s="214">
        <v>7.0</v>
      </c>
      <c r="F1796" s="214" t="s">
        <v>1769</v>
      </c>
      <c r="G1796" s="214" t="s">
        <v>61</v>
      </c>
      <c r="H1796" s="214" t="s">
        <v>156</v>
      </c>
      <c r="I1796" s="214"/>
      <c r="J1796" s="222" t="s">
        <v>67</v>
      </c>
      <c r="K1796" s="222">
        <v>28.5</v>
      </c>
      <c r="L1796" s="222" t="s">
        <v>67</v>
      </c>
      <c r="M1796" s="222">
        <v>45.5</v>
      </c>
      <c r="N1796" s="214">
        <v>166.0</v>
      </c>
      <c r="O1796" s="214">
        <v>313.0</v>
      </c>
      <c r="P1796" s="214">
        <v>2.0</v>
      </c>
      <c r="Q1796" s="214" t="b">
        <v>0</v>
      </c>
      <c r="R1796" s="214">
        <v>100.0</v>
      </c>
      <c r="S1796" s="214" t="s">
        <v>530</v>
      </c>
      <c r="T1796" s="214" t="s">
        <v>365</v>
      </c>
      <c r="U1796" s="214"/>
    </row>
    <row r="1797">
      <c r="A1797" s="221">
        <v>45986.06845535879</v>
      </c>
      <c r="B1797" s="214" t="s">
        <v>95</v>
      </c>
      <c r="C1797" s="214" t="s">
        <v>128</v>
      </c>
      <c r="D1797" s="214">
        <v>9.0</v>
      </c>
      <c r="E1797" s="214">
        <v>2.0</v>
      </c>
      <c r="F1797" s="214" t="s">
        <v>1770</v>
      </c>
      <c r="G1797" s="214" t="s">
        <v>61</v>
      </c>
      <c r="H1797" s="214" t="s">
        <v>156</v>
      </c>
      <c r="I1797" s="214"/>
      <c r="J1797" s="222" t="s">
        <v>67</v>
      </c>
      <c r="K1797" s="222">
        <v>-6.5</v>
      </c>
      <c r="L1797" s="222" t="s">
        <v>67</v>
      </c>
      <c r="M1797" s="222">
        <v>42.5</v>
      </c>
      <c r="N1797" s="214">
        <v>300.0</v>
      </c>
      <c r="O1797" s="214">
        <v>154.0</v>
      </c>
      <c r="P1797" s="214">
        <v>2.0</v>
      </c>
      <c r="Q1797" s="214" t="b">
        <v>1</v>
      </c>
      <c r="R1797" s="214">
        <v>100.0</v>
      </c>
      <c r="S1797" s="214" t="s">
        <v>556</v>
      </c>
      <c r="T1797" s="214" t="s">
        <v>321</v>
      </c>
      <c r="U1797" s="214"/>
    </row>
    <row r="1798">
      <c r="A1798" s="221">
        <v>45986.06845535879</v>
      </c>
      <c r="B1798" s="214" t="s">
        <v>95</v>
      </c>
      <c r="C1798" s="214" t="s">
        <v>117</v>
      </c>
      <c r="D1798" s="214">
        <v>6.0</v>
      </c>
      <c r="E1798" s="214">
        <v>5.0</v>
      </c>
      <c r="F1798" s="214" t="s">
        <v>1771</v>
      </c>
      <c r="G1798" s="214" t="s">
        <v>61</v>
      </c>
      <c r="H1798" s="214" t="s">
        <v>224</v>
      </c>
      <c r="I1798" s="214"/>
      <c r="J1798" s="222" t="s">
        <v>67</v>
      </c>
      <c r="K1798" s="222">
        <v>6.0</v>
      </c>
      <c r="L1798" s="222" t="s">
        <v>67</v>
      </c>
      <c r="M1798" s="222">
        <v>59.5</v>
      </c>
      <c r="N1798" s="214">
        <v>320.0</v>
      </c>
      <c r="O1798" s="214">
        <v>327.0</v>
      </c>
      <c r="P1798" s="214">
        <v>2.0</v>
      </c>
      <c r="Q1798" s="214" t="b">
        <v>1</v>
      </c>
      <c r="R1798" s="214">
        <v>100.0</v>
      </c>
      <c r="S1798" s="214" t="s">
        <v>317</v>
      </c>
      <c r="T1798" s="214" t="s">
        <v>321</v>
      </c>
      <c r="U1798" s="214"/>
    </row>
    <row r="1799">
      <c r="A1799" s="221">
        <v>45986.06845535879</v>
      </c>
      <c r="B1799" s="214"/>
      <c r="C1799" s="214"/>
      <c r="D1799" s="214"/>
      <c r="E1799" s="214"/>
      <c r="F1799" s="214"/>
      <c r="G1799" s="214"/>
      <c r="H1799" s="214"/>
      <c r="I1799" s="214"/>
      <c r="J1799" s="222"/>
      <c r="K1799" s="222"/>
      <c r="L1799" s="222"/>
      <c r="M1799" s="222"/>
      <c r="N1799" s="214"/>
      <c r="O1799" s="214"/>
      <c r="P1799" s="214"/>
      <c r="Q1799" s="214"/>
      <c r="R1799" s="214"/>
      <c r="S1799" s="214"/>
      <c r="T1799" s="214"/>
      <c r="U1799" s="214"/>
    </row>
    <row r="1800">
      <c r="A1800" s="221">
        <v>45986.06845535879</v>
      </c>
      <c r="B1800" s="214" t="s">
        <v>62</v>
      </c>
      <c r="C1800" s="214" t="s">
        <v>304</v>
      </c>
      <c r="D1800" s="214">
        <v>4.0</v>
      </c>
      <c r="E1800" s="214">
        <v>7.0</v>
      </c>
      <c r="F1800" s="214"/>
      <c r="G1800" s="214"/>
      <c r="H1800" s="214"/>
      <c r="I1800" s="214"/>
      <c r="J1800" s="222"/>
      <c r="K1800" s="222"/>
      <c r="L1800" s="222"/>
      <c r="M1800" s="222"/>
      <c r="N1800" s="214">
        <v>268.0</v>
      </c>
      <c r="O1800" s="214">
        <v>326.0</v>
      </c>
      <c r="P1800" s="214">
        <v>0.0</v>
      </c>
      <c r="Q1800" s="214" t="b">
        <v>0</v>
      </c>
      <c r="R1800" s="214">
        <v>59.0</v>
      </c>
      <c r="S1800" s="214" t="s">
        <v>530</v>
      </c>
      <c r="T1800" s="214" t="s">
        <v>365</v>
      </c>
      <c r="U1800" s="214"/>
    </row>
    <row r="1801">
      <c r="A1801" s="221">
        <v>45986.06845535879</v>
      </c>
      <c r="B1801" s="214" t="s">
        <v>62</v>
      </c>
      <c r="C1801" s="214" t="s">
        <v>196</v>
      </c>
      <c r="D1801" s="214">
        <v>3.0</v>
      </c>
      <c r="E1801" s="214">
        <v>8.0</v>
      </c>
      <c r="F1801" s="214" t="s">
        <v>1772</v>
      </c>
      <c r="G1801" s="214" t="s">
        <v>61</v>
      </c>
      <c r="H1801" s="214" t="s">
        <v>62</v>
      </c>
      <c r="I1801" s="214"/>
      <c r="J1801" s="222" t="s">
        <v>67</v>
      </c>
      <c r="K1801" s="222">
        <v>10.5</v>
      </c>
      <c r="L1801" s="222" t="s">
        <v>67</v>
      </c>
      <c r="M1801" s="222">
        <v>51.5</v>
      </c>
      <c r="N1801" s="214">
        <v>208.0</v>
      </c>
      <c r="O1801" s="214">
        <v>372.0</v>
      </c>
      <c r="P1801" s="214">
        <v>2.0</v>
      </c>
      <c r="Q1801" s="214" t="b">
        <v>0</v>
      </c>
      <c r="R1801" s="214">
        <v>100.0</v>
      </c>
      <c r="S1801" s="214" t="s">
        <v>407</v>
      </c>
      <c r="T1801" s="214" t="s">
        <v>321</v>
      </c>
      <c r="U1801" s="214"/>
    </row>
    <row r="1802">
      <c r="A1802" s="221">
        <v>45986.06845535879</v>
      </c>
      <c r="B1802" s="214" t="s">
        <v>62</v>
      </c>
      <c r="C1802" s="214" t="s">
        <v>199</v>
      </c>
      <c r="D1802" s="214">
        <v>8.0</v>
      </c>
      <c r="E1802" s="214">
        <v>3.0</v>
      </c>
      <c r="F1802" s="214" t="s">
        <v>1772</v>
      </c>
      <c r="G1802" s="214" t="s">
        <v>61</v>
      </c>
      <c r="H1802" s="214" t="s">
        <v>62</v>
      </c>
      <c r="I1802" s="214"/>
      <c r="J1802" s="222" t="s">
        <v>67</v>
      </c>
      <c r="K1802" s="222">
        <v>-10.5</v>
      </c>
      <c r="L1802" s="222" t="s">
        <v>67</v>
      </c>
      <c r="M1802" s="222">
        <v>51.5</v>
      </c>
      <c r="N1802" s="214">
        <v>391.0</v>
      </c>
      <c r="O1802" s="214">
        <v>207.0</v>
      </c>
      <c r="P1802" s="214">
        <v>2.0</v>
      </c>
      <c r="Q1802" s="214" t="b">
        <v>1</v>
      </c>
      <c r="R1802" s="214">
        <v>100.0</v>
      </c>
      <c r="S1802" s="214" t="s">
        <v>407</v>
      </c>
      <c r="T1802" s="214" t="s">
        <v>321</v>
      </c>
      <c r="U1802" s="214"/>
    </row>
    <row r="1803">
      <c r="A1803" s="221">
        <v>45986.06845535879</v>
      </c>
      <c r="B1803" s="214" t="s">
        <v>62</v>
      </c>
      <c r="C1803" s="214" t="s">
        <v>190</v>
      </c>
      <c r="D1803" s="214">
        <v>6.0</v>
      </c>
      <c r="E1803" s="214">
        <v>5.0</v>
      </c>
      <c r="F1803" s="214" t="s">
        <v>1773</v>
      </c>
      <c r="G1803" s="214" t="s">
        <v>61</v>
      </c>
      <c r="H1803" s="214" t="s">
        <v>493</v>
      </c>
      <c r="I1803" s="214"/>
      <c r="J1803" s="222" t="s">
        <v>67</v>
      </c>
      <c r="K1803" s="222">
        <v>-3.5</v>
      </c>
      <c r="L1803" s="222" t="s">
        <v>67</v>
      </c>
      <c r="M1803" s="222">
        <v>47.5</v>
      </c>
      <c r="N1803" s="214">
        <v>260.0</v>
      </c>
      <c r="O1803" s="214">
        <v>283.0</v>
      </c>
      <c r="P1803" s="214">
        <v>2.0</v>
      </c>
      <c r="Q1803" s="214" t="b">
        <v>1</v>
      </c>
      <c r="R1803" s="214">
        <v>100.0</v>
      </c>
      <c r="S1803" s="214" t="s">
        <v>317</v>
      </c>
      <c r="T1803" s="214" t="s">
        <v>321</v>
      </c>
      <c r="U1803" s="214"/>
    </row>
    <row r="1804">
      <c r="A1804" s="221">
        <v>45986.06845535879</v>
      </c>
      <c r="B1804" s="214" t="s">
        <v>62</v>
      </c>
      <c r="C1804" s="214" t="s">
        <v>178</v>
      </c>
      <c r="D1804" s="214">
        <v>2.0</v>
      </c>
      <c r="E1804" s="214">
        <v>9.0</v>
      </c>
      <c r="F1804" s="214" t="s">
        <v>1762</v>
      </c>
      <c r="G1804" s="214" t="s">
        <v>61</v>
      </c>
      <c r="H1804" s="214" t="s">
        <v>95</v>
      </c>
      <c r="I1804" s="214"/>
      <c r="J1804" s="222" t="s">
        <v>67</v>
      </c>
      <c r="K1804" s="222">
        <v>17.5</v>
      </c>
      <c r="L1804" s="222" t="s">
        <v>67</v>
      </c>
      <c r="M1804" s="222">
        <v>45.5</v>
      </c>
      <c r="N1804" s="214">
        <v>201.0</v>
      </c>
      <c r="O1804" s="214">
        <v>328.0</v>
      </c>
      <c r="P1804" s="214">
        <v>2.0</v>
      </c>
      <c r="Q1804" s="214" t="b">
        <v>1</v>
      </c>
      <c r="R1804" s="214">
        <v>100.0</v>
      </c>
      <c r="S1804" s="214" t="s">
        <v>525</v>
      </c>
      <c r="T1804" s="214" t="s">
        <v>365</v>
      </c>
      <c r="U1804" s="214"/>
    </row>
    <row r="1805">
      <c r="A1805" s="221">
        <v>45986.06845535879</v>
      </c>
      <c r="B1805" s="214" t="s">
        <v>62</v>
      </c>
      <c r="C1805" s="214" t="s">
        <v>127</v>
      </c>
      <c r="D1805" s="214">
        <v>5.0</v>
      </c>
      <c r="E1805" s="214">
        <v>6.0</v>
      </c>
      <c r="F1805" s="214" t="s">
        <v>1764</v>
      </c>
      <c r="G1805" s="214" t="s">
        <v>61</v>
      </c>
      <c r="H1805" s="214" t="s">
        <v>95</v>
      </c>
      <c r="I1805" s="214"/>
      <c r="J1805" s="222" t="s">
        <v>67</v>
      </c>
      <c r="K1805" s="222">
        <v>17.5</v>
      </c>
      <c r="L1805" s="222" t="s">
        <v>67</v>
      </c>
      <c r="M1805" s="222">
        <v>51.5</v>
      </c>
      <c r="N1805" s="214">
        <v>329.0</v>
      </c>
      <c r="O1805" s="214">
        <v>306.0</v>
      </c>
      <c r="P1805" s="214">
        <v>2.0</v>
      </c>
      <c r="Q1805" s="214" t="b">
        <v>1</v>
      </c>
      <c r="R1805" s="214">
        <v>100.0</v>
      </c>
      <c r="S1805" s="214" t="s">
        <v>471</v>
      </c>
      <c r="T1805" s="214" t="s">
        <v>321</v>
      </c>
      <c r="U1805" s="214"/>
    </row>
    <row r="1806">
      <c r="A1806" s="221">
        <v>45986.06845535879</v>
      </c>
      <c r="B1806" s="214" t="s">
        <v>62</v>
      </c>
      <c r="C1806" s="214" t="s">
        <v>163</v>
      </c>
      <c r="D1806" s="214">
        <v>3.0</v>
      </c>
      <c r="E1806" s="214">
        <v>8.0</v>
      </c>
      <c r="F1806" s="214" t="s">
        <v>1774</v>
      </c>
      <c r="G1806" s="214" t="s">
        <v>61</v>
      </c>
      <c r="H1806" s="214" t="s">
        <v>96</v>
      </c>
      <c r="I1806" s="214"/>
      <c r="J1806" s="222" t="s">
        <v>67</v>
      </c>
      <c r="K1806" s="222">
        <v>21.5</v>
      </c>
      <c r="L1806" s="222" t="s">
        <v>67</v>
      </c>
      <c r="M1806" s="222">
        <v>68.5</v>
      </c>
      <c r="N1806" s="214">
        <v>286.0</v>
      </c>
      <c r="O1806" s="214">
        <v>435.0</v>
      </c>
      <c r="P1806" s="214">
        <v>2.0</v>
      </c>
      <c r="Q1806" s="214" t="b">
        <v>0</v>
      </c>
      <c r="R1806" s="214">
        <v>100.0</v>
      </c>
      <c r="S1806" s="214" t="s">
        <v>361</v>
      </c>
      <c r="T1806" s="214" t="s">
        <v>365</v>
      </c>
      <c r="U1806" s="214"/>
    </row>
    <row r="1807">
      <c r="A1807" s="221">
        <v>45986.06845535879</v>
      </c>
      <c r="B1807" s="214" t="s">
        <v>62</v>
      </c>
      <c r="C1807" s="214" t="s">
        <v>201</v>
      </c>
      <c r="D1807" s="214">
        <v>9.0</v>
      </c>
      <c r="E1807" s="214">
        <v>2.0</v>
      </c>
      <c r="F1807" s="214" t="s">
        <v>1775</v>
      </c>
      <c r="G1807" s="214" t="s">
        <v>61</v>
      </c>
      <c r="H1807" s="214"/>
      <c r="I1807" s="214"/>
      <c r="J1807" s="222" t="s">
        <v>67</v>
      </c>
      <c r="K1807" s="222">
        <v>-50.5</v>
      </c>
      <c r="L1807" s="222" t="s">
        <v>67</v>
      </c>
      <c r="M1807" s="222">
        <v>57.5</v>
      </c>
      <c r="N1807" s="214">
        <v>372.0</v>
      </c>
      <c r="O1807" s="214">
        <v>178.0</v>
      </c>
      <c r="P1807" s="214">
        <v>2.0</v>
      </c>
      <c r="Q1807" s="214" t="b">
        <v>0</v>
      </c>
      <c r="R1807" s="214">
        <v>100.0</v>
      </c>
      <c r="S1807" s="214" t="s">
        <v>556</v>
      </c>
      <c r="T1807" s="214" t="s">
        <v>321</v>
      </c>
      <c r="U1807" s="214"/>
    </row>
    <row r="1808">
      <c r="A1808" s="221">
        <v>45986.06845535879</v>
      </c>
      <c r="B1808" s="214" t="s">
        <v>62</v>
      </c>
      <c r="C1808" s="214" t="s">
        <v>155</v>
      </c>
      <c r="D1808" s="214">
        <v>8.0</v>
      </c>
      <c r="E1808" s="214">
        <v>3.0</v>
      </c>
      <c r="F1808" s="214" t="s">
        <v>1776</v>
      </c>
      <c r="G1808" s="214" t="s">
        <v>61</v>
      </c>
      <c r="H1808" s="214" t="s">
        <v>224</v>
      </c>
      <c r="I1808" s="214"/>
      <c r="J1808" s="222" t="s">
        <v>67</v>
      </c>
      <c r="K1808" s="222">
        <v>-10.5</v>
      </c>
      <c r="L1808" s="222" t="s">
        <v>67</v>
      </c>
      <c r="M1808" s="222">
        <v>62.5</v>
      </c>
      <c r="N1808" s="214">
        <v>365.0</v>
      </c>
      <c r="O1808" s="214">
        <v>221.0</v>
      </c>
      <c r="P1808" s="214">
        <v>2.0</v>
      </c>
      <c r="Q1808" s="214" t="b">
        <v>1</v>
      </c>
      <c r="R1808" s="214">
        <v>100.0</v>
      </c>
      <c r="S1808" s="214" t="s">
        <v>441</v>
      </c>
      <c r="T1808" s="214" t="s">
        <v>365</v>
      </c>
      <c r="U1808" s="214"/>
    </row>
    <row r="1809">
      <c r="A1809" s="221">
        <v>45986.06845535879</v>
      </c>
      <c r="B1809" s="214" t="s">
        <v>62</v>
      </c>
      <c r="C1809" s="214" t="s">
        <v>227</v>
      </c>
      <c r="D1809" s="214">
        <v>4.0</v>
      </c>
      <c r="E1809" s="214">
        <v>7.0</v>
      </c>
      <c r="F1809" s="214" t="s">
        <v>1777</v>
      </c>
      <c r="G1809" s="214" t="s">
        <v>532</v>
      </c>
      <c r="H1809" s="214" t="s">
        <v>249</v>
      </c>
      <c r="I1809" s="214"/>
      <c r="J1809" s="222" t="s">
        <v>67</v>
      </c>
      <c r="K1809" s="222">
        <v>-1.5</v>
      </c>
      <c r="L1809" s="222" t="s">
        <v>67</v>
      </c>
      <c r="M1809" s="222">
        <v>45.5</v>
      </c>
      <c r="N1809" s="214">
        <v>265.0</v>
      </c>
      <c r="O1809" s="214">
        <v>270.0</v>
      </c>
      <c r="P1809" s="214">
        <v>2.0</v>
      </c>
      <c r="Q1809" s="214" t="b">
        <v>0</v>
      </c>
      <c r="R1809" s="214">
        <v>100.0</v>
      </c>
      <c r="S1809" s="214" t="s">
        <v>535</v>
      </c>
      <c r="T1809" s="214" t="s">
        <v>365</v>
      </c>
      <c r="U1809" s="214"/>
    </row>
    <row r="1810">
      <c r="A1810" s="221">
        <v>45986.06845535879</v>
      </c>
      <c r="B1810" s="214"/>
      <c r="C1810" s="214"/>
      <c r="D1810" s="214"/>
      <c r="E1810" s="214"/>
      <c r="F1810" s="214"/>
      <c r="G1810" s="214"/>
      <c r="H1810" s="214"/>
      <c r="I1810" s="214"/>
      <c r="J1810" s="222"/>
      <c r="K1810" s="222"/>
      <c r="L1810" s="222"/>
      <c r="M1810" s="222"/>
      <c r="N1810" s="214"/>
      <c r="O1810" s="214"/>
      <c r="P1810" s="214"/>
      <c r="Q1810" s="214"/>
      <c r="R1810" s="214"/>
      <c r="S1810" s="214"/>
      <c r="T1810" s="214"/>
      <c r="U1810" s="214"/>
    </row>
    <row r="1811">
      <c r="A1811" s="221">
        <v>45986.06845535879</v>
      </c>
      <c r="B1811" s="214" t="s">
        <v>193</v>
      </c>
      <c r="C1811" s="214" t="s">
        <v>194</v>
      </c>
      <c r="D1811" s="214">
        <v>2.0</v>
      </c>
      <c r="E1811" s="214">
        <v>9.0</v>
      </c>
      <c r="F1811" s="214"/>
      <c r="G1811" s="214"/>
      <c r="H1811" s="214"/>
      <c r="I1811" s="214"/>
      <c r="J1811" s="222"/>
      <c r="K1811" s="222"/>
      <c r="L1811" s="222"/>
      <c r="M1811" s="222"/>
      <c r="N1811" s="214">
        <v>210.0</v>
      </c>
      <c r="O1811" s="214">
        <v>321.0</v>
      </c>
      <c r="P1811" s="214">
        <v>0.0</v>
      </c>
      <c r="Q1811" s="214" t="b">
        <v>1</v>
      </c>
      <c r="R1811" s="214">
        <v>59.0</v>
      </c>
      <c r="S1811" s="214" t="s">
        <v>680</v>
      </c>
      <c r="T1811" s="214" t="s">
        <v>365</v>
      </c>
      <c r="U1811" s="214"/>
    </row>
    <row r="1812">
      <c r="A1812" s="221">
        <v>45986.06845535879</v>
      </c>
      <c r="B1812" s="214" t="s">
        <v>193</v>
      </c>
      <c r="C1812" s="214" t="s">
        <v>211</v>
      </c>
      <c r="D1812" s="214">
        <v>8.0</v>
      </c>
      <c r="E1812" s="214">
        <v>3.0</v>
      </c>
      <c r="F1812" s="214" t="s">
        <v>1778</v>
      </c>
      <c r="G1812" s="214" t="s">
        <v>61</v>
      </c>
      <c r="H1812" s="214" t="s">
        <v>224</v>
      </c>
      <c r="I1812" s="214"/>
      <c r="J1812" s="222" t="s">
        <v>67</v>
      </c>
      <c r="K1812" s="222">
        <v>-4.0</v>
      </c>
      <c r="L1812" s="222" t="s">
        <v>67</v>
      </c>
      <c r="M1812" s="222">
        <v>57.5</v>
      </c>
      <c r="N1812" s="214">
        <v>465.0</v>
      </c>
      <c r="O1812" s="214">
        <v>300.0</v>
      </c>
      <c r="P1812" s="214">
        <v>2.0</v>
      </c>
      <c r="Q1812" s="214" t="b">
        <v>1</v>
      </c>
      <c r="R1812" s="214">
        <v>100.0</v>
      </c>
      <c r="S1812" s="214" t="s">
        <v>556</v>
      </c>
      <c r="T1812" s="214" t="s">
        <v>321</v>
      </c>
      <c r="U1812" s="214"/>
    </row>
    <row r="1813">
      <c r="A1813" s="221">
        <v>45986.06845535879</v>
      </c>
      <c r="B1813" s="214" t="s">
        <v>193</v>
      </c>
      <c r="C1813" s="214" t="s">
        <v>182</v>
      </c>
      <c r="D1813" s="214">
        <v>8.0</v>
      </c>
      <c r="E1813" s="214">
        <v>3.0</v>
      </c>
      <c r="F1813" s="214" t="s">
        <v>1756</v>
      </c>
      <c r="G1813" s="214" t="s">
        <v>61</v>
      </c>
      <c r="H1813" s="214" t="s">
        <v>43</v>
      </c>
      <c r="I1813" s="214"/>
      <c r="J1813" s="222" t="s">
        <v>67</v>
      </c>
      <c r="K1813" s="222">
        <v>-4.0</v>
      </c>
      <c r="L1813" s="222" t="s">
        <v>67</v>
      </c>
      <c r="M1813" s="222">
        <v>54.5</v>
      </c>
      <c r="N1813" s="214">
        <v>312.0</v>
      </c>
      <c r="O1813" s="214">
        <v>253.0</v>
      </c>
      <c r="P1813" s="214">
        <v>2.0</v>
      </c>
      <c r="Q1813" s="214" t="b">
        <v>0</v>
      </c>
      <c r="R1813" s="214">
        <v>100.0</v>
      </c>
      <c r="S1813" s="214" t="s">
        <v>525</v>
      </c>
      <c r="T1813" s="214" t="s">
        <v>365</v>
      </c>
      <c r="U1813" s="214"/>
    </row>
    <row r="1814">
      <c r="A1814" s="221">
        <v>45986.06845535879</v>
      </c>
      <c r="B1814" s="214" t="s">
        <v>193</v>
      </c>
      <c r="C1814" s="214" t="s">
        <v>150</v>
      </c>
      <c r="D1814" s="214">
        <v>4.0</v>
      </c>
      <c r="E1814" s="214">
        <v>7.0</v>
      </c>
      <c r="F1814" s="214" t="s">
        <v>1779</v>
      </c>
      <c r="G1814" s="214" t="s">
        <v>61</v>
      </c>
      <c r="H1814" s="214" t="s">
        <v>395</v>
      </c>
      <c r="I1814" s="214"/>
      <c r="J1814" s="222" t="s">
        <v>67</v>
      </c>
      <c r="K1814" s="222">
        <v>7.0</v>
      </c>
      <c r="L1814" s="222" t="s">
        <v>67</v>
      </c>
      <c r="M1814" s="222">
        <v>64.5</v>
      </c>
      <c r="N1814" s="214">
        <v>351.0</v>
      </c>
      <c r="O1814" s="214">
        <v>394.0</v>
      </c>
      <c r="P1814" s="214">
        <v>2.0</v>
      </c>
      <c r="Q1814" s="214" t="b">
        <v>1</v>
      </c>
      <c r="R1814" s="214">
        <v>100.0</v>
      </c>
      <c r="S1814" s="214" t="s">
        <v>361</v>
      </c>
      <c r="T1814" s="214" t="s">
        <v>365</v>
      </c>
      <c r="U1814" s="214"/>
    </row>
    <row r="1815">
      <c r="A1815" s="221">
        <v>45986.06845535879</v>
      </c>
      <c r="B1815" s="214" t="s">
        <v>193</v>
      </c>
      <c r="C1815" s="214" t="s">
        <v>236</v>
      </c>
      <c r="D1815" s="214">
        <v>7.0</v>
      </c>
      <c r="E1815" s="214">
        <v>4.0</v>
      </c>
      <c r="F1815" s="214" t="s">
        <v>1768</v>
      </c>
      <c r="G1815" s="214" t="s">
        <v>61</v>
      </c>
      <c r="H1815" s="214" t="s">
        <v>95</v>
      </c>
      <c r="I1815" s="214"/>
      <c r="J1815" s="222" t="s">
        <v>67</v>
      </c>
      <c r="K1815" s="222">
        <v>6.5</v>
      </c>
      <c r="L1815" s="222" t="s">
        <v>67</v>
      </c>
      <c r="M1815" s="222">
        <v>55.5</v>
      </c>
      <c r="N1815" s="214">
        <v>275.0</v>
      </c>
      <c r="O1815" s="214">
        <v>298.0</v>
      </c>
      <c r="P1815" s="214">
        <v>2.0</v>
      </c>
      <c r="Q1815" s="214" t="b">
        <v>0</v>
      </c>
      <c r="R1815" s="214">
        <v>100.0</v>
      </c>
      <c r="S1815" s="214" t="s">
        <v>535</v>
      </c>
      <c r="T1815" s="214" t="s">
        <v>365</v>
      </c>
      <c r="U1815" s="214"/>
    </row>
    <row r="1816">
      <c r="A1816" s="221">
        <v>45986.06845535879</v>
      </c>
      <c r="B1816" s="214" t="s">
        <v>193</v>
      </c>
      <c r="C1816" s="214" t="s">
        <v>144</v>
      </c>
      <c r="D1816" s="214">
        <v>11.0</v>
      </c>
      <c r="E1816" s="214">
        <v>0.0</v>
      </c>
      <c r="F1816" s="214" t="s">
        <v>1780</v>
      </c>
      <c r="G1816" s="214" t="s">
        <v>61</v>
      </c>
      <c r="H1816" s="214" t="s">
        <v>395</v>
      </c>
      <c r="I1816" s="214"/>
      <c r="J1816" s="222" t="s">
        <v>67</v>
      </c>
      <c r="K1816" s="222">
        <v>-32.5</v>
      </c>
      <c r="L1816" s="222" t="s">
        <v>67</v>
      </c>
      <c r="M1816" s="222">
        <v>55.5</v>
      </c>
      <c r="N1816" s="214">
        <v>417.0</v>
      </c>
      <c r="O1816" s="214">
        <v>84.0</v>
      </c>
      <c r="P1816" s="214">
        <v>2.0</v>
      </c>
      <c r="Q1816" s="214" t="b">
        <v>1</v>
      </c>
      <c r="R1816" s="214">
        <v>100.0</v>
      </c>
      <c r="S1816" s="214" t="s">
        <v>407</v>
      </c>
      <c r="T1816" s="214" t="s">
        <v>321</v>
      </c>
      <c r="U1816" s="214"/>
    </row>
    <row r="1817">
      <c r="A1817" s="221">
        <v>45986.06845535879</v>
      </c>
      <c r="B1817" s="214" t="s">
        <v>193</v>
      </c>
      <c r="C1817" s="214" t="s">
        <v>104</v>
      </c>
      <c r="D1817" s="214">
        <v>8.0</v>
      </c>
      <c r="E1817" s="214">
        <v>3.0</v>
      </c>
      <c r="F1817" s="214" t="s">
        <v>1781</v>
      </c>
      <c r="G1817" s="214" t="s">
        <v>61</v>
      </c>
      <c r="H1817" s="214" t="s">
        <v>132</v>
      </c>
      <c r="I1817" s="214"/>
      <c r="J1817" s="222" t="s">
        <v>67</v>
      </c>
      <c r="K1817" s="222">
        <v>-3.0</v>
      </c>
      <c r="L1817" s="222" t="s">
        <v>67</v>
      </c>
      <c r="M1817" s="222">
        <v>51.5</v>
      </c>
      <c r="N1817" s="214">
        <v>360.0</v>
      </c>
      <c r="O1817" s="214">
        <v>210.0</v>
      </c>
      <c r="P1817" s="214">
        <v>2.0</v>
      </c>
      <c r="Q1817" s="214" t="b">
        <v>1</v>
      </c>
      <c r="R1817" s="214">
        <v>100.0</v>
      </c>
      <c r="S1817" s="214" t="s">
        <v>317</v>
      </c>
      <c r="T1817" s="214" t="s">
        <v>321</v>
      </c>
      <c r="U1817" s="214"/>
    </row>
    <row r="1818">
      <c r="A1818" s="221">
        <v>45986.06845535879</v>
      </c>
      <c r="B1818" s="214" t="s">
        <v>193</v>
      </c>
      <c r="C1818" s="214" t="s">
        <v>126</v>
      </c>
      <c r="D1818" s="214">
        <v>5.0</v>
      </c>
      <c r="E1818" s="214">
        <v>6.0</v>
      </c>
      <c r="F1818" s="214" t="s">
        <v>1782</v>
      </c>
      <c r="G1818" s="214" t="s">
        <v>61</v>
      </c>
      <c r="H1818" s="214" t="s">
        <v>311</v>
      </c>
      <c r="I1818" s="214"/>
      <c r="J1818" s="222" t="s">
        <v>67</v>
      </c>
      <c r="K1818" s="222">
        <v>3.5</v>
      </c>
      <c r="L1818" s="222" t="s">
        <v>67</v>
      </c>
      <c r="M1818" s="222">
        <v>55.5</v>
      </c>
      <c r="N1818" s="214">
        <v>316.0</v>
      </c>
      <c r="O1818" s="214">
        <v>290.0</v>
      </c>
      <c r="P1818" s="214">
        <v>2.0</v>
      </c>
      <c r="Q1818" s="214" t="b">
        <v>1</v>
      </c>
      <c r="R1818" s="214">
        <v>100.0</v>
      </c>
      <c r="S1818" s="214" t="s">
        <v>471</v>
      </c>
      <c r="T1818" s="214" t="s">
        <v>321</v>
      </c>
      <c r="U1818" s="214"/>
    </row>
    <row r="1819">
      <c r="A1819" s="221">
        <v>45986.06845535879</v>
      </c>
      <c r="B1819" s="214" t="s">
        <v>193</v>
      </c>
      <c r="C1819" s="214" t="s">
        <v>552</v>
      </c>
      <c r="D1819" s="214">
        <v>5.0</v>
      </c>
      <c r="E1819" s="214">
        <v>6.0</v>
      </c>
      <c r="F1819" s="214" t="s">
        <v>1783</v>
      </c>
      <c r="G1819" s="214" t="s">
        <v>61</v>
      </c>
      <c r="H1819" s="214" t="s">
        <v>132</v>
      </c>
      <c r="I1819" s="214"/>
      <c r="J1819" s="222" t="s">
        <v>67</v>
      </c>
      <c r="K1819" s="222">
        <v>2.5</v>
      </c>
      <c r="L1819" s="222" t="s">
        <v>67</v>
      </c>
      <c r="M1819" s="222">
        <v>54.5</v>
      </c>
      <c r="N1819" s="214">
        <v>295.0</v>
      </c>
      <c r="O1819" s="214">
        <v>333.0</v>
      </c>
      <c r="P1819" s="214">
        <v>2.0</v>
      </c>
      <c r="Q1819" s="214" t="b">
        <v>0</v>
      </c>
      <c r="R1819" s="214">
        <v>100.0</v>
      </c>
      <c r="S1819" s="214" t="s">
        <v>441</v>
      </c>
      <c r="T1819" s="214" t="s">
        <v>365</v>
      </c>
      <c r="U1819" s="214"/>
    </row>
    <row r="1820">
      <c r="A1820" s="221">
        <v>45986.06845535879</v>
      </c>
      <c r="B1820" s="214" t="s">
        <v>193</v>
      </c>
      <c r="C1820" s="214" t="s">
        <v>164</v>
      </c>
      <c r="D1820" s="214">
        <v>5.0</v>
      </c>
      <c r="E1820" s="214">
        <v>7.0</v>
      </c>
      <c r="F1820" s="214" t="s">
        <v>1784</v>
      </c>
      <c r="G1820" s="214" t="s">
        <v>61</v>
      </c>
      <c r="H1820" s="214" t="s">
        <v>224</v>
      </c>
      <c r="I1820" s="214"/>
      <c r="J1820" s="222" t="s">
        <v>67</v>
      </c>
      <c r="K1820" s="222">
        <v>3.0</v>
      </c>
      <c r="L1820" s="222" t="s">
        <v>67</v>
      </c>
      <c r="M1820" s="222">
        <v>46.5</v>
      </c>
      <c r="N1820" s="214">
        <v>267.0</v>
      </c>
      <c r="O1820" s="214">
        <v>329.0</v>
      </c>
      <c r="P1820" s="214">
        <v>2.0</v>
      </c>
      <c r="Q1820" s="214" t="b">
        <v>1</v>
      </c>
      <c r="R1820" s="214">
        <v>100.0</v>
      </c>
      <c r="S1820" s="214" t="s">
        <v>530</v>
      </c>
      <c r="T1820" s="214" t="s">
        <v>365</v>
      </c>
      <c r="U1820" s="214"/>
    </row>
    <row r="1821">
      <c r="A1821" s="221">
        <v>45986.06845535879</v>
      </c>
      <c r="B1821" s="214"/>
      <c r="C1821" s="214"/>
      <c r="D1821" s="214"/>
      <c r="E1821" s="214"/>
      <c r="F1821" s="214"/>
      <c r="G1821" s="214"/>
      <c r="H1821" s="214"/>
      <c r="I1821" s="214"/>
      <c r="J1821" s="222"/>
      <c r="K1821" s="222"/>
      <c r="L1821" s="222"/>
      <c r="M1821" s="222"/>
      <c r="N1821" s="214"/>
      <c r="O1821" s="214"/>
      <c r="P1821" s="214"/>
      <c r="Q1821" s="214"/>
      <c r="R1821" s="214"/>
      <c r="S1821" s="214"/>
      <c r="T1821" s="214"/>
      <c r="U1821" s="214"/>
    </row>
    <row r="1822">
      <c r="A1822" s="221">
        <v>45986.06845535879</v>
      </c>
      <c r="B1822" s="214" t="s">
        <v>311</v>
      </c>
      <c r="C1822" s="214" t="s">
        <v>186</v>
      </c>
      <c r="D1822" s="214">
        <v>6.0</v>
      </c>
      <c r="E1822" s="214">
        <v>5.0</v>
      </c>
      <c r="F1822" s="214" t="s">
        <v>1785</v>
      </c>
      <c r="G1822" s="214" t="s">
        <v>61</v>
      </c>
      <c r="H1822" s="214" t="s">
        <v>395</v>
      </c>
      <c r="I1822" s="214"/>
      <c r="J1822" s="222" t="s">
        <v>67</v>
      </c>
      <c r="K1822" s="222">
        <v>3.0</v>
      </c>
      <c r="L1822" s="222" t="s">
        <v>67</v>
      </c>
      <c r="M1822" s="222">
        <v>50.5</v>
      </c>
      <c r="N1822" s="214">
        <v>357.0</v>
      </c>
      <c r="O1822" s="214">
        <v>314.0</v>
      </c>
      <c r="P1822" s="214">
        <v>2.0</v>
      </c>
      <c r="Q1822" s="214" t="b">
        <v>1</v>
      </c>
      <c r="R1822" s="214">
        <v>100.0</v>
      </c>
      <c r="S1822" s="214" t="s">
        <v>525</v>
      </c>
      <c r="T1822" s="214" t="s">
        <v>365</v>
      </c>
      <c r="U1822" s="214"/>
    </row>
    <row r="1823">
      <c r="A1823" s="221">
        <v>45986.06845535879</v>
      </c>
      <c r="B1823" s="214" t="s">
        <v>311</v>
      </c>
      <c r="C1823" s="214" t="s">
        <v>206</v>
      </c>
      <c r="D1823" s="214">
        <v>7.0</v>
      </c>
      <c r="E1823" s="214">
        <v>4.0</v>
      </c>
      <c r="F1823" s="214" t="s">
        <v>1786</v>
      </c>
      <c r="G1823" s="214" t="s">
        <v>61</v>
      </c>
      <c r="H1823" s="214" t="s">
        <v>395</v>
      </c>
      <c r="I1823" s="214"/>
      <c r="J1823" s="222" t="s">
        <v>67</v>
      </c>
      <c r="K1823" s="222">
        <v>-21.5</v>
      </c>
      <c r="L1823" s="222" t="s">
        <v>67</v>
      </c>
      <c r="M1823" s="222">
        <v>50.5</v>
      </c>
      <c r="N1823" s="214">
        <v>249.0</v>
      </c>
      <c r="O1823" s="214">
        <v>203.0</v>
      </c>
      <c r="P1823" s="214">
        <v>2.0</v>
      </c>
      <c r="Q1823" s="214" t="b">
        <v>0</v>
      </c>
      <c r="R1823" s="214">
        <v>100.0</v>
      </c>
      <c r="S1823" s="214" t="s">
        <v>556</v>
      </c>
      <c r="T1823" s="214" t="s">
        <v>321</v>
      </c>
      <c r="U1823" s="214"/>
    </row>
    <row r="1824">
      <c r="A1824" s="221">
        <v>45986.06845535879</v>
      </c>
      <c r="B1824" s="214" t="s">
        <v>311</v>
      </c>
      <c r="C1824" s="214" t="s">
        <v>192</v>
      </c>
      <c r="D1824" s="214">
        <v>10.0</v>
      </c>
      <c r="E1824" s="214">
        <v>1.0</v>
      </c>
      <c r="F1824" s="214" t="s">
        <v>1765</v>
      </c>
      <c r="G1824" s="214" t="s">
        <v>61</v>
      </c>
      <c r="H1824" s="214" t="s">
        <v>95</v>
      </c>
      <c r="I1824" s="214"/>
      <c r="J1824" s="222" t="s">
        <v>67</v>
      </c>
      <c r="K1824" s="222">
        <v>-10.0</v>
      </c>
      <c r="L1824" s="222" t="s">
        <v>67</v>
      </c>
      <c r="M1824" s="222">
        <v>59.5</v>
      </c>
      <c r="N1824" s="214">
        <v>432.0</v>
      </c>
      <c r="O1824" s="214">
        <v>164.0</v>
      </c>
      <c r="P1824" s="214">
        <v>2.0</v>
      </c>
      <c r="Q1824" s="214" t="b">
        <v>1</v>
      </c>
      <c r="R1824" s="214">
        <v>100.0</v>
      </c>
      <c r="S1824" s="214" t="s">
        <v>407</v>
      </c>
      <c r="T1824" s="214" t="s">
        <v>321</v>
      </c>
      <c r="U1824" s="214"/>
    </row>
    <row r="1825">
      <c r="A1825" s="221">
        <v>45986.06845535879</v>
      </c>
      <c r="B1825" s="214" t="s">
        <v>311</v>
      </c>
      <c r="C1825" s="214" t="s">
        <v>139</v>
      </c>
      <c r="D1825" s="214">
        <v>9.0</v>
      </c>
      <c r="E1825" s="214">
        <v>2.0</v>
      </c>
      <c r="F1825" s="214" t="s">
        <v>1787</v>
      </c>
      <c r="G1825" s="214" t="s">
        <v>61</v>
      </c>
      <c r="H1825" s="214" t="s">
        <v>493</v>
      </c>
      <c r="I1825" s="214"/>
      <c r="J1825" s="222" t="s">
        <v>67</v>
      </c>
      <c r="K1825" s="222">
        <v>-14.0</v>
      </c>
      <c r="L1825" s="222" t="s">
        <v>67</v>
      </c>
      <c r="M1825" s="222">
        <v>46.5</v>
      </c>
      <c r="N1825" s="214">
        <v>322.0</v>
      </c>
      <c r="O1825" s="214">
        <v>197.0</v>
      </c>
      <c r="P1825" s="214">
        <v>2.0</v>
      </c>
      <c r="Q1825" s="214" t="b">
        <v>1</v>
      </c>
      <c r="R1825" s="214">
        <v>100.0</v>
      </c>
      <c r="S1825" s="214" t="s">
        <v>407</v>
      </c>
      <c r="T1825" s="214" t="s">
        <v>321</v>
      </c>
      <c r="U1825" s="214"/>
    </row>
    <row r="1826">
      <c r="A1826" s="221">
        <v>45986.06845535879</v>
      </c>
      <c r="B1826" s="214" t="s">
        <v>311</v>
      </c>
      <c r="C1826" s="214" t="s">
        <v>161</v>
      </c>
      <c r="D1826" s="214">
        <v>6.0</v>
      </c>
      <c r="E1826" s="214">
        <v>5.0</v>
      </c>
      <c r="F1826" s="214" t="s">
        <v>1767</v>
      </c>
      <c r="G1826" s="214" t="s">
        <v>61</v>
      </c>
      <c r="H1826" s="214" t="s">
        <v>95</v>
      </c>
      <c r="I1826" s="214"/>
      <c r="J1826" s="222" t="s">
        <v>67</v>
      </c>
      <c r="K1826" s="222">
        <v>2.5</v>
      </c>
      <c r="L1826" s="222" t="s">
        <v>67</v>
      </c>
      <c r="M1826" s="222">
        <v>62.5</v>
      </c>
      <c r="N1826" s="214">
        <v>381.0</v>
      </c>
      <c r="O1826" s="214">
        <v>328.0</v>
      </c>
      <c r="P1826" s="214">
        <v>2.0</v>
      </c>
      <c r="Q1826" s="214" t="b">
        <v>0</v>
      </c>
      <c r="R1826" s="214">
        <v>100.0</v>
      </c>
      <c r="S1826" s="214" t="s">
        <v>361</v>
      </c>
      <c r="T1826" s="214" t="s">
        <v>365</v>
      </c>
      <c r="U1826" s="214"/>
    </row>
    <row r="1827">
      <c r="A1827" s="221">
        <v>45986.06845535879</v>
      </c>
      <c r="B1827" s="214" t="s">
        <v>311</v>
      </c>
      <c r="C1827" s="214" t="s">
        <v>234</v>
      </c>
      <c r="D1827" s="214">
        <v>2.0</v>
      </c>
      <c r="E1827" s="214">
        <v>9.0</v>
      </c>
      <c r="F1827" s="214" t="s">
        <v>1788</v>
      </c>
      <c r="G1827" s="214" t="s">
        <v>61</v>
      </c>
      <c r="H1827" s="214" t="s">
        <v>96</v>
      </c>
      <c r="I1827" s="214"/>
      <c r="J1827" s="222" t="s">
        <v>67</v>
      </c>
      <c r="K1827" s="222">
        <v>6.5</v>
      </c>
      <c r="L1827" s="222" t="s">
        <v>67</v>
      </c>
      <c r="M1827" s="222">
        <v>53.5</v>
      </c>
      <c r="N1827" s="214">
        <v>197.0</v>
      </c>
      <c r="O1827" s="214">
        <v>398.0</v>
      </c>
      <c r="P1827" s="214">
        <v>2.0</v>
      </c>
      <c r="Q1827" s="214" t="b">
        <v>0</v>
      </c>
      <c r="R1827" s="214">
        <v>100.0</v>
      </c>
      <c r="S1827" s="214" t="s">
        <v>535</v>
      </c>
      <c r="T1827" s="214" t="s">
        <v>365</v>
      </c>
      <c r="U1827" s="214"/>
    </row>
    <row r="1828">
      <c r="A1828" s="221">
        <v>45986.06845535879</v>
      </c>
      <c r="B1828" s="214" t="s">
        <v>311</v>
      </c>
      <c r="C1828" s="214" t="s">
        <v>152</v>
      </c>
      <c r="D1828" s="214">
        <v>5.0</v>
      </c>
      <c r="E1828" s="214">
        <v>6.0</v>
      </c>
      <c r="F1828" s="214" t="s">
        <v>1759</v>
      </c>
      <c r="G1828" s="214" t="s">
        <v>61</v>
      </c>
      <c r="H1828" s="214" t="s">
        <v>43</v>
      </c>
      <c r="I1828" s="214"/>
      <c r="J1828" s="222" t="s">
        <v>67</v>
      </c>
      <c r="K1828" s="222">
        <v>-5.5</v>
      </c>
      <c r="L1828" s="222" t="s">
        <v>67</v>
      </c>
      <c r="M1828" s="222">
        <v>56.5</v>
      </c>
      <c r="N1828" s="214">
        <v>350.0</v>
      </c>
      <c r="O1828" s="214">
        <v>339.0</v>
      </c>
      <c r="P1828" s="214">
        <v>2.0</v>
      </c>
      <c r="Q1828" s="214" t="b">
        <v>1</v>
      </c>
      <c r="R1828" s="214">
        <v>100.0</v>
      </c>
      <c r="S1828" s="214" t="s">
        <v>441</v>
      </c>
      <c r="T1828" s="214" t="s">
        <v>365</v>
      </c>
      <c r="U1828" s="214"/>
    </row>
    <row r="1829">
      <c r="A1829" s="221">
        <v>45986.06845535879</v>
      </c>
      <c r="B1829" s="214" t="s">
        <v>311</v>
      </c>
      <c r="C1829" s="214" t="s">
        <v>122</v>
      </c>
      <c r="D1829" s="214">
        <v>3.0</v>
      </c>
      <c r="E1829" s="214">
        <v>8.0</v>
      </c>
      <c r="F1829" s="214" t="s">
        <v>1789</v>
      </c>
      <c r="G1829" s="214" t="s">
        <v>61</v>
      </c>
      <c r="H1829" s="214" t="s">
        <v>156</v>
      </c>
      <c r="I1829" s="214"/>
      <c r="J1829" s="222" t="s">
        <v>67</v>
      </c>
      <c r="K1829" s="222">
        <v>18.5</v>
      </c>
      <c r="L1829" s="222" t="s">
        <v>67</v>
      </c>
      <c r="M1829" s="222">
        <v>49.5</v>
      </c>
      <c r="N1829" s="214">
        <v>250.0</v>
      </c>
      <c r="O1829" s="214">
        <v>335.0</v>
      </c>
      <c r="P1829" s="214">
        <v>2.0</v>
      </c>
      <c r="Q1829" s="214" t="b">
        <v>0</v>
      </c>
      <c r="R1829" s="214">
        <v>100.0</v>
      </c>
      <c r="S1829" s="214" t="s">
        <v>317</v>
      </c>
      <c r="T1829" s="214" t="s">
        <v>321</v>
      </c>
      <c r="U1829" s="214"/>
    </row>
    <row r="1830">
      <c r="A1830" s="221">
        <v>45986.06845535879</v>
      </c>
      <c r="B1830" s="214" t="s">
        <v>311</v>
      </c>
      <c r="C1830" s="214" t="s">
        <v>125</v>
      </c>
      <c r="D1830" s="214">
        <v>7.0</v>
      </c>
      <c r="E1830" s="214">
        <v>4.0</v>
      </c>
      <c r="F1830" s="214" t="s">
        <v>1782</v>
      </c>
      <c r="G1830" s="214" t="s">
        <v>61</v>
      </c>
      <c r="H1830" s="214" t="s">
        <v>193</v>
      </c>
      <c r="I1830" s="214"/>
      <c r="J1830" s="222" t="s">
        <v>67</v>
      </c>
      <c r="K1830" s="222">
        <v>-3.5</v>
      </c>
      <c r="L1830" s="222" t="s">
        <v>67</v>
      </c>
      <c r="M1830" s="222">
        <v>55.5</v>
      </c>
      <c r="N1830" s="214">
        <v>309.0</v>
      </c>
      <c r="O1830" s="214">
        <v>229.0</v>
      </c>
      <c r="P1830" s="214">
        <v>2.0</v>
      </c>
      <c r="Q1830" s="214" t="b">
        <v>0</v>
      </c>
      <c r="R1830" s="214">
        <v>100.0</v>
      </c>
      <c r="S1830" s="214" t="s">
        <v>471</v>
      </c>
      <c r="T1830" s="214" t="s">
        <v>321</v>
      </c>
      <c r="U1830" s="214"/>
    </row>
    <row r="1831">
      <c r="A1831" s="221">
        <v>45986.06845535879</v>
      </c>
      <c r="B1831" s="214" t="s">
        <v>311</v>
      </c>
      <c r="C1831" s="214" t="s">
        <v>172</v>
      </c>
      <c r="D1831" s="214">
        <v>3.0</v>
      </c>
      <c r="E1831" s="214">
        <v>8.0</v>
      </c>
      <c r="F1831" s="214" t="s">
        <v>1790</v>
      </c>
      <c r="G1831" s="214" t="s">
        <v>61</v>
      </c>
      <c r="H1831" s="214" t="s">
        <v>395</v>
      </c>
      <c r="I1831" s="214"/>
      <c r="J1831" s="222" t="s">
        <v>67</v>
      </c>
      <c r="K1831" s="222">
        <v>6.5</v>
      </c>
      <c r="L1831" s="222" t="s">
        <v>67</v>
      </c>
      <c r="M1831" s="222">
        <v>38.5</v>
      </c>
      <c r="N1831" s="214">
        <v>174.0</v>
      </c>
      <c r="O1831" s="214">
        <v>257.0</v>
      </c>
      <c r="P1831" s="214">
        <v>2.0</v>
      </c>
      <c r="Q1831" s="214" t="b">
        <v>0</v>
      </c>
      <c r="R1831" s="214">
        <v>100.0</v>
      </c>
      <c r="S1831" s="214" t="s">
        <v>530</v>
      </c>
      <c r="T1831" s="214" t="s">
        <v>365</v>
      </c>
      <c r="U1831" s="214"/>
    </row>
    <row r="1832">
      <c r="A1832" s="221">
        <v>45986.06845535879</v>
      </c>
      <c r="B1832" s="214"/>
      <c r="C1832" s="214"/>
      <c r="D1832" s="214"/>
      <c r="E1832" s="214"/>
      <c r="F1832" s="214"/>
      <c r="G1832" s="214"/>
      <c r="H1832" s="214"/>
      <c r="I1832" s="214"/>
      <c r="J1832" s="222"/>
      <c r="K1832" s="222"/>
      <c r="L1832" s="222"/>
      <c r="M1832" s="222"/>
      <c r="N1832" s="214"/>
      <c r="O1832" s="214"/>
      <c r="P1832" s="214"/>
      <c r="Q1832" s="214"/>
      <c r="R1832" s="214"/>
      <c r="S1832" s="214"/>
      <c r="T1832" s="214"/>
      <c r="U1832" s="214"/>
    </row>
    <row r="1833">
      <c r="A1833" s="221">
        <v>45986.06845535879</v>
      </c>
      <c r="B1833" s="214" t="s">
        <v>224</v>
      </c>
      <c r="C1833" s="214" t="s">
        <v>103</v>
      </c>
      <c r="D1833" s="214">
        <v>8.0</v>
      </c>
      <c r="E1833" s="214">
        <v>2.0</v>
      </c>
      <c r="F1833" s="214"/>
      <c r="G1833" s="214"/>
      <c r="H1833" s="214"/>
      <c r="I1833" s="214"/>
      <c r="J1833" s="222"/>
      <c r="K1833" s="222"/>
      <c r="L1833" s="222"/>
      <c r="M1833" s="222"/>
      <c r="N1833" s="214">
        <v>329.0</v>
      </c>
      <c r="O1833" s="214">
        <v>279.0</v>
      </c>
      <c r="P1833" s="214">
        <v>0.0</v>
      </c>
      <c r="Q1833" s="214" t="b">
        <v>1</v>
      </c>
      <c r="R1833" s="214">
        <v>59.0</v>
      </c>
      <c r="S1833" s="214" t="s">
        <v>361</v>
      </c>
      <c r="T1833" s="214" t="s">
        <v>365</v>
      </c>
      <c r="U1833" s="214"/>
    </row>
    <row r="1834">
      <c r="A1834" s="221">
        <v>45986.06845535879</v>
      </c>
      <c r="B1834" s="214" t="s">
        <v>224</v>
      </c>
      <c r="C1834" s="214" t="s">
        <v>191</v>
      </c>
      <c r="D1834" s="214">
        <v>3.0</v>
      </c>
      <c r="E1834" s="214">
        <v>8.0</v>
      </c>
      <c r="F1834" s="214" t="s">
        <v>1753</v>
      </c>
      <c r="G1834" s="214" t="s">
        <v>61</v>
      </c>
      <c r="H1834" s="214" t="s">
        <v>43</v>
      </c>
      <c r="I1834" s="214"/>
      <c r="J1834" s="222" t="s">
        <v>67</v>
      </c>
      <c r="K1834" s="222">
        <v>7.0</v>
      </c>
      <c r="L1834" s="222" t="s">
        <v>67</v>
      </c>
      <c r="M1834" s="222">
        <v>46.5</v>
      </c>
      <c r="N1834" s="214">
        <v>237.0</v>
      </c>
      <c r="O1834" s="214">
        <v>342.0</v>
      </c>
      <c r="P1834" s="214">
        <v>2.0</v>
      </c>
      <c r="Q1834" s="214" t="b">
        <v>1</v>
      </c>
      <c r="R1834" s="214">
        <v>100.0</v>
      </c>
      <c r="S1834" s="214" t="s">
        <v>471</v>
      </c>
      <c r="T1834" s="214" t="s">
        <v>321</v>
      </c>
      <c r="U1834" s="214"/>
    </row>
    <row r="1835">
      <c r="A1835" s="221">
        <v>45986.06845535879</v>
      </c>
      <c r="B1835" s="214" t="s">
        <v>224</v>
      </c>
      <c r="C1835" s="214" t="s">
        <v>226</v>
      </c>
      <c r="D1835" s="214">
        <v>10.0</v>
      </c>
      <c r="E1835" s="214">
        <v>1.0</v>
      </c>
      <c r="F1835" s="214" t="s">
        <v>1791</v>
      </c>
      <c r="G1835" s="214" t="s">
        <v>61</v>
      </c>
      <c r="H1835" s="214" t="s">
        <v>238</v>
      </c>
      <c r="I1835" s="214"/>
      <c r="J1835" s="222" t="s">
        <v>67</v>
      </c>
      <c r="K1835" s="222">
        <v>-2.5</v>
      </c>
      <c r="L1835" s="222" t="s">
        <v>67</v>
      </c>
      <c r="M1835" s="222">
        <v>55.5</v>
      </c>
      <c r="N1835" s="214">
        <v>367.0</v>
      </c>
      <c r="O1835" s="214">
        <v>192.0</v>
      </c>
      <c r="P1835" s="214">
        <v>2.0</v>
      </c>
      <c r="Q1835" s="214" t="b">
        <v>0</v>
      </c>
      <c r="R1835" s="214">
        <v>100.0</v>
      </c>
      <c r="S1835" s="214" t="s">
        <v>471</v>
      </c>
      <c r="T1835" s="214" t="s">
        <v>321</v>
      </c>
      <c r="U1835" s="214"/>
    </row>
    <row r="1836">
      <c r="A1836" s="221">
        <v>45986.06845535879</v>
      </c>
      <c r="B1836" s="214" t="s">
        <v>224</v>
      </c>
      <c r="C1836" s="214" t="s">
        <v>203</v>
      </c>
      <c r="D1836" s="214">
        <v>3.0</v>
      </c>
      <c r="E1836" s="214">
        <v>8.0</v>
      </c>
      <c r="F1836" s="214" t="s">
        <v>1778</v>
      </c>
      <c r="G1836" s="214" t="s">
        <v>61</v>
      </c>
      <c r="H1836" s="214" t="s">
        <v>193</v>
      </c>
      <c r="I1836" s="214"/>
      <c r="J1836" s="222" t="s">
        <v>67</v>
      </c>
      <c r="K1836" s="222">
        <v>4.0</v>
      </c>
      <c r="L1836" s="222" t="s">
        <v>67</v>
      </c>
      <c r="M1836" s="222">
        <v>57.5</v>
      </c>
      <c r="N1836" s="214">
        <v>219.0</v>
      </c>
      <c r="O1836" s="214">
        <v>267.0</v>
      </c>
      <c r="P1836" s="214">
        <v>2.0</v>
      </c>
      <c r="Q1836" s="214" t="b">
        <v>0</v>
      </c>
      <c r="R1836" s="214">
        <v>100.0</v>
      </c>
      <c r="S1836" s="214" t="s">
        <v>556</v>
      </c>
      <c r="T1836" s="214" t="s">
        <v>321</v>
      </c>
      <c r="U1836" s="214"/>
    </row>
    <row r="1837">
      <c r="A1837" s="221">
        <v>45986.06845535879</v>
      </c>
      <c r="B1837" s="214" t="s">
        <v>224</v>
      </c>
      <c r="C1837" s="214" t="s">
        <v>140</v>
      </c>
      <c r="D1837" s="214">
        <v>3.0</v>
      </c>
      <c r="E1837" s="214">
        <v>8.0</v>
      </c>
      <c r="F1837" s="214" t="s">
        <v>1792</v>
      </c>
      <c r="G1837" s="214" t="s">
        <v>61</v>
      </c>
      <c r="H1837" s="214" t="s">
        <v>249</v>
      </c>
      <c r="I1837" s="214"/>
      <c r="J1837" s="222" t="s">
        <v>67</v>
      </c>
      <c r="K1837" s="222">
        <v>16.5</v>
      </c>
      <c r="L1837" s="222" t="s">
        <v>67</v>
      </c>
      <c r="M1837" s="222">
        <v>42.5</v>
      </c>
      <c r="N1837" s="214">
        <v>257.0</v>
      </c>
      <c r="O1837" s="214">
        <v>331.0</v>
      </c>
      <c r="P1837" s="214">
        <v>2.0</v>
      </c>
      <c r="Q1837" s="214" t="b">
        <v>0</v>
      </c>
      <c r="R1837" s="214">
        <v>100.0</v>
      </c>
      <c r="S1837" s="214" t="s">
        <v>407</v>
      </c>
      <c r="T1837" s="214" t="s">
        <v>321</v>
      </c>
      <c r="U1837" s="214"/>
    </row>
    <row r="1838">
      <c r="A1838" s="221">
        <v>45986.06845535879</v>
      </c>
      <c r="B1838" s="214" t="s">
        <v>224</v>
      </c>
      <c r="C1838" s="214" t="s">
        <v>216</v>
      </c>
      <c r="D1838" s="214">
        <v>5.0</v>
      </c>
      <c r="E1838" s="214">
        <v>6.0</v>
      </c>
      <c r="F1838" s="214" t="s">
        <v>1776</v>
      </c>
      <c r="G1838" s="214" t="s">
        <v>61</v>
      </c>
      <c r="H1838" s="214" t="s">
        <v>62</v>
      </c>
      <c r="I1838" s="214"/>
      <c r="J1838" s="222" t="s">
        <v>67</v>
      </c>
      <c r="K1838" s="222">
        <v>10.5</v>
      </c>
      <c r="L1838" s="222" t="s">
        <v>67</v>
      </c>
      <c r="M1838" s="222">
        <v>62.5</v>
      </c>
      <c r="N1838" s="214">
        <v>310.0</v>
      </c>
      <c r="O1838" s="214">
        <v>391.0</v>
      </c>
      <c r="P1838" s="214">
        <v>2.0</v>
      </c>
      <c r="Q1838" s="214" t="b">
        <v>0</v>
      </c>
      <c r="R1838" s="214">
        <v>100.0</v>
      </c>
      <c r="S1838" s="214" t="s">
        <v>441</v>
      </c>
      <c r="T1838" s="214" t="s">
        <v>365</v>
      </c>
      <c r="U1838" s="214"/>
    </row>
    <row r="1839">
      <c r="A1839" s="221">
        <v>45986.06845535879</v>
      </c>
      <c r="B1839" s="214" t="s">
        <v>224</v>
      </c>
      <c r="C1839" s="214" t="s">
        <v>235</v>
      </c>
      <c r="D1839" s="214">
        <v>5.0</v>
      </c>
      <c r="E1839" s="214">
        <v>6.0</v>
      </c>
      <c r="F1839" s="214" t="s">
        <v>1793</v>
      </c>
      <c r="G1839" s="214" t="s">
        <v>61</v>
      </c>
      <c r="H1839" s="214" t="s">
        <v>493</v>
      </c>
      <c r="I1839" s="214"/>
      <c r="J1839" s="222"/>
      <c r="K1839" s="222"/>
      <c r="L1839" s="222"/>
      <c r="M1839" s="222"/>
      <c r="N1839" s="214">
        <v>296.0</v>
      </c>
      <c r="O1839" s="214">
        <v>359.0</v>
      </c>
      <c r="P1839" s="214">
        <v>2.0</v>
      </c>
      <c r="Q1839" s="214" t="b">
        <v>1</v>
      </c>
      <c r="R1839" s="214">
        <v>100.0</v>
      </c>
      <c r="S1839" s="214" t="s">
        <v>535</v>
      </c>
      <c r="T1839" s="214" t="s">
        <v>365</v>
      </c>
      <c r="U1839" s="214"/>
    </row>
    <row r="1840">
      <c r="A1840" s="221">
        <v>45986.06845535879</v>
      </c>
      <c r="B1840" s="214" t="s">
        <v>224</v>
      </c>
      <c r="C1840" s="214" t="s">
        <v>185</v>
      </c>
      <c r="D1840" s="214">
        <v>9.0</v>
      </c>
      <c r="E1840" s="214">
        <v>2.0</v>
      </c>
      <c r="F1840" s="214" t="s">
        <v>1794</v>
      </c>
      <c r="G1840" s="214" t="s">
        <v>61</v>
      </c>
      <c r="H1840" s="214" t="s">
        <v>96</v>
      </c>
      <c r="I1840" s="214"/>
      <c r="J1840" s="222" t="s">
        <v>67</v>
      </c>
      <c r="K1840" s="222">
        <v>-3.0</v>
      </c>
      <c r="L1840" s="222" t="s">
        <v>67</v>
      </c>
      <c r="M1840" s="222">
        <v>64.5</v>
      </c>
      <c r="N1840" s="214">
        <v>404.0</v>
      </c>
      <c r="O1840" s="214">
        <v>320.0</v>
      </c>
      <c r="P1840" s="214">
        <v>2.0</v>
      </c>
      <c r="Q1840" s="214" t="b">
        <v>0</v>
      </c>
      <c r="R1840" s="214">
        <v>100.0</v>
      </c>
      <c r="S1840" s="214" t="s">
        <v>525</v>
      </c>
      <c r="T1840" s="214" t="s">
        <v>365</v>
      </c>
      <c r="U1840" s="214"/>
    </row>
    <row r="1841">
      <c r="A1841" s="221">
        <v>45986.06845535879</v>
      </c>
      <c r="B1841" s="214" t="s">
        <v>224</v>
      </c>
      <c r="C1841" s="214" t="s">
        <v>113</v>
      </c>
      <c r="D1841" s="214">
        <v>5.0</v>
      </c>
      <c r="E1841" s="214">
        <v>6.0</v>
      </c>
      <c r="F1841" s="214" t="s">
        <v>1771</v>
      </c>
      <c r="G1841" s="214" t="s">
        <v>61</v>
      </c>
      <c r="H1841" s="214" t="s">
        <v>95</v>
      </c>
      <c r="I1841" s="214"/>
      <c r="J1841" s="222" t="s">
        <v>67</v>
      </c>
      <c r="K1841" s="222">
        <v>-6.0</v>
      </c>
      <c r="L1841" s="222" t="s">
        <v>67</v>
      </c>
      <c r="M1841" s="222">
        <v>59.5</v>
      </c>
      <c r="N1841" s="214">
        <v>375.0</v>
      </c>
      <c r="O1841" s="214">
        <v>224.0</v>
      </c>
      <c r="P1841" s="214">
        <v>2.0</v>
      </c>
      <c r="Q1841" s="214" t="b">
        <v>0</v>
      </c>
      <c r="R1841" s="214">
        <v>100.0</v>
      </c>
      <c r="S1841" s="214" t="s">
        <v>317</v>
      </c>
      <c r="T1841" s="214" t="s">
        <v>321</v>
      </c>
      <c r="U1841" s="214"/>
    </row>
    <row r="1842">
      <c r="A1842" s="221">
        <v>45986.06845535879</v>
      </c>
      <c r="B1842" s="214" t="s">
        <v>224</v>
      </c>
      <c r="C1842" s="214" t="s">
        <v>166</v>
      </c>
      <c r="D1842" s="214">
        <v>3.0</v>
      </c>
      <c r="E1842" s="214">
        <v>8.0</v>
      </c>
      <c r="F1842" s="214" t="s">
        <v>1784</v>
      </c>
      <c r="G1842" s="214" t="s">
        <v>61</v>
      </c>
      <c r="H1842" s="214" t="s">
        <v>193</v>
      </c>
      <c r="I1842" s="214"/>
      <c r="J1842" s="222" t="s">
        <v>67</v>
      </c>
      <c r="K1842" s="222">
        <v>-3.0</v>
      </c>
      <c r="L1842" s="222" t="s">
        <v>67</v>
      </c>
      <c r="M1842" s="222">
        <v>46.5</v>
      </c>
      <c r="N1842" s="214">
        <v>201.0</v>
      </c>
      <c r="O1842" s="214">
        <v>277.0</v>
      </c>
      <c r="P1842" s="214">
        <v>2.0</v>
      </c>
      <c r="Q1842" s="214" t="b">
        <v>0</v>
      </c>
      <c r="R1842" s="214">
        <v>100.0</v>
      </c>
      <c r="S1842" s="214" t="s">
        <v>530</v>
      </c>
      <c r="T1842" s="214" t="s">
        <v>365</v>
      </c>
      <c r="U1842" s="214"/>
    </row>
    <row r="1843">
      <c r="A1843" s="221">
        <v>45986.06845535879</v>
      </c>
      <c r="B1843" s="214"/>
      <c r="C1843" s="214"/>
      <c r="D1843" s="214"/>
      <c r="E1843" s="214"/>
      <c r="F1843" s="214"/>
      <c r="G1843" s="214"/>
      <c r="H1843" s="214"/>
      <c r="I1843" s="214"/>
      <c r="J1843" s="222"/>
      <c r="K1843" s="222"/>
      <c r="L1843" s="222"/>
      <c r="M1843" s="222"/>
      <c r="N1843" s="214"/>
      <c r="O1843" s="214"/>
      <c r="P1843" s="214"/>
      <c r="Q1843" s="214"/>
      <c r="R1843" s="214"/>
      <c r="S1843" s="214"/>
      <c r="T1843" s="214"/>
      <c r="U1843" s="214"/>
    </row>
    <row r="1844">
      <c r="A1844" s="221">
        <v>45986.06845535879</v>
      </c>
      <c r="B1844" s="214" t="s">
        <v>96</v>
      </c>
      <c r="C1844" s="214" t="s">
        <v>121</v>
      </c>
      <c r="D1844" s="214">
        <v>9.0</v>
      </c>
      <c r="E1844" s="214">
        <v>2.0</v>
      </c>
      <c r="F1844" s="214"/>
      <c r="G1844" s="214"/>
      <c r="H1844" s="214"/>
      <c r="I1844" s="214"/>
      <c r="J1844" s="222"/>
      <c r="K1844" s="222"/>
      <c r="L1844" s="222"/>
      <c r="M1844" s="222"/>
      <c r="N1844" s="214">
        <v>371.0</v>
      </c>
      <c r="O1844" s="214">
        <v>233.0</v>
      </c>
      <c r="P1844" s="214">
        <v>0.0</v>
      </c>
      <c r="Q1844" s="214" t="b">
        <v>1</v>
      </c>
      <c r="R1844" s="214">
        <v>59.0</v>
      </c>
      <c r="S1844" s="214" t="s">
        <v>317</v>
      </c>
      <c r="T1844" s="214" t="s">
        <v>321</v>
      </c>
      <c r="U1844" s="214"/>
    </row>
    <row r="1845">
      <c r="A1845" s="221">
        <v>45986.06845535879</v>
      </c>
      <c r="B1845" s="214" t="s">
        <v>96</v>
      </c>
      <c r="C1845" s="214" t="s">
        <v>142</v>
      </c>
      <c r="D1845" s="214">
        <v>7.0</v>
      </c>
      <c r="E1845" s="214">
        <v>4.0</v>
      </c>
      <c r="F1845" s="214" t="s">
        <v>1755</v>
      </c>
      <c r="G1845" s="214" t="s">
        <v>61</v>
      </c>
      <c r="H1845" s="214" t="s">
        <v>43</v>
      </c>
      <c r="I1845" s="214"/>
      <c r="J1845" s="222" t="s">
        <v>67</v>
      </c>
      <c r="K1845" s="222">
        <v>8.5</v>
      </c>
      <c r="L1845" s="222" t="s">
        <v>67</v>
      </c>
      <c r="M1845" s="222">
        <v>45.5</v>
      </c>
      <c r="N1845" s="214">
        <v>335.0</v>
      </c>
      <c r="O1845" s="214">
        <v>236.0</v>
      </c>
      <c r="P1845" s="214">
        <v>2.0</v>
      </c>
      <c r="Q1845" s="214" t="b">
        <v>1</v>
      </c>
      <c r="R1845" s="214">
        <v>100.0</v>
      </c>
      <c r="S1845" s="214" t="s">
        <v>407</v>
      </c>
      <c r="T1845" s="214" t="s">
        <v>321</v>
      </c>
      <c r="U1845" s="214"/>
    </row>
    <row r="1846">
      <c r="A1846" s="221">
        <v>45986.06845535879</v>
      </c>
      <c r="B1846" s="214" t="s">
        <v>96</v>
      </c>
      <c r="C1846" s="214" t="s">
        <v>222</v>
      </c>
      <c r="D1846" s="214">
        <v>7.0</v>
      </c>
      <c r="E1846" s="214">
        <v>4.0</v>
      </c>
      <c r="F1846" s="214" t="s">
        <v>1795</v>
      </c>
      <c r="G1846" s="214" t="s">
        <v>61</v>
      </c>
      <c r="H1846" s="214" t="s">
        <v>249</v>
      </c>
      <c r="I1846" s="214"/>
      <c r="J1846" s="222" t="s">
        <v>67</v>
      </c>
      <c r="K1846" s="222">
        <v>-10.0</v>
      </c>
      <c r="L1846" s="222" t="s">
        <v>67</v>
      </c>
      <c r="M1846" s="222">
        <v>50.5</v>
      </c>
      <c r="N1846" s="214">
        <v>274.0</v>
      </c>
      <c r="O1846" s="214">
        <v>269.0</v>
      </c>
      <c r="P1846" s="214">
        <v>2.0</v>
      </c>
      <c r="Q1846" s="214" t="b">
        <v>0</v>
      </c>
      <c r="R1846" s="214">
        <v>100.0</v>
      </c>
      <c r="S1846" s="214" t="s">
        <v>441</v>
      </c>
      <c r="T1846" s="214" t="s">
        <v>365</v>
      </c>
      <c r="U1846" s="214"/>
    </row>
    <row r="1847">
      <c r="A1847" s="221">
        <v>45986.06845535879</v>
      </c>
      <c r="B1847" s="214" t="s">
        <v>96</v>
      </c>
      <c r="C1847" s="214" t="s">
        <v>129</v>
      </c>
      <c r="D1847" s="214">
        <v>1.0</v>
      </c>
      <c r="E1847" s="214">
        <v>10.0</v>
      </c>
      <c r="F1847" s="214" t="s">
        <v>1796</v>
      </c>
      <c r="G1847" s="214" t="s">
        <v>61</v>
      </c>
      <c r="H1847" s="214" t="s">
        <v>156</v>
      </c>
      <c r="I1847" s="214"/>
      <c r="J1847" s="222" t="s">
        <v>67</v>
      </c>
      <c r="K1847" s="222">
        <v>13.5</v>
      </c>
      <c r="L1847" s="222" t="s">
        <v>67</v>
      </c>
      <c r="M1847" s="222">
        <v>47.5</v>
      </c>
      <c r="N1847" s="214">
        <v>157.0</v>
      </c>
      <c r="O1847" s="214">
        <v>380.0</v>
      </c>
      <c r="P1847" s="214">
        <v>2.0</v>
      </c>
      <c r="Q1847" s="214" t="b">
        <v>0</v>
      </c>
      <c r="R1847" s="214">
        <v>100.0</v>
      </c>
      <c r="S1847" s="214" t="s">
        <v>471</v>
      </c>
      <c r="T1847" s="214" t="s">
        <v>321</v>
      </c>
      <c r="U1847" s="214"/>
    </row>
    <row r="1848">
      <c r="A1848" s="221">
        <v>45986.06845535879</v>
      </c>
      <c r="B1848" s="214" t="s">
        <v>96</v>
      </c>
      <c r="C1848" s="214" t="s">
        <v>229</v>
      </c>
      <c r="D1848" s="214">
        <v>9.0</v>
      </c>
      <c r="E1848" s="214">
        <v>2.0</v>
      </c>
      <c r="F1848" s="214" t="s">
        <v>1797</v>
      </c>
      <c r="G1848" s="214" t="s">
        <v>61</v>
      </c>
      <c r="H1848" s="214" t="s">
        <v>493</v>
      </c>
      <c r="I1848" s="214"/>
      <c r="J1848" s="222" t="s">
        <v>67</v>
      </c>
      <c r="K1848" s="222">
        <v>-36.5</v>
      </c>
      <c r="L1848" s="222" t="s">
        <v>67</v>
      </c>
      <c r="M1848" s="222">
        <v>50.5</v>
      </c>
      <c r="N1848" s="214">
        <v>455.0</v>
      </c>
      <c r="O1848" s="214">
        <v>191.0</v>
      </c>
      <c r="P1848" s="214">
        <v>2.0</v>
      </c>
      <c r="Q1848" s="214" t="b">
        <v>0</v>
      </c>
      <c r="R1848" s="214">
        <v>100.0</v>
      </c>
      <c r="S1848" s="214" t="s">
        <v>725</v>
      </c>
      <c r="T1848" s="214"/>
      <c r="U1848" s="214"/>
    </row>
    <row r="1849">
      <c r="A1849" s="221">
        <v>45986.06845535879</v>
      </c>
      <c r="B1849" s="214" t="s">
        <v>96</v>
      </c>
      <c r="C1849" s="214" t="s">
        <v>105</v>
      </c>
      <c r="D1849" s="214">
        <v>8.0</v>
      </c>
      <c r="E1849" s="214">
        <v>3.0</v>
      </c>
      <c r="F1849" s="214" t="s">
        <v>1774</v>
      </c>
      <c r="G1849" s="214" t="s">
        <v>61</v>
      </c>
      <c r="H1849" s="214" t="s">
        <v>62</v>
      </c>
      <c r="I1849" s="214"/>
      <c r="J1849" s="222" t="s">
        <v>67</v>
      </c>
      <c r="K1849" s="222">
        <v>-21.5</v>
      </c>
      <c r="L1849" s="222" t="s">
        <v>67</v>
      </c>
      <c r="M1849" s="222">
        <v>68.5</v>
      </c>
      <c r="N1849" s="214">
        <v>464.0</v>
      </c>
      <c r="O1849" s="214">
        <v>277.0</v>
      </c>
      <c r="P1849" s="214">
        <v>2.0</v>
      </c>
      <c r="Q1849" s="214" t="b">
        <v>1</v>
      </c>
      <c r="R1849" s="214">
        <v>100.0</v>
      </c>
      <c r="S1849" s="214" t="s">
        <v>361</v>
      </c>
      <c r="T1849" s="214" t="s">
        <v>365</v>
      </c>
      <c r="U1849" s="214"/>
    </row>
    <row r="1850">
      <c r="A1850" s="221">
        <v>45986.06845535879</v>
      </c>
      <c r="B1850" s="214" t="s">
        <v>96</v>
      </c>
      <c r="C1850" s="214" t="s">
        <v>153</v>
      </c>
      <c r="D1850" s="214">
        <v>2.0</v>
      </c>
      <c r="E1850" s="214">
        <v>9.0</v>
      </c>
      <c r="F1850" s="214" t="s">
        <v>1788</v>
      </c>
      <c r="G1850" s="214" t="s">
        <v>61</v>
      </c>
      <c r="H1850" s="214" t="s">
        <v>311</v>
      </c>
      <c r="I1850" s="214"/>
      <c r="J1850" s="222" t="s">
        <v>67</v>
      </c>
      <c r="K1850" s="222">
        <v>-6.5</v>
      </c>
      <c r="L1850" s="222" t="s">
        <v>67</v>
      </c>
      <c r="M1850" s="222">
        <v>53.5</v>
      </c>
      <c r="N1850" s="214">
        <v>238.0</v>
      </c>
      <c r="O1850" s="214">
        <v>347.0</v>
      </c>
      <c r="P1850" s="214">
        <v>2.0</v>
      </c>
      <c r="Q1850" s="214" t="b">
        <v>1</v>
      </c>
      <c r="R1850" s="214">
        <v>100.0</v>
      </c>
      <c r="S1850" s="214" t="s">
        <v>535</v>
      </c>
      <c r="T1850" s="214" t="s">
        <v>365</v>
      </c>
      <c r="U1850" s="214"/>
    </row>
    <row r="1851">
      <c r="A1851" s="221">
        <v>45986.06845535879</v>
      </c>
      <c r="B1851" s="214" t="s">
        <v>96</v>
      </c>
      <c r="C1851" s="214" t="s">
        <v>204</v>
      </c>
      <c r="D1851" s="214">
        <v>10.0</v>
      </c>
      <c r="E1851" s="214">
        <v>1.0</v>
      </c>
      <c r="F1851" s="214" t="s">
        <v>1798</v>
      </c>
      <c r="G1851" s="214" t="s">
        <v>61</v>
      </c>
      <c r="H1851" s="214" t="s">
        <v>249</v>
      </c>
      <c r="I1851" s="214"/>
      <c r="J1851" s="222" t="s">
        <v>67</v>
      </c>
      <c r="K1851" s="222">
        <v>-43.5</v>
      </c>
      <c r="L1851" s="222" t="s">
        <v>67</v>
      </c>
      <c r="M1851" s="222">
        <v>53.5</v>
      </c>
      <c r="N1851" s="214">
        <v>371.0</v>
      </c>
      <c r="O1851" s="214">
        <v>191.0</v>
      </c>
      <c r="P1851" s="214">
        <v>2.0</v>
      </c>
      <c r="Q1851" s="214" t="b">
        <v>0</v>
      </c>
      <c r="R1851" s="214">
        <v>100.0</v>
      </c>
      <c r="S1851" s="214" t="s">
        <v>556</v>
      </c>
      <c r="T1851" s="214" t="s">
        <v>321</v>
      </c>
      <c r="U1851" s="214"/>
    </row>
    <row r="1852">
      <c r="A1852" s="221">
        <v>45986.06845535879</v>
      </c>
      <c r="B1852" s="214" t="s">
        <v>96</v>
      </c>
      <c r="C1852" s="214" t="s">
        <v>536</v>
      </c>
      <c r="D1852" s="214">
        <v>7.0</v>
      </c>
      <c r="E1852" s="214">
        <v>4.0</v>
      </c>
      <c r="F1852" s="214" t="s">
        <v>1794</v>
      </c>
      <c r="G1852" s="214" t="s">
        <v>61</v>
      </c>
      <c r="H1852" s="214" t="s">
        <v>224</v>
      </c>
      <c r="I1852" s="214"/>
      <c r="J1852" s="222" t="s">
        <v>67</v>
      </c>
      <c r="K1852" s="222">
        <v>3.0</v>
      </c>
      <c r="L1852" s="222" t="s">
        <v>67</v>
      </c>
      <c r="M1852" s="222">
        <v>64.5</v>
      </c>
      <c r="N1852" s="214">
        <v>315.0</v>
      </c>
      <c r="O1852" s="214">
        <v>275.0</v>
      </c>
      <c r="P1852" s="214">
        <v>2.0</v>
      </c>
      <c r="Q1852" s="214" t="b">
        <v>1</v>
      </c>
      <c r="R1852" s="214">
        <v>100.0</v>
      </c>
      <c r="S1852" s="214" t="s">
        <v>525</v>
      </c>
      <c r="T1852" s="214" t="s">
        <v>365</v>
      </c>
      <c r="U1852" s="214"/>
    </row>
    <row r="1853">
      <c r="A1853" s="221">
        <v>45986.06845535879</v>
      </c>
      <c r="B1853" s="214" t="s">
        <v>96</v>
      </c>
      <c r="C1853" s="214" t="s">
        <v>173</v>
      </c>
      <c r="D1853" s="214">
        <v>7.0</v>
      </c>
      <c r="E1853" s="214">
        <v>4.0</v>
      </c>
      <c r="F1853" s="214" t="s">
        <v>1761</v>
      </c>
      <c r="G1853" s="214" t="s">
        <v>61</v>
      </c>
      <c r="H1853" s="214" t="s">
        <v>43</v>
      </c>
      <c r="I1853" s="214"/>
      <c r="J1853" s="222" t="s">
        <v>67</v>
      </c>
      <c r="K1853" s="222">
        <v>-33.5</v>
      </c>
      <c r="L1853" s="222" t="s">
        <v>67</v>
      </c>
      <c r="M1853" s="222">
        <v>51.5</v>
      </c>
      <c r="N1853" s="214">
        <v>313.0</v>
      </c>
      <c r="O1853" s="214">
        <v>249.0</v>
      </c>
      <c r="P1853" s="214">
        <v>2.0</v>
      </c>
      <c r="Q1853" s="214" t="b">
        <v>1</v>
      </c>
      <c r="R1853" s="214">
        <v>100.0</v>
      </c>
      <c r="S1853" s="214" t="s">
        <v>530</v>
      </c>
      <c r="T1853" s="214" t="s">
        <v>365</v>
      </c>
      <c r="U1853" s="214"/>
    </row>
    <row r="1854">
      <c r="A1854" s="221">
        <v>45986.06845535879</v>
      </c>
      <c r="B1854" s="214"/>
      <c r="C1854" s="214"/>
      <c r="D1854" s="214"/>
      <c r="E1854" s="214"/>
      <c r="F1854" s="214"/>
      <c r="G1854" s="214"/>
      <c r="H1854" s="214"/>
      <c r="I1854" s="214"/>
      <c r="J1854" s="222"/>
      <c r="K1854" s="222"/>
      <c r="L1854" s="222"/>
      <c r="M1854" s="222"/>
      <c r="N1854" s="214"/>
      <c r="O1854" s="214"/>
      <c r="P1854" s="214"/>
      <c r="Q1854" s="214"/>
      <c r="R1854" s="214"/>
      <c r="S1854" s="214"/>
      <c r="T1854" s="214"/>
      <c r="U1854" s="214"/>
    </row>
    <row r="1855">
      <c r="A1855" s="221">
        <v>45986.06845535879</v>
      </c>
      <c r="B1855" s="214" t="s">
        <v>238</v>
      </c>
      <c r="C1855" s="214" t="s">
        <v>102</v>
      </c>
      <c r="D1855" s="214">
        <v>8.0</v>
      </c>
      <c r="E1855" s="214">
        <v>3.0</v>
      </c>
      <c r="F1855" s="214"/>
      <c r="G1855" s="214"/>
      <c r="H1855" s="214"/>
      <c r="I1855" s="214"/>
      <c r="J1855" s="222"/>
      <c r="K1855" s="222"/>
      <c r="L1855" s="222"/>
      <c r="M1855" s="222"/>
      <c r="N1855" s="214">
        <v>398.0</v>
      </c>
      <c r="O1855" s="214">
        <v>242.0</v>
      </c>
      <c r="P1855" s="214">
        <v>0.0</v>
      </c>
      <c r="Q1855" s="214" t="b">
        <v>1</v>
      </c>
      <c r="R1855" s="214">
        <v>59.0</v>
      </c>
      <c r="S1855" s="214" t="s">
        <v>361</v>
      </c>
      <c r="T1855" s="214" t="s">
        <v>365</v>
      </c>
      <c r="U1855" s="214"/>
    </row>
    <row r="1856">
      <c r="A1856" s="221">
        <v>45986.06845535879</v>
      </c>
      <c r="B1856" s="214" t="s">
        <v>238</v>
      </c>
      <c r="C1856" s="214" t="s">
        <v>549</v>
      </c>
      <c r="D1856" s="214">
        <v>3.0</v>
      </c>
      <c r="E1856" s="214">
        <v>8.0</v>
      </c>
      <c r="F1856" s="214" t="s">
        <v>1799</v>
      </c>
      <c r="G1856" s="214" t="s">
        <v>61</v>
      </c>
      <c r="H1856" s="214" t="s">
        <v>249</v>
      </c>
      <c r="I1856" s="214"/>
      <c r="J1856" s="222" t="s">
        <v>67</v>
      </c>
      <c r="K1856" s="222">
        <v>12.5</v>
      </c>
      <c r="L1856" s="222" t="s">
        <v>67</v>
      </c>
      <c r="M1856" s="222">
        <v>50.5</v>
      </c>
      <c r="N1856" s="214">
        <v>243.0</v>
      </c>
      <c r="O1856" s="214">
        <v>349.0</v>
      </c>
      <c r="P1856" s="214">
        <v>2.0</v>
      </c>
      <c r="Q1856" s="214" t="b">
        <v>1</v>
      </c>
      <c r="R1856" s="214">
        <v>100.0</v>
      </c>
      <c r="S1856" s="214" t="s">
        <v>525</v>
      </c>
      <c r="T1856" s="214" t="s">
        <v>365</v>
      </c>
      <c r="U1856" s="214"/>
    </row>
    <row r="1857">
      <c r="A1857" s="221">
        <v>45986.06845535879</v>
      </c>
      <c r="B1857" s="214" t="s">
        <v>238</v>
      </c>
      <c r="C1857" s="214" t="s">
        <v>98</v>
      </c>
      <c r="D1857" s="214">
        <v>7.0</v>
      </c>
      <c r="E1857" s="214">
        <v>4.0</v>
      </c>
      <c r="F1857" s="214" t="s">
        <v>1791</v>
      </c>
      <c r="G1857" s="214" t="s">
        <v>61</v>
      </c>
      <c r="H1857" s="214" t="s">
        <v>224</v>
      </c>
      <c r="I1857" s="214"/>
      <c r="J1857" s="222" t="s">
        <v>67</v>
      </c>
      <c r="K1857" s="222">
        <v>2.5</v>
      </c>
      <c r="L1857" s="222" t="s">
        <v>67</v>
      </c>
      <c r="M1857" s="222">
        <v>55.5</v>
      </c>
      <c r="N1857" s="214">
        <v>358.0</v>
      </c>
      <c r="O1857" s="214">
        <v>253.0</v>
      </c>
      <c r="P1857" s="214">
        <v>2.0</v>
      </c>
      <c r="Q1857" s="214" t="b">
        <v>1</v>
      </c>
      <c r="R1857" s="214">
        <v>100.0</v>
      </c>
      <c r="S1857" s="214" t="s">
        <v>471</v>
      </c>
      <c r="T1857" s="214" t="s">
        <v>321</v>
      </c>
      <c r="U1857" s="214"/>
    </row>
    <row r="1858">
      <c r="A1858" s="221">
        <v>45986.06845535879</v>
      </c>
      <c r="B1858" s="214" t="s">
        <v>238</v>
      </c>
      <c r="C1858" s="214" t="s">
        <v>148</v>
      </c>
      <c r="D1858" s="214">
        <v>4.0</v>
      </c>
      <c r="E1858" s="214">
        <v>7.0</v>
      </c>
      <c r="F1858" s="214" t="s">
        <v>1800</v>
      </c>
      <c r="G1858" s="214" t="s">
        <v>61</v>
      </c>
      <c r="H1858" s="214" t="s">
        <v>156</v>
      </c>
      <c r="I1858" s="214"/>
      <c r="J1858" s="222" t="s">
        <v>67</v>
      </c>
      <c r="K1858" s="222">
        <v>8.5</v>
      </c>
      <c r="L1858" s="222" t="s">
        <v>67</v>
      </c>
      <c r="M1858" s="222">
        <v>41.5</v>
      </c>
      <c r="N1858" s="214">
        <v>147.0</v>
      </c>
      <c r="O1858" s="214">
        <v>242.0</v>
      </c>
      <c r="P1858" s="214">
        <v>2.0</v>
      </c>
      <c r="Q1858" s="214" t="b">
        <v>0</v>
      </c>
      <c r="R1858" s="214">
        <v>100.0</v>
      </c>
      <c r="S1858" s="214" t="s">
        <v>407</v>
      </c>
      <c r="T1858" s="214" t="s">
        <v>321</v>
      </c>
      <c r="U1858" s="214"/>
    </row>
    <row r="1859">
      <c r="A1859" s="221">
        <v>45986.06845535879</v>
      </c>
      <c r="B1859" s="214" t="s">
        <v>238</v>
      </c>
      <c r="C1859" s="214" t="s">
        <v>119</v>
      </c>
      <c r="D1859" s="214">
        <v>8.0</v>
      </c>
      <c r="E1859" s="214">
        <v>3.0</v>
      </c>
      <c r="F1859" s="214" t="s">
        <v>1801</v>
      </c>
      <c r="G1859" s="214" t="s">
        <v>61</v>
      </c>
      <c r="H1859" s="214" t="s">
        <v>395</v>
      </c>
      <c r="I1859" s="214"/>
      <c r="J1859" s="222" t="s">
        <v>67</v>
      </c>
      <c r="K1859" s="222">
        <v>2.5</v>
      </c>
      <c r="L1859" s="222" t="s">
        <v>67</v>
      </c>
      <c r="M1859" s="222">
        <v>61.5</v>
      </c>
      <c r="N1859" s="214">
        <v>414.0</v>
      </c>
      <c r="O1859" s="214">
        <v>261.0</v>
      </c>
      <c r="P1859" s="214">
        <v>2.0</v>
      </c>
      <c r="Q1859" s="214" t="b">
        <v>0</v>
      </c>
      <c r="R1859" s="214">
        <v>100.0</v>
      </c>
      <c r="S1859" s="214" t="s">
        <v>317</v>
      </c>
      <c r="T1859" s="214" t="s">
        <v>321</v>
      </c>
      <c r="U1859" s="214"/>
    </row>
    <row r="1860">
      <c r="A1860" s="221">
        <v>45986.06845535879</v>
      </c>
      <c r="B1860" s="214" t="s">
        <v>238</v>
      </c>
      <c r="C1860" s="214" t="s">
        <v>220</v>
      </c>
      <c r="D1860" s="214">
        <v>4.0</v>
      </c>
      <c r="E1860" s="214">
        <v>7.0</v>
      </c>
      <c r="F1860" s="214" t="s">
        <v>1802</v>
      </c>
      <c r="G1860" s="214" t="s">
        <v>61</v>
      </c>
      <c r="H1860" s="214" t="s">
        <v>493</v>
      </c>
      <c r="I1860" s="214"/>
      <c r="J1860" s="222" t="s">
        <v>67</v>
      </c>
      <c r="K1860" s="222">
        <v>1.5</v>
      </c>
      <c r="L1860" s="222" t="s">
        <v>67</v>
      </c>
      <c r="M1860" s="222">
        <v>53.5</v>
      </c>
      <c r="N1860" s="214">
        <v>292.0</v>
      </c>
      <c r="O1860" s="214">
        <v>316.0</v>
      </c>
      <c r="P1860" s="214">
        <v>2.0</v>
      </c>
      <c r="Q1860" s="214" t="b">
        <v>0</v>
      </c>
      <c r="R1860" s="214">
        <v>100.0</v>
      </c>
      <c r="S1860" s="214" t="s">
        <v>441</v>
      </c>
      <c r="T1860" s="214" t="s">
        <v>365</v>
      </c>
      <c r="U1860" s="214"/>
    </row>
    <row r="1861">
      <c r="A1861" s="221">
        <v>45986.06845535879</v>
      </c>
      <c r="B1861" s="214" t="s">
        <v>238</v>
      </c>
      <c r="C1861" s="214" t="s">
        <v>160</v>
      </c>
      <c r="D1861" s="214">
        <v>2.0</v>
      </c>
      <c r="E1861" s="214">
        <v>9.0</v>
      </c>
      <c r="F1861" s="214" t="s">
        <v>1758</v>
      </c>
      <c r="G1861" s="214" t="s">
        <v>61</v>
      </c>
      <c r="H1861" s="214" t="s">
        <v>43</v>
      </c>
      <c r="I1861" s="214"/>
      <c r="J1861" s="222" t="s">
        <v>67</v>
      </c>
      <c r="K1861" s="222">
        <v>-3.0</v>
      </c>
      <c r="L1861" s="222" t="s">
        <v>67</v>
      </c>
      <c r="M1861" s="222">
        <v>45.5</v>
      </c>
      <c r="N1861" s="214">
        <v>249.0</v>
      </c>
      <c r="O1861" s="214">
        <v>304.0</v>
      </c>
      <c r="P1861" s="214">
        <v>2.0</v>
      </c>
      <c r="Q1861" s="214" t="b">
        <v>0</v>
      </c>
      <c r="R1861" s="214">
        <v>100.0</v>
      </c>
      <c r="S1861" s="214" t="s">
        <v>535</v>
      </c>
      <c r="T1861" s="214" t="s">
        <v>365</v>
      </c>
      <c r="U1861" s="214"/>
    </row>
    <row r="1862">
      <c r="A1862" s="221">
        <v>45986.06845535879</v>
      </c>
      <c r="B1862" s="214" t="s">
        <v>238</v>
      </c>
      <c r="C1862" s="214" t="s">
        <v>141</v>
      </c>
      <c r="D1862" s="214">
        <v>6.0</v>
      </c>
      <c r="E1862" s="214">
        <v>5.0</v>
      </c>
      <c r="F1862" s="214" t="s">
        <v>1803</v>
      </c>
      <c r="G1862" s="214" t="s">
        <v>61</v>
      </c>
      <c r="H1862" s="214" t="s">
        <v>493</v>
      </c>
      <c r="I1862" s="214"/>
      <c r="J1862" s="222" t="s">
        <v>67</v>
      </c>
      <c r="K1862" s="222">
        <v>3.5</v>
      </c>
      <c r="L1862" s="222" t="s">
        <v>67</v>
      </c>
      <c r="M1862" s="222">
        <v>40.5</v>
      </c>
      <c r="N1862" s="214">
        <v>262.0</v>
      </c>
      <c r="O1862" s="214">
        <v>274.0</v>
      </c>
      <c r="P1862" s="214">
        <v>2.0</v>
      </c>
      <c r="Q1862" s="214" t="b">
        <v>0</v>
      </c>
      <c r="R1862" s="214">
        <v>100.0</v>
      </c>
      <c r="S1862" s="214" t="s">
        <v>407</v>
      </c>
      <c r="T1862" s="214" t="s">
        <v>321</v>
      </c>
      <c r="U1862" s="214"/>
    </row>
    <row r="1863">
      <c r="A1863" s="221">
        <v>45986.06845535879</v>
      </c>
      <c r="B1863" s="214" t="s">
        <v>238</v>
      </c>
      <c r="C1863" s="214" t="s">
        <v>539</v>
      </c>
      <c r="D1863" s="214">
        <v>11.0</v>
      </c>
      <c r="E1863" s="214">
        <v>0.0</v>
      </c>
      <c r="F1863" s="214" t="s">
        <v>1804</v>
      </c>
      <c r="G1863" s="214" t="s">
        <v>61</v>
      </c>
      <c r="H1863" s="214"/>
      <c r="I1863" s="214"/>
      <c r="J1863" s="222" t="s">
        <v>67</v>
      </c>
      <c r="K1863" s="222">
        <v>-54.5</v>
      </c>
      <c r="L1863" s="222" t="s">
        <v>67</v>
      </c>
      <c r="M1863" s="222">
        <v>59.5</v>
      </c>
      <c r="N1863" s="214">
        <v>419.0</v>
      </c>
      <c r="O1863" s="214">
        <v>236.0</v>
      </c>
      <c r="P1863" s="214">
        <v>2.0</v>
      </c>
      <c r="Q1863" s="214" t="b">
        <v>0</v>
      </c>
      <c r="R1863" s="214">
        <v>100.0</v>
      </c>
      <c r="S1863" s="214" t="s">
        <v>556</v>
      </c>
      <c r="T1863" s="214" t="s">
        <v>321</v>
      </c>
      <c r="U1863" s="214"/>
    </row>
    <row r="1864">
      <c r="A1864" s="221">
        <v>45986.06845535879</v>
      </c>
      <c r="B1864" s="214" t="s">
        <v>238</v>
      </c>
      <c r="C1864" s="214" t="s">
        <v>548</v>
      </c>
      <c r="D1864" s="214">
        <v>6.0</v>
      </c>
      <c r="E1864" s="214">
        <v>5.0</v>
      </c>
      <c r="F1864" s="214" t="s">
        <v>1805</v>
      </c>
      <c r="G1864" s="214" t="s">
        <v>61</v>
      </c>
      <c r="H1864" s="214" t="s">
        <v>249</v>
      </c>
      <c r="I1864" s="214"/>
      <c r="J1864" s="222" t="s">
        <v>67</v>
      </c>
      <c r="K1864" s="222">
        <v>-1.5</v>
      </c>
      <c r="L1864" s="222" t="s">
        <v>67</v>
      </c>
      <c r="M1864" s="222">
        <v>39.5</v>
      </c>
      <c r="N1864" s="214">
        <v>268.0</v>
      </c>
      <c r="O1864" s="214">
        <v>239.0</v>
      </c>
      <c r="P1864" s="214">
        <v>2.0</v>
      </c>
      <c r="Q1864" s="214" t="b">
        <v>1</v>
      </c>
      <c r="R1864" s="214">
        <v>100.0</v>
      </c>
      <c r="S1864" s="214" t="s">
        <v>530</v>
      </c>
      <c r="T1864" s="214" t="s">
        <v>365</v>
      </c>
      <c r="U1864" s="214"/>
    </row>
    <row r="1865">
      <c r="A1865" s="221">
        <v>45986.06845535879</v>
      </c>
      <c r="B1865" s="214"/>
      <c r="C1865" s="214"/>
      <c r="D1865" s="214"/>
      <c r="E1865" s="214"/>
      <c r="F1865" s="214"/>
      <c r="G1865" s="214"/>
      <c r="H1865" s="214"/>
      <c r="I1865" s="214"/>
      <c r="J1865" s="222"/>
      <c r="K1865" s="222"/>
      <c r="L1865" s="222"/>
      <c r="M1865" s="222"/>
      <c r="N1865" s="214"/>
      <c r="O1865" s="214"/>
      <c r="P1865" s="214"/>
      <c r="Q1865" s="214"/>
      <c r="R1865" s="214"/>
      <c r="S1865" s="214"/>
      <c r="T1865" s="214"/>
      <c r="U1865" s="214"/>
    </row>
    <row r="1866">
      <c r="A1866" s="221">
        <v>45986.06845535879</v>
      </c>
      <c r="B1866" s="214" t="s">
        <v>156</v>
      </c>
      <c r="C1866" s="214" t="s">
        <v>135</v>
      </c>
      <c r="D1866" s="214">
        <v>7.0</v>
      </c>
      <c r="E1866" s="214">
        <v>4.0</v>
      </c>
      <c r="F1866" s="214" t="s">
        <v>1800</v>
      </c>
      <c r="G1866" s="214" t="s">
        <v>61</v>
      </c>
      <c r="H1866" s="214" t="s">
        <v>238</v>
      </c>
      <c r="I1866" s="214"/>
      <c r="J1866" s="222" t="s">
        <v>67</v>
      </c>
      <c r="K1866" s="222">
        <v>-8.5</v>
      </c>
      <c r="L1866" s="222" t="s">
        <v>67</v>
      </c>
      <c r="M1866" s="222">
        <v>41.5</v>
      </c>
      <c r="N1866" s="214">
        <v>332.0</v>
      </c>
      <c r="O1866" s="214">
        <v>266.0</v>
      </c>
      <c r="P1866" s="214">
        <v>2.0</v>
      </c>
      <c r="Q1866" s="214" t="b">
        <v>1</v>
      </c>
      <c r="R1866" s="214">
        <v>100.0</v>
      </c>
      <c r="S1866" s="214" t="s">
        <v>407</v>
      </c>
      <c r="T1866" s="214" t="s">
        <v>321</v>
      </c>
      <c r="U1866" s="214"/>
    </row>
    <row r="1867">
      <c r="A1867" s="221">
        <v>45986.06845535879</v>
      </c>
      <c r="B1867" s="214" t="s">
        <v>156</v>
      </c>
      <c r="C1867" s="214" t="s">
        <v>154</v>
      </c>
      <c r="D1867" s="214">
        <v>10.0</v>
      </c>
      <c r="E1867" s="214">
        <v>1.0</v>
      </c>
      <c r="F1867" s="214" t="s">
        <v>1754</v>
      </c>
      <c r="G1867" s="214" t="s">
        <v>61</v>
      </c>
      <c r="H1867" s="214" t="s">
        <v>43</v>
      </c>
      <c r="I1867" s="214"/>
      <c r="J1867" s="222" t="s">
        <v>67</v>
      </c>
      <c r="K1867" s="222">
        <v>-18.5</v>
      </c>
      <c r="L1867" s="222" t="s">
        <v>67</v>
      </c>
      <c r="M1867" s="222">
        <v>55.5</v>
      </c>
      <c r="N1867" s="214">
        <v>509.0</v>
      </c>
      <c r="O1867" s="214">
        <v>265.0</v>
      </c>
      <c r="P1867" s="214">
        <v>2.0</v>
      </c>
      <c r="Q1867" s="214" t="b">
        <v>0</v>
      </c>
      <c r="R1867" s="214">
        <v>100.0</v>
      </c>
      <c r="S1867" s="214" t="s">
        <v>361</v>
      </c>
      <c r="T1867" s="214" t="s">
        <v>365</v>
      </c>
      <c r="U1867" s="214"/>
    </row>
    <row r="1868">
      <c r="A1868" s="221">
        <v>45986.06845535879</v>
      </c>
      <c r="B1868" s="214" t="s">
        <v>156</v>
      </c>
      <c r="C1868" s="214" t="s">
        <v>202</v>
      </c>
      <c r="D1868" s="214">
        <v>2.0</v>
      </c>
      <c r="E1868" s="214">
        <v>9.0</v>
      </c>
      <c r="F1868" s="214" t="s">
        <v>1808</v>
      </c>
      <c r="G1868" s="214" t="s">
        <v>61</v>
      </c>
      <c r="H1868" s="214" t="s">
        <v>132</v>
      </c>
      <c r="I1868" s="214"/>
      <c r="J1868" s="222" t="s">
        <v>67</v>
      </c>
      <c r="K1868" s="222">
        <v>8.5</v>
      </c>
      <c r="L1868" s="222" t="s">
        <v>67</v>
      </c>
      <c r="M1868" s="222">
        <v>57.5</v>
      </c>
      <c r="N1868" s="214">
        <v>378.0</v>
      </c>
      <c r="O1868" s="214">
        <v>375.0</v>
      </c>
      <c r="P1868" s="214">
        <v>2.0</v>
      </c>
      <c r="Q1868" s="214" t="b">
        <v>0</v>
      </c>
      <c r="R1868" s="214">
        <v>100.0</v>
      </c>
      <c r="S1868" s="214" t="s">
        <v>556</v>
      </c>
      <c r="T1868" s="214" t="s">
        <v>321</v>
      </c>
      <c r="U1868" s="214"/>
    </row>
    <row r="1869">
      <c r="A1869" s="221">
        <v>45986.06845535879</v>
      </c>
      <c r="B1869" s="214" t="s">
        <v>156</v>
      </c>
      <c r="C1869" s="214" t="s">
        <v>223</v>
      </c>
      <c r="D1869" s="214">
        <v>6.0</v>
      </c>
      <c r="E1869" s="214">
        <v>5.0</v>
      </c>
      <c r="F1869" s="214" t="s">
        <v>1809</v>
      </c>
      <c r="G1869" s="214" t="s">
        <v>61</v>
      </c>
      <c r="H1869" s="214" t="s">
        <v>132</v>
      </c>
      <c r="I1869" s="214"/>
      <c r="J1869" s="222" t="s">
        <v>67</v>
      </c>
      <c r="K1869" s="222">
        <v>23.5</v>
      </c>
      <c r="L1869" s="222" t="s">
        <v>67</v>
      </c>
      <c r="M1869" s="222">
        <v>50.5</v>
      </c>
      <c r="N1869" s="214">
        <v>264.0</v>
      </c>
      <c r="O1869" s="214">
        <v>348.0</v>
      </c>
      <c r="P1869" s="214">
        <v>2.0</v>
      </c>
      <c r="Q1869" s="214" t="b">
        <v>0</v>
      </c>
      <c r="R1869" s="214">
        <v>100.0</v>
      </c>
      <c r="S1869" s="214" t="s">
        <v>441</v>
      </c>
      <c r="T1869" s="214" t="s">
        <v>365</v>
      </c>
      <c r="U1869" s="214"/>
    </row>
    <row r="1870">
      <c r="A1870" s="221">
        <v>45986.06845535879</v>
      </c>
      <c r="B1870" s="214" t="s">
        <v>156</v>
      </c>
      <c r="C1870" s="214" t="s">
        <v>232</v>
      </c>
      <c r="D1870" s="214">
        <v>7.0</v>
      </c>
      <c r="E1870" s="214">
        <v>4.0</v>
      </c>
      <c r="F1870" s="214" t="s">
        <v>1810</v>
      </c>
      <c r="G1870" s="214" t="s">
        <v>61</v>
      </c>
      <c r="H1870" s="214" t="s">
        <v>132</v>
      </c>
      <c r="I1870" s="214"/>
      <c r="J1870" s="222" t="s">
        <v>67</v>
      </c>
      <c r="K1870" s="222">
        <v>-1.5</v>
      </c>
      <c r="L1870" s="222" t="s">
        <v>67</v>
      </c>
      <c r="M1870" s="222">
        <v>55.5</v>
      </c>
      <c r="N1870" s="214">
        <v>325.0</v>
      </c>
      <c r="O1870" s="214">
        <v>287.0</v>
      </c>
      <c r="P1870" s="214">
        <v>2.0</v>
      </c>
      <c r="Q1870" s="214" t="b">
        <v>1</v>
      </c>
      <c r="R1870" s="214">
        <v>100.0</v>
      </c>
      <c r="S1870" s="214" t="s">
        <v>535</v>
      </c>
      <c r="T1870" s="214" t="s">
        <v>365</v>
      </c>
      <c r="U1870" s="214"/>
    </row>
    <row r="1871">
      <c r="A1871" s="221">
        <v>45986.06845535879</v>
      </c>
      <c r="B1871" s="214" t="s">
        <v>156</v>
      </c>
      <c r="C1871" s="214" t="s">
        <v>109</v>
      </c>
      <c r="D1871" s="214">
        <v>5.0</v>
      </c>
      <c r="E1871" s="214">
        <v>6.0</v>
      </c>
      <c r="F1871" s="214" t="s">
        <v>1796</v>
      </c>
      <c r="G1871" s="214" t="s">
        <v>61</v>
      </c>
      <c r="H1871" s="214" t="s">
        <v>96</v>
      </c>
      <c r="I1871" s="214"/>
      <c r="J1871" s="222" t="s">
        <v>67</v>
      </c>
      <c r="K1871" s="222">
        <v>-13.5</v>
      </c>
      <c r="L1871" s="222" t="s">
        <v>67</v>
      </c>
      <c r="M1871" s="222">
        <v>47.5</v>
      </c>
      <c r="N1871" s="214">
        <v>271.0</v>
      </c>
      <c r="O1871" s="214">
        <v>242.0</v>
      </c>
      <c r="P1871" s="214">
        <v>2.0</v>
      </c>
      <c r="Q1871" s="214" t="b">
        <v>1</v>
      </c>
      <c r="R1871" s="214">
        <v>100.0</v>
      </c>
      <c r="S1871" s="214" t="s">
        <v>471</v>
      </c>
      <c r="T1871" s="214" t="s">
        <v>321</v>
      </c>
      <c r="U1871" s="214"/>
    </row>
    <row r="1872">
      <c r="A1872" s="221">
        <v>45986.06845535879</v>
      </c>
      <c r="B1872" s="214" t="s">
        <v>156</v>
      </c>
      <c r="C1872" s="214" t="s">
        <v>174</v>
      </c>
      <c r="D1872" s="214">
        <v>7.0</v>
      </c>
      <c r="E1872" s="214">
        <v>4.0</v>
      </c>
      <c r="F1872" s="214" t="s">
        <v>1769</v>
      </c>
      <c r="G1872" s="214" t="s">
        <v>61</v>
      </c>
      <c r="H1872" s="214" t="s">
        <v>95</v>
      </c>
      <c r="I1872" s="214"/>
      <c r="J1872" s="222" t="s">
        <v>67</v>
      </c>
      <c r="K1872" s="222">
        <v>-28.5</v>
      </c>
      <c r="L1872" s="222" t="s">
        <v>67</v>
      </c>
      <c r="M1872" s="222">
        <v>45.5</v>
      </c>
      <c r="N1872" s="214">
        <v>358.0</v>
      </c>
      <c r="O1872" s="214">
        <v>143.0</v>
      </c>
      <c r="P1872" s="214">
        <v>2.0</v>
      </c>
      <c r="Q1872" s="214" t="b">
        <v>1</v>
      </c>
      <c r="R1872" s="214">
        <v>100.0</v>
      </c>
      <c r="S1872" s="214" t="s">
        <v>530</v>
      </c>
      <c r="T1872" s="214" t="s">
        <v>365</v>
      </c>
      <c r="U1872" s="214"/>
    </row>
    <row r="1873">
      <c r="A1873" s="221">
        <v>45986.06845535879</v>
      </c>
      <c r="B1873" s="214" t="s">
        <v>156</v>
      </c>
      <c r="C1873" s="214" t="s">
        <v>181</v>
      </c>
      <c r="D1873" s="214">
        <v>3.0</v>
      </c>
      <c r="E1873" s="214">
        <v>8.0</v>
      </c>
      <c r="F1873" s="214" t="s">
        <v>1812</v>
      </c>
      <c r="G1873" s="214" t="s">
        <v>61</v>
      </c>
      <c r="H1873" s="214" t="s">
        <v>132</v>
      </c>
      <c r="I1873" s="214"/>
      <c r="J1873" s="222" t="s">
        <v>67</v>
      </c>
      <c r="K1873" s="222">
        <v>6.5</v>
      </c>
      <c r="L1873" s="222" t="s">
        <v>67</v>
      </c>
      <c r="M1873" s="222">
        <v>40.5</v>
      </c>
      <c r="N1873" s="214">
        <v>194.0</v>
      </c>
      <c r="O1873" s="214">
        <v>288.0</v>
      </c>
      <c r="P1873" s="214">
        <v>2.0</v>
      </c>
      <c r="Q1873" s="214" t="b">
        <v>1</v>
      </c>
      <c r="R1873" s="214">
        <v>100.0</v>
      </c>
      <c r="S1873" s="214" t="s">
        <v>525</v>
      </c>
      <c r="T1873" s="214" t="s">
        <v>365</v>
      </c>
      <c r="U1873" s="214"/>
    </row>
    <row r="1874">
      <c r="A1874" s="221">
        <v>45986.06845535879</v>
      </c>
      <c r="B1874" s="214" t="s">
        <v>156</v>
      </c>
      <c r="C1874" s="214" t="s">
        <v>116</v>
      </c>
      <c r="D1874" s="214">
        <v>9.0</v>
      </c>
      <c r="E1874" s="214">
        <v>2.0</v>
      </c>
      <c r="F1874" s="214" t="s">
        <v>1789</v>
      </c>
      <c r="G1874" s="214" t="s">
        <v>61</v>
      </c>
      <c r="H1874" s="214" t="s">
        <v>311</v>
      </c>
      <c r="I1874" s="214"/>
      <c r="J1874" s="222" t="s">
        <v>67</v>
      </c>
      <c r="K1874" s="222">
        <v>-18.5</v>
      </c>
      <c r="L1874" s="222" t="s">
        <v>67</v>
      </c>
      <c r="M1874" s="222">
        <v>49.5</v>
      </c>
      <c r="N1874" s="214">
        <v>371.0</v>
      </c>
      <c r="O1874" s="214">
        <v>159.0</v>
      </c>
      <c r="P1874" s="214">
        <v>2.0</v>
      </c>
      <c r="Q1874" s="214" t="b">
        <v>1</v>
      </c>
      <c r="R1874" s="214">
        <v>100.0</v>
      </c>
      <c r="S1874" s="214" t="s">
        <v>317</v>
      </c>
      <c r="T1874" s="214" t="s">
        <v>321</v>
      </c>
      <c r="U1874" s="214"/>
    </row>
    <row r="1875">
      <c r="A1875" s="221">
        <v>45986.06845535879</v>
      </c>
      <c r="B1875" s="214" t="s">
        <v>156</v>
      </c>
      <c r="C1875" s="214" t="s">
        <v>208</v>
      </c>
      <c r="D1875" s="214">
        <v>7.0</v>
      </c>
      <c r="E1875" s="214">
        <v>4.0</v>
      </c>
      <c r="F1875" s="214" t="s">
        <v>1770</v>
      </c>
      <c r="G1875" s="214" t="s">
        <v>61</v>
      </c>
      <c r="H1875" s="214" t="s">
        <v>95</v>
      </c>
      <c r="I1875" s="214"/>
      <c r="J1875" s="222" t="s">
        <v>67</v>
      </c>
      <c r="K1875" s="222">
        <v>6.5</v>
      </c>
      <c r="L1875" s="222" t="s">
        <v>67</v>
      </c>
      <c r="M1875" s="222">
        <v>42.5</v>
      </c>
      <c r="N1875" s="214">
        <v>355.0</v>
      </c>
      <c r="O1875" s="214">
        <v>216.0</v>
      </c>
      <c r="P1875" s="214">
        <v>2.0</v>
      </c>
      <c r="Q1875" s="214" t="b">
        <v>0</v>
      </c>
      <c r="R1875" s="214">
        <v>100.0</v>
      </c>
      <c r="S1875" s="214" t="s">
        <v>556</v>
      </c>
      <c r="T1875" s="214" t="s">
        <v>321</v>
      </c>
      <c r="U1875" s="214"/>
    </row>
    <row r="1876">
      <c r="A1876" s="221">
        <v>45986.06845535879</v>
      </c>
      <c r="B1876" s="214"/>
      <c r="C1876" s="214"/>
      <c r="D1876" s="214"/>
      <c r="E1876" s="214"/>
      <c r="F1876" s="214"/>
      <c r="G1876" s="214"/>
      <c r="H1876" s="214"/>
      <c r="I1876" s="214"/>
      <c r="J1876" s="222"/>
      <c r="K1876" s="222"/>
      <c r="L1876" s="222"/>
      <c r="M1876" s="222"/>
      <c r="N1876" s="214"/>
      <c r="O1876" s="214"/>
      <c r="P1876" s="214"/>
      <c r="Q1876" s="214"/>
      <c r="R1876" s="214"/>
      <c r="S1876" s="214"/>
      <c r="T1876" s="214"/>
      <c r="U1876" s="214"/>
    </row>
    <row r="1877">
      <c r="A1877" s="221">
        <v>45986.06845535879</v>
      </c>
      <c r="B1877" s="214" t="s">
        <v>249</v>
      </c>
      <c r="C1877" s="214" t="s">
        <v>209</v>
      </c>
      <c r="D1877" s="214">
        <v>10.0</v>
      </c>
      <c r="E1877" s="214">
        <v>1.0</v>
      </c>
      <c r="F1877" s="214"/>
      <c r="G1877" s="214"/>
      <c r="H1877" s="214"/>
      <c r="I1877" s="214"/>
      <c r="J1877" s="222"/>
      <c r="K1877" s="222"/>
      <c r="L1877" s="222"/>
      <c r="M1877" s="222"/>
      <c r="N1877" s="214">
        <v>409.0</v>
      </c>
      <c r="O1877" s="214">
        <v>222.0</v>
      </c>
      <c r="P1877" s="214">
        <v>0.0</v>
      </c>
      <c r="Q1877" s="214" t="b">
        <v>1</v>
      </c>
      <c r="R1877" s="214">
        <v>59.0</v>
      </c>
      <c r="S1877" s="214" t="s">
        <v>556</v>
      </c>
      <c r="T1877" s="214" t="s">
        <v>321</v>
      </c>
      <c r="U1877" s="214"/>
    </row>
    <row r="1878">
      <c r="A1878" s="221">
        <v>45986.06845535879</v>
      </c>
      <c r="B1878" s="214" t="s">
        <v>249</v>
      </c>
      <c r="C1878" s="214" t="s">
        <v>183</v>
      </c>
      <c r="D1878" s="214">
        <v>9.0</v>
      </c>
      <c r="E1878" s="214">
        <v>2.0</v>
      </c>
      <c r="F1878" s="214" t="s">
        <v>1799</v>
      </c>
      <c r="G1878" s="214" t="s">
        <v>61</v>
      </c>
      <c r="H1878" s="214" t="s">
        <v>238</v>
      </c>
      <c r="I1878" s="214"/>
      <c r="J1878" s="222" t="s">
        <v>67</v>
      </c>
      <c r="K1878" s="222">
        <v>-12.5</v>
      </c>
      <c r="L1878" s="222" t="s">
        <v>67</v>
      </c>
      <c r="M1878" s="222">
        <v>50.5</v>
      </c>
      <c r="N1878" s="214">
        <v>279.0</v>
      </c>
      <c r="O1878" s="214">
        <v>128.0</v>
      </c>
      <c r="P1878" s="214">
        <v>2.0</v>
      </c>
      <c r="Q1878" s="214" t="b">
        <v>0</v>
      </c>
      <c r="R1878" s="214">
        <v>100.0</v>
      </c>
      <c r="S1878" s="214" t="s">
        <v>525</v>
      </c>
      <c r="T1878" s="214" t="s">
        <v>365</v>
      </c>
      <c r="U1878" s="214"/>
    </row>
    <row r="1879">
      <c r="A1879" s="221">
        <v>45986.06845535879</v>
      </c>
      <c r="B1879" s="214" t="s">
        <v>249</v>
      </c>
      <c r="C1879" s="214" t="s">
        <v>111</v>
      </c>
      <c r="D1879" s="214">
        <v>6.0</v>
      </c>
      <c r="E1879" s="214">
        <v>5.0</v>
      </c>
      <c r="F1879" s="214" t="s">
        <v>1813</v>
      </c>
      <c r="G1879" s="214" t="s">
        <v>61</v>
      </c>
      <c r="H1879" s="214"/>
      <c r="I1879" s="214"/>
      <c r="J1879" s="222" t="s">
        <v>67</v>
      </c>
      <c r="K1879" s="222">
        <v>-41.5</v>
      </c>
      <c r="L1879" s="222" t="s">
        <v>67</v>
      </c>
      <c r="M1879" s="222">
        <v>54.5</v>
      </c>
      <c r="N1879" s="214">
        <v>316.0</v>
      </c>
      <c r="O1879" s="214">
        <v>231.0</v>
      </c>
      <c r="P1879" s="214">
        <v>2.0</v>
      </c>
      <c r="Q1879" s="214" t="b">
        <v>0</v>
      </c>
      <c r="R1879" s="214">
        <v>100.0</v>
      </c>
      <c r="S1879" s="214" t="s">
        <v>317</v>
      </c>
      <c r="T1879" s="214" t="s">
        <v>321</v>
      </c>
      <c r="U1879" s="214"/>
    </row>
    <row r="1880">
      <c r="A1880" s="221">
        <v>45986.06845535879</v>
      </c>
      <c r="B1880" s="214" t="s">
        <v>249</v>
      </c>
      <c r="C1880" s="214" t="s">
        <v>217</v>
      </c>
      <c r="D1880" s="214">
        <v>1.0</v>
      </c>
      <c r="E1880" s="214">
        <v>10.0</v>
      </c>
      <c r="F1880" s="214" t="s">
        <v>1795</v>
      </c>
      <c r="G1880" s="214" t="s">
        <v>61</v>
      </c>
      <c r="H1880" s="214" t="s">
        <v>96</v>
      </c>
      <c r="I1880" s="214"/>
      <c r="J1880" s="222" t="s">
        <v>67</v>
      </c>
      <c r="K1880" s="222">
        <v>10.0</v>
      </c>
      <c r="L1880" s="222" t="s">
        <v>67</v>
      </c>
      <c r="M1880" s="222">
        <v>50.5</v>
      </c>
      <c r="N1880" s="214">
        <v>227.0</v>
      </c>
      <c r="O1880" s="214">
        <v>427.0</v>
      </c>
      <c r="P1880" s="214">
        <v>2.0</v>
      </c>
      <c r="Q1880" s="214" t="b">
        <v>1</v>
      </c>
      <c r="R1880" s="214">
        <v>100.0</v>
      </c>
      <c r="S1880" s="214" t="s">
        <v>441</v>
      </c>
      <c r="T1880" s="214" t="s">
        <v>365</v>
      </c>
      <c r="U1880" s="214"/>
    </row>
    <row r="1881">
      <c r="A1881" s="221">
        <v>45986.06845535879</v>
      </c>
      <c r="B1881" s="214" t="s">
        <v>249</v>
      </c>
      <c r="C1881" s="214" t="s">
        <v>137</v>
      </c>
      <c r="D1881" s="214">
        <v>7.0</v>
      </c>
      <c r="E1881" s="214">
        <v>4.0</v>
      </c>
      <c r="F1881" s="214" t="s">
        <v>1792</v>
      </c>
      <c r="G1881" s="214" t="s">
        <v>61</v>
      </c>
      <c r="H1881" s="214" t="s">
        <v>224</v>
      </c>
      <c r="I1881" s="214"/>
      <c r="J1881" s="222" t="s">
        <v>67</v>
      </c>
      <c r="K1881" s="222">
        <v>-16.5</v>
      </c>
      <c r="L1881" s="222" t="s">
        <v>67</v>
      </c>
      <c r="M1881" s="222">
        <v>42.5</v>
      </c>
      <c r="N1881" s="214">
        <v>307.0</v>
      </c>
      <c r="O1881" s="214">
        <v>166.0</v>
      </c>
      <c r="P1881" s="214">
        <v>2.0</v>
      </c>
      <c r="Q1881" s="214" t="b">
        <v>1</v>
      </c>
      <c r="R1881" s="214">
        <v>100.0</v>
      </c>
      <c r="S1881" s="214" t="s">
        <v>407</v>
      </c>
      <c r="T1881" s="214" t="s">
        <v>321</v>
      </c>
      <c r="U1881" s="214"/>
    </row>
    <row r="1882">
      <c r="A1882" s="221">
        <v>45986.06845535879</v>
      </c>
      <c r="B1882" s="214" t="s">
        <v>249</v>
      </c>
      <c r="C1882" s="214" t="s">
        <v>112</v>
      </c>
      <c r="D1882" s="214">
        <v>6.0</v>
      </c>
      <c r="E1882" s="214">
        <v>5.0</v>
      </c>
      <c r="F1882" s="214" t="s">
        <v>1757</v>
      </c>
      <c r="G1882" s="214" t="s">
        <v>61</v>
      </c>
      <c r="H1882" s="214" t="s">
        <v>43</v>
      </c>
      <c r="I1882" s="214"/>
      <c r="J1882" s="222" t="s">
        <v>67</v>
      </c>
      <c r="K1882" s="222">
        <v>-7.0</v>
      </c>
      <c r="L1882" s="222" t="s">
        <v>67</v>
      </c>
      <c r="M1882" s="222">
        <v>51.5</v>
      </c>
      <c r="N1882" s="214">
        <v>366.0</v>
      </c>
      <c r="O1882" s="214">
        <v>321.0</v>
      </c>
      <c r="P1882" s="214">
        <v>2.0</v>
      </c>
      <c r="Q1882" s="214" t="b">
        <v>1</v>
      </c>
      <c r="R1882" s="214">
        <v>100.0</v>
      </c>
      <c r="S1882" s="214" t="s">
        <v>317</v>
      </c>
      <c r="T1882" s="214" t="s">
        <v>321</v>
      </c>
      <c r="U1882" s="214"/>
    </row>
    <row r="1883">
      <c r="A1883" s="221">
        <v>45986.06845535879</v>
      </c>
      <c r="B1883" s="214" t="s">
        <v>249</v>
      </c>
      <c r="C1883" s="214" t="s">
        <v>124</v>
      </c>
      <c r="D1883" s="214">
        <v>5.0</v>
      </c>
      <c r="E1883" s="214">
        <v>6.0</v>
      </c>
      <c r="F1883" s="214" t="s">
        <v>1839</v>
      </c>
      <c r="G1883" s="214" t="s">
        <v>61</v>
      </c>
      <c r="H1883" s="214" t="s">
        <v>493</v>
      </c>
      <c r="I1883" s="214"/>
      <c r="J1883" s="222" t="s">
        <v>67</v>
      </c>
      <c r="K1883" s="222">
        <v>6.5</v>
      </c>
      <c r="L1883" s="222" t="s">
        <v>67</v>
      </c>
      <c r="M1883" s="222">
        <v>62.5</v>
      </c>
      <c r="N1883" s="214">
        <v>349.0</v>
      </c>
      <c r="O1883" s="214">
        <v>360.0</v>
      </c>
      <c r="P1883" s="214">
        <v>2.0</v>
      </c>
      <c r="Q1883" s="214" t="b">
        <v>1</v>
      </c>
      <c r="R1883" s="214">
        <v>100.0</v>
      </c>
      <c r="S1883" s="214" t="s">
        <v>471</v>
      </c>
      <c r="T1883" s="214" t="s">
        <v>321</v>
      </c>
      <c r="U1883" s="214"/>
    </row>
    <row r="1884">
      <c r="A1884" s="221">
        <v>45986.06845535879</v>
      </c>
      <c r="B1884" s="214" t="s">
        <v>249</v>
      </c>
      <c r="C1884" s="214" t="s">
        <v>159</v>
      </c>
      <c r="D1884" s="214">
        <v>1.0</v>
      </c>
      <c r="E1884" s="214">
        <v>10.0</v>
      </c>
      <c r="F1884" s="214" t="s">
        <v>1798</v>
      </c>
      <c r="G1884" s="214" t="s">
        <v>61</v>
      </c>
      <c r="H1884" s="214" t="s">
        <v>96</v>
      </c>
      <c r="I1884" s="214"/>
      <c r="J1884" s="222" t="s">
        <v>67</v>
      </c>
      <c r="K1884" s="222">
        <v>43.5</v>
      </c>
      <c r="L1884" s="222" t="s">
        <v>67</v>
      </c>
      <c r="M1884" s="222">
        <v>53.5</v>
      </c>
      <c r="N1884" s="214">
        <v>172.0</v>
      </c>
      <c r="O1884" s="214">
        <v>409.0</v>
      </c>
      <c r="P1884" s="214">
        <v>2.0</v>
      </c>
      <c r="Q1884" s="214" t="b">
        <v>1</v>
      </c>
      <c r="R1884" s="214">
        <v>100.0</v>
      </c>
      <c r="S1884" s="214" t="s">
        <v>361</v>
      </c>
      <c r="T1884" s="214" t="s">
        <v>365</v>
      </c>
      <c r="U1884" s="214"/>
    </row>
    <row r="1885">
      <c r="A1885" s="221">
        <v>45986.06845535879</v>
      </c>
      <c r="B1885" s="214" t="s">
        <v>249</v>
      </c>
      <c r="C1885" s="214" t="s">
        <v>167</v>
      </c>
      <c r="D1885" s="214">
        <v>5.0</v>
      </c>
      <c r="E1885" s="214">
        <v>6.0</v>
      </c>
      <c r="F1885" s="214" t="s">
        <v>1805</v>
      </c>
      <c r="G1885" s="214" t="s">
        <v>61</v>
      </c>
      <c r="H1885" s="214" t="s">
        <v>238</v>
      </c>
      <c r="I1885" s="214"/>
      <c r="J1885" s="222" t="s">
        <v>67</v>
      </c>
      <c r="K1885" s="222">
        <v>1.5</v>
      </c>
      <c r="L1885" s="222" t="s">
        <v>67</v>
      </c>
      <c r="M1885" s="222">
        <v>39.5</v>
      </c>
      <c r="N1885" s="214">
        <v>262.0</v>
      </c>
      <c r="O1885" s="214">
        <v>251.0</v>
      </c>
      <c r="P1885" s="214">
        <v>2.0</v>
      </c>
      <c r="Q1885" s="214" t="b">
        <v>0</v>
      </c>
      <c r="R1885" s="214">
        <v>100.0</v>
      </c>
      <c r="S1885" s="214" t="s">
        <v>530</v>
      </c>
      <c r="T1885" s="214" t="s">
        <v>365</v>
      </c>
      <c r="U1885" s="214"/>
    </row>
    <row r="1886">
      <c r="A1886" s="221">
        <v>45986.06845535879</v>
      </c>
      <c r="B1886" s="214" t="s">
        <v>249</v>
      </c>
      <c r="C1886" s="214" t="s">
        <v>151</v>
      </c>
      <c r="D1886" s="214">
        <v>6.0</v>
      </c>
      <c r="E1886" s="214">
        <v>5.0</v>
      </c>
      <c r="F1886" s="214" t="s">
        <v>1777</v>
      </c>
      <c r="G1886" s="214" t="s">
        <v>532</v>
      </c>
      <c r="H1886" s="214" t="s">
        <v>62</v>
      </c>
      <c r="I1886" s="214"/>
      <c r="J1886" s="222" t="s">
        <v>67</v>
      </c>
      <c r="K1886" s="222">
        <v>1.5</v>
      </c>
      <c r="L1886" s="222" t="s">
        <v>67</v>
      </c>
      <c r="M1886" s="222">
        <v>45.5</v>
      </c>
      <c r="N1886" s="214">
        <v>290.0</v>
      </c>
      <c r="O1886" s="214">
        <v>226.0</v>
      </c>
      <c r="P1886" s="214">
        <v>2.0</v>
      </c>
      <c r="Q1886" s="214" t="b">
        <v>1</v>
      </c>
      <c r="R1886" s="214">
        <v>100.0</v>
      </c>
      <c r="S1886" s="214" t="s">
        <v>535</v>
      </c>
      <c r="T1886" s="214" t="s">
        <v>365</v>
      </c>
      <c r="U1886" s="214"/>
    </row>
    <row r="1887">
      <c r="A1887" s="221">
        <v>45986.06845535879</v>
      </c>
      <c r="B1887" s="214"/>
      <c r="C1887" s="214"/>
      <c r="D1887" s="214"/>
      <c r="E1887" s="214"/>
      <c r="F1887" s="214"/>
      <c r="G1887" s="214"/>
      <c r="H1887" s="214"/>
      <c r="I1887" s="214"/>
      <c r="J1887" s="222"/>
      <c r="K1887" s="222"/>
      <c r="L1887" s="222"/>
      <c r="M1887" s="222"/>
      <c r="N1887" s="214"/>
      <c r="O1887" s="214"/>
      <c r="P1887" s="214"/>
      <c r="Q1887" s="214"/>
      <c r="R1887" s="214"/>
      <c r="S1887" s="214"/>
      <c r="T1887" s="214"/>
      <c r="U1887" s="214"/>
    </row>
    <row r="1888">
      <c r="A1888" s="221">
        <v>45986.06845535879</v>
      </c>
      <c r="B1888" s="214" t="s">
        <v>395</v>
      </c>
      <c r="C1888" s="214" t="s">
        <v>179</v>
      </c>
      <c r="D1888" s="214">
        <v>7.0</v>
      </c>
      <c r="E1888" s="214">
        <v>4.0</v>
      </c>
      <c r="F1888" s="214" t="s">
        <v>1785</v>
      </c>
      <c r="G1888" s="214" t="s">
        <v>61</v>
      </c>
      <c r="H1888" s="214" t="s">
        <v>311</v>
      </c>
      <c r="I1888" s="214"/>
      <c r="J1888" s="222" t="s">
        <v>67</v>
      </c>
      <c r="K1888" s="222">
        <v>-3.0</v>
      </c>
      <c r="L1888" s="222" t="s">
        <v>67</v>
      </c>
      <c r="M1888" s="222">
        <v>50.5</v>
      </c>
      <c r="N1888" s="214">
        <v>276.0</v>
      </c>
      <c r="O1888" s="214">
        <v>227.0</v>
      </c>
      <c r="P1888" s="214">
        <v>2.0</v>
      </c>
      <c r="Q1888" s="214" t="b">
        <v>0</v>
      </c>
      <c r="R1888" s="214">
        <v>100.0</v>
      </c>
      <c r="S1888" s="214" t="s">
        <v>525</v>
      </c>
      <c r="T1888" s="214" t="s">
        <v>365</v>
      </c>
      <c r="U1888" s="214"/>
    </row>
    <row r="1889">
      <c r="A1889" s="221">
        <v>45986.06845535879</v>
      </c>
      <c r="B1889" s="214" t="s">
        <v>395</v>
      </c>
      <c r="C1889" s="214" t="s">
        <v>162</v>
      </c>
      <c r="D1889" s="214">
        <v>8.0</v>
      </c>
      <c r="E1889" s="214">
        <v>3.0</v>
      </c>
      <c r="F1889" s="214" t="s">
        <v>1786</v>
      </c>
      <c r="G1889" s="214" t="s">
        <v>61</v>
      </c>
      <c r="H1889" s="214" t="s">
        <v>311</v>
      </c>
      <c r="I1889" s="214"/>
      <c r="J1889" s="222" t="s">
        <v>67</v>
      </c>
      <c r="K1889" s="222">
        <v>21.5</v>
      </c>
      <c r="L1889" s="222" t="s">
        <v>67</v>
      </c>
      <c r="M1889" s="222">
        <v>50.5</v>
      </c>
      <c r="N1889" s="214">
        <v>323.0</v>
      </c>
      <c r="O1889" s="214">
        <v>244.0</v>
      </c>
      <c r="P1889" s="214">
        <v>2.0</v>
      </c>
      <c r="Q1889" s="214" t="b">
        <v>1</v>
      </c>
      <c r="R1889" s="214">
        <v>100.0</v>
      </c>
      <c r="S1889" s="214" t="s">
        <v>535</v>
      </c>
      <c r="T1889" s="214" t="s">
        <v>365</v>
      </c>
      <c r="U1889" s="214"/>
    </row>
    <row r="1890">
      <c r="A1890" s="221">
        <v>45986.06845535879</v>
      </c>
      <c r="B1890" s="214" t="s">
        <v>395</v>
      </c>
      <c r="C1890" s="214" t="s">
        <v>114</v>
      </c>
      <c r="D1890" s="214">
        <v>9.0</v>
      </c>
      <c r="E1890" s="214">
        <v>2.0</v>
      </c>
      <c r="F1890" s="214" t="s">
        <v>1801</v>
      </c>
      <c r="G1890" s="214" t="s">
        <v>61</v>
      </c>
      <c r="H1890" s="214" t="s">
        <v>238</v>
      </c>
      <c r="I1890" s="214"/>
      <c r="J1890" s="222" t="s">
        <v>67</v>
      </c>
      <c r="K1890" s="222">
        <v>-2.5</v>
      </c>
      <c r="L1890" s="222" t="s">
        <v>67</v>
      </c>
      <c r="M1890" s="222">
        <v>61.5</v>
      </c>
      <c r="N1890" s="214">
        <v>388.0</v>
      </c>
      <c r="O1890" s="214">
        <v>284.0</v>
      </c>
      <c r="P1890" s="214">
        <v>2.0</v>
      </c>
      <c r="Q1890" s="214" t="b">
        <v>1</v>
      </c>
      <c r="R1890" s="214">
        <v>100.0</v>
      </c>
      <c r="S1890" s="214" t="s">
        <v>317</v>
      </c>
      <c r="T1890" s="214" t="s">
        <v>321</v>
      </c>
      <c r="U1890" s="214"/>
    </row>
    <row r="1891">
      <c r="A1891" s="221">
        <v>45986.06845535879</v>
      </c>
      <c r="B1891" s="214" t="s">
        <v>395</v>
      </c>
      <c r="C1891" s="214" t="s">
        <v>101</v>
      </c>
      <c r="D1891" s="214">
        <v>8.0</v>
      </c>
      <c r="E1891" s="214">
        <v>3.0</v>
      </c>
      <c r="F1891" s="214" t="s">
        <v>1766</v>
      </c>
      <c r="G1891" s="214" t="s">
        <v>61</v>
      </c>
      <c r="H1891" s="214" t="s">
        <v>95</v>
      </c>
      <c r="I1891" s="214"/>
      <c r="J1891" s="222" t="s">
        <v>67</v>
      </c>
      <c r="K1891" s="222">
        <v>-1.5</v>
      </c>
      <c r="L1891" s="222" t="s">
        <v>67</v>
      </c>
      <c r="M1891" s="222">
        <v>55.5</v>
      </c>
      <c r="N1891" s="214">
        <v>309.0</v>
      </c>
      <c r="O1891" s="214">
        <v>238.0</v>
      </c>
      <c r="P1891" s="214">
        <v>2.0</v>
      </c>
      <c r="Q1891" s="214" t="b">
        <v>0</v>
      </c>
      <c r="R1891" s="214">
        <v>100.0</v>
      </c>
      <c r="S1891" s="214" t="s">
        <v>471</v>
      </c>
      <c r="T1891" s="214" t="s">
        <v>321</v>
      </c>
      <c r="U1891" s="214"/>
    </row>
    <row r="1892">
      <c r="A1892" s="221">
        <v>45986.06845535879</v>
      </c>
      <c r="B1892" s="214" t="s">
        <v>395</v>
      </c>
      <c r="C1892" s="214" t="s">
        <v>213</v>
      </c>
      <c r="D1892" s="214">
        <v>9.0</v>
      </c>
      <c r="E1892" s="214">
        <v>2.0</v>
      </c>
      <c r="F1892" s="214" t="s">
        <v>1926</v>
      </c>
      <c r="G1892" s="214" t="s">
        <v>61</v>
      </c>
      <c r="H1892" s="214" t="s">
        <v>493</v>
      </c>
      <c r="I1892" s="214"/>
      <c r="J1892" s="222" t="s">
        <v>67</v>
      </c>
      <c r="K1892" s="222">
        <v>-8.5</v>
      </c>
      <c r="L1892" s="222" t="s">
        <v>67</v>
      </c>
      <c r="M1892" s="222">
        <v>54.5</v>
      </c>
      <c r="N1892" s="214">
        <v>428.0</v>
      </c>
      <c r="O1892" s="214">
        <v>239.0</v>
      </c>
      <c r="P1892" s="214">
        <v>2.0</v>
      </c>
      <c r="Q1892" s="214" t="b">
        <v>0</v>
      </c>
      <c r="R1892" s="214">
        <v>100.0</v>
      </c>
      <c r="S1892" s="214" t="s">
        <v>556</v>
      </c>
      <c r="T1892" s="214" t="s">
        <v>321</v>
      </c>
      <c r="U1892" s="214"/>
    </row>
    <row r="1893">
      <c r="A1893" s="221">
        <v>45986.06845535879</v>
      </c>
      <c r="B1893" s="214" t="s">
        <v>395</v>
      </c>
      <c r="C1893" s="214" t="s">
        <v>99</v>
      </c>
      <c r="D1893" s="214">
        <v>9.0</v>
      </c>
      <c r="E1893" s="214">
        <v>3.0</v>
      </c>
      <c r="F1893" s="214" t="s">
        <v>1779</v>
      </c>
      <c r="G1893" s="214" t="s">
        <v>61</v>
      </c>
      <c r="H1893" s="214" t="s">
        <v>193</v>
      </c>
      <c r="I1893" s="214"/>
      <c r="J1893" s="222" t="s">
        <v>67</v>
      </c>
      <c r="K1893" s="222">
        <v>-7.0</v>
      </c>
      <c r="L1893" s="222" t="s">
        <v>67</v>
      </c>
      <c r="M1893" s="222">
        <v>64.5</v>
      </c>
      <c r="N1893" s="214">
        <v>443.0</v>
      </c>
      <c r="O1893" s="214">
        <v>310.0</v>
      </c>
      <c r="P1893" s="214">
        <v>2.0</v>
      </c>
      <c r="Q1893" s="214" t="b">
        <v>0</v>
      </c>
      <c r="R1893" s="214">
        <v>100.0</v>
      </c>
      <c r="S1893" s="214" t="s">
        <v>725</v>
      </c>
      <c r="T1893" s="214"/>
      <c r="U1893" s="214"/>
    </row>
    <row r="1894">
      <c r="A1894" s="221">
        <v>45986.06845535879</v>
      </c>
      <c r="B1894" s="214" t="s">
        <v>395</v>
      </c>
      <c r="C1894" s="214" t="s">
        <v>231</v>
      </c>
      <c r="D1894" s="214">
        <v>10.0</v>
      </c>
      <c r="E1894" s="214">
        <v>1.0</v>
      </c>
      <c r="F1894" s="214" t="s">
        <v>1942</v>
      </c>
      <c r="G1894" s="214" t="s">
        <v>61</v>
      </c>
      <c r="H1894" s="214" t="s">
        <v>493</v>
      </c>
      <c r="I1894" s="214"/>
      <c r="J1894" s="222" t="s">
        <v>67</v>
      </c>
      <c r="K1894" s="222">
        <v>-13.5</v>
      </c>
      <c r="L1894" s="222" t="s">
        <v>67</v>
      </c>
      <c r="M1894" s="222">
        <v>42.5</v>
      </c>
      <c r="N1894" s="214">
        <v>395.0</v>
      </c>
      <c r="O1894" s="214">
        <v>182.0</v>
      </c>
      <c r="P1894" s="214">
        <v>2.0</v>
      </c>
      <c r="Q1894" s="214" t="b">
        <v>0</v>
      </c>
      <c r="R1894" s="214">
        <v>100.0</v>
      </c>
      <c r="S1894" s="214" t="s">
        <v>441</v>
      </c>
      <c r="T1894" s="214" t="s">
        <v>365</v>
      </c>
      <c r="U1894" s="214"/>
    </row>
    <row r="1895">
      <c r="A1895" s="221">
        <v>45986.06845535879</v>
      </c>
      <c r="B1895" s="214" t="s">
        <v>395</v>
      </c>
      <c r="C1895" s="214" t="s">
        <v>147</v>
      </c>
      <c r="D1895" s="214">
        <v>5.0</v>
      </c>
      <c r="E1895" s="214">
        <v>6.0</v>
      </c>
      <c r="F1895" s="214" t="s">
        <v>1780</v>
      </c>
      <c r="G1895" s="214" t="s">
        <v>61</v>
      </c>
      <c r="H1895" s="214" t="s">
        <v>193</v>
      </c>
      <c r="I1895" s="214"/>
      <c r="J1895" s="222" t="s">
        <v>67</v>
      </c>
      <c r="K1895" s="222">
        <v>32.5</v>
      </c>
      <c r="L1895" s="222" t="s">
        <v>67</v>
      </c>
      <c r="M1895" s="222">
        <v>55.5</v>
      </c>
      <c r="N1895" s="214">
        <v>308.0</v>
      </c>
      <c r="O1895" s="214">
        <v>342.0</v>
      </c>
      <c r="P1895" s="214">
        <v>2.0</v>
      </c>
      <c r="Q1895" s="214" t="b">
        <v>0</v>
      </c>
      <c r="R1895" s="214">
        <v>100.0</v>
      </c>
      <c r="S1895" s="214" t="s">
        <v>407</v>
      </c>
      <c r="T1895" s="214" t="s">
        <v>321</v>
      </c>
      <c r="U1895" s="214"/>
    </row>
    <row r="1896">
      <c r="A1896" s="221">
        <v>45986.06845535879</v>
      </c>
      <c r="B1896" s="214" t="s">
        <v>395</v>
      </c>
      <c r="C1896" s="214" t="s">
        <v>225</v>
      </c>
      <c r="D1896" s="214">
        <v>5.0</v>
      </c>
      <c r="E1896" s="214">
        <v>5.0</v>
      </c>
      <c r="F1896" s="214" t="s">
        <v>1959</v>
      </c>
      <c r="G1896" s="214" t="s">
        <v>61</v>
      </c>
      <c r="H1896" s="214" t="s">
        <v>493</v>
      </c>
      <c r="I1896" s="214"/>
      <c r="J1896" s="222" t="s">
        <v>67</v>
      </c>
      <c r="K1896" s="222">
        <v>-9.5</v>
      </c>
      <c r="L1896" s="222" t="s">
        <v>67</v>
      </c>
      <c r="M1896" s="222">
        <v>45.5</v>
      </c>
      <c r="N1896" s="214">
        <v>226.0</v>
      </c>
      <c r="O1896" s="214">
        <v>224.0</v>
      </c>
      <c r="P1896" s="214">
        <v>2.0</v>
      </c>
      <c r="Q1896" s="214" t="b">
        <v>1</v>
      </c>
      <c r="R1896" s="214">
        <v>100.0</v>
      </c>
      <c r="S1896" s="214" t="s">
        <v>361</v>
      </c>
      <c r="T1896" s="214" t="s">
        <v>365</v>
      </c>
      <c r="U1896" s="214"/>
    </row>
    <row r="1897">
      <c r="A1897" s="221">
        <v>45986.06845535879</v>
      </c>
      <c r="B1897" s="214" t="s">
        <v>395</v>
      </c>
      <c r="C1897" s="214" t="s">
        <v>175</v>
      </c>
      <c r="D1897" s="214">
        <v>7.0</v>
      </c>
      <c r="E1897" s="214">
        <v>4.0</v>
      </c>
      <c r="F1897" s="214" t="s">
        <v>1790</v>
      </c>
      <c r="G1897" s="214" t="s">
        <v>61</v>
      </c>
      <c r="H1897" s="214" t="s">
        <v>311</v>
      </c>
      <c r="I1897" s="214"/>
      <c r="J1897" s="222" t="s">
        <v>67</v>
      </c>
      <c r="K1897" s="222">
        <v>-6.5</v>
      </c>
      <c r="L1897" s="222" t="s">
        <v>67</v>
      </c>
      <c r="M1897" s="222">
        <v>38.5</v>
      </c>
      <c r="N1897" s="214">
        <v>253.0</v>
      </c>
      <c r="O1897" s="214">
        <v>203.0</v>
      </c>
      <c r="P1897" s="214">
        <v>2.0</v>
      </c>
      <c r="Q1897" s="214" t="b">
        <v>1</v>
      </c>
      <c r="R1897" s="214">
        <v>100.0</v>
      </c>
      <c r="S1897" s="214" t="s">
        <v>530</v>
      </c>
      <c r="T1897" s="214" t="s">
        <v>365</v>
      </c>
      <c r="U1897" s="214"/>
    </row>
    <row r="1898">
      <c r="A1898" s="221">
        <v>45986.06845535879</v>
      </c>
      <c r="B1898" s="214"/>
      <c r="C1898" s="214"/>
      <c r="D1898" s="214"/>
      <c r="E1898" s="214"/>
      <c r="F1898" s="214"/>
      <c r="G1898" s="214"/>
      <c r="H1898" s="214"/>
      <c r="I1898" s="214"/>
      <c r="J1898" s="222"/>
      <c r="K1898" s="222"/>
      <c r="L1898" s="222"/>
      <c r="M1898" s="222"/>
      <c r="N1898" s="214"/>
      <c r="O1898" s="214"/>
      <c r="P1898" s="214"/>
      <c r="Q1898" s="214"/>
      <c r="R1898" s="214"/>
      <c r="S1898" s="214"/>
      <c r="T1898" s="214"/>
      <c r="U1898" s="214"/>
    </row>
    <row r="1899">
      <c r="A1899" s="221">
        <v>45986.06845535879</v>
      </c>
      <c r="B1899" s="214" t="s">
        <v>132</v>
      </c>
      <c r="C1899" s="214" t="s">
        <v>134</v>
      </c>
      <c r="D1899" s="214">
        <v>4.0</v>
      </c>
      <c r="E1899" s="214">
        <v>7.0</v>
      </c>
      <c r="F1899" s="214"/>
      <c r="G1899" s="214"/>
      <c r="H1899" s="214"/>
      <c r="I1899" s="214"/>
      <c r="J1899" s="222"/>
      <c r="K1899" s="222"/>
      <c r="L1899" s="222"/>
      <c r="M1899" s="222"/>
      <c r="N1899" s="214">
        <v>261.0</v>
      </c>
      <c r="O1899" s="214">
        <v>321.0</v>
      </c>
      <c r="P1899" s="214">
        <v>0.0</v>
      </c>
      <c r="Q1899" s="214" t="b">
        <v>1</v>
      </c>
      <c r="R1899" s="214">
        <v>59.0</v>
      </c>
      <c r="S1899" s="214" t="s">
        <v>471</v>
      </c>
      <c r="T1899" s="214" t="s">
        <v>321</v>
      </c>
      <c r="U1899" s="214"/>
    </row>
    <row r="1900">
      <c r="A1900" s="221">
        <v>45986.06845535879</v>
      </c>
      <c r="B1900" s="214" t="s">
        <v>132</v>
      </c>
      <c r="C1900" s="214" t="s">
        <v>136</v>
      </c>
      <c r="D1900" s="214">
        <v>11.0</v>
      </c>
      <c r="E1900" s="214">
        <v>0.0</v>
      </c>
      <c r="F1900" s="214"/>
      <c r="G1900" s="214"/>
      <c r="H1900" s="214"/>
      <c r="I1900" s="214"/>
      <c r="J1900" s="222"/>
      <c r="K1900" s="222"/>
      <c r="L1900" s="222"/>
      <c r="M1900" s="222"/>
      <c r="N1900" s="214">
        <v>476.0</v>
      </c>
      <c r="O1900" s="214">
        <v>128.0</v>
      </c>
      <c r="P1900" s="214">
        <v>0.0</v>
      </c>
      <c r="Q1900" s="214" t="b">
        <v>1</v>
      </c>
      <c r="R1900" s="214">
        <v>59.0</v>
      </c>
      <c r="S1900" s="214" t="s">
        <v>407</v>
      </c>
      <c r="T1900" s="214" t="s">
        <v>321</v>
      </c>
      <c r="U1900" s="214"/>
    </row>
    <row r="1901">
      <c r="A1901" s="221">
        <v>45986.06845535879</v>
      </c>
      <c r="B1901" s="214" t="s">
        <v>132</v>
      </c>
      <c r="C1901" s="214" t="s">
        <v>131</v>
      </c>
      <c r="D1901" s="214">
        <v>8.0</v>
      </c>
      <c r="E1901" s="214">
        <v>3.0</v>
      </c>
      <c r="F1901" s="214" t="s">
        <v>1808</v>
      </c>
      <c r="G1901" s="214" t="s">
        <v>61</v>
      </c>
      <c r="H1901" s="214" t="s">
        <v>156</v>
      </c>
      <c r="I1901" s="214"/>
      <c r="J1901" s="222" t="s">
        <v>67</v>
      </c>
      <c r="K1901" s="222">
        <v>-8.5</v>
      </c>
      <c r="L1901" s="222" t="s">
        <v>67</v>
      </c>
      <c r="M1901" s="222">
        <v>57.5</v>
      </c>
      <c r="N1901" s="214">
        <v>328.0</v>
      </c>
      <c r="O1901" s="214">
        <v>220.0</v>
      </c>
      <c r="P1901" s="214">
        <v>2.0</v>
      </c>
      <c r="Q1901" s="214" t="b">
        <v>1</v>
      </c>
      <c r="R1901" s="214">
        <v>100.0</v>
      </c>
      <c r="S1901" s="214" t="s">
        <v>556</v>
      </c>
      <c r="T1901" s="214" t="s">
        <v>321</v>
      </c>
      <c r="U1901" s="214"/>
    </row>
    <row r="1902">
      <c r="A1902" s="221">
        <v>45986.06845535879</v>
      </c>
      <c r="B1902" s="214" t="s">
        <v>132</v>
      </c>
      <c r="C1902" s="214" t="s">
        <v>210</v>
      </c>
      <c r="D1902" s="214">
        <v>4.0</v>
      </c>
      <c r="E1902" s="214">
        <v>7.0</v>
      </c>
      <c r="F1902" s="214" t="s">
        <v>1809</v>
      </c>
      <c r="G1902" s="214" t="s">
        <v>61</v>
      </c>
      <c r="H1902" s="214" t="s">
        <v>156</v>
      </c>
      <c r="I1902" s="214"/>
      <c r="J1902" s="222" t="s">
        <v>67</v>
      </c>
      <c r="K1902" s="222">
        <v>-23.5</v>
      </c>
      <c r="L1902" s="222" t="s">
        <v>67</v>
      </c>
      <c r="M1902" s="222">
        <v>50.5</v>
      </c>
      <c r="N1902" s="214">
        <v>258.0</v>
      </c>
      <c r="O1902" s="214">
        <v>237.0</v>
      </c>
      <c r="P1902" s="214">
        <v>2.0</v>
      </c>
      <c r="Q1902" s="214" t="b">
        <v>1</v>
      </c>
      <c r="R1902" s="214">
        <v>100.0</v>
      </c>
      <c r="S1902" s="214" t="s">
        <v>556</v>
      </c>
      <c r="T1902" s="214" t="s">
        <v>321</v>
      </c>
      <c r="U1902" s="214"/>
    </row>
    <row r="1903">
      <c r="A1903" s="221">
        <v>45986.06845535879</v>
      </c>
      <c r="B1903" s="214" t="s">
        <v>132</v>
      </c>
      <c r="C1903" s="214" t="s">
        <v>107</v>
      </c>
      <c r="D1903" s="214">
        <v>9.0</v>
      </c>
      <c r="E1903" s="214">
        <v>2.0</v>
      </c>
      <c r="F1903" s="214" t="s">
        <v>2025</v>
      </c>
      <c r="G1903" s="214" t="s">
        <v>61</v>
      </c>
      <c r="H1903" s="214" t="s">
        <v>493</v>
      </c>
      <c r="I1903" s="214"/>
      <c r="J1903" s="222" t="s">
        <v>67</v>
      </c>
      <c r="K1903" s="222">
        <v>-8.5</v>
      </c>
      <c r="L1903" s="222" t="s">
        <v>67</v>
      </c>
      <c r="M1903" s="222">
        <v>54.5</v>
      </c>
      <c r="N1903" s="214">
        <v>317.0</v>
      </c>
      <c r="O1903" s="214">
        <v>273.0</v>
      </c>
      <c r="P1903" s="214">
        <v>2.0</v>
      </c>
      <c r="Q1903" s="214" t="b">
        <v>1</v>
      </c>
      <c r="R1903" s="214">
        <v>100.0</v>
      </c>
      <c r="S1903" s="214" t="s">
        <v>361</v>
      </c>
      <c r="T1903" s="214" t="s">
        <v>365</v>
      </c>
      <c r="U1903" s="214"/>
    </row>
    <row r="1904">
      <c r="A1904" s="221">
        <v>45986.06845535879</v>
      </c>
      <c r="B1904" s="214" t="s">
        <v>132</v>
      </c>
      <c r="C1904" s="214" t="s">
        <v>545</v>
      </c>
      <c r="D1904" s="214">
        <v>6.0</v>
      </c>
      <c r="E1904" s="214">
        <v>5.0</v>
      </c>
      <c r="F1904" s="214" t="s">
        <v>1810</v>
      </c>
      <c r="G1904" s="214" t="s">
        <v>61</v>
      </c>
      <c r="H1904" s="214" t="s">
        <v>156</v>
      </c>
      <c r="I1904" s="214"/>
      <c r="J1904" s="222" t="s">
        <v>67</v>
      </c>
      <c r="K1904" s="222">
        <v>1.5</v>
      </c>
      <c r="L1904" s="222" t="s">
        <v>67</v>
      </c>
      <c r="M1904" s="222">
        <v>55.5</v>
      </c>
      <c r="N1904" s="214">
        <v>295.0</v>
      </c>
      <c r="O1904" s="214">
        <v>317.0</v>
      </c>
      <c r="P1904" s="214">
        <v>2.0</v>
      </c>
      <c r="Q1904" s="214" t="b">
        <v>0</v>
      </c>
      <c r="R1904" s="214">
        <v>100.0</v>
      </c>
      <c r="S1904" s="214" t="s">
        <v>535</v>
      </c>
      <c r="T1904" s="214" t="s">
        <v>365</v>
      </c>
      <c r="U1904" s="214"/>
    </row>
    <row r="1905">
      <c r="A1905" s="221">
        <v>45986.06845535879</v>
      </c>
      <c r="B1905" s="214" t="s">
        <v>132</v>
      </c>
      <c r="C1905" s="214" t="s">
        <v>187</v>
      </c>
      <c r="D1905" s="214">
        <v>4.0</v>
      </c>
      <c r="E1905" s="214">
        <v>7.0</v>
      </c>
      <c r="F1905" s="214" t="s">
        <v>1812</v>
      </c>
      <c r="G1905" s="214" t="s">
        <v>61</v>
      </c>
      <c r="H1905" s="214" t="s">
        <v>156</v>
      </c>
      <c r="I1905" s="214"/>
      <c r="J1905" s="222" t="s">
        <v>67</v>
      </c>
      <c r="K1905" s="222">
        <v>-6.5</v>
      </c>
      <c r="L1905" s="222" t="s">
        <v>67</v>
      </c>
      <c r="M1905" s="222">
        <v>40.5</v>
      </c>
      <c r="N1905" s="214">
        <v>185.0</v>
      </c>
      <c r="O1905" s="214">
        <v>219.0</v>
      </c>
      <c r="P1905" s="214">
        <v>2.0</v>
      </c>
      <c r="Q1905" s="214" t="b">
        <v>0</v>
      </c>
      <c r="R1905" s="214">
        <v>100.0</v>
      </c>
      <c r="S1905" s="214" t="s">
        <v>525</v>
      </c>
      <c r="T1905" s="214" t="s">
        <v>365</v>
      </c>
      <c r="U1905" s="214"/>
    </row>
    <row r="1906">
      <c r="A1906" s="221">
        <v>45986.06845535879</v>
      </c>
      <c r="B1906" s="214" t="s">
        <v>132</v>
      </c>
      <c r="C1906" s="214" t="s">
        <v>115</v>
      </c>
      <c r="D1906" s="214">
        <v>7.0</v>
      </c>
      <c r="E1906" s="214">
        <v>4.0</v>
      </c>
      <c r="F1906" s="214" t="s">
        <v>1781</v>
      </c>
      <c r="G1906" s="214" t="s">
        <v>61</v>
      </c>
      <c r="H1906" s="214" t="s">
        <v>193</v>
      </c>
      <c r="I1906" s="214"/>
      <c r="J1906" s="222" t="s">
        <v>67</v>
      </c>
      <c r="K1906" s="222">
        <v>3.0</v>
      </c>
      <c r="L1906" s="222" t="s">
        <v>67</v>
      </c>
      <c r="M1906" s="222">
        <v>51.5</v>
      </c>
      <c r="N1906" s="214">
        <v>321.0</v>
      </c>
      <c r="O1906" s="214">
        <v>253.0</v>
      </c>
      <c r="P1906" s="214">
        <v>2.0</v>
      </c>
      <c r="Q1906" s="214" t="b">
        <v>0</v>
      </c>
      <c r="R1906" s="214">
        <v>100.0</v>
      </c>
      <c r="S1906" s="214" t="s">
        <v>317</v>
      </c>
      <c r="T1906" s="214" t="s">
        <v>321</v>
      </c>
      <c r="U1906" s="214"/>
    </row>
    <row r="1907">
      <c r="A1907" s="221">
        <v>45986.06845535879</v>
      </c>
      <c r="B1907" s="214" t="s">
        <v>132</v>
      </c>
      <c r="C1907" s="214" t="s">
        <v>215</v>
      </c>
      <c r="D1907" s="214">
        <v>5.0</v>
      </c>
      <c r="E1907" s="214">
        <v>6.0</v>
      </c>
      <c r="F1907" s="214" t="s">
        <v>1783</v>
      </c>
      <c r="G1907" s="214" t="s">
        <v>61</v>
      </c>
      <c r="H1907" s="214" t="s">
        <v>193</v>
      </c>
      <c r="I1907" s="214"/>
      <c r="J1907" s="222" t="s">
        <v>67</v>
      </c>
      <c r="K1907" s="222">
        <v>-2.5</v>
      </c>
      <c r="L1907" s="222" t="s">
        <v>67</v>
      </c>
      <c r="M1907" s="222">
        <v>54.5</v>
      </c>
      <c r="N1907" s="214">
        <v>263.0</v>
      </c>
      <c r="O1907" s="214">
        <v>299.0</v>
      </c>
      <c r="P1907" s="214">
        <v>2.0</v>
      </c>
      <c r="Q1907" s="214" t="b">
        <v>1</v>
      </c>
      <c r="R1907" s="214">
        <v>100.0</v>
      </c>
      <c r="S1907" s="214" t="s">
        <v>441</v>
      </c>
      <c r="T1907" s="214" t="s">
        <v>365</v>
      </c>
      <c r="U1907" s="214"/>
    </row>
    <row r="1908">
      <c r="A1908" s="221">
        <v>45986.06845535879</v>
      </c>
      <c r="B1908" s="214" t="s">
        <v>132</v>
      </c>
      <c r="C1908" s="214" t="s">
        <v>168</v>
      </c>
      <c r="D1908" s="214">
        <v>7.0</v>
      </c>
      <c r="E1908" s="214">
        <v>4.0</v>
      </c>
      <c r="F1908" s="214" t="s">
        <v>2045</v>
      </c>
      <c r="G1908" s="214" t="s">
        <v>61</v>
      </c>
      <c r="H1908" s="214" t="s">
        <v>493</v>
      </c>
      <c r="I1908" s="214"/>
      <c r="J1908" s="222" t="s">
        <v>67</v>
      </c>
      <c r="K1908" s="222">
        <v>-8.5</v>
      </c>
      <c r="L1908" s="222" t="s">
        <v>67</v>
      </c>
      <c r="M1908" s="222">
        <v>49.5</v>
      </c>
      <c r="N1908" s="214">
        <v>283.0</v>
      </c>
      <c r="O1908" s="214">
        <v>251.0</v>
      </c>
      <c r="P1908" s="214">
        <v>2.0</v>
      </c>
      <c r="Q1908" s="214" t="b">
        <v>1</v>
      </c>
      <c r="R1908" s="214">
        <v>100.0</v>
      </c>
      <c r="S1908" s="214" t="s">
        <v>530</v>
      </c>
      <c r="T1908" s="214" t="s">
        <v>365</v>
      </c>
      <c r="U1908" s="214"/>
    </row>
    <row r="1909">
      <c r="A1909" s="221">
        <v>45986.06845535879</v>
      </c>
      <c r="B1909" s="214"/>
      <c r="C1909" s="214"/>
      <c r="D1909" s="214"/>
      <c r="E1909" s="214"/>
      <c r="F1909" s="214"/>
      <c r="G1909" s="214"/>
      <c r="H1909" s="214"/>
      <c r="I1909" s="214"/>
      <c r="J1909" s="222"/>
      <c r="K1909" s="222"/>
      <c r="L1909" s="222"/>
      <c r="M1909" s="222"/>
      <c r="N1909" s="214"/>
      <c r="O1909" s="214"/>
      <c r="P1909" s="214"/>
      <c r="Q1909" s="214"/>
      <c r="R1909" s="214"/>
      <c r="S1909" s="214"/>
      <c r="T1909" s="214"/>
      <c r="U1909" s="214"/>
    </row>
    <row r="1910">
      <c r="A1910" s="221">
        <v>45986.06845535879</v>
      </c>
      <c r="B1910" s="214" t="s">
        <v>493</v>
      </c>
      <c r="C1910" s="214" t="s">
        <v>146</v>
      </c>
      <c r="D1910" s="214">
        <v>2.0</v>
      </c>
      <c r="E1910" s="214">
        <v>9.0</v>
      </c>
      <c r="F1910" s="214"/>
      <c r="G1910" s="214"/>
      <c r="H1910" s="214"/>
      <c r="I1910" s="214"/>
      <c r="J1910" s="222"/>
      <c r="K1910" s="222"/>
      <c r="L1910" s="222"/>
      <c r="M1910" s="222"/>
      <c r="N1910" s="214">
        <v>222.0</v>
      </c>
      <c r="O1910" s="214">
        <v>326.0</v>
      </c>
      <c r="P1910" s="214">
        <v>0.0</v>
      </c>
      <c r="Q1910" s="214" t="b">
        <v>1</v>
      </c>
      <c r="R1910" s="214">
        <v>59.0</v>
      </c>
      <c r="S1910" s="214" t="s">
        <v>407</v>
      </c>
      <c r="T1910" s="214" t="s">
        <v>321</v>
      </c>
      <c r="U1910" s="214"/>
    </row>
    <row r="1911">
      <c r="A1911" s="221">
        <v>45986.06845535879</v>
      </c>
      <c r="B1911" s="214" t="s">
        <v>493</v>
      </c>
      <c r="C1911" s="214" t="s">
        <v>110</v>
      </c>
      <c r="D1911" s="214">
        <v>1.0</v>
      </c>
      <c r="E1911" s="214">
        <v>10.0</v>
      </c>
      <c r="F1911" s="214"/>
      <c r="G1911" s="214"/>
      <c r="H1911" s="214"/>
      <c r="I1911" s="214"/>
      <c r="J1911" s="222"/>
      <c r="K1911" s="222"/>
      <c r="L1911" s="222"/>
      <c r="M1911" s="222"/>
      <c r="N1911" s="214">
        <v>271.0</v>
      </c>
      <c r="O1911" s="214">
        <v>381.0</v>
      </c>
      <c r="P1911" s="214">
        <v>0.0</v>
      </c>
      <c r="Q1911" s="214" t="b">
        <v>1</v>
      </c>
      <c r="R1911" s="214">
        <v>59.0</v>
      </c>
      <c r="S1911" s="214" t="s">
        <v>317</v>
      </c>
      <c r="T1911" s="214" t="s">
        <v>321</v>
      </c>
      <c r="U1911" s="214"/>
    </row>
    <row r="1912">
      <c r="A1912" s="221">
        <v>45986.06845535879</v>
      </c>
      <c r="B1912" s="214" t="s">
        <v>493</v>
      </c>
      <c r="C1912" s="214" t="s">
        <v>195</v>
      </c>
      <c r="D1912" s="214">
        <v>4.0</v>
      </c>
      <c r="E1912" s="214">
        <v>7.0</v>
      </c>
      <c r="F1912" s="214" t="s">
        <v>1773</v>
      </c>
      <c r="G1912" s="214" t="s">
        <v>61</v>
      </c>
      <c r="H1912" s="214" t="s">
        <v>62</v>
      </c>
      <c r="I1912" s="214"/>
      <c r="J1912" s="222" t="s">
        <v>67</v>
      </c>
      <c r="K1912" s="222">
        <v>3.5</v>
      </c>
      <c r="L1912" s="222" t="s">
        <v>67</v>
      </c>
      <c r="M1912" s="222">
        <v>47.5</v>
      </c>
      <c r="N1912" s="214">
        <v>206.0</v>
      </c>
      <c r="O1912" s="214">
        <v>301.0</v>
      </c>
      <c r="P1912" s="214">
        <v>2.0</v>
      </c>
      <c r="Q1912" s="214" t="b">
        <v>0</v>
      </c>
      <c r="R1912" s="214">
        <v>100.0</v>
      </c>
      <c r="S1912" s="214" t="s">
        <v>317</v>
      </c>
      <c r="T1912" s="214" t="s">
        <v>321</v>
      </c>
      <c r="U1912" s="214"/>
    </row>
    <row r="1913">
      <c r="A1913" s="221">
        <v>45986.06845535879</v>
      </c>
      <c r="B1913" s="214" t="s">
        <v>493</v>
      </c>
      <c r="C1913" s="214" t="s">
        <v>106</v>
      </c>
      <c r="D1913" s="214">
        <v>5.0</v>
      </c>
      <c r="E1913" s="214">
        <v>6.0</v>
      </c>
      <c r="F1913" s="214" t="s">
        <v>2025</v>
      </c>
      <c r="G1913" s="214" t="s">
        <v>61</v>
      </c>
      <c r="H1913" s="214" t="s">
        <v>132</v>
      </c>
      <c r="I1913" s="214"/>
      <c r="J1913" s="222" t="s">
        <v>67</v>
      </c>
      <c r="K1913" s="222">
        <v>8.5</v>
      </c>
      <c r="L1913" s="222" t="s">
        <v>67</v>
      </c>
      <c r="M1913" s="222">
        <v>54.5</v>
      </c>
      <c r="N1913" s="214">
        <v>309.0</v>
      </c>
      <c r="O1913" s="214">
        <v>304.0</v>
      </c>
      <c r="P1913" s="214">
        <v>2.0</v>
      </c>
      <c r="Q1913" s="214" t="b">
        <v>0</v>
      </c>
      <c r="R1913" s="214">
        <v>100.0</v>
      </c>
      <c r="S1913" s="214" t="s">
        <v>361</v>
      </c>
      <c r="T1913" s="214" t="s">
        <v>365</v>
      </c>
      <c r="U1913" s="214"/>
    </row>
    <row r="1914">
      <c r="A1914" s="221">
        <v>45986.06845535879</v>
      </c>
      <c r="B1914" s="214" t="s">
        <v>493</v>
      </c>
      <c r="C1914" s="214" t="s">
        <v>138</v>
      </c>
      <c r="D1914" s="214">
        <v>4.0</v>
      </c>
      <c r="E1914" s="214">
        <v>7.0</v>
      </c>
      <c r="F1914" s="214" t="s">
        <v>1787</v>
      </c>
      <c r="G1914" s="214" t="s">
        <v>61</v>
      </c>
      <c r="H1914" s="214" t="s">
        <v>311</v>
      </c>
      <c r="I1914" s="214"/>
      <c r="J1914" s="222" t="s">
        <v>67</v>
      </c>
      <c r="K1914" s="222">
        <v>14.0</v>
      </c>
      <c r="L1914" s="222" t="s">
        <v>67</v>
      </c>
      <c r="M1914" s="222">
        <v>46.5</v>
      </c>
      <c r="N1914" s="214">
        <v>254.0</v>
      </c>
      <c r="O1914" s="214">
        <v>280.0</v>
      </c>
      <c r="P1914" s="214">
        <v>2.0</v>
      </c>
      <c r="Q1914" s="214" t="b">
        <v>0</v>
      </c>
      <c r="R1914" s="214">
        <v>100.0</v>
      </c>
      <c r="S1914" s="214" t="s">
        <v>407</v>
      </c>
      <c r="T1914" s="214" t="s">
        <v>321</v>
      </c>
      <c r="U1914" s="214"/>
    </row>
    <row r="1915">
      <c r="A1915" s="221">
        <v>45986.06845535879</v>
      </c>
      <c r="B1915" s="214" t="s">
        <v>493</v>
      </c>
      <c r="C1915" s="214" t="s">
        <v>120</v>
      </c>
      <c r="D1915" s="214">
        <v>3.0</v>
      </c>
      <c r="E1915" s="214">
        <v>8.0</v>
      </c>
      <c r="F1915" s="214" t="s">
        <v>1797</v>
      </c>
      <c r="G1915" s="214" t="s">
        <v>61</v>
      </c>
      <c r="H1915" s="214" t="s">
        <v>96</v>
      </c>
      <c r="I1915" s="214"/>
      <c r="J1915" s="222" t="s">
        <v>67</v>
      </c>
      <c r="K1915" s="222">
        <v>36.5</v>
      </c>
      <c r="L1915" s="222" t="s">
        <v>67</v>
      </c>
      <c r="M1915" s="222">
        <v>50.5</v>
      </c>
      <c r="N1915" s="214">
        <v>230.0</v>
      </c>
      <c r="O1915" s="214">
        <v>385.0</v>
      </c>
      <c r="P1915" s="214">
        <v>2.0</v>
      </c>
      <c r="Q1915" s="214" t="b">
        <v>1</v>
      </c>
      <c r="R1915" s="214">
        <v>100.0</v>
      </c>
      <c r="S1915" s="214" t="s">
        <v>317</v>
      </c>
      <c r="T1915" s="214" t="s">
        <v>321</v>
      </c>
      <c r="U1915" s="214"/>
    </row>
    <row r="1916">
      <c r="A1916" s="221">
        <v>45986.06845535879</v>
      </c>
      <c r="B1916" s="214" t="s">
        <v>493</v>
      </c>
      <c r="C1916" s="214" t="s">
        <v>188</v>
      </c>
      <c r="D1916" s="214">
        <v>8.0</v>
      </c>
      <c r="E1916" s="214">
        <v>3.0</v>
      </c>
      <c r="F1916" s="214" t="s">
        <v>1839</v>
      </c>
      <c r="G1916" s="214" t="s">
        <v>61</v>
      </c>
      <c r="H1916" s="214" t="s">
        <v>249</v>
      </c>
      <c r="I1916" s="214"/>
      <c r="J1916" s="222" t="s">
        <v>67</v>
      </c>
      <c r="K1916" s="222">
        <v>-6.5</v>
      </c>
      <c r="L1916" s="222" t="s">
        <v>67</v>
      </c>
      <c r="M1916" s="222">
        <v>62.5</v>
      </c>
      <c r="N1916" s="214">
        <v>368.0</v>
      </c>
      <c r="O1916" s="214">
        <v>220.0</v>
      </c>
      <c r="P1916" s="214">
        <v>2.0</v>
      </c>
      <c r="Q1916" s="214" t="b">
        <v>0</v>
      </c>
      <c r="R1916" s="214">
        <v>100.0</v>
      </c>
      <c r="S1916" s="214" t="s">
        <v>471</v>
      </c>
      <c r="T1916" s="214" t="s">
        <v>321</v>
      </c>
      <c r="U1916" s="214"/>
    </row>
    <row r="1917">
      <c r="A1917" s="221">
        <v>45986.06845535879</v>
      </c>
      <c r="B1917" s="214" t="s">
        <v>493</v>
      </c>
      <c r="C1917" s="214" t="s">
        <v>143</v>
      </c>
      <c r="D1917" s="214">
        <v>6.0</v>
      </c>
      <c r="E1917" s="214">
        <v>5.0</v>
      </c>
      <c r="F1917" s="214" t="s">
        <v>1803</v>
      </c>
      <c r="G1917" s="214" t="s">
        <v>61</v>
      </c>
      <c r="H1917" s="214" t="s">
        <v>238</v>
      </c>
      <c r="I1917" s="214"/>
      <c r="J1917" s="222" t="s">
        <v>67</v>
      </c>
      <c r="K1917" s="222">
        <v>-3.5</v>
      </c>
      <c r="L1917" s="222" t="s">
        <v>67</v>
      </c>
      <c r="M1917" s="222">
        <v>40.5</v>
      </c>
      <c r="N1917" s="214">
        <v>257.0</v>
      </c>
      <c r="O1917" s="214">
        <v>231.0</v>
      </c>
      <c r="P1917" s="214">
        <v>2.0</v>
      </c>
      <c r="Q1917" s="214" t="b">
        <v>1</v>
      </c>
      <c r="R1917" s="214">
        <v>100.0</v>
      </c>
      <c r="S1917" s="214" t="s">
        <v>407</v>
      </c>
      <c r="T1917" s="214" t="s">
        <v>321</v>
      </c>
      <c r="U1917" s="214"/>
    </row>
    <row r="1918">
      <c r="A1918" s="221">
        <v>45986.06845535879</v>
      </c>
      <c r="B1918" s="214" t="s">
        <v>493</v>
      </c>
      <c r="C1918" s="214" t="s">
        <v>108</v>
      </c>
      <c r="D1918" s="214">
        <v>4.0</v>
      </c>
      <c r="E1918" s="214">
        <v>7.0</v>
      </c>
      <c r="F1918" s="214" t="s">
        <v>1959</v>
      </c>
      <c r="G1918" s="214" t="s">
        <v>61</v>
      </c>
      <c r="H1918" s="214" t="s">
        <v>395</v>
      </c>
      <c r="I1918" s="214"/>
      <c r="J1918" s="222" t="s">
        <v>67</v>
      </c>
      <c r="K1918" s="222">
        <v>9.5</v>
      </c>
      <c r="L1918" s="222" t="s">
        <v>67</v>
      </c>
      <c r="M1918" s="222">
        <v>45.5</v>
      </c>
      <c r="N1918" s="214">
        <v>254.0</v>
      </c>
      <c r="O1918" s="214">
        <v>316.0</v>
      </c>
      <c r="P1918" s="214">
        <v>2.0</v>
      </c>
      <c r="Q1918" s="214" t="b">
        <v>0</v>
      </c>
      <c r="R1918" s="214">
        <v>100.0</v>
      </c>
      <c r="S1918" s="214" t="s">
        <v>361</v>
      </c>
      <c r="T1918" s="214" t="s">
        <v>365</v>
      </c>
      <c r="U1918" s="214"/>
    </row>
    <row r="1919">
      <c r="A1919" s="221">
        <v>45986.06845535879</v>
      </c>
      <c r="B1919" s="214" t="s">
        <v>493</v>
      </c>
      <c r="C1919" s="214" t="s">
        <v>123</v>
      </c>
      <c r="D1919" s="214">
        <v>8.0</v>
      </c>
      <c r="E1919" s="214">
        <v>3.0</v>
      </c>
      <c r="F1919" s="214" t="s">
        <v>1793</v>
      </c>
      <c r="G1919" s="214" t="s">
        <v>61</v>
      </c>
      <c r="H1919" s="214" t="s">
        <v>224</v>
      </c>
      <c r="I1919" s="214"/>
      <c r="J1919" s="222" t="s">
        <v>67</v>
      </c>
      <c r="K1919" s="222">
        <v>-17.5</v>
      </c>
      <c r="L1919" s="222" t="s">
        <v>67</v>
      </c>
      <c r="M1919" s="222">
        <v>50.5</v>
      </c>
      <c r="N1919" s="214">
        <v>290.0</v>
      </c>
      <c r="O1919" s="214">
        <v>209.0</v>
      </c>
      <c r="P1919" s="214">
        <v>2.0</v>
      </c>
      <c r="Q1919" s="214" t="b">
        <v>0</v>
      </c>
      <c r="R1919" s="214">
        <v>100.0</v>
      </c>
      <c r="S1919" s="214" t="s">
        <v>317</v>
      </c>
      <c r="T1919" s="214" t="s">
        <v>321</v>
      </c>
      <c r="U1919" s="214"/>
    </row>
    <row r="1920">
      <c r="A1920" s="221">
        <v>45986.06845535879</v>
      </c>
      <c r="B1920" s="214"/>
      <c r="C1920" s="214"/>
      <c r="D1920" s="214"/>
      <c r="E1920" s="214"/>
      <c r="F1920" s="214"/>
      <c r="G1920" s="214"/>
      <c r="H1920" s="214"/>
      <c r="I1920" s="214"/>
      <c r="J1920" s="222"/>
      <c r="K1920" s="222"/>
      <c r="L1920" s="222"/>
      <c r="M1920" s="222"/>
      <c r="N1920" s="214"/>
      <c r="O1920" s="214"/>
      <c r="P1920" s="214"/>
      <c r="Q1920" s="214"/>
      <c r="R1920" s="214"/>
      <c r="S1920" s="214"/>
      <c r="T1920" s="214"/>
      <c r="U1920" s="214"/>
    </row>
    <row r="1921">
      <c r="A1921" s="221">
        <v>45986.06845535879</v>
      </c>
      <c r="B1921" s="214" t="s">
        <v>493</v>
      </c>
      <c r="C1921" s="214" t="s">
        <v>207</v>
      </c>
      <c r="D1921" s="214">
        <v>5.0</v>
      </c>
      <c r="E1921" s="214">
        <v>6.0</v>
      </c>
      <c r="F1921" s="214"/>
      <c r="G1921" s="214"/>
      <c r="H1921" s="214"/>
      <c r="I1921" s="214"/>
      <c r="J1921" s="222"/>
      <c r="K1921" s="222"/>
      <c r="L1921" s="222"/>
      <c r="M1921" s="222"/>
      <c r="N1921" s="214">
        <v>347.0</v>
      </c>
      <c r="O1921" s="214">
        <v>312.0</v>
      </c>
      <c r="P1921" s="214">
        <v>0.0</v>
      </c>
      <c r="Q1921" s="214" t="b">
        <v>1</v>
      </c>
      <c r="R1921" s="214">
        <v>59.0</v>
      </c>
      <c r="S1921" s="214" t="s">
        <v>556</v>
      </c>
      <c r="T1921" s="214" t="s">
        <v>321</v>
      </c>
      <c r="U1921" s="214"/>
    </row>
    <row r="1922">
      <c r="A1922" s="221">
        <v>45986.06845535879</v>
      </c>
      <c r="B1922" s="214" t="s">
        <v>493</v>
      </c>
      <c r="C1922" s="214" t="s">
        <v>219</v>
      </c>
      <c r="D1922" s="214">
        <v>3.0</v>
      </c>
      <c r="E1922" s="214">
        <v>8.0</v>
      </c>
      <c r="F1922" s="214" t="s">
        <v>1763</v>
      </c>
      <c r="G1922" s="214" t="s">
        <v>61</v>
      </c>
      <c r="H1922" s="214" t="s">
        <v>95</v>
      </c>
      <c r="I1922" s="214"/>
      <c r="J1922" s="222" t="s">
        <v>67</v>
      </c>
      <c r="K1922" s="222">
        <v>19.5</v>
      </c>
      <c r="L1922" s="222" t="s">
        <v>67</v>
      </c>
      <c r="M1922" s="222">
        <v>58.5</v>
      </c>
      <c r="N1922" s="214">
        <v>172.0</v>
      </c>
      <c r="O1922" s="214">
        <v>353.0</v>
      </c>
      <c r="P1922" s="214">
        <v>2.0</v>
      </c>
      <c r="Q1922" s="214" t="b">
        <v>1</v>
      </c>
      <c r="R1922" s="214">
        <v>100.0</v>
      </c>
      <c r="S1922" s="214" t="s">
        <v>441</v>
      </c>
      <c r="T1922" s="214" t="s">
        <v>365</v>
      </c>
      <c r="U1922" s="214"/>
    </row>
    <row r="1923">
      <c r="A1923" s="221">
        <v>45986.06845535879</v>
      </c>
      <c r="B1923" s="214" t="s">
        <v>493</v>
      </c>
      <c r="C1923" s="214" t="s">
        <v>546</v>
      </c>
      <c r="D1923" s="214">
        <v>7.0</v>
      </c>
      <c r="E1923" s="214">
        <v>4.0</v>
      </c>
      <c r="F1923" s="214" t="s">
        <v>1802</v>
      </c>
      <c r="G1923" s="214" t="s">
        <v>61</v>
      </c>
      <c r="H1923" s="214" t="s">
        <v>238</v>
      </c>
      <c r="I1923" s="214"/>
      <c r="J1923" s="222" t="s">
        <v>67</v>
      </c>
      <c r="K1923" s="222">
        <v>-1.5</v>
      </c>
      <c r="L1923" s="222" t="s">
        <v>67</v>
      </c>
      <c r="M1923" s="222">
        <v>53.5</v>
      </c>
      <c r="N1923" s="214">
        <v>340.0</v>
      </c>
      <c r="O1923" s="214">
        <v>301.0</v>
      </c>
      <c r="P1923" s="214">
        <v>2.0</v>
      </c>
      <c r="Q1923" s="214" t="b">
        <v>1</v>
      </c>
      <c r="R1923" s="214">
        <v>100.0</v>
      </c>
      <c r="S1923" s="214" t="s">
        <v>441</v>
      </c>
      <c r="T1923" s="214" t="s">
        <v>365</v>
      </c>
      <c r="U1923" s="214"/>
    </row>
    <row r="1924">
      <c r="A1924" s="221">
        <v>45986.06845535879</v>
      </c>
      <c r="B1924" s="214" t="s">
        <v>493</v>
      </c>
      <c r="C1924" s="214" t="s">
        <v>205</v>
      </c>
      <c r="D1924" s="214">
        <v>5.0</v>
      </c>
      <c r="E1924" s="214">
        <v>6.0</v>
      </c>
      <c r="F1924" s="214" t="s">
        <v>1926</v>
      </c>
      <c r="G1924" s="214" t="s">
        <v>61</v>
      </c>
      <c r="H1924" s="214" t="s">
        <v>395</v>
      </c>
      <c r="I1924" s="214"/>
      <c r="J1924" s="222" t="s">
        <v>67</v>
      </c>
      <c r="K1924" s="222">
        <v>8.5</v>
      </c>
      <c r="L1924" s="222" t="s">
        <v>67</v>
      </c>
      <c r="M1924" s="222">
        <v>54.5</v>
      </c>
      <c r="N1924" s="214">
        <v>276.0</v>
      </c>
      <c r="O1924" s="214">
        <v>276.0</v>
      </c>
      <c r="P1924" s="214">
        <v>2.0</v>
      </c>
      <c r="Q1924" s="214" t="b">
        <v>1</v>
      </c>
      <c r="R1924" s="214">
        <v>100.0</v>
      </c>
      <c r="S1924" s="214" t="s">
        <v>556</v>
      </c>
      <c r="T1924" s="214" t="s">
        <v>321</v>
      </c>
      <c r="U1924" s="214"/>
    </row>
    <row r="1925">
      <c r="A1925" s="221">
        <v>45986.06845535879</v>
      </c>
      <c r="B1925" s="214" t="s">
        <v>493</v>
      </c>
      <c r="C1925" s="214" t="s">
        <v>200</v>
      </c>
      <c r="D1925" s="214">
        <v>5.0</v>
      </c>
      <c r="E1925" s="214">
        <v>6.0</v>
      </c>
      <c r="F1925" s="214" t="s">
        <v>1942</v>
      </c>
      <c r="G1925" s="214" t="s">
        <v>61</v>
      </c>
      <c r="H1925" s="214" t="s">
        <v>395</v>
      </c>
      <c r="I1925" s="214"/>
      <c r="J1925" s="222" t="s">
        <v>67</v>
      </c>
      <c r="K1925" s="222">
        <v>13.5</v>
      </c>
      <c r="L1925" s="222" t="s">
        <v>67</v>
      </c>
      <c r="M1925" s="222">
        <v>42.5</v>
      </c>
      <c r="N1925" s="214">
        <v>227.0</v>
      </c>
      <c r="O1925" s="214">
        <v>234.0</v>
      </c>
      <c r="P1925" s="214">
        <v>2.0</v>
      </c>
      <c r="Q1925" s="214" t="b">
        <v>1</v>
      </c>
      <c r="R1925" s="214">
        <v>100.0</v>
      </c>
      <c r="S1925" s="214" t="s">
        <v>680</v>
      </c>
      <c r="T1925" s="214" t="s">
        <v>365</v>
      </c>
      <c r="U1925" s="214"/>
    </row>
    <row r="1926">
      <c r="A1926" s="221">
        <v>45993.06845158565</v>
      </c>
      <c r="B1926" s="214" t="s">
        <v>43</v>
      </c>
      <c r="C1926" s="214" t="s">
        <v>45</v>
      </c>
      <c r="D1926" s="214">
        <v>5.0</v>
      </c>
      <c r="E1926" s="214">
        <v>7.0</v>
      </c>
      <c r="F1926" s="214" t="s">
        <v>57</v>
      </c>
      <c r="G1926" s="214" t="s">
        <v>61</v>
      </c>
      <c r="H1926" s="214" t="s">
        <v>62</v>
      </c>
      <c r="I1926" s="214"/>
      <c r="J1926" s="222" t="s">
        <v>67</v>
      </c>
      <c r="K1926" s="222">
        <v>5.5</v>
      </c>
      <c r="L1926" s="222" t="s">
        <v>67</v>
      </c>
      <c r="M1926" s="222">
        <v>46.5</v>
      </c>
      <c r="N1926" s="214">
        <v>321.0</v>
      </c>
      <c r="O1926" s="214">
        <v>248.0</v>
      </c>
      <c r="P1926" s="214">
        <v>2.0</v>
      </c>
      <c r="Q1926" s="214" t="b">
        <v>1</v>
      </c>
      <c r="R1926" s="214">
        <v>100.0</v>
      </c>
      <c r="S1926" s="214" t="s">
        <v>556</v>
      </c>
      <c r="T1926" s="214" t="s">
        <v>321</v>
      </c>
      <c r="U1926" s="214"/>
    </row>
    <row r="1927">
      <c r="A1927" s="221">
        <v>45993.06845158565</v>
      </c>
      <c r="B1927" s="214" t="s">
        <v>43</v>
      </c>
      <c r="C1927" s="214" t="s">
        <v>118</v>
      </c>
      <c r="D1927" s="214">
        <v>4.0</v>
      </c>
      <c r="E1927" s="214">
        <v>8.0</v>
      </c>
      <c r="F1927" s="214" t="s">
        <v>273</v>
      </c>
      <c r="G1927" s="214" t="s">
        <v>61</v>
      </c>
      <c r="H1927" s="214" t="s">
        <v>95</v>
      </c>
      <c r="I1927" s="214"/>
      <c r="J1927" s="222" t="s">
        <v>67</v>
      </c>
      <c r="K1927" s="222">
        <v>7.5</v>
      </c>
      <c r="L1927" s="222" t="s">
        <v>67</v>
      </c>
      <c r="M1927" s="222">
        <v>47.5</v>
      </c>
      <c r="N1927" s="214">
        <v>231.0</v>
      </c>
      <c r="O1927" s="214">
        <v>294.0</v>
      </c>
      <c r="P1927" s="214">
        <v>2.0</v>
      </c>
      <c r="Q1927" s="214" t="b">
        <v>0</v>
      </c>
      <c r="R1927" s="214">
        <v>100.0</v>
      </c>
      <c r="S1927" s="214" t="s">
        <v>317</v>
      </c>
      <c r="T1927" s="214" t="s">
        <v>321</v>
      </c>
      <c r="U1927" s="214"/>
    </row>
    <row r="1928">
      <c r="A1928" s="221">
        <v>45993.06845158565</v>
      </c>
      <c r="B1928" s="214" t="s">
        <v>43</v>
      </c>
      <c r="C1928" s="214" t="s">
        <v>157</v>
      </c>
      <c r="D1928" s="214">
        <v>5.0</v>
      </c>
      <c r="E1928" s="214">
        <v>7.0</v>
      </c>
      <c r="F1928" s="214" t="s">
        <v>337</v>
      </c>
      <c r="G1928" s="214" t="s">
        <v>61</v>
      </c>
      <c r="H1928" s="214" t="s">
        <v>96</v>
      </c>
      <c r="I1928" s="214"/>
      <c r="J1928" s="222" t="s">
        <v>67</v>
      </c>
      <c r="K1928" s="222">
        <v>28.5</v>
      </c>
      <c r="L1928" s="222" t="s">
        <v>67</v>
      </c>
      <c r="M1928" s="222">
        <v>59.5</v>
      </c>
      <c r="N1928" s="214">
        <v>238.0</v>
      </c>
      <c r="O1928" s="214">
        <v>387.0</v>
      </c>
      <c r="P1928" s="214">
        <v>2.0</v>
      </c>
      <c r="Q1928" s="214" t="b">
        <v>0</v>
      </c>
      <c r="R1928" s="214">
        <v>100.0</v>
      </c>
      <c r="S1928" s="214" t="s">
        <v>361</v>
      </c>
      <c r="T1928" s="214" t="s">
        <v>365</v>
      </c>
      <c r="U1928" s="214"/>
    </row>
    <row r="1929">
      <c r="A1929" s="221">
        <v>45993.06845158565</v>
      </c>
      <c r="B1929" s="214" t="s">
        <v>43</v>
      </c>
      <c r="C1929" s="214" t="s">
        <v>145</v>
      </c>
      <c r="D1929" s="214">
        <v>6.0</v>
      </c>
      <c r="E1929" s="214">
        <v>6.0</v>
      </c>
      <c r="F1929" s="214" t="s">
        <v>392</v>
      </c>
      <c r="G1929" s="214" t="s">
        <v>61</v>
      </c>
      <c r="H1929" s="214" t="s">
        <v>395</v>
      </c>
      <c r="I1929" s="214"/>
      <c r="J1929" s="222" t="s">
        <v>67</v>
      </c>
      <c r="K1929" s="222">
        <v>-14.0</v>
      </c>
      <c r="L1929" s="222" t="s">
        <v>67</v>
      </c>
      <c r="M1929" s="222">
        <v>55.5</v>
      </c>
      <c r="N1929" s="214">
        <v>381.0</v>
      </c>
      <c r="O1929" s="214">
        <v>257.0</v>
      </c>
      <c r="P1929" s="214">
        <v>2.0</v>
      </c>
      <c r="Q1929" s="214" t="b">
        <v>1</v>
      </c>
      <c r="R1929" s="214">
        <v>100.0</v>
      </c>
      <c r="S1929" s="214" t="s">
        <v>407</v>
      </c>
      <c r="T1929" s="214" t="s">
        <v>321</v>
      </c>
      <c r="U1929" s="214"/>
    </row>
    <row r="1930">
      <c r="A1930" s="221">
        <v>45993.06845158565</v>
      </c>
      <c r="B1930" s="214" t="s">
        <v>43</v>
      </c>
      <c r="C1930" s="214" t="s">
        <v>422</v>
      </c>
      <c r="D1930" s="214">
        <v>5.0</v>
      </c>
      <c r="E1930" s="214">
        <v>7.0</v>
      </c>
      <c r="F1930" s="214" t="s">
        <v>427</v>
      </c>
      <c r="G1930" s="214" t="s">
        <v>61</v>
      </c>
      <c r="H1930" s="214" t="s">
        <v>132</v>
      </c>
      <c r="I1930" s="214"/>
      <c r="J1930" s="222" t="s">
        <v>67</v>
      </c>
      <c r="K1930" s="222">
        <v>-1.5</v>
      </c>
      <c r="L1930" s="222" t="s">
        <v>67</v>
      </c>
      <c r="M1930" s="222">
        <v>54.5</v>
      </c>
      <c r="N1930" s="214">
        <v>304.0</v>
      </c>
      <c r="O1930" s="214">
        <v>358.0</v>
      </c>
      <c r="P1930" s="214">
        <v>2.0</v>
      </c>
      <c r="Q1930" s="214" t="b">
        <v>0</v>
      </c>
      <c r="R1930" s="214">
        <v>100.0</v>
      </c>
      <c r="S1930" s="214" t="s">
        <v>441</v>
      </c>
      <c r="T1930" s="214" t="s">
        <v>365</v>
      </c>
      <c r="U1930" s="214"/>
    </row>
    <row r="1931">
      <c r="A1931" s="221">
        <v>45993.06845158565</v>
      </c>
      <c r="B1931" s="214" t="s">
        <v>43</v>
      </c>
      <c r="C1931" s="214" t="s">
        <v>133</v>
      </c>
      <c r="D1931" s="214">
        <v>11.0</v>
      </c>
      <c r="E1931" s="214">
        <v>1.0</v>
      </c>
      <c r="F1931" s="214" t="s">
        <v>457</v>
      </c>
      <c r="G1931" s="214" t="s">
        <v>61</v>
      </c>
      <c r="H1931" s="214" t="s">
        <v>132</v>
      </c>
      <c r="I1931" s="214"/>
      <c r="J1931" s="222" t="s">
        <v>67</v>
      </c>
      <c r="K1931" s="222">
        <v>-23.5</v>
      </c>
      <c r="L1931" s="222" t="s">
        <v>67</v>
      </c>
      <c r="M1931" s="222">
        <v>52.5</v>
      </c>
      <c r="N1931" s="214">
        <v>518.0</v>
      </c>
      <c r="O1931" s="214">
        <v>135.0</v>
      </c>
      <c r="P1931" s="214">
        <v>2.0</v>
      </c>
      <c r="Q1931" s="214" t="b">
        <v>0</v>
      </c>
      <c r="R1931" s="214">
        <v>100.0</v>
      </c>
      <c r="S1931" s="214" t="s">
        <v>471</v>
      </c>
      <c r="T1931" s="214" t="s">
        <v>321</v>
      </c>
      <c r="U1931" s="214"/>
    </row>
    <row r="1932">
      <c r="A1932" s="221">
        <v>45993.06845158565</v>
      </c>
      <c r="B1932" s="214" t="s">
        <v>43</v>
      </c>
      <c r="C1932" s="214" t="s">
        <v>189</v>
      </c>
      <c r="D1932" s="214">
        <v>8.0</v>
      </c>
      <c r="E1932" s="214">
        <v>4.0</v>
      </c>
      <c r="F1932" s="214" t="s">
        <v>490</v>
      </c>
      <c r="G1932" s="214" t="s">
        <v>61</v>
      </c>
      <c r="H1932" s="214" t="s">
        <v>493</v>
      </c>
      <c r="I1932" s="214"/>
      <c r="J1932" s="222" t="s">
        <v>67</v>
      </c>
      <c r="K1932" s="222">
        <v>1.5</v>
      </c>
      <c r="L1932" s="222" t="s">
        <v>67</v>
      </c>
      <c r="M1932" s="222">
        <v>47.5</v>
      </c>
      <c r="N1932" s="214">
        <v>296.0</v>
      </c>
      <c r="O1932" s="214">
        <v>276.0</v>
      </c>
      <c r="P1932" s="214">
        <v>2.0</v>
      </c>
      <c r="Q1932" s="214" t="b">
        <v>1</v>
      </c>
      <c r="R1932" s="214">
        <v>100.0</v>
      </c>
      <c r="S1932" s="214" t="s">
        <v>471</v>
      </c>
      <c r="T1932" s="214" t="s">
        <v>321</v>
      </c>
      <c r="U1932" s="214"/>
    </row>
    <row r="1933">
      <c r="A1933" s="221">
        <v>45993.06845158565</v>
      </c>
      <c r="B1933" s="214" t="s">
        <v>43</v>
      </c>
      <c r="C1933" s="214" t="s">
        <v>176</v>
      </c>
      <c r="D1933" s="214">
        <v>4.0</v>
      </c>
      <c r="E1933" s="214">
        <v>8.0</v>
      </c>
      <c r="F1933" s="214" t="s">
        <v>518</v>
      </c>
      <c r="G1933" s="214" t="s">
        <v>61</v>
      </c>
      <c r="H1933" s="214" t="s">
        <v>62</v>
      </c>
      <c r="I1933" s="214"/>
      <c r="J1933" s="222" t="s">
        <v>67</v>
      </c>
      <c r="K1933" s="222">
        <v>-2.5</v>
      </c>
      <c r="L1933" s="222" t="s">
        <v>67</v>
      </c>
      <c r="M1933" s="222">
        <v>46.5</v>
      </c>
      <c r="N1933" s="214">
        <v>358.0</v>
      </c>
      <c r="O1933" s="214">
        <v>364.0</v>
      </c>
      <c r="P1933" s="214">
        <v>2.0</v>
      </c>
      <c r="Q1933" s="214" t="b">
        <v>1</v>
      </c>
      <c r="R1933" s="214">
        <v>100.0</v>
      </c>
      <c r="S1933" s="214" t="s">
        <v>525</v>
      </c>
      <c r="T1933" s="214" t="s">
        <v>365</v>
      </c>
      <c r="U1933" s="214"/>
    </row>
    <row r="1934">
      <c r="A1934" s="221">
        <v>45993.06845158565</v>
      </c>
      <c r="B1934" s="214" t="s">
        <v>43</v>
      </c>
      <c r="C1934" s="214" t="s">
        <v>527</v>
      </c>
      <c r="D1934" s="214">
        <v>0.0</v>
      </c>
      <c r="E1934" s="214">
        <v>12.0</v>
      </c>
      <c r="F1934" s="214" t="s">
        <v>528</v>
      </c>
      <c r="G1934" s="214" t="s">
        <v>61</v>
      </c>
      <c r="H1934" s="214" t="s">
        <v>224</v>
      </c>
      <c r="I1934" s="214"/>
      <c r="J1934" s="222" t="s">
        <v>67</v>
      </c>
      <c r="K1934" s="222">
        <v>14.5</v>
      </c>
      <c r="L1934" s="222" t="s">
        <v>67</v>
      </c>
      <c r="M1934" s="222">
        <v>44.5</v>
      </c>
      <c r="N1934" s="214">
        <v>133.0</v>
      </c>
      <c r="O1934" s="214">
        <v>463.0</v>
      </c>
      <c r="P1934" s="214">
        <v>2.0</v>
      </c>
      <c r="Q1934" s="214" t="b">
        <v>0</v>
      </c>
      <c r="R1934" s="214">
        <v>100.0</v>
      </c>
      <c r="S1934" s="214" t="s">
        <v>530</v>
      </c>
      <c r="T1934" s="214" t="s">
        <v>365</v>
      </c>
      <c r="U1934" s="214"/>
    </row>
    <row r="1935">
      <c r="A1935" s="221">
        <v>45993.06845158565</v>
      </c>
      <c r="B1935" s="214" t="s">
        <v>43</v>
      </c>
      <c r="C1935" s="214" t="s">
        <v>228</v>
      </c>
      <c r="D1935" s="214">
        <v>4.0</v>
      </c>
      <c r="E1935" s="214">
        <v>8.0</v>
      </c>
      <c r="F1935" s="214" t="s">
        <v>531</v>
      </c>
      <c r="G1935" s="214" t="s">
        <v>532</v>
      </c>
      <c r="H1935" s="214" t="s">
        <v>96</v>
      </c>
      <c r="I1935" s="214"/>
      <c r="J1935" s="222" t="s">
        <v>67</v>
      </c>
      <c r="K1935" s="222">
        <v>-3.5</v>
      </c>
      <c r="L1935" s="222" t="s">
        <v>67</v>
      </c>
      <c r="M1935" s="222">
        <v>52.5</v>
      </c>
      <c r="N1935" s="214">
        <v>259.0</v>
      </c>
      <c r="O1935" s="214">
        <v>331.0</v>
      </c>
      <c r="P1935" s="214">
        <v>2.0</v>
      </c>
      <c r="Q1935" s="214" t="b">
        <v>0</v>
      </c>
      <c r="R1935" s="214">
        <v>100.0</v>
      </c>
      <c r="S1935" s="214" t="s">
        <v>535</v>
      </c>
      <c r="T1935" s="214" t="s">
        <v>365</v>
      </c>
      <c r="U1935" s="214"/>
    </row>
    <row r="1936">
      <c r="A1936" s="221">
        <v>45993.06845158565</v>
      </c>
      <c r="B1936" s="214"/>
      <c r="C1936" s="214"/>
      <c r="D1936" s="214"/>
      <c r="E1936" s="214"/>
      <c r="F1936" s="214"/>
      <c r="G1936" s="214"/>
      <c r="H1936" s="214"/>
      <c r="I1936" s="214"/>
      <c r="J1936" s="222"/>
      <c r="K1936" s="222"/>
      <c r="L1936" s="222"/>
      <c r="M1936" s="222"/>
      <c r="N1936" s="214"/>
      <c r="O1936" s="214"/>
      <c r="P1936" s="214"/>
      <c r="Q1936" s="214"/>
      <c r="R1936" s="214"/>
      <c r="S1936" s="214"/>
      <c r="T1936" s="214"/>
      <c r="U1936" s="214"/>
    </row>
    <row r="1937">
      <c r="A1937" s="221">
        <v>45993.06845158565</v>
      </c>
      <c r="B1937" s="214" t="s">
        <v>95</v>
      </c>
      <c r="C1937" s="214" t="s">
        <v>117</v>
      </c>
      <c r="D1937" s="214">
        <v>7.0</v>
      </c>
      <c r="E1937" s="214">
        <v>5.0</v>
      </c>
      <c r="F1937" s="214" t="s">
        <v>273</v>
      </c>
      <c r="G1937" s="214" t="s">
        <v>61</v>
      </c>
      <c r="H1937" s="214" t="s">
        <v>43</v>
      </c>
      <c r="I1937" s="214"/>
      <c r="J1937" s="222" t="s">
        <v>67</v>
      </c>
      <c r="K1937" s="222">
        <v>-7.5</v>
      </c>
      <c r="L1937" s="222" t="s">
        <v>67</v>
      </c>
      <c r="M1937" s="222">
        <v>47.5</v>
      </c>
      <c r="N1937" s="214">
        <v>362.0</v>
      </c>
      <c r="O1937" s="214">
        <v>346.0</v>
      </c>
      <c r="P1937" s="214">
        <v>2.0</v>
      </c>
      <c r="Q1937" s="214" t="b">
        <v>1</v>
      </c>
      <c r="R1937" s="214">
        <v>100.0</v>
      </c>
      <c r="S1937" s="214" t="s">
        <v>317</v>
      </c>
      <c r="T1937" s="214" t="s">
        <v>321</v>
      </c>
      <c r="U1937" s="214"/>
    </row>
    <row r="1938">
      <c r="A1938" s="221">
        <v>45993.06845158565</v>
      </c>
      <c r="B1938" s="214" t="s">
        <v>95</v>
      </c>
      <c r="C1938" s="214" t="s">
        <v>197</v>
      </c>
      <c r="D1938" s="214">
        <v>9.0</v>
      </c>
      <c r="E1938" s="214">
        <v>3.0</v>
      </c>
      <c r="F1938" s="214" t="s">
        <v>547</v>
      </c>
      <c r="G1938" s="214" t="s">
        <v>61</v>
      </c>
      <c r="H1938" s="214" t="s">
        <v>62</v>
      </c>
      <c r="I1938" s="214"/>
      <c r="J1938" s="222" t="s">
        <v>67</v>
      </c>
      <c r="K1938" s="222">
        <v>-21.5</v>
      </c>
      <c r="L1938" s="222" t="s">
        <v>67</v>
      </c>
      <c r="M1938" s="222">
        <v>58.5</v>
      </c>
      <c r="N1938" s="214">
        <v>438.0</v>
      </c>
      <c r="O1938" s="214">
        <v>269.0</v>
      </c>
      <c r="P1938" s="214">
        <v>2.0</v>
      </c>
      <c r="Q1938" s="214" t="b">
        <v>1</v>
      </c>
      <c r="R1938" s="214">
        <v>100.0</v>
      </c>
      <c r="S1938" s="214" t="s">
        <v>407</v>
      </c>
      <c r="T1938" s="214" t="s">
        <v>321</v>
      </c>
      <c r="U1938" s="214"/>
    </row>
    <row r="1939">
      <c r="A1939" s="221">
        <v>45993.06845158565</v>
      </c>
      <c r="B1939" s="214" t="s">
        <v>95</v>
      </c>
      <c r="C1939" s="214" t="s">
        <v>130</v>
      </c>
      <c r="D1939" s="214">
        <v>8.0</v>
      </c>
      <c r="E1939" s="214">
        <v>4.0</v>
      </c>
      <c r="F1939" s="214" t="s">
        <v>551</v>
      </c>
      <c r="G1939" s="214" t="s">
        <v>61</v>
      </c>
      <c r="H1939" s="214" t="s">
        <v>238</v>
      </c>
      <c r="I1939" s="214"/>
      <c r="J1939" s="222" t="s">
        <v>67</v>
      </c>
      <c r="K1939" s="222">
        <v>-3.5</v>
      </c>
      <c r="L1939" s="222" t="s">
        <v>67</v>
      </c>
      <c r="M1939" s="222">
        <v>57.5</v>
      </c>
      <c r="N1939" s="214">
        <v>369.0</v>
      </c>
      <c r="O1939" s="214">
        <v>302.0</v>
      </c>
      <c r="P1939" s="214">
        <v>2.0</v>
      </c>
      <c r="Q1939" s="214" t="b">
        <v>1</v>
      </c>
      <c r="R1939" s="214">
        <v>100.0</v>
      </c>
      <c r="S1939" s="214" t="s">
        <v>471</v>
      </c>
      <c r="T1939" s="214" t="s">
        <v>321</v>
      </c>
      <c r="U1939" s="214"/>
    </row>
    <row r="1940">
      <c r="A1940" s="221">
        <v>45993.06845158565</v>
      </c>
      <c r="B1940" s="214" t="s">
        <v>95</v>
      </c>
      <c r="C1940" s="214" t="s">
        <v>128</v>
      </c>
      <c r="D1940" s="214">
        <v>10.0</v>
      </c>
      <c r="E1940" s="214">
        <v>2.0</v>
      </c>
      <c r="F1940" s="214" t="s">
        <v>554</v>
      </c>
      <c r="G1940" s="214" t="s">
        <v>61</v>
      </c>
      <c r="H1940" s="214" t="s">
        <v>311</v>
      </c>
      <c r="I1940" s="214"/>
      <c r="J1940" s="222" t="s">
        <v>67</v>
      </c>
      <c r="K1940" s="222">
        <v>-10.5</v>
      </c>
      <c r="L1940" s="222" t="s">
        <v>67</v>
      </c>
      <c r="M1940" s="222">
        <v>35.5</v>
      </c>
      <c r="N1940" s="214">
        <v>317.0</v>
      </c>
      <c r="O1940" s="214">
        <v>167.0</v>
      </c>
      <c r="P1940" s="214">
        <v>2.0</v>
      </c>
      <c r="Q1940" s="214" t="b">
        <v>0</v>
      </c>
      <c r="R1940" s="214">
        <v>100.0</v>
      </c>
      <c r="S1940" s="214" t="s">
        <v>556</v>
      </c>
      <c r="T1940" s="214" t="s">
        <v>321</v>
      </c>
      <c r="U1940" s="214"/>
    </row>
    <row r="1941">
      <c r="A1941" s="221">
        <v>45993.06845158565</v>
      </c>
      <c r="B1941" s="214" t="s">
        <v>95</v>
      </c>
      <c r="C1941" s="214" t="s">
        <v>221</v>
      </c>
      <c r="D1941" s="214">
        <v>6.0</v>
      </c>
      <c r="E1941" s="214">
        <v>6.0</v>
      </c>
      <c r="F1941" s="214" t="s">
        <v>557</v>
      </c>
      <c r="G1941" s="214" t="s">
        <v>61</v>
      </c>
      <c r="H1941" s="214" t="s">
        <v>238</v>
      </c>
      <c r="I1941" s="214"/>
      <c r="J1941" s="222" t="s">
        <v>67</v>
      </c>
      <c r="K1941" s="222">
        <v>-8.5</v>
      </c>
      <c r="L1941" s="222" t="s">
        <v>67</v>
      </c>
      <c r="M1941" s="222">
        <v>62.5</v>
      </c>
      <c r="N1941" s="214">
        <v>433.0</v>
      </c>
      <c r="O1941" s="214">
        <v>367.0</v>
      </c>
      <c r="P1941" s="214">
        <v>2.0</v>
      </c>
      <c r="Q1941" s="214" t="b">
        <v>0</v>
      </c>
      <c r="R1941" s="214">
        <v>100.0</v>
      </c>
      <c r="S1941" s="214" t="s">
        <v>441</v>
      </c>
      <c r="T1941" s="214" t="s">
        <v>365</v>
      </c>
      <c r="U1941" s="214"/>
    </row>
    <row r="1942">
      <c r="A1942" s="221">
        <v>45993.06845158565</v>
      </c>
      <c r="B1942" s="214" t="s">
        <v>95</v>
      </c>
      <c r="C1942" s="214" t="s">
        <v>165</v>
      </c>
      <c r="D1942" s="214">
        <v>4.0</v>
      </c>
      <c r="E1942" s="214">
        <v>8.0</v>
      </c>
      <c r="F1942" s="214" t="s">
        <v>560</v>
      </c>
      <c r="G1942" s="214" t="s">
        <v>61</v>
      </c>
      <c r="H1942" s="214" t="s">
        <v>238</v>
      </c>
      <c r="I1942" s="214"/>
      <c r="J1942" s="222" t="s">
        <v>67</v>
      </c>
      <c r="K1942" s="222">
        <v>17.5</v>
      </c>
      <c r="L1942" s="222" t="s">
        <v>67</v>
      </c>
      <c r="M1942" s="222">
        <v>41.5</v>
      </c>
      <c r="N1942" s="214">
        <v>190.0</v>
      </c>
      <c r="O1942" s="214">
        <v>358.0</v>
      </c>
      <c r="P1942" s="214">
        <v>2.0</v>
      </c>
      <c r="Q1942" s="214" t="b">
        <v>0</v>
      </c>
      <c r="R1942" s="214">
        <v>100.0</v>
      </c>
      <c r="S1942" s="214" t="s">
        <v>530</v>
      </c>
      <c r="T1942" s="214" t="s">
        <v>365</v>
      </c>
      <c r="U1942" s="214"/>
    </row>
    <row r="1943">
      <c r="A1943" s="221">
        <v>45993.06845158565</v>
      </c>
      <c r="B1943" s="214" t="s">
        <v>95</v>
      </c>
      <c r="C1943" s="214" t="s">
        <v>100</v>
      </c>
      <c r="D1943" s="214">
        <v>8.0</v>
      </c>
      <c r="E1943" s="214">
        <v>4.0</v>
      </c>
      <c r="F1943" s="214" t="s">
        <v>564</v>
      </c>
      <c r="G1943" s="214" t="s">
        <v>61</v>
      </c>
      <c r="H1943" s="214" t="s">
        <v>193</v>
      </c>
      <c r="I1943" s="214"/>
      <c r="J1943" s="222" t="s">
        <v>67</v>
      </c>
      <c r="K1943" s="222">
        <v>-6.5</v>
      </c>
      <c r="L1943" s="222" t="s">
        <v>67</v>
      </c>
      <c r="M1943" s="222">
        <v>65.5</v>
      </c>
      <c r="N1943" s="214">
        <v>402.0</v>
      </c>
      <c r="O1943" s="214">
        <v>244.0</v>
      </c>
      <c r="P1943" s="214">
        <v>2.0</v>
      </c>
      <c r="Q1943" s="214" t="b">
        <v>1</v>
      </c>
      <c r="R1943" s="214">
        <v>100.0</v>
      </c>
      <c r="S1943" s="214" t="s">
        <v>361</v>
      </c>
      <c r="T1943" s="214" t="s">
        <v>365</v>
      </c>
      <c r="U1943" s="214"/>
    </row>
    <row r="1944">
      <c r="A1944" s="221">
        <v>45993.06845158565</v>
      </c>
      <c r="B1944" s="214" t="s">
        <v>95</v>
      </c>
      <c r="C1944" s="214" t="s">
        <v>177</v>
      </c>
      <c r="D1944" s="214">
        <v>8.0</v>
      </c>
      <c r="E1944" s="214">
        <v>4.0</v>
      </c>
      <c r="F1944" s="214" t="s">
        <v>570</v>
      </c>
      <c r="G1944" s="214" t="s">
        <v>61</v>
      </c>
      <c r="H1944" s="214" t="s">
        <v>311</v>
      </c>
      <c r="I1944" s="214"/>
      <c r="J1944" s="222" t="s">
        <v>67</v>
      </c>
      <c r="K1944" s="222">
        <v>-2.5</v>
      </c>
      <c r="L1944" s="222" t="s">
        <v>67</v>
      </c>
      <c r="M1944" s="222">
        <v>55.5</v>
      </c>
      <c r="N1944" s="214">
        <v>370.0</v>
      </c>
      <c r="O1944" s="214">
        <v>278.0</v>
      </c>
      <c r="P1944" s="214">
        <v>2.0</v>
      </c>
      <c r="Q1944" s="214" t="b">
        <v>1</v>
      </c>
      <c r="R1944" s="214">
        <v>100.0</v>
      </c>
      <c r="S1944" s="214" t="s">
        <v>525</v>
      </c>
      <c r="T1944" s="214" t="s">
        <v>365</v>
      </c>
      <c r="U1944" s="214"/>
    </row>
    <row r="1945">
      <c r="A1945" s="221">
        <v>45993.06845158565</v>
      </c>
      <c r="B1945" s="214" t="s">
        <v>95</v>
      </c>
      <c r="C1945" s="214" t="s">
        <v>198</v>
      </c>
      <c r="D1945" s="214">
        <v>10.0</v>
      </c>
      <c r="E1945" s="214">
        <v>2.0</v>
      </c>
      <c r="F1945" s="214" t="s">
        <v>580</v>
      </c>
      <c r="G1945" s="214" t="s">
        <v>61</v>
      </c>
      <c r="H1945" s="214" t="s">
        <v>193</v>
      </c>
      <c r="I1945" s="214"/>
      <c r="J1945" s="222" t="s">
        <v>67</v>
      </c>
      <c r="K1945" s="222">
        <v>-10.5</v>
      </c>
      <c r="L1945" s="222" t="s">
        <v>67</v>
      </c>
      <c r="M1945" s="222">
        <v>60.5</v>
      </c>
      <c r="N1945" s="214">
        <v>493.0</v>
      </c>
      <c r="O1945" s="214">
        <v>224.0</v>
      </c>
      <c r="P1945" s="214">
        <v>2.0</v>
      </c>
      <c r="Q1945" s="214" t="b">
        <v>0</v>
      </c>
      <c r="R1945" s="214">
        <v>100.0</v>
      </c>
      <c r="S1945" s="214" t="s">
        <v>471</v>
      </c>
      <c r="T1945" s="214" t="s">
        <v>321</v>
      </c>
      <c r="U1945" s="214"/>
    </row>
    <row r="1946">
      <c r="A1946" s="221">
        <v>45993.06845158565</v>
      </c>
      <c r="B1946" s="214" t="s">
        <v>95</v>
      </c>
      <c r="C1946" s="214" t="s">
        <v>233</v>
      </c>
      <c r="D1946" s="214">
        <v>9.0</v>
      </c>
      <c r="E1946" s="214">
        <v>3.0</v>
      </c>
      <c r="F1946" s="214" t="s">
        <v>596</v>
      </c>
      <c r="G1946" s="214" t="s">
        <v>597</v>
      </c>
      <c r="H1946" s="214" t="s">
        <v>62</v>
      </c>
      <c r="I1946" s="214"/>
      <c r="J1946" s="222" t="s">
        <v>67</v>
      </c>
      <c r="K1946" s="222">
        <v>-1.5</v>
      </c>
      <c r="L1946" s="222" t="s">
        <v>67</v>
      </c>
      <c r="M1946" s="222">
        <v>55.5</v>
      </c>
      <c r="N1946" s="214">
        <v>349.0</v>
      </c>
      <c r="O1946" s="214">
        <v>301.0</v>
      </c>
      <c r="P1946" s="214">
        <v>2.0</v>
      </c>
      <c r="Q1946" s="214" t="b">
        <v>1</v>
      </c>
      <c r="R1946" s="214">
        <v>100.0</v>
      </c>
      <c r="S1946" s="214" t="s">
        <v>535</v>
      </c>
      <c r="T1946" s="214" t="s">
        <v>365</v>
      </c>
      <c r="U1946" s="214"/>
    </row>
    <row r="1947">
      <c r="A1947" s="221">
        <v>45993.06845158565</v>
      </c>
      <c r="B1947" s="214"/>
      <c r="C1947" s="214"/>
      <c r="D1947" s="214"/>
      <c r="E1947" s="214"/>
      <c r="F1947" s="214"/>
      <c r="G1947" s="214"/>
      <c r="H1947" s="214"/>
      <c r="I1947" s="214"/>
      <c r="J1947" s="222"/>
      <c r="K1947" s="222"/>
      <c r="L1947" s="222"/>
      <c r="M1947" s="222"/>
      <c r="N1947" s="214"/>
      <c r="O1947" s="214"/>
      <c r="P1947" s="214"/>
      <c r="Q1947" s="214"/>
      <c r="R1947" s="214"/>
      <c r="S1947" s="214"/>
      <c r="T1947" s="214"/>
      <c r="U1947" s="214"/>
    </row>
    <row r="1948">
      <c r="A1948" s="221">
        <v>45993.06845158565</v>
      </c>
      <c r="B1948" s="214" t="s">
        <v>62</v>
      </c>
      <c r="C1948" s="214" t="s">
        <v>190</v>
      </c>
      <c r="D1948" s="214">
        <v>7.0</v>
      </c>
      <c r="E1948" s="214">
        <v>5.0</v>
      </c>
      <c r="F1948" s="214" t="s">
        <v>625</v>
      </c>
      <c r="G1948" s="214" t="s">
        <v>61</v>
      </c>
      <c r="H1948" s="214" t="s">
        <v>193</v>
      </c>
      <c r="I1948" s="214"/>
      <c r="J1948" s="222" t="s">
        <v>67</v>
      </c>
      <c r="K1948" s="222">
        <v>13.5</v>
      </c>
      <c r="L1948" s="222" t="s">
        <v>67</v>
      </c>
      <c r="M1948" s="222">
        <v>53.5</v>
      </c>
      <c r="N1948" s="214">
        <v>298.0</v>
      </c>
      <c r="O1948" s="214">
        <v>318.0</v>
      </c>
      <c r="P1948" s="214">
        <v>2.0</v>
      </c>
      <c r="Q1948" s="214" t="b">
        <v>0</v>
      </c>
      <c r="R1948" s="214">
        <v>100.0</v>
      </c>
      <c r="S1948" s="214" t="s">
        <v>317</v>
      </c>
      <c r="T1948" s="214" t="s">
        <v>321</v>
      </c>
      <c r="U1948" s="214"/>
    </row>
    <row r="1949">
      <c r="A1949" s="221">
        <v>45993.06845158565</v>
      </c>
      <c r="B1949" s="214" t="s">
        <v>62</v>
      </c>
      <c r="C1949" s="214" t="s">
        <v>201</v>
      </c>
      <c r="D1949" s="214">
        <v>10.0</v>
      </c>
      <c r="E1949" s="214">
        <v>2.0</v>
      </c>
      <c r="F1949" s="214" t="s">
        <v>57</v>
      </c>
      <c r="G1949" s="214" t="s">
        <v>61</v>
      </c>
      <c r="H1949" s="214" t="s">
        <v>43</v>
      </c>
      <c r="I1949" s="214"/>
      <c r="J1949" s="222" t="s">
        <v>67</v>
      </c>
      <c r="K1949" s="222">
        <v>-5.5</v>
      </c>
      <c r="L1949" s="222" t="s">
        <v>67</v>
      </c>
      <c r="M1949" s="222">
        <v>46.5</v>
      </c>
      <c r="N1949" s="214">
        <v>399.0</v>
      </c>
      <c r="O1949" s="214">
        <v>198.0</v>
      </c>
      <c r="P1949" s="214">
        <v>2.0</v>
      </c>
      <c r="Q1949" s="214" t="b">
        <v>0</v>
      </c>
      <c r="R1949" s="214">
        <v>100.0</v>
      </c>
      <c r="S1949" s="214" t="s">
        <v>556</v>
      </c>
      <c r="T1949" s="214" t="s">
        <v>321</v>
      </c>
      <c r="U1949" s="214"/>
    </row>
    <row r="1950">
      <c r="A1950" s="221">
        <v>45993.06845158565</v>
      </c>
      <c r="B1950" s="214" t="s">
        <v>62</v>
      </c>
      <c r="C1950" s="214" t="s">
        <v>196</v>
      </c>
      <c r="D1950" s="214">
        <v>3.0</v>
      </c>
      <c r="E1950" s="214">
        <v>9.0</v>
      </c>
      <c r="F1950" s="214" t="s">
        <v>547</v>
      </c>
      <c r="G1950" s="214" t="s">
        <v>61</v>
      </c>
      <c r="H1950" s="214" t="s">
        <v>95</v>
      </c>
      <c r="I1950" s="214"/>
      <c r="J1950" s="222" t="s">
        <v>67</v>
      </c>
      <c r="K1950" s="222">
        <v>21.5</v>
      </c>
      <c r="L1950" s="222" t="s">
        <v>67</v>
      </c>
      <c r="M1950" s="222">
        <v>58.5</v>
      </c>
      <c r="N1950" s="214">
        <v>218.0</v>
      </c>
      <c r="O1950" s="214">
        <v>401.0</v>
      </c>
      <c r="P1950" s="214">
        <v>2.0</v>
      </c>
      <c r="Q1950" s="214" t="b">
        <v>0</v>
      </c>
      <c r="R1950" s="214">
        <v>100.0</v>
      </c>
      <c r="S1950" s="214" t="s">
        <v>407</v>
      </c>
      <c r="T1950" s="214" t="s">
        <v>321</v>
      </c>
      <c r="U1950" s="214"/>
    </row>
    <row r="1951">
      <c r="A1951" s="221">
        <v>45993.06845158565</v>
      </c>
      <c r="B1951" s="214" t="s">
        <v>62</v>
      </c>
      <c r="C1951" s="214" t="s">
        <v>199</v>
      </c>
      <c r="D1951" s="214">
        <v>8.0</v>
      </c>
      <c r="E1951" s="214">
        <v>4.0</v>
      </c>
      <c r="F1951" s="214" t="s">
        <v>628</v>
      </c>
      <c r="G1951" s="214" t="s">
        <v>61</v>
      </c>
      <c r="H1951" s="214" t="s">
        <v>311</v>
      </c>
      <c r="I1951" s="214"/>
      <c r="J1951" s="222" t="s">
        <v>67</v>
      </c>
      <c r="K1951" s="222">
        <v>7.0</v>
      </c>
      <c r="L1951" s="222" t="s">
        <v>67</v>
      </c>
      <c r="M1951" s="222">
        <v>51.5</v>
      </c>
      <c r="N1951" s="214">
        <v>405.0</v>
      </c>
      <c r="O1951" s="214">
        <v>233.0</v>
      </c>
      <c r="P1951" s="214">
        <v>2.0</v>
      </c>
      <c r="Q1951" s="214" t="b">
        <v>0</v>
      </c>
      <c r="R1951" s="214">
        <v>100.0</v>
      </c>
      <c r="S1951" s="214" t="s">
        <v>407</v>
      </c>
      <c r="T1951" s="214" t="s">
        <v>321</v>
      </c>
      <c r="U1951" s="214"/>
    </row>
    <row r="1952">
      <c r="A1952" s="221">
        <v>45993.06845158565</v>
      </c>
      <c r="B1952" s="214" t="s">
        <v>62</v>
      </c>
      <c r="C1952" s="214" t="s">
        <v>163</v>
      </c>
      <c r="D1952" s="214">
        <v>4.0</v>
      </c>
      <c r="E1952" s="214">
        <v>8.0</v>
      </c>
      <c r="F1952" s="214" t="s">
        <v>637</v>
      </c>
      <c r="G1952" s="214" t="s">
        <v>61</v>
      </c>
      <c r="H1952" s="214" t="s">
        <v>493</v>
      </c>
      <c r="I1952" s="214"/>
      <c r="J1952" s="222" t="s">
        <v>67</v>
      </c>
      <c r="K1952" s="222">
        <v>9.5</v>
      </c>
      <c r="L1952" s="222" t="s">
        <v>67</v>
      </c>
      <c r="M1952" s="222">
        <v>58.5</v>
      </c>
      <c r="N1952" s="214">
        <v>317.0</v>
      </c>
      <c r="O1952" s="214">
        <v>459.0</v>
      </c>
      <c r="P1952" s="214">
        <v>2.0</v>
      </c>
      <c r="Q1952" s="214" t="b">
        <v>1</v>
      </c>
      <c r="R1952" s="214">
        <v>100.0</v>
      </c>
      <c r="S1952" s="214" t="s">
        <v>361</v>
      </c>
      <c r="T1952" s="214" t="s">
        <v>365</v>
      </c>
      <c r="U1952" s="214"/>
    </row>
    <row r="1953">
      <c r="A1953" s="221">
        <v>45993.06845158565</v>
      </c>
      <c r="B1953" s="214" t="s">
        <v>62</v>
      </c>
      <c r="C1953" s="214" t="s">
        <v>155</v>
      </c>
      <c r="D1953" s="214">
        <v>9.0</v>
      </c>
      <c r="E1953" s="214">
        <v>3.0</v>
      </c>
      <c r="F1953" s="214" t="s">
        <v>649</v>
      </c>
      <c r="G1953" s="214" t="s">
        <v>61</v>
      </c>
      <c r="H1953" s="214" t="s">
        <v>249</v>
      </c>
      <c r="I1953" s="214"/>
      <c r="J1953" s="222" t="s">
        <v>67</v>
      </c>
      <c r="K1953" s="222">
        <v>-27.5</v>
      </c>
      <c r="L1953" s="222" t="s">
        <v>67</v>
      </c>
      <c r="M1953" s="222">
        <v>58.5</v>
      </c>
      <c r="N1953" s="214">
        <v>392.0</v>
      </c>
      <c r="O1953" s="214">
        <v>231.0</v>
      </c>
      <c r="P1953" s="214">
        <v>2.0</v>
      </c>
      <c r="Q1953" s="214" t="b">
        <v>1</v>
      </c>
      <c r="R1953" s="214">
        <v>100.0</v>
      </c>
      <c r="S1953" s="214" t="s">
        <v>441</v>
      </c>
      <c r="T1953" s="214" t="s">
        <v>365</v>
      </c>
      <c r="U1953" s="214"/>
    </row>
    <row r="1954">
      <c r="A1954" s="221">
        <v>45993.06845158565</v>
      </c>
      <c r="B1954" s="214" t="s">
        <v>62</v>
      </c>
      <c r="C1954" s="214" t="s">
        <v>127</v>
      </c>
      <c r="D1954" s="214">
        <v>6.0</v>
      </c>
      <c r="E1954" s="214">
        <v>6.0</v>
      </c>
      <c r="F1954" s="214" t="s">
        <v>650</v>
      </c>
      <c r="G1954" s="214" t="s">
        <v>61</v>
      </c>
      <c r="H1954" s="214" t="s">
        <v>224</v>
      </c>
      <c r="I1954" s="214"/>
      <c r="J1954" s="222" t="s">
        <v>67</v>
      </c>
      <c r="K1954" s="222">
        <v>-16.5</v>
      </c>
      <c r="L1954" s="222" t="s">
        <v>67</v>
      </c>
      <c r="M1954" s="222">
        <v>50.5</v>
      </c>
      <c r="N1954" s="214">
        <v>353.0</v>
      </c>
      <c r="O1954" s="214">
        <v>320.0</v>
      </c>
      <c r="P1954" s="214">
        <v>2.0</v>
      </c>
      <c r="Q1954" s="214" t="b">
        <v>0</v>
      </c>
      <c r="R1954" s="214">
        <v>100.0</v>
      </c>
      <c r="S1954" s="214" t="s">
        <v>471</v>
      </c>
      <c r="T1954" s="214" t="s">
        <v>321</v>
      </c>
      <c r="U1954" s="214"/>
    </row>
    <row r="1955">
      <c r="A1955" s="221">
        <v>45993.06845158565</v>
      </c>
      <c r="B1955" s="214" t="s">
        <v>62</v>
      </c>
      <c r="C1955" s="214" t="s">
        <v>178</v>
      </c>
      <c r="D1955" s="214">
        <v>2.0</v>
      </c>
      <c r="E1955" s="214">
        <v>10.0</v>
      </c>
      <c r="F1955" s="214" t="s">
        <v>518</v>
      </c>
      <c r="G1955" s="214" t="s">
        <v>61</v>
      </c>
      <c r="H1955" s="214" t="s">
        <v>43</v>
      </c>
      <c r="I1955" s="214"/>
      <c r="J1955" s="222" t="s">
        <v>67</v>
      </c>
      <c r="K1955" s="222">
        <v>2.5</v>
      </c>
      <c r="L1955" s="222" t="s">
        <v>67</v>
      </c>
      <c r="M1955" s="222">
        <v>46.5</v>
      </c>
      <c r="N1955" s="214">
        <v>222.0</v>
      </c>
      <c r="O1955" s="214">
        <v>370.0</v>
      </c>
      <c r="P1955" s="214">
        <v>2.0</v>
      </c>
      <c r="Q1955" s="214" t="b">
        <v>0</v>
      </c>
      <c r="R1955" s="214">
        <v>100.0</v>
      </c>
      <c r="S1955" s="214" t="s">
        <v>525</v>
      </c>
      <c r="T1955" s="214" t="s">
        <v>365</v>
      </c>
      <c r="U1955" s="214"/>
    </row>
    <row r="1956">
      <c r="A1956" s="221">
        <v>45993.06845158565</v>
      </c>
      <c r="B1956" s="214" t="s">
        <v>62</v>
      </c>
      <c r="C1956" s="214" t="s">
        <v>304</v>
      </c>
      <c r="D1956" s="214">
        <v>4.0</v>
      </c>
      <c r="E1956" s="214">
        <v>8.0</v>
      </c>
      <c r="F1956" s="214" t="s">
        <v>666</v>
      </c>
      <c r="G1956" s="214" t="s">
        <v>61</v>
      </c>
      <c r="H1956" s="214" t="s">
        <v>395</v>
      </c>
      <c r="I1956" s="214"/>
      <c r="J1956" s="222" t="s">
        <v>67</v>
      </c>
      <c r="K1956" s="222">
        <v>7.5</v>
      </c>
      <c r="L1956" s="222" t="s">
        <v>67</v>
      </c>
      <c r="M1956" s="222">
        <v>46.5</v>
      </c>
      <c r="N1956" s="214">
        <v>289.0</v>
      </c>
      <c r="O1956" s="214">
        <v>357.0</v>
      </c>
      <c r="P1956" s="214">
        <v>2.0</v>
      </c>
      <c r="Q1956" s="214" t="b">
        <v>0</v>
      </c>
      <c r="R1956" s="214">
        <v>100.0</v>
      </c>
      <c r="S1956" s="214" t="s">
        <v>530</v>
      </c>
      <c r="T1956" s="214" t="s">
        <v>365</v>
      </c>
      <c r="U1956" s="214"/>
    </row>
    <row r="1957">
      <c r="A1957" s="221">
        <v>45993.06845158565</v>
      </c>
      <c r="B1957" s="214" t="s">
        <v>62</v>
      </c>
      <c r="C1957" s="214" t="s">
        <v>227</v>
      </c>
      <c r="D1957" s="214">
        <v>4.0</v>
      </c>
      <c r="E1957" s="214">
        <v>8.0</v>
      </c>
      <c r="F1957" s="214" t="s">
        <v>596</v>
      </c>
      <c r="G1957" s="214" t="s">
        <v>597</v>
      </c>
      <c r="H1957" s="214" t="s">
        <v>95</v>
      </c>
      <c r="I1957" s="214"/>
      <c r="J1957" s="222" t="s">
        <v>67</v>
      </c>
      <c r="K1957" s="222">
        <v>1.5</v>
      </c>
      <c r="L1957" s="222" t="s">
        <v>67</v>
      </c>
      <c r="M1957" s="222">
        <v>55.5</v>
      </c>
      <c r="N1957" s="214">
        <v>307.0</v>
      </c>
      <c r="O1957" s="214">
        <v>318.0</v>
      </c>
      <c r="P1957" s="214">
        <v>2.0</v>
      </c>
      <c r="Q1957" s="214" t="b">
        <v>0</v>
      </c>
      <c r="R1957" s="214">
        <v>100.0</v>
      </c>
      <c r="S1957" s="214" t="s">
        <v>535</v>
      </c>
      <c r="T1957" s="214" t="s">
        <v>365</v>
      </c>
      <c r="U1957" s="214"/>
    </row>
    <row r="1958">
      <c r="A1958" s="221">
        <v>45993.06845158565</v>
      </c>
      <c r="B1958" s="214"/>
      <c r="C1958" s="214"/>
      <c r="D1958" s="214"/>
      <c r="E1958" s="214"/>
      <c r="F1958" s="214"/>
      <c r="G1958" s="214"/>
      <c r="H1958" s="214"/>
      <c r="I1958" s="214"/>
      <c r="J1958" s="222"/>
      <c r="K1958" s="222"/>
      <c r="L1958" s="222"/>
      <c r="M1958" s="222"/>
      <c r="N1958" s="214"/>
      <c r="O1958" s="214"/>
      <c r="P1958" s="214"/>
      <c r="Q1958" s="214"/>
      <c r="R1958" s="214"/>
      <c r="S1958" s="214"/>
      <c r="T1958" s="214"/>
      <c r="U1958" s="214"/>
    </row>
    <row r="1959">
      <c r="A1959" s="221">
        <v>45993.06845158565</v>
      </c>
      <c r="B1959" s="214" t="s">
        <v>193</v>
      </c>
      <c r="C1959" s="214" t="s">
        <v>164</v>
      </c>
      <c r="D1959" s="214">
        <v>5.0</v>
      </c>
      <c r="E1959" s="214">
        <v>7.0</v>
      </c>
      <c r="F1959" s="214"/>
      <c r="G1959" s="214"/>
      <c r="H1959" s="214"/>
      <c r="I1959" s="214"/>
      <c r="J1959" s="222"/>
      <c r="K1959" s="222"/>
      <c r="L1959" s="222"/>
      <c r="M1959" s="222"/>
      <c r="N1959" s="214">
        <v>267.0</v>
      </c>
      <c r="O1959" s="214">
        <v>329.0</v>
      </c>
      <c r="P1959" s="214">
        <v>0.0</v>
      </c>
      <c r="Q1959" s="214" t="b">
        <v>0</v>
      </c>
      <c r="R1959" s="214">
        <v>59.0</v>
      </c>
      <c r="S1959" s="214" t="s">
        <v>530</v>
      </c>
      <c r="T1959" s="214" t="s">
        <v>365</v>
      </c>
      <c r="U1959" s="214"/>
    </row>
    <row r="1960">
      <c r="A1960" s="221">
        <v>45993.06845158565</v>
      </c>
      <c r="B1960" s="214" t="s">
        <v>193</v>
      </c>
      <c r="C1960" s="214" t="s">
        <v>104</v>
      </c>
      <c r="D1960" s="214">
        <v>8.0</v>
      </c>
      <c r="E1960" s="214">
        <v>4.0</v>
      </c>
      <c r="F1960" s="214" t="s">
        <v>625</v>
      </c>
      <c r="G1960" s="214" t="s">
        <v>61</v>
      </c>
      <c r="H1960" s="214" t="s">
        <v>62</v>
      </c>
      <c r="I1960" s="214"/>
      <c r="J1960" s="222" t="s">
        <v>67</v>
      </c>
      <c r="K1960" s="222">
        <v>-13.5</v>
      </c>
      <c r="L1960" s="222" t="s">
        <v>67</v>
      </c>
      <c r="M1960" s="222">
        <v>53.5</v>
      </c>
      <c r="N1960" s="214">
        <v>395.0</v>
      </c>
      <c r="O1960" s="214">
        <v>248.0</v>
      </c>
      <c r="P1960" s="214">
        <v>2.0</v>
      </c>
      <c r="Q1960" s="214" t="b">
        <v>1</v>
      </c>
      <c r="R1960" s="214">
        <v>100.0</v>
      </c>
      <c r="S1960" s="214" t="s">
        <v>317</v>
      </c>
      <c r="T1960" s="214" t="s">
        <v>321</v>
      </c>
      <c r="U1960" s="214"/>
    </row>
    <row r="1961">
      <c r="A1961" s="221">
        <v>45993.06845158565</v>
      </c>
      <c r="B1961" s="214" t="s">
        <v>193</v>
      </c>
      <c r="C1961" s="214" t="s">
        <v>194</v>
      </c>
      <c r="D1961" s="214">
        <v>2.0</v>
      </c>
      <c r="E1961" s="214">
        <v>10.0</v>
      </c>
      <c r="F1961" s="214" t="s">
        <v>679</v>
      </c>
      <c r="G1961" s="214" t="s">
        <v>61</v>
      </c>
      <c r="H1961" s="214" t="s">
        <v>493</v>
      </c>
      <c r="I1961" s="214"/>
      <c r="J1961" s="222" t="s">
        <v>67</v>
      </c>
      <c r="K1961" s="222">
        <v>13.5</v>
      </c>
      <c r="L1961" s="222" t="s">
        <v>67</v>
      </c>
      <c r="M1961" s="222">
        <v>43.5</v>
      </c>
      <c r="N1961" s="214">
        <v>218.0</v>
      </c>
      <c r="O1961" s="214">
        <v>353.0</v>
      </c>
      <c r="P1961" s="214">
        <v>2.0</v>
      </c>
      <c r="Q1961" s="214" t="b">
        <v>0</v>
      </c>
      <c r="R1961" s="214">
        <v>100.0</v>
      </c>
      <c r="S1961" s="214" t="s">
        <v>680</v>
      </c>
      <c r="T1961" s="214" t="s">
        <v>365</v>
      </c>
      <c r="U1961" s="214"/>
    </row>
    <row r="1962">
      <c r="A1962" s="221">
        <v>45993.06845158565</v>
      </c>
      <c r="B1962" s="214" t="s">
        <v>193</v>
      </c>
      <c r="C1962" s="214" t="s">
        <v>211</v>
      </c>
      <c r="D1962" s="214">
        <v>8.0</v>
      </c>
      <c r="E1962" s="214">
        <v>4.0</v>
      </c>
      <c r="F1962" s="214" t="s">
        <v>681</v>
      </c>
      <c r="G1962" s="214" t="s">
        <v>61</v>
      </c>
      <c r="H1962" s="214" t="s">
        <v>395</v>
      </c>
      <c r="I1962" s="214"/>
      <c r="J1962" s="222" t="s">
        <v>67</v>
      </c>
      <c r="K1962" s="222">
        <v>-3.0</v>
      </c>
      <c r="L1962" s="222" t="s">
        <v>67</v>
      </c>
      <c r="M1962" s="222">
        <v>65.5</v>
      </c>
      <c r="N1962" s="214">
        <v>489.0</v>
      </c>
      <c r="O1962" s="214">
        <v>345.0</v>
      </c>
      <c r="P1962" s="214">
        <v>2.0</v>
      </c>
      <c r="Q1962" s="214" t="b">
        <v>1</v>
      </c>
      <c r="R1962" s="214">
        <v>100.0</v>
      </c>
      <c r="S1962" s="214" t="s">
        <v>556</v>
      </c>
      <c r="T1962" s="214" t="s">
        <v>321</v>
      </c>
      <c r="U1962" s="214"/>
    </row>
    <row r="1963">
      <c r="A1963" s="221">
        <v>45993.06845158565</v>
      </c>
      <c r="B1963" s="214" t="s">
        <v>193</v>
      </c>
      <c r="C1963" s="214" t="s">
        <v>236</v>
      </c>
      <c r="D1963" s="214">
        <v>7.0</v>
      </c>
      <c r="E1963" s="214">
        <v>5.0</v>
      </c>
      <c r="F1963" s="214" t="s">
        <v>683</v>
      </c>
      <c r="G1963" s="214" t="s">
        <v>61</v>
      </c>
      <c r="H1963" s="214" t="s">
        <v>249</v>
      </c>
      <c r="I1963" s="214"/>
      <c r="J1963" s="222" t="s">
        <v>67</v>
      </c>
      <c r="K1963" s="222">
        <v>-1.5</v>
      </c>
      <c r="L1963" s="222" t="s">
        <v>67</v>
      </c>
      <c r="M1963" s="222">
        <v>47.5</v>
      </c>
      <c r="N1963" s="214">
        <v>305.0</v>
      </c>
      <c r="O1963" s="214">
        <v>340.0</v>
      </c>
      <c r="P1963" s="214">
        <v>2.0</v>
      </c>
      <c r="Q1963" s="214" t="b">
        <v>1</v>
      </c>
      <c r="R1963" s="214">
        <v>100.0</v>
      </c>
      <c r="S1963" s="214" t="s">
        <v>535</v>
      </c>
      <c r="T1963" s="214" t="s">
        <v>365</v>
      </c>
      <c r="U1963" s="214"/>
    </row>
    <row r="1964">
      <c r="A1964" s="221">
        <v>45993.06845158565</v>
      </c>
      <c r="B1964" s="214" t="s">
        <v>193</v>
      </c>
      <c r="C1964" s="214" t="s">
        <v>144</v>
      </c>
      <c r="D1964" s="214">
        <v>12.0</v>
      </c>
      <c r="E1964" s="214">
        <v>0.0</v>
      </c>
      <c r="F1964" s="214" t="s">
        <v>684</v>
      </c>
      <c r="G1964" s="214" t="s">
        <v>61</v>
      </c>
      <c r="H1964" s="214" t="s">
        <v>311</v>
      </c>
      <c r="I1964" s="214"/>
      <c r="J1964" s="222" t="s">
        <v>67</v>
      </c>
      <c r="K1964" s="222">
        <v>-10.5</v>
      </c>
      <c r="L1964" s="222" t="s">
        <v>67</v>
      </c>
      <c r="M1964" s="222">
        <v>43.5</v>
      </c>
      <c r="N1964" s="214">
        <v>444.0</v>
      </c>
      <c r="O1964" s="214">
        <v>93.0</v>
      </c>
      <c r="P1964" s="214">
        <v>2.0</v>
      </c>
      <c r="Q1964" s="214" t="b">
        <v>1</v>
      </c>
      <c r="R1964" s="214">
        <v>100.0</v>
      </c>
      <c r="S1964" s="214" t="s">
        <v>407</v>
      </c>
      <c r="T1964" s="214" t="s">
        <v>321</v>
      </c>
      <c r="U1964" s="214"/>
    </row>
    <row r="1965">
      <c r="A1965" s="221">
        <v>45993.06845158565</v>
      </c>
      <c r="B1965" s="214" t="s">
        <v>193</v>
      </c>
      <c r="C1965" s="214" t="s">
        <v>150</v>
      </c>
      <c r="D1965" s="214">
        <v>4.0</v>
      </c>
      <c r="E1965" s="214">
        <v>8.0</v>
      </c>
      <c r="F1965" s="214" t="s">
        <v>564</v>
      </c>
      <c r="G1965" s="214" t="s">
        <v>61</v>
      </c>
      <c r="H1965" s="214" t="s">
        <v>95</v>
      </c>
      <c r="I1965" s="214"/>
      <c r="J1965" s="222" t="s">
        <v>67</v>
      </c>
      <c r="K1965" s="222">
        <v>6.5</v>
      </c>
      <c r="L1965" s="222" t="s">
        <v>67</v>
      </c>
      <c r="M1965" s="222">
        <v>65.5</v>
      </c>
      <c r="N1965" s="214">
        <v>354.0</v>
      </c>
      <c r="O1965" s="214">
        <v>436.0</v>
      </c>
      <c r="P1965" s="214">
        <v>2.0</v>
      </c>
      <c r="Q1965" s="214" t="b">
        <v>0</v>
      </c>
      <c r="R1965" s="214">
        <v>100.0</v>
      </c>
      <c r="S1965" s="214" t="s">
        <v>361</v>
      </c>
      <c r="T1965" s="214" t="s">
        <v>365</v>
      </c>
      <c r="U1965" s="214"/>
    </row>
    <row r="1966">
      <c r="A1966" s="221">
        <v>45993.06845158565</v>
      </c>
      <c r="B1966" s="214" t="s">
        <v>193</v>
      </c>
      <c r="C1966" s="214" t="s">
        <v>126</v>
      </c>
      <c r="D1966" s="214">
        <v>5.0</v>
      </c>
      <c r="E1966" s="214">
        <v>7.0</v>
      </c>
      <c r="F1966" s="214" t="s">
        <v>580</v>
      </c>
      <c r="G1966" s="214" t="s">
        <v>61</v>
      </c>
      <c r="H1966" s="214" t="s">
        <v>95</v>
      </c>
      <c r="I1966" s="214"/>
      <c r="J1966" s="222" t="s">
        <v>67</v>
      </c>
      <c r="K1966" s="222">
        <v>10.5</v>
      </c>
      <c r="L1966" s="222" t="s">
        <v>67</v>
      </c>
      <c r="M1966" s="222">
        <v>60.5</v>
      </c>
      <c r="N1966" s="214">
        <v>337.0</v>
      </c>
      <c r="O1966" s="214">
        <v>321.0</v>
      </c>
      <c r="P1966" s="214">
        <v>2.0</v>
      </c>
      <c r="Q1966" s="214" t="b">
        <v>1</v>
      </c>
      <c r="R1966" s="214">
        <v>100.0</v>
      </c>
      <c r="S1966" s="214" t="s">
        <v>471</v>
      </c>
      <c r="T1966" s="214" t="s">
        <v>321</v>
      </c>
      <c r="U1966" s="214"/>
    </row>
    <row r="1967">
      <c r="A1967" s="221">
        <v>45993.06845158565</v>
      </c>
      <c r="B1967" s="214" t="s">
        <v>193</v>
      </c>
      <c r="C1967" s="214" t="s">
        <v>182</v>
      </c>
      <c r="D1967" s="214">
        <v>9.0</v>
      </c>
      <c r="E1967" s="214">
        <v>3.0</v>
      </c>
      <c r="F1967" s="214" t="s">
        <v>688</v>
      </c>
      <c r="G1967" s="214" t="s">
        <v>597</v>
      </c>
      <c r="H1967" s="214" t="s">
        <v>249</v>
      </c>
      <c r="I1967" s="214"/>
      <c r="J1967" s="222" t="s">
        <v>67</v>
      </c>
      <c r="K1967" s="222">
        <v>1.5</v>
      </c>
      <c r="L1967" s="222" t="s">
        <v>67</v>
      </c>
      <c r="M1967" s="222">
        <v>41.5</v>
      </c>
      <c r="N1967" s="214">
        <v>335.0</v>
      </c>
      <c r="O1967" s="214">
        <v>270.0</v>
      </c>
      <c r="P1967" s="214">
        <v>2.0</v>
      </c>
      <c r="Q1967" s="214" t="b">
        <v>1</v>
      </c>
      <c r="R1967" s="214">
        <v>100.0</v>
      </c>
      <c r="S1967" s="214" t="s">
        <v>525</v>
      </c>
      <c r="T1967" s="214" t="s">
        <v>365</v>
      </c>
      <c r="U1967" s="214"/>
    </row>
    <row r="1968">
      <c r="A1968" s="221">
        <v>45993.06845158565</v>
      </c>
      <c r="B1968" s="214" t="s">
        <v>193</v>
      </c>
      <c r="C1968" s="214" t="s">
        <v>552</v>
      </c>
      <c r="D1968" s="214">
        <v>6.0</v>
      </c>
      <c r="E1968" s="214">
        <v>6.0</v>
      </c>
      <c r="F1968" s="214" t="s">
        <v>690</v>
      </c>
      <c r="G1968" s="214" t="s">
        <v>532</v>
      </c>
      <c r="H1968" s="214" t="s">
        <v>493</v>
      </c>
      <c r="I1968" s="214"/>
      <c r="J1968" s="222" t="s">
        <v>67</v>
      </c>
      <c r="K1968" s="222">
        <v>-8.5</v>
      </c>
      <c r="L1968" s="222" t="s">
        <v>67</v>
      </c>
      <c r="M1968" s="222">
        <v>47.5</v>
      </c>
      <c r="N1968" s="214">
        <v>325.0</v>
      </c>
      <c r="O1968" s="214">
        <v>360.0</v>
      </c>
      <c r="P1968" s="214">
        <v>2.0</v>
      </c>
      <c r="Q1968" s="214" t="b">
        <v>0</v>
      </c>
      <c r="R1968" s="214">
        <v>100.0</v>
      </c>
      <c r="S1968" s="214" t="s">
        <v>441</v>
      </c>
      <c r="T1968" s="214" t="s">
        <v>365</v>
      </c>
      <c r="U1968" s="214"/>
    </row>
    <row r="1969">
      <c r="A1969" s="221">
        <v>45993.06845158565</v>
      </c>
      <c r="B1969" s="214"/>
      <c r="C1969" s="214"/>
      <c r="D1969" s="214"/>
      <c r="E1969" s="214"/>
      <c r="F1969" s="214"/>
      <c r="G1969" s="214"/>
      <c r="H1969" s="214"/>
      <c r="I1969" s="214"/>
      <c r="J1969" s="222"/>
      <c r="K1969" s="222"/>
      <c r="L1969" s="222"/>
      <c r="M1969" s="222"/>
      <c r="N1969" s="214"/>
      <c r="O1969" s="214"/>
      <c r="P1969" s="214"/>
      <c r="Q1969" s="214"/>
      <c r="R1969" s="214"/>
      <c r="S1969" s="214"/>
      <c r="T1969" s="214"/>
      <c r="U1969" s="214"/>
    </row>
    <row r="1970">
      <c r="A1970" s="221">
        <v>45993.06845158565</v>
      </c>
      <c r="B1970" s="214" t="s">
        <v>311</v>
      </c>
      <c r="C1970" s="214" t="s">
        <v>122</v>
      </c>
      <c r="D1970" s="214">
        <v>3.0</v>
      </c>
      <c r="E1970" s="214">
        <v>9.0</v>
      </c>
      <c r="F1970" s="214" t="s">
        <v>693</v>
      </c>
      <c r="G1970" s="214" t="s">
        <v>61</v>
      </c>
      <c r="H1970" s="214" t="s">
        <v>96</v>
      </c>
      <c r="I1970" s="214"/>
      <c r="J1970" s="222" t="s">
        <v>67</v>
      </c>
      <c r="K1970" s="222">
        <v>8.5</v>
      </c>
      <c r="L1970" s="222" t="s">
        <v>67</v>
      </c>
      <c r="M1970" s="222">
        <v>52.5</v>
      </c>
      <c r="N1970" s="214">
        <v>257.0</v>
      </c>
      <c r="O1970" s="214">
        <v>362.0</v>
      </c>
      <c r="P1970" s="214">
        <v>2.0</v>
      </c>
      <c r="Q1970" s="214" t="b">
        <v>0</v>
      </c>
      <c r="R1970" s="214">
        <v>100.0</v>
      </c>
      <c r="S1970" s="214" t="s">
        <v>317</v>
      </c>
      <c r="T1970" s="214" t="s">
        <v>321</v>
      </c>
      <c r="U1970" s="214"/>
    </row>
    <row r="1971">
      <c r="A1971" s="221">
        <v>45993.06845158565</v>
      </c>
      <c r="B1971" s="214" t="s">
        <v>311</v>
      </c>
      <c r="C1971" s="214" t="s">
        <v>206</v>
      </c>
      <c r="D1971" s="214">
        <v>7.0</v>
      </c>
      <c r="E1971" s="214">
        <v>5.0</v>
      </c>
      <c r="F1971" s="214" t="s">
        <v>554</v>
      </c>
      <c r="G1971" s="214" t="s">
        <v>61</v>
      </c>
      <c r="H1971" s="214" t="s">
        <v>95</v>
      </c>
      <c r="I1971" s="214"/>
      <c r="J1971" s="222" t="s">
        <v>67</v>
      </c>
      <c r="K1971" s="222">
        <v>10.5</v>
      </c>
      <c r="L1971" s="222" t="s">
        <v>67</v>
      </c>
      <c r="M1971" s="222">
        <v>35.5</v>
      </c>
      <c r="N1971" s="214">
        <v>262.0</v>
      </c>
      <c r="O1971" s="214">
        <v>220.0</v>
      </c>
      <c r="P1971" s="214">
        <v>2.0</v>
      </c>
      <c r="Q1971" s="214" t="b">
        <v>1</v>
      </c>
      <c r="R1971" s="214">
        <v>100.0</v>
      </c>
      <c r="S1971" s="214" t="s">
        <v>556</v>
      </c>
      <c r="T1971" s="214" t="s">
        <v>321</v>
      </c>
      <c r="U1971" s="214"/>
    </row>
    <row r="1972">
      <c r="A1972" s="221">
        <v>45993.06845158565</v>
      </c>
      <c r="B1972" s="214" t="s">
        <v>311</v>
      </c>
      <c r="C1972" s="214" t="s">
        <v>192</v>
      </c>
      <c r="D1972" s="214">
        <v>11.0</v>
      </c>
      <c r="E1972" s="214">
        <v>1.0</v>
      </c>
      <c r="F1972" s="214" t="s">
        <v>628</v>
      </c>
      <c r="G1972" s="214" t="s">
        <v>61</v>
      </c>
      <c r="H1972" s="214" t="s">
        <v>62</v>
      </c>
      <c r="I1972" s="214"/>
      <c r="J1972" s="222" t="s">
        <v>67</v>
      </c>
      <c r="K1972" s="222">
        <v>-7.0</v>
      </c>
      <c r="L1972" s="222" t="s">
        <v>67</v>
      </c>
      <c r="M1972" s="222">
        <v>51.5</v>
      </c>
      <c r="N1972" s="214">
        <v>458.0</v>
      </c>
      <c r="O1972" s="214">
        <v>178.0</v>
      </c>
      <c r="P1972" s="214">
        <v>2.0</v>
      </c>
      <c r="Q1972" s="214" t="b">
        <v>1</v>
      </c>
      <c r="R1972" s="214">
        <v>100.0</v>
      </c>
      <c r="S1972" s="214" t="s">
        <v>407</v>
      </c>
      <c r="T1972" s="214" t="s">
        <v>321</v>
      </c>
      <c r="U1972" s="214"/>
    </row>
    <row r="1973">
      <c r="A1973" s="221">
        <v>45993.06845158565</v>
      </c>
      <c r="B1973" s="214" t="s">
        <v>311</v>
      </c>
      <c r="C1973" s="214" t="s">
        <v>161</v>
      </c>
      <c r="D1973" s="214">
        <v>6.0</v>
      </c>
      <c r="E1973" s="214">
        <v>6.0</v>
      </c>
      <c r="F1973" s="214" t="s">
        <v>695</v>
      </c>
      <c r="G1973" s="214" t="s">
        <v>61</v>
      </c>
      <c r="H1973" s="214" t="s">
        <v>395</v>
      </c>
      <c r="I1973" s="214"/>
      <c r="J1973" s="222" t="s">
        <v>67</v>
      </c>
      <c r="K1973" s="222">
        <v>-7.5</v>
      </c>
      <c r="L1973" s="222" t="s">
        <v>67</v>
      </c>
      <c r="M1973" s="222">
        <v>51.5</v>
      </c>
      <c r="N1973" s="214">
        <v>405.0</v>
      </c>
      <c r="O1973" s="214">
        <v>355.0</v>
      </c>
      <c r="P1973" s="214">
        <v>2.0</v>
      </c>
      <c r="Q1973" s="214" t="b">
        <v>0</v>
      </c>
      <c r="R1973" s="214">
        <v>100.0</v>
      </c>
      <c r="S1973" s="214" t="s">
        <v>361</v>
      </c>
      <c r="T1973" s="214" t="s">
        <v>365</v>
      </c>
      <c r="U1973" s="214"/>
    </row>
    <row r="1974">
      <c r="A1974" s="221">
        <v>45993.06845158565</v>
      </c>
      <c r="B1974" s="214" t="s">
        <v>311</v>
      </c>
      <c r="C1974" s="214" t="s">
        <v>152</v>
      </c>
      <c r="D1974" s="214">
        <v>5.0</v>
      </c>
      <c r="E1974" s="214">
        <v>7.0</v>
      </c>
      <c r="F1974" s="214" t="s">
        <v>696</v>
      </c>
      <c r="G1974" s="214" t="s">
        <v>61</v>
      </c>
      <c r="H1974" s="214" t="s">
        <v>224</v>
      </c>
      <c r="I1974" s="214"/>
      <c r="J1974" s="222" t="s">
        <v>67</v>
      </c>
      <c r="K1974" s="222">
        <v>-10.5</v>
      </c>
      <c r="L1974" s="222" t="s">
        <v>67</v>
      </c>
      <c r="M1974" s="222">
        <v>62.5</v>
      </c>
      <c r="N1974" s="214">
        <v>369.0</v>
      </c>
      <c r="O1974" s="214">
        <v>363.0</v>
      </c>
      <c r="P1974" s="214">
        <v>2.0</v>
      </c>
      <c r="Q1974" s="214" t="b">
        <v>1</v>
      </c>
      <c r="R1974" s="214">
        <v>100.0</v>
      </c>
      <c r="S1974" s="214" t="s">
        <v>441</v>
      </c>
      <c r="T1974" s="214" t="s">
        <v>365</v>
      </c>
      <c r="U1974" s="214"/>
    </row>
    <row r="1975">
      <c r="A1975" s="221">
        <v>45993.06845158565</v>
      </c>
      <c r="B1975" s="214" t="s">
        <v>311</v>
      </c>
      <c r="C1975" s="214" t="s">
        <v>234</v>
      </c>
      <c r="D1975" s="214">
        <v>2.0</v>
      </c>
      <c r="E1975" s="214">
        <v>10.0</v>
      </c>
      <c r="F1975" s="214" t="s">
        <v>697</v>
      </c>
      <c r="G1975" s="214" t="s">
        <v>61</v>
      </c>
      <c r="H1975" s="214" t="s">
        <v>132</v>
      </c>
      <c r="I1975" s="214"/>
      <c r="J1975" s="222" t="s">
        <v>67</v>
      </c>
      <c r="K1975" s="222">
        <v>11.5</v>
      </c>
      <c r="L1975" s="222" t="s">
        <v>67</v>
      </c>
      <c r="M1975" s="222">
        <v>51.5</v>
      </c>
      <c r="N1975" s="214">
        <v>213.0</v>
      </c>
      <c r="O1975" s="214">
        <v>454.0</v>
      </c>
      <c r="P1975" s="214">
        <v>2.0</v>
      </c>
      <c r="Q1975" s="214" t="b">
        <v>0</v>
      </c>
      <c r="R1975" s="214">
        <v>100.0</v>
      </c>
      <c r="S1975" s="214" t="s">
        <v>535</v>
      </c>
      <c r="T1975" s="214" t="s">
        <v>365</v>
      </c>
      <c r="U1975" s="214"/>
    </row>
    <row r="1976">
      <c r="A1976" s="221">
        <v>45993.06845158565</v>
      </c>
      <c r="B1976" s="214" t="s">
        <v>311</v>
      </c>
      <c r="C1976" s="214" t="s">
        <v>139</v>
      </c>
      <c r="D1976" s="214">
        <v>9.0</v>
      </c>
      <c r="E1976" s="214">
        <v>3.0</v>
      </c>
      <c r="F1976" s="214" t="s">
        <v>684</v>
      </c>
      <c r="G1976" s="214" t="s">
        <v>61</v>
      </c>
      <c r="H1976" s="214" t="s">
        <v>193</v>
      </c>
      <c r="I1976" s="214"/>
      <c r="J1976" s="222" t="s">
        <v>67</v>
      </c>
      <c r="K1976" s="222">
        <v>10.5</v>
      </c>
      <c r="L1976" s="222" t="s">
        <v>67</v>
      </c>
      <c r="M1976" s="222">
        <v>43.5</v>
      </c>
      <c r="N1976" s="214">
        <v>331.0</v>
      </c>
      <c r="O1976" s="214">
        <v>224.0</v>
      </c>
      <c r="P1976" s="214">
        <v>2.0</v>
      </c>
      <c r="Q1976" s="214" t="b">
        <v>0</v>
      </c>
      <c r="R1976" s="214">
        <v>100.0</v>
      </c>
      <c r="S1976" s="214" t="s">
        <v>407</v>
      </c>
      <c r="T1976" s="214" t="s">
        <v>321</v>
      </c>
      <c r="U1976" s="214"/>
    </row>
    <row r="1977">
      <c r="A1977" s="221">
        <v>45993.06845158565</v>
      </c>
      <c r="B1977" s="214" t="s">
        <v>311</v>
      </c>
      <c r="C1977" s="214" t="s">
        <v>125</v>
      </c>
      <c r="D1977" s="214">
        <v>8.0</v>
      </c>
      <c r="E1977" s="214">
        <v>4.0</v>
      </c>
      <c r="F1977" s="214" t="s">
        <v>699</v>
      </c>
      <c r="G1977" s="214" t="s">
        <v>61</v>
      </c>
      <c r="H1977" s="214" t="s">
        <v>96</v>
      </c>
      <c r="I1977" s="214"/>
      <c r="J1977" s="222" t="s">
        <v>67</v>
      </c>
      <c r="K1977" s="222">
        <v>-13.5</v>
      </c>
      <c r="L1977" s="222" t="s">
        <v>67</v>
      </c>
      <c r="M1977" s="222">
        <v>46.5</v>
      </c>
      <c r="N1977" s="214">
        <v>329.0</v>
      </c>
      <c r="O1977" s="214">
        <v>242.0</v>
      </c>
      <c r="P1977" s="214">
        <v>2.0</v>
      </c>
      <c r="Q1977" s="214" t="b">
        <v>0</v>
      </c>
      <c r="R1977" s="214">
        <v>100.0</v>
      </c>
      <c r="S1977" s="214" t="s">
        <v>471</v>
      </c>
      <c r="T1977" s="214" t="s">
        <v>321</v>
      </c>
      <c r="U1977" s="214"/>
    </row>
    <row r="1978">
      <c r="A1978" s="221">
        <v>45993.06845158565</v>
      </c>
      <c r="B1978" s="214" t="s">
        <v>311</v>
      </c>
      <c r="C1978" s="214" t="s">
        <v>186</v>
      </c>
      <c r="D1978" s="214">
        <v>6.0</v>
      </c>
      <c r="E1978" s="214">
        <v>6.0</v>
      </c>
      <c r="F1978" s="214" t="s">
        <v>570</v>
      </c>
      <c r="G1978" s="214" t="s">
        <v>61</v>
      </c>
      <c r="H1978" s="214" t="s">
        <v>95</v>
      </c>
      <c r="I1978" s="214"/>
      <c r="J1978" s="222" t="s">
        <v>67</v>
      </c>
      <c r="K1978" s="222">
        <v>2.5</v>
      </c>
      <c r="L1978" s="222" t="s">
        <v>67</v>
      </c>
      <c r="M1978" s="222">
        <v>55.5</v>
      </c>
      <c r="N1978" s="214">
        <v>381.0</v>
      </c>
      <c r="O1978" s="214">
        <v>339.0</v>
      </c>
      <c r="P1978" s="214">
        <v>2.0</v>
      </c>
      <c r="Q1978" s="214" t="b">
        <v>0</v>
      </c>
      <c r="R1978" s="214">
        <v>100.0</v>
      </c>
      <c r="S1978" s="214" t="s">
        <v>525</v>
      </c>
      <c r="T1978" s="214" t="s">
        <v>365</v>
      </c>
      <c r="U1978" s="214"/>
    </row>
    <row r="1979">
      <c r="A1979" s="221">
        <v>45993.06845158565</v>
      </c>
      <c r="B1979" s="214" t="s">
        <v>311</v>
      </c>
      <c r="C1979" s="214" t="s">
        <v>172</v>
      </c>
      <c r="D1979" s="214">
        <v>3.0</v>
      </c>
      <c r="E1979" s="214">
        <v>9.0</v>
      </c>
      <c r="F1979" s="214" t="s">
        <v>702</v>
      </c>
      <c r="G1979" s="214" t="s">
        <v>61</v>
      </c>
      <c r="H1979" s="214" t="s">
        <v>493</v>
      </c>
      <c r="I1979" s="214"/>
      <c r="J1979" s="222" t="s">
        <v>67</v>
      </c>
      <c r="K1979" s="222">
        <v>-5.5</v>
      </c>
      <c r="L1979" s="222" t="s">
        <v>67</v>
      </c>
      <c r="M1979" s="222">
        <v>45.5</v>
      </c>
      <c r="N1979" s="214">
        <v>205.0</v>
      </c>
      <c r="O1979" s="214">
        <v>292.0</v>
      </c>
      <c r="P1979" s="214">
        <v>2.0</v>
      </c>
      <c r="Q1979" s="214" t="b">
        <v>0</v>
      </c>
      <c r="R1979" s="214">
        <v>100.0</v>
      </c>
      <c r="S1979" s="214" t="s">
        <v>530</v>
      </c>
      <c r="T1979" s="214" t="s">
        <v>365</v>
      </c>
      <c r="U1979" s="214"/>
    </row>
    <row r="1980">
      <c r="A1980" s="221">
        <v>45993.06845158565</v>
      </c>
      <c r="B1980" s="214"/>
      <c r="C1980" s="214"/>
      <c r="D1980" s="214"/>
      <c r="E1980" s="214"/>
      <c r="F1980" s="214"/>
      <c r="G1980" s="214"/>
      <c r="H1980" s="214"/>
      <c r="I1980" s="214"/>
      <c r="J1980" s="222"/>
      <c r="K1980" s="222"/>
      <c r="L1980" s="222"/>
      <c r="M1980" s="222"/>
      <c r="N1980" s="214"/>
      <c r="O1980" s="214"/>
      <c r="P1980" s="214"/>
      <c r="Q1980" s="214"/>
      <c r="R1980" s="214"/>
      <c r="S1980" s="214"/>
      <c r="T1980" s="214"/>
      <c r="U1980" s="214"/>
    </row>
    <row r="1981">
      <c r="A1981" s="221">
        <v>45993.06845158565</v>
      </c>
      <c r="B1981" s="214" t="s">
        <v>224</v>
      </c>
      <c r="C1981" s="214" t="s">
        <v>185</v>
      </c>
      <c r="D1981" s="214">
        <v>10.0</v>
      </c>
      <c r="E1981" s="214">
        <v>2.0</v>
      </c>
      <c r="F1981" s="214" t="s">
        <v>705</v>
      </c>
      <c r="G1981" s="214" t="s">
        <v>61</v>
      </c>
      <c r="H1981" s="214" t="s">
        <v>156</v>
      </c>
      <c r="I1981" s="214"/>
      <c r="J1981" s="222" t="s">
        <v>67</v>
      </c>
      <c r="K1981" s="222">
        <v>-7.5</v>
      </c>
      <c r="L1981" s="222" t="s">
        <v>67</v>
      </c>
      <c r="M1981" s="222">
        <v>53.5</v>
      </c>
      <c r="N1981" s="214">
        <v>446.0</v>
      </c>
      <c r="O1981" s="214">
        <v>337.0</v>
      </c>
      <c r="P1981" s="214">
        <v>2.0</v>
      </c>
      <c r="Q1981" s="214" t="b">
        <v>1</v>
      </c>
      <c r="R1981" s="214">
        <v>100.0</v>
      </c>
      <c r="S1981" s="214" t="s">
        <v>525</v>
      </c>
      <c r="T1981" s="214" t="s">
        <v>365</v>
      </c>
      <c r="U1981" s="214"/>
    </row>
    <row r="1982">
      <c r="A1982" s="221">
        <v>45993.06845158565</v>
      </c>
      <c r="B1982" s="214" t="s">
        <v>224</v>
      </c>
      <c r="C1982" s="214" t="s">
        <v>140</v>
      </c>
      <c r="D1982" s="214">
        <v>4.0</v>
      </c>
      <c r="E1982" s="214">
        <v>8.0</v>
      </c>
      <c r="F1982" s="214" t="s">
        <v>707</v>
      </c>
      <c r="G1982" s="214" t="s">
        <v>61</v>
      </c>
      <c r="H1982" s="214" t="s">
        <v>493</v>
      </c>
      <c r="I1982" s="214"/>
      <c r="J1982" s="222" t="s">
        <v>67</v>
      </c>
      <c r="K1982" s="222">
        <v>-3.5</v>
      </c>
      <c r="L1982" s="222" t="s">
        <v>67</v>
      </c>
      <c r="M1982" s="222">
        <v>48.5</v>
      </c>
      <c r="N1982" s="214">
        <v>295.0</v>
      </c>
      <c r="O1982" s="214">
        <v>359.0</v>
      </c>
      <c r="P1982" s="214">
        <v>2.0</v>
      </c>
      <c r="Q1982" s="214" t="b">
        <v>1</v>
      </c>
      <c r="R1982" s="214">
        <v>100.0</v>
      </c>
      <c r="S1982" s="214" t="s">
        <v>407</v>
      </c>
      <c r="T1982" s="214" t="s">
        <v>321</v>
      </c>
      <c r="U1982" s="214"/>
    </row>
    <row r="1983">
      <c r="A1983" s="221">
        <v>45993.06845158565</v>
      </c>
      <c r="B1983" s="214" t="s">
        <v>224</v>
      </c>
      <c r="C1983" s="214" t="s">
        <v>203</v>
      </c>
      <c r="D1983" s="214">
        <v>4.0</v>
      </c>
      <c r="E1983" s="214">
        <v>8.0</v>
      </c>
      <c r="F1983" s="214" t="s">
        <v>709</v>
      </c>
      <c r="G1983" s="214" t="s">
        <v>61</v>
      </c>
      <c r="H1983" s="214" t="s">
        <v>224</v>
      </c>
      <c r="I1983" s="214"/>
      <c r="J1983" s="222" t="s">
        <v>67</v>
      </c>
      <c r="K1983" s="222">
        <v>-1.5</v>
      </c>
      <c r="L1983" s="222" t="s">
        <v>67</v>
      </c>
      <c r="M1983" s="222">
        <v>49.5</v>
      </c>
      <c r="N1983" s="214">
        <v>259.0</v>
      </c>
      <c r="O1983" s="214">
        <v>288.0</v>
      </c>
      <c r="P1983" s="214">
        <v>2.0</v>
      </c>
      <c r="Q1983" s="214" t="b">
        <v>0</v>
      </c>
      <c r="R1983" s="214">
        <v>100.0</v>
      </c>
      <c r="S1983" s="214" t="s">
        <v>556</v>
      </c>
      <c r="T1983" s="214" t="s">
        <v>321</v>
      </c>
      <c r="U1983" s="214"/>
    </row>
    <row r="1984">
      <c r="A1984" s="221">
        <v>45993.06845158565</v>
      </c>
      <c r="B1984" s="214" t="s">
        <v>224</v>
      </c>
      <c r="C1984" s="214" t="s">
        <v>113</v>
      </c>
      <c r="D1984" s="214">
        <v>5.0</v>
      </c>
      <c r="E1984" s="214">
        <v>7.0</v>
      </c>
      <c r="F1984" s="214" t="s">
        <v>709</v>
      </c>
      <c r="G1984" s="214" t="s">
        <v>61</v>
      </c>
      <c r="H1984" s="214" t="s">
        <v>224</v>
      </c>
      <c r="I1984" s="214"/>
      <c r="J1984" s="222" t="s">
        <v>67</v>
      </c>
      <c r="K1984" s="222">
        <v>1.5</v>
      </c>
      <c r="L1984" s="222" t="s">
        <v>67</v>
      </c>
      <c r="M1984" s="222">
        <v>49.5</v>
      </c>
      <c r="N1984" s="214">
        <v>396.0</v>
      </c>
      <c r="O1984" s="214">
        <v>264.0</v>
      </c>
      <c r="P1984" s="214">
        <v>2.0</v>
      </c>
      <c r="Q1984" s="214" t="b">
        <v>1</v>
      </c>
      <c r="R1984" s="214">
        <v>100.0</v>
      </c>
      <c r="S1984" s="214" t="s">
        <v>317</v>
      </c>
      <c r="T1984" s="214" t="s">
        <v>321</v>
      </c>
      <c r="U1984" s="214"/>
    </row>
    <row r="1985">
      <c r="A1985" s="221">
        <v>45993.06845158565</v>
      </c>
      <c r="B1985" s="214" t="s">
        <v>224</v>
      </c>
      <c r="C1985" s="214" t="s">
        <v>216</v>
      </c>
      <c r="D1985" s="214">
        <v>6.0</v>
      </c>
      <c r="E1985" s="214">
        <v>6.0</v>
      </c>
      <c r="F1985" s="214" t="s">
        <v>696</v>
      </c>
      <c r="G1985" s="214" t="s">
        <v>61</v>
      </c>
      <c r="H1985" s="214" t="s">
        <v>311</v>
      </c>
      <c r="I1985" s="214"/>
      <c r="J1985" s="222" t="s">
        <v>67</v>
      </c>
      <c r="K1985" s="222">
        <v>10.5</v>
      </c>
      <c r="L1985" s="222" t="s">
        <v>67</v>
      </c>
      <c r="M1985" s="222">
        <v>62.5</v>
      </c>
      <c r="N1985" s="214">
        <v>334.0</v>
      </c>
      <c r="O1985" s="214">
        <v>410.0</v>
      </c>
      <c r="P1985" s="214">
        <v>2.0</v>
      </c>
      <c r="Q1985" s="214" t="b">
        <v>0</v>
      </c>
      <c r="R1985" s="214">
        <v>100.0</v>
      </c>
      <c r="S1985" s="214" t="s">
        <v>441</v>
      </c>
      <c r="T1985" s="214" t="s">
        <v>365</v>
      </c>
      <c r="U1985" s="214"/>
    </row>
    <row r="1986">
      <c r="A1986" s="221">
        <v>45993.06845158565</v>
      </c>
      <c r="B1986" s="214" t="s">
        <v>224</v>
      </c>
      <c r="C1986" s="214" t="s">
        <v>235</v>
      </c>
      <c r="D1986" s="214">
        <v>6.0</v>
      </c>
      <c r="E1986" s="214">
        <v>6.0</v>
      </c>
      <c r="F1986" s="214" t="s">
        <v>713</v>
      </c>
      <c r="G1986" s="214" t="s">
        <v>61</v>
      </c>
      <c r="H1986" s="214" t="s">
        <v>238</v>
      </c>
      <c r="I1986" s="214"/>
      <c r="J1986" s="222"/>
      <c r="K1986" s="222"/>
      <c r="L1986" s="222"/>
      <c r="M1986" s="222"/>
      <c r="N1986" s="214">
        <v>357.0</v>
      </c>
      <c r="O1986" s="214">
        <v>390.0</v>
      </c>
      <c r="P1986" s="214">
        <v>2.0</v>
      </c>
      <c r="Q1986" s="214" t="b">
        <v>1</v>
      </c>
      <c r="R1986" s="214">
        <v>100.0</v>
      </c>
      <c r="S1986" s="214" t="s">
        <v>535</v>
      </c>
      <c r="T1986" s="214" t="s">
        <v>365</v>
      </c>
      <c r="U1986" s="214"/>
    </row>
    <row r="1987">
      <c r="A1987" s="221">
        <v>45993.06845158565</v>
      </c>
      <c r="B1987" s="214" t="s">
        <v>224</v>
      </c>
      <c r="C1987" s="214" t="s">
        <v>226</v>
      </c>
      <c r="D1987" s="214">
        <v>11.0</v>
      </c>
      <c r="E1987" s="214">
        <v>1.0</v>
      </c>
      <c r="F1987" s="214" t="s">
        <v>714</v>
      </c>
      <c r="G1987" s="214" t="s">
        <v>61</v>
      </c>
      <c r="H1987" s="214" t="s">
        <v>156</v>
      </c>
      <c r="I1987" s="214"/>
      <c r="J1987" s="222" t="s">
        <v>67</v>
      </c>
      <c r="K1987" s="222">
        <v>-17.5</v>
      </c>
      <c r="L1987" s="222" t="s">
        <v>67</v>
      </c>
      <c r="M1987" s="222">
        <v>47.5</v>
      </c>
      <c r="N1987" s="214">
        <v>408.0</v>
      </c>
      <c r="O1987" s="214">
        <v>213.0</v>
      </c>
      <c r="P1987" s="214">
        <v>2.0</v>
      </c>
      <c r="Q1987" s="214" t="b">
        <v>0</v>
      </c>
      <c r="R1987" s="214">
        <v>100.0</v>
      </c>
      <c r="S1987" s="214" t="s">
        <v>471</v>
      </c>
      <c r="T1987" s="214" t="s">
        <v>321</v>
      </c>
      <c r="U1987" s="214"/>
    </row>
    <row r="1988">
      <c r="A1988" s="221">
        <v>45993.06845158565</v>
      </c>
      <c r="B1988" s="214" t="s">
        <v>224</v>
      </c>
      <c r="C1988" s="214" t="s">
        <v>191</v>
      </c>
      <c r="D1988" s="214">
        <v>3.0</v>
      </c>
      <c r="E1988" s="214">
        <v>9.0</v>
      </c>
      <c r="F1988" s="214" t="s">
        <v>650</v>
      </c>
      <c r="G1988" s="214" t="s">
        <v>61</v>
      </c>
      <c r="H1988" s="214" t="s">
        <v>62</v>
      </c>
      <c r="I1988" s="214"/>
      <c r="J1988" s="222" t="s">
        <v>67</v>
      </c>
      <c r="K1988" s="222">
        <v>16.5</v>
      </c>
      <c r="L1988" s="222" t="s">
        <v>67</v>
      </c>
      <c r="M1988" s="222">
        <v>50.5</v>
      </c>
      <c r="N1988" s="214">
        <v>251.0</v>
      </c>
      <c r="O1988" s="214">
        <v>366.0</v>
      </c>
      <c r="P1988" s="214">
        <v>2.0</v>
      </c>
      <c r="Q1988" s="214" t="b">
        <v>1</v>
      </c>
      <c r="R1988" s="214">
        <v>100.0</v>
      </c>
      <c r="S1988" s="214" t="s">
        <v>471</v>
      </c>
      <c r="T1988" s="214" t="s">
        <v>321</v>
      </c>
      <c r="U1988" s="214"/>
    </row>
    <row r="1989">
      <c r="A1989" s="221">
        <v>45993.06845158565</v>
      </c>
      <c r="B1989" s="214" t="s">
        <v>224</v>
      </c>
      <c r="C1989" s="214" t="s">
        <v>103</v>
      </c>
      <c r="D1989" s="214">
        <v>9.0</v>
      </c>
      <c r="E1989" s="214">
        <v>2.0</v>
      </c>
      <c r="F1989" s="214" t="s">
        <v>717</v>
      </c>
      <c r="G1989" s="214" t="s">
        <v>61</v>
      </c>
      <c r="H1989" s="214" t="s">
        <v>238</v>
      </c>
      <c r="I1989" s="214"/>
      <c r="J1989" s="222" t="s">
        <v>67</v>
      </c>
      <c r="K1989" s="222">
        <v>3.5</v>
      </c>
      <c r="L1989" s="222" t="s">
        <v>67</v>
      </c>
      <c r="M1989" s="222">
        <v>57.5</v>
      </c>
      <c r="N1989" s="214">
        <v>357.0</v>
      </c>
      <c r="O1989" s="214">
        <v>296.0</v>
      </c>
      <c r="P1989" s="214">
        <v>2.0</v>
      </c>
      <c r="Q1989" s="214" t="b">
        <v>1</v>
      </c>
      <c r="R1989" s="214">
        <v>100.0</v>
      </c>
      <c r="S1989" s="214" t="s">
        <v>361</v>
      </c>
      <c r="T1989" s="214" t="s">
        <v>365</v>
      </c>
      <c r="U1989" s="214"/>
    </row>
    <row r="1990">
      <c r="A1990" s="221">
        <v>45993.06845158565</v>
      </c>
      <c r="B1990" s="214" t="s">
        <v>224</v>
      </c>
      <c r="C1990" s="214" t="s">
        <v>166</v>
      </c>
      <c r="D1990" s="214">
        <v>4.0</v>
      </c>
      <c r="E1990" s="214">
        <v>8.0</v>
      </c>
      <c r="F1990" s="214" t="s">
        <v>528</v>
      </c>
      <c r="G1990" s="214" t="s">
        <v>61</v>
      </c>
      <c r="H1990" s="214" t="s">
        <v>43</v>
      </c>
      <c r="I1990" s="214"/>
      <c r="J1990" s="222" t="s">
        <v>67</v>
      </c>
      <c r="K1990" s="222">
        <v>-14.5</v>
      </c>
      <c r="L1990" s="222" t="s">
        <v>67</v>
      </c>
      <c r="M1990" s="222">
        <v>44.5</v>
      </c>
      <c r="N1990" s="214">
        <v>246.0</v>
      </c>
      <c r="O1990" s="214">
        <v>291.0</v>
      </c>
      <c r="P1990" s="214">
        <v>2.0</v>
      </c>
      <c r="Q1990" s="214" t="b">
        <v>1</v>
      </c>
      <c r="R1990" s="214">
        <v>100.0</v>
      </c>
      <c r="S1990" s="214" t="s">
        <v>530</v>
      </c>
      <c r="T1990" s="214" t="s">
        <v>365</v>
      </c>
      <c r="U1990" s="214"/>
    </row>
    <row r="1991">
      <c r="A1991" s="221">
        <v>45993.06845158565</v>
      </c>
      <c r="B1991" s="214"/>
      <c r="C1991" s="214"/>
      <c r="D1991" s="214"/>
      <c r="E1991" s="214"/>
      <c r="F1991" s="214"/>
      <c r="G1991" s="214"/>
      <c r="H1991" s="214"/>
      <c r="I1991" s="214"/>
      <c r="J1991" s="222"/>
      <c r="K1991" s="222"/>
      <c r="L1991" s="222"/>
      <c r="M1991" s="222"/>
      <c r="N1991" s="214"/>
      <c r="O1991" s="214"/>
      <c r="P1991" s="214"/>
      <c r="Q1991" s="214"/>
      <c r="R1991" s="214"/>
      <c r="S1991" s="214"/>
      <c r="T1991" s="214"/>
      <c r="U1991" s="214"/>
    </row>
    <row r="1992">
      <c r="A1992" s="221">
        <v>45993.06845158565</v>
      </c>
      <c r="B1992" s="214" t="s">
        <v>96</v>
      </c>
      <c r="C1992" s="214" t="s">
        <v>536</v>
      </c>
      <c r="D1992" s="214">
        <v>8.0</v>
      </c>
      <c r="E1992" s="214">
        <v>4.0</v>
      </c>
      <c r="F1992" s="214" t="s">
        <v>721</v>
      </c>
      <c r="G1992" s="214" t="s">
        <v>61</v>
      </c>
      <c r="H1992" s="214" t="s">
        <v>132</v>
      </c>
      <c r="I1992" s="214"/>
      <c r="J1992" s="222" t="s">
        <v>67</v>
      </c>
      <c r="K1992" s="222">
        <v>-7.5</v>
      </c>
      <c r="L1992" s="222" t="s">
        <v>67</v>
      </c>
      <c r="M1992" s="222">
        <v>44.5</v>
      </c>
      <c r="N1992" s="214">
        <v>342.0</v>
      </c>
      <c r="O1992" s="214">
        <v>282.0</v>
      </c>
      <c r="P1992" s="214">
        <v>2.0</v>
      </c>
      <c r="Q1992" s="214" t="b">
        <v>1</v>
      </c>
      <c r="R1992" s="214">
        <v>100.0</v>
      </c>
      <c r="S1992" s="214" t="s">
        <v>525</v>
      </c>
      <c r="T1992" s="214" t="s">
        <v>365</v>
      </c>
      <c r="U1992" s="214"/>
    </row>
    <row r="1993">
      <c r="A1993" s="221">
        <v>45993.06845158565</v>
      </c>
      <c r="B1993" s="214" t="s">
        <v>96</v>
      </c>
      <c r="C1993" s="214" t="s">
        <v>229</v>
      </c>
      <c r="D1993" s="214">
        <v>10.0</v>
      </c>
      <c r="E1993" s="214">
        <v>2.0</v>
      </c>
      <c r="F1993" s="214" t="s">
        <v>723</v>
      </c>
      <c r="G1993" s="214" t="s">
        <v>61</v>
      </c>
      <c r="H1993" s="214" t="s">
        <v>493</v>
      </c>
      <c r="I1993" s="214"/>
      <c r="J1993" s="222" t="s">
        <v>67</v>
      </c>
      <c r="K1993" s="222">
        <v>-31.5</v>
      </c>
      <c r="L1993" s="222" t="s">
        <v>67</v>
      </c>
      <c r="M1993" s="222">
        <v>49.5</v>
      </c>
      <c r="N1993" s="214">
        <v>504.0</v>
      </c>
      <c r="O1993" s="214">
        <v>211.0</v>
      </c>
      <c r="P1993" s="214">
        <v>2.0</v>
      </c>
      <c r="Q1993" s="214" t="b">
        <v>0</v>
      </c>
      <c r="R1993" s="214">
        <v>100.0</v>
      </c>
      <c r="S1993" s="214" t="s">
        <v>725</v>
      </c>
      <c r="T1993" s="214"/>
      <c r="U1993" s="214"/>
    </row>
    <row r="1994">
      <c r="A1994" s="221">
        <v>45993.06845158565</v>
      </c>
      <c r="B1994" s="214" t="s">
        <v>96</v>
      </c>
      <c r="C1994" s="214" t="s">
        <v>121</v>
      </c>
      <c r="D1994" s="214">
        <v>10.0</v>
      </c>
      <c r="E1994" s="214">
        <v>2.0</v>
      </c>
      <c r="F1994" s="214" t="s">
        <v>693</v>
      </c>
      <c r="G1994" s="214" t="s">
        <v>61</v>
      </c>
      <c r="H1994" s="214" t="s">
        <v>311</v>
      </c>
      <c r="I1994" s="214"/>
      <c r="J1994" s="222" t="s">
        <v>67</v>
      </c>
      <c r="K1994" s="222">
        <v>-8.5</v>
      </c>
      <c r="L1994" s="222" t="s">
        <v>67</v>
      </c>
      <c r="M1994" s="222">
        <v>52.5</v>
      </c>
      <c r="N1994" s="214">
        <v>398.0</v>
      </c>
      <c r="O1994" s="214">
        <v>240.0</v>
      </c>
      <c r="P1994" s="214">
        <v>2.0</v>
      </c>
      <c r="Q1994" s="214" t="b">
        <v>1</v>
      </c>
      <c r="R1994" s="214">
        <v>100.0</v>
      </c>
      <c r="S1994" s="214" t="s">
        <v>317</v>
      </c>
      <c r="T1994" s="214" t="s">
        <v>321</v>
      </c>
      <c r="U1994" s="214"/>
    </row>
    <row r="1995">
      <c r="A1995" s="221">
        <v>45993.06845158565</v>
      </c>
      <c r="B1995" s="214" t="s">
        <v>96</v>
      </c>
      <c r="C1995" s="214" t="s">
        <v>105</v>
      </c>
      <c r="D1995" s="214">
        <v>9.0</v>
      </c>
      <c r="E1995" s="214">
        <v>3.0</v>
      </c>
      <c r="F1995" s="214" t="s">
        <v>337</v>
      </c>
      <c r="G1995" s="214" t="s">
        <v>61</v>
      </c>
      <c r="H1995" s="214" t="s">
        <v>43</v>
      </c>
      <c r="I1995" s="214"/>
      <c r="J1995" s="222" t="s">
        <v>67</v>
      </c>
      <c r="K1995" s="222">
        <v>-28.5</v>
      </c>
      <c r="L1995" s="222" t="s">
        <v>67</v>
      </c>
      <c r="M1995" s="222">
        <v>59.5</v>
      </c>
      <c r="N1995" s="214">
        <v>516.0</v>
      </c>
      <c r="O1995" s="214">
        <v>280.0</v>
      </c>
      <c r="P1995" s="214">
        <v>2.0</v>
      </c>
      <c r="Q1995" s="214" t="b">
        <v>1</v>
      </c>
      <c r="R1995" s="214">
        <v>100.0</v>
      </c>
      <c r="S1995" s="214" t="s">
        <v>361</v>
      </c>
      <c r="T1995" s="214" t="s">
        <v>365</v>
      </c>
      <c r="U1995" s="214"/>
    </row>
    <row r="1996">
      <c r="A1996" s="221">
        <v>45993.06845158565</v>
      </c>
      <c r="B1996" s="214" t="s">
        <v>96</v>
      </c>
      <c r="C1996" s="214" t="s">
        <v>222</v>
      </c>
      <c r="D1996" s="214">
        <v>8.0</v>
      </c>
      <c r="E1996" s="214">
        <v>4.0</v>
      </c>
      <c r="F1996" s="214" t="s">
        <v>727</v>
      </c>
      <c r="G1996" s="214" t="s">
        <v>61</v>
      </c>
      <c r="H1996" s="214" t="s">
        <v>493</v>
      </c>
      <c r="I1996" s="214"/>
      <c r="J1996" s="222" t="s">
        <v>67</v>
      </c>
      <c r="K1996" s="222">
        <v>6.5</v>
      </c>
      <c r="L1996" s="222" t="s">
        <v>67</v>
      </c>
      <c r="M1996" s="222">
        <v>50.5</v>
      </c>
      <c r="N1996" s="214">
        <v>302.0</v>
      </c>
      <c r="O1996" s="214">
        <v>287.0</v>
      </c>
      <c r="P1996" s="214">
        <v>2.0</v>
      </c>
      <c r="Q1996" s="214" t="b">
        <v>0</v>
      </c>
      <c r="R1996" s="214">
        <v>100.0</v>
      </c>
      <c r="S1996" s="214" t="s">
        <v>441</v>
      </c>
      <c r="T1996" s="214" t="s">
        <v>365</v>
      </c>
      <c r="U1996" s="214"/>
    </row>
    <row r="1997">
      <c r="A1997" s="221">
        <v>45993.06845158565</v>
      </c>
      <c r="B1997" s="214" t="s">
        <v>96</v>
      </c>
      <c r="C1997" s="214" t="s">
        <v>129</v>
      </c>
      <c r="D1997" s="214">
        <v>1.0</v>
      </c>
      <c r="E1997" s="214">
        <v>11.0</v>
      </c>
      <c r="F1997" s="214" t="s">
        <v>699</v>
      </c>
      <c r="G1997" s="214" t="s">
        <v>61</v>
      </c>
      <c r="H1997" s="214" t="s">
        <v>311</v>
      </c>
      <c r="I1997" s="214"/>
      <c r="J1997" s="222" t="s">
        <v>67</v>
      </c>
      <c r="K1997" s="222">
        <v>13.5</v>
      </c>
      <c r="L1997" s="222" t="s">
        <v>67</v>
      </c>
      <c r="M1997" s="222">
        <v>46.5</v>
      </c>
      <c r="N1997" s="214">
        <v>170.0</v>
      </c>
      <c r="O1997" s="214">
        <v>400.0</v>
      </c>
      <c r="P1997" s="214">
        <v>2.0</v>
      </c>
      <c r="Q1997" s="214" t="b">
        <v>1</v>
      </c>
      <c r="R1997" s="214">
        <v>100.0</v>
      </c>
      <c r="S1997" s="214" t="s">
        <v>471</v>
      </c>
      <c r="T1997" s="214" t="s">
        <v>321</v>
      </c>
      <c r="U1997" s="214"/>
    </row>
    <row r="1998">
      <c r="A1998" s="221">
        <v>45993.06845158565</v>
      </c>
      <c r="B1998" s="214" t="s">
        <v>96</v>
      </c>
      <c r="C1998" s="214" t="s">
        <v>204</v>
      </c>
      <c r="D1998" s="214">
        <v>11.0</v>
      </c>
      <c r="E1998" s="214">
        <v>1.0</v>
      </c>
      <c r="F1998" s="214" t="s">
        <v>730</v>
      </c>
      <c r="G1998" s="214" t="s">
        <v>61</v>
      </c>
      <c r="H1998" s="214" t="s">
        <v>395</v>
      </c>
      <c r="I1998" s="214"/>
      <c r="J1998" s="222" t="s">
        <v>67</v>
      </c>
      <c r="K1998" s="222">
        <v>-14.0</v>
      </c>
      <c r="L1998" s="222" t="s">
        <v>67</v>
      </c>
      <c r="M1998" s="222">
        <v>59.5</v>
      </c>
      <c r="N1998" s="214">
        <v>387.0</v>
      </c>
      <c r="O1998" s="214">
        <v>200.0</v>
      </c>
      <c r="P1998" s="214">
        <v>2.0</v>
      </c>
      <c r="Q1998" s="214" t="b">
        <v>0</v>
      </c>
      <c r="R1998" s="214">
        <v>100.0</v>
      </c>
      <c r="S1998" s="214" t="s">
        <v>556</v>
      </c>
      <c r="T1998" s="214" t="s">
        <v>321</v>
      </c>
      <c r="U1998" s="214"/>
    </row>
    <row r="1999">
      <c r="A1999" s="221">
        <v>45993.06845158565</v>
      </c>
      <c r="B1999" s="214" t="s">
        <v>96</v>
      </c>
      <c r="C1999" s="214" t="s">
        <v>173</v>
      </c>
      <c r="D1999" s="214">
        <v>8.0</v>
      </c>
      <c r="E1999" s="214">
        <v>4.0</v>
      </c>
      <c r="F1999" s="214" t="s">
        <v>731</v>
      </c>
      <c r="G1999" s="214" t="s">
        <v>61</v>
      </c>
      <c r="H1999" s="214" t="s">
        <v>249</v>
      </c>
      <c r="I1999" s="214"/>
      <c r="J1999" s="222" t="s">
        <v>67</v>
      </c>
      <c r="K1999" s="222">
        <v>-7.0</v>
      </c>
      <c r="L1999" s="222" t="s">
        <v>67</v>
      </c>
      <c r="M1999" s="222">
        <v>45.5</v>
      </c>
      <c r="N1999" s="214">
        <v>344.0</v>
      </c>
      <c r="O1999" s="214">
        <v>275.0</v>
      </c>
      <c r="P1999" s="214">
        <v>2.0</v>
      </c>
      <c r="Q1999" s="214" t="b">
        <v>1</v>
      </c>
      <c r="R1999" s="214">
        <v>100.0</v>
      </c>
      <c r="S1999" s="214" t="s">
        <v>530</v>
      </c>
      <c r="T1999" s="214" t="s">
        <v>365</v>
      </c>
      <c r="U1999" s="214"/>
    </row>
    <row r="2000">
      <c r="A2000" s="221">
        <v>45993.06845158565</v>
      </c>
      <c r="B2000" s="214" t="s">
        <v>96</v>
      </c>
      <c r="C2000" s="214" t="s">
        <v>142</v>
      </c>
      <c r="D2000" s="214">
        <v>7.0</v>
      </c>
      <c r="E2000" s="214">
        <v>5.0</v>
      </c>
      <c r="F2000" s="214" t="s">
        <v>732</v>
      </c>
      <c r="G2000" s="214" t="s">
        <v>61</v>
      </c>
      <c r="H2000" s="214" t="s">
        <v>249</v>
      </c>
      <c r="I2000" s="214"/>
      <c r="J2000" s="222" t="s">
        <v>67</v>
      </c>
      <c r="K2000" s="222">
        <v>6.5</v>
      </c>
      <c r="L2000" s="222" t="s">
        <v>67</v>
      </c>
      <c r="M2000" s="222">
        <v>39.5</v>
      </c>
      <c r="N2000" s="214">
        <v>351.0</v>
      </c>
      <c r="O2000" s="214">
        <v>276.0</v>
      </c>
      <c r="P2000" s="214">
        <v>2.0</v>
      </c>
      <c r="Q2000" s="214" t="b">
        <v>1</v>
      </c>
      <c r="R2000" s="214">
        <v>100.0</v>
      </c>
      <c r="S2000" s="214" t="s">
        <v>407</v>
      </c>
      <c r="T2000" s="214" t="s">
        <v>321</v>
      </c>
      <c r="U2000" s="214"/>
    </row>
    <row r="2001">
      <c r="A2001" s="221">
        <v>45993.06845158565</v>
      </c>
      <c r="B2001" s="214" t="s">
        <v>96</v>
      </c>
      <c r="C2001" s="214" t="s">
        <v>153</v>
      </c>
      <c r="D2001" s="214">
        <v>3.0</v>
      </c>
      <c r="E2001" s="214">
        <v>9.0</v>
      </c>
      <c r="F2001" s="214" t="s">
        <v>531</v>
      </c>
      <c r="G2001" s="214" t="s">
        <v>532</v>
      </c>
      <c r="H2001" s="214" t="s">
        <v>43</v>
      </c>
      <c r="I2001" s="214"/>
      <c r="J2001" s="222" t="s">
        <v>67</v>
      </c>
      <c r="K2001" s="222">
        <v>3.5</v>
      </c>
      <c r="L2001" s="222" t="s">
        <v>67</v>
      </c>
      <c r="M2001" s="222">
        <v>52.5</v>
      </c>
      <c r="N2001" s="214">
        <v>269.0</v>
      </c>
      <c r="O2001" s="214">
        <v>371.0</v>
      </c>
      <c r="P2001" s="214">
        <v>2.0</v>
      </c>
      <c r="Q2001" s="214" t="b">
        <v>1</v>
      </c>
      <c r="R2001" s="214">
        <v>100.0</v>
      </c>
      <c r="S2001" s="214" t="s">
        <v>535</v>
      </c>
      <c r="T2001" s="214" t="s">
        <v>365</v>
      </c>
      <c r="U2001" s="214"/>
    </row>
    <row r="2002">
      <c r="A2002" s="221">
        <v>45993.06845158565</v>
      </c>
      <c r="B2002" s="214"/>
      <c r="C2002" s="214"/>
      <c r="D2002" s="214"/>
      <c r="E2002" s="214"/>
      <c r="F2002" s="214"/>
      <c r="G2002" s="214"/>
      <c r="H2002" s="214"/>
      <c r="I2002" s="214"/>
      <c r="J2002" s="222"/>
      <c r="K2002" s="222"/>
      <c r="L2002" s="222"/>
      <c r="M2002" s="222"/>
      <c r="N2002" s="214"/>
      <c r="O2002" s="214"/>
      <c r="P2002" s="214"/>
      <c r="Q2002" s="214"/>
      <c r="R2002" s="214"/>
      <c r="S2002" s="214"/>
      <c r="T2002" s="214"/>
      <c r="U2002" s="214"/>
    </row>
    <row r="2003">
      <c r="A2003" s="221">
        <v>45993.06845158565</v>
      </c>
      <c r="B2003" s="214" t="s">
        <v>238</v>
      </c>
      <c r="C2003" s="214" t="s">
        <v>549</v>
      </c>
      <c r="D2003" s="214">
        <v>3.0</v>
      </c>
      <c r="E2003" s="214">
        <v>9.0</v>
      </c>
      <c r="F2003" s="214" t="s">
        <v>735</v>
      </c>
      <c r="G2003" s="214" t="s">
        <v>61</v>
      </c>
      <c r="H2003" s="214" t="s">
        <v>395</v>
      </c>
      <c r="I2003" s="214"/>
      <c r="J2003" s="222" t="s">
        <v>67</v>
      </c>
      <c r="K2003" s="222">
        <v>3.5</v>
      </c>
      <c r="L2003" s="222" t="s">
        <v>67</v>
      </c>
      <c r="M2003" s="222">
        <v>45.5</v>
      </c>
      <c r="N2003" s="214">
        <v>257.0</v>
      </c>
      <c r="O2003" s="214">
        <v>390.0</v>
      </c>
      <c r="P2003" s="214">
        <v>2.0</v>
      </c>
      <c r="Q2003" s="214" t="b">
        <v>0</v>
      </c>
      <c r="R2003" s="214">
        <v>100.0</v>
      </c>
      <c r="S2003" s="214" t="s">
        <v>525</v>
      </c>
      <c r="T2003" s="214" t="s">
        <v>365</v>
      </c>
      <c r="U2003" s="214"/>
    </row>
    <row r="2004">
      <c r="A2004" s="221">
        <v>45993.06845158565</v>
      </c>
      <c r="B2004" s="214" t="s">
        <v>238</v>
      </c>
      <c r="C2004" s="214" t="s">
        <v>98</v>
      </c>
      <c r="D2004" s="214">
        <v>7.0</v>
      </c>
      <c r="E2004" s="214">
        <v>5.0</v>
      </c>
      <c r="F2004" s="214" t="s">
        <v>551</v>
      </c>
      <c r="G2004" s="214" t="s">
        <v>61</v>
      </c>
      <c r="H2004" s="214" t="s">
        <v>95</v>
      </c>
      <c r="I2004" s="214"/>
      <c r="J2004" s="222" t="s">
        <v>67</v>
      </c>
      <c r="K2004" s="222">
        <v>3.5</v>
      </c>
      <c r="L2004" s="222" t="s">
        <v>67</v>
      </c>
      <c r="M2004" s="222">
        <v>57.5</v>
      </c>
      <c r="N2004" s="214">
        <v>381.0</v>
      </c>
      <c r="O2004" s="214">
        <v>298.0</v>
      </c>
      <c r="P2004" s="214">
        <v>2.0</v>
      </c>
      <c r="Q2004" s="214" t="b">
        <v>0</v>
      </c>
      <c r="R2004" s="214">
        <v>100.0</v>
      </c>
      <c r="S2004" s="214" t="s">
        <v>471</v>
      </c>
      <c r="T2004" s="214" t="s">
        <v>321</v>
      </c>
      <c r="U2004" s="214"/>
    </row>
    <row r="2005">
      <c r="A2005" s="221">
        <v>45993.06845158565</v>
      </c>
      <c r="B2005" s="214" t="s">
        <v>238</v>
      </c>
      <c r="C2005" s="214" t="s">
        <v>148</v>
      </c>
      <c r="D2005" s="214">
        <v>4.0</v>
      </c>
      <c r="E2005" s="214">
        <v>8.0</v>
      </c>
      <c r="F2005" s="214" t="s">
        <v>738</v>
      </c>
      <c r="G2005" s="214" t="s">
        <v>61</v>
      </c>
      <c r="H2005" s="214" t="s">
        <v>238</v>
      </c>
      <c r="I2005" s="214"/>
      <c r="J2005" s="222" t="s">
        <v>67</v>
      </c>
      <c r="K2005" s="222">
        <v>-1.5</v>
      </c>
      <c r="L2005" s="222" t="s">
        <v>67</v>
      </c>
      <c r="M2005" s="222">
        <v>37.5</v>
      </c>
      <c r="N2005" s="214">
        <v>154.0</v>
      </c>
      <c r="O2005" s="214">
        <v>259.0</v>
      </c>
      <c r="P2005" s="214">
        <v>2.0</v>
      </c>
      <c r="Q2005" s="214" t="b">
        <v>0</v>
      </c>
      <c r="R2005" s="214">
        <v>100.0</v>
      </c>
      <c r="S2005" s="214" t="s">
        <v>407</v>
      </c>
      <c r="T2005" s="214" t="s">
        <v>321</v>
      </c>
      <c r="U2005" s="214"/>
    </row>
    <row r="2006">
      <c r="A2006" s="221">
        <v>45993.06845158565</v>
      </c>
      <c r="B2006" s="214" t="s">
        <v>238</v>
      </c>
      <c r="C2006" s="214" t="s">
        <v>141</v>
      </c>
      <c r="D2006" s="214">
        <v>7.0</v>
      </c>
      <c r="E2006" s="214">
        <v>5.0</v>
      </c>
      <c r="F2006" s="214" t="s">
        <v>738</v>
      </c>
      <c r="G2006" s="214" t="s">
        <v>61</v>
      </c>
      <c r="H2006" s="214" t="s">
        <v>238</v>
      </c>
      <c r="I2006" s="214"/>
      <c r="J2006" s="222" t="s">
        <v>67</v>
      </c>
      <c r="K2006" s="222">
        <v>1.5</v>
      </c>
      <c r="L2006" s="222" t="s">
        <v>67</v>
      </c>
      <c r="M2006" s="222">
        <v>37.5</v>
      </c>
      <c r="N2006" s="214">
        <v>279.0</v>
      </c>
      <c r="O2006" s="214">
        <v>281.0</v>
      </c>
      <c r="P2006" s="214">
        <v>2.0</v>
      </c>
      <c r="Q2006" s="214" t="b">
        <v>1</v>
      </c>
      <c r="R2006" s="214">
        <v>100.0</v>
      </c>
      <c r="S2006" s="214" t="s">
        <v>407</v>
      </c>
      <c r="T2006" s="214" t="s">
        <v>321</v>
      </c>
      <c r="U2006" s="214"/>
    </row>
    <row r="2007">
      <c r="A2007" s="221">
        <v>45993.06845158565</v>
      </c>
      <c r="B2007" s="214" t="s">
        <v>238</v>
      </c>
      <c r="C2007" s="214" t="s">
        <v>220</v>
      </c>
      <c r="D2007" s="214">
        <v>4.0</v>
      </c>
      <c r="E2007" s="214">
        <v>8.0</v>
      </c>
      <c r="F2007" s="214" t="s">
        <v>557</v>
      </c>
      <c r="G2007" s="214" t="s">
        <v>61</v>
      </c>
      <c r="H2007" s="214" t="s">
        <v>95</v>
      </c>
      <c r="I2007" s="214"/>
      <c r="J2007" s="222" t="s">
        <v>67</v>
      </c>
      <c r="K2007" s="222">
        <v>8.5</v>
      </c>
      <c r="L2007" s="222" t="s">
        <v>67</v>
      </c>
      <c r="M2007" s="222">
        <v>62.5</v>
      </c>
      <c r="N2007" s="214">
        <v>318.0</v>
      </c>
      <c r="O2007" s="214">
        <v>365.0</v>
      </c>
      <c r="P2007" s="214">
        <v>2.0</v>
      </c>
      <c r="Q2007" s="214" t="b">
        <v>1</v>
      </c>
      <c r="R2007" s="214">
        <v>100.0</v>
      </c>
      <c r="S2007" s="214" t="s">
        <v>441</v>
      </c>
      <c r="T2007" s="214" t="s">
        <v>365</v>
      </c>
      <c r="U2007" s="214"/>
    </row>
    <row r="2008">
      <c r="A2008" s="221">
        <v>45993.06845158565</v>
      </c>
      <c r="B2008" s="214" t="s">
        <v>238</v>
      </c>
      <c r="C2008" s="214" t="s">
        <v>160</v>
      </c>
      <c r="D2008" s="214">
        <v>2.0</v>
      </c>
      <c r="E2008" s="214">
        <v>10.0</v>
      </c>
      <c r="F2008" s="214" t="s">
        <v>713</v>
      </c>
      <c r="G2008" s="214" t="s">
        <v>61</v>
      </c>
      <c r="H2008" s="214" t="s">
        <v>224</v>
      </c>
      <c r="I2008" s="214"/>
      <c r="J2008" s="222" t="s">
        <v>67</v>
      </c>
      <c r="K2008" s="222">
        <v>3.5</v>
      </c>
      <c r="L2008" s="222" t="s">
        <v>67</v>
      </c>
      <c r="M2008" s="222">
        <v>55.5</v>
      </c>
      <c r="N2008" s="214">
        <v>280.0</v>
      </c>
      <c r="O2008" s="214">
        <v>365.0</v>
      </c>
      <c r="P2008" s="214">
        <v>2.0</v>
      </c>
      <c r="Q2008" s="214" t="b">
        <v>0</v>
      </c>
      <c r="R2008" s="214">
        <v>100.0</v>
      </c>
      <c r="S2008" s="214" t="s">
        <v>535</v>
      </c>
      <c r="T2008" s="214" t="s">
        <v>365</v>
      </c>
      <c r="U2008" s="214"/>
    </row>
    <row r="2009">
      <c r="A2009" s="221">
        <v>45993.06845158565</v>
      </c>
      <c r="B2009" s="214" t="s">
        <v>238</v>
      </c>
      <c r="C2009" s="214" t="s">
        <v>119</v>
      </c>
      <c r="D2009" s="214">
        <v>8.0</v>
      </c>
      <c r="E2009" s="214">
        <v>4.0</v>
      </c>
      <c r="F2009" s="214" t="s">
        <v>741</v>
      </c>
      <c r="G2009" s="214" t="s">
        <v>61</v>
      </c>
      <c r="H2009" s="214" t="s">
        <v>156</v>
      </c>
      <c r="I2009" s="214"/>
      <c r="J2009" s="222" t="s">
        <v>67</v>
      </c>
      <c r="K2009" s="222">
        <v>7.0</v>
      </c>
      <c r="L2009" s="222" t="s">
        <v>67</v>
      </c>
      <c r="M2009" s="222">
        <v>49.5</v>
      </c>
      <c r="N2009" s="214">
        <v>421.0</v>
      </c>
      <c r="O2009" s="214">
        <v>299.0</v>
      </c>
      <c r="P2009" s="214">
        <v>2.0</v>
      </c>
      <c r="Q2009" s="214" t="b">
        <v>1</v>
      </c>
      <c r="R2009" s="214">
        <v>100.0</v>
      </c>
      <c r="S2009" s="214" t="s">
        <v>317</v>
      </c>
      <c r="T2009" s="214" t="s">
        <v>321</v>
      </c>
      <c r="U2009" s="214"/>
    </row>
    <row r="2010">
      <c r="A2010" s="221">
        <v>45993.06845158565</v>
      </c>
      <c r="B2010" s="214" t="s">
        <v>238</v>
      </c>
      <c r="C2010" s="214" t="s">
        <v>548</v>
      </c>
      <c r="D2010" s="214">
        <v>7.0</v>
      </c>
      <c r="E2010" s="214">
        <v>5.0</v>
      </c>
      <c r="F2010" s="214" t="s">
        <v>560</v>
      </c>
      <c r="G2010" s="214" t="s">
        <v>61</v>
      </c>
      <c r="H2010" s="214" t="s">
        <v>95</v>
      </c>
      <c r="I2010" s="214"/>
      <c r="J2010" s="222" t="s">
        <v>67</v>
      </c>
      <c r="K2010" s="222">
        <v>-17.5</v>
      </c>
      <c r="L2010" s="222" t="s">
        <v>67</v>
      </c>
      <c r="M2010" s="222">
        <v>41.5</v>
      </c>
      <c r="N2010" s="214">
        <v>313.0</v>
      </c>
      <c r="O2010" s="214">
        <v>263.0</v>
      </c>
      <c r="P2010" s="214">
        <v>2.0</v>
      </c>
      <c r="Q2010" s="214" t="b">
        <v>1</v>
      </c>
      <c r="R2010" s="214">
        <v>100.0</v>
      </c>
      <c r="S2010" s="214" t="s">
        <v>530</v>
      </c>
      <c r="T2010" s="214" t="s">
        <v>365</v>
      </c>
      <c r="U2010" s="214"/>
    </row>
    <row r="2011">
      <c r="A2011" s="221">
        <v>45993.06845158565</v>
      </c>
      <c r="B2011" s="214" t="s">
        <v>238</v>
      </c>
      <c r="C2011" s="214" t="s">
        <v>539</v>
      </c>
      <c r="D2011" s="214">
        <v>11.0</v>
      </c>
      <c r="E2011" s="214">
        <v>1.0</v>
      </c>
      <c r="F2011" s="214" t="s">
        <v>743</v>
      </c>
      <c r="G2011" s="214" t="s">
        <v>61</v>
      </c>
      <c r="H2011" s="214" t="s">
        <v>132</v>
      </c>
      <c r="I2011" s="214"/>
      <c r="J2011" s="222" t="s">
        <v>67</v>
      </c>
      <c r="K2011" s="222">
        <v>-2.5</v>
      </c>
      <c r="L2011" s="222" t="s">
        <v>67</v>
      </c>
      <c r="M2011" s="222">
        <v>52.5</v>
      </c>
      <c r="N2011" s="214">
        <v>436.0</v>
      </c>
      <c r="O2011" s="214">
        <v>263.0</v>
      </c>
      <c r="P2011" s="214">
        <v>2.0</v>
      </c>
      <c r="Q2011" s="214" t="b">
        <v>0</v>
      </c>
      <c r="R2011" s="214">
        <v>100.0</v>
      </c>
      <c r="S2011" s="214" t="s">
        <v>556</v>
      </c>
      <c r="T2011" s="214" t="s">
        <v>321</v>
      </c>
      <c r="U2011" s="214"/>
    </row>
    <row r="2012">
      <c r="A2012" s="221">
        <v>45993.06845158565</v>
      </c>
      <c r="B2012" s="214" t="s">
        <v>238</v>
      </c>
      <c r="C2012" s="214" t="s">
        <v>102</v>
      </c>
      <c r="D2012" s="214">
        <v>8.0</v>
      </c>
      <c r="E2012" s="214">
        <v>4.0</v>
      </c>
      <c r="F2012" s="214" t="s">
        <v>717</v>
      </c>
      <c r="G2012" s="214" t="s">
        <v>61</v>
      </c>
      <c r="H2012" s="214" t="s">
        <v>224</v>
      </c>
      <c r="I2012" s="214"/>
      <c r="J2012" s="222" t="s">
        <v>67</v>
      </c>
      <c r="K2012" s="222">
        <v>-3.5</v>
      </c>
      <c r="L2012" s="222" t="s">
        <v>67</v>
      </c>
      <c r="M2012" s="222">
        <v>57.5</v>
      </c>
      <c r="N2012" s="214">
        <v>415.0</v>
      </c>
      <c r="O2012" s="214">
        <v>270.0</v>
      </c>
      <c r="P2012" s="214">
        <v>2.0</v>
      </c>
      <c r="Q2012" s="214" t="b">
        <v>0</v>
      </c>
      <c r="R2012" s="214">
        <v>100.0</v>
      </c>
      <c r="S2012" s="214" t="s">
        <v>361</v>
      </c>
      <c r="T2012" s="214" t="s">
        <v>365</v>
      </c>
      <c r="U2012" s="214"/>
    </row>
    <row r="2013">
      <c r="A2013" s="221">
        <v>45993.06845158565</v>
      </c>
      <c r="B2013" s="214"/>
      <c r="C2013" s="214"/>
      <c r="D2013" s="214"/>
      <c r="E2013" s="214"/>
      <c r="F2013" s="214"/>
      <c r="G2013" s="214"/>
      <c r="H2013" s="214"/>
      <c r="I2013" s="214"/>
      <c r="J2013" s="222"/>
      <c r="K2013" s="222"/>
      <c r="L2013" s="222"/>
      <c r="M2013" s="222"/>
      <c r="N2013" s="214"/>
      <c r="O2013" s="214"/>
      <c r="P2013" s="214"/>
      <c r="Q2013" s="214"/>
      <c r="R2013" s="214"/>
      <c r="S2013" s="214"/>
      <c r="T2013" s="214"/>
      <c r="U2013" s="214"/>
    </row>
    <row r="2014">
      <c r="A2014" s="221">
        <v>45993.06845158565</v>
      </c>
      <c r="B2014" s="214" t="s">
        <v>156</v>
      </c>
      <c r="C2014" s="214" t="s">
        <v>181</v>
      </c>
      <c r="D2014" s="214">
        <v>3.0</v>
      </c>
      <c r="E2014" s="214">
        <v>9.0</v>
      </c>
      <c r="F2014" s="214" t="s">
        <v>705</v>
      </c>
      <c r="G2014" s="214" t="s">
        <v>61</v>
      </c>
      <c r="H2014" s="214" t="s">
        <v>224</v>
      </c>
      <c r="I2014" s="214"/>
      <c r="J2014" s="222" t="s">
        <v>67</v>
      </c>
      <c r="K2014" s="222">
        <v>7.5</v>
      </c>
      <c r="L2014" s="222" t="s">
        <v>67</v>
      </c>
      <c r="M2014" s="222">
        <v>53.5</v>
      </c>
      <c r="N2014" s="214">
        <v>211.0</v>
      </c>
      <c r="O2014" s="214">
        <v>330.0</v>
      </c>
      <c r="P2014" s="214">
        <v>2.0</v>
      </c>
      <c r="Q2014" s="214" t="b">
        <v>0</v>
      </c>
      <c r="R2014" s="214">
        <v>100.0</v>
      </c>
      <c r="S2014" s="214" t="s">
        <v>525</v>
      </c>
      <c r="T2014" s="214" t="s">
        <v>365</v>
      </c>
      <c r="U2014" s="214"/>
    </row>
    <row r="2015">
      <c r="A2015" s="221">
        <v>45993.06845158565</v>
      </c>
      <c r="B2015" s="214" t="s">
        <v>156</v>
      </c>
      <c r="C2015" s="214" t="s">
        <v>135</v>
      </c>
      <c r="D2015" s="214">
        <v>8.0</v>
      </c>
      <c r="E2015" s="214">
        <v>4.0</v>
      </c>
      <c r="F2015" s="214" t="s">
        <v>746</v>
      </c>
      <c r="G2015" s="214" t="s">
        <v>61</v>
      </c>
      <c r="H2015" s="214" t="s">
        <v>493</v>
      </c>
      <c r="I2015" s="214"/>
      <c r="J2015" s="222" t="s">
        <v>67</v>
      </c>
      <c r="K2015" s="222">
        <v>-7.5</v>
      </c>
      <c r="L2015" s="222" t="s">
        <v>67</v>
      </c>
      <c r="M2015" s="222">
        <v>44.5</v>
      </c>
      <c r="N2015" s="214">
        <v>352.0</v>
      </c>
      <c r="O2015" s="214">
        <v>279.0</v>
      </c>
      <c r="P2015" s="214">
        <v>2.0</v>
      </c>
      <c r="Q2015" s="214" t="b">
        <v>1</v>
      </c>
      <c r="R2015" s="214">
        <v>100.0</v>
      </c>
      <c r="S2015" s="214" t="s">
        <v>407</v>
      </c>
      <c r="T2015" s="214" t="s">
        <v>321</v>
      </c>
      <c r="U2015" s="214"/>
    </row>
    <row r="2016">
      <c r="A2016" s="221">
        <v>45993.06845158565</v>
      </c>
      <c r="B2016" s="214" t="s">
        <v>156</v>
      </c>
      <c r="C2016" s="214" t="s">
        <v>223</v>
      </c>
      <c r="D2016" s="214">
        <v>6.0</v>
      </c>
      <c r="E2016" s="214">
        <v>6.0</v>
      </c>
      <c r="F2016" s="214" t="s">
        <v>748</v>
      </c>
      <c r="G2016" s="214" t="s">
        <v>61</v>
      </c>
      <c r="H2016" s="214" t="s">
        <v>395</v>
      </c>
      <c r="I2016" s="214"/>
      <c r="J2016" s="222" t="s">
        <v>67</v>
      </c>
      <c r="K2016" s="222">
        <v>21.5</v>
      </c>
      <c r="L2016" s="222" t="s">
        <v>67</v>
      </c>
      <c r="M2016" s="222">
        <v>53.5</v>
      </c>
      <c r="N2016" s="214">
        <v>274.0</v>
      </c>
      <c r="O2016" s="214">
        <v>407.0</v>
      </c>
      <c r="P2016" s="214">
        <v>2.0</v>
      </c>
      <c r="Q2016" s="214" t="b">
        <v>0</v>
      </c>
      <c r="R2016" s="214">
        <v>100.0</v>
      </c>
      <c r="S2016" s="214" t="s">
        <v>441</v>
      </c>
      <c r="T2016" s="214" t="s">
        <v>365</v>
      </c>
      <c r="U2016" s="214"/>
    </row>
    <row r="2017">
      <c r="A2017" s="221">
        <v>45993.06845158565</v>
      </c>
      <c r="B2017" s="214" t="s">
        <v>156</v>
      </c>
      <c r="C2017" s="214" t="s">
        <v>202</v>
      </c>
      <c r="D2017" s="214">
        <v>2.0</v>
      </c>
      <c r="E2017" s="214">
        <v>10.0</v>
      </c>
      <c r="F2017" s="214" t="s">
        <v>749</v>
      </c>
      <c r="G2017" s="214" t="s">
        <v>61</v>
      </c>
      <c r="H2017" s="214" t="s">
        <v>156</v>
      </c>
      <c r="I2017" s="214"/>
      <c r="J2017" s="222" t="s">
        <v>67</v>
      </c>
      <c r="K2017" s="222">
        <v>2.5</v>
      </c>
      <c r="L2017" s="222" t="s">
        <v>67</v>
      </c>
      <c r="M2017" s="222">
        <v>55.5</v>
      </c>
      <c r="N2017" s="214">
        <v>395.0</v>
      </c>
      <c r="O2017" s="214">
        <v>406.0</v>
      </c>
      <c r="P2017" s="214">
        <v>2.0</v>
      </c>
      <c r="Q2017" s="214" t="b">
        <v>0</v>
      </c>
      <c r="R2017" s="214">
        <v>100.0</v>
      </c>
      <c r="S2017" s="214" t="s">
        <v>556</v>
      </c>
      <c r="T2017" s="214" t="s">
        <v>321</v>
      </c>
      <c r="U2017" s="214"/>
    </row>
    <row r="2018">
      <c r="A2018" s="221">
        <v>45993.06845158565</v>
      </c>
      <c r="B2018" s="214" t="s">
        <v>156</v>
      </c>
      <c r="C2018" s="214" t="s">
        <v>208</v>
      </c>
      <c r="D2018" s="214">
        <v>8.0</v>
      </c>
      <c r="E2018" s="214">
        <v>4.0</v>
      </c>
      <c r="F2018" s="214" t="s">
        <v>749</v>
      </c>
      <c r="G2018" s="214" t="s">
        <v>61</v>
      </c>
      <c r="H2018" s="214" t="s">
        <v>156</v>
      </c>
      <c r="I2018" s="214"/>
      <c r="J2018" s="222" t="s">
        <v>67</v>
      </c>
      <c r="K2018" s="222">
        <v>-2.5</v>
      </c>
      <c r="L2018" s="222" t="s">
        <v>67</v>
      </c>
      <c r="M2018" s="222">
        <v>55.5</v>
      </c>
      <c r="N2018" s="214">
        <v>386.0</v>
      </c>
      <c r="O2018" s="214">
        <v>233.0</v>
      </c>
      <c r="P2018" s="214">
        <v>2.0</v>
      </c>
      <c r="Q2018" s="214" t="b">
        <v>1</v>
      </c>
      <c r="R2018" s="214">
        <v>100.0</v>
      </c>
      <c r="S2018" s="214" t="s">
        <v>556</v>
      </c>
      <c r="T2018" s="214" t="s">
        <v>321</v>
      </c>
      <c r="U2018" s="214"/>
    </row>
    <row r="2019">
      <c r="A2019" s="221">
        <v>45993.06845158565</v>
      </c>
      <c r="B2019" s="214" t="s">
        <v>156</v>
      </c>
      <c r="C2019" s="214" t="s">
        <v>232</v>
      </c>
      <c r="D2019" s="214">
        <v>8.0</v>
      </c>
      <c r="E2019" s="214">
        <v>4.0</v>
      </c>
      <c r="F2019" s="214" t="s">
        <v>752</v>
      </c>
      <c r="G2019" s="214" t="s">
        <v>61</v>
      </c>
      <c r="H2019" s="214" t="s">
        <v>395</v>
      </c>
      <c r="I2019" s="214"/>
      <c r="J2019" s="222" t="s">
        <v>67</v>
      </c>
      <c r="K2019" s="222">
        <v>2.5</v>
      </c>
      <c r="L2019" s="222" t="s">
        <v>67</v>
      </c>
      <c r="M2019" s="222">
        <v>55.5</v>
      </c>
      <c r="N2019" s="214">
        <v>362.0</v>
      </c>
      <c r="O2019" s="214">
        <v>321.0</v>
      </c>
      <c r="P2019" s="214">
        <v>2.0</v>
      </c>
      <c r="Q2019" s="214" t="b">
        <v>1</v>
      </c>
      <c r="R2019" s="214">
        <v>100.0</v>
      </c>
      <c r="S2019" s="214" t="s">
        <v>535</v>
      </c>
      <c r="T2019" s="214" t="s">
        <v>365</v>
      </c>
      <c r="U2019" s="214"/>
    </row>
    <row r="2020">
      <c r="A2020" s="221">
        <v>45993.06845158565</v>
      </c>
      <c r="B2020" s="214" t="s">
        <v>156</v>
      </c>
      <c r="C2020" s="214" t="s">
        <v>109</v>
      </c>
      <c r="D2020" s="214">
        <v>5.0</v>
      </c>
      <c r="E2020" s="214">
        <v>7.0</v>
      </c>
      <c r="F2020" s="214" t="s">
        <v>714</v>
      </c>
      <c r="G2020" s="214" t="s">
        <v>61</v>
      </c>
      <c r="H2020" s="214" t="s">
        <v>224</v>
      </c>
      <c r="I2020" s="214"/>
      <c r="J2020" s="222" t="s">
        <v>67</v>
      </c>
      <c r="K2020" s="222">
        <v>17.5</v>
      </c>
      <c r="L2020" s="222" t="s">
        <v>67</v>
      </c>
      <c r="M2020" s="222">
        <v>47.5</v>
      </c>
      <c r="N2020" s="214">
        <v>292.0</v>
      </c>
      <c r="O2020" s="214">
        <v>283.0</v>
      </c>
      <c r="P2020" s="214">
        <v>2.0</v>
      </c>
      <c r="Q2020" s="214" t="b">
        <v>1</v>
      </c>
      <c r="R2020" s="214">
        <v>100.0</v>
      </c>
      <c r="S2020" s="214" t="s">
        <v>471</v>
      </c>
      <c r="T2020" s="214" t="s">
        <v>321</v>
      </c>
      <c r="U2020" s="214"/>
    </row>
    <row r="2021">
      <c r="A2021" s="221">
        <v>45993.06845158565</v>
      </c>
      <c r="B2021" s="214" t="s">
        <v>156</v>
      </c>
      <c r="C2021" s="214" t="s">
        <v>116</v>
      </c>
      <c r="D2021" s="214">
        <v>10.0</v>
      </c>
      <c r="E2021" s="214">
        <v>2.0</v>
      </c>
      <c r="F2021" s="214" t="s">
        <v>741</v>
      </c>
      <c r="G2021" s="214" t="s">
        <v>61</v>
      </c>
      <c r="H2021" s="214" t="s">
        <v>238</v>
      </c>
      <c r="I2021" s="214"/>
      <c r="J2021" s="222" t="s">
        <v>67</v>
      </c>
      <c r="K2021" s="222">
        <v>-7.0</v>
      </c>
      <c r="L2021" s="222" t="s">
        <v>67</v>
      </c>
      <c r="M2021" s="222">
        <v>49.5</v>
      </c>
      <c r="N2021" s="214">
        <v>409.0</v>
      </c>
      <c r="O2021" s="214">
        <v>166.0</v>
      </c>
      <c r="P2021" s="214">
        <v>2.0</v>
      </c>
      <c r="Q2021" s="214" t="b">
        <v>0</v>
      </c>
      <c r="R2021" s="214">
        <v>100.0</v>
      </c>
      <c r="S2021" s="214" t="s">
        <v>317</v>
      </c>
      <c r="T2021" s="214" t="s">
        <v>321</v>
      </c>
      <c r="U2021" s="214"/>
    </row>
    <row r="2022">
      <c r="A2022" s="221">
        <v>45993.06845158565</v>
      </c>
      <c r="B2022" s="214" t="s">
        <v>156</v>
      </c>
      <c r="C2022" s="214" t="s">
        <v>174</v>
      </c>
      <c r="D2022" s="214">
        <v>8.0</v>
      </c>
      <c r="E2022" s="214">
        <v>4.0</v>
      </c>
      <c r="F2022" s="214" t="s">
        <v>755</v>
      </c>
      <c r="G2022" s="214" t="s">
        <v>61</v>
      </c>
      <c r="H2022" s="214" t="s">
        <v>132</v>
      </c>
      <c r="I2022" s="214"/>
      <c r="J2022" s="222" t="s">
        <v>67</v>
      </c>
      <c r="K2022" s="222">
        <v>-11.5</v>
      </c>
      <c r="L2022" s="222" t="s">
        <v>67</v>
      </c>
      <c r="M2022" s="222">
        <v>44.5</v>
      </c>
      <c r="N2022" s="214">
        <v>379.0</v>
      </c>
      <c r="O2022" s="214">
        <v>146.0</v>
      </c>
      <c r="P2022" s="214">
        <v>2.0</v>
      </c>
      <c r="Q2022" s="214" t="b">
        <v>1</v>
      </c>
      <c r="R2022" s="214">
        <v>100.0</v>
      </c>
      <c r="S2022" s="214" t="s">
        <v>530</v>
      </c>
      <c r="T2022" s="214" t="s">
        <v>365</v>
      </c>
      <c r="U2022" s="214"/>
    </row>
    <row r="2023">
      <c r="A2023" s="221">
        <v>45993.06845158565</v>
      </c>
      <c r="B2023" s="214" t="s">
        <v>156</v>
      </c>
      <c r="C2023" s="214" t="s">
        <v>154</v>
      </c>
      <c r="D2023" s="214">
        <v>11.0</v>
      </c>
      <c r="E2023" s="214">
        <v>1.0</v>
      </c>
      <c r="F2023" s="214" t="s">
        <v>757</v>
      </c>
      <c r="G2023" s="214" t="s">
        <v>61</v>
      </c>
      <c r="H2023" s="214" t="s">
        <v>493</v>
      </c>
      <c r="I2023" s="214"/>
      <c r="J2023" s="222" t="s">
        <v>67</v>
      </c>
      <c r="K2023" s="222">
        <v>-19.5</v>
      </c>
      <c r="L2023" s="222" t="s">
        <v>67</v>
      </c>
      <c r="M2023" s="222">
        <v>65.5</v>
      </c>
      <c r="N2023" s="214">
        <v>561.0</v>
      </c>
      <c r="O2023" s="214">
        <v>290.0</v>
      </c>
      <c r="P2023" s="214">
        <v>2.0</v>
      </c>
      <c r="Q2023" s="214" t="b">
        <v>0</v>
      </c>
      <c r="R2023" s="214">
        <v>100.0</v>
      </c>
      <c r="S2023" s="214" t="s">
        <v>361</v>
      </c>
      <c r="T2023" s="214" t="s">
        <v>365</v>
      </c>
      <c r="U2023" s="214"/>
    </row>
    <row r="2024">
      <c r="A2024" s="221">
        <v>45993.06845158565</v>
      </c>
      <c r="B2024" s="214"/>
      <c r="C2024" s="214"/>
      <c r="D2024" s="214"/>
      <c r="E2024" s="214"/>
      <c r="F2024" s="214"/>
      <c r="G2024" s="214"/>
      <c r="H2024" s="214"/>
      <c r="I2024" s="214"/>
      <c r="J2024" s="222"/>
      <c r="K2024" s="222"/>
      <c r="L2024" s="222"/>
      <c r="M2024" s="222"/>
      <c r="N2024" s="214"/>
      <c r="O2024" s="214"/>
      <c r="P2024" s="214"/>
      <c r="Q2024" s="214"/>
      <c r="R2024" s="214"/>
      <c r="S2024" s="214"/>
      <c r="T2024" s="214"/>
      <c r="U2024" s="214"/>
    </row>
    <row r="2025">
      <c r="A2025" s="221">
        <v>45993.06845158565</v>
      </c>
      <c r="B2025" s="214" t="s">
        <v>249</v>
      </c>
      <c r="C2025" s="214" t="s">
        <v>159</v>
      </c>
      <c r="D2025" s="214">
        <v>1.0</v>
      </c>
      <c r="E2025" s="214">
        <v>11.0</v>
      </c>
      <c r="F2025" s="214" t="s">
        <v>760</v>
      </c>
      <c r="G2025" s="214" t="s">
        <v>61</v>
      </c>
      <c r="H2025" s="214" t="s">
        <v>132</v>
      </c>
      <c r="I2025" s="214"/>
      <c r="J2025" s="222" t="s">
        <v>67</v>
      </c>
      <c r="K2025" s="222">
        <v>30.5</v>
      </c>
      <c r="L2025" s="222" t="s">
        <v>67</v>
      </c>
      <c r="M2025" s="222">
        <v>52.5</v>
      </c>
      <c r="N2025" s="214">
        <v>172.0</v>
      </c>
      <c r="O2025" s="214">
        <v>436.0</v>
      </c>
      <c r="P2025" s="214">
        <v>2.0</v>
      </c>
      <c r="Q2025" s="214" t="b">
        <v>0</v>
      </c>
      <c r="R2025" s="214">
        <v>100.0</v>
      </c>
      <c r="S2025" s="214" t="s">
        <v>361</v>
      </c>
      <c r="T2025" s="214" t="s">
        <v>365</v>
      </c>
      <c r="U2025" s="214"/>
    </row>
    <row r="2026">
      <c r="A2026" s="221">
        <v>45993.06845158565</v>
      </c>
      <c r="B2026" s="214" t="s">
        <v>249</v>
      </c>
      <c r="C2026" s="214" t="s">
        <v>112</v>
      </c>
      <c r="D2026" s="214">
        <v>7.0</v>
      </c>
      <c r="E2026" s="214">
        <v>5.0</v>
      </c>
      <c r="F2026" s="214" t="s">
        <v>762</v>
      </c>
      <c r="G2026" s="214" t="s">
        <v>61</v>
      </c>
      <c r="H2026" s="214" t="s">
        <v>493</v>
      </c>
      <c r="I2026" s="214"/>
      <c r="J2026" s="222" t="s">
        <v>67</v>
      </c>
      <c r="K2026" s="222">
        <v>-1.5</v>
      </c>
      <c r="L2026" s="222" t="s">
        <v>67</v>
      </c>
      <c r="M2026" s="222">
        <v>53.5</v>
      </c>
      <c r="N2026" s="214">
        <v>415.0</v>
      </c>
      <c r="O2026" s="214">
        <v>353.0</v>
      </c>
      <c r="P2026" s="214">
        <v>2.0</v>
      </c>
      <c r="Q2026" s="214" t="b">
        <v>1</v>
      </c>
      <c r="R2026" s="214">
        <v>100.0</v>
      </c>
      <c r="S2026" s="214" t="s">
        <v>317</v>
      </c>
      <c r="T2026" s="214" t="s">
        <v>321</v>
      </c>
      <c r="U2026" s="214"/>
    </row>
    <row r="2027">
      <c r="A2027" s="221">
        <v>45993.06845158565</v>
      </c>
      <c r="B2027" s="214" t="s">
        <v>249</v>
      </c>
      <c r="C2027" s="214" t="s">
        <v>151</v>
      </c>
      <c r="D2027" s="214">
        <v>7.0</v>
      </c>
      <c r="E2027" s="214">
        <v>5.0</v>
      </c>
      <c r="F2027" s="214" t="s">
        <v>683</v>
      </c>
      <c r="G2027" s="214" t="s">
        <v>61</v>
      </c>
      <c r="H2027" s="214" t="s">
        <v>193</v>
      </c>
      <c r="I2027" s="214"/>
      <c r="J2027" s="222" t="s">
        <v>67</v>
      </c>
      <c r="K2027" s="222">
        <v>1.5</v>
      </c>
      <c r="L2027" s="222" t="s">
        <v>67</v>
      </c>
      <c r="M2027" s="222">
        <v>47.5</v>
      </c>
      <c r="N2027" s="214">
        <v>332.0</v>
      </c>
      <c r="O2027" s="214">
        <v>256.0</v>
      </c>
      <c r="P2027" s="214">
        <v>2.0</v>
      </c>
      <c r="Q2027" s="214" t="b">
        <v>0</v>
      </c>
      <c r="R2027" s="214">
        <v>100.0</v>
      </c>
      <c r="S2027" s="214" t="s">
        <v>535</v>
      </c>
      <c r="T2027" s="214" t="s">
        <v>365</v>
      </c>
      <c r="U2027" s="214"/>
    </row>
    <row r="2028">
      <c r="A2028" s="221">
        <v>45993.06845158565</v>
      </c>
      <c r="B2028" s="214" t="s">
        <v>249</v>
      </c>
      <c r="C2028" s="214" t="s">
        <v>217</v>
      </c>
      <c r="D2028" s="214">
        <v>1.0</v>
      </c>
      <c r="E2028" s="214">
        <v>11.0</v>
      </c>
      <c r="F2028" s="214" t="s">
        <v>649</v>
      </c>
      <c r="G2028" s="214" t="s">
        <v>61</v>
      </c>
      <c r="H2028" s="214" t="s">
        <v>62</v>
      </c>
      <c r="I2028" s="214"/>
      <c r="J2028" s="222" t="s">
        <v>67</v>
      </c>
      <c r="K2028" s="222">
        <v>27.5</v>
      </c>
      <c r="L2028" s="222" t="s">
        <v>67</v>
      </c>
      <c r="M2028" s="222">
        <v>58.5</v>
      </c>
      <c r="N2028" s="214">
        <v>237.0</v>
      </c>
      <c r="O2028" s="214">
        <v>454.0</v>
      </c>
      <c r="P2028" s="214">
        <v>2.0</v>
      </c>
      <c r="Q2028" s="214" t="b">
        <v>0</v>
      </c>
      <c r="R2028" s="214">
        <v>100.0</v>
      </c>
      <c r="S2028" s="214" t="s">
        <v>441</v>
      </c>
      <c r="T2028" s="214" t="s">
        <v>365</v>
      </c>
      <c r="U2028" s="214"/>
    </row>
    <row r="2029">
      <c r="A2029" s="221">
        <v>45993.06845158565</v>
      </c>
      <c r="B2029" s="214" t="s">
        <v>249</v>
      </c>
      <c r="C2029" s="214" t="s">
        <v>111</v>
      </c>
      <c r="D2029" s="214">
        <v>7.0</v>
      </c>
      <c r="E2029" s="214">
        <v>5.0</v>
      </c>
      <c r="F2029" s="214" t="s">
        <v>765</v>
      </c>
      <c r="G2029" s="214" t="s">
        <v>61</v>
      </c>
      <c r="H2029" s="214" t="s">
        <v>132</v>
      </c>
      <c r="I2029" s="214"/>
      <c r="J2029" s="222" t="s">
        <v>67</v>
      </c>
      <c r="K2029" s="222">
        <v>3.0</v>
      </c>
      <c r="L2029" s="222" t="s">
        <v>67</v>
      </c>
      <c r="M2029" s="222">
        <v>46.5</v>
      </c>
      <c r="N2029" s="214">
        <v>344.0</v>
      </c>
      <c r="O2029" s="214">
        <v>245.0</v>
      </c>
      <c r="P2029" s="214">
        <v>2.0</v>
      </c>
      <c r="Q2029" s="214" t="b">
        <v>1</v>
      </c>
      <c r="R2029" s="214">
        <v>100.0</v>
      </c>
      <c r="S2029" s="214" t="s">
        <v>317</v>
      </c>
      <c r="T2029" s="214" t="s">
        <v>321</v>
      </c>
      <c r="U2029" s="214"/>
    </row>
    <row r="2030">
      <c r="A2030" s="221">
        <v>45993.06845158565</v>
      </c>
      <c r="B2030" s="214" t="s">
        <v>249</v>
      </c>
      <c r="C2030" s="214" t="s">
        <v>124</v>
      </c>
      <c r="D2030" s="214">
        <v>5.0</v>
      </c>
      <c r="E2030" s="214">
        <v>7.0</v>
      </c>
      <c r="F2030" s="214" t="s">
        <v>766</v>
      </c>
      <c r="G2030" s="214" t="s">
        <v>61</v>
      </c>
      <c r="H2030" s="214" t="s">
        <v>395</v>
      </c>
      <c r="I2030" s="214"/>
      <c r="J2030" s="222" t="s">
        <v>67</v>
      </c>
      <c r="K2030" s="222">
        <v>-2.5</v>
      </c>
      <c r="L2030" s="222" t="s">
        <v>67</v>
      </c>
      <c r="M2030" s="222">
        <v>58.5</v>
      </c>
      <c r="N2030" s="214">
        <v>373.0</v>
      </c>
      <c r="O2030" s="214">
        <v>391.0</v>
      </c>
      <c r="P2030" s="214">
        <v>2.0</v>
      </c>
      <c r="Q2030" s="214" t="b">
        <v>1</v>
      </c>
      <c r="R2030" s="214">
        <v>100.0</v>
      </c>
      <c r="S2030" s="214" t="s">
        <v>471</v>
      </c>
      <c r="T2030" s="214" t="s">
        <v>321</v>
      </c>
      <c r="U2030" s="214"/>
    </row>
    <row r="2031">
      <c r="A2031" s="221">
        <v>45993.06845158565</v>
      </c>
      <c r="B2031" s="214" t="s">
        <v>249</v>
      </c>
      <c r="C2031" s="214" t="s">
        <v>209</v>
      </c>
      <c r="D2031" s="214">
        <v>11.0</v>
      </c>
      <c r="E2031" s="214">
        <v>1.0</v>
      </c>
      <c r="F2031" s="214" t="s">
        <v>767</v>
      </c>
      <c r="G2031" s="214" t="s">
        <v>61</v>
      </c>
      <c r="H2031" s="214" t="s">
        <v>493</v>
      </c>
      <c r="I2031" s="214"/>
      <c r="J2031" s="222" t="s">
        <v>67</v>
      </c>
      <c r="K2031" s="222">
        <v>-7.5</v>
      </c>
      <c r="L2031" s="222" t="s">
        <v>67</v>
      </c>
      <c r="M2031" s="222">
        <v>62.5</v>
      </c>
      <c r="N2031" s="214">
        <v>447.0</v>
      </c>
      <c r="O2031" s="214">
        <v>241.0</v>
      </c>
      <c r="P2031" s="214">
        <v>2.0</v>
      </c>
      <c r="Q2031" s="214" t="b">
        <v>0</v>
      </c>
      <c r="R2031" s="214">
        <v>100.0</v>
      </c>
      <c r="S2031" s="214" t="s">
        <v>556</v>
      </c>
      <c r="T2031" s="214" t="s">
        <v>321</v>
      </c>
      <c r="U2031" s="214"/>
    </row>
    <row r="2032">
      <c r="A2032" s="221">
        <v>45993.06845158565</v>
      </c>
      <c r="B2032" s="214" t="s">
        <v>249</v>
      </c>
      <c r="C2032" s="214" t="s">
        <v>167</v>
      </c>
      <c r="D2032" s="214">
        <v>5.0</v>
      </c>
      <c r="E2032" s="214">
        <v>7.0</v>
      </c>
      <c r="F2032" s="214" t="s">
        <v>731</v>
      </c>
      <c r="G2032" s="214" t="s">
        <v>61</v>
      </c>
      <c r="H2032" s="214" t="s">
        <v>96</v>
      </c>
      <c r="I2032" s="214"/>
      <c r="J2032" s="222" t="s">
        <v>67</v>
      </c>
      <c r="K2032" s="222">
        <v>7.0</v>
      </c>
      <c r="L2032" s="222" t="s">
        <v>67</v>
      </c>
      <c r="M2032" s="222">
        <v>45.5</v>
      </c>
      <c r="N2032" s="214">
        <v>288.0</v>
      </c>
      <c r="O2032" s="214">
        <v>282.0</v>
      </c>
      <c r="P2032" s="214">
        <v>2.0</v>
      </c>
      <c r="Q2032" s="214" t="b">
        <v>0</v>
      </c>
      <c r="R2032" s="214">
        <v>100.0</v>
      </c>
      <c r="S2032" s="214" t="s">
        <v>530</v>
      </c>
      <c r="T2032" s="214" t="s">
        <v>365</v>
      </c>
      <c r="U2032" s="214"/>
    </row>
    <row r="2033">
      <c r="A2033" s="221">
        <v>45993.06845158565</v>
      </c>
      <c r="B2033" s="214" t="s">
        <v>249</v>
      </c>
      <c r="C2033" s="214" t="s">
        <v>137</v>
      </c>
      <c r="D2033" s="214">
        <v>8.0</v>
      </c>
      <c r="E2033" s="214">
        <v>4.0</v>
      </c>
      <c r="F2033" s="214" t="s">
        <v>732</v>
      </c>
      <c r="G2033" s="214" t="s">
        <v>61</v>
      </c>
      <c r="H2033" s="214" t="s">
        <v>96</v>
      </c>
      <c r="I2033" s="214"/>
      <c r="J2033" s="222" t="s">
        <v>67</v>
      </c>
      <c r="K2033" s="222">
        <v>-6.5</v>
      </c>
      <c r="L2033" s="222" t="s">
        <v>67</v>
      </c>
      <c r="M2033" s="222">
        <v>39.5</v>
      </c>
      <c r="N2033" s="214">
        <v>347.0</v>
      </c>
      <c r="O2033" s="214">
        <v>182.0</v>
      </c>
      <c r="P2033" s="214">
        <v>2.0</v>
      </c>
      <c r="Q2033" s="214" t="b">
        <v>0</v>
      </c>
      <c r="R2033" s="214">
        <v>100.0</v>
      </c>
      <c r="S2033" s="214" t="s">
        <v>407</v>
      </c>
      <c r="T2033" s="214" t="s">
        <v>321</v>
      </c>
      <c r="U2033" s="214"/>
    </row>
    <row r="2034">
      <c r="A2034" s="221">
        <v>45993.06845158565</v>
      </c>
      <c r="B2034" s="214" t="s">
        <v>249</v>
      </c>
      <c r="C2034" s="214" t="s">
        <v>183</v>
      </c>
      <c r="D2034" s="214">
        <v>9.0</v>
      </c>
      <c r="E2034" s="214">
        <v>3.0</v>
      </c>
      <c r="F2034" s="214" t="s">
        <v>688</v>
      </c>
      <c r="G2034" s="214" t="s">
        <v>597</v>
      </c>
      <c r="H2034" s="214" t="s">
        <v>193</v>
      </c>
      <c r="I2034" s="214"/>
      <c r="J2034" s="222" t="s">
        <v>67</v>
      </c>
      <c r="K2034" s="222">
        <v>-1.5</v>
      </c>
      <c r="L2034" s="222" t="s">
        <v>67</v>
      </c>
      <c r="M2034" s="222">
        <v>41.5</v>
      </c>
      <c r="N2034" s="214">
        <v>296.0</v>
      </c>
      <c r="O2034" s="214">
        <v>151.0</v>
      </c>
      <c r="P2034" s="214">
        <v>2.0</v>
      </c>
      <c r="Q2034" s="214" t="b">
        <v>0</v>
      </c>
      <c r="R2034" s="214">
        <v>100.0</v>
      </c>
      <c r="S2034" s="214" t="s">
        <v>525</v>
      </c>
      <c r="T2034" s="214" t="s">
        <v>365</v>
      </c>
      <c r="U2034" s="214"/>
    </row>
    <row r="2035">
      <c r="A2035" s="221">
        <v>45993.06845158565</v>
      </c>
      <c r="B2035" s="214"/>
      <c r="C2035" s="214"/>
      <c r="D2035" s="214"/>
      <c r="E2035" s="214"/>
      <c r="F2035" s="214"/>
      <c r="G2035" s="214"/>
      <c r="H2035" s="214"/>
      <c r="I2035" s="214"/>
      <c r="J2035" s="222"/>
      <c r="K2035" s="222"/>
      <c r="L2035" s="222"/>
      <c r="M2035" s="222"/>
      <c r="N2035" s="214"/>
      <c r="O2035" s="214"/>
      <c r="P2035" s="214"/>
      <c r="Q2035" s="214"/>
      <c r="R2035" s="214"/>
      <c r="S2035" s="214"/>
      <c r="T2035" s="214"/>
      <c r="U2035" s="214"/>
    </row>
    <row r="2036">
      <c r="A2036" s="221">
        <v>45993.06845158565</v>
      </c>
      <c r="B2036" s="214" t="s">
        <v>395</v>
      </c>
      <c r="C2036" s="214" t="s">
        <v>99</v>
      </c>
      <c r="D2036" s="214">
        <v>9.0</v>
      </c>
      <c r="E2036" s="214">
        <v>3.0</v>
      </c>
      <c r="F2036" s="214"/>
      <c r="G2036" s="214"/>
      <c r="H2036" s="214"/>
      <c r="I2036" s="214"/>
      <c r="J2036" s="222"/>
      <c r="K2036" s="222"/>
      <c r="L2036" s="222"/>
      <c r="M2036" s="222"/>
      <c r="N2036" s="214">
        <v>443.0</v>
      </c>
      <c r="O2036" s="214">
        <v>310.0</v>
      </c>
      <c r="P2036" s="214">
        <v>0.0</v>
      </c>
      <c r="Q2036" s="214" t="b">
        <v>1</v>
      </c>
      <c r="R2036" s="214">
        <v>59.0</v>
      </c>
      <c r="S2036" s="214" t="s">
        <v>725</v>
      </c>
      <c r="T2036" s="214"/>
      <c r="U2036" s="214"/>
    </row>
    <row r="2037">
      <c r="A2037" s="221">
        <v>45993.06845158565</v>
      </c>
      <c r="B2037" s="214" t="s">
        <v>395</v>
      </c>
      <c r="C2037" s="214" t="s">
        <v>179</v>
      </c>
      <c r="D2037" s="214">
        <v>8.0</v>
      </c>
      <c r="E2037" s="214">
        <v>4.0</v>
      </c>
      <c r="F2037" s="214" t="s">
        <v>735</v>
      </c>
      <c r="G2037" s="214" t="s">
        <v>61</v>
      </c>
      <c r="H2037" s="214" t="s">
        <v>238</v>
      </c>
      <c r="I2037" s="214"/>
      <c r="J2037" s="222" t="s">
        <v>67</v>
      </c>
      <c r="K2037" s="222">
        <v>-3.5</v>
      </c>
      <c r="L2037" s="222" t="s">
        <v>67</v>
      </c>
      <c r="M2037" s="222">
        <v>45.5</v>
      </c>
      <c r="N2037" s="214">
        <v>317.0</v>
      </c>
      <c r="O2037" s="214">
        <v>241.0</v>
      </c>
      <c r="P2037" s="214">
        <v>2.0</v>
      </c>
      <c r="Q2037" s="214" t="b">
        <v>1</v>
      </c>
      <c r="R2037" s="214">
        <v>100.0</v>
      </c>
      <c r="S2037" s="214" t="s">
        <v>525</v>
      </c>
      <c r="T2037" s="214" t="s">
        <v>365</v>
      </c>
      <c r="U2037" s="214"/>
    </row>
    <row r="2038">
      <c r="A2038" s="221">
        <v>45993.06845158565</v>
      </c>
      <c r="B2038" s="214" t="s">
        <v>395</v>
      </c>
      <c r="C2038" s="214" t="s">
        <v>231</v>
      </c>
      <c r="D2038" s="214">
        <v>11.0</v>
      </c>
      <c r="E2038" s="214">
        <v>1.0</v>
      </c>
      <c r="F2038" s="214" t="s">
        <v>748</v>
      </c>
      <c r="G2038" s="214" t="s">
        <v>61</v>
      </c>
      <c r="H2038" s="214" t="s">
        <v>156</v>
      </c>
      <c r="I2038" s="214"/>
      <c r="J2038" s="222" t="s">
        <v>67</v>
      </c>
      <c r="K2038" s="222">
        <v>-21.5</v>
      </c>
      <c r="L2038" s="222" t="s">
        <v>67</v>
      </c>
      <c r="M2038" s="222">
        <v>53.5</v>
      </c>
      <c r="N2038" s="214">
        <v>454.0</v>
      </c>
      <c r="O2038" s="214">
        <v>192.0</v>
      </c>
      <c r="P2038" s="214">
        <v>2.0</v>
      </c>
      <c r="Q2038" s="214" t="b">
        <v>1</v>
      </c>
      <c r="R2038" s="214">
        <v>100.0</v>
      </c>
      <c r="S2038" s="214" t="s">
        <v>441</v>
      </c>
      <c r="T2038" s="214" t="s">
        <v>365</v>
      </c>
      <c r="U2038" s="214"/>
    </row>
    <row r="2039">
      <c r="A2039" s="221">
        <v>45993.06845158565</v>
      </c>
      <c r="B2039" s="214" t="s">
        <v>395</v>
      </c>
      <c r="C2039" s="214" t="s">
        <v>213</v>
      </c>
      <c r="D2039" s="214">
        <v>10.0</v>
      </c>
      <c r="E2039" s="214">
        <v>2.0</v>
      </c>
      <c r="F2039" s="214" t="s">
        <v>681</v>
      </c>
      <c r="G2039" s="214" t="s">
        <v>61</v>
      </c>
      <c r="H2039" s="214" t="s">
        <v>193</v>
      </c>
      <c r="I2039" s="214"/>
      <c r="J2039" s="222" t="s">
        <v>67</v>
      </c>
      <c r="K2039" s="222">
        <v>3.0</v>
      </c>
      <c r="L2039" s="222" t="s">
        <v>67</v>
      </c>
      <c r="M2039" s="222">
        <v>65.5</v>
      </c>
      <c r="N2039" s="214">
        <v>473.0</v>
      </c>
      <c r="O2039" s="214">
        <v>263.0</v>
      </c>
      <c r="P2039" s="214">
        <v>2.0</v>
      </c>
      <c r="Q2039" s="214" t="b">
        <v>0</v>
      </c>
      <c r="R2039" s="214">
        <v>100.0</v>
      </c>
      <c r="S2039" s="214" t="s">
        <v>556</v>
      </c>
      <c r="T2039" s="214" t="s">
        <v>321</v>
      </c>
      <c r="U2039" s="214"/>
    </row>
    <row r="2040">
      <c r="A2040" s="221">
        <v>45993.06845158565</v>
      </c>
      <c r="B2040" s="214" t="s">
        <v>395</v>
      </c>
      <c r="C2040" s="214" t="s">
        <v>225</v>
      </c>
      <c r="D2040" s="214">
        <v>6.0</v>
      </c>
      <c r="E2040" s="214">
        <v>5.0</v>
      </c>
      <c r="F2040" s="214" t="s">
        <v>695</v>
      </c>
      <c r="G2040" s="214" t="s">
        <v>61</v>
      </c>
      <c r="H2040" s="214" t="s">
        <v>311</v>
      </c>
      <c r="I2040" s="214"/>
      <c r="J2040" s="222" t="s">
        <v>67</v>
      </c>
      <c r="K2040" s="222">
        <v>7.5</v>
      </c>
      <c r="L2040" s="222" t="s">
        <v>67</v>
      </c>
      <c r="M2040" s="222">
        <v>51.5</v>
      </c>
      <c r="N2040" s="214">
        <v>253.0</v>
      </c>
      <c r="O2040" s="214">
        <v>248.0</v>
      </c>
      <c r="P2040" s="214">
        <v>2.0</v>
      </c>
      <c r="Q2040" s="214" t="b">
        <v>1</v>
      </c>
      <c r="R2040" s="214">
        <v>100.0</v>
      </c>
      <c r="S2040" s="214" t="s">
        <v>361</v>
      </c>
      <c r="T2040" s="214" t="s">
        <v>365</v>
      </c>
      <c r="U2040" s="214"/>
    </row>
    <row r="2041">
      <c r="A2041" s="221">
        <v>45993.06845158565</v>
      </c>
      <c r="B2041" s="214" t="s">
        <v>395</v>
      </c>
      <c r="C2041" s="214" t="s">
        <v>147</v>
      </c>
      <c r="D2041" s="214">
        <v>5.0</v>
      </c>
      <c r="E2041" s="214">
        <v>7.0</v>
      </c>
      <c r="F2041" s="214" t="s">
        <v>392</v>
      </c>
      <c r="G2041" s="214" t="s">
        <v>61</v>
      </c>
      <c r="H2041" s="214" t="s">
        <v>43</v>
      </c>
      <c r="I2041" s="214"/>
      <c r="J2041" s="222" t="s">
        <v>67</v>
      </c>
      <c r="K2041" s="222">
        <v>14.0</v>
      </c>
      <c r="L2041" s="222" t="s">
        <v>67</v>
      </c>
      <c r="M2041" s="222">
        <v>55.5</v>
      </c>
      <c r="N2041" s="214">
        <v>344.0</v>
      </c>
      <c r="O2041" s="214">
        <v>382.0</v>
      </c>
      <c r="P2041" s="214">
        <v>2.0</v>
      </c>
      <c r="Q2041" s="214" t="b">
        <v>0</v>
      </c>
      <c r="R2041" s="214">
        <v>100.0</v>
      </c>
      <c r="S2041" s="214" t="s">
        <v>407</v>
      </c>
      <c r="T2041" s="214" t="s">
        <v>321</v>
      </c>
      <c r="U2041" s="214"/>
    </row>
    <row r="2042">
      <c r="A2042" s="221">
        <v>45993.06845158565</v>
      </c>
      <c r="B2042" s="214" t="s">
        <v>395</v>
      </c>
      <c r="C2042" s="214" t="s">
        <v>162</v>
      </c>
      <c r="D2042" s="214">
        <v>8.0</v>
      </c>
      <c r="E2042" s="214">
        <v>4.0</v>
      </c>
      <c r="F2042" s="214" t="s">
        <v>752</v>
      </c>
      <c r="G2042" s="214" t="s">
        <v>61</v>
      </c>
      <c r="H2042" s="214" t="s">
        <v>156</v>
      </c>
      <c r="I2042" s="214"/>
      <c r="J2042" s="222" t="s">
        <v>67</v>
      </c>
      <c r="K2042" s="222">
        <v>-2.5</v>
      </c>
      <c r="L2042" s="222" t="s">
        <v>67</v>
      </c>
      <c r="M2042" s="222">
        <v>55.5</v>
      </c>
      <c r="N2042" s="214">
        <v>357.0</v>
      </c>
      <c r="O2042" s="214">
        <v>281.0</v>
      </c>
      <c r="P2042" s="214">
        <v>2.0</v>
      </c>
      <c r="Q2042" s="214" t="b">
        <v>0</v>
      </c>
      <c r="R2042" s="214">
        <v>100.0</v>
      </c>
      <c r="S2042" s="214" t="s">
        <v>535</v>
      </c>
      <c r="T2042" s="214" t="s">
        <v>365</v>
      </c>
      <c r="U2042" s="214"/>
    </row>
    <row r="2043">
      <c r="A2043" s="221">
        <v>45993.06845158565</v>
      </c>
      <c r="B2043" s="214" t="s">
        <v>395</v>
      </c>
      <c r="C2043" s="214" t="s">
        <v>101</v>
      </c>
      <c r="D2043" s="214">
        <v>9.0</v>
      </c>
      <c r="E2043" s="214">
        <v>3.0</v>
      </c>
      <c r="F2043" s="214" t="s">
        <v>766</v>
      </c>
      <c r="G2043" s="214" t="s">
        <v>61</v>
      </c>
      <c r="H2043" s="214" t="s">
        <v>249</v>
      </c>
      <c r="I2043" s="214"/>
      <c r="J2043" s="222" t="s">
        <v>67</v>
      </c>
      <c r="K2043" s="222">
        <v>2.5</v>
      </c>
      <c r="L2043" s="222" t="s">
        <v>67</v>
      </c>
      <c r="M2043" s="222">
        <v>58.5</v>
      </c>
      <c r="N2043" s="214">
        <v>340.0</v>
      </c>
      <c r="O2043" s="214">
        <v>262.0</v>
      </c>
      <c r="P2043" s="214">
        <v>2.0</v>
      </c>
      <c r="Q2043" s="214" t="b">
        <v>0</v>
      </c>
      <c r="R2043" s="214">
        <v>100.0</v>
      </c>
      <c r="S2043" s="214" t="s">
        <v>471</v>
      </c>
      <c r="T2043" s="214" t="s">
        <v>321</v>
      </c>
      <c r="U2043" s="214"/>
    </row>
    <row r="2044">
      <c r="A2044" s="221">
        <v>45993.06845158565</v>
      </c>
      <c r="B2044" s="214" t="s">
        <v>395</v>
      </c>
      <c r="C2044" s="214" t="s">
        <v>114</v>
      </c>
      <c r="D2044" s="214">
        <v>9.0</v>
      </c>
      <c r="E2044" s="214">
        <v>3.0</v>
      </c>
      <c r="F2044" s="214" t="s">
        <v>730</v>
      </c>
      <c r="G2044" s="214" t="s">
        <v>61</v>
      </c>
      <c r="H2044" s="214" t="s">
        <v>96</v>
      </c>
      <c r="I2044" s="214"/>
      <c r="J2044" s="222" t="s">
        <v>67</v>
      </c>
      <c r="K2044" s="222">
        <v>14.0</v>
      </c>
      <c r="L2044" s="222" t="s">
        <v>67</v>
      </c>
      <c r="M2044" s="222">
        <v>59.5</v>
      </c>
      <c r="N2044" s="214">
        <v>397.0</v>
      </c>
      <c r="O2044" s="214">
        <v>300.0</v>
      </c>
      <c r="P2044" s="214">
        <v>2.0</v>
      </c>
      <c r="Q2044" s="214" t="b">
        <v>1</v>
      </c>
      <c r="R2044" s="214">
        <v>100.0</v>
      </c>
      <c r="S2044" s="214" t="s">
        <v>317</v>
      </c>
      <c r="T2044" s="214" t="s">
        <v>321</v>
      </c>
      <c r="U2044" s="214"/>
    </row>
    <row r="2045">
      <c r="A2045" s="221">
        <v>45993.06845158565</v>
      </c>
      <c r="B2045" s="214" t="s">
        <v>395</v>
      </c>
      <c r="C2045" s="214" t="s">
        <v>175</v>
      </c>
      <c r="D2045" s="214">
        <v>8.0</v>
      </c>
      <c r="E2045" s="214">
        <v>4.0</v>
      </c>
      <c r="F2045" s="214" t="s">
        <v>666</v>
      </c>
      <c r="G2045" s="214" t="s">
        <v>61</v>
      </c>
      <c r="H2045" s="214" t="s">
        <v>62</v>
      </c>
      <c r="I2045" s="214"/>
      <c r="J2045" s="222" t="s">
        <v>67</v>
      </c>
      <c r="K2045" s="222">
        <v>-7.5</v>
      </c>
      <c r="L2045" s="222" t="s">
        <v>67</v>
      </c>
      <c r="M2045" s="222">
        <v>46.5</v>
      </c>
      <c r="N2045" s="214">
        <v>284.0</v>
      </c>
      <c r="O2045" s="214">
        <v>224.0</v>
      </c>
      <c r="P2045" s="214">
        <v>2.0</v>
      </c>
      <c r="Q2045" s="214" t="b">
        <v>1</v>
      </c>
      <c r="R2045" s="214">
        <v>100.0</v>
      </c>
      <c r="S2045" s="214" t="s">
        <v>530</v>
      </c>
      <c r="T2045" s="214" t="s">
        <v>365</v>
      </c>
      <c r="U2045" s="214"/>
    </row>
    <row r="2046">
      <c r="A2046" s="221">
        <v>45993.06845158565</v>
      </c>
      <c r="B2046" s="214"/>
      <c r="C2046" s="214"/>
      <c r="D2046" s="214"/>
      <c r="E2046" s="214"/>
      <c r="F2046" s="214"/>
      <c r="G2046" s="214"/>
      <c r="H2046" s="214"/>
      <c r="I2046" s="214"/>
      <c r="J2046" s="222"/>
      <c r="K2046" s="222"/>
      <c r="L2046" s="222"/>
      <c r="M2046" s="222"/>
      <c r="N2046" s="214"/>
      <c r="O2046" s="214"/>
      <c r="P2046" s="214"/>
      <c r="Q2046" s="214"/>
      <c r="R2046" s="214"/>
      <c r="S2046" s="214"/>
      <c r="T2046" s="214"/>
      <c r="U2046" s="214"/>
    </row>
    <row r="2047">
      <c r="A2047" s="221">
        <v>45993.06845158565</v>
      </c>
      <c r="B2047" s="214" t="s">
        <v>132</v>
      </c>
      <c r="C2047" s="214" t="s">
        <v>187</v>
      </c>
      <c r="D2047" s="214">
        <v>4.0</v>
      </c>
      <c r="E2047" s="214">
        <v>8.0</v>
      </c>
      <c r="F2047" s="214" t="s">
        <v>721</v>
      </c>
      <c r="G2047" s="214" t="s">
        <v>61</v>
      </c>
      <c r="H2047" s="214" t="s">
        <v>96</v>
      </c>
      <c r="I2047" s="214"/>
      <c r="J2047" s="222" t="s">
        <v>67</v>
      </c>
      <c r="K2047" s="222">
        <v>7.5</v>
      </c>
      <c r="L2047" s="222" t="s">
        <v>67</v>
      </c>
      <c r="M2047" s="222">
        <v>44.5</v>
      </c>
      <c r="N2047" s="214">
        <v>192.0</v>
      </c>
      <c r="O2047" s="214">
        <v>246.0</v>
      </c>
      <c r="P2047" s="214">
        <v>2.0</v>
      </c>
      <c r="Q2047" s="214" t="b">
        <v>0</v>
      </c>
      <c r="R2047" s="214">
        <v>100.0</v>
      </c>
      <c r="S2047" s="214" t="s">
        <v>525</v>
      </c>
      <c r="T2047" s="214" t="s">
        <v>365</v>
      </c>
      <c r="U2047" s="214"/>
    </row>
    <row r="2048">
      <c r="A2048" s="221">
        <v>45993.06845158565</v>
      </c>
      <c r="B2048" s="214" t="s">
        <v>132</v>
      </c>
      <c r="C2048" s="214" t="s">
        <v>107</v>
      </c>
      <c r="D2048" s="214">
        <v>10.0</v>
      </c>
      <c r="E2048" s="214">
        <v>2.0</v>
      </c>
      <c r="F2048" s="214" t="s">
        <v>760</v>
      </c>
      <c r="G2048" s="214" t="s">
        <v>61</v>
      </c>
      <c r="H2048" s="214" t="s">
        <v>249</v>
      </c>
      <c r="I2048" s="214"/>
      <c r="J2048" s="222" t="s">
        <v>67</v>
      </c>
      <c r="K2048" s="222">
        <v>-30.5</v>
      </c>
      <c r="L2048" s="222" t="s">
        <v>67</v>
      </c>
      <c r="M2048" s="222">
        <v>52.5</v>
      </c>
      <c r="N2048" s="214">
        <v>344.0</v>
      </c>
      <c r="O2048" s="214">
        <v>273.0</v>
      </c>
      <c r="P2048" s="214">
        <v>2.0</v>
      </c>
      <c r="Q2048" s="214" t="b">
        <v>1</v>
      </c>
      <c r="R2048" s="214">
        <v>100.0</v>
      </c>
      <c r="S2048" s="214" t="s">
        <v>361</v>
      </c>
      <c r="T2048" s="214" t="s">
        <v>365</v>
      </c>
      <c r="U2048" s="214"/>
    </row>
    <row r="2049">
      <c r="A2049" s="221">
        <v>45993.06845158565</v>
      </c>
      <c r="B2049" s="214" t="s">
        <v>132</v>
      </c>
      <c r="C2049" s="214" t="s">
        <v>215</v>
      </c>
      <c r="D2049" s="214">
        <v>6.0</v>
      </c>
      <c r="E2049" s="214">
        <v>6.0</v>
      </c>
      <c r="F2049" s="214" t="s">
        <v>427</v>
      </c>
      <c r="G2049" s="214" t="s">
        <v>61</v>
      </c>
      <c r="H2049" s="214" t="s">
        <v>43</v>
      </c>
      <c r="I2049" s="214"/>
      <c r="J2049" s="222" t="s">
        <v>67</v>
      </c>
      <c r="K2049" s="222">
        <v>1.5</v>
      </c>
      <c r="L2049" s="222" t="s">
        <v>67</v>
      </c>
      <c r="M2049" s="222">
        <v>54.5</v>
      </c>
      <c r="N2049" s="214">
        <v>293.0</v>
      </c>
      <c r="O2049" s="214">
        <v>328.0</v>
      </c>
      <c r="P2049" s="214">
        <v>2.0</v>
      </c>
      <c r="Q2049" s="214" t="b">
        <v>1</v>
      </c>
      <c r="R2049" s="214">
        <v>100.0</v>
      </c>
      <c r="S2049" s="214" t="s">
        <v>441</v>
      </c>
      <c r="T2049" s="214" t="s">
        <v>365</v>
      </c>
      <c r="U2049" s="214"/>
    </row>
    <row r="2050">
      <c r="A2050" s="221">
        <v>45993.06845158565</v>
      </c>
      <c r="B2050" s="214" t="s">
        <v>132</v>
      </c>
      <c r="C2050" s="214" t="s">
        <v>545</v>
      </c>
      <c r="D2050" s="214">
        <v>7.0</v>
      </c>
      <c r="E2050" s="214">
        <v>5.0</v>
      </c>
      <c r="F2050" s="214" t="s">
        <v>697</v>
      </c>
      <c r="G2050" s="214" t="s">
        <v>61</v>
      </c>
      <c r="H2050" s="214" t="s">
        <v>311</v>
      </c>
      <c r="I2050" s="214"/>
      <c r="J2050" s="222" t="s">
        <v>67</v>
      </c>
      <c r="K2050" s="222">
        <v>-11.5</v>
      </c>
      <c r="L2050" s="222" t="s">
        <v>67</v>
      </c>
      <c r="M2050" s="222">
        <v>51.5</v>
      </c>
      <c r="N2050" s="214">
        <v>351.0</v>
      </c>
      <c r="O2050" s="214">
        <v>333.0</v>
      </c>
      <c r="P2050" s="214">
        <v>2.0</v>
      </c>
      <c r="Q2050" s="214" t="b">
        <v>1</v>
      </c>
      <c r="R2050" s="214">
        <v>100.0</v>
      </c>
      <c r="S2050" s="214" t="s">
        <v>535</v>
      </c>
      <c r="T2050" s="214" t="s">
        <v>365</v>
      </c>
      <c r="U2050" s="214"/>
    </row>
    <row r="2051">
      <c r="A2051" s="221">
        <v>45993.06845158565</v>
      </c>
      <c r="B2051" s="214" t="s">
        <v>132</v>
      </c>
      <c r="C2051" s="214" t="s">
        <v>210</v>
      </c>
      <c r="D2051" s="214">
        <v>4.0</v>
      </c>
      <c r="E2051" s="214">
        <v>8.0</v>
      </c>
      <c r="F2051" s="214" t="s">
        <v>765</v>
      </c>
      <c r="G2051" s="214" t="s">
        <v>61</v>
      </c>
      <c r="H2051" s="214" t="s">
        <v>249</v>
      </c>
      <c r="I2051" s="214"/>
      <c r="J2051" s="222" t="s">
        <v>67</v>
      </c>
      <c r="K2051" s="222">
        <v>-3.0</v>
      </c>
      <c r="L2051" s="222" t="s">
        <v>67</v>
      </c>
      <c r="M2051" s="222">
        <v>46.5</v>
      </c>
      <c r="N2051" s="214">
        <v>272.0</v>
      </c>
      <c r="O2051" s="214">
        <v>265.0</v>
      </c>
      <c r="P2051" s="214">
        <v>2.0</v>
      </c>
      <c r="Q2051" s="214" t="b">
        <v>0</v>
      </c>
      <c r="R2051" s="214">
        <v>100.0</v>
      </c>
      <c r="S2051" s="214" t="s">
        <v>556</v>
      </c>
      <c r="T2051" s="214" t="s">
        <v>321</v>
      </c>
      <c r="U2051" s="214"/>
    </row>
    <row r="2052">
      <c r="A2052" s="221">
        <v>45993.06845158565</v>
      </c>
      <c r="B2052" s="214" t="s">
        <v>132</v>
      </c>
      <c r="C2052" s="214" t="s">
        <v>134</v>
      </c>
      <c r="D2052" s="214">
        <v>4.0</v>
      </c>
      <c r="E2052" s="214">
        <v>8.0</v>
      </c>
      <c r="F2052" s="214" t="s">
        <v>457</v>
      </c>
      <c r="G2052" s="214" t="s">
        <v>61</v>
      </c>
      <c r="H2052" s="214" t="s">
        <v>43</v>
      </c>
      <c r="I2052" s="214"/>
      <c r="J2052" s="222" t="s">
        <v>67</v>
      </c>
      <c r="K2052" s="222">
        <v>23.5</v>
      </c>
      <c r="L2052" s="222" t="s">
        <v>67</v>
      </c>
      <c r="M2052" s="222">
        <v>52.5</v>
      </c>
      <c r="N2052" s="214">
        <v>261.0</v>
      </c>
      <c r="O2052" s="214">
        <v>370.0</v>
      </c>
      <c r="P2052" s="214">
        <v>2.0</v>
      </c>
      <c r="Q2052" s="214" t="b">
        <v>1</v>
      </c>
      <c r="R2052" s="214">
        <v>100.0</v>
      </c>
      <c r="S2052" s="214" t="s">
        <v>471</v>
      </c>
      <c r="T2052" s="214" t="s">
        <v>321</v>
      </c>
      <c r="U2052" s="214"/>
    </row>
    <row r="2053">
      <c r="A2053" s="221">
        <v>45993.06845158565</v>
      </c>
      <c r="B2053" s="214" t="s">
        <v>132</v>
      </c>
      <c r="C2053" s="214" t="s">
        <v>115</v>
      </c>
      <c r="D2053" s="214">
        <v>8.0</v>
      </c>
      <c r="E2053" s="214">
        <v>4.0</v>
      </c>
      <c r="F2053" s="214" t="s">
        <v>782</v>
      </c>
      <c r="G2053" s="214" t="s">
        <v>61</v>
      </c>
      <c r="H2053" s="214" t="s">
        <v>493</v>
      </c>
      <c r="I2053" s="214"/>
      <c r="J2053" s="222" t="s">
        <v>67</v>
      </c>
      <c r="K2053" s="222">
        <v>-3.0</v>
      </c>
      <c r="L2053" s="222" t="s">
        <v>67</v>
      </c>
      <c r="M2053" s="222">
        <v>45.5</v>
      </c>
      <c r="N2053" s="214">
        <v>362.0</v>
      </c>
      <c r="O2053" s="214">
        <v>253.0</v>
      </c>
      <c r="P2053" s="214">
        <v>2.0</v>
      </c>
      <c r="Q2053" s="214" t="b">
        <v>1</v>
      </c>
      <c r="R2053" s="214">
        <v>100.0</v>
      </c>
      <c r="S2053" s="214" t="s">
        <v>317</v>
      </c>
      <c r="T2053" s="214" t="s">
        <v>321</v>
      </c>
      <c r="U2053" s="214"/>
    </row>
    <row r="2054">
      <c r="A2054" s="221">
        <v>45993.06845158565</v>
      </c>
      <c r="B2054" s="214" t="s">
        <v>132</v>
      </c>
      <c r="C2054" s="214" t="s">
        <v>168</v>
      </c>
      <c r="D2054" s="214">
        <v>7.0</v>
      </c>
      <c r="E2054" s="214">
        <v>5.0</v>
      </c>
      <c r="F2054" s="214" t="s">
        <v>755</v>
      </c>
      <c r="G2054" s="214" t="s">
        <v>61</v>
      </c>
      <c r="H2054" s="214" t="s">
        <v>156</v>
      </c>
      <c r="I2054" s="214"/>
      <c r="J2054" s="222" t="s">
        <v>67</v>
      </c>
      <c r="K2054" s="222">
        <v>11.5</v>
      </c>
      <c r="L2054" s="222" t="s">
        <v>67</v>
      </c>
      <c r="M2054" s="222">
        <v>44.5</v>
      </c>
      <c r="N2054" s="214">
        <v>286.0</v>
      </c>
      <c r="O2054" s="214">
        <v>272.0</v>
      </c>
      <c r="P2054" s="214">
        <v>2.0</v>
      </c>
      <c r="Q2054" s="214" t="b">
        <v>0</v>
      </c>
      <c r="R2054" s="214">
        <v>100.0</v>
      </c>
      <c r="S2054" s="214" t="s">
        <v>530</v>
      </c>
      <c r="T2054" s="214" t="s">
        <v>365</v>
      </c>
      <c r="U2054" s="214"/>
    </row>
    <row r="2055">
      <c r="A2055" s="221">
        <v>45993.06845158565</v>
      </c>
      <c r="B2055" s="214" t="s">
        <v>132</v>
      </c>
      <c r="C2055" s="214" t="s">
        <v>131</v>
      </c>
      <c r="D2055" s="214">
        <v>9.0</v>
      </c>
      <c r="E2055" s="214">
        <v>3.0</v>
      </c>
      <c r="F2055" s="214" t="s">
        <v>743</v>
      </c>
      <c r="G2055" s="214" t="s">
        <v>61</v>
      </c>
      <c r="H2055" s="214" t="s">
        <v>238</v>
      </c>
      <c r="I2055" s="214"/>
      <c r="J2055" s="222" t="s">
        <v>67</v>
      </c>
      <c r="K2055" s="222">
        <v>2.5</v>
      </c>
      <c r="L2055" s="222" t="s">
        <v>67</v>
      </c>
      <c r="M2055" s="222">
        <v>52.5</v>
      </c>
      <c r="N2055" s="214">
        <v>355.0</v>
      </c>
      <c r="O2055" s="214">
        <v>237.0</v>
      </c>
      <c r="P2055" s="214">
        <v>2.0</v>
      </c>
      <c r="Q2055" s="214" t="b">
        <v>1</v>
      </c>
      <c r="R2055" s="214">
        <v>100.0</v>
      </c>
      <c r="S2055" s="214" t="s">
        <v>556</v>
      </c>
      <c r="T2055" s="214" t="s">
        <v>321</v>
      </c>
      <c r="U2055" s="214"/>
    </row>
    <row r="2056">
      <c r="A2056" s="221">
        <v>45993.06845158565</v>
      </c>
      <c r="B2056" s="214" t="s">
        <v>132</v>
      </c>
      <c r="C2056" s="214" t="s">
        <v>136</v>
      </c>
      <c r="D2056" s="214">
        <v>12.0</v>
      </c>
      <c r="E2056" s="214">
        <v>0.0</v>
      </c>
      <c r="F2056" s="214" t="s">
        <v>788</v>
      </c>
      <c r="G2056" s="214" t="s">
        <v>61</v>
      </c>
      <c r="H2056" s="214" t="s">
        <v>493</v>
      </c>
      <c r="I2056" s="214"/>
      <c r="J2056" s="222" t="s">
        <v>67</v>
      </c>
      <c r="K2056" s="222">
        <v>-28.5</v>
      </c>
      <c r="L2056" s="222" t="s">
        <v>67</v>
      </c>
      <c r="M2056" s="222">
        <v>53.5</v>
      </c>
      <c r="N2056" s="214">
        <v>532.0</v>
      </c>
      <c r="O2056" s="214">
        <v>131.0</v>
      </c>
      <c r="P2056" s="214">
        <v>2.0</v>
      </c>
      <c r="Q2056" s="214" t="b">
        <v>0</v>
      </c>
      <c r="R2056" s="214">
        <v>100.0</v>
      </c>
      <c r="S2056" s="214" t="s">
        <v>407</v>
      </c>
      <c r="T2056" s="214" t="s">
        <v>321</v>
      </c>
      <c r="U2056" s="214"/>
    </row>
    <row r="2057">
      <c r="A2057" s="221">
        <v>45993.06845158565</v>
      </c>
      <c r="B2057" s="214"/>
      <c r="C2057" s="214"/>
      <c r="D2057" s="214"/>
      <c r="E2057" s="214"/>
      <c r="F2057" s="214"/>
      <c r="G2057" s="214"/>
      <c r="H2057" s="214"/>
      <c r="I2057" s="214"/>
      <c r="J2057" s="222"/>
      <c r="K2057" s="222"/>
      <c r="L2057" s="222"/>
      <c r="M2057" s="222"/>
      <c r="N2057" s="214"/>
      <c r="O2057" s="214"/>
      <c r="P2057" s="214"/>
      <c r="Q2057" s="214"/>
      <c r="R2057" s="214"/>
      <c r="S2057" s="214"/>
      <c r="T2057" s="214"/>
      <c r="U2057" s="214"/>
    </row>
    <row r="2058">
      <c r="A2058" s="221">
        <v>45993.06845158565</v>
      </c>
      <c r="B2058" s="214" t="s">
        <v>493</v>
      </c>
      <c r="C2058" s="214" t="s">
        <v>195</v>
      </c>
      <c r="D2058" s="214">
        <v>4.0</v>
      </c>
      <c r="E2058" s="214">
        <v>8.0</v>
      </c>
      <c r="F2058" s="214" t="s">
        <v>723</v>
      </c>
      <c r="G2058" s="214" t="s">
        <v>61</v>
      </c>
      <c r="H2058" s="214" t="s">
        <v>96</v>
      </c>
      <c r="I2058" s="214"/>
      <c r="J2058" s="222" t="s">
        <v>67</v>
      </c>
      <c r="K2058" s="222">
        <v>31.5</v>
      </c>
      <c r="L2058" s="222" t="s">
        <v>67</v>
      </c>
      <c r="M2058" s="222">
        <v>49.5</v>
      </c>
      <c r="N2058" s="214">
        <v>226.0</v>
      </c>
      <c r="O2058" s="214">
        <v>350.0</v>
      </c>
      <c r="P2058" s="214">
        <v>2.0</v>
      </c>
      <c r="Q2058" s="214" t="b">
        <v>1</v>
      </c>
      <c r="R2058" s="214">
        <v>100.0</v>
      </c>
      <c r="S2058" s="214" t="s">
        <v>317</v>
      </c>
      <c r="T2058" s="214" t="s">
        <v>321</v>
      </c>
      <c r="U2058" s="214"/>
    </row>
    <row r="2059">
      <c r="A2059" s="221">
        <v>45993.06845158565</v>
      </c>
      <c r="B2059" s="214" t="s">
        <v>493</v>
      </c>
      <c r="C2059" s="214" t="s">
        <v>143</v>
      </c>
      <c r="D2059" s="214">
        <v>6.0</v>
      </c>
      <c r="E2059" s="214">
        <v>6.0</v>
      </c>
      <c r="F2059" s="214" t="s">
        <v>746</v>
      </c>
      <c r="G2059" s="214" t="s">
        <v>61</v>
      </c>
      <c r="H2059" s="214" t="s">
        <v>156</v>
      </c>
      <c r="I2059" s="214"/>
      <c r="J2059" s="222" t="s">
        <v>67</v>
      </c>
      <c r="K2059" s="222">
        <v>7.5</v>
      </c>
      <c r="L2059" s="222" t="s">
        <v>67</v>
      </c>
      <c r="M2059" s="222">
        <v>44.5</v>
      </c>
      <c r="N2059" s="214">
        <v>270.0</v>
      </c>
      <c r="O2059" s="214">
        <v>251.0</v>
      </c>
      <c r="P2059" s="214">
        <v>2.0</v>
      </c>
      <c r="Q2059" s="214" t="b">
        <v>0</v>
      </c>
      <c r="R2059" s="214">
        <v>100.0</v>
      </c>
      <c r="S2059" s="214" t="s">
        <v>407</v>
      </c>
      <c r="T2059" s="214" t="s">
        <v>321</v>
      </c>
      <c r="U2059" s="214"/>
    </row>
    <row r="2060">
      <c r="A2060" s="221">
        <v>45993.06845158565</v>
      </c>
      <c r="B2060" s="214" t="s">
        <v>493</v>
      </c>
      <c r="C2060" s="214" t="s">
        <v>138</v>
      </c>
      <c r="D2060" s="214">
        <v>4.0</v>
      </c>
      <c r="E2060" s="214">
        <v>8.0</v>
      </c>
      <c r="F2060" s="214" t="s">
        <v>707</v>
      </c>
      <c r="G2060" s="214" t="s">
        <v>61</v>
      </c>
      <c r="H2060" s="214" t="s">
        <v>224</v>
      </c>
      <c r="I2060" s="214"/>
      <c r="J2060" s="222" t="s">
        <v>67</v>
      </c>
      <c r="K2060" s="222">
        <v>3.5</v>
      </c>
      <c r="L2060" s="222" t="s">
        <v>67</v>
      </c>
      <c r="M2060" s="222">
        <v>48.5</v>
      </c>
      <c r="N2060" s="214">
        <v>282.0</v>
      </c>
      <c r="O2060" s="214">
        <v>318.0</v>
      </c>
      <c r="P2060" s="214">
        <v>2.0</v>
      </c>
      <c r="Q2060" s="214" t="b">
        <v>0</v>
      </c>
      <c r="R2060" s="214">
        <v>100.0</v>
      </c>
      <c r="S2060" s="214" t="s">
        <v>407</v>
      </c>
      <c r="T2060" s="214" t="s">
        <v>321</v>
      </c>
      <c r="U2060" s="214"/>
    </row>
    <row r="2061">
      <c r="A2061" s="221">
        <v>45993.06845158565</v>
      </c>
      <c r="B2061" s="214" t="s">
        <v>493</v>
      </c>
      <c r="C2061" s="214" t="s">
        <v>123</v>
      </c>
      <c r="D2061" s="214">
        <v>8.0</v>
      </c>
      <c r="E2061" s="214">
        <v>4.0</v>
      </c>
      <c r="F2061" s="214" t="s">
        <v>762</v>
      </c>
      <c r="G2061" s="214" t="s">
        <v>61</v>
      </c>
      <c r="H2061" s="214" t="s">
        <v>249</v>
      </c>
      <c r="I2061" s="214"/>
      <c r="J2061" s="222" t="s">
        <v>67</v>
      </c>
      <c r="K2061" s="222">
        <v>1.5</v>
      </c>
      <c r="L2061" s="222" t="s">
        <v>67</v>
      </c>
      <c r="M2061" s="222">
        <v>53.5</v>
      </c>
      <c r="N2061" s="214">
        <v>322.0</v>
      </c>
      <c r="O2061" s="214">
        <v>258.0</v>
      </c>
      <c r="P2061" s="214">
        <v>2.0</v>
      </c>
      <c r="Q2061" s="214" t="b">
        <v>0</v>
      </c>
      <c r="R2061" s="214">
        <v>100.0</v>
      </c>
      <c r="S2061" s="214" t="s">
        <v>317</v>
      </c>
      <c r="T2061" s="214" t="s">
        <v>321</v>
      </c>
      <c r="U2061" s="214"/>
    </row>
    <row r="2062">
      <c r="A2062" s="221">
        <v>45993.06845158565</v>
      </c>
      <c r="B2062" s="214" t="s">
        <v>493</v>
      </c>
      <c r="C2062" s="214" t="s">
        <v>110</v>
      </c>
      <c r="D2062" s="214">
        <v>2.0</v>
      </c>
      <c r="E2062" s="214">
        <v>10.0</v>
      </c>
      <c r="F2062" s="214" t="s">
        <v>794</v>
      </c>
      <c r="G2062" s="214" t="s">
        <v>61</v>
      </c>
      <c r="H2062" s="214" t="s">
        <v>493</v>
      </c>
      <c r="I2062" s="214"/>
      <c r="J2062" s="222" t="s">
        <v>67</v>
      </c>
      <c r="K2062" s="222">
        <v>-2.5</v>
      </c>
      <c r="L2062" s="222" t="s">
        <v>67</v>
      </c>
      <c r="M2062" s="222">
        <v>52.5</v>
      </c>
      <c r="N2062" s="214">
        <v>305.0</v>
      </c>
      <c r="O2062" s="214">
        <v>393.0</v>
      </c>
      <c r="P2062" s="214">
        <v>2.0</v>
      </c>
      <c r="Q2062" s="214" t="b">
        <v>1</v>
      </c>
      <c r="R2062" s="214">
        <v>100.0</v>
      </c>
      <c r="S2062" s="214" t="s">
        <v>317</v>
      </c>
      <c r="T2062" s="214" t="s">
        <v>321</v>
      </c>
      <c r="U2062" s="214"/>
    </row>
    <row r="2063">
      <c r="A2063" s="221">
        <v>45993.06845158565</v>
      </c>
      <c r="B2063" s="214" t="s">
        <v>493</v>
      </c>
      <c r="C2063" s="214" t="s">
        <v>120</v>
      </c>
      <c r="D2063" s="214">
        <v>3.0</v>
      </c>
      <c r="E2063" s="214">
        <v>9.0</v>
      </c>
      <c r="F2063" s="214" t="s">
        <v>794</v>
      </c>
      <c r="G2063" s="214" t="s">
        <v>61</v>
      </c>
      <c r="H2063" s="214" t="s">
        <v>493</v>
      </c>
      <c r="I2063" s="214"/>
      <c r="J2063" s="222" t="s">
        <v>67</v>
      </c>
      <c r="K2063" s="222">
        <v>2.5</v>
      </c>
      <c r="L2063" s="222" t="s">
        <v>67</v>
      </c>
      <c r="M2063" s="222">
        <v>52.5</v>
      </c>
      <c r="N2063" s="214">
        <v>242.0</v>
      </c>
      <c r="O2063" s="214">
        <v>419.0</v>
      </c>
      <c r="P2063" s="214">
        <v>2.0</v>
      </c>
      <c r="Q2063" s="214" t="b">
        <v>0</v>
      </c>
      <c r="R2063" s="214">
        <v>100.0</v>
      </c>
      <c r="S2063" s="214" t="s">
        <v>317</v>
      </c>
      <c r="T2063" s="214" t="s">
        <v>321</v>
      </c>
      <c r="U2063" s="214"/>
    </row>
    <row r="2064">
      <c r="A2064" s="221">
        <v>45993.06845158565</v>
      </c>
      <c r="B2064" s="214" t="s">
        <v>493</v>
      </c>
      <c r="C2064" s="214" t="s">
        <v>108</v>
      </c>
      <c r="D2064" s="214">
        <v>4.0</v>
      </c>
      <c r="E2064" s="214">
        <v>8.0</v>
      </c>
      <c r="F2064" s="214" t="s">
        <v>637</v>
      </c>
      <c r="G2064" s="214" t="s">
        <v>61</v>
      </c>
      <c r="H2064" s="214" t="s">
        <v>62</v>
      </c>
      <c r="I2064" s="214"/>
      <c r="J2064" s="222" t="s">
        <v>67</v>
      </c>
      <c r="K2064" s="222">
        <v>-9.5</v>
      </c>
      <c r="L2064" s="222" t="s">
        <v>67</v>
      </c>
      <c r="M2064" s="222">
        <v>58.5</v>
      </c>
      <c r="N2064" s="214">
        <v>278.0</v>
      </c>
      <c r="O2064" s="214">
        <v>347.0</v>
      </c>
      <c r="P2064" s="214">
        <v>2.0</v>
      </c>
      <c r="Q2064" s="214" t="b">
        <v>0</v>
      </c>
      <c r="R2064" s="214">
        <v>100.0</v>
      </c>
      <c r="S2064" s="214" t="s">
        <v>361</v>
      </c>
      <c r="T2064" s="214" t="s">
        <v>365</v>
      </c>
      <c r="U2064" s="214"/>
    </row>
    <row r="2065">
      <c r="A2065" s="221">
        <v>45993.06845158565</v>
      </c>
      <c r="B2065" s="214" t="s">
        <v>493</v>
      </c>
      <c r="C2065" s="214" t="s">
        <v>188</v>
      </c>
      <c r="D2065" s="214">
        <v>9.0</v>
      </c>
      <c r="E2065" s="214">
        <v>3.0</v>
      </c>
      <c r="F2065" s="214" t="s">
        <v>490</v>
      </c>
      <c r="G2065" s="214" t="s">
        <v>61</v>
      </c>
      <c r="H2065" s="214" t="s">
        <v>43</v>
      </c>
      <c r="I2065" s="214"/>
      <c r="J2065" s="222" t="s">
        <v>67</v>
      </c>
      <c r="K2065" s="222">
        <v>-1.5</v>
      </c>
      <c r="L2065" s="222" t="s">
        <v>67</v>
      </c>
      <c r="M2065" s="222">
        <v>47.5</v>
      </c>
      <c r="N2065" s="214">
        <v>391.0</v>
      </c>
      <c r="O2065" s="214">
        <v>227.0</v>
      </c>
      <c r="P2065" s="214">
        <v>2.0</v>
      </c>
      <c r="Q2065" s="214" t="b">
        <v>0</v>
      </c>
      <c r="R2065" s="214">
        <v>100.0</v>
      </c>
      <c r="S2065" s="214" t="s">
        <v>471</v>
      </c>
      <c r="T2065" s="214" t="s">
        <v>321</v>
      </c>
      <c r="U2065" s="214"/>
    </row>
    <row r="2066">
      <c r="A2066" s="221">
        <v>45993.06845158565</v>
      </c>
      <c r="B2066" s="214" t="s">
        <v>493</v>
      </c>
      <c r="C2066" s="214" t="s">
        <v>146</v>
      </c>
      <c r="D2066" s="214">
        <v>2.0</v>
      </c>
      <c r="E2066" s="214">
        <v>10.0</v>
      </c>
      <c r="F2066" s="214" t="s">
        <v>788</v>
      </c>
      <c r="G2066" s="214" t="s">
        <v>61</v>
      </c>
      <c r="H2066" s="214" t="s">
        <v>132</v>
      </c>
      <c r="I2066" s="214"/>
      <c r="J2066" s="222" t="s">
        <v>67</v>
      </c>
      <c r="K2066" s="222">
        <v>28.5</v>
      </c>
      <c r="L2066" s="222" t="s">
        <v>67</v>
      </c>
      <c r="M2066" s="222">
        <v>53.5</v>
      </c>
      <c r="N2066" s="214">
        <v>225.0</v>
      </c>
      <c r="O2066" s="214">
        <v>382.0</v>
      </c>
      <c r="P2066" s="214">
        <v>2.0</v>
      </c>
      <c r="Q2066" s="214" t="b">
        <v>1</v>
      </c>
      <c r="R2066" s="214">
        <v>100.0</v>
      </c>
      <c r="S2066" s="214" t="s">
        <v>407</v>
      </c>
      <c r="T2066" s="214" t="s">
        <v>321</v>
      </c>
      <c r="U2066" s="214"/>
    </row>
    <row r="2067">
      <c r="A2067" s="221">
        <v>45993.06845158565</v>
      </c>
      <c r="B2067" s="214" t="s">
        <v>493</v>
      </c>
      <c r="C2067" s="214" t="s">
        <v>106</v>
      </c>
      <c r="D2067" s="214">
        <v>5.0</v>
      </c>
      <c r="E2067" s="214">
        <v>7.0</v>
      </c>
      <c r="F2067" s="214" t="s">
        <v>757</v>
      </c>
      <c r="G2067" s="214" t="s">
        <v>61</v>
      </c>
      <c r="H2067" s="214" t="s">
        <v>156</v>
      </c>
      <c r="I2067" s="214"/>
      <c r="J2067" s="222" t="s">
        <v>67</v>
      </c>
      <c r="K2067" s="222">
        <v>19.5</v>
      </c>
      <c r="L2067" s="222" t="s">
        <v>67</v>
      </c>
      <c r="M2067" s="222">
        <v>65.5</v>
      </c>
      <c r="N2067" s="214">
        <v>334.0</v>
      </c>
      <c r="O2067" s="214">
        <v>356.0</v>
      </c>
      <c r="P2067" s="214">
        <v>2.0</v>
      </c>
      <c r="Q2067" s="214" t="b">
        <v>1</v>
      </c>
      <c r="R2067" s="214">
        <v>100.0</v>
      </c>
      <c r="S2067" s="214" t="s">
        <v>361</v>
      </c>
      <c r="T2067" s="214" t="s">
        <v>365</v>
      </c>
      <c r="U2067" s="214"/>
    </row>
    <row r="2068">
      <c r="A2068" s="221">
        <v>45993.06845158565</v>
      </c>
      <c r="B2068" s="214"/>
      <c r="C2068" s="214"/>
      <c r="D2068" s="214"/>
      <c r="E2068" s="214"/>
      <c r="F2068" s="214"/>
      <c r="G2068" s="214"/>
      <c r="H2068" s="214"/>
      <c r="I2068" s="214"/>
      <c r="J2068" s="222"/>
      <c r="K2068" s="222"/>
      <c r="L2068" s="222"/>
      <c r="M2068" s="222"/>
      <c r="N2068" s="214"/>
      <c r="O2068" s="214"/>
      <c r="P2068" s="214"/>
      <c r="Q2068" s="214"/>
      <c r="R2068" s="214"/>
      <c r="S2068" s="214"/>
      <c r="T2068" s="214"/>
      <c r="U2068" s="214"/>
    </row>
    <row r="2069">
      <c r="A2069" s="221">
        <v>45993.06845158565</v>
      </c>
      <c r="B2069" s="214" t="s">
        <v>493</v>
      </c>
      <c r="C2069" s="214" t="s">
        <v>200</v>
      </c>
      <c r="D2069" s="214">
        <v>6.0</v>
      </c>
      <c r="E2069" s="214">
        <v>6.0</v>
      </c>
      <c r="F2069" s="214" t="s">
        <v>679</v>
      </c>
      <c r="G2069" s="214" t="s">
        <v>61</v>
      </c>
      <c r="H2069" s="214" t="s">
        <v>193</v>
      </c>
      <c r="I2069" s="214"/>
      <c r="J2069" s="222" t="s">
        <v>67</v>
      </c>
      <c r="K2069" s="222">
        <v>-13.5</v>
      </c>
      <c r="L2069" s="222" t="s">
        <v>67</v>
      </c>
      <c r="M2069" s="222">
        <v>43.5</v>
      </c>
      <c r="N2069" s="214">
        <v>259.0</v>
      </c>
      <c r="O2069" s="214">
        <v>242.0</v>
      </c>
      <c r="P2069" s="214">
        <v>2.0</v>
      </c>
      <c r="Q2069" s="214" t="b">
        <v>1</v>
      </c>
      <c r="R2069" s="214">
        <v>100.0</v>
      </c>
      <c r="S2069" s="214" t="s">
        <v>680</v>
      </c>
      <c r="T2069" s="214" t="s">
        <v>365</v>
      </c>
      <c r="U2069" s="214"/>
    </row>
    <row r="2070">
      <c r="A2070" s="221">
        <v>45993.06845158565</v>
      </c>
      <c r="B2070" s="214" t="s">
        <v>493</v>
      </c>
      <c r="C2070" s="214" t="s">
        <v>546</v>
      </c>
      <c r="D2070" s="214">
        <v>7.0</v>
      </c>
      <c r="E2070" s="214">
        <v>5.0</v>
      </c>
      <c r="F2070" s="214" t="s">
        <v>727</v>
      </c>
      <c r="G2070" s="214" t="s">
        <v>61</v>
      </c>
      <c r="H2070" s="214" t="s">
        <v>96</v>
      </c>
      <c r="I2070" s="214"/>
      <c r="J2070" s="222" t="s">
        <v>67</v>
      </c>
      <c r="K2070" s="222">
        <v>-6.5</v>
      </c>
      <c r="L2070" s="222" t="s">
        <v>67</v>
      </c>
      <c r="M2070" s="222">
        <v>50.5</v>
      </c>
      <c r="N2070" s="214">
        <v>358.0</v>
      </c>
      <c r="O2070" s="214">
        <v>329.0</v>
      </c>
      <c r="P2070" s="214">
        <v>2.0</v>
      </c>
      <c r="Q2070" s="214" t="b">
        <v>1</v>
      </c>
      <c r="R2070" s="214">
        <v>100.0</v>
      </c>
      <c r="S2070" s="214" t="s">
        <v>441</v>
      </c>
      <c r="T2070" s="214" t="s">
        <v>365</v>
      </c>
      <c r="U2070" s="214"/>
    </row>
    <row r="2071">
      <c r="A2071" s="221">
        <v>45993.06845158565</v>
      </c>
      <c r="B2071" s="214" t="s">
        <v>493</v>
      </c>
      <c r="C2071" s="214" t="s">
        <v>205</v>
      </c>
      <c r="D2071" s="214">
        <v>5.0</v>
      </c>
      <c r="E2071" s="214">
        <v>7.0</v>
      </c>
      <c r="F2071" s="214" t="s">
        <v>782</v>
      </c>
      <c r="G2071" s="214" t="s">
        <v>61</v>
      </c>
      <c r="H2071" s="214" t="s">
        <v>132</v>
      </c>
      <c r="I2071" s="214"/>
      <c r="J2071" s="222" t="s">
        <v>67</v>
      </c>
      <c r="K2071" s="222">
        <v>3.0</v>
      </c>
      <c r="L2071" s="222" t="s">
        <v>67</v>
      </c>
      <c r="M2071" s="222">
        <v>45.5</v>
      </c>
      <c r="N2071" s="214">
        <v>276.0</v>
      </c>
      <c r="O2071" s="214">
        <v>317.0</v>
      </c>
      <c r="P2071" s="214">
        <v>2.0</v>
      </c>
      <c r="Q2071" s="214" t="b">
        <v>0</v>
      </c>
      <c r="R2071" s="214">
        <v>100.0</v>
      </c>
      <c r="S2071" s="214" t="s">
        <v>556</v>
      </c>
      <c r="T2071" s="214" t="s">
        <v>321</v>
      </c>
      <c r="U2071" s="214"/>
    </row>
    <row r="2072">
      <c r="A2072" s="221">
        <v>45993.06845158565</v>
      </c>
      <c r="B2072" s="214" t="s">
        <v>493</v>
      </c>
      <c r="C2072" s="214" t="s">
        <v>207</v>
      </c>
      <c r="D2072" s="214">
        <v>5.0</v>
      </c>
      <c r="E2072" s="214">
        <v>7.0</v>
      </c>
      <c r="F2072" s="214" t="s">
        <v>767</v>
      </c>
      <c r="G2072" s="214" t="s">
        <v>61</v>
      </c>
      <c r="H2072" s="214" t="s">
        <v>249</v>
      </c>
      <c r="I2072" s="214"/>
      <c r="J2072" s="222" t="s">
        <v>67</v>
      </c>
      <c r="K2072" s="222">
        <v>7.5</v>
      </c>
      <c r="L2072" s="222" t="s">
        <v>67</v>
      </c>
      <c r="M2072" s="222">
        <v>62.5</v>
      </c>
      <c r="N2072" s="214">
        <v>366.0</v>
      </c>
      <c r="O2072" s="214">
        <v>350.0</v>
      </c>
      <c r="P2072" s="214">
        <v>2.0</v>
      </c>
      <c r="Q2072" s="214" t="b">
        <v>1</v>
      </c>
      <c r="R2072" s="214">
        <v>100.0</v>
      </c>
      <c r="S2072" s="214" t="s">
        <v>556</v>
      </c>
      <c r="T2072" s="214" t="s">
        <v>321</v>
      </c>
      <c r="U2072" s="214"/>
    </row>
    <row r="2073">
      <c r="A2073" s="221">
        <v>45993.06845158565</v>
      </c>
      <c r="B2073" s="214" t="s">
        <v>493</v>
      </c>
      <c r="C2073" s="214" t="s">
        <v>170</v>
      </c>
      <c r="D2073" s="214">
        <v>5.0</v>
      </c>
      <c r="E2073" s="214">
        <v>7.0</v>
      </c>
      <c r="F2073" s="214" t="s">
        <v>702</v>
      </c>
      <c r="G2073" s="214" t="s">
        <v>61</v>
      </c>
      <c r="H2073" s="214" t="s">
        <v>311</v>
      </c>
      <c r="I2073" s="214"/>
      <c r="J2073" s="222" t="s">
        <v>67</v>
      </c>
      <c r="K2073" s="222">
        <v>5.5</v>
      </c>
      <c r="L2073" s="222" t="s">
        <v>67</v>
      </c>
      <c r="M2073" s="222">
        <v>45.5</v>
      </c>
      <c r="N2073" s="214">
        <v>255.0</v>
      </c>
      <c r="O2073" s="214">
        <v>403.0</v>
      </c>
      <c r="P2073" s="214">
        <v>2.0</v>
      </c>
      <c r="Q2073" s="214" t="b">
        <v>1</v>
      </c>
      <c r="R2073" s="214">
        <v>100.0</v>
      </c>
      <c r="S2073" s="214" t="s">
        <v>530</v>
      </c>
      <c r="T2073" s="214" t="s">
        <v>365</v>
      </c>
      <c r="U2073" s="2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min="37" max="44" width="5.5"/>
  </cols>
  <sheetData>
    <row r="1">
      <c r="A1" s="1" t="str">
        <f>IFERROR(__xludf.DUMMYFUNCTION("{filter(Monday!A:AR,Monday!B:B&lt;&gt;"""");filter(Monday!A2:AR544,Monday!B2:B544&lt;&gt;"""")}"),"#VALUE!")</f>
        <v>#VALUE!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min="37" max="44" width="5.5"/>
  </cols>
  <sheetData>
    <row r="1">
      <c r="A1" s="1" t="str">
        <f>IFERROR(__xludf.DUMMYFUNCTION("{filter(Tuesday!A:AR,Tuesday!B:B&lt;&gt;"""");filter(Tuesday!A2:AR544,Tuesday!B2:B544&lt;&gt;"""")}"),"#VALUE!")</f>
        <v>#VALUE!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min="37" max="44" width="5.5"/>
  </cols>
  <sheetData>
    <row r="1">
      <c r="A1" s="1" t="str">
        <f>IFERROR(__xludf.DUMMYFUNCTION("{filter(Thursday!A:AR,Thursday!B:B&lt;&gt;"""");filter(Thursday!A2:AR544,Thursday!B2:B544&lt;&gt;"""")}"),"#VALUE!")</f>
        <v>#VALUE!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min="37" max="44" width="5.5"/>
  </cols>
  <sheetData>
    <row r="1">
      <c r="A1" s="1" t="str">
        <f>IFERROR(__xludf.DUMMYFUNCTION("{filter(Friday!A:AR,Friday!B:B&lt;&gt;"""");filter(Friday!A2:AR544,Friday!B2:B544&lt;&gt;"""")}"),"#VALUE!")</f>
        <v>#VALUE!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min="37" max="44" width="5.5"/>
  </cols>
  <sheetData>
    <row r="1">
      <c r="A1" s="1" t="str">
        <f>IFERROR(__xludf.DUMMYFUNCTION("{filter(Saturday!A:AR,Saturday!B:B&lt;&gt;"""");filter(Saturday!A2:AR544,Saturday!B2:B544&lt;&gt;"""")}"),"#VALUE!")</f>
        <v>#VALUE!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min="37" max="44" width="5.5"/>
  </cols>
  <sheetData>
    <row r="1">
      <c r="A1" s="1" t="str">
        <f>IFERROR(__xludf.DUMMYFUNCTION("{filter(Sunday!A:AR,Sunday!B:B&lt;&gt;"""");filter(Sunday!A2:AR544,Sunday!B2:B544&lt;&gt;"""")}"),"#VALUE!")</f>
        <v>#VALUE!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3">
      <c r="B3" s="1" t="str">
        <f>IFERROR(__xludf.DUMMYFUNCTION("IMPORTHTML(""https://www.espn.com/college-football/fpi"",""table"",A1)"),"")</f>
        <v/>
      </c>
      <c r="C3" t="str">
        <f>IFERROR(__xludf.DUMMYFUNCTION("""COMPUTED_VALUE"""),"POWER INDEX")</f>
        <v>POWER INDEX</v>
      </c>
      <c r="F3" t="str">
        <f>IFERROR(__xludf.DUMMYFUNCTION("""COMPUTED_VALUE"""),"PROJECTIONS")</f>
        <v>PROJECTIONS</v>
      </c>
      <c r="N3" s="1" t="str">
        <f>IFERROR(__xludf.DUMMYFUNCTION("IMPORTHTML(""https://www.espn.com/college-football/fpi"",""table"",1)"),"")</f>
        <v/>
      </c>
    </row>
    <row r="4">
      <c r="B4" s="224" t="str">
        <f>IFERROR(__xludf.DUMMYFUNCTION("""COMPUTED_VALUE"""),"W-L")</f>
        <v>W-L</v>
      </c>
      <c r="C4" s="224" t="str">
        <f>IFERROR(__xludf.DUMMYFUNCTION("""COMPUTED_VALUE"""),"FPI")</f>
        <v>FPI</v>
      </c>
      <c r="D4" s="224" t="str">
        <f>IFERROR(__xludf.DUMMYFUNCTION("""COMPUTED_VALUE"""),"RK")</f>
        <v>RK</v>
      </c>
      <c r="E4" s="224" t="str">
        <f>IFERROR(__xludf.DUMMYFUNCTION("""COMPUTED_VALUE"""),"TREND")</f>
        <v>TREND</v>
      </c>
      <c r="F4" s="224" t="str">
        <f>IFERROR(__xludf.DUMMYFUNCTION("""COMPUTED_VALUE"""),"PROJ W-L")</f>
        <v>PROJ W-L</v>
      </c>
      <c r="G4" s="224" t="str">
        <f>IFERROR(__xludf.DUMMYFUNCTION("""COMPUTED_VALUE"""),"WIN OUT%")</f>
        <v>WIN OUT%</v>
      </c>
      <c r="H4" s="224" t="str">
        <f>IFERROR(__xludf.DUMMYFUNCTION("""COMPUTED_VALUE"""),"6WINS%")</f>
        <v>6WINS%</v>
      </c>
      <c r="I4" s="224" t="str">
        <f>IFERROR(__xludf.DUMMYFUNCTION("""COMPUTED_VALUE"""),"WIN DIV%")</f>
        <v>WIN DIV%</v>
      </c>
      <c r="J4" s="224" t="str">
        <f>IFERROR(__xludf.DUMMYFUNCTION("""COMPUTED_VALUE"""),"WIN CONF%")</f>
        <v>WIN CONF%</v>
      </c>
      <c r="K4" s="224" t="str">
        <f>IFERROR(__xludf.DUMMYFUNCTION("""COMPUTED_VALUE"""),"PLAYOFF%")</f>
        <v>PLAYOFF%</v>
      </c>
      <c r="L4" s="224" t="str">
        <f>IFERROR(__xludf.DUMMYFUNCTION("""COMPUTED_VALUE"""),"MAKE NC%")</f>
        <v>MAKE NC%</v>
      </c>
      <c r="M4" s="224" t="str">
        <f>IFERROR(__xludf.DUMMYFUNCTION("""COMPUTED_VALUE"""),"WIN NC%")</f>
        <v>WIN NC%</v>
      </c>
      <c r="N4" s="224" t="str">
        <f>IFERROR(__xludf.DUMMYFUNCTION("""COMPUTED_VALUE"""),"Team")</f>
        <v>Team</v>
      </c>
      <c r="O4" s="224" t="str">
        <f>IFERROR(__xludf.DUMMYFUNCTION("""COMPUTED_VALUE"""),"CONF")</f>
        <v>CONF</v>
      </c>
      <c r="P4" s="1" t="s">
        <v>1286</v>
      </c>
      <c r="Q4" s="1"/>
    </row>
    <row r="5">
      <c r="B5" s="224" t="str">
        <f>IFERROR(__xludf.DUMMYFUNCTION("""COMPUTED_VALUE"""),"0-0")</f>
        <v>0-0</v>
      </c>
      <c r="C5" s="225">
        <f>IFERROR(__xludf.DUMMYFUNCTION("""COMPUTED_VALUE"""),28.7)</f>
        <v>28.7</v>
      </c>
      <c r="D5" s="225">
        <f>IFERROR(__xludf.DUMMYFUNCTION("""COMPUTED_VALUE"""),1.0)</f>
        <v>1</v>
      </c>
      <c r="E5" s="225" t="str">
        <f>IFERROR(__xludf.DUMMYFUNCTION("""COMPUTED_VALUE"""),"--")</f>
        <v>--</v>
      </c>
      <c r="F5" s="224" t="str">
        <f>IFERROR(__xludf.DUMMYFUNCTION("""COMPUTED_VALUE"""),"10.2-2.4")</f>
        <v>10.2-2.4</v>
      </c>
      <c r="G5" s="225">
        <f>IFERROR(__xludf.DUMMYFUNCTION("""COMPUTED_VALUE"""),9.2)</f>
        <v>9.2</v>
      </c>
      <c r="H5" s="225">
        <f>IFERROR(__xludf.DUMMYFUNCTION("""COMPUTED_VALUE"""),99.4)</f>
        <v>99.4</v>
      </c>
      <c r="I5" s="225">
        <f>IFERROR(__xludf.DUMMYFUNCTION("""COMPUTED_VALUE"""),0.0)</f>
        <v>0</v>
      </c>
      <c r="J5" s="225">
        <f>IFERROR(__xludf.DUMMYFUNCTION("""COMPUTED_VALUE"""),38.8)</f>
        <v>38.8</v>
      </c>
      <c r="K5" s="225">
        <f>IFERROR(__xludf.DUMMYFUNCTION("""COMPUTED_VALUE"""),75.7)</f>
        <v>75.7</v>
      </c>
      <c r="L5" s="225">
        <f>IFERROR(__xludf.DUMMYFUNCTION("""COMPUTED_VALUE"""),28.0)</f>
        <v>28</v>
      </c>
      <c r="M5" s="225">
        <f>IFERROR(__xludf.DUMMYFUNCTION("""COMPUTED_VALUE"""),17.0)</f>
        <v>17</v>
      </c>
      <c r="N5" s="224" t="str">
        <f>IFERROR(__xludf.DUMMYFUNCTION("""COMPUTED_VALUE"""),"Ohio State Buckeyes")</f>
        <v>Ohio State Buckeyes</v>
      </c>
      <c r="O5" s="226" t="str">
        <f>IFERROR(__xludf.DUMMYFUNCTION("""COMPUTED_VALUE"""),"Big Ten")</f>
        <v>Big Ten</v>
      </c>
      <c r="P5" s="227">
        <f>IFERROR(__xludf.DUMMYFUNCTION("if(F5="""","""",indeX(split(F5,""-""),1)-J5/100)"),9.812)</f>
        <v>9.812</v>
      </c>
      <c r="Q5" s="227"/>
    </row>
    <row r="6">
      <c r="B6" s="224" t="str">
        <f>IFERROR(__xludf.DUMMYFUNCTION("""COMPUTED_VALUE"""),"0-0")</f>
        <v>0-0</v>
      </c>
      <c r="C6" s="225">
        <f>IFERROR(__xludf.DUMMYFUNCTION("""COMPUTED_VALUE"""),26.9)</f>
        <v>26.9</v>
      </c>
      <c r="D6" s="225">
        <f>IFERROR(__xludf.DUMMYFUNCTION("""COMPUTED_VALUE"""),2.0)</f>
        <v>2</v>
      </c>
      <c r="E6" s="225" t="str">
        <f>IFERROR(__xludf.DUMMYFUNCTION("""COMPUTED_VALUE"""),"--")</f>
        <v>--</v>
      </c>
      <c r="F6" s="224" t="str">
        <f>IFERROR(__xludf.DUMMYFUNCTION("""COMPUTED_VALUE"""),"9.8-2.7")</f>
        <v>9.8-2.7</v>
      </c>
      <c r="G6" s="225">
        <f>IFERROR(__xludf.DUMMYFUNCTION("""COMPUTED_VALUE"""),6.8)</f>
        <v>6.8</v>
      </c>
      <c r="H6" s="225">
        <f>IFERROR(__xludf.DUMMYFUNCTION("""COMPUTED_VALUE"""),98.0)</f>
        <v>98</v>
      </c>
      <c r="I6" s="225">
        <f>IFERROR(__xludf.DUMMYFUNCTION("""COMPUTED_VALUE"""),0.0)</f>
        <v>0</v>
      </c>
      <c r="J6" s="225">
        <f>IFERROR(__xludf.DUMMYFUNCTION("""COMPUTED_VALUE"""),29.7)</f>
        <v>29.7</v>
      </c>
      <c r="K6" s="225">
        <f>IFERROR(__xludf.DUMMYFUNCTION("""COMPUTED_VALUE"""),70.2)</f>
        <v>70.2</v>
      </c>
      <c r="L6" s="225">
        <f>IFERROR(__xludf.DUMMYFUNCTION("""COMPUTED_VALUE"""),22.5)</f>
        <v>22.5</v>
      </c>
      <c r="M6" s="225">
        <f>IFERROR(__xludf.DUMMYFUNCTION("""COMPUTED_VALUE"""),12.8)</f>
        <v>12.8</v>
      </c>
      <c r="N6" s="224" t="str">
        <f>IFERROR(__xludf.DUMMYFUNCTION("""COMPUTED_VALUE"""),"Texas Longhorns")</f>
        <v>Texas Longhorns</v>
      </c>
      <c r="O6" s="226" t="str">
        <f>IFERROR(__xludf.DUMMYFUNCTION("""COMPUTED_VALUE"""),"SEC")</f>
        <v>SEC</v>
      </c>
      <c r="P6" s="227">
        <f>IFERROR(__xludf.DUMMYFUNCTION("if(F6="""","""",indeX(split(F6,""-""),1)-J6/100)"),9.503)</f>
        <v>9.503</v>
      </c>
      <c r="Q6" s="227"/>
    </row>
    <row r="7">
      <c r="B7" s="224" t="str">
        <f>IFERROR(__xludf.DUMMYFUNCTION("""COMPUTED_VALUE"""),"0-0")</f>
        <v>0-0</v>
      </c>
      <c r="C7" s="225">
        <f>IFERROR(__xludf.DUMMYFUNCTION("""COMPUTED_VALUE"""),25.9)</f>
        <v>25.9</v>
      </c>
      <c r="D7" s="225">
        <f>IFERROR(__xludf.DUMMYFUNCTION("""COMPUTED_VALUE"""),3.0)</f>
        <v>3</v>
      </c>
      <c r="E7" s="224" t="str">
        <f>IFERROR(__xludf.DUMMYFUNCTION("""COMPUTED_VALUE"""),"--")</f>
        <v>--</v>
      </c>
      <c r="F7" s="224" t="str">
        <f>IFERROR(__xludf.DUMMYFUNCTION("""COMPUTED_VALUE"""),"10.7-1.3")</f>
        <v>10.7-1.3</v>
      </c>
      <c r="G7" s="225">
        <f>IFERROR(__xludf.DUMMYFUNCTION("""COMPUTED_VALUE"""),32.7)</f>
        <v>32.7</v>
      </c>
      <c r="H7" s="225">
        <f>IFERROR(__xludf.DUMMYFUNCTION("""COMPUTED_VALUE"""),100.0)</f>
        <v>100</v>
      </c>
      <c r="I7" s="225">
        <f>IFERROR(__xludf.DUMMYFUNCTION("""COMPUTED_VALUE"""),0.0)</f>
        <v>0</v>
      </c>
      <c r="J7" s="225">
        <f>IFERROR(__xludf.DUMMYFUNCTION("""COMPUTED_VALUE"""),0.0)</f>
        <v>0</v>
      </c>
      <c r="K7" s="225">
        <f>IFERROR(__xludf.DUMMYFUNCTION("""COMPUTED_VALUE"""),74.1)</f>
        <v>74.1</v>
      </c>
      <c r="L7" s="225">
        <f>IFERROR(__xludf.DUMMYFUNCTION("""COMPUTED_VALUE"""),19.6)</f>
        <v>19.6</v>
      </c>
      <c r="M7" s="225">
        <f>IFERROR(__xludf.DUMMYFUNCTION("""COMPUTED_VALUE"""),10.6)</f>
        <v>10.6</v>
      </c>
      <c r="N7" s="224" t="str">
        <f>IFERROR(__xludf.DUMMYFUNCTION("""COMPUTED_VALUE"""),"Notre Dame Fighting Irish")</f>
        <v>Notre Dame Fighting Irish</v>
      </c>
      <c r="O7" s="226" t="str">
        <f>IFERROR(__xludf.DUMMYFUNCTION("""COMPUTED_VALUE"""),"FBS Indep.")</f>
        <v>FBS Indep.</v>
      </c>
      <c r="P7" s="227">
        <f>IFERROR(__xludf.DUMMYFUNCTION("if(F7="""","""",indeX(split(F7,""-""),1)-J7/100)"),10.7)</f>
        <v>10.7</v>
      </c>
      <c r="Q7" s="227"/>
    </row>
    <row r="8">
      <c r="B8" s="229" t="str">
        <f>IFERROR(__xludf.DUMMYFUNCTION("""COMPUTED_VALUE"""),"0-0")</f>
        <v>0-0</v>
      </c>
      <c r="C8" s="225">
        <f>IFERROR(__xludf.DUMMYFUNCTION("""COMPUTED_VALUE"""),25.3)</f>
        <v>25.3</v>
      </c>
      <c r="D8" s="225">
        <f>IFERROR(__xludf.DUMMYFUNCTION("""COMPUTED_VALUE"""),4.0)</f>
        <v>4</v>
      </c>
      <c r="E8" s="225" t="str">
        <f>IFERROR(__xludf.DUMMYFUNCTION("""COMPUTED_VALUE"""),"--")</f>
        <v>--</v>
      </c>
      <c r="F8" s="224" t="str">
        <f>IFERROR(__xludf.DUMMYFUNCTION("""COMPUTED_VALUE"""),"10.2-2.3")</f>
        <v>10.2-2.3</v>
      </c>
      <c r="G8" s="225">
        <f>IFERROR(__xludf.DUMMYFUNCTION("""COMPUTED_VALUE"""),8.5)</f>
        <v>8.5</v>
      </c>
      <c r="H8" s="225">
        <f>IFERROR(__xludf.DUMMYFUNCTION("""COMPUTED_VALUE"""),99.4)</f>
        <v>99.4</v>
      </c>
      <c r="I8" s="225">
        <f>IFERROR(__xludf.DUMMYFUNCTION("""COMPUTED_VALUE"""),0.0)</f>
        <v>0</v>
      </c>
      <c r="J8" s="225">
        <f>IFERROR(__xludf.DUMMYFUNCTION("""COMPUTED_VALUE"""),24.2)</f>
        <v>24.2</v>
      </c>
      <c r="K8" s="225">
        <f>IFERROR(__xludf.DUMMYFUNCTION("""COMPUTED_VALUE"""),64.7)</f>
        <v>64.7</v>
      </c>
      <c r="L8" s="225">
        <f>IFERROR(__xludf.DUMMYFUNCTION("""COMPUTED_VALUE"""),17.7)</f>
        <v>17.7</v>
      </c>
      <c r="M8" s="225">
        <f>IFERROR(__xludf.DUMMYFUNCTION("""COMPUTED_VALUE"""),9.2)</f>
        <v>9.2</v>
      </c>
      <c r="N8" s="224" t="str">
        <f>IFERROR(__xludf.DUMMYFUNCTION("""COMPUTED_VALUE"""),"Oregon Ducks")</f>
        <v>Oregon Ducks</v>
      </c>
      <c r="O8" s="226" t="str">
        <f>IFERROR(__xludf.DUMMYFUNCTION("""COMPUTED_VALUE"""),"Big Ten")</f>
        <v>Big Ten</v>
      </c>
      <c r="P8" s="227">
        <f>IFERROR(__xludf.DUMMYFUNCTION("if(F8="""","""",indeX(split(F8,""-""),1)-J8/100)"),9.957999999999998)</f>
        <v>9.958</v>
      </c>
      <c r="Q8" s="227"/>
    </row>
    <row r="9">
      <c r="B9" s="229" t="str">
        <f>IFERROR(__xludf.DUMMYFUNCTION("""COMPUTED_VALUE"""),"0-0")</f>
        <v>0-0</v>
      </c>
      <c r="C9" s="225">
        <f>IFERROR(__xludf.DUMMYFUNCTION("""COMPUTED_VALUE"""),24.8)</f>
        <v>24.8</v>
      </c>
      <c r="D9" s="225">
        <f>IFERROR(__xludf.DUMMYFUNCTION("""COMPUTED_VALUE"""),5.0)</f>
        <v>5</v>
      </c>
      <c r="E9" s="225" t="str">
        <f>IFERROR(__xludf.DUMMYFUNCTION("""COMPUTED_VALUE"""),"--")</f>
        <v>--</v>
      </c>
      <c r="F9" s="224" t="str">
        <f>IFERROR(__xludf.DUMMYFUNCTION("""COMPUTED_VALUE"""),"9.9-2.5")</f>
        <v>9.9-2.5</v>
      </c>
      <c r="G9" s="225">
        <f>IFERROR(__xludf.DUMMYFUNCTION("""COMPUTED_VALUE"""),10.9)</f>
        <v>10.9</v>
      </c>
      <c r="H9" s="225">
        <f>IFERROR(__xludf.DUMMYFUNCTION("""COMPUTED_VALUE"""),98.5)</f>
        <v>98.5</v>
      </c>
      <c r="I9" s="225">
        <f>IFERROR(__xludf.DUMMYFUNCTION("""COMPUTED_VALUE"""),0.0)</f>
        <v>0</v>
      </c>
      <c r="J9" s="225">
        <f>IFERROR(__xludf.DUMMYFUNCTION("""COMPUTED_VALUE"""),23.3)</f>
        <v>23.3</v>
      </c>
      <c r="K9" s="225">
        <f>IFERROR(__xludf.DUMMYFUNCTION("""COMPUTED_VALUE"""),63.9)</f>
        <v>63.9</v>
      </c>
      <c r="L9" s="225">
        <f>IFERROR(__xludf.DUMMYFUNCTION("""COMPUTED_VALUE"""),17.1)</f>
        <v>17.1</v>
      </c>
      <c r="M9" s="225">
        <f>IFERROR(__xludf.DUMMYFUNCTION("""COMPUTED_VALUE"""),9.6)</f>
        <v>9.6</v>
      </c>
      <c r="N9" s="224" t="str">
        <f>IFERROR(__xludf.DUMMYFUNCTION("""COMPUTED_VALUE"""),"Georgia Bulldogs")</f>
        <v>Georgia Bulldogs</v>
      </c>
      <c r="O9" s="226" t="str">
        <f>IFERROR(__xludf.DUMMYFUNCTION("""COMPUTED_VALUE"""),"SEC")</f>
        <v>SEC</v>
      </c>
      <c r="P9" s="227">
        <f>IFERROR(__xludf.DUMMYFUNCTION("if(F9="""","""",indeX(split(F9,""-""),1)-J9/100)"),9.667)</f>
        <v>9.667</v>
      </c>
      <c r="Q9" s="227"/>
    </row>
    <row r="10">
      <c r="B10" s="229" t="str">
        <f>IFERROR(__xludf.DUMMYFUNCTION("""COMPUTED_VALUE"""),"0-0")</f>
        <v>0-0</v>
      </c>
      <c r="C10" s="225">
        <f>IFERROR(__xludf.DUMMYFUNCTION("""COMPUTED_VALUE"""),23.1)</f>
        <v>23.1</v>
      </c>
      <c r="D10" s="225">
        <f>IFERROR(__xludf.DUMMYFUNCTION("""COMPUTED_VALUE"""),6.0)</f>
        <v>6</v>
      </c>
      <c r="E10" s="225" t="str">
        <f>IFERROR(__xludf.DUMMYFUNCTION("""COMPUTED_VALUE"""),"--")</f>
        <v>--</v>
      </c>
      <c r="F10" s="224" t="str">
        <f>IFERROR(__xludf.DUMMYFUNCTION("""COMPUTED_VALUE"""),"10.1-2.3")</f>
        <v>10.1-2.3</v>
      </c>
      <c r="G10" s="225">
        <f>IFERROR(__xludf.DUMMYFUNCTION("""COMPUTED_VALUE"""),9.5)</f>
        <v>9.5</v>
      </c>
      <c r="H10" s="225">
        <f>IFERROR(__xludf.DUMMYFUNCTION("""COMPUTED_VALUE"""),99.4)</f>
        <v>99.4</v>
      </c>
      <c r="I10" s="225">
        <f>IFERROR(__xludf.DUMMYFUNCTION("""COMPUTED_VALUE"""),0.0)</f>
        <v>0</v>
      </c>
      <c r="J10" s="225">
        <f>IFERROR(__xludf.DUMMYFUNCTION("""COMPUTED_VALUE"""),18.7)</f>
        <v>18.7</v>
      </c>
      <c r="K10" s="225">
        <f>IFERROR(__xludf.DUMMYFUNCTION("""COMPUTED_VALUE"""),57.1)</f>
        <v>57.1</v>
      </c>
      <c r="L10" s="225">
        <f>IFERROR(__xludf.DUMMYFUNCTION("""COMPUTED_VALUE"""),13.1)</f>
        <v>13.1</v>
      </c>
      <c r="M10" s="225">
        <f>IFERROR(__xludf.DUMMYFUNCTION("""COMPUTED_VALUE"""),6.4)</f>
        <v>6.4</v>
      </c>
      <c r="N10" s="224" t="str">
        <f>IFERROR(__xludf.DUMMYFUNCTION("""COMPUTED_VALUE"""),"Indiana Hoosiers")</f>
        <v>Indiana Hoosiers</v>
      </c>
      <c r="O10" s="226" t="str">
        <f>IFERROR(__xludf.DUMMYFUNCTION("""COMPUTED_VALUE"""),"Big Ten")</f>
        <v>Big Ten</v>
      </c>
      <c r="P10" s="227">
        <f>IFERROR(__xludf.DUMMYFUNCTION("if(F10="""","""",indeX(split(F10,""-""),1)-J10/100)"),9.913)</f>
        <v>9.913</v>
      </c>
      <c r="Q10" s="227"/>
    </row>
    <row r="11">
      <c r="B11" s="224" t="str">
        <f>IFERROR(__xludf.DUMMYFUNCTION("""COMPUTED_VALUE"""),"0-0")</f>
        <v>0-0</v>
      </c>
      <c r="C11" s="225">
        <f>IFERROR(__xludf.DUMMYFUNCTION("""COMPUTED_VALUE"""),21.8)</f>
        <v>21.8</v>
      </c>
      <c r="D11" s="225">
        <f>IFERROR(__xludf.DUMMYFUNCTION("""COMPUTED_VALUE"""),7.0)</f>
        <v>7</v>
      </c>
      <c r="E11" s="225" t="str">
        <f>IFERROR(__xludf.DUMMYFUNCTION("""COMPUTED_VALUE"""),"--")</f>
        <v>--</v>
      </c>
      <c r="F11" s="224" t="str">
        <f>IFERROR(__xludf.DUMMYFUNCTION("""COMPUTED_VALUE"""),"10.4-2.3")</f>
        <v>10.4-2.3</v>
      </c>
      <c r="G11" s="225">
        <f>IFERROR(__xludf.DUMMYFUNCTION("""COMPUTED_VALUE"""),8.8)</f>
        <v>8.8</v>
      </c>
      <c r="H11" s="225">
        <f>IFERROR(__xludf.DUMMYFUNCTION("""COMPUTED_VALUE"""),99.4)</f>
        <v>99.4</v>
      </c>
      <c r="I11" s="225">
        <f>IFERROR(__xludf.DUMMYFUNCTION("""COMPUTED_VALUE"""),0.0)</f>
        <v>0</v>
      </c>
      <c r="J11" s="225">
        <f>IFERROR(__xludf.DUMMYFUNCTION("""COMPUTED_VALUE"""),50.3)</f>
        <v>50.3</v>
      </c>
      <c r="K11" s="225">
        <f>IFERROR(__xludf.DUMMYFUNCTION("""COMPUTED_VALUE"""),63.3)</f>
        <v>63.3</v>
      </c>
      <c r="L11" s="225">
        <f>IFERROR(__xludf.DUMMYFUNCTION("""COMPUTED_VALUE"""),11.2)</f>
        <v>11.2</v>
      </c>
      <c r="M11" s="225">
        <f>IFERROR(__xludf.DUMMYFUNCTION("""COMPUTED_VALUE"""),5.3)</f>
        <v>5.3</v>
      </c>
      <c r="N11" s="224" t="str">
        <f>IFERROR(__xludf.DUMMYFUNCTION("""COMPUTED_VALUE"""),"Miami Hurricanes")</f>
        <v>Miami Hurricanes</v>
      </c>
      <c r="O11" s="226" t="str">
        <f>IFERROR(__xludf.DUMMYFUNCTION("""COMPUTED_VALUE"""),"ACC")</f>
        <v>ACC</v>
      </c>
      <c r="P11" s="227">
        <f>IFERROR(__xludf.DUMMYFUNCTION("if(F11="""","""",indeX(split(F11,""-""),1)-J11/100)"),9.897)</f>
        <v>9.897</v>
      </c>
      <c r="Q11" s="227"/>
    </row>
    <row r="12">
      <c r="B12" s="224" t="str">
        <f>IFERROR(__xludf.DUMMYFUNCTION("""COMPUTED_VALUE"""),"0-0")</f>
        <v>0-0</v>
      </c>
      <c r="C12" s="225">
        <f>IFERROR(__xludf.DUMMYFUNCTION("""COMPUTED_VALUE"""),20.1)</f>
        <v>20.1</v>
      </c>
      <c r="D12" s="225">
        <f>IFERROR(__xludf.DUMMYFUNCTION("""COMPUTED_VALUE"""),8.0)</f>
        <v>8</v>
      </c>
      <c r="E12" s="225" t="str">
        <f>IFERROR(__xludf.DUMMYFUNCTION("""COMPUTED_VALUE"""),"--")</f>
        <v>--</v>
      </c>
      <c r="F12" s="224" t="str">
        <f>IFERROR(__xludf.DUMMYFUNCTION("""COMPUTED_VALUE"""),"8.6-3.6")</f>
        <v>8.6-3.6</v>
      </c>
      <c r="G12" s="225">
        <f>IFERROR(__xludf.DUMMYFUNCTION("""COMPUTED_VALUE"""),1.6)</f>
        <v>1.6</v>
      </c>
      <c r="H12" s="225">
        <f>IFERROR(__xludf.DUMMYFUNCTION("""COMPUTED_VALUE"""),93.1)</f>
        <v>93.1</v>
      </c>
      <c r="I12" s="225">
        <f>IFERROR(__xludf.DUMMYFUNCTION("""COMPUTED_VALUE"""),0.0)</f>
        <v>0</v>
      </c>
      <c r="J12" s="225">
        <f>IFERROR(__xludf.DUMMYFUNCTION("""COMPUTED_VALUE"""),10.3)</f>
        <v>10.3</v>
      </c>
      <c r="K12" s="225">
        <f>IFERROR(__xludf.DUMMYFUNCTION("""COMPUTED_VALUE"""),41.4)</f>
        <v>41.4</v>
      </c>
      <c r="L12" s="225">
        <f>IFERROR(__xludf.DUMMYFUNCTION("""COMPUTED_VALUE"""),8.1)</f>
        <v>8.1</v>
      </c>
      <c r="M12" s="225">
        <f>IFERROR(__xludf.DUMMYFUNCTION("""COMPUTED_VALUE"""),3.8)</f>
        <v>3.8</v>
      </c>
      <c r="N12" s="224" t="str">
        <f>IFERROR(__xludf.DUMMYFUNCTION("""COMPUTED_VALUE"""),"Alabama Crimson Tide")</f>
        <v>Alabama Crimson Tide</v>
      </c>
      <c r="O12" s="226" t="str">
        <f>IFERROR(__xludf.DUMMYFUNCTION("""COMPUTED_VALUE"""),"SEC")</f>
        <v>SEC</v>
      </c>
      <c r="P12" s="227">
        <f>IFERROR(__xludf.DUMMYFUNCTION("if(F12="""","""",indeX(split(F12,""-""),1)-J12/100)"),8.497)</f>
        <v>8.497</v>
      </c>
      <c r="Q12" s="227"/>
    </row>
    <row r="13">
      <c r="B13" s="229" t="str">
        <f>IFERROR(__xludf.DUMMYFUNCTION("""COMPUTED_VALUE"""),"0-0")</f>
        <v>0-0</v>
      </c>
      <c r="C13" s="225">
        <f>IFERROR(__xludf.DUMMYFUNCTION("""COMPUTED_VALUE"""),20.0)</f>
        <v>20</v>
      </c>
      <c r="D13" s="225">
        <f>IFERROR(__xludf.DUMMYFUNCTION("""COMPUTED_VALUE"""),9.0)</f>
        <v>9</v>
      </c>
      <c r="E13" s="225" t="str">
        <f>IFERROR(__xludf.DUMMYFUNCTION("""COMPUTED_VALUE"""),"--")</f>
        <v>--</v>
      </c>
      <c r="F13" s="224" t="str">
        <f>IFERROR(__xludf.DUMMYFUNCTION("""COMPUTED_VALUE"""),"8.4-3.8")</f>
        <v>8.4-3.8</v>
      </c>
      <c r="G13" s="225">
        <f>IFERROR(__xludf.DUMMYFUNCTION("""COMPUTED_VALUE"""),1.1)</f>
        <v>1.1</v>
      </c>
      <c r="H13" s="225">
        <f>IFERROR(__xludf.DUMMYFUNCTION("""COMPUTED_VALUE"""),91.9)</f>
        <v>91.9</v>
      </c>
      <c r="I13" s="225">
        <f>IFERROR(__xludf.DUMMYFUNCTION("""COMPUTED_VALUE"""),0.0)</f>
        <v>0</v>
      </c>
      <c r="J13" s="225">
        <f>IFERROR(__xludf.DUMMYFUNCTION("""COMPUTED_VALUE"""),8.8)</f>
        <v>8.8</v>
      </c>
      <c r="K13" s="225">
        <f>IFERROR(__xludf.DUMMYFUNCTION("""COMPUTED_VALUE"""),39.5)</f>
        <v>39.5</v>
      </c>
      <c r="L13" s="225">
        <f>IFERROR(__xludf.DUMMYFUNCTION("""COMPUTED_VALUE"""),7.6)</f>
        <v>7.6</v>
      </c>
      <c r="M13" s="225">
        <f>IFERROR(__xludf.DUMMYFUNCTION("""COMPUTED_VALUE"""),3.5)</f>
        <v>3.5</v>
      </c>
      <c r="N13" s="224" t="str">
        <f>IFERROR(__xludf.DUMMYFUNCTION("""COMPUTED_VALUE"""),"LSU Tigers")</f>
        <v>LSU Tigers</v>
      </c>
      <c r="O13" s="226" t="str">
        <f>IFERROR(__xludf.DUMMYFUNCTION("""COMPUTED_VALUE"""),"SEC")</f>
        <v>SEC</v>
      </c>
      <c r="P13" s="227">
        <f>IFERROR(__xludf.DUMMYFUNCTION("if(F13="""","""",indeX(split(F13,""-""),1)-J13/100)"),8.312000000000001)</f>
        <v>8.312</v>
      </c>
      <c r="Q13" s="227"/>
    </row>
    <row r="14">
      <c r="B14" s="229" t="str">
        <f>IFERROR(__xludf.DUMMYFUNCTION("""COMPUTED_VALUE"""),"0-0")</f>
        <v>0-0</v>
      </c>
      <c r="C14" s="225">
        <f>IFERROR(__xludf.DUMMYFUNCTION("""COMPUTED_VALUE"""),20.0)</f>
        <v>20</v>
      </c>
      <c r="D14" s="225">
        <f>IFERROR(__xludf.DUMMYFUNCTION("""COMPUTED_VALUE"""),10.0)</f>
        <v>10</v>
      </c>
      <c r="E14" s="225" t="str">
        <f>IFERROR(__xludf.DUMMYFUNCTION("""COMPUTED_VALUE"""),"--")</f>
        <v>--</v>
      </c>
      <c r="F14" s="224" t="str">
        <f>IFERROR(__xludf.DUMMYFUNCTION("""COMPUTED_VALUE"""),"10.8-1.8")</f>
        <v>10.8-1.8</v>
      </c>
      <c r="G14" s="225">
        <f>IFERROR(__xludf.DUMMYFUNCTION("""COMPUTED_VALUE"""),25.2)</f>
        <v>25.2</v>
      </c>
      <c r="H14" s="225">
        <f>IFERROR(__xludf.DUMMYFUNCTION("""COMPUTED_VALUE"""),99.5)</f>
        <v>99.5</v>
      </c>
      <c r="I14" s="225">
        <f>IFERROR(__xludf.DUMMYFUNCTION("""COMPUTED_VALUE"""),0.0)</f>
        <v>0</v>
      </c>
      <c r="J14" s="225">
        <f>IFERROR(__xludf.DUMMYFUNCTION("""COMPUTED_VALUE"""),45.9)</f>
        <v>45.9</v>
      </c>
      <c r="K14" s="225">
        <f>IFERROR(__xludf.DUMMYFUNCTION("""COMPUTED_VALUE"""),57.8)</f>
        <v>57.8</v>
      </c>
      <c r="L14" s="225">
        <f>IFERROR(__xludf.DUMMYFUNCTION("""COMPUTED_VALUE"""),8.1)</f>
        <v>8.1</v>
      </c>
      <c r="M14" s="225">
        <f>IFERROR(__xludf.DUMMYFUNCTION("""COMPUTED_VALUE"""),3.5)</f>
        <v>3.5</v>
      </c>
      <c r="N14" s="224" t="str">
        <f>IFERROR(__xludf.DUMMYFUNCTION("""COMPUTED_VALUE"""),"Texas Tech Red Raiders")</f>
        <v>Texas Tech Red Raiders</v>
      </c>
      <c r="O14" s="226" t="str">
        <f>IFERROR(__xludf.DUMMYFUNCTION("""COMPUTED_VALUE"""),"Big 12")</f>
        <v>Big 12</v>
      </c>
      <c r="P14" s="227">
        <f>IFERROR(__xludf.DUMMYFUNCTION("if(F14="""","""",indeX(split(F14,""-""),1)-J14/100)"),10.341000000000001)</f>
        <v>10.341</v>
      </c>
      <c r="Q14" s="227"/>
    </row>
    <row r="15">
      <c r="B15" s="229" t="str">
        <f>IFERROR(__xludf.DUMMYFUNCTION("""COMPUTED_VALUE"""),"0-0")</f>
        <v>0-0</v>
      </c>
      <c r="C15" s="225">
        <f>IFERROR(__xludf.DUMMYFUNCTION("""COMPUTED_VALUE"""),20.0)</f>
        <v>20</v>
      </c>
      <c r="D15" s="225">
        <f>IFERROR(__xludf.DUMMYFUNCTION("""COMPUTED_VALUE"""),11.0)</f>
        <v>11</v>
      </c>
      <c r="E15" s="225" t="str">
        <f>IFERROR(__xludf.DUMMYFUNCTION("""COMPUTED_VALUE"""),"--")</f>
        <v>--</v>
      </c>
      <c r="F15" s="224" t="str">
        <f>IFERROR(__xludf.DUMMYFUNCTION("""COMPUTED_VALUE"""),"8.4-3.8")</f>
        <v>8.4-3.8</v>
      </c>
      <c r="G15" s="225">
        <f>IFERROR(__xludf.DUMMYFUNCTION("""COMPUTED_VALUE"""),0.8)</f>
        <v>0.8</v>
      </c>
      <c r="H15" s="225">
        <f>IFERROR(__xludf.DUMMYFUNCTION("""COMPUTED_VALUE"""),92.6)</f>
        <v>92.6</v>
      </c>
      <c r="I15" s="225">
        <f>IFERROR(__xludf.DUMMYFUNCTION("""COMPUTED_VALUE"""),0.0)</f>
        <v>0</v>
      </c>
      <c r="J15" s="225">
        <f>IFERROR(__xludf.DUMMYFUNCTION("""COMPUTED_VALUE"""),8.4)</f>
        <v>8.4</v>
      </c>
      <c r="K15" s="225">
        <f>IFERROR(__xludf.DUMMYFUNCTION("""COMPUTED_VALUE"""),38.8)</f>
        <v>38.8</v>
      </c>
      <c r="L15" s="225">
        <f>IFERROR(__xludf.DUMMYFUNCTION("""COMPUTED_VALUE"""),7.3)</f>
        <v>7.3</v>
      </c>
      <c r="M15" s="225">
        <f>IFERROR(__xludf.DUMMYFUNCTION("""COMPUTED_VALUE"""),3.4)</f>
        <v>3.4</v>
      </c>
      <c r="N15" s="224" t="str">
        <f>IFERROR(__xludf.DUMMYFUNCTION("""COMPUTED_VALUE"""),"Texas A&amp;M Aggies")</f>
        <v>Texas A&amp;M Aggies</v>
      </c>
      <c r="O15" s="226" t="str">
        <f>IFERROR(__xludf.DUMMYFUNCTION("""COMPUTED_VALUE"""),"SEC")</f>
        <v>SEC</v>
      </c>
      <c r="P15" s="227">
        <f>IFERROR(__xludf.DUMMYFUNCTION("if(F15="""","""",indeX(split(F15,""-""),1)-J15/100)"),8.316)</f>
        <v>8.316</v>
      </c>
      <c r="Q15" s="227"/>
    </row>
    <row r="16">
      <c r="B16" s="229" t="str">
        <f>IFERROR(__xludf.DUMMYFUNCTION("""COMPUTED_VALUE"""),"0-0")</f>
        <v>0-0</v>
      </c>
      <c r="C16" s="225">
        <f>IFERROR(__xludf.DUMMYFUNCTION("""COMPUTED_VALUE"""),17.8)</f>
        <v>17.8</v>
      </c>
      <c r="D16" s="225">
        <f>IFERROR(__xludf.DUMMYFUNCTION("""COMPUTED_VALUE"""),12.0)</f>
        <v>12</v>
      </c>
      <c r="E16" s="225" t="str">
        <f>IFERROR(__xludf.DUMMYFUNCTION("""COMPUTED_VALUE"""),"--")</f>
        <v>--</v>
      </c>
      <c r="F16" s="224" t="str">
        <f>IFERROR(__xludf.DUMMYFUNCTION("""COMPUTED_VALUE"""),"7.5-4.6")</f>
        <v>7.5-4.6</v>
      </c>
      <c r="G16" s="225">
        <f>IFERROR(__xludf.DUMMYFUNCTION("""COMPUTED_VALUE"""),0.1)</f>
        <v>0.1</v>
      </c>
      <c r="H16" s="225">
        <f>IFERROR(__xludf.DUMMYFUNCTION("""COMPUTED_VALUE"""),83.2)</f>
        <v>83.2</v>
      </c>
      <c r="I16" s="225">
        <f>IFERROR(__xludf.DUMMYFUNCTION("""COMPUTED_VALUE"""),0.0)</f>
        <v>0</v>
      </c>
      <c r="J16" s="225">
        <f>IFERROR(__xludf.DUMMYFUNCTION("""COMPUTED_VALUE"""),5.4)</f>
        <v>5.4</v>
      </c>
      <c r="K16" s="225">
        <f>IFERROR(__xludf.DUMMYFUNCTION("""COMPUTED_VALUE"""),28.2)</f>
        <v>28.2</v>
      </c>
      <c r="L16" s="225">
        <f>IFERROR(__xludf.DUMMYFUNCTION("""COMPUTED_VALUE"""),4.6)</f>
        <v>4.6</v>
      </c>
      <c r="M16" s="225">
        <f>IFERROR(__xludf.DUMMYFUNCTION("""COMPUTED_VALUE"""),1.9)</f>
        <v>1.9</v>
      </c>
      <c r="N16" s="224" t="str">
        <f>IFERROR(__xludf.DUMMYFUNCTION("""COMPUTED_VALUE"""),"Oklahoma Sooners")</f>
        <v>Oklahoma Sooners</v>
      </c>
      <c r="O16" s="226" t="str">
        <f>IFERROR(__xludf.DUMMYFUNCTION("""COMPUTED_VALUE"""),"SEC")</f>
        <v>SEC</v>
      </c>
      <c r="P16" s="227">
        <f>IFERROR(__xludf.DUMMYFUNCTION("if(F16="""","""",indeX(split(F16,""-""),1)-J16/100)"),7.446)</f>
        <v>7.446</v>
      </c>
      <c r="Q16" s="227"/>
    </row>
    <row r="17">
      <c r="B17" s="229" t="str">
        <f>IFERROR(__xludf.DUMMYFUNCTION("""COMPUTED_VALUE"""),"0-0")</f>
        <v>0-0</v>
      </c>
      <c r="C17" s="225">
        <f>IFERROR(__xludf.DUMMYFUNCTION("""COMPUTED_VALUE"""),17.0)</f>
        <v>17</v>
      </c>
      <c r="D17" s="225">
        <f>IFERROR(__xludf.DUMMYFUNCTION("""COMPUTED_VALUE"""),13.0)</f>
        <v>13</v>
      </c>
      <c r="E17" s="225" t="str">
        <f>IFERROR(__xludf.DUMMYFUNCTION("""COMPUTED_VALUE"""),"--")</f>
        <v>--</v>
      </c>
      <c r="F17" s="224" t="str">
        <f>IFERROR(__xludf.DUMMYFUNCTION("""COMPUTED_VALUE"""),"8.2-3.9")</f>
        <v>8.2-3.9</v>
      </c>
      <c r="G17" s="225">
        <f>IFERROR(__xludf.DUMMYFUNCTION("""COMPUTED_VALUE"""),0.3)</f>
        <v>0.3</v>
      </c>
      <c r="H17" s="225">
        <f>IFERROR(__xludf.DUMMYFUNCTION("""COMPUTED_VALUE"""),93.2)</f>
        <v>93.2</v>
      </c>
      <c r="I17" s="225">
        <f>IFERROR(__xludf.DUMMYFUNCTION("""COMPUTED_VALUE"""),0.0)</f>
        <v>0</v>
      </c>
      <c r="J17" s="225">
        <f>IFERROR(__xludf.DUMMYFUNCTION("""COMPUTED_VALUE"""),5.1)</f>
        <v>5.1</v>
      </c>
      <c r="K17" s="225">
        <f>IFERROR(__xludf.DUMMYFUNCTION("""COMPUTED_VALUE"""),27.5)</f>
        <v>27.5</v>
      </c>
      <c r="L17" s="225">
        <f>IFERROR(__xludf.DUMMYFUNCTION("""COMPUTED_VALUE"""),3.9)</f>
        <v>3.9</v>
      </c>
      <c r="M17" s="225">
        <f>IFERROR(__xludf.DUMMYFUNCTION("""COMPUTED_VALUE"""),1.7)</f>
        <v>1.7</v>
      </c>
      <c r="N17" s="224" t="str">
        <f>IFERROR(__xludf.DUMMYFUNCTION("""COMPUTED_VALUE"""),"USC Trojans")</f>
        <v>USC Trojans</v>
      </c>
      <c r="O17" s="226" t="str">
        <f>IFERROR(__xludf.DUMMYFUNCTION("""COMPUTED_VALUE"""),"Big Ten")</f>
        <v>Big Ten</v>
      </c>
      <c r="P17" s="227">
        <f>IFERROR(__xludf.DUMMYFUNCTION("if(F17="""","""",indeX(split(F17,""-""),1)-J17/100)"),8.149)</f>
        <v>8.149</v>
      </c>
      <c r="Q17" s="227"/>
    </row>
    <row r="18">
      <c r="B18" s="229" t="str">
        <f>IFERROR(__xludf.DUMMYFUNCTION("""COMPUTED_VALUE"""),"0-0")</f>
        <v>0-0</v>
      </c>
      <c r="C18" s="225">
        <f>IFERROR(__xludf.DUMMYFUNCTION("""COMPUTED_VALUE"""),16.0)</f>
        <v>16</v>
      </c>
      <c r="D18" s="225">
        <f>IFERROR(__xludf.DUMMYFUNCTION("""COMPUTED_VALUE"""),14.0)</f>
        <v>14</v>
      </c>
      <c r="E18" s="225" t="str">
        <f>IFERROR(__xludf.DUMMYFUNCTION("""COMPUTED_VALUE"""),"--")</f>
        <v>--</v>
      </c>
      <c r="F18" s="224" t="str">
        <f>IFERROR(__xludf.DUMMYFUNCTION("""COMPUTED_VALUE"""),"7.3-4.8")</f>
        <v>7.3-4.8</v>
      </c>
      <c r="G18" s="225">
        <f>IFERROR(__xludf.DUMMYFUNCTION("""COMPUTED_VALUE"""),0.1)</f>
        <v>0.1</v>
      </c>
      <c r="H18" s="225">
        <f>IFERROR(__xludf.DUMMYFUNCTION("""COMPUTED_VALUE"""),81.0)</f>
        <v>81</v>
      </c>
      <c r="I18" s="225">
        <f>IFERROR(__xludf.DUMMYFUNCTION("""COMPUTED_VALUE"""),0.0)</f>
        <v>0</v>
      </c>
      <c r="J18" s="225">
        <f>IFERROR(__xludf.DUMMYFUNCTION("""COMPUTED_VALUE"""),3.7)</f>
        <v>3.7</v>
      </c>
      <c r="K18" s="225">
        <f>IFERROR(__xludf.DUMMYFUNCTION("""COMPUTED_VALUE"""),22.5)</f>
        <v>22.5</v>
      </c>
      <c r="L18" s="225">
        <f>IFERROR(__xludf.DUMMYFUNCTION("""COMPUTED_VALUE"""),3.4)</f>
        <v>3.4</v>
      </c>
      <c r="M18" s="225">
        <f>IFERROR(__xludf.DUMMYFUNCTION("""COMPUTED_VALUE"""),1.5)</f>
        <v>1.5</v>
      </c>
      <c r="N18" s="224" t="str">
        <f>IFERROR(__xludf.DUMMYFUNCTION("""COMPUTED_VALUE"""),"Ole Miss Rebels")</f>
        <v>Ole Miss Rebels</v>
      </c>
      <c r="O18" s="226" t="str">
        <f>IFERROR(__xludf.DUMMYFUNCTION("""COMPUTED_VALUE"""),"SEC")</f>
        <v>SEC</v>
      </c>
      <c r="P18" s="227">
        <f>IFERROR(__xludf.DUMMYFUNCTION("if(F18="""","""",indeX(split(F18,""-""),1)-J18/100)"),7.263)</f>
        <v>7.263</v>
      </c>
      <c r="Q18" s="227"/>
    </row>
    <row r="19">
      <c r="B19" s="224" t="str">
        <f>IFERROR(__xludf.DUMMYFUNCTION("""COMPUTED_VALUE"""),"0-0")</f>
        <v>0-0</v>
      </c>
      <c r="C19" s="225">
        <f>IFERROR(__xludf.DUMMYFUNCTION("""COMPUTED_VALUE"""),15.9)</f>
        <v>15.9</v>
      </c>
      <c r="D19" s="225">
        <f>IFERROR(__xludf.DUMMYFUNCTION("""COMPUTED_VALUE"""),15.0)</f>
        <v>15</v>
      </c>
      <c r="E19" s="225" t="str">
        <f>IFERROR(__xludf.DUMMYFUNCTION("""COMPUTED_VALUE"""),"--")</f>
        <v>--</v>
      </c>
      <c r="F19" s="224" t="str">
        <f>IFERROR(__xludf.DUMMYFUNCTION("""COMPUTED_VALUE"""),"7.8-4.3")</f>
        <v>7.8-4.3</v>
      </c>
      <c r="G19" s="225">
        <f>IFERROR(__xludf.DUMMYFUNCTION("""COMPUTED_VALUE"""),0.1)</f>
        <v>0.1</v>
      </c>
      <c r="H19" s="225">
        <f>IFERROR(__xludf.DUMMYFUNCTION("""COMPUTED_VALUE"""),89.7)</f>
        <v>89.7</v>
      </c>
      <c r="I19" s="225">
        <f>IFERROR(__xludf.DUMMYFUNCTION("""COMPUTED_VALUE"""),0.0)</f>
        <v>0</v>
      </c>
      <c r="J19" s="225">
        <f>IFERROR(__xludf.DUMMYFUNCTION("""COMPUTED_VALUE"""),3.8)</f>
        <v>3.8</v>
      </c>
      <c r="K19" s="225">
        <f>IFERROR(__xludf.DUMMYFUNCTION("""COMPUTED_VALUE"""),23.2)</f>
        <v>23.2</v>
      </c>
      <c r="L19" s="225">
        <f>IFERROR(__xludf.DUMMYFUNCTION("""COMPUTED_VALUE"""),2.8)</f>
        <v>2.8</v>
      </c>
      <c r="M19" s="225">
        <f>IFERROR(__xludf.DUMMYFUNCTION("""COMPUTED_VALUE"""),1.1)</f>
        <v>1.1</v>
      </c>
      <c r="N19" s="224" t="str">
        <f>IFERROR(__xludf.DUMMYFUNCTION("""COMPUTED_VALUE"""),"Michigan Wolverines")</f>
        <v>Michigan Wolverines</v>
      </c>
      <c r="O19" s="226" t="str">
        <f>IFERROR(__xludf.DUMMYFUNCTION("""COMPUTED_VALUE"""),"Big Ten")</f>
        <v>Big Ten</v>
      </c>
      <c r="P19" s="227">
        <f>IFERROR(__xludf.DUMMYFUNCTION("if(F19="""","""",indeX(split(F19,""-""),1)-J19/100)"),7.762)</f>
        <v>7.762</v>
      </c>
      <c r="Q19" s="227"/>
    </row>
    <row r="20">
      <c r="B20" s="229" t="str">
        <f>IFERROR(__xludf.DUMMYFUNCTION("""COMPUTED_VALUE"""),"0-0")</f>
        <v>0-0</v>
      </c>
      <c r="C20" s="225">
        <f>IFERROR(__xludf.DUMMYFUNCTION("""COMPUTED_VALUE"""),15.1)</f>
        <v>15.1</v>
      </c>
      <c r="D20" s="225">
        <f>IFERROR(__xludf.DUMMYFUNCTION("""COMPUTED_VALUE"""),16.0)</f>
        <v>16</v>
      </c>
      <c r="E20" s="225" t="str">
        <f>IFERROR(__xludf.DUMMYFUNCTION("""COMPUTED_VALUE"""),"--")</f>
        <v>--</v>
      </c>
      <c r="F20" s="224" t="str">
        <f>IFERROR(__xludf.DUMMYFUNCTION("""COMPUTED_VALUE"""),"7.3-4.7")</f>
        <v>7.3-4.7</v>
      </c>
      <c r="G20" s="225">
        <f>IFERROR(__xludf.DUMMYFUNCTION("""COMPUTED_VALUE"""),0.1)</f>
        <v>0.1</v>
      </c>
      <c r="H20" s="225">
        <f>IFERROR(__xludf.DUMMYFUNCTION("""COMPUTED_VALUE"""),80.8)</f>
        <v>80.8</v>
      </c>
      <c r="I20" s="225">
        <f>IFERROR(__xludf.DUMMYFUNCTION("""COMPUTED_VALUE"""),0.0)</f>
        <v>0</v>
      </c>
      <c r="J20" s="225">
        <f>IFERROR(__xludf.DUMMYFUNCTION("""COMPUTED_VALUE"""),3.1)</f>
        <v>3.1</v>
      </c>
      <c r="K20" s="225">
        <f>IFERROR(__xludf.DUMMYFUNCTION("""COMPUTED_VALUE"""),20.4)</f>
        <v>20.4</v>
      </c>
      <c r="L20" s="225">
        <f>IFERROR(__xludf.DUMMYFUNCTION("""COMPUTED_VALUE"""),2.5)</f>
        <v>2.5</v>
      </c>
      <c r="M20" s="225">
        <f>IFERROR(__xludf.DUMMYFUNCTION("""COMPUTED_VALUE"""),1.0)</f>
        <v>1</v>
      </c>
      <c r="N20" s="224" t="str">
        <f>IFERROR(__xludf.DUMMYFUNCTION("""COMPUTED_VALUE"""),"Tennessee Volunteers")</f>
        <v>Tennessee Volunteers</v>
      </c>
      <c r="O20" s="226" t="str">
        <f>IFERROR(__xludf.DUMMYFUNCTION("""COMPUTED_VALUE"""),"SEC")</f>
        <v>SEC</v>
      </c>
      <c r="P20" s="227">
        <f>IFERROR(__xludf.DUMMYFUNCTION("if(F20="""","""",indeX(split(F20,""-""),1)-J20/100)"),7.269)</f>
        <v>7.269</v>
      </c>
      <c r="Q20" s="227"/>
    </row>
    <row r="21">
      <c r="B21" s="229" t="str">
        <f>IFERROR(__xludf.DUMMYFUNCTION("""COMPUTED_VALUE"""),"0-0")</f>
        <v>0-0</v>
      </c>
      <c r="C21" s="225">
        <f>IFERROR(__xludf.DUMMYFUNCTION("""COMPUTED_VALUE"""),13.7)</f>
        <v>13.7</v>
      </c>
      <c r="D21" s="225">
        <f>IFERROR(__xludf.DUMMYFUNCTION("""COMPUTED_VALUE"""),17.0)</f>
        <v>17</v>
      </c>
      <c r="E21" s="225" t="str">
        <f>IFERROR(__xludf.DUMMYFUNCTION("""COMPUTED_VALUE"""),"--")</f>
        <v>--</v>
      </c>
      <c r="F21" s="224" t="str">
        <f>IFERROR(__xludf.DUMMYFUNCTION("""COMPUTED_VALUE"""),"9.0-3.2")</f>
        <v>9.0-3.2</v>
      </c>
      <c r="G21" s="225">
        <f>IFERROR(__xludf.DUMMYFUNCTION("""COMPUTED_VALUE"""),2.5)</f>
        <v>2.5</v>
      </c>
      <c r="H21" s="225">
        <f>IFERROR(__xludf.DUMMYFUNCTION("""COMPUTED_VALUE"""),95.8)</f>
        <v>95.8</v>
      </c>
      <c r="I21" s="225">
        <f>IFERROR(__xludf.DUMMYFUNCTION("""COMPUTED_VALUE"""),0.0)</f>
        <v>0</v>
      </c>
      <c r="J21" s="225">
        <f>IFERROR(__xludf.DUMMYFUNCTION("""COMPUTED_VALUE"""),4.5)</f>
        <v>4.5</v>
      </c>
      <c r="K21" s="225">
        <f>IFERROR(__xludf.DUMMYFUNCTION("""COMPUTED_VALUE"""),22.0)</f>
        <v>22</v>
      </c>
      <c r="L21" s="225">
        <f>IFERROR(__xludf.DUMMYFUNCTION("""COMPUTED_VALUE"""),2.1)</f>
        <v>2.1</v>
      </c>
      <c r="M21" s="225">
        <f>IFERROR(__xludf.DUMMYFUNCTION("""COMPUTED_VALUE"""),0.8)</f>
        <v>0.8</v>
      </c>
      <c r="N21" s="224" t="str">
        <f>IFERROR(__xludf.DUMMYFUNCTION("""COMPUTED_VALUE"""),"Penn State Nittany Lions")</f>
        <v>Penn State Nittany Lions</v>
      </c>
      <c r="O21" s="226" t="str">
        <f>IFERROR(__xludf.DUMMYFUNCTION("""COMPUTED_VALUE"""),"Big Ten")</f>
        <v>Big Ten</v>
      </c>
      <c r="P21" s="227">
        <f>IFERROR(__xludf.DUMMYFUNCTION("if(F21="""","""",indeX(split(F21,""-""),1)-J21/100)"),8.955)</f>
        <v>8.955</v>
      </c>
      <c r="Q21" s="227"/>
    </row>
    <row r="22">
      <c r="B22" s="229" t="str">
        <f>IFERROR(__xludf.DUMMYFUNCTION("""COMPUTED_VALUE"""),"0-0")</f>
        <v>0-0</v>
      </c>
      <c r="C22" s="225">
        <f>IFERROR(__xludf.DUMMYFUNCTION("""COMPUTED_VALUE"""),13.6)</f>
        <v>13.6</v>
      </c>
      <c r="D22" s="225">
        <f>IFERROR(__xludf.DUMMYFUNCTION("""COMPUTED_VALUE"""),18.0)</f>
        <v>18</v>
      </c>
      <c r="E22" s="225" t="str">
        <f>IFERROR(__xludf.DUMMYFUNCTION("""COMPUTED_VALUE"""),"--")</f>
        <v>--</v>
      </c>
      <c r="F22" s="224" t="str">
        <f>IFERROR(__xludf.DUMMYFUNCTION("""COMPUTED_VALUE"""),"6.7-5.3")</f>
        <v>6.7-5.3</v>
      </c>
      <c r="G22" s="225">
        <f>IFERROR(__xludf.DUMMYFUNCTION("""COMPUTED_VALUE"""),0.0)</f>
        <v>0</v>
      </c>
      <c r="H22" s="225">
        <f>IFERROR(__xludf.DUMMYFUNCTION("""COMPUTED_VALUE"""),71.6)</f>
        <v>71.6</v>
      </c>
      <c r="I22" s="225">
        <f>IFERROR(__xludf.DUMMYFUNCTION("""COMPUTED_VALUE"""),0.0)</f>
        <v>0</v>
      </c>
      <c r="J22" s="225">
        <f>IFERROR(__xludf.DUMMYFUNCTION("""COMPUTED_VALUE"""),2.0)</f>
        <v>2</v>
      </c>
      <c r="K22" s="225">
        <f>IFERROR(__xludf.DUMMYFUNCTION("""COMPUTED_VALUE"""),15.1)</f>
        <v>15.1</v>
      </c>
      <c r="L22" s="225">
        <f>IFERROR(__xludf.DUMMYFUNCTION("""COMPUTED_VALUE"""),1.7)</f>
        <v>1.7</v>
      </c>
      <c r="M22" s="225">
        <f>IFERROR(__xludf.DUMMYFUNCTION("""COMPUTED_VALUE"""),0.7)</f>
        <v>0.7</v>
      </c>
      <c r="N22" s="224" t="str">
        <f>IFERROR(__xludf.DUMMYFUNCTION("""COMPUTED_VALUE"""),"Florida Gators")</f>
        <v>Florida Gators</v>
      </c>
      <c r="O22" s="226" t="str">
        <f>IFERROR(__xludf.DUMMYFUNCTION("""COMPUTED_VALUE"""),"SEC")</f>
        <v>SEC</v>
      </c>
      <c r="P22" s="227">
        <f>IFERROR(__xludf.DUMMYFUNCTION("if(F22="""","""",indeX(split(F22,""-""),1)-J22/100)"),6.680000000000001)</f>
        <v>6.68</v>
      </c>
      <c r="Q22" s="227"/>
    </row>
    <row r="23">
      <c r="B23" s="229" t="str">
        <f>IFERROR(__xludf.DUMMYFUNCTION("""COMPUTED_VALUE"""),"0-0")</f>
        <v>0-0</v>
      </c>
      <c r="C23" s="225">
        <f>IFERROR(__xludf.DUMMYFUNCTION("""COMPUTED_VALUE"""),13.4)</f>
        <v>13.4</v>
      </c>
      <c r="D23" s="225">
        <f>IFERROR(__xludf.DUMMYFUNCTION("""COMPUTED_VALUE"""),19.0)</f>
        <v>19</v>
      </c>
      <c r="E23" s="225" t="str">
        <f>IFERROR(__xludf.DUMMYFUNCTION("""COMPUTED_VALUE"""),"--")</f>
        <v>--</v>
      </c>
      <c r="F23" s="224" t="str">
        <f>IFERROR(__xludf.DUMMYFUNCTION("""COMPUTED_VALUE"""),"8.1-4.1")</f>
        <v>8.1-4.1</v>
      </c>
      <c r="G23" s="225">
        <f>IFERROR(__xludf.DUMMYFUNCTION("""COMPUTED_VALUE"""),0.5)</f>
        <v>0.5</v>
      </c>
      <c r="H23" s="225">
        <f>IFERROR(__xludf.DUMMYFUNCTION("""COMPUTED_VALUE"""),89.3)</f>
        <v>89.3</v>
      </c>
      <c r="I23" s="225">
        <f>IFERROR(__xludf.DUMMYFUNCTION("""COMPUTED_VALUE"""),0.0)</f>
        <v>0</v>
      </c>
      <c r="J23" s="225">
        <f>IFERROR(__xludf.DUMMYFUNCTION("""COMPUTED_VALUE"""),11.9)</f>
        <v>11.9</v>
      </c>
      <c r="K23" s="225">
        <f>IFERROR(__xludf.DUMMYFUNCTION("""COMPUTED_VALUE"""),22.3)</f>
        <v>22.3</v>
      </c>
      <c r="L23" s="225">
        <f>IFERROR(__xludf.DUMMYFUNCTION("""COMPUTED_VALUE"""),2.1)</f>
        <v>2.1</v>
      </c>
      <c r="M23" s="225">
        <f>IFERROR(__xludf.DUMMYFUNCTION("""COMPUTED_VALUE"""),0.8)</f>
        <v>0.8</v>
      </c>
      <c r="N23" s="224" t="str">
        <f>IFERROR(__xludf.DUMMYFUNCTION("""COMPUTED_VALUE"""),"Clemson Tigers")</f>
        <v>Clemson Tigers</v>
      </c>
      <c r="O23" s="226" t="str">
        <f>IFERROR(__xludf.DUMMYFUNCTION("""COMPUTED_VALUE"""),"ACC")</f>
        <v>ACC</v>
      </c>
      <c r="P23" s="227">
        <f>IFERROR(__xludf.DUMMYFUNCTION("if(F23="""","""",indeX(split(F23,""-""),1)-J23/100)"),7.981)</f>
        <v>7.981</v>
      </c>
      <c r="Q23" s="227"/>
    </row>
    <row r="24">
      <c r="B24" s="229" t="str">
        <f>IFERROR(__xludf.DUMMYFUNCTION("""COMPUTED_VALUE"""),"0-0")</f>
        <v>0-0</v>
      </c>
      <c r="C24" s="225">
        <f>IFERROR(__xludf.DUMMYFUNCTION("""COMPUTED_VALUE"""),13.1)</f>
        <v>13.1</v>
      </c>
      <c r="D24" s="225">
        <f>IFERROR(__xludf.DUMMYFUNCTION("""COMPUTED_VALUE"""),20.0)</f>
        <v>20</v>
      </c>
      <c r="E24" s="225" t="str">
        <f>IFERROR(__xludf.DUMMYFUNCTION("""COMPUTED_VALUE"""),"--")</f>
        <v>--</v>
      </c>
      <c r="F24" s="224" t="str">
        <f>IFERROR(__xludf.DUMMYFUNCTION("""COMPUTED_VALUE"""),"8.7-3.6")</f>
        <v>8.7-3.6</v>
      </c>
      <c r="G24" s="225">
        <f>IFERROR(__xludf.DUMMYFUNCTION("""COMPUTED_VALUE"""),1.4)</f>
        <v>1.4</v>
      </c>
      <c r="H24" s="225">
        <f>IFERROR(__xludf.DUMMYFUNCTION("""COMPUTED_VALUE"""),93.1)</f>
        <v>93.1</v>
      </c>
      <c r="I24" s="225">
        <f>IFERROR(__xludf.DUMMYFUNCTION("""COMPUTED_VALUE"""),0.0)</f>
        <v>0</v>
      </c>
      <c r="J24" s="225">
        <f>IFERROR(__xludf.DUMMYFUNCTION("""COMPUTED_VALUE"""),16.5)</f>
        <v>16.5</v>
      </c>
      <c r="K24" s="225">
        <f>IFERROR(__xludf.DUMMYFUNCTION("""COMPUTED_VALUE"""),25.6)</f>
        <v>25.6</v>
      </c>
      <c r="L24" s="225">
        <f>IFERROR(__xludf.DUMMYFUNCTION("""COMPUTED_VALUE"""),2.0)</f>
        <v>2</v>
      </c>
      <c r="M24" s="225">
        <f>IFERROR(__xludf.DUMMYFUNCTION("""COMPUTED_VALUE"""),0.7)</f>
        <v>0.7</v>
      </c>
      <c r="N24" s="224" t="str">
        <f>IFERROR(__xludf.DUMMYFUNCTION("""COMPUTED_VALUE"""),"BYU Cougars")</f>
        <v>BYU Cougars</v>
      </c>
      <c r="O24" s="226" t="str">
        <f>IFERROR(__xludf.DUMMYFUNCTION("""COMPUTED_VALUE"""),"Big 12")</f>
        <v>Big 12</v>
      </c>
      <c r="P24" s="227">
        <f>IFERROR(__xludf.DUMMYFUNCTION("if(F24="""","""",indeX(split(F24,""-""),1)-J24/100)"),8.535)</f>
        <v>8.535</v>
      </c>
      <c r="Q24" s="227"/>
    </row>
    <row r="25">
      <c r="B25" s="229" t="str">
        <f>IFERROR(__xludf.DUMMYFUNCTION("""COMPUTED_VALUE"""),"0-0")</f>
        <v>0-0</v>
      </c>
      <c r="C25" s="225">
        <f>IFERROR(__xludf.DUMMYFUNCTION("""COMPUTED_VALUE"""),12.2)</f>
        <v>12.2</v>
      </c>
      <c r="D25" s="225">
        <f>IFERROR(__xludf.DUMMYFUNCTION("""COMPUTED_VALUE"""),21.0)</f>
        <v>21</v>
      </c>
      <c r="E25" s="225" t="str">
        <f>IFERROR(__xludf.DUMMYFUNCTION("""COMPUTED_VALUE"""),"--")</f>
        <v>--</v>
      </c>
      <c r="F25" s="224" t="str">
        <f>IFERROR(__xludf.DUMMYFUNCTION("""COMPUTED_VALUE"""),"6.7-5.3")</f>
        <v>6.7-5.3</v>
      </c>
      <c r="G25" s="225">
        <f>IFERROR(__xludf.DUMMYFUNCTION("""COMPUTED_VALUE"""),0.0)</f>
        <v>0</v>
      </c>
      <c r="H25" s="225">
        <f>IFERROR(__xludf.DUMMYFUNCTION("""COMPUTED_VALUE"""),71.9)</f>
        <v>71.9</v>
      </c>
      <c r="I25" s="225">
        <f>IFERROR(__xludf.DUMMYFUNCTION("""COMPUTED_VALUE"""),0.0)</f>
        <v>0</v>
      </c>
      <c r="J25" s="225">
        <f>IFERROR(__xludf.DUMMYFUNCTION("""COMPUTED_VALUE"""),1.5)</f>
        <v>1.5</v>
      </c>
      <c r="K25" s="225">
        <f>IFERROR(__xludf.DUMMYFUNCTION("""COMPUTED_VALUE"""),12.4)</f>
        <v>12.4</v>
      </c>
      <c r="L25" s="225">
        <f>IFERROR(__xludf.DUMMYFUNCTION("""COMPUTED_VALUE"""),1.2)</f>
        <v>1.2</v>
      </c>
      <c r="M25" s="225">
        <f>IFERROR(__xludf.DUMMYFUNCTION("""COMPUTED_VALUE"""),0.4)</f>
        <v>0.4</v>
      </c>
      <c r="N25" s="224" t="str">
        <f>IFERROR(__xludf.DUMMYFUNCTION("""COMPUTED_VALUE"""),"Missouri Tigers")</f>
        <v>Missouri Tigers</v>
      </c>
      <c r="O25" s="226" t="str">
        <f>IFERROR(__xludf.DUMMYFUNCTION("""COMPUTED_VALUE"""),"SEC")</f>
        <v>SEC</v>
      </c>
      <c r="P25" s="227">
        <f>IFERROR(__xludf.DUMMYFUNCTION("if(F25="""","""",indeX(split(F25,""-""),1)-J25/100)"),6.6850000000000005)</f>
        <v>6.685</v>
      </c>
      <c r="Q25" s="227"/>
    </row>
    <row r="26">
      <c r="B26" s="229" t="str">
        <f>IFERROR(__xludf.DUMMYFUNCTION("""COMPUTED_VALUE"""),"0-0")</f>
        <v>0-0</v>
      </c>
      <c r="C26" s="225">
        <f>IFERROR(__xludf.DUMMYFUNCTION("""COMPUTED_VALUE"""),12.0)</f>
        <v>12</v>
      </c>
      <c r="D26" s="225">
        <f>IFERROR(__xludf.DUMMYFUNCTION("""COMPUTED_VALUE"""),22.0)</f>
        <v>22</v>
      </c>
      <c r="E26" s="225" t="str">
        <f>IFERROR(__xludf.DUMMYFUNCTION("""COMPUTED_VALUE"""),"--")</f>
        <v>--</v>
      </c>
      <c r="F26" s="224" t="str">
        <f>IFERROR(__xludf.DUMMYFUNCTION("""COMPUTED_VALUE"""),"6.6-5.4")</f>
        <v>6.6-5.4</v>
      </c>
      <c r="G26" s="225">
        <f>IFERROR(__xludf.DUMMYFUNCTION("""COMPUTED_VALUE"""),0.0)</f>
        <v>0</v>
      </c>
      <c r="H26" s="225">
        <f>IFERROR(__xludf.DUMMYFUNCTION("""COMPUTED_VALUE"""),69.7)</f>
        <v>69.7</v>
      </c>
      <c r="I26" s="225">
        <f>IFERROR(__xludf.DUMMYFUNCTION("""COMPUTED_VALUE"""),0.0)</f>
        <v>0</v>
      </c>
      <c r="J26" s="225">
        <f>IFERROR(__xludf.DUMMYFUNCTION("""COMPUTED_VALUE"""),1.4)</f>
        <v>1.4</v>
      </c>
      <c r="K26" s="225">
        <f>IFERROR(__xludf.DUMMYFUNCTION("""COMPUTED_VALUE"""),12.0)</f>
        <v>12</v>
      </c>
      <c r="L26" s="225">
        <f>IFERROR(__xludf.DUMMYFUNCTION("""COMPUTED_VALUE"""),1.2)</f>
        <v>1.2</v>
      </c>
      <c r="M26" s="225">
        <f>IFERROR(__xludf.DUMMYFUNCTION("""COMPUTED_VALUE"""),0.5)</f>
        <v>0.5</v>
      </c>
      <c r="N26" s="224" t="str">
        <f>IFERROR(__xludf.DUMMYFUNCTION("""COMPUTED_VALUE"""),"Auburn Tigers")</f>
        <v>Auburn Tigers</v>
      </c>
      <c r="O26" s="226" t="str">
        <f>IFERROR(__xludf.DUMMYFUNCTION("""COMPUTED_VALUE"""),"SEC")</f>
        <v>SEC</v>
      </c>
      <c r="P26" s="227">
        <f>IFERROR(__xludf.DUMMYFUNCTION("if(F26="""","""",indeX(split(F26,""-""),1)-J26/100)"),6.585999999999999)</f>
        <v>6.586</v>
      </c>
      <c r="Q26" s="227"/>
    </row>
    <row r="27">
      <c r="B27" s="229" t="str">
        <f>IFERROR(__xludf.DUMMYFUNCTION("""COMPUTED_VALUE"""),"0-0")</f>
        <v>0-0</v>
      </c>
      <c r="C27" s="225">
        <f>IFERROR(__xludf.DUMMYFUNCTION("""COMPUTED_VALUE"""),11.7)</f>
        <v>11.7</v>
      </c>
      <c r="D27" s="225">
        <f>IFERROR(__xludf.DUMMYFUNCTION("""COMPUTED_VALUE"""),23.0)</f>
        <v>23</v>
      </c>
      <c r="E27" s="225" t="str">
        <f>IFERROR(__xludf.DUMMYFUNCTION("""COMPUTED_VALUE"""),"--")</f>
        <v>--</v>
      </c>
      <c r="F27" s="224" t="str">
        <f>IFERROR(__xludf.DUMMYFUNCTION("""COMPUTED_VALUE"""),"6.4-5.6")</f>
        <v>6.4-5.6</v>
      </c>
      <c r="G27" s="225">
        <f>IFERROR(__xludf.DUMMYFUNCTION("""COMPUTED_VALUE"""),0.0)</f>
        <v>0</v>
      </c>
      <c r="H27" s="225">
        <f>IFERROR(__xludf.DUMMYFUNCTION("""COMPUTED_VALUE"""),66.6)</f>
        <v>66.6</v>
      </c>
      <c r="I27" s="225">
        <f>IFERROR(__xludf.DUMMYFUNCTION("""COMPUTED_VALUE"""),0.0)</f>
        <v>0</v>
      </c>
      <c r="J27" s="225">
        <f>IFERROR(__xludf.DUMMYFUNCTION("""COMPUTED_VALUE"""),1.3)</f>
        <v>1.3</v>
      </c>
      <c r="K27" s="225">
        <f>IFERROR(__xludf.DUMMYFUNCTION("""COMPUTED_VALUE"""),10.8)</f>
        <v>10.8</v>
      </c>
      <c r="L27" s="225">
        <f>IFERROR(__xludf.DUMMYFUNCTION("""COMPUTED_VALUE"""),1.1)</f>
        <v>1.1</v>
      </c>
      <c r="M27" s="225">
        <f>IFERROR(__xludf.DUMMYFUNCTION("""COMPUTED_VALUE"""),0.4)</f>
        <v>0.4</v>
      </c>
      <c r="N27" s="224" t="str">
        <f>IFERROR(__xludf.DUMMYFUNCTION("""COMPUTED_VALUE"""),"South Carolina Gamecocks")</f>
        <v>South Carolina Gamecocks</v>
      </c>
      <c r="O27" s="226" t="str">
        <f>IFERROR(__xludf.DUMMYFUNCTION("""COMPUTED_VALUE"""),"SEC")</f>
        <v>SEC</v>
      </c>
      <c r="P27" s="227">
        <f>IFERROR(__xludf.DUMMYFUNCTION("if(F27="""","""",indeX(split(F27,""-""),1)-J27/100)"),6.3870000000000005)</f>
        <v>6.387</v>
      </c>
      <c r="Q27" s="227"/>
    </row>
    <row r="28">
      <c r="B28" s="229" t="str">
        <f>IFERROR(__xludf.DUMMYFUNCTION("""COMPUTED_VALUE"""),"0-0")</f>
        <v>0-0</v>
      </c>
      <c r="C28" s="225">
        <f>IFERROR(__xludf.DUMMYFUNCTION("""COMPUTED_VALUE"""),11.1)</f>
        <v>11.1</v>
      </c>
      <c r="D28" s="225">
        <f>IFERROR(__xludf.DUMMYFUNCTION("""COMPUTED_VALUE"""),24.0)</f>
        <v>24</v>
      </c>
      <c r="E28" s="225" t="str">
        <f>IFERROR(__xludf.DUMMYFUNCTION("""COMPUTED_VALUE"""),"--")</f>
        <v>--</v>
      </c>
      <c r="F28" s="224" t="str">
        <f>IFERROR(__xludf.DUMMYFUNCTION("""COMPUTED_VALUE"""),"8.3-4.0")</f>
        <v>8.3-4.0</v>
      </c>
      <c r="G28" s="225">
        <f>IFERROR(__xludf.DUMMYFUNCTION("""COMPUTED_VALUE"""),0.4)</f>
        <v>0.4</v>
      </c>
      <c r="H28" s="225">
        <f>IFERROR(__xludf.DUMMYFUNCTION("""COMPUTED_VALUE"""),91.6)</f>
        <v>91.6</v>
      </c>
      <c r="I28" s="225">
        <f>IFERROR(__xludf.DUMMYFUNCTION("""COMPUTED_VALUE"""),0.0)</f>
        <v>0</v>
      </c>
      <c r="J28" s="225">
        <f>IFERROR(__xludf.DUMMYFUNCTION("""COMPUTED_VALUE"""),10.3)</f>
        <v>10.3</v>
      </c>
      <c r="K28" s="225">
        <f>IFERROR(__xludf.DUMMYFUNCTION("""COMPUTED_VALUE"""),18.2)</f>
        <v>18.2</v>
      </c>
      <c r="L28" s="225">
        <f>IFERROR(__xludf.DUMMYFUNCTION("""COMPUTED_VALUE"""),1.3)</f>
        <v>1.3</v>
      </c>
      <c r="M28" s="225">
        <f>IFERROR(__xludf.DUMMYFUNCTION("""COMPUTED_VALUE"""),0.4)</f>
        <v>0.4</v>
      </c>
      <c r="N28" s="224" t="str">
        <f>IFERROR(__xludf.DUMMYFUNCTION("""COMPUTED_VALUE"""),"SMU Mustangs")</f>
        <v>SMU Mustangs</v>
      </c>
      <c r="O28" s="226" t="str">
        <f>IFERROR(__xludf.DUMMYFUNCTION("""COMPUTED_VALUE"""),"ACC")</f>
        <v>ACC</v>
      </c>
      <c r="P28" s="227">
        <f>IFERROR(__xludf.DUMMYFUNCTION("if(F28="""","""",indeX(split(F28,""-""),1)-J28/100)"),8.197000000000001)</f>
        <v>8.197</v>
      </c>
      <c r="Q28" s="227"/>
    </row>
    <row r="29">
      <c r="B29" s="229" t="str">
        <f>IFERROR(__xludf.DUMMYFUNCTION("""COMPUTED_VALUE"""),"0-0")</f>
        <v>0-0</v>
      </c>
      <c r="C29" s="225">
        <f>IFERROR(__xludf.DUMMYFUNCTION("""COMPUTED_VALUE"""),10.6)</f>
        <v>10.6</v>
      </c>
      <c r="D29" s="225">
        <f>IFERROR(__xludf.DUMMYFUNCTION("""COMPUTED_VALUE"""),25.0)</f>
        <v>25</v>
      </c>
      <c r="E29" s="225" t="str">
        <f>IFERROR(__xludf.DUMMYFUNCTION("""COMPUTED_VALUE"""),"--")</f>
        <v>--</v>
      </c>
      <c r="F29" s="224" t="str">
        <f>IFERROR(__xludf.DUMMYFUNCTION("""COMPUTED_VALUE"""),"7.6-4.4")</f>
        <v>7.6-4.4</v>
      </c>
      <c r="G29" s="225">
        <f>IFERROR(__xludf.DUMMYFUNCTION("""COMPUTED_VALUE"""),0.1)</f>
        <v>0.1</v>
      </c>
      <c r="H29" s="225">
        <f>IFERROR(__xludf.DUMMYFUNCTION("""COMPUTED_VALUE"""),86.2)</f>
        <v>86.2</v>
      </c>
      <c r="I29" s="225">
        <f>IFERROR(__xludf.DUMMYFUNCTION("""COMPUTED_VALUE"""),0.0)</f>
        <v>0</v>
      </c>
      <c r="J29" s="225">
        <f>IFERROR(__xludf.DUMMYFUNCTION("""COMPUTED_VALUE"""),1.7)</f>
        <v>1.7</v>
      </c>
      <c r="K29" s="225">
        <f>IFERROR(__xludf.DUMMYFUNCTION("""COMPUTED_VALUE"""),11.8)</f>
        <v>11.8</v>
      </c>
      <c r="L29" s="225">
        <f>IFERROR(__xludf.DUMMYFUNCTION("""COMPUTED_VALUE"""),0.8)</f>
        <v>0.8</v>
      </c>
      <c r="M29" s="225">
        <f>IFERROR(__xludf.DUMMYFUNCTION("""COMPUTED_VALUE"""),0.2)</f>
        <v>0.2</v>
      </c>
      <c r="N29" s="224" t="str">
        <f>IFERROR(__xludf.DUMMYFUNCTION("""COMPUTED_VALUE"""),"Iowa Hawkeyes")</f>
        <v>Iowa Hawkeyes</v>
      </c>
      <c r="O29" s="226" t="str">
        <f>IFERROR(__xludf.DUMMYFUNCTION("""COMPUTED_VALUE"""),"Big Ten")</f>
        <v>Big Ten</v>
      </c>
      <c r="P29" s="227">
        <f>IFERROR(__xludf.DUMMYFUNCTION("if(F29="""","""",indeX(split(F29,""-""),1)-J29/100)"),7.582999999999999)</f>
        <v>7.583</v>
      </c>
      <c r="Q29" s="227"/>
    </row>
    <row r="30">
      <c r="B30" s="229" t="str">
        <f>IFERROR(__xludf.DUMMYFUNCTION("""COMPUTED_VALUE"""),"0-0")</f>
        <v>0-0</v>
      </c>
      <c r="C30" s="225">
        <f>IFERROR(__xludf.DUMMYFUNCTION("""COMPUTED_VALUE"""),9.9)</f>
        <v>9.9</v>
      </c>
      <c r="D30" s="225">
        <f>IFERROR(__xludf.DUMMYFUNCTION("""COMPUTED_VALUE"""),26.0)</f>
        <v>26</v>
      </c>
      <c r="E30" s="225" t="str">
        <f>IFERROR(__xludf.DUMMYFUNCTION("""COMPUTED_VALUE"""),"--")</f>
        <v>--</v>
      </c>
      <c r="F30" s="224" t="str">
        <f>IFERROR(__xludf.DUMMYFUNCTION("""COMPUTED_VALUE"""),"7.0-5.0")</f>
        <v>7.0-5.0</v>
      </c>
      <c r="G30" s="225">
        <f>IFERROR(__xludf.DUMMYFUNCTION("""COMPUTED_VALUE"""),0.0)</f>
        <v>0</v>
      </c>
      <c r="H30" s="225">
        <f>IFERROR(__xludf.DUMMYFUNCTION("""COMPUTED_VALUE"""),78.1)</f>
        <v>78.1</v>
      </c>
      <c r="I30" s="225">
        <f>IFERROR(__xludf.DUMMYFUNCTION("""COMPUTED_VALUE"""),0.0)</f>
        <v>0</v>
      </c>
      <c r="J30" s="225">
        <f>IFERROR(__xludf.DUMMYFUNCTION("""COMPUTED_VALUE"""),1.0)</f>
        <v>1</v>
      </c>
      <c r="K30" s="225">
        <f>IFERROR(__xludf.DUMMYFUNCTION("""COMPUTED_VALUE"""),9.2)</f>
        <v>9.2</v>
      </c>
      <c r="L30" s="225">
        <f>IFERROR(__xludf.DUMMYFUNCTION("""COMPUTED_VALUE"""),0.6)</f>
        <v>0.6</v>
      </c>
      <c r="M30" s="225">
        <f>IFERROR(__xludf.DUMMYFUNCTION("""COMPUTED_VALUE"""),0.2)</f>
        <v>0.2</v>
      </c>
      <c r="N30" s="224" t="str">
        <f>IFERROR(__xludf.DUMMYFUNCTION("""COMPUTED_VALUE"""),"Washington Huskies")</f>
        <v>Washington Huskies</v>
      </c>
      <c r="O30" s="226" t="str">
        <f>IFERROR(__xludf.DUMMYFUNCTION("""COMPUTED_VALUE"""),"Big Ten")</f>
        <v>Big Ten</v>
      </c>
      <c r="P30" s="227">
        <f>IFERROR(__xludf.DUMMYFUNCTION("if(F30="""","""",indeX(split(F30,""-""),1)-J30/100)"),6.99)</f>
        <v>6.99</v>
      </c>
      <c r="Q30" s="227"/>
    </row>
    <row r="31">
      <c r="B31" s="229" t="str">
        <f>IFERROR(__xludf.DUMMYFUNCTION("""COMPUTED_VALUE"""),"0-0")</f>
        <v>0-0</v>
      </c>
      <c r="C31" s="225">
        <f>IFERROR(__xludf.DUMMYFUNCTION("""COMPUTED_VALUE"""),9.5)</f>
        <v>9.5</v>
      </c>
      <c r="D31" s="225">
        <f>IFERROR(__xludf.DUMMYFUNCTION("""COMPUTED_VALUE"""),27.0)</f>
        <v>27</v>
      </c>
      <c r="E31" s="225" t="str">
        <f>IFERROR(__xludf.DUMMYFUNCTION("""COMPUTED_VALUE"""),"--")</f>
        <v>--</v>
      </c>
      <c r="F31" s="224" t="str">
        <f>IFERROR(__xludf.DUMMYFUNCTION("""COMPUTED_VALUE"""),"7.6-4.6")</f>
        <v>7.6-4.6</v>
      </c>
      <c r="G31" s="225">
        <f>IFERROR(__xludf.DUMMYFUNCTION("""COMPUTED_VALUE"""),0.3)</f>
        <v>0.3</v>
      </c>
      <c r="H31" s="225">
        <f>IFERROR(__xludf.DUMMYFUNCTION("""COMPUTED_VALUE"""),82.0)</f>
        <v>82</v>
      </c>
      <c r="I31" s="225">
        <f>IFERROR(__xludf.DUMMYFUNCTION("""COMPUTED_VALUE"""),0.0)</f>
        <v>0</v>
      </c>
      <c r="J31" s="225">
        <f>IFERROR(__xludf.DUMMYFUNCTION("""COMPUTED_VALUE"""),7.0)</f>
        <v>7</v>
      </c>
      <c r="K31" s="225">
        <f>IFERROR(__xludf.DUMMYFUNCTION("""COMPUTED_VALUE"""),13.4)</f>
        <v>13.4</v>
      </c>
      <c r="L31" s="225">
        <f>IFERROR(__xludf.DUMMYFUNCTION("""COMPUTED_VALUE"""),0.8)</f>
        <v>0.8</v>
      </c>
      <c r="M31" s="225">
        <f>IFERROR(__xludf.DUMMYFUNCTION("""COMPUTED_VALUE"""),0.2)</f>
        <v>0.2</v>
      </c>
      <c r="N31" s="224" t="str">
        <f>IFERROR(__xludf.DUMMYFUNCTION("""COMPUTED_VALUE"""),"Louisville Cardinals")</f>
        <v>Louisville Cardinals</v>
      </c>
      <c r="O31" s="226" t="str">
        <f>IFERROR(__xludf.DUMMYFUNCTION("""COMPUTED_VALUE"""),"ACC")</f>
        <v>ACC</v>
      </c>
      <c r="P31" s="227">
        <f>IFERROR(__xludf.DUMMYFUNCTION("if(F31="""","""",indeX(split(F31,""-""),1)-J31/100)"),7.529999999999999)</f>
        <v>7.53</v>
      </c>
      <c r="Q31" s="227"/>
    </row>
    <row r="32">
      <c r="B32" s="229" t="str">
        <f>IFERROR(__xludf.DUMMYFUNCTION("""COMPUTED_VALUE"""),"0-0")</f>
        <v>0-0</v>
      </c>
      <c r="C32" s="225">
        <f>IFERROR(__xludf.DUMMYFUNCTION("""COMPUTED_VALUE"""),9.3)</f>
        <v>9.3</v>
      </c>
      <c r="D32" s="225">
        <f>IFERROR(__xludf.DUMMYFUNCTION("""COMPUTED_VALUE"""),28.0)</f>
        <v>28</v>
      </c>
      <c r="E32" s="225" t="str">
        <f>IFERROR(__xludf.DUMMYFUNCTION("""COMPUTED_VALUE"""),"--")</f>
        <v>--</v>
      </c>
      <c r="F32" s="224" t="str">
        <f>IFERROR(__xludf.DUMMYFUNCTION("""COMPUTED_VALUE"""),"6.7-5.4")</f>
        <v>6.7-5.4</v>
      </c>
      <c r="G32" s="225">
        <f>IFERROR(__xludf.DUMMYFUNCTION("""COMPUTED_VALUE"""),0.0)</f>
        <v>0</v>
      </c>
      <c r="H32" s="225">
        <f>IFERROR(__xludf.DUMMYFUNCTION("""COMPUTED_VALUE"""),71.0)</f>
        <v>71</v>
      </c>
      <c r="I32" s="225">
        <f>IFERROR(__xludf.DUMMYFUNCTION("""COMPUTED_VALUE"""),0.0)</f>
        <v>0</v>
      </c>
      <c r="J32" s="225">
        <f>IFERROR(__xludf.DUMMYFUNCTION("""COMPUTED_VALUE"""),4.2)</f>
        <v>4.2</v>
      </c>
      <c r="K32" s="225">
        <f>IFERROR(__xludf.DUMMYFUNCTION("""COMPUTED_VALUE"""),9.5)</f>
        <v>9.5</v>
      </c>
      <c r="L32" s="225">
        <f>IFERROR(__xludf.DUMMYFUNCTION("""COMPUTED_VALUE"""),0.6)</f>
        <v>0.6</v>
      </c>
      <c r="M32" s="225">
        <f>IFERROR(__xludf.DUMMYFUNCTION("""COMPUTED_VALUE"""),0.2)</f>
        <v>0.2</v>
      </c>
      <c r="N32" s="224" t="str">
        <f>IFERROR(__xludf.DUMMYFUNCTION("""COMPUTED_VALUE"""),"Florida State Seminoles")</f>
        <v>Florida State Seminoles</v>
      </c>
      <c r="O32" s="226" t="str">
        <f>IFERROR(__xludf.DUMMYFUNCTION("""COMPUTED_VALUE"""),"ACC")</f>
        <v>ACC</v>
      </c>
      <c r="P32" s="227">
        <f>IFERROR(__xludf.DUMMYFUNCTION("if(F32="""","""",indeX(split(F32,""-""),1)-J32/100)"),6.658)</f>
        <v>6.658</v>
      </c>
      <c r="Q32" s="227"/>
    </row>
    <row r="33">
      <c r="B33" s="229" t="str">
        <f>IFERROR(__xludf.DUMMYFUNCTION("""COMPUTED_VALUE"""),"0-0")</f>
        <v>0-0</v>
      </c>
      <c r="C33" s="225">
        <f>IFERROR(__xludf.DUMMYFUNCTION("""COMPUTED_VALUE"""),9.0)</f>
        <v>9</v>
      </c>
      <c r="D33" s="225">
        <f>IFERROR(__xludf.DUMMYFUNCTION("""COMPUTED_VALUE"""),29.0)</f>
        <v>29</v>
      </c>
      <c r="E33" s="225" t="str">
        <f>IFERROR(__xludf.DUMMYFUNCTION("""COMPUTED_VALUE"""),"--")</f>
        <v>--</v>
      </c>
      <c r="F33" s="224" t="str">
        <f>IFERROR(__xludf.DUMMYFUNCTION("""COMPUTED_VALUE"""),"6.2-5.8")</f>
        <v>6.2-5.8</v>
      </c>
      <c r="G33" s="225">
        <f>IFERROR(__xludf.DUMMYFUNCTION("""COMPUTED_VALUE"""),0.0)</f>
        <v>0</v>
      </c>
      <c r="H33" s="225">
        <f>IFERROR(__xludf.DUMMYFUNCTION("""COMPUTED_VALUE"""),62.5)</f>
        <v>62.5</v>
      </c>
      <c r="I33" s="225">
        <f>IFERROR(__xludf.DUMMYFUNCTION("""COMPUTED_VALUE"""),0.0)</f>
        <v>0</v>
      </c>
      <c r="J33" s="225">
        <f>IFERROR(__xludf.DUMMYFUNCTION("""COMPUTED_VALUE"""),0.7)</f>
        <v>0.7</v>
      </c>
      <c r="K33" s="225">
        <f>IFERROR(__xludf.DUMMYFUNCTION("""COMPUTED_VALUE"""),6.8)</f>
        <v>6.8</v>
      </c>
      <c r="L33" s="225">
        <f>IFERROR(__xludf.DUMMYFUNCTION("""COMPUTED_VALUE"""),0.5)</f>
        <v>0.5</v>
      </c>
      <c r="M33" s="225">
        <f>IFERROR(__xludf.DUMMYFUNCTION("""COMPUTED_VALUE"""),0.1)</f>
        <v>0.1</v>
      </c>
      <c r="N33" s="224" t="str">
        <f>IFERROR(__xludf.DUMMYFUNCTION("""COMPUTED_VALUE"""),"Vanderbilt Commodores")</f>
        <v>Vanderbilt Commodores</v>
      </c>
      <c r="O33" s="226" t="str">
        <f>IFERROR(__xludf.DUMMYFUNCTION("""COMPUTED_VALUE"""),"SEC")</f>
        <v>SEC</v>
      </c>
      <c r="P33" s="227">
        <f>IFERROR(__xludf.DUMMYFUNCTION("if(F33="""","""",indeX(split(F33,""-""),1)-J33/100)"),6.1930000000000005)</f>
        <v>6.193</v>
      </c>
      <c r="Q33" s="227"/>
    </row>
    <row r="34">
      <c r="B34" s="229" t="str">
        <f>IFERROR(__xludf.DUMMYFUNCTION("""COMPUTED_VALUE"""),"0-0")</f>
        <v>0-0</v>
      </c>
      <c r="C34" s="225">
        <f>IFERROR(__xludf.DUMMYFUNCTION("""COMPUTED_VALUE"""),8.8)</f>
        <v>8.8</v>
      </c>
      <c r="D34" s="225">
        <f>IFERROR(__xludf.DUMMYFUNCTION("""COMPUTED_VALUE"""),30.0)</f>
        <v>30</v>
      </c>
      <c r="E34" s="225" t="str">
        <f>IFERROR(__xludf.DUMMYFUNCTION("""COMPUTED_VALUE"""),"--")</f>
        <v>--</v>
      </c>
      <c r="F34" s="224" t="str">
        <f>IFERROR(__xludf.DUMMYFUNCTION("""COMPUTED_VALUE"""),"6.7-5.3")</f>
        <v>6.7-5.3</v>
      </c>
      <c r="G34" s="225">
        <f>IFERROR(__xludf.DUMMYFUNCTION("""COMPUTED_VALUE"""),0.0)</f>
        <v>0</v>
      </c>
      <c r="H34" s="225">
        <f>IFERROR(__xludf.DUMMYFUNCTION("""COMPUTED_VALUE"""),74.5)</f>
        <v>74.5</v>
      </c>
      <c r="I34" s="225">
        <f>IFERROR(__xludf.DUMMYFUNCTION("""COMPUTED_VALUE"""),0.0)</f>
        <v>0</v>
      </c>
      <c r="J34" s="225">
        <f>IFERROR(__xludf.DUMMYFUNCTION("""COMPUTED_VALUE"""),0.7)</f>
        <v>0.7</v>
      </c>
      <c r="K34" s="225">
        <f>IFERROR(__xludf.DUMMYFUNCTION("""COMPUTED_VALUE"""),7.2)</f>
        <v>7.2</v>
      </c>
      <c r="L34" s="225">
        <f>IFERROR(__xludf.DUMMYFUNCTION("""COMPUTED_VALUE"""),0.5)</f>
        <v>0.5</v>
      </c>
      <c r="M34" s="225">
        <f>IFERROR(__xludf.DUMMYFUNCTION("""COMPUTED_VALUE"""),0.2)</f>
        <v>0.2</v>
      </c>
      <c r="N34" s="224" t="str">
        <f>IFERROR(__xludf.DUMMYFUNCTION("""COMPUTED_VALUE"""),"Nebraska Cornhuskers")</f>
        <v>Nebraska Cornhuskers</v>
      </c>
      <c r="O34" s="226" t="str">
        <f>IFERROR(__xludf.DUMMYFUNCTION("""COMPUTED_VALUE"""),"Big Ten")</f>
        <v>Big Ten</v>
      </c>
      <c r="P34" s="227">
        <f>IFERROR(__xludf.DUMMYFUNCTION("if(F34="""","""",indeX(split(F34,""-""),1)-J34/100)"),6.6930000000000005)</f>
        <v>6.693</v>
      </c>
      <c r="Q34" s="227"/>
    </row>
    <row r="35">
      <c r="B35" s="229" t="str">
        <f>IFERROR(__xludf.DUMMYFUNCTION("""COMPUTED_VALUE"""),"0-0")</f>
        <v>0-0</v>
      </c>
      <c r="C35" s="225">
        <f>IFERROR(__xludf.DUMMYFUNCTION("""COMPUTED_VALUE"""),8.5)</f>
        <v>8.5</v>
      </c>
      <c r="D35" s="225">
        <f>IFERROR(__xludf.DUMMYFUNCTION("""COMPUTED_VALUE"""),31.0)</f>
        <v>31</v>
      </c>
      <c r="E35" s="225" t="str">
        <f>IFERROR(__xludf.DUMMYFUNCTION("""COMPUTED_VALUE"""),"--")</f>
        <v>--</v>
      </c>
      <c r="F35" s="224" t="str">
        <f>IFERROR(__xludf.DUMMYFUNCTION("""COMPUTED_VALUE"""),"7.7-4.4")</f>
        <v>7.7-4.4</v>
      </c>
      <c r="G35" s="225">
        <f>IFERROR(__xludf.DUMMYFUNCTION("""COMPUTED_VALUE"""),0.4)</f>
        <v>0.4</v>
      </c>
      <c r="H35" s="225">
        <f>IFERROR(__xludf.DUMMYFUNCTION("""COMPUTED_VALUE"""),83.7)</f>
        <v>83.7</v>
      </c>
      <c r="I35" s="225">
        <f>IFERROR(__xludf.DUMMYFUNCTION("""COMPUTED_VALUE"""),0.0)</f>
        <v>0</v>
      </c>
      <c r="J35" s="225">
        <f>IFERROR(__xludf.DUMMYFUNCTION("""COMPUTED_VALUE"""),5.9)</f>
        <v>5.9</v>
      </c>
      <c r="K35" s="225">
        <f>IFERROR(__xludf.DUMMYFUNCTION("""COMPUTED_VALUE"""),10.9)</f>
        <v>10.9</v>
      </c>
      <c r="L35" s="225">
        <f>IFERROR(__xludf.DUMMYFUNCTION("""COMPUTED_VALUE"""),0.5)</f>
        <v>0.5</v>
      </c>
      <c r="M35" s="225">
        <f>IFERROR(__xludf.DUMMYFUNCTION("""COMPUTED_VALUE"""),0.1)</f>
        <v>0.1</v>
      </c>
      <c r="N35" s="224" t="str">
        <f>IFERROR(__xludf.DUMMYFUNCTION("""COMPUTED_VALUE"""),"Utah Utes")</f>
        <v>Utah Utes</v>
      </c>
      <c r="O35" s="226" t="str">
        <f>IFERROR(__xludf.DUMMYFUNCTION("""COMPUTED_VALUE"""),"Big 12")</f>
        <v>Big 12</v>
      </c>
      <c r="P35" s="227">
        <f>IFERROR(__xludf.DUMMYFUNCTION("if(F35="""","""",indeX(split(F35,""-""),1)-J35/100)"),7.641)</f>
        <v>7.641</v>
      </c>
      <c r="Q35" s="227"/>
    </row>
    <row r="36">
      <c r="B36" s="229" t="str">
        <f>IFERROR(__xludf.DUMMYFUNCTION("""COMPUTED_VALUE"""),"0-0")</f>
        <v>0-0</v>
      </c>
      <c r="C36" s="225">
        <f>IFERROR(__xludf.DUMMYFUNCTION("""COMPUTED_VALUE"""),7.9)</f>
        <v>7.9</v>
      </c>
      <c r="D36" s="225">
        <f>IFERROR(__xludf.DUMMYFUNCTION("""COMPUTED_VALUE"""),32.0)</f>
        <v>32</v>
      </c>
      <c r="E36" s="225" t="str">
        <f>IFERROR(__xludf.DUMMYFUNCTION("""COMPUTED_VALUE"""),"--")</f>
        <v>--</v>
      </c>
      <c r="F36" s="224" t="str">
        <f>IFERROR(__xludf.DUMMYFUNCTION("""COMPUTED_VALUE"""),"7.7-4.4")</f>
        <v>7.7-4.4</v>
      </c>
      <c r="G36" s="225">
        <f>IFERROR(__xludf.DUMMYFUNCTION("""COMPUTED_VALUE"""),0.3)</f>
        <v>0.3</v>
      </c>
      <c r="H36" s="225">
        <f>IFERROR(__xludf.DUMMYFUNCTION("""COMPUTED_VALUE"""),84.7)</f>
        <v>84.7</v>
      </c>
      <c r="I36" s="225">
        <f>IFERROR(__xludf.DUMMYFUNCTION("""COMPUTED_VALUE"""),0.0)</f>
        <v>0</v>
      </c>
      <c r="J36" s="225">
        <f>IFERROR(__xludf.DUMMYFUNCTION("""COMPUTED_VALUE"""),3.8)</f>
        <v>3.8</v>
      </c>
      <c r="K36" s="225">
        <f>IFERROR(__xludf.DUMMYFUNCTION("""COMPUTED_VALUE"""),9.3)</f>
        <v>9.3</v>
      </c>
      <c r="L36" s="225">
        <f>IFERROR(__xludf.DUMMYFUNCTION("""COMPUTED_VALUE"""),0.5)</f>
        <v>0.5</v>
      </c>
      <c r="M36" s="225">
        <f>IFERROR(__xludf.DUMMYFUNCTION("""COMPUTED_VALUE"""),0.1)</f>
        <v>0.1</v>
      </c>
      <c r="N36" s="224" t="str">
        <f>IFERROR(__xludf.DUMMYFUNCTION("""COMPUTED_VALUE"""),"Virginia Cavaliers")</f>
        <v>Virginia Cavaliers</v>
      </c>
      <c r="O36" s="226" t="str">
        <f>IFERROR(__xludf.DUMMYFUNCTION("""COMPUTED_VALUE"""),"ACC")</f>
        <v>ACC</v>
      </c>
      <c r="P36" s="227">
        <f>IFERROR(__xludf.DUMMYFUNCTION("if(F36="""","""",indeX(split(F36,""-""),1)-J36/100)"),7.662)</f>
        <v>7.662</v>
      </c>
      <c r="Q36" s="227"/>
    </row>
    <row r="37">
      <c r="B37" s="229" t="str">
        <f>IFERROR(__xludf.DUMMYFUNCTION("""COMPUTED_VALUE"""),"0-0")</f>
        <v>0-0</v>
      </c>
      <c r="C37" s="225">
        <f>IFERROR(__xludf.DUMMYFUNCTION("""COMPUTED_VALUE"""),7.4)</f>
        <v>7.4</v>
      </c>
      <c r="D37" s="225">
        <f>IFERROR(__xludf.DUMMYFUNCTION("""COMPUTED_VALUE"""),33.0)</f>
        <v>33</v>
      </c>
      <c r="E37" s="225" t="str">
        <f>IFERROR(__xludf.DUMMYFUNCTION("""COMPUTED_VALUE"""),"--")</f>
        <v>--</v>
      </c>
      <c r="F37" s="224" t="str">
        <f>IFERROR(__xludf.DUMMYFUNCTION("""COMPUTED_VALUE"""),"7.0-5.1")</f>
        <v>7.0-5.1</v>
      </c>
      <c r="G37" s="225">
        <f>IFERROR(__xludf.DUMMYFUNCTION("""COMPUTED_VALUE"""),0.0)</f>
        <v>0</v>
      </c>
      <c r="H37" s="225">
        <f>IFERROR(__xludf.DUMMYFUNCTION("""COMPUTED_VALUE"""),76.4)</f>
        <v>76.4</v>
      </c>
      <c r="I37" s="225">
        <f>IFERROR(__xludf.DUMMYFUNCTION("""COMPUTED_VALUE"""),0.0)</f>
        <v>0</v>
      </c>
      <c r="J37" s="225">
        <f>IFERROR(__xludf.DUMMYFUNCTION("""COMPUTED_VALUE"""),2.8)</f>
        <v>2.8</v>
      </c>
      <c r="K37" s="225">
        <f>IFERROR(__xludf.DUMMYFUNCTION("""COMPUTED_VALUE"""),6.9)</f>
        <v>6.9</v>
      </c>
      <c r="L37" s="225">
        <f>IFERROR(__xludf.DUMMYFUNCTION("""COMPUTED_VALUE"""),0.4)</f>
        <v>0.4</v>
      </c>
      <c r="M37" s="225">
        <f>IFERROR(__xludf.DUMMYFUNCTION("""COMPUTED_VALUE"""),0.1)</f>
        <v>0.1</v>
      </c>
      <c r="N37" s="224" t="str">
        <f>IFERROR(__xludf.DUMMYFUNCTION("""COMPUTED_VALUE"""),"Virginia Tech Hokies")</f>
        <v>Virginia Tech Hokies</v>
      </c>
      <c r="O37" s="226" t="str">
        <f>IFERROR(__xludf.DUMMYFUNCTION("""COMPUTED_VALUE"""),"ACC")</f>
        <v>ACC</v>
      </c>
      <c r="P37" s="227">
        <f>IFERROR(__xludf.DUMMYFUNCTION("if(F37="""","""",indeX(split(F37,""-""),1)-J37/100)"),6.972)</f>
        <v>6.972</v>
      </c>
      <c r="Q37" s="227"/>
    </row>
    <row r="38">
      <c r="B38" s="229" t="str">
        <f>IFERROR(__xludf.DUMMYFUNCTION("""COMPUTED_VALUE"""),"0-0")</f>
        <v>0-0</v>
      </c>
      <c r="C38" s="225">
        <f>IFERROR(__xludf.DUMMYFUNCTION("""COMPUTED_VALUE"""),7.2)</f>
        <v>7.2</v>
      </c>
      <c r="D38" s="225">
        <f>IFERROR(__xludf.DUMMYFUNCTION("""COMPUTED_VALUE"""),34.0)</f>
        <v>34</v>
      </c>
      <c r="E38" s="225" t="str">
        <f>IFERROR(__xludf.DUMMYFUNCTION("""COMPUTED_VALUE"""),"--")</f>
        <v>--</v>
      </c>
      <c r="F38" s="224" t="str">
        <f>IFERROR(__xludf.DUMMYFUNCTION("""COMPUTED_VALUE"""),"7.3-4.8")</f>
        <v>7.3-4.8</v>
      </c>
      <c r="G38" s="225">
        <f>IFERROR(__xludf.DUMMYFUNCTION("""COMPUTED_VALUE"""),0.1)</f>
        <v>0.1</v>
      </c>
      <c r="H38" s="225">
        <f>IFERROR(__xludf.DUMMYFUNCTION("""COMPUTED_VALUE"""),80.1)</f>
        <v>80.1</v>
      </c>
      <c r="I38" s="225">
        <f>IFERROR(__xludf.DUMMYFUNCTION("""COMPUTED_VALUE"""),0.0)</f>
        <v>0</v>
      </c>
      <c r="J38" s="225">
        <f>IFERROR(__xludf.DUMMYFUNCTION("""COMPUTED_VALUE"""),4.2)</f>
        <v>4.2</v>
      </c>
      <c r="K38" s="225">
        <f>IFERROR(__xludf.DUMMYFUNCTION("""COMPUTED_VALUE"""),7.6)</f>
        <v>7.6</v>
      </c>
      <c r="L38" s="225">
        <f>IFERROR(__xludf.DUMMYFUNCTION("""COMPUTED_VALUE"""),0.3)</f>
        <v>0.3</v>
      </c>
      <c r="M38" s="225">
        <f>IFERROR(__xludf.DUMMYFUNCTION("""COMPUTED_VALUE"""),0.1)</f>
        <v>0.1</v>
      </c>
      <c r="N38" s="224" t="str">
        <f>IFERROR(__xludf.DUMMYFUNCTION("""COMPUTED_VALUE"""),"Arizona Wildcats")</f>
        <v>Arizona Wildcats</v>
      </c>
      <c r="O38" s="226" t="str">
        <f>IFERROR(__xludf.DUMMYFUNCTION("""COMPUTED_VALUE"""),"Big 12")</f>
        <v>Big 12</v>
      </c>
      <c r="P38" s="227">
        <f>IFERROR(__xludf.DUMMYFUNCTION("if(F38="""","""",indeX(split(F38,""-""),1)-J38/100)"),7.258)</f>
        <v>7.258</v>
      </c>
      <c r="Q38" s="227"/>
    </row>
    <row r="39">
      <c r="B39" s="229" t="str">
        <f>IFERROR(__xludf.DUMMYFUNCTION("""COMPUTED_VALUE"""),"0-0")</f>
        <v>0-0</v>
      </c>
      <c r="C39" s="225">
        <f>IFERROR(__xludf.DUMMYFUNCTION("""COMPUTED_VALUE"""),7.1)</f>
        <v>7.1</v>
      </c>
      <c r="D39" s="225">
        <f>IFERROR(__xludf.DUMMYFUNCTION("""COMPUTED_VALUE"""),35.0)</f>
        <v>35</v>
      </c>
      <c r="E39" s="225" t="str">
        <f>IFERROR(__xludf.DUMMYFUNCTION("""COMPUTED_VALUE"""),"--")</f>
        <v>--</v>
      </c>
      <c r="F39" s="224" t="str">
        <f>IFERROR(__xludf.DUMMYFUNCTION("""COMPUTED_VALUE"""),"7.4-4.7")</f>
        <v>7.4-4.7</v>
      </c>
      <c r="G39" s="225">
        <f>IFERROR(__xludf.DUMMYFUNCTION("""COMPUTED_VALUE"""),0.1)</f>
        <v>0.1</v>
      </c>
      <c r="H39" s="225">
        <f>IFERROR(__xludf.DUMMYFUNCTION("""COMPUTED_VALUE"""),81.3)</f>
        <v>81.3</v>
      </c>
      <c r="I39" s="225">
        <f>IFERROR(__xludf.DUMMYFUNCTION("""COMPUTED_VALUE"""),0.0)</f>
        <v>0</v>
      </c>
      <c r="J39" s="225">
        <f>IFERROR(__xludf.DUMMYFUNCTION("""COMPUTED_VALUE"""),4.1)</f>
        <v>4.1</v>
      </c>
      <c r="K39" s="225">
        <f>IFERROR(__xludf.DUMMYFUNCTION("""COMPUTED_VALUE"""),7.8)</f>
        <v>7.8</v>
      </c>
      <c r="L39" s="225">
        <f>IFERROR(__xludf.DUMMYFUNCTION("""COMPUTED_VALUE"""),0.4)</f>
        <v>0.4</v>
      </c>
      <c r="M39" s="225">
        <f>IFERROR(__xludf.DUMMYFUNCTION("""COMPUTED_VALUE"""),0.1)</f>
        <v>0.1</v>
      </c>
      <c r="N39" s="224" t="str">
        <f>IFERROR(__xludf.DUMMYFUNCTION("""COMPUTED_VALUE"""),"Houston Cougars")</f>
        <v>Houston Cougars</v>
      </c>
      <c r="O39" s="226" t="str">
        <f>IFERROR(__xludf.DUMMYFUNCTION("""COMPUTED_VALUE"""),"Big 12")</f>
        <v>Big 12</v>
      </c>
      <c r="P39" s="227">
        <f>IFERROR(__xludf.DUMMYFUNCTION("if(F39="""","""",indeX(split(F39,""-""),1)-J39/100)"),7.359)</f>
        <v>7.359</v>
      </c>
      <c r="Q39" s="227"/>
    </row>
    <row r="40">
      <c r="B40" s="229" t="str">
        <f>IFERROR(__xludf.DUMMYFUNCTION("""COMPUTED_VALUE"""),"0-0")</f>
        <v>0-0</v>
      </c>
      <c r="C40" s="225">
        <f>IFERROR(__xludf.DUMMYFUNCTION("""COMPUTED_VALUE"""),6.6)</f>
        <v>6.6</v>
      </c>
      <c r="D40" s="225">
        <f>IFERROR(__xludf.DUMMYFUNCTION("""COMPUTED_VALUE"""),36.0)</f>
        <v>36</v>
      </c>
      <c r="E40" s="225" t="str">
        <f>IFERROR(__xludf.DUMMYFUNCTION("""COMPUTED_VALUE"""),"--")</f>
        <v>--</v>
      </c>
      <c r="F40" s="224" t="str">
        <f>IFERROR(__xludf.DUMMYFUNCTION("""COMPUTED_VALUE"""),"7.1-5.0")</f>
        <v>7.1-5.0</v>
      </c>
      <c r="G40" s="225">
        <f>IFERROR(__xludf.DUMMYFUNCTION("""COMPUTED_VALUE"""),0.1)</f>
        <v>0.1</v>
      </c>
      <c r="H40" s="225">
        <f>IFERROR(__xludf.DUMMYFUNCTION("""COMPUTED_VALUE"""),77.6)</f>
        <v>77.6</v>
      </c>
      <c r="I40" s="225">
        <f>IFERROR(__xludf.DUMMYFUNCTION("""COMPUTED_VALUE"""),0.0)</f>
        <v>0</v>
      </c>
      <c r="J40" s="225">
        <f>IFERROR(__xludf.DUMMYFUNCTION("""COMPUTED_VALUE"""),2.3)</f>
        <v>2.3</v>
      </c>
      <c r="K40" s="225">
        <f>IFERROR(__xludf.DUMMYFUNCTION("""COMPUTED_VALUE"""),6.2)</f>
        <v>6.2</v>
      </c>
      <c r="L40" s="225">
        <f>IFERROR(__xludf.DUMMYFUNCTION("""COMPUTED_VALUE"""),0.3)</f>
        <v>0.3</v>
      </c>
      <c r="M40" s="225">
        <f>IFERROR(__xludf.DUMMYFUNCTION("""COMPUTED_VALUE"""),0.1)</f>
        <v>0.1</v>
      </c>
      <c r="N40" s="224" t="str">
        <f>IFERROR(__xludf.DUMMYFUNCTION("""COMPUTED_VALUE"""),"Pittsburgh Panthers")</f>
        <v>Pittsburgh Panthers</v>
      </c>
      <c r="O40" s="226" t="str">
        <f>IFERROR(__xludf.DUMMYFUNCTION("""COMPUTED_VALUE"""),"ACC")</f>
        <v>ACC</v>
      </c>
      <c r="P40" s="227">
        <f>IFERROR(__xludf.DUMMYFUNCTION("if(F40="""","""",indeX(split(F40,""-""),1)-J40/100)"),7.077)</f>
        <v>7.077</v>
      </c>
      <c r="Q40" s="227"/>
    </row>
    <row r="41">
      <c r="B41" s="229" t="str">
        <f>IFERROR(__xludf.DUMMYFUNCTION("""COMPUTED_VALUE"""),"0-0")</f>
        <v>0-0</v>
      </c>
      <c r="C41" s="225">
        <f>IFERROR(__xludf.DUMMYFUNCTION("""COMPUTED_VALUE"""),6.5)</f>
        <v>6.5</v>
      </c>
      <c r="D41" s="225">
        <f>IFERROR(__xludf.DUMMYFUNCTION("""COMPUTED_VALUE"""),37.0)</f>
        <v>37</v>
      </c>
      <c r="E41" s="225" t="str">
        <f>IFERROR(__xludf.DUMMYFUNCTION("""COMPUTED_VALUE"""),"--")</f>
        <v>--</v>
      </c>
      <c r="F41" s="224" t="str">
        <f>IFERROR(__xludf.DUMMYFUNCTION("""COMPUTED_VALUE"""),"6.6-5.5")</f>
        <v>6.6-5.5</v>
      </c>
      <c r="G41" s="225">
        <f>IFERROR(__xludf.DUMMYFUNCTION("""COMPUTED_VALUE"""),0.0)</f>
        <v>0</v>
      </c>
      <c r="H41" s="225">
        <f>IFERROR(__xludf.DUMMYFUNCTION("""COMPUTED_VALUE"""),68.8)</f>
        <v>68.8</v>
      </c>
      <c r="I41" s="225">
        <f>IFERROR(__xludf.DUMMYFUNCTION("""COMPUTED_VALUE"""),0.0)</f>
        <v>0</v>
      </c>
      <c r="J41" s="225">
        <f>IFERROR(__xludf.DUMMYFUNCTION("""COMPUTED_VALUE"""),3.2)</f>
        <v>3.2</v>
      </c>
      <c r="K41" s="225">
        <f>IFERROR(__xludf.DUMMYFUNCTION("""COMPUTED_VALUE"""),6.0)</f>
        <v>6</v>
      </c>
      <c r="L41" s="225">
        <f>IFERROR(__xludf.DUMMYFUNCTION("""COMPUTED_VALUE"""),0.2)</f>
        <v>0.2</v>
      </c>
      <c r="M41" s="225">
        <f>IFERROR(__xludf.DUMMYFUNCTION("""COMPUTED_VALUE"""),0.1)</f>
        <v>0.1</v>
      </c>
      <c r="N41" s="224" t="str">
        <f>IFERROR(__xludf.DUMMYFUNCTION("""COMPUTED_VALUE"""),"Baylor Bears")</f>
        <v>Baylor Bears</v>
      </c>
      <c r="O41" s="226" t="str">
        <f>IFERROR(__xludf.DUMMYFUNCTION("""COMPUTED_VALUE"""),"Big 12")</f>
        <v>Big 12</v>
      </c>
      <c r="P41" s="227">
        <f>IFERROR(__xludf.DUMMYFUNCTION("if(F41="""","""",indeX(split(F41,""-""),1)-J41/100)"),6.568)</f>
        <v>6.568</v>
      </c>
      <c r="Q41" s="227"/>
    </row>
    <row r="42">
      <c r="B42" s="229" t="str">
        <f>IFERROR(__xludf.DUMMYFUNCTION("""COMPUTED_VALUE"""),"0-0")</f>
        <v>0-0</v>
      </c>
      <c r="C42" s="225">
        <f>IFERROR(__xludf.DUMMYFUNCTION("""COMPUTED_VALUE"""),6.4)</f>
        <v>6.4</v>
      </c>
      <c r="D42" s="225">
        <f>IFERROR(__xludf.DUMMYFUNCTION("""COMPUTED_VALUE"""),38.0)</f>
        <v>38</v>
      </c>
      <c r="E42" s="225" t="str">
        <f>IFERROR(__xludf.DUMMYFUNCTION("""COMPUTED_VALUE"""),"--")</f>
        <v>--</v>
      </c>
      <c r="F42" s="224" t="str">
        <f>IFERROR(__xludf.DUMMYFUNCTION("""COMPUTED_VALUE"""),"6.8-5.3")</f>
        <v>6.8-5.3</v>
      </c>
      <c r="G42" s="225">
        <f>IFERROR(__xludf.DUMMYFUNCTION("""COMPUTED_VALUE"""),0.0)</f>
        <v>0</v>
      </c>
      <c r="H42" s="225">
        <f>IFERROR(__xludf.DUMMYFUNCTION("""COMPUTED_VALUE"""),72.1)</f>
        <v>72.1</v>
      </c>
      <c r="I42" s="225">
        <f>IFERROR(__xludf.DUMMYFUNCTION("""COMPUTED_VALUE"""),0.0)</f>
        <v>0</v>
      </c>
      <c r="J42" s="225">
        <f>IFERROR(__xludf.DUMMYFUNCTION("""COMPUTED_VALUE"""),4.0)</f>
        <v>4</v>
      </c>
      <c r="K42" s="225">
        <f>IFERROR(__xludf.DUMMYFUNCTION("""COMPUTED_VALUE"""),6.8)</f>
        <v>6.8</v>
      </c>
      <c r="L42" s="225">
        <f>IFERROR(__xludf.DUMMYFUNCTION("""COMPUTED_VALUE"""),0.3)</f>
        <v>0.3</v>
      </c>
      <c r="M42" s="225">
        <f>IFERROR(__xludf.DUMMYFUNCTION("""COMPUTED_VALUE"""),0.1)</f>
        <v>0.1</v>
      </c>
      <c r="N42" s="224" t="str">
        <f>IFERROR(__xludf.DUMMYFUNCTION("""COMPUTED_VALUE"""),"TCU Horned Frogs")</f>
        <v>TCU Horned Frogs</v>
      </c>
      <c r="O42" s="226" t="str">
        <f>IFERROR(__xludf.DUMMYFUNCTION("""COMPUTED_VALUE"""),"Big 12")</f>
        <v>Big 12</v>
      </c>
      <c r="P42" s="227">
        <f>IFERROR(__xludf.DUMMYFUNCTION("if(F42="""","""",indeX(split(F42,""-""),1)-J42/100)"),6.76)</f>
        <v>6.76</v>
      </c>
      <c r="Q42" s="227"/>
    </row>
    <row r="43">
      <c r="B43" s="229" t="str">
        <f>IFERROR(__xludf.DUMMYFUNCTION("""COMPUTED_VALUE"""),"0-0")</f>
        <v>0-0</v>
      </c>
      <c r="C43" s="225">
        <f>IFERROR(__xludf.DUMMYFUNCTION("""COMPUTED_VALUE"""),6.3)</f>
        <v>6.3</v>
      </c>
      <c r="D43" s="225">
        <f>IFERROR(__xludf.DUMMYFUNCTION("""COMPUTED_VALUE"""),39.0)</f>
        <v>39</v>
      </c>
      <c r="E43" s="225" t="str">
        <f>IFERROR(__xludf.DUMMYFUNCTION("""COMPUTED_VALUE"""),"--")</f>
        <v>--</v>
      </c>
      <c r="F43" s="224" t="str">
        <f>IFERROR(__xludf.DUMMYFUNCTION("""COMPUTED_VALUE"""),"6.7-5.3")</f>
        <v>6.7-5.3</v>
      </c>
      <c r="G43" s="225">
        <f>IFERROR(__xludf.DUMMYFUNCTION("""COMPUTED_VALUE"""),0.0)</f>
        <v>0</v>
      </c>
      <c r="H43" s="225">
        <f>IFERROR(__xludf.DUMMYFUNCTION("""COMPUTED_VALUE"""),72.3)</f>
        <v>72.3</v>
      </c>
      <c r="I43" s="225">
        <f>IFERROR(__xludf.DUMMYFUNCTION("""COMPUTED_VALUE"""),0.0)</f>
        <v>0</v>
      </c>
      <c r="J43" s="225">
        <f>IFERROR(__xludf.DUMMYFUNCTION("""COMPUTED_VALUE"""),0.5)</f>
        <v>0.5</v>
      </c>
      <c r="K43" s="225">
        <f>IFERROR(__xludf.DUMMYFUNCTION("""COMPUTED_VALUE"""),4.7)</f>
        <v>4.7</v>
      </c>
      <c r="L43" s="225">
        <f>IFERROR(__xludf.DUMMYFUNCTION("""COMPUTED_VALUE"""),0.2)</f>
        <v>0.2</v>
      </c>
      <c r="M43" s="225">
        <f>IFERROR(__xludf.DUMMYFUNCTION("""COMPUTED_VALUE"""),0.1)</f>
        <v>0.1</v>
      </c>
      <c r="N43" s="224" t="str">
        <f>IFERROR(__xludf.DUMMYFUNCTION("""COMPUTED_VALUE"""),"Illinois Fighting Illini")</f>
        <v>Illinois Fighting Illini</v>
      </c>
      <c r="O43" s="226" t="str">
        <f>IFERROR(__xludf.DUMMYFUNCTION("""COMPUTED_VALUE"""),"Big Ten")</f>
        <v>Big Ten</v>
      </c>
      <c r="P43" s="227">
        <f>IFERROR(__xludf.DUMMYFUNCTION("if(F43="""","""",indeX(split(F43,""-""),1)-J43/100)"),6.695)</f>
        <v>6.695</v>
      </c>
      <c r="Q43" s="227"/>
    </row>
    <row r="44">
      <c r="B44" s="229" t="str">
        <f>IFERROR(__xludf.DUMMYFUNCTION("""COMPUTED_VALUE"""),"0-0")</f>
        <v>0-0</v>
      </c>
      <c r="C44" s="225">
        <f>IFERROR(__xludf.DUMMYFUNCTION("""COMPUTED_VALUE"""),5.4)</f>
        <v>5.4</v>
      </c>
      <c r="D44" s="225">
        <f>IFERROR(__xludf.DUMMYFUNCTION("""COMPUTED_VALUE"""),40.0)</f>
        <v>40</v>
      </c>
      <c r="E44" s="224" t="str">
        <f>IFERROR(__xludf.DUMMYFUNCTION("""COMPUTED_VALUE"""),"--")</f>
        <v>--</v>
      </c>
      <c r="F44" s="224" t="str">
        <f>IFERROR(__xludf.DUMMYFUNCTION("""COMPUTED_VALUE"""),"4.6-7.4")</f>
        <v>4.6-7.4</v>
      </c>
      <c r="G44" s="225">
        <f>IFERROR(__xludf.DUMMYFUNCTION("""COMPUTED_VALUE"""),0.0)</f>
        <v>0</v>
      </c>
      <c r="H44" s="225">
        <f>IFERROR(__xludf.DUMMYFUNCTION("""COMPUTED_VALUE"""),30.4)</f>
        <v>30.4</v>
      </c>
      <c r="I44" s="225">
        <f>IFERROR(__xludf.DUMMYFUNCTION("""COMPUTED_VALUE"""),0.0)</f>
        <v>0</v>
      </c>
      <c r="J44" s="225">
        <f>IFERROR(__xludf.DUMMYFUNCTION("""COMPUTED_VALUE"""),0.2)</f>
        <v>0.2</v>
      </c>
      <c r="K44" s="225">
        <f>IFERROR(__xludf.DUMMYFUNCTION("""COMPUTED_VALUE"""),2.2)</f>
        <v>2.2</v>
      </c>
      <c r="L44" s="225">
        <f>IFERROR(__xludf.DUMMYFUNCTION("""COMPUTED_VALUE"""),0.1)</f>
        <v>0.1</v>
      </c>
      <c r="M44" s="225">
        <f>IFERROR(__xludf.DUMMYFUNCTION("""COMPUTED_VALUE"""),0.0)</f>
        <v>0</v>
      </c>
      <c r="N44" s="224" t="str">
        <f>IFERROR(__xludf.DUMMYFUNCTION("""COMPUTED_VALUE"""),"Kentucky Wildcats")</f>
        <v>Kentucky Wildcats</v>
      </c>
      <c r="O44" s="226" t="str">
        <f>IFERROR(__xludf.DUMMYFUNCTION("""COMPUTED_VALUE"""),"SEC")</f>
        <v>SEC</v>
      </c>
      <c r="P44" s="227">
        <f>IFERROR(__xludf.DUMMYFUNCTION("if(F44="""","""",indeX(split(F44,""-""),1)-J44/100)"),4.598)</f>
        <v>4.598</v>
      </c>
      <c r="Q44" s="227"/>
    </row>
    <row r="45">
      <c r="B45" s="229" t="str">
        <f>IFERROR(__xludf.DUMMYFUNCTION("""COMPUTED_VALUE"""),"0-0")</f>
        <v>0-0</v>
      </c>
      <c r="C45" s="225">
        <f>IFERROR(__xludf.DUMMYFUNCTION("""COMPUTED_VALUE"""),5.1)</f>
        <v>5.1</v>
      </c>
      <c r="D45" s="225">
        <f>IFERROR(__xludf.DUMMYFUNCTION("""COMPUTED_VALUE"""),41.0)</f>
        <v>41</v>
      </c>
      <c r="E45" s="225" t="str">
        <f>IFERROR(__xludf.DUMMYFUNCTION("""COMPUTED_VALUE"""),"--")</f>
        <v>--</v>
      </c>
      <c r="F45" s="224" t="str">
        <f>IFERROR(__xludf.DUMMYFUNCTION("""COMPUTED_VALUE"""),"7.0-5.1")</f>
        <v>7.0-5.1</v>
      </c>
      <c r="G45" s="225">
        <f>IFERROR(__xludf.DUMMYFUNCTION("""COMPUTED_VALUE"""),0.1)</f>
        <v>0.1</v>
      </c>
      <c r="H45" s="225">
        <f>IFERROR(__xludf.DUMMYFUNCTION("""COMPUTED_VALUE"""),74.1)</f>
        <v>74.1</v>
      </c>
      <c r="I45" s="225">
        <f>IFERROR(__xludf.DUMMYFUNCTION("""COMPUTED_VALUE"""),0.0)</f>
        <v>0</v>
      </c>
      <c r="J45" s="225">
        <f>IFERROR(__xludf.DUMMYFUNCTION("""COMPUTED_VALUE"""),3.1)</f>
        <v>3.1</v>
      </c>
      <c r="K45" s="225">
        <f>IFERROR(__xludf.DUMMYFUNCTION("""COMPUTED_VALUE"""),5.7)</f>
        <v>5.7</v>
      </c>
      <c r="L45" s="225">
        <f>IFERROR(__xludf.DUMMYFUNCTION("""COMPUTED_VALUE"""),0.2)</f>
        <v>0.2</v>
      </c>
      <c r="M45" s="225">
        <f>IFERROR(__xludf.DUMMYFUNCTION("""COMPUTED_VALUE"""),0.1)</f>
        <v>0.1</v>
      </c>
      <c r="N45" s="224" t="str">
        <f>IFERROR(__xludf.DUMMYFUNCTION("""COMPUTED_VALUE"""),"Kansas State Wildcats")</f>
        <v>Kansas State Wildcats</v>
      </c>
      <c r="O45" s="226" t="str">
        <f>IFERROR(__xludf.DUMMYFUNCTION("""COMPUTED_VALUE"""),"Big 12")</f>
        <v>Big 12</v>
      </c>
      <c r="P45" s="227">
        <f>IFERROR(__xludf.DUMMYFUNCTION("if(F45="""","""",indeX(split(F45,""-""),1)-J45/100)"),6.969)</f>
        <v>6.969</v>
      </c>
      <c r="Q45" s="227"/>
    </row>
    <row r="46">
      <c r="B46" s="229" t="str">
        <f>IFERROR(__xludf.DUMMYFUNCTION("""COMPUTED_VALUE"""),"0-0")</f>
        <v>0-0</v>
      </c>
      <c r="C46" s="225">
        <f>IFERROR(__xludf.DUMMYFUNCTION("""COMPUTED_VALUE"""),4.9)</f>
        <v>4.9</v>
      </c>
      <c r="D46" s="225">
        <f>IFERROR(__xludf.DUMMYFUNCTION("""COMPUTED_VALUE"""),42.0)</f>
        <v>42</v>
      </c>
      <c r="E46" s="225" t="str">
        <f>IFERROR(__xludf.DUMMYFUNCTION("""COMPUTED_VALUE"""),"--")</f>
        <v>--</v>
      </c>
      <c r="F46" s="224" t="str">
        <f>IFERROR(__xludf.DUMMYFUNCTION("""COMPUTED_VALUE"""),"5.8-6.2")</f>
        <v>5.8-6.2</v>
      </c>
      <c r="G46" s="225">
        <f>IFERROR(__xludf.DUMMYFUNCTION("""COMPUTED_VALUE"""),0.0)</f>
        <v>0</v>
      </c>
      <c r="H46" s="225">
        <f>IFERROR(__xludf.DUMMYFUNCTION("""COMPUTED_VALUE"""),55.5)</f>
        <v>55.5</v>
      </c>
      <c r="I46" s="225">
        <f>IFERROR(__xludf.DUMMYFUNCTION("""COMPUTED_VALUE"""),0.0)</f>
        <v>0</v>
      </c>
      <c r="J46" s="225">
        <f>IFERROR(__xludf.DUMMYFUNCTION("""COMPUTED_VALUE"""),1.5)</f>
        <v>1.5</v>
      </c>
      <c r="K46" s="225">
        <f>IFERROR(__xludf.DUMMYFUNCTION("""COMPUTED_VALUE"""),3.6)</f>
        <v>3.6</v>
      </c>
      <c r="L46" s="225">
        <f>IFERROR(__xludf.DUMMYFUNCTION("""COMPUTED_VALUE"""),0.1)</f>
        <v>0.1</v>
      </c>
      <c r="M46" s="225">
        <f>IFERROR(__xludf.DUMMYFUNCTION("""COMPUTED_VALUE"""),0.0)</f>
        <v>0</v>
      </c>
      <c r="N46" s="224" t="str">
        <f>IFERROR(__xludf.DUMMYFUNCTION("""COMPUTED_VALUE"""),"North Carolina Tar Heels")</f>
        <v>North Carolina Tar Heels</v>
      </c>
      <c r="O46" s="226" t="str">
        <f>IFERROR(__xludf.DUMMYFUNCTION("""COMPUTED_VALUE"""),"ACC")</f>
        <v>ACC</v>
      </c>
      <c r="P46" s="227">
        <f>IFERROR(__xludf.DUMMYFUNCTION("if(F46="""","""",indeX(split(F46,""-""),1)-J46/100)"),5.785)</f>
        <v>5.785</v>
      </c>
      <c r="Q46" s="227"/>
    </row>
    <row r="47">
      <c r="B47" s="229" t="str">
        <f>IFERROR(__xludf.DUMMYFUNCTION("""COMPUTED_VALUE"""),"0-0")</f>
        <v>0-0</v>
      </c>
      <c r="C47" s="225">
        <f>IFERROR(__xludf.DUMMYFUNCTION("""COMPUTED_VALUE"""),4.8)</f>
        <v>4.8</v>
      </c>
      <c r="D47" s="225">
        <f>IFERROR(__xludf.DUMMYFUNCTION("""COMPUTED_VALUE"""),43.0)</f>
        <v>43</v>
      </c>
      <c r="E47" s="225" t="str">
        <f>IFERROR(__xludf.DUMMYFUNCTION("""COMPUTED_VALUE"""),"--")</f>
        <v>--</v>
      </c>
      <c r="F47" s="224" t="str">
        <f>IFERROR(__xludf.DUMMYFUNCTION("""COMPUTED_VALUE"""),"6.5-5.5")</f>
        <v>6.5-5.5</v>
      </c>
      <c r="G47" s="225">
        <f>IFERROR(__xludf.DUMMYFUNCTION("""COMPUTED_VALUE"""),0.0)</f>
        <v>0</v>
      </c>
      <c r="H47" s="225">
        <f>IFERROR(__xludf.DUMMYFUNCTION("""COMPUTED_VALUE"""),69.2)</f>
        <v>69.2</v>
      </c>
      <c r="I47" s="225">
        <f>IFERROR(__xludf.DUMMYFUNCTION("""COMPUTED_VALUE"""),0.0)</f>
        <v>0</v>
      </c>
      <c r="J47" s="225">
        <f>IFERROR(__xludf.DUMMYFUNCTION("""COMPUTED_VALUE"""),0.6)</f>
        <v>0.6</v>
      </c>
      <c r="K47" s="225">
        <f>IFERROR(__xludf.DUMMYFUNCTION("""COMPUTED_VALUE"""),3.5)</f>
        <v>3.5</v>
      </c>
      <c r="L47" s="225">
        <f>IFERROR(__xludf.DUMMYFUNCTION("""COMPUTED_VALUE"""),0.1)</f>
        <v>0.1</v>
      </c>
      <c r="M47" s="225">
        <f>IFERROR(__xludf.DUMMYFUNCTION("""COMPUTED_VALUE"""),0.0)</f>
        <v>0</v>
      </c>
      <c r="N47" s="224" t="str">
        <f>IFERROR(__xludf.DUMMYFUNCTION("""COMPUTED_VALUE"""),"Wisconsin Badgers")</f>
        <v>Wisconsin Badgers</v>
      </c>
      <c r="O47" s="226" t="str">
        <f>IFERROR(__xludf.DUMMYFUNCTION("""COMPUTED_VALUE"""),"Big Ten")</f>
        <v>Big Ten</v>
      </c>
      <c r="P47" s="227">
        <f>IFERROR(__xludf.DUMMYFUNCTION("if(F47="""","""",indeX(split(F47,""-""),1)-J47/100)"),6.494)</f>
        <v>6.494</v>
      </c>
      <c r="Q47" s="227"/>
    </row>
    <row r="48">
      <c r="B48" s="229" t="str">
        <f>IFERROR(__xludf.DUMMYFUNCTION("""COMPUTED_VALUE"""),"0-0")</f>
        <v>0-0</v>
      </c>
      <c r="C48" s="225">
        <f>IFERROR(__xludf.DUMMYFUNCTION("""COMPUTED_VALUE"""),4.8)</f>
        <v>4.8</v>
      </c>
      <c r="D48" s="225">
        <f>IFERROR(__xludf.DUMMYFUNCTION("""COMPUTED_VALUE"""),44.0)</f>
        <v>44</v>
      </c>
      <c r="E48" s="225" t="str">
        <f>IFERROR(__xludf.DUMMYFUNCTION("""COMPUTED_VALUE"""),"--")</f>
        <v>--</v>
      </c>
      <c r="F48" s="224" t="str">
        <f>IFERROR(__xludf.DUMMYFUNCTION("""COMPUTED_VALUE"""),"6.0-6.1")</f>
        <v>6.0-6.1</v>
      </c>
      <c r="G48" s="225">
        <f>IFERROR(__xludf.DUMMYFUNCTION("""COMPUTED_VALUE"""),0.0)</f>
        <v>0</v>
      </c>
      <c r="H48" s="225">
        <f>IFERROR(__xludf.DUMMYFUNCTION("""COMPUTED_VALUE"""),57.6)</f>
        <v>57.6</v>
      </c>
      <c r="I48" s="225">
        <f>IFERROR(__xludf.DUMMYFUNCTION("""COMPUTED_VALUE"""),0.0)</f>
        <v>0</v>
      </c>
      <c r="J48" s="225">
        <f>IFERROR(__xludf.DUMMYFUNCTION("""COMPUTED_VALUE"""),2.3)</f>
        <v>2.3</v>
      </c>
      <c r="K48" s="225">
        <f>IFERROR(__xludf.DUMMYFUNCTION("""COMPUTED_VALUE"""),4.0)</f>
        <v>4</v>
      </c>
      <c r="L48" s="225">
        <f>IFERROR(__xludf.DUMMYFUNCTION("""COMPUTED_VALUE"""),0.1)</f>
        <v>0.1</v>
      </c>
      <c r="M48" s="225">
        <f>IFERROR(__xludf.DUMMYFUNCTION("""COMPUTED_VALUE"""),0.0)</f>
        <v>0</v>
      </c>
      <c r="N48" s="224" t="str">
        <f>IFERROR(__xludf.DUMMYFUNCTION("""COMPUTED_VALUE"""),"Arizona State Sun Devils")</f>
        <v>Arizona State Sun Devils</v>
      </c>
      <c r="O48" s="226" t="str">
        <f>IFERROR(__xludf.DUMMYFUNCTION("""COMPUTED_VALUE"""),"Big 12")</f>
        <v>Big 12</v>
      </c>
      <c r="P48" s="227">
        <f>IFERROR(__xludf.DUMMYFUNCTION("if(F48="""","""",indeX(split(F48,""-""),1)-J48/100)"),5.977)</f>
        <v>5.977</v>
      </c>
      <c r="Q48" s="227"/>
    </row>
    <row r="49">
      <c r="B49" s="229" t="str">
        <f>IFERROR(__xludf.DUMMYFUNCTION("""COMPUTED_VALUE"""),"0-0")</f>
        <v>0-0</v>
      </c>
      <c r="C49" s="225">
        <f>IFERROR(__xludf.DUMMYFUNCTION("""COMPUTED_VALUE"""),4.5)</f>
        <v>4.5</v>
      </c>
      <c r="D49" s="225">
        <f>IFERROR(__xludf.DUMMYFUNCTION("""COMPUTED_VALUE"""),45.0)</f>
        <v>45</v>
      </c>
      <c r="E49" s="225" t="str">
        <f>IFERROR(__xludf.DUMMYFUNCTION("""COMPUTED_VALUE"""),"--")</f>
        <v>--</v>
      </c>
      <c r="F49" s="224" t="str">
        <f>IFERROR(__xludf.DUMMYFUNCTION("""COMPUTED_VALUE"""),"6.0-6.1")</f>
        <v>6.0-6.1</v>
      </c>
      <c r="G49" s="225">
        <f>IFERROR(__xludf.DUMMYFUNCTION("""COMPUTED_VALUE"""),0.0)</f>
        <v>0</v>
      </c>
      <c r="H49" s="225">
        <f>IFERROR(__xludf.DUMMYFUNCTION("""COMPUTED_VALUE"""),57.2)</f>
        <v>57.2</v>
      </c>
      <c r="I49" s="225">
        <f>IFERROR(__xludf.DUMMYFUNCTION("""COMPUTED_VALUE"""),0.0)</f>
        <v>0</v>
      </c>
      <c r="J49" s="225">
        <f>IFERROR(__xludf.DUMMYFUNCTION("""COMPUTED_VALUE"""),2.5)</f>
        <v>2.5</v>
      </c>
      <c r="K49" s="225">
        <f>IFERROR(__xludf.DUMMYFUNCTION("""COMPUTED_VALUE"""),4.2)</f>
        <v>4.2</v>
      </c>
      <c r="L49" s="225">
        <f>IFERROR(__xludf.DUMMYFUNCTION("""COMPUTED_VALUE"""),0.1)</f>
        <v>0.1</v>
      </c>
      <c r="M49" s="225">
        <f>IFERROR(__xludf.DUMMYFUNCTION("""COMPUTED_VALUE"""),0.0)</f>
        <v>0</v>
      </c>
      <c r="N49" s="224" t="str">
        <f>IFERROR(__xludf.DUMMYFUNCTION("""COMPUTED_VALUE"""),"Colorado Buffaloes")</f>
        <v>Colorado Buffaloes</v>
      </c>
      <c r="O49" s="226" t="str">
        <f>IFERROR(__xludf.DUMMYFUNCTION("""COMPUTED_VALUE"""),"Big 12")</f>
        <v>Big 12</v>
      </c>
      <c r="P49" s="227">
        <f>IFERROR(__xludf.DUMMYFUNCTION("if(F49="""","""",indeX(split(F49,""-""),1)-J49/100)"),5.975)</f>
        <v>5.975</v>
      </c>
      <c r="Q49" s="227"/>
    </row>
    <row r="50">
      <c r="B50" s="229" t="str">
        <f>IFERROR(__xludf.DUMMYFUNCTION("""COMPUTED_VALUE"""),"0-0")</f>
        <v>0-0</v>
      </c>
      <c r="C50" s="225">
        <f>IFERROR(__xludf.DUMMYFUNCTION("""COMPUTED_VALUE"""),4.4)</f>
        <v>4.4</v>
      </c>
      <c r="D50" s="225">
        <f>IFERROR(__xludf.DUMMYFUNCTION("""COMPUTED_VALUE"""),46.0)</f>
        <v>46</v>
      </c>
      <c r="E50" s="225" t="str">
        <f>IFERROR(__xludf.DUMMYFUNCTION("""COMPUTED_VALUE"""),"--")</f>
        <v>--</v>
      </c>
      <c r="F50" s="224" t="str">
        <f>IFERROR(__xludf.DUMMYFUNCTION("""COMPUTED_VALUE"""),"6.4-5.7")</f>
        <v>6.4-5.7</v>
      </c>
      <c r="G50" s="225">
        <f>IFERROR(__xludf.DUMMYFUNCTION("""COMPUTED_VALUE"""),0.0)</f>
        <v>0</v>
      </c>
      <c r="H50" s="225">
        <f>IFERROR(__xludf.DUMMYFUNCTION("""COMPUTED_VALUE"""),64.9)</f>
        <v>64.9</v>
      </c>
      <c r="I50" s="225">
        <f>IFERROR(__xludf.DUMMYFUNCTION("""COMPUTED_VALUE"""),0.0)</f>
        <v>0</v>
      </c>
      <c r="J50" s="225">
        <f>IFERROR(__xludf.DUMMYFUNCTION("""COMPUTED_VALUE"""),2.1)</f>
        <v>2.1</v>
      </c>
      <c r="K50" s="225">
        <f>IFERROR(__xludf.DUMMYFUNCTION("""COMPUTED_VALUE"""),4.1)</f>
        <v>4.1</v>
      </c>
      <c r="L50" s="225">
        <f>IFERROR(__xludf.DUMMYFUNCTION("""COMPUTED_VALUE"""),0.2)</f>
        <v>0.2</v>
      </c>
      <c r="M50" s="225">
        <f>IFERROR(__xludf.DUMMYFUNCTION("""COMPUTED_VALUE"""),0.0)</f>
        <v>0</v>
      </c>
      <c r="N50" s="224" t="str">
        <f>IFERROR(__xludf.DUMMYFUNCTION("""COMPUTED_VALUE"""),"Cincinnati Bearcats")</f>
        <v>Cincinnati Bearcats</v>
      </c>
      <c r="O50" s="226" t="str">
        <f>IFERROR(__xludf.DUMMYFUNCTION("""COMPUTED_VALUE"""),"Big 12")</f>
        <v>Big 12</v>
      </c>
      <c r="P50" s="227">
        <f>IFERROR(__xludf.DUMMYFUNCTION("if(F50="""","""",indeX(split(F50,""-""),1)-J50/100)"),6.3790000000000004)</f>
        <v>6.379</v>
      </c>
      <c r="Q50" s="227"/>
    </row>
    <row r="51">
      <c r="B51" s="224" t="str">
        <f>IFERROR(__xludf.DUMMYFUNCTION("""COMPUTED_VALUE"""),"0-0")</f>
        <v>0-0</v>
      </c>
      <c r="C51" s="225">
        <f>IFERROR(__xludf.DUMMYFUNCTION("""COMPUTED_VALUE"""),4.4)</f>
        <v>4.4</v>
      </c>
      <c r="D51" s="225">
        <f>IFERROR(__xludf.DUMMYFUNCTION("""COMPUTED_VALUE"""),47.0)</f>
        <v>47</v>
      </c>
      <c r="E51" s="225" t="str">
        <f>IFERROR(__xludf.DUMMYFUNCTION("""COMPUTED_VALUE"""),"--")</f>
        <v>--</v>
      </c>
      <c r="F51" s="224" t="str">
        <f>IFERROR(__xludf.DUMMYFUNCTION("""COMPUTED_VALUE"""),"4.3-7.7")</f>
        <v>4.3-7.7</v>
      </c>
      <c r="G51" s="225">
        <f>IFERROR(__xludf.DUMMYFUNCTION("""COMPUTED_VALUE"""),0.0)</f>
        <v>0</v>
      </c>
      <c r="H51" s="225">
        <f>IFERROR(__xludf.DUMMYFUNCTION("""COMPUTED_VALUE"""),24.2)</f>
        <v>24.2</v>
      </c>
      <c r="I51" s="225">
        <f>IFERROR(__xludf.DUMMYFUNCTION("""COMPUTED_VALUE"""),0.0)</f>
        <v>0</v>
      </c>
      <c r="J51" s="225">
        <f>IFERROR(__xludf.DUMMYFUNCTION("""COMPUTED_VALUE"""),0.1)</f>
        <v>0.1</v>
      </c>
      <c r="K51" s="225">
        <f>IFERROR(__xludf.DUMMYFUNCTION("""COMPUTED_VALUE"""),1.7)</f>
        <v>1.7</v>
      </c>
      <c r="L51" s="225">
        <f>IFERROR(__xludf.DUMMYFUNCTION("""COMPUTED_VALUE"""),0.1)</f>
        <v>0.1</v>
      </c>
      <c r="M51" s="225">
        <f>IFERROR(__xludf.DUMMYFUNCTION("""COMPUTED_VALUE"""),0.0)</f>
        <v>0</v>
      </c>
      <c r="N51" s="224" t="str">
        <f>IFERROR(__xludf.DUMMYFUNCTION("""COMPUTED_VALUE"""),"Arkansas Razorbacks")</f>
        <v>Arkansas Razorbacks</v>
      </c>
      <c r="O51" s="226" t="str">
        <f>IFERROR(__xludf.DUMMYFUNCTION("""COMPUTED_VALUE"""),"SEC")</f>
        <v>SEC</v>
      </c>
      <c r="P51" s="227">
        <f>IFERROR(__xludf.DUMMYFUNCTION("if(F51="""","""",indeX(split(F51,""-""),1)-J51/100)"),4.2989999999999995)</f>
        <v>4.299</v>
      </c>
      <c r="Q51" s="227"/>
    </row>
    <row r="52">
      <c r="B52" s="229" t="str">
        <f>IFERROR(__xludf.DUMMYFUNCTION("""COMPUTED_VALUE"""),"0-0")</f>
        <v>0-0</v>
      </c>
      <c r="C52" s="225">
        <f>IFERROR(__xludf.DUMMYFUNCTION("""COMPUTED_VALUE"""),4.2)</f>
        <v>4.2</v>
      </c>
      <c r="D52" s="225">
        <f>IFERROR(__xludf.DUMMYFUNCTION("""COMPUTED_VALUE"""),48.0)</f>
        <v>48</v>
      </c>
      <c r="E52" s="225" t="str">
        <f>IFERROR(__xludf.DUMMYFUNCTION("""COMPUTED_VALUE"""),"--")</f>
        <v>--</v>
      </c>
      <c r="F52" s="224" t="str">
        <f>IFERROR(__xludf.DUMMYFUNCTION("""COMPUTED_VALUE"""),"5.8-6.3")</f>
        <v>5.8-6.3</v>
      </c>
      <c r="G52" s="225">
        <f>IFERROR(__xludf.DUMMYFUNCTION("""COMPUTED_VALUE"""),0.0)</f>
        <v>0</v>
      </c>
      <c r="H52" s="225">
        <f>IFERROR(__xludf.DUMMYFUNCTION("""COMPUTED_VALUE"""),54.4)</f>
        <v>54.4</v>
      </c>
      <c r="I52" s="225">
        <f>IFERROR(__xludf.DUMMYFUNCTION("""COMPUTED_VALUE"""),0.0)</f>
        <v>0</v>
      </c>
      <c r="J52" s="225">
        <f>IFERROR(__xludf.DUMMYFUNCTION("""COMPUTED_VALUE"""),1.4)</f>
        <v>1.4</v>
      </c>
      <c r="K52" s="225">
        <f>IFERROR(__xludf.DUMMYFUNCTION("""COMPUTED_VALUE"""),3.3)</f>
        <v>3.3</v>
      </c>
      <c r="L52" s="225">
        <f>IFERROR(__xludf.DUMMYFUNCTION("""COMPUTED_VALUE"""),0.1)</f>
        <v>0.1</v>
      </c>
      <c r="M52" s="225">
        <f>IFERROR(__xludf.DUMMYFUNCTION("""COMPUTED_VALUE"""),0.0)</f>
        <v>0</v>
      </c>
      <c r="N52" s="224" t="str">
        <f>IFERROR(__xludf.DUMMYFUNCTION("""COMPUTED_VALUE"""),"Georgia Tech Yellow Jackets")</f>
        <v>Georgia Tech Yellow Jackets</v>
      </c>
      <c r="O52" s="226" t="str">
        <f>IFERROR(__xludf.DUMMYFUNCTION("""COMPUTED_VALUE"""),"ACC")</f>
        <v>ACC</v>
      </c>
      <c r="P52" s="227">
        <f>IFERROR(__xludf.DUMMYFUNCTION("if(F52="""","""",indeX(split(F52,""-""),1)-J52/100)"),5.786)</f>
        <v>5.786</v>
      </c>
      <c r="Q52" s="227"/>
    </row>
    <row r="53">
      <c r="B53" s="229" t="str">
        <f>IFERROR(__xludf.DUMMYFUNCTION("""COMPUTED_VALUE"""),"0-0")</f>
        <v>0-0</v>
      </c>
      <c r="C53" s="225">
        <f>IFERROR(__xludf.DUMMYFUNCTION("""COMPUTED_VALUE"""),4.1)</f>
        <v>4.1</v>
      </c>
      <c r="D53" s="225">
        <f>IFERROR(__xludf.DUMMYFUNCTION("""COMPUTED_VALUE"""),49.0)</f>
        <v>49</v>
      </c>
      <c r="E53" s="225" t="str">
        <f>IFERROR(__xludf.DUMMYFUNCTION("""COMPUTED_VALUE"""),"--")</f>
        <v>--</v>
      </c>
      <c r="F53" s="224" t="str">
        <f>IFERROR(__xludf.DUMMYFUNCTION("""COMPUTED_VALUE"""),"4.6-7.4")</f>
        <v>4.6-7.4</v>
      </c>
      <c r="G53" s="225">
        <f>IFERROR(__xludf.DUMMYFUNCTION("""COMPUTED_VALUE"""),0.0)</f>
        <v>0</v>
      </c>
      <c r="H53" s="225">
        <f>IFERROR(__xludf.DUMMYFUNCTION("""COMPUTED_VALUE"""),29.5)</f>
        <v>29.5</v>
      </c>
      <c r="I53" s="225">
        <f>IFERROR(__xludf.DUMMYFUNCTION("""COMPUTED_VALUE"""),0.0)</f>
        <v>0</v>
      </c>
      <c r="J53" s="225">
        <f>IFERROR(__xludf.DUMMYFUNCTION("""COMPUTED_VALUE"""),0.1)</f>
        <v>0.1</v>
      </c>
      <c r="K53" s="225">
        <f>IFERROR(__xludf.DUMMYFUNCTION("""COMPUTED_VALUE"""),1.7)</f>
        <v>1.7</v>
      </c>
      <c r="L53" s="225">
        <f>IFERROR(__xludf.DUMMYFUNCTION("""COMPUTED_VALUE"""),0.1)</f>
        <v>0.1</v>
      </c>
      <c r="M53" s="225">
        <f>IFERROR(__xludf.DUMMYFUNCTION("""COMPUTED_VALUE"""),0.0)</f>
        <v>0</v>
      </c>
      <c r="N53" s="224" t="str">
        <f>IFERROR(__xludf.DUMMYFUNCTION("""COMPUTED_VALUE"""),"Mississippi State Bulldogs")</f>
        <v>Mississippi State Bulldogs</v>
      </c>
      <c r="O53" s="226" t="str">
        <f>IFERROR(__xludf.DUMMYFUNCTION("""COMPUTED_VALUE"""),"SEC")</f>
        <v>SEC</v>
      </c>
      <c r="P53" s="227">
        <f>IFERROR(__xludf.DUMMYFUNCTION("if(F53="""","""",indeX(split(F53,""-""),1)-J53/100)"),4.598999999999999)</f>
        <v>4.599</v>
      </c>
      <c r="Q53" s="227"/>
    </row>
    <row r="54">
      <c r="B54" s="229" t="str">
        <f>IFERROR(__xludf.DUMMYFUNCTION("""COMPUTED_VALUE"""),"0-0")</f>
        <v>0-0</v>
      </c>
      <c r="C54" s="225">
        <f>IFERROR(__xludf.DUMMYFUNCTION("""COMPUTED_VALUE"""),4.0)</f>
        <v>4</v>
      </c>
      <c r="D54" s="225">
        <f>IFERROR(__xludf.DUMMYFUNCTION("""COMPUTED_VALUE"""),50.0)</f>
        <v>50</v>
      </c>
      <c r="E54" s="225" t="str">
        <f>IFERROR(__xludf.DUMMYFUNCTION("""COMPUTED_VALUE"""),"--")</f>
        <v>--</v>
      </c>
      <c r="F54" s="224" t="str">
        <f>IFERROR(__xludf.DUMMYFUNCTION("""COMPUTED_VALUE"""),"7.8-3.8")</f>
        <v>7.8-3.8</v>
      </c>
      <c r="G54" s="225">
        <f>IFERROR(__xludf.DUMMYFUNCTION("""COMPUTED_VALUE"""),0.3)</f>
        <v>0.3</v>
      </c>
      <c r="H54" s="225">
        <f>IFERROR(__xludf.DUMMYFUNCTION("""COMPUTED_VALUE"""),84.9)</f>
        <v>84.9</v>
      </c>
      <c r="I54" s="225">
        <f>IFERROR(__xludf.DUMMYFUNCTION("""COMPUTED_VALUE"""),0.0)</f>
        <v>0</v>
      </c>
      <c r="J54" s="225">
        <f>IFERROR(__xludf.DUMMYFUNCTION("""COMPUTED_VALUE"""),36.4)</f>
        <v>36.4</v>
      </c>
      <c r="K54" s="225">
        <f>IFERROR(__xludf.DUMMYFUNCTION("""COMPUTED_VALUE"""),11.2)</f>
        <v>11.2</v>
      </c>
      <c r="L54" s="225">
        <f>IFERROR(__xludf.DUMMYFUNCTION("""COMPUTED_VALUE"""),0.2)</f>
        <v>0.2</v>
      </c>
      <c r="M54" s="225">
        <f>IFERROR(__xludf.DUMMYFUNCTION("""COMPUTED_VALUE"""),0.1)</f>
        <v>0.1</v>
      </c>
      <c r="N54" s="224" t="str">
        <f>IFERROR(__xludf.DUMMYFUNCTION("""COMPUTED_VALUE"""),"Boise State Broncos")</f>
        <v>Boise State Broncos</v>
      </c>
      <c r="O54" s="226" t="str">
        <f>IFERROR(__xludf.DUMMYFUNCTION("""COMPUTED_VALUE"""),"Pac-12")</f>
        <v>Pac-12</v>
      </c>
      <c r="P54" s="227">
        <f>IFERROR(__xludf.DUMMYFUNCTION("if(F54="""","""",indeX(split(F54,""-""),1)-J54/100)"),7.436)</f>
        <v>7.436</v>
      </c>
      <c r="Q54" s="227"/>
    </row>
    <row r="55">
      <c r="B55" s="229" t="str">
        <f>IFERROR(__xludf.DUMMYFUNCTION("""COMPUTED_VALUE"""),"0-0")</f>
        <v>0-0</v>
      </c>
      <c r="C55" s="225">
        <f>IFERROR(__xludf.DUMMYFUNCTION("""COMPUTED_VALUE"""),3.7)</f>
        <v>3.7</v>
      </c>
      <c r="D55" s="225">
        <f>IFERROR(__xludf.DUMMYFUNCTION("""COMPUTED_VALUE"""),51.0)</f>
        <v>51</v>
      </c>
      <c r="E55" s="225" t="str">
        <f>IFERROR(__xludf.DUMMYFUNCTION("""COMPUTED_VALUE"""),"--")</f>
        <v>--</v>
      </c>
      <c r="F55" s="224" t="str">
        <f>IFERROR(__xludf.DUMMYFUNCTION("""COMPUTED_VALUE"""),"6.7-5.4")</f>
        <v>6.7-5.4</v>
      </c>
      <c r="G55" s="225">
        <f>IFERROR(__xludf.DUMMYFUNCTION("""COMPUTED_VALUE"""),0.0)</f>
        <v>0</v>
      </c>
      <c r="H55" s="225">
        <f>IFERROR(__xludf.DUMMYFUNCTION("""COMPUTED_VALUE"""),70.1)</f>
        <v>70.1</v>
      </c>
      <c r="I55" s="225">
        <f>IFERROR(__xludf.DUMMYFUNCTION("""COMPUTED_VALUE"""),0.0)</f>
        <v>0</v>
      </c>
      <c r="J55" s="225">
        <f>IFERROR(__xludf.DUMMYFUNCTION("""COMPUTED_VALUE"""),1.5)</f>
        <v>1.5</v>
      </c>
      <c r="K55" s="225">
        <f>IFERROR(__xludf.DUMMYFUNCTION("""COMPUTED_VALUE"""),3.5)</f>
        <v>3.5</v>
      </c>
      <c r="L55" s="225">
        <f>IFERROR(__xludf.DUMMYFUNCTION("""COMPUTED_VALUE"""),0.1)</f>
        <v>0.1</v>
      </c>
      <c r="M55" s="225">
        <f>IFERROR(__xludf.DUMMYFUNCTION("""COMPUTED_VALUE"""),0.0)</f>
        <v>0</v>
      </c>
      <c r="N55" s="224" t="str">
        <f>IFERROR(__xludf.DUMMYFUNCTION("""COMPUTED_VALUE"""),"NC State Wolfpack")</f>
        <v>NC State Wolfpack</v>
      </c>
      <c r="O55" s="226" t="str">
        <f>IFERROR(__xludf.DUMMYFUNCTION("""COMPUTED_VALUE"""),"ACC")</f>
        <v>ACC</v>
      </c>
      <c r="P55" s="227">
        <f>IFERROR(__xludf.DUMMYFUNCTION("if(F55="""","""",indeX(split(F55,""-""),1)-J55/100)"),6.6850000000000005)</f>
        <v>6.685</v>
      </c>
      <c r="Q55" s="227"/>
    </row>
    <row r="56">
      <c r="B56" s="229" t="str">
        <f>IFERROR(__xludf.DUMMYFUNCTION("""COMPUTED_VALUE"""),"0-0")</f>
        <v>0-0</v>
      </c>
      <c r="C56" s="225">
        <f>IFERROR(__xludf.DUMMYFUNCTION("""COMPUTED_VALUE"""),3.5)</f>
        <v>3.5</v>
      </c>
      <c r="D56" s="225">
        <f>IFERROR(__xludf.DUMMYFUNCTION("""COMPUTED_VALUE"""),52.0)</f>
        <v>52</v>
      </c>
      <c r="E56" s="225" t="str">
        <f>IFERROR(__xludf.DUMMYFUNCTION("""COMPUTED_VALUE"""),"--")</f>
        <v>--</v>
      </c>
      <c r="F56" s="224" t="str">
        <f>IFERROR(__xludf.DUMMYFUNCTION("""COMPUTED_VALUE"""),"6.0-6.0")</f>
        <v>6.0-6.0</v>
      </c>
      <c r="G56" s="225">
        <f>IFERROR(__xludf.DUMMYFUNCTION("""COMPUTED_VALUE"""),0.0)</f>
        <v>0</v>
      </c>
      <c r="H56" s="225">
        <f>IFERROR(__xludf.DUMMYFUNCTION("""COMPUTED_VALUE"""),57.9)</f>
        <v>57.9</v>
      </c>
      <c r="I56" s="225">
        <f>IFERROR(__xludf.DUMMYFUNCTION("""COMPUTED_VALUE"""),0.0)</f>
        <v>0</v>
      </c>
      <c r="J56" s="225">
        <f>IFERROR(__xludf.DUMMYFUNCTION("""COMPUTED_VALUE"""),1.2)</f>
        <v>1.2</v>
      </c>
      <c r="K56" s="225">
        <f>IFERROR(__xludf.DUMMYFUNCTION("""COMPUTED_VALUE"""),2.9)</f>
        <v>2.9</v>
      </c>
      <c r="L56" s="225">
        <f>IFERROR(__xludf.DUMMYFUNCTION("""COMPUTED_VALUE"""),0.1)</f>
        <v>0.1</v>
      </c>
      <c r="M56" s="225">
        <f>IFERROR(__xludf.DUMMYFUNCTION("""COMPUTED_VALUE"""),0.0)</f>
        <v>0</v>
      </c>
      <c r="N56" s="224" t="str">
        <f>IFERROR(__xludf.DUMMYFUNCTION("""COMPUTED_VALUE"""),"Duke Blue Devils")</f>
        <v>Duke Blue Devils</v>
      </c>
      <c r="O56" s="226" t="str">
        <f>IFERROR(__xludf.DUMMYFUNCTION("""COMPUTED_VALUE"""),"ACC")</f>
        <v>ACC</v>
      </c>
      <c r="P56" s="227">
        <f>IFERROR(__xludf.DUMMYFUNCTION("if(F56="""","""",indeX(split(F56,""-""),1)-J56/100)"),5.988)</f>
        <v>5.988</v>
      </c>
      <c r="Q56" s="227"/>
    </row>
    <row r="57">
      <c r="B57" s="229" t="str">
        <f>IFERROR(__xludf.DUMMYFUNCTION("""COMPUTED_VALUE"""),"0-0")</f>
        <v>0-0</v>
      </c>
      <c r="C57" s="225">
        <f>IFERROR(__xludf.DUMMYFUNCTION("""COMPUTED_VALUE"""),3.4)</f>
        <v>3.4</v>
      </c>
      <c r="D57" s="225">
        <f>IFERROR(__xludf.DUMMYFUNCTION("""COMPUTED_VALUE"""),53.0)</f>
        <v>53</v>
      </c>
      <c r="E57" s="225" t="str">
        <f>IFERROR(__xludf.DUMMYFUNCTION("""COMPUTED_VALUE"""),"--")</f>
        <v>--</v>
      </c>
      <c r="F57" s="224" t="str">
        <f>IFERROR(__xludf.DUMMYFUNCTION("""COMPUTED_VALUE"""),"6.3-5.8")</f>
        <v>6.3-5.8</v>
      </c>
      <c r="G57" s="225">
        <f>IFERROR(__xludf.DUMMYFUNCTION("""COMPUTED_VALUE"""),0.0)</f>
        <v>0</v>
      </c>
      <c r="H57" s="225">
        <f>IFERROR(__xludf.DUMMYFUNCTION("""COMPUTED_VALUE"""),63.3)</f>
        <v>63.3</v>
      </c>
      <c r="I57" s="225">
        <f>IFERROR(__xludf.DUMMYFUNCTION("""COMPUTED_VALUE"""),0.0)</f>
        <v>0</v>
      </c>
      <c r="J57" s="225">
        <f>IFERROR(__xludf.DUMMYFUNCTION("""COMPUTED_VALUE"""),1.0)</f>
        <v>1</v>
      </c>
      <c r="K57" s="225">
        <f>IFERROR(__xludf.DUMMYFUNCTION("""COMPUTED_VALUE"""),2.8)</f>
        <v>2.8</v>
      </c>
      <c r="L57" s="225">
        <f>IFERROR(__xludf.DUMMYFUNCTION("""COMPUTED_VALUE"""),0.1)</f>
        <v>0.1</v>
      </c>
      <c r="M57" s="225">
        <f>IFERROR(__xludf.DUMMYFUNCTION("""COMPUTED_VALUE"""),0.0)</f>
        <v>0</v>
      </c>
      <c r="N57" s="224" t="str">
        <f>IFERROR(__xludf.DUMMYFUNCTION("""COMPUTED_VALUE"""),"Wake Forest Demon Deacons")</f>
        <v>Wake Forest Demon Deacons</v>
      </c>
      <c r="O57" s="226" t="str">
        <f>IFERROR(__xludf.DUMMYFUNCTION("""COMPUTED_VALUE"""),"ACC")</f>
        <v>ACC</v>
      </c>
      <c r="P57" s="227">
        <f>IFERROR(__xludf.DUMMYFUNCTION("if(F57="""","""",indeX(split(F57,""-""),1)-J57/100)"),6.29)</f>
        <v>6.29</v>
      </c>
      <c r="Q57" s="227"/>
    </row>
    <row r="58">
      <c r="B58" s="229" t="str">
        <f>IFERROR(__xludf.DUMMYFUNCTION("""COMPUTED_VALUE"""),"0-0")</f>
        <v>0-0</v>
      </c>
      <c r="C58" s="225">
        <f>IFERROR(__xludf.DUMMYFUNCTION("""COMPUTED_VALUE"""),3.3)</f>
        <v>3.3</v>
      </c>
      <c r="D58" s="225">
        <f>IFERROR(__xludf.DUMMYFUNCTION("""COMPUTED_VALUE"""),54.0)</f>
        <v>54</v>
      </c>
      <c r="E58" s="225" t="str">
        <f>IFERROR(__xludf.DUMMYFUNCTION("""COMPUTED_VALUE"""),"--")</f>
        <v>--</v>
      </c>
      <c r="F58" s="224" t="str">
        <f>IFERROR(__xludf.DUMMYFUNCTION("""COMPUTED_VALUE"""),"6.0-6.1")</f>
        <v>6.0-6.1</v>
      </c>
      <c r="G58" s="225">
        <f>IFERROR(__xludf.DUMMYFUNCTION("""COMPUTED_VALUE"""),0.0)</f>
        <v>0</v>
      </c>
      <c r="H58" s="225">
        <f>IFERROR(__xludf.DUMMYFUNCTION("""COMPUTED_VALUE"""),58.5)</f>
        <v>58.5</v>
      </c>
      <c r="I58" s="225">
        <f>IFERROR(__xludf.DUMMYFUNCTION("""COMPUTED_VALUE"""),0.0)</f>
        <v>0</v>
      </c>
      <c r="J58" s="225">
        <f>IFERROR(__xludf.DUMMYFUNCTION("""COMPUTED_VALUE"""),1.9)</f>
        <v>1.9</v>
      </c>
      <c r="K58" s="225">
        <f>IFERROR(__xludf.DUMMYFUNCTION("""COMPUTED_VALUE"""),3.2)</f>
        <v>3.2</v>
      </c>
      <c r="L58" s="225">
        <f>IFERROR(__xludf.DUMMYFUNCTION("""COMPUTED_VALUE"""),0.1)</f>
        <v>0.1</v>
      </c>
      <c r="M58" s="225">
        <f>IFERROR(__xludf.DUMMYFUNCTION("""COMPUTED_VALUE"""),0.0)</f>
        <v>0</v>
      </c>
      <c r="N58" s="224" t="str">
        <f>IFERROR(__xludf.DUMMYFUNCTION("""COMPUTED_VALUE"""),"Oklahoma State Cowboys")</f>
        <v>Oklahoma State Cowboys</v>
      </c>
      <c r="O58" s="226" t="str">
        <f>IFERROR(__xludf.DUMMYFUNCTION("""COMPUTED_VALUE"""),"Big 12")</f>
        <v>Big 12</v>
      </c>
      <c r="P58" s="227">
        <f>IFERROR(__xludf.DUMMYFUNCTION("if(F58="""","""",indeX(split(F58,""-""),1)-J58/100)"),5.981)</f>
        <v>5.981</v>
      </c>
      <c r="Q58" s="227"/>
    </row>
    <row r="59">
      <c r="B59" s="229" t="str">
        <f>IFERROR(__xludf.DUMMYFUNCTION("""COMPUTED_VALUE"""),"0-0")</f>
        <v>0-0</v>
      </c>
      <c r="C59" s="225">
        <f>IFERROR(__xludf.DUMMYFUNCTION("""COMPUTED_VALUE"""),2.8)</f>
        <v>2.8</v>
      </c>
      <c r="D59" s="225">
        <f>IFERROR(__xludf.DUMMYFUNCTION("""COMPUTED_VALUE"""),55.0)</f>
        <v>55</v>
      </c>
      <c r="E59" s="224" t="str">
        <f>IFERROR(__xludf.DUMMYFUNCTION("""COMPUTED_VALUE"""),"--")</f>
        <v>--</v>
      </c>
      <c r="F59" s="224" t="str">
        <f>IFERROR(__xludf.DUMMYFUNCTION("""COMPUTED_VALUE"""),"6.0-6.0")</f>
        <v>6.0-6.0</v>
      </c>
      <c r="G59" s="225">
        <f>IFERROR(__xludf.DUMMYFUNCTION("""COMPUTED_VALUE"""),0.0)</f>
        <v>0</v>
      </c>
      <c r="H59" s="225">
        <f>IFERROR(__xludf.DUMMYFUNCTION("""COMPUTED_VALUE"""),58.1)</f>
        <v>58.1</v>
      </c>
      <c r="I59" s="225">
        <f>IFERROR(__xludf.DUMMYFUNCTION("""COMPUTED_VALUE"""),0.0)</f>
        <v>0</v>
      </c>
      <c r="J59" s="225">
        <f>IFERROR(__xludf.DUMMYFUNCTION("""COMPUTED_VALUE"""),1.5)</f>
        <v>1.5</v>
      </c>
      <c r="K59" s="225">
        <f>IFERROR(__xludf.DUMMYFUNCTION("""COMPUTED_VALUE"""),2.8)</f>
        <v>2.8</v>
      </c>
      <c r="L59" s="225">
        <f>IFERROR(__xludf.DUMMYFUNCTION("""COMPUTED_VALUE"""),0.1)</f>
        <v>0.1</v>
      </c>
      <c r="M59" s="225">
        <f>IFERROR(__xludf.DUMMYFUNCTION("""COMPUTED_VALUE"""),0.0)</f>
        <v>0</v>
      </c>
      <c r="N59" s="224" t="str">
        <f>IFERROR(__xludf.DUMMYFUNCTION("""COMPUTED_VALUE"""),"Kansas Jayhawks")</f>
        <v>Kansas Jayhawks</v>
      </c>
      <c r="O59" s="226" t="str">
        <f>IFERROR(__xludf.DUMMYFUNCTION("""COMPUTED_VALUE"""),"Big 12")</f>
        <v>Big 12</v>
      </c>
      <c r="P59" s="227">
        <f>IFERROR(__xludf.DUMMYFUNCTION("if(F59="""","""",indeX(split(F59,""-""),1)-J59/100)"),5.985)</f>
        <v>5.985</v>
      </c>
      <c r="Q59" s="227"/>
    </row>
    <row r="60">
      <c r="B60" s="224" t="str">
        <f>IFERROR(__xludf.DUMMYFUNCTION("""COMPUTED_VALUE"""),"0-0")</f>
        <v>0-0</v>
      </c>
      <c r="C60" s="225">
        <f>IFERROR(__xludf.DUMMYFUNCTION("""COMPUTED_VALUE"""),2.3)</f>
        <v>2.3</v>
      </c>
      <c r="D60" s="225">
        <f>IFERROR(__xludf.DUMMYFUNCTION("""COMPUTED_VALUE"""),56.0)</f>
        <v>56</v>
      </c>
      <c r="E60" s="225" t="str">
        <f>IFERROR(__xludf.DUMMYFUNCTION("""COMPUTED_VALUE"""),"--")</f>
        <v>--</v>
      </c>
      <c r="F60" s="224" t="str">
        <f>IFERROR(__xludf.DUMMYFUNCTION("""COMPUTED_VALUE"""),"8.2-4.2")</f>
        <v>8.2-4.2</v>
      </c>
      <c r="G60" s="225">
        <f>IFERROR(__xludf.DUMMYFUNCTION("""COMPUTED_VALUE"""),0.7)</f>
        <v>0.7</v>
      </c>
      <c r="H60" s="225">
        <f>IFERROR(__xludf.DUMMYFUNCTION("""COMPUTED_VALUE"""),87.0)</f>
        <v>87</v>
      </c>
      <c r="I60" s="225">
        <f>IFERROR(__xludf.DUMMYFUNCTION("""COMPUTED_VALUE"""),0.0)</f>
        <v>0</v>
      </c>
      <c r="J60" s="225">
        <f>IFERROR(__xludf.DUMMYFUNCTION("""COMPUTED_VALUE"""),21.8)</f>
        <v>21.8</v>
      </c>
      <c r="K60" s="225">
        <f>IFERROR(__xludf.DUMMYFUNCTION("""COMPUTED_VALUE"""),7.6)</f>
        <v>7.6</v>
      </c>
      <c r="L60" s="225">
        <f>IFERROR(__xludf.DUMMYFUNCTION("""COMPUTED_VALUE"""),0.1)</f>
        <v>0.1</v>
      </c>
      <c r="M60" s="225">
        <f>IFERROR(__xludf.DUMMYFUNCTION("""COMPUTED_VALUE"""),0.0)</f>
        <v>0</v>
      </c>
      <c r="N60" s="224" t="str">
        <f>IFERROR(__xludf.DUMMYFUNCTION("""COMPUTED_VALUE"""),"Tulane Green Wave")</f>
        <v>Tulane Green Wave</v>
      </c>
      <c r="O60" s="226" t="str">
        <f>IFERROR(__xludf.DUMMYFUNCTION("""COMPUTED_VALUE"""),"American")</f>
        <v>American</v>
      </c>
      <c r="P60" s="227">
        <f>IFERROR(__xludf.DUMMYFUNCTION("if(F60="""","""",indeX(split(F60,""-""),1)-J60/100)"),7.981999999999999)</f>
        <v>7.982</v>
      </c>
      <c r="Q60" s="227"/>
    </row>
    <row r="61">
      <c r="B61" s="224" t="str">
        <f>IFERROR(__xludf.DUMMYFUNCTION("""COMPUTED_VALUE"""),"0-0")</f>
        <v>0-0</v>
      </c>
      <c r="C61" s="225">
        <f>IFERROR(__xludf.DUMMYFUNCTION("""COMPUTED_VALUE"""),2.1)</f>
        <v>2.1</v>
      </c>
      <c r="D61" s="225">
        <f>IFERROR(__xludf.DUMMYFUNCTION("""COMPUTED_VALUE"""),57.0)</f>
        <v>57</v>
      </c>
      <c r="E61" s="225" t="str">
        <f>IFERROR(__xludf.DUMMYFUNCTION("""COMPUTED_VALUE"""),"--")</f>
        <v>--</v>
      </c>
      <c r="F61" s="224" t="str">
        <f>IFERROR(__xludf.DUMMYFUNCTION("""COMPUTED_VALUE"""),"6.1-5.9")</f>
        <v>6.1-5.9</v>
      </c>
      <c r="G61" s="225">
        <f>IFERROR(__xludf.DUMMYFUNCTION("""COMPUTED_VALUE"""),0.0)</f>
        <v>0</v>
      </c>
      <c r="H61" s="225">
        <f>IFERROR(__xludf.DUMMYFUNCTION("""COMPUTED_VALUE"""),59.6)</f>
        <v>59.6</v>
      </c>
      <c r="I61" s="225">
        <f>IFERROR(__xludf.DUMMYFUNCTION("""COMPUTED_VALUE"""),0.0)</f>
        <v>0</v>
      </c>
      <c r="J61" s="225">
        <f>IFERROR(__xludf.DUMMYFUNCTION("""COMPUTED_VALUE"""),1.7)</f>
        <v>1.7</v>
      </c>
      <c r="K61" s="225">
        <f>IFERROR(__xludf.DUMMYFUNCTION("""COMPUTED_VALUE"""),3.0)</f>
        <v>3</v>
      </c>
      <c r="L61" s="225">
        <f>IFERROR(__xludf.DUMMYFUNCTION("""COMPUTED_VALUE"""),0.1)</f>
        <v>0.1</v>
      </c>
      <c r="M61" s="225">
        <f>IFERROR(__xludf.DUMMYFUNCTION("""COMPUTED_VALUE"""),0.0)</f>
        <v>0</v>
      </c>
      <c r="N61" s="224" t="str">
        <f>IFERROR(__xludf.DUMMYFUNCTION("""COMPUTED_VALUE"""),"UCF Knights")</f>
        <v>UCF Knights</v>
      </c>
      <c r="O61" s="226" t="str">
        <f>IFERROR(__xludf.DUMMYFUNCTION("""COMPUTED_VALUE"""),"Big 12")</f>
        <v>Big 12</v>
      </c>
      <c r="P61" s="227">
        <f>IFERROR(__xludf.DUMMYFUNCTION("if(F61="""","""",indeX(split(F61,""-""),1)-J61/100)"),6.082999999999999)</f>
        <v>6.083</v>
      </c>
      <c r="Q61" s="227"/>
    </row>
    <row r="62">
      <c r="B62" s="229" t="str">
        <f>IFERROR(__xludf.DUMMYFUNCTION("""COMPUTED_VALUE"""),"0-0")</f>
        <v>0-0</v>
      </c>
      <c r="C62" s="225">
        <f>IFERROR(__xludf.DUMMYFUNCTION("""COMPUTED_VALUE"""),1.8)</f>
        <v>1.8</v>
      </c>
      <c r="D62" s="225">
        <f>IFERROR(__xludf.DUMMYFUNCTION("""COMPUTED_VALUE"""),58.0)</f>
        <v>58</v>
      </c>
      <c r="E62" s="225" t="str">
        <f>IFERROR(__xludf.DUMMYFUNCTION("""COMPUTED_VALUE"""),"--")</f>
        <v>--</v>
      </c>
      <c r="F62" s="224" t="str">
        <f>IFERROR(__xludf.DUMMYFUNCTION("""COMPUTED_VALUE"""),"9.0-3.6")</f>
        <v>9.0-3.6</v>
      </c>
      <c r="G62" s="225">
        <f>IFERROR(__xludf.DUMMYFUNCTION("""COMPUTED_VALUE"""),2.4)</f>
        <v>2.4</v>
      </c>
      <c r="H62" s="225">
        <f>IFERROR(__xludf.DUMMYFUNCTION("""COMPUTED_VALUE"""),92.6)</f>
        <v>92.6</v>
      </c>
      <c r="I62" s="225">
        <f>IFERROR(__xludf.DUMMYFUNCTION("""COMPUTED_VALUE"""),0.0)</f>
        <v>0</v>
      </c>
      <c r="J62" s="225">
        <f>IFERROR(__xludf.DUMMYFUNCTION("""COMPUTED_VALUE"""),35.4)</f>
        <v>35.4</v>
      </c>
      <c r="K62" s="225">
        <f>IFERROR(__xludf.DUMMYFUNCTION("""COMPUTED_VALUE"""),8.7)</f>
        <v>8.7</v>
      </c>
      <c r="L62" s="225">
        <f>IFERROR(__xludf.DUMMYFUNCTION("""COMPUTED_VALUE"""),0.1)</f>
        <v>0.1</v>
      </c>
      <c r="M62" s="225">
        <f>IFERROR(__xludf.DUMMYFUNCTION("""COMPUTED_VALUE"""),0.0)</f>
        <v>0</v>
      </c>
      <c r="N62" s="224" t="str">
        <f>IFERROR(__xludf.DUMMYFUNCTION("""COMPUTED_VALUE"""),"UNLV Rebels")</f>
        <v>UNLV Rebels</v>
      </c>
      <c r="O62" s="226" t="str">
        <f>IFERROR(__xludf.DUMMYFUNCTION("""COMPUTED_VALUE"""),"Mountain West")</f>
        <v>Mountain West</v>
      </c>
      <c r="P62" s="227">
        <f>IFERROR(__xludf.DUMMYFUNCTION("if(F62="""","""",indeX(split(F62,""-""),1)-J62/100)"),8.646)</f>
        <v>8.646</v>
      </c>
      <c r="Q62" s="227"/>
    </row>
    <row r="63">
      <c r="B63" s="229" t="str">
        <f>IFERROR(__xludf.DUMMYFUNCTION("""COMPUTED_VALUE"""),"0-0")</f>
        <v>0-0</v>
      </c>
      <c r="C63" s="225">
        <f>IFERROR(__xludf.DUMMYFUNCTION("""COMPUTED_VALUE"""),1.4)</f>
        <v>1.4</v>
      </c>
      <c r="D63" s="225">
        <f>IFERROR(__xludf.DUMMYFUNCTION("""COMPUTED_VALUE"""),59.0)</f>
        <v>59</v>
      </c>
      <c r="E63" s="225" t="str">
        <f>IFERROR(__xludf.DUMMYFUNCTION("""COMPUTED_VALUE"""),"--")</f>
        <v>--</v>
      </c>
      <c r="F63" s="224" t="str">
        <f>IFERROR(__xludf.DUMMYFUNCTION("""COMPUTED_VALUE"""),"7.5-4.0")</f>
        <v>7.5-4.0</v>
      </c>
      <c r="G63" s="225">
        <f>IFERROR(__xludf.DUMMYFUNCTION("""COMPUTED_VALUE"""),1.0)</f>
        <v>1</v>
      </c>
      <c r="H63" s="225">
        <f>IFERROR(__xludf.DUMMYFUNCTION("""COMPUTED_VALUE"""),81.3)</f>
        <v>81.3</v>
      </c>
      <c r="I63" s="225">
        <f>IFERROR(__xludf.DUMMYFUNCTION("""COMPUTED_VALUE"""),0.0)</f>
        <v>0</v>
      </c>
      <c r="J63" s="225">
        <f>IFERROR(__xludf.DUMMYFUNCTION("""COMPUTED_VALUE"""),25.1)</f>
        <v>25.1</v>
      </c>
      <c r="K63" s="225">
        <f>IFERROR(__xludf.DUMMYFUNCTION("""COMPUTED_VALUE"""),7.5)</f>
        <v>7.5</v>
      </c>
      <c r="L63" s="225">
        <f>IFERROR(__xludf.DUMMYFUNCTION("""COMPUTED_VALUE"""),0.1)</f>
        <v>0.1</v>
      </c>
      <c r="M63" s="225">
        <f>IFERROR(__xludf.DUMMYFUNCTION("""COMPUTED_VALUE"""),0.0)</f>
        <v>0</v>
      </c>
      <c r="N63" s="224" t="str">
        <f>IFERROR(__xludf.DUMMYFUNCTION("""COMPUTED_VALUE"""),"San Diego State Aztecs")</f>
        <v>San Diego State Aztecs</v>
      </c>
      <c r="O63" s="226" t="str">
        <f>IFERROR(__xludf.DUMMYFUNCTION("""COMPUTED_VALUE"""),"Pac-12")</f>
        <v>Pac-12</v>
      </c>
      <c r="P63" s="227">
        <f>IFERROR(__xludf.DUMMYFUNCTION("if(F63="""","""",indeX(split(F63,""-""),1)-J63/100)"),7.249)</f>
        <v>7.249</v>
      </c>
      <c r="Q63" s="227"/>
    </row>
    <row r="64">
      <c r="B64" s="229" t="str">
        <f>IFERROR(__xludf.DUMMYFUNCTION("""COMPUTED_VALUE"""),"0-0")</f>
        <v>0-0</v>
      </c>
      <c r="C64" s="225">
        <f>IFERROR(__xludf.DUMMYFUNCTION("""COMPUTED_VALUE"""),1.4)</f>
        <v>1.4</v>
      </c>
      <c r="D64" s="225">
        <f>IFERROR(__xludf.DUMMYFUNCTION("""COMPUTED_VALUE"""),60.0)</f>
        <v>60</v>
      </c>
      <c r="E64" s="225" t="str">
        <f>IFERROR(__xludf.DUMMYFUNCTION("""COMPUTED_VALUE"""),"--")</f>
        <v>--</v>
      </c>
      <c r="F64" s="224" t="str">
        <f>IFERROR(__xludf.DUMMYFUNCTION("""COMPUTED_VALUE"""),"4.9-7.1")</f>
        <v>4.9-7.1</v>
      </c>
      <c r="G64" s="225">
        <f>IFERROR(__xludf.DUMMYFUNCTION("""COMPUTED_VALUE"""),0.0)</f>
        <v>0</v>
      </c>
      <c r="H64" s="225">
        <f>IFERROR(__xludf.DUMMYFUNCTION("""COMPUTED_VALUE"""),37.6)</f>
        <v>37.6</v>
      </c>
      <c r="I64" s="225">
        <f>IFERROR(__xludf.DUMMYFUNCTION("""COMPUTED_VALUE"""),0.0)</f>
        <v>0</v>
      </c>
      <c r="J64" s="225">
        <f>IFERROR(__xludf.DUMMYFUNCTION("""COMPUTED_VALUE"""),0.1)</f>
        <v>0.1</v>
      </c>
      <c r="K64" s="225">
        <f>IFERROR(__xludf.DUMMYFUNCTION("""COMPUTED_VALUE"""),0.9)</f>
        <v>0.9</v>
      </c>
      <c r="L64" s="225">
        <f>IFERROR(__xludf.DUMMYFUNCTION("""COMPUTED_VALUE"""),0.0)</f>
        <v>0</v>
      </c>
      <c r="M64" s="225">
        <f>IFERROR(__xludf.DUMMYFUNCTION("""COMPUTED_VALUE"""),0.0)</f>
        <v>0</v>
      </c>
      <c r="N64" s="224" t="str">
        <f>IFERROR(__xludf.DUMMYFUNCTION("""COMPUTED_VALUE"""),"Northwestern Wildcats")</f>
        <v>Northwestern Wildcats</v>
      </c>
      <c r="O64" s="226" t="str">
        <f>IFERROR(__xludf.DUMMYFUNCTION("""COMPUTED_VALUE"""),"Big Ten")</f>
        <v>Big Ten</v>
      </c>
      <c r="P64" s="227">
        <f>IFERROR(__xludf.DUMMYFUNCTION("if(F64="""","""",indeX(split(F64,""-""),1)-J64/100)"),4.899)</f>
        <v>4.899</v>
      </c>
      <c r="Q64" s="227"/>
    </row>
    <row r="65">
      <c r="B65" s="229" t="str">
        <f>IFERROR(__xludf.DUMMYFUNCTION("""COMPUTED_VALUE"""),"0-0")</f>
        <v>0-0</v>
      </c>
      <c r="C65" s="225">
        <f>IFERROR(__xludf.DUMMYFUNCTION("""COMPUTED_VALUE"""),1.0)</f>
        <v>1</v>
      </c>
      <c r="D65" s="225">
        <f>IFERROR(__xludf.DUMMYFUNCTION("""COMPUTED_VALUE"""),61.0)</f>
        <v>61</v>
      </c>
      <c r="E65" s="225" t="str">
        <f>IFERROR(__xludf.DUMMYFUNCTION("""COMPUTED_VALUE"""),"--")</f>
        <v>--</v>
      </c>
      <c r="F65" s="224" t="str">
        <f>IFERROR(__xludf.DUMMYFUNCTION("""COMPUTED_VALUE"""),"5.4-6.6")</f>
        <v>5.4-6.6</v>
      </c>
      <c r="G65" s="225">
        <f>IFERROR(__xludf.DUMMYFUNCTION("""COMPUTED_VALUE"""),0.0)</f>
        <v>0</v>
      </c>
      <c r="H65" s="225">
        <f>IFERROR(__xludf.DUMMYFUNCTION("""COMPUTED_VALUE"""),46.0)</f>
        <v>46</v>
      </c>
      <c r="I65" s="225">
        <f>IFERROR(__xludf.DUMMYFUNCTION("""COMPUTED_VALUE"""),0.0)</f>
        <v>0</v>
      </c>
      <c r="J65" s="225">
        <f>IFERROR(__xludf.DUMMYFUNCTION("""COMPUTED_VALUE"""),0.1)</f>
        <v>0.1</v>
      </c>
      <c r="K65" s="225">
        <f>IFERROR(__xludf.DUMMYFUNCTION("""COMPUTED_VALUE"""),1.2)</f>
        <v>1.2</v>
      </c>
      <c r="L65" s="225">
        <f>IFERROR(__xludf.DUMMYFUNCTION("""COMPUTED_VALUE"""),0.0)</f>
        <v>0</v>
      </c>
      <c r="M65" s="225">
        <f>IFERROR(__xludf.DUMMYFUNCTION("""COMPUTED_VALUE"""),0.0)</f>
        <v>0</v>
      </c>
      <c r="N65" s="224" t="str">
        <f>IFERROR(__xludf.DUMMYFUNCTION("""COMPUTED_VALUE"""),"Maryland Terrapins")</f>
        <v>Maryland Terrapins</v>
      </c>
      <c r="O65" s="226" t="str">
        <f>IFERROR(__xludf.DUMMYFUNCTION("""COMPUTED_VALUE"""),"Big Ten")</f>
        <v>Big Ten</v>
      </c>
      <c r="P65" s="227">
        <f>IFERROR(__xludf.DUMMYFUNCTION("if(F65="""","""",indeX(split(F65,""-""),1)-J65/100)"),5.399)</f>
        <v>5.399</v>
      </c>
      <c r="Q65" s="227"/>
    </row>
    <row r="66">
      <c r="B66" s="229" t="str">
        <f>IFERROR(__xludf.DUMMYFUNCTION("""COMPUTED_VALUE"""),"0-0")</f>
        <v>0-0</v>
      </c>
      <c r="C66" s="225">
        <f>IFERROR(__xludf.DUMMYFUNCTION("""COMPUTED_VALUE"""),0.9)</f>
        <v>0.9</v>
      </c>
      <c r="D66" s="225">
        <f>IFERROR(__xludf.DUMMYFUNCTION("""COMPUTED_VALUE"""),62.0)</f>
        <v>62</v>
      </c>
      <c r="E66" s="224" t="str">
        <f>IFERROR(__xludf.DUMMYFUNCTION("""COMPUTED_VALUE"""),"--")</f>
        <v>--</v>
      </c>
      <c r="F66" s="224" t="str">
        <f>IFERROR(__xludf.DUMMYFUNCTION("""COMPUTED_VALUE"""),"5.6-6.5")</f>
        <v>5.6-6.5</v>
      </c>
      <c r="G66" s="225">
        <f>IFERROR(__xludf.DUMMYFUNCTION("""COMPUTED_VALUE"""),0.0)</f>
        <v>0</v>
      </c>
      <c r="H66" s="225">
        <f>IFERROR(__xludf.DUMMYFUNCTION("""COMPUTED_VALUE"""),49.2)</f>
        <v>49.2</v>
      </c>
      <c r="I66" s="225">
        <f>IFERROR(__xludf.DUMMYFUNCTION("""COMPUTED_VALUE"""),0.0)</f>
        <v>0</v>
      </c>
      <c r="J66" s="225">
        <f>IFERROR(__xludf.DUMMYFUNCTION("""COMPUTED_VALUE"""),0.5)</f>
        <v>0.5</v>
      </c>
      <c r="K66" s="225">
        <f>IFERROR(__xludf.DUMMYFUNCTION("""COMPUTED_VALUE"""),1.4)</f>
        <v>1.4</v>
      </c>
      <c r="L66" s="225">
        <f>IFERROR(__xludf.DUMMYFUNCTION("""COMPUTED_VALUE"""),0.0)</f>
        <v>0</v>
      </c>
      <c r="M66" s="225">
        <f>IFERROR(__xludf.DUMMYFUNCTION("""COMPUTED_VALUE"""),0.0)</f>
        <v>0</v>
      </c>
      <c r="N66" s="224" t="str">
        <f>IFERROR(__xludf.DUMMYFUNCTION("""COMPUTED_VALUE"""),"California Golden Bears")</f>
        <v>California Golden Bears</v>
      </c>
      <c r="O66" s="226" t="str">
        <f>IFERROR(__xludf.DUMMYFUNCTION("""COMPUTED_VALUE"""),"ACC")</f>
        <v>ACC</v>
      </c>
      <c r="P66" s="227">
        <f>IFERROR(__xludf.DUMMYFUNCTION("if(F66="""","""",indeX(split(F66,""-""),1)-J66/100)"),5.595)</f>
        <v>5.595</v>
      </c>
      <c r="Q66" s="227"/>
    </row>
    <row r="67">
      <c r="B67" s="229" t="str">
        <f>IFERROR(__xludf.DUMMYFUNCTION("""COMPUTED_VALUE"""),"0-0")</f>
        <v>0-0</v>
      </c>
      <c r="C67" s="225">
        <f>IFERROR(__xludf.DUMMYFUNCTION("""COMPUTED_VALUE"""),0.6)</f>
        <v>0.6</v>
      </c>
      <c r="D67" s="225">
        <f>IFERROR(__xludf.DUMMYFUNCTION("""COMPUTED_VALUE"""),63.0)</f>
        <v>63</v>
      </c>
      <c r="E67" s="225" t="str">
        <f>IFERROR(__xludf.DUMMYFUNCTION("""COMPUTED_VALUE"""),"--")</f>
        <v>--</v>
      </c>
      <c r="F67" s="224" t="str">
        <f>IFERROR(__xludf.DUMMYFUNCTION("""COMPUTED_VALUE"""),"5.3-6.7")</f>
        <v>5.3-6.7</v>
      </c>
      <c r="G67" s="225">
        <f>IFERROR(__xludf.DUMMYFUNCTION("""COMPUTED_VALUE"""),0.0)</f>
        <v>0</v>
      </c>
      <c r="H67" s="225">
        <f>IFERROR(__xludf.DUMMYFUNCTION("""COMPUTED_VALUE"""),43.7)</f>
        <v>43.7</v>
      </c>
      <c r="I67" s="225">
        <f>IFERROR(__xludf.DUMMYFUNCTION("""COMPUTED_VALUE"""),0.0)</f>
        <v>0</v>
      </c>
      <c r="J67" s="225">
        <f>IFERROR(__xludf.DUMMYFUNCTION("""COMPUTED_VALUE"""),0.1)</f>
        <v>0.1</v>
      </c>
      <c r="K67" s="225">
        <f>IFERROR(__xludf.DUMMYFUNCTION("""COMPUTED_VALUE"""),0.8)</f>
        <v>0.8</v>
      </c>
      <c r="L67" s="225">
        <f>IFERROR(__xludf.DUMMYFUNCTION("""COMPUTED_VALUE"""),0.0)</f>
        <v>0</v>
      </c>
      <c r="M67" s="225">
        <f>IFERROR(__xludf.DUMMYFUNCTION("""COMPUTED_VALUE"""),0.0)</f>
        <v>0</v>
      </c>
      <c r="N67" s="224" t="str">
        <f>IFERROR(__xludf.DUMMYFUNCTION("""COMPUTED_VALUE"""),"Minnesota Golden Gophers")</f>
        <v>Minnesota Golden Gophers</v>
      </c>
      <c r="O67" s="226" t="str">
        <f>IFERROR(__xludf.DUMMYFUNCTION("""COMPUTED_VALUE"""),"Big Ten")</f>
        <v>Big Ten</v>
      </c>
      <c r="P67" s="227">
        <f>IFERROR(__xludf.DUMMYFUNCTION("if(F67="""","""",indeX(split(F67,""-""),1)-J67/100)"),5.2989999999999995)</f>
        <v>5.299</v>
      </c>
      <c r="Q67" s="227"/>
    </row>
    <row r="68">
      <c r="B68" s="229" t="str">
        <f>IFERROR(__xludf.DUMMYFUNCTION("""COMPUTED_VALUE"""),"0-0")</f>
        <v>0-0</v>
      </c>
      <c r="C68" s="225">
        <f>IFERROR(__xludf.DUMMYFUNCTION("""COMPUTED_VALUE"""),0.5)</f>
        <v>0.5</v>
      </c>
      <c r="D68" s="225">
        <f>IFERROR(__xludf.DUMMYFUNCTION("""COMPUTED_VALUE"""),64.0)</f>
        <v>64</v>
      </c>
      <c r="E68" s="225" t="str">
        <f>IFERROR(__xludf.DUMMYFUNCTION("""COMPUTED_VALUE"""),"--")</f>
        <v>--</v>
      </c>
      <c r="F68" s="224" t="str">
        <f>IFERROR(__xludf.DUMMYFUNCTION("""COMPUTED_VALUE"""),"5.1-6.9")</f>
        <v>5.1-6.9</v>
      </c>
      <c r="G68" s="225">
        <f>IFERROR(__xludf.DUMMYFUNCTION("""COMPUTED_VALUE"""),0.0)</f>
        <v>0</v>
      </c>
      <c r="H68" s="225">
        <f>IFERROR(__xludf.DUMMYFUNCTION("""COMPUTED_VALUE"""),41.6)</f>
        <v>41.6</v>
      </c>
      <c r="I68" s="225">
        <f>IFERROR(__xludf.DUMMYFUNCTION("""COMPUTED_VALUE"""),0.0)</f>
        <v>0</v>
      </c>
      <c r="J68" s="225">
        <f>IFERROR(__xludf.DUMMYFUNCTION("""COMPUTED_VALUE"""),0.1)</f>
        <v>0.1</v>
      </c>
      <c r="K68" s="225">
        <f>IFERROR(__xludf.DUMMYFUNCTION("""COMPUTED_VALUE"""),1.0)</f>
        <v>1</v>
      </c>
      <c r="L68" s="225">
        <f>IFERROR(__xludf.DUMMYFUNCTION("""COMPUTED_VALUE"""),0.0)</f>
        <v>0</v>
      </c>
      <c r="M68" s="225">
        <f>IFERROR(__xludf.DUMMYFUNCTION("""COMPUTED_VALUE"""),0.0)</f>
        <v>0</v>
      </c>
      <c r="N68" s="224" t="str">
        <f>IFERROR(__xludf.DUMMYFUNCTION("""COMPUTED_VALUE"""),"UCLA Bruins")</f>
        <v>UCLA Bruins</v>
      </c>
      <c r="O68" s="226" t="str">
        <f>IFERROR(__xludf.DUMMYFUNCTION("""COMPUTED_VALUE"""),"Big Ten")</f>
        <v>Big Ten</v>
      </c>
      <c r="P68" s="227">
        <f>IFERROR(__xludf.DUMMYFUNCTION("if(F68="""","""",indeX(split(F68,""-""),1)-J68/100)"),5.098999999999999)</f>
        <v>5.099</v>
      </c>
      <c r="Q68" s="227"/>
    </row>
    <row r="69">
      <c r="B69" s="229" t="str">
        <f>IFERROR(__xludf.DUMMYFUNCTION("""COMPUTED_VALUE"""),"0-0")</f>
        <v>0-0</v>
      </c>
      <c r="C69" s="225">
        <f>IFERROR(__xludf.DUMMYFUNCTION("""COMPUTED_VALUE"""),0.3)</f>
        <v>0.3</v>
      </c>
      <c r="D69" s="225">
        <f>IFERROR(__xludf.DUMMYFUNCTION("""COMPUTED_VALUE"""),65.0)</f>
        <v>65</v>
      </c>
      <c r="E69" s="224" t="str">
        <f>IFERROR(__xludf.DUMMYFUNCTION("""COMPUTED_VALUE"""),"--")</f>
        <v>--</v>
      </c>
      <c r="F69" s="224" t="str">
        <f>IFERROR(__xludf.DUMMYFUNCTION("""COMPUTED_VALUE"""),"4.6-7.4")</f>
        <v>4.6-7.4</v>
      </c>
      <c r="G69" s="225">
        <f>IFERROR(__xludf.DUMMYFUNCTION("""COMPUTED_VALUE"""),0.0)</f>
        <v>0</v>
      </c>
      <c r="H69" s="225">
        <f>IFERROR(__xludf.DUMMYFUNCTION("""COMPUTED_VALUE"""),32.7)</f>
        <v>32.7</v>
      </c>
      <c r="I69" s="225">
        <f>IFERROR(__xludf.DUMMYFUNCTION("""COMPUTED_VALUE"""),0.0)</f>
        <v>0</v>
      </c>
      <c r="J69" s="225">
        <f>IFERROR(__xludf.DUMMYFUNCTION("""COMPUTED_VALUE"""),0.1)</f>
        <v>0.1</v>
      </c>
      <c r="K69" s="225">
        <f>IFERROR(__xludf.DUMMYFUNCTION("""COMPUTED_VALUE"""),0.8)</f>
        <v>0.8</v>
      </c>
      <c r="L69" s="225">
        <f>IFERROR(__xludf.DUMMYFUNCTION("""COMPUTED_VALUE"""),0.0)</f>
        <v>0</v>
      </c>
      <c r="M69" s="225">
        <f>IFERROR(__xludf.DUMMYFUNCTION("""COMPUTED_VALUE"""),0.0)</f>
        <v>0</v>
      </c>
      <c r="N69" s="224" t="str">
        <f>IFERROR(__xludf.DUMMYFUNCTION("""COMPUTED_VALUE"""),"Michigan State Spartans")</f>
        <v>Michigan State Spartans</v>
      </c>
      <c r="O69" s="226" t="str">
        <f>IFERROR(__xludf.DUMMYFUNCTION("""COMPUTED_VALUE"""),"Big Ten")</f>
        <v>Big Ten</v>
      </c>
      <c r="P69" s="227">
        <f>IFERROR(__xludf.DUMMYFUNCTION("if(F69="""","""",indeX(split(F69,""-""),1)-J69/100)"),4.598999999999999)</f>
        <v>4.599</v>
      </c>
      <c r="Q69" s="227"/>
    </row>
    <row r="70">
      <c r="B70" s="229" t="str">
        <f>IFERROR(__xludf.DUMMYFUNCTION("""COMPUTED_VALUE"""),"0-0")</f>
        <v>0-0</v>
      </c>
      <c r="C70" s="225">
        <f>IFERROR(__xludf.DUMMYFUNCTION("""COMPUTED_VALUE"""),0.2)</f>
        <v>0.2</v>
      </c>
      <c r="D70" s="225">
        <f>IFERROR(__xludf.DUMMYFUNCTION("""COMPUTED_VALUE"""),66.0)</f>
        <v>66</v>
      </c>
      <c r="E70" s="225" t="str">
        <f>IFERROR(__xludf.DUMMYFUNCTION("""COMPUTED_VALUE"""),"--")</f>
        <v>--</v>
      </c>
      <c r="F70" s="224" t="str">
        <f>IFERROR(__xludf.DUMMYFUNCTION("""COMPUTED_VALUE"""),"5.4-6.6")</f>
        <v>5.4-6.6</v>
      </c>
      <c r="G70" s="225">
        <f>IFERROR(__xludf.DUMMYFUNCTION("""COMPUTED_VALUE"""),0.0)</f>
        <v>0</v>
      </c>
      <c r="H70" s="225">
        <f>IFERROR(__xludf.DUMMYFUNCTION("""COMPUTED_VALUE"""),46.5)</f>
        <v>46.5</v>
      </c>
      <c r="I70" s="225">
        <f>IFERROR(__xludf.DUMMYFUNCTION("""COMPUTED_VALUE"""),0.0)</f>
        <v>0</v>
      </c>
      <c r="J70" s="225">
        <f>IFERROR(__xludf.DUMMYFUNCTION("""COMPUTED_VALUE"""),0.7)</f>
        <v>0.7</v>
      </c>
      <c r="K70" s="225">
        <f>IFERROR(__xludf.DUMMYFUNCTION("""COMPUTED_VALUE"""),1.4)</f>
        <v>1.4</v>
      </c>
      <c r="L70" s="225">
        <f>IFERROR(__xludf.DUMMYFUNCTION("""COMPUTED_VALUE"""),0.0)</f>
        <v>0</v>
      </c>
      <c r="M70" s="225">
        <f>IFERROR(__xludf.DUMMYFUNCTION("""COMPUTED_VALUE"""),0.0)</f>
        <v>0</v>
      </c>
      <c r="N70" s="224" t="str">
        <f>IFERROR(__xludf.DUMMYFUNCTION("""COMPUTED_VALUE"""),"West Virginia Mountaineers")</f>
        <v>West Virginia Mountaineers</v>
      </c>
      <c r="O70" s="226" t="str">
        <f>IFERROR(__xludf.DUMMYFUNCTION("""COMPUTED_VALUE"""),"Big 12")</f>
        <v>Big 12</v>
      </c>
      <c r="P70" s="227">
        <f>IFERROR(__xludf.DUMMYFUNCTION("if(F70="""","""",indeX(split(F70,""-""),1)-J70/100)"),5.393000000000001)</f>
        <v>5.393</v>
      </c>
      <c r="Q70" s="227"/>
    </row>
    <row r="71">
      <c r="B71" s="229" t="str">
        <f>IFERROR(__xludf.DUMMYFUNCTION("""COMPUTED_VALUE"""),"0-0")</f>
        <v>0-0</v>
      </c>
      <c r="C71" s="225">
        <f>IFERROR(__xludf.DUMMYFUNCTION("""COMPUTED_VALUE"""),-0.2)</f>
        <v>-0.2</v>
      </c>
      <c r="D71" s="225">
        <f>IFERROR(__xludf.DUMMYFUNCTION("""COMPUTED_VALUE"""),67.0)</f>
        <v>67</v>
      </c>
      <c r="E71" s="225" t="str">
        <f>IFERROR(__xludf.DUMMYFUNCTION("""COMPUTED_VALUE"""),"--")</f>
        <v>--</v>
      </c>
      <c r="F71" s="224" t="str">
        <f>IFERROR(__xludf.DUMMYFUNCTION("""COMPUTED_VALUE"""),"5.1-6.9")</f>
        <v>5.1-6.9</v>
      </c>
      <c r="G71" s="225">
        <f>IFERROR(__xludf.DUMMYFUNCTION("""COMPUTED_VALUE"""),0.0)</f>
        <v>0</v>
      </c>
      <c r="H71" s="225">
        <f>IFERROR(__xludf.DUMMYFUNCTION("""COMPUTED_VALUE"""),40.6)</f>
        <v>40.6</v>
      </c>
      <c r="I71" s="225">
        <f>IFERROR(__xludf.DUMMYFUNCTION("""COMPUTED_VALUE"""),0.0)</f>
        <v>0</v>
      </c>
      <c r="J71" s="225">
        <f>IFERROR(__xludf.DUMMYFUNCTION("""COMPUTED_VALUE"""),0.1)</f>
        <v>0.1</v>
      </c>
      <c r="K71" s="225">
        <f>IFERROR(__xludf.DUMMYFUNCTION("""COMPUTED_VALUE"""),0.8)</f>
        <v>0.8</v>
      </c>
      <c r="L71" s="225">
        <f>IFERROR(__xludf.DUMMYFUNCTION("""COMPUTED_VALUE"""),0.0)</f>
        <v>0</v>
      </c>
      <c r="M71" s="225">
        <f>IFERROR(__xludf.DUMMYFUNCTION("""COMPUTED_VALUE"""),0.0)</f>
        <v>0</v>
      </c>
      <c r="N71" s="224" t="str">
        <f>IFERROR(__xludf.DUMMYFUNCTION("""COMPUTED_VALUE"""),"Rutgers Scarlet Knights")</f>
        <v>Rutgers Scarlet Knights</v>
      </c>
      <c r="O71" s="226" t="str">
        <f>IFERROR(__xludf.DUMMYFUNCTION("""COMPUTED_VALUE"""),"Big Ten")</f>
        <v>Big Ten</v>
      </c>
      <c r="P71" s="227">
        <f>IFERROR(__xludf.DUMMYFUNCTION("if(F71="""","""",indeX(split(F71,""-""),1)-J71/100)"),5.098999999999999)</f>
        <v>5.099</v>
      </c>
      <c r="Q71" s="227"/>
    </row>
    <row r="72">
      <c r="B72" s="229" t="str">
        <f>IFERROR(__xludf.DUMMYFUNCTION("""COMPUTED_VALUE"""),"0-0")</f>
        <v>0-0</v>
      </c>
      <c r="C72" s="225">
        <f>IFERROR(__xludf.DUMMYFUNCTION("""COMPUTED_VALUE"""),-0.6)</f>
        <v>-0.6</v>
      </c>
      <c r="D72" s="225">
        <f>IFERROR(__xludf.DUMMYFUNCTION("""COMPUTED_VALUE"""),68.0)</f>
        <v>68</v>
      </c>
      <c r="E72" s="225" t="str">
        <f>IFERROR(__xludf.DUMMYFUNCTION("""COMPUTED_VALUE"""),"--")</f>
        <v>--</v>
      </c>
      <c r="F72" s="224" t="str">
        <f>IFERROR(__xludf.DUMMYFUNCTION("""COMPUTED_VALUE"""),"8.0-4.3")</f>
        <v>8.0-4.3</v>
      </c>
      <c r="G72" s="225">
        <f>IFERROR(__xludf.DUMMYFUNCTION("""COMPUTED_VALUE"""),0.1)</f>
        <v>0.1</v>
      </c>
      <c r="H72" s="225">
        <f>IFERROR(__xludf.DUMMYFUNCTION("""COMPUTED_VALUE"""),88.2)</f>
        <v>88.2</v>
      </c>
      <c r="I72" s="225">
        <f>IFERROR(__xludf.DUMMYFUNCTION("""COMPUTED_VALUE"""),0.0)</f>
        <v>0</v>
      </c>
      <c r="J72" s="225">
        <f>IFERROR(__xludf.DUMMYFUNCTION("""COMPUTED_VALUE"""),15.9)</f>
        <v>15.9</v>
      </c>
      <c r="K72" s="225">
        <f>IFERROR(__xludf.DUMMYFUNCTION("""COMPUTED_VALUE"""),4.7)</f>
        <v>4.7</v>
      </c>
      <c r="L72" s="225">
        <f>IFERROR(__xludf.DUMMYFUNCTION("""COMPUTED_VALUE"""),0.0)</f>
        <v>0</v>
      </c>
      <c r="M72" s="225">
        <f>IFERROR(__xludf.DUMMYFUNCTION("""COMPUTED_VALUE"""),0.0)</f>
        <v>0</v>
      </c>
      <c r="N72" s="224" t="str">
        <f>IFERROR(__xludf.DUMMYFUNCTION("""COMPUTED_VALUE"""),"East Carolina Pirates")</f>
        <v>East Carolina Pirates</v>
      </c>
      <c r="O72" s="226" t="str">
        <f>IFERROR(__xludf.DUMMYFUNCTION("""COMPUTED_VALUE"""),"American")</f>
        <v>American</v>
      </c>
      <c r="P72" s="227">
        <f>IFERROR(__xludf.DUMMYFUNCTION("if(F72="""","""",indeX(split(F72,""-""),1)-J72/100)"),7.841)</f>
        <v>7.841</v>
      </c>
      <c r="Q72" s="227"/>
    </row>
    <row r="73">
      <c r="B73" s="229" t="str">
        <f>IFERROR(__xludf.DUMMYFUNCTION("""COMPUTED_VALUE"""),"0-0")</f>
        <v>0-0</v>
      </c>
      <c r="C73" s="225">
        <f>IFERROR(__xludf.DUMMYFUNCTION("""COMPUTED_VALUE"""),-0.7)</f>
        <v>-0.7</v>
      </c>
      <c r="D73" s="225">
        <f>IFERROR(__xludf.DUMMYFUNCTION("""COMPUTED_VALUE"""),69.0)</f>
        <v>69</v>
      </c>
      <c r="E73" s="225" t="str">
        <f>IFERROR(__xludf.DUMMYFUNCTION("""COMPUTED_VALUE"""),"--")</f>
        <v>--</v>
      </c>
      <c r="F73" s="224" t="str">
        <f>IFERROR(__xludf.DUMMYFUNCTION("""COMPUTED_VALUE"""),"7.9-4.4")</f>
        <v>7.9-4.4</v>
      </c>
      <c r="G73" s="225">
        <f>IFERROR(__xludf.DUMMYFUNCTION("""COMPUTED_VALUE"""),0.1)</f>
        <v>0.1</v>
      </c>
      <c r="H73" s="225">
        <f>IFERROR(__xludf.DUMMYFUNCTION("""COMPUTED_VALUE"""),86.1)</f>
        <v>86.1</v>
      </c>
      <c r="I73" s="225">
        <f>IFERROR(__xludf.DUMMYFUNCTION("""COMPUTED_VALUE"""),0.0)</f>
        <v>0</v>
      </c>
      <c r="J73" s="225">
        <f>IFERROR(__xludf.DUMMYFUNCTION("""COMPUTED_VALUE"""),18.9)</f>
        <v>18.9</v>
      </c>
      <c r="K73" s="225">
        <f>IFERROR(__xludf.DUMMYFUNCTION("""COMPUTED_VALUE"""),4.7)</f>
        <v>4.7</v>
      </c>
      <c r="L73" s="225">
        <f>IFERROR(__xludf.DUMMYFUNCTION("""COMPUTED_VALUE"""),0.0)</f>
        <v>0</v>
      </c>
      <c r="M73" s="225">
        <f>IFERROR(__xludf.DUMMYFUNCTION("""COMPUTED_VALUE"""),0.0)</f>
        <v>0</v>
      </c>
      <c r="N73" s="224" t="str">
        <f>IFERROR(__xludf.DUMMYFUNCTION("""COMPUTED_VALUE"""),"Navy Midshipmen")</f>
        <v>Navy Midshipmen</v>
      </c>
      <c r="O73" s="226" t="str">
        <f>IFERROR(__xludf.DUMMYFUNCTION("""COMPUTED_VALUE"""),"American")</f>
        <v>American</v>
      </c>
      <c r="P73" s="227">
        <f>IFERROR(__xludf.DUMMYFUNCTION("if(F73="""","""",indeX(split(F73,""-""),1)-J73/100)"),7.711)</f>
        <v>7.711</v>
      </c>
      <c r="Q73" s="227"/>
    </row>
    <row r="74">
      <c r="B74" s="229" t="str">
        <f>IFERROR(__xludf.DUMMYFUNCTION("""COMPUTED_VALUE"""),"0-0")</f>
        <v>0-0</v>
      </c>
      <c r="C74" s="225">
        <f>IFERROR(__xludf.DUMMYFUNCTION("""COMPUTED_VALUE"""),-0.8)</f>
        <v>-0.8</v>
      </c>
      <c r="D74" s="225">
        <f>IFERROR(__xludf.DUMMYFUNCTION("""COMPUTED_VALUE"""),70.0)</f>
        <v>70</v>
      </c>
      <c r="E74" s="225" t="str">
        <f>IFERROR(__xludf.DUMMYFUNCTION("""COMPUTED_VALUE"""),"--")</f>
        <v>--</v>
      </c>
      <c r="F74" s="224" t="str">
        <f>IFERROR(__xludf.DUMMYFUNCTION("""COMPUTED_VALUE"""),"4.8-7.2")</f>
        <v>4.8-7.2</v>
      </c>
      <c r="G74" s="225">
        <f>IFERROR(__xludf.DUMMYFUNCTION("""COMPUTED_VALUE"""),0.0)</f>
        <v>0</v>
      </c>
      <c r="H74" s="225">
        <f>IFERROR(__xludf.DUMMYFUNCTION("""COMPUTED_VALUE"""),35.0)</f>
        <v>35</v>
      </c>
      <c r="I74" s="225">
        <f>IFERROR(__xludf.DUMMYFUNCTION("""COMPUTED_VALUE"""),0.0)</f>
        <v>0</v>
      </c>
      <c r="J74" s="225">
        <f>IFERROR(__xludf.DUMMYFUNCTION("""COMPUTED_VALUE"""),0.4)</f>
        <v>0.4</v>
      </c>
      <c r="K74" s="225">
        <f>IFERROR(__xludf.DUMMYFUNCTION("""COMPUTED_VALUE"""),0.9)</f>
        <v>0.9</v>
      </c>
      <c r="L74" s="225">
        <f>IFERROR(__xludf.DUMMYFUNCTION("""COMPUTED_VALUE"""),0.0)</f>
        <v>0</v>
      </c>
      <c r="M74" s="225">
        <f>IFERROR(__xludf.DUMMYFUNCTION("""COMPUTED_VALUE"""),0.0)</f>
        <v>0</v>
      </c>
      <c r="N74" s="224" t="str">
        <f>IFERROR(__xludf.DUMMYFUNCTION("""COMPUTED_VALUE"""),"Syracuse Orange")</f>
        <v>Syracuse Orange</v>
      </c>
      <c r="O74" s="226" t="str">
        <f>IFERROR(__xludf.DUMMYFUNCTION("""COMPUTED_VALUE"""),"ACC")</f>
        <v>ACC</v>
      </c>
      <c r="P74" s="227">
        <f>IFERROR(__xludf.DUMMYFUNCTION("if(F74="""","""",indeX(split(F74,""-""),1)-J74/100)"),4.796)</f>
        <v>4.796</v>
      </c>
      <c r="Q74" s="227"/>
    </row>
    <row r="75">
      <c r="B75" s="229" t="str">
        <f>IFERROR(__xludf.DUMMYFUNCTION("""COMPUTED_VALUE"""),"0-0")</f>
        <v>0-0</v>
      </c>
      <c r="C75" s="225">
        <f>IFERROR(__xludf.DUMMYFUNCTION("""COMPUTED_VALUE"""),-0.9)</f>
        <v>-0.9</v>
      </c>
      <c r="D75" s="225">
        <f>IFERROR(__xludf.DUMMYFUNCTION("""COMPUTED_VALUE"""),71.0)</f>
        <v>71</v>
      </c>
      <c r="E75" s="225" t="str">
        <f>IFERROR(__xludf.DUMMYFUNCTION("""COMPUTED_VALUE"""),"--")</f>
        <v>--</v>
      </c>
      <c r="F75" s="224" t="str">
        <f>IFERROR(__xludf.DUMMYFUNCTION("""COMPUTED_VALUE"""),"4.3-7.7")</f>
        <v>4.3-7.7</v>
      </c>
      <c r="G75" s="225">
        <f>IFERROR(__xludf.DUMMYFUNCTION("""COMPUTED_VALUE"""),0.0)</f>
        <v>0</v>
      </c>
      <c r="H75" s="225">
        <f>IFERROR(__xludf.DUMMYFUNCTION("""COMPUTED_VALUE"""),25.1)</f>
        <v>25.1</v>
      </c>
      <c r="I75" s="225">
        <f>IFERROR(__xludf.DUMMYFUNCTION("""COMPUTED_VALUE"""),0.0)</f>
        <v>0</v>
      </c>
      <c r="J75" s="225">
        <f>IFERROR(__xludf.DUMMYFUNCTION("""COMPUTED_VALUE"""),0.1)</f>
        <v>0.1</v>
      </c>
      <c r="K75" s="225">
        <f>IFERROR(__xludf.DUMMYFUNCTION("""COMPUTED_VALUE"""),0.6)</f>
        <v>0.6</v>
      </c>
      <c r="L75" s="225">
        <f>IFERROR(__xludf.DUMMYFUNCTION("""COMPUTED_VALUE"""),0.0)</f>
        <v>0</v>
      </c>
      <c r="M75" s="225">
        <f>IFERROR(__xludf.DUMMYFUNCTION("""COMPUTED_VALUE"""),0.0)</f>
        <v>0</v>
      </c>
      <c r="N75" s="224" t="str">
        <f>IFERROR(__xludf.DUMMYFUNCTION("""COMPUTED_VALUE"""),"Purdue Boilermakers")</f>
        <v>Purdue Boilermakers</v>
      </c>
      <c r="O75" s="226" t="str">
        <f>IFERROR(__xludf.DUMMYFUNCTION("""COMPUTED_VALUE"""),"Big Ten")</f>
        <v>Big Ten</v>
      </c>
      <c r="P75" s="227">
        <f>IFERROR(__xludf.DUMMYFUNCTION("if(F75="""","""",indeX(split(F75,""-""),1)-J75/100)"),4.2989999999999995)</f>
        <v>4.299</v>
      </c>
      <c r="Q75" s="227"/>
    </row>
    <row r="76">
      <c r="B76" s="229" t="str">
        <f>IFERROR(__xludf.DUMMYFUNCTION("""COMPUTED_VALUE"""),"0-0")</f>
        <v>0-0</v>
      </c>
      <c r="C76" s="225">
        <f>IFERROR(__xludf.DUMMYFUNCTION("""COMPUTED_VALUE"""),-0.9)</f>
        <v>-0.9</v>
      </c>
      <c r="D76" s="225">
        <f>IFERROR(__xludf.DUMMYFUNCTION("""COMPUTED_VALUE"""),72.0)</f>
        <v>72</v>
      </c>
      <c r="E76" s="225" t="str">
        <f>IFERROR(__xludf.DUMMYFUNCTION("""COMPUTED_VALUE"""),"--")</f>
        <v>--</v>
      </c>
      <c r="F76" s="224" t="str">
        <f>IFERROR(__xludf.DUMMYFUNCTION("""COMPUTED_VALUE"""),"5.1-6.9")</f>
        <v>5.1-6.9</v>
      </c>
      <c r="G76" s="225">
        <f>IFERROR(__xludf.DUMMYFUNCTION("""COMPUTED_VALUE"""),0.0)</f>
        <v>0</v>
      </c>
      <c r="H76" s="225">
        <f>IFERROR(__xludf.DUMMYFUNCTION("""COMPUTED_VALUE"""),41.0)</f>
        <v>41</v>
      </c>
      <c r="I76" s="225">
        <f>IFERROR(__xludf.DUMMYFUNCTION("""COMPUTED_VALUE"""),0.0)</f>
        <v>0</v>
      </c>
      <c r="J76" s="225">
        <f>IFERROR(__xludf.DUMMYFUNCTION("""COMPUTED_VALUE"""),0.5)</f>
        <v>0.5</v>
      </c>
      <c r="K76" s="225">
        <f>IFERROR(__xludf.DUMMYFUNCTION("""COMPUTED_VALUE"""),0.9)</f>
        <v>0.9</v>
      </c>
      <c r="L76" s="225">
        <f>IFERROR(__xludf.DUMMYFUNCTION("""COMPUTED_VALUE"""),0.0)</f>
        <v>0</v>
      </c>
      <c r="M76" s="225">
        <f>IFERROR(__xludf.DUMMYFUNCTION("""COMPUTED_VALUE"""),0.0)</f>
        <v>0</v>
      </c>
      <c r="N76" s="224" t="str">
        <f>IFERROR(__xludf.DUMMYFUNCTION("""COMPUTED_VALUE"""),"Iowa State Cyclones")</f>
        <v>Iowa State Cyclones</v>
      </c>
      <c r="O76" s="226" t="str">
        <f>IFERROR(__xludf.DUMMYFUNCTION("""COMPUTED_VALUE"""),"Big 12")</f>
        <v>Big 12</v>
      </c>
      <c r="P76" s="227">
        <f>IFERROR(__xludf.DUMMYFUNCTION("if(F76="""","""",indeX(split(F76,""-""),1)-J76/100)"),5.095)</f>
        <v>5.095</v>
      </c>
      <c r="Q76" s="227"/>
    </row>
    <row r="77">
      <c r="B77" s="229" t="str">
        <f>IFERROR(__xludf.DUMMYFUNCTION("""COMPUTED_VALUE"""),"0-0")</f>
        <v>0-0</v>
      </c>
      <c r="C77" s="225">
        <f>IFERROR(__xludf.DUMMYFUNCTION("""COMPUTED_VALUE"""),-0.9)</f>
        <v>-0.9</v>
      </c>
      <c r="D77" s="225">
        <f>IFERROR(__xludf.DUMMYFUNCTION("""COMPUTED_VALUE"""),73.0)</f>
        <v>73</v>
      </c>
      <c r="E77" s="225" t="str">
        <f>IFERROR(__xludf.DUMMYFUNCTION("""COMPUTED_VALUE"""),"--")</f>
        <v>--</v>
      </c>
      <c r="F77" s="224" t="str">
        <f>IFERROR(__xludf.DUMMYFUNCTION("""COMPUTED_VALUE"""),"8.4-3.8")</f>
        <v>8.4-3.8</v>
      </c>
      <c r="G77" s="225">
        <f>IFERROR(__xludf.DUMMYFUNCTION("""COMPUTED_VALUE"""),1.0)</f>
        <v>1</v>
      </c>
      <c r="H77" s="225">
        <f>IFERROR(__xludf.DUMMYFUNCTION("""COMPUTED_VALUE"""),90.9)</f>
        <v>90.9</v>
      </c>
      <c r="I77" s="225">
        <f>IFERROR(__xludf.DUMMYFUNCTION("""COMPUTED_VALUE"""),0.0)</f>
        <v>0</v>
      </c>
      <c r="J77" s="225">
        <f>IFERROR(__xludf.DUMMYFUNCTION("""COMPUTED_VALUE"""),12.0)</f>
        <v>12</v>
      </c>
      <c r="K77" s="225">
        <f>IFERROR(__xludf.DUMMYFUNCTION("""COMPUTED_VALUE"""),5.1)</f>
        <v>5.1</v>
      </c>
      <c r="L77" s="225">
        <f>IFERROR(__xludf.DUMMYFUNCTION("""COMPUTED_VALUE"""),0.0)</f>
        <v>0</v>
      </c>
      <c r="M77" s="225">
        <f>IFERROR(__xludf.DUMMYFUNCTION("""COMPUTED_VALUE"""),0.0)</f>
        <v>0</v>
      </c>
      <c r="N77" s="224" t="str">
        <f>IFERROR(__xludf.DUMMYFUNCTION("""COMPUTED_VALUE"""),"South Florida Bulls")</f>
        <v>South Florida Bulls</v>
      </c>
      <c r="O77" s="226" t="str">
        <f>IFERROR(__xludf.DUMMYFUNCTION("""COMPUTED_VALUE"""),"American")</f>
        <v>American</v>
      </c>
      <c r="P77" s="227">
        <f>IFERROR(__xludf.DUMMYFUNCTION("if(F77="""","""",indeX(split(F77,""-""),1)-J77/100)"),8.280000000000001)</f>
        <v>8.28</v>
      </c>
      <c r="Q77" s="227"/>
    </row>
    <row r="78">
      <c r="B78" s="229" t="str">
        <f>IFERROR(__xludf.DUMMYFUNCTION("""COMPUTED_VALUE"""),"0-0")</f>
        <v>0-0</v>
      </c>
      <c r="C78" s="225">
        <f>IFERROR(__xludf.DUMMYFUNCTION("""COMPUTED_VALUE"""),-1.9)</f>
        <v>-1.9</v>
      </c>
      <c r="D78" s="225">
        <f>IFERROR(__xludf.DUMMYFUNCTION("""COMPUTED_VALUE"""),74.0)</f>
        <v>74</v>
      </c>
      <c r="E78" s="225" t="str">
        <f>IFERROR(__xludf.DUMMYFUNCTION("""COMPUTED_VALUE"""),"--")</f>
        <v>--</v>
      </c>
      <c r="F78" s="224" t="str">
        <f>IFERROR(__xludf.DUMMYFUNCTION("""COMPUTED_VALUE"""),"7.0-5.2")</f>
        <v>7.0-5.2</v>
      </c>
      <c r="G78" s="225">
        <f>IFERROR(__xludf.DUMMYFUNCTION("""COMPUTED_VALUE"""),0.1)</f>
        <v>0.1</v>
      </c>
      <c r="H78" s="225">
        <f>IFERROR(__xludf.DUMMYFUNCTION("""COMPUTED_VALUE"""),74.3)</f>
        <v>74.3</v>
      </c>
      <c r="I78" s="225">
        <f>IFERROR(__xludf.DUMMYFUNCTION("""COMPUTED_VALUE"""),0.0)</f>
        <v>0</v>
      </c>
      <c r="J78" s="225">
        <f>IFERROR(__xludf.DUMMYFUNCTION("""COMPUTED_VALUE"""),9.3)</f>
        <v>9.3</v>
      </c>
      <c r="K78" s="225">
        <f>IFERROR(__xludf.DUMMYFUNCTION("""COMPUTED_VALUE"""),3.1)</f>
        <v>3.1</v>
      </c>
      <c r="L78" s="225">
        <f>IFERROR(__xludf.DUMMYFUNCTION("""COMPUTED_VALUE"""),0.0)</f>
        <v>0</v>
      </c>
      <c r="M78" s="225">
        <f>IFERROR(__xludf.DUMMYFUNCTION("""COMPUTED_VALUE"""),0.0)</f>
        <v>0</v>
      </c>
      <c r="N78" s="224" t="str">
        <f>IFERROR(__xludf.DUMMYFUNCTION("""COMPUTED_VALUE"""),"Memphis Tigers")</f>
        <v>Memphis Tigers</v>
      </c>
      <c r="O78" s="226" t="str">
        <f>IFERROR(__xludf.DUMMYFUNCTION("""COMPUTED_VALUE"""),"American")</f>
        <v>American</v>
      </c>
      <c r="P78" s="227">
        <f>IFERROR(__xludf.DUMMYFUNCTION("if(F78="""","""",indeX(split(F78,""-""),1)-J78/100)"),6.907)</f>
        <v>6.907</v>
      </c>
      <c r="Q78" s="227"/>
    </row>
    <row r="79">
      <c r="B79" s="229" t="str">
        <f>IFERROR(__xludf.DUMMYFUNCTION("""COMPUTED_VALUE"""),"0-0")</f>
        <v>0-0</v>
      </c>
      <c r="C79" s="225">
        <f>IFERROR(__xludf.DUMMYFUNCTION("""COMPUTED_VALUE"""),-2.0)</f>
        <v>-2</v>
      </c>
      <c r="D79" s="225">
        <f>IFERROR(__xludf.DUMMYFUNCTION("""COMPUTED_VALUE"""),75.0)</f>
        <v>75</v>
      </c>
      <c r="E79" s="225" t="str">
        <f>IFERROR(__xludf.DUMMYFUNCTION("""COMPUTED_VALUE"""),"--")</f>
        <v>--</v>
      </c>
      <c r="F79" s="224" t="str">
        <f>IFERROR(__xludf.DUMMYFUNCTION("""COMPUTED_VALUE"""),"8.2-4.2")</f>
        <v>8.2-4.2</v>
      </c>
      <c r="G79" s="225">
        <f>IFERROR(__xludf.DUMMYFUNCTION("""COMPUTED_VALUE"""),0.6)</f>
        <v>0.6</v>
      </c>
      <c r="H79" s="225">
        <f>IFERROR(__xludf.DUMMYFUNCTION("""COMPUTED_VALUE"""),87.1)</f>
        <v>87.1</v>
      </c>
      <c r="I79" s="225">
        <f>IFERROR(__xludf.DUMMYFUNCTION("""COMPUTED_VALUE"""),31.9)</f>
        <v>31.9</v>
      </c>
      <c r="J79" s="225">
        <f>IFERROR(__xludf.DUMMYFUNCTION("""COMPUTED_VALUE"""),19.9)</f>
        <v>19.9</v>
      </c>
      <c r="K79" s="225">
        <f>IFERROR(__xludf.DUMMYFUNCTION("""COMPUTED_VALUE"""),4.3)</f>
        <v>4.3</v>
      </c>
      <c r="L79" s="225">
        <f>IFERROR(__xludf.DUMMYFUNCTION("""COMPUTED_VALUE"""),0.0)</f>
        <v>0</v>
      </c>
      <c r="M79" s="225">
        <f>IFERROR(__xludf.DUMMYFUNCTION("""COMPUTED_VALUE"""),0.0)</f>
        <v>0</v>
      </c>
      <c r="N79" s="224" t="str">
        <f>IFERROR(__xludf.DUMMYFUNCTION("""COMPUTED_VALUE"""),"James Madison Dukes")</f>
        <v>James Madison Dukes</v>
      </c>
      <c r="O79" s="226" t="str">
        <f>IFERROR(__xludf.DUMMYFUNCTION("""COMPUTED_VALUE"""),"Sun Belt")</f>
        <v>Sun Belt</v>
      </c>
      <c r="P79" s="227">
        <f>IFERROR(__xludf.DUMMYFUNCTION("if(F79="""","""",indeX(split(F79,""-""),1)-J79/100)"),8.001)</f>
        <v>8.001</v>
      </c>
      <c r="Q79" s="227"/>
    </row>
    <row r="80">
      <c r="B80" s="229" t="str">
        <f>IFERROR(__xludf.DUMMYFUNCTION("""COMPUTED_VALUE"""),"0-0")</f>
        <v>0-0</v>
      </c>
      <c r="C80" s="225">
        <f>IFERROR(__xludf.DUMMYFUNCTION("""COMPUTED_VALUE"""),-2.4)</f>
        <v>-2.4</v>
      </c>
      <c r="D80" s="225">
        <f>IFERROR(__xludf.DUMMYFUNCTION("""COMPUTED_VALUE"""),76.0)</f>
        <v>76</v>
      </c>
      <c r="E80" s="224" t="str">
        <f>IFERROR(__xludf.DUMMYFUNCTION("""COMPUTED_VALUE"""),"--")</f>
        <v>--</v>
      </c>
      <c r="F80" s="224" t="str">
        <f>IFERROR(__xludf.DUMMYFUNCTION("""COMPUTED_VALUE"""),"7.9-4.5")</f>
        <v>7.9-4.5</v>
      </c>
      <c r="G80" s="225">
        <f>IFERROR(__xludf.DUMMYFUNCTION("""COMPUTED_VALUE"""),0.3)</f>
        <v>0.3</v>
      </c>
      <c r="H80" s="225">
        <f>IFERROR(__xludf.DUMMYFUNCTION("""COMPUTED_VALUE"""),84.5)</f>
        <v>84.5</v>
      </c>
      <c r="I80" s="225">
        <f>IFERROR(__xludf.DUMMYFUNCTION("""COMPUTED_VALUE"""),0.0)</f>
        <v>0</v>
      </c>
      <c r="J80" s="225">
        <f>IFERROR(__xludf.DUMMYFUNCTION("""COMPUTED_VALUE"""),22.0)</f>
        <v>22</v>
      </c>
      <c r="K80" s="225">
        <f>IFERROR(__xludf.DUMMYFUNCTION("""COMPUTED_VALUE"""),3.5)</f>
        <v>3.5</v>
      </c>
      <c r="L80" s="225">
        <f>IFERROR(__xludf.DUMMYFUNCTION("""COMPUTED_VALUE"""),0.0)</f>
        <v>0</v>
      </c>
      <c r="M80" s="225">
        <f>IFERROR(__xludf.DUMMYFUNCTION("""COMPUTED_VALUE"""),0.0)</f>
        <v>0</v>
      </c>
      <c r="N80" s="224" t="str">
        <f>IFERROR(__xludf.DUMMYFUNCTION("""COMPUTED_VALUE"""),"Hawai'i Rainbow Warriors")</f>
        <v>Hawai'i Rainbow Warriors</v>
      </c>
      <c r="O80" s="226" t="str">
        <f>IFERROR(__xludf.DUMMYFUNCTION("""COMPUTED_VALUE"""),"Mountain West")</f>
        <v>Mountain West</v>
      </c>
      <c r="P80" s="227">
        <f>IFERROR(__xludf.DUMMYFUNCTION("if(F80="""","""",indeX(split(F80,""-""),1)-J80/100)"),7.680000000000001)</f>
        <v>7.68</v>
      </c>
      <c r="Q80" s="227"/>
    </row>
    <row r="81">
      <c r="B81" s="229" t="str">
        <f>IFERROR(__xludf.DUMMYFUNCTION("""COMPUTED_VALUE"""),"0-0")</f>
        <v>0-0</v>
      </c>
      <c r="C81" s="225">
        <f>IFERROR(__xludf.DUMMYFUNCTION("""COMPUTED_VALUE"""),-2.5)</f>
        <v>-2.5</v>
      </c>
      <c r="D81" s="225">
        <f>IFERROR(__xludf.DUMMYFUNCTION("""COMPUTED_VALUE"""),77.0)</f>
        <v>77</v>
      </c>
      <c r="E81" s="225" t="str">
        <f>IFERROR(__xludf.DUMMYFUNCTION("""COMPUTED_VALUE"""),"--")</f>
        <v>--</v>
      </c>
      <c r="F81" s="224" t="str">
        <f>IFERROR(__xludf.DUMMYFUNCTION("""COMPUTED_VALUE"""),"6.2-5.0")</f>
        <v>6.2-5.0</v>
      </c>
      <c r="G81" s="225">
        <f>IFERROR(__xludf.DUMMYFUNCTION("""COMPUTED_VALUE"""),0.0)</f>
        <v>0</v>
      </c>
      <c r="H81" s="225">
        <f>IFERROR(__xludf.DUMMYFUNCTION("""COMPUTED_VALUE"""),62.3)</f>
        <v>62.3</v>
      </c>
      <c r="I81" s="225">
        <f>IFERROR(__xludf.DUMMYFUNCTION("""COMPUTED_VALUE"""),0.0)</f>
        <v>0</v>
      </c>
      <c r="J81" s="225">
        <f>IFERROR(__xludf.DUMMYFUNCTION("""COMPUTED_VALUE"""),11.4)</f>
        <v>11.4</v>
      </c>
      <c r="K81" s="225">
        <f>IFERROR(__xludf.DUMMYFUNCTION("""COMPUTED_VALUE"""),2.9)</f>
        <v>2.9</v>
      </c>
      <c r="L81" s="225">
        <f>IFERROR(__xludf.DUMMYFUNCTION("""COMPUTED_VALUE"""),0.0)</f>
        <v>0</v>
      </c>
      <c r="M81" s="225">
        <f>IFERROR(__xludf.DUMMYFUNCTION("""COMPUTED_VALUE"""),0.0)</f>
        <v>0</v>
      </c>
      <c r="N81" s="224" t="str">
        <f>IFERROR(__xludf.DUMMYFUNCTION("""COMPUTED_VALUE"""),"Fresno State Bulldogs")</f>
        <v>Fresno State Bulldogs</v>
      </c>
      <c r="O81" s="226" t="str">
        <f>IFERROR(__xludf.DUMMYFUNCTION("""COMPUTED_VALUE"""),"Pac-12")</f>
        <v>Pac-12</v>
      </c>
      <c r="P81" s="227">
        <f>IFERROR(__xludf.DUMMYFUNCTION("if(F81="""","""",indeX(split(F81,""-""),1)-J81/100)"),6.086)</f>
        <v>6.086</v>
      </c>
      <c r="Q81" s="227"/>
    </row>
    <row r="82">
      <c r="B82" s="229" t="str">
        <f>IFERROR(__xludf.DUMMYFUNCTION("""COMPUTED_VALUE"""),"0-0")</f>
        <v>0-0</v>
      </c>
      <c r="C82" s="225">
        <f>IFERROR(__xludf.DUMMYFUNCTION("""COMPUTED_VALUE"""),-2.7)</f>
        <v>-2.7</v>
      </c>
      <c r="D82" s="225">
        <f>IFERROR(__xludf.DUMMYFUNCTION("""COMPUTED_VALUE"""),78.0)</f>
        <v>78</v>
      </c>
      <c r="E82" s="225" t="str">
        <f>IFERROR(__xludf.DUMMYFUNCTION("""COMPUTED_VALUE"""),"--")</f>
        <v>--</v>
      </c>
      <c r="F82" s="224" t="str">
        <f>IFERROR(__xludf.DUMMYFUNCTION("""COMPUTED_VALUE"""),"4.0-8.1")</f>
        <v>4.0-8.1</v>
      </c>
      <c r="G82" s="225">
        <f>IFERROR(__xludf.DUMMYFUNCTION("""COMPUTED_VALUE"""),0.0)</f>
        <v>0</v>
      </c>
      <c r="H82" s="225">
        <f>IFERROR(__xludf.DUMMYFUNCTION("""COMPUTED_VALUE"""),19.9)</f>
        <v>19.9</v>
      </c>
      <c r="I82" s="225">
        <f>IFERROR(__xludf.DUMMYFUNCTION("""COMPUTED_VALUE"""),0.0)</f>
        <v>0</v>
      </c>
      <c r="J82" s="225">
        <f>IFERROR(__xludf.DUMMYFUNCTION("""COMPUTED_VALUE"""),0.1)</f>
        <v>0.1</v>
      </c>
      <c r="K82" s="225">
        <f>IFERROR(__xludf.DUMMYFUNCTION("""COMPUTED_VALUE"""),0.4)</f>
        <v>0.4</v>
      </c>
      <c r="L82" s="225">
        <f>IFERROR(__xludf.DUMMYFUNCTION("""COMPUTED_VALUE"""),0.0)</f>
        <v>0</v>
      </c>
      <c r="M82" s="225">
        <f>IFERROR(__xludf.DUMMYFUNCTION("""COMPUTED_VALUE"""),0.0)</f>
        <v>0</v>
      </c>
      <c r="N82" s="224" t="str">
        <f>IFERROR(__xludf.DUMMYFUNCTION("""COMPUTED_VALUE"""),"Boston College Eagles")</f>
        <v>Boston College Eagles</v>
      </c>
      <c r="O82" s="226" t="str">
        <f>IFERROR(__xludf.DUMMYFUNCTION("""COMPUTED_VALUE"""),"ACC")</f>
        <v>ACC</v>
      </c>
      <c r="P82" s="227">
        <f>IFERROR(__xludf.DUMMYFUNCTION("if(F82="""","""",indeX(split(F82,""-""),1)-J82/100)"),3.999)</f>
        <v>3.999</v>
      </c>
      <c r="Q82" s="227"/>
    </row>
    <row r="83">
      <c r="B83" s="229" t="str">
        <f>IFERROR(__xludf.DUMMYFUNCTION("""COMPUTED_VALUE"""),"0-0")</f>
        <v>0-0</v>
      </c>
      <c r="C83" s="225">
        <f>IFERROR(__xludf.DUMMYFUNCTION("""COMPUTED_VALUE"""),-3.0)</f>
        <v>-3</v>
      </c>
      <c r="D83" s="225">
        <f>IFERROR(__xludf.DUMMYFUNCTION("""COMPUTED_VALUE"""),79.0)</f>
        <v>79</v>
      </c>
      <c r="E83" s="225" t="str">
        <f>IFERROR(__xludf.DUMMYFUNCTION("""COMPUTED_VALUE"""),"--")</f>
        <v>--</v>
      </c>
      <c r="F83" s="224" t="str">
        <f>IFERROR(__xludf.DUMMYFUNCTION("""COMPUTED_VALUE"""),"8.5-4.0")</f>
        <v>8.5-4.0</v>
      </c>
      <c r="G83" s="225">
        <f>IFERROR(__xludf.DUMMYFUNCTION("""COMPUTED_VALUE"""),1.0)</f>
        <v>1</v>
      </c>
      <c r="H83" s="225">
        <f>IFERROR(__xludf.DUMMYFUNCTION("""COMPUTED_VALUE"""),89.7)</f>
        <v>89.7</v>
      </c>
      <c r="I83" s="225">
        <f>IFERROR(__xludf.DUMMYFUNCTION("""COMPUTED_VALUE"""),0.0)</f>
        <v>0</v>
      </c>
      <c r="J83" s="225">
        <f>IFERROR(__xludf.DUMMYFUNCTION("""COMPUTED_VALUE"""),26.3)</f>
        <v>26.3</v>
      </c>
      <c r="K83" s="225">
        <f>IFERROR(__xludf.DUMMYFUNCTION("""COMPUTED_VALUE"""),4.0)</f>
        <v>4</v>
      </c>
      <c r="L83" s="225">
        <f>IFERROR(__xludf.DUMMYFUNCTION("""COMPUTED_VALUE"""),0.0)</f>
        <v>0</v>
      </c>
      <c r="M83" s="225">
        <f>IFERROR(__xludf.DUMMYFUNCTION("""COMPUTED_VALUE"""),0.0)</f>
        <v>0</v>
      </c>
      <c r="N83" s="224" t="str">
        <f>IFERROR(__xludf.DUMMYFUNCTION("""COMPUTED_VALUE"""),"Toledo Rockets")</f>
        <v>Toledo Rockets</v>
      </c>
      <c r="O83" s="226" t="str">
        <f>IFERROR(__xludf.DUMMYFUNCTION("""COMPUTED_VALUE"""),"MAC")</f>
        <v>MAC</v>
      </c>
      <c r="P83" s="227">
        <f>IFERROR(__xludf.DUMMYFUNCTION("if(F83="""","""",indeX(split(F83,""-""),1)-J83/100)"),8.237)</f>
        <v>8.237</v>
      </c>
      <c r="Q83" s="227"/>
    </row>
    <row r="84">
      <c r="B84" s="229" t="str">
        <f>IFERROR(__xludf.DUMMYFUNCTION("""COMPUTED_VALUE"""),"0-0")</f>
        <v>0-0</v>
      </c>
      <c r="C84" s="225">
        <f>IFERROR(__xludf.DUMMYFUNCTION("""COMPUTED_VALUE"""),-3.3)</f>
        <v>-3.3</v>
      </c>
      <c r="D84" s="225">
        <f>IFERROR(__xludf.DUMMYFUNCTION("""COMPUTED_VALUE"""),80.0)</f>
        <v>80</v>
      </c>
      <c r="E84" s="225" t="str">
        <f>IFERROR(__xludf.DUMMYFUNCTION("""COMPUTED_VALUE"""),"--")</f>
        <v>--</v>
      </c>
      <c r="F84" s="224" t="str">
        <f>IFERROR(__xludf.DUMMYFUNCTION("""COMPUTED_VALUE"""),"3.9-8.1")</f>
        <v>3.9-8.1</v>
      </c>
      <c r="G84" s="225">
        <f>IFERROR(__xludf.DUMMYFUNCTION("""COMPUTED_VALUE"""),0.0)</f>
        <v>0</v>
      </c>
      <c r="H84" s="225">
        <f>IFERROR(__xludf.DUMMYFUNCTION("""COMPUTED_VALUE"""),18.9)</f>
        <v>18.9</v>
      </c>
      <c r="I84" s="225">
        <f>IFERROR(__xludf.DUMMYFUNCTION("""COMPUTED_VALUE"""),0.0)</f>
        <v>0</v>
      </c>
      <c r="J84" s="225">
        <f>IFERROR(__xludf.DUMMYFUNCTION("""COMPUTED_VALUE"""),0.1)</f>
        <v>0.1</v>
      </c>
      <c r="K84" s="225">
        <f>IFERROR(__xludf.DUMMYFUNCTION("""COMPUTED_VALUE"""),0.2)</f>
        <v>0.2</v>
      </c>
      <c r="L84" s="225">
        <f>IFERROR(__xludf.DUMMYFUNCTION("""COMPUTED_VALUE"""),0.0)</f>
        <v>0</v>
      </c>
      <c r="M84" s="225">
        <f>IFERROR(__xludf.DUMMYFUNCTION("""COMPUTED_VALUE"""),0.0)</f>
        <v>0</v>
      </c>
      <c r="N84" s="224" t="str">
        <f>IFERROR(__xludf.DUMMYFUNCTION("""COMPUTED_VALUE"""),"Stanford Cardinal")</f>
        <v>Stanford Cardinal</v>
      </c>
      <c r="O84" s="226" t="str">
        <f>IFERROR(__xludf.DUMMYFUNCTION("""COMPUTED_VALUE"""),"ACC")</f>
        <v>ACC</v>
      </c>
      <c r="P84" s="227">
        <f>IFERROR(__xludf.DUMMYFUNCTION("if(F84="""","""",indeX(split(F84,""-""),1)-J84/100)"),3.899)</f>
        <v>3.899</v>
      </c>
      <c r="Q84" s="227"/>
    </row>
    <row r="85">
      <c r="B85" s="229" t="str">
        <f>IFERROR(__xludf.DUMMYFUNCTION("""COMPUTED_VALUE"""),"0-0")</f>
        <v>0-0</v>
      </c>
      <c r="C85" s="225">
        <f>IFERROR(__xludf.DUMMYFUNCTION("""COMPUTED_VALUE"""),-3.5)</f>
        <v>-3.5</v>
      </c>
      <c r="D85" s="225">
        <f>IFERROR(__xludf.DUMMYFUNCTION("""COMPUTED_VALUE"""),81.0)</f>
        <v>81</v>
      </c>
      <c r="E85" s="225" t="str">
        <f>IFERROR(__xludf.DUMMYFUNCTION("""COMPUTED_VALUE"""),"--")</f>
        <v>--</v>
      </c>
      <c r="F85" s="224" t="str">
        <f>IFERROR(__xludf.DUMMYFUNCTION("""COMPUTED_VALUE"""),"7.7-4.7")</f>
        <v>7.7-4.7</v>
      </c>
      <c r="G85" s="225">
        <f>IFERROR(__xludf.DUMMYFUNCTION("""COMPUTED_VALUE"""),0.1)</f>
        <v>0.1</v>
      </c>
      <c r="H85" s="225">
        <f>IFERROR(__xludf.DUMMYFUNCTION("""COMPUTED_VALUE"""),83.8)</f>
        <v>83.8</v>
      </c>
      <c r="I85" s="225">
        <f>IFERROR(__xludf.DUMMYFUNCTION("""COMPUTED_VALUE"""),0.0)</f>
        <v>0</v>
      </c>
      <c r="J85" s="225">
        <f>IFERROR(__xludf.DUMMYFUNCTION("""COMPUTED_VALUE"""),16.5)</f>
        <v>16.5</v>
      </c>
      <c r="K85" s="225">
        <f>IFERROR(__xludf.DUMMYFUNCTION("""COMPUTED_VALUE"""),2.9)</f>
        <v>2.9</v>
      </c>
      <c r="L85" s="225">
        <f>IFERROR(__xludf.DUMMYFUNCTION("""COMPUTED_VALUE"""),0.0)</f>
        <v>0</v>
      </c>
      <c r="M85" s="225">
        <f>IFERROR(__xludf.DUMMYFUNCTION("""COMPUTED_VALUE"""),0.0)</f>
        <v>0</v>
      </c>
      <c r="N85" s="224" t="str">
        <f>IFERROR(__xludf.DUMMYFUNCTION("""COMPUTED_VALUE"""),"New Mexico Lobos")</f>
        <v>New Mexico Lobos</v>
      </c>
      <c r="O85" s="226" t="str">
        <f>IFERROR(__xludf.DUMMYFUNCTION("""COMPUTED_VALUE"""),"Mountain West")</f>
        <v>Mountain West</v>
      </c>
      <c r="P85" s="227">
        <f>IFERROR(__xludf.DUMMYFUNCTION("if(F85="""","""",indeX(split(F85,""-""),1)-J85/100)"),7.535)</f>
        <v>7.535</v>
      </c>
      <c r="Q85" s="227"/>
    </row>
    <row r="86">
      <c r="B86" s="229" t="str">
        <f>IFERROR(__xludf.DUMMYFUNCTION("""COMPUTED_VALUE"""),"0-0")</f>
        <v>0-0</v>
      </c>
      <c r="C86" s="225">
        <f>IFERROR(__xludf.DUMMYFUNCTION("""COMPUTED_VALUE"""),-4.0)</f>
        <v>-4</v>
      </c>
      <c r="D86" s="225">
        <f>IFERROR(__xludf.DUMMYFUNCTION("""COMPUTED_VALUE"""),82.0)</f>
        <v>82</v>
      </c>
      <c r="E86" s="225" t="str">
        <f>IFERROR(__xludf.DUMMYFUNCTION("""COMPUTED_VALUE"""),"--")</f>
        <v>--</v>
      </c>
      <c r="F86" s="224" t="str">
        <f>IFERROR(__xludf.DUMMYFUNCTION("""COMPUTED_VALUE"""),"7.7-4.6")</f>
        <v>7.7-4.6</v>
      </c>
      <c r="G86" s="225">
        <f>IFERROR(__xludf.DUMMYFUNCTION("""COMPUTED_VALUE"""),0.1)</f>
        <v>0.1</v>
      </c>
      <c r="H86" s="225">
        <f>IFERROR(__xludf.DUMMYFUNCTION("""COMPUTED_VALUE"""),84.4)</f>
        <v>84.4</v>
      </c>
      <c r="I86" s="225">
        <f>IFERROR(__xludf.DUMMYFUNCTION("""COMPUTED_VALUE"""),0.0)</f>
        <v>0</v>
      </c>
      <c r="J86" s="225">
        <f>IFERROR(__xludf.DUMMYFUNCTION("""COMPUTED_VALUE"""),21.6)</f>
        <v>21.6</v>
      </c>
      <c r="K86" s="225">
        <f>IFERROR(__xludf.DUMMYFUNCTION("""COMPUTED_VALUE"""),2.6)</f>
        <v>2.6</v>
      </c>
      <c r="L86" s="225">
        <f>IFERROR(__xludf.DUMMYFUNCTION("""COMPUTED_VALUE"""),0.0)</f>
        <v>0</v>
      </c>
      <c r="M86" s="225">
        <f>IFERROR(__xludf.DUMMYFUNCTION("""COMPUTED_VALUE"""),0.0)</f>
        <v>0</v>
      </c>
      <c r="N86" s="224" t="str">
        <f>IFERROR(__xludf.DUMMYFUNCTION("""COMPUTED_VALUE"""),"Western Michigan Broncos")</f>
        <v>Western Michigan Broncos</v>
      </c>
      <c r="O86" s="226" t="str">
        <f>IFERROR(__xludf.DUMMYFUNCTION("""COMPUTED_VALUE"""),"MAC")</f>
        <v>MAC</v>
      </c>
      <c r="P86" s="227">
        <f>IFERROR(__xludf.DUMMYFUNCTION("if(F86="""","""",indeX(split(F86,""-""),1)-J86/100)"),7.484)</f>
        <v>7.484</v>
      </c>
      <c r="Q86" s="227"/>
    </row>
    <row r="87">
      <c r="B87" s="229" t="str">
        <f>IFERROR(__xludf.DUMMYFUNCTION("""COMPUTED_VALUE"""),"0-0")</f>
        <v>0-0</v>
      </c>
      <c r="C87" s="225">
        <f>IFERROR(__xludf.DUMMYFUNCTION("""COMPUTED_VALUE"""),-4.1)</f>
        <v>-4.1</v>
      </c>
      <c r="D87" s="225">
        <f>IFERROR(__xludf.DUMMYFUNCTION("""COMPUTED_VALUE"""),83.0)</f>
        <v>83</v>
      </c>
      <c r="E87" s="224" t="str">
        <f>IFERROR(__xludf.DUMMYFUNCTION("""COMPUTED_VALUE"""),"--")</f>
        <v>--</v>
      </c>
      <c r="F87" s="224" t="str">
        <f>IFERROR(__xludf.DUMMYFUNCTION("""COMPUTED_VALUE"""),"5.1-6.1")</f>
        <v>5.1-6.1</v>
      </c>
      <c r="G87" s="225">
        <f>IFERROR(__xludf.DUMMYFUNCTION("""COMPUTED_VALUE"""),0.0)</f>
        <v>0</v>
      </c>
      <c r="H87" s="225">
        <f>IFERROR(__xludf.DUMMYFUNCTION("""COMPUTED_VALUE"""),39.3)</f>
        <v>39.3</v>
      </c>
      <c r="I87" s="225">
        <f>IFERROR(__xludf.DUMMYFUNCTION("""COMPUTED_VALUE"""),0.0)</f>
        <v>0</v>
      </c>
      <c r="J87" s="225">
        <f>IFERROR(__xludf.DUMMYFUNCTION("""COMPUTED_VALUE"""),8.3)</f>
        <v>8.3</v>
      </c>
      <c r="K87" s="225">
        <f>IFERROR(__xludf.DUMMYFUNCTION("""COMPUTED_VALUE"""),1.4)</f>
        <v>1.4</v>
      </c>
      <c r="L87" s="225">
        <f>IFERROR(__xludf.DUMMYFUNCTION("""COMPUTED_VALUE"""),0.0)</f>
        <v>0</v>
      </c>
      <c r="M87" s="225">
        <f>IFERROR(__xludf.DUMMYFUNCTION("""COMPUTED_VALUE"""),0.0)</f>
        <v>0</v>
      </c>
      <c r="N87" s="224" t="str">
        <f>IFERROR(__xludf.DUMMYFUNCTION("""COMPUTED_VALUE"""),"Washington State Cougars")</f>
        <v>Washington State Cougars</v>
      </c>
      <c r="O87" s="226" t="str">
        <f>IFERROR(__xludf.DUMMYFUNCTION("""COMPUTED_VALUE"""),"Pac-12")</f>
        <v>Pac-12</v>
      </c>
      <c r="P87" s="227">
        <f>IFERROR(__xludf.DUMMYFUNCTION("if(F87="""","""",indeX(split(F87,""-""),1)-J87/100)"),5.0169999999999995)</f>
        <v>5.017</v>
      </c>
      <c r="Q87" s="227"/>
    </row>
    <row r="88">
      <c r="B88" s="229" t="str">
        <f>IFERROR(__xludf.DUMMYFUNCTION("""COMPUTED_VALUE"""),"0-0")</f>
        <v>0-0</v>
      </c>
      <c r="C88" s="225">
        <f>IFERROR(__xludf.DUMMYFUNCTION("""COMPUTED_VALUE"""),-4.3)</f>
        <v>-4.3</v>
      </c>
      <c r="D88" s="225">
        <f>IFERROR(__xludf.DUMMYFUNCTION("""COMPUTED_VALUE"""),84.0)</f>
        <v>84</v>
      </c>
      <c r="E88" s="225" t="str">
        <f>IFERROR(__xludf.DUMMYFUNCTION("""COMPUTED_VALUE"""),"--")</f>
        <v>--</v>
      </c>
      <c r="F88" s="224" t="str">
        <f>IFERROR(__xludf.DUMMYFUNCTION("""COMPUTED_VALUE"""),"5.6-5.6")</f>
        <v>5.6-5.6</v>
      </c>
      <c r="G88" s="225">
        <f>IFERROR(__xludf.DUMMYFUNCTION("""COMPUTED_VALUE"""),0.0)</f>
        <v>0</v>
      </c>
      <c r="H88" s="225">
        <f>IFERROR(__xludf.DUMMYFUNCTION("""COMPUTED_VALUE"""),52.2)</f>
        <v>52.2</v>
      </c>
      <c r="I88" s="225">
        <f>IFERROR(__xludf.DUMMYFUNCTION("""COMPUTED_VALUE"""),0.0)</f>
        <v>0</v>
      </c>
      <c r="J88" s="225">
        <f>IFERROR(__xludf.DUMMYFUNCTION("""COMPUTED_VALUE"""),8.6)</f>
        <v>8.6</v>
      </c>
      <c r="K88" s="225">
        <f>IFERROR(__xludf.DUMMYFUNCTION("""COMPUTED_VALUE"""),1.9)</f>
        <v>1.9</v>
      </c>
      <c r="L88" s="225">
        <f>IFERROR(__xludf.DUMMYFUNCTION("""COMPUTED_VALUE"""),0.0)</f>
        <v>0</v>
      </c>
      <c r="M88" s="225">
        <f>IFERROR(__xludf.DUMMYFUNCTION("""COMPUTED_VALUE"""),0.0)</f>
        <v>0</v>
      </c>
      <c r="N88" s="224" t="str">
        <f>IFERROR(__xludf.DUMMYFUNCTION("""COMPUTED_VALUE"""),"Texas State Bobcats")</f>
        <v>Texas State Bobcats</v>
      </c>
      <c r="O88" s="226" t="str">
        <f>IFERROR(__xludf.DUMMYFUNCTION("""COMPUTED_VALUE"""),"Pac-12")</f>
        <v>Pac-12</v>
      </c>
      <c r="P88" s="227">
        <f>IFERROR(__xludf.DUMMYFUNCTION("if(F88="""","""",indeX(split(F88,""-""),1)-J88/100)"),5.513999999999999)</f>
        <v>5.514</v>
      </c>
      <c r="Q88" s="227"/>
    </row>
    <row r="89">
      <c r="B89" s="229" t="str">
        <f>IFERROR(__xludf.DUMMYFUNCTION("""COMPUTED_VALUE"""),"0-0")</f>
        <v>0-0</v>
      </c>
      <c r="C89" s="225">
        <f>IFERROR(__xludf.DUMMYFUNCTION("""COMPUTED_VALUE"""),-4.4)</f>
        <v>-4.4</v>
      </c>
      <c r="D89" s="225">
        <f>IFERROR(__xludf.DUMMYFUNCTION("""COMPUTED_VALUE"""),85.0)</f>
        <v>85</v>
      </c>
      <c r="E89" s="225" t="str">
        <f>IFERROR(__xludf.DUMMYFUNCTION("""COMPUTED_VALUE"""),"--")</f>
        <v>--</v>
      </c>
      <c r="F89" s="224" t="str">
        <f>IFERROR(__xludf.DUMMYFUNCTION("""COMPUTED_VALUE"""),"7.3-5.0")</f>
        <v>7.3-5.0</v>
      </c>
      <c r="G89" s="225">
        <f>IFERROR(__xludf.DUMMYFUNCTION("""COMPUTED_VALUE"""),0.1)</f>
        <v>0.1</v>
      </c>
      <c r="H89" s="225">
        <f>IFERROR(__xludf.DUMMYFUNCTION("""COMPUTED_VALUE"""),76.7)</f>
        <v>76.7</v>
      </c>
      <c r="I89" s="225">
        <f>IFERROR(__xludf.DUMMYFUNCTION("""COMPUTED_VALUE"""),24.0)</f>
        <v>24</v>
      </c>
      <c r="J89" s="225">
        <f>IFERROR(__xludf.DUMMYFUNCTION("""COMPUTED_VALUE"""),14.0)</f>
        <v>14</v>
      </c>
      <c r="K89" s="225">
        <f>IFERROR(__xludf.DUMMYFUNCTION("""COMPUTED_VALUE"""),2.2)</f>
        <v>2.2</v>
      </c>
      <c r="L89" s="225">
        <f>IFERROR(__xludf.DUMMYFUNCTION("""COMPUTED_VALUE"""),0.0)</f>
        <v>0</v>
      </c>
      <c r="M89" s="225">
        <f>IFERROR(__xludf.DUMMYFUNCTION("""COMPUTED_VALUE"""),0.0)</f>
        <v>0</v>
      </c>
      <c r="N89" s="224" t="str">
        <f>IFERROR(__xludf.DUMMYFUNCTION("""COMPUTED_VALUE"""),"Old Dominion Monarchs")</f>
        <v>Old Dominion Monarchs</v>
      </c>
      <c r="O89" s="226" t="str">
        <f>IFERROR(__xludf.DUMMYFUNCTION("""COMPUTED_VALUE"""),"Sun Belt")</f>
        <v>Sun Belt</v>
      </c>
      <c r="P89" s="227">
        <f>IFERROR(__xludf.DUMMYFUNCTION("if(F89="""","""",indeX(split(F89,""-""),1)-J89/100)"),7.16)</f>
        <v>7.16</v>
      </c>
      <c r="Q89" s="227"/>
    </row>
    <row r="90">
      <c r="B90" s="229" t="str">
        <f>IFERROR(__xludf.DUMMYFUNCTION("""COMPUTED_VALUE"""),"0-0")</f>
        <v>0-0</v>
      </c>
      <c r="C90" s="225">
        <f>IFERROR(__xludf.DUMMYFUNCTION("""COMPUTED_VALUE"""),-4.9)</f>
        <v>-4.9</v>
      </c>
      <c r="D90" s="225">
        <f>IFERROR(__xludf.DUMMYFUNCTION("""COMPUTED_VALUE"""),86.0)</f>
        <v>86</v>
      </c>
      <c r="E90" s="225" t="str">
        <f>IFERROR(__xludf.DUMMYFUNCTION("""COMPUTED_VALUE"""),"--")</f>
        <v>--</v>
      </c>
      <c r="F90" s="224" t="str">
        <f>IFERROR(__xludf.DUMMYFUNCTION("""COMPUTED_VALUE"""),"7.1-5.3")</f>
        <v>7.1-5.3</v>
      </c>
      <c r="G90" s="225">
        <f>IFERROR(__xludf.DUMMYFUNCTION("""COMPUTED_VALUE"""),0.0)</f>
        <v>0</v>
      </c>
      <c r="H90" s="225">
        <f>IFERROR(__xludf.DUMMYFUNCTION("""COMPUTED_VALUE"""),77.1)</f>
        <v>77.1</v>
      </c>
      <c r="I90" s="225">
        <f>IFERROR(__xludf.DUMMYFUNCTION("""COMPUTED_VALUE"""),0.0)</f>
        <v>0</v>
      </c>
      <c r="J90" s="225">
        <f>IFERROR(__xludf.DUMMYFUNCTION("""COMPUTED_VALUE"""),24.8)</f>
        <v>24.8</v>
      </c>
      <c r="K90" s="225">
        <f>IFERROR(__xludf.DUMMYFUNCTION("""COMPUTED_VALUE"""),1.9)</f>
        <v>1.9</v>
      </c>
      <c r="L90" s="225">
        <f>IFERROR(__xludf.DUMMYFUNCTION("""COMPUTED_VALUE"""),0.0)</f>
        <v>0</v>
      </c>
      <c r="M90" s="225">
        <f>IFERROR(__xludf.DUMMYFUNCTION("""COMPUTED_VALUE"""),0.0)</f>
        <v>0</v>
      </c>
      <c r="N90" s="224" t="str">
        <f>IFERROR(__xludf.DUMMYFUNCTION("""COMPUTED_VALUE"""),"Western Kentucky Hilltoppers")</f>
        <v>Western Kentucky Hilltoppers</v>
      </c>
      <c r="O90" s="226" t="str">
        <f>IFERROR(__xludf.DUMMYFUNCTION("""COMPUTED_VALUE"""),"CUSA")</f>
        <v>CUSA</v>
      </c>
      <c r="P90" s="227">
        <f>IFERROR(__xludf.DUMMYFUNCTION("if(F90="""","""",indeX(split(F90,""-""),1)-J90/100)"),6.851999999999999)</f>
        <v>6.852</v>
      </c>
      <c r="Q90" s="227"/>
    </row>
    <row r="91">
      <c r="B91" s="229" t="str">
        <f>IFERROR(__xludf.DUMMYFUNCTION("""COMPUTED_VALUE"""),"0-0")</f>
        <v>0-0</v>
      </c>
      <c r="C91" s="225">
        <f>IFERROR(__xludf.DUMMYFUNCTION("""COMPUTED_VALUE"""),-5.1)</f>
        <v>-5.1</v>
      </c>
      <c r="D91" s="225">
        <f>IFERROR(__xludf.DUMMYFUNCTION("""COMPUTED_VALUE"""),87.0)</f>
        <v>87</v>
      </c>
      <c r="E91" s="225" t="str">
        <f>IFERROR(__xludf.DUMMYFUNCTION("""COMPUTED_VALUE"""),"--")</f>
        <v>--</v>
      </c>
      <c r="F91" s="224" t="str">
        <f>IFERROR(__xludf.DUMMYFUNCTION("""COMPUTED_VALUE"""),"6.9-5.3")</f>
        <v>6.9-5.3</v>
      </c>
      <c r="G91" s="225">
        <f>IFERROR(__xludf.DUMMYFUNCTION("""COMPUTED_VALUE"""),0.0)</f>
        <v>0</v>
      </c>
      <c r="H91" s="225">
        <f>IFERROR(__xludf.DUMMYFUNCTION("""COMPUTED_VALUE"""),73.5)</f>
        <v>73.5</v>
      </c>
      <c r="I91" s="225">
        <f>IFERROR(__xludf.DUMMYFUNCTION("""COMPUTED_VALUE"""),24.5)</f>
        <v>24.5</v>
      </c>
      <c r="J91" s="225">
        <f>IFERROR(__xludf.DUMMYFUNCTION("""COMPUTED_VALUE"""),12.6)</f>
        <v>12.6</v>
      </c>
      <c r="K91" s="225">
        <f>IFERROR(__xludf.DUMMYFUNCTION("""COMPUTED_VALUE"""),1.6)</f>
        <v>1.6</v>
      </c>
      <c r="L91" s="225">
        <f>IFERROR(__xludf.DUMMYFUNCTION("""COMPUTED_VALUE"""),0.0)</f>
        <v>0</v>
      </c>
      <c r="M91" s="225">
        <f>IFERROR(__xludf.DUMMYFUNCTION("""COMPUTED_VALUE"""),0.0)</f>
        <v>0</v>
      </c>
      <c r="N91" s="224" t="str">
        <f>IFERROR(__xludf.DUMMYFUNCTION("""COMPUTED_VALUE"""),"Southern Miss Golden Eagles")</f>
        <v>Southern Miss Golden Eagles</v>
      </c>
      <c r="O91" s="226" t="str">
        <f>IFERROR(__xludf.DUMMYFUNCTION("""COMPUTED_VALUE"""),"Sun Belt")</f>
        <v>Sun Belt</v>
      </c>
      <c r="P91" s="227">
        <f>IFERROR(__xludf.DUMMYFUNCTION("if(F91="""","""",indeX(split(F91,""-""),1)-J91/100)"),6.774)</f>
        <v>6.774</v>
      </c>
      <c r="Q91" s="227"/>
    </row>
    <row r="92">
      <c r="B92" s="229" t="str">
        <f>IFERROR(__xludf.DUMMYFUNCTION("""COMPUTED_VALUE"""),"0-0")</f>
        <v>0-0</v>
      </c>
      <c r="C92" s="225">
        <f>IFERROR(__xludf.DUMMYFUNCTION("""COMPUTED_VALUE"""),-5.3)</f>
        <v>-5.3</v>
      </c>
      <c r="D92" s="225">
        <f>IFERROR(__xludf.DUMMYFUNCTION("""COMPUTED_VALUE"""),88.0)</f>
        <v>88</v>
      </c>
      <c r="E92" s="225" t="str">
        <f>IFERROR(__xludf.DUMMYFUNCTION("""COMPUTED_VALUE"""),"--")</f>
        <v>--</v>
      </c>
      <c r="F92" s="224" t="str">
        <f>IFERROR(__xludf.DUMMYFUNCTION("""COMPUTED_VALUE"""),"6.4-5.7")</f>
        <v>6.4-5.7</v>
      </c>
      <c r="G92" s="225">
        <f>IFERROR(__xludf.DUMMYFUNCTION("""COMPUTED_VALUE"""),0.0)</f>
        <v>0</v>
      </c>
      <c r="H92" s="225">
        <f>IFERROR(__xludf.DUMMYFUNCTION("""COMPUTED_VALUE"""),66.5)</f>
        <v>66.5</v>
      </c>
      <c r="I92" s="225">
        <f>IFERROR(__xludf.DUMMYFUNCTION("""COMPUTED_VALUE"""),0.0)</f>
        <v>0</v>
      </c>
      <c r="J92" s="225">
        <f>IFERROR(__xludf.DUMMYFUNCTION("""COMPUTED_VALUE"""),5.9)</f>
        <v>5.9</v>
      </c>
      <c r="K92" s="225">
        <f>IFERROR(__xludf.DUMMYFUNCTION("""COMPUTED_VALUE"""),1.5)</f>
        <v>1.5</v>
      </c>
      <c r="L92" s="225">
        <f>IFERROR(__xludf.DUMMYFUNCTION("""COMPUTED_VALUE"""),0.0)</f>
        <v>0</v>
      </c>
      <c r="M92" s="225">
        <f>IFERROR(__xludf.DUMMYFUNCTION("""COMPUTED_VALUE"""),0.0)</f>
        <v>0</v>
      </c>
      <c r="N92" s="224" t="str">
        <f>IFERROR(__xludf.DUMMYFUNCTION("""COMPUTED_VALUE"""),"UTSA Roadrunners")</f>
        <v>UTSA Roadrunners</v>
      </c>
      <c r="O92" s="226" t="str">
        <f>IFERROR(__xludf.DUMMYFUNCTION("""COMPUTED_VALUE"""),"American")</f>
        <v>American</v>
      </c>
      <c r="P92" s="227">
        <f>IFERROR(__xludf.DUMMYFUNCTION("if(F92="""","""",indeX(split(F92,""-""),1)-J92/100)"),6.341)</f>
        <v>6.341</v>
      </c>
      <c r="Q92" s="227"/>
    </row>
    <row r="93">
      <c r="B93" s="229" t="str">
        <f>IFERROR(__xludf.DUMMYFUNCTION("""COMPUTED_VALUE"""),"0-0")</f>
        <v>0-0</v>
      </c>
      <c r="C93" s="225">
        <f>IFERROR(__xludf.DUMMYFUNCTION("""COMPUTED_VALUE"""),-5.6)</f>
        <v>-5.6</v>
      </c>
      <c r="D93" s="225">
        <f>IFERROR(__xludf.DUMMYFUNCTION("""COMPUTED_VALUE"""),89.0)</f>
        <v>89</v>
      </c>
      <c r="E93" s="225" t="str">
        <f>IFERROR(__xludf.DUMMYFUNCTION("""COMPUTED_VALUE"""),"--")</f>
        <v>--</v>
      </c>
      <c r="F93" s="224" t="str">
        <f>IFERROR(__xludf.DUMMYFUNCTION("""COMPUTED_VALUE"""),"6.4-5.7")</f>
        <v>6.4-5.7</v>
      </c>
      <c r="G93" s="225">
        <f>IFERROR(__xludf.DUMMYFUNCTION("""COMPUTED_VALUE"""),0.0)</f>
        <v>0</v>
      </c>
      <c r="H93" s="225">
        <f>IFERROR(__xludf.DUMMYFUNCTION("""COMPUTED_VALUE"""),64.3)</f>
        <v>64.3</v>
      </c>
      <c r="I93" s="225">
        <f>IFERROR(__xludf.DUMMYFUNCTION("""COMPUTED_VALUE"""),0.0)</f>
        <v>0</v>
      </c>
      <c r="J93" s="225">
        <f>IFERROR(__xludf.DUMMYFUNCTION("""COMPUTED_VALUE"""),5.0)</f>
        <v>5</v>
      </c>
      <c r="K93" s="225">
        <f>IFERROR(__xludf.DUMMYFUNCTION("""COMPUTED_VALUE"""),1.4)</f>
        <v>1.4</v>
      </c>
      <c r="L93" s="225">
        <f>IFERROR(__xludf.DUMMYFUNCTION("""COMPUTED_VALUE"""),0.0)</f>
        <v>0</v>
      </c>
      <c r="M93" s="225">
        <f>IFERROR(__xludf.DUMMYFUNCTION("""COMPUTED_VALUE"""),0.0)</f>
        <v>0</v>
      </c>
      <c r="N93" s="224" t="str">
        <f>IFERROR(__xludf.DUMMYFUNCTION("""COMPUTED_VALUE"""),"Army Black Knights")</f>
        <v>Army Black Knights</v>
      </c>
      <c r="O93" s="226" t="str">
        <f>IFERROR(__xludf.DUMMYFUNCTION("""COMPUTED_VALUE"""),"American")</f>
        <v>American</v>
      </c>
      <c r="P93" s="227">
        <f>IFERROR(__xludf.DUMMYFUNCTION("if(F93="""","""",indeX(split(F93,""-""),1)-J93/100)"),6.3500000000000005)</f>
        <v>6.35</v>
      </c>
      <c r="Q93" s="227"/>
    </row>
    <row r="94">
      <c r="B94" s="229" t="str">
        <f>IFERROR(__xludf.DUMMYFUNCTION("""COMPUTED_VALUE"""),"0-0")</f>
        <v>0-0</v>
      </c>
      <c r="C94" s="225">
        <f>IFERROR(__xludf.DUMMYFUNCTION("""COMPUTED_VALUE"""),-6.4)</f>
        <v>-6.4</v>
      </c>
      <c r="D94" s="225">
        <f>IFERROR(__xludf.DUMMYFUNCTION("""COMPUTED_VALUE"""),90.0)</f>
        <v>90</v>
      </c>
      <c r="E94" s="225" t="str">
        <f>IFERROR(__xludf.DUMMYFUNCTION("""COMPUTED_VALUE"""),"--")</f>
        <v>--</v>
      </c>
      <c r="F94" s="224" t="str">
        <f>IFERROR(__xludf.DUMMYFUNCTION("""COMPUTED_VALUE"""),"6.2-5.9")</f>
        <v>6.2-5.9</v>
      </c>
      <c r="G94" s="225">
        <f>IFERROR(__xludf.DUMMYFUNCTION("""COMPUTED_VALUE"""),0.0)</f>
        <v>0</v>
      </c>
      <c r="H94" s="225">
        <f>IFERROR(__xludf.DUMMYFUNCTION("""COMPUTED_VALUE"""),62.6)</f>
        <v>62.6</v>
      </c>
      <c r="I94" s="225">
        <f>IFERROR(__xludf.DUMMYFUNCTION("""COMPUTED_VALUE"""),0.0)</f>
        <v>0</v>
      </c>
      <c r="J94" s="225">
        <f>IFERROR(__xludf.DUMMYFUNCTION("""COMPUTED_VALUE"""),4.5)</f>
        <v>4.5</v>
      </c>
      <c r="K94" s="225">
        <f>IFERROR(__xludf.DUMMYFUNCTION("""COMPUTED_VALUE"""),1.0)</f>
        <v>1</v>
      </c>
      <c r="L94" s="225">
        <f>IFERROR(__xludf.DUMMYFUNCTION("""COMPUTED_VALUE"""),0.0)</f>
        <v>0</v>
      </c>
      <c r="M94" s="225">
        <f>IFERROR(__xludf.DUMMYFUNCTION("""COMPUTED_VALUE"""),0.0)</f>
        <v>0</v>
      </c>
      <c r="N94" s="224" t="str">
        <f>IFERROR(__xludf.DUMMYFUNCTION("""COMPUTED_VALUE"""),"North Texas Mean Green")</f>
        <v>North Texas Mean Green</v>
      </c>
      <c r="O94" s="226" t="str">
        <f>IFERROR(__xludf.DUMMYFUNCTION("""COMPUTED_VALUE"""),"American")</f>
        <v>American</v>
      </c>
      <c r="P94" s="227">
        <f>IFERROR(__xludf.DUMMYFUNCTION("if(F94="""","""",indeX(split(F94,""-""),1)-J94/100)"),6.155)</f>
        <v>6.155</v>
      </c>
      <c r="Q94" s="227"/>
    </row>
    <row r="95">
      <c r="B95" s="229" t="str">
        <f>IFERROR(__xludf.DUMMYFUNCTION("""COMPUTED_VALUE"""),"0-0")</f>
        <v>0-0</v>
      </c>
      <c r="C95" s="225">
        <f>IFERROR(__xludf.DUMMYFUNCTION("""COMPUTED_VALUE"""),-6.6)</f>
        <v>-6.6</v>
      </c>
      <c r="D95" s="225">
        <f>IFERROR(__xludf.DUMMYFUNCTION("""COMPUTED_VALUE"""),91.0)</f>
        <v>91</v>
      </c>
      <c r="E95" s="225" t="str">
        <f>IFERROR(__xludf.DUMMYFUNCTION("""COMPUTED_VALUE"""),"--")</f>
        <v>--</v>
      </c>
      <c r="F95" s="224" t="str">
        <f>IFERROR(__xludf.DUMMYFUNCTION("""COMPUTED_VALUE"""),"6.9-5.5")</f>
        <v>6.9-5.5</v>
      </c>
      <c r="G95" s="225">
        <f>IFERROR(__xludf.DUMMYFUNCTION("""COMPUTED_VALUE"""),0.0)</f>
        <v>0</v>
      </c>
      <c r="H95" s="225">
        <f>IFERROR(__xludf.DUMMYFUNCTION("""COMPUTED_VALUE"""),71.8)</f>
        <v>71.8</v>
      </c>
      <c r="I95" s="225">
        <f>IFERROR(__xludf.DUMMYFUNCTION("""COMPUTED_VALUE"""),0.0)</f>
        <v>0</v>
      </c>
      <c r="J95" s="225">
        <f>IFERROR(__xludf.DUMMYFUNCTION("""COMPUTED_VALUE"""),16.8)</f>
        <v>16.8</v>
      </c>
      <c r="K95" s="225">
        <f>IFERROR(__xludf.DUMMYFUNCTION("""COMPUTED_VALUE"""),1.3)</f>
        <v>1.3</v>
      </c>
      <c r="L95" s="225">
        <f>IFERROR(__xludf.DUMMYFUNCTION("""COMPUTED_VALUE"""),0.0)</f>
        <v>0</v>
      </c>
      <c r="M95" s="225">
        <f>IFERROR(__xludf.DUMMYFUNCTION("""COMPUTED_VALUE"""),0.0)</f>
        <v>0</v>
      </c>
      <c r="N95" s="224" t="str">
        <f>IFERROR(__xludf.DUMMYFUNCTION("""COMPUTED_VALUE"""),"Delaware Blue Hens")</f>
        <v>Delaware Blue Hens</v>
      </c>
      <c r="O95" s="226" t="str">
        <f>IFERROR(__xludf.DUMMYFUNCTION("""COMPUTED_VALUE"""),"CUSA")</f>
        <v>CUSA</v>
      </c>
      <c r="P95" s="227">
        <f>IFERROR(__xludf.DUMMYFUNCTION("if(F95="""","""",indeX(split(F95,""-""),1)-J95/100)"),6.732)</f>
        <v>6.732</v>
      </c>
      <c r="Q95" s="227"/>
    </row>
    <row r="96">
      <c r="B96" s="229" t="str">
        <f>IFERROR(__xludf.DUMMYFUNCTION("""COMPUTED_VALUE"""),"0-0")</f>
        <v>0-0</v>
      </c>
      <c r="C96" s="225">
        <f>IFERROR(__xludf.DUMMYFUNCTION("""COMPUTED_VALUE"""),-6.7)</f>
        <v>-6.7</v>
      </c>
      <c r="D96" s="225">
        <f>IFERROR(__xludf.DUMMYFUNCTION("""COMPUTED_VALUE"""),92.0)</f>
        <v>92</v>
      </c>
      <c r="E96" s="225" t="str">
        <f>IFERROR(__xludf.DUMMYFUNCTION("""COMPUTED_VALUE"""),"--")</f>
        <v>--</v>
      </c>
      <c r="F96" s="224" t="str">
        <f>IFERROR(__xludf.DUMMYFUNCTION("""COMPUTED_VALUE"""),"4.7-6.4")</f>
        <v>4.7-6.4</v>
      </c>
      <c r="G96" s="225">
        <f>IFERROR(__xludf.DUMMYFUNCTION("""COMPUTED_VALUE"""),0.0)</f>
        <v>0</v>
      </c>
      <c r="H96" s="225">
        <f>IFERROR(__xludf.DUMMYFUNCTION("""COMPUTED_VALUE"""),33.2)</f>
        <v>33.2</v>
      </c>
      <c r="I96" s="225">
        <f>IFERROR(__xludf.DUMMYFUNCTION("""COMPUTED_VALUE"""),0.0)</f>
        <v>0</v>
      </c>
      <c r="J96" s="225">
        <f>IFERROR(__xludf.DUMMYFUNCTION("""COMPUTED_VALUE"""),4.7)</f>
        <v>4.7</v>
      </c>
      <c r="K96" s="225">
        <f>IFERROR(__xludf.DUMMYFUNCTION("""COMPUTED_VALUE"""),0.7)</f>
        <v>0.7</v>
      </c>
      <c r="L96" s="225">
        <f>IFERROR(__xludf.DUMMYFUNCTION("""COMPUTED_VALUE"""),0.0)</f>
        <v>0</v>
      </c>
      <c r="M96" s="225">
        <f>IFERROR(__xludf.DUMMYFUNCTION("""COMPUTED_VALUE"""),0.0)</f>
        <v>0</v>
      </c>
      <c r="N96" s="224" t="str">
        <f>IFERROR(__xludf.DUMMYFUNCTION("""COMPUTED_VALUE"""),"Utah State Aggies")</f>
        <v>Utah State Aggies</v>
      </c>
      <c r="O96" s="226" t="str">
        <f>IFERROR(__xludf.DUMMYFUNCTION("""COMPUTED_VALUE"""),"Pac-12")</f>
        <v>Pac-12</v>
      </c>
      <c r="P96" s="227">
        <f>IFERROR(__xludf.DUMMYFUNCTION("if(F96="""","""",indeX(split(F96,""-""),1)-J96/100)"),4.6530000000000005)</f>
        <v>4.653</v>
      </c>
      <c r="Q96" s="227"/>
    </row>
    <row r="97">
      <c r="B97" s="229" t="str">
        <f>IFERROR(__xludf.DUMMYFUNCTION("""COMPUTED_VALUE"""),"0-0")</f>
        <v>0-0</v>
      </c>
      <c r="C97" s="225">
        <f>IFERROR(__xludf.DUMMYFUNCTION("""COMPUTED_VALUE"""),-6.8)</f>
        <v>-6.8</v>
      </c>
      <c r="D97" s="225">
        <f>IFERROR(__xludf.DUMMYFUNCTION("""COMPUTED_VALUE"""),93.0)</f>
        <v>93</v>
      </c>
      <c r="E97" s="225" t="str">
        <f>IFERROR(__xludf.DUMMYFUNCTION("""COMPUTED_VALUE"""),"--")</f>
        <v>--</v>
      </c>
      <c r="F97" s="224" t="str">
        <f>IFERROR(__xludf.DUMMYFUNCTION("""COMPUTED_VALUE"""),"7.2-5.1")</f>
        <v>7.2-5.1</v>
      </c>
      <c r="G97" s="225">
        <f>IFERROR(__xludf.DUMMYFUNCTION("""COMPUTED_VALUE"""),0.1)</f>
        <v>0.1</v>
      </c>
      <c r="H97" s="225">
        <f>IFERROR(__xludf.DUMMYFUNCTION("""COMPUTED_VALUE"""),75.7)</f>
        <v>75.7</v>
      </c>
      <c r="I97" s="225">
        <f>IFERROR(__xludf.DUMMYFUNCTION("""COMPUTED_VALUE"""),0.0)</f>
        <v>0</v>
      </c>
      <c r="J97" s="225">
        <f>IFERROR(__xludf.DUMMYFUNCTION("""COMPUTED_VALUE"""),10.0)</f>
        <v>10</v>
      </c>
      <c r="K97" s="225">
        <f>IFERROR(__xludf.DUMMYFUNCTION("""COMPUTED_VALUE"""),1.5)</f>
        <v>1.5</v>
      </c>
      <c r="L97" s="225">
        <f>IFERROR(__xludf.DUMMYFUNCTION("""COMPUTED_VALUE"""),0.0)</f>
        <v>0</v>
      </c>
      <c r="M97" s="225">
        <f>IFERROR(__xludf.DUMMYFUNCTION("""COMPUTED_VALUE"""),0.0)</f>
        <v>0</v>
      </c>
      <c r="N97" s="224" t="str">
        <f>IFERROR(__xludf.DUMMYFUNCTION("""COMPUTED_VALUE"""),"Air Force Falcons")</f>
        <v>Air Force Falcons</v>
      </c>
      <c r="O97" s="226" t="str">
        <f>IFERROR(__xludf.DUMMYFUNCTION("""COMPUTED_VALUE"""),"Mountain West")</f>
        <v>Mountain West</v>
      </c>
      <c r="P97" s="227">
        <f>IFERROR(__xludf.DUMMYFUNCTION("if(F97="""","""",indeX(split(F97,""-""),1)-J97/100)"),7.1000000000000005)</f>
        <v>7.1</v>
      </c>
      <c r="Q97" s="227"/>
    </row>
    <row r="98">
      <c r="B98" s="229" t="str">
        <f>IFERROR(__xludf.DUMMYFUNCTION("""COMPUTED_VALUE"""),"0-0")</f>
        <v>0-0</v>
      </c>
      <c r="C98" s="225">
        <f>IFERROR(__xludf.DUMMYFUNCTION("""COMPUTED_VALUE"""),-7.0)</f>
        <v>-7</v>
      </c>
      <c r="D98" s="225">
        <f>IFERROR(__xludf.DUMMYFUNCTION("""COMPUTED_VALUE"""),94.0)</f>
        <v>94</v>
      </c>
      <c r="E98" s="225" t="str">
        <f>IFERROR(__xludf.DUMMYFUNCTION("""COMPUTED_VALUE"""),"--")</f>
        <v>--</v>
      </c>
      <c r="F98" s="224" t="str">
        <f>IFERROR(__xludf.DUMMYFUNCTION("""COMPUTED_VALUE"""),"7.2-5.1")</f>
        <v>7.2-5.1</v>
      </c>
      <c r="G98" s="225">
        <f>IFERROR(__xludf.DUMMYFUNCTION("""COMPUTED_VALUE"""),0.0)</f>
        <v>0</v>
      </c>
      <c r="H98" s="225">
        <f>IFERROR(__xludf.DUMMYFUNCTION("""COMPUTED_VALUE"""),77.0)</f>
        <v>77</v>
      </c>
      <c r="I98" s="225">
        <f>IFERROR(__xludf.DUMMYFUNCTION("""COMPUTED_VALUE"""),0.0)</f>
        <v>0</v>
      </c>
      <c r="J98" s="225">
        <f>IFERROR(__xludf.DUMMYFUNCTION("""COMPUTED_VALUE"""),13.8)</f>
        <v>13.8</v>
      </c>
      <c r="K98" s="225">
        <f>IFERROR(__xludf.DUMMYFUNCTION("""COMPUTED_VALUE"""),1.1)</f>
        <v>1.1</v>
      </c>
      <c r="L98" s="225">
        <f>IFERROR(__xludf.DUMMYFUNCTION("""COMPUTED_VALUE"""),0.0)</f>
        <v>0</v>
      </c>
      <c r="M98" s="225">
        <f>IFERROR(__xludf.DUMMYFUNCTION("""COMPUTED_VALUE"""),0.0)</f>
        <v>0</v>
      </c>
      <c r="N98" s="224" t="str">
        <f>IFERROR(__xludf.DUMMYFUNCTION("""COMPUTED_VALUE"""),"Miami (OH) RedHawks")</f>
        <v>Miami (OH) RedHawks</v>
      </c>
      <c r="O98" s="226" t="str">
        <f>IFERROR(__xludf.DUMMYFUNCTION("""COMPUTED_VALUE"""),"MAC")</f>
        <v>MAC</v>
      </c>
      <c r="P98" s="227">
        <f>IFERROR(__xludf.DUMMYFUNCTION("if(F98="""","""",indeX(split(F98,""-""),1)-J98/100)"),7.062)</f>
        <v>7.062</v>
      </c>
      <c r="Q98" s="227"/>
    </row>
    <row r="99">
      <c r="B99" s="229" t="str">
        <f>IFERROR(__xludf.DUMMYFUNCTION("""COMPUTED_VALUE"""),"0-0")</f>
        <v>0-0</v>
      </c>
      <c r="C99" s="225">
        <f>IFERROR(__xludf.DUMMYFUNCTION("""COMPUTED_VALUE"""),-7.4)</f>
        <v>-7.4</v>
      </c>
      <c r="D99" s="225">
        <f>IFERROR(__xludf.DUMMYFUNCTION("""COMPUTED_VALUE"""),95.0)</f>
        <v>95</v>
      </c>
      <c r="E99" s="225" t="str">
        <f>IFERROR(__xludf.DUMMYFUNCTION("""COMPUTED_VALUE"""),"--")</f>
        <v>--</v>
      </c>
      <c r="F99" s="224" t="str">
        <f>IFERROR(__xludf.DUMMYFUNCTION("""COMPUTED_VALUE"""),"6.6-5.6")</f>
        <v>6.6-5.6</v>
      </c>
      <c r="G99" s="225">
        <f>IFERROR(__xludf.DUMMYFUNCTION("""COMPUTED_VALUE"""),0.0)</f>
        <v>0</v>
      </c>
      <c r="H99" s="225">
        <f>IFERROR(__xludf.DUMMYFUNCTION("""COMPUTED_VALUE"""),68.2)</f>
        <v>68.2</v>
      </c>
      <c r="I99" s="225">
        <f>IFERROR(__xludf.DUMMYFUNCTION("""COMPUTED_VALUE"""),17.1)</f>
        <v>17.1</v>
      </c>
      <c r="J99" s="225">
        <f>IFERROR(__xludf.DUMMYFUNCTION("""COMPUTED_VALUE"""),8.2)</f>
        <v>8.2</v>
      </c>
      <c r="K99" s="225">
        <f>IFERROR(__xludf.DUMMYFUNCTION("""COMPUTED_VALUE"""),1.0)</f>
        <v>1</v>
      </c>
      <c r="L99" s="225">
        <f>IFERROR(__xludf.DUMMYFUNCTION("""COMPUTED_VALUE"""),0.0)</f>
        <v>0</v>
      </c>
      <c r="M99" s="225">
        <f>IFERROR(__xludf.DUMMYFUNCTION("""COMPUTED_VALUE"""),0.0)</f>
        <v>0</v>
      </c>
      <c r="N99" s="224" t="str">
        <f>IFERROR(__xludf.DUMMYFUNCTION("""COMPUTED_VALUE"""),"Troy Trojans")</f>
        <v>Troy Trojans</v>
      </c>
      <c r="O99" s="226" t="str">
        <f>IFERROR(__xludf.DUMMYFUNCTION("""COMPUTED_VALUE"""),"Sun Belt")</f>
        <v>Sun Belt</v>
      </c>
      <c r="P99" s="227">
        <f>IFERROR(__xludf.DUMMYFUNCTION("if(F99="""","""",indeX(split(F99,""-""),1)-J99/100)"),6.518)</f>
        <v>6.518</v>
      </c>
      <c r="Q99" s="227"/>
    </row>
    <row r="100">
      <c r="B100" s="229" t="str">
        <f>IFERROR(__xludf.DUMMYFUNCTION("""COMPUTED_VALUE"""),"0-0")</f>
        <v>0-0</v>
      </c>
      <c r="C100" s="225">
        <f>IFERROR(__xludf.DUMMYFUNCTION("""COMPUTED_VALUE"""),-7.7)</f>
        <v>-7.7</v>
      </c>
      <c r="D100" s="225">
        <f>IFERROR(__xludf.DUMMYFUNCTION("""COMPUTED_VALUE"""),96.0)</f>
        <v>96</v>
      </c>
      <c r="E100" s="225" t="str">
        <f>IFERROR(__xludf.DUMMYFUNCTION("""COMPUTED_VALUE"""),"--")</f>
        <v>--</v>
      </c>
      <c r="F100" s="224" t="str">
        <f>IFERROR(__xludf.DUMMYFUNCTION("""COMPUTED_VALUE"""),"7.4-4.9")</f>
        <v>7.4-4.9</v>
      </c>
      <c r="G100" s="225">
        <f>IFERROR(__xludf.DUMMYFUNCTION("""COMPUTED_VALUE"""),0.2)</f>
        <v>0.2</v>
      </c>
      <c r="H100" s="225">
        <f>IFERROR(__xludf.DUMMYFUNCTION("""COMPUTED_VALUE"""),77.9)</f>
        <v>77.9</v>
      </c>
      <c r="I100" s="225">
        <f>IFERROR(__xludf.DUMMYFUNCTION("""COMPUTED_VALUE"""),0.0)</f>
        <v>0</v>
      </c>
      <c r="J100" s="225">
        <f>IFERROR(__xludf.DUMMYFUNCTION("""COMPUTED_VALUE"""),14.8)</f>
        <v>14.8</v>
      </c>
      <c r="K100" s="225">
        <f>IFERROR(__xludf.DUMMYFUNCTION("""COMPUTED_VALUE"""),1.3)</f>
        <v>1.3</v>
      </c>
      <c r="L100" s="225">
        <f>IFERROR(__xludf.DUMMYFUNCTION("""COMPUTED_VALUE"""),0.0)</f>
        <v>0</v>
      </c>
      <c r="M100" s="225">
        <f>IFERROR(__xludf.DUMMYFUNCTION("""COMPUTED_VALUE"""),0.0)</f>
        <v>0</v>
      </c>
      <c r="N100" s="224" t="str">
        <f>IFERROR(__xludf.DUMMYFUNCTION("""COMPUTED_VALUE"""),"Liberty Flames")</f>
        <v>Liberty Flames</v>
      </c>
      <c r="O100" s="226" t="str">
        <f>IFERROR(__xludf.DUMMYFUNCTION("""COMPUTED_VALUE"""),"CUSA")</f>
        <v>CUSA</v>
      </c>
      <c r="P100" s="227">
        <f>IFERROR(__xludf.DUMMYFUNCTION("if(F100="""","""",indeX(split(F100,""-""),1)-J100/100)"),7.252000000000001)</f>
        <v>7.252</v>
      </c>
      <c r="Q100" s="227"/>
    </row>
    <row r="101">
      <c r="B101" s="229" t="str">
        <f>IFERROR(__xludf.DUMMYFUNCTION("""COMPUTED_VALUE"""),"0-0")</f>
        <v>0-0</v>
      </c>
      <c r="C101" s="225">
        <f>IFERROR(__xludf.DUMMYFUNCTION("""COMPUTED_VALUE"""),-8.0)</f>
        <v>-8</v>
      </c>
      <c r="D101" s="225">
        <f>IFERROR(__xludf.DUMMYFUNCTION("""COMPUTED_VALUE"""),97.0)</f>
        <v>97</v>
      </c>
      <c r="E101" s="225" t="str">
        <f>IFERROR(__xludf.DUMMYFUNCTION("""COMPUTED_VALUE"""),"--")</f>
        <v>--</v>
      </c>
      <c r="F101" s="224" t="str">
        <f>IFERROR(__xludf.DUMMYFUNCTION("""COMPUTED_VALUE"""),"7.1-5.1")</f>
        <v>7.1-5.1</v>
      </c>
      <c r="G101" s="225">
        <f>IFERROR(__xludf.DUMMYFUNCTION("""COMPUTED_VALUE"""),0.0)</f>
        <v>0</v>
      </c>
      <c r="H101" s="225">
        <f>IFERROR(__xludf.DUMMYFUNCTION("""COMPUTED_VALUE"""),76.0)</f>
        <v>76</v>
      </c>
      <c r="I101" s="225">
        <f>IFERROR(__xludf.DUMMYFUNCTION("""COMPUTED_VALUE"""),0.0)</f>
        <v>0</v>
      </c>
      <c r="J101" s="225">
        <f>IFERROR(__xludf.DUMMYFUNCTION("""COMPUTED_VALUE"""),11.4)</f>
        <v>11.4</v>
      </c>
      <c r="K101" s="225">
        <f>IFERROR(__xludf.DUMMYFUNCTION("""COMPUTED_VALUE"""),1.2)</f>
        <v>1.2</v>
      </c>
      <c r="L101" s="225">
        <f>IFERROR(__xludf.DUMMYFUNCTION("""COMPUTED_VALUE"""),0.0)</f>
        <v>0</v>
      </c>
      <c r="M101" s="225">
        <f>IFERROR(__xludf.DUMMYFUNCTION("""COMPUTED_VALUE"""),0.0)</f>
        <v>0</v>
      </c>
      <c r="N101" s="224" t="str">
        <f>IFERROR(__xludf.DUMMYFUNCTION("""COMPUTED_VALUE"""),"Ohio Bobcats")</f>
        <v>Ohio Bobcats</v>
      </c>
      <c r="O101" s="226" t="str">
        <f>IFERROR(__xludf.DUMMYFUNCTION("""COMPUTED_VALUE"""),"MAC")</f>
        <v>MAC</v>
      </c>
      <c r="P101" s="227">
        <f>IFERROR(__xludf.DUMMYFUNCTION("if(F101="""","""",indeX(split(F101,""-""),1)-J101/100)"),6.986)</f>
        <v>6.986</v>
      </c>
      <c r="Q101" s="227"/>
    </row>
    <row r="102">
      <c r="B102" s="229" t="str">
        <f>IFERROR(__xludf.DUMMYFUNCTION("""COMPUTED_VALUE"""),"0-0")</f>
        <v>0-0</v>
      </c>
      <c r="C102" s="225">
        <f>IFERROR(__xludf.DUMMYFUNCTION("""COMPUTED_VALUE"""),-8.1)</f>
        <v>-8.1</v>
      </c>
      <c r="D102" s="225">
        <f>IFERROR(__xludf.DUMMYFUNCTION("""COMPUTED_VALUE"""),98.0)</f>
        <v>98</v>
      </c>
      <c r="E102" s="225" t="str">
        <f>IFERROR(__xludf.DUMMYFUNCTION("""COMPUTED_VALUE"""),"--")</f>
        <v>--</v>
      </c>
      <c r="F102" s="224" t="str">
        <f>IFERROR(__xludf.DUMMYFUNCTION("""COMPUTED_VALUE"""),"4.4-6.7")</f>
        <v>4.4-6.7</v>
      </c>
      <c r="G102" s="225">
        <f>IFERROR(__xludf.DUMMYFUNCTION("""COMPUTED_VALUE"""),0.0)</f>
        <v>0</v>
      </c>
      <c r="H102" s="225">
        <f>IFERROR(__xludf.DUMMYFUNCTION("""COMPUTED_VALUE"""),27.6)</f>
        <v>27.6</v>
      </c>
      <c r="I102" s="225">
        <f>IFERROR(__xludf.DUMMYFUNCTION("""COMPUTED_VALUE"""),0.0)</f>
        <v>0</v>
      </c>
      <c r="J102" s="225">
        <f>IFERROR(__xludf.DUMMYFUNCTION("""COMPUTED_VALUE"""),4.2)</f>
        <v>4.2</v>
      </c>
      <c r="K102" s="225">
        <f>IFERROR(__xludf.DUMMYFUNCTION("""COMPUTED_VALUE"""),0.5)</f>
        <v>0.5</v>
      </c>
      <c r="L102" s="225">
        <f>IFERROR(__xludf.DUMMYFUNCTION("""COMPUTED_VALUE"""),0.0)</f>
        <v>0</v>
      </c>
      <c r="M102" s="225">
        <f>IFERROR(__xludf.DUMMYFUNCTION("""COMPUTED_VALUE"""),0.0)</f>
        <v>0</v>
      </c>
      <c r="N102" s="224" t="str">
        <f>IFERROR(__xludf.DUMMYFUNCTION("""COMPUTED_VALUE"""),"Oregon State Beavers")</f>
        <v>Oregon State Beavers</v>
      </c>
      <c r="O102" s="226" t="str">
        <f>IFERROR(__xludf.DUMMYFUNCTION("""COMPUTED_VALUE"""),"Pac-12")</f>
        <v>Pac-12</v>
      </c>
      <c r="P102" s="227">
        <f>IFERROR(__xludf.DUMMYFUNCTION("if(F102="""","""",indeX(split(F102,""-""),1)-J102/100)"),4.3580000000000005)</f>
        <v>4.358</v>
      </c>
      <c r="Q102" s="227"/>
    </row>
    <row r="103">
      <c r="B103" s="229" t="str">
        <f>IFERROR(__xludf.DUMMYFUNCTION("""COMPUTED_VALUE"""),"0-0")</f>
        <v>0-0</v>
      </c>
      <c r="C103" s="225">
        <f>IFERROR(__xludf.DUMMYFUNCTION("""COMPUTED_VALUE"""),-8.3)</f>
        <v>-8.3</v>
      </c>
      <c r="D103" s="225">
        <f>IFERROR(__xludf.DUMMYFUNCTION("""COMPUTED_VALUE"""),99.0)</f>
        <v>99</v>
      </c>
      <c r="E103" s="225" t="str">
        <f>IFERROR(__xludf.DUMMYFUNCTION("""COMPUTED_VALUE"""),"--")</f>
        <v>--</v>
      </c>
      <c r="F103" s="224" t="str">
        <f>IFERROR(__xludf.DUMMYFUNCTION("""COMPUTED_VALUE"""),"6.9-5.3")</f>
        <v>6.9-5.3</v>
      </c>
      <c r="G103" s="225">
        <f>IFERROR(__xludf.DUMMYFUNCTION("""COMPUTED_VALUE"""),0.0)</f>
        <v>0</v>
      </c>
      <c r="H103" s="225">
        <f>IFERROR(__xludf.DUMMYFUNCTION("""COMPUTED_VALUE"""),72.7)</f>
        <v>72.7</v>
      </c>
      <c r="I103" s="225">
        <f>IFERROR(__xludf.DUMMYFUNCTION("""COMPUTED_VALUE"""),19.2)</f>
        <v>19.2</v>
      </c>
      <c r="J103" s="225">
        <f>IFERROR(__xludf.DUMMYFUNCTION("""COMPUTED_VALUE"""),8.3)</f>
        <v>8.3</v>
      </c>
      <c r="K103" s="225">
        <f>IFERROR(__xludf.DUMMYFUNCTION("""COMPUTED_VALUE"""),1.0)</f>
        <v>1</v>
      </c>
      <c r="L103" s="225">
        <f>IFERROR(__xludf.DUMMYFUNCTION("""COMPUTED_VALUE"""),0.0)</f>
        <v>0</v>
      </c>
      <c r="M103" s="225">
        <f>IFERROR(__xludf.DUMMYFUNCTION("""COMPUTED_VALUE"""),0.0)</f>
        <v>0</v>
      </c>
      <c r="N103" s="224" t="str">
        <f>IFERROR(__xludf.DUMMYFUNCTION("""COMPUTED_VALUE"""),"Louisiana Ragin' Cajuns")</f>
        <v>Louisiana Ragin' Cajuns</v>
      </c>
      <c r="O103" s="226" t="str">
        <f>IFERROR(__xludf.DUMMYFUNCTION("""COMPUTED_VALUE"""),"Sun Belt")</f>
        <v>Sun Belt</v>
      </c>
      <c r="P103" s="227">
        <f>IFERROR(__xludf.DUMMYFUNCTION("if(F103="""","""",indeX(split(F103,""-""),1)-J103/100)"),6.817)</f>
        <v>6.817</v>
      </c>
      <c r="Q103" s="227"/>
    </row>
    <row r="104">
      <c r="B104" s="229" t="str">
        <f>IFERROR(__xludf.DUMMYFUNCTION("""COMPUTED_VALUE"""),"0-0")</f>
        <v>0-0</v>
      </c>
      <c r="C104" s="225">
        <f>IFERROR(__xludf.DUMMYFUNCTION("""COMPUTED_VALUE"""),-8.3)</f>
        <v>-8.3</v>
      </c>
      <c r="D104" s="225">
        <f>IFERROR(__xludf.DUMMYFUNCTION("""COMPUTED_VALUE"""),100.0)</f>
        <v>100</v>
      </c>
      <c r="E104" s="225" t="str">
        <f>IFERROR(__xludf.DUMMYFUNCTION("""COMPUTED_VALUE"""),"--")</f>
        <v>--</v>
      </c>
      <c r="F104" s="224" t="str">
        <f>IFERROR(__xludf.DUMMYFUNCTION("""COMPUTED_VALUE"""),"6.6-5.6")</f>
        <v>6.6-5.6</v>
      </c>
      <c r="G104" s="225">
        <f>IFERROR(__xludf.DUMMYFUNCTION("""COMPUTED_VALUE"""),0.0)</f>
        <v>0</v>
      </c>
      <c r="H104" s="225">
        <f>IFERROR(__xludf.DUMMYFUNCTION("""COMPUTED_VALUE"""),68.3)</f>
        <v>68.3</v>
      </c>
      <c r="I104" s="225">
        <f>IFERROR(__xludf.DUMMYFUNCTION("""COMPUTED_VALUE"""),0.0)</f>
        <v>0</v>
      </c>
      <c r="J104" s="225">
        <f>IFERROR(__xludf.DUMMYFUNCTION("""COMPUTED_VALUE"""),6.4)</f>
        <v>6.4</v>
      </c>
      <c r="K104" s="225">
        <f>IFERROR(__xludf.DUMMYFUNCTION("""COMPUTED_VALUE"""),0.8)</f>
        <v>0.8</v>
      </c>
      <c r="L104" s="225">
        <f>IFERROR(__xludf.DUMMYFUNCTION("""COMPUTED_VALUE"""),0.0)</f>
        <v>0</v>
      </c>
      <c r="M104" s="225">
        <f>IFERROR(__xludf.DUMMYFUNCTION("""COMPUTED_VALUE"""),0.0)</f>
        <v>0</v>
      </c>
      <c r="N104" s="224" t="str">
        <f>IFERROR(__xludf.DUMMYFUNCTION("""COMPUTED_VALUE"""),"North Dakota State Bison")</f>
        <v>North Dakota State Bison</v>
      </c>
      <c r="O104" s="226" t="str">
        <f>IFERROR(__xludf.DUMMYFUNCTION("""COMPUTED_VALUE"""),"Mountain West")</f>
        <v>Mountain West</v>
      </c>
      <c r="P104" s="227">
        <f>IFERROR(__xludf.DUMMYFUNCTION("if(F104="""","""",indeX(split(F104,""-""),1)-J104/100)"),6.536)</f>
        <v>6.536</v>
      </c>
      <c r="Q104" s="227"/>
    </row>
    <row r="105">
      <c r="B105" s="229" t="str">
        <f>IFERROR(__xludf.DUMMYFUNCTION("""COMPUTED_VALUE"""),"0-0")</f>
        <v>0-0</v>
      </c>
      <c r="C105" s="225">
        <f>IFERROR(__xludf.DUMMYFUNCTION("""COMPUTED_VALUE"""),-8.5)</f>
        <v>-8.5</v>
      </c>
      <c r="D105" s="225">
        <f>IFERROR(__xludf.DUMMYFUNCTION("""COMPUTED_VALUE"""),101.0)</f>
        <v>101</v>
      </c>
      <c r="E105" s="225" t="str">
        <f>IFERROR(__xludf.DUMMYFUNCTION("""COMPUTED_VALUE"""),"--")</f>
        <v>--</v>
      </c>
      <c r="F105" s="224" t="str">
        <f>IFERROR(__xludf.DUMMYFUNCTION("""COMPUTED_VALUE"""),"7.0-5.3")</f>
        <v>7.0-5.3</v>
      </c>
      <c r="G105" s="225">
        <f>IFERROR(__xludf.DUMMYFUNCTION("""COMPUTED_VALUE"""),0.1)</f>
        <v>0.1</v>
      </c>
      <c r="H105" s="225">
        <f>IFERROR(__xludf.DUMMYFUNCTION("""COMPUTED_VALUE"""),72.5)</f>
        <v>72.5</v>
      </c>
      <c r="I105" s="225">
        <f>IFERROR(__xludf.DUMMYFUNCTION("""COMPUTED_VALUE"""),0.0)</f>
        <v>0</v>
      </c>
      <c r="J105" s="225">
        <f>IFERROR(__xludf.DUMMYFUNCTION("""COMPUTED_VALUE"""),12.5)</f>
        <v>12.5</v>
      </c>
      <c r="K105" s="225">
        <f>IFERROR(__xludf.DUMMYFUNCTION("""COMPUTED_VALUE"""),1.0)</f>
        <v>1</v>
      </c>
      <c r="L105" s="225">
        <f>IFERROR(__xludf.DUMMYFUNCTION("""COMPUTED_VALUE"""),0.0)</f>
        <v>0</v>
      </c>
      <c r="M105" s="225">
        <f>IFERROR(__xludf.DUMMYFUNCTION("""COMPUTED_VALUE"""),0.0)</f>
        <v>0</v>
      </c>
      <c r="N105" s="224" t="str">
        <f>IFERROR(__xludf.DUMMYFUNCTION("""COMPUTED_VALUE"""),"Jacksonville State Gamecocks")</f>
        <v>Jacksonville State Gamecocks</v>
      </c>
      <c r="O105" s="226" t="str">
        <f>IFERROR(__xludf.DUMMYFUNCTION("""COMPUTED_VALUE"""),"CUSA")</f>
        <v>CUSA</v>
      </c>
      <c r="P105" s="227">
        <f>IFERROR(__xludf.DUMMYFUNCTION("if(F105="""","""",indeX(split(F105,""-""),1)-J105/100)"),6.875)</f>
        <v>6.875</v>
      </c>
      <c r="Q105" s="227"/>
    </row>
    <row r="106">
      <c r="B106" s="229" t="str">
        <f>IFERROR(__xludf.DUMMYFUNCTION("""COMPUTED_VALUE"""),"0-0")</f>
        <v>0-0</v>
      </c>
      <c r="C106" s="225">
        <f>IFERROR(__xludf.DUMMYFUNCTION("""COMPUTED_VALUE"""),-8.6)</f>
        <v>-8.6</v>
      </c>
      <c r="D106" s="225">
        <f>IFERROR(__xludf.DUMMYFUNCTION("""COMPUTED_VALUE"""),102.0)</f>
        <v>102</v>
      </c>
      <c r="E106" s="225" t="str">
        <f>IFERROR(__xludf.DUMMYFUNCTION("""COMPUTED_VALUE"""),"--")</f>
        <v>--</v>
      </c>
      <c r="F106" s="224" t="str">
        <f>IFERROR(__xludf.DUMMYFUNCTION("""COMPUTED_VALUE"""),"5.5-6.5")</f>
        <v>5.5-6.5</v>
      </c>
      <c r="G106" s="225">
        <f>IFERROR(__xludf.DUMMYFUNCTION("""COMPUTED_VALUE"""),0.0)</f>
        <v>0</v>
      </c>
      <c r="H106" s="225">
        <f>IFERROR(__xludf.DUMMYFUNCTION("""COMPUTED_VALUE"""),49.2)</f>
        <v>49.2</v>
      </c>
      <c r="I106" s="225">
        <f>IFERROR(__xludf.DUMMYFUNCTION("""COMPUTED_VALUE"""),0.0)</f>
        <v>0</v>
      </c>
      <c r="J106" s="225">
        <f>IFERROR(__xludf.DUMMYFUNCTION("""COMPUTED_VALUE"""),2.1)</f>
        <v>2.1</v>
      </c>
      <c r="K106" s="225">
        <f>IFERROR(__xludf.DUMMYFUNCTION("""COMPUTED_VALUE"""),0.4)</f>
        <v>0.4</v>
      </c>
      <c r="L106" s="225">
        <f>IFERROR(__xludf.DUMMYFUNCTION("""COMPUTED_VALUE"""),0.0)</f>
        <v>0</v>
      </c>
      <c r="M106" s="225">
        <f>IFERROR(__xludf.DUMMYFUNCTION("""COMPUTED_VALUE"""),0.0)</f>
        <v>0</v>
      </c>
      <c r="N106" s="224" t="str">
        <f>IFERROR(__xludf.DUMMYFUNCTION("""COMPUTED_VALUE"""),"Temple Owls")</f>
        <v>Temple Owls</v>
      </c>
      <c r="O106" s="226" t="str">
        <f>IFERROR(__xludf.DUMMYFUNCTION("""COMPUTED_VALUE"""),"American")</f>
        <v>American</v>
      </c>
      <c r="P106" s="227">
        <f>IFERROR(__xludf.DUMMYFUNCTION("if(F106="""","""",indeX(split(F106,""-""),1)-J106/100)"),5.479)</f>
        <v>5.479</v>
      </c>
      <c r="Q106" s="227"/>
    </row>
    <row r="107">
      <c r="B107" s="229" t="str">
        <f>IFERROR(__xludf.DUMMYFUNCTION("""COMPUTED_VALUE"""),"0-0")</f>
        <v>0-0</v>
      </c>
      <c r="C107" s="225">
        <f>IFERROR(__xludf.DUMMYFUNCTION("""COMPUTED_VALUE"""),-8.7)</f>
        <v>-8.7</v>
      </c>
      <c r="D107" s="225">
        <f>IFERROR(__xludf.DUMMYFUNCTION("""COMPUTED_VALUE"""),103.0)</f>
        <v>103</v>
      </c>
      <c r="E107" s="225" t="str">
        <f>IFERROR(__xludf.DUMMYFUNCTION("""COMPUTED_VALUE"""),"--")</f>
        <v>--</v>
      </c>
      <c r="F107" s="224" t="str">
        <f>IFERROR(__xludf.DUMMYFUNCTION("""COMPUTED_VALUE"""),"5.7-6.4")</f>
        <v>5.7-6.4</v>
      </c>
      <c r="G107" s="225">
        <f>IFERROR(__xludf.DUMMYFUNCTION("""COMPUTED_VALUE"""),0.0)</f>
        <v>0</v>
      </c>
      <c r="H107" s="225">
        <f>IFERROR(__xludf.DUMMYFUNCTION("""COMPUTED_VALUE"""),52.8)</f>
        <v>52.8</v>
      </c>
      <c r="I107" s="225">
        <f>IFERROR(__xludf.DUMMYFUNCTION("""COMPUTED_VALUE"""),12.1)</f>
        <v>12.1</v>
      </c>
      <c r="J107" s="225">
        <f>IFERROR(__xludf.DUMMYFUNCTION("""COMPUTED_VALUE"""),6.0)</f>
        <v>6</v>
      </c>
      <c r="K107" s="225">
        <f>IFERROR(__xludf.DUMMYFUNCTION("""COMPUTED_VALUE"""),0.5)</f>
        <v>0.5</v>
      </c>
      <c r="L107" s="225">
        <f>IFERROR(__xludf.DUMMYFUNCTION("""COMPUTED_VALUE"""),0.0)</f>
        <v>0</v>
      </c>
      <c r="M107" s="225">
        <f>IFERROR(__xludf.DUMMYFUNCTION("""COMPUTED_VALUE"""),0.0)</f>
        <v>0</v>
      </c>
      <c r="N107" s="224" t="str">
        <f>IFERROR(__xludf.DUMMYFUNCTION("""COMPUTED_VALUE"""),"Georgia Southern Eagles")</f>
        <v>Georgia Southern Eagles</v>
      </c>
      <c r="O107" s="226" t="str">
        <f>IFERROR(__xludf.DUMMYFUNCTION("""COMPUTED_VALUE"""),"Sun Belt")</f>
        <v>Sun Belt</v>
      </c>
      <c r="P107" s="227">
        <f>IFERROR(__xludf.DUMMYFUNCTION("if(F107="""","""",indeX(split(F107,""-""),1)-J107/100)"),5.640000000000001)</f>
        <v>5.64</v>
      </c>
      <c r="Q107" s="227"/>
    </row>
    <row r="108">
      <c r="B108" s="229" t="str">
        <f>IFERROR(__xludf.DUMMYFUNCTION("""COMPUTED_VALUE"""),"0-0")</f>
        <v>0-0</v>
      </c>
      <c r="C108" s="225">
        <f>IFERROR(__xludf.DUMMYFUNCTION("""COMPUTED_VALUE"""),-8.8)</f>
        <v>-8.8</v>
      </c>
      <c r="D108" s="225">
        <f>IFERROR(__xludf.DUMMYFUNCTION("""COMPUTED_VALUE"""),104.0)</f>
        <v>104</v>
      </c>
      <c r="E108" s="225" t="str">
        <f>IFERROR(__xludf.DUMMYFUNCTION("""COMPUTED_VALUE"""),"--")</f>
        <v>--</v>
      </c>
      <c r="F108" s="224" t="str">
        <f>IFERROR(__xludf.DUMMYFUNCTION("""COMPUTED_VALUE"""),"6.5-5.6")</f>
        <v>6.5-5.6</v>
      </c>
      <c r="G108" s="225">
        <f>IFERROR(__xludf.DUMMYFUNCTION("""COMPUTED_VALUE"""),0.0)</f>
        <v>0</v>
      </c>
      <c r="H108" s="225">
        <f>IFERROR(__xludf.DUMMYFUNCTION("""COMPUTED_VALUE"""),67.4)</f>
        <v>67.4</v>
      </c>
      <c r="I108" s="225">
        <f>IFERROR(__xludf.DUMMYFUNCTION("""COMPUTED_VALUE"""),12.4)</f>
        <v>12.4</v>
      </c>
      <c r="J108" s="225">
        <f>IFERROR(__xludf.DUMMYFUNCTION("""COMPUTED_VALUE"""),6.1)</f>
        <v>6.1</v>
      </c>
      <c r="K108" s="225">
        <f>IFERROR(__xludf.DUMMYFUNCTION("""COMPUTED_VALUE"""),0.7)</f>
        <v>0.7</v>
      </c>
      <c r="L108" s="225">
        <f>IFERROR(__xludf.DUMMYFUNCTION("""COMPUTED_VALUE"""),0.0)</f>
        <v>0</v>
      </c>
      <c r="M108" s="225">
        <f>IFERROR(__xludf.DUMMYFUNCTION("""COMPUTED_VALUE"""),0.0)</f>
        <v>0</v>
      </c>
      <c r="N108" s="224" t="str">
        <f>IFERROR(__xludf.DUMMYFUNCTION("""COMPUTED_VALUE"""),"Marshall Thundering Herd")</f>
        <v>Marshall Thundering Herd</v>
      </c>
      <c r="O108" s="226" t="str">
        <f>IFERROR(__xludf.DUMMYFUNCTION("""COMPUTED_VALUE"""),"Sun Belt")</f>
        <v>Sun Belt</v>
      </c>
      <c r="P108" s="227">
        <f>IFERROR(__xludf.DUMMYFUNCTION("if(F108="""","""",indeX(split(F108,""-""),1)-J108/100)"),6.439)</f>
        <v>6.439</v>
      </c>
      <c r="Q108" s="227"/>
    </row>
    <row r="109">
      <c r="B109" s="229" t="str">
        <f>IFERROR(__xludf.DUMMYFUNCTION("""COMPUTED_VALUE"""),"0-0")</f>
        <v>0-0</v>
      </c>
      <c r="C109" s="225">
        <f>IFERROR(__xludf.DUMMYFUNCTION("""COMPUTED_VALUE"""),-9.0)</f>
        <v>-9</v>
      </c>
      <c r="D109" s="225">
        <f>IFERROR(__xludf.DUMMYFUNCTION("""COMPUTED_VALUE"""),105.0)</f>
        <v>105</v>
      </c>
      <c r="E109" s="225" t="str">
        <f>IFERROR(__xludf.DUMMYFUNCTION("""COMPUTED_VALUE"""),"--")</f>
        <v>--</v>
      </c>
      <c r="F109" s="224" t="str">
        <f>IFERROR(__xludf.DUMMYFUNCTION("""COMPUTED_VALUE"""),"5.7-6.3")</f>
        <v>5.7-6.3</v>
      </c>
      <c r="G109" s="225">
        <f>IFERROR(__xludf.DUMMYFUNCTION("""COMPUTED_VALUE"""),0.0)</f>
        <v>0</v>
      </c>
      <c r="H109" s="225">
        <f>IFERROR(__xludf.DUMMYFUNCTION("""COMPUTED_VALUE"""),53.0)</f>
        <v>53</v>
      </c>
      <c r="I109" s="225">
        <f>IFERROR(__xludf.DUMMYFUNCTION("""COMPUTED_VALUE"""),0.0)</f>
        <v>0</v>
      </c>
      <c r="J109" s="225">
        <f>IFERROR(__xludf.DUMMYFUNCTION("""COMPUTED_VALUE"""),2.2)</f>
        <v>2.2</v>
      </c>
      <c r="K109" s="225">
        <f>IFERROR(__xludf.DUMMYFUNCTION("""COMPUTED_VALUE"""),0.4)</f>
        <v>0.4</v>
      </c>
      <c r="L109" s="225">
        <f>IFERROR(__xludf.DUMMYFUNCTION("""COMPUTED_VALUE"""),0.0)</f>
        <v>0</v>
      </c>
      <c r="M109" s="225">
        <f>IFERROR(__xludf.DUMMYFUNCTION("""COMPUTED_VALUE"""),0.0)</f>
        <v>0</v>
      </c>
      <c r="N109" s="224" t="str">
        <f>IFERROR(__xludf.DUMMYFUNCTION("""COMPUTED_VALUE"""),"Tulsa Golden Hurricane")</f>
        <v>Tulsa Golden Hurricane</v>
      </c>
      <c r="O109" s="226" t="str">
        <f>IFERROR(__xludf.DUMMYFUNCTION("""COMPUTED_VALUE"""),"American")</f>
        <v>American</v>
      </c>
      <c r="P109" s="227">
        <f>IFERROR(__xludf.DUMMYFUNCTION("if(F109="""","""",indeX(split(F109,""-""),1)-J109/100)"),5.678)</f>
        <v>5.678</v>
      </c>
      <c r="Q109" s="227"/>
    </row>
    <row r="110">
      <c r="B110" s="229" t="str">
        <f>IFERROR(__xludf.DUMMYFUNCTION("""COMPUTED_VALUE"""),"0-0")</f>
        <v>0-0</v>
      </c>
      <c r="C110" s="225">
        <f>IFERROR(__xludf.DUMMYFUNCTION("""COMPUTED_VALUE"""),-9.0)</f>
        <v>-9</v>
      </c>
      <c r="D110" s="225">
        <f>IFERROR(__xludf.DUMMYFUNCTION("""COMPUTED_VALUE"""),106.0)</f>
        <v>106</v>
      </c>
      <c r="E110" s="225" t="str">
        <f>IFERROR(__xludf.DUMMYFUNCTION("""COMPUTED_VALUE"""),"--")</f>
        <v>--</v>
      </c>
      <c r="F110" s="224" t="str">
        <f>IFERROR(__xludf.DUMMYFUNCTION("""COMPUTED_VALUE"""),"6.5-5.8")</f>
        <v>6.5-5.8</v>
      </c>
      <c r="G110" s="225">
        <f>IFERROR(__xludf.DUMMYFUNCTION("""COMPUTED_VALUE"""),0.0)</f>
        <v>0</v>
      </c>
      <c r="H110" s="225">
        <f>IFERROR(__xludf.DUMMYFUNCTION("""COMPUTED_VALUE"""),65.4)</f>
        <v>65.4</v>
      </c>
      <c r="I110" s="225">
        <f>IFERROR(__xludf.DUMMYFUNCTION("""COMPUTED_VALUE"""),0.0)</f>
        <v>0</v>
      </c>
      <c r="J110" s="225">
        <f>IFERROR(__xludf.DUMMYFUNCTION("""COMPUTED_VALUE"""),11.3)</f>
        <v>11.3</v>
      </c>
      <c r="K110" s="225">
        <f>IFERROR(__xludf.DUMMYFUNCTION("""COMPUTED_VALUE"""),0.7)</f>
        <v>0.7</v>
      </c>
      <c r="L110" s="225">
        <f>IFERROR(__xludf.DUMMYFUNCTION("""COMPUTED_VALUE"""),0.0)</f>
        <v>0</v>
      </c>
      <c r="M110" s="225">
        <f>IFERROR(__xludf.DUMMYFUNCTION("""COMPUTED_VALUE"""),0.0)</f>
        <v>0</v>
      </c>
      <c r="N110" s="224" t="str">
        <f>IFERROR(__xludf.DUMMYFUNCTION("""COMPUTED_VALUE"""),"Kennesaw State Owls")</f>
        <v>Kennesaw State Owls</v>
      </c>
      <c r="O110" s="226" t="str">
        <f>IFERROR(__xludf.DUMMYFUNCTION("""COMPUTED_VALUE"""),"CUSA")</f>
        <v>CUSA</v>
      </c>
      <c r="P110" s="227">
        <f>IFERROR(__xludf.DUMMYFUNCTION("if(F110="""","""",indeX(split(F110,""-""),1)-J110/100)"),6.387)</f>
        <v>6.387</v>
      </c>
      <c r="Q110" s="227"/>
    </row>
    <row r="111">
      <c r="B111" s="229" t="str">
        <f>IFERROR(__xludf.DUMMYFUNCTION("""COMPUTED_VALUE"""),"0-0")</f>
        <v>0-0</v>
      </c>
      <c r="C111" s="225">
        <f>IFERROR(__xludf.DUMMYFUNCTION("""COMPUTED_VALUE"""),-9.2)</f>
        <v>-9.2</v>
      </c>
      <c r="D111" s="225">
        <f>IFERROR(__xludf.DUMMYFUNCTION("""COMPUTED_VALUE"""),107.0)</f>
        <v>107</v>
      </c>
      <c r="E111" s="224" t="str">
        <f>IFERROR(__xludf.DUMMYFUNCTION("""COMPUTED_VALUE"""),"--")</f>
        <v>--</v>
      </c>
      <c r="F111" s="224" t="str">
        <f>IFERROR(__xludf.DUMMYFUNCTION("""COMPUTED_VALUE"""),"6.2-5.9")</f>
        <v>6.2-5.9</v>
      </c>
      <c r="G111" s="225">
        <f>IFERROR(__xludf.DUMMYFUNCTION("""COMPUTED_VALUE"""),0.0)</f>
        <v>0</v>
      </c>
      <c r="H111" s="225">
        <f>IFERROR(__xludf.DUMMYFUNCTION("""COMPUTED_VALUE"""),61.8)</f>
        <v>61.8</v>
      </c>
      <c r="I111" s="225">
        <f>IFERROR(__xludf.DUMMYFUNCTION("""COMPUTED_VALUE"""),15.3)</f>
        <v>15.3</v>
      </c>
      <c r="J111" s="225">
        <f>IFERROR(__xludf.DUMMYFUNCTION("""COMPUTED_VALUE"""),6.1)</f>
        <v>6.1</v>
      </c>
      <c r="K111" s="225">
        <f>IFERROR(__xludf.DUMMYFUNCTION("""COMPUTED_VALUE"""),0.6)</f>
        <v>0.6</v>
      </c>
      <c r="L111" s="225">
        <f>IFERROR(__xludf.DUMMYFUNCTION("""COMPUTED_VALUE"""),0.0)</f>
        <v>0</v>
      </c>
      <c r="M111" s="225">
        <f>IFERROR(__xludf.DUMMYFUNCTION("""COMPUTED_VALUE"""),0.0)</f>
        <v>0</v>
      </c>
      <c r="N111" s="224" t="str">
        <f>IFERROR(__xludf.DUMMYFUNCTION("""COMPUTED_VALUE"""),"Arkansas State Red Wolves")</f>
        <v>Arkansas State Red Wolves</v>
      </c>
      <c r="O111" s="226" t="str">
        <f>IFERROR(__xludf.DUMMYFUNCTION("""COMPUTED_VALUE"""),"Sun Belt")</f>
        <v>Sun Belt</v>
      </c>
      <c r="P111" s="227">
        <f>IFERROR(__xludf.DUMMYFUNCTION("if(F111="""","""",indeX(split(F111,""-""),1)-J111/100)"),6.139)</f>
        <v>6.139</v>
      </c>
      <c r="Q111" s="227"/>
    </row>
    <row r="112">
      <c r="B112" s="229" t="str">
        <f>IFERROR(__xludf.DUMMYFUNCTION("""COMPUTED_VALUE"""),"0-0")</f>
        <v>0-0</v>
      </c>
      <c r="C112" s="225">
        <f>IFERROR(__xludf.DUMMYFUNCTION("""COMPUTED_VALUE"""),-9.6)</f>
        <v>-9.6</v>
      </c>
      <c r="D112" s="225">
        <f>IFERROR(__xludf.DUMMYFUNCTION("""COMPUTED_VALUE"""),108.0)</f>
        <v>108</v>
      </c>
      <c r="E112" s="225" t="str">
        <f>IFERROR(__xludf.DUMMYFUNCTION("""COMPUTED_VALUE"""),"--")</f>
        <v>--</v>
      </c>
      <c r="F112" s="224" t="str">
        <f>IFERROR(__xludf.DUMMYFUNCTION("""COMPUTED_VALUE"""),"5.6-6.6")</f>
        <v>5.6-6.6</v>
      </c>
      <c r="G112" s="225">
        <f>IFERROR(__xludf.DUMMYFUNCTION("""COMPUTED_VALUE"""),0.0)</f>
        <v>0</v>
      </c>
      <c r="H112" s="225">
        <f>IFERROR(__xludf.DUMMYFUNCTION("""COMPUTED_VALUE"""),49.5)</f>
        <v>49.5</v>
      </c>
      <c r="I112" s="225">
        <f>IFERROR(__xludf.DUMMYFUNCTION("""COMPUTED_VALUE"""),12.1)</f>
        <v>12.1</v>
      </c>
      <c r="J112" s="225">
        <f>IFERROR(__xludf.DUMMYFUNCTION("""COMPUTED_VALUE"""),5.3)</f>
        <v>5.3</v>
      </c>
      <c r="K112" s="225">
        <f>IFERROR(__xludf.DUMMYFUNCTION("""COMPUTED_VALUE"""),0.4)</f>
        <v>0.4</v>
      </c>
      <c r="L112" s="225">
        <f>IFERROR(__xludf.DUMMYFUNCTION("""COMPUTED_VALUE"""),0.0)</f>
        <v>0</v>
      </c>
      <c r="M112" s="225">
        <f>IFERROR(__xludf.DUMMYFUNCTION("""COMPUTED_VALUE"""),0.0)</f>
        <v>0</v>
      </c>
      <c r="N112" s="224" t="str">
        <f>IFERROR(__xludf.DUMMYFUNCTION("""COMPUTED_VALUE"""),"Louisiana Tech Bulldogs")</f>
        <v>Louisiana Tech Bulldogs</v>
      </c>
      <c r="O112" s="226" t="str">
        <f>IFERROR(__xludf.DUMMYFUNCTION("""COMPUTED_VALUE"""),"Sun Belt")</f>
        <v>Sun Belt</v>
      </c>
      <c r="P112" s="227">
        <f>IFERROR(__xludf.DUMMYFUNCTION("if(F112="""","""",indeX(split(F112,""-""),1)-J112/100)"),5.547)</f>
        <v>5.547</v>
      </c>
      <c r="Q112" s="227"/>
    </row>
    <row r="113">
      <c r="B113" s="229" t="str">
        <f>IFERROR(__xludf.DUMMYFUNCTION("""COMPUTED_VALUE"""),"0-0")</f>
        <v>0-0</v>
      </c>
      <c r="C113" s="225">
        <f>IFERROR(__xludf.DUMMYFUNCTION("""COMPUTED_VALUE"""),-9.8)</f>
        <v>-9.8</v>
      </c>
      <c r="D113" s="225">
        <f>IFERROR(__xludf.DUMMYFUNCTION("""COMPUTED_VALUE"""),109.0)</f>
        <v>109</v>
      </c>
      <c r="E113" s="225" t="str">
        <f>IFERROR(__xludf.DUMMYFUNCTION("""COMPUTED_VALUE"""),"--")</f>
        <v>--</v>
      </c>
      <c r="F113" s="224" t="str">
        <f>IFERROR(__xludf.DUMMYFUNCTION("""COMPUTED_VALUE"""),"6.1-6.0")</f>
        <v>6.1-6.0</v>
      </c>
      <c r="G113" s="225">
        <f>IFERROR(__xludf.DUMMYFUNCTION("""COMPUTED_VALUE"""),0.0)</f>
        <v>0</v>
      </c>
      <c r="H113" s="225">
        <f>IFERROR(__xludf.DUMMYFUNCTION("""COMPUTED_VALUE"""),59.0)</f>
        <v>59</v>
      </c>
      <c r="I113" s="225">
        <f>IFERROR(__xludf.DUMMYFUNCTION("""COMPUTED_VALUE"""),11.1)</f>
        <v>11.1</v>
      </c>
      <c r="J113" s="225">
        <f>IFERROR(__xludf.DUMMYFUNCTION("""COMPUTED_VALUE"""),5.1)</f>
        <v>5.1</v>
      </c>
      <c r="K113" s="225">
        <f>IFERROR(__xludf.DUMMYFUNCTION("""COMPUTED_VALUE"""),0.4)</f>
        <v>0.4</v>
      </c>
      <c r="L113" s="225">
        <f>IFERROR(__xludf.DUMMYFUNCTION("""COMPUTED_VALUE"""),0.0)</f>
        <v>0</v>
      </c>
      <c r="M113" s="225">
        <f>IFERROR(__xludf.DUMMYFUNCTION("""COMPUTED_VALUE"""),0.0)</f>
        <v>0</v>
      </c>
      <c r="N113" s="224" t="str">
        <f>IFERROR(__xludf.DUMMYFUNCTION("""COMPUTED_VALUE"""),"App State Mountaineers")</f>
        <v>App State Mountaineers</v>
      </c>
      <c r="O113" s="226" t="str">
        <f>IFERROR(__xludf.DUMMYFUNCTION("""COMPUTED_VALUE"""),"Sun Belt")</f>
        <v>Sun Belt</v>
      </c>
      <c r="P113" s="227">
        <f>IFERROR(__xludf.DUMMYFUNCTION("if(F113="""","""",indeX(split(F113,""-""),1)-J113/100)"),6.0489999999999995)</f>
        <v>6.049</v>
      </c>
      <c r="Q113" s="227"/>
    </row>
    <row r="114">
      <c r="B114" s="229" t="str">
        <f>IFERROR(__xludf.DUMMYFUNCTION("""COMPUTED_VALUE"""),"0-0")</f>
        <v>0-0</v>
      </c>
      <c r="C114" s="225">
        <f>IFERROR(__xludf.DUMMYFUNCTION("""COMPUTED_VALUE"""),-10.3)</f>
        <v>-10.3</v>
      </c>
      <c r="D114" s="225">
        <f>IFERROR(__xludf.DUMMYFUNCTION("""COMPUTED_VALUE"""),110.0)</f>
        <v>110</v>
      </c>
      <c r="E114" s="225" t="str">
        <f>IFERROR(__xludf.DUMMYFUNCTION("""COMPUTED_VALUE"""),"--")</f>
        <v>--</v>
      </c>
      <c r="F114" s="224" t="str">
        <f>IFERROR(__xludf.DUMMYFUNCTION("""COMPUTED_VALUE"""),"5.7-6.5")</f>
        <v>5.7-6.5</v>
      </c>
      <c r="G114" s="225">
        <f>IFERROR(__xludf.DUMMYFUNCTION("""COMPUTED_VALUE"""),0.0)</f>
        <v>0</v>
      </c>
      <c r="H114" s="225">
        <f>IFERROR(__xludf.DUMMYFUNCTION("""COMPUTED_VALUE"""),51.0)</f>
        <v>51</v>
      </c>
      <c r="I114" s="225">
        <f>IFERROR(__xludf.DUMMYFUNCTION("""COMPUTED_VALUE"""),0.0)</f>
        <v>0</v>
      </c>
      <c r="J114" s="225">
        <f>IFERROR(__xludf.DUMMYFUNCTION("""COMPUTED_VALUE"""),8.3)</f>
        <v>8.3</v>
      </c>
      <c r="K114" s="225">
        <f>IFERROR(__xludf.DUMMYFUNCTION("""COMPUTED_VALUE"""),0.4)</f>
        <v>0.4</v>
      </c>
      <c r="L114" s="225">
        <f>IFERROR(__xludf.DUMMYFUNCTION("""COMPUTED_VALUE"""),0.0)</f>
        <v>0</v>
      </c>
      <c r="M114" s="225">
        <f>IFERROR(__xludf.DUMMYFUNCTION("""COMPUTED_VALUE"""),0.0)</f>
        <v>0</v>
      </c>
      <c r="N114" s="224" t="str">
        <f>IFERROR(__xludf.DUMMYFUNCTION("""COMPUTED_VALUE"""),"Missouri State Bears")</f>
        <v>Missouri State Bears</v>
      </c>
      <c r="O114" s="226" t="str">
        <f>IFERROR(__xludf.DUMMYFUNCTION("""COMPUTED_VALUE"""),"CUSA")</f>
        <v>CUSA</v>
      </c>
      <c r="P114" s="227">
        <f>IFERROR(__xludf.DUMMYFUNCTION("if(F114="""","""",indeX(split(F114,""-""),1)-J114/100)"),5.617)</f>
        <v>5.617</v>
      </c>
      <c r="Q114" s="227"/>
    </row>
    <row r="115">
      <c r="B115" s="229" t="str">
        <f>IFERROR(__xludf.DUMMYFUNCTION("""COMPUTED_VALUE"""),"0-0")</f>
        <v>0-0</v>
      </c>
      <c r="C115" s="225">
        <f>IFERROR(__xludf.DUMMYFUNCTION("""COMPUTED_VALUE"""),-10.4)</f>
        <v>-10.4</v>
      </c>
      <c r="D115" s="225">
        <f>IFERROR(__xludf.DUMMYFUNCTION("""COMPUTED_VALUE"""),111.0)</f>
        <v>111</v>
      </c>
      <c r="E115" s="225" t="str">
        <f>IFERROR(__xludf.DUMMYFUNCTION("""COMPUTED_VALUE"""),"--")</f>
        <v>--</v>
      </c>
      <c r="F115" s="224" t="str">
        <f>IFERROR(__xludf.DUMMYFUNCTION("""COMPUTED_VALUE"""),"6.7-5.5")</f>
        <v>6.7-5.5</v>
      </c>
      <c r="G115" s="225">
        <f>IFERROR(__xludf.DUMMYFUNCTION("""COMPUTED_VALUE"""),0.0)</f>
        <v>0</v>
      </c>
      <c r="H115" s="225">
        <f>IFERROR(__xludf.DUMMYFUNCTION("""COMPUTED_VALUE"""),69.2)</f>
        <v>69.2</v>
      </c>
      <c r="I115" s="225">
        <f>IFERROR(__xludf.DUMMYFUNCTION("""COMPUTED_VALUE"""),0.0)</f>
        <v>0</v>
      </c>
      <c r="J115" s="225">
        <f>IFERROR(__xludf.DUMMYFUNCTION("""COMPUTED_VALUE"""),7.5)</f>
        <v>7.5</v>
      </c>
      <c r="K115" s="225">
        <f>IFERROR(__xludf.DUMMYFUNCTION("""COMPUTED_VALUE"""),0.6)</f>
        <v>0.6</v>
      </c>
      <c r="L115" s="225">
        <f>IFERROR(__xludf.DUMMYFUNCTION("""COMPUTED_VALUE"""),0.0)</f>
        <v>0</v>
      </c>
      <c r="M115" s="225">
        <f>IFERROR(__xludf.DUMMYFUNCTION("""COMPUTED_VALUE"""),0.0)</f>
        <v>0</v>
      </c>
      <c r="N115" s="224" t="str">
        <f>IFERROR(__xludf.DUMMYFUNCTION("""COMPUTED_VALUE"""),"Sacramento State Hornets")</f>
        <v>Sacramento State Hornets</v>
      </c>
      <c r="O115" s="226" t="str">
        <f>IFERROR(__xludf.DUMMYFUNCTION("""COMPUTED_VALUE"""),"MAC")</f>
        <v>MAC</v>
      </c>
      <c r="P115" s="227">
        <f>IFERROR(__xludf.DUMMYFUNCTION("if(F115="""","""",indeX(split(F115,""-""),1)-J115/100)"),6.625)</f>
        <v>6.625</v>
      </c>
      <c r="Q115" s="227"/>
    </row>
    <row r="116">
      <c r="B116" s="232" t="str">
        <f>IFERROR(__xludf.DUMMYFUNCTION("""COMPUTED_VALUE"""),"0-0")</f>
        <v>0-0</v>
      </c>
      <c r="C116" s="225">
        <f>IFERROR(__xludf.DUMMYFUNCTION("""COMPUTED_VALUE"""),-10.5)</f>
        <v>-10.5</v>
      </c>
      <c r="D116" s="225">
        <f>IFERROR(__xludf.DUMMYFUNCTION("""COMPUTED_VALUE"""),112.0)</f>
        <v>112</v>
      </c>
      <c r="E116" s="225" t="str">
        <f>IFERROR(__xludf.DUMMYFUNCTION("""COMPUTED_VALUE"""),"--")</f>
        <v>--</v>
      </c>
      <c r="F116" s="224" t="str">
        <f>IFERROR(__xludf.DUMMYFUNCTION("""COMPUTED_VALUE"""),"5.4-6.7")</f>
        <v>5.4-6.7</v>
      </c>
      <c r="G116" s="225">
        <f>IFERROR(__xludf.DUMMYFUNCTION("""COMPUTED_VALUE"""),0.0)</f>
        <v>0</v>
      </c>
      <c r="H116" s="225">
        <f>IFERROR(__xludf.DUMMYFUNCTION("""COMPUTED_VALUE"""),47.3)</f>
        <v>47.3</v>
      </c>
      <c r="I116" s="225">
        <f>IFERROR(__xludf.DUMMYFUNCTION("""COMPUTED_VALUE"""),10.3)</f>
        <v>10.3</v>
      </c>
      <c r="J116" s="225">
        <f>IFERROR(__xludf.DUMMYFUNCTION("""COMPUTED_VALUE"""),4.5)</f>
        <v>4.5</v>
      </c>
      <c r="K116" s="225">
        <f>IFERROR(__xludf.DUMMYFUNCTION("""COMPUTED_VALUE"""),0.3)</f>
        <v>0.3</v>
      </c>
      <c r="L116" s="225">
        <f>IFERROR(__xludf.DUMMYFUNCTION("""COMPUTED_VALUE"""),0.0)</f>
        <v>0</v>
      </c>
      <c r="M116" s="225">
        <f>IFERROR(__xludf.DUMMYFUNCTION("""COMPUTED_VALUE"""),0.0)</f>
        <v>0</v>
      </c>
      <c r="N116" s="224" t="str">
        <f>IFERROR(__xludf.DUMMYFUNCTION("""COMPUTED_VALUE"""),"South Alabama Jaguars")</f>
        <v>South Alabama Jaguars</v>
      </c>
      <c r="O116" s="226" t="str">
        <f>IFERROR(__xludf.DUMMYFUNCTION("""COMPUTED_VALUE"""),"Sun Belt")</f>
        <v>Sun Belt</v>
      </c>
      <c r="P116" s="227">
        <f>IFERROR(__xludf.DUMMYFUNCTION("if(F116="""","""",indeX(split(F116,""-""),1)-J116/100)"),5.355)</f>
        <v>5.355</v>
      </c>
      <c r="Q116" s="227"/>
    </row>
    <row r="117">
      <c r="B117" s="229" t="str">
        <f>IFERROR(__xludf.DUMMYFUNCTION("""COMPUTED_VALUE"""),"0-0")</f>
        <v>0-0</v>
      </c>
      <c r="C117" s="225">
        <f>IFERROR(__xludf.DUMMYFUNCTION("""COMPUTED_VALUE"""),-10.8)</f>
        <v>-10.8</v>
      </c>
      <c r="D117" s="225">
        <f>IFERROR(__xludf.DUMMYFUNCTION("""COMPUTED_VALUE"""),113.0)</f>
        <v>113</v>
      </c>
      <c r="E117" s="225" t="str">
        <f>IFERROR(__xludf.DUMMYFUNCTION("""COMPUTED_VALUE"""),"--")</f>
        <v>--</v>
      </c>
      <c r="F117" s="224" t="str">
        <f>IFERROR(__xludf.DUMMYFUNCTION("""COMPUTED_VALUE"""),"6.6-5.5")</f>
        <v>6.6-5.5</v>
      </c>
      <c r="G117" s="225">
        <f>IFERROR(__xludf.DUMMYFUNCTION("""COMPUTED_VALUE"""),0.0)</f>
        <v>0</v>
      </c>
      <c r="H117" s="225">
        <f>IFERROR(__xludf.DUMMYFUNCTION("""COMPUTED_VALUE"""),70.4)</f>
        <v>70.4</v>
      </c>
      <c r="I117" s="225">
        <f>IFERROR(__xludf.DUMMYFUNCTION("""COMPUTED_VALUE"""),0.0)</f>
        <v>0</v>
      </c>
      <c r="J117" s="225">
        <f>IFERROR(__xludf.DUMMYFUNCTION("""COMPUTED_VALUE"""),5.9)</f>
        <v>5.9</v>
      </c>
      <c r="K117" s="225">
        <f>IFERROR(__xludf.DUMMYFUNCTION("""COMPUTED_VALUE"""),0.6)</f>
        <v>0.6</v>
      </c>
      <c r="L117" s="225">
        <f>IFERROR(__xludf.DUMMYFUNCTION("""COMPUTED_VALUE"""),0.0)</f>
        <v>0</v>
      </c>
      <c r="M117" s="225">
        <f>IFERROR(__xludf.DUMMYFUNCTION("""COMPUTED_VALUE"""),0.0)</f>
        <v>0</v>
      </c>
      <c r="N117" s="224" t="str">
        <f>IFERROR(__xludf.DUMMYFUNCTION("""COMPUTED_VALUE"""),"Buffalo Bulls")</f>
        <v>Buffalo Bulls</v>
      </c>
      <c r="O117" s="226" t="str">
        <f>IFERROR(__xludf.DUMMYFUNCTION("""COMPUTED_VALUE"""),"MAC")</f>
        <v>MAC</v>
      </c>
      <c r="P117" s="227">
        <f>IFERROR(__xludf.DUMMYFUNCTION("if(F117="""","""",indeX(split(F117,""-""),1)-J117/100)"),6.5409999999999995)</f>
        <v>6.541</v>
      </c>
      <c r="Q117" s="227"/>
    </row>
    <row r="118">
      <c r="B118" s="229" t="str">
        <f>IFERROR(__xludf.DUMMYFUNCTION("""COMPUTED_VALUE"""),"0-0")</f>
        <v>0-0</v>
      </c>
      <c r="C118" s="225">
        <f>IFERROR(__xludf.DUMMYFUNCTION("""COMPUTED_VALUE"""),-11.2)</f>
        <v>-11.2</v>
      </c>
      <c r="D118" s="225">
        <f>IFERROR(__xludf.DUMMYFUNCTION("""COMPUTED_VALUE"""),114.0)</f>
        <v>114</v>
      </c>
      <c r="E118" s="225" t="str">
        <f>IFERROR(__xludf.DUMMYFUNCTION("""COMPUTED_VALUE"""),"--")</f>
        <v>--</v>
      </c>
      <c r="F118" s="224" t="str">
        <f>IFERROR(__xludf.DUMMYFUNCTION("""COMPUTED_VALUE"""),"4.8-7.2")</f>
        <v>4.8-7.2</v>
      </c>
      <c r="G118" s="225">
        <f>IFERROR(__xludf.DUMMYFUNCTION("""COMPUTED_VALUE"""),0.0)</f>
        <v>0</v>
      </c>
      <c r="H118" s="225">
        <f>IFERROR(__xludf.DUMMYFUNCTION("""COMPUTED_VALUE"""),35.1)</f>
        <v>35.1</v>
      </c>
      <c r="I118" s="225">
        <f>IFERROR(__xludf.DUMMYFUNCTION("""COMPUTED_VALUE"""),0.0)</f>
        <v>0</v>
      </c>
      <c r="J118" s="225">
        <f>IFERROR(__xludf.DUMMYFUNCTION("""COMPUTED_VALUE"""),0.0)</f>
        <v>0</v>
      </c>
      <c r="K118" s="225">
        <f>IFERROR(__xludf.DUMMYFUNCTION("""COMPUTED_VALUE"""),0.1)</f>
        <v>0.1</v>
      </c>
      <c r="L118" s="225">
        <f>IFERROR(__xludf.DUMMYFUNCTION("""COMPUTED_VALUE"""),0.0)</f>
        <v>0</v>
      </c>
      <c r="M118" s="225">
        <f>IFERROR(__xludf.DUMMYFUNCTION("""COMPUTED_VALUE"""),0.0)</f>
        <v>0</v>
      </c>
      <c r="N118" s="224" t="str">
        <f>IFERROR(__xludf.DUMMYFUNCTION("""COMPUTED_VALUE"""),"UConn Huskies")</f>
        <v>UConn Huskies</v>
      </c>
      <c r="O118" s="226" t="str">
        <f>IFERROR(__xludf.DUMMYFUNCTION("""COMPUTED_VALUE"""),"FBS Indep.")</f>
        <v>FBS Indep.</v>
      </c>
      <c r="P118" s="227">
        <f>IFERROR(__xludf.DUMMYFUNCTION("if(F118="""","""",indeX(split(F118,""-""),1)-J118/100)"),4.8)</f>
        <v>4.8</v>
      </c>
      <c r="Q118" s="227"/>
    </row>
    <row r="119">
      <c r="B119" s="229" t="str">
        <f>IFERROR(__xludf.DUMMYFUNCTION("""COMPUTED_VALUE"""),"0-0")</f>
        <v>0-0</v>
      </c>
      <c r="C119" s="225">
        <f>IFERROR(__xludf.DUMMYFUNCTION("""COMPUTED_VALUE"""),-11.3)</f>
        <v>-11.3</v>
      </c>
      <c r="D119" s="225">
        <f>IFERROR(__xludf.DUMMYFUNCTION("""COMPUTED_VALUE"""),115.0)</f>
        <v>115</v>
      </c>
      <c r="E119" s="225" t="str">
        <f>IFERROR(__xludf.DUMMYFUNCTION("""COMPUTED_VALUE"""),"--")</f>
        <v>--</v>
      </c>
      <c r="F119" s="224" t="str">
        <f>IFERROR(__xludf.DUMMYFUNCTION("""COMPUTED_VALUE"""),"5.1-6.9")</f>
        <v>5.1-6.9</v>
      </c>
      <c r="G119" s="225">
        <f>IFERROR(__xludf.DUMMYFUNCTION("""COMPUTED_VALUE"""),0.0)</f>
        <v>0</v>
      </c>
      <c r="H119" s="225">
        <f>IFERROR(__xludf.DUMMYFUNCTION("""COMPUTED_VALUE"""),41.2)</f>
        <v>41.2</v>
      </c>
      <c r="I119" s="225">
        <f>IFERROR(__xludf.DUMMYFUNCTION("""COMPUTED_VALUE"""),0.0)</f>
        <v>0</v>
      </c>
      <c r="J119" s="225">
        <f>IFERROR(__xludf.DUMMYFUNCTION("""COMPUTED_VALUE"""),1.1)</f>
        <v>1.1</v>
      </c>
      <c r="K119" s="225">
        <f>IFERROR(__xludf.DUMMYFUNCTION("""COMPUTED_VALUE"""),0.2)</f>
        <v>0.2</v>
      </c>
      <c r="L119" s="225">
        <f>IFERROR(__xludf.DUMMYFUNCTION("""COMPUTED_VALUE"""),0.0)</f>
        <v>0</v>
      </c>
      <c r="M119" s="225">
        <f>IFERROR(__xludf.DUMMYFUNCTION("""COMPUTED_VALUE"""),0.0)</f>
        <v>0</v>
      </c>
      <c r="N119" s="224" t="str">
        <f>IFERROR(__xludf.DUMMYFUNCTION("""COMPUTED_VALUE"""),"Florida Atlantic Owls")</f>
        <v>Florida Atlantic Owls</v>
      </c>
      <c r="O119" s="226" t="str">
        <f>IFERROR(__xludf.DUMMYFUNCTION("""COMPUTED_VALUE"""),"American")</f>
        <v>American</v>
      </c>
      <c r="P119" s="227">
        <f>IFERROR(__xludf.DUMMYFUNCTION("if(F119="""","""",indeX(split(F119,""-""),1)-J119/100)"),5.0889999999999995)</f>
        <v>5.089</v>
      </c>
      <c r="Q119" s="227"/>
    </row>
    <row r="120">
      <c r="B120" s="229" t="str">
        <f>IFERROR(__xludf.DUMMYFUNCTION("""COMPUTED_VALUE"""),"0-0")</f>
        <v>0-0</v>
      </c>
      <c r="C120" s="225">
        <f>IFERROR(__xludf.DUMMYFUNCTION("""COMPUTED_VALUE"""),-11.9)</f>
        <v>-11.9</v>
      </c>
      <c r="D120" s="225">
        <f>IFERROR(__xludf.DUMMYFUNCTION("""COMPUTED_VALUE"""),116.0)</f>
        <v>116</v>
      </c>
      <c r="E120" s="225" t="str">
        <f>IFERROR(__xludf.DUMMYFUNCTION("""COMPUTED_VALUE"""),"--")</f>
        <v>--</v>
      </c>
      <c r="F120" s="224" t="str">
        <f>IFERROR(__xludf.DUMMYFUNCTION("""COMPUTED_VALUE"""),"4.8-7.2")</f>
        <v>4.8-7.2</v>
      </c>
      <c r="G120" s="225">
        <f>IFERROR(__xludf.DUMMYFUNCTION("""COMPUTED_VALUE"""),0.0)</f>
        <v>0</v>
      </c>
      <c r="H120" s="225">
        <f>IFERROR(__xludf.DUMMYFUNCTION("""COMPUTED_VALUE"""),37.0)</f>
        <v>37</v>
      </c>
      <c r="I120" s="225">
        <f>IFERROR(__xludf.DUMMYFUNCTION("""COMPUTED_VALUE"""),0.0)</f>
        <v>0</v>
      </c>
      <c r="J120" s="225">
        <f>IFERROR(__xludf.DUMMYFUNCTION("""COMPUTED_VALUE"""),2.8)</f>
        <v>2.8</v>
      </c>
      <c r="K120" s="225">
        <f>IFERROR(__xludf.DUMMYFUNCTION("""COMPUTED_VALUE"""),0.2)</f>
        <v>0.2</v>
      </c>
      <c r="L120" s="225">
        <f>IFERROR(__xludf.DUMMYFUNCTION("""COMPUTED_VALUE"""),0.0)</f>
        <v>0</v>
      </c>
      <c r="M120" s="225">
        <f>IFERROR(__xludf.DUMMYFUNCTION("""COMPUTED_VALUE"""),0.0)</f>
        <v>0</v>
      </c>
      <c r="N120" s="224" t="str">
        <f>IFERROR(__xludf.DUMMYFUNCTION("""COMPUTED_VALUE"""),"Nevada Wolf Pack")</f>
        <v>Nevada Wolf Pack</v>
      </c>
      <c r="O120" s="226" t="str">
        <f>IFERROR(__xludf.DUMMYFUNCTION("""COMPUTED_VALUE"""),"Mountain West")</f>
        <v>Mountain West</v>
      </c>
      <c r="P120" s="227">
        <f>IFERROR(__xludf.DUMMYFUNCTION("if(F120="""","""",indeX(split(F120,""-""),1)-J120/100)"),4.772)</f>
        <v>4.772</v>
      </c>
      <c r="Q120" s="227"/>
    </row>
    <row r="121">
      <c r="B121" s="232" t="str">
        <f>IFERROR(__xludf.DUMMYFUNCTION("""COMPUTED_VALUE"""),"0-0")</f>
        <v>0-0</v>
      </c>
      <c r="C121" s="225">
        <f>IFERROR(__xludf.DUMMYFUNCTION("""COMPUTED_VALUE"""),-12.1)</f>
        <v>-12.1</v>
      </c>
      <c r="D121" s="225">
        <f>IFERROR(__xludf.DUMMYFUNCTION("""COMPUTED_VALUE"""),117.0)</f>
        <v>117</v>
      </c>
      <c r="E121" s="225" t="str">
        <f>IFERROR(__xludf.DUMMYFUNCTION("""COMPUTED_VALUE"""),"--")</f>
        <v>--</v>
      </c>
      <c r="F121" s="224" t="str">
        <f>IFERROR(__xludf.DUMMYFUNCTION("""COMPUTED_VALUE"""),"5.2-6.9")</f>
        <v>5.2-6.9</v>
      </c>
      <c r="G121" s="225">
        <f>IFERROR(__xludf.DUMMYFUNCTION("""COMPUTED_VALUE"""),0.0)</f>
        <v>0</v>
      </c>
      <c r="H121" s="225">
        <f>IFERROR(__xludf.DUMMYFUNCTION("""COMPUTED_VALUE"""),41.8)</f>
        <v>41.8</v>
      </c>
      <c r="I121" s="225">
        <f>IFERROR(__xludf.DUMMYFUNCTION("""COMPUTED_VALUE"""),5.8)</f>
        <v>5.8</v>
      </c>
      <c r="J121" s="225">
        <f>IFERROR(__xludf.DUMMYFUNCTION("""COMPUTED_VALUE"""),2.4)</f>
        <v>2.4</v>
      </c>
      <c r="K121" s="225">
        <f>IFERROR(__xludf.DUMMYFUNCTION("""COMPUTED_VALUE"""),0.2)</f>
        <v>0.2</v>
      </c>
      <c r="L121" s="225">
        <f>IFERROR(__xludf.DUMMYFUNCTION("""COMPUTED_VALUE"""),0.0)</f>
        <v>0</v>
      </c>
      <c r="M121" s="225">
        <f>IFERROR(__xludf.DUMMYFUNCTION("""COMPUTED_VALUE"""),0.0)</f>
        <v>0</v>
      </c>
      <c r="N121" s="224" t="str">
        <f>IFERROR(__xludf.DUMMYFUNCTION("""COMPUTED_VALUE"""),"Coastal Carolina Chanticleers")</f>
        <v>Coastal Carolina Chanticleers</v>
      </c>
      <c r="O121" s="226" t="str">
        <f>IFERROR(__xludf.DUMMYFUNCTION("""COMPUTED_VALUE"""),"Sun Belt")</f>
        <v>Sun Belt</v>
      </c>
      <c r="P121" s="227">
        <f>IFERROR(__xludf.DUMMYFUNCTION("if(F121="""","""",indeX(split(F121,""-""),1)-J121/100)"),5.176)</f>
        <v>5.176</v>
      </c>
      <c r="Q121" s="227"/>
    </row>
    <row r="122">
      <c r="B122" s="229" t="str">
        <f>IFERROR(__xludf.DUMMYFUNCTION("""COMPUTED_VALUE"""),"0-0")</f>
        <v>0-0</v>
      </c>
      <c r="C122" s="225">
        <f>IFERROR(__xludf.DUMMYFUNCTION("""COMPUTED_VALUE"""),-12.4)</f>
        <v>-12.4</v>
      </c>
      <c r="D122" s="225">
        <f>IFERROR(__xludf.DUMMYFUNCTION("""COMPUTED_VALUE"""),118.0)</f>
        <v>118</v>
      </c>
      <c r="E122" s="225" t="str">
        <f>IFERROR(__xludf.DUMMYFUNCTION("""COMPUTED_VALUE"""),"--")</f>
        <v>--</v>
      </c>
      <c r="F122" s="224" t="str">
        <f>IFERROR(__xludf.DUMMYFUNCTION("""COMPUTED_VALUE"""),"3.6-7.5")</f>
        <v>3.6-7.5</v>
      </c>
      <c r="G122" s="225">
        <f>IFERROR(__xludf.DUMMYFUNCTION("""COMPUTED_VALUE"""),0.0)</f>
        <v>0</v>
      </c>
      <c r="H122" s="225">
        <f>IFERROR(__xludf.DUMMYFUNCTION("""COMPUTED_VALUE"""),15.7)</f>
        <v>15.7</v>
      </c>
      <c r="I122" s="225">
        <f>IFERROR(__xludf.DUMMYFUNCTION("""COMPUTED_VALUE"""),0.0)</f>
        <v>0</v>
      </c>
      <c r="J122" s="225">
        <f>IFERROR(__xludf.DUMMYFUNCTION("""COMPUTED_VALUE"""),1.3)</f>
        <v>1.3</v>
      </c>
      <c r="K122" s="225">
        <f>IFERROR(__xludf.DUMMYFUNCTION("""COMPUTED_VALUE"""),0.1)</f>
        <v>0.1</v>
      </c>
      <c r="L122" s="225">
        <f>IFERROR(__xludf.DUMMYFUNCTION("""COMPUTED_VALUE"""),0.0)</f>
        <v>0</v>
      </c>
      <c r="M122" s="225">
        <f>IFERROR(__xludf.DUMMYFUNCTION("""COMPUTED_VALUE"""),0.0)</f>
        <v>0</v>
      </c>
      <c r="N122" s="224" t="str">
        <f>IFERROR(__xludf.DUMMYFUNCTION("""COMPUTED_VALUE"""),"Colorado State Rams")</f>
        <v>Colorado State Rams</v>
      </c>
      <c r="O122" s="226" t="str">
        <f>IFERROR(__xludf.DUMMYFUNCTION("""COMPUTED_VALUE"""),"Pac-12")</f>
        <v>Pac-12</v>
      </c>
      <c r="P122" s="227">
        <f>IFERROR(__xludf.DUMMYFUNCTION("if(F122="""","""",indeX(split(F122,""-""),1)-J122/100)"),3.587)</f>
        <v>3.587</v>
      </c>
      <c r="Q122" s="227"/>
    </row>
    <row r="123">
      <c r="B123" s="232" t="str">
        <f>IFERROR(__xludf.DUMMYFUNCTION("""COMPUTED_VALUE"""),"0-0")</f>
        <v>0-0</v>
      </c>
      <c r="C123" s="225">
        <f>IFERROR(__xludf.DUMMYFUNCTION("""COMPUTED_VALUE"""),-12.6)</f>
        <v>-12.6</v>
      </c>
      <c r="D123" s="225">
        <f>IFERROR(__xludf.DUMMYFUNCTION("""COMPUTED_VALUE"""),119.0)</f>
        <v>119</v>
      </c>
      <c r="E123" s="225" t="str">
        <f>IFERROR(__xludf.DUMMYFUNCTION("""COMPUTED_VALUE"""),"--")</f>
        <v>--</v>
      </c>
      <c r="F123" s="224" t="str">
        <f>IFERROR(__xludf.DUMMYFUNCTION("""COMPUTED_VALUE"""),"6.0-6.2")</f>
        <v>6.0-6.2</v>
      </c>
      <c r="G123" s="225">
        <f>IFERROR(__xludf.DUMMYFUNCTION("""COMPUTED_VALUE"""),0.0)</f>
        <v>0</v>
      </c>
      <c r="H123" s="225">
        <f>IFERROR(__xludf.DUMMYFUNCTION("""COMPUTED_VALUE"""),56.7)</f>
        <v>56.7</v>
      </c>
      <c r="I123" s="225">
        <f>IFERROR(__xludf.DUMMYFUNCTION("""COMPUTED_VALUE"""),0.0)</f>
        <v>0</v>
      </c>
      <c r="J123" s="225">
        <f>IFERROR(__xludf.DUMMYFUNCTION("""COMPUTED_VALUE"""),5.2)</f>
        <v>5.2</v>
      </c>
      <c r="K123" s="225">
        <f>IFERROR(__xludf.DUMMYFUNCTION("""COMPUTED_VALUE"""),0.3)</f>
        <v>0.3</v>
      </c>
      <c r="L123" s="225">
        <f>IFERROR(__xludf.DUMMYFUNCTION("""COMPUTED_VALUE"""),0.0)</f>
        <v>0</v>
      </c>
      <c r="M123" s="225">
        <f>IFERROR(__xludf.DUMMYFUNCTION("""COMPUTED_VALUE"""),0.0)</f>
        <v>0</v>
      </c>
      <c r="N123" s="224" t="str">
        <f>IFERROR(__xludf.DUMMYFUNCTION("""COMPUTED_VALUE"""),"Florida International Panthers")</f>
        <v>Florida International Panthers</v>
      </c>
      <c r="O123" s="226" t="str">
        <f>IFERROR(__xludf.DUMMYFUNCTION("""COMPUTED_VALUE"""),"CUSA")</f>
        <v>CUSA</v>
      </c>
      <c r="P123" s="227">
        <f>IFERROR(__xludf.DUMMYFUNCTION("if(F123="""","""",indeX(split(F123,""-""),1)-J123/100)"),5.948)</f>
        <v>5.948</v>
      </c>
      <c r="Q123" s="227"/>
    </row>
    <row r="124">
      <c r="B124" s="232" t="str">
        <f>IFERROR(__xludf.DUMMYFUNCTION("""COMPUTED_VALUE"""),"0-0")</f>
        <v>0-0</v>
      </c>
      <c r="C124" s="225">
        <f>IFERROR(__xludf.DUMMYFUNCTION("""COMPUTED_VALUE"""),-12.8)</f>
        <v>-12.8</v>
      </c>
      <c r="D124" s="225">
        <f>IFERROR(__xludf.DUMMYFUNCTION("""COMPUTED_VALUE"""),120.0)</f>
        <v>120</v>
      </c>
      <c r="E124" s="225" t="str">
        <f>IFERROR(__xludf.DUMMYFUNCTION("""COMPUTED_VALUE"""),"--")</f>
        <v>--</v>
      </c>
      <c r="F124" s="224" t="str">
        <f>IFERROR(__xludf.DUMMYFUNCTION("""COMPUTED_VALUE"""),"5.6-6.6")</f>
        <v>5.6-6.6</v>
      </c>
      <c r="G124" s="225">
        <f>IFERROR(__xludf.DUMMYFUNCTION("""COMPUTED_VALUE"""),0.0)</f>
        <v>0</v>
      </c>
      <c r="H124" s="225">
        <f>IFERROR(__xludf.DUMMYFUNCTION("""COMPUTED_VALUE"""),50.0)</f>
        <v>50</v>
      </c>
      <c r="I124" s="225">
        <f>IFERROR(__xludf.DUMMYFUNCTION("""COMPUTED_VALUE"""),0.0)</f>
        <v>0</v>
      </c>
      <c r="J124" s="225">
        <f>IFERROR(__xludf.DUMMYFUNCTION("""COMPUTED_VALUE"""),4.5)</f>
        <v>4.5</v>
      </c>
      <c r="K124" s="225">
        <f>IFERROR(__xludf.DUMMYFUNCTION("""COMPUTED_VALUE"""),0.3)</f>
        <v>0.3</v>
      </c>
      <c r="L124" s="225">
        <f>IFERROR(__xludf.DUMMYFUNCTION("""COMPUTED_VALUE"""),0.0)</f>
        <v>0</v>
      </c>
      <c r="M124" s="225">
        <f>IFERROR(__xludf.DUMMYFUNCTION("""COMPUTED_VALUE"""),0.0)</f>
        <v>0</v>
      </c>
      <c r="N124" s="224" t="str">
        <f>IFERROR(__xludf.DUMMYFUNCTION("""COMPUTED_VALUE"""),"Central Michigan Chippewas")</f>
        <v>Central Michigan Chippewas</v>
      </c>
      <c r="O124" s="226" t="str">
        <f>IFERROR(__xludf.DUMMYFUNCTION("""COMPUTED_VALUE"""),"MAC")</f>
        <v>MAC</v>
      </c>
      <c r="P124" s="227">
        <f>IFERROR(__xludf.DUMMYFUNCTION("if(F124="""","""",indeX(split(F124,""-""),1)-J124/100)"),5.555)</f>
        <v>5.555</v>
      </c>
      <c r="Q124" s="227"/>
    </row>
    <row r="125">
      <c r="B125" s="229" t="str">
        <f>IFERROR(__xludf.DUMMYFUNCTION("""COMPUTED_VALUE"""),"0-0")</f>
        <v>0-0</v>
      </c>
      <c r="C125" s="225">
        <f>IFERROR(__xludf.DUMMYFUNCTION("""COMPUTED_VALUE"""),-13.1)</f>
        <v>-13.1</v>
      </c>
      <c r="D125" s="225">
        <f>IFERROR(__xludf.DUMMYFUNCTION("""COMPUTED_VALUE"""),121.0)</f>
        <v>121</v>
      </c>
      <c r="E125" s="225" t="str">
        <f>IFERROR(__xludf.DUMMYFUNCTION("""COMPUTED_VALUE"""),"--")</f>
        <v>--</v>
      </c>
      <c r="F125" s="224" t="str">
        <f>IFERROR(__xludf.DUMMYFUNCTION("""COMPUTED_VALUE"""),"5.4-6.6")</f>
        <v>5.4-6.6</v>
      </c>
      <c r="G125" s="225">
        <f>IFERROR(__xludf.DUMMYFUNCTION("""COMPUTED_VALUE"""),0.0)</f>
        <v>0</v>
      </c>
      <c r="H125" s="225">
        <f>IFERROR(__xludf.DUMMYFUNCTION("""COMPUTED_VALUE"""),46.8)</f>
        <v>46.8</v>
      </c>
      <c r="I125" s="225">
        <f>IFERROR(__xludf.DUMMYFUNCTION("""COMPUTED_VALUE"""),0.0)</f>
        <v>0</v>
      </c>
      <c r="J125" s="225">
        <f>IFERROR(__xludf.DUMMYFUNCTION("""COMPUTED_VALUE"""),2.3)</f>
        <v>2.3</v>
      </c>
      <c r="K125" s="225">
        <f>IFERROR(__xludf.DUMMYFUNCTION("""COMPUTED_VALUE"""),0.2)</f>
        <v>0.2</v>
      </c>
      <c r="L125" s="225">
        <f>IFERROR(__xludf.DUMMYFUNCTION("""COMPUTED_VALUE"""),0.0)</f>
        <v>0</v>
      </c>
      <c r="M125" s="225">
        <f>IFERROR(__xludf.DUMMYFUNCTION("""COMPUTED_VALUE"""),0.0)</f>
        <v>0</v>
      </c>
      <c r="N125" s="224" t="str">
        <f>IFERROR(__xludf.DUMMYFUNCTION("""COMPUTED_VALUE"""),"Wyoming Cowboys")</f>
        <v>Wyoming Cowboys</v>
      </c>
      <c r="O125" s="226" t="str">
        <f>IFERROR(__xludf.DUMMYFUNCTION("""COMPUTED_VALUE"""),"Mountain West")</f>
        <v>Mountain West</v>
      </c>
      <c r="P125" s="227">
        <f>IFERROR(__xludf.DUMMYFUNCTION("if(F125="""","""",indeX(split(F125,""-""),1)-J125/100)"),5.377000000000001)</f>
        <v>5.377</v>
      </c>
      <c r="Q125" s="227"/>
    </row>
    <row r="126">
      <c r="B126" s="229" t="str">
        <f>IFERROR(__xludf.DUMMYFUNCTION("""COMPUTED_VALUE"""),"0-0")</f>
        <v>0-0</v>
      </c>
      <c r="C126" s="225">
        <f>IFERROR(__xludf.DUMMYFUNCTION("""COMPUTED_VALUE"""),-13.4)</f>
        <v>-13.4</v>
      </c>
      <c r="D126" s="225">
        <f>IFERROR(__xludf.DUMMYFUNCTION("""COMPUTED_VALUE"""),122.0)</f>
        <v>122</v>
      </c>
      <c r="E126" s="225" t="str">
        <f>IFERROR(__xludf.DUMMYFUNCTION("""COMPUTED_VALUE"""),"--")</f>
        <v>--</v>
      </c>
      <c r="F126" s="224" t="str">
        <f>IFERROR(__xludf.DUMMYFUNCTION("""COMPUTED_VALUE"""),"4.0-8.0")</f>
        <v>4.0-8.0</v>
      </c>
      <c r="G126" s="225">
        <f>IFERROR(__xludf.DUMMYFUNCTION("""COMPUTED_VALUE"""),0.0)</f>
        <v>0</v>
      </c>
      <c r="H126" s="225">
        <f>IFERROR(__xludf.DUMMYFUNCTION("""COMPUTED_VALUE"""),21.4)</f>
        <v>21.4</v>
      </c>
      <c r="I126" s="225">
        <f>IFERROR(__xludf.DUMMYFUNCTION("""COMPUTED_VALUE"""),0.0)</f>
        <v>0</v>
      </c>
      <c r="J126" s="225">
        <f>IFERROR(__xludf.DUMMYFUNCTION("""COMPUTED_VALUE"""),0.5)</f>
        <v>0.5</v>
      </c>
      <c r="K126" s="225">
        <f>IFERROR(__xludf.DUMMYFUNCTION("""COMPUTED_VALUE"""),0.1)</f>
        <v>0.1</v>
      </c>
      <c r="L126" s="225">
        <f>IFERROR(__xludf.DUMMYFUNCTION("""COMPUTED_VALUE"""),0.0)</f>
        <v>0</v>
      </c>
      <c r="M126" s="225">
        <f>IFERROR(__xludf.DUMMYFUNCTION("""COMPUTED_VALUE"""),0.0)</f>
        <v>0</v>
      </c>
      <c r="N126" s="224" t="str">
        <f>IFERROR(__xludf.DUMMYFUNCTION("""COMPUTED_VALUE"""),"Rice Owls")</f>
        <v>Rice Owls</v>
      </c>
      <c r="O126" s="226" t="str">
        <f>IFERROR(__xludf.DUMMYFUNCTION("""COMPUTED_VALUE"""),"American")</f>
        <v>American</v>
      </c>
      <c r="P126" s="227">
        <f>IFERROR(__xludf.DUMMYFUNCTION("if(F126="""","""",indeX(split(F126,""-""),1)-J126/100)"),3.995)</f>
        <v>3.995</v>
      </c>
      <c r="Q126" s="227"/>
    </row>
    <row r="127">
      <c r="B127" s="229" t="str">
        <f>IFERROR(__xludf.DUMMYFUNCTION("""COMPUTED_VALUE"""),"0-0")</f>
        <v>0-0</v>
      </c>
      <c r="C127" s="225">
        <f>IFERROR(__xludf.DUMMYFUNCTION("""COMPUTED_VALUE"""),-13.7)</f>
        <v>-13.7</v>
      </c>
      <c r="D127" s="225">
        <f>IFERROR(__xludf.DUMMYFUNCTION("""COMPUTED_VALUE"""),123.0)</f>
        <v>123</v>
      </c>
      <c r="E127" s="225" t="str">
        <f>IFERROR(__xludf.DUMMYFUNCTION("""COMPUTED_VALUE"""),"--")</f>
        <v>--</v>
      </c>
      <c r="F127" s="224" t="str">
        <f>IFERROR(__xludf.DUMMYFUNCTION("""COMPUTED_VALUE"""),"4.7-7.4")</f>
        <v>4.7-7.4</v>
      </c>
      <c r="G127" s="225">
        <f>IFERROR(__xludf.DUMMYFUNCTION("""COMPUTED_VALUE"""),0.0)</f>
        <v>0</v>
      </c>
      <c r="H127" s="225">
        <f>IFERROR(__xludf.DUMMYFUNCTION("""COMPUTED_VALUE"""),33.2)</f>
        <v>33.2</v>
      </c>
      <c r="I127" s="225">
        <f>IFERROR(__xludf.DUMMYFUNCTION("""COMPUTED_VALUE"""),0.0)</f>
        <v>0</v>
      </c>
      <c r="J127" s="225">
        <f>IFERROR(__xludf.DUMMYFUNCTION("""COMPUTED_VALUE"""),3.0)</f>
        <v>3</v>
      </c>
      <c r="K127" s="225">
        <f>IFERROR(__xludf.DUMMYFUNCTION("""COMPUTED_VALUE"""),0.1)</f>
        <v>0.1</v>
      </c>
      <c r="L127" s="225">
        <f>IFERROR(__xludf.DUMMYFUNCTION("""COMPUTED_VALUE"""),0.0)</f>
        <v>0</v>
      </c>
      <c r="M127" s="225">
        <f>IFERROR(__xludf.DUMMYFUNCTION("""COMPUTED_VALUE"""),0.0)</f>
        <v>0</v>
      </c>
      <c r="N127" s="224" t="str">
        <f>IFERROR(__xludf.DUMMYFUNCTION("""COMPUTED_VALUE"""),"Bowling Green Falcons")</f>
        <v>Bowling Green Falcons</v>
      </c>
      <c r="O127" s="226" t="str">
        <f>IFERROR(__xludf.DUMMYFUNCTION("""COMPUTED_VALUE"""),"MAC")</f>
        <v>MAC</v>
      </c>
      <c r="P127" s="227">
        <f>IFERROR(__xludf.DUMMYFUNCTION("if(F127="""","""",indeX(split(F127,""-""),1)-J127/100)"),4.67)</f>
        <v>4.67</v>
      </c>
      <c r="Q127" s="227"/>
    </row>
    <row r="128">
      <c r="B128" s="229" t="str">
        <f>IFERROR(__xludf.DUMMYFUNCTION("""COMPUTED_VALUE"""),"0-0")</f>
        <v>0-0</v>
      </c>
      <c r="C128" s="225">
        <f>IFERROR(__xludf.DUMMYFUNCTION("""COMPUTED_VALUE"""),-14.3)</f>
        <v>-14.3</v>
      </c>
      <c r="D128" s="225">
        <f>IFERROR(__xludf.DUMMYFUNCTION("""COMPUTED_VALUE"""),124.0)</f>
        <v>124</v>
      </c>
      <c r="E128" s="225" t="str">
        <f>IFERROR(__xludf.DUMMYFUNCTION("""COMPUTED_VALUE"""),"--")</f>
        <v>--</v>
      </c>
      <c r="F128" s="224" t="str">
        <f>IFERROR(__xludf.DUMMYFUNCTION("""COMPUTED_VALUE"""),"5.0-8.0")</f>
        <v>5.0-8.0</v>
      </c>
      <c r="G128" s="225">
        <f>IFERROR(__xludf.DUMMYFUNCTION("""COMPUTED_VALUE"""),0.0)</f>
        <v>0</v>
      </c>
      <c r="H128" s="225">
        <f>IFERROR(__xludf.DUMMYFUNCTION("""COMPUTED_VALUE"""),39.8)</f>
        <v>39.8</v>
      </c>
      <c r="I128" s="225">
        <f>IFERROR(__xludf.DUMMYFUNCTION("""COMPUTED_VALUE"""),0.0)</f>
        <v>0</v>
      </c>
      <c r="J128" s="225">
        <f>IFERROR(__xludf.DUMMYFUNCTION("""COMPUTED_VALUE"""),2.1)</f>
        <v>2.1</v>
      </c>
      <c r="K128" s="225">
        <f>IFERROR(__xludf.DUMMYFUNCTION("""COMPUTED_VALUE"""),0.1)</f>
        <v>0.1</v>
      </c>
      <c r="L128" s="225">
        <f>IFERROR(__xludf.DUMMYFUNCTION("""COMPUTED_VALUE"""),0.0)</f>
        <v>0</v>
      </c>
      <c r="M128" s="225">
        <f>IFERROR(__xludf.DUMMYFUNCTION("""COMPUTED_VALUE"""),0.0)</f>
        <v>0</v>
      </c>
      <c r="N128" s="224" t="str">
        <f>IFERROR(__xludf.DUMMYFUNCTION("""COMPUTED_VALUE"""),"San José State Spartans")</f>
        <v>San José State Spartans</v>
      </c>
      <c r="O128" s="226" t="str">
        <f>IFERROR(__xludf.DUMMYFUNCTION("""COMPUTED_VALUE"""),"Mountain West")</f>
        <v>Mountain West</v>
      </c>
      <c r="P128" s="227">
        <f>IFERROR(__xludf.DUMMYFUNCTION("if(F128="""","""",indeX(split(F128,""-""),1)-J128/100)"),4.979)</f>
        <v>4.979</v>
      </c>
      <c r="Q128" s="227"/>
    </row>
    <row r="129">
      <c r="B129" s="224" t="str">
        <f>IFERROR(__xludf.DUMMYFUNCTION("""COMPUTED_VALUE"""),"0-0")</f>
        <v>0-0</v>
      </c>
      <c r="C129" s="225">
        <f>IFERROR(__xludf.DUMMYFUNCTION("""COMPUTED_VALUE"""),-14.5)</f>
        <v>-14.5</v>
      </c>
      <c r="D129" s="225">
        <f>IFERROR(__xludf.DUMMYFUNCTION("""COMPUTED_VALUE"""),125.0)</f>
        <v>125</v>
      </c>
      <c r="E129" s="225" t="str">
        <f>IFERROR(__xludf.DUMMYFUNCTION("""COMPUTED_VALUE"""),"--")</f>
        <v>--</v>
      </c>
      <c r="F129" s="224" t="str">
        <f>IFERROR(__xludf.DUMMYFUNCTION("""COMPUTED_VALUE"""),"4.3-7.8")</f>
        <v>4.3-7.8</v>
      </c>
      <c r="G129" s="225">
        <f>IFERROR(__xludf.DUMMYFUNCTION("""COMPUTED_VALUE"""),0.0)</f>
        <v>0</v>
      </c>
      <c r="H129" s="225">
        <f>IFERROR(__xludf.DUMMYFUNCTION("""COMPUTED_VALUE"""),26.8)</f>
        <v>26.8</v>
      </c>
      <c r="I129" s="225">
        <f>IFERROR(__xludf.DUMMYFUNCTION("""COMPUTED_VALUE"""),0.0)</f>
        <v>0</v>
      </c>
      <c r="J129" s="225">
        <f>IFERROR(__xludf.DUMMYFUNCTION("""COMPUTED_VALUE"""),1.6)</f>
        <v>1.6</v>
      </c>
      <c r="K129" s="225">
        <f>IFERROR(__xludf.DUMMYFUNCTION("""COMPUTED_VALUE"""),0.1)</f>
        <v>0.1</v>
      </c>
      <c r="L129" s="225">
        <f>IFERROR(__xludf.DUMMYFUNCTION("""COMPUTED_VALUE"""),0.0)</f>
        <v>0</v>
      </c>
      <c r="M129" s="225">
        <f>IFERROR(__xludf.DUMMYFUNCTION("""COMPUTED_VALUE"""),0.0)</f>
        <v>0</v>
      </c>
      <c r="N129" s="224" t="str">
        <f>IFERROR(__xludf.DUMMYFUNCTION("""COMPUTED_VALUE"""),"Northern Illinois Huskies")</f>
        <v>Northern Illinois Huskies</v>
      </c>
      <c r="O129" s="226" t="str">
        <f>IFERROR(__xludf.DUMMYFUNCTION("""COMPUTED_VALUE"""),"Mountain West")</f>
        <v>Mountain West</v>
      </c>
      <c r="P129" s="227">
        <f>IFERROR(__xludf.DUMMYFUNCTION("if(F129="""","""",indeX(split(F129,""-""),1)-J129/100)"),4.284)</f>
        <v>4.284</v>
      </c>
      <c r="Q129" s="227"/>
    </row>
    <row r="130">
      <c r="B130" s="229" t="str">
        <f>IFERROR(__xludf.DUMMYFUNCTION("""COMPUTED_VALUE"""),"0-0")</f>
        <v>0-0</v>
      </c>
      <c r="C130" s="225">
        <f>IFERROR(__xludf.DUMMYFUNCTION("""COMPUTED_VALUE"""),-14.6)</f>
        <v>-14.6</v>
      </c>
      <c r="D130" s="225">
        <f>IFERROR(__xludf.DUMMYFUNCTION("""COMPUTED_VALUE"""),126.0)</f>
        <v>126</v>
      </c>
      <c r="E130" s="225" t="str">
        <f>IFERROR(__xludf.DUMMYFUNCTION("""COMPUTED_VALUE"""),"--")</f>
        <v>--</v>
      </c>
      <c r="F130" s="224" t="str">
        <f>IFERROR(__xludf.DUMMYFUNCTION("""COMPUTED_VALUE"""),"3.9-8.1")</f>
        <v>3.9-8.1</v>
      </c>
      <c r="G130" s="225">
        <f>IFERROR(__xludf.DUMMYFUNCTION("""COMPUTED_VALUE"""),0.0)</f>
        <v>0</v>
      </c>
      <c r="H130" s="225">
        <f>IFERROR(__xludf.DUMMYFUNCTION("""COMPUTED_VALUE"""),20.1)</f>
        <v>20.1</v>
      </c>
      <c r="I130" s="225">
        <f>IFERROR(__xludf.DUMMYFUNCTION("""COMPUTED_VALUE"""),0.0)</f>
        <v>0</v>
      </c>
      <c r="J130" s="225">
        <f>IFERROR(__xludf.DUMMYFUNCTION("""COMPUTED_VALUE"""),0.4)</f>
        <v>0.4</v>
      </c>
      <c r="K130" s="225">
        <f>IFERROR(__xludf.DUMMYFUNCTION("""COMPUTED_VALUE"""),0.1)</f>
        <v>0.1</v>
      </c>
      <c r="L130" s="225">
        <f>IFERROR(__xludf.DUMMYFUNCTION("""COMPUTED_VALUE"""),0.0)</f>
        <v>0</v>
      </c>
      <c r="M130" s="225">
        <f>IFERROR(__xludf.DUMMYFUNCTION("""COMPUTED_VALUE"""),0.0)</f>
        <v>0</v>
      </c>
      <c r="N130" s="224" t="str">
        <f>IFERROR(__xludf.DUMMYFUNCTION("""COMPUTED_VALUE"""),"Charlotte 49ers")</f>
        <v>Charlotte 49ers</v>
      </c>
      <c r="O130" s="226" t="str">
        <f>IFERROR(__xludf.DUMMYFUNCTION("""COMPUTED_VALUE"""),"American")</f>
        <v>American</v>
      </c>
      <c r="P130" s="227">
        <f>IFERROR(__xludf.DUMMYFUNCTION("if(F130="""","""",indeX(split(F130,""-""),1)-J130/100)"),3.896)</f>
        <v>3.896</v>
      </c>
      <c r="Q130" s="227"/>
    </row>
    <row r="131">
      <c r="B131" s="232" t="str">
        <f>IFERROR(__xludf.DUMMYFUNCTION("""COMPUTED_VALUE"""),"0-0")</f>
        <v>0-0</v>
      </c>
      <c r="C131" s="225">
        <f>IFERROR(__xludf.DUMMYFUNCTION("""COMPUTED_VALUE"""),-15.2)</f>
        <v>-15.2</v>
      </c>
      <c r="D131" s="225">
        <f>IFERROR(__xludf.DUMMYFUNCTION("""COMPUTED_VALUE"""),127.0)</f>
        <v>127</v>
      </c>
      <c r="E131" s="225" t="str">
        <f>IFERROR(__xludf.DUMMYFUNCTION("""COMPUTED_VALUE"""),"--")</f>
        <v>--</v>
      </c>
      <c r="F131" s="224" t="str">
        <f>IFERROR(__xludf.DUMMYFUNCTION("""COMPUTED_VALUE"""),"4.6-7.5")</f>
        <v>4.6-7.5</v>
      </c>
      <c r="G131" s="225">
        <f>IFERROR(__xludf.DUMMYFUNCTION("""COMPUTED_VALUE"""),0.0)</f>
        <v>0</v>
      </c>
      <c r="H131" s="225">
        <f>IFERROR(__xludf.DUMMYFUNCTION("""COMPUTED_VALUE"""),30.6)</f>
        <v>30.6</v>
      </c>
      <c r="I131" s="225">
        <f>IFERROR(__xludf.DUMMYFUNCTION("""COMPUTED_VALUE"""),2.8)</f>
        <v>2.8</v>
      </c>
      <c r="J131" s="225">
        <f>IFERROR(__xludf.DUMMYFUNCTION("""COMPUTED_VALUE"""),1.1)</f>
        <v>1.1</v>
      </c>
      <c r="K131" s="225">
        <f>IFERROR(__xludf.DUMMYFUNCTION("""COMPUTED_VALUE"""),0.1)</f>
        <v>0.1</v>
      </c>
      <c r="L131" s="225">
        <f>IFERROR(__xludf.DUMMYFUNCTION("""COMPUTED_VALUE"""),0.0)</f>
        <v>0</v>
      </c>
      <c r="M131" s="225">
        <f>IFERROR(__xludf.DUMMYFUNCTION("""COMPUTED_VALUE"""),0.0)</f>
        <v>0</v>
      </c>
      <c r="N131" s="224" t="str">
        <f>IFERROR(__xludf.DUMMYFUNCTION("""COMPUTED_VALUE"""),"Georgia State Panthers")</f>
        <v>Georgia State Panthers</v>
      </c>
      <c r="O131" s="226" t="str">
        <f>IFERROR(__xludf.DUMMYFUNCTION("""COMPUTED_VALUE"""),"Sun Belt")</f>
        <v>Sun Belt</v>
      </c>
      <c r="P131" s="227">
        <f>IFERROR(__xludf.DUMMYFUNCTION("if(F131="""","""",indeX(split(F131,""-""),1)-J131/100)"),4.5889999999999995)</f>
        <v>4.589</v>
      </c>
      <c r="Q131" s="227"/>
    </row>
    <row r="132">
      <c r="B132" s="229" t="str">
        <f>IFERROR(__xludf.DUMMYFUNCTION("""COMPUTED_VALUE"""),"0-0")</f>
        <v>0-0</v>
      </c>
      <c r="C132" s="225">
        <f>IFERROR(__xludf.DUMMYFUNCTION("""COMPUTED_VALUE"""),-15.5)</f>
        <v>-15.5</v>
      </c>
      <c r="D132" s="225">
        <f>IFERROR(__xludf.DUMMYFUNCTION("""COMPUTED_VALUE"""),128.0)</f>
        <v>128</v>
      </c>
      <c r="E132" s="225" t="str">
        <f>IFERROR(__xludf.DUMMYFUNCTION("""COMPUTED_VALUE"""),"--")</f>
        <v>--</v>
      </c>
      <c r="F132" s="224" t="str">
        <f>IFERROR(__xludf.DUMMYFUNCTION("""COMPUTED_VALUE"""),"4.0-8.0")</f>
        <v>4.0-8.0</v>
      </c>
      <c r="G132" s="225">
        <f>IFERROR(__xludf.DUMMYFUNCTION("""COMPUTED_VALUE"""),0.0)</f>
        <v>0</v>
      </c>
      <c r="H132" s="225">
        <f>IFERROR(__xludf.DUMMYFUNCTION("""COMPUTED_VALUE"""),20.5)</f>
        <v>20.5</v>
      </c>
      <c r="I132" s="225">
        <f>IFERROR(__xludf.DUMMYFUNCTION("""COMPUTED_VALUE"""),0.0)</f>
        <v>0</v>
      </c>
      <c r="J132" s="225">
        <f>IFERROR(__xludf.DUMMYFUNCTION("""COMPUTED_VALUE"""),0.3)</f>
        <v>0.3</v>
      </c>
      <c r="K132" s="225">
        <f>IFERROR(__xludf.DUMMYFUNCTION("""COMPUTED_VALUE"""),0.0)</f>
        <v>0</v>
      </c>
      <c r="L132" s="225">
        <f>IFERROR(__xludf.DUMMYFUNCTION("""COMPUTED_VALUE"""),0.0)</f>
        <v>0</v>
      </c>
      <c r="M132" s="225">
        <f>IFERROR(__xludf.DUMMYFUNCTION("""COMPUTED_VALUE"""),0.0)</f>
        <v>0</v>
      </c>
      <c r="N132" s="224" t="str">
        <f>IFERROR(__xludf.DUMMYFUNCTION("""COMPUTED_VALUE"""),"UAB Blazers")</f>
        <v>UAB Blazers</v>
      </c>
      <c r="O132" s="226" t="str">
        <f>IFERROR(__xludf.DUMMYFUNCTION("""COMPUTED_VALUE"""),"American")</f>
        <v>American</v>
      </c>
      <c r="P132" s="227">
        <f>IFERROR(__xludf.DUMMYFUNCTION("if(F132="""","""",indeX(split(F132,""-""),1)-J132/100)"),3.997)</f>
        <v>3.997</v>
      </c>
      <c r="Q132" s="227"/>
    </row>
    <row r="133">
      <c r="B133" s="229" t="str">
        <f>IFERROR(__xludf.DUMMYFUNCTION("""COMPUTED_VALUE"""),"0-0")</f>
        <v>0-0</v>
      </c>
      <c r="C133" s="225">
        <f>IFERROR(__xludf.DUMMYFUNCTION("""COMPUTED_VALUE"""),-15.7)</f>
        <v>-15.7</v>
      </c>
      <c r="D133" s="225">
        <f>IFERROR(__xludf.DUMMYFUNCTION("""COMPUTED_VALUE"""),129.0)</f>
        <v>129</v>
      </c>
      <c r="E133" s="225" t="str">
        <f>IFERROR(__xludf.DUMMYFUNCTION("""COMPUTED_VALUE"""),"--")</f>
        <v>--</v>
      </c>
      <c r="F133" s="224" t="str">
        <f>IFERROR(__xludf.DUMMYFUNCTION("""COMPUTED_VALUE"""),"4.4-7.6")</f>
        <v>4.4-7.6</v>
      </c>
      <c r="G133" s="225">
        <f>IFERROR(__xludf.DUMMYFUNCTION("""COMPUTED_VALUE"""),0.0)</f>
        <v>0</v>
      </c>
      <c r="H133" s="225">
        <f>IFERROR(__xludf.DUMMYFUNCTION("""COMPUTED_VALUE"""),28.6)</f>
        <v>28.6</v>
      </c>
      <c r="I133" s="225">
        <f>IFERROR(__xludf.DUMMYFUNCTION("""COMPUTED_VALUE"""),0.0)</f>
        <v>0</v>
      </c>
      <c r="J133" s="225">
        <f>IFERROR(__xludf.DUMMYFUNCTION("""COMPUTED_VALUE"""),2.8)</f>
        <v>2.8</v>
      </c>
      <c r="K133" s="225">
        <f>IFERROR(__xludf.DUMMYFUNCTION("""COMPUTED_VALUE"""),0.1)</f>
        <v>0.1</v>
      </c>
      <c r="L133" s="225">
        <f>IFERROR(__xludf.DUMMYFUNCTION("""COMPUTED_VALUE"""),0.0)</f>
        <v>0</v>
      </c>
      <c r="M133" s="225">
        <f>IFERROR(__xludf.DUMMYFUNCTION("""COMPUTED_VALUE"""),0.0)</f>
        <v>0</v>
      </c>
      <c r="N133" s="224" t="str">
        <f>IFERROR(__xludf.DUMMYFUNCTION("""COMPUTED_VALUE"""),"New Mexico State Aggies")</f>
        <v>New Mexico State Aggies</v>
      </c>
      <c r="O133" s="226" t="str">
        <f>IFERROR(__xludf.DUMMYFUNCTION("""COMPUTED_VALUE"""),"CUSA")</f>
        <v>CUSA</v>
      </c>
      <c r="P133" s="227">
        <f>IFERROR(__xludf.DUMMYFUNCTION("if(F133="""","""",indeX(split(F133,""-""),1)-J133/100)"),4.372000000000001)</f>
        <v>4.372</v>
      </c>
      <c r="Q133" s="227"/>
    </row>
    <row r="134">
      <c r="B134" s="229" t="str">
        <f>IFERROR(__xludf.DUMMYFUNCTION("""COMPUTED_VALUE"""),"0-0")</f>
        <v>0-0</v>
      </c>
      <c r="C134" s="225">
        <f>IFERROR(__xludf.DUMMYFUNCTION("""COMPUTED_VALUE"""),-16.1)</f>
        <v>-16.1</v>
      </c>
      <c r="D134" s="225">
        <f>IFERROR(__xludf.DUMMYFUNCTION("""COMPUTED_VALUE"""),130.0)</f>
        <v>130</v>
      </c>
      <c r="E134" s="225" t="str">
        <f>IFERROR(__xludf.DUMMYFUNCTION("""COMPUTED_VALUE"""),"--")</f>
        <v>--</v>
      </c>
      <c r="F134" s="224" t="str">
        <f>IFERROR(__xludf.DUMMYFUNCTION("""COMPUTED_VALUE"""),"4.7-7.4")</f>
        <v>4.7-7.4</v>
      </c>
      <c r="G134" s="225">
        <f>IFERROR(__xludf.DUMMYFUNCTION("""COMPUTED_VALUE"""),0.0)</f>
        <v>0</v>
      </c>
      <c r="H134" s="225">
        <f>IFERROR(__xludf.DUMMYFUNCTION("""COMPUTED_VALUE"""),33.6)</f>
        <v>33.6</v>
      </c>
      <c r="I134" s="225">
        <f>IFERROR(__xludf.DUMMYFUNCTION("""COMPUTED_VALUE"""),0.0)</f>
        <v>0</v>
      </c>
      <c r="J134" s="225">
        <f>IFERROR(__xludf.DUMMYFUNCTION("""COMPUTED_VALUE"""),2.3)</f>
        <v>2.3</v>
      </c>
      <c r="K134" s="225">
        <f>IFERROR(__xludf.DUMMYFUNCTION("""COMPUTED_VALUE"""),0.1)</f>
        <v>0.1</v>
      </c>
      <c r="L134" s="225">
        <f>IFERROR(__xludf.DUMMYFUNCTION("""COMPUTED_VALUE"""),0.0)</f>
        <v>0</v>
      </c>
      <c r="M134" s="225">
        <f>IFERROR(__xludf.DUMMYFUNCTION("""COMPUTED_VALUE"""),0.0)</f>
        <v>0</v>
      </c>
      <c r="N134" s="224" t="str">
        <f>IFERROR(__xludf.DUMMYFUNCTION("""COMPUTED_VALUE"""),"Middle Tennessee Blue Raiders")</f>
        <v>Middle Tennessee Blue Raiders</v>
      </c>
      <c r="O134" s="226" t="str">
        <f>IFERROR(__xludf.DUMMYFUNCTION("""COMPUTED_VALUE"""),"CUSA")</f>
        <v>CUSA</v>
      </c>
      <c r="P134" s="227">
        <f>IFERROR(__xludf.DUMMYFUNCTION("if(F134="""","""",indeX(split(F134,""-""),1)-J134/100)"),4.6770000000000005)</f>
        <v>4.677</v>
      </c>
      <c r="Q134" s="227"/>
    </row>
    <row r="135">
      <c r="B135" s="229" t="str">
        <f>IFERROR(__xludf.DUMMYFUNCTION("""COMPUTED_VALUE"""),"0-0")</f>
        <v>0-0</v>
      </c>
      <c r="C135" s="225">
        <f>IFERROR(__xludf.DUMMYFUNCTION("""COMPUTED_VALUE"""),-16.3)</f>
        <v>-16.3</v>
      </c>
      <c r="D135" s="225">
        <f>IFERROR(__xludf.DUMMYFUNCTION("""COMPUTED_VALUE"""),131.0)</f>
        <v>131</v>
      </c>
      <c r="E135" s="225" t="str">
        <f>IFERROR(__xludf.DUMMYFUNCTION("""COMPUTED_VALUE"""),"--")</f>
        <v>--</v>
      </c>
      <c r="F135" s="224" t="str">
        <f>IFERROR(__xludf.DUMMYFUNCTION("""COMPUTED_VALUE"""),"4.8-7.3")</f>
        <v>4.8-7.3</v>
      </c>
      <c r="G135" s="225">
        <f>IFERROR(__xludf.DUMMYFUNCTION("""COMPUTED_VALUE"""),0.0)</f>
        <v>0</v>
      </c>
      <c r="H135" s="225">
        <f>IFERROR(__xludf.DUMMYFUNCTION("""COMPUTED_VALUE"""),34.8)</f>
        <v>34.8</v>
      </c>
      <c r="I135" s="225">
        <f>IFERROR(__xludf.DUMMYFUNCTION("""COMPUTED_VALUE"""),0.0)</f>
        <v>0</v>
      </c>
      <c r="J135" s="225">
        <f>IFERROR(__xludf.DUMMYFUNCTION("""COMPUTED_VALUE"""),1.6)</f>
        <v>1.6</v>
      </c>
      <c r="K135" s="225">
        <f>IFERROR(__xludf.DUMMYFUNCTION("""COMPUTED_VALUE"""),0.1)</f>
        <v>0.1</v>
      </c>
      <c r="L135" s="225">
        <f>IFERROR(__xludf.DUMMYFUNCTION("""COMPUTED_VALUE"""),0.0)</f>
        <v>0</v>
      </c>
      <c r="M135" s="225">
        <f>IFERROR(__xludf.DUMMYFUNCTION("""COMPUTED_VALUE"""),0.0)</f>
        <v>0</v>
      </c>
      <c r="N135" s="224" t="str">
        <f>IFERROR(__xludf.DUMMYFUNCTION("""COMPUTED_VALUE"""),"Eastern Michigan Eagles")</f>
        <v>Eastern Michigan Eagles</v>
      </c>
      <c r="O135" s="224" t="str">
        <f>IFERROR(__xludf.DUMMYFUNCTION("""COMPUTED_VALUE"""),"MAC")</f>
        <v>MAC</v>
      </c>
      <c r="P135" s="227">
        <f>IFERROR(__xludf.DUMMYFUNCTION("if(F135="""","""",indeX(split(F135,""-""),1)-J135/100)"),4.784)</f>
        <v>4.784</v>
      </c>
      <c r="Q135" s="227"/>
    </row>
    <row r="136">
      <c r="B136" s="229" t="str">
        <f>IFERROR(__xludf.DUMMYFUNCTION("""COMPUTED_VALUE"""),"0-0")</f>
        <v>0-0</v>
      </c>
      <c r="C136" s="225">
        <f>IFERROR(__xludf.DUMMYFUNCTION("""COMPUTED_VALUE"""),-16.6)</f>
        <v>-16.6</v>
      </c>
      <c r="D136" s="225">
        <f>IFERROR(__xludf.DUMMYFUNCTION("""COMPUTED_VALUE"""),132.0)</f>
        <v>132</v>
      </c>
      <c r="E136" s="225" t="str">
        <f>IFERROR(__xludf.DUMMYFUNCTION("""COMPUTED_VALUE"""),"--")</f>
        <v>--</v>
      </c>
      <c r="F136" s="224" t="str">
        <f>IFERROR(__xludf.DUMMYFUNCTION("""COMPUTED_VALUE"""),"4.1-8.0")</f>
        <v>4.1-8.0</v>
      </c>
      <c r="G136" s="225">
        <f>IFERROR(__xludf.DUMMYFUNCTION("""COMPUTED_VALUE"""),0.0)</f>
        <v>0</v>
      </c>
      <c r="H136" s="225">
        <f>IFERROR(__xludf.DUMMYFUNCTION("""COMPUTED_VALUE"""),21.7)</f>
        <v>21.7</v>
      </c>
      <c r="I136" s="225">
        <f>IFERROR(__xludf.DUMMYFUNCTION("""COMPUTED_VALUE"""),0.0)</f>
        <v>0</v>
      </c>
      <c r="J136" s="225">
        <f>IFERROR(__xludf.DUMMYFUNCTION("""COMPUTED_VALUE"""),0.9)</f>
        <v>0.9</v>
      </c>
      <c r="K136" s="225">
        <f>IFERROR(__xludf.DUMMYFUNCTION("""COMPUTED_VALUE"""),0.0)</f>
        <v>0</v>
      </c>
      <c r="L136" s="225">
        <f>IFERROR(__xludf.DUMMYFUNCTION("""COMPUTED_VALUE"""),0.0)</f>
        <v>0</v>
      </c>
      <c r="M136" s="225">
        <f>IFERROR(__xludf.DUMMYFUNCTION("""COMPUTED_VALUE"""),0.0)</f>
        <v>0</v>
      </c>
      <c r="N136" s="224" t="str">
        <f>IFERROR(__xludf.DUMMYFUNCTION("""COMPUTED_VALUE"""),"UTEP Miners")</f>
        <v>UTEP Miners</v>
      </c>
      <c r="O136" s="224" t="str">
        <f>IFERROR(__xludf.DUMMYFUNCTION("""COMPUTED_VALUE"""),"Mountain West")</f>
        <v>Mountain West</v>
      </c>
      <c r="P136" s="227">
        <f>IFERROR(__xludf.DUMMYFUNCTION("if(F136="""","""",indeX(split(F136,""-""),1)-J136/100)"),4.090999999999999)</f>
        <v>4.091</v>
      </c>
      <c r="Q136" s="227"/>
    </row>
    <row r="137">
      <c r="B137" s="232" t="str">
        <f>IFERROR(__xludf.DUMMYFUNCTION("""COMPUTED_VALUE"""),"0-0")</f>
        <v>0-0</v>
      </c>
      <c r="C137" s="225">
        <f>IFERROR(__xludf.DUMMYFUNCTION("""COMPUTED_VALUE"""),-16.9)</f>
        <v>-16.9</v>
      </c>
      <c r="D137" s="225">
        <f>IFERROR(__xludf.DUMMYFUNCTION("""COMPUTED_VALUE"""),133.0)</f>
        <v>133</v>
      </c>
      <c r="E137" s="224" t="str">
        <f>IFERROR(__xludf.DUMMYFUNCTION("""COMPUTED_VALUE"""),"--")</f>
        <v>--</v>
      </c>
      <c r="F137" s="224" t="str">
        <f>IFERROR(__xludf.DUMMYFUNCTION("""COMPUTED_VALUE"""),"4.4-7.7")</f>
        <v>4.4-7.7</v>
      </c>
      <c r="G137" s="225">
        <f>IFERROR(__xludf.DUMMYFUNCTION("""COMPUTED_VALUE"""),0.0)</f>
        <v>0</v>
      </c>
      <c r="H137" s="225">
        <f>IFERROR(__xludf.DUMMYFUNCTION("""COMPUTED_VALUE"""),26.9)</f>
        <v>26.9</v>
      </c>
      <c r="I137" s="225">
        <f>IFERROR(__xludf.DUMMYFUNCTION("""COMPUTED_VALUE"""),0.0)</f>
        <v>0</v>
      </c>
      <c r="J137" s="225">
        <f>IFERROR(__xludf.DUMMYFUNCTION("""COMPUTED_VALUE"""),1.6)</f>
        <v>1.6</v>
      </c>
      <c r="K137" s="225">
        <f>IFERROR(__xludf.DUMMYFUNCTION("""COMPUTED_VALUE"""),0.0)</f>
        <v>0</v>
      </c>
      <c r="L137" s="225">
        <f>IFERROR(__xludf.DUMMYFUNCTION("""COMPUTED_VALUE"""),0.0)</f>
        <v>0</v>
      </c>
      <c r="M137" s="225">
        <f>IFERROR(__xludf.DUMMYFUNCTION("""COMPUTED_VALUE"""),0.0)</f>
        <v>0</v>
      </c>
      <c r="N137" s="224" t="str">
        <f>IFERROR(__xludf.DUMMYFUNCTION("""COMPUTED_VALUE"""),"Akron Zips")</f>
        <v>Akron Zips</v>
      </c>
      <c r="O137" s="224" t="str">
        <f>IFERROR(__xludf.DUMMYFUNCTION("""COMPUTED_VALUE"""),"MAC")</f>
        <v>MAC</v>
      </c>
      <c r="P137" s="227">
        <f>IFERROR(__xludf.DUMMYFUNCTION("if(F137="""","""",indeX(split(F137,""-""),1)-J137/100)"),4.384)</f>
        <v>4.384</v>
      </c>
      <c r="Q137" s="227"/>
    </row>
    <row r="138">
      <c r="B138" s="232" t="str">
        <f>IFERROR(__xludf.DUMMYFUNCTION("""COMPUTED_VALUE"""),"0-0")</f>
        <v>0-0</v>
      </c>
      <c r="C138" s="225">
        <f>IFERROR(__xludf.DUMMYFUNCTION("""COMPUTED_VALUE"""),-17.3)</f>
        <v>-17.3</v>
      </c>
      <c r="D138" s="225">
        <f>IFERROR(__xludf.DUMMYFUNCTION("""COMPUTED_VALUE"""),134.0)</f>
        <v>134</v>
      </c>
      <c r="E138" s="224" t="str">
        <f>IFERROR(__xludf.DUMMYFUNCTION("""COMPUTED_VALUE"""),"--")</f>
        <v>--</v>
      </c>
      <c r="F138" s="224" t="str">
        <f>IFERROR(__xludf.DUMMYFUNCTION("""COMPUTED_VALUE"""),"4.2-7.8")</f>
        <v>4.2-7.8</v>
      </c>
      <c r="G138" s="225">
        <f>IFERROR(__xludf.DUMMYFUNCTION("""COMPUTED_VALUE"""),0.0)</f>
        <v>0</v>
      </c>
      <c r="H138" s="225">
        <f>IFERROR(__xludf.DUMMYFUNCTION("""COMPUTED_VALUE"""),25.3)</f>
        <v>25.3</v>
      </c>
      <c r="I138" s="225">
        <f>IFERROR(__xludf.DUMMYFUNCTION("""COMPUTED_VALUE"""),0.0)</f>
        <v>0</v>
      </c>
      <c r="J138" s="225">
        <f>IFERROR(__xludf.DUMMYFUNCTION("""COMPUTED_VALUE"""),1.3)</f>
        <v>1.3</v>
      </c>
      <c r="K138" s="225">
        <f>IFERROR(__xludf.DUMMYFUNCTION("""COMPUTED_VALUE"""),0.1)</f>
        <v>0.1</v>
      </c>
      <c r="L138" s="225">
        <f>IFERROR(__xludf.DUMMYFUNCTION("""COMPUTED_VALUE"""),0.0)</f>
        <v>0</v>
      </c>
      <c r="M138" s="225">
        <f>IFERROR(__xludf.DUMMYFUNCTION("""COMPUTED_VALUE"""),0.0)</f>
        <v>0</v>
      </c>
      <c r="N138" s="224" t="str">
        <f>IFERROR(__xludf.DUMMYFUNCTION("""COMPUTED_VALUE"""),"Ball State Cardinals")</f>
        <v>Ball State Cardinals</v>
      </c>
      <c r="O138" s="224" t="str">
        <f>IFERROR(__xludf.DUMMYFUNCTION("""COMPUTED_VALUE"""),"MAC")</f>
        <v>MAC</v>
      </c>
      <c r="P138" s="227"/>
      <c r="Q138" s="227"/>
    </row>
    <row r="139">
      <c r="B139" s="232" t="str">
        <f>IFERROR(__xludf.DUMMYFUNCTION("""COMPUTED_VALUE"""),"0-0")</f>
        <v>0-0</v>
      </c>
      <c r="C139" s="225">
        <f>IFERROR(__xludf.DUMMYFUNCTION("""COMPUTED_VALUE"""),-17.9)</f>
        <v>-17.9</v>
      </c>
      <c r="D139" s="225">
        <f>IFERROR(__xludf.DUMMYFUNCTION("""COMPUTED_VALUE"""),135.0)</f>
        <v>135</v>
      </c>
      <c r="E139" s="224" t="str">
        <f>IFERROR(__xludf.DUMMYFUNCTION("""COMPUTED_VALUE"""),"--")</f>
        <v>--</v>
      </c>
      <c r="F139" s="224" t="str">
        <f>IFERROR(__xludf.DUMMYFUNCTION("""COMPUTED_VALUE"""),"3.8-8.3")</f>
        <v>3.8-8.3</v>
      </c>
      <c r="G139" s="225">
        <f>IFERROR(__xludf.DUMMYFUNCTION("""COMPUTED_VALUE"""),0.0)</f>
        <v>0</v>
      </c>
      <c r="H139" s="225">
        <f>IFERROR(__xludf.DUMMYFUNCTION("""COMPUTED_VALUE"""),17.4)</f>
        <v>17.4</v>
      </c>
      <c r="I139" s="225">
        <f>IFERROR(__xludf.DUMMYFUNCTION("""COMPUTED_VALUE"""),0.0)</f>
        <v>0</v>
      </c>
      <c r="J139" s="225">
        <f>IFERROR(__xludf.DUMMYFUNCTION("""COMPUTED_VALUE"""),0.9)</f>
        <v>0.9</v>
      </c>
      <c r="K139" s="225">
        <f>IFERROR(__xludf.DUMMYFUNCTION("""COMPUTED_VALUE"""),0.0)</f>
        <v>0</v>
      </c>
      <c r="L139" s="225">
        <f>IFERROR(__xludf.DUMMYFUNCTION("""COMPUTED_VALUE"""),0.0)</f>
        <v>0</v>
      </c>
      <c r="M139" s="225">
        <f>IFERROR(__xludf.DUMMYFUNCTION("""COMPUTED_VALUE"""),0.0)</f>
        <v>0</v>
      </c>
      <c r="N139" s="224" t="str">
        <f>IFERROR(__xludf.DUMMYFUNCTION("""COMPUTED_VALUE"""),"Kent State Golden Flashes")</f>
        <v>Kent State Golden Flashes</v>
      </c>
      <c r="O139" s="224" t="str">
        <f>IFERROR(__xludf.DUMMYFUNCTION("""COMPUTED_VALUE"""),"MAC")</f>
        <v>MAC</v>
      </c>
      <c r="P139" s="227"/>
      <c r="Q139" s="227"/>
    </row>
    <row r="140">
      <c r="B140" s="232" t="str">
        <f>IFERROR(__xludf.DUMMYFUNCTION("""COMPUTED_VALUE"""),"0-0")</f>
        <v>0-0</v>
      </c>
      <c r="C140" s="225">
        <f>IFERROR(__xludf.DUMMYFUNCTION("""COMPUTED_VALUE"""),-18.4)</f>
        <v>-18.4</v>
      </c>
      <c r="D140" s="225">
        <f>IFERROR(__xludf.DUMMYFUNCTION("""COMPUTED_VALUE"""),136.0)</f>
        <v>136</v>
      </c>
      <c r="E140" s="224" t="str">
        <f>IFERROR(__xludf.DUMMYFUNCTION("""COMPUTED_VALUE"""),"--")</f>
        <v>--</v>
      </c>
      <c r="F140" s="224" t="str">
        <f>IFERROR(__xludf.DUMMYFUNCTION("""COMPUTED_VALUE"""),"3.9-8.2")</f>
        <v>3.9-8.2</v>
      </c>
      <c r="G140" s="225">
        <f>IFERROR(__xludf.DUMMYFUNCTION("""COMPUTED_VALUE"""),0.0)</f>
        <v>0</v>
      </c>
      <c r="H140" s="225">
        <f>IFERROR(__xludf.DUMMYFUNCTION("""COMPUTED_VALUE"""),20.4)</f>
        <v>20.4</v>
      </c>
      <c r="I140" s="225">
        <f>IFERROR(__xludf.DUMMYFUNCTION("""COMPUTED_VALUE"""),0.0)</f>
        <v>0</v>
      </c>
      <c r="J140" s="225">
        <f>IFERROR(__xludf.DUMMYFUNCTION("""COMPUTED_VALUE"""),1.2)</f>
        <v>1.2</v>
      </c>
      <c r="K140" s="225">
        <f>IFERROR(__xludf.DUMMYFUNCTION("""COMPUTED_VALUE"""),0.0)</f>
        <v>0</v>
      </c>
      <c r="L140" s="225">
        <f>IFERROR(__xludf.DUMMYFUNCTION("""COMPUTED_VALUE"""),0.0)</f>
        <v>0</v>
      </c>
      <c r="M140" s="225">
        <f>IFERROR(__xludf.DUMMYFUNCTION("""COMPUTED_VALUE"""),0.0)</f>
        <v>0</v>
      </c>
      <c r="N140" s="224" t="str">
        <f>IFERROR(__xludf.DUMMYFUNCTION("""COMPUTED_VALUE"""),"Sam Houston Bearkats")</f>
        <v>Sam Houston Bearkats</v>
      </c>
      <c r="O140" s="224" t="str">
        <f>IFERROR(__xludf.DUMMYFUNCTION("""COMPUTED_VALUE"""),"CUSA")</f>
        <v>CUSA</v>
      </c>
      <c r="P140" s="227"/>
      <c r="Q140" s="227"/>
    </row>
    <row r="141">
      <c r="B141" s="232" t="str">
        <f>IFERROR(__xludf.DUMMYFUNCTION("""COMPUTED_VALUE"""),"0-0")</f>
        <v>0-0</v>
      </c>
      <c r="C141" s="225">
        <f>IFERROR(__xludf.DUMMYFUNCTION("""COMPUTED_VALUE"""),-18.8)</f>
        <v>-18.8</v>
      </c>
      <c r="D141" s="225">
        <f>IFERROR(__xludf.DUMMYFUNCTION("""COMPUTED_VALUE"""),137.0)</f>
        <v>137</v>
      </c>
      <c r="E141" s="224" t="str">
        <f>IFERROR(__xludf.DUMMYFUNCTION("""COMPUTED_VALUE"""),"--")</f>
        <v>--</v>
      </c>
      <c r="F141" s="224" t="str">
        <f>IFERROR(__xludf.DUMMYFUNCTION("""COMPUTED_VALUE"""),"4.9-7.1")</f>
        <v>4.9-7.1</v>
      </c>
      <c r="G141" s="225">
        <f>IFERROR(__xludf.DUMMYFUNCTION("""COMPUTED_VALUE"""),0.0)</f>
        <v>0</v>
      </c>
      <c r="H141" s="225">
        <f>IFERROR(__xludf.DUMMYFUNCTION("""COMPUTED_VALUE"""),35.5)</f>
        <v>35.5</v>
      </c>
      <c r="I141" s="225">
        <f>IFERROR(__xludf.DUMMYFUNCTION("""COMPUTED_VALUE"""),0.0)</f>
        <v>0</v>
      </c>
      <c r="J141" s="225">
        <f>IFERROR(__xludf.DUMMYFUNCTION("""COMPUTED_VALUE"""),0.7)</f>
        <v>0.7</v>
      </c>
      <c r="K141" s="225">
        <f>IFERROR(__xludf.DUMMYFUNCTION("""COMPUTED_VALUE"""),0.0)</f>
        <v>0</v>
      </c>
      <c r="L141" s="225">
        <f>IFERROR(__xludf.DUMMYFUNCTION("""COMPUTED_VALUE"""),0.0)</f>
        <v>0</v>
      </c>
      <c r="M141" s="225">
        <f>IFERROR(__xludf.DUMMYFUNCTION("""COMPUTED_VALUE"""),0.0)</f>
        <v>0</v>
      </c>
      <c r="N141" s="224" t="str">
        <f>IFERROR(__xludf.DUMMYFUNCTION("""COMPUTED_VALUE"""),"Massachusetts Minutemen")</f>
        <v>Massachusetts Minutemen</v>
      </c>
      <c r="O141" s="224" t="str">
        <f>IFERROR(__xludf.DUMMYFUNCTION("""COMPUTED_VALUE"""),"MAC")</f>
        <v>MAC</v>
      </c>
      <c r="P141" s="227"/>
      <c r="Q141" s="227"/>
    </row>
    <row r="142">
      <c r="B142" s="232" t="str">
        <f>IFERROR(__xludf.DUMMYFUNCTION("""COMPUTED_VALUE"""),"0-0")</f>
        <v>0-0</v>
      </c>
      <c r="C142" s="225">
        <f>IFERROR(__xludf.DUMMYFUNCTION("""COMPUTED_VALUE"""),-19.3)</f>
        <v>-19.3</v>
      </c>
      <c r="D142" s="225">
        <f>IFERROR(__xludf.DUMMYFUNCTION("""COMPUTED_VALUE"""),138.0)</f>
        <v>138</v>
      </c>
      <c r="E142" s="224" t="str">
        <f>IFERROR(__xludf.DUMMYFUNCTION("""COMPUTED_VALUE"""),"--")</f>
        <v>--</v>
      </c>
      <c r="F142" s="224" t="str">
        <f>IFERROR(__xludf.DUMMYFUNCTION("""COMPUTED_VALUE"""),"3.4-8.6")</f>
        <v>3.4-8.6</v>
      </c>
      <c r="G142" s="225">
        <f>IFERROR(__xludf.DUMMYFUNCTION("""COMPUTED_VALUE"""),0.0)</f>
        <v>0</v>
      </c>
      <c r="H142" s="225">
        <f>IFERROR(__xludf.DUMMYFUNCTION("""COMPUTED_VALUE"""),15.2)</f>
        <v>15.2</v>
      </c>
      <c r="I142" s="225">
        <f>IFERROR(__xludf.DUMMYFUNCTION("""COMPUTED_VALUE"""),1.5)</f>
        <v>1.5</v>
      </c>
      <c r="J142" s="225">
        <f>IFERROR(__xludf.DUMMYFUNCTION("""COMPUTED_VALUE"""),0.4)</f>
        <v>0.4</v>
      </c>
      <c r="K142" s="225">
        <f>IFERROR(__xludf.DUMMYFUNCTION("""COMPUTED_VALUE"""),0.0)</f>
        <v>0</v>
      </c>
      <c r="L142" s="225">
        <f>IFERROR(__xludf.DUMMYFUNCTION("""COMPUTED_VALUE"""),0.0)</f>
        <v>0</v>
      </c>
      <c r="M142" s="225">
        <f>IFERROR(__xludf.DUMMYFUNCTION("""COMPUTED_VALUE"""),0.0)</f>
        <v>0</v>
      </c>
      <c r="N142" s="224" t="str">
        <f>IFERROR(__xludf.DUMMYFUNCTION("""COMPUTED_VALUE"""),"UL Monroe Warhawks")</f>
        <v>UL Monroe Warhawks</v>
      </c>
      <c r="O142" s="224" t="str">
        <f>IFERROR(__xludf.DUMMYFUNCTION("""COMPUTED_VALUE"""),"Sun Belt")</f>
        <v>Sun Belt</v>
      </c>
      <c r="P142" s="227"/>
      <c r="Q142" s="227"/>
    </row>
    <row r="143">
      <c r="B143" s="232"/>
      <c r="C143" s="225"/>
      <c r="D143" s="225"/>
      <c r="E143" s="224"/>
      <c r="F143" s="224"/>
      <c r="G143" s="225"/>
      <c r="H143" s="225"/>
      <c r="I143" s="225"/>
      <c r="J143" s="225"/>
      <c r="K143" s="225"/>
      <c r="L143" s="225"/>
      <c r="M143" s="225"/>
      <c r="N143" s="224"/>
      <c r="O143" s="224"/>
      <c r="P143" s="227"/>
      <c r="Q143" s="227"/>
    </row>
    <row r="144">
      <c r="B144" s="232"/>
      <c r="C144" s="225"/>
      <c r="D144" s="225"/>
      <c r="E144" s="224"/>
      <c r="F144" s="224"/>
      <c r="G144" s="225"/>
      <c r="H144" s="225"/>
      <c r="I144" s="225"/>
      <c r="J144" s="225"/>
      <c r="K144" s="225"/>
      <c r="L144" s="225"/>
      <c r="M144" s="225"/>
      <c r="N144" s="224"/>
      <c r="O144" s="224"/>
      <c r="P144" s="227"/>
      <c r="Q144" s="227"/>
    </row>
    <row r="145">
      <c r="B145" s="232"/>
      <c r="C145" s="225"/>
      <c r="D145" s="225"/>
      <c r="E145" s="224"/>
      <c r="F145" s="224"/>
      <c r="G145" s="225"/>
      <c r="H145" s="225"/>
      <c r="I145" s="225"/>
      <c r="J145" s="225"/>
      <c r="K145" s="225"/>
      <c r="L145" s="225"/>
      <c r="M145" s="225"/>
      <c r="N145" s="224"/>
      <c r="O145" s="224"/>
      <c r="P145" s="227"/>
      <c r="Q145" s="227"/>
    </row>
    <row r="146">
      <c r="B146" s="232"/>
      <c r="C146" s="225"/>
      <c r="D146" s="225"/>
      <c r="E146" s="224"/>
      <c r="F146" s="224"/>
      <c r="G146" s="225"/>
      <c r="H146" s="225"/>
      <c r="I146" s="225"/>
      <c r="J146" s="225"/>
      <c r="K146" s="225"/>
      <c r="L146" s="225"/>
      <c r="M146" s="225"/>
      <c r="N146" s="224"/>
      <c r="O146" s="224"/>
      <c r="P146" s="227"/>
      <c r="Q146" s="227"/>
    </row>
    <row r="147">
      <c r="B147" s="232"/>
      <c r="C147" s="225"/>
      <c r="D147" s="225"/>
      <c r="E147" s="224"/>
      <c r="F147" s="224"/>
      <c r="G147" s="225"/>
      <c r="H147" s="225"/>
      <c r="I147" s="225"/>
      <c r="J147" s="225"/>
      <c r="K147" s="225"/>
      <c r="L147" s="225"/>
      <c r="M147" s="225"/>
      <c r="N147" s="224"/>
      <c r="O147" s="224"/>
      <c r="P147" s="227"/>
      <c r="Q147" s="227"/>
    </row>
    <row r="148">
      <c r="B148" s="232"/>
      <c r="C148" s="225"/>
      <c r="D148" s="225"/>
      <c r="E148" s="224"/>
      <c r="F148" s="224"/>
      <c r="G148" s="225"/>
      <c r="H148" s="225"/>
      <c r="I148" s="225"/>
      <c r="J148" s="225"/>
      <c r="K148" s="225"/>
      <c r="L148" s="225"/>
      <c r="M148" s="225"/>
      <c r="N148" s="224"/>
      <c r="O148" s="224"/>
      <c r="P148" s="227"/>
      <c r="Q148" s="227"/>
    </row>
    <row r="149">
      <c r="B149" s="232"/>
      <c r="C149" s="225"/>
      <c r="D149" s="225"/>
      <c r="E149" s="224"/>
      <c r="F149" s="224"/>
      <c r="G149" s="225"/>
      <c r="H149" s="225"/>
      <c r="I149" s="225"/>
      <c r="J149" s="225"/>
      <c r="K149" s="225"/>
      <c r="L149" s="225"/>
      <c r="M149" s="225"/>
      <c r="N149" s="224"/>
      <c r="O149" s="224"/>
      <c r="P149" s="227"/>
      <c r="Q149" s="227"/>
    </row>
    <row r="150">
      <c r="B150" s="232"/>
      <c r="C150" s="225"/>
      <c r="D150" s="225"/>
      <c r="E150" s="224"/>
      <c r="F150" s="224"/>
      <c r="G150" s="225"/>
      <c r="H150" s="225"/>
      <c r="I150" s="225"/>
      <c r="J150" s="225"/>
      <c r="K150" s="225"/>
      <c r="L150" s="225"/>
      <c r="M150" s="225"/>
      <c r="N150" s="224"/>
      <c r="O150" s="224"/>
      <c r="P150" s="227"/>
      <c r="Q150" s="227"/>
    </row>
    <row r="151">
      <c r="B151" s="232"/>
      <c r="C151" s="225"/>
      <c r="D151" s="225"/>
      <c r="E151" s="224"/>
      <c r="F151" s="224"/>
      <c r="G151" s="225"/>
      <c r="H151" s="225"/>
      <c r="I151" s="225"/>
      <c r="J151" s="225"/>
      <c r="K151" s="225"/>
      <c r="L151" s="225"/>
      <c r="M151" s="225"/>
      <c r="N151" s="224"/>
      <c r="O151" s="224"/>
      <c r="P151" s="227"/>
      <c r="Q151" s="227"/>
    </row>
    <row r="152">
      <c r="B152" s="232"/>
      <c r="C152" s="225"/>
      <c r="D152" s="225"/>
      <c r="E152" s="224"/>
      <c r="F152" s="224"/>
      <c r="G152" s="225"/>
      <c r="H152" s="225"/>
      <c r="I152" s="225"/>
      <c r="J152" s="225"/>
      <c r="K152" s="225"/>
      <c r="L152" s="225"/>
      <c r="M152" s="225"/>
      <c r="N152" s="224"/>
      <c r="O152" s="224"/>
      <c r="P152" s="227"/>
      <c r="Q152" s="227"/>
    </row>
    <row r="153">
      <c r="B153" s="232"/>
      <c r="C153" s="225"/>
      <c r="D153" s="225"/>
      <c r="E153" s="224"/>
      <c r="F153" s="224"/>
      <c r="G153" s="225"/>
      <c r="H153" s="225"/>
      <c r="I153" s="225"/>
      <c r="J153" s="225"/>
      <c r="K153" s="225"/>
      <c r="L153" s="225"/>
      <c r="M153" s="225"/>
      <c r="N153" s="224"/>
      <c r="O153" s="224"/>
      <c r="P153" s="227"/>
      <c r="Q153" s="227"/>
    </row>
    <row r="154">
      <c r="B154" s="232"/>
      <c r="C154" s="225"/>
      <c r="D154" s="225"/>
      <c r="E154" s="224"/>
      <c r="F154" s="224"/>
      <c r="G154" s="225"/>
      <c r="H154" s="225"/>
      <c r="I154" s="225"/>
      <c r="J154" s="225"/>
      <c r="K154" s="225"/>
      <c r="L154" s="225"/>
      <c r="M154" s="225"/>
      <c r="N154" s="224"/>
      <c r="O154" s="224"/>
      <c r="P154" s="227"/>
      <c r="Q154" s="227"/>
    </row>
    <row r="155">
      <c r="B155" s="232"/>
      <c r="C155" s="225"/>
      <c r="D155" s="225"/>
      <c r="E155" s="224"/>
      <c r="F155" s="224"/>
      <c r="G155" s="225"/>
      <c r="H155" s="225"/>
      <c r="I155" s="225"/>
      <c r="J155" s="225"/>
      <c r="K155" s="225"/>
      <c r="L155" s="225"/>
      <c r="M155" s="225"/>
      <c r="N155" s="224"/>
      <c r="O155" s="224"/>
      <c r="P155" s="227"/>
      <c r="Q155" s="227"/>
    </row>
    <row r="156">
      <c r="B156" s="232"/>
      <c r="C156" s="225"/>
      <c r="D156" s="225"/>
      <c r="E156" s="224"/>
      <c r="F156" s="224"/>
      <c r="G156" s="225"/>
      <c r="H156" s="225"/>
      <c r="I156" s="225"/>
      <c r="J156" s="225"/>
      <c r="K156" s="225"/>
      <c r="L156" s="225"/>
      <c r="M156" s="225"/>
      <c r="N156" s="224"/>
      <c r="O156" s="224"/>
      <c r="P156" s="227"/>
      <c r="Q156" s="227"/>
    </row>
    <row r="157">
      <c r="B157" s="232"/>
      <c r="C157" s="225"/>
      <c r="D157" s="225"/>
      <c r="E157" s="224"/>
      <c r="F157" s="224"/>
      <c r="G157" s="225"/>
      <c r="H157" s="225"/>
      <c r="I157" s="225"/>
      <c r="J157" s="225"/>
      <c r="K157" s="225"/>
      <c r="L157" s="225"/>
      <c r="M157" s="225"/>
      <c r="N157" s="224"/>
      <c r="O157" s="224"/>
      <c r="P157" s="227"/>
      <c r="Q157" s="227"/>
    </row>
    <row r="158">
      <c r="B158" s="232"/>
      <c r="C158" s="225"/>
      <c r="D158" s="225"/>
      <c r="E158" s="224"/>
      <c r="F158" s="224"/>
      <c r="G158" s="225"/>
      <c r="H158" s="225"/>
      <c r="I158" s="225"/>
      <c r="J158" s="225"/>
      <c r="K158" s="225"/>
      <c r="L158" s="225"/>
      <c r="M158" s="225"/>
      <c r="N158" s="224"/>
      <c r="O158" s="224"/>
      <c r="P158" s="227"/>
      <c r="Q158" s="227"/>
    </row>
    <row r="159">
      <c r="B159" s="232"/>
      <c r="C159" s="225"/>
      <c r="D159" s="225"/>
      <c r="E159" s="224"/>
      <c r="F159" s="224"/>
      <c r="G159" s="225"/>
      <c r="H159" s="225"/>
      <c r="I159" s="225"/>
      <c r="J159" s="225"/>
      <c r="K159" s="225"/>
      <c r="L159" s="225"/>
      <c r="M159" s="225"/>
      <c r="N159" s="224"/>
      <c r="O159" s="224"/>
      <c r="P159" s="227"/>
      <c r="Q159" s="227"/>
    </row>
    <row r="160">
      <c r="B160" s="232"/>
      <c r="C160" s="225"/>
      <c r="D160" s="225"/>
      <c r="E160" s="224"/>
      <c r="F160" s="224"/>
      <c r="G160" s="225"/>
      <c r="H160" s="225"/>
      <c r="I160" s="225"/>
      <c r="J160" s="225"/>
      <c r="K160" s="225"/>
      <c r="L160" s="225"/>
      <c r="M160" s="225"/>
      <c r="N160" s="224"/>
      <c r="O160" s="224"/>
      <c r="P160" s="227"/>
      <c r="Q160" s="227"/>
    </row>
    <row r="161">
      <c r="B161" s="232"/>
      <c r="C161" s="225"/>
      <c r="D161" s="225"/>
      <c r="E161" s="224"/>
      <c r="F161" s="224"/>
      <c r="G161" s="225"/>
      <c r="H161" s="225"/>
      <c r="I161" s="225"/>
      <c r="J161" s="225"/>
      <c r="K161" s="225"/>
      <c r="L161" s="225"/>
      <c r="M161" s="225"/>
      <c r="N161" s="224"/>
      <c r="O161" s="224"/>
      <c r="P161" s="227"/>
      <c r="Q161" s="227"/>
    </row>
    <row r="162">
      <c r="B162" s="232"/>
      <c r="C162" s="225"/>
      <c r="D162" s="225"/>
      <c r="E162" s="224"/>
      <c r="F162" s="224"/>
      <c r="G162" s="225"/>
      <c r="H162" s="225"/>
      <c r="I162" s="225"/>
      <c r="J162" s="225"/>
      <c r="K162" s="225"/>
      <c r="L162" s="225"/>
      <c r="M162" s="225"/>
      <c r="N162" s="224"/>
      <c r="O162" s="224"/>
      <c r="P162" s="227"/>
      <c r="Q162" s="227"/>
    </row>
    <row r="163">
      <c r="B163" s="232"/>
      <c r="C163" s="225"/>
      <c r="D163" s="225"/>
      <c r="E163" s="224"/>
      <c r="F163" s="224"/>
      <c r="G163" s="225"/>
      <c r="H163" s="225"/>
      <c r="I163" s="225"/>
      <c r="J163" s="225"/>
      <c r="K163" s="225"/>
      <c r="L163" s="225"/>
      <c r="M163" s="225"/>
      <c r="N163" s="224"/>
      <c r="O163" s="224"/>
      <c r="P163" s="227"/>
      <c r="Q163" s="227"/>
    </row>
    <row r="164">
      <c r="B164" s="232"/>
      <c r="C164" s="225"/>
      <c r="D164" s="225"/>
      <c r="E164" s="224"/>
      <c r="F164" s="224"/>
      <c r="G164" s="225"/>
      <c r="H164" s="225"/>
      <c r="I164" s="225"/>
      <c r="J164" s="225"/>
      <c r="K164" s="225"/>
      <c r="L164" s="225"/>
      <c r="M164" s="225"/>
      <c r="N164" s="224"/>
      <c r="O164" s="224"/>
      <c r="P164" s="227"/>
      <c r="Q164" s="227"/>
    </row>
    <row r="165">
      <c r="B165" s="232"/>
      <c r="C165" s="225"/>
      <c r="D165" s="225"/>
      <c r="E165" s="224"/>
      <c r="F165" s="224"/>
      <c r="G165" s="225"/>
      <c r="H165" s="225"/>
      <c r="I165" s="225"/>
      <c r="J165" s="225"/>
      <c r="K165" s="225"/>
      <c r="L165" s="225"/>
      <c r="M165" s="225"/>
      <c r="N165" s="224"/>
      <c r="O165" s="224"/>
      <c r="P165" s="227"/>
      <c r="Q165" s="227"/>
    </row>
    <row r="166">
      <c r="B166" s="232"/>
      <c r="C166" s="225"/>
      <c r="D166" s="225"/>
      <c r="E166" s="224"/>
      <c r="F166" s="224"/>
      <c r="G166" s="225"/>
      <c r="H166" s="225"/>
      <c r="I166" s="225"/>
      <c r="J166" s="225"/>
      <c r="K166" s="225"/>
      <c r="L166" s="225"/>
      <c r="M166" s="225"/>
      <c r="N166" s="224"/>
      <c r="O166" s="224"/>
      <c r="P166" s="227"/>
      <c r="Q166" s="227"/>
    </row>
    <row r="167">
      <c r="B167" s="232"/>
      <c r="C167" s="225"/>
      <c r="D167" s="225"/>
      <c r="E167" s="224"/>
      <c r="F167" s="224"/>
      <c r="G167" s="225"/>
      <c r="H167" s="225"/>
      <c r="I167" s="225"/>
      <c r="J167" s="225"/>
      <c r="K167" s="225"/>
      <c r="L167" s="225"/>
      <c r="M167" s="225"/>
      <c r="N167" s="224"/>
      <c r="O167" s="224"/>
      <c r="P167" s="227"/>
      <c r="Q167" s="227"/>
    </row>
    <row r="168">
      <c r="B168" s="232"/>
      <c r="C168" s="225"/>
      <c r="D168" s="225"/>
      <c r="E168" s="224"/>
      <c r="F168" s="224"/>
      <c r="G168" s="225"/>
      <c r="H168" s="225"/>
      <c r="I168" s="225"/>
      <c r="J168" s="225"/>
      <c r="K168" s="225"/>
      <c r="L168" s="225"/>
      <c r="M168" s="225"/>
      <c r="N168" s="224"/>
      <c r="O168" s="224"/>
      <c r="P168" s="227"/>
      <c r="Q168" s="227"/>
    </row>
    <row r="169">
      <c r="B169" s="232"/>
      <c r="C169" s="225"/>
      <c r="D169" s="225"/>
      <c r="E169" s="224"/>
      <c r="F169" s="224"/>
      <c r="G169" s="225"/>
      <c r="H169" s="225"/>
      <c r="I169" s="225"/>
      <c r="J169" s="225"/>
      <c r="K169" s="225"/>
      <c r="L169" s="225"/>
      <c r="M169" s="225"/>
      <c r="N169" s="224"/>
      <c r="O169" s="224"/>
      <c r="P169" s="227"/>
      <c r="Q169" s="227"/>
    </row>
    <row r="170">
      <c r="B170" s="232"/>
      <c r="C170" s="225"/>
      <c r="D170" s="225"/>
      <c r="E170" s="224"/>
      <c r="F170" s="224"/>
      <c r="G170" s="225"/>
      <c r="H170" s="225"/>
      <c r="I170" s="225"/>
      <c r="J170" s="225"/>
      <c r="K170" s="225"/>
      <c r="L170" s="225"/>
      <c r="M170" s="225"/>
      <c r="N170" s="224"/>
      <c r="O170" s="224"/>
      <c r="P170" s="227"/>
      <c r="Q170" s="227"/>
    </row>
    <row r="171">
      <c r="B171" s="232"/>
      <c r="C171" s="225"/>
      <c r="D171" s="225"/>
      <c r="E171" s="224"/>
      <c r="F171" s="224"/>
      <c r="G171" s="225"/>
      <c r="H171" s="225"/>
      <c r="I171" s="225"/>
      <c r="J171" s="225"/>
      <c r="K171" s="225"/>
      <c r="L171" s="225"/>
      <c r="M171" s="225"/>
      <c r="N171" s="224"/>
      <c r="O171" s="224"/>
      <c r="P171" s="227"/>
      <c r="Q171" s="227"/>
    </row>
    <row r="172">
      <c r="B172" s="232"/>
      <c r="C172" s="225"/>
      <c r="D172" s="225"/>
      <c r="E172" s="224"/>
      <c r="F172" s="224"/>
      <c r="G172" s="225"/>
      <c r="H172" s="225"/>
      <c r="I172" s="225"/>
      <c r="J172" s="225"/>
      <c r="K172" s="225"/>
      <c r="L172" s="225"/>
      <c r="M172" s="225"/>
      <c r="N172" s="224"/>
      <c r="O172" s="224"/>
      <c r="P172" s="227"/>
      <c r="Q172" s="227"/>
    </row>
    <row r="173">
      <c r="B173" s="232"/>
      <c r="C173" s="225"/>
      <c r="D173" s="225"/>
      <c r="E173" s="224"/>
      <c r="F173" s="224"/>
      <c r="G173" s="225"/>
      <c r="H173" s="225"/>
      <c r="I173" s="225"/>
      <c r="J173" s="225"/>
      <c r="K173" s="225"/>
      <c r="L173" s="225"/>
      <c r="M173" s="225"/>
      <c r="N173" s="224"/>
      <c r="O173" s="224"/>
      <c r="P173" s="227"/>
      <c r="Q173" s="227"/>
    </row>
    <row r="174">
      <c r="B174" s="232"/>
      <c r="C174" s="225"/>
      <c r="D174" s="225"/>
      <c r="E174" s="224"/>
      <c r="F174" s="224"/>
      <c r="G174" s="225"/>
      <c r="H174" s="225"/>
      <c r="I174" s="225"/>
      <c r="J174" s="225"/>
      <c r="K174" s="225"/>
      <c r="L174" s="225"/>
      <c r="M174" s="225"/>
      <c r="N174" s="224"/>
      <c r="O174" s="224"/>
      <c r="P174" s="227"/>
      <c r="Q174" s="227"/>
    </row>
    <row r="175">
      <c r="B175" s="232"/>
      <c r="C175" s="225"/>
      <c r="D175" s="225"/>
      <c r="E175" s="224"/>
      <c r="F175" s="224"/>
      <c r="G175" s="225"/>
      <c r="H175" s="225"/>
      <c r="I175" s="225"/>
      <c r="J175" s="225"/>
      <c r="K175" s="225"/>
      <c r="L175" s="225"/>
      <c r="M175" s="225"/>
      <c r="N175" s="224"/>
      <c r="O175" s="224"/>
      <c r="P175" s="227"/>
      <c r="Q175" s="227"/>
    </row>
    <row r="176">
      <c r="B176" s="232"/>
      <c r="C176" s="225"/>
      <c r="D176" s="225"/>
      <c r="E176" s="224"/>
      <c r="F176" s="224"/>
      <c r="G176" s="225"/>
      <c r="H176" s="225"/>
      <c r="I176" s="225"/>
      <c r="J176" s="225"/>
      <c r="K176" s="225"/>
      <c r="L176" s="225"/>
      <c r="M176" s="225"/>
      <c r="N176" s="224"/>
      <c r="O176" s="224"/>
      <c r="P176" s="227"/>
      <c r="Q176" s="227"/>
    </row>
    <row r="177">
      <c r="B177" s="232"/>
      <c r="C177" s="225"/>
      <c r="D177" s="225"/>
      <c r="E177" s="224"/>
      <c r="F177" s="224"/>
      <c r="G177" s="225"/>
      <c r="H177" s="225"/>
      <c r="I177" s="225"/>
      <c r="J177" s="225"/>
      <c r="K177" s="225"/>
      <c r="L177" s="225"/>
      <c r="M177" s="225"/>
      <c r="N177" s="224"/>
      <c r="O177" s="224"/>
      <c r="P177" s="227"/>
      <c r="Q177" s="227"/>
    </row>
    <row r="178">
      <c r="B178" s="232"/>
      <c r="C178" s="225"/>
      <c r="D178" s="225"/>
      <c r="E178" s="224"/>
      <c r="F178" s="224"/>
      <c r="G178" s="225"/>
      <c r="H178" s="225"/>
      <c r="I178" s="225"/>
      <c r="J178" s="225"/>
      <c r="K178" s="225"/>
      <c r="L178" s="225"/>
      <c r="M178" s="225"/>
      <c r="N178" s="224"/>
      <c r="O178" s="224"/>
      <c r="P178" s="227"/>
      <c r="Q178" s="227"/>
    </row>
    <row r="179">
      <c r="B179" s="232"/>
      <c r="C179" s="225"/>
      <c r="D179" s="225"/>
      <c r="E179" s="224"/>
      <c r="F179" s="224"/>
      <c r="G179" s="225"/>
      <c r="H179" s="225"/>
      <c r="I179" s="225"/>
      <c r="J179" s="225"/>
      <c r="K179" s="225"/>
      <c r="L179" s="225"/>
      <c r="M179" s="225"/>
      <c r="N179" s="224"/>
      <c r="O179" s="224"/>
      <c r="P179" s="227"/>
      <c r="Q179" s="227"/>
    </row>
    <row r="180">
      <c r="B180" s="232"/>
      <c r="C180" s="225"/>
      <c r="D180" s="225"/>
      <c r="E180" s="224"/>
      <c r="F180" s="224"/>
      <c r="G180" s="225"/>
      <c r="H180" s="225"/>
      <c r="I180" s="225"/>
      <c r="J180" s="225"/>
      <c r="K180" s="225"/>
      <c r="L180" s="225"/>
      <c r="M180" s="225"/>
      <c r="N180" s="224"/>
      <c r="O180" s="224"/>
      <c r="P180" s="227"/>
      <c r="Q180" s="227"/>
    </row>
    <row r="181">
      <c r="B181" s="232"/>
      <c r="C181" s="225"/>
      <c r="D181" s="225"/>
      <c r="E181" s="224"/>
      <c r="F181" s="224"/>
      <c r="G181" s="225"/>
      <c r="H181" s="225"/>
      <c r="I181" s="225"/>
      <c r="J181" s="225"/>
      <c r="K181" s="225"/>
      <c r="L181" s="225"/>
      <c r="M181" s="225"/>
      <c r="N181" s="224"/>
      <c r="O181" s="224"/>
      <c r="P181" s="227"/>
      <c r="Q181" s="227"/>
    </row>
    <row r="182">
      <c r="B182" s="232"/>
      <c r="C182" s="225"/>
      <c r="D182" s="225"/>
      <c r="E182" s="224"/>
      <c r="F182" s="224"/>
      <c r="G182" s="225"/>
      <c r="H182" s="225"/>
      <c r="I182" s="225"/>
      <c r="J182" s="225"/>
      <c r="K182" s="225"/>
      <c r="L182" s="225"/>
      <c r="M182" s="225"/>
      <c r="N182" s="224"/>
      <c r="O182" s="224"/>
      <c r="P182" s="227"/>
      <c r="Q182" s="227"/>
    </row>
    <row r="183">
      <c r="B183" s="232"/>
      <c r="C183" s="225"/>
      <c r="D183" s="225"/>
      <c r="E183" s="224"/>
      <c r="F183" s="224"/>
      <c r="G183" s="225"/>
      <c r="H183" s="225"/>
      <c r="I183" s="225"/>
      <c r="J183" s="225"/>
      <c r="K183" s="225"/>
      <c r="L183" s="225"/>
      <c r="M183" s="225"/>
      <c r="N183" s="224"/>
      <c r="O183" s="224"/>
      <c r="P183" s="227"/>
      <c r="Q183" s="227"/>
    </row>
    <row r="184">
      <c r="B184" s="232"/>
      <c r="C184" s="225"/>
      <c r="D184" s="225"/>
      <c r="E184" s="224"/>
      <c r="F184" s="224"/>
      <c r="G184" s="225"/>
      <c r="H184" s="225"/>
      <c r="I184" s="225"/>
      <c r="J184" s="225"/>
      <c r="K184" s="225"/>
      <c r="L184" s="225"/>
      <c r="M184" s="225"/>
      <c r="N184" s="224"/>
      <c r="O184" s="224"/>
      <c r="P184" s="227"/>
      <c r="Q184" s="227"/>
    </row>
    <row r="185">
      <c r="B185" s="232"/>
      <c r="C185" s="225"/>
      <c r="D185" s="225"/>
      <c r="E185" s="224"/>
      <c r="F185" s="224"/>
      <c r="G185" s="225"/>
      <c r="H185" s="225"/>
      <c r="I185" s="225"/>
      <c r="J185" s="225"/>
      <c r="K185" s="225"/>
      <c r="L185" s="225"/>
      <c r="M185" s="225"/>
      <c r="N185" s="224"/>
      <c r="O185" s="224"/>
      <c r="P185" s="227"/>
      <c r="Q185" s="227"/>
    </row>
    <row r="186">
      <c r="B186" s="232"/>
      <c r="C186" s="225"/>
      <c r="D186" s="225"/>
      <c r="E186" s="224"/>
      <c r="F186" s="224"/>
      <c r="G186" s="225"/>
      <c r="H186" s="225"/>
      <c r="I186" s="225"/>
      <c r="J186" s="225"/>
      <c r="K186" s="225"/>
      <c r="L186" s="225"/>
      <c r="M186" s="225"/>
      <c r="N186" s="224"/>
      <c r="O186" s="224"/>
      <c r="P186" s="227"/>
      <c r="Q186" s="227"/>
    </row>
    <row r="187">
      <c r="B187" s="232"/>
      <c r="C187" s="225"/>
      <c r="D187" s="225"/>
      <c r="E187" s="224"/>
      <c r="F187" s="224"/>
      <c r="G187" s="225"/>
      <c r="H187" s="225"/>
      <c r="I187" s="225"/>
      <c r="J187" s="225"/>
      <c r="K187" s="225"/>
      <c r="L187" s="225"/>
      <c r="M187" s="225"/>
      <c r="N187" s="224"/>
      <c r="O187" s="224"/>
      <c r="P187" s="227"/>
      <c r="Q187" s="227"/>
    </row>
    <row r="188">
      <c r="B188" s="232"/>
      <c r="C188" s="225"/>
      <c r="D188" s="225"/>
      <c r="E188" s="224"/>
      <c r="F188" s="224"/>
      <c r="G188" s="225"/>
      <c r="H188" s="225"/>
      <c r="I188" s="225"/>
      <c r="J188" s="225"/>
      <c r="K188" s="225"/>
      <c r="L188" s="225"/>
      <c r="M188" s="225"/>
      <c r="N188" s="224"/>
      <c r="O188" s="224"/>
      <c r="P188" s="227"/>
      <c r="Q188" s="227"/>
    </row>
    <row r="189">
      <c r="B189" s="232"/>
      <c r="C189" s="225"/>
      <c r="D189" s="225"/>
      <c r="E189" s="224"/>
      <c r="F189" s="224"/>
      <c r="G189" s="225"/>
      <c r="H189" s="225"/>
      <c r="I189" s="225"/>
      <c r="J189" s="225"/>
      <c r="K189" s="225"/>
      <c r="L189" s="225"/>
      <c r="M189" s="225"/>
      <c r="N189" s="224"/>
      <c r="O189" s="224"/>
      <c r="P189" s="227"/>
      <c r="Q189" s="227"/>
    </row>
    <row r="190">
      <c r="B190" s="232"/>
      <c r="C190" s="225"/>
      <c r="D190" s="225"/>
      <c r="E190" s="224"/>
      <c r="F190" s="224"/>
      <c r="G190" s="225"/>
      <c r="H190" s="225"/>
      <c r="I190" s="225"/>
      <c r="J190" s="225"/>
      <c r="K190" s="225"/>
      <c r="L190" s="225"/>
      <c r="M190" s="225"/>
      <c r="N190" s="224"/>
      <c r="O190" s="224"/>
      <c r="P190" s="227"/>
      <c r="Q190" s="227"/>
    </row>
    <row r="191">
      <c r="B191" s="232"/>
      <c r="C191" s="225"/>
      <c r="D191" s="225"/>
      <c r="E191" s="224"/>
      <c r="F191" s="224"/>
      <c r="G191" s="225"/>
      <c r="H191" s="225"/>
      <c r="I191" s="225"/>
      <c r="J191" s="225"/>
      <c r="K191" s="225"/>
      <c r="L191" s="225"/>
      <c r="M191" s="225"/>
      <c r="N191" s="224"/>
      <c r="O191" s="224"/>
      <c r="P191" s="227"/>
      <c r="Q191" s="227"/>
    </row>
    <row r="192">
      <c r="B192" s="232"/>
      <c r="C192" s="225"/>
      <c r="D192" s="225"/>
      <c r="E192" s="224"/>
      <c r="F192" s="224"/>
      <c r="G192" s="225"/>
      <c r="H192" s="225"/>
      <c r="I192" s="225"/>
      <c r="J192" s="225"/>
      <c r="K192" s="225"/>
      <c r="L192" s="225"/>
      <c r="M192" s="225"/>
      <c r="N192" s="224"/>
      <c r="O192" s="224"/>
      <c r="P192" s="227"/>
      <c r="Q192" s="227"/>
    </row>
    <row r="193">
      <c r="B193" s="232"/>
      <c r="C193" s="225"/>
      <c r="D193" s="225"/>
      <c r="E193" s="224"/>
      <c r="F193" s="224"/>
      <c r="G193" s="225"/>
      <c r="H193" s="225"/>
      <c r="I193" s="225"/>
      <c r="J193" s="225"/>
      <c r="K193" s="225"/>
      <c r="L193" s="225"/>
      <c r="M193" s="225"/>
      <c r="N193" s="224"/>
      <c r="O193" s="224"/>
      <c r="P193" s="227"/>
      <c r="Q193" s="227"/>
    </row>
    <row r="194">
      <c r="B194" s="232"/>
      <c r="C194" s="225"/>
      <c r="D194" s="225"/>
      <c r="E194" s="224"/>
      <c r="F194" s="224"/>
      <c r="G194" s="225"/>
      <c r="H194" s="225"/>
      <c r="I194" s="225"/>
      <c r="J194" s="225"/>
      <c r="K194" s="225"/>
      <c r="L194" s="225"/>
      <c r="M194" s="225"/>
      <c r="N194" s="224"/>
      <c r="O194" s="224"/>
      <c r="P194" s="227"/>
      <c r="Q194" s="227"/>
    </row>
    <row r="195">
      <c r="B195" s="232"/>
      <c r="C195" s="225"/>
      <c r="D195" s="225"/>
      <c r="E195" s="224"/>
      <c r="F195" s="224"/>
      <c r="G195" s="225"/>
      <c r="H195" s="225"/>
      <c r="I195" s="225"/>
      <c r="J195" s="225"/>
      <c r="K195" s="225"/>
      <c r="L195" s="225"/>
      <c r="M195" s="225"/>
      <c r="N195" s="224"/>
      <c r="O195" s="224"/>
      <c r="P195" s="227"/>
      <c r="Q195" s="227"/>
    </row>
    <row r="196">
      <c r="B196" s="232"/>
      <c r="C196" s="225"/>
      <c r="D196" s="225"/>
      <c r="E196" s="224"/>
      <c r="F196" s="224"/>
      <c r="G196" s="225"/>
      <c r="H196" s="225"/>
      <c r="I196" s="225"/>
      <c r="J196" s="225"/>
      <c r="K196" s="225"/>
      <c r="L196" s="225"/>
      <c r="M196" s="225"/>
      <c r="N196" s="224"/>
      <c r="O196" s="224"/>
      <c r="P196" s="227"/>
      <c r="Q196" s="227"/>
    </row>
    <row r="197">
      <c r="B197" s="232"/>
      <c r="C197" s="225"/>
      <c r="D197" s="225"/>
      <c r="E197" s="224"/>
      <c r="F197" s="224"/>
      <c r="G197" s="225"/>
      <c r="H197" s="225"/>
      <c r="I197" s="225"/>
      <c r="J197" s="225"/>
      <c r="K197" s="225"/>
      <c r="L197" s="225"/>
      <c r="M197" s="225"/>
      <c r="N197" s="224"/>
      <c r="O197" s="224"/>
      <c r="P197" s="227"/>
      <c r="Q197" s="227"/>
    </row>
    <row r="198">
      <c r="B198" s="232"/>
      <c r="C198" s="225"/>
      <c r="D198" s="225"/>
      <c r="E198" s="224"/>
      <c r="F198" s="224"/>
      <c r="G198" s="225"/>
      <c r="H198" s="225"/>
      <c r="I198" s="225"/>
      <c r="J198" s="225"/>
      <c r="K198" s="225"/>
      <c r="L198" s="225"/>
      <c r="M198" s="225"/>
      <c r="N198" s="224"/>
      <c r="O198" s="224"/>
      <c r="P198" s="227"/>
      <c r="Q198" s="227"/>
    </row>
    <row r="199">
      <c r="B199" s="232"/>
      <c r="C199" s="225"/>
      <c r="D199" s="225"/>
      <c r="E199" s="224"/>
      <c r="F199" s="224"/>
      <c r="G199" s="225"/>
      <c r="H199" s="225"/>
      <c r="I199" s="225"/>
      <c r="J199" s="225"/>
      <c r="K199" s="225"/>
      <c r="L199" s="225"/>
      <c r="M199" s="225"/>
      <c r="N199" s="224"/>
      <c r="O199" s="224"/>
      <c r="P199" s="227"/>
      <c r="Q199" s="227"/>
    </row>
    <row r="200">
      <c r="B200" s="232"/>
      <c r="C200" s="225"/>
      <c r="D200" s="225"/>
      <c r="E200" s="224"/>
      <c r="F200" s="224"/>
      <c r="G200" s="225"/>
      <c r="H200" s="225"/>
      <c r="I200" s="225"/>
      <c r="J200" s="225"/>
      <c r="K200" s="225"/>
      <c r="L200" s="225"/>
      <c r="M200" s="225"/>
      <c r="N200" s="224"/>
      <c r="O200" s="224"/>
      <c r="P200" s="227"/>
      <c r="Q200" s="227"/>
    </row>
    <row r="201">
      <c r="B201" s="232"/>
      <c r="C201" s="225"/>
      <c r="D201" s="225"/>
      <c r="E201" s="224"/>
      <c r="F201" s="224"/>
      <c r="G201" s="225"/>
      <c r="H201" s="225"/>
      <c r="I201" s="225"/>
      <c r="J201" s="225"/>
      <c r="K201" s="225"/>
      <c r="L201" s="225"/>
      <c r="M201" s="225"/>
      <c r="N201" s="224"/>
      <c r="O201" s="224"/>
      <c r="P201" s="227"/>
      <c r="Q201" s="227"/>
    </row>
    <row r="202">
      <c r="B202" s="232"/>
      <c r="C202" s="225"/>
      <c r="D202" s="225"/>
      <c r="E202" s="224"/>
      <c r="F202" s="224"/>
      <c r="G202" s="225"/>
      <c r="H202" s="225"/>
      <c r="I202" s="225"/>
      <c r="J202" s="225"/>
      <c r="K202" s="225"/>
      <c r="L202" s="225"/>
      <c r="M202" s="225"/>
      <c r="N202" s="224"/>
      <c r="O202" s="224"/>
      <c r="P202" s="227"/>
      <c r="Q202" s="227"/>
    </row>
    <row r="203">
      <c r="B203" s="232"/>
      <c r="C203" s="225"/>
      <c r="D203" s="225"/>
      <c r="E203" s="224"/>
      <c r="F203" s="224"/>
      <c r="G203" s="225"/>
      <c r="H203" s="225"/>
      <c r="I203" s="225"/>
      <c r="J203" s="225"/>
      <c r="K203" s="225"/>
      <c r="L203" s="225"/>
      <c r="M203" s="225"/>
      <c r="N203" s="224"/>
      <c r="O203" s="224"/>
      <c r="P203" s="227"/>
      <c r="Q203" s="227"/>
    </row>
    <row r="204">
      <c r="B204" s="232"/>
      <c r="C204" s="225"/>
      <c r="D204" s="225"/>
      <c r="E204" s="224"/>
      <c r="F204" s="224"/>
      <c r="G204" s="225"/>
      <c r="H204" s="225"/>
      <c r="I204" s="225"/>
      <c r="J204" s="225"/>
      <c r="K204" s="225"/>
      <c r="L204" s="225"/>
      <c r="M204" s="225"/>
      <c r="N204" s="224"/>
      <c r="O204" s="224"/>
      <c r="P204" s="227"/>
      <c r="Q204" s="227"/>
    </row>
    <row r="205">
      <c r="B205" s="232"/>
      <c r="C205" s="225"/>
      <c r="D205" s="225"/>
      <c r="E205" s="224"/>
      <c r="F205" s="224"/>
      <c r="G205" s="225"/>
      <c r="H205" s="225"/>
      <c r="I205" s="225"/>
      <c r="J205" s="225"/>
      <c r="K205" s="225"/>
      <c r="L205" s="225"/>
      <c r="M205" s="225"/>
      <c r="N205" s="224"/>
      <c r="O205" s="224"/>
      <c r="P205" s="227"/>
      <c r="Q205" s="227"/>
    </row>
    <row r="206">
      <c r="B206" s="232"/>
      <c r="C206" s="225"/>
      <c r="D206" s="225"/>
      <c r="E206" s="224"/>
      <c r="F206" s="224"/>
      <c r="G206" s="225"/>
      <c r="H206" s="225"/>
      <c r="I206" s="225"/>
      <c r="J206" s="225"/>
      <c r="K206" s="225"/>
      <c r="L206" s="225"/>
      <c r="M206" s="225"/>
      <c r="N206" s="224"/>
      <c r="O206" s="224"/>
      <c r="P206" s="227"/>
      <c r="Q206" s="227"/>
    </row>
    <row r="207">
      <c r="B207" s="232"/>
      <c r="C207" s="225"/>
      <c r="D207" s="225"/>
      <c r="E207" s="224"/>
      <c r="F207" s="224"/>
      <c r="G207" s="225"/>
      <c r="H207" s="225"/>
      <c r="I207" s="225"/>
      <c r="J207" s="225"/>
      <c r="K207" s="225"/>
      <c r="L207" s="225"/>
      <c r="M207" s="225"/>
      <c r="N207" s="224"/>
      <c r="O207" s="224"/>
      <c r="P207" s="227"/>
      <c r="Q207" s="227"/>
    </row>
    <row r="208">
      <c r="B208" s="232"/>
      <c r="C208" s="225"/>
      <c r="D208" s="225"/>
      <c r="E208" s="224"/>
      <c r="F208" s="224"/>
      <c r="G208" s="225"/>
      <c r="H208" s="225"/>
      <c r="I208" s="225"/>
      <c r="J208" s="225"/>
      <c r="K208" s="225"/>
      <c r="L208" s="225"/>
      <c r="M208" s="225"/>
      <c r="N208" s="224"/>
      <c r="O208" s="224"/>
      <c r="P208" s="227"/>
      <c r="Q208" s="227"/>
    </row>
    <row r="209">
      <c r="B209" s="232"/>
      <c r="C209" s="225"/>
      <c r="D209" s="225"/>
      <c r="E209" s="224"/>
      <c r="F209" s="224"/>
      <c r="G209" s="225"/>
      <c r="H209" s="225"/>
      <c r="I209" s="225"/>
      <c r="J209" s="225"/>
      <c r="K209" s="225"/>
      <c r="L209" s="225"/>
      <c r="M209" s="225"/>
      <c r="N209" s="224"/>
      <c r="O209" s="224"/>
      <c r="P209" s="227"/>
      <c r="Q209" s="227"/>
    </row>
    <row r="210">
      <c r="B210" s="232"/>
      <c r="C210" s="225"/>
      <c r="D210" s="225"/>
      <c r="E210" s="224"/>
      <c r="F210" s="224"/>
      <c r="G210" s="225"/>
      <c r="H210" s="225"/>
      <c r="I210" s="225"/>
      <c r="J210" s="225"/>
      <c r="K210" s="225"/>
      <c r="L210" s="225"/>
      <c r="M210" s="225"/>
      <c r="N210" s="224"/>
      <c r="O210" s="224"/>
      <c r="P210" s="227"/>
      <c r="Q210" s="227"/>
    </row>
    <row r="211">
      <c r="B211" s="232"/>
      <c r="C211" s="225"/>
      <c r="D211" s="225"/>
      <c r="E211" s="224"/>
      <c r="F211" s="224"/>
      <c r="G211" s="225"/>
      <c r="H211" s="225"/>
      <c r="I211" s="225"/>
      <c r="J211" s="225"/>
      <c r="K211" s="225"/>
      <c r="L211" s="225"/>
      <c r="M211" s="225"/>
      <c r="N211" s="224"/>
      <c r="O211" s="224"/>
      <c r="P211" s="227"/>
      <c r="Q211" s="227"/>
    </row>
    <row r="212">
      <c r="B212" s="232"/>
      <c r="C212" s="225"/>
      <c r="D212" s="225"/>
      <c r="E212" s="224"/>
      <c r="F212" s="224"/>
      <c r="G212" s="225"/>
      <c r="H212" s="225"/>
      <c r="I212" s="225"/>
      <c r="J212" s="225"/>
      <c r="K212" s="225"/>
      <c r="L212" s="225"/>
      <c r="M212" s="225"/>
      <c r="N212" s="224"/>
      <c r="O212" s="224"/>
      <c r="P212" s="227"/>
      <c r="Q212" s="227"/>
    </row>
    <row r="213">
      <c r="B213" s="232"/>
      <c r="C213" s="225"/>
      <c r="D213" s="225"/>
      <c r="E213" s="224"/>
      <c r="F213" s="224"/>
      <c r="G213" s="225"/>
      <c r="H213" s="225"/>
      <c r="I213" s="225"/>
      <c r="J213" s="225"/>
      <c r="K213" s="225"/>
      <c r="L213" s="225"/>
      <c r="M213" s="225"/>
      <c r="N213" s="224"/>
      <c r="O213" s="224"/>
      <c r="P213" s="227"/>
      <c r="Q213" s="227"/>
    </row>
    <row r="214">
      <c r="B214" s="232"/>
      <c r="C214" s="225"/>
      <c r="D214" s="225"/>
      <c r="E214" s="224"/>
      <c r="F214" s="224"/>
      <c r="G214" s="225"/>
      <c r="H214" s="225"/>
      <c r="I214" s="225"/>
      <c r="J214" s="225"/>
      <c r="K214" s="225"/>
      <c r="L214" s="225"/>
      <c r="M214" s="225"/>
      <c r="N214" s="224"/>
      <c r="O214" s="224"/>
      <c r="P214" s="227"/>
      <c r="Q214" s="227"/>
    </row>
    <row r="215">
      <c r="B215" s="232"/>
      <c r="C215" s="225"/>
      <c r="D215" s="225"/>
      <c r="E215" s="224"/>
      <c r="F215" s="224"/>
      <c r="G215" s="225"/>
      <c r="H215" s="225"/>
      <c r="I215" s="225"/>
      <c r="J215" s="225"/>
      <c r="K215" s="225"/>
      <c r="L215" s="225"/>
      <c r="M215" s="225"/>
      <c r="N215" s="224"/>
      <c r="O215" s="224"/>
      <c r="P215" s="227"/>
      <c r="Q215" s="227"/>
    </row>
    <row r="216">
      <c r="B216" s="232"/>
      <c r="C216" s="225"/>
      <c r="D216" s="225"/>
      <c r="E216" s="224"/>
      <c r="F216" s="224"/>
      <c r="G216" s="225"/>
      <c r="H216" s="225"/>
      <c r="I216" s="225"/>
      <c r="J216" s="225"/>
      <c r="K216" s="225"/>
      <c r="L216" s="225"/>
      <c r="M216" s="225"/>
      <c r="N216" s="224"/>
      <c r="O216" s="224"/>
      <c r="P216" s="227"/>
      <c r="Q216" s="227"/>
    </row>
    <row r="217">
      <c r="B217" s="232"/>
      <c r="C217" s="225"/>
      <c r="D217" s="225"/>
      <c r="E217" s="224"/>
      <c r="F217" s="224"/>
      <c r="G217" s="225"/>
      <c r="H217" s="225"/>
      <c r="I217" s="225"/>
      <c r="J217" s="225"/>
      <c r="K217" s="225"/>
      <c r="L217" s="225"/>
      <c r="M217" s="225"/>
      <c r="N217" s="224"/>
      <c r="O217" s="224"/>
      <c r="P217" s="227"/>
      <c r="Q217" s="227"/>
    </row>
    <row r="218">
      <c r="B218" s="232"/>
      <c r="C218" s="225"/>
      <c r="D218" s="225"/>
      <c r="E218" s="224"/>
      <c r="F218" s="224"/>
      <c r="G218" s="225"/>
      <c r="H218" s="225"/>
      <c r="I218" s="225"/>
      <c r="J218" s="225"/>
      <c r="K218" s="225"/>
      <c r="L218" s="225"/>
      <c r="M218" s="225"/>
      <c r="N218" s="224"/>
      <c r="O218" s="224"/>
      <c r="P218" s="227"/>
      <c r="Q218" s="227"/>
    </row>
    <row r="219">
      <c r="B219" s="232"/>
      <c r="C219" s="225"/>
      <c r="D219" s="225"/>
      <c r="E219" s="224"/>
      <c r="F219" s="224"/>
      <c r="G219" s="225"/>
      <c r="H219" s="225"/>
      <c r="I219" s="225"/>
      <c r="J219" s="225"/>
      <c r="K219" s="225"/>
      <c r="L219" s="225"/>
      <c r="M219" s="225"/>
      <c r="N219" s="224"/>
      <c r="O219" s="224"/>
      <c r="P219" s="227"/>
      <c r="Q219" s="227"/>
    </row>
    <row r="220">
      <c r="B220" s="232"/>
      <c r="C220" s="225"/>
      <c r="D220" s="225"/>
      <c r="E220" s="224"/>
      <c r="F220" s="224"/>
      <c r="G220" s="225"/>
      <c r="H220" s="225"/>
      <c r="I220" s="225"/>
      <c r="J220" s="225"/>
      <c r="K220" s="225"/>
      <c r="L220" s="225"/>
      <c r="M220" s="225"/>
      <c r="N220" s="224"/>
      <c r="O220" s="224"/>
      <c r="P220" s="227"/>
      <c r="Q220" s="227"/>
    </row>
    <row r="221">
      <c r="B221" s="232"/>
      <c r="C221" s="225"/>
      <c r="D221" s="225"/>
      <c r="E221" s="224"/>
      <c r="F221" s="224"/>
      <c r="G221" s="225"/>
      <c r="H221" s="225"/>
      <c r="I221" s="225"/>
      <c r="J221" s="225"/>
      <c r="K221" s="225"/>
      <c r="L221" s="225"/>
      <c r="M221" s="225"/>
      <c r="N221" s="224"/>
      <c r="O221" s="224"/>
      <c r="P221" s="227"/>
      <c r="Q221" s="227"/>
    </row>
    <row r="222">
      <c r="B222" s="232"/>
      <c r="C222" s="225"/>
      <c r="D222" s="225"/>
      <c r="E222" s="224"/>
      <c r="F222" s="224"/>
      <c r="G222" s="225"/>
      <c r="H222" s="225"/>
      <c r="I222" s="225"/>
      <c r="J222" s="225"/>
      <c r="K222" s="225"/>
      <c r="L222" s="225"/>
      <c r="M222" s="225"/>
      <c r="N222" s="224"/>
      <c r="O222" s="224"/>
      <c r="P222" s="227"/>
      <c r="Q222" s="227"/>
    </row>
    <row r="223">
      <c r="B223" s="232"/>
      <c r="C223" s="225"/>
      <c r="D223" s="225"/>
      <c r="E223" s="224"/>
      <c r="F223" s="224"/>
      <c r="G223" s="225"/>
      <c r="H223" s="225"/>
      <c r="I223" s="225"/>
      <c r="J223" s="225"/>
      <c r="K223" s="225"/>
      <c r="L223" s="225"/>
      <c r="M223" s="225"/>
      <c r="N223" s="224"/>
      <c r="O223" s="224"/>
      <c r="P223" s="227"/>
      <c r="Q223" s="227"/>
    </row>
    <row r="224">
      <c r="B224" s="232"/>
      <c r="C224" s="225"/>
      <c r="D224" s="225"/>
      <c r="E224" s="224"/>
      <c r="F224" s="224"/>
      <c r="G224" s="225"/>
      <c r="H224" s="225"/>
      <c r="I224" s="225"/>
      <c r="J224" s="225"/>
      <c r="K224" s="225"/>
      <c r="L224" s="225"/>
      <c r="M224" s="225"/>
      <c r="N224" s="224"/>
      <c r="O224" s="224"/>
      <c r="P224" s="227"/>
      <c r="Q224" s="227"/>
    </row>
    <row r="225">
      <c r="B225" s="232"/>
      <c r="C225" s="225"/>
      <c r="D225" s="225"/>
      <c r="E225" s="224"/>
      <c r="F225" s="224"/>
      <c r="G225" s="225"/>
      <c r="H225" s="225"/>
      <c r="I225" s="225"/>
      <c r="J225" s="225"/>
      <c r="K225" s="225"/>
      <c r="L225" s="225"/>
      <c r="M225" s="225"/>
      <c r="N225" s="224"/>
      <c r="O225" s="224"/>
      <c r="P225" s="227"/>
      <c r="Q225" s="227"/>
    </row>
    <row r="226">
      <c r="B226" s="232"/>
      <c r="C226" s="225"/>
      <c r="D226" s="225"/>
      <c r="E226" s="224"/>
      <c r="F226" s="224"/>
      <c r="G226" s="225"/>
      <c r="H226" s="225"/>
      <c r="I226" s="225"/>
      <c r="J226" s="225"/>
      <c r="K226" s="225"/>
      <c r="L226" s="225"/>
      <c r="M226" s="225"/>
      <c r="N226" s="224"/>
      <c r="O226" s="224"/>
      <c r="P226" s="227"/>
      <c r="Q226" s="227"/>
    </row>
    <row r="227">
      <c r="B227" s="232"/>
      <c r="C227" s="225"/>
      <c r="D227" s="225"/>
      <c r="E227" s="224"/>
      <c r="F227" s="224"/>
      <c r="G227" s="225"/>
      <c r="H227" s="225"/>
      <c r="I227" s="225"/>
      <c r="J227" s="225"/>
      <c r="K227" s="225"/>
      <c r="L227" s="225"/>
      <c r="M227" s="225"/>
      <c r="N227" s="224"/>
      <c r="O227" s="224"/>
      <c r="P227" s="227"/>
      <c r="Q227" s="227"/>
    </row>
    <row r="228">
      <c r="B228" s="232"/>
      <c r="C228" s="225"/>
      <c r="D228" s="225"/>
      <c r="E228" s="224"/>
      <c r="F228" s="224"/>
      <c r="G228" s="225"/>
      <c r="H228" s="225"/>
      <c r="I228" s="225"/>
      <c r="J228" s="225"/>
      <c r="K228" s="225"/>
      <c r="L228" s="225"/>
      <c r="M228" s="225"/>
      <c r="N228" s="224"/>
      <c r="O228" s="224"/>
      <c r="P228" s="227"/>
      <c r="Q228" s="227"/>
    </row>
    <row r="229">
      <c r="B229" s="232"/>
      <c r="C229" s="225"/>
      <c r="D229" s="225"/>
      <c r="E229" s="224"/>
      <c r="F229" s="224"/>
      <c r="G229" s="225"/>
      <c r="H229" s="225"/>
      <c r="I229" s="225"/>
      <c r="J229" s="225"/>
      <c r="K229" s="225"/>
      <c r="L229" s="225"/>
      <c r="M229" s="225"/>
      <c r="N229" s="224"/>
      <c r="O229" s="224"/>
      <c r="P229" s="227"/>
      <c r="Q229" s="227"/>
    </row>
    <row r="230">
      <c r="B230" s="232"/>
      <c r="C230" s="225"/>
      <c r="D230" s="225"/>
      <c r="E230" s="224"/>
      <c r="F230" s="224"/>
      <c r="G230" s="225"/>
      <c r="H230" s="225"/>
      <c r="I230" s="225"/>
      <c r="J230" s="225"/>
      <c r="K230" s="225"/>
      <c r="L230" s="225"/>
      <c r="M230" s="225"/>
      <c r="N230" s="224"/>
      <c r="O230" s="224"/>
      <c r="P230" s="227"/>
      <c r="Q230" s="227"/>
    </row>
    <row r="231">
      <c r="B231" s="232"/>
      <c r="C231" s="225"/>
      <c r="D231" s="225"/>
      <c r="E231" s="224"/>
      <c r="F231" s="224"/>
      <c r="G231" s="225"/>
      <c r="H231" s="225"/>
      <c r="I231" s="225"/>
      <c r="J231" s="225"/>
      <c r="K231" s="225"/>
      <c r="L231" s="225"/>
      <c r="M231" s="225"/>
      <c r="N231" s="224"/>
      <c r="O231" s="224"/>
      <c r="P231" s="227"/>
      <c r="Q231" s="227"/>
    </row>
    <row r="232">
      <c r="B232" s="232"/>
      <c r="C232" s="225"/>
      <c r="D232" s="225"/>
      <c r="E232" s="224"/>
      <c r="F232" s="224"/>
      <c r="G232" s="225"/>
      <c r="H232" s="225"/>
      <c r="I232" s="225"/>
      <c r="J232" s="225"/>
      <c r="K232" s="225"/>
      <c r="L232" s="225"/>
      <c r="M232" s="225"/>
      <c r="N232" s="224"/>
      <c r="O232" s="224"/>
      <c r="P232" s="227"/>
      <c r="Q232" s="227"/>
    </row>
    <row r="233">
      <c r="B233" s="232"/>
      <c r="C233" s="225"/>
      <c r="D233" s="225"/>
      <c r="E233" s="224"/>
      <c r="F233" s="224"/>
      <c r="G233" s="225"/>
      <c r="H233" s="225"/>
      <c r="I233" s="225"/>
      <c r="J233" s="225"/>
      <c r="K233" s="225"/>
      <c r="L233" s="225"/>
      <c r="M233" s="225"/>
      <c r="N233" s="224"/>
      <c r="O233" s="224"/>
      <c r="P233" s="227"/>
      <c r="Q233" s="227"/>
    </row>
    <row r="234">
      <c r="B234" s="232"/>
      <c r="C234" s="225"/>
      <c r="D234" s="225"/>
      <c r="E234" s="224"/>
      <c r="F234" s="224"/>
      <c r="G234" s="225"/>
      <c r="H234" s="225"/>
      <c r="I234" s="225"/>
      <c r="J234" s="225"/>
      <c r="K234" s="225"/>
      <c r="L234" s="225"/>
      <c r="M234" s="225"/>
      <c r="N234" s="224"/>
      <c r="O234" s="224"/>
      <c r="P234" s="227"/>
      <c r="Q234" s="227"/>
    </row>
    <row r="235">
      <c r="B235" s="232"/>
      <c r="C235" s="225"/>
      <c r="D235" s="225"/>
      <c r="E235" s="224"/>
      <c r="F235" s="224"/>
      <c r="G235" s="225"/>
      <c r="H235" s="225"/>
      <c r="I235" s="225"/>
      <c r="J235" s="225"/>
      <c r="K235" s="225"/>
      <c r="L235" s="225"/>
      <c r="M235" s="225"/>
      <c r="N235" s="224"/>
      <c r="O235" s="224"/>
      <c r="P235" s="227"/>
      <c r="Q235" s="227"/>
    </row>
    <row r="236">
      <c r="B236" s="232"/>
      <c r="C236" s="225"/>
      <c r="D236" s="225"/>
      <c r="E236" s="224"/>
      <c r="F236" s="224"/>
      <c r="G236" s="225"/>
      <c r="H236" s="225"/>
      <c r="I236" s="225"/>
      <c r="J236" s="225"/>
      <c r="K236" s="225"/>
      <c r="L236" s="225"/>
      <c r="M236" s="225"/>
      <c r="N236" s="224"/>
      <c r="O236" s="224"/>
      <c r="P236" s="227"/>
      <c r="Q236" s="227"/>
    </row>
    <row r="237">
      <c r="B237" s="232"/>
      <c r="C237" s="225"/>
      <c r="D237" s="225"/>
      <c r="E237" s="224"/>
      <c r="F237" s="224"/>
      <c r="G237" s="225"/>
      <c r="H237" s="225"/>
      <c r="I237" s="225"/>
      <c r="J237" s="225"/>
      <c r="K237" s="225"/>
      <c r="L237" s="225"/>
      <c r="M237" s="225"/>
      <c r="N237" s="224"/>
      <c r="O237" s="224"/>
      <c r="P237" s="227"/>
      <c r="Q237" s="227"/>
    </row>
    <row r="238">
      <c r="B238" s="232"/>
      <c r="C238" s="225"/>
      <c r="D238" s="225"/>
      <c r="E238" s="224"/>
      <c r="F238" s="224"/>
      <c r="G238" s="225"/>
      <c r="H238" s="225"/>
      <c r="I238" s="225"/>
      <c r="J238" s="225"/>
      <c r="K238" s="225"/>
      <c r="L238" s="225"/>
      <c r="M238" s="225"/>
      <c r="N238" s="224"/>
      <c r="O238" s="224"/>
      <c r="P238" s="227"/>
      <c r="Q238" s="227"/>
    </row>
    <row r="239">
      <c r="B239" s="232"/>
      <c r="C239" s="225"/>
      <c r="D239" s="225"/>
      <c r="E239" s="224"/>
      <c r="F239" s="224"/>
      <c r="G239" s="225"/>
      <c r="H239" s="225"/>
      <c r="I239" s="225"/>
      <c r="J239" s="225"/>
      <c r="K239" s="225"/>
      <c r="L239" s="225"/>
      <c r="M239" s="225"/>
      <c r="N239" s="224"/>
      <c r="O239" s="224"/>
      <c r="P239" s="227"/>
      <c r="Q239" s="227"/>
    </row>
    <row r="240">
      <c r="B240" s="232"/>
      <c r="C240" s="225"/>
      <c r="D240" s="225"/>
      <c r="E240" s="224"/>
      <c r="F240" s="224"/>
      <c r="G240" s="225"/>
      <c r="H240" s="225"/>
      <c r="I240" s="225"/>
      <c r="J240" s="225"/>
      <c r="K240" s="225"/>
      <c r="L240" s="225"/>
      <c r="M240" s="225"/>
      <c r="N240" s="224"/>
      <c r="O240" s="224"/>
      <c r="P240" s="227"/>
      <c r="Q240" s="227"/>
    </row>
    <row r="241">
      <c r="B241" s="232"/>
      <c r="C241" s="225"/>
      <c r="D241" s="225"/>
      <c r="E241" s="224"/>
      <c r="F241" s="224"/>
      <c r="G241" s="225"/>
      <c r="H241" s="225"/>
      <c r="I241" s="225"/>
      <c r="J241" s="225"/>
      <c r="K241" s="225"/>
      <c r="L241" s="225"/>
      <c r="M241" s="225"/>
      <c r="N241" s="224"/>
      <c r="O241" s="224"/>
      <c r="P241" s="227"/>
      <c r="Q241" s="227"/>
    </row>
    <row r="242">
      <c r="B242" s="232"/>
      <c r="C242" s="225"/>
      <c r="D242" s="225"/>
      <c r="E242" s="224"/>
      <c r="F242" s="224"/>
      <c r="G242" s="225"/>
      <c r="H242" s="225"/>
      <c r="I242" s="225"/>
      <c r="J242" s="225"/>
      <c r="K242" s="225"/>
      <c r="L242" s="225"/>
      <c r="M242" s="225"/>
      <c r="N242" s="224"/>
      <c r="O242" s="224"/>
      <c r="P242" s="227"/>
      <c r="Q242" s="227"/>
    </row>
    <row r="243">
      <c r="B243" s="232"/>
      <c r="C243" s="225"/>
      <c r="D243" s="225"/>
      <c r="E243" s="224"/>
      <c r="F243" s="224"/>
      <c r="G243" s="225"/>
      <c r="H243" s="225"/>
      <c r="I243" s="225"/>
      <c r="J243" s="225"/>
      <c r="K243" s="225"/>
      <c r="L243" s="225"/>
      <c r="M243" s="225"/>
      <c r="N243" s="224"/>
      <c r="O243" s="224"/>
      <c r="P243" s="227"/>
      <c r="Q243" s="227"/>
    </row>
    <row r="244">
      <c r="B244" s="232"/>
      <c r="C244" s="225"/>
      <c r="D244" s="225"/>
      <c r="E244" s="224"/>
      <c r="F244" s="224"/>
      <c r="G244" s="225"/>
      <c r="H244" s="225"/>
      <c r="I244" s="225"/>
      <c r="J244" s="225"/>
      <c r="K244" s="225"/>
      <c r="L244" s="225"/>
      <c r="M244" s="225"/>
      <c r="N244" s="224"/>
      <c r="O244" s="224"/>
      <c r="P244" s="227"/>
      <c r="Q244" s="227"/>
    </row>
    <row r="245">
      <c r="B245" s="232"/>
      <c r="C245" s="225"/>
      <c r="D245" s="225"/>
      <c r="E245" s="224"/>
      <c r="F245" s="224"/>
      <c r="G245" s="225"/>
      <c r="H245" s="225"/>
      <c r="I245" s="225"/>
      <c r="J245" s="225"/>
      <c r="K245" s="225"/>
      <c r="L245" s="225"/>
      <c r="M245" s="225"/>
      <c r="N245" s="224"/>
      <c r="O245" s="224"/>
      <c r="P245" s="227"/>
      <c r="Q245" s="227"/>
    </row>
    <row r="246">
      <c r="B246" s="232"/>
      <c r="C246" s="225"/>
      <c r="D246" s="225"/>
      <c r="E246" s="224"/>
      <c r="F246" s="224"/>
      <c r="G246" s="225"/>
      <c r="H246" s="225"/>
      <c r="I246" s="225"/>
      <c r="J246" s="225"/>
      <c r="K246" s="225"/>
      <c r="L246" s="225"/>
      <c r="M246" s="225"/>
      <c r="N246" s="224"/>
      <c r="O246" s="224"/>
      <c r="P246" s="227"/>
      <c r="Q246" s="227"/>
    </row>
    <row r="247">
      <c r="B247" s="232"/>
      <c r="C247" s="225"/>
      <c r="D247" s="225"/>
      <c r="E247" s="224"/>
      <c r="F247" s="224"/>
      <c r="G247" s="225"/>
      <c r="H247" s="225"/>
      <c r="I247" s="225"/>
      <c r="J247" s="225"/>
      <c r="K247" s="225"/>
      <c r="L247" s="225"/>
      <c r="M247" s="225"/>
      <c r="N247" s="224"/>
      <c r="O247" s="224"/>
      <c r="P247" s="227"/>
      <c r="Q247" s="227"/>
    </row>
    <row r="248">
      <c r="B248" s="232"/>
      <c r="C248" s="225"/>
      <c r="D248" s="225"/>
      <c r="E248" s="224"/>
      <c r="F248" s="224"/>
      <c r="G248" s="225"/>
      <c r="H248" s="225"/>
      <c r="I248" s="225"/>
      <c r="J248" s="225"/>
      <c r="K248" s="225"/>
      <c r="L248" s="225"/>
      <c r="M248" s="225"/>
      <c r="N248" s="224"/>
      <c r="O248" s="224"/>
      <c r="P248" s="227"/>
      <c r="Q248" s="227"/>
    </row>
    <row r="249">
      <c r="B249" s="232"/>
      <c r="C249" s="225"/>
      <c r="D249" s="225"/>
      <c r="E249" s="224"/>
      <c r="F249" s="224"/>
      <c r="G249" s="225"/>
      <c r="H249" s="225"/>
      <c r="I249" s="225"/>
      <c r="J249" s="225"/>
      <c r="K249" s="225"/>
      <c r="L249" s="225"/>
      <c r="M249" s="225"/>
      <c r="N249" s="224"/>
      <c r="O249" s="224"/>
      <c r="P249" s="227"/>
      <c r="Q249" s="227"/>
    </row>
    <row r="250">
      <c r="B250" s="232"/>
      <c r="C250" s="225"/>
      <c r="D250" s="225"/>
      <c r="E250" s="224"/>
      <c r="F250" s="224"/>
      <c r="G250" s="225"/>
      <c r="H250" s="225"/>
      <c r="I250" s="225"/>
      <c r="J250" s="225"/>
      <c r="K250" s="225"/>
      <c r="L250" s="225"/>
      <c r="M250" s="225"/>
      <c r="N250" s="224"/>
      <c r="O250" s="224"/>
      <c r="P250" s="227"/>
      <c r="Q250" s="227"/>
    </row>
    <row r="251">
      <c r="B251" s="232"/>
      <c r="C251" s="225"/>
      <c r="D251" s="225"/>
      <c r="E251" s="224"/>
      <c r="F251" s="224"/>
      <c r="G251" s="225"/>
      <c r="H251" s="225"/>
      <c r="I251" s="225"/>
      <c r="J251" s="225"/>
      <c r="K251" s="225"/>
      <c r="L251" s="225"/>
      <c r="M251" s="225"/>
      <c r="N251" s="224"/>
      <c r="O251" s="224"/>
      <c r="P251" s="227"/>
      <c r="Q251" s="227"/>
    </row>
    <row r="252">
      <c r="B252" s="232"/>
      <c r="C252" s="225"/>
      <c r="D252" s="225"/>
      <c r="E252" s="224"/>
      <c r="F252" s="224"/>
      <c r="G252" s="225"/>
      <c r="H252" s="225"/>
      <c r="I252" s="225"/>
      <c r="J252" s="225"/>
      <c r="K252" s="225"/>
      <c r="L252" s="225"/>
      <c r="M252" s="225"/>
      <c r="N252" s="224"/>
      <c r="O252" s="224"/>
      <c r="P252" s="227"/>
      <c r="Q252" s="227"/>
    </row>
    <row r="253">
      <c r="B253" s="232"/>
      <c r="C253" s="225"/>
      <c r="D253" s="225"/>
      <c r="E253" s="224"/>
      <c r="F253" s="224"/>
      <c r="G253" s="225"/>
      <c r="H253" s="225"/>
      <c r="I253" s="225"/>
      <c r="J253" s="225"/>
      <c r="K253" s="225"/>
      <c r="L253" s="225"/>
      <c r="M253" s="225"/>
      <c r="N253" s="224"/>
      <c r="O253" s="224"/>
      <c r="P253" s="227"/>
      <c r="Q253" s="227"/>
    </row>
    <row r="254">
      <c r="B254" s="232"/>
      <c r="C254" s="225"/>
      <c r="D254" s="225"/>
      <c r="E254" s="224"/>
      <c r="F254" s="224"/>
      <c r="G254" s="225"/>
      <c r="H254" s="225"/>
      <c r="I254" s="225"/>
      <c r="J254" s="225"/>
      <c r="K254" s="225"/>
      <c r="L254" s="225"/>
      <c r="M254" s="225"/>
      <c r="N254" s="224"/>
      <c r="O254" s="224"/>
      <c r="P254" s="227"/>
      <c r="Q254" s="227"/>
    </row>
    <row r="255">
      <c r="B255" s="232"/>
      <c r="C255" s="225"/>
      <c r="D255" s="225"/>
      <c r="E255" s="224"/>
      <c r="F255" s="224"/>
      <c r="G255" s="225"/>
      <c r="H255" s="225"/>
      <c r="I255" s="225"/>
      <c r="J255" s="225"/>
      <c r="K255" s="225"/>
      <c r="L255" s="225"/>
      <c r="M255" s="225"/>
      <c r="N255" s="224"/>
      <c r="O255" s="224"/>
      <c r="P255" s="227"/>
      <c r="Q255" s="227"/>
    </row>
    <row r="256">
      <c r="B256" s="232"/>
      <c r="C256" s="225"/>
      <c r="D256" s="225"/>
      <c r="E256" s="224"/>
      <c r="F256" s="224"/>
      <c r="G256" s="225"/>
      <c r="H256" s="225"/>
      <c r="I256" s="225"/>
      <c r="J256" s="225"/>
      <c r="K256" s="225"/>
      <c r="L256" s="225"/>
      <c r="M256" s="225"/>
      <c r="N256" s="224"/>
      <c r="O256" s="224"/>
      <c r="P256" s="227"/>
      <c r="Q256" s="227"/>
    </row>
    <row r="257">
      <c r="B257" s="232"/>
      <c r="C257" s="225"/>
      <c r="D257" s="225"/>
      <c r="E257" s="224"/>
      <c r="F257" s="224"/>
      <c r="G257" s="225"/>
      <c r="H257" s="225"/>
      <c r="I257" s="225"/>
      <c r="J257" s="225"/>
      <c r="K257" s="225"/>
      <c r="L257" s="225"/>
      <c r="M257" s="225"/>
      <c r="N257" s="224"/>
      <c r="O257" s="224"/>
      <c r="P257" s="227"/>
      <c r="Q257" s="227"/>
    </row>
    <row r="258">
      <c r="B258" s="232"/>
      <c r="C258" s="225"/>
      <c r="D258" s="225"/>
      <c r="E258" s="224"/>
      <c r="F258" s="224"/>
      <c r="G258" s="225"/>
      <c r="H258" s="225"/>
      <c r="I258" s="225"/>
      <c r="J258" s="225"/>
      <c r="K258" s="225"/>
      <c r="L258" s="225"/>
      <c r="M258" s="225"/>
      <c r="N258" s="224"/>
      <c r="O258" s="224"/>
      <c r="P258" s="227"/>
      <c r="Q258" s="227"/>
    </row>
    <row r="259">
      <c r="B259" s="232"/>
      <c r="C259" s="225"/>
      <c r="D259" s="225"/>
      <c r="E259" s="224"/>
      <c r="F259" s="224"/>
      <c r="G259" s="225"/>
      <c r="H259" s="225"/>
      <c r="I259" s="225"/>
      <c r="J259" s="225"/>
      <c r="K259" s="225"/>
      <c r="L259" s="225"/>
      <c r="M259" s="225"/>
      <c r="N259" s="224"/>
      <c r="O259" s="224"/>
      <c r="P259" s="227"/>
      <c r="Q259" s="227"/>
    </row>
    <row r="260">
      <c r="B260" s="232"/>
      <c r="C260" s="225"/>
      <c r="D260" s="225"/>
      <c r="E260" s="224"/>
      <c r="F260" s="224"/>
      <c r="G260" s="225"/>
      <c r="H260" s="225"/>
      <c r="I260" s="225"/>
      <c r="J260" s="225"/>
      <c r="K260" s="225"/>
      <c r="L260" s="225"/>
      <c r="M260" s="225"/>
      <c r="N260" s="224"/>
      <c r="O260" s="224"/>
      <c r="P260" s="227"/>
      <c r="Q260" s="227"/>
    </row>
    <row r="261">
      <c r="B261" s="232"/>
      <c r="C261" s="225"/>
      <c r="D261" s="225"/>
      <c r="E261" s="224"/>
      <c r="F261" s="224"/>
      <c r="G261" s="225"/>
      <c r="H261" s="225"/>
      <c r="I261" s="225"/>
      <c r="J261" s="225"/>
      <c r="K261" s="225"/>
      <c r="L261" s="225"/>
      <c r="M261" s="225"/>
      <c r="N261" s="224"/>
      <c r="O261" s="224"/>
      <c r="P261" s="227"/>
      <c r="Q261" s="227"/>
    </row>
    <row r="262">
      <c r="B262" s="232"/>
      <c r="C262" s="225"/>
      <c r="D262" s="225"/>
      <c r="E262" s="224"/>
      <c r="F262" s="224"/>
      <c r="G262" s="225"/>
      <c r="H262" s="225"/>
      <c r="I262" s="225"/>
      <c r="J262" s="225"/>
      <c r="K262" s="225"/>
      <c r="L262" s="225"/>
      <c r="M262" s="225"/>
      <c r="N262" s="224"/>
      <c r="O262" s="224"/>
      <c r="P262" s="227"/>
      <c r="Q262" s="227"/>
    </row>
    <row r="263">
      <c r="B263" s="232"/>
      <c r="C263" s="225"/>
      <c r="D263" s="225"/>
      <c r="E263" s="224"/>
      <c r="F263" s="224"/>
      <c r="G263" s="225"/>
      <c r="H263" s="225"/>
      <c r="I263" s="225"/>
      <c r="J263" s="225"/>
      <c r="K263" s="225"/>
      <c r="L263" s="225"/>
      <c r="M263" s="225"/>
      <c r="N263" s="224"/>
      <c r="O263" s="224"/>
      <c r="P263" s="227"/>
      <c r="Q263" s="227"/>
    </row>
    <row r="264">
      <c r="B264" s="232"/>
      <c r="C264" s="225"/>
      <c r="D264" s="225"/>
      <c r="E264" s="224"/>
      <c r="F264" s="224"/>
      <c r="G264" s="225"/>
      <c r="H264" s="225"/>
      <c r="I264" s="225"/>
      <c r="J264" s="225"/>
      <c r="K264" s="225"/>
      <c r="L264" s="225"/>
      <c r="M264" s="225"/>
      <c r="N264" s="224"/>
      <c r="O264" s="224"/>
      <c r="P264" s="227"/>
      <c r="Q264" s="227"/>
    </row>
    <row r="265">
      <c r="B265" s="232"/>
      <c r="C265" s="225"/>
      <c r="D265" s="225"/>
      <c r="E265" s="224"/>
      <c r="F265" s="224"/>
      <c r="G265" s="225"/>
      <c r="H265" s="225"/>
      <c r="I265" s="225"/>
      <c r="J265" s="225"/>
      <c r="K265" s="225"/>
      <c r="L265" s="225"/>
      <c r="M265" s="225"/>
      <c r="N265" s="224"/>
      <c r="O265" s="224"/>
      <c r="P265" s="227"/>
      <c r="Q265" s="227"/>
    </row>
    <row r="266">
      <c r="B266" s="232"/>
      <c r="C266" s="225"/>
      <c r="D266" s="225"/>
      <c r="E266" s="224"/>
      <c r="F266" s="224"/>
      <c r="G266" s="225"/>
      <c r="H266" s="225"/>
      <c r="I266" s="225"/>
      <c r="J266" s="225"/>
      <c r="K266" s="225"/>
      <c r="L266" s="225"/>
      <c r="M266" s="225"/>
      <c r="N266" s="224"/>
      <c r="O266" s="224"/>
      <c r="P266" s="227"/>
      <c r="Q266" s="227"/>
    </row>
    <row r="267">
      <c r="B267" s="232"/>
      <c r="C267" s="225"/>
      <c r="D267" s="225"/>
      <c r="E267" s="224"/>
      <c r="F267" s="224"/>
      <c r="G267" s="225"/>
      <c r="H267" s="225"/>
      <c r="I267" s="225"/>
      <c r="J267" s="225"/>
      <c r="K267" s="225"/>
      <c r="L267" s="225"/>
      <c r="M267" s="225"/>
      <c r="N267" s="224"/>
      <c r="O267" s="224"/>
      <c r="P267" s="227"/>
      <c r="Q267" s="227"/>
    </row>
    <row r="268">
      <c r="B268" s="232"/>
      <c r="C268" s="225"/>
      <c r="D268" s="225"/>
      <c r="E268" s="224"/>
      <c r="F268" s="224"/>
      <c r="G268" s="225"/>
      <c r="H268" s="225"/>
      <c r="I268" s="225"/>
      <c r="J268" s="225"/>
      <c r="K268" s="225"/>
      <c r="L268" s="225"/>
      <c r="M268" s="225"/>
      <c r="N268" s="224"/>
      <c r="O268" s="224"/>
      <c r="P268" s="227"/>
      <c r="Q268" s="227"/>
    </row>
    <row r="269">
      <c r="B269" s="232"/>
      <c r="C269" s="225"/>
      <c r="D269" s="225"/>
      <c r="E269" s="224"/>
      <c r="F269" s="224"/>
      <c r="G269" s="225"/>
      <c r="H269" s="225"/>
      <c r="I269" s="225"/>
      <c r="J269" s="225"/>
      <c r="K269" s="225"/>
      <c r="L269" s="225"/>
      <c r="M269" s="225"/>
      <c r="N269" s="224"/>
      <c r="O269" s="224"/>
      <c r="P269" s="227"/>
      <c r="Q269" s="227"/>
    </row>
    <row r="270">
      <c r="B270" s="232"/>
      <c r="C270" s="225"/>
      <c r="D270" s="225"/>
      <c r="E270" s="224"/>
      <c r="F270" s="224"/>
      <c r="G270" s="225"/>
      <c r="H270" s="225"/>
      <c r="I270" s="225"/>
      <c r="J270" s="225"/>
      <c r="K270" s="225"/>
      <c r="L270" s="225"/>
      <c r="M270" s="225"/>
      <c r="N270" s="224"/>
      <c r="O270" s="224"/>
      <c r="P270" s="227"/>
      <c r="Q270" s="227"/>
    </row>
    <row r="271">
      <c r="B271" s="232"/>
      <c r="C271" s="225"/>
      <c r="D271" s="225"/>
      <c r="E271" s="224"/>
      <c r="F271" s="224"/>
      <c r="G271" s="225"/>
      <c r="H271" s="225"/>
      <c r="I271" s="225"/>
      <c r="J271" s="225"/>
      <c r="K271" s="225"/>
      <c r="L271" s="225"/>
      <c r="M271" s="225"/>
      <c r="N271" s="224"/>
      <c r="O271" s="224"/>
      <c r="P271" s="227"/>
      <c r="Q271" s="227"/>
    </row>
    <row r="272">
      <c r="B272" s="232"/>
      <c r="C272" s="225"/>
      <c r="D272" s="225"/>
      <c r="E272" s="224"/>
      <c r="F272" s="224"/>
      <c r="G272" s="225"/>
      <c r="H272" s="225"/>
      <c r="I272" s="225"/>
      <c r="J272" s="225"/>
      <c r="K272" s="225"/>
      <c r="L272" s="225"/>
      <c r="M272" s="225"/>
      <c r="N272" s="224"/>
      <c r="O272" s="224"/>
      <c r="P272" s="227"/>
      <c r="Q272" s="227"/>
    </row>
    <row r="273">
      <c r="B273" s="232"/>
      <c r="C273" s="225"/>
      <c r="D273" s="225"/>
      <c r="E273" s="224"/>
      <c r="F273" s="224"/>
      <c r="G273" s="225"/>
      <c r="H273" s="225"/>
      <c r="I273" s="225"/>
      <c r="J273" s="225"/>
      <c r="K273" s="225"/>
      <c r="L273" s="225"/>
      <c r="M273" s="225"/>
      <c r="N273" s="224"/>
      <c r="O273" s="224"/>
      <c r="P273" s="227"/>
      <c r="Q273" s="227"/>
    </row>
    <row r="274">
      <c r="B274" s="232"/>
      <c r="C274" s="225"/>
      <c r="D274" s="225"/>
      <c r="E274" s="224"/>
      <c r="F274" s="224"/>
      <c r="G274" s="225"/>
      <c r="H274" s="225"/>
      <c r="I274" s="225"/>
      <c r="J274" s="225"/>
      <c r="K274" s="225"/>
      <c r="L274" s="225"/>
      <c r="M274" s="225"/>
      <c r="N274" s="224"/>
      <c r="O274" s="224"/>
      <c r="P274" s="227"/>
      <c r="Q274" s="227"/>
    </row>
    <row r="275">
      <c r="B275" s="232"/>
      <c r="C275" s="225"/>
      <c r="D275" s="225"/>
      <c r="E275" s="224"/>
      <c r="F275" s="224"/>
      <c r="G275" s="225"/>
      <c r="H275" s="225"/>
      <c r="I275" s="225"/>
      <c r="J275" s="225"/>
      <c r="K275" s="225"/>
      <c r="L275" s="225"/>
      <c r="M275" s="225"/>
      <c r="N275" s="224"/>
      <c r="O275" s="224"/>
      <c r="P275" s="227"/>
      <c r="Q275" s="227"/>
    </row>
    <row r="276">
      <c r="B276" s="232"/>
      <c r="C276" s="225"/>
      <c r="D276" s="225"/>
      <c r="E276" s="224"/>
      <c r="F276" s="224"/>
      <c r="G276" s="225"/>
      <c r="H276" s="225"/>
      <c r="I276" s="225"/>
      <c r="J276" s="225"/>
      <c r="K276" s="225"/>
      <c r="L276" s="225"/>
      <c r="M276" s="225"/>
      <c r="N276" s="224"/>
      <c r="O276" s="224"/>
      <c r="P276" s="227"/>
      <c r="Q276" s="227"/>
    </row>
    <row r="277">
      <c r="B277" s="232"/>
      <c r="C277" s="225"/>
      <c r="D277" s="225"/>
      <c r="E277" s="224"/>
      <c r="F277" s="224"/>
      <c r="G277" s="225"/>
      <c r="H277" s="225"/>
      <c r="I277" s="225"/>
      <c r="J277" s="225"/>
      <c r="K277" s="225"/>
      <c r="L277" s="225"/>
      <c r="M277" s="225"/>
      <c r="N277" s="224"/>
      <c r="O277" s="224"/>
      <c r="P277" s="227"/>
      <c r="Q277" s="227"/>
    </row>
    <row r="278">
      <c r="B278" s="232"/>
      <c r="C278" s="225"/>
      <c r="D278" s="225"/>
      <c r="E278" s="224"/>
      <c r="F278" s="224"/>
      <c r="G278" s="225"/>
      <c r="H278" s="225"/>
      <c r="I278" s="225"/>
      <c r="J278" s="225"/>
      <c r="K278" s="225"/>
      <c r="L278" s="225"/>
      <c r="M278" s="225"/>
      <c r="N278" s="224"/>
      <c r="O278" s="224"/>
      <c r="P278" s="227"/>
      <c r="Q278" s="227"/>
    </row>
    <row r="279">
      <c r="B279" s="232"/>
      <c r="C279" s="225"/>
      <c r="D279" s="225"/>
      <c r="E279" s="224"/>
      <c r="F279" s="224"/>
      <c r="G279" s="225"/>
      <c r="H279" s="225"/>
      <c r="I279" s="225"/>
      <c r="J279" s="225"/>
      <c r="K279" s="225"/>
      <c r="L279" s="225"/>
      <c r="M279" s="225"/>
      <c r="N279" s="224"/>
      <c r="O279" s="224"/>
      <c r="P279" s="227"/>
      <c r="Q279" s="227"/>
    </row>
    <row r="280">
      <c r="B280" s="232"/>
      <c r="C280" s="225"/>
      <c r="D280" s="225"/>
      <c r="E280" s="224"/>
      <c r="F280" s="224"/>
      <c r="G280" s="225"/>
      <c r="H280" s="225"/>
      <c r="I280" s="225"/>
      <c r="J280" s="225"/>
      <c r="K280" s="225"/>
      <c r="L280" s="225"/>
      <c r="M280" s="225"/>
      <c r="N280" s="224"/>
      <c r="O280" s="224"/>
      <c r="P280" s="227"/>
      <c r="Q280" s="227"/>
    </row>
    <row r="281">
      <c r="B281" s="232"/>
      <c r="C281" s="225"/>
      <c r="D281" s="225"/>
      <c r="E281" s="224"/>
      <c r="F281" s="224"/>
      <c r="G281" s="225"/>
      <c r="H281" s="225"/>
      <c r="I281" s="225"/>
      <c r="J281" s="225"/>
      <c r="K281" s="225"/>
      <c r="L281" s="225"/>
      <c r="M281" s="225"/>
      <c r="N281" s="224"/>
      <c r="O281" s="224"/>
      <c r="P281" s="227"/>
      <c r="Q281" s="227"/>
    </row>
    <row r="282">
      <c r="B282" s="232"/>
      <c r="C282" s="225"/>
      <c r="D282" s="225"/>
      <c r="E282" s="224"/>
      <c r="F282" s="224"/>
      <c r="G282" s="225"/>
      <c r="H282" s="225"/>
      <c r="I282" s="225"/>
      <c r="J282" s="225"/>
      <c r="K282" s="225"/>
      <c r="L282" s="225"/>
      <c r="M282" s="225"/>
      <c r="N282" s="224"/>
      <c r="O282" s="224"/>
      <c r="P282" s="227"/>
      <c r="Q282" s="227"/>
    </row>
    <row r="283">
      <c r="B283" s="232"/>
      <c r="C283" s="225"/>
      <c r="D283" s="225"/>
      <c r="E283" s="224"/>
      <c r="F283" s="224"/>
      <c r="G283" s="225"/>
      <c r="H283" s="225"/>
      <c r="I283" s="225"/>
      <c r="J283" s="225"/>
      <c r="K283" s="225"/>
      <c r="L283" s="225"/>
      <c r="M283" s="225"/>
      <c r="N283" s="224"/>
      <c r="O283" s="224"/>
      <c r="P283" s="227"/>
      <c r="Q283" s="227"/>
    </row>
    <row r="284">
      <c r="B284" s="232"/>
      <c r="C284" s="225"/>
      <c r="D284" s="225"/>
      <c r="E284" s="224"/>
      <c r="F284" s="224"/>
      <c r="G284" s="225"/>
      <c r="H284" s="225"/>
      <c r="I284" s="225"/>
      <c r="J284" s="225"/>
      <c r="K284" s="225"/>
      <c r="L284" s="225"/>
      <c r="M284" s="225"/>
      <c r="N284" s="224"/>
      <c r="O284" s="224"/>
      <c r="P284" s="227"/>
      <c r="Q284" s="227"/>
    </row>
    <row r="285">
      <c r="B285" s="232"/>
      <c r="C285" s="225"/>
      <c r="D285" s="225"/>
      <c r="E285" s="224"/>
      <c r="F285" s="224"/>
      <c r="G285" s="225"/>
      <c r="H285" s="225"/>
      <c r="I285" s="225"/>
      <c r="J285" s="225"/>
      <c r="K285" s="225"/>
      <c r="L285" s="225"/>
      <c r="M285" s="225"/>
      <c r="N285" s="224"/>
      <c r="O285" s="224"/>
      <c r="P285" s="227"/>
      <c r="Q285" s="227"/>
    </row>
    <row r="286">
      <c r="B286" s="232"/>
      <c r="C286" s="225"/>
      <c r="D286" s="225"/>
      <c r="E286" s="224"/>
      <c r="F286" s="224"/>
      <c r="G286" s="225"/>
      <c r="H286" s="225"/>
      <c r="I286" s="225"/>
      <c r="J286" s="225"/>
      <c r="K286" s="225"/>
      <c r="L286" s="225"/>
      <c r="M286" s="225"/>
      <c r="N286" s="224"/>
      <c r="O286" s="224"/>
      <c r="P286" s="227"/>
      <c r="Q286" s="227"/>
    </row>
    <row r="287">
      <c r="B287" s="232"/>
      <c r="C287" s="225"/>
      <c r="D287" s="225"/>
      <c r="E287" s="224"/>
      <c r="F287" s="224"/>
      <c r="G287" s="225"/>
      <c r="H287" s="225"/>
      <c r="I287" s="225"/>
      <c r="J287" s="225"/>
      <c r="K287" s="225"/>
      <c r="L287" s="225"/>
      <c r="M287" s="225"/>
      <c r="N287" s="224"/>
      <c r="O287" s="224"/>
      <c r="P287" s="227"/>
      <c r="Q287" s="227"/>
    </row>
    <row r="288">
      <c r="B288" s="232"/>
      <c r="C288" s="225"/>
      <c r="D288" s="225"/>
      <c r="E288" s="224"/>
      <c r="F288" s="224"/>
      <c r="G288" s="225"/>
      <c r="H288" s="225"/>
      <c r="I288" s="225"/>
      <c r="J288" s="225"/>
      <c r="K288" s="225"/>
      <c r="L288" s="225"/>
      <c r="M288" s="225"/>
      <c r="N288" s="224"/>
      <c r="O288" s="224"/>
      <c r="P288" s="227"/>
      <c r="Q288" s="227"/>
    </row>
    <row r="289">
      <c r="B289" s="232"/>
      <c r="C289" s="225"/>
      <c r="D289" s="225"/>
      <c r="E289" s="224"/>
      <c r="F289" s="224"/>
      <c r="G289" s="225"/>
      <c r="H289" s="225"/>
      <c r="I289" s="225"/>
      <c r="J289" s="225"/>
      <c r="K289" s="225"/>
      <c r="L289" s="225"/>
      <c r="M289" s="225"/>
      <c r="N289" s="224"/>
      <c r="O289" s="224"/>
      <c r="P289" s="227"/>
      <c r="Q289" s="227"/>
    </row>
    <row r="290">
      <c r="B290" s="232"/>
      <c r="C290" s="225"/>
      <c r="D290" s="225"/>
      <c r="E290" s="224"/>
      <c r="F290" s="224"/>
      <c r="G290" s="225"/>
      <c r="H290" s="225"/>
      <c r="I290" s="225"/>
      <c r="J290" s="225"/>
      <c r="K290" s="225"/>
      <c r="L290" s="225"/>
      <c r="M290" s="225"/>
      <c r="N290" s="224"/>
      <c r="O290" s="224"/>
      <c r="P290" s="227"/>
      <c r="Q290" s="227"/>
    </row>
    <row r="291">
      <c r="B291" s="232"/>
      <c r="C291" s="225"/>
      <c r="D291" s="225"/>
      <c r="E291" s="224"/>
      <c r="F291" s="224"/>
      <c r="G291" s="225"/>
      <c r="H291" s="225"/>
      <c r="I291" s="225"/>
      <c r="J291" s="225"/>
      <c r="K291" s="225"/>
      <c r="L291" s="225"/>
      <c r="M291" s="225"/>
      <c r="N291" s="224"/>
      <c r="O291" s="224"/>
      <c r="P291" s="227"/>
      <c r="Q291" s="227"/>
    </row>
    <row r="292">
      <c r="B292" s="232"/>
      <c r="C292" s="225"/>
      <c r="D292" s="225"/>
      <c r="E292" s="224"/>
      <c r="F292" s="224"/>
      <c r="G292" s="225"/>
      <c r="H292" s="225"/>
      <c r="I292" s="225"/>
      <c r="J292" s="225"/>
      <c r="K292" s="225"/>
      <c r="L292" s="225"/>
      <c r="M292" s="225"/>
      <c r="N292" s="224"/>
      <c r="O292" s="224"/>
      <c r="P292" s="227"/>
      <c r="Q292" s="227"/>
    </row>
    <row r="293">
      <c r="B293" s="232"/>
      <c r="C293" s="225"/>
      <c r="D293" s="225"/>
      <c r="E293" s="224"/>
      <c r="F293" s="224"/>
      <c r="G293" s="225"/>
      <c r="H293" s="225"/>
      <c r="I293" s="225"/>
      <c r="J293" s="225"/>
      <c r="K293" s="225"/>
      <c r="L293" s="225"/>
      <c r="M293" s="225"/>
      <c r="N293" s="224"/>
      <c r="O293" s="224"/>
      <c r="P293" s="227"/>
      <c r="Q293" s="227"/>
    </row>
    <row r="294">
      <c r="B294" s="232"/>
      <c r="C294" s="225"/>
      <c r="D294" s="225"/>
      <c r="E294" s="224"/>
      <c r="F294" s="224"/>
      <c r="G294" s="225"/>
      <c r="H294" s="225"/>
      <c r="I294" s="225"/>
      <c r="J294" s="225"/>
      <c r="K294" s="225"/>
      <c r="L294" s="225"/>
      <c r="M294" s="225"/>
      <c r="N294" s="224"/>
      <c r="O294" s="224"/>
      <c r="P294" s="227"/>
      <c r="Q294" s="227"/>
    </row>
    <row r="295">
      <c r="B295" s="232"/>
      <c r="C295" s="225"/>
      <c r="D295" s="225"/>
      <c r="E295" s="224"/>
      <c r="F295" s="224"/>
      <c r="G295" s="225"/>
      <c r="H295" s="225"/>
      <c r="I295" s="225"/>
      <c r="J295" s="225"/>
      <c r="K295" s="225"/>
      <c r="L295" s="225"/>
      <c r="M295" s="225"/>
      <c r="N295" s="224"/>
      <c r="O295" s="224"/>
      <c r="P295" s="227"/>
      <c r="Q295" s="227"/>
    </row>
    <row r="296">
      <c r="B296" s="232"/>
      <c r="C296" s="225"/>
      <c r="D296" s="225"/>
      <c r="E296" s="224"/>
      <c r="F296" s="224"/>
      <c r="G296" s="225"/>
      <c r="H296" s="225"/>
      <c r="I296" s="225"/>
      <c r="J296" s="225"/>
      <c r="K296" s="225"/>
      <c r="L296" s="225"/>
      <c r="M296" s="225"/>
      <c r="N296" s="224"/>
      <c r="O296" s="224"/>
      <c r="P296" s="227"/>
      <c r="Q296" s="227"/>
    </row>
    <row r="297">
      <c r="B297" s="232"/>
      <c r="C297" s="225"/>
      <c r="D297" s="225"/>
      <c r="E297" s="224"/>
      <c r="F297" s="224"/>
      <c r="G297" s="225"/>
      <c r="H297" s="225"/>
      <c r="I297" s="225"/>
      <c r="J297" s="225"/>
      <c r="K297" s="225"/>
      <c r="L297" s="225"/>
      <c r="M297" s="225"/>
      <c r="N297" s="224"/>
      <c r="O297" s="224"/>
      <c r="P297" s="227"/>
      <c r="Q297" s="227"/>
    </row>
    <row r="298">
      <c r="B298" s="232"/>
      <c r="C298" s="225"/>
      <c r="D298" s="225"/>
      <c r="E298" s="224"/>
      <c r="F298" s="224"/>
      <c r="G298" s="225"/>
      <c r="H298" s="225"/>
      <c r="I298" s="225"/>
      <c r="J298" s="225"/>
      <c r="K298" s="225"/>
      <c r="L298" s="225"/>
      <c r="M298" s="225"/>
      <c r="N298" s="224"/>
      <c r="O298" s="224"/>
      <c r="P298" s="227"/>
      <c r="Q298" s="227"/>
    </row>
    <row r="299">
      <c r="B299" s="232"/>
      <c r="C299" s="225"/>
      <c r="D299" s="225"/>
      <c r="E299" s="224"/>
      <c r="F299" s="224"/>
      <c r="G299" s="225"/>
      <c r="H299" s="225"/>
      <c r="I299" s="225"/>
      <c r="J299" s="225"/>
      <c r="K299" s="225"/>
      <c r="L299" s="225"/>
      <c r="M299" s="225"/>
      <c r="N299" s="224"/>
      <c r="O299" s="224"/>
      <c r="P299" s="227"/>
      <c r="Q299" s="227"/>
    </row>
    <row r="300">
      <c r="B300" s="232"/>
      <c r="C300" s="225"/>
      <c r="D300" s="225"/>
      <c r="E300" s="224"/>
      <c r="F300" s="224"/>
      <c r="G300" s="225"/>
      <c r="H300" s="225"/>
      <c r="I300" s="225"/>
      <c r="J300" s="225"/>
      <c r="K300" s="225"/>
      <c r="L300" s="225"/>
      <c r="M300" s="225"/>
      <c r="N300" s="224"/>
      <c r="O300" s="224"/>
      <c r="P300" s="227"/>
      <c r="Q300" s="227"/>
    </row>
    <row r="301">
      <c r="B301" s="232"/>
      <c r="C301" s="225"/>
      <c r="D301" s="225"/>
      <c r="E301" s="224"/>
      <c r="F301" s="224"/>
      <c r="G301" s="225"/>
      <c r="H301" s="225"/>
      <c r="I301" s="225"/>
      <c r="J301" s="225"/>
      <c r="K301" s="225"/>
      <c r="L301" s="225"/>
      <c r="M301" s="225"/>
      <c r="N301" s="224"/>
      <c r="O301" s="224"/>
      <c r="P301" s="227"/>
      <c r="Q301" s="227"/>
    </row>
    <row r="302">
      <c r="B302" s="232"/>
      <c r="C302" s="225"/>
      <c r="D302" s="225"/>
      <c r="E302" s="224"/>
      <c r="F302" s="224"/>
      <c r="G302" s="225"/>
      <c r="H302" s="225"/>
      <c r="I302" s="225"/>
      <c r="J302" s="225"/>
      <c r="K302" s="225"/>
      <c r="L302" s="225"/>
      <c r="M302" s="225"/>
      <c r="N302" s="224"/>
      <c r="O302" s="224"/>
      <c r="P302" s="227"/>
      <c r="Q302" s="227"/>
    </row>
    <row r="303">
      <c r="B303" s="232"/>
      <c r="C303" s="225"/>
      <c r="D303" s="225"/>
      <c r="E303" s="224"/>
      <c r="F303" s="224"/>
      <c r="G303" s="225"/>
      <c r="H303" s="225"/>
      <c r="I303" s="225"/>
      <c r="J303" s="225"/>
      <c r="K303" s="225"/>
      <c r="L303" s="225"/>
      <c r="M303" s="225"/>
      <c r="N303" s="224"/>
      <c r="O303" s="224"/>
      <c r="P303" s="227"/>
      <c r="Q303" s="227"/>
    </row>
    <row r="304">
      <c r="B304" s="232"/>
      <c r="C304" s="225"/>
      <c r="D304" s="225"/>
      <c r="E304" s="224"/>
      <c r="F304" s="224"/>
      <c r="G304" s="225"/>
      <c r="H304" s="225"/>
      <c r="I304" s="225"/>
      <c r="J304" s="225"/>
      <c r="K304" s="225"/>
      <c r="L304" s="225"/>
      <c r="M304" s="225"/>
      <c r="N304" s="224"/>
      <c r="O304" s="224"/>
      <c r="P304" s="227"/>
      <c r="Q304" s="227"/>
    </row>
    <row r="305">
      <c r="B305" s="232"/>
      <c r="C305" s="225"/>
      <c r="D305" s="225"/>
      <c r="E305" s="224"/>
      <c r="F305" s="224"/>
      <c r="G305" s="225"/>
      <c r="H305" s="225"/>
      <c r="I305" s="225"/>
      <c r="J305" s="225"/>
      <c r="K305" s="225"/>
      <c r="L305" s="225"/>
      <c r="M305" s="225"/>
      <c r="N305" s="224"/>
      <c r="O305" s="224"/>
      <c r="P305" s="227"/>
      <c r="Q305" s="227"/>
    </row>
    <row r="306">
      <c r="B306" s="232"/>
      <c r="C306" s="225"/>
      <c r="D306" s="225"/>
      <c r="E306" s="224"/>
      <c r="F306" s="224"/>
      <c r="G306" s="225"/>
      <c r="H306" s="225"/>
      <c r="I306" s="225"/>
      <c r="J306" s="225"/>
      <c r="K306" s="225"/>
      <c r="L306" s="225"/>
      <c r="M306" s="225"/>
      <c r="N306" s="224"/>
      <c r="O306" s="224"/>
      <c r="P306" s="227"/>
      <c r="Q306" s="227"/>
    </row>
    <row r="307">
      <c r="B307" s="232"/>
      <c r="C307" s="225"/>
      <c r="D307" s="225"/>
      <c r="E307" s="224"/>
      <c r="F307" s="224"/>
      <c r="G307" s="225"/>
      <c r="H307" s="225"/>
      <c r="I307" s="225"/>
      <c r="J307" s="225"/>
      <c r="K307" s="225"/>
      <c r="L307" s="225"/>
      <c r="M307" s="225"/>
      <c r="N307" s="224"/>
      <c r="O307" s="224"/>
      <c r="P307" s="227"/>
      <c r="Q307" s="227"/>
    </row>
    <row r="308">
      <c r="B308" s="232"/>
      <c r="C308" s="225"/>
      <c r="D308" s="225"/>
      <c r="E308" s="224"/>
      <c r="F308" s="224"/>
      <c r="G308" s="225"/>
      <c r="H308" s="225"/>
      <c r="I308" s="225"/>
      <c r="J308" s="225"/>
      <c r="K308" s="225"/>
      <c r="L308" s="225"/>
      <c r="M308" s="225"/>
      <c r="N308" s="224"/>
      <c r="O308" s="224"/>
      <c r="P308" s="227"/>
      <c r="Q308" s="227"/>
    </row>
    <row r="309">
      <c r="B309" s="232"/>
      <c r="C309" s="225"/>
      <c r="D309" s="225"/>
      <c r="E309" s="224"/>
      <c r="F309" s="224"/>
      <c r="G309" s="225"/>
      <c r="H309" s="225"/>
      <c r="I309" s="225"/>
      <c r="J309" s="225"/>
      <c r="K309" s="225"/>
      <c r="L309" s="225"/>
      <c r="M309" s="225"/>
      <c r="N309" s="224"/>
      <c r="O309" s="224"/>
      <c r="P309" s="227"/>
      <c r="Q309" s="227"/>
    </row>
    <row r="310">
      <c r="B310" s="232"/>
      <c r="C310" s="225"/>
      <c r="D310" s="225"/>
      <c r="E310" s="224"/>
      <c r="F310" s="224"/>
      <c r="G310" s="225"/>
      <c r="H310" s="225"/>
      <c r="I310" s="225"/>
      <c r="J310" s="225"/>
      <c r="K310" s="225"/>
      <c r="L310" s="225"/>
      <c r="M310" s="225"/>
      <c r="N310" s="224"/>
      <c r="O310" s="224"/>
      <c r="P310" s="227"/>
      <c r="Q310" s="227"/>
    </row>
    <row r="311">
      <c r="B311" s="232"/>
      <c r="C311" s="225"/>
      <c r="D311" s="225"/>
      <c r="E311" s="224"/>
      <c r="F311" s="224"/>
      <c r="G311" s="225"/>
      <c r="H311" s="225"/>
      <c r="I311" s="225"/>
      <c r="J311" s="225"/>
      <c r="K311" s="225"/>
      <c r="L311" s="225"/>
      <c r="M311" s="225"/>
      <c r="N311" s="224"/>
      <c r="O311" s="224"/>
      <c r="P311" s="227"/>
      <c r="Q311" s="227"/>
    </row>
    <row r="312">
      <c r="B312" s="232"/>
      <c r="C312" s="225"/>
      <c r="D312" s="225"/>
      <c r="E312" s="224"/>
      <c r="F312" s="224"/>
      <c r="G312" s="225"/>
      <c r="H312" s="225"/>
      <c r="I312" s="225"/>
      <c r="J312" s="225"/>
      <c r="K312" s="225"/>
      <c r="L312" s="225"/>
      <c r="M312" s="225"/>
      <c r="N312" s="224"/>
      <c r="O312" s="224"/>
      <c r="P312" s="227"/>
      <c r="Q312" s="227"/>
    </row>
    <row r="313">
      <c r="B313" s="232"/>
      <c r="C313" s="225"/>
      <c r="D313" s="225"/>
      <c r="E313" s="224"/>
      <c r="F313" s="224"/>
      <c r="G313" s="225"/>
      <c r="H313" s="225"/>
      <c r="I313" s="225"/>
      <c r="J313" s="225"/>
      <c r="K313" s="225"/>
      <c r="L313" s="225"/>
      <c r="M313" s="225"/>
      <c r="N313" s="224"/>
      <c r="O313" s="224"/>
      <c r="P313" s="227"/>
      <c r="Q313" s="227"/>
    </row>
    <row r="314">
      <c r="B314" s="232"/>
      <c r="C314" s="225"/>
      <c r="D314" s="225"/>
      <c r="E314" s="224"/>
      <c r="F314" s="224"/>
      <c r="G314" s="225"/>
      <c r="H314" s="225"/>
      <c r="I314" s="225"/>
      <c r="J314" s="225"/>
      <c r="K314" s="225"/>
      <c r="L314" s="225"/>
      <c r="M314" s="225"/>
      <c r="N314" s="224"/>
      <c r="O314" s="224"/>
      <c r="P314" s="227"/>
      <c r="Q314" s="227"/>
    </row>
    <row r="315">
      <c r="B315" s="232"/>
      <c r="C315" s="225"/>
      <c r="D315" s="225"/>
      <c r="E315" s="224"/>
      <c r="F315" s="224"/>
      <c r="G315" s="225"/>
      <c r="H315" s="225"/>
      <c r="I315" s="225"/>
      <c r="J315" s="225"/>
      <c r="K315" s="225"/>
      <c r="L315" s="225"/>
      <c r="M315" s="225"/>
      <c r="N315" s="224"/>
      <c r="O315" s="224"/>
      <c r="P315" s="227"/>
      <c r="Q315" s="227"/>
    </row>
    <row r="316">
      <c r="B316" s="232"/>
      <c r="C316" s="225"/>
      <c r="D316" s="225"/>
      <c r="E316" s="224"/>
      <c r="F316" s="224"/>
      <c r="G316" s="225"/>
      <c r="H316" s="225"/>
      <c r="I316" s="225"/>
      <c r="J316" s="225"/>
      <c r="K316" s="225"/>
      <c r="L316" s="225"/>
      <c r="M316" s="225"/>
      <c r="N316" s="224"/>
      <c r="O316" s="224"/>
      <c r="P316" s="227"/>
      <c r="Q316" s="227"/>
    </row>
    <row r="317">
      <c r="B317" s="232"/>
      <c r="C317" s="225"/>
      <c r="D317" s="225"/>
      <c r="E317" s="224"/>
      <c r="F317" s="224"/>
      <c r="G317" s="225"/>
      <c r="H317" s="225"/>
      <c r="I317" s="225"/>
      <c r="J317" s="225"/>
      <c r="K317" s="225"/>
      <c r="L317" s="225"/>
      <c r="M317" s="225"/>
      <c r="N317" s="224"/>
      <c r="O317" s="224"/>
      <c r="P317" s="227"/>
      <c r="Q317" s="227"/>
    </row>
    <row r="318">
      <c r="B318" s="232"/>
      <c r="C318" s="225"/>
      <c r="D318" s="225"/>
      <c r="E318" s="224"/>
      <c r="F318" s="224"/>
      <c r="G318" s="225"/>
      <c r="H318" s="225"/>
      <c r="I318" s="225"/>
      <c r="J318" s="225"/>
      <c r="K318" s="225"/>
      <c r="L318" s="225"/>
      <c r="M318" s="225"/>
      <c r="N318" s="224"/>
      <c r="O318" s="224"/>
      <c r="P318" s="227"/>
      <c r="Q318" s="227"/>
    </row>
    <row r="319">
      <c r="B319" s="232"/>
      <c r="C319" s="225"/>
      <c r="D319" s="225"/>
      <c r="E319" s="224"/>
      <c r="F319" s="224"/>
      <c r="G319" s="225"/>
      <c r="H319" s="225"/>
      <c r="I319" s="225"/>
      <c r="J319" s="225"/>
      <c r="K319" s="225"/>
      <c r="L319" s="225"/>
      <c r="M319" s="225"/>
      <c r="N319" s="224"/>
      <c r="O319" s="224"/>
      <c r="P319" s="227"/>
      <c r="Q319" s="227"/>
    </row>
    <row r="320">
      <c r="B320" s="232"/>
      <c r="C320" s="225"/>
      <c r="D320" s="225"/>
      <c r="E320" s="224"/>
      <c r="F320" s="224"/>
      <c r="G320" s="225"/>
      <c r="H320" s="225"/>
      <c r="I320" s="225"/>
      <c r="J320" s="225"/>
      <c r="K320" s="225"/>
      <c r="L320" s="225"/>
      <c r="M320" s="225"/>
      <c r="N320" s="224"/>
      <c r="O320" s="224"/>
      <c r="P320" s="227"/>
      <c r="Q320" s="227"/>
    </row>
    <row r="321">
      <c r="B321" s="232"/>
      <c r="C321" s="225"/>
      <c r="D321" s="225"/>
      <c r="E321" s="224"/>
      <c r="F321" s="224"/>
      <c r="G321" s="225"/>
      <c r="H321" s="225"/>
      <c r="I321" s="225"/>
      <c r="J321" s="225"/>
      <c r="K321" s="225"/>
      <c r="L321" s="225"/>
      <c r="M321" s="225"/>
      <c r="N321" s="224"/>
      <c r="O321" s="224"/>
      <c r="P321" s="227"/>
      <c r="Q321" s="227"/>
    </row>
    <row r="322">
      <c r="B322" s="232"/>
      <c r="C322" s="225"/>
      <c r="D322" s="225"/>
      <c r="E322" s="224"/>
      <c r="F322" s="224"/>
      <c r="G322" s="225"/>
      <c r="H322" s="225"/>
      <c r="I322" s="225"/>
      <c r="J322" s="225"/>
      <c r="K322" s="225"/>
      <c r="L322" s="225"/>
      <c r="M322" s="225"/>
      <c r="N322" s="224"/>
      <c r="O322" s="224"/>
      <c r="P322" s="227"/>
      <c r="Q322" s="227"/>
    </row>
    <row r="323">
      <c r="B323" s="232"/>
      <c r="C323" s="225"/>
      <c r="D323" s="225"/>
      <c r="E323" s="224"/>
      <c r="F323" s="224"/>
      <c r="G323" s="225"/>
      <c r="H323" s="225"/>
      <c r="I323" s="225"/>
      <c r="J323" s="225"/>
      <c r="K323" s="225"/>
      <c r="L323" s="225"/>
      <c r="M323" s="225"/>
      <c r="N323" s="224"/>
      <c r="O323" s="224"/>
      <c r="P323" s="227"/>
      <c r="Q323" s="227"/>
    </row>
    <row r="324">
      <c r="B324" s="232"/>
      <c r="C324" s="225"/>
      <c r="D324" s="225"/>
      <c r="E324" s="224"/>
      <c r="F324" s="224"/>
      <c r="G324" s="225"/>
      <c r="H324" s="225"/>
      <c r="I324" s="225"/>
      <c r="J324" s="225"/>
      <c r="K324" s="225"/>
      <c r="L324" s="225"/>
      <c r="M324" s="225"/>
      <c r="N324" s="224"/>
      <c r="O324" s="224"/>
      <c r="P324" s="227"/>
      <c r="Q324" s="227"/>
    </row>
    <row r="325">
      <c r="B325" s="232"/>
      <c r="C325" s="225"/>
      <c r="D325" s="225"/>
      <c r="E325" s="224"/>
      <c r="F325" s="224"/>
      <c r="G325" s="225"/>
      <c r="H325" s="225"/>
      <c r="I325" s="225"/>
      <c r="J325" s="225"/>
      <c r="K325" s="225"/>
      <c r="L325" s="225"/>
      <c r="M325" s="225"/>
      <c r="N325" s="224"/>
      <c r="O325" s="224"/>
      <c r="P325" s="227"/>
      <c r="Q325" s="227"/>
    </row>
    <row r="326">
      <c r="B326" s="232"/>
      <c r="C326" s="225"/>
      <c r="D326" s="225"/>
      <c r="E326" s="224"/>
      <c r="F326" s="224"/>
      <c r="G326" s="225"/>
      <c r="H326" s="225"/>
      <c r="I326" s="225"/>
      <c r="J326" s="225"/>
      <c r="K326" s="225"/>
      <c r="L326" s="225"/>
      <c r="M326" s="225"/>
      <c r="N326" s="224"/>
      <c r="O326" s="224"/>
      <c r="P326" s="227"/>
      <c r="Q326" s="227"/>
    </row>
    <row r="327">
      <c r="B327" s="232"/>
      <c r="C327" s="225"/>
      <c r="D327" s="225"/>
      <c r="E327" s="224"/>
      <c r="F327" s="224"/>
      <c r="G327" s="225"/>
      <c r="H327" s="225"/>
      <c r="I327" s="225"/>
      <c r="J327" s="225"/>
      <c r="K327" s="225"/>
      <c r="L327" s="225"/>
      <c r="M327" s="225"/>
      <c r="N327" s="224"/>
      <c r="O327" s="224"/>
      <c r="P327" s="227"/>
      <c r="Q327" s="227"/>
    </row>
    <row r="328">
      <c r="B328" s="232"/>
      <c r="C328" s="225"/>
      <c r="D328" s="225"/>
      <c r="E328" s="224"/>
      <c r="F328" s="224"/>
      <c r="G328" s="225"/>
      <c r="H328" s="225"/>
      <c r="I328" s="225"/>
      <c r="J328" s="225"/>
      <c r="K328" s="225"/>
      <c r="L328" s="225"/>
      <c r="M328" s="225"/>
      <c r="N328" s="224"/>
      <c r="O328" s="224"/>
      <c r="P328" s="227"/>
      <c r="Q328" s="227"/>
    </row>
    <row r="329">
      <c r="B329" s="232"/>
      <c r="C329" s="225"/>
      <c r="D329" s="225"/>
      <c r="E329" s="224"/>
      <c r="F329" s="224"/>
      <c r="G329" s="225"/>
      <c r="H329" s="225"/>
      <c r="I329" s="225"/>
      <c r="J329" s="225"/>
      <c r="K329" s="225"/>
      <c r="L329" s="225"/>
      <c r="M329" s="225"/>
      <c r="N329" s="224"/>
      <c r="O329" s="224"/>
      <c r="P329" s="227"/>
      <c r="Q329" s="227"/>
    </row>
    <row r="330">
      <c r="B330" s="232"/>
      <c r="C330" s="225"/>
      <c r="D330" s="225"/>
      <c r="E330" s="224"/>
      <c r="F330" s="224"/>
      <c r="G330" s="225"/>
      <c r="H330" s="225"/>
      <c r="I330" s="225"/>
      <c r="J330" s="225"/>
      <c r="K330" s="225"/>
      <c r="L330" s="225"/>
      <c r="M330" s="225"/>
      <c r="N330" s="224"/>
      <c r="O330" s="224"/>
      <c r="P330" s="227"/>
      <c r="Q330" s="227"/>
    </row>
    <row r="331">
      <c r="B331" s="232"/>
      <c r="C331" s="225"/>
      <c r="D331" s="225"/>
      <c r="E331" s="224"/>
      <c r="F331" s="224"/>
      <c r="G331" s="225"/>
      <c r="H331" s="225"/>
      <c r="I331" s="225"/>
      <c r="J331" s="225"/>
      <c r="K331" s="225"/>
      <c r="L331" s="225"/>
      <c r="M331" s="225"/>
      <c r="N331" s="224"/>
      <c r="O331" s="224"/>
      <c r="P331" s="227"/>
      <c r="Q331" s="227"/>
    </row>
    <row r="332">
      <c r="B332" s="232"/>
      <c r="C332" s="225"/>
      <c r="D332" s="225"/>
      <c r="E332" s="224"/>
      <c r="F332" s="224"/>
      <c r="G332" s="225"/>
      <c r="H332" s="225"/>
      <c r="I332" s="225"/>
      <c r="J332" s="225"/>
      <c r="K332" s="225"/>
      <c r="L332" s="225"/>
      <c r="M332" s="225"/>
      <c r="N332" s="224"/>
      <c r="O332" s="224"/>
      <c r="P332" s="227"/>
      <c r="Q332" s="227"/>
    </row>
    <row r="333">
      <c r="B333" s="232"/>
      <c r="C333" s="225"/>
      <c r="D333" s="225"/>
      <c r="E333" s="224"/>
      <c r="F333" s="224"/>
      <c r="G333" s="225"/>
      <c r="H333" s="225"/>
      <c r="I333" s="225"/>
      <c r="J333" s="225"/>
      <c r="K333" s="225"/>
      <c r="L333" s="225"/>
      <c r="M333" s="225"/>
      <c r="N333" s="224"/>
      <c r="O333" s="224"/>
      <c r="P333" s="227"/>
      <c r="Q333" s="227"/>
    </row>
    <row r="334">
      <c r="B334" s="232"/>
      <c r="C334" s="225"/>
      <c r="D334" s="225"/>
      <c r="E334" s="224"/>
      <c r="F334" s="224"/>
      <c r="G334" s="225"/>
      <c r="H334" s="225"/>
      <c r="I334" s="225"/>
      <c r="J334" s="225"/>
      <c r="K334" s="225"/>
      <c r="L334" s="225"/>
      <c r="M334" s="225"/>
      <c r="N334" s="224"/>
      <c r="O334" s="224"/>
      <c r="P334" s="227"/>
      <c r="Q334" s="227"/>
    </row>
    <row r="335">
      <c r="B335" s="232"/>
      <c r="C335" s="225"/>
      <c r="D335" s="225"/>
      <c r="E335" s="224"/>
      <c r="F335" s="224"/>
      <c r="G335" s="225"/>
      <c r="H335" s="225"/>
      <c r="I335" s="225"/>
      <c r="J335" s="225"/>
      <c r="K335" s="225"/>
      <c r="L335" s="225"/>
      <c r="M335" s="225"/>
      <c r="N335" s="224"/>
      <c r="O335" s="224"/>
      <c r="P335" s="227"/>
      <c r="Q335" s="227"/>
    </row>
    <row r="336">
      <c r="B336" s="232"/>
      <c r="C336" s="225"/>
      <c r="D336" s="225"/>
      <c r="E336" s="224"/>
      <c r="F336" s="224"/>
      <c r="G336" s="225"/>
      <c r="H336" s="225"/>
      <c r="I336" s="225"/>
      <c r="J336" s="225"/>
      <c r="K336" s="225"/>
      <c r="L336" s="225"/>
      <c r="M336" s="225"/>
      <c r="N336" s="224"/>
      <c r="O336" s="224"/>
      <c r="P336" s="227"/>
      <c r="Q336" s="227"/>
    </row>
    <row r="337">
      <c r="B337" s="232"/>
      <c r="C337" s="225"/>
      <c r="D337" s="225"/>
      <c r="E337" s="224"/>
      <c r="F337" s="224"/>
      <c r="G337" s="225"/>
      <c r="H337" s="225"/>
      <c r="I337" s="225"/>
      <c r="J337" s="225"/>
      <c r="K337" s="225"/>
      <c r="L337" s="225"/>
      <c r="M337" s="225"/>
      <c r="N337" s="224"/>
      <c r="O337" s="224"/>
      <c r="P337" s="227"/>
      <c r="Q337" s="227"/>
    </row>
    <row r="338">
      <c r="B338" s="232"/>
      <c r="C338" s="225"/>
      <c r="D338" s="225"/>
      <c r="E338" s="224"/>
      <c r="F338" s="224"/>
      <c r="G338" s="225"/>
      <c r="H338" s="225"/>
      <c r="I338" s="225"/>
      <c r="J338" s="225"/>
      <c r="K338" s="225"/>
      <c r="L338" s="225"/>
      <c r="M338" s="225"/>
      <c r="N338" s="224"/>
      <c r="O338" s="224"/>
      <c r="P338" s="227"/>
      <c r="Q338" s="227"/>
    </row>
    <row r="339">
      <c r="B339" s="232"/>
      <c r="C339" s="225"/>
      <c r="D339" s="225"/>
      <c r="E339" s="224"/>
      <c r="F339" s="224"/>
      <c r="G339" s="225"/>
      <c r="H339" s="225"/>
      <c r="I339" s="225"/>
      <c r="J339" s="225"/>
      <c r="K339" s="225"/>
      <c r="L339" s="225"/>
      <c r="M339" s="225"/>
      <c r="N339" s="224"/>
      <c r="O339" s="224"/>
      <c r="P339" s="227"/>
      <c r="Q339" s="227"/>
    </row>
    <row r="340">
      <c r="B340" s="232"/>
      <c r="C340" s="225"/>
      <c r="D340" s="225"/>
      <c r="E340" s="224"/>
      <c r="F340" s="224"/>
      <c r="G340" s="225"/>
      <c r="H340" s="225"/>
      <c r="I340" s="225"/>
      <c r="J340" s="225"/>
      <c r="K340" s="225"/>
      <c r="L340" s="225"/>
      <c r="M340" s="225"/>
      <c r="N340" s="224"/>
      <c r="O340" s="224"/>
      <c r="P340" s="227"/>
      <c r="Q340" s="227"/>
    </row>
    <row r="341">
      <c r="B341" s="232"/>
      <c r="C341" s="225"/>
      <c r="D341" s="225"/>
      <c r="E341" s="224"/>
      <c r="F341" s="224"/>
      <c r="G341" s="225"/>
      <c r="H341" s="225"/>
      <c r="I341" s="225"/>
      <c r="J341" s="225"/>
      <c r="K341" s="225"/>
      <c r="L341" s="225"/>
      <c r="M341" s="225"/>
      <c r="N341" s="224"/>
      <c r="O341" s="224"/>
      <c r="P341" s="227"/>
      <c r="Q341" s="227"/>
    </row>
    <row r="342">
      <c r="B342" s="232"/>
      <c r="C342" s="225"/>
      <c r="D342" s="225"/>
      <c r="E342" s="224"/>
      <c r="F342" s="224"/>
      <c r="G342" s="225"/>
      <c r="H342" s="225"/>
      <c r="I342" s="225"/>
      <c r="J342" s="225"/>
      <c r="K342" s="225"/>
      <c r="L342" s="225"/>
      <c r="M342" s="225"/>
      <c r="N342" s="224"/>
      <c r="O342" s="224"/>
      <c r="P342" s="227"/>
      <c r="Q342" s="227"/>
    </row>
    <row r="343">
      <c r="B343" s="232"/>
      <c r="C343" s="225"/>
      <c r="D343" s="225"/>
      <c r="E343" s="224"/>
      <c r="F343" s="224"/>
      <c r="G343" s="225"/>
      <c r="H343" s="225"/>
      <c r="I343" s="225"/>
      <c r="J343" s="225"/>
      <c r="K343" s="225"/>
      <c r="L343" s="225"/>
      <c r="M343" s="225"/>
      <c r="N343" s="224"/>
      <c r="O343" s="224"/>
      <c r="P343" s="227"/>
      <c r="Q343" s="227"/>
    </row>
    <row r="344">
      <c r="B344" s="232"/>
      <c r="C344" s="225"/>
      <c r="D344" s="225"/>
      <c r="E344" s="224"/>
      <c r="F344" s="224"/>
      <c r="G344" s="225"/>
      <c r="H344" s="225"/>
      <c r="I344" s="225"/>
      <c r="J344" s="225"/>
      <c r="K344" s="225"/>
      <c r="L344" s="225"/>
      <c r="M344" s="225"/>
      <c r="N344" s="224"/>
      <c r="O344" s="224"/>
      <c r="P344" s="227"/>
      <c r="Q344" s="227"/>
    </row>
    <row r="345">
      <c r="B345" s="232"/>
      <c r="C345" s="225"/>
      <c r="D345" s="225"/>
      <c r="E345" s="224"/>
      <c r="F345" s="224"/>
      <c r="G345" s="225"/>
      <c r="H345" s="225"/>
      <c r="I345" s="225"/>
      <c r="J345" s="225"/>
      <c r="K345" s="225"/>
      <c r="L345" s="225"/>
      <c r="M345" s="225"/>
      <c r="N345" s="224"/>
      <c r="O345" s="224"/>
      <c r="P345" s="227"/>
      <c r="Q345" s="227"/>
    </row>
    <row r="346">
      <c r="B346" s="232"/>
      <c r="C346" s="225"/>
      <c r="D346" s="225"/>
      <c r="E346" s="224"/>
      <c r="F346" s="224"/>
      <c r="G346" s="225"/>
      <c r="H346" s="225"/>
      <c r="I346" s="225"/>
      <c r="J346" s="225"/>
      <c r="K346" s="225"/>
      <c r="L346" s="225"/>
      <c r="M346" s="225"/>
      <c r="N346" s="224"/>
      <c r="O346" s="224"/>
      <c r="P346" s="227"/>
      <c r="Q346" s="227"/>
    </row>
    <row r="347">
      <c r="B347" s="232"/>
      <c r="C347" s="225"/>
      <c r="D347" s="225"/>
      <c r="E347" s="224"/>
      <c r="F347" s="224"/>
      <c r="G347" s="225"/>
      <c r="H347" s="225"/>
      <c r="I347" s="225"/>
      <c r="J347" s="225"/>
      <c r="K347" s="225"/>
      <c r="L347" s="225"/>
      <c r="M347" s="225"/>
      <c r="N347" s="224"/>
      <c r="O347" s="224"/>
      <c r="P347" s="227"/>
      <c r="Q347" s="227"/>
    </row>
    <row r="348">
      <c r="B348" s="232"/>
      <c r="C348" s="225"/>
      <c r="D348" s="225"/>
      <c r="E348" s="224"/>
      <c r="F348" s="224"/>
      <c r="G348" s="225"/>
      <c r="H348" s="225"/>
      <c r="I348" s="225"/>
      <c r="J348" s="225"/>
      <c r="K348" s="225"/>
      <c r="L348" s="225"/>
      <c r="M348" s="225"/>
      <c r="N348" s="224"/>
      <c r="O348" s="224"/>
      <c r="P348" s="227"/>
      <c r="Q348" s="227"/>
    </row>
    <row r="349">
      <c r="B349" s="232"/>
      <c r="C349" s="225"/>
      <c r="D349" s="225"/>
      <c r="E349" s="224"/>
      <c r="F349" s="224"/>
      <c r="G349" s="225"/>
      <c r="H349" s="225"/>
      <c r="I349" s="225"/>
      <c r="J349" s="225"/>
      <c r="K349" s="225"/>
      <c r="L349" s="225"/>
      <c r="M349" s="225"/>
      <c r="N349" s="224"/>
      <c r="O349" s="224"/>
      <c r="P349" s="227"/>
      <c r="Q349" s="227"/>
    </row>
    <row r="350">
      <c r="B350" s="232"/>
      <c r="C350" s="225"/>
      <c r="D350" s="225"/>
      <c r="E350" s="224"/>
      <c r="F350" s="224"/>
      <c r="G350" s="225"/>
      <c r="H350" s="225"/>
      <c r="I350" s="225"/>
      <c r="J350" s="225"/>
      <c r="K350" s="225"/>
      <c r="L350" s="225"/>
      <c r="M350" s="225"/>
      <c r="N350" s="224"/>
      <c r="O350" s="224"/>
      <c r="P350" s="227"/>
      <c r="Q350" s="227"/>
    </row>
    <row r="351">
      <c r="B351" s="232"/>
      <c r="C351" s="225"/>
      <c r="D351" s="225"/>
      <c r="E351" s="224"/>
      <c r="F351" s="224"/>
      <c r="G351" s="225"/>
      <c r="H351" s="225"/>
      <c r="I351" s="225"/>
      <c r="J351" s="225"/>
      <c r="K351" s="225"/>
      <c r="L351" s="225"/>
      <c r="M351" s="225"/>
      <c r="N351" s="224"/>
      <c r="O351" s="224"/>
      <c r="P351" s="227"/>
      <c r="Q351" s="227"/>
    </row>
    <row r="352">
      <c r="B352" s="232"/>
      <c r="C352" s="225"/>
      <c r="D352" s="225"/>
      <c r="E352" s="224"/>
      <c r="F352" s="224"/>
      <c r="G352" s="225"/>
      <c r="H352" s="225"/>
      <c r="I352" s="225"/>
      <c r="J352" s="225"/>
      <c r="K352" s="225"/>
      <c r="L352" s="225"/>
      <c r="M352" s="225"/>
      <c r="N352" s="224"/>
      <c r="O352" s="224"/>
      <c r="P352" s="227"/>
      <c r="Q352" s="227"/>
    </row>
    <row r="353">
      <c r="B353" s="232"/>
      <c r="C353" s="225"/>
      <c r="D353" s="225"/>
      <c r="E353" s="224"/>
      <c r="F353" s="224"/>
      <c r="G353" s="225"/>
      <c r="H353" s="225"/>
      <c r="I353" s="225"/>
      <c r="J353" s="225"/>
      <c r="K353" s="225"/>
      <c r="L353" s="225"/>
      <c r="M353" s="225"/>
      <c r="N353" s="224"/>
      <c r="O353" s="224"/>
      <c r="P353" s="227"/>
      <c r="Q353" s="227"/>
    </row>
    <row r="354">
      <c r="B354" s="232"/>
      <c r="C354" s="225"/>
      <c r="D354" s="225"/>
      <c r="E354" s="224"/>
      <c r="F354" s="224"/>
      <c r="G354" s="225"/>
      <c r="H354" s="225"/>
      <c r="I354" s="225"/>
      <c r="J354" s="225"/>
      <c r="K354" s="225"/>
      <c r="L354" s="225"/>
      <c r="M354" s="225"/>
      <c r="N354" s="224"/>
      <c r="O354" s="224"/>
      <c r="P354" s="227"/>
      <c r="Q354" s="227"/>
    </row>
    <row r="355">
      <c r="B355" s="232"/>
      <c r="C355" s="225"/>
      <c r="D355" s="225"/>
      <c r="E355" s="224"/>
      <c r="F355" s="224"/>
      <c r="G355" s="225"/>
      <c r="H355" s="225"/>
      <c r="I355" s="225"/>
      <c r="J355" s="225"/>
      <c r="K355" s="225"/>
      <c r="L355" s="225"/>
      <c r="M355" s="225"/>
      <c r="N355" s="224"/>
      <c r="O355" s="224"/>
      <c r="P355" s="227"/>
      <c r="Q355" s="227"/>
    </row>
    <row r="356">
      <c r="B356" s="232"/>
      <c r="C356" s="225"/>
      <c r="D356" s="225"/>
      <c r="E356" s="224"/>
      <c r="F356" s="224"/>
      <c r="G356" s="225"/>
      <c r="H356" s="225"/>
      <c r="I356" s="225"/>
      <c r="J356" s="225"/>
      <c r="K356" s="225"/>
      <c r="L356" s="225"/>
      <c r="M356" s="225"/>
      <c r="N356" s="224"/>
      <c r="O356" s="224"/>
      <c r="P356" s="227"/>
      <c r="Q356" s="227"/>
    </row>
    <row r="357">
      <c r="B357" s="232"/>
      <c r="C357" s="225"/>
      <c r="D357" s="225"/>
      <c r="E357" s="224"/>
      <c r="F357" s="224"/>
      <c r="G357" s="225"/>
      <c r="H357" s="225"/>
      <c r="I357" s="225"/>
      <c r="J357" s="225"/>
      <c r="K357" s="225"/>
      <c r="L357" s="225"/>
      <c r="M357" s="225"/>
      <c r="N357" s="224"/>
      <c r="O357" s="224"/>
      <c r="P357" s="227"/>
      <c r="Q357" s="227"/>
    </row>
    <row r="358">
      <c r="B358" s="232"/>
      <c r="C358" s="225"/>
      <c r="D358" s="225"/>
      <c r="E358" s="224"/>
      <c r="F358" s="224"/>
      <c r="G358" s="225"/>
      <c r="H358" s="225"/>
      <c r="I358" s="225"/>
      <c r="J358" s="225"/>
      <c r="K358" s="225"/>
      <c r="L358" s="225"/>
      <c r="M358" s="225"/>
      <c r="N358" s="224"/>
      <c r="O358" s="224"/>
      <c r="P358" s="227"/>
      <c r="Q358" s="227"/>
    </row>
    <row r="359">
      <c r="B359" s="232"/>
      <c r="C359" s="225"/>
      <c r="D359" s="225"/>
      <c r="E359" s="224"/>
      <c r="F359" s="224"/>
      <c r="G359" s="225"/>
      <c r="H359" s="225"/>
      <c r="I359" s="225"/>
      <c r="J359" s="225"/>
      <c r="K359" s="225"/>
      <c r="L359" s="225"/>
      <c r="M359" s="225"/>
      <c r="N359" s="224"/>
      <c r="O359" s="224"/>
      <c r="P359" s="227"/>
      <c r="Q359" s="227"/>
    </row>
    <row r="360">
      <c r="B360" s="232"/>
      <c r="C360" s="225"/>
      <c r="D360" s="225"/>
      <c r="E360" s="224"/>
      <c r="F360" s="224"/>
      <c r="G360" s="225"/>
      <c r="H360" s="225"/>
      <c r="I360" s="225"/>
      <c r="J360" s="225"/>
      <c r="K360" s="225"/>
      <c r="L360" s="225"/>
      <c r="M360" s="225"/>
      <c r="N360" s="224"/>
      <c r="O360" s="224"/>
      <c r="P360" s="227"/>
      <c r="Q360" s="227"/>
    </row>
    <row r="361">
      <c r="B361" s="232"/>
      <c r="C361" s="225"/>
      <c r="D361" s="225"/>
      <c r="E361" s="224"/>
      <c r="F361" s="224"/>
      <c r="G361" s="225"/>
      <c r="H361" s="225"/>
      <c r="I361" s="225"/>
      <c r="J361" s="225"/>
      <c r="K361" s="225"/>
      <c r="L361" s="225"/>
      <c r="M361" s="225"/>
      <c r="N361" s="224"/>
      <c r="O361" s="224"/>
      <c r="P361" s="227"/>
      <c r="Q361" s="227"/>
    </row>
    <row r="362">
      <c r="B362" s="232"/>
      <c r="C362" s="225"/>
      <c r="D362" s="225"/>
      <c r="E362" s="224"/>
      <c r="F362" s="224"/>
      <c r="G362" s="225"/>
      <c r="H362" s="225"/>
      <c r="I362" s="225"/>
      <c r="J362" s="225"/>
      <c r="K362" s="225"/>
      <c r="L362" s="225"/>
      <c r="M362" s="225"/>
      <c r="N362" s="224"/>
      <c r="O362" s="224"/>
      <c r="P362" s="227"/>
      <c r="Q362" s="227"/>
    </row>
    <row r="363">
      <c r="B363" s="232"/>
      <c r="C363" s="225"/>
      <c r="D363" s="225"/>
      <c r="E363" s="224"/>
      <c r="F363" s="224"/>
      <c r="G363" s="225"/>
      <c r="H363" s="225"/>
      <c r="I363" s="225"/>
      <c r="J363" s="225"/>
      <c r="K363" s="225"/>
      <c r="L363" s="225"/>
      <c r="M363" s="225"/>
      <c r="N363" s="224"/>
      <c r="O363" s="224"/>
      <c r="P363" s="227"/>
      <c r="Q363" s="227"/>
    </row>
    <row r="364">
      <c r="B364" s="232"/>
      <c r="C364" s="225"/>
      <c r="D364" s="225"/>
      <c r="E364" s="224"/>
      <c r="F364" s="224"/>
      <c r="G364" s="225"/>
      <c r="H364" s="225"/>
      <c r="I364" s="225"/>
      <c r="J364" s="225"/>
      <c r="K364" s="225"/>
      <c r="L364" s="225"/>
      <c r="M364" s="225"/>
      <c r="N364" s="224"/>
      <c r="O364" s="224"/>
      <c r="P364" s="227"/>
      <c r="Q364" s="227"/>
    </row>
    <row r="365">
      <c r="B365" s="232"/>
      <c r="C365" s="225"/>
      <c r="D365" s="225"/>
      <c r="E365" s="224"/>
      <c r="F365" s="224"/>
      <c r="G365" s="225"/>
      <c r="H365" s="225"/>
      <c r="I365" s="225"/>
      <c r="J365" s="225"/>
      <c r="K365" s="225"/>
      <c r="L365" s="225"/>
      <c r="M365" s="225"/>
      <c r="N365" s="224"/>
      <c r="O365" s="224"/>
      <c r="P365" s="227"/>
      <c r="Q365" s="227"/>
    </row>
    <row r="366">
      <c r="B366" s="232"/>
      <c r="C366" s="225"/>
      <c r="D366" s="225"/>
      <c r="E366" s="224"/>
      <c r="F366" s="224"/>
      <c r="G366" s="225"/>
      <c r="H366" s="225"/>
      <c r="I366" s="225"/>
      <c r="J366" s="225"/>
      <c r="K366" s="225"/>
      <c r="L366" s="225"/>
      <c r="M366" s="225"/>
      <c r="N366" s="224"/>
      <c r="O366" s="224"/>
      <c r="P366" s="227"/>
      <c r="Q366" s="227"/>
    </row>
    <row r="367">
      <c r="B367" s="232"/>
      <c r="C367" s="225"/>
      <c r="D367" s="225"/>
      <c r="E367" s="224"/>
      <c r="F367" s="224"/>
      <c r="G367" s="225"/>
      <c r="H367" s="225"/>
      <c r="I367" s="225"/>
      <c r="J367" s="225"/>
      <c r="K367" s="225"/>
      <c r="L367" s="225"/>
      <c r="M367" s="225"/>
      <c r="N367" s="224"/>
      <c r="O367" s="224"/>
      <c r="P367" s="227"/>
      <c r="Q367" s="227"/>
    </row>
    <row r="368">
      <c r="B368" s="232"/>
      <c r="C368" s="225"/>
      <c r="D368" s="225"/>
      <c r="E368" s="224"/>
      <c r="F368" s="224"/>
      <c r="G368" s="225"/>
      <c r="H368" s="225"/>
      <c r="I368" s="225"/>
      <c r="J368" s="225"/>
      <c r="K368" s="225"/>
      <c r="L368" s="225"/>
      <c r="M368" s="225"/>
      <c r="N368" s="224"/>
      <c r="O368" s="224"/>
      <c r="P368" s="227"/>
      <c r="Q368" s="227"/>
    </row>
    <row r="369">
      <c r="B369" s="232"/>
      <c r="C369" s="225"/>
      <c r="D369" s="225"/>
      <c r="E369" s="224"/>
      <c r="F369" s="224"/>
      <c r="G369" s="225"/>
      <c r="H369" s="225"/>
      <c r="I369" s="225"/>
      <c r="J369" s="225"/>
      <c r="K369" s="225"/>
      <c r="L369" s="225"/>
      <c r="M369" s="225"/>
      <c r="N369" s="224"/>
      <c r="O369" s="224"/>
      <c r="P369" s="227"/>
      <c r="Q369" s="227"/>
    </row>
    <row r="370">
      <c r="B370" s="232"/>
      <c r="C370" s="225"/>
      <c r="D370" s="225"/>
      <c r="E370" s="224"/>
      <c r="F370" s="224"/>
      <c r="G370" s="225"/>
      <c r="H370" s="225"/>
      <c r="I370" s="225"/>
      <c r="J370" s="225"/>
      <c r="K370" s="225"/>
      <c r="L370" s="225"/>
      <c r="M370" s="225"/>
      <c r="N370" s="224"/>
      <c r="O370" s="224"/>
      <c r="P370" s="227"/>
      <c r="Q370" s="227"/>
    </row>
    <row r="371">
      <c r="B371" s="232"/>
      <c r="C371" s="225"/>
      <c r="D371" s="225"/>
      <c r="E371" s="224"/>
      <c r="F371" s="224"/>
      <c r="G371" s="225"/>
      <c r="H371" s="225"/>
      <c r="I371" s="225"/>
      <c r="J371" s="225"/>
      <c r="K371" s="225"/>
      <c r="L371" s="225"/>
      <c r="M371" s="225"/>
      <c r="N371" s="224"/>
      <c r="O371" s="224"/>
      <c r="P371" s="227"/>
      <c r="Q371" s="227"/>
    </row>
    <row r="372">
      <c r="B372" s="232"/>
      <c r="C372" s="225"/>
      <c r="D372" s="225"/>
      <c r="E372" s="224"/>
      <c r="F372" s="224"/>
      <c r="G372" s="225"/>
      <c r="H372" s="225"/>
      <c r="I372" s="225"/>
      <c r="J372" s="225"/>
      <c r="K372" s="225"/>
      <c r="L372" s="225"/>
      <c r="M372" s="225"/>
      <c r="N372" s="224"/>
      <c r="O372" s="224"/>
      <c r="P372" s="227"/>
      <c r="Q372" s="227"/>
    </row>
    <row r="373">
      <c r="B373" s="232"/>
      <c r="C373" s="225"/>
      <c r="D373" s="225"/>
      <c r="E373" s="224"/>
      <c r="F373" s="224"/>
      <c r="G373" s="225"/>
      <c r="H373" s="225"/>
      <c r="I373" s="225"/>
      <c r="J373" s="225"/>
      <c r="K373" s="225"/>
      <c r="L373" s="225"/>
      <c r="M373" s="225"/>
      <c r="N373" s="224"/>
      <c r="O373" s="224"/>
      <c r="P373" s="227"/>
      <c r="Q373" s="227"/>
    </row>
    <row r="374">
      <c r="B374" s="232"/>
      <c r="C374" s="225"/>
      <c r="D374" s="225"/>
      <c r="E374" s="224"/>
      <c r="F374" s="224"/>
      <c r="G374" s="225"/>
      <c r="H374" s="225"/>
      <c r="I374" s="225"/>
      <c r="J374" s="225"/>
      <c r="K374" s="225"/>
      <c r="L374" s="225"/>
      <c r="M374" s="225"/>
      <c r="N374" s="224"/>
      <c r="O374" s="224"/>
      <c r="P374" s="227"/>
      <c r="Q374" s="227"/>
    </row>
    <row r="375">
      <c r="B375" s="232"/>
      <c r="C375" s="225"/>
      <c r="D375" s="225"/>
      <c r="E375" s="224"/>
      <c r="F375" s="224"/>
      <c r="G375" s="225"/>
      <c r="H375" s="225"/>
      <c r="I375" s="225"/>
      <c r="J375" s="225"/>
      <c r="K375" s="225"/>
      <c r="L375" s="225"/>
      <c r="M375" s="225"/>
      <c r="N375" s="224"/>
      <c r="O375" s="224"/>
      <c r="P375" s="227"/>
      <c r="Q375" s="227"/>
    </row>
    <row r="376">
      <c r="B376" s="232"/>
      <c r="C376" s="225"/>
      <c r="D376" s="225"/>
      <c r="E376" s="224"/>
      <c r="F376" s="224"/>
      <c r="G376" s="225"/>
      <c r="H376" s="225"/>
      <c r="I376" s="225"/>
      <c r="J376" s="225"/>
      <c r="K376" s="225"/>
      <c r="L376" s="225"/>
      <c r="M376" s="225"/>
      <c r="N376" s="224"/>
      <c r="O376" s="224"/>
      <c r="P376" s="227"/>
      <c r="Q376" s="227"/>
    </row>
    <row r="377">
      <c r="B377" s="232"/>
      <c r="C377" s="225"/>
      <c r="D377" s="225"/>
      <c r="E377" s="224"/>
      <c r="F377" s="224"/>
      <c r="G377" s="225"/>
      <c r="H377" s="225"/>
      <c r="I377" s="225"/>
      <c r="J377" s="225"/>
      <c r="K377" s="225"/>
      <c r="L377" s="225"/>
      <c r="M377" s="225"/>
      <c r="N377" s="224"/>
      <c r="O377" s="224"/>
      <c r="P377" s="227"/>
      <c r="Q377" s="227"/>
    </row>
    <row r="378">
      <c r="B378" s="232"/>
      <c r="C378" s="225"/>
      <c r="D378" s="225"/>
      <c r="E378" s="224"/>
      <c r="F378" s="224"/>
      <c r="G378" s="225"/>
      <c r="H378" s="225"/>
      <c r="I378" s="225"/>
      <c r="J378" s="225"/>
      <c r="K378" s="225"/>
      <c r="L378" s="225"/>
      <c r="M378" s="225"/>
      <c r="N378" s="224"/>
      <c r="O378" s="224"/>
      <c r="P378" s="227"/>
      <c r="Q378" s="227"/>
    </row>
    <row r="379">
      <c r="B379" s="232"/>
      <c r="C379" s="225"/>
      <c r="D379" s="225"/>
      <c r="E379" s="224"/>
      <c r="F379" s="224"/>
      <c r="G379" s="225"/>
      <c r="H379" s="225"/>
      <c r="I379" s="225"/>
      <c r="J379" s="225"/>
      <c r="K379" s="225"/>
      <c r="L379" s="225"/>
      <c r="M379" s="225"/>
      <c r="N379" s="224"/>
      <c r="O379" s="224"/>
      <c r="P379" s="227"/>
      <c r="Q379" s="227"/>
    </row>
    <row r="380">
      <c r="B380" s="232"/>
      <c r="C380" s="225"/>
      <c r="D380" s="225"/>
      <c r="E380" s="224"/>
      <c r="F380" s="224"/>
      <c r="G380" s="225"/>
      <c r="H380" s="225"/>
      <c r="I380" s="225"/>
      <c r="J380" s="225"/>
      <c r="K380" s="225"/>
      <c r="L380" s="225"/>
      <c r="M380" s="225"/>
      <c r="N380" s="224"/>
      <c r="O380" s="224"/>
      <c r="P380" s="227"/>
      <c r="Q380" s="227"/>
    </row>
    <row r="381">
      <c r="B381" s="232"/>
      <c r="C381" s="225"/>
      <c r="D381" s="225"/>
      <c r="E381" s="224"/>
      <c r="F381" s="224"/>
      <c r="G381" s="225"/>
      <c r="H381" s="225"/>
      <c r="I381" s="225"/>
      <c r="J381" s="225"/>
      <c r="K381" s="225"/>
      <c r="L381" s="225"/>
      <c r="M381" s="225"/>
      <c r="N381" s="224"/>
      <c r="O381" s="224"/>
      <c r="P381" s="227"/>
      <c r="Q381" s="227"/>
    </row>
    <row r="382">
      <c r="B382" s="232"/>
      <c r="C382" s="225"/>
      <c r="D382" s="225"/>
      <c r="E382" s="224"/>
      <c r="F382" s="224"/>
      <c r="G382" s="225"/>
      <c r="H382" s="225"/>
      <c r="I382" s="225"/>
      <c r="J382" s="225"/>
      <c r="K382" s="225"/>
      <c r="L382" s="225"/>
      <c r="M382" s="225"/>
      <c r="N382" s="224"/>
      <c r="O382" s="224"/>
      <c r="P382" s="227"/>
      <c r="Q382" s="227"/>
    </row>
    <row r="383">
      <c r="B383" s="232"/>
      <c r="C383" s="225"/>
      <c r="D383" s="225"/>
      <c r="E383" s="224"/>
      <c r="F383" s="224"/>
      <c r="G383" s="225"/>
      <c r="H383" s="225"/>
      <c r="I383" s="225"/>
      <c r="J383" s="225"/>
      <c r="K383" s="225"/>
      <c r="L383" s="225"/>
      <c r="M383" s="225"/>
      <c r="N383" s="224"/>
      <c r="O383" s="224"/>
      <c r="P383" s="227"/>
      <c r="Q383" s="227"/>
    </row>
    <row r="384">
      <c r="B384" s="232"/>
      <c r="C384" s="225"/>
      <c r="D384" s="225"/>
      <c r="E384" s="224"/>
      <c r="F384" s="224"/>
      <c r="G384" s="225"/>
      <c r="H384" s="225"/>
      <c r="I384" s="225"/>
      <c r="J384" s="225"/>
      <c r="K384" s="225"/>
      <c r="L384" s="225"/>
      <c r="M384" s="225"/>
      <c r="N384" s="224"/>
      <c r="O384" s="224"/>
      <c r="P384" s="227"/>
      <c r="Q384" s="227"/>
    </row>
    <row r="385">
      <c r="B385" s="232"/>
      <c r="C385" s="225"/>
      <c r="D385" s="225"/>
      <c r="E385" s="224"/>
      <c r="F385" s="224"/>
      <c r="G385" s="225"/>
      <c r="H385" s="225"/>
      <c r="I385" s="225"/>
      <c r="J385" s="225"/>
      <c r="K385" s="225"/>
      <c r="L385" s="225"/>
      <c r="M385" s="225"/>
      <c r="N385" s="224"/>
      <c r="O385" s="224"/>
      <c r="P385" s="227"/>
      <c r="Q385" s="227"/>
    </row>
    <row r="386">
      <c r="B386" s="232"/>
      <c r="C386" s="225"/>
      <c r="D386" s="225"/>
      <c r="E386" s="224"/>
      <c r="F386" s="224"/>
      <c r="G386" s="225"/>
      <c r="H386" s="225"/>
      <c r="I386" s="225"/>
      <c r="J386" s="225"/>
      <c r="K386" s="225"/>
      <c r="L386" s="225"/>
      <c r="M386" s="225"/>
      <c r="N386" s="224"/>
      <c r="O386" s="224"/>
      <c r="P386" s="227"/>
      <c r="Q386" s="227"/>
    </row>
    <row r="387">
      <c r="B387" s="232"/>
      <c r="C387" s="225"/>
      <c r="D387" s="225"/>
      <c r="E387" s="224"/>
      <c r="F387" s="224"/>
      <c r="G387" s="225"/>
      <c r="H387" s="225"/>
      <c r="I387" s="225"/>
      <c r="J387" s="225"/>
      <c r="K387" s="225"/>
      <c r="L387" s="225"/>
      <c r="M387" s="225"/>
      <c r="N387" s="224"/>
      <c r="O387" s="224"/>
      <c r="P387" s="227"/>
      <c r="Q387" s="227"/>
    </row>
    <row r="388">
      <c r="B388" s="232"/>
      <c r="C388" s="225"/>
      <c r="D388" s="225"/>
      <c r="E388" s="224"/>
      <c r="F388" s="224"/>
      <c r="G388" s="225"/>
      <c r="H388" s="225"/>
      <c r="I388" s="225"/>
      <c r="J388" s="225"/>
      <c r="K388" s="225"/>
      <c r="L388" s="225"/>
      <c r="M388" s="225"/>
      <c r="N388" s="224"/>
      <c r="O388" s="224"/>
      <c r="P388" s="227"/>
      <c r="Q388" s="227"/>
    </row>
    <row r="389">
      <c r="B389" s="232"/>
      <c r="C389" s="225"/>
      <c r="D389" s="225"/>
      <c r="E389" s="224"/>
      <c r="F389" s="224"/>
      <c r="G389" s="225"/>
      <c r="H389" s="225"/>
      <c r="I389" s="225"/>
      <c r="J389" s="225"/>
      <c r="K389" s="225"/>
      <c r="L389" s="225"/>
      <c r="M389" s="225"/>
      <c r="N389" s="224"/>
      <c r="O389" s="224"/>
      <c r="P389" s="227"/>
      <c r="Q389" s="227"/>
    </row>
    <row r="390">
      <c r="B390" s="232"/>
      <c r="C390" s="225"/>
      <c r="D390" s="225"/>
      <c r="E390" s="224"/>
      <c r="F390" s="224"/>
      <c r="G390" s="225"/>
      <c r="H390" s="225"/>
      <c r="I390" s="225"/>
      <c r="J390" s="225"/>
      <c r="K390" s="225"/>
      <c r="L390" s="225"/>
      <c r="M390" s="225"/>
      <c r="N390" s="224"/>
      <c r="O390" s="224"/>
      <c r="P390" s="227"/>
      <c r="Q390" s="227"/>
    </row>
    <row r="391">
      <c r="B391" s="232"/>
      <c r="C391" s="225"/>
      <c r="D391" s="225"/>
      <c r="E391" s="224"/>
      <c r="F391" s="224"/>
      <c r="G391" s="225"/>
      <c r="H391" s="225"/>
      <c r="I391" s="225"/>
      <c r="J391" s="225"/>
      <c r="K391" s="225"/>
      <c r="L391" s="225"/>
      <c r="M391" s="225"/>
      <c r="N391" s="224"/>
      <c r="O391" s="224"/>
      <c r="P391" s="227"/>
      <c r="Q391" s="227"/>
    </row>
    <row r="392">
      <c r="B392" s="232"/>
      <c r="C392" s="225"/>
      <c r="D392" s="225"/>
      <c r="E392" s="224"/>
      <c r="F392" s="224"/>
      <c r="G392" s="225"/>
      <c r="H392" s="225"/>
      <c r="I392" s="225"/>
      <c r="J392" s="225"/>
      <c r="K392" s="225"/>
      <c r="L392" s="225"/>
      <c r="M392" s="225"/>
      <c r="N392" s="224"/>
      <c r="O392" s="224"/>
      <c r="P392" s="227"/>
      <c r="Q392" s="227"/>
    </row>
    <row r="393">
      <c r="B393" s="232"/>
      <c r="C393" s="225"/>
      <c r="D393" s="225"/>
      <c r="E393" s="224"/>
      <c r="F393" s="224"/>
      <c r="G393" s="225"/>
      <c r="H393" s="225"/>
      <c r="I393" s="225"/>
      <c r="J393" s="225"/>
      <c r="K393" s="225"/>
      <c r="L393" s="225"/>
      <c r="M393" s="225"/>
      <c r="N393" s="224"/>
      <c r="O393" s="224"/>
      <c r="P393" s="227"/>
      <c r="Q393" s="227"/>
    </row>
    <row r="394">
      <c r="B394" s="232"/>
      <c r="C394" s="225"/>
      <c r="D394" s="225"/>
      <c r="E394" s="224"/>
      <c r="F394" s="224"/>
      <c r="G394" s="225"/>
      <c r="H394" s="225"/>
      <c r="I394" s="225"/>
      <c r="J394" s="225"/>
      <c r="K394" s="225"/>
      <c r="L394" s="225"/>
      <c r="M394" s="225"/>
      <c r="N394" s="224"/>
      <c r="O394" s="224"/>
      <c r="P394" s="227"/>
      <c r="Q394" s="227"/>
    </row>
    <row r="395">
      <c r="B395" s="232"/>
      <c r="C395" s="225"/>
      <c r="D395" s="225"/>
      <c r="E395" s="224"/>
      <c r="F395" s="224"/>
      <c r="G395" s="225"/>
      <c r="H395" s="225"/>
      <c r="I395" s="225"/>
      <c r="J395" s="225"/>
      <c r="K395" s="225"/>
      <c r="L395" s="225"/>
      <c r="M395" s="225"/>
      <c r="N395" s="224"/>
      <c r="O395" s="224"/>
      <c r="P395" s="227"/>
      <c r="Q395" s="227"/>
    </row>
    <row r="396">
      <c r="B396" s="232"/>
      <c r="C396" s="225"/>
      <c r="D396" s="225"/>
      <c r="E396" s="224"/>
      <c r="F396" s="224"/>
      <c r="G396" s="225"/>
      <c r="H396" s="225"/>
      <c r="I396" s="225"/>
      <c r="J396" s="225"/>
      <c r="K396" s="225"/>
      <c r="L396" s="225"/>
      <c r="M396" s="225"/>
      <c r="N396" s="224"/>
      <c r="O396" s="224"/>
      <c r="P396" s="227"/>
      <c r="Q396" s="227"/>
    </row>
    <row r="397">
      <c r="B397" s="232"/>
      <c r="C397" s="225"/>
      <c r="D397" s="225"/>
      <c r="E397" s="224"/>
      <c r="F397" s="224"/>
      <c r="G397" s="225"/>
      <c r="H397" s="225"/>
      <c r="I397" s="225"/>
      <c r="J397" s="225"/>
      <c r="K397" s="225"/>
      <c r="L397" s="225"/>
      <c r="M397" s="225"/>
      <c r="N397" s="224"/>
      <c r="O397" s="224"/>
      <c r="P397" s="227"/>
      <c r="Q397" s="227"/>
    </row>
    <row r="398">
      <c r="B398" s="232"/>
      <c r="C398" s="225"/>
      <c r="D398" s="225"/>
      <c r="E398" s="224"/>
      <c r="F398" s="224"/>
      <c r="G398" s="225"/>
      <c r="H398" s="225"/>
      <c r="I398" s="225"/>
      <c r="J398" s="225"/>
      <c r="K398" s="225"/>
      <c r="L398" s="225"/>
      <c r="M398" s="225"/>
      <c r="N398" s="224"/>
      <c r="O398" s="224"/>
      <c r="P398" s="227"/>
      <c r="Q398" s="227"/>
    </row>
    <row r="399">
      <c r="B399" s="232"/>
      <c r="C399" s="225"/>
      <c r="D399" s="225"/>
      <c r="E399" s="224"/>
      <c r="F399" s="224"/>
      <c r="G399" s="225"/>
      <c r="H399" s="225"/>
      <c r="I399" s="225"/>
      <c r="J399" s="225"/>
      <c r="K399" s="225"/>
      <c r="L399" s="225"/>
      <c r="M399" s="225"/>
      <c r="N399" s="224"/>
      <c r="O399" s="224"/>
      <c r="P399" s="227"/>
      <c r="Q399" s="227"/>
    </row>
    <row r="400">
      <c r="B400" s="232"/>
      <c r="C400" s="225"/>
      <c r="D400" s="225"/>
      <c r="E400" s="224"/>
      <c r="F400" s="224"/>
      <c r="G400" s="225"/>
      <c r="H400" s="225"/>
      <c r="I400" s="225"/>
      <c r="J400" s="225"/>
      <c r="K400" s="225"/>
      <c r="L400" s="225"/>
      <c r="M400" s="225"/>
      <c r="N400" s="224"/>
      <c r="O400" s="224"/>
      <c r="P400" s="227"/>
      <c r="Q400" s="227"/>
    </row>
    <row r="401">
      <c r="B401" s="232"/>
      <c r="C401" s="225"/>
      <c r="D401" s="225"/>
      <c r="E401" s="224"/>
      <c r="F401" s="224"/>
      <c r="G401" s="225"/>
      <c r="H401" s="225"/>
      <c r="I401" s="225"/>
      <c r="J401" s="225"/>
      <c r="K401" s="225"/>
      <c r="L401" s="225"/>
      <c r="M401" s="225"/>
      <c r="N401" s="224"/>
      <c r="O401" s="224"/>
      <c r="P401" s="227"/>
      <c r="Q401" s="227"/>
    </row>
    <row r="402">
      <c r="B402" s="232"/>
      <c r="C402" s="225"/>
      <c r="D402" s="225"/>
      <c r="E402" s="224"/>
      <c r="F402" s="224"/>
      <c r="G402" s="225"/>
      <c r="H402" s="225"/>
      <c r="I402" s="225"/>
      <c r="J402" s="225"/>
      <c r="K402" s="225"/>
      <c r="L402" s="225"/>
      <c r="M402" s="225"/>
      <c r="N402" s="224"/>
      <c r="O402" s="224"/>
      <c r="P402" s="227"/>
      <c r="Q402" s="227"/>
    </row>
    <row r="403">
      <c r="B403" s="232"/>
      <c r="C403" s="225"/>
      <c r="D403" s="225"/>
      <c r="E403" s="224"/>
      <c r="F403" s="224"/>
      <c r="G403" s="225"/>
      <c r="H403" s="225"/>
      <c r="I403" s="225"/>
      <c r="J403" s="225"/>
      <c r="K403" s="225"/>
      <c r="L403" s="225"/>
      <c r="M403" s="225"/>
      <c r="N403" s="224"/>
      <c r="O403" s="224"/>
      <c r="P403" s="227"/>
      <c r="Q403" s="227"/>
    </row>
    <row r="404">
      <c r="B404" s="232"/>
      <c r="C404" s="225"/>
      <c r="D404" s="225"/>
      <c r="E404" s="224"/>
      <c r="F404" s="224"/>
      <c r="G404" s="225"/>
      <c r="H404" s="225"/>
      <c r="I404" s="225"/>
      <c r="J404" s="225"/>
      <c r="K404" s="225"/>
      <c r="L404" s="225"/>
      <c r="M404" s="225"/>
      <c r="N404" s="224"/>
      <c r="O404" s="224"/>
      <c r="P404" s="227"/>
      <c r="Q404" s="227"/>
    </row>
    <row r="405">
      <c r="B405" s="232"/>
      <c r="C405" s="225"/>
      <c r="D405" s="225"/>
      <c r="E405" s="224"/>
      <c r="F405" s="224"/>
      <c r="G405" s="225"/>
      <c r="H405" s="225"/>
      <c r="I405" s="225"/>
      <c r="J405" s="225"/>
      <c r="K405" s="225"/>
      <c r="L405" s="225"/>
      <c r="M405" s="225"/>
      <c r="N405" s="224"/>
      <c r="O405" s="224"/>
      <c r="P405" s="227"/>
      <c r="Q405" s="227"/>
    </row>
    <row r="406">
      <c r="B406" s="232"/>
      <c r="C406" s="225"/>
      <c r="D406" s="225"/>
      <c r="E406" s="224"/>
      <c r="F406" s="224"/>
      <c r="G406" s="225"/>
      <c r="H406" s="225"/>
      <c r="I406" s="225"/>
      <c r="J406" s="225"/>
      <c r="K406" s="225"/>
      <c r="L406" s="225"/>
      <c r="M406" s="225"/>
      <c r="N406" s="224"/>
      <c r="O406" s="224"/>
      <c r="P406" s="227"/>
      <c r="Q406" s="227"/>
    </row>
    <row r="407">
      <c r="B407" s="232"/>
      <c r="C407" s="225"/>
      <c r="D407" s="225"/>
      <c r="E407" s="224"/>
      <c r="F407" s="224"/>
      <c r="G407" s="225"/>
      <c r="H407" s="225"/>
      <c r="I407" s="225"/>
      <c r="J407" s="225"/>
      <c r="K407" s="225"/>
      <c r="L407" s="225"/>
      <c r="M407" s="225"/>
      <c r="N407" s="224"/>
      <c r="O407" s="224"/>
      <c r="P407" s="227"/>
      <c r="Q407" s="227"/>
    </row>
    <row r="408">
      <c r="B408" s="232"/>
      <c r="C408" s="225"/>
      <c r="D408" s="225"/>
      <c r="E408" s="224"/>
      <c r="F408" s="224"/>
      <c r="G408" s="225"/>
      <c r="H408" s="225"/>
      <c r="I408" s="225"/>
      <c r="J408" s="225"/>
      <c r="K408" s="225"/>
      <c r="L408" s="225"/>
      <c r="M408" s="225"/>
      <c r="N408" s="224"/>
      <c r="O408" s="224"/>
      <c r="P408" s="227"/>
      <c r="Q408" s="227"/>
    </row>
    <row r="409">
      <c r="B409" s="232"/>
      <c r="C409" s="225"/>
      <c r="D409" s="225"/>
      <c r="E409" s="224"/>
      <c r="F409" s="224"/>
      <c r="G409" s="225"/>
      <c r="H409" s="225"/>
      <c r="I409" s="225"/>
      <c r="J409" s="225"/>
      <c r="K409" s="225"/>
      <c r="L409" s="225"/>
      <c r="M409" s="225"/>
      <c r="N409" s="224"/>
      <c r="O409" s="224"/>
      <c r="P409" s="227"/>
      <c r="Q409" s="227"/>
    </row>
    <row r="410">
      <c r="B410" s="232"/>
      <c r="C410" s="225"/>
      <c r="D410" s="225"/>
      <c r="E410" s="224"/>
      <c r="F410" s="224"/>
      <c r="G410" s="225"/>
      <c r="H410" s="225"/>
      <c r="I410" s="225"/>
      <c r="J410" s="225"/>
      <c r="K410" s="225"/>
      <c r="L410" s="225"/>
      <c r="M410" s="225"/>
      <c r="N410" s="224"/>
      <c r="O410" s="224"/>
      <c r="P410" s="227"/>
      <c r="Q410" s="227"/>
    </row>
    <row r="411">
      <c r="B411" s="232"/>
      <c r="C411" s="225"/>
      <c r="D411" s="225"/>
      <c r="E411" s="224"/>
      <c r="F411" s="224"/>
      <c r="G411" s="225"/>
      <c r="H411" s="225"/>
      <c r="I411" s="225"/>
      <c r="J411" s="225"/>
      <c r="K411" s="225"/>
      <c r="L411" s="225"/>
      <c r="M411" s="225"/>
      <c r="N411" s="224"/>
      <c r="O411" s="224"/>
      <c r="P411" s="227"/>
      <c r="Q411" s="227"/>
    </row>
    <row r="412">
      <c r="B412" s="232"/>
      <c r="C412" s="225"/>
      <c r="D412" s="225"/>
      <c r="E412" s="224"/>
      <c r="F412" s="224"/>
      <c r="G412" s="225"/>
      <c r="H412" s="225"/>
      <c r="I412" s="225"/>
      <c r="J412" s="225"/>
      <c r="K412" s="225"/>
      <c r="L412" s="225"/>
      <c r="M412" s="225"/>
      <c r="N412" s="224"/>
      <c r="O412" s="224"/>
      <c r="P412" s="227"/>
      <c r="Q412" s="227"/>
    </row>
    <row r="413">
      <c r="B413" s="232"/>
      <c r="C413" s="225"/>
      <c r="D413" s="225"/>
      <c r="E413" s="224"/>
      <c r="F413" s="224"/>
      <c r="G413" s="225"/>
      <c r="H413" s="225"/>
      <c r="I413" s="225"/>
      <c r="J413" s="225"/>
      <c r="K413" s="225"/>
      <c r="L413" s="225"/>
      <c r="M413" s="225"/>
      <c r="N413" s="224"/>
      <c r="O413" s="224"/>
      <c r="P413" s="227"/>
      <c r="Q413" s="227"/>
    </row>
    <row r="414">
      <c r="B414" s="232"/>
      <c r="C414" s="225"/>
      <c r="D414" s="225"/>
      <c r="E414" s="224"/>
      <c r="F414" s="224"/>
      <c r="G414" s="225"/>
      <c r="H414" s="225"/>
      <c r="I414" s="225"/>
      <c r="J414" s="225"/>
      <c r="K414" s="225"/>
      <c r="L414" s="225"/>
      <c r="M414" s="225"/>
      <c r="N414" s="224"/>
      <c r="O414" s="224"/>
      <c r="P414" s="227"/>
      <c r="Q414" s="227"/>
    </row>
    <row r="415">
      <c r="B415" s="232"/>
      <c r="C415" s="225"/>
      <c r="D415" s="225"/>
      <c r="E415" s="224"/>
      <c r="F415" s="224"/>
      <c r="G415" s="225"/>
      <c r="H415" s="225"/>
      <c r="I415" s="225"/>
      <c r="J415" s="225"/>
      <c r="K415" s="225"/>
      <c r="L415" s="225"/>
      <c r="M415" s="225"/>
      <c r="N415" s="224"/>
      <c r="O415" s="224"/>
      <c r="P415" s="227"/>
      <c r="Q415" s="227"/>
    </row>
    <row r="416">
      <c r="B416" s="232"/>
      <c r="C416" s="225"/>
      <c r="D416" s="225"/>
      <c r="E416" s="224"/>
      <c r="F416" s="224"/>
      <c r="G416" s="225"/>
      <c r="H416" s="225"/>
      <c r="I416" s="225"/>
      <c r="J416" s="225"/>
      <c r="K416" s="225"/>
      <c r="L416" s="225"/>
      <c r="M416" s="225"/>
      <c r="N416" s="224"/>
      <c r="O416" s="224"/>
      <c r="P416" s="227"/>
      <c r="Q416" s="227"/>
    </row>
    <row r="417">
      <c r="B417" s="232"/>
      <c r="C417" s="225"/>
      <c r="D417" s="225"/>
      <c r="E417" s="224"/>
      <c r="F417" s="224"/>
      <c r="G417" s="225"/>
      <c r="H417" s="225"/>
      <c r="I417" s="225"/>
      <c r="J417" s="225"/>
      <c r="K417" s="225"/>
      <c r="L417" s="225"/>
      <c r="M417" s="225"/>
      <c r="N417" s="224"/>
      <c r="O417" s="224"/>
      <c r="P417" s="227"/>
      <c r="Q417" s="227"/>
    </row>
    <row r="418">
      <c r="B418" s="232"/>
      <c r="C418" s="225"/>
      <c r="D418" s="225"/>
      <c r="E418" s="224"/>
      <c r="F418" s="224"/>
      <c r="G418" s="225"/>
      <c r="H418" s="225"/>
      <c r="I418" s="225"/>
      <c r="J418" s="225"/>
      <c r="K418" s="225"/>
      <c r="L418" s="225"/>
      <c r="M418" s="225"/>
      <c r="N418" s="224"/>
      <c r="O418" s="224"/>
      <c r="P418" s="227"/>
      <c r="Q418" s="227"/>
    </row>
    <row r="419">
      <c r="B419" s="232"/>
      <c r="C419" s="225"/>
      <c r="D419" s="225"/>
      <c r="E419" s="224"/>
      <c r="F419" s="224"/>
      <c r="G419" s="225"/>
      <c r="H419" s="225"/>
      <c r="I419" s="225"/>
      <c r="J419" s="225"/>
      <c r="K419" s="225"/>
      <c r="L419" s="225"/>
      <c r="M419" s="225"/>
      <c r="N419" s="224"/>
      <c r="O419" s="224"/>
      <c r="P419" s="227"/>
      <c r="Q419" s="227"/>
    </row>
    <row r="420">
      <c r="B420" s="232"/>
      <c r="C420" s="225"/>
      <c r="D420" s="225"/>
      <c r="E420" s="224"/>
      <c r="F420" s="224"/>
      <c r="G420" s="225"/>
      <c r="H420" s="225"/>
      <c r="I420" s="225"/>
      <c r="J420" s="225"/>
      <c r="K420" s="225"/>
      <c r="L420" s="225"/>
      <c r="M420" s="225"/>
      <c r="N420" s="224"/>
      <c r="O420" s="224"/>
      <c r="P420" s="227"/>
      <c r="Q420" s="227"/>
    </row>
    <row r="421">
      <c r="B421" s="232"/>
      <c r="C421" s="225"/>
      <c r="D421" s="225"/>
      <c r="E421" s="224"/>
      <c r="F421" s="224"/>
      <c r="G421" s="225"/>
      <c r="H421" s="225"/>
      <c r="I421" s="225"/>
      <c r="J421" s="225"/>
      <c r="K421" s="225"/>
      <c r="L421" s="225"/>
      <c r="M421" s="225"/>
      <c r="N421" s="224"/>
      <c r="O421" s="224"/>
      <c r="P421" s="227"/>
      <c r="Q421" s="227"/>
    </row>
    <row r="422">
      <c r="B422" s="232"/>
      <c r="C422" s="225"/>
      <c r="D422" s="225"/>
      <c r="E422" s="224"/>
      <c r="F422" s="224"/>
      <c r="G422" s="225"/>
      <c r="H422" s="225"/>
      <c r="I422" s="225"/>
      <c r="J422" s="225"/>
      <c r="K422" s="225"/>
      <c r="L422" s="225"/>
      <c r="M422" s="225"/>
      <c r="N422" s="224"/>
      <c r="O422" s="224"/>
      <c r="P422" s="227"/>
      <c r="Q422" s="227"/>
    </row>
    <row r="423">
      <c r="B423" s="232"/>
      <c r="C423" s="225"/>
      <c r="D423" s="225"/>
      <c r="E423" s="224"/>
      <c r="F423" s="224"/>
      <c r="G423" s="225"/>
      <c r="H423" s="225"/>
      <c r="I423" s="225"/>
      <c r="J423" s="225"/>
      <c r="K423" s="225"/>
      <c r="L423" s="225"/>
      <c r="M423" s="225"/>
      <c r="N423" s="224"/>
      <c r="O423" s="224"/>
      <c r="P423" s="227"/>
      <c r="Q423" s="227"/>
    </row>
    <row r="424">
      <c r="B424" s="232"/>
      <c r="C424" s="225"/>
      <c r="D424" s="225"/>
      <c r="E424" s="224"/>
      <c r="F424" s="224"/>
      <c r="G424" s="225"/>
      <c r="H424" s="225"/>
      <c r="I424" s="225"/>
      <c r="J424" s="225"/>
      <c r="K424" s="225"/>
      <c r="L424" s="225"/>
      <c r="M424" s="225"/>
      <c r="N424" s="224"/>
      <c r="O424" s="224"/>
      <c r="P424" s="227"/>
      <c r="Q424" s="227"/>
    </row>
    <row r="425">
      <c r="B425" s="232"/>
      <c r="C425" s="225"/>
      <c r="D425" s="225"/>
      <c r="E425" s="224"/>
      <c r="F425" s="224"/>
      <c r="G425" s="225"/>
      <c r="H425" s="225"/>
      <c r="I425" s="225"/>
      <c r="J425" s="225"/>
      <c r="K425" s="225"/>
      <c r="L425" s="225"/>
      <c r="M425" s="225"/>
      <c r="N425" s="224"/>
      <c r="O425" s="224"/>
      <c r="P425" s="227"/>
      <c r="Q425" s="227"/>
    </row>
    <row r="426">
      <c r="B426" s="232"/>
      <c r="C426" s="225"/>
      <c r="D426" s="225"/>
      <c r="E426" s="224"/>
      <c r="F426" s="224"/>
      <c r="G426" s="225"/>
      <c r="H426" s="225"/>
      <c r="I426" s="225"/>
      <c r="J426" s="225"/>
      <c r="K426" s="225"/>
      <c r="L426" s="225"/>
      <c r="M426" s="225"/>
      <c r="N426" s="224"/>
      <c r="O426" s="224"/>
      <c r="P426" s="227"/>
      <c r="Q426" s="227"/>
    </row>
    <row r="427">
      <c r="B427" s="232"/>
      <c r="C427" s="225"/>
      <c r="D427" s="225"/>
      <c r="E427" s="224"/>
      <c r="F427" s="224"/>
      <c r="G427" s="225"/>
      <c r="H427" s="225"/>
      <c r="I427" s="225"/>
      <c r="J427" s="225"/>
      <c r="K427" s="225"/>
      <c r="L427" s="225"/>
      <c r="M427" s="225"/>
      <c r="N427" s="224"/>
      <c r="O427" s="224"/>
      <c r="P427" s="227"/>
      <c r="Q427" s="227"/>
    </row>
    <row r="428">
      <c r="B428" s="232"/>
      <c r="C428" s="225"/>
      <c r="D428" s="225"/>
      <c r="E428" s="224"/>
      <c r="F428" s="224"/>
      <c r="G428" s="225"/>
      <c r="H428" s="225"/>
      <c r="I428" s="225"/>
      <c r="J428" s="225"/>
      <c r="K428" s="225"/>
      <c r="L428" s="225"/>
      <c r="M428" s="225"/>
      <c r="N428" s="224"/>
      <c r="O428" s="224"/>
      <c r="P428" s="227"/>
      <c r="Q428" s="227"/>
    </row>
    <row r="429">
      <c r="B429" s="232"/>
      <c r="C429" s="225"/>
      <c r="D429" s="225"/>
      <c r="E429" s="224"/>
      <c r="F429" s="224"/>
      <c r="G429" s="225"/>
      <c r="H429" s="225"/>
      <c r="I429" s="225"/>
      <c r="J429" s="225"/>
      <c r="K429" s="225"/>
      <c r="L429" s="225"/>
      <c r="M429" s="225"/>
      <c r="N429" s="224"/>
      <c r="O429" s="224"/>
      <c r="P429" s="227"/>
      <c r="Q429" s="227"/>
    </row>
    <row r="430">
      <c r="B430" s="232"/>
      <c r="C430" s="225"/>
      <c r="D430" s="225"/>
      <c r="E430" s="224"/>
      <c r="F430" s="224"/>
      <c r="G430" s="225"/>
      <c r="H430" s="225"/>
      <c r="I430" s="225"/>
      <c r="J430" s="225"/>
      <c r="K430" s="225"/>
      <c r="L430" s="225"/>
      <c r="M430" s="225"/>
      <c r="N430" s="224"/>
      <c r="O430" s="224"/>
      <c r="P430" s="227"/>
      <c r="Q430" s="227"/>
    </row>
    <row r="431">
      <c r="B431" s="232"/>
      <c r="C431" s="225"/>
      <c r="D431" s="225"/>
      <c r="E431" s="224"/>
      <c r="F431" s="224"/>
      <c r="G431" s="225"/>
      <c r="H431" s="225"/>
      <c r="I431" s="225"/>
      <c r="J431" s="225"/>
      <c r="K431" s="225"/>
      <c r="L431" s="225"/>
      <c r="M431" s="225"/>
      <c r="N431" s="224"/>
      <c r="O431" s="224"/>
      <c r="P431" s="227"/>
      <c r="Q431" s="227"/>
    </row>
    <row r="432">
      <c r="B432" s="232"/>
      <c r="C432" s="225"/>
      <c r="D432" s="225"/>
      <c r="E432" s="224"/>
      <c r="F432" s="224"/>
      <c r="G432" s="225"/>
      <c r="H432" s="225"/>
      <c r="I432" s="225"/>
      <c r="J432" s="225"/>
      <c r="K432" s="225"/>
      <c r="L432" s="225"/>
      <c r="M432" s="225"/>
      <c r="N432" s="224"/>
      <c r="O432" s="224"/>
      <c r="P432" s="227"/>
      <c r="Q432" s="227"/>
    </row>
    <row r="433">
      <c r="B433" s="232"/>
      <c r="C433" s="225"/>
      <c r="D433" s="225"/>
      <c r="E433" s="224"/>
      <c r="F433" s="224"/>
      <c r="G433" s="225"/>
      <c r="H433" s="225"/>
      <c r="I433" s="225"/>
      <c r="J433" s="225"/>
      <c r="K433" s="225"/>
      <c r="L433" s="225"/>
      <c r="M433" s="225"/>
      <c r="N433" s="224"/>
      <c r="O433" s="224"/>
      <c r="P433" s="227"/>
      <c r="Q433" s="227"/>
    </row>
    <row r="434">
      <c r="B434" s="232"/>
      <c r="C434" s="225"/>
      <c r="D434" s="225"/>
      <c r="E434" s="224"/>
      <c r="F434" s="224"/>
      <c r="G434" s="225"/>
      <c r="H434" s="225"/>
      <c r="I434" s="225"/>
      <c r="J434" s="225"/>
      <c r="K434" s="225"/>
      <c r="L434" s="225"/>
      <c r="M434" s="225"/>
      <c r="N434" s="224"/>
      <c r="O434" s="224"/>
      <c r="P434" s="227"/>
      <c r="Q434" s="227"/>
    </row>
    <row r="435">
      <c r="B435" s="232"/>
      <c r="C435" s="225"/>
      <c r="D435" s="225"/>
      <c r="E435" s="224"/>
      <c r="F435" s="224"/>
      <c r="G435" s="225"/>
      <c r="H435" s="225"/>
      <c r="I435" s="225"/>
      <c r="J435" s="225"/>
      <c r="K435" s="225"/>
      <c r="L435" s="225"/>
      <c r="M435" s="225"/>
      <c r="N435" s="224"/>
      <c r="O435" s="224"/>
      <c r="P435" s="227"/>
      <c r="Q435" s="227"/>
    </row>
    <row r="436">
      <c r="B436" s="232"/>
      <c r="C436" s="225"/>
      <c r="D436" s="225"/>
      <c r="E436" s="224"/>
      <c r="F436" s="224"/>
      <c r="G436" s="225"/>
      <c r="H436" s="225"/>
      <c r="I436" s="225"/>
      <c r="J436" s="225"/>
      <c r="K436" s="225"/>
      <c r="L436" s="225"/>
      <c r="M436" s="225"/>
      <c r="N436" s="224"/>
      <c r="O436" s="224"/>
      <c r="P436" s="227"/>
      <c r="Q436" s="227"/>
    </row>
    <row r="437">
      <c r="B437" s="232"/>
      <c r="C437" s="225"/>
      <c r="D437" s="225"/>
      <c r="E437" s="224"/>
      <c r="F437" s="224"/>
      <c r="G437" s="225"/>
      <c r="H437" s="225"/>
      <c r="I437" s="225"/>
      <c r="J437" s="225"/>
      <c r="K437" s="225"/>
      <c r="L437" s="225"/>
      <c r="M437" s="225"/>
      <c r="N437" s="224"/>
      <c r="O437" s="224"/>
      <c r="P437" s="227"/>
      <c r="Q437" s="227"/>
    </row>
    <row r="438">
      <c r="B438" s="232"/>
      <c r="C438" s="225"/>
      <c r="D438" s="225"/>
      <c r="E438" s="224"/>
      <c r="F438" s="224"/>
      <c r="G438" s="225"/>
      <c r="H438" s="225"/>
      <c r="I438" s="225"/>
      <c r="J438" s="225"/>
      <c r="K438" s="225"/>
      <c r="L438" s="225"/>
      <c r="M438" s="225"/>
      <c r="N438" s="224"/>
      <c r="O438" s="224"/>
      <c r="P438" s="227"/>
      <c r="Q438" s="227"/>
    </row>
    <row r="439">
      <c r="B439" s="232"/>
      <c r="C439" s="225"/>
      <c r="D439" s="225"/>
      <c r="E439" s="224"/>
      <c r="F439" s="224"/>
      <c r="G439" s="225"/>
      <c r="H439" s="225"/>
      <c r="I439" s="225"/>
      <c r="J439" s="225"/>
      <c r="K439" s="225"/>
      <c r="L439" s="225"/>
      <c r="M439" s="225"/>
      <c r="N439" s="224"/>
      <c r="O439" s="224"/>
      <c r="P439" s="227"/>
      <c r="Q439" s="227"/>
    </row>
    <row r="440">
      <c r="B440" s="232"/>
      <c r="C440" s="225"/>
      <c r="D440" s="225"/>
      <c r="E440" s="224"/>
      <c r="F440" s="224"/>
      <c r="G440" s="225"/>
      <c r="H440" s="225"/>
      <c r="I440" s="225"/>
      <c r="J440" s="225"/>
      <c r="K440" s="225"/>
      <c r="L440" s="225"/>
      <c r="M440" s="225"/>
      <c r="N440" s="224"/>
      <c r="O440" s="224"/>
      <c r="P440" s="227"/>
      <c r="Q440" s="227"/>
    </row>
    <row r="441">
      <c r="B441" s="232"/>
      <c r="C441" s="225"/>
      <c r="D441" s="225"/>
      <c r="E441" s="224"/>
      <c r="F441" s="224"/>
      <c r="G441" s="225"/>
      <c r="H441" s="225"/>
      <c r="I441" s="225"/>
      <c r="J441" s="225"/>
      <c r="K441" s="225"/>
      <c r="L441" s="225"/>
      <c r="M441" s="225"/>
      <c r="N441" s="224"/>
      <c r="O441" s="224"/>
      <c r="P441" s="227"/>
      <c r="Q441" s="227"/>
    </row>
    <row r="442">
      <c r="B442" s="232"/>
      <c r="C442" s="225"/>
      <c r="D442" s="225"/>
      <c r="E442" s="224"/>
      <c r="F442" s="224"/>
      <c r="G442" s="225"/>
      <c r="H442" s="225"/>
      <c r="I442" s="225"/>
      <c r="J442" s="225"/>
      <c r="K442" s="225"/>
      <c r="L442" s="225"/>
      <c r="M442" s="225"/>
      <c r="N442" s="224"/>
      <c r="O442" s="224"/>
      <c r="P442" s="227"/>
      <c r="Q442" s="227"/>
    </row>
    <row r="443">
      <c r="B443" s="232"/>
      <c r="C443" s="225"/>
      <c r="D443" s="225"/>
      <c r="E443" s="224"/>
      <c r="F443" s="224"/>
      <c r="G443" s="225"/>
      <c r="H443" s="225"/>
      <c r="I443" s="225"/>
      <c r="J443" s="225"/>
      <c r="K443" s="225"/>
      <c r="L443" s="225"/>
      <c r="M443" s="225"/>
      <c r="N443" s="224"/>
      <c r="O443" s="224"/>
      <c r="P443" s="227"/>
      <c r="Q443" s="227"/>
    </row>
    <row r="444">
      <c r="B444" s="232"/>
      <c r="C444" s="225"/>
      <c r="D444" s="225"/>
      <c r="E444" s="224"/>
      <c r="F444" s="224"/>
      <c r="G444" s="225"/>
      <c r="H444" s="225"/>
      <c r="I444" s="225"/>
      <c r="J444" s="225"/>
      <c r="K444" s="225"/>
      <c r="L444" s="225"/>
      <c r="M444" s="225"/>
      <c r="N444" s="224"/>
      <c r="O444" s="224"/>
      <c r="P444" s="227"/>
      <c r="Q444" s="227"/>
    </row>
    <row r="445">
      <c r="B445" s="232"/>
      <c r="C445" s="225"/>
      <c r="D445" s="225"/>
      <c r="E445" s="224"/>
      <c r="F445" s="224"/>
      <c r="G445" s="225"/>
      <c r="H445" s="225"/>
      <c r="I445" s="225"/>
      <c r="J445" s="225"/>
      <c r="K445" s="225"/>
      <c r="L445" s="225"/>
      <c r="M445" s="225"/>
      <c r="N445" s="224"/>
      <c r="O445" s="224"/>
      <c r="P445" s="227"/>
      <c r="Q445" s="227"/>
    </row>
    <row r="446">
      <c r="B446" s="232"/>
      <c r="C446" s="225"/>
      <c r="D446" s="225"/>
      <c r="E446" s="224"/>
      <c r="F446" s="224"/>
      <c r="G446" s="225"/>
      <c r="H446" s="225"/>
      <c r="I446" s="225"/>
      <c r="J446" s="225"/>
      <c r="K446" s="225"/>
      <c r="L446" s="225"/>
      <c r="M446" s="225"/>
      <c r="N446" s="224"/>
      <c r="O446" s="224"/>
      <c r="P446" s="227"/>
      <c r="Q446" s="227"/>
    </row>
    <row r="447">
      <c r="B447" s="232"/>
      <c r="C447" s="225"/>
      <c r="D447" s="225"/>
      <c r="E447" s="224"/>
      <c r="F447" s="224"/>
      <c r="G447" s="225"/>
      <c r="H447" s="225"/>
      <c r="I447" s="225"/>
      <c r="J447" s="225"/>
      <c r="K447" s="225"/>
      <c r="L447" s="225"/>
      <c r="M447" s="225"/>
      <c r="N447" s="224"/>
      <c r="O447" s="224"/>
      <c r="P447" s="227"/>
      <c r="Q447" s="227"/>
    </row>
    <row r="448">
      <c r="B448" s="232"/>
      <c r="C448" s="225"/>
      <c r="D448" s="225"/>
      <c r="E448" s="224"/>
      <c r="F448" s="224"/>
      <c r="G448" s="225"/>
      <c r="H448" s="225"/>
      <c r="I448" s="225"/>
      <c r="J448" s="225"/>
      <c r="K448" s="225"/>
      <c r="L448" s="225"/>
      <c r="M448" s="225"/>
      <c r="N448" s="224"/>
      <c r="O448" s="224"/>
      <c r="P448" s="227"/>
      <c r="Q448" s="227"/>
    </row>
    <row r="449">
      <c r="B449" s="232"/>
      <c r="C449" s="225"/>
      <c r="D449" s="225"/>
      <c r="E449" s="224"/>
      <c r="F449" s="224"/>
      <c r="G449" s="225"/>
      <c r="H449" s="225"/>
      <c r="I449" s="225"/>
      <c r="J449" s="225"/>
      <c r="K449" s="225"/>
      <c r="L449" s="225"/>
      <c r="M449" s="225"/>
      <c r="N449" s="224"/>
      <c r="O449" s="224"/>
      <c r="P449" s="227"/>
      <c r="Q449" s="227"/>
    </row>
    <row r="450">
      <c r="B450" s="232"/>
      <c r="C450" s="225"/>
      <c r="D450" s="225"/>
      <c r="E450" s="224"/>
      <c r="F450" s="224"/>
      <c r="G450" s="225"/>
      <c r="H450" s="225"/>
      <c r="I450" s="225"/>
      <c r="J450" s="225"/>
      <c r="K450" s="225"/>
      <c r="L450" s="225"/>
      <c r="M450" s="225"/>
      <c r="N450" s="224"/>
      <c r="O450" s="224"/>
      <c r="P450" s="227"/>
      <c r="Q450" s="227"/>
    </row>
    <row r="451">
      <c r="B451" s="232"/>
      <c r="C451" s="225"/>
      <c r="D451" s="225"/>
      <c r="E451" s="224"/>
      <c r="F451" s="224"/>
      <c r="G451" s="225"/>
      <c r="H451" s="225"/>
      <c r="I451" s="225"/>
      <c r="J451" s="225"/>
      <c r="K451" s="225"/>
      <c r="L451" s="225"/>
      <c r="M451" s="225"/>
      <c r="N451" s="224"/>
      <c r="O451" s="224"/>
      <c r="P451" s="227"/>
      <c r="Q451" s="227"/>
    </row>
    <row r="452">
      <c r="B452" s="232"/>
      <c r="C452" s="225"/>
      <c r="D452" s="225"/>
      <c r="E452" s="224"/>
      <c r="F452" s="224"/>
      <c r="G452" s="225"/>
      <c r="H452" s="225"/>
      <c r="I452" s="225"/>
      <c r="J452" s="225"/>
      <c r="K452" s="225"/>
      <c r="L452" s="225"/>
      <c r="M452" s="225"/>
      <c r="N452" s="224"/>
      <c r="O452" s="224"/>
      <c r="P452" s="227"/>
      <c r="Q452" s="227"/>
    </row>
    <row r="453">
      <c r="B453" s="232"/>
      <c r="C453" s="225"/>
      <c r="D453" s="225"/>
      <c r="E453" s="224"/>
      <c r="F453" s="224"/>
      <c r="G453" s="225"/>
      <c r="H453" s="225"/>
      <c r="I453" s="225"/>
      <c r="J453" s="225"/>
      <c r="K453" s="225"/>
      <c r="L453" s="225"/>
      <c r="M453" s="225"/>
      <c r="N453" s="224"/>
      <c r="O453" s="224"/>
      <c r="P453" s="227"/>
      <c r="Q453" s="227"/>
    </row>
    <row r="454">
      <c r="B454" s="232"/>
      <c r="C454" s="225"/>
      <c r="D454" s="225"/>
      <c r="E454" s="224"/>
      <c r="F454" s="224"/>
      <c r="G454" s="225"/>
      <c r="H454" s="225"/>
      <c r="I454" s="225"/>
      <c r="J454" s="225"/>
      <c r="K454" s="225"/>
      <c r="L454" s="225"/>
      <c r="M454" s="225"/>
      <c r="N454" s="224"/>
      <c r="O454" s="224"/>
      <c r="P454" s="227"/>
      <c r="Q454" s="227"/>
    </row>
    <row r="455">
      <c r="B455" s="232"/>
      <c r="C455" s="225"/>
      <c r="D455" s="225"/>
      <c r="E455" s="224"/>
      <c r="F455" s="224"/>
      <c r="G455" s="225"/>
      <c r="H455" s="225"/>
      <c r="I455" s="225"/>
      <c r="J455" s="225"/>
      <c r="K455" s="225"/>
      <c r="L455" s="225"/>
      <c r="M455" s="225"/>
      <c r="N455" s="224"/>
      <c r="O455" s="224"/>
      <c r="P455" s="227"/>
      <c r="Q455" s="227"/>
    </row>
    <row r="456">
      <c r="B456" s="232"/>
      <c r="C456" s="225"/>
      <c r="D456" s="225"/>
      <c r="E456" s="224"/>
      <c r="F456" s="224"/>
      <c r="G456" s="225"/>
      <c r="H456" s="225"/>
      <c r="I456" s="225"/>
      <c r="J456" s="225"/>
      <c r="K456" s="225"/>
      <c r="L456" s="225"/>
      <c r="M456" s="225"/>
      <c r="N456" s="224"/>
      <c r="O456" s="224"/>
      <c r="P456" s="227"/>
      <c r="Q456" s="227"/>
    </row>
    <row r="457">
      <c r="B457" s="232"/>
      <c r="C457" s="225"/>
      <c r="D457" s="225"/>
      <c r="E457" s="224"/>
      <c r="F457" s="224"/>
      <c r="G457" s="225"/>
      <c r="H457" s="225"/>
      <c r="I457" s="225"/>
      <c r="J457" s="225"/>
      <c r="K457" s="225"/>
      <c r="L457" s="225"/>
      <c r="M457" s="225"/>
      <c r="N457" s="224"/>
      <c r="O457" s="224"/>
      <c r="P457" s="227"/>
      <c r="Q457" s="227"/>
    </row>
    <row r="458">
      <c r="B458" s="232"/>
      <c r="C458" s="225"/>
      <c r="D458" s="225"/>
      <c r="E458" s="224"/>
      <c r="F458" s="224"/>
      <c r="G458" s="225"/>
      <c r="H458" s="225"/>
      <c r="I458" s="225"/>
      <c r="J458" s="225"/>
      <c r="K458" s="225"/>
      <c r="L458" s="225"/>
      <c r="M458" s="225"/>
      <c r="N458" s="224"/>
      <c r="O458" s="224"/>
      <c r="P458" s="227"/>
      <c r="Q458" s="227"/>
    </row>
    <row r="459">
      <c r="B459" s="232"/>
      <c r="C459" s="225"/>
      <c r="D459" s="225"/>
      <c r="E459" s="224"/>
      <c r="F459" s="224"/>
      <c r="G459" s="225"/>
      <c r="H459" s="225"/>
      <c r="I459" s="225"/>
      <c r="J459" s="225"/>
      <c r="K459" s="225"/>
      <c r="L459" s="225"/>
      <c r="M459" s="225"/>
      <c r="N459" s="224"/>
      <c r="O459" s="224"/>
      <c r="P459" s="227"/>
      <c r="Q459" s="227"/>
    </row>
    <row r="460">
      <c r="B460" s="232"/>
      <c r="C460" s="225"/>
      <c r="D460" s="225"/>
      <c r="E460" s="224"/>
      <c r="F460" s="224"/>
      <c r="G460" s="225"/>
      <c r="H460" s="225"/>
      <c r="I460" s="225"/>
      <c r="J460" s="225"/>
      <c r="K460" s="225"/>
      <c r="L460" s="225"/>
      <c r="M460" s="225"/>
      <c r="N460" s="224"/>
      <c r="O460" s="224"/>
      <c r="P460" s="227"/>
      <c r="Q460" s="227"/>
    </row>
    <row r="461">
      <c r="B461" s="232"/>
      <c r="C461" s="225"/>
      <c r="D461" s="225"/>
      <c r="E461" s="224"/>
      <c r="F461" s="224"/>
      <c r="G461" s="225"/>
      <c r="H461" s="225"/>
      <c r="I461" s="225"/>
      <c r="J461" s="225"/>
      <c r="K461" s="225"/>
      <c r="L461" s="225"/>
      <c r="M461" s="225"/>
      <c r="N461" s="224"/>
      <c r="O461" s="224"/>
      <c r="P461" s="227"/>
      <c r="Q461" s="227"/>
    </row>
    <row r="462">
      <c r="B462" s="232"/>
      <c r="C462" s="225"/>
      <c r="D462" s="225"/>
      <c r="E462" s="224"/>
      <c r="F462" s="224"/>
      <c r="G462" s="225"/>
      <c r="H462" s="225"/>
      <c r="I462" s="225"/>
      <c r="J462" s="225"/>
      <c r="K462" s="225"/>
      <c r="L462" s="225"/>
      <c r="M462" s="225"/>
      <c r="N462" s="224"/>
      <c r="O462" s="224"/>
      <c r="P462" s="227"/>
      <c r="Q462" s="227"/>
    </row>
    <row r="463">
      <c r="B463" s="232"/>
      <c r="C463" s="225"/>
      <c r="D463" s="225"/>
      <c r="E463" s="224"/>
      <c r="F463" s="224"/>
      <c r="G463" s="225"/>
      <c r="H463" s="225"/>
      <c r="I463" s="225"/>
      <c r="J463" s="225"/>
      <c r="K463" s="225"/>
      <c r="L463" s="225"/>
      <c r="M463" s="225"/>
      <c r="N463" s="224"/>
      <c r="O463" s="224"/>
      <c r="P463" s="227"/>
      <c r="Q463" s="227"/>
    </row>
    <row r="464">
      <c r="B464" s="232"/>
      <c r="C464" s="225"/>
      <c r="D464" s="225"/>
      <c r="E464" s="224"/>
      <c r="F464" s="224"/>
      <c r="G464" s="225"/>
      <c r="H464" s="225"/>
      <c r="I464" s="225"/>
      <c r="J464" s="225"/>
      <c r="K464" s="225"/>
      <c r="L464" s="225"/>
      <c r="M464" s="225"/>
      <c r="N464" s="224"/>
      <c r="O464" s="224"/>
      <c r="P464" s="227"/>
      <c r="Q464" s="227"/>
    </row>
    <row r="465">
      <c r="B465" s="232"/>
      <c r="C465" s="225"/>
      <c r="D465" s="225"/>
      <c r="E465" s="224"/>
      <c r="F465" s="224"/>
      <c r="G465" s="225"/>
      <c r="H465" s="225"/>
      <c r="I465" s="225"/>
      <c r="J465" s="225"/>
      <c r="K465" s="225"/>
      <c r="L465" s="225"/>
      <c r="M465" s="225"/>
      <c r="N465" s="224"/>
      <c r="O465" s="224"/>
      <c r="P465" s="227"/>
      <c r="Q465" s="227"/>
    </row>
    <row r="466">
      <c r="B466" s="232"/>
      <c r="C466" s="225"/>
      <c r="D466" s="225"/>
      <c r="E466" s="224"/>
      <c r="F466" s="224"/>
      <c r="G466" s="225"/>
      <c r="H466" s="225"/>
      <c r="I466" s="225"/>
      <c r="J466" s="225"/>
      <c r="K466" s="225"/>
      <c r="L466" s="225"/>
      <c r="M466" s="225"/>
      <c r="N466" s="224"/>
      <c r="O466" s="224"/>
      <c r="P466" s="227"/>
      <c r="Q466" s="227"/>
    </row>
    <row r="467">
      <c r="B467" s="232"/>
      <c r="C467" s="225"/>
      <c r="D467" s="225"/>
      <c r="E467" s="224"/>
      <c r="F467" s="224"/>
      <c r="G467" s="225"/>
      <c r="H467" s="225"/>
      <c r="I467" s="225"/>
      <c r="J467" s="225"/>
      <c r="K467" s="225"/>
      <c r="L467" s="225"/>
      <c r="M467" s="225"/>
      <c r="N467" s="224"/>
      <c r="O467" s="224"/>
      <c r="P467" s="227"/>
      <c r="Q467" s="227"/>
    </row>
    <row r="468">
      <c r="B468" s="232"/>
      <c r="C468" s="225"/>
      <c r="D468" s="225"/>
      <c r="E468" s="224"/>
      <c r="F468" s="224"/>
      <c r="G468" s="225"/>
      <c r="H468" s="225"/>
      <c r="I468" s="225"/>
      <c r="J468" s="225"/>
      <c r="K468" s="225"/>
      <c r="L468" s="225"/>
      <c r="M468" s="225"/>
      <c r="N468" s="224"/>
      <c r="O468" s="224"/>
      <c r="P468" s="227"/>
      <c r="Q468" s="227"/>
    </row>
    <row r="469">
      <c r="B469" s="232"/>
      <c r="C469" s="225"/>
      <c r="D469" s="225"/>
      <c r="E469" s="224"/>
      <c r="F469" s="224"/>
      <c r="G469" s="225"/>
      <c r="H469" s="225"/>
      <c r="I469" s="225"/>
      <c r="J469" s="225"/>
      <c r="K469" s="225"/>
      <c r="L469" s="225"/>
      <c r="M469" s="225"/>
      <c r="N469" s="224"/>
      <c r="O469" s="224"/>
      <c r="P469" s="227"/>
      <c r="Q469" s="227"/>
    </row>
    <row r="470">
      <c r="B470" s="232"/>
      <c r="C470" s="225"/>
      <c r="D470" s="225"/>
      <c r="E470" s="224"/>
      <c r="F470" s="224"/>
      <c r="G470" s="225"/>
      <c r="H470" s="225"/>
      <c r="I470" s="225"/>
      <c r="J470" s="225"/>
      <c r="K470" s="225"/>
      <c r="L470" s="225"/>
      <c r="M470" s="225"/>
      <c r="N470" s="224"/>
      <c r="O470" s="224"/>
      <c r="P470" s="227"/>
      <c r="Q470" s="227"/>
    </row>
    <row r="471">
      <c r="B471" s="232"/>
      <c r="C471" s="225"/>
      <c r="D471" s="225"/>
      <c r="E471" s="224"/>
      <c r="F471" s="224"/>
      <c r="G471" s="225"/>
      <c r="H471" s="225"/>
      <c r="I471" s="225"/>
      <c r="J471" s="225"/>
      <c r="K471" s="225"/>
      <c r="L471" s="225"/>
      <c r="M471" s="225"/>
      <c r="N471" s="224"/>
      <c r="O471" s="224"/>
      <c r="P471" s="227"/>
      <c r="Q471" s="227"/>
    </row>
    <row r="472">
      <c r="B472" s="232"/>
      <c r="C472" s="225"/>
      <c r="D472" s="225"/>
      <c r="E472" s="224"/>
      <c r="F472" s="224"/>
      <c r="G472" s="225"/>
      <c r="H472" s="225"/>
      <c r="I472" s="225"/>
      <c r="J472" s="225"/>
      <c r="K472" s="225"/>
      <c r="L472" s="225"/>
      <c r="M472" s="225"/>
      <c r="N472" s="224"/>
      <c r="O472" s="224"/>
      <c r="P472" s="227"/>
      <c r="Q472" s="227"/>
    </row>
    <row r="473">
      <c r="B473" s="232"/>
      <c r="C473" s="225"/>
      <c r="D473" s="225"/>
      <c r="E473" s="224"/>
      <c r="F473" s="224"/>
      <c r="G473" s="225"/>
      <c r="H473" s="225"/>
      <c r="I473" s="225"/>
      <c r="J473" s="225"/>
      <c r="K473" s="225"/>
      <c r="L473" s="225"/>
      <c r="M473" s="225"/>
      <c r="N473" s="224"/>
      <c r="O473" s="224"/>
      <c r="P473" s="227"/>
      <c r="Q473" s="227"/>
    </row>
    <row r="474">
      <c r="B474" s="232"/>
      <c r="C474" s="225"/>
      <c r="D474" s="225"/>
      <c r="E474" s="224"/>
      <c r="F474" s="224"/>
      <c r="G474" s="225"/>
      <c r="H474" s="225"/>
      <c r="I474" s="225"/>
      <c r="J474" s="225"/>
      <c r="K474" s="225"/>
      <c r="L474" s="225"/>
      <c r="M474" s="225"/>
      <c r="N474" s="224"/>
      <c r="O474" s="224"/>
      <c r="P474" s="227"/>
      <c r="Q474" s="227"/>
    </row>
    <row r="475">
      <c r="B475" s="232"/>
      <c r="C475" s="225"/>
      <c r="D475" s="225"/>
      <c r="E475" s="224"/>
      <c r="F475" s="224"/>
      <c r="G475" s="225"/>
      <c r="H475" s="225"/>
      <c r="I475" s="225"/>
      <c r="J475" s="225"/>
      <c r="K475" s="225"/>
      <c r="L475" s="225"/>
      <c r="M475" s="225"/>
      <c r="N475" s="224"/>
      <c r="O475" s="224"/>
      <c r="P475" s="227"/>
      <c r="Q475" s="227"/>
    </row>
    <row r="476">
      <c r="B476" s="232"/>
      <c r="C476" s="225"/>
      <c r="D476" s="225"/>
      <c r="E476" s="224"/>
      <c r="F476" s="224"/>
      <c r="G476" s="225"/>
      <c r="H476" s="225"/>
      <c r="I476" s="225"/>
      <c r="J476" s="225"/>
      <c r="K476" s="225"/>
      <c r="L476" s="225"/>
      <c r="M476" s="225"/>
      <c r="N476" s="224"/>
      <c r="O476" s="224"/>
      <c r="P476" s="227"/>
      <c r="Q476" s="227"/>
    </row>
    <row r="477">
      <c r="B477" s="232"/>
      <c r="C477" s="225"/>
      <c r="D477" s="225"/>
      <c r="E477" s="224"/>
      <c r="F477" s="224"/>
      <c r="G477" s="225"/>
      <c r="H477" s="225"/>
      <c r="I477" s="225"/>
      <c r="J477" s="225"/>
      <c r="K477" s="225"/>
      <c r="L477" s="225"/>
      <c r="M477" s="225"/>
      <c r="N477" s="224"/>
      <c r="O477" s="224"/>
      <c r="P477" s="227"/>
      <c r="Q477" s="227"/>
    </row>
    <row r="478">
      <c r="B478" s="232"/>
      <c r="C478" s="225"/>
      <c r="D478" s="225"/>
      <c r="E478" s="224"/>
      <c r="F478" s="224"/>
      <c r="G478" s="225"/>
      <c r="H478" s="225"/>
      <c r="I478" s="225"/>
      <c r="J478" s="225"/>
      <c r="K478" s="225"/>
      <c r="L478" s="225"/>
      <c r="M478" s="225"/>
      <c r="N478" s="224"/>
      <c r="O478" s="224"/>
      <c r="P478" s="227"/>
      <c r="Q478" s="227"/>
    </row>
    <row r="479">
      <c r="B479" s="232"/>
      <c r="C479" s="225"/>
      <c r="D479" s="225"/>
      <c r="E479" s="224"/>
      <c r="F479" s="224"/>
      <c r="G479" s="225"/>
      <c r="H479" s="225"/>
      <c r="I479" s="225"/>
      <c r="J479" s="225"/>
      <c r="K479" s="225"/>
      <c r="L479" s="225"/>
      <c r="M479" s="225"/>
      <c r="N479" s="224"/>
      <c r="O479" s="224"/>
      <c r="P479" s="227"/>
      <c r="Q479" s="227"/>
    </row>
    <row r="480">
      <c r="B480" s="232"/>
      <c r="C480" s="225"/>
      <c r="D480" s="225"/>
      <c r="E480" s="224"/>
      <c r="F480" s="224"/>
      <c r="G480" s="225"/>
      <c r="H480" s="225"/>
      <c r="I480" s="225"/>
      <c r="J480" s="225"/>
      <c r="K480" s="225"/>
      <c r="L480" s="225"/>
      <c r="M480" s="225"/>
      <c r="N480" s="224"/>
      <c r="O480" s="224"/>
      <c r="P480" s="227"/>
      <c r="Q480" s="227"/>
    </row>
    <row r="481">
      <c r="B481" s="232"/>
      <c r="C481" s="225"/>
      <c r="D481" s="225"/>
      <c r="E481" s="224"/>
      <c r="F481" s="224"/>
      <c r="G481" s="225"/>
      <c r="H481" s="225"/>
      <c r="I481" s="225"/>
      <c r="J481" s="225"/>
      <c r="K481" s="225"/>
      <c r="L481" s="225"/>
      <c r="M481" s="225"/>
      <c r="N481" s="224"/>
      <c r="O481" s="224"/>
      <c r="P481" s="227"/>
      <c r="Q481" s="227"/>
    </row>
    <row r="482">
      <c r="B482" s="232"/>
      <c r="C482" s="225"/>
      <c r="D482" s="225"/>
      <c r="E482" s="224"/>
      <c r="F482" s="224"/>
      <c r="G482" s="225"/>
      <c r="H482" s="225"/>
      <c r="I482" s="225"/>
      <c r="J482" s="225"/>
      <c r="K482" s="225"/>
      <c r="L482" s="225"/>
      <c r="M482" s="225"/>
      <c r="N482" s="224"/>
      <c r="O482" s="224"/>
      <c r="P482" s="227"/>
      <c r="Q482" s="227"/>
    </row>
    <row r="483">
      <c r="B483" s="232"/>
      <c r="C483" s="225"/>
      <c r="D483" s="225"/>
      <c r="E483" s="224"/>
      <c r="F483" s="224"/>
      <c r="G483" s="225"/>
      <c r="H483" s="225"/>
      <c r="I483" s="225"/>
      <c r="J483" s="225"/>
      <c r="K483" s="225"/>
      <c r="L483" s="225"/>
      <c r="M483" s="225"/>
      <c r="N483" s="224"/>
      <c r="O483" s="224"/>
      <c r="P483" s="227"/>
      <c r="Q483" s="227"/>
    </row>
    <row r="484">
      <c r="B484" s="232"/>
      <c r="C484" s="225"/>
      <c r="D484" s="225"/>
      <c r="E484" s="224"/>
      <c r="F484" s="224"/>
      <c r="G484" s="225"/>
      <c r="H484" s="225"/>
      <c r="I484" s="225"/>
      <c r="J484" s="225"/>
      <c r="K484" s="225"/>
      <c r="L484" s="225"/>
      <c r="M484" s="225"/>
      <c r="N484" s="224"/>
      <c r="O484" s="224"/>
      <c r="P484" s="227"/>
      <c r="Q484" s="227"/>
    </row>
    <row r="485">
      <c r="B485" s="232"/>
      <c r="C485" s="225"/>
      <c r="D485" s="225"/>
      <c r="E485" s="224"/>
      <c r="F485" s="224"/>
      <c r="G485" s="225"/>
      <c r="H485" s="225"/>
      <c r="I485" s="225"/>
      <c r="J485" s="225"/>
      <c r="K485" s="225"/>
      <c r="L485" s="225"/>
      <c r="M485" s="225"/>
      <c r="N485" s="224"/>
      <c r="O485" s="224"/>
      <c r="P485" s="227"/>
      <c r="Q485" s="227"/>
    </row>
    <row r="486">
      <c r="B486" s="232"/>
      <c r="C486" s="225"/>
      <c r="D486" s="225"/>
      <c r="E486" s="224"/>
      <c r="F486" s="224"/>
      <c r="G486" s="225"/>
      <c r="H486" s="225"/>
      <c r="I486" s="225"/>
      <c r="J486" s="225"/>
      <c r="K486" s="225"/>
      <c r="L486" s="225"/>
      <c r="M486" s="225"/>
      <c r="N486" s="224"/>
      <c r="O486" s="224"/>
      <c r="P486" s="227"/>
      <c r="Q486" s="227"/>
    </row>
    <row r="487">
      <c r="B487" s="232"/>
      <c r="C487" s="225"/>
      <c r="D487" s="225"/>
      <c r="E487" s="224"/>
      <c r="F487" s="224"/>
      <c r="G487" s="225"/>
      <c r="H487" s="225"/>
      <c r="I487" s="225"/>
      <c r="J487" s="225"/>
      <c r="K487" s="225"/>
      <c r="L487" s="225"/>
      <c r="M487" s="225"/>
      <c r="N487" s="224"/>
      <c r="O487" s="224"/>
      <c r="P487" s="227"/>
      <c r="Q487" s="227"/>
    </row>
    <row r="488">
      <c r="B488" s="232"/>
      <c r="C488" s="225"/>
      <c r="D488" s="225"/>
      <c r="E488" s="224"/>
      <c r="F488" s="224"/>
      <c r="G488" s="225"/>
      <c r="H488" s="225"/>
      <c r="I488" s="225"/>
      <c r="J488" s="225"/>
      <c r="K488" s="225"/>
      <c r="L488" s="225"/>
      <c r="M488" s="225"/>
      <c r="N488" s="224"/>
      <c r="O488" s="224"/>
      <c r="P488" s="227"/>
      <c r="Q488" s="227"/>
    </row>
    <row r="489">
      <c r="B489" s="232"/>
      <c r="C489" s="225"/>
      <c r="D489" s="225"/>
      <c r="E489" s="224"/>
      <c r="F489" s="224"/>
      <c r="G489" s="225"/>
      <c r="H489" s="225"/>
      <c r="I489" s="225"/>
      <c r="J489" s="225"/>
      <c r="K489" s="225"/>
      <c r="L489" s="225"/>
      <c r="M489" s="225"/>
      <c r="N489" s="224"/>
      <c r="O489" s="224"/>
      <c r="P489" s="227"/>
      <c r="Q489" s="227"/>
    </row>
    <row r="490">
      <c r="B490" s="232"/>
      <c r="C490" s="225"/>
      <c r="D490" s="225"/>
      <c r="E490" s="224"/>
      <c r="F490" s="224"/>
      <c r="G490" s="225"/>
      <c r="H490" s="225"/>
      <c r="I490" s="225"/>
      <c r="J490" s="225"/>
      <c r="K490" s="225"/>
      <c r="L490" s="225"/>
      <c r="M490" s="225"/>
      <c r="N490" s="224"/>
      <c r="O490" s="224"/>
      <c r="P490" s="227"/>
      <c r="Q490" s="227"/>
    </row>
    <row r="491">
      <c r="B491" s="232"/>
      <c r="C491" s="225"/>
      <c r="D491" s="225"/>
      <c r="E491" s="224"/>
      <c r="F491" s="224"/>
      <c r="G491" s="225"/>
      <c r="H491" s="225"/>
      <c r="I491" s="225"/>
      <c r="J491" s="225"/>
      <c r="K491" s="225"/>
      <c r="L491" s="225"/>
      <c r="M491" s="225"/>
      <c r="N491" s="224"/>
      <c r="O491" s="224"/>
      <c r="P491" s="227"/>
      <c r="Q491" s="227"/>
    </row>
    <row r="492">
      <c r="B492" s="232"/>
      <c r="C492" s="225"/>
      <c r="D492" s="225"/>
      <c r="E492" s="224"/>
      <c r="F492" s="224"/>
      <c r="G492" s="225"/>
      <c r="H492" s="225"/>
      <c r="I492" s="225"/>
      <c r="J492" s="225"/>
      <c r="K492" s="225"/>
      <c r="L492" s="225"/>
      <c r="M492" s="225"/>
      <c r="N492" s="224"/>
      <c r="O492" s="224"/>
      <c r="P492" s="227"/>
      <c r="Q492" s="227"/>
    </row>
    <row r="493">
      <c r="B493" s="232"/>
      <c r="C493" s="225"/>
      <c r="D493" s="225"/>
      <c r="E493" s="224"/>
      <c r="F493" s="224"/>
      <c r="G493" s="225"/>
      <c r="H493" s="225"/>
      <c r="I493" s="225"/>
      <c r="J493" s="225"/>
      <c r="K493" s="225"/>
      <c r="L493" s="225"/>
      <c r="M493" s="225"/>
      <c r="N493" s="224"/>
      <c r="O493" s="224"/>
      <c r="P493" s="227"/>
      <c r="Q493" s="227"/>
    </row>
    <row r="494">
      <c r="B494" s="232"/>
      <c r="C494" s="225"/>
      <c r="D494" s="225"/>
      <c r="E494" s="224"/>
      <c r="F494" s="224"/>
      <c r="G494" s="225"/>
      <c r="H494" s="225"/>
      <c r="I494" s="225"/>
      <c r="J494" s="225"/>
      <c r="K494" s="225"/>
      <c r="L494" s="225"/>
      <c r="M494" s="225"/>
      <c r="N494" s="224"/>
      <c r="O494" s="224"/>
      <c r="P494" s="227"/>
      <c r="Q494" s="227"/>
    </row>
    <row r="495">
      <c r="B495" s="232"/>
      <c r="C495" s="225"/>
      <c r="D495" s="225"/>
      <c r="E495" s="224"/>
      <c r="F495" s="224"/>
      <c r="G495" s="225"/>
      <c r="H495" s="225"/>
      <c r="I495" s="225"/>
      <c r="J495" s="225"/>
      <c r="K495" s="225"/>
      <c r="L495" s="225"/>
      <c r="M495" s="225"/>
      <c r="N495" s="224"/>
      <c r="O495" s="224"/>
      <c r="P495" s="227"/>
      <c r="Q495" s="227"/>
    </row>
    <row r="496">
      <c r="B496" s="232"/>
      <c r="C496" s="225"/>
      <c r="D496" s="225"/>
      <c r="E496" s="224"/>
      <c r="F496" s="224"/>
      <c r="G496" s="225"/>
      <c r="H496" s="225"/>
      <c r="I496" s="225"/>
      <c r="J496" s="225"/>
      <c r="K496" s="225"/>
      <c r="L496" s="225"/>
      <c r="M496" s="225"/>
      <c r="N496" s="224"/>
      <c r="O496" s="224"/>
      <c r="P496" s="227"/>
      <c r="Q496" s="227"/>
    </row>
    <row r="497">
      <c r="B497" s="232"/>
      <c r="C497" s="225"/>
      <c r="D497" s="225"/>
      <c r="E497" s="224"/>
      <c r="F497" s="224"/>
      <c r="G497" s="225"/>
      <c r="H497" s="225"/>
      <c r="I497" s="225"/>
      <c r="J497" s="225"/>
      <c r="K497" s="225"/>
      <c r="L497" s="225"/>
      <c r="M497" s="225"/>
      <c r="N497" s="224"/>
      <c r="O497" s="224"/>
      <c r="P497" s="227"/>
      <c r="Q497" s="227"/>
    </row>
    <row r="498">
      <c r="B498" s="232"/>
      <c r="C498" s="225"/>
      <c r="D498" s="225"/>
      <c r="E498" s="224"/>
      <c r="F498" s="224"/>
      <c r="G498" s="225"/>
      <c r="H498" s="225"/>
      <c r="I498" s="225"/>
      <c r="J498" s="225"/>
      <c r="K498" s="225"/>
      <c r="L498" s="225"/>
      <c r="M498" s="225"/>
      <c r="N498" s="224"/>
      <c r="O498" s="224"/>
      <c r="P498" s="227"/>
      <c r="Q498" s="227"/>
    </row>
    <row r="499">
      <c r="B499" s="232"/>
      <c r="C499" s="225"/>
      <c r="D499" s="225"/>
      <c r="E499" s="224"/>
      <c r="F499" s="224"/>
      <c r="G499" s="225"/>
      <c r="H499" s="225"/>
      <c r="I499" s="225"/>
      <c r="J499" s="225"/>
      <c r="K499" s="225"/>
      <c r="L499" s="225"/>
      <c r="M499" s="225"/>
      <c r="N499" s="224"/>
      <c r="O499" s="224"/>
      <c r="P499" s="227"/>
      <c r="Q499" s="227"/>
    </row>
    <row r="500">
      <c r="B500" s="232"/>
      <c r="C500" s="225"/>
      <c r="D500" s="225"/>
      <c r="E500" s="224"/>
      <c r="F500" s="224"/>
      <c r="G500" s="225"/>
      <c r="H500" s="225"/>
      <c r="I500" s="225"/>
      <c r="J500" s="225"/>
      <c r="K500" s="225"/>
      <c r="L500" s="225"/>
      <c r="M500" s="225"/>
      <c r="N500" s="224"/>
      <c r="O500" s="224"/>
      <c r="P500" s="227"/>
      <c r="Q500" s="227"/>
    </row>
    <row r="501">
      <c r="B501" s="232"/>
      <c r="C501" s="225"/>
      <c r="D501" s="225"/>
      <c r="E501" s="224"/>
      <c r="F501" s="224"/>
      <c r="G501" s="225"/>
      <c r="H501" s="225"/>
      <c r="I501" s="225"/>
      <c r="J501" s="225"/>
      <c r="K501" s="225"/>
      <c r="L501" s="225"/>
      <c r="M501" s="225"/>
      <c r="N501" s="224"/>
      <c r="O501" s="224"/>
      <c r="P501" s="227"/>
      <c r="Q501" s="227"/>
    </row>
    <row r="502">
      <c r="B502" s="232"/>
      <c r="C502" s="225"/>
      <c r="D502" s="225"/>
      <c r="E502" s="224"/>
      <c r="F502" s="224"/>
      <c r="G502" s="225"/>
      <c r="H502" s="225"/>
      <c r="I502" s="225"/>
      <c r="J502" s="225"/>
      <c r="K502" s="225"/>
      <c r="L502" s="225"/>
      <c r="M502" s="225"/>
      <c r="N502" s="224"/>
      <c r="O502" s="224"/>
      <c r="P502" s="227"/>
      <c r="Q502" s="227"/>
    </row>
    <row r="503">
      <c r="B503" s="232"/>
      <c r="C503" s="225"/>
      <c r="D503" s="225"/>
      <c r="E503" s="224"/>
      <c r="F503" s="224"/>
      <c r="G503" s="225"/>
      <c r="H503" s="225"/>
      <c r="I503" s="225"/>
      <c r="J503" s="225"/>
      <c r="K503" s="225"/>
      <c r="L503" s="225"/>
      <c r="M503" s="225"/>
      <c r="N503" s="224"/>
      <c r="O503" s="224"/>
      <c r="P503" s="227"/>
      <c r="Q503" s="227"/>
    </row>
    <row r="504">
      <c r="B504" s="232"/>
      <c r="C504" s="225"/>
      <c r="D504" s="225"/>
      <c r="E504" s="224"/>
      <c r="F504" s="224"/>
      <c r="G504" s="225"/>
      <c r="H504" s="225"/>
      <c r="I504" s="225"/>
      <c r="J504" s="225"/>
      <c r="K504" s="225"/>
      <c r="L504" s="225"/>
      <c r="M504" s="225"/>
      <c r="N504" s="224"/>
      <c r="O504" s="224"/>
      <c r="P504" s="227"/>
      <c r="Q504" s="227"/>
    </row>
    <row r="505">
      <c r="B505" s="232"/>
      <c r="C505" s="225"/>
      <c r="D505" s="225"/>
      <c r="E505" s="224"/>
      <c r="F505" s="224"/>
      <c r="G505" s="225"/>
      <c r="H505" s="225"/>
      <c r="I505" s="225"/>
      <c r="J505" s="225"/>
      <c r="K505" s="225"/>
      <c r="L505" s="225"/>
      <c r="M505" s="225"/>
      <c r="N505" s="224"/>
      <c r="O505" s="224"/>
      <c r="P505" s="227"/>
      <c r="Q505" s="227"/>
    </row>
    <row r="506">
      <c r="B506" s="232"/>
      <c r="C506" s="225"/>
      <c r="D506" s="225"/>
      <c r="E506" s="224"/>
      <c r="F506" s="224"/>
      <c r="G506" s="225"/>
      <c r="H506" s="225"/>
      <c r="I506" s="225"/>
      <c r="J506" s="225"/>
      <c r="K506" s="225"/>
      <c r="L506" s="225"/>
      <c r="M506" s="225"/>
      <c r="N506" s="224"/>
      <c r="O506" s="224"/>
      <c r="P506" s="227"/>
      <c r="Q506" s="227"/>
    </row>
    <row r="507">
      <c r="B507" s="232"/>
      <c r="C507" s="225"/>
      <c r="D507" s="225"/>
      <c r="E507" s="224"/>
      <c r="F507" s="224"/>
      <c r="G507" s="225"/>
      <c r="H507" s="225"/>
      <c r="I507" s="225"/>
      <c r="J507" s="225"/>
      <c r="K507" s="225"/>
      <c r="L507" s="225"/>
      <c r="M507" s="225"/>
      <c r="N507" s="224"/>
      <c r="O507" s="224"/>
      <c r="P507" s="227"/>
      <c r="Q507" s="227"/>
    </row>
    <row r="508">
      <c r="B508" s="232"/>
      <c r="C508" s="225"/>
      <c r="D508" s="225"/>
      <c r="E508" s="224"/>
      <c r="F508" s="224"/>
      <c r="G508" s="225"/>
      <c r="H508" s="225"/>
      <c r="I508" s="225"/>
      <c r="J508" s="225"/>
      <c r="K508" s="225"/>
      <c r="L508" s="225"/>
      <c r="M508" s="225"/>
      <c r="N508" s="224"/>
      <c r="O508" s="224"/>
      <c r="P508" s="227"/>
      <c r="Q508" s="227"/>
    </row>
    <row r="509">
      <c r="B509" s="232"/>
      <c r="C509" s="225"/>
      <c r="D509" s="225"/>
      <c r="E509" s="224"/>
      <c r="F509" s="224"/>
      <c r="G509" s="225"/>
      <c r="H509" s="225"/>
      <c r="I509" s="225"/>
      <c r="J509" s="225"/>
      <c r="K509" s="225"/>
      <c r="L509" s="225"/>
      <c r="M509" s="225"/>
      <c r="N509" s="224"/>
      <c r="O509" s="224"/>
      <c r="P509" s="227"/>
      <c r="Q509" s="227"/>
    </row>
    <row r="510">
      <c r="B510" s="232"/>
      <c r="C510" s="225"/>
      <c r="D510" s="225"/>
      <c r="E510" s="224"/>
      <c r="F510" s="224"/>
      <c r="G510" s="225"/>
      <c r="H510" s="225"/>
      <c r="I510" s="225"/>
      <c r="J510" s="225"/>
      <c r="K510" s="225"/>
      <c r="L510" s="225"/>
      <c r="M510" s="225"/>
      <c r="N510" s="224"/>
      <c r="O510" s="224"/>
      <c r="P510" s="227"/>
      <c r="Q510" s="227"/>
    </row>
    <row r="511">
      <c r="B511" s="232"/>
      <c r="C511" s="225"/>
      <c r="D511" s="225"/>
      <c r="E511" s="224"/>
      <c r="F511" s="224"/>
      <c r="G511" s="225"/>
      <c r="H511" s="225"/>
      <c r="I511" s="225"/>
      <c r="J511" s="225"/>
      <c r="K511" s="225"/>
      <c r="L511" s="225"/>
      <c r="M511" s="225"/>
      <c r="N511" s="224"/>
      <c r="O511" s="224"/>
      <c r="P511" s="227"/>
      <c r="Q511" s="227"/>
    </row>
    <row r="512">
      <c r="B512" s="232"/>
      <c r="C512" s="225"/>
      <c r="D512" s="225"/>
      <c r="E512" s="224"/>
      <c r="F512" s="224"/>
      <c r="G512" s="225"/>
      <c r="H512" s="225"/>
      <c r="I512" s="225"/>
      <c r="J512" s="225"/>
      <c r="K512" s="225"/>
      <c r="L512" s="225"/>
      <c r="M512" s="225"/>
      <c r="N512" s="224"/>
      <c r="O512" s="224"/>
      <c r="P512" s="227"/>
      <c r="Q512" s="227"/>
    </row>
    <row r="513">
      <c r="B513" s="232"/>
      <c r="C513" s="225"/>
      <c r="D513" s="225"/>
      <c r="E513" s="224"/>
      <c r="F513" s="224"/>
      <c r="G513" s="225"/>
      <c r="H513" s="225"/>
      <c r="I513" s="225"/>
      <c r="J513" s="225"/>
      <c r="K513" s="225"/>
      <c r="L513" s="225"/>
      <c r="M513" s="225"/>
      <c r="N513" s="224"/>
      <c r="O513" s="224"/>
      <c r="P513" s="227"/>
      <c r="Q513" s="227"/>
    </row>
    <row r="514">
      <c r="B514" s="232"/>
      <c r="C514" s="225"/>
      <c r="D514" s="225"/>
      <c r="E514" s="224"/>
      <c r="F514" s="224"/>
      <c r="G514" s="225"/>
      <c r="H514" s="225"/>
      <c r="I514" s="225"/>
      <c r="J514" s="225"/>
      <c r="K514" s="225"/>
      <c r="L514" s="225"/>
      <c r="M514" s="225"/>
      <c r="N514" s="224"/>
      <c r="O514" s="224"/>
      <c r="P514" s="227"/>
      <c r="Q514" s="227"/>
    </row>
    <row r="515">
      <c r="B515" s="232"/>
      <c r="C515" s="225"/>
      <c r="D515" s="225"/>
      <c r="E515" s="224"/>
      <c r="F515" s="224"/>
      <c r="G515" s="225"/>
      <c r="H515" s="225"/>
      <c r="I515" s="225"/>
      <c r="J515" s="225"/>
      <c r="K515" s="225"/>
      <c r="L515" s="225"/>
      <c r="M515" s="225"/>
      <c r="N515" s="224"/>
      <c r="O515" s="224"/>
      <c r="P515" s="227"/>
      <c r="Q515" s="227"/>
    </row>
    <row r="516">
      <c r="B516" s="232"/>
      <c r="C516" s="225"/>
      <c r="D516" s="225"/>
      <c r="E516" s="224"/>
      <c r="F516" s="224"/>
      <c r="G516" s="225"/>
      <c r="H516" s="225"/>
      <c r="I516" s="225"/>
      <c r="J516" s="225"/>
      <c r="K516" s="225"/>
      <c r="L516" s="225"/>
      <c r="M516" s="225"/>
      <c r="N516" s="224"/>
      <c r="O516" s="224"/>
      <c r="P516" s="227"/>
      <c r="Q516" s="227"/>
    </row>
    <row r="517">
      <c r="B517" s="232"/>
      <c r="C517" s="225"/>
      <c r="D517" s="225"/>
      <c r="E517" s="224"/>
      <c r="F517" s="224"/>
      <c r="G517" s="225"/>
      <c r="H517" s="225"/>
      <c r="I517" s="225"/>
      <c r="J517" s="225"/>
      <c r="K517" s="225"/>
      <c r="L517" s="225"/>
      <c r="M517" s="225"/>
      <c r="N517" s="224"/>
      <c r="O517" s="224"/>
      <c r="P517" s="227"/>
      <c r="Q517" s="227"/>
    </row>
    <row r="518">
      <c r="B518" s="232"/>
      <c r="C518" s="225"/>
      <c r="D518" s="225"/>
      <c r="E518" s="224"/>
      <c r="F518" s="224"/>
      <c r="G518" s="225"/>
      <c r="H518" s="225"/>
      <c r="I518" s="225"/>
      <c r="J518" s="225"/>
      <c r="K518" s="225"/>
      <c r="L518" s="225"/>
      <c r="M518" s="225"/>
      <c r="N518" s="224"/>
      <c r="O518" s="224"/>
      <c r="P518" s="227"/>
      <c r="Q518" s="227"/>
    </row>
    <row r="519">
      <c r="B519" s="232"/>
      <c r="C519" s="225"/>
      <c r="D519" s="225"/>
      <c r="E519" s="224"/>
      <c r="F519" s="224"/>
      <c r="G519" s="225"/>
      <c r="H519" s="225"/>
      <c r="I519" s="225"/>
      <c r="J519" s="225"/>
      <c r="K519" s="225"/>
      <c r="L519" s="225"/>
      <c r="M519" s="225"/>
      <c r="N519" s="224"/>
      <c r="O519" s="224"/>
      <c r="P519" s="227"/>
      <c r="Q519" s="227"/>
    </row>
    <row r="520">
      <c r="B520" s="232"/>
      <c r="C520" s="225"/>
      <c r="D520" s="225"/>
      <c r="E520" s="224"/>
      <c r="F520" s="224"/>
      <c r="G520" s="225"/>
      <c r="H520" s="225"/>
      <c r="I520" s="225"/>
      <c r="J520" s="225"/>
      <c r="K520" s="225"/>
      <c r="L520" s="225"/>
      <c r="M520" s="225"/>
      <c r="N520" s="224"/>
      <c r="O520" s="224"/>
      <c r="P520" s="227"/>
      <c r="Q520" s="227"/>
    </row>
    <row r="521">
      <c r="B521" s="232"/>
      <c r="C521" s="225"/>
      <c r="D521" s="225"/>
      <c r="E521" s="224"/>
      <c r="F521" s="224"/>
      <c r="G521" s="225"/>
      <c r="H521" s="225"/>
      <c r="I521" s="225"/>
      <c r="J521" s="225"/>
      <c r="K521" s="225"/>
      <c r="L521" s="225"/>
      <c r="M521" s="225"/>
      <c r="N521" s="224"/>
      <c r="O521" s="224"/>
      <c r="P521" s="227"/>
      <c r="Q521" s="227"/>
    </row>
    <row r="522">
      <c r="B522" s="232"/>
      <c r="C522" s="225"/>
      <c r="D522" s="225"/>
      <c r="E522" s="224"/>
      <c r="F522" s="224"/>
      <c r="G522" s="225"/>
      <c r="H522" s="225"/>
      <c r="I522" s="225"/>
      <c r="J522" s="225"/>
      <c r="K522" s="225"/>
      <c r="L522" s="225"/>
      <c r="M522" s="225"/>
      <c r="N522" s="224"/>
      <c r="O522" s="224"/>
      <c r="P522" s="227"/>
      <c r="Q522" s="227"/>
    </row>
    <row r="523">
      <c r="B523" s="232"/>
      <c r="C523" s="225"/>
      <c r="D523" s="225"/>
      <c r="E523" s="224"/>
      <c r="F523" s="224"/>
      <c r="G523" s="225"/>
      <c r="H523" s="225"/>
      <c r="I523" s="225"/>
      <c r="J523" s="225"/>
      <c r="K523" s="225"/>
      <c r="L523" s="225"/>
      <c r="M523" s="225"/>
      <c r="N523" s="224"/>
      <c r="O523" s="224"/>
      <c r="P523" s="227"/>
      <c r="Q523" s="227"/>
    </row>
    <row r="524">
      <c r="B524" s="232"/>
      <c r="C524" s="225"/>
      <c r="D524" s="225"/>
      <c r="E524" s="224"/>
      <c r="F524" s="224"/>
      <c r="G524" s="225"/>
      <c r="H524" s="225"/>
      <c r="I524" s="225"/>
      <c r="J524" s="225"/>
      <c r="K524" s="225"/>
      <c r="L524" s="225"/>
      <c r="M524" s="225"/>
      <c r="N524" s="224"/>
      <c r="O524" s="224"/>
      <c r="P524" s="227"/>
      <c r="Q524" s="227"/>
    </row>
    <row r="525">
      <c r="B525" s="232"/>
      <c r="C525" s="225"/>
      <c r="D525" s="225"/>
      <c r="E525" s="224"/>
      <c r="F525" s="224"/>
      <c r="G525" s="225"/>
      <c r="H525" s="225"/>
      <c r="I525" s="225"/>
      <c r="J525" s="225"/>
      <c r="K525" s="225"/>
      <c r="L525" s="225"/>
      <c r="M525" s="225"/>
      <c r="N525" s="224"/>
      <c r="O525" s="224"/>
      <c r="P525" s="227"/>
      <c r="Q525" s="227"/>
    </row>
    <row r="526">
      <c r="B526" s="232"/>
      <c r="C526" s="225"/>
      <c r="D526" s="225"/>
      <c r="E526" s="224"/>
      <c r="F526" s="224"/>
      <c r="G526" s="225"/>
      <c r="H526" s="225"/>
      <c r="I526" s="225"/>
      <c r="J526" s="225"/>
      <c r="K526" s="225"/>
      <c r="L526" s="225"/>
      <c r="M526" s="225"/>
      <c r="N526" s="224"/>
      <c r="O526" s="224"/>
      <c r="P526" s="227"/>
      <c r="Q526" s="227"/>
    </row>
    <row r="527">
      <c r="B527" s="232"/>
      <c r="C527" s="225"/>
      <c r="D527" s="225"/>
      <c r="E527" s="224"/>
      <c r="F527" s="224"/>
      <c r="G527" s="225"/>
      <c r="H527" s="225"/>
      <c r="I527" s="225"/>
      <c r="J527" s="225"/>
      <c r="K527" s="225"/>
      <c r="L527" s="225"/>
      <c r="M527" s="225"/>
      <c r="N527" s="224"/>
      <c r="O527" s="224"/>
      <c r="P527" s="227"/>
      <c r="Q527" s="227"/>
    </row>
    <row r="528">
      <c r="B528" s="232"/>
      <c r="C528" s="225"/>
      <c r="D528" s="225"/>
      <c r="E528" s="224"/>
      <c r="F528" s="224"/>
      <c r="G528" s="225"/>
      <c r="H528" s="225"/>
      <c r="I528" s="225"/>
      <c r="J528" s="225"/>
      <c r="K528" s="225"/>
      <c r="L528" s="225"/>
      <c r="M528" s="225"/>
      <c r="N528" s="224"/>
      <c r="O528" s="224"/>
      <c r="P528" s="227"/>
      <c r="Q528" s="227"/>
    </row>
    <row r="529">
      <c r="B529" s="232"/>
      <c r="C529" s="225"/>
      <c r="D529" s="225"/>
      <c r="E529" s="224"/>
      <c r="F529" s="224"/>
      <c r="G529" s="225"/>
      <c r="H529" s="225"/>
      <c r="I529" s="225"/>
      <c r="J529" s="225"/>
      <c r="K529" s="225"/>
      <c r="L529" s="225"/>
      <c r="M529" s="225"/>
      <c r="N529" s="224"/>
      <c r="O529" s="224"/>
      <c r="P529" s="227"/>
      <c r="Q529" s="227"/>
    </row>
    <row r="530">
      <c r="B530" s="232"/>
      <c r="C530" s="225"/>
      <c r="D530" s="225"/>
      <c r="E530" s="224"/>
      <c r="F530" s="224"/>
      <c r="G530" s="225"/>
      <c r="H530" s="225"/>
      <c r="I530" s="225"/>
      <c r="J530" s="225"/>
      <c r="K530" s="225"/>
      <c r="L530" s="225"/>
      <c r="M530" s="225"/>
      <c r="N530" s="224"/>
      <c r="O530" s="224"/>
      <c r="P530" s="227"/>
      <c r="Q530" s="227"/>
    </row>
    <row r="531">
      <c r="B531" s="232"/>
      <c r="C531" s="225"/>
      <c r="D531" s="225"/>
      <c r="E531" s="224"/>
      <c r="F531" s="224"/>
      <c r="G531" s="225"/>
      <c r="H531" s="225"/>
      <c r="I531" s="225"/>
      <c r="J531" s="225"/>
      <c r="K531" s="225"/>
      <c r="L531" s="225"/>
      <c r="M531" s="225"/>
      <c r="N531" s="224"/>
      <c r="O531" s="224"/>
      <c r="P531" s="227"/>
      <c r="Q531" s="227"/>
    </row>
    <row r="532">
      <c r="B532" s="232"/>
      <c r="C532" s="225"/>
      <c r="D532" s="225"/>
      <c r="E532" s="224"/>
      <c r="F532" s="224"/>
      <c r="G532" s="225"/>
      <c r="H532" s="225"/>
      <c r="I532" s="225"/>
      <c r="J532" s="225"/>
      <c r="K532" s="225"/>
      <c r="L532" s="225"/>
      <c r="M532" s="225"/>
      <c r="N532" s="224"/>
      <c r="O532" s="224"/>
      <c r="P532" s="227"/>
      <c r="Q532" s="227"/>
    </row>
    <row r="533">
      <c r="B533" s="232"/>
      <c r="C533" s="225"/>
      <c r="D533" s="225"/>
      <c r="E533" s="224"/>
      <c r="F533" s="224"/>
      <c r="G533" s="225"/>
      <c r="H533" s="225"/>
      <c r="I533" s="225"/>
      <c r="J533" s="225"/>
      <c r="K533" s="225"/>
      <c r="L533" s="225"/>
      <c r="M533" s="225"/>
      <c r="N533" s="224"/>
      <c r="O533" s="224"/>
      <c r="P533" s="227"/>
      <c r="Q533" s="227"/>
    </row>
    <row r="534">
      <c r="B534" s="232"/>
      <c r="C534" s="225"/>
      <c r="D534" s="225"/>
      <c r="E534" s="224"/>
      <c r="F534" s="224"/>
      <c r="G534" s="225"/>
      <c r="H534" s="225"/>
      <c r="I534" s="225"/>
      <c r="J534" s="225"/>
      <c r="K534" s="225"/>
      <c r="L534" s="225"/>
      <c r="M534" s="225"/>
      <c r="N534" s="224"/>
      <c r="O534" s="224"/>
      <c r="P534" s="227"/>
      <c r="Q534" s="227"/>
    </row>
    <row r="535">
      <c r="B535" s="232"/>
      <c r="C535" s="225"/>
      <c r="D535" s="225"/>
      <c r="E535" s="224"/>
      <c r="F535" s="224"/>
      <c r="G535" s="225"/>
      <c r="H535" s="225"/>
      <c r="I535" s="225"/>
      <c r="J535" s="225"/>
      <c r="K535" s="225"/>
      <c r="L535" s="225"/>
      <c r="M535" s="225"/>
      <c r="N535" s="224"/>
      <c r="O535" s="224"/>
      <c r="P535" s="227"/>
      <c r="Q535" s="227"/>
    </row>
    <row r="536">
      <c r="B536" s="232"/>
      <c r="C536" s="225"/>
      <c r="D536" s="225"/>
      <c r="E536" s="224"/>
      <c r="F536" s="224"/>
      <c r="G536" s="225"/>
      <c r="H536" s="225"/>
      <c r="I536" s="225"/>
      <c r="J536" s="225"/>
      <c r="K536" s="225"/>
      <c r="L536" s="225"/>
      <c r="M536" s="225"/>
      <c r="N536" s="224"/>
      <c r="O536" s="224"/>
      <c r="P536" s="227"/>
      <c r="Q536" s="227"/>
    </row>
    <row r="537">
      <c r="B537" s="232"/>
      <c r="C537" s="225"/>
      <c r="D537" s="225"/>
      <c r="E537" s="224"/>
      <c r="F537" s="224"/>
      <c r="G537" s="225"/>
      <c r="H537" s="225"/>
      <c r="I537" s="225"/>
      <c r="J537" s="225"/>
      <c r="K537" s="225"/>
      <c r="L537" s="225"/>
      <c r="M537" s="225"/>
      <c r="N537" s="224"/>
      <c r="O537" s="224"/>
      <c r="P537" s="227"/>
      <c r="Q537" s="227"/>
    </row>
    <row r="538">
      <c r="B538" s="232"/>
      <c r="C538" s="225"/>
      <c r="D538" s="225"/>
      <c r="E538" s="224"/>
      <c r="F538" s="224"/>
      <c r="G538" s="225"/>
      <c r="H538" s="225"/>
      <c r="I538" s="225"/>
      <c r="J538" s="225"/>
      <c r="K538" s="225"/>
      <c r="L538" s="225"/>
      <c r="M538" s="225"/>
      <c r="N538" s="224"/>
      <c r="O538" s="224"/>
      <c r="P538" s="227"/>
      <c r="Q538" s="227"/>
    </row>
    <row r="539">
      <c r="B539" s="232"/>
      <c r="C539" s="225"/>
      <c r="D539" s="225"/>
      <c r="E539" s="224"/>
      <c r="F539" s="224"/>
      <c r="G539" s="225"/>
      <c r="H539" s="225"/>
      <c r="I539" s="225"/>
      <c r="J539" s="225"/>
      <c r="K539" s="225"/>
      <c r="L539" s="225"/>
      <c r="M539" s="225"/>
      <c r="N539" s="224"/>
      <c r="O539" s="224"/>
      <c r="P539" s="227"/>
      <c r="Q539" s="227"/>
    </row>
    <row r="540">
      <c r="B540" s="232"/>
      <c r="C540" s="225"/>
      <c r="D540" s="225"/>
      <c r="E540" s="224"/>
      <c r="F540" s="224"/>
      <c r="G540" s="225"/>
      <c r="H540" s="225"/>
      <c r="I540" s="225"/>
      <c r="J540" s="225"/>
      <c r="K540" s="225"/>
      <c r="L540" s="225"/>
      <c r="M540" s="225"/>
      <c r="N540" s="224"/>
      <c r="O540" s="224"/>
      <c r="P540" s="227"/>
      <c r="Q540" s="227"/>
    </row>
    <row r="541">
      <c r="B541" s="232"/>
      <c r="C541" s="225"/>
      <c r="D541" s="225"/>
      <c r="E541" s="224"/>
      <c r="F541" s="224"/>
      <c r="G541" s="225"/>
      <c r="H541" s="225"/>
      <c r="I541" s="225"/>
      <c r="J541" s="225"/>
      <c r="K541" s="225"/>
      <c r="L541" s="225"/>
      <c r="M541" s="225"/>
      <c r="N541" s="224"/>
      <c r="O541" s="224"/>
      <c r="P541" s="227"/>
      <c r="Q541" s="227"/>
    </row>
    <row r="542">
      <c r="B542" s="232"/>
      <c r="C542" s="225"/>
      <c r="D542" s="225"/>
      <c r="E542" s="224"/>
      <c r="F542" s="224"/>
      <c r="G542" s="225"/>
      <c r="H542" s="225"/>
      <c r="I542" s="225"/>
      <c r="J542" s="225"/>
      <c r="K542" s="225"/>
      <c r="L542" s="225"/>
      <c r="M542" s="225"/>
      <c r="N542" s="224"/>
      <c r="O542" s="224"/>
      <c r="P542" s="227"/>
      <c r="Q542" s="227"/>
    </row>
    <row r="543">
      <c r="B543" s="232"/>
      <c r="C543" s="225"/>
      <c r="D543" s="225"/>
      <c r="E543" s="224"/>
      <c r="F543" s="224"/>
      <c r="G543" s="225"/>
      <c r="H543" s="225"/>
      <c r="I543" s="225"/>
      <c r="J543" s="225"/>
      <c r="K543" s="225"/>
      <c r="L543" s="225"/>
      <c r="M543" s="225"/>
      <c r="N543" s="224"/>
      <c r="O543" s="224"/>
      <c r="P543" s="227"/>
      <c r="Q543" s="227"/>
    </row>
    <row r="544">
      <c r="B544" s="232"/>
      <c r="C544" s="225"/>
      <c r="D544" s="225"/>
      <c r="E544" s="224"/>
      <c r="F544" s="224"/>
      <c r="G544" s="225"/>
      <c r="H544" s="225"/>
      <c r="I544" s="225"/>
      <c r="J544" s="225"/>
      <c r="K544" s="225"/>
      <c r="L544" s="225"/>
      <c r="M544" s="225"/>
      <c r="N544" s="224"/>
      <c r="O544" s="224"/>
      <c r="P544" s="227"/>
      <c r="Q544" s="227"/>
    </row>
    <row r="545">
      <c r="B545" s="232"/>
      <c r="C545" s="225"/>
      <c r="D545" s="225"/>
      <c r="E545" s="224"/>
      <c r="F545" s="224"/>
      <c r="G545" s="225"/>
      <c r="H545" s="225"/>
      <c r="I545" s="225"/>
      <c r="J545" s="225"/>
      <c r="K545" s="225"/>
      <c r="L545" s="225"/>
      <c r="M545" s="225"/>
      <c r="N545" s="224"/>
      <c r="O545" s="224"/>
      <c r="P545" s="227"/>
      <c r="Q545" s="227"/>
    </row>
    <row r="546">
      <c r="B546" s="232"/>
      <c r="C546" s="225"/>
      <c r="D546" s="225"/>
      <c r="E546" s="224"/>
      <c r="F546" s="224"/>
      <c r="G546" s="225"/>
      <c r="H546" s="225"/>
      <c r="I546" s="225"/>
      <c r="J546" s="225"/>
      <c r="K546" s="225"/>
      <c r="L546" s="225"/>
      <c r="M546" s="225"/>
      <c r="N546" s="224"/>
      <c r="O546" s="224"/>
      <c r="P546" s="227"/>
      <c r="Q546" s="227"/>
    </row>
    <row r="547">
      <c r="B547" s="232"/>
      <c r="C547" s="225"/>
      <c r="D547" s="225"/>
      <c r="E547" s="224"/>
      <c r="F547" s="224"/>
      <c r="G547" s="225"/>
      <c r="H547" s="225"/>
      <c r="I547" s="225"/>
      <c r="J547" s="225"/>
      <c r="K547" s="225"/>
      <c r="L547" s="225"/>
      <c r="M547" s="225"/>
      <c r="N547" s="224"/>
      <c r="O547" s="224"/>
      <c r="P547" s="227"/>
      <c r="Q547" s="227"/>
    </row>
    <row r="548">
      <c r="B548" s="232"/>
      <c r="C548" s="225"/>
      <c r="D548" s="225"/>
      <c r="E548" s="224"/>
      <c r="F548" s="224"/>
      <c r="G548" s="225"/>
      <c r="H548" s="225"/>
      <c r="I548" s="225"/>
      <c r="J548" s="225"/>
      <c r="K548" s="225"/>
      <c r="L548" s="225"/>
      <c r="M548" s="225"/>
      <c r="N548" s="224"/>
      <c r="O548" s="224"/>
      <c r="P548" s="227"/>
      <c r="Q548" s="227"/>
    </row>
    <row r="549">
      <c r="B549" s="232"/>
      <c r="C549" s="225"/>
      <c r="D549" s="225"/>
      <c r="E549" s="224"/>
      <c r="F549" s="224"/>
      <c r="G549" s="225"/>
      <c r="H549" s="225"/>
      <c r="I549" s="225"/>
      <c r="J549" s="225"/>
      <c r="K549" s="225"/>
      <c r="L549" s="225"/>
      <c r="M549" s="225"/>
      <c r="N549" s="224"/>
      <c r="O549" s="224"/>
      <c r="P549" s="227"/>
      <c r="Q549" s="227"/>
    </row>
    <row r="550">
      <c r="B550" s="232"/>
      <c r="C550" s="225"/>
      <c r="D550" s="225"/>
      <c r="E550" s="224"/>
      <c r="F550" s="224"/>
      <c r="G550" s="225"/>
      <c r="H550" s="225"/>
      <c r="I550" s="225"/>
      <c r="J550" s="225"/>
      <c r="K550" s="225"/>
      <c r="L550" s="225"/>
      <c r="M550" s="225"/>
      <c r="N550" s="224"/>
      <c r="O550" s="224"/>
      <c r="P550" s="227"/>
      <c r="Q550" s="227"/>
    </row>
    <row r="551">
      <c r="B551" s="232"/>
      <c r="C551" s="225"/>
      <c r="D551" s="225"/>
      <c r="E551" s="224"/>
      <c r="F551" s="224"/>
      <c r="G551" s="225"/>
      <c r="H551" s="225"/>
      <c r="I551" s="225"/>
      <c r="J551" s="225"/>
      <c r="K551" s="225"/>
      <c r="L551" s="225"/>
      <c r="M551" s="225"/>
      <c r="N551" s="224"/>
      <c r="O551" s="224"/>
      <c r="P551" s="227"/>
      <c r="Q551" s="227"/>
    </row>
    <row r="552">
      <c r="B552" s="232"/>
      <c r="C552" s="225"/>
      <c r="D552" s="225"/>
      <c r="E552" s="224"/>
      <c r="F552" s="224"/>
      <c r="G552" s="225"/>
      <c r="H552" s="225"/>
      <c r="I552" s="225"/>
      <c r="J552" s="225"/>
      <c r="K552" s="225"/>
      <c r="L552" s="225"/>
      <c r="M552" s="225"/>
      <c r="N552" s="224"/>
      <c r="O552" s="224"/>
      <c r="P552" s="227"/>
      <c r="Q552" s="227"/>
    </row>
    <row r="553">
      <c r="B553" s="232"/>
      <c r="C553" s="225"/>
      <c r="D553" s="225"/>
      <c r="E553" s="224"/>
      <c r="F553" s="224"/>
      <c r="G553" s="225"/>
      <c r="H553" s="225"/>
      <c r="I553" s="225"/>
      <c r="J553" s="225"/>
      <c r="K553" s="225"/>
      <c r="L553" s="225"/>
      <c r="M553" s="225"/>
      <c r="N553" s="224"/>
      <c r="O553" s="224"/>
      <c r="P553" s="227"/>
      <c r="Q553" s="227"/>
    </row>
    <row r="554">
      <c r="B554" s="232"/>
      <c r="C554" s="225"/>
      <c r="D554" s="225"/>
      <c r="E554" s="224"/>
      <c r="F554" s="224"/>
      <c r="G554" s="225"/>
      <c r="H554" s="225"/>
      <c r="I554" s="225"/>
      <c r="J554" s="225"/>
      <c r="K554" s="225"/>
      <c r="L554" s="225"/>
      <c r="M554" s="225"/>
      <c r="N554" s="224"/>
      <c r="O554" s="224"/>
      <c r="P554" s="227"/>
      <c r="Q554" s="227"/>
    </row>
    <row r="555">
      <c r="B555" s="232"/>
      <c r="C555" s="225"/>
      <c r="D555" s="225"/>
      <c r="E555" s="224"/>
      <c r="F555" s="224"/>
      <c r="G555" s="225"/>
      <c r="H555" s="225"/>
      <c r="I555" s="225"/>
      <c r="J555" s="225"/>
      <c r="K555" s="225"/>
      <c r="L555" s="225"/>
      <c r="M555" s="225"/>
      <c r="N555" s="224"/>
      <c r="O555" s="224"/>
      <c r="P555" s="227"/>
      <c r="Q555" s="227"/>
    </row>
    <row r="556">
      <c r="B556" s="232"/>
      <c r="C556" s="225"/>
      <c r="D556" s="225"/>
      <c r="E556" s="224"/>
      <c r="F556" s="224"/>
      <c r="G556" s="225"/>
      <c r="H556" s="225"/>
      <c r="I556" s="225"/>
      <c r="J556" s="225"/>
      <c r="K556" s="225"/>
      <c r="L556" s="225"/>
      <c r="M556" s="225"/>
      <c r="N556" s="224"/>
      <c r="O556" s="224"/>
      <c r="P556" s="227"/>
      <c r="Q556" s="227"/>
    </row>
    <row r="557">
      <c r="B557" s="232"/>
      <c r="C557" s="225"/>
      <c r="D557" s="225"/>
      <c r="E557" s="224"/>
      <c r="F557" s="224"/>
      <c r="G557" s="225"/>
      <c r="H557" s="225"/>
      <c r="I557" s="225"/>
      <c r="J557" s="225"/>
      <c r="K557" s="225"/>
      <c r="L557" s="225"/>
      <c r="M557" s="225"/>
      <c r="N557" s="224"/>
      <c r="O557" s="224"/>
      <c r="P557" s="227"/>
      <c r="Q557" s="227"/>
    </row>
    <row r="558">
      <c r="B558" s="232"/>
      <c r="C558" s="225"/>
      <c r="D558" s="225"/>
      <c r="E558" s="224"/>
      <c r="F558" s="224"/>
      <c r="G558" s="225"/>
      <c r="H558" s="225"/>
      <c r="I558" s="225"/>
      <c r="J558" s="225"/>
      <c r="K558" s="225"/>
      <c r="L558" s="225"/>
      <c r="M558" s="225"/>
      <c r="N558" s="224"/>
      <c r="O558" s="224"/>
      <c r="P558" s="227"/>
      <c r="Q558" s="227"/>
    </row>
    <row r="559">
      <c r="B559" s="232"/>
      <c r="C559" s="225"/>
      <c r="D559" s="225"/>
      <c r="E559" s="224"/>
      <c r="F559" s="224"/>
      <c r="G559" s="225"/>
      <c r="H559" s="225"/>
      <c r="I559" s="225"/>
      <c r="J559" s="225"/>
      <c r="K559" s="225"/>
      <c r="L559" s="225"/>
      <c r="M559" s="225"/>
      <c r="N559" s="224"/>
      <c r="O559" s="224"/>
      <c r="P559" s="227"/>
      <c r="Q559" s="227"/>
    </row>
    <row r="560">
      <c r="B560" s="232"/>
      <c r="C560" s="225"/>
      <c r="D560" s="225"/>
      <c r="E560" s="224"/>
      <c r="F560" s="224"/>
      <c r="G560" s="225"/>
      <c r="H560" s="225"/>
      <c r="I560" s="225"/>
      <c r="J560" s="225"/>
      <c r="K560" s="225"/>
      <c r="L560" s="225"/>
      <c r="M560" s="225"/>
      <c r="N560" s="224"/>
      <c r="O560" s="224"/>
      <c r="P560" s="227"/>
      <c r="Q560" s="227"/>
    </row>
    <row r="561">
      <c r="B561" s="232"/>
      <c r="C561" s="225"/>
      <c r="D561" s="225"/>
      <c r="E561" s="224"/>
      <c r="F561" s="224"/>
      <c r="G561" s="225"/>
      <c r="H561" s="225"/>
      <c r="I561" s="225"/>
      <c r="J561" s="225"/>
      <c r="K561" s="225"/>
      <c r="L561" s="225"/>
      <c r="M561" s="225"/>
      <c r="N561" s="224"/>
      <c r="O561" s="224"/>
      <c r="P561" s="227"/>
      <c r="Q561" s="227"/>
    </row>
    <row r="562">
      <c r="B562" s="232"/>
      <c r="C562" s="225"/>
      <c r="D562" s="225"/>
      <c r="E562" s="224"/>
      <c r="F562" s="224"/>
      <c r="G562" s="225"/>
      <c r="H562" s="225"/>
      <c r="I562" s="225"/>
      <c r="J562" s="225"/>
      <c r="K562" s="225"/>
      <c r="L562" s="225"/>
      <c r="M562" s="225"/>
      <c r="N562" s="224"/>
      <c r="O562" s="224"/>
      <c r="P562" s="227"/>
      <c r="Q562" s="227"/>
    </row>
    <row r="563">
      <c r="B563" s="232"/>
      <c r="C563" s="225"/>
      <c r="D563" s="225"/>
      <c r="E563" s="224"/>
      <c r="F563" s="224"/>
      <c r="G563" s="225"/>
      <c r="H563" s="225"/>
      <c r="I563" s="225"/>
      <c r="J563" s="225"/>
      <c r="K563" s="225"/>
      <c r="L563" s="225"/>
      <c r="M563" s="225"/>
      <c r="N563" s="224"/>
      <c r="O563" s="224"/>
      <c r="P563" s="227"/>
      <c r="Q563" s="227"/>
    </row>
    <row r="564">
      <c r="B564" s="232"/>
      <c r="C564" s="225"/>
      <c r="D564" s="225"/>
      <c r="E564" s="224"/>
      <c r="F564" s="224"/>
      <c r="G564" s="225"/>
      <c r="H564" s="225"/>
      <c r="I564" s="225"/>
      <c r="J564" s="225"/>
      <c r="K564" s="225"/>
      <c r="L564" s="225"/>
      <c r="M564" s="225"/>
      <c r="N564" s="224"/>
      <c r="O564" s="224"/>
      <c r="P564" s="227"/>
      <c r="Q564" s="227"/>
    </row>
    <row r="565">
      <c r="B565" s="232"/>
      <c r="C565" s="225"/>
      <c r="D565" s="225"/>
      <c r="E565" s="224"/>
      <c r="F565" s="224"/>
      <c r="G565" s="225"/>
      <c r="H565" s="225"/>
      <c r="I565" s="225"/>
      <c r="J565" s="225"/>
      <c r="K565" s="225"/>
      <c r="L565" s="225"/>
      <c r="M565" s="225"/>
      <c r="N565" s="224"/>
      <c r="O565" s="224"/>
      <c r="P565" s="227"/>
      <c r="Q565" s="227"/>
    </row>
    <row r="566">
      <c r="B566" s="232"/>
      <c r="C566" s="225"/>
      <c r="D566" s="225"/>
      <c r="E566" s="224"/>
      <c r="F566" s="224"/>
      <c r="G566" s="225"/>
      <c r="H566" s="225"/>
      <c r="I566" s="225"/>
      <c r="J566" s="225"/>
      <c r="K566" s="225"/>
      <c r="L566" s="225"/>
      <c r="M566" s="225"/>
      <c r="N566" s="224"/>
      <c r="O566" s="224"/>
      <c r="P566" s="227"/>
      <c r="Q566" s="227"/>
    </row>
    <row r="567">
      <c r="B567" s="232"/>
      <c r="C567" s="225"/>
      <c r="D567" s="225"/>
      <c r="E567" s="224"/>
      <c r="F567" s="224"/>
      <c r="G567" s="225"/>
      <c r="H567" s="225"/>
      <c r="I567" s="225"/>
      <c r="J567" s="225"/>
      <c r="K567" s="225"/>
      <c r="L567" s="225"/>
      <c r="M567" s="225"/>
      <c r="N567" s="224"/>
      <c r="O567" s="224"/>
      <c r="P567" s="227"/>
      <c r="Q567" s="227"/>
    </row>
    <row r="568">
      <c r="B568" s="232"/>
      <c r="C568" s="225"/>
      <c r="D568" s="225"/>
      <c r="E568" s="224"/>
      <c r="F568" s="224"/>
      <c r="G568" s="225"/>
      <c r="H568" s="225"/>
      <c r="I568" s="225"/>
      <c r="J568" s="225"/>
      <c r="K568" s="225"/>
      <c r="L568" s="225"/>
      <c r="M568" s="225"/>
      <c r="N568" s="224"/>
      <c r="O568" s="224"/>
      <c r="P568" s="227"/>
      <c r="Q568" s="227"/>
    </row>
    <row r="569">
      <c r="B569" s="232"/>
      <c r="C569" s="225"/>
      <c r="D569" s="225"/>
      <c r="E569" s="224"/>
      <c r="F569" s="224"/>
      <c r="G569" s="225"/>
      <c r="H569" s="225"/>
      <c r="I569" s="225"/>
      <c r="J569" s="225"/>
      <c r="K569" s="225"/>
      <c r="L569" s="225"/>
      <c r="M569" s="225"/>
      <c r="N569" s="224"/>
      <c r="O569" s="224"/>
      <c r="P569" s="227"/>
      <c r="Q569" s="227"/>
    </row>
    <row r="570">
      <c r="B570" s="232"/>
      <c r="C570" s="225"/>
      <c r="D570" s="225"/>
      <c r="E570" s="224"/>
      <c r="F570" s="224"/>
      <c r="G570" s="225"/>
      <c r="H570" s="225"/>
      <c r="I570" s="225"/>
      <c r="J570" s="225"/>
      <c r="K570" s="225"/>
      <c r="L570" s="225"/>
      <c r="M570" s="225"/>
      <c r="N570" s="224"/>
      <c r="O570" s="224"/>
      <c r="P570" s="227"/>
      <c r="Q570" s="227"/>
    </row>
    <row r="571">
      <c r="B571" s="232"/>
      <c r="C571" s="225"/>
      <c r="D571" s="225"/>
      <c r="E571" s="224"/>
      <c r="F571" s="224"/>
      <c r="G571" s="225"/>
      <c r="H571" s="225"/>
      <c r="I571" s="225"/>
      <c r="J571" s="225"/>
      <c r="K571" s="225"/>
      <c r="L571" s="225"/>
      <c r="M571" s="225"/>
      <c r="N571" s="224"/>
      <c r="O571" s="224"/>
      <c r="P571" s="227"/>
      <c r="Q571" s="227"/>
    </row>
    <row r="572">
      <c r="B572" s="232"/>
      <c r="C572" s="225"/>
      <c r="D572" s="225"/>
      <c r="E572" s="224"/>
      <c r="F572" s="224"/>
      <c r="G572" s="225"/>
      <c r="H572" s="225"/>
      <c r="I572" s="225"/>
      <c r="J572" s="225"/>
      <c r="K572" s="225"/>
      <c r="L572" s="225"/>
      <c r="M572" s="225"/>
      <c r="N572" s="224"/>
      <c r="O572" s="224"/>
      <c r="P572" s="227"/>
      <c r="Q572" s="227"/>
    </row>
    <row r="573">
      <c r="B573" s="232"/>
      <c r="C573" s="225"/>
      <c r="D573" s="225"/>
      <c r="E573" s="224"/>
      <c r="F573" s="224"/>
      <c r="G573" s="225"/>
      <c r="H573" s="225"/>
      <c r="I573" s="225"/>
      <c r="J573" s="225"/>
      <c r="K573" s="225"/>
      <c r="L573" s="225"/>
      <c r="M573" s="225"/>
      <c r="N573" s="224"/>
      <c r="O573" s="224"/>
      <c r="P573" s="227"/>
      <c r="Q573" s="227"/>
    </row>
    <row r="574">
      <c r="B574" s="232"/>
      <c r="C574" s="225"/>
      <c r="D574" s="225"/>
      <c r="E574" s="224"/>
      <c r="F574" s="224"/>
      <c r="G574" s="225"/>
      <c r="H574" s="225"/>
      <c r="I574" s="225"/>
      <c r="J574" s="225"/>
      <c r="K574" s="225"/>
      <c r="L574" s="225"/>
      <c r="M574" s="225"/>
      <c r="N574" s="224"/>
      <c r="O574" s="224"/>
      <c r="P574" s="227"/>
      <c r="Q574" s="227"/>
    </row>
    <row r="575">
      <c r="B575" s="232"/>
      <c r="C575" s="225"/>
      <c r="D575" s="225"/>
      <c r="E575" s="224"/>
      <c r="F575" s="224"/>
      <c r="G575" s="225"/>
      <c r="H575" s="225"/>
      <c r="I575" s="225"/>
      <c r="J575" s="225"/>
      <c r="K575" s="225"/>
      <c r="L575" s="225"/>
      <c r="M575" s="225"/>
      <c r="N575" s="224"/>
      <c r="O575" s="224"/>
      <c r="P575" s="227"/>
      <c r="Q575" s="227"/>
    </row>
    <row r="576">
      <c r="B576" s="232"/>
      <c r="C576" s="225"/>
      <c r="D576" s="225"/>
      <c r="E576" s="224"/>
      <c r="F576" s="224"/>
      <c r="G576" s="225"/>
      <c r="H576" s="225"/>
      <c r="I576" s="225"/>
      <c r="J576" s="225"/>
      <c r="K576" s="225"/>
      <c r="L576" s="225"/>
      <c r="M576" s="225"/>
      <c r="N576" s="224"/>
      <c r="O576" s="224"/>
      <c r="P576" s="227"/>
      <c r="Q576" s="227"/>
    </row>
    <row r="577">
      <c r="B577" s="232"/>
      <c r="C577" s="225"/>
      <c r="D577" s="225"/>
      <c r="E577" s="224"/>
      <c r="F577" s="224"/>
      <c r="G577" s="225"/>
      <c r="H577" s="225"/>
      <c r="I577" s="225"/>
      <c r="J577" s="225"/>
      <c r="K577" s="225"/>
      <c r="L577" s="225"/>
      <c r="M577" s="225"/>
      <c r="N577" s="224"/>
      <c r="O577" s="224"/>
      <c r="P577" s="227"/>
      <c r="Q577" s="227"/>
    </row>
    <row r="578">
      <c r="B578" s="232"/>
      <c r="C578" s="225"/>
      <c r="D578" s="225"/>
      <c r="E578" s="224"/>
      <c r="F578" s="224"/>
      <c r="G578" s="225"/>
      <c r="H578" s="225"/>
      <c r="I578" s="225"/>
      <c r="J578" s="225"/>
      <c r="K578" s="225"/>
      <c r="L578" s="225"/>
      <c r="M578" s="225"/>
      <c r="N578" s="224"/>
      <c r="O578" s="224"/>
      <c r="P578" s="227"/>
      <c r="Q578" s="227"/>
    </row>
    <row r="579">
      <c r="B579" s="232"/>
      <c r="C579" s="225"/>
      <c r="D579" s="225"/>
      <c r="E579" s="224"/>
      <c r="F579" s="224"/>
      <c r="G579" s="225"/>
      <c r="H579" s="225"/>
      <c r="I579" s="225"/>
      <c r="J579" s="225"/>
      <c r="K579" s="225"/>
      <c r="L579" s="225"/>
      <c r="M579" s="225"/>
      <c r="N579" s="224"/>
      <c r="O579" s="224"/>
      <c r="P579" s="227"/>
      <c r="Q579" s="227"/>
    </row>
    <row r="580">
      <c r="B580" s="232"/>
      <c r="C580" s="225"/>
      <c r="D580" s="225"/>
      <c r="E580" s="224"/>
      <c r="F580" s="224"/>
      <c r="G580" s="225"/>
      <c r="H580" s="225"/>
      <c r="I580" s="225"/>
      <c r="J580" s="225"/>
      <c r="K580" s="225"/>
      <c r="L580" s="225"/>
      <c r="M580" s="225"/>
      <c r="N580" s="224"/>
      <c r="O580" s="224"/>
      <c r="P580" s="227"/>
      <c r="Q580" s="227"/>
    </row>
    <row r="581">
      <c r="B581" s="232"/>
      <c r="C581" s="225"/>
      <c r="D581" s="225"/>
      <c r="E581" s="224"/>
      <c r="F581" s="224"/>
      <c r="G581" s="225"/>
      <c r="H581" s="225"/>
      <c r="I581" s="225"/>
      <c r="J581" s="225"/>
      <c r="K581" s="225"/>
      <c r="L581" s="225"/>
      <c r="M581" s="225"/>
      <c r="N581" s="224"/>
      <c r="O581" s="224"/>
      <c r="P581" s="227"/>
      <c r="Q581" s="227"/>
    </row>
    <row r="582">
      <c r="B582" s="232"/>
      <c r="C582" s="225"/>
      <c r="D582" s="225"/>
      <c r="E582" s="224"/>
      <c r="F582" s="224"/>
      <c r="G582" s="225"/>
      <c r="H582" s="225"/>
      <c r="I582" s="225"/>
      <c r="J582" s="225"/>
      <c r="K582" s="225"/>
      <c r="L582" s="225"/>
      <c r="M582" s="225"/>
      <c r="N582" s="224"/>
      <c r="O582" s="224"/>
      <c r="P582" s="227"/>
      <c r="Q582" s="227"/>
    </row>
    <row r="583">
      <c r="B583" s="232"/>
      <c r="C583" s="225"/>
      <c r="D583" s="225"/>
      <c r="E583" s="224"/>
      <c r="F583" s="224"/>
      <c r="G583" s="225"/>
      <c r="H583" s="225"/>
      <c r="I583" s="225"/>
      <c r="J583" s="225"/>
      <c r="K583" s="225"/>
      <c r="L583" s="225"/>
      <c r="M583" s="225"/>
      <c r="N583" s="224"/>
      <c r="O583" s="224"/>
      <c r="P583" s="227"/>
      <c r="Q583" s="227"/>
    </row>
    <row r="584">
      <c r="B584" s="232"/>
      <c r="C584" s="225"/>
      <c r="D584" s="225"/>
      <c r="E584" s="224"/>
      <c r="F584" s="224"/>
      <c r="G584" s="225"/>
      <c r="H584" s="225"/>
      <c r="I584" s="225"/>
      <c r="J584" s="225"/>
      <c r="K584" s="225"/>
      <c r="L584" s="225"/>
      <c r="M584" s="225"/>
      <c r="N584" s="224"/>
      <c r="O584" s="224"/>
      <c r="P584" s="227"/>
      <c r="Q584" s="227"/>
    </row>
    <row r="585">
      <c r="B585" s="232"/>
      <c r="C585" s="225"/>
      <c r="D585" s="225"/>
      <c r="E585" s="224"/>
      <c r="F585" s="224"/>
      <c r="G585" s="225"/>
      <c r="H585" s="225"/>
      <c r="I585" s="225"/>
      <c r="J585" s="225"/>
      <c r="K585" s="225"/>
      <c r="L585" s="225"/>
      <c r="M585" s="225"/>
      <c r="N585" s="224"/>
      <c r="O585" s="224"/>
      <c r="P585" s="227"/>
      <c r="Q585" s="227"/>
    </row>
    <row r="586">
      <c r="B586" s="232"/>
      <c r="C586" s="225"/>
      <c r="D586" s="225"/>
      <c r="E586" s="224"/>
      <c r="F586" s="224"/>
      <c r="G586" s="225"/>
      <c r="H586" s="225"/>
      <c r="I586" s="225"/>
      <c r="J586" s="225"/>
      <c r="K586" s="225"/>
      <c r="L586" s="225"/>
      <c r="M586" s="225"/>
      <c r="N586" s="224"/>
      <c r="O586" s="224"/>
      <c r="P586" s="227"/>
      <c r="Q586" s="227"/>
    </row>
    <row r="587">
      <c r="B587" s="232"/>
      <c r="C587" s="225"/>
      <c r="D587" s="225"/>
      <c r="E587" s="224"/>
      <c r="F587" s="224"/>
      <c r="G587" s="225"/>
      <c r="H587" s="225"/>
      <c r="I587" s="225"/>
      <c r="J587" s="225"/>
      <c r="K587" s="225"/>
      <c r="L587" s="225"/>
      <c r="M587" s="225"/>
      <c r="N587" s="224"/>
      <c r="O587" s="224"/>
      <c r="P587" s="227"/>
      <c r="Q587" s="227"/>
    </row>
    <row r="588">
      <c r="B588" s="232"/>
      <c r="C588" s="225"/>
      <c r="D588" s="225"/>
      <c r="E588" s="224"/>
      <c r="F588" s="224"/>
      <c r="G588" s="225"/>
      <c r="H588" s="225"/>
      <c r="I588" s="225"/>
      <c r="J588" s="225"/>
      <c r="K588" s="225"/>
      <c r="L588" s="225"/>
      <c r="M588" s="225"/>
      <c r="N588" s="224"/>
      <c r="O588" s="224"/>
      <c r="P588" s="227"/>
      <c r="Q588" s="227"/>
    </row>
    <row r="589">
      <c r="B589" s="232"/>
      <c r="C589" s="225"/>
      <c r="D589" s="225"/>
      <c r="E589" s="224"/>
      <c r="F589" s="224"/>
      <c r="G589" s="225"/>
      <c r="H589" s="225"/>
      <c r="I589" s="225"/>
      <c r="J589" s="225"/>
      <c r="K589" s="225"/>
      <c r="L589" s="225"/>
      <c r="M589" s="225"/>
      <c r="N589" s="224"/>
      <c r="O589" s="224"/>
      <c r="P589" s="227"/>
      <c r="Q589" s="227"/>
    </row>
    <row r="590">
      <c r="B590" s="232"/>
      <c r="C590" s="225"/>
      <c r="D590" s="225"/>
      <c r="E590" s="224"/>
      <c r="F590" s="224"/>
      <c r="G590" s="225"/>
      <c r="H590" s="225"/>
      <c r="I590" s="225"/>
      <c r="J590" s="225"/>
      <c r="K590" s="225"/>
      <c r="L590" s="225"/>
      <c r="M590" s="225"/>
      <c r="N590" s="224"/>
      <c r="O590" s="224"/>
      <c r="P590" s="227"/>
      <c r="Q590" s="227"/>
    </row>
    <row r="591">
      <c r="B591" s="232"/>
      <c r="C591" s="225"/>
      <c r="D591" s="225"/>
      <c r="E591" s="224"/>
      <c r="F591" s="224"/>
      <c r="G591" s="225"/>
      <c r="H591" s="225"/>
      <c r="I591" s="225"/>
      <c r="J591" s="225"/>
      <c r="K591" s="225"/>
      <c r="L591" s="225"/>
      <c r="M591" s="225"/>
      <c r="N591" s="224"/>
      <c r="O591" s="224"/>
      <c r="P591" s="227"/>
      <c r="Q591" s="227"/>
    </row>
    <row r="592">
      <c r="B592" s="232"/>
      <c r="C592" s="225"/>
      <c r="D592" s="225"/>
      <c r="E592" s="224"/>
      <c r="F592" s="224"/>
      <c r="G592" s="225"/>
      <c r="H592" s="225"/>
      <c r="I592" s="225"/>
      <c r="J592" s="225"/>
      <c r="K592" s="225"/>
      <c r="L592" s="225"/>
      <c r="M592" s="225"/>
      <c r="N592" s="224"/>
      <c r="O592" s="224"/>
      <c r="P592" s="227"/>
      <c r="Q592" s="227"/>
    </row>
    <row r="593">
      <c r="B593" s="232"/>
      <c r="C593" s="225"/>
      <c r="D593" s="225"/>
      <c r="E593" s="224"/>
      <c r="F593" s="224"/>
      <c r="G593" s="225"/>
      <c r="H593" s="225"/>
      <c r="I593" s="225"/>
      <c r="J593" s="225"/>
      <c r="K593" s="225"/>
      <c r="L593" s="225"/>
      <c r="M593" s="225"/>
      <c r="N593" s="224"/>
      <c r="O593" s="224"/>
      <c r="P593" s="227"/>
      <c r="Q593" s="227"/>
    </row>
    <row r="594">
      <c r="B594" s="232"/>
      <c r="C594" s="225"/>
      <c r="D594" s="225"/>
      <c r="E594" s="224"/>
      <c r="F594" s="224"/>
      <c r="G594" s="225"/>
      <c r="H594" s="225"/>
      <c r="I594" s="225"/>
      <c r="J594" s="225"/>
      <c r="K594" s="225"/>
      <c r="L594" s="225"/>
      <c r="M594" s="225"/>
      <c r="N594" s="224"/>
      <c r="O594" s="224"/>
      <c r="P594" s="227"/>
      <c r="Q594" s="227"/>
    </row>
    <row r="595">
      <c r="B595" s="232"/>
      <c r="C595" s="225"/>
      <c r="D595" s="225"/>
      <c r="E595" s="224"/>
      <c r="F595" s="224"/>
      <c r="G595" s="225"/>
      <c r="H595" s="225"/>
      <c r="I595" s="225"/>
      <c r="J595" s="225"/>
      <c r="K595" s="225"/>
      <c r="L595" s="225"/>
      <c r="M595" s="225"/>
      <c r="N595" s="224"/>
      <c r="O595" s="224"/>
      <c r="P595" s="227"/>
      <c r="Q595" s="227"/>
    </row>
    <row r="596">
      <c r="B596" s="232"/>
      <c r="C596" s="225"/>
      <c r="D596" s="225"/>
      <c r="E596" s="224"/>
      <c r="F596" s="224"/>
      <c r="G596" s="225"/>
      <c r="H596" s="225"/>
      <c r="I596" s="225"/>
      <c r="J596" s="225"/>
      <c r="K596" s="225"/>
      <c r="L596" s="225"/>
      <c r="M596" s="225"/>
      <c r="N596" s="224"/>
      <c r="O596" s="224"/>
      <c r="P596" s="227"/>
      <c r="Q596" s="227"/>
    </row>
    <row r="597">
      <c r="B597" s="232"/>
      <c r="C597" s="225"/>
      <c r="D597" s="225"/>
      <c r="E597" s="224"/>
      <c r="F597" s="224"/>
      <c r="G597" s="225"/>
      <c r="H597" s="225"/>
      <c r="I597" s="225"/>
      <c r="J597" s="225"/>
      <c r="K597" s="225"/>
      <c r="L597" s="225"/>
      <c r="M597" s="225"/>
      <c r="N597" s="224"/>
      <c r="O597" s="224"/>
      <c r="P597" s="227"/>
      <c r="Q597" s="227"/>
    </row>
    <row r="598">
      <c r="B598" s="232"/>
      <c r="C598" s="225"/>
      <c r="D598" s="225"/>
      <c r="E598" s="224"/>
      <c r="F598" s="224"/>
      <c r="G598" s="225"/>
      <c r="H598" s="225"/>
      <c r="I598" s="225"/>
      <c r="J598" s="225"/>
      <c r="K598" s="225"/>
      <c r="L598" s="225"/>
      <c r="M598" s="225"/>
      <c r="N598" s="224"/>
      <c r="O598" s="224"/>
      <c r="P598" s="227"/>
      <c r="Q598" s="227"/>
    </row>
    <row r="599">
      <c r="B599" s="232"/>
      <c r="C599" s="225"/>
      <c r="D599" s="225"/>
      <c r="E599" s="224"/>
      <c r="F599" s="224"/>
      <c r="G599" s="225"/>
      <c r="H599" s="225"/>
      <c r="I599" s="225"/>
      <c r="J599" s="225"/>
      <c r="K599" s="225"/>
      <c r="L599" s="225"/>
      <c r="M599" s="225"/>
      <c r="N599" s="224"/>
      <c r="O599" s="224"/>
      <c r="P599" s="227"/>
      <c r="Q599" s="227"/>
    </row>
    <row r="600">
      <c r="B600" s="232"/>
      <c r="C600" s="225"/>
      <c r="D600" s="225"/>
      <c r="E600" s="224"/>
      <c r="F600" s="224"/>
      <c r="G600" s="225"/>
      <c r="H600" s="225"/>
      <c r="I600" s="225"/>
      <c r="J600" s="225"/>
      <c r="K600" s="225"/>
      <c r="L600" s="225"/>
      <c r="M600" s="225"/>
      <c r="N600" s="224"/>
      <c r="O600" s="224"/>
      <c r="P600" s="227"/>
      <c r="Q600" s="227"/>
    </row>
    <row r="601">
      <c r="B601" s="232"/>
      <c r="C601" s="225"/>
      <c r="D601" s="225"/>
      <c r="E601" s="224"/>
      <c r="F601" s="224"/>
      <c r="G601" s="225"/>
      <c r="H601" s="225"/>
      <c r="I601" s="225"/>
      <c r="J601" s="225"/>
      <c r="K601" s="225"/>
      <c r="L601" s="225"/>
      <c r="M601" s="225"/>
      <c r="N601" s="224"/>
      <c r="O601" s="224"/>
      <c r="P601" s="227"/>
      <c r="Q601" s="227"/>
    </row>
    <row r="602">
      <c r="B602" s="232"/>
      <c r="C602" s="225"/>
      <c r="D602" s="225"/>
      <c r="E602" s="224"/>
      <c r="F602" s="224"/>
      <c r="G602" s="225"/>
      <c r="H602" s="225"/>
      <c r="I602" s="225"/>
      <c r="J602" s="225"/>
      <c r="K602" s="225"/>
      <c r="L602" s="225"/>
      <c r="M602" s="225"/>
      <c r="N602" s="224"/>
      <c r="O602" s="224"/>
      <c r="P602" s="227"/>
      <c r="Q602" s="227"/>
    </row>
    <row r="603">
      <c r="B603" s="232"/>
      <c r="C603" s="225"/>
      <c r="D603" s="225"/>
      <c r="E603" s="224"/>
      <c r="F603" s="224"/>
      <c r="G603" s="225"/>
      <c r="H603" s="225"/>
      <c r="I603" s="225"/>
      <c r="J603" s="225"/>
      <c r="K603" s="225"/>
      <c r="L603" s="225"/>
      <c r="M603" s="225"/>
      <c r="N603" s="224"/>
      <c r="O603" s="224"/>
      <c r="P603" s="227"/>
      <c r="Q603" s="227"/>
    </row>
    <row r="604">
      <c r="B604" s="232"/>
      <c r="C604" s="225"/>
      <c r="D604" s="225"/>
      <c r="E604" s="224"/>
      <c r="F604" s="224"/>
      <c r="G604" s="225"/>
      <c r="H604" s="225"/>
      <c r="I604" s="225"/>
      <c r="J604" s="225"/>
      <c r="K604" s="225"/>
      <c r="L604" s="225"/>
      <c r="M604" s="225"/>
      <c r="N604" s="224"/>
      <c r="O604" s="224"/>
      <c r="P604" s="227"/>
      <c r="Q604" s="227"/>
    </row>
    <row r="605">
      <c r="B605" s="232"/>
      <c r="C605" s="225"/>
      <c r="D605" s="225"/>
      <c r="E605" s="224"/>
      <c r="F605" s="224"/>
      <c r="G605" s="225"/>
      <c r="H605" s="225"/>
      <c r="I605" s="225"/>
      <c r="J605" s="225"/>
      <c r="K605" s="225"/>
      <c r="L605" s="225"/>
      <c r="M605" s="225"/>
      <c r="N605" s="224"/>
      <c r="O605" s="224"/>
      <c r="P605" s="227"/>
      <c r="Q605" s="227"/>
    </row>
    <row r="606">
      <c r="B606" s="232"/>
      <c r="C606" s="225"/>
      <c r="D606" s="225"/>
      <c r="E606" s="224"/>
      <c r="F606" s="224"/>
      <c r="G606" s="225"/>
      <c r="H606" s="225"/>
      <c r="I606" s="225"/>
      <c r="J606" s="225"/>
      <c r="K606" s="225"/>
      <c r="L606" s="225"/>
      <c r="M606" s="225"/>
      <c r="N606" s="224"/>
      <c r="O606" s="224"/>
      <c r="P606" s="227"/>
      <c r="Q606" s="227"/>
    </row>
    <row r="607">
      <c r="B607" s="232"/>
      <c r="C607" s="225"/>
      <c r="D607" s="225"/>
      <c r="E607" s="224"/>
      <c r="F607" s="224"/>
      <c r="G607" s="225"/>
      <c r="H607" s="225"/>
      <c r="I607" s="225"/>
      <c r="J607" s="225"/>
      <c r="K607" s="225"/>
      <c r="L607" s="225"/>
      <c r="M607" s="225"/>
      <c r="N607" s="224"/>
      <c r="O607" s="224"/>
      <c r="P607" s="227"/>
      <c r="Q607" s="227"/>
    </row>
    <row r="608">
      <c r="B608" s="232"/>
      <c r="C608" s="225"/>
      <c r="D608" s="225"/>
      <c r="E608" s="224"/>
      <c r="F608" s="224"/>
      <c r="G608" s="225"/>
      <c r="H608" s="225"/>
      <c r="I608" s="225"/>
      <c r="J608" s="225"/>
      <c r="K608" s="225"/>
      <c r="L608" s="225"/>
      <c r="M608" s="225"/>
      <c r="N608" s="224"/>
      <c r="O608" s="224"/>
      <c r="P608" s="227"/>
      <c r="Q608" s="227"/>
    </row>
    <row r="609">
      <c r="B609" s="232"/>
      <c r="C609" s="225"/>
      <c r="D609" s="225"/>
      <c r="E609" s="224"/>
      <c r="F609" s="224"/>
      <c r="G609" s="225"/>
      <c r="H609" s="225"/>
      <c r="I609" s="225"/>
      <c r="J609" s="225"/>
      <c r="K609" s="225"/>
      <c r="L609" s="225"/>
      <c r="M609" s="225"/>
      <c r="N609" s="224"/>
      <c r="O609" s="224"/>
      <c r="P609" s="227"/>
      <c r="Q609" s="227"/>
    </row>
    <row r="610">
      <c r="B610" s="232"/>
      <c r="C610" s="225"/>
      <c r="D610" s="225"/>
      <c r="E610" s="224"/>
      <c r="F610" s="224"/>
      <c r="G610" s="225"/>
      <c r="H610" s="225"/>
      <c r="I610" s="225"/>
      <c r="J610" s="225"/>
      <c r="K610" s="225"/>
      <c r="L610" s="225"/>
      <c r="M610" s="225"/>
      <c r="N610" s="224"/>
      <c r="O610" s="224"/>
      <c r="P610" s="227"/>
      <c r="Q610" s="227"/>
    </row>
    <row r="611">
      <c r="B611" s="232"/>
      <c r="C611" s="225"/>
      <c r="D611" s="225"/>
      <c r="E611" s="224"/>
      <c r="F611" s="224"/>
      <c r="G611" s="225"/>
      <c r="H611" s="225"/>
      <c r="I611" s="225"/>
      <c r="J611" s="225"/>
      <c r="K611" s="225"/>
      <c r="L611" s="225"/>
      <c r="M611" s="225"/>
      <c r="N611" s="224"/>
      <c r="O611" s="224"/>
      <c r="P611" s="227"/>
      <c r="Q611" s="227"/>
    </row>
    <row r="612">
      <c r="B612" s="232"/>
      <c r="C612" s="225"/>
      <c r="D612" s="225"/>
      <c r="E612" s="224"/>
      <c r="F612" s="224"/>
      <c r="G612" s="225"/>
      <c r="H612" s="225"/>
      <c r="I612" s="225"/>
      <c r="J612" s="225"/>
      <c r="K612" s="225"/>
      <c r="L612" s="225"/>
      <c r="M612" s="225"/>
      <c r="N612" s="224"/>
      <c r="O612" s="224"/>
      <c r="P612" s="227"/>
      <c r="Q612" s="227"/>
    </row>
    <row r="613">
      <c r="B613" s="232"/>
      <c r="C613" s="225"/>
      <c r="D613" s="225"/>
      <c r="E613" s="224"/>
      <c r="F613" s="224"/>
      <c r="G613" s="225"/>
      <c r="H613" s="225"/>
      <c r="I613" s="225"/>
      <c r="J613" s="225"/>
      <c r="K613" s="225"/>
      <c r="L613" s="225"/>
      <c r="M613" s="225"/>
      <c r="N613" s="224"/>
      <c r="O613" s="224"/>
      <c r="P613" s="227"/>
      <c r="Q613" s="227"/>
    </row>
    <row r="614">
      <c r="B614" s="232"/>
      <c r="C614" s="225"/>
      <c r="D614" s="225"/>
      <c r="E614" s="224"/>
      <c r="F614" s="224"/>
      <c r="G614" s="225"/>
      <c r="H614" s="225"/>
      <c r="I614" s="225"/>
      <c r="J614" s="225"/>
      <c r="K614" s="225"/>
      <c r="L614" s="225"/>
      <c r="M614" s="225"/>
      <c r="N614" s="224"/>
      <c r="O614" s="224"/>
      <c r="P614" s="227"/>
      <c r="Q614" s="227"/>
    </row>
    <row r="615">
      <c r="B615" s="232"/>
      <c r="C615" s="225"/>
      <c r="D615" s="225"/>
      <c r="E615" s="224"/>
      <c r="F615" s="224"/>
      <c r="G615" s="225"/>
      <c r="H615" s="225"/>
      <c r="I615" s="225"/>
      <c r="J615" s="225"/>
      <c r="K615" s="225"/>
      <c r="L615" s="225"/>
      <c r="M615" s="225"/>
      <c r="N615" s="224"/>
      <c r="O615" s="224"/>
      <c r="P615" s="227"/>
      <c r="Q615" s="227"/>
    </row>
    <row r="616">
      <c r="B616" s="232"/>
      <c r="C616" s="225"/>
      <c r="D616" s="225"/>
      <c r="E616" s="224"/>
      <c r="F616" s="224"/>
      <c r="G616" s="225"/>
      <c r="H616" s="225"/>
      <c r="I616" s="225"/>
      <c r="J616" s="225"/>
      <c r="K616" s="225"/>
      <c r="L616" s="225"/>
      <c r="M616" s="225"/>
      <c r="N616" s="224"/>
      <c r="O616" s="224"/>
      <c r="P616" s="227"/>
      <c r="Q616" s="227"/>
    </row>
    <row r="617">
      <c r="B617" s="232"/>
      <c r="C617" s="225"/>
      <c r="D617" s="225"/>
      <c r="E617" s="224"/>
      <c r="F617" s="224"/>
      <c r="G617" s="225"/>
      <c r="H617" s="225"/>
      <c r="I617" s="225"/>
      <c r="J617" s="225"/>
      <c r="K617" s="225"/>
      <c r="L617" s="225"/>
      <c r="M617" s="225"/>
      <c r="N617" s="224"/>
      <c r="O617" s="224"/>
      <c r="P617" s="227"/>
      <c r="Q617" s="227"/>
    </row>
    <row r="618">
      <c r="B618" s="232"/>
      <c r="C618" s="225"/>
      <c r="D618" s="225"/>
      <c r="E618" s="224"/>
      <c r="F618" s="224"/>
      <c r="G618" s="225"/>
      <c r="H618" s="225"/>
      <c r="I618" s="225"/>
      <c r="J618" s="225"/>
      <c r="K618" s="225"/>
      <c r="L618" s="225"/>
      <c r="M618" s="225"/>
      <c r="N618" s="224"/>
      <c r="O618" s="224"/>
      <c r="P618" s="227"/>
      <c r="Q618" s="227"/>
    </row>
    <row r="619">
      <c r="B619" s="232"/>
      <c r="C619" s="225"/>
      <c r="D619" s="225"/>
      <c r="E619" s="224"/>
      <c r="F619" s="224"/>
      <c r="G619" s="225"/>
      <c r="H619" s="225"/>
      <c r="I619" s="225"/>
      <c r="J619" s="225"/>
      <c r="K619" s="225"/>
      <c r="L619" s="225"/>
      <c r="M619" s="225"/>
      <c r="N619" s="224"/>
      <c r="O619" s="224"/>
      <c r="P619" s="227"/>
      <c r="Q619" s="227"/>
    </row>
    <row r="620">
      <c r="B620" s="232"/>
      <c r="C620" s="225"/>
      <c r="D620" s="225"/>
      <c r="E620" s="224"/>
      <c r="F620" s="224"/>
      <c r="G620" s="225"/>
      <c r="H620" s="225"/>
      <c r="I620" s="225"/>
      <c r="J620" s="225"/>
      <c r="K620" s="225"/>
      <c r="L620" s="225"/>
      <c r="M620" s="225"/>
      <c r="N620" s="224"/>
      <c r="O620" s="224"/>
      <c r="P620" s="227"/>
      <c r="Q620" s="227"/>
    </row>
    <row r="621">
      <c r="B621" s="232"/>
      <c r="C621" s="225"/>
      <c r="D621" s="225"/>
      <c r="E621" s="224"/>
      <c r="F621" s="224"/>
      <c r="G621" s="225"/>
      <c r="H621" s="225"/>
      <c r="I621" s="225"/>
      <c r="J621" s="225"/>
      <c r="K621" s="225"/>
      <c r="L621" s="225"/>
      <c r="M621" s="225"/>
      <c r="N621" s="224"/>
      <c r="O621" s="224"/>
      <c r="P621" s="227"/>
      <c r="Q621" s="227"/>
    </row>
    <row r="622">
      <c r="B622" s="232"/>
      <c r="C622" s="225"/>
      <c r="D622" s="225"/>
      <c r="E622" s="224"/>
      <c r="F622" s="224"/>
      <c r="G622" s="225"/>
      <c r="H622" s="225"/>
      <c r="I622" s="225"/>
      <c r="J622" s="225"/>
      <c r="K622" s="225"/>
      <c r="L622" s="225"/>
      <c r="M622" s="225"/>
      <c r="N622" s="224"/>
      <c r="O622" s="224"/>
      <c r="P622" s="227"/>
      <c r="Q622" s="227"/>
    </row>
    <row r="623">
      <c r="B623" s="232"/>
      <c r="C623" s="225"/>
      <c r="D623" s="225"/>
      <c r="E623" s="224"/>
      <c r="F623" s="224"/>
      <c r="G623" s="225"/>
      <c r="H623" s="225"/>
      <c r="I623" s="225"/>
      <c r="J623" s="225"/>
      <c r="K623" s="225"/>
      <c r="L623" s="225"/>
      <c r="M623" s="225"/>
      <c r="N623" s="224"/>
      <c r="O623" s="224"/>
      <c r="P623" s="227"/>
      <c r="Q623" s="227"/>
    </row>
    <row r="624">
      <c r="B624" s="232"/>
      <c r="C624" s="225"/>
      <c r="D624" s="225"/>
      <c r="E624" s="224"/>
      <c r="F624" s="224"/>
      <c r="G624" s="225"/>
      <c r="H624" s="225"/>
      <c r="I624" s="225"/>
      <c r="J624" s="225"/>
      <c r="K624" s="225"/>
      <c r="L624" s="225"/>
      <c r="M624" s="225"/>
      <c r="N624" s="224"/>
      <c r="O624" s="224"/>
      <c r="P624" s="227"/>
      <c r="Q624" s="227"/>
    </row>
    <row r="625">
      <c r="B625" s="232"/>
      <c r="C625" s="225"/>
      <c r="D625" s="225"/>
      <c r="E625" s="224"/>
      <c r="F625" s="224"/>
      <c r="G625" s="225"/>
      <c r="H625" s="225"/>
      <c r="I625" s="225"/>
      <c r="J625" s="225"/>
      <c r="K625" s="225"/>
      <c r="L625" s="225"/>
      <c r="M625" s="225"/>
      <c r="N625" s="224"/>
      <c r="O625" s="224"/>
      <c r="P625" s="227"/>
      <c r="Q625" s="227"/>
    </row>
    <row r="626">
      <c r="B626" s="232"/>
      <c r="C626" s="225"/>
      <c r="D626" s="225"/>
      <c r="E626" s="224"/>
      <c r="F626" s="224"/>
      <c r="G626" s="225"/>
      <c r="H626" s="225"/>
      <c r="I626" s="225"/>
      <c r="J626" s="225"/>
      <c r="K626" s="225"/>
      <c r="L626" s="225"/>
      <c r="M626" s="225"/>
      <c r="N626" s="224"/>
      <c r="O626" s="224"/>
      <c r="P626" s="227"/>
      <c r="Q626" s="227"/>
    </row>
    <row r="627">
      <c r="B627" s="232"/>
      <c r="C627" s="225"/>
      <c r="D627" s="225"/>
      <c r="E627" s="224"/>
      <c r="F627" s="224"/>
      <c r="G627" s="225"/>
      <c r="H627" s="225"/>
      <c r="I627" s="225"/>
      <c r="J627" s="225"/>
      <c r="K627" s="225"/>
      <c r="L627" s="225"/>
      <c r="M627" s="225"/>
      <c r="N627" s="224"/>
      <c r="O627" s="224"/>
      <c r="P627" s="227"/>
      <c r="Q627" s="227"/>
    </row>
    <row r="628">
      <c r="B628" s="232"/>
      <c r="C628" s="225"/>
      <c r="D628" s="225"/>
      <c r="E628" s="224"/>
      <c r="F628" s="224"/>
      <c r="G628" s="225"/>
      <c r="H628" s="225"/>
      <c r="I628" s="225"/>
      <c r="J628" s="225"/>
      <c r="K628" s="225"/>
      <c r="L628" s="225"/>
      <c r="M628" s="225"/>
      <c r="N628" s="224"/>
      <c r="O628" s="224"/>
      <c r="P628" s="227"/>
      <c r="Q628" s="227"/>
    </row>
    <row r="629">
      <c r="B629" s="232"/>
      <c r="C629" s="225"/>
      <c r="D629" s="225"/>
      <c r="E629" s="224"/>
      <c r="F629" s="224"/>
      <c r="G629" s="225"/>
      <c r="H629" s="225"/>
      <c r="I629" s="225"/>
      <c r="J629" s="225"/>
      <c r="K629" s="225"/>
      <c r="L629" s="225"/>
      <c r="M629" s="225"/>
      <c r="N629" s="224"/>
      <c r="O629" s="224"/>
      <c r="P629" s="227"/>
      <c r="Q629" s="227"/>
    </row>
    <row r="630">
      <c r="B630" s="232"/>
      <c r="C630" s="225"/>
      <c r="D630" s="225"/>
      <c r="E630" s="224"/>
      <c r="F630" s="224"/>
      <c r="G630" s="225"/>
      <c r="H630" s="225"/>
      <c r="I630" s="225"/>
      <c r="J630" s="225"/>
      <c r="K630" s="225"/>
      <c r="L630" s="225"/>
      <c r="M630" s="225"/>
      <c r="N630" s="224"/>
      <c r="O630" s="224"/>
      <c r="P630" s="227"/>
      <c r="Q630" s="227"/>
    </row>
    <row r="631">
      <c r="B631" s="232"/>
      <c r="C631" s="225"/>
      <c r="D631" s="225"/>
      <c r="E631" s="224"/>
      <c r="F631" s="224"/>
      <c r="G631" s="225"/>
      <c r="H631" s="225"/>
      <c r="I631" s="225"/>
      <c r="J631" s="225"/>
      <c r="K631" s="225"/>
      <c r="L631" s="225"/>
      <c r="M631" s="225"/>
      <c r="N631" s="224"/>
      <c r="O631" s="224"/>
      <c r="P631" s="227"/>
      <c r="Q631" s="227"/>
    </row>
    <row r="632">
      <c r="B632" s="232"/>
      <c r="C632" s="225"/>
      <c r="D632" s="225"/>
      <c r="E632" s="224"/>
      <c r="F632" s="224"/>
      <c r="G632" s="225"/>
      <c r="H632" s="225"/>
      <c r="I632" s="225"/>
      <c r="J632" s="225"/>
      <c r="K632" s="225"/>
      <c r="L632" s="225"/>
      <c r="M632" s="225"/>
      <c r="N632" s="224"/>
      <c r="O632" s="224"/>
      <c r="P632" s="227"/>
      <c r="Q632" s="227"/>
    </row>
    <row r="633">
      <c r="B633" s="232"/>
      <c r="C633" s="225"/>
      <c r="D633" s="225"/>
      <c r="E633" s="224"/>
      <c r="F633" s="224"/>
      <c r="G633" s="225"/>
      <c r="H633" s="225"/>
      <c r="I633" s="225"/>
      <c r="J633" s="225"/>
      <c r="K633" s="225"/>
      <c r="L633" s="225"/>
      <c r="M633" s="225"/>
      <c r="N633" s="224"/>
      <c r="O633" s="224"/>
      <c r="P633" s="227"/>
      <c r="Q633" s="227"/>
    </row>
    <row r="634">
      <c r="B634" s="232"/>
      <c r="C634" s="225"/>
      <c r="D634" s="225"/>
      <c r="E634" s="224"/>
      <c r="F634" s="224"/>
      <c r="G634" s="225"/>
      <c r="H634" s="225"/>
      <c r="I634" s="225"/>
      <c r="J634" s="225"/>
      <c r="K634" s="225"/>
      <c r="L634" s="225"/>
      <c r="M634" s="225"/>
      <c r="N634" s="224"/>
      <c r="O634" s="224"/>
      <c r="P634" s="227"/>
      <c r="Q634" s="227"/>
    </row>
    <row r="635">
      <c r="B635" s="232"/>
      <c r="C635" s="225"/>
      <c r="D635" s="225"/>
      <c r="E635" s="224"/>
      <c r="F635" s="224"/>
      <c r="G635" s="225"/>
      <c r="H635" s="225"/>
      <c r="I635" s="225"/>
      <c r="J635" s="225"/>
      <c r="K635" s="225"/>
      <c r="L635" s="225"/>
      <c r="M635" s="225"/>
      <c r="N635" s="224"/>
      <c r="O635" s="224"/>
      <c r="P635" s="227"/>
      <c r="Q635" s="227"/>
    </row>
    <row r="636">
      <c r="B636" s="232"/>
      <c r="C636" s="225"/>
      <c r="D636" s="225"/>
      <c r="E636" s="224"/>
      <c r="F636" s="224"/>
      <c r="G636" s="225"/>
      <c r="H636" s="225"/>
      <c r="I636" s="225"/>
      <c r="J636" s="225"/>
      <c r="K636" s="225"/>
      <c r="L636" s="225"/>
      <c r="M636" s="225"/>
      <c r="N636" s="224"/>
      <c r="O636" s="224"/>
      <c r="P636" s="227"/>
      <c r="Q636" s="227"/>
    </row>
    <row r="637">
      <c r="B637" s="232"/>
      <c r="C637" s="225"/>
      <c r="D637" s="225"/>
      <c r="E637" s="224"/>
      <c r="F637" s="224"/>
      <c r="G637" s="225"/>
      <c r="H637" s="225"/>
      <c r="I637" s="225"/>
      <c r="J637" s="225"/>
      <c r="K637" s="225"/>
      <c r="L637" s="225"/>
      <c r="M637" s="225"/>
      <c r="N637" s="224"/>
      <c r="O637" s="224"/>
      <c r="P637" s="227"/>
      <c r="Q637" s="227"/>
    </row>
    <row r="638">
      <c r="B638" s="232"/>
      <c r="C638" s="225"/>
      <c r="D638" s="225"/>
      <c r="E638" s="224"/>
      <c r="F638" s="224"/>
      <c r="G638" s="225"/>
      <c r="H638" s="225"/>
      <c r="I638" s="225"/>
      <c r="J638" s="225"/>
      <c r="K638" s="225"/>
      <c r="L638" s="225"/>
      <c r="M638" s="225"/>
      <c r="N638" s="224"/>
      <c r="O638" s="224"/>
      <c r="P638" s="227"/>
      <c r="Q638" s="227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2" max="12" width="33.88"/>
    <col customWidth="1" min="13" max="13" width="33.38"/>
    <col customWidth="1" min="14" max="14" width="33.5"/>
  </cols>
  <sheetData>
    <row r="1">
      <c r="A1" s="228" t="s">
        <v>1290</v>
      </c>
      <c r="B1" s="1" t="s">
        <v>1291</v>
      </c>
      <c r="C1" s="1" t="s">
        <v>1292</v>
      </c>
      <c r="D1" s="1" t="s">
        <v>1293</v>
      </c>
      <c r="E1" s="1" t="s">
        <v>1294</v>
      </c>
      <c r="F1" s="1" t="s">
        <v>1295</v>
      </c>
      <c r="G1" s="1" t="s">
        <v>1296</v>
      </c>
      <c r="H1" s="1" t="s">
        <v>1297</v>
      </c>
      <c r="I1" s="1" t="s">
        <v>1298</v>
      </c>
      <c r="J1" s="1" t="s">
        <v>1299</v>
      </c>
      <c r="K1" s="1" t="s">
        <v>1300</v>
      </c>
      <c r="L1" s="1" t="s">
        <v>1301</v>
      </c>
      <c r="M1" s="1" t="s">
        <v>1302</v>
      </c>
      <c r="N1" s="1" t="s">
        <v>1303</v>
      </c>
      <c r="O1" s="1"/>
      <c r="P1" s="1"/>
      <c r="Q1" s="1"/>
      <c r="R1" s="1"/>
      <c r="S1" s="1"/>
      <c r="T1" s="1"/>
      <c r="U1" s="1"/>
    </row>
    <row r="2">
      <c r="A2" s="1" t="s">
        <v>1304</v>
      </c>
      <c r="B2" s="1" t="s">
        <v>1305</v>
      </c>
      <c r="C2" s="1" t="s">
        <v>1306</v>
      </c>
      <c r="D2" s="1" t="s">
        <v>1307</v>
      </c>
      <c r="E2" s="1" t="s">
        <v>484</v>
      </c>
      <c r="F2" s="1" t="s">
        <v>488</v>
      </c>
      <c r="G2" s="1" t="s">
        <v>1308</v>
      </c>
      <c r="H2" s="1" t="s">
        <v>1309</v>
      </c>
      <c r="I2" s="1" t="s">
        <v>1310</v>
      </c>
      <c r="J2" s="1" t="s">
        <v>1311</v>
      </c>
      <c r="K2" s="1" t="s">
        <v>1310</v>
      </c>
      <c r="L2" s="1" t="s">
        <v>484</v>
      </c>
      <c r="M2" s="1">
        <v>-108.0</v>
      </c>
      <c r="N2" s="1">
        <v>1.5</v>
      </c>
      <c r="O2" s="230"/>
    </row>
    <row r="3">
      <c r="A3" s="1" t="s">
        <v>1312</v>
      </c>
      <c r="B3" s="1" t="s">
        <v>1305</v>
      </c>
      <c r="C3" s="1" t="s">
        <v>1306</v>
      </c>
      <c r="D3" s="1" t="s">
        <v>1313</v>
      </c>
      <c r="E3" s="1" t="s">
        <v>1314</v>
      </c>
      <c r="F3" s="1" t="s">
        <v>1315</v>
      </c>
      <c r="G3" s="1" t="s">
        <v>1308</v>
      </c>
      <c r="H3" s="1" t="s">
        <v>1309</v>
      </c>
      <c r="I3" s="1" t="s">
        <v>1310</v>
      </c>
      <c r="J3" s="1" t="s">
        <v>1311</v>
      </c>
      <c r="K3" s="1" t="s">
        <v>1310</v>
      </c>
      <c r="L3" s="1" t="s">
        <v>1314</v>
      </c>
      <c r="M3" s="1">
        <v>-114.0</v>
      </c>
      <c r="N3" s="1">
        <v>-13.5</v>
      </c>
      <c r="O3" s="230"/>
    </row>
    <row r="4">
      <c r="A4" s="1" t="s">
        <v>1316</v>
      </c>
      <c r="B4" s="1" t="s">
        <v>1305</v>
      </c>
      <c r="C4" s="1" t="s">
        <v>1306</v>
      </c>
      <c r="D4" s="1" t="s">
        <v>1317</v>
      </c>
      <c r="E4" s="1" t="s">
        <v>400</v>
      </c>
      <c r="F4" s="1" t="s">
        <v>389</v>
      </c>
      <c r="G4" s="1" t="s">
        <v>1318</v>
      </c>
      <c r="H4" s="1" t="s">
        <v>1319</v>
      </c>
      <c r="I4" s="1" t="s">
        <v>1310</v>
      </c>
      <c r="J4" s="1" t="s">
        <v>1311</v>
      </c>
      <c r="K4" s="1" t="s">
        <v>1310</v>
      </c>
      <c r="L4" s="1" t="s">
        <v>389</v>
      </c>
      <c r="M4" s="1">
        <v>-108.0</v>
      </c>
      <c r="N4" s="1">
        <v>3.5</v>
      </c>
      <c r="O4" s="230"/>
    </row>
    <row r="5">
      <c r="A5" s="1" t="s">
        <v>1320</v>
      </c>
      <c r="B5" s="1" t="s">
        <v>1305</v>
      </c>
      <c r="C5" s="1" t="s">
        <v>1306</v>
      </c>
      <c r="D5" s="1" t="s">
        <v>1317</v>
      </c>
      <c r="E5" s="1" t="s">
        <v>424</v>
      </c>
      <c r="F5" s="1" t="s">
        <v>415</v>
      </c>
      <c r="G5" s="1" t="s">
        <v>1308</v>
      </c>
      <c r="H5" s="1" t="s">
        <v>1309</v>
      </c>
      <c r="I5" s="1" t="s">
        <v>1310</v>
      </c>
      <c r="J5" s="1" t="s">
        <v>1311</v>
      </c>
      <c r="K5" s="1" t="s">
        <v>1310</v>
      </c>
      <c r="L5" s="1" t="s">
        <v>415</v>
      </c>
      <c r="M5" s="1">
        <v>-115.0</v>
      </c>
      <c r="N5" s="1">
        <v>4.5</v>
      </c>
      <c r="O5" s="230"/>
    </row>
    <row r="6">
      <c r="A6" s="1" t="s">
        <v>1321</v>
      </c>
      <c r="B6" s="1" t="s">
        <v>1305</v>
      </c>
      <c r="C6" s="1" t="s">
        <v>1306</v>
      </c>
      <c r="D6" s="1" t="s">
        <v>1322</v>
      </c>
      <c r="E6" s="1" t="s">
        <v>380</v>
      </c>
      <c r="F6" s="1" t="s">
        <v>511</v>
      </c>
      <c r="G6" s="1" t="s">
        <v>1318</v>
      </c>
      <c r="H6" s="1" t="s">
        <v>1319</v>
      </c>
      <c r="I6" s="1" t="s">
        <v>1310</v>
      </c>
      <c r="J6" s="1" t="s">
        <v>1311</v>
      </c>
      <c r="K6" s="1" t="s">
        <v>1310</v>
      </c>
      <c r="L6" s="1" t="s">
        <v>511</v>
      </c>
      <c r="M6" s="1">
        <v>-112.0</v>
      </c>
      <c r="N6" s="1">
        <v>5.5</v>
      </c>
      <c r="O6" s="230"/>
    </row>
    <row r="7">
      <c r="A7" s="1" t="s">
        <v>1323</v>
      </c>
      <c r="B7" s="1" t="s">
        <v>1305</v>
      </c>
      <c r="C7" s="1" t="s">
        <v>1306</v>
      </c>
      <c r="D7" s="1" t="s">
        <v>1324</v>
      </c>
      <c r="E7" s="1" t="s">
        <v>382</v>
      </c>
      <c r="F7" s="1" t="s">
        <v>436</v>
      </c>
      <c r="G7" s="1" t="s">
        <v>1308</v>
      </c>
      <c r="H7" s="1" t="s">
        <v>1309</v>
      </c>
      <c r="I7" s="1" t="s">
        <v>1310</v>
      </c>
      <c r="J7" s="1" t="s">
        <v>1311</v>
      </c>
      <c r="K7" s="1" t="s">
        <v>1310</v>
      </c>
      <c r="L7" s="1" t="s">
        <v>436</v>
      </c>
      <c r="M7" s="1">
        <v>-110.0</v>
      </c>
      <c r="N7" s="1">
        <v>7.5</v>
      </c>
      <c r="O7" s="230"/>
    </row>
    <row r="8">
      <c r="A8" s="1" t="s">
        <v>1325</v>
      </c>
      <c r="B8" s="1" t="s">
        <v>1305</v>
      </c>
      <c r="C8" s="1" t="s">
        <v>1306</v>
      </c>
      <c r="D8" s="1" t="s">
        <v>1326</v>
      </c>
      <c r="E8" s="1" t="s">
        <v>501</v>
      </c>
      <c r="F8" s="1" t="s">
        <v>523</v>
      </c>
      <c r="G8" s="1" t="s">
        <v>1308</v>
      </c>
      <c r="H8" s="1" t="s">
        <v>1309</v>
      </c>
      <c r="I8" s="1" t="s">
        <v>1310</v>
      </c>
      <c r="J8" s="1" t="s">
        <v>1311</v>
      </c>
      <c r="K8" s="1" t="s">
        <v>1310</v>
      </c>
      <c r="L8" s="1" t="s">
        <v>501</v>
      </c>
      <c r="M8" s="1">
        <v>-108.0</v>
      </c>
      <c r="N8" s="1">
        <v>-2.5</v>
      </c>
      <c r="O8" s="230"/>
    </row>
    <row r="9">
      <c r="A9" s="1" t="s">
        <v>1327</v>
      </c>
      <c r="B9" s="1" t="s">
        <v>1305</v>
      </c>
      <c r="C9" s="1" t="s">
        <v>1306</v>
      </c>
      <c r="D9" s="1" t="s">
        <v>1328</v>
      </c>
      <c r="E9" s="1" t="s">
        <v>463</v>
      </c>
      <c r="F9" s="1" t="s">
        <v>474</v>
      </c>
      <c r="G9" s="1" t="s">
        <v>1308</v>
      </c>
      <c r="H9" s="1" t="s">
        <v>1309</v>
      </c>
      <c r="I9" s="1" t="s">
        <v>1310</v>
      </c>
      <c r="J9" s="1" t="s">
        <v>1311</v>
      </c>
      <c r="K9" s="1" t="s">
        <v>1310</v>
      </c>
      <c r="L9" s="1" t="s">
        <v>474</v>
      </c>
      <c r="M9" s="1">
        <v>-115.0</v>
      </c>
      <c r="N9" s="1">
        <v>-1.5</v>
      </c>
      <c r="O9" s="230"/>
    </row>
    <row r="10">
      <c r="A10" s="1" t="s">
        <v>1327</v>
      </c>
      <c r="B10" s="1" t="s">
        <v>1305</v>
      </c>
      <c r="C10" s="1" t="s">
        <v>1306</v>
      </c>
      <c r="D10" s="1" t="s">
        <v>1328</v>
      </c>
      <c r="E10" s="1" t="s">
        <v>463</v>
      </c>
      <c r="F10" s="1" t="s">
        <v>474</v>
      </c>
      <c r="G10" s="1" t="s">
        <v>1329</v>
      </c>
      <c r="H10" s="1" t="s">
        <v>1330</v>
      </c>
      <c r="I10" s="1" t="s">
        <v>1331</v>
      </c>
      <c r="J10" s="1" t="s">
        <v>1311</v>
      </c>
      <c r="K10" s="1" t="s">
        <v>1331</v>
      </c>
      <c r="L10" s="1" t="s">
        <v>463</v>
      </c>
      <c r="M10" s="1">
        <v>-105.0</v>
      </c>
      <c r="N10" s="1">
        <v>1.5</v>
      </c>
      <c r="O10" s="230"/>
    </row>
    <row r="11">
      <c r="A11" s="1" t="s">
        <v>1327</v>
      </c>
      <c r="B11" s="1" t="s">
        <v>1305</v>
      </c>
      <c r="C11" s="1" t="s">
        <v>1306</v>
      </c>
      <c r="D11" s="1" t="s">
        <v>1328</v>
      </c>
      <c r="E11" s="1" t="s">
        <v>463</v>
      </c>
      <c r="F11" s="1" t="s">
        <v>474</v>
      </c>
      <c r="G11" s="1" t="s">
        <v>1332</v>
      </c>
      <c r="H11" s="1" t="s">
        <v>1333</v>
      </c>
      <c r="I11" s="1" t="s">
        <v>1334</v>
      </c>
      <c r="J11" s="1" t="s">
        <v>1311</v>
      </c>
      <c r="K11" s="1" t="s">
        <v>1334</v>
      </c>
      <c r="L11" s="1" t="s">
        <v>511</v>
      </c>
      <c r="M11" s="1">
        <v>-110.0</v>
      </c>
      <c r="N11" s="1">
        <v>5.0</v>
      </c>
      <c r="O11" s="230"/>
    </row>
    <row r="12">
      <c r="A12" s="1" t="s">
        <v>1327</v>
      </c>
      <c r="B12" s="1" t="s">
        <v>1305</v>
      </c>
      <c r="C12" s="1" t="s">
        <v>1306</v>
      </c>
      <c r="D12" s="1" t="s">
        <v>1328</v>
      </c>
      <c r="E12" s="1" t="s">
        <v>463</v>
      </c>
      <c r="F12" s="1" t="s">
        <v>474</v>
      </c>
      <c r="G12" s="1" t="s">
        <v>1335</v>
      </c>
      <c r="H12" s="1" t="s">
        <v>1336</v>
      </c>
      <c r="I12" s="1" t="s">
        <v>1337</v>
      </c>
      <c r="J12" s="1" t="s">
        <v>1311</v>
      </c>
      <c r="K12" s="1" t="s">
        <v>1337</v>
      </c>
      <c r="L12" s="1" t="s">
        <v>511</v>
      </c>
      <c r="M12" s="1">
        <v>-110.0</v>
      </c>
      <c r="N12" s="1">
        <v>4.5</v>
      </c>
      <c r="O12" s="230"/>
    </row>
    <row r="13">
      <c r="A13" s="1" t="s">
        <v>1327</v>
      </c>
      <c r="B13" s="1" t="s">
        <v>1305</v>
      </c>
      <c r="C13" s="1" t="s">
        <v>1306</v>
      </c>
      <c r="D13" s="1" t="s">
        <v>1328</v>
      </c>
      <c r="E13" s="1" t="s">
        <v>463</v>
      </c>
      <c r="F13" s="1" t="s">
        <v>474</v>
      </c>
      <c r="G13" s="1" t="s">
        <v>1338</v>
      </c>
      <c r="H13" s="1" t="s">
        <v>1339</v>
      </c>
      <c r="I13" s="1" t="s">
        <v>1334</v>
      </c>
      <c r="J13" s="1" t="s">
        <v>1311</v>
      </c>
      <c r="K13" s="1" t="s">
        <v>1334</v>
      </c>
      <c r="L13" s="1" t="s">
        <v>511</v>
      </c>
      <c r="M13" s="1">
        <v>-110.0</v>
      </c>
      <c r="N13" s="1">
        <v>4.5</v>
      </c>
      <c r="O13" s="230"/>
    </row>
    <row r="14">
      <c r="A14" s="1" t="s">
        <v>1327</v>
      </c>
      <c r="B14" s="1" t="s">
        <v>1305</v>
      </c>
      <c r="C14" s="1" t="s">
        <v>1306</v>
      </c>
      <c r="D14" s="1" t="s">
        <v>1328</v>
      </c>
      <c r="E14" s="1" t="s">
        <v>463</v>
      </c>
      <c r="F14" s="1" t="s">
        <v>474</v>
      </c>
      <c r="G14" s="1" t="s">
        <v>1338</v>
      </c>
      <c r="H14" s="1" t="s">
        <v>1339</v>
      </c>
      <c r="I14" s="1" t="s">
        <v>1334</v>
      </c>
      <c r="J14" s="1" t="s">
        <v>1311</v>
      </c>
      <c r="K14" s="1" t="s">
        <v>1334</v>
      </c>
      <c r="L14" s="1" t="s">
        <v>380</v>
      </c>
      <c r="M14" s="1">
        <v>-110.0</v>
      </c>
      <c r="N14" s="1">
        <v>-4.5</v>
      </c>
      <c r="O14" s="230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30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30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30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30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30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30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30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30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30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30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30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30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30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30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30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30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30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30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30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30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30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30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30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30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30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30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30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30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30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30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30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30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30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30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30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30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30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30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30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30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30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30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30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30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30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30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30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30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30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30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30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30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30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30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30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30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30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30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30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30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30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30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30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30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30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30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30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30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30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30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30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30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30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30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30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30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30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30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30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30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30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30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30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30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30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30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30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30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30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30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30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30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30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30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30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30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30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30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30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30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30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30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30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30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30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30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30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30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30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30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30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30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30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30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30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30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30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30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30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30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30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30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30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30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30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30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30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30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30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30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30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30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30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30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1290</v>
      </c>
      <c r="B1" s="1" t="s">
        <v>1291</v>
      </c>
      <c r="C1" s="1" t="s">
        <v>1292</v>
      </c>
      <c r="D1" s="1" t="s">
        <v>1293</v>
      </c>
      <c r="E1" s="1" t="s">
        <v>1294</v>
      </c>
      <c r="F1" s="1" t="s">
        <v>1295</v>
      </c>
      <c r="G1" s="1" t="s">
        <v>1296</v>
      </c>
      <c r="H1" s="1" t="s">
        <v>1297</v>
      </c>
      <c r="I1" s="1" t="s">
        <v>1298</v>
      </c>
      <c r="J1" s="1" t="s">
        <v>1299</v>
      </c>
      <c r="K1" s="1" t="s">
        <v>1300</v>
      </c>
      <c r="L1" s="1" t="s">
        <v>1301</v>
      </c>
      <c r="M1" s="1" t="s">
        <v>1302</v>
      </c>
      <c r="N1" s="1" t="s">
        <v>1303</v>
      </c>
      <c r="O1" s="1"/>
    </row>
    <row r="2">
      <c r="A2" s="1" t="s">
        <v>1304</v>
      </c>
      <c r="B2" s="1" t="s">
        <v>1305</v>
      </c>
      <c r="C2" s="1" t="s">
        <v>1306</v>
      </c>
      <c r="D2" s="1" t="s">
        <v>1307</v>
      </c>
      <c r="E2" s="1" t="s">
        <v>484</v>
      </c>
      <c r="F2" s="1" t="s">
        <v>488</v>
      </c>
      <c r="G2" s="1" t="s">
        <v>1308</v>
      </c>
      <c r="H2" s="1" t="s">
        <v>1309</v>
      </c>
      <c r="I2" s="1" t="s">
        <v>1310</v>
      </c>
      <c r="J2" s="1" t="s">
        <v>1399</v>
      </c>
      <c r="K2" s="1" t="s">
        <v>1310</v>
      </c>
      <c r="L2" s="1" t="s">
        <v>1400</v>
      </c>
      <c r="M2" s="1">
        <v>-110.0</v>
      </c>
      <c r="N2" s="1">
        <v>48.5</v>
      </c>
    </row>
    <row r="3">
      <c r="A3" s="1" t="s">
        <v>1312</v>
      </c>
      <c r="B3" s="1" t="s">
        <v>1305</v>
      </c>
      <c r="C3" s="1" t="s">
        <v>1306</v>
      </c>
      <c r="D3" s="1" t="s">
        <v>1313</v>
      </c>
      <c r="E3" s="1" t="s">
        <v>1314</v>
      </c>
      <c r="F3" s="1" t="s">
        <v>1315</v>
      </c>
      <c r="G3" s="1" t="s">
        <v>1308</v>
      </c>
      <c r="H3" s="1" t="s">
        <v>1309</v>
      </c>
      <c r="I3" s="1" t="s">
        <v>1310</v>
      </c>
      <c r="J3" s="1" t="s">
        <v>1399</v>
      </c>
      <c r="K3" s="1" t="s">
        <v>1310</v>
      </c>
      <c r="L3" s="1" t="s">
        <v>1400</v>
      </c>
      <c r="M3" s="1">
        <v>-110.0</v>
      </c>
      <c r="N3" s="1">
        <v>59.5</v>
      </c>
    </row>
    <row r="4">
      <c r="A4" s="1" t="s">
        <v>1316</v>
      </c>
      <c r="B4" s="1" t="s">
        <v>1305</v>
      </c>
      <c r="C4" s="1" t="s">
        <v>1306</v>
      </c>
      <c r="D4" s="1" t="s">
        <v>1317</v>
      </c>
      <c r="E4" s="1" t="s">
        <v>400</v>
      </c>
      <c r="F4" s="1" t="s">
        <v>389</v>
      </c>
      <c r="G4" s="1" t="s">
        <v>1318</v>
      </c>
      <c r="H4" s="1" t="s">
        <v>1319</v>
      </c>
      <c r="I4" s="1" t="s">
        <v>1310</v>
      </c>
      <c r="J4" s="1" t="s">
        <v>1399</v>
      </c>
      <c r="K4" s="1" t="s">
        <v>1310</v>
      </c>
      <c r="L4" s="1" t="s">
        <v>1400</v>
      </c>
      <c r="M4" s="1">
        <v>-108.0</v>
      </c>
      <c r="N4" s="1">
        <v>58.5</v>
      </c>
    </row>
    <row r="5">
      <c r="A5" s="1" t="s">
        <v>1320</v>
      </c>
      <c r="B5" s="1" t="s">
        <v>1305</v>
      </c>
      <c r="C5" s="1" t="s">
        <v>1306</v>
      </c>
      <c r="D5" s="1" t="s">
        <v>1317</v>
      </c>
      <c r="E5" s="1" t="s">
        <v>424</v>
      </c>
      <c r="F5" s="1" t="s">
        <v>415</v>
      </c>
      <c r="G5" s="1" t="s">
        <v>1308</v>
      </c>
      <c r="H5" s="1" t="s">
        <v>1309</v>
      </c>
      <c r="I5" s="1" t="s">
        <v>1310</v>
      </c>
      <c r="J5" s="1" t="s">
        <v>1399</v>
      </c>
      <c r="K5" s="1" t="s">
        <v>1310</v>
      </c>
      <c r="L5" s="1" t="s">
        <v>1400</v>
      </c>
      <c r="M5" s="1">
        <v>-106.0</v>
      </c>
      <c r="N5" s="1">
        <v>47.5</v>
      </c>
    </row>
    <row r="6">
      <c r="A6" s="1" t="s">
        <v>1321</v>
      </c>
      <c r="B6" s="1" t="s">
        <v>1305</v>
      </c>
      <c r="C6" s="1" t="s">
        <v>1306</v>
      </c>
      <c r="D6" s="1" t="s">
        <v>1322</v>
      </c>
      <c r="E6" s="1" t="s">
        <v>380</v>
      </c>
      <c r="F6" s="1" t="s">
        <v>511</v>
      </c>
      <c r="G6" s="1" t="s">
        <v>1318</v>
      </c>
      <c r="H6" s="1" t="s">
        <v>1319</v>
      </c>
      <c r="I6" s="1" t="s">
        <v>1310</v>
      </c>
      <c r="J6" s="1" t="s">
        <v>1399</v>
      </c>
      <c r="K6" s="1" t="s">
        <v>1310</v>
      </c>
      <c r="L6" s="1" t="s">
        <v>1400</v>
      </c>
      <c r="M6" s="1">
        <v>-112.0</v>
      </c>
      <c r="N6" s="1">
        <v>38.5</v>
      </c>
    </row>
    <row r="7">
      <c r="A7" s="1" t="s">
        <v>1323</v>
      </c>
      <c r="B7" s="1" t="s">
        <v>1305</v>
      </c>
      <c r="C7" s="1" t="s">
        <v>1306</v>
      </c>
      <c r="D7" s="1" t="s">
        <v>1324</v>
      </c>
      <c r="E7" s="1" t="s">
        <v>382</v>
      </c>
      <c r="F7" s="1" t="s">
        <v>436</v>
      </c>
      <c r="G7" s="1" t="s">
        <v>1308</v>
      </c>
      <c r="H7" s="1" t="s">
        <v>1309</v>
      </c>
      <c r="I7" s="1" t="s">
        <v>1310</v>
      </c>
      <c r="J7" s="1" t="s">
        <v>1399</v>
      </c>
      <c r="K7" s="1" t="s">
        <v>1310</v>
      </c>
      <c r="L7" s="1" t="s">
        <v>1400</v>
      </c>
      <c r="M7" s="1">
        <v>-106.0</v>
      </c>
      <c r="N7" s="1">
        <v>55.5</v>
      </c>
    </row>
    <row r="8">
      <c r="A8" s="1" t="s">
        <v>1325</v>
      </c>
      <c r="B8" s="1" t="s">
        <v>1305</v>
      </c>
      <c r="C8" s="1" t="s">
        <v>1306</v>
      </c>
      <c r="D8" s="1" t="s">
        <v>1326</v>
      </c>
      <c r="E8" s="1" t="s">
        <v>501</v>
      </c>
      <c r="F8" s="1" t="s">
        <v>523</v>
      </c>
      <c r="G8" s="1" t="s">
        <v>1308</v>
      </c>
      <c r="H8" s="1" t="s">
        <v>1309</v>
      </c>
      <c r="I8" s="1" t="s">
        <v>1310</v>
      </c>
      <c r="J8" s="1" t="s">
        <v>1399</v>
      </c>
      <c r="K8" s="1" t="s">
        <v>1310</v>
      </c>
      <c r="L8" s="1" t="s">
        <v>1400</v>
      </c>
      <c r="M8" s="1">
        <v>-105.0</v>
      </c>
      <c r="N8" s="1">
        <v>58.5</v>
      </c>
    </row>
    <row r="9">
      <c r="A9" s="1" t="s">
        <v>1327</v>
      </c>
      <c r="B9" s="1" t="s">
        <v>1305</v>
      </c>
      <c r="C9" s="1" t="s">
        <v>1306</v>
      </c>
      <c r="D9" s="1" t="s">
        <v>1328</v>
      </c>
      <c r="E9" s="1" t="s">
        <v>463</v>
      </c>
      <c r="F9" s="1" t="s">
        <v>474</v>
      </c>
      <c r="G9" s="1" t="s">
        <v>1308</v>
      </c>
      <c r="H9" s="1" t="s">
        <v>1309</v>
      </c>
      <c r="I9" s="1" t="s">
        <v>1310</v>
      </c>
      <c r="J9" s="1" t="s">
        <v>1399</v>
      </c>
      <c r="K9" s="1" t="s">
        <v>1310</v>
      </c>
      <c r="L9" s="1" t="s">
        <v>1400</v>
      </c>
      <c r="M9" s="1">
        <v>-112.0</v>
      </c>
      <c r="N9" s="1">
        <v>55.5</v>
      </c>
    </row>
    <row r="10">
      <c r="A10" s="1" t="s">
        <v>1327</v>
      </c>
      <c r="B10" s="1" t="s">
        <v>1305</v>
      </c>
      <c r="C10" s="1" t="s">
        <v>1306</v>
      </c>
      <c r="D10" s="1" t="s">
        <v>1328</v>
      </c>
      <c r="E10" s="1" t="s">
        <v>463</v>
      </c>
      <c r="F10" s="1" t="s">
        <v>474</v>
      </c>
      <c r="G10" s="1" t="s">
        <v>1329</v>
      </c>
      <c r="H10" s="1" t="s">
        <v>1330</v>
      </c>
      <c r="I10" s="1" t="s">
        <v>1331</v>
      </c>
      <c r="J10" s="1" t="s">
        <v>1399</v>
      </c>
      <c r="K10" s="1" t="s">
        <v>1331</v>
      </c>
      <c r="L10" s="1" t="s">
        <v>1408</v>
      </c>
      <c r="M10" s="1">
        <v>-108.0</v>
      </c>
      <c r="N10" s="1">
        <v>55.5</v>
      </c>
    </row>
    <row r="11">
      <c r="A11" s="1" t="s">
        <v>1327</v>
      </c>
      <c r="B11" s="1" t="s">
        <v>1305</v>
      </c>
      <c r="C11" s="1" t="s">
        <v>1306</v>
      </c>
      <c r="D11" s="1" t="s">
        <v>1328</v>
      </c>
      <c r="E11" s="1" t="s">
        <v>463</v>
      </c>
      <c r="F11" s="1" t="s">
        <v>474</v>
      </c>
      <c r="G11" s="1" t="s">
        <v>1409</v>
      </c>
      <c r="H11" s="231" t="s">
        <v>1410</v>
      </c>
      <c r="I11" s="1" t="s">
        <v>1310</v>
      </c>
      <c r="J11" s="1" t="s">
        <v>1399</v>
      </c>
      <c r="K11" s="1" t="s">
        <v>1310</v>
      </c>
      <c r="L11" s="1" t="s">
        <v>1400</v>
      </c>
      <c r="M11" s="1">
        <v>-110.0</v>
      </c>
      <c r="N11" s="1">
        <v>39.0</v>
      </c>
    </row>
    <row r="12">
      <c r="A12" s="1" t="s">
        <v>1327</v>
      </c>
      <c r="B12" s="1" t="s">
        <v>1305</v>
      </c>
      <c r="C12" s="1" t="s">
        <v>1306</v>
      </c>
      <c r="D12" s="1" t="s">
        <v>1328</v>
      </c>
      <c r="E12" s="1" t="s">
        <v>463</v>
      </c>
      <c r="F12" s="1" t="s">
        <v>474</v>
      </c>
      <c r="G12" s="1" t="s">
        <v>1332</v>
      </c>
      <c r="H12" s="1" t="s">
        <v>1333</v>
      </c>
      <c r="I12" s="1" t="s">
        <v>1334</v>
      </c>
      <c r="J12" s="1" t="s">
        <v>1399</v>
      </c>
      <c r="K12" s="1" t="s">
        <v>1334</v>
      </c>
      <c r="L12" s="1" t="s">
        <v>1400</v>
      </c>
      <c r="M12" s="1">
        <v>-110.0</v>
      </c>
      <c r="N12" s="1">
        <v>38.5</v>
      </c>
    </row>
    <row r="13">
      <c r="A13" s="1" t="s">
        <v>1327</v>
      </c>
      <c r="B13" s="1" t="s">
        <v>1305</v>
      </c>
      <c r="C13" s="1" t="s">
        <v>1306</v>
      </c>
      <c r="D13" s="1" t="s">
        <v>1328</v>
      </c>
      <c r="E13" s="1" t="s">
        <v>463</v>
      </c>
      <c r="F13" s="1" t="s">
        <v>474</v>
      </c>
      <c r="G13" s="1" t="s">
        <v>1335</v>
      </c>
      <c r="H13" s="1" t="s">
        <v>1336</v>
      </c>
      <c r="I13" s="1" t="s">
        <v>1337</v>
      </c>
      <c r="J13" s="1" t="s">
        <v>1399</v>
      </c>
      <c r="K13" s="1" t="s">
        <v>1337</v>
      </c>
      <c r="L13" s="1" t="s">
        <v>1400</v>
      </c>
      <c r="M13" s="1">
        <v>-105.0</v>
      </c>
      <c r="N13" s="1">
        <v>39.0</v>
      </c>
    </row>
    <row r="14">
      <c r="A14" s="1" t="s">
        <v>1327</v>
      </c>
      <c r="B14" s="1" t="s">
        <v>1305</v>
      </c>
      <c r="C14" s="1" t="s">
        <v>1306</v>
      </c>
      <c r="D14" s="1" t="s">
        <v>1328</v>
      </c>
      <c r="E14" s="1" t="s">
        <v>463</v>
      </c>
      <c r="F14" s="1" t="s">
        <v>474</v>
      </c>
      <c r="G14" s="1" t="s">
        <v>1338</v>
      </c>
      <c r="H14" s="1" t="s">
        <v>1339</v>
      </c>
      <c r="I14" s="1" t="s">
        <v>1334</v>
      </c>
      <c r="J14" s="1" t="s">
        <v>1399</v>
      </c>
      <c r="K14" s="1" t="s">
        <v>1334</v>
      </c>
      <c r="L14" s="1" t="s">
        <v>1400</v>
      </c>
      <c r="M14" s="1">
        <v>-110.0</v>
      </c>
      <c r="N14" s="1">
        <v>38.5</v>
      </c>
    </row>
    <row r="15">
      <c r="A15" s="1" t="s">
        <v>1327</v>
      </c>
      <c r="B15" s="1" t="s">
        <v>1305</v>
      </c>
      <c r="C15" s="1" t="s">
        <v>1306</v>
      </c>
      <c r="D15" s="1" t="s">
        <v>1328</v>
      </c>
      <c r="E15" s="1" t="s">
        <v>463</v>
      </c>
      <c r="F15" s="1" t="s">
        <v>474</v>
      </c>
      <c r="G15" s="1" t="s">
        <v>1338</v>
      </c>
      <c r="H15" s="1" t="s">
        <v>1339</v>
      </c>
      <c r="I15" s="1" t="s">
        <v>1334</v>
      </c>
      <c r="J15" s="1" t="s">
        <v>1399</v>
      </c>
      <c r="K15" s="1" t="s">
        <v>1334</v>
      </c>
      <c r="L15" s="1" t="s">
        <v>1408</v>
      </c>
      <c r="M15" s="1">
        <v>-110.0</v>
      </c>
      <c r="N15" s="1">
        <v>38.5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</sheetData>
  <hyperlinks>
    <hyperlink r:id="rId1" ref="H11"/>
  </hyperlin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6" max="7" width="21.25"/>
  </cols>
  <sheetData>
    <row r="1">
      <c r="A1" t="str">
        <f t="array" ref="A1:E1">{'Mid Lines'!L1:M1,'Mid Lines'!O1:Q1}</f>
        <v>Home</v>
      </c>
      <c r="B1" t="s">
        <v>1462</v>
      </c>
      <c r="C1" t="s">
        <v>1463</v>
      </c>
      <c r="D1" t="s">
        <v>1464</v>
      </c>
      <c r="E1" t="s">
        <v>1465</v>
      </c>
      <c r="F1" s="1" t="s">
        <v>18</v>
      </c>
      <c r="G1" s="1" t="s">
        <v>1467</v>
      </c>
    </row>
    <row r="2">
      <c r="A2" t="str">
        <f>IFERROR(__xludf.DUMMYFUNCTION("{FILTER('Mid Lines'!L:M,'Mid Lines'!I:I),FILTER('Mid Lines'!O:P,'Mid Lines'!I:I)}"),"#N/A")</f>
        <v>#N/A</v>
      </c>
      <c r="B2" t="str">
        <f>IFERROR(__xludf.DUMMYFUNCTION("""COMPUTED_VALUE"""),"#N/A")</f>
        <v>#N/A</v>
      </c>
      <c r="E2" t="str">
        <f t="array" ref="E2:E82">iferror(vlookup(A2:A82,'Current Week'!$C:$F,4,0),"")</f>
        <v/>
      </c>
      <c r="F2" s="233" t="str">
        <f t="array" ref="F2:F82">iferror(vlookup(A2:A82,'Current Week'!$C:$G,5,0),"")</f>
        <v/>
      </c>
      <c r="G2" t="str">
        <f>if(A2="","",and(not(iserror(match(A2,Translation!$5:$5,0))),not(iserror(match(B2,Translation!$5:$5,0)))))</f>
        <v>#N/A</v>
      </c>
    </row>
    <row r="3">
      <c r="F3" s="233"/>
      <c r="G3" t="str">
        <f>if(A3="","",and(not(iserror(match(A3,Translation!$5:$5,0))),not(iserror(match(B3,Translation!$5:$5,0)))))</f>
        <v/>
      </c>
    </row>
    <row r="4">
      <c r="F4" s="233"/>
      <c r="G4" t="str">
        <f>if(A4="","",and(not(iserror(match(A4,Translation!$5:$5,0))),not(iserror(match(B4,Translation!$5:$5,0)))))</f>
        <v/>
      </c>
    </row>
    <row r="5">
      <c r="F5" s="233"/>
      <c r="G5" t="str">
        <f>if(A5="","",and(not(iserror(match(A5,Translation!$5:$5,0))),not(iserror(match(B5,Translation!$5:$5,0)))))</f>
        <v/>
      </c>
    </row>
    <row r="6">
      <c r="F6" s="233"/>
      <c r="G6" t="str">
        <f>if(A6="","",and(not(iserror(match(A6,Translation!$5:$5,0))),not(iserror(match(B6,Translation!$5:$5,0)))))</f>
        <v/>
      </c>
    </row>
    <row r="7">
      <c r="F7" s="233"/>
      <c r="G7" t="str">
        <f>if(A7="","",and(not(iserror(match(A7,Translation!$5:$5,0))),not(iserror(match(B7,Translation!$5:$5,0)))))</f>
        <v/>
      </c>
    </row>
    <row r="8">
      <c r="F8" s="233"/>
      <c r="G8" t="str">
        <f>if(A8="","",and(not(iserror(match(A8,Translation!$5:$5,0))),not(iserror(match(B8,Translation!$5:$5,0)))))</f>
        <v/>
      </c>
    </row>
    <row r="9">
      <c r="F9" s="233"/>
      <c r="G9" t="str">
        <f>if(A9="","",and(not(iserror(match(A9,Translation!$5:$5,0))),not(iserror(match(B9,Translation!$5:$5,0)))))</f>
        <v/>
      </c>
    </row>
    <row r="10">
      <c r="F10" s="233"/>
      <c r="G10" t="str">
        <f>if(A10="","",and(not(iserror(match(A10,Translation!$5:$5,0))),not(iserror(match(B10,Translation!$5:$5,0)))))</f>
        <v/>
      </c>
    </row>
    <row r="11">
      <c r="F11" s="233"/>
      <c r="G11" t="str">
        <f>if(A11="","",and(not(iserror(match(A11,Translation!$5:$5,0))),not(iserror(match(B11,Translation!$5:$5,0)))))</f>
        <v/>
      </c>
    </row>
    <row r="12">
      <c r="F12" s="233"/>
      <c r="G12" t="str">
        <f>if(A12="","",and(not(iserror(match(A12,Translation!$5:$5,0))),not(iserror(match(B12,Translation!$5:$5,0)))))</f>
        <v/>
      </c>
    </row>
    <row r="13">
      <c r="F13" s="233"/>
      <c r="G13" t="str">
        <f>if(A13="","",and(not(iserror(match(A13,Translation!$5:$5,0))),not(iserror(match(B13,Translation!$5:$5,0)))))</f>
        <v/>
      </c>
    </row>
    <row r="14">
      <c r="F14" s="233"/>
      <c r="G14" t="str">
        <f>if(A14="","",and(not(iserror(match(A14,Translation!$5:$5,0))),not(iserror(match(B14,Translation!$5:$5,0)))))</f>
        <v/>
      </c>
    </row>
    <row r="15">
      <c r="F15" s="233"/>
      <c r="G15" t="str">
        <f>if(A15="","",and(not(iserror(match(A15,Translation!$5:$5,0))),not(iserror(match(B15,Translation!$5:$5,0)))))</f>
        <v/>
      </c>
    </row>
    <row r="16">
      <c r="F16" s="233"/>
      <c r="G16" t="str">
        <f>if(A16="","",and(not(iserror(match(A16,Translation!$5:$5,0))),not(iserror(match(B16,Translation!$5:$5,0)))))</f>
        <v/>
      </c>
    </row>
    <row r="17">
      <c r="F17" s="233"/>
      <c r="G17" t="str">
        <f>if(A17="","",and(not(iserror(match(A17,Translation!$5:$5,0))),not(iserror(match(B17,Translation!$5:$5,0)))))</f>
        <v/>
      </c>
    </row>
    <row r="18">
      <c r="F18" s="233"/>
      <c r="G18" t="str">
        <f>if(A18="","",and(not(iserror(match(A18,Translation!$5:$5,0))),not(iserror(match(B18,Translation!$5:$5,0)))))</f>
        <v/>
      </c>
    </row>
    <row r="19">
      <c r="F19" s="233"/>
      <c r="G19" t="str">
        <f>if(A19="","",and(not(iserror(match(A19,Translation!$5:$5,0))),not(iserror(match(B19,Translation!$5:$5,0)))))</f>
        <v/>
      </c>
    </row>
    <row r="20">
      <c r="F20" s="233"/>
      <c r="G20" t="str">
        <f>if(A20="","",and(not(iserror(match(A20,Translation!$5:$5,0))),not(iserror(match(B20,Translation!$5:$5,0)))))</f>
        <v/>
      </c>
    </row>
    <row r="21">
      <c r="F21" s="233"/>
      <c r="G21" t="str">
        <f>if(A21="","",and(not(iserror(match(A21,Translation!$5:$5,0))),not(iserror(match(B21,Translation!$5:$5,0)))))</f>
        <v/>
      </c>
    </row>
    <row r="22">
      <c r="F22" s="233"/>
      <c r="G22" t="str">
        <f>if(A22="","",and(not(iserror(match(A22,Translation!$5:$5,0))),not(iserror(match(B22,Translation!$5:$5,0)))))</f>
        <v/>
      </c>
    </row>
    <row r="23">
      <c r="F23" s="233"/>
      <c r="G23" t="str">
        <f>if(A23="","",and(not(iserror(match(A23,Translation!$5:$5,0))),not(iserror(match(B23,Translation!$5:$5,0)))))</f>
        <v/>
      </c>
    </row>
    <row r="24">
      <c r="F24" s="233"/>
      <c r="G24" t="str">
        <f>if(A24="","",and(not(iserror(match(A24,Translation!$5:$5,0))),not(iserror(match(B24,Translation!$5:$5,0)))))</f>
        <v/>
      </c>
    </row>
    <row r="25">
      <c r="F25" s="233"/>
      <c r="G25" t="str">
        <f>if(A25="","",and(not(iserror(match(A25,Translation!$5:$5,0))),not(iserror(match(B25,Translation!$5:$5,0)))))</f>
        <v/>
      </c>
    </row>
    <row r="26">
      <c r="F26" s="233"/>
      <c r="G26" t="str">
        <f>if(A26="","",and(not(iserror(match(A26,Translation!$5:$5,0))),not(iserror(match(B26,Translation!$5:$5,0)))))</f>
        <v/>
      </c>
    </row>
    <row r="27">
      <c r="F27" s="233"/>
      <c r="G27" t="str">
        <f>if(A27="","",and(not(iserror(match(A27,Translation!$5:$5,0))),not(iserror(match(B27,Translation!$5:$5,0)))))</f>
        <v/>
      </c>
    </row>
    <row r="28">
      <c r="F28" s="233"/>
      <c r="G28" t="str">
        <f>if(A28="","",and(not(iserror(match(A28,Translation!$5:$5,0))),not(iserror(match(B28,Translation!$5:$5,0)))))</f>
        <v/>
      </c>
    </row>
    <row r="29">
      <c r="F29" s="233"/>
      <c r="G29" t="str">
        <f>if(A29="","",and(not(iserror(match(A29,Translation!$5:$5,0))),not(iserror(match(B29,Translation!$5:$5,0)))))</f>
        <v/>
      </c>
    </row>
    <row r="30">
      <c r="F30" s="233"/>
      <c r="G30" t="str">
        <f>if(A30="","",and(not(iserror(match(A30,Translation!$5:$5,0))),not(iserror(match(B30,Translation!$5:$5,0)))))</f>
        <v/>
      </c>
    </row>
    <row r="31">
      <c r="F31" s="233"/>
      <c r="G31" t="str">
        <f>if(A31="","",and(not(iserror(match(A31,Translation!$5:$5,0))),not(iserror(match(B31,Translation!$5:$5,0)))))</f>
        <v/>
      </c>
    </row>
    <row r="32">
      <c r="F32" s="233"/>
      <c r="G32" t="str">
        <f>if(A32="","",and(not(iserror(match(A32,Translation!$5:$5,0))),not(iserror(match(B32,Translation!$5:$5,0)))))</f>
        <v/>
      </c>
    </row>
    <row r="33">
      <c r="F33" s="233"/>
      <c r="G33" t="str">
        <f>if(A33="","",and(not(iserror(match(A33,Translation!$5:$5,0))),not(iserror(match(B33,Translation!$5:$5,0)))))</f>
        <v/>
      </c>
    </row>
    <row r="34">
      <c r="F34" s="233"/>
      <c r="G34" t="str">
        <f>if(A34="","",and(not(iserror(match(A34,Translation!$5:$5,0))),not(iserror(match(B34,Translation!$5:$5,0)))))</f>
        <v/>
      </c>
    </row>
    <row r="35">
      <c r="F35" s="233"/>
      <c r="G35" t="str">
        <f>if(A35="","",and(not(iserror(match(A35,Translation!$5:$5,0))),not(iserror(match(B35,Translation!$5:$5,0)))))</f>
        <v/>
      </c>
    </row>
    <row r="36">
      <c r="F36" s="233"/>
      <c r="G36" t="str">
        <f>if(A36="","",and(not(iserror(match(A36,Translation!$5:$5,0))),not(iserror(match(B36,Translation!$5:$5,0)))))</f>
        <v/>
      </c>
    </row>
    <row r="37">
      <c r="F37" s="233"/>
      <c r="G37" t="str">
        <f>if(A37="","",and(not(iserror(match(A37,Translation!$5:$5,0))),not(iserror(match(B37,Translation!$5:$5,0)))))</f>
        <v/>
      </c>
    </row>
    <row r="38">
      <c r="F38" s="233"/>
      <c r="G38" t="str">
        <f>if(A38="","",and(not(iserror(match(A38,Translation!$5:$5,0))),not(iserror(match(B38,Translation!$5:$5,0)))))</f>
        <v/>
      </c>
    </row>
    <row r="39">
      <c r="F39" s="233"/>
      <c r="G39" t="str">
        <f>if(A39="","",and(not(iserror(match(A39,Translation!$5:$5,0))),not(iserror(match(B39,Translation!$5:$5,0)))))</f>
        <v/>
      </c>
    </row>
    <row r="40">
      <c r="F40" s="233"/>
      <c r="G40" t="str">
        <f>if(A40="","",and(not(iserror(match(A40,Translation!$5:$5,0))),not(iserror(match(B40,Translation!$5:$5,0)))))</f>
        <v/>
      </c>
    </row>
    <row r="41">
      <c r="F41" s="233"/>
      <c r="G41" t="str">
        <f>if(A41="","",and(not(iserror(match(A41,Translation!$5:$5,0))),not(iserror(match(B41,Translation!$5:$5,0)))))</f>
        <v/>
      </c>
    </row>
    <row r="42">
      <c r="F42" s="233"/>
      <c r="G42" t="str">
        <f>if(A42="","",and(not(iserror(match(A42,Translation!$5:$5,0))),not(iserror(match(B42,Translation!$5:$5,0)))))</f>
        <v/>
      </c>
    </row>
    <row r="43">
      <c r="F43" s="233"/>
      <c r="G43" t="str">
        <f>if(A43="","",and(not(iserror(match(A43,Translation!$5:$5,0))),not(iserror(match(B43,Translation!$5:$5,0)))))</f>
        <v/>
      </c>
    </row>
    <row r="44">
      <c r="F44" s="233"/>
      <c r="G44" t="str">
        <f>if(A44="","",and(not(iserror(match(A44,Translation!$5:$5,0))),not(iserror(match(B44,Translation!$5:$5,0)))))</f>
        <v/>
      </c>
    </row>
    <row r="45">
      <c r="F45" s="233"/>
      <c r="G45" t="str">
        <f>if(A45="","",and(not(iserror(match(A45,Translation!$5:$5,0))),not(iserror(match(B45,Translation!$5:$5,0)))))</f>
        <v/>
      </c>
    </row>
    <row r="46">
      <c r="F46" s="233"/>
      <c r="G46" t="str">
        <f>if(A46="","",and(not(iserror(match(A46,Translation!$5:$5,0))),not(iserror(match(B46,Translation!$5:$5,0)))))</f>
        <v/>
      </c>
    </row>
    <row r="47">
      <c r="F47" s="233"/>
      <c r="G47" t="str">
        <f>if(A47="","",and(not(iserror(match(A47,Translation!$5:$5,0))),not(iserror(match(B47,Translation!$5:$5,0)))))</f>
        <v/>
      </c>
    </row>
    <row r="48">
      <c r="F48" s="233"/>
      <c r="G48" t="str">
        <f>if(A48="","",and(not(iserror(match(A48,Translation!$5:$5,0))),not(iserror(match(B48,Translation!$5:$5,0)))))</f>
        <v/>
      </c>
    </row>
    <row r="49">
      <c r="F49" s="233"/>
      <c r="G49" t="str">
        <f>if(A49="","",and(not(iserror(match(A49,Translation!$5:$5,0))),not(iserror(match(B49,Translation!$5:$5,0)))))</f>
        <v/>
      </c>
    </row>
    <row r="50">
      <c r="F50" s="233"/>
      <c r="G50" t="str">
        <f>if(A50="","",and(not(iserror(match(A50,Translation!$5:$5,0))),not(iserror(match(B50,Translation!$5:$5,0)))))</f>
        <v/>
      </c>
    </row>
    <row r="51">
      <c r="F51" s="233"/>
      <c r="G51" t="str">
        <f>if(A51="","",and(not(iserror(match(A51,Translation!$5:$5,0))),not(iserror(match(B51,Translation!$5:$5,0)))))</f>
        <v/>
      </c>
    </row>
    <row r="52">
      <c r="F52" s="233"/>
      <c r="G52" t="str">
        <f>if(A52="","",and(not(iserror(match(A52,Translation!$5:$5,0))),not(iserror(match(B52,Translation!$5:$5,0)))))</f>
        <v/>
      </c>
    </row>
    <row r="53">
      <c r="F53" s="233"/>
      <c r="G53" t="str">
        <f>if(A53="","",and(not(iserror(match(A53,Translation!$5:$5,0))),not(iserror(match(B53,Translation!$5:$5,0)))))</f>
        <v/>
      </c>
    </row>
    <row r="54">
      <c r="F54" s="233"/>
      <c r="G54" t="str">
        <f>if(A54="","",and(not(iserror(match(A54,Translation!$5:$5,0))),not(iserror(match(B54,Translation!$5:$5,0)))))</f>
        <v/>
      </c>
    </row>
    <row r="55">
      <c r="F55" s="233"/>
      <c r="G55" t="str">
        <f>if(A55="","",and(not(iserror(match(A55,Translation!$5:$5,0))),not(iserror(match(B55,Translation!$5:$5,0)))))</f>
        <v/>
      </c>
    </row>
    <row r="56">
      <c r="F56" s="233"/>
      <c r="G56" t="str">
        <f>if(A56="","",and(not(iserror(match(A56,Translation!$5:$5,0))),not(iserror(match(B56,Translation!$5:$5,0)))))</f>
        <v/>
      </c>
    </row>
    <row r="57">
      <c r="F57" s="233"/>
      <c r="G57" t="str">
        <f>if(A57="","",and(not(iserror(match(A57,Translation!$5:$5,0))),not(iserror(match(B57,Translation!$5:$5,0)))))</f>
        <v/>
      </c>
    </row>
    <row r="58">
      <c r="F58" s="233"/>
      <c r="G58" t="str">
        <f>if(A58="","",and(not(iserror(match(A58,Translation!$5:$5,0))),not(iserror(match(B58,Translation!$5:$5,0)))))</f>
        <v/>
      </c>
    </row>
    <row r="59">
      <c r="F59" s="233"/>
      <c r="G59" t="str">
        <f>if(A59="","",and(not(iserror(match(A59,Translation!$5:$5,0))),not(iserror(match(B59,Translation!$5:$5,0)))))</f>
        <v/>
      </c>
    </row>
    <row r="60">
      <c r="F60" s="233"/>
      <c r="G60" t="str">
        <f>if(A60="","",and(not(iserror(match(A60,Translation!$5:$5,0))),not(iserror(match(B60,Translation!$5:$5,0)))))</f>
        <v/>
      </c>
    </row>
    <row r="61">
      <c r="F61" s="233"/>
      <c r="G61" t="str">
        <f>if(A61="","",and(not(iserror(match(A61,Translation!$5:$5,0))),not(iserror(match(B61,Translation!$5:$5,0)))))</f>
        <v/>
      </c>
    </row>
    <row r="62">
      <c r="F62" s="233"/>
      <c r="G62" t="str">
        <f>if(A62="","",and(not(iserror(match(A62,Translation!$5:$5,0))),not(iserror(match(B62,Translation!$5:$5,0)))))</f>
        <v/>
      </c>
    </row>
    <row r="63">
      <c r="F63" s="233"/>
      <c r="G63" t="str">
        <f>if(A63="","",and(not(iserror(match(A63,Translation!$5:$5,0))),not(iserror(match(B63,Translation!$5:$5,0)))))</f>
        <v/>
      </c>
    </row>
    <row r="64">
      <c r="F64" s="233"/>
      <c r="G64" t="str">
        <f>if(A64="","",and(not(iserror(match(A64,Translation!$5:$5,0))),not(iserror(match(B64,Translation!$5:$5,0)))))</f>
        <v/>
      </c>
    </row>
    <row r="65">
      <c r="F65" s="233"/>
      <c r="G65" t="str">
        <f>if(A65="","",and(not(iserror(match(A65,Translation!$5:$5,0))),not(iserror(match(B65,Translation!$5:$5,0)))))</f>
        <v/>
      </c>
    </row>
    <row r="66">
      <c r="F66" s="233"/>
      <c r="G66" t="str">
        <f>if(A66="","",and(not(iserror(match(A66,Translation!$5:$5,0))),not(iserror(match(B66,Translation!$5:$5,0)))))</f>
        <v/>
      </c>
    </row>
    <row r="67">
      <c r="F67" s="233"/>
      <c r="G67" t="str">
        <f>if(A67="","",and(not(iserror(match(A67,Translation!$5:$5,0))),not(iserror(match(B67,Translation!$5:$5,0)))))</f>
        <v/>
      </c>
    </row>
    <row r="68">
      <c r="F68" s="233"/>
      <c r="G68" t="str">
        <f>if(A68="","",and(not(iserror(match(A68,Translation!$5:$5,0))),not(iserror(match(B68,Translation!$5:$5,0)))))</f>
        <v/>
      </c>
    </row>
    <row r="69">
      <c r="F69" s="233"/>
      <c r="G69" t="str">
        <f>if(A69="","",and(not(iserror(match(A69,Translation!$5:$5,0))),not(iserror(match(B69,Translation!$5:$5,0)))))</f>
        <v/>
      </c>
    </row>
    <row r="70">
      <c r="F70" s="233"/>
      <c r="G70" t="str">
        <f>if(A70="","",and(not(iserror(match(A70,Translation!$5:$5,0))),not(iserror(match(B70,Translation!$5:$5,0)))))</f>
        <v/>
      </c>
    </row>
    <row r="71">
      <c r="F71" s="233"/>
      <c r="G71" t="str">
        <f>if(A71="","",and(not(iserror(match(A71,Translation!$5:$5,0))),not(iserror(match(B71,Translation!$5:$5,0)))))</f>
        <v/>
      </c>
    </row>
    <row r="72">
      <c r="F72" s="233"/>
      <c r="G72" t="str">
        <f>if(A72="","",and(not(iserror(match(A72,Translation!$5:$5,0))),not(iserror(match(B72,Translation!$5:$5,0)))))</f>
        <v/>
      </c>
    </row>
    <row r="73">
      <c r="F73" s="233"/>
      <c r="G73" t="str">
        <f>if(A73="","",and(not(iserror(match(A73,Translation!$5:$5,0))),not(iserror(match(B73,Translation!$5:$5,0)))))</f>
        <v/>
      </c>
    </row>
    <row r="74">
      <c r="F74" s="233"/>
      <c r="G74" t="str">
        <f>if(A74="","",and(not(iserror(match(A74,Translation!$5:$5,0))),not(iserror(match(B74,Translation!$5:$5,0)))))</f>
        <v/>
      </c>
    </row>
    <row r="75">
      <c r="F75" s="233"/>
      <c r="G75" t="str">
        <f>if(A75="","",and(not(iserror(match(A75,Translation!$5:$5,0))),not(iserror(match(B75,Translation!$5:$5,0)))))</f>
        <v/>
      </c>
    </row>
    <row r="76">
      <c r="F76" s="233"/>
      <c r="G76" t="str">
        <f>if(A76="","",and(not(iserror(match(A76,Translation!$5:$5,0))),not(iserror(match(B76,Translation!$5:$5,0)))))</f>
        <v/>
      </c>
    </row>
    <row r="77">
      <c r="F77" s="233"/>
      <c r="G77" t="str">
        <f>if(A77="","",and(not(iserror(match(A77,Translation!$5:$5,0))),not(iserror(match(B77,Translation!$5:$5,0)))))</f>
        <v/>
      </c>
    </row>
    <row r="78">
      <c r="F78" s="233"/>
      <c r="G78" t="str">
        <f>if(A78="","",and(not(iserror(match(A78,Translation!$5:$5,0))),not(iserror(match(B78,Translation!$5:$5,0)))))</f>
        <v/>
      </c>
    </row>
    <row r="79">
      <c r="F79" s="233"/>
      <c r="G79" t="str">
        <f>if(A79="","",and(not(iserror(match(A79,Translation!$5:$5,0))),not(iserror(match(B79,Translation!$5:$5,0)))))</f>
        <v/>
      </c>
    </row>
    <row r="80">
      <c r="F80" s="233"/>
      <c r="G80" t="str">
        <f>if(A80="","",and(not(iserror(match(A80,Translation!$5:$5,0))),not(iserror(match(B80,Translation!$5:$5,0)))))</f>
        <v/>
      </c>
    </row>
    <row r="81">
      <c r="F81" s="233"/>
      <c r="G81" t="str">
        <f>if(A81="","",and(not(iserror(match(A81,Translation!$5:$5,0))),not(iserror(match(B81,Translation!$5:$5,0)))))</f>
        <v/>
      </c>
    </row>
    <row r="82">
      <c r="F82" s="233"/>
      <c r="G82" t="str">
        <f>if(A82="","",and(not(iserror(match(A82,Translation!$5:$5,0))),not(iserror(match(B82,Translation!$5:$5,0)))))</f>
        <v/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K1">transpose(unique(offset('Teams-Conference'!B3:B23,0,(10-10)*2)))</f>
        <v>AAC</v>
      </c>
      <c r="B1" t="s">
        <v>317</v>
      </c>
      <c r="C1" t="s">
        <v>471</v>
      </c>
      <c r="D1" t="s">
        <v>407</v>
      </c>
      <c r="E1" t="s">
        <v>535</v>
      </c>
      <c r="F1" t="s">
        <v>530</v>
      </c>
      <c r="G1" t="s">
        <v>525</v>
      </c>
      <c r="H1" t="s">
        <v>680</v>
      </c>
      <c r="I1" t="s">
        <v>556</v>
      </c>
      <c r="J1" t="s">
        <v>441</v>
      </c>
      <c r="K1" t="s">
        <v>725</v>
      </c>
    </row>
    <row r="2">
      <c r="A2" t="str">
        <f>IFERROR(__xludf.DUMMYFUNCTION("filter(offset('Teams-Conference'!$A:$A,0,(10-10)*2),offset('Teams-Conference'!$B:$B,0,(10-10)*2)=A1)"),"Army")</f>
        <v>Army</v>
      </c>
      <c r="B2" t="str">
        <f>IFERROR(__xludf.DUMMYFUNCTION("filter(offset('Teams-Conference'!$A:$A,0,(10-10)*2),offset('Teams-Conference'!$B:$B,0,(10-10)*2)=B1)"),"Boston College")</f>
        <v>Boston College</v>
      </c>
      <c r="C2" t="str">
        <f>IFERROR(__xludf.DUMMYFUNCTION("filter(offset('Teams-Conference'!$A:$A,0,(10-10)*2),offset('Teams-Conference'!$B:$B,0,(10-10)*2)=C1)"),"Arizona")</f>
        <v>Arizona</v>
      </c>
      <c r="D2" t="str">
        <f>IFERROR(__xludf.DUMMYFUNCTION("filter(offset('Teams-Conference'!$A:$A,0,(10-10)*2),offset('Teams-Conference'!$B:$B,0,(10-10)*2)=D1)"),"Illinois")</f>
        <v>Illinois</v>
      </c>
      <c r="E2" t="str">
        <f>IFERROR(__xludf.DUMMYFUNCTION("filter(offset('Teams-Conference'!$A:$A,0,(10-10)*2),offset('Teams-Conference'!$B:$B,0,(10-10)*2)=E1)"),"Delaware")</f>
        <v>Delaware</v>
      </c>
      <c r="F2" t="str">
        <f>IFERROR(__xludf.DUMMYFUNCTION("filter(offset('Teams-Conference'!$A:$A,0,(10-10)*2),offset('Teams-Conference'!$B:$B,0,(10-10)*2)=F1)"),"Akron")</f>
        <v>Akron</v>
      </c>
      <c r="G2" t="str">
        <f>IFERROR(__xludf.DUMMYFUNCTION("filter(offset('Teams-Conference'!$A:$A,0,(10-10)*2),offset('Teams-Conference'!$B:$B,0,(10-10)*2)=G1)"),"Air Force")</f>
        <v>Air Force</v>
      </c>
      <c r="H2" t="str">
        <f>IFERROR(__xludf.DUMMYFUNCTION("filter(offset('Teams-Conference'!$A:$A,0,(10-10)*2),offset('Teams-Conference'!$B:$B,0,(10-10)*2)=H1)"),"Oregon State")</f>
        <v>Oregon State</v>
      </c>
      <c r="I2" t="str">
        <f>IFERROR(__xludf.DUMMYFUNCTION("filter(offset('Teams-Conference'!$A:$A,0,(10-10)*2),offset('Teams-Conference'!$B:$B,0,(10-10)*2)=I1)"),"Alabama")</f>
        <v>Alabama</v>
      </c>
      <c r="J2" t="str">
        <f>IFERROR(__xludf.DUMMYFUNCTION("filter(offset('Teams-Conference'!$A:$A,0,(10-10)*2),offset('Teams-Conference'!$B:$B,0,(10-10)*2)=J1)"),"Appalachian State")</f>
        <v>Appalachian State</v>
      </c>
      <c r="K2" t="str">
        <f>IFERROR(__xludf.DUMMYFUNCTION("filter(offset('Teams-Conference'!$A:$A,0,(10-10)*2),offset('Teams-Conference'!$B:$B,0,(10-10)*2)=K1)"),"Notre Dame")</f>
        <v>Notre Dame</v>
      </c>
    </row>
    <row r="3">
      <c r="A3" t="str">
        <f>IFERROR(__xludf.DUMMYFUNCTION("""COMPUTED_VALUE"""),"Charlotte")</f>
        <v>Charlotte</v>
      </c>
      <c r="B3" t="str">
        <f>IFERROR(__xludf.DUMMYFUNCTION("""COMPUTED_VALUE"""),"California")</f>
        <v>California</v>
      </c>
      <c r="C3" t="str">
        <f>IFERROR(__xludf.DUMMYFUNCTION("""COMPUTED_VALUE"""),"Arizona State")</f>
        <v>Arizona State</v>
      </c>
      <c r="D3" t="str">
        <f>IFERROR(__xludf.DUMMYFUNCTION("""COMPUTED_VALUE"""),"Indiana")</f>
        <v>Indiana</v>
      </c>
      <c r="E3" t="str">
        <f>IFERROR(__xludf.DUMMYFUNCTION("""COMPUTED_VALUE"""),"Florida Intl")</f>
        <v>Florida Intl</v>
      </c>
      <c r="F3" t="str">
        <f>IFERROR(__xludf.DUMMYFUNCTION("""COMPUTED_VALUE"""),"Ball State")</f>
        <v>Ball State</v>
      </c>
      <c r="G3" t="str">
        <f>IFERROR(__xludf.DUMMYFUNCTION("""COMPUTED_VALUE"""),"Boise State")</f>
        <v>Boise State</v>
      </c>
      <c r="H3" t="str">
        <f>IFERROR(__xludf.DUMMYFUNCTION("""COMPUTED_VALUE"""),"Washington State")</f>
        <v>Washington State</v>
      </c>
      <c r="I3" t="str">
        <f>IFERROR(__xludf.DUMMYFUNCTION("""COMPUTED_VALUE"""),"Arkansas")</f>
        <v>Arkansas</v>
      </c>
      <c r="J3" t="str">
        <f>IFERROR(__xludf.DUMMYFUNCTION("""COMPUTED_VALUE"""),"Arkansas State")</f>
        <v>Arkansas State</v>
      </c>
      <c r="K3" t="str">
        <f>IFERROR(__xludf.DUMMYFUNCTION("""COMPUTED_VALUE"""),"UConn")</f>
        <v>UConn</v>
      </c>
    </row>
    <row r="4">
      <c r="A4" t="str">
        <f>IFERROR(__xludf.DUMMYFUNCTION("""COMPUTED_VALUE"""),"East Carolina")</f>
        <v>East Carolina</v>
      </c>
      <c r="B4" t="str">
        <f>IFERROR(__xludf.DUMMYFUNCTION("""COMPUTED_VALUE"""),"Clemson")</f>
        <v>Clemson</v>
      </c>
      <c r="C4" t="str">
        <f>IFERROR(__xludf.DUMMYFUNCTION("""COMPUTED_VALUE"""),"Baylor")</f>
        <v>Baylor</v>
      </c>
      <c r="D4" t="str">
        <f>IFERROR(__xludf.DUMMYFUNCTION("""COMPUTED_VALUE"""),"Iowa")</f>
        <v>Iowa</v>
      </c>
      <c r="E4" t="str">
        <f>IFERROR(__xludf.DUMMYFUNCTION("""COMPUTED_VALUE"""),"Jacksonville State")</f>
        <v>Jacksonville State</v>
      </c>
      <c r="F4" t="str">
        <f>IFERROR(__xludf.DUMMYFUNCTION("""COMPUTED_VALUE"""),"Bowling Green")</f>
        <v>Bowling Green</v>
      </c>
      <c r="G4" t="str">
        <f>IFERROR(__xludf.DUMMYFUNCTION("""COMPUTED_VALUE"""),"Colorado State")</f>
        <v>Colorado State</v>
      </c>
      <c r="I4" t="str">
        <f>IFERROR(__xludf.DUMMYFUNCTION("""COMPUTED_VALUE"""),"Auburn")</f>
        <v>Auburn</v>
      </c>
      <c r="J4" t="str">
        <f>IFERROR(__xludf.DUMMYFUNCTION("""COMPUTED_VALUE"""),"Coastal Carolina")</f>
        <v>Coastal Carolina</v>
      </c>
    </row>
    <row r="5">
      <c r="A5" t="str">
        <f>IFERROR(__xludf.DUMMYFUNCTION("""COMPUTED_VALUE"""),"Florida Atlantic")</f>
        <v>Florida Atlantic</v>
      </c>
      <c r="B5" t="str">
        <f>IFERROR(__xludf.DUMMYFUNCTION("""COMPUTED_VALUE"""),"Duke")</f>
        <v>Duke</v>
      </c>
      <c r="C5" t="str">
        <f>IFERROR(__xludf.DUMMYFUNCTION("""COMPUTED_VALUE"""),"BYU")</f>
        <v>BYU</v>
      </c>
      <c r="D5" t="str">
        <f>IFERROR(__xludf.DUMMYFUNCTION("""COMPUTED_VALUE"""),"Maryland")</f>
        <v>Maryland</v>
      </c>
      <c r="E5" t="str">
        <f>IFERROR(__xludf.DUMMYFUNCTION("""COMPUTED_VALUE"""),"Kennesaw State")</f>
        <v>Kennesaw State</v>
      </c>
      <c r="F5" t="str">
        <f>IFERROR(__xludf.DUMMYFUNCTION("""COMPUTED_VALUE"""),"Buffalo")</f>
        <v>Buffalo</v>
      </c>
      <c r="G5" t="str">
        <f>IFERROR(__xludf.DUMMYFUNCTION("""COMPUTED_VALUE"""),"Fresno State")</f>
        <v>Fresno State</v>
      </c>
      <c r="I5" t="str">
        <f>IFERROR(__xludf.DUMMYFUNCTION("""COMPUTED_VALUE"""),"Florida")</f>
        <v>Florida</v>
      </c>
      <c r="J5" t="str">
        <f>IFERROR(__xludf.DUMMYFUNCTION("""COMPUTED_VALUE"""),"Georgia Southern")</f>
        <v>Georgia Southern</v>
      </c>
    </row>
    <row r="6">
      <c r="A6" t="str">
        <f>IFERROR(__xludf.DUMMYFUNCTION("""COMPUTED_VALUE"""),"Memphis")</f>
        <v>Memphis</v>
      </c>
      <c r="B6" t="str">
        <f>IFERROR(__xludf.DUMMYFUNCTION("""COMPUTED_VALUE"""),"Florida State")</f>
        <v>Florida State</v>
      </c>
      <c r="C6" t="str">
        <f>IFERROR(__xludf.DUMMYFUNCTION("""COMPUTED_VALUE"""),"Cincinnati")</f>
        <v>Cincinnati</v>
      </c>
      <c r="D6" t="str">
        <f>IFERROR(__xludf.DUMMYFUNCTION("""COMPUTED_VALUE"""),"Michigan")</f>
        <v>Michigan</v>
      </c>
      <c r="E6" t="str">
        <f>IFERROR(__xludf.DUMMYFUNCTION("""COMPUTED_VALUE"""),"Liberty")</f>
        <v>Liberty</v>
      </c>
      <c r="F6" t="str">
        <f>IFERROR(__xludf.DUMMYFUNCTION("""COMPUTED_VALUE"""),"Central Michigan")</f>
        <v>Central Michigan</v>
      </c>
      <c r="G6" t="str">
        <f>IFERROR(__xludf.DUMMYFUNCTION("""COMPUTED_VALUE"""),"Hawaii")</f>
        <v>Hawaii</v>
      </c>
      <c r="I6" t="str">
        <f>IFERROR(__xludf.DUMMYFUNCTION("""COMPUTED_VALUE"""),"Georgia")</f>
        <v>Georgia</v>
      </c>
      <c r="J6" t="str">
        <f>IFERROR(__xludf.DUMMYFUNCTION("""COMPUTED_VALUE"""),"Georgia State")</f>
        <v>Georgia State</v>
      </c>
    </row>
    <row r="7">
      <c r="A7" t="str">
        <f>IFERROR(__xludf.DUMMYFUNCTION("""COMPUTED_VALUE"""),"Navy")</f>
        <v>Navy</v>
      </c>
      <c r="B7" t="str">
        <f>IFERROR(__xludf.DUMMYFUNCTION("""COMPUTED_VALUE"""),"Georgia Tech")</f>
        <v>Georgia Tech</v>
      </c>
      <c r="C7" t="str">
        <f>IFERROR(__xludf.DUMMYFUNCTION("""COMPUTED_VALUE"""),"Colorado")</f>
        <v>Colorado</v>
      </c>
      <c r="D7" t="str">
        <f>IFERROR(__xludf.DUMMYFUNCTION("""COMPUTED_VALUE"""),"Michigan State")</f>
        <v>Michigan State</v>
      </c>
      <c r="E7" t="str">
        <f>IFERROR(__xludf.DUMMYFUNCTION("""COMPUTED_VALUE"""),"Louisiana Tech")</f>
        <v>Louisiana Tech</v>
      </c>
      <c r="F7" t="str">
        <f>IFERROR(__xludf.DUMMYFUNCTION("""COMPUTED_VALUE"""),"EMU")</f>
        <v>EMU</v>
      </c>
      <c r="G7" t="str">
        <f>IFERROR(__xludf.DUMMYFUNCTION("""COMPUTED_VALUE"""),"Nevada")</f>
        <v>Nevada</v>
      </c>
      <c r="I7" t="str">
        <f>IFERROR(__xludf.DUMMYFUNCTION("""COMPUTED_VALUE"""),"Kentucky")</f>
        <v>Kentucky</v>
      </c>
      <c r="J7" t="str">
        <f>IFERROR(__xludf.DUMMYFUNCTION("""COMPUTED_VALUE"""),"James Madison")</f>
        <v>James Madison</v>
      </c>
    </row>
    <row r="8">
      <c r="A8" t="str">
        <f>IFERROR(__xludf.DUMMYFUNCTION("""COMPUTED_VALUE"""),"North Texas")</f>
        <v>North Texas</v>
      </c>
      <c r="B8" t="str">
        <f>IFERROR(__xludf.DUMMYFUNCTION("""COMPUTED_VALUE"""),"Louisville")</f>
        <v>Louisville</v>
      </c>
      <c r="C8" t="str">
        <f>IFERROR(__xludf.DUMMYFUNCTION("""COMPUTED_VALUE"""),"Houston")</f>
        <v>Houston</v>
      </c>
      <c r="D8" t="str">
        <f>IFERROR(__xludf.DUMMYFUNCTION("""COMPUTED_VALUE"""),"Minnesota")</f>
        <v>Minnesota</v>
      </c>
      <c r="E8" t="str">
        <f>IFERROR(__xludf.DUMMYFUNCTION("""COMPUTED_VALUE"""),"Middle Tennessee")</f>
        <v>Middle Tennessee</v>
      </c>
      <c r="F8" t="str">
        <f>IFERROR(__xludf.DUMMYFUNCTION("""COMPUTED_VALUE"""),"Kent State")</f>
        <v>Kent State</v>
      </c>
      <c r="G8" t="str">
        <f>IFERROR(__xludf.DUMMYFUNCTION("""COMPUTED_VALUE"""),"New Mexico")</f>
        <v>New Mexico</v>
      </c>
      <c r="I8" t="str">
        <f>IFERROR(__xludf.DUMMYFUNCTION("""COMPUTED_VALUE"""),"LSU")</f>
        <v>LSU</v>
      </c>
      <c r="J8" t="str">
        <f>IFERROR(__xludf.DUMMYFUNCTION("""COMPUTED_VALUE"""),"Marshall")</f>
        <v>Marshall</v>
      </c>
    </row>
    <row r="9">
      <c r="A9" t="str">
        <f>IFERROR(__xludf.DUMMYFUNCTION("""COMPUTED_VALUE"""),"Rice")</f>
        <v>Rice</v>
      </c>
      <c r="B9" t="str">
        <f>IFERROR(__xludf.DUMMYFUNCTION("""COMPUTED_VALUE"""),"Miami")</f>
        <v>Miami</v>
      </c>
      <c r="C9" t="str">
        <f>IFERROR(__xludf.DUMMYFUNCTION("""COMPUTED_VALUE"""),"Iowa State")</f>
        <v>Iowa State</v>
      </c>
      <c r="D9" t="str">
        <f>IFERROR(__xludf.DUMMYFUNCTION("""COMPUTED_VALUE"""),"Nebraska")</f>
        <v>Nebraska</v>
      </c>
      <c r="E9" t="str">
        <f>IFERROR(__xludf.DUMMYFUNCTION("""COMPUTED_VALUE"""),"Missouri State")</f>
        <v>Missouri State</v>
      </c>
      <c r="F9" t="str">
        <f>IFERROR(__xludf.DUMMYFUNCTION("""COMPUTED_VALUE"""),"Miami-OH")</f>
        <v>Miami-OH</v>
      </c>
      <c r="G9" t="str">
        <f>IFERROR(__xludf.DUMMYFUNCTION("""COMPUTED_VALUE"""),"San Diego State")</f>
        <v>San Diego State</v>
      </c>
      <c r="I9" t="str">
        <f>IFERROR(__xludf.DUMMYFUNCTION("""COMPUTED_VALUE"""),"Mississippi State")</f>
        <v>Mississippi State</v>
      </c>
      <c r="J9" t="str">
        <f>IFERROR(__xludf.DUMMYFUNCTION("""COMPUTED_VALUE"""),"Old Dominion")</f>
        <v>Old Dominion</v>
      </c>
    </row>
    <row r="10">
      <c r="A10" t="str">
        <f>IFERROR(__xludf.DUMMYFUNCTION("""COMPUTED_VALUE"""),"South Florida")</f>
        <v>South Florida</v>
      </c>
      <c r="B10" t="str">
        <f>IFERROR(__xludf.DUMMYFUNCTION("""COMPUTED_VALUE"""),"NC State")</f>
        <v>NC State</v>
      </c>
      <c r="C10" t="str">
        <f>IFERROR(__xludf.DUMMYFUNCTION("""COMPUTED_VALUE"""),"Kansas")</f>
        <v>Kansas</v>
      </c>
      <c r="D10" t="str">
        <f>IFERROR(__xludf.DUMMYFUNCTION("""COMPUTED_VALUE"""),"Northwestern")</f>
        <v>Northwestern</v>
      </c>
      <c r="E10" t="str">
        <f>IFERROR(__xludf.DUMMYFUNCTION("""COMPUTED_VALUE"""),"New Mexico State")</f>
        <v>New Mexico State</v>
      </c>
      <c r="F10" t="str">
        <f>IFERROR(__xludf.DUMMYFUNCTION("""COMPUTED_VALUE"""),"Northern Illinois")</f>
        <v>Northern Illinois</v>
      </c>
      <c r="G10" t="str">
        <f>IFERROR(__xludf.DUMMYFUNCTION("""COMPUTED_VALUE"""),"San José State")</f>
        <v>San José State</v>
      </c>
      <c r="I10" t="str">
        <f>IFERROR(__xludf.DUMMYFUNCTION("""COMPUTED_VALUE"""),"Missouri")</f>
        <v>Missouri</v>
      </c>
      <c r="J10" t="str">
        <f>IFERROR(__xludf.DUMMYFUNCTION("""COMPUTED_VALUE"""),"South Alabama")</f>
        <v>South Alabama</v>
      </c>
    </row>
    <row r="11">
      <c r="A11" t="str">
        <f>IFERROR(__xludf.DUMMYFUNCTION("""COMPUTED_VALUE"""),"Temple")</f>
        <v>Temple</v>
      </c>
      <c r="B11" t="str">
        <f>IFERROR(__xludf.DUMMYFUNCTION("""COMPUTED_VALUE"""),"North Carolina")</f>
        <v>North Carolina</v>
      </c>
      <c r="C11" t="str">
        <f>IFERROR(__xludf.DUMMYFUNCTION("""COMPUTED_VALUE"""),"Kansas State")</f>
        <v>Kansas State</v>
      </c>
      <c r="D11" t="str">
        <f>IFERROR(__xludf.DUMMYFUNCTION("""COMPUTED_VALUE"""),"Ohio State")</f>
        <v>Ohio State</v>
      </c>
      <c r="E11" t="str">
        <f>IFERROR(__xludf.DUMMYFUNCTION("""COMPUTED_VALUE"""),"Sam Houston")</f>
        <v>Sam Houston</v>
      </c>
      <c r="F11" t="str">
        <f>IFERROR(__xludf.DUMMYFUNCTION("""COMPUTED_VALUE"""),"Ohio")</f>
        <v>Ohio</v>
      </c>
      <c r="G11" t="str">
        <f>IFERROR(__xludf.DUMMYFUNCTION("""COMPUTED_VALUE"""),"UNLV")</f>
        <v>UNLV</v>
      </c>
      <c r="I11" t="str">
        <f>IFERROR(__xludf.DUMMYFUNCTION("""COMPUTED_VALUE"""),"Oklahoma")</f>
        <v>Oklahoma</v>
      </c>
      <c r="J11" t="str">
        <f>IFERROR(__xludf.DUMMYFUNCTION("""COMPUTED_VALUE"""),"Southern Mississippi")</f>
        <v>Southern Mississippi</v>
      </c>
    </row>
    <row r="12">
      <c r="A12" t="str">
        <f>IFERROR(__xludf.DUMMYFUNCTION("""COMPUTED_VALUE"""),"Tulane")</f>
        <v>Tulane</v>
      </c>
      <c r="B12" t="str">
        <f>IFERROR(__xludf.DUMMYFUNCTION("""COMPUTED_VALUE"""),"Pittsburgh")</f>
        <v>Pittsburgh</v>
      </c>
      <c r="C12" t="str">
        <f>IFERROR(__xludf.DUMMYFUNCTION("""COMPUTED_VALUE"""),"Oklahoma State")</f>
        <v>Oklahoma State</v>
      </c>
      <c r="D12" t="str">
        <f>IFERROR(__xludf.DUMMYFUNCTION("""COMPUTED_VALUE"""),"Oregon")</f>
        <v>Oregon</v>
      </c>
      <c r="E12" t="str">
        <f>IFERROR(__xludf.DUMMYFUNCTION("""COMPUTED_VALUE"""),"UTEP")</f>
        <v>UTEP</v>
      </c>
      <c r="F12" t="str">
        <f>IFERROR(__xludf.DUMMYFUNCTION("""COMPUTED_VALUE"""),"Toledo")</f>
        <v>Toledo</v>
      </c>
      <c r="G12" t="str">
        <f>IFERROR(__xludf.DUMMYFUNCTION("""COMPUTED_VALUE"""),"Utah State")</f>
        <v>Utah State</v>
      </c>
      <c r="I12" t="str">
        <f>IFERROR(__xludf.DUMMYFUNCTION("""COMPUTED_VALUE"""),"Ole Miss")</f>
        <v>Ole Miss</v>
      </c>
      <c r="J12" t="str">
        <f>IFERROR(__xludf.DUMMYFUNCTION("""COMPUTED_VALUE"""),"Texas State")</f>
        <v>Texas State</v>
      </c>
    </row>
    <row r="13">
      <c r="A13" t="str">
        <f>IFERROR(__xludf.DUMMYFUNCTION("""COMPUTED_VALUE"""),"Tulsa")</f>
        <v>Tulsa</v>
      </c>
      <c r="B13" t="str">
        <f>IFERROR(__xludf.DUMMYFUNCTION("""COMPUTED_VALUE"""),"SMU")</f>
        <v>SMU</v>
      </c>
      <c r="C13" t="str">
        <f>IFERROR(__xludf.DUMMYFUNCTION("""COMPUTED_VALUE"""),"TCU")</f>
        <v>TCU</v>
      </c>
      <c r="D13" t="str">
        <f>IFERROR(__xludf.DUMMYFUNCTION("""COMPUTED_VALUE"""),"Penn State")</f>
        <v>Penn State</v>
      </c>
      <c r="E13" t="str">
        <f>IFERROR(__xludf.DUMMYFUNCTION("""COMPUTED_VALUE"""),"Western Kentucky")</f>
        <v>Western Kentucky</v>
      </c>
      <c r="F13" t="str">
        <f>IFERROR(__xludf.DUMMYFUNCTION("""COMPUTED_VALUE"""),"UMASS")</f>
        <v>UMASS</v>
      </c>
      <c r="G13" t="str">
        <f>IFERROR(__xludf.DUMMYFUNCTION("""COMPUTED_VALUE"""),"Wyoming")</f>
        <v>Wyoming</v>
      </c>
      <c r="I13" t="str">
        <f>IFERROR(__xludf.DUMMYFUNCTION("""COMPUTED_VALUE"""),"South Carolina")</f>
        <v>South Carolina</v>
      </c>
      <c r="J13" t="str">
        <f>IFERROR(__xludf.DUMMYFUNCTION("""COMPUTED_VALUE"""),"Troy")</f>
        <v>Troy</v>
      </c>
    </row>
    <row r="14">
      <c r="A14" t="str">
        <f>IFERROR(__xludf.DUMMYFUNCTION("""COMPUTED_VALUE"""),"UAB")</f>
        <v>UAB</v>
      </c>
      <c r="B14" t="str">
        <f>IFERROR(__xludf.DUMMYFUNCTION("""COMPUTED_VALUE"""),"Stanford")</f>
        <v>Stanford</v>
      </c>
      <c r="C14" t="str">
        <f>IFERROR(__xludf.DUMMYFUNCTION("""COMPUTED_VALUE"""),"Texas Tech")</f>
        <v>Texas Tech</v>
      </c>
      <c r="D14" t="str">
        <f>IFERROR(__xludf.DUMMYFUNCTION("""COMPUTED_VALUE"""),"Purdue")</f>
        <v>Purdue</v>
      </c>
      <c r="F14" t="str">
        <f>IFERROR(__xludf.DUMMYFUNCTION("""COMPUTED_VALUE"""),"Western Michigan")</f>
        <v>Western Michigan</v>
      </c>
      <c r="I14" t="str">
        <f>IFERROR(__xludf.DUMMYFUNCTION("""COMPUTED_VALUE"""),"Tennessee")</f>
        <v>Tennessee</v>
      </c>
      <c r="J14" t="str">
        <f>IFERROR(__xludf.DUMMYFUNCTION("""COMPUTED_VALUE"""),"UL Lafayette")</f>
        <v>UL Lafayette</v>
      </c>
    </row>
    <row r="15">
      <c r="A15" t="str">
        <f>IFERROR(__xludf.DUMMYFUNCTION("""COMPUTED_VALUE"""),"UTSA")</f>
        <v>UTSA</v>
      </c>
      <c r="B15" t="str">
        <f>IFERROR(__xludf.DUMMYFUNCTION("""COMPUTED_VALUE"""),"Syracuse")</f>
        <v>Syracuse</v>
      </c>
      <c r="C15" t="str">
        <f>IFERROR(__xludf.DUMMYFUNCTION("""COMPUTED_VALUE"""),"UCF")</f>
        <v>UCF</v>
      </c>
      <c r="D15" t="str">
        <f>IFERROR(__xludf.DUMMYFUNCTION("""COMPUTED_VALUE"""),"Rutgers")</f>
        <v>Rutgers</v>
      </c>
      <c r="I15" t="str">
        <f>IFERROR(__xludf.DUMMYFUNCTION("""COMPUTED_VALUE"""),"Texas")</f>
        <v>Texas</v>
      </c>
      <c r="J15" t="str">
        <f>IFERROR(__xludf.DUMMYFUNCTION("""COMPUTED_VALUE"""),"UL Monroe")</f>
        <v>UL Monroe</v>
      </c>
    </row>
    <row r="16">
      <c r="B16" t="str">
        <f>IFERROR(__xludf.DUMMYFUNCTION("""COMPUTED_VALUE"""),"Virginia")</f>
        <v>Virginia</v>
      </c>
      <c r="C16" t="str">
        <f>IFERROR(__xludf.DUMMYFUNCTION("""COMPUTED_VALUE"""),"Utah")</f>
        <v>Utah</v>
      </c>
      <c r="D16" t="str">
        <f>IFERROR(__xludf.DUMMYFUNCTION("""COMPUTED_VALUE"""),"UCLA")</f>
        <v>UCLA</v>
      </c>
      <c r="I16" t="str">
        <f>IFERROR(__xludf.DUMMYFUNCTION("""COMPUTED_VALUE"""),"Texas A&amp;M")</f>
        <v>Texas A&amp;M</v>
      </c>
    </row>
    <row r="17">
      <c r="B17" t="str">
        <f>IFERROR(__xludf.DUMMYFUNCTION("""COMPUTED_VALUE"""),"Virginia Tech")</f>
        <v>Virginia Tech</v>
      </c>
      <c r="C17" t="str">
        <f>IFERROR(__xludf.DUMMYFUNCTION("""COMPUTED_VALUE"""),"West Virginia")</f>
        <v>West Virginia</v>
      </c>
      <c r="D17" t="str">
        <f>IFERROR(__xludf.DUMMYFUNCTION("""COMPUTED_VALUE"""),"USC")</f>
        <v>USC</v>
      </c>
      <c r="I17" t="str">
        <f>IFERROR(__xludf.DUMMYFUNCTION("""COMPUTED_VALUE"""),"Vanderbilt")</f>
        <v>Vanderbilt</v>
      </c>
    </row>
    <row r="18">
      <c r="B18" t="str">
        <f>IFERROR(__xludf.DUMMYFUNCTION("""COMPUTED_VALUE"""),"Wake Forest")</f>
        <v>Wake Forest</v>
      </c>
      <c r="D18" t="str">
        <f>IFERROR(__xludf.DUMMYFUNCTION("""COMPUTED_VALUE"""),"Washington")</f>
        <v>Washington</v>
      </c>
    </row>
    <row r="19">
      <c r="D19" t="str">
        <f>IFERROR(__xludf.DUMMYFUNCTION("""COMPUTED_VALUE"""),"Wisconsin")</f>
        <v>Wisconsin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5" max="15" width="27.75"/>
    <col customWidth="1" min="17" max="17" width="70.0"/>
  </cols>
  <sheetData>
    <row r="1">
      <c r="A1" t="str">
        <f t="array" ref="A1:H1000">{'Import Lines API'!A:A,'Import Lines API'!D:H,'Import Lines API'!L:L,'Import Lines API'!N:N}</f>
        <v>Id</v>
      </c>
      <c r="B1" t="s">
        <v>1293</v>
      </c>
      <c r="C1" t="s">
        <v>1294</v>
      </c>
      <c r="D1" t="s">
        <v>1295</v>
      </c>
      <c r="E1" t="s">
        <v>1296</v>
      </c>
      <c r="F1" t="s">
        <v>1297</v>
      </c>
      <c r="G1" t="s">
        <v>1301</v>
      </c>
      <c r="H1" t="s">
        <v>1303</v>
      </c>
      <c r="I1" s="1" t="s">
        <v>1561</v>
      </c>
      <c r="J1" s="234" t="s">
        <v>1562</v>
      </c>
      <c r="K1" s="235" t="s">
        <v>1563</v>
      </c>
      <c r="L1" s="1" t="s">
        <v>1564</v>
      </c>
      <c r="M1" s="1" t="s">
        <v>1462</v>
      </c>
      <c r="N1" s="1" t="s">
        <v>1565</v>
      </c>
      <c r="O1" s="1" t="s">
        <v>1463</v>
      </c>
      <c r="P1" s="1" t="s">
        <v>1464</v>
      </c>
      <c r="Q1" s="1" t="s">
        <v>1465</v>
      </c>
      <c r="R1" s="1" t="s">
        <v>1566</v>
      </c>
      <c r="S1" s="236">
        <f>IFERROR(__xludf.DUMMYFUNCTION("if(weekday(today())=7,today(),if(weekday(today())&lt;=2,today(),7-weekday(min(filter(J2:J1000,J2:J1000&gt;TODAY())),3)+min(filter(J2:J1000,J2:J1000&gt;TODAY()))))"),46236.0)</f>
        <v>46236</v>
      </c>
    </row>
    <row r="2">
      <c r="A2" t="s">
        <v>1304</v>
      </c>
      <c r="B2" t="s">
        <v>1307</v>
      </c>
      <c r="C2" t="s">
        <v>484</v>
      </c>
      <c r="D2" t="s">
        <v>488</v>
      </c>
      <c r="E2" t="s">
        <v>1308</v>
      </c>
      <c r="F2" t="s">
        <v>1309</v>
      </c>
      <c r="G2" t="s">
        <v>484</v>
      </c>
      <c r="H2">
        <v>1.5</v>
      </c>
      <c r="I2" t="b">
        <f t="array" ref="I2:I1000">if(J2:J1000="","",if(weekday(today())=7,J2:J1000=today(),J2:J1000=$S$1-2))</f>
        <v>0</v>
      </c>
      <c r="J2" s="237">
        <f t="array" ref="J2:J1000">if(B2:B1000="","",date(left(B2:B1000,4),mid(B2:B1000,6,2),mid(B2:B1000,9,2))-if(value(mid(B2:B1000,12,2))&lt;5,1,0))</f>
        <v>45997</v>
      </c>
      <c r="K2" s="238">
        <f t="array" ref="K2:K1000">if(B2:B1000="","",time(mid(B2:B1000,12,2),mid(B2:B1000,15,2),0)-time(5,0,0))</f>
        <v>0.6770833333</v>
      </c>
      <c r="L2" t="str">
        <f t="array" ref="L2:L1000">if(C2:C1000="","",XLOOKUP(C2:C1000,Translation!$3:$3,Translation!$5:$5,C2:C1000))</f>
        <v>Alabama</v>
      </c>
      <c r="M2" t="str">
        <f t="array" ref="M2:M1000">if(D2:D1000="","",XLOOKUP(D2:D1000,Translation!$3:$3,Translation!$5:$5,D2:D1000))</f>
        <v>Georgia</v>
      </c>
      <c r="N2" t="str">
        <f t="array" ref="N2:N1000">let(fav,if(H2:H1000&lt;0,G2:G1000,if(G2:G1000=C2:C1000,D2:D1000,C2:C1000)),if(G2:G1000="","",XLOOKUP(fav,Translation!$3:$3,Translation!$5:$5,fav)))</f>
        <v>Georgia</v>
      </c>
      <c r="O2" t="str">
        <f t="shared" ref="O2:O148" si="1">if(N2=M2,L2,M2)</f>
        <v>Alabama</v>
      </c>
      <c r="P2">
        <f t="array" ref="P2:P1000">if(H2:H1000="","",abs(H2:H1000)*-1)</f>
        <v>-1.5</v>
      </c>
      <c r="Q2" t="str">
        <f t="array" ref="Q2:Q1000">if(L2:L1000="","",M2:M1000&amp;" at "&amp;L2:L1000&amp;" on "&amp;text(J2:J1000,"mm/dd")&amp;" "&amp;text(K2:K1000,"hh:mm AM/PM")&amp;" (CT)")</f>
        <v>Georgia at Alabama on 12/06 04:15 PM (CT)</v>
      </c>
    </row>
    <row r="3">
      <c r="A3" t="s">
        <v>1312</v>
      </c>
      <c r="B3" t="s">
        <v>1313</v>
      </c>
      <c r="C3" t="s">
        <v>1314</v>
      </c>
      <c r="D3" t="s">
        <v>1315</v>
      </c>
      <c r="E3" t="s">
        <v>1308</v>
      </c>
      <c r="F3" t="s">
        <v>1309</v>
      </c>
      <c r="G3" t="s">
        <v>1314</v>
      </c>
      <c r="H3">
        <v>-13.5</v>
      </c>
      <c r="I3" t="b">
        <v>0</v>
      </c>
      <c r="J3" s="237">
        <v>45997.0</v>
      </c>
      <c r="K3" s="238">
        <v>0.75</v>
      </c>
      <c r="L3" t="s">
        <v>1314</v>
      </c>
      <c r="M3" t="s">
        <v>1315</v>
      </c>
      <c r="N3" t="s">
        <v>1314</v>
      </c>
      <c r="O3" t="str">
        <f t="shared" si="1"/>
        <v>South Dakota State Jackrabbits</v>
      </c>
      <c r="P3">
        <v>-13.5</v>
      </c>
      <c r="Q3" t="s">
        <v>1581</v>
      </c>
    </row>
    <row r="4">
      <c r="A4" t="s">
        <v>1316</v>
      </c>
      <c r="B4" t="s">
        <v>1317</v>
      </c>
      <c r="C4" t="s">
        <v>400</v>
      </c>
      <c r="D4" t="s">
        <v>389</v>
      </c>
      <c r="E4" t="s">
        <v>1318</v>
      </c>
      <c r="F4" t="s">
        <v>1319</v>
      </c>
      <c r="G4" t="s">
        <v>389</v>
      </c>
      <c r="H4">
        <v>3.5</v>
      </c>
      <c r="I4" t="b">
        <v>0</v>
      </c>
      <c r="J4" s="237">
        <v>45997.0</v>
      </c>
      <c r="K4" s="238">
        <v>-0.16666666666666669</v>
      </c>
      <c r="L4" t="s">
        <v>121</v>
      </c>
      <c r="M4" t="s">
        <v>112</v>
      </c>
      <c r="N4" t="s">
        <v>121</v>
      </c>
      <c r="O4" t="str">
        <f t="shared" si="1"/>
        <v>Duke</v>
      </c>
      <c r="P4">
        <v>-3.5</v>
      </c>
      <c r="Q4" t="s">
        <v>1582</v>
      </c>
    </row>
    <row r="5">
      <c r="A5" t="s">
        <v>1320</v>
      </c>
      <c r="B5" t="s">
        <v>1317</v>
      </c>
      <c r="C5" t="s">
        <v>424</v>
      </c>
      <c r="D5" t="s">
        <v>415</v>
      </c>
      <c r="E5" t="s">
        <v>1308</v>
      </c>
      <c r="F5" t="s">
        <v>1309</v>
      </c>
      <c r="G5" t="s">
        <v>415</v>
      </c>
      <c r="H5">
        <v>4.5</v>
      </c>
      <c r="I5" t="b">
        <v>0</v>
      </c>
      <c r="J5" s="237">
        <v>45997.0</v>
      </c>
      <c r="K5" s="238">
        <v>-0.16666666666666669</v>
      </c>
      <c r="L5" t="s">
        <v>144</v>
      </c>
      <c r="M5" t="s">
        <v>136</v>
      </c>
      <c r="N5" t="s">
        <v>144</v>
      </c>
      <c r="O5" t="str">
        <f t="shared" si="1"/>
        <v>Indiana</v>
      </c>
      <c r="P5">
        <v>-4.5</v>
      </c>
      <c r="Q5" t="s">
        <v>1584</v>
      </c>
    </row>
    <row r="6">
      <c r="A6" t="s">
        <v>1321</v>
      </c>
      <c r="B6" t="s">
        <v>1322</v>
      </c>
      <c r="C6" t="s">
        <v>380</v>
      </c>
      <c r="D6" t="s">
        <v>511</v>
      </c>
      <c r="E6" t="s">
        <v>1318</v>
      </c>
      <c r="F6" t="s">
        <v>1319</v>
      </c>
      <c r="G6" t="s">
        <v>511</v>
      </c>
      <c r="H6">
        <v>5.5</v>
      </c>
      <c r="I6" t="b">
        <v>0</v>
      </c>
      <c r="J6" s="237">
        <v>46004.0</v>
      </c>
      <c r="K6" s="238">
        <v>0.625</v>
      </c>
      <c r="L6" t="s">
        <v>103</v>
      </c>
      <c r="M6" t="s">
        <v>225</v>
      </c>
      <c r="N6" t="s">
        <v>103</v>
      </c>
      <c r="O6" t="str">
        <f t="shared" si="1"/>
        <v>Army</v>
      </c>
      <c r="P6">
        <v>-5.5</v>
      </c>
      <c r="Q6" t="s">
        <v>1585</v>
      </c>
    </row>
    <row r="7">
      <c r="A7" t="s">
        <v>1323</v>
      </c>
      <c r="B7" t="s">
        <v>1324</v>
      </c>
      <c r="C7" t="s">
        <v>382</v>
      </c>
      <c r="D7" t="s">
        <v>436</v>
      </c>
      <c r="E7" t="s">
        <v>1308</v>
      </c>
      <c r="F7" t="s">
        <v>1309</v>
      </c>
      <c r="G7" t="s">
        <v>436</v>
      </c>
      <c r="H7">
        <v>7.5</v>
      </c>
      <c r="I7" t="b">
        <v>0</v>
      </c>
      <c r="J7" s="237">
        <v>46008.0</v>
      </c>
      <c r="K7" s="238">
        <v>0.7083333333333333</v>
      </c>
      <c r="L7" t="s">
        <v>105</v>
      </c>
      <c r="M7" t="s">
        <v>155</v>
      </c>
      <c r="N7" t="s">
        <v>105</v>
      </c>
      <c r="O7" t="str">
        <f t="shared" si="1"/>
        <v>Old Dominion</v>
      </c>
      <c r="P7">
        <v>-7.5</v>
      </c>
      <c r="Q7" t="s">
        <v>1586</v>
      </c>
    </row>
    <row r="8">
      <c r="A8" t="s">
        <v>1325</v>
      </c>
      <c r="B8" t="s">
        <v>1326</v>
      </c>
      <c r="C8" t="s">
        <v>501</v>
      </c>
      <c r="D8" t="s">
        <v>523</v>
      </c>
      <c r="E8" t="s">
        <v>1308</v>
      </c>
      <c r="F8" t="s">
        <v>1309</v>
      </c>
      <c r="G8" t="s">
        <v>501</v>
      </c>
      <c r="H8">
        <v>-2.5</v>
      </c>
      <c r="I8" t="b">
        <v>0</v>
      </c>
      <c r="J8" s="237">
        <v>46009.0</v>
      </c>
      <c r="K8" s="238">
        <v>-0.125</v>
      </c>
      <c r="L8" t="s">
        <v>215</v>
      </c>
      <c r="M8" t="s">
        <v>236</v>
      </c>
      <c r="N8" t="s">
        <v>215</v>
      </c>
      <c r="O8" t="str">
        <f t="shared" si="1"/>
        <v>Missouri State</v>
      </c>
      <c r="P8">
        <v>-2.5</v>
      </c>
      <c r="Q8" t="s">
        <v>1588</v>
      </c>
    </row>
    <row r="9">
      <c r="A9" t="s">
        <v>1327</v>
      </c>
      <c r="B9" t="s">
        <v>1328</v>
      </c>
      <c r="C9" t="s">
        <v>463</v>
      </c>
      <c r="D9" t="s">
        <v>474</v>
      </c>
      <c r="E9" t="s">
        <v>1308</v>
      </c>
      <c r="F9" t="s">
        <v>1309</v>
      </c>
      <c r="G9" t="s">
        <v>474</v>
      </c>
      <c r="H9">
        <v>-1.5</v>
      </c>
      <c r="I9" t="b">
        <v>0</v>
      </c>
      <c r="J9" s="237">
        <v>46015.0</v>
      </c>
      <c r="K9" s="238">
        <v>-0.16666666666666669</v>
      </c>
      <c r="L9" t="s">
        <v>536</v>
      </c>
      <c r="M9" t="s">
        <v>190</v>
      </c>
      <c r="N9" t="s">
        <v>190</v>
      </c>
      <c r="O9" t="str">
        <f t="shared" si="1"/>
        <v>Hawaii</v>
      </c>
      <c r="P9">
        <v>-1.5</v>
      </c>
      <c r="Q9" t="s">
        <v>1589</v>
      </c>
    </row>
    <row r="10">
      <c r="A10" t="s">
        <v>1327</v>
      </c>
      <c r="B10" t="s">
        <v>1328</v>
      </c>
      <c r="C10" t="s">
        <v>463</v>
      </c>
      <c r="D10" t="s">
        <v>474</v>
      </c>
      <c r="E10" t="s">
        <v>1329</v>
      </c>
      <c r="F10" t="s">
        <v>1330</v>
      </c>
      <c r="G10" t="s">
        <v>463</v>
      </c>
      <c r="H10">
        <v>1.5</v>
      </c>
      <c r="I10" t="b">
        <v>0</v>
      </c>
      <c r="J10" s="237">
        <v>46015.0</v>
      </c>
      <c r="K10" s="238">
        <v>-0.16666666666666669</v>
      </c>
      <c r="L10" t="s">
        <v>536</v>
      </c>
      <c r="M10" t="s">
        <v>190</v>
      </c>
      <c r="N10" t="s">
        <v>190</v>
      </c>
      <c r="O10" t="str">
        <f t="shared" si="1"/>
        <v>Hawaii</v>
      </c>
      <c r="P10">
        <v>-1.5</v>
      </c>
      <c r="Q10" t="s">
        <v>1589</v>
      </c>
    </row>
    <row r="11">
      <c r="A11" t="s">
        <v>1327</v>
      </c>
      <c r="B11" t="s">
        <v>1328</v>
      </c>
      <c r="C11" t="s">
        <v>463</v>
      </c>
      <c r="D11" t="s">
        <v>474</v>
      </c>
      <c r="E11" t="s">
        <v>1332</v>
      </c>
      <c r="F11" t="s">
        <v>1333</v>
      </c>
      <c r="G11" t="s">
        <v>511</v>
      </c>
      <c r="H11">
        <v>5.0</v>
      </c>
      <c r="I11" t="b">
        <v>0</v>
      </c>
      <c r="J11" s="237">
        <v>46015.0</v>
      </c>
      <c r="K11" s="238">
        <v>-0.16666666666666669</v>
      </c>
      <c r="L11" t="s">
        <v>536</v>
      </c>
      <c r="M11" t="s">
        <v>190</v>
      </c>
      <c r="N11" t="s">
        <v>536</v>
      </c>
      <c r="O11" t="str">
        <f t="shared" si="1"/>
        <v>California</v>
      </c>
      <c r="P11">
        <v>-5.0</v>
      </c>
      <c r="Q11" t="s">
        <v>1589</v>
      </c>
    </row>
    <row r="12">
      <c r="A12" t="s">
        <v>1327</v>
      </c>
      <c r="B12" t="s">
        <v>1328</v>
      </c>
      <c r="C12" t="s">
        <v>463</v>
      </c>
      <c r="D12" t="s">
        <v>474</v>
      </c>
      <c r="E12" t="s">
        <v>1335</v>
      </c>
      <c r="F12" t="s">
        <v>1336</v>
      </c>
      <c r="G12" t="s">
        <v>511</v>
      </c>
      <c r="H12">
        <v>4.5</v>
      </c>
      <c r="I12" t="b">
        <v>0</v>
      </c>
      <c r="J12" s="237">
        <v>46015.0</v>
      </c>
      <c r="K12" s="238">
        <v>-0.16666666666666669</v>
      </c>
      <c r="L12" t="s">
        <v>536</v>
      </c>
      <c r="M12" t="s">
        <v>190</v>
      </c>
      <c r="N12" t="s">
        <v>536</v>
      </c>
      <c r="O12" t="str">
        <f t="shared" si="1"/>
        <v>California</v>
      </c>
      <c r="P12">
        <v>-4.5</v>
      </c>
      <c r="Q12" t="s">
        <v>1589</v>
      </c>
    </row>
    <row r="13">
      <c r="A13" t="s">
        <v>1327</v>
      </c>
      <c r="B13" t="s">
        <v>1328</v>
      </c>
      <c r="C13" t="s">
        <v>463</v>
      </c>
      <c r="D13" t="s">
        <v>474</v>
      </c>
      <c r="E13" t="s">
        <v>1338</v>
      </c>
      <c r="F13" t="s">
        <v>1339</v>
      </c>
      <c r="G13" t="s">
        <v>511</v>
      </c>
      <c r="H13">
        <v>4.5</v>
      </c>
      <c r="I13" t="b">
        <v>0</v>
      </c>
      <c r="J13" s="237">
        <v>46015.0</v>
      </c>
      <c r="K13" s="238">
        <v>-0.16666666666666669</v>
      </c>
      <c r="L13" t="s">
        <v>536</v>
      </c>
      <c r="M13" t="s">
        <v>190</v>
      </c>
      <c r="N13" t="s">
        <v>536</v>
      </c>
      <c r="O13" t="str">
        <f t="shared" si="1"/>
        <v>California</v>
      </c>
      <c r="P13">
        <v>-4.5</v>
      </c>
      <c r="Q13" t="s">
        <v>1589</v>
      </c>
    </row>
    <row r="14">
      <c r="A14" t="s">
        <v>1327</v>
      </c>
      <c r="B14" t="s">
        <v>1328</v>
      </c>
      <c r="C14" t="s">
        <v>463</v>
      </c>
      <c r="D14" t="s">
        <v>474</v>
      </c>
      <c r="E14" t="s">
        <v>1338</v>
      </c>
      <c r="F14" t="s">
        <v>1339</v>
      </c>
      <c r="G14" t="s">
        <v>380</v>
      </c>
      <c r="H14">
        <v>-4.5</v>
      </c>
      <c r="I14" t="b">
        <v>0</v>
      </c>
      <c r="J14" s="237">
        <v>46015.0</v>
      </c>
      <c r="K14" s="238">
        <v>-0.16666666666666669</v>
      </c>
      <c r="L14" t="s">
        <v>536</v>
      </c>
      <c r="M14" t="s">
        <v>190</v>
      </c>
      <c r="N14" t="s">
        <v>103</v>
      </c>
      <c r="O14" t="str">
        <f t="shared" si="1"/>
        <v>California</v>
      </c>
      <c r="P14">
        <v>-4.5</v>
      </c>
      <c r="Q14" t="s">
        <v>1589</v>
      </c>
    </row>
    <row r="15">
      <c r="I15" t="s">
        <v>898</v>
      </c>
      <c r="J15" s="237" t="s">
        <v>898</v>
      </c>
      <c r="K15" s="238" t="s">
        <v>898</v>
      </c>
      <c r="L15" t="s">
        <v>898</v>
      </c>
      <c r="M15" t="s">
        <v>898</v>
      </c>
      <c r="N15" t="s">
        <v>898</v>
      </c>
      <c r="O15" t="str">
        <f t="shared" si="1"/>
        <v/>
      </c>
      <c r="P15" t="s">
        <v>898</v>
      </c>
      <c r="Q15" t="s">
        <v>898</v>
      </c>
    </row>
    <row r="16">
      <c r="I16" t="s">
        <v>898</v>
      </c>
      <c r="J16" s="237" t="s">
        <v>898</v>
      </c>
      <c r="K16" s="238" t="s">
        <v>898</v>
      </c>
      <c r="L16" t="s">
        <v>898</v>
      </c>
      <c r="M16" t="s">
        <v>898</v>
      </c>
      <c r="N16" t="s">
        <v>898</v>
      </c>
      <c r="O16" t="str">
        <f t="shared" si="1"/>
        <v/>
      </c>
      <c r="P16" t="s">
        <v>898</v>
      </c>
      <c r="Q16" t="s">
        <v>898</v>
      </c>
    </row>
    <row r="17">
      <c r="I17" t="s">
        <v>898</v>
      </c>
      <c r="J17" s="237" t="s">
        <v>898</v>
      </c>
      <c r="K17" s="238" t="s">
        <v>898</v>
      </c>
      <c r="L17" t="s">
        <v>898</v>
      </c>
      <c r="M17" t="s">
        <v>898</v>
      </c>
      <c r="N17" t="s">
        <v>898</v>
      </c>
      <c r="O17" t="str">
        <f t="shared" si="1"/>
        <v/>
      </c>
      <c r="P17" t="s">
        <v>898</v>
      </c>
      <c r="Q17" t="s">
        <v>898</v>
      </c>
    </row>
    <row r="18">
      <c r="I18" t="s">
        <v>898</v>
      </c>
      <c r="J18" s="237" t="s">
        <v>898</v>
      </c>
      <c r="K18" s="238" t="s">
        <v>898</v>
      </c>
      <c r="L18" t="s">
        <v>898</v>
      </c>
      <c r="M18" t="s">
        <v>898</v>
      </c>
      <c r="N18" t="s">
        <v>898</v>
      </c>
      <c r="O18" t="str">
        <f t="shared" si="1"/>
        <v/>
      </c>
      <c r="P18" t="s">
        <v>898</v>
      </c>
      <c r="Q18" t="s">
        <v>898</v>
      </c>
    </row>
    <row r="19">
      <c r="I19" t="s">
        <v>898</v>
      </c>
      <c r="J19" s="237" t="s">
        <v>898</v>
      </c>
      <c r="K19" s="238" t="s">
        <v>898</v>
      </c>
      <c r="L19" t="s">
        <v>898</v>
      </c>
      <c r="M19" t="s">
        <v>898</v>
      </c>
      <c r="N19" t="s">
        <v>898</v>
      </c>
      <c r="O19" t="str">
        <f t="shared" si="1"/>
        <v/>
      </c>
      <c r="P19" t="s">
        <v>898</v>
      </c>
      <c r="Q19" t="s">
        <v>898</v>
      </c>
    </row>
    <row r="20">
      <c r="I20" t="s">
        <v>898</v>
      </c>
      <c r="J20" s="237" t="s">
        <v>898</v>
      </c>
      <c r="K20" s="238" t="s">
        <v>898</v>
      </c>
      <c r="L20" t="s">
        <v>898</v>
      </c>
      <c r="M20" t="s">
        <v>898</v>
      </c>
      <c r="N20" t="s">
        <v>898</v>
      </c>
      <c r="O20" t="str">
        <f t="shared" si="1"/>
        <v/>
      </c>
      <c r="P20" t="s">
        <v>898</v>
      </c>
      <c r="Q20" t="s">
        <v>898</v>
      </c>
    </row>
    <row r="21">
      <c r="I21" t="s">
        <v>898</v>
      </c>
      <c r="J21" s="237" t="s">
        <v>898</v>
      </c>
      <c r="K21" s="238" t="s">
        <v>898</v>
      </c>
      <c r="L21" t="s">
        <v>898</v>
      </c>
      <c r="M21" t="s">
        <v>898</v>
      </c>
      <c r="N21" t="s">
        <v>898</v>
      </c>
      <c r="O21" t="str">
        <f t="shared" si="1"/>
        <v/>
      </c>
      <c r="P21" t="s">
        <v>898</v>
      </c>
      <c r="Q21" t="s">
        <v>898</v>
      </c>
    </row>
    <row r="22">
      <c r="I22" t="s">
        <v>898</v>
      </c>
      <c r="J22" s="237" t="s">
        <v>898</v>
      </c>
      <c r="K22" s="238" t="s">
        <v>898</v>
      </c>
      <c r="L22" t="s">
        <v>898</v>
      </c>
      <c r="M22" t="s">
        <v>898</v>
      </c>
      <c r="N22" t="s">
        <v>898</v>
      </c>
      <c r="O22" t="str">
        <f t="shared" si="1"/>
        <v/>
      </c>
      <c r="P22" t="s">
        <v>898</v>
      </c>
      <c r="Q22" t="s">
        <v>898</v>
      </c>
    </row>
    <row r="23">
      <c r="I23" t="s">
        <v>898</v>
      </c>
      <c r="J23" s="237" t="s">
        <v>898</v>
      </c>
      <c r="K23" s="238" t="s">
        <v>898</v>
      </c>
      <c r="L23" t="s">
        <v>898</v>
      </c>
      <c r="M23" t="s">
        <v>898</v>
      </c>
      <c r="N23" t="s">
        <v>898</v>
      </c>
      <c r="O23" t="str">
        <f t="shared" si="1"/>
        <v/>
      </c>
      <c r="P23" t="s">
        <v>898</v>
      </c>
      <c r="Q23" t="s">
        <v>898</v>
      </c>
    </row>
    <row r="24">
      <c r="I24" t="s">
        <v>898</v>
      </c>
      <c r="J24" s="237" t="s">
        <v>898</v>
      </c>
      <c r="K24" s="238" t="s">
        <v>898</v>
      </c>
      <c r="L24" t="s">
        <v>898</v>
      </c>
      <c r="M24" t="s">
        <v>898</v>
      </c>
      <c r="N24" t="s">
        <v>898</v>
      </c>
      <c r="O24" t="str">
        <f t="shared" si="1"/>
        <v/>
      </c>
      <c r="P24" t="s">
        <v>898</v>
      </c>
      <c r="Q24" t="s">
        <v>898</v>
      </c>
    </row>
    <row r="25">
      <c r="I25" t="s">
        <v>898</v>
      </c>
      <c r="J25" s="237" t="s">
        <v>898</v>
      </c>
      <c r="K25" s="238" t="s">
        <v>898</v>
      </c>
      <c r="L25" t="s">
        <v>898</v>
      </c>
      <c r="M25" t="s">
        <v>898</v>
      </c>
      <c r="N25" t="s">
        <v>898</v>
      </c>
      <c r="O25" t="str">
        <f t="shared" si="1"/>
        <v/>
      </c>
      <c r="P25" t="s">
        <v>898</v>
      </c>
      <c r="Q25" t="s">
        <v>898</v>
      </c>
    </row>
    <row r="26">
      <c r="I26" t="s">
        <v>898</v>
      </c>
      <c r="J26" s="237" t="s">
        <v>898</v>
      </c>
      <c r="K26" s="238" t="s">
        <v>898</v>
      </c>
      <c r="L26" t="s">
        <v>898</v>
      </c>
      <c r="M26" t="s">
        <v>898</v>
      </c>
      <c r="N26" t="s">
        <v>898</v>
      </c>
      <c r="O26" t="str">
        <f t="shared" si="1"/>
        <v/>
      </c>
      <c r="P26" t="s">
        <v>898</v>
      </c>
      <c r="Q26" t="s">
        <v>898</v>
      </c>
    </row>
    <row r="27">
      <c r="I27" t="s">
        <v>898</v>
      </c>
      <c r="J27" s="237" t="s">
        <v>898</v>
      </c>
      <c r="K27" s="238" t="s">
        <v>898</v>
      </c>
      <c r="L27" t="s">
        <v>898</v>
      </c>
      <c r="M27" t="s">
        <v>898</v>
      </c>
      <c r="N27" t="s">
        <v>898</v>
      </c>
      <c r="O27" t="str">
        <f t="shared" si="1"/>
        <v/>
      </c>
      <c r="P27" t="s">
        <v>898</v>
      </c>
      <c r="Q27" t="s">
        <v>898</v>
      </c>
    </row>
    <row r="28">
      <c r="I28" t="s">
        <v>898</v>
      </c>
      <c r="J28" s="237" t="s">
        <v>898</v>
      </c>
      <c r="K28" s="238" t="s">
        <v>898</v>
      </c>
      <c r="L28" t="s">
        <v>898</v>
      </c>
      <c r="M28" t="s">
        <v>898</v>
      </c>
      <c r="N28" t="s">
        <v>898</v>
      </c>
      <c r="O28" t="str">
        <f t="shared" si="1"/>
        <v/>
      </c>
      <c r="P28" t="s">
        <v>898</v>
      </c>
      <c r="Q28" t="s">
        <v>898</v>
      </c>
    </row>
    <row r="29">
      <c r="I29" t="s">
        <v>898</v>
      </c>
      <c r="J29" s="237" t="s">
        <v>898</v>
      </c>
      <c r="K29" s="238" t="s">
        <v>898</v>
      </c>
      <c r="L29" t="s">
        <v>898</v>
      </c>
      <c r="M29" t="s">
        <v>898</v>
      </c>
      <c r="N29" t="s">
        <v>898</v>
      </c>
      <c r="O29" t="str">
        <f t="shared" si="1"/>
        <v/>
      </c>
      <c r="P29" t="s">
        <v>898</v>
      </c>
      <c r="Q29" t="s">
        <v>898</v>
      </c>
    </row>
    <row r="30">
      <c r="I30" t="s">
        <v>898</v>
      </c>
      <c r="J30" s="237" t="s">
        <v>898</v>
      </c>
      <c r="K30" s="238" t="s">
        <v>898</v>
      </c>
      <c r="L30" t="s">
        <v>898</v>
      </c>
      <c r="M30" t="s">
        <v>898</v>
      </c>
      <c r="N30" t="s">
        <v>898</v>
      </c>
      <c r="O30" t="str">
        <f t="shared" si="1"/>
        <v/>
      </c>
      <c r="P30" t="s">
        <v>898</v>
      </c>
      <c r="Q30" t="s">
        <v>898</v>
      </c>
    </row>
    <row r="31">
      <c r="I31" t="s">
        <v>898</v>
      </c>
      <c r="J31" s="237" t="s">
        <v>898</v>
      </c>
      <c r="K31" s="238" t="s">
        <v>898</v>
      </c>
      <c r="L31" t="s">
        <v>898</v>
      </c>
      <c r="M31" t="s">
        <v>898</v>
      </c>
      <c r="N31" t="s">
        <v>898</v>
      </c>
      <c r="O31" t="str">
        <f t="shared" si="1"/>
        <v/>
      </c>
      <c r="P31" t="s">
        <v>898</v>
      </c>
      <c r="Q31" t="s">
        <v>898</v>
      </c>
    </row>
    <row r="32">
      <c r="I32" t="s">
        <v>898</v>
      </c>
      <c r="J32" s="237" t="s">
        <v>898</v>
      </c>
      <c r="K32" s="238" t="s">
        <v>898</v>
      </c>
      <c r="L32" t="s">
        <v>898</v>
      </c>
      <c r="M32" t="s">
        <v>898</v>
      </c>
      <c r="N32" t="s">
        <v>898</v>
      </c>
      <c r="O32" t="str">
        <f t="shared" si="1"/>
        <v/>
      </c>
      <c r="P32" t="s">
        <v>898</v>
      </c>
      <c r="Q32" t="s">
        <v>898</v>
      </c>
    </row>
    <row r="33">
      <c r="I33" t="s">
        <v>898</v>
      </c>
      <c r="J33" s="237" t="s">
        <v>898</v>
      </c>
      <c r="K33" s="238" t="s">
        <v>898</v>
      </c>
      <c r="L33" t="s">
        <v>898</v>
      </c>
      <c r="M33" t="s">
        <v>898</v>
      </c>
      <c r="N33" t="s">
        <v>898</v>
      </c>
      <c r="O33" t="str">
        <f t="shared" si="1"/>
        <v/>
      </c>
      <c r="P33" t="s">
        <v>898</v>
      </c>
      <c r="Q33" t="s">
        <v>898</v>
      </c>
    </row>
    <row r="34">
      <c r="I34" t="s">
        <v>898</v>
      </c>
      <c r="J34" s="237" t="s">
        <v>898</v>
      </c>
      <c r="K34" s="238" t="s">
        <v>898</v>
      </c>
      <c r="L34" t="s">
        <v>898</v>
      </c>
      <c r="M34" t="s">
        <v>898</v>
      </c>
      <c r="N34" t="s">
        <v>898</v>
      </c>
      <c r="O34" t="str">
        <f t="shared" si="1"/>
        <v/>
      </c>
      <c r="P34" t="s">
        <v>898</v>
      </c>
      <c r="Q34" t="s">
        <v>898</v>
      </c>
    </row>
    <row r="35">
      <c r="I35" t="s">
        <v>898</v>
      </c>
      <c r="J35" s="237" t="s">
        <v>898</v>
      </c>
      <c r="K35" s="238" t="s">
        <v>898</v>
      </c>
      <c r="L35" t="s">
        <v>898</v>
      </c>
      <c r="M35" t="s">
        <v>898</v>
      </c>
      <c r="N35" t="s">
        <v>898</v>
      </c>
      <c r="O35" t="str">
        <f t="shared" si="1"/>
        <v/>
      </c>
      <c r="P35" t="s">
        <v>898</v>
      </c>
      <c r="Q35" t="s">
        <v>898</v>
      </c>
    </row>
    <row r="36">
      <c r="I36" t="s">
        <v>898</v>
      </c>
      <c r="J36" s="237" t="s">
        <v>898</v>
      </c>
      <c r="K36" s="238" t="s">
        <v>898</v>
      </c>
      <c r="L36" t="s">
        <v>898</v>
      </c>
      <c r="M36" t="s">
        <v>898</v>
      </c>
      <c r="N36" t="s">
        <v>898</v>
      </c>
      <c r="O36" t="str">
        <f t="shared" si="1"/>
        <v/>
      </c>
      <c r="P36" t="s">
        <v>898</v>
      </c>
      <c r="Q36" t="s">
        <v>898</v>
      </c>
    </row>
    <row r="37">
      <c r="I37" t="s">
        <v>898</v>
      </c>
      <c r="J37" s="237" t="s">
        <v>898</v>
      </c>
      <c r="K37" s="238" t="s">
        <v>898</v>
      </c>
      <c r="L37" t="s">
        <v>898</v>
      </c>
      <c r="M37" t="s">
        <v>898</v>
      </c>
      <c r="N37" t="s">
        <v>898</v>
      </c>
      <c r="O37" t="str">
        <f t="shared" si="1"/>
        <v/>
      </c>
      <c r="P37" t="s">
        <v>898</v>
      </c>
      <c r="Q37" t="s">
        <v>898</v>
      </c>
    </row>
    <row r="38">
      <c r="I38" t="s">
        <v>898</v>
      </c>
      <c r="J38" s="237" t="s">
        <v>898</v>
      </c>
      <c r="K38" s="238" t="s">
        <v>898</v>
      </c>
      <c r="L38" t="s">
        <v>898</v>
      </c>
      <c r="M38" t="s">
        <v>898</v>
      </c>
      <c r="N38" t="s">
        <v>898</v>
      </c>
      <c r="O38" t="str">
        <f t="shared" si="1"/>
        <v/>
      </c>
      <c r="P38" t="s">
        <v>898</v>
      </c>
      <c r="Q38" t="s">
        <v>898</v>
      </c>
    </row>
    <row r="39">
      <c r="I39" t="s">
        <v>898</v>
      </c>
      <c r="J39" s="237" t="s">
        <v>898</v>
      </c>
      <c r="K39" s="238" t="s">
        <v>898</v>
      </c>
      <c r="L39" t="s">
        <v>898</v>
      </c>
      <c r="M39" t="s">
        <v>898</v>
      </c>
      <c r="N39" t="s">
        <v>898</v>
      </c>
      <c r="O39" t="str">
        <f t="shared" si="1"/>
        <v/>
      </c>
      <c r="P39" t="s">
        <v>898</v>
      </c>
      <c r="Q39" t="s">
        <v>898</v>
      </c>
    </row>
    <row r="40">
      <c r="I40" t="s">
        <v>898</v>
      </c>
      <c r="J40" s="237" t="s">
        <v>898</v>
      </c>
      <c r="K40" s="238" t="s">
        <v>898</v>
      </c>
      <c r="L40" t="s">
        <v>898</v>
      </c>
      <c r="M40" t="s">
        <v>898</v>
      </c>
      <c r="N40" t="s">
        <v>898</v>
      </c>
      <c r="O40" t="str">
        <f t="shared" si="1"/>
        <v/>
      </c>
      <c r="P40" t="s">
        <v>898</v>
      </c>
      <c r="Q40" t="s">
        <v>898</v>
      </c>
    </row>
    <row r="41">
      <c r="I41" t="s">
        <v>898</v>
      </c>
      <c r="J41" s="237" t="s">
        <v>898</v>
      </c>
      <c r="K41" s="238" t="s">
        <v>898</v>
      </c>
      <c r="L41" t="s">
        <v>898</v>
      </c>
      <c r="M41" t="s">
        <v>898</v>
      </c>
      <c r="N41" t="s">
        <v>898</v>
      </c>
      <c r="O41" t="str">
        <f t="shared" si="1"/>
        <v/>
      </c>
      <c r="P41" t="s">
        <v>898</v>
      </c>
      <c r="Q41" t="s">
        <v>898</v>
      </c>
    </row>
    <row r="42">
      <c r="I42" t="s">
        <v>898</v>
      </c>
      <c r="J42" s="237" t="s">
        <v>898</v>
      </c>
      <c r="K42" s="238" t="s">
        <v>898</v>
      </c>
      <c r="L42" t="s">
        <v>898</v>
      </c>
      <c r="M42" t="s">
        <v>898</v>
      </c>
      <c r="N42" t="s">
        <v>898</v>
      </c>
      <c r="O42" t="str">
        <f t="shared" si="1"/>
        <v/>
      </c>
      <c r="P42" t="s">
        <v>898</v>
      </c>
      <c r="Q42" t="s">
        <v>898</v>
      </c>
    </row>
    <row r="43">
      <c r="I43" t="s">
        <v>898</v>
      </c>
      <c r="J43" s="237" t="s">
        <v>898</v>
      </c>
      <c r="K43" s="238" t="s">
        <v>898</v>
      </c>
      <c r="L43" t="s">
        <v>898</v>
      </c>
      <c r="M43" t="s">
        <v>898</v>
      </c>
      <c r="N43" t="s">
        <v>898</v>
      </c>
      <c r="O43" t="str">
        <f t="shared" si="1"/>
        <v/>
      </c>
      <c r="P43" t="s">
        <v>898</v>
      </c>
      <c r="Q43" t="s">
        <v>898</v>
      </c>
    </row>
    <row r="44">
      <c r="I44" t="s">
        <v>898</v>
      </c>
      <c r="J44" s="237" t="s">
        <v>898</v>
      </c>
      <c r="K44" s="238" t="s">
        <v>898</v>
      </c>
      <c r="L44" t="s">
        <v>898</v>
      </c>
      <c r="M44" t="s">
        <v>898</v>
      </c>
      <c r="N44" t="s">
        <v>898</v>
      </c>
      <c r="O44" t="str">
        <f t="shared" si="1"/>
        <v/>
      </c>
      <c r="P44" t="s">
        <v>898</v>
      </c>
      <c r="Q44" t="s">
        <v>898</v>
      </c>
    </row>
    <row r="45">
      <c r="I45" t="s">
        <v>898</v>
      </c>
      <c r="J45" s="237" t="s">
        <v>898</v>
      </c>
      <c r="K45" s="238" t="s">
        <v>898</v>
      </c>
      <c r="L45" t="s">
        <v>898</v>
      </c>
      <c r="M45" t="s">
        <v>898</v>
      </c>
      <c r="N45" t="s">
        <v>898</v>
      </c>
      <c r="O45" t="str">
        <f t="shared" si="1"/>
        <v/>
      </c>
      <c r="P45" t="s">
        <v>898</v>
      </c>
      <c r="Q45" t="s">
        <v>898</v>
      </c>
    </row>
    <row r="46">
      <c r="I46" t="s">
        <v>898</v>
      </c>
      <c r="J46" s="237" t="s">
        <v>898</v>
      </c>
      <c r="K46" s="238" t="s">
        <v>898</v>
      </c>
      <c r="L46" t="s">
        <v>898</v>
      </c>
      <c r="M46" t="s">
        <v>898</v>
      </c>
      <c r="N46" t="s">
        <v>898</v>
      </c>
      <c r="O46" t="str">
        <f t="shared" si="1"/>
        <v/>
      </c>
      <c r="P46" t="s">
        <v>898</v>
      </c>
      <c r="Q46" t="s">
        <v>898</v>
      </c>
    </row>
    <row r="47">
      <c r="I47" t="s">
        <v>898</v>
      </c>
      <c r="J47" s="237" t="s">
        <v>898</v>
      </c>
      <c r="K47" s="238" t="s">
        <v>898</v>
      </c>
      <c r="L47" t="s">
        <v>898</v>
      </c>
      <c r="M47" t="s">
        <v>898</v>
      </c>
      <c r="N47" t="s">
        <v>898</v>
      </c>
      <c r="O47" t="str">
        <f t="shared" si="1"/>
        <v/>
      </c>
      <c r="P47" t="s">
        <v>898</v>
      </c>
      <c r="Q47" t="s">
        <v>898</v>
      </c>
    </row>
    <row r="48">
      <c r="I48" t="s">
        <v>898</v>
      </c>
      <c r="J48" s="237" t="s">
        <v>898</v>
      </c>
      <c r="K48" s="238" t="s">
        <v>898</v>
      </c>
      <c r="L48" t="s">
        <v>898</v>
      </c>
      <c r="M48" t="s">
        <v>898</v>
      </c>
      <c r="N48" t="s">
        <v>898</v>
      </c>
      <c r="O48" t="str">
        <f t="shared" si="1"/>
        <v/>
      </c>
      <c r="P48" t="s">
        <v>898</v>
      </c>
      <c r="Q48" t="s">
        <v>898</v>
      </c>
    </row>
    <row r="49">
      <c r="I49" t="s">
        <v>898</v>
      </c>
      <c r="J49" s="237" t="s">
        <v>898</v>
      </c>
      <c r="K49" s="238" t="s">
        <v>898</v>
      </c>
      <c r="L49" t="s">
        <v>898</v>
      </c>
      <c r="M49" t="s">
        <v>898</v>
      </c>
      <c r="N49" t="s">
        <v>898</v>
      </c>
      <c r="O49" t="str">
        <f t="shared" si="1"/>
        <v/>
      </c>
      <c r="P49" t="s">
        <v>898</v>
      </c>
      <c r="Q49" t="s">
        <v>898</v>
      </c>
    </row>
    <row r="50">
      <c r="I50" t="s">
        <v>898</v>
      </c>
      <c r="J50" s="237" t="s">
        <v>898</v>
      </c>
      <c r="K50" s="238" t="s">
        <v>898</v>
      </c>
      <c r="L50" t="s">
        <v>898</v>
      </c>
      <c r="M50" t="s">
        <v>898</v>
      </c>
      <c r="N50" t="s">
        <v>898</v>
      </c>
      <c r="O50" t="str">
        <f t="shared" si="1"/>
        <v/>
      </c>
      <c r="P50" t="s">
        <v>898</v>
      </c>
      <c r="Q50" t="s">
        <v>898</v>
      </c>
    </row>
    <row r="51">
      <c r="I51" t="s">
        <v>898</v>
      </c>
      <c r="J51" s="237" t="s">
        <v>898</v>
      </c>
      <c r="K51" s="238" t="s">
        <v>898</v>
      </c>
      <c r="L51" t="s">
        <v>898</v>
      </c>
      <c r="M51" t="s">
        <v>898</v>
      </c>
      <c r="N51" t="s">
        <v>898</v>
      </c>
      <c r="O51" t="str">
        <f t="shared" si="1"/>
        <v/>
      </c>
      <c r="P51" t="s">
        <v>898</v>
      </c>
      <c r="Q51" t="s">
        <v>898</v>
      </c>
    </row>
    <row r="52">
      <c r="I52" t="s">
        <v>898</v>
      </c>
      <c r="J52" s="237" t="s">
        <v>898</v>
      </c>
      <c r="K52" s="238" t="s">
        <v>898</v>
      </c>
      <c r="L52" t="s">
        <v>898</v>
      </c>
      <c r="M52" t="s">
        <v>898</v>
      </c>
      <c r="N52" t="s">
        <v>898</v>
      </c>
      <c r="O52" t="str">
        <f t="shared" si="1"/>
        <v/>
      </c>
      <c r="P52" t="s">
        <v>898</v>
      </c>
      <c r="Q52" t="s">
        <v>898</v>
      </c>
    </row>
    <row r="53">
      <c r="I53" t="s">
        <v>898</v>
      </c>
      <c r="J53" s="237" t="s">
        <v>898</v>
      </c>
      <c r="K53" s="238" t="s">
        <v>898</v>
      </c>
      <c r="L53" t="s">
        <v>898</v>
      </c>
      <c r="M53" t="s">
        <v>898</v>
      </c>
      <c r="N53" t="s">
        <v>898</v>
      </c>
      <c r="O53" t="str">
        <f t="shared" si="1"/>
        <v/>
      </c>
      <c r="P53" t="s">
        <v>898</v>
      </c>
      <c r="Q53" t="s">
        <v>898</v>
      </c>
    </row>
    <row r="54">
      <c r="I54" t="s">
        <v>898</v>
      </c>
      <c r="J54" s="237" t="s">
        <v>898</v>
      </c>
      <c r="K54" s="238" t="s">
        <v>898</v>
      </c>
      <c r="L54" t="s">
        <v>898</v>
      </c>
      <c r="M54" t="s">
        <v>898</v>
      </c>
      <c r="N54" t="s">
        <v>898</v>
      </c>
      <c r="O54" t="str">
        <f t="shared" si="1"/>
        <v/>
      </c>
      <c r="P54" t="s">
        <v>898</v>
      </c>
      <c r="Q54" t="s">
        <v>898</v>
      </c>
    </row>
    <row r="55">
      <c r="I55" t="s">
        <v>898</v>
      </c>
      <c r="J55" s="237" t="s">
        <v>898</v>
      </c>
      <c r="K55" s="238" t="s">
        <v>898</v>
      </c>
      <c r="L55" t="s">
        <v>898</v>
      </c>
      <c r="M55" t="s">
        <v>898</v>
      </c>
      <c r="N55" t="s">
        <v>898</v>
      </c>
      <c r="O55" t="str">
        <f t="shared" si="1"/>
        <v/>
      </c>
      <c r="P55" t="s">
        <v>898</v>
      </c>
      <c r="Q55" t="s">
        <v>898</v>
      </c>
    </row>
    <row r="56">
      <c r="I56" t="s">
        <v>898</v>
      </c>
      <c r="J56" s="237" t="s">
        <v>898</v>
      </c>
      <c r="K56" s="238" t="s">
        <v>898</v>
      </c>
      <c r="L56" t="s">
        <v>898</v>
      </c>
      <c r="M56" t="s">
        <v>898</v>
      </c>
      <c r="N56" t="s">
        <v>898</v>
      </c>
      <c r="O56" t="str">
        <f t="shared" si="1"/>
        <v/>
      </c>
      <c r="P56" t="s">
        <v>898</v>
      </c>
      <c r="Q56" t="s">
        <v>898</v>
      </c>
    </row>
    <row r="57">
      <c r="I57" t="s">
        <v>898</v>
      </c>
      <c r="J57" s="237" t="s">
        <v>898</v>
      </c>
      <c r="K57" s="238" t="s">
        <v>898</v>
      </c>
      <c r="L57" t="s">
        <v>898</v>
      </c>
      <c r="M57" t="s">
        <v>898</v>
      </c>
      <c r="N57" t="s">
        <v>898</v>
      </c>
      <c r="O57" t="str">
        <f t="shared" si="1"/>
        <v/>
      </c>
      <c r="P57" t="s">
        <v>898</v>
      </c>
      <c r="Q57" t="s">
        <v>898</v>
      </c>
    </row>
    <row r="58">
      <c r="I58" t="s">
        <v>898</v>
      </c>
      <c r="J58" s="237" t="s">
        <v>898</v>
      </c>
      <c r="K58" s="238" t="s">
        <v>898</v>
      </c>
      <c r="L58" t="s">
        <v>898</v>
      </c>
      <c r="M58" t="s">
        <v>898</v>
      </c>
      <c r="N58" t="s">
        <v>898</v>
      </c>
      <c r="O58" t="str">
        <f t="shared" si="1"/>
        <v/>
      </c>
      <c r="P58" t="s">
        <v>898</v>
      </c>
      <c r="Q58" t="s">
        <v>898</v>
      </c>
    </row>
    <row r="59">
      <c r="I59" t="s">
        <v>898</v>
      </c>
      <c r="J59" s="237" t="s">
        <v>898</v>
      </c>
      <c r="K59" s="238" t="s">
        <v>898</v>
      </c>
      <c r="L59" t="s">
        <v>898</v>
      </c>
      <c r="M59" t="s">
        <v>898</v>
      </c>
      <c r="N59" t="s">
        <v>898</v>
      </c>
      <c r="O59" t="str">
        <f t="shared" si="1"/>
        <v/>
      </c>
      <c r="P59" t="s">
        <v>898</v>
      </c>
      <c r="Q59" t="s">
        <v>898</v>
      </c>
    </row>
    <row r="60">
      <c r="I60" t="s">
        <v>898</v>
      </c>
      <c r="J60" s="237" t="s">
        <v>898</v>
      </c>
      <c r="K60" s="238" t="s">
        <v>898</v>
      </c>
      <c r="L60" t="s">
        <v>898</v>
      </c>
      <c r="M60" t="s">
        <v>898</v>
      </c>
      <c r="N60" t="s">
        <v>898</v>
      </c>
      <c r="O60" t="str">
        <f t="shared" si="1"/>
        <v/>
      </c>
      <c r="P60" t="s">
        <v>898</v>
      </c>
      <c r="Q60" t="s">
        <v>898</v>
      </c>
    </row>
    <row r="61">
      <c r="I61" t="s">
        <v>898</v>
      </c>
      <c r="J61" s="237" t="s">
        <v>898</v>
      </c>
      <c r="K61" s="238" t="s">
        <v>898</v>
      </c>
      <c r="L61" t="s">
        <v>898</v>
      </c>
      <c r="M61" t="s">
        <v>898</v>
      </c>
      <c r="N61" t="s">
        <v>898</v>
      </c>
      <c r="O61" t="str">
        <f t="shared" si="1"/>
        <v/>
      </c>
      <c r="P61" t="s">
        <v>898</v>
      </c>
      <c r="Q61" t="s">
        <v>898</v>
      </c>
    </row>
    <row r="62">
      <c r="I62" t="s">
        <v>898</v>
      </c>
      <c r="J62" s="237" t="s">
        <v>898</v>
      </c>
      <c r="K62" s="238" t="s">
        <v>898</v>
      </c>
      <c r="L62" t="s">
        <v>898</v>
      </c>
      <c r="M62" t="s">
        <v>898</v>
      </c>
      <c r="N62" t="s">
        <v>898</v>
      </c>
      <c r="O62" t="str">
        <f t="shared" si="1"/>
        <v/>
      </c>
      <c r="P62" t="s">
        <v>898</v>
      </c>
      <c r="Q62" t="s">
        <v>898</v>
      </c>
    </row>
    <row r="63">
      <c r="I63" t="s">
        <v>898</v>
      </c>
      <c r="J63" s="237" t="s">
        <v>898</v>
      </c>
      <c r="K63" s="238" t="s">
        <v>898</v>
      </c>
      <c r="L63" t="s">
        <v>898</v>
      </c>
      <c r="M63" t="s">
        <v>898</v>
      </c>
      <c r="N63" t="s">
        <v>898</v>
      </c>
      <c r="O63" t="str">
        <f t="shared" si="1"/>
        <v/>
      </c>
      <c r="P63" t="s">
        <v>898</v>
      </c>
      <c r="Q63" t="s">
        <v>898</v>
      </c>
    </row>
    <row r="64">
      <c r="I64" t="s">
        <v>898</v>
      </c>
      <c r="J64" s="237" t="s">
        <v>898</v>
      </c>
      <c r="K64" s="238" t="s">
        <v>898</v>
      </c>
      <c r="L64" t="s">
        <v>898</v>
      </c>
      <c r="M64" t="s">
        <v>898</v>
      </c>
      <c r="N64" t="s">
        <v>898</v>
      </c>
      <c r="O64" t="str">
        <f t="shared" si="1"/>
        <v/>
      </c>
      <c r="P64" t="s">
        <v>898</v>
      </c>
      <c r="Q64" t="s">
        <v>898</v>
      </c>
    </row>
    <row r="65">
      <c r="I65" t="s">
        <v>898</v>
      </c>
      <c r="J65" s="237" t="s">
        <v>898</v>
      </c>
      <c r="K65" s="238" t="s">
        <v>898</v>
      </c>
      <c r="L65" t="s">
        <v>898</v>
      </c>
      <c r="M65" t="s">
        <v>898</v>
      </c>
      <c r="N65" t="s">
        <v>898</v>
      </c>
      <c r="O65" t="str">
        <f t="shared" si="1"/>
        <v/>
      </c>
      <c r="P65" t="s">
        <v>898</v>
      </c>
      <c r="Q65" t="s">
        <v>898</v>
      </c>
    </row>
    <row r="66">
      <c r="I66" t="s">
        <v>898</v>
      </c>
      <c r="J66" s="237" t="s">
        <v>898</v>
      </c>
      <c r="K66" s="238" t="s">
        <v>898</v>
      </c>
      <c r="L66" t="s">
        <v>898</v>
      </c>
      <c r="M66" t="s">
        <v>898</v>
      </c>
      <c r="N66" t="s">
        <v>898</v>
      </c>
      <c r="O66" t="str">
        <f t="shared" si="1"/>
        <v/>
      </c>
      <c r="P66" t="s">
        <v>898</v>
      </c>
      <c r="Q66" t="s">
        <v>898</v>
      </c>
    </row>
    <row r="67">
      <c r="I67" t="s">
        <v>898</v>
      </c>
      <c r="J67" s="237" t="s">
        <v>898</v>
      </c>
      <c r="K67" s="238" t="s">
        <v>898</v>
      </c>
      <c r="L67" t="s">
        <v>898</v>
      </c>
      <c r="M67" t="s">
        <v>898</v>
      </c>
      <c r="N67" t="s">
        <v>898</v>
      </c>
      <c r="O67" t="str">
        <f t="shared" si="1"/>
        <v/>
      </c>
      <c r="P67" t="s">
        <v>898</v>
      </c>
      <c r="Q67" t="s">
        <v>898</v>
      </c>
    </row>
    <row r="68">
      <c r="I68" t="s">
        <v>898</v>
      </c>
      <c r="J68" s="237" t="s">
        <v>898</v>
      </c>
      <c r="K68" s="238" t="s">
        <v>898</v>
      </c>
      <c r="L68" t="s">
        <v>898</v>
      </c>
      <c r="M68" t="s">
        <v>898</v>
      </c>
      <c r="N68" t="s">
        <v>898</v>
      </c>
      <c r="O68" t="str">
        <f t="shared" si="1"/>
        <v/>
      </c>
      <c r="P68" t="s">
        <v>898</v>
      </c>
      <c r="Q68" t="s">
        <v>898</v>
      </c>
    </row>
    <row r="69">
      <c r="I69" t="s">
        <v>898</v>
      </c>
      <c r="J69" s="237" t="s">
        <v>898</v>
      </c>
      <c r="K69" s="238" t="s">
        <v>898</v>
      </c>
      <c r="L69" t="s">
        <v>898</v>
      </c>
      <c r="M69" t="s">
        <v>898</v>
      </c>
      <c r="N69" t="s">
        <v>898</v>
      </c>
      <c r="O69" t="str">
        <f t="shared" si="1"/>
        <v/>
      </c>
      <c r="P69" t="s">
        <v>898</v>
      </c>
      <c r="Q69" t="s">
        <v>898</v>
      </c>
    </row>
    <row r="70">
      <c r="I70" t="s">
        <v>898</v>
      </c>
      <c r="J70" s="237" t="s">
        <v>898</v>
      </c>
      <c r="K70" s="238" t="s">
        <v>898</v>
      </c>
      <c r="L70" t="s">
        <v>898</v>
      </c>
      <c r="M70" t="s">
        <v>898</v>
      </c>
      <c r="N70" t="s">
        <v>898</v>
      </c>
      <c r="O70" t="str">
        <f t="shared" si="1"/>
        <v/>
      </c>
      <c r="P70" t="s">
        <v>898</v>
      </c>
      <c r="Q70" t="s">
        <v>898</v>
      </c>
    </row>
    <row r="71">
      <c r="I71" t="s">
        <v>898</v>
      </c>
      <c r="J71" s="237" t="s">
        <v>898</v>
      </c>
      <c r="K71" s="238" t="s">
        <v>898</v>
      </c>
      <c r="L71" t="s">
        <v>898</v>
      </c>
      <c r="M71" t="s">
        <v>898</v>
      </c>
      <c r="N71" t="s">
        <v>898</v>
      </c>
      <c r="O71" t="str">
        <f t="shared" si="1"/>
        <v/>
      </c>
      <c r="P71" t="s">
        <v>898</v>
      </c>
      <c r="Q71" t="s">
        <v>898</v>
      </c>
    </row>
    <row r="72">
      <c r="I72" t="s">
        <v>898</v>
      </c>
      <c r="J72" s="237" t="s">
        <v>898</v>
      </c>
      <c r="K72" s="238" t="s">
        <v>898</v>
      </c>
      <c r="L72" t="s">
        <v>898</v>
      </c>
      <c r="M72" t="s">
        <v>898</v>
      </c>
      <c r="N72" t="s">
        <v>898</v>
      </c>
      <c r="O72" t="str">
        <f t="shared" si="1"/>
        <v/>
      </c>
      <c r="P72" t="s">
        <v>898</v>
      </c>
      <c r="Q72" t="s">
        <v>898</v>
      </c>
    </row>
    <row r="73">
      <c r="I73" t="s">
        <v>898</v>
      </c>
      <c r="J73" s="237" t="s">
        <v>898</v>
      </c>
      <c r="K73" s="238" t="s">
        <v>898</v>
      </c>
      <c r="L73" t="s">
        <v>898</v>
      </c>
      <c r="M73" t="s">
        <v>898</v>
      </c>
      <c r="N73" t="s">
        <v>898</v>
      </c>
      <c r="O73" t="str">
        <f t="shared" si="1"/>
        <v/>
      </c>
      <c r="P73" t="s">
        <v>898</v>
      </c>
      <c r="Q73" t="s">
        <v>898</v>
      </c>
    </row>
    <row r="74">
      <c r="I74" t="s">
        <v>898</v>
      </c>
      <c r="J74" s="237" t="s">
        <v>898</v>
      </c>
      <c r="K74" s="238" t="s">
        <v>898</v>
      </c>
      <c r="L74" t="s">
        <v>898</v>
      </c>
      <c r="M74" t="s">
        <v>898</v>
      </c>
      <c r="N74" t="s">
        <v>898</v>
      </c>
      <c r="O74" t="str">
        <f t="shared" si="1"/>
        <v/>
      </c>
      <c r="P74" t="s">
        <v>898</v>
      </c>
      <c r="Q74" t="s">
        <v>898</v>
      </c>
    </row>
    <row r="75">
      <c r="I75" t="s">
        <v>898</v>
      </c>
      <c r="J75" s="237" t="s">
        <v>898</v>
      </c>
      <c r="K75" s="238" t="s">
        <v>898</v>
      </c>
      <c r="L75" t="s">
        <v>898</v>
      </c>
      <c r="M75" t="s">
        <v>898</v>
      </c>
      <c r="N75" t="s">
        <v>898</v>
      </c>
      <c r="O75" t="str">
        <f t="shared" si="1"/>
        <v/>
      </c>
      <c r="P75" t="s">
        <v>898</v>
      </c>
      <c r="Q75" t="s">
        <v>898</v>
      </c>
    </row>
    <row r="76">
      <c r="I76" t="s">
        <v>898</v>
      </c>
      <c r="J76" s="237" t="s">
        <v>898</v>
      </c>
      <c r="K76" s="238" t="s">
        <v>898</v>
      </c>
      <c r="L76" t="s">
        <v>898</v>
      </c>
      <c r="M76" t="s">
        <v>898</v>
      </c>
      <c r="N76" t="s">
        <v>898</v>
      </c>
      <c r="O76" t="str">
        <f t="shared" si="1"/>
        <v/>
      </c>
      <c r="P76" t="s">
        <v>898</v>
      </c>
      <c r="Q76" t="s">
        <v>898</v>
      </c>
    </row>
    <row r="77">
      <c r="I77" t="s">
        <v>898</v>
      </c>
      <c r="J77" s="237" t="s">
        <v>898</v>
      </c>
      <c r="K77" s="238" t="s">
        <v>898</v>
      </c>
      <c r="L77" t="s">
        <v>898</v>
      </c>
      <c r="M77" t="s">
        <v>898</v>
      </c>
      <c r="N77" t="s">
        <v>898</v>
      </c>
      <c r="O77" t="str">
        <f t="shared" si="1"/>
        <v/>
      </c>
      <c r="P77" t="s">
        <v>898</v>
      </c>
      <c r="Q77" t="s">
        <v>898</v>
      </c>
    </row>
    <row r="78">
      <c r="I78" t="s">
        <v>898</v>
      </c>
      <c r="J78" s="237" t="s">
        <v>898</v>
      </c>
      <c r="K78" s="238" t="s">
        <v>898</v>
      </c>
      <c r="L78" t="s">
        <v>898</v>
      </c>
      <c r="M78" t="s">
        <v>898</v>
      </c>
      <c r="N78" t="s">
        <v>898</v>
      </c>
      <c r="O78" t="str">
        <f t="shared" si="1"/>
        <v/>
      </c>
      <c r="P78" t="s">
        <v>898</v>
      </c>
      <c r="Q78" t="s">
        <v>898</v>
      </c>
    </row>
    <row r="79">
      <c r="I79" t="s">
        <v>898</v>
      </c>
      <c r="J79" s="237" t="s">
        <v>898</v>
      </c>
      <c r="K79" s="238" t="s">
        <v>898</v>
      </c>
      <c r="L79" t="s">
        <v>898</v>
      </c>
      <c r="M79" t="s">
        <v>898</v>
      </c>
      <c r="N79" t="s">
        <v>898</v>
      </c>
      <c r="O79" t="str">
        <f t="shared" si="1"/>
        <v/>
      </c>
      <c r="P79" t="s">
        <v>898</v>
      </c>
      <c r="Q79" t="s">
        <v>898</v>
      </c>
    </row>
    <row r="80">
      <c r="I80" t="s">
        <v>898</v>
      </c>
      <c r="J80" s="237" t="s">
        <v>898</v>
      </c>
      <c r="K80" s="238" t="s">
        <v>898</v>
      </c>
      <c r="L80" t="s">
        <v>898</v>
      </c>
      <c r="M80" t="s">
        <v>898</v>
      </c>
      <c r="N80" t="s">
        <v>898</v>
      </c>
      <c r="O80" t="str">
        <f t="shared" si="1"/>
        <v/>
      </c>
      <c r="P80" t="s">
        <v>898</v>
      </c>
      <c r="Q80" t="s">
        <v>898</v>
      </c>
    </row>
    <row r="81">
      <c r="I81" t="s">
        <v>898</v>
      </c>
      <c r="J81" s="237" t="s">
        <v>898</v>
      </c>
      <c r="K81" s="238" t="s">
        <v>898</v>
      </c>
      <c r="L81" t="s">
        <v>898</v>
      </c>
      <c r="M81" t="s">
        <v>898</v>
      </c>
      <c r="N81" t="s">
        <v>898</v>
      </c>
      <c r="O81" t="str">
        <f t="shared" si="1"/>
        <v/>
      </c>
      <c r="P81" t="s">
        <v>898</v>
      </c>
      <c r="Q81" t="s">
        <v>898</v>
      </c>
    </row>
    <row r="82">
      <c r="I82" t="s">
        <v>898</v>
      </c>
      <c r="J82" s="237" t="s">
        <v>898</v>
      </c>
      <c r="K82" s="238" t="s">
        <v>898</v>
      </c>
      <c r="L82" t="s">
        <v>898</v>
      </c>
      <c r="M82" t="s">
        <v>898</v>
      </c>
      <c r="N82" t="s">
        <v>898</v>
      </c>
      <c r="O82" t="str">
        <f t="shared" si="1"/>
        <v/>
      </c>
      <c r="P82" t="s">
        <v>898</v>
      </c>
      <c r="Q82" t="s">
        <v>898</v>
      </c>
    </row>
    <row r="83">
      <c r="I83" t="s">
        <v>898</v>
      </c>
      <c r="J83" s="237" t="s">
        <v>898</v>
      </c>
      <c r="K83" s="238" t="s">
        <v>898</v>
      </c>
      <c r="L83" t="s">
        <v>898</v>
      </c>
      <c r="M83" t="s">
        <v>898</v>
      </c>
      <c r="N83" t="s">
        <v>898</v>
      </c>
      <c r="O83" t="str">
        <f t="shared" si="1"/>
        <v/>
      </c>
      <c r="P83" t="s">
        <v>898</v>
      </c>
      <c r="Q83" t="s">
        <v>898</v>
      </c>
    </row>
    <row r="84">
      <c r="I84" t="s">
        <v>898</v>
      </c>
      <c r="J84" s="237" t="s">
        <v>898</v>
      </c>
      <c r="K84" s="238" t="s">
        <v>898</v>
      </c>
      <c r="L84" t="s">
        <v>898</v>
      </c>
      <c r="M84" t="s">
        <v>898</v>
      </c>
      <c r="N84" t="s">
        <v>898</v>
      </c>
      <c r="O84" t="str">
        <f t="shared" si="1"/>
        <v/>
      </c>
      <c r="P84" t="s">
        <v>898</v>
      </c>
      <c r="Q84" t="s">
        <v>898</v>
      </c>
    </row>
    <row r="85">
      <c r="I85" t="s">
        <v>898</v>
      </c>
      <c r="J85" s="237" t="s">
        <v>898</v>
      </c>
      <c r="K85" s="238" t="s">
        <v>898</v>
      </c>
      <c r="L85" t="s">
        <v>898</v>
      </c>
      <c r="M85" t="s">
        <v>898</v>
      </c>
      <c r="N85" t="s">
        <v>898</v>
      </c>
      <c r="O85" t="str">
        <f t="shared" si="1"/>
        <v/>
      </c>
      <c r="P85" t="s">
        <v>898</v>
      </c>
      <c r="Q85" t="s">
        <v>898</v>
      </c>
    </row>
    <row r="86">
      <c r="I86" t="s">
        <v>898</v>
      </c>
      <c r="J86" s="237" t="s">
        <v>898</v>
      </c>
      <c r="K86" s="238" t="s">
        <v>898</v>
      </c>
      <c r="L86" t="s">
        <v>898</v>
      </c>
      <c r="M86" t="s">
        <v>898</v>
      </c>
      <c r="N86" t="s">
        <v>898</v>
      </c>
      <c r="O86" t="str">
        <f t="shared" si="1"/>
        <v/>
      </c>
      <c r="P86" t="s">
        <v>898</v>
      </c>
      <c r="Q86" t="s">
        <v>898</v>
      </c>
    </row>
    <row r="87">
      <c r="I87" t="s">
        <v>898</v>
      </c>
      <c r="J87" s="237" t="s">
        <v>898</v>
      </c>
      <c r="K87" s="238" t="s">
        <v>898</v>
      </c>
      <c r="L87" t="s">
        <v>898</v>
      </c>
      <c r="M87" t="s">
        <v>898</v>
      </c>
      <c r="N87" t="s">
        <v>898</v>
      </c>
      <c r="O87" t="str">
        <f t="shared" si="1"/>
        <v/>
      </c>
      <c r="P87" t="s">
        <v>898</v>
      </c>
      <c r="Q87" t="s">
        <v>898</v>
      </c>
    </row>
    <row r="88">
      <c r="I88" t="s">
        <v>898</v>
      </c>
      <c r="J88" s="237" t="s">
        <v>898</v>
      </c>
      <c r="K88" s="238" t="s">
        <v>898</v>
      </c>
      <c r="L88" t="s">
        <v>898</v>
      </c>
      <c r="M88" t="s">
        <v>898</v>
      </c>
      <c r="N88" t="s">
        <v>898</v>
      </c>
      <c r="O88" t="str">
        <f t="shared" si="1"/>
        <v/>
      </c>
      <c r="P88" t="s">
        <v>898</v>
      </c>
      <c r="Q88" t="s">
        <v>898</v>
      </c>
    </row>
    <row r="89">
      <c r="I89" t="s">
        <v>898</v>
      </c>
      <c r="J89" s="237" t="s">
        <v>898</v>
      </c>
      <c r="K89" s="238" t="s">
        <v>898</v>
      </c>
      <c r="L89" t="s">
        <v>898</v>
      </c>
      <c r="M89" t="s">
        <v>898</v>
      </c>
      <c r="N89" t="s">
        <v>898</v>
      </c>
      <c r="O89" t="str">
        <f t="shared" si="1"/>
        <v/>
      </c>
      <c r="P89" t="s">
        <v>898</v>
      </c>
      <c r="Q89" t="s">
        <v>898</v>
      </c>
    </row>
    <row r="90">
      <c r="I90" t="s">
        <v>898</v>
      </c>
      <c r="J90" s="237" t="s">
        <v>898</v>
      </c>
      <c r="K90" s="238" t="s">
        <v>898</v>
      </c>
      <c r="L90" t="s">
        <v>898</v>
      </c>
      <c r="M90" t="s">
        <v>898</v>
      </c>
      <c r="N90" t="s">
        <v>898</v>
      </c>
      <c r="O90" t="str">
        <f t="shared" si="1"/>
        <v/>
      </c>
      <c r="P90" t="s">
        <v>898</v>
      </c>
      <c r="Q90" t="s">
        <v>898</v>
      </c>
    </row>
    <row r="91">
      <c r="I91" t="s">
        <v>898</v>
      </c>
      <c r="J91" s="237" t="s">
        <v>898</v>
      </c>
      <c r="K91" s="238" t="s">
        <v>898</v>
      </c>
      <c r="L91" t="s">
        <v>898</v>
      </c>
      <c r="M91" t="s">
        <v>898</v>
      </c>
      <c r="N91" t="s">
        <v>898</v>
      </c>
      <c r="O91" t="str">
        <f t="shared" si="1"/>
        <v/>
      </c>
      <c r="P91" t="s">
        <v>898</v>
      </c>
      <c r="Q91" t="s">
        <v>898</v>
      </c>
    </row>
    <row r="92">
      <c r="I92" t="s">
        <v>898</v>
      </c>
      <c r="J92" s="237" t="s">
        <v>898</v>
      </c>
      <c r="K92" s="238" t="s">
        <v>898</v>
      </c>
      <c r="L92" t="s">
        <v>898</v>
      </c>
      <c r="M92" t="s">
        <v>898</v>
      </c>
      <c r="N92" t="s">
        <v>898</v>
      </c>
      <c r="O92" t="str">
        <f t="shared" si="1"/>
        <v/>
      </c>
      <c r="P92" t="s">
        <v>898</v>
      </c>
      <c r="Q92" t="s">
        <v>898</v>
      </c>
    </row>
    <row r="93">
      <c r="I93" t="s">
        <v>898</v>
      </c>
      <c r="J93" s="237" t="s">
        <v>898</v>
      </c>
      <c r="K93" s="238" t="s">
        <v>898</v>
      </c>
      <c r="L93" t="s">
        <v>898</v>
      </c>
      <c r="M93" t="s">
        <v>898</v>
      </c>
      <c r="N93" t="s">
        <v>898</v>
      </c>
      <c r="O93" t="str">
        <f t="shared" si="1"/>
        <v/>
      </c>
      <c r="P93" t="s">
        <v>898</v>
      </c>
      <c r="Q93" t="s">
        <v>898</v>
      </c>
    </row>
    <row r="94">
      <c r="I94" t="s">
        <v>898</v>
      </c>
      <c r="J94" s="237" t="s">
        <v>898</v>
      </c>
      <c r="K94" s="238" t="s">
        <v>898</v>
      </c>
      <c r="L94" t="s">
        <v>898</v>
      </c>
      <c r="M94" t="s">
        <v>898</v>
      </c>
      <c r="N94" t="s">
        <v>898</v>
      </c>
      <c r="O94" t="str">
        <f t="shared" si="1"/>
        <v/>
      </c>
      <c r="P94" t="s">
        <v>898</v>
      </c>
      <c r="Q94" t="s">
        <v>898</v>
      </c>
    </row>
    <row r="95">
      <c r="I95" t="s">
        <v>898</v>
      </c>
      <c r="J95" s="237" t="s">
        <v>898</v>
      </c>
      <c r="K95" s="238" t="s">
        <v>898</v>
      </c>
      <c r="L95" t="s">
        <v>898</v>
      </c>
      <c r="M95" t="s">
        <v>898</v>
      </c>
      <c r="N95" t="s">
        <v>898</v>
      </c>
      <c r="O95" t="str">
        <f t="shared" si="1"/>
        <v/>
      </c>
      <c r="P95" t="s">
        <v>898</v>
      </c>
      <c r="Q95" t="s">
        <v>898</v>
      </c>
    </row>
    <row r="96">
      <c r="I96" t="s">
        <v>898</v>
      </c>
      <c r="J96" s="237" t="s">
        <v>898</v>
      </c>
      <c r="K96" s="238" t="s">
        <v>898</v>
      </c>
      <c r="L96" t="s">
        <v>898</v>
      </c>
      <c r="M96" t="s">
        <v>898</v>
      </c>
      <c r="N96" t="s">
        <v>898</v>
      </c>
      <c r="O96" t="str">
        <f t="shared" si="1"/>
        <v/>
      </c>
      <c r="P96" t="s">
        <v>898</v>
      </c>
      <c r="Q96" t="s">
        <v>898</v>
      </c>
    </row>
    <row r="97">
      <c r="I97" t="s">
        <v>898</v>
      </c>
      <c r="J97" s="237" t="s">
        <v>898</v>
      </c>
      <c r="K97" s="238" t="s">
        <v>898</v>
      </c>
      <c r="L97" t="s">
        <v>898</v>
      </c>
      <c r="M97" t="s">
        <v>898</v>
      </c>
      <c r="N97" t="s">
        <v>898</v>
      </c>
      <c r="O97" t="str">
        <f t="shared" si="1"/>
        <v/>
      </c>
      <c r="P97" t="s">
        <v>898</v>
      </c>
      <c r="Q97" t="s">
        <v>898</v>
      </c>
    </row>
    <row r="98">
      <c r="I98" t="s">
        <v>898</v>
      </c>
      <c r="J98" s="237" t="s">
        <v>898</v>
      </c>
      <c r="K98" s="238" t="s">
        <v>898</v>
      </c>
      <c r="L98" t="s">
        <v>898</v>
      </c>
      <c r="M98" t="s">
        <v>898</v>
      </c>
      <c r="N98" t="s">
        <v>898</v>
      </c>
      <c r="O98" t="str">
        <f t="shared" si="1"/>
        <v/>
      </c>
      <c r="P98" t="s">
        <v>898</v>
      </c>
      <c r="Q98" t="s">
        <v>898</v>
      </c>
    </row>
    <row r="99">
      <c r="I99" t="s">
        <v>898</v>
      </c>
      <c r="J99" s="237" t="s">
        <v>898</v>
      </c>
      <c r="K99" s="238" t="s">
        <v>898</v>
      </c>
      <c r="L99" t="s">
        <v>898</v>
      </c>
      <c r="M99" t="s">
        <v>898</v>
      </c>
      <c r="N99" t="s">
        <v>898</v>
      </c>
      <c r="O99" t="str">
        <f t="shared" si="1"/>
        <v/>
      </c>
      <c r="P99" t="s">
        <v>898</v>
      </c>
      <c r="Q99" t="s">
        <v>898</v>
      </c>
    </row>
    <row r="100">
      <c r="I100" t="s">
        <v>898</v>
      </c>
      <c r="J100" s="237" t="s">
        <v>898</v>
      </c>
      <c r="K100" s="238" t="s">
        <v>898</v>
      </c>
      <c r="L100" t="s">
        <v>898</v>
      </c>
      <c r="M100" t="s">
        <v>898</v>
      </c>
      <c r="N100" t="s">
        <v>898</v>
      </c>
      <c r="O100" t="str">
        <f t="shared" si="1"/>
        <v/>
      </c>
      <c r="P100" t="s">
        <v>898</v>
      </c>
      <c r="Q100" t="s">
        <v>898</v>
      </c>
    </row>
    <row r="101">
      <c r="I101" t="s">
        <v>898</v>
      </c>
      <c r="J101" s="237" t="s">
        <v>898</v>
      </c>
      <c r="K101" s="238" t="s">
        <v>898</v>
      </c>
      <c r="L101" t="s">
        <v>898</v>
      </c>
      <c r="M101" t="s">
        <v>898</v>
      </c>
      <c r="N101" t="s">
        <v>898</v>
      </c>
      <c r="O101" t="str">
        <f t="shared" si="1"/>
        <v/>
      </c>
      <c r="P101" t="s">
        <v>898</v>
      </c>
      <c r="Q101" t="s">
        <v>898</v>
      </c>
    </row>
    <row r="102">
      <c r="I102" t="s">
        <v>898</v>
      </c>
      <c r="J102" s="237" t="s">
        <v>898</v>
      </c>
      <c r="K102" s="238" t="s">
        <v>898</v>
      </c>
      <c r="L102" t="s">
        <v>898</v>
      </c>
      <c r="M102" t="s">
        <v>898</v>
      </c>
      <c r="N102" t="s">
        <v>898</v>
      </c>
      <c r="O102" t="str">
        <f t="shared" si="1"/>
        <v/>
      </c>
      <c r="P102" t="s">
        <v>898</v>
      </c>
      <c r="Q102" t="s">
        <v>898</v>
      </c>
    </row>
    <row r="103">
      <c r="I103" t="s">
        <v>898</v>
      </c>
      <c r="J103" s="237" t="s">
        <v>898</v>
      </c>
      <c r="K103" s="238" t="s">
        <v>898</v>
      </c>
      <c r="L103" t="s">
        <v>898</v>
      </c>
      <c r="M103" t="s">
        <v>898</v>
      </c>
      <c r="N103" t="s">
        <v>898</v>
      </c>
      <c r="O103" t="str">
        <f t="shared" si="1"/>
        <v/>
      </c>
      <c r="P103" t="s">
        <v>898</v>
      </c>
      <c r="Q103" t="s">
        <v>898</v>
      </c>
    </row>
    <row r="104">
      <c r="I104" t="s">
        <v>898</v>
      </c>
      <c r="J104" s="237" t="s">
        <v>898</v>
      </c>
      <c r="K104" s="238" t="s">
        <v>898</v>
      </c>
      <c r="L104" t="s">
        <v>898</v>
      </c>
      <c r="M104" t="s">
        <v>898</v>
      </c>
      <c r="N104" t="s">
        <v>898</v>
      </c>
      <c r="O104" t="str">
        <f t="shared" si="1"/>
        <v/>
      </c>
      <c r="P104" t="s">
        <v>898</v>
      </c>
      <c r="Q104" t="s">
        <v>898</v>
      </c>
    </row>
    <row r="105">
      <c r="I105" t="s">
        <v>898</v>
      </c>
      <c r="J105" s="237" t="s">
        <v>898</v>
      </c>
      <c r="K105" s="238" t="s">
        <v>898</v>
      </c>
      <c r="L105" t="s">
        <v>898</v>
      </c>
      <c r="M105" t="s">
        <v>898</v>
      </c>
      <c r="N105" t="s">
        <v>898</v>
      </c>
      <c r="O105" t="str">
        <f t="shared" si="1"/>
        <v/>
      </c>
      <c r="P105" t="s">
        <v>898</v>
      </c>
      <c r="Q105" t="s">
        <v>898</v>
      </c>
    </row>
    <row r="106">
      <c r="I106" t="s">
        <v>898</v>
      </c>
      <c r="J106" s="237" t="s">
        <v>898</v>
      </c>
      <c r="K106" s="238" t="s">
        <v>898</v>
      </c>
      <c r="L106" t="s">
        <v>898</v>
      </c>
      <c r="M106" t="s">
        <v>898</v>
      </c>
      <c r="N106" t="s">
        <v>898</v>
      </c>
      <c r="O106" t="str">
        <f t="shared" si="1"/>
        <v/>
      </c>
      <c r="P106" t="s">
        <v>898</v>
      </c>
      <c r="Q106" t="s">
        <v>898</v>
      </c>
    </row>
    <row r="107">
      <c r="I107" t="s">
        <v>898</v>
      </c>
      <c r="J107" s="237" t="s">
        <v>898</v>
      </c>
      <c r="K107" s="238" t="s">
        <v>898</v>
      </c>
      <c r="L107" t="s">
        <v>898</v>
      </c>
      <c r="M107" t="s">
        <v>898</v>
      </c>
      <c r="N107" t="s">
        <v>898</v>
      </c>
      <c r="O107" t="str">
        <f t="shared" si="1"/>
        <v/>
      </c>
      <c r="P107" t="s">
        <v>898</v>
      </c>
      <c r="Q107" t="s">
        <v>898</v>
      </c>
    </row>
    <row r="108">
      <c r="I108" t="s">
        <v>898</v>
      </c>
      <c r="J108" s="237" t="s">
        <v>898</v>
      </c>
      <c r="K108" s="238" t="s">
        <v>898</v>
      </c>
      <c r="L108" t="s">
        <v>898</v>
      </c>
      <c r="M108" t="s">
        <v>898</v>
      </c>
      <c r="N108" t="s">
        <v>898</v>
      </c>
      <c r="O108" t="str">
        <f t="shared" si="1"/>
        <v/>
      </c>
      <c r="P108" t="s">
        <v>898</v>
      </c>
      <c r="Q108" t="s">
        <v>898</v>
      </c>
    </row>
    <row r="109">
      <c r="I109" t="s">
        <v>898</v>
      </c>
      <c r="J109" s="237" t="s">
        <v>898</v>
      </c>
      <c r="K109" s="238" t="s">
        <v>898</v>
      </c>
      <c r="L109" t="s">
        <v>898</v>
      </c>
      <c r="M109" t="s">
        <v>898</v>
      </c>
      <c r="N109" t="s">
        <v>898</v>
      </c>
      <c r="O109" t="str">
        <f t="shared" si="1"/>
        <v/>
      </c>
      <c r="P109" t="s">
        <v>898</v>
      </c>
      <c r="Q109" t="s">
        <v>898</v>
      </c>
    </row>
    <row r="110">
      <c r="I110" t="s">
        <v>898</v>
      </c>
      <c r="J110" s="237" t="s">
        <v>898</v>
      </c>
      <c r="K110" s="238" t="s">
        <v>898</v>
      </c>
      <c r="L110" t="s">
        <v>898</v>
      </c>
      <c r="M110" t="s">
        <v>898</v>
      </c>
      <c r="N110" t="s">
        <v>898</v>
      </c>
      <c r="O110" t="str">
        <f t="shared" si="1"/>
        <v/>
      </c>
      <c r="P110" t="s">
        <v>898</v>
      </c>
      <c r="Q110" t="s">
        <v>898</v>
      </c>
    </row>
    <row r="111">
      <c r="I111" t="s">
        <v>898</v>
      </c>
      <c r="J111" s="237" t="s">
        <v>898</v>
      </c>
      <c r="K111" s="238" t="s">
        <v>898</v>
      </c>
      <c r="L111" t="s">
        <v>898</v>
      </c>
      <c r="M111" t="s">
        <v>898</v>
      </c>
      <c r="N111" t="s">
        <v>898</v>
      </c>
      <c r="O111" t="str">
        <f t="shared" si="1"/>
        <v/>
      </c>
      <c r="P111" t="s">
        <v>898</v>
      </c>
      <c r="Q111" t="s">
        <v>898</v>
      </c>
    </row>
    <row r="112">
      <c r="I112" t="s">
        <v>898</v>
      </c>
      <c r="J112" s="237" t="s">
        <v>898</v>
      </c>
      <c r="K112" s="238" t="s">
        <v>898</v>
      </c>
      <c r="L112" t="s">
        <v>898</v>
      </c>
      <c r="M112" t="s">
        <v>898</v>
      </c>
      <c r="N112" t="s">
        <v>898</v>
      </c>
      <c r="O112" t="str">
        <f t="shared" si="1"/>
        <v/>
      </c>
      <c r="P112" t="s">
        <v>898</v>
      </c>
      <c r="Q112" t="s">
        <v>898</v>
      </c>
    </row>
    <row r="113">
      <c r="I113" t="s">
        <v>898</v>
      </c>
      <c r="J113" s="237" t="s">
        <v>898</v>
      </c>
      <c r="K113" s="238" t="s">
        <v>898</v>
      </c>
      <c r="L113" t="s">
        <v>898</v>
      </c>
      <c r="M113" t="s">
        <v>898</v>
      </c>
      <c r="N113" t="s">
        <v>898</v>
      </c>
      <c r="O113" t="str">
        <f t="shared" si="1"/>
        <v/>
      </c>
      <c r="P113" t="s">
        <v>898</v>
      </c>
      <c r="Q113" t="s">
        <v>898</v>
      </c>
    </row>
    <row r="114">
      <c r="I114" t="s">
        <v>898</v>
      </c>
      <c r="J114" s="237" t="s">
        <v>898</v>
      </c>
      <c r="K114" s="238" t="s">
        <v>898</v>
      </c>
      <c r="L114" t="s">
        <v>898</v>
      </c>
      <c r="M114" t="s">
        <v>898</v>
      </c>
      <c r="N114" t="s">
        <v>898</v>
      </c>
      <c r="O114" t="str">
        <f t="shared" si="1"/>
        <v/>
      </c>
      <c r="P114" t="s">
        <v>898</v>
      </c>
      <c r="Q114" t="s">
        <v>898</v>
      </c>
    </row>
    <row r="115">
      <c r="I115" t="s">
        <v>898</v>
      </c>
      <c r="J115" s="237" t="s">
        <v>898</v>
      </c>
      <c r="K115" s="238" t="s">
        <v>898</v>
      </c>
      <c r="L115" t="s">
        <v>898</v>
      </c>
      <c r="M115" t="s">
        <v>898</v>
      </c>
      <c r="N115" t="s">
        <v>898</v>
      </c>
      <c r="O115" t="str">
        <f t="shared" si="1"/>
        <v/>
      </c>
      <c r="P115" t="s">
        <v>898</v>
      </c>
      <c r="Q115" t="s">
        <v>898</v>
      </c>
    </row>
    <row r="116">
      <c r="I116" t="s">
        <v>898</v>
      </c>
      <c r="J116" s="237" t="s">
        <v>898</v>
      </c>
      <c r="K116" s="238" t="s">
        <v>898</v>
      </c>
      <c r="L116" t="s">
        <v>898</v>
      </c>
      <c r="M116" t="s">
        <v>898</v>
      </c>
      <c r="N116" t="s">
        <v>898</v>
      </c>
      <c r="O116" t="str">
        <f t="shared" si="1"/>
        <v/>
      </c>
      <c r="P116" t="s">
        <v>898</v>
      </c>
      <c r="Q116" t="s">
        <v>898</v>
      </c>
    </row>
    <row r="117">
      <c r="I117" t="s">
        <v>898</v>
      </c>
      <c r="J117" s="237" t="s">
        <v>898</v>
      </c>
      <c r="K117" s="238" t="s">
        <v>898</v>
      </c>
      <c r="L117" t="s">
        <v>898</v>
      </c>
      <c r="M117" t="s">
        <v>898</v>
      </c>
      <c r="N117" t="s">
        <v>898</v>
      </c>
      <c r="O117" t="str">
        <f t="shared" si="1"/>
        <v/>
      </c>
      <c r="P117" t="s">
        <v>898</v>
      </c>
      <c r="Q117" t="s">
        <v>898</v>
      </c>
    </row>
    <row r="118">
      <c r="I118" t="s">
        <v>898</v>
      </c>
      <c r="J118" s="237" t="s">
        <v>898</v>
      </c>
      <c r="K118" s="238" t="s">
        <v>898</v>
      </c>
      <c r="L118" t="s">
        <v>898</v>
      </c>
      <c r="M118" t="s">
        <v>898</v>
      </c>
      <c r="N118" t="s">
        <v>898</v>
      </c>
      <c r="O118" t="str">
        <f t="shared" si="1"/>
        <v/>
      </c>
      <c r="P118" t="s">
        <v>898</v>
      </c>
      <c r="Q118" t="s">
        <v>898</v>
      </c>
    </row>
    <row r="119">
      <c r="I119" t="s">
        <v>898</v>
      </c>
      <c r="J119" s="237" t="s">
        <v>898</v>
      </c>
      <c r="K119" s="238" t="s">
        <v>898</v>
      </c>
      <c r="L119" t="s">
        <v>898</v>
      </c>
      <c r="M119" t="s">
        <v>898</v>
      </c>
      <c r="N119" t="s">
        <v>898</v>
      </c>
      <c r="O119" t="str">
        <f t="shared" si="1"/>
        <v/>
      </c>
      <c r="P119" t="s">
        <v>898</v>
      </c>
      <c r="Q119" t="s">
        <v>898</v>
      </c>
    </row>
    <row r="120">
      <c r="I120" t="s">
        <v>898</v>
      </c>
      <c r="J120" s="237" t="s">
        <v>898</v>
      </c>
      <c r="K120" s="238" t="s">
        <v>898</v>
      </c>
      <c r="L120" t="s">
        <v>898</v>
      </c>
      <c r="M120" t="s">
        <v>898</v>
      </c>
      <c r="N120" t="s">
        <v>898</v>
      </c>
      <c r="O120" t="str">
        <f t="shared" si="1"/>
        <v/>
      </c>
      <c r="P120" t="s">
        <v>898</v>
      </c>
      <c r="Q120" t="s">
        <v>898</v>
      </c>
    </row>
    <row r="121">
      <c r="I121" t="s">
        <v>898</v>
      </c>
      <c r="J121" s="237" t="s">
        <v>898</v>
      </c>
      <c r="K121" s="238" t="s">
        <v>898</v>
      </c>
      <c r="L121" t="s">
        <v>898</v>
      </c>
      <c r="M121" t="s">
        <v>898</v>
      </c>
      <c r="N121" t="s">
        <v>898</v>
      </c>
      <c r="O121" t="str">
        <f t="shared" si="1"/>
        <v/>
      </c>
      <c r="P121" t="s">
        <v>898</v>
      </c>
      <c r="Q121" t="s">
        <v>898</v>
      </c>
    </row>
    <row r="122">
      <c r="I122" t="s">
        <v>898</v>
      </c>
      <c r="J122" s="237" t="s">
        <v>898</v>
      </c>
      <c r="K122" s="238" t="s">
        <v>898</v>
      </c>
      <c r="L122" t="s">
        <v>898</v>
      </c>
      <c r="M122" t="s">
        <v>898</v>
      </c>
      <c r="N122" t="s">
        <v>898</v>
      </c>
      <c r="O122" t="str">
        <f t="shared" si="1"/>
        <v/>
      </c>
      <c r="P122" t="s">
        <v>898</v>
      </c>
      <c r="Q122" t="s">
        <v>898</v>
      </c>
    </row>
    <row r="123">
      <c r="I123" t="s">
        <v>898</v>
      </c>
      <c r="J123" s="237" t="s">
        <v>898</v>
      </c>
      <c r="K123" s="238" t="s">
        <v>898</v>
      </c>
      <c r="L123" t="s">
        <v>898</v>
      </c>
      <c r="M123" t="s">
        <v>898</v>
      </c>
      <c r="N123" t="s">
        <v>898</v>
      </c>
      <c r="O123" t="str">
        <f t="shared" si="1"/>
        <v/>
      </c>
      <c r="P123" t="s">
        <v>898</v>
      </c>
      <c r="Q123" t="s">
        <v>898</v>
      </c>
    </row>
    <row r="124">
      <c r="I124" t="s">
        <v>898</v>
      </c>
      <c r="J124" s="237" t="s">
        <v>898</v>
      </c>
      <c r="K124" s="238" t="s">
        <v>898</v>
      </c>
      <c r="L124" t="s">
        <v>898</v>
      </c>
      <c r="M124" t="s">
        <v>898</v>
      </c>
      <c r="N124" t="s">
        <v>898</v>
      </c>
      <c r="O124" t="str">
        <f t="shared" si="1"/>
        <v/>
      </c>
      <c r="P124" t="s">
        <v>898</v>
      </c>
      <c r="Q124" t="s">
        <v>898</v>
      </c>
    </row>
    <row r="125">
      <c r="I125" t="s">
        <v>898</v>
      </c>
      <c r="J125" s="237" t="s">
        <v>898</v>
      </c>
      <c r="K125" s="238" t="s">
        <v>898</v>
      </c>
      <c r="L125" t="s">
        <v>898</v>
      </c>
      <c r="M125" t="s">
        <v>898</v>
      </c>
      <c r="N125" t="s">
        <v>898</v>
      </c>
      <c r="O125" t="str">
        <f t="shared" si="1"/>
        <v/>
      </c>
      <c r="P125" t="s">
        <v>898</v>
      </c>
      <c r="Q125" t="s">
        <v>898</v>
      </c>
    </row>
    <row r="126">
      <c r="I126" t="s">
        <v>898</v>
      </c>
      <c r="J126" s="237" t="s">
        <v>898</v>
      </c>
      <c r="K126" s="238" t="s">
        <v>898</v>
      </c>
      <c r="L126" t="s">
        <v>898</v>
      </c>
      <c r="M126" t="s">
        <v>898</v>
      </c>
      <c r="N126" t="s">
        <v>898</v>
      </c>
      <c r="O126" t="str">
        <f t="shared" si="1"/>
        <v/>
      </c>
      <c r="P126" t="s">
        <v>898</v>
      </c>
      <c r="Q126" t="s">
        <v>898</v>
      </c>
    </row>
    <row r="127">
      <c r="I127" t="s">
        <v>898</v>
      </c>
      <c r="J127" s="237" t="s">
        <v>898</v>
      </c>
      <c r="K127" s="238" t="s">
        <v>898</v>
      </c>
      <c r="L127" t="s">
        <v>898</v>
      </c>
      <c r="M127" t="s">
        <v>898</v>
      </c>
      <c r="N127" t="s">
        <v>898</v>
      </c>
      <c r="O127" t="str">
        <f t="shared" si="1"/>
        <v/>
      </c>
      <c r="P127" t="s">
        <v>898</v>
      </c>
      <c r="Q127" t="s">
        <v>898</v>
      </c>
    </row>
    <row r="128">
      <c r="I128" t="s">
        <v>898</v>
      </c>
      <c r="J128" s="237" t="s">
        <v>898</v>
      </c>
      <c r="K128" s="238" t="s">
        <v>898</v>
      </c>
      <c r="L128" t="s">
        <v>898</v>
      </c>
      <c r="M128" t="s">
        <v>898</v>
      </c>
      <c r="N128" t="s">
        <v>898</v>
      </c>
      <c r="O128" t="str">
        <f t="shared" si="1"/>
        <v/>
      </c>
      <c r="P128" t="s">
        <v>898</v>
      </c>
      <c r="Q128" t="s">
        <v>898</v>
      </c>
    </row>
    <row r="129">
      <c r="I129" t="s">
        <v>898</v>
      </c>
      <c r="J129" s="237" t="s">
        <v>898</v>
      </c>
      <c r="K129" s="238" t="s">
        <v>898</v>
      </c>
      <c r="L129" t="s">
        <v>898</v>
      </c>
      <c r="M129" t="s">
        <v>898</v>
      </c>
      <c r="N129" t="s">
        <v>898</v>
      </c>
      <c r="O129" t="str">
        <f t="shared" si="1"/>
        <v/>
      </c>
      <c r="P129" t="s">
        <v>898</v>
      </c>
      <c r="Q129" t="s">
        <v>898</v>
      </c>
    </row>
    <row r="130">
      <c r="I130" t="s">
        <v>898</v>
      </c>
      <c r="J130" s="237" t="s">
        <v>898</v>
      </c>
      <c r="K130" s="238" t="s">
        <v>898</v>
      </c>
      <c r="L130" t="s">
        <v>898</v>
      </c>
      <c r="M130" t="s">
        <v>898</v>
      </c>
      <c r="N130" t="s">
        <v>898</v>
      </c>
      <c r="O130" t="str">
        <f t="shared" si="1"/>
        <v/>
      </c>
      <c r="P130" t="s">
        <v>898</v>
      </c>
      <c r="Q130" t="s">
        <v>898</v>
      </c>
    </row>
    <row r="131">
      <c r="I131" t="s">
        <v>898</v>
      </c>
      <c r="J131" s="237" t="s">
        <v>898</v>
      </c>
      <c r="K131" s="238" t="s">
        <v>898</v>
      </c>
      <c r="L131" t="s">
        <v>898</v>
      </c>
      <c r="M131" t="s">
        <v>898</v>
      </c>
      <c r="N131" t="s">
        <v>898</v>
      </c>
      <c r="O131" t="str">
        <f t="shared" si="1"/>
        <v/>
      </c>
      <c r="P131" t="s">
        <v>898</v>
      </c>
      <c r="Q131" t="s">
        <v>898</v>
      </c>
    </row>
    <row r="132">
      <c r="I132" t="s">
        <v>898</v>
      </c>
      <c r="J132" s="237" t="s">
        <v>898</v>
      </c>
      <c r="K132" s="238" t="s">
        <v>898</v>
      </c>
      <c r="L132" t="s">
        <v>898</v>
      </c>
      <c r="M132" t="s">
        <v>898</v>
      </c>
      <c r="N132" t="s">
        <v>898</v>
      </c>
      <c r="O132" t="str">
        <f t="shared" si="1"/>
        <v/>
      </c>
      <c r="P132" t="s">
        <v>898</v>
      </c>
      <c r="Q132" t="s">
        <v>898</v>
      </c>
    </row>
    <row r="133">
      <c r="I133" t="s">
        <v>898</v>
      </c>
      <c r="J133" s="237" t="s">
        <v>898</v>
      </c>
      <c r="K133" s="238" t="s">
        <v>898</v>
      </c>
      <c r="L133" t="s">
        <v>898</v>
      </c>
      <c r="M133" t="s">
        <v>898</v>
      </c>
      <c r="N133" t="s">
        <v>898</v>
      </c>
      <c r="O133" t="str">
        <f t="shared" si="1"/>
        <v/>
      </c>
      <c r="P133" t="s">
        <v>898</v>
      </c>
      <c r="Q133" t="s">
        <v>898</v>
      </c>
    </row>
    <row r="134">
      <c r="I134" t="s">
        <v>898</v>
      </c>
      <c r="J134" s="237" t="s">
        <v>898</v>
      </c>
      <c r="K134" s="238" t="s">
        <v>898</v>
      </c>
      <c r="L134" t="s">
        <v>898</v>
      </c>
      <c r="M134" t="s">
        <v>898</v>
      </c>
      <c r="N134" t="s">
        <v>898</v>
      </c>
      <c r="O134" t="str">
        <f t="shared" si="1"/>
        <v/>
      </c>
      <c r="P134" t="s">
        <v>898</v>
      </c>
      <c r="Q134" t="s">
        <v>898</v>
      </c>
    </row>
    <row r="135">
      <c r="I135" t="s">
        <v>898</v>
      </c>
      <c r="J135" s="237" t="s">
        <v>898</v>
      </c>
      <c r="K135" s="238" t="s">
        <v>898</v>
      </c>
      <c r="L135" t="s">
        <v>898</v>
      </c>
      <c r="M135" t="s">
        <v>898</v>
      </c>
      <c r="N135" t="s">
        <v>898</v>
      </c>
      <c r="O135" t="str">
        <f t="shared" si="1"/>
        <v/>
      </c>
      <c r="P135" t="s">
        <v>898</v>
      </c>
      <c r="Q135" t="s">
        <v>898</v>
      </c>
    </row>
    <row r="136">
      <c r="I136" t="s">
        <v>898</v>
      </c>
      <c r="J136" s="237" t="s">
        <v>898</v>
      </c>
      <c r="K136" s="238" t="s">
        <v>898</v>
      </c>
      <c r="L136" t="s">
        <v>898</v>
      </c>
      <c r="M136" t="s">
        <v>898</v>
      </c>
      <c r="N136" t="s">
        <v>898</v>
      </c>
      <c r="O136" t="str">
        <f t="shared" si="1"/>
        <v/>
      </c>
      <c r="P136" t="s">
        <v>898</v>
      </c>
      <c r="Q136" t="s">
        <v>898</v>
      </c>
    </row>
    <row r="137">
      <c r="I137" t="s">
        <v>898</v>
      </c>
      <c r="J137" s="237" t="s">
        <v>898</v>
      </c>
      <c r="K137" s="238" t="s">
        <v>898</v>
      </c>
      <c r="L137" t="s">
        <v>898</v>
      </c>
      <c r="M137" t="s">
        <v>898</v>
      </c>
      <c r="N137" t="s">
        <v>898</v>
      </c>
      <c r="O137" t="str">
        <f t="shared" si="1"/>
        <v/>
      </c>
      <c r="P137" t="s">
        <v>898</v>
      </c>
      <c r="Q137" t="s">
        <v>898</v>
      </c>
    </row>
    <row r="138">
      <c r="I138" t="s">
        <v>898</v>
      </c>
      <c r="J138" s="237" t="s">
        <v>898</v>
      </c>
      <c r="K138" s="238" t="s">
        <v>898</v>
      </c>
      <c r="L138" t="s">
        <v>898</v>
      </c>
      <c r="M138" t="s">
        <v>898</v>
      </c>
      <c r="N138" t="s">
        <v>898</v>
      </c>
      <c r="O138" t="str">
        <f t="shared" si="1"/>
        <v/>
      </c>
      <c r="P138" t="s">
        <v>898</v>
      </c>
      <c r="Q138" t="s">
        <v>898</v>
      </c>
    </row>
    <row r="139">
      <c r="I139" t="s">
        <v>898</v>
      </c>
      <c r="J139" s="237" t="s">
        <v>898</v>
      </c>
      <c r="K139" s="238" t="s">
        <v>898</v>
      </c>
      <c r="L139" t="s">
        <v>898</v>
      </c>
      <c r="M139" t="s">
        <v>898</v>
      </c>
      <c r="N139" t="s">
        <v>898</v>
      </c>
      <c r="O139" t="str">
        <f t="shared" si="1"/>
        <v/>
      </c>
      <c r="P139" t="s">
        <v>898</v>
      </c>
      <c r="Q139" t="s">
        <v>898</v>
      </c>
    </row>
    <row r="140">
      <c r="I140" t="s">
        <v>898</v>
      </c>
      <c r="J140" s="237" t="s">
        <v>898</v>
      </c>
      <c r="K140" s="238" t="s">
        <v>898</v>
      </c>
      <c r="L140" t="s">
        <v>898</v>
      </c>
      <c r="M140" t="s">
        <v>898</v>
      </c>
      <c r="N140" t="s">
        <v>898</v>
      </c>
      <c r="O140" t="str">
        <f t="shared" si="1"/>
        <v/>
      </c>
      <c r="P140" t="s">
        <v>898</v>
      </c>
      <c r="Q140" t="s">
        <v>898</v>
      </c>
    </row>
    <row r="141">
      <c r="I141" t="s">
        <v>898</v>
      </c>
      <c r="J141" s="237" t="s">
        <v>898</v>
      </c>
      <c r="K141" s="238" t="s">
        <v>898</v>
      </c>
      <c r="L141" t="s">
        <v>898</v>
      </c>
      <c r="M141" t="s">
        <v>898</v>
      </c>
      <c r="N141" t="s">
        <v>898</v>
      </c>
      <c r="O141" t="str">
        <f t="shared" si="1"/>
        <v/>
      </c>
      <c r="P141" t="s">
        <v>898</v>
      </c>
      <c r="Q141" t="s">
        <v>898</v>
      </c>
    </row>
    <row r="142">
      <c r="I142" t="s">
        <v>898</v>
      </c>
      <c r="J142" s="237" t="s">
        <v>898</v>
      </c>
      <c r="K142" s="238" t="s">
        <v>898</v>
      </c>
      <c r="L142" t="s">
        <v>898</v>
      </c>
      <c r="M142" t="s">
        <v>898</v>
      </c>
      <c r="N142" t="s">
        <v>898</v>
      </c>
      <c r="O142" t="str">
        <f t="shared" si="1"/>
        <v/>
      </c>
      <c r="P142" t="s">
        <v>898</v>
      </c>
      <c r="Q142" t="s">
        <v>898</v>
      </c>
    </row>
    <row r="143">
      <c r="I143" t="s">
        <v>898</v>
      </c>
      <c r="J143" s="237" t="s">
        <v>898</v>
      </c>
      <c r="K143" s="238" t="s">
        <v>898</v>
      </c>
      <c r="L143" t="s">
        <v>898</v>
      </c>
      <c r="M143" t="s">
        <v>898</v>
      </c>
      <c r="N143" t="s">
        <v>898</v>
      </c>
      <c r="O143" t="str">
        <f t="shared" si="1"/>
        <v/>
      </c>
      <c r="P143" t="s">
        <v>898</v>
      </c>
      <c r="Q143" t="s">
        <v>898</v>
      </c>
    </row>
    <row r="144">
      <c r="I144" t="s">
        <v>898</v>
      </c>
      <c r="J144" s="237" t="s">
        <v>898</v>
      </c>
      <c r="K144" s="238" t="s">
        <v>898</v>
      </c>
      <c r="L144" t="s">
        <v>898</v>
      </c>
      <c r="M144" t="s">
        <v>898</v>
      </c>
      <c r="N144" t="s">
        <v>898</v>
      </c>
      <c r="O144" t="str">
        <f t="shared" si="1"/>
        <v/>
      </c>
      <c r="P144" t="s">
        <v>898</v>
      </c>
      <c r="Q144" t="s">
        <v>898</v>
      </c>
    </row>
    <row r="145">
      <c r="I145" t="s">
        <v>898</v>
      </c>
      <c r="J145" s="237" t="s">
        <v>898</v>
      </c>
      <c r="K145" s="238" t="s">
        <v>898</v>
      </c>
      <c r="L145" t="s">
        <v>898</v>
      </c>
      <c r="M145" t="s">
        <v>898</v>
      </c>
      <c r="N145" t="s">
        <v>898</v>
      </c>
      <c r="O145" t="str">
        <f t="shared" si="1"/>
        <v/>
      </c>
      <c r="P145" t="s">
        <v>898</v>
      </c>
      <c r="Q145" t="s">
        <v>898</v>
      </c>
    </row>
    <row r="146">
      <c r="I146" t="s">
        <v>898</v>
      </c>
      <c r="J146" s="237" t="s">
        <v>898</v>
      </c>
      <c r="K146" s="238" t="s">
        <v>898</v>
      </c>
      <c r="L146" t="s">
        <v>898</v>
      </c>
      <c r="M146" t="s">
        <v>898</v>
      </c>
      <c r="N146" t="s">
        <v>898</v>
      </c>
      <c r="O146" t="str">
        <f t="shared" si="1"/>
        <v/>
      </c>
      <c r="P146" t="s">
        <v>898</v>
      </c>
      <c r="Q146" t="s">
        <v>898</v>
      </c>
    </row>
    <row r="147">
      <c r="I147" t="s">
        <v>898</v>
      </c>
      <c r="J147" s="237" t="s">
        <v>898</v>
      </c>
      <c r="K147" s="238" t="s">
        <v>898</v>
      </c>
      <c r="L147" t="s">
        <v>898</v>
      </c>
      <c r="M147" t="s">
        <v>898</v>
      </c>
      <c r="N147" t="s">
        <v>898</v>
      </c>
      <c r="O147" t="str">
        <f t="shared" si="1"/>
        <v/>
      </c>
      <c r="P147" t="s">
        <v>898</v>
      </c>
      <c r="Q147" t="s">
        <v>898</v>
      </c>
    </row>
    <row r="148">
      <c r="I148" t="s">
        <v>898</v>
      </c>
      <c r="J148" s="237" t="s">
        <v>898</v>
      </c>
      <c r="K148" s="238" t="s">
        <v>898</v>
      </c>
      <c r="L148" t="s">
        <v>898</v>
      </c>
      <c r="M148" t="s">
        <v>898</v>
      </c>
      <c r="N148" t="s">
        <v>898</v>
      </c>
      <c r="O148" t="str">
        <f t="shared" si="1"/>
        <v/>
      </c>
      <c r="P148" t="s">
        <v>898</v>
      </c>
      <c r="Q148" t="s">
        <v>898</v>
      </c>
    </row>
    <row r="149">
      <c r="I149" t="s">
        <v>898</v>
      </c>
      <c r="J149" s="237" t="s">
        <v>898</v>
      </c>
      <c r="K149" s="238" t="s">
        <v>898</v>
      </c>
      <c r="L149" t="s">
        <v>898</v>
      </c>
      <c r="M149" t="s">
        <v>898</v>
      </c>
      <c r="N149" t="s">
        <v>898</v>
      </c>
      <c r="P149" t="s">
        <v>898</v>
      </c>
      <c r="Q149" t="s">
        <v>898</v>
      </c>
    </row>
    <row r="150">
      <c r="I150" t="s">
        <v>898</v>
      </c>
      <c r="J150" s="237" t="s">
        <v>898</v>
      </c>
      <c r="K150" s="238" t="s">
        <v>898</v>
      </c>
      <c r="L150" t="s">
        <v>898</v>
      </c>
      <c r="M150" t="s">
        <v>898</v>
      </c>
      <c r="N150" t="s">
        <v>898</v>
      </c>
      <c r="P150" t="s">
        <v>898</v>
      </c>
      <c r="Q150" t="s">
        <v>898</v>
      </c>
    </row>
    <row r="151">
      <c r="I151" t="s">
        <v>898</v>
      </c>
      <c r="J151" s="237" t="s">
        <v>898</v>
      </c>
      <c r="K151" s="238" t="s">
        <v>898</v>
      </c>
      <c r="L151" t="s">
        <v>898</v>
      </c>
      <c r="M151" t="s">
        <v>898</v>
      </c>
      <c r="N151" t="s">
        <v>898</v>
      </c>
      <c r="P151" t="s">
        <v>898</v>
      </c>
      <c r="Q151" t="s">
        <v>898</v>
      </c>
    </row>
    <row r="152">
      <c r="I152" t="s">
        <v>898</v>
      </c>
      <c r="J152" s="237" t="s">
        <v>898</v>
      </c>
      <c r="K152" s="238" t="s">
        <v>898</v>
      </c>
      <c r="L152" t="s">
        <v>898</v>
      </c>
      <c r="M152" t="s">
        <v>898</v>
      </c>
      <c r="N152" t="s">
        <v>898</v>
      </c>
      <c r="P152" t="s">
        <v>898</v>
      </c>
      <c r="Q152" t="s">
        <v>898</v>
      </c>
    </row>
    <row r="153">
      <c r="I153" t="s">
        <v>898</v>
      </c>
      <c r="J153" s="237" t="s">
        <v>898</v>
      </c>
      <c r="K153" s="238" t="s">
        <v>898</v>
      </c>
      <c r="L153" t="s">
        <v>898</v>
      </c>
      <c r="M153" t="s">
        <v>898</v>
      </c>
      <c r="N153" t="s">
        <v>898</v>
      </c>
      <c r="P153" t="s">
        <v>898</v>
      </c>
      <c r="Q153" t="s">
        <v>898</v>
      </c>
    </row>
    <row r="154">
      <c r="I154" t="s">
        <v>898</v>
      </c>
      <c r="J154" s="237" t="s">
        <v>898</v>
      </c>
      <c r="K154" s="238" t="s">
        <v>898</v>
      </c>
      <c r="L154" t="s">
        <v>898</v>
      </c>
      <c r="M154" t="s">
        <v>898</v>
      </c>
      <c r="N154" t="s">
        <v>898</v>
      </c>
      <c r="P154" t="s">
        <v>898</v>
      </c>
      <c r="Q154" t="s">
        <v>898</v>
      </c>
    </row>
    <row r="155">
      <c r="I155" t="s">
        <v>898</v>
      </c>
      <c r="J155" s="237" t="s">
        <v>898</v>
      </c>
      <c r="K155" s="238" t="s">
        <v>898</v>
      </c>
      <c r="L155" t="s">
        <v>898</v>
      </c>
      <c r="M155" t="s">
        <v>898</v>
      </c>
      <c r="N155" t="s">
        <v>898</v>
      </c>
      <c r="P155" t="s">
        <v>898</v>
      </c>
      <c r="Q155" t="s">
        <v>898</v>
      </c>
    </row>
    <row r="156">
      <c r="I156" t="s">
        <v>898</v>
      </c>
      <c r="J156" s="237" t="s">
        <v>898</v>
      </c>
      <c r="K156" s="238" t="s">
        <v>898</v>
      </c>
      <c r="L156" t="s">
        <v>898</v>
      </c>
      <c r="M156" t="s">
        <v>898</v>
      </c>
      <c r="N156" t="s">
        <v>898</v>
      </c>
      <c r="P156" t="s">
        <v>898</v>
      </c>
      <c r="Q156" t="s">
        <v>898</v>
      </c>
    </row>
    <row r="157">
      <c r="I157" t="s">
        <v>898</v>
      </c>
      <c r="J157" s="237" t="s">
        <v>898</v>
      </c>
      <c r="K157" s="238" t="s">
        <v>898</v>
      </c>
      <c r="L157" t="s">
        <v>898</v>
      </c>
      <c r="M157" t="s">
        <v>898</v>
      </c>
      <c r="N157" t="s">
        <v>898</v>
      </c>
      <c r="P157" t="s">
        <v>898</v>
      </c>
      <c r="Q157" t="s">
        <v>898</v>
      </c>
    </row>
    <row r="158">
      <c r="I158" t="s">
        <v>898</v>
      </c>
      <c r="J158" s="237" t="s">
        <v>898</v>
      </c>
      <c r="K158" s="238" t="s">
        <v>898</v>
      </c>
      <c r="L158" t="s">
        <v>898</v>
      </c>
      <c r="M158" t="s">
        <v>898</v>
      </c>
      <c r="N158" t="s">
        <v>898</v>
      </c>
      <c r="P158" t="s">
        <v>898</v>
      </c>
      <c r="Q158" t="s">
        <v>898</v>
      </c>
    </row>
    <row r="159">
      <c r="I159" t="s">
        <v>898</v>
      </c>
      <c r="J159" s="237" t="s">
        <v>898</v>
      </c>
      <c r="K159" s="238" t="s">
        <v>898</v>
      </c>
      <c r="L159" t="s">
        <v>898</v>
      </c>
      <c r="M159" t="s">
        <v>898</v>
      </c>
      <c r="N159" t="s">
        <v>898</v>
      </c>
      <c r="P159" t="s">
        <v>898</v>
      </c>
      <c r="Q159" t="s">
        <v>898</v>
      </c>
    </row>
    <row r="160">
      <c r="I160" t="s">
        <v>898</v>
      </c>
      <c r="J160" s="237" t="s">
        <v>898</v>
      </c>
      <c r="K160" s="238" t="s">
        <v>898</v>
      </c>
      <c r="L160" t="s">
        <v>898</v>
      </c>
      <c r="M160" t="s">
        <v>898</v>
      </c>
      <c r="N160" t="s">
        <v>898</v>
      </c>
      <c r="P160" t="s">
        <v>898</v>
      </c>
      <c r="Q160" t="s">
        <v>898</v>
      </c>
    </row>
    <row r="161">
      <c r="I161" t="s">
        <v>898</v>
      </c>
      <c r="J161" s="237" t="s">
        <v>898</v>
      </c>
      <c r="K161" s="238" t="s">
        <v>898</v>
      </c>
      <c r="L161" t="s">
        <v>898</v>
      </c>
      <c r="M161" t="s">
        <v>898</v>
      </c>
      <c r="N161" t="s">
        <v>898</v>
      </c>
      <c r="P161" t="s">
        <v>898</v>
      </c>
      <c r="Q161" t="s">
        <v>898</v>
      </c>
    </row>
    <row r="162">
      <c r="I162" t="s">
        <v>898</v>
      </c>
      <c r="J162" s="237" t="s">
        <v>898</v>
      </c>
      <c r="K162" s="238" t="s">
        <v>898</v>
      </c>
      <c r="L162" t="s">
        <v>898</v>
      </c>
      <c r="M162" t="s">
        <v>898</v>
      </c>
      <c r="N162" t="s">
        <v>898</v>
      </c>
      <c r="P162" t="s">
        <v>898</v>
      </c>
      <c r="Q162" t="s">
        <v>898</v>
      </c>
    </row>
    <row r="163">
      <c r="I163" t="s">
        <v>898</v>
      </c>
      <c r="J163" s="237" t="s">
        <v>898</v>
      </c>
      <c r="K163" s="238" t="s">
        <v>898</v>
      </c>
      <c r="L163" t="s">
        <v>898</v>
      </c>
      <c r="M163" t="s">
        <v>898</v>
      </c>
      <c r="N163" t="s">
        <v>898</v>
      </c>
      <c r="P163" t="s">
        <v>898</v>
      </c>
      <c r="Q163" t="s">
        <v>898</v>
      </c>
    </row>
    <row r="164">
      <c r="I164" t="s">
        <v>898</v>
      </c>
      <c r="J164" s="237" t="s">
        <v>898</v>
      </c>
      <c r="K164" s="238" t="s">
        <v>898</v>
      </c>
      <c r="L164" t="s">
        <v>898</v>
      </c>
      <c r="M164" t="s">
        <v>898</v>
      </c>
      <c r="N164" t="s">
        <v>898</v>
      </c>
      <c r="P164" t="s">
        <v>898</v>
      </c>
      <c r="Q164" t="s">
        <v>898</v>
      </c>
    </row>
    <row r="165">
      <c r="I165" t="s">
        <v>898</v>
      </c>
      <c r="J165" s="237" t="s">
        <v>898</v>
      </c>
      <c r="K165" s="238" t="s">
        <v>898</v>
      </c>
      <c r="L165" t="s">
        <v>898</v>
      </c>
      <c r="M165" t="s">
        <v>898</v>
      </c>
      <c r="N165" t="s">
        <v>898</v>
      </c>
      <c r="P165" t="s">
        <v>898</v>
      </c>
      <c r="Q165" t="s">
        <v>898</v>
      </c>
    </row>
    <row r="166">
      <c r="I166" t="s">
        <v>898</v>
      </c>
      <c r="J166" s="237" t="s">
        <v>898</v>
      </c>
      <c r="K166" s="238" t="s">
        <v>898</v>
      </c>
      <c r="L166" t="s">
        <v>898</v>
      </c>
      <c r="M166" t="s">
        <v>898</v>
      </c>
      <c r="N166" t="s">
        <v>898</v>
      </c>
      <c r="P166" t="s">
        <v>898</v>
      </c>
      <c r="Q166" t="s">
        <v>898</v>
      </c>
    </row>
    <row r="167">
      <c r="I167" t="s">
        <v>898</v>
      </c>
      <c r="J167" s="237" t="s">
        <v>898</v>
      </c>
      <c r="K167" s="238" t="s">
        <v>898</v>
      </c>
      <c r="L167" t="s">
        <v>898</v>
      </c>
      <c r="M167" t="s">
        <v>898</v>
      </c>
      <c r="N167" t="s">
        <v>898</v>
      </c>
      <c r="P167" t="s">
        <v>898</v>
      </c>
      <c r="Q167" t="s">
        <v>898</v>
      </c>
    </row>
    <row r="168">
      <c r="I168" t="s">
        <v>898</v>
      </c>
      <c r="J168" s="237" t="s">
        <v>898</v>
      </c>
      <c r="K168" s="238" t="s">
        <v>898</v>
      </c>
      <c r="L168" t="s">
        <v>898</v>
      </c>
      <c r="M168" t="s">
        <v>898</v>
      </c>
      <c r="N168" t="s">
        <v>898</v>
      </c>
      <c r="P168" t="s">
        <v>898</v>
      </c>
      <c r="Q168" t="s">
        <v>898</v>
      </c>
    </row>
    <row r="169">
      <c r="I169" t="s">
        <v>898</v>
      </c>
      <c r="J169" s="237" t="s">
        <v>898</v>
      </c>
      <c r="K169" s="238" t="s">
        <v>898</v>
      </c>
      <c r="L169" t="s">
        <v>898</v>
      </c>
      <c r="M169" t="s">
        <v>898</v>
      </c>
      <c r="N169" t="s">
        <v>898</v>
      </c>
      <c r="P169" t="s">
        <v>898</v>
      </c>
      <c r="Q169" t="s">
        <v>898</v>
      </c>
    </row>
    <row r="170">
      <c r="I170" t="s">
        <v>898</v>
      </c>
      <c r="J170" s="237" t="s">
        <v>898</v>
      </c>
      <c r="K170" s="238" t="s">
        <v>898</v>
      </c>
      <c r="L170" t="s">
        <v>898</v>
      </c>
      <c r="M170" t="s">
        <v>898</v>
      </c>
      <c r="N170" t="s">
        <v>898</v>
      </c>
      <c r="P170" t="s">
        <v>898</v>
      </c>
      <c r="Q170" t="s">
        <v>898</v>
      </c>
    </row>
    <row r="171">
      <c r="I171" t="s">
        <v>898</v>
      </c>
      <c r="J171" s="237" t="s">
        <v>898</v>
      </c>
      <c r="K171" s="238" t="s">
        <v>898</v>
      </c>
      <c r="L171" t="s">
        <v>898</v>
      </c>
      <c r="M171" t="s">
        <v>898</v>
      </c>
      <c r="N171" t="s">
        <v>898</v>
      </c>
      <c r="P171" t="s">
        <v>898</v>
      </c>
      <c r="Q171" t="s">
        <v>898</v>
      </c>
    </row>
    <row r="172">
      <c r="I172" t="s">
        <v>898</v>
      </c>
      <c r="J172" s="237" t="s">
        <v>898</v>
      </c>
      <c r="K172" s="238" t="s">
        <v>898</v>
      </c>
      <c r="L172" t="s">
        <v>898</v>
      </c>
      <c r="M172" t="s">
        <v>898</v>
      </c>
      <c r="N172" t="s">
        <v>898</v>
      </c>
      <c r="P172" t="s">
        <v>898</v>
      </c>
      <c r="Q172" t="s">
        <v>898</v>
      </c>
    </row>
    <row r="173">
      <c r="I173" t="s">
        <v>898</v>
      </c>
      <c r="J173" s="237" t="s">
        <v>898</v>
      </c>
      <c r="K173" s="238" t="s">
        <v>898</v>
      </c>
      <c r="L173" t="s">
        <v>898</v>
      </c>
      <c r="M173" t="s">
        <v>898</v>
      </c>
      <c r="N173" t="s">
        <v>898</v>
      </c>
      <c r="P173" t="s">
        <v>898</v>
      </c>
      <c r="Q173" t="s">
        <v>898</v>
      </c>
    </row>
    <row r="174">
      <c r="I174" t="s">
        <v>898</v>
      </c>
      <c r="J174" s="237" t="s">
        <v>898</v>
      </c>
      <c r="K174" s="238" t="s">
        <v>898</v>
      </c>
      <c r="L174" t="s">
        <v>898</v>
      </c>
      <c r="M174" t="s">
        <v>898</v>
      </c>
      <c r="N174" t="s">
        <v>898</v>
      </c>
      <c r="P174" t="s">
        <v>898</v>
      </c>
      <c r="Q174" t="s">
        <v>898</v>
      </c>
    </row>
    <row r="175">
      <c r="I175" t="s">
        <v>898</v>
      </c>
      <c r="J175" s="237" t="s">
        <v>898</v>
      </c>
      <c r="K175" s="238" t="s">
        <v>898</v>
      </c>
      <c r="L175" t="s">
        <v>898</v>
      </c>
      <c r="M175" t="s">
        <v>898</v>
      </c>
      <c r="N175" t="s">
        <v>898</v>
      </c>
      <c r="P175" t="s">
        <v>898</v>
      </c>
      <c r="Q175" t="s">
        <v>898</v>
      </c>
    </row>
    <row r="176">
      <c r="I176" t="s">
        <v>898</v>
      </c>
      <c r="J176" s="237" t="s">
        <v>898</v>
      </c>
      <c r="K176" s="238" t="s">
        <v>898</v>
      </c>
      <c r="L176" t="s">
        <v>898</v>
      </c>
      <c r="M176" t="s">
        <v>898</v>
      </c>
      <c r="N176" t="s">
        <v>898</v>
      </c>
      <c r="P176" t="s">
        <v>898</v>
      </c>
      <c r="Q176" t="s">
        <v>898</v>
      </c>
    </row>
    <row r="177">
      <c r="I177" t="s">
        <v>898</v>
      </c>
      <c r="J177" s="237" t="s">
        <v>898</v>
      </c>
      <c r="K177" s="238" t="s">
        <v>898</v>
      </c>
      <c r="L177" t="s">
        <v>898</v>
      </c>
      <c r="M177" t="s">
        <v>898</v>
      </c>
      <c r="N177" t="s">
        <v>898</v>
      </c>
      <c r="P177" t="s">
        <v>898</v>
      </c>
      <c r="Q177" t="s">
        <v>898</v>
      </c>
    </row>
    <row r="178">
      <c r="I178" t="s">
        <v>898</v>
      </c>
      <c r="J178" s="237" t="s">
        <v>898</v>
      </c>
      <c r="K178" s="238" t="s">
        <v>898</v>
      </c>
      <c r="L178" t="s">
        <v>898</v>
      </c>
      <c r="M178" t="s">
        <v>898</v>
      </c>
      <c r="N178" t="s">
        <v>898</v>
      </c>
      <c r="P178" t="s">
        <v>898</v>
      </c>
      <c r="Q178" t="s">
        <v>898</v>
      </c>
    </row>
    <row r="179">
      <c r="I179" t="s">
        <v>898</v>
      </c>
      <c r="J179" s="237" t="s">
        <v>898</v>
      </c>
      <c r="K179" s="238" t="s">
        <v>898</v>
      </c>
      <c r="L179" t="s">
        <v>898</v>
      </c>
      <c r="M179" t="s">
        <v>898</v>
      </c>
      <c r="N179" t="s">
        <v>898</v>
      </c>
      <c r="P179" t="s">
        <v>898</v>
      </c>
      <c r="Q179" t="s">
        <v>898</v>
      </c>
    </row>
    <row r="180">
      <c r="I180" t="s">
        <v>898</v>
      </c>
      <c r="J180" s="237" t="s">
        <v>898</v>
      </c>
      <c r="K180" s="238" t="s">
        <v>898</v>
      </c>
      <c r="L180" t="s">
        <v>898</v>
      </c>
      <c r="M180" t="s">
        <v>898</v>
      </c>
      <c r="N180" t="s">
        <v>898</v>
      </c>
      <c r="P180" t="s">
        <v>898</v>
      </c>
      <c r="Q180" t="s">
        <v>898</v>
      </c>
    </row>
    <row r="181">
      <c r="I181" t="s">
        <v>898</v>
      </c>
      <c r="J181" s="237" t="s">
        <v>898</v>
      </c>
      <c r="K181" s="238" t="s">
        <v>898</v>
      </c>
      <c r="L181" t="s">
        <v>898</v>
      </c>
      <c r="M181" t="s">
        <v>898</v>
      </c>
      <c r="N181" t="s">
        <v>898</v>
      </c>
      <c r="P181" t="s">
        <v>898</v>
      </c>
      <c r="Q181" t="s">
        <v>898</v>
      </c>
    </row>
    <row r="182">
      <c r="I182" t="s">
        <v>898</v>
      </c>
      <c r="J182" s="237" t="s">
        <v>898</v>
      </c>
      <c r="K182" s="238" t="s">
        <v>898</v>
      </c>
      <c r="L182" t="s">
        <v>898</v>
      </c>
      <c r="M182" t="s">
        <v>898</v>
      </c>
      <c r="N182" t="s">
        <v>898</v>
      </c>
      <c r="P182" t="s">
        <v>898</v>
      </c>
      <c r="Q182" t="s">
        <v>898</v>
      </c>
    </row>
    <row r="183">
      <c r="I183" t="s">
        <v>898</v>
      </c>
      <c r="J183" s="237" t="s">
        <v>898</v>
      </c>
      <c r="K183" s="238" t="s">
        <v>898</v>
      </c>
      <c r="L183" t="s">
        <v>898</v>
      </c>
      <c r="M183" t="s">
        <v>898</v>
      </c>
      <c r="N183" t="s">
        <v>898</v>
      </c>
      <c r="P183" t="s">
        <v>898</v>
      </c>
      <c r="Q183" t="s">
        <v>898</v>
      </c>
    </row>
    <row r="184">
      <c r="I184" t="s">
        <v>898</v>
      </c>
      <c r="J184" s="237" t="s">
        <v>898</v>
      </c>
      <c r="K184" s="238" t="s">
        <v>898</v>
      </c>
      <c r="L184" t="s">
        <v>898</v>
      </c>
      <c r="M184" t="s">
        <v>898</v>
      </c>
      <c r="N184" t="s">
        <v>898</v>
      </c>
      <c r="P184" t="s">
        <v>898</v>
      </c>
      <c r="Q184" t="s">
        <v>898</v>
      </c>
    </row>
    <row r="185">
      <c r="I185" t="s">
        <v>898</v>
      </c>
      <c r="J185" s="237" t="s">
        <v>898</v>
      </c>
      <c r="K185" s="238" t="s">
        <v>898</v>
      </c>
      <c r="L185" t="s">
        <v>898</v>
      </c>
      <c r="M185" t="s">
        <v>898</v>
      </c>
      <c r="N185" t="s">
        <v>898</v>
      </c>
      <c r="P185" t="s">
        <v>898</v>
      </c>
      <c r="Q185" t="s">
        <v>898</v>
      </c>
    </row>
    <row r="186">
      <c r="I186" t="s">
        <v>898</v>
      </c>
      <c r="J186" s="237" t="s">
        <v>898</v>
      </c>
      <c r="K186" s="238" t="s">
        <v>898</v>
      </c>
      <c r="L186" t="s">
        <v>898</v>
      </c>
      <c r="M186" t="s">
        <v>898</v>
      </c>
      <c r="N186" t="s">
        <v>898</v>
      </c>
      <c r="P186" t="s">
        <v>898</v>
      </c>
      <c r="Q186" t="s">
        <v>898</v>
      </c>
    </row>
    <row r="187">
      <c r="I187" t="s">
        <v>898</v>
      </c>
      <c r="J187" s="237" t="s">
        <v>898</v>
      </c>
      <c r="K187" s="238" t="s">
        <v>898</v>
      </c>
      <c r="L187" t="s">
        <v>898</v>
      </c>
      <c r="M187" t="s">
        <v>898</v>
      </c>
      <c r="N187" t="s">
        <v>898</v>
      </c>
      <c r="P187" t="s">
        <v>898</v>
      </c>
      <c r="Q187" t="s">
        <v>898</v>
      </c>
    </row>
    <row r="188">
      <c r="I188" t="s">
        <v>898</v>
      </c>
      <c r="J188" s="237" t="s">
        <v>898</v>
      </c>
      <c r="K188" s="238" t="s">
        <v>898</v>
      </c>
      <c r="L188" t="s">
        <v>898</v>
      </c>
      <c r="M188" t="s">
        <v>898</v>
      </c>
      <c r="N188" t="s">
        <v>898</v>
      </c>
      <c r="P188" t="s">
        <v>898</v>
      </c>
      <c r="Q188" t="s">
        <v>898</v>
      </c>
    </row>
    <row r="189">
      <c r="I189" t="s">
        <v>898</v>
      </c>
      <c r="J189" s="237" t="s">
        <v>898</v>
      </c>
      <c r="K189" s="238" t="s">
        <v>898</v>
      </c>
      <c r="L189" t="s">
        <v>898</v>
      </c>
      <c r="M189" t="s">
        <v>898</v>
      </c>
      <c r="N189" t="s">
        <v>898</v>
      </c>
      <c r="P189" t="s">
        <v>898</v>
      </c>
      <c r="Q189" t="s">
        <v>898</v>
      </c>
    </row>
    <row r="190">
      <c r="I190" t="s">
        <v>898</v>
      </c>
      <c r="J190" s="237" t="s">
        <v>898</v>
      </c>
      <c r="K190" s="238" t="s">
        <v>898</v>
      </c>
      <c r="L190" t="s">
        <v>898</v>
      </c>
      <c r="M190" t="s">
        <v>898</v>
      </c>
      <c r="N190" t="s">
        <v>898</v>
      </c>
      <c r="P190" t="s">
        <v>898</v>
      </c>
      <c r="Q190" t="s">
        <v>898</v>
      </c>
    </row>
    <row r="191">
      <c r="I191" t="s">
        <v>898</v>
      </c>
      <c r="J191" s="237" t="s">
        <v>898</v>
      </c>
      <c r="K191" s="238" t="s">
        <v>898</v>
      </c>
      <c r="L191" t="s">
        <v>898</v>
      </c>
      <c r="M191" t="s">
        <v>898</v>
      </c>
      <c r="N191" t="s">
        <v>898</v>
      </c>
      <c r="P191" t="s">
        <v>898</v>
      </c>
      <c r="Q191" t="s">
        <v>898</v>
      </c>
    </row>
    <row r="192">
      <c r="I192" t="s">
        <v>898</v>
      </c>
      <c r="J192" s="237" t="s">
        <v>898</v>
      </c>
      <c r="K192" s="238" t="s">
        <v>898</v>
      </c>
      <c r="L192" t="s">
        <v>898</v>
      </c>
      <c r="M192" t="s">
        <v>898</v>
      </c>
      <c r="N192" t="s">
        <v>898</v>
      </c>
      <c r="P192" t="s">
        <v>898</v>
      </c>
      <c r="Q192" t="s">
        <v>898</v>
      </c>
    </row>
    <row r="193">
      <c r="I193" t="s">
        <v>898</v>
      </c>
      <c r="J193" s="237" t="s">
        <v>898</v>
      </c>
      <c r="K193" s="238" t="s">
        <v>898</v>
      </c>
      <c r="L193" t="s">
        <v>898</v>
      </c>
      <c r="M193" t="s">
        <v>898</v>
      </c>
      <c r="N193" t="s">
        <v>898</v>
      </c>
      <c r="P193" t="s">
        <v>898</v>
      </c>
      <c r="Q193" t="s">
        <v>898</v>
      </c>
    </row>
    <row r="194">
      <c r="I194" t="s">
        <v>898</v>
      </c>
      <c r="J194" s="237" t="s">
        <v>898</v>
      </c>
      <c r="K194" s="238" t="s">
        <v>898</v>
      </c>
      <c r="L194" t="s">
        <v>898</v>
      </c>
      <c r="M194" t="s">
        <v>898</v>
      </c>
      <c r="N194" t="s">
        <v>898</v>
      </c>
      <c r="P194" t="s">
        <v>898</v>
      </c>
      <c r="Q194" t="s">
        <v>898</v>
      </c>
    </row>
    <row r="195">
      <c r="I195" t="s">
        <v>898</v>
      </c>
      <c r="J195" s="237" t="s">
        <v>898</v>
      </c>
      <c r="K195" s="238" t="s">
        <v>898</v>
      </c>
      <c r="L195" t="s">
        <v>898</v>
      </c>
      <c r="M195" t="s">
        <v>898</v>
      </c>
      <c r="N195" t="s">
        <v>898</v>
      </c>
      <c r="P195" t="s">
        <v>898</v>
      </c>
      <c r="Q195" t="s">
        <v>898</v>
      </c>
    </row>
    <row r="196">
      <c r="I196" t="s">
        <v>898</v>
      </c>
      <c r="J196" s="237" t="s">
        <v>898</v>
      </c>
      <c r="K196" s="238" t="s">
        <v>898</v>
      </c>
      <c r="L196" t="s">
        <v>898</v>
      </c>
      <c r="M196" t="s">
        <v>898</v>
      </c>
      <c r="N196" t="s">
        <v>898</v>
      </c>
      <c r="P196" t="s">
        <v>898</v>
      </c>
      <c r="Q196" t="s">
        <v>898</v>
      </c>
    </row>
    <row r="197">
      <c r="I197" t="s">
        <v>898</v>
      </c>
      <c r="J197" s="237" t="s">
        <v>898</v>
      </c>
      <c r="K197" s="238" t="s">
        <v>898</v>
      </c>
      <c r="L197" t="s">
        <v>898</v>
      </c>
      <c r="M197" t="s">
        <v>898</v>
      </c>
      <c r="N197" t="s">
        <v>898</v>
      </c>
      <c r="P197" t="s">
        <v>898</v>
      </c>
      <c r="Q197" t="s">
        <v>898</v>
      </c>
    </row>
    <row r="198">
      <c r="I198" t="s">
        <v>898</v>
      </c>
      <c r="J198" s="237" t="s">
        <v>898</v>
      </c>
      <c r="K198" s="238" t="s">
        <v>898</v>
      </c>
      <c r="L198" t="s">
        <v>898</v>
      </c>
      <c r="M198" t="s">
        <v>898</v>
      </c>
      <c r="N198" t="s">
        <v>898</v>
      </c>
      <c r="P198" t="s">
        <v>898</v>
      </c>
      <c r="Q198" t="s">
        <v>898</v>
      </c>
    </row>
    <row r="199">
      <c r="I199" t="s">
        <v>898</v>
      </c>
      <c r="J199" s="237" t="s">
        <v>898</v>
      </c>
      <c r="K199" s="238" t="s">
        <v>898</v>
      </c>
      <c r="L199" t="s">
        <v>898</v>
      </c>
      <c r="M199" t="s">
        <v>898</v>
      </c>
      <c r="N199" t="s">
        <v>898</v>
      </c>
      <c r="P199" t="s">
        <v>898</v>
      </c>
      <c r="Q199" t="s">
        <v>898</v>
      </c>
    </row>
    <row r="200">
      <c r="I200" t="s">
        <v>898</v>
      </c>
      <c r="J200" s="237" t="s">
        <v>898</v>
      </c>
      <c r="K200" s="238" t="s">
        <v>898</v>
      </c>
      <c r="L200" t="s">
        <v>898</v>
      </c>
      <c r="M200" t="s">
        <v>898</v>
      </c>
      <c r="N200" t="s">
        <v>898</v>
      </c>
      <c r="P200" t="s">
        <v>898</v>
      </c>
      <c r="Q200" t="s">
        <v>898</v>
      </c>
    </row>
    <row r="201">
      <c r="I201" t="s">
        <v>898</v>
      </c>
      <c r="J201" s="237" t="s">
        <v>898</v>
      </c>
      <c r="K201" s="238" t="s">
        <v>898</v>
      </c>
      <c r="L201" t="s">
        <v>898</v>
      </c>
      <c r="M201" t="s">
        <v>898</v>
      </c>
      <c r="N201" t="s">
        <v>898</v>
      </c>
      <c r="P201" t="s">
        <v>898</v>
      </c>
      <c r="Q201" t="s">
        <v>898</v>
      </c>
    </row>
    <row r="202">
      <c r="I202" t="s">
        <v>898</v>
      </c>
      <c r="J202" s="237" t="s">
        <v>898</v>
      </c>
      <c r="K202" s="238" t="s">
        <v>898</v>
      </c>
      <c r="L202" t="s">
        <v>898</v>
      </c>
      <c r="M202" t="s">
        <v>898</v>
      </c>
      <c r="N202" t="s">
        <v>898</v>
      </c>
      <c r="P202" t="s">
        <v>898</v>
      </c>
      <c r="Q202" t="s">
        <v>898</v>
      </c>
    </row>
    <row r="203">
      <c r="I203" t="s">
        <v>898</v>
      </c>
      <c r="J203" s="237" t="s">
        <v>898</v>
      </c>
      <c r="K203" s="238" t="s">
        <v>898</v>
      </c>
      <c r="L203" t="s">
        <v>898</v>
      </c>
      <c r="M203" t="s">
        <v>898</v>
      </c>
      <c r="N203" t="s">
        <v>898</v>
      </c>
      <c r="P203" t="s">
        <v>898</v>
      </c>
      <c r="Q203" t="s">
        <v>898</v>
      </c>
    </row>
    <row r="204">
      <c r="I204" t="s">
        <v>898</v>
      </c>
      <c r="J204" s="237" t="s">
        <v>898</v>
      </c>
      <c r="K204" s="238" t="s">
        <v>898</v>
      </c>
      <c r="L204" t="s">
        <v>898</v>
      </c>
      <c r="M204" t="s">
        <v>898</v>
      </c>
      <c r="N204" t="s">
        <v>898</v>
      </c>
      <c r="P204" t="s">
        <v>898</v>
      </c>
      <c r="Q204" t="s">
        <v>898</v>
      </c>
    </row>
    <row r="205">
      <c r="I205" t="s">
        <v>898</v>
      </c>
      <c r="J205" s="237" t="s">
        <v>898</v>
      </c>
      <c r="K205" s="238" t="s">
        <v>898</v>
      </c>
      <c r="L205" t="s">
        <v>898</v>
      </c>
      <c r="M205" t="s">
        <v>898</v>
      </c>
      <c r="N205" t="s">
        <v>898</v>
      </c>
      <c r="P205" t="s">
        <v>898</v>
      </c>
      <c r="Q205" t="s">
        <v>898</v>
      </c>
    </row>
    <row r="206">
      <c r="I206" t="s">
        <v>898</v>
      </c>
      <c r="J206" s="237" t="s">
        <v>898</v>
      </c>
      <c r="K206" s="238" t="s">
        <v>898</v>
      </c>
      <c r="L206" t="s">
        <v>898</v>
      </c>
      <c r="M206" t="s">
        <v>898</v>
      </c>
      <c r="N206" t="s">
        <v>898</v>
      </c>
      <c r="P206" t="s">
        <v>898</v>
      </c>
      <c r="Q206" t="s">
        <v>898</v>
      </c>
    </row>
    <row r="207">
      <c r="I207" t="s">
        <v>898</v>
      </c>
      <c r="J207" s="237" t="s">
        <v>898</v>
      </c>
      <c r="K207" s="238" t="s">
        <v>898</v>
      </c>
      <c r="L207" t="s">
        <v>898</v>
      </c>
      <c r="M207" t="s">
        <v>898</v>
      </c>
      <c r="N207" t="s">
        <v>898</v>
      </c>
      <c r="P207" t="s">
        <v>898</v>
      </c>
      <c r="Q207" t="s">
        <v>898</v>
      </c>
    </row>
    <row r="208">
      <c r="I208" t="s">
        <v>898</v>
      </c>
      <c r="J208" s="237" t="s">
        <v>898</v>
      </c>
      <c r="K208" s="238" t="s">
        <v>898</v>
      </c>
      <c r="L208" t="s">
        <v>898</v>
      </c>
      <c r="M208" t="s">
        <v>898</v>
      </c>
      <c r="N208" t="s">
        <v>898</v>
      </c>
      <c r="P208" t="s">
        <v>898</v>
      </c>
      <c r="Q208" t="s">
        <v>898</v>
      </c>
    </row>
    <row r="209">
      <c r="I209" t="s">
        <v>898</v>
      </c>
      <c r="J209" s="237" t="s">
        <v>898</v>
      </c>
      <c r="K209" s="238" t="s">
        <v>898</v>
      </c>
      <c r="L209" t="s">
        <v>898</v>
      </c>
      <c r="M209" t="s">
        <v>898</v>
      </c>
      <c r="N209" t="s">
        <v>898</v>
      </c>
      <c r="P209" t="s">
        <v>898</v>
      </c>
      <c r="Q209" t="s">
        <v>898</v>
      </c>
    </row>
    <row r="210">
      <c r="I210" t="s">
        <v>898</v>
      </c>
      <c r="J210" s="237" t="s">
        <v>898</v>
      </c>
      <c r="K210" s="238" t="s">
        <v>898</v>
      </c>
      <c r="L210" t="s">
        <v>898</v>
      </c>
      <c r="M210" t="s">
        <v>898</v>
      </c>
      <c r="N210" t="s">
        <v>898</v>
      </c>
      <c r="P210" t="s">
        <v>898</v>
      </c>
      <c r="Q210" t="s">
        <v>898</v>
      </c>
    </row>
    <row r="211">
      <c r="I211" t="s">
        <v>898</v>
      </c>
      <c r="J211" s="237" t="s">
        <v>898</v>
      </c>
      <c r="K211" s="238" t="s">
        <v>898</v>
      </c>
      <c r="L211" t="s">
        <v>898</v>
      </c>
      <c r="M211" t="s">
        <v>898</v>
      </c>
      <c r="N211" t="s">
        <v>898</v>
      </c>
      <c r="P211" t="s">
        <v>898</v>
      </c>
      <c r="Q211" t="s">
        <v>898</v>
      </c>
    </row>
    <row r="212">
      <c r="I212" t="s">
        <v>898</v>
      </c>
      <c r="J212" s="237" t="s">
        <v>898</v>
      </c>
      <c r="K212" s="238" t="s">
        <v>898</v>
      </c>
      <c r="L212" t="s">
        <v>898</v>
      </c>
      <c r="M212" t="s">
        <v>898</v>
      </c>
      <c r="N212" t="s">
        <v>898</v>
      </c>
      <c r="P212" t="s">
        <v>898</v>
      </c>
      <c r="Q212" t="s">
        <v>898</v>
      </c>
    </row>
    <row r="213">
      <c r="I213" t="s">
        <v>898</v>
      </c>
      <c r="J213" s="237" t="s">
        <v>898</v>
      </c>
      <c r="K213" s="238" t="s">
        <v>898</v>
      </c>
      <c r="L213" t="s">
        <v>898</v>
      </c>
      <c r="M213" t="s">
        <v>898</v>
      </c>
      <c r="N213" t="s">
        <v>898</v>
      </c>
      <c r="P213" t="s">
        <v>898</v>
      </c>
      <c r="Q213" t="s">
        <v>898</v>
      </c>
    </row>
    <row r="214">
      <c r="I214" t="s">
        <v>898</v>
      </c>
      <c r="J214" s="237" t="s">
        <v>898</v>
      </c>
      <c r="K214" s="238" t="s">
        <v>898</v>
      </c>
      <c r="L214" t="s">
        <v>898</v>
      </c>
      <c r="M214" t="s">
        <v>898</v>
      </c>
      <c r="N214" t="s">
        <v>898</v>
      </c>
      <c r="P214" t="s">
        <v>898</v>
      </c>
      <c r="Q214" t="s">
        <v>898</v>
      </c>
    </row>
    <row r="215">
      <c r="I215" t="s">
        <v>898</v>
      </c>
      <c r="J215" s="237" t="s">
        <v>898</v>
      </c>
      <c r="K215" s="238" t="s">
        <v>898</v>
      </c>
      <c r="L215" t="s">
        <v>898</v>
      </c>
      <c r="M215" t="s">
        <v>898</v>
      </c>
      <c r="N215" t="s">
        <v>898</v>
      </c>
      <c r="P215" t="s">
        <v>898</v>
      </c>
      <c r="Q215" t="s">
        <v>898</v>
      </c>
    </row>
    <row r="216">
      <c r="I216" t="s">
        <v>898</v>
      </c>
      <c r="J216" s="237" t="s">
        <v>898</v>
      </c>
      <c r="K216" s="238" t="s">
        <v>898</v>
      </c>
      <c r="L216" t="s">
        <v>898</v>
      </c>
      <c r="M216" t="s">
        <v>898</v>
      </c>
      <c r="N216" t="s">
        <v>898</v>
      </c>
      <c r="P216" t="s">
        <v>898</v>
      </c>
      <c r="Q216" t="s">
        <v>898</v>
      </c>
    </row>
    <row r="217">
      <c r="I217" t="s">
        <v>898</v>
      </c>
      <c r="J217" s="237" t="s">
        <v>898</v>
      </c>
      <c r="K217" s="238" t="s">
        <v>898</v>
      </c>
      <c r="L217" t="s">
        <v>898</v>
      </c>
      <c r="M217" t="s">
        <v>898</v>
      </c>
      <c r="N217" t="s">
        <v>898</v>
      </c>
      <c r="P217" t="s">
        <v>898</v>
      </c>
      <c r="Q217" t="s">
        <v>898</v>
      </c>
    </row>
    <row r="218">
      <c r="I218" t="s">
        <v>898</v>
      </c>
      <c r="J218" s="237" t="s">
        <v>898</v>
      </c>
      <c r="K218" s="238" t="s">
        <v>898</v>
      </c>
      <c r="L218" t="s">
        <v>898</v>
      </c>
      <c r="M218" t="s">
        <v>898</v>
      </c>
      <c r="N218" t="s">
        <v>898</v>
      </c>
      <c r="P218" t="s">
        <v>898</v>
      </c>
      <c r="Q218" t="s">
        <v>898</v>
      </c>
    </row>
    <row r="219">
      <c r="I219" t="s">
        <v>898</v>
      </c>
      <c r="J219" s="237" t="s">
        <v>898</v>
      </c>
      <c r="K219" s="238" t="s">
        <v>898</v>
      </c>
      <c r="L219" t="s">
        <v>898</v>
      </c>
      <c r="M219" t="s">
        <v>898</v>
      </c>
      <c r="N219" t="s">
        <v>898</v>
      </c>
      <c r="P219" t="s">
        <v>898</v>
      </c>
      <c r="Q219" t="s">
        <v>898</v>
      </c>
    </row>
    <row r="220">
      <c r="I220" t="s">
        <v>898</v>
      </c>
      <c r="J220" s="237" t="s">
        <v>898</v>
      </c>
      <c r="K220" s="238" t="s">
        <v>898</v>
      </c>
      <c r="L220" t="s">
        <v>898</v>
      </c>
      <c r="M220" t="s">
        <v>898</v>
      </c>
      <c r="N220" t="s">
        <v>898</v>
      </c>
      <c r="P220" t="s">
        <v>898</v>
      </c>
      <c r="Q220" t="s">
        <v>898</v>
      </c>
    </row>
    <row r="221">
      <c r="I221" t="s">
        <v>898</v>
      </c>
      <c r="J221" s="237" t="s">
        <v>898</v>
      </c>
      <c r="K221" s="238" t="s">
        <v>898</v>
      </c>
      <c r="L221" t="s">
        <v>898</v>
      </c>
      <c r="M221" t="s">
        <v>898</v>
      </c>
      <c r="N221" t="s">
        <v>898</v>
      </c>
      <c r="P221" t="s">
        <v>898</v>
      </c>
      <c r="Q221" t="s">
        <v>898</v>
      </c>
    </row>
    <row r="222">
      <c r="I222" t="s">
        <v>898</v>
      </c>
      <c r="J222" s="237" t="s">
        <v>898</v>
      </c>
      <c r="K222" s="238" t="s">
        <v>898</v>
      </c>
      <c r="L222" t="s">
        <v>898</v>
      </c>
      <c r="M222" t="s">
        <v>898</v>
      </c>
      <c r="N222" t="s">
        <v>898</v>
      </c>
      <c r="P222" t="s">
        <v>898</v>
      </c>
      <c r="Q222" t="s">
        <v>898</v>
      </c>
    </row>
    <row r="223">
      <c r="I223" t="s">
        <v>898</v>
      </c>
      <c r="J223" s="237" t="s">
        <v>898</v>
      </c>
      <c r="K223" s="238" t="s">
        <v>898</v>
      </c>
      <c r="L223" t="s">
        <v>898</v>
      </c>
      <c r="M223" t="s">
        <v>898</v>
      </c>
      <c r="N223" t="s">
        <v>898</v>
      </c>
      <c r="P223" t="s">
        <v>898</v>
      </c>
      <c r="Q223" t="s">
        <v>898</v>
      </c>
    </row>
    <row r="224">
      <c r="I224" t="s">
        <v>898</v>
      </c>
      <c r="J224" s="237" t="s">
        <v>898</v>
      </c>
      <c r="K224" s="238" t="s">
        <v>898</v>
      </c>
      <c r="L224" t="s">
        <v>898</v>
      </c>
      <c r="M224" t="s">
        <v>898</v>
      </c>
      <c r="N224" t="s">
        <v>898</v>
      </c>
      <c r="P224" t="s">
        <v>898</v>
      </c>
      <c r="Q224" t="s">
        <v>898</v>
      </c>
    </row>
    <row r="225">
      <c r="I225" t="s">
        <v>898</v>
      </c>
      <c r="J225" s="237" t="s">
        <v>898</v>
      </c>
      <c r="K225" s="238" t="s">
        <v>898</v>
      </c>
      <c r="L225" t="s">
        <v>898</v>
      </c>
      <c r="M225" t="s">
        <v>898</v>
      </c>
      <c r="N225" t="s">
        <v>898</v>
      </c>
      <c r="P225" t="s">
        <v>898</v>
      </c>
      <c r="Q225" t="s">
        <v>898</v>
      </c>
    </row>
    <row r="226">
      <c r="I226" t="s">
        <v>898</v>
      </c>
      <c r="J226" s="237" t="s">
        <v>898</v>
      </c>
      <c r="K226" s="238" t="s">
        <v>898</v>
      </c>
      <c r="L226" t="s">
        <v>898</v>
      </c>
      <c r="M226" t="s">
        <v>898</v>
      </c>
      <c r="N226" t="s">
        <v>898</v>
      </c>
      <c r="P226" t="s">
        <v>898</v>
      </c>
      <c r="Q226" t="s">
        <v>898</v>
      </c>
    </row>
    <row r="227">
      <c r="I227" t="s">
        <v>898</v>
      </c>
      <c r="J227" s="237" t="s">
        <v>898</v>
      </c>
      <c r="K227" s="238" t="s">
        <v>898</v>
      </c>
      <c r="L227" t="s">
        <v>898</v>
      </c>
      <c r="M227" t="s">
        <v>898</v>
      </c>
      <c r="N227" t="s">
        <v>898</v>
      </c>
      <c r="P227" t="s">
        <v>898</v>
      </c>
      <c r="Q227" t="s">
        <v>898</v>
      </c>
    </row>
    <row r="228">
      <c r="I228" t="s">
        <v>898</v>
      </c>
      <c r="J228" s="237" t="s">
        <v>898</v>
      </c>
      <c r="K228" s="238" t="s">
        <v>898</v>
      </c>
      <c r="L228" t="s">
        <v>898</v>
      </c>
      <c r="M228" t="s">
        <v>898</v>
      </c>
      <c r="N228" t="s">
        <v>898</v>
      </c>
      <c r="P228" t="s">
        <v>898</v>
      </c>
      <c r="Q228" t="s">
        <v>898</v>
      </c>
    </row>
    <row r="229">
      <c r="I229" t="s">
        <v>898</v>
      </c>
      <c r="J229" s="237" t="s">
        <v>898</v>
      </c>
      <c r="K229" s="238" t="s">
        <v>898</v>
      </c>
      <c r="L229" t="s">
        <v>898</v>
      </c>
      <c r="M229" t="s">
        <v>898</v>
      </c>
      <c r="N229" t="s">
        <v>898</v>
      </c>
      <c r="P229" t="s">
        <v>898</v>
      </c>
      <c r="Q229" t="s">
        <v>898</v>
      </c>
    </row>
    <row r="230">
      <c r="I230" t="s">
        <v>898</v>
      </c>
      <c r="J230" s="237" t="s">
        <v>898</v>
      </c>
      <c r="K230" s="238" t="s">
        <v>898</v>
      </c>
      <c r="L230" t="s">
        <v>898</v>
      </c>
      <c r="M230" t="s">
        <v>898</v>
      </c>
      <c r="N230" t="s">
        <v>898</v>
      </c>
      <c r="P230" t="s">
        <v>898</v>
      </c>
      <c r="Q230" t="s">
        <v>898</v>
      </c>
    </row>
    <row r="231">
      <c r="I231" t="s">
        <v>898</v>
      </c>
      <c r="J231" s="237" t="s">
        <v>898</v>
      </c>
      <c r="K231" s="238" t="s">
        <v>898</v>
      </c>
      <c r="L231" t="s">
        <v>898</v>
      </c>
      <c r="M231" t="s">
        <v>898</v>
      </c>
      <c r="N231" t="s">
        <v>898</v>
      </c>
      <c r="P231" t="s">
        <v>898</v>
      </c>
      <c r="Q231" t="s">
        <v>898</v>
      </c>
    </row>
    <row r="232">
      <c r="I232" t="s">
        <v>898</v>
      </c>
      <c r="J232" s="237" t="s">
        <v>898</v>
      </c>
      <c r="K232" s="238" t="s">
        <v>898</v>
      </c>
      <c r="L232" t="s">
        <v>898</v>
      </c>
      <c r="M232" t="s">
        <v>898</v>
      </c>
      <c r="N232" t="s">
        <v>898</v>
      </c>
      <c r="P232" t="s">
        <v>898</v>
      </c>
      <c r="Q232" t="s">
        <v>898</v>
      </c>
    </row>
    <row r="233">
      <c r="I233" t="s">
        <v>898</v>
      </c>
      <c r="J233" s="237" t="s">
        <v>898</v>
      </c>
      <c r="K233" s="238" t="s">
        <v>898</v>
      </c>
      <c r="L233" t="s">
        <v>898</v>
      </c>
      <c r="M233" t="s">
        <v>898</v>
      </c>
      <c r="N233" t="s">
        <v>898</v>
      </c>
      <c r="P233" t="s">
        <v>898</v>
      </c>
      <c r="Q233" t="s">
        <v>898</v>
      </c>
    </row>
    <row r="234">
      <c r="I234" t="s">
        <v>898</v>
      </c>
      <c r="J234" s="237" t="s">
        <v>898</v>
      </c>
      <c r="K234" s="238" t="s">
        <v>898</v>
      </c>
      <c r="L234" t="s">
        <v>898</v>
      </c>
      <c r="M234" t="s">
        <v>898</v>
      </c>
      <c r="N234" t="s">
        <v>898</v>
      </c>
      <c r="P234" t="s">
        <v>898</v>
      </c>
      <c r="Q234" t="s">
        <v>898</v>
      </c>
    </row>
    <row r="235">
      <c r="I235" t="s">
        <v>898</v>
      </c>
      <c r="J235" s="237" t="s">
        <v>898</v>
      </c>
      <c r="K235" s="238" t="s">
        <v>898</v>
      </c>
      <c r="L235" t="s">
        <v>898</v>
      </c>
      <c r="M235" t="s">
        <v>898</v>
      </c>
      <c r="N235" t="s">
        <v>898</v>
      </c>
      <c r="P235" t="s">
        <v>898</v>
      </c>
      <c r="Q235" t="s">
        <v>898</v>
      </c>
    </row>
    <row r="236">
      <c r="I236" t="s">
        <v>898</v>
      </c>
      <c r="J236" s="237" t="s">
        <v>898</v>
      </c>
      <c r="K236" s="238" t="s">
        <v>898</v>
      </c>
      <c r="L236" t="s">
        <v>898</v>
      </c>
      <c r="M236" t="s">
        <v>898</v>
      </c>
      <c r="N236" t="s">
        <v>898</v>
      </c>
      <c r="P236" t="s">
        <v>898</v>
      </c>
      <c r="Q236" t="s">
        <v>898</v>
      </c>
    </row>
    <row r="237">
      <c r="I237" t="s">
        <v>898</v>
      </c>
      <c r="J237" s="237" t="s">
        <v>898</v>
      </c>
      <c r="K237" s="238" t="s">
        <v>898</v>
      </c>
      <c r="L237" t="s">
        <v>898</v>
      </c>
      <c r="M237" t="s">
        <v>898</v>
      </c>
      <c r="N237" t="s">
        <v>898</v>
      </c>
      <c r="P237" t="s">
        <v>898</v>
      </c>
      <c r="Q237" t="s">
        <v>898</v>
      </c>
    </row>
    <row r="238">
      <c r="I238" t="s">
        <v>898</v>
      </c>
      <c r="J238" s="237" t="s">
        <v>898</v>
      </c>
      <c r="K238" s="238" t="s">
        <v>898</v>
      </c>
      <c r="L238" t="s">
        <v>898</v>
      </c>
      <c r="M238" t="s">
        <v>898</v>
      </c>
      <c r="N238" t="s">
        <v>898</v>
      </c>
      <c r="P238" t="s">
        <v>898</v>
      </c>
      <c r="Q238" t="s">
        <v>898</v>
      </c>
    </row>
    <row r="239">
      <c r="I239" t="s">
        <v>898</v>
      </c>
      <c r="J239" s="237" t="s">
        <v>898</v>
      </c>
      <c r="K239" s="238" t="s">
        <v>898</v>
      </c>
      <c r="L239" t="s">
        <v>898</v>
      </c>
      <c r="M239" t="s">
        <v>898</v>
      </c>
      <c r="N239" t="s">
        <v>898</v>
      </c>
      <c r="P239" t="s">
        <v>898</v>
      </c>
      <c r="Q239" t="s">
        <v>898</v>
      </c>
    </row>
    <row r="240">
      <c r="I240" t="s">
        <v>898</v>
      </c>
      <c r="J240" s="237" t="s">
        <v>898</v>
      </c>
      <c r="K240" s="238" t="s">
        <v>898</v>
      </c>
      <c r="L240" t="s">
        <v>898</v>
      </c>
      <c r="M240" t="s">
        <v>898</v>
      </c>
      <c r="N240" t="s">
        <v>898</v>
      </c>
      <c r="P240" t="s">
        <v>898</v>
      </c>
      <c r="Q240" t="s">
        <v>898</v>
      </c>
    </row>
    <row r="241">
      <c r="I241" t="s">
        <v>898</v>
      </c>
      <c r="J241" s="237" t="s">
        <v>898</v>
      </c>
      <c r="K241" s="238" t="s">
        <v>898</v>
      </c>
      <c r="L241" t="s">
        <v>898</v>
      </c>
      <c r="M241" t="s">
        <v>898</v>
      </c>
      <c r="N241" t="s">
        <v>898</v>
      </c>
      <c r="P241" t="s">
        <v>898</v>
      </c>
      <c r="Q241" t="s">
        <v>898</v>
      </c>
    </row>
    <row r="242">
      <c r="I242" t="s">
        <v>898</v>
      </c>
      <c r="J242" s="237" t="s">
        <v>898</v>
      </c>
      <c r="K242" s="238" t="s">
        <v>898</v>
      </c>
      <c r="L242" t="s">
        <v>898</v>
      </c>
      <c r="M242" t="s">
        <v>898</v>
      </c>
      <c r="N242" t="s">
        <v>898</v>
      </c>
      <c r="P242" t="s">
        <v>898</v>
      </c>
      <c r="Q242" t="s">
        <v>898</v>
      </c>
    </row>
    <row r="243">
      <c r="I243" t="s">
        <v>898</v>
      </c>
      <c r="J243" s="237" t="s">
        <v>898</v>
      </c>
      <c r="K243" s="238" t="s">
        <v>898</v>
      </c>
      <c r="L243" t="s">
        <v>898</v>
      </c>
      <c r="M243" t="s">
        <v>898</v>
      </c>
      <c r="N243" t="s">
        <v>898</v>
      </c>
      <c r="P243" t="s">
        <v>898</v>
      </c>
      <c r="Q243" t="s">
        <v>898</v>
      </c>
    </row>
    <row r="244">
      <c r="I244" t="s">
        <v>898</v>
      </c>
      <c r="J244" s="237" t="s">
        <v>898</v>
      </c>
      <c r="K244" s="238" t="s">
        <v>898</v>
      </c>
      <c r="L244" t="s">
        <v>898</v>
      </c>
      <c r="M244" t="s">
        <v>898</v>
      </c>
      <c r="N244" t="s">
        <v>898</v>
      </c>
      <c r="P244" t="s">
        <v>898</v>
      </c>
      <c r="Q244" t="s">
        <v>898</v>
      </c>
    </row>
    <row r="245">
      <c r="I245" t="s">
        <v>898</v>
      </c>
      <c r="J245" s="237" t="s">
        <v>898</v>
      </c>
      <c r="K245" s="238" t="s">
        <v>898</v>
      </c>
      <c r="L245" t="s">
        <v>898</v>
      </c>
      <c r="M245" t="s">
        <v>898</v>
      </c>
      <c r="N245" t="s">
        <v>898</v>
      </c>
      <c r="P245" t="s">
        <v>898</v>
      </c>
      <c r="Q245" t="s">
        <v>898</v>
      </c>
    </row>
    <row r="246">
      <c r="I246" t="s">
        <v>898</v>
      </c>
      <c r="J246" s="237" t="s">
        <v>898</v>
      </c>
      <c r="K246" s="238" t="s">
        <v>898</v>
      </c>
      <c r="L246" t="s">
        <v>898</v>
      </c>
      <c r="M246" t="s">
        <v>898</v>
      </c>
      <c r="N246" t="s">
        <v>898</v>
      </c>
      <c r="P246" t="s">
        <v>898</v>
      </c>
      <c r="Q246" t="s">
        <v>898</v>
      </c>
    </row>
    <row r="247">
      <c r="I247" t="s">
        <v>898</v>
      </c>
      <c r="J247" s="237" t="s">
        <v>898</v>
      </c>
      <c r="K247" s="238" t="s">
        <v>898</v>
      </c>
      <c r="L247" t="s">
        <v>898</v>
      </c>
      <c r="M247" t="s">
        <v>898</v>
      </c>
      <c r="N247" t="s">
        <v>898</v>
      </c>
      <c r="P247" t="s">
        <v>898</v>
      </c>
      <c r="Q247" t="s">
        <v>898</v>
      </c>
    </row>
    <row r="248">
      <c r="I248" t="s">
        <v>898</v>
      </c>
      <c r="J248" s="237" t="s">
        <v>898</v>
      </c>
      <c r="K248" s="238" t="s">
        <v>898</v>
      </c>
      <c r="L248" t="s">
        <v>898</v>
      </c>
      <c r="M248" t="s">
        <v>898</v>
      </c>
      <c r="N248" t="s">
        <v>898</v>
      </c>
      <c r="P248" t="s">
        <v>898</v>
      </c>
      <c r="Q248" t="s">
        <v>898</v>
      </c>
    </row>
    <row r="249">
      <c r="I249" t="s">
        <v>898</v>
      </c>
      <c r="J249" s="237" t="s">
        <v>898</v>
      </c>
      <c r="K249" s="238" t="s">
        <v>898</v>
      </c>
      <c r="L249" t="s">
        <v>898</v>
      </c>
      <c r="M249" t="s">
        <v>898</v>
      </c>
      <c r="N249" t="s">
        <v>898</v>
      </c>
      <c r="P249" t="s">
        <v>898</v>
      </c>
      <c r="Q249" t="s">
        <v>898</v>
      </c>
    </row>
    <row r="250">
      <c r="I250" t="s">
        <v>898</v>
      </c>
      <c r="J250" s="237" t="s">
        <v>898</v>
      </c>
      <c r="K250" s="238" t="s">
        <v>898</v>
      </c>
      <c r="L250" t="s">
        <v>898</v>
      </c>
      <c r="M250" t="s">
        <v>898</v>
      </c>
      <c r="N250" t="s">
        <v>898</v>
      </c>
      <c r="P250" t="s">
        <v>898</v>
      </c>
      <c r="Q250" t="s">
        <v>898</v>
      </c>
    </row>
    <row r="251">
      <c r="I251" t="s">
        <v>898</v>
      </c>
      <c r="J251" s="237" t="s">
        <v>898</v>
      </c>
      <c r="K251" s="238" t="s">
        <v>898</v>
      </c>
      <c r="L251" t="s">
        <v>898</v>
      </c>
      <c r="M251" t="s">
        <v>898</v>
      </c>
      <c r="N251" t="s">
        <v>898</v>
      </c>
      <c r="P251" t="s">
        <v>898</v>
      </c>
      <c r="Q251" t="s">
        <v>898</v>
      </c>
    </row>
    <row r="252">
      <c r="I252" t="s">
        <v>898</v>
      </c>
      <c r="J252" s="237" t="s">
        <v>898</v>
      </c>
      <c r="K252" s="238" t="s">
        <v>898</v>
      </c>
      <c r="L252" t="s">
        <v>898</v>
      </c>
      <c r="M252" t="s">
        <v>898</v>
      </c>
      <c r="N252" t="s">
        <v>898</v>
      </c>
      <c r="P252" t="s">
        <v>898</v>
      </c>
      <c r="Q252" t="s">
        <v>898</v>
      </c>
    </row>
    <row r="253">
      <c r="I253" t="s">
        <v>898</v>
      </c>
      <c r="J253" s="237" t="s">
        <v>898</v>
      </c>
      <c r="K253" s="238" t="s">
        <v>898</v>
      </c>
      <c r="L253" t="s">
        <v>898</v>
      </c>
      <c r="M253" t="s">
        <v>898</v>
      </c>
      <c r="N253" t="s">
        <v>898</v>
      </c>
      <c r="P253" t="s">
        <v>898</v>
      </c>
      <c r="Q253" t="s">
        <v>898</v>
      </c>
    </row>
    <row r="254">
      <c r="I254" t="s">
        <v>898</v>
      </c>
      <c r="J254" s="237" t="s">
        <v>898</v>
      </c>
      <c r="K254" s="238" t="s">
        <v>898</v>
      </c>
      <c r="L254" t="s">
        <v>898</v>
      </c>
      <c r="M254" t="s">
        <v>898</v>
      </c>
      <c r="N254" t="s">
        <v>898</v>
      </c>
      <c r="P254" t="s">
        <v>898</v>
      </c>
      <c r="Q254" t="s">
        <v>898</v>
      </c>
    </row>
    <row r="255">
      <c r="I255" t="s">
        <v>898</v>
      </c>
      <c r="J255" s="237" t="s">
        <v>898</v>
      </c>
      <c r="K255" s="238" t="s">
        <v>898</v>
      </c>
      <c r="L255" t="s">
        <v>898</v>
      </c>
      <c r="M255" t="s">
        <v>898</v>
      </c>
      <c r="N255" t="s">
        <v>898</v>
      </c>
      <c r="P255" t="s">
        <v>898</v>
      </c>
      <c r="Q255" t="s">
        <v>898</v>
      </c>
    </row>
    <row r="256">
      <c r="I256" t="s">
        <v>898</v>
      </c>
      <c r="J256" s="237" t="s">
        <v>898</v>
      </c>
      <c r="K256" s="238" t="s">
        <v>898</v>
      </c>
      <c r="L256" t="s">
        <v>898</v>
      </c>
      <c r="M256" t="s">
        <v>898</v>
      </c>
      <c r="N256" t="s">
        <v>898</v>
      </c>
      <c r="P256" t="s">
        <v>898</v>
      </c>
      <c r="Q256" t="s">
        <v>898</v>
      </c>
    </row>
    <row r="257">
      <c r="I257" t="s">
        <v>898</v>
      </c>
      <c r="J257" s="237" t="s">
        <v>898</v>
      </c>
      <c r="K257" s="238" t="s">
        <v>898</v>
      </c>
      <c r="L257" t="s">
        <v>898</v>
      </c>
      <c r="M257" t="s">
        <v>898</v>
      </c>
      <c r="N257" t="s">
        <v>898</v>
      </c>
      <c r="P257" t="s">
        <v>898</v>
      </c>
      <c r="Q257" t="s">
        <v>898</v>
      </c>
    </row>
    <row r="258">
      <c r="I258" t="s">
        <v>898</v>
      </c>
      <c r="J258" s="237" t="s">
        <v>898</v>
      </c>
      <c r="K258" s="238" t="s">
        <v>898</v>
      </c>
      <c r="L258" t="s">
        <v>898</v>
      </c>
      <c r="M258" t="s">
        <v>898</v>
      </c>
      <c r="N258" t="s">
        <v>898</v>
      </c>
      <c r="P258" t="s">
        <v>898</v>
      </c>
      <c r="Q258" t="s">
        <v>898</v>
      </c>
    </row>
    <row r="259">
      <c r="I259" t="s">
        <v>898</v>
      </c>
      <c r="J259" s="237" t="s">
        <v>898</v>
      </c>
      <c r="K259" s="238" t="s">
        <v>898</v>
      </c>
      <c r="L259" t="s">
        <v>898</v>
      </c>
      <c r="M259" t="s">
        <v>898</v>
      </c>
      <c r="N259" t="s">
        <v>898</v>
      </c>
      <c r="P259" t="s">
        <v>898</v>
      </c>
      <c r="Q259" t="s">
        <v>898</v>
      </c>
    </row>
    <row r="260">
      <c r="I260" t="s">
        <v>898</v>
      </c>
      <c r="J260" s="237" t="s">
        <v>898</v>
      </c>
      <c r="K260" s="238" t="s">
        <v>898</v>
      </c>
      <c r="L260" t="s">
        <v>898</v>
      </c>
      <c r="M260" t="s">
        <v>898</v>
      </c>
      <c r="N260" t="s">
        <v>898</v>
      </c>
      <c r="P260" t="s">
        <v>898</v>
      </c>
      <c r="Q260" t="s">
        <v>898</v>
      </c>
    </row>
    <row r="261">
      <c r="I261" t="s">
        <v>898</v>
      </c>
      <c r="J261" s="237" t="s">
        <v>898</v>
      </c>
      <c r="K261" s="238" t="s">
        <v>898</v>
      </c>
      <c r="L261" t="s">
        <v>898</v>
      </c>
      <c r="M261" t="s">
        <v>898</v>
      </c>
      <c r="N261" t="s">
        <v>898</v>
      </c>
      <c r="P261" t="s">
        <v>898</v>
      </c>
      <c r="Q261" t="s">
        <v>898</v>
      </c>
    </row>
    <row r="262">
      <c r="I262" t="s">
        <v>898</v>
      </c>
      <c r="J262" s="237" t="s">
        <v>898</v>
      </c>
      <c r="K262" s="238" t="s">
        <v>898</v>
      </c>
      <c r="L262" t="s">
        <v>898</v>
      </c>
      <c r="M262" t="s">
        <v>898</v>
      </c>
      <c r="N262" t="s">
        <v>898</v>
      </c>
      <c r="P262" t="s">
        <v>898</v>
      </c>
      <c r="Q262" t="s">
        <v>898</v>
      </c>
    </row>
    <row r="263">
      <c r="I263" t="s">
        <v>898</v>
      </c>
      <c r="J263" s="237" t="s">
        <v>898</v>
      </c>
      <c r="K263" s="238" t="s">
        <v>898</v>
      </c>
      <c r="L263" t="s">
        <v>898</v>
      </c>
      <c r="M263" t="s">
        <v>898</v>
      </c>
      <c r="N263" t="s">
        <v>898</v>
      </c>
      <c r="P263" t="s">
        <v>898</v>
      </c>
      <c r="Q263" t="s">
        <v>898</v>
      </c>
    </row>
    <row r="264">
      <c r="I264" t="s">
        <v>898</v>
      </c>
      <c r="J264" s="237" t="s">
        <v>898</v>
      </c>
      <c r="K264" s="238" t="s">
        <v>898</v>
      </c>
      <c r="L264" t="s">
        <v>898</v>
      </c>
      <c r="M264" t="s">
        <v>898</v>
      </c>
      <c r="N264" t="s">
        <v>898</v>
      </c>
      <c r="P264" t="s">
        <v>898</v>
      </c>
      <c r="Q264" t="s">
        <v>898</v>
      </c>
    </row>
    <row r="265">
      <c r="I265" t="s">
        <v>898</v>
      </c>
      <c r="J265" s="237" t="s">
        <v>898</v>
      </c>
      <c r="K265" s="238" t="s">
        <v>898</v>
      </c>
      <c r="L265" t="s">
        <v>898</v>
      </c>
      <c r="M265" t="s">
        <v>898</v>
      </c>
      <c r="N265" t="s">
        <v>898</v>
      </c>
      <c r="P265" t="s">
        <v>898</v>
      </c>
      <c r="Q265" t="s">
        <v>898</v>
      </c>
    </row>
    <row r="266">
      <c r="I266" t="s">
        <v>898</v>
      </c>
      <c r="J266" s="237" t="s">
        <v>898</v>
      </c>
      <c r="K266" s="238" t="s">
        <v>898</v>
      </c>
      <c r="L266" t="s">
        <v>898</v>
      </c>
      <c r="M266" t="s">
        <v>898</v>
      </c>
      <c r="N266" t="s">
        <v>898</v>
      </c>
      <c r="P266" t="s">
        <v>898</v>
      </c>
      <c r="Q266" t="s">
        <v>898</v>
      </c>
    </row>
    <row r="267">
      <c r="I267" t="s">
        <v>898</v>
      </c>
      <c r="J267" s="237" t="s">
        <v>898</v>
      </c>
      <c r="K267" s="238" t="s">
        <v>898</v>
      </c>
      <c r="L267" t="s">
        <v>898</v>
      </c>
      <c r="M267" t="s">
        <v>898</v>
      </c>
      <c r="N267" t="s">
        <v>898</v>
      </c>
      <c r="P267" t="s">
        <v>898</v>
      </c>
      <c r="Q267" t="s">
        <v>898</v>
      </c>
    </row>
    <row r="268">
      <c r="I268" t="s">
        <v>898</v>
      </c>
      <c r="J268" s="237" t="s">
        <v>898</v>
      </c>
      <c r="K268" s="238" t="s">
        <v>898</v>
      </c>
      <c r="L268" t="s">
        <v>898</v>
      </c>
      <c r="M268" t="s">
        <v>898</v>
      </c>
      <c r="N268" t="s">
        <v>898</v>
      </c>
      <c r="P268" t="s">
        <v>898</v>
      </c>
      <c r="Q268" t="s">
        <v>898</v>
      </c>
    </row>
    <row r="269">
      <c r="I269" t="s">
        <v>898</v>
      </c>
      <c r="J269" s="237" t="s">
        <v>898</v>
      </c>
      <c r="K269" s="238" t="s">
        <v>898</v>
      </c>
      <c r="L269" t="s">
        <v>898</v>
      </c>
      <c r="M269" t="s">
        <v>898</v>
      </c>
      <c r="N269" t="s">
        <v>898</v>
      </c>
      <c r="P269" t="s">
        <v>898</v>
      </c>
      <c r="Q269" t="s">
        <v>898</v>
      </c>
    </row>
    <row r="270">
      <c r="I270" t="s">
        <v>898</v>
      </c>
      <c r="J270" s="237" t="s">
        <v>898</v>
      </c>
      <c r="K270" s="238" t="s">
        <v>898</v>
      </c>
      <c r="L270" t="s">
        <v>898</v>
      </c>
      <c r="M270" t="s">
        <v>898</v>
      </c>
      <c r="N270" t="s">
        <v>898</v>
      </c>
      <c r="P270" t="s">
        <v>898</v>
      </c>
      <c r="Q270" t="s">
        <v>898</v>
      </c>
    </row>
    <row r="271">
      <c r="I271" t="s">
        <v>898</v>
      </c>
      <c r="J271" s="237" t="s">
        <v>898</v>
      </c>
      <c r="K271" s="238" t="s">
        <v>898</v>
      </c>
      <c r="L271" t="s">
        <v>898</v>
      </c>
      <c r="M271" t="s">
        <v>898</v>
      </c>
      <c r="N271" t="s">
        <v>898</v>
      </c>
      <c r="P271" t="s">
        <v>898</v>
      </c>
      <c r="Q271" t="s">
        <v>898</v>
      </c>
    </row>
    <row r="272">
      <c r="I272" t="s">
        <v>898</v>
      </c>
      <c r="J272" s="237" t="s">
        <v>898</v>
      </c>
      <c r="K272" s="238" t="s">
        <v>898</v>
      </c>
      <c r="L272" t="s">
        <v>898</v>
      </c>
      <c r="M272" t="s">
        <v>898</v>
      </c>
      <c r="N272" t="s">
        <v>898</v>
      </c>
      <c r="P272" t="s">
        <v>898</v>
      </c>
      <c r="Q272" t="s">
        <v>898</v>
      </c>
    </row>
    <row r="273">
      <c r="I273" t="s">
        <v>898</v>
      </c>
      <c r="J273" s="237" t="s">
        <v>898</v>
      </c>
      <c r="K273" s="238" t="s">
        <v>898</v>
      </c>
      <c r="L273" t="s">
        <v>898</v>
      </c>
      <c r="M273" t="s">
        <v>898</v>
      </c>
      <c r="N273" t="s">
        <v>898</v>
      </c>
      <c r="P273" t="s">
        <v>898</v>
      </c>
      <c r="Q273" t="s">
        <v>898</v>
      </c>
    </row>
    <row r="274">
      <c r="I274" t="s">
        <v>898</v>
      </c>
      <c r="J274" s="237" t="s">
        <v>898</v>
      </c>
      <c r="K274" s="238" t="s">
        <v>898</v>
      </c>
      <c r="L274" t="s">
        <v>898</v>
      </c>
      <c r="M274" t="s">
        <v>898</v>
      </c>
      <c r="N274" t="s">
        <v>898</v>
      </c>
      <c r="P274" t="s">
        <v>898</v>
      </c>
      <c r="Q274" t="s">
        <v>898</v>
      </c>
    </row>
    <row r="275">
      <c r="I275" t="s">
        <v>898</v>
      </c>
      <c r="J275" s="237" t="s">
        <v>898</v>
      </c>
      <c r="K275" s="238" t="s">
        <v>898</v>
      </c>
      <c r="L275" t="s">
        <v>898</v>
      </c>
      <c r="M275" t="s">
        <v>898</v>
      </c>
      <c r="N275" t="s">
        <v>898</v>
      </c>
      <c r="P275" t="s">
        <v>898</v>
      </c>
      <c r="Q275" t="s">
        <v>898</v>
      </c>
    </row>
    <row r="276">
      <c r="I276" t="s">
        <v>898</v>
      </c>
      <c r="J276" s="237" t="s">
        <v>898</v>
      </c>
      <c r="K276" s="238" t="s">
        <v>898</v>
      </c>
      <c r="L276" t="s">
        <v>898</v>
      </c>
      <c r="M276" t="s">
        <v>898</v>
      </c>
      <c r="N276" t="s">
        <v>898</v>
      </c>
      <c r="P276" t="s">
        <v>898</v>
      </c>
      <c r="Q276" t="s">
        <v>898</v>
      </c>
    </row>
    <row r="277">
      <c r="I277" t="s">
        <v>898</v>
      </c>
      <c r="J277" s="237" t="s">
        <v>898</v>
      </c>
      <c r="K277" s="238" t="s">
        <v>898</v>
      </c>
      <c r="L277" t="s">
        <v>898</v>
      </c>
      <c r="M277" t="s">
        <v>898</v>
      </c>
      <c r="N277" t="s">
        <v>898</v>
      </c>
      <c r="P277" t="s">
        <v>898</v>
      </c>
      <c r="Q277" t="s">
        <v>898</v>
      </c>
    </row>
    <row r="278">
      <c r="I278" t="s">
        <v>898</v>
      </c>
      <c r="J278" s="237" t="s">
        <v>898</v>
      </c>
      <c r="K278" s="238" t="s">
        <v>898</v>
      </c>
      <c r="L278" t="s">
        <v>898</v>
      </c>
      <c r="M278" t="s">
        <v>898</v>
      </c>
      <c r="N278" t="s">
        <v>898</v>
      </c>
      <c r="P278" t="s">
        <v>898</v>
      </c>
      <c r="Q278" t="s">
        <v>898</v>
      </c>
    </row>
    <row r="279">
      <c r="I279" t="s">
        <v>898</v>
      </c>
      <c r="J279" s="237" t="s">
        <v>898</v>
      </c>
      <c r="K279" s="238" t="s">
        <v>898</v>
      </c>
      <c r="L279" t="s">
        <v>898</v>
      </c>
      <c r="M279" t="s">
        <v>898</v>
      </c>
      <c r="N279" t="s">
        <v>898</v>
      </c>
      <c r="P279" t="s">
        <v>898</v>
      </c>
      <c r="Q279" t="s">
        <v>898</v>
      </c>
    </row>
    <row r="280">
      <c r="I280" t="s">
        <v>898</v>
      </c>
      <c r="J280" s="237" t="s">
        <v>898</v>
      </c>
      <c r="K280" s="238" t="s">
        <v>898</v>
      </c>
      <c r="L280" t="s">
        <v>898</v>
      </c>
      <c r="M280" t="s">
        <v>898</v>
      </c>
      <c r="N280" t="s">
        <v>898</v>
      </c>
      <c r="P280" t="s">
        <v>898</v>
      </c>
      <c r="Q280" t="s">
        <v>898</v>
      </c>
    </row>
    <row r="281">
      <c r="I281" t="s">
        <v>898</v>
      </c>
      <c r="J281" s="237" t="s">
        <v>898</v>
      </c>
      <c r="K281" s="238" t="s">
        <v>898</v>
      </c>
      <c r="L281" t="s">
        <v>898</v>
      </c>
      <c r="M281" t="s">
        <v>898</v>
      </c>
      <c r="N281" t="s">
        <v>898</v>
      </c>
      <c r="P281" t="s">
        <v>898</v>
      </c>
      <c r="Q281" t="s">
        <v>898</v>
      </c>
    </row>
    <row r="282">
      <c r="I282" t="s">
        <v>898</v>
      </c>
      <c r="J282" s="237" t="s">
        <v>898</v>
      </c>
      <c r="K282" s="238" t="s">
        <v>898</v>
      </c>
      <c r="L282" t="s">
        <v>898</v>
      </c>
      <c r="M282" t="s">
        <v>898</v>
      </c>
      <c r="N282" t="s">
        <v>898</v>
      </c>
      <c r="P282" t="s">
        <v>898</v>
      </c>
      <c r="Q282" t="s">
        <v>898</v>
      </c>
    </row>
    <row r="283">
      <c r="I283" t="s">
        <v>898</v>
      </c>
      <c r="J283" s="237" t="s">
        <v>898</v>
      </c>
      <c r="K283" s="238" t="s">
        <v>898</v>
      </c>
      <c r="L283" t="s">
        <v>898</v>
      </c>
      <c r="M283" t="s">
        <v>898</v>
      </c>
      <c r="N283" t="s">
        <v>898</v>
      </c>
      <c r="P283" t="s">
        <v>898</v>
      </c>
      <c r="Q283" t="s">
        <v>898</v>
      </c>
    </row>
    <row r="284">
      <c r="I284" t="s">
        <v>898</v>
      </c>
      <c r="J284" s="237" t="s">
        <v>898</v>
      </c>
      <c r="K284" s="238" t="s">
        <v>898</v>
      </c>
      <c r="L284" t="s">
        <v>898</v>
      </c>
      <c r="M284" t="s">
        <v>898</v>
      </c>
      <c r="N284" t="s">
        <v>898</v>
      </c>
      <c r="P284" t="s">
        <v>898</v>
      </c>
      <c r="Q284" t="s">
        <v>898</v>
      </c>
    </row>
    <row r="285">
      <c r="I285" t="s">
        <v>898</v>
      </c>
      <c r="J285" s="237" t="s">
        <v>898</v>
      </c>
      <c r="K285" s="238" t="s">
        <v>898</v>
      </c>
      <c r="L285" t="s">
        <v>898</v>
      </c>
      <c r="M285" t="s">
        <v>898</v>
      </c>
      <c r="N285" t="s">
        <v>898</v>
      </c>
      <c r="P285" t="s">
        <v>898</v>
      </c>
      <c r="Q285" t="s">
        <v>898</v>
      </c>
    </row>
    <row r="286">
      <c r="I286" t="s">
        <v>898</v>
      </c>
      <c r="J286" s="237" t="s">
        <v>898</v>
      </c>
      <c r="K286" s="238" t="s">
        <v>898</v>
      </c>
      <c r="L286" t="s">
        <v>898</v>
      </c>
      <c r="M286" t="s">
        <v>898</v>
      </c>
      <c r="N286" t="s">
        <v>898</v>
      </c>
      <c r="P286" t="s">
        <v>898</v>
      </c>
      <c r="Q286" t="s">
        <v>898</v>
      </c>
    </row>
    <row r="287">
      <c r="I287" t="s">
        <v>898</v>
      </c>
      <c r="J287" s="237" t="s">
        <v>898</v>
      </c>
      <c r="K287" s="238" t="s">
        <v>898</v>
      </c>
      <c r="L287" t="s">
        <v>898</v>
      </c>
      <c r="M287" t="s">
        <v>898</v>
      </c>
      <c r="N287" t="s">
        <v>898</v>
      </c>
      <c r="P287" t="s">
        <v>898</v>
      </c>
      <c r="Q287" t="s">
        <v>898</v>
      </c>
    </row>
    <row r="288">
      <c r="I288" t="s">
        <v>898</v>
      </c>
      <c r="J288" s="237" t="s">
        <v>898</v>
      </c>
      <c r="K288" s="238" t="s">
        <v>898</v>
      </c>
      <c r="L288" t="s">
        <v>898</v>
      </c>
      <c r="M288" t="s">
        <v>898</v>
      </c>
      <c r="N288" t="s">
        <v>898</v>
      </c>
      <c r="P288" t="s">
        <v>898</v>
      </c>
      <c r="Q288" t="s">
        <v>898</v>
      </c>
    </row>
    <row r="289">
      <c r="I289" t="s">
        <v>898</v>
      </c>
      <c r="J289" s="237" t="s">
        <v>898</v>
      </c>
      <c r="K289" s="238" t="s">
        <v>898</v>
      </c>
      <c r="L289" t="s">
        <v>898</v>
      </c>
      <c r="M289" t="s">
        <v>898</v>
      </c>
      <c r="N289" t="s">
        <v>898</v>
      </c>
      <c r="P289" t="s">
        <v>898</v>
      </c>
      <c r="Q289" t="s">
        <v>898</v>
      </c>
    </row>
    <row r="290">
      <c r="I290" t="s">
        <v>898</v>
      </c>
      <c r="J290" s="237" t="s">
        <v>898</v>
      </c>
      <c r="K290" s="238" t="s">
        <v>898</v>
      </c>
      <c r="L290" t="s">
        <v>898</v>
      </c>
      <c r="M290" t="s">
        <v>898</v>
      </c>
      <c r="N290" t="s">
        <v>898</v>
      </c>
      <c r="P290" t="s">
        <v>898</v>
      </c>
      <c r="Q290" t="s">
        <v>898</v>
      </c>
    </row>
    <row r="291">
      <c r="I291" t="s">
        <v>898</v>
      </c>
      <c r="J291" s="237" t="s">
        <v>898</v>
      </c>
      <c r="K291" s="238" t="s">
        <v>898</v>
      </c>
      <c r="L291" t="s">
        <v>898</v>
      </c>
      <c r="M291" t="s">
        <v>898</v>
      </c>
      <c r="N291" t="s">
        <v>898</v>
      </c>
      <c r="P291" t="s">
        <v>898</v>
      </c>
      <c r="Q291" t="s">
        <v>898</v>
      </c>
    </row>
    <row r="292">
      <c r="I292" t="s">
        <v>898</v>
      </c>
      <c r="J292" s="237" t="s">
        <v>898</v>
      </c>
      <c r="K292" s="238" t="s">
        <v>898</v>
      </c>
      <c r="L292" t="s">
        <v>898</v>
      </c>
      <c r="M292" t="s">
        <v>898</v>
      </c>
      <c r="N292" t="s">
        <v>898</v>
      </c>
      <c r="P292" t="s">
        <v>898</v>
      </c>
      <c r="Q292" t="s">
        <v>898</v>
      </c>
    </row>
    <row r="293">
      <c r="I293" t="s">
        <v>898</v>
      </c>
      <c r="J293" s="237" t="s">
        <v>898</v>
      </c>
      <c r="K293" s="238" t="s">
        <v>898</v>
      </c>
      <c r="L293" t="s">
        <v>898</v>
      </c>
      <c r="M293" t="s">
        <v>898</v>
      </c>
      <c r="N293" t="s">
        <v>898</v>
      </c>
      <c r="P293" t="s">
        <v>898</v>
      </c>
      <c r="Q293" t="s">
        <v>898</v>
      </c>
    </row>
    <row r="294">
      <c r="I294" t="s">
        <v>898</v>
      </c>
      <c r="J294" s="237" t="s">
        <v>898</v>
      </c>
      <c r="K294" s="238" t="s">
        <v>898</v>
      </c>
      <c r="L294" t="s">
        <v>898</v>
      </c>
      <c r="M294" t="s">
        <v>898</v>
      </c>
      <c r="N294" t="s">
        <v>898</v>
      </c>
      <c r="P294" t="s">
        <v>898</v>
      </c>
      <c r="Q294" t="s">
        <v>898</v>
      </c>
    </row>
    <row r="295">
      <c r="I295" t="s">
        <v>898</v>
      </c>
      <c r="J295" s="237" t="s">
        <v>898</v>
      </c>
      <c r="K295" s="238" t="s">
        <v>898</v>
      </c>
      <c r="L295" t="s">
        <v>898</v>
      </c>
      <c r="M295" t="s">
        <v>898</v>
      </c>
      <c r="N295" t="s">
        <v>898</v>
      </c>
      <c r="P295" t="s">
        <v>898</v>
      </c>
      <c r="Q295" t="s">
        <v>898</v>
      </c>
    </row>
    <row r="296">
      <c r="I296" t="s">
        <v>898</v>
      </c>
      <c r="J296" s="237" t="s">
        <v>898</v>
      </c>
      <c r="K296" s="238" t="s">
        <v>898</v>
      </c>
      <c r="L296" t="s">
        <v>898</v>
      </c>
      <c r="M296" t="s">
        <v>898</v>
      </c>
      <c r="N296" t="s">
        <v>898</v>
      </c>
      <c r="P296" t="s">
        <v>898</v>
      </c>
      <c r="Q296" t="s">
        <v>898</v>
      </c>
    </row>
    <row r="297">
      <c r="I297" t="s">
        <v>898</v>
      </c>
      <c r="J297" s="237" t="s">
        <v>898</v>
      </c>
      <c r="K297" s="238" t="s">
        <v>898</v>
      </c>
      <c r="L297" t="s">
        <v>898</v>
      </c>
      <c r="M297" t="s">
        <v>898</v>
      </c>
      <c r="N297" t="s">
        <v>898</v>
      </c>
      <c r="P297" t="s">
        <v>898</v>
      </c>
      <c r="Q297" t="s">
        <v>898</v>
      </c>
    </row>
    <row r="298">
      <c r="I298" t="s">
        <v>898</v>
      </c>
      <c r="J298" s="237" t="s">
        <v>898</v>
      </c>
      <c r="K298" s="238" t="s">
        <v>898</v>
      </c>
      <c r="L298" t="s">
        <v>898</v>
      </c>
      <c r="M298" t="s">
        <v>898</v>
      </c>
      <c r="N298" t="s">
        <v>898</v>
      </c>
      <c r="P298" t="s">
        <v>898</v>
      </c>
      <c r="Q298" t="s">
        <v>898</v>
      </c>
    </row>
    <row r="299">
      <c r="I299" t="s">
        <v>898</v>
      </c>
      <c r="J299" s="237" t="s">
        <v>898</v>
      </c>
      <c r="K299" s="238" t="s">
        <v>898</v>
      </c>
      <c r="L299" t="s">
        <v>898</v>
      </c>
      <c r="M299" t="s">
        <v>898</v>
      </c>
      <c r="N299" t="s">
        <v>898</v>
      </c>
      <c r="P299" t="s">
        <v>898</v>
      </c>
      <c r="Q299" t="s">
        <v>898</v>
      </c>
    </row>
    <row r="300">
      <c r="I300" t="s">
        <v>898</v>
      </c>
      <c r="J300" s="237" t="s">
        <v>898</v>
      </c>
      <c r="K300" s="238" t="s">
        <v>898</v>
      </c>
      <c r="L300" t="s">
        <v>898</v>
      </c>
      <c r="M300" t="s">
        <v>898</v>
      </c>
      <c r="N300" t="s">
        <v>898</v>
      </c>
      <c r="P300" t="s">
        <v>898</v>
      </c>
      <c r="Q300" t="s">
        <v>898</v>
      </c>
    </row>
    <row r="301">
      <c r="I301" t="s">
        <v>898</v>
      </c>
      <c r="J301" s="237" t="s">
        <v>898</v>
      </c>
      <c r="K301" s="238" t="s">
        <v>898</v>
      </c>
      <c r="L301" t="s">
        <v>898</v>
      </c>
      <c r="M301" t="s">
        <v>898</v>
      </c>
      <c r="N301" t="s">
        <v>898</v>
      </c>
      <c r="P301" t="s">
        <v>898</v>
      </c>
      <c r="Q301" t="s">
        <v>898</v>
      </c>
    </row>
    <row r="302">
      <c r="I302" t="s">
        <v>898</v>
      </c>
      <c r="J302" s="237" t="s">
        <v>898</v>
      </c>
      <c r="K302" s="238" t="s">
        <v>898</v>
      </c>
      <c r="L302" t="s">
        <v>898</v>
      </c>
      <c r="M302" t="s">
        <v>898</v>
      </c>
      <c r="N302" t="s">
        <v>898</v>
      </c>
      <c r="P302" t="s">
        <v>898</v>
      </c>
      <c r="Q302" t="s">
        <v>898</v>
      </c>
    </row>
    <row r="303">
      <c r="I303" t="s">
        <v>898</v>
      </c>
      <c r="J303" s="237" t="s">
        <v>898</v>
      </c>
      <c r="K303" s="238" t="s">
        <v>898</v>
      </c>
      <c r="L303" t="s">
        <v>898</v>
      </c>
      <c r="M303" t="s">
        <v>898</v>
      </c>
      <c r="N303" t="s">
        <v>898</v>
      </c>
      <c r="P303" t="s">
        <v>898</v>
      </c>
      <c r="Q303" t="s">
        <v>898</v>
      </c>
    </row>
    <row r="304">
      <c r="I304" t="s">
        <v>898</v>
      </c>
      <c r="J304" s="237" t="s">
        <v>898</v>
      </c>
      <c r="K304" s="238" t="s">
        <v>898</v>
      </c>
      <c r="L304" t="s">
        <v>898</v>
      </c>
      <c r="M304" t="s">
        <v>898</v>
      </c>
      <c r="N304" t="s">
        <v>898</v>
      </c>
      <c r="P304" t="s">
        <v>898</v>
      </c>
      <c r="Q304" t="s">
        <v>898</v>
      </c>
    </row>
    <row r="305">
      <c r="I305" t="s">
        <v>898</v>
      </c>
      <c r="J305" s="237" t="s">
        <v>898</v>
      </c>
      <c r="K305" s="238" t="s">
        <v>898</v>
      </c>
      <c r="L305" t="s">
        <v>898</v>
      </c>
      <c r="M305" t="s">
        <v>898</v>
      </c>
      <c r="N305" t="s">
        <v>898</v>
      </c>
      <c r="P305" t="s">
        <v>898</v>
      </c>
      <c r="Q305" t="s">
        <v>898</v>
      </c>
    </row>
    <row r="306">
      <c r="I306" t="s">
        <v>898</v>
      </c>
      <c r="J306" s="237" t="s">
        <v>898</v>
      </c>
      <c r="K306" s="238" t="s">
        <v>898</v>
      </c>
      <c r="L306" t="s">
        <v>898</v>
      </c>
      <c r="M306" t="s">
        <v>898</v>
      </c>
      <c r="N306" t="s">
        <v>898</v>
      </c>
      <c r="P306" t="s">
        <v>898</v>
      </c>
      <c r="Q306" t="s">
        <v>898</v>
      </c>
    </row>
    <row r="307">
      <c r="I307" t="s">
        <v>898</v>
      </c>
      <c r="J307" s="237" t="s">
        <v>898</v>
      </c>
      <c r="K307" s="238" t="s">
        <v>898</v>
      </c>
      <c r="L307" t="s">
        <v>898</v>
      </c>
      <c r="M307" t="s">
        <v>898</v>
      </c>
      <c r="N307" t="s">
        <v>898</v>
      </c>
      <c r="P307" t="s">
        <v>898</v>
      </c>
      <c r="Q307" t="s">
        <v>898</v>
      </c>
    </row>
    <row r="308">
      <c r="I308" t="s">
        <v>898</v>
      </c>
      <c r="J308" s="237" t="s">
        <v>898</v>
      </c>
      <c r="K308" s="238" t="s">
        <v>898</v>
      </c>
      <c r="L308" t="s">
        <v>898</v>
      </c>
      <c r="M308" t="s">
        <v>898</v>
      </c>
      <c r="N308" t="s">
        <v>898</v>
      </c>
      <c r="P308" t="s">
        <v>898</v>
      </c>
      <c r="Q308" t="s">
        <v>898</v>
      </c>
    </row>
    <row r="309">
      <c r="I309" t="s">
        <v>898</v>
      </c>
      <c r="J309" s="237" t="s">
        <v>898</v>
      </c>
      <c r="K309" s="238" t="s">
        <v>898</v>
      </c>
      <c r="L309" t="s">
        <v>898</v>
      </c>
      <c r="M309" t="s">
        <v>898</v>
      </c>
      <c r="N309" t="s">
        <v>898</v>
      </c>
      <c r="P309" t="s">
        <v>898</v>
      </c>
      <c r="Q309" t="s">
        <v>898</v>
      </c>
    </row>
    <row r="310">
      <c r="I310" t="s">
        <v>898</v>
      </c>
      <c r="J310" s="237" t="s">
        <v>898</v>
      </c>
      <c r="K310" s="238" t="s">
        <v>898</v>
      </c>
      <c r="L310" t="s">
        <v>898</v>
      </c>
      <c r="M310" t="s">
        <v>898</v>
      </c>
      <c r="N310" t="s">
        <v>898</v>
      </c>
      <c r="P310" t="s">
        <v>898</v>
      </c>
      <c r="Q310" t="s">
        <v>898</v>
      </c>
    </row>
    <row r="311">
      <c r="I311" t="s">
        <v>898</v>
      </c>
      <c r="J311" s="237" t="s">
        <v>898</v>
      </c>
      <c r="K311" s="238" t="s">
        <v>898</v>
      </c>
      <c r="L311" t="s">
        <v>898</v>
      </c>
      <c r="M311" t="s">
        <v>898</v>
      </c>
      <c r="N311" t="s">
        <v>898</v>
      </c>
      <c r="P311" t="s">
        <v>898</v>
      </c>
      <c r="Q311" t="s">
        <v>898</v>
      </c>
    </row>
    <row r="312">
      <c r="I312" t="s">
        <v>898</v>
      </c>
      <c r="J312" s="237" t="s">
        <v>898</v>
      </c>
      <c r="K312" s="238" t="s">
        <v>898</v>
      </c>
      <c r="L312" t="s">
        <v>898</v>
      </c>
      <c r="M312" t="s">
        <v>898</v>
      </c>
      <c r="N312" t="s">
        <v>898</v>
      </c>
      <c r="P312" t="s">
        <v>898</v>
      </c>
      <c r="Q312" t="s">
        <v>898</v>
      </c>
    </row>
    <row r="313">
      <c r="I313" t="s">
        <v>898</v>
      </c>
      <c r="J313" s="237" t="s">
        <v>898</v>
      </c>
      <c r="K313" s="238" t="s">
        <v>898</v>
      </c>
      <c r="L313" t="s">
        <v>898</v>
      </c>
      <c r="M313" t="s">
        <v>898</v>
      </c>
      <c r="N313" t="s">
        <v>898</v>
      </c>
      <c r="P313" t="s">
        <v>898</v>
      </c>
      <c r="Q313" t="s">
        <v>898</v>
      </c>
    </row>
    <row r="314">
      <c r="I314" t="s">
        <v>898</v>
      </c>
      <c r="J314" s="237" t="s">
        <v>898</v>
      </c>
      <c r="K314" s="238" t="s">
        <v>898</v>
      </c>
      <c r="L314" t="s">
        <v>898</v>
      </c>
      <c r="M314" t="s">
        <v>898</v>
      </c>
      <c r="N314" t="s">
        <v>898</v>
      </c>
      <c r="P314" t="s">
        <v>898</v>
      </c>
      <c r="Q314" t="s">
        <v>898</v>
      </c>
    </row>
    <row r="315">
      <c r="I315" t="s">
        <v>898</v>
      </c>
      <c r="J315" s="237" t="s">
        <v>898</v>
      </c>
      <c r="K315" s="238" t="s">
        <v>898</v>
      </c>
      <c r="L315" t="s">
        <v>898</v>
      </c>
      <c r="M315" t="s">
        <v>898</v>
      </c>
      <c r="N315" t="s">
        <v>898</v>
      </c>
      <c r="P315" t="s">
        <v>898</v>
      </c>
      <c r="Q315" t="s">
        <v>898</v>
      </c>
    </row>
    <row r="316">
      <c r="I316" t="s">
        <v>898</v>
      </c>
      <c r="J316" s="237" t="s">
        <v>898</v>
      </c>
      <c r="K316" s="238" t="s">
        <v>898</v>
      </c>
      <c r="L316" t="s">
        <v>898</v>
      </c>
      <c r="M316" t="s">
        <v>898</v>
      </c>
      <c r="N316" t="s">
        <v>898</v>
      </c>
      <c r="P316" t="s">
        <v>898</v>
      </c>
      <c r="Q316" t="s">
        <v>898</v>
      </c>
    </row>
    <row r="317">
      <c r="I317" t="s">
        <v>898</v>
      </c>
      <c r="J317" s="237" t="s">
        <v>898</v>
      </c>
      <c r="K317" s="238" t="s">
        <v>898</v>
      </c>
      <c r="L317" t="s">
        <v>898</v>
      </c>
      <c r="M317" t="s">
        <v>898</v>
      </c>
      <c r="N317" t="s">
        <v>898</v>
      </c>
      <c r="P317" t="s">
        <v>898</v>
      </c>
      <c r="Q317" t="s">
        <v>898</v>
      </c>
    </row>
    <row r="318">
      <c r="I318" t="s">
        <v>898</v>
      </c>
      <c r="J318" s="237" t="s">
        <v>898</v>
      </c>
      <c r="K318" s="238" t="s">
        <v>898</v>
      </c>
      <c r="L318" t="s">
        <v>898</v>
      </c>
      <c r="M318" t="s">
        <v>898</v>
      </c>
      <c r="N318" t="s">
        <v>898</v>
      </c>
      <c r="P318" t="s">
        <v>898</v>
      </c>
      <c r="Q318" t="s">
        <v>898</v>
      </c>
    </row>
    <row r="319">
      <c r="I319" t="s">
        <v>898</v>
      </c>
      <c r="J319" s="237" t="s">
        <v>898</v>
      </c>
      <c r="K319" s="238" t="s">
        <v>898</v>
      </c>
      <c r="L319" t="s">
        <v>898</v>
      </c>
      <c r="M319" t="s">
        <v>898</v>
      </c>
      <c r="N319" t="s">
        <v>898</v>
      </c>
      <c r="P319" t="s">
        <v>898</v>
      </c>
      <c r="Q319" t="s">
        <v>898</v>
      </c>
    </row>
    <row r="320">
      <c r="I320" t="s">
        <v>898</v>
      </c>
      <c r="J320" s="237" t="s">
        <v>898</v>
      </c>
      <c r="K320" s="238" t="s">
        <v>898</v>
      </c>
      <c r="L320" t="s">
        <v>898</v>
      </c>
      <c r="M320" t="s">
        <v>898</v>
      </c>
      <c r="N320" t="s">
        <v>898</v>
      </c>
      <c r="P320" t="s">
        <v>898</v>
      </c>
      <c r="Q320" t="s">
        <v>898</v>
      </c>
    </row>
    <row r="321">
      <c r="I321" t="s">
        <v>898</v>
      </c>
      <c r="J321" s="237" t="s">
        <v>898</v>
      </c>
      <c r="K321" s="238" t="s">
        <v>898</v>
      </c>
      <c r="L321" t="s">
        <v>898</v>
      </c>
      <c r="M321" t="s">
        <v>898</v>
      </c>
      <c r="N321" t="s">
        <v>898</v>
      </c>
      <c r="P321" t="s">
        <v>898</v>
      </c>
      <c r="Q321" t="s">
        <v>898</v>
      </c>
    </row>
    <row r="322">
      <c r="I322" t="s">
        <v>898</v>
      </c>
      <c r="J322" s="237" t="s">
        <v>898</v>
      </c>
      <c r="K322" s="238" t="s">
        <v>898</v>
      </c>
      <c r="L322" t="s">
        <v>898</v>
      </c>
      <c r="M322" t="s">
        <v>898</v>
      </c>
      <c r="N322" t="s">
        <v>898</v>
      </c>
      <c r="P322" t="s">
        <v>898</v>
      </c>
      <c r="Q322" t="s">
        <v>898</v>
      </c>
    </row>
    <row r="323">
      <c r="I323" t="s">
        <v>898</v>
      </c>
      <c r="J323" s="237" t="s">
        <v>898</v>
      </c>
      <c r="K323" s="238" t="s">
        <v>898</v>
      </c>
      <c r="L323" t="s">
        <v>898</v>
      </c>
      <c r="M323" t="s">
        <v>898</v>
      </c>
      <c r="N323" t="s">
        <v>898</v>
      </c>
      <c r="P323" t="s">
        <v>898</v>
      </c>
      <c r="Q323" t="s">
        <v>898</v>
      </c>
    </row>
    <row r="324">
      <c r="I324" t="s">
        <v>898</v>
      </c>
      <c r="J324" s="237" t="s">
        <v>898</v>
      </c>
      <c r="K324" s="238" t="s">
        <v>898</v>
      </c>
      <c r="L324" t="s">
        <v>898</v>
      </c>
      <c r="M324" t="s">
        <v>898</v>
      </c>
      <c r="N324" t="s">
        <v>898</v>
      </c>
      <c r="P324" t="s">
        <v>898</v>
      </c>
      <c r="Q324" t="s">
        <v>898</v>
      </c>
    </row>
    <row r="325">
      <c r="I325" t="s">
        <v>898</v>
      </c>
      <c r="J325" s="237" t="s">
        <v>898</v>
      </c>
      <c r="K325" s="238" t="s">
        <v>898</v>
      </c>
      <c r="L325" t="s">
        <v>898</v>
      </c>
      <c r="M325" t="s">
        <v>898</v>
      </c>
      <c r="N325" t="s">
        <v>898</v>
      </c>
      <c r="P325" t="s">
        <v>898</v>
      </c>
      <c r="Q325" t="s">
        <v>898</v>
      </c>
    </row>
    <row r="326">
      <c r="I326" t="s">
        <v>898</v>
      </c>
      <c r="J326" s="237" t="s">
        <v>898</v>
      </c>
      <c r="K326" s="238" t="s">
        <v>898</v>
      </c>
      <c r="L326" t="s">
        <v>898</v>
      </c>
      <c r="M326" t="s">
        <v>898</v>
      </c>
      <c r="N326" t="s">
        <v>898</v>
      </c>
      <c r="P326" t="s">
        <v>898</v>
      </c>
      <c r="Q326" t="s">
        <v>898</v>
      </c>
    </row>
    <row r="327">
      <c r="I327" t="s">
        <v>898</v>
      </c>
      <c r="J327" s="237" t="s">
        <v>898</v>
      </c>
      <c r="K327" s="238" t="s">
        <v>898</v>
      </c>
      <c r="L327" t="s">
        <v>898</v>
      </c>
      <c r="M327" t="s">
        <v>898</v>
      </c>
      <c r="N327" t="s">
        <v>898</v>
      </c>
      <c r="P327" t="s">
        <v>898</v>
      </c>
      <c r="Q327" t="s">
        <v>898</v>
      </c>
    </row>
    <row r="328">
      <c r="I328" t="s">
        <v>898</v>
      </c>
      <c r="J328" s="237" t="s">
        <v>898</v>
      </c>
      <c r="K328" s="238" t="s">
        <v>898</v>
      </c>
      <c r="L328" t="s">
        <v>898</v>
      </c>
      <c r="M328" t="s">
        <v>898</v>
      </c>
      <c r="N328" t="s">
        <v>898</v>
      </c>
      <c r="P328" t="s">
        <v>898</v>
      </c>
      <c r="Q328" t="s">
        <v>898</v>
      </c>
    </row>
    <row r="329">
      <c r="I329" t="s">
        <v>898</v>
      </c>
      <c r="J329" s="237" t="s">
        <v>898</v>
      </c>
      <c r="K329" s="238" t="s">
        <v>898</v>
      </c>
      <c r="L329" t="s">
        <v>898</v>
      </c>
      <c r="M329" t="s">
        <v>898</v>
      </c>
      <c r="N329" t="s">
        <v>898</v>
      </c>
      <c r="P329" t="s">
        <v>898</v>
      </c>
      <c r="Q329" t="s">
        <v>898</v>
      </c>
    </row>
    <row r="330">
      <c r="I330" t="s">
        <v>898</v>
      </c>
      <c r="J330" s="237" t="s">
        <v>898</v>
      </c>
      <c r="K330" s="238" t="s">
        <v>898</v>
      </c>
      <c r="L330" t="s">
        <v>898</v>
      </c>
      <c r="M330" t="s">
        <v>898</v>
      </c>
      <c r="N330" t="s">
        <v>898</v>
      </c>
      <c r="P330" t="s">
        <v>898</v>
      </c>
      <c r="Q330" t="s">
        <v>898</v>
      </c>
    </row>
    <row r="331">
      <c r="I331" t="s">
        <v>898</v>
      </c>
      <c r="J331" s="237" t="s">
        <v>898</v>
      </c>
      <c r="K331" s="238" t="s">
        <v>898</v>
      </c>
      <c r="L331" t="s">
        <v>898</v>
      </c>
      <c r="M331" t="s">
        <v>898</v>
      </c>
      <c r="N331" t="s">
        <v>898</v>
      </c>
      <c r="P331" t="s">
        <v>898</v>
      </c>
      <c r="Q331" t="s">
        <v>898</v>
      </c>
    </row>
    <row r="332">
      <c r="I332" t="s">
        <v>898</v>
      </c>
      <c r="J332" s="237" t="s">
        <v>898</v>
      </c>
      <c r="K332" s="238" t="s">
        <v>898</v>
      </c>
      <c r="L332" t="s">
        <v>898</v>
      </c>
      <c r="M332" t="s">
        <v>898</v>
      </c>
      <c r="N332" t="s">
        <v>898</v>
      </c>
      <c r="P332" t="s">
        <v>898</v>
      </c>
      <c r="Q332" t="s">
        <v>898</v>
      </c>
    </row>
    <row r="333">
      <c r="I333" t="s">
        <v>898</v>
      </c>
      <c r="J333" s="237" t="s">
        <v>898</v>
      </c>
      <c r="K333" s="238" t="s">
        <v>898</v>
      </c>
      <c r="L333" t="s">
        <v>898</v>
      </c>
      <c r="M333" t="s">
        <v>898</v>
      </c>
      <c r="N333" t="s">
        <v>898</v>
      </c>
      <c r="P333" t="s">
        <v>898</v>
      </c>
      <c r="Q333" t="s">
        <v>898</v>
      </c>
    </row>
    <row r="334">
      <c r="I334" t="s">
        <v>898</v>
      </c>
      <c r="J334" s="237" t="s">
        <v>898</v>
      </c>
      <c r="K334" s="238" t="s">
        <v>898</v>
      </c>
      <c r="L334" t="s">
        <v>898</v>
      </c>
      <c r="M334" t="s">
        <v>898</v>
      </c>
      <c r="N334" t="s">
        <v>898</v>
      </c>
      <c r="P334" t="s">
        <v>898</v>
      </c>
      <c r="Q334" t="s">
        <v>898</v>
      </c>
    </row>
    <row r="335">
      <c r="I335" t="s">
        <v>898</v>
      </c>
      <c r="J335" s="237" t="s">
        <v>898</v>
      </c>
      <c r="K335" s="238" t="s">
        <v>898</v>
      </c>
      <c r="L335" t="s">
        <v>898</v>
      </c>
      <c r="M335" t="s">
        <v>898</v>
      </c>
      <c r="N335" t="s">
        <v>898</v>
      </c>
      <c r="P335" t="s">
        <v>898</v>
      </c>
      <c r="Q335" t="s">
        <v>898</v>
      </c>
    </row>
    <row r="336">
      <c r="I336" t="s">
        <v>898</v>
      </c>
      <c r="J336" s="237" t="s">
        <v>898</v>
      </c>
      <c r="K336" s="238" t="s">
        <v>898</v>
      </c>
      <c r="L336" t="s">
        <v>898</v>
      </c>
      <c r="M336" t="s">
        <v>898</v>
      </c>
      <c r="N336" t="s">
        <v>898</v>
      </c>
      <c r="P336" t="s">
        <v>898</v>
      </c>
      <c r="Q336" t="s">
        <v>898</v>
      </c>
    </row>
    <row r="337">
      <c r="I337" t="s">
        <v>898</v>
      </c>
      <c r="J337" s="237" t="s">
        <v>898</v>
      </c>
      <c r="K337" s="238" t="s">
        <v>898</v>
      </c>
      <c r="L337" t="s">
        <v>898</v>
      </c>
      <c r="M337" t="s">
        <v>898</v>
      </c>
      <c r="N337" t="s">
        <v>898</v>
      </c>
      <c r="P337" t="s">
        <v>898</v>
      </c>
      <c r="Q337" t="s">
        <v>898</v>
      </c>
    </row>
    <row r="338">
      <c r="I338" t="s">
        <v>898</v>
      </c>
      <c r="J338" s="237" t="s">
        <v>898</v>
      </c>
      <c r="K338" s="238" t="s">
        <v>898</v>
      </c>
      <c r="L338" t="s">
        <v>898</v>
      </c>
      <c r="M338" t="s">
        <v>898</v>
      </c>
      <c r="N338" t="s">
        <v>898</v>
      </c>
      <c r="P338" t="s">
        <v>898</v>
      </c>
      <c r="Q338" t="s">
        <v>898</v>
      </c>
    </row>
    <row r="339">
      <c r="I339" t="s">
        <v>898</v>
      </c>
      <c r="J339" s="237" t="s">
        <v>898</v>
      </c>
      <c r="K339" s="238" t="s">
        <v>898</v>
      </c>
      <c r="L339" t="s">
        <v>898</v>
      </c>
      <c r="M339" t="s">
        <v>898</v>
      </c>
      <c r="N339" t="s">
        <v>898</v>
      </c>
      <c r="P339" t="s">
        <v>898</v>
      </c>
      <c r="Q339" t="s">
        <v>898</v>
      </c>
    </row>
    <row r="340">
      <c r="I340" t="s">
        <v>898</v>
      </c>
      <c r="J340" s="237" t="s">
        <v>898</v>
      </c>
      <c r="K340" s="238" t="s">
        <v>898</v>
      </c>
      <c r="L340" t="s">
        <v>898</v>
      </c>
      <c r="M340" t="s">
        <v>898</v>
      </c>
      <c r="N340" t="s">
        <v>898</v>
      </c>
      <c r="P340" t="s">
        <v>898</v>
      </c>
      <c r="Q340" t="s">
        <v>898</v>
      </c>
    </row>
    <row r="341">
      <c r="I341" t="s">
        <v>898</v>
      </c>
      <c r="J341" s="237" t="s">
        <v>898</v>
      </c>
      <c r="K341" s="238" t="s">
        <v>898</v>
      </c>
      <c r="L341" t="s">
        <v>898</v>
      </c>
      <c r="M341" t="s">
        <v>898</v>
      </c>
      <c r="N341" t="s">
        <v>898</v>
      </c>
      <c r="P341" t="s">
        <v>898</v>
      </c>
      <c r="Q341" t="s">
        <v>898</v>
      </c>
    </row>
    <row r="342">
      <c r="I342" t="s">
        <v>898</v>
      </c>
      <c r="J342" s="237" t="s">
        <v>898</v>
      </c>
      <c r="K342" s="238" t="s">
        <v>898</v>
      </c>
      <c r="L342" t="s">
        <v>898</v>
      </c>
      <c r="M342" t="s">
        <v>898</v>
      </c>
      <c r="N342" t="s">
        <v>898</v>
      </c>
      <c r="P342" t="s">
        <v>898</v>
      </c>
      <c r="Q342" t="s">
        <v>898</v>
      </c>
    </row>
    <row r="343">
      <c r="I343" t="s">
        <v>898</v>
      </c>
      <c r="J343" s="237" t="s">
        <v>898</v>
      </c>
      <c r="K343" s="238" t="s">
        <v>898</v>
      </c>
      <c r="L343" t="s">
        <v>898</v>
      </c>
      <c r="M343" t="s">
        <v>898</v>
      </c>
      <c r="N343" t="s">
        <v>898</v>
      </c>
      <c r="P343" t="s">
        <v>898</v>
      </c>
      <c r="Q343" t="s">
        <v>898</v>
      </c>
    </row>
    <row r="344">
      <c r="I344" t="s">
        <v>898</v>
      </c>
      <c r="J344" s="237" t="s">
        <v>898</v>
      </c>
      <c r="K344" s="238" t="s">
        <v>898</v>
      </c>
      <c r="L344" t="s">
        <v>898</v>
      </c>
      <c r="M344" t="s">
        <v>898</v>
      </c>
      <c r="N344" t="s">
        <v>898</v>
      </c>
      <c r="P344" t="s">
        <v>898</v>
      </c>
      <c r="Q344" t="s">
        <v>898</v>
      </c>
    </row>
    <row r="345">
      <c r="I345" t="s">
        <v>898</v>
      </c>
      <c r="J345" s="237" t="s">
        <v>898</v>
      </c>
      <c r="K345" s="238" t="s">
        <v>898</v>
      </c>
      <c r="L345" t="s">
        <v>898</v>
      </c>
      <c r="M345" t="s">
        <v>898</v>
      </c>
      <c r="N345" t="s">
        <v>898</v>
      </c>
      <c r="P345" t="s">
        <v>898</v>
      </c>
      <c r="Q345" t="s">
        <v>898</v>
      </c>
    </row>
    <row r="346">
      <c r="I346" t="s">
        <v>898</v>
      </c>
      <c r="J346" s="237" t="s">
        <v>898</v>
      </c>
      <c r="K346" s="238" t="s">
        <v>898</v>
      </c>
      <c r="L346" t="s">
        <v>898</v>
      </c>
      <c r="M346" t="s">
        <v>898</v>
      </c>
      <c r="N346" t="s">
        <v>898</v>
      </c>
      <c r="P346" t="s">
        <v>898</v>
      </c>
      <c r="Q346" t="s">
        <v>898</v>
      </c>
    </row>
    <row r="347">
      <c r="I347" t="s">
        <v>898</v>
      </c>
      <c r="J347" s="237" t="s">
        <v>898</v>
      </c>
      <c r="K347" s="238" t="s">
        <v>898</v>
      </c>
      <c r="L347" t="s">
        <v>898</v>
      </c>
      <c r="M347" t="s">
        <v>898</v>
      </c>
      <c r="N347" t="s">
        <v>898</v>
      </c>
      <c r="P347" t="s">
        <v>898</v>
      </c>
      <c r="Q347" t="s">
        <v>898</v>
      </c>
    </row>
    <row r="348">
      <c r="I348" t="s">
        <v>898</v>
      </c>
      <c r="J348" s="237" t="s">
        <v>898</v>
      </c>
      <c r="K348" s="238" t="s">
        <v>898</v>
      </c>
      <c r="L348" t="s">
        <v>898</v>
      </c>
      <c r="M348" t="s">
        <v>898</v>
      </c>
      <c r="N348" t="s">
        <v>898</v>
      </c>
      <c r="P348" t="s">
        <v>898</v>
      </c>
      <c r="Q348" t="s">
        <v>898</v>
      </c>
    </row>
    <row r="349">
      <c r="I349" t="s">
        <v>898</v>
      </c>
      <c r="J349" s="237" t="s">
        <v>898</v>
      </c>
      <c r="K349" s="238" t="s">
        <v>898</v>
      </c>
      <c r="L349" t="s">
        <v>898</v>
      </c>
      <c r="M349" t="s">
        <v>898</v>
      </c>
      <c r="N349" t="s">
        <v>898</v>
      </c>
      <c r="P349" t="s">
        <v>898</v>
      </c>
      <c r="Q349" t="s">
        <v>898</v>
      </c>
    </row>
    <row r="350">
      <c r="I350" t="s">
        <v>898</v>
      </c>
      <c r="J350" s="237" t="s">
        <v>898</v>
      </c>
      <c r="K350" s="238" t="s">
        <v>898</v>
      </c>
      <c r="L350" t="s">
        <v>898</v>
      </c>
      <c r="M350" t="s">
        <v>898</v>
      </c>
      <c r="N350" t="s">
        <v>898</v>
      </c>
      <c r="P350" t="s">
        <v>898</v>
      </c>
      <c r="Q350" t="s">
        <v>898</v>
      </c>
    </row>
    <row r="351">
      <c r="I351" t="s">
        <v>898</v>
      </c>
      <c r="J351" s="237" t="s">
        <v>898</v>
      </c>
      <c r="K351" s="238" t="s">
        <v>898</v>
      </c>
      <c r="L351" t="s">
        <v>898</v>
      </c>
      <c r="M351" t="s">
        <v>898</v>
      </c>
      <c r="N351" t="s">
        <v>898</v>
      </c>
      <c r="P351" t="s">
        <v>898</v>
      </c>
      <c r="Q351" t="s">
        <v>898</v>
      </c>
    </row>
    <row r="352">
      <c r="I352" t="s">
        <v>898</v>
      </c>
      <c r="J352" s="237" t="s">
        <v>898</v>
      </c>
      <c r="K352" s="238" t="s">
        <v>898</v>
      </c>
      <c r="L352" t="s">
        <v>898</v>
      </c>
      <c r="M352" t="s">
        <v>898</v>
      </c>
      <c r="N352" t="s">
        <v>898</v>
      </c>
      <c r="P352" t="s">
        <v>898</v>
      </c>
      <c r="Q352" t="s">
        <v>898</v>
      </c>
    </row>
    <row r="353">
      <c r="I353" t="s">
        <v>898</v>
      </c>
      <c r="J353" s="237" t="s">
        <v>898</v>
      </c>
      <c r="K353" s="238" t="s">
        <v>898</v>
      </c>
      <c r="L353" t="s">
        <v>898</v>
      </c>
      <c r="M353" t="s">
        <v>898</v>
      </c>
      <c r="N353" t="s">
        <v>898</v>
      </c>
      <c r="P353" t="s">
        <v>898</v>
      </c>
      <c r="Q353" t="s">
        <v>898</v>
      </c>
    </row>
    <row r="354">
      <c r="I354" t="s">
        <v>898</v>
      </c>
      <c r="J354" s="237" t="s">
        <v>898</v>
      </c>
      <c r="K354" s="238" t="s">
        <v>898</v>
      </c>
      <c r="L354" t="s">
        <v>898</v>
      </c>
      <c r="M354" t="s">
        <v>898</v>
      </c>
      <c r="N354" t="s">
        <v>898</v>
      </c>
      <c r="P354" t="s">
        <v>898</v>
      </c>
      <c r="Q354" t="s">
        <v>898</v>
      </c>
    </row>
    <row r="355">
      <c r="I355" t="s">
        <v>898</v>
      </c>
      <c r="J355" s="237" t="s">
        <v>898</v>
      </c>
      <c r="K355" s="238" t="s">
        <v>898</v>
      </c>
      <c r="L355" t="s">
        <v>898</v>
      </c>
      <c r="M355" t="s">
        <v>898</v>
      </c>
      <c r="N355" t="s">
        <v>898</v>
      </c>
      <c r="P355" t="s">
        <v>898</v>
      </c>
      <c r="Q355" t="s">
        <v>898</v>
      </c>
    </row>
    <row r="356">
      <c r="I356" t="s">
        <v>898</v>
      </c>
      <c r="J356" s="237" t="s">
        <v>898</v>
      </c>
      <c r="K356" s="238" t="s">
        <v>898</v>
      </c>
      <c r="L356" t="s">
        <v>898</v>
      </c>
      <c r="M356" t="s">
        <v>898</v>
      </c>
      <c r="N356" t="s">
        <v>898</v>
      </c>
      <c r="P356" t="s">
        <v>898</v>
      </c>
      <c r="Q356" t="s">
        <v>898</v>
      </c>
    </row>
    <row r="357">
      <c r="I357" t="s">
        <v>898</v>
      </c>
      <c r="J357" s="237" t="s">
        <v>898</v>
      </c>
      <c r="K357" s="238" t="s">
        <v>898</v>
      </c>
      <c r="L357" t="s">
        <v>898</v>
      </c>
      <c r="M357" t="s">
        <v>898</v>
      </c>
      <c r="N357" t="s">
        <v>898</v>
      </c>
      <c r="P357" t="s">
        <v>898</v>
      </c>
      <c r="Q357" t="s">
        <v>898</v>
      </c>
    </row>
    <row r="358">
      <c r="I358" t="s">
        <v>898</v>
      </c>
      <c r="J358" s="237" t="s">
        <v>898</v>
      </c>
      <c r="K358" s="238" t="s">
        <v>898</v>
      </c>
      <c r="L358" t="s">
        <v>898</v>
      </c>
      <c r="M358" t="s">
        <v>898</v>
      </c>
      <c r="N358" t="s">
        <v>898</v>
      </c>
      <c r="P358" t="s">
        <v>898</v>
      </c>
      <c r="Q358" t="s">
        <v>898</v>
      </c>
    </row>
    <row r="359">
      <c r="I359" t="s">
        <v>898</v>
      </c>
      <c r="J359" s="237" t="s">
        <v>898</v>
      </c>
      <c r="K359" s="238" t="s">
        <v>898</v>
      </c>
      <c r="L359" t="s">
        <v>898</v>
      </c>
      <c r="M359" t="s">
        <v>898</v>
      </c>
      <c r="N359" t="s">
        <v>898</v>
      </c>
      <c r="P359" t="s">
        <v>898</v>
      </c>
      <c r="Q359" t="s">
        <v>898</v>
      </c>
    </row>
    <row r="360">
      <c r="I360" t="s">
        <v>898</v>
      </c>
      <c r="J360" s="237" t="s">
        <v>898</v>
      </c>
      <c r="K360" s="238" t="s">
        <v>898</v>
      </c>
      <c r="L360" t="s">
        <v>898</v>
      </c>
      <c r="M360" t="s">
        <v>898</v>
      </c>
      <c r="N360" t="s">
        <v>898</v>
      </c>
      <c r="P360" t="s">
        <v>898</v>
      </c>
      <c r="Q360" t="s">
        <v>898</v>
      </c>
    </row>
    <row r="361">
      <c r="I361" t="s">
        <v>898</v>
      </c>
      <c r="J361" s="237" t="s">
        <v>898</v>
      </c>
      <c r="K361" s="238" t="s">
        <v>898</v>
      </c>
      <c r="L361" t="s">
        <v>898</v>
      </c>
      <c r="M361" t="s">
        <v>898</v>
      </c>
      <c r="N361" t="s">
        <v>898</v>
      </c>
      <c r="P361" t="s">
        <v>898</v>
      </c>
      <c r="Q361" t="s">
        <v>898</v>
      </c>
    </row>
    <row r="362">
      <c r="I362" t="s">
        <v>898</v>
      </c>
      <c r="J362" s="237" t="s">
        <v>898</v>
      </c>
      <c r="K362" s="238" t="s">
        <v>898</v>
      </c>
      <c r="L362" t="s">
        <v>898</v>
      </c>
      <c r="M362" t="s">
        <v>898</v>
      </c>
      <c r="N362" t="s">
        <v>898</v>
      </c>
      <c r="P362" t="s">
        <v>898</v>
      </c>
      <c r="Q362" t="s">
        <v>898</v>
      </c>
    </row>
    <row r="363">
      <c r="I363" t="s">
        <v>898</v>
      </c>
      <c r="J363" s="237" t="s">
        <v>898</v>
      </c>
      <c r="K363" s="238" t="s">
        <v>898</v>
      </c>
      <c r="L363" t="s">
        <v>898</v>
      </c>
      <c r="M363" t="s">
        <v>898</v>
      </c>
      <c r="N363" t="s">
        <v>898</v>
      </c>
      <c r="P363" t="s">
        <v>898</v>
      </c>
      <c r="Q363" t="s">
        <v>898</v>
      </c>
    </row>
    <row r="364">
      <c r="I364" t="s">
        <v>898</v>
      </c>
      <c r="J364" s="237" t="s">
        <v>898</v>
      </c>
      <c r="K364" s="238" t="s">
        <v>898</v>
      </c>
      <c r="L364" t="s">
        <v>898</v>
      </c>
      <c r="M364" t="s">
        <v>898</v>
      </c>
      <c r="N364" t="s">
        <v>898</v>
      </c>
      <c r="P364" t="s">
        <v>898</v>
      </c>
      <c r="Q364" t="s">
        <v>898</v>
      </c>
    </row>
    <row r="365">
      <c r="I365" t="s">
        <v>898</v>
      </c>
      <c r="J365" s="237" t="s">
        <v>898</v>
      </c>
      <c r="K365" s="238" t="s">
        <v>898</v>
      </c>
      <c r="L365" t="s">
        <v>898</v>
      </c>
      <c r="M365" t="s">
        <v>898</v>
      </c>
      <c r="N365" t="s">
        <v>898</v>
      </c>
      <c r="P365" t="s">
        <v>898</v>
      </c>
      <c r="Q365" t="s">
        <v>898</v>
      </c>
    </row>
    <row r="366">
      <c r="I366" t="s">
        <v>898</v>
      </c>
      <c r="J366" s="237" t="s">
        <v>898</v>
      </c>
      <c r="K366" s="238" t="s">
        <v>898</v>
      </c>
      <c r="L366" t="s">
        <v>898</v>
      </c>
      <c r="M366" t="s">
        <v>898</v>
      </c>
      <c r="N366" t="s">
        <v>898</v>
      </c>
      <c r="P366" t="s">
        <v>898</v>
      </c>
      <c r="Q366" t="s">
        <v>898</v>
      </c>
    </row>
    <row r="367">
      <c r="I367" t="s">
        <v>898</v>
      </c>
      <c r="J367" s="237" t="s">
        <v>898</v>
      </c>
      <c r="K367" s="238" t="s">
        <v>898</v>
      </c>
      <c r="L367" t="s">
        <v>898</v>
      </c>
      <c r="M367" t="s">
        <v>898</v>
      </c>
      <c r="N367" t="s">
        <v>898</v>
      </c>
      <c r="P367" t="s">
        <v>898</v>
      </c>
      <c r="Q367" t="s">
        <v>898</v>
      </c>
    </row>
    <row r="368">
      <c r="I368" t="s">
        <v>898</v>
      </c>
      <c r="J368" s="237" t="s">
        <v>898</v>
      </c>
      <c r="K368" s="238" t="s">
        <v>898</v>
      </c>
      <c r="L368" t="s">
        <v>898</v>
      </c>
      <c r="M368" t="s">
        <v>898</v>
      </c>
      <c r="N368" t="s">
        <v>898</v>
      </c>
      <c r="P368" t="s">
        <v>898</v>
      </c>
      <c r="Q368" t="s">
        <v>898</v>
      </c>
    </row>
    <row r="369">
      <c r="I369" t="s">
        <v>898</v>
      </c>
      <c r="J369" s="237" t="s">
        <v>898</v>
      </c>
      <c r="K369" s="238" t="s">
        <v>898</v>
      </c>
      <c r="L369" t="s">
        <v>898</v>
      </c>
      <c r="M369" t="s">
        <v>898</v>
      </c>
      <c r="N369" t="s">
        <v>898</v>
      </c>
      <c r="P369" t="s">
        <v>898</v>
      </c>
      <c r="Q369" t="s">
        <v>898</v>
      </c>
    </row>
    <row r="370">
      <c r="I370" t="s">
        <v>898</v>
      </c>
      <c r="J370" s="237" t="s">
        <v>898</v>
      </c>
      <c r="K370" s="238" t="s">
        <v>898</v>
      </c>
      <c r="L370" t="s">
        <v>898</v>
      </c>
      <c r="M370" t="s">
        <v>898</v>
      </c>
      <c r="N370" t="s">
        <v>898</v>
      </c>
      <c r="P370" t="s">
        <v>898</v>
      </c>
      <c r="Q370" t="s">
        <v>898</v>
      </c>
    </row>
    <row r="371">
      <c r="I371" t="s">
        <v>898</v>
      </c>
      <c r="J371" s="237" t="s">
        <v>898</v>
      </c>
      <c r="K371" s="238" t="s">
        <v>898</v>
      </c>
      <c r="L371" t="s">
        <v>898</v>
      </c>
      <c r="M371" t="s">
        <v>898</v>
      </c>
      <c r="N371" t="s">
        <v>898</v>
      </c>
      <c r="P371" t="s">
        <v>898</v>
      </c>
      <c r="Q371" t="s">
        <v>898</v>
      </c>
    </row>
    <row r="372">
      <c r="I372" t="s">
        <v>898</v>
      </c>
      <c r="J372" s="237" t="s">
        <v>898</v>
      </c>
      <c r="K372" s="238" t="s">
        <v>898</v>
      </c>
      <c r="L372" t="s">
        <v>898</v>
      </c>
      <c r="M372" t="s">
        <v>898</v>
      </c>
      <c r="N372" t="s">
        <v>898</v>
      </c>
      <c r="P372" t="s">
        <v>898</v>
      </c>
      <c r="Q372" t="s">
        <v>898</v>
      </c>
    </row>
    <row r="373">
      <c r="I373" t="s">
        <v>898</v>
      </c>
      <c r="J373" s="237" t="s">
        <v>898</v>
      </c>
      <c r="K373" s="238" t="s">
        <v>898</v>
      </c>
      <c r="L373" t="s">
        <v>898</v>
      </c>
      <c r="M373" t="s">
        <v>898</v>
      </c>
      <c r="N373" t="s">
        <v>898</v>
      </c>
      <c r="P373" t="s">
        <v>898</v>
      </c>
      <c r="Q373" t="s">
        <v>898</v>
      </c>
    </row>
    <row r="374">
      <c r="I374" t="s">
        <v>898</v>
      </c>
      <c r="J374" s="237" t="s">
        <v>898</v>
      </c>
      <c r="K374" s="238" t="s">
        <v>898</v>
      </c>
      <c r="L374" t="s">
        <v>898</v>
      </c>
      <c r="M374" t="s">
        <v>898</v>
      </c>
      <c r="N374" t="s">
        <v>898</v>
      </c>
      <c r="P374" t="s">
        <v>898</v>
      </c>
      <c r="Q374" t="s">
        <v>898</v>
      </c>
    </row>
    <row r="375">
      <c r="I375" t="s">
        <v>898</v>
      </c>
      <c r="J375" s="237" t="s">
        <v>898</v>
      </c>
      <c r="K375" s="238" t="s">
        <v>898</v>
      </c>
      <c r="L375" t="s">
        <v>898</v>
      </c>
      <c r="M375" t="s">
        <v>898</v>
      </c>
      <c r="N375" t="s">
        <v>898</v>
      </c>
      <c r="P375" t="s">
        <v>898</v>
      </c>
      <c r="Q375" t="s">
        <v>898</v>
      </c>
    </row>
    <row r="376">
      <c r="I376" t="s">
        <v>898</v>
      </c>
      <c r="J376" s="237" t="s">
        <v>898</v>
      </c>
      <c r="K376" s="238" t="s">
        <v>898</v>
      </c>
      <c r="L376" t="s">
        <v>898</v>
      </c>
      <c r="M376" t="s">
        <v>898</v>
      </c>
      <c r="N376" t="s">
        <v>898</v>
      </c>
      <c r="P376" t="s">
        <v>898</v>
      </c>
      <c r="Q376" t="s">
        <v>898</v>
      </c>
    </row>
    <row r="377">
      <c r="I377" t="s">
        <v>898</v>
      </c>
      <c r="J377" s="237" t="s">
        <v>898</v>
      </c>
      <c r="K377" s="238" t="s">
        <v>898</v>
      </c>
      <c r="L377" t="s">
        <v>898</v>
      </c>
      <c r="M377" t="s">
        <v>898</v>
      </c>
      <c r="N377" t="s">
        <v>898</v>
      </c>
      <c r="P377" t="s">
        <v>898</v>
      </c>
      <c r="Q377" t="s">
        <v>898</v>
      </c>
    </row>
    <row r="378">
      <c r="I378" t="s">
        <v>898</v>
      </c>
      <c r="J378" s="237" t="s">
        <v>898</v>
      </c>
      <c r="K378" s="238" t="s">
        <v>898</v>
      </c>
      <c r="L378" t="s">
        <v>898</v>
      </c>
      <c r="M378" t="s">
        <v>898</v>
      </c>
      <c r="N378" t="s">
        <v>898</v>
      </c>
      <c r="P378" t="s">
        <v>898</v>
      </c>
      <c r="Q378" t="s">
        <v>898</v>
      </c>
    </row>
    <row r="379">
      <c r="I379" t="s">
        <v>898</v>
      </c>
      <c r="J379" s="237" t="s">
        <v>898</v>
      </c>
      <c r="K379" s="238" t="s">
        <v>898</v>
      </c>
      <c r="L379" t="s">
        <v>898</v>
      </c>
      <c r="M379" t="s">
        <v>898</v>
      </c>
      <c r="N379" t="s">
        <v>898</v>
      </c>
      <c r="P379" t="s">
        <v>898</v>
      </c>
      <c r="Q379" t="s">
        <v>898</v>
      </c>
    </row>
    <row r="380">
      <c r="I380" t="s">
        <v>898</v>
      </c>
      <c r="J380" s="237" t="s">
        <v>898</v>
      </c>
      <c r="K380" s="238" t="s">
        <v>898</v>
      </c>
      <c r="L380" t="s">
        <v>898</v>
      </c>
      <c r="M380" t="s">
        <v>898</v>
      </c>
      <c r="N380" t="s">
        <v>898</v>
      </c>
      <c r="P380" t="s">
        <v>898</v>
      </c>
      <c r="Q380" t="s">
        <v>898</v>
      </c>
    </row>
    <row r="381">
      <c r="I381" t="s">
        <v>898</v>
      </c>
      <c r="J381" s="237" t="s">
        <v>898</v>
      </c>
      <c r="K381" s="238" t="s">
        <v>898</v>
      </c>
      <c r="L381" t="s">
        <v>898</v>
      </c>
      <c r="M381" t="s">
        <v>898</v>
      </c>
      <c r="N381" t="s">
        <v>898</v>
      </c>
      <c r="P381" t="s">
        <v>898</v>
      </c>
      <c r="Q381" t="s">
        <v>898</v>
      </c>
    </row>
    <row r="382">
      <c r="I382" t="s">
        <v>898</v>
      </c>
      <c r="J382" s="237" t="s">
        <v>898</v>
      </c>
      <c r="K382" s="238" t="s">
        <v>898</v>
      </c>
      <c r="L382" t="s">
        <v>898</v>
      </c>
      <c r="M382" t="s">
        <v>898</v>
      </c>
      <c r="N382" t="s">
        <v>898</v>
      </c>
      <c r="P382" t="s">
        <v>898</v>
      </c>
      <c r="Q382" t="s">
        <v>898</v>
      </c>
    </row>
    <row r="383">
      <c r="I383" t="s">
        <v>898</v>
      </c>
      <c r="J383" s="237" t="s">
        <v>898</v>
      </c>
      <c r="K383" s="238" t="s">
        <v>898</v>
      </c>
      <c r="L383" t="s">
        <v>898</v>
      </c>
      <c r="M383" t="s">
        <v>898</v>
      </c>
      <c r="N383" t="s">
        <v>898</v>
      </c>
      <c r="P383" t="s">
        <v>898</v>
      </c>
      <c r="Q383" t="s">
        <v>898</v>
      </c>
    </row>
    <row r="384">
      <c r="I384" t="s">
        <v>898</v>
      </c>
      <c r="J384" s="237" t="s">
        <v>898</v>
      </c>
      <c r="K384" s="238" t="s">
        <v>898</v>
      </c>
      <c r="L384" t="s">
        <v>898</v>
      </c>
      <c r="M384" t="s">
        <v>898</v>
      </c>
      <c r="N384" t="s">
        <v>898</v>
      </c>
      <c r="P384" t="s">
        <v>898</v>
      </c>
      <c r="Q384" t="s">
        <v>898</v>
      </c>
    </row>
    <row r="385">
      <c r="I385" t="s">
        <v>898</v>
      </c>
      <c r="J385" s="237" t="s">
        <v>898</v>
      </c>
      <c r="K385" s="238" t="s">
        <v>898</v>
      </c>
      <c r="L385" t="s">
        <v>898</v>
      </c>
      <c r="M385" t="s">
        <v>898</v>
      </c>
      <c r="N385" t="s">
        <v>898</v>
      </c>
      <c r="P385" t="s">
        <v>898</v>
      </c>
      <c r="Q385" t="s">
        <v>898</v>
      </c>
    </row>
    <row r="386">
      <c r="I386" t="s">
        <v>898</v>
      </c>
      <c r="J386" s="237" t="s">
        <v>898</v>
      </c>
      <c r="K386" s="238" t="s">
        <v>898</v>
      </c>
      <c r="L386" t="s">
        <v>898</v>
      </c>
      <c r="M386" t="s">
        <v>898</v>
      </c>
      <c r="N386" t="s">
        <v>898</v>
      </c>
      <c r="P386" t="s">
        <v>898</v>
      </c>
      <c r="Q386" t="s">
        <v>898</v>
      </c>
    </row>
    <row r="387">
      <c r="I387" t="s">
        <v>898</v>
      </c>
      <c r="J387" s="237" t="s">
        <v>898</v>
      </c>
      <c r="K387" s="238" t="s">
        <v>898</v>
      </c>
      <c r="L387" t="s">
        <v>898</v>
      </c>
      <c r="M387" t="s">
        <v>898</v>
      </c>
      <c r="N387" t="s">
        <v>898</v>
      </c>
      <c r="P387" t="s">
        <v>898</v>
      </c>
      <c r="Q387" t="s">
        <v>898</v>
      </c>
    </row>
    <row r="388">
      <c r="I388" t="s">
        <v>898</v>
      </c>
      <c r="J388" s="237" t="s">
        <v>898</v>
      </c>
      <c r="K388" s="238" t="s">
        <v>898</v>
      </c>
      <c r="L388" t="s">
        <v>898</v>
      </c>
      <c r="M388" t="s">
        <v>898</v>
      </c>
      <c r="N388" t="s">
        <v>898</v>
      </c>
      <c r="P388" t="s">
        <v>898</v>
      </c>
      <c r="Q388" t="s">
        <v>898</v>
      </c>
    </row>
    <row r="389">
      <c r="I389" t="s">
        <v>898</v>
      </c>
      <c r="J389" s="237" t="s">
        <v>898</v>
      </c>
      <c r="K389" s="238" t="s">
        <v>898</v>
      </c>
      <c r="L389" t="s">
        <v>898</v>
      </c>
      <c r="M389" t="s">
        <v>898</v>
      </c>
      <c r="N389" t="s">
        <v>898</v>
      </c>
      <c r="P389" t="s">
        <v>898</v>
      </c>
      <c r="Q389" t="s">
        <v>898</v>
      </c>
    </row>
    <row r="390">
      <c r="I390" t="s">
        <v>898</v>
      </c>
      <c r="J390" s="237" t="s">
        <v>898</v>
      </c>
      <c r="K390" s="238" t="s">
        <v>898</v>
      </c>
      <c r="L390" t="s">
        <v>898</v>
      </c>
      <c r="M390" t="s">
        <v>898</v>
      </c>
      <c r="N390" t="s">
        <v>898</v>
      </c>
      <c r="P390" t="s">
        <v>898</v>
      </c>
      <c r="Q390" t="s">
        <v>898</v>
      </c>
    </row>
    <row r="391">
      <c r="I391" t="s">
        <v>898</v>
      </c>
      <c r="J391" s="237" t="s">
        <v>898</v>
      </c>
      <c r="K391" s="238" t="s">
        <v>898</v>
      </c>
      <c r="L391" t="s">
        <v>898</v>
      </c>
      <c r="M391" t="s">
        <v>898</v>
      </c>
      <c r="N391" t="s">
        <v>898</v>
      </c>
      <c r="P391" t="s">
        <v>898</v>
      </c>
      <c r="Q391" t="s">
        <v>898</v>
      </c>
    </row>
    <row r="392">
      <c r="I392" t="s">
        <v>898</v>
      </c>
      <c r="J392" s="237" t="s">
        <v>898</v>
      </c>
      <c r="K392" s="238" t="s">
        <v>898</v>
      </c>
      <c r="L392" t="s">
        <v>898</v>
      </c>
      <c r="M392" t="s">
        <v>898</v>
      </c>
      <c r="N392" t="s">
        <v>898</v>
      </c>
      <c r="P392" t="s">
        <v>898</v>
      </c>
      <c r="Q392" t="s">
        <v>898</v>
      </c>
    </row>
    <row r="393">
      <c r="I393" t="s">
        <v>898</v>
      </c>
      <c r="J393" s="237" t="s">
        <v>898</v>
      </c>
      <c r="K393" s="238" t="s">
        <v>898</v>
      </c>
      <c r="L393" t="s">
        <v>898</v>
      </c>
      <c r="M393" t="s">
        <v>898</v>
      </c>
      <c r="N393" t="s">
        <v>898</v>
      </c>
      <c r="P393" t="s">
        <v>898</v>
      </c>
      <c r="Q393" t="s">
        <v>898</v>
      </c>
    </row>
    <row r="394">
      <c r="I394" t="s">
        <v>898</v>
      </c>
      <c r="J394" s="237" t="s">
        <v>898</v>
      </c>
      <c r="K394" s="238" t="s">
        <v>898</v>
      </c>
      <c r="L394" t="s">
        <v>898</v>
      </c>
      <c r="M394" t="s">
        <v>898</v>
      </c>
      <c r="N394" t="s">
        <v>898</v>
      </c>
      <c r="P394" t="s">
        <v>898</v>
      </c>
      <c r="Q394" t="s">
        <v>898</v>
      </c>
    </row>
    <row r="395">
      <c r="I395" t="s">
        <v>898</v>
      </c>
      <c r="J395" s="237" t="s">
        <v>898</v>
      </c>
      <c r="K395" s="238" t="s">
        <v>898</v>
      </c>
      <c r="L395" t="s">
        <v>898</v>
      </c>
      <c r="M395" t="s">
        <v>898</v>
      </c>
      <c r="N395" t="s">
        <v>898</v>
      </c>
      <c r="P395" t="s">
        <v>898</v>
      </c>
      <c r="Q395" t="s">
        <v>898</v>
      </c>
    </row>
    <row r="396">
      <c r="I396" t="s">
        <v>898</v>
      </c>
      <c r="J396" s="237" t="s">
        <v>898</v>
      </c>
      <c r="K396" s="238" t="s">
        <v>898</v>
      </c>
      <c r="L396" t="s">
        <v>898</v>
      </c>
      <c r="M396" t="s">
        <v>898</v>
      </c>
      <c r="N396" t="s">
        <v>898</v>
      </c>
      <c r="P396" t="s">
        <v>898</v>
      </c>
      <c r="Q396" t="s">
        <v>898</v>
      </c>
    </row>
    <row r="397">
      <c r="I397" t="s">
        <v>898</v>
      </c>
      <c r="J397" s="237" t="s">
        <v>898</v>
      </c>
      <c r="K397" s="238" t="s">
        <v>898</v>
      </c>
      <c r="L397" t="s">
        <v>898</v>
      </c>
      <c r="M397" t="s">
        <v>898</v>
      </c>
      <c r="N397" t="s">
        <v>898</v>
      </c>
      <c r="P397" t="s">
        <v>898</v>
      </c>
      <c r="Q397" t="s">
        <v>898</v>
      </c>
    </row>
    <row r="398">
      <c r="I398" t="s">
        <v>898</v>
      </c>
      <c r="J398" s="237" t="s">
        <v>898</v>
      </c>
      <c r="K398" s="238" t="s">
        <v>898</v>
      </c>
      <c r="L398" t="s">
        <v>898</v>
      </c>
      <c r="M398" t="s">
        <v>898</v>
      </c>
      <c r="N398" t="s">
        <v>898</v>
      </c>
      <c r="P398" t="s">
        <v>898</v>
      </c>
      <c r="Q398" t="s">
        <v>898</v>
      </c>
    </row>
    <row r="399">
      <c r="I399" t="s">
        <v>898</v>
      </c>
      <c r="J399" s="237" t="s">
        <v>898</v>
      </c>
      <c r="K399" s="238" t="s">
        <v>898</v>
      </c>
      <c r="L399" t="s">
        <v>898</v>
      </c>
      <c r="M399" t="s">
        <v>898</v>
      </c>
      <c r="N399" t="s">
        <v>898</v>
      </c>
      <c r="P399" t="s">
        <v>898</v>
      </c>
      <c r="Q399" t="s">
        <v>898</v>
      </c>
    </row>
    <row r="400">
      <c r="I400" t="s">
        <v>898</v>
      </c>
      <c r="J400" s="237" t="s">
        <v>898</v>
      </c>
      <c r="K400" s="238" t="s">
        <v>898</v>
      </c>
      <c r="L400" t="s">
        <v>898</v>
      </c>
      <c r="M400" t="s">
        <v>898</v>
      </c>
      <c r="N400" t="s">
        <v>898</v>
      </c>
      <c r="P400" t="s">
        <v>898</v>
      </c>
      <c r="Q400" t="s">
        <v>898</v>
      </c>
    </row>
    <row r="401">
      <c r="I401" t="s">
        <v>898</v>
      </c>
      <c r="J401" s="237" t="s">
        <v>898</v>
      </c>
      <c r="K401" s="238" t="s">
        <v>898</v>
      </c>
      <c r="L401" t="s">
        <v>898</v>
      </c>
      <c r="M401" t="s">
        <v>898</v>
      </c>
      <c r="N401" t="s">
        <v>898</v>
      </c>
      <c r="P401" t="s">
        <v>898</v>
      </c>
      <c r="Q401" t="s">
        <v>898</v>
      </c>
    </row>
    <row r="402">
      <c r="I402" t="s">
        <v>898</v>
      </c>
      <c r="J402" s="237" t="s">
        <v>898</v>
      </c>
      <c r="K402" s="238" t="s">
        <v>898</v>
      </c>
      <c r="L402" t="s">
        <v>898</v>
      </c>
      <c r="M402" t="s">
        <v>898</v>
      </c>
      <c r="N402" t="s">
        <v>898</v>
      </c>
      <c r="P402" t="s">
        <v>898</v>
      </c>
      <c r="Q402" t="s">
        <v>898</v>
      </c>
    </row>
    <row r="403">
      <c r="I403" t="s">
        <v>898</v>
      </c>
      <c r="J403" s="237" t="s">
        <v>898</v>
      </c>
      <c r="K403" s="238" t="s">
        <v>898</v>
      </c>
      <c r="L403" t="s">
        <v>898</v>
      </c>
      <c r="M403" t="s">
        <v>898</v>
      </c>
      <c r="N403" t="s">
        <v>898</v>
      </c>
      <c r="P403" t="s">
        <v>898</v>
      </c>
      <c r="Q403" t="s">
        <v>898</v>
      </c>
    </row>
    <row r="404">
      <c r="I404" t="s">
        <v>898</v>
      </c>
      <c r="J404" s="237" t="s">
        <v>898</v>
      </c>
      <c r="K404" s="238" t="s">
        <v>898</v>
      </c>
      <c r="L404" t="s">
        <v>898</v>
      </c>
      <c r="M404" t="s">
        <v>898</v>
      </c>
      <c r="N404" t="s">
        <v>898</v>
      </c>
      <c r="P404" t="s">
        <v>898</v>
      </c>
      <c r="Q404" t="s">
        <v>898</v>
      </c>
    </row>
    <row r="405">
      <c r="I405" t="s">
        <v>898</v>
      </c>
      <c r="J405" s="237" t="s">
        <v>898</v>
      </c>
      <c r="K405" s="238" t="s">
        <v>898</v>
      </c>
      <c r="L405" t="s">
        <v>898</v>
      </c>
      <c r="M405" t="s">
        <v>898</v>
      </c>
      <c r="N405" t="s">
        <v>898</v>
      </c>
      <c r="P405" t="s">
        <v>898</v>
      </c>
      <c r="Q405" t="s">
        <v>898</v>
      </c>
    </row>
    <row r="406">
      <c r="I406" t="s">
        <v>898</v>
      </c>
      <c r="J406" s="237" t="s">
        <v>898</v>
      </c>
      <c r="K406" s="238" t="s">
        <v>898</v>
      </c>
      <c r="L406" t="s">
        <v>898</v>
      </c>
      <c r="M406" t="s">
        <v>898</v>
      </c>
      <c r="N406" t="s">
        <v>898</v>
      </c>
      <c r="P406" t="s">
        <v>898</v>
      </c>
      <c r="Q406" t="s">
        <v>898</v>
      </c>
    </row>
    <row r="407">
      <c r="I407" t="s">
        <v>898</v>
      </c>
      <c r="J407" s="237" t="s">
        <v>898</v>
      </c>
      <c r="K407" s="238" t="s">
        <v>898</v>
      </c>
      <c r="L407" t="s">
        <v>898</v>
      </c>
      <c r="M407" t="s">
        <v>898</v>
      </c>
      <c r="N407" t="s">
        <v>898</v>
      </c>
      <c r="P407" t="s">
        <v>898</v>
      </c>
      <c r="Q407" t="s">
        <v>898</v>
      </c>
    </row>
    <row r="408">
      <c r="I408" t="s">
        <v>898</v>
      </c>
      <c r="J408" s="237" t="s">
        <v>898</v>
      </c>
      <c r="K408" s="238" t="s">
        <v>898</v>
      </c>
      <c r="L408" t="s">
        <v>898</v>
      </c>
      <c r="M408" t="s">
        <v>898</v>
      </c>
      <c r="N408" t="s">
        <v>898</v>
      </c>
      <c r="P408" t="s">
        <v>898</v>
      </c>
      <c r="Q408" t="s">
        <v>898</v>
      </c>
    </row>
    <row r="409">
      <c r="I409" t="s">
        <v>898</v>
      </c>
      <c r="J409" s="237" t="s">
        <v>898</v>
      </c>
      <c r="K409" s="238" t="s">
        <v>898</v>
      </c>
      <c r="L409" t="s">
        <v>898</v>
      </c>
      <c r="M409" t="s">
        <v>898</v>
      </c>
      <c r="N409" t="s">
        <v>898</v>
      </c>
      <c r="P409" t="s">
        <v>898</v>
      </c>
      <c r="Q409" t="s">
        <v>898</v>
      </c>
    </row>
    <row r="410">
      <c r="I410" t="s">
        <v>898</v>
      </c>
      <c r="J410" s="237" t="s">
        <v>898</v>
      </c>
      <c r="K410" s="238" t="s">
        <v>898</v>
      </c>
      <c r="L410" t="s">
        <v>898</v>
      </c>
      <c r="M410" t="s">
        <v>898</v>
      </c>
      <c r="N410" t="s">
        <v>898</v>
      </c>
      <c r="P410" t="s">
        <v>898</v>
      </c>
      <c r="Q410" t="s">
        <v>898</v>
      </c>
    </row>
    <row r="411">
      <c r="I411" t="s">
        <v>898</v>
      </c>
      <c r="J411" s="237" t="s">
        <v>898</v>
      </c>
      <c r="K411" s="238" t="s">
        <v>898</v>
      </c>
      <c r="L411" t="s">
        <v>898</v>
      </c>
      <c r="M411" t="s">
        <v>898</v>
      </c>
      <c r="N411" t="s">
        <v>898</v>
      </c>
      <c r="P411" t="s">
        <v>898</v>
      </c>
      <c r="Q411" t="s">
        <v>898</v>
      </c>
    </row>
    <row r="412">
      <c r="I412" t="s">
        <v>898</v>
      </c>
      <c r="J412" s="237" t="s">
        <v>898</v>
      </c>
      <c r="K412" s="238" t="s">
        <v>898</v>
      </c>
      <c r="L412" t="s">
        <v>898</v>
      </c>
      <c r="M412" t="s">
        <v>898</v>
      </c>
      <c r="N412" t="s">
        <v>898</v>
      </c>
      <c r="P412" t="s">
        <v>898</v>
      </c>
      <c r="Q412" t="s">
        <v>898</v>
      </c>
    </row>
    <row r="413">
      <c r="I413" t="s">
        <v>898</v>
      </c>
      <c r="J413" s="237" t="s">
        <v>898</v>
      </c>
      <c r="K413" s="238" t="s">
        <v>898</v>
      </c>
      <c r="L413" t="s">
        <v>898</v>
      </c>
      <c r="M413" t="s">
        <v>898</v>
      </c>
      <c r="N413" t="s">
        <v>898</v>
      </c>
      <c r="P413" t="s">
        <v>898</v>
      </c>
      <c r="Q413" t="s">
        <v>898</v>
      </c>
    </row>
    <row r="414">
      <c r="I414" t="s">
        <v>898</v>
      </c>
      <c r="J414" s="237" t="s">
        <v>898</v>
      </c>
      <c r="K414" s="238" t="s">
        <v>898</v>
      </c>
      <c r="L414" t="s">
        <v>898</v>
      </c>
      <c r="M414" t="s">
        <v>898</v>
      </c>
      <c r="N414" t="s">
        <v>898</v>
      </c>
      <c r="P414" t="s">
        <v>898</v>
      </c>
      <c r="Q414" t="s">
        <v>898</v>
      </c>
    </row>
    <row r="415">
      <c r="I415" t="s">
        <v>898</v>
      </c>
      <c r="J415" s="237" t="s">
        <v>898</v>
      </c>
      <c r="K415" s="238" t="s">
        <v>898</v>
      </c>
      <c r="L415" t="s">
        <v>898</v>
      </c>
      <c r="M415" t="s">
        <v>898</v>
      </c>
      <c r="N415" t="s">
        <v>898</v>
      </c>
      <c r="P415" t="s">
        <v>898</v>
      </c>
      <c r="Q415" t="s">
        <v>898</v>
      </c>
    </row>
    <row r="416">
      <c r="I416" t="s">
        <v>898</v>
      </c>
      <c r="J416" s="237" t="s">
        <v>898</v>
      </c>
      <c r="K416" s="238" t="s">
        <v>898</v>
      </c>
      <c r="L416" t="s">
        <v>898</v>
      </c>
      <c r="M416" t="s">
        <v>898</v>
      </c>
      <c r="N416" t="s">
        <v>898</v>
      </c>
      <c r="P416" t="s">
        <v>898</v>
      </c>
      <c r="Q416" t="s">
        <v>898</v>
      </c>
    </row>
    <row r="417">
      <c r="I417" t="s">
        <v>898</v>
      </c>
      <c r="J417" s="237" t="s">
        <v>898</v>
      </c>
      <c r="K417" s="238" t="s">
        <v>898</v>
      </c>
      <c r="L417" t="s">
        <v>898</v>
      </c>
      <c r="M417" t="s">
        <v>898</v>
      </c>
      <c r="N417" t="s">
        <v>898</v>
      </c>
      <c r="P417" t="s">
        <v>898</v>
      </c>
      <c r="Q417" t="s">
        <v>898</v>
      </c>
    </row>
    <row r="418">
      <c r="I418" t="s">
        <v>898</v>
      </c>
      <c r="J418" s="237" t="s">
        <v>898</v>
      </c>
      <c r="K418" s="238" t="s">
        <v>898</v>
      </c>
      <c r="L418" t="s">
        <v>898</v>
      </c>
      <c r="M418" t="s">
        <v>898</v>
      </c>
      <c r="N418" t="s">
        <v>898</v>
      </c>
      <c r="P418" t="s">
        <v>898</v>
      </c>
      <c r="Q418" t="s">
        <v>898</v>
      </c>
    </row>
    <row r="419">
      <c r="I419" t="s">
        <v>898</v>
      </c>
      <c r="J419" s="237" t="s">
        <v>898</v>
      </c>
      <c r="K419" s="238" t="s">
        <v>898</v>
      </c>
      <c r="L419" t="s">
        <v>898</v>
      </c>
      <c r="M419" t="s">
        <v>898</v>
      </c>
      <c r="N419" t="s">
        <v>898</v>
      </c>
      <c r="P419" t="s">
        <v>898</v>
      </c>
      <c r="Q419" t="s">
        <v>898</v>
      </c>
    </row>
    <row r="420">
      <c r="I420" t="s">
        <v>898</v>
      </c>
      <c r="J420" s="237" t="s">
        <v>898</v>
      </c>
      <c r="K420" s="238" t="s">
        <v>898</v>
      </c>
      <c r="L420" t="s">
        <v>898</v>
      </c>
      <c r="M420" t="s">
        <v>898</v>
      </c>
      <c r="N420" t="s">
        <v>898</v>
      </c>
      <c r="P420" t="s">
        <v>898</v>
      </c>
      <c r="Q420" t="s">
        <v>898</v>
      </c>
    </row>
    <row r="421">
      <c r="I421" t="s">
        <v>898</v>
      </c>
      <c r="J421" s="237" t="s">
        <v>898</v>
      </c>
      <c r="K421" s="238" t="s">
        <v>898</v>
      </c>
      <c r="L421" t="s">
        <v>898</v>
      </c>
      <c r="M421" t="s">
        <v>898</v>
      </c>
      <c r="N421" t="s">
        <v>898</v>
      </c>
      <c r="P421" t="s">
        <v>898</v>
      </c>
      <c r="Q421" t="s">
        <v>898</v>
      </c>
    </row>
    <row r="422">
      <c r="I422" t="s">
        <v>898</v>
      </c>
      <c r="J422" s="237" t="s">
        <v>898</v>
      </c>
      <c r="K422" s="238" t="s">
        <v>898</v>
      </c>
      <c r="L422" t="s">
        <v>898</v>
      </c>
      <c r="M422" t="s">
        <v>898</v>
      </c>
      <c r="N422" t="s">
        <v>898</v>
      </c>
      <c r="P422" t="s">
        <v>898</v>
      </c>
      <c r="Q422" t="s">
        <v>898</v>
      </c>
    </row>
    <row r="423">
      <c r="I423" t="s">
        <v>898</v>
      </c>
      <c r="J423" s="237" t="s">
        <v>898</v>
      </c>
      <c r="K423" s="238" t="s">
        <v>898</v>
      </c>
      <c r="L423" t="s">
        <v>898</v>
      </c>
      <c r="M423" t="s">
        <v>898</v>
      </c>
      <c r="N423" t="s">
        <v>898</v>
      </c>
      <c r="P423" t="s">
        <v>898</v>
      </c>
      <c r="Q423" t="s">
        <v>898</v>
      </c>
    </row>
    <row r="424">
      <c r="I424" t="s">
        <v>898</v>
      </c>
      <c r="J424" s="237" t="s">
        <v>898</v>
      </c>
      <c r="K424" s="238" t="s">
        <v>898</v>
      </c>
      <c r="L424" t="s">
        <v>898</v>
      </c>
      <c r="M424" t="s">
        <v>898</v>
      </c>
      <c r="N424" t="s">
        <v>898</v>
      </c>
      <c r="P424" t="s">
        <v>898</v>
      </c>
      <c r="Q424" t="s">
        <v>898</v>
      </c>
    </row>
    <row r="425">
      <c r="I425" t="s">
        <v>898</v>
      </c>
      <c r="J425" s="237" t="s">
        <v>898</v>
      </c>
      <c r="K425" s="238" t="s">
        <v>898</v>
      </c>
      <c r="L425" t="s">
        <v>898</v>
      </c>
      <c r="M425" t="s">
        <v>898</v>
      </c>
      <c r="N425" t="s">
        <v>898</v>
      </c>
      <c r="P425" t="s">
        <v>898</v>
      </c>
      <c r="Q425" t="s">
        <v>898</v>
      </c>
    </row>
    <row r="426">
      <c r="I426" t="s">
        <v>898</v>
      </c>
      <c r="J426" s="237" t="s">
        <v>898</v>
      </c>
      <c r="K426" s="238" t="s">
        <v>898</v>
      </c>
      <c r="L426" t="s">
        <v>898</v>
      </c>
      <c r="M426" t="s">
        <v>898</v>
      </c>
      <c r="N426" t="s">
        <v>898</v>
      </c>
      <c r="P426" t="s">
        <v>898</v>
      </c>
      <c r="Q426" t="s">
        <v>898</v>
      </c>
    </row>
    <row r="427">
      <c r="I427" t="s">
        <v>898</v>
      </c>
      <c r="J427" s="237" t="s">
        <v>898</v>
      </c>
      <c r="K427" s="238" t="s">
        <v>898</v>
      </c>
      <c r="L427" t="s">
        <v>898</v>
      </c>
      <c r="M427" t="s">
        <v>898</v>
      </c>
      <c r="N427" t="s">
        <v>898</v>
      </c>
      <c r="P427" t="s">
        <v>898</v>
      </c>
      <c r="Q427" t="s">
        <v>898</v>
      </c>
    </row>
    <row r="428">
      <c r="I428" t="s">
        <v>898</v>
      </c>
      <c r="J428" s="237" t="s">
        <v>898</v>
      </c>
      <c r="K428" s="238" t="s">
        <v>898</v>
      </c>
      <c r="L428" t="s">
        <v>898</v>
      </c>
      <c r="M428" t="s">
        <v>898</v>
      </c>
      <c r="N428" t="s">
        <v>898</v>
      </c>
      <c r="P428" t="s">
        <v>898</v>
      </c>
      <c r="Q428" t="s">
        <v>898</v>
      </c>
    </row>
    <row r="429">
      <c r="I429" t="s">
        <v>898</v>
      </c>
      <c r="J429" s="237" t="s">
        <v>898</v>
      </c>
      <c r="K429" s="238" t="s">
        <v>898</v>
      </c>
      <c r="L429" t="s">
        <v>898</v>
      </c>
      <c r="M429" t="s">
        <v>898</v>
      </c>
      <c r="N429" t="s">
        <v>898</v>
      </c>
      <c r="P429" t="s">
        <v>898</v>
      </c>
      <c r="Q429" t="s">
        <v>898</v>
      </c>
    </row>
    <row r="430">
      <c r="I430" t="s">
        <v>898</v>
      </c>
      <c r="J430" s="237" t="s">
        <v>898</v>
      </c>
      <c r="K430" s="238" t="s">
        <v>898</v>
      </c>
      <c r="L430" t="s">
        <v>898</v>
      </c>
      <c r="M430" t="s">
        <v>898</v>
      </c>
      <c r="N430" t="s">
        <v>898</v>
      </c>
      <c r="P430" t="s">
        <v>898</v>
      </c>
      <c r="Q430" t="s">
        <v>898</v>
      </c>
    </row>
    <row r="431">
      <c r="I431" t="s">
        <v>898</v>
      </c>
      <c r="J431" s="237" t="s">
        <v>898</v>
      </c>
      <c r="K431" s="238" t="s">
        <v>898</v>
      </c>
      <c r="L431" t="s">
        <v>898</v>
      </c>
      <c r="M431" t="s">
        <v>898</v>
      </c>
      <c r="N431" t="s">
        <v>898</v>
      </c>
      <c r="P431" t="s">
        <v>898</v>
      </c>
      <c r="Q431" t="s">
        <v>898</v>
      </c>
    </row>
    <row r="432">
      <c r="I432" t="s">
        <v>898</v>
      </c>
      <c r="J432" s="237" t="s">
        <v>898</v>
      </c>
      <c r="K432" s="238" t="s">
        <v>898</v>
      </c>
      <c r="L432" t="s">
        <v>898</v>
      </c>
      <c r="M432" t="s">
        <v>898</v>
      </c>
      <c r="N432" t="s">
        <v>898</v>
      </c>
      <c r="P432" t="s">
        <v>898</v>
      </c>
      <c r="Q432" t="s">
        <v>898</v>
      </c>
    </row>
    <row r="433">
      <c r="I433" t="s">
        <v>898</v>
      </c>
      <c r="J433" s="237" t="s">
        <v>898</v>
      </c>
      <c r="K433" s="238" t="s">
        <v>898</v>
      </c>
      <c r="L433" t="s">
        <v>898</v>
      </c>
      <c r="M433" t="s">
        <v>898</v>
      </c>
      <c r="N433" t="s">
        <v>898</v>
      </c>
      <c r="P433" t="s">
        <v>898</v>
      </c>
      <c r="Q433" t="s">
        <v>898</v>
      </c>
    </row>
    <row r="434">
      <c r="I434" t="s">
        <v>898</v>
      </c>
      <c r="J434" s="237" t="s">
        <v>898</v>
      </c>
      <c r="K434" s="238" t="s">
        <v>898</v>
      </c>
      <c r="L434" t="s">
        <v>898</v>
      </c>
      <c r="M434" t="s">
        <v>898</v>
      </c>
      <c r="N434" t="s">
        <v>898</v>
      </c>
      <c r="P434" t="s">
        <v>898</v>
      </c>
      <c r="Q434" t="s">
        <v>898</v>
      </c>
    </row>
    <row r="435">
      <c r="I435" t="s">
        <v>898</v>
      </c>
      <c r="J435" s="237" t="s">
        <v>898</v>
      </c>
      <c r="K435" s="238" t="s">
        <v>898</v>
      </c>
      <c r="L435" t="s">
        <v>898</v>
      </c>
      <c r="M435" t="s">
        <v>898</v>
      </c>
      <c r="N435" t="s">
        <v>898</v>
      </c>
      <c r="P435" t="s">
        <v>898</v>
      </c>
      <c r="Q435" t="s">
        <v>898</v>
      </c>
    </row>
    <row r="436">
      <c r="I436" t="s">
        <v>898</v>
      </c>
      <c r="J436" s="237" t="s">
        <v>898</v>
      </c>
      <c r="K436" s="238" t="s">
        <v>898</v>
      </c>
      <c r="L436" t="s">
        <v>898</v>
      </c>
      <c r="M436" t="s">
        <v>898</v>
      </c>
      <c r="N436" t="s">
        <v>898</v>
      </c>
      <c r="P436" t="s">
        <v>898</v>
      </c>
      <c r="Q436" t="s">
        <v>898</v>
      </c>
    </row>
    <row r="437">
      <c r="I437" t="s">
        <v>898</v>
      </c>
      <c r="J437" s="237" t="s">
        <v>898</v>
      </c>
      <c r="K437" s="238" t="s">
        <v>898</v>
      </c>
      <c r="L437" t="s">
        <v>898</v>
      </c>
      <c r="M437" t="s">
        <v>898</v>
      </c>
      <c r="N437" t="s">
        <v>898</v>
      </c>
      <c r="P437" t="s">
        <v>898</v>
      </c>
      <c r="Q437" t="s">
        <v>898</v>
      </c>
    </row>
    <row r="438">
      <c r="I438" t="s">
        <v>898</v>
      </c>
      <c r="J438" s="237" t="s">
        <v>898</v>
      </c>
      <c r="K438" s="238" t="s">
        <v>898</v>
      </c>
      <c r="L438" t="s">
        <v>898</v>
      </c>
      <c r="M438" t="s">
        <v>898</v>
      </c>
      <c r="N438" t="s">
        <v>898</v>
      </c>
      <c r="P438" t="s">
        <v>898</v>
      </c>
      <c r="Q438" t="s">
        <v>898</v>
      </c>
    </row>
    <row r="439">
      <c r="I439" t="s">
        <v>898</v>
      </c>
      <c r="J439" s="237" t="s">
        <v>898</v>
      </c>
      <c r="K439" s="238" t="s">
        <v>898</v>
      </c>
      <c r="L439" t="s">
        <v>898</v>
      </c>
      <c r="M439" t="s">
        <v>898</v>
      </c>
      <c r="N439" t="s">
        <v>898</v>
      </c>
      <c r="P439" t="s">
        <v>898</v>
      </c>
      <c r="Q439" t="s">
        <v>898</v>
      </c>
    </row>
    <row r="440">
      <c r="I440" t="s">
        <v>898</v>
      </c>
      <c r="J440" s="237" t="s">
        <v>898</v>
      </c>
      <c r="K440" s="238" t="s">
        <v>898</v>
      </c>
      <c r="L440" t="s">
        <v>898</v>
      </c>
      <c r="M440" t="s">
        <v>898</v>
      </c>
      <c r="N440" t="s">
        <v>898</v>
      </c>
      <c r="P440" t="s">
        <v>898</v>
      </c>
      <c r="Q440" t="s">
        <v>898</v>
      </c>
    </row>
    <row r="441">
      <c r="I441" t="s">
        <v>898</v>
      </c>
      <c r="J441" s="237" t="s">
        <v>898</v>
      </c>
      <c r="K441" s="238" t="s">
        <v>898</v>
      </c>
      <c r="L441" t="s">
        <v>898</v>
      </c>
      <c r="M441" t="s">
        <v>898</v>
      </c>
      <c r="N441" t="s">
        <v>898</v>
      </c>
      <c r="P441" t="s">
        <v>898</v>
      </c>
      <c r="Q441" t="s">
        <v>898</v>
      </c>
    </row>
    <row r="442">
      <c r="I442" t="s">
        <v>898</v>
      </c>
      <c r="J442" s="237" t="s">
        <v>898</v>
      </c>
      <c r="K442" s="238" t="s">
        <v>898</v>
      </c>
      <c r="L442" t="s">
        <v>898</v>
      </c>
      <c r="M442" t="s">
        <v>898</v>
      </c>
      <c r="N442" t="s">
        <v>898</v>
      </c>
      <c r="P442" t="s">
        <v>898</v>
      </c>
      <c r="Q442" t="s">
        <v>898</v>
      </c>
    </row>
    <row r="443">
      <c r="I443" t="s">
        <v>898</v>
      </c>
      <c r="J443" s="237" t="s">
        <v>898</v>
      </c>
      <c r="K443" s="238" t="s">
        <v>898</v>
      </c>
      <c r="L443" t="s">
        <v>898</v>
      </c>
      <c r="M443" t="s">
        <v>898</v>
      </c>
      <c r="N443" t="s">
        <v>898</v>
      </c>
      <c r="P443" t="s">
        <v>898</v>
      </c>
      <c r="Q443" t="s">
        <v>898</v>
      </c>
    </row>
    <row r="444">
      <c r="I444" t="s">
        <v>898</v>
      </c>
      <c r="J444" s="237" t="s">
        <v>898</v>
      </c>
      <c r="K444" s="238" t="s">
        <v>898</v>
      </c>
      <c r="L444" t="s">
        <v>898</v>
      </c>
      <c r="M444" t="s">
        <v>898</v>
      </c>
      <c r="N444" t="s">
        <v>898</v>
      </c>
      <c r="P444" t="s">
        <v>898</v>
      </c>
      <c r="Q444" t="s">
        <v>898</v>
      </c>
    </row>
    <row r="445">
      <c r="I445" t="s">
        <v>898</v>
      </c>
      <c r="J445" s="237" t="s">
        <v>898</v>
      </c>
      <c r="K445" s="238" t="s">
        <v>898</v>
      </c>
      <c r="L445" t="s">
        <v>898</v>
      </c>
      <c r="M445" t="s">
        <v>898</v>
      </c>
      <c r="N445" t="s">
        <v>898</v>
      </c>
      <c r="P445" t="s">
        <v>898</v>
      </c>
      <c r="Q445" t="s">
        <v>898</v>
      </c>
    </row>
    <row r="446">
      <c r="I446" t="s">
        <v>898</v>
      </c>
      <c r="J446" s="237" t="s">
        <v>898</v>
      </c>
      <c r="K446" s="238" t="s">
        <v>898</v>
      </c>
      <c r="L446" t="s">
        <v>898</v>
      </c>
      <c r="M446" t="s">
        <v>898</v>
      </c>
      <c r="N446" t="s">
        <v>898</v>
      </c>
      <c r="P446" t="s">
        <v>898</v>
      </c>
      <c r="Q446" t="s">
        <v>898</v>
      </c>
    </row>
    <row r="447">
      <c r="I447" t="s">
        <v>898</v>
      </c>
      <c r="J447" s="237" t="s">
        <v>898</v>
      </c>
      <c r="K447" s="238" t="s">
        <v>898</v>
      </c>
      <c r="L447" t="s">
        <v>898</v>
      </c>
      <c r="M447" t="s">
        <v>898</v>
      </c>
      <c r="N447" t="s">
        <v>898</v>
      </c>
      <c r="P447" t="s">
        <v>898</v>
      </c>
      <c r="Q447" t="s">
        <v>898</v>
      </c>
    </row>
    <row r="448">
      <c r="I448" t="s">
        <v>898</v>
      </c>
      <c r="J448" s="237" t="s">
        <v>898</v>
      </c>
      <c r="K448" s="238" t="s">
        <v>898</v>
      </c>
      <c r="L448" t="s">
        <v>898</v>
      </c>
      <c r="M448" t="s">
        <v>898</v>
      </c>
      <c r="N448" t="s">
        <v>898</v>
      </c>
      <c r="P448" t="s">
        <v>898</v>
      </c>
      <c r="Q448" t="s">
        <v>898</v>
      </c>
    </row>
    <row r="449">
      <c r="I449" t="s">
        <v>898</v>
      </c>
      <c r="J449" s="237" t="s">
        <v>898</v>
      </c>
      <c r="K449" s="238" t="s">
        <v>898</v>
      </c>
      <c r="L449" t="s">
        <v>898</v>
      </c>
      <c r="M449" t="s">
        <v>898</v>
      </c>
      <c r="N449" t="s">
        <v>898</v>
      </c>
      <c r="P449" t="s">
        <v>898</v>
      </c>
      <c r="Q449" t="s">
        <v>898</v>
      </c>
    </row>
    <row r="450">
      <c r="I450" t="s">
        <v>898</v>
      </c>
      <c r="J450" s="237" t="s">
        <v>898</v>
      </c>
      <c r="K450" s="238" t="s">
        <v>898</v>
      </c>
      <c r="L450" t="s">
        <v>898</v>
      </c>
      <c r="M450" t="s">
        <v>898</v>
      </c>
      <c r="N450" t="s">
        <v>898</v>
      </c>
      <c r="P450" t="s">
        <v>898</v>
      </c>
      <c r="Q450" t="s">
        <v>898</v>
      </c>
    </row>
    <row r="451">
      <c r="I451" t="s">
        <v>898</v>
      </c>
      <c r="J451" s="237" t="s">
        <v>898</v>
      </c>
      <c r="K451" s="238" t="s">
        <v>898</v>
      </c>
      <c r="L451" t="s">
        <v>898</v>
      </c>
      <c r="M451" t="s">
        <v>898</v>
      </c>
      <c r="N451" t="s">
        <v>898</v>
      </c>
      <c r="P451" t="s">
        <v>898</v>
      </c>
      <c r="Q451" t="s">
        <v>898</v>
      </c>
    </row>
    <row r="452">
      <c r="I452" t="s">
        <v>898</v>
      </c>
      <c r="J452" s="237" t="s">
        <v>898</v>
      </c>
      <c r="K452" s="238" t="s">
        <v>898</v>
      </c>
      <c r="L452" t="s">
        <v>898</v>
      </c>
      <c r="M452" t="s">
        <v>898</v>
      </c>
      <c r="N452" t="s">
        <v>898</v>
      </c>
      <c r="P452" t="s">
        <v>898</v>
      </c>
      <c r="Q452" t="s">
        <v>898</v>
      </c>
    </row>
    <row r="453">
      <c r="I453" t="s">
        <v>898</v>
      </c>
      <c r="J453" s="237" t="s">
        <v>898</v>
      </c>
      <c r="K453" s="238" t="s">
        <v>898</v>
      </c>
      <c r="L453" t="s">
        <v>898</v>
      </c>
      <c r="M453" t="s">
        <v>898</v>
      </c>
      <c r="N453" t="s">
        <v>898</v>
      </c>
      <c r="P453" t="s">
        <v>898</v>
      </c>
      <c r="Q453" t="s">
        <v>898</v>
      </c>
    </row>
    <row r="454">
      <c r="I454" t="s">
        <v>898</v>
      </c>
      <c r="J454" s="237" t="s">
        <v>898</v>
      </c>
      <c r="K454" s="238" t="s">
        <v>898</v>
      </c>
      <c r="L454" t="s">
        <v>898</v>
      </c>
      <c r="M454" t="s">
        <v>898</v>
      </c>
      <c r="N454" t="s">
        <v>898</v>
      </c>
      <c r="P454" t="s">
        <v>898</v>
      </c>
      <c r="Q454" t="s">
        <v>898</v>
      </c>
    </row>
    <row r="455">
      <c r="I455" t="s">
        <v>898</v>
      </c>
      <c r="J455" s="237" t="s">
        <v>898</v>
      </c>
      <c r="K455" s="238" t="s">
        <v>898</v>
      </c>
      <c r="L455" t="s">
        <v>898</v>
      </c>
      <c r="M455" t="s">
        <v>898</v>
      </c>
      <c r="N455" t="s">
        <v>898</v>
      </c>
      <c r="P455" t="s">
        <v>898</v>
      </c>
      <c r="Q455" t="s">
        <v>898</v>
      </c>
    </row>
    <row r="456">
      <c r="I456" t="s">
        <v>898</v>
      </c>
      <c r="J456" s="237" t="s">
        <v>898</v>
      </c>
      <c r="K456" s="238" t="s">
        <v>898</v>
      </c>
      <c r="L456" t="s">
        <v>898</v>
      </c>
      <c r="M456" t="s">
        <v>898</v>
      </c>
      <c r="N456" t="s">
        <v>898</v>
      </c>
      <c r="P456" t="s">
        <v>898</v>
      </c>
      <c r="Q456" t="s">
        <v>898</v>
      </c>
    </row>
    <row r="457">
      <c r="I457" t="s">
        <v>898</v>
      </c>
      <c r="J457" s="237" t="s">
        <v>898</v>
      </c>
      <c r="K457" s="238" t="s">
        <v>898</v>
      </c>
      <c r="L457" t="s">
        <v>898</v>
      </c>
      <c r="M457" t="s">
        <v>898</v>
      </c>
      <c r="N457" t="s">
        <v>898</v>
      </c>
      <c r="P457" t="s">
        <v>898</v>
      </c>
      <c r="Q457" t="s">
        <v>898</v>
      </c>
    </row>
    <row r="458">
      <c r="I458" t="s">
        <v>898</v>
      </c>
      <c r="J458" s="237" t="s">
        <v>898</v>
      </c>
      <c r="K458" s="238" t="s">
        <v>898</v>
      </c>
      <c r="L458" t="s">
        <v>898</v>
      </c>
      <c r="M458" t="s">
        <v>898</v>
      </c>
      <c r="N458" t="s">
        <v>898</v>
      </c>
      <c r="P458" t="s">
        <v>898</v>
      </c>
      <c r="Q458" t="s">
        <v>898</v>
      </c>
    </row>
    <row r="459">
      <c r="I459" t="s">
        <v>898</v>
      </c>
      <c r="J459" s="237" t="s">
        <v>898</v>
      </c>
      <c r="K459" s="238" t="s">
        <v>898</v>
      </c>
      <c r="L459" t="s">
        <v>898</v>
      </c>
      <c r="M459" t="s">
        <v>898</v>
      </c>
      <c r="N459" t="s">
        <v>898</v>
      </c>
      <c r="P459" t="s">
        <v>898</v>
      </c>
      <c r="Q459" t="s">
        <v>898</v>
      </c>
    </row>
    <row r="460">
      <c r="I460" t="s">
        <v>898</v>
      </c>
      <c r="J460" s="237" t="s">
        <v>898</v>
      </c>
      <c r="K460" s="238" t="s">
        <v>898</v>
      </c>
      <c r="L460" t="s">
        <v>898</v>
      </c>
      <c r="M460" t="s">
        <v>898</v>
      </c>
      <c r="N460" t="s">
        <v>898</v>
      </c>
      <c r="P460" t="s">
        <v>898</v>
      </c>
      <c r="Q460" t="s">
        <v>898</v>
      </c>
    </row>
    <row r="461">
      <c r="I461" t="s">
        <v>898</v>
      </c>
      <c r="J461" s="237" t="s">
        <v>898</v>
      </c>
      <c r="K461" s="238" t="s">
        <v>898</v>
      </c>
      <c r="L461" t="s">
        <v>898</v>
      </c>
      <c r="M461" t="s">
        <v>898</v>
      </c>
      <c r="N461" t="s">
        <v>898</v>
      </c>
      <c r="P461" t="s">
        <v>898</v>
      </c>
      <c r="Q461" t="s">
        <v>898</v>
      </c>
    </row>
    <row r="462">
      <c r="I462" t="s">
        <v>898</v>
      </c>
      <c r="J462" s="237" t="s">
        <v>898</v>
      </c>
      <c r="K462" s="238" t="s">
        <v>898</v>
      </c>
      <c r="L462" t="s">
        <v>898</v>
      </c>
      <c r="M462" t="s">
        <v>898</v>
      </c>
      <c r="N462" t="s">
        <v>898</v>
      </c>
      <c r="P462" t="s">
        <v>898</v>
      </c>
      <c r="Q462" t="s">
        <v>898</v>
      </c>
    </row>
    <row r="463">
      <c r="I463" t="s">
        <v>898</v>
      </c>
      <c r="J463" s="237" t="s">
        <v>898</v>
      </c>
      <c r="K463" s="238" t="s">
        <v>898</v>
      </c>
      <c r="L463" t="s">
        <v>898</v>
      </c>
      <c r="M463" t="s">
        <v>898</v>
      </c>
      <c r="N463" t="s">
        <v>898</v>
      </c>
      <c r="P463" t="s">
        <v>898</v>
      </c>
      <c r="Q463" t="s">
        <v>898</v>
      </c>
    </row>
    <row r="464">
      <c r="I464" t="s">
        <v>898</v>
      </c>
      <c r="J464" s="237" t="s">
        <v>898</v>
      </c>
      <c r="K464" s="238" t="s">
        <v>898</v>
      </c>
      <c r="L464" t="s">
        <v>898</v>
      </c>
      <c r="M464" t="s">
        <v>898</v>
      </c>
      <c r="N464" t="s">
        <v>898</v>
      </c>
      <c r="P464" t="s">
        <v>898</v>
      </c>
      <c r="Q464" t="s">
        <v>898</v>
      </c>
    </row>
    <row r="465">
      <c r="I465" t="s">
        <v>898</v>
      </c>
      <c r="J465" s="237" t="s">
        <v>898</v>
      </c>
      <c r="K465" s="238" t="s">
        <v>898</v>
      </c>
      <c r="L465" t="s">
        <v>898</v>
      </c>
      <c r="M465" t="s">
        <v>898</v>
      </c>
      <c r="N465" t="s">
        <v>898</v>
      </c>
      <c r="P465" t="s">
        <v>898</v>
      </c>
      <c r="Q465" t="s">
        <v>898</v>
      </c>
    </row>
    <row r="466">
      <c r="I466" t="s">
        <v>898</v>
      </c>
      <c r="J466" s="237" t="s">
        <v>898</v>
      </c>
      <c r="K466" s="238" t="s">
        <v>898</v>
      </c>
      <c r="L466" t="s">
        <v>898</v>
      </c>
      <c r="M466" t="s">
        <v>898</v>
      </c>
      <c r="N466" t="s">
        <v>898</v>
      </c>
      <c r="P466" t="s">
        <v>898</v>
      </c>
      <c r="Q466" t="s">
        <v>898</v>
      </c>
    </row>
    <row r="467">
      <c r="I467" t="s">
        <v>898</v>
      </c>
      <c r="J467" s="237" t="s">
        <v>898</v>
      </c>
      <c r="K467" s="238" t="s">
        <v>898</v>
      </c>
      <c r="L467" t="s">
        <v>898</v>
      </c>
      <c r="M467" t="s">
        <v>898</v>
      </c>
      <c r="N467" t="s">
        <v>898</v>
      </c>
      <c r="P467" t="s">
        <v>898</v>
      </c>
      <c r="Q467" t="s">
        <v>898</v>
      </c>
    </row>
    <row r="468">
      <c r="I468" t="s">
        <v>898</v>
      </c>
      <c r="J468" s="237" t="s">
        <v>898</v>
      </c>
      <c r="K468" s="238" t="s">
        <v>898</v>
      </c>
      <c r="L468" t="s">
        <v>898</v>
      </c>
      <c r="M468" t="s">
        <v>898</v>
      </c>
      <c r="N468" t="s">
        <v>898</v>
      </c>
      <c r="P468" t="s">
        <v>898</v>
      </c>
      <c r="Q468" t="s">
        <v>898</v>
      </c>
    </row>
    <row r="469">
      <c r="I469" t="s">
        <v>898</v>
      </c>
      <c r="J469" s="237" t="s">
        <v>898</v>
      </c>
      <c r="K469" s="238" t="s">
        <v>898</v>
      </c>
      <c r="L469" t="s">
        <v>898</v>
      </c>
      <c r="M469" t="s">
        <v>898</v>
      </c>
      <c r="N469" t="s">
        <v>898</v>
      </c>
      <c r="P469" t="s">
        <v>898</v>
      </c>
      <c r="Q469" t="s">
        <v>898</v>
      </c>
    </row>
    <row r="470">
      <c r="I470" t="s">
        <v>898</v>
      </c>
      <c r="J470" s="237" t="s">
        <v>898</v>
      </c>
      <c r="K470" s="238" t="s">
        <v>898</v>
      </c>
      <c r="L470" t="s">
        <v>898</v>
      </c>
      <c r="M470" t="s">
        <v>898</v>
      </c>
      <c r="N470" t="s">
        <v>898</v>
      </c>
      <c r="P470" t="s">
        <v>898</v>
      </c>
      <c r="Q470" t="s">
        <v>898</v>
      </c>
    </row>
    <row r="471">
      <c r="I471" t="s">
        <v>898</v>
      </c>
      <c r="J471" s="237" t="s">
        <v>898</v>
      </c>
      <c r="K471" s="238" t="s">
        <v>898</v>
      </c>
      <c r="L471" t="s">
        <v>898</v>
      </c>
      <c r="M471" t="s">
        <v>898</v>
      </c>
      <c r="N471" t="s">
        <v>898</v>
      </c>
      <c r="P471" t="s">
        <v>898</v>
      </c>
      <c r="Q471" t="s">
        <v>898</v>
      </c>
    </row>
    <row r="472">
      <c r="I472" t="s">
        <v>898</v>
      </c>
      <c r="J472" s="237" t="s">
        <v>898</v>
      </c>
      <c r="K472" s="238" t="s">
        <v>898</v>
      </c>
      <c r="L472" t="s">
        <v>898</v>
      </c>
      <c r="M472" t="s">
        <v>898</v>
      </c>
      <c r="N472" t="s">
        <v>898</v>
      </c>
      <c r="P472" t="s">
        <v>898</v>
      </c>
      <c r="Q472" t="s">
        <v>898</v>
      </c>
    </row>
    <row r="473">
      <c r="I473" t="s">
        <v>898</v>
      </c>
      <c r="J473" s="237" t="s">
        <v>898</v>
      </c>
      <c r="K473" s="238" t="s">
        <v>898</v>
      </c>
      <c r="L473" t="s">
        <v>898</v>
      </c>
      <c r="M473" t="s">
        <v>898</v>
      </c>
      <c r="N473" t="s">
        <v>898</v>
      </c>
      <c r="P473" t="s">
        <v>898</v>
      </c>
      <c r="Q473" t="s">
        <v>898</v>
      </c>
    </row>
    <row r="474">
      <c r="I474" t="s">
        <v>898</v>
      </c>
      <c r="J474" s="237" t="s">
        <v>898</v>
      </c>
      <c r="K474" s="238" t="s">
        <v>898</v>
      </c>
      <c r="L474" t="s">
        <v>898</v>
      </c>
      <c r="M474" t="s">
        <v>898</v>
      </c>
      <c r="N474" t="s">
        <v>898</v>
      </c>
      <c r="P474" t="s">
        <v>898</v>
      </c>
      <c r="Q474" t="s">
        <v>898</v>
      </c>
    </row>
    <row r="475">
      <c r="I475" t="s">
        <v>898</v>
      </c>
      <c r="J475" s="237" t="s">
        <v>898</v>
      </c>
      <c r="K475" s="238" t="s">
        <v>898</v>
      </c>
      <c r="L475" t="s">
        <v>898</v>
      </c>
      <c r="M475" t="s">
        <v>898</v>
      </c>
      <c r="N475" t="s">
        <v>898</v>
      </c>
      <c r="P475" t="s">
        <v>898</v>
      </c>
      <c r="Q475" t="s">
        <v>898</v>
      </c>
    </row>
    <row r="476">
      <c r="I476" t="s">
        <v>898</v>
      </c>
      <c r="J476" s="237" t="s">
        <v>898</v>
      </c>
      <c r="K476" s="238" t="s">
        <v>898</v>
      </c>
      <c r="L476" t="s">
        <v>898</v>
      </c>
      <c r="M476" t="s">
        <v>898</v>
      </c>
      <c r="N476" t="s">
        <v>898</v>
      </c>
      <c r="P476" t="s">
        <v>898</v>
      </c>
      <c r="Q476" t="s">
        <v>898</v>
      </c>
    </row>
    <row r="477">
      <c r="I477" t="s">
        <v>898</v>
      </c>
      <c r="J477" s="237" t="s">
        <v>898</v>
      </c>
      <c r="K477" s="238" t="s">
        <v>898</v>
      </c>
      <c r="L477" t="s">
        <v>898</v>
      </c>
      <c r="M477" t="s">
        <v>898</v>
      </c>
      <c r="N477" t="s">
        <v>898</v>
      </c>
      <c r="P477" t="s">
        <v>898</v>
      </c>
      <c r="Q477" t="s">
        <v>898</v>
      </c>
    </row>
    <row r="478">
      <c r="I478" t="s">
        <v>898</v>
      </c>
      <c r="J478" s="237" t="s">
        <v>898</v>
      </c>
      <c r="K478" s="238" t="s">
        <v>898</v>
      </c>
      <c r="L478" t="s">
        <v>898</v>
      </c>
      <c r="M478" t="s">
        <v>898</v>
      </c>
      <c r="N478" t="s">
        <v>898</v>
      </c>
      <c r="P478" t="s">
        <v>898</v>
      </c>
      <c r="Q478" t="s">
        <v>898</v>
      </c>
    </row>
    <row r="479">
      <c r="I479" t="s">
        <v>898</v>
      </c>
      <c r="J479" s="237" t="s">
        <v>898</v>
      </c>
      <c r="K479" s="238" t="s">
        <v>898</v>
      </c>
      <c r="L479" t="s">
        <v>898</v>
      </c>
      <c r="M479" t="s">
        <v>898</v>
      </c>
      <c r="N479" t="s">
        <v>898</v>
      </c>
      <c r="P479" t="s">
        <v>898</v>
      </c>
      <c r="Q479" t="s">
        <v>898</v>
      </c>
    </row>
    <row r="480">
      <c r="I480" t="s">
        <v>898</v>
      </c>
      <c r="J480" s="237" t="s">
        <v>898</v>
      </c>
      <c r="K480" s="238" t="s">
        <v>898</v>
      </c>
      <c r="L480" t="s">
        <v>898</v>
      </c>
      <c r="M480" t="s">
        <v>898</v>
      </c>
      <c r="N480" t="s">
        <v>898</v>
      </c>
      <c r="P480" t="s">
        <v>898</v>
      </c>
      <c r="Q480" t="s">
        <v>898</v>
      </c>
    </row>
    <row r="481">
      <c r="I481" t="s">
        <v>898</v>
      </c>
      <c r="J481" s="237" t="s">
        <v>898</v>
      </c>
      <c r="K481" s="238" t="s">
        <v>898</v>
      </c>
      <c r="L481" t="s">
        <v>898</v>
      </c>
      <c r="M481" t="s">
        <v>898</v>
      </c>
      <c r="N481" t="s">
        <v>898</v>
      </c>
      <c r="P481" t="s">
        <v>898</v>
      </c>
      <c r="Q481" t="s">
        <v>898</v>
      </c>
    </row>
    <row r="482">
      <c r="I482" t="s">
        <v>898</v>
      </c>
      <c r="J482" s="237" t="s">
        <v>898</v>
      </c>
      <c r="K482" s="238" t="s">
        <v>898</v>
      </c>
      <c r="L482" t="s">
        <v>898</v>
      </c>
      <c r="M482" t="s">
        <v>898</v>
      </c>
      <c r="N482" t="s">
        <v>898</v>
      </c>
      <c r="P482" t="s">
        <v>898</v>
      </c>
      <c r="Q482" t="s">
        <v>898</v>
      </c>
    </row>
    <row r="483">
      <c r="I483" t="s">
        <v>898</v>
      </c>
      <c r="J483" s="237" t="s">
        <v>898</v>
      </c>
      <c r="K483" s="238" t="s">
        <v>898</v>
      </c>
      <c r="L483" t="s">
        <v>898</v>
      </c>
      <c r="M483" t="s">
        <v>898</v>
      </c>
      <c r="N483" t="s">
        <v>898</v>
      </c>
      <c r="P483" t="s">
        <v>898</v>
      </c>
      <c r="Q483" t="s">
        <v>898</v>
      </c>
    </row>
    <row r="484">
      <c r="I484" t="s">
        <v>898</v>
      </c>
      <c r="J484" s="237" t="s">
        <v>898</v>
      </c>
      <c r="K484" s="238" t="s">
        <v>898</v>
      </c>
      <c r="L484" t="s">
        <v>898</v>
      </c>
      <c r="M484" t="s">
        <v>898</v>
      </c>
      <c r="N484" t="s">
        <v>898</v>
      </c>
      <c r="P484" t="s">
        <v>898</v>
      </c>
      <c r="Q484" t="s">
        <v>898</v>
      </c>
    </row>
    <row r="485">
      <c r="I485" t="s">
        <v>898</v>
      </c>
      <c r="J485" s="237" t="s">
        <v>898</v>
      </c>
      <c r="K485" s="238" t="s">
        <v>898</v>
      </c>
      <c r="L485" t="s">
        <v>898</v>
      </c>
      <c r="M485" t="s">
        <v>898</v>
      </c>
      <c r="N485" t="s">
        <v>898</v>
      </c>
      <c r="P485" t="s">
        <v>898</v>
      </c>
      <c r="Q485" t="s">
        <v>898</v>
      </c>
    </row>
    <row r="486">
      <c r="I486" t="s">
        <v>898</v>
      </c>
      <c r="J486" s="237" t="s">
        <v>898</v>
      </c>
      <c r="K486" s="238" t="s">
        <v>898</v>
      </c>
      <c r="L486" t="s">
        <v>898</v>
      </c>
      <c r="M486" t="s">
        <v>898</v>
      </c>
      <c r="N486" t="s">
        <v>898</v>
      </c>
      <c r="P486" t="s">
        <v>898</v>
      </c>
      <c r="Q486" t="s">
        <v>898</v>
      </c>
    </row>
    <row r="487">
      <c r="I487" t="s">
        <v>898</v>
      </c>
      <c r="J487" s="237" t="s">
        <v>898</v>
      </c>
      <c r="K487" s="238" t="s">
        <v>898</v>
      </c>
      <c r="L487" t="s">
        <v>898</v>
      </c>
      <c r="M487" t="s">
        <v>898</v>
      </c>
      <c r="N487" t="s">
        <v>898</v>
      </c>
      <c r="P487" t="s">
        <v>898</v>
      </c>
      <c r="Q487" t="s">
        <v>898</v>
      </c>
    </row>
    <row r="488">
      <c r="I488" t="s">
        <v>898</v>
      </c>
      <c r="J488" s="237" t="s">
        <v>898</v>
      </c>
      <c r="K488" s="238" t="s">
        <v>898</v>
      </c>
      <c r="L488" t="s">
        <v>898</v>
      </c>
      <c r="M488" t="s">
        <v>898</v>
      </c>
      <c r="N488" t="s">
        <v>898</v>
      </c>
      <c r="P488" t="s">
        <v>898</v>
      </c>
      <c r="Q488" t="s">
        <v>898</v>
      </c>
    </row>
    <row r="489">
      <c r="I489" t="s">
        <v>898</v>
      </c>
      <c r="J489" s="237" t="s">
        <v>898</v>
      </c>
      <c r="K489" s="238" t="s">
        <v>898</v>
      </c>
      <c r="L489" t="s">
        <v>898</v>
      </c>
      <c r="M489" t="s">
        <v>898</v>
      </c>
      <c r="N489" t="s">
        <v>898</v>
      </c>
      <c r="P489" t="s">
        <v>898</v>
      </c>
      <c r="Q489" t="s">
        <v>898</v>
      </c>
    </row>
    <row r="490">
      <c r="I490" t="s">
        <v>898</v>
      </c>
      <c r="J490" s="237" t="s">
        <v>898</v>
      </c>
      <c r="K490" s="238" t="s">
        <v>898</v>
      </c>
      <c r="L490" t="s">
        <v>898</v>
      </c>
      <c r="M490" t="s">
        <v>898</v>
      </c>
      <c r="N490" t="s">
        <v>898</v>
      </c>
      <c r="P490" t="s">
        <v>898</v>
      </c>
      <c r="Q490" t="s">
        <v>898</v>
      </c>
    </row>
    <row r="491">
      <c r="I491" t="s">
        <v>898</v>
      </c>
      <c r="J491" s="237" t="s">
        <v>898</v>
      </c>
      <c r="K491" s="238" t="s">
        <v>898</v>
      </c>
      <c r="L491" t="s">
        <v>898</v>
      </c>
      <c r="M491" t="s">
        <v>898</v>
      </c>
      <c r="N491" t="s">
        <v>898</v>
      </c>
      <c r="P491" t="s">
        <v>898</v>
      </c>
      <c r="Q491" t="s">
        <v>898</v>
      </c>
    </row>
    <row r="492">
      <c r="I492" t="s">
        <v>898</v>
      </c>
      <c r="J492" s="237" t="s">
        <v>898</v>
      </c>
      <c r="K492" s="238" t="s">
        <v>898</v>
      </c>
      <c r="L492" t="s">
        <v>898</v>
      </c>
      <c r="M492" t="s">
        <v>898</v>
      </c>
      <c r="N492" t="s">
        <v>898</v>
      </c>
      <c r="P492" t="s">
        <v>898</v>
      </c>
      <c r="Q492" t="s">
        <v>898</v>
      </c>
    </row>
    <row r="493">
      <c r="I493" t="s">
        <v>898</v>
      </c>
      <c r="J493" s="237" t="s">
        <v>898</v>
      </c>
      <c r="K493" s="238" t="s">
        <v>898</v>
      </c>
      <c r="L493" t="s">
        <v>898</v>
      </c>
      <c r="M493" t="s">
        <v>898</v>
      </c>
      <c r="N493" t="s">
        <v>898</v>
      </c>
      <c r="P493" t="s">
        <v>898</v>
      </c>
      <c r="Q493" t="s">
        <v>898</v>
      </c>
    </row>
    <row r="494">
      <c r="I494" t="s">
        <v>898</v>
      </c>
      <c r="J494" s="237" t="s">
        <v>898</v>
      </c>
      <c r="K494" s="238" t="s">
        <v>898</v>
      </c>
      <c r="L494" t="s">
        <v>898</v>
      </c>
      <c r="M494" t="s">
        <v>898</v>
      </c>
      <c r="N494" t="s">
        <v>898</v>
      </c>
      <c r="P494" t="s">
        <v>898</v>
      </c>
      <c r="Q494" t="s">
        <v>898</v>
      </c>
    </row>
    <row r="495">
      <c r="I495" t="s">
        <v>898</v>
      </c>
      <c r="J495" s="237" t="s">
        <v>898</v>
      </c>
      <c r="K495" s="238" t="s">
        <v>898</v>
      </c>
      <c r="L495" t="s">
        <v>898</v>
      </c>
      <c r="M495" t="s">
        <v>898</v>
      </c>
      <c r="N495" t="s">
        <v>898</v>
      </c>
      <c r="P495" t="s">
        <v>898</v>
      </c>
      <c r="Q495" t="s">
        <v>898</v>
      </c>
    </row>
    <row r="496">
      <c r="I496" t="s">
        <v>898</v>
      </c>
      <c r="J496" s="237" t="s">
        <v>898</v>
      </c>
      <c r="K496" s="238" t="s">
        <v>898</v>
      </c>
      <c r="L496" t="s">
        <v>898</v>
      </c>
      <c r="M496" t="s">
        <v>898</v>
      </c>
      <c r="N496" t="s">
        <v>898</v>
      </c>
      <c r="P496" t="s">
        <v>898</v>
      </c>
      <c r="Q496" t="s">
        <v>898</v>
      </c>
    </row>
    <row r="497">
      <c r="I497" t="s">
        <v>898</v>
      </c>
      <c r="J497" s="237" t="s">
        <v>898</v>
      </c>
      <c r="K497" s="238" t="s">
        <v>898</v>
      </c>
      <c r="L497" t="s">
        <v>898</v>
      </c>
      <c r="M497" t="s">
        <v>898</v>
      </c>
      <c r="N497" t="s">
        <v>898</v>
      </c>
      <c r="P497" t="s">
        <v>898</v>
      </c>
      <c r="Q497" t="s">
        <v>898</v>
      </c>
    </row>
    <row r="498">
      <c r="I498" t="s">
        <v>898</v>
      </c>
      <c r="J498" s="237" t="s">
        <v>898</v>
      </c>
      <c r="K498" s="238" t="s">
        <v>898</v>
      </c>
      <c r="L498" t="s">
        <v>898</v>
      </c>
      <c r="M498" t="s">
        <v>898</v>
      </c>
      <c r="N498" t="s">
        <v>898</v>
      </c>
      <c r="P498" t="s">
        <v>898</v>
      </c>
      <c r="Q498" t="s">
        <v>898</v>
      </c>
    </row>
    <row r="499">
      <c r="I499" t="s">
        <v>898</v>
      </c>
      <c r="J499" s="237" t="s">
        <v>898</v>
      </c>
      <c r="K499" s="238" t="s">
        <v>898</v>
      </c>
      <c r="L499" t="s">
        <v>898</v>
      </c>
      <c r="M499" t="s">
        <v>898</v>
      </c>
      <c r="N499" t="s">
        <v>898</v>
      </c>
      <c r="P499" t="s">
        <v>898</v>
      </c>
      <c r="Q499" t="s">
        <v>898</v>
      </c>
    </row>
    <row r="500">
      <c r="I500" t="s">
        <v>898</v>
      </c>
      <c r="J500" s="237" t="s">
        <v>898</v>
      </c>
      <c r="K500" s="238" t="s">
        <v>898</v>
      </c>
      <c r="L500" t="s">
        <v>898</v>
      </c>
      <c r="M500" t="s">
        <v>898</v>
      </c>
      <c r="N500" t="s">
        <v>898</v>
      </c>
      <c r="P500" t="s">
        <v>898</v>
      </c>
      <c r="Q500" t="s">
        <v>898</v>
      </c>
    </row>
    <row r="501">
      <c r="I501" t="s">
        <v>898</v>
      </c>
      <c r="J501" s="237" t="s">
        <v>898</v>
      </c>
      <c r="K501" s="238" t="s">
        <v>898</v>
      </c>
      <c r="L501" t="s">
        <v>898</v>
      </c>
      <c r="M501" t="s">
        <v>898</v>
      </c>
      <c r="N501" t="s">
        <v>898</v>
      </c>
      <c r="P501" t="s">
        <v>898</v>
      </c>
      <c r="Q501" t="s">
        <v>898</v>
      </c>
    </row>
    <row r="502">
      <c r="I502" t="s">
        <v>898</v>
      </c>
      <c r="J502" s="237" t="s">
        <v>898</v>
      </c>
      <c r="K502" s="238" t="s">
        <v>898</v>
      </c>
      <c r="L502" t="s">
        <v>898</v>
      </c>
      <c r="M502" t="s">
        <v>898</v>
      </c>
      <c r="N502" t="s">
        <v>898</v>
      </c>
      <c r="P502" t="s">
        <v>898</v>
      </c>
      <c r="Q502" t="s">
        <v>898</v>
      </c>
    </row>
    <row r="503">
      <c r="I503" t="s">
        <v>898</v>
      </c>
      <c r="J503" s="237" t="s">
        <v>898</v>
      </c>
      <c r="K503" s="238" t="s">
        <v>898</v>
      </c>
      <c r="L503" t="s">
        <v>898</v>
      </c>
      <c r="M503" t="s">
        <v>898</v>
      </c>
      <c r="N503" t="s">
        <v>898</v>
      </c>
      <c r="P503" t="s">
        <v>898</v>
      </c>
      <c r="Q503" t="s">
        <v>898</v>
      </c>
    </row>
    <row r="504">
      <c r="I504" t="s">
        <v>898</v>
      </c>
      <c r="J504" s="237" t="s">
        <v>898</v>
      </c>
      <c r="K504" s="238" t="s">
        <v>898</v>
      </c>
      <c r="L504" t="s">
        <v>898</v>
      </c>
      <c r="M504" t="s">
        <v>898</v>
      </c>
      <c r="N504" t="s">
        <v>898</v>
      </c>
      <c r="P504" t="s">
        <v>898</v>
      </c>
      <c r="Q504" t="s">
        <v>898</v>
      </c>
    </row>
    <row r="505">
      <c r="I505" t="s">
        <v>898</v>
      </c>
      <c r="J505" s="237" t="s">
        <v>898</v>
      </c>
      <c r="K505" s="238" t="s">
        <v>898</v>
      </c>
      <c r="L505" t="s">
        <v>898</v>
      </c>
      <c r="M505" t="s">
        <v>898</v>
      </c>
      <c r="N505" t="s">
        <v>898</v>
      </c>
      <c r="P505" t="s">
        <v>898</v>
      </c>
      <c r="Q505" t="s">
        <v>898</v>
      </c>
    </row>
    <row r="506">
      <c r="I506" t="s">
        <v>898</v>
      </c>
      <c r="J506" s="237" t="s">
        <v>898</v>
      </c>
      <c r="K506" s="238" t="s">
        <v>898</v>
      </c>
      <c r="L506" t="s">
        <v>898</v>
      </c>
      <c r="M506" t="s">
        <v>898</v>
      </c>
      <c r="N506" t="s">
        <v>898</v>
      </c>
      <c r="P506" t="s">
        <v>898</v>
      </c>
      <c r="Q506" t="s">
        <v>898</v>
      </c>
    </row>
    <row r="507">
      <c r="I507" t="s">
        <v>898</v>
      </c>
      <c r="J507" s="237" t="s">
        <v>898</v>
      </c>
      <c r="K507" s="238" t="s">
        <v>898</v>
      </c>
      <c r="L507" t="s">
        <v>898</v>
      </c>
      <c r="M507" t="s">
        <v>898</v>
      </c>
      <c r="N507" t="s">
        <v>898</v>
      </c>
      <c r="P507" t="s">
        <v>898</v>
      </c>
      <c r="Q507" t="s">
        <v>898</v>
      </c>
    </row>
    <row r="508">
      <c r="I508" t="s">
        <v>898</v>
      </c>
      <c r="J508" s="237" t="s">
        <v>898</v>
      </c>
      <c r="K508" s="238" t="s">
        <v>898</v>
      </c>
      <c r="L508" t="s">
        <v>898</v>
      </c>
      <c r="M508" t="s">
        <v>898</v>
      </c>
      <c r="N508" t="s">
        <v>898</v>
      </c>
      <c r="P508" t="s">
        <v>898</v>
      </c>
      <c r="Q508" t="s">
        <v>898</v>
      </c>
    </row>
    <row r="509">
      <c r="I509" t="s">
        <v>898</v>
      </c>
      <c r="J509" s="237" t="s">
        <v>898</v>
      </c>
      <c r="K509" s="238" t="s">
        <v>898</v>
      </c>
      <c r="L509" t="s">
        <v>898</v>
      </c>
      <c r="M509" t="s">
        <v>898</v>
      </c>
      <c r="N509" t="s">
        <v>898</v>
      </c>
      <c r="P509" t="s">
        <v>898</v>
      </c>
      <c r="Q509" t="s">
        <v>898</v>
      </c>
    </row>
    <row r="510">
      <c r="I510" t="s">
        <v>898</v>
      </c>
      <c r="J510" s="237" t="s">
        <v>898</v>
      </c>
      <c r="K510" s="238" t="s">
        <v>898</v>
      </c>
      <c r="L510" t="s">
        <v>898</v>
      </c>
      <c r="M510" t="s">
        <v>898</v>
      </c>
      <c r="N510" t="s">
        <v>898</v>
      </c>
      <c r="P510" t="s">
        <v>898</v>
      </c>
      <c r="Q510" t="s">
        <v>898</v>
      </c>
    </row>
    <row r="511">
      <c r="I511" t="s">
        <v>898</v>
      </c>
      <c r="J511" s="237" t="s">
        <v>898</v>
      </c>
      <c r="K511" s="238" t="s">
        <v>898</v>
      </c>
      <c r="L511" t="s">
        <v>898</v>
      </c>
      <c r="M511" t="s">
        <v>898</v>
      </c>
      <c r="N511" t="s">
        <v>898</v>
      </c>
      <c r="P511" t="s">
        <v>898</v>
      </c>
      <c r="Q511" t="s">
        <v>898</v>
      </c>
    </row>
    <row r="512">
      <c r="I512" t="s">
        <v>898</v>
      </c>
      <c r="J512" s="237" t="s">
        <v>898</v>
      </c>
      <c r="K512" s="238" t="s">
        <v>898</v>
      </c>
      <c r="L512" t="s">
        <v>898</v>
      </c>
      <c r="M512" t="s">
        <v>898</v>
      </c>
      <c r="N512" t="s">
        <v>898</v>
      </c>
      <c r="P512" t="s">
        <v>898</v>
      </c>
      <c r="Q512" t="s">
        <v>898</v>
      </c>
    </row>
    <row r="513">
      <c r="I513" t="s">
        <v>898</v>
      </c>
      <c r="J513" s="237" t="s">
        <v>898</v>
      </c>
      <c r="K513" s="238" t="s">
        <v>898</v>
      </c>
      <c r="L513" t="s">
        <v>898</v>
      </c>
      <c r="M513" t="s">
        <v>898</v>
      </c>
      <c r="N513" t="s">
        <v>898</v>
      </c>
      <c r="P513" t="s">
        <v>898</v>
      </c>
      <c r="Q513" t="s">
        <v>898</v>
      </c>
    </row>
    <row r="514">
      <c r="I514" t="s">
        <v>898</v>
      </c>
      <c r="J514" s="237" t="s">
        <v>898</v>
      </c>
      <c r="K514" s="238" t="s">
        <v>898</v>
      </c>
      <c r="L514" t="s">
        <v>898</v>
      </c>
      <c r="M514" t="s">
        <v>898</v>
      </c>
      <c r="N514" t="s">
        <v>898</v>
      </c>
      <c r="P514" t="s">
        <v>898</v>
      </c>
      <c r="Q514" t="s">
        <v>898</v>
      </c>
    </row>
    <row r="515">
      <c r="I515" t="s">
        <v>898</v>
      </c>
      <c r="J515" s="237" t="s">
        <v>898</v>
      </c>
      <c r="K515" s="238" t="s">
        <v>898</v>
      </c>
      <c r="L515" t="s">
        <v>898</v>
      </c>
      <c r="M515" t="s">
        <v>898</v>
      </c>
      <c r="N515" t="s">
        <v>898</v>
      </c>
      <c r="P515" t="s">
        <v>898</v>
      </c>
      <c r="Q515" t="s">
        <v>898</v>
      </c>
    </row>
    <row r="516">
      <c r="I516" t="s">
        <v>898</v>
      </c>
      <c r="J516" s="237" t="s">
        <v>898</v>
      </c>
      <c r="K516" s="238" t="s">
        <v>898</v>
      </c>
      <c r="L516" t="s">
        <v>898</v>
      </c>
      <c r="M516" t="s">
        <v>898</v>
      </c>
      <c r="N516" t="s">
        <v>898</v>
      </c>
      <c r="P516" t="s">
        <v>898</v>
      </c>
      <c r="Q516" t="s">
        <v>898</v>
      </c>
    </row>
    <row r="517">
      <c r="I517" t="s">
        <v>898</v>
      </c>
      <c r="J517" s="237" t="s">
        <v>898</v>
      </c>
      <c r="K517" s="238" t="s">
        <v>898</v>
      </c>
      <c r="L517" t="s">
        <v>898</v>
      </c>
      <c r="M517" t="s">
        <v>898</v>
      </c>
      <c r="N517" t="s">
        <v>898</v>
      </c>
      <c r="P517" t="s">
        <v>898</v>
      </c>
      <c r="Q517" t="s">
        <v>898</v>
      </c>
    </row>
    <row r="518">
      <c r="I518" t="s">
        <v>898</v>
      </c>
      <c r="J518" s="237" t="s">
        <v>898</v>
      </c>
      <c r="K518" s="238" t="s">
        <v>898</v>
      </c>
      <c r="L518" t="s">
        <v>898</v>
      </c>
      <c r="M518" t="s">
        <v>898</v>
      </c>
      <c r="N518" t="s">
        <v>898</v>
      </c>
      <c r="P518" t="s">
        <v>898</v>
      </c>
      <c r="Q518" t="s">
        <v>898</v>
      </c>
    </row>
    <row r="519">
      <c r="I519" t="s">
        <v>898</v>
      </c>
      <c r="J519" s="237" t="s">
        <v>898</v>
      </c>
      <c r="K519" s="238" t="s">
        <v>898</v>
      </c>
      <c r="L519" t="s">
        <v>898</v>
      </c>
      <c r="M519" t="s">
        <v>898</v>
      </c>
      <c r="N519" t="s">
        <v>898</v>
      </c>
      <c r="P519" t="s">
        <v>898</v>
      </c>
      <c r="Q519" t="s">
        <v>898</v>
      </c>
    </row>
    <row r="520">
      <c r="I520" t="s">
        <v>898</v>
      </c>
      <c r="J520" s="237" t="s">
        <v>898</v>
      </c>
      <c r="K520" s="238" t="s">
        <v>898</v>
      </c>
      <c r="L520" t="s">
        <v>898</v>
      </c>
      <c r="M520" t="s">
        <v>898</v>
      </c>
      <c r="N520" t="s">
        <v>898</v>
      </c>
      <c r="P520" t="s">
        <v>898</v>
      </c>
      <c r="Q520" t="s">
        <v>898</v>
      </c>
    </row>
    <row r="521">
      <c r="I521" t="s">
        <v>898</v>
      </c>
      <c r="J521" s="237" t="s">
        <v>898</v>
      </c>
      <c r="K521" s="238" t="s">
        <v>898</v>
      </c>
      <c r="L521" t="s">
        <v>898</v>
      </c>
      <c r="M521" t="s">
        <v>898</v>
      </c>
      <c r="N521" t="s">
        <v>898</v>
      </c>
      <c r="P521" t="s">
        <v>898</v>
      </c>
      <c r="Q521" t="s">
        <v>898</v>
      </c>
    </row>
    <row r="522">
      <c r="I522" t="s">
        <v>898</v>
      </c>
      <c r="J522" s="237" t="s">
        <v>898</v>
      </c>
      <c r="K522" s="238" t="s">
        <v>898</v>
      </c>
      <c r="L522" t="s">
        <v>898</v>
      </c>
      <c r="M522" t="s">
        <v>898</v>
      </c>
      <c r="N522" t="s">
        <v>898</v>
      </c>
      <c r="P522" t="s">
        <v>898</v>
      </c>
      <c r="Q522" t="s">
        <v>898</v>
      </c>
    </row>
    <row r="523">
      <c r="I523" t="s">
        <v>898</v>
      </c>
      <c r="J523" s="237" t="s">
        <v>898</v>
      </c>
      <c r="K523" s="238" t="s">
        <v>898</v>
      </c>
      <c r="L523" t="s">
        <v>898</v>
      </c>
      <c r="M523" t="s">
        <v>898</v>
      </c>
      <c r="N523" t="s">
        <v>898</v>
      </c>
      <c r="P523" t="s">
        <v>898</v>
      </c>
      <c r="Q523" t="s">
        <v>898</v>
      </c>
    </row>
    <row r="524">
      <c r="I524" t="s">
        <v>898</v>
      </c>
      <c r="J524" s="237" t="s">
        <v>898</v>
      </c>
      <c r="K524" s="238" t="s">
        <v>898</v>
      </c>
      <c r="L524" t="s">
        <v>898</v>
      </c>
      <c r="M524" t="s">
        <v>898</v>
      </c>
      <c r="N524" t="s">
        <v>898</v>
      </c>
      <c r="P524" t="s">
        <v>898</v>
      </c>
      <c r="Q524" t="s">
        <v>898</v>
      </c>
    </row>
    <row r="525">
      <c r="I525" t="s">
        <v>898</v>
      </c>
      <c r="J525" s="237" t="s">
        <v>898</v>
      </c>
      <c r="K525" s="238" t="s">
        <v>898</v>
      </c>
      <c r="L525" t="s">
        <v>898</v>
      </c>
      <c r="M525" t="s">
        <v>898</v>
      </c>
      <c r="N525" t="s">
        <v>898</v>
      </c>
      <c r="P525" t="s">
        <v>898</v>
      </c>
      <c r="Q525" t="s">
        <v>898</v>
      </c>
    </row>
    <row r="526">
      <c r="I526" t="s">
        <v>898</v>
      </c>
      <c r="J526" s="237" t="s">
        <v>898</v>
      </c>
      <c r="K526" s="238" t="s">
        <v>898</v>
      </c>
      <c r="L526" t="s">
        <v>898</v>
      </c>
      <c r="M526" t="s">
        <v>898</v>
      </c>
      <c r="N526" t="s">
        <v>898</v>
      </c>
      <c r="P526" t="s">
        <v>898</v>
      </c>
      <c r="Q526" t="s">
        <v>898</v>
      </c>
    </row>
    <row r="527">
      <c r="I527" t="s">
        <v>898</v>
      </c>
      <c r="J527" s="237" t="s">
        <v>898</v>
      </c>
      <c r="K527" s="238" t="s">
        <v>898</v>
      </c>
      <c r="L527" t="s">
        <v>898</v>
      </c>
      <c r="M527" t="s">
        <v>898</v>
      </c>
      <c r="N527" t="s">
        <v>898</v>
      </c>
      <c r="P527" t="s">
        <v>898</v>
      </c>
      <c r="Q527" t="s">
        <v>898</v>
      </c>
    </row>
    <row r="528">
      <c r="I528" t="s">
        <v>898</v>
      </c>
      <c r="J528" s="237" t="s">
        <v>898</v>
      </c>
      <c r="K528" s="238" t="s">
        <v>898</v>
      </c>
      <c r="L528" t="s">
        <v>898</v>
      </c>
      <c r="M528" t="s">
        <v>898</v>
      </c>
      <c r="N528" t="s">
        <v>898</v>
      </c>
      <c r="P528" t="s">
        <v>898</v>
      </c>
      <c r="Q528" t="s">
        <v>898</v>
      </c>
    </row>
    <row r="529">
      <c r="I529" t="s">
        <v>898</v>
      </c>
      <c r="J529" s="237" t="s">
        <v>898</v>
      </c>
      <c r="K529" s="238" t="s">
        <v>898</v>
      </c>
      <c r="L529" t="s">
        <v>898</v>
      </c>
      <c r="M529" t="s">
        <v>898</v>
      </c>
      <c r="N529" t="s">
        <v>898</v>
      </c>
      <c r="P529" t="s">
        <v>898</v>
      </c>
      <c r="Q529" t="s">
        <v>898</v>
      </c>
    </row>
    <row r="530">
      <c r="I530" t="s">
        <v>898</v>
      </c>
      <c r="J530" s="237" t="s">
        <v>898</v>
      </c>
      <c r="K530" s="238" t="s">
        <v>898</v>
      </c>
      <c r="L530" t="s">
        <v>898</v>
      </c>
      <c r="M530" t="s">
        <v>898</v>
      </c>
      <c r="N530" t="s">
        <v>898</v>
      </c>
      <c r="P530" t="s">
        <v>898</v>
      </c>
      <c r="Q530" t="s">
        <v>898</v>
      </c>
    </row>
    <row r="531">
      <c r="I531" t="s">
        <v>898</v>
      </c>
      <c r="J531" s="237" t="s">
        <v>898</v>
      </c>
      <c r="K531" s="238" t="s">
        <v>898</v>
      </c>
      <c r="L531" t="s">
        <v>898</v>
      </c>
      <c r="M531" t="s">
        <v>898</v>
      </c>
      <c r="N531" t="s">
        <v>898</v>
      </c>
      <c r="P531" t="s">
        <v>898</v>
      </c>
      <c r="Q531" t="s">
        <v>898</v>
      </c>
    </row>
    <row r="532">
      <c r="I532" t="s">
        <v>898</v>
      </c>
      <c r="J532" s="237" t="s">
        <v>898</v>
      </c>
      <c r="K532" s="238" t="s">
        <v>898</v>
      </c>
      <c r="L532" t="s">
        <v>898</v>
      </c>
      <c r="M532" t="s">
        <v>898</v>
      </c>
      <c r="N532" t="s">
        <v>898</v>
      </c>
      <c r="P532" t="s">
        <v>898</v>
      </c>
      <c r="Q532" t="s">
        <v>898</v>
      </c>
    </row>
    <row r="533">
      <c r="I533" t="s">
        <v>898</v>
      </c>
      <c r="J533" s="237" t="s">
        <v>898</v>
      </c>
      <c r="K533" s="238" t="s">
        <v>898</v>
      </c>
      <c r="L533" t="s">
        <v>898</v>
      </c>
      <c r="M533" t="s">
        <v>898</v>
      </c>
      <c r="N533" t="s">
        <v>898</v>
      </c>
      <c r="P533" t="s">
        <v>898</v>
      </c>
      <c r="Q533" t="s">
        <v>898</v>
      </c>
    </row>
    <row r="534">
      <c r="I534" t="s">
        <v>898</v>
      </c>
      <c r="J534" s="237" t="s">
        <v>898</v>
      </c>
      <c r="K534" s="238" t="s">
        <v>898</v>
      </c>
      <c r="L534" t="s">
        <v>898</v>
      </c>
      <c r="M534" t="s">
        <v>898</v>
      </c>
      <c r="N534" t="s">
        <v>898</v>
      </c>
      <c r="P534" t="s">
        <v>898</v>
      </c>
      <c r="Q534" t="s">
        <v>898</v>
      </c>
    </row>
    <row r="535">
      <c r="I535" t="s">
        <v>898</v>
      </c>
      <c r="J535" s="237" t="s">
        <v>898</v>
      </c>
      <c r="K535" s="238" t="s">
        <v>898</v>
      </c>
      <c r="L535" t="s">
        <v>898</v>
      </c>
      <c r="M535" t="s">
        <v>898</v>
      </c>
      <c r="N535" t="s">
        <v>898</v>
      </c>
      <c r="P535" t="s">
        <v>898</v>
      </c>
      <c r="Q535" t="s">
        <v>898</v>
      </c>
    </row>
    <row r="536">
      <c r="I536" t="s">
        <v>898</v>
      </c>
      <c r="J536" s="237" t="s">
        <v>898</v>
      </c>
      <c r="K536" s="238" t="s">
        <v>898</v>
      </c>
      <c r="L536" t="s">
        <v>898</v>
      </c>
      <c r="M536" t="s">
        <v>898</v>
      </c>
      <c r="N536" t="s">
        <v>898</v>
      </c>
      <c r="P536" t="s">
        <v>898</v>
      </c>
      <c r="Q536" t="s">
        <v>898</v>
      </c>
    </row>
    <row r="537">
      <c r="I537" t="s">
        <v>898</v>
      </c>
      <c r="J537" s="237" t="s">
        <v>898</v>
      </c>
      <c r="K537" s="238" t="s">
        <v>898</v>
      </c>
      <c r="L537" t="s">
        <v>898</v>
      </c>
      <c r="M537" t="s">
        <v>898</v>
      </c>
      <c r="N537" t="s">
        <v>898</v>
      </c>
      <c r="P537" t="s">
        <v>898</v>
      </c>
      <c r="Q537" t="s">
        <v>898</v>
      </c>
    </row>
    <row r="538">
      <c r="I538" t="s">
        <v>898</v>
      </c>
      <c r="J538" s="237" t="s">
        <v>898</v>
      </c>
      <c r="K538" s="238" t="s">
        <v>898</v>
      </c>
      <c r="L538" t="s">
        <v>898</v>
      </c>
      <c r="M538" t="s">
        <v>898</v>
      </c>
      <c r="N538" t="s">
        <v>898</v>
      </c>
      <c r="P538" t="s">
        <v>898</v>
      </c>
      <c r="Q538" t="s">
        <v>898</v>
      </c>
    </row>
    <row r="539">
      <c r="I539" t="s">
        <v>898</v>
      </c>
      <c r="J539" s="237" t="s">
        <v>898</v>
      </c>
      <c r="K539" s="238" t="s">
        <v>898</v>
      </c>
      <c r="L539" t="s">
        <v>898</v>
      </c>
      <c r="M539" t="s">
        <v>898</v>
      </c>
      <c r="N539" t="s">
        <v>898</v>
      </c>
      <c r="P539" t="s">
        <v>898</v>
      </c>
      <c r="Q539" t="s">
        <v>898</v>
      </c>
    </row>
    <row r="540">
      <c r="I540" t="s">
        <v>898</v>
      </c>
      <c r="J540" s="237" t="s">
        <v>898</v>
      </c>
      <c r="K540" s="238" t="s">
        <v>898</v>
      </c>
      <c r="L540" t="s">
        <v>898</v>
      </c>
      <c r="M540" t="s">
        <v>898</v>
      </c>
      <c r="N540" t="s">
        <v>898</v>
      </c>
      <c r="P540" t="s">
        <v>898</v>
      </c>
      <c r="Q540" t="s">
        <v>898</v>
      </c>
    </row>
    <row r="541">
      <c r="I541" t="s">
        <v>898</v>
      </c>
      <c r="J541" s="237" t="s">
        <v>898</v>
      </c>
      <c r="K541" s="238" t="s">
        <v>898</v>
      </c>
      <c r="L541" t="s">
        <v>898</v>
      </c>
      <c r="M541" t="s">
        <v>898</v>
      </c>
      <c r="N541" t="s">
        <v>898</v>
      </c>
      <c r="P541" t="s">
        <v>898</v>
      </c>
      <c r="Q541" t="s">
        <v>898</v>
      </c>
    </row>
    <row r="542">
      <c r="I542" t="s">
        <v>898</v>
      </c>
      <c r="J542" s="237" t="s">
        <v>898</v>
      </c>
      <c r="K542" s="238" t="s">
        <v>898</v>
      </c>
      <c r="L542" t="s">
        <v>898</v>
      </c>
      <c r="M542" t="s">
        <v>898</v>
      </c>
      <c r="N542" t="s">
        <v>898</v>
      </c>
      <c r="P542" t="s">
        <v>898</v>
      </c>
      <c r="Q542" t="s">
        <v>898</v>
      </c>
    </row>
    <row r="543">
      <c r="I543" t="s">
        <v>898</v>
      </c>
      <c r="J543" s="237" t="s">
        <v>898</v>
      </c>
      <c r="K543" s="238" t="s">
        <v>898</v>
      </c>
      <c r="L543" t="s">
        <v>898</v>
      </c>
      <c r="M543" t="s">
        <v>898</v>
      </c>
      <c r="N543" t="s">
        <v>898</v>
      </c>
      <c r="P543" t="s">
        <v>898</v>
      </c>
      <c r="Q543" t="s">
        <v>898</v>
      </c>
    </row>
    <row r="544">
      <c r="I544" t="s">
        <v>898</v>
      </c>
      <c r="J544" s="237" t="s">
        <v>898</v>
      </c>
      <c r="K544" s="238" t="s">
        <v>898</v>
      </c>
      <c r="L544" t="s">
        <v>898</v>
      </c>
      <c r="M544" t="s">
        <v>898</v>
      </c>
      <c r="N544" t="s">
        <v>898</v>
      </c>
      <c r="P544" t="s">
        <v>898</v>
      </c>
      <c r="Q544" t="s">
        <v>898</v>
      </c>
    </row>
    <row r="545">
      <c r="I545" t="s">
        <v>898</v>
      </c>
      <c r="J545" s="237" t="s">
        <v>898</v>
      </c>
      <c r="K545" s="238" t="s">
        <v>898</v>
      </c>
      <c r="L545" t="s">
        <v>898</v>
      </c>
      <c r="M545" t="s">
        <v>898</v>
      </c>
      <c r="N545" t="s">
        <v>898</v>
      </c>
      <c r="P545" t="s">
        <v>898</v>
      </c>
      <c r="Q545" t="s">
        <v>898</v>
      </c>
    </row>
    <row r="546">
      <c r="I546" t="s">
        <v>898</v>
      </c>
      <c r="J546" s="237" t="s">
        <v>898</v>
      </c>
      <c r="K546" s="238" t="s">
        <v>898</v>
      </c>
      <c r="L546" t="s">
        <v>898</v>
      </c>
      <c r="M546" t="s">
        <v>898</v>
      </c>
      <c r="N546" t="s">
        <v>898</v>
      </c>
      <c r="P546" t="s">
        <v>898</v>
      </c>
      <c r="Q546" t="s">
        <v>898</v>
      </c>
    </row>
    <row r="547">
      <c r="I547" t="s">
        <v>898</v>
      </c>
      <c r="J547" s="237" t="s">
        <v>898</v>
      </c>
      <c r="K547" s="238" t="s">
        <v>898</v>
      </c>
      <c r="L547" t="s">
        <v>898</v>
      </c>
      <c r="M547" t="s">
        <v>898</v>
      </c>
      <c r="N547" t="s">
        <v>898</v>
      </c>
      <c r="P547" t="s">
        <v>898</v>
      </c>
      <c r="Q547" t="s">
        <v>898</v>
      </c>
    </row>
    <row r="548">
      <c r="I548" t="s">
        <v>898</v>
      </c>
      <c r="J548" s="237" t="s">
        <v>898</v>
      </c>
      <c r="K548" s="238" t="s">
        <v>898</v>
      </c>
      <c r="L548" t="s">
        <v>898</v>
      </c>
      <c r="M548" t="s">
        <v>898</v>
      </c>
      <c r="N548" t="s">
        <v>898</v>
      </c>
      <c r="P548" t="s">
        <v>898</v>
      </c>
      <c r="Q548" t="s">
        <v>898</v>
      </c>
    </row>
    <row r="549">
      <c r="I549" t="s">
        <v>898</v>
      </c>
      <c r="J549" s="237" t="s">
        <v>898</v>
      </c>
      <c r="K549" s="238" t="s">
        <v>898</v>
      </c>
      <c r="L549" t="s">
        <v>898</v>
      </c>
      <c r="M549" t="s">
        <v>898</v>
      </c>
      <c r="N549" t="s">
        <v>898</v>
      </c>
      <c r="P549" t="s">
        <v>898</v>
      </c>
      <c r="Q549" t="s">
        <v>898</v>
      </c>
    </row>
    <row r="550">
      <c r="I550" t="s">
        <v>898</v>
      </c>
      <c r="J550" s="237" t="s">
        <v>898</v>
      </c>
      <c r="K550" s="238" t="s">
        <v>898</v>
      </c>
      <c r="L550" t="s">
        <v>898</v>
      </c>
      <c r="M550" t="s">
        <v>898</v>
      </c>
      <c r="N550" t="s">
        <v>898</v>
      </c>
      <c r="P550" t="s">
        <v>898</v>
      </c>
      <c r="Q550" t="s">
        <v>898</v>
      </c>
    </row>
    <row r="551">
      <c r="I551" t="s">
        <v>898</v>
      </c>
      <c r="J551" s="237" t="s">
        <v>898</v>
      </c>
      <c r="K551" s="238" t="s">
        <v>898</v>
      </c>
      <c r="L551" t="s">
        <v>898</v>
      </c>
      <c r="M551" t="s">
        <v>898</v>
      </c>
      <c r="N551" t="s">
        <v>898</v>
      </c>
      <c r="P551" t="s">
        <v>898</v>
      </c>
      <c r="Q551" t="s">
        <v>898</v>
      </c>
    </row>
    <row r="552">
      <c r="I552" t="s">
        <v>898</v>
      </c>
      <c r="J552" s="237" t="s">
        <v>898</v>
      </c>
      <c r="K552" s="238" t="s">
        <v>898</v>
      </c>
      <c r="L552" t="s">
        <v>898</v>
      </c>
      <c r="M552" t="s">
        <v>898</v>
      </c>
      <c r="N552" t="s">
        <v>898</v>
      </c>
      <c r="P552" t="s">
        <v>898</v>
      </c>
      <c r="Q552" t="s">
        <v>898</v>
      </c>
    </row>
    <row r="553">
      <c r="I553" t="s">
        <v>898</v>
      </c>
      <c r="J553" s="237" t="s">
        <v>898</v>
      </c>
      <c r="K553" s="238" t="s">
        <v>898</v>
      </c>
      <c r="L553" t="s">
        <v>898</v>
      </c>
      <c r="M553" t="s">
        <v>898</v>
      </c>
      <c r="N553" t="s">
        <v>898</v>
      </c>
      <c r="P553" t="s">
        <v>898</v>
      </c>
      <c r="Q553" t="s">
        <v>898</v>
      </c>
    </row>
    <row r="554">
      <c r="I554" t="s">
        <v>898</v>
      </c>
      <c r="J554" s="237" t="s">
        <v>898</v>
      </c>
      <c r="K554" s="238" t="s">
        <v>898</v>
      </c>
      <c r="L554" t="s">
        <v>898</v>
      </c>
      <c r="M554" t="s">
        <v>898</v>
      </c>
      <c r="N554" t="s">
        <v>898</v>
      </c>
      <c r="P554" t="s">
        <v>898</v>
      </c>
      <c r="Q554" t="s">
        <v>898</v>
      </c>
    </row>
    <row r="555">
      <c r="I555" t="s">
        <v>898</v>
      </c>
      <c r="J555" s="237" t="s">
        <v>898</v>
      </c>
      <c r="K555" s="238" t="s">
        <v>898</v>
      </c>
      <c r="L555" t="s">
        <v>898</v>
      </c>
      <c r="M555" t="s">
        <v>898</v>
      </c>
      <c r="N555" t="s">
        <v>898</v>
      </c>
      <c r="P555" t="s">
        <v>898</v>
      </c>
      <c r="Q555" t="s">
        <v>898</v>
      </c>
    </row>
    <row r="556">
      <c r="I556" t="s">
        <v>898</v>
      </c>
      <c r="J556" s="237" t="s">
        <v>898</v>
      </c>
      <c r="K556" s="238" t="s">
        <v>898</v>
      </c>
      <c r="L556" t="s">
        <v>898</v>
      </c>
      <c r="M556" t="s">
        <v>898</v>
      </c>
      <c r="N556" t="s">
        <v>898</v>
      </c>
      <c r="P556" t="s">
        <v>898</v>
      </c>
      <c r="Q556" t="s">
        <v>898</v>
      </c>
    </row>
    <row r="557">
      <c r="I557" t="s">
        <v>898</v>
      </c>
      <c r="J557" s="237" t="s">
        <v>898</v>
      </c>
      <c r="K557" s="238" t="s">
        <v>898</v>
      </c>
      <c r="L557" t="s">
        <v>898</v>
      </c>
      <c r="M557" t="s">
        <v>898</v>
      </c>
      <c r="N557" t="s">
        <v>898</v>
      </c>
      <c r="P557" t="s">
        <v>898</v>
      </c>
      <c r="Q557" t="s">
        <v>898</v>
      </c>
    </row>
    <row r="558">
      <c r="I558" t="s">
        <v>898</v>
      </c>
      <c r="J558" s="237" t="s">
        <v>898</v>
      </c>
      <c r="K558" s="238" t="s">
        <v>898</v>
      </c>
      <c r="L558" t="s">
        <v>898</v>
      </c>
      <c r="M558" t="s">
        <v>898</v>
      </c>
      <c r="N558" t="s">
        <v>898</v>
      </c>
      <c r="P558" t="s">
        <v>898</v>
      </c>
      <c r="Q558" t="s">
        <v>898</v>
      </c>
    </row>
    <row r="559">
      <c r="I559" t="s">
        <v>898</v>
      </c>
      <c r="J559" s="237" t="s">
        <v>898</v>
      </c>
      <c r="K559" s="238" t="s">
        <v>898</v>
      </c>
      <c r="L559" t="s">
        <v>898</v>
      </c>
      <c r="M559" t="s">
        <v>898</v>
      </c>
      <c r="N559" t="s">
        <v>898</v>
      </c>
      <c r="P559" t="s">
        <v>898</v>
      </c>
      <c r="Q559" t="s">
        <v>898</v>
      </c>
    </row>
    <row r="560">
      <c r="I560" t="s">
        <v>898</v>
      </c>
      <c r="J560" s="237" t="s">
        <v>898</v>
      </c>
      <c r="K560" s="238" t="s">
        <v>898</v>
      </c>
      <c r="L560" t="s">
        <v>898</v>
      </c>
      <c r="M560" t="s">
        <v>898</v>
      </c>
      <c r="N560" t="s">
        <v>898</v>
      </c>
      <c r="P560" t="s">
        <v>898</v>
      </c>
      <c r="Q560" t="s">
        <v>898</v>
      </c>
    </row>
    <row r="561">
      <c r="I561" t="s">
        <v>898</v>
      </c>
      <c r="J561" s="237" t="s">
        <v>898</v>
      </c>
      <c r="K561" s="238" t="s">
        <v>898</v>
      </c>
      <c r="L561" t="s">
        <v>898</v>
      </c>
      <c r="M561" t="s">
        <v>898</v>
      </c>
      <c r="N561" t="s">
        <v>898</v>
      </c>
      <c r="P561" t="s">
        <v>898</v>
      </c>
      <c r="Q561" t="s">
        <v>898</v>
      </c>
    </row>
    <row r="562">
      <c r="I562" t="s">
        <v>898</v>
      </c>
      <c r="J562" s="237" t="s">
        <v>898</v>
      </c>
      <c r="K562" s="238" t="s">
        <v>898</v>
      </c>
      <c r="L562" t="s">
        <v>898</v>
      </c>
      <c r="M562" t="s">
        <v>898</v>
      </c>
      <c r="N562" t="s">
        <v>898</v>
      </c>
      <c r="P562" t="s">
        <v>898</v>
      </c>
      <c r="Q562" t="s">
        <v>898</v>
      </c>
    </row>
    <row r="563">
      <c r="I563" t="s">
        <v>898</v>
      </c>
      <c r="J563" s="237" t="s">
        <v>898</v>
      </c>
      <c r="K563" s="238" t="s">
        <v>898</v>
      </c>
      <c r="L563" t="s">
        <v>898</v>
      </c>
      <c r="M563" t="s">
        <v>898</v>
      </c>
      <c r="N563" t="s">
        <v>898</v>
      </c>
      <c r="P563" t="s">
        <v>898</v>
      </c>
      <c r="Q563" t="s">
        <v>898</v>
      </c>
    </row>
    <row r="564">
      <c r="I564" t="s">
        <v>898</v>
      </c>
      <c r="J564" s="237" t="s">
        <v>898</v>
      </c>
      <c r="K564" s="238" t="s">
        <v>898</v>
      </c>
      <c r="L564" t="s">
        <v>898</v>
      </c>
      <c r="M564" t="s">
        <v>898</v>
      </c>
      <c r="N564" t="s">
        <v>898</v>
      </c>
      <c r="P564" t="s">
        <v>898</v>
      </c>
      <c r="Q564" t="s">
        <v>898</v>
      </c>
    </row>
    <row r="565">
      <c r="I565" t="s">
        <v>898</v>
      </c>
      <c r="J565" s="237" t="s">
        <v>898</v>
      </c>
      <c r="K565" s="238" t="s">
        <v>898</v>
      </c>
      <c r="L565" t="s">
        <v>898</v>
      </c>
      <c r="M565" t="s">
        <v>898</v>
      </c>
      <c r="N565" t="s">
        <v>898</v>
      </c>
      <c r="P565" t="s">
        <v>898</v>
      </c>
      <c r="Q565" t="s">
        <v>898</v>
      </c>
    </row>
    <row r="566">
      <c r="I566" t="s">
        <v>898</v>
      </c>
      <c r="J566" s="237" t="s">
        <v>898</v>
      </c>
      <c r="K566" s="238" t="s">
        <v>898</v>
      </c>
      <c r="L566" t="s">
        <v>898</v>
      </c>
      <c r="M566" t="s">
        <v>898</v>
      </c>
      <c r="N566" t="s">
        <v>898</v>
      </c>
      <c r="P566" t="s">
        <v>898</v>
      </c>
      <c r="Q566" t="s">
        <v>898</v>
      </c>
    </row>
    <row r="567">
      <c r="I567" t="s">
        <v>898</v>
      </c>
      <c r="J567" s="237" t="s">
        <v>898</v>
      </c>
      <c r="K567" s="238" t="s">
        <v>898</v>
      </c>
      <c r="L567" t="s">
        <v>898</v>
      </c>
      <c r="M567" t="s">
        <v>898</v>
      </c>
      <c r="N567" t="s">
        <v>898</v>
      </c>
      <c r="P567" t="s">
        <v>898</v>
      </c>
      <c r="Q567" t="s">
        <v>898</v>
      </c>
    </row>
    <row r="568">
      <c r="I568" t="s">
        <v>898</v>
      </c>
      <c r="J568" s="237" t="s">
        <v>898</v>
      </c>
      <c r="K568" s="238" t="s">
        <v>898</v>
      </c>
      <c r="L568" t="s">
        <v>898</v>
      </c>
      <c r="M568" t="s">
        <v>898</v>
      </c>
      <c r="N568" t="s">
        <v>898</v>
      </c>
      <c r="P568" t="s">
        <v>898</v>
      </c>
      <c r="Q568" t="s">
        <v>898</v>
      </c>
    </row>
    <row r="569">
      <c r="I569" t="s">
        <v>898</v>
      </c>
      <c r="J569" s="237" t="s">
        <v>898</v>
      </c>
      <c r="K569" s="238" t="s">
        <v>898</v>
      </c>
      <c r="L569" t="s">
        <v>898</v>
      </c>
      <c r="M569" t="s">
        <v>898</v>
      </c>
      <c r="N569" t="s">
        <v>898</v>
      </c>
      <c r="P569" t="s">
        <v>898</v>
      </c>
      <c r="Q569" t="s">
        <v>898</v>
      </c>
    </row>
    <row r="570">
      <c r="I570" t="s">
        <v>898</v>
      </c>
      <c r="J570" s="237" t="s">
        <v>898</v>
      </c>
      <c r="K570" s="238" t="s">
        <v>898</v>
      </c>
      <c r="L570" t="s">
        <v>898</v>
      </c>
      <c r="M570" t="s">
        <v>898</v>
      </c>
      <c r="N570" t="s">
        <v>898</v>
      </c>
      <c r="P570" t="s">
        <v>898</v>
      </c>
      <c r="Q570" t="s">
        <v>898</v>
      </c>
    </row>
    <row r="571">
      <c r="I571" t="s">
        <v>898</v>
      </c>
      <c r="J571" s="237" t="s">
        <v>898</v>
      </c>
      <c r="K571" s="238" t="s">
        <v>898</v>
      </c>
      <c r="L571" t="s">
        <v>898</v>
      </c>
      <c r="M571" t="s">
        <v>898</v>
      </c>
      <c r="N571" t="s">
        <v>898</v>
      </c>
      <c r="P571" t="s">
        <v>898</v>
      </c>
      <c r="Q571" t="s">
        <v>898</v>
      </c>
    </row>
    <row r="572">
      <c r="I572" t="s">
        <v>898</v>
      </c>
      <c r="J572" s="237" t="s">
        <v>898</v>
      </c>
      <c r="K572" s="238" t="s">
        <v>898</v>
      </c>
      <c r="L572" t="s">
        <v>898</v>
      </c>
      <c r="M572" t="s">
        <v>898</v>
      </c>
      <c r="N572" t="s">
        <v>898</v>
      </c>
      <c r="P572" t="s">
        <v>898</v>
      </c>
      <c r="Q572" t="s">
        <v>898</v>
      </c>
    </row>
    <row r="573">
      <c r="I573" t="s">
        <v>898</v>
      </c>
      <c r="J573" s="237" t="s">
        <v>898</v>
      </c>
      <c r="K573" s="238" t="s">
        <v>898</v>
      </c>
      <c r="L573" t="s">
        <v>898</v>
      </c>
      <c r="M573" t="s">
        <v>898</v>
      </c>
      <c r="N573" t="s">
        <v>898</v>
      </c>
      <c r="P573" t="s">
        <v>898</v>
      </c>
      <c r="Q573" t="s">
        <v>898</v>
      </c>
    </row>
    <row r="574">
      <c r="I574" t="s">
        <v>898</v>
      </c>
      <c r="J574" s="237" t="s">
        <v>898</v>
      </c>
      <c r="K574" s="238" t="s">
        <v>898</v>
      </c>
      <c r="L574" t="s">
        <v>898</v>
      </c>
      <c r="M574" t="s">
        <v>898</v>
      </c>
      <c r="N574" t="s">
        <v>898</v>
      </c>
      <c r="P574" t="s">
        <v>898</v>
      </c>
      <c r="Q574" t="s">
        <v>898</v>
      </c>
    </row>
    <row r="575">
      <c r="I575" t="s">
        <v>898</v>
      </c>
      <c r="J575" s="237" t="s">
        <v>898</v>
      </c>
      <c r="K575" s="238" t="s">
        <v>898</v>
      </c>
      <c r="L575" t="s">
        <v>898</v>
      </c>
      <c r="M575" t="s">
        <v>898</v>
      </c>
      <c r="N575" t="s">
        <v>898</v>
      </c>
      <c r="P575" t="s">
        <v>898</v>
      </c>
      <c r="Q575" t="s">
        <v>898</v>
      </c>
    </row>
    <row r="576">
      <c r="I576" t="s">
        <v>898</v>
      </c>
      <c r="J576" s="237" t="s">
        <v>898</v>
      </c>
      <c r="K576" s="238" t="s">
        <v>898</v>
      </c>
      <c r="L576" t="s">
        <v>898</v>
      </c>
      <c r="M576" t="s">
        <v>898</v>
      </c>
      <c r="N576" t="s">
        <v>898</v>
      </c>
      <c r="P576" t="s">
        <v>898</v>
      </c>
      <c r="Q576" t="s">
        <v>898</v>
      </c>
    </row>
    <row r="577">
      <c r="I577" t="s">
        <v>898</v>
      </c>
      <c r="J577" s="237" t="s">
        <v>898</v>
      </c>
      <c r="K577" s="238" t="s">
        <v>898</v>
      </c>
      <c r="L577" t="s">
        <v>898</v>
      </c>
      <c r="M577" t="s">
        <v>898</v>
      </c>
      <c r="N577" t="s">
        <v>898</v>
      </c>
      <c r="P577" t="s">
        <v>898</v>
      </c>
      <c r="Q577" t="s">
        <v>898</v>
      </c>
    </row>
    <row r="578">
      <c r="I578" t="s">
        <v>898</v>
      </c>
      <c r="J578" s="237" t="s">
        <v>898</v>
      </c>
      <c r="K578" s="238" t="s">
        <v>898</v>
      </c>
      <c r="L578" t="s">
        <v>898</v>
      </c>
      <c r="M578" t="s">
        <v>898</v>
      </c>
      <c r="N578" t="s">
        <v>898</v>
      </c>
      <c r="P578" t="s">
        <v>898</v>
      </c>
      <c r="Q578" t="s">
        <v>898</v>
      </c>
    </row>
    <row r="579">
      <c r="I579" t="s">
        <v>898</v>
      </c>
      <c r="J579" s="237" t="s">
        <v>898</v>
      </c>
      <c r="K579" s="238" t="s">
        <v>898</v>
      </c>
      <c r="L579" t="s">
        <v>898</v>
      </c>
      <c r="M579" t="s">
        <v>898</v>
      </c>
      <c r="N579" t="s">
        <v>898</v>
      </c>
      <c r="P579" t="s">
        <v>898</v>
      </c>
      <c r="Q579" t="s">
        <v>898</v>
      </c>
    </row>
    <row r="580">
      <c r="I580" t="s">
        <v>898</v>
      </c>
      <c r="J580" s="237" t="s">
        <v>898</v>
      </c>
      <c r="K580" s="238" t="s">
        <v>898</v>
      </c>
      <c r="L580" t="s">
        <v>898</v>
      </c>
      <c r="M580" t="s">
        <v>898</v>
      </c>
      <c r="N580" t="s">
        <v>898</v>
      </c>
      <c r="P580" t="s">
        <v>898</v>
      </c>
      <c r="Q580" t="s">
        <v>898</v>
      </c>
    </row>
    <row r="581">
      <c r="I581" t="s">
        <v>898</v>
      </c>
      <c r="J581" s="237" t="s">
        <v>898</v>
      </c>
      <c r="K581" s="238" t="s">
        <v>898</v>
      </c>
      <c r="L581" t="s">
        <v>898</v>
      </c>
      <c r="M581" t="s">
        <v>898</v>
      </c>
      <c r="N581" t="s">
        <v>898</v>
      </c>
      <c r="P581" t="s">
        <v>898</v>
      </c>
      <c r="Q581" t="s">
        <v>898</v>
      </c>
    </row>
    <row r="582">
      <c r="I582" t="s">
        <v>898</v>
      </c>
      <c r="J582" s="237" t="s">
        <v>898</v>
      </c>
      <c r="K582" s="238" t="s">
        <v>898</v>
      </c>
      <c r="L582" t="s">
        <v>898</v>
      </c>
      <c r="M582" t="s">
        <v>898</v>
      </c>
      <c r="N582" t="s">
        <v>898</v>
      </c>
      <c r="P582" t="s">
        <v>898</v>
      </c>
      <c r="Q582" t="s">
        <v>898</v>
      </c>
    </row>
    <row r="583">
      <c r="I583" t="s">
        <v>898</v>
      </c>
      <c r="J583" s="237" t="s">
        <v>898</v>
      </c>
      <c r="K583" s="238" t="s">
        <v>898</v>
      </c>
      <c r="L583" t="s">
        <v>898</v>
      </c>
      <c r="M583" t="s">
        <v>898</v>
      </c>
      <c r="N583" t="s">
        <v>898</v>
      </c>
      <c r="P583" t="s">
        <v>898</v>
      </c>
      <c r="Q583" t="s">
        <v>898</v>
      </c>
    </row>
    <row r="584">
      <c r="I584" t="s">
        <v>898</v>
      </c>
      <c r="J584" s="237" t="s">
        <v>898</v>
      </c>
      <c r="K584" s="238" t="s">
        <v>898</v>
      </c>
      <c r="L584" t="s">
        <v>898</v>
      </c>
      <c r="M584" t="s">
        <v>898</v>
      </c>
      <c r="N584" t="s">
        <v>898</v>
      </c>
      <c r="P584" t="s">
        <v>898</v>
      </c>
      <c r="Q584" t="s">
        <v>898</v>
      </c>
    </row>
    <row r="585">
      <c r="I585" t="s">
        <v>898</v>
      </c>
      <c r="J585" s="237" t="s">
        <v>898</v>
      </c>
      <c r="K585" s="238" t="s">
        <v>898</v>
      </c>
      <c r="L585" t="s">
        <v>898</v>
      </c>
      <c r="M585" t="s">
        <v>898</v>
      </c>
      <c r="N585" t="s">
        <v>898</v>
      </c>
      <c r="P585" t="s">
        <v>898</v>
      </c>
      <c r="Q585" t="s">
        <v>898</v>
      </c>
    </row>
    <row r="586">
      <c r="I586" t="s">
        <v>898</v>
      </c>
      <c r="J586" s="237" t="s">
        <v>898</v>
      </c>
      <c r="K586" s="238" t="s">
        <v>898</v>
      </c>
      <c r="L586" t="s">
        <v>898</v>
      </c>
      <c r="M586" t="s">
        <v>898</v>
      </c>
      <c r="N586" t="s">
        <v>898</v>
      </c>
      <c r="P586" t="s">
        <v>898</v>
      </c>
      <c r="Q586" t="s">
        <v>898</v>
      </c>
    </row>
    <row r="587">
      <c r="I587" t="s">
        <v>898</v>
      </c>
      <c r="J587" s="237" t="s">
        <v>898</v>
      </c>
      <c r="K587" s="238" t="s">
        <v>898</v>
      </c>
      <c r="L587" t="s">
        <v>898</v>
      </c>
      <c r="M587" t="s">
        <v>898</v>
      </c>
      <c r="N587" t="s">
        <v>898</v>
      </c>
      <c r="P587" t="s">
        <v>898</v>
      </c>
      <c r="Q587" t="s">
        <v>898</v>
      </c>
    </row>
    <row r="588">
      <c r="I588" t="s">
        <v>898</v>
      </c>
      <c r="J588" s="237" t="s">
        <v>898</v>
      </c>
      <c r="K588" s="238" t="s">
        <v>898</v>
      </c>
      <c r="L588" t="s">
        <v>898</v>
      </c>
      <c r="M588" t="s">
        <v>898</v>
      </c>
      <c r="N588" t="s">
        <v>898</v>
      </c>
      <c r="P588" t="s">
        <v>898</v>
      </c>
      <c r="Q588" t="s">
        <v>898</v>
      </c>
    </row>
    <row r="589">
      <c r="I589" t="s">
        <v>898</v>
      </c>
      <c r="J589" s="237" t="s">
        <v>898</v>
      </c>
      <c r="K589" s="238" t="s">
        <v>898</v>
      </c>
      <c r="L589" t="s">
        <v>898</v>
      </c>
      <c r="M589" t="s">
        <v>898</v>
      </c>
      <c r="N589" t="s">
        <v>898</v>
      </c>
      <c r="P589" t="s">
        <v>898</v>
      </c>
      <c r="Q589" t="s">
        <v>898</v>
      </c>
    </row>
    <row r="590">
      <c r="I590" t="s">
        <v>898</v>
      </c>
      <c r="J590" s="237" t="s">
        <v>898</v>
      </c>
      <c r="K590" s="238" t="s">
        <v>898</v>
      </c>
      <c r="L590" t="s">
        <v>898</v>
      </c>
      <c r="M590" t="s">
        <v>898</v>
      </c>
      <c r="N590" t="s">
        <v>898</v>
      </c>
      <c r="P590" t="s">
        <v>898</v>
      </c>
      <c r="Q590" t="s">
        <v>898</v>
      </c>
    </row>
    <row r="591">
      <c r="I591" t="s">
        <v>898</v>
      </c>
      <c r="J591" s="237" t="s">
        <v>898</v>
      </c>
      <c r="K591" s="238" t="s">
        <v>898</v>
      </c>
      <c r="L591" t="s">
        <v>898</v>
      </c>
      <c r="M591" t="s">
        <v>898</v>
      </c>
      <c r="N591" t="s">
        <v>898</v>
      </c>
      <c r="P591" t="s">
        <v>898</v>
      </c>
      <c r="Q591" t="s">
        <v>898</v>
      </c>
    </row>
    <row r="592">
      <c r="I592" t="s">
        <v>898</v>
      </c>
      <c r="J592" s="237" t="s">
        <v>898</v>
      </c>
      <c r="K592" s="238" t="s">
        <v>898</v>
      </c>
      <c r="L592" t="s">
        <v>898</v>
      </c>
      <c r="M592" t="s">
        <v>898</v>
      </c>
      <c r="N592" t="s">
        <v>898</v>
      </c>
      <c r="P592" t="s">
        <v>898</v>
      </c>
      <c r="Q592" t="s">
        <v>898</v>
      </c>
    </row>
    <row r="593">
      <c r="I593" t="s">
        <v>898</v>
      </c>
      <c r="J593" s="237" t="s">
        <v>898</v>
      </c>
      <c r="K593" s="238" t="s">
        <v>898</v>
      </c>
      <c r="L593" t="s">
        <v>898</v>
      </c>
      <c r="M593" t="s">
        <v>898</v>
      </c>
      <c r="N593" t="s">
        <v>898</v>
      </c>
      <c r="P593" t="s">
        <v>898</v>
      </c>
      <c r="Q593" t="s">
        <v>898</v>
      </c>
    </row>
    <row r="594">
      <c r="I594" t="s">
        <v>898</v>
      </c>
      <c r="J594" s="237" t="s">
        <v>898</v>
      </c>
      <c r="K594" s="238" t="s">
        <v>898</v>
      </c>
      <c r="L594" t="s">
        <v>898</v>
      </c>
      <c r="M594" t="s">
        <v>898</v>
      </c>
      <c r="N594" t="s">
        <v>898</v>
      </c>
      <c r="P594" t="s">
        <v>898</v>
      </c>
      <c r="Q594" t="s">
        <v>898</v>
      </c>
    </row>
    <row r="595">
      <c r="I595" t="s">
        <v>898</v>
      </c>
      <c r="J595" s="237" t="s">
        <v>898</v>
      </c>
      <c r="K595" s="238" t="s">
        <v>898</v>
      </c>
      <c r="L595" t="s">
        <v>898</v>
      </c>
      <c r="M595" t="s">
        <v>898</v>
      </c>
      <c r="N595" t="s">
        <v>898</v>
      </c>
      <c r="P595" t="s">
        <v>898</v>
      </c>
      <c r="Q595" t="s">
        <v>898</v>
      </c>
    </row>
    <row r="596">
      <c r="I596" t="s">
        <v>898</v>
      </c>
      <c r="J596" s="237" t="s">
        <v>898</v>
      </c>
      <c r="K596" s="238" t="s">
        <v>898</v>
      </c>
      <c r="L596" t="s">
        <v>898</v>
      </c>
      <c r="M596" t="s">
        <v>898</v>
      </c>
      <c r="N596" t="s">
        <v>898</v>
      </c>
      <c r="P596" t="s">
        <v>898</v>
      </c>
      <c r="Q596" t="s">
        <v>898</v>
      </c>
    </row>
    <row r="597">
      <c r="I597" t="s">
        <v>898</v>
      </c>
      <c r="J597" s="237" t="s">
        <v>898</v>
      </c>
      <c r="K597" s="238" t="s">
        <v>898</v>
      </c>
      <c r="L597" t="s">
        <v>898</v>
      </c>
      <c r="M597" t="s">
        <v>898</v>
      </c>
      <c r="N597" t="s">
        <v>898</v>
      </c>
      <c r="P597" t="s">
        <v>898</v>
      </c>
      <c r="Q597" t="s">
        <v>898</v>
      </c>
    </row>
    <row r="598">
      <c r="I598" t="s">
        <v>898</v>
      </c>
      <c r="J598" s="237" t="s">
        <v>898</v>
      </c>
      <c r="K598" s="238" t="s">
        <v>898</v>
      </c>
      <c r="L598" t="s">
        <v>898</v>
      </c>
      <c r="M598" t="s">
        <v>898</v>
      </c>
      <c r="N598" t="s">
        <v>898</v>
      </c>
      <c r="P598" t="s">
        <v>898</v>
      </c>
      <c r="Q598" t="s">
        <v>898</v>
      </c>
    </row>
    <row r="599">
      <c r="I599" t="s">
        <v>898</v>
      </c>
      <c r="J599" s="237" t="s">
        <v>898</v>
      </c>
      <c r="K599" s="238" t="s">
        <v>898</v>
      </c>
      <c r="L599" t="s">
        <v>898</v>
      </c>
      <c r="M599" t="s">
        <v>898</v>
      </c>
      <c r="N599" t="s">
        <v>898</v>
      </c>
      <c r="P599" t="s">
        <v>898</v>
      </c>
      <c r="Q599" t="s">
        <v>898</v>
      </c>
    </row>
    <row r="600">
      <c r="I600" t="s">
        <v>898</v>
      </c>
      <c r="J600" s="237" t="s">
        <v>898</v>
      </c>
      <c r="K600" s="238" t="s">
        <v>898</v>
      </c>
      <c r="L600" t="s">
        <v>898</v>
      </c>
      <c r="M600" t="s">
        <v>898</v>
      </c>
      <c r="N600" t="s">
        <v>898</v>
      </c>
      <c r="P600" t="s">
        <v>898</v>
      </c>
      <c r="Q600" t="s">
        <v>898</v>
      </c>
    </row>
    <row r="601">
      <c r="I601" t="s">
        <v>898</v>
      </c>
      <c r="J601" s="237" t="s">
        <v>898</v>
      </c>
      <c r="K601" s="238" t="s">
        <v>898</v>
      </c>
      <c r="L601" t="s">
        <v>898</v>
      </c>
      <c r="M601" t="s">
        <v>898</v>
      </c>
      <c r="N601" t="s">
        <v>898</v>
      </c>
      <c r="P601" t="s">
        <v>898</v>
      </c>
      <c r="Q601" t="s">
        <v>898</v>
      </c>
    </row>
    <row r="602">
      <c r="I602" t="s">
        <v>898</v>
      </c>
      <c r="J602" s="237" t="s">
        <v>898</v>
      </c>
      <c r="K602" s="238" t="s">
        <v>898</v>
      </c>
      <c r="L602" t="s">
        <v>898</v>
      </c>
      <c r="M602" t="s">
        <v>898</v>
      </c>
      <c r="N602" t="s">
        <v>898</v>
      </c>
      <c r="P602" t="s">
        <v>898</v>
      </c>
      <c r="Q602" t="s">
        <v>898</v>
      </c>
    </row>
    <row r="603">
      <c r="I603" t="s">
        <v>898</v>
      </c>
      <c r="J603" s="237" t="s">
        <v>898</v>
      </c>
      <c r="K603" s="238" t="s">
        <v>898</v>
      </c>
      <c r="L603" t="s">
        <v>898</v>
      </c>
      <c r="M603" t="s">
        <v>898</v>
      </c>
      <c r="N603" t="s">
        <v>898</v>
      </c>
      <c r="P603" t="s">
        <v>898</v>
      </c>
      <c r="Q603" t="s">
        <v>898</v>
      </c>
    </row>
    <row r="604">
      <c r="I604" t="s">
        <v>898</v>
      </c>
      <c r="J604" s="237" t="s">
        <v>898</v>
      </c>
      <c r="K604" s="238" t="s">
        <v>898</v>
      </c>
      <c r="L604" t="s">
        <v>898</v>
      </c>
      <c r="M604" t="s">
        <v>898</v>
      </c>
      <c r="N604" t="s">
        <v>898</v>
      </c>
      <c r="P604" t="s">
        <v>898</v>
      </c>
      <c r="Q604" t="s">
        <v>898</v>
      </c>
    </row>
    <row r="605">
      <c r="I605" t="s">
        <v>898</v>
      </c>
      <c r="J605" s="237" t="s">
        <v>898</v>
      </c>
      <c r="K605" s="238" t="s">
        <v>898</v>
      </c>
      <c r="L605" t="s">
        <v>898</v>
      </c>
      <c r="M605" t="s">
        <v>898</v>
      </c>
      <c r="N605" t="s">
        <v>898</v>
      </c>
      <c r="P605" t="s">
        <v>898</v>
      </c>
      <c r="Q605" t="s">
        <v>898</v>
      </c>
    </row>
    <row r="606">
      <c r="I606" t="s">
        <v>898</v>
      </c>
      <c r="J606" s="237" t="s">
        <v>898</v>
      </c>
      <c r="K606" s="238" t="s">
        <v>898</v>
      </c>
      <c r="L606" t="s">
        <v>898</v>
      </c>
      <c r="M606" t="s">
        <v>898</v>
      </c>
      <c r="N606" t="s">
        <v>898</v>
      </c>
      <c r="P606" t="s">
        <v>898</v>
      </c>
      <c r="Q606" t="s">
        <v>898</v>
      </c>
    </row>
    <row r="607">
      <c r="I607" t="s">
        <v>898</v>
      </c>
      <c r="J607" s="237" t="s">
        <v>898</v>
      </c>
      <c r="K607" s="238" t="s">
        <v>898</v>
      </c>
      <c r="L607" t="s">
        <v>898</v>
      </c>
      <c r="M607" t="s">
        <v>898</v>
      </c>
      <c r="N607" t="s">
        <v>898</v>
      </c>
      <c r="P607" t="s">
        <v>898</v>
      </c>
      <c r="Q607" t="s">
        <v>898</v>
      </c>
    </row>
    <row r="608">
      <c r="I608" t="s">
        <v>898</v>
      </c>
      <c r="J608" s="237" t="s">
        <v>898</v>
      </c>
      <c r="K608" s="238" t="s">
        <v>898</v>
      </c>
      <c r="L608" t="s">
        <v>898</v>
      </c>
      <c r="M608" t="s">
        <v>898</v>
      </c>
      <c r="N608" t="s">
        <v>898</v>
      </c>
      <c r="P608" t="s">
        <v>898</v>
      </c>
      <c r="Q608" t="s">
        <v>898</v>
      </c>
    </row>
    <row r="609">
      <c r="I609" t="s">
        <v>898</v>
      </c>
      <c r="J609" s="237" t="s">
        <v>898</v>
      </c>
      <c r="K609" s="238" t="s">
        <v>898</v>
      </c>
      <c r="L609" t="s">
        <v>898</v>
      </c>
      <c r="M609" t="s">
        <v>898</v>
      </c>
      <c r="N609" t="s">
        <v>898</v>
      </c>
      <c r="P609" t="s">
        <v>898</v>
      </c>
      <c r="Q609" t="s">
        <v>898</v>
      </c>
    </row>
    <row r="610">
      <c r="I610" t="s">
        <v>898</v>
      </c>
      <c r="J610" s="237" t="s">
        <v>898</v>
      </c>
      <c r="K610" s="238" t="s">
        <v>898</v>
      </c>
      <c r="L610" t="s">
        <v>898</v>
      </c>
      <c r="M610" t="s">
        <v>898</v>
      </c>
      <c r="N610" t="s">
        <v>898</v>
      </c>
      <c r="P610" t="s">
        <v>898</v>
      </c>
      <c r="Q610" t="s">
        <v>898</v>
      </c>
    </row>
    <row r="611">
      <c r="I611" t="s">
        <v>898</v>
      </c>
      <c r="J611" s="237" t="s">
        <v>898</v>
      </c>
      <c r="K611" s="238" t="s">
        <v>898</v>
      </c>
      <c r="L611" t="s">
        <v>898</v>
      </c>
      <c r="M611" t="s">
        <v>898</v>
      </c>
      <c r="N611" t="s">
        <v>898</v>
      </c>
      <c r="P611" t="s">
        <v>898</v>
      </c>
      <c r="Q611" t="s">
        <v>898</v>
      </c>
    </row>
    <row r="612">
      <c r="I612" t="s">
        <v>898</v>
      </c>
      <c r="J612" s="237" t="s">
        <v>898</v>
      </c>
      <c r="K612" s="238" t="s">
        <v>898</v>
      </c>
      <c r="L612" t="s">
        <v>898</v>
      </c>
      <c r="M612" t="s">
        <v>898</v>
      </c>
      <c r="N612" t="s">
        <v>898</v>
      </c>
      <c r="P612" t="s">
        <v>898</v>
      </c>
      <c r="Q612" t="s">
        <v>898</v>
      </c>
    </row>
    <row r="613">
      <c r="I613" t="s">
        <v>898</v>
      </c>
      <c r="J613" s="237" t="s">
        <v>898</v>
      </c>
      <c r="K613" s="238" t="s">
        <v>898</v>
      </c>
      <c r="L613" t="s">
        <v>898</v>
      </c>
      <c r="M613" t="s">
        <v>898</v>
      </c>
      <c r="N613" t="s">
        <v>898</v>
      </c>
      <c r="P613" t="s">
        <v>898</v>
      </c>
      <c r="Q613" t="s">
        <v>898</v>
      </c>
    </row>
    <row r="614">
      <c r="I614" t="s">
        <v>898</v>
      </c>
      <c r="J614" s="237" t="s">
        <v>898</v>
      </c>
      <c r="K614" s="238" t="s">
        <v>898</v>
      </c>
      <c r="L614" t="s">
        <v>898</v>
      </c>
      <c r="M614" t="s">
        <v>898</v>
      </c>
      <c r="N614" t="s">
        <v>898</v>
      </c>
      <c r="P614" t="s">
        <v>898</v>
      </c>
      <c r="Q614" t="s">
        <v>898</v>
      </c>
    </row>
    <row r="615">
      <c r="I615" t="s">
        <v>898</v>
      </c>
      <c r="J615" s="237" t="s">
        <v>898</v>
      </c>
      <c r="K615" s="238" t="s">
        <v>898</v>
      </c>
      <c r="L615" t="s">
        <v>898</v>
      </c>
      <c r="M615" t="s">
        <v>898</v>
      </c>
      <c r="N615" t="s">
        <v>898</v>
      </c>
      <c r="P615" t="s">
        <v>898</v>
      </c>
      <c r="Q615" t="s">
        <v>898</v>
      </c>
    </row>
    <row r="616">
      <c r="I616" t="s">
        <v>898</v>
      </c>
      <c r="J616" s="237" t="s">
        <v>898</v>
      </c>
      <c r="K616" s="238" t="s">
        <v>898</v>
      </c>
      <c r="L616" t="s">
        <v>898</v>
      </c>
      <c r="M616" t="s">
        <v>898</v>
      </c>
      <c r="N616" t="s">
        <v>898</v>
      </c>
      <c r="P616" t="s">
        <v>898</v>
      </c>
      <c r="Q616" t="s">
        <v>898</v>
      </c>
    </row>
    <row r="617">
      <c r="I617" t="s">
        <v>898</v>
      </c>
      <c r="J617" s="237" t="s">
        <v>898</v>
      </c>
      <c r="K617" s="238" t="s">
        <v>898</v>
      </c>
      <c r="L617" t="s">
        <v>898</v>
      </c>
      <c r="M617" t="s">
        <v>898</v>
      </c>
      <c r="N617" t="s">
        <v>898</v>
      </c>
      <c r="P617" t="s">
        <v>898</v>
      </c>
      <c r="Q617" t="s">
        <v>898</v>
      </c>
    </row>
    <row r="618">
      <c r="I618" t="s">
        <v>898</v>
      </c>
      <c r="J618" s="237" t="s">
        <v>898</v>
      </c>
      <c r="K618" s="238" t="s">
        <v>898</v>
      </c>
      <c r="L618" t="s">
        <v>898</v>
      </c>
      <c r="M618" t="s">
        <v>898</v>
      </c>
      <c r="N618" t="s">
        <v>898</v>
      </c>
      <c r="P618" t="s">
        <v>898</v>
      </c>
      <c r="Q618" t="s">
        <v>898</v>
      </c>
    </row>
    <row r="619">
      <c r="I619" t="s">
        <v>898</v>
      </c>
      <c r="J619" s="237" t="s">
        <v>898</v>
      </c>
      <c r="K619" s="238" t="s">
        <v>898</v>
      </c>
      <c r="L619" t="s">
        <v>898</v>
      </c>
      <c r="M619" t="s">
        <v>898</v>
      </c>
      <c r="N619" t="s">
        <v>898</v>
      </c>
      <c r="P619" t="s">
        <v>898</v>
      </c>
      <c r="Q619" t="s">
        <v>898</v>
      </c>
    </row>
    <row r="620">
      <c r="I620" t="s">
        <v>898</v>
      </c>
      <c r="J620" s="237" t="s">
        <v>898</v>
      </c>
      <c r="K620" s="238" t="s">
        <v>898</v>
      </c>
      <c r="L620" t="s">
        <v>898</v>
      </c>
      <c r="M620" t="s">
        <v>898</v>
      </c>
      <c r="N620" t="s">
        <v>898</v>
      </c>
      <c r="P620" t="s">
        <v>898</v>
      </c>
      <c r="Q620" t="s">
        <v>898</v>
      </c>
    </row>
    <row r="621">
      <c r="I621" t="s">
        <v>898</v>
      </c>
      <c r="J621" s="237" t="s">
        <v>898</v>
      </c>
      <c r="K621" s="238" t="s">
        <v>898</v>
      </c>
      <c r="L621" t="s">
        <v>898</v>
      </c>
      <c r="M621" t="s">
        <v>898</v>
      </c>
      <c r="N621" t="s">
        <v>898</v>
      </c>
      <c r="P621" t="s">
        <v>898</v>
      </c>
      <c r="Q621" t="s">
        <v>898</v>
      </c>
    </row>
    <row r="622">
      <c r="I622" t="s">
        <v>898</v>
      </c>
      <c r="J622" s="237" t="s">
        <v>898</v>
      </c>
      <c r="K622" s="238" t="s">
        <v>898</v>
      </c>
      <c r="L622" t="s">
        <v>898</v>
      </c>
      <c r="M622" t="s">
        <v>898</v>
      </c>
      <c r="N622" t="s">
        <v>898</v>
      </c>
      <c r="P622" t="s">
        <v>898</v>
      </c>
      <c r="Q622" t="s">
        <v>898</v>
      </c>
    </row>
    <row r="623">
      <c r="I623" t="s">
        <v>898</v>
      </c>
      <c r="J623" s="237" t="s">
        <v>898</v>
      </c>
      <c r="K623" s="238" t="s">
        <v>898</v>
      </c>
      <c r="L623" t="s">
        <v>898</v>
      </c>
      <c r="M623" t="s">
        <v>898</v>
      </c>
      <c r="N623" t="s">
        <v>898</v>
      </c>
      <c r="P623" t="s">
        <v>898</v>
      </c>
      <c r="Q623" t="s">
        <v>898</v>
      </c>
    </row>
    <row r="624">
      <c r="I624" t="s">
        <v>898</v>
      </c>
      <c r="J624" s="237" t="s">
        <v>898</v>
      </c>
      <c r="K624" s="238" t="s">
        <v>898</v>
      </c>
      <c r="L624" t="s">
        <v>898</v>
      </c>
      <c r="M624" t="s">
        <v>898</v>
      </c>
      <c r="N624" t="s">
        <v>898</v>
      </c>
      <c r="P624" t="s">
        <v>898</v>
      </c>
      <c r="Q624" t="s">
        <v>898</v>
      </c>
    </row>
    <row r="625">
      <c r="I625" t="s">
        <v>898</v>
      </c>
      <c r="J625" s="237" t="s">
        <v>898</v>
      </c>
      <c r="K625" s="238" t="s">
        <v>898</v>
      </c>
      <c r="L625" t="s">
        <v>898</v>
      </c>
      <c r="M625" t="s">
        <v>898</v>
      </c>
      <c r="N625" t="s">
        <v>898</v>
      </c>
      <c r="P625" t="s">
        <v>898</v>
      </c>
      <c r="Q625" t="s">
        <v>898</v>
      </c>
    </row>
    <row r="626">
      <c r="I626" t="s">
        <v>898</v>
      </c>
      <c r="J626" s="237" t="s">
        <v>898</v>
      </c>
      <c r="K626" s="238" t="s">
        <v>898</v>
      </c>
      <c r="L626" t="s">
        <v>898</v>
      </c>
      <c r="M626" t="s">
        <v>898</v>
      </c>
      <c r="N626" t="s">
        <v>898</v>
      </c>
      <c r="P626" t="s">
        <v>898</v>
      </c>
      <c r="Q626" t="s">
        <v>898</v>
      </c>
    </row>
    <row r="627">
      <c r="I627" t="s">
        <v>898</v>
      </c>
      <c r="J627" s="237" t="s">
        <v>898</v>
      </c>
      <c r="K627" s="238" t="s">
        <v>898</v>
      </c>
      <c r="L627" t="s">
        <v>898</v>
      </c>
      <c r="M627" t="s">
        <v>898</v>
      </c>
      <c r="N627" t="s">
        <v>898</v>
      </c>
      <c r="P627" t="s">
        <v>898</v>
      </c>
      <c r="Q627" t="s">
        <v>898</v>
      </c>
    </row>
    <row r="628">
      <c r="I628" t="s">
        <v>898</v>
      </c>
      <c r="J628" s="237" t="s">
        <v>898</v>
      </c>
      <c r="K628" s="238" t="s">
        <v>898</v>
      </c>
      <c r="L628" t="s">
        <v>898</v>
      </c>
      <c r="M628" t="s">
        <v>898</v>
      </c>
      <c r="N628" t="s">
        <v>898</v>
      </c>
      <c r="P628" t="s">
        <v>898</v>
      </c>
      <c r="Q628" t="s">
        <v>898</v>
      </c>
    </row>
    <row r="629">
      <c r="I629" t="s">
        <v>898</v>
      </c>
      <c r="J629" s="237" t="s">
        <v>898</v>
      </c>
      <c r="K629" s="238" t="s">
        <v>898</v>
      </c>
      <c r="L629" t="s">
        <v>898</v>
      </c>
      <c r="M629" t="s">
        <v>898</v>
      </c>
      <c r="N629" t="s">
        <v>898</v>
      </c>
      <c r="P629" t="s">
        <v>898</v>
      </c>
      <c r="Q629" t="s">
        <v>898</v>
      </c>
    </row>
    <row r="630">
      <c r="I630" t="s">
        <v>898</v>
      </c>
      <c r="J630" s="237" t="s">
        <v>898</v>
      </c>
      <c r="K630" s="238" t="s">
        <v>898</v>
      </c>
      <c r="L630" t="s">
        <v>898</v>
      </c>
      <c r="M630" t="s">
        <v>898</v>
      </c>
      <c r="N630" t="s">
        <v>898</v>
      </c>
      <c r="P630" t="s">
        <v>898</v>
      </c>
      <c r="Q630" t="s">
        <v>898</v>
      </c>
    </row>
    <row r="631">
      <c r="I631" t="s">
        <v>898</v>
      </c>
      <c r="J631" s="237" t="s">
        <v>898</v>
      </c>
      <c r="K631" s="238" t="s">
        <v>898</v>
      </c>
      <c r="L631" t="s">
        <v>898</v>
      </c>
      <c r="M631" t="s">
        <v>898</v>
      </c>
      <c r="N631" t="s">
        <v>898</v>
      </c>
      <c r="P631" t="s">
        <v>898</v>
      </c>
      <c r="Q631" t="s">
        <v>898</v>
      </c>
    </row>
    <row r="632">
      <c r="I632" t="s">
        <v>898</v>
      </c>
      <c r="J632" s="237" t="s">
        <v>898</v>
      </c>
      <c r="K632" s="238" t="s">
        <v>898</v>
      </c>
      <c r="L632" t="s">
        <v>898</v>
      </c>
      <c r="M632" t="s">
        <v>898</v>
      </c>
      <c r="N632" t="s">
        <v>898</v>
      </c>
      <c r="P632" t="s">
        <v>898</v>
      </c>
      <c r="Q632" t="s">
        <v>898</v>
      </c>
    </row>
    <row r="633">
      <c r="I633" t="s">
        <v>898</v>
      </c>
      <c r="J633" s="237" t="s">
        <v>898</v>
      </c>
      <c r="K633" s="238" t="s">
        <v>898</v>
      </c>
      <c r="L633" t="s">
        <v>898</v>
      </c>
      <c r="M633" t="s">
        <v>898</v>
      </c>
      <c r="N633" t="s">
        <v>898</v>
      </c>
      <c r="P633" t="s">
        <v>898</v>
      </c>
      <c r="Q633" t="s">
        <v>898</v>
      </c>
    </row>
    <row r="634">
      <c r="I634" t="s">
        <v>898</v>
      </c>
      <c r="J634" s="237" t="s">
        <v>898</v>
      </c>
      <c r="K634" s="238" t="s">
        <v>898</v>
      </c>
      <c r="L634" t="s">
        <v>898</v>
      </c>
      <c r="M634" t="s">
        <v>898</v>
      </c>
      <c r="N634" t="s">
        <v>898</v>
      </c>
      <c r="P634" t="s">
        <v>898</v>
      </c>
      <c r="Q634" t="s">
        <v>898</v>
      </c>
    </row>
    <row r="635">
      <c r="I635" t="s">
        <v>898</v>
      </c>
      <c r="J635" s="237" t="s">
        <v>898</v>
      </c>
      <c r="K635" s="238" t="s">
        <v>898</v>
      </c>
      <c r="L635" t="s">
        <v>898</v>
      </c>
      <c r="M635" t="s">
        <v>898</v>
      </c>
      <c r="N635" t="s">
        <v>898</v>
      </c>
      <c r="P635" t="s">
        <v>898</v>
      </c>
      <c r="Q635" t="s">
        <v>898</v>
      </c>
    </row>
    <row r="636">
      <c r="I636" t="s">
        <v>898</v>
      </c>
      <c r="J636" s="237" t="s">
        <v>898</v>
      </c>
      <c r="K636" s="238" t="s">
        <v>898</v>
      </c>
      <c r="L636" t="s">
        <v>898</v>
      </c>
      <c r="M636" t="s">
        <v>898</v>
      </c>
      <c r="N636" t="s">
        <v>898</v>
      </c>
      <c r="P636" t="s">
        <v>898</v>
      </c>
      <c r="Q636" t="s">
        <v>898</v>
      </c>
    </row>
    <row r="637">
      <c r="I637" t="s">
        <v>898</v>
      </c>
      <c r="J637" s="237" t="s">
        <v>898</v>
      </c>
      <c r="K637" s="238" t="s">
        <v>898</v>
      </c>
      <c r="L637" t="s">
        <v>898</v>
      </c>
      <c r="M637" t="s">
        <v>898</v>
      </c>
      <c r="N637" t="s">
        <v>898</v>
      </c>
      <c r="P637" t="s">
        <v>898</v>
      </c>
      <c r="Q637" t="s">
        <v>898</v>
      </c>
    </row>
    <row r="638">
      <c r="I638" t="s">
        <v>898</v>
      </c>
      <c r="J638" s="237" t="s">
        <v>898</v>
      </c>
      <c r="K638" s="238" t="s">
        <v>898</v>
      </c>
      <c r="L638" t="s">
        <v>898</v>
      </c>
      <c r="M638" t="s">
        <v>898</v>
      </c>
      <c r="N638" t="s">
        <v>898</v>
      </c>
      <c r="P638" t="s">
        <v>898</v>
      </c>
      <c r="Q638" t="s">
        <v>898</v>
      </c>
    </row>
    <row r="639">
      <c r="I639" t="s">
        <v>898</v>
      </c>
      <c r="J639" s="237" t="s">
        <v>898</v>
      </c>
      <c r="K639" s="238" t="s">
        <v>898</v>
      </c>
      <c r="L639" t="s">
        <v>898</v>
      </c>
      <c r="M639" t="s">
        <v>898</v>
      </c>
      <c r="N639" t="s">
        <v>898</v>
      </c>
      <c r="P639" t="s">
        <v>898</v>
      </c>
      <c r="Q639" t="s">
        <v>898</v>
      </c>
    </row>
    <row r="640">
      <c r="I640" t="s">
        <v>898</v>
      </c>
      <c r="J640" s="237" t="s">
        <v>898</v>
      </c>
      <c r="K640" s="238" t="s">
        <v>898</v>
      </c>
      <c r="L640" t="s">
        <v>898</v>
      </c>
      <c r="M640" t="s">
        <v>898</v>
      </c>
      <c r="N640" t="s">
        <v>898</v>
      </c>
      <c r="P640" t="s">
        <v>898</v>
      </c>
      <c r="Q640" t="s">
        <v>898</v>
      </c>
    </row>
    <row r="641">
      <c r="I641" t="s">
        <v>898</v>
      </c>
      <c r="J641" s="237" t="s">
        <v>898</v>
      </c>
      <c r="K641" s="238" t="s">
        <v>898</v>
      </c>
      <c r="L641" t="s">
        <v>898</v>
      </c>
      <c r="M641" t="s">
        <v>898</v>
      </c>
      <c r="N641" t="s">
        <v>898</v>
      </c>
      <c r="P641" t="s">
        <v>898</v>
      </c>
      <c r="Q641" t="s">
        <v>898</v>
      </c>
    </row>
    <row r="642">
      <c r="I642" t="s">
        <v>898</v>
      </c>
      <c r="J642" s="237" t="s">
        <v>898</v>
      </c>
      <c r="K642" s="238" t="s">
        <v>898</v>
      </c>
      <c r="L642" t="s">
        <v>898</v>
      </c>
      <c r="M642" t="s">
        <v>898</v>
      </c>
      <c r="N642" t="s">
        <v>898</v>
      </c>
      <c r="P642" t="s">
        <v>898</v>
      </c>
      <c r="Q642" t="s">
        <v>898</v>
      </c>
    </row>
    <row r="643">
      <c r="I643" t="s">
        <v>898</v>
      </c>
      <c r="J643" s="237" t="s">
        <v>898</v>
      </c>
      <c r="K643" s="238" t="s">
        <v>898</v>
      </c>
      <c r="L643" t="s">
        <v>898</v>
      </c>
      <c r="M643" t="s">
        <v>898</v>
      </c>
      <c r="N643" t="s">
        <v>898</v>
      </c>
      <c r="P643" t="s">
        <v>898</v>
      </c>
      <c r="Q643" t="s">
        <v>898</v>
      </c>
    </row>
    <row r="644">
      <c r="I644" t="s">
        <v>898</v>
      </c>
      <c r="J644" s="237" t="s">
        <v>898</v>
      </c>
      <c r="K644" s="238" t="s">
        <v>898</v>
      </c>
      <c r="L644" t="s">
        <v>898</v>
      </c>
      <c r="M644" t="s">
        <v>898</v>
      </c>
      <c r="N644" t="s">
        <v>898</v>
      </c>
      <c r="P644" t="s">
        <v>898</v>
      </c>
      <c r="Q644" t="s">
        <v>898</v>
      </c>
    </row>
    <row r="645">
      <c r="I645" t="s">
        <v>898</v>
      </c>
      <c r="J645" s="237" t="s">
        <v>898</v>
      </c>
      <c r="K645" s="238" t="s">
        <v>898</v>
      </c>
      <c r="L645" t="s">
        <v>898</v>
      </c>
      <c r="M645" t="s">
        <v>898</v>
      </c>
      <c r="N645" t="s">
        <v>898</v>
      </c>
      <c r="P645" t="s">
        <v>898</v>
      </c>
      <c r="Q645" t="s">
        <v>898</v>
      </c>
    </row>
    <row r="646">
      <c r="I646" t="s">
        <v>898</v>
      </c>
      <c r="J646" s="237" t="s">
        <v>898</v>
      </c>
      <c r="K646" s="238" t="s">
        <v>898</v>
      </c>
      <c r="L646" t="s">
        <v>898</v>
      </c>
      <c r="M646" t="s">
        <v>898</v>
      </c>
      <c r="N646" t="s">
        <v>898</v>
      </c>
      <c r="P646" t="s">
        <v>898</v>
      </c>
      <c r="Q646" t="s">
        <v>898</v>
      </c>
    </row>
    <row r="647">
      <c r="I647" t="s">
        <v>898</v>
      </c>
      <c r="J647" s="237" t="s">
        <v>898</v>
      </c>
      <c r="K647" s="238" t="s">
        <v>898</v>
      </c>
      <c r="L647" t="s">
        <v>898</v>
      </c>
      <c r="M647" t="s">
        <v>898</v>
      </c>
      <c r="N647" t="s">
        <v>898</v>
      </c>
      <c r="P647" t="s">
        <v>898</v>
      </c>
      <c r="Q647" t="s">
        <v>898</v>
      </c>
    </row>
    <row r="648">
      <c r="I648" t="s">
        <v>898</v>
      </c>
      <c r="J648" s="237" t="s">
        <v>898</v>
      </c>
      <c r="K648" s="238" t="s">
        <v>898</v>
      </c>
      <c r="L648" t="s">
        <v>898</v>
      </c>
      <c r="M648" t="s">
        <v>898</v>
      </c>
      <c r="N648" t="s">
        <v>898</v>
      </c>
      <c r="P648" t="s">
        <v>898</v>
      </c>
      <c r="Q648" t="s">
        <v>898</v>
      </c>
    </row>
    <row r="649">
      <c r="I649" t="s">
        <v>898</v>
      </c>
      <c r="J649" s="237" t="s">
        <v>898</v>
      </c>
      <c r="K649" s="238" t="s">
        <v>898</v>
      </c>
      <c r="L649" t="s">
        <v>898</v>
      </c>
      <c r="M649" t="s">
        <v>898</v>
      </c>
      <c r="N649" t="s">
        <v>898</v>
      </c>
      <c r="P649" t="s">
        <v>898</v>
      </c>
      <c r="Q649" t="s">
        <v>898</v>
      </c>
    </row>
    <row r="650">
      <c r="I650" t="s">
        <v>898</v>
      </c>
      <c r="J650" s="237" t="s">
        <v>898</v>
      </c>
      <c r="K650" s="238" t="s">
        <v>898</v>
      </c>
      <c r="L650" t="s">
        <v>898</v>
      </c>
      <c r="M650" t="s">
        <v>898</v>
      </c>
      <c r="N650" t="s">
        <v>898</v>
      </c>
      <c r="P650" t="s">
        <v>898</v>
      </c>
      <c r="Q650" t="s">
        <v>898</v>
      </c>
    </row>
    <row r="651">
      <c r="I651" t="s">
        <v>898</v>
      </c>
      <c r="J651" s="237" t="s">
        <v>898</v>
      </c>
      <c r="K651" s="238" t="s">
        <v>898</v>
      </c>
      <c r="L651" t="s">
        <v>898</v>
      </c>
      <c r="M651" t="s">
        <v>898</v>
      </c>
      <c r="N651" t="s">
        <v>898</v>
      </c>
      <c r="P651" t="s">
        <v>898</v>
      </c>
      <c r="Q651" t="s">
        <v>898</v>
      </c>
    </row>
    <row r="652">
      <c r="I652" t="s">
        <v>898</v>
      </c>
      <c r="J652" s="237" t="s">
        <v>898</v>
      </c>
      <c r="K652" s="238" t="s">
        <v>898</v>
      </c>
      <c r="L652" t="s">
        <v>898</v>
      </c>
      <c r="M652" t="s">
        <v>898</v>
      </c>
      <c r="N652" t="s">
        <v>898</v>
      </c>
      <c r="P652" t="s">
        <v>898</v>
      </c>
      <c r="Q652" t="s">
        <v>898</v>
      </c>
    </row>
    <row r="653">
      <c r="I653" t="s">
        <v>898</v>
      </c>
      <c r="J653" s="237" t="s">
        <v>898</v>
      </c>
      <c r="K653" s="238" t="s">
        <v>898</v>
      </c>
      <c r="L653" t="s">
        <v>898</v>
      </c>
      <c r="M653" t="s">
        <v>898</v>
      </c>
      <c r="N653" t="s">
        <v>898</v>
      </c>
      <c r="P653" t="s">
        <v>898</v>
      </c>
      <c r="Q653" t="s">
        <v>898</v>
      </c>
    </row>
    <row r="654">
      <c r="I654" t="s">
        <v>898</v>
      </c>
      <c r="J654" s="237" t="s">
        <v>898</v>
      </c>
      <c r="K654" s="238" t="s">
        <v>898</v>
      </c>
      <c r="L654" t="s">
        <v>898</v>
      </c>
      <c r="M654" t="s">
        <v>898</v>
      </c>
      <c r="N654" t="s">
        <v>898</v>
      </c>
      <c r="P654" t="s">
        <v>898</v>
      </c>
      <c r="Q654" t="s">
        <v>898</v>
      </c>
    </row>
    <row r="655">
      <c r="I655" t="s">
        <v>898</v>
      </c>
      <c r="J655" s="237" t="s">
        <v>898</v>
      </c>
      <c r="K655" s="238" t="s">
        <v>898</v>
      </c>
      <c r="L655" t="s">
        <v>898</v>
      </c>
      <c r="M655" t="s">
        <v>898</v>
      </c>
      <c r="N655" t="s">
        <v>898</v>
      </c>
      <c r="P655" t="s">
        <v>898</v>
      </c>
      <c r="Q655" t="s">
        <v>898</v>
      </c>
    </row>
    <row r="656">
      <c r="I656" t="s">
        <v>898</v>
      </c>
      <c r="J656" s="237" t="s">
        <v>898</v>
      </c>
      <c r="K656" s="238" t="s">
        <v>898</v>
      </c>
      <c r="L656" t="s">
        <v>898</v>
      </c>
      <c r="M656" t="s">
        <v>898</v>
      </c>
      <c r="N656" t="s">
        <v>898</v>
      </c>
      <c r="P656" t="s">
        <v>898</v>
      </c>
      <c r="Q656" t="s">
        <v>898</v>
      </c>
    </row>
    <row r="657">
      <c r="I657" t="s">
        <v>898</v>
      </c>
      <c r="J657" s="237" t="s">
        <v>898</v>
      </c>
      <c r="K657" s="238" t="s">
        <v>898</v>
      </c>
      <c r="L657" t="s">
        <v>898</v>
      </c>
      <c r="M657" t="s">
        <v>898</v>
      </c>
      <c r="N657" t="s">
        <v>898</v>
      </c>
      <c r="P657" t="s">
        <v>898</v>
      </c>
      <c r="Q657" t="s">
        <v>898</v>
      </c>
    </row>
    <row r="658">
      <c r="I658" t="s">
        <v>898</v>
      </c>
      <c r="J658" s="237" t="s">
        <v>898</v>
      </c>
      <c r="K658" s="238" t="s">
        <v>898</v>
      </c>
      <c r="L658" t="s">
        <v>898</v>
      </c>
      <c r="M658" t="s">
        <v>898</v>
      </c>
      <c r="N658" t="s">
        <v>898</v>
      </c>
      <c r="P658" t="s">
        <v>898</v>
      </c>
      <c r="Q658" t="s">
        <v>898</v>
      </c>
    </row>
    <row r="659">
      <c r="I659" t="s">
        <v>898</v>
      </c>
      <c r="J659" s="237" t="s">
        <v>898</v>
      </c>
      <c r="K659" s="238" t="s">
        <v>898</v>
      </c>
      <c r="L659" t="s">
        <v>898</v>
      </c>
      <c r="M659" t="s">
        <v>898</v>
      </c>
      <c r="N659" t="s">
        <v>898</v>
      </c>
      <c r="P659" t="s">
        <v>898</v>
      </c>
      <c r="Q659" t="s">
        <v>898</v>
      </c>
    </row>
    <row r="660">
      <c r="I660" t="s">
        <v>898</v>
      </c>
      <c r="J660" s="237" t="s">
        <v>898</v>
      </c>
      <c r="K660" s="238" t="s">
        <v>898</v>
      </c>
      <c r="L660" t="s">
        <v>898</v>
      </c>
      <c r="M660" t="s">
        <v>898</v>
      </c>
      <c r="N660" t="s">
        <v>898</v>
      </c>
      <c r="P660" t="s">
        <v>898</v>
      </c>
      <c r="Q660" t="s">
        <v>898</v>
      </c>
    </row>
    <row r="661">
      <c r="I661" t="s">
        <v>898</v>
      </c>
      <c r="J661" s="237" t="s">
        <v>898</v>
      </c>
      <c r="K661" s="238" t="s">
        <v>898</v>
      </c>
      <c r="L661" t="s">
        <v>898</v>
      </c>
      <c r="M661" t="s">
        <v>898</v>
      </c>
      <c r="N661" t="s">
        <v>898</v>
      </c>
      <c r="P661" t="s">
        <v>898</v>
      </c>
      <c r="Q661" t="s">
        <v>898</v>
      </c>
    </row>
    <row r="662">
      <c r="I662" t="s">
        <v>898</v>
      </c>
      <c r="J662" s="237" t="s">
        <v>898</v>
      </c>
      <c r="K662" s="238" t="s">
        <v>898</v>
      </c>
      <c r="L662" t="s">
        <v>898</v>
      </c>
      <c r="M662" t="s">
        <v>898</v>
      </c>
      <c r="N662" t="s">
        <v>898</v>
      </c>
      <c r="P662" t="s">
        <v>898</v>
      </c>
      <c r="Q662" t="s">
        <v>898</v>
      </c>
    </row>
    <row r="663">
      <c r="I663" t="s">
        <v>898</v>
      </c>
      <c r="J663" s="237" t="s">
        <v>898</v>
      </c>
      <c r="K663" s="238" t="s">
        <v>898</v>
      </c>
      <c r="L663" t="s">
        <v>898</v>
      </c>
      <c r="M663" t="s">
        <v>898</v>
      </c>
      <c r="N663" t="s">
        <v>898</v>
      </c>
      <c r="P663" t="s">
        <v>898</v>
      </c>
      <c r="Q663" t="s">
        <v>898</v>
      </c>
    </row>
    <row r="664">
      <c r="I664" t="s">
        <v>898</v>
      </c>
      <c r="J664" s="237" t="s">
        <v>898</v>
      </c>
      <c r="K664" s="238" t="s">
        <v>898</v>
      </c>
      <c r="L664" t="s">
        <v>898</v>
      </c>
      <c r="M664" t="s">
        <v>898</v>
      </c>
      <c r="N664" t="s">
        <v>898</v>
      </c>
      <c r="P664" t="s">
        <v>898</v>
      </c>
      <c r="Q664" t="s">
        <v>898</v>
      </c>
    </row>
    <row r="665">
      <c r="I665" t="s">
        <v>898</v>
      </c>
      <c r="J665" s="237" t="s">
        <v>898</v>
      </c>
      <c r="K665" s="238" t="s">
        <v>898</v>
      </c>
      <c r="L665" t="s">
        <v>898</v>
      </c>
      <c r="M665" t="s">
        <v>898</v>
      </c>
      <c r="N665" t="s">
        <v>898</v>
      </c>
      <c r="P665" t="s">
        <v>898</v>
      </c>
      <c r="Q665" t="s">
        <v>898</v>
      </c>
    </row>
    <row r="666">
      <c r="I666" t="s">
        <v>898</v>
      </c>
      <c r="J666" s="237" t="s">
        <v>898</v>
      </c>
      <c r="K666" s="238" t="s">
        <v>898</v>
      </c>
      <c r="L666" t="s">
        <v>898</v>
      </c>
      <c r="M666" t="s">
        <v>898</v>
      </c>
      <c r="N666" t="s">
        <v>898</v>
      </c>
      <c r="P666" t="s">
        <v>898</v>
      </c>
      <c r="Q666" t="s">
        <v>898</v>
      </c>
    </row>
    <row r="667">
      <c r="I667" t="s">
        <v>898</v>
      </c>
      <c r="J667" s="237" t="s">
        <v>898</v>
      </c>
      <c r="K667" s="238" t="s">
        <v>898</v>
      </c>
      <c r="L667" t="s">
        <v>898</v>
      </c>
      <c r="M667" t="s">
        <v>898</v>
      </c>
      <c r="N667" t="s">
        <v>898</v>
      </c>
      <c r="P667" t="s">
        <v>898</v>
      </c>
      <c r="Q667" t="s">
        <v>898</v>
      </c>
    </row>
    <row r="668">
      <c r="I668" t="s">
        <v>898</v>
      </c>
      <c r="J668" s="237" t="s">
        <v>898</v>
      </c>
      <c r="K668" s="238" t="s">
        <v>898</v>
      </c>
      <c r="L668" t="s">
        <v>898</v>
      </c>
      <c r="M668" t="s">
        <v>898</v>
      </c>
      <c r="N668" t="s">
        <v>898</v>
      </c>
      <c r="P668" t="s">
        <v>898</v>
      </c>
      <c r="Q668" t="s">
        <v>898</v>
      </c>
    </row>
    <row r="669">
      <c r="I669" t="s">
        <v>898</v>
      </c>
      <c r="J669" s="237" t="s">
        <v>898</v>
      </c>
      <c r="K669" s="238" t="s">
        <v>898</v>
      </c>
      <c r="L669" t="s">
        <v>898</v>
      </c>
      <c r="M669" t="s">
        <v>898</v>
      </c>
      <c r="N669" t="s">
        <v>898</v>
      </c>
      <c r="P669" t="s">
        <v>898</v>
      </c>
      <c r="Q669" t="s">
        <v>898</v>
      </c>
    </row>
    <row r="670">
      <c r="I670" t="s">
        <v>898</v>
      </c>
      <c r="J670" s="237" t="s">
        <v>898</v>
      </c>
      <c r="K670" s="238" t="s">
        <v>898</v>
      </c>
      <c r="L670" t="s">
        <v>898</v>
      </c>
      <c r="M670" t="s">
        <v>898</v>
      </c>
      <c r="N670" t="s">
        <v>898</v>
      </c>
      <c r="P670" t="s">
        <v>898</v>
      </c>
      <c r="Q670" t="s">
        <v>898</v>
      </c>
    </row>
    <row r="671">
      <c r="I671" t="s">
        <v>898</v>
      </c>
      <c r="J671" s="237" t="s">
        <v>898</v>
      </c>
      <c r="K671" s="238" t="s">
        <v>898</v>
      </c>
      <c r="L671" t="s">
        <v>898</v>
      </c>
      <c r="M671" t="s">
        <v>898</v>
      </c>
      <c r="N671" t="s">
        <v>898</v>
      </c>
      <c r="P671" t="s">
        <v>898</v>
      </c>
      <c r="Q671" t="s">
        <v>898</v>
      </c>
    </row>
    <row r="672">
      <c r="I672" t="s">
        <v>898</v>
      </c>
      <c r="J672" s="237" t="s">
        <v>898</v>
      </c>
      <c r="K672" s="238" t="s">
        <v>898</v>
      </c>
      <c r="L672" t="s">
        <v>898</v>
      </c>
      <c r="M672" t="s">
        <v>898</v>
      </c>
      <c r="N672" t="s">
        <v>898</v>
      </c>
      <c r="P672" t="s">
        <v>898</v>
      </c>
      <c r="Q672" t="s">
        <v>898</v>
      </c>
    </row>
    <row r="673">
      <c r="I673" t="s">
        <v>898</v>
      </c>
      <c r="J673" s="237" t="s">
        <v>898</v>
      </c>
      <c r="K673" s="238" t="s">
        <v>898</v>
      </c>
      <c r="L673" t="s">
        <v>898</v>
      </c>
      <c r="M673" t="s">
        <v>898</v>
      </c>
      <c r="N673" t="s">
        <v>898</v>
      </c>
      <c r="P673" t="s">
        <v>898</v>
      </c>
      <c r="Q673" t="s">
        <v>898</v>
      </c>
    </row>
    <row r="674">
      <c r="I674" t="s">
        <v>898</v>
      </c>
      <c r="J674" s="237" t="s">
        <v>898</v>
      </c>
      <c r="K674" s="238" t="s">
        <v>898</v>
      </c>
      <c r="L674" t="s">
        <v>898</v>
      </c>
      <c r="M674" t="s">
        <v>898</v>
      </c>
      <c r="N674" t="s">
        <v>898</v>
      </c>
      <c r="P674" t="s">
        <v>898</v>
      </c>
      <c r="Q674" t="s">
        <v>898</v>
      </c>
    </row>
    <row r="675">
      <c r="I675" t="s">
        <v>898</v>
      </c>
      <c r="J675" s="237" t="s">
        <v>898</v>
      </c>
      <c r="K675" s="238" t="s">
        <v>898</v>
      </c>
      <c r="L675" t="s">
        <v>898</v>
      </c>
      <c r="M675" t="s">
        <v>898</v>
      </c>
      <c r="N675" t="s">
        <v>898</v>
      </c>
      <c r="P675" t="s">
        <v>898</v>
      </c>
      <c r="Q675" t="s">
        <v>898</v>
      </c>
    </row>
    <row r="676">
      <c r="I676" t="s">
        <v>898</v>
      </c>
      <c r="J676" s="237" t="s">
        <v>898</v>
      </c>
      <c r="K676" s="238" t="s">
        <v>898</v>
      </c>
      <c r="L676" t="s">
        <v>898</v>
      </c>
      <c r="M676" t="s">
        <v>898</v>
      </c>
      <c r="N676" t="s">
        <v>898</v>
      </c>
      <c r="P676" t="s">
        <v>898</v>
      </c>
      <c r="Q676" t="s">
        <v>898</v>
      </c>
    </row>
    <row r="677">
      <c r="I677" t="s">
        <v>898</v>
      </c>
      <c r="J677" s="237" t="s">
        <v>898</v>
      </c>
      <c r="K677" s="238" t="s">
        <v>898</v>
      </c>
      <c r="L677" t="s">
        <v>898</v>
      </c>
      <c r="M677" t="s">
        <v>898</v>
      </c>
      <c r="N677" t="s">
        <v>898</v>
      </c>
      <c r="P677" t="s">
        <v>898</v>
      </c>
      <c r="Q677" t="s">
        <v>898</v>
      </c>
    </row>
    <row r="678">
      <c r="I678" t="s">
        <v>898</v>
      </c>
      <c r="J678" s="237" t="s">
        <v>898</v>
      </c>
      <c r="K678" s="238" t="s">
        <v>898</v>
      </c>
      <c r="L678" t="s">
        <v>898</v>
      </c>
      <c r="M678" t="s">
        <v>898</v>
      </c>
      <c r="N678" t="s">
        <v>898</v>
      </c>
      <c r="P678" t="s">
        <v>898</v>
      </c>
      <c r="Q678" t="s">
        <v>898</v>
      </c>
    </row>
    <row r="679">
      <c r="I679" t="s">
        <v>898</v>
      </c>
      <c r="J679" s="237" t="s">
        <v>898</v>
      </c>
      <c r="K679" s="238" t="s">
        <v>898</v>
      </c>
      <c r="L679" t="s">
        <v>898</v>
      </c>
      <c r="M679" t="s">
        <v>898</v>
      </c>
      <c r="N679" t="s">
        <v>898</v>
      </c>
      <c r="P679" t="s">
        <v>898</v>
      </c>
      <c r="Q679" t="s">
        <v>898</v>
      </c>
    </row>
    <row r="680">
      <c r="I680" t="s">
        <v>898</v>
      </c>
      <c r="J680" s="237" t="s">
        <v>898</v>
      </c>
      <c r="K680" s="238" t="s">
        <v>898</v>
      </c>
      <c r="L680" t="s">
        <v>898</v>
      </c>
      <c r="M680" t="s">
        <v>898</v>
      </c>
      <c r="N680" t="s">
        <v>898</v>
      </c>
      <c r="P680" t="s">
        <v>898</v>
      </c>
      <c r="Q680" t="s">
        <v>898</v>
      </c>
    </row>
    <row r="681">
      <c r="I681" t="s">
        <v>898</v>
      </c>
      <c r="J681" s="237" t="s">
        <v>898</v>
      </c>
      <c r="K681" s="238" t="s">
        <v>898</v>
      </c>
      <c r="L681" t="s">
        <v>898</v>
      </c>
      <c r="M681" t="s">
        <v>898</v>
      </c>
      <c r="N681" t="s">
        <v>898</v>
      </c>
      <c r="P681" t="s">
        <v>898</v>
      </c>
      <c r="Q681" t="s">
        <v>898</v>
      </c>
    </row>
    <row r="682">
      <c r="I682" t="s">
        <v>898</v>
      </c>
      <c r="J682" s="237" t="s">
        <v>898</v>
      </c>
      <c r="K682" s="238" t="s">
        <v>898</v>
      </c>
      <c r="L682" t="s">
        <v>898</v>
      </c>
      <c r="M682" t="s">
        <v>898</v>
      </c>
      <c r="N682" t="s">
        <v>898</v>
      </c>
      <c r="P682" t="s">
        <v>898</v>
      </c>
      <c r="Q682" t="s">
        <v>898</v>
      </c>
    </row>
    <row r="683">
      <c r="I683" t="s">
        <v>898</v>
      </c>
      <c r="J683" s="237" t="s">
        <v>898</v>
      </c>
      <c r="K683" s="238" t="s">
        <v>898</v>
      </c>
      <c r="L683" t="s">
        <v>898</v>
      </c>
      <c r="M683" t="s">
        <v>898</v>
      </c>
      <c r="N683" t="s">
        <v>898</v>
      </c>
      <c r="P683" t="s">
        <v>898</v>
      </c>
      <c r="Q683" t="s">
        <v>898</v>
      </c>
    </row>
    <row r="684">
      <c r="I684" t="s">
        <v>898</v>
      </c>
      <c r="J684" s="237" t="s">
        <v>898</v>
      </c>
      <c r="K684" s="238" t="s">
        <v>898</v>
      </c>
      <c r="L684" t="s">
        <v>898</v>
      </c>
      <c r="M684" t="s">
        <v>898</v>
      </c>
      <c r="N684" t="s">
        <v>898</v>
      </c>
      <c r="P684" t="s">
        <v>898</v>
      </c>
      <c r="Q684" t="s">
        <v>898</v>
      </c>
    </row>
    <row r="685">
      <c r="I685" t="s">
        <v>898</v>
      </c>
      <c r="J685" s="237" t="s">
        <v>898</v>
      </c>
      <c r="K685" s="238" t="s">
        <v>898</v>
      </c>
      <c r="L685" t="s">
        <v>898</v>
      </c>
      <c r="M685" t="s">
        <v>898</v>
      </c>
      <c r="N685" t="s">
        <v>898</v>
      </c>
      <c r="P685" t="s">
        <v>898</v>
      </c>
      <c r="Q685" t="s">
        <v>898</v>
      </c>
    </row>
    <row r="686">
      <c r="I686" t="s">
        <v>898</v>
      </c>
      <c r="J686" s="237" t="s">
        <v>898</v>
      </c>
      <c r="K686" s="238" t="s">
        <v>898</v>
      </c>
      <c r="L686" t="s">
        <v>898</v>
      </c>
      <c r="M686" t="s">
        <v>898</v>
      </c>
      <c r="N686" t="s">
        <v>898</v>
      </c>
      <c r="P686" t="s">
        <v>898</v>
      </c>
      <c r="Q686" t="s">
        <v>898</v>
      </c>
    </row>
    <row r="687">
      <c r="I687" t="s">
        <v>898</v>
      </c>
      <c r="J687" s="237" t="s">
        <v>898</v>
      </c>
      <c r="K687" s="238" t="s">
        <v>898</v>
      </c>
      <c r="L687" t="s">
        <v>898</v>
      </c>
      <c r="M687" t="s">
        <v>898</v>
      </c>
      <c r="N687" t="s">
        <v>898</v>
      </c>
      <c r="P687" t="s">
        <v>898</v>
      </c>
      <c r="Q687" t="s">
        <v>898</v>
      </c>
    </row>
    <row r="688">
      <c r="I688" t="s">
        <v>898</v>
      </c>
      <c r="J688" s="237" t="s">
        <v>898</v>
      </c>
      <c r="K688" s="238" t="s">
        <v>898</v>
      </c>
      <c r="L688" t="s">
        <v>898</v>
      </c>
      <c r="M688" t="s">
        <v>898</v>
      </c>
      <c r="N688" t="s">
        <v>898</v>
      </c>
      <c r="P688" t="s">
        <v>898</v>
      </c>
      <c r="Q688" t="s">
        <v>898</v>
      </c>
    </row>
    <row r="689">
      <c r="I689" t="s">
        <v>898</v>
      </c>
      <c r="J689" s="237" t="s">
        <v>898</v>
      </c>
      <c r="K689" s="238" t="s">
        <v>898</v>
      </c>
      <c r="L689" t="s">
        <v>898</v>
      </c>
      <c r="M689" t="s">
        <v>898</v>
      </c>
      <c r="N689" t="s">
        <v>898</v>
      </c>
      <c r="P689" t="s">
        <v>898</v>
      </c>
      <c r="Q689" t="s">
        <v>898</v>
      </c>
    </row>
    <row r="690">
      <c r="I690" t="s">
        <v>898</v>
      </c>
      <c r="J690" s="237" t="s">
        <v>898</v>
      </c>
      <c r="K690" s="238" t="s">
        <v>898</v>
      </c>
      <c r="L690" t="s">
        <v>898</v>
      </c>
      <c r="M690" t="s">
        <v>898</v>
      </c>
      <c r="N690" t="s">
        <v>898</v>
      </c>
      <c r="P690" t="s">
        <v>898</v>
      </c>
      <c r="Q690" t="s">
        <v>898</v>
      </c>
    </row>
    <row r="691">
      <c r="I691" t="s">
        <v>898</v>
      </c>
      <c r="J691" s="237" t="s">
        <v>898</v>
      </c>
      <c r="K691" s="238" t="s">
        <v>898</v>
      </c>
      <c r="L691" t="s">
        <v>898</v>
      </c>
      <c r="M691" t="s">
        <v>898</v>
      </c>
      <c r="N691" t="s">
        <v>898</v>
      </c>
      <c r="P691" t="s">
        <v>898</v>
      </c>
      <c r="Q691" t="s">
        <v>898</v>
      </c>
    </row>
    <row r="692">
      <c r="I692" t="s">
        <v>898</v>
      </c>
      <c r="J692" s="237" t="s">
        <v>898</v>
      </c>
      <c r="K692" s="238" t="s">
        <v>898</v>
      </c>
      <c r="L692" t="s">
        <v>898</v>
      </c>
      <c r="M692" t="s">
        <v>898</v>
      </c>
      <c r="N692" t="s">
        <v>898</v>
      </c>
      <c r="P692" t="s">
        <v>898</v>
      </c>
      <c r="Q692" t="s">
        <v>898</v>
      </c>
    </row>
    <row r="693">
      <c r="I693" t="s">
        <v>898</v>
      </c>
      <c r="J693" s="237" t="s">
        <v>898</v>
      </c>
      <c r="K693" s="238" t="s">
        <v>898</v>
      </c>
      <c r="L693" t="s">
        <v>898</v>
      </c>
      <c r="M693" t="s">
        <v>898</v>
      </c>
      <c r="N693" t="s">
        <v>898</v>
      </c>
      <c r="P693" t="s">
        <v>898</v>
      </c>
      <c r="Q693" t="s">
        <v>898</v>
      </c>
    </row>
    <row r="694">
      <c r="I694" t="s">
        <v>898</v>
      </c>
      <c r="J694" s="237" t="s">
        <v>898</v>
      </c>
      <c r="K694" s="238" t="s">
        <v>898</v>
      </c>
      <c r="L694" t="s">
        <v>898</v>
      </c>
      <c r="M694" t="s">
        <v>898</v>
      </c>
      <c r="N694" t="s">
        <v>898</v>
      </c>
      <c r="P694" t="s">
        <v>898</v>
      </c>
      <c r="Q694" t="s">
        <v>898</v>
      </c>
    </row>
    <row r="695">
      <c r="I695" t="s">
        <v>898</v>
      </c>
      <c r="J695" s="237" t="s">
        <v>898</v>
      </c>
      <c r="K695" s="238" t="s">
        <v>898</v>
      </c>
      <c r="L695" t="s">
        <v>898</v>
      </c>
      <c r="M695" t="s">
        <v>898</v>
      </c>
      <c r="N695" t="s">
        <v>898</v>
      </c>
      <c r="P695" t="s">
        <v>898</v>
      </c>
      <c r="Q695" t="s">
        <v>898</v>
      </c>
    </row>
    <row r="696">
      <c r="I696" t="s">
        <v>898</v>
      </c>
      <c r="J696" s="237" t="s">
        <v>898</v>
      </c>
      <c r="K696" s="238" t="s">
        <v>898</v>
      </c>
      <c r="L696" t="s">
        <v>898</v>
      </c>
      <c r="M696" t="s">
        <v>898</v>
      </c>
      <c r="N696" t="s">
        <v>898</v>
      </c>
      <c r="P696" t="s">
        <v>898</v>
      </c>
      <c r="Q696" t="s">
        <v>898</v>
      </c>
    </row>
    <row r="697">
      <c r="I697" t="s">
        <v>898</v>
      </c>
      <c r="J697" s="237" t="s">
        <v>898</v>
      </c>
      <c r="K697" s="238" t="s">
        <v>898</v>
      </c>
      <c r="L697" t="s">
        <v>898</v>
      </c>
      <c r="M697" t="s">
        <v>898</v>
      </c>
      <c r="N697" t="s">
        <v>898</v>
      </c>
      <c r="P697" t="s">
        <v>898</v>
      </c>
      <c r="Q697" t="s">
        <v>898</v>
      </c>
    </row>
    <row r="698">
      <c r="I698" t="s">
        <v>898</v>
      </c>
      <c r="J698" s="237" t="s">
        <v>898</v>
      </c>
      <c r="K698" s="238" t="s">
        <v>898</v>
      </c>
      <c r="L698" t="s">
        <v>898</v>
      </c>
      <c r="M698" t="s">
        <v>898</v>
      </c>
      <c r="N698" t="s">
        <v>898</v>
      </c>
      <c r="P698" t="s">
        <v>898</v>
      </c>
      <c r="Q698" t="s">
        <v>898</v>
      </c>
    </row>
    <row r="699">
      <c r="I699" t="s">
        <v>898</v>
      </c>
      <c r="J699" s="237" t="s">
        <v>898</v>
      </c>
      <c r="K699" s="238" t="s">
        <v>898</v>
      </c>
      <c r="L699" t="s">
        <v>898</v>
      </c>
      <c r="M699" t="s">
        <v>898</v>
      </c>
      <c r="N699" t="s">
        <v>898</v>
      </c>
      <c r="P699" t="s">
        <v>898</v>
      </c>
      <c r="Q699" t="s">
        <v>898</v>
      </c>
    </row>
    <row r="700">
      <c r="I700" t="s">
        <v>898</v>
      </c>
      <c r="J700" s="237" t="s">
        <v>898</v>
      </c>
      <c r="K700" s="238" t="s">
        <v>898</v>
      </c>
      <c r="L700" t="s">
        <v>898</v>
      </c>
      <c r="M700" t="s">
        <v>898</v>
      </c>
      <c r="N700" t="s">
        <v>898</v>
      </c>
      <c r="P700" t="s">
        <v>898</v>
      </c>
      <c r="Q700" t="s">
        <v>898</v>
      </c>
    </row>
    <row r="701">
      <c r="I701" t="s">
        <v>898</v>
      </c>
      <c r="J701" s="237" t="s">
        <v>898</v>
      </c>
      <c r="K701" s="238" t="s">
        <v>898</v>
      </c>
      <c r="L701" t="s">
        <v>898</v>
      </c>
      <c r="M701" t="s">
        <v>898</v>
      </c>
      <c r="N701" t="s">
        <v>898</v>
      </c>
      <c r="P701" t="s">
        <v>898</v>
      </c>
      <c r="Q701" t="s">
        <v>898</v>
      </c>
    </row>
    <row r="702">
      <c r="I702" t="s">
        <v>898</v>
      </c>
      <c r="J702" s="237" t="s">
        <v>898</v>
      </c>
      <c r="K702" s="238" t="s">
        <v>898</v>
      </c>
      <c r="L702" t="s">
        <v>898</v>
      </c>
      <c r="M702" t="s">
        <v>898</v>
      </c>
      <c r="N702" t="s">
        <v>898</v>
      </c>
      <c r="P702" t="s">
        <v>898</v>
      </c>
      <c r="Q702" t="s">
        <v>898</v>
      </c>
    </row>
    <row r="703">
      <c r="I703" t="s">
        <v>898</v>
      </c>
      <c r="J703" s="237" t="s">
        <v>898</v>
      </c>
      <c r="K703" s="238" t="s">
        <v>898</v>
      </c>
      <c r="L703" t="s">
        <v>898</v>
      </c>
      <c r="M703" t="s">
        <v>898</v>
      </c>
      <c r="N703" t="s">
        <v>898</v>
      </c>
      <c r="P703" t="s">
        <v>898</v>
      </c>
      <c r="Q703" t="s">
        <v>898</v>
      </c>
    </row>
    <row r="704">
      <c r="I704" t="s">
        <v>898</v>
      </c>
      <c r="J704" s="237" t="s">
        <v>898</v>
      </c>
      <c r="K704" s="238" t="s">
        <v>898</v>
      </c>
      <c r="L704" t="s">
        <v>898</v>
      </c>
      <c r="M704" t="s">
        <v>898</v>
      </c>
      <c r="N704" t="s">
        <v>898</v>
      </c>
      <c r="P704" t="s">
        <v>898</v>
      </c>
      <c r="Q704" t="s">
        <v>898</v>
      </c>
    </row>
    <row r="705">
      <c r="I705" t="s">
        <v>898</v>
      </c>
      <c r="J705" s="237" t="s">
        <v>898</v>
      </c>
      <c r="K705" s="238" t="s">
        <v>898</v>
      </c>
      <c r="L705" t="s">
        <v>898</v>
      </c>
      <c r="M705" t="s">
        <v>898</v>
      </c>
      <c r="N705" t="s">
        <v>898</v>
      </c>
      <c r="P705" t="s">
        <v>898</v>
      </c>
      <c r="Q705" t="s">
        <v>898</v>
      </c>
    </row>
    <row r="706">
      <c r="I706" t="s">
        <v>898</v>
      </c>
      <c r="J706" s="237" t="s">
        <v>898</v>
      </c>
      <c r="K706" s="238" t="s">
        <v>898</v>
      </c>
      <c r="L706" t="s">
        <v>898</v>
      </c>
      <c r="M706" t="s">
        <v>898</v>
      </c>
      <c r="N706" t="s">
        <v>898</v>
      </c>
      <c r="P706" t="s">
        <v>898</v>
      </c>
      <c r="Q706" t="s">
        <v>898</v>
      </c>
    </row>
    <row r="707">
      <c r="I707" t="s">
        <v>898</v>
      </c>
      <c r="J707" s="237" t="s">
        <v>898</v>
      </c>
      <c r="K707" s="238" t="s">
        <v>898</v>
      </c>
      <c r="L707" t="s">
        <v>898</v>
      </c>
      <c r="M707" t="s">
        <v>898</v>
      </c>
      <c r="N707" t="s">
        <v>898</v>
      </c>
      <c r="P707" t="s">
        <v>898</v>
      </c>
      <c r="Q707" t="s">
        <v>898</v>
      </c>
    </row>
    <row r="708">
      <c r="I708" t="s">
        <v>898</v>
      </c>
      <c r="J708" s="237" t="s">
        <v>898</v>
      </c>
      <c r="K708" s="238" t="s">
        <v>898</v>
      </c>
      <c r="L708" t="s">
        <v>898</v>
      </c>
      <c r="M708" t="s">
        <v>898</v>
      </c>
      <c r="N708" t="s">
        <v>898</v>
      </c>
      <c r="P708" t="s">
        <v>898</v>
      </c>
      <c r="Q708" t="s">
        <v>898</v>
      </c>
    </row>
    <row r="709">
      <c r="I709" t="s">
        <v>898</v>
      </c>
      <c r="J709" s="237" t="s">
        <v>898</v>
      </c>
      <c r="K709" s="238" t="s">
        <v>898</v>
      </c>
      <c r="L709" t="s">
        <v>898</v>
      </c>
      <c r="M709" t="s">
        <v>898</v>
      </c>
      <c r="N709" t="s">
        <v>898</v>
      </c>
      <c r="P709" t="s">
        <v>898</v>
      </c>
      <c r="Q709" t="s">
        <v>898</v>
      </c>
    </row>
    <row r="710">
      <c r="I710" t="s">
        <v>898</v>
      </c>
      <c r="J710" s="237" t="s">
        <v>898</v>
      </c>
      <c r="K710" s="238" t="s">
        <v>898</v>
      </c>
      <c r="L710" t="s">
        <v>898</v>
      </c>
      <c r="M710" t="s">
        <v>898</v>
      </c>
      <c r="N710" t="s">
        <v>898</v>
      </c>
      <c r="P710" t="s">
        <v>898</v>
      </c>
      <c r="Q710" t="s">
        <v>898</v>
      </c>
    </row>
    <row r="711">
      <c r="I711" t="s">
        <v>898</v>
      </c>
      <c r="J711" s="237" t="s">
        <v>898</v>
      </c>
      <c r="K711" s="238" t="s">
        <v>898</v>
      </c>
      <c r="L711" t="s">
        <v>898</v>
      </c>
      <c r="M711" t="s">
        <v>898</v>
      </c>
      <c r="N711" t="s">
        <v>898</v>
      </c>
      <c r="P711" t="s">
        <v>898</v>
      </c>
      <c r="Q711" t="s">
        <v>898</v>
      </c>
    </row>
    <row r="712">
      <c r="I712" t="s">
        <v>898</v>
      </c>
      <c r="J712" s="237" t="s">
        <v>898</v>
      </c>
      <c r="K712" s="238" t="s">
        <v>898</v>
      </c>
      <c r="L712" t="s">
        <v>898</v>
      </c>
      <c r="M712" t="s">
        <v>898</v>
      </c>
      <c r="N712" t="s">
        <v>898</v>
      </c>
      <c r="P712" t="s">
        <v>898</v>
      </c>
      <c r="Q712" t="s">
        <v>898</v>
      </c>
    </row>
    <row r="713">
      <c r="I713" t="s">
        <v>898</v>
      </c>
      <c r="J713" s="237" t="s">
        <v>898</v>
      </c>
      <c r="K713" s="238" t="s">
        <v>898</v>
      </c>
      <c r="L713" t="s">
        <v>898</v>
      </c>
      <c r="M713" t="s">
        <v>898</v>
      </c>
      <c r="N713" t="s">
        <v>898</v>
      </c>
      <c r="P713" t="s">
        <v>898</v>
      </c>
      <c r="Q713" t="s">
        <v>898</v>
      </c>
    </row>
    <row r="714">
      <c r="I714" t="s">
        <v>898</v>
      </c>
      <c r="J714" s="237" t="s">
        <v>898</v>
      </c>
      <c r="K714" s="238" t="s">
        <v>898</v>
      </c>
      <c r="L714" t="s">
        <v>898</v>
      </c>
      <c r="M714" t="s">
        <v>898</v>
      </c>
      <c r="N714" t="s">
        <v>898</v>
      </c>
      <c r="P714" t="s">
        <v>898</v>
      </c>
      <c r="Q714" t="s">
        <v>898</v>
      </c>
    </row>
    <row r="715">
      <c r="I715" t="s">
        <v>898</v>
      </c>
      <c r="J715" s="237" t="s">
        <v>898</v>
      </c>
      <c r="K715" s="238" t="s">
        <v>898</v>
      </c>
      <c r="L715" t="s">
        <v>898</v>
      </c>
      <c r="M715" t="s">
        <v>898</v>
      </c>
      <c r="N715" t="s">
        <v>898</v>
      </c>
      <c r="P715" t="s">
        <v>898</v>
      </c>
      <c r="Q715" t="s">
        <v>898</v>
      </c>
    </row>
    <row r="716">
      <c r="I716" t="s">
        <v>898</v>
      </c>
      <c r="J716" s="237" t="s">
        <v>898</v>
      </c>
      <c r="K716" s="238" t="s">
        <v>898</v>
      </c>
      <c r="L716" t="s">
        <v>898</v>
      </c>
      <c r="M716" t="s">
        <v>898</v>
      </c>
      <c r="N716" t="s">
        <v>898</v>
      </c>
      <c r="P716" t="s">
        <v>898</v>
      </c>
      <c r="Q716" t="s">
        <v>898</v>
      </c>
    </row>
    <row r="717">
      <c r="I717" t="s">
        <v>898</v>
      </c>
      <c r="J717" s="237" t="s">
        <v>898</v>
      </c>
      <c r="K717" s="238" t="s">
        <v>898</v>
      </c>
      <c r="L717" t="s">
        <v>898</v>
      </c>
      <c r="M717" t="s">
        <v>898</v>
      </c>
      <c r="N717" t="s">
        <v>898</v>
      </c>
      <c r="P717" t="s">
        <v>898</v>
      </c>
      <c r="Q717" t="s">
        <v>898</v>
      </c>
    </row>
    <row r="718">
      <c r="I718" t="s">
        <v>898</v>
      </c>
      <c r="J718" s="237" t="s">
        <v>898</v>
      </c>
      <c r="K718" s="238" t="s">
        <v>898</v>
      </c>
      <c r="L718" t="s">
        <v>898</v>
      </c>
      <c r="M718" t="s">
        <v>898</v>
      </c>
      <c r="N718" t="s">
        <v>898</v>
      </c>
      <c r="P718" t="s">
        <v>898</v>
      </c>
      <c r="Q718" t="s">
        <v>898</v>
      </c>
    </row>
    <row r="719">
      <c r="I719" t="s">
        <v>898</v>
      </c>
      <c r="J719" s="237" t="s">
        <v>898</v>
      </c>
      <c r="K719" s="238" t="s">
        <v>898</v>
      </c>
      <c r="L719" t="s">
        <v>898</v>
      </c>
      <c r="M719" t="s">
        <v>898</v>
      </c>
      <c r="N719" t="s">
        <v>898</v>
      </c>
      <c r="P719" t="s">
        <v>898</v>
      </c>
      <c r="Q719" t="s">
        <v>898</v>
      </c>
    </row>
    <row r="720">
      <c r="I720" t="s">
        <v>898</v>
      </c>
      <c r="J720" s="237" t="s">
        <v>898</v>
      </c>
      <c r="K720" s="238" t="s">
        <v>898</v>
      </c>
      <c r="L720" t="s">
        <v>898</v>
      </c>
      <c r="M720" t="s">
        <v>898</v>
      </c>
      <c r="N720" t="s">
        <v>898</v>
      </c>
      <c r="P720" t="s">
        <v>898</v>
      </c>
      <c r="Q720" t="s">
        <v>898</v>
      </c>
    </row>
    <row r="721">
      <c r="I721" t="s">
        <v>898</v>
      </c>
      <c r="J721" s="237" t="s">
        <v>898</v>
      </c>
      <c r="K721" s="238" t="s">
        <v>898</v>
      </c>
      <c r="L721" t="s">
        <v>898</v>
      </c>
      <c r="M721" t="s">
        <v>898</v>
      </c>
      <c r="N721" t="s">
        <v>898</v>
      </c>
      <c r="P721" t="s">
        <v>898</v>
      </c>
      <c r="Q721" t="s">
        <v>898</v>
      </c>
    </row>
    <row r="722">
      <c r="I722" t="s">
        <v>898</v>
      </c>
      <c r="J722" s="237" t="s">
        <v>898</v>
      </c>
      <c r="K722" s="238" t="s">
        <v>898</v>
      </c>
      <c r="L722" t="s">
        <v>898</v>
      </c>
      <c r="M722" t="s">
        <v>898</v>
      </c>
      <c r="N722" t="s">
        <v>898</v>
      </c>
      <c r="P722" t="s">
        <v>898</v>
      </c>
      <c r="Q722" t="s">
        <v>898</v>
      </c>
    </row>
    <row r="723">
      <c r="I723" t="s">
        <v>898</v>
      </c>
      <c r="J723" s="237" t="s">
        <v>898</v>
      </c>
      <c r="K723" s="238" t="s">
        <v>898</v>
      </c>
      <c r="L723" t="s">
        <v>898</v>
      </c>
      <c r="M723" t="s">
        <v>898</v>
      </c>
      <c r="N723" t="s">
        <v>898</v>
      </c>
      <c r="P723" t="s">
        <v>898</v>
      </c>
      <c r="Q723" t="s">
        <v>898</v>
      </c>
    </row>
    <row r="724">
      <c r="I724" t="s">
        <v>898</v>
      </c>
      <c r="J724" s="237" t="s">
        <v>898</v>
      </c>
      <c r="K724" s="238" t="s">
        <v>898</v>
      </c>
      <c r="L724" t="s">
        <v>898</v>
      </c>
      <c r="M724" t="s">
        <v>898</v>
      </c>
      <c r="N724" t="s">
        <v>898</v>
      </c>
      <c r="P724" t="s">
        <v>898</v>
      </c>
      <c r="Q724" t="s">
        <v>898</v>
      </c>
    </row>
    <row r="725">
      <c r="I725" t="s">
        <v>898</v>
      </c>
      <c r="J725" s="237" t="s">
        <v>898</v>
      </c>
      <c r="K725" s="238" t="s">
        <v>898</v>
      </c>
      <c r="L725" t="s">
        <v>898</v>
      </c>
      <c r="M725" t="s">
        <v>898</v>
      </c>
      <c r="N725" t="s">
        <v>898</v>
      </c>
      <c r="P725" t="s">
        <v>898</v>
      </c>
      <c r="Q725" t="s">
        <v>898</v>
      </c>
    </row>
    <row r="726">
      <c r="I726" t="s">
        <v>898</v>
      </c>
      <c r="J726" s="237" t="s">
        <v>898</v>
      </c>
      <c r="K726" s="238" t="s">
        <v>898</v>
      </c>
      <c r="L726" t="s">
        <v>898</v>
      </c>
      <c r="M726" t="s">
        <v>898</v>
      </c>
      <c r="N726" t="s">
        <v>898</v>
      </c>
      <c r="P726" t="s">
        <v>898</v>
      </c>
      <c r="Q726" t="s">
        <v>898</v>
      </c>
    </row>
    <row r="727">
      <c r="I727" t="s">
        <v>898</v>
      </c>
      <c r="J727" s="237" t="s">
        <v>898</v>
      </c>
      <c r="K727" s="238" t="s">
        <v>898</v>
      </c>
      <c r="L727" t="s">
        <v>898</v>
      </c>
      <c r="M727" t="s">
        <v>898</v>
      </c>
      <c r="N727" t="s">
        <v>898</v>
      </c>
      <c r="P727" t="s">
        <v>898</v>
      </c>
      <c r="Q727" t="s">
        <v>898</v>
      </c>
    </row>
    <row r="728">
      <c r="I728" t="s">
        <v>898</v>
      </c>
      <c r="J728" s="237" t="s">
        <v>898</v>
      </c>
      <c r="K728" s="238" t="s">
        <v>898</v>
      </c>
      <c r="L728" t="s">
        <v>898</v>
      </c>
      <c r="M728" t="s">
        <v>898</v>
      </c>
      <c r="N728" t="s">
        <v>898</v>
      </c>
      <c r="P728" t="s">
        <v>898</v>
      </c>
      <c r="Q728" t="s">
        <v>898</v>
      </c>
    </row>
    <row r="729">
      <c r="I729" t="s">
        <v>898</v>
      </c>
      <c r="J729" s="237" t="s">
        <v>898</v>
      </c>
      <c r="K729" s="238" t="s">
        <v>898</v>
      </c>
      <c r="L729" t="s">
        <v>898</v>
      </c>
      <c r="M729" t="s">
        <v>898</v>
      </c>
      <c r="N729" t="s">
        <v>898</v>
      </c>
      <c r="P729" t="s">
        <v>898</v>
      </c>
      <c r="Q729" t="s">
        <v>898</v>
      </c>
    </row>
    <row r="730">
      <c r="I730" t="s">
        <v>898</v>
      </c>
      <c r="J730" s="237" t="s">
        <v>898</v>
      </c>
      <c r="K730" s="238" t="s">
        <v>898</v>
      </c>
      <c r="L730" t="s">
        <v>898</v>
      </c>
      <c r="M730" t="s">
        <v>898</v>
      </c>
      <c r="N730" t="s">
        <v>898</v>
      </c>
      <c r="P730" t="s">
        <v>898</v>
      </c>
      <c r="Q730" t="s">
        <v>898</v>
      </c>
    </row>
    <row r="731">
      <c r="I731" t="s">
        <v>898</v>
      </c>
      <c r="J731" s="237" t="s">
        <v>898</v>
      </c>
      <c r="K731" s="238" t="s">
        <v>898</v>
      </c>
      <c r="L731" t="s">
        <v>898</v>
      </c>
      <c r="M731" t="s">
        <v>898</v>
      </c>
      <c r="N731" t="s">
        <v>898</v>
      </c>
      <c r="P731" t="s">
        <v>898</v>
      </c>
      <c r="Q731" t="s">
        <v>898</v>
      </c>
    </row>
    <row r="732">
      <c r="I732" t="s">
        <v>898</v>
      </c>
      <c r="J732" s="237" t="s">
        <v>898</v>
      </c>
      <c r="K732" s="238" t="s">
        <v>898</v>
      </c>
      <c r="L732" t="s">
        <v>898</v>
      </c>
      <c r="M732" t="s">
        <v>898</v>
      </c>
      <c r="N732" t="s">
        <v>898</v>
      </c>
      <c r="P732" t="s">
        <v>898</v>
      </c>
      <c r="Q732" t="s">
        <v>898</v>
      </c>
    </row>
    <row r="733">
      <c r="I733" t="s">
        <v>898</v>
      </c>
      <c r="J733" s="237" t="s">
        <v>898</v>
      </c>
      <c r="K733" s="238" t="s">
        <v>898</v>
      </c>
      <c r="L733" t="s">
        <v>898</v>
      </c>
      <c r="M733" t="s">
        <v>898</v>
      </c>
      <c r="N733" t="s">
        <v>898</v>
      </c>
      <c r="P733" t="s">
        <v>898</v>
      </c>
      <c r="Q733" t="s">
        <v>898</v>
      </c>
    </row>
    <row r="734">
      <c r="I734" t="s">
        <v>898</v>
      </c>
      <c r="J734" s="237" t="s">
        <v>898</v>
      </c>
      <c r="K734" s="238" t="s">
        <v>898</v>
      </c>
      <c r="L734" t="s">
        <v>898</v>
      </c>
      <c r="M734" t="s">
        <v>898</v>
      </c>
      <c r="N734" t="s">
        <v>898</v>
      </c>
      <c r="P734" t="s">
        <v>898</v>
      </c>
      <c r="Q734" t="s">
        <v>898</v>
      </c>
    </row>
    <row r="735">
      <c r="I735" t="s">
        <v>898</v>
      </c>
      <c r="J735" s="237" t="s">
        <v>898</v>
      </c>
      <c r="K735" s="238" t="s">
        <v>898</v>
      </c>
      <c r="L735" t="s">
        <v>898</v>
      </c>
      <c r="M735" t="s">
        <v>898</v>
      </c>
      <c r="N735" t="s">
        <v>898</v>
      </c>
      <c r="P735" t="s">
        <v>898</v>
      </c>
      <c r="Q735" t="s">
        <v>898</v>
      </c>
    </row>
    <row r="736">
      <c r="I736" t="s">
        <v>898</v>
      </c>
      <c r="J736" s="237" t="s">
        <v>898</v>
      </c>
      <c r="K736" s="238" t="s">
        <v>898</v>
      </c>
      <c r="L736" t="s">
        <v>898</v>
      </c>
      <c r="M736" t="s">
        <v>898</v>
      </c>
      <c r="N736" t="s">
        <v>898</v>
      </c>
      <c r="P736" t="s">
        <v>898</v>
      </c>
      <c r="Q736" t="s">
        <v>898</v>
      </c>
    </row>
    <row r="737">
      <c r="I737" t="s">
        <v>898</v>
      </c>
      <c r="J737" s="237" t="s">
        <v>898</v>
      </c>
      <c r="K737" s="238" t="s">
        <v>898</v>
      </c>
      <c r="L737" t="s">
        <v>898</v>
      </c>
      <c r="M737" t="s">
        <v>898</v>
      </c>
      <c r="N737" t="s">
        <v>898</v>
      </c>
      <c r="P737" t="s">
        <v>898</v>
      </c>
      <c r="Q737" t="s">
        <v>898</v>
      </c>
    </row>
    <row r="738">
      <c r="I738" t="s">
        <v>898</v>
      </c>
      <c r="J738" s="237" t="s">
        <v>898</v>
      </c>
      <c r="K738" s="238" t="s">
        <v>898</v>
      </c>
      <c r="L738" t="s">
        <v>898</v>
      </c>
      <c r="M738" t="s">
        <v>898</v>
      </c>
      <c r="N738" t="s">
        <v>898</v>
      </c>
      <c r="P738" t="s">
        <v>898</v>
      </c>
      <c r="Q738" t="s">
        <v>898</v>
      </c>
    </row>
    <row r="739">
      <c r="I739" t="s">
        <v>898</v>
      </c>
      <c r="J739" s="237" t="s">
        <v>898</v>
      </c>
      <c r="K739" s="238" t="s">
        <v>898</v>
      </c>
      <c r="L739" t="s">
        <v>898</v>
      </c>
      <c r="M739" t="s">
        <v>898</v>
      </c>
      <c r="N739" t="s">
        <v>898</v>
      </c>
      <c r="P739" t="s">
        <v>898</v>
      </c>
      <c r="Q739" t="s">
        <v>898</v>
      </c>
    </row>
    <row r="740">
      <c r="I740" t="s">
        <v>898</v>
      </c>
      <c r="J740" s="237" t="s">
        <v>898</v>
      </c>
      <c r="K740" s="238" t="s">
        <v>898</v>
      </c>
      <c r="L740" t="s">
        <v>898</v>
      </c>
      <c r="M740" t="s">
        <v>898</v>
      </c>
      <c r="N740" t="s">
        <v>898</v>
      </c>
      <c r="P740" t="s">
        <v>898</v>
      </c>
      <c r="Q740" t="s">
        <v>898</v>
      </c>
    </row>
    <row r="741">
      <c r="I741" t="s">
        <v>898</v>
      </c>
      <c r="J741" s="237" t="s">
        <v>898</v>
      </c>
      <c r="K741" s="238" t="s">
        <v>898</v>
      </c>
      <c r="L741" t="s">
        <v>898</v>
      </c>
      <c r="M741" t="s">
        <v>898</v>
      </c>
      <c r="N741" t="s">
        <v>898</v>
      </c>
      <c r="P741" t="s">
        <v>898</v>
      </c>
      <c r="Q741" t="s">
        <v>898</v>
      </c>
    </row>
    <row r="742">
      <c r="I742" t="s">
        <v>898</v>
      </c>
      <c r="J742" s="237" t="s">
        <v>898</v>
      </c>
      <c r="K742" s="238" t="s">
        <v>898</v>
      </c>
      <c r="L742" t="s">
        <v>898</v>
      </c>
      <c r="M742" t="s">
        <v>898</v>
      </c>
      <c r="N742" t="s">
        <v>898</v>
      </c>
      <c r="P742" t="s">
        <v>898</v>
      </c>
      <c r="Q742" t="s">
        <v>898</v>
      </c>
    </row>
    <row r="743">
      <c r="I743" t="s">
        <v>898</v>
      </c>
      <c r="J743" s="237" t="s">
        <v>898</v>
      </c>
      <c r="K743" s="238" t="s">
        <v>898</v>
      </c>
      <c r="L743" t="s">
        <v>898</v>
      </c>
      <c r="M743" t="s">
        <v>898</v>
      </c>
      <c r="N743" t="s">
        <v>898</v>
      </c>
      <c r="P743" t="s">
        <v>898</v>
      </c>
      <c r="Q743" t="s">
        <v>898</v>
      </c>
    </row>
    <row r="744">
      <c r="I744" t="s">
        <v>898</v>
      </c>
      <c r="J744" s="237" t="s">
        <v>898</v>
      </c>
      <c r="K744" s="238" t="s">
        <v>898</v>
      </c>
      <c r="L744" t="s">
        <v>898</v>
      </c>
      <c r="M744" t="s">
        <v>898</v>
      </c>
      <c r="N744" t="s">
        <v>898</v>
      </c>
      <c r="P744" t="s">
        <v>898</v>
      </c>
      <c r="Q744" t="s">
        <v>898</v>
      </c>
    </row>
    <row r="745">
      <c r="I745" t="s">
        <v>898</v>
      </c>
      <c r="J745" s="237" t="s">
        <v>898</v>
      </c>
      <c r="K745" s="238" t="s">
        <v>898</v>
      </c>
      <c r="L745" t="s">
        <v>898</v>
      </c>
      <c r="M745" t="s">
        <v>898</v>
      </c>
      <c r="N745" t="s">
        <v>898</v>
      </c>
      <c r="P745" t="s">
        <v>898</v>
      </c>
      <c r="Q745" t="s">
        <v>898</v>
      </c>
    </row>
    <row r="746">
      <c r="I746" t="s">
        <v>898</v>
      </c>
      <c r="J746" s="237" t="s">
        <v>898</v>
      </c>
      <c r="K746" s="238" t="s">
        <v>898</v>
      </c>
      <c r="L746" t="s">
        <v>898</v>
      </c>
      <c r="M746" t="s">
        <v>898</v>
      </c>
      <c r="N746" t="s">
        <v>898</v>
      </c>
      <c r="P746" t="s">
        <v>898</v>
      </c>
      <c r="Q746" t="s">
        <v>898</v>
      </c>
    </row>
    <row r="747">
      <c r="I747" t="s">
        <v>898</v>
      </c>
      <c r="J747" s="237" t="s">
        <v>898</v>
      </c>
      <c r="K747" s="238" t="s">
        <v>898</v>
      </c>
      <c r="L747" t="s">
        <v>898</v>
      </c>
      <c r="M747" t="s">
        <v>898</v>
      </c>
      <c r="N747" t="s">
        <v>898</v>
      </c>
      <c r="P747" t="s">
        <v>898</v>
      </c>
      <c r="Q747" t="s">
        <v>898</v>
      </c>
    </row>
    <row r="748">
      <c r="I748" t="s">
        <v>898</v>
      </c>
      <c r="J748" s="237" t="s">
        <v>898</v>
      </c>
      <c r="K748" s="238" t="s">
        <v>898</v>
      </c>
      <c r="L748" t="s">
        <v>898</v>
      </c>
      <c r="M748" t="s">
        <v>898</v>
      </c>
      <c r="N748" t="s">
        <v>898</v>
      </c>
      <c r="P748" t="s">
        <v>898</v>
      </c>
      <c r="Q748" t="s">
        <v>898</v>
      </c>
    </row>
    <row r="749">
      <c r="I749" t="s">
        <v>898</v>
      </c>
      <c r="J749" s="237" t="s">
        <v>898</v>
      </c>
      <c r="K749" s="238" t="s">
        <v>898</v>
      </c>
      <c r="L749" t="s">
        <v>898</v>
      </c>
      <c r="M749" t="s">
        <v>898</v>
      </c>
      <c r="N749" t="s">
        <v>898</v>
      </c>
      <c r="P749" t="s">
        <v>898</v>
      </c>
      <c r="Q749" t="s">
        <v>898</v>
      </c>
    </row>
    <row r="750">
      <c r="I750" t="s">
        <v>898</v>
      </c>
      <c r="J750" s="237" t="s">
        <v>898</v>
      </c>
      <c r="K750" s="238" t="s">
        <v>898</v>
      </c>
      <c r="L750" t="s">
        <v>898</v>
      </c>
      <c r="M750" t="s">
        <v>898</v>
      </c>
      <c r="N750" t="s">
        <v>898</v>
      </c>
      <c r="P750" t="s">
        <v>898</v>
      </c>
      <c r="Q750" t="s">
        <v>898</v>
      </c>
    </row>
    <row r="751">
      <c r="I751" t="s">
        <v>898</v>
      </c>
      <c r="J751" s="237" t="s">
        <v>898</v>
      </c>
      <c r="K751" s="238" t="s">
        <v>898</v>
      </c>
      <c r="L751" t="s">
        <v>898</v>
      </c>
      <c r="M751" t="s">
        <v>898</v>
      </c>
      <c r="N751" t="s">
        <v>898</v>
      </c>
      <c r="P751" t="s">
        <v>898</v>
      </c>
      <c r="Q751" t="s">
        <v>898</v>
      </c>
    </row>
    <row r="752">
      <c r="I752" t="s">
        <v>898</v>
      </c>
      <c r="J752" s="237" t="s">
        <v>898</v>
      </c>
      <c r="K752" s="238" t="s">
        <v>898</v>
      </c>
      <c r="L752" t="s">
        <v>898</v>
      </c>
      <c r="M752" t="s">
        <v>898</v>
      </c>
      <c r="N752" t="s">
        <v>898</v>
      </c>
      <c r="P752" t="s">
        <v>898</v>
      </c>
      <c r="Q752" t="s">
        <v>898</v>
      </c>
    </row>
    <row r="753">
      <c r="I753" t="s">
        <v>898</v>
      </c>
      <c r="J753" s="237" t="s">
        <v>898</v>
      </c>
      <c r="K753" s="238" t="s">
        <v>898</v>
      </c>
      <c r="L753" t="s">
        <v>898</v>
      </c>
      <c r="M753" t="s">
        <v>898</v>
      </c>
      <c r="N753" t="s">
        <v>898</v>
      </c>
      <c r="P753" t="s">
        <v>898</v>
      </c>
      <c r="Q753" t="s">
        <v>898</v>
      </c>
    </row>
    <row r="754">
      <c r="I754" t="s">
        <v>898</v>
      </c>
      <c r="J754" s="237" t="s">
        <v>898</v>
      </c>
      <c r="K754" s="238" t="s">
        <v>898</v>
      </c>
      <c r="L754" t="s">
        <v>898</v>
      </c>
      <c r="M754" t="s">
        <v>898</v>
      </c>
      <c r="N754" t="s">
        <v>898</v>
      </c>
      <c r="P754" t="s">
        <v>898</v>
      </c>
      <c r="Q754" t="s">
        <v>898</v>
      </c>
    </row>
    <row r="755">
      <c r="I755" t="s">
        <v>898</v>
      </c>
      <c r="J755" s="237" t="s">
        <v>898</v>
      </c>
      <c r="K755" s="238" t="s">
        <v>898</v>
      </c>
      <c r="L755" t="s">
        <v>898</v>
      </c>
      <c r="M755" t="s">
        <v>898</v>
      </c>
      <c r="N755" t="s">
        <v>898</v>
      </c>
      <c r="P755" t="s">
        <v>898</v>
      </c>
      <c r="Q755" t="s">
        <v>898</v>
      </c>
    </row>
    <row r="756">
      <c r="I756" t="s">
        <v>898</v>
      </c>
      <c r="J756" s="237" t="s">
        <v>898</v>
      </c>
      <c r="K756" s="238" t="s">
        <v>898</v>
      </c>
      <c r="L756" t="s">
        <v>898</v>
      </c>
      <c r="M756" t="s">
        <v>898</v>
      </c>
      <c r="N756" t="s">
        <v>898</v>
      </c>
      <c r="P756" t="s">
        <v>898</v>
      </c>
      <c r="Q756" t="s">
        <v>898</v>
      </c>
    </row>
    <row r="757">
      <c r="I757" t="s">
        <v>898</v>
      </c>
      <c r="J757" s="237" t="s">
        <v>898</v>
      </c>
      <c r="K757" s="238" t="s">
        <v>898</v>
      </c>
      <c r="L757" t="s">
        <v>898</v>
      </c>
      <c r="M757" t="s">
        <v>898</v>
      </c>
      <c r="N757" t="s">
        <v>898</v>
      </c>
      <c r="P757" t="s">
        <v>898</v>
      </c>
      <c r="Q757" t="s">
        <v>898</v>
      </c>
    </row>
    <row r="758">
      <c r="I758" t="s">
        <v>898</v>
      </c>
      <c r="J758" s="237" t="s">
        <v>898</v>
      </c>
      <c r="K758" s="238" t="s">
        <v>898</v>
      </c>
      <c r="L758" t="s">
        <v>898</v>
      </c>
      <c r="M758" t="s">
        <v>898</v>
      </c>
      <c r="N758" t="s">
        <v>898</v>
      </c>
      <c r="P758" t="s">
        <v>898</v>
      </c>
      <c r="Q758" t="s">
        <v>898</v>
      </c>
    </row>
    <row r="759">
      <c r="I759" t="s">
        <v>898</v>
      </c>
      <c r="J759" s="237" t="s">
        <v>898</v>
      </c>
      <c r="K759" s="238" t="s">
        <v>898</v>
      </c>
      <c r="L759" t="s">
        <v>898</v>
      </c>
      <c r="M759" t="s">
        <v>898</v>
      </c>
      <c r="N759" t="s">
        <v>898</v>
      </c>
      <c r="P759" t="s">
        <v>898</v>
      </c>
      <c r="Q759" t="s">
        <v>898</v>
      </c>
    </row>
    <row r="760">
      <c r="I760" t="s">
        <v>898</v>
      </c>
      <c r="J760" s="237" t="s">
        <v>898</v>
      </c>
      <c r="K760" s="238" t="s">
        <v>898</v>
      </c>
      <c r="L760" t="s">
        <v>898</v>
      </c>
      <c r="M760" t="s">
        <v>898</v>
      </c>
      <c r="N760" t="s">
        <v>898</v>
      </c>
      <c r="P760" t="s">
        <v>898</v>
      </c>
      <c r="Q760" t="s">
        <v>898</v>
      </c>
    </row>
    <row r="761">
      <c r="I761" t="s">
        <v>898</v>
      </c>
      <c r="J761" s="237" t="s">
        <v>898</v>
      </c>
      <c r="K761" s="238" t="s">
        <v>898</v>
      </c>
      <c r="L761" t="s">
        <v>898</v>
      </c>
      <c r="M761" t="s">
        <v>898</v>
      </c>
      <c r="N761" t="s">
        <v>898</v>
      </c>
      <c r="P761" t="s">
        <v>898</v>
      </c>
      <c r="Q761" t="s">
        <v>898</v>
      </c>
    </row>
    <row r="762">
      <c r="I762" t="s">
        <v>898</v>
      </c>
      <c r="J762" s="237" t="s">
        <v>898</v>
      </c>
      <c r="K762" s="238" t="s">
        <v>898</v>
      </c>
      <c r="L762" t="s">
        <v>898</v>
      </c>
      <c r="M762" t="s">
        <v>898</v>
      </c>
      <c r="N762" t="s">
        <v>898</v>
      </c>
      <c r="P762" t="s">
        <v>898</v>
      </c>
      <c r="Q762" t="s">
        <v>898</v>
      </c>
    </row>
    <row r="763">
      <c r="I763" t="s">
        <v>898</v>
      </c>
      <c r="J763" s="237" t="s">
        <v>898</v>
      </c>
      <c r="K763" s="238" t="s">
        <v>898</v>
      </c>
      <c r="L763" t="s">
        <v>898</v>
      </c>
      <c r="M763" t="s">
        <v>898</v>
      </c>
      <c r="N763" t="s">
        <v>898</v>
      </c>
      <c r="P763" t="s">
        <v>898</v>
      </c>
      <c r="Q763" t="s">
        <v>898</v>
      </c>
    </row>
    <row r="764">
      <c r="I764" t="s">
        <v>898</v>
      </c>
      <c r="J764" s="237" t="s">
        <v>898</v>
      </c>
      <c r="K764" s="238" t="s">
        <v>898</v>
      </c>
      <c r="L764" t="s">
        <v>898</v>
      </c>
      <c r="M764" t="s">
        <v>898</v>
      </c>
      <c r="N764" t="s">
        <v>898</v>
      </c>
      <c r="P764" t="s">
        <v>898</v>
      </c>
      <c r="Q764" t="s">
        <v>898</v>
      </c>
    </row>
    <row r="765">
      <c r="I765" t="s">
        <v>898</v>
      </c>
      <c r="J765" s="237" t="s">
        <v>898</v>
      </c>
      <c r="K765" s="238" t="s">
        <v>898</v>
      </c>
      <c r="L765" t="s">
        <v>898</v>
      </c>
      <c r="M765" t="s">
        <v>898</v>
      </c>
      <c r="N765" t="s">
        <v>898</v>
      </c>
      <c r="P765" t="s">
        <v>898</v>
      </c>
      <c r="Q765" t="s">
        <v>898</v>
      </c>
    </row>
    <row r="766">
      <c r="I766" t="s">
        <v>898</v>
      </c>
      <c r="J766" s="237" t="s">
        <v>898</v>
      </c>
      <c r="K766" s="238" t="s">
        <v>898</v>
      </c>
      <c r="L766" t="s">
        <v>898</v>
      </c>
      <c r="M766" t="s">
        <v>898</v>
      </c>
      <c r="N766" t="s">
        <v>898</v>
      </c>
      <c r="P766" t="s">
        <v>898</v>
      </c>
      <c r="Q766" t="s">
        <v>898</v>
      </c>
    </row>
    <row r="767">
      <c r="I767" t="s">
        <v>898</v>
      </c>
      <c r="J767" s="237" t="s">
        <v>898</v>
      </c>
      <c r="K767" s="238" t="s">
        <v>898</v>
      </c>
      <c r="L767" t="s">
        <v>898</v>
      </c>
      <c r="M767" t="s">
        <v>898</v>
      </c>
      <c r="N767" t="s">
        <v>898</v>
      </c>
      <c r="P767" t="s">
        <v>898</v>
      </c>
      <c r="Q767" t="s">
        <v>898</v>
      </c>
    </row>
    <row r="768">
      <c r="I768" t="s">
        <v>898</v>
      </c>
      <c r="J768" s="237" t="s">
        <v>898</v>
      </c>
      <c r="K768" s="238" t="s">
        <v>898</v>
      </c>
      <c r="L768" t="s">
        <v>898</v>
      </c>
      <c r="M768" t="s">
        <v>898</v>
      </c>
      <c r="N768" t="s">
        <v>898</v>
      </c>
      <c r="P768" t="s">
        <v>898</v>
      </c>
      <c r="Q768" t="s">
        <v>898</v>
      </c>
    </row>
    <row r="769">
      <c r="I769" t="s">
        <v>898</v>
      </c>
      <c r="J769" s="237" t="s">
        <v>898</v>
      </c>
      <c r="K769" s="238" t="s">
        <v>898</v>
      </c>
      <c r="L769" t="s">
        <v>898</v>
      </c>
      <c r="M769" t="s">
        <v>898</v>
      </c>
      <c r="N769" t="s">
        <v>898</v>
      </c>
      <c r="P769" t="s">
        <v>898</v>
      </c>
      <c r="Q769" t="s">
        <v>898</v>
      </c>
    </row>
    <row r="770">
      <c r="I770" t="s">
        <v>898</v>
      </c>
      <c r="J770" s="237" t="s">
        <v>898</v>
      </c>
      <c r="K770" s="238" t="s">
        <v>898</v>
      </c>
      <c r="L770" t="s">
        <v>898</v>
      </c>
      <c r="M770" t="s">
        <v>898</v>
      </c>
      <c r="N770" t="s">
        <v>898</v>
      </c>
      <c r="P770" t="s">
        <v>898</v>
      </c>
      <c r="Q770" t="s">
        <v>898</v>
      </c>
    </row>
    <row r="771">
      <c r="I771" t="s">
        <v>898</v>
      </c>
      <c r="J771" s="237" t="s">
        <v>898</v>
      </c>
      <c r="K771" s="238" t="s">
        <v>898</v>
      </c>
      <c r="L771" t="s">
        <v>898</v>
      </c>
      <c r="M771" t="s">
        <v>898</v>
      </c>
      <c r="N771" t="s">
        <v>898</v>
      </c>
      <c r="P771" t="s">
        <v>898</v>
      </c>
      <c r="Q771" t="s">
        <v>898</v>
      </c>
    </row>
    <row r="772">
      <c r="I772" t="s">
        <v>898</v>
      </c>
      <c r="J772" s="237" t="s">
        <v>898</v>
      </c>
      <c r="K772" s="238" t="s">
        <v>898</v>
      </c>
      <c r="L772" t="s">
        <v>898</v>
      </c>
      <c r="M772" t="s">
        <v>898</v>
      </c>
      <c r="N772" t="s">
        <v>898</v>
      </c>
      <c r="P772" t="s">
        <v>898</v>
      </c>
      <c r="Q772" t="s">
        <v>898</v>
      </c>
    </row>
    <row r="773">
      <c r="I773" t="s">
        <v>898</v>
      </c>
      <c r="J773" s="237" t="s">
        <v>898</v>
      </c>
      <c r="K773" s="238" t="s">
        <v>898</v>
      </c>
      <c r="L773" t="s">
        <v>898</v>
      </c>
      <c r="M773" t="s">
        <v>898</v>
      </c>
      <c r="N773" t="s">
        <v>898</v>
      </c>
      <c r="P773" t="s">
        <v>898</v>
      </c>
      <c r="Q773" t="s">
        <v>898</v>
      </c>
    </row>
    <row r="774">
      <c r="I774" t="s">
        <v>898</v>
      </c>
      <c r="J774" s="237" t="s">
        <v>898</v>
      </c>
      <c r="K774" s="238" t="s">
        <v>898</v>
      </c>
      <c r="L774" t="s">
        <v>898</v>
      </c>
      <c r="M774" t="s">
        <v>898</v>
      </c>
      <c r="N774" t="s">
        <v>898</v>
      </c>
      <c r="P774" t="s">
        <v>898</v>
      </c>
      <c r="Q774" t="s">
        <v>898</v>
      </c>
    </row>
    <row r="775">
      <c r="I775" t="s">
        <v>898</v>
      </c>
      <c r="J775" s="237" t="s">
        <v>898</v>
      </c>
      <c r="K775" s="238" t="s">
        <v>898</v>
      </c>
      <c r="L775" t="s">
        <v>898</v>
      </c>
      <c r="M775" t="s">
        <v>898</v>
      </c>
      <c r="N775" t="s">
        <v>898</v>
      </c>
      <c r="P775" t="s">
        <v>898</v>
      </c>
      <c r="Q775" t="s">
        <v>898</v>
      </c>
    </row>
    <row r="776">
      <c r="I776" t="s">
        <v>898</v>
      </c>
      <c r="J776" s="237" t="s">
        <v>898</v>
      </c>
      <c r="K776" s="238" t="s">
        <v>898</v>
      </c>
      <c r="L776" t="s">
        <v>898</v>
      </c>
      <c r="M776" t="s">
        <v>898</v>
      </c>
      <c r="N776" t="s">
        <v>898</v>
      </c>
      <c r="P776" t="s">
        <v>898</v>
      </c>
      <c r="Q776" t="s">
        <v>898</v>
      </c>
    </row>
    <row r="777">
      <c r="I777" t="s">
        <v>898</v>
      </c>
      <c r="J777" s="237" t="s">
        <v>898</v>
      </c>
      <c r="K777" s="238" t="s">
        <v>898</v>
      </c>
      <c r="L777" t="s">
        <v>898</v>
      </c>
      <c r="M777" t="s">
        <v>898</v>
      </c>
      <c r="N777" t="s">
        <v>898</v>
      </c>
      <c r="P777" t="s">
        <v>898</v>
      </c>
      <c r="Q777" t="s">
        <v>898</v>
      </c>
    </row>
    <row r="778">
      <c r="I778" t="s">
        <v>898</v>
      </c>
      <c r="J778" s="237" t="s">
        <v>898</v>
      </c>
      <c r="K778" s="238" t="s">
        <v>898</v>
      </c>
      <c r="L778" t="s">
        <v>898</v>
      </c>
      <c r="M778" t="s">
        <v>898</v>
      </c>
      <c r="N778" t="s">
        <v>898</v>
      </c>
      <c r="P778" t="s">
        <v>898</v>
      </c>
      <c r="Q778" t="s">
        <v>898</v>
      </c>
    </row>
    <row r="779">
      <c r="I779" t="s">
        <v>898</v>
      </c>
      <c r="J779" s="237" t="s">
        <v>898</v>
      </c>
      <c r="K779" s="238" t="s">
        <v>898</v>
      </c>
      <c r="L779" t="s">
        <v>898</v>
      </c>
      <c r="M779" t="s">
        <v>898</v>
      </c>
      <c r="N779" t="s">
        <v>898</v>
      </c>
      <c r="P779" t="s">
        <v>898</v>
      </c>
      <c r="Q779" t="s">
        <v>898</v>
      </c>
    </row>
    <row r="780">
      <c r="I780" t="s">
        <v>898</v>
      </c>
      <c r="J780" s="237" t="s">
        <v>898</v>
      </c>
      <c r="K780" s="238" t="s">
        <v>898</v>
      </c>
      <c r="L780" t="s">
        <v>898</v>
      </c>
      <c r="M780" t="s">
        <v>898</v>
      </c>
      <c r="N780" t="s">
        <v>898</v>
      </c>
      <c r="P780" t="s">
        <v>898</v>
      </c>
      <c r="Q780" t="s">
        <v>898</v>
      </c>
    </row>
    <row r="781">
      <c r="I781" t="s">
        <v>898</v>
      </c>
      <c r="J781" s="237" t="s">
        <v>898</v>
      </c>
      <c r="K781" s="238" t="s">
        <v>898</v>
      </c>
      <c r="L781" t="s">
        <v>898</v>
      </c>
      <c r="M781" t="s">
        <v>898</v>
      </c>
      <c r="N781" t="s">
        <v>898</v>
      </c>
      <c r="P781" t="s">
        <v>898</v>
      </c>
      <c r="Q781" t="s">
        <v>898</v>
      </c>
    </row>
    <row r="782">
      <c r="I782" t="s">
        <v>898</v>
      </c>
      <c r="J782" s="237" t="s">
        <v>898</v>
      </c>
      <c r="K782" s="238" t="s">
        <v>898</v>
      </c>
      <c r="L782" t="s">
        <v>898</v>
      </c>
      <c r="M782" t="s">
        <v>898</v>
      </c>
      <c r="N782" t="s">
        <v>898</v>
      </c>
      <c r="P782" t="s">
        <v>898</v>
      </c>
      <c r="Q782" t="s">
        <v>898</v>
      </c>
    </row>
    <row r="783">
      <c r="I783" t="s">
        <v>898</v>
      </c>
      <c r="J783" s="237" t="s">
        <v>898</v>
      </c>
      <c r="K783" s="238" t="s">
        <v>898</v>
      </c>
      <c r="L783" t="s">
        <v>898</v>
      </c>
      <c r="M783" t="s">
        <v>898</v>
      </c>
      <c r="N783" t="s">
        <v>898</v>
      </c>
      <c r="P783" t="s">
        <v>898</v>
      </c>
      <c r="Q783" t="s">
        <v>898</v>
      </c>
    </row>
    <row r="784">
      <c r="I784" t="s">
        <v>898</v>
      </c>
      <c r="J784" s="237" t="s">
        <v>898</v>
      </c>
      <c r="K784" s="238" t="s">
        <v>898</v>
      </c>
      <c r="L784" t="s">
        <v>898</v>
      </c>
      <c r="M784" t="s">
        <v>898</v>
      </c>
      <c r="N784" t="s">
        <v>898</v>
      </c>
      <c r="P784" t="s">
        <v>898</v>
      </c>
      <c r="Q784" t="s">
        <v>898</v>
      </c>
    </row>
    <row r="785">
      <c r="I785" t="s">
        <v>898</v>
      </c>
      <c r="J785" s="237" t="s">
        <v>898</v>
      </c>
      <c r="K785" s="238" t="s">
        <v>898</v>
      </c>
      <c r="L785" t="s">
        <v>898</v>
      </c>
      <c r="M785" t="s">
        <v>898</v>
      </c>
      <c r="N785" t="s">
        <v>898</v>
      </c>
      <c r="P785" t="s">
        <v>898</v>
      </c>
      <c r="Q785" t="s">
        <v>898</v>
      </c>
    </row>
    <row r="786">
      <c r="I786" t="s">
        <v>898</v>
      </c>
      <c r="J786" s="237" t="s">
        <v>898</v>
      </c>
      <c r="K786" s="238" t="s">
        <v>898</v>
      </c>
      <c r="L786" t="s">
        <v>898</v>
      </c>
      <c r="M786" t="s">
        <v>898</v>
      </c>
      <c r="N786" t="s">
        <v>898</v>
      </c>
      <c r="P786" t="s">
        <v>898</v>
      </c>
      <c r="Q786" t="s">
        <v>898</v>
      </c>
    </row>
    <row r="787">
      <c r="I787" t="s">
        <v>898</v>
      </c>
      <c r="J787" s="237" t="s">
        <v>898</v>
      </c>
      <c r="K787" s="238" t="s">
        <v>898</v>
      </c>
      <c r="L787" t="s">
        <v>898</v>
      </c>
      <c r="M787" t="s">
        <v>898</v>
      </c>
      <c r="N787" t="s">
        <v>898</v>
      </c>
      <c r="P787" t="s">
        <v>898</v>
      </c>
      <c r="Q787" t="s">
        <v>898</v>
      </c>
    </row>
    <row r="788">
      <c r="I788" t="s">
        <v>898</v>
      </c>
      <c r="J788" s="237" t="s">
        <v>898</v>
      </c>
      <c r="K788" s="238" t="s">
        <v>898</v>
      </c>
      <c r="L788" t="s">
        <v>898</v>
      </c>
      <c r="M788" t="s">
        <v>898</v>
      </c>
      <c r="N788" t="s">
        <v>898</v>
      </c>
      <c r="P788" t="s">
        <v>898</v>
      </c>
      <c r="Q788" t="s">
        <v>898</v>
      </c>
    </row>
    <row r="789">
      <c r="I789" t="s">
        <v>898</v>
      </c>
      <c r="J789" s="237" t="s">
        <v>898</v>
      </c>
      <c r="K789" s="238" t="s">
        <v>898</v>
      </c>
      <c r="L789" t="s">
        <v>898</v>
      </c>
      <c r="M789" t="s">
        <v>898</v>
      </c>
      <c r="N789" t="s">
        <v>898</v>
      </c>
      <c r="P789" t="s">
        <v>898</v>
      </c>
      <c r="Q789" t="s">
        <v>898</v>
      </c>
    </row>
    <row r="790">
      <c r="I790" t="s">
        <v>898</v>
      </c>
      <c r="J790" s="237" t="s">
        <v>898</v>
      </c>
      <c r="K790" s="238" t="s">
        <v>898</v>
      </c>
      <c r="L790" t="s">
        <v>898</v>
      </c>
      <c r="M790" t="s">
        <v>898</v>
      </c>
      <c r="N790" t="s">
        <v>898</v>
      </c>
      <c r="P790" t="s">
        <v>898</v>
      </c>
      <c r="Q790" t="s">
        <v>898</v>
      </c>
    </row>
    <row r="791">
      <c r="I791" t="s">
        <v>898</v>
      </c>
      <c r="J791" s="237" t="s">
        <v>898</v>
      </c>
      <c r="K791" s="238" t="s">
        <v>898</v>
      </c>
      <c r="L791" t="s">
        <v>898</v>
      </c>
      <c r="M791" t="s">
        <v>898</v>
      </c>
      <c r="N791" t="s">
        <v>898</v>
      </c>
      <c r="P791" t="s">
        <v>898</v>
      </c>
      <c r="Q791" t="s">
        <v>898</v>
      </c>
    </row>
    <row r="792">
      <c r="I792" t="s">
        <v>898</v>
      </c>
      <c r="J792" s="237" t="s">
        <v>898</v>
      </c>
      <c r="K792" s="238" t="s">
        <v>898</v>
      </c>
      <c r="L792" t="s">
        <v>898</v>
      </c>
      <c r="M792" t="s">
        <v>898</v>
      </c>
      <c r="N792" t="s">
        <v>898</v>
      </c>
      <c r="P792" t="s">
        <v>898</v>
      </c>
      <c r="Q792" t="s">
        <v>898</v>
      </c>
    </row>
    <row r="793">
      <c r="I793" t="s">
        <v>898</v>
      </c>
      <c r="J793" s="237" t="s">
        <v>898</v>
      </c>
      <c r="K793" s="238" t="s">
        <v>898</v>
      </c>
      <c r="L793" t="s">
        <v>898</v>
      </c>
      <c r="M793" t="s">
        <v>898</v>
      </c>
      <c r="N793" t="s">
        <v>898</v>
      </c>
      <c r="P793" t="s">
        <v>898</v>
      </c>
      <c r="Q793" t="s">
        <v>898</v>
      </c>
    </row>
    <row r="794">
      <c r="I794" t="s">
        <v>898</v>
      </c>
      <c r="J794" s="237" t="s">
        <v>898</v>
      </c>
      <c r="K794" s="238" t="s">
        <v>898</v>
      </c>
      <c r="L794" t="s">
        <v>898</v>
      </c>
      <c r="M794" t="s">
        <v>898</v>
      </c>
      <c r="N794" t="s">
        <v>898</v>
      </c>
      <c r="P794" t="s">
        <v>898</v>
      </c>
      <c r="Q794" t="s">
        <v>898</v>
      </c>
    </row>
    <row r="795">
      <c r="I795" t="s">
        <v>898</v>
      </c>
      <c r="J795" s="237" t="s">
        <v>898</v>
      </c>
      <c r="K795" s="238" t="s">
        <v>898</v>
      </c>
      <c r="L795" t="s">
        <v>898</v>
      </c>
      <c r="M795" t="s">
        <v>898</v>
      </c>
      <c r="N795" t="s">
        <v>898</v>
      </c>
      <c r="P795" t="s">
        <v>898</v>
      </c>
      <c r="Q795" t="s">
        <v>898</v>
      </c>
    </row>
    <row r="796">
      <c r="I796" t="s">
        <v>898</v>
      </c>
      <c r="J796" s="237" t="s">
        <v>898</v>
      </c>
      <c r="K796" s="238" t="s">
        <v>898</v>
      </c>
      <c r="L796" t="s">
        <v>898</v>
      </c>
      <c r="M796" t="s">
        <v>898</v>
      </c>
      <c r="N796" t="s">
        <v>898</v>
      </c>
      <c r="P796" t="s">
        <v>898</v>
      </c>
      <c r="Q796" t="s">
        <v>898</v>
      </c>
    </row>
    <row r="797">
      <c r="I797" t="s">
        <v>898</v>
      </c>
      <c r="J797" s="237" t="s">
        <v>898</v>
      </c>
      <c r="K797" s="238" t="s">
        <v>898</v>
      </c>
      <c r="L797" t="s">
        <v>898</v>
      </c>
      <c r="M797" t="s">
        <v>898</v>
      </c>
      <c r="N797" t="s">
        <v>898</v>
      </c>
      <c r="P797" t="s">
        <v>898</v>
      </c>
      <c r="Q797" t="s">
        <v>898</v>
      </c>
    </row>
    <row r="798">
      <c r="I798" t="s">
        <v>898</v>
      </c>
      <c r="J798" s="237" t="s">
        <v>898</v>
      </c>
      <c r="K798" s="238" t="s">
        <v>898</v>
      </c>
      <c r="L798" t="s">
        <v>898</v>
      </c>
      <c r="M798" t="s">
        <v>898</v>
      </c>
      <c r="N798" t="s">
        <v>898</v>
      </c>
      <c r="P798" t="s">
        <v>898</v>
      </c>
      <c r="Q798" t="s">
        <v>898</v>
      </c>
    </row>
    <row r="799">
      <c r="I799" t="s">
        <v>898</v>
      </c>
      <c r="J799" s="237" t="s">
        <v>898</v>
      </c>
      <c r="K799" s="238" t="s">
        <v>898</v>
      </c>
      <c r="L799" t="s">
        <v>898</v>
      </c>
      <c r="M799" t="s">
        <v>898</v>
      </c>
      <c r="N799" t="s">
        <v>898</v>
      </c>
      <c r="P799" t="s">
        <v>898</v>
      </c>
      <c r="Q799" t="s">
        <v>898</v>
      </c>
    </row>
    <row r="800">
      <c r="I800" t="s">
        <v>898</v>
      </c>
      <c r="J800" s="237" t="s">
        <v>898</v>
      </c>
      <c r="K800" s="238" t="s">
        <v>898</v>
      </c>
      <c r="L800" t="s">
        <v>898</v>
      </c>
      <c r="M800" t="s">
        <v>898</v>
      </c>
      <c r="N800" t="s">
        <v>898</v>
      </c>
      <c r="P800" t="s">
        <v>898</v>
      </c>
      <c r="Q800" t="s">
        <v>898</v>
      </c>
    </row>
    <row r="801">
      <c r="I801" t="s">
        <v>898</v>
      </c>
      <c r="J801" s="237" t="s">
        <v>898</v>
      </c>
      <c r="K801" s="238" t="s">
        <v>898</v>
      </c>
      <c r="L801" t="s">
        <v>898</v>
      </c>
      <c r="M801" t="s">
        <v>898</v>
      </c>
      <c r="N801" t="s">
        <v>898</v>
      </c>
      <c r="P801" t="s">
        <v>898</v>
      </c>
      <c r="Q801" t="s">
        <v>898</v>
      </c>
    </row>
    <row r="802">
      <c r="I802" t="s">
        <v>898</v>
      </c>
      <c r="J802" s="237" t="s">
        <v>898</v>
      </c>
      <c r="K802" s="238" t="s">
        <v>898</v>
      </c>
      <c r="L802" t="s">
        <v>898</v>
      </c>
      <c r="M802" t="s">
        <v>898</v>
      </c>
      <c r="N802" t="s">
        <v>898</v>
      </c>
      <c r="P802" t="s">
        <v>898</v>
      </c>
      <c r="Q802" t="s">
        <v>898</v>
      </c>
    </row>
    <row r="803">
      <c r="I803" t="s">
        <v>898</v>
      </c>
      <c r="J803" s="237" t="s">
        <v>898</v>
      </c>
      <c r="K803" s="238" t="s">
        <v>898</v>
      </c>
      <c r="L803" t="s">
        <v>898</v>
      </c>
      <c r="M803" t="s">
        <v>898</v>
      </c>
      <c r="N803" t="s">
        <v>898</v>
      </c>
      <c r="P803" t="s">
        <v>898</v>
      </c>
      <c r="Q803" t="s">
        <v>898</v>
      </c>
    </row>
    <row r="804">
      <c r="I804" t="s">
        <v>898</v>
      </c>
      <c r="J804" s="237" t="s">
        <v>898</v>
      </c>
      <c r="K804" s="238" t="s">
        <v>898</v>
      </c>
      <c r="L804" t="s">
        <v>898</v>
      </c>
      <c r="M804" t="s">
        <v>898</v>
      </c>
      <c r="N804" t="s">
        <v>898</v>
      </c>
      <c r="P804" t="s">
        <v>898</v>
      </c>
      <c r="Q804" t="s">
        <v>898</v>
      </c>
    </row>
    <row r="805">
      <c r="I805" t="s">
        <v>898</v>
      </c>
      <c r="J805" s="237" t="s">
        <v>898</v>
      </c>
      <c r="K805" s="238" t="s">
        <v>898</v>
      </c>
      <c r="L805" t="s">
        <v>898</v>
      </c>
      <c r="M805" t="s">
        <v>898</v>
      </c>
      <c r="N805" t="s">
        <v>898</v>
      </c>
      <c r="P805" t="s">
        <v>898</v>
      </c>
      <c r="Q805" t="s">
        <v>898</v>
      </c>
    </row>
    <row r="806">
      <c r="I806" t="s">
        <v>898</v>
      </c>
      <c r="J806" s="237" t="s">
        <v>898</v>
      </c>
      <c r="K806" s="238" t="s">
        <v>898</v>
      </c>
      <c r="L806" t="s">
        <v>898</v>
      </c>
      <c r="M806" t="s">
        <v>898</v>
      </c>
      <c r="N806" t="s">
        <v>898</v>
      </c>
      <c r="P806" t="s">
        <v>898</v>
      </c>
      <c r="Q806" t="s">
        <v>898</v>
      </c>
    </row>
    <row r="807">
      <c r="I807" t="s">
        <v>898</v>
      </c>
      <c r="J807" s="237" t="s">
        <v>898</v>
      </c>
      <c r="K807" s="238" t="s">
        <v>898</v>
      </c>
      <c r="L807" t="s">
        <v>898</v>
      </c>
      <c r="M807" t="s">
        <v>898</v>
      </c>
      <c r="N807" t="s">
        <v>898</v>
      </c>
      <c r="P807" t="s">
        <v>898</v>
      </c>
      <c r="Q807" t="s">
        <v>898</v>
      </c>
    </row>
    <row r="808">
      <c r="I808" t="s">
        <v>898</v>
      </c>
      <c r="J808" s="237" t="s">
        <v>898</v>
      </c>
      <c r="K808" s="238" t="s">
        <v>898</v>
      </c>
      <c r="L808" t="s">
        <v>898</v>
      </c>
      <c r="M808" t="s">
        <v>898</v>
      </c>
      <c r="N808" t="s">
        <v>898</v>
      </c>
      <c r="P808" t="s">
        <v>898</v>
      </c>
      <c r="Q808" t="s">
        <v>898</v>
      </c>
    </row>
    <row r="809">
      <c r="I809" t="s">
        <v>898</v>
      </c>
      <c r="J809" s="237" t="s">
        <v>898</v>
      </c>
      <c r="K809" s="238" t="s">
        <v>898</v>
      </c>
      <c r="L809" t="s">
        <v>898</v>
      </c>
      <c r="M809" t="s">
        <v>898</v>
      </c>
      <c r="N809" t="s">
        <v>898</v>
      </c>
      <c r="P809" t="s">
        <v>898</v>
      </c>
      <c r="Q809" t="s">
        <v>898</v>
      </c>
    </row>
    <row r="810">
      <c r="I810" t="s">
        <v>898</v>
      </c>
      <c r="J810" s="237" t="s">
        <v>898</v>
      </c>
      <c r="K810" s="238" t="s">
        <v>898</v>
      </c>
      <c r="L810" t="s">
        <v>898</v>
      </c>
      <c r="M810" t="s">
        <v>898</v>
      </c>
      <c r="N810" t="s">
        <v>898</v>
      </c>
      <c r="P810" t="s">
        <v>898</v>
      </c>
      <c r="Q810" t="s">
        <v>898</v>
      </c>
    </row>
    <row r="811">
      <c r="I811" t="s">
        <v>898</v>
      </c>
      <c r="J811" s="237" t="s">
        <v>898</v>
      </c>
      <c r="K811" s="238" t="s">
        <v>898</v>
      </c>
      <c r="L811" t="s">
        <v>898</v>
      </c>
      <c r="M811" t="s">
        <v>898</v>
      </c>
      <c r="N811" t="s">
        <v>898</v>
      </c>
      <c r="P811" t="s">
        <v>898</v>
      </c>
      <c r="Q811" t="s">
        <v>898</v>
      </c>
    </row>
    <row r="812">
      <c r="I812" t="s">
        <v>898</v>
      </c>
      <c r="J812" s="237" t="s">
        <v>898</v>
      </c>
      <c r="K812" s="238" t="s">
        <v>898</v>
      </c>
      <c r="L812" t="s">
        <v>898</v>
      </c>
      <c r="M812" t="s">
        <v>898</v>
      </c>
      <c r="N812" t="s">
        <v>898</v>
      </c>
      <c r="P812" t="s">
        <v>898</v>
      </c>
      <c r="Q812" t="s">
        <v>898</v>
      </c>
    </row>
    <row r="813">
      <c r="I813" t="s">
        <v>898</v>
      </c>
      <c r="J813" s="237" t="s">
        <v>898</v>
      </c>
      <c r="K813" s="238" t="s">
        <v>898</v>
      </c>
      <c r="L813" t="s">
        <v>898</v>
      </c>
      <c r="M813" t="s">
        <v>898</v>
      </c>
      <c r="N813" t="s">
        <v>898</v>
      </c>
      <c r="P813" t="s">
        <v>898</v>
      </c>
      <c r="Q813" t="s">
        <v>898</v>
      </c>
    </row>
    <row r="814">
      <c r="I814" t="s">
        <v>898</v>
      </c>
      <c r="J814" s="237" t="s">
        <v>898</v>
      </c>
      <c r="K814" s="238" t="s">
        <v>898</v>
      </c>
      <c r="L814" t="s">
        <v>898</v>
      </c>
      <c r="M814" t="s">
        <v>898</v>
      </c>
      <c r="N814" t="s">
        <v>898</v>
      </c>
      <c r="P814" t="s">
        <v>898</v>
      </c>
      <c r="Q814" t="s">
        <v>898</v>
      </c>
    </row>
    <row r="815">
      <c r="I815" t="s">
        <v>898</v>
      </c>
      <c r="J815" s="237" t="s">
        <v>898</v>
      </c>
      <c r="K815" s="238" t="s">
        <v>898</v>
      </c>
      <c r="L815" t="s">
        <v>898</v>
      </c>
      <c r="M815" t="s">
        <v>898</v>
      </c>
      <c r="N815" t="s">
        <v>898</v>
      </c>
      <c r="P815" t="s">
        <v>898</v>
      </c>
      <c r="Q815" t="s">
        <v>898</v>
      </c>
    </row>
    <row r="816">
      <c r="I816" t="s">
        <v>898</v>
      </c>
      <c r="J816" s="237" t="s">
        <v>898</v>
      </c>
      <c r="K816" s="238" t="s">
        <v>898</v>
      </c>
      <c r="L816" t="s">
        <v>898</v>
      </c>
      <c r="M816" t="s">
        <v>898</v>
      </c>
      <c r="N816" t="s">
        <v>898</v>
      </c>
      <c r="P816" t="s">
        <v>898</v>
      </c>
      <c r="Q816" t="s">
        <v>898</v>
      </c>
    </row>
    <row r="817">
      <c r="I817" t="s">
        <v>898</v>
      </c>
      <c r="J817" s="237" t="s">
        <v>898</v>
      </c>
      <c r="K817" s="238" t="s">
        <v>898</v>
      </c>
      <c r="L817" t="s">
        <v>898</v>
      </c>
      <c r="M817" t="s">
        <v>898</v>
      </c>
      <c r="N817" t="s">
        <v>898</v>
      </c>
      <c r="P817" t="s">
        <v>898</v>
      </c>
      <c r="Q817" t="s">
        <v>898</v>
      </c>
    </row>
    <row r="818">
      <c r="I818" t="s">
        <v>898</v>
      </c>
      <c r="J818" s="237" t="s">
        <v>898</v>
      </c>
      <c r="K818" s="238" t="s">
        <v>898</v>
      </c>
      <c r="L818" t="s">
        <v>898</v>
      </c>
      <c r="M818" t="s">
        <v>898</v>
      </c>
      <c r="N818" t="s">
        <v>898</v>
      </c>
      <c r="P818" t="s">
        <v>898</v>
      </c>
      <c r="Q818" t="s">
        <v>898</v>
      </c>
    </row>
    <row r="819">
      <c r="I819" t="s">
        <v>898</v>
      </c>
      <c r="J819" s="237" t="s">
        <v>898</v>
      </c>
      <c r="K819" s="238" t="s">
        <v>898</v>
      </c>
      <c r="L819" t="s">
        <v>898</v>
      </c>
      <c r="M819" t="s">
        <v>898</v>
      </c>
      <c r="N819" t="s">
        <v>898</v>
      </c>
      <c r="P819" t="s">
        <v>898</v>
      </c>
      <c r="Q819" t="s">
        <v>898</v>
      </c>
    </row>
    <row r="820">
      <c r="I820" t="s">
        <v>898</v>
      </c>
      <c r="J820" s="237" t="s">
        <v>898</v>
      </c>
      <c r="K820" s="238" t="s">
        <v>898</v>
      </c>
      <c r="L820" t="s">
        <v>898</v>
      </c>
      <c r="M820" t="s">
        <v>898</v>
      </c>
      <c r="N820" t="s">
        <v>898</v>
      </c>
      <c r="P820" t="s">
        <v>898</v>
      </c>
      <c r="Q820" t="s">
        <v>898</v>
      </c>
    </row>
    <row r="821">
      <c r="I821" t="s">
        <v>898</v>
      </c>
      <c r="J821" s="237" t="s">
        <v>898</v>
      </c>
      <c r="K821" s="238" t="s">
        <v>898</v>
      </c>
      <c r="L821" t="s">
        <v>898</v>
      </c>
      <c r="M821" t="s">
        <v>898</v>
      </c>
      <c r="N821" t="s">
        <v>898</v>
      </c>
      <c r="P821" t="s">
        <v>898</v>
      </c>
      <c r="Q821" t="s">
        <v>898</v>
      </c>
    </row>
    <row r="822">
      <c r="I822" t="s">
        <v>898</v>
      </c>
      <c r="J822" s="237" t="s">
        <v>898</v>
      </c>
      <c r="K822" s="238" t="s">
        <v>898</v>
      </c>
      <c r="L822" t="s">
        <v>898</v>
      </c>
      <c r="M822" t="s">
        <v>898</v>
      </c>
      <c r="N822" t="s">
        <v>898</v>
      </c>
      <c r="P822" t="s">
        <v>898</v>
      </c>
      <c r="Q822" t="s">
        <v>898</v>
      </c>
    </row>
    <row r="823">
      <c r="I823" t="s">
        <v>898</v>
      </c>
      <c r="J823" s="237" t="s">
        <v>898</v>
      </c>
      <c r="K823" s="238" t="s">
        <v>898</v>
      </c>
      <c r="L823" t="s">
        <v>898</v>
      </c>
      <c r="M823" t="s">
        <v>898</v>
      </c>
      <c r="N823" t="s">
        <v>898</v>
      </c>
      <c r="P823" t="s">
        <v>898</v>
      </c>
      <c r="Q823" t="s">
        <v>898</v>
      </c>
    </row>
    <row r="824">
      <c r="I824" t="s">
        <v>898</v>
      </c>
      <c r="J824" s="237" t="s">
        <v>898</v>
      </c>
      <c r="K824" s="238" t="s">
        <v>898</v>
      </c>
      <c r="L824" t="s">
        <v>898</v>
      </c>
      <c r="M824" t="s">
        <v>898</v>
      </c>
      <c r="N824" t="s">
        <v>898</v>
      </c>
      <c r="P824" t="s">
        <v>898</v>
      </c>
      <c r="Q824" t="s">
        <v>898</v>
      </c>
    </row>
    <row r="825">
      <c r="I825" t="s">
        <v>898</v>
      </c>
      <c r="J825" s="237" t="s">
        <v>898</v>
      </c>
      <c r="K825" s="238" t="s">
        <v>898</v>
      </c>
      <c r="L825" t="s">
        <v>898</v>
      </c>
      <c r="M825" t="s">
        <v>898</v>
      </c>
      <c r="N825" t="s">
        <v>898</v>
      </c>
      <c r="P825" t="s">
        <v>898</v>
      </c>
      <c r="Q825" t="s">
        <v>898</v>
      </c>
    </row>
    <row r="826">
      <c r="I826" t="s">
        <v>898</v>
      </c>
      <c r="J826" s="237" t="s">
        <v>898</v>
      </c>
      <c r="K826" s="238" t="s">
        <v>898</v>
      </c>
      <c r="L826" t="s">
        <v>898</v>
      </c>
      <c r="M826" t="s">
        <v>898</v>
      </c>
      <c r="N826" t="s">
        <v>898</v>
      </c>
      <c r="P826" t="s">
        <v>898</v>
      </c>
      <c r="Q826" t="s">
        <v>898</v>
      </c>
    </row>
    <row r="827">
      <c r="I827" t="s">
        <v>898</v>
      </c>
      <c r="J827" s="237" t="s">
        <v>898</v>
      </c>
      <c r="K827" s="238" t="s">
        <v>898</v>
      </c>
      <c r="L827" t="s">
        <v>898</v>
      </c>
      <c r="M827" t="s">
        <v>898</v>
      </c>
      <c r="N827" t="s">
        <v>898</v>
      </c>
      <c r="P827" t="s">
        <v>898</v>
      </c>
      <c r="Q827" t="s">
        <v>898</v>
      </c>
    </row>
    <row r="828">
      <c r="I828" t="s">
        <v>898</v>
      </c>
      <c r="J828" s="237" t="s">
        <v>898</v>
      </c>
      <c r="K828" s="238" t="s">
        <v>898</v>
      </c>
      <c r="L828" t="s">
        <v>898</v>
      </c>
      <c r="M828" t="s">
        <v>898</v>
      </c>
      <c r="N828" t="s">
        <v>898</v>
      </c>
      <c r="P828" t="s">
        <v>898</v>
      </c>
      <c r="Q828" t="s">
        <v>898</v>
      </c>
    </row>
    <row r="829">
      <c r="I829" t="s">
        <v>898</v>
      </c>
      <c r="J829" s="237" t="s">
        <v>898</v>
      </c>
      <c r="K829" s="238" t="s">
        <v>898</v>
      </c>
      <c r="L829" t="s">
        <v>898</v>
      </c>
      <c r="M829" t="s">
        <v>898</v>
      </c>
      <c r="N829" t="s">
        <v>898</v>
      </c>
      <c r="P829" t="s">
        <v>898</v>
      </c>
      <c r="Q829" t="s">
        <v>898</v>
      </c>
    </row>
    <row r="830">
      <c r="I830" t="s">
        <v>898</v>
      </c>
      <c r="J830" s="237" t="s">
        <v>898</v>
      </c>
      <c r="K830" s="238" t="s">
        <v>898</v>
      </c>
      <c r="L830" t="s">
        <v>898</v>
      </c>
      <c r="M830" t="s">
        <v>898</v>
      </c>
      <c r="N830" t="s">
        <v>898</v>
      </c>
      <c r="P830" t="s">
        <v>898</v>
      </c>
      <c r="Q830" t="s">
        <v>898</v>
      </c>
    </row>
    <row r="831">
      <c r="I831" t="s">
        <v>898</v>
      </c>
      <c r="J831" s="237" t="s">
        <v>898</v>
      </c>
      <c r="K831" s="238" t="s">
        <v>898</v>
      </c>
      <c r="L831" t="s">
        <v>898</v>
      </c>
      <c r="M831" t="s">
        <v>898</v>
      </c>
      <c r="N831" t="s">
        <v>898</v>
      </c>
      <c r="P831" t="s">
        <v>898</v>
      </c>
      <c r="Q831" t="s">
        <v>898</v>
      </c>
    </row>
    <row r="832">
      <c r="I832" t="s">
        <v>898</v>
      </c>
      <c r="J832" s="237" t="s">
        <v>898</v>
      </c>
      <c r="K832" s="238" t="s">
        <v>898</v>
      </c>
      <c r="L832" t="s">
        <v>898</v>
      </c>
      <c r="M832" t="s">
        <v>898</v>
      </c>
      <c r="N832" t="s">
        <v>898</v>
      </c>
      <c r="P832" t="s">
        <v>898</v>
      </c>
      <c r="Q832" t="s">
        <v>898</v>
      </c>
    </row>
    <row r="833">
      <c r="I833" t="s">
        <v>898</v>
      </c>
      <c r="J833" s="237" t="s">
        <v>898</v>
      </c>
      <c r="K833" s="238" t="s">
        <v>898</v>
      </c>
      <c r="L833" t="s">
        <v>898</v>
      </c>
      <c r="M833" t="s">
        <v>898</v>
      </c>
      <c r="N833" t="s">
        <v>898</v>
      </c>
      <c r="P833" t="s">
        <v>898</v>
      </c>
      <c r="Q833" t="s">
        <v>898</v>
      </c>
    </row>
    <row r="834">
      <c r="I834" t="s">
        <v>898</v>
      </c>
      <c r="J834" s="237" t="s">
        <v>898</v>
      </c>
      <c r="K834" s="238" t="s">
        <v>898</v>
      </c>
      <c r="L834" t="s">
        <v>898</v>
      </c>
      <c r="M834" t="s">
        <v>898</v>
      </c>
      <c r="N834" t="s">
        <v>898</v>
      </c>
      <c r="P834" t="s">
        <v>898</v>
      </c>
      <c r="Q834" t="s">
        <v>898</v>
      </c>
    </row>
    <row r="835">
      <c r="I835" t="s">
        <v>898</v>
      </c>
      <c r="J835" s="237" t="s">
        <v>898</v>
      </c>
      <c r="K835" s="238" t="s">
        <v>898</v>
      </c>
      <c r="L835" t="s">
        <v>898</v>
      </c>
      <c r="M835" t="s">
        <v>898</v>
      </c>
      <c r="N835" t="s">
        <v>898</v>
      </c>
      <c r="P835" t="s">
        <v>898</v>
      </c>
      <c r="Q835" t="s">
        <v>898</v>
      </c>
    </row>
    <row r="836">
      <c r="I836" t="s">
        <v>898</v>
      </c>
      <c r="J836" s="237" t="s">
        <v>898</v>
      </c>
      <c r="K836" s="238" t="s">
        <v>898</v>
      </c>
      <c r="L836" t="s">
        <v>898</v>
      </c>
      <c r="M836" t="s">
        <v>898</v>
      </c>
      <c r="N836" t="s">
        <v>898</v>
      </c>
      <c r="P836" t="s">
        <v>898</v>
      </c>
      <c r="Q836" t="s">
        <v>898</v>
      </c>
    </row>
    <row r="837">
      <c r="I837" t="s">
        <v>898</v>
      </c>
      <c r="J837" s="237" t="s">
        <v>898</v>
      </c>
      <c r="K837" s="238" t="s">
        <v>898</v>
      </c>
      <c r="L837" t="s">
        <v>898</v>
      </c>
      <c r="M837" t="s">
        <v>898</v>
      </c>
      <c r="N837" t="s">
        <v>898</v>
      </c>
      <c r="P837" t="s">
        <v>898</v>
      </c>
      <c r="Q837" t="s">
        <v>898</v>
      </c>
    </row>
    <row r="838">
      <c r="I838" t="s">
        <v>898</v>
      </c>
      <c r="J838" s="237" t="s">
        <v>898</v>
      </c>
      <c r="K838" s="238" t="s">
        <v>898</v>
      </c>
      <c r="L838" t="s">
        <v>898</v>
      </c>
      <c r="M838" t="s">
        <v>898</v>
      </c>
      <c r="N838" t="s">
        <v>898</v>
      </c>
      <c r="P838" t="s">
        <v>898</v>
      </c>
      <c r="Q838" t="s">
        <v>898</v>
      </c>
    </row>
    <row r="839">
      <c r="I839" t="s">
        <v>898</v>
      </c>
      <c r="J839" s="237" t="s">
        <v>898</v>
      </c>
      <c r="K839" s="238" t="s">
        <v>898</v>
      </c>
      <c r="L839" t="s">
        <v>898</v>
      </c>
      <c r="M839" t="s">
        <v>898</v>
      </c>
      <c r="N839" t="s">
        <v>898</v>
      </c>
      <c r="P839" t="s">
        <v>898</v>
      </c>
      <c r="Q839" t="s">
        <v>898</v>
      </c>
    </row>
    <row r="840">
      <c r="I840" t="s">
        <v>898</v>
      </c>
      <c r="J840" s="237" t="s">
        <v>898</v>
      </c>
      <c r="K840" s="238" t="s">
        <v>898</v>
      </c>
      <c r="L840" t="s">
        <v>898</v>
      </c>
      <c r="M840" t="s">
        <v>898</v>
      </c>
      <c r="N840" t="s">
        <v>898</v>
      </c>
      <c r="P840" t="s">
        <v>898</v>
      </c>
      <c r="Q840" t="s">
        <v>898</v>
      </c>
    </row>
    <row r="841">
      <c r="I841" t="s">
        <v>898</v>
      </c>
      <c r="J841" s="237" t="s">
        <v>898</v>
      </c>
      <c r="K841" s="238" t="s">
        <v>898</v>
      </c>
      <c r="L841" t="s">
        <v>898</v>
      </c>
      <c r="M841" t="s">
        <v>898</v>
      </c>
      <c r="N841" t="s">
        <v>898</v>
      </c>
      <c r="P841" t="s">
        <v>898</v>
      </c>
      <c r="Q841" t="s">
        <v>898</v>
      </c>
    </row>
    <row r="842">
      <c r="I842" t="s">
        <v>898</v>
      </c>
      <c r="J842" s="237" t="s">
        <v>898</v>
      </c>
      <c r="K842" s="238" t="s">
        <v>898</v>
      </c>
      <c r="L842" t="s">
        <v>898</v>
      </c>
      <c r="M842" t="s">
        <v>898</v>
      </c>
      <c r="N842" t="s">
        <v>898</v>
      </c>
      <c r="P842" t="s">
        <v>898</v>
      </c>
      <c r="Q842" t="s">
        <v>898</v>
      </c>
    </row>
    <row r="843">
      <c r="I843" t="s">
        <v>898</v>
      </c>
      <c r="J843" s="237" t="s">
        <v>898</v>
      </c>
      <c r="K843" s="238" t="s">
        <v>898</v>
      </c>
      <c r="L843" t="s">
        <v>898</v>
      </c>
      <c r="M843" t="s">
        <v>898</v>
      </c>
      <c r="N843" t="s">
        <v>898</v>
      </c>
      <c r="P843" t="s">
        <v>898</v>
      </c>
      <c r="Q843" t="s">
        <v>898</v>
      </c>
    </row>
    <row r="844">
      <c r="I844" t="s">
        <v>898</v>
      </c>
      <c r="J844" s="237" t="s">
        <v>898</v>
      </c>
      <c r="K844" s="238" t="s">
        <v>898</v>
      </c>
      <c r="L844" t="s">
        <v>898</v>
      </c>
      <c r="M844" t="s">
        <v>898</v>
      </c>
      <c r="N844" t="s">
        <v>898</v>
      </c>
      <c r="P844" t="s">
        <v>898</v>
      </c>
      <c r="Q844" t="s">
        <v>898</v>
      </c>
    </row>
    <row r="845">
      <c r="I845" t="s">
        <v>898</v>
      </c>
      <c r="J845" s="237" t="s">
        <v>898</v>
      </c>
      <c r="K845" s="238" t="s">
        <v>898</v>
      </c>
      <c r="L845" t="s">
        <v>898</v>
      </c>
      <c r="M845" t="s">
        <v>898</v>
      </c>
      <c r="N845" t="s">
        <v>898</v>
      </c>
      <c r="P845" t="s">
        <v>898</v>
      </c>
      <c r="Q845" t="s">
        <v>898</v>
      </c>
    </row>
    <row r="846">
      <c r="I846" t="s">
        <v>898</v>
      </c>
      <c r="J846" s="237" t="s">
        <v>898</v>
      </c>
      <c r="K846" s="238" t="s">
        <v>898</v>
      </c>
      <c r="L846" t="s">
        <v>898</v>
      </c>
      <c r="M846" t="s">
        <v>898</v>
      </c>
      <c r="N846" t="s">
        <v>898</v>
      </c>
      <c r="P846" t="s">
        <v>898</v>
      </c>
      <c r="Q846" t="s">
        <v>898</v>
      </c>
    </row>
    <row r="847">
      <c r="I847" t="s">
        <v>898</v>
      </c>
      <c r="J847" s="237" t="s">
        <v>898</v>
      </c>
      <c r="K847" s="238" t="s">
        <v>898</v>
      </c>
      <c r="L847" t="s">
        <v>898</v>
      </c>
      <c r="M847" t="s">
        <v>898</v>
      </c>
      <c r="N847" t="s">
        <v>898</v>
      </c>
      <c r="P847" t="s">
        <v>898</v>
      </c>
      <c r="Q847" t="s">
        <v>898</v>
      </c>
    </row>
    <row r="848">
      <c r="I848" t="s">
        <v>898</v>
      </c>
      <c r="J848" s="237" t="s">
        <v>898</v>
      </c>
      <c r="K848" s="238" t="s">
        <v>898</v>
      </c>
      <c r="L848" t="s">
        <v>898</v>
      </c>
      <c r="M848" t="s">
        <v>898</v>
      </c>
      <c r="N848" t="s">
        <v>898</v>
      </c>
      <c r="P848" t="s">
        <v>898</v>
      </c>
      <c r="Q848" t="s">
        <v>898</v>
      </c>
    </row>
    <row r="849">
      <c r="I849" t="s">
        <v>898</v>
      </c>
      <c r="J849" s="237" t="s">
        <v>898</v>
      </c>
      <c r="K849" s="238" t="s">
        <v>898</v>
      </c>
      <c r="L849" t="s">
        <v>898</v>
      </c>
      <c r="M849" t="s">
        <v>898</v>
      </c>
      <c r="N849" t="s">
        <v>898</v>
      </c>
      <c r="P849" t="s">
        <v>898</v>
      </c>
      <c r="Q849" t="s">
        <v>898</v>
      </c>
    </row>
    <row r="850">
      <c r="I850" t="s">
        <v>898</v>
      </c>
      <c r="J850" s="237" t="s">
        <v>898</v>
      </c>
      <c r="K850" s="238" t="s">
        <v>898</v>
      </c>
      <c r="L850" t="s">
        <v>898</v>
      </c>
      <c r="M850" t="s">
        <v>898</v>
      </c>
      <c r="N850" t="s">
        <v>898</v>
      </c>
      <c r="P850" t="s">
        <v>898</v>
      </c>
      <c r="Q850" t="s">
        <v>898</v>
      </c>
    </row>
    <row r="851">
      <c r="I851" t="s">
        <v>898</v>
      </c>
      <c r="J851" s="237" t="s">
        <v>898</v>
      </c>
      <c r="K851" s="238" t="s">
        <v>898</v>
      </c>
      <c r="L851" t="s">
        <v>898</v>
      </c>
      <c r="M851" t="s">
        <v>898</v>
      </c>
      <c r="N851" t="s">
        <v>898</v>
      </c>
      <c r="P851" t="s">
        <v>898</v>
      </c>
      <c r="Q851" t="s">
        <v>898</v>
      </c>
    </row>
    <row r="852">
      <c r="I852" t="s">
        <v>898</v>
      </c>
      <c r="J852" s="237" t="s">
        <v>898</v>
      </c>
      <c r="K852" s="238" t="s">
        <v>898</v>
      </c>
      <c r="L852" t="s">
        <v>898</v>
      </c>
      <c r="M852" t="s">
        <v>898</v>
      </c>
      <c r="N852" t="s">
        <v>898</v>
      </c>
      <c r="P852" t="s">
        <v>898</v>
      </c>
      <c r="Q852" t="s">
        <v>898</v>
      </c>
    </row>
    <row r="853">
      <c r="I853" t="s">
        <v>898</v>
      </c>
      <c r="J853" s="237" t="s">
        <v>898</v>
      </c>
      <c r="K853" s="238" t="s">
        <v>898</v>
      </c>
      <c r="L853" t="s">
        <v>898</v>
      </c>
      <c r="M853" t="s">
        <v>898</v>
      </c>
      <c r="N853" t="s">
        <v>898</v>
      </c>
      <c r="P853" t="s">
        <v>898</v>
      </c>
      <c r="Q853" t="s">
        <v>898</v>
      </c>
    </row>
    <row r="854">
      <c r="I854" t="s">
        <v>898</v>
      </c>
      <c r="J854" s="237" t="s">
        <v>898</v>
      </c>
      <c r="K854" s="238" t="s">
        <v>898</v>
      </c>
      <c r="L854" t="s">
        <v>898</v>
      </c>
      <c r="M854" t="s">
        <v>898</v>
      </c>
      <c r="N854" t="s">
        <v>898</v>
      </c>
      <c r="P854" t="s">
        <v>898</v>
      </c>
      <c r="Q854" t="s">
        <v>898</v>
      </c>
    </row>
    <row r="855">
      <c r="I855" t="s">
        <v>898</v>
      </c>
      <c r="J855" s="237" t="s">
        <v>898</v>
      </c>
      <c r="K855" s="238" t="s">
        <v>898</v>
      </c>
      <c r="L855" t="s">
        <v>898</v>
      </c>
      <c r="M855" t="s">
        <v>898</v>
      </c>
      <c r="N855" t="s">
        <v>898</v>
      </c>
      <c r="P855" t="s">
        <v>898</v>
      </c>
      <c r="Q855" t="s">
        <v>898</v>
      </c>
    </row>
    <row r="856">
      <c r="I856" t="s">
        <v>898</v>
      </c>
      <c r="J856" s="237" t="s">
        <v>898</v>
      </c>
      <c r="K856" s="238" t="s">
        <v>898</v>
      </c>
      <c r="L856" t="s">
        <v>898</v>
      </c>
      <c r="M856" t="s">
        <v>898</v>
      </c>
      <c r="N856" t="s">
        <v>898</v>
      </c>
      <c r="P856" t="s">
        <v>898</v>
      </c>
      <c r="Q856" t="s">
        <v>898</v>
      </c>
    </row>
    <row r="857">
      <c r="I857" t="s">
        <v>898</v>
      </c>
      <c r="J857" s="237" t="s">
        <v>898</v>
      </c>
      <c r="K857" s="238" t="s">
        <v>898</v>
      </c>
      <c r="L857" t="s">
        <v>898</v>
      </c>
      <c r="M857" t="s">
        <v>898</v>
      </c>
      <c r="N857" t="s">
        <v>898</v>
      </c>
      <c r="P857" t="s">
        <v>898</v>
      </c>
      <c r="Q857" t="s">
        <v>898</v>
      </c>
    </row>
    <row r="858">
      <c r="I858" t="s">
        <v>898</v>
      </c>
      <c r="J858" s="237" t="s">
        <v>898</v>
      </c>
      <c r="K858" s="238" t="s">
        <v>898</v>
      </c>
      <c r="L858" t="s">
        <v>898</v>
      </c>
      <c r="M858" t="s">
        <v>898</v>
      </c>
      <c r="N858" t="s">
        <v>898</v>
      </c>
      <c r="P858" t="s">
        <v>898</v>
      </c>
      <c r="Q858" t="s">
        <v>898</v>
      </c>
    </row>
    <row r="859">
      <c r="I859" t="s">
        <v>898</v>
      </c>
      <c r="J859" s="237" t="s">
        <v>898</v>
      </c>
      <c r="K859" s="238" t="s">
        <v>898</v>
      </c>
      <c r="L859" t="s">
        <v>898</v>
      </c>
      <c r="M859" t="s">
        <v>898</v>
      </c>
      <c r="N859" t="s">
        <v>898</v>
      </c>
      <c r="P859" t="s">
        <v>898</v>
      </c>
      <c r="Q859" t="s">
        <v>898</v>
      </c>
    </row>
    <row r="860">
      <c r="I860" t="s">
        <v>898</v>
      </c>
      <c r="J860" s="237" t="s">
        <v>898</v>
      </c>
      <c r="K860" s="238" t="s">
        <v>898</v>
      </c>
      <c r="L860" t="s">
        <v>898</v>
      </c>
      <c r="M860" t="s">
        <v>898</v>
      </c>
      <c r="N860" t="s">
        <v>898</v>
      </c>
      <c r="P860" t="s">
        <v>898</v>
      </c>
      <c r="Q860" t="s">
        <v>898</v>
      </c>
    </row>
    <row r="861">
      <c r="I861" t="s">
        <v>898</v>
      </c>
      <c r="J861" s="237" t="s">
        <v>898</v>
      </c>
      <c r="K861" s="238" t="s">
        <v>898</v>
      </c>
      <c r="L861" t="s">
        <v>898</v>
      </c>
      <c r="M861" t="s">
        <v>898</v>
      </c>
      <c r="N861" t="s">
        <v>898</v>
      </c>
      <c r="P861" t="s">
        <v>898</v>
      </c>
      <c r="Q861" t="s">
        <v>898</v>
      </c>
    </row>
    <row r="862">
      <c r="I862" t="s">
        <v>898</v>
      </c>
      <c r="J862" s="237" t="s">
        <v>898</v>
      </c>
      <c r="K862" s="238" t="s">
        <v>898</v>
      </c>
      <c r="L862" t="s">
        <v>898</v>
      </c>
      <c r="M862" t="s">
        <v>898</v>
      </c>
      <c r="N862" t="s">
        <v>898</v>
      </c>
      <c r="P862" t="s">
        <v>898</v>
      </c>
      <c r="Q862" t="s">
        <v>898</v>
      </c>
    </row>
    <row r="863">
      <c r="I863" t="s">
        <v>898</v>
      </c>
      <c r="J863" s="237" t="s">
        <v>898</v>
      </c>
      <c r="K863" s="238" t="s">
        <v>898</v>
      </c>
      <c r="L863" t="s">
        <v>898</v>
      </c>
      <c r="M863" t="s">
        <v>898</v>
      </c>
      <c r="N863" t="s">
        <v>898</v>
      </c>
      <c r="P863" t="s">
        <v>898</v>
      </c>
      <c r="Q863" t="s">
        <v>898</v>
      </c>
    </row>
    <row r="864">
      <c r="I864" t="s">
        <v>898</v>
      </c>
      <c r="J864" s="237" t="s">
        <v>898</v>
      </c>
      <c r="K864" s="238" t="s">
        <v>898</v>
      </c>
      <c r="L864" t="s">
        <v>898</v>
      </c>
      <c r="M864" t="s">
        <v>898</v>
      </c>
      <c r="N864" t="s">
        <v>898</v>
      </c>
      <c r="P864" t="s">
        <v>898</v>
      </c>
      <c r="Q864" t="s">
        <v>898</v>
      </c>
    </row>
    <row r="865">
      <c r="I865" t="s">
        <v>898</v>
      </c>
      <c r="J865" s="237" t="s">
        <v>898</v>
      </c>
      <c r="K865" s="238" t="s">
        <v>898</v>
      </c>
      <c r="L865" t="s">
        <v>898</v>
      </c>
      <c r="M865" t="s">
        <v>898</v>
      </c>
      <c r="N865" t="s">
        <v>898</v>
      </c>
      <c r="P865" t="s">
        <v>898</v>
      </c>
      <c r="Q865" t="s">
        <v>898</v>
      </c>
    </row>
    <row r="866">
      <c r="I866" t="s">
        <v>898</v>
      </c>
      <c r="J866" s="237" t="s">
        <v>898</v>
      </c>
      <c r="K866" s="238" t="s">
        <v>898</v>
      </c>
      <c r="L866" t="s">
        <v>898</v>
      </c>
      <c r="M866" t="s">
        <v>898</v>
      </c>
      <c r="N866" t="s">
        <v>898</v>
      </c>
      <c r="P866" t="s">
        <v>898</v>
      </c>
      <c r="Q866" t="s">
        <v>898</v>
      </c>
    </row>
    <row r="867">
      <c r="I867" t="s">
        <v>898</v>
      </c>
      <c r="J867" s="237" t="s">
        <v>898</v>
      </c>
      <c r="K867" s="238" t="s">
        <v>898</v>
      </c>
      <c r="L867" t="s">
        <v>898</v>
      </c>
      <c r="M867" t="s">
        <v>898</v>
      </c>
      <c r="N867" t="s">
        <v>898</v>
      </c>
      <c r="P867" t="s">
        <v>898</v>
      </c>
      <c r="Q867" t="s">
        <v>898</v>
      </c>
    </row>
    <row r="868">
      <c r="I868" t="s">
        <v>898</v>
      </c>
      <c r="J868" s="237" t="s">
        <v>898</v>
      </c>
      <c r="K868" s="238" t="s">
        <v>898</v>
      </c>
      <c r="L868" t="s">
        <v>898</v>
      </c>
      <c r="M868" t="s">
        <v>898</v>
      </c>
      <c r="N868" t="s">
        <v>898</v>
      </c>
      <c r="P868" t="s">
        <v>898</v>
      </c>
      <c r="Q868" t="s">
        <v>898</v>
      </c>
    </row>
    <row r="869">
      <c r="I869" t="s">
        <v>898</v>
      </c>
      <c r="J869" s="237" t="s">
        <v>898</v>
      </c>
      <c r="K869" s="238" t="s">
        <v>898</v>
      </c>
      <c r="L869" t="s">
        <v>898</v>
      </c>
      <c r="M869" t="s">
        <v>898</v>
      </c>
      <c r="N869" t="s">
        <v>898</v>
      </c>
      <c r="P869" t="s">
        <v>898</v>
      </c>
      <c r="Q869" t="s">
        <v>898</v>
      </c>
    </row>
    <row r="870">
      <c r="I870" t="s">
        <v>898</v>
      </c>
      <c r="J870" s="237" t="s">
        <v>898</v>
      </c>
      <c r="K870" s="238" t="s">
        <v>898</v>
      </c>
      <c r="L870" t="s">
        <v>898</v>
      </c>
      <c r="M870" t="s">
        <v>898</v>
      </c>
      <c r="N870" t="s">
        <v>898</v>
      </c>
      <c r="P870" t="s">
        <v>898</v>
      </c>
      <c r="Q870" t="s">
        <v>898</v>
      </c>
    </row>
    <row r="871">
      <c r="I871" t="s">
        <v>898</v>
      </c>
      <c r="J871" s="237" t="s">
        <v>898</v>
      </c>
      <c r="K871" s="238" t="s">
        <v>898</v>
      </c>
      <c r="L871" t="s">
        <v>898</v>
      </c>
      <c r="M871" t="s">
        <v>898</v>
      </c>
      <c r="N871" t="s">
        <v>898</v>
      </c>
      <c r="P871" t="s">
        <v>898</v>
      </c>
      <c r="Q871" t="s">
        <v>898</v>
      </c>
    </row>
    <row r="872">
      <c r="I872" t="s">
        <v>898</v>
      </c>
      <c r="J872" s="237" t="s">
        <v>898</v>
      </c>
      <c r="K872" s="238" t="s">
        <v>898</v>
      </c>
      <c r="L872" t="s">
        <v>898</v>
      </c>
      <c r="M872" t="s">
        <v>898</v>
      </c>
      <c r="N872" t="s">
        <v>898</v>
      </c>
      <c r="P872" t="s">
        <v>898</v>
      </c>
      <c r="Q872" t="s">
        <v>898</v>
      </c>
    </row>
    <row r="873">
      <c r="I873" t="s">
        <v>898</v>
      </c>
      <c r="J873" s="237" t="s">
        <v>898</v>
      </c>
      <c r="K873" s="238" t="s">
        <v>898</v>
      </c>
      <c r="L873" t="s">
        <v>898</v>
      </c>
      <c r="M873" t="s">
        <v>898</v>
      </c>
      <c r="N873" t="s">
        <v>898</v>
      </c>
      <c r="P873" t="s">
        <v>898</v>
      </c>
      <c r="Q873" t="s">
        <v>898</v>
      </c>
    </row>
    <row r="874">
      <c r="I874" t="s">
        <v>898</v>
      </c>
      <c r="J874" s="237" t="s">
        <v>898</v>
      </c>
      <c r="K874" s="238" t="s">
        <v>898</v>
      </c>
      <c r="L874" t="s">
        <v>898</v>
      </c>
      <c r="M874" t="s">
        <v>898</v>
      </c>
      <c r="N874" t="s">
        <v>898</v>
      </c>
      <c r="P874" t="s">
        <v>898</v>
      </c>
      <c r="Q874" t="s">
        <v>898</v>
      </c>
    </row>
    <row r="875">
      <c r="I875" t="s">
        <v>898</v>
      </c>
      <c r="J875" s="237" t="s">
        <v>898</v>
      </c>
      <c r="K875" s="238" t="s">
        <v>898</v>
      </c>
      <c r="L875" t="s">
        <v>898</v>
      </c>
      <c r="M875" t="s">
        <v>898</v>
      </c>
      <c r="N875" t="s">
        <v>898</v>
      </c>
      <c r="P875" t="s">
        <v>898</v>
      </c>
      <c r="Q875" t="s">
        <v>898</v>
      </c>
    </row>
    <row r="876">
      <c r="I876" t="s">
        <v>898</v>
      </c>
      <c r="J876" s="237" t="s">
        <v>898</v>
      </c>
      <c r="K876" s="238" t="s">
        <v>898</v>
      </c>
      <c r="L876" t="s">
        <v>898</v>
      </c>
      <c r="M876" t="s">
        <v>898</v>
      </c>
      <c r="N876" t="s">
        <v>898</v>
      </c>
      <c r="P876" t="s">
        <v>898</v>
      </c>
      <c r="Q876" t="s">
        <v>898</v>
      </c>
    </row>
    <row r="877">
      <c r="I877" t="s">
        <v>898</v>
      </c>
      <c r="J877" s="237" t="s">
        <v>898</v>
      </c>
      <c r="K877" s="238" t="s">
        <v>898</v>
      </c>
      <c r="L877" t="s">
        <v>898</v>
      </c>
      <c r="M877" t="s">
        <v>898</v>
      </c>
      <c r="N877" t="s">
        <v>898</v>
      </c>
      <c r="P877" t="s">
        <v>898</v>
      </c>
      <c r="Q877" t="s">
        <v>898</v>
      </c>
    </row>
    <row r="878">
      <c r="I878" t="s">
        <v>898</v>
      </c>
      <c r="J878" s="237" t="s">
        <v>898</v>
      </c>
      <c r="K878" s="238" t="s">
        <v>898</v>
      </c>
      <c r="L878" t="s">
        <v>898</v>
      </c>
      <c r="M878" t="s">
        <v>898</v>
      </c>
      <c r="N878" t="s">
        <v>898</v>
      </c>
      <c r="P878" t="s">
        <v>898</v>
      </c>
      <c r="Q878" t="s">
        <v>898</v>
      </c>
    </row>
    <row r="879">
      <c r="I879" t="s">
        <v>898</v>
      </c>
      <c r="J879" s="237" t="s">
        <v>898</v>
      </c>
      <c r="K879" s="238" t="s">
        <v>898</v>
      </c>
      <c r="L879" t="s">
        <v>898</v>
      </c>
      <c r="M879" t="s">
        <v>898</v>
      </c>
      <c r="N879" t="s">
        <v>898</v>
      </c>
      <c r="P879" t="s">
        <v>898</v>
      </c>
      <c r="Q879" t="s">
        <v>898</v>
      </c>
    </row>
    <row r="880">
      <c r="I880" t="s">
        <v>898</v>
      </c>
      <c r="J880" s="237" t="s">
        <v>898</v>
      </c>
      <c r="K880" s="238" t="s">
        <v>898</v>
      </c>
      <c r="L880" t="s">
        <v>898</v>
      </c>
      <c r="M880" t="s">
        <v>898</v>
      </c>
      <c r="N880" t="s">
        <v>898</v>
      </c>
      <c r="P880" t="s">
        <v>898</v>
      </c>
      <c r="Q880" t="s">
        <v>898</v>
      </c>
    </row>
    <row r="881">
      <c r="I881" t="s">
        <v>898</v>
      </c>
      <c r="J881" s="237" t="s">
        <v>898</v>
      </c>
      <c r="K881" s="238" t="s">
        <v>898</v>
      </c>
      <c r="L881" t="s">
        <v>898</v>
      </c>
      <c r="M881" t="s">
        <v>898</v>
      </c>
      <c r="N881" t="s">
        <v>898</v>
      </c>
      <c r="P881" t="s">
        <v>898</v>
      </c>
      <c r="Q881" t="s">
        <v>898</v>
      </c>
    </row>
    <row r="882">
      <c r="I882" t="s">
        <v>898</v>
      </c>
      <c r="J882" s="237" t="s">
        <v>898</v>
      </c>
      <c r="K882" s="238" t="s">
        <v>898</v>
      </c>
      <c r="L882" t="s">
        <v>898</v>
      </c>
      <c r="M882" t="s">
        <v>898</v>
      </c>
      <c r="N882" t="s">
        <v>898</v>
      </c>
      <c r="P882" t="s">
        <v>898</v>
      </c>
      <c r="Q882" t="s">
        <v>898</v>
      </c>
    </row>
    <row r="883">
      <c r="I883" t="s">
        <v>898</v>
      </c>
      <c r="J883" s="237" t="s">
        <v>898</v>
      </c>
      <c r="K883" s="238" t="s">
        <v>898</v>
      </c>
      <c r="L883" t="s">
        <v>898</v>
      </c>
      <c r="M883" t="s">
        <v>898</v>
      </c>
      <c r="N883" t="s">
        <v>898</v>
      </c>
      <c r="P883" t="s">
        <v>898</v>
      </c>
      <c r="Q883" t="s">
        <v>898</v>
      </c>
    </row>
    <row r="884">
      <c r="I884" t="s">
        <v>898</v>
      </c>
      <c r="J884" s="237" t="s">
        <v>898</v>
      </c>
      <c r="K884" s="238" t="s">
        <v>898</v>
      </c>
      <c r="L884" t="s">
        <v>898</v>
      </c>
      <c r="M884" t="s">
        <v>898</v>
      </c>
      <c r="N884" t="s">
        <v>898</v>
      </c>
      <c r="P884" t="s">
        <v>898</v>
      </c>
      <c r="Q884" t="s">
        <v>898</v>
      </c>
    </row>
    <row r="885">
      <c r="I885" t="s">
        <v>898</v>
      </c>
      <c r="J885" s="237" t="s">
        <v>898</v>
      </c>
      <c r="K885" s="238" t="s">
        <v>898</v>
      </c>
      <c r="L885" t="s">
        <v>898</v>
      </c>
      <c r="M885" t="s">
        <v>898</v>
      </c>
      <c r="N885" t="s">
        <v>898</v>
      </c>
      <c r="P885" t="s">
        <v>898</v>
      </c>
      <c r="Q885" t="s">
        <v>898</v>
      </c>
    </row>
    <row r="886">
      <c r="I886" t="s">
        <v>898</v>
      </c>
      <c r="J886" s="237" t="s">
        <v>898</v>
      </c>
      <c r="K886" s="238" t="s">
        <v>898</v>
      </c>
      <c r="L886" t="s">
        <v>898</v>
      </c>
      <c r="M886" t="s">
        <v>898</v>
      </c>
      <c r="N886" t="s">
        <v>898</v>
      </c>
      <c r="P886" t="s">
        <v>898</v>
      </c>
      <c r="Q886" t="s">
        <v>898</v>
      </c>
    </row>
    <row r="887">
      <c r="I887" t="s">
        <v>898</v>
      </c>
      <c r="J887" s="237" t="s">
        <v>898</v>
      </c>
      <c r="K887" s="238" t="s">
        <v>898</v>
      </c>
      <c r="L887" t="s">
        <v>898</v>
      </c>
      <c r="M887" t="s">
        <v>898</v>
      </c>
      <c r="N887" t="s">
        <v>898</v>
      </c>
      <c r="P887" t="s">
        <v>898</v>
      </c>
      <c r="Q887" t="s">
        <v>898</v>
      </c>
    </row>
    <row r="888">
      <c r="I888" t="s">
        <v>898</v>
      </c>
      <c r="J888" s="237" t="s">
        <v>898</v>
      </c>
      <c r="K888" s="238" t="s">
        <v>898</v>
      </c>
      <c r="L888" t="s">
        <v>898</v>
      </c>
      <c r="M888" t="s">
        <v>898</v>
      </c>
      <c r="N888" t="s">
        <v>898</v>
      </c>
      <c r="P888" t="s">
        <v>898</v>
      </c>
      <c r="Q888" t="s">
        <v>898</v>
      </c>
    </row>
    <row r="889">
      <c r="I889" t="s">
        <v>898</v>
      </c>
      <c r="J889" s="237" t="s">
        <v>898</v>
      </c>
      <c r="K889" s="238" t="s">
        <v>898</v>
      </c>
      <c r="L889" t="s">
        <v>898</v>
      </c>
      <c r="M889" t="s">
        <v>898</v>
      </c>
      <c r="N889" t="s">
        <v>898</v>
      </c>
      <c r="P889" t="s">
        <v>898</v>
      </c>
      <c r="Q889" t="s">
        <v>898</v>
      </c>
    </row>
    <row r="890">
      <c r="I890" t="s">
        <v>898</v>
      </c>
      <c r="J890" s="237" t="s">
        <v>898</v>
      </c>
      <c r="K890" s="238" t="s">
        <v>898</v>
      </c>
      <c r="L890" t="s">
        <v>898</v>
      </c>
      <c r="M890" t="s">
        <v>898</v>
      </c>
      <c r="N890" t="s">
        <v>898</v>
      </c>
      <c r="P890" t="s">
        <v>898</v>
      </c>
      <c r="Q890" t="s">
        <v>898</v>
      </c>
    </row>
    <row r="891">
      <c r="I891" t="s">
        <v>898</v>
      </c>
      <c r="J891" s="237" t="s">
        <v>898</v>
      </c>
      <c r="K891" s="238" t="s">
        <v>898</v>
      </c>
      <c r="L891" t="s">
        <v>898</v>
      </c>
      <c r="M891" t="s">
        <v>898</v>
      </c>
      <c r="N891" t="s">
        <v>898</v>
      </c>
      <c r="P891" t="s">
        <v>898</v>
      </c>
      <c r="Q891" t="s">
        <v>898</v>
      </c>
    </row>
    <row r="892">
      <c r="I892" t="s">
        <v>898</v>
      </c>
      <c r="J892" s="237" t="s">
        <v>898</v>
      </c>
      <c r="K892" s="238" t="s">
        <v>898</v>
      </c>
      <c r="L892" t="s">
        <v>898</v>
      </c>
      <c r="M892" t="s">
        <v>898</v>
      </c>
      <c r="N892" t="s">
        <v>898</v>
      </c>
      <c r="P892" t="s">
        <v>898</v>
      </c>
      <c r="Q892" t="s">
        <v>898</v>
      </c>
    </row>
    <row r="893">
      <c r="I893" t="s">
        <v>898</v>
      </c>
      <c r="J893" s="237" t="s">
        <v>898</v>
      </c>
      <c r="K893" s="238" t="s">
        <v>898</v>
      </c>
      <c r="L893" t="s">
        <v>898</v>
      </c>
      <c r="M893" t="s">
        <v>898</v>
      </c>
      <c r="N893" t="s">
        <v>898</v>
      </c>
      <c r="P893" t="s">
        <v>898</v>
      </c>
      <c r="Q893" t="s">
        <v>898</v>
      </c>
    </row>
    <row r="894">
      <c r="I894" t="s">
        <v>898</v>
      </c>
      <c r="J894" s="237" t="s">
        <v>898</v>
      </c>
      <c r="K894" s="238" t="s">
        <v>898</v>
      </c>
      <c r="L894" t="s">
        <v>898</v>
      </c>
      <c r="M894" t="s">
        <v>898</v>
      </c>
      <c r="N894" t="s">
        <v>898</v>
      </c>
      <c r="P894" t="s">
        <v>898</v>
      </c>
      <c r="Q894" t="s">
        <v>898</v>
      </c>
    </row>
    <row r="895">
      <c r="I895" t="s">
        <v>898</v>
      </c>
      <c r="J895" s="237" t="s">
        <v>898</v>
      </c>
      <c r="K895" s="238" t="s">
        <v>898</v>
      </c>
      <c r="L895" t="s">
        <v>898</v>
      </c>
      <c r="M895" t="s">
        <v>898</v>
      </c>
      <c r="N895" t="s">
        <v>898</v>
      </c>
      <c r="P895" t="s">
        <v>898</v>
      </c>
      <c r="Q895" t="s">
        <v>898</v>
      </c>
    </row>
    <row r="896">
      <c r="I896" t="s">
        <v>898</v>
      </c>
      <c r="J896" s="237" t="s">
        <v>898</v>
      </c>
      <c r="K896" s="238" t="s">
        <v>898</v>
      </c>
      <c r="L896" t="s">
        <v>898</v>
      </c>
      <c r="M896" t="s">
        <v>898</v>
      </c>
      <c r="N896" t="s">
        <v>898</v>
      </c>
      <c r="P896" t="s">
        <v>898</v>
      </c>
      <c r="Q896" t="s">
        <v>898</v>
      </c>
    </row>
    <row r="897">
      <c r="I897" t="s">
        <v>898</v>
      </c>
      <c r="J897" s="237" t="s">
        <v>898</v>
      </c>
      <c r="K897" s="238" t="s">
        <v>898</v>
      </c>
      <c r="L897" t="s">
        <v>898</v>
      </c>
      <c r="M897" t="s">
        <v>898</v>
      </c>
      <c r="N897" t="s">
        <v>898</v>
      </c>
      <c r="P897" t="s">
        <v>898</v>
      </c>
      <c r="Q897" t="s">
        <v>898</v>
      </c>
    </row>
    <row r="898">
      <c r="I898" t="s">
        <v>898</v>
      </c>
      <c r="J898" s="237" t="s">
        <v>898</v>
      </c>
      <c r="K898" s="238" t="s">
        <v>898</v>
      </c>
      <c r="L898" t="s">
        <v>898</v>
      </c>
      <c r="M898" t="s">
        <v>898</v>
      </c>
      <c r="N898" t="s">
        <v>898</v>
      </c>
      <c r="P898" t="s">
        <v>898</v>
      </c>
      <c r="Q898" t="s">
        <v>898</v>
      </c>
    </row>
    <row r="899">
      <c r="I899" t="s">
        <v>898</v>
      </c>
      <c r="J899" s="237" t="s">
        <v>898</v>
      </c>
      <c r="K899" s="238" t="s">
        <v>898</v>
      </c>
      <c r="L899" t="s">
        <v>898</v>
      </c>
      <c r="M899" t="s">
        <v>898</v>
      </c>
      <c r="N899" t="s">
        <v>898</v>
      </c>
      <c r="P899" t="s">
        <v>898</v>
      </c>
      <c r="Q899" t="s">
        <v>898</v>
      </c>
    </row>
    <row r="900">
      <c r="I900" t="s">
        <v>898</v>
      </c>
      <c r="J900" s="237" t="s">
        <v>898</v>
      </c>
      <c r="K900" s="238" t="s">
        <v>898</v>
      </c>
      <c r="L900" t="s">
        <v>898</v>
      </c>
      <c r="M900" t="s">
        <v>898</v>
      </c>
      <c r="N900" t="s">
        <v>898</v>
      </c>
      <c r="P900" t="s">
        <v>898</v>
      </c>
      <c r="Q900" t="s">
        <v>898</v>
      </c>
    </row>
    <row r="901">
      <c r="I901" t="s">
        <v>898</v>
      </c>
      <c r="J901" s="237" t="s">
        <v>898</v>
      </c>
      <c r="K901" s="238" t="s">
        <v>898</v>
      </c>
      <c r="L901" t="s">
        <v>898</v>
      </c>
      <c r="M901" t="s">
        <v>898</v>
      </c>
      <c r="N901" t="s">
        <v>898</v>
      </c>
      <c r="P901" t="s">
        <v>898</v>
      </c>
      <c r="Q901" t="s">
        <v>898</v>
      </c>
    </row>
    <row r="902">
      <c r="I902" t="s">
        <v>898</v>
      </c>
      <c r="J902" s="237" t="s">
        <v>898</v>
      </c>
      <c r="K902" s="238" t="s">
        <v>898</v>
      </c>
      <c r="L902" t="s">
        <v>898</v>
      </c>
      <c r="M902" t="s">
        <v>898</v>
      </c>
      <c r="N902" t="s">
        <v>898</v>
      </c>
      <c r="P902" t="s">
        <v>898</v>
      </c>
      <c r="Q902" t="s">
        <v>898</v>
      </c>
    </row>
    <row r="903">
      <c r="I903" t="s">
        <v>898</v>
      </c>
      <c r="J903" s="237" t="s">
        <v>898</v>
      </c>
      <c r="K903" s="238" t="s">
        <v>898</v>
      </c>
      <c r="L903" t="s">
        <v>898</v>
      </c>
      <c r="M903" t="s">
        <v>898</v>
      </c>
      <c r="N903" t="s">
        <v>898</v>
      </c>
      <c r="P903" t="s">
        <v>898</v>
      </c>
      <c r="Q903" t="s">
        <v>898</v>
      </c>
    </row>
    <row r="904">
      <c r="I904" t="s">
        <v>898</v>
      </c>
      <c r="J904" s="237" t="s">
        <v>898</v>
      </c>
      <c r="K904" s="238" t="s">
        <v>898</v>
      </c>
      <c r="L904" t="s">
        <v>898</v>
      </c>
      <c r="M904" t="s">
        <v>898</v>
      </c>
      <c r="N904" t="s">
        <v>898</v>
      </c>
      <c r="P904" t="s">
        <v>898</v>
      </c>
      <c r="Q904" t="s">
        <v>898</v>
      </c>
    </row>
    <row r="905">
      <c r="I905" t="s">
        <v>898</v>
      </c>
      <c r="J905" s="237" t="s">
        <v>898</v>
      </c>
      <c r="K905" s="238" t="s">
        <v>898</v>
      </c>
      <c r="L905" t="s">
        <v>898</v>
      </c>
      <c r="M905" t="s">
        <v>898</v>
      </c>
      <c r="N905" t="s">
        <v>898</v>
      </c>
      <c r="P905" t="s">
        <v>898</v>
      </c>
      <c r="Q905" t="s">
        <v>898</v>
      </c>
    </row>
    <row r="906">
      <c r="I906" t="s">
        <v>898</v>
      </c>
      <c r="J906" s="237" t="s">
        <v>898</v>
      </c>
      <c r="K906" s="238" t="s">
        <v>898</v>
      </c>
      <c r="L906" t="s">
        <v>898</v>
      </c>
      <c r="M906" t="s">
        <v>898</v>
      </c>
      <c r="N906" t="s">
        <v>898</v>
      </c>
      <c r="P906" t="s">
        <v>898</v>
      </c>
      <c r="Q906" t="s">
        <v>898</v>
      </c>
    </row>
    <row r="907">
      <c r="I907" t="s">
        <v>898</v>
      </c>
      <c r="J907" s="237" t="s">
        <v>898</v>
      </c>
      <c r="K907" s="238" t="s">
        <v>898</v>
      </c>
      <c r="L907" t="s">
        <v>898</v>
      </c>
      <c r="M907" t="s">
        <v>898</v>
      </c>
      <c r="N907" t="s">
        <v>898</v>
      </c>
      <c r="P907" t="s">
        <v>898</v>
      </c>
      <c r="Q907" t="s">
        <v>898</v>
      </c>
    </row>
    <row r="908">
      <c r="I908" t="s">
        <v>898</v>
      </c>
      <c r="J908" s="237" t="s">
        <v>898</v>
      </c>
      <c r="K908" s="238" t="s">
        <v>898</v>
      </c>
      <c r="L908" t="s">
        <v>898</v>
      </c>
      <c r="M908" t="s">
        <v>898</v>
      </c>
      <c r="N908" t="s">
        <v>898</v>
      </c>
      <c r="P908" t="s">
        <v>898</v>
      </c>
      <c r="Q908" t="s">
        <v>898</v>
      </c>
    </row>
    <row r="909">
      <c r="I909" t="s">
        <v>898</v>
      </c>
      <c r="J909" s="237" t="s">
        <v>898</v>
      </c>
      <c r="K909" s="238" t="s">
        <v>898</v>
      </c>
      <c r="L909" t="s">
        <v>898</v>
      </c>
      <c r="M909" t="s">
        <v>898</v>
      </c>
      <c r="N909" t="s">
        <v>898</v>
      </c>
      <c r="P909" t="s">
        <v>898</v>
      </c>
      <c r="Q909" t="s">
        <v>898</v>
      </c>
    </row>
    <row r="910">
      <c r="I910" t="s">
        <v>898</v>
      </c>
      <c r="J910" s="237" t="s">
        <v>898</v>
      </c>
      <c r="K910" s="238" t="s">
        <v>898</v>
      </c>
      <c r="L910" t="s">
        <v>898</v>
      </c>
      <c r="M910" t="s">
        <v>898</v>
      </c>
      <c r="N910" t="s">
        <v>898</v>
      </c>
      <c r="P910" t="s">
        <v>898</v>
      </c>
      <c r="Q910" t="s">
        <v>898</v>
      </c>
    </row>
    <row r="911">
      <c r="I911" t="s">
        <v>898</v>
      </c>
      <c r="J911" s="237" t="s">
        <v>898</v>
      </c>
      <c r="K911" s="238" t="s">
        <v>898</v>
      </c>
      <c r="L911" t="s">
        <v>898</v>
      </c>
      <c r="M911" t="s">
        <v>898</v>
      </c>
      <c r="N911" t="s">
        <v>898</v>
      </c>
      <c r="P911" t="s">
        <v>898</v>
      </c>
      <c r="Q911" t="s">
        <v>898</v>
      </c>
    </row>
    <row r="912">
      <c r="I912" t="s">
        <v>898</v>
      </c>
      <c r="J912" s="237" t="s">
        <v>898</v>
      </c>
      <c r="K912" s="238" t="s">
        <v>898</v>
      </c>
      <c r="L912" t="s">
        <v>898</v>
      </c>
      <c r="M912" t="s">
        <v>898</v>
      </c>
      <c r="N912" t="s">
        <v>898</v>
      </c>
      <c r="P912" t="s">
        <v>898</v>
      </c>
      <c r="Q912" t="s">
        <v>898</v>
      </c>
    </row>
    <row r="913">
      <c r="I913" t="s">
        <v>898</v>
      </c>
      <c r="J913" s="237" t="s">
        <v>898</v>
      </c>
      <c r="K913" s="238" t="s">
        <v>898</v>
      </c>
      <c r="L913" t="s">
        <v>898</v>
      </c>
      <c r="M913" t="s">
        <v>898</v>
      </c>
      <c r="N913" t="s">
        <v>898</v>
      </c>
      <c r="P913" t="s">
        <v>898</v>
      </c>
      <c r="Q913" t="s">
        <v>898</v>
      </c>
    </row>
    <row r="914">
      <c r="I914" t="s">
        <v>898</v>
      </c>
      <c r="J914" s="237" t="s">
        <v>898</v>
      </c>
      <c r="K914" s="238" t="s">
        <v>898</v>
      </c>
      <c r="L914" t="s">
        <v>898</v>
      </c>
      <c r="M914" t="s">
        <v>898</v>
      </c>
      <c r="N914" t="s">
        <v>898</v>
      </c>
      <c r="P914" t="s">
        <v>898</v>
      </c>
      <c r="Q914" t="s">
        <v>898</v>
      </c>
    </row>
    <row r="915">
      <c r="I915" t="s">
        <v>898</v>
      </c>
      <c r="J915" s="237" t="s">
        <v>898</v>
      </c>
      <c r="K915" s="238" t="s">
        <v>898</v>
      </c>
      <c r="L915" t="s">
        <v>898</v>
      </c>
      <c r="M915" t="s">
        <v>898</v>
      </c>
      <c r="N915" t="s">
        <v>898</v>
      </c>
      <c r="P915" t="s">
        <v>898</v>
      </c>
      <c r="Q915" t="s">
        <v>898</v>
      </c>
    </row>
    <row r="916">
      <c r="I916" t="s">
        <v>898</v>
      </c>
      <c r="J916" s="237" t="s">
        <v>898</v>
      </c>
      <c r="K916" s="238" t="s">
        <v>898</v>
      </c>
      <c r="L916" t="s">
        <v>898</v>
      </c>
      <c r="M916" t="s">
        <v>898</v>
      </c>
      <c r="N916" t="s">
        <v>898</v>
      </c>
      <c r="P916" t="s">
        <v>898</v>
      </c>
      <c r="Q916" t="s">
        <v>898</v>
      </c>
    </row>
    <row r="917">
      <c r="I917" t="s">
        <v>898</v>
      </c>
      <c r="J917" s="237" t="s">
        <v>898</v>
      </c>
      <c r="K917" s="238" t="s">
        <v>898</v>
      </c>
      <c r="L917" t="s">
        <v>898</v>
      </c>
      <c r="M917" t="s">
        <v>898</v>
      </c>
      <c r="N917" t="s">
        <v>898</v>
      </c>
      <c r="P917" t="s">
        <v>898</v>
      </c>
      <c r="Q917" t="s">
        <v>898</v>
      </c>
    </row>
    <row r="918">
      <c r="I918" t="s">
        <v>898</v>
      </c>
      <c r="J918" s="237" t="s">
        <v>898</v>
      </c>
      <c r="K918" s="238" t="s">
        <v>898</v>
      </c>
      <c r="L918" t="s">
        <v>898</v>
      </c>
      <c r="M918" t="s">
        <v>898</v>
      </c>
      <c r="N918" t="s">
        <v>898</v>
      </c>
      <c r="P918" t="s">
        <v>898</v>
      </c>
      <c r="Q918" t="s">
        <v>898</v>
      </c>
    </row>
    <row r="919">
      <c r="I919" t="s">
        <v>898</v>
      </c>
      <c r="J919" s="237" t="s">
        <v>898</v>
      </c>
      <c r="K919" s="238" t="s">
        <v>898</v>
      </c>
      <c r="L919" t="s">
        <v>898</v>
      </c>
      <c r="M919" t="s">
        <v>898</v>
      </c>
      <c r="N919" t="s">
        <v>898</v>
      </c>
      <c r="P919" t="s">
        <v>898</v>
      </c>
      <c r="Q919" t="s">
        <v>898</v>
      </c>
    </row>
    <row r="920">
      <c r="I920" t="s">
        <v>898</v>
      </c>
      <c r="J920" s="237" t="s">
        <v>898</v>
      </c>
      <c r="K920" s="238" t="s">
        <v>898</v>
      </c>
      <c r="L920" t="s">
        <v>898</v>
      </c>
      <c r="M920" t="s">
        <v>898</v>
      </c>
      <c r="N920" t="s">
        <v>898</v>
      </c>
      <c r="P920" t="s">
        <v>898</v>
      </c>
      <c r="Q920" t="s">
        <v>898</v>
      </c>
    </row>
    <row r="921">
      <c r="I921" t="s">
        <v>898</v>
      </c>
      <c r="J921" s="237" t="s">
        <v>898</v>
      </c>
      <c r="K921" s="238" t="s">
        <v>898</v>
      </c>
      <c r="L921" t="s">
        <v>898</v>
      </c>
      <c r="M921" t="s">
        <v>898</v>
      </c>
      <c r="N921" t="s">
        <v>898</v>
      </c>
      <c r="P921" t="s">
        <v>898</v>
      </c>
      <c r="Q921" t="s">
        <v>898</v>
      </c>
    </row>
    <row r="922">
      <c r="I922" t="s">
        <v>898</v>
      </c>
      <c r="J922" s="237" t="s">
        <v>898</v>
      </c>
      <c r="K922" s="238" t="s">
        <v>898</v>
      </c>
      <c r="L922" t="s">
        <v>898</v>
      </c>
      <c r="M922" t="s">
        <v>898</v>
      </c>
      <c r="N922" t="s">
        <v>898</v>
      </c>
      <c r="P922" t="s">
        <v>898</v>
      </c>
      <c r="Q922" t="s">
        <v>898</v>
      </c>
    </row>
    <row r="923">
      <c r="I923" t="s">
        <v>898</v>
      </c>
      <c r="J923" s="237" t="s">
        <v>898</v>
      </c>
      <c r="K923" s="238" t="s">
        <v>898</v>
      </c>
      <c r="L923" t="s">
        <v>898</v>
      </c>
      <c r="M923" t="s">
        <v>898</v>
      </c>
      <c r="N923" t="s">
        <v>898</v>
      </c>
      <c r="P923" t="s">
        <v>898</v>
      </c>
      <c r="Q923" t="s">
        <v>898</v>
      </c>
    </row>
    <row r="924">
      <c r="I924" t="s">
        <v>898</v>
      </c>
      <c r="J924" s="237" t="s">
        <v>898</v>
      </c>
      <c r="K924" s="238" t="s">
        <v>898</v>
      </c>
      <c r="L924" t="s">
        <v>898</v>
      </c>
      <c r="M924" t="s">
        <v>898</v>
      </c>
      <c r="N924" t="s">
        <v>898</v>
      </c>
      <c r="P924" t="s">
        <v>898</v>
      </c>
      <c r="Q924" t="s">
        <v>898</v>
      </c>
    </row>
    <row r="925">
      <c r="I925" t="s">
        <v>898</v>
      </c>
      <c r="J925" s="237" t="s">
        <v>898</v>
      </c>
      <c r="K925" s="238" t="s">
        <v>898</v>
      </c>
      <c r="L925" t="s">
        <v>898</v>
      </c>
      <c r="M925" t="s">
        <v>898</v>
      </c>
      <c r="N925" t="s">
        <v>898</v>
      </c>
      <c r="P925" t="s">
        <v>898</v>
      </c>
      <c r="Q925" t="s">
        <v>898</v>
      </c>
    </row>
    <row r="926">
      <c r="I926" t="s">
        <v>898</v>
      </c>
      <c r="J926" s="237" t="s">
        <v>898</v>
      </c>
      <c r="K926" s="238" t="s">
        <v>898</v>
      </c>
      <c r="L926" t="s">
        <v>898</v>
      </c>
      <c r="M926" t="s">
        <v>898</v>
      </c>
      <c r="N926" t="s">
        <v>898</v>
      </c>
      <c r="P926" t="s">
        <v>898</v>
      </c>
      <c r="Q926" t="s">
        <v>898</v>
      </c>
    </row>
    <row r="927">
      <c r="I927" t="s">
        <v>898</v>
      </c>
      <c r="J927" s="237" t="s">
        <v>898</v>
      </c>
      <c r="K927" s="238" t="s">
        <v>898</v>
      </c>
      <c r="L927" t="s">
        <v>898</v>
      </c>
      <c r="M927" t="s">
        <v>898</v>
      </c>
      <c r="N927" t="s">
        <v>898</v>
      </c>
      <c r="P927" t="s">
        <v>898</v>
      </c>
      <c r="Q927" t="s">
        <v>898</v>
      </c>
    </row>
    <row r="928">
      <c r="I928" t="s">
        <v>898</v>
      </c>
      <c r="J928" s="237" t="s">
        <v>898</v>
      </c>
      <c r="K928" s="238" t="s">
        <v>898</v>
      </c>
      <c r="L928" t="s">
        <v>898</v>
      </c>
      <c r="M928" t="s">
        <v>898</v>
      </c>
      <c r="N928" t="s">
        <v>898</v>
      </c>
      <c r="P928" t="s">
        <v>898</v>
      </c>
      <c r="Q928" t="s">
        <v>898</v>
      </c>
    </row>
    <row r="929">
      <c r="I929" t="s">
        <v>898</v>
      </c>
      <c r="J929" s="237" t="s">
        <v>898</v>
      </c>
      <c r="K929" s="238" t="s">
        <v>898</v>
      </c>
      <c r="L929" t="s">
        <v>898</v>
      </c>
      <c r="M929" t="s">
        <v>898</v>
      </c>
      <c r="N929" t="s">
        <v>898</v>
      </c>
      <c r="P929" t="s">
        <v>898</v>
      </c>
      <c r="Q929" t="s">
        <v>898</v>
      </c>
    </row>
    <row r="930">
      <c r="I930" t="s">
        <v>898</v>
      </c>
      <c r="J930" s="237" t="s">
        <v>898</v>
      </c>
      <c r="K930" s="238" t="s">
        <v>898</v>
      </c>
      <c r="L930" t="s">
        <v>898</v>
      </c>
      <c r="M930" t="s">
        <v>898</v>
      </c>
      <c r="N930" t="s">
        <v>898</v>
      </c>
      <c r="P930" t="s">
        <v>898</v>
      </c>
      <c r="Q930" t="s">
        <v>898</v>
      </c>
    </row>
    <row r="931">
      <c r="I931" t="s">
        <v>898</v>
      </c>
      <c r="J931" s="237" t="s">
        <v>898</v>
      </c>
      <c r="K931" s="238" t="s">
        <v>898</v>
      </c>
      <c r="L931" t="s">
        <v>898</v>
      </c>
      <c r="M931" t="s">
        <v>898</v>
      </c>
      <c r="N931" t="s">
        <v>898</v>
      </c>
      <c r="P931" t="s">
        <v>898</v>
      </c>
      <c r="Q931" t="s">
        <v>898</v>
      </c>
    </row>
    <row r="932">
      <c r="I932" t="s">
        <v>898</v>
      </c>
      <c r="J932" s="237" t="s">
        <v>898</v>
      </c>
      <c r="K932" s="238" t="s">
        <v>898</v>
      </c>
      <c r="L932" t="s">
        <v>898</v>
      </c>
      <c r="M932" t="s">
        <v>898</v>
      </c>
      <c r="N932" t="s">
        <v>898</v>
      </c>
      <c r="P932" t="s">
        <v>898</v>
      </c>
      <c r="Q932" t="s">
        <v>898</v>
      </c>
    </row>
    <row r="933">
      <c r="I933" t="s">
        <v>898</v>
      </c>
      <c r="J933" s="237" t="s">
        <v>898</v>
      </c>
      <c r="K933" s="238" t="s">
        <v>898</v>
      </c>
      <c r="L933" t="s">
        <v>898</v>
      </c>
      <c r="M933" t="s">
        <v>898</v>
      </c>
      <c r="N933" t="s">
        <v>898</v>
      </c>
      <c r="P933" t="s">
        <v>898</v>
      </c>
      <c r="Q933" t="s">
        <v>898</v>
      </c>
    </row>
    <row r="934">
      <c r="I934" t="s">
        <v>898</v>
      </c>
      <c r="J934" s="237" t="s">
        <v>898</v>
      </c>
      <c r="K934" s="238" t="s">
        <v>898</v>
      </c>
      <c r="L934" t="s">
        <v>898</v>
      </c>
      <c r="M934" t="s">
        <v>898</v>
      </c>
      <c r="N934" t="s">
        <v>898</v>
      </c>
      <c r="P934" t="s">
        <v>898</v>
      </c>
      <c r="Q934" t="s">
        <v>898</v>
      </c>
    </row>
    <row r="935">
      <c r="I935" t="s">
        <v>898</v>
      </c>
      <c r="J935" s="237" t="s">
        <v>898</v>
      </c>
      <c r="K935" s="238" t="s">
        <v>898</v>
      </c>
      <c r="L935" t="s">
        <v>898</v>
      </c>
      <c r="M935" t="s">
        <v>898</v>
      </c>
      <c r="N935" t="s">
        <v>898</v>
      </c>
      <c r="P935" t="s">
        <v>898</v>
      </c>
      <c r="Q935" t="s">
        <v>898</v>
      </c>
    </row>
    <row r="936">
      <c r="I936" t="s">
        <v>898</v>
      </c>
      <c r="J936" s="237" t="s">
        <v>898</v>
      </c>
      <c r="K936" s="238" t="s">
        <v>898</v>
      </c>
      <c r="L936" t="s">
        <v>898</v>
      </c>
      <c r="M936" t="s">
        <v>898</v>
      </c>
      <c r="N936" t="s">
        <v>898</v>
      </c>
      <c r="P936" t="s">
        <v>898</v>
      </c>
      <c r="Q936" t="s">
        <v>898</v>
      </c>
    </row>
    <row r="937">
      <c r="I937" t="s">
        <v>898</v>
      </c>
      <c r="J937" s="237" t="s">
        <v>898</v>
      </c>
      <c r="K937" s="238" t="s">
        <v>898</v>
      </c>
      <c r="L937" t="s">
        <v>898</v>
      </c>
      <c r="M937" t="s">
        <v>898</v>
      </c>
      <c r="N937" t="s">
        <v>898</v>
      </c>
      <c r="P937" t="s">
        <v>898</v>
      </c>
      <c r="Q937" t="s">
        <v>898</v>
      </c>
    </row>
    <row r="938">
      <c r="I938" t="s">
        <v>898</v>
      </c>
      <c r="J938" s="237" t="s">
        <v>898</v>
      </c>
      <c r="K938" s="238" t="s">
        <v>898</v>
      </c>
      <c r="L938" t="s">
        <v>898</v>
      </c>
      <c r="M938" t="s">
        <v>898</v>
      </c>
      <c r="N938" t="s">
        <v>898</v>
      </c>
      <c r="P938" t="s">
        <v>898</v>
      </c>
      <c r="Q938" t="s">
        <v>898</v>
      </c>
    </row>
    <row r="939">
      <c r="I939" t="s">
        <v>898</v>
      </c>
      <c r="J939" s="237" t="s">
        <v>898</v>
      </c>
      <c r="K939" s="238" t="s">
        <v>898</v>
      </c>
      <c r="L939" t="s">
        <v>898</v>
      </c>
      <c r="M939" t="s">
        <v>898</v>
      </c>
      <c r="N939" t="s">
        <v>898</v>
      </c>
      <c r="P939" t="s">
        <v>898</v>
      </c>
      <c r="Q939" t="s">
        <v>898</v>
      </c>
    </row>
    <row r="940">
      <c r="I940" t="s">
        <v>898</v>
      </c>
      <c r="J940" s="237" t="s">
        <v>898</v>
      </c>
      <c r="K940" s="238" t="s">
        <v>898</v>
      </c>
      <c r="L940" t="s">
        <v>898</v>
      </c>
      <c r="M940" t="s">
        <v>898</v>
      </c>
      <c r="N940" t="s">
        <v>898</v>
      </c>
      <c r="P940" t="s">
        <v>898</v>
      </c>
      <c r="Q940" t="s">
        <v>898</v>
      </c>
    </row>
    <row r="941">
      <c r="I941" t="s">
        <v>898</v>
      </c>
      <c r="J941" s="237" t="s">
        <v>898</v>
      </c>
      <c r="K941" s="238" t="s">
        <v>898</v>
      </c>
      <c r="L941" t="s">
        <v>898</v>
      </c>
      <c r="M941" t="s">
        <v>898</v>
      </c>
      <c r="N941" t="s">
        <v>898</v>
      </c>
      <c r="P941" t="s">
        <v>898</v>
      </c>
      <c r="Q941" t="s">
        <v>898</v>
      </c>
    </row>
    <row r="942">
      <c r="I942" t="s">
        <v>898</v>
      </c>
      <c r="J942" s="237" t="s">
        <v>898</v>
      </c>
      <c r="K942" s="238" t="s">
        <v>898</v>
      </c>
      <c r="L942" t="s">
        <v>898</v>
      </c>
      <c r="M942" t="s">
        <v>898</v>
      </c>
      <c r="N942" t="s">
        <v>898</v>
      </c>
      <c r="P942" t="s">
        <v>898</v>
      </c>
      <c r="Q942" t="s">
        <v>898</v>
      </c>
    </row>
    <row r="943">
      <c r="I943" t="s">
        <v>898</v>
      </c>
      <c r="J943" s="237" t="s">
        <v>898</v>
      </c>
      <c r="K943" s="238" t="s">
        <v>898</v>
      </c>
      <c r="L943" t="s">
        <v>898</v>
      </c>
      <c r="M943" t="s">
        <v>898</v>
      </c>
      <c r="N943" t="s">
        <v>898</v>
      </c>
      <c r="P943" t="s">
        <v>898</v>
      </c>
      <c r="Q943" t="s">
        <v>898</v>
      </c>
    </row>
    <row r="944">
      <c r="I944" t="s">
        <v>898</v>
      </c>
      <c r="J944" s="237" t="s">
        <v>898</v>
      </c>
      <c r="K944" s="238" t="s">
        <v>898</v>
      </c>
      <c r="L944" t="s">
        <v>898</v>
      </c>
      <c r="M944" t="s">
        <v>898</v>
      </c>
      <c r="N944" t="s">
        <v>898</v>
      </c>
      <c r="P944" t="s">
        <v>898</v>
      </c>
      <c r="Q944" t="s">
        <v>898</v>
      </c>
    </row>
    <row r="945">
      <c r="I945" t="s">
        <v>898</v>
      </c>
      <c r="J945" s="237" t="s">
        <v>898</v>
      </c>
      <c r="K945" s="238" t="s">
        <v>898</v>
      </c>
      <c r="L945" t="s">
        <v>898</v>
      </c>
      <c r="M945" t="s">
        <v>898</v>
      </c>
      <c r="N945" t="s">
        <v>898</v>
      </c>
      <c r="P945" t="s">
        <v>898</v>
      </c>
      <c r="Q945" t="s">
        <v>898</v>
      </c>
    </row>
    <row r="946">
      <c r="I946" t="s">
        <v>898</v>
      </c>
      <c r="J946" s="237" t="s">
        <v>898</v>
      </c>
      <c r="K946" s="238" t="s">
        <v>898</v>
      </c>
      <c r="L946" t="s">
        <v>898</v>
      </c>
      <c r="M946" t="s">
        <v>898</v>
      </c>
      <c r="N946" t="s">
        <v>898</v>
      </c>
      <c r="P946" t="s">
        <v>898</v>
      </c>
      <c r="Q946" t="s">
        <v>898</v>
      </c>
    </row>
    <row r="947">
      <c r="I947" t="s">
        <v>898</v>
      </c>
      <c r="J947" s="237" t="s">
        <v>898</v>
      </c>
      <c r="K947" s="238" t="s">
        <v>898</v>
      </c>
      <c r="L947" t="s">
        <v>898</v>
      </c>
      <c r="M947" t="s">
        <v>898</v>
      </c>
      <c r="N947" t="s">
        <v>898</v>
      </c>
      <c r="P947" t="s">
        <v>898</v>
      </c>
      <c r="Q947" t="s">
        <v>898</v>
      </c>
    </row>
    <row r="948">
      <c r="I948" t="s">
        <v>898</v>
      </c>
      <c r="J948" s="237" t="s">
        <v>898</v>
      </c>
      <c r="K948" s="238" t="s">
        <v>898</v>
      </c>
      <c r="L948" t="s">
        <v>898</v>
      </c>
      <c r="M948" t="s">
        <v>898</v>
      </c>
      <c r="N948" t="s">
        <v>898</v>
      </c>
      <c r="P948" t="s">
        <v>898</v>
      </c>
      <c r="Q948" t="s">
        <v>898</v>
      </c>
    </row>
    <row r="949">
      <c r="I949" t="s">
        <v>898</v>
      </c>
      <c r="J949" s="237" t="s">
        <v>898</v>
      </c>
      <c r="K949" s="238" t="s">
        <v>898</v>
      </c>
      <c r="L949" t="s">
        <v>898</v>
      </c>
      <c r="M949" t="s">
        <v>898</v>
      </c>
      <c r="N949" t="s">
        <v>898</v>
      </c>
      <c r="P949" t="s">
        <v>898</v>
      </c>
      <c r="Q949" t="s">
        <v>898</v>
      </c>
    </row>
    <row r="950">
      <c r="I950" t="s">
        <v>898</v>
      </c>
      <c r="J950" s="237" t="s">
        <v>898</v>
      </c>
      <c r="K950" s="238" t="s">
        <v>898</v>
      </c>
      <c r="L950" t="s">
        <v>898</v>
      </c>
      <c r="M950" t="s">
        <v>898</v>
      </c>
      <c r="N950" t="s">
        <v>898</v>
      </c>
      <c r="P950" t="s">
        <v>898</v>
      </c>
      <c r="Q950" t="s">
        <v>898</v>
      </c>
    </row>
    <row r="951">
      <c r="I951" t="s">
        <v>898</v>
      </c>
      <c r="J951" s="237" t="s">
        <v>898</v>
      </c>
      <c r="K951" s="238" t="s">
        <v>898</v>
      </c>
      <c r="L951" t="s">
        <v>898</v>
      </c>
      <c r="M951" t="s">
        <v>898</v>
      </c>
      <c r="N951" t="s">
        <v>898</v>
      </c>
      <c r="P951" t="s">
        <v>898</v>
      </c>
      <c r="Q951" t="s">
        <v>898</v>
      </c>
    </row>
    <row r="952">
      <c r="I952" t="s">
        <v>898</v>
      </c>
      <c r="J952" s="237" t="s">
        <v>898</v>
      </c>
      <c r="K952" s="238" t="s">
        <v>898</v>
      </c>
      <c r="L952" t="s">
        <v>898</v>
      </c>
      <c r="M952" t="s">
        <v>898</v>
      </c>
      <c r="N952" t="s">
        <v>898</v>
      </c>
      <c r="P952" t="s">
        <v>898</v>
      </c>
      <c r="Q952" t="s">
        <v>898</v>
      </c>
    </row>
    <row r="953">
      <c r="I953" t="s">
        <v>898</v>
      </c>
      <c r="J953" s="237" t="s">
        <v>898</v>
      </c>
      <c r="K953" s="238" t="s">
        <v>898</v>
      </c>
      <c r="L953" t="s">
        <v>898</v>
      </c>
      <c r="M953" t="s">
        <v>898</v>
      </c>
      <c r="N953" t="s">
        <v>898</v>
      </c>
      <c r="P953" t="s">
        <v>898</v>
      </c>
      <c r="Q953" t="s">
        <v>898</v>
      </c>
    </row>
    <row r="954">
      <c r="I954" t="s">
        <v>898</v>
      </c>
      <c r="J954" s="237" t="s">
        <v>898</v>
      </c>
      <c r="K954" s="238" t="s">
        <v>898</v>
      </c>
      <c r="L954" t="s">
        <v>898</v>
      </c>
      <c r="M954" t="s">
        <v>898</v>
      </c>
      <c r="N954" t="s">
        <v>898</v>
      </c>
      <c r="P954" t="s">
        <v>898</v>
      </c>
      <c r="Q954" t="s">
        <v>898</v>
      </c>
    </row>
    <row r="955">
      <c r="I955" t="s">
        <v>898</v>
      </c>
      <c r="J955" s="237" t="s">
        <v>898</v>
      </c>
      <c r="K955" s="238" t="s">
        <v>898</v>
      </c>
      <c r="L955" t="s">
        <v>898</v>
      </c>
      <c r="M955" t="s">
        <v>898</v>
      </c>
      <c r="N955" t="s">
        <v>898</v>
      </c>
      <c r="P955" t="s">
        <v>898</v>
      </c>
      <c r="Q955" t="s">
        <v>898</v>
      </c>
    </row>
    <row r="956">
      <c r="I956" t="s">
        <v>898</v>
      </c>
      <c r="J956" s="237" t="s">
        <v>898</v>
      </c>
      <c r="K956" s="238" t="s">
        <v>898</v>
      </c>
      <c r="L956" t="s">
        <v>898</v>
      </c>
      <c r="M956" t="s">
        <v>898</v>
      </c>
      <c r="N956" t="s">
        <v>898</v>
      </c>
      <c r="P956" t="s">
        <v>898</v>
      </c>
      <c r="Q956" t="s">
        <v>898</v>
      </c>
    </row>
    <row r="957">
      <c r="I957" t="s">
        <v>898</v>
      </c>
      <c r="J957" s="237" t="s">
        <v>898</v>
      </c>
      <c r="K957" s="238" t="s">
        <v>898</v>
      </c>
      <c r="L957" t="s">
        <v>898</v>
      </c>
      <c r="M957" t="s">
        <v>898</v>
      </c>
      <c r="N957" t="s">
        <v>898</v>
      </c>
      <c r="P957" t="s">
        <v>898</v>
      </c>
      <c r="Q957" t="s">
        <v>898</v>
      </c>
    </row>
    <row r="958">
      <c r="I958" t="s">
        <v>898</v>
      </c>
      <c r="J958" s="237" t="s">
        <v>898</v>
      </c>
      <c r="K958" s="238" t="s">
        <v>898</v>
      </c>
      <c r="L958" t="s">
        <v>898</v>
      </c>
      <c r="M958" t="s">
        <v>898</v>
      </c>
      <c r="N958" t="s">
        <v>898</v>
      </c>
      <c r="P958" t="s">
        <v>898</v>
      </c>
      <c r="Q958" t="s">
        <v>898</v>
      </c>
    </row>
    <row r="959">
      <c r="I959" t="s">
        <v>898</v>
      </c>
      <c r="J959" s="237" t="s">
        <v>898</v>
      </c>
      <c r="K959" s="238" t="s">
        <v>898</v>
      </c>
      <c r="L959" t="s">
        <v>898</v>
      </c>
      <c r="M959" t="s">
        <v>898</v>
      </c>
      <c r="N959" t="s">
        <v>898</v>
      </c>
      <c r="P959" t="s">
        <v>898</v>
      </c>
      <c r="Q959" t="s">
        <v>898</v>
      </c>
    </row>
    <row r="960">
      <c r="I960" t="s">
        <v>898</v>
      </c>
      <c r="J960" s="237" t="s">
        <v>898</v>
      </c>
      <c r="K960" s="238" t="s">
        <v>898</v>
      </c>
      <c r="L960" t="s">
        <v>898</v>
      </c>
      <c r="M960" t="s">
        <v>898</v>
      </c>
      <c r="N960" t="s">
        <v>898</v>
      </c>
      <c r="P960" t="s">
        <v>898</v>
      </c>
      <c r="Q960" t="s">
        <v>898</v>
      </c>
    </row>
    <row r="961">
      <c r="I961" t="s">
        <v>898</v>
      </c>
      <c r="J961" s="237" t="s">
        <v>898</v>
      </c>
      <c r="K961" s="238" t="s">
        <v>898</v>
      </c>
      <c r="L961" t="s">
        <v>898</v>
      </c>
      <c r="M961" t="s">
        <v>898</v>
      </c>
      <c r="N961" t="s">
        <v>898</v>
      </c>
      <c r="P961" t="s">
        <v>898</v>
      </c>
      <c r="Q961" t="s">
        <v>898</v>
      </c>
    </row>
    <row r="962">
      <c r="I962" t="s">
        <v>898</v>
      </c>
      <c r="J962" s="237" t="s">
        <v>898</v>
      </c>
      <c r="K962" s="238" t="s">
        <v>898</v>
      </c>
      <c r="L962" t="s">
        <v>898</v>
      </c>
      <c r="M962" t="s">
        <v>898</v>
      </c>
      <c r="N962" t="s">
        <v>898</v>
      </c>
      <c r="P962" t="s">
        <v>898</v>
      </c>
      <c r="Q962" t="s">
        <v>898</v>
      </c>
    </row>
    <row r="963">
      <c r="I963" t="s">
        <v>898</v>
      </c>
      <c r="J963" s="237" t="s">
        <v>898</v>
      </c>
      <c r="K963" s="238" t="s">
        <v>898</v>
      </c>
      <c r="L963" t="s">
        <v>898</v>
      </c>
      <c r="M963" t="s">
        <v>898</v>
      </c>
      <c r="N963" t="s">
        <v>898</v>
      </c>
      <c r="P963" t="s">
        <v>898</v>
      </c>
      <c r="Q963" t="s">
        <v>898</v>
      </c>
    </row>
    <row r="964">
      <c r="I964" t="s">
        <v>898</v>
      </c>
      <c r="J964" s="237" t="s">
        <v>898</v>
      </c>
      <c r="K964" s="238" t="s">
        <v>898</v>
      </c>
      <c r="L964" t="s">
        <v>898</v>
      </c>
      <c r="M964" t="s">
        <v>898</v>
      </c>
      <c r="N964" t="s">
        <v>898</v>
      </c>
      <c r="P964" t="s">
        <v>898</v>
      </c>
      <c r="Q964" t="s">
        <v>898</v>
      </c>
    </row>
    <row r="965">
      <c r="I965" t="s">
        <v>898</v>
      </c>
      <c r="J965" s="237" t="s">
        <v>898</v>
      </c>
      <c r="K965" s="238" t="s">
        <v>898</v>
      </c>
      <c r="L965" t="s">
        <v>898</v>
      </c>
      <c r="M965" t="s">
        <v>898</v>
      </c>
      <c r="N965" t="s">
        <v>898</v>
      </c>
      <c r="P965" t="s">
        <v>898</v>
      </c>
      <c r="Q965" t="s">
        <v>898</v>
      </c>
    </row>
    <row r="966">
      <c r="I966" t="s">
        <v>898</v>
      </c>
      <c r="J966" s="237" t="s">
        <v>898</v>
      </c>
      <c r="K966" s="238" t="s">
        <v>898</v>
      </c>
      <c r="L966" t="s">
        <v>898</v>
      </c>
      <c r="M966" t="s">
        <v>898</v>
      </c>
      <c r="N966" t="s">
        <v>898</v>
      </c>
      <c r="P966" t="s">
        <v>898</v>
      </c>
      <c r="Q966" t="s">
        <v>898</v>
      </c>
    </row>
    <row r="967">
      <c r="I967" t="s">
        <v>898</v>
      </c>
      <c r="J967" s="237" t="s">
        <v>898</v>
      </c>
      <c r="K967" s="238" t="s">
        <v>898</v>
      </c>
      <c r="L967" t="s">
        <v>898</v>
      </c>
      <c r="M967" t="s">
        <v>898</v>
      </c>
      <c r="N967" t="s">
        <v>898</v>
      </c>
      <c r="P967" t="s">
        <v>898</v>
      </c>
      <c r="Q967" t="s">
        <v>898</v>
      </c>
    </row>
    <row r="968">
      <c r="I968" t="s">
        <v>898</v>
      </c>
      <c r="J968" s="237" t="s">
        <v>898</v>
      </c>
      <c r="K968" s="238" t="s">
        <v>898</v>
      </c>
      <c r="L968" t="s">
        <v>898</v>
      </c>
      <c r="M968" t="s">
        <v>898</v>
      </c>
      <c r="N968" t="s">
        <v>898</v>
      </c>
      <c r="P968" t="s">
        <v>898</v>
      </c>
      <c r="Q968" t="s">
        <v>898</v>
      </c>
    </row>
    <row r="969">
      <c r="I969" t="s">
        <v>898</v>
      </c>
      <c r="J969" s="237" t="s">
        <v>898</v>
      </c>
      <c r="K969" s="238" t="s">
        <v>898</v>
      </c>
      <c r="L969" t="s">
        <v>898</v>
      </c>
      <c r="M969" t="s">
        <v>898</v>
      </c>
      <c r="N969" t="s">
        <v>898</v>
      </c>
      <c r="P969" t="s">
        <v>898</v>
      </c>
      <c r="Q969" t="s">
        <v>898</v>
      </c>
    </row>
    <row r="970">
      <c r="I970" t="s">
        <v>898</v>
      </c>
      <c r="J970" s="237" t="s">
        <v>898</v>
      </c>
      <c r="K970" s="238" t="s">
        <v>898</v>
      </c>
      <c r="L970" t="s">
        <v>898</v>
      </c>
      <c r="M970" t="s">
        <v>898</v>
      </c>
      <c r="N970" t="s">
        <v>898</v>
      </c>
      <c r="P970" t="s">
        <v>898</v>
      </c>
      <c r="Q970" t="s">
        <v>898</v>
      </c>
    </row>
    <row r="971">
      <c r="I971" t="s">
        <v>898</v>
      </c>
      <c r="J971" s="237" t="s">
        <v>898</v>
      </c>
      <c r="K971" s="238" t="s">
        <v>898</v>
      </c>
      <c r="L971" t="s">
        <v>898</v>
      </c>
      <c r="M971" t="s">
        <v>898</v>
      </c>
      <c r="N971" t="s">
        <v>898</v>
      </c>
      <c r="P971" t="s">
        <v>898</v>
      </c>
      <c r="Q971" t="s">
        <v>898</v>
      </c>
    </row>
    <row r="972">
      <c r="I972" t="s">
        <v>898</v>
      </c>
      <c r="J972" s="237" t="s">
        <v>898</v>
      </c>
      <c r="K972" s="238" t="s">
        <v>898</v>
      </c>
      <c r="L972" t="s">
        <v>898</v>
      </c>
      <c r="M972" t="s">
        <v>898</v>
      </c>
      <c r="N972" t="s">
        <v>898</v>
      </c>
      <c r="P972" t="s">
        <v>898</v>
      </c>
      <c r="Q972" t="s">
        <v>898</v>
      </c>
    </row>
    <row r="973">
      <c r="I973" t="s">
        <v>898</v>
      </c>
      <c r="J973" s="237" t="s">
        <v>898</v>
      </c>
      <c r="K973" s="238" t="s">
        <v>898</v>
      </c>
      <c r="L973" t="s">
        <v>898</v>
      </c>
      <c r="M973" t="s">
        <v>898</v>
      </c>
      <c r="N973" t="s">
        <v>898</v>
      </c>
      <c r="P973" t="s">
        <v>898</v>
      </c>
      <c r="Q973" t="s">
        <v>898</v>
      </c>
    </row>
    <row r="974">
      <c r="I974" t="s">
        <v>898</v>
      </c>
      <c r="J974" s="237" t="s">
        <v>898</v>
      </c>
      <c r="K974" s="238" t="s">
        <v>898</v>
      </c>
      <c r="L974" t="s">
        <v>898</v>
      </c>
      <c r="M974" t="s">
        <v>898</v>
      </c>
      <c r="N974" t="s">
        <v>898</v>
      </c>
      <c r="P974" t="s">
        <v>898</v>
      </c>
      <c r="Q974" t="s">
        <v>898</v>
      </c>
    </row>
    <row r="975">
      <c r="I975" t="s">
        <v>898</v>
      </c>
      <c r="J975" s="237" t="s">
        <v>898</v>
      </c>
      <c r="K975" s="238" t="s">
        <v>898</v>
      </c>
      <c r="L975" t="s">
        <v>898</v>
      </c>
      <c r="M975" t="s">
        <v>898</v>
      </c>
      <c r="N975" t="s">
        <v>898</v>
      </c>
      <c r="P975" t="s">
        <v>898</v>
      </c>
      <c r="Q975" t="s">
        <v>898</v>
      </c>
    </row>
    <row r="976">
      <c r="I976" t="s">
        <v>898</v>
      </c>
      <c r="J976" s="237" t="s">
        <v>898</v>
      </c>
      <c r="K976" s="238" t="s">
        <v>898</v>
      </c>
      <c r="L976" t="s">
        <v>898</v>
      </c>
      <c r="M976" t="s">
        <v>898</v>
      </c>
      <c r="N976" t="s">
        <v>898</v>
      </c>
      <c r="P976" t="s">
        <v>898</v>
      </c>
      <c r="Q976" t="s">
        <v>898</v>
      </c>
    </row>
    <row r="977">
      <c r="I977" t="s">
        <v>898</v>
      </c>
      <c r="J977" s="237" t="s">
        <v>898</v>
      </c>
      <c r="K977" s="238" t="s">
        <v>898</v>
      </c>
      <c r="L977" t="s">
        <v>898</v>
      </c>
      <c r="M977" t="s">
        <v>898</v>
      </c>
      <c r="N977" t="s">
        <v>898</v>
      </c>
      <c r="P977" t="s">
        <v>898</v>
      </c>
      <c r="Q977" t="s">
        <v>898</v>
      </c>
    </row>
    <row r="978">
      <c r="I978" t="s">
        <v>898</v>
      </c>
      <c r="J978" s="237" t="s">
        <v>898</v>
      </c>
      <c r="K978" s="238" t="s">
        <v>898</v>
      </c>
      <c r="L978" t="s">
        <v>898</v>
      </c>
      <c r="M978" t="s">
        <v>898</v>
      </c>
      <c r="N978" t="s">
        <v>898</v>
      </c>
      <c r="P978" t="s">
        <v>898</v>
      </c>
      <c r="Q978" t="s">
        <v>898</v>
      </c>
    </row>
    <row r="979">
      <c r="I979" t="s">
        <v>898</v>
      </c>
      <c r="J979" s="237" t="s">
        <v>898</v>
      </c>
      <c r="K979" s="238" t="s">
        <v>898</v>
      </c>
      <c r="L979" t="s">
        <v>898</v>
      </c>
      <c r="M979" t="s">
        <v>898</v>
      </c>
      <c r="N979" t="s">
        <v>898</v>
      </c>
      <c r="P979" t="s">
        <v>898</v>
      </c>
      <c r="Q979" t="s">
        <v>898</v>
      </c>
    </row>
    <row r="980">
      <c r="I980" t="s">
        <v>898</v>
      </c>
      <c r="J980" s="237" t="s">
        <v>898</v>
      </c>
      <c r="K980" s="238" t="s">
        <v>898</v>
      </c>
      <c r="L980" t="s">
        <v>898</v>
      </c>
      <c r="M980" t="s">
        <v>898</v>
      </c>
      <c r="N980" t="s">
        <v>898</v>
      </c>
      <c r="P980" t="s">
        <v>898</v>
      </c>
      <c r="Q980" t="s">
        <v>898</v>
      </c>
    </row>
    <row r="981">
      <c r="I981" t="s">
        <v>898</v>
      </c>
      <c r="J981" s="237" t="s">
        <v>898</v>
      </c>
      <c r="K981" s="238" t="s">
        <v>898</v>
      </c>
      <c r="L981" t="s">
        <v>898</v>
      </c>
      <c r="M981" t="s">
        <v>898</v>
      </c>
      <c r="N981" t="s">
        <v>898</v>
      </c>
      <c r="P981" t="s">
        <v>898</v>
      </c>
      <c r="Q981" t="s">
        <v>898</v>
      </c>
    </row>
    <row r="982">
      <c r="I982" t="s">
        <v>898</v>
      </c>
      <c r="J982" s="237" t="s">
        <v>898</v>
      </c>
      <c r="K982" s="238" t="s">
        <v>898</v>
      </c>
      <c r="L982" t="s">
        <v>898</v>
      </c>
      <c r="M982" t="s">
        <v>898</v>
      </c>
      <c r="N982" t="s">
        <v>898</v>
      </c>
      <c r="P982" t="s">
        <v>898</v>
      </c>
      <c r="Q982" t="s">
        <v>898</v>
      </c>
    </row>
    <row r="983">
      <c r="I983" t="s">
        <v>898</v>
      </c>
      <c r="J983" s="237" t="s">
        <v>898</v>
      </c>
      <c r="K983" s="238" t="s">
        <v>898</v>
      </c>
      <c r="L983" t="s">
        <v>898</v>
      </c>
      <c r="M983" t="s">
        <v>898</v>
      </c>
      <c r="N983" t="s">
        <v>898</v>
      </c>
      <c r="P983" t="s">
        <v>898</v>
      </c>
      <c r="Q983" t="s">
        <v>898</v>
      </c>
    </row>
    <row r="984">
      <c r="I984" t="s">
        <v>898</v>
      </c>
      <c r="J984" s="237" t="s">
        <v>898</v>
      </c>
      <c r="K984" s="238" t="s">
        <v>898</v>
      </c>
      <c r="L984" t="s">
        <v>898</v>
      </c>
      <c r="M984" t="s">
        <v>898</v>
      </c>
      <c r="N984" t="s">
        <v>898</v>
      </c>
      <c r="P984" t="s">
        <v>898</v>
      </c>
      <c r="Q984" t="s">
        <v>898</v>
      </c>
    </row>
    <row r="985">
      <c r="I985" t="s">
        <v>898</v>
      </c>
      <c r="J985" s="237" t="s">
        <v>898</v>
      </c>
      <c r="K985" s="238" t="s">
        <v>898</v>
      </c>
      <c r="L985" t="s">
        <v>898</v>
      </c>
      <c r="M985" t="s">
        <v>898</v>
      </c>
      <c r="N985" t="s">
        <v>898</v>
      </c>
      <c r="P985" t="s">
        <v>898</v>
      </c>
      <c r="Q985" t="s">
        <v>898</v>
      </c>
    </row>
    <row r="986">
      <c r="I986" t="s">
        <v>898</v>
      </c>
      <c r="J986" s="237" t="s">
        <v>898</v>
      </c>
      <c r="K986" s="238" t="s">
        <v>898</v>
      </c>
      <c r="L986" t="s">
        <v>898</v>
      </c>
      <c r="M986" t="s">
        <v>898</v>
      </c>
      <c r="N986" t="s">
        <v>898</v>
      </c>
      <c r="P986" t="s">
        <v>898</v>
      </c>
      <c r="Q986" t="s">
        <v>898</v>
      </c>
    </row>
    <row r="987">
      <c r="I987" t="s">
        <v>898</v>
      </c>
      <c r="J987" s="237" t="s">
        <v>898</v>
      </c>
      <c r="K987" s="238" t="s">
        <v>898</v>
      </c>
      <c r="L987" t="s">
        <v>898</v>
      </c>
      <c r="M987" t="s">
        <v>898</v>
      </c>
      <c r="N987" t="s">
        <v>898</v>
      </c>
      <c r="P987" t="s">
        <v>898</v>
      </c>
      <c r="Q987" t="s">
        <v>898</v>
      </c>
    </row>
    <row r="988">
      <c r="I988" t="s">
        <v>898</v>
      </c>
      <c r="J988" s="237" t="s">
        <v>898</v>
      </c>
      <c r="K988" s="238" t="s">
        <v>898</v>
      </c>
      <c r="L988" t="s">
        <v>898</v>
      </c>
      <c r="M988" t="s">
        <v>898</v>
      </c>
      <c r="N988" t="s">
        <v>898</v>
      </c>
      <c r="P988" t="s">
        <v>898</v>
      </c>
      <c r="Q988" t="s">
        <v>898</v>
      </c>
    </row>
    <row r="989">
      <c r="I989" t="s">
        <v>898</v>
      </c>
      <c r="J989" s="237" t="s">
        <v>898</v>
      </c>
      <c r="K989" s="238" t="s">
        <v>898</v>
      </c>
      <c r="L989" t="s">
        <v>898</v>
      </c>
      <c r="M989" t="s">
        <v>898</v>
      </c>
      <c r="N989" t="s">
        <v>898</v>
      </c>
      <c r="P989" t="s">
        <v>898</v>
      </c>
      <c r="Q989" t="s">
        <v>898</v>
      </c>
    </row>
    <row r="990">
      <c r="I990" t="s">
        <v>898</v>
      </c>
      <c r="J990" s="237" t="s">
        <v>898</v>
      </c>
      <c r="K990" s="238" t="s">
        <v>898</v>
      </c>
      <c r="L990" t="s">
        <v>898</v>
      </c>
      <c r="M990" t="s">
        <v>898</v>
      </c>
      <c r="N990" t="s">
        <v>898</v>
      </c>
      <c r="P990" t="s">
        <v>898</v>
      </c>
      <c r="Q990" t="s">
        <v>898</v>
      </c>
    </row>
    <row r="991">
      <c r="I991" t="s">
        <v>898</v>
      </c>
      <c r="J991" s="237" t="s">
        <v>898</v>
      </c>
      <c r="K991" s="238" t="s">
        <v>898</v>
      </c>
      <c r="L991" t="s">
        <v>898</v>
      </c>
      <c r="M991" t="s">
        <v>898</v>
      </c>
      <c r="N991" t="s">
        <v>898</v>
      </c>
      <c r="P991" t="s">
        <v>898</v>
      </c>
      <c r="Q991" t="s">
        <v>898</v>
      </c>
    </row>
    <row r="992">
      <c r="I992" t="s">
        <v>898</v>
      </c>
      <c r="J992" s="237" t="s">
        <v>898</v>
      </c>
      <c r="K992" s="238" t="s">
        <v>898</v>
      </c>
      <c r="L992" t="s">
        <v>898</v>
      </c>
      <c r="M992" t="s">
        <v>898</v>
      </c>
      <c r="N992" t="s">
        <v>898</v>
      </c>
      <c r="P992" t="s">
        <v>898</v>
      </c>
      <c r="Q992" t="s">
        <v>898</v>
      </c>
    </row>
    <row r="993">
      <c r="I993" t="s">
        <v>898</v>
      </c>
      <c r="J993" s="237" t="s">
        <v>898</v>
      </c>
      <c r="K993" s="238" t="s">
        <v>898</v>
      </c>
      <c r="L993" t="s">
        <v>898</v>
      </c>
      <c r="M993" t="s">
        <v>898</v>
      </c>
      <c r="N993" t="s">
        <v>898</v>
      </c>
      <c r="P993" t="s">
        <v>898</v>
      </c>
      <c r="Q993" t="s">
        <v>898</v>
      </c>
    </row>
    <row r="994">
      <c r="I994" t="s">
        <v>898</v>
      </c>
      <c r="J994" s="237" t="s">
        <v>898</v>
      </c>
      <c r="K994" s="238" t="s">
        <v>898</v>
      </c>
      <c r="L994" t="s">
        <v>898</v>
      </c>
      <c r="M994" t="s">
        <v>898</v>
      </c>
      <c r="N994" t="s">
        <v>898</v>
      </c>
      <c r="P994" t="s">
        <v>898</v>
      </c>
      <c r="Q994" t="s">
        <v>898</v>
      </c>
    </row>
    <row r="995">
      <c r="I995" t="s">
        <v>898</v>
      </c>
      <c r="J995" s="237" t="s">
        <v>898</v>
      </c>
      <c r="K995" s="238" t="s">
        <v>898</v>
      </c>
      <c r="L995" t="s">
        <v>898</v>
      </c>
      <c r="M995" t="s">
        <v>898</v>
      </c>
      <c r="N995" t="s">
        <v>898</v>
      </c>
      <c r="P995" t="s">
        <v>898</v>
      </c>
      <c r="Q995" t="s">
        <v>898</v>
      </c>
    </row>
    <row r="996">
      <c r="I996" t="s">
        <v>898</v>
      </c>
      <c r="J996" s="237" t="s">
        <v>898</v>
      </c>
      <c r="K996" s="238" t="s">
        <v>898</v>
      </c>
      <c r="L996" t="s">
        <v>898</v>
      </c>
      <c r="M996" t="s">
        <v>898</v>
      </c>
      <c r="N996" t="s">
        <v>898</v>
      </c>
      <c r="P996" t="s">
        <v>898</v>
      </c>
      <c r="Q996" t="s">
        <v>898</v>
      </c>
    </row>
    <row r="997">
      <c r="I997" t="s">
        <v>898</v>
      </c>
      <c r="J997" s="237" t="s">
        <v>898</v>
      </c>
      <c r="K997" s="238" t="s">
        <v>898</v>
      </c>
      <c r="L997" t="s">
        <v>898</v>
      </c>
      <c r="M997" t="s">
        <v>898</v>
      </c>
      <c r="N997" t="s">
        <v>898</v>
      </c>
      <c r="P997" t="s">
        <v>898</v>
      </c>
      <c r="Q997" t="s">
        <v>898</v>
      </c>
    </row>
    <row r="998">
      <c r="I998" t="s">
        <v>898</v>
      </c>
      <c r="J998" s="237" t="s">
        <v>898</v>
      </c>
      <c r="K998" s="238" t="s">
        <v>898</v>
      </c>
      <c r="L998" t="s">
        <v>898</v>
      </c>
      <c r="M998" t="s">
        <v>898</v>
      </c>
      <c r="N998" t="s">
        <v>898</v>
      </c>
      <c r="P998" t="s">
        <v>898</v>
      </c>
      <c r="Q998" t="s">
        <v>898</v>
      </c>
    </row>
    <row r="999">
      <c r="I999" t="s">
        <v>898</v>
      </c>
      <c r="J999" s="237" t="s">
        <v>898</v>
      </c>
      <c r="K999" s="238" t="s">
        <v>898</v>
      </c>
      <c r="L999" t="s">
        <v>898</v>
      </c>
      <c r="M999" t="s">
        <v>898</v>
      </c>
      <c r="N999" t="s">
        <v>898</v>
      </c>
      <c r="P999" t="s">
        <v>898</v>
      </c>
      <c r="Q999" t="s">
        <v>898</v>
      </c>
    </row>
    <row r="1000">
      <c r="I1000" t="s">
        <v>898</v>
      </c>
      <c r="J1000" s="237" t="s">
        <v>898</v>
      </c>
      <c r="K1000" s="238" t="s">
        <v>898</v>
      </c>
      <c r="L1000" t="s">
        <v>898</v>
      </c>
      <c r="M1000" t="s">
        <v>898</v>
      </c>
      <c r="N1000" t="s">
        <v>898</v>
      </c>
      <c r="P1000" t="s">
        <v>898</v>
      </c>
      <c r="Q1000" t="s">
        <v>898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8" max="8" width="28.75"/>
  </cols>
  <sheetData>
    <row r="1">
      <c r="A1" s="1" t="s">
        <v>1573</v>
      </c>
      <c r="B1" s="1" t="s">
        <v>1574</v>
      </c>
      <c r="C1" s="1" t="s">
        <v>1575</v>
      </c>
      <c r="D1" s="1" t="s">
        <v>1576</v>
      </c>
      <c r="E1" s="239" t="s">
        <v>1577</v>
      </c>
      <c r="F1" s="1" t="s">
        <v>1578</v>
      </c>
      <c r="G1" s="240" t="s">
        <v>1579</v>
      </c>
      <c r="H1" s="240" t="s">
        <v>889</v>
      </c>
    </row>
    <row r="2">
      <c r="A2" t="str">
        <f>IFERROR(__xludf.DUMMYFUNCTION("unique(FILTER('Mid Lines'!A:A,date(left('Mid Lines'!B:B,4),mid('Mid Lines'!B:B,6,2),mid('Mid Lines'!B:B,9,2))&lt;=IF(WEEKDAY(today(),3)=0, today(), today()+7-WEEKDAY(today(),3)
)))"),"aa6121f597f3dd0a363e477797cd13f0")</f>
        <v>aa6121f597f3dd0a363e477797cd13f0</v>
      </c>
      <c r="B2" t="str">
        <f t="array" ref="B2:B1502">if($A2:$A1502="","",byrow($A2:$A1502,lambda(rw,iferror(vlookup(rw,'Mid Lines'!$A:$P,14,0),""))))</f>
        <v>Georgia</v>
      </c>
      <c r="C2" t="str">
        <f t="array" ref="C2:C1502">if($A2:$A1502="","",byrow($A2:$A1502,lambda(rw,iferror(vlookup(rw,'Mid Lines'!$A:$P,15,0),""))))</f>
        <v>Alabama</v>
      </c>
      <c r="D2" t="str">
        <f t="array" ref="D2:D1502">if(A2:A1502="",""," ")</f>
        <v> </v>
      </c>
      <c r="E2">
        <f t="array" ref="E2:E1502">if($A2:$A1502="","",byrow($A2:$A1502,lambda(rw,iferror(vlookup(rw,'Mid Lines'!$A:$P,16,0),""))))</f>
        <v>-1.5</v>
      </c>
      <c r="F2">
        <f t="array" ref="F2:F1502">if($A2:$A1502="","",byrow($A2:$A1502,lambda(rw,iferror(vlookup(rw,'Import Totals'!$A:$N,14,0),""))))</f>
        <v>48.5</v>
      </c>
      <c r="G2" s="241" t="str">
        <f t="array" ref="G2:G1502">if($A2:$A1502=""," ",byrow($B2:$B1502,lambda(rw,iferror(vlookup(rw,'Mid Moneylines'!$B:$E,2,0)," "))))</f>
        <v> </v>
      </c>
      <c r="H2" s="241" t="str">
        <f t="array" ref="H2:H1502">byrow(A2:A1502,lambda(rw,if(rw="","",VLOOKUP(rw,'Mid Lines'!A:Q,17,0))))</f>
        <v>Georgia at Alabama on 12/06 04:15 PM (CT)</v>
      </c>
    </row>
    <row r="3">
      <c r="A3" t="str">
        <f>IFERROR(__xludf.DUMMYFUNCTION("""COMPUTED_VALUE"""),"729431d6cbefa242533b953561a18347")</f>
        <v>729431d6cbefa242533b953561a18347</v>
      </c>
      <c r="B3" t="s">
        <v>1314</v>
      </c>
      <c r="C3" t="s">
        <v>1315</v>
      </c>
      <c r="D3" t="s">
        <v>67</v>
      </c>
      <c r="E3">
        <v>-13.5</v>
      </c>
      <c r="F3">
        <v>59.5</v>
      </c>
      <c r="G3" t="s">
        <v>67</v>
      </c>
      <c r="H3" s="241" t="s">
        <v>1581</v>
      </c>
    </row>
    <row r="4">
      <c r="A4" t="str">
        <f>IFERROR(__xludf.DUMMYFUNCTION("""COMPUTED_VALUE"""),"cb3db4cd7e1781ff0fa5e3caaf2d74e4")</f>
        <v>cb3db4cd7e1781ff0fa5e3caaf2d74e4</v>
      </c>
      <c r="B4" t="s">
        <v>121</v>
      </c>
      <c r="C4" t="s">
        <v>112</v>
      </c>
      <c r="D4" t="s">
        <v>67</v>
      </c>
      <c r="E4">
        <v>-3.5</v>
      </c>
      <c r="F4">
        <v>58.5</v>
      </c>
      <c r="G4" t="s">
        <v>67</v>
      </c>
      <c r="H4" s="241" t="s">
        <v>1582</v>
      </c>
    </row>
    <row r="5">
      <c r="A5" t="str">
        <f>IFERROR(__xludf.DUMMYFUNCTION("""COMPUTED_VALUE"""),"ed821485171f0486828ac8bfae9537a3")</f>
        <v>ed821485171f0486828ac8bfae9537a3</v>
      </c>
      <c r="B5" t="s">
        <v>144</v>
      </c>
      <c r="C5" t="s">
        <v>136</v>
      </c>
      <c r="D5" t="s">
        <v>67</v>
      </c>
      <c r="E5">
        <v>-4.5</v>
      </c>
      <c r="F5">
        <v>47.5</v>
      </c>
      <c r="G5" t="s">
        <v>67</v>
      </c>
      <c r="H5" s="241" t="s">
        <v>1584</v>
      </c>
    </row>
    <row r="6">
      <c r="A6" t="str">
        <f>IFERROR(__xludf.DUMMYFUNCTION("""COMPUTED_VALUE"""),"86b2f11373631509f973bd3e72f5732d")</f>
        <v>86b2f11373631509f973bd3e72f5732d</v>
      </c>
      <c r="B6" t="s">
        <v>103</v>
      </c>
      <c r="C6" t="s">
        <v>225</v>
      </c>
      <c r="D6" t="s">
        <v>67</v>
      </c>
      <c r="E6">
        <v>-5.5</v>
      </c>
      <c r="F6">
        <v>38.5</v>
      </c>
      <c r="G6" t="s">
        <v>67</v>
      </c>
      <c r="H6" s="241" t="s">
        <v>1585</v>
      </c>
    </row>
    <row r="7">
      <c r="A7" t="str">
        <f>IFERROR(__xludf.DUMMYFUNCTION("""COMPUTED_VALUE"""),"ed11cbf3b02850670bf213622cf4517b")</f>
        <v>ed11cbf3b02850670bf213622cf4517b</v>
      </c>
      <c r="B7" t="s">
        <v>105</v>
      </c>
      <c r="C7" t="s">
        <v>155</v>
      </c>
      <c r="D7" t="s">
        <v>67</v>
      </c>
      <c r="E7">
        <v>-7.5</v>
      </c>
      <c r="F7">
        <v>55.5</v>
      </c>
      <c r="G7" t="s">
        <v>67</v>
      </c>
      <c r="H7" s="241" t="s">
        <v>1586</v>
      </c>
    </row>
    <row r="8">
      <c r="A8" t="str">
        <f>IFERROR(__xludf.DUMMYFUNCTION("""COMPUTED_VALUE"""),"5628d5990478df5a36dabdf0a89bb699")</f>
        <v>5628d5990478df5a36dabdf0a89bb699</v>
      </c>
      <c r="B8" t="s">
        <v>215</v>
      </c>
      <c r="C8" t="s">
        <v>236</v>
      </c>
      <c r="D8" t="s">
        <v>67</v>
      </c>
      <c r="E8">
        <v>-2.5</v>
      </c>
      <c r="F8">
        <v>58.5</v>
      </c>
      <c r="G8" t="s">
        <v>67</v>
      </c>
      <c r="H8" s="241" t="s">
        <v>1588</v>
      </c>
    </row>
    <row r="9">
      <c r="A9" t="str">
        <f>IFERROR(__xludf.DUMMYFUNCTION("""COMPUTED_VALUE"""),"a1dd323522b56837490d61ace49a97e0")</f>
        <v>a1dd323522b56837490d61ace49a97e0</v>
      </c>
      <c r="B9" t="s">
        <v>190</v>
      </c>
      <c r="C9" t="s">
        <v>536</v>
      </c>
      <c r="D9" t="s">
        <v>67</v>
      </c>
      <c r="E9">
        <v>-1.5</v>
      </c>
      <c r="F9">
        <v>55.5</v>
      </c>
      <c r="G9" t="s">
        <v>67</v>
      </c>
      <c r="H9" s="241" t="s">
        <v>1589</v>
      </c>
    </row>
    <row r="10">
      <c r="B10" t="s">
        <v>898</v>
      </c>
      <c r="C10" t="s">
        <v>898</v>
      </c>
      <c r="D10" t="s">
        <v>898</v>
      </c>
      <c r="E10" t="s">
        <v>898</v>
      </c>
      <c r="F10" t="s">
        <v>898</v>
      </c>
      <c r="G10" t="s">
        <v>67</v>
      </c>
      <c r="H10" s="241" t="s">
        <v>898</v>
      </c>
    </row>
    <row r="11">
      <c r="B11" t="s">
        <v>898</v>
      </c>
      <c r="C11" t="s">
        <v>898</v>
      </c>
      <c r="D11" t="s">
        <v>898</v>
      </c>
      <c r="E11" t="s">
        <v>898</v>
      </c>
      <c r="F11" t="s">
        <v>898</v>
      </c>
      <c r="G11" t="s">
        <v>67</v>
      </c>
      <c r="H11" s="241" t="s">
        <v>898</v>
      </c>
    </row>
    <row r="12">
      <c r="B12" t="s">
        <v>898</v>
      </c>
      <c r="C12" t="s">
        <v>898</v>
      </c>
      <c r="D12" t="s">
        <v>898</v>
      </c>
      <c r="E12" t="s">
        <v>898</v>
      </c>
      <c r="F12" t="s">
        <v>898</v>
      </c>
      <c r="G12" t="s">
        <v>67</v>
      </c>
      <c r="H12" s="241" t="s">
        <v>898</v>
      </c>
    </row>
    <row r="13">
      <c r="B13" t="s">
        <v>898</v>
      </c>
      <c r="C13" t="s">
        <v>898</v>
      </c>
      <c r="D13" t="s">
        <v>898</v>
      </c>
      <c r="E13" t="s">
        <v>898</v>
      </c>
      <c r="F13" t="s">
        <v>898</v>
      </c>
      <c r="G13" t="s">
        <v>67</v>
      </c>
      <c r="H13" s="241" t="s">
        <v>898</v>
      </c>
    </row>
    <row r="14">
      <c r="B14" t="s">
        <v>898</v>
      </c>
      <c r="C14" t="s">
        <v>898</v>
      </c>
      <c r="D14" t="s">
        <v>898</v>
      </c>
      <c r="E14" t="s">
        <v>898</v>
      </c>
      <c r="F14" t="s">
        <v>898</v>
      </c>
      <c r="G14" t="s">
        <v>67</v>
      </c>
      <c r="H14" s="241" t="s">
        <v>898</v>
      </c>
    </row>
    <row r="15">
      <c r="B15" t="s">
        <v>898</v>
      </c>
      <c r="C15" t="s">
        <v>898</v>
      </c>
      <c r="D15" t="s">
        <v>898</v>
      </c>
      <c r="E15" t="s">
        <v>898</v>
      </c>
      <c r="F15" t="s">
        <v>898</v>
      </c>
      <c r="G15" t="s">
        <v>67</v>
      </c>
      <c r="H15" s="241" t="s">
        <v>898</v>
      </c>
    </row>
    <row r="16">
      <c r="B16" t="s">
        <v>898</v>
      </c>
      <c r="C16" t="s">
        <v>898</v>
      </c>
      <c r="D16" t="s">
        <v>898</v>
      </c>
      <c r="E16" t="s">
        <v>898</v>
      </c>
      <c r="F16" t="s">
        <v>898</v>
      </c>
      <c r="G16" t="s">
        <v>67</v>
      </c>
      <c r="H16" s="241" t="s">
        <v>898</v>
      </c>
    </row>
    <row r="17">
      <c r="B17" t="s">
        <v>898</v>
      </c>
      <c r="C17" t="s">
        <v>898</v>
      </c>
      <c r="D17" t="s">
        <v>898</v>
      </c>
      <c r="E17" t="s">
        <v>898</v>
      </c>
      <c r="F17" t="s">
        <v>898</v>
      </c>
      <c r="G17" t="s">
        <v>67</v>
      </c>
      <c r="H17" s="241" t="s">
        <v>898</v>
      </c>
    </row>
    <row r="18">
      <c r="B18" t="s">
        <v>898</v>
      </c>
      <c r="C18" t="s">
        <v>898</v>
      </c>
      <c r="D18" t="s">
        <v>898</v>
      </c>
      <c r="E18" t="s">
        <v>898</v>
      </c>
      <c r="F18" t="s">
        <v>898</v>
      </c>
      <c r="G18" t="s">
        <v>67</v>
      </c>
      <c r="H18" s="241" t="s">
        <v>898</v>
      </c>
    </row>
    <row r="19">
      <c r="B19" t="s">
        <v>898</v>
      </c>
      <c r="C19" t="s">
        <v>898</v>
      </c>
      <c r="D19" t="s">
        <v>898</v>
      </c>
      <c r="E19" t="s">
        <v>898</v>
      </c>
      <c r="F19" t="s">
        <v>898</v>
      </c>
      <c r="G19" t="s">
        <v>67</v>
      </c>
      <c r="H19" s="241" t="s">
        <v>898</v>
      </c>
    </row>
    <row r="20">
      <c r="B20" t="s">
        <v>898</v>
      </c>
      <c r="C20" t="s">
        <v>898</v>
      </c>
      <c r="D20" t="s">
        <v>898</v>
      </c>
      <c r="E20" t="s">
        <v>898</v>
      </c>
      <c r="F20" t="s">
        <v>898</v>
      </c>
      <c r="G20" t="s">
        <v>67</v>
      </c>
      <c r="H20" s="241" t="s">
        <v>898</v>
      </c>
    </row>
    <row r="21">
      <c r="B21" t="s">
        <v>898</v>
      </c>
      <c r="C21" t="s">
        <v>898</v>
      </c>
      <c r="D21" t="s">
        <v>898</v>
      </c>
      <c r="E21" t="s">
        <v>898</v>
      </c>
      <c r="F21" t="s">
        <v>898</v>
      </c>
      <c r="G21" t="s">
        <v>67</v>
      </c>
      <c r="H21" s="241" t="s">
        <v>898</v>
      </c>
    </row>
    <row r="22">
      <c r="B22" t="s">
        <v>898</v>
      </c>
      <c r="C22" t="s">
        <v>898</v>
      </c>
      <c r="D22" t="s">
        <v>898</v>
      </c>
      <c r="E22" t="s">
        <v>898</v>
      </c>
      <c r="F22" t="s">
        <v>898</v>
      </c>
      <c r="G22" t="s">
        <v>67</v>
      </c>
      <c r="H22" s="241" t="s">
        <v>898</v>
      </c>
    </row>
    <row r="23">
      <c r="B23" t="s">
        <v>898</v>
      </c>
      <c r="C23" t="s">
        <v>898</v>
      </c>
      <c r="D23" t="s">
        <v>898</v>
      </c>
      <c r="E23" t="s">
        <v>898</v>
      </c>
      <c r="F23" t="s">
        <v>898</v>
      </c>
      <c r="G23" t="s">
        <v>67</v>
      </c>
      <c r="H23" s="241" t="s">
        <v>898</v>
      </c>
    </row>
    <row r="24">
      <c r="B24" t="s">
        <v>898</v>
      </c>
      <c r="C24" t="s">
        <v>898</v>
      </c>
      <c r="D24" t="s">
        <v>898</v>
      </c>
      <c r="E24" t="s">
        <v>898</v>
      </c>
      <c r="F24" t="s">
        <v>898</v>
      </c>
      <c r="G24" t="s">
        <v>67</v>
      </c>
      <c r="H24" s="241" t="s">
        <v>898</v>
      </c>
    </row>
    <row r="25">
      <c r="B25" t="s">
        <v>898</v>
      </c>
      <c r="C25" t="s">
        <v>898</v>
      </c>
      <c r="D25" t="s">
        <v>898</v>
      </c>
      <c r="E25" t="s">
        <v>898</v>
      </c>
      <c r="F25" t="s">
        <v>898</v>
      </c>
      <c r="G25" t="s">
        <v>67</v>
      </c>
      <c r="H25" s="241" t="s">
        <v>898</v>
      </c>
    </row>
    <row r="26">
      <c r="B26" t="s">
        <v>898</v>
      </c>
      <c r="C26" t="s">
        <v>898</v>
      </c>
      <c r="D26" t="s">
        <v>898</v>
      </c>
      <c r="E26" t="s">
        <v>898</v>
      </c>
      <c r="F26" t="s">
        <v>898</v>
      </c>
      <c r="G26" t="s">
        <v>67</v>
      </c>
      <c r="H26" s="241" t="s">
        <v>898</v>
      </c>
    </row>
    <row r="27">
      <c r="B27" t="s">
        <v>898</v>
      </c>
      <c r="C27" t="s">
        <v>898</v>
      </c>
      <c r="D27" t="s">
        <v>898</v>
      </c>
      <c r="E27" t="s">
        <v>898</v>
      </c>
      <c r="F27" t="s">
        <v>898</v>
      </c>
      <c r="G27" t="s">
        <v>67</v>
      </c>
      <c r="H27" s="241" t="s">
        <v>898</v>
      </c>
    </row>
    <row r="28">
      <c r="B28" t="s">
        <v>898</v>
      </c>
      <c r="C28" t="s">
        <v>898</v>
      </c>
      <c r="D28" t="s">
        <v>898</v>
      </c>
      <c r="E28" t="s">
        <v>898</v>
      </c>
      <c r="F28" t="s">
        <v>898</v>
      </c>
      <c r="G28" t="s">
        <v>67</v>
      </c>
      <c r="H28" s="241" t="s">
        <v>898</v>
      </c>
    </row>
    <row r="29">
      <c r="B29" t="s">
        <v>898</v>
      </c>
      <c r="C29" t="s">
        <v>898</v>
      </c>
      <c r="D29" t="s">
        <v>898</v>
      </c>
      <c r="E29" t="s">
        <v>898</v>
      </c>
      <c r="F29" t="s">
        <v>898</v>
      </c>
      <c r="G29" t="s">
        <v>67</v>
      </c>
      <c r="H29" s="241" t="s">
        <v>898</v>
      </c>
    </row>
    <row r="30">
      <c r="B30" t="s">
        <v>898</v>
      </c>
      <c r="C30" t="s">
        <v>898</v>
      </c>
      <c r="D30" t="s">
        <v>898</v>
      </c>
      <c r="E30" t="s">
        <v>898</v>
      </c>
      <c r="F30" t="s">
        <v>898</v>
      </c>
      <c r="G30" t="s">
        <v>67</v>
      </c>
      <c r="H30" s="241" t="s">
        <v>898</v>
      </c>
    </row>
    <row r="31">
      <c r="B31" t="s">
        <v>898</v>
      </c>
      <c r="C31" t="s">
        <v>898</v>
      </c>
      <c r="D31" t="s">
        <v>898</v>
      </c>
      <c r="E31" t="s">
        <v>898</v>
      </c>
      <c r="F31" t="s">
        <v>898</v>
      </c>
      <c r="G31" t="s">
        <v>67</v>
      </c>
      <c r="H31" s="241" t="s">
        <v>898</v>
      </c>
    </row>
    <row r="32">
      <c r="B32" t="s">
        <v>898</v>
      </c>
      <c r="C32" t="s">
        <v>898</v>
      </c>
      <c r="D32" t="s">
        <v>898</v>
      </c>
      <c r="E32" t="s">
        <v>898</v>
      </c>
      <c r="F32" t="s">
        <v>898</v>
      </c>
      <c r="G32" t="s">
        <v>67</v>
      </c>
      <c r="H32" s="241" t="s">
        <v>898</v>
      </c>
    </row>
    <row r="33">
      <c r="B33" t="s">
        <v>898</v>
      </c>
      <c r="C33" t="s">
        <v>898</v>
      </c>
      <c r="D33" t="s">
        <v>898</v>
      </c>
      <c r="E33" t="s">
        <v>898</v>
      </c>
      <c r="F33" t="s">
        <v>898</v>
      </c>
      <c r="G33" t="s">
        <v>67</v>
      </c>
      <c r="H33" s="241" t="s">
        <v>898</v>
      </c>
    </row>
    <row r="34">
      <c r="B34" t="s">
        <v>898</v>
      </c>
      <c r="C34" t="s">
        <v>898</v>
      </c>
      <c r="D34" t="s">
        <v>898</v>
      </c>
      <c r="E34" t="s">
        <v>898</v>
      </c>
      <c r="F34" t="s">
        <v>898</v>
      </c>
      <c r="G34" t="s">
        <v>67</v>
      </c>
      <c r="H34" s="241" t="s">
        <v>898</v>
      </c>
    </row>
    <row r="35">
      <c r="B35" t="s">
        <v>898</v>
      </c>
      <c r="C35" t="s">
        <v>898</v>
      </c>
      <c r="D35" t="s">
        <v>898</v>
      </c>
      <c r="E35" t="s">
        <v>898</v>
      </c>
      <c r="F35" t="s">
        <v>898</v>
      </c>
      <c r="G35" t="s">
        <v>67</v>
      </c>
      <c r="H35" s="241" t="s">
        <v>898</v>
      </c>
    </row>
    <row r="36">
      <c r="B36" t="s">
        <v>898</v>
      </c>
      <c r="C36" t="s">
        <v>898</v>
      </c>
      <c r="D36" t="s">
        <v>898</v>
      </c>
      <c r="E36" t="s">
        <v>898</v>
      </c>
      <c r="F36" t="s">
        <v>898</v>
      </c>
      <c r="G36" t="s">
        <v>67</v>
      </c>
      <c r="H36" s="241" t="s">
        <v>898</v>
      </c>
    </row>
    <row r="37">
      <c r="B37" t="s">
        <v>898</v>
      </c>
      <c r="C37" t="s">
        <v>898</v>
      </c>
      <c r="D37" t="s">
        <v>898</v>
      </c>
      <c r="E37" t="s">
        <v>898</v>
      </c>
      <c r="F37" t="s">
        <v>898</v>
      </c>
      <c r="G37" t="s">
        <v>67</v>
      </c>
      <c r="H37" s="241" t="s">
        <v>898</v>
      </c>
    </row>
    <row r="38">
      <c r="B38" t="s">
        <v>898</v>
      </c>
      <c r="C38" t="s">
        <v>898</v>
      </c>
      <c r="D38" t="s">
        <v>898</v>
      </c>
      <c r="E38" t="s">
        <v>898</v>
      </c>
      <c r="F38" t="s">
        <v>898</v>
      </c>
      <c r="G38" t="s">
        <v>67</v>
      </c>
      <c r="H38" s="241" t="s">
        <v>898</v>
      </c>
    </row>
    <row r="39">
      <c r="B39" t="s">
        <v>898</v>
      </c>
      <c r="C39" t="s">
        <v>898</v>
      </c>
      <c r="D39" t="s">
        <v>898</v>
      </c>
      <c r="E39" t="s">
        <v>898</v>
      </c>
      <c r="F39" t="s">
        <v>898</v>
      </c>
      <c r="G39" t="s">
        <v>67</v>
      </c>
      <c r="H39" s="241" t="s">
        <v>898</v>
      </c>
    </row>
    <row r="40">
      <c r="B40" t="s">
        <v>898</v>
      </c>
      <c r="C40" t="s">
        <v>898</v>
      </c>
      <c r="D40" t="s">
        <v>898</v>
      </c>
      <c r="E40" t="s">
        <v>898</v>
      </c>
      <c r="F40" t="s">
        <v>898</v>
      </c>
      <c r="G40" t="s">
        <v>67</v>
      </c>
      <c r="H40" s="241" t="s">
        <v>898</v>
      </c>
    </row>
    <row r="41">
      <c r="B41" t="s">
        <v>898</v>
      </c>
      <c r="C41" t="s">
        <v>898</v>
      </c>
      <c r="D41" t="s">
        <v>898</v>
      </c>
      <c r="E41" t="s">
        <v>898</v>
      </c>
      <c r="F41" t="s">
        <v>898</v>
      </c>
      <c r="G41" t="s">
        <v>67</v>
      </c>
      <c r="H41" s="241" t="s">
        <v>898</v>
      </c>
    </row>
    <row r="42">
      <c r="B42" t="s">
        <v>898</v>
      </c>
      <c r="C42" t="s">
        <v>898</v>
      </c>
      <c r="D42" t="s">
        <v>898</v>
      </c>
      <c r="E42" t="s">
        <v>898</v>
      </c>
      <c r="F42" t="s">
        <v>898</v>
      </c>
      <c r="G42" t="s">
        <v>67</v>
      </c>
      <c r="H42" s="241" t="s">
        <v>898</v>
      </c>
    </row>
    <row r="43">
      <c r="B43" t="s">
        <v>898</v>
      </c>
      <c r="C43" t="s">
        <v>898</v>
      </c>
      <c r="D43" t="s">
        <v>898</v>
      </c>
      <c r="E43" t="s">
        <v>898</v>
      </c>
      <c r="F43" t="s">
        <v>898</v>
      </c>
      <c r="G43" t="s">
        <v>67</v>
      </c>
      <c r="H43" s="241" t="s">
        <v>898</v>
      </c>
    </row>
    <row r="44">
      <c r="B44" t="s">
        <v>898</v>
      </c>
      <c r="C44" t="s">
        <v>898</v>
      </c>
      <c r="D44" t="s">
        <v>898</v>
      </c>
      <c r="E44" t="s">
        <v>898</v>
      </c>
      <c r="F44" t="s">
        <v>898</v>
      </c>
      <c r="G44" t="s">
        <v>67</v>
      </c>
      <c r="H44" s="241" t="s">
        <v>898</v>
      </c>
    </row>
    <row r="45">
      <c r="B45" t="s">
        <v>898</v>
      </c>
      <c r="C45" t="s">
        <v>898</v>
      </c>
      <c r="D45" t="s">
        <v>898</v>
      </c>
      <c r="E45" t="s">
        <v>898</v>
      </c>
      <c r="F45" t="s">
        <v>898</v>
      </c>
      <c r="G45" t="s">
        <v>67</v>
      </c>
      <c r="H45" s="241" t="s">
        <v>898</v>
      </c>
    </row>
    <row r="46">
      <c r="B46" t="s">
        <v>898</v>
      </c>
      <c r="C46" t="s">
        <v>898</v>
      </c>
      <c r="D46" t="s">
        <v>898</v>
      </c>
      <c r="E46" t="s">
        <v>898</v>
      </c>
      <c r="F46" t="s">
        <v>898</v>
      </c>
      <c r="G46" t="s">
        <v>67</v>
      </c>
      <c r="H46" s="241" t="s">
        <v>898</v>
      </c>
    </row>
    <row r="47">
      <c r="B47" t="s">
        <v>898</v>
      </c>
      <c r="C47" t="s">
        <v>898</v>
      </c>
      <c r="D47" t="s">
        <v>898</v>
      </c>
      <c r="E47" t="s">
        <v>898</v>
      </c>
      <c r="F47" t="s">
        <v>898</v>
      </c>
      <c r="G47" t="s">
        <v>67</v>
      </c>
      <c r="H47" s="241" t="s">
        <v>898</v>
      </c>
    </row>
    <row r="48">
      <c r="B48" t="s">
        <v>898</v>
      </c>
      <c r="C48" t="s">
        <v>898</v>
      </c>
      <c r="D48" t="s">
        <v>898</v>
      </c>
      <c r="E48" t="s">
        <v>898</v>
      </c>
      <c r="F48" t="s">
        <v>898</v>
      </c>
      <c r="G48" t="s">
        <v>67</v>
      </c>
      <c r="H48" s="241" t="s">
        <v>898</v>
      </c>
    </row>
    <row r="49">
      <c r="B49" t="s">
        <v>898</v>
      </c>
      <c r="C49" t="s">
        <v>898</v>
      </c>
      <c r="D49" t="s">
        <v>898</v>
      </c>
      <c r="E49" t="s">
        <v>898</v>
      </c>
      <c r="F49" t="s">
        <v>898</v>
      </c>
      <c r="G49" t="s">
        <v>67</v>
      </c>
      <c r="H49" s="241" t="s">
        <v>898</v>
      </c>
    </row>
    <row r="50">
      <c r="B50" t="s">
        <v>898</v>
      </c>
      <c r="C50" t="s">
        <v>898</v>
      </c>
      <c r="D50" t="s">
        <v>898</v>
      </c>
      <c r="E50" t="s">
        <v>898</v>
      </c>
      <c r="F50" t="s">
        <v>898</v>
      </c>
      <c r="G50" t="s">
        <v>67</v>
      </c>
      <c r="H50" s="241" t="s">
        <v>898</v>
      </c>
    </row>
    <row r="51">
      <c r="B51" t="s">
        <v>898</v>
      </c>
      <c r="C51" t="s">
        <v>898</v>
      </c>
      <c r="D51" t="s">
        <v>898</v>
      </c>
      <c r="E51" t="s">
        <v>898</v>
      </c>
      <c r="F51" t="s">
        <v>898</v>
      </c>
      <c r="G51" t="s">
        <v>67</v>
      </c>
      <c r="H51" s="241" t="s">
        <v>898</v>
      </c>
    </row>
    <row r="52">
      <c r="B52" t="s">
        <v>898</v>
      </c>
      <c r="C52" t="s">
        <v>898</v>
      </c>
      <c r="D52" t="s">
        <v>898</v>
      </c>
      <c r="E52" t="s">
        <v>898</v>
      </c>
      <c r="F52" t="s">
        <v>898</v>
      </c>
      <c r="G52" t="s">
        <v>67</v>
      </c>
      <c r="H52" s="241" t="s">
        <v>898</v>
      </c>
    </row>
    <row r="53">
      <c r="B53" t="s">
        <v>898</v>
      </c>
      <c r="C53" t="s">
        <v>898</v>
      </c>
      <c r="D53" t="s">
        <v>898</v>
      </c>
      <c r="E53" t="s">
        <v>898</v>
      </c>
      <c r="F53" t="s">
        <v>898</v>
      </c>
      <c r="G53" t="s">
        <v>67</v>
      </c>
      <c r="H53" s="241" t="s">
        <v>898</v>
      </c>
    </row>
    <row r="54">
      <c r="B54" t="s">
        <v>898</v>
      </c>
      <c r="C54" t="s">
        <v>898</v>
      </c>
      <c r="D54" t="s">
        <v>898</v>
      </c>
      <c r="E54" t="s">
        <v>898</v>
      </c>
      <c r="F54" t="s">
        <v>898</v>
      </c>
      <c r="G54" t="s">
        <v>67</v>
      </c>
      <c r="H54" s="241" t="s">
        <v>898</v>
      </c>
    </row>
    <row r="55">
      <c r="B55" t="s">
        <v>898</v>
      </c>
      <c r="C55" t="s">
        <v>898</v>
      </c>
      <c r="D55" t="s">
        <v>898</v>
      </c>
      <c r="E55" t="s">
        <v>898</v>
      </c>
      <c r="F55" t="s">
        <v>898</v>
      </c>
      <c r="G55" t="s">
        <v>67</v>
      </c>
      <c r="H55" s="241" t="s">
        <v>898</v>
      </c>
    </row>
    <row r="56">
      <c r="B56" t="s">
        <v>898</v>
      </c>
      <c r="C56" t="s">
        <v>898</v>
      </c>
      <c r="D56" t="s">
        <v>898</v>
      </c>
      <c r="E56" t="s">
        <v>898</v>
      </c>
      <c r="F56" t="s">
        <v>898</v>
      </c>
      <c r="G56" t="s">
        <v>67</v>
      </c>
      <c r="H56" s="241" t="s">
        <v>898</v>
      </c>
    </row>
    <row r="57">
      <c r="B57" t="s">
        <v>898</v>
      </c>
      <c r="C57" t="s">
        <v>898</v>
      </c>
      <c r="D57" t="s">
        <v>898</v>
      </c>
      <c r="E57" t="s">
        <v>898</v>
      </c>
      <c r="F57" t="s">
        <v>898</v>
      </c>
      <c r="G57" t="s">
        <v>67</v>
      </c>
      <c r="H57" s="241" t="s">
        <v>898</v>
      </c>
    </row>
    <row r="58">
      <c r="B58" t="s">
        <v>898</v>
      </c>
      <c r="C58" t="s">
        <v>898</v>
      </c>
      <c r="D58" t="s">
        <v>898</v>
      </c>
      <c r="E58" t="s">
        <v>898</v>
      </c>
      <c r="F58" t="s">
        <v>898</v>
      </c>
      <c r="G58" t="s">
        <v>67</v>
      </c>
      <c r="H58" s="241" t="s">
        <v>898</v>
      </c>
    </row>
    <row r="59">
      <c r="B59" t="s">
        <v>898</v>
      </c>
      <c r="C59" t="s">
        <v>898</v>
      </c>
      <c r="D59" t="s">
        <v>898</v>
      </c>
      <c r="E59" t="s">
        <v>898</v>
      </c>
      <c r="F59" t="s">
        <v>898</v>
      </c>
      <c r="G59" t="s">
        <v>67</v>
      </c>
      <c r="H59" s="241" t="s">
        <v>898</v>
      </c>
    </row>
    <row r="60">
      <c r="B60" t="s">
        <v>898</v>
      </c>
      <c r="C60" t="s">
        <v>898</v>
      </c>
      <c r="D60" t="s">
        <v>898</v>
      </c>
      <c r="E60" t="s">
        <v>898</v>
      </c>
      <c r="F60" t="s">
        <v>898</v>
      </c>
      <c r="G60" t="s">
        <v>67</v>
      </c>
      <c r="H60" s="241" t="s">
        <v>898</v>
      </c>
    </row>
    <row r="61">
      <c r="B61" t="s">
        <v>898</v>
      </c>
      <c r="C61" t="s">
        <v>898</v>
      </c>
      <c r="D61" t="s">
        <v>898</v>
      </c>
      <c r="E61" t="s">
        <v>898</v>
      </c>
      <c r="F61" t="s">
        <v>898</v>
      </c>
      <c r="G61" t="s">
        <v>67</v>
      </c>
      <c r="H61" s="241" t="s">
        <v>898</v>
      </c>
    </row>
    <row r="62">
      <c r="B62" t="s">
        <v>898</v>
      </c>
      <c r="C62" t="s">
        <v>898</v>
      </c>
      <c r="D62" t="s">
        <v>898</v>
      </c>
      <c r="E62" t="s">
        <v>898</v>
      </c>
      <c r="F62" t="s">
        <v>898</v>
      </c>
      <c r="G62" t="s">
        <v>67</v>
      </c>
      <c r="H62" s="241" t="s">
        <v>898</v>
      </c>
    </row>
    <row r="63">
      <c r="B63" t="s">
        <v>898</v>
      </c>
      <c r="C63" t="s">
        <v>898</v>
      </c>
      <c r="D63" t="s">
        <v>898</v>
      </c>
      <c r="E63" t="s">
        <v>898</v>
      </c>
      <c r="F63" t="s">
        <v>898</v>
      </c>
      <c r="G63" t="s">
        <v>67</v>
      </c>
      <c r="H63" s="241" t="s">
        <v>898</v>
      </c>
    </row>
    <row r="64">
      <c r="B64" t="s">
        <v>898</v>
      </c>
      <c r="C64" t="s">
        <v>898</v>
      </c>
      <c r="D64" t="s">
        <v>898</v>
      </c>
      <c r="E64" t="s">
        <v>898</v>
      </c>
      <c r="F64" t="s">
        <v>898</v>
      </c>
      <c r="G64" t="s">
        <v>67</v>
      </c>
      <c r="H64" s="241" t="s">
        <v>898</v>
      </c>
    </row>
    <row r="65">
      <c r="B65" t="s">
        <v>898</v>
      </c>
      <c r="C65" t="s">
        <v>898</v>
      </c>
      <c r="D65" t="s">
        <v>898</v>
      </c>
      <c r="E65" t="s">
        <v>898</v>
      </c>
      <c r="F65" t="s">
        <v>898</v>
      </c>
      <c r="G65" t="s">
        <v>67</v>
      </c>
      <c r="H65" s="241" t="s">
        <v>898</v>
      </c>
    </row>
    <row r="66">
      <c r="B66" t="s">
        <v>898</v>
      </c>
      <c r="C66" t="s">
        <v>898</v>
      </c>
      <c r="D66" t="s">
        <v>898</v>
      </c>
      <c r="E66" t="s">
        <v>898</v>
      </c>
      <c r="F66" t="s">
        <v>898</v>
      </c>
      <c r="G66" t="s">
        <v>67</v>
      </c>
      <c r="H66" s="241" t="s">
        <v>898</v>
      </c>
    </row>
    <row r="67">
      <c r="B67" t="s">
        <v>898</v>
      </c>
      <c r="C67" t="s">
        <v>898</v>
      </c>
      <c r="D67" t="s">
        <v>898</v>
      </c>
      <c r="E67" t="s">
        <v>898</v>
      </c>
      <c r="F67" t="s">
        <v>898</v>
      </c>
      <c r="G67" t="s">
        <v>67</v>
      </c>
      <c r="H67" s="241" t="s">
        <v>898</v>
      </c>
    </row>
    <row r="68">
      <c r="B68" t="s">
        <v>898</v>
      </c>
      <c r="C68" t="s">
        <v>898</v>
      </c>
      <c r="D68" t="s">
        <v>898</v>
      </c>
      <c r="E68" t="s">
        <v>898</v>
      </c>
      <c r="F68" t="s">
        <v>898</v>
      </c>
      <c r="G68" t="s">
        <v>67</v>
      </c>
      <c r="H68" s="241" t="s">
        <v>898</v>
      </c>
    </row>
    <row r="69">
      <c r="B69" t="s">
        <v>898</v>
      </c>
      <c r="C69" t="s">
        <v>898</v>
      </c>
      <c r="D69" t="s">
        <v>898</v>
      </c>
      <c r="E69" t="s">
        <v>898</v>
      </c>
      <c r="F69" t="s">
        <v>898</v>
      </c>
      <c r="G69" t="s">
        <v>67</v>
      </c>
      <c r="H69" s="241" t="s">
        <v>898</v>
      </c>
    </row>
    <row r="70">
      <c r="B70" t="s">
        <v>898</v>
      </c>
      <c r="C70" t="s">
        <v>898</v>
      </c>
      <c r="D70" t="s">
        <v>898</v>
      </c>
      <c r="E70" t="s">
        <v>898</v>
      </c>
      <c r="F70" t="s">
        <v>898</v>
      </c>
      <c r="G70" t="s">
        <v>67</v>
      </c>
      <c r="H70" s="241" t="s">
        <v>898</v>
      </c>
    </row>
    <row r="71">
      <c r="B71" t="s">
        <v>898</v>
      </c>
      <c r="C71" t="s">
        <v>898</v>
      </c>
      <c r="D71" t="s">
        <v>898</v>
      </c>
      <c r="E71" t="s">
        <v>898</v>
      </c>
      <c r="F71" t="s">
        <v>898</v>
      </c>
      <c r="G71" t="s">
        <v>67</v>
      </c>
      <c r="H71" s="241" t="s">
        <v>898</v>
      </c>
    </row>
    <row r="72">
      <c r="B72" t="s">
        <v>898</v>
      </c>
      <c r="C72" t="s">
        <v>898</v>
      </c>
      <c r="D72" t="s">
        <v>898</v>
      </c>
      <c r="E72" t="s">
        <v>898</v>
      </c>
      <c r="F72" t="s">
        <v>898</v>
      </c>
      <c r="G72" t="s">
        <v>67</v>
      </c>
      <c r="H72" s="241" t="s">
        <v>898</v>
      </c>
    </row>
    <row r="73">
      <c r="B73" t="s">
        <v>898</v>
      </c>
      <c r="C73" t="s">
        <v>898</v>
      </c>
      <c r="D73" t="s">
        <v>898</v>
      </c>
      <c r="E73" t="s">
        <v>898</v>
      </c>
      <c r="F73" t="s">
        <v>898</v>
      </c>
      <c r="G73" t="s">
        <v>67</v>
      </c>
      <c r="H73" s="241" t="s">
        <v>898</v>
      </c>
    </row>
    <row r="74">
      <c r="B74" t="s">
        <v>898</v>
      </c>
      <c r="C74" t="s">
        <v>898</v>
      </c>
      <c r="D74" t="s">
        <v>898</v>
      </c>
      <c r="E74" t="s">
        <v>898</v>
      </c>
      <c r="F74" t="s">
        <v>898</v>
      </c>
      <c r="G74" t="s">
        <v>67</v>
      </c>
      <c r="H74" s="241" t="s">
        <v>898</v>
      </c>
    </row>
    <row r="75">
      <c r="B75" t="s">
        <v>898</v>
      </c>
      <c r="C75" t="s">
        <v>898</v>
      </c>
      <c r="D75" t="s">
        <v>898</v>
      </c>
      <c r="E75" t="s">
        <v>898</v>
      </c>
      <c r="F75" t="s">
        <v>898</v>
      </c>
      <c r="G75" t="s">
        <v>67</v>
      </c>
      <c r="H75" s="241" t="s">
        <v>898</v>
      </c>
    </row>
    <row r="76">
      <c r="B76" t="s">
        <v>898</v>
      </c>
      <c r="C76" t="s">
        <v>898</v>
      </c>
      <c r="D76" t="s">
        <v>898</v>
      </c>
      <c r="E76" t="s">
        <v>898</v>
      </c>
      <c r="F76" t="s">
        <v>898</v>
      </c>
      <c r="G76" t="s">
        <v>67</v>
      </c>
      <c r="H76" s="241" t="s">
        <v>898</v>
      </c>
    </row>
    <row r="77">
      <c r="B77" t="s">
        <v>898</v>
      </c>
      <c r="C77" t="s">
        <v>898</v>
      </c>
      <c r="D77" t="s">
        <v>898</v>
      </c>
      <c r="E77" t="s">
        <v>898</v>
      </c>
      <c r="F77" t="s">
        <v>898</v>
      </c>
      <c r="G77" t="s">
        <v>67</v>
      </c>
      <c r="H77" s="241" t="s">
        <v>898</v>
      </c>
    </row>
    <row r="78">
      <c r="B78" t="s">
        <v>898</v>
      </c>
      <c r="C78" t="s">
        <v>898</v>
      </c>
      <c r="D78" t="s">
        <v>898</v>
      </c>
      <c r="E78" t="s">
        <v>898</v>
      </c>
      <c r="F78" t="s">
        <v>898</v>
      </c>
      <c r="G78" t="s">
        <v>67</v>
      </c>
      <c r="H78" s="241" t="s">
        <v>898</v>
      </c>
    </row>
    <row r="79">
      <c r="B79" t="s">
        <v>898</v>
      </c>
      <c r="C79" t="s">
        <v>898</v>
      </c>
      <c r="D79" t="s">
        <v>898</v>
      </c>
      <c r="E79" t="s">
        <v>898</v>
      </c>
      <c r="F79" t="s">
        <v>898</v>
      </c>
      <c r="G79" t="s">
        <v>67</v>
      </c>
      <c r="H79" s="241" t="s">
        <v>898</v>
      </c>
    </row>
    <row r="80">
      <c r="B80" t="s">
        <v>898</v>
      </c>
      <c r="C80" t="s">
        <v>898</v>
      </c>
      <c r="D80" t="s">
        <v>898</v>
      </c>
      <c r="E80" t="s">
        <v>898</v>
      </c>
      <c r="F80" t="s">
        <v>898</v>
      </c>
      <c r="G80" t="s">
        <v>67</v>
      </c>
      <c r="H80" t="s">
        <v>898</v>
      </c>
    </row>
    <row r="81">
      <c r="B81" t="s">
        <v>898</v>
      </c>
      <c r="C81" t="s">
        <v>898</v>
      </c>
      <c r="D81" t="s">
        <v>898</v>
      </c>
      <c r="E81" t="s">
        <v>898</v>
      </c>
      <c r="F81" t="s">
        <v>898</v>
      </c>
      <c r="G81" t="s">
        <v>67</v>
      </c>
      <c r="H81" t="s">
        <v>898</v>
      </c>
    </row>
    <row r="82">
      <c r="B82" t="s">
        <v>898</v>
      </c>
      <c r="C82" t="s">
        <v>898</v>
      </c>
      <c r="D82" t="s">
        <v>898</v>
      </c>
      <c r="E82" t="s">
        <v>898</v>
      </c>
      <c r="F82" t="s">
        <v>898</v>
      </c>
      <c r="G82" t="s">
        <v>67</v>
      </c>
      <c r="H82" t="s">
        <v>898</v>
      </c>
    </row>
    <row r="83">
      <c r="B83" t="s">
        <v>898</v>
      </c>
      <c r="C83" t="s">
        <v>898</v>
      </c>
      <c r="D83" t="s">
        <v>898</v>
      </c>
      <c r="E83" t="s">
        <v>898</v>
      </c>
      <c r="F83" t="s">
        <v>898</v>
      </c>
      <c r="G83" t="s">
        <v>67</v>
      </c>
      <c r="H83" t="s">
        <v>898</v>
      </c>
    </row>
    <row r="84">
      <c r="B84" t="s">
        <v>898</v>
      </c>
      <c r="C84" t="s">
        <v>898</v>
      </c>
      <c r="D84" t="s">
        <v>898</v>
      </c>
      <c r="E84" t="s">
        <v>898</v>
      </c>
      <c r="F84" t="s">
        <v>898</v>
      </c>
      <c r="G84" t="s">
        <v>67</v>
      </c>
      <c r="H84" t="s">
        <v>898</v>
      </c>
    </row>
    <row r="85">
      <c r="B85" t="s">
        <v>898</v>
      </c>
      <c r="C85" t="s">
        <v>898</v>
      </c>
      <c r="D85" t="s">
        <v>898</v>
      </c>
      <c r="E85" t="s">
        <v>898</v>
      </c>
      <c r="F85" t="s">
        <v>898</v>
      </c>
      <c r="G85" t="s">
        <v>67</v>
      </c>
      <c r="H85" t="s">
        <v>898</v>
      </c>
    </row>
    <row r="86">
      <c r="B86" t="s">
        <v>898</v>
      </c>
      <c r="C86" t="s">
        <v>898</v>
      </c>
      <c r="D86" t="s">
        <v>898</v>
      </c>
      <c r="E86" t="s">
        <v>898</v>
      </c>
      <c r="F86" t="s">
        <v>898</v>
      </c>
      <c r="G86" t="s">
        <v>67</v>
      </c>
      <c r="H86" t="s">
        <v>898</v>
      </c>
    </row>
    <row r="87">
      <c r="B87" t="s">
        <v>898</v>
      </c>
      <c r="C87" t="s">
        <v>898</v>
      </c>
      <c r="D87" t="s">
        <v>898</v>
      </c>
      <c r="E87" t="s">
        <v>898</v>
      </c>
      <c r="F87" t="s">
        <v>898</v>
      </c>
      <c r="G87" t="s">
        <v>67</v>
      </c>
      <c r="H87" t="s">
        <v>898</v>
      </c>
    </row>
    <row r="88">
      <c r="B88" t="s">
        <v>898</v>
      </c>
      <c r="C88" t="s">
        <v>898</v>
      </c>
      <c r="D88" t="s">
        <v>898</v>
      </c>
      <c r="E88" t="s">
        <v>898</v>
      </c>
      <c r="F88" t="s">
        <v>898</v>
      </c>
      <c r="G88" t="s">
        <v>67</v>
      </c>
      <c r="H88" t="s">
        <v>898</v>
      </c>
    </row>
    <row r="89">
      <c r="B89" t="s">
        <v>898</v>
      </c>
      <c r="C89" t="s">
        <v>898</v>
      </c>
      <c r="D89" t="s">
        <v>898</v>
      </c>
      <c r="E89" t="s">
        <v>898</v>
      </c>
      <c r="F89" t="s">
        <v>898</v>
      </c>
      <c r="G89" t="s">
        <v>67</v>
      </c>
      <c r="H89" t="s">
        <v>898</v>
      </c>
    </row>
    <row r="90">
      <c r="B90" t="s">
        <v>898</v>
      </c>
      <c r="C90" t="s">
        <v>898</v>
      </c>
      <c r="D90" t="s">
        <v>898</v>
      </c>
      <c r="E90" t="s">
        <v>898</v>
      </c>
      <c r="F90" t="s">
        <v>898</v>
      </c>
      <c r="G90" t="s">
        <v>67</v>
      </c>
      <c r="H90" t="s">
        <v>898</v>
      </c>
    </row>
    <row r="91">
      <c r="B91" t="s">
        <v>898</v>
      </c>
      <c r="C91" t="s">
        <v>898</v>
      </c>
      <c r="D91" t="s">
        <v>898</v>
      </c>
      <c r="E91" t="s">
        <v>898</v>
      </c>
      <c r="F91" t="s">
        <v>898</v>
      </c>
      <c r="G91" t="s">
        <v>67</v>
      </c>
      <c r="H91" t="s">
        <v>898</v>
      </c>
    </row>
    <row r="92">
      <c r="B92" t="s">
        <v>898</v>
      </c>
      <c r="C92" t="s">
        <v>898</v>
      </c>
      <c r="D92" t="s">
        <v>898</v>
      </c>
      <c r="E92" t="s">
        <v>898</v>
      </c>
      <c r="F92" t="s">
        <v>898</v>
      </c>
      <c r="G92" t="s">
        <v>67</v>
      </c>
      <c r="H92" t="s">
        <v>898</v>
      </c>
    </row>
    <row r="93">
      <c r="B93" t="s">
        <v>898</v>
      </c>
      <c r="C93" t="s">
        <v>898</v>
      </c>
      <c r="D93" t="s">
        <v>898</v>
      </c>
      <c r="E93" t="s">
        <v>898</v>
      </c>
      <c r="F93" t="s">
        <v>898</v>
      </c>
      <c r="G93" t="s">
        <v>67</v>
      </c>
      <c r="H93" t="s">
        <v>898</v>
      </c>
    </row>
    <row r="94">
      <c r="B94" t="s">
        <v>898</v>
      </c>
      <c r="C94" t="s">
        <v>898</v>
      </c>
      <c r="D94" t="s">
        <v>898</v>
      </c>
      <c r="E94" t="s">
        <v>898</v>
      </c>
      <c r="F94" t="s">
        <v>898</v>
      </c>
      <c r="G94" t="s">
        <v>67</v>
      </c>
      <c r="H94" t="s">
        <v>898</v>
      </c>
    </row>
    <row r="95">
      <c r="B95" t="s">
        <v>898</v>
      </c>
      <c r="C95" t="s">
        <v>898</v>
      </c>
      <c r="D95" t="s">
        <v>898</v>
      </c>
      <c r="E95" t="s">
        <v>898</v>
      </c>
      <c r="F95" t="s">
        <v>898</v>
      </c>
      <c r="G95" t="s">
        <v>67</v>
      </c>
      <c r="H95" t="s">
        <v>898</v>
      </c>
    </row>
    <row r="96">
      <c r="B96" t="s">
        <v>898</v>
      </c>
      <c r="C96" t="s">
        <v>898</v>
      </c>
      <c r="D96" t="s">
        <v>898</v>
      </c>
      <c r="E96" t="s">
        <v>898</v>
      </c>
      <c r="F96" t="s">
        <v>898</v>
      </c>
      <c r="G96" t="s">
        <v>67</v>
      </c>
      <c r="H96" t="s">
        <v>898</v>
      </c>
    </row>
    <row r="97">
      <c r="B97" t="s">
        <v>898</v>
      </c>
      <c r="C97" t="s">
        <v>898</v>
      </c>
      <c r="D97" t="s">
        <v>898</v>
      </c>
      <c r="E97" t="s">
        <v>898</v>
      </c>
      <c r="F97" t="s">
        <v>898</v>
      </c>
      <c r="G97" t="s">
        <v>67</v>
      </c>
      <c r="H97" t="s">
        <v>898</v>
      </c>
    </row>
    <row r="98">
      <c r="B98" t="s">
        <v>898</v>
      </c>
      <c r="C98" t="s">
        <v>898</v>
      </c>
      <c r="D98" t="s">
        <v>898</v>
      </c>
      <c r="E98" t="s">
        <v>898</v>
      </c>
      <c r="F98" t="s">
        <v>898</v>
      </c>
      <c r="G98" t="s">
        <v>67</v>
      </c>
      <c r="H98" t="s">
        <v>898</v>
      </c>
    </row>
    <row r="99">
      <c r="B99" t="s">
        <v>898</v>
      </c>
      <c r="C99" t="s">
        <v>898</v>
      </c>
      <c r="D99" t="s">
        <v>898</v>
      </c>
      <c r="E99" t="s">
        <v>898</v>
      </c>
      <c r="F99" t="s">
        <v>898</v>
      </c>
      <c r="G99" t="s">
        <v>67</v>
      </c>
      <c r="H99" t="s">
        <v>898</v>
      </c>
    </row>
    <row r="100">
      <c r="B100" t="s">
        <v>898</v>
      </c>
      <c r="C100" t="s">
        <v>898</v>
      </c>
      <c r="D100" t="s">
        <v>898</v>
      </c>
      <c r="E100" t="s">
        <v>898</v>
      </c>
      <c r="F100" t="s">
        <v>898</v>
      </c>
      <c r="G100" t="s">
        <v>67</v>
      </c>
      <c r="H100" t="s">
        <v>898</v>
      </c>
    </row>
    <row r="101">
      <c r="B101" t="s">
        <v>898</v>
      </c>
      <c r="C101" t="s">
        <v>898</v>
      </c>
      <c r="D101" t="s">
        <v>898</v>
      </c>
      <c r="E101" t="s">
        <v>898</v>
      </c>
      <c r="F101" t="s">
        <v>898</v>
      </c>
      <c r="G101" t="s">
        <v>67</v>
      </c>
      <c r="H101" t="s">
        <v>898</v>
      </c>
    </row>
    <row r="102">
      <c r="B102" t="s">
        <v>898</v>
      </c>
      <c r="C102" t="s">
        <v>898</v>
      </c>
      <c r="D102" t="s">
        <v>898</v>
      </c>
      <c r="E102" t="s">
        <v>898</v>
      </c>
      <c r="F102" t="s">
        <v>898</v>
      </c>
      <c r="G102" t="s">
        <v>67</v>
      </c>
      <c r="H102" t="s">
        <v>898</v>
      </c>
    </row>
    <row r="103">
      <c r="B103" t="s">
        <v>898</v>
      </c>
      <c r="C103" t="s">
        <v>898</v>
      </c>
      <c r="D103" t="s">
        <v>898</v>
      </c>
      <c r="E103" t="s">
        <v>898</v>
      </c>
      <c r="F103" t="s">
        <v>898</v>
      </c>
      <c r="G103" t="s">
        <v>67</v>
      </c>
      <c r="H103" t="s">
        <v>898</v>
      </c>
    </row>
    <row r="104">
      <c r="B104" t="s">
        <v>898</v>
      </c>
      <c r="C104" t="s">
        <v>898</v>
      </c>
      <c r="D104" t="s">
        <v>898</v>
      </c>
      <c r="E104" t="s">
        <v>898</v>
      </c>
      <c r="F104" t="s">
        <v>898</v>
      </c>
      <c r="G104" t="s">
        <v>67</v>
      </c>
      <c r="H104" t="s">
        <v>898</v>
      </c>
    </row>
    <row r="105">
      <c r="B105" t="s">
        <v>898</v>
      </c>
      <c r="C105" t="s">
        <v>898</v>
      </c>
      <c r="D105" t="s">
        <v>898</v>
      </c>
      <c r="E105" t="s">
        <v>898</v>
      </c>
      <c r="F105" t="s">
        <v>898</v>
      </c>
      <c r="G105" t="s">
        <v>67</v>
      </c>
      <c r="H105" t="s">
        <v>898</v>
      </c>
    </row>
    <row r="106">
      <c r="B106" t="s">
        <v>898</v>
      </c>
      <c r="C106" t="s">
        <v>898</v>
      </c>
      <c r="D106" t="s">
        <v>898</v>
      </c>
      <c r="E106" t="s">
        <v>898</v>
      </c>
      <c r="F106" t="s">
        <v>898</v>
      </c>
      <c r="G106" t="s">
        <v>67</v>
      </c>
      <c r="H106" t="s">
        <v>898</v>
      </c>
    </row>
    <row r="107">
      <c r="B107" t="s">
        <v>898</v>
      </c>
      <c r="C107" t="s">
        <v>898</v>
      </c>
      <c r="D107" t="s">
        <v>898</v>
      </c>
      <c r="E107" t="s">
        <v>898</v>
      </c>
      <c r="F107" t="s">
        <v>898</v>
      </c>
      <c r="G107" t="s">
        <v>67</v>
      </c>
      <c r="H107" t="s">
        <v>898</v>
      </c>
    </row>
    <row r="108">
      <c r="B108" t="s">
        <v>898</v>
      </c>
      <c r="C108" t="s">
        <v>898</v>
      </c>
      <c r="D108" t="s">
        <v>898</v>
      </c>
      <c r="E108" t="s">
        <v>898</v>
      </c>
      <c r="F108" t="s">
        <v>898</v>
      </c>
      <c r="G108" t="s">
        <v>67</v>
      </c>
      <c r="H108" t="s">
        <v>898</v>
      </c>
    </row>
    <row r="109">
      <c r="B109" t="s">
        <v>898</v>
      </c>
      <c r="C109" t="s">
        <v>898</v>
      </c>
      <c r="D109" t="s">
        <v>898</v>
      </c>
      <c r="E109" t="s">
        <v>898</v>
      </c>
      <c r="F109" t="s">
        <v>898</v>
      </c>
      <c r="G109" t="s">
        <v>67</v>
      </c>
      <c r="H109" t="s">
        <v>898</v>
      </c>
    </row>
    <row r="110">
      <c r="B110" t="s">
        <v>898</v>
      </c>
      <c r="C110" t="s">
        <v>898</v>
      </c>
      <c r="D110" t="s">
        <v>898</v>
      </c>
      <c r="E110" t="s">
        <v>898</v>
      </c>
      <c r="F110" t="s">
        <v>898</v>
      </c>
      <c r="G110" t="s">
        <v>67</v>
      </c>
      <c r="H110" t="s">
        <v>898</v>
      </c>
    </row>
    <row r="111">
      <c r="B111" t="s">
        <v>898</v>
      </c>
      <c r="C111" t="s">
        <v>898</v>
      </c>
      <c r="D111" t="s">
        <v>898</v>
      </c>
      <c r="E111" t="s">
        <v>898</v>
      </c>
      <c r="F111" t="s">
        <v>898</v>
      </c>
      <c r="G111" t="s">
        <v>67</v>
      </c>
      <c r="H111" t="s">
        <v>898</v>
      </c>
    </row>
    <row r="112">
      <c r="B112" t="s">
        <v>898</v>
      </c>
      <c r="C112" t="s">
        <v>898</v>
      </c>
      <c r="D112" t="s">
        <v>898</v>
      </c>
      <c r="E112" t="s">
        <v>898</v>
      </c>
      <c r="F112" t="s">
        <v>898</v>
      </c>
      <c r="G112" t="s">
        <v>67</v>
      </c>
      <c r="H112" t="s">
        <v>898</v>
      </c>
    </row>
    <row r="113">
      <c r="B113" t="s">
        <v>898</v>
      </c>
      <c r="C113" t="s">
        <v>898</v>
      </c>
      <c r="D113" t="s">
        <v>898</v>
      </c>
      <c r="E113" t="s">
        <v>898</v>
      </c>
      <c r="F113" t="s">
        <v>898</v>
      </c>
      <c r="G113" t="s">
        <v>67</v>
      </c>
      <c r="H113" t="s">
        <v>898</v>
      </c>
    </row>
    <row r="114">
      <c r="B114" t="s">
        <v>898</v>
      </c>
      <c r="C114" t="s">
        <v>898</v>
      </c>
      <c r="D114" t="s">
        <v>898</v>
      </c>
      <c r="E114" t="s">
        <v>898</v>
      </c>
      <c r="F114" t="s">
        <v>898</v>
      </c>
      <c r="G114" t="s">
        <v>67</v>
      </c>
      <c r="H114" t="s">
        <v>898</v>
      </c>
    </row>
    <row r="115">
      <c r="B115" t="s">
        <v>898</v>
      </c>
      <c r="C115" t="s">
        <v>898</v>
      </c>
      <c r="D115" t="s">
        <v>898</v>
      </c>
      <c r="E115" t="s">
        <v>898</v>
      </c>
      <c r="F115" t="s">
        <v>898</v>
      </c>
      <c r="G115" t="s">
        <v>67</v>
      </c>
      <c r="H115" t="s">
        <v>898</v>
      </c>
    </row>
    <row r="116">
      <c r="B116" t="s">
        <v>898</v>
      </c>
      <c r="C116" t="s">
        <v>898</v>
      </c>
      <c r="D116" t="s">
        <v>898</v>
      </c>
      <c r="E116" t="s">
        <v>898</v>
      </c>
      <c r="F116" t="s">
        <v>898</v>
      </c>
      <c r="G116" t="s">
        <v>67</v>
      </c>
      <c r="H116" t="s">
        <v>898</v>
      </c>
    </row>
    <row r="117">
      <c r="B117" t="s">
        <v>898</v>
      </c>
      <c r="C117" t="s">
        <v>898</v>
      </c>
      <c r="D117" t="s">
        <v>898</v>
      </c>
      <c r="E117" t="s">
        <v>898</v>
      </c>
      <c r="F117" t="s">
        <v>898</v>
      </c>
      <c r="G117" t="s">
        <v>67</v>
      </c>
      <c r="H117" t="s">
        <v>898</v>
      </c>
    </row>
    <row r="118">
      <c r="B118" t="s">
        <v>898</v>
      </c>
      <c r="C118" t="s">
        <v>898</v>
      </c>
      <c r="D118" t="s">
        <v>898</v>
      </c>
      <c r="E118" t="s">
        <v>898</v>
      </c>
      <c r="F118" t="s">
        <v>898</v>
      </c>
      <c r="G118" t="s">
        <v>67</v>
      </c>
      <c r="H118" t="s">
        <v>898</v>
      </c>
    </row>
    <row r="119">
      <c r="B119" t="s">
        <v>898</v>
      </c>
      <c r="C119" t="s">
        <v>898</v>
      </c>
      <c r="D119" t="s">
        <v>898</v>
      </c>
      <c r="E119" t="s">
        <v>898</v>
      </c>
      <c r="F119" t="s">
        <v>898</v>
      </c>
      <c r="G119" t="s">
        <v>67</v>
      </c>
      <c r="H119" t="s">
        <v>898</v>
      </c>
    </row>
    <row r="120">
      <c r="B120" t="s">
        <v>898</v>
      </c>
      <c r="C120" t="s">
        <v>898</v>
      </c>
      <c r="D120" t="s">
        <v>898</v>
      </c>
      <c r="E120" t="s">
        <v>898</v>
      </c>
      <c r="F120" t="s">
        <v>898</v>
      </c>
      <c r="G120" t="s">
        <v>67</v>
      </c>
      <c r="H120" t="s">
        <v>898</v>
      </c>
    </row>
    <row r="121">
      <c r="B121" t="s">
        <v>898</v>
      </c>
      <c r="C121" t="s">
        <v>898</v>
      </c>
      <c r="D121" t="s">
        <v>898</v>
      </c>
      <c r="E121" t="s">
        <v>898</v>
      </c>
      <c r="F121" t="s">
        <v>898</v>
      </c>
      <c r="G121" t="s">
        <v>67</v>
      </c>
      <c r="H121" t="s">
        <v>898</v>
      </c>
    </row>
    <row r="122">
      <c r="B122" t="s">
        <v>898</v>
      </c>
      <c r="C122" t="s">
        <v>898</v>
      </c>
      <c r="D122" t="s">
        <v>898</v>
      </c>
      <c r="E122" t="s">
        <v>898</v>
      </c>
      <c r="F122" t="s">
        <v>898</v>
      </c>
      <c r="G122" t="s">
        <v>67</v>
      </c>
      <c r="H122" t="s">
        <v>898</v>
      </c>
    </row>
    <row r="123">
      <c r="B123" t="s">
        <v>898</v>
      </c>
      <c r="C123" t="s">
        <v>898</v>
      </c>
      <c r="D123" t="s">
        <v>898</v>
      </c>
      <c r="E123" t="s">
        <v>898</v>
      </c>
      <c r="F123" t="s">
        <v>898</v>
      </c>
      <c r="G123" t="s">
        <v>67</v>
      </c>
      <c r="H123" t="s">
        <v>898</v>
      </c>
    </row>
    <row r="124">
      <c r="B124" t="s">
        <v>898</v>
      </c>
      <c r="C124" t="s">
        <v>898</v>
      </c>
      <c r="D124" t="s">
        <v>898</v>
      </c>
      <c r="E124" t="s">
        <v>898</v>
      </c>
      <c r="F124" t="s">
        <v>898</v>
      </c>
      <c r="G124" t="s">
        <v>67</v>
      </c>
      <c r="H124" t="s">
        <v>898</v>
      </c>
    </row>
    <row r="125">
      <c r="B125" t="s">
        <v>898</v>
      </c>
      <c r="C125" t="s">
        <v>898</v>
      </c>
      <c r="D125" t="s">
        <v>898</v>
      </c>
      <c r="E125" t="s">
        <v>898</v>
      </c>
      <c r="F125" t="s">
        <v>898</v>
      </c>
      <c r="G125" t="s">
        <v>67</v>
      </c>
      <c r="H125" t="s">
        <v>898</v>
      </c>
    </row>
    <row r="126">
      <c r="B126" t="s">
        <v>898</v>
      </c>
      <c r="C126" t="s">
        <v>898</v>
      </c>
      <c r="D126" t="s">
        <v>898</v>
      </c>
      <c r="E126" t="s">
        <v>898</v>
      </c>
      <c r="F126" t="s">
        <v>898</v>
      </c>
      <c r="G126" t="s">
        <v>67</v>
      </c>
      <c r="H126" t="s">
        <v>898</v>
      </c>
    </row>
    <row r="127">
      <c r="B127" t="s">
        <v>898</v>
      </c>
      <c r="C127" t="s">
        <v>898</v>
      </c>
      <c r="D127" t="s">
        <v>898</v>
      </c>
      <c r="E127" t="s">
        <v>898</v>
      </c>
      <c r="F127" t="s">
        <v>898</v>
      </c>
      <c r="G127" t="s">
        <v>67</v>
      </c>
      <c r="H127" t="s">
        <v>898</v>
      </c>
    </row>
    <row r="128">
      <c r="B128" t="s">
        <v>898</v>
      </c>
      <c r="C128" t="s">
        <v>898</v>
      </c>
      <c r="D128" t="s">
        <v>898</v>
      </c>
      <c r="E128" t="s">
        <v>898</v>
      </c>
      <c r="F128" t="s">
        <v>898</v>
      </c>
      <c r="G128" t="s">
        <v>67</v>
      </c>
      <c r="H128" t="s">
        <v>898</v>
      </c>
    </row>
    <row r="129">
      <c r="B129" t="s">
        <v>898</v>
      </c>
      <c r="C129" t="s">
        <v>898</v>
      </c>
      <c r="D129" t="s">
        <v>898</v>
      </c>
      <c r="E129" t="s">
        <v>898</v>
      </c>
      <c r="F129" t="s">
        <v>898</v>
      </c>
      <c r="G129" t="s">
        <v>67</v>
      </c>
      <c r="H129" t="s">
        <v>898</v>
      </c>
    </row>
    <row r="130">
      <c r="B130" t="s">
        <v>898</v>
      </c>
      <c r="C130" t="s">
        <v>898</v>
      </c>
      <c r="D130" t="s">
        <v>898</v>
      </c>
      <c r="E130" t="s">
        <v>898</v>
      </c>
      <c r="F130" t="s">
        <v>898</v>
      </c>
      <c r="G130" t="s">
        <v>67</v>
      </c>
      <c r="H130" t="s">
        <v>898</v>
      </c>
    </row>
    <row r="131">
      <c r="B131" t="s">
        <v>898</v>
      </c>
      <c r="C131" t="s">
        <v>898</v>
      </c>
      <c r="D131" t="s">
        <v>898</v>
      </c>
      <c r="E131" t="s">
        <v>898</v>
      </c>
      <c r="F131" t="s">
        <v>898</v>
      </c>
      <c r="G131" t="s">
        <v>67</v>
      </c>
      <c r="H131" t="s">
        <v>898</v>
      </c>
    </row>
    <row r="132">
      <c r="B132" t="s">
        <v>898</v>
      </c>
      <c r="C132" t="s">
        <v>898</v>
      </c>
      <c r="D132" t="s">
        <v>898</v>
      </c>
      <c r="E132" t="s">
        <v>898</v>
      </c>
      <c r="F132" t="s">
        <v>898</v>
      </c>
      <c r="G132" t="s">
        <v>67</v>
      </c>
      <c r="H132" t="s">
        <v>898</v>
      </c>
    </row>
    <row r="133">
      <c r="B133" t="s">
        <v>898</v>
      </c>
      <c r="C133" t="s">
        <v>898</v>
      </c>
      <c r="D133" t="s">
        <v>898</v>
      </c>
      <c r="E133" t="s">
        <v>898</v>
      </c>
      <c r="F133" t="s">
        <v>898</v>
      </c>
      <c r="G133" t="s">
        <v>67</v>
      </c>
      <c r="H133" t="s">
        <v>898</v>
      </c>
    </row>
    <row r="134">
      <c r="B134" t="s">
        <v>898</v>
      </c>
      <c r="C134" t="s">
        <v>898</v>
      </c>
      <c r="D134" t="s">
        <v>898</v>
      </c>
      <c r="E134" t="s">
        <v>898</v>
      </c>
      <c r="F134" t="s">
        <v>898</v>
      </c>
      <c r="G134" t="s">
        <v>67</v>
      </c>
      <c r="H134" t="s">
        <v>898</v>
      </c>
    </row>
    <row r="135">
      <c r="B135" t="s">
        <v>898</v>
      </c>
      <c r="C135" t="s">
        <v>898</v>
      </c>
      <c r="D135" t="s">
        <v>898</v>
      </c>
      <c r="E135" t="s">
        <v>898</v>
      </c>
      <c r="F135" t="s">
        <v>898</v>
      </c>
      <c r="G135" t="s">
        <v>67</v>
      </c>
      <c r="H135" t="s">
        <v>898</v>
      </c>
    </row>
    <row r="136">
      <c r="B136" t="s">
        <v>898</v>
      </c>
      <c r="C136" t="s">
        <v>898</v>
      </c>
      <c r="D136" t="s">
        <v>898</v>
      </c>
      <c r="E136" t="s">
        <v>898</v>
      </c>
      <c r="F136" t="s">
        <v>898</v>
      </c>
      <c r="G136" t="s">
        <v>67</v>
      </c>
      <c r="H136" t="s">
        <v>898</v>
      </c>
    </row>
    <row r="137">
      <c r="B137" t="s">
        <v>898</v>
      </c>
      <c r="C137" t="s">
        <v>898</v>
      </c>
      <c r="D137" t="s">
        <v>898</v>
      </c>
      <c r="E137" t="s">
        <v>898</v>
      </c>
      <c r="F137" t="s">
        <v>898</v>
      </c>
      <c r="G137" t="s">
        <v>67</v>
      </c>
      <c r="H137" t="s">
        <v>898</v>
      </c>
    </row>
    <row r="138">
      <c r="B138" t="s">
        <v>898</v>
      </c>
      <c r="C138" t="s">
        <v>898</v>
      </c>
      <c r="D138" t="s">
        <v>898</v>
      </c>
      <c r="E138" t="s">
        <v>898</v>
      </c>
      <c r="F138" t="s">
        <v>898</v>
      </c>
      <c r="G138" t="s">
        <v>67</v>
      </c>
      <c r="H138" t="s">
        <v>898</v>
      </c>
    </row>
    <row r="139">
      <c r="B139" t="s">
        <v>898</v>
      </c>
      <c r="C139" t="s">
        <v>898</v>
      </c>
      <c r="D139" t="s">
        <v>898</v>
      </c>
      <c r="E139" t="s">
        <v>898</v>
      </c>
      <c r="F139" t="s">
        <v>898</v>
      </c>
      <c r="G139" t="s">
        <v>67</v>
      </c>
      <c r="H139" t="s">
        <v>898</v>
      </c>
    </row>
    <row r="140">
      <c r="B140" t="s">
        <v>898</v>
      </c>
      <c r="C140" t="s">
        <v>898</v>
      </c>
      <c r="D140" t="s">
        <v>898</v>
      </c>
      <c r="E140" t="s">
        <v>898</v>
      </c>
      <c r="F140" t="s">
        <v>898</v>
      </c>
      <c r="G140" t="s">
        <v>67</v>
      </c>
      <c r="H140" t="s">
        <v>898</v>
      </c>
    </row>
    <row r="141">
      <c r="B141" t="s">
        <v>898</v>
      </c>
      <c r="C141" t="s">
        <v>898</v>
      </c>
      <c r="D141" t="s">
        <v>898</v>
      </c>
      <c r="E141" t="s">
        <v>898</v>
      </c>
      <c r="F141" t="s">
        <v>898</v>
      </c>
      <c r="G141" t="s">
        <v>67</v>
      </c>
      <c r="H141" t="s">
        <v>898</v>
      </c>
    </row>
    <row r="142">
      <c r="B142" t="s">
        <v>898</v>
      </c>
      <c r="C142" t="s">
        <v>898</v>
      </c>
      <c r="D142" t="s">
        <v>898</v>
      </c>
      <c r="E142" t="s">
        <v>898</v>
      </c>
      <c r="F142" t="s">
        <v>898</v>
      </c>
      <c r="G142" t="s">
        <v>67</v>
      </c>
      <c r="H142" t="s">
        <v>898</v>
      </c>
    </row>
    <row r="143">
      <c r="B143" t="s">
        <v>898</v>
      </c>
      <c r="C143" t="s">
        <v>898</v>
      </c>
      <c r="D143" t="s">
        <v>898</v>
      </c>
      <c r="E143" t="s">
        <v>898</v>
      </c>
      <c r="F143" t="s">
        <v>898</v>
      </c>
      <c r="G143" t="s">
        <v>67</v>
      </c>
      <c r="H143" t="s">
        <v>898</v>
      </c>
    </row>
    <row r="144">
      <c r="B144" t="s">
        <v>898</v>
      </c>
      <c r="C144" t="s">
        <v>898</v>
      </c>
      <c r="D144" t="s">
        <v>898</v>
      </c>
      <c r="E144" t="s">
        <v>898</v>
      </c>
      <c r="F144" t="s">
        <v>898</v>
      </c>
      <c r="G144" t="s">
        <v>67</v>
      </c>
      <c r="H144" t="s">
        <v>898</v>
      </c>
    </row>
    <row r="145">
      <c r="B145" t="s">
        <v>898</v>
      </c>
      <c r="C145" t="s">
        <v>898</v>
      </c>
      <c r="D145" t="s">
        <v>898</v>
      </c>
      <c r="E145" t="s">
        <v>898</v>
      </c>
      <c r="F145" t="s">
        <v>898</v>
      </c>
      <c r="G145" t="s">
        <v>67</v>
      </c>
      <c r="H145" t="s">
        <v>898</v>
      </c>
    </row>
    <row r="146">
      <c r="B146" t="s">
        <v>898</v>
      </c>
      <c r="C146" t="s">
        <v>898</v>
      </c>
      <c r="D146" t="s">
        <v>898</v>
      </c>
      <c r="E146" t="s">
        <v>898</v>
      </c>
      <c r="F146" t="s">
        <v>898</v>
      </c>
      <c r="G146" t="s">
        <v>67</v>
      </c>
      <c r="H146" t="s">
        <v>898</v>
      </c>
    </row>
    <row r="147">
      <c r="B147" t="s">
        <v>898</v>
      </c>
      <c r="C147" t="s">
        <v>898</v>
      </c>
      <c r="D147" t="s">
        <v>898</v>
      </c>
      <c r="E147" t="s">
        <v>898</v>
      </c>
      <c r="F147" t="s">
        <v>898</v>
      </c>
      <c r="G147" t="s">
        <v>67</v>
      </c>
      <c r="H147" t="s">
        <v>898</v>
      </c>
    </row>
    <row r="148">
      <c r="B148" t="s">
        <v>898</v>
      </c>
      <c r="C148" t="s">
        <v>898</v>
      </c>
      <c r="D148" t="s">
        <v>898</v>
      </c>
      <c r="E148" t="s">
        <v>898</v>
      </c>
      <c r="F148" t="s">
        <v>898</v>
      </c>
      <c r="G148" t="s">
        <v>67</v>
      </c>
      <c r="H148" t="s">
        <v>898</v>
      </c>
    </row>
    <row r="149">
      <c r="B149" t="s">
        <v>898</v>
      </c>
      <c r="C149" t="s">
        <v>898</v>
      </c>
      <c r="D149" t="s">
        <v>898</v>
      </c>
      <c r="E149" t="s">
        <v>898</v>
      </c>
      <c r="F149" t="s">
        <v>898</v>
      </c>
      <c r="G149" t="s">
        <v>67</v>
      </c>
      <c r="H149" t="s">
        <v>898</v>
      </c>
    </row>
    <row r="150">
      <c r="B150" t="s">
        <v>898</v>
      </c>
      <c r="C150" t="s">
        <v>898</v>
      </c>
      <c r="D150" t="s">
        <v>898</v>
      </c>
      <c r="E150" t="s">
        <v>898</v>
      </c>
      <c r="F150" t="s">
        <v>898</v>
      </c>
      <c r="G150" t="s">
        <v>67</v>
      </c>
      <c r="H150" t="s">
        <v>898</v>
      </c>
    </row>
    <row r="151">
      <c r="B151" t="s">
        <v>898</v>
      </c>
      <c r="C151" t="s">
        <v>898</v>
      </c>
      <c r="D151" t="s">
        <v>898</v>
      </c>
      <c r="E151" t="s">
        <v>898</v>
      </c>
      <c r="F151" t="s">
        <v>898</v>
      </c>
      <c r="G151" t="s">
        <v>67</v>
      </c>
      <c r="H151" t="s">
        <v>898</v>
      </c>
    </row>
    <row r="152">
      <c r="B152" t="s">
        <v>898</v>
      </c>
      <c r="C152" t="s">
        <v>898</v>
      </c>
      <c r="D152" t="s">
        <v>898</v>
      </c>
      <c r="E152" t="s">
        <v>898</v>
      </c>
      <c r="F152" t="s">
        <v>898</v>
      </c>
      <c r="G152" t="s">
        <v>67</v>
      </c>
      <c r="H152" t="s">
        <v>898</v>
      </c>
    </row>
    <row r="153">
      <c r="B153" t="s">
        <v>898</v>
      </c>
      <c r="C153" t="s">
        <v>898</v>
      </c>
      <c r="D153" t="s">
        <v>898</v>
      </c>
      <c r="E153" t="s">
        <v>898</v>
      </c>
      <c r="F153" t="s">
        <v>898</v>
      </c>
      <c r="G153" t="s">
        <v>67</v>
      </c>
      <c r="H153" t="s">
        <v>898</v>
      </c>
    </row>
    <row r="154">
      <c r="B154" t="s">
        <v>898</v>
      </c>
      <c r="C154" t="s">
        <v>898</v>
      </c>
      <c r="D154" t="s">
        <v>898</v>
      </c>
      <c r="E154" t="s">
        <v>898</v>
      </c>
      <c r="F154" t="s">
        <v>898</v>
      </c>
      <c r="G154" t="s">
        <v>67</v>
      </c>
      <c r="H154" t="s">
        <v>898</v>
      </c>
    </row>
    <row r="155">
      <c r="B155" t="s">
        <v>898</v>
      </c>
      <c r="C155" t="s">
        <v>898</v>
      </c>
      <c r="D155" t="s">
        <v>898</v>
      </c>
      <c r="E155" t="s">
        <v>898</v>
      </c>
      <c r="F155" t="s">
        <v>898</v>
      </c>
      <c r="G155" t="s">
        <v>67</v>
      </c>
      <c r="H155" t="s">
        <v>898</v>
      </c>
    </row>
    <row r="156">
      <c r="B156" t="s">
        <v>898</v>
      </c>
      <c r="C156" t="s">
        <v>898</v>
      </c>
      <c r="D156" t="s">
        <v>898</v>
      </c>
      <c r="E156" t="s">
        <v>898</v>
      </c>
      <c r="F156" t="s">
        <v>898</v>
      </c>
      <c r="G156" t="s">
        <v>67</v>
      </c>
      <c r="H156" t="s">
        <v>898</v>
      </c>
    </row>
    <row r="157">
      <c r="B157" t="s">
        <v>898</v>
      </c>
      <c r="C157" t="s">
        <v>898</v>
      </c>
      <c r="D157" t="s">
        <v>898</v>
      </c>
      <c r="E157" t="s">
        <v>898</v>
      </c>
      <c r="F157" t="s">
        <v>898</v>
      </c>
      <c r="G157" t="s">
        <v>67</v>
      </c>
      <c r="H157" t="s">
        <v>898</v>
      </c>
    </row>
    <row r="158">
      <c r="B158" t="s">
        <v>898</v>
      </c>
      <c r="C158" t="s">
        <v>898</v>
      </c>
      <c r="D158" t="s">
        <v>898</v>
      </c>
      <c r="E158" t="s">
        <v>898</v>
      </c>
      <c r="F158" t="s">
        <v>898</v>
      </c>
      <c r="G158" t="s">
        <v>67</v>
      </c>
      <c r="H158" t="s">
        <v>898</v>
      </c>
    </row>
    <row r="159">
      <c r="B159" t="s">
        <v>898</v>
      </c>
      <c r="C159" t="s">
        <v>898</v>
      </c>
      <c r="D159" t="s">
        <v>898</v>
      </c>
      <c r="E159" t="s">
        <v>898</v>
      </c>
      <c r="F159" t="s">
        <v>898</v>
      </c>
      <c r="G159" t="s">
        <v>67</v>
      </c>
      <c r="H159" t="s">
        <v>898</v>
      </c>
    </row>
    <row r="160">
      <c r="B160" t="s">
        <v>898</v>
      </c>
      <c r="C160" t="s">
        <v>898</v>
      </c>
      <c r="D160" t="s">
        <v>898</v>
      </c>
      <c r="E160" t="s">
        <v>898</v>
      </c>
      <c r="F160" t="s">
        <v>898</v>
      </c>
      <c r="G160" t="s">
        <v>67</v>
      </c>
      <c r="H160" t="s">
        <v>898</v>
      </c>
    </row>
    <row r="161">
      <c r="B161" t="s">
        <v>898</v>
      </c>
      <c r="C161" t="s">
        <v>898</v>
      </c>
      <c r="D161" t="s">
        <v>898</v>
      </c>
      <c r="E161" t="s">
        <v>898</v>
      </c>
      <c r="F161" t="s">
        <v>898</v>
      </c>
      <c r="G161" t="s">
        <v>67</v>
      </c>
      <c r="H161" t="s">
        <v>898</v>
      </c>
    </row>
    <row r="162">
      <c r="B162" t="s">
        <v>898</v>
      </c>
      <c r="C162" t="s">
        <v>898</v>
      </c>
      <c r="D162" t="s">
        <v>898</v>
      </c>
      <c r="E162" t="s">
        <v>898</v>
      </c>
      <c r="F162" t="s">
        <v>898</v>
      </c>
      <c r="G162" t="s">
        <v>67</v>
      </c>
      <c r="H162" t="s">
        <v>898</v>
      </c>
    </row>
    <row r="163">
      <c r="B163" t="s">
        <v>898</v>
      </c>
      <c r="C163" t="s">
        <v>898</v>
      </c>
      <c r="D163" t="s">
        <v>898</v>
      </c>
      <c r="E163" t="s">
        <v>898</v>
      </c>
      <c r="F163" t="s">
        <v>898</v>
      </c>
      <c r="G163" t="s">
        <v>67</v>
      </c>
      <c r="H163" t="s">
        <v>898</v>
      </c>
    </row>
    <row r="164">
      <c r="B164" t="s">
        <v>898</v>
      </c>
      <c r="C164" t="s">
        <v>898</v>
      </c>
      <c r="D164" t="s">
        <v>898</v>
      </c>
      <c r="E164" t="s">
        <v>898</v>
      </c>
      <c r="F164" t="s">
        <v>898</v>
      </c>
      <c r="G164" t="s">
        <v>67</v>
      </c>
      <c r="H164" t="s">
        <v>898</v>
      </c>
    </row>
    <row r="165">
      <c r="B165" t="s">
        <v>898</v>
      </c>
      <c r="C165" t="s">
        <v>898</v>
      </c>
      <c r="D165" t="s">
        <v>898</v>
      </c>
      <c r="E165" t="s">
        <v>898</v>
      </c>
      <c r="F165" t="s">
        <v>898</v>
      </c>
      <c r="G165" t="s">
        <v>67</v>
      </c>
      <c r="H165" t="s">
        <v>898</v>
      </c>
    </row>
    <row r="166">
      <c r="B166" t="s">
        <v>898</v>
      </c>
      <c r="C166" t="s">
        <v>898</v>
      </c>
      <c r="D166" t="s">
        <v>898</v>
      </c>
      <c r="E166" t="s">
        <v>898</v>
      </c>
      <c r="F166" t="s">
        <v>898</v>
      </c>
      <c r="G166" t="s">
        <v>67</v>
      </c>
      <c r="H166" t="s">
        <v>898</v>
      </c>
    </row>
    <row r="167">
      <c r="B167" t="s">
        <v>898</v>
      </c>
      <c r="C167" t="s">
        <v>898</v>
      </c>
      <c r="D167" t="s">
        <v>898</v>
      </c>
      <c r="E167" t="s">
        <v>898</v>
      </c>
      <c r="F167" t="s">
        <v>898</v>
      </c>
      <c r="G167" t="s">
        <v>67</v>
      </c>
      <c r="H167" t="s">
        <v>898</v>
      </c>
    </row>
    <row r="168">
      <c r="B168" t="s">
        <v>898</v>
      </c>
      <c r="C168" t="s">
        <v>898</v>
      </c>
      <c r="D168" t="s">
        <v>898</v>
      </c>
      <c r="E168" t="s">
        <v>898</v>
      </c>
      <c r="F168" t="s">
        <v>898</v>
      </c>
      <c r="G168" t="s">
        <v>67</v>
      </c>
      <c r="H168" t="s">
        <v>898</v>
      </c>
    </row>
    <row r="169">
      <c r="B169" t="s">
        <v>898</v>
      </c>
      <c r="C169" t="s">
        <v>898</v>
      </c>
      <c r="D169" t="s">
        <v>898</v>
      </c>
      <c r="E169" t="s">
        <v>898</v>
      </c>
      <c r="F169" t="s">
        <v>898</v>
      </c>
      <c r="G169" t="s">
        <v>67</v>
      </c>
      <c r="H169" t="s">
        <v>898</v>
      </c>
    </row>
    <row r="170">
      <c r="B170" t="s">
        <v>898</v>
      </c>
      <c r="C170" t="s">
        <v>898</v>
      </c>
      <c r="D170" t="s">
        <v>898</v>
      </c>
      <c r="E170" t="s">
        <v>898</v>
      </c>
      <c r="F170" t="s">
        <v>898</v>
      </c>
      <c r="G170" t="s">
        <v>67</v>
      </c>
      <c r="H170" t="s">
        <v>898</v>
      </c>
    </row>
    <row r="171">
      <c r="B171" t="s">
        <v>898</v>
      </c>
      <c r="C171" t="s">
        <v>898</v>
      </c>
      <c r="D171" t="s">
        <v>898</v>
      </c>
      <c r="E171" t="s">
        <v>898</v>
      </c>
      <c r="F171" t="s">
        <v>898</v>
      </c>
      <c r="G171" t="s">
        <v>67</v>
      </c>
      <c r="H171" t="s">
        <v>898</v>
      </c>
    </row>
    <row r="172">
      <c r="B172" t="s">
        <v>898</v>
      </c>
      <c r="C172" t="s">
        <v>898</v>
      </c>
      <c r="D172" t="s">
        <v>898</v>
      </c>
      <c r="E172" t="s">
        <v>898</v>
      </c>
      <c r="F172" t="s">
        <v>898</v>
      </c>
      <c r="G172" t="s">
        <v>67</v>
      </c>
      <c r="H172" t="s">
        <v>898</v>
      </c>
    </row>
    <row r="173">
      <c r="B173" t="s">
        <v>898</v>
      </c>
      <c r="C173" t="s">
        <v>898</v>
      </c>
      <c r="D173" t="s">
        <v>898</v>
      </c>
      <c r="E173" t="s">
        <v>898</v>
      </c>
      <c r="F173" t="s">
        <v>898</v>
      </c>
      <c r="G173" t="s">
        <v>67</v>
      </c>
      <c r="H173" t="s">
        <v>898</v>
      </c>
    </row>
    <row r="174">
      <c r="B174" t="s">
        <v>898</v>
      </c>
      <c r="C174" t="s">
        <v>898</v>
      </c>
      <c r="D174" t="s">
        <v>898</v>
      </c>
      <c r="E174" t="s">
        <v>898</v>
      </c>
      <c r="F174" t="s">
        <v>898</v>
      </c>
      <c r="G174" t="s">
        <v>67</v>
      </c>
      <c r="H174" t="s">
        <v>898</v>
      </c>
    </row>
    <row r="175">
      <c r="B175" t="s">
        <v>898</v>
      </c>
      <c r="C175" t="s">
        <v>898</v>
      </c>
      <c r="D175" t="s">
        <v>898</v>
      </c>
      <c r="E175" t="s">
        <v>898</v>
      </c>
      <c r="F175" t="s">
        <v>898</v>
      </c>
      <c r="G175" t="s">
        <v>67</v>
      </c>
      <c r="H175" t="s">
        <v>898</v>
      </c>
    </row>
    <row r="176">
      <c r="B176" t="s">
        <v>898</v>
      </c>
      <c r="C176" t="s">
        <v>898</v>
      </c>
      <c r="D176" t="s">
        <v>898</v>
      </c>
      <c r="E176" t="s">
        <v>898</v>
      </c>
      <c r="F176" t="s">
        <v>898</v>
      </c>
      <c r="G176" t="s">
        <v>67</v>
      </c>
      <c r="H176" t="s">
        <v>898</v>
      </c>
    </row>
    <row r="177">
      <c r="B177" t="s">
        <v>898</v>
      </c>
      <c r="C177" t="s">
        <v>898</v>
      </c>
      <c r="D177" t="s">
        <v>898</v>
      </c>
      <c r="E177" t="s">
        <v>898</v>
      </c>
      <c r="F177" t="s">
        <v>898</v>
      </c>
      <c r="G177" t="s">
        <v>67</v>
      </c>
      <c r="H177" t="s">
        <v>898</v>
      </c>
    </row>
    <row r="178">
      <c r="B178" t="s">
        <v>898</v>
      </c>
      <c r="C178" t="s">
        <v>898</v>
      </c>
      <c r="D178" t="s">
        <v>898</v>
      </c>
      <c r="E178" t="s">
        <v>898</v>
      </c>
      <c r="F178" t="s">
        <v>898</v>
      </c>
      <c r="G178" t="s">
        <v>67</v>
      </c>
      <c r="H178" t="s">
        <v>898</v>
      </c>
    </row>
    <row r="179">
      <c r="B179" t="s">
        <v>898</v>
      </c>
      <c r="C179" t="s">
        <v>898</v>
      </c>
      <c r="D179" t="s">
        <v>898</v>
      </c>
      <c r="E179" t="s">
        <v>898</v>
      </c>
      <c r="F179" t="s">
        <v>898</v>
      </c>
      <c r="G179" t="s">
        <v>67</v>
      </c>
      <c r="H179" t="s">
        <v>898</v>
      </c>
    </row>
    <row r="180">
      <c r="B180" t="s">
        <v>898</v>
      </c>
      <c r="C180" t="s">
        <v>898</v>
      </c>
      <c r="D180" t="s">
        <v>898</v>
      </c>
      <c r="E180" t="s">
        <v>898</v>
      </c>
      <c r="F180" t="s">
        <v>898</v>
      </c>
      <c r="G180" t="s">
        <v>67</v>
      </c>
      <c r="H180" t="s">
        <v>898</v>
      </c>
    </row>
    <row r="181">
      <c r="B181" t="s">
        <v>898</v>
      </c>
      <c r="C181" t="s">
        <v>898</v>
      </c>
      <c r="D181" t="s">
        <v>898</v>
      </c>
      <c r="E181" t="s">
        <v>898</v>
      </c>
      <c r="F181" t="s">
        <v>898</v>
      </c>
      <c r="G181" t="s">
        <v>67</v>
      </c>
      <c r="H181" t="s">
        <v>898</v>
      </c>
    </row>
    <row r="182">
      <c r="B182" t="s">
        <v>898</v>
      </c>
      <c r="C182" t="s">
        <v>898</v>
      </c>
      <c r="D182" t="s">
        <v>898</v>
      </c>
      <c r="E182" t="s">
        <v>898</v>
      </c>
      <c r="F182" t="s">
        <v>898</v>
      </c>
      <c r="G182" t="s">
        <v>67</v>
      </c>
      <c r="H182" t="s">
        <v>898</v>
      </c>
    </row>
    <row r="183">
      <c r="B183" t="s">
        <v>898</v>
      </c>
      <c r="C183" t="s">
        <v>898</v>
      </c>
      <c r="D183" t="s">
        <v>898</v>
      </c>
      <c r="E183" t="s">
        <v>898</v>
      </c>
      <c r="F183" t="s">
        <v>898</v>
      </c>
      <c r="G183" t="s">
        <v>67</v>
      </c>
      <c r="H183" t="s">
        <v>898</v>
      </c>
    </row>
    <row r="184">
      <c r="B184" t="s">
        <v>898</v>
      </c>
      <c r="C184" t="s">
        <v>898</v>
      </c>
      <c r="D184" t="s">
        <v>898</v>
      </c>
      <c r="E184" t="s">
        <v>898</v>
      </c>
      <c r="F184" t="s">
        <v>898</v>
      </c>
      <c r="G184" t="s">
        <v>67</v>
      </c>
      <c r="H184" t="s">
        <v>898</v>
      </c>
    </row>
    <row r="185">
      <c r="B185" t="s">
        <v>898</v>
      </c>
      <c r="C185" t="s">
        <v>898</v>
      </c>
      <c r="D185" t="s">
        <v>898</v>
      </c>
      <c r="E185" t="s">
        <v>898</v>
      </c>
      <c r="F185" t="s">
        <v>898</v>
      </c>
      <c r="G185" t="s">
        <v>67</v>
      </c>
      <c r="H185" t="s">
        <v>898</v>
      </c>
    </row>
    <row r="186">
      <c r="B186" t="s">
        <v>898</v>
      </c>
      <c r="C186" t="s">
        <v>898</v>
      </c>
      <c r="D186" t="s">
        <v>898</v>
      </c>
      <c r="E186" t="s">
        <v>898</v>
      </c>
      <c r="F186" t="s">
        <v>898</v>
      </c>
      <c r="G186" t="s">
        <v>67</v>
      </c>
      <c r="H186" t="s">
        <v>898</v>
      </c>
    </row>
    <row r="187">
      <c r="B187" t="s">
        <v>898</v>
      </c>
      <c r="C187" t="s">
        <v>898</v>
      </c>
      <c r="D187" t="s">
        <v>898</v>
      </c>
      <c r="E187" t="s">
        <v>898</v>
      </c>
      <c r="F187" t="s">
        <v>898</v>
      </c>
      <c r="G187" t="s">
        <v>67</v>
      </c>
      <c r="H187" t="s">
        <v>898</v>
      </c>
    </row>
    <row r="188">
      <c r="B188" t="s">
        <v>898</v>
      </c>
      <c r="C188" t="s">
        <v>898</v>
      </c>
      <c r="D188" t="s">
        <v>898</v>
      </c>
      <c r="E188" t="s">
        <v>898</v>
      </c>
      <c r="F188" t="s">
        <v>898</v>
      </c>
      <c r="G188" t="s">
        <v>67</v>
      </c>
      <c r="H188" t="s">
        <v>898</v>
      </c>
    </row>
    <row r="189">
      <c r="B189" t="s">
        <v>898</v>
      </c>
      <c r="C189" t="s">
        <v>898</v>
      </c>
      <c r="D189" t="s">
        <v>898</v>
      </c>
      <c r="E189" t="s">
        <v>898</v>
      </c>
      <c r="F189" t="s">
        <v>898</v>
      </c>
      <c r="G189" t="s">
        <v>67</v>
      </c>
      <c r="H189" t="s">
        <v>898</v>
      </c>
    </row>
    <row r="190">
      <c r="B190" t="s">
        <v>898</v>
      </c>
      <c r="C190" t="s">
        <v>898</v>
      </c>
      <c r="D190" t="s">
        <v>898</v>
      </c>
      <c r="E190" t="s">
        <v>898</v>
      </c>
      <c r="F190" t="s">
        <v>898</v>
      </c>
      <c r="G190" t="s">
        <v>67</v>
      </c>
      <c r="H190" t="s">
        <v>898</v>
      </c>
    </row>
    <row r="191">
      <c r="B191" t="s">
        <v>898</v>
      </c>
      <c r="C191" t="s">
        <v>898</v>
      </c>
      <c r="D191" t="s">
        <v>898</v>
      </c>
      <c r="E191" t="s">
        <v>898</v>
      </c>
      <c r="F191" t="s">
        <v>898</v>
      </c>
      <c r="G191" t="s">
        <v>67</v>
      </c>
      <c r="H191" t="s">
        <v>898</v>
      </c>
    </row>
    <row r="192">
      <c r="B192" t="s">
        <v>898</v>
      </c>
      <c r="C192" t="s">
        <v>898</v>
      </c>
      <c r="D192" t="s">
        <v>898</v>
      </c>
      <c r="E192" t="s">
        <v>898</v>
      </c>
      <c r="F192" t="s">
        <v>898</v>
      </c>
      <c r="G192" t="s">
        <v>67</v>
      </c>
      <c r="H192" t="s">
        <v>898</v>
      </c>
    </row>
    <row r="193">
      <c r="B193" t="s">
        <v>898</v>
      </c>
      <c r="C193" t="s">
        <v>898</v>
      </c>
      <c r="D193" t="s">
        <v>898</v>
      </c>
      <c r="E193" t="s">
        <v>898</v>
      </c>
      <c r="F193" t="s">
        <v>898</v>
      </c>
      <c r="G193" t="s">
        <v>67</v>
      </c>
      <c r="H193" t="s">
        <v>898</v>
      </c>
    </row>
    <row r="194">
      <c r="B194" t="s">
        <v>898</v>
      </c>
      <c r="C194" t="s">
        <v>898</v>
      </c>
      <c r="D194" t="s">
        <v>898</v>
      </c>
      <c r="E194" t="s">
        <v>898</v>
      </c>
      <c r="F194" t="s">
        <v>898</v>
      </c>
      <c r="G194" t="s">
        <v>67</v>
      </c>
      <c r="H194" t="s">
        <v>898</v>
      </c>
    </row>
    <row r="195">
      <c r="B195" t="s">
        <v>898</v>
      </c>
      <c r="C195" t="s">
        <v>898</v>
      </c>
      <c r="D195" t="s">
        <v>898</v>
      </c>
      <c r="E195" t="s">
        <v>898</v>
      </c>
      <c r="F195" t="s">
        <v>898</v>
      </c>
      <c r="G195" t="s">
        <v>67</v>
      </c>
      <c r="H195" t="s">
        <v>898</v>
      </c>
    </row>
    <row r="196">
      <c r="B196" t="s">
        <v>898</v>
      </c>
      <c r="C196" t="s">
        <v>898</v>
      </c>
      <c r="D196" t="s">
        <v>898</v>
      </c>
      <c r="E196" t="s">
        <v>898</v>
      </c>
      <c r="F196" t="s">
        <v>898</v>
      </c>
      <c r="G196" t="s">
        <v>67</v>
      </c>
      <c r="H196" t="s">
        <v>898</v>
      </c>
    </row>
    <row r="197">
      <c r="B197" t="s">
        <v>898</v>
      </c>
      <c r="C197" t="s">
        <v>898</v>
      </c>
      <c r="D197" t="s">
        <v>898</v>
      </c>
      <c r="E197" t="s">
        <v>898</v>
      </c>
      <c r="F197" t="s">
        <v>898</v>
      </c>
      <c r="G197" t="s">
        <v>67</v>
      </c>
      <c r="H197" t="s">
        <v>898</v>
      </c>
    </row>
    <row r="198">
      <c r="B198" t="s">
        <v>898</v>
      </c>
      <c r="C198" t="s">
        <v>898</v>
      </c>
      <c r="D198" t="s">
        <v>898</v>
      </c>
      <c r="E198" t="s">
        <v>898</v>
      </c>
      <c r="F198" t="s">
        <v>898</v>
      </c>
      <c r="G198" t="s">
        <v>67</v>
      </c>
      <c r="H198" t="s">
        <v>898</v>
      </c>
    </row>
    <row r="199">
      <c r="B199" t="s">
        <v>898</v>
      </c>
      <c r="C199" t="s">
        <v>898</v>
      </c>
      <c r="D199" t="s">
        <v>898</v>
      </c>
      <c r="E199" t="s">
        <v>898</v>
      </c>
      <c r="F199" t="s">
        <v>898</v>
      </c>
      <c r="G199" t="s">
        <v>67</v>
      </c>
      <c r="H199" t="s">
        <v>898</v>
      </c>
    </row>
    <row r="200">
      <c r="B200" t="s">
        <v>898</v>
      </c>
      <c r="C200" t="s">
        <v>898</v>
      </c>
      <c r="D200" t="s">
        <v>898</v>
      </c>
      <c r="E200" t="s">
        <v>898</v>
      </c>
      <c r="F200" t="s">
        <v>898</v>
      </c>
      <c r="G200" t="s">
        <v>67</v>
      </c>
      <c r="H200" t="s">
        <v>898</v>
      </c>
    </row>
    <row r="201">
      <c r="B201" t="s">
        <v>898</v>
      </c>
      <c r="C201" t="s">
        <v>898</v>
      </c>
      <c r="D201" t="s">
        <v>898</v>
      </c>
      <c r="E201" t="s">
        <v>898</v>
      </c>
      <c r="F201" t="s">
        <v>898</v>
      </c>
      <c r="G201" t="s">
        <v>67</v>
      </c>
      <c r="H201" t="s">
        <v>898</v>
      </c>
    </row>
    <row r="202">
      <c r="B202" t="s">
        <v>898</v>
      </c>
      <c r="C202" t="s">
        <v>898</v>
      </c>
      <c r="D202" t="s">
        <v>898</v>
      </c>
      <c r="E202" t="s">
        <v>898</v>
      </c>
      <c r="F202" t="s">
        <v>898</v>
      </c>
      <c r="G202" t="s">
        <v>67</v>
      </c>
      <c r="H202" t="s">
        <v>898</v>
      </c>
    </row>
    <row r="203">
      <c r="B203" t="s">
        <v>898</v>
      </c>
      <c r="C203" t="s">
        <v>898</v>
      </c>
      <c r="D203" t="s">
        <v>898</v>
      </c>
      <c r="E203" t="s">
        <v>898</v>
      </c>
      <c r="F203" t="s">
        <v>898</v>
      </c>
      <c r="G203" t="s">
        <v>67</v>
      </c>
      <c r="H203" t="s">
        <v>898</v>
      </c>
    </row>
    <row r="204">
      <c r="B204" t="s">
        <v>898</v>
      </c>
      <c r="C204" t="s">
        <v>898</v>
      </c>
      <c r="D204" t="s">
        <v>898</v>
      </c>
      <c r="E204" t="s">
        <v>898</v>
      </c>
      <c r="F204" t="s">
        <v>898</v>
      </c>
      <c r="G204" t="s">
        <v>67</v>
      </c>
      <c r="H204" t="s">
        <v>898</v>
      </c>
    </row>
    <row r="205">
      <c r="B205" t="s">
        <v>898</v>
      </c>
      <c r="C205" t="s">
        <v>898</v>
      </c>
      <c r="D205" t="s">
        <v>898</v>
      </c>
      <c r="E205" t="s">
        <v>898</v>
      </c>
      <c r="F205" t="s">
        <v>898</v>
      </c>
      <c r="G205" t="s">
        <v>67</v>
      </c>
      <c r="H205" t="s">
        <v>898</v>
      </c>
    </row>
    <row r="206">
      <c r="B206" t="s">
        <v>898</v>
      </c>
      <c r="C206" t="s">
        <v>898</v>
      </c>
      <c r="D206" t="s">
        <v>898</v>
      </c>
      <c r="E206" t="s">
        <v>898</v>
      </c>
      <c r="F206" t="s">
        <v>898</v>
      </c>
      <c r="G206" t="s">
        <v>67</v>
      </c>
      <c r="H206" t="s">
        <v>898</v>
      </c>
    </row>
    <row r="207">
      <c r="B207" t="s">
        <v>898</v>
      </c>
      <c r="C207" t="s">
        <v>898</v>
      </c>
      <c r="D207" t="s">
        <v>898</v>
      </c>
      <c r="E207" t="s">
        <v>898</v>
      </c>
      <c r="F207" t="s">
        <v>898</v>
      </c>
      <c r="G207" t="s">
        <v>67</v>
      </c>
      <c r="H207" t="s">
        <v>898</v>
      </c>
    </row>
    <row r="208">
      <c r="B208" t="s">
        <v>898</v>
      </c>
      <c r="C208" t="s">
        <v>898</v>
      </c>
      <c r="D208" t="s">
        <v>898</v>
      </c>
      <c r="E208" t="s">
        <v>898</v>
      </c>
      <c r="F208" t="s">
        <v>898</v>
      </c>
      <c r="G208" t="s">
        <v>67</v>
      </c>
      <c r="H208" t="s">
        <v>898</v>
      </c>
    </row>
    <row r="209">
      <c r="B209" t="s">
        <v>898</v>
      </c>
      <c r="C209" t="s">
        <v>898</v>
      </c>
      <c r="D209" t="s">
        <v>898</v>
      </c>
      <c r="E209" t="s">
        <v>898</v>
      </c>
      <c r="F209" t="s">
        <v>898</v>
      </c>
      <c r="G209" t="s">
        <v>67</v>
      </c>
      <c r="H209" t="s">
        <v>898</v>
      </c>
    </row>
    <row r="210">
      <c r="B210" t="s">
        <v>898</v>
      </c>
      <c r="C210" t="s">
        <v>898</v>
      </c>
      <c r="D210" t="s">
        <v>898</v>
      </c>
      <c r="E210" t="s">
        <v>898</v>
      </c>
      <c r="F210" t="s">
        <v>898</v>
      </c>
      <c r="G210" t="s">
        <v>67</v>
      </c>
      <c r="H210" t="s">
        <v>898</v>
      </c>
    </row>
    <row r="211">
      <c r="B211" t="s">
        <v>898</v>
      </c>
      <c r="C211" t="s">
        <v>898</v>
      </c>
      <c r="D211" t="s">
        <v>898</v>
      </c>
      <c r="E211" t="s">
        <v>898</v>
      </c>
      <c r="F211" t="s">
        <v>898</v>
      </c>
      <c r="G211" t="s">
        <v>67</v>
      </c>
      <c r="H211" t="s">
        <v>898</v>
      </c>
    </row>
    <row r="212">
      <c r="B212" t="s">
        <v>898</v>
      </c>
      <c r="C212" t="s">
        <v>898</v>
      </c>
      <c r="D212" t="s">
        <v>898</v>
      </c>
      <c r="E212" t="s">
        <v>898</v>
      </c>
      <c r="F212" t="s">
        <v>898</v>
      </c>
      <c r="G212" t="s">
        <v>67</v>
      </c>
      <c r="H212" t="s">
        <v>898</v>
      </c>
    </row>
    <row r="213">
      <c r="B213" t="s">
        <v>898</v>
      </c>
      <c r="C213" t="s">
        <v>898</v>
      </c>
      <c r="D213" t="s">
        <v>898</v>
      </c>
      <c r="E213" t="s">
        <v>898</v>
      </c>
      <c r="F213" t="s">
        <v>898</v>
      </c>
      <c r="G213" t="s">
        <v>67</v>
      </c>
      <c r="H213" t="s">
        <v>898</v>
      </c>
    </row>
    <row r="214">
      <c r="B214" t="s">
        <v>898</v>
      </c>
      <c r="C214" t="s">
        <v>898</v>
      </c>
      <c r="D214" t="s">
        <v>898</v>
      </c>
      <c r="E214" t="s">
        <v>898</v>
      </c>
      <c r="F214" t="s">
        <v>898</v>
      </c>
      <c r="G214" t="s">
        <v>67</v>
      </c>
      <c r="H214" t="s">
        <v>898</v>
      </c>
    </row>
    <row r="215">
      <c r="B215" t="s">
        <v>898</v>
      </c>
      <c r="C215" t="s">
        <v>898</v>
      </c>
      <c r="D215" t="s">
        <v>898</v>
      </c>
      <c r="E215" t="s">
        <v>898</v>
      </c>
      <c r="F215" t="s">
        <v>898</v>
      </c>
      <c r="G215" t="s">
        <v>67</v>
      </c>
      <c r="H215" t="s">
        <v>898</v>
      </c>
    </row>
    <row r="216">
      <c r="B216" t="s">
        <v>898</v>
      </c>
      <c r="C216" t="s">
        <v>898</v>
      </c>
      <c r="D216" t="s">
        <v>898</v>
      </c>
      <c r="E216" t="s">
        <v>898</v>
      </c>
      <c r="F216" t="s">
        <v>898</v>
      </c>
      <c r="G216" t="s">
        <v>67</v>
      </c>
      <c r="H216" t="s">
        <v>898</v>
      </c>
    </row>
    <row r="217">
      <c r="B217" t="s">
        <v>898</v>
      </c>
      <c r="C217" t="s">
        <v>898</v>
      </c>
      <c r="D217" t="s">
        <v>898</v>
      </c>
      <c r="E217" t="s">
        <v>898</v>
      </c>
      <c r="F217" t="s">
        <v>898</v>
      </c>
      <c r="G217" t="s">
        <v>67</v>
      </c>
      <c r="H217" t="s">
        <v>898</v>
      </c>
    </row>
    <row r="218">
      <c r="B218" t="s">
        <v>898</v>
      </c>
      <c r="C218" t="s">
        <v>898</v>
      </c>
      <c r="D218" t="s">
        <v>898</v>
      </c>
      <c r="E218" t="s">
        <v>898</v>
      </c>
      <c r="F218" t="s">
        <v>898</v>
      </c>
      <c r="G218" t="s">
        <v>67</v>
      </c>
      <c r="H218" t="s">
        <v>898</v>
      </c>
    </row>
    <row r="219">
      <c r="B219" t="s">
        <v>898</v>
      </c>
      <c r="C219" t="s">
        <v>898</v>
      </c>
      <c r="D219" t="s">
        <v>898</v>
      </c>
      <c r="E219" t="s">
        <v>898</v>
      </c>
      <c r="F219" t="s">
        <v>898</v>
      </c>
      <c r="G219" t="s">
        <v>67</v>
      </c>
      <c r="H219" t="s">
        <v>898</v>
      </c>
    </row>
    <row r="220">
      <c r="B220" t="s">
        <v>898</v>
      </c>
      <c r="C220" t="s">
        <v>898</v>
      </c>
      <c r="D220" t="s">
        <v>898</v>
      </c>
      <c r="E220" t="s">
        <v>898</v>
      </c>
      <c r="F220" t="s">
        <v>898</v>
      </c>
      <c r="G220" t="s">
        <v>67</v>
      </c>
      <c r="H220" t="s">
        <v>898</v>
      </c>
    </row>
    <row r="221">
      <c r="B221" t="s">
        <v>898</v>
      </c>
      <c r="C221" t="s">
        <v>898</v>
      </c>
      <c r="D221" t="s">
        <v>898</v>
      </c>
      <c r="E221" t="s">
        <v>898</v>
      </c>
      <c r="F221" t="s">
        <v>898</v>
      </c>
      <c r="G221" t="s">
        <v>67</v>
      </c>
      <c r="H221" t="s">
        <v>898</v>
      </c>
    </row>
    <row r="222">
      <c r="B222" t="s">
        <v>898</v>
      </c>
      <c r="C222" t="s">
        <v>898</v>
      </c>
      <c r="D222" t="s">
        <v>898</v>
      </c>
      <c r="E222" t="s">
        <v>898</v>
      </c>
      <c r="F222" t="s">
        <v>898</v>
      </c>
      <c r="G222" t="s">
        <v>67</v>
      </c>
      <c r="H222" t="s">
        <v>898</v>
      </c>
    </row>
    <row r="223">
      <c r="B223" t="s">
        <v>898</v>
      </c>
      <c r="C223" t="s">
        <v>898</v>
      </c>
      <c r="D223" t="s">
        <v>898</v>
      </c>
      <c r="E223" t="s">
        <v>898</v>
      </c>
      <c r="F223" t="s">
        <v>898</v>
      </c>
      <c r="G223" t="s">
        <v>67</v>
      </c>
      <c r="H223" t="s">
        <v>898</v>
      </c>
    </row>
    <row r="224">
      <c r="B224" t="s">
        <v>898</v>
      </c>
      <c r="C224" t="s">
        <v>898</v>
      </c>
      <c r="D224" t="s">
        <v>898</v>
      </c>
      <c r="E224" t="s">
        <v>898</v>
      </c>
      <c r="F224" t="s">
        <v>898</v>
      </c>
      <c r="G224" t="s">
        <v>67</v>
      </c>
      <c r="H224" t="s">
        <v>898</v>
      </c>
    </row>
    <row r="225">
      <c r="B225" t="s">
        <v>898</v>
      </c>
      <c r="C225" t="s">
        <v>898</v>
      </c>
      <c r="D225" t="s">
        <v>898</v>
      </c>
      <c r="E225" t="s">
        <v>898</v>
      </c>
      <c r="F225" t="s">
        <v>898</v>
      </c>
      <c r="G225" t="s">
        <v>67</v>
      </c>
      <c r="H225" t="s">
        <v>898</v>
      </c>
    </row>
    <row r="226">
      <c r="B226" t="s">
        <v>898</v>
      </c>
      <c r="C226" t="s">
        <v>898</v>
      </c>
      <c r="D226" t="s">
        <v>898</v>
      </c>
      <c r="E226" t="s">
        <v>898</v>
      </c>
      <c r="F226" t="s">
        <v>898</v>
      </c>
      <c r="G226" t="s">
        <v>67</v>
      </c>
      <c r="H226" t="s">
        <v>898</v>
      </c>
    </row>
    <row r="227">
      <c r="B227" t="s">
        <v>898</v>
      </c>
      <c r="C227" t="s">
        <v>898</v>
      </c>
      <c r="D227" t="s">
        <v>898</v>
      </c>
      <c r="E227" t="s">
        <v>898</v>
      </c>
      <c r="F227" t="s">
        <v>898</v>
      </c>
      <c r="G227" t="s">
        <v>67</v>
      </c>
      <c r="H227" t="s">
        <v>898</v>
      </c>
    </row>
    <row r="228">
      <c r="B228" t="s">
        <v>898</v>
      </c>
      <c r="C228" t="s">
        <v>898</v>
      </c>
      <c r="D228" t="s">
        <v>898</v>
      </c>
      <c r="E228" t="s">
        <v>898</v>
      </c>
      <c r="F228" t="s">
        <v>898</v>
      </c>
      <c r="G228" t="s">
        <v>67</v>
      </c>
      <c r="H228" t="s">
        <v>898</v>
      </c>
    </row>
    <row r="229">
      <c r="B229" t="s">
        <v>898</v>
      </c>
      <c r="C229" t="s">
        <v>898</v>
      </c>
      <c r="D229" t="s">
        <v>898</v>
      </c>
      <c r="E229" t="s">
        <v>898</v>
      </c>
      <c r="F229" t="s">
        <v>898</v>
      </c>
      <c r="G229" t="s">
        <v>67</v>
      </c>
      <c r="H229" t="s">
        <v>898</v>
      </c>
    </row>
    <row r="230">
      <c r="B230" t="s">
        <v>898</v>
      </c>
      <c r="C230" t="s">
        <v>898</v>
      </c>
      <c r="D230" t="s">
        <v>898</v>
      </c>
      <c r="E230" t="s">
        <v>898</v>
      </c>
      <c r="F230" t="s">
        <v>898</v>
      </c>
      <c r="G230" t="s">
        <v>67</v>
      </c>
      <c r="H230" t="s">
        <v>898</v>
      </c>
    </row>
    <row r="231">
      <c r="B231" t="s">
        <v>898</v>
      </c>
      <c r="C231" t="s">
        <v>898</v>
      </c>
      <c r="D231" t="s">
        <v>898</v>
      </c>
      <c r="E231" t="s">
        <v>898</v>
      </c>
      <c r="F231" t="s">
        <v>898</v>
      </c>
      <c r="G231" t="s">
        <v>67</v>
      </c>
      <c r="H231" t="s">
        <v>898</v>
      </c>
    </row>
    <row r="232">
      <c r="B232" t="s">
        <v>898</v>
      </c>
      <c r="C232" t="s">
        <v>898</v>
      </c>
      <c r="D232" t="s">
        <v>898</v>
      </c>
      <c r="E232" t="s">
        <v>898</v>
      </c>
      <c r="F232" t="s">
        <v>898</v>
      </c>
      <c r="G232" t="s">
        <v>67</v>
      </c>
      <c r="H232" t="s">
        <v>898</v>
      </c>
    </row>
    <row r="233">
      <c r="B233" t="s">
        <v>898</v>
      </c>
      <c r="C233" t="s">
        <v>898</v>
      </c>
      <c r="D233" t="s">
        <v>898</v>
      </c>
      <c r="E233" t="s">
        <v>898</v>
      </c>
      <c r="F233" t="s">
        <v>898</v>
      </c>
      <c r="G233" t="s">
        <v>67</v>
      </c>
      <c r="H233" t="s">
        <v>898</v>
      </c>
    </row>
    <row r="234">
      <c r="B234" t="s">
        <v>898</v>
      </c>
      <c r="C234" t="s">
        <v>898</v>
      </c>
      <c r="D234" t="s">
        <v>898</v>
      </c>
      <c r="E234" t="s">
        <v>898</v>
      </c>
      <c r="F234" t="s">
        <v>898</v>
      </c>
      <c r="G234" t="s">
        <v>67</v>
      </c>
      <c r="H234" t="s">
        <v>898</v>
      </c>
    </row>
    <row r="235">
      <c r="B235" t="s">
        <v>898</v>
      </c>
      <c r="C235" t="s">
        <v>898</v>
      </c>
      <c r="D235" t="s">
        <v>898</v>
      </c>
      <c r="E235" t="s">
        <v>898</v>
      </c>
      <c r="F235" t="s">
        <v>898</v>
      </c>
      <c r="G235" t="s">
        <v>67</v>
      </c>
      <c r="H235" t="s">
        <v>898</v>
      </c>
    </row>
    <row r="236">
      <c r="B236" t="s">
        <v>898</v>
      </c>
      <c r="C236" t="s">
        <v>898</v>
      </c>
      <c r="D236" t="s">
        <v>898</v>
      </c>
      <c r="E236" t="s">
        <v>898</v>
      </c>
      <c r="F236" t="s">
        <v>898</v>
      </c>
      <c r="G236" t="s">
        <v>67</v>
      </c>
      <c r="H236" t="s">
        <v>898</v>
      </c>
    </row>
    <row r="237">
      <c r="B237" t="s">
        <v>898</v>
      </c>
      <c r="C237" t="s">
        <v>898</v>
      </c>
      <c r="D237" t="s">
        <v>898</v>
      </c>
      <c r="E237" t="s">
        <v>898</v>
      </c>
      <c r="F237" t="s">
        <v>898</v>
      </c>
      <c r="G237" t="s">
        <v>67</v>
      </c>
      <c r="H237" t="s">
        <v>898</v>
      </c>
    </row>
    <row r="238">
      <c r="B238" t="s">
        <v>898</v>
      </c>
      <c r="C238" t="s">
        <v>898</v>
      </c>
      <c r="D238" t="s">
        <v>898</v>
      </c>
      <c r="E238" t="s">
        <v>898</v>
      </c>
      <c r="F238" t="s">
        <v>898</v>
      </c>
      <c r="G238" t="s">
        <v>67</v>
      </c>
      <c r="H238" t="s">
        <v>898</v>
      </c>
    </row>
    <row r="239">
      <c r="B239" t="s">
        <v>898</v>
      </c>
      <c r="C239" t="s">
        <v>898</v>
      </c>
      <c r="D239" t="s">
        <v>898</v>
      </c>
      <c r="E239" t="s">
        <v>898</v>
      </c>
      <c r="F239" t="s">
        <v>898</v>
      </c>
      <c r="G239" t="s">
        <v>67</v>
      </c>
      <c r="H239" t="s">
        <v>898</v>
      </c>
    </row>
    <row r="240">
      <c r="B240" t="s">
        <v>898</v>
      </c>
      <c r="C240" t="s">
        <v>898</v>
      </c>
      <c r="D240" t="s">
        <v>898</v>
      </c>
      <c r="E240" t="s">
        <v>898</v>
      </c>
      <c r="F240" t="s">
        <v>898</v>
      </c>
      <c r="G240" t="s">
        <v>67</v>
      </c>
      <c r="H240" t="s">
        <v>898</v>
      </c>
    </row>
    <row r="241">
      <c r="B241" t="s">
        <v>898</v>
      </c>
      <c r="C241" t="s">
        <v>898</v>
      </c>
      <c r="D241" t="s">
        <v>898</v>
      </c>
      <c r="E241" t="s">
        <v>898</v>
      </c>
      <c r="F241" t="s">
        <v>898</v>
      </c>
      <c r="G241" t="s">
        <v>67</v>
      </c>
      <c r="H241" t="s">
        <v>898</v>
      </c>
    </row>
    <row r="242">
      <c r="B242" t="s">
        <v>898</v>
      </c>
      <c r="C242" t="s">
        <v>898</v>
      </c>
      <c r="D242" t="s">
        <v>898</v>
      </c>
      <c r="E242" t="s">
        <v>898</v>
      </c>
      <c r="F242" t="s">
        <v>898</v>
      </c>
      <c r="G242" t="s">
        <v>67</v>
      </c>
      <c r="H242" t="s">
        <v>898</v>
      </c>
    </row>
    <row r="243">
      <c r="B243" t="s">
        <v>898</v>
      </c>
      <c r="C243" t="s">
        <v>898</v>
      </c>
      <c r="D243" t="s">
        <v>898</v>
      </c>
      <c r="E243" t="s">
        <v>898</v>
      </c>
      <c r="F243" t="s">
        <v>898</v>
      </c>
      <c r="G243" t="s">
        <v>67</v>
      </c>
      <c r="H243" t="s">
        <v>898</v>
      </c>
    </row>
    <row r="244">
      <c r="B244" t="s">
        <v>898</v>
      </c>
      <c r="C244" t="s">
        <v>898</v>
      </c>
      <c r="D244" t="s">
        <v>898</v>
      </c>
      <c r="E244" t="s">
        <v>898</v>
      </c>
      <c r="F244" t="s">
        <v>898</v>
      </c>
      <c r="G244" t="s">
        <v>67</v>
      </c>
      <c r="H244" t="s">
        <v>898</v>
      </c>
    </row>
    <row r="245">
      <c r="B245" t="s">
        <v>898</v>
      </c>
      <c r="C245" t="s">
        <v>898</v>
      </c>
      <c r="D245" t="s">
        <v>898</v>
      </c>
      <c r="E245" t="s">
        <v>898</v>
      </c>
      <c r="F245" t="s">
        <v>898</v>
      </c>
      <c r="G245" t="s">
        <v>67</v>
      </c>
      <c r="H245" t="s">
        <v>898</v>
      </c>
    </row>
    <row r="246">
      <c r="B246" t="s">
        <v>898</v>
      </c>
      <c r="C246" t="s">
        <v>898</v>
      </c>
      <c r="D246" t="s">
        <v>898</v>
      </c>
      <c r="E246" t="s">
        <v>898</v>
      </c>
      <c r="F246" t="s">
        <v>898</v>
      </c>
      <c r="G246" t="s">
        <v>67</v>
      </c>
      <c r="H246" t="s">
        <v>898</v>
      </c>
    </row>
    <row r="247">
      <c r="B247" t="s">
        <v>898</v>
      </c>
      <c r="C247" t="s">
        <v>898</v>
      </c>
      <c r="D247" t="s">
        <v>898</v>
      </c>
      <c r="E247" t="s">
        <v>898</v>
      </c>
      <c r="F247" t="s">
        <v>898</v>
      </c>
      <c r="G247" t="s">
        <v>67</v>
      </c>
      <c r="H247" t="s">
        <v>898</v>
      </c>
    </row>
    <row r="248">
      <c r="B248" t="s">
        <v>898</v>
      </c>
      <c r="C248" t="s">
        <v>898</v>
      </c>
      <c r="D248" t="s">
        <v>898</v>
      </c>
      <c r="E248" t="s">
        <v>898</v>
      </c>
      <c r="F248" t="s">
        <v>898</v>
      </c>
      <c r="G248" t="s">
        <v>67</v>
      </c>
      <c r="H248" t="s">
        <v>898</v>
      </c>
    </row>
    <row r="249">
      <c r="B249" t="s">
        <v>898</v>
      </c>
      <c r="C249" t="s">
        <v>898</v>
      </c>
      <c r="D249" t="s">
        <v>898</v>
      </c>
      <c r="E249" t="s">
        <v>898</v>
      </c>
      <c r="F249" t="s">
        <v>898</v>
      </c>
      <c r="G249" t="s">
        <v>67</v>
      </c>
      <c r="H249" t="s">
        <v>898</v>
      </c>
    </row>
    <row r="250">
      <c r="B250" t="s">
        <v>898</v>
      </c>
      <c r="C250" t="s">
        <v>898</v>
      </c>
      <c r="D250" t="s">
        <v>898</v>
      </c>
      <c r="E250" t="s">
        <v>898</v>
      </c>
      <c r="F250" t="s">
        <v>898</v>
      </c>
      <c r="G250" t="s">
        <v>67</v>
      </c>
      <c r="H250" t="s">
        <v>898</v>
      </c>
    </row>
    <row r="251">
      <c r="B251" t="s">
        <v>898</v>
      </c>
      <c r="C251" t="s">
        <v>898</v>
      </c>
      <c r="D251" t="s">
        <v>898</v>
      </c>
      <c r="E251" t="s">
        <v>898</v>
      </c>
      <c r="F251" t="s">
        <v>898</v>
      </c>
      <c r="G251" t="s">
        <v>67</v>
      </c>
      <c r="H251" t="s">
        <v>898</v>
      </c>
    </row>
    <row r="252">
      <c r="B252" t="s">
        <v>898</v>
      </c>
      <c r="C252" t="s">
        <v>898</v>
      </c>
      <c r="D252" t="s">
        <v>898</v>
      </c>
      <c r="E252" t="s">
        <v>898</v>
      </c>
      <c r="F252" t="s">
        <v>898</v>
      </c>
      <c r="G252" t="s">
        <v>67</v>
      </c>
      <c r="H252" t="s">
        <v>898</v>
      </c>
    </row>
    <row r="253">
      <c r="B253" t="s">
        <v>898</v>
      </c>
      <c r="C253" t="s">
        <v>898</v>
      </c>
      <c r="D253" t="s">
        <v>898</v>
      </c>
      <c r="E253" t="s">
        <v>898</v>
      </c>
      <c r="F253" t="s">
        <v>898</v>
      </c>
      <c r="G253" t="s">
        <v>67</v>
      </c>
      <c r="H253" t="s">
        <v>898</v>
      </c>
    </row>
    <row r="254">
      <c r="B254" t="s">
        <v>898</v>
      </c>
      <c r="C254" t="s">
        <v>898</v>
      </c>
      <c r="D254" t="s">
        <v>898</v>
      </c>
      <c r="E254" t="s">
        <v>898</v>
      </c>
      <c r="F254" t="s">
        <v>898</v>
      </c>
      <c r="G254" t="s">
        <v>67</v>
      </c>
      <c r="H254" t="s">
        <v>898</v>
      </c>
    </row>
    <row r="255">
      <c r="B255" t="s">
        <v>898</v>
      </c>
      <c r="C255" t="s">
        <v>898</v>
      </c>
      <c r="D255" t="s">
        <v>898</v>
      </c>
      <c r="E255" t="s">
        <v>898</v>
      </c>
      <c r="F255" t="s">
        <v>898</v>
      </c>
      <c r="G255" t="s">
        <v>67</v>
      </c>
      <c r="H255" t="s">
        <v>898</v>
      </c>
    </row>
    <row r="256">
      <c r="B256" t="s">
        <v>898</v>
      </c>
      <c r="C256" t="s">
        <v>898</v>
      </c>
      <c r="D256" t="s">
        <v>898</v>
      </c>
      <c r="E256" t="s">
        <v>898</v>
      </c>
      <c r="F256" t="s">
        <v>898</v>
      </c>
      <c r="G256" t="s">
        <v>67</v>
      </c>
      <c r="H256" t="s">
        <v>898</v>
      </c>
    </row>
    <row r="257">
      <c r="B257" t="s">
        <v>898</v>
      </c>
      <c r="C257" t="s">
        <v>898</v>
      </c>
      <c r="D257" t="s">
        <v>898</v>
      </c>
      <c r="E257" t="s">
        <v>898</v>
      </c>
      <c r="F257" t="s">
        <v>898</v>
      </c>
      <c r="G257" t="s">
        <v>67</v>
      </c>
      <c r="H257" t="s">
        <v>898</v>
      </c>
    </row>
    <row r="258">
      <c r="B258" t="s">
        <v>898</v>
      </c>
      <c r="C258" t="s">
        <v>898</v>
      </c>
      <c r="D258" t="s">
        <v>898</v>
      </c>
      <c r="E258" t="s">
        <v>898</v>
      </c>
      <c r="F258" t="s">
        <v>898</v>
      </c>
      <c r="G258" t="s">
        <v>67</v>
      </c>
      <c r="H258" t="s">
        <v>898</v>
      </c>
    </row>
    <row r="259">
      <c r="B259" t="s">
        <v>898</v>
      </c>
      <c r="C259" t="s">
        <v>898</v>
      </c>
      <c r="D259" t="s">
        <v>898</v>
      </c>
      <c r="E259" t="s">
        <v>898</v>
      </c>
      <c r="F259" t="s">
        <v>898</v>
      </c>
      <c r="G259" t="s">
        <v>67</v>
      </c>
      <c r="H259" t="s">
        <v>898</v>
      </c>
    </row>
    <row r="260">
      <c r="B260" t="s">
        <v>898</v>
      </c>
      <c r="C260" t="s">
        <v>898</v>
      </c>
      <c r="D260" t="s">
        <v>898</v>
      </c>
      <c r="E260" t="s">
        <v>898</v>
      </c>
      <c r="F260" t="s">
        <v>898</v>
      </c>
      <c r="G260" t="s">
        <v>67</v>
      </c>
      <c r="H260" t="s">
        <v>898</v>
      </c>
    </row>
    <row r="261">
      <c r="B261" t="s">
        <v>898</v>
      </c>
      <c r="C261" t="s">
        <v>898</v>
      </c>
      <c r="D261" t="s">
        <v>898</v>
      </c>
      <c r="E261" t="s">
        <v>898</v>
      </c>
      <c r="F261" t="s">
        <v>898</v>
      </c>
      <c r="G261" t="s">
        <v>67</v>
      </c>
      <c r="H261" t="s">
        <v>898</v>
      </c>
    </row>
    <row r="262">
      <c r="B262" t="s">
        <v>898</v>
      </c>
      <c r="C262" t="s">
        <v>898</v>
      </c>
      <c r="D262" t="s">
        <v>898</v>
      </c>
      <c r="E262" t="s">
        <v>898</v>
      </c>
      <c r="F262" t="s">
        <v>898</v>
      </c>
      <c r="G262" t="s">
        <v>67</v>
      </c>
      <c r="H262" t="s">
        <v>898</v>
      </c>
    </row>
    <row r="263">
      <c r="B263" t="s">
        <v>898</v>
      </c>
      <c r="C263" t="s">
        <v>898</v>
      </c>
      <c r="D263" t="s">
        <v>898</v>
      </c>
      <c r="E263" t="s">
        <v>898</v>
      </c>
      <c r="F263" t="s">
        <v>898</v>
      </c>
      <c r="G263" t="s">
        <v>67</v>
      </c>
      <c r="H263" t="s">
        <v>898</v>
      </c>
    </row>
    <row r="264">
      <c r="B264" t="s">
        <v>898</v>
      </c>
      <c r="C264" t="s">
        <v>898</v>
      </c>
      <c r="D264" t="s">
        <v>898</v>
      </c>
      <c r="E264" t="s">
        <v>898</v>
      </c>
      <c r="F264" t="s">
        <v>898</v>
      </c>
      <c r="G264" t="s">
        <v>67</v>
      </c>
      <c r="H264" t="s">
        <v>898</v>
      </c>
    </row>
    <row r="265">
      <c r="B265" t="s">
        <v>898</v>
      </c>
      <c r="C265" t="s">
        <v>898</v>
      </c>
      <c r="D265" t="s">
        <v>898</v>
      </c>
      <c r="E265" t="s">
        <v>898</v>
      </c>
      <c r="F265" t="s">
        <v>898</v>
      </c>
      <c r="G265" t="s">
        <v>67</v>
      </c>
      <c r="H265" t="s">
        <v>898</v>
      </c>
    </row>
    <row r="266">
      <c r="B266" t="s">
        <v>898</v>
      </c>
      <c r="C266" t="s">
        <v>898</v>
      </c>
      <c r="D266" t="s">
        <v>898</v>
      </c>
      <c r="E266" t="s">
        <v>898</v>
      </c>
      <c r="F266" t="s">
        <v>898</v>
      </c>
      <c r="G266" t="s">
        <v>67</v>
      </c>
      <c r="H266" t="s">
        <v>898</v>
      </c>
    </row>
    <row r="267">
      <c r="B267" t="s">
        <v>898</v>
      </c>
      <c r="C267" t="s">
        <v>898</v>
      </c>
      <c r="D267" t="s">
        <v>898</v>
      </c>
      <c r="E267" t="s">
        <v>898</v>
      </c>
      <c r="F267" t="s">
        <v>898</v>
      </c>
      <c r="G267" t="s">
        <v>67</v>
      </c>
      <c r="H267" t="s">
        <v>898</v>
      </c>
    </row>
    <row r="268">
      <c r="B268" t="s">
        <v>898</v>
      </c>
      <c r="C268" t="s">
        <v>898</v>
      </c>
      <c r="D268" t="s">
        <v>898</v>
      </c>
      <c r="E268" t="s">
        <v>898</v>
      </c>
      <c r="F268" t="s">
        <v>898</v>
      </c>
      <c r="G268" t="s">
        <v>67</v>
      </c>
      <c r="H268" t="s">
        <v>898</v>
      </c>
    </row>
    <row r="269">
      <c r="B269" t="s">
        <v>898</v>
      </c>
      <c r="C269" t="s">
        <v>898</v>
      </c>
      <c r="D269" t="s">
        <v>898</v>
      </c>
      <c r="E269" t="s">
        <v>898</v>
      </c>
      <c r="F269" t="s">
        <v>898</v>
      </c>
      <c r="G269" t="s">
        <v>67</v>
      </c>
      <c r="H269" t="s">
        <v>898</v>
      </c>
    </row>
    <row r="270">
      <c r="B270" t="s">
        <v>898</v>
      </c>
      <c r="C270" t="s">
        <v>898</v>
      </c>
      <c r="D270" t="s">
        <v>898</v>
      </c>
      <c r="E270" t="s">
        <v>898</v>
      </c>
      <c r="F270" t="s">
        <v>898</v>
      </c>
      <c r="G270" t="s">
        <v>67</v>
      </c>
      <c r="H270" t="s">
        <v>898</v>
      </c>
    </row>
    <row r="271">
      <c r="B271" t="s">
        <v>898</v>
      </c>
      <c r="C271" t="s">
        <v>898</v>
      </c>
      <c r="D271" t="s">
        <v>898</v>
      </c>
      <c r="E271" t="s">
        <v>898</v>
      </c>
      <c r="F271" t="s">
        <v>898</v>
      </c>
      <c r="G271" t="s">
        <v>67</v>
      </c>
      <c r="H271" t="s">
        <v>898</v>
      </c>
    </row>
    <row r="272">
      <c r="B272" t="s">
        <v>898</v>
      </c>
      <c r="C272" t="s">
        <v>898</v>
      </c>
      <c r="D272" t="s">
        <v>898</v>
      </c>
      <c r="E272" t="s">
        <v>898</v>
      </c>
      <c r="F272" t="s">
        <v>898</v>
      </c>
      <c r="G272" t="s">
        <v>67</v>
      </c>
      <c r="H272" t="s">
        <v>898</v>
      </c>
    </row>
    <row r="273">
      <c r="B273" t="s">
        <v>898</v>
      </c>
      <c r="C273" t="s">
        <v>898</v>
      </c>
      <c r="D273" t="s">
        <v>898</v>
      </c>
      <c r="E273" t="s">
        <v>898</v>
      </c>
      <c r="F273" t="s">
        <v>898</v>
      </c>
      <c r="G273" t="s">
        <v>67</v>
      </c>
      <c r="H273" t="s">
        <v>898</v>
      </c>
    </row>
    <row r="274">
      <c r="B274" t="s">
        <v>898</v>
      </c>
      <c r="C274" t="s">
        <v>898</v>
      </c>
      <c r="D274" t="s">
        <v>898</v>
      </c>
      <c r="E274" t="s">
        <v>898</v>
      </c>
      <c r="F274" t="s">
        <v>898</v>
      </c>
      <c r="G274" t="s">
        <v>67</v>
      </c>
      <c r="H274" t="s">
        <v>898</v>
      </c>
    </row>
    <row r="275">
      <c r="B275" t="s">
        <v>898</v>
      </c>
      <c r="C275" t="s">
        <v>898</v>
      </c>
      <c r="D275" t="s">
        <v>898</v>
      </c>
      <c r="E275" t="s">
        <v>898</v>
      </c>
      <c r="F275" t="s">
        <v>898</v>
      </c>
      <c r="G275" t="s">
        <v>67</v>
      </c>
      <c r="H275" t="s">
        <v>898</v>
      </c>
    </row>
    <row r="276">
      <c r="B276" t="s">
        <v>898</v>
      </c>
      <c r="C276" t="s">
        <v>898</v>
      </c>
      <c r="D276" t="s">
        <v>898</v>
      </c>
      <c r="E276" t="s">
        <v>898</v>
      </c>
      <c r="F276" t="s">
        <v>898</v>
      </c>
      <c r="G276" t="s">
        <v>67</v>
      </c>
      <c r="H276" t="s">
        <v>898</v>
      </c>
    </row>
    <row r="277">
      <c r="B277" t="s">
        <v>898</v>
      </c>
      <c r="C277" t="s">
        <v>898</v>
      </c>
      <c r="D277" t="s">
        <v>898</v>
      </c>
      <c r="E277" t="s">
        <v>898</v>
      </c>
      <c r="F277" t="s">
        <v>898</v>
      </c>
      <c r="G277" t="s">
        <v>67</v>
      </c>
      <c r="H277" t="s">
        <v>898</v>
      </c>
    </row>
    <row r="278">
      <c r="B278" t="s">
        <v>898</v>
      </c>
      <c r="C278" t="s">
        <v>898</v>
      </c>
      <c r="D278" t="s">
        <v>898</v>
      </c>
      <c r="E278" t="s">
        <v>898</v>
      </c>
      <c r="F278" t="s">
        <v>898</v>
      </c>
      <c r="G278" t="s">
        <v>67</v>
      </c>
      <c r="H278" t="s">
        <v>898</v>
      </c>
    </row>
    <row r="279">
      <c r="B279" t="s">
        <v>898</v>
      </c>
      <c r="C279" t="s">
        <v>898</v>
      </c>
      <c r="D279" t="s">
        <v>898</v>
      </c>
      <c r="E279" t="s">
        <v>898</v>
      </c>
      <c r="F279" t="s">
        <v>898</v>
      </c>
      <c r="G279" t="s">
        <v>67</v>
      </c>
      <c r="H279" t="s">
        <v>898</v>
      </c>
    </row>
    <row r="280">
      <c r="B280" t="s">
        <v>898</v>
      </c>
      <c r="C280" t="s">
        <v>898</v>
      </c>
      <c r="D280" t="s">
        <v>898</v>
      </c>
      <c r="E280" t="s">
        <v>898</v>
      </c>
      <c r="F280" t="s">
        <v>898</v>
      </c>
      <c r="G280" t="s">
        <v>67</v>
      </c>
      <c r="H280" t="s">
        <v>898</v>
      </c>
    </row>
    <row r="281">
      <c r="B281" t="s">
        <v>898</v>
      </c>
      <c r="C281" t="s">
        <v>898</v>
      </c>
      <c r="D281" t="s">
        <v>898</v>
      </c>
      <c r="E281" t="s">
        <v>898</v>
      </c>
      <c r="F281" t="s">
        <v>898</v>
      </c>
      <c r="G281" t="s">
        <v>67</v>
      </c>
      <c r="H281" t="s">
        <v>898</v>
      </c>
    </row>
    <row r="282">
      <c r="B282" t="s">
        <v>898</v>
      </c>
      <c r="C282" t="s">
        <v>898</v>
      </c>
      <c r="D282" t="s">
        <v>898</v>
      </c>
      <c r="E282" t="s">
        <v>898</v>
      </c>
      <c r="F282" t="s">
        <v>898</v>
      </c>
      <c r="G282" t="s">
        <v>67</v>
      </c>
      <c r="H282" t="s">
        <v>898</v>
      </c>
    </row>
    <row r="283">
      <c r="B283" t="s">
        <v>898</v>
      </c>
      <c r="C283" t="s">
        <v>898</v>
      </c>
      <c r="D283" t="s">
        <v>898</v>
      </c>
      <c r="E283" t="s">
        <v>898</v>
      </c>
      <c r="F283" t="s">
        <v>898</v>
      </c>
      <c r="G283" t="s">
        <v>67</v>
      </c>
      <c r="H283" t="s">
        <v>898</v>
      </c>
    </row>
    <row r="284">
      <c r="B284" t="s">
        <v>898</v>
      </c>
      <c r="C284" t="s">
        <v>898</v>
      </c>
      <c r="D284" t="s">
        <v>898</v>
      </c>
      <c r="E284" t="s">
        <v>898</v>
      </c>
      <c r="F284" t="s">
        <v>898</v>
      </c>
      <c r="G284" t="s">
        <v>67</v>
      </c>
      <c r="H284" t="s">
        <v>898</v>
      </c>
    </row>
    <row r="285">
      <c r="B285" t="s">
        <v>898</v>
      </c>
      <c r="C285" t="s">
        <v>898</v>
      </c>
      <c r="D285" t="s">
        <v>898</v>
      </c>
      <c r="E285" t="s">
        <v>898</v>
      </c>
      <c r="F285" t="s">
        <v>898</v>
      </c>
      <c r="G285" t="s">
        <v>67</v>
      </c>
      <c r="H285" t="s">
        <v>898</v>
      </c>
    </row>
    <row r="286">
      <c r="B286" t="s">
        <v>898</v>
      </c>
      <c r="C286" t="s">
        <v>898</v>
      </c>
      <c r="D286" t="s">
        <v>898</v>
      </c>
      <c r="E286" t="s">
        <v>898</v>
      </c>
      <c r="F286" t="s">
        <v>898</v>
      </c>
      <c r="G286" t="s">
        <v>67</v>
      </c>
      <c r="H286" t="s">
        <v>898</v>
      </c>
    </row>
    <row r="287">
      <c r="B287" t="s">
        <v>898</v>
      </c>
      <c r="C287" t="s">
        <v>898</v>
      </c>
      <c r="D287" t="s">
        <v>898</v>
      </c>
      <c r="E287" t="s">
        <v>898</v>
      </c>
      <c r="F287" t="s">
        <v>898</v>
      </c>
      <c r="G287" t="s">
        <v>67</v>
      </c>
      <c r="H287" t="s">
        <v>898</v>
      </c>
    </row>
    <row r="288">
      <c r="B288" t="s">
        <v>898</v>
      </c>
      <c r="C288" t="s">
        <v>898</v>
      </c>
      <c r="D288" t="s">
        <v>898</v>
      </c>
      <c r="E288" t="s">
        <v>898</v>
      </c>
      <c r="F288" t="s">
        <v>898</v>
      </c>
      <c r="G288" t="s">
        <v>67</v>
      </c>
      <c r="H288" t="s">
        <v>898</v>
      </c>
    </row>
    <row r="289">
      <c r="B289" t="s">
        <v>898</v>
      </c>
      <c r="C289" t="s">
        <v>898</v>
      </c>
      <c r="D289" t="s">
        <v>898</v>
      </c>
      <c r="E289" t="s">
        <v>898</v>
      </c>
      <c r="F289" t="s">
        <v>898</v>
      </c>
      <c r="G289" t="s">
        <v>67</v>
      </c>
      <c r="H289" t="s">
        <v>898</v>
      </c>
    </row>
    <row r="290">
      <c r="B290" t="s">
        <v>898</v>
      </c>
      <c r="C290" t="s">
        <v>898</v>
      </c>
      <c r="D290" t="s">
        <v>898</v>
      </c>
      <c r="E290" t="s">
        <v>898</v>
      </c>
      <c r="F290" t="s">
        <v>898</v>
      </c>
      <c r="G290" t="s">
        <v>67</v>
      </c>
      <c r="H290" t="s">
        <v>898</v>
      </c>
    </row>
    <row r="291">
      <c r="B291" t="s">
        <v>898</v>
      </c>
      <c r="C291" t="s">
        <v>898</v>
      </c>
      <c r="D291" t="s">
        <v>898</v>
      </c>
      <c r="E291" t="s">
        <v>898</v>
      </c>
      <c r="F291" t="s">
        <v>898</v>
      </c>
      <c r="G291" t="s">
        <v>67</v>
      </c>
      <c r="H291" t="s">
        <v>898</v>
      </c>
    </row>
    <row r="292">
      <c r="B292" t="s">
        <v>898</v>
      </c>
      <c r="C292" t="s">
        <v>898</v>
      </c>
      <c r="D292" t="s">
        <v>898</v>
      </c>
      <c r="E292" t="s">
        <v>898</v>
      </c>
      <c r="F292" t="s">
        <v>898</v>
      </c>
      <c r="G292" t="s">
        <v>67</v>
      </c>
      <c r="H292" t="s">
        <v>898</v>
      </c>
    </row>
    <row r="293">
      <c r="B293" t="s">
        <v>898</v>
      </c>
      <c r="C293" t="s">
        <v>898</v>
      </c>
      <c r="D293" t="s">
        <v>898</v>
      </c>
      <c r="E293" t="s">
        <v>898</v>
      </c>
      <c r="F293" t="s">
        <v>898</v>
      </c>
      <c r="G293" t="s">
        <v>67</v>
      </c>
      <c r="H293" t="s">
        <v>898</v>
      </c>
    </row>
    <row r="294">
      <c r="B294" t="s">
        <v>898</v>
      </c>
      <c r="C294" t="s">
        <v>898</v>
      </c>
      <c r="D294" t="s">
        <v>898</v>
      </c>
      <c r="E294" t="s">
        <v>898</v>
      </c>
      <c r="F294" t="s">
        <v>898</v>
      </c>
      <c r="G294" t="s">
        <v>67</v>
      </c>
      <c r="H294" t="s">
        <v>898</v>
      </c>
    </row>
    <row r="295">
      <c r="B295" t="s">
        <v>898</v>
      </c>
      <c r="C295" t="s">
        <v>898</v>
      </c>
      <c r="D295" t="s">
        <v>898</v>
      </c>
      <c r="E295" t="s">
        <v>898</v>
      </c>
      <c r="F295" t="s">
        <v>898</v>
      </c>
      <c r="G295" t="s">
        <v>67</v>
      </c>
      <c r="H295" t="s">
        <v>898</v>
      </c>
    </row>
    <row r="296">
      <c r="B296" t="s">
        <v>898</v>
      </c>
      <c r="C296" t="s">
        <v>898</v>
      </c>
      <c r="D296" t="s">
        <v>898</v>
      </c>
      <c r="E296" t="s">
        <v>898</v>
      </c>
      <c r="F296" t="s">
        <v>898</v>
      </c>
      <c r="G296" t="s">
        <v>67</v>
      </c>
      <c r="H296" t="s">
        <v>898</v>
      </c>
    </row>
    <row r="297">
      <c r="B297" t="s">
        <v>898</v>
      </c>
      <c r="C297" t="s">
        <v>898</v>
      </c>
      <c r="D297" t="s">
        <v>898</v>
      </c>
      <c r="E297" t="s">
        <v>898</v>
      </c>
      <c r="F297" t="s">
        <v>898</v>
      </c>
      <c r="G297" t="s">
        <v>67</v>
      </c>
      <c r="H297" t="s">
        <v>898</v>
      </c>
    </row>
    <row r="298">
      <c r="B298" t="s">
        <v>898</v>
      </c>
      <c r="C298" t="s">
        <v>898</v>
      </c>
      <c r="D298" t="s">
        <v>898</v>
      </c>
      <c r="E298" t="s">
        <v>898</v>
      </c>
      <c r="F298" t="s">
        <v>898</v>
      </c>
      <c r="G298" t="s">
        <v>67</v>
      </c>
      <c r="H298" t="s">
        <v>898</v>
      </c>
    </row>
    <row r="299">
      <c r="B299" t="s">
        <v>898</v>
      </c>
      <c r="C299" t="s">
        <v>898</v>
      </c>
      <c r="D299" t="s">
        <v>898</v>
      </c>
      <c r="E299" t="s">
        <v>898</v>
      </c>
      <c r="F299" t="s">
        <v>898</v>
      </c>
      <c r="G299" t="s">
        <v>67</v>
      </c>
      <c r="H299" t="s">
        <v>898</v>
      </c>
    </row>
    <row r="300">
      <c r="B300" t="s">
        <v>898</v>
      </c>
      <c r="C300" t="s">
        <v>898</v>
      </c>
      <c r="D300" t="s">
        <v>898</v>
      </c>
      <c r="E300" t="s">
        <v>898</v>
      </c>
      <c r="F300" t="s">
        <v>898</v>
      </c>
      <c r="G300" t="s">
        <v>67</v>
      </c>
      <c r="H300" t="s">
        <v>898</v>
      </c>
    </row>
    <row r="301">
      <c r="B301" t="s">
        <v>898</v>
      </c>
      <c r="C301" t="s">
        <v>898</v>
      </c>
      <c r="D301" t="s">
        <v>898</v>
      </c>
      <c r="E301" t="s">
        <v>898</v>
      </c>
      <c r="F301" t="s">
        <v>898</v>
      </c>
      <c r="G301" t="s">
        <v>67</v>
      </c>
      <c r="H301" t="s">
        <v>898</v>
      </c>
    </row>
    <row r="302">
      <c r="B302" t="s">
        <v>898</v>
      </c>
      <c r="C302" t="s">
        <v>898</v>
      </c>
      <c r="D302" t="s">
        <v>898</v>
      </c>
      <c r="E302" t="s">
        <v>898</v>
      </c>
      <c r="F302" t="s">
        <v>898</v>
      </c>
      <c r="G302" t="s">
        <v>67</v>
      </c>
      <c r="H302" t="s">
        <v>898</v>
      </c>
    </row>
    <row r="303">
      <c r="B303" t="s">
        <v>898</v>
      </c>
      <c r="C303" t="s">
        <v>898</v>
      </c>
      <c r="D303" t="s">
        <v>898</v>
      </c>
      <c r="E303" t="s">
        <v>898</v>
      </c>
      <c r="F303" t="s">
        <v>898</v>
      </c>
      <c r="G303" t="s">
        <v>67</v>
      </c>
      <c r="H303" t="s">
        <v>898</v>
      </c>
    </row>
    <row r="304">
      <c r="B304" t="s">
        <v>898</v>
      </c>
      <c r="C304" t="s">
        <v>898</v>
      </c>
      <c r="D304" t="s">
        <v>898</v>
      </c>
      <c r="E304" t="s">
        <v>898</v>
      </c>
      <c r="F304" t="s">
        <v>898</v>
      </c>
      <c r="G304" t="s">
        <v>67</v>
      </c>
      <c r="H304" t="s">
        <v>898</v>
      </c>
    </row>
    <row r="305">
      <c r="B305" t="s">
        <v>898</v>
      </c>
      <c r="C305" t="s">
        <v>898</v>
      </c>
      <c r="D305" t="s">
        <v>898</v>
      </c>
      <c r="E305" t="s">
        <v>898</v>
      </c>
      <c r="F305" t="s">
        <v>898</v>
      </c>
      <c r="G305" t="s">
        <v>67</v>
      </c>
      <c r="H305" t="s">
        <v>898</v>
      </c>
    </row>
    <row r="306">
      <c r="B306" t="s">
        <v>898</v>
      </c>
      <c r="C306" t="s">
        <v>898</v>
      </c>
      <c r="D306" t="s">
        <v>898</v>
      </c>
      <c r="E306" t="s">
        <v>898</v>
      </c>
      <c r="F306" t="s">
        <v>898</v>
      </c>
      <c r="G306" t="s">
        <v>67</v>
      </c>
      <c r="H306" t="s">
        <v>898</v>
      </c>
    </row>
    <row r="307">
      <c r="B307" t="s">
        <v>898</v>
      </c>
      <c r="C307" t="s">
        <v>898</v>
      </c>
      <c r="D307" t="s">
        <v>898</v>
      </c>
      <c r="E307" t="s">
        <v>898</v>
      </c>
      <c r="F307" t="s">
        <v>898</v>
      </c>
      <c r="G307" t="s">
        <v>67</v>
      </c>
      <c r="H307" t="s">
        <v>898</v>
      </c>
    </row>
    <row r="308">
      <c r="B308" t="s">
        <v>898</v>
      </c>
      <c r="C308" t="s">
        <v>898</v>
      </c>
      <c r="D308" t="s">
        <v>898</v>
      </c>
      <c r="E308" t="s">
        <v>898</v>
      </c>
      <c r="F308" t="s">
        <v>898</v>
      </c>
      <c r="G308" t="s">
        <v>67</v>
      </c>
      <c r="H308" t="s">
        <v>898</v>
      </c>
    </row>
    <row r="309">
      <c r="B309" t="s">
        <v>898</v>
      </c>
      <c r="C309" t="s">
        <v>898</v>
      </c>
      <c r="D309" t="s">
        <v>898</v>
      </c>
      <c r="E309" t="s">
        <v>898</v>
      </c>
      <c r="F309" t="s">
        <v>898</v>
      </c>
      <c r="G309" t="s">
        <v>67</v>
      </c>
      <c r="H309" t="s">
        <v>898</v>
      </c>
    </row>
    <row r="310">
      <c r="B310" t="s">
        <v>898</v>
      </c>
      <c r="C310" t="s">
        <v>898</v>
      </c>
      <c r="D310" t="s">
        <v>898</v>
      </c>
      <c r="E310" t="s">
        <v>898</v>
      </c>
      <c r="F310" t="s">
        <v>898</v>
      </c>
      <c r="G310" t="s">
        <v>67</v>
      </c>
      <c r="H310" t="s">
        <v>898</v>
      </c>
    </row>
    <row r="311">
      <c r="B311" t="s">
        <v>898</v>
      </c>
      <c r="C311" t="s">
        <v>898</v>
      </c>
      <c r="D311" t="s">
        <v>898</v>
      </c>
      <c r="E311" t="s">
        <v>898</v>
      </c>
      <c r="F311" t="s">
        <v>898</v>
      </c>
      <c r="G311" t="s">
        <v>67</v>
      </c>
      <c r="H311" t="s">
        <v>898</v>
      </c>
    </row>
    <row r="312">
      <c r="B312" t="s">
        <v>898</v>
      </c>
      <c r="C312" t="s">
        <v>898</v>
      </c>
      <c r="D312" t="s">
        <v>898</v>
      </c>
      <c r="E312" t="s">
        <v>898</v>
      </c>
      <c r="F312" t="s">
        <v>898</v>
      </c>
      <c r="G312" t="s">
        <v>67</v>
      </c>
      <c r="H312" t="s">
        <v>898</v>
      </c>
    </row>
    <row r="313">
      <c r="B313" t="s">
        <v>898</v>
      </c>
      <c r="C313" t="s">
        <v>898</v>
      </c>
      <c r="D313" t="s">
        <v>898</v>
      </c>
      <c r="E313" t="s">
        <v>898</v>
      </c>
      <c r="F313" t="s">
        <v>898</v>
      </c>
      <c r="G313" t="s">
        <v>67</v>
      </c>
      <c r="H313" t="s">
        <v>898</v>
      </c>
    </row>
    <row r="314">
      <c r="B314" t="s">
        <v>898</v>
      </c>
      <c r="C314" t="s">
        <v>898</v>
      </c>
      <c r="D314" t="s">
        <v>898</v>
      </c>
      <c r="E314" t="s">
        <v>898</v>
      </c>
      <c r="F314" t="s">
        <v>898</v>
      </c>
      <c r="G314" t="s">
        <v>67</v>
      </c>
      <c r="H314" t="s">
        <v>898</v>
      </c>
    </row>
    <row r="315">
      <c r="B315" t="s">
        <v>898</v>
      </c>
      <c r="C315" t="s">
        <v>898</v>
      </c>
      <c r="D315" t="s">
        <v>898</v>
      </c>
      <c r="E315" t="s">
        <v>898</v>
      </c>
      <c r="F315" t="s">
        <v>898</v>
      </c>
      <c r="G315" t="s">
        <v>67</v>
      </c>
      <c r="H315" t="s">
        <v>898</v>
      </c>
    </row>
    <row r="316">
      <c r="B316" t="s">
        <v>898</v>
      </c>
      <c r="C316" t="s">
        <v>898</v>
      </c>
      <c r="D316" t="s">
        <v>898</v>
      </c>
      <c r="E316" t="s">
        <v>898</v>
      </c>
      <c r="F316" t="s">
        <v>898</v>
      </c>
      <c r="G316" t="s">
        <v>67</v>
      </c>
      <c r="H316" t="s">
        <v>898</v>
      </c>
    </row>
    <row r="317">
      <c r="B317" t="s">
        <v>898</v>
      </c>
      <c r="C317" t="s">
        <v>898</v>
      </c>
      <c r="D317" t="s">
        <v>898</v>
      </c>
      <c r="E317" t="s">
        <v>898</v>
      </c>
      <c r="F317" t="s">
        <v>898</v>
      </c>
      <c r="G317" t="s">
        <v>67</v>
      </c>
      <c r="H317" t="s">
        <v>898</v>
      </c>
    </row>
    <row r="318">
      <c r="B318" t="s">
        <v>898</v>
      </c>
      <c r="C318" t="s">
        <v>898</v>
      </c>
      <c r="D318" t="s">
        <v>898</v>
      </c>
      <c r="E318" t="s">
        <v>898</v>
      </c>
      <c r="F318" t="s">
        <v>898</v>
      </c>
      <c r="G318" t="s">
        <v>67</v>
      </c>
      <c r="H318" t="s">
        <v>898</v>
      </c>
    </row>
    <row r="319">
      <c r="B319" t="s">
        <v>898</v>
      </c>
      <c r="C319" t="s">
        <v>898</v>
      </c>
      <c r="D319" t="s">
        <v>898</v>
      </c>
      <c r="E319" t="s">
        <v>898</v>
      </c>
      <c r="F319" t="s">
        <v>898</v>
      </c>
      <c r="G319" t="s">
        <v>67</v>
      </c>
      <c r="H319" t="s">
        <v>898</v>
      </c>
    </row>
    <row r="320">
      <c r="B320" t="s">
        <v>898</v>
      </c>
      <c r="C320" t="s">
        <v>898</v>
      </c>
      <c r="D320" t="s">
        <v>898</v>
      </c>
      <c r="E320" t="s">
        <v>898</v>
      </c>
      <c r="F320" t="s">
        <v>898</v>
      </c>
      <c r="G320" t="s">
        <v>67</v>
      </c>
      <c r="H320" t="s">
        <v>898</v>
      </c>
    </row>
    <row r="321">
      <c r="B321" t="s">
        <v>898</v>
      </c>
      <c r="C321" t="s">
        <v>898</v>
      </c>
      <c r="D321" t="s">
        <v>898</v>
      </c>
      <c r="E321" t="s">
        <v>898</v>
      </c>
      <c r="F321" t="s">
        <v>898</v>
      </c>
      <c r="G321" t="s">
        <v>67</v>
      </c>
      <c r="H321" t="s">
        <v>898</v>
      </c>
    </row>
    <row r="322">
      <c r="B322" t="s">
        <v>898</v>
      </c>
      <c r="C322" t="s">
        <v>898</v>
      </c>
      <c r="D322" t="s">
        <v>898</v>
      </c>
      <c r="E322" t="s">
        <v>898</v>
      </c>
      <c r="F322" t="s">
        <v>898</v>
      </c>
      <c r="G322" t="s">
        <v>67</v>
      </c>
      <c r="H322" t="s">
        <v>898</v>
      </c>
    </row>
    <row r="323">
      <c r="B323" t="s">
        <v>898</v>
      </c>
      <c r="C323" t="s">
        <v>898</v>
      </c>
      <c r="D323" t="s">
        <v>898</v>
      </c>
      <c r="E323" t="s">
        <v>898</v>
      </c>
      <c r="F323" t="s">
        <v>898</v>
      </c>
      <c r="G323" t="s">
        <v>67</v>
      </c>
      <c r="H323" t="s">
        <v>898</v>
      </c>
    </row>
    <row r="324">
      <c r="B324" t="s">
        <v>898</v>
      </c>
      <c r="C324" t="s">
        <v>898</v>
      </c>
      <c r="D324" t="s">
        <v>898</v>
      </c>
      <c r="E324" t="s">
        <v>898</v>
      </c>
      <c r="F324" t="s">
        <v>898</v>
      </c>
      <c r="G324" t="s">
        <v>67</v>
      </c>
      <c r="H324" t="s">
        <v>898</v>
      </c>
    </row>
    <row r="325">
      <c r="B325" t="s">
        <v>898</v>
      </c>
      <c r="C325" t="s">
        <v>898</v>
      </c>
      <c r="D325" t="s">
        <v>898</v>
      </c>
      <c r="E325" t="s">
        <v>898</v>
      </c>
      <c r="F325" t="s">
        <v>898</v>
      </c>
      <c r="G325" t="s">
        <v>67</v>
      </c>
      <c r="H325" t="s">
        <v>898</v>
      </c>
    </row>
    <row r="326">
      <c r="B326" t="s">
        <v>898</v>
      </c>
      <c r="C326" t="s">
        <v>898</v>
      </c>
      <c r="D326" t="s">
        <v>898</v>
      </c>
      <c r="E326" t="s">
        <v>898</v>
      </c>
      <c r="F326" t="s">
        <v>898</v>
      </c>
      <c r="G326" t="s">
        <v>67</v>
      </c>
      <c r="H326" t="s">
        <v>898</v>
      </c>
    </row>
    <row r="327">
      <c r="B327" t="s">
        <v>898</v>
      </c>
      <c r="C327" t="s">
        <v>898</v>
      </c>
      <c r="D327" t="s">
        <v>898</v>
      </c>
      <c r="E327" t="s">
        <v>898</v>
      </c>
      <c r="F327" t="s">
        <v>898</v>
      </c>
      <c r="G327" t="s">
        <v>67</v>
      </c>
      <c r="H327" t="s">
        <v>898</v>
      </c>
    </row>
    <row r="328">
      <c r="B328" t="s">
        <v>898</v>
      </c>
      <c r="C328" t="s">
        <v>898</v>
      </c>
      <c r="D328" t="s">
        <v>898</v>
      </c>
      <c r="E328" t="s">
        <v>898</v>
      </c>
      <c r="F328" t="s">
        <v>898</v>
      </c>
      <c r="G328" t="s">
        <v>67</v>
      </c>
      <c r="H328" t="s">
        <v>898</v>
      </c>
    </row>
    <row r="329">
      <c r="B329" t="s">
        <v>898</v>
      </c>
      <c r="C329" t="s">
        <v>898</v>
      </c>
      <c r="D329" t="s">
        <v>898</v>
      </c>
      <c r="E329" t="s">
        <v>898</v>
      </c>
      <c r="F329" t="s">
        <v>898</v>
      </c>
      <c r="G329" t="s">
        <v>67</v>
      </c>
      <c r="H329" t="s">
        <v>898</v>
      </c>
    </row>
    <row r="330">
      <c r="B330" t="s">
        <v>898</v>
      </c>
      <c r="C330" t="s">
        <v>898</v>
      </c>
      <c r="D330" t="s">
        <v>898</v>
      </c>
      <c r="E330" t="s">
        <v>898</v>
      </c>
      <c r="F330" t="s">
        <v>898</v>
      </c>
      <c r="G330" t="s">
        <v>67</v>
      </c>
      <c r="H330" t="s">
        <v>898</v>
      </c>
    </row>
    <row r="331">
      <c r="B331" t="s">
        <v>898</v>
      </c>
      <c r="C331" t="s">
        <v>898</v>
      </c>
      <c r="D331" t="s">
        <v>898</v>
      </c>
      <c r="E331" t="s">
        <v>898</v>
      </c>
      <c r="F331" t="s">
        <v>898</v>
      </c>
      <c r="G331" t="s">
        <v>67</v>
      </c>
      <c r="H331" t="s">
        <v>898</v>
      </c>
    </row>
    <row r="332">
      <c r="B332" t="s">
        <v>898</v>
      </c>
      <c r="C332" t="s">
        <v>898</v>
      </c>
      <c r="D332" t="s">
        <v>898</v>
      </c>
      <c r="E332" t="s">
        <v>898</v>
      </c>
      <c r="F332" t="s">
        <v>898</v>
      </c>
      <c r="G332" t="s">
        <v>67</v>
      </c>
      <c r="H332" t="s">
        <v>898</v>
      </c>
    </row>
    <row r="333">
      <c r="B333" t="s">
        <v>898</v>
      </c>
      <c r="C333" t="s">
        <v>898</v>
      </c>
      <c r="D333" t="s">
        <v>898</v>
      </c>
      <c r="E333" t="s">
        <v>898</v>
      </c>
      <c r="F333" t="s">
        <v>898</v>
      </c>
      <c r="G333" t="s">
        <v>67</v>
      </c>
      <c r="H333" t="s">
        <v>898</v>
      </c>
    </row>
    <row r="334">
      <c r="B334" t="s">
        <v>898</v>
      </c>
      <c r="C334" t="s">
        <v>898</v>
      </c>
      <c r="D334" t="s">
        <v>898</v>
      </c>
      <c r="E334" t="s">
        <v>898</v>
      </c>
      <c r="F334" t="s">
        <v>898</v>
      </c>
      <c r="G334" t="s">
        <v>67</v>
      </c>
      <c r="H334" t="s">
        <v>898</v>
      </c>
    </row>
    <row r="335">
      <c r="B335" t="s">
        <v>898</v>
      </c>
      <c r="C335" t="s">
        <v>898</v>
      </c>
      <c r="D335" t="s">
        <v>898</v>
      </c>
      <c r="E335" t="s">
        <v>898</v>
      </c>
      <c r="F335" t="s">
        <v>898</v>
      </c>
      <c r="G335" t="s">
        <v>67</v>
      </c>
      <c r="H335" t="s">
        <v>898</v>
      </c>
    </row>
    <row r="336">
      <c r="B336" t="s">
        <v>898</v>
      </c>
      <c r="C336" t="s">
        <v>898</v>
      </c>
      <c r="D336" t="s">
        <v>898</v>
      </c>
      <c r="E336" t="s">
        <v>898</v>
      </c>
      <c r="F336" t="s">
        <v>898</v>
      </c>
      <c r="G336" t="s">
        <v>67</v>
      </c>
      <c r="H336" t="s">
        <v>898</v>
      </c>
    </row>
    <row r="337">
      <c r="B337" t="s">
        <v>898</v>
      </c>
      <c r="C337" t="s">
        <v>898</v>
      </c>
      <c r="D337" t="s">
        <v>898</v>
      </c>
      <c r="E337" t="s">
        <v>898</v>
      </c>
      <c r="F337" t="s">
        <v>898</v>
      </c>
      <c r="G337" t="s">
        <v>67</v>
      </c>
      <c r="H337" t="s">
        <v>898</v>
      </c>
    </row>
    <row r="338">
      <c r="B338" t="s">
        <v>898</v>
      </c>
      <c r="C338" t="s">
        <v>898</v>
      </c>
      <c r="D338" t="s">
        <v>898</v>
      </c>
      <c r="E338" t="s">
        <v>898</v>
      </c>
      <c r="F338" t="s">
        <v>898</v>
      </c>
      <c r="G338" t="s">
        <v>67</v>
      </c>
      <c r="H338" t="s">
        <v>898</v>
      </c>
    </row>
    <row r="339">
      <c r="B339" t="s">
        <v>898</v>
      </c>
      <c r="C339" t="s">
        <v>898</v>
      </c>
      <c r="D339" t="s">
        <v>898</v>
      </c>
      <c r="E339" t="s">
        <v>898</v>
      </c>
      <c r="F339" t="s">
        <v>898</v>
      </c>
      <c r="G339" t="s">
        <v>67</v>
      </c>
      <c r="H339" t="s">
        <v>898</v>
      </c>
    </row>
    <row r="340">
      <c r="B340" t="s">
        <v>898</v>
      </c>
      <c r="C340" t="s">
        <v>898</v>
      </c>
      <c r="D340" t="s">
        <v>898</v>
      </c>
      <c r="E340" t="s">
        <v>898</v>
      </c>
      <c r="F340" t="s">
        <v>898</v>
      </c>
      <c r="G340" t="s">
        <v>67</v>
      </c>
      <c r="H340" t="s">
        <v>898</v>
      </c>
    </row>
    <row r="341">
      <c r="B341" t="s">
        <v>898</v>
      </c>
      <c r="C341" t="s">
        <v>898</v>
      </c>
      <c r="D341" t="s">
        <v>898</v>
      </c>
      <c r="E341" t="s">
        <v>898</v>
      </c>
      <c r="F341" t="s">
        <v>898</v>
      </c>
      <c r="G341" t="s">
        <v>67</v>
      </c>
      <c r="H341" t="s">
        <v>898</v>
      </c>
    </row>
    <row r="342">
      <c r="B342" t="s">
        <v>898</v>
      </c>
      <c r="C342" t="s">
        <v>898</v>
      </c>
      <c r="D342" t="s">
        <v>898</v>
      </c>
      <c r="E342" t="s">
        <v>898</v>
      </c>
      <c r="F342" t="s">
        <v>898</v>
      </c>
      <c r="G342" t="s">
        <v>67</v>
      </c>
      <c r="H342" t="s">
        <v>898</v>
      </c>
    </row>
    <row r="343">
      <c r="B343" t="s">
        <v>898</v>
      </c>
      <c r="C343" t="s">
        <v>898</v>
      </c>
      <c r="D343" t="s">
        <v>898</v>
      </c>
      <c r="E343" t="s">
        <v>898</v>
      </c>
      <c r="F343" t="s">
        <v>898</v>
      </c>
      <c r="G343" t="s">
        <v>67</v>
      </c>
      <c r="H343" t="s">
        <v>898</v>
      </c>
    </row>
    <row r="344">
      <c r="B344" t="s">
        <v>898</v>
      </c>
      <c r="C344" t="s">
        <v>898</v>
      </c>
      <c r="D344" t="s">
        <v>898</v>
      </c>
      <c r="E344" t="s">
        <v>898</v>
      </c>
      <c r="F344" t="s">
        <v>898</v>
      </c>
      <c r="G344" t="s">
        <v>67</v>
      </c>
      <c r="H344" t="s">
        <v>898</v>
      </c>
    </row>
    <row r="345">
      <c r="B345" t="s">
        <v>898</v>
      </c>
      <c r="C345" t="s">
        <v>898</v>
      </c>
      <c r="D345" t="s">
        <v>898</v>
      </c>
      <c r="E345" t="s">
        <v>898</v>
      </c>
      <c r="F345" t="s">
        <v>898</v>
      </c>
      <c r="G345" t="s">
        <v>67</v>
      </c>
      <c r="H345" t="s">
        <v>898</v>
      </c>
    </row>
    <row r="346">
      <c r="B346" t="s">
        <v>898</v>
      </c>
      <c r="C346" t="s">
        <v>898</v>
      </c>
      <c r="D346" t="s">
        <v>898</v>
      </c>
      <c r="E346" t="s">
        <v>898</v>
      </c>
      <c r="F346" t="s">
        <v>898</v>
      </c>
      <c r="G346" t="s">
        <v>67</v>
      </c>
      <c r="H346" t="s">
        <v>898</v>
      </c>
    </row>
    <row r="347">
      <c r="B347" t="s">
        <v>898</v>
      </c>
      <c r="C347" t="s">
        <v>898</v>
      </c>
      <c r="D347" t="s">
        <v>898</v>
      </c>
      <c r="E347" t="s">
        <v>898</v>
      </c>
      <c r="F347" t="s">
        <v>898</v>
      </c>
      <c r="G347" t="s">
        <v>67</v>
      </c>
      <c r="H347" t="s">
        <v>898</v>
      </c>
    </row>
    <row r="348">
      <c r="B348" t="s">
        <v>898</v>
      </c>
      <c r="C348" t="s">
        <v>898</v>
      </c>
      <c r="D348" t="s">
        <v>898</v>
      </c>
      <c r="E348" t="s">
        <v>898</v>
      </c>
      <c r="F348" t="s">
        <v>898</v>
      </c>
      <c r="G348" t="s">
        <v>67</v>
      </c>
      <c r="H348" t="s">
        <v>898</v>
      </c>
    </row>
    <row r="349">
      <c r="B349" t="s">
        <v>898</v>
      </c>
      <c r="C349" t="s">
        <v>898</v>
      </c>
      <c r="D349" t="s">
        <v>898</v>
      </c>
      <c r="E349" t="s">
        <v>898</v>
      </c>
      <c r="F349" t="s">
        <v>898</v>
      </c>
      <c r="G349" t="s">
        <v>67</v>
      </c>
      <c r="H349" t="s">
        <v>898</v>
      </c>
    </row>
    <row r="350">
      <c r="B350" t="s">
        <v>898</v>
      </c>
      <c r="C350" t="s">
        <v>898</v>
      </c>
      <c r="D350" t="s">
        <v>898</v>
      </c>
      <c r="E350" t="s">
        <v>898</v>
      </c>
      <c r="F350" t="s">
        <v>898</v>
      </c>
      <c r="G350" t="s">
        <v>67</v>
      </c>
      <c r="H350" t="s">
        <v>898</v>
      </c>
    </row>
    <row r="351">
      <c r="B351" t="s">
        <v>898</v>
      </c>
      <c r="C351" t="s">
        <v>898</v>
      </c>
      <c r="D351" t="s">
        <v>898</v>
      </c>
      <c r="E351" t="s">
        <v>898</v>
      </c>
      <c r="F351" t="s">
        <v>898</v>
      </c>
      <c r="G351" t="s">
        <v>67</v>
      </c>
      <c r="H351" t="s">
        <v>898</v>
      </c>
    </row>
    <row r="352">
      <c r="B352" t="s">
        <v>898</v>
      </c>
      <c r="C352" t="s">
        <v>898</v>
      </c>
      <c r="D352" t="s">
        <v>898</v>
      </c>
      <c r="E352" t="s">
        <v>898</v>
      </c>
      <c r="F352" t="s">
        <v>898</v>
      </c>
      <c r="G352" t="s">
        <v>67</v>
      </c>
      <c r="H352" t="s">
        <v>898</v>
      </c>
    </row>
    <row r="353">
      <c r="B353" t="s">
        <v>898</v>
      </c>
      <c r="C353" t="s">
        <v>898</v>
      </c>
      <c r="D353" t="s">
        <v>898</v>
      </c>
      <c r="E353" t="s">
        <v>898</v>
      </c>
      <c r="F353" t="s">
        <v>898</v>
      </c>
      <c r="G353" t="s">
        <v>67</v>
      </c>
      <c r="H353" t="s">
        <v>898</v>
      </c>
    </row>
    <row r="354">
      <c r="B354" t="s">
        <v>898</v>
      </c>
      <c r="C354" t="s">
        <v>898</v>
      </c>
      <c r="D354" t="s">
        <v>898</v>
      </c>
      <c r="E354" t="s">
        <v>898</v>
      </c>
      <c r="F354" t="s">
        <v>898</v>
      </c>
      <c r="G354" t="s">
        <v>67</v>
      </c>
      <c r="H354" t="s">
        <v>898</v>
      </c>
    </row>
    <row r="355">
      <c r="B355" t="s">
        <v>898</v>
      </c>
      <c r="C355" t="s">
        <v>898</v>
      </c>
      <c r="D355" t="s">
        <v>898</v>
      </c>
      <c r="E355" t="s">
        <v>898</v>
      </c>
      <c r="F355" t="s">
        <v>898</v>
      </c>
      <c r="G355" t="s">
        <v>67</v>
      </c>
      <c r="H355" t="s">
        <v>898</v>
      </c>
    </row>
    <row r="356">
      <c r="B356" t="s">
        <v>898</v>
      </c>
      <c r="C356" t="s">
        <v>898</v>
      </c>
      <c r="D356" t="s">
        <v>898</v>
      </c>
      <c r="E356" t="s">
        <v>898</v>
      </c>
      <c r="F356" t="s">
        <v>898</v>
      </c>
      <c r="G356" t="s">
        <v>67</v>
      </c>
      <c r="H356" t="s">
        <v>898</v>
      </c>
    </row>
    <row r="357">
      <c r="B357" t="s">
        <v>898</v>
      </c>
      <c r="C357" t="s">
        <v>898</v>
      </c>
      <c r="D357" t="s">
        <v>898</v>
      </c>
      <c r="E357" t="s">
        <v>898</v>
      </c>
      <c r="F357" t="s">
        <v>898</v>
      </c>
      <c r="G357" t="s">
        <v>67</v>
      </c>
      <c r="H357" t="s">
        <v>898</v>
      </c>
    </row>
    <row r="358">
      <c r="B358" t="s">
        <v>898</v>
      </c>
      <c r="C358" t="s">
        <v>898</v>
      </c>
      <c r="D358" t="s">
        <v>898</v>
      </c>
      <c r="E358" t="s">
        <v>898</v>
      </c>
      <c r="F358" t="s">
        <v>898</v>
      </c>
      <c r="G358" t="s">
        <v>67</v>
      </c>
      <c r="H358" t="s">
        <v>898</v>
      </c>
    </row>
    <row r="359">
      <c r="B359" t="s">
        <v>898</v>
      </c>
      <c r="C359" t="s">
        <v>898</v>
      </c>
      <c r="D359" t="s">
        <v>898</v>
      </c>
      <c r="E359" t="s">
        <v>898</v>
      </c>
      <c r="F359" t="s">
        <v>898</v>
      </c>
      <c r="G359" t="s">
        <v>67</v>
      </c>
      <c r="H359" t="s">
        <v>898</v>
      </c>
    </row>
    <row r="360">
      <c r="B360" t="s">
        <v>898</v>
      </c>
      <c r="C360" t="s">
        <v>898</v>
      </c>
      <c r="D360" t="s">
        <v>898</v>
      </c>
      <c r="E360" t="s">
        <v>898</v>
      </c>
      <c r="F360" t="s">
        <v>898</v>
      </c>
      <c r="G360" t="s">
        <v>67</v>
      </c>
      <c r="H360" t="s">
        <v>898</v>
      </c>
    </row>
    <row r="361">
      <c r="B361" t="s">
        <v>898</v>
      </c>
      <c r="C361" t="s">
        <v>898</v>
      </c>
      <c r="D361" t="s">
        <v>898</v>
      </c>
      <c r="E361" t="s">
        <v>898</v>
      </c>
      <c r="F361" t="s">
        <v>898</v>
      </c>
      <c r="G361" t="s">
        <v>67</v>
      </c>
      <c r="H361" t="s">
        <v>898</v>
      </c>
    </row>
    <row r="362">
      <c r="B362" t="s">
        <v>898</v>
      </c>
      <c r="C362" t="s">
        <v>898</v>
      </c>
      <c r="D362" t="s">
        <v>898</v>
      </c>
      <c r="E362" t="s">
        <v>898</v>
      </c>
      <c r="F362" t="s">
        <v>898</v>
      </c>
      <c r="G362" t="s">
        <v>67</v>
      </c>
      <c r="H362" t="s">
        <v>898</v>
      </c>
    </row>
    <row r="363">
      <c r="B363" t="s">
        <v>898</v>
      </c>
      <c r="C363" t="s">
        <v>898</v>
      </c>
      <c r="D363" t="s">
        <v>898</v>
      </c>
      <c r="E363" t="s">
        <v>898</v>
      </c>
      <c r="F363" t="s">
        <v>898</v>
      </c>
      <c r="G363" t="s">
        <v>67</v>
      </c>
      <c r="H363" t="s">
        <v>898</v>
      </c>
    </row>
    <row r="364">
      <c r="B364" t="s">
        <v>898</v>
      </c>
      <c r="C364" t="s">
        <v>898</v>
      </c>
      <c r="D364" t="s">
        <v>898</v>
      </c>
      <c r="E364" t="s">
        <v>898</v>
      </c>
      <c r="F364" t="s">
        <v>898</v>
      </c>
      <c r="G364" t="s">
        <v>67</v>
      </c>
      <c r="H364" t="s">
        <v>898</v>
      </c>
    </row>
    <row r="365">
      <c r="B365" t="s">
        <v>898</v>
      </c>
      <c r="C365" t="s">
        <v>898</v>
      </c>
      <c r="D365" t="s">
        <v>898</v>
      </c>
      <c r="E365" t="s">
        <v>898</v>
      </c>
      <c r="F365" t="s">
        <v>898</v>
      </c>
      <c r="G365" t="s">
        <v>67</v>
      </c>
      <c r="H365" t="s">
        <v>898</v>
      </c>
    </row>
    <row r="366">
      <c r="B366" t="s">
        <v>898</v>
      </c>
      <c r="C366" t="s">
        <v>898</v>
      </c>
      <c r="D366" t="s">
        <v>898</v>
      </c>
      <c r="E366" t="s">
        <v>898</v>
      </c>
      <c r="F366" t="s">
        <v>898</v>
      </c>
      <c r="G366" t="s">
        <v>67</v>
      </c>
      <c r="H366" t="s">
        <v>898</v>
      </c>
    </row>
    <row r="367">
      <c r="B367" t="s">
        <v>898</v>
      </c>
      <c r="C367" t="s">
        <v>898</v>
      </c>
      <c r="D367" t="s">
        <v>898</v>
      </c>
      <c r="E367" t="s">
        <v>898</v>
      </c>
      <c r="F367" t="s">
        <v>898</v>
      </c>
      <c r="G367" t="s">
        <v>67</v>
      </c>
      <c r="H367" t="s">
        <v>898</v>
      </c>
    </row>
    <row r="368">
      <c r="B368" t="s">
        <v>898</v>
      </c>
      <c r="C368" t="s">
        <v>898</v>
      </c>
      <c r="D368" t="s">
        <v>898</v>
      </c>
      <c r="E368" t="s">
        <v>898</v>
      </c>
      <c r="F368" t="s">
        <v>898</v>
      </c>
      <c r="G368" t="s">
        <v>67</v>
      </c>
      <c r="H368" t="s">
        <v>898</v>
      </c>
    </row>
    <row r="369">
      <c r="B369" t="s">
        <v>898</v>
      </c>
      <c r="C369" t="s">
        <v>898</v>
      </c>
      <c r="D369" t="s">
        <v>898</v>
      </c>
      <c r="E369" t="s">
        <v>898</v>
      </c>
      <c r="F369" t="s">
        <v>898</v>
      </c>
      <c r="G369" t="s">
        <v>67</v>
      </c>
      <c r="H369" t="s">
        <v>898</v>
      </c>
    </row>
    <row r="370">
      <c r="B370" t="s">
        <v>898</v>
      </c>
      <c r="C370" t="s">
        <v>898</v>
      </c>
      <c r="D370" t="s">
        <v>898</v>
      </c>
      <c r="E370" t="s">
        <v>898</v>
      </c>
      <c r="F370" t="s">
        <v>898</v>
      </c>
      <c r="G370" t="s">
        <v>67</v>
      </c>
      <c r="H370" t="s">
        <v>898</v>
      </c>
    </row>
    <row r="371">
      <c r="B371" t="s">
        <v>898</v>
      </c>
      <c r="C371" t="s">
        <v>898</v>
      </c>
      <c r="D371" t="s">
        <v>898</v>
      </c>
      <c r="E371" t="s">
        <v>898</v>
      </c>
      <c r="F371" t="s">
        <v>898</v>
      </c>
      <c r="G371" t="s">
        <v>67</v>
      </c>
      <c r="H371" t="s">
        <v>898</v>
      </c>
    </row>
    <row r="372">
      <c r="B372" t="s">
        <v>898</v>
      </c>
      <c r="C372" t="s">
        <v>898</v>
      </c>
      <c r="D372" t="s">
        <v>898</v>
      </c>
      <c r="E372" t="s">
        <v>898</v>
      </c>
      <c r="F372" t="s">
        <v>898</v>
      </c>
      <c r="G372" t="s">
        <v>67</v>
      </c>
      <c r="H372" t="s">
        <v>898</v>
      </c>
    </row>
    <row r="373">
      <c r="B373" t="s">
        <v>898</v>
      </c>
      <c r="C373" t="s">
        <v>898</v>
      </c>
      <c r="D373" t="s">
        <v>898</v>
      </c>
      <c r="E373" t="s">
        <v>898</v>
      </c>
      <c r="F373" t="s">
        <v>898</v>
      </c>
      <c r="G373" t="s">
        <v>67</v>
      </c>
      <c r="H373" t="s">
        <v>898</v>
      </c>
    </row>
    <row r="374">
      <c r="B374" t="s">
        <v>898</v>
      </c>
      <c r="C374" t="s">
        <v>898</v>
      </c>
      <c r="D374" t="s">
        <v>898</v>
      </c>
      <c r="E374" t="s">
        <v>898</v>
      </c>
      <c r="F374" t="s">
        <v>898</v>
      </c>
      <c r="G374" t="s">
        <v>67</v>
      </c>
      <c r="H374" t="s">
        <v>898</v>
      </c>
    </row>
    <row r="375">
      <c r="B375" t="s">
        <v>898</v>
      </c>
      <c r="C375" t="s">
        <v>898</v>
      </c>
      <c r="D375" t="s">
        <v>898</v>
      </c>
      <c r="E375" t="s">
        <v>898</v>
      </c>
      <c r="F375" t="s">
        <v>898</v>
      </c>
      <c r="G375" t="s">
        <v>67</v>
      </c>
      <c r="H375" t="s">
        <v>898</v>
      </c>
    </row>
    <row r="376">
      <c r="B376" t="s">
        <v>898</v>
      </c>
      <c r="C376" t="s">
        <v>898</v>
      </c>
      <c r="D376" t="s">
        <v>898</v>
      </c>
      <c r="E376" t="s">
        <v>898</v>
      </c>
      <c r="F376" t="s">
        <v>898</v>
      </c>
      <c r="G376" t="s">
        <v>67</v>
      </c>
      <c r="H376" t="s">
        <v>898</v>
      </c>
    </row>
    <row r="377">
      <c r="B377" t="s">
        <v>898</v>
      </c>
      <c r="C377" t="s">
        <v>898</v>
      </c>
      <c r="D377" t="s">
        <v>898</v>
      </c>
      <c r="E377" t="s">
        <v>898</v>
      </c>
      <c r="F377" t="s">
        <v>898</v>
      </c>
      <c r="G377" t="s">
        <v>67</v>
      </c>
      <c r="H377" t="s">
        <v>898</v>
      </c>
    </row>
    <row r="378">
      <c r="B378" t="s">
        <v>898</v>
      </c>
      <c r="C378" t="s">
        <v>898</v>
      </c>
      <c r="D378" t="s">
        <v>898</v>
      </c>
      <c r="E378" t="s">
        <v>898</v>
      </c>
      <c r="F378" t="s">
        <v>898</v>
      </c>
      <c r="G378" t="s">
        <v>67</v>
      </c>
      <c r="H378" t="s">
        <v>898</v>
      </c>
    </row>
    <row r="379">
      <c r="B379" t="s">
        <v>898</v>
      </c>
      <c r="C379" t="s">
        <v>898</v>
      </c>
      <c r="D379" t="s">
        <v>898</v>
      </c>
      <c r="E379" t="s">
        <v>898</v>
      </c>
      <c r="F379" t="s">
        <v>898</v>
      </c>
      <c r="G379" t="s">
        <v>67</v>
      </c>
      <c r="H379" t="s">
        <v>898</v>
      </c>
    </row>
    <row r="380">
      <c r="B380" t="s">
        <v>898</v>
      </c>
      <c r="C380" t="s">
        <v>898</v>
      </c>
      <c r="D380" t="s">
        <v>898</v>
      </c>
      <c r="E380" t="s">
        <v>898</v>
      </c>
      <c r="F380" t="s">
        <v>898</v>
      </c>
      <c r="G380" t="s">
        <v>67</v>
      </c>
      <c r="H380" t="s">
        <v>898</v>
      </c>
    </row>
    <row r="381">
      <c r="B381" t="s">
        <v>898</v>
      </c>
      <c r="C381" t="s">
        <v>898</v>
      </c>
      <c r="D381" t="s">
        <v>898</v>
      </c>
      <c r="E381" t="s">
        <v>898</v>
      </c>
      <c r="F381" t="s">
        <v>898</v>
      </c>
      <c r="G381" t="s">
        <v>67</v>
      </c>
      <c r="H381" t="s">
        <v>898</v>
      </c>
    </row>
    <row r="382">
      <c r="B382" t="s">
        <v>898</v>
      </c>
      <c r="C382" t="s">
        <v>898</v>
      </c>
      <c r="D382" t="s">
        <v>898</v>
      </c>
      <c r="E382" t="s">
        <v>898</v>
      </c>
      <c r="F382" t="s">
        <v>898</v>
      </c>
      <c r="G382" t="s">
        <v>67</v>
      </c>
      <c r="H382" t="s">
        <v>898</v>
      </c>
    </row>
    <row r="383">
      <c r="B383" t="s">
        <v>898</v>
      </c>
      <c r="C383" t="s">
        <v>898</v>
      </c>
      <c r="D383" t="s">
        <v>898</v>
      </c>
      <c r="E383" t="s">
        <v>898</v>
      </c>
      <c r="F383" t="s">
        <v>898</v>
      </c>
      <c r="G383" t="s">
        <v>67</v>
      </c>
      <c r="H383" t="s">
        <v>898</v>
      </c>
    </row>
    <row r="384">
      <c r="B384" t="s">
        <v>898</v>
      </c>
      <c r="C384" t="s">
        <v>898</v>
      </c>
      <c r="D384" t="s">
        <v>898</v>
      </c>
      <c r="E384" t="s">
        <v>898</v>
      </c>
      <c r="F384" t="s">
        <v>898</v>
      </c>
      <c r="G384" t="s">
        <v>67</v>
      </c>
      <c r="H384" t="s">
        <v>898</v>
      </c>
    </row>
    <row r="385">
      <c r="B385" t="s">
        <v>898</v>
      </c>
      <c r="C385" t="s">
        <v>898</v>
      </c>
      <c r="D385" t="s">
        <v>898</v>
      </c>
      <c r="E385" t="s">
        <v>898</v>
      </c>
      <c r="F385" t="s">
        <v>898</v>
      </c>
      <c r="G385" t="s">
        <v>67</v>
      </c>
      <c r="H385" t="s">
        <v>898</v>
      </c>
    </row>
    <row r="386">
      <c r="B386" t="s">
        <v>898</v>
      </c>
      <c r="C386" t="s">
        <v>898</v>
      </c>
      <c r="D386" t="s">
        <v>898</v>
      </c>
      <c r="E386" t="s">
        <v>898</v>
      </c>
      <c r="F386" t="s">
        <v>898</v>
      </c>
      <c r="G386" t="s">
        <v>67</v>
      </c>
      <c r="H386" t="s">
        <v>898</v>
      </c>
    </row>
    <row r="387">
      <c r="B387" t="s">
        <v>898</v>
      </c>
      <c r="C387" t="s">
        <v>898</v>
      </c>
      <c r="D387" t="s">
        <v>898</v>
      </c>
      <c r="E387" t="s">
        <v>898</v>
      </c>
      <c r="F387" t="s">
        <v>898</v>
      </c>
      <c r="G387" t="s">
        <v>67</v>
      </c>
      <c r="H387" t="s">
        <v>898</v>
      </c>
    </row>
    <row r="388">
      <c r="B388" t="s">
        <v>898</v>
      </c>
      <c r="C388" t="s">
        <v>898</v>
      </c>
      <c r="D388" t="s">
        <v>898</v>
      </c>
      <c r="E388" t="s">
        <v>898</v>
      </c>
      <c r="F388" t="s">
        <v>898</v>
      </c>
      <c r="G388" t="s">
        <v>67</v>
      </c>
      <c r="H388" t="s">
        <v>898</v>
      </c>
    </row>
    <row r="389">
      <c r="B389" t="s">
        <v>898</v>
      </c>
      <c r="C389" t="s">
        <v>898</v>
      </c>
      <c r="D389" t="s">
        <v>898</v>
      </c>
      <c r="E389" t="s">
        <v>898</v>
      </c>
      <c r="F389" t="s">
        <v>898</v>
      </c>
      <c r="G389" t="s">
        <v>67</v>
      </c>
      <c r="H389" t="s">
        <v>898</v>
      </c>
    </row>
    <row r="390">
      <c r="B390" t="s">
        <v>898</v>
      </c>
      <c r="C390" t="s">
        <v>898</v>
      </c>
      <c r="D390" t="s">
        <v>898</v>
      </c>
      <c r="E390" t="s">
        <v>898</v>
      </c>
      <c r="F390" t="s">
        <v>898</v>
      </c>
      <c r="G390" t="s">
        <v>67</v>
      </c>
      <c r="H390" t="s">
        <v>898</v>
      </c>
    </row>
    <row r="391">
      <c r="B391" t="s">
        <v>898</v>
      </c>
      <c r="C391" t="s">
        <v>898</v>
      </c>
      <c r="D391" t="s">
        <v>898</v>
      </c>
      <c r="E391" t="s">
        <v>898</v>
      </c>
      <c r="F391" t="s">
        <v>898</v>
      </c>
      <c r="G391" t="s">
        <v>67</v>
      </c>
      <c r="H391" t="s">
        <v>898</v>
      </c>
    </row>
    <row r="392">
      <c r="B392" t="s">
        <v>898</v>
      </c>
      <c r="C392" t="s">
        <v>898</v>
      </c>
      <c r="D392" t="s">
        <v>898</v>
      </c>
      <c r="E392" t="s">
        <v>898</v>
      </c>
      <c r="F392" t="s">
        <v>898</v>
      </c>
      <c r="G392" t="s">
        <v>67</v>
      </c>
      <c r="H392" t="s">
        <v>898</v>
      </c>
    </row>
    <row r="393">
      <c r="B393" t="s">
        <v>898</v>
      </c>
      <c r="C393" t="s">
        <v>898</v>
      </c>
      <c r="D393" t="s">
        <v>898</v>
      </c>
      <c r="E393" t="s">
        <v>898</v>
      </c>
      <c r="F393" t="s">
        <v>898</v>
      </c>
      <c r="G393" t="s">
        <v>67</v>
      </c>
      <c r="H393" t="s">
        <v>898</v>
      </c>
    </row>
    <row r="394">
      <c r="B394" t="s">
        <v>898</v>
      </c>
      <c r="C394" t="s">
        <v>898</v>
      </c>
      <c r="D394" t="s">
        <v>898</v>
      </c>
      <c r="E394" t="s">
        <v>898</v>
      </c>
      <c r="F394" t="s">
        <v>898</v>
      </c>
      <c r="G394" t="s">
        <v>67</v>
      </c>
      <c r="H394" t="s">
        <v>898</v>
      </c>
    </row>
    <row r="395">
      <c r="B395" t="s">
        <v>898</v>
      </c>
      <c r="C395" t="s">
        <v>898</v>
      </c>
      <c r="D395" t="s">
        <v>898</v>
      </c>
      <c r="E395" t="s">
        <v>898</v>
      </c>
      <c r="F395" t="s">
        <v>898</v>
      </c>
      <c r="G395" t="s">
        <v>67</v>
      </c>
      <c r="H395" t="s">
        <v>898</v>
      </c>
    </row>
    <row r="396">
      <c r="B396" t="s">
        <v>898</v>
      </c>
      <c r="C396" t="s">
        <v>898</v>
      </c>
      <c r="D396" t="s">
        <v>898</v>
      </c>
      <c r="E396" t="s">
        <v>898</v>
      </c>
      <c r="F396" t="s">
        <v>898</v>
      </c>
      <c r="G396" t="s">
        <v>67</v>
      </c>
      <c r="H396" t="s">
        <v>898</v>
      </c>
    </row>
    <row r="397">
      <c r="B397" t="s">
        <v>898</v>
      </c>
      <c r="C397" t="s">
        <v>898</v>
      </c>
      <c r="D397" t="s">
        <v>898</v>
      </c>
      <c r="E397" t="s">
        <v>898</v>
      </c>
      <c r="F397" t="s">
        <v>898</v>
      </c>
      <c r="G397" t="s">
        <v>67</v>
      </c>
      <c r="H397" t="s">
        <v>898</v>
      </c>
    </row>
    <row r="398">
      <c r="B398" t="s">
        <v>898</v>
      </c>
      <c r="C398" t="s">
        <v>898</v>
      </c>
      <c r="D398" t="s">
        <v>898</v>
      </c>
      <c r="E398" t="s">
        <v>898</v>
      </c>
      <c r="F398" t="s">
        <v>898</v>
      </c>
      <c r="G398" t="s">
        <v>67</v>
      </c>
      <c r="H398" t="s">
        <v>898</v>
      </c>
    </row>
    <row r="399">
      <c r="B399" t="s">
        <v>898</v>
      </c>
      <c r="C399" t="s">
        <v>898</v>
      </c>
      <c r="D399" t="s">
        <v>898</v>
      </c>
      <c r="E399" t="s">
        <v>898</v>
      </c>
      <c r="F399" t="s">
        <v>898</v>
      </c>
      <c r="G399" t="s">
        <v>67</v>
      </c>
      <c r="H399" t="s">
        <v>898</v>
      </c>
    </row>
    <row r="400">
      <c r="B400" t="s">
        <v>898</v>
      </c>
      <c r="C400" t="s">
        <v>898</v>
      </c>
      <c r="D400" t="s">
        <v>898</v>
      </c>
      <c r="E400" t="s">
        <v>898</v>
      </c>
      <c r="F400" t="s">
        <v>898</v>
      </c>
      <c r="G400" t="s">
        <v>67</v>
      </c>
      <c r="H400" t="s">
        <v>898</v>
      </c>
    </row>
    <row r="401">
      <c r="B401" t="s">
        <v>898</v>
      </c>
      <c r="C401" t="s">
        <v>898</v>
      </c>
      <c r="D401" t="s">
        <v>898</v>
      </c>
      <c r="E401" t="s">
        <v>898</v>
      </c>
      <c r="F401" t="s">
        <v>898</v>
      </c>
      <c r="G401" t="s">
        <v>67</v>
      </c>
      <c r="H401" t="s">
        <v>898</v>
      </c>
    </row>
    <row r="402">
      <c r="B402" t="s">
        <v>898</v>
      </c>
      <c r="C402" t="s">
        <v>898</v>
      </c>
      <c r="D402" t="s">
        <v>898</v>
      </c>
      <c r="E402" t="s">
        <v>898</v>
      </c>
      <c r="F402" t="s">
        <v>898</v>
      </c>
      <c r="G402" t="s">
        <v>67</v>
      </c>
      <c r="H402" t="s">
        <v>898</v>
      </c>
    </row>
    <row r="403">
      <c r="B403" t="s">
        <v>898</v>
      </c>
      <c r="C403" t="s">
        <v>898</v>
      </c>
      <c r="D403" t="s">
        <v>898</v>
      </c>
      <c r="E403" t="s">
        <v>898</v>
      </c>
      <c r="F403" t="s">
        <v>898</v>
      </c>
      <c r="G403" t="s">
        <v>67</v>
      </c>
      <c r="H403" t="s">
        <v>898</v>
      </c>
    </row>
    <row r="404">
      <c r="B404" t="s">
        <v>898</v>
      </c>
      <c r="C404" t="s">
        <v>898</v>
      </c>
      <c r="D404" t="s">
        <v>898</v>
      </c>
      <c r="E404" t="s">
        <v>898</v>
      </c>
      <c r="F404" t="s">
        <v>898</v>
      </c>
      <c r="G404" t="s">
        <v>67</v>
      </c>
      <c r="H404" t="s">
        <v>898</v>
      </c>
    </row>
    <row r="405">
      <c r="B405" t="s">
        <v>898</v>
      </c>
      <c r="C405" t="s">
        <v>898</v>
      </c>
      <c r="D405" t="s">
        <v>898</v>
      </c>
      <c r="E405" t="s">
        <v>898</v>
      </c>
      <c r="F405" t="s">
        <v>898</v>
      </c>
      <c r="G405" t="s">
        <v>67</v>
      </c>
      <c r="H405" t="s">
        <v>898</v>
      </c>
    </row>
    <row r="406">
      <c r="B406" t="s">
        <v>898</v>
      </c>
      <c r="C406" t="s">
        <v>898</v>
      </c>
      <c r="D406" t="s">
        <v>898</v>
      </c>
      <c r="E406" t="s">
        <v>898</v>
      </c>
      <c r="F406" t="s">
        <v>898</v>
      </c>
      <c r="G406" t="s">
        <v>67</v>
      </c>
      <c r="H406" t="s">
        <v>898</v>
      </c>
    </row>
    <row r="407">
      <c r="B407" t="s">
        <v>898</v>
      </c>
      <c r="C407" t="s">
        <v>898</v>
      </c>
      <c r="D407" t="s">
        <v>898</v>
      </c>
      <c r="E407" t="s">
        <v>898</v>
      </c>
      <c r="F407" t="s">
        <v>898</v>
      </c>
      <c r="G407" t="s">
        <v>67</v>
      </c>
      <c r="H407" t="s">
        <v>898</v>
      </c>
    </row>
    <row r="408">
      <c r="B408" t="s">
        <v>898</v>
      </c>
      <c r="C408" t="s">
        <v>898</v>
      </c>
      <c r="D408" t="s">
        <v>898</v>
      </c>
      <c r="E408" t="s">
        <v>898</v>
      </c>
      <c r="F408" t="s">
        <v>898</v>
      </c>
      <c r="G408" t="s">
        <v>67</v>
      </c>
      <c r="H408" t="s">
        <v>898</v>
      </c>
    </row>
    <row r="409">
      <c r="B409" t="s">
        <v>898</v>
      </c>
      <c r="C409" t="s">
        <v>898</v>
      </c>
      <c r="D409" t="s">
        <v>898</v>
      </c>
      <c r="E409" t="s">
        <v>898</v>
      </c>
      <c r="F409" t="s">
        <v>898</v>
      </c>
      <c r="G409" t="s">
        <v>67</v>
      </c>
      <c r="H409" t="s">
        <v>898</v>
      </c>
    </row>
    <row r="410">
      <c r="B410" t="s">
        <v>898</v>
      </c>
      <c r="C410" t="s">
        <v>898</v>
      </c>
      <c r="D410" t="s">
        <v>898</v>
      </c>
      <c r="E410" t="s">
        <v>898</v>
      </c>
      <c r="F410" t="s">
        <v>898</v>
      </c>
      <c r="G410" t="s">
        <v>67</v>
      </c>
      <c r="H410" t="s">
        <v>898</v>
      </c>
    </row>
    <row r="411">
      <c r="B411" t="s">
        <v>898</v>
      </c>
      <c r="C411" t="s">
        <v>898</v>
      </c>
      <c r="D411" t="s">
        <v>898</v>
      </c>
      <c r="E411" t="s">
        <v>898</v>
      </c>
      <c r="F411" t="s">
        <v>898</v>
      </c>
      <c r="G411" t="s">
        <v>67</v>
      </c>
      <c r="H411" t="s">
        <v>898</v>
      </c>
    </row>
    <row r="412">
      <c r="B412" t="s">
        <v>898</v>
      </c>
      <c r="C412" t="s">
        <v>898</v>
      </c>
      <c r="D412" t="s">
        <v>898</v>
      </c>
      <c r="E412" t="s">
        <v>898</v>
      </c>
      <c r="F412" t="s">
        <v>898</v>
      </c>
      <c r="G412" t="s">
        <v>67</v>
      </c>
      <c r="H412" t="s">
        <v>898</v>
      </c>
    </row>
    <row r="413">
      <c r="B413" t="s">
        <v>898</v>
      </c>
      <c r="C413" t="s">
        <v>898</v>
      </c>
      <c r="D413" t="s">
        <v>898</v>
      </c>
      <c r="E413" t="s">
        <v>898</v>
      </c>
      <c r="F413" t="s">
        <v>898</v>
      </c>
      <c r="G413" t="s">
        <v>67</v>
      </c>
      <c r="H413" t="s">
        <v>898</v>
      </c>
    </row>
    <row r="414">
      <c r="B414" t="s">
        <v>898</v>
      </c>
      <c r="C414" t="s">
        <v>898</v>
      </c>
      <c r="D414" t="s">
        <v>898</v>
      </c>
      <c r="E414" t="s">
        <v>898</v>
      </c>
      <c r="F414" t="s">
        <v>898</v>
      </c>
      <c r="G414" t="s">
        <v>67</v>
      </c>
      <c r="H414" t="s">
        <v>898</v>
      </c>
    </row>
    <row r="415">
      <c r="B415" t="s">
        <v>898</v>
      </c>
      <c r="C415" t="s">
        <v>898</v>
      </c>
      <c r="D415" t="s">
        <v>898</v>
      </c>
      <c r="E415" t="s">
        <v>898</v>
      </c>
      <c r="F415" t="s">
        <v>898</v>
      </c>
      <c r="G415" t="s">
        <v>67</v>
      </c>
      <c r="H415" t="s">
        <v>898</v>
      </c>
    </row>
    <row r="416">
      <c r="B416" t="s">
        <v>898</v>
      </c>
      <c r="C416" t="s">
        <v>898</v>
      </c>
      <c r="D416" t="s">
        <v>898</v>
      </c>
      <c r="E416" t="s">
        <v>898</v>
      </c>
      <c r="F416" t="s">
        <v>898</v>
      </c>
      <c r="G416" t="s">
        <v>67</v>
      </c>
      <c r="H416" t="s">
        <v>898</v>
      </c>
    </row>
    <row r="417">
      <c r="B417" t="s">
        <v>898</v>
      </c>
      <c r="C417" t="s">
        <v>898</v>
      </c>
      <c r="D417" t="s">
        <v>898</v>
      </c>
      <c r="E417" t="s">
        <v>898</v>
      </c>
      <c r="F417" t="s">
        <v>898</v>
      </c>
      <c r="G417" t="s">
        <v>67</v>
      </c>
      <c r="H417" t="s">
        <v>898</v>
      </c>
    </row>
    <row r="418">
      <c r="B418" t="s">
        <v>898</v>
      </c>
      <c r="C418" t="s">
        <v>898</v>
      </c>
      <c r="D418" t="s">
        <v>898</v>
      </c>
      <c r="E418" t="s">
        <v>898</v>
      </c>
      <c r="F418" t="s">
        <v>898</v>
      </c>
      <c r="G418" t="s">
        <v>67</v>
      </c>
      <c r="H418" t="s">
        <v>898</v>
      </c>
    </row>
    <row r="419">
      <c r="B419" t="s">
        <v>898</v>
      </c>
      <c r="C419" t="s">
        <v>898</v>
      </c>
      <c r="D419" t="s">
        <v>898</v>
      </c>
      <c r="E419" t="s">
        <v>898</v>
      </c>
      <c r="F419" t="s">
        <v>898</v>
      </c>
      <c r="G419" t="s">
        <v>67</v>
      </c>
      <c r="H419" t="s">
        <v>898</v>
      </c>
    </row>
    <row r="420">
      <c r="B420" t="s">
        <v>898</v>
      </c>
      <c r="C420" t="s">
        <v>898</v>
      </c>
      <c r="D420" t="s">
        <v>898</v>
      </c>
      <c r="E420" t="s">
        <v>898</v>
      </c>
      <c r="F420" t="s">
        <v>898</v>
      </c>
      <c r="G420" t="s">
        <v>67</v>
      </c>
      <c r="H420" t="s">
        <v>898</v>
      </c>
    </row>
    <row r="421">
      <c r="B421" t="s">
        <v>898</v>
      </c>
      <c r="C421" t="s">
        <v>898</v>
      </c>
      <c r="D421" t="s">
        <v>898</v>
      </c>
      <c r="E421" t="s">
        <v>898</v>
      </c>
      <c r="F421" t="s">
        <v>898</v>
      </c>
      <c r="G421" t="s">
        <v>67</v>
      </c>
      <c r="H421" t="s">
        <v>898</v>
      </c>
    </row>
    <row r="422">
      <c r="B422" t="s">
        <v>898</v>
      </c>
      <c r="C422" t="s">
        <v>898</v>
      </c>
      <c r="D422" t="s">
        <v>898</v>
      </c>
      <c r="E422" t="s">
        <v>898</v>
      </c>
      <c r="F422" t="s">
        <v>898</v>
      </c>
      <c r="G422" t="s">
        <v>67</v>
      </c>
      <c r="H422" t="s">
        <v>898</v>
      </c>
    </row>
    <row r="423">
      <c r="B423" t="s">
        <v>898</v>
      </c>
      <c r="C423" t="s">
        <v>898</v>
      </c>
      <c r="D423" t="s">
        <v>898</v>
      </c>
      <c r="E423" t="s">
        <v>898</v>
      </c>
      <c r="F423" t="s">
        <v>898</v>
      </c>
      <c r="G423" t="s">
        <v>67</v>
      </c>
      <c r="H423" t="s">
        <v>898</v>
      </c>
    </row>
    <row r="424">
      <c r="B424" t="s">
        <v>898</v>
      </c>
      <c r="C424" t="s">
        <v>898</v>
      </c>
      <c r="D424" t="s">
        <v>898</v>
      </c>
      <c r="E424" t="s">
        <v>898</v>
      </c>
      <c r="F424" t="s">
        <v>898</v>
      </c>
      <c r="G424" t="s">
        <v>67</v>
      </c>
      <c r="H424" t="s">
        <v>898</v>
      </c>
    </row>
    <row r="425">
      <c r="B425" t="s">
        <v>898</v>
      </c>
      <c r="C425" t="s">
        <v>898</v>
      </c>
      <c r="D425" t="s">
        <v>898</v>
      </c>
      <c r="E425" t="s">
        <v>898</v>
      </c>
      <c r="F425" t="s">
        <v>898</v>
      </c>
      <c r="G425" t="s">
        <v>67</v>
      </c>
      <c r="H425" t="s">
        <v>898</v>
      </c>
    </row>
    <row r="426">
      <c r="B426" t="s">
        <v>898</v>
      </c>
      <c r="C426" t="s">
        <v>898</v>
      </c>
      <c r="D426" t="s">
        <v>898</v>
      </c>
      <c r="E426" t="s">
        <v>898</v>
      </c>
      <c r="F426" t="s">
        <v>898</v>
      </c>
      <c r="G426" t="s">
        <v>67</v>
      </c>
      <c r="H426" t="s">
        <v>898</v>
      </c>
    </row>
    <row r="427">
      <c r="B427" t="s">
        <v>898</v>
      </c>
      <c r="C427" t="s">
        <v>898</v>
      </c>
      <c r="D427" t="s">
        <v>898</v>
      </c>
      <c r="E427" t="s">
        <v>898</v>
      </c>
      <c r="F427" t="s">
        <v>898</v>
      </c>
      <c r="G427" t="s">
        <v>67</v>
      </c>
      <c r="H427" t="s">
        <v>898</v>
      </c>
    </row>
    <row r="428">
      <c r="B428" t="s">
        <v>898</v>
      </c>
      <c r="C428" t="s">
        <v>898</v>
      </c>
      <c r="D428" t="s">
        <v>898</v>
      </c>
      <c r="E428" t="s">
        <v>898</v>
      </c>
      <c r="F428" t="s">
        <v>898</v>
      </c>
      <c r="G428" t="s">
        <v>67</v>
      </c>
      <c r="H428" t="s">
        <v>898</v>
      </c>
    </row>
    <row r="429">
      <c r="B429" t="s">
        <v>898</v>
      </c>
      <c r="C429" t="s">
        <v>898</v>
      </c>
      <c r="D429" t="s">
        <v>898</v>
      </c>
      <c r="E429" t="s">
        <v>898</v>
      </c>
      <c r="F429" t="s">
        <v>898</v>
      </c>
      <c r="G429" t="s">
        <v>67</v>
      </c>
      <c r="H429" t="s">
        <v>898</v>
      </c>
    </row>
    <row r="430">
      <c r="B430" t="s">
        <v>898</v>
      </c>
      <c r="C430" t="s">
        <v>898</v>
      </c>
      <c r="D430" t="s">
        <v>898</v>
      </c>
      <c r="E430" t="s">
        <v>898</v>
      </c>
      <c r="F430" t="s">
        <v>898</v>
      </c>
      <c r="G430" t="s">
        <v>67</v>
      </c>
      <c r="H430" t="s">
        <v>898</v>
      </c>
    </row>
    <row r="431">
      <c r="B431" t="s">
        <v>898</v>
      </c>
      <c r="C431" t="s">
        <v>898</v>
      </c>
      <c r="D431" t="s">
        <v>898</v>
      </c>
      <c r="E431" t="s">
        <v>898</v>
      </c>
      <c r="F431" t="s">
        <v>898</v>
      </c>
      <c r="G431" t="s">
        <v>67</v>
      </c>
      <c r="H431" t="s">
        <v>898</v>
      </c>
    </row>
    <row r="432">
      <c r="B432" t="s">
        <v>898</v>
      </c>
      <c r="C432" t="s">
        <v>898</v>
      </c>
      <c r="D432" t="s">
        <v>898</v>
      </c>
      <c r="E432" t="s">
        <v>898</v>
      </c>
      <c r="F432" t="s">
        <v>898</v>
      </c>
      <c r="G432" t="s">
        <v>67</v>
      </c>
      <c r="H432" t="s">
        <v>898</v>
      </c>
    </row>
    <row r="433">
      <c r="B433" t="s">
        <v>898</v>
      </c>
      <c r="C433" t="s">
        <v>898</v>
      </c>
      <c r="D433" t="s">
        <v>898</v>
      </c>
      <c r="E433" t="s">
        <v>898</v>
      </c>
      <c r="F433" t="s">
        <v>898</v>
      </c>
      <c r="G433" t="s">
        <v>67</v>
      </c>
      <c r="H433" t="s">
        <v>898</v>
      </c>
    </row>
    <row r="434">
      <c r="B434" t="s">
        <v>898</v>
      </c>
      <c r="C434" t="s">
        <v>898</v>
      </c>
      <c r="D434" t="s">
        <v>898</v>
      </c>
      <c r="E434" t="s">
        <v>898</v>
      </c>
      <c r="F434" t="s">
        <v>898</v>
      </c>
      <c r="G434" t="s">
        <v>67</v>
      </c>
      <c r="H434" t="s">
        <v>898</v>
      </c>
    </row>
    <row r="435">
      <c r="B435" t="s">
        <v>898</v>
      </c>
      <c r="C435" t="s">
        <v>898</v>
      </c>
      <c r="D435" t="s">
        <v>898</v>
      </c>
      <c r="E435" t="s">
        <v>898</v>
      </c>
      <c r="F435" t="s">
        <v>898</v>
      </c>
      <c r="G435" t="s">
        <v>67</v>
      </c>
      <c r="H435" t="s">
        <v>898</v>
      </c>
    </row>
    <row r="436">
      <c r="B436" t="s">
        <v>898</v>
      </c>
      <c r="C436" t="s">
        <v>898</v>
      </c>
      <c r="D436" t="s">
        <v>898</v>
      </c>
      <c r="E436" t="s">
        <v>898</v>
      </c>
      <c r="F436" t="s">
        <v>898</v>
      </c>
      <c r="G436" t="s">
        <v>67</v>
      </c>
      <c r="H436" t="s">
        <v>898</v>
      </c>
    </row>
    <row r="437">
      <c r="B437" t="s">
        <v>898</v>
      </c>
      <c r="C437" t="s">
        <v>898</v>
      </c>
      <c r="D437" t="s">
        <v>898</v>
      </c>
      <c r="E437" t="s">
        <v>898</v>
      </c>
      <c r="F437" t="s">
        <v>898</v>
      </c>
      <c r="G437" t="s">
        <v>67</v>
      </c>
      <c r="H437" t="s">
        <v>898</v>
      </c>
    </row>
    <row r="438">
      <c r="B438" t="s">
        <v>898</v>
      </c>
      <c r="C438" t="s">
        <v>898</v>
      </c>
      <c r="D438" t="s">
        <v>898</v>
      </c>
      <c r="E438" t="s">
        <v>898</v>
      </c>
      <c r="F438" t="s">
        <v>898</v>
      </c>
      <c r="G438" t="s">
        <v>67</v>
      </c>
      <c r="H438" t="s">
        <v>898</v>
      </c>
    </row>
    <row r="439">
      <c r="B439" t="s">
        <v>898</v>
      </c>
      <c r="C439" t="s">
        <v>898</v>
      </c>
      <c r="D439" t="s">
        <v>898</v>
      </c>
      <c r="E439" t="s">
        <v>898</v>
      </c>
      <c r="F439" t="s">
        <v>898</v>
      </c>
      <c r="G439" t="s">
        <v>67</v>
      </c>
      <c r="H439" t="s">
        <v>898</v>
      </c>
    </row>
    <row r="440">
      <c r="B440" t="s">
        <v>898</v>
      </c>
      <c r="C440" t="s">
        <v>898</v>
      </c>
      <c r="D440" t="s">
        <v>898</v>
      </c>
      <c r="E440" t="s">
        <v>898</v>
      </c>
      <c r="F440" t="s">
        <v>898</v>
      </c>
      <c r="G440" t="s">
        <v>67</v>
      </c>
      <c r="H440" t="s">
        <v>898</v>
      </c>
    </row>
    <row r="441">
      <c r="B441" t="s">
        <v>898</v>
      </c>
      <c r="C441" t="s">
        <v>898</v>
      </c>
      <c r="D441" t="s">
        <v>898</v>
      </c>
      <c r="E441" t="s">
        <v>898</v>
      </c>
      <c r="F441" t="s">
        <v>898</v>
      </c>
      <c r="G441" t="s">
        <v>67</v>
      </c>
      <c r="H441" t="s">
        <v>898</v>
      </c>
    </row>
    <row r="442">
      <c r="B442" t="s">
        <v>898</v>
      </c>
      <c r="C442" t="s">
        <v>898</v>
      </c>
      <c r="D442" t="s">
        <v>898</v>
      </c>
      <c r="E442" t="s">
        <v>898</v>
      </c>
      <c r="F442" t="s">
        <v>898</v>
      </c>
      <c r="G442" t="s">
        <v>67</v>
      </c>
      <c r="H442" t="s">
        <v>898</v>
      </c>
    </row>
    <row r="443">
      <c r="B443" t="s">
        <v>898</v>
      </c>
      <c r="C443" t="s">
        <v>898</v>
      </c>
      <c r="D443" t="s">
        <v>898</v>
      </c>
      <c r="E443" t="s">
        <v>898</v>
      </c>
      <c r="F443" t="s">
        <v>898</v>
      </c>
      <c r="G443" t="s">
        <v>67</v>
      </c>
      <c r="H443" t="s">
        <v>898</v>
      </c>
    </row>
    <row r="444">
      <c r="B444" t="s">
        <v>898</v>
      </c>
      <c r="C444" t="s">
        <v>898</v>
      </c>
      <c r="D444" t="s">
        <v>898</v>
      </c>
      <c r="E444" t="s">
        <v>898</v>
      </c>
      <c r="F444" t="s">
        <v>898</v>
      </c>
      <c r="G444" t="s">
        <v>67</v>
      </c>
      <c r="H444" t="s">
        <v>898</v>
      </c>
    </row>
    <row r="445">
      <c r="B445" t="s">
        <v>898</v>
      </c>
      <c r="C445" t="s">
        <v>898</v>
      </c>
      <c r="D445" t="s">
        <v>898</v>
      </c>
      <c r="E445" t="s">
        <v>898</v>
      </c>
      <c r="F445" t="s">
        <v>898</v>
      </c>
      <c r="G445" t="s">
        <v>67</v>
      </c>
      <c r="H445" t="s">
        <v>898</v>
      </c>
    </row>
    <row r="446">
      <c r="B446" t="s">
        <v>898</v>
      </c>
      <c r="C446" t="s">
        <v>898</v>
      </c>
      <c r="D446" t="s">
        <v>898</v>
      </c>
      <c r="E446" t="s">
        <v>898</v>
      </c>
      <c r="F446" t="s">
        <v>898</v>
      </c>
      <c r="G446" t="s">
        <v>67</v>
      </c>
      <c r="H446" t="s">
        <v>898</v>
      </c>
    </row>
    <row r="447">
      <c r="B447" t="s">
        <v>898</v>
      </c>
      <c r="C447" t="s">
        <v>898</v>
      </c>
      <c r="D447" t="s">
        <v>898</v>
      </c>
      <c r="E447" t="s">
        <v>898</v>
      </c>
      <c r="F447" t="s">
        <v>898</v>
      </c>
      <c r="G447" t="s">
        <v>67</v>
      </c>
      <c r="H447" t="s">
        <v>898</v>
      </c>
    </row>
    <row r="448">
      <c r="B448" t="s">
        <v>898</v>
      </c>
      <c r="C448" t="s">
        <v>898</v>
      </c>
      <c r="D448" t="s">
        <v>898</v>
      </c>
      <c r="E448" t="s">
        <v>898</v>
      </c>
      <c r="F448" t="s">
        <v>898</v>
      </c>
      <c r="G448" t="s">
        <v>67</v>
      </c>
      <c r="H448" t="s">
        <v>898</v>
      </c>
    </row>
    <row r="449">
      <c r="B449" t="s">
        <v>898</v>
      </c>
      <c r="C449" t="s">
        <v>898</v>
      </c>
      <c r="D449" t="s">
        <v>898</v>
      </c>
      <c r="E449" t="s">
        <v>898</v>
      </c>
      <c r="F449" t="s">
        <v>898</v>
      </c>
      <c r="G449" t="s">
        <v>67</v>
      </c>
      <c r="H449" t="s">
        <v>898</v>
      </c>
    </row>
    <row r="450">
      <c r="B450" t="s">
        <v>898</v>
      </c>
      <c r="C450" t="s">
        <v>898</v>
      </c>
      <c r="D450" t="s">
        <v>898</v>
      </c>
      <c r="E450" t="s">
        <v>898</v>
      </c>
      <c r="F450" t="s">
        <v>898</v>
      </c>
      <c r="G450" t="s">
        <v>67</v>
      </c>
      <c r="H450" t="s">
        <v>898</v>
      </c>
    </row>
    <row r="451">
      <c r="B451" t="s">
        <v>898</v>
      </c>
      <c r="C451" t="s">
        <v>898</v>
      </c>
      <c r="D451" t="s">
        <v>898</v>
      </c>
      <c r="E451" t="s">
        <v>898</v>
      </c>
      <c r="F451" t="s">
        <v>898</v>
      </c>
      <c r="G451" t="s">
        <v>67</v>
      </c>
      <c r="H451" t="s">
        <v>898</v>
      </c>
    </row>
    <row r="452">
      <c r="B452" t="s">
        <v>898</v>
      </c>
      <c r="C452" t="s">
        <v>898</v>
      </c>
      <c r="D452" t="s">
        <v>898</v>
      </c>
      <c r="E452" t="s">
        <v>898</v>
      </c>
      <c r="F452" t="s">
        <v>898</v>
      </c>
      <c r="G452" t="s">
        <v>67</v>
      </c>
      <c r="H452" t="s">
        <v>898</v>
      </c>
    </row>
    <row r="453">
      <c r="B453" t="s">
        <v>898</v>
      </c>
      <c r="C453" t="s">
        <v>898</v>
      </c>
      <c r="D453" t="s">
        <v>898</v>
      </c>
      <c r="E453" t="s">
        <v>898</v>
      </c>
      <c r="F453" t="s">
        <v>898</v>
      </c>
      <c r="G453" t="s">
        <v>67</v>
      </c>
      <c r="H453" t="s">
        <v>898</v>
      </c>
    </row>
    <row r="454">
      <c r="B454" t="s">
        <v>898</v>
      </c>
      <c r="C454" t="s">
        <v>898</v>
      </c>
      <c r="D454" t="s">
        <v>898</v>
      </c>
      <c r="E454" t="s">
        <v>898</v>
      </c>
      <c r="F454" t="s">
        <v>898</v>
      </c>
      <c r="G454" t="s">
        <v>67</v>
      </c>
      <c r="H454" t="s">
        <v>898</v>
      </c>
    </row>
    <row r="455">
      <c r="B455" t="s">
        <v>898</v>
      </c>
      <c r="C455" t="s">
        <v>898</v>
      </c>
      <c r="D455" t="s">
        <v>898</v>
      </c>
      <c r="E455" t="s">
        <v>898</v>
      </c>
      <c r="F455" t="s">
        <v>898</v>
      </c>
      <c r="G455" t="s">
        <v>67</v>
      </c>
      <c r="H455" t="s">
        <v>898</v>
      </c>
    </row>
    <row r="456">
      <c r="B456" t="s">
        <v>898</v>
      </c>
      <c r="C456" t="s">
        <v>898</v>
      </c>
      <c r="D456" t="s">
        <v>898</v>
      </c>
      <c r="E456" t="s">
        <v>898</v>
      </c>
      <c r="F456" t="s">
        <v>898</v>
      </c>
      <c r="G456" t="s">
        <v>67</v>
      </c>
      <c r="H456" t="s">
        <v>898</v>
      </c>
    </row>
    <row r="457">
      <c r="B457" t="s">
        <v>898</v>
      </c>
      <c r="C457" t="s">
        <v>898</v>
      </c>
      <c r="D457" t="s">
        <v>898</v>
      </c>
      <c r="E457" t="s">
        <v>898</v>
      </c>
      <c r="F457" t="s">
        <v>898</v>
      </c>
      <c r="G457" t="s">
        <v>67</v>
      </c>
      <c r="H457" t="s">
        <v>898</v>
      </c>
    </row>
    <row r="458">
      <c r="B458" t="s">
        <v>898</v>
      </c>
      <c r="C458" t="s">
        <v>898</v>
      </c>
      <c r="D458" t="s">
        <v>898</v>
      </c>
      <c r="E458" t="s">
        <v>898</v>
      </c>
      <c r="F458" t="s">
        <v>898</v>
      </c>
      <c r="G458" t="s">
        <v>67</v>
      </c>
      <c r="H458" t="s">
        <v>898</v>
      </c>
    </row>
    <row r="459">
      <c r="B459" t="s">
        <v>898</v>
      </c>
      <c r="C459" t="s">
        <v>898</v>
      </c>
      <c r="D459" t="s">
        <v>898</v>
      </c>
      <c r="E459" t="s">
        <v>898</v>
      </c>
      <c r="F459" t="s">
        <v>898</v>
      </c>
      <c r="G459" t="s">
        <v>67</v>
      </c>
      <c r="H459" t="s">
        <v>898</v>
      </c>
    </row>
    <row r="460">
      <c r="B460" t="s">
        <v>898</v>
      </c>
      <c r="C460" t="s">
        <v>898</v>
      </c>
      <c r="D460" t="s">
        <v>898</v>
      </c>
      <c r="E460" t="s">
        <v>898</v>
      </c>
      <c r="F460" t="s">
        <v>898</v>
      </c>
      <c r="G460" t="s">
        <v>67</v>
      </c>
      <c r="H460" t="s">
        <v>898</v>
      </c>
    </row>
    <row r="461">
      <c r="B461" t="s">
        <v>898</v>
      </c>
      <c r="C461" t="s">
        <v>898</v>
      </c>
      <c r="D461" t="s">
        <v>898</v>
      </c>
      <c r="E461" t="s">
        <v>898</v>
      </c>
      <c r="F461" t="s">
        <v>898</v>
      </c>
      <c r="G461" t="s">
        <v>67</v>
      </c>
      <c r="H461" t="s">
        <v>898</v>
      </c>
    </row>
    <row r="462">
      <c r="B462" t="s">
        <v>898</v>
      </c>
      <c r="C462" t="s">
        <v>898</v>
      </c>
      <c r="D462" t="s">
        <v>898</v>
      </c>
      <c r="E462" t="s">
        <v>898</v>
      </c>
      <c r="F462" t="s">
        <v>898</v>
      </c>
      <c r="G462" t="s">
        <v>67</v>
      </c>
      <c r="H462" t="s">
        <v>898</v>
      </c>
    </row>
    <row r="463">
      <c r="B463" t="s">
        <v>898</v>
      </c>
      <c r="C463" t="s">
        <v>898</v>
      </c>
      <c r="D463" t="s">
        <v>898</v>
      </c>
      <c r="E463" t="s">
        <v>898</v>
      </c>
      <c r="F463" t="s">
        <v>898</v>
      </c>
      <c r="G463" t="s">
        <v>67</v>
      </c>
      <c r="H463" t="s">
        <v>898</v>
      </c>
    </row>
    <row r="464">
      <c r="B464" t="s">
        <v>898</v>
      </c>
      <c r="C464" t="s">
        <v>898</v>
      </c>
      <c r="D464" t="s">
        <v>898</v>
      </c>
      <c r="E464" t="s">
        <v>898</v>
      </c>
      <c r="F464" t="s">
        <v>898</v>
      </c>
      <c r="G464" t="s">
        <v>67</v>
      </c>
      <c r="H464" t="s">
        <v>898</v>
      </c>
    </row>
    <row r="465">
      <c r="B465" t="s">
        <v>898</v>
      </c>
      <c r="C465" t="s">
        <v>898</v>
      </c>
      <c r="D465" t="s">
        <v>898</v>
      </c>
      <c r="E465" t="s">
        <v>898</v>
      </c>
      <c r="F465" t="s">
        <v>898</v>
      </c>
      <c r="G465" t="s">
        <v>67</v>
      </c>
      <c r="H465" t="s">
        <v>898</v>
      </c>
    </row>
    <row r="466">
      <c r="B466" t="s">
        <v>898</v>
      </c>
      <c r="C466" t="s">
        <v>898</v>
      </c>
      <c r="D466" t="s">
        <v>898</v>
      </c>
      <c r="E466" t="s">
        <v>898</v>
      </c>
      <c r="F466" t="s">
        <v>898</v>
      </c>
      <c r="G466" t="s">
        <v>67</v>
      </c>
      <c r="H466" t="s">
        <v>898</v>
      </c>
    </row>
    <row r="467">
      <c r="B467" t="s">
        <v>898</v>
      </c>
      <c r="C467" t="s">
        <v>898</v>
      </c>
      <c r="D467" t="s">
        <v>898</v>
      </c>
      <c r="E467" t="s">
        <v>898</v>
      </c>
      <c r="F467" t="s">
        <v>898</v>
      </c>
      <c r="G467" t="s">
        <v>67</v>
      </c>
      <c r="H467" t="s">
        <v>898</v>
      </c>
    </row>
    <row r="468">
      <c r="B468" t="s">
        <v>898</v>
      </c>
      <c r="C468" t="s">
        <v>898</v>
      </c>
      <c r="D468" t="s">
        <v>898</v>
      </c>
      <c r="E468" t="s">
        <v>898</v>
      </c>
      <c r="F468" t="s">
        <v>898</v>
      </c>
      <c r="G468" t="s">
        <v>67</v>
      </c>
      <c r="H468" t="s">
        <v>898</v>
      </c>
    </row>
    <row r="469">
      <c r="B469" t="s">
        <v>898</v>
      </c>
      <c r="C469" t="s">
        <v>898</v>
      </c>
      <c r="D469" t="s">
        <v>898</v>
      </c>
      <c r="E469" t="s">
        <v>898</v>
      </c>
      <c r="F469" t="s">
        <v>898</v>
      </c>
      <c r="G469" t="s">
        <v>67</v>
      </c>
      <c r="H469" t="s">
        <v>898</v>
      </c>
    </row>
    <row r="470">
      <c r="B470" t="s">
        <v>898</v>
      </c>
      <c r="C470" t="s">
        <v>898</v>
      </c>
      <c r="D470" t="s">
        <v>898</v>
      </c>
      <c r="E470" t="s">
        <v>898</v>
      </c>
      <c r="F470" t="s">
        <v>898</v>
      </c>
      <c r="G470" t="s">
        <v>67</v>
      </c>
      <c r="H470" t="s">
        <v>898</v>
      </c>
    </row>
    <row r="471">
      <c r="B471" t="s">
        <v>898</v>
      </c>
      <c r="C471" t="s">
        <v>898</v>
      </c>
      <c r="D471" t="s">
        <v>898</v>
      </c>
      <c r="E471" t="s">
        <v>898</v>
      </c>
      <c r="F471" t="s">
        <v>898</v>
      </c>
      <c r="G471" t="s">
        <v>67</v>
      </c>
      <c r="H471" t="s">
        <v>898</v>
      </c>
    </row>
    <row r="472">
      <c r="B472" t="s">
        <v>898</v>
      </c>
      <c r="C472" t="s">
        <v>898</v>
      </c>
      <c r="D472" t="s">
        <v>898</v>
      </c>
      <c r="E472" t="s">
        <v>898</v>
      </c>
      <c r="F472" t="s">
        <v>898</v>
      </c>
      <c r="G472" t="s">
        <v>67</v>
      </c>
      <c r="H472" t="s">
        <v>898</v>
      </c>
    </row>
    <row r="473">
      <c r="B473" t="s">
        <v>898</v>
      </c>
      <c r="C473" t="s">
        <v>898</v>
      </c>
      <c r="D473" t="s">
        <v>898</v>
      </c>
      <c r="E473" t="s">
        <v>898</v>
      </c>
      <c r="F473" t="s">
        <v>898</v>
      </c>
      <c r="G473" t="s">
        <v>67</v>
      </c>
      <c r="H473" t="s">
        <v>898</v>
      </c>
    </row>
    <row r="474">
      <c r="B474" t="s">
        <v>898</v>
      </c>
      <c r="C474" t="s">
        <v>898</v>
      </c>
      <c r="D474" t="s">
        <v>898</v>
      </c>
      <c r="E474" t="s">
        <v>898</v>
      </c>
      <c r="F474" t="s">
        <v>898</v>
      </c>
      <c r="G474" t="s">
        <v>67</v>
      </c>
      <c r="H474" t="s">
        <v>898</v>
      </c>
    </row>
    <row r="475">
      <c r="B475" t="s">
        <v>898</v>
      </c>
      <c r="C475" t="s">
        <v>898</v>
      </c>
      <c r="D475" t="s">
        <v>898</v>
      </c>
      <c r="E475" t="s">
        <v>898</v>
      </c>
      <c r="F475" t="s">
        <v>898</v>
      </c>
      <c r="G475" t="s">
        <v>67</v>
      </c>
      <c r="H475" t="s">
        <v>898</v>
      </c>
    </row>
    <row r="476">
      <c r="B476" t="s">
        <v>898</v>
      </c>
      <c r="C476" t="s">
        <v>898</v>
      </c>
      <c r="D476" t="s">
        <v>898</v>
      </c>
      <c r="E476" t="s">
        <v>898</v>
      </c>
      <c r="F476" t="s">
        <v>898</v>
      </c>
      <c r="G476" t="s">
        <v>67</v>
      </c>
      <c r="H476" t="s">
        <v>898</v>
      </c>
    </row>
    <row r="477">
      <c r="B477" t="s">
        <v>898</v>
      </c>
      <c r="C477" t="s">
        <v>898</v>
      </c>
      <c r="D477" t="s">
        <v>898</v>
      </c>
      <c r="E477" t="s">
        <v>898</v>
      </c>
      <c r="F477" t="s">
        <v>898</v>
      </c>
      <c r="G477" t="s">
        <v>67</v>
      </c>
      <c r="H477" t="s">
        <v>898</v>
      </c>
    </row>
    <row r="478">
      <c r="B478" t="s">
        <v>898</v>
      </c>
      <c r="C478" t="s">
        <v>898</v>
      </c>
      <c r="D478" t="s">
        <v>898</v>
      </c>
      <c r="E478" t="s">
        <v>898</v>
      </c>
      <c r="F478" t="s">
        <v>898</v>
      </c>
      <c r="G478" t="s">
        <v>67</v>
      </c>
      <c r="H478" t="s">
        <v>898</v>
      </c>
    </row>
    <row r="479">
      <c r="B479" t="s">
        <v>898</v>
      </c>
      <c r="C479" t="s">
        <v>898</v>
      </c>
      <c r="D479" t="s">
        <v>898</v>
      </c>
      <c r="E479" t="s">
        <v>898</v>
      </c>
      <c r="F479" t="s">
        <v>898</v>
      </c>
      <c r="G479" t="s">
        <v>67</v>
      </c>
      <c r="H479" t="s">
        <v>898</v>
      </c>
    </row>
    <row r="480">
      <c r="B480" t="s">
        <v>898</v>
      </c>
      <c r="C480" t="s">
        <v>898</v>
      </c>
      <c r="D480" t="s">
        <v>898</v>
      </c>
      <c r="E480" t="s">
        <v>898</v>
      </c>
      <c r="F480" t="s">
        <v>898</v>
      </c>
      <c r="G480" t="s">
        <v>67</v>
      </c>
      <c r="H480" t="s">
        <v>898</v>
      </c>
    </row>
    <row r="481">
      <c r="B481" t="s">
        <v>898</v>
      </c>
      <c r="C481" t="s">
        <v>898</v>
      </c>
      <c r="D481" t="s">
        <v>898</v>
      </c>
      <c r="E481" t="s">
        <v>898</v>
      </c>
      <c r="F481" t="s">
        <v>898</v>
      </c>
      <c r="G481" t="s">
        <v>67</v>
      </c>
      <c r="H481" t="s">
        <v>898</v>
      </c>
    </row>
    <row r="482">
      <c r="B482" t="s">
        <v>898</v>
      </c>
      <c r="C482" t="s">
        <v>898</v>
      </c>
      <c r="D482" t="s">
        <v>898</v>
      </c>
      <c r="E482" t="s">
        <v>898</v>
      </c>
      <c r="F482" t="s">
        <v>898</v>
      </c>
      <c r="G482" t="s">
        <v>67</v>
      </c>
      <c r="H482" t="s">
        <v>898</v>
      </c>
    </row>
    <row r="483">
      <c r="B483" t="s">
        <v>898</v>
      </c>
      <c r="C483" t="s">
        <v>898</v>
      </c>
      <c r="D483" t="s">
        <v>898</v>
      </c>
      <c r="E483" t="s">
        <v>898</v>
      </c>
      <c r="F483" t="s">
        <v>898</v>
      </c>
      <c r="G483" t="s">
        <v>67</v>
      </c>
      <c r="H483" t="s">
        <v>898</v>
      </c>
    </row>
    <row r="484">
      <c r="B484" t="s">
        <v>898</v>
      </c>
      <c r="C484" t="s">
        <v>898</v>
      </c>
      <c r="D484" t="s">
        <v>898</v>
      </c>
      <c r="E484" t="s">
        <v>898</v>
      </c>
      <c r="F484" t="s">
        <v>898</v>
      </c>
      <c r="G484" t="s">
        <v>67</v>
      </c>
      <c r="H484" t="s">
        <v>898</v>
      </c>
    </row>
    <row r="485">
      <c r="B485" t="s">
        <v>898</v>
      </c>
      <c r="C485" t="s">
        <v>898</v>
      </c>
      <c r="D485" t="s">
        <v>898</v>
      </c>
      <c r="E485" t="s">
        <v>898</v>
      </c>
      <c r="F485" t="s">
        <v>898</v>
      </c>
      <c r="G485" t="s">
        <v>67</v>
      </c>
      <c r="H485" t="s">
        <v>898</v>
      </c>
    </row>
    <row r="486">
      <c r="B486" t="s">
        <v>898</v>
      </c>
      <c r="C486" t="s">
        <v>898</v>
      </c>
      <c r="D486" t="s">
        <v>898</v>
      </c>
      <c r="E486" t="s">
        <v>898</v>
      </c>
      <c r="F486" t="s">
        <v>898</v>
      </c>
      <c r="G486" t="s">
        <v>67</v>
      </c>
      <c r="H486" t="s">
        <v>898</v>
      </c>
    </row>
    <row r="487">
      <c r="B487" t="s">
        <v>898</v>
      </c>
      <c r="C487" t="s">
        <v>898</v>
      </c>
      <c r="D487" t="s">
        <v>898</v>
      </c>
      <c r="E487" t="s">
        <v>898</v>
      </c>
      <c r="F487" t="s">
        <v>898</v>
      </c>
      <c r="G487" t="s">
        <v>67</v>
      </c>
      <c r="H487" t="s">
        <v>898</v>
      </c>
    </row>
    <row r="488">
      <c r="B488" t="s">
        <v>898</v>
      </c>
      <c r="C488" t="s">
        <v>898</v>
      </c>
      <c r="D488" t="s">
        <v>898</v>
      </c>
      <c r="E488" t="s">
        <v>898</v>
      </c>
      <c r="F488" t="s">
        <v>898</v>
      </c>
      <c r="G488" t="s">
        <v>67</v>
      </c>
      <c r="H488" t="s">
        <v>898</v>
      </c>
    </row>
    <row r="489">
      <c r="B489" t="s">
        <v>898</v>
      </c>
      <c r="C489" t="s">
        <v>898</v>
      </c>
      <c r="D489" t="s">
        <v>898</v>
      </c>
      <c r="E489" t="s">
        <v>898</v>
      </c>
      <c r="F489" t="s">
        <v>898</v>
      </c>
      <c r="G489" t="s">
        <v>67</v>
      </c>
      <c r="H489" t="s">
        <v>898</v>
      </c>
    </row>
    <row r="490">
      <c r="B490" t="s">
        <v>898</v>
      </c>
      <c r="C490" t="s">
        <v>898</v>
      </c>
      <c r="D490" t="s">
        <v>898</v>
      </c>
      <c r="E490" t="s">
        <v>898</v>
      </c>
      <c r="F490" t="s">
        <v>898</v>
      </c>
      <c r="G490" t="s">
        <v>67</v>
      </c>
      <c r="H490" t="s">
        <v>898</v>
      </c>
    </row>
    <row r="491">
      <c r="B491" t="s">
        <v>898</v>
      </c>
      <c r="C491" t="s">
        <v>898</v>
      </c>
      <c r="D491" t="s">
        <v>898</v>
      </c>
      <c r="E491" t="s">
        <v>898</v>
      </c>
      <c r="F491" t="s">
        <v>898</v>
      </c>
      <c r="G491" t="s">
        <v>67</v>
      </c>
      <c r="H491" t="s">
        <v>898</v>
      </c>
    </row>
    <row r="492">
      <c r="B492" t="s">
        <v>898</v>
      </c>
      <c r="C492" t="s">
        <v>898</v>
      </c>
      <c r="D492" t="s">
        <v>898</v>
      </c>
      <c r="E492" t="s">
        <v>898</v>
      </c>
      <c r="F492" t="s">
        <v>898</v>
      </c>
      <c r="G492" t="s">
        <v>67</v>
      </c>
      <c r="H492" t="s">
        <v>898</v>
      </c>
    </row>
    <row r="493">
      <c r="B493" t="s">
        <v>898</v>
      </c>
      <c r="C493" t="s">
        <v>898</v>
      </c>
      <c r="D493" t="s">
        <v>898</v>
      </c>
      <c r="E493" t="s">
        <v>898</v>
      </c>
      <c r="F493" t="s">
        <v>898</v>
      </c>
      <c r="G493" t="s">
        <v>67</v>
      </c>
      <c r="H493" t="s">
        <v>898</v>
      </c>
    </row>
    <row r="494">
      <c r="B494" t="s">
        <v>898</v>
      </c>
      <c r="C494" t="s">
        <v>898</v>
      </c>
      <c r="D494" t="s">
        <v>898</v>
      </c>
      <c r="E494" t="s">
        <v>898</v>
      </c>
      <c r="F494" t="s">
        <v>898</v>
      </c>
      <c r="G494" t="s">
        <v>67</v>
      </c>
      <c r="H494" t="s">
        <v>898</v>
      </c>
    </row>
    <row r="495">
      <c r="B495" t="s">
        <v>898</v>
      </c>
      <c r="C495" t="s">
        <v>898</v>
      </c>
      <c r="D495" t="s">
        <v>898</v>
      </c>
      <c r="E495" t="s">
        <v>898</v>
      </c>
      <c r="F495" t="s">
        <v>898</v>
      </c>
      <c r="G495" t="s">
        <v>67</v>
      </c>
      <c r="H495" t="s">
        <v>898</v>
      </c>
    </row>
    <row r="496">
      <c r="B496" t="s">
        <v>898</v>
      </c>
      <c r="C496" t="s">
        <v>898</v>
      </c>
      <c r="D496" t="s">
        <v>898</v>
      </c>
      <c r="E496" t="s">
        <v>898</v>
      </c>
      <c r="F496" t="s">
        <v>898</v>
      </c>
      <c r="G496" t="s">
        <v>67</v>
      </c>
      <c r="H496" t="s">
        <v>898</v>
      </c>
    </row>
    <row r="497">
      <c r="B497" t="s">
        <v>898</v>
      </c>
      <c r="C497" t="s">
        <v>898</v>
      </c>
      <c r="D497" t="s">
        <v>898</v>
      </c>
      <c r="E497" t="s">
        <v>898</v>
      </c>
      <c r="F497" t="s">
        <v>898</v>
      </c>
      <c r="G497" t="s">
        <v>67</v>
      </c>
      <c r="H497" t="s">
        <v>898</v>
      </c>
    </row>
    <row r="498">
      <c r="B498" t="s">
        <v>898</v>
      </c>
      <c r="C498" t="s">
        <v>898</v>
      </c>
      <c r="D498" t="s">
        <v>898</v>
      </c>
      <c r="E498" t="s">
        <v>898</v>
      </c>
      <c r="F498" t="s">
        <v>898</v>
      </c>
      <c r="G498" t="s">
        <v>67</v>
      </c>
      <c r="H498" t="s">
        <v>898</v>
      </c>
    </row>
    <row r="499">
      <c r="B499" t="s">
        <v>898</v>
      </c>
      <c r="C499" t="s">
        <v>898</v>
      </c>
      <c r="D499" t="s">
        <v>898</v>
      </c>
      <c r="E499" t="s">
        <v>898</v>
      </c>
      <c r="F499" t="s">
        <v>898</v>
      </c>
      <c r="G499" t="s">
        <v>67</v>
      </c>
      <c r="H499" t="s">
        <v>898</v>
      </c>
    </row>
    <row r="500">
      <c r="B500" t="s">
        <v>898</v>
      </c>
      <c r="C500" t="s">
        <v>898</v>
      </c>
      <c r="D500" t="s">
        <v>898</v>
      </c>
      <c r="E500" t="s">
        <v>898</v>
      </c>
      <c r="F500" t="s">
        <v>898</v>
      </c>
      <c r="G500" t="s">
        <v>67</v>
      </c>
      <c r="H500" t="s">
        <v>898</v>
      </c>
    </row>
    <row r="501">
      <c r="B501" t="s">
        <v>898</v>
      </c>
      <c r="C501" t="s">
        <v>898</v>
      </c>
      <c r="D501" t="s">
        <v>898</v>
      </c>
      <c r="E501" t="s">
        <v>898</v>
      </c>
      <c r="F501" t="s">
        <v>898</v>
      </c>
      <c r="G501" t="s">
        <v>67</v>
      </c>
      <c r="H501" t="s">
        <v>898</v>
      </c>
    </row>
    <row r="502">
      <c r="B502" t="s">
        <v>898</v>
      </c>
      <c r="C502" t="s">
        <v>898</v>
      </c>
      <c r="D502" t="s">
        <v>898</v>
      </c>
      <c r="E502" t="s">
        <v>898</v>
      </c>
      <c r="F502" t="s">
        <v>898</v>
      </c>
      <c r="G502" t="s">
        <v>67</v>
      </c>
      <c r="H502" t="s">
        <v>898</v>
      </c>
    </row>
    <row r="503">
      <c r="B503" t="s">
        <v>898</v>
      </c>
      <c r="C503" t="s">
        <v>898</v>
      </c>
      <c r="D503" t="s">
        <v>898</v>
      </c>
      <c r="E503" t="s">
        <v>898</v>
      </c>
      <c r="F503" t="s">
        <v>898</v>
      </c>
      <c r="G503" t="s">
        <v>67</v>
      </c>
      <c r="H503" t="s">
        <v>898</v>
      </c>
    </row>
    <row r="504">
      <c r="B504" t="s">
        <v>898</v>
      </c>
      <c r="C504" t="s">
        <v>898</v>
      </c>
      <c r="D504" t="s">
        <v>898</v>
      </c>
      <c r="E504" t="s">
        <v>898</v>
      </c>
      <c r="F504" t="s">
        <v>898</v>
      </c>
      <c r="G504" t="s">
        <v>67</v>
      </c>
      <c r="H504" t="s">
        <v>898</v>
      </c>
    </row>
    <row r="505">
      <c r="B505" t="s">
        <v>898</v>
      </c>
      <c r="C505" t="s">
        <v>898</v>
      </c>
      <c r="D505" t="s">
        <v>898</v>
      </c>
      <c r="E505" t="s">
        <v>898</v>
      </c>
      <c r="F505" t="s">
        <v>898</v>
      </c>
      <c r="G505" t="s">
        <v>67</v>
      </c>
      <c r="H505" t="s">
        <v>898</v>
      </c>
    </row>
    <row r="506">
      <c r="B506" t="s">
        <v>898</v>
      </c>
      <c r="C506" t="s">
        <v>898</v>
      </c>
      <c r="D506" t="s">
        <v>898</v>
      </c>
      <c r="E506" t="s">
        <v>898</v>
      </c>
      <c r="F506" t="s">
        <v>898</v>
      </c>
      <c r="G506" t="s">
        <v>67</v>
      </c>
      <c r="H506" t="s">
        <v>898</v>
      </c>
    </row>
    <row r="507">
      <c r="B507" t="s">
        <v>898</v>
      </c>
      <c r="C507" t="s">
        <v>898</v>
      </c>
      <c r="D507" t="s">
        <v>898</v>
      </c>
      <c r="E507" t="s">
        <v>898</v>
      </c>
      <c r="F507" t="s">
        <v>898</v>
      </c>
      <c r="G507" t="s">
        <v>67</v>
      </c>
      <c r="H507" t="s">
        <v>898</v>
      </c>
    </row>
    <row r="508">
      <c r="B508" t="s">
        <v>898</v>
      </c>
      <c r="C508" t="s">
        <v>898</v>
      </c>
      <c r="D508" t="s">
        <v>898</v>
      </c>
      <c r="E508" t="s">
        <v>898</v>
      </c>
      <c r="F508" t="s">
        <v>898</v>
      </c>
      <c r="G508" t="s">
        <v>67</v>
      </c>
      <c r="H508" t="s">
        <v>898</v>
      </c>
    </row>
    <row r="509">
      <c r="B509" t="s">
        <v>898</v>
      </c>
      <c r="C509" t="s">
        <v>898</v>
      </c>
      <c r="D509" t="s">
        <v>898</v>
      </c>
      <c r="E509" t="s">
        <v>898</v>
      </c>
      <c r="F509" t="s">
        <v>898</v>
      </c>
      <c r="G509" t="s">
        <v>67</v>
      </c>
      <c r="H509" t="s">
        <v>898</v>
      </c>
    </row>
    <row r="510">
      <c r="B510" t="s">
        <v>898</v>
      </c>
      <c r="C510" t="s">
        <v>898</v>
      </c>
      <c r="D510" t="s">
        <v>898</v>
      </c>
      <c r="E510" t="s">
        <v>898</v>
      </c>
      <c r="F510" t="s">
        <v>898</v>
      </c>
      <c r="G510" t="s">
        <v>67</v>
      </c>
      <c r="H510" t="s">
        <v>898</v>
      </c>
    </row>
    <row r="511">
      <c r="B511" t="s">
        <v>898</v>
      </c>
      <c r="C511" t="s">
        <v>898</v>
      </c>
      <c r="D511" t="s">
        <v>898</v>
      </c>
      <c r="E511" t="s">
        <v>898</v>
      </c>
      <c r="F511" t="s">
        <v>898</v>
      </c>
      <c r="G511" t="s">
        <v>67</v>
      </c>
      <c r="H511" t="s">
        <v>898</v>
      </c>
    </row>
    <row r="512">
      <c r="B512" t="s">
        <v>898</v>
      </c>
      <c r="C512" t="s">
        <v>898</v>
      </c>
      <c r="D512" t="s">
        <v>898</v>
      </c>
      <c r="E512" t="s">
        <v>898</v>
      </c>
      <c r="F512" t="s">
        <v>898</v>
      </c>
      <c r="G512" t="s">
        <v>67</v>
      </c>
      <c r="H512" t="s">
        <v>898</v>
      </c>
    </row>
    <row r="513">
      <c r="B513" t="s">
        <v>898</v>
      </c>
      <c r="C513" t="s">
        <v>898</v>
      </c>
      <c r="D513" t="s">
        <v>898</v>
      </c>
      <c r="E513" t="s">
        <v>898</v>
      </c>
      <c r="F513" t="s">
        <v>898</v>
      </c>
      <c r="G513" t="s">
        <v>67</v>
      </c>
      <c r="H513" t="s">
        <v>898</v>
      </c>
    </row>
    <row r="514">
      <c r="B514" t="s">
        <v>898</v>
      </c>
      <c r="C514" t="s">
        <v>898</v>
      </c>
      <c r="D514" t="s">
        <v>898</v>
      </c>
      <c r="E514" t="s">
        <v>898</v>
      </c>
      <c r="F514" t="s">
        <v>898</v>
      </c>
      <c r="G514" t="s">
        <v>67</v>
      </c>
      <c r="H514" t="s">
        <v>898</v>
      </c>
    </row>
    <row r="515">
      <c r="B515" t="s">
        <v>898</v>
      </c>
      <c r="C515" t="s">
        <v>898</v>
      </c>
      <c r="D515" t="s">
        <v>898</v>
      </c>
      <c r="E515" t="s">
        <v>898</v>
      </c>
      <c r="F515" t="s">
        <v>898</v>
      </c>
      <c r="G515" t="s">
        <v>67</v>
      </c>
      <c r="H515" t="s">
        <v>898</v>
      </c>
    </row>
    <row r="516">
      <c r="B516" t="s">
        <v>898</v>
      </c>
      <c r="C516" t="s">
        <v>898</v>
      </c>
      <c r="D516" t="s">
        <v>898</v>
      </c>
      <c r="E516" t="s">
        <v>898</v>
      </c>
      <c r="F516" t="s">
        <v>898</v>
      </c>
      <c r="G516" t="s">
        <v>67</v>
      </c>
      <c r="H516" t="s">
        <v>898</v>
      </c>
    </row>
    <row r="517">
      <c r="B517" t="s">
        <v>898</v>
      </c>
      <c r="C517" t="s">
        <v>898</v>
      </c>
      <c r="D517" t="s">
        <v>898</v>
      </c>
      <c r="E517" t="s">
        <v>898</v>
      </c>
      <c r="F517" t="s">
        <v>898</v>
      </c>
      <c r="G517" t="s">
        <v>67</v>
      </c>
      <c r="H517" t="s">
        <v>898</v>
      </c>
    </row>
    <row r="518">
      <c r="B518" t="s">
        <v>898</v>
      </c>
      <c r="C518" t="s">
        <v>898</v>
      </c>
      <c r="D518" t="s">
        <v>898</v>
      </c>
      <c r="E518" t="s">
        <v>898</v>
      </c>
      <c r="F518" t="s">
        <v>898</v>
      </c>
      <c r="G518" t="s">
        <v>67</v>
      </c>
      <c r="H518" t="s">
        <v>898</v>
      </c>
    </row>
    <row r="519">
      <c r="B519" t="s">
        <v>898</v>
      </c>
      <c r="C519" t="s">
        <v>898</v>
      </c>
      <c r="D519" t="s">
        <v>898</v>
      </c>
      <c r="E519" t="s">
        <v>898</v>
      </c>
      <c r="F519" t="s">
        <v>898</v>
      </c>
      <c r="G519" t="s">
        <v>67</v>
      </c>
      <c r="H519" t="s">
        <v>898</v>
      </c>
    </row>
    <row r="520">
      <c r="B520" t="s">
        <v>898</v>
      </c>
      <c r="C520" t="s">
        <v>898</v>
      </c>
      <c r="D520" t="s">
        <v>898</v>
      </c>
      <c r="E520" t="s">
        <v>898</v>
      </c>
      <c r="F520" t="s">
        <v>898</v>
      </c>
      <c r="G520" t="s">
        <v>67</v>
      </c>
      <c r="H520" t="s">
        <v>898</v>
      </c>
    </row>
    <row r="521">
      <c r="B521" t="s">
        <v>898</v>
      </c>
      <c r="C521" t="s">
        <v>898</v>
      </c>
      <c r="D521" t="s">
        <v>898</v>
      </c>
      <c r="E521" t="s">
        <v>898</v>
      </c>
      <c r="F521" t="s">
        <v>898</v>
      </c>
      <c r="G521" t="s">
        <v>67</v>
      </c>
      <c r="H521" t="s">
        <v>898</v>
      </c>
    </row>
    <row r="522">
      <c r="B522" t="s">
        <v>898</v>
      </c>
      <c r="C522" t="s">
        <v>898</v>
      </c>
      <c r="D522" t="s">
        <v>898</v>
      </c>
      <c r="E522" t="s">
        <v>898</v>
      </c>
      <c r="F522" t="s">
        <v>898</v>
      </c>
      <c r="G522" t="s">
        <v>67</v>
      </c>
      <c r="H522" t="s">
        <v>898</v>
      </c>
    </row>
    <row r="523">
      <c r="B523" t="s">
        <v>898</v>
      </c>
      <c r="C523" t="s">
        <v>898</v>
      </c>
      <c r="D523" t="s">
        <v>898</v>
      </c>
      <c r="E523" t="s">
        <v>898</v>
      </c>
      <c r="F523" t="s">
        <v>898</v>
      </c>
      <c r="G523" t="s">
        <v>67</v>
      </c>
      <c r="H523" t="s">
        <v>898</v>
      </c>
    </row>
    <row r="524">
      <c r="B524" t="s">
        <v>898</v>
      </c>
      <c r="C524" t="s">
        <v>898</v>
      </c>
      <c r="D524" t="s">
        <v>898</v>
      </c>
      <c r="E524" t="s">
        <v>898</v>
      </c>
      <c r="F524" t="s">
        <v>898</v>
      </c>
      <c r="G524" t="s">
        <v>67</v>
      </c>
      <c r="H524" t="s">
        <v>898</v>
      </c>
    </row>
    <row r="525">
      <c r="B525" t="s">
        <v>898</v>
      </c>
      <c r="C525" t="s">
        <v>898</v>
      </c>
      <c r="D525" t="s">
        <v>898</v>
      </c>
      <c r="E525" t="s">
        <v>898</v>
      </c>
      <c r="F525" t="s">
        <v>898</v>
      </c>
      <c r="G525" t="s">
        <v>67</v>
      </c>
      <c r="H525" t="s">
        <v>898</v>
      </c>
    </row>
    <row r="526">
      <c r="B526" t="s">
        <v>898</v>
      </c>
      <c r="C526" t="s">
        <v>898</v>
      </c>
      <c r="D526" t="s">
        <v>898</v>
      </c>
      <c r="E526" t="s">
        <v>898</v>
      </c>
      <c r="F526" t="s">
        <v>898</v>
      </c>
      <c r="G526" t="s">
        <v>67</v>
      </c>
      <c r="H526" t="s">
        <v>898</v>
      </c>
    </row>
    <row r="527">
      <c r="B527" t="s">
        <v>898</v>
      </c>
      <c r="C527" t="s">
        <v>898</v>
      </c>
      <c r="D527" t="s">
        <v>898</v>
      </c>
      <c r="E527" t="s">
        <v>898</v>
      </c>
      <c r="F527" t="s">
        <v>898</v>
      </c>
      <c r="G527" t="s">
        <v>67</v>
      </c>
      <c r="H527" t="s">
        <v>898</v>
      </c>
    </row>
    <row r="528">
      <c r="B528" t="s">
        <v>898</v>
      </c>
      <c r="C528" t="s">
        <v>898</v>
      </c>
      <c r="D528" t="s">
        <v>898</v>
      </c>
      <c r="E528" t="s">
        <v>898</v>
      </c>
      <c r="F528" t="s">
        <v>898</v>
      </c>
      <c r="G528" t="s">
        <v>67</v>
      </c>
      <c r="H528" t="s">
        <v>898</v>
      </c>
    </row>
    <row r="529">
      <c r="B529" t="s">
        <v>898</v>
      </c>
      <c r="C529" t="s">
        <v>898</v>
      </c>
      <c r="D529" t="s">
        <v>898</v>
      </c>
      <c r="E529" t="s">
        <v>898</v>
      </c>
      <c r="F529" t="s">
        <v>898</v>
      </c>
      <c r="G529" t="s">
        <v>67</v>
      </c>
      <c r="H529" t="s">
        <v>898</v>
      </c>
    </row>
    <row r="530">
      <c r="B530" t="s">
        <v>898</v>
      </c>
      <c r="C530" t="s">
        <v>898</v>
      </c>
      <c r="D530" t="s">
        <v>898</v>
      </c>
      <c r="E530" t="s">
        <v>898</v>
      </c>
      <c r="F530" t="s">
        <v>898</v>
      </c>
      <c r="G530" t="s">
        <v>67</v>
      </c>
      <c r="H530" t="s">
        <v>898</v>
      </c>
    </row>
    <row r="531">
      <c r="B531" t="s">
        <v>898</v>
      </c>
      <c r="C531" t="s">
        <v>898</v>
      </c>
      <c r="D531" t="s">
        <v>898</v>
      </c>
      <c r="E531" t="s">
        <v>898</v>
      </c>
      <c r="F531" t="s">
        <v>898</v>
      </c>
      <c r="G531" t="s">
        <v>67</v>
      </c>
      <c r="H531" t="s">
        <v>898</v>
      </c>
    </row>
    <row r="532">
      <c r="B532" t="s">
        <v>898</v>
      </c>
      <c r="C532" t="s">
        <v>898</v>
      </c>
      <c r="D532" t="s">
        <v>898</v>
      </c>
      <c r="E532" t="s">
        <v>898</v>
      </c>
      <c r="F532" t="s">
        <v>898</v>
      </c>
      <c r="G532" t="s">
        <v>67</v>
      </c>
      <c r="H532" t="s">
        <v>898</v>
      </c>
    </row>
    <row r="533">
      <c r="B533" t="s">
        <v>898</v>
      </c>
      <c r="C533" t="s">
        <v>898</v>
      </c>
      <c r="D533" t="s">
        <v>898</v>
      </c>
      <c r="E533" t="s">
        <v>898</v>
      </c>
      <c r="F533" t="s">
        <v>898</v>
      </c>
      <c r="G533" t="s">
        <v>67</v>
      </c>
      <c r="H533" t="s">
        <v>898</v>
      </c>
    </row>
    <row r="534">
      <c r="B534" t="s">
        <v>898</v>
      </c>
      <c r="C534" t="s">
        <v>898</v>
      </c>
      <c r="D534" t="s">
        <v>898</v>
      </c>
      <c r="E534" t="s">
        <v>898</v>
      </c>
      <c r="F534" t="s">
        <v>898</v>
      </c>
      <c r="G534" t="s">
        <v>67</v>
      </c>
      <c r="H534" t="s">
        <v>898</v>
      </c>
    </row>
    <row r="535">
      <c r="B535" t="s">
        <v>898</v>
      </c>
      <c r="C535" t="s">
        <v>898</v>
      </c>
      <c r="D535" t="s">
        <v>898</v>
      </c>
      <c r="E535" t="s">
        <v>898</v>
      </c>
      <c r="F535" t="s">
        <v>898</v>
      </c>
      <c r="G535" t="s">
        <v>67</v>
      </c>
      <c r="H535" t="s">
        <v>898</v>
      </c>
    </row>
    <row r="536">
      <c r="B536" t="s">
        <v>898</v>
      </c>
      <c r="C536" t="s">
        <v>898</v>
      </c>
      <c r="D536" t="s">
        <v>898</v>
      </c>
      <c r="E536" t="s">
        <v>898</v>
      </c>
      <c r="F536" t="s">
        <v>898</v>
      </c>
      <c r="G536" t="s">
        <v>67</v>
      </c>
      <c r="H536" t="s">
        <v>898</v>
      </c>
    </row>
    <row r="537">
      <c r="B537" t="s">
        <v>898</v>
      </c>
      <c r="C537" t="s">
        <v>898</v>
      </c>
      <c r="D537" t="s">
        <v>898</v>
      </c>
      <c r="E537" t="s">
        <v>898</v>
      </c>
      <c r="F537" t="s">
        <v>898</v>
      </c>
      <c r="G537" t="s">
        <v>67</v>
      </c>
      <c r="H537" t="s">
        <v>898</v>
      </c>
    </row>
    <row r="538">
      <c r="B538" t="s">
        <v>898</v>
      </c>
      <c r="C538" t="s">
        <v>898</v>
      </c>
      <c r="D538" t="s">
        <v>898</v>
      </c>
      <c r="E538" t="s">
        <v>898</v>
      </c>
      <c r="F538" t="s">
        <v>898</v>
      </c>
      <c r="G538" t="s">
        <v>67</v>
      </c>
      <c r="H538" t="s">
        <v>898</v>
      </c>
    </row>
    <row r="539">
      <c r="B539" t="s">
        <v>898</v>
      </c>
      <c r="C539" t="s">
        <v>898</v>
      </c>
      <c r="D539" t="s">
        <v>898</v>
      </c>
      <c r="E539" t="s">
        <v>898</v>
      </c>
      <c r="F539" t="s">
        <v>898</v>
      </c>
      <c r="G539" t="s">
        <v>67</v>
      </c>
      <c r="H539" t="s">
        <v>898</v>
      </c>
    </row>
    <row r="540">
      <c r="B540" t="s">
        <v>898</v>
      </c>
      <c r="C540" t="s">
        <v>898</v>
      </c>
      <c r="D540" t="s">
        <v>898</v>
      </c>
      <c r="E540" t="s">
        <v>898</v>
      </c>
      <c r="F540" t="s">
        <v>898</v>
      </c>
      <c r="G540" t="s">
        <v>67</v>
      </c>
      <c r="H540" t="s">
        <v>898</v>
      </c>
    </row>
    <row r="541">
      <c r="B541" t="s">
        <v>898</v>
      </c>
      <c r="C541" t="s">
        <v>898</v>
      </c>
      <c r="D541" t="s">
        <v>898</v>
      </c>
      <c r="E541" t="s">
        <v>898</v>
      </c>
      <c r="F541" t="s">
        <v>898</v>
      </c>
      <c r="G541" t="s">
        <v>67</v>
      </c>
      <c r="H541" t="s">
        <v>898</v>
      </c>
    </row>
    <row r="542">
      <c r="B542" t="s">
        <v>898</v>
      </c>
      <c r="C542" t="s">
        <v>898</v>
      </c>
      <c r="D542" t="s">
        <v>898</v>
      </c>
      <c r="E542" t="s">
        <v>898</v>
      </c>
      <c r="F542" t="s">
        <v>898</v>
      </c>
      <c r="G542" t="s">
        <v>67</v>
      </c>
      <c r="H542" t="s">
        <v>898</v>
      </c>
    </row>
    <row r="543">
      <c r="B543" t="s">
        <v>898</v>
      </c>
      <c r="C543" t="s">
        <v>898</v>
      </c>
      <c r="D543" t="s">
        <v>898</v>
      </c>
      <c r="E543" t="s">
        <v>898</v>
      </c>
      <c r="F543" t="s">
        <v>898</v>
      </c>
      <c r="G543" t="s">
        <v>67</v>
      </c>
      <c r="H543" t="s">
        <v>898</v>
      </c>
    </row>
    <row r="544">
      <c r="B544" t="s">
        <v>898</v>
      </c>
      <c r="C544" t="s">
        <v>898</v>
      </c>
      <c r="D544" t="s">
        <v>898</v>
      </c>
      <c r="E544" t="s">
        <v>898</v>
      </c>
      <c r="F544" t="s">
        <v>898</v>
      </c>
      <c r="G544" t="s">
        <v>67</v>
      </c>
      <c r="H544" t="s">
        <v>898</v>
      </c>
    </row>
    <row r="545">
      <c r="B545" t="s">
        <v>898</v>
      </c>
      <c r="C545" t="s">
        <v>898</v>
      </c>
      <c r="D545" t="s">
        <v>898</v>
      </c>
      <c r="E545" t="s">
        <v>898</v>
      </c>
      <c r="F545" t="s">
        <v>898</v>
      </c>
      <c r="G545" t="s">
        <v>67</v>
      </c>
      <c r="H545" t="s">
        <v>898</v>
      </c>
    </row>
    <row r="546">
      <c r="B546" t="s">
        <v>898</v>
      </c>
      <c r="C546" t="s">
        <v>898</v>
      </c>
      <c r="D546" t="s">
        <v>898</v>
      </c>
      <c r="E546" t="s">
        <v>898</v>
      </c>
      <c r="F546" t="s">
        <v>898</v>
      </c>
      <c r="G546" t="s">
        <v>67</v>
      </c>
      <c r="H546" t="s">
        <v>898</v>
      </c>
    </row>
    <row r="547">
      <c r="B547" t="s">
        <v>898</v>
      </c>
      <c r="C547" t="s">
        <v>898</v>
      </c>
      <c r="D547" t="s">
        <v>898</v>
      </c>
      <c r="E547" t="s">
        <v>898</v>
      </c>
      <c r="F547" t="s">
        <v>898</v>
      </c>
      <c r="G547" t="s">
        <v>67</v>
      </c>
      <c r="H547" t="s">
        <v>898</v>
      </c>
    </row>
    <row r="548">
      <c r="B548" t="s">
        <v>898</v>
      </c>
      <c r="C548" t="s">
        <v>898</v>
      </c>
      <c r="D548" t="s">
        <v>898</v>
      </c>
      <c r="E548" t="s">
        <v>898</v>
      </c>
      <c r="F548" t="s">
        <v>898</v>
      </c>
      <c r="G548" t="s">
        <v>67</v>
      </c>
      <c r="H548" t="s">
        <v>898</v>
      </c>
    </row>
    <row r="549">
      <c r="B549" t="s">
        <v>898</v>
      </c>
      <c r="C549" t="s">
        <v>898</v>
      </c>
      <c r="D549" t="s">
        <v>898</v>
      </c>
      <c r="E549" t="s">
        <v>898</v>
      </c>
      <c r="F549" t="s">
        <v>898</v>
      </c>
      <c r="G549" t="s">
        <v>67</v>
      </c>
      <c r="H549" t="s">
        <v>898</v>
      </c>
    </row>
    <row r="550">
      <c r="B550" t="s">
        <v>898</v>
      </c>
      <c r="C550" t="s">
        <v>898</v>
      </c>
      <c r="D550" t="s">
        <v>898</v>
      </c>
      <c r="E550" t="s">
        <v>898</v>
      </c>
      <c r="F550" t="s">
        <v>898</v>
      </c>
      <c r="G550" t="s">
        <v>67</v>
      </c>
      <c r="H550" t="s">
        <v>898</v>
      </c>
    </row>
    <row r="551">
      <c r="B551" t="s">
        <v>898</v>
      </c>
      <c r="C551" t="s">
        <v>898</v>
      </c>
      <c r="D551" t="s">
        <v>898</v>
      </c>
      <c r="E551" t="s">
        <v>898</v>
      </c>
      <c r="F551" t="s">
        <v>898</v>
      </c>
      <c r="G551" t="s">
        <v>67</v>
      </c>
      <c r="H551" t="s">
        <v>898</v>
      </c>
    </row>
    <row r="552">
      <c r="B552" t="s">
        <v>898</v>
      </c>
      <c r="C552" t="s">
        <v>898</v>
      </c>
      <c r="D552" t="s">
        <v>898</v>
      </c>
      <c r="E552" t="s">
        <v>898</v>
      </c>
      <c r="F552" t="s">
        <v>898</v>
      </c>
      <c r="G552" t="s">
        <v>67</v>
      </c>
      <c r="H552" t="s">
        <v>898</v>
      </c>
    </row>
    <row r="553">
      <c r="B553" t="s">
        <v>898</v>
      </c>
      <c r="C553" t="s">
        <v>898</v>
      </c>
      <c r="D553" t="s">
        <v>898</v>
      </c>
      <c r="E553" t="s">
        <v>898</v>
      </c>
      <c r="F553" t="s">
        <v>898</v>
      </c>
      <c r="G553" t="s">
        <v>67</v>
      </c>
      <c r="H553" t="s">
        <v>898</v>
      </c>
    </row>
    <row r="554">
      <c r="B554" t="s">
        <v>898</v>
      </c>
      <c r="C554" t="s">
        <v>898</v>
      </c>
      <c r="D554" t="s">
        <v>898</v>
      </c>
      <c r="E554" t="s">
        <v>898</v>
      </c>
      <c r="F554" t="s">
        <v>898</v>
      </c>
      <c r="G554" t="s">
        <v>67</v>
      </c>
      <c r="H554" t="s">
        <v>898</v>
      </c>
    </row>
    <row r="555">
      <c r="B555" t="s">
        <v>898</v>
      </c>
      <c r="C555" t="s">
        <v>898</v>
      </c>
      <c r="D555" t="s">
        <v>898</v>
      </c>
      <c r="E555" t="s">
        <v>898</v>
      </c>
      <c r="F555" t="s">
        <v>898</v>
      </c>
      <c r="G555" t="s">
        <v>67</v>
      </c>
      <c r="H555" t="s">
        <v>898</v>
      </c>
    </row>
    <row r="556">
      <c r="B556" t="s">
        <v>898</v>
      </c>
      <c r="C556" t="s">
        <v>898</v>
      </c>
      <c r="D556" t="s">
        <v>898</v>
      </c>
      <c r="E556" t="s">
        <v>898</v>
      </c>
      <c r="F556" t="s">
        <v>898</v>
      </c>
      <c r="G556" t="s">
        <v>67</v>
      </c>
      <c r="H556" t="s">
        <v>898</v>
      </c>
    </row>
    <row r="557">
      <c r="B557" t="s">
        <v>898</v>
      </c>
      <c r="C557" t="s">
        <v>898</v>
      </c>
      <c r="D557" t="s">
        <v>898</v>
      </c>
      <c r="E557" t="s">
        <v>898</v>
      </c>
      <c r="F557" t="s">
        <v>898</v>
      </c>
      <c r="G557" t="s">
        <v>67</v>
      </c>
      <c r="H557" t="s">
        <v>898</v>
      </c>
    </row>
    <row r="558">
      <c r="B558" t="s">
        <v>898</v>
      </c>
      <c r="C558" t="s">
        <v>898</v>
      </c>
      <c r="D558" t="s">
        <v>898</v>
      </c>
      <c r="E558" t="s">
        <v>898</v>
      </c>
      <c r="F558" t="s">
        <v>898</v>
      </c>
      <c r="G558" t="s">
        <v>67</v>
      </c>
      <c r="H558" t="s">
        <v>898</v>
      </c>
    </row>
    <row r="559">
      <c r="B559" t="s">
        <v>898</v>
      </c>
      <c r="C559" t="s">
        <v>898</v>
      </c>
      <c r="D559" t="s">
        <v>898</v>
      </c>
      <c r="E559" t="s">
        <v>898</v>
      </c>
      <c r="F559" t="s">
        <v>898</v>
      </c>
      <c r="G559" t="s">
        <v>67</v>
      </c>
      <c r="H559" t="s">
        <v>898</v>
      </c>
    </row>
    <row r="560">
      <c r="B560" t="s">
        <v>898</v>
      </c>
      <c r="C560" t="s">
        <v>898</v>
      </c>
      <c r="D560" t="s">
        <v>898</v>
      </c>
      <c r="E560" t="s">
        <v>898</v>
      </c>
      <c r="F560" t="s">
        <v>898</v>
      </c>
      <c r="G560" t="s">
        <v>67</v>
      </c>
      <c r="H560" t="s">
        <v>898</v>
      </c>
    </row>
    <row r="561">
      <c r="B561" t="s">
        <v>898</v>
      </c>
      <c r="C561" t="s">
        <v>898</v>
      </c>
      <c r="D561" t="s">
        <v>898</v>
      </c>
      <c r="E561" t="s">
        <v>898</v>
      </c>
      <c r="F561" t="s">
        <v>898</v>
      </c>
      <c r="G561" t="s">
        <v>67</v>
      </c>
      <c r="H561" t="s">
        <v>898</v>
      </c>
    </row>
    <row r="562">
      <c r="B562" t="s">
        <v>898</v>
      </c>
      <c r="C562" t="s">
        <v>898</v>
      </c>
      <c r="D562" t="s">
        <v>898</v>
      </c>
      <c r="E562" t="s">
        <v>898</v>
      </c>
      <c r="F562" t="s">
        <v>898</v>
      </c>
      <c r="G562" t="s">
        <v>67</v>
      </c>
      <c r="H562" t="s">
        <v>898</v>
      </c>
    </row>
    <row r="563">
      <c r="B563" t="s">
        <v>898</v>
      </c>
      <c r="C563" t="s">
        <v>898</v>
      </c>
      <c r="D563" t="s">
        <v>898</v>
      </c>
      <c r="E563" t="s">
        <v>898</v>
      </c>
      <c r="F563" t="s">
        <v>898</v>
      </c>
      <c r="G563" t="s">
        <v>67</v>
      </c>
      <c r="H563" t="s">
        <v>898</v>
      </c>
    </row>
    <row r="564">
      <c r="B564" t="s">
        <v>898</v>
      </c>
      <c r="C564" t="s">
        <v>898</v>
      </c>
      <c r="D564" t="s">
        <v>898</v>
      </c>
      <c r="E564" t="s">
        <v>898</v>
      </c>
      <c r="F564" t="s">
        <v>898</v>
      </c>
      <c r="G564" t="s">
        <v>67</v>
      </c>
      <c r="H564" t="s">
        <v>898</v>
      </c>
    </row>
    <row r="565">
      <c r="B565" t="s">
        <v>898</v>
      </c>
      <c r="C565" t="s">
        <v>898</v>
      </c>
      <c r="D565" t="s">
        <v>898</v>
      </c>
      <c r="E565" t="s">
        <v>898</v>
      </c>
      <c r="F565" t="s">
        <v>898</v>
      </c>
      <c r="G565" t="s">
        <v>67</v>
      </c>
      <c r="H565" t="s">
        <v>898</v>
      </c>
    </row>
    <row r="566">
      <c r="B566" t="s">
        <v>898</v>
      </c>
      <c r="C566" t="s">
        <v>898</v>
      </c>
      <c r="D566" t="s">
        <v>898</v>
      </c>
      <c r="E566" t="s">
        <v>898</v>
      </c>
      <c r="F566" t="s">
        <v>898</v>
      </c>
      <c r="G566" t="s">
        <v>67</v>
      </c>
      <c r="H566" t="s">
        <v>898</v>
      </c>
    </row>
    <row r="567">
      <c r="B567" t="s">
        <v>898</v>
      </c>
      <c r="C567" t="s">
        <v>898</v>
      </c>
      <c r="D567" t="s">
        <v>898</v>
      </c>
      <c r="E567" t="s">
        <v>898</v>
      </c>
      <c r="F567" t="s">
        <v>898</v>
      </c>
      <c r="G567" t="s">
        <v>67</v>
      </c>
      <c r="H567" t="s">
        <v>898</v>
      </c>
    </row>
    <row r="568">
      <c r="B568" t="s">
        <v>898</v>
      </c>
      <c r="C568" t="s">
        <v>898</v>
      </c>
      <c r="D568" t="s">
        <v>898</v>
      </c>
      <c r="E568" t="s">
        <v>898</v>
      </c>
      <c r="F568" t="s">
        <v>898</v>
      </c>
      <c r="G568" t="s">
        <v>67</v>
      </c>
      <c r="H568" t="s">
        <v>898</v>
      </c>
    </row>
    <row r="569">
      <c r="B569" t="s">
        <v>898</v>
      </c>
      <c r="C569" t="s">
        <v>898</v>
      </c>
      <c r="D569" t="s">
        <v>898</v>
      </c>
      <c r="E569" t="s">
        <v>898</v>
      </c>
      <c r="F569" t="s">
        <v>898</v>
      </c>
      <c r="G569" t="s">
        <v>67</v>
      </c>
      <c r="H569" t="s">
        <v>898</v>
      </c>
    </row>
    <row r="570">
      <c r="B570" t="s">
        <v>898</v>
      </c>
      <c r="C570" t="s">
        <v>898</v>
      </c>
      <c r="D570" t="s">
        <v>898</v>
      </c>
      <c r="E570" t="s">
        <v>898</v>
      </c>
      <c r="F570" t="s">
        <v>898</v>
      </c>
      <c r="G570" t="s">
        <v>67</v>
      </c>
      <c r="H570" t="s">
        <v>898</v>
      </c>
    </row>
    <row r="571">
      <c r="B571" t="s">
        <v>898</v>
      </c>
      <c r="C571" t="s">
        <v>898</v>
      </c>
      <c r="D571" t="s">
        <v>898</v>
      </c>
      <c r="E571" t="s">
        <v>898</v>
      </c>
      <c r="F571" t="s">
        <v>898</v>
      </c>
      <c r="G571" t="s">
        <v>67</v>
      </c>
      <c r="H571" t="s">
        <v>898</v>
      </c>
    </row>
    <row r="572">
      <c r="B572" t="s">
        <v>898</v>
      </c>
      <c r="C572" t="s">
        <v>898</v>
      </c>
      <c r="D572" t="s">
        <v>898</v>
      </c>
      <c r="E572" t="s">
        <v>898</v>
      </c>
      <c r="F572" t="s">
        <v>898</v>
      </c>
      <c r="G572" t="s">
        <v>67</v>
      </c>
      <c r="H572" t="s">
        <v>898</v>
      </c>
    </row>
    <row r="573">
      <c r="B573" t="s">
        <v>898</v>
      </c>
      <c r="C573" t="s">
        <v>898</v>
      </c>
      <c r="D573" t="s">
        <v>898</v>
      </c>
      <c r="E573" t="s">
        <v>898</v>
      </c>
      <c r="F573" t="s">
        <v>898</v>
      </c>
      <c r="G573" t="s">
        <v>67</v>
      </c>
      <c r="H573" t="s">
        <v>898</v>
      </c>
    </row>
    <row r="574">
      <c r="B574" t="s">
        <v>898</v>
      </c>
      <c r="C574" t="s">
        <v>898</v>
      </c>
      <c r="D574" t="s">
        <v>898</v>
      </c>
      <c r="E574" t="s">
        <v>898</v>
      </c>
      <c r="F574" t="s">
        <v>898</v>
      </c>
      <c r="G574" t="s">
        <v>67</v>
      </c>
      <c r="H574" t="s">
        <v>898</v>
      </c>
    </row>
    <row r="575">
      <c r="B575" t="s">
        <v>898</v>
      </c>
      <c r="C575" t="s">
        <v>898</v>
      </c>
      <c r="D575" t="s">
        <v>898</v>
      </c>
      <c r="E575" t="s">
        <v>898</v>
      </c>
      <c r="F575" t="s">
        <v>898</v>
      </c>
      <c r="G575" t="s">
        <v>67</v>
      </c>
      <c r="H575" t="s">
        <v>898</v>
      </c>
    </row>
    <row r="576">
      <c r="B576" t="s">
        <v>898</v>
      </c>
      <c r="C576" t="s">
        <v>898</v>
      </c>
      <c r="D576" t="s">
        <v>898</v>
      </c>
      <c r="E576" t="s">
        <v>898</v>
      </c>
      <c r="F576" t="s">
        <v>898</v>
      </c>
      <c r="G576" t="s">
        <v>67</v>
      </c>
      <c r="H576" t="s">
        <v>898</v>
      </c>
    </row>
    <row r="577">
      <c r="B577" t="s">
        <v>898</v>
      </c>
      <c r="C577" t="s">
        <v>898</v>
      </c>
      <c r="D577" t="s">
        <v>898</v>
      </c>
      <c r="E577" t="s">
        <v>898</v>
      </c>
      <c r="F577" t="s">
        <v>898</v>
      </c>
      <c r="G577" t="s">
        <v>67</v>
      </c>
      <c r="H577" t="s">
        <v>898</v>
      </c>
    </row>
    <row r="578">
      <c r="B578" t="s">
        <v>898</v>
      </c>
      <c r="C578" t="s">
        <v>898</v>
      </c>
      <c r="D578" t="s">
        <v>898</v>
      </c>
      <c r="E578" t="s">
        <v>898</v>
      </c>
      <c r="F578" t="s">
        <v>898</v>
      </c>
      <c r="G578" t="s">
        <v>67</v>
      </c>
      <c r="H578" t="s">
        <v>898</v>
      </c>
    </row>
    <row r="579">
      <c r="B579" t="s">
        <v>898</v>
      </c>
      <c r="C579" t="s">
        <v>898</v>
      </c>
      <c r="D579" t="s">
        <v>898</v>
      </c>
      <c r="E579" t="s">
        <v>898</v>
      </c>
      <c r="F579" t="s">
        <v>898</v>
      </c>
      <c r="G579" t="s">
        <v>67</v>
      </c>
      <c r="H579" t="s">
        <v>898</v>
      </c>
    </row>
    <row r="580">
      <c r="B580" t="s">
        <v>898</v>
      </c>
      <c r="C580" t="s">
        <v>898</v>
      </c>
      <c r="D580" t="s">
        <v>898</v>
      </c>
      <c r="E580" t="s">
        <v>898</v>
      </c>
      <c r="F580" t="s">
        <v>898</v>
      </c>
      <c r="G580" t="s">
        <v>67</v>
      </c>
      <c r="H580" t="s">
        <v>898</v>
      </c>
    </row>
    <row r="581">
      <c r="B581" t="s">
        <v>898</v>
      </c>
      <c r="C581" t="s">
        <v>898</v>
      </c>
      <c r="D581" t="s">
        <v>898</v>
      </c>
      <c r="E581" t="s">
        <v>898</v>
      </c>
      <c r="F581" t="s">
        <v>898</v>
      </c>
      <c r="G581" t="s">
        <v>67</v>
      </c>
      <c r="H581" t="s">
        <v>898</v>
      </c>
    </row>
    <row r="582">
      <c r="B582" t="s">
        <v>898</v>
      </c>
      <c r="C582" t="s">
        <v>898</v>
      </c>
      <c r="D582" t="s">
        <v>898</v>
      </c>
      <c r="E582" t="s">
        <v>898</v>
      </c>
      <c r="F582" t="s">
        <v>898</v>
      </c>
      <c r="G582" t="s">
        <v>67</v>
      </c>
      <c r="H582" t="s">
        <v>898</v>
      </c>
    </row>
    <row r="583">
      <c r="B583" t="s">
        <v>898</v>
      </c>
      <c r="C583" t="s">
        <v>898</v>
      </c>
      <c r="D583" t="s">
        <v>898</v>
      </c>
      <c r="E583" t="s">
        <v>898</v>
      </c>
      <c r="F583" t="s">
        <v>898</v>
      </c>
      <c r="G583" t="s">
        <v>67</v>
      </c>
      <c r="H583" t="s">
        <v>898</v>
      </c>
    </row>
    <row r="584">
      <c r="B584" t="s">
        <v>898</v>
      </c>
      <c r="C584" t="s">
        <v>898</v>
      </c>
      <c r="D584" t="s">
        <v>898</v>
      </c>
      <c r="E584" t="s">
        <v>898</v>
      </c>
      <c r="F584" t="s">
        <v>898</v>
      </c>
      <c r="G584" t="s">
        <v>67</v>
      </c>
      <c r="H584" t="s">
        <v>898</v>
      </c>
    </row>
    <row r="585">
      <c r="B585" t="s">
        <v>898</v>
      </c>
      <c r="C585" t="s">
        <v>898</v>
      </c>
      <c r="D585" t="s">
        <v>898</v>
      </c>
      <c r="E585" t="s">
        <v>898</v>
      </c>
      <c r="F585" t="s">
        <v>898</v>
      </c>
      <c r="G585" t="s">
        <v>67</v>
      </c>
      <c r="H585" t="s">
        <v>898</v>
      </c>
    </row>
    <row r="586">
      <c r="B586" t="s">
        <v>898</v>
      </c>
      <c r="C586" t="s">
        <v>898</v>
      </c>
      <c r="D586" t="s">
        <v>898</v>
      </c>
      <c r="E586" t="s">
        <v>898</v>
      </c>
      <c r="F586" t="s">
        <v>898</v>
      </c>
      <c r="G586" t="s">
        <v>67</v>
      </c>
      <c r="H586" t="s">
        <v>898</v>
      </c>
    </row>
    <row r="587">
      <c r="B587" t="s">
        <v>898</v>
      </c>
      <c r="C587" t="s">
        <v>898</v>
      </c>
      <c r="D587" t="s">
        <v>898</v>
      </c>
      <c r="E587" t="s">
        <v>898</v>
      </c>
      <c r="F587" t="s">
        <v>898</v>
      </c>
      <c r="G587" t="s">
        <v>67</v>
      </c>
      <c r="H587" t="s">
        <v>898</v>
      </c>
    </row>
    <row r="588">
      <c r="B588" t="s">
        <v>898</v>
      </c>
      <c r="C588" t="s">
        <v>898</v>
      </c>
      <c r="D588" t="s">
        <v>898</v>
      </c>
      <c r="E588" t="s">
        <v>898</v>
      </c>
      <c r="F588" t="s">
        <v>898</v>
      </c>
      <c r="G588" t="s">
        <v>67</v>
      </c>
      <c r="H588" t="s">
        <v>898</v>
      </c>
    </row>
    <row r="589">
      <c r="B589" t="s">
        <v>898</v>
      </c>
      <c r="C589" t="s">
        <v>898</v>
      </c>
      <c r="D589" t="s">
        <v>898</v>
      </c>
      <c r="E589" t="s">
        <v>898</v>
      </c>
      <c r="F589" t="s">
        <v>898</v>
      </c>
      <c r="G589" t="s">
        <v>67</v>
      </c>
      <c r="H589" t="s">
        <v>898</v>
      </c>
    </row>
    <row r="590">
      <c r="B590" t="s">
        <v>898</v>
      </c>
      <c r="C590" t="s">
        <v>898</v>
      </c>
      <c r="D590" t="s">
        <v>898</v>
      </c>
      <c r="E590" t="s">
        <v>898</v>
      </c>
      <c r="F590" t="s">
        <v>898</v>
      </c>
      <c r="G590" t="s">
        <v>67</v>
      </c>
      <c r="H590" t="s">
        <v>898</v>
      </c>
    </row>
    <row r="591">
      <c r="B591" t="s">
        <v>898</v>
      </c>
      <c r="C591" t="s">
        <v>898</v>
      </c>
      <c r="D591" t="s">
        <v>898</v>
      </c>
      <c r="E591" t="s">
        <v>898</v>
      </c>
      <c r="F591" t="s">
        <v>898</v>
      </c>
      <c r="G591" t="s">
        <v>67</v>
      </c>
      <c r="H591" t="s">
        <v>898</v>
      </c>
    </row>
    <row r="592">
      <c r="B592" t="s">
        <v>898</v>
      </c>
      <c r="C592" t="s">
        <v>898</v>
      </c>
      <c r="D592" t="s">
        <v>898</v>
      </c>
      <c r="E592" t="s">
        <v>898</v>
      </c>
      <c r="F592" t="s">
        <v>898</v>
      </c>
      <c r="G592" t="s">
        <v>67</v>
      </c>
      <c r="H592" t="s">
        <v>898</v>
      </c>
    </row>
    <row r="593">
      <c r="B593" t="s">
        <v>898</v>
      </c>
      <c r="C593" t="s">
        <v>898</v>
      </c>
      <c r="D593" t="s">
        <v>898</v>
      </c>
      <c r="E593" t="s">
        <v>898</v>
      </c>
      <c r="F593" t="s">
        <v>898</v>
      </c>
      <c r="G593" t="s">
        <v>67</v>
      </c>
      <c r="H593" t="s">
        <v>898</v>
      </c>
    </row>
    <row r="594">
      <c r="B594" t="s">
        <v>898</v>
      </c>
      <c r="C594" t="s">
        <v>898</v>
      </c>
      <c r="D594" t="s">
        <v>898</v>
      </c>
      <c r="E594" t="s">
        <v>898</v>
      </c>
      <c r="F594" t="s">
        <v>898</v>
      </c>
      <c r="G594" t="s">
        <v>67</v>
      </c>
      <c r="H594" t="s">
        <v>898</v>
      </c>
    </row>
    <row r="595">
      <c r="B595" t="s">
        <v>898</v>
      </c>
      <c r="C595" t="s">
        <v>898</v>
      </c>
      <c r="D595" t="s">
        <v>898</v>
      </c>
      <c r="E595" t="s">
        <v>898</v>
      </c>
      <c r="F595" t="s">
        <v>898</v>
      </c>
      <c r="G595" t="s">
        <v>67</v>
      </c>
      <c r="H595" t="s">
        <v>898</v>
      </c>
    </row>
    <row r="596">
      <c r="B596" t="s">
        <v>898</v>
      </c>
      <c r="C596" t="s">
        <v>898</v>
      </c>
      <c r="D596" t="s">
        <v>898</v>
      </c>
      <c r="E596" t="s">
        <v>898</v>
      </c>
      <c r="F596" t="s">
        <v>898</v>
      </c>
      <c r="G596" t="s">
        <v>67</v>
      </c>
      <c r="H596" t="s">
        <v>898</v>
      </c>
    </row>
    <row r="597">
      <c r="B597" t="s">
        <v>898</v>
      </c>
      <c r="C597" t="s">
        <v>898</v>
      </c>
      <c r="D597" t="s">
        <v>898</v>
      </c>
      <c r="E597" t="s">
        <v>898</v>
      </c>
      <c r="F597" t="s">
        <v>898</v>
      </c>
      <c r="G597" t="s">
        <v>67</v>
      </c>
      <c r="H597" t="s">
        <v>898</v>
      </c>
    </row>
    <row r="598">
      <c r="B598" t="s">
        <v>898</v>
      </c>
      <c r="C598" t="s">
        <v>898</v>
      </c>
      <c r="D598" t="s">
        <v>898</v>
      </c>
      <c r="E598" t="s">
        <v>898</v>
      </c>
      <c r="F598" t="s">
        <v>898</v>
      </c>
      <c r="G598" t="s">
        <v>67</v>
      </c>
      <c r="H598" t="s">
        <v>898</v>
      </c>
    </row>
    <row r="599">
      <c r="B599" t="s">
        <v>898</v>
      </c>
      <c r="C599" t="s">
        <v>898</v>
      </c>
      <c r="D599" t="s">
        <v>898</v>
      </c>
      <c r="E599" t="s">
        <v>898</v>
      </c>
      <c r="F599" t="s">
        <v>898</v>
      </c>
      <c r="G599" t="s">
        <v>67</v>
      </c>
      <c r="H599" t="s">
        <v>898</v>
      </c>
    </row>
    <row r="600">
      <c r="B600" t="s">
        <v>898</v>
      </c>
      <c r="C600" t="s">
        <v>898</v>
      </c>
      <c r="D600" t="s">
        <v>898</v>
      </c>
      <c r="E600" t="s">
        <v>898</v>
      </c>
      <c r="F600" t="s">
        <v>898</v>
      </c>
      <c r="G600" t="s">
        <v>67</v>
      </c>
      <c r="H600" t="s">
        <v>898</v>
      </c>
    </row>
    <row r="601">
      <c r="B601" t="s">
        <v>898</v>
      </c>
      <c r="C601" t="s">
        <v>898</v>
      </c>
      <c r="D601" t="s">
        <v>898</v>
      </c>
      <c r="E601" t="s">
        <v>898</v>
      </c>
      <c r="F601" t="s">
        <v>898</v>
      </c>
      <c r="G601" t="s">
        <v>67</v>
      </c>
      <c r="H601" t="s">
        <v>898</v>
      </c>
    </row>
    <row r="602">
      <c r="B602" t="s">
        <v>898</v>
      </c>
      <c r="C602" t="s">
        <v>898</v>
      </c>
      <c r="D602" t="s">
        <v>898</v>
      </c>
      <c r="E602" t="s">
        <v>898</v>
      </c>
      <c r="F602" t="s">
        <v>898</v>
      </c>
      <c r="G602" t="s">
        <v>67</v>
      </c>
      <c r="H602" t="s">
        <v>898</v>
      </c>
    </row>
    <row r="603">
      <c r="B603" t="s">
        <v>898</v>
      </c>
      <c r="C603" t="s">
        <v>898</v>
      </c>
      <c r="D603" t="s">
        <v>898</v>
      </c>
      <c r="E603" t="s">
        <v>898</v>
      </c>
      <c r="F603" t="s">
        <v>898</v>
      </c>
      <c r="G603" t="s">
        <v>67</v>
      </c>
      <c r="H603" t="s">
        <v>898</v>
      </c>
    </row>
    <row r="604">
      <c r="B604" t="s">
        <v>898</v>
      </c>
      <c r="C604" t="s">
        <v>898</v>
      </c>
      <c r="D604" t="s">
        <v>898</v>
      </c>
      <c r="E604" t="s">
        <v>898</v>
      </c>
      <c r="F604" t="s">
        <v>898</v>
      </c>
      <c r="G604" t="s">
        <v>67</v>
      </c>
      <c r="H604" t="s">
        <v>898</v>
      </c>
    </row>
    <row r="605">
      <c r="B605" t="s">
        <v>898</v>
      </c>
      <c r="C605" t="s">
        <v>898</v>
      </c>
      <c r="D605" t="s">
        <v>898</v>
      </c>
      <c r="E605" t="s">
        <v>898</v>
      </c>
      <c r="F605" t="s">
        <v>898</v>
      </c>
      <c r="G605" t="s">
        <v>67</v>
      </c>
      <c r="H605" t="s">
        <v>898</v>
      </c>
    </row>
    <row r="606">
      <c r="B606" t="s">
        <v>898</v>
      </c>
      <c r="C606" t="s">
        <v>898</v>
      </c>
      <c r="D606" t="s">
        <v>898</v>
      </c>
      <c r="E606" t="s">
        <v>898</v>
      </c>
      <c r="F606" t="s">
        <v>898</v>
      </c>
      <c r="G606" t="s">
        <v>67</v>
      </c>
      <c r="H606" t="s">
        <v>898</v>
      </c>
    </row>
    <row r="607">
      <c r="B607" t="s">
        <v>898</v>
      </c>
      <c r="C607" t="s">
        <v>898</v>
      </c>
      <c r="D607" t="s">
        <v>898</v>
      </c>
      <c r="E607" t="s">
        <v>898</v>
      </c>
      <c r="F607" t="s">
        <v>898</v>
      </c>
      <c r="G607" t="s">
        <v>67</v>
      </c>
      <c r="H607" t="s">
        <v>898</v>
      </c>
    </row>
    <row r="608">
      <c r="B608" t="s">
        <v>898</v>
      </c>
      <c r="C608" t="s">
        <v>898</v>
      </c>
      <c r="D608" t="s">
        <v>898</v>
      </c>
      <c r="E608" t="s">
        <v>898</v>
      </c>
      <c r="F608" t="s">
        <v>898</v>
      </c>
      <c r="G608" t="s">
        <v>67</v>
      </c>
      <c r="H608" t="s">
        <v>898</v>
      </c>
    </row>
    <row r="609">
      <c r="B609" t="s">
        <v>898</v>
      </c>
      <c r="C609" t="s">
        <v>898</v>
      </c>
      <c r="D609" t="s">
        <v>898</v>
      </c>
      <c r="E609" t="s">
        <v>898</v>
      </c>
      <c r="F609" t="s">
        <v>898</v>
      </c>
      <c r="G609" t="s">
        <v>67</v>
      </c>
      <c r="H609" t="s">
        <v>898</v>
      </c>
    </row>
    <row r="610">
      <c r="B610" t="s">
        <v>898</v>
      </c>
      <c r="C610" t="s">
        <v>898</v>
      </c>
      <c r="D610" t="s">
        <v>898</v>
      </c>
      <c r="E610" t="s">
        <v>898</v>
      </c>
      <c r="F610" t="s">
        <v>898</v>
      </c>
      <c r="G610" t="s">
        <v>67</v>
      </c>
      <c r="H610" t="s">
        <v>898</v>
      </c>
    </row>
    <row r="611">
      <c r="B611" t="s">
        <v>898</v>
      </c>
      <c r="C611" t="s">
        <v>898</v>
      </c>
      <c r="D611" t="s">
        <v>898</v>
      </c>
      <c r="E611" t="s">
        <v>898</v>
      </c>
      <c r="F611" t="s">
        <v>898</v>
      </c>
      <c r="G611" t="s">
        <v>67</v>
      </c>
      <c r="H611" t="s">
        <v>898</v>
      </c>
    </row>
    <row r="612">
      <c r="B612" t="s">
        <v>898</v>
      </c>
      <c r="C612" t="s">
        <v>898</v>
      </c>
      <c r="D612" t="s">
        <v>898</v>
      </c>
      <c r="E612" t="s">
        <v>898</v>
      </c>
      <c r="F612" t="s">
        <v>898</v>
      </c>
      <c r="G612" t="s">
        <v>67</v>
      </c>
      <c r="H612" t="s">
        <v>898</v>
      </c>
    </row>
    <row r="613">
      <c r="B613" t="s">
        <v>898</v>
      </c>
      <c r="C613" t="s">
        <v>898</v>
      </c>
      <c r="D613" t="s">
        <v>898</v>
      </c>
      <c r="E613" t="s">
        <v>898</v>
      </c>
      <c r="F613" t="s">
        <v>898</v>
      </c>
      <c r="G613" t="s">
        <v>67</v>
      </c>
      <c r="H613" t="s">
        <v>898</v>
      </c>
    </row>
    <row r="614">
      <c r="B614" t="s">
        <v>898</v>
      </c>
      <c r="C614" t="s">
        <v>898</v>
      </c>
      <c r="D614" t="s">
        <v>898</v>
      </c>
      <c r="E614" t="s">
        <v>898</v>
      </c>
      <c r="F614" t="s">
        <v>898</v>
      </c>
      <c r="G614" t="s">
        <v>67</v>
      </c>
      <c r="H614" t="s">
        <v>898</v>
      </c>
    </row>
    <row r="615">
      <c r="B615" t="s">
        <v>898</v>
      </c>
      <c r="C615" t="s">
        <v>898</v>
      </c>
      <c r="D615" t="s">
        <v>898</v>
      </c>
      <c r="E615" t="s">
        <v>898</v>
      </c>
      <c r="F615" t="s">
        <v>898</v>
      </c>
      <c r="G615" t="s">
        <v>67</v>
      </c>
      <c r="H615" t="s">
        <v>898</v>
      </c>
    </row>
    <row r="616">
      <c r="B616" t="s">
        <v>898</v>
      </c>
      <c r="C616" t="s">
        <v>898</v>
      </c>
      <c r="D616" t="s">
        <v>898</v>
      </c>
      <c r="E616" t="s">
        <v>898</v>
      </c>
      <c r="F616" t="s">
        <v>898</v>
      </c>
      <c r="G616" t="s">
        <v>67</v>
      </c>
      <c r="H616" t="s">
        <v>898</v>
      </c>
    </row>
    <row r="617">
      <c r="B617" t="s">
        <v>898</v>
      </c>
      <c r="C617" t="s">
        <v>898</v>
      </c>
      <c r="D617" t="s">
        <v>898</v>
      </c>
      <c r="E617" t="s">
        <v>898</v>
      </c>
      <c r="F617" t="s">
        <v>898</v>
      </c>
      <c r="G617" t="s">
        <v>67</v>
      </c>
      <c r="H617" t="s">
        <v>898</v>
      </c>
    </row>
    <row r="618">
      <c r="B618" t="s">
        <v>898</v>
      </c>
      <c r="C618" t="s">
        <v>898</v>
      </c>
      <c r="D618" t="s">
        <v>898</v>
      </c>
      <c r="E618" t="s">
        <v>898</v>
      </c>
      <c r="F618" t="s">
        <v>898</v>
      </c>
      <c r="G618" t="s">
        <v>67</v>
      </c>
      <c r="H618" t="s">
        <v>898</v>
      </c>
    </row>
    <row r="619">
      <c r="B619" t="s">
        <v>898</v>
      </c>
      <c r="C619" t="s">
        <v>898</v>
      </c>
      <c r="D619" t="s">
        <v>898</v>
      </c>
      <c r="E619" t="s">
        <v>898</v>
      </c>
      <c r="F619" t="s">
        <v>898</v>
      </c>
      <c r="G619" t="s">
        <v>67</v>
      </c>
      <c r="H619" t="s">
        <v>898</v>
      </c>
    </row>
    <row r="620">
      <c r="B620" t="s">
        <v>898</v>
      </c>
      <c r="C620" t="s">
        <v>898</v>
      </c>
      <c r="D620" t="s">
        <v>898</v>
      </c>
      <c r="E620" t="s">
        <v>898</v>
      </c>
      <c r="F620" t="s">
        <v>898</v>
      </c>
      <c r="G620" t="s">
        <v>67</v>
      </c>
      <c r="H620" t="s">
        <v>898</v>
      </c>
    </row>
    <row r="621">
      <c r="B621" t="s">
        <v>898</v>
      </c>
      <c r="C621" t="s">
        <v>898</v>
      </c>
      <c r="D621" t="s">
        <v>898</v>
      </c>
      <c r="E621" t="s">
        <v>898</v>
      </c>
      <c r="F621" t="s">
        <v>898</v>
      </c>
      <c r="G621" t="s">
        <v>67</v>
      </c>
      <c r="H621" t="s">
        <v>898</v>
      </c>
    </row>
    <row r="622">
      <c r="B622" t="s">
        <v>898</v>
      </c>
      <c r="C622" t="s">
        <v>898</v>
      </c>
      <c r="D622" t="s">
        <v>898</v>
      </c>
      <c r="E622" t="s">
        <v>898</v>
      </c>
      <c r="F622" t="s">
        <v>898</v>
      </c>
      <c r="G622" t="s">
        <v>67</v>
      </c>
      <c r="H622" t="s">
        <v>898</v>
      </c>
    </row>
    <row r="623">
      <c r="B623" t="s">
        <v>898</v>
      </c>
      <c r="C623" t="s">
        <v>898</v>
      </c>
      <c r="D623" t="s">
        <v>898</v>
      </c>
      <c r="E623" t="s">
        <v>898</v>
      </c>
      <c r="F623" t="s">
        <v>898</v>
      </c>
      <c r="G623" t="s">
        <v>67</v>
      </c>
      <c r="H623" t="s">
        <v>898</v>
      </c>
    </row>
    <row r="624">
      <c r="B624" t="s">
        <v>898</v>
      </c>
      <c r="C624" t="s">
        <v>898</v>
      </c>
      <c r="D624" t="s">
        <v>898</v>
      </c>
      <c r="E624" t="s">
        <v>898</v>
      </c>
      <c r="F624" t="s">
        <v>898</v>
      </c>
      <c r="G624" t="s">
        <v>67</v>
      </c>
      <c r="H624" t="s">
        <v>898</v>
      </c>
    </row>
    <row r="625">
      <c r="B625" t="s">
        <v>898</v>
      </c>
      <c r="C625" t="s">
        <v>898</v>
      </c>
      <c r="D625" t="s">
        <v>898</v>
      </c>
      <c r="E625" t="s">
        <v>898</v>
      </c>
      <c r="F625" t="s">
        <v>898</v>
      </c>
      <c r="G625" t="s">
        <v>67</v>
      </c>
      <c r="H625" t="s">
        <v>898</v>
      </c>
    </row>
    <row r="626">
      <c r="B626" t="s">
        <v>898</v>
      </c>
      <c r="C626" t="s">
        <v>898</v>
      </c>
      <c r="D626" t="s">
        <v>898</v>
      </c>
      <c r="E626" t="s">
        <v>898</v>
      </c>
      <c r="F626" t="s">
        <v>898</v>
      </c>
      <c r="G626" t="s">
        <v>67</v>
      </c>
      <c r="H626" t="s">
        <v>898</v>
      </c>
    </row>
    <row r="627">
      <c r="B627" t="s">
        <v>898</v>
      </c>
      <c r="C627" t="s">
        <v>898</v>
      </c>
      <c r="D627" t="s">
        <v>898</v>
      </c>
      <c r="E627" t="s">
        <v>898</v>
      </c>
      <c r="F627" t="s">
        <v>898</v>
      </c>
      <c r="G627" t="s">
        <v>67</v>
      </c>
      <c r="H627" t="s">
        <v>898</v>
      </c>
    </row>
    <row r="628">
      <c r="B628" t="s">
        <v>898</v>
      </c>
      <c r="C628" t="s">
        <v>898</v>
      </c>
      <c r="D628" t="s">
        <v>898</v>
      </c>
      <c r="E628" t="s">
        <v>898</v>
      </c>
      <c r="F628" t="s">
        <v>898</v>
      </c>
      <c r="G628" t="s">
        <v>67</v>
      </c>
      <c r="H628" t="s">
        <v>898</v>
      </c>
    </row>
    <row r="629">
      <c r="B629" t="s">
        <v>898</v>
      </c>
      <c r="C629" t="s">
        <v>898</v>
      </c>
      <c r="D629" t="s">
        <v>898</v>
      </c>
      <c r="E629" t="s">
        <v>898</v>
      </c>
      <c r="F629" t="s">
        <v>898</v>
      </c>
      <c r="G629" t="s">
        <v>67</v>
      </c>
      <c r="H629" t="s">
        <v>898</v>
      </c>
    </row>
    <row r="630">
      <c r="B630" t="s">
        <v>898</v>
      </c>
      <c r="C630" t="s">
        <v>898</v>
      </c>
      <c r="D630" t="s">
        <v>898</v>
      </c>
      <c r="E630" t="s">
        <v>898</v>
      </c>
      <c r="F630" t="s">
        <v>898</v>
      </c>
      <c r="G630" t="s">
        <v>67</v>
      </c>
      <c r="H630" t="s">
        <v>898</v>
      </c>
    </row>
    <row r="631">
      <c r="B631" t="s">
        <v>898</v>
      </c>
      <c r="C631" t="s">
        <v>898</v>
      </c>
      <c r="D631" t="s">
        <v>898</v>
      </c>
      <c r="E631" t="s">
        <v>898</v>
      </c>
      <c r="F631" t="s">
        <v>898</v>
      </c>
      <c r="G631" t="s">
        <v>67</v>
      </c>
      <c r="H631" t="s">
        <v>898</v>
      </c>
    </row>
    <row r="632">
      <c r="B632" t="s">
        <v>898</v>
      </c>
      <c r="C632" t="s">
        <v>898</v>
      </c>
      <c r="D632" t="s">
        <v>898</v>
      </c>
      <c r="E632" t="s">
        <v>898</v>
      </c>
      <c r="F632" t="s">
        <v>898</v>
      </c>
      <c r="G632" t="s">
        <v>67</v>
      </c>
      <c r="H632" t="s">
        <v>898</v>
      </c>
    </row>
    <row r="633">
      <c r="B633" t="s">
        <v>898</v>
      </c>
      <c r="C633" t="s">
        <v>898</v>
      </c>
      <c r="D633" t="s">
        <v>898</v>
      </c>
      <c r="E633" t="s">
        <v>898</v>
      </c>
      <c r="F633" t="s">
        <v>898</v>
      </c>
      <c r="G633" t="s">
        <v>67</v>
      </c>
      <c r="H633" t="s">
        <v>898</v>
      </c>
    </row>
    <row r="634">
      <c r="B634" t="s">
        <v>898</v>
      </c>
      <c r="C634" t="s">
        <v>898</v>
      </c>
      <c r="D634" t="s">
        <v>898</v>
      </c>
      <c r="E634" t="s">
        <v>898</v>
      </c>
      <c r="F634" t="s">
        <v>898</v>
      </c>
      <c r="G634" t="s">
        <v>67</v>
      </c>
      <c r="H634" t="s">
        <v>898</v>
      </c>
    </row>
    <row r="635">
      <c r="B635" t="s">
        <v>898</v>
      </c>
      <c r="C635" t="s">
        <v>898</v>
      </c>
      <c r="D635" t="s">
        <v>898</v>
      </c>
      <c r="E635" t="s">
        <v>898</v>
      </c>
      <c r="F635" t="s">
        <v>898</v>
      </c>
      <c r="G635" t="s">
        <v>67</v>
      </c>
      <c r="H635" t="s">
        <v>898</v>
      </c>
    </row>
    <row r="636">
      <c r="B636" t="s">
        <v>898</v>
      </c>
      <c r="C636" t="s">
        <v>898</v>
      </c>
      <c r="D636" t="s">
        <v>898</v>
      </c>
      <c r="E636" t="s">
        <v>898</v>
      </c>
      <c r="F636" t="s">
        <v>898</v>
      </c>
      <c r="G636" t="s">
        <v>67</v>
      </c>
      <c r="H636" t="s">
        <v>898</v>
      </c>
    </row>
    <row r="637">
      <c r="B637" t="s">
        <v>898</v>
      </c>
      <c r="C637" t="s">
        <v>898</v>
      </c>
      <c r="D637" t="s">
        <v>898</v>
      </c>
      <c r="E637" t="s">
        <v>898</v>
      </c>
      <c r="F637" t="s">
        <v>898</v>
      </c>
      <c r="G637" t="s">
        <v>67</v>
      </c>
      <c r="H637" t="s">
        <v>898</v>
      </c>
    </row>
    <row r="638">
      <c r="B638" t="s">
        <v>898</v>
      </c>
      <c r="C638" t="s">
        <v>898</v>
      </c>
      <c r="D638" t="s">
        <v>898</v>
      </c>
      <c r="E638" t="s">
        <v>898</v>
      </c>
      <c r="F638" t="s">
        <v>898</v>
      </c>
      <c r="G638" t="s">
        <v>67</v>
      </c>
      <c r="H638" t="s">
        <v>898</v>
      </c>
    </row>
    <row r="639">
      <c r="B639" t="s">
        <v>898</v>
      </c>
      <c r="C639" t="s">
        <v>898</v>
      </c>
      <c r="D639" t="s">
        <v>898</v>
      </c>
      <c r="E639" t="s">
        <v>898</v>
      </c>
      <c r="F639" t="s">
        <v>898</v>
      </c>
      <c r="G639" t="s">
        <v>67</v>
      </c>
      <c r="H639" t="s">
        <v>898</v>
      </c>
    </row>
    <row r="640">
      <c r="B640" t="s">
        <v>898</v>
      </c>
      <c r="C640" t="s">
        <v>898</v>
      </c>
      <c r="D640" t="s">
        <v>898</v>
      </c>
      <c r="E640" t="s">
        <v>898</v>
      </c>
      <c r="F640" t="s">
        <v>898</v>
      </c>
      <c r="G640" t="s">
        <v>67</v>
      </c>
      <c r="H640" t="s">
        <v>898</v>
      </c>
    </row>
    <row r="641">
      <c r="B641" t="s">
        <v>898</v>
      </c>
      <c r="C641" t="s">
        <v>898</v>
      </c>
      <c r="D641" t="s">
        <v>898</v>
      </c>
      <c r="E641" t="s">
        <v>898</v>
      </c>
      <c r="F641" t="s">
        <v>898</v>
      </c>
      <c r="G641" t="s">
        <v>67</v>
      </c>
      <c r="H641" t="s">
        <v>898</v>
      </c>
    </row>
    <row r="642">
      <c r="B642" t="s">
        <v>898</v>
      </c>
      <c r="C642" t="s">
        <v>898</v>
      </c>
      <c r="D642" t="s">
        <v>898</v>
      </c>
      <c r="E642" t="s">
        <v>898</v>
      </c>
      <c r="F642" t="s">
        <v>898</v>
      </c>
      <c r="G642" t="s">
        <v>67</v>
      </c>
      <c r="H642" t="s">
        <v>898</v>
      </c>
    </row>
    <row r="643">
      <c r="B643" t="s">
        <v>898</v>
      </c>
      <c r="C643" t="s">
        <v>898</v>
      </c>
      <c r="D643" t="s">
        <v>898</v>
      </c>
      <c r="E643" t="s">
        <v>898</v>
      </c>
      <c r="F643" t="s">
        <v>898</v>
      </c>
      <c r="G643" t="s">
        <v>67</v>
      </c>
      <c r="H643" t="s">
        <v>898</v>
      </c>
    </row>
    <row r="644">
      <c r="B644" t="s">
        <v>898</v>
      </c>
      <c r="C644" t="s">
        <v>898</v>
      </c>
      <c r="D644" t="s">
        <v>898</v>
      </c>
      <c r="E644" t="s">
        <v>898</v>
      </c>
      <c r="F644" t="s">
        <v>898</v>
      </c>
      <c r="G644" t="s">
        <v>67</v>
      </c>
      <c r="H644" t="s">
        <v>898</v>
      </c>
    </row>
    <row r="645">
      <c r="B645" t="s">
        <v>898</v>
      </c>
      <c r="C645" t="s">
        <v>898</v>
      </c>
      <c r="D645" t="s">
        <v>898</v>
      </c>
      <c r="E645" t="s">
        <v>898</v>
      </c>
      <c r="F645" t="s">
        <v>898</v>
      </c>
      <c r="G645" t="s">
        <v>67</v>
      </c>
      <c r="H645" t="s">
        <v>898</v>
      </c>
    </row>
    <row r="646">
      <c r="B646" t="s">
        <v>898</v>
      </c>
      <c r="C646" t="s">
        <v>898</v>
      </c>
      <c r="D646" t="s">
        <v>898</v>
      </c>
      <c r="E646" t="s">
        <v>898</v>
      </c>
      <c r="F646" t="s">
        <v>898</v>
      </c>
      <c r="G646" t="s">
        <v>67</v>
      </c>
      <c r="H646" t="s">
        <v>898</v>
      </c>
    </row>
    <row r="647">
      <c r="B647" t="s">
        <v>898</v>
      </c>
      <c r="C647" t="s">
        <v>898</v>
      </c>
      <c r="D647" t="s">
        <v>898</v>
      </c>
      <c r="E647" t="s">
        <v>898</v>
      </c>
      <c r="F647" t="s">
        <v>898</v>
      </c>
      <c r="G647" t="s">
        <v>67</v>
      </c>
      <c r="H647" t="s">
        <v>898</v>
      </c>
    </row>
    <row r="648">
      <c r="B648" t="s">
        <v>898</v>
      </c>
      <c r="C648" t="s">
        <v>898</v>
      </c>
      <c r="D648" t="s">
        <v>898</v>
      </c>
      <c r="E648" t="s">
        <v>898</v>
      </c>
      <c r="F648" t="s">
        <v>898</v>
      </c>
      <c r="G648" t="s">
        <v>67</v>
      </c>
      <c r="H648" t="s">
        <v>898</v>
      </c>
    </row>
    <row r="649">
      <c r="B649" t="s">
        <v>898</v>
      </c>
      <c r="C649" t="s">
        <v>898</v>
      </c>
      <c r="D649" t="s">
        <v>898</v>
      </c>
      <c r="E649" t="s">
        <v>898</v>
      </c>
      <c r="F649" t="s">
        <v>898</v>
      </c>
      <c r="G649" t="s">
        <v>67</v>
      </c>
      <c r="H649" t="s">
        <v>898</v>
      </c>
    </row>
    <row r="650">
      <c r="B650" t="s">
        <v>898</v>
      </c>
      <c r="C650" t="s">
        <v>898</v>
      </c>
      <c r="D650" t="s">
        <v>898</v>
      </c>
      <c r="E650" t="s">
        <v>898</v>
      </c>
      <c r="F650" t="s">
        <v>898</v>
      </c>
      <c r="G650" t="s">
        <v>67</v>
      </c>
      <c r="H650" t="s">
        <v>898</v>
      </c>
    </row>
    <row r="651">
      <c r="B651" t="s">
        <v>898</v>
      </c>
      <c r="C651" t="s">
        <v>898</v>
      </c>
      <c r="D651" t="s">
        <v>898</v>
      </c>
      <c r="E651" t="s">
        <v>898</v>
      </c>
      <c r="F651" t="s">
        <v>898</v>
      </c>
      <c r="G651" t="s">
        <v>67</v>
      </c>
      <c r="H651" t="s">
        <v>898</v>
      </c>
    </row>
    <row r="652">
      <c r="B652" t="s">
        <v>898</v>
      </c>
      <c r="C652" t="s">
        <v>898</v>
      </c>
      <c r="D652" t="s">
        <v>898</v>
      </c>
      <c r="E652" t="s">
        <v>898</v>
      </c>
      <c r="F652" t="s">
        <v>898</v>
      </c>
      <c r="G652" t="s">
        <v>67</v>
      </c>
      <c r="H652" t="s">
        <v>898</v>
      </c>
    </row>
    <row r="653">
      <c r="B653" t="s">
        <v>898</v>
      </c>
      <c r="C653" t="s">
        <v>898</v>
      </c>
      <c r="D653" t="s">
        <v>898</v>
      </c>
      <c r="E653" t="s">
        <v>898</v>
      </c>
      <c r="F653" t="s">
        <v>898</v>
      </c>
      <c r="G653" t="s">
        <v>67</v>
      </c>
      <c r="H653" t="s">
        <v>898</v>
      </c>
    </row>
    <row r="654">
      <c r="B654" t="s">
        <v>898</v>
      </c>
      <c r="C654" t="s">
        <v>898</v>
      </c>
      <c r="D654" t="s">
        <v>898</v>
      </c>
      <c r="E654" t="s">
        <v>898</v>
      </c>
      <c r="F654" t="s">
        <v>898</v>
      </c>
      <c r="G654" t="s">
        <v>67</v>
      </c>
      <c r="H654" t="s">
        <v>898</v>
      </c>
    </row>
    <row r="655">
      <c r="B655" t="s">
        <v>898</v>
      </c>
      <c r="C655" t="s">
        <v>898</v>
      </c>
      <c r="D655" t="s">
        <v>898</v>
      </c>
      <c r="E655" t="s">
        <v>898</v>
      </c>
      <c r="F655" t="s">
        <v>898</v>
      </c>
      <c r="G655" t="s">
        <v>67</v>
      </c>
      <c r="H655" t="s">
        <v>898</v>
      </c>
    </row>
    <row r="656">
      <c r="B656" t="s">
        <v>898</v>
      </c>
      <c r="C656" t="s">
        <v>898</v>
      </c>
      <c r="D656" t="s">
        <v>898</v>
      </c>
      <c r="E656" t="s">
        <v>898</v>
      </c>
      <c r="F656" t="s">
        <v>898</v>
      </c>
      <c r="G656" t="s">
        <v>67</v>
      </c>
      <c r="H656" t="s">
        <v>898</v>
      </c>
    </row>
    <row r="657">
      <c r="B657" t="s">
        <v>898</v>
      </c>
      <c r="C657" t="s">
        <v>898</v>
      </c>
      <c r="D657" t="s">
        <v>898</v>
      </c>
      <c r="E657" t="s">
        <v>898</v>
      </c>
      <c r="F657" t="s">
        <v>898</v>
      </c>
      <c r="G657" t="s">
        <v>67</v>
      </c>
      <c r="H657" t="s">
        <v>898</v>
      </c>
    </row>
    <row r="658">
      <c r="B658" t="s">
        <v>898</v>
      </c>
      <c r="C658" t="s">
        <v>898</v>
      </c>
      <c r="D658" t="s">
        <v>898</v>
      </c>
      <c r="E658" t="s">
        <v>898</v>
      </c>
      <c r="F658" t="s">
        <v>898</v>
      </c>
      <c r="G658" t="s">
        <v>67</v>
      </c>
      <c r="H658" t="s">
        <v>898</v>
      </c>
    </row>
    <row r="659">
      <c r="B659" t="s">
        <v>898</v>
      </c>
      <c r="C659" t="s">
        <v>898</v>
      </c>
      <c r="D659" t="s">
        <v>898</v>
      </c>
      <c r="E659" t="s">
        <v>898</v>
      </c>
      <c r="F659" t="s">
        <v>898</v>
      </c>
      <c r="G659" t="s">
        <v>67</v>
      </c>
      <c r="H659" t="s">
        <v>898</v>
      </c>
    </row>
    <row r="660">
      <c r="B660" t="s">
        <v>898</v>
      </c>
      <c r="C660" t="s">
        <v>898</v>
      </c>
      <c r="D660" t="s">
        <v>898</v>
      </c>
      <c r="E660" t="s">
        <v>898</v>
      </c>
      <c r="F660" t="s">
        <v>898</v>
      </c>
      <c r="G660" t="s">
        <v>67</v>
      </c>
      <c r="H660" t="s">
        <v>898</v>
      </c>
    </row>
    <row r="661">
      <c r="B661" t="s">
        <v>898</v>
      </c>
      <c r="C661" t="s">
        <v>898</v>
      </c>
      <c r="D661" t="s">
        <v>898</v>
      </c>
      <c r="E661" t="s">
        <v>898</v>
      </c>
      <c r="F661" t="s">
        <v>898</v>
      </c>
      <c r="G661" t="s">
        <v>67</v>
      </c>
      <c r="H661" t="s">
        <v>898</v>
      </c>
    </row>
    <row r="662">
      <c r="B662" t="s">
        <v>898</v>
      </c>
      <c r="C662" t="s">
        <v>898</v>
      </c>
      <c r="D662" t="s">
        <v>898</v>
      </c>
      <c r="E662" t="s">
        <v>898</v>
      </c>
      <c r="F662" t="s">
        <v>898</v>
      </c>
      <c r="G662" t="s">
        <v>67</v>
      </c>
      <c r="H662" t="s">
        <v>898</v>
      </c>
    </row>
    <row r="663">
      <c r="B663" t="s">
        <v>898</v>
      </c>
      <c r="C663" t="s">
        <v>898</v>
      </c>
      <c r="D663" t="s">
        <v>898</v>
      </c>
      <c r="E663" t="s">
        <v>898</v>
      </c>
      <c r="F663" t="s">
        <v>898</v>
      </c>
      <c r="G663" t="s">
        <v>67</v>
      </c>
      <c r="H663" t="s">
        <v>898</v>
      </c>
    </row>
    <row r="664">
      <c r="B664" t="s">
        <v>898</v>
      </c>
      <c r="C664" t="s">
        <v>898</v>
      </c>
      <c r="D664" t="s">
        <v>898</v>
      </c>
      <c r="E664" t="s">
        <v>898</v>
      </c>
      <c r="F664" t="s">
        <v>898</v>
      </c>
      <c r="G664" t="s">
        <v>67</v>
      </c>
      <c r="H664" t="s">
        <v>898</v>
      </c>
    </row>
    <row r="665">
      <c r="B665" t="s">
        <v>898</v>
      </c>
      <c r="C665" t="s">
        <v>898</v>
      </c>
      <c r="D665" t="s">
        <v>898</v>
      </c>
      <c r="E665" t="s">
        <v>898</v>
      </c>
      <c r="F665" t="s">
        <v>898</v>
      </c>
      <c r="G665" t="s">
        <v>67</v>
      </c>
      <c r="H665" t="s">
        <v>898</v>
      </c>
    </row>
    <row r="666">
      <c r="B666" t="s">
        <v>898</v>
      </c>
      <c r="C666" t="s">
        <v>898</v>
      </c>
      <c r="D666" t="s">
        <v>898</v>
      </c>
      <c r="E666" t="s">
        <v>898</v>
      </c>
      <c r="F666" t="s">
        <v>898</v>
      </c>
      <c r="G666" t="s">
        <v>67</v>
      </c>
      <c r="H666" t="s">
        <v>898</v>
      </c>
    </row>
    <row r="667">
      <c r="B667" t="s">
        <v>898</v>
      </c>
      <c r="C667" t="s">
        <v>898</v>
      </c>
      <c r="D667" t="s">
        <v>898</v>
      </c>
      <c r="E667" t="s">
        <v>898</v>
      </c>
      <c r="F667" t="s">
        <v>898</v>
      </c>
      <c r="G667" t="s">
        <v>67</v>
      </c>
      <c r="H667" t="s">
        <v>898</v>
      </c>
    </row>
    <row r="668">
      <c r="B668" t="s">
        <v>898</v>
      </c>
      <c r="C668" t="s">
        <v>898</v>
      </c>
      <c r="D668" t="s">
        <v>898</v>
      </c>
      <c r="E668" t="s">
        <v>898</v>
      </c>
      <c r="F668" t="s">
        <v>898</v>
      </c>
      <c r="G668" t="s">
        <v>67</v>
      </c>
      <c r="H668" t="s">
        <v>898</v>
      </c>
    </row>
    <row r="669">
      <c r="B669" t="s">
        <v>898</v>
      </c>
      <c r="C669" t="s">
        <v>898</v>
      </c>
      <c r="D669" t="s">
        <v>898</v>
      </c>
      <c r="E669" t="s">
        <v>898</v>
      </c>
      <c r="F669" t="s">
        <v>898</v>
      </c>
      <c r="G669" t="s">
        <v>67</v>
      </c>
      <c r="H669" t="s">
        <v>898</v>
      </c>
    </row>
    <row r="670">
      <c r="B670" t="s">
        <v>898</v>
      </c>
      <c r="C670" t="s">
        <v>898</v>
      </c>
      <c r="D670" t="s">
        <v>898</v>
      </c>
      <c r="E670" t="s">
        <v>898</v>
      </c>
      <c r="F670" t="s">
        <v>898</v>
      </c>
      <c r="G670" t="s">
        <v>67</v>
      </c>
      <c r="H670" t="s">
        <v>898</v>
      </c>
    </row>
    <row r="671">
      <c r="B671" t="s">
        <v>898</v>
      </c>
      <c r="C671" t="s">
        <v>898</v>
      </c>
      <c r="D671" t="s">
        <v>898</v>
      </c>
      <c r="E671" t="s">
        <v>898</v>
      </c>
      <c r="F671" t="s">
        <v>898</v>
      </c>
      <c r="G671" t="s">
        <v>67</v>
      </c>
      <c r="H671" t="s">
        <v>898</v>
      </c>
    </row>
    <row r="672">
      <c r="B672" t="s">
        <v>898</v>
      </c>
      <c r="C672" t="s">
        <v>898</v>
      </c>
      <c r="D672" t="s">
        <v>898</v>
      </c>
      <c r="E672" t="s">
        <v>898</v>
      </c>
      <c r="F672" t="s">
        <v>898</v>
      </c>
      <c r="G672" t="s">
        <v>67</v>
      </c>
      <c r="H672" t="s">
        <v>898</v>
      </c>
    </row>
    <row r="673">
      <c r="B673" t="s">
        <v>898</v>
      </c>
      <c r="C673" t="s">
        <v>898</v>
      </c>
      <c r="D673" t="s">
        <v>898</v>
      </c>
      <c r="E673" t="s">
        <v>898</v>
      </c>
      <c r="F673" t="s">
        <v>898</v>
      </c>
      <c r="G673" t="s">
        <v>67</v>
      </c>
      <c r="H673" t="s">
        <v>898</v>
      </c>
    </row>
    <row r="674">
      <c r="B674" t="s">
        <v>898</v>
      </c>
      <c r="C674" t="s">
        <v>898</v>
      </c>
      <c r="D674" t="s">
        <v>898</v>
      </c>
      <c r="E674" t="s">
        <v>898</v>
      </c>
      <c r="F674" t="s">
        <v>898</v>
      </c>
      <c r="G674" t="s">
        <v>67</v>
      </c>
      <c r="H674" t="s">
        <v>898</v>
      </c>
    </row>
    <row r="675">
      <c r="B675" t="s">
        <v>898</v>
      </c>
      <c r="C675" t="s">
        <v>898</v>
      </c>
      <c r="D675" t="s">
        <v>898</v>
      </c>
      <c r="E675" t="s">
        <v>898</v>
      </c>
      <c r="F675" t="s">
        <v>898</v>
      </c>
      <c r="G675" t="s">
        <v>67</v>
      </c>
      <c r="H675" t="s">
        <v>898</v>
      </c>
    </row>
    <row r="676">
      <c r="B676" t="s">
        <v>898</v>
      </c>
      <c r="C676" t="s">
        <v>898</v>
      </c>
      <c r="D676" t="s">
        <v>898</v>
      </c>
      <c r="E676" t="s">
        <v>898</v>
      </c>
      <c r="F676" t="s">
        <v>898</v>
      </c>
      <c r="G676" t="s">
        <v>67</v>
      </c>
      <c r="H676" t="s">
        <v>898</v>
      </c>
    </row>
    <row r="677">
      <c r="B677" t="s">
        <v>898</v>
      </c>
      <c r="C677" t="s">
        <v>898</v>
      </c>
      <c r="D677" t="s">
        <v>898</v>
      </c>
      <c r="E677" t="s">
        <v>898</v>
      </c>
      <c r="F677" t="s">
        <v>898</v>
      </c>
      <c r="G677" t="s">
        <v>67</v>
      </c>
      <c r="H677" t="s">
        <v>898</v>
      </c>
    </row>
    <row r="678">
      <c r="B678" t="s">
        <v>898</v>
      </c>
      <c r="C678" t="s">
        <v>898</v>
      </c>
      <c r="D678" t="s">
        <v>898</v>
      </c>
      <c r="E678" t="s">
        <v>898</v>
      </c>
      <c r="F678" t="s">
        <v>898</v>
      </c>
      <c r="G678" t="s">
        <v>67</v>
      </c>
      <c r="H678" t="s">
        <v>898</v>
      </c>
    </row>
    <row r="679">
      <c r="B679" t="s">
        <v>898</v>
      </c>
      <c r="C679" t="s">
        <v>898</v>
      </c>
      <c r="D679" t="s">
        <v>898</v>
      </c>
      <c r="E679" t="s">
        <v>898</v>
      </c>
      <c r="F679" t="s">
        <v>898</v>
      </c>
      <c r="G679" t="s">
        <v>67</v>
      </c>
      <c r="H679" t="s">
        <v>898</v>
      </c>
    </row>
    <row r="680">
      <c r="B680" t="s">
        <v>898</v>
      </c>
      <c r="C680" t="s">
        <v>898</v>
      </c>
      <c r="D680" t="s">
        <v>898</v>
      </c>
      <c r="E680" t="s">
        <v>898</v>
      </c>
      <c r="F680" t="s">
        <v>898</v>
      </c>
      <c r="G680" t="s">
        <v>67</v>
      </c>
      <c r="H680" t="s">
        <v>898</v>
      </c>
    </row>
    <row r="681">
      <c r="B681" t="s">
        <v>898</v>
      </c>
      <c r="C681" t="s">
        <v>898</v>
      </c>
      <c r="D681" t="s">
        <v>898</v>
      </c>
      <c r="E681" t="s">
        <v>898</v>
      </c>
      <c r="F681" t="s">
        <v>898</v>
      </c>
      <c r="G681" t="s">
        <v>67</v>
      </c>
      <c r="H681" t="s">
        <v>898</v>
      </c>
    </row>
    <row r="682">
      <c r="B682" t="s">
        <v>898</v>
      </c>
      <c r="C682" t="s">
        <v>898</v>
      </c>
      <c r="D682" t="s">
        <v>898</v>
      </c>
      <c r="E682" t="s">
        <v>898</v>
      </c>
      <c r="F682" t="s">
        <v>898</v>
      </c>
      <c r="G682" t="s">
        <v>67</v>
      </c>
      <c r="H682" t="s">
        <v>898</v>
      </c>
    </row>
    <row r="683">
      <c r="B683" t="s">
        <v>898</v>
      </c>
      <c r="C683" t="s">
        <v>898</v>
      </c>
      <c r="D683" t="s">
        <v>898</v>
      </c>
      <c r="E683" t="s">
        <v>898</v>
      </c>
      <c r="F683" t="s">
        <v>898</v>
      </c>
      <c r="G683" t="s">
        <v>67</v>
      </c>
      <c r="H683" t="s">
        <v>898</v>
      </c>
    </row>
    <row r="684">
      <c r="B684" t="s">
        <v>898</v>
      </c>
      <c r="C684" t="s">
        <v>898</v>
      </c>
      <c r="D684" t="s">
        <v>898</v>
      </c>
      <c r="E684" t="s">
        <v>898</v>
      </c>
      <c r="F684" t="s">
        <v>898</v>
      </c>
      <c r="G684" t="s">
        <v>67</v>
      </c>
      <c r="H684" t="s">
        <v>898</v>
      </c>
    </row>
    <row r="685">
      <c r="B685" t="s">
        <v>898</v>
      </c>
      <c r="C685" t="s">
        <v>898</v>
      </c>
      <c r="D685" t="s">
        <v>898</v>
      </c>
      <c r="E685" t="s">
        <v>898</v>
      </c>
      <c r="F685" t="s">
        <v>898</v>
      </c>
      <c r="G685" t="s">
        <v>67</v>
      </c>
      <c r="H685" t="s">
        <v>898</v>
      </c>
    </row>
    <row r="686">
      <c r="B686" t="s">
        <v>898</v>
      </c>
      <c r="C686" t="s">
        <v>898</v>
      </c>
      <c r="D686" t="s">
        <v>898</v>
      </c>
      <c r="E686" t="s">
        <v>898</v>
      </c>
      <c r="F686" t="s">
        <v>898</v>
      </c>
      <c r="G686" t="s">
        <v>67</v>
      </c>
      <c r="H686" t="s">
        <v>898</v>
      </c>
    </row>
    <row r="687">
      <c r="B687" t="s">
        <v>898</v>
      </c>
      <c r="C687" t="s">
        <v>898</v>
      </c>
      <c r="D687" t="s">
        <v>898</v>
      </c>
      <c r="E687" t="s">
        <v>898</v>
      </c>
      <c r="F687" t="s">
        <v>898</v>
      </c>
      <c r="G687" t="s">
        <v>67</v>
      </c>
      <c r="H687" t="s">
        <v>898</v>
      </c>
    </row>
    <row r="688">
      <c r="B688" t="s">
        <v>898</v>
      </c>
      <c r="C688" t="s">
        <v>898</v>
      </c>
      <c r="D688" t="s">
        <v>898</v>
      </c>
      <c r="E688" t="s">
        <v>898</v>
      </c>
      <c r="F688" t="s">
        <v>898</v>
      </c>
      <c r="G688" t="s">
        <v>67</v>
      </c>
      <c r="H688" t="s">
        <v>898</v>
      </c>
    </row>
    <row r="689">
      <c r="B689" t="s">
        <v>898</v>
      </c>
      <c r="C689" t="s">
        <v>898</v>
      </c>
      <c r="D689" t="s">
        <v>898</v>
      </c>
      <c r="E689" t="s">
        <v>898</v>
      </c>
      <c r="F689" t="s">
        <v>898</v>
      </c>
      <c r="G689" t="s">
        <v>67</v>
      </c>
      <c r="H689" t="s">
        <v>898</v>
      </c>
    </row>
    <row r="690">
      <c r="B690" t="s">
        <v>898</v>
      </c>
      <c r="C690" t="s">
        <v>898</v>
      </c>
      <c r="D690" t="s">
        <v>898</v>
      </c>
      <c r="E690" t="s">
        <v>898</v>
      </c>
      <c r="F690" t="s">
        <v>898</v>
      </c>
      <c r="G690" t="s">
        <v>67</v>
      </c>
      <c r="H690" t="s">
        <v>898</v>
      </c>
    </row>
    <row r="691">
      <c r="B691" t="s">
        <v>898</v>
      </c>
      <c r="C691" t="s">
        <v>898</v>
      </c>
      <c r="D691" t="s">
        <v>898</v>
      </c>
      <c r="E691" t="s">
        <v>898</v>
      </c>
      <c r="F691" t="s">
        <v>898</v>
      </c>
      <c r="G691" t="s">
        <v>67</v>
      </c>
      <c r="H691" t="s">
        <v>898</v>
      </c>
    </row>
    <row r="692">
      <c r="B692" t="s">
        <v>898</v>
      </c>
      <c r="C692" t="s">
        <v>898</v>
      </c>
      <c r="D692" t="s">
        <v>898</v>
      </c>
      <c r="E692" t="s">
        <v>898</v>
      </c>
      <c r="F692" t="s">
        <v>898</v>
      </c>
      <c r="G692" t="s">
        <v>67</v>
      </c>
      <c r="H692" t="s">
        <v>898</v>
      </c>
    </row>
    <row r="693">
      <c r="B693" t="s">
        <v>898</v>
      </c>
      <c r="C693" t="s">
        <v>898</v>
      </c>
      <c r="D693" t="s">
        <v>898</v>
      </c>
      <c r="E693" t="s">
        <v>898</v>
      </c>
      <c r="F693" t="s">
        <v>898</v>
      </c>
      <c r="G693" t="s">
        <v>67</v>
      </c>
      <c r="H693" t="s">
        <v>898</v>
      </c>
    </row>
    <row r="694">
      <c r="B694" t="s">
        <v>898</v>
      </c>
      <c r="C694" t="s">
        <v>898</v>
      </c>
      <c r="D694" t="s">
        <v>898</v>
      </c>
      <c r="E694" t="s">
        <v>898</v>
      </c>
      <c r="F694" t="s">
        <v>898</v>
      </c>
      <c r="G694" t="s">
        <v>67</v>
      </c>
      <c r="H694" t="s">
        <v>898</v>
      </c>
    </row>
    <row r="695">
      <c r="B695" t="s">
        <v>898</v>
      </c>
      <c r="C695" t="s">
        <v>898</v>
      </c>
      <c r="D695" t="s">
        <v>898</v>
      </c>
      <c r="E695" t="s">
        <v>898</v>
      </c>
      <c r="F695" t="s">
        <v>898</v>
      </c>
      <c r="G695" t="s">
        <v>67</v>
      </c>
      <c r="H695" t="s">
        <v>898</v>
      </c>
    </row>
    <row r="696">
      <c r="B696" t="s">
        <v>898</v>
      </c>
      <c r="C696" t="s">
        <v>898</v>
      </c>
      <c r="D696" t="s">
        <v>898</v>
      </c>
      <c r="E696" t="s">
        <v>898</v>
      </c>
      <c r="F696" t="s">
        <v>898</v>
      </c>
      <c r="G696" t="s">
        <v>67</v>
      </c>
      <c r="H696" t="s">
        <v>898</v>
      </c>
    </row>
    <row r="697">
      <c r="B697" t="s">
        <v>898</v>
      </c>
      <c r="C697" t="s">
        <v>898</v>
      </c>
      <c r="D697" t="s">
        <v>898</v>
      </c>
      <c r="E697" t="s">
        <v>898</v>
      </c>
      <c r="F697" t="s">
        <v>898</v>
      </c>
      <c r="G697" t="s">
        <v>67</v>
      </c>
      <c r="H697" t="s">
        <v>898</v>
      </c>
    </row>
    <row r="698">
      <c r="B698" t="s">
        <v>898</v>
      </c>
      <c r="C698" t="s">
        <v>898</v>
      </c>
      <c r="D698" t="s">
        <v>898</v>
      </c>
      <c r="E698" t="s">
        <v>898</v>
      </c>
      <c r="F698" t="s">
        <v>898</v>
      </c>
      <c r="G698" t="s">
        <v>67</v>
      </c>
      <c r="H698" t="s">
        <v>898</v>
      </c>
    </row>
    <row r="699">
      <c r="B699" t="s">
        <v>898</v>
      </c>
      <c r="C699" t="s">
        <v>898</v>
      </c>
      <c r="D699" t="s">
        <v>898</v>
      </c>
      <c r="E699" t="s">
        <v>898</v>
      </c>
      <c r="F699" t="s">
        <v>898</v>
      </c>
      <c r="G699" t="s">
        <v>67</v>
      </c>
      <c r="H699" t="s">
        <v>898</v>
      </c>
    </row>
    <row r="700">
      <c r="B700" t="s">
        <v>898</v>
      </c>
      <c r="C700" t="s">
        <v>898</v>
      </c>
      <c r="D700" t="s">
        <v>898</v>
      </c>
      <c r="E700" t="s">
        <v>898</v>
      </c>
      <c r="F700" t="s">
        <v>898</v>
      </c>
      <c r="G700" t="s">
        <v>67</v>
      </c>
      <c r="H700" t="s">
        <v>898</v>
      </c>
    </row>
    <row r="701">
      <c r="B701" t="s">
        <v>898</v>
      </c>
      <c r="C701" t="s">
        <v>898</v>
      </c>
      <c r="D701" t="s">
        <v>898</v>
      </c>
      <c r="E701" t="s">
        <v>898</v>
      </c>
      <c r="F701" t="s">
        <v>898</v>
      </c>
      <c r="G701" t="s">
        <v>67</v>
      </c>
      <c r="H701" t="s">
        <v>898</v>
      </c>
    </row>
    <row r="702">
      <c r="B702" t="s">
        <v>898</v>
      </c>
      <c r="C702" t="s">
        <v>898</v>
      </c>
      <c r="D702" t="s">
        <v>898</v>
      </c>
      <c r="E702" t="s">
        <v>898</v>
      </c>
      <c r="F702" t="s">
        <v>898</v>
      </c>
      <c r="G702" t="s">
        <v>67</v>
      </c>
      <c r="H702" t="s">
        <v>898</v>
      </c>
    </row>
    <row r="703">
      <c r="B703" t="s">
        <v>898</v>
      </c>
      <c r="C703" t="s">
        <v>898</v>
      </c>
      <c r="D703" t="s">
        <v>898</v>
      </c>
      <c r="E703" t="s">
        <v>898</v>
      </c>
      <c r="F703" t="s">
        <v>898</v>
      </c>
      <c r="G703" t="s">
        <v>67</v>
      </c>
      <c r="H703" t="s">
        <v>898</v>
      </c>
    </row>
    <row r="704">
      <c r="B704" t="s">
        <v>898</v>
      </c>
      <c r="C704" t="s">
        <v>898</v>
      </c>
      <c r="D704" t="s">
        <v>898</v>
      </c>
      <c r="E704" t="s">
        <v>898</v>
      </c>
      <c r="F704" t="s">
        <v>898</v>
      </c>
      <c r="G704" t="s">
        <v>67</v>
      </c>
      <c r="H704" t="s">
        <v>898</v>
      </c>
    </row>
    <row r="705">
      <c r="B705" t="s">
        <v>898</v>
      </c>
      <c r="C705" t="s">
        <v>898</v>
      </c>
      <c r="D705" t="s">
        <v>898</v>
      </c>
      <c r="E705" t="s">
        <v>898</v>
      </c>
      <c r="F705" t="s">
        <v>898</v>
      </c>
      <c r="G705" t="s">
        <v>67</v>
      </c>
      <c r="H705" t="s">
        <v>898</v>
      </c>
    </row>
    <row r="706">
      <c r="B706" t="s">
        <v>898</v>
      </c>
      <c r="C706" t="s">
        <v>898</v>
      </c>
      <c r="D706" t="s">
        <v>898</v>
      </c>
      <c r="E706" t="s">
        <v>898</v>
      </c>
      <c r="F706" t="s">
        <v>898</v>
      </c>
      <c r="G706" t="s">
        <v>67</v>
      </c>
      <c r="H706" t="s">
        <v>898</v>
      </c>
    </row>
    <row r="707">
      <c r="B707" t="s">
        <v>898</v>
      </c>
      <c r="C707" t="s">
        <v>898</v>
      </c>
      <c r="D707" t="s">
        <v>898</v>
      </c>
      <c r="E707" t="s">
        <v>898</v>
      </c>
      <c r="F707" t="s">
        <v>898</v>
      </c>
      <c r="G707" t="s">
        <v>67</v>
      </c>
      <c r="H707" t="s">
        <v>898</v>
      </c>
    </row>
    <row r="708">
      <c r="B708" t="s">
        <v>898</v>
      </c>
      <c r="C708" t="s">
        <v>898</v>
      </c>
      <c r="D708" t="s">
        <v>898</v>
      </c>
      <c r="E708" t="s">
        <v>898</v>
      </c>
      <c r="F708" t="s">
        <v>898</v>
      </c>
      <c r="G708" t="s">
        <v>67</v>
      </c>
      <c r="H708" t="s">
        <v>898</v>
      </c>
    </row>
    <row r="709">
      <c r="B709" t="s">
        <v>898</v>
      </c>
      <c r="C709" t="s">
        <v>898</v>
      </c>
      <c r="D709" t="s">
        <v>898</v>
      </c>
      <c r="E709" t="s">
        <v>898</v>
      </c>
      <c r="F709" t="s">
        <v>898</v>
      </c>
      <c r="G709" t="s">
        <v>67</v>
      </c>
      <c r="H709" t="s">
        <v>898</v>
      </c>
    </row>
    <row r="710">
      <c r="B710" t="s">
        <v>898</v>
      </c>
      <c r="C710" t="s">
        <v>898</v>
      </c>
      <c r="D710" t="s">
        <v>898</v>
      </c>
      <c r="E710" t="s">
        <v>898</v>
      </c>
      <c r="F710" t="s">
        <v>898</v>
      </c>
      <c r="G710" t="s">
        <v>67</v>
      </c>
      <c r="H710" t="s">
        <v>898</v>
      </c>
    </row>
    <row r="711">
      <c r="B711" t="s">
        <v>898</v>
      </c>
      <c r="C711" t="s">
        <v>898</v>
      </c>
      <c r="D711" t="s">
        <v>898</v>
      </c>
      <c r="E711" t="s">
        <v>898</v>
      </c>
      <c r="F711" t="s">
        <v>898</v>
      </c>
      <c r="G711" t="s">
        <v>67</v>
      </c>
      <c r="H711" t="s">
        <v>898</v>
      </c>
    </row>
    <row r="712">
      <c r="B712" t="s">
        <v>898</v>
      </c>
      <c r="C712" t="s">
        <v>898</v>
      </c>
      <c r="D712" t="s">
        <v>898</v>
      </c>
      <c r="E712" t="s">
        <v>898</v>
      </c>
      <c r="F712" t="s">
        <v>898</v>
      </c>
      <c r="G712" t="s">
        <v>67</v>
      </c>
      <c r="H712" t="s">
        <v>898</v>
      </c>
    </row>
    <row r="713">
      <c r="B713" t="s">
        <v>898</v>
      </c>
      <c r="C713" t="s">
        <v>898</v>
      </c>
      <c r="D713" t="s">
        <v>898</v>
      </c>
      <c r="E713" t="s">
        <v>898</v>
      </c>
      <c r="F713" t="s">
        <v>898</v>
      </c>
      <c r="G713" t="s">
        <v>67</v>
      </c>
      <c r="H713" t="s">
        <v>898</v>
      </c>
    </row>
    <row r="714">
      <c r="B714" t="s">
        <v>898</v>
      </c>
      <c r="C714" t="s">
        <v>898</v>
      </c>
      <c r="D714" t="s">
        <v>898</v>
      </c>
      <c r="E714" t="s">
        <v>898</v>
      </c>
      <c r="F714" t="s">
        <v>898</v>
      </c>
      <c r="G714" t="s">
        <v>67</v>
      </c>
      <c r="H714" t="s">
        <v>898</v>
      </c>
    </row>
    <row r="715">
      <c r="B715" t="s">
        <v>898</v>
      </c>
      <c r="C715" t="s">
        <v>898</v>
      </c>
      <c r="D715" t="s">
        <v>898</v>
      </c>
      <c r="E715" t="s">
        <v>898</v>
      </c>
      <c r="F715" t="s">
        <v>898</v>
      </c>
      <c r="G715" t="s">
        <v>67</v>
      </c>
      <c r="H715" t="s">
        <v>898</v>
      </c>
    </row>
    <row r="716">
      <c r="B716" t="s">
        <v>898</v>
      </c>
      <c r="C716" t="s">
        <v>898</v>
      </c>
      <c r="D716" t="s">
        <v>898</v>
      </c>
      <c r="E716" t="s">
        <v>898</v>
      </c>
      <c r="F716" t="s">
        <v>898</v>
      </c>
      <c r="G716" t="s">
        <v>67</v>
      </c>
      <c r="H716" t="s">
        <v>898</v>
      </c>
    </row>
    <row r="717">
      <c r="B717" t="s">
        <v>898</v>
      </c>
      <c r="C717" t="s">
        <v>898</v>
      </c>
      <c r="D717" t="s">
        <v>898</v>
      </c>
      <c r="E717" t="s">
        <v>898</v>
      </c>
      <c r="F717" t="s">
        <v>898</v>
      </c>
      <c r="G717" t="s">
        <v>67</v>
      </c>
      <c r="H717" t="s">
        <v>898</v>
      </c>
    </row>
    <row r="718">
      <c r="B718" t="s">
        <v>898</v>
      </c>
      <c r="C718" t="s">
        <v>898</v>
      </c>
      <c r="D718" t="s">
        <v>898</v>
      </c>
      <c r="E718" t="s">
        <v>898</v>
      </c>
      <c r="F718" t="s">
        <v>898</v>
      </c>
      <c r="G718" t="s">
        <v>67</v>
      </c>
      <c r="H718" t="s">
        <v>898</v>
      </c>
    </row>
    <row r="719">
      <c r="B719" t="s">
        <v>898</v>
      </c>
      <c r="C719" t="s">
        <v>898</v>
      </c>
      <c r="D719" t="s">
        <v>898</v>
      </c>
      <c r="E719" t="s">
        <v>898</v>
      </c>
      <c r="F719" t="s">
        <v>898</v>
      </c>
      <c r="G719" t="s">
        <v>67</v>
      </c>
      <c r="H719" t="s">
        <v>898</v>
      </c>
    </row>
    <row r="720">
      <c r="B720" t="s">
        <v>898</v>
      </c>
      <c r="C720" t="s">
        <v>898</v>
      </c>
      <c r="D720" t="s">
        <v>898</v>
      </c>
      <c r="E720" t="s">
        <v>898</v>
      </c>
      <c r="F720" t="s">
        <v>898</v>
      </c>
      <c r="G720" t="s">
        <v>67</v>
      </c>
      <c r="H720" t="s">
        <v>898</v>
      </c>
    </row>
    <row r="721">
      <c r="B721" t="s">
        <v>898</v>
      </c>
      <c r="C721" t="s">
        <v>898</v>
      </c>
      <c r="D721" t="s">
        <v>898</v>
      </c>
      <c r="E721" t="s">
        <v>898</v>
      </c>
      <c r="F721" t="s">
        <v>898</v>
      </c>
      <c r="G721" t="s">
        <v>67</v>
      </c>
      <c r="H721" t="s">
        <v>898</v>
      </c>
    </row>
    <row r="722">
      <c r="B722" t="s">
        <v>898</v>
      </c>
      <c r="C722" t="s">
        <v>898</v>
      </c>
      <c r="D722" t="s">
        <v>898</v>
      </c>
      <c r="E722" t="s">
        <v>898</v>
      </c>
      <c r="F722" t="s">
        <v>898</v>
      </c>
      <c r="G722" t="s">
        <v>67</v>
      </c>
      <c r="H722" t="s">
        <v>898</v>
      </c>
    </row>
    <row r="723">
      <c r="B723" t="s">
        <v>898</v>
      </c>
      <c r="C723" t="s">
        <v>898</v>
      </c>
      <c r="D723" t="s">
        <v>898</v>
      </c>
      <c r="E723" t="s">
        <v>898</v>
      </c>
      <c r="F723" t="s">
        <v>898</v>
      </c>
      <c r="G723" t="s">
        <v>67</v>
      </c>
      <c r="H723" t="s">
        <v>898</v>
      </c>
    </row>
    <row r="724">
      <c r="B724" t="s">
        <v>898</v>
      </c>
      <c r="C724" t="s">
        <v>898</v>
      </c>
      <c r="D724" t="s">
        <v>898</v>
      </c>
      <c r="E724" t="s">
        <v>898</v>
      </c>
      <c r="F724" t="s">
        <v>898</v>
      </c>
      <c r="G724" t="s">
        <v>67</v>
      </c>
      <c r="H724" t="s">
        <v>898</v>
      </c>
    </row>
    <row r="725">
      <c r="B725" t="s">
        <v>898</v>
      </c>
      <c r="C725" t="s">
        <v>898</v>
      </c>
      <c r="D725" t="s">
        <v>898</v>
      </c>
      <c r="E725" t="s">
        <v>898</v>
      </c>
      <c r="F725" t="s">
        <v>898</v>
      </c>
      <c r="G725" t="s">
        <v>67</v>
      </c>
      <c r="H725" t="s">
        <v>898</v>
      </c>
    </row>
    <row r="726">
      <c r="B726" t="s">
        <v>898</v>
      </c>
      <c r="C726" t="s">
        <v>898</v>
      </c>
      <c r="D726" t="s">
        <v>898</v>
      </c>
      <c r="E726" t="s">
        <v>898</v>
      </c>
      <c r="F726" t="s">
        <v>898</v>
      </c>
      <c r="G726" t="s">
        <v>67</v>
      </c>
      <c r="H726" t="s">
        <v>898</v>
      </c>
    </row>
    <row r="727">
      <c r="B727" t="s">
        <v>898</v>
      </c>
      <c r="C727" t="s">
        <v>898</v>
      </c>
      <c r="D727" t="s">
        <v>898</v>
      </c>
      <c r="E727" t="s">
        <v>898</v>
      </c>
      <c r="F727" t="s">
        <v>898</v>
      </c>
      <c r="G727" t="s">
        <v>67</v>
      </c>
      <c r="H727" t="s">
        <v>898</v>
      </c>
    </row>
    <row r="728">
      <c r="B728" t="s">
        <v>898</v>
      </c>
      <c r="C728" t="s">
        <v>898</v>
      </c>
      <c r="D728" t="s">
        <v>898</v>
      </c>
      <c r="E728" t="s">
        <v>898</v>
      </c>
      <c r="F728" t="s">
        <v>898</v>
      </c>
      <c r="G728" t="s">
        <v>67</v>
      </c>
      <c r="H728" t="s">
        <v>898</v>
      </c>
    </row>
    <row r="729">
      <c r="B729" t="s">
        <v>898</v>
      </c>
      <c r="C729" t="s">
        <v>898</v>
      </c>
      <c r="D729" t="s">
        <v>898</v>
      </c>
      <c r="E729" t="s">
        <v>898</v>
      </c>
      <c r="F729" t="s">
        <v>898</v>
      </c>
      <c r="G729" t="s">
        <v>67</v>
      </c>
      <c r="H729" t="s">
        <v>898</v>
      </c>
    </row>
    <row r="730">
      <c r="B730" t="s">
        <v>898</v>
      </c>
      <c r="C730" t="s">
        <v>898</v>
      </c>
      <c r="D730" t="s">
        <v>898</v>
      </c>
      <c r="E730" t="s">
        <v>898</v>
      </c>
      <c r="F730" t="s">
        <v>898</v>
      </c>
      <c r="G730" t="s">
        <v>67</v>
      </c>
      <c r="H730" t="s">
        <v>898</v>
      </c>
    </row>
    <row r="731">
      <c r="B731" t="s">
        <v>898</v>
      </c>
      <c r="C731" t="s">
        <v>898</v>
      </c>
      <c r="D731" t="s">
        <v>898</v>
      </c>
      <c r="E731" t="s">
        <v>898</v>
      </c>
      <c r="F731" t="s">
        <v>898</v>
      </c>
      <c r="G731" t="s">
        <v>67</v>
      </c>
      <c r="H731" t="s">
        <v>898</v>
      </c>
    </row>
    <row r="732">
      <c r="B732" t="s">
        <v>898</v>
      </c>
      <c r="C732" t="s">
        <v>898</v>
      </c>
      <c r="D732" t="s">
        <v>898</v>
      </c>
      <c r="E732" t="s">
        <v>898</v>
      </c>
      <c r="F732" t="s">
        <v>898</v>
      </c>
      <c r="G732" t="s">
        <v>67</v>
      </c>
      <c r="H732" t="s">
        <v>898</v>
      </c>
    </row>
    <row r="733">
      <c r="B733" t="s">
        <v>898</v>
      </c>
      <c r="C733" t="s">
        <v>898</v>
      </c>
      <c r="D733" t="s">
        <v>898</v>
      </c>
      <c r="E733" t="s">
        <v>898</v>
      </c>
      <c r="F733" t="s">
        <v>898</v>
      </c>
      <c r="G733" t="s">
        <v>67</v>
      </c>
      <c r="H733" t="s">
        <v>898</v>
      </c>
    </row>
    <row r="734">
      <c r="B734" t="s">
        <v>898</v>
      </c>
      <c r="C734" t="s">
        <v>898</v>
      </c>
      <c r="D734" t="s">
        <v>898</v>
      </c>
      <c r="E734" t="s">
        <v>898</v>
      </c>
      <c r="F734" t="s">
        <v>898</v>
      </c>
      <c r="G734" t="s">
        <v>67</v>
      </c>
      <c r="H734" t="s">
        <v>898</v>
      </c>
    </row>
    <row r="735">
      <c r="B735" t="s">
        <v>898</v>
      </c>
      <c r="C735" t="s">
        <v>898</v>
      </c>
      <c r="D735" t="s">
        <v>898</v>
      </c>
      <c r="E735" t="s">
        <v>898</v>
      </c>
      <c r="F735" t="s">
        <v>898</v>
      </c>
      <c r="G735" t="s">
        <v>67</v>
      </c>
      <c r="H735" t="s">
        <v>898</v>
      </c>
    </row>
    <row r="736">
      <c r="B736" t="s">
        <v>898</v>
      </c>
      <c r="C736" t="s">
        <v>898</v>
      </c>
      <c r="D736" t="s">
        <v>898</v>
      </c>
      <c r="E736" t="s">
        <v>898</v>
      </c>
      <c r="F736" t="s">
        <v>898</v>
      </c>
      <c r="G736" t="s">
        <v>67</v>
      </c>
      <c r="H736" t="s">
        <v>898</v>
      </c>
    </row>
    <row r="737">
      <c r="B737" t="s">
        <v>898</v>
      </c>
      <c r="C737" t="s">
        <v>898</v>
      </c>
      <c r="D737" t="s">
        <v>898</v>
      </c>
      <c r="E737" t="s">
        <v>898</v>
      </c>
      <c r="F737" t="s">
        <v>898</v>
      </c>
      <c r="G737" t="s">
        <v>67</v>
      </c>
      <c r="H737" t="s">
        <v>898</v>
      </c>
    </row>
    <row r="738">
      <c r="B738" t="s">
        <v>898</v>
      </c>
      <c r="C738" t="s">
        <v>898</v>
      </c>
      <c r="D738" t="s">
        <v>898</v>
      </c>
      <c r="E738" t="s">
        <v>898</v>
      </c>
      <c r="F738" t="s">
        <v>898</v>
      </c>
      <c r="G738" t="s">
        <v>67</v>
      </c>
      <c r="H738" t="s">
        <v>898</v>
      </c>
    </row>
    <row r="739">
      <c r="B739" t="s">
        <v>898</v>
      </c>
      <c r="C739" t="s">
        <v>898</v>
      </c>
      <c r="D739" t="s">
        <v>898</v>
      </c>
      <c r="E739" t="s">
        <v>898</v>
      </c>
      <c r="F739" t="s">
        <v>898</v>
      </c>
      <c r="G739" t="s">
        <v>67</v>
      </c>
      <c r="H739" t="s">
        <v>898</v>
      </c>
    </row>
    <row r="740">
      <c r="B740" t="s">
        <v>898</v>
      </c>
      <c r="C740" t="s">
        <v>898</v>
      </c>
      <c r="D740" t="s">
        <v>898</v>
      </c>
      <c r="E740" t="s">
        <v>898</v>
      </c>
      <c r="F740" t="s">
        <v>898</v>
      </c>
      <c r="G740" t="s">
        <v>67</v>
      </c>
      <c r="H740" t="s">
        <v>898</v>
      </c>
    </row>
    <row r="741">
      <c r="B741" t="s">
        <v>898</v>
      </c>
      <c r="C741" t="s">
        <v>898</v>
      </c>
      <c r="D741" t="s">
        <v>898</v>
      </c>
      <c r="E741" t="s">
        <v>898</v>
      </c>
      <c r="F741" t="s">
        <v>898</v>
      </c>
      <c r="G741" t="s">
        <v>67</v>
      </c>
      <c r="H741" t="s">
        <v>898</v>
      </c>
    </row>
    <row r="742">
      <c r="B742" t="s">
        <v>898</v>
      </c>
      <c r="C742" t="s">
        <v>898</v>
      </c>
      <c r="D742" t="s">
        <v>898</v>
      </c>
      <c r="E742" t="s">
        <v>898</v>
      </c>
      <c r="F742" t="s">
        <v>898</v>
      </c>
      <c r="G742" t="s">
        <v>67</v>
      </c>
      <c r="H742" t="s">
        <v>898</v>
      </c>
    </row>
    <row r="743">
      <c r="B743" t="s">
        <v>898</v>
      </c>
      <c r="C743" t="s">
        <v>898</v>
      </c>
      <c r="D743" t="s">
        <v>898</v>
      </c>
      <c r="E743" t="s">
        <v>898</v>
      </c>
      <c r="F743" t="s">
        <v>898</v>
      </c>
      <c r="G743" t="s">
        <v>67</v>
      </c>
      <c r="H743" t="s">
        <v>898</v>
      </c>
    </row>
    <row r="744">
      <c r="B744" t="s">
        <v>898</v>
      </c>
      <c r="C744" t="s">
        <v>898</v>
      </c>
      <c r="D744" t="s">
        <v>898</v>
      </c>
      <c r="E744" t="s">
        <v>898</v>
      </c>
      <c r="F744" t="s">
        <v>898</v>
      </c>
      <c r="G744" t="s">
        <v>67</v>
      </c>
      <c r="H744" t="s">
        <v>898</v>
      </c>
    </row>
    <row r="745">
      <c r="B745" t="s">
        <v>898</v>
      </c>
      <c r="C745" t="s">
        <v>898</v>
      </c>
      <c r="D745" t="s">
        <v>898</v>
      </c>
      <c r="E745" t="s">
        <v>898</v>
      </c>
      <c r="F745" t="s">
        <v>898</v>
      </c>
      <c r="G745" t="s">
        <v>67</v>
      </c>
      <c r="H745" t="s">
        <v>898</v>
      </c>
    </row>
    <row r="746">
      <c r="B746" t="s">
        <v>898</v>
      </c>
      <c r="C746" t="s">
        <v>898</v>
      </c>
      <c r="D746" t="s">
        <v>898</v>
      </c>
      <c r="E746" t="s">
        <v>898</v>
      </c>
      <c r="F746" t="s">
        <v>898</v>
      </c>
      <c r="G746" t="s">
        <v>67</v>
      </c>
      <c r="H746" t="s">
        <v>898</v>
      </c>
    </row>
    <row r="747">
      <c r="B747" t="s">
        <v>898</v>
      </c>
      <c r="C747" t="s">
        <v>898</v>
      </c>
      <c r="D747" t="s">
        <v>898</v>
      </c>
      <c r="E747" t="s">
        <v>898</v>
      </c>
      <c r="F747" t="s">
        <v>898</v>
      </c>
      <c r="G747" t="s">
        <v>67</v>
      </c>
      <c r="H747" t="s">
        <v>898</v>
      </c>
    </row>
    <row r="748">
      <c r="B748" t="s">
        <v>898</v>
      </c>
      <c r="C748" t="s">
        <v>898</v>
      </c>
      <c r="D748" t="s">
        <v>898</v>
      </c>
      <c r="E748" t="s">
        <v>898</v>
      </c>
      <c r="F748" t="s">
        <v>898</v>
      </c>
      <c r="G748" t="s">
        <v>67</v>
      </c>
      <c r="H748" t="s">
        <v>898</v>
      </c>
    </row>
    <row r="749">
      <c r="B749" t="s">
        <v>898</v>
      </c>
      <c r="C749" t="s">
        <v>898</v>
      </c>
      <c r="D749" t="s">
        <v>898</v>
      </c>
      <c r="E749" t="s">
        <v>898</v>
      </c>
      <c r="F749" t="s">
        <v>898</v>
      </c>
      <c r="G749" t="s">
        <v>67</v>
      </c>
      <c r="H749" t="s">
        <v>898</v>
      </c>
    </row>
    <row r="750">
      <c r="B750" t="s">
        <v>898</v>
      </c>
      <c r="C750" t="s">
        <v>898</v>
      </c>
      <c r="D750" t="s">
        <v>898</v>
      </c>
      <c r="E750" t="s">
        <v>898</v>
      </c>
      <c r="F750" t="s">
        <v>898</v>
      </c>
      <c r="G750" t="s">
        <v>67</v>
      </c>
      <c r="H750" t="s">
        <v>898</v>
      </c>
    </row>
    <row r="751">
      <c r="B751" t="s">
        <v>898</v>
      </c>
      <c r="C751" t="s">
        <v>898</v>
      </c>
      <c r="D751" t="s">
        <v>898</v>
      </c>
      <c r="E751" t="s">
        <v>898</v>
      </c>
      <c r="F751" t="s">
        <v>898</v>
      </c>
      <c r="G751" t="s">
        <v>67</v>
      </c>
      <c r="H751" t="s">
        <v>898</v>
      </c>
    </row>
    <row r="752">
      <c r="B752" t="s">
        <v>898</v>
      </c>
      <c r="C752" t="s">
        <v>898</v>
      </c>
      <c r="D752" t="s">
        <v>898</v>
      </c>
      <c r="E752" t="s">
        <v>898</v>
      </c>
      <c r="F752" t="s">
        <v>898</v>
      </c>
      <c r="G752" t="s">
        <v>67</v>
      </c>
      <c r="H752" t="s">
        <v>898</v>
      </c>
    </row>
    <row r="753">
      <c r="B753" t="s">
        <v>898</v>
      </c>
      <c r="C753" t="s">
        <v>898</v>
      </c>
      <c r="D753" t="s">
        <v>898</v>
      </c>
      <c r="E753" t="s">
        <v>898</v>
      </c>
      <c r="F753" t="s">
        <v>898</v>
      </c>
      <c r="G753" t="s">
        <v>67</v>
      </c>
      <c r="H753" t="s">
        <v>898</v>
      </c>
    </row>
    <row r="754">
      <c r="B754" t="s">
        <v>898</v>
      </c>
      <c r="C754" t="s">
        <v>898</v>
      </c>
      <c r="D754" t="s">
        <v>898</v>
      </c>
      <c r="E754" t="s">
        <v>898</v>
      </c>
      <c r="F754" t="s">
        <v>898</v>
      </c>
      <c r="G754" t="s">
        <v>67</v>
      </c>
      <c r="H754" t="s">
        <v>898</v>
      </c>
    </row>
    <row r="755">
      <c r="B755" t="s">
        <v>898</v>
      </c>
      <c r="C755" t="s">
        <v>898</v>
      </c>
      <c r="D755" t="s">
        <v>898</v>
      </c>
      <c r="E755" t="s">
        <v>898</v>
      </c>
      <c r="F755" t="s">
        <v>898</v>
      </c>
      <c r="G755" t="s">
        <v>67</v>
      </c>
      <c r="H755" t="s">
        <v>898</v>
      </c>
    </row>
    <row r="756">
      <c r="B756" t="s">
        <v>898</v>
      </c>
      <c r="C756" t="s">
        <v>898</v>
      </c>
      <c r="D756" t="s">
        <v>898</v>
      </c>
      <c r="E756" t="s">
        <v>898</v>
      </c>
      <c r="F756" t="s">
        <v>898</v>
      </c>
      <c r="G756" t="s">
        <v>67</v>
      </c>
      <c r="H756" t="s">
        <v>898</v>
      </c>
    </row>
    <row r="757">
      <c r="B757" t="s">
        <v>898</v>
      </c>
      <c r="C757" t="s">
        <v>898</v>
      </c>
      <c r="D757" t="s">
        <v>898</v>
      </c>
      <c r="E757" t="s">
        <v>898</v>
      </c>
      <c r="F757" t="s">
        <v>898</v>
      </c>
      <c r="G757" t="s">
        <v>67</v>
      </c>
      <c r="H757" t="s">
        <v>898</v>
      </c>
    </row>
    <row r="758">
      <c r="B758" t="s">
        <v>898</v>
      </c>
      <c r="C758" t="s">
        <v>898</v>
      </c>
      <c r="D758" t="s">
        <v>898</v>
      </c>
      <c r="E758" t="s">
        <v>898</v>
      </c>
      <c r="F758" t="s">
        <v>898</v>
      </c>
      <c r="G758" t="s">
        <v>67</v>
      </c>
      <c r="H758" t="s">
        <v>898</v>
      </c>
    </row>
    <row r="759">
      <c r="B759" t="s">
        <v>898</v>
      </c>
      <c r="C759" t="s">
        <v>898</v>
      </c>
      <c r="D759" t="s">
        <v>898</v>
      </c>
      <c r="E759" t="s">
        <v>898</v>
      </c>
      <c r="F759" t="s">
        <v>898</v>
      </c>
      <c r="G759" t="s">
        <v>67</v>
      </c>
      <c r="H759" t="s">
        <v>898</v>
      </c>
    </row>
    <row r="760">
      <c r="B760" t="s">
        <v>898</v>
      </c>
      <c r="C760" t="s">
        <v>898</v>
      </c>
      <c r="D760" t="s">
        <v>898</v>
      </c>
      <c r="E760" t="s">
        <v>898</v>
      </c>
      <c r="F760" t="s">
        <v>898</v>
      </c>
      <c r="G760" t="s">
        <v>67</v>
      </c>
      <c r="H760" t="s">
        <v>898</v>
      </c>
    </row>
    <row r="761">
      <c r="B761" t="s">
        <v>898</v>
      </c>
      <c r="C761" t="s">
        <v>898</v>
      </c>
      <c r="D761" t="s">
        <v>898</v>
      </c>
      <c r="E761" t="s">
        <v>898</v>
      </c>
      <c r="F761" t="s">
        <v>898</v>
      </c>
      <c r="G761" t="s">
        <v>67</v>
      </c>
      <c r="H761" t="s">
        <v>898</v>
      </c>
    </row>
    <row r="762">
      <c r="B762" t="s">
        <v>898</v>
      </c>
      <c r="C762" t="s">
        <v>898</v>
      </c>
      <c r="D762" t="s">
        <v>898</v>
      </c>
      <c r="E762" t="s">
        <v>898</v>
      </c>
      <c r="F762" t="s">
        <v>898</v>
      </c>
      <c r="G762" t="s">
        <v>67</v>
      </c>
      <c r="H762" t="s">
        <v>898</v>
      </c>
    </row>
    <row r="763">
      <c r="B763" t="s">
        <v>898</v>
      </c>
      <c r="C763" t="s">
        <v>898</v>
      </c>
      <c r="D763" t="s">
        <v>898</v>
      </c>
      <c r="E763" t="s">
        <v>898</v>
      </c>
      <c r="F763" t="s">
        <v>898</v>
      </c>
      <c r="G763" t="s">
        <v>67</v>
      </c>
      <c r="H763" t="s">
        <v>898</v>
      </c>
    </row>
    <row r="764">
      <c r="B764" t="s">
        <v>898</v>
      </c>
      <c r="C764" t="s">
        <v>898</v>
      </c>
      <c r="D764" t="s">
        <v>898</v>
      </c>
      <c r="E764" t="s">
        <v>898</v>
      </c>
      <c r="F764" t="s">
        <v>898</v>
      </c>
      <c r="G764" t="s">
        <v>67</v>
      </c>
      <c r="H764" t="s">
        <v>898</v>
      </c>
    </row>
    <row r="765">
      <c r="B765" t="s">
        <v>898</v>
      </c>
      <c r="C765" t="s">
        <v>898</v>
      </c>
      <c r="D765" t="s">
        <v>898</v>
      </c>
      <c r="E765" t="s">
        <v>898</v>
      </c>
      <c r="F765" t="s">
        <v>898</v>
      </c>
      <c r="G765" t="s">
        <v>67</v>
      </c>
      <c r="H765" t="s">
        <v>898</v>
      </c>
    </row>
    <row r="766">
      <c r="B766" t="s">
        <v>898</v>
      </c>
      <c r="C766" t="s">
        <v>898</v>
      </c>
      <c r="D766" t="s">
        <v>898</v>
      </c>
      <c r="E766" t="s">
        <v>898</v>
      </c>
      <c r="F766" t="s">
        <v>898</v>
      </c>
      <c r="G766" t="s">
        <v>67</v>
      </c>
      <c r="H766" t="s">
        <v>898</v>
      </c>
    </row>
    <row r="767">
      <c r="B767" t="s">
        <v>898</v>
      </c>
      <c r="C767" t="s">
        <v>898</v>
      </c>
      <c r="D767" t="s">
        <v>898</v>
      </c>
      <c r="E767" t="s">
        <v>898</v>
      </c>
      <c r="F767" t="s">
        <v>898</v>
      </c>
      <c r="G767" t="s">
        <v>67</v>
      </c>
      <c r="H767" t="s">
        <v>898</v>
      </c>
    </row>
    <row r="768">
      <c r="B768" t="s">
        <v>898</v>
      </c>
      <c r="C768" t="s">
        <v>898</v>
      </c>
      <c r="D768" t="s">
        <v>898</v>
      </c>
      <c r="E768" t="s">
        <v>898</v>
      </c>
      <c r="F768" t="s">
        <v>898</v>
      </c>
      <c r="G768" t="s">
        <v>67</v>
      </c>
      <c r="H768" t="s">
        <v>898</v>
      </c>
    </row>
    <row r="769">
      <c r="B769" t="s">
        <v>898</v>
      </c>
      <c r="C769" t="s">
        <v>898</v>
      </c>
      <c r="D769" t="s">
        <v>898</v>
      </c>
      <c r="E769" t="s">
        <v>898</v>
      </c>
      <c r="F769" t="s">
        <v>898</v>
      </c>
      <c r="G769" t="s">
        <v>67</v>
      </c>
      <c r="H769" t="s">
        <v>898</v>
      </c>
    </row>
    <row r="770">
      <c r="B770" t="s">
        <v>898</v>
      </c>
      <c r="C770" t="s">
        <v>898</v>
      </c>
      <c r="D770" t="s">
        <v>898</v>
      </c>
      <c r="E770" t="s">
        <v>898</v>
      </c>
      <c r="F770" t="s">
        <v>898</v>
      </c>
      <c r="G770" t="s">
        <v>67</v>
      </c>
      <c r="H770" t="s">
        <v>898</v>
      </c>
    </row>
    <row r="771">
      <c r="B771" t="s">
        <v>898</v>
      </c>
      <c r="C771" t="s">
        <v>898</v>
      </c>
      <c r="D771" t="s">
        <v>898</v>
      </c>
      <c r="E771" t="s">
        <v>898</v>
      </c>
      <c r="F771" t="s">
        <v>898</v>
      </c>
      <c r="G771" t="s">
        <v>67</v>
      </c>
      <c r="H771" t="s">
        <v>898</v>
      </c>
    </row>
    <row r="772">
      <c r="B772" t="s">
        <v>898</v>
      </c>
      <c r="C772" t="s">
        <v>898</v>
      </c>
      <c r="D772" t="s">
        <v>898</v>
      </c>
      <c r="E772" t="s">
        <v>898</v>
      </c>
      <c r="F772" t="s">
        <v>898</v>
      </c>
      <c r="G772" t="s">
        <v>67</v>
      </c>
      <c r="H772" t="s">
        <v>898</v>
      </c>
    </row>
    <row r="773">
      <c r="B773" t="s">
        <v>898</v>
      </c>
      <c r="C773" t="s">
        <v>898</v>
      </c>
      <c r="D773" t="s">
        <v>898</v>
      </c>
      <c r="E773" t="s">
        <v>898</v>
      </c>
      <c r="F773" t="s">
        <v>898</v>
      </c>
      <c r="G773" t="s">
        <v>67</v>
      </c>
      <c r="H773" t="s">
        <v>898</v>
      </c>
    </row>
    <row r="774">
      <c r="B774" t="s">
        <v>898</v>
      </c>
      <c r="C774" t="s">
        <v>898</v>
      </c>
      <c r="D774" t="s">
        <v>898</v>
      </c>
      <c r="E774" t="s">
        <v>898</v>
      </c>
      <c r="F774" t="s">
        <v>898</v>
      </c>
      <c r="G774" t="s">
        <v>67</v>
      </c>
      <c r="H774" t="s">
        <v>898</v>
      </c>
    </row>
    <row r="775">
      <c r="B775" t="s">
        <v>898</v>
      </c>
      <c r="C775" t="s">
        <v>898</v>
      </c>
      <c r="D775" t="s">
        <v>898</v>
      </c>
      <c r="E775" t="s">
        <v>898</v>
      </c>
      <c r="F775" t="s">
        <v>898</v>
      </c>
      <c r="G775" t="s">
        <v>67</v>
      </c>
      <c r="H775" t="s">
        <v>898</v>
      </c>
    </row>
    <row r="776">
      <c r="B776" t="s">
        <v>898</v>
      </c>
      <c r="C776" t="s">
        <v>898</v>
      </c>
      <c r="D776" t="s">
        <v>898</v>
      </c>
      <c r="E776" t="s">
        <v>898</v>
      </c>
      <c r="F776" t="s">
        <v>898</v>
      </c>
      <c r="G776" t="s">
        <v>67</v>
      </c>
      <c r="H776" t="s">
        <v>898</v>
      </c>
    </row>
    <row r="777">
      <c r="B777" t="s">
        <v>898</v>
      </c>
      <c r="C777" t="s">
        <v>898</v>
      </c>
      <c r="D777" t="s">
        <v>898</v>
      </c>
      <c r="E777" t="s">
        <v>898</v>
      </c>
      <c r="F777" t="s">
        <v>898</v>
      </c>
      <c r="G777" t="s">
        <v>67</v>
      </c>
      <c r="H777" t="s">
        <v>898</v>
      </c>
    </row>
    <row r="778">
      <c r="B778" t="s">
        <v>898</v>
      </c>
      <c r="C778" t="s">
        <v>898</v>
      </c>
      <c r="D778" t="s">
        <v>898</v>
      </c>
      <c r="E778" t="s">
        <v>898</v>
      </c>
      <c r="F778" t="s">
        <v>898</v>
      </c>
      <c r="G778" t="s">
        <v>67</v>
      </c>
      <c r="H778" t="s">
        <v>898</v>
      </c>
    </row>
    <row r="779">
      <c r="B779" t="s">
        <v>898</v>
      </c>
      <c r="C779" t="s">
        <v>898</v>
      </c>
      <c r="D779" t="s">
        <v>898</v>
      </c>
      <c r="E779" t="s">
        <v>898</v>
      </c>
      <c r="F779" t="s">
        <v>898</v>
      </c>
      <c r="G779" t="s">
        <v>67</v>
      </c>
      <c r="H779" t="s">
        <v>898</v>
      </c>
    </row>
    <row r="780">
      <c r="B780" t="s">
        <v>898</v>
      </c>
      <c r="C780" t="s">
        <v>898</v>
      </c>
      <c r="D780" t="s">
        <v>898</v>
      </c>
      <c r="E780" t="s">
        <v>898</v>
      </c>
      <c r="F780" t="s">
        <v>898</v>
      </c>
      <c r="G780" t="s">
        <v>67</v>
      </c>
      <c r="H780" t="s">
        <v>898</v>
      </c>
    </row>
    <row r="781">
      <c r="B781" t="s">
        <v>898</v>
      </c>
      <c r="C781" t="s">
        <v>898</v>
      </c>
      <c r="D781" t="s">
        <v>898</v>
      </c>
      <c r="E781" t="s">
        <v>898</v>
      </c>
      <c r="F781" t="s">
        <v>898</v>
      </c>
      <c r="G781" t="s">
        <v>67</v>
      </c>
      <c r="H781" t="s">
        <v>898</v>
      </c>
    </row>
    <row r="782">
      <c r="B782" t="s">
        <v>898</v>
      </c>
      <c r="C782" t="s">
        <v>898</v>
      </c>
      <c r="D782" t="s">
        <v>898</v>
      </c>
      <c r="E782" t="s">
        <v>898</v>
      </c>
      <c r="F782" t="s">
        <v>898</v>
      </c>
      <c r="G782" t="s">
        <v>67</v>
      </c>
      <c r="H782" t="s">
        <v>898</v>
      </c>
    </row>
    <row r="783">
      <c r="B783" t="s">
        <v>898</v>
      </c>
      <c r="C783" t="s">
        <v>898</v>
      </c>
      <c r="D783" t="s">
        <v>898</v>
      </c>
      <c r="E783" t="s">
        <v>898</v>
      </c>
      <c r="F783" t="s">
        <v>898</v>
      </c>
      <c r="G783" t="s">
        <v>67</v>
      </c>
      <c r="H783" t="s">
        <v>898</v>
      </c>
    </row>
    <row r="784">
      <c r="B784" t="s">
        <v>898</v>
      </c>
      <c r="C784" t="s">
        <v>898</v>
      </c>
      <c r="D784" t="s">
        <v>898</v>
      </c>
      <c r="E784" t="s">
        <v>898</v>
      </c>
      <c r="F784" t="s">
        <v>898</v>
      </c>
      <c r="G784" t="s">
        <v>67</v>
      </c>
      <c r="H784" t="s">
        <v>898</v>
      </c>
    </row>
    <row r="785">
      <c r="B785" t="s">
        <v>898</v>
      </c>
      <c r="C785" t="s">
        <v>898</v>
      </c>
      <c r="D785" t="s">
        <v>898</v>
      </c>
      <c r="E785" t="s">
        <v>898</v>
      </c>
      <c r="F785" t="s">
        <v>898</v>
      </c>
      <c r="G785" t="s">
        <v>67</v>
      </c>
      <c r="H785" t="s">
        <v>898</v>
      </c>
    </row>
    <row r="786">
      <c r="B786" t="s">
        <v>898</v>
      </c>
      <c r="C786" t="s">
        <v>898</v>
      </c>
      <c r="D786" t="s">
        <v>898</v>
      </c>
      <c r="E786" t="s">
        <v>898</v>
      </c>
      <c r="F786" t="s">
        <v>898</v>
      </c>
      <c r="G786" t="s">
        <v>67</v>
      </c>
      <c r="H786" t="s">
        <v>898</v>
      </c>
    </row>
    <row r="787">
      <c r="B787" t="s">
        <v>898</v>
      </c>
      <c r="C787" t="s">
        <v>898</v>
      </c>
      <c r="D787" t="s">
        <v>898</v>
      </c>
      <c r="E787" t="s">
        <v>898</v>
      </c>
      <c r="F787" t="s">
        <v>898</v>
      </c>
      <c r="G787" t="s">
        <v>67</v>
      </c>
      <c r="H787" t="s">
        <v>898</v>
      </c>
    </row>
    <row r="788">
      <c r="B788" t="s">
        <v>898</v>
      </c>
      <c r="C788" t="s">
        <v>898</v>
      </c>
      <c r="D788" t="s">
        <v>898</v>
      </c>
      <c r="E788" t="s">
        <v>898</v>
      </c>
      <c r="F788" t="s">
        <v>898</v>
      </c>
      <c r="G788" t="s">
        <v>67</v>
      </c>
      <c r="H788" t="s">
        <v>898</v>
      </c>
    </row>
    <row r="789">
      <c r="B789" t="s">
        <v>898</v>
      </c>
      <c r="C789" t="s">
        <v>898</v>
      </c>
      <c r="D789" t="s">
        <v>898</v>
      </c>
      <c r="E789" t="s">
        <v>898</v>
      </c>
      <c r="F789" t="s">
        <v>898</v>
      </c>
      <c r="G789" t="s">
        <v>67</v>
      </c>
      <c r="H789" t="s">
        <v>898</v>
      </c>
    </row>
    <row r="790">
      <c r="B790" t="s">
        <v>898</v>
      </c>
      <c r="C790" t="s">
        <v>898</v>
      </c>
      <c r="D790" t="s">
        <v>898</v>
      </c>
      <c r="E790" t="s">
        <v>898</v>
      </c>
      <c r="F790" t="s">
        <v>898</v>
      </c>
      <c r="G790" t="s">
        <v>67</v>
      </c>
      <c r="H790" t="s">
        <v>898</v>
      </c>
    </row>
    <row r="791">
      <c r="B791" t="s">
        <v>898</v>
      </c>
      <c r="C791" t="s">
        <v>898</v>
      </c>
      <c r="D791" t="s">
        <v>898</v>
      </c>
      <c r="E791" t="s">
        <v>898</v>
      </c>
      <c r="F791" t="s">
        <v>898</v>
      </c>
      <c r="G791" t="s">
        <v>67</v>
      </c>
      <c r="H791" t="s">
        <v>898</v>
      </c>
    </row>
    <row r="792">
      <c r="B792" t="s">
        <v>898</v>
      </c>
      <c r="C792" t="s">
        <v>898</v>
      </c>
      <c r="D792" t="s">
        <v>898</v>
      </c>
      <c r="E792" t="s">
        <v>898</v>
      </c>
      <c r="F792" t="s">
        <v>898</v>
      </c>
      <c r="G792" t="s">
        <v>67</v>
      </c>
      <c r="H792" t="s">
        <v>898</v>
      </c>
    </row>
    <row r="793">
      <c r="B793" t="s">
        <v>898</v>
      </c>
      <c r="C793" t="s">
        <v>898</v>
      </c>
      <c r="D793" t="s">
        <v>898</v>
      </c>
      <c r="E793" t="s">
        <v>898</v>
      </c>
      <c r="F793" t="s">
        <v>898</v>
      </c>
      <c r="G793" t="s">
        <v>67</v>
      </c>
      <c r="H793" t="s">
        <v>898</v>
      </c>
    </row>
    <row r="794">
      <c r="B794" t="s">
        <v>898</v>
      </c>
      <c r="C794" t="s">
        <v>898</v>
      </c>
      <c r="D794" t="s">
        <v>898</v>
      </c>
      <c r="E794" t="s">
        <v>898</v>
      </c>
      <c r="F794" t="s">
        <v>898</v>
      </c>
      <c r="G794" t="s">
        <v>67</v>
      </c>
      <c r="H794" t="s">
        <v>898</v>
      </c>
    </row>
    <row r="795">
      <c r="B795" t="s">
        <v>898</v>
      </c>
      <c r="C795" t="s">
        <v>898</v>
      </c>
      <c r="D795" t="s">
        <v>898</v>
      </c>
      <c r="E795" t="s">
        <v>898</v>
      </c>
      <c r="F795" t="s">
        <v>898</v>
      </c>
      <c r="G795" t="s">
        <v>67</v>
      </c>
      <c r="H795" t="s">
        <v>898</v>
      </c>
    </row>
    <row r="796">
      <c r="B796" t="s">
        <v>898</v>
      </c>
      <c r="C796" t="s">
        <v>898</v>
      </c>
      <c r="D796" t="s">
        <v>898</v>
      </c>
      <c r="E796" t="s">
        <v>898</v>
      </c>
      <c r="F796" t="s">
        <v>898</v>
      </c>
      <c r="G796" t="s">
        <v>67</v>
      </c>
      <c r="H796" t="s">
        <v>898</v>
      </c>
    </row>
    <row r="797">
      <c r="B797" t="s">
        <v>898</v>
      </c>
      <c r="C797" t="s">
        <v>898</v>
      </c>
      <c r="D797" t="s">
        <v>898</v>
      </c>
      <c r="E797" t="s">
        <v>898</v>
      </c>
      <c r="F797" t="s">
        <v>898</v>
      </c>
      <c r="G797" t="s">
        <v>67</v>
      </c>
      <c r="H797" t="s">
        <v>898</v>
      </c>
    </row>
    <row r="798">
      <c r="B798" t="s">
        <v>898</v>
      </c>
      <c r="C798" t="s">
        <v>898</v>
      </c>
      <c r="D798" t="s">
        <v>898</v>
      </c>
      <c r="E798" t="s">
        <v>898</v>
      </c>
      <c r="F798" t="s">
        <v>898</v>
      </c>
      <c r="G798" t="s">
        <v>67</v>
      </c>
      <c r="H798" t="s">
        <v>898</v>
      </c>
    </row>
    <row r="799">
      <c r="B799" t="s">
        <v>898</v>
      </c>
      <c r="C799" t="s">
        <v>898</v>
      </c>
      <c r="D799" t="s">
        <v>898</v>
      </c>
      <c r="E799" t="s">
        <v>898</v>
      </c>
      <c r="F799" t="s">
        <v>898</v>
      </c>
      <c r="G799" t="s">
        <v>67</v>
      </c>
      <c r="H799" t="s">
        <v>898</v>
      </c>
    </row>
    <row r="800">
      <c r="B800" t="s">
        <v>898</v>
      </c>
      <c r="C800" t="s">
        <v>898</v>
      </c>
      <c r="D800" t="s">
        <v>898</v>
      </c>
      <c r="E800" t="s">
        <v>898</v>
      </c>
      <c r="F800" t="s">
        <v>898</v>
      </c>
      <c r="G800" t="s">
        <v>67</v>
      </c>
      <c r="H800" t="s">
        <v>898</v>
      </c>
    </row>
    <row r="801">
      <c r="B801" t="s">
        <v>898</v>
      </c>
      <c r="C801" t="s">
        <v>898</v>
      </c>
      <c r="D801" t="s">
        <v>898</v>
      </c>
      <c r="E801" t="s">
        <v>898</v>
      </c>
      <c r="F801" t="s">
        <v>898</v>
      </c>
      <c r="G801" t="s">
        <v>67</v>
      </c>
      <c r="H801" t="s">
        <v>898</v>
      </c>
    </row>
    <row r="802">
      <c r="B802" t="s">
        <v>898</v>
      </c>
      <c r="C802" t="s">
        <v>898</v>
      </c>
      <c r="D802" t="s">
        <v>898</v>
      </c>
      <c r="E802" t="s">
        <v>898</v>
      </c>
      <c r="F802" t="s">
        <v>898</v>
      </c>
      <c r="G802" t="s">
        <v>67</v>
      </c>
      <c r="H802" t="s">
        <v>898</v>
      </c>
    </row>
    <row r="803">
      <c r="B803" t="s">
        <v>898</v>
      </c>
      <c r="C803" t="s">
        <v>898</v>
      </c>
      <c r="D803" t="s">
        <v>898</v>
      </c>
      <c r="E803" t="s">
        <v>898</v>
      </c>
      <c r="F803" t="s">
        <v>898</v>
      </c>
      <c r="G803" t="s">
        <v>67</v>
      </c>
      <c r="H803" t="s">
        <v>898</v>
      </c>
    </row>
    <row r="804">
      <c r="B804" t="s">
        <v>898</v>
      </c>
      <c r="C804" t="s">
        <v>898</v>
      </c>
      <c r="D804" t="s">
        <v>898</v>
      </c>
      <c r="E804" t="s">
        <v>898</v>
      </c>
      <c r="F804" t="s">
        <v>898</v>
      </c>
      <c r="G804" t="s">
        <v>67</v>
      </c>
      <c r="H804" t="s">
        <v>898</v>
      </c>
    </row>
    <row r="805">
      <c r="B805" t="s">
        <v>898</v>
      </c>
      <c r="C805" t="s">
        <v>898</v>
      </c>
      <c r="D805" t="s">
        <v>898</v>
      </c>
      <c r="E805" t="s">
        <v>898</v>
      </c>
      <c r="F805" t="s">
        <v>898</v>
      </c>
      <c r="G805" t="s">
        <v>67</v>
      </c>
      <c r="H805" t="s">
        <v>898</v>
      </c>
    </row>
    <row r="806">
      <c r="B806" t="s">
        <v>898</v>
      </c>
      <c r="C806" t="s">
        <v>898</v>
      </c>
      <c r="D806" t="s">
        <v>898</v>
      </c>
      <c r="E806" t="s">
        <v>898</v>
      </c>
      <c r="F806" t="s">
        <v>898</v>
      </c>
      <c r="G806" t="s">
        <v>67</v>
      </c>
      <c r="H806" t="s">
        <v>898</v>
      </c>
    </row>
    <row r="807">
      <c r="B807" t="s">
        <v>898</v>
      </c>
      <c r="C807" t="s">
        <v>898</v>
      </c>
      <c r="D807" t="s">
        <v>898</v>
      </c>
      <c r="E807" t="s">
        <v>898</v>
      </c>
      <c r="F807" t="s">
        <v>898</v>
      </c>
      <c r="G807" t="s">
        <v>67</v>
      </c>
      <c r="H807" t="s">
        <v>898</v>
      </c>
    </row>
    <row r="808">
      <c r="B808" t="s">
        <v>898</v>
      </c>
      <c r="C808" t="s">
        <v>898</v>
      </c>
      <c r="D808" t="s">
        <v>898</v>
      </c>
      <c r="E808" t="s">
        <v>898</v>
      </c>
      <c r="F808" t="s">
        <v>898</v>
      </c>
      <c r="G808" t="s">
        <v>67</v>
      </c>
      <c r="H808" t="s">
        <v>898</v>
      </c>
    </row>
    <row r="809">
      <c r="B809" t="s">
        <v>898</v>
      </c>
      <c r="C809" t="s">
        <v>898</v>
      </c>
      <c r="D809" t="s">
        <v>898</v>
      </c>
      <c r="E809" t="s">
        <v>898</v>
      </c>
      <c r="F809" t="s">
        <v>898</v>
      </c>
      <c r="G809" t="s">
        <v>67</v>
      </c>
      <c r="H809" t="s">
        <v>898</v>
      </c>
    </row>
    <row r="810">
      <c r="B810" t="s">
        <v>898</v>
      </c>
      <c r="C810" t="s">
        <v>898</v>
      </c>
      <c r="D810" t="s">
        <v>898</v>
      </c>
      <c r="E810" t="s">
        <v>898</v>
      </c>
      <c r="F810" t="s">
        <v>898</v>
      </c>
      <c r="G810" t="s">
        <v>67</v>
      </c>
      <c r="H810" t="s">
        <v>898</v>
      </c>
    </row>
    <row r="811">
      <c r="B811" t="s">
        <v>898</v>
      </c>
      <c r="C811" t="s">
        <v>898</v>
      </c>
      <c r="D811" t="s">
        <v>898</v>
      </c>
      <c r="E811" t="s">
        <v>898</v>
      </c>
      <c r="F811" t="s">
        <v>898</v>
      </c>
      <c r="G811" t="s">
        <v>67</v>
      </c>
      <c r="H811" t="s">
        <v>898</v>
      </c>
    </row>
    <row r="812">
      <c r="B812" t="s">
        <v>898</v>
      </c>
      <c r="C812" t="s">
        <v>898</v>
      </c>
      <c r="D812" t="s">
        <v>898</v>
      </c>
      <c r="E812" t="s">
        <v>898</v>
      </c>
      <c r="F812" t="s">
        <v>898</v>
      </c>
      <c r="G812" t="s">
        <v>67</v>
      </c>
      <c r="H812" t="s">
        <v>898</v>
      </c>
    </row>
    <row r="813">
      <c r="B813" t="s">
        <v>898</v>
      </c>
      <c r="C813" t="s">
        <v>898</v>
      </c>
      <c r="D813" t="s">
        <v>898</v>
      </c>
      <c r="E813" t="s">
        <v>898</v>
      </c>
      <c r="F813" t="s">
        <v>898</v>
      </c>
      <c r="G813" t="s">
        <v>67</v>
      </c>
      <c r="H813" t="s">
        <v>898</v>
      </c>
    </row>
    <row r="814">
      <c r="B814" t="s">
        <v>898</v>
      </c>
      <c r="C814" t="s">
        <v>898</v>
      </c>
      <c r="D814" t="s">
        <v>898</v>
      </c>
      <c r="E814" t="s">
        <v>898</v>
      </c>
      <c r="F814" t="s">
        <v>898</v>
      </c>
      <c r="G814" t="s">
        <v>67</v>
      </c>
      <c r="H814" t="s">
        <v>898</v>
      </c>
    </row>
    <row r="815">
      <c r="B815" t="s">
        <v>898</v>
      </c>
      <c r="C815" t="s">
        <v>898</v>
      </c>
      <c r="D815" t="s">
        <v>898</v>
      </c>
      <c r="E815" t="s">
        <v>898</v>
      </c>
      <c r="F815" t="s">
        <v>898</v>
      </c>
      <c r="G815" t="s">
        <v>67</v>
      </c>
      <c r="H815" t="s">
        <v>898</v>
      </c>
    </row>
    <row r="816">
      <c r="B816" t="s">
        <v>898</v>
      </c>
      <c r="C816" t="s">
        <v>898</v>
      </c>
      <c r="D816" t="s">
        <v>898</v>
      </c>
      <c r="E816" t="s">
        <v>898</v>
      </c>
      <c r="F816" t="s">
        <v>898</v>
      </c>
      <c r="G816" t="s">
        <v>67</v>
      </c>
      <c r="H816" t="s">
        <v>898</v>
      </c>
    </row>
    <row r="817">
      <c r="B817" t="s">
        <v>898</v>
      </c>
      <c r="C817" t="s">
        <v>898</v>
      </c>
      <c r="D817" t="s">
        <v>898</v>
      </c>
      <c r="E817" t="s">
        <v>898</v>
      </c>
      <c r="F817" t="s">
        <v>898</v>
      </c>
      <c r="G817" t="s">
        <v>67</v>
      </c>
      <c r="H817" t="s">
        <v>898</v>
      </c>
    </row>
    <row r="818">
      <c r="B818" t="s">
        <v>898</v>
      </c>
      <c r="C818" t="s">
        <v>898</v>
      </c>
      <c r="D818" t="s">
        <v>898</v>
      </c>
      <c r="E818" t="s">
        <v>898</v>
      </c>
      <c r="F818" t="s">
        <v>898</v>
      </c>
      <c r="G818" t="s">
        <v>67</v>
      </c>
      <c r="H818" t="s">
        <v>898</v>
      </c>
    </row>
    <row r="819">
      <c r="B819" t="s">
        <v>898</v>
      </c>
      <c r="C819" t="s">
        <v>898</v>
      </c>
      <c r="D819" t="s">
        <v>898</v>
      </c>
      <c r="E819" t="s">
        <v>898</v>
      </c>
      <c r="F819" t="s">
        <v>898</v>
      </c>
      <c r="G819" t="s">
        <v>67</v>
      </c>
      <c r="H819" t="s">
        <v>898</v>
      </c>
    </row>
    <row r="820">
      <c r="B820" t="s">
        <v>898</v>
      </c>
      <c r="C820" t="s">
        <v>898</v>
      </c>
      <c r="D820" t="s">
        <v>898</v>
      </c>
      <c r="E820" t="s">
        <v>898</v>
      </c>
      <c r="F820" t="s">
        <v>898</v>
      </c>
      <c r="G820" t="s">
        <v>67</v>
      </c>
      <c r="H820" t="s">
        <v>898</v>
      </c>
    </row>
    <row r="821">
      <c r="B821" t="s">
        <v>898</v>
      </c>
      <c r="C821" t="s">
        <v>898</v>
      </c>
      <c r="D821" t="s">
        <v>898</v>
      </c>
      <c r="E821" t="s">
        <v>898</v>
      </c>
      <c r="F821" t="s">
        <v>898</v>
      </c>
      <c r="G821" t="s">
        <v>67</v>
      </c>
      <c r="H821" t="s">
        <v>898</v>
      </c>
    </row>
    <row r="822">
      <c r="B822" t="s">
        <v>898</v>
      </c>
      <c r="C822" t="s">
        <v>898</v>
      </c>
      <c r="D822" t="s">
        <v>898</v>
      </c>
      <c r="E822" t="s">
        <v>898</v>
      </c>
      <c r="F822" t="s">
        <v>898</v>
      </c>
      <c r="G822" t="s">
        <v>67</v>
      </c>
      <c r="H822" t="s">
        <v>898</v>
      </c>
    </row>
    <row r="823">
      <c r="B823" t="s">
        <v>898</v>
      </c>
      <c r="C823" t="s">
        <v>898</v>
      </c>
      <c r="D823" t="s">
        <v>898</v>
      </c>
      <c r="E823" t="s">
        <v>898</v>
      </c>
      <c r="F823" t="s">
        <v>898</v>
      </c>
      <c r="G823" t="s">
        <v>67</v>
      </c>
      <c r="H823" t="s">
        <v>898</v>
      </c>
    </row>
    <row r="824">
      <c r="B824" t="s">
        <v>898</v>
      </c>
      <c r="C824" t="s">
        <v>898</v>
      </c>
      <c r="D824" t="s">
        <v>898</v>
      </c>
      <c r="E824" t="s">
        <v>898</v>
      </c>
      <c r="F824" t="s">
        <v>898</v>
      </c>
      <c r="G824" t="s">
        <v>67</v>
      </c>
      <c r="H824" t="s">
        <v>898</v>
      </c>
    </row>
    <row r="825">
      <c r="B825" t="s">
        <v>898</v>
      </c>
      <c r="C825" t="s">
        <v>898</v>
      </c>
      <c r="D825" t="s">
        <v>898</v>
      </c>
      <c r="E825" t="s">
        <v>898</v>
      </c>
      <c r="F825" t="s">
        <v>898</v>
      </c>
      <c r="G825" t="s">
        <v>67</v>
      </c>
      <c r="H825" t="s">
        <v>898</v>
      </c>
    </row>
    <row r="826">
      <c r="B826" t="s">
        <v>898</v>
      </c>
      <c r="C826" t="s">
        <v>898</v>
      </c>
      <c r="D826" t="s">
        <v>898</v>
      </c>
      <c r="E826" t="s">
        <v>898</v>
      </c>
      <c r="F826" t="s">
        <v>898</v>
      </c>
      <c r="G826" t="s">
        <v>67</v>
      </c>
      <c r="H826" t="s">
        <v>898</v>
      </c>
    </row>
    <row r="827">
      <c r="B827" t="s">
        <v>898</v>
      </c>
      <c r="C827" t="s">
        <v>898</v>
      </c>
      <c r="D827" t="s">
        <v>898</v>
      </c>
      <c r="E827" t="s">
        <v>898</v>
      </c>
      <c r="F827" t="s">
        <v>898</v>
      </c>
      <c r="G827" t="s">
        <v>67</v>
      </c>
      <c r="H827" t="s">
        <v>898</v>
      </c>
    </row>
    <row r="828">
      <c r="B828" t="s">
        <v>898</v>
      </c>
      <c r="C828" t="s">
        <v>898</v>
      </c>
      <c r="D828" t="s">
        <v>898</v>
      </c>
      <c r="E828" t="s">
        <v>898</v>
      </c>
      <c r="F828" t="s">
        <v>898</v>
      </c>
      <c r="G828" t="s">
        <v>67</v>
      </c>
      <c r="H828" t="s">
        <v>898</v>
      </c>
    </row>
    <row r="829">
      <c r="B829" t="s">
        <v>898</v>
      </c>
      <c r="C829" t="s">
        <v>898</v>
      </c>
      <c r="D829" t="s">
        <v>898</v>
      </c>
      <c r="E829" t="s">
        <v>898</v>
      </c>
      <c r="F829" t="s">
        <v>898</v>
      </c>
      <c r="G829" t="s">
        <v>67</v>
      </c>
      <c r="H829" t="s">
        <v>898</v>
      </c>
    </row>
    <row r="830">
      <c r="B830" t="s">
        <v>898</v>
      </c>
      <c r="C830" t="s">
        <v>898</v>
      </c>
      <c r="D830" t="s">
        <v>898</v>
      </c>
      <c r="E830" t="s">
        <v>898</v>
      </c>
      <c r="F830" t="s">
        <v>898</v>
      </c>
      <c r="G830" t="s">
        <v>67</v>
      </c>
      <c r="H830" t="s">
        <v>898</v>
      </c>
    </row>
    <row r="831">
      <c r="B831" t="s">
        <v>898</v>
      </c>
      <c r="C831" t="s">
        <v>898</v>
      </c>
      <c r="D831" t="s">
        <v>898</v>
      </c>
      <c r="E831" t="s">
        <v>898</v>
      </c>
      <c r="F831" t="s">
        <v>898</v>
      </c>
      <c r="G831" t="s">
        <v>67</v>
      </c>
      <c r="H831" t="s">
        <v>898</v>
      </c>
    </row>
    <row r="832">
      <c r="B832" t="s">
        <v>898</v>
      </c>
      <c r="C832" t="s">
        <v>898</v>
      </c>
      <c r="D832" t="s">
        <v>898</v>
      </c>
      <c r="E832" t="s">
        <v>898</v>
      </c>
      <c r="F832" t="s">
        <v>898</v>
      </c>
      <c r="G832" t="s">
        <v>67</v>
      </c>
      <c r="H832" t="s">
        <v>898</v>
      </c>
    </row>
    <row r="833">
      <c r="B833" t="s">
        <v>898</v>
      </c>
      <c r="C833" t="s">
        <v>898</v>
      </c>
      <c r="D833" t="s">
        <v>898</v>
      </c>
      <c r="E833" t="s">
        <v>898</v>
      </c>
      <c r="F833" t="s">
        <v>898</v>
      </c>
      <c r="G833" t="s">
        <v>67</v>
      </c>
      <c r="H833" t="s">
        <v>898</v>
      </c>
    </row>
    <row r="834">
      <c r="B834" t="s">
        <v>898</v>
      </c>
      <c r="C834" t="s">
        <v>898</v>
      </c>
      <c r="D834" t="s">
        <v>898</v>
      </c>
      <c r="E834" t="s">
        <v>898</v>
      </c>
      <c r="F834" t="s">
        <v>898</v>
      </c>
      <c r="G834" t="s">
        <v>67</v>
      </c>
      <c r="H834" t="s">
        <v>898</v>
      </c>
    </row>
    <row r="835">
      <c r="B835" t="s">
        <v>898</v>
      </c>
      <c r="C835" t="s">
        <v>898</v>
      </c>
      <c r="D835" t="s">
        <v>898</v>
      </c>
      <c r="E835" t="s">
        <v>898</v>
      </c>
      <c r="F835" t="s">
        <v>898</v>
      </c>
      <c r="G835" t="s">
        <v>67</v>
      </c>
      <c r="H835" t="s">
        <v>898</v>
      </c>
    </row>
    <row r="836">
      <c r="B836" t="s">
        <v>898</v>
      </c>
      <c r="C836" t="s">
        <v>898</v>
      </c>
      <c r="D836" t="s">
        <v>898</v>
      </c>
      <c r="E836" t="s">
        <v>898</v>
      </c>
      <c r="F836" t="s">
        <v>898</v>
      </c>
      <c r="G836" t="s">
        <v>67</v>
      </c>
      <c r="H836" t="s">
        <v>898</v>
      </c>
    </row>
    <row r="837">
      <c r="B837" t="s">
        <v>898</v>
      </c>
      <c r="C837" t="s">
        <v>898</v>
      </c>
      <c r="D837" t="s">
        <v>898</v>
      </c>
      <c r="E837" t="s">
        <v>898</v>
      </c>
      <c r="F837" t="s">
        <v>898</v>
      </c>
      <c r="G837" t="s">
        <v>67</v>
      </c>
      <c r="H837" t="s">
        <v>898</v>
      </c>
    </row>
    <row r="838">
      <c r="B838" t="s">
        <v>898</v>
      </c>
      <c r="C838" t="s">
        <v>898</v>
      </c>
      <c r="D838" t="s">
        <v>898</v>
      </c>
      <c r="E838" t="s">
        <v>898</v>
      </c>
      <c r="F838" t="s">
        <v>898</v>
      </c>
      <c r="G838" t="s">
        <v>67</v>
      </c>
      <c r="H838" t="s">
        <v>898</v>
      </c>
    </row>
    <row r="839">
      <c r="B839" t="s">
        <v>898</v>
      </c>
      <c r="C839" t="s">
        <v>898</v>
      </c>
      <c r="D839" t="s">
        <v>898</v>
      </c>
      <c r="E839" t="s">
        <v>898</v>
      </c>
      <c r="F839" t="s">
        <v>898</v>
      </c>
      <c r="G839" t="s">
        <v>67</v>
      </c>
      <c r="H839" t="s">
        <v>898</v>
      </c>
    </row>
    <row r="840">
      <c r="B840" t="s">
        <v>898</v>
      </c>
      <c r="C840" t="s">
        <v>898</v>
      </c>
      <c r="D840" t="s">
        <v>898</v>
      </c>
      <c r="E840" t="s">
        <v>898</v>
      </c>
      <c r="F840" t="s">
        <v>898</v>
      </c>
      <c r="G840" t="s">
        <v>67</v>
      </c>
      <c r="H840" t="s">
        <v>898</v>
      </c>
    </row>
    <row r="841">
      <c r="B841" t="s">
        <v>898</v>
      </c>
      <c r="C841" t="s">
        <v>898</v>
      </c>
      <c r="D841" t="s">
        <v>898</v>
      </c>
      <c r="E841" t="s">
        <v>898</v>
      </c>
      <c r="F841" t="s">
        <v>898</v>
      </c>
      <c r="G841" t="s">
        <v>67</v>
      </c>
      <c r="H841" t="s">
        <v>898</v>
      </c>
    </row>
    <row r="842">
      <c r="B842" t="s">
        <v>898</v>
      </c>
      <c r="C842" t="s">
        <v>898</v>
      </c>
      <c r="D842" t="s">
        <v>898</v>
      </c>
      <c r="E842" t="s">
        <v>898</v>
      </c>
      <c r="F842" t="s">
        <v>898</v>
      </c>
      <c r="G842" t="s">
        <v>67</v>
      </c>
      <c r="H842" t="s">
        <v>898</v>
      </c>
    </row>
    <row r="843">
      <c r="B843" t="s">
        <v>898</v>
      </c>
      <c r="C843" t="s">
        <v>898</v>
      </c>
      <c r="D843" t="s">
        <v>898</v>
      </c>
      <c r="E843" t="s">
        <v>898</v>
      </c>
      <c r="F843" t="s">
        <v>898</v>
      </c>
      <c r="G843" t="s">
        <v>67</v>
      </c>
      <c r="H843" t="s">
        <v>898</v>
      </c>
    </row>
    <row r="844">
      <c r="B844" t="s">
        <v>898</v>
      </c>
      <c r="C844" t="s">
        <v>898</v>
      </c>
      <c r="D844" t="s">
        <v>898</v>
      </c>
      <c r="E844" t="s">
        <v>898</v>
      </c>
      <c r="F844" t="s">
        <v>898</v>
      </c>
      <c r="G844" t="s">
        <v>67</v>
      </c>
      <c r="H844" t="s">
        <v>898</v>
      </c>
    </row>
    <row r="845">
      <c r="B845" t="s">
        <v>898</v>
      </c>
      <c r="C845" t="s">
        <v>898</v>
      </c>
      <c r="D845" t="s">
        <v>898</v>
      </c>
      <c r="E845" t="s">
        <v>898</v>
      </c>
      <c r="F845" t="s">
        <v>898</v>
      </c>
      <c r="G845" t="s">
        <v>67</v>
      </c>
      <c r="H845" t="s">
        <v>898</v>
      </c>
    </row>
    <row r="846">
      <c r="B846" t="s">
        <v>898</v>
      </c>
      <c r="C846" t="s">
        <v>898</v>
      </c>
      <c r="D846" t="s">
        <v>898</v>
      </c>
      <c r="E846" t="s">
        <v>898</v>
      </c>
      <c r="F846" t="s">
        <v>898</v>
      </c>
      <c r="G846" t="s">
        <v>67</v>
      </c>
      <c r="H846" t="s">
        <v>898</v>
      </c>
    </row>
    <row r="847">
      <c r="B847" t="s">
        <v>898</v>
      </c>
      <c r="C847" t="s">
        <v>898</v>
      </c>
      <c r="D847" t="s">
        <v>898</v>
      </c>
      <c r="E847" t="s">
        <v>898</v>
      </c>
      <c r="F847" t="s">
        <v>898</v>
      </c>
      <c r="G847" t="s">
        <v>67</v>
      </c>
      <c r="H847" t="s">
        <v>898</v>
      </c>
    </row>
    <row r="848">
      <c r="B848" t="s">
        <v>898</v>
      </c>
      <c r="C848" t="s">
        <v>898</v>
      </c>
      <c r="D848" t="s">
        <v>898</v>
      </c>
      <c r="E848" t="s">
        <v>898</v>
      </c>
      <c r="F848" t="s">
        <v>898</v>
      </c>
      <c r="G848" t="s">
        <v>67</v>
      </c>
      <c r="H848" t="s">
        <v>898</v>
      </c>
    </row>
    <row r="849">
      <c r="B849" t="s">
        <v>898</v>
      </c>
      <c r="C849" t="s">
        <v>898</v>
      </c>
      <c r="D849" t="s">
        <v>898</v>
      </c>
      <c r="E849" t="s">
        <v>898</v>
      </c>
      <c r="F849" t="s">
        <v>898</v>
      </c>
      <c r="G849" t="s">
        <v>67</v>
      </c>
      <c r="H849" t="s">
        <v>898</v>
      </c>
    </row>
    <row r="850">
      <c r="B850" t="s">
        <v>898</v>
      </c>
      <c r="C850" t="s">
        <v>898</v>
      </c>
      <c r="D850" t="s">
        <v>898</v>
      </c>
      <c r="E850" t="s">
        <v>898</v>
      </c>
      <c r="F850" t="s">
        <v>898</v>
      </c>
      <c r="G850" t="s">
        <v>67</v>
      </c>
      <c r="H850" t="s">
        <v>898</v>
      </c>
    </row>
    <row r="851">
      <c r="B851" t="s">
        <v>898</v>
      </c>
      <c r="C851" t="s">
        <v>898</v>
      </c>
      <c r="D851" t="s">
        <v>898</v>
      </c>
      <c r="E851" t="s">
        <v>898</v>
      </c>
      <c r="F851" t="s">
        <v>898</v>
      </c>
      <c r="G851" t="s">
        <v>67</v>
      </c>
      <c r="H851" t="s">
        <v>898</v>
      </c>
    </row>
    <row r="852">
      <c r="B852" t="s">
        <v>898</v>
      </c>
      <c r="C852" t="s">
        <v>898</v>
      </c>
      <c r="D852" t="s">
        <v>898</v>
      </c>
      <c r="E852" t="s">
        <v>898</v>
      </c>
      <c r="F852" t="s">
        <v>898</v>
      </c>
      <c r="G852" t="s">
        <v>67</v>
      </c>
      <c r="H852" t="s">
        <v>898</v>
      </c>
    </row>
    <row r="853">
      <c r="B853" t="s">
        <v>898</v>
      </c>
      <c r="C853" t="s">
        <v>898</v>
      </c>
      <c r="D853" t="s">
        <v>898</v>
      </c>
      <c r="E853" t="s">
        <v>898</v>
      </c>
      <c r="F853" t="s">
        <v>898</v>
      </c>
      <c r="G853" t="s">
        <v>67</v>
      </c>
      <c r="H853" t="s">
        <v>898</v>
      </c>
    </row>
    <row r="854">
      <c r="B854" t="s">
        <v>898</v>
      </c>
      <c r="C854" t="s">
        <v>898</v>
      </c>
      <c r="D854" t="s">
        <v>898</v>
      </c>
      <c r="E854" t="s">
        <v>898</v>
      </c>
      <c r="F854" t="s">
        <v>898</v>
      </c>
      <c r="G854" t="s">
        <v>67</v>
      </c>
      <c r="H854" t="s">
        <v>898</v>
      </c>
    </row>
    <row r="855">
      <c r="B855" t="s">
        <v>898</v>
      </c>
      <c r="C855" t="s">
        <v>898</v>
      </c>
      <c r="D855" t="s">
        <v>898</v>
      </c>
      <c r="E855" t="s">
        <v>898</v>
      </c>
      <c r="F855" t="s">
        <v>898</v>
      </c>
      <c r="G855" t="s">
        <v>67</v>
      </c>
      <c r="H855" t="s">
        <v>898</v>
      </c>
    </row>
    <row r="856">
      <c r="B856" t="s">
        <v>898</v>
      </c>
      <c r="C856" t="s">
        <v>898</v>
      </c>
      <c r="D856" t="s">
        <v>898</v>
      </c>
      <c r="E856" t="s">
        <v>898</v>
      </c>
      <c r="F856" t="s">
        <v>898</v>
      </c>
      <c r="G856" t="s">
        <v>67</v>
      </c>
      <c r="H856" t="s">
        <v>898</v>
      </c>
    </row>
    <row r="857">
      <c r="B857" t="s">
        <v>898</v>
      </c>
      <c r="C857" t="s">
        <v>898</v>
      </c>
      <c r="D857" t="s">
        <v>898</v>
      </c>
      <c r="E857" t="s">
        <v>898</v>
      </c>
      <c r="F857" t="s">
        <v>898</v>
      </c>
      <c r="G857" t="s">
        <v>67</v>
      </c>
      <c r="H857" t="s">
        <v>898</v>
      </c>
    </row>
    <row r="858">
      <c r="B858" t="s">
        <v>898</v>
      </c>
      <c r="C858" t="s">
        <v>898</v>
      </c>
      <c r="D858" t="s">
        <v>898</v>
      </c>
      <c r="E858" t="s">
        <v>898</v>
      </c>
      <c r="F858" t="s">
        <v>898</v>
      </c>
      <c r="G858" t="s">
        <v>67</v>
      </c>
      <c r="H858" t="s">
        <v>898</v>
      </c>
    </row>
    <row r="859">
      <c r="B859" t="s">
        <v>898</v>
      </c>
      <c r="C859" t="s">
        <v>898</v>
      </c>
      <c r="D859" t="s">
        <v>898</v>
      </c>
      <c r="E859" t="s">
        <v>898</v>
      </c>
      <c r="F859" t="s">
        <v>898</v>
      </c>
      <c r="G859" t="s">
        <v>67</v>
      </c>
      <c r="H859" t="s">
        <v>898</v>
      </c>
    </row>
    <row r="860">
      <c r="B860" t="s">
        <v>898</v>
      </c>
      <c r="C860" t="s">
        <v>898</v>
      </c>
      <c r="D860" t="s">
        <v>898</v>
      </c>
      <c r="E860" t="s">
        <v>898</v>
      </c>
      <c r="F860" t="s">
        <v>898</v>
      </c>
      <c r="G860" t="s">
        <v>67</v>
      </c>
      <c r="H860" t="s">
        <v>898</v>
      </c>
    </row>
    <row r="861">
      <c r="B861" t="s">
        <v>898</v>
      </c>
      <c r="C861" t="s">
        <v>898</v>
      </c>
      <c r="D861" t="s">
        <v>898</v>
      </c>
      <c r="E861" t="s">
        <v>898</v>
      </c>
      <c r="F861" t="s">
        <v>898</v>
      </c>
      <c r="G861" t="s">
        <v>67</v>
      </c>
      <c r="H861" t="s">
        <v>898</v>
      </c>
    </row>
    <row r="862">
      <c r="B862" t="s">
        <v>898</v>
      </c>
      <c r="C862" t="s">
        <v>898</v>
      </c>
      <c r="D862" t="s">
        <v>898</v>
      </c>
      <c r="E862" t="s">
        <v>898</v>
      </c>
      <c r="F862" t="s">
        <v>898</v>
      </c>
      <c r="G862" t="s">
        <v>67</v>
      </c>
      <c r="H862" t="s">
        <v>898</v>
      </c>
    </row>
    <row r="863">
      <c r="B863" t="s">
        <v>898</v>
      </c>
      <c r="C863" t="s">
        <v>898</v>
      </c>
      <c r="D863" t="s">
        <v>898</v>
      </c>
      <c r="E863" t="s">
        <v>898</v>
      </c>
      <c r="F863" t="s">
        <v>898</v>
      </c>
      <c r="G863" t="s">
        <v>67</v>
      </c>
      <c r="H863" t="s">
        <v>898</v>
      </c>
    </row>
    <row r="864">
      <c r="B864" t="s">
        <v>898</v>
      </c>
      <c r="C864" t="s">
        <v>898</v>
      </c>
      <c r="D864" t="s">
        <v>898</v>
      </c>
      <c r="E864" t="s">
        <v>898</v>
      </c>
      <c r="F864" t="s">
        <v>898</v>
      </c>
      <c r="G864" t="s">
        <v>67</v>
      </c>
      <c r="H864" t="s">
        <v>898</v>
      </c>
    </row>
    <row r="865">
      <c r="B865" t="s">
        <v>898</v>
      </c>
      <c r="C865" t="s">
        <v>898</v>
      </c>
      <c r="D865" t="s">
        <v>898</v>
      </c>
      <c r="E865" t="s">
        <v>898</v>
      </c>
      <c r="F865" t="s">
        <v>898</v>
      </c>
      <c r="G865" t="s">
        <v>67</v>
      </c>
      <c r="H865" t="s">
        <v>898</v>
      </c>
    </row>
    <row r="866">
      <c r="B866" t="s">
        <v>898</v>
      </c>
      <c r="C866" t="s">
        <v>898</v>
      </c>
      <c r="D866" t="s">
        <v>898</v>
      </c>
      <c r="E866" t="s">
        <v>898</v>
      </c>
      <c r="F866" t="s">
        <v>898</v>
      </c>
      <c r="G866" t="s">
        <v>67</v>
      </c>
      <c r="H866" t="s">
        <v>898</v>
      </c>
    </row>
    <row r="867">
      <c r="B867" t="s">
        <v>898</v>
      </c>
      <c r="C867" t="s">
        <v>898</v>
      </c>
      <c r="D867" t="s">
        <v>898</v>
      </c>
      <c r="E867" t="s">
        <v>898</v>
      </c>
      <c r="F867" t="s">
        <v>898</v>
      </c>
      <c r="G867" t="s">
        <v>67</v>
      </c>
      <c r="H867" t="s">
        <v>898</v>
      </c>
    </row>
    <row r="868">
      <c r="B868" t="s">
        <v>898</v>
      </c>
      <c r="C868" t="s">
        <v>898</v>
      </c>
      <c r="D868" t="s">
        <v>898</v>
      </c>
      <c r="E868" t="s">
        <v>898</v>
      </c>
      <c r="F868" t="s">
        <v>898</v>
      </c>
      <c r="G868" t="s">
        <v>67</v>
      </c>
      <c r="H868" t="s">
        <v>898</v>
      </c>
    </row>
    <row r="869">
      <c r="B869" t="s">
        <v>898</v>
      </c>
      <c r="C869" t="s">
        <v>898</v>
      </c>
      <c r="D869" t="s">
        <v>898</v>
      </c>
      <c r="E869" t="s">
        <v>898</v>
      </c>
      <c r="F869" t="s">
        <v>898</v>
      </c>
      <c r="G869" t="s">
        <v>67</v>
      </c>
      <c r="H869" t="s">
        <v>898</v>
      </c>
    </row>
    <row r="870">
      <c r="B870" t="s">
        <v>898</v>
      </c>
      <c r="C870" t="s">
        <v>898</v>
      </c>
      <c r="D870" t="s">
        <v>898</v>
      </c>
      <c r="E870" t="s">
        <v>898</v>
      </c>
      <c r="F870" t="s">
        <v>898</v>
      </c>
      <c r="G870" t="s">
        <v>67</v>
      </c>
      <c r="H870" t="s">
        <v>898</v>
      </c>
    </row>
    <row r="871">
      <c r="B871" t="s">
        <v>898</v>
      </c>
      <c r="C871" t="s">
        <v>898</v>
      </c>
      <c r="D871" t="s">
        <v>898</v>
      </c>
      <c r="E871" t="s">
        <v>898</v>
      </c>
      <c r="F871" t="s">
        <v>898</v>
      </c>
      <c r="G871" t="s">
        <v>67</v>
      </c>
      <c r="H871" t="s">
        <v>898</v>
      </c>
    </row>
    <row r="872">
      <c r="B872" t="s">
        <v>898</v>
      </c>
      <c r="C872" t="s">
        <v>898</v>
      </c>
      <c r="D872" t="s">
        <v>898</v>
      </c>
      <c r="E872" t="s">
        <v>898</v>
      </c>
      <c r="F872" t="s">
        <v>898</v>
      </c>
      <c r="G872" t="s">
        <v>67</v>
      </c>
      <c r="H872" t="s">
        <v>898</v>
      </c>
    </row>
    <row r="873">
      <c r="B873" t="s">
        <v>898</v>
      </c>
      <c r="C873" t="s">
        <v>898</v>
      </c>
      <c r="D873" t="s">
        <v>898</v>
      </c>
      <c r="E873" t="s">
        <v>898</v>
      </c>
      <c r="F873" t="s">
        <v>898</v>
      </c>
      <c r="G873" t="s">
        <v>67</v>
      </c>
      <c r="H873" t="s">
        <v>898</v>
      </c>
    </row>
    <row r="874">
      <c r="B874" t="s">
        <v>898</v>
      </c>
      <c r="C874" t="s">
        <v>898</v>
      </c>
      <c r="D874" t="s">
        <v>898</v>
      </c>
      <c r="E874" t="s">
        <v>898</v>
      </c>
      <c r="F874" t="s">
        <v>898</v>
      </c>
      <c r="G874" t="s">
        <v>67</v>
      </c>
      <c r="H874" t="s">
        <v>898</v>
      </c>
    </row>
    <row r="875">
      <c r="B875" t="s">
        <v>898</v>
      </c>
      <c r="C875" t="s">
        <v>898</v>
      </c>
      <c r="D875" t="s">
        <v>898</v>
      </c>
      <c r="E875" t="s">
        <v>898</v>
      </c>
      <c r="F875" t="s">
        <v>898</v>
      </c>
      <c r="G875" t="s">
        <v>67</v>
      </c>
      <c r="H875" t="s">
        <v>898</v>
      </c>
    </row>
    <row r="876">
      <c r="B876" t="s">
        <v>898</v>
      </c>
      <c r="C876" t="s">
        <v>898</v>
      </c>
      <c r="D876" t="s">
        <v>898</v>
      </c>
      <c r="E876" t="s">
        <v>898</v>
      </c>
      <c r="F876" t="s">
        <v>898</v>
      </c>
      <c r="G876" t="s">
        <v>67</v>
      </c>
      <c r="H876" t="s">
        <v>898</v>
      </c>
    </row>
    <row r="877">
      <c r="B877" t="s">
        <v>898</v>
      </c>
      <c r="C877" t="s">
        <v>898</v>
      </c>
      <c r="D877" t="s">
        <v>898</v>
      </c>
      <c r="E877" t="s">
        <v>898</v>
      </c>
      <c r="F877" t="s">
        <v>898</v>
      </c>
      <c r="G877" t="s">
        <v>67</v>
      </c>
      <c r="H877" t="s">
        <v>898</v>
      </c>
    </row>
    <row r="878">
      <c r="B878" t="s">
        <v>898</v>
      </c>
      <c r="C878" t="s">
        <v>898</v>
      </c>
      <c r="D878" t="s">
        <v>898</v>
      </c>
      <c r="E878" t="s">
        <v>898</v>
      </c>
      <c r="F878" t="s">
        <v>898</v>
      </c>
      <c r="G878" t="s">
        <v>67</v>
      </c>
      <c r="H878" t="s">
        <v>898</v>
      </c>
    </row>
    <row r="879">
      <c r="B879" t="s">
        <v>898</v>
      </c>
      <c r="C879" t="s">
        <v>898</v>
      </c>
      <c r="D879" t="s">
        <v>898</v>
      </c>
      <c r="E879" t="s">
        <v>898</v>
      </c>
      <c r="F879" t="s">
        <v>898</v>
      </c>
      <c r="G879" t="s">
        <v>67</v>
      </c>
      <c r="H879" t="s">
        <v>898</v>
      </c>
    </row>
    <row r="880">
      <c r="B880" t="s">
        <v>898</v>
      </c>
      <c r="C880" t="s">
        <v>898</v>
      </c>
      <c r="D880" t="s">
        <v>898</v>
      </c>
      <c r="E880" t="s">
        <v>898</v>
      </c>
      <c r="F880" t="s">
        <v>898</v>
      </c>
      <c r="G880" t="s">
        <v>67</v>
      </c>
      <c r="H880" t="s">
        <v>898</v>
      </c>
    </row>
    <row r="881">
      <c r="B881" t="s">
        <v>898</v>
      </c>
      <c r="C881" t="s">
        <v>898</v>
      </c>
      <c r="D881" t="s">
        <v>898</v>
      </c>
      <c r="E881" t="s">
        <v>898</v>
      </c>
      <c r="F881" t="s">
        <v>898</v>
      </c>
      <c r="G881" t="s">
        <v>67</v>
      </c>
      <c r="H881" t="s">
        <v>898</v>
      </c>
    </row>
    <row r="882">
      <c r="B882" t="s">
        <v>898</v>
      </c>
      <c r="C882" t="s">
        <v>898</v>
      </c>
      <c r="D882" t="s">
        <v>898</v>
      </c>
      <c r="E882" t="s">
        <v>898</v>
      </c>
      <c r="F882" t="s">
        <v>898</v>
      </c>
      <c r="G882" t="s">
        <v>67</v>
      </c>
      <c r="H882" t="s">
        <v>898</v>
      </c>
    </row>
    <row r="883">
      <c r="B883" t="s">
        <v>898</v>
      </c>
      <c r="C883" t="s">
        <v>898</v>
      </c>
      <c r="D883" t="s">
        <v>898</v>
      </c>
      <c r="E883" t="s">
        <v>898</v>
      </c>
      <c r="F883" t="s">
        <v>898</v>
      </c>
      <c r="G883" t="s">
        <v>67</v>
      </c>
      <c r="H883" t="s">
        <v>898</v>
      </c>
    </row>
    <row r="884">
      <c r="B884" t="s">
        <v>898</v>
      </c>
      <c r="C884" t="s">
        <v>898</v>
      </c>
      <c r="D884" t="s">
        <v>898</v>
      </c>
      <c r="E884" t="s">
        <v>898</v>
      </c>
      <c r="F884" t="s">
        <v>898</v>
      </c>
      <c r="G884" t="s">
        <v>67</v>
      </c>
      <c r="H884" t="s">
        <v>898</v>
      </c>
    </row>
    <row r="885">
      <c r="B885" t="s">
        <v>898</v>
      </c>
      <c r="C885" t="s">
        <v>898</v>
      </c>
      <c r="D885" t="s">
        <v>898</v>
      </c>
      <c r="E885" t="s">
        <v>898</v>
      </c>
      <c r="F885" t="s">
        <v>898</v>
      </c>
      <c r="G885" t="s">
        <v>67</v>
      </c>
      <c r="H885" t="s">
        <v>898</v>
      </c>
    </row>
    <row r="886">
      <c r="B886" t="s">
        <v>898</v>
      </c>
      <c r="C886" t="s">
        <v>898</v>
      </c>
      <c r="D886" t="s">
        <v>898</v>
      </c>
      <c r="E886" t="s">
        <v>898</v>
      </c>
      <c r="F886" t="s">
        <v>898</v>
      </c>
      <c r="G886" t="s">
        <v>67</v>
      </c>
      <c r="H886" t="s">
        <v>898</v>
      </c>
    </row>
    <row r="887">
      <c r="B887" t="s">
        <v>898</v>
      </c>
      <c r="C887" t="s">
        <v>898</v>
      </c>
      <c r="D887" t="s">
        <v>898</v>
      </c>
      <c r="E887" t="s">
        <v>898</v>
      </c>
      <c r="F887" t="s">
        <v>898</v>
      </c>
      <c r="G887" t="s">
        <v>67</v>
      </c>
      <c r="H887" t="s">
        <v>898</v>
      </c>
    </row>
    <row r="888">
      <c r="B888" t="s">
        <v>898</v>
      </c>
      <c r="C888" t="s">
        <v>898</v>
      </c>
      <c r="D888" t="s">
        <v>898</v>
      </c>
      <c r="E888" t="s">
        <v>898</v>
      </c>
      <c r="F888" t="s">
        <v>898</v>
      </c>
      <c r="G888" t="s">
        <v>67</v>
      </c>
      <c r="H888" t="s">
        <v>898</v>
      </c>
    </row>
    <row r="889">
      <c r="B889" t="s">
        <v>898</v>
      </c>
      <c r="C889" t="s">
        <v>898</v>
      </c>
      <c r="D889" t="s">
        <v>898</v>
      </c>
      <c r="E889" t="s">
        <v>898</v>
      </c>
      <c r="F889" t="s">
        <v>898</v>
      </c>
      <c r="G889" t="s">
        <v>67</v>
      </c>
      <c r="H889" t="s">
        <v>898</v>
      </c>
    </row>
    <row r="890">
      <c r="B890" t="s">
        <v>898</v>
      </c>
      <c r="C890" t="s">
        <v>898</v>
      </c>
      <c r="D890" t="s">
        <v>898</v>
      </c>
      <c r="E890" t="s">
        <v>898</v>
      </c>
      <c r="F890" t="s">
        <v>898</v>
      </c>
      <c r="G890" t="s">
        <v>67</v>
      </c>
      <c r="H890" t="s">
        <v>898</v>
      </c>
    </row>
    <row r="891">
      <c r="B891" t="s">
        <v>898</v>
      </c>
      <c r="C891" t="s">
        <v>898</v>
      </c>
      <c r="D891" t="s">
        <v>898</v>
      </c>
      <c r="E891" t="s">
        <v>898</v>
      </c>
      <c r="F891" t="s">
        <v>898</v>
      </c>
      <c r="G891" t="s">
        <v>67</v>
      </c>
      <c r="H891" t="s">
        <v>898</v>
      </c>
    </row>
    <row r="892">
      <c r="B892" t="s">
        <v>898</v>
      </c>
      <c r="C892" t="s">
        <v>898</v>
      </c>
      <c r="D892" t="s">
        <v>898</v>
      </c>
      <c r="E892" t="s">
        <v>898</v>
      </c>
      <c r="F892" t="s">
        <v>898</v>
      </c>
      <c r="G892" t="s">
        <v>67</v>
      </c>
      <c r="H892" t="s">
        <v>898</v>
      </c>
    </row>
    <row r="893">
      <c r="B893" t="s">
        <v>898</v>
      </c>
      <c r="C893" t="s">
        <v>898</v>
      </c>
      <c r="D893" t="s">
        <v>898</v>
      </c>
      <c r="E893" t="s">
        <v>898</v>
      </c>
      <c r="F893" t="s">
        <v>898</v>
      </c>
      <c r="G893" t="s">
        <v>67</v>
      </c>
      <c r="H893" t="s">
        <v>898</v>
      </c>
    </row>
    <row r="894">
      <c r="B894" t="s">
        <v>898</v>
      </c>
      <c r="C894" t="s">
        <v>898</v>
      </c>
      <c r="D894" t="s">
        <v>898</v>
      </c>
      <c r="E894" t="s">
        <v>898</v>
      </c>
      <c r="F894" t="s">
        <v>898</v>
      </c>
      <c r="G894" t="s">
        <v>67</v>
      </c>
      <c r="H894" t="s">
        <v>898</v>
      </c>
    </row>
    <row r="895">
      <c r="B895" t="s">
        <v>898</v>
      </c>
      <c r="C895" t="s">
        <v>898</v>
      </c>
      <c r="D895" t="s">
        <v>898</v>
      </c>
      <c r="E895" t="s">
        <v>898</v>
      </c>
      <c r="F895" t="s">
        <v>898</v>
      </c>
      <c r="G895" t="s">
        <v>67</v>
      </c>
      <c r="H895" t="s">
        <v>898</v>
      </c>
    </row>
    <row r="896">
      <c r="B896" t="s">
        <v>898</v>
      </c>
      <c r="C896" t="s">
        <v>898</v>
      </c>
      <c r="D896" t="s">
        <v>898</v>
      </c>
      <c r="E896" t="s">
        <v>898</v>
      </c>
      <c r="F896" t="s">
        <v>898</v>
      </c>
      <c r="G896" t="s">
        <v>67</v>
      </c>
      <c r="H896" t="s">
        <v>898</v>
      </c>
    </row>
    <row r="897">
      <c r="B897" t="s">
        <v>898</v>
      </c>
      <c r="C897" t="s">
        <v>898</v>
      </c>
      <c r="D897" t="s">
        <v>898</v>
      </c>
      <c r="E897" t="s">
        <v>898</v>
      </c>
      <c r="F897" t="s">
        <v>898</v>
      </c>
      <c r="G897" t="s">
        <v>67</v>
      </c>
      <c r="H897" t="s">
        <v>898</v>
      </c>
    </row>
    <row r="898">
      <c r="B898" t="s">
        <v>898</v>
      </c>
      <c r="C898" t="s">
        <v>898</v>
      </c>
      <c r="D898" t="s">
        <v>898</v>
      </c>
      <c r="E898" t="s">
        <v>898</v>
      </c>
      <c r="F898" t="s">
        <v>898</v>
      </c>
      <c r="G898" t="s">
        <v>67</v>
      </c>
      <c r="H898" t="s">
        <v>898</v>
      </c>
    </row>
    <row r="899">
      <c r="B899" t="s">
        <v>898</v>
      </c>
      <c r="C899" t="s">
        <v>898</v>
      </c>
      <c r="D899" t="s">
        <v>898</v>
      </c>
      <c r="E899" t="s">
        <v>898</v>
      </c>
      <c r="F899" t="s">
        <v>898</v>
      </c>
      <c r="G899" t="s">
        <v>67</v>
      </c>
      <c r="H899" t="s">
        <v>898</v>
      </c>
    </row>
    <row r="900">
      <c r="B900" t="s">
        <v>898</v>
      </c>
      <c r="C900" t="s">
        <v>898</v>
      </c>
      <c r="D900" t="s">
        <v>898</v>
      </c>
      <c r="E900" t="s">
        <v>898</v>
      </c>
      <c r="F900" t="s">
        <v>898</v>
      </c>
      <c r="G900" t="s">
        <v>67</v>
      </c>
      <c r="H900" t="s">
        <v>898</v>
      </c>
    </row>
    <row r="901">
      <c r="B901" t="s">
        <v>898</v>
      </c>
      <c r="C901" t="s">
        <v>898</v>
      </c>
      <c r="D901" t="s">
        <v>898</v>
      </c>
      <c r="E901" t="s">
        <v>898</v>
      </c>
      <c r="F901" t="s">
        <v>898</v>
      </c>
      <c r="G901" t="s">
        <v>67</v>
      </c>
      <c r="H901" t="s">
        <v>898</v>
      </c>
    </row>
    <row r="902">
      <c r="B902" t="s">
        <v>898</v>
      </c>
      <c r="C902" t="s">
        <v>898</v>
      </c>
      <c r="D902" t="s">
        <v>898</v>
      </c>
      <c r="E902" t="s">
        <v>898</v>
      </c>
      <c r="F902" t="s">
        <v>898</v>
      </c>
      <c r="G902" t="s">
        <v>67</v>
      </c>
      <c r="H902" t="s">
        <v>898</v>
      </c>
    </row>
    <row r="903">
      <c r="B903" t="s">
        <v>898</v>
      </c>
      <c r="C903" t="s">
        <v>898</v>
      </c>
      <c r="D903" t="s">
        <v>898</v>
      </c>
      <c r="E903" t="s">
        <v>898</v>
      </c>
      <c r="F903" t="s">
        <v>898</v>
      </c>
      <c r="G903" t="s">
        <v>67</v>
      </c>
      <c r="H903" t="s">
        <v>898</v>
      </c>
    </row>
    <row r="904">
      <c r="B904" t="s">
        <v>898</v>
      </c>
      <c r="C904" t="s">
        <v>898</v>
      </c>
      <c r="D904" t="s">
        <v>898</v>
      </c>
      <c r="E904" t="s">
        <v>898</v>
      </c>
      <c r="F904" t="s">
        <v>898</v>
      </c>
      <c r="G904" t="s">
        <v>67</v>
      </c>
      <c r="H904" t="s">
        <v>898</v>
      </c>
    </row>
    <row r="905">
      <c r="B905" t="s">
        <v>898</v>
      </c>
      <c r="C905" t="s">
        <v>898</v>
      </c>
      <c r="D905" t="s">
        <v>898</v>
      </c>
      <c r="E905" t="s">
        <v>898</v>
      </c>
      <c r="F905" t="s">
        <v>898</v>
      </c>
      <c r="G905" t="s">
        <v>67</v>
      </c>
      <c r="H905" t="s">
        <v>898</v>
      </c>
    </row>
    <row r="906">
      <c r="B906" t="s">
        <v>898</v>
      </c>
      <c r="C906" t="s">
        <v>898</v>
      </c>
      <c r="D906" t="s">
        <v>898</v>
      </c>
      <c r="E906" t="s">
        <v>898</v>
      </c>
      <c r="F906" t="s">
        <v>898</v>
      </c>
      <c r="G906" t="s">
        <v>67</v>
      </c>
      <c r="H906" t="s">
        <v>898</v>
      </c>
    </row>
    <row r="907">
      <c r="B907" t="s">
        <v>898</v>
      </c>
      <c r="C907" t="s">
        <v>898</v>
      </c>
      <c r="D907" t="s">
        <v>898</v>
      </c>
      <c r="E907" t="s">
        <v>898</v>
      </c>
      <c r="F907" t="s">
        <v>898</v>
      </c>
      <c r="G907" t="s">
        <v>67</v>
      </c>
      <c r="H907" t="s">
        <v>898</v>
      </c>
    </row>
    <row r="908">
      <c r="B908" t="s">
        <v>898</v>
      </c>
      <c r="C908" t="s">
        <v>898</v>
      </c>
      <c r="D908" t="s">
        <v>898</v>
      </c>
      <c r="E908" t="s">
        <v>898</v>
      </c>
      <c r="F908" t="s">
        <v>898</v>
      </c>
      <c r="G908" t="s">
        <v>67</v>
      </c>
      <c r="H908" t="s">
        <v>898</v>
      </c>
    </row>
    <row r="909">
      <c r="B909" t="s">
        <v>898</v>
      </c>
      <c r="C909" t="s">
        <v>898</v>
      </c>
      <c r="D909" t="s">
        <v>898</v>
      </c>
      <c r="E909" t="s">
        <v>898</v>
      </c>
      <c r="F909" t="s">
        <v>898</v>
      </c>
      <c r="G909" t="s">
        <v>67</v>
      </c>
      <c r="H909" t="s">
        <v>898</v>
      </c>
    </row>
    <row r="910">
      <c r="B910" t="s">
        <v>898</v>
      </c>
      <c r="C910" t="s">
        <v>898</v>
      </c>
      <c r="D910" t="s">
        <v>898</v>
      </c>
      <c r="E910" t="s">
        <v>898</v>
      </c>
      <c r="F910" t="s">
        <v>898</v>
      </c>
      <c r="G910" t="s">
        <v>67</v>
      </c>
      <c r="H910" t="s">
        <v>898</v>
      </c>
    </row>
    <row r="911">
      <c r="B911" t="s">
        <v>898</v>
      </c>
      <c r="C911" t="s">
        <v>898</v>
      </c>
      <c r="D911" t="s">
        <v>898</v>
      </c>
      <c r="E911" t="s">
        <v>898</v>
      </c>
      <c r="F911" t="s">
        <v>898</v>
      </c>
      <c r="G911" t="s">
        <v>67</v>
      </c>
      <c r="H911" t="s">
        <v>898</v>
      </c>
    </row>
    <row r="912">
      <c r="B912" t="s">
        <v>898</v>
      </c>
      <c r="C912" t="s">
        <v>898</v>
      </c>
      <c r="D912" t="s">
        <v>898</v>
      </c>
      <c r="E912" t="s">
        <v>898</v>
      </c>
      <c r="F912" t="s">
        <v>898</v>
      </c>
      <c r="G912" t="s">
        <v>67</v>
      </c>
      <c r="H912" t="s">
        <v>898</v>
      </c>
    </row>
    <row r="913">
      <c r="B913" t="s">
        <v>898</v>
      </c>
      <c r="C913" t="s">
        <v>898</v>
      </c>
      <c r="D913" t="s">
        <v>898</v>
      </c>
      <c r="E913" t="s">
        <v>898</v>
      </c>
      <c r="F913" t="s">
        <v>898</v>
      </c>
      <c r="G913" t="s">
        <v>67</v>
      </c>
      <c r="H913" t="s">
        <v>898</v>
      </c>
    </row>
    <row r="914">
      <c r="B914" t="s">
        <v>898</v>
      </c>
      <c r="C914" t="s">
        <v>898</v>
      </c>
      <c r="D914" t="s">
        <v>898</v>
      </c>
      <c r="E914" t="s">
        <v>898</v>
      </c>
      <c r="F914" t="s">
        <v>898</v>
      </c>
      <c r="G914" t="s">
        <v>67</v>
      </c>
      <c r="H914" t="s">
        <v>898</v>
      </c>
    </row>
    <row r="915">
      <c r="B915" t="s">
        <v>898</v>
      </c>
      <c r="C915" t="s">
        <v>898</v>
      </c>
      <c r="D915" t="s">
        <v>898</v>
      </c>
      <c r="E915" t="s">
        <v>898</v>
      </c>
      <c r="F915" t="s">
        <v>898</v>
      </c>
      <c r="G915" t="s">
        <v>67</v>
      </c>
      <c r="H915" t="s">
        <v>898</v>
      </c>
    </row>
    <row r="916">
      <c r="B916" t="s">
        <v>898</v>
      </c>
      <c r="C916" t="s">
        <v>898</v>
      </c>
      <c r="D916" t="s">
        <v>898</v>
      </c>
      <c r="E916" t="s">
        <v>898</v>
      </c>
      <c r="F916" t="s">
        <v>898</v>
      </c>
      <c r="G916" t="s">
        <v>67</v>
      </c>
      <c r="H916" t="s">
        <v>898</v>
      </c>
    </row>
    <row r="917">
      <c r="B917" t="s">
        <v>898</v>
      </c>
      <c r="C917" t="s">
        <v>898</v>
      </c>
      <c r="D917" t="s">
        <v>898</v>
      </c>
      <c r="E917" t="s">
        <v>898</v>
      </c>
      <c r="F917" t="s">
        <v>898</v>
      </c>
      <c r="G917" t="s">
        <v>67</v>
      </c>
      <c r="H917" t="s">
        <v>898</v>
      </c>
    </row>
    <row r="918">
      <c r="B918" t="s">
        <v>898</v>
      </c>
      <c r="C918" t="s">
        <v>898</v>
      </c>
      <c r="D918" t="s">
        <v>898</v>
      </c>
      <c r="E918" t="s">
        <v>898</v>
      </c>
      <c r="F918" t="s">
        <v>898</v>
      </c>
      <c r="G918" t="s">
        <v>67</v>
      </c>
      <c r="H918" t="s">
        <v>898</v>
      </c>
    </row>
    <row r="919">
      <c r="B919" t="s">
        <v>898</v>
      </c>
      <c r="C919" t="s">
        <v>898</v>
      </c>
      <c r="D919" t="s">
        <v>898</v>
      </c>
      <c r="E919" t="s">
        <v>898</v>
      </c>
      <c r="F919" t="s">
        <v>898</v>
      </c>
      <c r="G919" t="s">
        <v>67</v>
      </c>
      <c r="H919" t="s">
        <v>898</v>
      </c>
    </row>
    <row r="920">
      <c r="B920" t="s">
        <v>898</v>
      </c>
      <c r="C920" t="s">
        <v>898</v>
      </c>
      <c r="D920" t="s">
        <v>898</v>
      </c>
      <c r="E920" t="s">
        <v>898</v>
      </c>
      <c r="F920" t="s">
        <v>898</v>
      </c>
      <c r="G920" t="s">
        <v>67</v>
      </c>
      <c r="H920" t="s">
        <v>898</v>
      </c>
    </row>
    <row r="921">
      <c r="B921" t="s">
        <v>898</v>
      </c>
      <c r="C921" t="s">
        <v>898</v>
      </c>
      <c r="D921" t="s">
        <v>898</v>
      </c>
      <c r="E921" t="s">
        <v>898</v>
      </c>
      <c r="F921" t="s">
        <v>898</v>
      </c>
      <c r="G921" t="s">
        <v>67</v>
      </c>
      <c r="H921" t="s">
        <v>898</v>
      </c>
    </row>
    <row r="922">
      <c r="B922" t="s">
        <v>898</v>
      </c>
      <c r="C922" t="s">
        <v>898</v>
      </c>
      <c r="D922" t="s">
        <v>898</v>
      </c>
      <c r="E922" t="s">
        <v>898</v>
      </c>
      <c r="F922" t="s">
        <v>898</v>
      </c>
      <c r="G922" t="s">
        <v>67</v>
      </c>
      <c r="H922" t="s">
        <v>898</v>
      </c>
    </row>
    <row r="923">
      <c r="B923" t="s">
        <v>898</v>
      </c>
      <c r="C923" t="s">
        <v>898</v>
      </c>
      <c r="D923" t="s">
        <v>898</v>
      </c>
      <c r="E923" t="s">
        <v>898</v>
      </c>
      <c r="F923" t="s">
        <v>898</v>
      </c>
      <c r="G923" t="s">
        <v>67</v>
      </c>
      <c r="H923" t="s">
        <v>898</v>
      </c>
    </row>
    <row r="924">
      <c r="B924" t="s">
        <v>898</v>
      </c>
      <c r="C924" t="s">
        <v>898</v>
      </c>
      <c r="D924" t="s">
        <v>898</v>
      </c>
      <c r="E924" t="s">
        <v>898</v>
      </c>
      <c r="F924" t="s">
        <v>898</v>
      </c>
      <c r="G924" t="s">
        <v>67</v>
      </c>
      <c r="H924" t="s">
        <v>898</v>
      </c>
    </row>
    <row r="925">
      <c r="B925" t="s">
        <v>898</v>
      </c>
      <c r="C925" t="s">
        <v>898</v>
      </c>
      <c r="D925" t="s">
        <v>898</v>
      </c>
      <c r="E925" t="s">
        <v>898</v>
      </c>
      <c r="F925" t="s">
        <v>898</v>
      </c>
      <c r="G925" t="s">
        <v>67</v>
      </c>
      <c r="H925" t="s">
        <v>898</v>
      </c>
    </row>
    <row r="926">
      <c r="B926" t="s">
        <v>898</v>
      </c>
      <c r="C926" t="s">
        <v>898</v>
      </c>
      <c r="D926" t="s">
        <v>898</v>
      </c>
      <c r="E926" t="s">
        <v>898</v>
      </c>
      <c r="F926" t="s">
        <v>898</v>
      </c>
      <c r="G926" t="s">
        <v>67</v>
      </c>
      <c r="H926" t="s">
        <v>898</v>
      </c>
    </row>
    <row r="927">
      <c r="B927" t="s">
        <v>898</v>
      </c>
      <c r="C927" t="s">
        <v>898</v>
      </c>
      <c r="D927" t="s">
        <v>898</v>
      </c>
      <c r="E927" t="s">
        <v>898</v>
      </c>
      <c r="F927" t="s">
        <v>898</v>
      </c>
      <c r="G927" t="s">
        <v>67</v>
      </c>
      <c r="H927" t="s">
        <v>898</v>
      </c>
    </row>
    <row r="928">
      <c r="B928" t="s">
        <v>898</v>
      </c>
      <c r="C928" t="s">
        <v>898</v>
      </c>
      <c r="D928" t="s">
        <v>898</v>
      </c>
      <c r="E928" t="s">
        <v>898</v>
      </c>
      <c r="F928" t="s">
        <v>898</v>
      </c>
      <c r="G928" t="s">
        <v>67</v>
      </c>
      <c r="H928" t="s">
        <v>898</v>
      </c>
    </row>
    <row r="929">
      <c r="B929" t="s">
        <v>898</v>
      </c>
      <c r="C929" t="s">
        <v>898</v>
      </c>
      <c r="D929" t="s">
        <v>898</v>
      </c>
      <c r="E929" t="s">
        <v>898</v>
      </c>
      <c r="F929" t="s">
        <v>898</v>
      </c>
      <c r="G929" t="s">
        <v>67</v>
      </c>
      <c r="H929" t="s">
        <v>898</v>
      </c>
    </row>
    <row r="930">
      <c r="B930" t="s">
        <v>898</v>
      </c>
      <c r="C930" t="s">
        <v>898</v>
      </c>
      <c r="D930" t="s">
        <v>898</v>
      </c>
      <c r="E930" t="s">
        <v>898</v>
      </c>
      <c r="F930" t="s">
        <v>898</v>
      </c>
      <c r="G930" t="s">
        <v>67</v>
      </c>
      <c r="H930" t="s">
        <v>898</v>
      </c>
    </row>
    <row r="931">
      <c r="B931" t="s">
        <v>898</v>
      </c>
      <c r="C931" t="s">
        <v>898</v>
      </c>
      <c r="D931" t="s">
        <v>898</v>
      </c>
      <c r="E931" t="s">
        <v>898</v>
      </c>
      <c r="F931" t="s">
        <v>898</v>
      </c>
      <c r="G931" t="s">
        <v>67</v>
      </c>
      <c r="H931" t="s">
        <v>898</v>
      </c>
    </row>
    <row r="932">
      <c r="B932" t="s">
        <v>898</v>
      </c>
      <c r="C932" t="s">
        <v>898</v>
      </c>
      <c r="D932" t="s">
        <v>898</v>
      </c>
      <c r="E932" t="s">
        <v>898</v>
      </c>
      <c r="F932" t="s">
        <v>898</v>
      </c>
      <c r="G932" t="s">
        <v>67</v>
      </c>
      <c r="H932" t="s">
        <v>898</v>
      </c>
    </row>
    <row r="933">
      <c r="B933" t="s">
        <v>898</v>
      </c>
      <c r="C933" t="s">
        <v>898</v>
      </c>
      <c r="D933" t="s">
        <v>898</v>
      </c>
      <c r="E933" t="s">
        <v>898</v>
      </c>
      <c r="F933" t="s">
        <v>898</v>
      </c>
      <c r="G933" t="s">
        <v>67</v>
      </c>
      <c r="H933" t="s">
        <v>898</v>
      </c>
    </row>
    <row r="934">
      <c r="B934" t="s">
        <v>898</v>
      </c>
      <c r="C934" t="s">
        <v>898</v>
      </c>
      <c r="D934" t="s">
        <v>898</v>
      </c>
      <c r="E934" t="s">
        <v>898</v>
      </c>
      <c r="F934" t="s">
        <v>898</v>
      </c>
      <c r="G934" t="s">
        <v>67</v>
      </c>
      <c r="H934" t="s">
        <v>898</v>
      </c>
    </row>
    <row r="935">
      <c r="B935" t="s">
        <v>898</v>
      </c>
      <c r="C935" t="s">
        <v>898</v>
      </c>
      <c r="D935" t="s">
        <v>898</v>
      </c>
      <c r="E935" t="s">
        <v>898</v>
      </c>
      <c r="F935" t="s">
        <v>898</v>
      </c>
      <c r="G935" t="s">
        <v>67</v>
      </c>
      <c r="H935" t="s">
        <v>898</v>
      </c>
    </row>
    <row r="936">
      <c r="B936" t="s">
        <v>898</v>
      </c>
      <c r="C936" t="s">
        <v>898</v>
      </c>
      <c r="D936" t="s">
        <v>898</v>
      </c>
      <c r="E936" t="s">
        <v>898</v>
      </c>
      <c r="F936" t="s">
        <v>898</v>
      </c>
      <c r="G936" t="s">
        <v>67</v>
      </c>
      <c r="H936" t="s">
        <v>898</v>
      </c>
    </row>
    <row r="937">
      <c r="B937" t="s">
        <v>898</v>
      </c>
      <c r="C937" t="s">
        <v>898</v>
      </c>
      <c r="D937" t="s">
        <v>898</v>
      </c>
      <c r="E937" t="s">
        <v>898</v>
      </c>
      <c r="F937" t="s">
        <v>898</v>
      </c>
      <c r="G937" t="s">
        <v>67</v>
      </c>
      <c r="H937" t="s">
        <v>898</v>
      </c>
    </row>
    <row r="938">
      <c r="B938" t="s">
        <v>898</v>
      </c>
      <c r="C938" t="s">
        <v>898</v>
      </c>
      <c r="D938" t="s">
        <v>898</v>
      </c>
      <c r="E938" t="s">
        <v>898</v>
      </c>
      <c r="F938" t="s">
        <v>898</v>
      </c>
      <c r="G938" t="s">
        <v>67</v>
      </c>
      <c r="H938" t="s">
        <v>898</v>
      </c>
    </row>
    <row r="939">
      <c r="B939" t="s">
        <v>898</v>
      </c>
      <c r="C939" t="s">
        <v>898</v>
      </c>
      <c r="D939" t="s">
        <v>898</v>
      </c>
      <c r="E939" t="s">
        <v>898</v>
      </c>
      <c r="F939" t="s">
        <v>898</v>
      </c>
      <c r="G939" t="s">
        <v>67</v>
      </c>
      <c r="H939" t="s">
        <v>898</v>
      </c>
    </row>
    <row r="940">
      <c r="B940" t="s">
        <v>898</v>
      </c>
      <c r="C940" t="s">
        <v>898</v>
      </c>
      <c r="D940" t="s">
        <v>898</v>
      </c>
      <c r="E940" t="s">
        <v>898</v>
      </c>
      <c r="F940" t="s">
        <v>898</v>
      </c>
      <c r="G940" t="s">
        <v>67</v>
      </c>
      <c r="H940" t="s">
        <v>898</v>
      </c>
    </row>
    <row r="941">
      <c r="B941" t="s">
        <v>898</v>
      </c>
      <c r="C941" t="s">
        <v>898</v>
      </c>
      <c r="D941" t="s">
        <v>898</v>
      </c>
      <c r="E941" t="s">
        <v>898</v>
      </c>
      <c r="F941" t="s">
        <v>898</v>
      </c>
      <c r="G941" t="s">
        <v>67</v>
      </c>
      <c r="H941" t="s">
        <v>898</v>
      </c>
    </row>
    <row r="942">
      <c r="B942" t="s">
        <v>898</v>
      </c>
      <c r="C942" t="s">
        <v>898</v>
      </c>
      <c r="D942" t="s">
        <v>898</v>
      </c>
      <c r="E942" t="s">
        <v>898</v>
      </c>
      <c r="F942" t="s">
        <v>898</v>
      </c>
      <c r="G942" t="s">
        <v>67</v>
      </c>
      <c r="H942" t="s">
        <v>898</v>
      </c>
    </row>
    <row r="943">
      <c r="B943" t="s">
        <v>898</v>
      </c>
      <c r="C943" t="s">
        <v>898</v>
      </c>
      <c r="D943" t="s">
        <v>898</v>
      </c>
      <c r="E943" t="s">
        <v>898</v>
      </c>
      <c r="F943" t="s">
        <v>898</v>
      </c>
      <c r="G943" t="s">
        <v>67</v>
      </c>
      <c r="H943" t="s">
        <v>898</v>
      </c>
    </row>
    <row r="944">
      <c r="B944" t="s">
        <v>898</v>
      </c>
      <c r="C944" t="s">
        <v>898</v>
      </c>
      <c r="D944" t="s">
        <v>898</v>
      </c>
      <c r="E944" t="s">
        <v>898</v>
      </c>
      <c r="F944" t="s">
        <v>898</v>
      </c>
      <c r="G944" t="s">
        <v>67</v>
      </c>
      <c r="H944" t="s">
        <v>898</v>
      </c>
    </row>
    <row r="945">
      <c r="B945" t="s">
        <v>898</v>
      </c>
      <c r="C945" t="s">
        <v>898</v>
      </c>
      <c r="D945" t="s">
        <v>898</v>
      </c>
      <c r="E945" t="s">
        <v>898</v>
      </c>
      <c r="F945" t="s">
        <v>898</v>
      </c>
      <c r="G945" t="s">
        <v>67</v>
      </c>
      <c r="H945" t="s">
        <v>898</v>
      </c>
    </row>
    <row r="946">
      <c r="B946" t="s">
        <v>898</v>
      </c>
      <c r="C946" t="s">
        <v>898</v>
      </c>
      <c r="D946" t="s">
        <v>898</v>
      </c>
      <c r="E946" t="s">
        <v>898</v>
      </c>
      <c r="F946" t="s">
        <v>898</v>
      </c>
      <c r="G946" t="s">
        <v>67</v>
      </c>
      <c r="H946" t="s">
        <v>898</v>
      </c>
    </row>
    <row r="947">
      <c r="B947" t="s">
        <v>898</v>
      </c>
      <c r="C947" t="s">
        <v>898</v>
      </c>
      <c r="D947" t="s">
        <v>898</v>
      </c>
      <c r="E947" t="s">
        <v>898</v>
      </c>
      <c r="F947" t="s">
        <v>898</v>
      </c>
      <c r="G947" t="s">
        <v>67</v>
      </c>
      <c r="H947" t="s">
        <v>898</v>
      </c>
    </row>
    <row r="948">
      <c r="B948" t="s">
        <v>898</v>
      </c>
      <c r="C948" t="s">
        <v>898</v>
      </c>
      <c r="D948" t="s">
        <v>898</v>
      </c>
      <c r="E948" t="s">
        <v>898</v>
      </c>
      <c r="F948" t="s">
        <v>898</v>
      </c>
      <c r="G948" t="s">
        <v>67</v>
      </c>
      <c r="H948" t="s">
        <v>898</v>
      </c>
    </row>
    <row r="949">
      <c r="B949" t="s">
        <v>898</v>
      </c>
      <c r="C949" t="s">
        <v>898</v>
      </c>
      <c r="D949" t="s">
        <v>898</v>
      </c>
      <c r="E949" t="s">
        <v>898</v>
      </c>
      <c r="F949" t="s">
        <v>898</v>
      </c>
      <c r="G949" t="s">
        <v>67</v>
      </c>
      <c r="H949" t="s">
        <v>898</v>
      </c>
    </row>
    <row r="950">
      <c r="B950" t="s">
        <v>898</v>
      </c>
      <c r="C950" t="s">
        <v>898</v>
      </c>
      <c r="D950" t="s">
        <v>898</v>
      </c>
      <c r="E950" t="s">
        <v>898</v>
      </c>
      <c r="F950" t="s">
        <v>898</v>
      </c>
      <c r="G950" t="s">
        <v>67</v>
      </c>
      <c r="H950" t="s">
        <v>898</v>
      </c>
    </row>
    <row r="951">
      <c r="B951" t="s">
        <v>898</v>
      </c>
      <c r="C951" t="s">
        <v>898</v>
      </c>
      <c r="D951" t="s">
        <v>898</v>
      </c>
      <c r="E951" t="s">
        <v>898</v>
      </c>
      <c r="F951" t="s">
        <v>898</v>
      </c>
      <c r="G951" t="s">
        <v>67</v>
      </c>
      <c r="H951" t="s">
        <v>898</v>
      </c>
    </row>
    <row r="952">
      <c r="B952" t="s">
        <v>898</v>
      </c>
      <c r="C952" t="s">
        <v>898</v>
      </c>
      <c r="D952" t="s">
        <v>898</v>
      </c>
      <c r="E952" t="s">
        <v>898</v>
      </c>
      <c r="F952" t="s">
        <v>898</v>
      </c>
      <c r="G952" t="s">
        <v>67</v>
      </c>
      <c r="H952" t="s">
        <v>898</v>
      </c>
    </row>
    <row r="953">
      <c r="B953" t="s">
        <v>898</v>
      </c>
      <c r="C953" t="s">
        <v>898</v>
      </c>
      <c r="D953" t="s">
        <v>898</v>
      </c>
      <c r="E953" t="s">
        <v>898</v>
      </c>
      <c r="F953" t="s">
        <v>898</v>
      </c>
      <c r="G953" t="s">
        <v>67</v>
      </c>
      <c r="H953" t="s">
        <v>898</v>
      </c>
    </row>
    <row r="954">
      <c r="B954" t="s">
        <v>898</v>
      </c>
      <c r="C954" t="s">
        <v>898</v>
      </c>
      <c r="D954" t="s">
        <v>898</v>
      </c>
      <c r="E954" t="s">
        <v>898</v>
      </c>
      <c r="F954" t="s">
        <v>898</v>
      </c>
      <c r="G954" t="s">
        <v>67</v>
      </c>
      <c r="H954" t="s">
        <v>898</v>
      </c>
    </row>
    <row r="955">
      <c r="B955" t="s">
        <v>898</v>
      </c>
      <c r="C955" t="s">
        <v>898</v>
      </c>
      <c r="D955" t="s">
        <v>898</v>
      </c>
      <c r="E955" t="s">
        <v>898</v>
      </c>
      <c r="F955" t="s">
        <v>898</v>
      </c>
      <c r="G955" t="s">
        <v>67</v>
      </c>
      <c r="H955" t="s">
        <v>898</v>
      </c>
    </row>
    <row r="956">
      <c r="B956" t="s">
        <v>898</v>
      </c>
      <c r="C956" t="s">
        <v>898</v>
      </c>
      <c r="D956" t="s">
        <v>898</v>
      </c>
      <c r="E956" t="s">
        <v>898</v>
      </c>
      <c r="F956" t="s">
        <v>898</v>
      </c>
      <c r="G956" t="s">
        <v>67</v>
      </c>
      <c r="H956" t="s">
        <v>898</v>
      </c>
    </row>
    <row r="957">
      <c r="B957" t="s">
        <v>898</v>
      </c>
      <c r="C957" t="s">
        <v>898</v>
      </c>
      <c r="D957" t="s">
        <v>898</v>
      </c>
      <c r="E957" t="s">
        <v>898</v>
      </c>
      <c r="F957" t="s">
        <v>898</v>
      </c>
      <c r="G957" t="s">
        <v>67</v>
      </c>
      <c r="H957" t="s">
        <v>898</v>
      </c>
    </row>
    <row r="958">
      <c r="B958" t="s">
        <v>898</v>
      </c>
      <c r="C958" t="s">
        <v>898</v>
      </c>
      <c r="D958" t="s">
        <v>898</v>
      </c>
      <c r="E958" t="s">
        <v>898</v>
      </c>
      <c r="F958" t="s">
        <v>898</v>
      </c>
      <c r="G958" t="s">
        <v>67</v>
      </c>
      <c r="H958" t="s">
        <v>898</v>
      </c>
    </row>
    <row r="959">
      <c r="B959" t="s">
        <v>898</v>
      </c>
      <c r="C959" t="s">
        <v>898</v>
      </c>
      <c r="D959" t="s">
        <v>898</v>
      </c>
      <c r="E959" t="s">
        <v>898</v>
      </c>
      <c r="F959" t="s">
        <v>898</v>
      </c>
      <c r="G959" t="s">
        <v>67</v>
      </c>
      <c r="H959" t="s">
        <v>898</v>
      </c>
    </row>
    <row r="960">
      <c r="B960" t="s">
        <v>898</v>
      </c>
      <c r="C960" t="s">
        <v>898</v>
      </c>
      <c r="D960" t="s">
        <v>898</v>
      </c>
      <c r="E960" t="s">
        <v>898</v>
      </c>
      <c r="F960" t="s">
        <v>898</v>
      </c>
      <c r="G960" t="s">
        <v>67</v>
      </c>
      <c r="H960" t="s">
        <v>898</v>
      </c>
    </row>
    <row r="961">
      <c r="B961" t="s">
        <v>898</v>
      </c>
      <c r="C961" t="s">
        <v>898</v>
      </c>
      <c r="D961" t="s">
        <v>898</v>
      </c>
      <c r="E961" t="s">
        <v>898</v>
      </c>
      <c r="F961" t="s">
        <v>898</v>
      </c>
      <c r="G961" t="s">
        <v>67</v>
      </c>
      <c r="H961" t="s">
        <v>898</v>
      </c>
    </row>
    <row r="962">
      <c r="B962" t="s">
        <v>898</v>
      </c>
      <c r="C962" t="s">
        <v>898</v>
      </c>
      <c r="D962" t="s">
        <v>898</v>
      </c>
      <c r="E962" t="s">
        <v>898</v>
      </c>
      <c r="F962" t="s">
        <v>898</v>
      </c>
      <c r="G962" t="s">
        <v>67</v>
      </c>
      <c r="H962" t="s">
        <v>898</v>
      </c>
    </row>
    <row r="963">
      <c r="B963" t="s">
        <v>898</v>
      </c>
      <c r="C963" t="s">
        <v>898</v>
      </c>
      <c r="D963" t="s">
        <v>898</v>
      </c>
      <c r="E963" t="s">
        <v>898</v>
      </c>
      <c r="F963" t="s">
        <v>898</v>
      </c>
      <c r="G963" t="s">
        <v>67</v>
      </c>
      <c r="H963" t="s">
        <v>898</v>
      </c>
    </row>
    <row r="964">
      <c r="B964" t="s">
        <v>898</v>
      </c>
      <c r="C964" t="s">
        <v>898</v>
      </c>
      <c r="D964" t="s">
        <v>898</v>
      </c>
      <c r="E964" t="s">
        <v>898</v>
      </c>
      <c r="F964" t="s">
        <v>898</v>
      </c>
      <c r="G964" t="s">
        <v>67</v>
      </c>
      <c r="H964" t="s">
        <v>898</v>
      </c>
    </row>
    <row r="965">
      <c r="B965" t="s">
        <v>898</v>
      </c>
      <c r="C965" t="s">
        <v>898</v>
      </c>
      <c r="D965" t="s">
        <v>898</v>
      </c>
      <c r="E965" t="s">
        <v>898</v>
      </c>
      <c r="F965" t="s">
        <v>898</v>
      </c>
      <c r="G965" t="s">
        <v>67</v>
      </c>
      <c r="H965" t="s">
        <v>898</v>
      </c>
    </row>
    <row r="966">
      <c r="B966" t="s">
        <v>898</v>
      </c>
      <c r="C966" t="s">
        <v>898</v>
      </c>
      <c r="D966" t="s">
        <v>898</v>
      </c>
      <c r="E966" t="s">
        <v>898</v>
      </c>
      <c r="F966" t="s">
        <v>898</v>
      </c>
      <c r="G966" t="s">
        <v>67</v>
      </c>
      <c r="H966" t="s">
        <v>898</v>
      </c>
    </row>
    <row r="967">
      <c r="B967" t="s">
        <v>898</v>
      </c>
      <c r="C967" t="s">
        <v>898</v>
      </c>
      <c r="D967" t="s">
        <v>898</v>
      </c>
      <c r="E967" t="s">
        <v>898</v>
      </c>
      <c r="F967" t="s">
        <v>898</v>
      </c>
      <c r="G967" t="s">
        <v>67</v>
      </c>
      <c r="H967" t="s">
        <v>898</v>
      </c>
    </row>
    <row r="968">
      <c r="B968" t="s">
        <v>898</v>
      </c>
      <c r="C968" t="s">
        <v>898</v>
      </c>
      <c r="D968" t="s">
        <v>898</v>
      </c>
      <c r="E968" t="s">
        <v>898</v>
      </c>
      <c r="F968" t="s">
        <v>898</v>
      </c>
      <c r="G968" t="s">
        <v>67</v>
      </c>
      <c r="H968" t="s">
        <v>898</v>
      </c>
    </row>
    <row r="969">
      <c r="B969" t="s">
        <v>898</v>
      </c>
      <c r="C969" t="s">
        <v>898</v>
      </c>
      <c r="D969" t="s">
        <v>898</v>
      </c>
      <c r="E969" t="s">
        <v>898</v>
      </c>
      <c r="F969" t="s">
        <v>898</v>
      </c>
      <c r="G969" t="s">
        <v>67</v>
      </c>
      <c r="H969" t="s">
        <v>898</v>
      </c>
    </row>
    <row r="970">
      <c r="B970" t="s">
        <v>898</v>
      </c>
      <c r="C970" t="s">
        <v>898</v>
      </c>
      <c r="D970" t="s">
        <v>898</v>
      </c>
      <c r="E970" t="s">
        <v>898</v>
      </c>
      <c r="F970" t="s">
        <v>898</v>
      </c>
      <c r="G970" t="s">
        <v>67</v>
      </c>
      <c r="H970" t="s">
        <v>898</v>
      </c>
    </row>
    <row r="971">
      <c r="B971" t="s">
        <v>898</v>
      </c>
      <c r="C971" t="s">
        <v>898</v>
      </c>
      <c r="D971" t="s">
        <v>898</v>
      </c>
      <c r="E971" t="s">
        <v>898</v>
      </c>
      <c r="F971" t="s">
        <v>898</v>
      </c>
      <c r="G971" t="s">
        <v>67</v>
      </c>
      <c r="H971" t="s">
        <v>898</v>
      </c>
    </row>
    <row r="972">
      <c r="B972" t="s">
        <v>898</v>
      </c>
      <c r="C972" t="s">
        <v>898</v>
      </c>
      <c r="D972" t="s">
        <v>898</v>
      </c>
      <c r="E972" t="s">
        <v>898</v>
      </c>
      <c r="F972" t="s">
        <v>898</v>
      </c>
      <c r="G972" t="s">
        <v>67</v>
      </c>
      <c r="H972" t="s">
        <v>898</v>
      </c>
    </row>
    <row r="973">
      <c r="B973" t="s">
        <v>898</v>
      </c>
      <c r="C973" t="s">
        <v>898</v>
      </c>
      <c r="D973" t="s">
        <v>898</v>
      </c>
      <c r="E973" t="s">
        <v>898</v>
      </c>
      <c r="F973" t="s">
        <v>898</v>
      </c>
      <c r="G973" t="s">
        <v>67</v>
      </c>
      <c r="H973" t="s">
        <v>898</v>
      </c>
    </row>
    <row r="974">
      <c r="B974" t="s">
        <v>898</v>
      </c>
      <c r="C974" t="s">
        <v>898</v>
      </c>
      <c r="D974" t="s">
        <v>898</v>
      </c>
      <c r="E974" t="s">
        <v>898</v>
      </c>
      <c r="F974" t="s">
        <v>898</v>
      </c>
      <c r="G974" t="s">
        <v>67</v>
      </c>
      <c r="H974" t="s">
        <v>898</v>
      </c>
    </row>
    <row r="975">
      <c r="B975" t="s">
        <v>898</v>
      </c>
      <c r="C975" t="s">
        <v>898</v>
      </c>
      <c r="D975" t="s">
        <v>898</v>
      </c>
      <c r="E975" t="s">
        <v>898</v>
      </c>
      <c r="F975" t="s">
        <v>898</v>
      </c>
      <c r="G975" t="s">
        <v>67</v>
      </c>
      <c r="H975" t="s">
        <v>898</v>
      </c>
    </row>
    <row r="976">
      <c r="B976" t="s">
        <v>898</v>
      </c>
      <c r="C976" t="s">
        <v>898</v>
      </c>
      <c r="D976" t="s">
        <v>898</v>
      </c>
      <c r="E976" t="s">
        <v>898</v>
      </c>
      <c r="F976" t="s">
        <v>898</v>
      </c>
      <c r="G976" t="s">
        <v>67</v>
      </c>
      <c r="H976" t="s">
        <v>898</v>
      </c>
    </row>
    <row r="977">
      <c r="B977" t="s">
        <v>898</v>
      </c>
      <c r="C977" t="s">
        <v>898</v>
      </c>
      <c r="D977" t="s">
        <v>898</v>
      </c>
      <c r="E977" t="s">
        <v>898</v>
      </c>
      <c r="F977" t="s">
        <v>898</v>
      </c>
      <c r="G977" t="s">
        <v>67</v>
      </c>
      <c r="H977" t="s">
        <v>898</v>
      </c>
    </row>
    <row r="978">
      <c r="B978" t="s">
        <v>898</v>
      </c>
      <c r="C978" t="s">
        <v>898</v>
      </c>
      <c r="D978" t="s">
        <v>898</v>
      </c>
      <c r="E978" t="s">
        <v>898</v>
      </c>
      <c r="F978" t="s">
        <v>898</v>
      </c>
      <c r="G978" t="s">
        <v>67</v>
      </c>
      <c r="H978" t="s">
        <v>898</v>
      </c>
    </row>
    <row r="979">
      <c r="B979" t="s">
        <v>898</v>
      </c>
      <c r="C979" t="s">
        <v>898</v>
      </c>
      <c r="D979" t="s">
        <v>898</v>
      </c>
      <c r="E979" t="s">
        <v>898</v>
      </c>
      <c r="F979" t="s">
        <v>898</v>
      </c>
      <c r="G979" t="s">
        <v>67</v>
      </c>
      <c r="H979" t="s">
        <v>898</v>
      </c>
    </row>
    <row r="980">
      <c r="B980" t="s">
        <v>898</v>
      </c>
      <c r="C980" t="s">
        <v>898</v>
      </c>
      <c r="D980" t="s">
        <v>898</v>
      </c>
      <c r="E980" t="s">
        <v>898</v>
      </c>
      <c r="F980" t="s">
        <v>898</v>
      </c>
      <c r="G980" t="s">
        <v>67</v>
      </c>
      <c r="H980" t="s">
        <v>898</v>
      </c>
    </row>
    <row r="981">
      <c r="B981" t="s">
        <v>898</v>
      </c>
      <c r="C981" t="s">
        <v>898</v>
      </c>
      <c r="D981" t="s">
        <v>898</v>
      </c>
      <c r="E981" t="s">
        <v>898</v>
      </c>
      <c r="F981" t="s">
        <v>898</v>
      </c>
      <c r="G981" t="s">
        <v>67</v>
      </c>
      <c r="H981" t="s">
        <v>898</v>
      </c>
    </row>
    <row r="982">
      <c r="B982" t="s">
        <v>898</v>
      </c>
      <c r="C982" t="s">
        <v>898</v>
      </c>
      <c r="D982" t="s">
        <v>898</v>
      </c>
      <c r="E982" t="s">
        <v>898</v>
      </c>
      <c r="F982" t="s">
        <v>898</v>
      </c>
      <c r="G982" t="s">
        <v>67</v>
      </c>
      <c r="H982" t="s">
        <v>898</v>
      </c>
    </row>
    <row r="983">
      <c r="B983" t="s">
        <v>898</v>
      </c>
      <c r="C983" t="s">
        <v>898</v>
      </c>
      <c r="D983" t="s">
        <v>898</v>
      </c>
      <c r="E983" t="s">
        <v>898</v>
      </c>
      <c r="F983" t="s">
        <v>898</v>
      </c>
      <c r="G983" t="s">
        <v>67</v>
      </c>
      <c r="H983" t="s">
        <v>898</v>
      </c>
    </row>
    <row r="984">
      <c r="B984" t="s">
        <v>898</v>
      </c>
      <c r="C984" t="s">
        <v>898</v>
      </c>
      <c r="D984" t="s">
        <v>898</v>
      </c>
      <c r="E984" t="s">
        <v>898</v>
      </c>
      <c r="F984" t="s">
        <v>898</v>
      </c>
      <c r="G984" t="s">
        <v>67</v>
      </c>
      <c r="H984" t="s">
        <v>898</v>
      </c>
    </row>
    <row r="985">
      <c r="B985" t="s">
        <v>898</v>
      </c>
      <c r="C985" t="s">
        <v>898</v>
      </c>
      <c r="D985" t="s">
        <v>898</v>
      </c>
      <c r="E985" t="s">
        <v>898</v>
      </c>
      <c r="F985" t="s">
        <v>898</v>
      </c>
      <c r="G985" t="s">
        <v>67</v>
      </c>
      <c r="H985" t="s">
        <v>898</v>
      </c>
    </row>
    <row r="986">
      <c r="B986" t="s">
        <v>898</v>
      </c>
      <c r="C986" t="s">
        <v>898</v>
      </c>
      <c r="D986" t="s">
        <v>898</v>
      </c>
      <c r="E986" t="s">
        <v>898</v>
      </c>
      <c r="F986" t="s">
        <v>898</v>
      </c>
      <c r="G986" t="s">
        <v>67</v>
      </c>
      <c r="H986" t="s">
        <v>898</v>
      </c>
    </row>
    <row r="987">
      <c r="B987" t="s">
        <v>898</v>
      </c>
      <c r="C987" t="s">
        <v>898</v>
      </c>
      <c r="D987" t="s">
        <v>898</v>
      </c>
      <c r="E987" t="s">
        <v>898</v>
      </c>
      <c r="F987" t="s">
        <v>898</v>
      </c>
      <c r="G987" t="s">
        <v>67</v>
      </c>
      <c r="H987" t="s">
        <v>898</v>
      </c>
    </row>
    <row r="988">
      <c r="B988" t="s">
        <v>898</v>
      </c>
      <c r="C988" t="s">
        <v>898</v>
      </c>
      <c r="D988" t="s">
        <v>898</v>
      </c>
      <c r="E988" t="s">
        <v>898</v>
      </c>
      <c r="F988" t="s">
        <v>898</v>
      </c>
      <c r="G988" t="s">
        <v>67</v>
      </c>
      <c r="H988" t="s">
        <v>898</v>
      </c>
    </row>
    <row r="989">
      <c r="B989" t="s">
        <v>898</v>
      </c>
      <c r="C989" t="s">
        <v>898</v>
      </c>
      <c r="D989" t="s">
        <v>898</v>
      </c>
      <c r="E989" t="s">
        <v>898</v>
      </c>
      <c r="F989" t="s">
        <v>898</v>
      </c>
      <c r="G989" t="s">
        <v>67</v>
      </c>
      <c r="H989" t="s">
        <v>898</v>
      </c>
    </row>
    <row r="990">
      <c r="B990" t="s">
        <v>898</v>
      </c>
      <c r="C990" t="s">
        <v>898</v>
      </c>
      <c r="D990" t="s">
        <v>898</v>
      </c>
      <c r="E990" t="s">
        <v>898</v>
      </c>
      <c r="F990" t="s">
        <v>898</v>
      </c>
      <c r="G990" t="s">
        <v>67</v>
      </c>
      <c r="H990" t="s">
        <v>898</v>
      </c>
    </row>
    <row r="991">
      <c r="B991" t="s">
        <v>898</v>
      </c>
      <c r="C991" t="s">
        <v>898</v>
      </c>
      <c r="D991" t="s">
        <v>898</v>
      </c>
      <c r="E991" t="s">
        <v>898</v>
      </c>
      <c r="F991" t="s">
        <v>898</v>
      </c>
      <c r="G991" t="s">
        <v>67</v>
      </c>
      <c r="H991" t="s">
        <v>898</v>
      </c>
    </row>
    <row r="992">
      <c r="B992" t="s">
        <v>898</v>
      </c>
      <c r="C992" t="s">
        <v>898</v>
      </c>
      <c r="D992" t="s">
        <v>898</v>
      </c>
      <c r="E992" t="s">
        <v>898</v>
      </c>
      <c r="F992" t="s">
        <v>898</v>
      </c>
      <c r="G992" t="s">
        <v>67</v>
      </c>
      <c r="H992" t="s">
        <v>898</v>
      </c>
    </row>
    <row r="993">
      <c r="B993" t="s">
        <v>898</v>
      </c>
      <c r="C993" t="s">
        <v>898</v>
      </c>
      <c r="D993" t="s">
        <v>898</v>
      </c>
      <c r="E993" t="s">
        <v>898</v>
      </c>
      <c r="F993" t="s">
        <v>898</v>
      </c>
      <c r="G993" t="s">
        <v>67</v>
      </c>
      <c r="H993" t="s">
        <v>898</v>
      </c>
    </row>
    <row r="994">
      <c r="B994" t="s">
        <v>898</v>
      </c>
      <c r="C994" t="s">
        <v>898</v>
      </c>
      <c r="D994" t="s">
        <v>898</v>
      </c>
      <c r="E994" t="s">
        <v>898</v>
      </c>
      <c r="F994" t="s">
        <v>898</v>
      </c>
      <c r="G994" t="s">
        <v>67</v>
      </c>
      <c r="H994" t="s">
        <v>898</v>
      </c>
    </row>
    <row r="995">
      <c r="B995" t="s">
        <v>898</v>
      </c>
      <c r="C995" t="s">
        <v>898</v>
      </c>
      <c r="D995" t="s">
        <v>898</v>
      </c>
      <c r="E995" t="s">
        <v>898</v>
      </c>
      <c r="F995" t="s">
        <v>898</v>
      </c>
      <c r="G995" t="s">
        <v>67</v>
      </c>
      <c r="H995" t="s">
        <v>898</v>
      </c>
    </row>
    <row r="996">
      <c r="B996" t="s">
        <v>898</v>
      </c>
      <c r="C996" t="s">
        <v>898</v>
      </c>
      <c r="D996" t="s">
        <v>898</v>
      </c>
      <c r="E996" t="s">
        <v>898</v>
      </c>
      <c r="F996" t="s">
        <v>898</v>
      </c>
      <c r="G996" t="s">
        <v>67</v>
      </c>
      <c r="H996" t="s">
        <v>898</v>
      </c>
    </row>
    <row r="997">
      <c r="B997" t="s">
        <v>898</v>
      </c>
      <c r="C997" t="s">
        <v>898</v>
      </c>
      <c r="D997" t="s">
        <v>898</v>
      </c>
      <c r="E997" t="s">
        <v>898</v>
      </c>
      <c r="F997" t="s">
        <v>898</v>
      </c>
      <c r="G997" t="s">
        <v>67</v>
      </c>
      <c r="H997" t="s">
        <v>898</v>
      </c>
    </row>
    <row r="998">
      <c r="B998" t="s">
        <v>898</v>
      </c>
      <c r="C998" t="s">
        <v>898</v>
      </c>
      <c r="D998" t="s">
        <v>898</v>
      </c>
      <c r="E998" t="s">
        <v>898</v>
      </c>
      <c r="F998" t="s">
        <v>898</v>
      </c>
      <c r="G998" t="s">
        <v>67</v>
      </c>
      <c r="H998" t="s">
        <v>898</v>
      </c>
    </row>
    <row r="999">
      <c r="B999" t="s">
        <v>898</v>
      </c>
      <c r="C999" t="s">
        <v>898</v>
      </c>
      <c r="D999" t="s">
        <v>898</v>
      </c>
      <c r="E999" t="s">
        <v>898</v>
      </c>
      <c r="F999" t="s">
        <v>898</v>
      </c>
      <c r="G999" t="s">
        <v>67</v>
      </c>
      <c r="H999" t="s">
        <v>898</v>
      </c>
    </row>
    <row r="1000">
      <c r="B1000" t="s">
        <v>898</v>
      </c>
      <c r="C1000" t="s">
        <v>898</v>
      </c>
      <c r="D1000" t="s">
        <v>898</v>
      </c>
      <c r="E1000" t="s">
        <v>898</v>
      </c>
      <c r="F1000" t="s">
        <v>898</v>
      </c>
      <c r="G1000" t="s">
        <v>67</v>
      </c>
      <c r="H1000" t="s">
        <v>898</v>
      </c>
    </row>
    <row r="1001">
      <c r="B1001" t="s">
        <v>898</v>
      </c>
      <c r="C1001" t="s">
        <v>898</v>
      </c>
      <c r="D1001" t="s">
        <v>898</v>
      </c>
      <c r="E1001" t="s">
        <v>898</v>
      </c>
      <c r="F1001" t="s">
        <v>898</v>
      </c>
      <c r="G1001" t="s">
        <v>67</v>
      </c>
      <c r="H1001" t="s">
        <v>898</v>
      </c>
    </row>
    <row r="1002">
      <c r="B1002" t="s">
        <v>898</v>
      </c>
      <c r="C1002" t="s">
        <v>898</v>
      </c>
      <c r="D1002" t="s">
        <v>898</v>
      </c>
      <c r="E1002" t="s">
        <v>898</v>
      </c>
      <c r="F1002" t="s">
        <v>898</v>
      </c>
      <c r="G1002" t="s">
        <v>67</v>
      </c>
      <c r="H1002" t="s">
        <v>898</v>
      </c>
    </row>
    <row r="1003">
      <c r="B1003" t="s">
        <v>898</v>
      </c>
      <c r="C1003" t="s">
        <v>898</v>
      </c>
      <c r="D1003" t="s">
        <v>898</v>
      </c>
      <c r="E1003" t="s">
        <v>898</v>
      </c>
      <c r="F1003" t="s">
        <v>898</v>
      </c>
      <c r="G1003" t="s">
        <v>67</v>
      </c>
      <c r="H1003" t="s">
        <v>898</v>
      </c>
    </row>
    <row r="1004">
      <c r="B1004" t="s">
        <v>898</v>
      </c>
      <c r="C1004" t="s">
        <v>898</v>
      </c>
      <c r="D1004" t="s">
        <v>898</v>
      </c>
      <c r="E1004" t="s">
        <v>898</v>
      </c>
      <c r="F1004" t="s">
        <v>898</v>
      </c>
      <c r="G1004" t="s">
        <v>67</v>
      </c>
      <c r="H1004" t="s">
        <v>898</v>
      </c>
    </row>
    <row r="1005">
      <c r="B1005" t="s">
        <v>898</v>
      </c>
      <c r="C1005" t="s">
        <v>898</v>
      </c>
      <c r="D1005" t="s">
        <v>898</v>
      </c>
      <c r="E1005" t="s">
        <v>898</v>
      </c>
      <c r="F1005" t="s">
        <v>898</v>
      </c>
      <c r="G1005" t="s">
        <v>67</v>
      </c>
      <c r="H1005" t="s">
        <v>898</v>
      </c>
    </row>
    <row r="1006">
      <c r="B1006" t="s">
        <v>898</v>
      </c>
      <c r="C1006" t="s">
        <v>898</v>
      </c>
      <c r="D1006" t="s">
        <v>898</v>
      </c>
      <c r="E1006" t="s">
        <v>898</v>
      </c>
      <c r="F1006" t="s">
        <v>898</v>
      </c>
      <c r="G1006" t="s">
        <v>67</v>
      </c>
      <c r="H1006" t="s">
        <v>898</v>
      </c>
    </row>
    <row r="1007">
      <c r="B1007" t="s">
        <v>898</v>
      </c>
      <c r="C1007" t="s">
        <v>898</v>
      </c>
      <c r="D1007" t="s">
        <v>898</v>
      </c>
      <c r="E1007" t="s">
        <v>898</v>
      </c>
      <c r="F1007" t="s">
        <v>898</v>
      </c>
      <c r="G1007" t="s">
        <v>67</v>
      </c>
      <c r="H1007" t="s">
        <v>898</v>
      </c>
    </row>
    <row r="1008">
      <c r="B1008" t="s">
        <v>898</v>
      </c>
      <c r="C1008" t="s">
        <v>898</v>
      </c>
      <c r="D1008" t="s">
        <v>898</v>
      </c>
      <c r="E1008" t="s">
        <v>898</v>
      </c>
      <c r="F1008" t="s">
        <v>898</v>
      </c>
      <c r="G1008" t="s">
        <v>67</v>
      </c>
      <c r="H1008" t="s">
        <v>898</v>
      </c>
    </row>
    <row r="1009">
      <c r="B1009" t="s">
        <v>898</v>
      </c>
      <c r="C1009" t="s">
        <v>898</v>
      </c>
      <c r="D1009" t="s">
        <v>898</v>
      </c>
      <c r="E1009" t="s">
        <v>898</v>
      </c>
      <c r="F1009" t="s">
        <v>898</v>
      </c>
      <c r="G1009" t="s">
        <v>67</v>
      </c>
      <c r="H1009" t="s">
        <v>898</v>
      </c>
    </row>
    <row r="1010">
      <c r="B1010" t="s">
        <v>898</v>
      </c>
      <c r="C1010" t="s">
        <v>898</v>
      </c>
      <c r="D1010" t="s">
        <v>898</v>
      </c>
      <c r="E1010" t="s">
        <v>898</v>
      </c>
      <c r="F1010" t="s">
        <v>898</v>
      </c>
      <c r="G1010" t="s">
        <v>67</v>
      </c>
      <c r="H1010" t="s">
        <v>898</v>
      </c>
    </row>
    <row r="1011">
      <c r="B1011" t="s">
        <v>898</v>
      </c>
      <c r="C1011" t="s">
        <v>898</v>
      </c>
      <c r="D1011" t="s">
        <v>898</v>
      </c>
      <c r="E1011" t="s">
        <v>898</v>
      </c>
      <c r="F1011" t="s">
        <v>898</v>
      </c>
      <c r="G1011" t="s">
        <v>67</v>
      </c>
      <c r="H1011" t="s">
        <v>898</v>
      </c>
    </row>
    <row r="1012">
      <c r="B1012" t="s">
        <v>898</v>
      </c>
      <c r="C1012" t="s">
        <v>898</v>
      </c>
      <c r="D1012" t="s">
        <v>898</v>
      </c>
      <c r="E1012" t="s">
        <v>898</v>
      </c>
      <c r="F1012" t="s">
        <v>898</v>
      </c>
      <c r="G1012" t="s">
        <v>67</v>
      </c>
      <c r="H1012" t="s">
        <v>898</v>
      </c>
    </row>
    <row r="1013">
      <c r="B1013" t="s">
        <v>898</v>
      </c>
      <c r="C1013" t="s">
        <v>898</v>
      </c>
      <c r="D1013" t="s">
        <v>898</v>
      </c>
      <c r="E1013" t="s">
        <v>898</v>
      </c>
      <c r="F1013" t="s">
        <v>898</v>
      </c>
      <c r="G1013" t="s">
        <v>67</v>
      </c>
      <c r="H1013" t="s">
        <v>898</v>
      </c>
    </row>
    <row r="1014">
      <c r="B1014" t="s">
        <v>898</v>
      </c>
      <c r="C1014" t="s">
        <v>898</v>
      </c>
      <c r="D1014" t="s">
        <v>898</v>
      </c>
      <c r="E1014" t="s">
        <v>898</v>
      </c>
      <c r="F1014" t="s">
        <v>898</v>
      </c>
      <c r="G1014" t="s">
        <v>67</v>
      </c>
      <c r="H1014" t="s">
        <v>898</v>
      </c>
    </row>
    <row r="1015">
      <c r="B1015" t="s">
        <v>898</v>
      </c>
      <c r="C1015" t="s">
        <v>898</v>
      </c>
      <c r="D1015" t="s">
        <v>898</v>
      </c>
      <c r="E1015" t="s">
        <v>898</v>
      </c>
      <c r="F1015" t="s">
        <v>898</v>
      </c>
      <c r="G1015" t="s">
        <v>67</v>
      </c>
      <c r="H1015" t="s">
        <v>898</v>
      </c>
    </row>
    <row r="1016">
      <c r="B1016" t="s">
        <v>898</v>
      </c>
      <c r="C1016" t="s">
        <v>898</v>
      </c>
      <c r="D1016" t="s">
        <v>898</v>
      </c>
      <c r="E1016" t="s">
        <v>898</v>
      </c>
      <c r="F1016" t="s">
        <v>898</v>
      </c>
      <c r="G1016" t="s">
        <v>67</v>
      </c>
      <c r="H1016" t="s">
        <v>898</v>
      </c>
    </row>
    <row r="1017">
      <c r="B1017" t="s">
        <v>898</v>
      </c>
      <c r="C1017" t="s">
        <v>898</v>
      </c>
      <c r="D1017" t="s">
        <v>898</v>
      </c>
      <c r="E1017" t="s">
        <v>898</v>
      </c>
      <c r="F1017" t="s">
        <v>898</v>
      </c>
      <c r="G1017" t="s">
        <v>67</v>
      </c>
      <c r="H1017" t="s">
        <v>898</v>
      </c>
    </row>
    <row r="1018">
      <c r="B1018" t="s">
        <v>898</v>
      </c>
      <c r="C1018" t="s">
        <v>898</v>
      </c>
      <c r="D1018" t="s">
        <v>898</v>
      </c>
      <c r="E1018" t="s">
        <v>898</v>
      </c>
      <c r="F1018" t="s">
        <v>898</v>
      </c>
      <c r="G1018" t="s">
        <v>67</v>
      </c>
      <c r="H1018" t="s">
        <v>898</v>
      </c>
    </row>
    <row r="1019">
      <c r="B1019" t="s">
        <v>898</v>
      </c>
      <c r="C1019" t="s">
        <v>898</v>
      </c>
      <c r="D1019" t="s">
        <v>898</v>
      </c>
      <c r="E1019" t="s">
        <v>898</v>
      </c>
      <c r="F1019" t="s">
        <v>898</v>
      </c>
      <c r="G1019" t="s">
        <v>67</v>
      </c>
      <c r="H1019" t="s">
        <v>898</v>
      </c>
    </row>
    <row r="1020">
      <c r="B1020" t="s">
        <v>898</v>
      </c>
      <c r="C1020" t="s">
        <v>898</v>
      </c>
      <c r="D1020" t="s">
        <v>898</v>
      </c>
      <c r="E1020" t="s">
        <v>898</v>
      </c>
      <c r="F1020" t="s">
        <v>898</v>
      </c>
      <c r="G1020" t="s">
        <v>67</v>
      </c>
      <c r="H1020" t="s">
        <v>898</v>
      </c>
    </row>
    <row r="1021">
      <c r="B1021" t="s">
        <v>898</v>
      </c>
      <c r="C1021" t="s">
        <v>898</v>
      </c>
      <c r="D1021" t="s">
        <v>898</v>
      </c>
      <c r="E1021" t="s">
        <v>898</v>
      </c>
      <c r="F1021" t="s">
        <v>898</v>
      </c>
      <c r="G1021" t="s">
        <v>67</v>
      </c>
      <c r="H1021" t="s">
        <v>898</v>
      </c>
    </row>
    <row r="1022">
      <c r="B1022" t="s">
        <v>898</v>
      </c>
      <c r="C1022" t="s">
        <v>898</v>
      </c>
      <c r="D1022" t="s">
        <v>898</v>
      </c>
      <c r="E1022" t="s">
        <v>898</v>
      </c>
      <c r="F1022" t="s">
        <v>898</v>
      </c>
      <c r="G1022" t="s">
        <v>67</v>
      </c>
      <c r="H1022" t="s">
        <v>898</v>
      </c>
    </row>
    <row r="1023">
      <c r="B1023" t="s">
        <v>898</v>
      </c>
      <c r="C1023" t="s">
        <v>898</v>
      </c>
      <c r="D1023" t="s">
        <v>898</v>
      </c>
      <c r="E1023" t="s">
        <v>898</v>
      </c>
      <c r="F1023" t="s">
        <v>898</v>
      </c>
      <c r="G1023" t="s">
        <v>67</v>
      </c>
      <c r="H1023" t="s">
        <v>898</v>
      </c>
    </row>
    <row r="1024">
      <c r="B1024" t="s">
        <v>898</v>
      </c>
      <c r="C1024" t="s">
        <v>898</v>
      </c>
      <c r="D1024" t="s">
        <v>898</v>
      </c>
      <c r="E1024" t="s">
        <v>898</v>
      </c>
      <c r="F1024" t="s">
        <v>898</v>
      </c>
      <c r="G1024" t="s">
        <v>67</v>
      </c>
      <c r="H1024" t="s">
        <v>898</v>
      </c>
    </row>
    <row r="1025">
      <c r="B1025" t="s">
        <v>898</v>
      </c>
      <c r="C1025" t="s">
        <v>898</v>
      </c>
      <c r="D1025" t="s">
        <v>898</v>
      </c>
      <c r="E1025" t="s">
        <v>898</v>
      </c>
      <c r="F1025" t="s">
        <v>898</v>
      </c>
      <c r="G1025" t="s">
        <v>67</v>
      </c>
      <c r="H1025" t="s">
        <v>898</v>
      </c>
    </row>
    <row r="1026">
      <c r="B1026" t="s">
        <v>898</v>
      </c>
      <c r="C1026" t="s">
        <v>898</v>
      </c>
      <c r="D1026" t="s">
        <v>898</v>
      </c>
      <c r="E1026" t="s">
        <v>898</v>
      </c>
      <c r="F1026" t="s">
        <v>898</v>
      </c>
      <c r="G1026" t="s">
        <v>67</v>
      </c>
      <c r="H1026" t="s">
        <v>898</v>
      </c>
    </row>
    <row r="1027">
      <c r="B1027" t="s">
        <v>898</v>
      </c>
      <c r="C1027" t="s">
        <v>898</v>
      </c>
      <c r="D1027" t="s">
        <v>898</v>
      </c>
      <c r="E1027" t="s">
        <v>898</v>
      </c>
      <c r="F1027" t="s">
        <v>898</v>
      </c>
      <c r="G1027" t="s">
        <v>67</v>
      </c>
      <c r="H1027" t="s">
        <v>898</v>
      </c>
    </row>
    <row r="1028">
      <c r="B1028" t="s">
        <v>898</v>
      </c>
      <c r="C1028" t="s">
        <v>898</v>
      </c>
      <c r="D1028" t="s">
        <v>898</v>
      </c>
      <c r="E1028" t="s">
        <v>898</v>
      </c>
      <c r="F1028" t="s">
        <v>898</v>
      </c>
      <c r="G1028" t="s">
        <v>67</v>
      </c>
      <c r="H1028" t="s">
        <v>898</v>
      </c>
    </row>
    <row r="1029">
      <c r="B1029" t="s">
        <v>898</v>
      </c>
      <c r="C1029" t="s">
        <v>898</v>
      </c>
      <c r="D1029" t="s">
        <v>898</v>
      </c>
      <c r="E1029" t="s">
        <v>898</v>
      </c>
      <c r="F1029" t="s">
        <v>898</v>
      </c>
      <c r="G1029" t="s">
        <v>67</v>
      </c>
      <c r="H1029" t="s">
        <v>898</v>
      </c>
    </row>
    <row r="1030">
      <c r="B1030" t="s">
        <v>898</v>
      </c>
      <c r="C1030" t="s">
        <v>898</v>
      </c>
      <c r="D1030" t="s">
        <v>898</v>
      </c>
      <c r="E1030" t="s">
        <v>898</v>
      </c>
      <c r="F1030" t="s">
        <v>898</v>
      </c>
      <c r="G1030" t="s">
        <v>67</v>
      </c>
      <c r="H1030" t="s">
        <v>898</v>
      </c>
    </row>
    <row r="1031">
      <c r="B1031" t="s">
        <v>898</v>
      </c>
      <c r="C1031" t="s">
        <v>898</v>
      </c>
      <c r="D1031" t="s">
        <v>898</v>
      </c>
      <c r="E1031" t="s">
        <v>898</v>
      </c>
      <c r="F1031" t="s">
        <v>898</v>
      </c>
      <c r="G1031" t="s">
        <v>67</v>
      </c>
      <c r="H1031" t="s">
        <v>898</v>
      </c>
    </row>
    <row r="1032">
      <c r="B1032" t="s">
        <v>898</v>
      </c>
      <c r="C1032" t="s">
        <v>898</v>
      </c>
      <c r="D1032" t="s">
        <v>898</v>
      </c>
      <c r="E1032" t="s">
        <v>898</v>
      </c>
      <c r="F1032" t="s">
        <v>898</v>
      </c>
      <c r="G1032" t="s">
        <v>67</v>
      </c>
      <c r="H1032" t="s">
        <v>898</v>
      </c>
    </row>
    <row r="1033">
      <c r="B1033" t="s">
        <v>898</v>
      </c>
      <c r="C1033" t="s">
        <v>898</v>
      </c>
      <c r="D1033" t="s">
        <v>898</v>
      </c>
      <c r="E1033" t="s">
        <v>898</v>
      </c>
      <c r="F1033" t="s">
        <v>898</v>
      </c>
      <c r="G1033" t="s">
        <v>67</v>
      </c>
      <c r="H1033" t="s">
        <v>898</v>
      </c>
    </row>
    <row r="1034">
      <c r="B1034" t="s">
        <v>898</v>
      </c>
      <c r="C1034" t="s">
        <v>898</v>
      </c>
      <c r="D1034" t="s">
        <v>898</v>
      </c>
      <c r="E1034" t="s">
        <v>898</v>
      </c>
      <c r="F1034" t="s">
        <v>898</v>
      </c>
      <c r="G1034" t="s">
        <v>67</v>
      </c>
      <c r="H1034" t="s">
        <v>898</v>
      </c>
    </row>
    <row r="1035">
      <c r="B1035" t="s">
        <v>898</v>
      </c>
      <c r="C1035" t="s">
        <v>898</v>
      </c>
      <c r="D1035" t="s">
        <v>898</v>
      </c>
      <c r="E1035" t="s">
        <v>898</v>
      </c>
      <c r="F1035" t="s">
        <v>898</v>
      </c>
      <c r="G1035" t="s">
        <v>67</v>
      </c>
      <c r="H1035" t="s">
        <v>898</v>
      </c>
    </row>
    <row r="1036">
      <c r="B1036" t="s">
        <v>898</v>
      </c>
      <c r="C1036" t="s">
        <v>898</v>
      </c>
      <c r="D1036" t="s">
        <v>898</v>
      </c>
      <c r="E1036" t="s">
        <v>898</v>
      </c>
      <c r="F1036" t="s">
        <v>898</v>
      </c>
      <c r="G1036" t="s">
        <v>67</v>
      </c>
      <c r="H1036" t="s">
        <v>898</v>
      </c>
    </row>
    <row r="1037">
      <c r="B1037" t="s">
        <v>898</v>
      </c>
      <c r="C1037" t="s">
        <v>898</v>
      </c>
      <c r="D1037" t="s">
        <v>898</v>
      </c>
      <c r="E1037" t="s">
        <v>898</v>
      </c>
      <c r="F1037" t="s">
        <v>898</v>
      </c>
      <c r="G1037" t="s">
        <v>67</v>
      </c>
      <c r="H1037" t="s">
        <v>898</v>
      </c>
    </row>
    <row r="1038">
      <c r="B1038" t="s">
        <v>898</v>
      </c>
      <c r="C1038" t="s">
        <v>898</v>
      </c>
      <c r="D1038" t="s">
        <v>898</v>
      </c>
      <c r="E1038" t="s">
        <v>898</v>
      </c>
      <c r="F1038" t="s">
        <v>898</v>
      </c>
      <c r="G1038" t="s">
        <v>67</v>
      </c>
      <c r="H1038" t="s">
        <v>898</v>
      </c>
    </row>
    <row r="1039">
      <c r="B1039" t="s">
        <v>898</v>
      </c>
      <c r="C1039" t="s">
        <v>898</v>
      </c>
      <c r="D1039" t="s">
        <v>898</v>
      </c>
      <c r="E1039" t="s">
        <v>898</v>
      </c>
      <c r="F1039" t="s">
        <v>898</v>
      </c>
      <c r="G1039" t="s">
        <v>67</v>
      </c>
      <c r="H1039" t="s">
        <v>898</v>
      </c>
    </row>
    <row r="1040">
      <c r="B1040" t="s">
        <v>898</v>
      </c>
      <c r="C1040" t="s">
        <v>898</v>
      </c>
      <c r="D1040" t="s">
        <v>898</v>
      </c>
      <c r="E1040" t="s">
        <v>898</v>
      </c>
      <c r="F1040" t="s">
        <v>898</v>
      </c>
      <c r="G1040" t="s">
        <v>67</v>
      </c>
      <c r="H1040" t="s">
        <v>898</v>
      </c>
    </row>
    <row r="1041">
      <c r="B1041" t="s">
        <v>898</v>
      </c>
      <c r="C1041" t="s">
        <v>898</v>
      </c>
      <c r="D1041" t="s">
        <v>898</v>
      </c>
      <c r="E1041" t="s">
        <v>898</v>
      </c>
      <c r="F1041" t="s">
        <v>898</v>
      </c>
      <c r="G1041" t="s">
        <v>67</v>
      </c>
      <c r="H1041" t="s">
        <v>898</v>
      </c>
    </row>
    <row r="1042">
      <c r="B1042" t="s">
        <v>898</v>
      </c>
      <c r="C1042" t="s">
        <v>898</v>
      </c>
      <c r="D1042" t="s">
        <v>898</v>
      </c>
      <c r="E1042" t="s">
        <v>898</v>
      </c>
      <c r="F1042" t="s">
        <v>898</v>
      </c>
      <c r="G1042" t="s">
        <v>67</v>
      </c>
      <c r="H1042" t="s">
        <v>898</v>
      </c>
    </row>
    <row r="1043">
      <c r="B1043" t="s">
        <v>898</v>
      </c>
      <c r="C1043" t="s">
        <v>898</v>
      </c>
      <c r="D1043" t="s">
        <v>898</v>
      </c>
      <c r="E1043" t="s">
        <v>898</v>
      </c>
      <c r="F1043" t="s">
        <v>898</v>
      </c>
      <c r="G1043" t="s">
        <v>67</v>
      </c>
      <c r="H1043" t="s">
        <v>898</v>
      </c>
    </row>
    <row r="1044">
      <c r="B1044" t="s">
        <v>898</v>
      </c>
      <c r="C1044" t="s">
        <v>898</v>
      </c>
      <c r="D1044" t="s">
        <v>898</v>
      </c>
      <c r="E1044" t="s">
        <v>898</v>
      </c>
      <c r="F1044" t="s">
        <v>898</v>
      </c>
      <c r="G1044" t="s">
        <v>67</v>
      </c>
      <c r="H1044" t="s">
        <v>898</v>
      </c>
    </row>
    <row r="1045">
      <c r="B1045" t="s">
        <v>898</v>
      </c>
      <c r="C1045" t="s">
        <v>898</v>
      </c>
      <c r="D1045" t="s">
        <v>898</v>
      </c>
      <c r="E1045" t="s">
        <v>898</v>
      </c>
      <c r="F1045" t="s">
        <v>898</v>
      </c>
      <c r="G1045" t="s">
        <v>67</v>
      </c>
      <c r="H1045" t="s">
        <v>898</v>
      </c>
    </row>
    <row r="1046">
      <c r="B1046" t="s">
        <v>898</v>
      </c>
      <c r="C1046" t="s">
        <v>898</v>
      </c>
      <c r="D1046" t="s">
        <v>898</v>
      </c>
      <c r="E1046" t="s">
        <v>898</v>
      </c>
      <c r="F1046" t="s">
        <v>898</v>
      </c>
      <c r="G1046" t="s">
        <v>67</v>
      </c>
      <c r="H1046" t="s">
        <v>898</v>
      </c>
    </row>
    <row r="1047">
      <c r="B1047" t="s">
        <v>898</v>
      </c>
      <c r="C1047" t="s">
        <v>898</v>
      </c>
      <c r="D1047" t="s">
        <v>898</v>
      </c>
      <c r="E1047" t="s">
        <v>898</v>
      </c>
      <c r="F1047" t="s">
        <v>898</v>
      </c>
      <c r="G1047" t="s">
        <v>67</v>
      </c>
      <c r="H1047" t="s">
        <v>898</v>
      </c>
    </row>
    <row r="1048">
      <c r="B1048" t="s">
        <v>898</v>
      </c>
      <c r="C1048" t="s">
        <v>898</v>
      </c>
      <c r="D1048" t="s">
        <v>898</v>
      </c>
      <c r="E1048" t="s">
        <v>898</v>
      </c>
      <c r="F1048" t="s">
        <v>898</v>
      </c>
      <c r="G1048" t="s">
        <v>67</v>
      </c>
      <c r="H1048" t="s">
        <v>898</v>
      </c>
    </row>
    <row r="1049">
      <c r="B1049" t="s">
        <v>898</v>
      </c>
      <c r="C1049" t="s">
        <v>898</v>
      </c>
      <c r="D1049" t="s">
        <v>898</v>
      </c>
      <c r="E1049" t="s">
        <v>898</v>
      </c>
      <c r="F1049" t="s">
        <v>898</v>
      </c>
      <c r="G1049" t="s">
        <v>67</v>
      </c>
      <c r="H1049" t="s">
        <v>898</v>
      </c>
    </row>
    <row r="1050">
      <c r="B1050" t="s">
        <v>898</v>
      </c>
      <c r="C1050" t="s">
        <v>898</v>
      </c>
      <c r="D1050" t="s">
        <v>898</v>
      </c>
      <c r="E1050" t="s">
        <v>898</v>
      </c>
      <c r="F1050" t="s">
        <v>898</v>
      </c>
      <c r="G1050" t="s">
        <v>67</v>
      </c>
      <c r="H1050" t="s">
        <v>898</v>
      </c>
    </row>
    <row r="1051">
      <c r="B1051" t="s">
        <v>898</v>
      </c>
      <c r="C1051" t="s">
        <v>898</v>
      </c>
      <c r="D1051" t="s">
        <v>898</v>
      </c>
      <c r="E1051" t="s">
        <v>898</v>
      </c>
      <c r="F1051" t="s">
        <v>898</v>
      </c>
      <c r="G1051" t="s">
        <v>67</v>
      </c>
      <c r="H1051" t="s">
        <v>898</v>
      </c>
    </row>
    <row r="1052">
      <c r="B1052" t="s">
        <v>898</v>
      </c>
      <c r="C1052" t="s">
        <v>898</v>
      </c>
      <c r="D1052" t="s">
        <v>898</v>
      </c>
      <c r="E1052" t="s">
        <v>898</v>
      </c>
      <c r="F1052" t="s">
        <v>898</v>
      </c>
      <c r="G1052" t="s">
        <v>67</v>
      </c>
      <c r="H1052" t="s">
        <v>898</v>
      </c>
    </row>
    <row r="1053">
      <c r="B1053" t="s">
        <v>898</v>
      </c>
      <c r="C1053" t="s">
        <v>898</v>
      </c>
      <c r="D1053" t="s">
        <v>898</v>
      </c>
      <c r="E1053" t="s">
        <v>898</v>
      </c>
      <c r="F1053" t="s">
        <v>898</v>
      </c>
      <c r="G1053" t="s">
        <v>67</v>
      </c>
      <c r="H1053" t="s">
        <v>898</v>
      </c>
    </row>
    <row r="1054">
      <c r="B1054" t="s">
        <v>898</v>
      </c>
      <c r="C1054" t="s">
        <v>898</v>
      </c>
      <c r="D1054" t="s">
        <v>898</v>
      </c>
      <c r="E1054" t="s">
        <v>898</v>
      </c>
      <c r="F1054" t="s">
        <v>898</v>
      </c>
      <c r="G1054" t="s">
        <v>67</v>
      </c>
      <c r="H1054" t="s">
        <v>898</v>
      </c>
    </row>
    <row r="1055">
      <c r="B1055" t="s">
        <v>898</v>
      </c>
      <c r="C1055" t="s">
        <v>898</v>
      </c>
      <c r="D1055" t="s">
        <v>898</v>
      </c>
      <c r="E1055" t="s">
        <v>898</v>
      </c>
      <c r="F1055" t="s">
        <v>898</v>
      </c>
      <c r="G1055" t="s">
        <v>67</v>
      </c>
      <c r="H1055" t="s">
        <v>898</v>
      </c>
    </row>
    <row r="1056">
      <c r="B1056" t="s">
        <v>898</v>
      </c>
      <c r="C1056" t="s">
        <v>898</v>
      </c>
      <c r="D1056" t="s">
        <v>898</v>
      </c>
      <c r="E1056" t="s">
        <v>898</v>
      </c>
      <c r="F1056" t="s">
        <v>898</v>
      </c>
      <c r="G1056" t="s">
        <v>67</v>
      </c>
      <c r="H1056" t="s">
        <v>898</v>
      </c>
    </row>
    <row r="1057">
      <c r="B1057" t="s">
        <v>898</v>
      </c>
      <c r="C1057" t="s">
        <v>898</v>
      </c>
      <c r="D1057" t="s">
        <v>898</v>
      </c>
      <c r="E1057" t="s">
        <v>898</v>
      </c>
      <c r="F1057" t="s">
        <v>898</v>
      </c>
      <c r="G1057" t="s">
        <v>67</v>
      </c>
      <c r="H1057" t="s">
        <v>898</v>
      </c>
    </row>
    <row r="1058">
      <c r="B1058" t="s">
        <v>898</v>
      </c>
      <c r="C1058" t="s">
        <v>898</v>
      </c>
      <c r="D1058" t="s">
        <v>898</v>
      </c>
      <c r="E1058" t="s">
        <v>898</v>
      </c>
      <c r="F1058" t="s">
        <v>898</v>
      </c>
      <c r="G1058" t="s">
        <v>67</v>
      </c>
      <c r="H1058" t="s">
        <v>898</v>
      </c>
    </row>
    <row r="1059">
      <c r="B1059" t="s">
        <v>898</v>
      </c>
      <c r="C1059" t="s">
        <v>898</v>
      </c>
      <c r="D1059" t="s">
        <v>898</v>
      </c>
      <c r="E1059" t="s">
        <v>898</v>
      </c>
      <c r="F1059" t="s">
        <v>898</v>
      </c>
      <c r="G1059" t="s">
        <v>67</v>
      </c>
      <c r="H1059" t="s">
        <v>898</v>
      </c>
    </row>
    <row r="1060">
      <c r="B1060" t="s">
        <v>898</v>
      </c>
      <c r="C1060" t="s">
        <v>898</v>
      </c>
      <c r="D1060" t="s">
        <v>898</v>
      </c>
      <c r="E1060" t="s">
        <v>898</v>
      </c>
      <c r="F1060" t="s">
        <v>898</v>
      </c>
      <c r="G1060" t="s">
        <v>67</v>
      </c>
      <c r="H1060" t="s">
        <v>898</v>
      </c>
    </row>
    <row r="1061">
      <c r="B1061" t="s">
        <v>898</v>
      </c>
      <c r="C1061" t="s">
        <v>898</v>
      </c>
      <c r="D1061" t="s">
        <v>898</v>
      </c>
      <c r="E1061" t="s">
        <v>898</v>
      </c>
      <c r="F1061" t="s">
        <v>898</v>
      </c>
      <c r="G1061" t="s">
        <v>67</v>
      </c>
      <c r="H1061" t="s">
        <v>898</v>
      </c>
    </row>
    <row r="1062">
      <c r="B1062" t="s">
        <v>898</v>
      </c>
      <c r="C1062" t="s">
        <v>898</v>
      </c>
      <c r="D1062" t="s">
        <v>898</v>
      </c>
      <c r="E1062" t="s">
        <v>898</v>
      </c>
      <c r="F1062" t="s">
        <v>898</v>
      </c>
      <c r="G1062" t="s">
        <v>67</v>
      </c>
      <c r="H1062" t="s">
        <v>898</v>
      </c>
    </row>
    <row r="1063">
      <c r="B1063" t="s">
        <v>898</v>
      </c>
      <c r="C1063" t="s">
        <v>898</v>
      </c>
      <c r="D1063" t="s">
        <v>898</v>
      </c>
      <c r="E1063" t="s">
        <v>898</v>
      </c>
      <c r="F1063" t="s">
        <v>898</v>
      </c>
      <c r="G1063" t="s">
        <v>67</v>
      </c>
      <c r="H1063" t="s">
        <v>898</v>
      </c>
    </row>
    <row r="1064">
      <c r="B1064" t="s">
        <v>898</v>
      </c>
      <c r="C1064" t="s">
        <v>898</v>
      </c>
      <c r="D1064" t="s">
        <v>898</v>
      </c>
      <c r="E1064" t="s">
        <v>898</v>
      </c>
      <c r="F1064" t="s">
        <v>898</v>
      </c>
      <c r="G1064" t="s">
        <v>67</v>
      </c>
      <c r="H1064" t="s">
        <v>898</v>
      </c>
    </row>
    <row r="1065">
      <c r="B1065" t="s">
        <v>898</v>
      </c>
      <c r="C1065" t="s">
        <v>898</v>
      </c>
      <c r="D1065" t="s">
        <v>898</v>
      </c>
      <c r="E1065" t="s">
        <v>898</v>
      </c>
      <c r="F1065" t="s">
        <v>898</v>
      </c>
      <c r="G1065" t="s">
        <v>67</v>
      </c>
      <c r="H1065" t="s">
        <v>898</v>
      </c>
    </row>
    <row r="1066">
      <c r="B1066" t="s">
        <v>898</v>
      </c>
      <c r="C1066" t="s">
        <v>898</v>
      </c>
      <c r="D1066" t="s">
        <v>898</v>
      </c>
      <c r="E1066" t="s">
        <v>898</v>
      </c>
      <c r="F1066" t="s">
        <v>898</v>
      </c>
      <c r="G1066" t="s">
        <v>67</v>
      </c>
      <c r="H1066" t="s">
        <v>898</v>
      </c>
    </row>
    <row r="1067">
      <c r="B1067" t="s">
        <v>898</v>
      </c>
      <c r="C1067" t="s">
        <v>898</v>
      </c>
      <c r="D1067" t="s">
        <v>898</v>
      </c>
      <c r="E1067" t="s">
        <v>898</v>
      </c>
      <c r="F1067" t="s">
        <v>898</v>
      </c>
      <c r="G1067" t="s">
        <v>67</v>
      </c>
      <c r="H1067" t="s">
        <v>898</v>
      </c>
    </row>
    <row r="1068">
      <c r="B1068" t="s">
        <v>898</v>
      </c>
      <c r="C1068" t="s">
        <v>898</v>
      </c>
      <c r="D1068" t="s">
        <v>898</v>
      </c>
      <c r="E1068" t="s">
        <v>898</v>
      </c>
      <c r="F1068" t="s">
        <v>898</v>
      </c>
      <c r="G1068" t="s">
        <v>67</v>
      </c>
      <c r="H1068" t="s">
        <v>898</v>
      </c>
    </row>
    <row r="1069">
      <c r="B1069" t="s">
        <v>898</v>
      </c>
      <c r="C1069" t="s">
        <v>898</v>
      </c>
      <c r="D1069" t="s">
        <v>898</v>
      </c>
      <c r="E1069" t="s">
        <v>898</v>
      </c>
      <c r="F1069" t="s">
        <v>898</v>
      </c>
      <c r="G1069" t="s">
        <v>67</v>
      </c>
      <c r="H1069" t="s">
        <v>898</v>
      </c>
    </row>
    <row r="1070">
      <c r="B1070" t="s">
        <v>898</v>
      </c>
      <c r="C1070" t="s">
        <v>898</v>
      </c>
      <c r="D1070" t="s">
        <v>898</v>
      </c>
      <c r="E1070" t="s">
        <v>898</v>
      </c>
      <c r="F1070" t="s">
        <v>898</v>
      </c>
      <c r="G1070" t="s">
        <v>67</v>
      </c>
      <c r="H1070" t="s">
        <v>898</v>
      </c>
    </row>
    <row r="1071">
      <c r="B1071" t="s">
        <v>898</v>
      </c>
      <c r="C1071" t="s">
        <v>898</v>
      </c>
      <c r="D1071" t="s">
        <v>898</v>
      </c>
      <c r="E1071" t="s">
        <v>898</v>
      </c>
      <c r="F1071" t="s">
        <v>898</v>
      </c>
      <c r="G1071" t="s">
        <v>67</v>
      </c>
      <c r="H1071" t="s">
        <v>898</v>
      </c>
    </row>
    <row r="1072">
      <c r="B1072" t="s">
        <v>898</v>
      </c>
      <c r="C1072" t="s">
        <v>898</v>
      </c>
      <c r="D1072" t="s">
        <v>898</v>
      </c>
      <c r="E1072" t="s">
        <v>898</v>
      </c>
      <c r="F1072" t="s">
        <v>898</v>
      </c>
      <c r="G1072" t="s">
        <v>67</v>
      </c>
      <c r="H1072" t="s">
        <v>898</v>
      </c>
    </row>
    <row r="1073">
      <c r="B1073" t="s">
        <v>898</v>
      </c>
      <c r="C1073" t="s">
        <v>898</v>
      </c>
      <c r="D1073" t="s">
        <v>898</v>
      </c>
      <c r="E1073" t="s">
        <v>898</v>
      </c>
      <c r="F1073" t="s">
        <v>898</v>
      </c>
      <c r="G1073" t="s">
        <v>67</v>
      </c>
      <c r="H1073" t="s">
        <v>898</v>
      </c>
    </row>
    <row r="1074">
      <c r="B1074" t="s">
        <v>898</v>
      </c>
      <c r="C1074" t="s">
        <v>898</v>
      </c>
      <c r="D1074" t="s">
        <v>898</v>
      </c>
      <c r="E1074" t="s">
        <v>898</v>
      </c>
      <c r="F1074" t="s">
        <v>898</v>
      </c>
      <c r="G1074" t="s">
        <v>67</v>
      </c>
      <c r="H1074" t="s">
        <v>898</v>
      </c>
    </row>
    <row r="1075">
      <c r="B1075" t="s">
        <v>898</v>
      </c>
      <c r="C1075" t="s">
        <v>898</v>
      </c>
      <c r="D1075" t="s">
        <v>898</v>
      </c>
      <c r="E1075" t="s">
        <v>898</v>
      </c>
      <c r="F1075" t="s">
        <v>898</v>
      </c>
      <c r="G1075" t="s">
        <v>67</v>
      </c>
      <c r="H1075" t="s">
        <v>898</v>
      </c>
    </row>
    <row r="1076">
      <c r="B1076" t="s">
        <v>898</v>
      </c>
      <c r="C1076" t="s">
        <v>898</v>
      </c>
      <c r="D1076" t="s">
        <v>898</v>
      </c>
      <c r="E1076" t="s">
        <v>898</v>
      </c>
      <c r="F1076" t="s">
        <v>898</v>
      </c>
      <c r="G1076" t="s">
        <v>67</v>
      </c>
      <c r="H1076" t="s">
        <v>898</v>
      </c>
    </row>
    <row r="1077">
      <c r="B1077" t="s">
        <v>898</v>
      </c>
      <c r="C1077" t="s">
        <v>898</v>
      </c>
      <c r="D1077" t="s">
        <v>898</v>
      </c>
      <c r="E1077" t="s">
        <v>898</v>
      </c>
      <c r="F1077" t="s">
        <v>898</v>
      </c>
      <c r="G1077" t="s">
        <v>67</v>
      </c>
      <c r="H1077" t="s">
        <v>898</v>
      </c>
    </row>
    <row r="1078">
      <c r="B1078" t="s">
        <v>898</v>
      </c>
      <c r="C1078" t="s">
        <v>898</v>
      </c>
      <c r="D1078" t="s">
        <v>898</v>
      </c>
      <c r="E1078" t="s">
        <v>898</v>
      </c>
      <c r="F1078" t="s">
        <v>898</v>
      </c>
      <c r="G1078" t="s">
        <v>67</v>
      </c>
      <c r="H1078" t="s">
        <v>898</v>
      </c>
    </row>
    <row r="1079">
      <c r="B1079" t="s">
        <v>898</v>
      </c>
      <c r="C1079" t="s">
        <v>898</v>
      </c>
      <c r="D1079" t="s">
        <v>898</v>
      </c>
      <c r="E1079" t="s">
        <v>898</v>
      </c>
      <c r="F1079" t="s">
        <v>898</v>
      </c>
      <c r="G1079" t="s">
        <v>67</v>
      </c>
      <c r="H1079" t="s">
        <v>898</v>
      </c>
    </row>
    <row r="1080">
      <c r="B1080" t="s">
        <v>898</v>
      </c>
      <c r="C1080" t="s">
        <v>898</v>
      </c>
      <c r="D1080" t="s">
        <v>898</v>
      </c>
      <c r="E1080" t="s">
        <v>898</v>
      </c>
      <c r="F1080" t="s">
        <v>898</v>
      </c>
      <c r="G1080" t="s">
        <v>67</v>
      </c>
      <c r="H1080" t="s">
        <v>898</v>
      </c>
    </row>
    <row r="1081">
      <c r="B1081" t="s">
        <v>898</v>
      </c>
      <c r="C1081" t="s">
        <v>898</v>
      </c>
      <c r="D1081" t="s">
        <v>898</v>
      </c>
      <c r="E1081" t="s">
        <v>898</v>
      </c>
      <c r="F1081" t="s">
        <v>898</v>
      </c>
      <c r="G1081" t="s">
        <v>67</v>
      </c>
      <c r="H1081" t="s">
        <v>898</v>
      </c>
    </row>
    <row r="1082">
      <c r="B1082" t="s">
        <v>898</v>
      </c>
      <c r="C1082" t="s">
        <v>898</v>
      </c>
      <c r="D1082" t="s">
        <v>898</v>
      </c>
      <c r="E1082" t="s">
        <v>898</v>
      </c>
      <c r="F1082" t="s">
        <v>898</v>
      </c>
      <c r="G1082" t="s">
        <v>67</v>
      </c>
      <c r="H1082" t="s">
        <v>898</v>
      </c>
    </row>
    <row r="1083">
      <c r="B1083" t="s">
        <v>898</v>
      </c>
      <c r="C1083" t="s">
        <v>898</v>
      </c>
      <c r="D1083" t="s">
        <v>898</v>
      </c>
      <c r="E1083" t="s">
        <v>898</v>
      </c>
      <c r="F1083" t="s">
        <v>898</v>
      </c>
      <c r="G1083" t="s">
        <v>67</v>
      </c>
      <c r="H1083" t="s">
        <v>898</v>
      </c>
    </row>
    <row r="1084">
      <c r="B1084" t="s">
        <v>898</v>
      </c>
      <c r="C1084" t="s">
        <v>898</v>
      </c>
      <c r="D1084" t="s">
        <v>898</v>
      </c>
      <c r="E1084" t="s">
        <v>898</v>
      </c>
      <c r="F1084" t="s">
        <v>898</v>
      </c>
      <c r="G1084" t="s">
        <v>67</v>
      </c>
      <c r="H1084" t="s">
        <v>898</v>
      </c>
    </row>
    <row r="1085">
      <c r="B1085" t="s">
        <v>898</v>
      </c>
      <c r="C1085" t="s">
        <v>898</v>
      </c>
      <c r="D1085" t="s">
        <v>898</v>
      </c>
      <c r="E1085" t="s">
        <v>898</v>
      </c>
      <c r="F1085" t="s">
        <v>898</v>
      </c>
      <c r="G1085" t="s">
        <v>67</v>
      </c>
      <c r="H1085" t="s">
        <v>898</v>
      </c>
    </row>
    <row r="1086">
      <c r="B1086" t="s">
        <v>898</v>
      </c>
      <c r="C1086" t="s">
        <v>898</v>
      </c>
      <c r="D1086" t="s">
        <v>898</v>
      </c>
      <c r="E1086" t="s">
        <v>898</v>
      </c>
      <c r="F1086" t="s">
        <v>898</v>
      </c>
      <c r="G1086" t="s">
        <v>67</v>
      </c>
      <c r="H1086" t="s">
        <v>898</v>
      </c>
    </row>
    <row r="1087">
      <c r="B1087" t="s">
        <v>898</v>
      </c>
      <c r="C1087" t="s">
        <v>898</v>
      </c>
      <c r="D1087" t="s">
        <v>898</v>
      </c>
      <c r="E1087" t="s">
        <v>898</v>
      </c>
      <c r="F1087" t="s">
        <v>898</v>
      </c>
      <c r="G1087" t="s">
        <v>67</v>
      </c>
      <c r="H1087" t="s">
        <v>898</v>
      </c>
    </row>
    <row r="1088">
      <c r="B1088" t="s">
        <v>898</v>
      </c>
      <c r="C1088" t="s">
        <v>898</v>
      </c>
      <c r="D1088" t="s">
        <v>898</v>
      </c>
      <c r="E1088" t="s">
        <v>898</v>
      </c>
      <c r="F1088" t="s">
        <v>898</v>
      </c>
      <c r="G1088" t="s">
        <v>67</v>
      </c>
      <c r="H1088" t="s">
        <v>898</v>
      </c>
    </row>
    <row r="1089">
      <c r="B1089" t="s">
        <v>898</v>
      </c>
      <c r="C1089" t="s">
        <v>898</v>
      </c>
      <c r="D1089" t="s">
        <v>898</v>
      </c>
      <c r="E1089" t="s">
        <v>898</v>
      </c>
      <c r="F1089" t="s">
        <v>898</v>
      </c>
      <c r="G1089" t="s">
        <v>67</v>
      </c>
      <c r="H1089" t="s">
        <v>898</v>
      </c>
    </row>
    <row r="1090">
      <c r="B1090" t="s">
        <v>898</v>
      </c>
      <c r="C1090" t="s">
        <v>898</v>
      </c>
      <c r="D1090" t="s">
        <v>898</v>
      </c>
      <c r="E1090" t="s">
        <v>898</v>
      </c>
      <c r="F1090" t="s">
        <v>898</v>
      </c>
      <c r="G1090" t="s">
        <v>67</v>
      </c>
      <c r="H1090" t="s">
        <v>898</v>
      </c>
    </row>
    <row r="1091">
      <c r="B1091" t="s">
        <v>898</v>
      </c>
      <c r="C1091" t="s">
        <v>898</v>
      </c>
      <c r="D1091" t="s">
        <v>898</v>
      </c>
      <c r="E1091" t="s">
        <v>898</v>
      </c>
      <c r="F1091" t="s">
        <v>898</v>
      </c>
      <c r="G1091" t="s">
        <v>67</v>
      </c>
      <c r="H1091" t="s">
        <v>898</v>
      </c>
    </row>
    <row r="1092">
      <c r="B1092" t="s">
        <v>898</v>
      </c>
      <c r="C1092" t="s">
        <v>898</v>
      </c>
      <c r="D1092" t="s">
        <v>898</v>
      </c>
      <c r="E1092" t="s">
        <v>898</v>
      </c>
      <c r="F1092" t="s">
        <v>898</v>
      </c>
      <c r="G1092" t="s">
        <v>67</v>
      </c>
      <c r="H1092" t="s">
        <v>898</v>
      </c>
    </row>
    <row r="1093">
      <c r="B1093" t="s">
        <v>898</v>
      </c>
      <c r="C1093" t="s">
        <v>898</v>
      </c>
      <c r="D1093" t="s">
        <v>898</v>
      </c>
      <c r="E1093" t="s">
        <v>898</v>
      </c>
      <c r="F1093" t="s">
        <v>898</v>
      </c>
      <c r="G1093" t="s">
        <v>67</v>
      </c>
      <c r="H1093" t="s">
        <v>898</v>
      </c>
    </row>
    <row r="1094">
      <c r="B1094" t="s">
        <v>898</v>
      </c>
      <c r="C1094" t="s">
        <v>898</v>
      </c>
      <c r="D1094" t="s">
        <v>898</v>
      </c>
      <c r="E1094" t="s">
        <v>898</v>
      </c>
      <c r="F1094" t="s">
        <v>898</v>
      </c>
      <c r="G1094" t="s">
        <v>67</v>
      </c>
      <c r="H1094" t="s">
        <v>898</v>
      </c>
    </row>
    <row r="1095">
      <c r="B1095" t="s">
        <v>898</v>
      </c>
      <c r="C1095" t="s">
        <v>898</v>
      </c>
      <c r="D1095" t="s">
        <v>898</v>
      </c>
      <c r="E1095" t="s">
        <v>898</v>
      </c>
      <c r="F1095" t="s">
        <v>898</v>
      </c>
      <c r="G1095" t="s">
        <v>67</v>
      </c>
      <c r="H1095" t="s">
        <v>898</v>
      </c>
    </row>
    <row r="1096">
      <c r="B1096" t="s">
        <v>898</v>
      </c>
      <c r="C1096" t="s">
        <v>898</v>
      </c>
      <c r="D1096" t="s">
        <v>898</v>
      </c>
      <c r="E1096" t="s">
        <v>898</v>
      </c>
      <c r="F1096" t="s">
        <v>898</v>
      </c>
      <c r="G1096" t="s">
        <v>67</v>
      </c>
      <c r="H1096" t="s">
        <v>898</v>
      </c>
    </row>
    <row r="1097">
      <c r="B1097" t="s">
        <v>898</v>
      </c>
      <c r="C1097" t="s">
        <v>898</v>
      </c>
      <c r="D1097" t="s">
        <v>898</v>
      </c>
      <c r="E1097" t="s">
        <v>898</v>
      </c>
      <c r="F1097" t="s">
        <v>898</v>
      </c>
      <c r="G1097" t="s">
        <v>67</v>
      </c>
      <c r="H1097" t="s">
        <v>898</v>
      </c>
    </row>
    <row r="1098">
      <c r="B1098" t="s">
        <v>898</v>
      </c>
      <c r="C1098" t="s">
        <v>898</v>
      </c>
      <c r="D1098" t="s">
        <v>898</v>
      </c>
      <c r="E1098" t="s">
        <v>898</v>
      </c>
      <c r="F1098" t="s">
        <v>898</v>
      </c>
      <c r="G1098" t="s">
        <v>67</v>
      </c>
      <c r="H1098" t="s">
        <v>898</v>
      </c>
    </row>
    <row r="1099">
      <c r="B1099" t="s">
        <v>898</v>
      </c>
      <c r="C1099" t="s">
        <v>898</v>
      </c>
      <c r="D1099" t="s">
        <v>898</v>
      </c>
      <c r="E1099" t="s">
        <v>898</v>
      </c>
      <c r="F1099" t="s">
        <v>898</v>
      </c>
      <c r="G1099" t="s">
        <v>67</v>
      </c>
      <c r="H1099" t="s">
        <v>898</v>
      </c>
    </row>
    <row r="1100">
      <c r="B1100" t="s">
        <v>898</v>
      </c>
      <c r="C1100" t="s">
        <v>898</v>
      </c>
      <c r="D1100" t="s">
        <v>898</v>
      </c>
      <c r="E1100" t="s">
        <v>898</v>
      </c>
      <c r="F1100" t="s">
        <v>898</v>
      </c>
      <c r="G1100" t="s">
        <v>67</v>
      </c>
      <c r="H1100" t="s">
        <v>898</v>
      </c>
    </row>
    <row r="1101">
      <c r="B1101" t="s">
        <v>898</v>
      </c>
      <c r="C1101" t="s">
        <v>898</v>
      </c>
      <c r="D1101" t="s">
        <v>898</v>
      </c>
      <c r="E1101" t="s">
        <v>898</v>
      </c>
      <c r="F1101" t="s">
        <v>898</v>
      </c>
      <c r="G1101" t="s">
        <v>67</v>
      </c>
      <c r="H1101" t="s">
        <v>898</v>
      </c>
    </row>
    <row r="1102">
      <c r="B1102" t="s">
        <v>898</v>
      </c>
      <c r="C1102" t="s">
        <v>898</v>
      </c>
      <c r="D1102" t="s">
        <v>898</v>
      </c>
      <c r="E1102" t="s">
        <v>898</v>
      </c>
      <c r="F1102" t="s">
        <v>898</v>
      </c>
      <c r="G1102" t="s">
        <v>67</v>
      </c>
      <c r="H1102" t="s">
        <v>898</v>
      </c>
    </row>
    <row r="1103">
      <c r="B1103" t="s">
        <v>898</v>
      </c>
      <c r="C1103" t="s">
        <v>898</v>
      </c>
      <c r="D1103" t="s">
        <v>898</v>
      </c>
      <c r="E1103" t="s">
        <v>898</v>
      </c>
      <c r="F1103" t="s">
        <v>898</v>
      </c>
      <c r="G1103" t="s">
        <v>67</v>
      </c>
      <c r="H1103" t="s">
        <v>898</v>
      </c>
    </row>
    <row r="1104">
      <c r="B1104" t="s">
        <v>898</v>
      </c>
      <c r="C1104" t="s">
        <v>898</v>
      </c>
      <c r="D1104" t="s">
        <v>898</v>
      </c>
      <c r="E1104" t="s">
        <v>898</v>
      </c>
      <c r="F1104" t="s">
        <v>898</v>
      </c>
      <c r="G1104" t="s">
        <v>67</v>
      </c>
      <c r="H1104" t="s">
        <v>898</v>
      </c>
    </row>
    <row r="1105">
      <c r="B1105" t="s">
        <v>898</v>
      </c>
      <c r="C1105" t="s">
        <v>898</v>
      </c>
      <c r="D1105" t="s">
        <v>898</v>
      </c>
      <c r="E1105" t="s">
        <v>898</v>
      </c>
      <c r="F1105" t="s">
        <v>898</v>
      </c>
      <c r="G1105" t="s">
        <v>67</v>
      </c>
      <c r="H1105" t="s">
        <v>898</v>
      </c>
    </row>
    <row r="1106">
      <c r="B1106" t="s">
        <v>898</v>
      </c>
      <c r="C1106" t="s">
        <v>898</v>
      </c>
      <c r="D1106" t="s">
        <v>898</v>
      </c>
      <c r="E1106" t="s">
        <v>898</v>
      </c>
      <c r="F1106" t="s">
        <v>898</v>
      </c>
      <c r="G1106" t="s">
        <v>67</v>
      </c>
      <c r="H1106" t="s">
        <v>898</v>
      </c>
    </row>
    <row r="1107">
      <c r="B1107" t="s">
        <v>898</v>
      </c>
      <c r="C1107" t="s">
        <v>898</v>
      </c>
      <c r="D1107" t="s">
        <v>898</v>
      </c>
      <c r="E1107" t="s">
        <v>898</v>
      </c>
      <c r="F1107" t="s">
        <v>898</v>
      </c>
      <c r="G1107" t="s">
        <v>67</v>
      </c>
      <c r="H1107" t="s">
        <v>898</v>
      </c>
    </row>
    <row r="1108">
      <c r="B1108" t="s">
        <v>898</v>
      </c>
      <c r="C1108" t="s">
        <v>898</v>
      </c>
      <c r="D1108" t="s">
        <v>898</v>
      </c>
      <c r="E1108" t="s">
        <v>898</v>
      </c>
      <c r="F1108" t="s">
        <v>898</v>
      </c>
      <c r="G1108" t="s">
        <v>67</v>
      </c>
      <c r="H1108" t="s">
        <v>898</v>
      </c>
    </row>
    <row r="1109">
      <c r="B1109" t="s">
        <v>898</v>
      </c>
      <c r="C1109" t="s">
        <v>898</v>
      </c>
      <c r="D1109" t="s">
        <v>898</v>
      </c>
      <c r="E1109" t="s">
        <v>898</v>
      </c>
      <c r="F1109" t="s">
        <v>898</v>
      </c>
      <c r="G1109" t="s">
        <v>67</v>
      </c>
      <c r="H1109" t="s">
        <v>898</v>
      </c>
    </row>
    <row r="1110">
      <c r="B1110" t="s">
        <v>898</v>
      </c>
      <c r="C1110" t="s">
        <v>898</v>
      </c>
      <c r="D1110" t="s">
        <v>898</v>
      </c>
      <c r="E1110" t="s">
        <v>898</v>
      </c>
      <c r="F1110" t="s">
        <v>898</v>
      </c>
      <c r="G1110" t="s">
        <v>67</v>
      </c>
      <c r="H1110" t="s">
        <v>898</v>
      </c>
    </row>
    <row r="1111">
      <c r="B1111" t="s">
        <v>898</v>
      </c>
      <c r="C1111" t="s">
        <v>898</v>
      </c>
      <c r="D1111" t="s">
        <v>898</v>
      </c>
      <c r="E1111" t="s">
        <v>898</v>
      </c>
      <c r="F1111" t="s">
        <v>898</v>
      </c>
      <c r="G1111" t="s">
        <v>67</v>
      </c>
      <c r="H1111" t="s">
        <v>898</v>
      </c>
    </row>
    <row r="1112">
      <c r="B1112" t="s">
        <v>898</v>
      </c>
      <c r="C1112" t="s">
        <v>898</v>
      </c>
      <c r="D1112" t="s">
        <v>898</v>
      </c>
      <c r="E1112" t="s">
        <v>898</v>
      </c>
      <c r="F1112" t="s">
        <v>898</v>
      </c>
      <c r="G1112" t="s">
        <v>67</v>
      </c>
      <c r="H1112" t="s">
        <v>898</v>
      </c>
    </row>
    <row r="1113">
      <c r="B1113" t="s">
        <v>898</v>
      </c>
      <c r="C1113" t="s">
        <v>898</v>
      </c>
      <c r="D1113" t="s">
        <v>898</v>
      </c>
      <c r="E1113" t="s">
        <v>898</v>
      </c>
      <c r="F1113" t="s">
        <v>898</v>
      </c>
      <c r="G1113" t="s">
        <v>67</v>
      </c>
      <c r="H1113" t="s">
        <v>898</v>
      </c>
    </row>
    <row r="1114">
      <c r="B1114" t="s">
        <v>898</v>
      </c>
      <c r="C1114" t="s">
        <v>898</v>
      </c>
      <c r="D1114" t="s">
        <v>898</v>
      </c>
      <c r="E1114" t="s">
        <v>898</v>
      </c>
      <c r="F1114" t="s">
        <v>898</v>
      </c>
      <c r="G1114" t="s">
        <v>67</v>
      </c>
      <c r="H1114" t="s">
        <v>898</v>
      </c>
    </row>
    <row r="1115">
      <c r="B1115" t="s">
        <v>898</v>
      </c>
      <c r="C1115" t="s">
        <v>898</v>
      </c>
      <c r="D1115" t="s">
        <v>898</v>
      </c>
      <c r="E1115" t="s">
        <v>898</v>
      </c>
      <c r="F1115" t="s">
        <v>898</v>
      </c>
      <c r="G1115" t="s">
        <v>67</v>
      </c>
      <c r="H1115" t="s">
        <v>898</v>
      </c>
    </row>
    <row r="1116">
      <c r="B1116" t="s">
        <v>898</v>
      </c>
      <c r="C1116" t="s">
        <v>898</v>
      </c>
      <c r="D1116" t="s">
        <v>898</v>
      </c>
      <c r="E1116" t="s">
        <v>898</v>
      </c>
      <c r="F1116" t="s">
        <v>898</v>
      </c>
      <c r="G1116" t="s">
        <v>67</v>
      </c>
      <c r="H1116" t="s">
        <v>898</v>
      </c>
    </row>
    <row r="1117">
      <c r="B1117" t="s">
        <v>898</v>
      </c>
      <c r="C1117" t="s">
        <v>898</v>
      </c>
      <c r="D1117" t="s">
        <v>898</v>
      </c>
      <c r="E1117" t="s">
        <v>898</v>
      </c>
      <c r="F1117" t="s">
        <v>898</v>
      </c>
      <c r="G1117" t="s">
        <v>67</v>
      </c>
      <c r="H1117" t="s">
        <v>898</v>
      </c>
    </row>
    <row r="1118">
      <c r="B1118" t="s">
        <v>898</v>
      </c>
      <c r="C1118" t="s">
        <v>898</v>
      </c>
      <c r="D1118" t="s">
        <v>898</v>
      </c>
      <c r="E1118" t="s">
        <v>898</v>
      </c>
      <c r="F1118" t="s">
        <v>898</v>
      </c>
      <c r="G1118" t="s">
        <v>67</v>
      </c>
      <c r="H1118" t="s">
        <v>898</v>
      </c>
    </row>
    <row r="1119">
      <c r="B1119" t="s">
        <v>898</v>
      </c>
      <c r="C1119" t="s">
        <v>898</v>
      </c>
      <c r="D1119" t="s">
        <v>898</v>
      </c>
      <c r="E1119" t="s">
        <v>898</v>
      </c>
      <c r="F1119" t="s">
        <v>898</v>
      </c>
      <c r="G1119" t="s">
        <v>67</v>
      </c>
      <c r="H1119" t="s">
        <v>898</v>
      </c>
    </row>
    <row r="1120">
      <c r="B1120" t="s">
        <v>898</v>
      </c>
      <c r="C1120" t="s">
        <v>898</v>
      </c>
      <c r="D1120" t="s">
        <v>898</v>
      </c>
      <c r="E1120" t="s">
        <v>898</v>
      </c>
      <c r="F1120" t="s">
        <v>898</v>
      </c>
      <c r="G1120" t="s">
        <v>67</v>
      </c>
      <c r="H1120" t="s">
        <v>898</v>
      </c>
    </row>
    <row r="1121">
      <c r="B1121" t="s">
        <v>898</v>
      </c>
      <c r="C1121" t="s">
        <v>898</v>
      </c>
      <c r="D1121" t="s">
        <v>898</v>
      </c>
      <c r="E1121" t="s">
        <v>898</v>
      </c>
      <c r="F1121" t="s">
        <v>898</v>
      </c>
      <c r="G1121" t="s">
        <v>67</v>
      </c>
      <c r="H1121" t="s">
        <v>898</v>
      </c>
    </row>
    <row r="1122">
      <c r="B1122" t="s">
        <v>898</v>
      </c>
      <c r="C1122" t="s">
        <v>898</v>
      </c>
      <c r="D1122" t="s">
        <v>898</v>
      </c>
      <c r="E1122" t="s">
        <v>898</v>
      </c>
      <c r="F1122" t="s">
        <v>898</v>
      </c>
      <c r="G1122" t="s">
        <v>67</v>
      </c>
      <c r="H1122" t="s">
        <v>898</v>
      </c>
    </row>
    <row r="1123">
      <c r="B1123" t="s">
        <v>898</v>
      </c>
      <c r="C1123" t="s">
        <v>898</v>
      </c>
      <c r="D1123" t="s">
        <v>898</v>
      </c>
      <c r="E1123" t="s">
        <v>898</v>
      </c>
      <c r="F1123" t="s">
        <v>898</v>
      </c>
      <c r="G1123" t="s">
        <v>67</v>
      </c>
      <c r="H1123" t="s">
        <v>898</v>
      </c>
    </row>
    <row r="1124">
      <c r="B1124" t="s">
        <v>898</v>
      </c>
      <c r="C1124" t="s">
        <v>898</v>
      </c>
      <c r="D1124" t="s">
        <v>898</v>
      </c>
      <c r="E1124" t="s">
        <v>898</v>
      </c>
      <c r="F1124" t="s">
        <v>898</v>
      </c>
      <c r="G1124" t="s">
        <v>67</v>
      </c>
      <c r="H1124" t="s">
        <v>898</v>
      </c>
    </row>
    <row r="1125">
      <c r="B1125" t="s">
        <v>898</v>
      </c>
      <c r="C1125" t="s">
        <v>898</v>
      </c>
      <c r="D1125" t="s">
        <v>898</v>
      </c>
      <c r="E1125" t="s">
        <v>898</v>
      </c>
      <c r="F1125" t="s">
        <v>898</v>
      </c>
      <c r="G1125" t="s">
        <v>67</v>
      </c>
      <c r="H1125" t="s">
        <v>898</v>
      </c>
    </row>
    <row r="1126">
      <c r="B1126" t="s">
        <v>898</v>
      </c>
      <c r="C1126" t="s">
        <v>898</v>
      </c>
      <c r="D1126" t="s">
        <v>898</v>
      </c>
      <c r="E1126" t="s">
        <v>898</v>
      </c>
      <c r="F1126" t="s">
        <v>898</v>
      </c>
      <c r="G1126" t="s">
        <v>67</v>
      </c>
      <c r="H1126" t="s">
        <v>898</v>
      </c>
    </row>
    <row r="1127">
      <c r="B1127" t="s">
        <v>898</v>
      </c>
      <c r="C1127" t="s">
        <v>898</v>
      </c>
      <c r="D1127" t="s">
        <v>898</v>
      </c>
      <c r="E1127" t="s">
        <v>898</v>
      </c>
      <c r="F1127" t="s">
        <v>898</v>
      </c>
      <c r="G1127" t="s">
        <v>67</v>
      </c>
      <c r="H1127" t="s">
        <v>898</v>
      </c>
    </row>
    <row r="1128">
      <c r="B1128" t="s">
        <v>898</v>
      </c>
      <c r="C1128" t="s">
        <v>898</v>
      </c>
      <c r="D1128" t="s">
        <v>898</v>
      </c>
      <c r="E1128" t="s">
        <v>898</v>
      </c>
      <c r="F1128" t="s">
        <v>898</v>
      </c>
      <c r="G1128" t="s">
        <v>67</v>
      </c>
      <c r="H1128" t="s">
        <v>898</v>
      </c>
    </row>
    <row r="1129">
      <c r="B1129" t="s">
        <v>898</v>
      </c>
      <c r="C1129" t="s">
        <v>898</v>
      </c>
      <c r="D1129" t="s">
        <v>898</v>
      </c>
      <c r="E1129" t="s">
        <v>898</v>
      </c>
      <c r="F1129" t="s">
        <v>898</v>
      </c>
      <c r="G1129" t="s">
        <v>67</v>
      </c>
      <c r="H1129" t="s">
        <v>898</v>
      </c>
    </row>
    <row r="1130">
      <c r="B1130" t="s">
        <v>898</v>
      </c>
      <c r="C1130" t="s">
        <v>898</v>
      </c>
      <c r="D1130" t="s">
        <v>898</v>
      </c>
      <c r="E1130" t="s">
        <v>898</v>
      </c>
      <c r="F1130" t="s">
        <v>898</v>
      </c>
      <c r="G1130" t="s">
        <v>67</v>
      </c>
      <c r="H1130" t="s">
        <v>898</v>
      </c>
    </row>
    <row r="1131">
      <c r="B1131" t="s">
        <v>898</v>
      </c>
      <c r="C1131" t="s">
        <v>898</v>
      </c>
      <c r="D1131" t="s">
        <v>898</v>
      </c>
      <c r="E1131" t="s">
        <v>898</v>
      </c>
      <c r="F1131" t="s">
        <v>898</v>
      </c>
      <c r="G1131" t="s">
        <v>67</v>
      </c>
      <c r="H1131" t="s">
        <v>898</v>
      </c>
    </row>
    <row r="1132">
      <c r="B1132" t="s">
        <v>898</v>
      </c>
      <c r="C1132" t="s">
        <v>898</v>
      </c>
      <c r="D1132" t="s">
        <v>898</v>
      </c>
      <c r="E1132" t="s">
        <v>898</v>
      </c>
      <c r="F1132" t="s">
        <v>898</v>
      </c>
      <c r="G1132" t="s">
        <v>67</v>
      </c>
      <c r="H1132" t="s">
        <v>898</v>
      </c>
    </row>
    <row r="1133">
      <c r="B1133" t="s">
        <v>898</v>
      </c>
      <c r="C1133" t="s">
        <v>898</v>
      </c>
      <c r="D1133" t="s">
        <v>898</v>
      </c>
      <c r="E1133" t="s">
        <v>898</v>
      </c>
      <c r="F1133" t="s">
        <v>898</v>
      </c>
      <c r="G1133" t="s">
        <v>67</v>
      </c>
      <c r="H1133" t="s">
        <v>898</v>
      </c>
    </row>
    <row r="1134">
      <c r="B1134" t="s">
        <v>898</v>
      </c>
      <c r="C1134" t="s">
        <v>898</v>
      </c>
      <c r="D1134" t="s">
        <v>898</v>
      </c>
      <c r="E1134" t="s">
        <v>898</v>
      </c>
      <c r="F1134" t="s">
        <v>898</v>
      </c>
      <c r="G1134" t="s">
        <v>67</v>
      </c>
      <c r="H1134" t="s">
        <v>898</v>
      </c>
    </row>
    <row r="1135">
      <c r="B1135" t="s">
        <v>898</v>
      </c>
      <c r="C1135" t="s">
        <v>898</v>
      </c>
      <c r="D1135" t="s">
        <v>898</v>
      </c>
      <c r="E1135" t="s">
        <v>898</v>
      </c>
      <c r="F1135" t="s">
        <v>898</v>
      </c>
      <c r="G1135" t="s">
        <v>67</v>
      </c>
      <c r="H1135" t="s">
        <v>898</v>
      </c>
    </row>
    <row r="1136">
      <c r="B1136" t="s">
        <v>898</v>
      </c>
      <c r="C1136" t="s">
        <v>898</v>
      </c>
      <c r="D1136" t="s">
        <v>898</v>
      </c>
      <c r="E1136" t="s">
        <v>898</v>
      </c>
      <c r="F1136" t="s">
        <v>898</v>
      </c>
      <c r="G1136" t="s">
        <v>67</v>
      </c>
      <c r="H1136" t="s">
        <v>898</v>
      </c>
    </row>
    <row r="1137">
      <c r="B1137" t="s">
        <v>898</v>
      </c>
      <c r="C1137" t="s">
        <v>898</v>
      </c>
      <c r="D1137" t="s">
        <v>898</v>
      </c>
      <c r="E1137" t="s">
        <v>898</v>
      </c>
      <c r="F1137" t="s">
        <v>898</v>
      </c>
      <c r="G1137" t="s">
        <v>67</v>
      </c>
      <c r="H1137" t="s">
        <v>898</v>
      </c>
    </row>
    <row r="1138">
      <c r="B1138" t="s">
        <v>898</v>
      </c>
      <c r="C1138" t="s">
        <v>898</v>
      </c>
      <c r="D1138" t="s">
        <v>898</v>
      </c>
      <c r="E1138" t="s">
        <v>898</v>
      </c>
      <c r="F1138" t="s">
        <v>898</v>
      </c>
      <c r="G1138" t="s">
        <v>67</v>
      </c>
      <c r="H1138" t="s">
        <v>898</v>
      </c>
    </row>
    <row r="1139">
      <c r="B1139" t="s">
        <v>898</v>
      </c>
      <c r="C1139" t="s">
        <v>898</v>
      </c>
      <c r="D1139" t="s">
        <v>898</v>
      </c>
      <c r="E1139" t="s">
        <v>898</v>
      </c>
      <c r="F1139" t="s">
        <v>898</v>
      </c>
      <c r="G1139" t="s">
        <v>67</v>
      </c>
      <c r="H1139" t="s">
        <v>898</v>
      </c>
    </row>
    <row r="1140">
      <c r="B1140" t="s">
        <v>898</v>
      </c>
      <c r="C1140" t="s">
        <v>898</v>
      </c>
      <c r="D1140" t="s">
        <v>898</v>
      </c>
      <c r="E1140" t="s">
        <v>898</v>
      </c>
      <c r="F1140" t="s">
        <v>898</v>
      </c>
      <c r="G1140" t="s">
        <v>67</v>
      </c>
      <c r="H1140" t="s">
        <v>898</v>
      </c>
    </row>
    <row r="1141">
      <c r="B1141" t="s">
        <v>898</v>
      </c>
      <c r="C1141" t="s">
        <v>898</v>
      </c>
      <c r="D1141" t="s">
        <v>898</v>
      </c>
      <c r="E1141" t="s">
        <v>898</v>
      </c>
      <c r="F1141" t="s">
        <v>898</v>
      </c>
      <c r="G1141" t="s">
        <v>67</v>
      </c>
      <c r="H1141" t="s">
        <v>898</v>
      </c>
    </row>
    <row r="1142">
      <c r="B1142" t="s">
        <v>898</v>
      </c>
      <c r="C1142" t="s">
        <v>898</v>
      </c>
      <c r="D1142" t="s">
        <v>898</v>
      </c>
      <c r="E1142" t="s">
        <v>898</v>
      </c>
      <c r="F1142" t="s">
        <v>898</v>
      </c>
      <c r="G1142" t="s">
        <v>67</v>
      </c>
      <c r="H1142" t="s">
        <v>898</v>
      </c>
    </row>
    <row r="1143">
      <c r="B1143" t="s">
        <v>898</v>
      </c>
      <c r="C1143" t="s">
        <v>898</v>
      </c>
      <c r="D1143" t="s">
        <v>898</v>
      </c>
      <c r="E1143" t="s">
        <v>898</v>
      </c>
      <c r="F1143" t="s">
        <v>898</v>
      </c>
      <c r="G1143" t="s">
        <v>67</v>
      </c>
      <c r="H1143" t="s">
        <v>898</v>
      </c>
    </row>
    <row r="1144">
      <c r="B1144" t="s">
        <v>898</v>
      </c>
      <c r="C1144" t="s">
        <v>898</v>
      </c>
      <c r="D1144" t="s">
        <v>898</v>
      </c>
      <c r="E1144" t="s">
        <v>898</v>
      </c>
      <c r="F1144" t="s">
        <v>898</v>
      </c>
      <c r="G1144" t="s">
        <v>67</v>
      </c>
      <c r="H1144" t="s">
        <v>898</v>
      </c>
    </row>
    <row r="1145">
      <c r="B1145" t="s">
        <v>898</v>
      </c>
      <c r="C1145" t="s">
        <v>898</v>
      </c>
      <c r="D1145" t="s">
        <v>898</v>
      </c>
      <c r="E1145" t="s">
        <v>898</v>
      </c>
      <c r="F1145" t="s">
        <v>898</v>
      </c>
      <c r="G1145" t="s">
        <v>67</v>
      </c>
      <c r="H1145" t="s">
        <v>898</v>
      </c>
    </row>
    <row r="1146">
      <c r="B1146" t="s">
        <v>898</v>
      </c>
      <c r="C1146" t="s">
        <v>898</v>
      </c>
      <c r="D1146" t="s">
        <v>898</v>
      </c>
      <c r="E1146" t="s">
        <v>898</v>
      </c>
      <c r="F1146" t="s">
        <v>898</v>
      </c>
      <c r="G1146" t="s">
        <v>67</v>
      </c>
      <c r="H1146" t="s">
        <v>898</v>
      </c>
    </row>
    <row r="1147">
      <c r="B1147" t="s">
        <v>898</v>
      </c>
      <c r="C1147" t="s">
        <v>898</v>
      </c>
      <c r="D1147" t="s">
        <v>898</v>
      </c>
      <c r="E1147" t="s">
        <v>898</v>
      </c>
      <c r="F1147" t="s">
        <v>898</v>
      </c>
      <c r="G1147" t="s">
        <v>67</v>
      </c>
      <c r="H1147" t="s">
        <v>898</v>
      </c>
    </row>
    <row r="1148">
      <c r="B1148" t="s">
        <v>898</v>
      </c>
      <c r="C1148" t="s">
        <v>898</v>
      </c>
      <c r="D1148" t="s">
        <v>898</v>
      </c>
      <c r="E1148" t="s">
        <v>898</v>
      </c>
      <c r="F1148" t="s">
        <v>898</v>
      </c>
      <c r="G1148" t="s">
        <v>67</v>
      </c>
      <c r="H1148" t="s">
        <v>898</v>
      </c>
    </row>
    <row r="1149">
      <c r="B1149" t="s">
        <v>898</v>
      </c>
      <c r="C1149" t="s">
        <v>898</v>
      </c>
      <c r="D1149" t="s">
        <v>898</v>
      </c>
      <c r="E1149" t="s">
        <v>898</v>
      </c>
      <c r="F1149" t="s">
        <v>898</v>
      </c>
      <c r="G1149" t="s">
        <v>67</v>
      </c>
      <c r="H1149" t="s">
        <v>898</v>
      </c>
    </row>
    <row r="1150">
      <c r="B1150" t="s">
        <v>898</v>
      </c>
      <c r="C1150" t="s">
        <v>898</v>
      </c>
      <c r="D1150" t="s">
        <v>898</v>
      </c>
      <c r="E1150" t="s">
        <v>898</v>
      </c>
      <c r="F1150" t="s">
        <v>898</v>
      </c>
      <c r="G1150" t="s">
        <v>67</v>
      </c>
      <c r="H1150" t="s">
        <v>898</v>
      </c>
    </row>
    <row r="1151">
      <c r="B1151" t="s">
        <v>898</v>
      </c>
      <c r="C1151" t="s">
        <v>898</v>
      </c>
      <c r="D1151" t="s">
        <v>898</v>
      </c>
      <c r="E1151" t="s">
        <v>898</v>
      </c>
      <c r="F1151" t="s">
        <v>898</v>
      </c>
      <c r="G1151" t="s">
        <v>67</v>
      </c>
      <c r="H1151" t="s">
        <v>898</v>
      </c>
    </row>
    <row r="1152">
      <c r="B1152" t="s">
        <v>898</v>
      </c>
      <c r="C1152" t="s">
        <v>898</v>
      </c>
      <c r="D1152" t="s">
        <v>898</v>
      </c>
      <c r="E1152" t="s">
        <v>898</v>
      </c>
      <c r="F1152" t="s">
        <v>898</v>
      </c>
      <c r="G1152" t="s">
        <v>67</v>
      </c>
      <c r="H1152" t="s">
        <v>898</v>
      </c>
    </row>
    <row r="1153">
      <c r="B1153" t="s">
        <v>898</v>
      </c>
      <c r="C1153" t="s">
        <v>898</v>
      </c>
      <c r="D1153" t="s">
        <v>898</v>
      </c>
      <c r="E1153" t="s">
        <v>898</v>
      </c>
      <c r="F1153" t="s">
        <v>898</v>
      </c>
      <c r="G1153" t="s">
        <v>67</v>
      </c>
      <c r="H1153" t="s">
        <v>898</v>
      </c>
    </row>
    <row r="1154">
      <c r="B1154" t="s">
        <v>898</v>
      </c>
      <c r="C1154" t="s">
        <v>898</v>
      </c>
      <c r="D1154" t="s">
        <v>898</v>
      </c>
      <c r="E1154" t="s">
        <v>898</v>
      </c>
      <c r="F1154" t="s">
        <v>898</v>
      </c>
      <c r="G1154" t="s">
        <v>67</v>
      </c>
      <c r="H1154" t="s">
        <v>898</v>
      </c>
    </row>
    <row r="1155">
      <c r="B1155" t="s">
        <v>898</v>
      </c>
      <c r="C1155" t="s">
        <v>898</v>
      </c>
      <c r="D1155" t="s">
        <v>898</v>
      </c>
      <c r="E1155" t="s">
        <v>898</v>
      </c>
      <c r="F1155" t="s">
        <v>898</v>
      </c>
      <c r="G1155" t="s">
        <v>67</v>
      </c>
      <c r="H1155" t="s">
        <v>898</v>
      </c>
    </row>
    <row r="1156">
      <c r="B1156" t="s">
        <v>898</v>
      </c>
      <c r="C1156" t="s">
        <v>898</v>
      </c>
      <c r="D1156" t="s">
        <v>898</v>
      </c>
      <c r="E1156" t="s">
        <v>898</v>
      </c>
      <c r="F1156" t="s">
        <v>898</v>
      </c>
      <c r="G1156" t="s">
        <v>67</v>
      </c>
      <c r="H1156" t="s">
        <v>898</v>
      </c>
    </row>
    <row r="1157">
      <c r="B1157" t="s">
        <v>898</v>
      </c>
      <c r="C1157" t="s">
        <v>898</v>
      </c>
      <c r="D1157" t="s">
        <v>898</v>
      </c>
      <c r="E1157" t="s">
        <v>898</v>
      </c>
      <c r="F1157" t="s">
        <v>898</v>
      </c>
      <c r="G1157" t="s">
        <v>67</v>
      </c>
      <c r="H1157" t="s">
        <v>898</v>
      </c>
    </row>
    <row r="1158">
      <c r="B1158" t="s">
        <v>898</v>
      </c>
      <c r="C1158" t="s">
        <v>898</v>
      </c>
      <c r="D1158" t="s">
        <v>898</v>
      </c>
      <c r="E1158" t="s">
        <v>898</v>
      </c>
      <c r="F1158" t="s">
        <v>898</v>
      </c>
      <c r="G1158" t="s">
        <v>67</v>
      </c>
      <c r="H1158" t="s">
        <v>898</v>
      </c>
    </row>
    <row r="1159">
      <c r="B1159" t="s">
        <v>898</v>
      </c>
      <c r="C1159" t="s">
        <v>898</v>
      </c>
      <c r="D1159" t="s">
        <v>898</v>
      </c>
      <c r="E1159" t="s">
        <v>898</v>
      </c>
      <c r="F1159" t="s">
        <v>898</v>
      </c>
      <c r="G1159" t="s">
        <v>67</v>
      </c>
      <c r="H1159" t="s">
        <v>898</v>
      </c>
    </row>
    <row r="1160">
      <c r="B1160" t="s">
        <v>898</v>
      </c>
      <c r="C1160" t="s">
        <v>898</v>
      </c>
      <c r="D1160" t="s">
        <v>898</v>
      </c>
      <c r="E1160" t="s">
        <v>898</v>
      </c>
      <c r="F1160" t="s">
        <v>898</v>
      </c>
      <c r="G1160" t="s">
        <v>67</v>
      </c>
      <c r="H1160" t="s">
        <v>898</v>
      </c>
    </row>
    <row r="1161">
      <c r="B1161" t="s">
        <v>898</v>
      </c>
      <c r="C1161" t="s">
        <v>898</v>
      </c>
      <c r="D1161" t="s">
        <v>898</v>
      </c>
      <c r="E1161" t="s">
        <v>898</v>
      </c>
      <c r="F1161" t="s">
        <v>898</v>
      </c>
      <c r="G1161" t="s">
        <v>67</v>
      </c>
      <c r="H1161" t="s">
        <v>898</v>
      </c>
    </row>
    <row r="1162">
      <c r="B1162" t="s">
        <v>898</v>
      </c>
      <c r="C1162" t="s">
        <v>898</v>
      </c>
      <c r="D1162" t="s">
        <v>898</v>
      </c>
      <c r="E1162" t="s">
        <v>898</v>
      </c>
      <c r="F1162" t="s">
        <v>898</v>
      </c>
      <c r="G1162" t="s">
        <v>67</v>
      </c>
      <c r="H1162" t="s">
        <v>898</v>
      </c>
    </row>
    <row r="1163">
      <c r="B1163" t="s">
        <v>898</v>
      </c>
      <c r="C1163" t="s">
        <v>898</v>
      </c>
      <c r="D1163" t="s">
        <v>898</v>
      </c>
      <c r="E1163" t="s">
        <v>898</v>
      </c>
      <c r="F1163" t="s">
        <v>898</v>
      </c>
      <c r="G1163" t="s">
        <v>67</v>
      </c>
      <c r="H1163" t="s">
        <v>898</v>
      </c>
    </row>
    <row r="1164">
      <c r="B1164" t="s">
        <v>898</v>
      </c>
      <c r="C1164" t="s">
        <v>898</v>
      </c>
      <c r="D1164" t="s">
        <v>898</v>
      </c>
      <c r="E1164" t="s">
        <v>898</v>
      </c>
      <c r="F1164" t="s">
        <v>898</v>
      </c>
      <c r="G1164" t="s">
        <v>67</v>
      </c>
      <c r="H1164" t="s">
        <v>898</v>
      </c>
    </row>
    <row r="1165">
      <c r="B1165" t="s">
        <v>898</v>
      </c>
      <c r="C1165" t="s">
        <v>898</v>
      </c>
      <c r="D1165" t="s">
        <v>898</v>
      </c>
      <c r="E1165" t="s">
        <v>898</v>
      </c>
      <c r="F1165" t="s">
        <v>898</v>
      </c>
      <c r="G1165" t="s">
        <v>67</v>
      </c>
      <c r="H1165" t="s">
        <v>898</v>
      </c>
    </row>
    <row r="1166">
      <c r="B1166" t="s">
        <v>898</v>
      </c>
      <c r="C1166" t="s">
        <v>898</v>
      </c>
      <c r="D1166" t="s">
        <v>898</v>
      </c>
      <c r="E1166" t="s">
        <v>898</v>
      </c>
      <c r="F1166" t="s">
        <v>898</v>
      </c>
      <c r="G1166" t="s">
        <v>67</v>
      </c>
      <c r="H1166" t="s">
        <v>898</v>
      </c>
    </row>
    <row r="1167">
      <c r="B1167" t="s">
        <v>898</v>
      </c>
      <c r="C1167" t="s">
        <v>898</v>
      </c>
      <c r="D1167" t="s">
        <v>898</v>
      </c>
      <c r="E1167" t="s">
        <v>898</v>
      </c>
      <c r="F1167" t="s">
        <v>898</v>
      </c>
      <c r="G1167" t="s">
        <v>67</v>
      </c>
      <c r="H1167" t="s">
        <v>898</v>
      </c>
    </row>
    <row r="1168">
      <c r="B1168" t="s">
        <v>898</v>
      </c>
      <c r="C1168" t="s">
        <v>898</v>
      </c>
      <c r="D1168" t="s">
        <v>898</v>
      </c>
      <c r="E1168" t="s">
        <v>898</v>
      </c>
      <c r="F1168" t="s">
        <v>898</v>
      </c>
      <c r="G1168" t="s">
        <v>67</v>
      </c>
      <c r="H1168" t="s">
        <v>898</v>
      </c>
    </row>
    <row r="1169">
      <c r="B1169" t="s">
        <v>898</v>
      </c>
      <c r="C1169" t="s">
        <v>898</v>
      </c>
      <c r="D1169" t="s">
        <v>898</v>
      </c>
      <c r="E1169" t="s">
        <v>898</v>
      </c>
      <c r="F1169" t="s">
        <v>898</v>
      </c>
      <c r="G1169" t="s">
        <v>67</v>
      </c>
      <c r="H1169" t="s">
        <v>898</v>
      </c>
    </row>
    <row r="1170">
      <c r="B1170" t="s">
        <v>898</v>
      </c>
      <c r="C1170" t="s">
        <v>898</v>
      </c>
      <c r="D1170" t="s">
        <v>898</v>
      </c>
      <c r="E1170" t="s">
        <v>898</v>
      </c>
      <c r="F1170" t="s">
        <v>898</v>
      </c>
      <c r="G1170" t="s">
        <v>67</v>
      </c>
      <c r="H1170" t="s">
        <v>898</v>
      </c>
    </row>
    <row r="1171">
      <c r="B1171" t="s">
        <v>898</v>
      </c>
      <c r="C1171" t="s">
        <v>898</v>
      </c>
      <c r="D1171" t="s">
        <v>898</v>
      </c>
      <c r="E1171" t="s">
        <v>898</v>
      </c>
      <c r="F1171" t="s">
        <v>898</v>
      </c>
      <c r="G1171" t="s">
        <v>67</v>
      </c>
      <c r="H1171" t="s">
        <v>898</v>
      </c>
    </row>
    <row r="1172">
      <c r="B1172" t="s">
        <v>898</v>
      </c>
      <c r="C1172" t="s">
        <v>898</v>
      </c>
      <c r="D1172" t="s">
        <v>898</v>
      </c>
      <c r="E1172" t="s">
        <v>898</v>
      </c>
      <c r="F1172" t="s">
        <v>898</v>
      </c>
      <c r="G1172" t="s">
        <v>67</v>
      </c>
      <c r="H1172" t="s">
        <v>898</v>
      </c>
    </row>
    <row r="1173">
      <c r="B1173" t="s">
        <v>898</v>
      </c>
      <c r="C1173" t="s">
        <v>898</v>
      </c>
      <c r="D1173" t="s">
        <v>898</v>
      </c>
      <c r="E1173" t="s">
        <v>898</v>
      </c>
      <c r="F1173" t="s">
        <v>898</v>
      </c>
      <c r="G1173" t="s">
        <v>67</v>
      </c>
      <c r="H1173" t="s">
        <v>898</v>
      </c>
    </row>
    <row r="1174">
      <c r="B1174" t="s">
        <v>898</v>
      </c>
      <c r="C1174" t="s">
        <v>898</v>
      </c>
      <c r="D1174" t="s">
        <v>898</v>
      </c>
      <c r="E1174" t="s">
        <v>898</v>
      </c>
      <c r="F1174" t="s">
        <v>898</v>
      </c>
      <c r="G1174" t="s">
        <v>67</v>
      </c>
      <c r="H1174" t="s">
        <v>898</v>
      </c>
    </row>
    <row r="1175">
      <c r="B1175" t="s">
        <v>898</v>
      </c>
      <c r="C1175" t="s">
        <v>898</v>
      </c>
      <c r="D1175" t="s">
        <v>898</v>
      </c>
      <c r="E1175" t="s">
        <v>898</v>
      </c>
      <c r="F1175" t="s">
        <v>898</v>
      </c>
      <c r="G1175" t="s">
        <v>67</v>
      </c>
      <c r="H1175" t="s">
        <v>898</v>
      </c>
    </row>
    <row r="1176">
      <c r="B1176" t="s">
        <v>898</v>
      </c>
      <c r="C1176" t="s">
        <v>898</v>
      </c>
      <c r="D1176" t="s">
        <v>898</v>
      </c>
      <c r="E1176" t="s">
        <v>898</v>
      </c>
      <c r="F1176" t="s">
        <v>898</v>
      </c>
      <c r="G1176" t="s">
        <v>67</v>
      </c>
      <c r="H1176" t="s">
        <v>898</v>
      </c>
    </row>
    <row r="1177">
      <c r="B1177" t="s">
        <v>898</v>
      </c>
      <c r="C1177" t="s">
        <v>898</v>
      </c>
      <c r="D1177" t="s">
        <v>898</v>
      </c>
      <c r="E1177" t="s">
        <v>898</v>
      </c>
      <c r="F1177" t="s">
        <v>898</v>
      </c>
      <c r="G1177" t="s">
        <v>67</v>
      </c>
      <c r="H1177" t="s">
        <v>898</v>
      </c>
    </row>
    <row r="1178">
      <c r="B1178" t="s">
        <v>898</v>
      </c>
      <c r="C1178" t="s">
        <v>898</v>
      </c>
      <c r="D1178" t="s">
        <v>898</v>
      </c>
      <c r="E1178" t="s">
        <v>898</v>
      </c>
      <c r="F1178" t="s">
        <v>898</v>
      </c>
      <c r="G1178" t="s">
        <v>67</v>
      </c>
      <c r="H1178" t="s">
        <v>898</v>
      </c>
    </row>
    <row r="1179">
      <c r="B1179" t="s">
        <v>898</v>
      </c>
      <c r="C1179" t="s">
        <v>898</v>
      </c>
      <c r="D1179" t="s">
        <v>898</v>
      </c>
      <c r="E1179" t="s">
        <v>898</v>
      </c>
      <c r="F1179" t="s">
        <v>898</v>
      </c>
      <c r="G1179" t="s">
        <v>67</v>
      </c>
      <c r="H1179" t="s">
        <v>898</v>
      </c>
    </row>
    <row r="1180">
      <c r="B1180" t="s">
        <v>898</v>
      </c>
      <c r="C1180" t="s">
        <v>898</v>
      </c>
      <c r="D1180" t="s">
        <v>898</v>
      </c>
      <c r="E1180" t="s">
        <v>898</v>
      </c>
      <c r="F1180" t="s">
        <v>898</v>
      </c>
      <c r="G1180" t="s">
        <v>67</v>
      </c>
      <c r="H1180" t="s">
        <v>898</v>
      </c>
    </row>
    <row r="1181">
      <c r="B1181" t="s">
        <v>898</v>
      </c>
      <c r="C1181" t="s">
        <v>898</v>
      </c>
      <c r="D1181" t="s">
        <v>898</v>
      </c>
      <c r="E1181" t="s">
        <v>898</v>
      </c>
      <c r="F1181" t="s">
        <v>898</v>
      </c>
      <c r="G1181" t="s">
        <v>67</v>
      </c>
      <c r="H1181" t="s">
        <v>898</v>
      </c>
    </row>
    <row r="1182">
      <c r="B1182" t="s">
        <v>898</v>
      </c>
      <c r="C1182" t="s">
        <v>898</v>
      </c>
      <c r="D1182" t="s">
        <v>898</v>
      </c>
      <c r="E1182" t="s">
        <v>898</v>
      </c>
      <c r="F1182" t="s">
        <v>898</v>
      </c>
      <c r="G1182" t="s">
        <v>67</v>
      </c>
      <c r="H1182" t="s">
        <v>898</v>
      </c>
    </row>
    <row r="1183">
      <c r="B1183" t="s">
        <v>898</v>
      </c>
      <c r="C1183" t="s">
        <v>898</v>
      </c>
      <c r="D1183" t="s">
        <v>898</v>
      </c>
      <c r="E1183" t="s">
        <v>898</v>
      </c>
      <c r="F1183" t="s">
        <v>898</v>
      </c>
      <c r="G1183" t="s">
        <v>67</v>
      </c>
      <c r="H1183" t="s">
        <v>898</v>
      </c>
    </row>
    <row r="1184">
      <c r="B1184" t="s">
        <v>898</v>
      </c>
      <c r="C1184" t="s">
        <v>898</v>
      </c>
      <c r="D1184" t="s">
        <v>898</v>
      </c>
      <c r="E1184" t="s">
        <v>898</v>
      </c>
      <c r="F1184" t="s">
        <v>898</v>
      </c>
      <c r="G1184" t="s">
        <v>67</v>
      </c>
      <c r="H1184" t="s">
        <v>898</v>
      </c>
    </row>
    <row r="1185">
      <c r="B1185" t="s">
        <v>898</v>
      </c>
      <c r="C1185" t="s">
        <v>898</v>
      </c>
      <c r="D1185" t="s">
        <v>898</v>
      </c>
      <c r="E1185" t="s">
        <v>898</v>
      </c>
      <c r="F1185" t="s">
        <v>898</v>
      </c>
      <c r="G1185" t="s">
        <v>67</v>
      </c>
      <c r="H1185" t="s">
        <v>898</v>
      </c>
    </row>
    <row r="1186">
      <c r="B1186" t="s">
        <v>898</v>
      </c>
      <c r="C1186" t="s">
        <v>898</v>
      </c>
      <c r="D1186" t="s">
        <v>898</v>
      </c>
      <c r="E1186" t="s">
        <v>898</v>
      </c>
      <c r="F1186" t="s">
        <v>898</v>
      </c>
      <c r="G1186" t="s">
        <v>67</v>
      </c>
      <c r="H1186" t="s">
        <v>898</v>
      </c>
    </row>
    <row r="1187">
      <c r="B1187" t="s">
        <v>898</v>
      </c>
      <c r="C1187" t="s">
        <v>898</v>
      </c>
      <c r="D1187" t="s">
        <v>898</v>
      </c>
      <c r="E1187" t="s">
        <v>898</v>
      </c>
      <c r="F1187" t="s">
        <v>898</v>
      </c>
      <c r="G1187" t="s">
        <v>67</v>
      </c>
      <c r="H1187" t="s">
        <v>898</v>
      </c>
    </row>
    <row r="1188">
      <c r="B1188" t="s">
        <v>898</v>
      </c>
      <c r="C1188" t="s">
        <v>898</v>
      </c>
      <c r="D1188" t="s">
        <v>898</v>
      </c>
      <c r="E1188" t="s">
        <v>898</v>
      </c>
      <c r="F1188" t="s">
        <v>898</v>
      </c>
      <c r="G1188" t="s">
        <v>67</v>
      </c>
      <c r="H1188" t="s">
        <v>898</v>
      </c>
    </row>
    <row r="1189">
      <c r="B1189" t="s">
        <v>898</v>
      </c>
      <c r="C1189" t="s">
        <v>898</v>
      </c>
      <c r="D1189" t="s">
        <v>898</v>
      </c>
      <c r="E1189" t="s">
        <v>898</v>
      </c>
      <c r="F1189" t="s">
        <v>898</v>
      </c>
      <c r="G1189" t="s">
        <v>67</v>
      </c>
      <c r="H1189" t="s">
        <v>898</v>
      </c>
    </row>
    <row r="1190">
      <c r="B1190" t="s">
        <v>898</v>
      </c>
      <c r="C1190" t="s">
        <v>898</v>
      </c>
      <c r="D1190" t="s">
        <v>898</v>
      </c>
      <c r="E1190" t="s">
        <v>898</v>
      </c>
      <c r="F1190" t="s">
        <v>898</v>
      </c>
      <c r="G1190" t="s">
        <v>67</v>
      </c>
      <c r="H1190" t="s">
        <v>898</v>
      </c>
    </row>
    <row r="1191">
      <c r="B1191" t="s">
        <v>898</v>
      </c>
      <c r="C1191" t="s">
        <v>898</v>
      </c>
      <c r="D1191" t="s">
        <v>898</v>
      </c>
      <c r="E1191" t="s">
        <v>898</v>
      </c>
      <c r="F1191" t="s">
        <v>898</v>
      </c>
      <c r="G1191" t="s">
        <v>67</v>
      </c>
      <c r="H1191" t="s">
        <v>898</v>
      </c>
    </row>
    <row r="1192">
      <c r="B1192" t="s">
        <v>898</v>
      </c>
      <c r="C1192" t="s">
        <v>898</v>
      </c>
      <c r="D1192" t="s">
        <v>898</v>
      </c>
      <c r="E1192" t="s">
        <v>898</v>
      </c>
      <c r="F1192" t="s">
        <v>898</v>
      </c>
      <c r="G1192" t="s">
        <v>67</v>
      </c>
      <c r="H1192" t="s">
        <v>898</v>
      </c>
    </row>
    <row r="1193">
      <c r="B1193" t="s">
        <v>898</v>
      </c>
      <c r="C1193" t="s">
        <v>898</v>
      </c>
      <c r="D1193" t="s">
        <v>898</v>
      </c>
      <c r="E1193" t="s">
        <v>898</v>
      </c>
      <c r="F1193" t="s">
        <v>898</v>
      </c>
      <c r="G1193" t="s">
        <v>67</v>
      </c>
      <c r="H1193" t="s">
        <v>898</v>
      </c>
    </row>
    <row r="1194">
      <c r="B1194" t="s">
        <v>898</v>
      </c>
      <c r="C1194" t="s">
        <v>898</v>
      </c>
      <c r="D1194" t="s">
        <v>898</v>
      </c>
      <c r="E1194" t="s">
        <v>898</v>
      </c>
      <c r="F1194" t="s">
        <v>898</v>
      </c>
      <c r="G1194" t="s">
        <v>67</v>
      </c>
      <c r="H1194" t="s">
        <v>898</v>
      </c>
    </row>
    <row r="1195">
      <c r="B1195" t="s">
        <v>898</v>
      </c>
      <c r="C1195" t="s">
        <v>898</v>
      </c>
      <c r="D1195" t="s">
        <v>898</v>
      </c>
      <c r="E1195" t="s">
        <v>898</v>
      </c>
      <c r="F1195" t="s">
        <v>898</v>
      </c>
      <c r="G1195" t="s">
        <v>67</v>
      </c>
      <c r="H1195" t="s">
        <v>898</v>
      </c>
    </row>
    <row r="1196">
      <c r="B1196" t="s">
        <v>898</v>
      </c>
      <c r="C1196" t="s">
        <v>898</v>
      </c>
      <c r="D1196" t="s">
        <v>898</v>
      </c>
      <c r="E1196" t="s">
        <v>898</v>
      </c>
      <c r="F1196" t="s">
        <v>898</v>
      </c>
      <c r="G1196" t="s">
        <v>67</v>
      </c>
      <c r="H1196" t="s">
        <v>898</v>
      </c>
    </row>
    <row r="1197">
      <c r="B1197" t="s">
        <v>898</v>
      </c>
      <c r="C1197" t="s">
        <v>898</v>
      </c>
      <c r="D1197" t="s">
        <v>898</v>
      </c>
      <c r="E1197" t="s">
        <v>898</v>
      </c>
      <c r="F1197" t="s">
        <v>898</v>
      </c>
      <c r="G1197" t="s">
        <v>67</v>
      </c>
      <c r="H1197" t="s">
        <v>898</v>
      </c>
    </row>
    <row r="1198">
      <c r="B1198" t="s">
        <v>898</v>
      </c>
      <c r="C1198" t="s">
        <v>898</v>
      </c>
      <c r="D1198" t="s">
        <v>898</v>
      </c>
      <c r="E1198" t="s">
        <v>898</v>
      </c>
      <c r="F1198" t="s">
        <v>898</v>
      </c>
      <c r="G1198" t="s">
        <v>67</v>
      </c>
      <c r="H1198" t="s">
        <v>898</v>
      </c>
    </row>
    <row r="1199">
      <c r="B1199" t="s">
        <v>898</v>
      </c>
      <c r="C1199" t="s">
        <v>898</v>
      </c>
      <c r="D1199" t="s">
        <v>898</v>
      </c>
      <c r="E1199" t="s">
        <v>898</v>
      </c>
      <c r="F1199" t="s">
        <v>898</v>
      </c>
      <c r="G1199" t="s">
        <v>67</v>
      </c>
      <c r="H1199" t="s">
        <v>898</v>
      </c>
    </row>
    <row r="1200">
      <c r="B1200" t="s">
        <v>898</v>
      </c>
      <c r="C1200" t="s">
        <v>898</v>
      </c>
      <c r="D1200" t="s">
        <v>898</v>
      </c>
      <c r="E1200" t="s">
        <v>898</v>
      </c>
      <c r="F1200" t="s">
        <v>898</v>
      </c>
      <c r="G1200" t="s">
        <v>67</v>
      </c>
      <c r="H1200" t="s">
        <v>898</v>
      </c>
    </row>
    <row r="1201">
      <c r="B1201" t="s">
        <v>898</v>
      </c>
      <c r="C1201" t="s">
        <v>898</v>
      </c>
      <c r="D1201" t="s">
        <v>898</v>
      </c>
      <c r="E1201" t="s">
        <v>898</v>
      </c>
      <c r="F1201" t="s">
        <v>898</v>
      </c>
      <c r="G1201" t="s">
        <v>67</v>
      </c>
      <c r="H1201" t="s">
        <v>898</v>
      </c>
    </row>
    <row r="1202">
      <c r="B1202" t="s">
        <v>898</v>
      </c>
      <c r="C1202" t="s">
        <v>898</v>
      </c>
      <c r="D1202" t="s">
        <v>898</v>
      </c>
      <c r="E1202" t="s">
        <v>898</v>
      </c>
      <c r="F1202" t="s">
        <v>898</v>
      </c>
      <c r="G1202" t="s">
        <v>67</v>
      </c>
      <c r="H1202" t="s">
        <v>898</v>
      </c>
    </row>
    <row r="1203">
      <c r="B1203" t="s">
        <v>898</v>
      </c>
      <c r="C1203" t="s">
        <v>898</v>
      </c>
      <c r="D1203" t="s">
        <v>898</v>
      </c>
      <c r="E1203" t="s">
        <v>898</v>
      </c>
      <c r="F1203" t="s">
        <v>898</v>
      </c>
      <c r="G1203" t="s">
        <v>67</v>
      </c>
      <c r="H1203" t="s">
        <v>898</v>
      </c>
    </row>
    <row r="1204">
      <c r="B1204" t="s">
        <v>898</v>
      </c>
      <c r="C1204" t="s">
        <v>898</v>
      </c>
      <c r="D1204" t="s">
        <v>898</v>
      </c>
      <c r="E1204" t="s">
        <v>898</v>
      </c>
      <c r="F1204" t="s">
        <v>898</v>
      </c>
      <c r="G1204" t="s">
        <v>67</v>
      </c>
      <c r="H1204" t="s">
        <v>898</v>
      </c>
    </row>
    <row r="1205">
      <c r="B1205" t="s">
        <v>898</v>
      </c>
      <c r="C1205" t="s">
        <v>898</v>
      </c>
      <c r="D1205" t="s">
        <v>898</v>
      </c>
      <c r="E1205" t="s">
        <v>898</v>
      </c>
      <c r="F1205" t="s">
        <v>898</v>
      </c>
      <c r="G1205" t="s">
        <v>67</v>
      </c>
      <c r="H1205" t="s">
        <v>898</v>
      </c>
    </row>
    <row r="1206">
      <c r="B1206" t="s">
        <v>898</v>
      </c>
      <c r="C1206" t="s">
        <v>898</v>
      </c>
      <c r="D1206" t="s">
        <v>898</v>
      </c>
      <c r="E1206" t="s">
        <v>898</v>
      </c>
      <c r="F1206" t="s">
        <v>898</v>
      </c>
      <c r="G1206" t="s">
        <v>67</v>
      </c>
      <c r="H1206" t="s">
        <v>898</v>
      </c>
    </row>
    <row r="1207">
      <c r="B1207" t="s">
        <v>898</v>
      </c>
      <c r="C1207" t="s">
        <v>898</v>
      </c>
      <c r="D1207" t="s">
        <v>898</v>
      </c>
      <c r="E1207" t="s">
        <v>898</v>
      </c>
      <c r="F1207" t="s">
        <v>898</v>
      </c>
      <c r="G1207" t="s">
        <v>67</v>
      </c>
      <c r="H1207" t="s">
        <v>898</v>
      </c>
    </row>
    <row r="1208">
      <c r="B1208" t="s">
        <v>898</v>
      </c>
      <c r="C1208" t="s">
        <v>898</v>
      </c>
      <c r="D1208" t="s">
        <v>898</v>
      </c>
      <c r="E1208" t="s">
        <v>898</v>
      </c>
      <c r="F1208" t="s">
        <v>898</v>
      </c>
      <c r="G1208" t="s">
        <v>67</v>
      </c>
      <c r="H1208" t="s">
        <v>898</v>
      </c>
    </row>
    <row r="1209">
      <c r="B1209" t="s">
        <v>898</v>
      </c>
      <c r="C1209" t="s">
        <v>898</v>
      </c>
      <c r="D1209" t="s">
        <v>898</v>
      </c>
      <c r="E1209" t="s">
        <v>898</v>
      </c>
      <c r="F1209" t="s">
        <v>898</v>
      </c>
      <c r="G1209" t="s">
        <v>67</v>
      </c>
      <c r="H1209" t="s">
        <v>898</v>
      </c>
    </row>
    <row r="1210">
      <c r="B1210" t="s">
        <v>898</v>
      </c>
      <c r="C1210" t="s">
        <v>898</v>
      </c>
      <c r="D1210" t="s">
        <v>898</v>
      </c>
      <c r="E1210" t="s">
        <v>898</v>
      </c>
      <c r="F1210" t="s">
        <v>898</v>
      </c>
      <c r="G1210" t="s">
        <v>67</v>
      </c>
      <c r="H1210" t="s">
        <v>898</v>
      </c>
    </row>
    <row r="1211">
      <c r="B1211" t="s">
        <v>898</v>
      </c>
      <c r="C1211" t="s">
        <v>898</v>
      </c>
      <c r="D1211" t="s">
        <v>898</v>
      </c>
      <c r="E1211" t="s">
        <v>898</v>
      </c>
      <c r="F1211" t="s">
        <v>898</v>
      </c>
      <c r="G1211" t="s">
        <v>67</v>
      </c>
      <c r="H1211" t="s">
        <v>898</v>
      </c>
    </row>
    <row r="1212">
      <c r="B1212" t="s">
        <v>898</v>
      </c>
      <c r="C1212" t="s">
        <v>898</v>
      </c>
      <c r="D1212" t="s">
        <v>898</v>
      </c>
      <c r="E1212" t="s">
        <v>898</v>
      </c>
      <c r="F1212" t="s">
        <v>898</v>
      </c>
      <c r="G1212" t="s">
        <v>67</v>
      </c>
      <c r="H1212" t="s">
        <v>898</v>
      </c>
    </row>
    <row r="1213">
      <c r="B1213" t="s">
        <v>898</v>
      </c>
      <c r="C1213" t="s">
        <v>898</v>
      </c>
      <c r="D1213" t="s">
        <v>898</v>
      </c>
      <c r="E1213" t="s">
        <v>898</v>
      </c>
      <c r="F1213" t="s">
        <v>898</v>
      </c>
      <c r="G1213" t="s">
        <v>67</v>
      </c>
      <c r="H1213" t="s">
        <v>898</v>
      </c>
    </row>
    <row r="1214">
      <c r="B1214" t="s">
        <v>898</v>
      </c>
      <c r="C1214" t="s">
        <v>898</v>
      </c>
      <c r="D1214" t="s">
        <v>898</v>
      </c>
      <c r="E1214" t="s">
        <v>898</v>
      </c>
      <c r="F1214" t="s">
        <v>898</v>
      </c>
      <c r="G1214" t="s">
        <v>67</v>
      </c>
      <c r="H1214" t="s">
        <v>898</v>
      </c>
    </row>
    <row r="1215">
      <c r="B1215" t="s">
        <v>898</v>
      </c>
      <c r="C1215" t="s">
        <v>898</v>
      </c>
      <c r="D1215" t="s">
        <v>898</v>
      </c>
      <c r="E1215" t="s">
        <v>898</v>
      </c>
      <c r="F1215" t="s">
        <v>898</v>
      </c>
      <c r="G1215" t="s">
        <v>67</v>
      </c>
      <c r="H1215" t="s">
        <v>898</v>
      </c>
    </row>
    <row r="1216">
      <c r="B1216" t="s">
        <v>898</v>
      </c>
      <c r="C1216" t="s">
        <v>898</v>
      </c>
      <c r="D1216" t="s">
        <v>898</v>
      </c>
      <c r="E1216" t="s">
        <v>898</v>
      </c>
      <c r="F1216" t="s">
        <v>898</v>
      </c>
      <c r="G1216" t="s">
        <v>67</v>
      </c>
      <c r="H1216" t="s">
        <v>898</v>
      </c>
    </row>
    <row r="1217">
      <c r="B1217" t="s">
        <v>898</v>
      </c>
      <c r="C1217" t="s">
        <v>898</v>
      </c>
      <c r="D1217" t="s">
        <v>898</v>
      </c>
      <c r="E1217" t="s">
        <v>898</v>
      </c>
      <c r="F1217" t="s">
        <v>898</v>
      </c>
      <c r="G1217" t="s">
        <v>67</v>
      </c>
      <c r="H1217" t="s">
        <v>898</v>
      </c>
    </row>
    <row r="1218">
      <c r="B1218" t="s">
        <v>898</v>
      </c>
      <c r="C1218" t="s">
        <v>898</v>
      </c>
      <c r="D1218" t="s">
        <v>898</v>
      </c>
      <c r="E1218" t="s">
        <v>898</v>
      </c>
      <c r="F1218" t="s">
        <v>898</v>
      </c>
      <c r="G1218" t="s">
        <v>67</v>
      </c>
      <c r="H1218" t="s">
        <v>898</v>
      </c>
    </row>
    <row r="1219">
      <c r="B1219" t="s">
        <v>898</v>
      </c>
      <c r="C1219" t="s">
        <v>898</v>
      </c>
      <c r="D1219" t="s">
        <v>898</v>
      </c>
      <c r="E1219" t="s">
        <v>898</v>
      </c>
      <c r="F1219" t="s">
        <v>898</v>
      </c>
      <c r="G1219" t="s">
        <v>67</v>
      </c>
      <c r="H1219" t="s">
        <v>898</v>
      </c>
    </row>
    <row r="1220">
      <c r="B1220" t="s">
        <v>898</v>
      </c>
      <c r="C1220" t="s">
        <v>898</v>
      </c>
      <c r="D1220" t="s">
        <v>898</v>
      </c>
      <c r="E1220" t="s">
        <v>898</v>
      </c>
      <c r="F1220" t="s">
        <v>898</v>
      </c>
      <c r="G1220" t="s">
        <v>67</v>
      </c>
      <c r="H1220" t="s">
        <v>898</v>
      </c>
    </row>
    <row r="1221">
      <c r="B1221" t="s">
        <v>898</v>
      </c>
      <c r="C1221" t="s">
        <v>898</v>
      </c>
      <c r="D1221" t="s">
        <v>898</v>
      </c>
      <c r="E1221" t="s">
        <v>898</v>
      </c>
      <c r="F1221" t="s">
        <v>898</v>
      </c>
      <c r="G1221" t="s">
        <v>67</v>
      </c>
      <c r="H1221" t="s">
        <v>898</v>
      </c>
    </row>
    <row r="1222">
      <c r="B1222" t="s">
        <v>898</v>
      </c>
      <c r="C1222" t="s">
        <v>898</v>
      </c>
      <c r="D1222" t="s">
        <v>898</v>
      </c>
      <c r="E1222" t="s">
        <v>898</v>
      </c>
      <c r="F1222" t="s">
        <v>898</v>
      </c>
      <c r="G1222" t="s">
        <v>67</v>
      </c>
      <c r="H1222" t="s">
        <v>898</v>
      </c>
    </row>
    <row r="1223">
      <c r="B1223" t="s">
        <v>898</v>
      </c>
      <c r="C1223" t="s">
        <v>898</v>
      </c>
      <c r="D1223" t="s">
        <v>898</v>
      </c>
      <c r="E1223" t="s">
        <v>898</v>
      </c>
      <c r="F1223" t="s">
        <v>898</v>
      </c>
      <c r="G1223" t="s">
        <v>67</v>
      </c>
      <c r="H1223" t="s">
        <v>898</v>
      </c>
    </row>
    <row r="1224">
      <c r="B1224" t="s">
        <v>898</v>
      </c>
      <c r="C1224" t="s">
        <v>898</v>
      </c>
      <c r="D1224" t="s">
        <v>898</v>
      </c>
      <c r="E1224" t="s">
        <v>898</v>
      </c>
      <c r="F1224" t="s">
        <v>898</v>
      </c>
      <c r="G1224" t="s">
        <v>67</v>
      </c>
      <c r="H1224" t="s">
        <v>898</v>
      </c>
    </row>
    <row r="1225">
      <c r="B1225" t="s">
        <v>898</v>
      </c>
      <c r="C1225" t="s">
        <v>898</v>
      </c>
      <c r="D1225" t="s">
        <v>898</v>
      </c>
      <c r="E1225" t="s">
        <v>898</v>
      </c>
      <c r="F1225" t="s">
        <v>898</v>
      </c>
      <c r="G1225" t="s">
        <v>67</v>
      </c>
      <c r="H1225" t="s">
        <v>898</v>
      </c>
    </row>
    <row r="1226">
      <c r="B1226" t="s">
        <v>898</v>
      </c>
      <c r="C1226" t="s">
        <v>898</v>
      </c>
      <c r="D1226" t="s">
        <v>898</v>
      </c>
      <c r="E1226" t="s">
        <v>898</v>
      </c>
      <c r="F1226" t="s">
        <v>898</v>
      </c>
      <c r="G1226" t="s">
        <v>67</v>
      </c>
      <c r="H1226" t="s">
        <v>898</v>
      </c>
    </row>
    <row r="1227">
      <c r="B1227" t="s">
        <v>898</v>
      </c>
      <c r="C1227" t="s">
        <v>898</v>
      </c>
      <c r="D1227" t="s">
        <v>898</v>
      </c>
      <c r="E1227" t="s">
        <v>898</v>
      </c>
      <c r="F1227" t="s">
        <v>898</v>
      </c>
      <c r="G1227" t="s">
        <v>67</v>
      </c>
      <c r="H1227" t="s">
        <v>898</v>
      </c>
    </row>
    <row r="1228">
      <c r="B1228" t="s">
        <v>898</v>
      </c>
      <c r="C1228" t="s">
        <v>898</v>
      </c>
      <c r="D1228" t="s">
        <v>898</v>
      </c>
      <c r="E1228" t="s">
        <v>898</v>
      </c>
      <c r="F1228" t="s">
        <v>898</v>
      </c>
      <c r="G1228" t="s">
        <v>67</v>
      </c>
      <c r="H1228" t="s">
        <v>898</v>
      </c>
    </row>
    <row r="1229">
      <c r="B1229" t="s">
        <v>898</v>
      </c>
      <c r="C1229" t="s">
        <v>898</v>
      </c>
      <c r="D1229" t="s">
        <v>898</v>
      </c>
      <c r="E1229" t="s">
        <v>898</v>
      </c>
      <c r="F1229" t="s">
        <v>898</v>
      </c>
      <c r="G1229" t="s">
        <v>67</v>
      </c>
      <c r="H1229" t="s">
        <v>898</v>
      </c>
    </row>
    <row r="1230">
      <c r="B1230" t="s">
        <v>898</v>
      </c>
      <c r="C1230" t="s">
        <v>898</v>
      </c>
      <c r="D1230" t="s">
        <v>898</v>
      </c>
      <c r="E1230" t="s">
        <v>898</v>
      </c>
      <c r="F1230" t="s">
        <v>898</v>
      </c>
      <c r="G1230" t="s">
        <v>67</v>
      </c>
      <c r="H1230" t="s">
        <v>898</v>
      </c>
    </row>
    <row r="1231">
      <c r="B1231" t="s">
        <v>898</v>
      </c>
      <c r="C1231" t="s">
        <v>898</v>
      </c>
      <c r="D1231" t="s">
        <v>898</v>
      </c>
      <c r="E1231" t="s">
        <v>898</v>
      </c>
      <c r="F1231" t="s">
        <v>898</v>
      </c>
      <c r="G1231" t="s">
        <v>67</v>
      </c>
      <c r="H1231" t="s">
        <v>898</v>
      </c>
    </row>
    <row r="1232">
      <c r="B1232" t="s">
        <v>898</v>
      </c>
      <c r="C1232" t="s">
        <v>898</v>
      </c>
      <c r="D1232" t="s">
        <v>898</v>
      </c>
      <c r="E1232" t="s">
        <v>898</v>
      </c>
      <c r="F1232" t="s">
        <v>898</v>
      </c>
      <c r="G1232" t="s">
        <v>67</v>
      </c>
      <c r="H1232" t="s">
        <v>898</v>
      </c>
    </row>
    <row r="1233">
      <c r="B1233" t="s">
        <v>898</v>
      </c>
      <c r="C1233" t="s">
        <v>898</v>
      </c>
      <c r="D1233" t="s">
        <v>898</v>
      </c>
      <c r="E1233" t="s">
        <v>898</v>
      </c>
      <c r="F1233" t="s">
        <v>898</v>
      </c>
      <c r="G1233" t="s">
        <v>67</v>
      </c>
      <c r="H1233" t="s">
        <v>898</v>
      </c>
    </row>
    <row r="1234">
      <c r="B1234" t="s">
        <v>898</v>
      </c>
      <c r="C1234" t="s">
        <v>898</v>
      </c>
      <c r="D1234" t="s">
        <v>898</v>
      </c>
      <c r="E1234" t="s">
        <v>898</v>
      </c>
      <c r="F1234" t="s">
        <v>898</v>
      </c>
      <c r="G1234" t="s">
        <v>67</v>
      </c>
      <c r="H1234" t="s">
        <v>898</v>
      </c>
    </row>
    <row r="1235">
      <c r="B1235" t="s">
        <v>898</v>
      </c>
      <c r="C1235" t="s">
        <v>898</v>
      </c>
      <c r="D1235" t="s">
        <v>898</v>
      </c>
      <c r="E1235" t="s">
        <v>898</v>
      </c>
      <c r="F1235" t="s">
        <v>898</v>
      </c>
      <c r="G1235" t="s">
        <v>67</v>
      </c>
      <c r="H1235" t="s">
        <v>898</v>
      </c>
    </row>
    <row r="1236">
      <c r="B1236" t="s">
        <v>898</v>
      </c>
      <c r="C1236" t="s">
        <v>898</v>
      </c>
      <c r="D1236" t="s">
        <v>898</v>
      </c>
      <c r="E1236" t="s">
        <v>898</v>
      </c>
      <c r="F1236" t="s">
        <v>898</v>
      </c>
      <c r="G1236" t="s">
        <v>67</v>
      </c>
      <c r="H1236" t="s">
        <v>898</v>
      </c>
    </row>
    <row r="1237">
      <c r="B1237" t="s">
        <v>898</v>
      </c>
      <c r="C1237" t="s">
        <v>898</v>
      </c>
      <c r="D1237" t="s">
        <v>898</v>
      </c>
      <c r="E1237" t="s">
        <v>898</v>
      </c>
      <c r="F1237" t="s">
        <v>898</v>
      </c>
      <c r="G1237" t="s">
        <v>67</v>
      </c>
      <c r="H1237" t="s">
        <v>898</v>
      </c>
    </row>
    <row r="1238">
      <c r="B1238" t="s">
        <v>898</v>
      </c>
      <c r="C1238" t="s">
        <v>898</v>
      </c>
      <c r="D1238" t="s">
        <v>898</v>
      </c>
      <c r="E1238" t="s">
        <v>898</v>
      </c>
      <c r="F1238" t="s">
        <v>898</v>
      </c>
      <c r="G1238" t="s">
        <v>67</v>
      </c>
      <c r="H1238" t="s">
        <v>898</v>
      </c>
    </row>
    <row r="1239">
      <c r="B1239" t="s">
        <v>898</v>
      </c>
      <c r="C1239" t="s">
        <v>898</v>
      </c>
      <c r="D1239" t="s">
        <v>898</v>
      </c>
      <c r="E1239" t="s">
        <v>898</v>
      </c>
      <c r="F1239" t="s">
        <v>898</v>
      </c>
      <c r="G1239" t="s">
        <v>67</v>
      </c>
      <c r="H1239" t="s">
        <v>898</v>
      </c>
    </row>
    <row r="1240">
      <c r="B1240" t="s">
        <v>898</v>
      </c>
      <c r="C1240" t="s">
        <v>898</v>
      </c>
      <c r="D1240" t="s">
        <v>898</v>
      </c>
      <c r="E1240" t="s">
        <v>898</v>
      </c>
      <c r="F1240" t="s">
        <v>898</v>
      </c>
      <c r="G1240" t="s">
        <v>67</v>
      </c>
      <c r="H1240" t="s">
        <v>898</v>
      </c>
    </row>
    <row r="1241">
      <c r="B1241" t="s">
        <v>898</v>
      </c>
      <c r="C1241" t="s">
        <v>898</v>
      </c>
      <c r="D1241" t="s">
        <v>898</v>
      </c>
      <c r="E1241" t="s">
        <v>898</v>
      </c>
      <c r="F1241" t="s">
        <v>898</v>
      </c>
      <c r="G1241" t="s">
        <v>67</v>
      </c>
      <c r="H1241" t="s">
        <v>898</v>
      </c>
    </row>
    <row r="1242">
      <c r="B1242" t="s">
        <v>898</v>
      </c>
      <c r="C1242" t="s">
        <v>898</v>
      </c>
      <c r="D1242" t="s">
        <v>898</v>
      </c>
      <c r="E1242" t="s">
        <v>898</v>
      </c>
      <c r="F1242" t="s">
        <v>898</v>
      </c>
      <c r="G1242" t="s">
        <v>67</v>
      </c>
      <c r="H1242" t="s">
        <v>898</v>
      </c>
    </row>
    <row r="1243">
      <c r="B1243" t="s">
        <v>898</v>
      </c>
      <c r="C1243" t="s">
        <v>898</v>
      </c>
      <c r="D1243" t="s">
        <v>898</v>
      </c>
      <c r="E1243" t="s">
        <v>898</v>
      </c>
      <c r="F1243" t="s">
        <v>898</v>
      </c>
      <c r="G1243" t="s">
        <v>67</v>
      </c>
      <c r="H1243" t="s">
        <v>898</v>
      </c>
    </row>
    <row r="1244">
      <c r="B1244" t="s">
        <v>898</v>
      </c>
      <c r="C1244" t="s">
        <v>898</v>
      </c>
      <c r="D1244" t="s">
        <v>898</v>
      </c>
      <c r="E1244" t="s">
        <v>898</v>
      </c>
      <c r="F1244" t="s">
        <v>898</v>
      </c>
      <c r="G1244" t="s">
        <v>67</v>
      </c>
      <c r="H1244" t="s">
        <v>898</v>
      </c>
    </row>
    <row r="1245">
      <c r="B1245" t="s">
        <v>898</v>
      </c>
      <c r="C1245" t="s">
        <v>898</v>
      </c>
      <c r="D1245" t="s">
        <v>898</v>
      </c>
      <c r="E1245" t="s">
        <v>898</v>
      </c>
      <c r="F1245" t="s">
        <v>898</v>
      </c>
      <c r="G1245" t="s">
        <v>67</v>
      </c>
      <c r="H1245" t="s">
        <v>898</v>
      </c>
    </row>
    <row r="1246">
      <c r="B1246" t="s">
        <v>898</v>
      </c>
      <c r="C1246" t="s">
        <v>898</v>
      </c>
      <c r="D1246" t="s">
        <v>898</v>
      </c>
      <c r="E1246" t="s">
        <v>898</v>
      </c>
      <c r="F1246" t="s">
        <v>898</v>
      </c>
      <c r="G1246" t="s">
        <v>67</v>
      </c>
      <c r="H1246" t="s">
        <v>898</v>
      </c>
    </row>
    <row r="1247">
      <c r="B1247" t="s">
        <v>898</v>
      </c>
      <c r="C1247" t="s">
        <v>898</v>
      </c>
      <c r="D1247" t="s">
        <v>898</v>
      </c>
      <c r="E1247" t="s">
        <v>898</v>
      </c>
      <c r="F1247" t="s">
        <v>898</v>
      </c>
      <c r="G1247" t="s">
        <v>67</v>
      </c>
      <c r="H1247" t="s">
        <v>898</v>
      </c>
    </row>
    <row r="1248">
      <c r="B1248" t="s">
        <v>898</v>
      </c>
      <c r="C1248" t="s">
        <v>898</v>
      </c>
      <c r="D1248" t="s">
        <v>898</v>
      </c>
      <c r="E1248" t="s">
        <v>898</v>
      </c>
      <c r="F1248" t="s">
        <v>898</v>
      </c>
      <c r="G1248" t="s">
        <v>67</v>
      </c>
      <c r="H1248" t="s">
        <v>898</v>
      </c>
    </row>
    <row r="1249">
      <c r="B1249" t="s">
        <v>898</v>
      </c>
      <c r="C1249" t="s">
        <v>898</v>
      </c>
      <c r="D1249" t="s">
        <v>898</v>
      </c>
      <c r="E1249" t="s">
        <v>898</v>
      </c>
      <c r="F1249" t="s">
        <v>898</v>
      </c>
      <c r="G1249" t="s">
        <v>67</v>
      </c>
      <c r="H1249" t="s">
        <v>898</v>
      </c>
    </row>
    <row r="1250">
      <c r="B1250" t="s">
        <v>898</v>
      </c>
      <c r="C1250" t="s">
        <v>898</v>
      </c>
      <c r="D1250" t="s">
        <v>898</v>
      </c>
      <c r="E1250" t="s">
        <v>898</v>
      </c>
      <c r="F1250" t="s">
        <v>898</v>
      </c>
      <c r="G1250" t="s">
        <v>67</v>
      </c>
      <c r="H1250" t="s">
        <v>898</v>
      </c>
    </row>
    <row r="1251">
      <c r="B1251" t="s">
        <v>898</v>
      </c>
      <c r="C1251" t="s">
        <v>898</v>
      </c>
      <c r="D1251" t="s">
        <v>898</v>
      </c>
      <c r="E1251" t="s">
        <v>898</v>
      </c>
      <c r="F1251" t="s">
        <v>898</v>
      </c>
      <c r="G1251" t="s">
        <v>67</v>
      </c>
      <c r="H1251" t="s">
        <v>898</v>
      </c>
    </row>
    <row r="1252">
      <c r="B1252" t="s">
        <v>898</v>
      </c>
      <c r="C1252" t="s">
        <v>898</v>
      </c>
      <c r="D1252" t="s">
        <v>898</v>
      </c>
      <c r="E1252" t="s">
        <v>898</v>
      </c>
      <c r="F1252" t="s">
        <v>898</v>
      </c>
      <c r="G1252" t="s">
        <v>67</v>
      </c>
      <c r="H1252" t="s">
        <v>898</v>
      </c>
    </row>
    <row r="1253">
      <c r="B1253" t="s">
        <v>898</v>
      </c>
      <c r="C1253" t="s">
        <v>898</v>
      </c>
      <c r="D1253" t="s">
        <v>898</v>
      </c>
      <c r="E1253" t="s">
        <v>898</v>
      </c>
      <c r="F1253" t="s">
        <v>898</v>
      </c>
      <c r="G1253" t="s">
        <v>67</v>
      </c>
      <c r="H1253" t="s">
        <v>898</v>
      </c>
    </row>
    <row r="1254">
      <c r="B1254" t="s">
        <v>898</v>
      </c>
      <c r="C1254" t="s">
        <v>898</v>
      </c>
      <c r="D1254" t="s">
        <v>898</v>
      </c>
      <c r="E1254" t="s">
        <v>898</v>
      </c>
      <c r="F1254" t="s">
        <v>898</v>
      </c>
      <c r="G1254" t="s">
        <v>67</v>
      </c>
      <c r="H1254" t="s">
        <v>898</v>
      </c>
    </row>
    <row r="1255">
      <c r="B1255" t="s">
        <v>898</v>
      </c>
      <c r="C1255" t="s">
        <v>898</v>
      </c>
      <c r="D1255" t="s">
        <v>898</v>
      </c>
      <c r="E1255" t="s">
        <v>898</v>
      </c>
      <c r="F1255" t="s">
        <v>898</v>
      </c>
      <c r="G1255" t="s">
        <v>67</v>
      </c>
      <c r="H1255" t="s">
        <v>898</v>
      </c>
    </row>
    <row r="1256">
      <c r="B1256" t="s">
        <v>898</v>
      </c>
      <c r="C1256" t="s">
        <v>898</v>
      </c>
      <c r="D1256" t="s">
        <v>898</v>
      </c>
      <c r="E1256" t="s">
        <v>898</v>
      </c>
      <c r="F1256" t="s">
        <v>898</v>
      </c>
      <c r="G1256" t="s">
        <v>67</v>
      </c>
      <c r="H1256" t="s">
        <v>898</v>
      </c>
    </row>
    <row r="1257">
      <c r="B1257" t="s">
        <v>898</v>
      </c>
      <c r="C1257" t="s">
        <v>898</v>
      </c>
      <c r="D1257" t="s">
        <v>898</v>
      </c>
      <c r="E1257" t="s">
        <v>898</v>
      </c>
      <c r="F1257" t="s">
        <v>898</v>
      </c>
      <c r="G1257" t="s">
        <v>67</v>
      </c>
      <c r="H1257" t="s">
        <v>898</v>
      </c>
    </row>
    <row r="1258">
      <c r="B1258" t="s">
        <v>898</v>
      </c>
      <c r="C1258" t="s">
        <v>898</v>
      </c>
      <c r="D1258" t="s">
        <v>898</v>
      </c>
      <c r="E1258" t="s">
        <v>898</v>
      </c>
      <c r="F1258" t="s">
        <v>898</v>
      </c>
      <c r="G1258" t="s">
        <v>67</v>
      </c>
      <c r="H1258" t="s">
        <v>898</v>
      </c>
    </row>
    <row r="1259">
      <c r="B1259" t="s">
        <v>898</v>
      </c>
      <c r="C1259" t="s">
        <v>898</v>
      </c>
      <c r="D1259" t="s">
        <v>898</v>
      </c>
      <c r="E1259" t="s">
        <v>898</v>
      </c>
      <c r="F1259" t="s">
        <v>898</v>
      </c>
      <c r="G1259" t="s">
        <v>67</v>
      </c>
      <c r="H1259" t="s">
        <v>898</v>
      </c>
    </row>
    <row r="1260">
      <c r="B1260" t="s">
        <v>898</v>
      </c>
      <c r="C1260" t="s">
        <v>898</v>
      </c>
      <c r="D1260" t="s">
        <v>898</v>
      </c>
      <c r="E1260" t="s">
        <v>898</v>
      </c>
      <c r="F1260" t="s">
        <v>898</v>
      </c>
      <c r="G1260" t="s">
        <v>67</v>
      </c>
      <c r="H1260" t="s">
        <v>898</v>
      </c>
    </row>
    <row r="1261">
      <c r="B1261" t="s">
        <v>898</v>
      </c>
      <c r="C1261" t="s">
        <v>898</v>
      </c>
      <c r="D1261" t="s">
        <v>898</v>
      </c>
      <c r="E1261" t="s">
        <v>898</v>
      </c>
      <c r="F1261" t="s">
        <v>898</v>
      </c>
      <c r="G1261" t="s">
        <v>67</v>
      </c>
      <c r="H1261" t="s">
        <v>898</v>
      </c>
    </row>
    <row r="1262">
      <c r="B1262" t="s">
        <v>898</v>
      </c>
      <c r="C1262" t="s">
        <v>898</v>
      </c>
      <c r="D1262" t="s">
        <v>898</v>
      </c>
      <c r="E1262" t="s">
        <v>898</v>
      </c>
      <c r="F1262" t="s">
        <v>898</v>
      </c>
      <c r="G1262" t="s">
        <v>67</v>
      </c>
      <c r="H1262" t="s">
        <v>898</v>
      </c>
    </row>
    <row r="1263">
      <c r="B1263" t="s">
        <v>898</v>
      </c>
      <c r="C1263" t="s">
        <v>898</v>
      </c>
      <c r="D1263" t="s">
        <v>898</v>
      </c>
      <c r="E1263" t="s">
        <v>898</v>
      </c>
      <c r="F1263" t="s">
        <v>898</v>
      </c>
      <c r="G1263" t="s">
        <v>67</v>
      </c>
      <c r="H1263" t="s">
        <v>898</v>
      </c>
    </row>
    <row r="1264">
      <c r="B1264" t="s">
        <v>898</v>
      </c>
      <c r="C1264" t="s">
        <v>898</v>
      </c>
      <c r="D1264" t="s">
        <v>898</v>
      </c>
      <c r="E1264" t="s">
        <v>898</v>
      </c>
      <c r="F1264" t="s">
        <v>898</v>
      </c>
      <c r="G1264" t="s">
        <v>67</v>
      </c>
      <c r="H1264" t="s">
        <v>898</v>
      </c>
    </row>
    <row r="1265">
      <c r="B1265" t="s">
        <v>898</v>
      </c>
      <c r="C1265" t="s">
        <v>898</v>
      </c>
      <c r="D1265" t="s">
        <v>898</v>
      </c>
      <c r="E1265" t="s">
        <v>898</v>
      </c>
      <c r="F1265" t="s">
        <v>898</v>
      </c>
      <c r="G1265" t="s">
        <v>67</v>
      </c>
      <c r="H1265" t="s">
        <v>898</v>
      </c>
    </row>
    <row r="1266">
      <c r="B1266" t="s">
        <v>898</v>
      </c>
      <c r="C1266" t="s">
        <v>898</v>
      </c>
      <c r="D1266" t="s">
        <v>898</v>
      </c>
      <c r="E1266" t="s">
        <v>898</v>
      </c>
      <c r="F1266" t="s">
        <v>898</v>
      </c>
      <c r="G1266" t="s">
        <v>67</v>
      </c>
      <c r="H1266" t="s">
        <v>898</v>
      </c>
    </row>
    <row r="1267">
      <c r="B1267" t="s">
        <v>898</v>
      </c>
      <c r="C1267" t="s">
        <v>898</v>
      </c>
      <c r="D1267" t="s">
        <v>898</v>
      </c>
      <c r="E1267" t="s">
        <v>898</v>
      </c>
      <c r="F1267" t="s">
        <v>898</v>
      </c>
      <c r="G1267" t="s">
        <v>67</v>
      </c>
      <c r="H1267" t="s">
        <v>898</v>
      </c>
    </row>
    <row r="1268">
      <c r="B1268" t="s">
        <v>898</v>
      </c>
      <c r="C1268" t="s">
        <v>898</v>
      </c>
      <c r="D1268" t="s">
        <v>898</v>
      </c>
      <c r="E1268" t="s">
        <v>898</v>
      </c>
      <c r="F1268" t="s">
        <v>898</v>
      </c>
      <c r="G1268" t="s">
        <v>67</v>
      </c>
      <c r="H1268" t="s">
        <v>898</v>
      </c>
    </row>
    <row r="1269">
      <c r="B1269" t="s">
        <v>898</v>
      </c>
      <c r="C1269" t="s">
        <v>898</v>
      </c>
      <c r="D1269" t="s">
        <v>898</v>
      </c>
      <c r="E1269" t="s">
        <v>898</v>
      </c>
      <c r="F1269" t="s">
        <v>898</v>
      </c>
      <c r="G1269" t="s">
        <v>67</v>
      </c>
      <c r="H1269" t="s">
        <v>898</v>
      </c>
    </row>
    <row r="1270">
      <c r="B1270" t="s">
        <v>898</v>
      </c>
      <c r="C1270" t="s">
        <v>898</v>
      </c>
      <c r="D1270" t="s">
        <v>898</v>
      </c>
      <c r="E1270" t="s">
        <v>898</v>
      </c>
      <c r="F1270" t="s">
        <v>898</v>
      </c>
      <c r="G1270" t="s">
        <v>67</v>
      </c>
      <c r="H1270" t="s">
        <v>898</v>
      </c>
    </row>
    <row r="1271">
      <c r="B1271" t="s">
        <v>898</v>
      </c>
      <c r="C1271" t="s">
        <v>898</v>
      </c>
      <c r="D1271" t="s">
        <v>898</v>
      </c>
      <c r="E1271" t="s">
        <v>898</v>
      </c>
      <c r="F1271" t="s">
        <v>898</v>
      </c>
      <c r="G1271" t="s">
        <v>67</v>
      </c>
      <c r="H1271" t="s">
        <v>898</v>
      </c>
    </row>
    <row r="1272">
      <c r="B1272" t="s">
        <v>898</v>
      </c>
      <c r="C1272" t="s">
        <v>898</v>
      </c>
      <c r="D1272" t="s">
        <v>898</v>
      </c>
      <c r="E1272" t="s">
        <v>898</v>
      </c>
      <c r="F1272" t="s">
        <v>898</v>
      </c>
      <c r="G1272" t="s">
        <v>67</v>
      </c>
      <c r="H1272" t="s">
        <v>898</v>
      </c>
    </row>
    <row r="1273">
      <c r="B1273" t="s">
        <v>898</v>
      </c>
      <c r="C1273" t="s">
        <v>898</v>
      </c>
      <c r="D1273" t="s">
        <v>898</v>
      </c>
      <c r="E1273" t="s">
        <v>898</v>
      </c>
      <c r="F1273" t="s">
        <v>898</v>
      </c>
      <c r="G1273" t="s">
        <v>67</v>
      </c>
      <c r="H1273" t="s">
        <v>898</v>
      </c>
    </row>
    <row r="1274">
      <c r="B1274" t="s">
        <v>898</v>
      </c>
      <c r="C1274" t="s">
        <v>898</v>
      </c>
      <c r="D1274" t="s">
        <v>898</v>
      </c>
      <c r="E1274" t="s">
        <v>898</v>
      </c>
      <c r="F1274" t="s">
        <v>898</v>
      </c>
      <c r="G1274" t="s">
        <v>67</v>
      </c>
      <c r="H1274" t="s">
        <v>898</v>
      </c>
    </row>
    <row r="1275">
      <c r="B1275" t="s">
        <v>898</v>
      </c>
      <c r="C1275" t="s">
        <v>898</v>
      </c>
      <c r="D1275" t="s">
        <v>898</v>
      </c>
      <c r="E1275" t="s">
        <v>898</v>
      </c>
      <c r="F1275" t="s">
        <v>898</v>
      </c>
      <c r="G1275" t="s">
        <v>67</v>
      </c>
      <c r="H1275" t="s">
        <v>898</v>
      </c>
    </row>
    <row r="1276">
      <c r="B1276" t="s">
        <v>898</v>
      </c>
      <c r="C1276" t="s">
        <v>898</v>
      </c>
      <c r="D1276" t="s">
        <v>898</v>
      </c>
      <c r="E1276" t="s">
        <v>898</v>
      </c>
      <c r="F1276" t="s">
        <v>898</v>
      </c>
      <c r="G1276" t="s">
        <v>67</v>
      </c>
      <c r="H1276" t="s">
        <v>898</v>
      </c>
    </row>
    <row r="1277">
      <c r="B1277" t="s">
        <v>898</v>
      </c>
      <c r="C1277" t="s">
        <v>898</v>
      </c>
      <c r="D1277" t="s">
        <v>898</v>
      </c>
      <c r="E1277" t="s">
        <v>898</v>
      </c>
      <c r="F1277" t="s">
        <v>898</v>
      </c>
      <c r="G1277" t="s">
        <v>67</v>
      </c>
      <c r="H1277" t="s">
        <v>898</v>
      </c>
    </row>
    <row r="1278">
      <c r="B1278" t="s">
        <v>898</v>
      </c>
      <c r="C1278" t="s">
        <v>898</v>
      </c>
      <c r="D1278" t="s">
        <v>898</v>
      </c>
      <c r="E1278" t="s">
        <v>898</v>
      </c>
      <c r="F1278" t="s">
        <v>898</v>
      </c>
      <c r="G1278" t="s">
        <v>67</v>
      </c>
      <c r="H1278" t="s">
        <v>898</v>
      </c>
    </row>
    <row r="1279">
      <c r="B1279" t="s">
        <v>898</v>
      </c>
      <c r="C1279" t="s">
        <v>898</v>
      </c>
      <c r="D1279" t="s">
        <v>898</v>
      </c>
      <c r="E1279" t="s">
        <v>898</v>
      </c>
      <c r="F1279" t="s">
        <v>898</v>
      </c>
      <c r="G1279" t="s">
        <v>67</v>
      </c>
      <c r="H1279" t="s">
        <v>898</v>
      </c>
    </row>
    <row r="1280">
      <c r="B1280" t="s">
        <v>898</v>
      </c>
      <c r="C1280" t="s">
        <v>898</v>
      </c>
      <c r="D1280" t="s">
        <v>898</v>
      </c>
      <c r="E1280" t="s">
        <v>898</v>
      </c>
      <c r="F1280" t="s">
        <v>898</v>
      </c>
      <c r="G1280" t="s">
        <v>67</v>
      </c>
      <c r="H1280" t="s">
        <v>898</v>
      </c>
    </row>
    <row r="1281">
      <c r="B1281" t="s">
        <v>898</v>
      </c>
      <c r="C1281" t="s">
        <v>898</v>
      </c>
      <c r="D1281" t="s">
        <v>898</v>
      </c>
      <c r="E1281" t="s">
        <v>898</v>
      </c>
      <c r="F1281" t="s">
        <v>898</v>
      </c>
      <c r="G1281" t="s">
        <v>67</v>
      </c>
      <c r="H1281" t="s">
        <v>898</v>
      </c>
    </row>
    <row r="1282">
      <c r="B1282" t="s">
        <v>898</v>
      </c>
      <c r="C1282" t="s">
        <v>898</v>
      </c>
      <c r="D1282" t="s">
        <v>898</v>
      </c>
      <c r="E1282" t="s">
        <v>898</v>
      </c>
      <c r="F1282" t="s">
        <v>898</v>
      </c>
      <c r="G1282" t="s">
        <v>67</v>
      </c>
      <c r="H1282" t="s">
        <v>898</v>
      </c>
    </row>
    <row r="1283">
      <c r="B1283" t="s">
        <v>898</v>
      </c>
      <c r="C1283" t="s">
        <v>898</v>
      </c>
      <c r="D1283" t="s">
        <v>898</v>
      </c>
      <c r="E1283" t="s">
        <v>898</v>
      </c>
      <c r="F1283" t="s">
        <v>898</v>
      </c>
      <c r="G1283" t="s">
        <v>67</v>
      </c>
      <c r="H1283" t="s">
        <v>898</v>
      </c>
    </row>
    <row r="1284">
      <c r="B1284" t="s">
        <v>898</v>
      </c>
      <c r="C1284" t="s">
        <v>898</v>
      </c>
      <c r="D1284" t="s">
        <v>898</v>
      </c>
      <c r="E1284" t="s">
        <v>898</v>
      </c>
      <c r="F1284" t="s">
        <v>898</v>
      </c>
      <c r="G1284" t="s">
        <v>67</v>
      </c>
      <c r="H1284" t="s">
        <v>898</v>
      </c>
    </row>
    <row r="1285">
      <c r="B1285" t="s">
        <v>898</v>
      </c>
      <c r="C1285" t="s">
        <v>898</v>
      </c>
      <c r="D1285" t="s">
        <v>898</v>
      </c>
      <c r="E1285" t="s">
        <v>898</v>
      </c>
      <c r="F1285" t="s">
        <v>898</v>
      </c>
      <c r="G1285" t="s">
        <v>67</v>
      </c>
      <c r="H1285" t="s">
        <v>898</v>
      </c>
    </row>
    <row r="1286">
      <c r="B1286" t="s">
        <v>898</v>
      </c>
      <c r="C1286" t="s">
        <v>898</v>
      </c>
      <c r="D1286" t="s">
        <v>898</v>
      </c>
      <c r="E1286" t="s">
        <v>898</v>
      </c>
      <c r="F1286" t="s">
        <v>898</v>
      </c>
      <c r="G1286" t="s">
        <v>67</v>
      </c>
      <c r="H1286" t="s">
        <v>898</v>
      </c>
    </row>
    <row r="1287">
      <c r="B1287" t="s">
        <v>898</v>
      </c>
      <c r="C1287" t="s">
        <v>898</v>
      </c>
      <c r="D1287" t="s">
        <v>898</v>
      </c>
      <c r="E1287" t="s">
        <v>898</v>
      </c>
      <c r="F1287" t="s">
        <v>898</v>
      </c>
      <c r="G1287" t="s">
        <v>67</v>
      </c>
      <c r="H1287" t="s">
        <v>898</v>
      </c>
    </row>
    <row r="1288">
      <c r="B1288" t="s">
        <v>898</v>
      </c>
      <c r="C1288" t="s">
        <v>898</v>
      </c>
      <c r="D1288" t="s">
        <v>898</v>
      </c>
      <c r="E1288" t="s">
        <v>898</v>
      </c>
      <c r="F1288" t="s">
        <v>898</v>
      </c>
      <c r="G1288" t="s">
        <v>67</v>
      </c>
      <c r="H1288" t="s">
        <v>898</v>
      </c>
    </row>
    <row r="1289">
      <c r="B1289" t="s">
        <v>898</v>
      </c>
      <c r="C1289" t="s">
        <v>898</v>
      </c>
      <c r="D1289" t="s">
        <v>898</v>
      </c>
      <c r="E1289" t="s">
        <v>898</v>
      </c>
      <c r="F1289" t="s">
        <v>898</v>
      </c>
      <c r="G1289" t="s">
        <v>67</v>
      </c>
      <c r="H1289" t="s">
        <v>898</v>
      </c>
    </row>
    <row r="1290">
      <c r="B1290" t="s">
        <v>898</v>
      </c>
      <c r="C1290" t="s">
        <v>898</v>
      </c>
      <c r="D1290" t="s">
        <v>898</v>
      </c>
      <c r="E1290" t="s">
        <v>898</v>
      </c>
      <c r="F1290" t="s">
        <v>898</v>
      </c>
      <c r="G1290" t="s">
        <v>67</v>
      </c>
      <c r="H1290" t="s">
        <v>898</v>
      </c>
    </row>
    <row r="1291">
      <c r="B1291" t="s">
        <v>898</v>
      </c>
      <c r="C1291" t="s">
        <v>898</v>
      </c>
      <c r="D1291" t="s">
        <v>898</v>
      </c>
      <c r="E1291" t="s">
        <v>898</v>
      </c>
      <c r="F1291" t="s">
        <v>898</v>
      </c>
      <c r="G1291" t="s">
        <v>67</v>
      </c>
      <c r="H1291" t="s">
        <v>898</v>
      </c>
    </row>
    <row r="1292">
      <c r="B1292" t="s">
        <v>898</v>
      </c>
      <c r="C1292" t="s">
        <v>898</v>
      </c>
      <c r="D1292" t="s">
        <v>898</v>
      </c>
      <c r="E1292" t="s">
        <v>898</v>
      </c>
      <c r="F1292" t="s">
        <v>898</v>
      </c>
      <c r="G1292" t="s">
        <v>67</v>
      </c>
      <c r="H1292" t="s">
        <v>898</v>
      </c>
    </row>
    <row r="1293">
      <c r="B1293" t="s">
        <v>898</v>
      </c>
      <c r="C1293" t="s">
        <v>898</v>
      </c>
      <c r="D1293" t="s">
        <v>898</v>
      </c>
      <c r="E1293" t="s">
        <v>898</v>
      </c>
      <c r="F1293" t="s">
        <v>898</v>
      </c>
      <c r="G1293" t="s">
        <v>67</v>
      </c>
      <c r="H1293" t="s">
        <v>898</v>
      </c>
    </row>
    <row r="1294">
      <c r="B1294" t="s">
        <v>898</v>
      </c>
      <c r="C1294" t="s">
        <v>898</v>
      </c>
      <c r="D1294" t="s">
        <v>898</v>
      </c>
      <c r="E1294" t="s">
        <v>898</v>
      </c>
      <c r="F1294" t="s">
        <v>898</v>
      </c>
      <c r="G1294" t="s">
        <v>67</v>
      </c>
      <c r="H1294" t="s">
        <v>898</v>
      </c>
    </row>
    <row r="1295">
      <c r="B1295" t="s">
        <v>898</v>
      </c>
      <c r="C1295" t="s">
        <v>898</v>
      </c>
      <c r="D1295" t="s">
        <v>898</v>
      </c>
      <c r="E1295" t="s">
        <v>898</v>
      </c>
      <c r="F1295" t="s">
        <v>898</v>
      </c>
      <c r="G1295" t="s">
        <v>67</v>
      </c>
      <c r="H1295" t="s">
        <v>898</v>
      </c>
    </row>
    <row r="1296">
      <c r="B1296" t="s">
        <v>898</v>
      </c>
      <c r="C1296" t="s">
        <v>898</v>
      </c>
      <c r="D1296" t="s">
        <v>898</v>
      </c>
      <c r="E1296" t="s">
        <v>898</v>
      </c>
      <c r="F1296" t="s">
        <v>898</v>
      </c>
      <c r="G1296" t="s">
        <v>67</v>
      </c>
      <c r="H1296" t="s">
        <v>898</v>
      </c>
    </row>
    <row r="1297">
      <c r="B1297" t="s">
        <v>898</v>
      </c>
      <c r="C1297" t="s">
        <v>898</v>
      </c>
      <c r="D1297" t="s">
        <v>898</v>
      </c>
      <c r="E1297" t="s">
        <v>898</v>
      </c>
      <c r="F1297" t="s">
        <v>898</v>
      </c>
      <c r="G1297" t="s">
        <v>67</v>
      </c>
      <c r="H1297" t="s">
        <v>898</v>
      </c>
    </row>
    <row r="1298">
      <c r="B1298" t="s">
        <v>898</v>
      </c>
      <c r="C1298" t="s">
        <v>898</v>
      </c>
      <c r="D1298" t="s">
        <v>898</v>
      </c>
      <c r="E1298" t="s">
        <v>898</v>
      </c>
      <c r="F1298" t="s">
        <v>898</v>
      </c>
      <c r="G1298" t="s">
        <v>67</v>
      </c>
      <c r="H1298" t="s">
        <v>898</v>
      </c>
    </row>
    <row r="1299">
      <c r="B1299" t="s">
        <v>898</v>
      </c>
      <c r="C1299" t="s">
        <v>898</v>
      </c>
      <c r="D1299" t="s">
        <v>898</v>
      </c>
      <c r="E1299" t="s">
        <v>898</v>
      </c>
      <c r="F1299" t="s">
        <v>898</v>
      </c>
      <c r="G1299" t="s">
        <v>67</v>
      </c>
      <c r="H1299" t="s">
        <v>898</v>
      </c>
    </row>
    <row r="1300">
      <c r="B1300" t="s">
        <v>898</v>
      </c>
      <c r="C1300" t="s">
        <v>898</v>
      </c>
      <c r="D1300" t="s">
        <v>898</v>
      </c>
      <c r="E1300" t="s">
        <v>898</v>
      </c>
      <c r="F1300" t="s">
        <v>898</v>
      </c>
      <c r="G1300" t="s">
        <v>67</v>
      </c>
      <c r="H1300" t="s">
        <v>898</v>
      </c>
    </row>
    <row r="1301">
      <c r="B1301" t="s">
        <v>898</v>
      </c>
      <c r="C1301" t="s">
        <v>898</v>
      </c>
      <c r="D1301" t="s">
        <v>898</v>
      </c>
      <c r="E1301" t="s">
        <v>898</v>
      </c>
      <c r="F1301" t="s">
        <v>898</v>
      </c>
      <c r="G1301" t="s">
        <v>67</v>
      </c>
      <c r="H1301" t="s">
        <v>898</v>
      </c>
    </row>
    <row r="1302">
      <c r="B1302" t="s">
        <v>898</v>
      </c>
      <c r="C1302" t="s">
        <v>898</v>
      </c>
      <c r="D1302" t="s">
        <v>898</v>
      </c>
      <c r="E1302" t="s">
        <v>898</v>
      </c>
      <c r="F1302" t="s">
        <v>898</v>
      </c>
      <c r="G1302" t="s">
        <v>67</v>
      </c>
      <c r="H1302" t="s">
        <v>898</v>
      </c>
    </row>
    <row r="1303">
      <c r="B1303" t="s">
        <v>898</v>
      </c>
      <c r="C1303" t="s">
        <v>898</v>
      </c>
      <c r="D1303" t="s">
        <v>898</v>
      </c>
      <c r="E1303" t="s">
        <v>898</v>
      </c>
      <c r="F1303" t="s">
        <v>898</v>
      </c>
      <c r="G1303" t="s">
        <v>67</v>
      </c>
      <c r="H1303" t="s">
        <v>898</v>
      </c>
    </row>
    <row r="1304">
      <c r="B1304" t="s">
        <v>898</v>
      </c>
      <c r="C1304" t="s">
        <v>898</v>
      </c>
      <c r="D1304" t="s">
        <v>898</v>
      </c>
      <c r="E1304" t="s">
        <v>898</v>
      </c>
      <c r="F1304" t="s">
        <v>898</v>
      </c>
      <c r="G1304" t="s">
        <v>67</v>
      </c>
      <c r="H1304" t="s">
        <v>898</v>
      </c>
    </row>
    <row r="1305">
      <c r="B1305" t="s">
        <v>898</v>
      </c>
      <c r="C1305" t="s">
        <v>898</v>
      </c>
      <c r="D1305" t="s">
        <v>898</v>
      </c>
      <c r="E1305" t="s">
        <v>898</v>
      </c>
      <c r="F1305" t="s">
        <v>898</v>
      </c>
      <c r="G1305" t="s">
        <v>67</v>
      </c>
      <c r="H1305" t="s">
        <v>898</v>
      </c>
    </row>
    <row r="1306">
      <c r="B1306" t="s">
        <v>898</v>
      </c>
      <c r="C1306" t="s">
        <v>898</v>
      </c>
      <c r="D1306" t="s">
        <v>898</v>
      </c>
      <c r="E1306" t="s">
        <v>898</v>
      </c>
      <c r="F1306" t="s">
        <v>898</v>
      </c>
      <c r="G1306" t="s">
        <v>67</v>
      </c>
      <c r="H1306" t="s">
        <v>898</v>
      </c>
    </row>
    <row r="1307">
      <c r="B1307" t="s">
        <v>898</v>
      </c>
      <c r="C1307" t="s">
        <v>898</v>
      </c>
      <c r="D1307" t="s">
        <v>898</v>
      </c>
      <c r="E1307" t="s">
        <v>898</v>
      </c>
      <c r="F1307" t="s">
        <v>898</v>
      </c>
      <c r="G1307" t="s">
        <v>67</v>
      </c>
      <c r="H1307" t="s">
        <v>898</v>
      </c>
    </row>
    <row r="1308">
      <c r="B1308" t="s">
        <v>898</v>
      </c>
      <c r="C1308" t="s">
        <v>898</v>
      </c>
      <c r="D1308" t="s">
        <v>898</v>
      </c>
      <c r="E1308" t="s">
        <v>898</v>
      </c>
      <c r="F1308" t="s">
        <v>898</v>
      </c>
      <c r="G1308" t="s">
        <v>67</v>
      </c>
      <c r="H1308" t="s">
        <v>898</v>
      </c>
    </row>
    <row r="1309">
      <c r="B1309" t="s">
        <v>898</v>
      </c>
      <c r="C1309" t="s">
        <v>898</v>
      </c>
      <c r="D1309" t="s">
        <v>898</v>
      </c>
      <c r="E1309" t="s">
        <v>898</v>
      </c>
      <c r="F1309" t="s">
        <v>898</v>
      </c>
      <c r="G1309" t="s">
        <v>67</v>
      </c>
      <c r="H1309" t="s">
        <v>898</v>
      </c>
    </row>
    <row r="1310">
      <c r="B1310" t="s">
        <v>898</v>
      </c>
      <c r="C1310" t="s">
        <v>898</v>
      </c>
      <c r="D1310" t="s">
        <v>898</v>
      </c>
      <c r="E1310" t="s">
        <v>898</v>
      </c>
      <c r="F1310" t="s">
        <v>898</v>
      </c>
      <c r="G1310" t="s">
        <v>67</v>
      </c>
      <c r="H1310" t="s">
        <v>898</v>
      </c>
    </row>
    <row r="1311">
      <c r="B1311" t="s">
        <v>898</v>
      </c>
      <c r="C1311" t="s">
        <v>898</v>
      </c>
      <c r="D1311" t="s">
        <v>898</v>
      </c>
      <c r="E1311" t="s">
        <v>898</v>
      </c>
      <c r="F1311" t="s">
        <v>898</v>
      </c>
      <c r="G1311" t="s">
        <v>67</v>
      </c>
      <c r="H1311" t="s">
        <v>898</v>
      </c>
    </row>
    <row r="1312">
      <c r="B1312" t="s">
        <v>898</v>
      </c>
      <c r="C1312" t="s">
        <v>898</v>
      </c>
      <c r="D1312" t="s">
        <v>898</v>
      </c>
      <c r="E1312" t="s">
        <v>898</v>
      </c>
      <c r="F1312" t="s">
        <v>898</v>
      </c>
      <c r="G1312" t="s">
        <v>67</v>
      </c>
      <c r="H1312" t="s">
        <v>898</v>
      </c>
    </row>
    <row r="1313">
      <c r="B1313" t="s">
        <v>898</v>
      </c>
      <c r="C1313" t="s">
        <v>898</v>
      </c>
      <c r="D1313" t="s">
        <v>898</v>
      </c>
      <c r="E1313" t="s">
        <v>898</v>
      </c>
      <c r="F1313" t="s">
        <v>898</v>
      </c>
      <c r="G1313" t="s">
        <v>67</v>
      </c>
      <c r="H1313" t="s">
        <v>898</v>
      </c>
    </row>
    <row r="1314">
      <c r="B1314" t="s">
        <v>898</v>
      </c>
      <c r="C1314" t="s">
        <v>898</v>
      </c>
      <c r="D1314" t="s">
        <v>898</v>
      </c>
      <c r="E1314" t="s">
        <v>898</v>
      </c>
      <c r="F1314" t="s">
        <v>898</v>
      </c>
      <c r="G1314" t="s">
        <v>67</v>
      </c>
      <c r="H1314" t="s">
        <v>898</v>
      </c>
    </row>
    <row r="1315">
      <c r="B1315" t="s">
        <v>898</v>
      </c>
      <c r="C1315" t="s">
        <v>898</v>
      </c>
      <c r="D1315" t="s">
        <v>898</v>
      </c>
      <c r="E1315" t="s">
        <v>898</v>
      </c>
      <c r="F1315" t="s">
        <v>898</v>
      </c>
      <c r="G1315" t="s">
        <v>67</v>
      </c>
      <c r="H1315" t="s">
        <v>898</v>
      </c>
    </row>
    <row r="1316">
      <c r="B1316" t="s">
        <v>898</v>
      </c>
      <c r="C1316" t="s">
        <v>898</v>
      </c>
      <c r="D1316" t="s">
        <v>898</v>
      </c>
      <c r="E1316" t="s">
        <v>898</v>
      </c>
      <c r="F1316" t="s">
        <v>898</v>
      </c>
      <c r="G1316" t="s">
        <v>67</v>
      </c>
      <c r="H1316" t="s">
        <v>898</v>
      </c>
    </row>
    <row r="1317">
      <c r="B1317" t="s">
        <v>898</v>
      </c>
      <c r="C1317" t="s">
        <v>898</v>
      </c>
      <c r="D1317" t="s">
        <v>898</v>
      </c>
      <c r="E1317" t="s">
        <v>898</v>
      </c>
      <c r="F1317" t="s">
        <v>898</v>
      </c>
      <c r="G1317" t="s">
        <v>67</v>
      </c>
      <c r="H1317" t="s">
        <v>898</v>
      </c>
    </row>
    <row r="1318">
      <c r="B1318" t="s">
        <v>898</v>
      </c>
      <c r="C1318" t="s">
        <v>898</v>
      </c>
      <c r="D1318" t="s">
        <v>898</v>
      </c>
      <c r="E1318" t="s">
        <v>898</v>
      </c>
      <c r="F1318" t="s">
        <v>898</v>
      </c>
      <c r="G1318" t="s">
        <v>67</v>
      </c>
      <c r="H1318" t="s">
        <v>898</v>
      </c>
    </row>
    <row r="1319">
      <c r="B1319" t="s">
        <v>898</v>
      </c>
      <c r="C1319" t="s">
        <v>898</v>
      </c>
      <c r="D1319" t="s">
        <v>898</v>
      </c>
      <c r="E1319" t="s">
        <v>898</v>
      </c>
      <c r="F1319" t="s">
        <v>898</v>
      </c>
      <c r="G1319" t="s">
        <v>67</v>
      </c>
      <c r="H1319" t="s">
        <v>898</v>
      </c>
    </row>
    <row r="1320">
      <c r="B1320" t="s">
        <v>898</v>
      </c>
      <c r="C1320" t="s">
        <v>898</v>
      </c>
      <c r="D1320" t="s">
        <v>898</v>
      </c>
      <c r="E1320" t="s">
        <v>898</v>
      </c>
      <c r="F1320" t="s">
        <v>898</v>
      </c>
      <c r="G1320" t="s">
        <v>67</v>
      </c>
      <c r="H1320" t="s">
        <v>898</v>
      </c>
    </row>
    <row r="1321">
      <c r="B1321" t="s">
        <v>898</v>
      </c>
      <c r="C1321" t="s">
        <v>898</v>
      </c>
      <c r="D1321" t="s">
        <v>898</v>
      </c>
      <c r="E1321" t="s">
        <v>898</v>
      </c>
      <c r="F1321" t="s">
        <v>898</v>
      </c>
      <c r="G1321" t="s">
        <v>67</v>
      </c>
      <c r="H1321" t="s">
        <v>898</v>
      </c>
    </row>
    <row r="1322">
      <c r="B1322" t="s">
        <v>898</v>
      </c>
      <c r="C1322" t="s">
        <v>898</v>
      </c>
      <c r="D1322" t="s">
        <v>898</v>
      </c>
      <c r="E1322" t="s">
        <v>898</v>
      </c>
      <c r="F1322" t="s">
        <v>898</v>
      </c>
      <c r="G1322" t="s">
        <v>67</v>
      </c>
      <c r="H1322" t="s">
        <v>898</v>
      </c>
    </row>
    <row r="1323">
      <c r="B1323" t="s">
        <v>898</v>
      </c>
      <c r="C1323" t="s">
        <v>898</v>
      </c>
      <c r="D1323" t="s">
        <v>898</v>
      </c>
      <c r="E1323" t="s">
        <v>898</v>
      </c>
      <c r="F1323" t="s">
        <v>898</v>
      </c>
      <c r="G1323" t="s">
        <v>67</v>
      </c>
      <c r="H1323" t="s">
        <v>898</v>
      </c>
    </row>
    <row r="1324">
      <c r="B1324" t="s">
        <v>898</v>
      </c>
      <c r="C1324" t="s">
        <v>898</v>
      </c>
      <c r="D1324" t="s">
        <v>898</v>
      </c>
      <c r="E1324" t="s">
        <v>898</v>
      </c>
      <c r="F1324" t="s">
        <v>898</v>
      </c>
      <c r="G1324" t="s">
        <v>67</v>
      </c>
      <c r="H1324" t="s">
        <v>898</v>
      </c>
    </row>
    <row r="1325">
      <c r="B1325" t="s">
        <v>898</v>
      </c>
      <c r="C1325" t="s">
        <v>898</v>
      </c>
      <c r="D1325" t="s">
        <v>898</v>
      </c>
      <c r="E1325" t="s">
        <v>898</v>
      </c>
      <c r="F1325" t="s">
        <v>898</v>
      </c>
      <c r="G1325" t="s">
        <v>67</v>
      </c>
      <c r="H1325" t="s">
        <v>898</v>
      </c>
    </row>
    <row r="1326">
      <c r="B1326" t="s">
        <v>898</v>
      </c>
      <c r="C1326" t="s">
        <v>898</v>
      </c>
      <c r="D1326" t="s">
        <v>898</v>
      </c>
      <c r="E1326" t="s">
        <v>898</v>
      </c>
      <c r="F1326" t="s">
        <v>898</v>
      </c>
      <c r="G1326" t="s">
        <v>67</v>
      </c>
      <c r="H1326" t="s">
        <v>898</v>
      </c>
    </row>
    <row r="1327">
      <c r="B1327" t="s">
        <v>898</v>
      </c>
      <c r="C1327" t="s">
        <v>898</v>
      </c>
      <c r="D1327" t="s">
        <v>898</v>
      </c>
      <c r="E1327" t="s">
        <v>898</v>
      </c>
      <c r="F1327" t="s">
        <v>898</v>
      </c>
      <c r="G1327" t="s">
        <v>67</v>
      </c>
      <c r="H1327" t="s">
        <v>898</v>
      </c>
    </row>
    <row r="1328">
      <c r="B1328" t="s">
        <v>898</v>
      </c>
      <c r="C1328" t="s">
        <v>898</v>
      </c>
      <c r="D1328" t="s">
        <v>898</v>
      </c>
      <c r="E1328" t="s">
        <v>898</v>
      </c>
      <c r="F1328" t="s">
        <v>898</v>
      </c>
      <c r="G1328" t="s">
        <v>67</v>
      </c>
      <c r="H1328" t="s">
        <v>898</v>
      </c>
    </row>
    <row r="1329">
      <c r="B1329" t="s">
        <v>898</v>
      </c>
      <c r="C1329" t="s">
        <v>898</v>
      </c>
      <c r="D1329" t="s">
        <v>898</v>
      </c>
      <c r="E1329" t="s">
        <v>898</v>
      </c>
      <c r="F1329" t="s">
        <v>898</v>
      </c>
      <c r="G1329" t="s">
        <v>67</v>
      </c>
      <c r="H1329" t="s">
        <v>898</v>
      </c>
    </row>
    <row r="1330">
      <c r="B1330" t="s">
        <v>898</v>
      </c>
      <c r="C1330" t="s">
        <v>898</v>
      </c>
      <c r="D1330" t="s">
        <v>898</v>
      </c>
      <c r="E1330" t="s">
        <v>898</v>
      </c>
      <c r="F1330" t="s">
        <v>898</v>
      </c>
      <c r="G1330" t="s">
        <v>67</v>
      </c>
      <c r="H1330" t="s">
        <v>898</v>
      </c>
    </row>
    <row r="1331">
      <c r="B1331" t="s">
        <v>898</v>
      </c>
      <c r="C1331" t="s">
        <v>898</v>
      </c>
      <c r="D1331" t="s">
        <v>898</v>
      </c>
      <c r="E1331" t="s">
        <v>898</v>
      </c>
      <c r="F1331" t="s">
        <v>898</v>
      </c>
      <c r="G1331" t="s">
        <v>67</v>
      </c>
      <c r="H1331" t="s">
        <v>898</v>
      </c>
    </row>
    <row r="1332">
      <c r="B1332" t="s">
        <v>898</v>
      </c>
      <c r="C1332" t="s">
        <v>898</v>
      </c>
      <c r="D1332" t="s">
        <v>898</v>
      </c>
      <c r="E1332" t="s">
        <v>898</v>
      </c>
      <c r="F1332" t="s">
        <v>898</v>
      </c>
      <c r="G1332" t="s">
        <v>67</v>
      </c>
      <c r="H1332" t="s">
        <v>898</v>
      </c>
    </row>
    <row r="1333">
      <c r="B1333" t="s">
        <v>898</v>
      </c>
      <c r="C1333" t="s">
        <v>898</v>
      </c>
      <c r="D1333" t="s">
        <v>898</v>
      </c>
      <c r="E1333" t="s">
        <v>898</v>
      </c>
      <c r="F1333" t="s">
        <v>898</v>
      </c>
      <c r="G1333" t="s">
        <v>67</v>
      </c>
      <c r="H1333" t="s">
        <v>898</v>
      </c>
    </row>
    <row r="1334">
      <c r="B1334" t="s">
        <v>898</v>
      </c>
      <c r="C1334" t="s">
        <v>898</v>
      </c>
      <c r="D1334" t="s">
        <v>898</v>
      </c>
      <c r="E1334" t="s">
        <v>898</v>
      </c>
      <c r="F1334" t="s">
        <v>898</v>
      </c>
      <c r="G1334" t="s">
        <v>67</v>
      </c>
      <c r="H1334" t="s">
        <v>898</v>
      </c>
    </row>
    <row r="1335">
      <c r="B1335" t="s">
        <v>898</v>
      </c>
      <c r="C1335" t="s">
        <v>898</v>
      </c>
      <c r="D1335" t="s">
        <v>898</v>
      </c>
      <c r="E1335" t="s">
        <v>898</v>
      </c>
      <c r="F1335" t="s">
        <v>898</v>
      </c>
      <c r="G1335" t="s">
        <v>67</v>
      </c>
      <c r="H1335" t="s">
        <v>898</v>
      </c>
    </row>
    <row r="1336">
      <c r="B1336" t="s">
        <v>898</v>
      </c>
      <c r="C1336" t="s">
        <v>898</v>
      </c>
      <c r="D1336" t="s">
        <v>898</v>
      </c>
      <c r="E1336" t="s">
        <v>898</v>
      </c>
      <c r="F1336" t="s">
        <v>898</v>
      </c>
      <c r="G1336" t="s">
        <v>67</v>
      </c>
      <c r="H1336" t="s">
        <v>898</v>
      </c>
    </row>
    <row r="1337">
      <c r="B1337" t="s">
        <v>898</v>
      </c>
      <c r="C1337" t="s">
        <v>898</v>
      </c>
      <c r="D1337" t="s">
        <v>898</v>
      </c>
      <c r="E1337" t="s">
        <v>898</v>
      </c>
      <c r="F1337" t="s">
        <v>898</v>
      </c>
      <c r="G1337" t="s">
        <v>67</v>
      </c>
      <c r="H1337" t="s">
        <v>898</v>
      </c>
    </row>
    <row r="1338">
      <c r="B1338" t="s">
        <v>898</v>
      </c>
      <c r="C1338" t="s">
        <v>898</v>
      </c>
      <c r="D1338" t="s">
        <v>898</v>
      </c>
      <c r="E1338" t="s">
        <v>898</v>
      </c>
      <c r="F1338" t="s">
        <v>898</v>
      </c>
      <c r="G1338" t="s">
        <v>67</v>
      </c>
      <c r="H1338" t="s">
        <v>898</v>
      </c>
    </row>
    <row r="1339">
      <c r="B1339" t="s">
        <v>898</v>
      </c>
      <c r="C1339" t="s">
        <v>898</v>
      </c>
      <c r="D1339" t="s">
        <v>898</v>
      </c>
      <c r="E1339" t="s">
        <v>898</v>
      </c>
      <c r="F1339" t="s">
        <v>898</v>
      </c>
      <c r="G1339" t="s">
        <v>67</v>
      </c>
      <c r="H1339" t="s">
        <v>898</v>
      </c>
    </row>
    <row r="1340">
      <c r="B1340" t="s">
        <v>898</v>
      </c>
      <c r="C1340" t="s">
        <v>898</v>
      </c>
      <c r="D1340" t="s">
        <v>898</v>
      </c>
      <c r="E1340" t="s">
        <v>898</v>
      </c>
      <c r="F1340" t="s">
        <v>898</v>
      </c>
      <c r="G1340" t="s">
        <v>67</v>
      </c>
      <c r="H1340" t="s">
        <v>898</v>
      </c>
    </row>
    <row r="1341">
      <c r="B1341" t="s">
        <v>898</v>
      </c>
      <c r="C1341" t="s">
        <v>898</v>
      </c>
      <c r="D1341" t="s">
        <v>898</v>
      </c>
      <c r="E1341" t="s">
        <v>898</v>
      </c>
      <c r="F1341" t="s">
        <v>898</v>
      </c>
      <c r="G1341" t="s">
        <v>67</v>
      </c>
      <c r="H1341" t="s">
        <v>898</v>
      </c>
    </row>
    <row r="1342">
      <c r="B1342" t="s">
        <v>898</v>
      </c>
      <c r="C1342" t="s">
        <v>898</v>
      </c>
      <c r="D1342" t="s">
        <v>898</v>
      </c>
      <c r="E1342" t="s">
        <v>898</v>
      </c>
      <c r="F1342" t="s">
        <v>898</v>
      </c>
      <c r="G1342" t="s">
        <v>67</v>
      </c>
      <c r="H1342" t="s">
        <v>898</v>
      </c>
    </row>
    <row r="1343">
      <c r="B1343" t="s">
        <v>898</v>
      </c>
      <c r="C1343" t="s">
        <v>898</v>
      </c>
      <c r="D1343" t="s">
        <v>898</v>
      </c>
      <c r="E1343" t="s">
        <v>898</v>
      </c>
      <c r="F1343" t="s">
        <v>898</v>
      </c>
      <c r="G1343" t="s">
        <v>67</v>
      </c>
      <c r="H1343" t="s">
        <v>898</v>
      </c>
    </row>
    <row r="1344">
      <c r="B1344" t="s">
        <v>898</v>
      </c>
      <c r="C1344" t="s">
        <v>898</v>
      </c>
      <c r="D1344" t="s">
        <v>898</v>
      </c>
      <c r="E1344" t="s">
        <v>898</v>
      </c>
      <c r="F1344" t="s">
        <v>898</v>
      </c>
      <c r="G1344" t="s">
        <v>67</v>
      </c>
      <c r="H1344" t="s">
        <v>898</v>
      </c>
    </row>
    <row r="1345">
      <c r="B1345" t="s">
        <v>898</v>
      </c>
      <c r="C1345" t="s">
        <v>898</v>
      </c>
      <c r="D1345" t="s">
        <v>898</v>
      </c>
      <c r="E1345" t="s">
        <v>898</v>
      </c>
      <c r="F1345" t="s">
        <v>898</v>
      </c>
      <c r="G1345" t="s">
        <v>67</v>
      </c>
      <c r="H1345" t="s">
        <v>898</v>
      </c>
    </row>
    <row r="1346">
      <c r="B1346" t="s">
        <v>898</v>
      </c>
      <c r="C1346" t="s">
        <v>898</v>
      </c>
      <c r="D1346" t="s">
        <v>898</v>
      </c>
      <c r="E1346" t="s">
        <v>898</v>
      </c>
      <c r="F1346" t="s">
        <v>898</v>
      </c>
      <c r="G1346" t="s">
        <v>67</v>
      </c>
      <c r="H1346" t="s">
        <v>898</v>
      </c>
    </row>
    <row r="1347">
      <c r="B1347" t="s">
        <v>898</v>
      </c>
      <c r="C1347" t="s">
        <v>898</v>
      </c>
      <c r="D1347" t="s">
        <v>898</v>
      </c>
      <c r="E1347" t="s">
        <v>898</v>
      </c>
      <c r="F1347" t="s">
        <v>898</v>
      </c>
      <c r="G1347" t="s">
        <v>67</v>
      </c>
      <c r="H1347" t="s">
        <v>898</v>
      </c>
    </row>
    <row r="1348">
      <c r="B1348" t="s">
        <v>898</v>
      </c>
      <c r="C1348" t="s">
        <v>898</v>
      </c>
      <c r="D1348" t="s">
        <v>898</v>
      </c>
      <c r="E1348" t="s">
        <v>898</v>
      </c>
      <c r="F1348" t="s">
        <v>898</v>
      </c>
      <c r="G1348" t="s">
        <v>67</v>
      </c>
      <c r="H1348" t="s">
        <v>898</v>
      </c>
    </row>
    <row r="1349">
      <c r="B1349" t="s">
        <v>898</v>
      </c>
      <c r="C1349" t="s">
        <v>898</v>
      </c>
      <c r="D1349" t="s">
        <v>898</v>
      </c>
      <c r="E1349" t="s">
        <v>898</v>
      </c>
      <c r="F1349" t="s">
        <v>898</v>
      </c>
      <c r="G1349" t="s">
        <v>67</v>
      </c>
      <c r="H1349" t="s">
        <v>898</v>
      </c>
    </row>
    <row r="1350">
      <c r="B1350" t="s">
        <v>898</v>
      </c>
      <c r="C1350" t="s">
        <v>898</v>
      </c>
      <c r="D1350" t="s">
        <v>898</v>
      </c>
      <c r="E1350" t="s">
        <v>898</v>
      </c>
      <c r="F1350" t="s">
        <v>898</v>
      </c>
      <c r="G1350" t="s">
        <v>67</v>
      </c>
      <c r="H1350" t="s">
        <v>898</v>
      </c>
    </row>
    <row r="1351">
      <c r="B1351" t="s">
        <v>898</v>
      </c>
      <c r="C1351" t="s">
        <v>898</v>
      </c>
      <c r="D1351" t="s">
        <v>898</v>
      </c>
      <c r="E1351" t="s">
        <v>898</v>
      </c>
      <c r="F1351" t="s">
        <v>898</v>
      </c>
      <c r="G1351" t="s">
        <v>67</v>
      </c>
      <c r="H1351" t="s">
        <v>898</v>
      </c>
    </row>
    <row r="1352">
      <c r="B1352" t="s">
        <v>898</v>
      </c>
      <c r="C1352" t="s">
        <v>898</v>
      </c>
      <c r="D1352" t="s">
        <v>898</v>
      </c>
      <c r="E1352" t="s">
        <v>898</v>
      </c>
      <c r="F1352" t="s">
        <v>898</v>
      </c>
      <c r="G1352" t="s">
        <v>67</v>
      </c>
      <c r="H1352" t="s">
        <v>898</v>
      </c>
    </row>
    <row r="1353">
      <c r="B1353" t="s">
        <v>898</v>
      </c>
      <c r="C1353" t="s">
        <v>898</v>
      </c>
      <c r="D1353" t="s">
        <v>898</v>
      </c>
      <c r="E1353" t="s">
        <v>898</v>
      </c>
      <c r="F1353" t="s">
        <v>898</v>
      </c>
      <c r="G1353" t="s">
        <v>67</v>
      </c>
      <c r="H1353" t="s">
        <v>898</v>
      </c>
    </row>
    <row r="1354">
      <c r="B1354" t="s">
        <v>898</v>
      </c>
      <c r="C1354" t="s">
        <v>898</v>
      </c>
      <c r="D1354" t="s">
        <v>898</v>
      </c>
      <c r="E1354" t="s">
        <v>898</v>
      </c>
      <c r="F1354" t="s">
        <v>898</v>
      </c>
      <c r="G1354" t="s">
        <v>67</v>
      </c>
      <c r="H1354" t="s">
        <v>898</v>
      </c>
    </row>
    <row r="1355">
      <c r="B1355" t="s">
        <v>898</v>
      </c>
      <c r="C1355" t="s">
        <v>898</v>
      </c>
      <c r="D1355" t="s">
        <v>898</v>
      </c>
      <c r="E1355" t="s">
        <v>898</v>
      </c>
      <c r="F1355" t="s">
        <v>898</v>
      </c>
      <c r="G1355" t="s">
        <v>67</v>
      </c>
      <c r="H1355" t="s">
        <v>898</v>
      </c>
    </row>
    <row r="1356">
      <c r="B1356" t="s">
        <v>898</v>
      </c>
      <c r="C1356" t="s">
        <v>898</v>
      </c>
      <c r="D1356" t="s">
        <v>898</v>
      </c>
      <c r="E1356" t="s">
        <v>898</v>
      </c>
      <c r="F1356" t="s">
        <v>898</v>
      </c>
      <c r="G1356" t="s">
        <v>67</v>
      </c>
      <c r="H1356" t="s">
        <v>898</v>
      </c>
    </row>
    <row r="1357">
      <c r="B1357" t="s">
        <v>898</v>
      </c>
      <c r="C1357" t="s">
        <v>898</v>
      </c>
      <c r="D1357" t="s">
        <v>898</v>
      </c>
      <c r="E1357" t="s">
        <v>898</v>
      </c>
      <c r="F1357" t="s">
        <v>898</v>
      </c>
      <c r="G1357" t="s">
        <v>67</v>
      </c>
      <c r="H1357" t="s">
        <v>898</v>
      </c>
    </row>
    <row r="1358">
      <c r="B1358" t="s">
        <v>898</v>
      </c>
      <c r="C1358" t="s">
        <v>898</v>
      </c>
      <c r="D1358" t="s">
        <v>898</v>
      </c>
      <c r="E1358" t="s">
        <v>898</v>
      </c>
      <c r="F1358" t="s">
        <v>898</v>
      </c>
      <c r="G1358" t="s">
        <v>67</v>
      </c>
      <c r="H1358" t="s">
        <v>898</v>
      </c>
    </row>
    <row r="1359">
      <c r="B1359" t="s">
        <v>898</v>
      </c>
      <c r="C1359" t="s">
        <v>898</v>
      </c>
      <c r="D1359" t="s">
        <v>898</v>
      </c>
      <c r="E1359" t="s">
        <v>898</v>
      </c>
      <c r="F1359" t="s">
        <v>898</v>
      </c>
      <c r="G1359" t="s">
        <v>67</v>
      </c>
      <c r="H1359" t="s">
        <v>898</v>
      </c>
    </row>
    <row r="1360">
      <c r="B1360" t="s">
        <v>898</v>
      </c>
      <c r="C1360" t="s">
        <v>898</v>
      </c>
      <c r="D1360" t="s">
        <v>898</v>
      </c>
      <c r="E1360" t="s">
        <v>898</v>
      </c>
      <c r="F1360" t="s">
        <v>898</v>
      </c>
      <c r="G1360" t="s">
        <v>67</v>
      </c>
      <c r="H1360" t="s">
        <v>898</v>
      </c>
    </row>
    <row r="1361">
      <c r="B1361" t="s">
        <v>898</v>
      </c>
      <c r="C1361" t="s">
        <v>898</v>
      </c>
      <c r="D1361" t="s">
        <v>898</v>
      </c>
      <c r="E1361" t="s">
        <v>898</v>
      </c>
      <c r="F1361" t="s">
        <v>898</v>
      </c>
      <c r="G1361" t="s">
        <v>67</v>
      </c>
      <c r="H1361" t="s">
        <v>898</v>
      </c>
    </row>
    <row r="1362">
      <c r="B1362" t="s">
        <v>898</v>
      </c>
      <c r="C1362" t="s">
        <v>898</v>
      </c>
      <c r="D1362" t="s">
        <v>898</v>
      </c>
      <c r="E1362" t="s">
        <v>898</v>
      </c>
      <c r="F1362" t="s">
        <v>898</v>
      </c>
      <c r="G1362" t="s">
        <v>67</v>
      </c>
      <c r="H1362" t="s">
        <v>898</v>
      </c>
    </row>
    <row r="1363">
      <c r="B1363" t="s">
        <v>898</v>
      </c>
      <c r="C1363" t="s">
        <v>898</v>
      </c>
      <c r="D1363" t="s">
        <v>898</v>
      </c>
      <c r="E1363" t="s">
        <v>898</v>
      </c>
      <c r="F1363" t="s">
        <v>898</v>
      </c>
      <c r="G1363" t="s">
        <v>67</v>
      </c>
      <c r="H1363" t="s">
        <v>898</v>
      </c>
    </row>
    <row r="1364">
      <c r="B1364" t="s">
        <v>898</v>
      </c>
      <c r="C1364" t="s">
        <v>898</v>
      </c>
      <c r="D1364" t="s">
        <v>898</v>
      </c>
      <c r="E1364" t="s">
        <v>898</v>
      </c>
      <c r="F1364" t="s">
        <v>898</v>
      </c>
      <c r="G1364" t="s">
        <v>67</v>
      </c>
      <c r="H1364" t="s">
        <v>898</v>
      </c>
    </row>
    <row r="1365">
      <c r="B1365" t="s">
        <v>898</v>
      </c>
      <c r="C1365" t="s">
        <v>898</v>
      </c>
      <c r="D1365" t="s">
        <v>898</v>
      </c>
      <c r="E1365" t="s">
        <v>898</v>
      </c>
      <c r="F1365" t="s">
        <v>898</v>
      </c>
      <c r="G1365" t="s">
        <v>67</v>
      </c>
      <c r="H1365" t="s">
        <v>898</v>
      </c>
    </row>
    <row r="1366">
      <c r="B1366" t="s">
        <v>898</v>
      </c>
      <c r="C1366" t="s">
        <v>898</v>
      </c>
      <c r="D1366" t="s">
        <v>898</v>
      </c>
      <c r="E1366" t="s">
        <v>898</v>
      </c>
      <c r="F1366" t="s">
        <v>898</v>
      </c>
      <c r="G1366" t="s">
        <v>67</v>
      </c>
      <c r="H1366" t="s">
        <v>898</v>
      </c>
    </row>
    <row r="1367">
      <c r="B1367" t="s">
        <v>898</v>
      </c>
      <c r="C1367" t="s">
        <v>898</v>
      </c>
      <c r="D1367" t="s">
        <v>898</v>
      </c>
      <c r="E1367" t="s">
        <v>898</v>
      </c>
      <c r="F1367" t="s">
        <v>898</v>
      </c>
      <c r="G1367" t="s">
        <v>67</v>
      </c>
      <c r="H1367" t="s">
        <v>898</v>
      </c>
    </row>
    <row r="1368">
      <c r="B1368" t="s">
        <v>898</v>
      </c>
      <c r="C1368" t="s">
        <v>898</v>
      </c>
      <c r="D1368" t="s">
        <v>898</v>
      </c>
      <c r="E1368" t="s">
        <v>898</v>
      </c>
      <c r="F1368" t="s">
        <v>898</v>
      </c>
      <c r="G1368" t="s">
        <v>67</v>
      </c>
      <c r="H1368" t="s">
        <v>898</v>
      </c>
    </row>
    <row r="1369">
      <c r="B1369" t="s">
        <v>898</v>
      </c>
      <c r="C1369" t="s">
        <v>898</v>
      </c>
      <c r="D1369" t="s">
        <v>898</v>
      </c>
      <c r="E1369" t="s">
        <v>898</v>
      </c>
      <c r="F1369" t="s">
        <v>898</v>
      </c>
      <c r="G1369" t="s">
        <v>67</v>
      </c>
      <c r="H1369" t="s">
        <v>898</v>
      </c>
    </row>
    <row r="1370">
      <c r="B1370" t="s">
        <v>898</v>
      </c>
      <c r="C1370" t="s">
        <v>898</v>
      </c>
      <c r="D1370" t="s">
        <v>898</v>
      </c>
      <c r="E1370" t="s">
        <v>898</v>
      </c>
      <c r="F1370" t="s">
        <v>898</v>
      </c>
      <c r="G1370" t="s">
        <v>67</v>
      </c>
      <c r="H1370" t="s">
        <v>898</v>
      </c>
    </row>
    <row r="1371">
      <c r="B1371" t="s">
        <v>898</v>
      </c>
      <c r="C1371" t="s">
        <v>898</v>
      </c>
      <c r="D1371" t="s">
        <v>898</v>
      </c>
      <c r="E1371" t="s">
        <v>898</v>
      </c>
      <c r="F1371" t="s">
        <v>898</v>
      </c>
      <c r="G1371" t="s">
        <v>67</v>
      </c>
      <c r="H1371" t="s">
        <v>898</v>
      </c>
    </row>
    <row r="1372">
      <c r="B1372" t="s">
        <v>898</v>
      </c>
      <c r="C1372" t="s">
        <v>898</v>
      </c>
      <c r="D1372" t="s">
        <v>898</v>
      </c>
      <c r="E1372" t="s">
        <v>898</v>
      </c>
      <c r="F1372" t="s">
        <v>898</v>
      </c>
      <c r="G1372" t="s">
        <v>67</v>
      </c>
      <c r="H1372" t="s">
        <v>898</v>
      </c>
    </row>
    <row r="1373">
      <c r="B1373" t="s">
        <v>898</v>
      </c>
      <c r="C1373" t="s">
        <v>898</v>
      </c>
      <c r="D1373" t="s">
        <v>898</v>
      </c>
      <c r="E1373" t="s">
        <v>898</v>
      </c>
      <c r="F1373" t="s">
        <v>898</v>
      </c>
      <c r="G1373" t="s">
        <v>67</v>
      </c>
      <c r="H1373" t="s">
        <v>898</v>
      </c>
    </row>
    <row r="1374">
      <c r="B1374" t="s">
        <v>898</v>
      </c>
      <c r="C1374" t="s">
        <v>898</v>
      </c>
      <c r="D1374" t="s">
        <v>898</v>
      </c>
      <c r="E1374" t="s">
        <v>898</v>
      </c>
      <c r="F1374" t="s">
        <v>898</v>
      </c>
      <c r="G1374" t="s">
        <v>67</v>
      </c>
      <c r="H1374" t="s">
        <v>898</v>
      </c>
    </row>
    <row r="1375">
      <c r="B1375" t="s">
        <v>898</v>
      </c>
      <c r="C1375" t="s">
        <v>898</v>
      </c>
      <c r="D1375" t="s">
        <v>898</v>
      </c>
      <c r="E1375" t="s">
        <v>898</v>
      </c>
      <c r="F1375" t="s">
        <v>898</v>
      </c>
      <c r="G1375" t="s">
        <v>67</v>
      </c>
      <c r="H1375" t="s">
        <v>898</v>
      </c>
    </row>
    <row r="1376">
      <c r="B1376" t="s">
        <v>898</v>
      </c>
      <c r="C1376" t="s">
        <v>898</v>
      </c>
      <c r="D1376" t="s">
        <v>898</v>
      </c>
      <c r="E1376" t="s">
        <v>898</v>
      </c>
      <c r="F1376" t="s">
        <v>898</v>
      </c>
      <c r="G1376" t="s">
        <v>67</v>
      </c>
      <c r="H1376" t="s">
        <v>898</v>
      </c>
    </row>
    <row r="1377">
      <c r="B1377" t="s">
        <v>898</v>
      </c>
      <c r="C1377" t="s">
        <v>898</v>
      </c>
      <c r="D1377" t="s">
        <v>898</v>
      </c>
      <c r="E1377" t="s">
        <v>898</v>
      </c>
      <c r="F1377" t="s">
        <v>898</v>
      </c>
      <c r="G1377" t="s">
        <v>67</v>
      </c>
      <c r="H1377" t="s">
        <v>898</v>
      </c>
    </row>
    <row r="1378">
      <c r="B1378" t="s">
        <v>898</v>
      </c>
      <c r="C1378" t="s">
        <v>898</v>
      </c>
      <c r="D1378" t="s">
        <v>898</v>
      </c>
      <c r="E1378" t="s">
        <v>898</v>
      </c>
      <c r="F1378" t="s">
        <v>898</v>
      </c>
      <c r="G1378" t="s">
        <v>67</v>
      </c>
      <c r="H1378" t="s">
        <v>898</v>
      </c>
    </row>
    <row r="1379">
      <c r="B1379" t="s">
        <v>898</v>
      </c>
      <c r="C1379" t="s">
        <v>898</v>
      </c>
      <c r="D1379" t="s">
        <v>898</v>
      </c>
      <c r="E1379" t="s">
        <v>898</v>
      </c>
      <c r="F1379" t="s">
        <v>898</v>
      </c>
      <c r="G1379" t="s">
        <v>67</v>
      </c>
      <c r="H1379" t="s">
        <v>898</v>
      </c>
    </row>
    <row r="1380">
      <c r="B1380" t="s">
        <v>898</v>
      </c>
      <c r="C1380" t="s">
        <v>898</v>
      </c>
      <c r="D1380" t="s">
        <v>898</v>
      </c>
      <c r="E1380" t="s">
        <v>898</v>
      </c>
      <c r="F1380" t="s">
        <v>898</v>
      </c>
      <c r="G1380" t="s">
        <v>67</v>
      </c>
      <c r="H1380" t="s">
        <v>898</v>
      </c>
    </row>
    <row r="1381">
      <c r="B1381" t="s">
        <v>898</v>
      </c>
      <c r="C1381" t="s">
        <v>898</v>
      </c>
      <c r="D1381" t="s">
        <v>898</v>
      </c>
      <c r="E1381" t="s">
        <v>898</v>
      </c>
      <c r="F1381" t="s">
        <v>898</v>
      </c>
      <c r="G1381" t="s">
        <v>67</v>
      </c>
      <c r="H1381" t="s">
        <v>898</v>
      </c>
    </row>
    <row r="1382">
      <c r="B1382" t="s">
        <v>898</v>
      </c>
      <c r="C1382" t="s">
        <v>898</v>
      </c>
      <c r="D1382" t="s">
        <v>898</v>
      </c>
      <c r="E1382" t="s">
        <v>898</v>
      </c>
      <c r="F1382" t="s">
        <v>898</v>
      </c>
      <c r="G1382" t="s">
        <v>67</v>
      </c>
      <c r="H1382" t="s">
        <v>898</v>
      </c>
    </row>
    <row r="1383">
      <c r="B1383" t="s">
        <v>898</v>
      </c>
      <c r="C1383" t="s">
        <v>898</v>
      </c>
      <c r="D1383" t="s">
        <v>898</v>
      </c>
      <c r="E1383" t="s">
        <v>898</v>
      </c>
      <c r="F1383" t="s">
        <v>898</v>
      </c>
      <c r="G1383" t="s">
        <v>67</v>
      </c>
      <c r="H1383" t="s">
        <v>898</v>
      </c>
    </row>
    <row r="1384">
      <c r="B1384" t="s">
        <v>898</v>
      </c>
      <c r="C1384" t="s">
        <v>898</v>
      </c>
      <c r="D1384" t="s">
        <v>898</v>
      </c>
      <c r="E1384" t="s">
        <v>898</v>
      </c>
      <c r="F1384" t="s">
        <v>898</v>
      </c>
      <c r="G1384" t="s">
        <v>67</v>
      </c>
      <c r="H1384" t="s">
        <v>898</v>
      </c>
    </row>
    <row r="1385">
      <c r="B1385" t="s">
        <v>898</v>
      </c>
      <c r="C1385" t="s">
        <v>898</v>
      </c>
      <c r="D1385" t="s">
        <v>898</v>
      </c>
      <c r="E1385" t="s">
        <v>898</v>
      </c>
      <c r="F1385" t="s">
        <v>898</v>
      </c>
      <c r="G1385" t="s">
        <v>67</v>
      </c>
      <c r="H1385" t="s">
        <v>898</v>
      </c>
    </row>
    <row r="1386">
      <c r="B1386" t="s">
        <v>898</v>
      </c>
      <c r="C1386" t="s">
        <v>898</v>
      </c>
      <c r="D1386" t="s">
        <v>898</v>
      </c>
      <c r="E1386" t="s">
        <v>898</v>
      </c>
      <c r="F1386" t="s">
        <v>898</v>
      </c>
      <c r="G1386" t="s">
        <v>67</v>
      </c>
      <c r="H1386" t="s">
        <v>898</v>
      </c>
    </row>
    <row r="1387">
      <c r="B1387" t="s">
        <v>898</v>
      </c>
      <c r="C1387" t="s">
        <v>898</v>
      </c>
      <c r="D1387" t="s">
        <v>898</v>
      </c>
      <c r="E1387" t="s">
        <v>898</v>
      </c>
      <c r="F1387" t="s">
        <v>898</v>
      </c>
      <c r="G1387" t="s">
        <v>67</v>
      </c>
      <c r="H1387" t="s">
        <v>898</v>
      </c>
    </row>
    <row r="1388">
      <c r="B1388" t="s">
        <v>898</v>
      </c>
      <c r="C1388" t="s">
        <v>898</v>
      </c>
      <c r="D1388" t="s">
        <v>898</v>
      </c>
      <c r="E1388" t="s">
        <v>898</v>
      </c>
      <c r="F1388" t="s">
        <v>898</v>
      </c>
      <c r="G1388" t="s">
        <v>67</v>
      </c>
      <c r="H1388" t="s">
        <v>898</v>
      </c>
    </row>
    <row r="1389">
      <c r="B1389" t="s">
        <v>898</v>
      </c>
      <c r="C1389" t="s">
        <v>898</v>
      </c>
      <c r="D1389" t="s">
        <v>898</v>
      </c>
      <c r="E1389" t="s">
        <v>898</v>
      </c>
      <c r="F1389" t="s">
        <v>898</v>
      </c>
      <c r="G1389" t="s">
        <v>67</v>
      </c>
      <c r="H1389" t="s">
        <v>898</v>
      </c>
    </row>
    <row r="1390">
      <c r="B1390" t="s">
        <v>898</v>
      </c>
      <c r="C1390" t="s">
        <v>898</v>
      </c>
      <c r="D1390" t="s">
        <v>898</v>
      </c>
      <c r="E1390" t="s">
        <v>898</v>
      </c>
      <c r="F1390" t="s">
        <v>898</v>
      </c>
      <c r="G1390" t="s">
        <v>67</v>
      </c>
      <c r="H1390" t="s">
        <v>898</v>
      </c>
    </row>
    <row r="1391">
      <c r="B1391" t="s">
        <v>898</v>
      </c>
      <c r="C1391" t="s">
        <v>898</v>
      </c>
      <c r="D1391" t="s">
        <v>898</v>
      </c>
      <c r="E1391" t="s">
        <v>898</v>
      </c>
      <c r="F1391" t="s">
        <v>898</v>
      </c>
      <c r="G1391" t="s">
        <v>67</v>
      </c>
      <c r="H1391" t="s">
        <v>898</v>
      </c>
    </row>
    <row r="1392">
      <c r="B1392" t="s">
        <v>898</v>
      </c>
      <c r="C1392" t="s">
        <v>898</v>
      </c>
      <c r="D1392" t="s">
        <v>898</v>
      </c>
      <c r="E1392" t="s">
        <v>898</v>
      </c>
      <c r="F1392" t="s">
        <v>898</v>
      </c>
      <c r="G1392" t="s">
        <v>67</v>
      </c>
      <c r="H1392" t="s">
        <v>898</v>
      </c>
    </row>
    <row r="1393">
      <c r="B1393" t="s">
        <v>898</v>
      </c>
      <c r="C1393" t="s">
        <v>898</v>
      </c>
      <c r="D1393" t="s">
        <v>898</v>
      </c>
      <c r="E1393" t="s">
        <v>898</v>
      </c>
      <c r="F1393" t="s">
        <v>898</v>
      </c>
      <c r="G1393" t="s">
        <v>67</v>
      </c>
      <c r="H1393" t="s">
        <v>898</v>
      </c>
    </row>
    <row r="1394">
      <c r="B1394" t="s">
        <v>898</v>
      </c>
      <c r="C1394" t="s">
        <v>898</v>
      </c>
      <c r="D1394" t="s">
        <v>898</v>
      </c>
      <c r="E1394" t="s">
        <v>898</v>
      </c>
      <c r="F1394" t="s">
        <v>898</v>
      </c>
      <c r="G1394" t="s">
        <v>67</v>
      </c>
      <c r="H1394" t="s">
        <v>898</v>
      </c>
    </row>
    <row r="1395">
      <c r="B1395" t="s">
        <v>898</v>
      </c>
      <c r="C1395" t="s">
        <v>898</v>
      </c>
      <c r="D1395" t="s">
        <v>898</v>
      </c>
      <c r="E1395" t="s">
        <v>898</v>
      </c>
      <c r="F1395" t="s">
        <v>898</v>
      </c>
      <c r="G1395" t="s">
        <v>67</v>
      </c>
      <c r="H1395" t="s">
        <v>898</v>
      </c>
    </row>
    <row r="1396">
      <c r="B1396" t="s">
        <v>898</v>
      </c>
      <c r="C1396" t="s">
        <v>898</v>
      </c>
      <c r="D1396" t="s">
        <v>898</v>
      </c>
      <c r="E1396" t="s">
        <v>898</v>
      </c>
      <c r="F1396" t="s">
        <v>898</v>
      </c>
      <c r="G1396" t="s">
        <v>67</v>
      </c>
      <c r="H1396" t="s">
        <v>898</v>
      </c>
    </row>
    <row r="1397">
      <c r="B1397" t="s">
        <v>898</v>
      </c>
      <c r="C1397" t="s">
        <v>898</v>
      </c>
      <c r="D1397" t="s">
        <v>898</v>
      </c>
      <c r="E1397" t="s">
        <v>898</v>
      </c>
      <c r="F1397" t="s">
        <v>898</v>
      </c>
      <c r="G1397" t="s">
        <v>67</v>
      </c>
      <c r="H1397" t="s">
        <v>898</v>
      </c>
    </row>
    <row r="1398">
      <c r="B1398" t="s">
        <v>898</v>
      </c>
      <c r="C1398" t="s">
        <v>898</v>
      </c>
      <c r="D1398" t="s">
        <v>898</v>
      </c>
      <c r="E1398" t="s">
        <v>898</v>
      </c>
      <c r="F1398" t="s">
        <v>898</v>
      </c>
      <c r="G1398" t="s">
        <v>67</v>
      </c>
      <c r="H1398" t="s">
        <v>898</v>
      </c>
    </row>
    <row r="1399">
      <c r="B1399" t="s">
        <v>898</v>
      </c>
      <c r="C1399" t="s">
        <v>898</v>
      </c>
      <c r="D1399" t="s">
        <v>898</v>
      </c>
      <c r="E1399" t="s">
        <v>898</v>
      </c>
      <c r="F1399" t="s">
        <v>898</v>
      </c>
      <c r="G1399" t="s">
        <v>67</v>
      </c>
      <c r="H1399" t="s">
        <v>898</v>
      </c>
    </row>
    <row r="1400">
      <c r="B1400" t="s">
        <v>898</v>
      </c>
      <c r="C1400" t="s">
        <v>898</v>
      </c>
      <c r="D1400" t="s">
        <v>898</v>
      </c>
      <c r="E1400" t="s">
        <v>898</v>
      </c>
      <c r="F1400" t="s">
        <v>898</v>
      </c>
      <c r="G1400" t="s">
        <v>67</v>
      </c>
      <c r="H1400" t="s">
        <v>898</v>
      </c>
    </row>
    <row r="1401">
      <c r="B1401" t="s">
        <v>898</v>
      </c>
      <c r="C1401" t="s">
        <v>898</v>
      </c>
      <c r="D1401" t="s">
        <v>898</v>
      </c>
      <c r="E1401" t="s">
        <v>898</v>
      </c>
      <c r="F1401" t="s">
        <v>898</v>
      </c>
      <c r="G1401" t="s">
        <v>67</v>
      </c>
      <c r="H1401" t="s">
        <v>898</v>
      </c>
    </row>
    <row r="1402">
      <c r="B1402" t="s">
        <v>898</v>
      </c>
      <c r="C1402" t="s">
        <v>898</v>
      </c>
      <c r="D1402" t="s">
        <v>898</v>
      </c>
      <c r="E1402" t="s">
        <v>898</v>
      </c>
      <c r="F1402" t="s">
        <v>898</v>
      </c>
      <c r="G1402" t="s">
        <v>67</v>
      </c>
      <c r="H1402" t="s">
        <v>898</v>
      </c>
    </row>
    <row r="1403">
      <c r="B1403" t="s">
        <v>898</v>
      </c>
      <c r="C1403" t="s">
        <v>898</v>
      </c>
      <c r="D1403" t="s">
        <v>898</v>
      </c>
      <c r="E1403" t="s">
        <v>898</v>
      </c>
      <c r="F1403" t="s">
        <v>898</v>
      </c>
      <c r="G1403" t="s">
        <v>67</v>
      </c>
      <c r="H1403" t="s">
        <v>898</v>
      </c>
    </row>
    <row r="1404">
      <c r="B1404" t="s">
        <v>898</v>
      </c>
      <c r="C1404" t="s">
        <v>898</v>
      </c>
      <c r="D1404" t="s">
        <v>898</v>
      </c>
      <c r="E1404" t="s">
        <v>898</v>
      </c>
      <c r="F1404" t="s">
        <v>898</v>
      </c>
      <c r="G1404" t="s">
        <v>67</v>
      </c>
      <c r="H1404" t="s">
        <v>898</v>
      </c>
    </row>
    <row r="1405">
      <c r="B1405" t="s">
        <v>898</v>
      </c>
      <c r="C1405" t="s">
        <v>898</v>
      </c>
      <c r="D1405" t="s">
        <v>898</v>
      </c>
      <c r="E1405" t="s">
        <v>898</v>
      </c>
      <c r="F1405" t="s">
        <v>898</v>
      </c>
      <c r="G1405" t="s">
        <v>67</v>
      </c>
      <c r="H1405" t="s">
        <v>898</v>
      </c>
    </row>
    <row r="1406">
      <c r="B1406" t="s">
        <v>898</v>
      </c>
      <c r="C1406" t="s">
        <v>898</v>
      </c>
      <c r="D1406" t="s">
        <v>898</v>
      </c>
      <c r="E1406" t="s">
        <v>898</v>
      </c>
      <c r="F1406" t="s">
        <v>898</v>
      </c>
      <c r="G1406" t="s">
        <v>67</v>
      </c>
      <c r="H1406" t="s">
        <v>898</v>
      </c>
    </row>
    <row r="1407">
      <c r="B1407" t="s">
        <v>898</v>
      </c>
      <c r="C1407" t="s">
        <v>898</v>
      </c>
      <c r="D1407" t="s">
        <v>898</v>
      </c>
      <c r="E1407" t="s">
        <v>898</v>
      </c>
      <c r="F1407" t="s">
        <v>898</v>
      </c>
      <c r="G1407" t="s">
        <v>67</v>
      </c>
      <c r="H1407" t="s">
        <v>898</v>
      </c>
    </row>
    <row r="1408">
      <c r="B1408" t="s">
        <v>898</v>
      </c>
      <c r="C1408" t="s">
        <v>898</v>
      </c>
      <c r="D1408" t="s">
        <v>898</v>
      </c>
      <c r="E1408" t="s">
        <v>898</v>
      </c>
      <c r="F1408" t="s">
        <v>898</v>
      </c>
      <c r="G1408" t="s">
        <v>67</v>
      </c>
      <c r="H1408" t="s">
        <v>898</v>
      </c>
    </row>
    <row r="1409">
      <c r="B1409" t="s">
        <v>898</v>
      </c>
      <c r="C1409" t="s">
        <v>898</v>
      </c>
      <c r="D1409" t="s">
        <v>898</v>
      </c>
      <c r="E1409" t="s">
        <v>898</v>
      </c>
      <c r="F1409" t="s">
        <v>898</v>
      </c>
      <c r="G1409" t="s">
        <v>67</v>
      </c>
      <c r="H1409" t="s">
        <v>898</v>
      </c>
    </row>
    <row r="1410">
      <c r="B1410" t="s">
        <v>898</v>
      </c>
      <c r="C1410" t="s">
        <v>898</v>
      </c>
      <c r="D1410" t="s">
        <v>898</v>
      </c>
      <c r="E1410" t="s">
        <v>898</v>
      </c>
      <c r="F1410" t="s">
        <v>898</v>
      </c>
      <c r="G1410" t="s">
        <v>67</v>
      </c>
      <c r="H1410" t="s">
        <v>898</v>
      </c>
    </row>
    <row r="1411">
      <c r="B1411" t="s">
        <v>898</v>
      </c>
      <c r="C1411" t="s">
        <v>898</v>
      </c>
      <c r="D1411" t="s">
        <v>898</v>
      </c>
      <c r="E1411" t="s">
        <v>898</v>
      </c>
      <c r="F1411" t="s">
        <v>898</v>
      </c>
      <c r="G1411" t="s">
        <v>67</v>
      </c>
      <c r="H1411" t="s">
        <v>898</v>
      </c>
    </row>
    <row r="1412">
      <c r="B1412" t="s">
        <v>898</v>
      </c>
      <c r="C1412" t="s">
        <v>898</v>
      </c>
      <c r="D1412" t="s">
        <v>898</v>
      </c>
      <c r="E1412" t="s">
        <v>898</v>
      </c>
      <c r="F1412" t="s">
        <v>898</v>
      </c>
      <c r="G1412" t="s">
        <v>67</v>
      </c>
      <c r="H1412" t="s">
        <v>898</v>
      </c>
    </row>
    <row r="1413">
      <c r="B1413" t="s">
        <v>898</v>
      </c>
      <c r="C1413" t="s">
        <v>898</v>
      </c>
      <c r="D1413" t="s">
        <v>898</v>
      </c>
      <c r="E1413" t="s">
        <v>898</v>
      </c>
      <c r="F1413" t="s">
        <v>898</v>
      </c>
      <c r="G1413" t="s">
        <v>67</v>
      </c>
      <c r="H1413" t="s">
        <v>898</v>
      </c>
    </row>
    <row r="1414">
      <c r="B1414" t="s">
        <v>898</v>
      </c>
      <c r="C1414" t="s">
        <v>898</v>
      </c>
      <c r="D1414" t="s">
        <v>898</v>
      </c>
      <c r="E1414" t="s">
        <v>898</v>
      </c>
      <c r="F1414" t="s">
        <v>898</v>
      </c>
      <c r="G1414" t="s">
        <v>67</v>
      </c>
      <c r="H1414" t="s">
        <v>898</v>
      </c>
    </row>
    <row r="1415">
      <c r="B1415" t="s">
        <v>898</v>
      </c>
      <c r="C1415" t="s">
        <v>898</v>
      </c>
      <c r="D1415" t="s">
        <v>898</v>
      </c>
      <c r="E1415" t="s">
        <v>898</v>
      </c>
      <c r="F1415" t="s">
        <v>898</v>
      </c>
      <c r="G1415" t="s">
        <v>67</v>
      </c>
      <c r="H1415" t="s">
        <v>898</v>
      </c>
    </row>
    <row r="1416">
      <c r="B1416" t="s">
        <v>898</v>
      </c>
      <c r="C1416" t="s">
        <v>898</v>
      </c>
      <c r="D1416" t="s">
        <v>898</v>
      </c>
      <c r="E1416" t="s">
        <v>898</v>
      </c>
      <c r="F1416" t="s">
        <v>898</v>
      </c>
      <c r="G1416" t="s">
        <v>67</v>
      </c>
      <c r="H1416" t="s">
        <v>898</v>
      </c>
    </row>
    <row r="1417">
      <c r="B1417" t="s">
        <v>898</v>
      </c>
      <c r="C1417" t="s">
        <v>898</v>
      </c>
      <c r="D1417" t="s">
        <v>898</v>
      </c>
      <c r="E1417" t="s">
        <v>898</v>
      </c>
      <c r="F1417" t="s">
        <v>898</v>
      </c>
      <c r="G1417" t="s">
        <v>67</v>
      </c>
      <c r="H1417" t="s">
        <v>898</v>
      </c>
    </row>
    <row r="1418">
      <c r="B1418" t="s">
        <v>898</v>
      </c>
      <c r="C1418" t="s">
        <v>898</v>
      </c>
      <c r="D1418" t="s">
        <v>898</v>
      </c>
      <c r="E1418" t="s">
        <v>898</v>
      </c>
      <c r="F1418" t="s">
        <v>898</v>
      </c>
      <c r="G1418" t="s">
        <v>67</v>
      </c>
      <c r="H1418" t="s">
        <v>898</v>
      </c>
    </row>
    <row r="1419">
      <c r="B1419" t="s">
        <v>898</v>
      </c>
      <c r="C1419" t="s">
        <v>898</v>
      </c>
      <c r="D1419" t="s">
        <v>898</v>
      </c>
      <c r="E1419" t="s">
        <v>898</v>
      </c>
      <c r="F1419" t="s">
        <v>898</v>
      </c>
      <c r="G1419" t="s">
        <v>67</v>
      </c>
      <c r="H1419" t="s">
        <v>898</v>
      </c>
    </row>
    <row r="1420">
      <c r="B1420" t="s">
        <v>898</v>
      </c>
      <c r="C1420" t="s">
        <v>898</v>
      </c>
      <c r="D1420" t="s">
        <v>898</v>
      </c>
      <c r="E1420" t="s">
        <v>898</v>
      </c>
      <c r="F1420" t="s">
        <v>898</v>
      </c>
      <c r="G1420" t="s">
        <v>67</v>
      </c>
      <c r="H1420" t="s">
        <v>898</v>
      </c>
    </row>
    <row r="1421">
      <c r="B1421" t="s">
        <v>898</v>
      </c>
      <c r="C1421" t="s">
        <v>898</v>
      </c>
      <c r="D1421" t="s">
        <v>898</v>
      </c>
      <c r="E1421" t="s">
        <v>898</v>
      </c>
      <c r="F1421" t="s">
        <v>898</v>
      </c>
      <c r="G1421" t="s">
        <v>67</v>
      </c>
      <c r="H1421" t="s">
        <v>898</v>
      </c>
    </row>
    <row r="1422">
      <c r="B1422" t="s">
        <v>898</v>
      </c>
      <c r="C1422" t="s">
        <v>898</v>
      </c>
      <c r="D1422" t="s">
        <v>898</v>
      </c>
      <c r="E1422" t="s">
        <v>898</v>
      </c>
      <c r="F1422" t="s">
        <v>898</v>
      </c>
      <c r="G1422" t="s">
        <v>67</v>
      </c>
      <c r="H1422" t="s">
        <v>898</v>
      </c>
    </row>
    <row r="1423">
      <c r="B1423" t="s">
        <v>898</v>
      </c>
      <c r="C1423" t="s">
        <v>898</v>
      </c>
      <c r="D1423" t="s">
        <v>898</v>
      </c>
      <c r="E1423" t="s">
        <v>898</v>
      </c>
      <c r="F1423" t="s">
        <v>898</v>
      </c>
      <c r="G1423" t="s">
        <v>67</v>
      </c>
      <c r="H1423" t="s">
        <v>898</v>
      </c>
    </row>
    <row r="1424">
      <c r="B1424" t="s">
        <v>898</v>
      </c>
      <c r="C1424" t="s">
        <v>898</v>
      </c>
      <c r="D1424" t="s">
        <v>898</v>
      </c>
      <c r="E1424" t="s">
        <v>898</v>
      </c>
      <c r="F1424" t="s">
        <v>898</v>
      </c>
      <c r="G1424" t="s">
        <v>67</v>
      </c>
      <c r="H1424" t="s">
        <v>898</v>
      </c>
    </row>
    <row r="1425">
      <c r="B1425" t="s">
        <v>898</v>
      </c>
      <c r="C1425" t="s">
        <v>898</v>
      </c>
      <c r="D1425" t="s">
        <v>898</v>
      </c>
      <c r="E1425" t="s">
        <v>898</v>
      </c>
      <c r="F1425" t="s">
        <v>898</v>
      </c>
      <c r="G1425" t="s">
        <v>67</v>
      </c>
      <c r="H1425" t="s">
        <v>898</v>
      </c>
    </row>
    <row r="1426">
      <c r="B1426" t="s">
        <v>898</v>
      </c>
      <c r="C1426" t="s">
        <v>898</v>
      </c>
      <c r="D1426" t="s">
        <v>898</v>
      </c>
      <c r="E1426" t="s">
        <v>898</v>
      </c>
      <c r="F1426" t="s">
        <v>898</v>
      </c>
      <c r="G1426" t="s">
        <v>67</v>
      </c>
      <c r="H1426" t="s">
        <v>898</v>
      </c>
    </row>
    <row r="1427">
      <c r="B1427" t="s">
        <v>898</v>
      </c>
      <c r="C1427" t="s">
        <v>898</v>
      </c>
      <c r="D1427" t="s">
        <v>898</v>
      </c>
      <c r="E1427" t="s">
        <v>898</v>
      </c>
      <c r="F1427" t="s">
        <v>898</v>
      </c>
      <c r="G1427" t="s">
        <v>67</v>
      </c>
      <c r="H1427" t="s">
        <v>898</v>
      </c>
    </row>
    <row r="1428">
      <c r="B1428" t="s">
        <v>898</v>
      </c>
      <c r="C1428" t="s">
        <v>898</v>
      </c>
      <c r="D1428" t="s">
        <v>898</v>
      </c>
      <c r="E1428" t="s">
        <v>898</v>
      </c>
      <c r="F1428" t="s">
        <v>898</v>
      </c>
      <c r="G1428" t="s">
        <v>67</v>
      </c>
      <c r="H1428" t="s">
        <v>898</v>
      </c>
    </row>
    <row r="1429">
      <c r="B1429" t="s">
        <v>898</v>
      </c>
      <c r="C1429" t="s">
        <v>898</v>
      </c>
      <c r="D1429" t="s">
        <v>898</v>
      </c>
      <c r="E1429" t="s">
        <v>898</v>
      </c>
      <c r="F1429" t="s">
        <v>898</v>
      </c>
      <c r="G1429" t="s">
        <v>67</v>
      </c>
      <c r="H1429" t="s">
        <v>898</v>
      </c>
    </row>
    <row r="1430">
      <c r="B1430" t="s">
        <v>898</v>
      </c>
      <c r="C1430" t="s">
        <v>898</v>
      </c>
      <c r="D1430" t="s">
        <v>898</v>
      </c>
      <c r="E1430" t="s">
        <v>898</v>
      </c>
      <c r="F1430" t="s">
        <v>898</v>
      </c>
      <c r="G1430" t="s">
        <v>67</v>
      </c>
      <c r="H1430" t="s">
        <v>898</v>
      </c>
    </row>
    <row r="1431">
      <c r="B1431" t="s">
        <v>898</v>
      </c>
      <c r="C1431" t="s">
        <v>898</v>
      </c>
      <c r="D1431" t="s">
        <v>898</v>
      </c>
      <c r="E1431" t="s">
        <v>898</v>
      </c>
      <c r="F1431" t="s">
        <v>898</v>
      </c>
      <c r="G1431" t="s">
        <v>67</v>
      </c>
      <c r="H1431" t="s">
        <v>898</v>
      </c>
    </row>
    <row r="1432">
      <c r="B1432" t="s">
        <v>898</v>
      </c>
      <c r="C1432" t="s">
        <v>898</v>
      </c>
      <c r="D1432" t="s">
        <v>898</v>
      </c>
      <c r="E1432" t="s">
        <v>898</v>
      </c>
      <c r="F1432" t="s">
        <v>898</v>
      </c>
      <c r="G1432" t="s">
        <v>67</v>
      </c>
      <c r="H1432" t="s">
        <v>898</v>
      </c>
    </row>
    <row r="1433">
      <c r="B1433" t="s">
        <v>898</v>
      </c>
      <c r="C1433" t="s">
        <v>898</v>
      </c>
      <c r="D1433" t="s">
        <v>898</v>
      </c>
      <c r="E1433" t="s">
        <v>898</v>
      </c>
      <c r="F1433" t="s">
        <v>898</v>
      </c>
      <c r="G1433" t="s">
        <v>67</v>
      </c>
      <c r="H1433" t="s">
        <v>898</v>
      </c>
    </row>
    <row r="1434">
      <c r="B1434" t="s">
        <v>898</v>
      </c>
      <c r="C1434" t="s">
        <v>898</v>
      </c>
      <c r="D1434" t="s">
        <v>898</v>
      </c>
      <c r="E1434" t="s">
        <v>898</v>
      </c>
      <c r="F1434" t="s">
        <v>898</v>
      </c>
      <c r="G1434" t="s">
        <v>67</v>
      </c>
      <c r="H1434" t="s">
        <v>898</v>
      </c>
    </row>
    <row r="1435">
      <c r="B1435" t="s">
        <v>898</v>
      </c>
      <c r="C1435" t="s">
        <v>898</v>
      </c>
      <c r="D1435" t="s">
        <v>898</v>
      </c>
      <c r="E1435" t="s">
        <v>898</v>
      </c>
      <c r="F1435" t="s">
        <v>898</v>
      </c>
      <c r="G1435" t="s">
        <v>67</v>
      </c>
      <c r="H1435" t="s">
        <v>898</v>
      </c>
    </row>
    <row r="1436">
      <c r="B1436" t="s">
        <v>898</v>
      </c>
      <c r="C1436" t="s">
        <v>898</v>
      </c>
      <c r="D1436" t="s">
        <v>898</v>
      </c>
      <c r="E1436" t="s">
        <v>898</v>
      </c>
      <c r="F1436" t="s">
        <v>898</v>
      </c>
      <c r="G1436" t="s">
        <v>67</v>
      </c>
      <c r="H1436" t="s">
        <v>898</v>
      </c>
    </row>
    <row r="1437">
      <c r="B1437" t="s">
        <v>898</v>
      </c>
      <c r="C1437" t="s">
        <v>898</v>
      </c>
      <c r="D1437" t="s">
        <v>898</v>
      </c>
      <c r="E1437" t="s">
        <v>898</v>
      </c>
      <c r="F1437" t="s">
        <v>898</v>
      </c>
      <c r="G1437" t="s">
        <v>67</v>
      </c>
      <c r="H1437" t="s">
        <v>898</v>
      </c>
    </row>
    <row r="1438">
      <c r="B1438" t="s">
        <v>898</v>
      </c>
      <c r="C1438" t="s">
        <v>898</v>
      </c>
      <c r="D1438" t="s">
        <v>898</v>
      </c>
      <c r="E1438" t="s">
        <v>898</v>
      </c>
      <c r="F1438" t="s">
        <v>898</v>
      </c>
      <c r="G1438" t="s">
        <v>67</v>
      </c>
      <c r="H1438" t="s">
        <v>898</v>
      </c>
    </row>
    <row r="1439">
      <c r="B1439" t="s">
        <v>898</v>
      </c>
      <c r="C1439" t="s">
        <v>898</v>
      </c>
      <c r="D1439" t="s">
        <v>898</v>
      </c>
      <c r="E1439" t="s">
        <v>898</v>
      </c>
      <c r="F1439" t="s">
        <v>898</v>
      </c>
      <c r="G1439" t="s">
        <v>67</v>
      </c>
      <c r="H1439" t="s">
        <v>898</v>
      </c>
    </row>
    <row r="1440">
      <c r="B1440" t="s">
        <v>898</v>
      </c>
      <c r="C1440" t="s">
        <v>898</v>
      </c>
      <c r="D1440" t="s">
        <v>898</v>
      </c>
      <c r="E1440" t="s">
        <v>898</v>
      </c>
      <c r="F1440" t="s">
        <v>898</v>
      </c>
      <c r="G1440" t="s">
        <v>67</v>
      </c>
      <c r="H1440" t="s">
        <v>898</v>
      </c>
    </row>
    <row r="1441">
      <c r="B1441" t="s">
        <v>898</v>
      </c>
      <c r="C1441" t="s">
        <v>898</v>
      </c>
      <c r="D1441" t="s">
        <v>898</v>
      </c>
      <c r="E1441" t="s">
        <v>898</v>
      </c>
      <c r="F1441" t="s">
        <v>898</v>
      </c>
      <c r="G1441" t="s">
        <v>67</v>
      </c>
      <c r="H1441" t="s">
        <v>898</v>
      </c>
    </row>
    <row r="1442">
      <c r="B1442" t="s">
        <v>898</v>
      </c>
      <c r="C1442" t="s">
        <v>898</v>
      </c>
      <c r="D1442" t="s">
        <v>898</v>
      </c>
      <c r="E1442" t="s">
        <v>898</v>
      </c>
      <c r="F1442" t="s">
        <v>898</v>
      </c>
      <c r="G1442" t="s">
        <v>67</v>
      </c>
      <c r="H1442" t="s">
        <v>898</v>
      </c>
    </row>
    <row r="1443">
      <c r="B1443" t="s">
        <v>898</v>
      </c>
      <c r="C1443" t="s">
        <v>898</v>
      </c>
      <c r="D1443" t="s">
        <v>898</v>
      </c>
      <c r="E1443" t="s">
        <v>898</v>
      </c>
      <c r="F1443" t="s">
        <v>898</v>
      </c>
      <c r="G1443" t="s">
        <v>67</v>
      </c>
      <c r="H1443" t="s">
        <v>898</v>
      </c>
    </row>
    <row r="1444">
      <c r="B1444" t="s">
        <v>898</v>
      </c>
      <c r="C1444" t="s">
        <v>898</v>
      </c>
      <c r="D1444" t="s">
        <v>898</v>
      </c>
      <c r="E1444" t="s">
        <v>898</v>
      </c>
      <c r="F1444" t="s">
        <v>898</v>
      </c>
      <c r="G1444" t="s">
        <v>67</v>
      </c>
      <c r="H1444" t="s">
        <v>898</v>
      </c>
    </row>
    <row r="1445">
      <c r="B1445" t="s">
        <v>898</v>
      </c>
      <c r="C1445" t="s">
        <v>898</v>
      </c>
      <c r="D1445" t="s">
        <v>898</v>
      </c>
      <c r="E1445" t="s">
        <v>898</v>
      </c>
      <c r="F1445" t="s">
        <v>898</v>
      </c>
      <c r="G1445" t="s">
        <v>67</v>
      </c>
      <c r="H1445" t="s">
        <v>898</v>
      </c>
    </row>
    <row r="1446">
      <c r="B1446" t="s">
        <v>898</v>
      </c>
      <c r="C1446" t="s">
        <v>898</v>
      </c>
      <c r="D1446" t="s">
        <v>898</v>
      </c>
      <c r="E1446" t="s">
        <v>898</v>
      </c>
      <c r="F1446" t="s">
        <v>898</v>
      </c>
      <c r="G1446" t="s">
        <v>67</v>
      </c>
      <c r="H1446" t="s">
        <v>898</v>
      </c>
    </row>
    <row r="1447">
      <c r="B1447" t="s">
        <v>898</v>
      </c>
      <c r="C1447" t="s">
        <v>898</v>
      </c>
      <c r="D1447" t="s">
        <v>898</v>
      </c>
      <c r="E1447" t="s">
        <v>898</v>
      </c>
      <c r="F1447" t="s">
        <v>898</v>
      </c>
      <c r="G1447" t="s">
        <v>67</v>
      </c>
      <c r="H1447" t="s">
        <v>898</v>
      </c>
    </row>
    <row r="1448">
      <c r="B1448" t="s">
        <v>898</v>
      </c>
      <c r="C1448" t="s">
        <v>898</v>
      </c>
      <c r="D1448" t="s">
        <v>898</v>
      </c>
      <c r="E1448" t="s">
        <v>898</v>
      </c>
      <c r="F1448" t="s">
        <v>898</v>
      </c>
      <c r="G1448" t="s">
        <v>67</v>
      </c>
      <c r="H1448" t="s">
        <v>898</v>
      </c>
    </row>
    <row r="1449">
      <c r="B1449" t="s">
        <v>898</v>
      </c>
      <c r="C1449" t="s">
        <v>898</v>
      </c>
      <c r="D1449" t="s">
        <v>898</v>
      </c>
      <c r="E1449" t="s">
        <v>898</v>
      </c>
      <c r="F1449" t="s">
        <v>898</v>
      </c>
      <c r="G1449" t="s">
        <v>67</v>
      </c>
      <c r="H1449" t="s">
        <v>898</v>
      </c>
    </row>
    <row r="1450">
      <c r="B1450" t="s">
        <v>898</v>
      </c>
      <c r="C1450" t="s">
        <v>898</v>
      </c>
      <c r="D1450" t="s">
        <v>898</v>
      </c>
      <c r="E1450" t="s">
        <v>898</v>
      </c>
      <c r="F1450" t="s">
        <v>898</v>
      </c>
      <c r="G1450" t="s">
        <v>67</v>
      </c>
      <c r="H1450" t="s">
        <v>898</v>
      </c>
    </row>
    <row r="1451">
      <c r="B1451" t="s">
        <v>898</v>
      </c>
      <c r="C1451" t="s">
        <v>898</v>
      </c>
      <c r="D1451" t="s">
        <v>898</v>
      </c>
      <c r="E1451" t="s">
        <v>898</v>
      </c>
      <c r="F1451" t="s">
        <v>898</v>
      </c>
      <c r="G1451" t="s">
        <v>67</v>
      </c>
      <c r="H1451" t="s">
        <v>898</v>
      </c>
    </row>
    <row r="1452">
      <c r="B1452" t="s">
        <v>898</v>
      </c>
      <c r="C1452" t="s">
        <v>898</v>
      </c>
      <c r="D1452" t="s">
        <v>898</v>
      </c>
      <c r="E1452" t="s">
        <v>898</v>
      </c>
      <c r="F1452" t="s">
        <v>898</v>
      </c>
      <c r="G1452" t="s">
        <v>67</v>
      </c>
      <c r="H1452" t="s">
        <v>898</v>
      </c>
    </row>
    <row r="1453">
      <c r="B1453" t="s">
        <v>898</v>
      </c>
      <c r="C1453" t="s">
        <v>898</v>
      </c>
      <c r="D1453" t="s">
        <v>898</v>
      </c>
      <c r="E1453" t="s">
        <v>898</v>
      </c>
      <c r="F1453" t="s">
        <v>898</v>
      </c>
      <c r="G1453" t="s">
        <v>67</v>
      </c>
      <c r="H1453" t="s">
        <v>898</v>
      </c>
    </row>
    <row r="1454">
      <c r="B1454" t="s">
        <v>898</v>
      </c>
      <c r="C1454" t="s">
        <v>898</v>
      </c>
      <c r="D1454" t="s">
        <v>898</v>
      </c>
      <c r="E1454" t="s">
        <v>898</v>
      </c>
      <c r="F1454" t="s">
        <v>898</v>
      </c>
      <c r="G1454" t="s">
        <v>67</v>
      </c>
      <c r="H1454" t="s">
        <v>898</v>
      </c>
    </row>
    <row r="1455">
      <c r="B1455" t="s">
        <v>898</v>
      </c>
      <c r="C1455" t="s">
        <v>898</v>
      </c>
      <c r="D1455" t="s">
        <v>898</v>
      </c>
      <c r="E1455" t="s">
        <v>898</v>
      </c>
      <c r="F1455" t="s">
        <v>898</v>
      </c>
      <c r="G1455" t="s">
        <v>67</v>
      </c>
      <c r="H1455" t="s">
        <v>898</v>
      </c>
    </row>
    <row r="1456">
      <c r="B1456" t="s">
        <v>898</v>
      </c>
      <c r="C1456" t="s">
        <v>898</v>
      </c>
      <c r="D1456" t="s">
        <v>898</v>
      </c>
      <c r="E1456" t="s">
        <v>898</v>
      </c>
      <c r="F1456" t="s">
        <v>898</v>
      </c>
      <c r="G1456" t="s">
        <v>67</v>
      </c>
      <c r="H1456" t="s">
        <v>898</v>
      </c>
    </row>
    <row r="1457">
      <c r="B1457" t="s">
        <v>898</v>
      </c>
      <c r="C1457" t="s">
        <v>898</v>
      </c>
      <c r="D1457" t="s">
        <v>898</v>
      </c>
      <c r="E1457" t="s">
        <v>898</v>
      </c>
      <c r="F1457" t="s">
        <v>898</v>
      </c>
      <c r="G1457" t="s">
        <v>67</v>
      </c>
      <c r="H1457" t="s">
        <v>898</v>
      </c>
    </row>
    <row r="1458">
      <c r="B1458" t="s">
        <v>898</v>
      </c>
      <c r="C1458" t="s">
        <v>898</v>
      </c>
      <c r="D1458" t="s">
        <v>898</v>
      </c>
      <c r="E1458" t="s">
        <v>898</v>
      </c>
      <c r="F1458" t="s">
        <v>898</v>
      </c>
      <c r="G1458" t="s">
        <v>67</v>
      </c>
      <c r="H1458" t="s">
        <v>898</v>
      </c>
    </row>
    <row r="1459">
      <c r="B1459" t="s">
        <v>898</v>
      </c>
      <c r="C1459" t="s">
        <v>898</v>
      </c>
      <c r="D1459" t="s">
        <v>898</v>
      </c>
      <c r="E1459" t="s">
        <v>898</v>
      </c>
      <c r="F1459" t="s">
        <v>898</v>
      </c>
      <c r="G1459" t="s">
        <v>67</v>
      </c>
      <c r="H1459" t="s">
        <v>898</v>
      </c>
    </row>
    <row r="1460">
      <c r="B1460" t="s">
        <v>898</v>
      </c>
      <c r="C1460" t="s">
        <v>898</v>
      </c>
      <c r="D1460" t="s">
        <v>898</v>
      </c>
      <c r="E1460" t="s">
        <v>898</v>
      </c>
      <c r="F1460" t="s">
        <v>898</v>
      </c>
      <c r="G1460" t="s">
        <v>67</v>
      </c>
      <c r="H1460" t="s">
        <v>898</v>
      </c>
    </row>
    <row r="1461">
      <c r="B1461" t="s">
        <v>898</v>
      </c>
      <c r="C1461" t="s">
        <v>898</v>
      </c>
      <c r="D1461" t="s">
        <v>898</v>
      </c>
      <c r="E1461" t="s">
        <v>898</v>
      </c>
      <c r="F1461" t="s">
        <v>898</v>
      </c>
      <c r="G1461" t="s">
        <v>67</v>
      </c>
      <c r="H1461" t="s">
        <v>898</v>
      </c>
    </row>
    <row r="1462">
      <c r="B1462" t="s">
        <v>898</v>
      </c>
      <c r="C1462" t="s">
        <v>898</v>
      </c>
      <c r="D1462" t="s">
        <v>898</v>
      </c>
      <c r="E1462" t="s">
        <v>898</v>
      </c>
      <c r="F1462" t="s">
        <v>898</v>
      </c>
      <c r="G1462" t="s">
        <v>67</v>
      </c>
      <c r="H1462" t="s">
        <v>898</v>
      </c>
    </row>
    <row r="1463">
      <c r="B1463" t="s">
        <v>898</v>
      </c>
      <c r="C1463" t="s">
        <v>898</v>
      </c>
      <c r="D1463" t="s">
        <v>898</v>
      </c>
      <c r="E1463" t="s">
        <v>898</v>
      </c>
      <c r="F1463" t="s">
        <v>898</v>
      </c>
      <c r="G1463" t="s">
        <v>67</v>
      </c>
      <c r="H1463" t="s">
        <v>898</v>
      </c>
    </row>
    <row r="1464">
      <c r="B1464" t="s">
        <v>898</v>
      </c>
      <c r="C1464" t="s">
        <v>898</v>
      </c>
      <c r="D1464" t="s">
        <v>898</v>
      </c>
      <c r="E1464" t="s">
        <v>898</v>
      </c>
      <c r="F1464" t="s">
        <v>898</v>
      </c>
      <c r="G1464" t="s">
        <v>67</v>
      </c>
      <c r="H1464" t="s">
        <v>898</v>
      </c>
    </row>
    <row r="1465">
      <c r="B1465" t="s">
        <v>898</v>
      </c>
      <c r="C1465" t="s">
        <v>898</v>
      </c>
      <c r="D1465" t="s">
        <v>898</v>
      </c>
      <c r="E1465" t="s">
        <v>898</v>
      </c>
      <c r="F1465" t="s">
        <v>898</v>
      </c>
      <c r="G1465" t="s">
        <v>67</v>
      </c>
      <c r="H1465" t="s">
        <v>898</v>
      </c>
    </row>
    <row r="1466">
      <c r="B1466" t="s">
        <v>898</v>
      </c>
      <c r="C1466" t="s">
        <v>898</v>
      </c>
      <c r="D1466" t="s">
        <v>898</v>
      </c>
      <c r="E1466" t="s">
        <v>898</v>
      </c>
      <c r="F1466" t="s">
        <v>898</v>
      </c>
      <c r="G1466" t="s">
        <v>67</v>
      </c>
      <c r="H1466" t="s">
        <v>898</v>
      </c>
    </row>
    <row r="1467">
      <c r="B1467" t="s">
        <v>898</v>
      </c>
      <c r="C1467" t="s">
        <v>898</v>
      </c>
      <c r="D1467" t="s">
        <v>898</v>
      </c>
      <c r="E1467" t="s">
        <v>898</v>
      </c>
      <c r="F1467" t="s">
        <v>898</v>
      </c>
      <c r="G1467" t="s">
        <v>67</v>
      </c>
      <c r="H1467" t="s">
        <v>898</v>
      </c>
    </row>
    <row r="1468">
      <c r="B1468" t="s">
        <v>898</v>
      </c>
      <c r="C1468" t="s">
        <v>898</v>
      </c>
      <c r="D1468" t="s">
        <v>898</v>
      </c>
      <c r="E1468" t="s">
        <v>898</v>
      </c>
      <c r="F1468" t="s">
        <v>898</v>
      </c>
      <c r="G1468" t="s">
        <v>67</v>
      </c>
      <c r="H1468" t="s">
        <v>898</v>
      </c>
    </row>
    <row r="1469">
      <c r="B1469" t="s">
        <v>898</v>
      </c>
      <c r="C1469" t="s">
        <v>898</v>
      </c>
      <c r="D1469" t="s">
        <v>898</v>
      </c>
      <c r="E1469" t="s">
        <v>898</v>
      </c>
      <c r="F1469" t="s">
        <v>898</v>
      </c>
      <c r="G1469" t="s">
        <v>67</v>
      </c>
      <c r="H1469" t="s">
        <v>898</v>
      </c>
    </row>
    <row r="1470">
      <c r="B1470" t="s">
        <v>898</v>
      </c>
      <c r="C1470" t="s">
        <v>898</v>
      </c>
      <c r="D1470" t="s">
        <v>898</v>
      </c>
      <c r="E1470" t="s">
        <v>898</v>
      </c>
      <c r="F1470" t="s">
        <v>898</v>
      </c>
      <c r="G1470" t="s">
        <v>67</v>
      </c>
      <c r="H1470" t="s">
        <v>898</v>
      </c>
    </row>
    <row r="1471">
      <c r="B1471" t="s">
        <v>898</v>
      </c>
      <c r="C1471" t="s">
        <v>898</v>
      </c>
      <c r="D1471" t="s">
        <v>898</v>
      </c>
      <c r="E1471" t="s">
        <v>898</v>
      </c>
      <c r="F1471" t="s">
        <v>898</v>
      </c>
      <c r="G1471" t="s">
        <v>67</v>
      </c>
      <c r="H1471" t="s">
        <v>898</v>
      </c>
    </row>
    <row r="1472">
      <c r="B1472" t="s">
        <v>898</v>
      </c>
      <c r="C1472" t="s">
        <v>898</v>
      </c>
      <c r="D1472" t="s">
        <v>898</v>
      </c>
      <c r="E1472" t="s">
        <v>898</v>
      </c>
      <c r="F1472" t="s">
        <v>898</v>
      </c>
      <c r="G1472" t="s">
        <v>67</v>
      </c>
      <c r="H1472" t="s">
        <v>898</v>
      </c>
    </row>
    <row r="1473">
      <c r="B1473" t="s">
        <v>898</v>
      </c>
      <c r="C1473" t="s">
        <v>898</v>
      </c>
      <c r="D1473" t="s">
        <v>898</v>
      </c>
      <c r="E1473" t="s">
        <v>898</v>
      </c>
      <c r="F1473" t="s">
        <v>898</v>
      </c>
      <c r="G1473" t="s">
        <v>67</v>
      </c>
      <c r="H1473" t="s">
        <v>898</v>
      </c>
    </row>
    <row r="1474">
      <c r="B1474" t="s">
        <v>898</v>
      </c>
      <c r="C1474" t="s">
        <v>898</v>
      </c>
      <c r="D1474" t="s">
        <v>898</v>
      </c>
      <c r="E1474" t="s">
        <v>898</v>
      </c>
      <c r="F1474" t="s">
        <v>898</v>
      </c>
      <c r="G1474" t="s">
        <v>67</v>
      </c>
      <c r="H1474" t="s">
        <v>898</v>
      </c>
    </row>
    <row r="1475">
      <c r="B1475" t="s">
        <v>898</v>
      </c>
      <c r="C1475" t="s">
        <v>898</v>
      </c>
      <c r="D1475" t="s">
        <v>898</v>
      </c>
      <c r="E1475" t="s">
        <v>898</v>
      </c>
      <c r="F1475" t="s">
        <v>898</v>
      </c>
      <c r="G1475" t="s">
        <v>67</v>
      </c>
      <c r="H1475" t="s">
        <v>898</v>
      </c>
    </row>
    <row r="1476">
      <c r="B1476" t="s">
        <v>898</v>
      </c>
      <c r="C1476" t="s">
        <v>898</v>
      </c>
      <c r="D1476" t="s">
        <v>898</v>
      </c>
      <c r="E1476" t="s">
        <v>898</v>
      </c>
      <c r="F1476" t="s">
        <v>898</v>
      </c>
      <c r="G1476" t="s">
        <v>67</v>
      </c>
      <c r="H1476" t="s">
        <v>898</v>
      </c>
    </row>
    <row r="1477">
      <c r="B1477" t="s">
        <v>898</v>
      </c>
      <c r="C1477" t="s">
        <v>898</v>
      </c>
      <c r="D1477" t="s">
        <v>898</v>
      </c>
      <c r="E1477" t="s">
        <v>898</v>
      </c>
      <c r="F1477" t="s">
        <v>898</v>
      </c>
      <c r="G1477" t="s">
        <v>67</v>
      </c>
      <c r="H1477" t="s">
        <v>898</v>
      </c>
    </row>
    <row r="1478">
      <c r="B1478" t="s">
        <v>898</v>
      </c>
      <c r="C1478" t="s">
        <v>898</v>
      </c>
      <c r="D1478" t="s">
        <v>898</v>
      </c>
      <c r="E1478" t="s">
        <v>898</v>
      </c>
      <c r="F1478" t="s">
        <v>898</v>
      </c>
      <c r="G1478" t="s">
        <v>67</v>
      </c>
      <c r="H1478" t="s">
        <v>898</v>
      </c>
    </row>
    <row r="1479">
      <c r="B1479" t="s">
        <v>898</v>
      </c>
      <c r="C1479" t="s">
        <v>898</v>
      </c>
      <c r="D1479" t="s">
        <v>898</v>
      </c>
      <c r="E1479" t="s">
        <v>898</v>
      </c>
      <c r="F1479" t="s">
        <v>898</v>
      </c>
      <c r="G1479" t="s">
        <v>67</v>
      </c>
      <c r="H1479" t="s">
        <v>898</v>
      </c>
    </row>
    <row r="1480">
      <c r="B1480" t="s">
        <v>898</v>
      </c>
      <c r="C1480" t="s">
        <v>898</v>
      </c>
      <c r="D1480" t="s">
        <v>898</v>
      </c>
      <c r="E1480" t="s">
        <v>898</v>
      </c>
      <c r="F1480" t="s">
        <v>898</v>
      </c>
      <c r="G1480" t="s">
        <v>67</v>
      </c>
      <c r="H1480" t="s">
        <v>898</v>
      </c>
    </row>
    <row r="1481">
      <c r="B1481" t="s">
        <v>898</v>
      </c>
      <c r="C1481" t="s">
        <v>898</v>
      </c>
      <c r="D1481" t="s">
        <v>898</v>
      </c>
      <c r="E1481" t="s">
        <v>898</v>
      </c>
      <c r="F1481" t="s">
        <v>898</v>
      </c>
      <c r="G1481" t="s">
        <v>67</v>
      </c>
      <c r="H1481" t="s">
        <v>898</v>
      </c>
    </row>
    <row r="1482">
      <c r="B1482" t="s">
        <v>898</v>
      </c>
      <c r="C1482" t="s">
        <v>898</v>
      </c>
      <c r="D1482" t="s">
        <v>898</v>
      </c>
      <c r="E1482" t="s">
        <v>898</v>
      </c>
      <c r="F1482" t="s">
        <v>898</v>
      </c>
      <c r="G1482" t="s">
        <v>67</v>
      </c>
      <c r="H1482" t="s">
        <v>898</v>
      </c>
    </row>
    <row r="1483">
      <c r="B1483" t="s">
        <v>898</v>
      </c>
      <c r="C1483" t="s">
        <v>898</v>
      </c>
      <c r="D1483" t="s">
        <v>898</v>
      </c>
      <c r="E1483" t="s">
        <v>898</v>
      </c>
      <c r="F1483" t="s">
        <v>898</v>
      </c>
      <c r="G1483" t="s">
        <v>67</v>
      </c>
      <c r="H1483" t="s">
        <v>898</v>
      </c>
    </row>
    <row r="1484">
      <c r="B1484" t="s">
        <v>898</v>
      </c>
      <c r="C1484" t="s">
        <v>898</v>
      </c>
      <c r="D1484" t="s">
        <v>898</v>
      </c>
      <c r="E1484" t="s">
        <v>898</v>
      </c>
      <c r="F1484" t="s">
        <v>898</v>
      </c>
      <c r="G1484" t="s">
        <v>67</v>
      </c>
      <c r="H1484" t="s">
        <v>898</v>
      </c>
    </row>
    <row r="1485">
      <c r="B1485" t="s">
        <v>898</v>
      </c>
      <c r="C1485" t="s">
        <v>898</v>
      </c>
      <c r="D1485" t="s">
        <v>898</v>
      </c>
      <c r="E1485" t="s">
        <v>898</v>
      </c>
      <c r="F1485" t="s">
        <v>898</v>
      </c>
      <c r="G1485" t="s">
        <v>67</v>
      </c>
      <c r="H1485" t="s">
        <v>898</v>
      </c>
    </row>
    <row r="1486">
      <c r="B1486" t="s">
        <v>898</v>
      </c>
      <c r="C1486" t="s">
        <v>898</v>
      </c>
      <c r="D1486" t="s">
        <v>898</v>
      </c>
      <c r="E1486" t="s">
        <v>898</v>
      </c>
      <c r="F1486" t="s">
        <v>898</v>
      </c>
      <c r="G1486" t="s">
        <v>67</v>
      </c>
      <c r="H1486" t="s">
        <v>898</v>
      </c>
    </row>
    <row r="1487">
      <c r="B1487" t="s">
        <v>898</v>
      </c>
      <c r="C1487" t="s">
        <v>898</v>
      </c>
      <c r="D1487" t="s">
        <v>898</v>
      </c>
      <c r="E1487" t="s">
        <v>898</v>
      </c>
      <c r="F1487" t="s">
        <v>898</v>
      </c>
      <c r="G1487" t="s">
        <v>67</v>
      </c>
      <c r="H1487" t="s">
        <v>898</v>
      </c>
    </row>
    <row r="1488">
      <c r="B1488" t="s">
        <v>898</v>
      </c>
      <c r="C1488" t="s">
        <v>898</v>
      </c>
      <c r="D1488" t="s">
        <v>898</v>
      </c>
      <c r="E1488" t="s">
        <v>898</v>
      </c>
      <c r="F1488" t="s">
        <v>898</v>
      </c>
      <c r="G1488" t="s">
        <v>67</v>
      </c>
      <c r="H1488" t="s">
        <v>898</v>
      </c>
    </row>
    <row r="1489">
      <c r="B1489" t="s">
        <v>898</v>
      </c>
      <c r="C1489" t="s">
        <v>898</v>
      </c>
      <c r="D1489" t="s">
        <v>898</v>
      </c>
      <c r="E1489" t="s">
        <v>898</v>
      </c>
      <c r="F1489" t="s">
        <v>898</v>
      </c>
      <c r="G1489" t="s">
        <v>67</v>
      </c>
      <c r="H1489" t="s">
        <v>898</v>
      </c>
    </row>
    <row r="1490">
      <c r="B1490" t="s">
        <v>898</v>
      </c>
      <c r="C1490" t="s">
        <v>898</v>
      </c>
      <c r="D1490" t="s">
        <v>898</v>
      </c>
      <c r="E1490" t="s">
        <v>898</v>
      </c>
      <c r="F1490" t="s">
        <v>898</v>
      </c>
      <c r="G1490" t="s">
        <v>67</v>
      </c>
      <c r="H1490" t="s">
        <v>898</v>
      </c>
    </row>
    <row r="1491">
      <c r="B1491" t="s">
        <v>898</v>
      </c>
      <c r="C1491" t="s">
        <v>898</v>
      </c>
      <c r="D1491" t="s">
        <v>898</v>
      </c>
      <c r="E1491" t="s">
        <v>898</v>
      </c>
      <c r="F1491" t="s">
        <v>898</v>
      </c>
      <c r="G1491" t="s">
        <v>67</v>
      </c>
      <c r="H1491" t="s">
        <v>898</v>
      </c>
    </row>
    <row r="1492">
      <c r="B1492" t="s">
        <v>898</v>
      </c>
      <c r="C1492" t="s">
        <v>898</v>
      </c>
      <c r="D1492" t="s">
        <v>898</v>
      </c>
      <c r="E1492" t="s">
        <v>898</v>
      </c>
      <c r="F1492" t="s">
        <v>898</v>
      </c>
      <c r="G1492" t="s">
        <v>67</v>
      </c>
      <c r="H1492" t="s">
        <v>898</v>
      </c>
    </row>
    <row r="1493">
      <c r="B1493" t="s">
        <v>898</v>
      </c>
      <c r="C1493" t="s">
        <v>898</v>
      </c>
      <c r="D1493" t="s">
        <v>898</v>
      </c>
      <c r="E1493" t="s">
        <v>898</v>
      </c>
      <c r="F1493" t="s">
        <v>898</v>
      </c>
      <c r="G1493" t="s">
        <v>67</v>
      </c>
      <c r="H1493" t="s">
        <v>898</v>
      </c>
    </row>
    <row r="1494">
      <c r="B1494" t="s">
        <v>898</v>
      </c>
      <c r="C1494" t="s">
        <v>898</v>
      </c>
      <c r="D1494" t="s">
        <v>898</v>
      </c>
      <c r="E1494" t="s">
        <v>898</v>
      </c>
      <c r="F1494" t="s">
        <v>898</v>
      </c>
      <c r="G1494" t="s">
        <v>67</v>
      </c>
      <c r="H1494" t="s">
        <v>898</v>
      </c>
    </row>
    <row r="1495">
      <c r="B1495" t="s">
        <v>898</v>
      </c>
      <c r="C1495" t="s">
        <v>898</v>
      </c>
      <c r="D1495" t="s">
        <v>898</v>
      </c>
      <c r="E1495" t="s">
        <v>898</v>
      </c>
      <c r="F1495" t="s">
        <v>898</v>
      </c>
      <c r="G1495" t="s">
        <v>67</v>
      </c>
      <c r="H1495" t="s">
        <v>898</v>
      </c>
    </row>
    <row r="1496">
      <c r="B1496" t="s">
        <v>898</v>
      </c>
      <c r="C1496" t="s">
        <v>898</v>
      </c>
      <c r="D1496" t="s">
        <v>898</v>
      </c>
      <c r="E1496" t="s">
        <v>898</v>
      </c>
      <c r="F1496" t="s">
        <v>898</v>
      </c>
      <c r="G1496" t="s">
        <v>67</v>
      </c>
      <c r="H1496" t="s">
        <v>898</v>
      </c>
    </row>
    <row r="1497">
      <c r="B1497" t="s">
        <v>898</v>
      </c>
      <c r="C1497" t="s">
        <v>898</v>
      </c>
      <c r="D1497" t="s">
        <v>898</v>
      </c>
      <c r="E1497" t="s">
        <v>898</v>
      </c>
      <c r="F1497" t="s">
        <v>898</v>
      </c>
      <c r="G1497" t="s">
        <v>67</v>
      </c>
      <c r="H1497" t="s">
        <v>898</v>
      </c>
    </row>
    <row r="1498">
      <c r="B1498" t="s">
        <v>898</v>
      </c>
      <c r="C1498" t="s">
        <v>898</v>
      </c>
      <c r="D1498" t="s">
        <v>898</v>
      </c>
      <c r="E1498" t="s">
        <v>898</v>
      </c>
      <c r="F1498" t="s">
        <v>898</v>
      </c>
      <c r="G1498" t="s">
        <v>67</v>
      </c>
      <c r="H1498" t="s">
        <v>898</v>
      </c>
    </row>
    <row r="1499">
      <c r="B1499" t="s">
        <v>898</v>
      </c>
      <c r="C1499" t="s">
        <v>898</v>
      </c>
      <c r="D1499" t="s">
        <v>898</v>
      </c>
      <c r="E1499" t="s">
        <v>898</v>
      </c>
      <c r="F1499" t="s">
        <v>898</v>
      </c>
      <c r="G1499" t="s">
        <v>67</v>
      </c>
      <c r="H1499" t="s">
        <v>898</v>
      </c>
    </row>
    <row r="1500">
      <c r="B1500" t="s">
        <v>898</v>
      </c>
      <c r="C1500" t="s">
        <v>898</v>
      </c>
      <c r="D1500" t="s">
        <v>898</v>
      </c>
      <c r="E1500" t="s">
        <v>898</v>
      </c>
      <c r="F1500" t="s">
        <v>898</v>
      </c>
      <c r="G1500" t="s">
        <v>67</v>
      </c>
      <c r="H1500" t="s">
        <v>898</v>
      </c>
    </row>
    <row r="1501">
      <c r="B1501" t="s">
        <v>898</v>
      </c>
      <c r="C1501" t="s">
        <v>898</v>
      </c>
      <c r="D1501" t="s">
        <v>898</v>
      </c>
      <c r="E1501" t="s">
        <v>898</v>
      </c>
      <c r="F1501" t="s">
        <v>898</v>
      </c>
      <c r="G1501" t="s">
        <v>67</v>
      </c>
      <c r="H1501" t="s">
        <v>898</v>
      </c>
    </row>
    <row r="1502">
      <c r="B1502" t="s">
        <v>898</v>
      </c>
      <c r="C1502" t="s">
        <v>898</v>
      </c>
      <c r="D1502" t="s">
        <v>898</v>
      </c>
      <c r="E1502" t="s">
        <v>898</v>
      </c>
      <c r="F1502" t="s">
        <v>898</v>
      </c>
      <c r="G1502" t="s">
        <v>67</v>
      </c>
      <c r="H1502" t="s">
        <v>898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4" max="8" width="7.13"/>
  </cols>
  <sheetData>
    <row r="1">
      <c r="A1" s="1" t="s">
        <v>49</v>
      </c>
      <c r="B1" s="211">
        <v>10.0</v>
      </c>
      <c r="C1" s="1" t="s">
        <v>49</v>
      </c>
      <c r="D1" s="211">
        <v>11.0</v>
      </c>
      <c r="E1" s="1" t="s">
        <v>49</v>
      </c>
      <c r="F1" s="211">
        <v>12.0</v>
      </c>
      <c r="G1" s="1" t="s">
        <v>49</v>
      </c>
      <c r="H1" s="211">
        <v>13.0</v>
      </c>
    </row>
    <row r="2">
      <c r="A2" s="1" t="s">
        <v>225</v>
      </c>
      <c r="B2" s="242" t="s">
        <v>361</v>
      </c>
      <c r="C2" s="1" t="s">
        <v>225</v>
      </c>
      <c r="D2" s="242" t="s">
        <v>361</v>
      </c>
      <c r="E2" s="1" t="s">
        <v>225</v>
      </c>
      <c r="F2" s="242" t="s">
        <v>361</v>
      </c>
      <c r="G2" s="243" t="str">
        <f t="shared" ref="G2:G66" si="1">A2</f>
        <v>Army</v>
      </c>
      <c r="H2" s="242" t="s">
        <v>361</v>
      </c>
    </row>
    <row r="3">
      <c r="A3" s="244" t="s">
        <v>159</v>
      </c>
      <c r="B3" s="245" t="s">
        <v>361</v>
      </c>
      <c r="C3" s="244" t="s">
        <v>159</v>
      </c>
      <c r="D3" s="245" t="s">
        <v>361</v>
      </c>
      <c r="E3" s="244" t="s">
        <v>159</v>
      </c>
      <c r="F3" s="245" t="s">
        <v>361</v>
      </c>
      <c r="G3" s="243" t="str">
        <f t="shared" si="1"/>
        <v>Charlotte</v>
      </c>
      <c r="H3" s="245" t="s">
        <v>361</v>
      </c>
    </row>
    <row r="4">
      <c r="A4" s="243" t="s">
        <v>100</v>
      </c>
      <c r="B4" s="245" t="s">
        <v>361</v>
      </c>
      <c r="C4" s="243" t="s">
        <v>100</v>
      </c>
      <c r="D4" s="245" t="s">
        <v>361</v>
      </c>
      <c r="E4" s="243" t="s">
        <v>100</v>
      </c>
      <c r="F4" s="245" t="s">
        <v>361</v>
      </c>
      <c r="G4" s="243" t="str">
        <f t="shared" si="1"/>
        <v>East Carolina</v>
      </c>
      <c r="H4" s="245" t="s">
        <v>361</v>
      </c>
    </row>
    <row r="5">
      <c r="A5" s="246" t="s">
        <v>150</v>
      </c>
      <c r="B5" s="242" t="s">
        <v>361</v>
      </c>
      <c r="C5" s="246" t="s">
        <v>150</v>
      </c>
      <c r="D5" s="242" t="s">
        <v>361</v>
      </c>
      <c r="E5" s="246" t="s">
        <v>150</v>
      </c>
      <c r="F5" s="242" t="s">
        <v>361</v>
      </c>
      <c r="G5" s="243" t="str">
        <f t="shared" si="1"/>
        <v>Florida Atlantic</v>
      </c>
      <c r="H5" s="242" t="s">
        <v>361</v>
      </c>
    </row>
    <row r="6">
      <c r="A6" s="243" t="s">
        <v>102</v>
      </c>
      <c r="B6" s="245" t="s">
        <v>361</v>
      </c>
      <c r="C6" s="243" t="s">
        <v>102</v>
      </c>
      <c r="D6" s="245" t="s">
        <v>361</v>
      </c>
      <c r="E6" s="243" t="s">
        <v>102</v>
      </c>
      <c r="F6" s="245" t="s">
        <v>361</v>
      </c>
      <c r="G6" s="243" t="str">
        <f t="shared" si="1"/>
        <v>Memphis</v>
      </c>
      <c r="H6" s="245" t="s">
        <v>361</v>
      </c>
    </row>
    <row r="7">
      <c r="A7" s="246" t="s">
        <v>103</v>
      </c>
      <c r="B7" s="245" t="s">
        <v>361</v>
      </c>
      <c r="C7" s="246" t="s">
        <v>103</v>
      </c>
      <c r="D7" s="245" t="s">
        <v>361</v>
      </c>
      <c r="E7" s="246" t="s">
        <v>103</v>
      </c>
      <c r="F7" s="245" t="s">
        <v>361</v>
      </c>
      <c r="G7" s="243" t="str">
        <f t="shared" si="1"/>
        <v>Navy</v>
      </c>
      <c r="H7" s="245" t="s">
        <v>361</v>
      </c>
    </row>
    <row r="8">
      <c r="A8" s="243" t="s">
        <v>154</v>
      </c>
      <c r="B8" s="242" t="s">
        <v>361</v>
      </c>
      <c r="C8" s="243" t="s">
        <v>154</v>
      </c>
      <c r="D8" s="242" t="s">
        <v>361</v>
      </c>
      <c r="E8" s="243" t="s">
        <v>154</v>
      </c>
      <c r="F8" s="242" t="s">
        <v>361</v>
      </c>
      <c r="G8" s="243" t="str">
        <f t="shared" si="1"/>
        <v>North Texas</v>
      </c>
      <c r="H8" s="242" t="s">
        <v>361</v>
      </c>
    </row>
    <row r="9">
      <c r="A9" s="243" t="s">
        <v>157</v>
      </c>
      <c r="B9" s="242" t="s">
        <v>361</v>
      </c>
      <c r="C9" s="243" t="s">
        <v>157</v>
      </c>
      <c r="D9" s="242" t="s">
        <v>361</v>
      </c>
      <c r="E9" s="243" t="s">
        <v>157</v>
      </c>
      <c r="F9" s="242" t="s">
        <v>361</v>
      </c>
      <c r="G9" s="243" t="str">
        <f t="shared" si="1"/>
        <v>Rice</v>
      </c>
      <c r="H9" s="242" t="s">
        <v>361</v>
      </c>
    </row>
    <row r="10">
      <c r="A10" s="243" t="s">
        <v>105</v>
      </c>
      <c r="B10" s="245" t="s">
        <v>361</v>
      </c>
      <c r="C10" s="243" t="s">
        <v>105</v>
      </c>
      <c r="D10" s="245" t="s">
        <v>361</v>
      </c>
      <c r="E10" s="243" t="s">
        <v>105</v>
      </c>
      <c r="F10" s="245" t="s">
        <v>361</v>
      </c>
      <c r="G10" s="243" t="str">
        <f t="shared" si="1"/>
        <v>South Florida</v>
      </c>
      <c r="H10" s="245" t="s">
        <v>361</v>
      </c>
    </row>
    <row r="11">
      <c r="A11" s="246" t="s">
        <v>106</v>
      </c>
      <c r="B11" s="245" t="s">
        <v>361</v>
      </c>
      <c r="C11" s="246" t="s">
        <v>106</v>
      </c>
      <c r="D11" s="245" t="s">
        <v>361</v>
      </c>
      <c r="E11" s="246" t="s">
        <v>106</v>
      </c>
      <c r="F11" s="245" t="s">
        <v>361</v>
      </c>
      <c r="G11" s="243" t="str">
        <f t="shared" si="1"/>
        <v>Temple</v>
      </c>
      <c r="H11" s="245" t="s">
        <v>361</v>
      </c>
    </row>
    <row r="12">
      <c r="A12" s="243" t="s">
        <v>107</v>
      </c>
      <c r="B12" s="245" t="s">
        <v>361</v>
      </c>
      <c r="C12" s="243" t="s">
        <v>107</v>
      </c>
      <c r="D12" s="245" t="s">
        <v>361</v>
      </c>
      <c r="E12" s="243" t="s">
        <v>107</v>
      </c>
      <c r="F12" s="245" t="s">
        <v>361</v>
      </c>
      <c r="G12" s="243" t="str">
        <f t="shared" si="1"/>
        <v>Tulane</v>
      </c>
      <c r="H12" s="245" t="s">
        <v>361</v>
      </c>
    </row>
    <row r="13">
      <c r="A13" s="243" t="s">
        <v>108</v>
      </c>
      <c r="B13" s="245" t="s">
        <v>361</v>
      </c>
      <c r="C13" s="243" t="s">
        <v>108</v>
      </c>
      <c r="D13" s="245" t="s">
        <v>361</v>
      </c>
      <c r="E13" s="243" t="s">
        <v>108</v>
      </c>
      <c r="F13" s="245" t="s">
        <v>361</v>
      </c>
      <c r="G13" s="243" t="str">
        <f t="shared" si="1"/>
        <v>Tulsa</v>
      </c>
      <c r="H13" s="245" t="s">
        <v>361</v>
      </c>
    </row>
    <row r="14">
      <c r="A14" s="246" t="s">
        <v>163</v>
      </c>
      <c r="B14" s="242" t="s">
        <v>361</v>
      </c>
      <c r="C14" s="246" t="s">
        <v>163</v>
      </c>
      <c r="D14" s="242" t="s">
        <v>361</v>
      </c>
      <c r="E14" s="246" t="s">
        <v>163</v>
      </c>
      <c r="F14" s="242" t="s">
        <v>361</v>
      </c>
      <c r="G14" s="243" t="str">
        <f t="shared" si="1"/>
        <v>UAB</v>
      </c>
      <c r="H14" s="242" t="s">
        <v>361</v>
      </c>
    </row>
    <row r="15">
      <c r="A15" s="243" t="s">
        <v>161</v>
      </c>
      <c r="B15" s="242" t="s">
        <v>361</v>
      </c>
      <c r="C15" s="243" t="s">
        <v>161</v>
      </c>
      <c r="D15" s="242" t="s">
        <v>361</v>
      </c>
      <c r="E15" s="243" t="s">
        <v>161</v>
      </c>
      <c r="F15" s="242" t="s">
        <v>361</v>
      </c>
      <c r="G15" s="243" t="str">
        <f t="shared" si="1"/>
        <v>UTSA</v>
      </c>
      <c r="H15" s="242" t="s">
        <v>361</v>
      </c>
    </row>
    <row r="16">
      <c r="A16" s="243" t="s">
        <v>110</v>
      </c>
      <c r="B16" s="247" t="s">
        <v>317</v>
      </c>
      <c r="C16" s="243" t="s">
        <v>110</v>
      </c>
      <c r="D16" s="247" t="s">
        <v>317</v>
      </c>
      <c r="E16" s="243" t="s">
        <v>110</v>
      </c>
      <c r="F16" s="247" t="s">
        <v>317</v>
      </c>
      <c r="G16" s="243" t="str">
        <f t="shared" si="1"/>
        <v>Boston College</v>
      </c>
      <c r="H16" s="247" t="s">
        <v>317</v>
      </c>
    </row>
    <row r="17">
      <c r="A17" s="246" t="s">
        <v>190</v>
      </c>
      <c r="B17" s="247" t="s">
        <v>317</v>
      </c>
      <c r="C17" s="246" t="s">
        <v>190</v>
      </c>
      <c r="D17" s="247" t="s">
        <v>317</v>
      </c>
      <c r="E17" s="246" t="s">
        <v>190</v>
      </c>
      <c r="F17" s="247" t="s">
        <v>317</v>
      </c>
      <c r="G17" s="243" t="str">
        <f t="shared" si="1"/>
        <v>California</v>
      </c>
      <c r="H17" s="247" t="s">
        <v>317</v>
      </c>
    </row>
    <row r="18">
      <c r="A18" s="243" t="s">
        <v>111</v>
      </c>
      <c r="B18" s="247" t="s">
        <v>317</v>
      </c>
      <c r="C18" s="243" t="s">
        <v>111</v>
      </c>
      <c r="D18" s="247" t="s">
        <v>317</v>
      </c>
      <c r="E18" s="243" t="s">
        <v>111</v>
      </c>
      <c r="F18" s="247" t="s">
        <v>317</v>
      </c>
      <c r="G18" s="243" t="str">
        <f t="shared" si="1"/>
        <v>Clemson</v>
      </c>
      <c r="H18" s="247" t="s">
        <v>317</v>
      </c>
    </row>
    <row r="19">
      <c r="A19" s="243" t="s">
        <v>112</v>
      </c>
      <c r="B19" s="247" t="s">
        <v>317</v>
      </c>
      <c r="C19" s="243" t="s">
        <v>112</v>
      </c>
      <c r="D19" s="247" t="s">
        <v>317</v>
      </c>
      <c r="E19" s="243" t="s">
        <v>112</v>
      </c>
      <c r="F19" s="247" t="s">
        <v>317</v>
      </c>
      <c r="G19" s="243" t="str">
        <f t="shared" si="1"/>
        <v>Duke</v>
      </c>
      <c r="H19" s="247" t="s">
        <v>317</v>
      </c>
    </row>
    <row r="20">
      <c r="A20" s="246" t="s">
        <v>113</v>
      </c>
      <c r="B20" s="247" t="s">
        <v>317</v>
      </c>
      <c r="C20" s="246" t="s">
        <v>113</v>
      </c>
      <c r="D20" s="247" t="s">
        <v>317</v>
      </c>
      <c r="E20" s="246" t="s">
        <v>113</v>
      </c>
      <c r="F20" s="247" t="s">
        <v>317</v>
      </c>
      <c r="G20" s="243" t="str">
        <f t="shared" si="1"/>
        <v>Florida State</v>
      </c>
      <c r="H20" s="247" t="s">
        <v>317</v>
      </c>
    </row>
    <row r="21">
      <c r="A21" s="243" t="s">
        <v>114</v>
      </c>
      <c r="B21" s="247" t="s">
        <v>317</v>
      </c>
      <c r="C21" s="243" t="s">
        <v>114</v>
      </c>
      <c r="D21" s="247" t="s">
        <v>317</v>
      </c>
      <c r="E21" s="243" t="s">
        <v>114</v>
      </c>
      <c r="F21" s="247" t="s">
        <v>317</v>
      </c>
      <c r="G21" s="243" t="str">
        <f t="shared" si="1"/>
        <v>Georgia Tech</v>
      </c>
      <c r="H21" s="247" t="s">
        <v>317</v>
      </c>
    </row>
    <row r="22">
      <c r="A22" s="243" t="s">
        <v>115</v>
      </c>
      <c r="B22" s="247" t="s">
        <v>317</v>
      </c>
      <c r="C22" s="243" t="s">
        <v>115</v>
      </c>
      <c r="D22" s="247" t="s">
        <v>317</v>
      </c>
      <c r="E22" s="243" t="s">
        <v>115</v>
      </c>
      <c r="F22" s="247" t="s">
        <v>317</v>
      </c>
      <c r="G22" s="243" t="str">
        <f t="shared" si="1"/>
        <v>Louisville</v>
      </c>
      <c r="H22" s="247" t="s">
        <v>317</v>
      </c>
    </row>
    <row r="23">
      <c r="A23" s="243" t="s">
        <v>116</v>
      </c>
      <c r="B23" s="247" t="s">
        <v>317</v>
      </c>
      <c r="C23" s="243" t="s">
        <v>116</v>
      </c>
      <c r="D23" s="247" t="s">
        <v>317</v>
      </c>
      <c r="E23" s="243" t="s">
        <v>116</v>
      </c>
      <c r="F23" s="247" t="s">
        <v>317</v>
      </c>
      <c r="G23" s="243" t="str">
        <f t="shared" si="1"/>
        <v>Miami</v>
      </c>
      <c r="H23" s="247" t="s">
        <v>317</v>
      </c>
    </row>
    <row r="24">
      <c r="A24" s="246" t="s">
        <v>117</v>
      </c>
      <c r="B24" s="247" t="s">
        <v>317</v>
      </c>
      <c r="C24" s="246" t="s">
        <v>117</v>
      </c>
      <c r="D24" s="247" t="s">
        <v>317</v>
      </c>
      <c r="E24" s="246" t="s">
        <v>117</v>
      </c>
      <c r="F24" s="247" t="s">
        <v>317</v>
      </c>
      <c r="G24" s="243" t="str">
        <f t="shared" si="1"/>
        <v>NC State</v>
      </c>
      <c r="H24" s="247" t="s">
        <v>317</v>
      </c>
    </row>
    <row r="25">
      <c r="A25" s="243" t="s">
        <v>118</v>
      </c>
      <c r="B25" s="247" t="s">
        <v>317</v>
      </c>
      <c r="C25" s="243" t="s">
        <v>118</v>
      </c>
      <c r="D25" s="247" t="s">
        <v>317</v>
      </c>
      <c r="E25" s="243" t="s">
        <v>118</v>
      </c>
      <c r="F25" s="247" t="s">
        <v>317</v>
      </c>
      <c r="G25" s="243" t="str">
        <f t="shared" si="1"/>
        <v>North Carolina</v>
      </c>
      <c r="H25" s="247" t="s">
        <v>317</v>
      </c>
    </row>
    <row r="26">
      <c r="A26" s="243" t="s">
        <v>119</v>
      </c>
      <c r="B26" s="247" t="s">
        <v>317</v>
      </c>
      <c r="C26" s="243" t="s">
        <v>119</v>
      </c>
      <c r="D26" s="247" t="s">
        <v>317</v>
      </c>
      <c r="E26" s="243" t="s">
        <v>119</v>
      </c>
      <c r="F26" s="247" t="s">
        <v>317</v>
      </c>
      <c r="G26" s="243" t="str">
        <f t="shared" si="1"/>
        <v>Pittsburgh</v>
      </c>
      <c r="H26" s="247" t="s">
        <v>317</v>
      </c>
    </row>
    <row r="27">
      <c r="A27" s="243" t="s">
        <v>104</v>
      </c>
      <c r="B27" s="245" t="s">
        <v>317</v>
      </c>
      <c r="C27" s="243" t="s">
        <v>104</v>
      </c>
      <c r="D27" s="245" t="s">
        <v>317</v>
      </c>
      <c r="E27" s="243" t="s">
        <v>104</v>
      </c>
      <c r="F27" s="245" t="s">
        <v>317</v>
      </c>
      <c r="G27" s="243" t="str">
        <f t="shared" si="1"/>
        <v>SMU</v>
      </c>
      <c r="H27" s="245" t="s">
        <v>317</v>
      </c>
    </row>
    <row r="28">
      <c r="A28" s="246" t="s">
        <v>195</v>
      </c>
      <c r="B28" s="247" t="s">
        <v>317</v>
      </c>
      <c r="C28" s="246" t="s">
        <v>195</v>
      </c>
      <c r="D28" s="247" t="s">
        <v>317</v>
      </c>
      <c r="E28" s="246" t="s">
        <v>195</v>
      </c>
      <c r="F28" s="247" t="s">
        <v>317</v>
      </c>
      <c r="G28" s="243" t="str">
        <f t="shared" si="1"/>
        <v>Stanford</v>
      </c>
      <c r="H28" s="247" t="s">
        <v>317</v>
      </c>
    </row>
    <row r="29">
      <c r="A29" s="243" t="s">
        <v>120</v>
      </c>
      <c r="B29" s="247" t="s">
        <v>317</v>
      </c>
      <c r="C29" s="243" t="s">
        <v>120</v>
      </c>
      <c r="D29" s="247" t="s">
        <v>317</v>
      </c>
      <c r="E29" s="243" t="s">
        <v>120</v>
      </c>
      <c r="F29" s="247" t="s">
        <v>317</v>
      </c>
      <c r="G29" s="243" t="str">
        <f t="shared" si="1"/>
        <v>Syracuse</v>
      </c>
      <c r="H29" s="247" t="s">
        <v>317</v>
      </c>
    </row>
    <row r="30">
      <c r="A30" s="243" t="s">
        <v>121</v>
      </c>
      <c r="B30" s="247" t="s">
        <v>317</v>
      </c>
      <c r="C30" s="243" t="s">
        <v>121</v>
      </c>
      <c r="D30" s="247" t="s">
        <v>317</v>
      </c>
      <c r="E30" s="243" t="s">
        <v>121</v>
      </c>
      <c r="F30" s="247" t="s">
        <v>317</v>
      </c>
      <c r="G30" s="243" t="str">
        <f t="shared" si="1"/>
        <v>Virginia</v>
      </c>
      <c r="H30" s="247" t="s">
        <v>317</v>
      </c>
    </row>
    <row r="31">
      <c r="A31" s="243" t="s">
        <v>122</v>
      </c>
      <c r="B31" s="247" t="s">
        <v>317</v>
      </c>
      <c r="C31" s="243" t="s">
        <v>122</v>
      </c>
      <c r="D31" s="247" t="s">
        <v>317</v>
      </c>
      <c r="E31" s="243" t="s">
        <v>122</v>
      </c>
      <c r="F31" s="247" t="s">
        <v>317</v>
      </c>
      <c r="G31" s="243" t="str">
        <f t="shared" si="1"/>
        <v>Virginia Tech</v>
      </c>
      <c r="H31" s="247" t="s">
        <v>317</v>
      </c>
    </row>
    <row r="32">
      <c r="A32" s="243" t="s">
        <v>123</v>
      </c>
      <c r="B32" s="247" t="s">
        <v>317</v>
      </c>
      <c r="C32" s="243" t="s">
        <v>123</v>
      </c>
      <c r="D32" s="247" t="s">
        <v>317</v>
      </c>
      <c r="E32" s="243" t="s">
        <v>123</v>
      </c>
      <c r="F32" s="247" t="s">
        <v>317</v>
      </c>
      <c r="G32" s="243" t="str">
        <f t="shared" si="1"/>
        <v>Wake Forest</v>
      </c>
      <c r="H32" s="247" t="s">
        <v>317</v>
      </c>
    </row>
    <row r="33">
      <c r="A33" s="243" t="s">
        <v>188</v>
      </c>
      <c r="B33" s="245" t="s">
        <v>471</v>
      </c>
      <c r="C33" s="243" t="s">
        <v>188</v>
      </c>
      <c r="D33" s="245" t="s">
        <v>471</v>
      </c>
      <c r="E33" s="243" t="s">
        <v>188</v>
      </c>
      <c r="F33" s="245" t="s">
        <v>471</v>
      </c>
      <c r="G33" s="243" t="str">
        <f t="shared" si="1"/>
        <v>Arizona</v>
      </c>
      <c r="H33" s="245" t="s">
        <v>471</v>
      </c>
    </row>
    <row r="34">
      <c r="A34" s="246" t="s">
        <v>189</v>
      </c>
      <c r="B34" s="245" t="s">
        <v>471</v>
      </c>
      <c r="C34" s="246" t="s">
        <v>189</v>
      </c>
      <c r="D34" s="245" t="s">
        <v>471</v>
      </c>
      <c r="E34" s="246" t="s">
        <v>189</v>
      </c>
      <c r="F34" s="245" t="s">
        <v>471</v>
      </c>
      <c r="G34" s="243" t="str">
        <f t="shared" si="1"/>
        <v>Arizona State</v>
      </c>
      <c r="H34" s="245" t="s">
        <v>471</v>
      </c>
    </row>
    <row r="35">
      <c r="A35" s="243" t="s">
        <v>124</v>
      </c>
      <c r="B35" s="247" t="s">
        <v>471</v>
      </c>
      <c r="C35" s="243" t="s">
        <v>124</v>
      </c>
      <c r="D35" s="247" t="s">
        <v>471</v>
      </c>
      <c r="E35" s="243" t="s">
        <v>124</v>
      </c>
      <c r="F35" s="247" t="s">
        <v>471</v>
      </c>
      <c r="G35" s="243" t="str">
        <f t="shared" si="1"/>
        <v>Baylor</v>
      </c>
      <c r="H35" s="247" t="s">
        <v>471</v>
      </c>
    </row>
    <row r="36">
      <c r="A36" s="1" t="s">
        <v>226</v>
      </c>
      <c r="B36" s="247" t="s">
        <v>471</v>
      </c>
      <c r="C36" s="1" t="s">
        <v>226</v>
      </c>
      <c r="D36" s="247" t="s">
        <v>471</v>
      </c>
      <c r="E36" s="1" t="s">
        <v>226</v>
      </c>
      <c r="F36" s="247" t="s">
        <v>471</v>
      </c>
      <c r="G36" s="243" t="str">
        <f t="shared" si="1"/>
        <v>BYU</v>
      </c>
      <c r="H36" s="247" t="s">
        <v>471</v>
      </c>
    </row>
    <row r="37">
      <c r="A37" s="243" t="s">
        <v>98</v>
      </c>
      <c r="B37" s="245" t="s">
        <v>471</v>
      </c>
      <c r="C37" s="243" t="s">
        <v>98</v>
      </c>
      <c r="D37" s="245" t="s">
        <v>471</v>
      </c>
      <c r="E37" s="243" t="s">
        <v>98</v>
      </c>
      <c r="F37" s="245" t="s">
        <v>471</v>
      </c>
      <c r="G37" s="243" t="str">
        <f t="shared" si="1"/>
        <v>Cincinnati</v>
      </c>
      <c r="H37" s="245" t="s">
        <v>471</v>
      </c>
    </row>
    <row r="38">
      <c r="A38" s="243" t="s">
        <v>191</v>
      </c>
      <c r="B38" s="247" t="s">
        <v>471</v>
      </c>
      <c r="C38" s="243" t="s">
        <v>191</v>
      </c>
      <c r="D38" s="247" t="s">
        <v>471</v>
      </c>
      <c r="E38" s="243" t="s">
        <v>191</v>
      </c>
      <c r="F38" s="247" t="s">
        <v>471</v>
      </c>
      <c r="G38" s="243" t="str">
        <f t="shared" si="1"/>
        <v>Colorado</v>
      </c>
      <c r="H38" s="247" t="s">
        <v>471</v>
      </c>
    </row>
    <row r="39">
      <c r="A39" s="243" t="s">
        <v>101</v>
      </c>
      <c r="B39" s="247" t="s">
        <v>471</v>
      </c>
      <c r="C39" s="243" t="s">
        <v>101</v>
      </c>
      <c r="D39" s="247" t="s">
        <v>471</v>
      </c>
      <c r="E39" s="243" t="s">
        <v>101</v>
      </c>
      <c r="F39" s="247" t="s">
        <v>471</v>
      </c>
      <c r="G39" s="243" t="str">
        <f t="shared" si="1"/>
        <v>Houston</v>
      </c>
      <c r="H39" s="247" t="s">
        <v>471</v>
      </c>
    </row>
    <row r="40">
      <c r="A40" s="246" t="s">
        <v>125</v>
      </c>
      <c r="B40" s="247" t="s">
        <v>471</v>
      </c>
      <c r="C40" s="246" t="s">
        <v>125</v>
      </c>
      <c r="D40" s="247" t="s">
        <v>471</v>
      </c>
      <c r="E40" s="246" t="s">
        <v>125</v>
      </c>
      <c r="F40" s="247" t="s">
        <v>471</v>
      </c>
      <c r="G40" s="243" t="str">
        <f t="shared" si="1"/>
        <v>Iowa State</v>
      </c>
      <c r="H40" s="247" t="s">
        <v>471</v>
      </c>
    </row>
    <row r="41">
      <c r="A41" s="243" t="s">
        <v>126</v>
      </c>
      <c r="B41" s="247" t="s">
        <v>471</v>
      </c>
      <c r="C41" s="243" t="s">
        <v>126</v>
      </c>
      <c r="D41" s="247" t="s">
        <v>471</v>
      </c>
      <c r="E41" s="243" t="s">
        <v>126</v>
      </c>
      <c r="F41" s="247" t="s">
        <v>471</v>
      </c>
      <c r="G41" s="243" t="str">
        <f t="shared" si="1"/>
        <v>Kansas</v>
      </c>
      <c r="H41" s="247" t="s">
        <v>471</v>
      </c>
    </row>
    <row r="42">
      <c r="A42" s="246" t="s">
        <v>127</v>
      </c>
      <c r="B42" s="247" t="s">
        <v>471</v>
      </c>
      <c r="C42" s="246" t="s">
        <v>127</v>
      </c>
      <c r="D42" s="247" t="s">
        <v>471</v>
      </c>
      <c r="E42" s="246" t="s">
        <v>127</v>
      </c>
      <c r="F42" s="247" t="s">
        <v>471</v>
      </c>
      <c r="G42" s="243" t="str">
        <f t="shared" si="1"/>
        <v>Kansas State</v>
      </c>
      <c r="H42" s="247" t="s">
        <v>471</v>
      </c>
    </row>
    <row r="43">
      <c r="A43" s="246" t="s">
        <v>129</v>
      </c>
      <c r="B43" s="247" t="s">
        <v>471</v>
      </c>
      <c r="C43" s="246" t="s">
        <v>129</v>
      </c>
      <c r="D43" s="247" t="s">
        <v>471</v>
      </c>
      <c r="E43" s="246" t="s">
        <v>129</v>
      </c>
      <c r="F43" s="247" t="s">
        <v>471</v>
      </c>
      <c r="G43" s="243" t="str">
        <f t="shared" si="1"/>
        <v>Oklahoma State</v>
      </c>
      <c r="H43" s="247" t="s">
        <v>471</v>
      </c>
    </row>
    <row r="44">
      <c r="A44" s="243" t="s">
        <v>130</v>
      </c>
      <c r="B44" s="247" t="s">
        <v>471</v>
      </c>
      <c r="C44" s="243" t="s">
        <v>130</v>
      </c>
      <c r="D44" s="247" t="s">
        <v>471</v>
      </c>
      <c r="E44" s="243" t="s">
        <v>130</v>
      </c>
      <c r="F44" s="247" t="s">
        <v>471</v>
      </c>
      <c r="G44" s="243" t="str">
        <f t="shared" si="1"/>
        <v>TCU</v>
      </c>
      <c r="H44" s="247" t="s">
        <v>471</v>
      </c>
    </row>
    <row r="45">
      <c r="A45" s="243" t="s">
        <v>133</v>
      </c>
      <c r="B45" s="247" t="s">
        <v>471</v>
      </c>
      <c r="C45" s="243" t="s">
        <v>133</v>
      </c>
      <c r="D45" s="247" t="s">
        <v>471</v>
      </c>
      <c r="E45" s="243" t="s">
        <v>133</v>
      </c>
      <c r="F45" s="247" t="s">
        <v>471</v>
      </c>
      <c r="G45" s="243" t="str">
        <f t="shared" si="1"/>
        <v>Texas Tech</v>
      </c>
      <c r="H45" s="247" t="s">
        <v>471</v>
      </c>
    </row>
    <row r="46">
      <c r="A46" s="243" t="s">
        <v>109</v>
      </c>
      <c r="B46" s="247" t="s">
        <v>471</v>
      </c>
      <c r="C46" s="243" t="s">
        <v>109</v>
      </c>
      <c r="D46" s="247" t="s">
        <v>471</v>
      </c>
      <c r="E46" s="243" t="s">
        <v>109</v>
      </c>
      <c r="F46" s="247" t="s">
        <v>471</v>
      </c>
      <c r="G46" s="243" t="str">
        <f t="shared" si="1"/>
        <v>UCF</v>
      </c>
      <c r="H46" s="247" t="s">
        <v>471</v>
      </c>
    </row>
    <row r="47">
      <c r="A47" s="243" t="s">
        <v>198</v>
      </c>
      <c r="B47" s="247" t="s">
        <v>471</v>
      </c>
      <c r="C47" s="243" t="s">
        <v>198</v>
      </c>
      <c r="D47" s="247" t="s">
        <v>471</v>
      </c>
      <c r="E47" s="243" t="s">
        <v>198</v>
      </c>
      <c r="F47" s="247" t="s">
        <v>471</v>
      </c>
      <c r="G47" s="243" t="str">
        <f t="shared" si="1"/>
        <v>Utah</v>
      </c>
      <c r="H47" s="247" t="s">
        <v>471</v>
      </c>
    </row>
    <row r="48">
      <c r="A48" s="243" t="s">
        <v>134</v>
      </c>
      <c r="B48" s="247" t="s">
        <v>471</v>
      </c>
      <c r="C48" s="243" t="s">
        <v>134</v>
      </c>
      <c r="D48" s="247" t="s">
        <v>471</v>
      </c>
      <c r="E48" s="243" t="s">
        <v>134</v>
      </c>
      <c r="F48" s="247" t="s">
        <v>471</v>
      </c>
      <c r="G48" s="243" t="str">
        <f t="shared" si="1"/>
        <v>West Virginia</v>
      </c>
      <c r="H48" s="247" t="s">
        <v>471</v>
      </c>
    </row>
    <row r="49">
      <c r="A49" s="243" t="s">
        <v>135</v>
      </c>
      <c r="B49" s="247" t="s">
        <v>407</v>
      </c>
      <c r="C49" s="243" t="s">
        <v>135</v>
      </c>
      <c r="D49" s="247" t="s">
        <v>407</v>
      </c>
      <c r="E49" s="243" t="s">
        <v>135</v>
      </c>
      <c r="F49" s="247" t="s">
        <v>407</v>
      </c>
      <c r="G49" s="243" t="str">
        <f t="shared" si="1"/>
        <v>Illinois</v>
      </c>
      <c r="H49" s="247" t="s">
        <v>407</v>
      </c>
    </row>
    <row r="50">
      <c r="A50" s="243" t="s">
        <v>136</v>
      </c>
      <c r="B50" s="247" t="s">
        <v>407</v>
      </c>
      <c r="C50" s="243" t="s">
        <v>136</v>
      </c>
      <c r="D50" s="247" t="s">
        <v>407</v>
      </c>
      <c r="E50" s="243" t="s">
        <v>136</v>
      </c>
      <c r="F50" s="247" t="s">
        <v>407</v>
      </c>
      <c r="G50" s="243" t="str">
        <f t="shared" si="1"/>
        <v>Indiana</v>
      </c>
      <c r="H50" s="247" t="s">
        <v>407</v>
      </c>
    </row>
    <row r="51">
      <c r="A51" s="243" t="s">
        <v>137</v>
      </c>
      <c r="B51" s="247" t="s">
        <v>407</v>
      </c>
      <c r="C51" s="243" t="s">
        <v>137</v>
      </c>
      <c r="D51" s="247" t="s">
        <v>407</v>
      </c>
      <c r="E51" s="243" t="s">
        <v>137</v>
      </c>
      <c r="F51" s="247" t="s">
        <v>407</v>
      </c>
      <c r="G51" s="243" t="str">
        <f t="shared" si="1"/>
        <v>Iowa</v>
      </c>
      <c r="H51" s="247" t="s">
        <v>407</v>
      </c>
    </row>
    <row r="52">
      <c r="A52" s="243" t="s">
        <v>138</v>
      </c>
      <c r="B52" s="247" t="s">
        <v>407</v>
      </c>
      <c r="C52" s="243" t="s">
        <v>138</v>
      </c>
      <c r="D52" s="247" t="s">
        <v>407</v>
      </c>
      <c r="E52" s="243" t="s">
        <v>138</v>
      </c>
      <c r="F52" s="247" t="s">
        <v>407</v>
      </c>
      <c r="G52" s="243" t="str">
        <f t="shared" si="1"/>
        <v>Maryland</v>
      </c>
      <c r="H52" s="247" t="s">
        <v>407</v>
      </c>
    </row>
    <row r="53">
      <c r="A53" s="243" t="s">
        <v>139</v>
      </c>
      <c r="B53" s="247" t="s">
        <v>407</v>
      </c>
      <c r="C53" s="243" t="s">
        <v>139</v>
      </c>
      <c r="D53" s="247" t="s">
        <v>407</v>
      </c>
      <c r="E53" s="243" t="s">
        <v>139</v>
      </c>
      <c r="F53" s="247" t="s">
        <v>407</v>
      </c>
      <c r="G53" s="243" t="str">
        <f t="shared" si="1"/>
        <v>Michigan</v>
      </c>
      <c r="H53" s="247" t="s">
        <v>407</v>
      </c>
    </row>
    <row r="54">
      <c r="A54" s="246" t="s">
        <v>140</v>
      </c>
      <c r="B54" s="247" t="s">
        <v>407</v>
      </c>
      <c r="C54" s="246" t="s">
        <v>140</v>
      </c>
      <c r="D54" s="247" t="s">
        <v>407</v>
      </c>
      <c r="E54" s="246" t="s">
        <v>140</v>
      </c>
      <c r="F54" s="247" t="s">
        <v>407</v>
      </c>
      <c r="G54" s="243" t="str">
        <f t="shared" si="1"/>
        <v>Michigan State</v>
      </c>
      <c r="H54" s="247" t="s">
        <v>407</v>
      </c>
    </row>
    <row r="55">
      <c r="A55" s="243" t="s">
        <v>141</v>
      </c>
      <c r="B55" s="247" t="s">
        <v>407</v>
      </c>
      <c r="C55" s="243" t="s">
        <v>141</v>
      </c>
      <c r="D55" s="247" t="s">
        <v>407</v>
      </c>
      <c r="E55" s="243" t="s">
        <v>141</v>
      </c>
      <c r="F55" s="247" t="s">
        <v>407</v>
      </c>
      <c r="G55" s="243" t="str">
        <f t="shared" si="1"/>
        <v>Minnesota</v>
      </c>
      <c r="H55" s="247" t="s">
        <v>407</v>
      </c>
    </row>
    <row r="56">
      <c r="A56" s="243" t="s">
        <v>142</v>
      </c>
      <c r="B56" s="247" t="s">
        <v>407</v>
      </c>
      <c r="C56" s="243" t="s">
        <v>142</v>
      </c>
      <c r="D56" s="247" t="s">
        <v>407</v>
      </c>
      <c r="E56" s="243" t="s">
        <v>142</v>
      </c>
      <c r="F56" s="247" t="s">
        <v>407</v>
      </c>
      <c r="G56" s="243" t="str">
        <f t="shared" si="1"/>
        <v>Nebraska</v>
      </c>
      <c r="H56" s="247" t="s">
        <v>407</v>
      </c>
    </row>
    <row r="57">
      <c r="A57" s="243" t="s">
        <v>143</v>
      </c>
      <c r="B57" s="247" t="s">
        <v>407</v>
      </c>
      <c r="C57" s="243" t="s">
        <v>143</v>
      </c>
      <c r="D57" s="247" t="s">
        <v>407</v>
      </c>
      <c r="E57" s="243" t="s">
        <v>143</v>
      </c>
      <c r="F57" s="247" t="s">
        <v>407</v>
      </c>
      <c r="G57" s="243" t="str">
        <f t="shared" si="1"/>
        <v>Northwestern</v>
      </c>
      <c r="H57" s="247" t="s">
        <v>407</v>
      </c>
    </row>
    <row r="58">
      <c r="A58" s="246" t="s">
        <v>144</v>
      </c>
      <c r="B58" s="247" t="s">
        <v>407</v>
      </c>
      <c r="C58" s="246" t="s">
        <v>144</v>
      </c>
      <c r="D58" s="247" t="s">
        <v>407</v>
      </c>
      <c r="E58" s="246" t="s">
        <v>144</v>
      </c>
      <c r="F58" s="247" t="s">
        <v>407</v>
      </c>
      <c r="G58" s="243" t="str">
        <f t="shared" si="1"/>
        <v>Ohio State</v>
      </c>
      <c r="H58" s="247" t="s">
        <v>407</v>
      </c>
    </row>
    <row r="59">
      <c r="A59" s="243" t="s">
        <v>192</v>
      </c>
      <c r="B59" s="247" t="s">
        <v>407</v>
      </c>
      <c r="C59" s="243" t="s">
        <v>192</v>
      </c>
      <c r="D59" s="247" t="s">
        <v>407</v>
      </c>
      <c r="E59" s="243" t="s">
        <v>192</v>
      </c>
      <c r="F59" s="247" t="s">
        <v>407</v>
      </c>
      <c r="G59" s="243" t="str">
        <f t="shared" si="1"/>
        <v>Oregon</v>
      </c>
      <c r="H59" s="247" t="s">
        <v>407</v>
      </c>
    </row>
    <row r="60">
      <c r="A60" s="246" t="s">
        <v>145</v>
      </c>
      <c r="B60" s="247" t="s">
        <v>407</v>
      </c>
      <c r="C60" s="246" t="s">
        <v>145</v>
      </c>
      <c r="D60" s="247" t="s">
        <v>407</v>
      </c>
      <c r="E60" s="246" t="s">
        <v>145</v>
      </c>
      <c r="F60" s="247" t="s">
        <v>407</v>
      </c>
      <c r="G60" s="243" t="str">
        <f t="shared" si="1"/>
        <v>Penn State</v>
      </c>
      <c r="H60" s="247" t="s">
        <v>407</v>
      </c>
    </row>
    <row r="61">
      <c r="A61" s="243" t="s">
        <v>146</v>
      </c>
      <c r="B61" s="247" t="s">
        <v>407</v>
      </c>
      <c r="C61" s="243" t="s">
        <v>146</v>
      </c>
      <c r="D61" s="247" t="s">
        <v>407</v>
      </c>
      <c r="E61" s="243" t="s">
        <v>146</v>
      </c>
      <c r="F61" s="247" t="s">
        <v>407</v>
      </c>
      <c r="G61" s="243" t="str">
        <f t="shared" si="1"/>
        <v>Purdue</v>
      </c>
      <c r="H61" s="247" t="s">
        <v>407</v>
      </c>
    </row>
    <row r="62">
      <c r="A62" s="243" t="s">
        <v>147</v>
      </c>
      <c r="B62" s="247" t="s">
        <v>407</v>
      </c>
      <c r="C62" s="243" t="s">
        <v>147</v>
      </c>
      <c r="D62" s="247" t="s">
        <v>407</v>
      </c>
      <c r="E62" s="243" t="s">
        <v>147</v>
      </c>
      <c r="F62" s="247" t="s">
        <v>407</v>
      </c>
      <c r="G62" s="243" t="str">
        <f t="shared" si="1"/>
        <v>Rutgers</v>
      </c>
      <c r="H62" s="247" t="s">
        <v>407</v>
      </c>
    </row>
    <row r="63">
      <c r="A63" s="246" t="s">
        <v>196</v>
      </c>
      <c r="B63" s="247" t="s">
        <v>407</v>
      </c>
      <c r="C63" s="246" t="s">
        <v>196</v>
      </c>
      <c r="D63" s="247" t="s">
        <v>407</v>
      </c>
      <c r="E63" s="246" t="s">
        <v>196</v>
      </c>
      <c r="F63" s="247" t="s">
        <v>407</v>
      </c>
      <c r="G63" s="243" t="str">
        <f t="shared" si="1"/>
        <v>UCLA</v>
      </c>
      <c r="H63" s="247" t="s">
        <v>407</v>
      </c>
    </row>
    <row r="64">
      <c r="A64" s="243" t="s">
        <v>197</v>
      </c>
      <c r="B64" s="247" t="s">
        <v>407</v>
      </c>
      <c r="C64" s="243" t="s">
        <v>197</v>
      </c>
      <c r="D64" s="247" t="s">
        <v>407</v>
      </c>
      <c r="E64" s="243" t="s">
        <v>197</v>
      </c>
      <c r="F64" s="247" t="s">
        <v>407</v>
      </c>
      <c r="G64" s="243" t="str">
        <f t="shared" si="1"/>
        <v>USC</v>
      </c>
      <c r="H64" s="247" t="s">
        <v>407</v>
      </c>
    </row>
    <row r="65">
      <c r="A65" s="243" t="s">
        <v>199</v>
      </c>
      <c r="B65" s="247" t="s">
        <v>407</v>
      </c>
      <c r="C65" s="243" t="s">
        <v>199</v>
      </c>
      <c r="D65" s="247" t="s">
        <v>407</v>
      </c>
      <c r="E65" s="243" t="s">
        <v>199</v>
      </c>
      <c r="F65" s="247" t="s">
        <v>407</v>
      </c>
      <c r="G65" s="243" t="str">
        <f t="shared" si="1"/>
        <v>Washington</v>
      </c>
      <c r="H65" s="247" t="s">
        <v>407</v>
      </c>
    </row>
    <row r="66">
      <c r="A66" s="243" t="s">
        <v>148</v>
      </c>
      <c r="B66" s="247" t="s">
        <v>407</v>
      </c>
      <c r="C66" s="243" t="s">
        <v>148</v>
      </c>
      <c r="D66" s="247" t="s">
        <v>407</v>
      </c>
      <c r="E66" s="243" t="s">
        <v>148</v>
      </c>
      <c r="F66" s="247" t="s">
        <v>407</v>
      </c>
      <c r="G66" s="243" t="str">
        <f t="shared" si="1"/>
        <v>Wisconsin</v>
      </c>
      <c r="H66" s="247" t="s">
        <v>407</v>
      </c>
    </row>
    <row r="67">
      <c r="A67" s="246" t="s">
        <v>235</v>
      </c>
      <c r="B67" s="242" t="s">
        <v>535</v>
      </c>
      <c r="C67" s="246" t="s">
        <v>235</v>
      </c>
      <c r="D67" s="242" t="s">
        <v>535</v>
      </c>
      <c r="E67" s="246" t="s">
        <v>235</v>
      </c>
      <c r="F67" s="242" t="s">
        <v>535</v>
      </c>
      <c r="G67" s="246" t="s">
        <v>235</v>
      </c>
      <c r="H67" s="242" t="s">
        <v>535</v>
      </c>
    </row>
    <row r="68">
      <c r="A68" s="246" t="s">
        <v>545</v>
      </c>
      <c r="B68" s="242" t="s">
        <v>535</v>
      </c>
      <c r="C68" s="246" t="s">
        <v>545</v>
      </c>
      <c r="D68" s="242" t="s">
        <v>535</v>
      </c>
      <c r="E68" s="246" t="s">
        <v>545</v>
      </c>
      <c r="F68" s="242" t="s">
        <v>535</v>
      </c>
      <c r="G68" s="243" t="str">
        <f t="shared" ref="G68:G73" si="2">A68</f>
        <v>Florida Intl</v>
      </c>
      <c r="H68" s="242" t="s">
        <v>535</v>
      </c>
    </row>
    <row r="69">
      <c r="A69" s="246" t="s">
        <v>232</v>
      </c>
      <c r="B69" s="242" t="s">
        <v>535</v>
      </c>
      <c r="C69" s="246" t="s">
        <v>232</v>
      </c>
      <c r="D69" s="242" t="s">
        <v>535</v>
      </c>
      <c r="E69" s="246" t="s">
        <v>232</v>
      </c>
      <c r="F69" s="242" t="s">
        <v>535</v>
      </c>
      <c r="G69" s="243" t="str">
        <f t="shared" si="2"/>
        <v>Jacksonville State</v>
      </c>
      <c r="H69" s="242" t="s">
        <v>535</v>
      </c>
    </row>
    <row r="70">
      <c r="A70" s="246" t="s">
        <v>233</v>
      </c>
      <c r="B70" s="242" t="s">
        <v>535</v>
      </c>
      <c r="C70" s="246" t="s">
        <v>233</v>
      </c>
      <c r="D70" s="242" t="s">
        <v>535</v>
      </c>
      <c r="E70" s="246" t="s">
        <v>233</v>
      </c>
      <c r="F70" s="242" t="s">
        <v>535</v>
      </c>
      <c r="G70" s="243" t="str">
        <f t="shared" si="2"/>
        <v>Kennesaw State</v>
      </c>
      <c r="H70" s="242" t="s">
        <v>535</v>
      </c>
    </row>
    <row r="71">
      <c r="A71" s="246" t="s">
        <v>227</v>
      </c>
      <c r="B71" s="242" t="s">
        <v>535</v>
      </c>
      <c r="C71" s="246" t="s">
        <v>227</v>
      </c>
      <c r="D71" s="242" t="s">
        <v>535</v>
      </c>
      <c r="E71" s="246" t="s">
        <v>227</v>
      </c>
      <c r="F71" s="242" t="s">
        <v>535</v>
      </c>
      <c r="G71" s="243" t="str">
        <f t="shared" si="2"/>
        <v>Liberty</v>
      </c>
      <c r="H71" s="242" t="s">
        <v>535</v>
      </c>
    </row>
    <row r="72">
      <c r="A72" s="243" t="s">
        <v>151</v>
      </c>
      <c r="B72" s="242" t="s">
        <v>535</v>
      </c>
      <c r="C72" s="243" t="s">
        <v>151</v>
      </c>
      <c r="D72" s="242" t="s">
        <v>535</v>
      </c>
      <c r="E72" s="243" t="s">
        <v>151</v>
      </c>
      <c r="F72" s="242" t="s">
        <v>535</v>
      </c>
      <c r="G72" s="243" t="str">
        <f t="shared" si="2"/>
        <v>Louisiana Tech</v>
      </c>
      <c r="H72" s="242" t="s">
        <v>535</v>
      </c>
    </row>
    <row r="73">
      <c r="A73" s="243" t="s">
        <v>153</v>
      </c>
      <c r="B73" s="242" t="s">
        <v>535</v>
      </c>
      <c r="C73" s="243" t="s">
        <v>153</v>
      </c>
      <c r="D73" s="242" t="s">
        <v>535</v>
      </c>
      <c r="E73" s="243" t="s">
        <v>153</v>
      </c>
      <c r="F73" s="242" t="s">
        <v>535</v>
      </c>
      <c r="G73" s="243" t="str">
        <f t="shared" si="2"/>
        <v>Middle Tennessee</v>
      </c>
      <c r="H73" s="242" t="s">
        <v>535</v>
      </c>
    </row>
    <row r="74">
      <c r="A74" s="246" t="s">
        <v>236</v>
      </c>
      <c r="B74" s="242" t="s">
        <v>535</v>
      </c>
      <c r="C74" s="246" t="s">
        <v>236</v>
      </c>
      <c r="D74" s="242" t="s">
        <v>535</v>
      </c>
      <c r="E74" s="246" t="s">
        <v>236</v>
      </c>
      <c r="F74" s="242" t="s">
        <v>535</v>
      </c>
      <c r="G74" s="246" t="s">
        <v>236</v>
      </c>
      <c r="H74" s="242" t="s">
        <v>535</v>
      </c>
    </row>
    <row r="75">
      <c r="A75" s="246" t="s">
        <v>228</v>
      </c>
      <c r="B75" s="242" t="s">
        <v>535</v>
      </c>
      <c r="C75" s="246" t="s">
        <v>228</v>
      </c>
      <c r="D75" s="242" t="s">
        <v>535</v>
      </c>
      <c r="E75" s="246" t="s">
        <v>228</v>
      </c>
      <c r="F75" s="242" t="s">
        <v>535</v>
      </c>
      <c r="G75" s="243" t="str">
        <f t="shared" ref="G75:G137" si="3">A75</f>
        <v>New Mexico State</v>
      </c>
      <c r="H75" s="242" t="s">
        <v>535</v>
      </c>
    </row>
    <row r="76">
      <c r="A76" s="246" t="s">
        <v>234</v>
      </c>
      <c r="B76" s="242" t="s">
        <v>535</v>
      </c>
      <c r="C76" s="246" t="s">
        <v>234</v>
      </c>
      <c r="D76" s="242" t="s">
        <v>535</v>
      </c>
      <c r="E76" s="246" t="s">
        <v>234</v>
      </c>
      <c r="F76" s="242" t="s">
        <v>535</v>
      </c>
      <c r="G76" s="243" t="str">
        <f t="shared" si="3"/>
        <v>Sam Houston</v>
      </c>
      <c r="H76" s="242" t="s">
        <v>535</v>
      </c>
    </row>
    <row r="77">
      <c r="A77" s="243" t="s">
        <v>160</v>
      </c>
      <c r="B77" s="242" t="s">
        <v>535</v>
      </c>
      <c r="C77" s="243" t="s">
        <v>160</v>
      </c>
      <c r="D77" s="242" t="s">
        <v>535</v>
      </c>
      <c r="E77" s="243" t="s">
        <v>160</v>
      </c>
      <c r="F77" s="242" t="s">
        <v>535</v>
      </c>
      <c r="G77" s="243" t="str">
        <f t="shared" si="3"/>
        <v>UTEP</v>
      </c>
      <c r="H77" s="242" t="s">
        <v>535</v>
      </c>
    </row>
    <row r="78">
      <c r="A78" s="246" t="s">
        <v>162</v>
      </c>
      <c r="B78" s="242" t="s">
        <v>535</v>
      </c>
      <c r="C78" s="246" t="s">
        <v>162</v>
      </c>
      <c r="D78" s="242" t="s">
        <v>535</v>
      </c>
      <c r="E78" s="246" t="s">
        <v>162</v>
      </c>
      <c r="F78" s="242" t="s">
        <v>535</v>
      </c>
      <c r="G78" s="243" t="str">
        <f t="shared" si="3"/>
        <v>Western Kentucky</v>
      </c>
      <c r="H78" s="242" t="s">
        <v>535</v>
      </c>
    </row>
    <row r="79">
      <c r="A79" s="243" t="s">
        <v>164</v>
      </c>
      <c r="B79" s="242" t="s">
        <v>530</v>
      </c>
      <c r="C79" s="243" t="s">
        <v>164</v>
      </c>
      <c r="D79" s="242" t="s">
        <v>530</v>
      </c>
      <c r="E79" s="243" t="s">
        <v>164</v>
      </c>
      <c r="F79" s="242" t="s">
        <v>530</v>
      </c>
      <c r="G79" s="243" t="str">
        <f t="shared" si="3"/>
        <v>Akron</v>
      </c>
      <c r="H79" s="242" t="s">
        <v>530</v>
      </c>
    </row>
    <row r="80">
      <c r="A80" s="246" t="s">
        <v>165</v>
      </c>
      <c r="B80" s="242" t="s">
        <v>530</v>
      </c>
      <c r="C80" s="246" t="s">
        <v>165</v>
      </c>
      <c r="D80" s="242" t="s">
        <v>530</v>
      </c>
      <c r="E80" s="246" t="s">
        <v>165</v>
      </c>
      <c r="F80" s="242" t="s">
        <v>530</v>
      </c>
      <c r="G80" s="243" t="str">
        <f t="shared" si="3"/>
        <v>Ball State</v>
      </c>
      <c r="H80" s="242" t="s">
        <v>530</v>
      </c>
    </row>
    <row r="81">
      <c r="A81" s="243" t="s">
        <v>166</v>
      </c>
      <c r="B81" s="242" t="s">
        <v>530</v>
      </c>
      <c r="C81" s="243" t="s">
        <v>166</v>
      </c>
      <c r="D81" s="242" t="s">
        <v>530</v>
      </c>
      <c r="E81" s="243" t="s">
        <v>166</v>
      </c>
      <c r="F81" s="242" t="s">
        <v>530</v>
      </c>
      <c r="G81" s="243" t="str">
        <f t="shared" si="3"/>
        <v>Bowling Green</v>
      </c>
      <c r="H81" s="242" t="s">
        <v>530</v>
      </c>
    </row>
    <row r="82">
      <c r="A82" s="243" t="s">
        <v>167</v>
      </c>
      <c r="B82" s="242" t="s">
        <v>530</v>
      </c>
      <c r="C82" s="243" t="s">
        <v>167</v>
      </c>
      <c r="D82" s="242" t="s">
        <v>530</v>
      </c>
      <c r="E82" s="243" t="s">
        <v>167</v>
      </c>
      <c r="F82" s="242" t="s">
        <v>530</v>
      </c>
      <c r="G82" s="243" t="str">
        <f t="shared" si="3"/>
        <v>Buffalo</v>
      </c>
      <c r="H82" s="242" t="s">
        <v>530</v>
      </c>
    </row>
    <row r="83">
      <c r="A83" s="243" t="s">
        <v>168</v>
      </c>
      <c r="B83" s="242" t="s">
        <v>530</v>
      </c>
      <c r="C83" s="243" t="s">
        <v>168</v>
      </c>
      <c r="D83" s="242" t="s">
        <v>530</v>
      </c>
      <c r="E83" s="243" t="s">
        <v>168</v>
      </c>
      <c r="F83" s="242" t="s">
        <v>530</v>
      </c>
      <c r="G83" s="243" t="str">
        <f t="shared" si="3"/>
        <v>Central Michigan</v>
      </c>
      <c r="H83" s="242" t="s">
        <v>530</v>
      </c>
    </row>
    <row r="84">
      <c r="A84" s="244" t="s">
        <v>304</v>
      </c>
      <c r="B84" s="242" t="s">
        <v>530</v>
      </c>
      <c r="C84" s="244" t="s">
        <v>304</v>
      </c>
      <c r="D84" s="242" t="s">
        <v>530</v>
      </c>
      <c r="E84" s="244" t="s">
        <v>304</v>
      </c>
      <c r="F84" s="242" t="s">
        <v>530</v>
      </c>
      <c r="G84" s="243" t="str">
        <f t="shared" si="3"/>
        <v>EMU</v>
      </c>
      <c r="H84" s="242" t="s">
        <v>530</v>
      </c>
    </row>
    <row r="85">
      <c r="A85" s="246" t="s">
        <v>170</v>
      </c>
      <c r="B85" s="242" t="s">
        <v>530</v>
      </c>
      <c r="C85" s="246" t="s">
        <v>170</v>
      </c>
      <c r="D85" s="242" t="s">
        <v>530</v>
      </c>
      <c r="E85" s="246" t="s">
        <v>170</v>
      </c>
      <c r="F85" s="242" t="s">
        <v>530</v>
      </c>
      <c r="G85" s="243" t="str">
        <f t="shared" si="3"/>
        <v>Kent State</v>
      </c>
      <c r="H85" s="242" t="s">
        <v>530</v>
      </c>
    </row>
    <row r="86">
      <c r="A86" s="246" t="s">
        <v>548</v>
      </c>
      <c r="B86" s="242" t="s">
        <v>530</v>
      </c>
      <c r="C86" s="246" t="s">
        <v>548</v>
      </c>
      <c r="D86" s="242" t="s">
        <v>530</v>
      </c>
      <c r="E86" s="246" t="s">
        <v>548</v>
      </c>
      <c r="F86" s="242" t="s">
        <v>530</v>
      </c>
      <c r="G86" s="243" t="str">
        <f t="shared" si="3"/>
        <v>Miami-OH</v>
      </c>
      <c r="H86" s="242" t="s">
        <v>530</v>
      </c>
    </row>
    <row r="87">
      <c r="A87" s="243" t="s">
        <v>172</v>
      </c>
      <c r="B87" s="242" t="s">
        <v>530</v>
      </c>
      <c r="C87" s="243" t="s">
        <v>172</v>
      </c>
      <c r="D87" s="242" t="s">
        <v>530</v>
      </c>
      <c r="E87" s="243" t="s">
        <v>172</v>
      </c>
      <c r="F87" s="242" t="s">
        <v>530</v>
      </c>
      <c r="G87" s="243" t="str">
        <f t="shared" si="3"/>
        <v>Northern Illinois</v>
      </c>
      <c r="H87" s="242" t="s">
        <v>530</v>
      </c>
    </row>
    <row r="88">
      <c r="A88" s="243" t="s">
        <v>173</v>
      </c>
      <c r="B88" s="242" t="s">
        <v>530</v>
      </c>
      <c r="C88" s="243" t="s">
        <v>173</v>
      </c>
      <c r="D88" s="242" t="s">
        <v>530</v>
      </c>
      <c r="E88" s="243" t="s">
        <v>173</v>
      </c>
      <c r="F88" s="242" t="s">
        <v>530</v>
      </c>
      <c r="G88" s="243" t="str">
        <f t="shared" si="3"/>
        <v>Ohio</v>
      </c>
      <c r="H88" s="242" t="s">
        <v>530</v>
      </c>
    </row>
    <row r="89">
      <c r="A89" s="243" t="s">
        <v>174</v>
      </c>
      <c r="B89" s="242" t="s">
        <v>530</v>
      </c>
      <c r="C89" s="243" t="s">
        <v>174</v>
      </c>
      <c r="D89" s="242" t="s">
        <v>530</v>
      </c>
      <c r="E89" s="243" t="s">
        <v>174</v>
      </c>
      <c r="F89" s="242" t="s">
        <v>530</v>
      </c>
      <c r="G89" s="243" t="str">
        <f t="shared" si="3"/>
        <v>Toledo</v>
      </c>
      <c r="H89" s="242" t="s">
        <v>530</v>
      </c>
    </row>
    <row r="90">
      <c r="A90" s="1" t="s">
        <v>527</v>
      </c>
      <c r="B90" s="242" t="s">
        <v>530</v>
      </c>
      <c r="C90" s="1" t="s">
        <v>527</v>
      </c>
      <c r="D90" s="242" t="s">
        <v>530</v>
      </c>
      <c r="E90" s="1" t="s">
        <v>527</v>
      </c>
      <c r="F90" s="242" t="s">
        <v>530</v>
      </c>
      <c r="G90" s="243" t="str">
        <f t="shared" si="3"/>
        <v>UMASS</v>
      </c>
      <c r="H90" s="242" t="s">
        <v>530</v>
      </c>
    </row>
    <row r="91">
      <c r="A91" s="243" t="s">
        <v>175</v>
      </c>
      <c r="B91" s="242" t="s">
        <v>530</v>
      </c>
      <c r="C91" s="243" t="s">
        <v>175</v>
      </c>
      <c r="D91" s="242" t="s">
        <v>530</v>
      </c>
      <c r="E91" s="243" t="s">
        <v>175</v>
      </c>
      <c r="F91" s="242" t="s">
        <v>530</v>
      </c>
      <c r="G91" s="243" t="str">
        <f t="shared" si="3"/>
        <v>Western Michigan</v>
      </c>
      <c r="H91" s="242" t="s">
        <v>530</v>
      </c>
    </row>
    <row r="92">
      <c r="A92" s="243" t="s">
        <v>176</v>
      </c>
      <c r="B92" s="242" t="s">
        <v>525</v>
      </c>
      <c r="C92" s="243" t="s">
        <v>176</v>
      </c>
      <c r="D92" s="242" t="s">
        <v>525</v>
      </c>
      <c r="E92" s="243" t="s">
        <v>176</v>
      </c>
      <c r="F92" s="242" t="s">
        <v>525</v>
      </c>
      <c r="G92" s="243" t="str">
        <f t="shared" si="3"/>
        <v>Air Force</v>
      </c>
      <c r="H92" s="242" t="s">
        <v>525</v>
      </c>
    </row>
    <row r="93">
      <c r="A93" s="246" t="s">
        <v>177</v>
      </c>
      <c r="B93" s="242" t="s">
        <v>525</v>
      </c>
      <c r="C93" s="246" t="s">
        <v>177</v>
      </c>
      <c r="D93" s="242" t="s">
        <v>525</v>
      </c>
      <c r="E93" s="246" t="s">
        <v>177</v>
      </c>
      <c r="F93" s="242" t="s">
        <v>525</v>
      </c>
      <c r="G93" s="243" t="str">
        <f t="shared" si="3"/>
        <v>Boise State</v>
      </c>
      <c r="H93" s="242" t="s">
        <v>525</v>
      </c>
    </row>
    <row r="94">
      <c r="A94" s="246" t="s">
        <v>178</v>
      </c>
      <c r="B94" s="242" t="s">
        <v>525</v>
      </c>
      <c r="C94" s="246" t="s">
        <v>178</v>
      </c>
      <c r="D94" s="242" t="s">
        <v>525</v>
      </c>
      <c r="E94" s="246" t="s">
        <v>178</v>
      </c>
      <c r="F94" s="242" t="s">
        <v>525</v>
      </c>
      <c r="G94" s="243" t="str">
        <f t="shared" si="3"/>
        <v>Colorado State</v>
      </c>
      <c r="H94" s="242" t="s">
        <v>525</v>
      </c>
    </row>
    <row r="95">
      <c r="A95" s="246" t="s">
        <v>179</v>
      </c>
      <c r="B95" s="242" t="s">
        <v>525</v>
      </c>
      <c r="C95" s="246" t="s">
        <v>179</v>
      </c>
      <c r="D95" s="242" t="s">
        <v>525</v>
      </c>
      <c r="E95" s="246" t="s">
        <v>179</v>
      </c>
      <c r="F95" s="242" t="s">
        <v>525</v>
      </c>
      <c r="G95" s="243" t="str">
        <f t="shared" si="3"/>
        <v>Fresno State</v>
      </c>
      <c r="H95" s="242" t="s">
        <v>525</v>
      </c>
    </row>
    <row r="96">
      <c r="A96" s="243" t="s">
        <v>536</v>
      </c>
      <c r="B96" s="242" t="s">
        <v>525</v>
      </c>
      <c r="C96" s="243" t="s">
        <v>536</v>
      </c>
      <c r="D96" s="242" t="s">
        <v>525</v>
      </c>
      <c r="E96" s="243" t="s">
        <v>536</v>
      </c>
      <c r="F96" s="242" t="s">
        <v>525</v>
      </c>
      <c r="G96" s="243" t="str">
        <f t="shared" si="3"/>
        <v>Hawaii</v>
      </c>
      <c r="H96" s="242" t="s">
        <v>525</v>
      </c>
    </row>
    <row r="97">
      <c r="A97" s="243" t="s">
        <v>181</v>
      </c>
      <c r="B97" s="242" t="s">
        <v>525</v>
      </c>
      <c r="C97" s="243" t="s">
        <v>181</v>
      </c>
      <c r="D97" s="242" t="s">
        <v>525</v>
      </c>
      <c r="E97" s="243" t="s">
        <v>181</v>
      </c>
      <c r="F97" s="242" t="s">
        <v>525</v>
      </c>
      <c r="G97" s="243" t="str">
        <f t="shared" si="3"/>
        <v>Nevada</v>
      </c>
      <c r="H97" s="242" t="s">
        <v>525</v>
      </c>
    </row>
    <row r="98">
      <c r="A98" s="243" t="s">
        <v>182</v>
      </c>
      <c r="B98" s="242" t="s">
        <v>525</v>
      </c>
      <c r="C98" s="243" t="s">
        <v>182</v>
      </c>
      <c r="D98" s="242" t="s">
        <v>525</v>
      </c>
      <c r="E98" s="243" t="s">
        <v>182</v>
      </c>
      <c r="F98" s="242" t="s">
        <v>525</v>
      </c>
      <c r="G98" s="243" t="str">
        <f t="shared" si="3"/>
        <v>New Mexico</v>
      </c>
      <c r="H98" s="242" t="s">
        <v>525</v>
      </c>
    </row>
    <row r="99">
      <c r="A99" s="246" t="s">
        <v>183</v>
      </c>
      <c r="B99" s="242" t="s">
        <v>525</v>
      </c>
      <c r="C99" s="246" t="s">
        <v>183</v>
      </c>
      <c r="D99" s="242" t="s">
        <v>525</v>
      </c>
      <c r="E99" s="246" t="s">
        <v>183</v>
      </c>
      <c r="F99" s="242" t="s">
        <v>525</v>
      </c>
      <c r="G99" s="243" t="str">
        <f t="shared" si="3"/>
        <v>San Diego State</v>
      </c>
      <c r="H99" s="242" t="s">
        <v>525</v>
      </c>
    </row>
    <row r="100">
      <c r="A100" s="246" t="s">
        <v>549</v>
      </c>
      <c r="B100" s="242" t="s">
        <v>525</v>
      </c>
      <c r="C100" s="246" t="s">
        <v>549</v>
      </c>
      <c r="D100" s="242" t="s">
        <v>525</v>
      </c>
      <c r="E100" s="246" t="s">
        <v>549</v>
      </c>
      <c r="F100" s="242" t="s">
        <v>525</v>
      </c>
      <c r="G100" s="243" t="str">
        <f t="shared" si="3"/>
        <v>San José State</v>
      </c>
      <c r="H100" s="242" t="s">
        <v>525</v>
      </c>
    </row>
    <row r="101">
      <c r="A101" s="243" t="s">
        <v>185</v>
      </c>
      <c r="B101" s="242" t="s">
        <v>525</v>
      </c>
      <c r="C101" s="243" t="s">
        <v>185</v>
      </c>
      <c r="D101" s="242" t="s">
        <v>525</v>
      </c>
      <c r="E101" s="243" t="s">
        <v>185</v>
      </c>
      <c r="F101" s="242" t="s">
        <v>525</v>
      </c>
      <c r="G101" s="243" t="str">
        <f t="shared" si="3"/>
        <v>UNLV</v>
      </c>
      <c r="H101" s="242" t="s">
        <v>525</v>
      </c>
    </row>
    <row r="102">
      <c r="A102" s="246" t="s">
        <v>186</v>
      </c>
      <c r="B102" s="242" t="s">
        <v>525</v>
      </c>
      <c r="C102" s="246" t="s">
        <v>186</v>
      </c>
      <c r="D102" s="242" t="s">
        <v>525</v>
      </c>
      <c r="E102" s="246" t="s">
        <v>186</v>
      </c>
      <c r="F102" s="242" t="s">
        <v>525</v>
      </c>
      <c r="G102" s="243" t="str">
        <f t="shared" si="3"/>
        <v>Utah State</v>
      </c>
      <c r="H102" s="242" t="s">
        <v>525</v>
      </c>
    </row>
    <row r="103">
      <c r="A103" s="243" t="s">
        <v>187</v>
      </c>
      <c r="B103" s="242" t="s">
        <v>525</v>
      </c>
      <c r="C103" s="243" t="s">
        <v>187</v>
      </c>
      <c r="D103" s="242" t="s">
        <v>525</v>
      </c>
      <c r="E103" s="243" t="s">
        <v>187</v>
      </c>
      <c r="F103" s="242" t="s">
        <v>525</v>
      </c>
      <c r="G103" s="243" t="str">
        <f t="shared" si="3"/>
        <v>Wyoming</v>
      </c>
      <c r="H103" s="242" t="s">
        <v>525</v>
      </c>
    </row>
    <row r="104">
      <c r="A104" s="246" t="s">
        <v>194</v>
      </c>
      <c r="B104" s="242" t="s">
        <v>680</v>
      </c>
      <c r="C104" s="246" t="s">
        <v>194</v>
      </c>
      <c r="D104" s="242" t="s">
        <v>680</v>
      </c>
      <c r="E104" s="246" t="s">
        <v>194</v>
      </c>
      <c r="F104" s="242" t="s">
        <v>680</v>
      </c>
      <c r="G104" s="243" t="str">
        <f t="shared" si="3"/>
        <v>Oregon State</v>
      </c>
      <c r="H104" s="242" t="s">
        <v>535</v>
      </c>
    </row>
    <row r="105">
      <c r="A105" s="246" t="s">
        <v>200</v>
      </c>
      <c r="B105" s="242" t="s">
        <v>680</v>
      </c>
      <c r="C105" s="246" t="s">
        <v>200</v>
      </c>
      <c r="D105" s="242" t="s">
        <v>680</v>
      </c>
      <c r="E105" s="246" t="s">
        <v>200</v>
      </c>
      <c r="F105" s="242" t="s">
        <v>680</v>
      </c>
      <c r="G105" s="243" t="str">
        <f t="shared" si="3"/>
        <v>Washington State</v>
      </c>
      <c r="H105" s="242" t="s">
        <v>525</v>
      </c>
    </row>
    <row r="106">
      <c r="A106" s="246" t="s">
        <v>201</v>
      </c>
      <c r="B106" s="247" t="s">
        <v>556</v>
      </c>
      <c r="C106" s="246" t="s">
        <v>201</v>
      </c>
      <c r="D106" s="247" t="s">
        <v>556</v>
      </c>
      <c r="E106" s="246" t="s">
        <v>201</v>
      </c>
      <c r="F106" s="247" t="s">
        <v>556</v>
      </c>
      <c r="G106" s="243" t="str">
        <f t="shared" si="3"/>
        <v>Alabama</v>
      </c>
      <c r="H106" s="247" t="s">
        <v>556</v>
      </c>
    </row>
    <row r="107">
      <c r="A107" s="243" t="s">
        <v>202</v>
      </c>
      <c r="B107" s="247" t="s">
        <v>556</v>
      </c>
      <c r="C107" s="243" t="s">
        <v>202</v>
      </c>
      <c r="D107" s="247" t="s">
        <v>556</v>
      </c>
      <c r="E107" s="243" t="s">
        <v>202</v>
      </c>
      <c r="F107" s="247" t="s">
        <v>556</v>
      </c>
      <c r="G107" s="243" t="str">
        <f t="shared" si="3"/>
        <v>Arkansas</v>
      </c>
      <c r="H107" s="247" t="s">
        <v>556</v>
      </c>
    </row>
    <row r="108">
      <c r="A108" s="243" t="s">
        <v>45</v>
      </c>
      <c r="B108" s="247" t="s">
        <v>556</v>
      </c>
      <c r="C108" s="243" t="s">
        <v>45</v>
      </c>
      <c r="D108" s="247" t="s">
        <v>556</v>
      </c>
      <c r="E108" s="243" t="s">
        <v>45</v>
      </c>
      <c r="F108" s="247" t="s">
        <v>556</v>
      </c>
      <c r="G108" s="243" t="str">
        <f t="shared" si="3"/>
        <v>Auburn</v>
      </c>
      <c r="H108" s="247" t="s">
        <v>556</v>
      </c>
    </row>
    <row r="109">
      <c r="A109" s="243" t="s">
        <v>203</v>
      </c>
      <c r="B109" s="247" t="s">
        <v>556</v>
      </c>
      <c r="C109" s="243" t="s">
        <v>203</v>
      </c>
      <c r="D109" s="247" t="s">
        <v>556</v>
      </c>
      <c r="E109" s="243" t="s">
        <v>203</v>
      </c>
      <c r="F109" s="247" t="s">
        <v>556</v>
      </c>
      <c r="G109" s="243" t="str">
        <f t="shared" si="3"/>
        <v>Florida</v>
      </c>
      <c r="H109" s="247" t="s">
        <v>556</v>
      </c>
    </row>
    <row r="110">
      <c r="A110" s="243" t="s">
        <v>204</v>
      </c>
      <c r="B110" s="247" t="s">
        <v>556</v>
      </c>
      <c r="C110" s="243" t="s">
        <v>204</v>
      </c>
      <c r="D110" s="247" t="s">
        <v>556</v>
      </c>
      <c r="E110" s="243" t="s">
        <v>204</v>
      </c>
      <c r="F110" s="247" t="s">
        <v>556</v>
      </c>
      <c r="G110" s="243" t="str">
        <f t="shared" si="3"/>
        <v>Georgia</v>
      </c>
      <c r="H110" s="247" t="s">
        <v>556</v>
      </c>
    </row>
    <row r="111">
      <c r="A111" s="243" t="s">
        <v>205</v>
      </c>
      <c r="B111" s="247" t="s">
        <v>556</v>
      </c>
      <c r="C111" s="243" t="s">
        <v>205</v>
      </c>
      <c r="D111" s="247" t="s">
        <v>556</v>
      </c>
      <c r="E111" s="243" t="s">
        <v>205</v>
      </c>
      <c r="F111" s="247" t="s">
        <v>556</v>
      </c>
      <c r="G111" s="243" t="str">
        <f t="shared" si="3"/>
        <v>Kentucky</v>
      </c>
      <c r="H111" s="247" t="s">
        <v>556</v>
      </c>
    </row>
    <row r="112">
      <c r="A112" s="243" t="s">
        <v>206</v>
      </c>
      <c r="B112" s="247" t="s">
        <v>556</v>
      </c>
      <c r="C112" s="243" t="s">
        <v>206</v>
      </c>
      <c r="D112" s="247" t="s">
        <v>556</v>
      </c>
      <c r="E112" s="243" t="s">
        <v>206</v>
      </c>
      <c r="F112" s="247" t="s">
        <v>556</v>
      </c>
      <c r="G112" s="243" t="str">
        <f t="shared" si="3"/>
        <v>LSU</v>
      </c>
      <c r="H112" s="247" t="s">
        <v>556</v>
      </c>
    </row>
    <row r="113">
      <c r="A113" s="246" t="s">
        <v>207</v>
      </c>
      <c r="B113" s="247" t="s">
        <v>556</v>
      </c>
      <c r="C113" s="246" t="s">
        <v>207</v>
      </c>
      <c r="D113" s="247" t="s">
        <v>556</v>
      </c>
      <c r="E113" s="246" t="s">
        <v>207</v>
      </c>
      <c r="F113" s="247" t="s">
        <v>556</v>
      </c>
      <c r="G113" s="243" t="str">
        <f t="shared" si="3"/>
        <v>Mississippi State</v>
      </c>
      <c r="H113" s="247" t="s">
        <v>556</v>
      </c>
    </row>
    <row r="114">
      <c r="A114" s="243" t="s">
        <v>208</v>
      </c>
      <c r="B114" s="247" t="s">
        <v>556</v>
      </c>
      <c r="C114" s="243" t="s">
        <v>208</v>
      </c>
      <c r="D114" s="247" t="s">
        <v>556</v>
      </c>
      <c r="E114" s="243" t="s">
        <v>208</v>
      </c>
      <c r="F114" s="247" t="s">
        <v>556</v>
      </c>
      <c r="G114" s="243" t="str">
        <f t="shared" si="3"/>
        <v>Missouri</v>
      </c>
      <c r="H114" s="247" t="s">
        <v>556</v>
      </c>
    </row>
    <row r="115">
      <c r="A115" s="243" t="s">
        <v>128</v>
      </c>
      <c r="B115" s="242" t="s">
        <v>556</v>
      </c>
      <c r="C115" s="243" t="s">
        <v>128</v>
      </c>
      <c r="D115" s="242" t="s">
        <v>556</v>
      </c>
      <c r="E115" s="243" t="s">
        <v>128</v>
      </c>
      <c r="F115" s="242" t="s">
        <v>556</v>
      </c>
      <c r="G115" s="243" t="str">
        <f t="shared" si="3"/>
        <v>Oklahoma</v>
      </c>
      <c r="H115" s="242" t="s">
        <v>556</v>
      </c>
    </row>
    <row r="116">
      <c r="A116" s="243" t="s">
        <v>209</v>
      </c>
      <c r="B116" s="247" t="s">
        <v>556</v>
      </c>
      <c r="C116" s="243" t="s">
        <v>209</v>
      </c>
      <c r="D116" s="247" t="s">
        <v>556</v>
      </c>
      <c r="E116" s="243" t="s">
        <v>209</v>
      </c>
      <c r="F116" s="247" t="s">
        <v>556</v>
      </c>
      <c r="G116" s="243" t="str">
        <f t="shared" si="3"/>
        <v>Ole Miss</v>
      </c>
      <c r="H116" s="247" t="s">
        <v>556</v>
      </c>
    </row>
    <row r="117">
      <c r="A117" s="243" t="s">
        <v>210</v>
      </c>
      <c r="B117" s="247" t="s">
        <v>556</v>
      </c>
      <c r="C117" s="243" t="s">
        <v>210</v>
      </c>
      <c r="D117" s="247" t="s">
        <v>556</v>
      </c>
      <c r="E117" s="243" t="s">
        <v>210</v>
      </c>
      <c r="F117" s="247" t="s">
        <v>556</v>
      </c>
      <c r="G117" s="243" t="str">
        <f t="shared" si="3"/>
        <v>South Carolina</v>
      </c>
      <c r="H117" s="247" t="s">
        <v>556</v>
      </c>
    </row>
    <row r="118">
      <c r="A118" s="243" t="s">
        <v>211</v>
      </c>
      <c r="B118" s="247" t="s">
        <v>556</v>
      </c>
      <c r="C118" s="243" t="s">
        <v>211</v>
      </c>
      <c r="D118" s="247" t="s">
        <v>556</v>
      </c>
      <c r="E118" s="243" t="s">
        <v>211</v>
      </c>
      <c r="F118" s="247" t="s">
        <v>556</v>
      </c>
      <c r="G118" s="243" t="str">
        <f t="shared" si="3"/>
        <v>Tennessee</v>
      </c>
      <c r="H118" s="247" t="s">
        <v>556</v>
      </c>
    </row>
    <row r="119">
      <c r="A119" s="243" t="s">
        <v>131</v>
      </c>
      <c r="B119" s="242" t="s">
        <v>556</v>
      </c>
      <c r="C119" s="243" t="s">
        <v>131</v>
      </c>
      <c r="D119" s="242" t="s">
        <v>556</v>
      </c>
      <c r="E119" s="243" t="s">
        <v>131</v>
      </c>
      <c r="F119" s="242" t="s">
        <v>556</v>
      </c>
      <c r="G119" s="243" t="str">
        <f t="shared" si="3"/>
        <v>Texas</v>
      </c>
      <c r="H119" s="242" t="s">
        <v>556</v>
      </c>
    </row>
    <row r="120">
      <c r="A120" s="243" t="s">
        <v>539</v>
      </c>
      <c r="B120" s="247" t="s">
        <v>556</v>
      </c>
      <c r="C120" s="243" t="s">
        <v>539</v>
      </c>
      <c r="D120" s="247" t="s">
        <v>556</v>
      </c>
      <c r="E120" s="243" t="s">
        <v>539</v>
      </c>
      <c r="F120" s="247" t="s">
        <v>556</v>
      </c>
      <c r="G120" s="243" t="str">
        <f t="shared" si="3"/>
        <v>Texas A&amp;M</v>
      </c>
      <c r="H120" s="247" t="s">
        <v>556</v>
      </c>
    </row>
    <row r="121">
      <c r="A121" s="243" t="s">
        <v>213</v>
      </c>
      <c r="B121" s="247" t="s">
        <v>556</v>
      </c>
      <c r="C121" s="243" t="s">
        <v>213</v>
      </c>
      <c r="D121" s="247" t="s">
        <v>556</v>
      </c>
      <c r="E121" s="243" t="s">
        <v>213</v>
      </c>
      <c r="F121" s="247" t="s">
        <v>556</v>
      </c>
      <c r="G121" s="243" t="str">
        <f t="shared" si="3"/>
        <v>Vanderbilt</v>
      </c>
      <c r="H121" s="247" t="s">
        <v>556</v>
      </c>
    </row>
    <row r="122">
      <c r="A122" s="246" t="s">
        <v>422</v>
      </c>
      <c r="B122" s="247" t="s">
        <v>441</v>
      </c>
      <c r="C122" s="246" t="s">
        <v>422</v>
      </c>
      <c r="D122" s="247" t="s">
        <v>441</v>
      </c>
      <c r="E122" s="246" t="s">
        <v>422</v>
      </c>
      <c r="F122" s="247" t="s">
        <v>441</v>
      </c>
      <c r="G122" s="243" t="str">
        <f t="shared" si="3"/>
        <v>Appalachian State</v>
      </c>
      <c r="H122" s="247" t="s">
        <v>441</v>
      </c>
    </row>
    <row r="123">
      <c r="A123" s="246" t="s">
        <v>215</v>
      </c>
      <c r="B123" s="247" t="s">
        <v>441</v>
      </c>
      <c r="C123" s="246" t="s">
        <v>215</v>
      </c>
      <c r="D123" s="247" t="s">
        <v>441</v>
      </c>
      <c r="E123" s="246" t="s">
        <v>215</v>
      </c>
      <c r="F123" s="247" t="s">
        <v>441</v>
      </c>
      <c r="G123" s="243" t="str">
        <f t="shared" si="3"/>
        <v>Arkansas State</v>
      </c>
      <c r="H123" s="247" t="s">
        <v>441</v>
      </c>
    </row>
    <row r="124">
      <c r="A124" s="246" t="s">
        <v>223</v>
      </c>
      <c r="B124" s="247" t="s">
        <v>441</v>
      </c>
      <c r="C124" s="246" t="s">
        <v>223</v>
      </c>
      <c r="D124" s="247" t="s">
        <v>441</v>
      </c>
      <c r="E124" s="246" t="s">
        <v>223</v>
      </c>
      <c r="F124" s="247" t="s">
        <v>441</v>
      </c>
      <c r="G124" s="243" t="str">
        <f t="shared" si="3"/>
        <v>Coastal Carolina</v>
      </c>
      <c r="H124" s="247" t="s">
        <v>441</v>
      </c>
    </row>
    <row r="125">
      <c r="A125" s="246" t="s">
        <v>216</v>
      </c>
      <c r="B125" s="247" t="s">
        <v>441</v>
      </c>
      <c r="C125" s="246" t="s">
        <v>216</v>
      </c>
      <c r="D125" s="247" t="s">
        <v>441</v>
      </c>
      <c r="E125" s="246" t="s">
        <v>216</v>
      </c>
      <c r="F125" s="247" t="s">
        <v>441</v>
      </c>
      <c r="G125" s="243" t="str">
        <f t="shared" si="3"/>
        <v>Georgia Southern</v>
      </c>
      <c r="H125" s="247" t="s">
        <v>441</v>
      </c>
    </row>
    <row r="126">
      <c r="A126" s="246" t="s">
        <v>217</v>
      </c>
      <c r="B126" s="247" t="s">
        <v>441</v>
      </c>
      <c r="C126" s="246" t="s">
        <v>217</v>
      </c>
      <c r="D126" s="247" t="s">
        <v>441</v>
      </c>
      <c r="E126" s="246" t="s">
        <v>217</v>
      </c>
      <c r="F126" s="247" t="s">
        <v>441</v>
      </c>
      <c r="G126" s="243" t="str">
        <f t="shared" si="3"/>
        <v>Georgia State</v>
      </c>
      <c r="H126" s="247" t="s">
        <v>441</v>
      </c>
    </row>
    <row r="127">
      <c r="A127" s="1" t="s">
        <v>231</v>
      </c>
      <c r="B127" s="247" t="s">
        <v>441</v>
      </c>
      <c r="C127" s="1" t="s">
        <v>231</v>
      </c>
      <c r="D127" s="247" t="s">
        <v>441</v>
      </c>
      <c r="E127" s="1" t="s">
        <v>231</v>
      </c>
      <c r="F127" s="247" t="s">
        <v>441</v>
      </c>
      <c r="G127" s="243" t="str">
        <f t="shared" si="3"/>
        <v>James Madison</v>
      </c>
      <c r="H127" s="247" t="s">
        <v>441</v>
      </c>
    </row>
    <row r="128">
      <c r="A128" s="243" t="s">
        <v>152</v>
      </c>
      <c r="B128" s="242" t="s">
        <v>441</v>
      </c>
      <c r="C128" s="243" t="s">
        <v>152</v>
      </c>
      <c r="D128" s="242" t="s">
        <v>441</v>
      </c>
      <c r="E128" s="243" t="s">
        <v>152</v>
      </c>
      <c r="F128" s="242" t="s">
        <v>441</v>
      </c>
      <c r="G128" s="243" t="str">
        <f t="shared" si="3"/>
        <v>Marshall</v>
      </c>
      <c r="H128" s="242" t="s">
        <v>441</v>
      </c>
    </row>
    <row r="129">
      <c r="A129" s="243" t="s">
        <v>155</v>
      </c>
      <c r="B129" s="242" t="s">
        <v>441</v>
      </c>
      <c r="C129" s="243" t="s">
        <v>155</v>
      </c>
      <c r="D129" s="242" t="s">
        <v>441</v>
      </c>
      <c r="E129" s="243" t="s">
        <v>155</v>
      </c>
      <c r="F129" s="242" t="s">
        <v>441</v>
      </c>
      <c r="G129" s="243" t="str">
        <f t="shared" si="3"/>
        <v>Old Dominion</v>
      </c>
      <c r="H129" s="242" t="s">
        <v>441</v>
      </c>
    </row>
    <row r="130">
      <c r="A130" s="243" t="s">
        <v>220</v>
      </c>
      <c r="B130" s="247" t="s">
        <v>441</v>
      </c>
      <c r="C130" s="243" t="s">
        <v>220</v>
      </c>
      <c r="D130" s="247" t="s">
        <v>441</v>
      </c>
      <c r="E130" s="243" t="s">
        <v>220</v>
      </c>
      <c r="F130" s="247" t="s">
        <v>441</v>
      </c>
      <c r="G130" s="243" t="str">
        <f t="shared" si="3"/>
        <v>South Alabama</v>
      </c>
      <c r="H130" s="247" t="s">
        <v>441</v>
      </c>
    </row>
    <row r="131">
      <c r="A131" s="246" t="s">
        <v>546</v>
      </c>
      <c r="B131" s="242" t="s">
        <v>441</v>
      </c>
      <c r="C131" s="246" t="s">
        <v>546</v>
      </c>
      <c r="D131" s="242" t="s">
        <v>441</v>
      </c>
      <c r="E131" s="246" t="s">
        <v>546</v>
      </c>
      <c r="F131" s="242" t="s">
        <v>441</v>
      </c>
      <c r="G131" s="243" t="str">
        <f t="shared" si="3"/>
        <v>Southern Mississippi</v>
      </c>
      <c r="H131" s="242" t="s">
        <v>441</v>
      </c>
    </row>
    <row r="132">
      <c r="A132" s="246" t="s">
        <v>221</v>
      </c>
      <c r="B132" s="247" t="s">
        <v>441</v>
      </c>
      <c r="C132" s="246" t="s">
        <v>221</v>
      </c>
      <c r="D132" s="247" t="s">
        <v>441</v>
      </c>
      <c r="E132" s="246" t="s">
        <v>221</v>
      </c>
      <c r="F132" s="247" t="s">
        <v>441</v>
      </c>
      <c r="G132" s="243" t="str">
        <f t="shared" si="3"/>
        <v>Texas State</v>
      </c>
      <c r="H132" s="247" t="s">
        <v>441</v>
      </c>
    </row>
    <row r="133">
      <c r="A133" s="243" t="s">
        <v>222</v>
      </c>
      <c r="B133" s="247" t="s">
        <v>441</v>
      </c>
      <c r="C133" s="243" t="s">
        <v>222</v>
      </c>
      <c r="D133" s="247" t="s">
        <v>441</v>
      </c>
      <c r="E133" s="243" t="s">
        <v>222</v>
      </c>
      <c r="F133" s="247" t="s">
        <v>441</v>
      </c>
      <c r="G133" s="243" t="str">
        <f t="shared" si="3"/>
        <v>Troy</v>
      </c>
      <c r="H133" s="247" t="s">
        <v>441</v>
      </c>
    </row>
    <row r="134">
      <c r="A134" s="246" t="s">
        <v>552</v>
      </c>
      <c r="B134" s="247" t="s">
        <v>441</v>
      </c>
      <c r="C134" s="246" t="s">
        <v>552</v>
      </c>
      <c r="D134" s="247" t="s">
        <v>441</v>
      </c>
      <c r="E134" s="246" t="s">
        <v>552</v>
      </c>
      <c r="F134" s="247" t="s">
        <v>441</v>
      </c>
      <c r="G134" s="243" t="str">
        <f t="shared" si="3"/>
        <v>UL Lafayette</v>
      </c>
      <c r="H134" s="247" t="s">
        <v>441</v>
      </c>
    </row>
    <row r="135">
      <c r="A135" s="246" t="s">
        <v>219</v>
      </c>
      <c r="B135" s="247" t="s">
        <v>441</v>
      </c>
      <c r="C135" s="246" t="s">
        <v>219</v>
      </c>
      <c r="D135" s="247" t="s">
        <v>441</v>
      </c>
      <c r="E135" s="246" t="s">
        <v>219</v>
      </c>
      <c r="F135" s="247" t="s">
        <v>441</v>
      </c>
      <c r="G135" s="243" t="str">
        <f t="shared" si="3"/>
        <v>UL Monroe</v>
      </c>
      <c r="H135" s="247" t="s">
        <v>441</v>
      </c>
    </row>
    <row r="136">
      <c r="A136" s="246" t="s">
        <v>229</v>
      </c>
      <c r="B136" s="242" t="s">
        <v>725</v>
      </c>
      <c r="C136" s="246" t="s">
        <v>229</v>
      </c>
      <c r="D136" s="242" t="s">
        <v>725</v>
      </c>
      <c r="E136" s="246" t="s">
        <v>229</v>
      </c>
      <c r="F136" s="242" t="s">
        <v>725</v>
      </c>
      <c r="G136" s="243" t="str">
        <f t="shared" si="3"/>
        <v>Notre Dame</v>
      </c>
      <c r="H136" s="242" t="s">
        <v>535</v>
      </c>
    </row>
    <row r="137">
      <c r="A137" s="244" t="s">
        <v>99</v>
      </c>
      <c r="B137" s="242" t="s">
        <v>725</v>
      </c>
      <c r="C137" s="244" t="s">
        <v>99</v>
      </c>
      <c r="D137" s="242" t="s">
        <v>725</v>
      </c>
      <c r="E137" s="244" t="s">
        <v>99</v>
      </c>
      <c r="F137" s="242" t="s">
        <v>725</v>
      </c>
      <c r="G137" s="243" t="str">
        <f t="shared" si="3"/>
        <v>UConn</v>
      </c>
      <c r="H137" s="242" t="s">
        <v>535</v>
      </c>
    </row>
  </sheetData>
  <autoFilter ref="$A$1:$H$137">
    <sortState ref="A1:H137">
      <sortCondition ref="B1:B137"/>
      <sortCondition ref="A1:A137"/>
      <sortCondition ref="H1:H137"/>
      <sortCondition ref="D1:D137"/>
      <sortCondition ref="C1:C137"/>
      <sortCondition ref="F1:F137"/>
      <sortCondition ref="E1:E137"/>
      <sortCondition ref="G1:G137"/>
    </sortState>
  </autoFil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36</v>
      </c>
      <c r="B1" s="1" t="s">
        <v>1806</v>
      </c>
    </row>
    <row r="2">
      <c r="A2" t="s">
        <v>317</v>
      </c>
      <c r="B2" s="1" t="s">
        <v>321</v>
      </c>
    </row>
    <row r="3">
      <c r="A3" t="s">
        <v>471</v>
      </c>
      <c r="B3" s="1" t="s">
        <v>321</v>
      </c>
    </row>
    <row r="4">
      <c r="A4" t="s">
        <v>407</v>
      </c>
      <c r="B4" s="1" t="s">
        <v>321</v>
      </c>
    </row>
    <row r="5">
      <c r="A5" t="s">
        <v>556</v>
      </c>
      <c r="B5" s="1" t="s">
        <v>321</v>
      </c>
    </row>
    <row r="6">
      <c r="A6" t="s">
        <v>680</v>
      </c>
      <c r="B6" s="1" t="s">
        <v>365</v>
      </c>
    </row>
    <row r="7">
      <c r="A7" t="s">
        <v>361</v>
      </c>
      <c r="B7" s="1" t="s">
        <v>365</v>
      </c>
    </row>
    <row r="8">
      <c r="A8" t="s">
        <v>535</v>
      </c>
      <c r="B8" s="1" t="s">
        <v>365</v>
      </c>
    </row>
    <row r="9">
      <c r="A9" t="s">
        <v>530</v>
      </c>
      <c r="B9" s="1" t="s">
        <v>365</v>
      </c>
    </row>
    <row r="10">
      <c r="A10" t="s">
        <v>525</v>
      </c>
      <c r="B10" s="1" t="s">
        <v>365</v>
      </c>
    </row>
    <row r="11">
      <c r="A11" t="s">
        <v>441</v>
      </c>
      <c r="B11" s="1" t="s">
        <v>365</v>
      </c>
    </row>
    <row r="12">
      <c r="A12" s="1" t="s">
        <v>1807</v>
      </c>
      <c r="B12" s="1" t="s">
        <v>365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1.88"/>
    <col customWidth="1" min="3" max="3" width="7.75"/>
  </cols>
  <sheetData>
    <row r="1">
      <c r="A1" s="134"/>
      <c r="B1" s="248" t="s">
        <v>633</v>
      </c>
      <c r="C1" s="249" t="s">
        <v>1811</v>
      </c>
    </row>
    <row r="2">
      <c r="A2" s="134">
        <f t="shared" ref="A2:A13" si="1">row(A1)</f>
        <v>1</v>
      </c>
      <c r="B2" s="250" t="s">
        <v>43</v>
      </c>
      <c r="C2" s="251">
        <f t="shared" ref="C2:C13" si="2">RAND()</f>
        <v>0.6894663509</v>
      </c>
    </row>
    <row r="3">
      <c r="A3" s="134">
        <f t="shared" si="1"/>
        <v>2</v>
      </c>
      <c r="B3" s="250" t="s">
        <v>95</v>
      </c>
      <c r="C3" s="251">
        <f t="shared" si="2"/>
        <v>0.9064412832</v>
      </c>
    </row>
    <row r="4">
      <c r="A4" s="134">
        <f t="shared" si="1"/>
        <v>3</v>
      </c>
      <c r="B4" s="250" t="s">
        <v>62</v>
      </c>
      <c r="C4" s="251">
        <f t="shared" si="2"/>
        <v>0.5837567463</v>
      </c>
    </row>
    <row r="5">
      <c r="A5" s="134">
        <f t="shared" si="1"/>
        <v>4</v>
      </c>
      <c r="B5" s="250" t="s">
        <v>193</v>
      </c>
      <c r="C5" s="251">
        <f t="shared" si="2"/>
        <v>0.04094382885</v>
      </c>
    </row>
    <row r="6">
      <c r="A6" s="134">
        <f t="shared" si="1"/>
        <v>5</v>
      </c>
      <c r="B6" s="250" t="s">
        <v>311</v>
      </c>
      <c r="C6" s="251">
        <f t="shared" si="2"/>
        <v>0.4250596866</v>
      </c>
    </row>
    <row r="7">
      <c r="A7" s="134">
        <f t="shared" si="1"/>
        <v>6</v>
      </c>
      <c r="B7" s="250" t="s">
        <v>224</v>
      </c>
      <c r="C7" s="251">
        <f t="shared" si="2"/>
        <v>0.9956724729</v>
      </c>
    </row>
    <row r="8">
      <c r="A8" s="134">
        <f t="shared" si="1"/>
        <v>7</v>
      </c>
      <c r="B8" s="250" t="s">
        <v>96</v>
      </c>
      <c r="C8" s="251">
        <f t="shared" si="2"/>
        <v>0.978956955</v>
      </c>
    </row>
    <row r="9">
      <c r="A9" s="134">
        <f t="shared" si="1"/>
        <v>8</v>
      </c>
      <c r="B9" s="250" t="s">
        <v>238</v>
      </c>
      <c r="C9" s="251">
        <f t="shared" si="2"/>
        <v>0.6311534319</v>
      </c>
    </row>
    <row r="10">
      <c r="A10" s="134">
        <f t="shared" si="1"/>
        <v>9</v>
      </c>
      <c r="B10" s="250" t="s">
        <v>156</v>
      </c>
      <c r="C10" s="251">
        <f t="shared" si="2"/>
        <v>0.5296284533</v>
      </c>
    </row>
    <row r="11">
      <c r="A11" s="134">
        <f t="shared" si="1"/>
        <v>10</v>
      </c>
      <c r="B11" s="250" t="s">
        <v>249</v>
      </c>
      <c r="C11" s="251">
        <f t="shared" si="2"/>
        <v>0.03804070701</v>
      </c>
    </row>
    <row r="12">
      <c r="A12" s="134">
        <f t="shared" si="1"/>
        <v>11</v>
      </c>
      <c r="B12" s="250" t="s">
        <v>395</v>
      </c>
      <c r="C12" s="251">
        <f t="shared" si="2"/>
        <v>0.059522686</v>
      </c>
    </row>
    <row r="13">
      <c r="A13" s="134">
        <f t="shared" si="1"/>
        <v>12</v>
      </c>
      <c r="B13" s="250" t="s">
        <v>132</v>
      </c>
      <c r="C13" s="251">
        <f t="shared" si="2"/>
        <v>0.4278708528</v>
      </c>
    </row>
  </sheetData>
  <autoFilter ref="$A$1:$C$13">
    <sortState ref="A1:C13">
      <sortCondition ref="C1:C13"/>
    </sortState>
  </autoFil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1814</v>
      </c>
      <c r="B1" s="1" t="s">
        <v>1815</v>
      </c>
    </row>
    <row r="2">
      <c r="A2" s="1" t="s">
        <v>1816</v>
      </c>
      <c r="B2" s="1">
        <v>2.05231245E8</v>
      </c>
    </row>
    <row r="3">
      <c r="A3" s="1" t="s">
        <v>1817</v>
      </c>
      <c r="B3" s="1">
        <v>2.080297583E9</v>
      </c>
    </row>
    <row r="4">
      <c r="A4" s="1" t="s">
        <v>1818</v>
      </c>
      <c r="B4" s="1">
        <v>2.046708162E9</v>
      </c>
    </row>
    <row r="5">
      <c r="A5" s="1" t="s">
        <v>1819</v>
      </c>
      <c r="B5" s="1">
        <v>1.003255996E9</v>
      </c>
    </row>
    <row r="6">
      <c r="A6" s="1" t="s">
        <v>1820</v>
      </c>
      <c r="B6" s="1">
        <v>1.312315598E9</v>
      </c>
    </row>
    <row r="7">
      <c r="A7" s="1" t="s">
        <v>1821</v>
      </c>
      <c r="B7" s="1">
        <v>2.6726793E7</v>
      </c>
    </row>
    <row r="8">
      <c r="A8" s="1" t="s">
        <v>1822</v>
      </c>
      <c r="B8" s="1">
        <v>1.273506506E9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13</v>
      </c>
      <c r="B1" s="203" t="s">
        <v>1823</v>
      </c>
      <c r="C1" s="203" t="s">
        <v>1824</v>
      </c>
    </row>
    <row r="2">
      <c r="A2" t="s">
        <v>176</v>
      </c>
      <c r="B2" t="s">
        <v>1825</v>
      </c>
      <c r="C2" t="s">
        <v>1826</v>
      </c>
    </row>
    <row r="3">
      <c r="A3" t="s">
        <v>164</v>
      </c>
      <c r="B3" t="s">
        <v>1827</v>
      </c>
      <c r="C3" t="s">
        <v>1828</v>
      </c>
    </row>
    <row r="4">
      <c r="A4" t="s">
        <v>201</v>
      </c>
      <c r="B4" t="s">
        <v>1829</v>
      </c>
      <c r="C4" s="203" t="s">
        <v>1830</v>
      </c>
    </row>
    <row r="5">
      <c r="A5" t="s">
        <v>422</v>
      </c>
      <c r="B5" t="s">
        <v>1831</v>
      </c>
      <c r="C5" t="s">
        <v>1832</v>
      </c>
    </row>
    <row r="6">
      <c r="A6" t="s">
        <v>188</v>
      </c>
      <c r="B6" t="s">
        <v>1833</v>
      </c>
      <c r="C6" t="s">
        <v>1834</v>
      </c>
    </row>
    <row r="7">
      <c r="A7" t="s">
        <v>189</v>
      </c>
      <c r="B7" t="s">
        <v>1835</v>
      </c>
      <c r="C7" t="s">
        <v>1836</v>
      </c>
    </row>
    <row r="8">
      <c r="A8" t="s">
        <v>202</v>
      </c>
      <c r="B8" t="s">
        <v>1829</v>
      </c>
      <c r="C8" s="203" t="s">
        <v>1830</v>
      </c>
    </row>
    <row r="9">
      <c r="A9" t="s">
        <v>215</v>
      </c>
      <c r="B9" t="s">
        <v>1837</v>
      </c>
      <c r="C9" t="s">
        <v>1832</v>
      </c>
    </row>
    <row r="10">
      <c r="A10" t="s">
        <v>225</v>
      </c>
      <c r="B10" t="s">
        <v>1838</v>
      </c>
      <c r="C10" t="s">
        <v>1832</v>
      </c>
    </row>
    <row r="11">
      <c r="A11" t="s">
        <v>45</v>
      </c>
      <c r="B11" t="s">
        <v>1840</v>
      </c>
      <c r="C11" t="s">
        <v>1841</v>
      </c>
    </row>
    <row r="12">
      <c r="A12" t="s">
        <v>165</v>
      </c>
      <c r="B12" t="s">
        <v>1842</v>
      </c>
      <c r="C12" t="s">
        <v>1832</v>
      </c>
    </row>
    <row r="13">
      <c r="A13" t="s">
        <v>124</v>
      </c>
      <c r="B13" t="s">
        <v>1843</v>
      </c>
      <c r="C13" t="s">
        <v>1844</v>
      </c>
    </row>
    <row r="14">
      <c r="A14" t="s">
        <v>177</v>
      </c>
      <c r="B14" t="s">
        <v>1825</v>
      </c>
      <c r="C14" t="s">
        <v>1841</v>
      </c>
    </row>
    <row r="15">
      <c r="A15" t="s">
        <v>110</v>
      </c>
      <c r="B15" t="s">
        <v>1845</v>
      </c>
      <c r="C15" t="s">
        <v>1846</v>
      </c>
    </row>
    <row r="16">
      <c r="A16" t="s">
        <v>166</v>
      </c>
      <c r="B16" t="s">
        <v>1847</v>
      </c>
      <c r="C16" t="s">
        <v>1848</v>
      </c>
    </row>
    <row r="17">
      <c r="A17" t="s">
        <v>167</v>
      </c>
      <c r="B17" t="s">
        <v>1849</v>
      </c>
      <c r="C17" s="203" t="s">
        <v>1830</v>
      </c>
    </row>
    <row r="18">
      <c r="A18" s="203" t="s">
        <v>226</v>
      </c>
      <c r="B18" t="s">
        <v>1850</v>
      </c>
      <c r="C18" t="s">
        <v>1851</v>
      </c>
    </row>
    <row r="19">
      <c r="A19" t="s">
        <v>190</v>
      </c>
      <c r="B19" t="s">
        <v>1852</v>
      </c>
      <c r="C19" t="s">
        <v>1853</v>
      </c>
    </row>
    <row r="20">
      <c r="A20" t="s">
        <v>168</v>
      </c>
      <c r="B20" t="s">
        <v>1854</v>
      </c>
      <c r="C20" t="s">
        <v>1853</v>
      </c>
    </row>
    <row r="21">
      <c r="A21" t="s">
        <v>159</v>
      </c>
      <c r="B21" t="s">
        <v>1855</v>
      </c>
      <c r="C21" t="s">
        <v>1856</v>
      </c>
    </row>
    <row r="22">
      <c r="A22" t="s">
        <v>98</v>
      </c>
      <c r="B22" t="s">
        <v>1857</v>
      </c>
      <c r="C22" t="s">
        <v>1832</v>
      </c>
    </row>
    <row r="23">
      <c r="A23" t="s">
        <v>111</v>
      </c>
      <c r="B23" t="s">
        <v>1858</v>
      </c>
      <c r="C23" t="s">
        <v>1859</v>
      </c>
    </row>
    <row r="24">
      <c r="A24" t="s">
        <v>223</v>
      </c>
      <c r="B24" t="s">
        <v>1860</v>
      </c>
      <c r="C24" t="s">
        <v>1861</v>
      </c>
    </row>
    <row r="25">
      <c r="A25" t="s">
        <v>191</v>
      </c>
      <c r="B25" t="s">
        <v>1862</v>
      </c>
      <c r="C25" t="s">
        <v>1832</v>
      </c>
    </row>
    <row r="26">
      <c r="A26" t="s">
        <v>178</v>
      </c>
      <c r="B26" t="s">
        <v>1863</v>
      </c>
      <c r="C26" t="s">
        <v>1864</v>
      </c>
    </row>
    <row r="27">
      <c r="A27" s="1" t="s">
        <v>235</v>
      </c>
      <c r="B27" s="1" t="s">
        <v>1865</v>
      </c>
      <c r="C27" s="1" t="s">
        <v>1866</v>
      </c>
    </row>
    <row r="28">
      <c r="A28" t="s">
        <v>112</v>
      </c>
      <c r="B28" t="s">
        <v>1867</v>
      </c>
      <c r="C28" s="203" t="s">
        <v>1830</v>
      </c>
    </row>
    <row r="29">
      <c r="A29" t="s">
        <v>100</v>
      </c>
      <c r="B29" t="s">
        <v>1868</v>
      </c>
      <c r="C29" t="s">
        <v>1869</v>
      </c>
    </row>
    <row r="30">
      <c r="A30" t="s">
        <v>304</v>
      </c>
      <c r="B30" t="s">
        <v>1870</v>
      </c>
      <c r="C30" t="s">
        <v>1832</v>
      </c>
    </row>
    <row r="31">
      <c r="A31" t="s">
        <v>203</v>
      </c>
      <c r="B31" t="s">
        <v>1871</v>
      </c>
      <c r="C31" t="s">
        <v>1872</v>
      </c>
    </row>
    <row r="32">
      <c r="A32" t="s">
        <v>150</v>
      </c>
      <c r="B32" t="s">
        <v>1834</v>
      </c>
      <c r="C32" t="s">
        <v>1873</v>
      </c>
    </row>
    <row r="33">
      <c r="A33" t="s">
        <v>545</v>
      </c>
      <c r="B33" t="s">
        <v>1874</v>
      </c>
      <c r="C33" t="s">
        <v>1875</v>
      </c>
    </row>
    <row r="34">
      <c r="A34" t="s">
        <v>113</v>
      </c>
      <c r="B34" t="s">
        <v>1876</v>
      </c>
      <c r="C34" t="s">
        <v>1877</v>
      </c>
    </row>
    <row r="35">
      <c r="A35" t="s">
        <v>179</v>
      </c>
      <c r="B35" t="s">
        <v>1878</v>
      </c>
      <c r="C35" t="s">
        <v>1879</v>
      </c>
    </row>
    <row r="36">
      <c r="A36" t="s">
        <v>204</v>
      </c>
      <c r="B36" t="s">
        <v>1880</v>
      </c>
      <c r="C36" t="s">
        <v>1881</v>
      </c>
    </row>
    <row r="37">
      <c r="A37" t="s">
        <v>216</v>
      </c>
      <c r="B37" t="s">
        <v>1882</v>
      </c>
      <c r="C37" t="s">
        <v>1864</v>
      </c>
    </row>
    <row r="38">
      <c r="A38" t="s">
        <v>217</v>
      </c>
      <c r="B38" t="s">
        <v>1883</v>
      </c>
      <c r="C38" s="203" t="s">
        <v>1830</v>
      </c>
    </row>
    <row r="39">
      <c r="A39" t="s">
        <v>114</v>
      </c>
      <c r="B39" t="s">
        <v>1884</v>
      </c>
      <c r="C39" t="s">
        <v>1885</v>
      </c>
    </row>
    <row r="40">
      <c r="A40" t="s">
        <v>536</v>
      </c>
      <c r="B40" t="s">
        <v>1886</v>
      </c>
      <c r="C40" t="s">
        <v>1887</v>
      </c>
    </row>
    <row r="41">
      <c r="A41" t="s">
        <v>101</v>
      </c>
      <c r="B41" t="s">
        <v>1873</v>
      </c>
      <c r="C41" s="203" t="s">
        <v>1830</v>
      </c>
    </row>
    <row r="42">
      <c r="A42" s="203" t="s">
        <v>135</v>
      </c>
      <c r="B42" t="s">
        <v>1852</v>
      </c>
      <c r="C42" t="s">
        <v>1888</v>
      </c>
    </row>
    <row r="43">
      <c r="A43" t="s">
        <v>136</v>
      </c>
      <c r="B43" t="s">
        <v>1829</v>
      </c>
      <c r="C43" s="203" t="s">
        <v>1830</v>
      </c>
    </row>
    <row r="44">
      <c r="A44" t="s">
        <v>137</v>
      </c>
      <c r="B44" t="s">
        <v>1889</v>
      </c>
      <c r="C44" t="s">
        <v>1832</v>
      </c>
    </row>
    <row r="45">
      <c r="A45" t="s">
        <v>125</v>
      </c>
      <c r="B45" t="s">
        <v>1890</v>
      </c>
      <c r="C45" t="s">
        <v>1891</v>
      </c>
    </row>
    <row r="46">
      <c r="A46" s="1" t="s">
        <v>232</v>
      </c>
      <c r="B46" s="1" t="s">
        <v>1892</v>
      </c>
      <c r="C46" s="203" t="s">
        <v>1830</v>
      </c>
    </row>
    <row r="47">
      <c r="A47" s="203" t="s">
        <v>231</v>
      </c>
      <c r="B47" s="1" t="s">
        <v>1893</v>
      </c>
      <c r="C47" s="1" t="s">
        <v>1894</v>
      </c>
    </row>
    <row r="48">
      <c r="A48" t="s">
        <v>126</v>
      </c>
      <c r="B48" t="s">
        <v>1895</v>
      </c>
      <c r="C48" t="s">
        <v>1896</v>
      </c>
    </row>
    <row r="49">
      <c r="A49" t="s">
        <v>127</v>
      </c>
      <c r="B49" t="s">
        <v>1897</v>
      </c>
      <c r="C49" t="s">
        <v>1898</v>
      </c>
    </row>
    <row r="50">
      <c r="A50" s="20" t="s">
        <v>233</v>
      </c>
      <c r="B50" s="1" t="s">
        <v>1899</v>
      </c>
      <c r="C50" s="1" t="s">
        <v>1900</v>
      </c>
    </row>
    <row r="51">
      <c r="A51" t="s">
        <v>170</v>
      </c>
      <c r="B51" t="s">
        <v>1901</v>
      </c>
      <c r="C51" t="s">
        <v>1902</v>
      </c>
    </row>
    <row r="52">
      <c r="A52" t="s">
        <v>205</v>
      </c>
      <c r="B52" t="s">
        <v>1883</v>
      </c>
      <c r="C52" s="203" t="s">
        <v>1830</v>
      </c>
    </row>
    <row r="53">
      <c r="A53" t="s">
        <v>227</v>
      </c>
      <c r="B53" s="203" t="s">
        <v>1903</v>
      </c>
      <c r="C53" s="203" t="s">
        <v>1904</v>
      </c>
    </row>
    <row r="54">
      <c r="A54" t="s">
        <v>151</v>
      </c>
      <c r="B54" t="s">
        <v>1905</v>
      </c>
      <c r="C54" t="s">
        <v>1906</v>
      </c>
    </row>
    <row r="55">
      <c r="A55" t="s">
        <v>115</v>
      </c>
      <c r="B55" t="s">
        <v>1907</v>
      </c>
      <c r="C55" t="s">
        <v>1832</v>
      </c>
    </row>
    <row r="56">
      <c r="A56" s="203" t="s">
        <v>206</v>
      </c>
      <c r="B56" t="s">
        <v>1908</v>
      </c>
      <c r="C56" t="s">
        <v>1909</v>
      </c>
    </row>
    <row r="57">
      <c r="A57" t="s">
        <v>152</v>
      </c>
      <c r="B57" t="s">
        <v>1910</v>
      </c>
      <c r="C57" t="s">
        <v>1832</v>
      </c>
    </row>
    <row r="58">
      <c r="A58" t="s">
        <v>138</v>
      </c>
      <c r="B58" t="s">
        <v>1911</v>
      </c>
      <c r="C58" t="s">
        <v>1912</v>
      </c>
    </row>
    <row r="59">
      <c r="A59" t="s">
        <v>102</v>
      </c>
      <c r="B59" t="s">
        <v>1913</v>
      </c>
      <c r="C59" t="s">
        <v>1914</v>
      </c>
    </row>
    <row r="60">
      <c r="A60" s="203" t="s">
        <v>116</v>
      </c>
      <c r="B60" t="s">
        <v>1915</v>
      </c>
      <c r="C60" t="s">
        <v>1916</v>
      </c>
    </row>
    <row r="61">
      <c r="A61" s="203" t="s">
        <v>548</v>
      </c>
      <c r="B61" t="s">
        <v>1911</v>
      </c>
      <c r="C61" t="s">
        <v>1917</v>
      </c>
    </row>
    <row r="62">
      <c r="A62" t="s">
        <v>139</v>
      </c>
      <c r="B62" t="s">
        <v>1918</v>
      </c>
      <c r="C62" t="s">
        <v>1919</v>
      </c>
    </row>
    <row r="63">
      <c r="A63" t="s">
        <v>140</v>
      </c>
      <c r="B63" t="s">
        <v>1920</v>
      </c>
      <c r="C63" s="203" t="s">
        <v>1830</v>
      </c>
    </row>
    <row r="64">
      <c r="A64" t="s">
        <v>153</v>
      </c>
      <c r="B64" t="s">
        <v>1921</v>
      </c>
      <c r="C64" t="s">
        <v>1922</v>
      </c>
    </row>
    <row r="65">
      <c r="A65" t="s">
        <v>141</v>
      </c>
      <c r="B65" t="s">
        <v>1923</v>
      </c>
      <c r="C65" t="s">
        <v>1924</v>
      </c>
    </row>
    <row r="66">
      <c r="A66" t="s">
        <v>207</v>
      </c>
      <c r="B66" t="s">
        <v>1925</v>
      </c>
      <c r="C66" s="203" t="s">
        <v>1830</v>
      </c>
    </row>
    <row r="67">
      <c r="A67" t="s">
        <v>208</v>
      </c>
      <c r="B67" t="s">
        <v>1927</v>
      </c>
      <c r="C67" t="s">
        <v>1832</v>
      </c>
    </row>
    <row r="68">
      <c r="A68" s="1" t="s">
        <v>236</v>
      </c>
      <c r="B68" s="1" t="s">
        <v>1928</v>
      </c>
      <c r="C68" s="1" t="s">
        <v>1830</v>
      </c>
    </row>
    <row r="69">
      <c r="A69" t="s">
        <v>103</v>
      </c>
      <c r="B69" t="s">
        <v>1929</v>
      </c>
      <c r="C69" t="s">
        <v>1930</v>
      </c>
    </row>
    <row r="70">
      <c r="A70" t="s">
        <v>117</v>
      </c>
      <c r="B70" t="s">
        <v>1931</v>
      </c>
      <c r="C70" t="s">
        <v>1832</v>
      </c>
    </row>
    <row r="71">
      <c r="A71" s="203" t="s">
        <v>142</v>
      </c>
      <c r="B71" t="s">
        <v>1911</v>
      </c>
      <c r="C71" s="203" t="s">
        <v>1830</v>
      </c>
    </row>
    <row r="72">
      <c r="A72" t="s">
        <v>181</v>
      </c>
      <c r="B72" t="s">
        <v>1834</v>
      </c>
      <c r="C72" t="s">
        <v>1932</v>
      </c>
    </row>
    <row r="73">
      <c r="A73" t="s">
        <v>182</v>
      </c>
      <c r="B73" t="s">
        <v>1933</v>
      </c>
      <c r="C73" t="s">
        <v>1934</v>
      </c>
    </row>
    <row r="74">
      <c r="A74" t="s">
        <v>228</v>
      </c>
      <c r="B74" t="s">
        <v>1935</v>
      </c>
      <c r="C74" s="203" t="s">
        <v>1830</v>
      </c>
    </row>
    <row r="75">
      <c r="A75" t="s">
        <v>118</v>
      </c>
      <c r="B75" t="s">
        <v>1936</v>
      </c>
      <c r="C75" s="203" t="s">
        <v>1830</v>
      </c>
    </row>
    <row r="76">
      <c r="A76" t="s">
        <v>154</v>
      </c>
      <c r="B76" t="s">
        <v>1937</v>
      </c>
      <c r="C76" s="203" t="s">
        <v>1830</v>
      </c>
    </row>
    <row r="77">
      <c r="A77" t="s">
        <v>172</v>
      </c>
      <c r="B77" t="s">
        <v>1873</v>
      </c>
      <c r="C77" t="s">
        <v>1938</v>
      </c>
    </row>
    <row r="78">
      <c r="A78" t="s">
        <v>143</v>
      </c>
      <c r="B78" t="s">
        <v>1939</v>
      </c>
      <c r="C78" s="203" t="s">
        <v>1830</v>
      </c>
    </row>
    <row r="79">
      <c r="A79" t="s">
        <v>229</v>
      </c>
      <c r="B79" t="s">
        <v>1940</v>
      </c>
      <c r="C79" t="s">
        <v>1941</v>
      </c>
    </row>
    <row r="80">
      <c r="A80" t="s">
        <v>173</v>
      </c>
      <c r="B80" t="s">
        <v>1943</v>
      </c>
      <c r="C80" t="s">
        <v>1832</v>
      </c>
    </row>
    <row r="81">
      <c r="A81" t="s">
        <v>144</v>
      </c>
      <c r="B81" t="s">
        <v>1944</v>
      </c>
      <c r="C81" t="s">
        <v>1945</v>
      </c>
    </row>
    <row r="82">
      <c r="A82" t="s">
        <v>128</v>
      </c>
      <c r="B82" t="s">
        <v>1946</v>
      </c>
      <c r="C82" s="203" t="s">
        <v>1830</v>
      </c>
    </row>
    <row r="83">
      <c r="A83" t="s">
        <v>129</v>
      </c>
      <c r="B83" t="s">
        <v>1947</v>
      </c>
      <c r="C83" t="s">
        <v>1948</v>
      </c>
    </row>
    <row r="84">
      <c r="A84" t="s">
        <v>155</v>
      </c>
      <c r="B84" t="s">
        <v>1949</v>
      </c>
      <c r="C84" t="s">
        <v>1826</v>
      </c>
    </row>
    <row r="85">
      <c r="A85" s="203" t="s">
        <v>209</v>
      </c>
      <c r="B85" t="s">
        <v>1950</v>
      </c>
      <c r="C85" t="s">
        <v>1951</v>
      </c>
    </row>
    <row r="86">
      <c r="A86" t="s">
        <v>192</v>
      </c>
      <c r="B86" t="s">
        <v>1952</v>
      </c>
      <c r="C86" t="s">
        <v>1953</v>
      </c>
    </row>
    <row r="87">
      <c r="A87" t="s">
        <v>194</v>
      </c>
      <c r="B87" t="s">
        <v>1954</v>
      </c>
      <c r="C87" t="s">
        <v>1832</v>
      </c>
    </row>
    <row r="88">
      <c r="A88" t="s">
        <v>145</v>
      </c>
      <c r="B88" t="s">
        <v>1955</v>
      </c>
      <c r="C88" s="203" t="s">
        <v>1830</v>
      </c>
    </row>
    <row r="89">
      <c r="A89" t="s">
        <v>119</v>
      </c>
      <c r="B89" t="s">
        <v>1956</v>
      </c>
      <c r="C89" t="s">
        <v>1957</v>
      </c>
    </row>
    <row r="90">
      <c r="A90" t="s">
        <v>146</v>
      </c>
      <c r="B90" t="s">
        <v>1864</v>
      </c>
      <c r="C90" t="s">
        <v>1917</v>
      </c>
    </row>
    <row r="91">
      <c r="A91" t="s">
        <v>157</v>
      </c>
      <c r="B91" t="s">
        <v>1879</v>
      </c>
      <c r="C91" t="s">
        <v>1958</v>
      </c>
    </row>
    <row r="92">
      <c r="A92" t="s">
        <v>147</v>
      </c>
      <c r="B92" t="s">
        <v>1960</v>
      </c>
      <c r="C92" t="s">
        <v>1961</v>
      </c>
    </row>
    <row r="93">
      <c r="A93" s="1" t="s">
        <v>234</v>
      </c>
      <c r="B93" s="1" t="s">
        <v>1962</v>
      </c>
      <c r="C93" s="203" t="s">
        <v>1830</v>
      </c>
    </row>
    <row r="94">
      <c r="A94" t="s">
        <v>183</v>
      </c>
      <c r="B94" t="s">
        <v>1963</v>
      </c>
      <c r="C94" t="s">
        <v>1862</v>
      </c>
    </row>
    <row r="95">
      <c r="A95" t="s">
        <v>549</v>
      </c>
      <c r="B95" t="s">
        <v>1964</v>
      </c>
      <c r="C95" t="s">
        <v>1965</v>
      </c>
    </row>
    <row r="96">
      <c r="A96" s="203" t="s">
        <v>104</v>
      </c>
      <c r="B96" t="s">
        <v>1966</v>
      </c>
      <c r="C96" t="s">
        <v>1967</v>
      </c>
    </row>
    <row r="97">
      <c r="A97" t="s">
        <v>220</v>
      </c>
      <c r="B97" t="s">
        <v>1968</v>
      </c>
      <c r="C97" t="s">
        <v>1969</v>
      </c>
    </row>
    <row r="98">
      <c r="A98" t="s">
        <v>210</v>
      </c>
      <c r="B98" t="s">
        <v>1970</v>
      </c>
      <c r="C98" t="s">
        <v>1832</v>
      </c>
    </row>
    <row r="99">
      <c r="A99" t="s">
        <v>105</v>
      </c>
      <c r="B99" t="s">
        <v>1971</v>
      </c>
      <c r="C99" t="s">
        <v>1972</v>
      </c>
    </row>
    <row r="100">
      <c r="A100" t="s">
        <v>546</v>
      </c>
      <c r="B100" t="s">
        <v>1973</v>
      </c>
      <c r="C100" t="s">
        <v>1832</v>
      </c>
    </row>
    <row r="101">
      <c r="A101" t="s">
        <v>195</v>
      </c>
      <c r="B101" t="s">
        <v>1974</v>
      </c>
      <c r="C101" t="s">
        <v>1975</v>
      </c>
    </row>
    <row r="102">
      <c r="A102" t="s">
        <v>120</v>
      </c>
      <c r="B102" t="s">
        <v>1976</v>
      </c>
      <c r="C102" t="s">
        <v>1977</v>
      </c>
    </row>
    <row r="103">
      <c r="A103" s="203" t="s">
        <v>130</v>
      </c>
      <c r="B103" t="s">
        <v>1978</v>
      </c>
      <c r="C103" s="203" t="s">
        <v>1830</v>
      </c>
    </row>
    <row r="104">
      <c r="A104" t="s">
        <v>106</v>
      </c>
      <c r="B104" t="s">
        <v>1979</v>
      </c>
      <c r="C104" s="203" t="s">
        <v>1830</v>
      </c>
    </row>
    <row r="105">
      <c r="A105" t="s">
        <v>211</v>
      </c>
      <c r="B105" t="s">
        <v>1980</v>
      </c>
      <c r="C105" s="203" t="s">
        <v>1830</v>
      </c>
    </row>
    <row r="106">
      <c r="A106" t="s">
        <v>131</v>
      </c>
      <c r="B106" t="s">
        <v>1981</v>
      </c>
      <c r="C106" s="203" t="s">
        <v>1830</v>
      </c>
    </row>
    <row r="107">
      <c r="A107" t="s">
        <v>539</v>
      </c>
      <c r="B107" t="s">
        <v>1982</v>
      </c>
      <c r="C107" t="s">
        <v>1983</v>
      </c>
    </row>
    <row r="108">
      <c r="A108" t="s">
        <v>221</v>
      </c>
      <c r="B108" t="s">
        <v>1984</v>
      </c>
      <c r="C108" t="s">
        <v>1985</v>
      </c>
    </row>
    <row r="109">
      <c r="A109" t="s">
        <v>133</v>
      </c>
      <c r="B109" t="s">
        <v>1873</v>
      </c>
      <c r="C109" t="s">
        <v>1832</v>
      </c>
    </row>
    <row r="110">
      <c r="A110" t="s">
        <v>174</v>
      </c>
      <c r="B110" t="s">
        <v>1986</v>
      </c>
      <c r="C110" t="s">
        <v>1831</v>
      </c>
    </row>
    <row r="111">
      <c r="A111" t="s">
        <v>222</v>
      </c>
      <c r="B111" t="s">
        <v>1987</v>
      </c>
      <c r="C111" t="s">
        <v>1988</v>
      </c>
    </row>
    <row r="112">
      <c r="A112" t="s">
        <v>107</v>
      </c>
      <c r="B112" t="s">
        <v>1989</v>
      </c>
      <c r="C112" t="s">
        <v>1990</v>
      </c>
    </row>
    <row r="113">
      <c r="A113" t="s">
        <v>108</v>
      </c>
      <c r="B113" t="s">
        <v>1991</v>
      </c>
      <c r="C113" t="s">
        <v>1992</v>
      </c>
    </row>
    <row r="114">
      <c r="A114" t="s">
        <v>163</v>
      </c>
      <c r="B114" s="203" t="s">
        <v>1993</v>
      </c>
      <c r="C114" s="203" t="s">
        <v>1994</v>
      </c>
    </row>
    <row r="115">
      <c r="A115" t="s">
        <v>109</v>
      </c>
      <c r="B115" t="s">
        <v>1864</v>
      </c>
      <c r="C115" t="s">
        <v>1832</v>
      </c>
    </row>
    <row r="116">
      <c r="A116" s="203" t="s">
        <v>196</v>
      </c>
      <c r="B116" t="s">
        <v>1995</v>
      </c>
      <c r="C116" t="s">
        <v>1853</v>
      </c>
    </row>
    <row r="117">
      <c r="A117" t="s">
        <v>99</v>
      </c>
      <c r="B117" t="s">
        <v>1996</v>
      </c>
      <c r="C117" t="s">
        <v>1997</v>
      </c>
    </row>
    <row r="118">
      <c r="A118" t="s">
        <v>552</v>
      </c>
      <c r="B118" t="s">
        <v>1998</v>
      </c>
      <c r="C118" t="s">
        <v>1999</v>
      </c>
    </row>
    <row r="119">
      <c r="A119" t="s">
        <v>219</v>
      </c>
      <c r="B119" t="s">
        <v>2000</v>
      </c>
      <c r="C119" t="s">
        <v>1864</v>
      </c>
    </row>
    <row r="120">
      <c r="A120" t="s">
        <v>527</v>
      </c>
      <c r="B120" t="s">
        <v>2000</v>
      </c>
      <c r="C120" s="203" t="s">
        <v>1830</v>
      </c>
    </row>
    <row r="121">
      <c r="A121" s="203" t="s">
        <v>185</v>
      </c>
      <c r="B121" t="s">
        <v>1931</v>
      </c>
      <c r="C121" t="s">
        <v>2001</v>
      </c>
    </row>
    <row r="122">
      <c r="A122" s="203" t="s">
        <v>197</v>
      </c>
      <c r="B122" t="s">
        <v>1903</v>
      </c>
      <c r="C122" t="s">
        <v>2002</v>
      </c>
    </row>
    <row r="123">
      <c r="A123" t="s">
        <v>198</v>
      </c>
      <c r="B123" t="s">
        <v>1873</v>
      </c>
      <c r="C123" t="s">
        <v>1832</v>
      </c>
    </row>
    <row r="124">
      <c r="A124" t="s">
        <v>186</v>
      </c>
      <c r="B124" t="s">
        <v>2003</v>
      </c>
      <c r="C124" t="s">
        <v>2004</v>
      </c>
    </row>
    <row r="125">
      <c r="A125" s="203" t="s">
        <v>160</v>
      </c>
      <c r="B125" t="s">
        <v>2005</v>
      </c>
      <c r="C125" t="s">
        <v>2006</v>
      </c>
    </row>
    <row r="126">
      <c r="A126" s="203" t="s">
        <v>161</v>
      </c>
      <c r="B126" t="s">
        <v>2007</v>
      </c>
      <c r="C126" t="s">
        <v>1916</v>
      </c>
    </row>
    <row r="127">
      <c r="A127" t="s">
        <v>213</v>
      </c>
      <c r="B127" t="s">
        <v>2008</v>
      </c>
      <c r="C127" t="s">
        <v>1832</v>
      </c>
    </row>
    <row r="128">
      <c r="A128" t="s">
        <v>121</v>
      </c>
      <c r="B128" t="s">
        <v>2009</v>
      </c>
      <c r="C128" t="s">
        <v>2010</v>
      </c>
    </row>
    <row r="129">
      <c r="A129" t="s">
        <v>122</v>
      </c>
      <c r="B129" t="s">
        <v>1925</v>
      </c>
      <c r="C129" t="s">
        <v>2011</v>
      </c>
    </row>
    <row r="130">
      <c r="A130" t="s">
        <v>123</v>
      </c>
      <c r="B130" t="s">
        <v>2012</v>
      </c>
      <c r="C130" t="s">
        <v>1832</v>
      </c>
    </row>
    <row r="131">
      <c r="A131" t="s">
        <v>199</v>
      </c>
      <c r="B131" t="s">
        <v>2013</v>
      </c>
      <c r="C131" t="s">
        <v>2014</v>
      </c>
    </row>
    <row r="132">
      <c r="A132" t="s">
        <v>200</v>
      </c>
      <c r="B132" t="s">
        <v>2015</v>
      </c>
      <c r="C132" t="s">
        <v>2016</v>
      </c>
    </row>
    <row r="133">
      <c r="A133" t="s">
        <v>134</v>
      </c>
      <c r="B133" t="s">
        <v>2017</v>
      </c>
      <c r="C133" t="s">
        <v>2018</v>
      </c>
    </row>
    <row r="134">
      <c r="A134" t="s">
        <v>162</v>
      </c>
      <c r="B134" t="s">
        <v>2019</v>
      </c>
      <c r="C134" t="s">
        <v>1832</v>
      </c>
    </row>
    <row r="135">
      <c r="A135" t="s">
        <v>175</v>
      </c>
      <c r="B135" t="s">
        <v>2020</v>
      </c>
      <c r="C135" t="s">
        <v>2021</v>
      </c>
    </row>
    <row r="136">
      <c r="A136" t="s">
        <v>148</v>
      </c>
      <c r="B136" t="s">
        <v>2022</v>
      </c>
      <c r="C136" s="203" t="s">
        <v>1830</v>
      </c>
    </row>
    <row r="137">
      <c r="A137" t="s">
        <v>187</v>
      </c>
      <c r="B137" t="s">
        <v>2023</v>
      </c>
      <c r="C137" t="s">
        <v>2024</v>
      </c>
    </row>
  </sheetData>
  <conditionalFormatting sqref="A50">
    <cfRule type="expression" dxfId="3" priority="1">
      <formula>and(not(T50),T50&lt;&gt;"")</formula>
    </cfRule>
  </conditionalFormatting>
  <conditionalFormatting sqref="A50">
    <cfRule type="expression" dxfId="4" priority="2">
      <formula>T50</formula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635</v>
      </c>
      <c r="B1" s="203" t="s">
        <v>1823</v>
      </c>
      <c r="C1" s="203" t="s">
        <v>1824</v>
      </c>
    </row>
    <row r="2">
      <c r="A2" t="s">
        <v>471</v>
      </c>
      <c r="B2" s="1" t="s">
        <v>2026</v>
      </c>
      <c r="C2" s="1" t="s">
        <v>2027</v>
      </c>
    </row>
    <row r="3">
      <c r="A3" t="s">
        <v>317</v>
      </c>
      <c r="B3" s="1" t="s">
        <v>2028</v>
      </c>
      <c r="C3" s="1" t="s">
        <v>2029</v>
      </c>
    </row>
    <row r="4">
      <c r="A4" t="s">
        <v>361</v>
      </c>
      <c r="B4" s="1" t="s">
        <v>2030</v>
      </c>
      <c r="C4" s="1" t="s">
        <v>2031</v>
      </c>
    </row>
    <row r="5">
      <c r="A5" t="s">
        <v>441</v>
      </c>
      <c r="B5" s="1" t="s">
        <v>2032</v>
      </c>
      <c r="C5" s="1" t="s">
        <v>2033</v>
      </c>
    </row>
    <row r="6">
      <c r="A6" t="s">
        <v>535</v>
      </c>
      <c r="B6" s="1" t="s">
        <v>2034</v>
      </c>
      <c r="C6" s="1" t="s">
        <v>2035</v>
      </c>
    </row>
    <row r="7">
      <c r="A7" t="s">
        <v>530</v>
      </c>
      <c r="B7" s="1" t="s">
        <v>2036</v>
      </c>
      <c r="C7" s="1" t="s">
        <v>2037</v>
      </c>
    </row>
    <row r="8">
      <c r="A8" t="s">
        <v>407</v>
      </c>
      <c r="B8" s="1" t="s">
        <v>2038</v>
      </c>
      <c r="C8" s="1" t="s">
        <v>1832</v>
      </c>
    </row>
    <row r="9">
      <c r="A9" t="s">
        <v>556</v>
      </c>
      <c r="B9" s="1" t="s">
        <v>2039</v>
      </c>
      <c r="C9" s="1" t="s">
        <v>2040</v>
      </c>
    </row>
    <row r="10">
      <c r="A10" t="s">
        <v>525</v>
      </c>
      <c r="B10" s="1" t="s">
        <v>2041</v>
      </c>
      <c r="C10" s="1" t="s">
        <v>2042</v>
      </c>
    </row>
    <row r="11">
      <c r="A11" t="s">
        <v>680</v>
      </c>
      <c r="B11" s="1" t="s">
        <v>2043</v>
      </c>
      <c r="C11" s="1" t="s">
        <v>2044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O11">TRANSPOSE('Actual Conferences'!A1:K15)</f>
        <v>AAC</v>
      </c>
      <c r="B1" t="s">
        <v>225</v>
      </c>
      <c r="C1" t="s">
        <v>159</v>
      </c>
      <c r="D1" t="s">
        <v>100</v>
      </c>
      <c r="E1" t="s">
        <v>150</v>
      </c>
      <c r="F1" t="s">
        <v>102</v>
      </c>
      <c r="G1" t="s">
        <v>103</v>
      </c>
      <c r="H1" t="s">
        <v>154</v>
      </c>
      <c r="I1" t="s">
        <v>157</v>
      </c>
      <c r="J1" t="s">
        <v>105</v>
      </c>
      <c r="K1" t="s">
        <v>106</v>
      </c>
      <c r="L1" t="s">
        <v>107</v>
      </c>
      <c r="M1" t="s">
        <v>108</v>
      </c>
      <c r="N1" t="s">
        <v>163</v>
      </c>
      <c r="O1" t="s">
        <v>161</v>
      </c>
    </row>
    <row r="2">
      <c r="A2" t="s">
        <v>317</v>
      </c>
      <c r="B2" t="s">
        <v>110</v>
      </c>
      <c r="C2" t="s">
        <v>190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104</v>
      </c>
      <c r="N2" t="s">
        <v>195</v>
      </c>
      <c r="O2" t="s">
        <v>120</v>
      </c>
    </row>
    <row r="3">
      <c r="A3" t="s">
        <v>471</v>
      </c>
      <c r="B3" t="s">
        <v>188</v>
      </c>
      <c r="C3" t="s">
        <v>189</v>
      </c>
      <c r="D3" t="s">
        <v>124</v>
      </c>
      <c r="E3" t="s">
        <v>226</v>
      </c>
      <c r="F3" t="s">
        <v>98</v>
      </c>
      <c r="G3" t="s">
        <v>191</v>
      </c>
      <c r="H3" t="s">
        <v>101</v>
      </c>
      <c r="I3" t="s">
        <v>125</v>
      </c>
      <c r="J3" t="s">
        <v>126</v>
      </c>
      <c r="K3" t="s">
        <v>127</v>
      </c>
      <c r="L3" t="s">
        <v>129</v>
      </c>
      <c r="M3" t="s">
        <v>130</v>
      </c>
      <c r="N3" t="s">
        <v>133</v>
      </c>
      <c r="O3" t="s">
        <v>109</v>
      </c>
    </row>
    <row r="4">
      <c r="A4" t="s">
        <v>407</v>
      </c>
      <c r="B4" t="s">
        <v>135</v>
      </c>
      <c r="C4" t="s">
        <v>136</v>
      </c>
      <c r="D4" t="s">
        <v>137</v>
      </c>
      <c r="E4" t="s">
        <v>138</v>
      </c>
      <c r="F4" t="s">
        <v>139</v>
      </c>
      <c r="G4" t="s">
        <v>140</v>
      </c>
      <c r="H4" t="s">
        <v>141</v>
      </c>
      <c r="I4" t="s">
        <v>142</v>
      </c>
      <c r="J4" t="s">
        <v>143</v>
      </c>
      <c r="K4" t="s">
        <v>144</v>
      </c>
      <c r="L4" t="s">
        <v>192</v>
      </c>
      <c r="M4" t="s">
        <v>145</v>
      </c>
      <c r="N4" t="s">
        <v>146</v>
      </c>
      <c r="O4" t="s">
        <v>147</v>
      </c>
    </row>
    <row r="5">
      <c r="A5" t="s">
        <v>535</v>
      </c>
      <c r="B5" t="s">
        <v>235</v>
      </c>
      <c r="C5" t="s">
        <v>545</v>
      </c>
      <c r="D5" t="s">
        <v>232</v>
      </c>
      <c r="E5" t="s">
        <v>233</v>
      </c>
      <c r="F5" t="s">
        <v>227</v>
      </c>
      <c r="G5" t="s">
        <v>151</v>
      </c>
      <c r="H5" t="s">
        <v>153</v>
      </c>
      <c r="I5" t="s">
        <v>236</v>
      </c>
      <c r="J5" t="s">
        <v>228</v>
      </c>
      <c r="K5" t="s">
        <v>234</v>
      </c>
      <c r="L5" t="s">
        <v>160</v>
      </c>
      <c r="M5" t="s">
        <v>162</v>
      </c>
    </row>
    <row r="6">
      <c r="A6" t="s">
        <v>530</v>
      </c>
      <c r="B6" t="s">
        <v>164</v>
      </c>
      <c r="C6" t="s">
        <v>165</v>
      </c>
      <c r="D6" t="s">
        <v>166</v>
      </c>
      <c r="E6" t="s">
        <v>167</v>
      </c>
      <c r="F6" t="s">
        <v>168</v>
      </c>
      <c r="G6" t="s">
        <v>304</v>
      </c>
      <c r="H6" t="s">
        <v>170</v>
      </c>
      <c r="I6" t="s">
        <v>548</v>
      </c>
      <c r="J6" t="s">
        <v>172</v>
      </c>
      <c r="K6" t="s">
        <v>173</v>
      </c>
      <c r="L6" t="s">
        <v>174</v>
      </c>
      <c r="M6" t="s">
        <v>527</v>
      </c>
      <c r="N6" t="s">
        <v>175</v>
      </c>
    </row>
    <row r="7">
      <c r="A7" t="s">
        <v>525</v>
      </c>
      <c r="B7" t="s">
        <v>176</v>
      </c>
      <c r="C7" t="s">
        <v>177</v>
      </c>
      <c r="D7" t="s">
        <v>178</v>
      </c>
      <c r="E7" t="s">
        <v>179</v>
      </c>
      <c r="F7" t="s">
        <v>536</v>
      </c>
      <c r="G7" t="s">
        <v>181</v>
      </c>
      <c r="H7" t="s">
        <v>182</v>
      </c>
      <c r="I7" t="s">
        <v>183</v>
      </c>
      <c r="J7" t="s">
        <v>549</v>
      </c>
      <c r="K7" t="s">
        <v>185</v>
      </c>
      <c r="L7" t="s">
        <v>186</v>
      </c>
      <c r="M7" t="s">
        <v>187</v>
      </c>
    </row>
    <row r="8">
      <c r="A8" t="s">
        <v>680</v>
      </c>
      <c r="B8" t="s">
        <v>194</v>
      </c>
      <c r="C8" t="s">
        <v>200</v>
      </c>
    </row>
    <row r="9">
      <c r="A9" t="s">
        <v>556</v>
      </c>
      <c r="B9" t="s">
        <v>201</v>
      </c>
      <c r="C9" t="s">
        <v>202</v>
      </c>
      <c r="D9" t="s">
        <v>45</v>
      </c>
      <c r="E9" t="s">
        <v>203</v>
      </c>
      <c r="F9" t="s">
        <v>204</v>
      </c>
      <c r="G9" t="s">
        <v>205</v>
      </c>
      <c r="H9" t="s">
        <v>206</v>
      </c>
      <c r="I9" t="s">
        <v>207</v>
      </c>
      <c r="J9" t="s">
        <v>208</v>
      </c>
      <c r="K9" t="s">
        <v>128</v>
      </c>
      <c r="L9" t="s">
        <v>209</v>
      </c>
      <c r="M9" t="s">
        <v>210</v>
      </c>
      <c r="N9" t="s">
        <v>211</v>
      </c>
      <c r="O9" t="s">
        <v>131</v>
      </c>
    </row>
    <row r="10">
      <c r="A10" t="s">
        <v>441</v>
      </c>
      <c r="B10" t="s">
        <v>422</v>
      </c>
      <c r="C10" t="s">
        <v>215</v>
      </c>
      <c r="D10" t="s">
        <v>223</v>
      </c>
      <c r="E10" t="s">
        <v>216</v>
      </c>
      <c r="F10" t="s">
        <v>217</v>
      </c>
      <c r="G10" t="s">
        <v>231</v>
      </c>
      <c r="H10" t="s">
        <v>152</v>
      </c>
      <c r="I10" t="s">
        <v>155</v>
      </c>
      <c r="J10" t="s">
        <v>220</v>
      </c>
      <c r="K10" t="s">
        <v>546</v>
      </c>
      <c r="L10" t="s">
        <v>221</v>
      </c>
      <c r="M10" t="s">
        <v>222</v>
      </c>
      <c r="N10" t="s">
        <v>552</v>
      </c>
      <c r="O10" t="s">
        <v>219</v>
      </c>
    </row>
    <row r="11">
      <c r="A11" t="s">
        <v>725</v>
      </c>
      <c r="B11" t="s">
        <v>229</v>
      </c>
      <c r="C11" t="s">
        <v>99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s="103" t="str">
        <f>'Picks by Player'!A1</f>
        <v>Nick G.</v>
      </c>
      <c r="B1" s="103" t="str">
        <f>'Picks by Player'!A1</f>
        <v>Nick G.</v>
      </c>
      <c r="C1" s="115" t="str">
        <f>'Picks by Player'!C1</f>
        <v>Gary</v>
      </c>
      <c r="D1" s="115" t="str">
        <f>'Picks by Player'!C1</f>
        <v>Gary</v>
      </c>
      <c r="E1" s="252" t="str">
        <f>'Picks by Player'!E1</f>
        <v>Vu</v>
      </c>
      <c r="F1" s="252" t="str">
        <f>'Picks by Player'!E1</f>
        <v>Vu</v>
      </c>
      <c r="G1" s="115" t="str">
        <f>'Picks by Player'!G1</f>
        <v>Nick A.</v>
      </c>
      <c r="H1" s="252" t="str">
        <f>'Picks by Player'!G1</f>
        <v>Nick A.</v>
      </c>
      <c r="I1" s="115" t="str">
        <f>'Picks by Player'!I1</f>
        <v>Jeannine</v>
      </c>
      <c r="J1" s="115" t="str">
        <f>'Picks by Player'!I1</f>
        <v>Jeannine</v>
      </c>
      <c r="K1" s="115" t="str">
        <f>'Picks by Player'!K1</f>
        <v>Justin</v>
      </c>
      <c r="L1" s="115" t="str">
        <f>'Picks by Player'!K1</f>
        <v>Justin</v>
      </c>
      <c r="M1" s="115" t="str">
        <f>'Picks by Player'!M1</f>
        <v>Josh</v>
      </c>
      <c r="N1" s="115" t="str">
        <f>'Picks by Player'!M1</f>
        <v>Josh</v>
      </c>
      <c r="O1" s="115" t="str">
        <f>'Picks by Player'!O1</f>
        <v>Mike</v>
      </c>
      <c r="P1" s="115" t="str">
        <f>'Picks by Player'!O1</f>
        <v>Mike</v>
      </c>
      <c r="Q1" s="115" t="str">
        <f>'Picks by Player'!Q1</f>
        <v>Brad</v>
      </c>
      <c r="R1" s="115" t="str">
        <f>'Picks by Player'!Q1</f>
        <v>Brad</v>
      </c>
      <c r="S1" s="115" t="str">
        <f>'Picks by Player'!S1</f>
        <v>Masa</v>
      </c>
      <c r="T1" s="115" t="str">
        <f>'Picks by Player'!S1</f>
        <v>Masa</v>
      </c>
      <c r="U1" s="115" t="str">
        <f>'Picks by Player'!U1</f>
        <v>Dan</v>
      </c>
      <c r="V1" s="115" t="str">
        <f>'Picks by Player'!U1</f>
        <v>Dan</v>
      </c>
      <c r="W1" s="115" t="str">
        <f>'Picks by Player'!W1</f>
        <v>Nico</v>
      </c>
      <c r="X1" s="115" t="str">
        <f>'Picks by Player'!W1</f>
        <v>Nico</v>
      </c>
      <c r="Y1" s="135" t="str">
        <f>'Picks by Player'!Y1</f>
        <v>#REF!</v>
      </c>
      <c r="Z1" s="135" t="str">
        <f>'Picks by Player'!Y1</f>
        <v>#REF!</v>
      </c>
    </row>
    <row r="2">
      <c r="A2" t="str">
        <f t="array" ref="A2:A623">if(DraftTracker!$D:$D=A1,DraftTracker!$E:$E,"")</f>
        <v/>
      </c>
      <c r="B2" t="str">
        <f t="array" ref="B2:B623">if(DraftTracker!$D:$D=B1,DraftTracker!$F:$F,"")</f>
        <v/>
      </c>
      <c r="C2" t="str">
        <f t="array" ref="C2:C623">if(DraftTracker!$D:$D=C1,DraftTracker!$E:$E,"")</f>
        <v/>
      </c>
      <c r="D2" t="str">
        <f t="array" ref="D2:D623">if(DraftTracker!$D:$D=D1,DraftTracker!$F:$F,"")</f>
        <v/>
      </c>
      <c r="E2" t="str">
        <f t="array" ref="E2:E623">if(DraftTracker!$D:$D=E1,DraftTracker!$E:$E,"")</f>
        <v/>
      </c>
      <c r="F2" t="str">
        <f t="array" ref="F2:F623">if(DraftTracker!$D:$D=F1,DraftTracker!$F:$F,"")</f>
        <v/>
      </c>
      <c r="G2" t="str">
        <f t="array" ref="G2:G623">if(DraftTracker!$D:$D=G1,DraftTracker!$E:$E,"")</f>
        <v/>
      </c>
      <c r="H2" t="str">
        <f t="array" ref="H2:H623">if(DraftTracker!$D:$D=H1,DraftTracker!$F:$F,"")</f>
        <v/>
      </c>
      <c r="I2" t="str">
        <f t="array" ref="I2:I623">if(DraftTracker!$D:$D=I1,DraftTracker!$E:$E,"")</f>
        <v/>
      </c>
      <c r="J2" t="str">
        <f t="array" ref="J2:J623">if(DraftTracker!$D:$D=J1,DraftTracker!$F:$F,"")</f>
        <v/>
      </c>
      <c r="K2" t="str">
        <f t="array" ref="K2:K623">if(DraftTracker!$D:$D=K1,DraftTracker!$E:$E,"")</f>
        <v/>
      </c>
      <c r="L2" t="str">
        <f t="array" ref="L2:L623">if(DraftTracker!$D:$D=L1,DraftTracker!$F:$F,"")</f>
        <v/>
      </c>
      <c r="M2" t="str">
        <f t="array" ref="M2:M623">if(DraftTracker!$D:$D=M1,DraftTracker!$E:$E,"")</f>
        <v/>
      </c>
      <c r="N2" t="str">
        <f t="array" ref="N2:N623">if(DraftTracker!$D:$D=N1,DraftTracker!$F:$F,"")</f>
        <v/>
      </c>
      <c r="O2" t="str">
        <f t="array" ref="O2:O623">if(DraftTracker!$D:$D=O1,DraftTracker!$E:$E,"")</f>
        <v/>
      </c>
      <c r="P2" t="str">
        <f t="array" ref="P2:P623">if(DraftTracker!$D:$D=P1,DraftTracker!$F:$F,"")</f>
        <v/>
      </c>
      <c r="Q2" t="str">
        <f t="array" ref="Q2:Q623">if(DraftTracker!$D:$D=Q1,DraftTracker!$E:$E,"")</f>
        <v/>
      </c>
      <c r="R2" t="str">
        <f t="array" ref="R2:R623">if(DraftTracker!$D:$D=R1,DraftTracker!$F:$F,"")</f>
        <v/>
      </c>
      <c r="S2" t="str">
        <f t="array" ref="S2:S623">if(DraftTracker!$D:$D=S1,DraftTracker!$E:$E,"")</f>
        <v/>
      </c>
      <c r="T2" t="str">
        <f t="array" ref="T2:T623">if(DraftTracker!$D:$D=T1,DraftTracker!$F:$F,"")</f>
        <v/>
      </c>
      <c r="U2" t="str">
        <f t="array" ref="U2:U623">if(DraftTracker!$D:$D=U1,DraftTracker!$E:$E,"")</f>
        <v/>
      </c>
      <c r="V2" t="str">
        <f t="array" ref="V2:V623">if(DraftTracker!$D:$D=V1,DraftTracker!$F:$F,"")</f>
        <v/>
      </c>
      <c r="W2" t="str">
        <f t="array" ref="W2:W623">if(DraftTracker!$D:$D=W1,DraftTracker!$E:$E,"")</f>
        <v/>
      </c>
      <c r="X2" t="str">
        <f t="array" ref="X2:X623">if(DraftTracker!$D:$D=X1,DraftTracker!$F:$F,"")</f>
        <v/>
      </c>
      <c r="Y2" t="str">
        <f t="array" ref="Y2:Y623">if(DraftTracker!$D:$D=Y1,DraftTracker!$E:$E,"")</f>
        <v>#REF!</v>
      </c>
      <c r="Z2" t="str">
        <f t="array" ref="Z2:Z623">if(DraftTracker!$D:$D=Z1,DraftTracker!$F:$F,"")</f>
        <v>#REF!</v>
      </c>
    </row>
    <row r="3">
      <c r="A3" t="s">
        <v>407</v>
      </c>
      <c r="B3" t="s">
        <v>145</v>
      </c>
      <c r="C3" t="s">
        <v>898</v>
      </c>
      <c r="D3" t="s">
        <v>898</v>
      </c>
      <c r="E3" t="s">
        <v>898</v>
      </c>
      <c r="F3" t="s">
        <v>898</v>
      </c>
      <c r="G3" t="s">
        <v>898</v>
      </c>
      <c r="H3" t="s">
        <v>898</v>
      </c>
      <c r="I3" t="s">
        <v>898</v>
      </c>
      <c r="J3" t="s">
        <v>898</v>
      </c>
      <c r="K3" t="s">
        <v>898</v>
      </c>
      <c r="L3" t="s">
        <v>898</v>
      </c>
      <c r="M3" t="s">
        <v>898</v>
      </c>
      <c r="N3" t="s">
        <v>898</v>
      </c>
      <c r="O3" t="s">
        <v>898</v>
      </c>
      <c r="P3" t="s">
        <v>898</v>
      </c>
      <c r="Q3" t="s">
        <v>898</v>
      </c>
      <c r="R3" t="s">
        <v>898</v>
      </c>
      <c r="S3" t="s">
        <v>898</v>
      </c>
      <c r="T3" t="s">
        <v>898</v>
      </c>
      <c r="U3" t="s">
        <v>898</v>
      </c>
      <c r="V3" t="s">
        <v>898</v>
      </c>
      <c r="W3" t="s">
        <v>898</v>
      </c>
      <c r="X3" t="s">
        <v>898</v>
      </c>
      <c r="Y3" t="e">
        <v>#REF!</v>
      </c>
      <c r="Z3" t="e">
        <v>#REF!</v>
      </c>
    </row>
    <row r="4">
      <c r="A4" t="s">
        <v>898</v>
      </c>
      <c r="B4" t="s">
        <v>898</v>
      </c>
      <c r="C4" t="s">
        <v>525</v>
      </c>
      <c r="D4" t="s">
        <v>177</v>
      </c>
      <c r="E4" t="s">
        <v>898</v>
      </c>
      <c r="F4" t="s">
        <v>898</v>
      </c>
      <c r="G4" t="s">
        <v>898</v>
      </c>
      <c r="H4" t="s">
        <v>898</v>
      </c>
      <c r="I4" t="s">
        <v>898</v>
      </c>
      <c r="J4" t="s">
        <v>898</v>
      </c>
      <c r="K4" t="s">
        <v>898</v>
      </c>
      <c r="L4" t="s">
        <v>898</v>
      </c>
      <c r="M4" t="s">
        <v>898</v>
      </c>
      <c r="N4" t="s">
        <v>898</v>
      </c>
      <c r="O4" t="s">
        <v>898</v>
      </c>
      <c r="P4" t="s">
        <v>898</v>
      </c>
      <c r="Q4" t="s">
        <v>898</v>
      </c>
      <c r="R4" t="s">
        <v>898</v>
      </c>
      <c r="S4" t="s">
        <v>898</v>
      </c>
      <c r="T4" t="s">
        <v>898</v>
      </c>
      <c r="U4" t="s">
        <v>898</v>
      </c>
      <c r="V4" t="s">
        <v>898</v>
      </c>
      <c r="W4" t="s">
        <v>898</v>
      </c>
      <c r="X4" t="s">
        <v>898</v>
      </c>
      <c r="Y4" t="e">
        <v>#REF!</v>
      </c>
      <c r="Z4" t="e">
        <v>#REF!</v>
      </c>
    </row>
    <row r="5">
      <c r="A5" t="s">
        <v>898</v>
      </c>
      <c r="B5" t="s">
        <v>898</v>
      </c>
      <c r="C5" t="s">
        <v>898</v>
      </c>
      <c r="D5" t="s">
        <v>898</v>
      </c>
      <c r="E5" t="s">
        <v>535</v>
      </c>
      <c r="F5" t="s">
        <v>227</v>
      </c>
      <c r="G5" t="s">
        <v>898</v>
      </c>
      <c r="H5" t="s">
        <v>898</v>
      </c>
      <c r="I5" t="s">
        <v>898</v>
      </c>
      <c r="J5" t="s">
        <v>898</v>
      </c>
      <c r="K5" t="s">
        <v>898</v>
      </c>
      <c r="L5" t="s">
        <v>898</v>
      </c>
      <c r="M5" t="s">
        <v>898</v>
      </c>
      <c r="N5" t="s">
        <v>898</v>
      </c>
      <c r="O5" t="s">
        <v>898</v>
      </c>
      <c r="P5" t="s">
        <v>898</v>
      </c>
      <c r="Q5" t="s">
        <v>898</v>
      </c>
      <c r="R5" t="s">
        <v>898</v>
      </c>
      <c r="S5" t="s">
        <v>898</v>
      </c>
      <c r="T5" t="s">
        <v>898</v>
      </c>
      <c r="U5" t="s">
        <v>898</v>
      </c>
      <c r="V5" t="s">
        <v>898</v>
      </c>
      <c r="W5" t="s">
        <v>898</v>
      </c>
      <c r="X5" t="s">
        <v>898</v>
      </c>
      <c r="Y5" t="e">
        <v>#REF!</v>
      </c>
      <c r="Z5" t="e">
        <v>#REF!</v>
      </c>
    </row>
    <row r="6">
      <c r="A6" t="s">
        <v>898</v>
      </c>
      <c r="B6" t="s">
        <v>898</v>
      </c>
      <c r="C6" t="s">
        <v>898</v>
      </c>
      <c r="D6" t="s">
        <v>898</v>
      </c>
      <c r="E6" t="s">
        <v>898</v>
      </c>
      <c r="F6" t="s">
        <v>898</v>
      </c>
      <c r="G6" t="s">
        <v>407</v>
      </c>
      <c r="H6" t="s">
        <v>144</v>
      </c>
      <c r="I6" t="s">
        <v>898</v>
      </c>
      <c r="J6" t="s">
        <v>898</v>
      </c>
      <c r="K6" t="s">
        <v>898</v>
      </c>
      <c r="L6" t="s">
        <v>898</v>
      </c>
      <c r="M6" t="s">
        <v>898</v>
      </c>
      <c r="N6" t="s">
        <v>898</v>
      </c>
      <c r="O6" t="s">
        <v>898</v>
      </c>
      <c r="P6" t="s">
        <v>898</v>
      </c>
      <c r="Q6" t="s">
        <v>898</v>
      </c>
      <c r="R6" t="s">
        <v>898</v>
      </c>
      <c r="S6" t="s">
        <v>898</v>
      </c>
      <c r="T6" t="s">
        <v>898</v>
      </c>
      <c r="U6" t="s">
        <v>898</v>
      </c>
      <c r="V6" t="s">
        <v>898</v>
      </c>
      <c r="W6" t="s">
        <v>898</v>
      </c>
      <c r="X6" t="s">
        <v>898</v>
      </c>
      <c r="Y6" t="e">
        <v>#REF!</v>
      </c>
      <c r="Z6" t="e">
        <v>#REF!</v>
      </c>
    </row>
    <row r="7">
      <c r="A7" t="s">
        <v>898</v>
      </c>
      <c r="B7" t="s">
        <v>898</v>
      </c>
      <c r="C7" t="s">
        <v>898</v>
      </c>
      <c r="D7" t="s">
        <v>898</v>
      </c>
      <c r="E7" t="s">
        <v>898</v>
      </c>
      <c r="F7" t="s">
        <v>898</v>
      </c>
      <c r="G7" t="s">
        <v>898</v>
      </c>
      <c r="H7" t="s">
        <v>898</v>
      </c>
      <c r="I7" t="s">
        <v>407</v>
      </c>
      <c r="J7" t="s">
        <v>192</v>
      </c>
      <c r="K7" t="s">
        <v>898</v>
      </c>
      <c r="L7" t="s">
        <v>898</v>
      </c>
      <c r="M7" t="s">
        <v>898</v>
      </c>
      <c r="N7" t="s">
        <v>898</v>
      </c>
      <c r="O7" t="s">
        <v>898</v>
      </c>
      <c r="P7" t="s">
        <v>898</v>
      </c>
      <c r="Q7" t="s">
        <v>898</v>
      </c>
      <c r="R7" t="s">
        <v>898</v>
      </c>
      <c r="S7" t="s">
        <v>898</v>
      </c>
      <c r="T7" t="s">
        <v>898</v>
      </c>
      <c r="U7" t="s">
        <v>898</v>
      </c>
      <c r="V7" t="s">
        <v>898</v>
      </c>
      <c r="W7" t="s">
        <v>898</v>
      </c>
      <c r="X7" t="s">
        <v>898</v>
      </c>
      <c r="Y7" t="e">
        <v>#REF!</v>
      </c>
      <c r="Z7" t="e">
        <v>#REF!</v>
      </c>
    </row>
    <row r="8">
      <c r="A8" t="s">
        <v>898</v>
      </c>
      <c r="B8" t="s">
        <v>898</v>
      </c>
      <c r="C8" t="s">
        <v>898</v>
      </c>
      <c r="D8" t="s">
        <v>898</v>
      </c>
      <c r="E8" t="s">
        <v>898</v>
      </c>
      <c r="F8" t="s">
        <v>898</v>
      </c>
      <c r="G8" t="s">
        <v>898</v>
      </c>
      <c r="H8" t="s">
        <v>898</v>
      </c>
      <c r="I8" t="s">
        <v>898</v>
      </c>
      <c r="J8" t="s">
        <v>898</v>
      </c>
      <c r="K8" t="s">
        <v>525</v>
      </c>
      <c r="L8" t="s">
        <v>185</v>
      </c>
      <c r="M8" t="s">
        <v>898</v>
      </c>
      <c r="N8" t="s">
        <v>898</v>
      </c>
      <c r="O8" t="s">
        <v>898</v>
      </c>
      <c r="P8" t="s">
        <v>898</v>
      </c>
      <c r="Q8" t="s">
        <v>898</v>
      </c>
      <c r="R8" t="s">
        <v>898</v>
      </c>
      <c r="S8" t="s">
        <v>898</v>
      </c>
      <c r="T8" t="s">
        <v>898</v>
      </c>
      <c r="U8" t="s">
        <v>898</v>
      </c>
      <c r="V8" t="s">
        <v>898</v>
      </c>
      <c r="W8" t="s">
        <v>898</v>
      </c>
      <c r="X8" t="s">
        <v>898</v>
      </c>
      <c r="Y8" t="e">
        <v>#REF!</v>
      </c>
      <c r="Z8" t="e">
        <v>#REF!</v>
      </c>
    </row>
    <row r="9">
      <c r="A9" t="s">
        <v>898</v>
      </c>
      <c r="B9" t="s">
        <v>898</v>
      </c>
      <c r="C9" t="s">
        <v>898</v>
      </c>
      <c r="D9" t="s">
        <v>898</v>
      </c>
      <c r="E9" t="s">
        <v>898</v>
      </c>
      <c r="F9" t="s">
        <v>898</v>
      </c>
      <c r="G9" t="s">
        <v>898</v>
      </c>
      <c r="H9" t="s">
        <v>898</v>
      </c>
      <c r="I9" t="s">
        <v>898</v>
      </c>
      <c r="J9" t="s">
        <v>898</v>
      </c>
      <c r="K9" t="s">
        <v>898</v>
      </c>
      <c r="L9" t="s">
        <v>898</v>
      </c>
      <c r="M9" t="s">
        <v>725</v>
      </c>
      <c r="N9" t="s">
        <v>229</v>
      </c>
      <c r="O9" t="s">
        <v>898</v>
      </c>
      <c r="P9" t="s">
        <v>898</v>
      </c>
      <c r="Q9" t="s">
        <v>898</v>
      </c>
      <c r="R9" t="s">
        <v>898</v>
      </c>
      <c r="S9" t="s">
        <v>898</v>
      </c>
      <c r="T9" t="s">
        <v>898</v>
      </c>
      <c r="U9" t="s">
        <v>898</v>
      </c>
      <c r="V9" t="s">
        <v>898</v>
      </c>
      <c r="W9" t="s">
        <v>898</v>
      </c>
      <c r="X9" t="s">
        <v>898</v>
      </c>
      <c r="Y9" t="e">
        <v>#REF!</v>
      </c>
      <c r="Z9" t="e">
        <v>#REF!</v>
      </c>
    </row>
    <row r="10">
      <c r="A10" t="s">
        <v>898</v>
      </c>
      <c r="B10" t="s">
        <v>898</v>
      </c>
      <c r="C10" t="s">
        <v>898</v>
      </c>
      <c r="D10" t="s">
        <v>898</v>
      </c>
      <c r="E10" t="s">
        <v>898</v>
      </c>
      <c r="F10" t="s">
        <v>898</v>
      </c>
      <c r="G10" t="s">
        <v>898</v>
      </c>
      <c r="H10" t="s">
        <v>898</v>
      </c>
      <c r="I10" t="s">
        <v>898</v>
      </c>
      <c r="J10" t="s">
        <v>898</v>
      </c>
      <c r="K10" t="s">
        <v>898</v>
      </c>
      <c r="L10" t="s">
        <v>898</v>
      </c>
      <c r="M10" t="s">
        <v>898</v>
      </c>
      <c r="N10" t="s">
        <v>898</v>
      </c>
      <c r="O10" t="s">
        <v>361</v>
      </c>
      <c r="P10" t="s">
        <v>102</v>
      </c>
      <c r="Q10" t="s">
        <v>898</v>
      </c>
      <c r="R10" t="s">
        <v>898</v>
      </c>
      <c r="S10" t="s">
        <v>898</v>
      </c>
      <c r="T10" t="s">
        <v>898</v>
      </c>
      <c r="U10" t="s">
        <v>898</v>
      </c>
      <c r="V10" t="s">
        <v>898</v>
      </c>
      <c r="W10" t="s">
        <v>898</v>
      </c>
      <c r="X10" t="s">
        <v>898</v>
      </c>
      <c r="Y10" t="e">
        <v>#REF!</v>
      </c>
      <c r="Z10" t="e">
        <v>#REF!</v>
      </c>
    </row>
    <row r="11">
      <c r="A11" t="s">
        <v>898</v>
      </c>
      <c r="B11" t="s">
        <v>898</v>
      </c>
      <c r="C11" t="s">
        <v>898</v>
      </c>
      <c r="D11" t="s">
        <v>898</v>
      </c>
      <c r="E11" t="s">
        <v>898</v>
      </c>
      <c r="F11" t="s">
        <v>898</v>
      </c>
      <c r="G11" t="s">
        <v>898</v>
      </c>
      <c r="H11" t="s">
        <v>898</v>
      </c>
      <c r="I11" t="s">
        <v>898</v>
      </c>
      <c r="J11" t="s">
        <v>898</v>
      </c>
      <c r="K11" t="s">
        <v>898</v>
      </c>
      <c r="L11" t="s">
        <v>898</v>
      </c>
      <c r="M11" t="s">
        <v>898</v>
      </c>
      <c r="N11" t="s">
        <v>898</v>
      </c>
      <c r="O11" t="s">
        <v>898</v>
      </c>
      <c r="P11" t="s">
        <v>898</v>
      </c>
      <c r="Q11" t="s">
        <v>530</v>
      </c>
      <c r="R11" t="s">
        <v>174</v>
      </c>
      <c r="S11" t="s">
        <v>898</v>
      </c>
      <c r="T11" t="s">
        <v>898</v>
      </c>
      <c r="U11" t="s">
        <v>898</v>
      </c>
      <c r="V11" t="s">
        <v>898</v>
      </c>
      <c r="W11" t="s">
        <v>898</v>
      </c>
      <c r="X11" t="s">
        <v>898</v>
      </c>
      <c r="Y11" t="e">
        <v>#REF!</v>
      </c>
      <c r="Z11" t="e">
        <v>#REF!</v>
      </c>
    </row>
    <row r="12">
      <c r="A12" t="s">
        <v>898</v>
      </c>
      <c r="B12" t="s">
        <v>898</v>
      </c>
      <c r="C12" t="s">
        <v>898</v>
      </c>
      <c r="D12" t="s">
        <v>898</v>
      </c>
      <c r="E12" t="s">
        <v>898</v>
      </c>
      <c r="F12" t="s">
        <v>898</v>
      </c>
      <c r="G12" t="s">
        <v>898</v>
      </c>
      <c r="H12" t="s">
        <v>898</v>
      </c>
      <c r="I12" t="s">
        <v>898</v>
      </c>
      <c r="J12" t="s">
        <v>898</v>
      </c>
      <c r="K12" t="s">
        <v>898</v>
      </c>
      <c r="L12" t="s">
        <v>898</v>
      </c>
      <c r="M12" t="s">
        <v>898</v>
      </c>
      <c r="N12" t="s">
        <v>898</v>
      </c>
      <c r="O12" t="s">
        <v>898</v>
      </c>
      <c r="P12" t="s">
        <v>898</v>
      </c>
      <c r="Q12" t="s">
        <v>898</v>
      </c>
      <c r="R12" t="s">
        <v>898</v>
      </c>
      <c r="S12" t="s">
        <v>317</v>
      </c>
      <c r="T12" t="s">
        <v>111</v>
      </c>
      <c r="U12" t="s">
        <v>898</v>
      </c>
      <c r="V12" t="s">
        <v>898</v>
      </c>
      <c r="W12" t="s">
        <v>898</v>
      </c>
      <c r="X12" t="s">
        <v>898</v>
      </c>
      <c r="Y12" t="e">
        <v>#REF!</v>
      </c>
      <c r="Z12" t="e">
        <v>#REF!</v>
      </c>
    </row>
    <row r="13">
      <c r="A13" t="s">
        <v>898</v>
      </c>
      <c r="B13" t="s">
        <v>898</v>
      </c>
      <c r="C13" t="s">
        <v>898</v>
      </c>
      <c r="D13" t="s">
        <v>898</v>
      </c>
      <c r="E13" t="s">
        <v>898</v>
      </c>
      <c r="F13" t="s">
        <v>898</v>
      </c>
      <c r="G13" t="s">
        <v>898</v>
      </c>
      <c r="H13" t="s">
        <v>898</v>
      </c>
      <c r="I13" t="s">
        <v>898</v>
      </c>
      <c r="J13" t="s">
        <v>898</v>
      </c>
      <c r="K13" t="s">
        <v>898</v>
      </c>
      <c r="L13" t="s">
        <v>898</v>
      </c>
      <c r="M13" t="s">
        <v>898</v>
      </c>
      <c r="N13" t="s">
        <v>898</v>
      </c>
      <c r="O13" t="s">
        <v>898</v>
      </c>
      <c r="P13" t="s">
        <v>898</v>
      </c>
      <c r="Q13" t="s">
        <v>898</v>
      </c>
      <c r="R13" t="s">
        <v>898</v>
      </c>
      <c r="S13" t="s">
        <v>898</v>
      </c>
      <c r="T13" t="s">
        <v>898</v>
      </c>
      <c r="U13" t="s">
        <v>441</v>
      </c>
      <c r="V13" t="s">
        <v>231</v>
      </c>
      <c r="W13" t="s">
        <v>898</v>
      </c>
      <c r="X13" t="s">
        <v>898</v>
      </c>
      <c r="Y13" t="e">
        <v>#REF!</v>
      </c>
      <c r="Z13" t="e">
        <v>#REF!</v>
      </c>
    </row>
    <row r="14">
      <c r="A14" t="s">
        <v>898</v>
      </c>
      <c r="B14" t="s">
        <v>898</v>
      </c>
      <c r="C14" t="s">
        <v>898</v>
      </c>
      <c r="D14" t="s">
        <v>898</v>
      </c>
      <c r="E14" t="s">
        <v>898</v>
      </c>
      <c r="F14" t="s">
        <v>898</v>
      </c>
      <c r="G14" t="s">
        <v>898</v>
      </c>
      <c r="H14" t="s">
        <v>898</v>
      </c>
      <c r="I14" t="s">
        <v>898</v>
      </c>
      <c r="J14" t="s">
        <v>898</v>
      </c>
      <c r="K14" t="s">
        <v>898</v>
      </c>
      <c r="L14" t="s">
        <v>898</v>
      </c>
      <c r="M14" t="s">
        <v>898</v>
      </c>
      <c r="N14" t="s">
        <v>898</v>
      </c>
      <c r="O14" t="s">
        <v>898</v>
      </c>
      <c r="P14" t="s">
        <v>898</v>
      </c>
      <c r="Q14" t="s">
        <v>898</v>
      </c>
      <c r="R14" t="s">
        <v>898</v>
      </c>
      <c r="S14" t="s">
        <v>898</v>
      </c>
      <c r="T14" t="s">
        <v>898</v>
      </c>
      <c r="U14" t="s">
        <v>898</v>
      </c>
      <c r="V14" t="s">
        <v>898</v>
      </c>
      <c r="W14" t="s">
        <v>361</v>
      </c>
      <c r="X14" t="s">
        <v>107</v>
      </c>
      <c r="Y14" t="e">
        <v>#REF!</v>
      </c>
      <c r="Z14" t="e">
        <v>#REF!</v>
      </c>
    </row>
    <row r="15">
      <c r="A15" t="s">
        <v>898</v>
      </c>
      <c r="B15" t="s">
        <v>898</v>
      </c>
      <c r="C15" t="s">
        <v>898</v>
      </c>
      <c r="D15" t="s">
        <v>898</v>
      </c>
      <c r="E15" t="s">
        <v>898</v>
      </c>
      <c r="F15" t="s">
        <v>898</v>
      </c>
      <c r="G15" t="s">
        <v>898</v>
      </c>
      <c r="H15" t="s">
        <v>898</v>
      </c>
      <c r="I15" t="s">
        <v>898</v>
      </c>
      <c r="J15" t="s">
        <v>898</v>
      </c>
      <c r="K15" t="s">
        <v>898</v>
      </c>
      <c r="L15" t="s">
        <v>898</v>
      </c>
      <c r="M15" t="s">
        <v>898</v>
      </c>
      <c r="N15" t="s">
        <v>898</v>
      </c>
      <c r="O15" t="s">
        <v>898</v>
      </c>
      <c r="P15" t="s">
        <v>898</v>
      </c>
      <c r="Q15" t="s">
        <v>898</v>
      </c>
      <c r="R15" t="s">
        <v>898</v>
      </c>
      <c r="S15" t="s">
        <v>898</v>
      </c>
      <c r="T15" t="s">
        <v>898</v>
      </c>
      <c r="U15" t="s">
        <v>898</v>
      </c>
      <c r="V15" t="s">
        <v>898</v>
      </c>
      <c r="W15" t="s">
        <v>556</v>
      </c>
      <c r="X15" t="s">
        <v>131</v>
      </c>
      <c r="Y15" t="e">
        <v>#REF!</v>
      </c>
      <c r="Z15" t="e">
        <v>#REF!</v>
      </c>
    </row>
    <row r="16">
      <c r="A16" t="s">
        <v>898</v>
      </c>
      <c r="B16" t="s">
        <v>898</v>
      </c>
      <c r="C16" t="s">
        <v>898</v>
      </c>
      <c r="D16" t="s">
        <v>898</v>
      </c>
      <c r="E16" t="s">
        <v>898</v>
      </c>
      <c r="F16" t="s">
        <v>898</v>
      </c>
      <c r="G16" t="s">
        <v>898</v>
      </c>
      <c r="H16" t="s">
        <v>898</v>
      </c>
      <c r="I16" t="s">
        <v>898</v>
      </c>
      <c r="J16" t="s">
        <v>898</v>
      </c>
      <c r="K16" t="s">
        <v>898</v>
      </c>
      <c r="L16" t="s">
        <v>898</v>
      </c>
      <c r="M16" t="s">
        <v>898</v>
      </c>
      <c r="N16" t="s">
        <v>898</v>
      </c>
      <c r="O16" t="s">
        <v>898</v>
      </c>
      <c r="P16" t="s">
        <v>898</v>
      </c>
      <c r="Q16" t="s">
        <v>898</v>
      </c>
      <c r="R16" t="s">
        <v>898</v>
      </c>
      <c r="S16" t="s">
        <v>898</v>
      </c>
      <c r="T16" t="s">
        <v>898</v>
      </c>
      <c r="U16" t="s">
        <v>535</v>
      </c>
      <c r="V16" t="s">
        <v>162</v>
      </c>
      <c r="W16" t="s">
        <v>898</v>
      </c>
      <c r="X16" t="s">
        <v>898</v>
      </c>
      <c r="Y16" t="e">
        <v>#REF!</v>
      </c>
      <c r="Z16" t="e">
        <v>#REF!</v>
      </c>
    </row>
    <row r="17">
      <c r="A17" t="s">
        <v>898</v>
      </c>
      <c r="B17" t="s">
        <v>898</v>
      </c>
      <c r="C17" t="s">
        <v>898</v>
      </c>
      <c r="D17" t="s">
        <v>898</v>
      </c>
      <c r="E17" t="s">
        <v>898</v>
      </c>
      <c r="F17" t="s">
        <v>898</v>
      </c>
      <c r="G17" t="s">
        <v>898</v>
      </c>
      <c r="H17" t="s">
        <v>898</v>
      </c>
      <c r="I17" t="s">
        <v>898</v>
      </c>
      <c r="J17" t="s">
        <v>898</v>
      </c>
      <c r="K17" t="s">
        <v>898</v>
      </c>
      <c r="L17" t="s">
        <v>898</v>
      </c>
      <c r="M17" t="s">
        <v>898</v>
      </c>
      <c r="N17" t="s">
        <v>898</v>
      </c>
      <c r="O17" t="s">
        <v>898</v>
      </c>
      <c r="P17" t="s">
        <v>898</v>
      </c>
      <c r="Q17" t="s">
        <v>898</v>
      </c>
      <c r="R17" t="s">
        <v>898</v>
      </c>
      <c r="S17" t="s">
        <v>530</v>
      </c>
      <c r="T17" t="s">
        <v>167</v>
      </c>
      <c r="U17" t="s">
        <v>898</v>
      </c>
      <c r="V17" t="s">
        <v>898</v>
      </c>
      <c r="W17" t="s">
        <v>898</v>
      </c>
      <c r="X17" t="s">
        <v>898</v>
      </c>
      <c r="Y17" t="e">
        <v>#REF!</v>
      </c>
      <c r="Z17" t="e">
        <v>#REF!</v>
      </c>
    </row>
    <row r="18">
      <c r="A18" t="s">
        <v>898</v>
      </c>
      <c r="B18" t="s">
        <v>898</v>
      </c>
      <c r="C18" t="s">
        <v>898</v>
      </c>
      <c r="D18" t="s">
        <v>898</v>
      </c>
      <c r="E18" t="s">
        <v>898</v>
      </c>
      <c r="F18" t="s">
        <v>898</v>
      </c>
      <c r="G18" t="s">
        <v>898</v>
      </c>
      <c r="H18" t="s">
        <v>898</v>
      </c>
      <c r="I18" t="s">
        <v>898</v>
      </c>
      <c r="J18" t="s">
        <v>898</v>
      </c>
      <c r="K18" t="s">
        <v>898</v>
      </c>
      <c r="L18" t="s">
        <v>898</v>
      </c>
      <c r="M18" t="s">
        <v>898</v>
      </c>
      <c r="N18" t="s">
        <v>898</v>
      </c>
      <c r="O18" t="s">
        <v>898</v>
      </c>
      <c r="P18" t="s">
        <v>898</v>
      </c>
      <c r="Q18" t="s">
        <v>317</v>
      </c>
      <c r="R18" t="s">
        <v>116</v>
      </c>
      <c r="S18" t="s">
        <v>898</v>
      </c>
      <c r="T18" t="s">
        <v>898</v>
      </c>
      <c r="U18" t="s">
        <v>898</v>
      </c>
      <c r="V18" t="s">
        <v>898</v>
      </c>
      <c r="W18" t="s">
        <v>898</v>
      </c>
      <c r="X18" t="s">
        <v>898</v>
      </c>
      <c r="Y18" t="e">
        <v>#REF!</v>
      </c>
      <c r="Z18" t="e">
        <v>#REF!</v>
      </c>
    </row>
    <row r="19">
      <c r="A19" t="s">
        <v>898</v>
      </c>
      <c r="B19" t="s">
        <v>898</v>
      </c>
      <c r="C19" t="s">
        <v>898</v>
      </c>
      <c r="D19" t="s">
        <v>898</v>
      </c>
      <c r="E19" t="s">
        <v>898</v>
      </c>
      <c r="F19" t="s">
        <v>898</v>
      </c>
      <c r="G19" t="s">
        <v>898</v>
      </c>
      <c r="H19" t="s">
        <v>898</v>
      </c>
      <c r="I19" t="s">
        <v>898</v>
      </c>
      <c r="J19" t="s">
        <v>898</v>
      </c>
      <c r="K19" t="s">
        <v>898</v>
      </c>
      <c r="L19" t="s">
        <v>898</v>
      </c>
      <c r="M19" t="s">
        <v>898</v>
      </c>
      <c r="N19" t="s">
        <v>898</v>
      </c>
      <c r="O19" t="s">
        <v>525</v>
      </c>
      <c r="P19" t="s">
        <v>549</v>
      </c>
      <c r="Q19" t="s">
        <v>898</v>
      </c>
      <c r="R19" t="s">
        <v>898</v>
      </c>
      <c r="S19" t="s">
        <v>898</v>
      </c>
      <c r="T19" t="s">
        <v>898</v>
      </c>
      <c r="U19" t="s">
        <v>898</v>
      </c>
      <c r="V19" t="s">
        <v>898</v>
      </c>
      <c r="W19" t="s">
        <v>898</v>
      </c>
      <c r="X19" t="s">
        <v>898</v>
      </c>
      <c r="Y19" t="e">
        <v>#REF!</v>
      </c>
      <c r="Z19" t="e">
        <v>#REF!</v>
      </c>
    </row>
    <row r="20">
      <c r="A20" t="s">
        <v>898</v>
      </c>
      <c r="B20" t="s">
        <v>898</v>
      </c>
      <c r="C20" t="s">
        <v>898</v>
      </c>
      <c r="D20" t="s">
        <v>898</v>
      </c>
      <c r="E20" t="s">
        <v>898</v>
      </c>
      <c r="F20" t="s">
        <v>898</v>
      </c>
      <c r="G20" t="s">
        <v>898</v>
      </c>
      <c r="H20" t="s">
        <v>898</v>
      </c>
      <c r="I20" t="s">
        <v>898</v>
      </c>
      <c r="J20" t="s">
        <v>898</v>
      </c>
      <c r="K20" t="s">
        <v>898</v>
      </c>
      <c r="L20" t="s">
        <v>898</v>
      </c>
      <c r="M20" t="s">
        <v>556</v>
      </c>
      <c r="N20" t="s">
        <v>204</v>
      </c>
      <c r="O20" t="s">
        <v>898</v>
      </c>
      <c r="P20" t="s">
        <v>898</v>
      </c>
      <c r="Q20" t="s">
        <v>898</v>
      </c>
      <c r="R20" t="s">
        <v>898</v>
      </c>
      <c r="S20" t="s">
        <v>898</v>
      </c>
      <c r="T20" t="s">
        <v>898</v>
      </c>
      <c r="U20" t="s">
        <v>898</v>
      </c>
      <c r="V20" t="s">
        <v>898</v>
      </c>
      <c r="W20" t="s">
        <v>898</v>
      </c>
      <c r="X20" t="s">
        <v>898</v>
      </c>
      <c r="Y20" t="e">
        <v>#REF!</v>
      </c>
      <c r="Z20" t="e">
        <v>#REF!</v>
      </c>
    </row>
    <row r="21">
      <c r="A21" t="s">
        <v>898</v>
      </c>
      <c r="B21" t="s">
        <v>898</v>
      </c>
      <c r="C21" t="s">
        <v>898</v>
      </c>
      <c r="D21" t="s">
        <v>898</v>
      </c>
      <c r="E21" t="s">
        <v>898</v>
      </c>
      <c r="F21" t="s">
        <v>898</v>
      </c>
      <c r="G21" t="s">
        <v>898</v>
      </c>
      <c r="H21" t="s">
        <v>898</v>
      </c>
      <c r="I21" t="s">
        <v>898</v>
      </c>
      <c r="J21" t="s">
        <v>898</v>
      </c>
      <c r="K21" t="s">
        <v>361</v>
      </c>
      <c r="L21" t="s">
        <v>103</v>
      </c>
      <c r="M21" t="s">
        <v>898</v>
      </c>
      <c r="N21" t="s">
        <v>898</v>
      </c>
      <c r="O21" t="s">
        <v>898</v>
      </c>
      <c r="P21" t="s">
        <v>898</v>
      </c>
      <c r="Q21" t="s">
        <v>898</v>
      </c>
      <c r="R21" t="s">
        <v>898</v>
      </c>
      <c r="S21" t="s">
        <v>898</v>
      </c>
      <c r="T21" t="s">
        <v>898</v>
      </c>
      <c r="U21" t="s">
        <v>898</v>
      </c>
      <c r="V21" t="s">
        <v>898</v>
      </c>
      <c r="W21" t="s">
        <v>898</v>
      </c>
      <c r="X21" t="s">
        <v>898</v>
      </c>
      <c r="Y21" t="e">
        <v>#REF!</v>
      </c>
      <c r="Z21" t="e">
        <v>#REF!</v>
      </c>
    </row>
    <row r="22">
      <c r="A22" t="s">
        <v>898</v>
      </c>
      <c r="B22" t="s">
        <v>898</v>
      </c>
      <c r="C22" t="s">
        <v>898</v>
      </c>
      <c r="D22" t="s">
        <v>898</v>
      </c>
      <c r="E22" t="s">
        <v>898</v>
      </c>
      <c r="F22" t="s">
        <v>898</v>
      </c>
      <c r="G22" t="s">
        <v>898</v>
      </c>
      <c r="H22" t="s">
        <v>898</v>
      </c>
      <c r="I22" t="s">
        <v>407</v>
      </c>
      <c r="J22" t="s">
        <v>139</v>
      </c>
      <c r="K22" t="s">
        <v>898</v>
      </c>
      <c r="L22" t="s">
        <v>898</v>
      </c>
      <c r="M22" t="s">
        <v>898</v>
      </c>
      <c r="N22" t="s">
        <v>898</v>
      </c>
      <c r="O22" t="s">
        <v>898</v>
      </c>
      <c r="P22" t="s">
        <v>898</v>
      </c>
      <c r="Q22" t="s">
        <v>898</v>
      </c>
      <c r="R22" t="s">
        <v>898</v>
      </c>
      <c r="S22" t="s">
        <v>898</v>
      </c>
      <c r="T22" t="s">
        <v>898</v>
      </c>
      <c r="U22" t="s">
        <v>898</v>
      </c>
      <c r="V22" t="s">
        <v>898</v>
      </c>
      <c r="W22" t="s">
        <v>898</v>
      </c>
      <c r="X22" t="s">
        <v>898</v>
      </c>
      <c r="Y22" t="e">
        <v>#REF!</v>
      </c>
      <c r="Z22" t="e">
        <v>#REF!</v>
      </c>
    </row>
    <row r="23">
      <c r="A23" t="s">
        <v>898</v>
      </c>
      <c r="B23" t="s">
        <v>898</v>
      </c>
      <c r="C23" t="s">
        <v>898</v>
      </c>
      <c r="D23" t="s">
        <v>898</v>
      </c>
      <c r="E23" t="s">
        <v>898</v>
      </c>
      <c r="F23" t="s">
        <v>898</v>
      </c>
      <c r="G23" t="s">
        <v>317</v>
      </c>
      <c r="H23" t="s">
        <v>104</v>
      </c>
      <c r="I23" t="s">
        <v>898</v>
      </c>
      <c r="J23" t="s">
        <v>898</v>
      </c>
      <c r="K23" t="s">
        <v>898</v>
      </c>
      <c r="L23" t="s">
        <v>898</v>
      </c>
      <c r="M23" t="s">
        <v>898</v>
      </c>
      <c r="N23" t="s">
        <v>898</v>
      </c>
      <c r="O23" t="s">
        <v>898</v>
      </c>
      <c r="P23" t="s">
        <v>898</v>
      </c>
      <c r="Q23" t="s">
        <v>898</v>
      </c>
      <c r="R23" t="s">
        <v>898</v>
      </c>
      <c r="S23" t="s">
        <v>898</v>
      </c>
      <c r="T23" t="s">
        <v>898</v>
      </c>
      <c r="U23" t="s">
        <v>898</v>
      </c>
      <c r="V23" t="s">
        <v>898</v>
      </c>
      <c r="W23" t="s">
        <v>898</v>
      </c>
      <c r="X23" t="s">
        <v>898</v>
      </c>
      <c r="Y23" t="e">
        <v>#REF!</v>
      </c>
      <c r="Z23" t="e">
        <v>#REF!</v>
      </c>
    </row>
    <row r="24">
      <c r="A24" t="s">
        <v>898</v>
      </c>
      <c r="B24" t="s">
        <v>898</v>
      </c>
      <c r="C24" t="s">
        <v>898</v>
      </c>
      <c r="D24" t="s">
        <v>898</v>
      </c>
      <c r="E24" t="s">
        <v>556</v>
      </c>
      <c r="F24" t="s">
        <v>201</v>
      </c>
      <c r="G24" t="s">
        <v>898</v>
      </c>
      <c r="H24" t="s">
        <v>898</v>
      </c>
      <c r="I24" t="s">
        <v>898</v>
      </c>
      <c r="J24" t="s">
        <v>898</v>
      </c>
      <c r="K24" t="s">
        <v>898</v>
      </c>
      <c r="L24" t="s">
        <v>898</v>
      </c>
      <c r="M24" t="s">
        <v>898</v>
      </c>
      <c r="N24" t="s">
        <v>898</v>
      </c>
      <c r="O24" t="s">
        <v>898</v>
      </c>
      <c r="P24" t="s">
        <v>898</v>
      </c>
      <c r="Q24" t="s">
        <v>898</v>
      </c>
      <c r="R24" t="s">
        <v>898</v>
      </c>
      <c r="S24" t="s">
        <v>898</v>
      </c>
      <c r="T24" t="s">
        <v>898</v>
      </c>
      <c r="U24" t="s">
        <v>898</v>
      </c>
      <c r="V24" t="s">
        <v>898</v>
      </c>
      <c r="W24" t="s">
        <v>898</v>
      </c>
      <c r="X24" t="s">
        <v>898</v>
      </c>
      <c r="Y24" t="e">
        <v>#REF!</v>
      </c>
      <c r="Z24" t="e">
        <v>#REF!</v>
      </c>
    </row>
    <row r="25">
      <c r="A25" t="s">
        <v>898</v>
      </c>
      <c r="B25" t="s">
        <v>898</v>
      </c>
      <c r="C25" t="s">
        <v>471</v>
      </c>
      <c r="D25" t="s">
        <v>198</v>
      </c>
      <c r="E25" t="s">
        <v>898</v>
      </c>
      <c r="F25" t="s">
        <v>898</v>
      </c>
      <c r="G25" t="s">
        <v>898</v>
      </c>
      <c r="H25" t="s">
        <v>898</v>
      </c>
      <c r="I25" t="s">
        <v>898</v>
      </c>
      <c r="J25" t="s">
        <v>898</v>
      </c>
      <c r="K25" t="s">
        <v>898</v>
      </c>
      <c r="L25" t="s">
        <v>898</v>
      </c>
      <c r="M25" t="s">
        <v>898</v>
      </c>
      <c r="N25" t="s">
        <v>898</v>
      </c>
      <c r="O25" t="s">
        <v>898</v>
      </c>
      <c r="P25" t="s">
        <v>898</v>
      </c>
      <c r="Q25" t="s">
        <v>898</v>
      </c>
      <c r="R25" t="s">
        <v>898</v>
      </c>
      <c r="S25" t="s">
        <v>898</v>
      </c>
      <c r="T25" t="s">
        <v>898</v>
      </c>
      <c r="U25" t="s">
        <v>898</v>
      </c>
      <c r="V25" t="s">
        <v>898</v>
      </c>
      <c r="W25" t="s">
        <v>898</v>
      </c>
      <c r="X25" t="s">
        <v>898</v>
      </c>
      <c r="Y25" t="e">
        <v>#REF!</v>
      </c>
      <c r="Z25" t="e">
        <v>#REF!</v>
      </c>
    </row>
    <row r="26">
      <c r="A26" t="s">
        <v>471</v>
      </c>
      <c r="B26" t="s">
        <v>189</v>
      </c>
      <c r="C26" t="s">
        <v>898</v>
      </c>
      <c r="D26" t="s">
        <v>898</v>
      </c>
      <c r="E26" t="s">
        <v>898</v>
      </c>
      <c r="F26" t="s">
        <v>898</v>
      </c>
      <c r="G26" t="s">
        <v>898</v>
      </c>
      <c r="H26" t="s">
        <v>898</v>
      </c>
      <c r="I26" t="s">
        <v>898</v>
      </c>
      <c r="J26" t="s">
        <v>898</v>
      </c>
      <c r="K26" t="s">
        <v>898</v>
      </c>
      <c r="L26" t="s">
        <v>898</v>
      </c>
      <c r="M26" t="s">
        <v>898</v>
      </c>
      <c r="N26" t="s">
        <v>898</v>
      </c>
      <c r="O26" t="s">
        <v>898</v>
      </c>
      <c r="P26" t="s">
        <v>898</v>
      </c>
      <c r="Q26" t="s">
        <v>898</v>
      </c>
      <c r="R26" t="s">
        <v>898</v>
      </c>
      <c r="S26" t="s">
        <v>898</v>
      </c>
      <c r="T26" t="s">
        <v>898</v>
      </c>
      <c r="U26" t="s">
        <v>898</v>
      </c>
      <c r="V26" t="s">
        <v>898</v>
      </c>
      <c r="W26" t="s">
        <v>898</v>
      </c>
      <c r="X26" t="s">
        <v>898</v>
      </c>
      <c r="Y26" t="e">
        <v>#REF!</v>
      </c>
      <c r="Z26" t="e">
        <v>#REF!</v>
      </c>
    </row>
    <row r="27">
      <c r="A27" t="s">
        <v>471</v>
      </c>
      <c r="B27" t="s">
        <v>133</v>
      </c>
      <c r="C27" t="s">
        <v>898</v>
      </c>
      <c r="D27" t="s">
        <v>898</v>
      </c>
      <c r="E27" t="s">
        <v>898</v>
      </c>
      <c r="F27" t="s">
        <v>898</v>
      </c>
      <c r="G27" t="s">
        <v>898</v>
      </c>
      <c r="H27" t="s">
        <v>898</v>
      </c>
      <c r="I27" t="s">
        <v>898</v>
      </c>
      <c r="J27" t="s">
        <v>898</v>
      </c>
      <c r="K27" t="s">
        <v>898</v>
      </c>
      <c r="L27" t="s">
        <v>898</v>
      </c>
      <c r="M27" t="s">
        <v>898</v>
      </c>
      <c r="N27" t="s">
        <v>898</v>
      </c>
      <c r="O27" t="s">
        <v>898</v>
      </c>
      <c r="P27" t="s">
        <v>898</v>
      </c>
      <c r="Q27" t="s">
        <v>898</v>
      </c>
      <c r="R27" t="s">
        <v>898</v>
      </c>
      <c r="S27" t="s">
        <v>898</v>
      </c>
      <c r="T27" t="s">
        <v>898</v>
      </c>
      <c r="U27" t="s">
        <v>898</v>
      </c>
      <c r="V27" t="s">
        <v>898</v>
      </c>
      <c r="W27" t="s">
        <v>898</v>
      </c>
      <c r="X27" t="s">
        <v>898</v>
      </c>
      <c r="Y27" t="e">
        <v>#REF!</v>
      </c>
      <c r="Z27" t="e">
        <v>#REF!</v>
      </c>
    </row>
    <row r="28">
      <c r="A28" t="s">
        <v>898</v>
      </c>
      <c r="B28" t="s">
        <v>898</v>
      </c>
      <c r="C28" t="s">
        <v>407</v>
      </c>
      <c r="D28" t="s">
        <v>197</v>
      </c>
      <c r="E28" t="s">
        <v>898</v>
      </c>
      <c r="F28" t="s">
        <v>898</v>
      </c>
      <c r="G28" t="s">
        <v>898</v>
      </c>
      <c r="H28" t="s">
        <v>898</v>
      </c>
      <c r="I28" t="s">
        <v>898</v>
      </c>
      <c r="J28" t="s">
        <v>898</v>
      </c>
      <c r="K28" t="s">
        <v>898</v>
      </c>
      <c r="L28" t="s">
        <v>898</v>
      </c>
      <c r="M28" t="s">
        <v>898</v>
      </c>
      <c r="N28" t="s">
        <v>898</v>
      </c>
      <c r="O28" t="s">
        <v>898</v>
      </c>
      <c r="P28" t="s">
        <v>898</v>
      </c>
      <c r="Q28" t="s">
        <v>898</v>
      </c>
      <c r="R28" t="s">
        <v>898</v>
      </c>
      <c r="S28" t="s">
        <v>898</v>
      </c>
      <c r="T28" t="s">
        <v>898</v>
      </c>
      <c r="U28" t="s">
        <v>898</v>
      </c>
      <c r="V28" t="s">
        <v>898</v>
      </c>
      <c r="W28" t="s">
        <v>898</v>
      </c>
      <c r="X28" t="s">
        <v>898</v>
      </c>
      <c r="Y28" t="e">
        <v>#REF!</v>
      </c>
      <c r="Z28" t="e">
        <v>#REF!</v>
      </c>
    </row>
    <row r="29">
      <c r="A29" t="s">
        <v>898</v>
      </c>
      <c r="B29" t="s">
        <v>898</v>
      </c>
      <c r="C29" t="s">
        <v>898</v>
      </c>
      <c r="D29" t="s">
        <v>898</v>
      </c>
      <c r="E29" t="s">
        <v>471</v>
      </c>
      <c r="F29" t="s">
        <v>127</v>
      </c>
      <c r="G29" t="s">
        <v>898</v>
      </c>
      <c r="H29" t="s">
        <v>898</v>
      </c>
      <c r="I29" t="s">
        <v>898</v>
      </c>
      <c r="J29" t="s">
        <v>898</v>
      </c>
      <c r="K29" t="s">
        <v>898</v>
      </c>
      <c r="L29" t="s">
        <v>898</v>
      </c>
      <c r="M29" t="s">
        <v>898</v>
      </c>
      <c r="N29" t="s">
        <v>898</v>
      </c>
      <c r="O29" t="s">
        <v>898</v>
      </c>
      <c r="P29" t="s">
        <v>898</v>
      </c>
      <c r="Q29" t="s">
        <v>898</v>
      </c>
      <c r="R29" t="s">
        <v>898</v>
      </c>
      <c r="S29" t="s">
        <v>898</v>
      </c>
      <c r="T29" t="s">
        <v>898</v>
      </c>
      <c r="U29" t="s">
        <v>898</v>
      </c>
      <c r="V29" t="s">
        <v>898</v>
      </c>
      <c r="W29" t="s">
        <v>898</v>
      </c>
      <c r="X29" t="s">
        <v>898</v>
      </c>
      <c r="Y29" t="e">
        <v>#REF!</v>
      </c>
      <c r="Z29" t="e">
        <v>#REF!</v>
      </c>
    </row>
    <row r="30">
      <c r="A30" t="s">
        <v>898</v>
      </c>
      <c r="B30" t="s">
        <v>898</v>
      </c>
      <c r="C30" t="s">
        <v>898</v>
      </c>
      <c r="D30" t="s">
        <v>898</v>
      </c>
      <c r="E30" t="s">
        <v>898</v>
      </c>
      <c r="F30" t="s">
        <v>898</v>
      </c>
      <c r="G30" t="s">
        <v>441</v>
      </c>
      <c r="H30" t="s">
        <v>552</v>
      </c>
      <c r="I30" t="s">
        <v>898</v>
      </c>
      <c r="J30" t="s">
        <v>898</v>
      </c>
      <c r="K30" t="s">
        <v>898</v>
      </c>
      <c r="L30" t="s">
        <v>898</v>
      </c>
      <c r="M30" t="s">
        <v>898</v>
      </c>
      <c r="N30" t="s">
        <v>898</v>
      </c>
      <c r="O30" t="s">
        <v>898</v>
      </c>
      <c r="P30" t="s">
        <v>898</v>
      </c>
      <c r="Q30" t="s">
        <v>898</v>
      </c>
      <c r="R30" t="s">
        <v>898</v>
      </c>
      <c r="S30" t="s">
        <v>898</v>
      </c>
      <c r="T30" t="s">
        <v>898</v>
      </c>
      <c r="U30" t="s">
        <v>898</v>
      </c>
      <c r="V30" t="s">
        <v>898</v>
      </c>
      <c r="W30" t="s">
        <v>898</v>
      </c>
      <c r="X30" t="s">
        <v>898</v>
      </c>
      <c r="Y30" t="e">
        <v>#REF!</v>
      </c>
      <c r="Z30" t="e">
        <v>#REF!</v>
      </c>
    </row>
    <row r="31">
      <c r="A31" t="s">
        <v>898</v>
      </c>
      <c r="B31" t="s">
        <v>898</v>
      </c>
      <c r="C31" t="s">
        <v>898</v>
      </c>
      <c r="D31" t="s">
        <v>898</v>
      </c>
      <c r="E31" t="s">
        <v>898</v>
      </c>
      <c r="F31" t="s">
        <v>898</v>
      </c>
      <c r="G31" t="s">
        <v>898</v>
      </c>
      <c r="H31" t="s">
        <v>898</v>
      </c>
      <c r="I31" t="s">
        <v>361</v>
      </c>
      <c r="J31" t="s">
        <v>161</v>
      </c>
      <c r="K31" t="s">
        <v>898</v>
      </c>
      <c r="L31" t="s">
        <v>898</v>
      </c>
      <c r="M31" t="s">
        <v>898</v>
      </c>
      <c r="N31" t="s">
        <v>898</v>
      </c>
      <c r="O31" t="s">
        <v>898</v>
      </c>
      <c r="P31" t="s">
        <v>898</v>
      </c>
      <c r="Q31" t="s">
        <v>898</v>
      </c>
      <c r="R31" t="s">
        <v>898</v>
      </c>
      <c r="S31" t="s">
        <v>898</v>
      </c>
      <c r="T31" t="s">
        <v>898</v>
      </c>
      <c r="U31" t="s">
        <v>898</v>
      </c>
      <c r="V31" t="s">
        <v>898</v>
      </c>
      <c r="W31" t="s">
        <v>898</v>
      </c>
      <c r="X31" t="s">
        <v>898</v>
      </c>
      <c r="Y31" t="e">
        <v>#REF!</v>
      </c>
      <c r="Z31" t="e">
        <v>#REF!</v>
      </c>
    </row>
    <row r="32">
      <c r="A32" t="s">
        <v>898</v>
      </c>
      <c r="B32" t="s">
        <v>898</v>
      </c>
      <c r="C32" t="s">
        <v>898</v>
      </c>
      <c r="D32" t="s">
        <v>898</v>
      </c>
      <c r="E32" t="s">
        <v>898</v>
      </c>
      <c r="F32" t="s">
        <v>898</v>
      </c>
      <c r="G32" t="s">
        <v>898</v>
      </c>
      <c r="H32" t="s">
        <v>898</v>
      </c>
      <c r="I32" t="s">
        <v>898</v>
      </c>
      <c r="J32" t="s">
        <v>898</v>
      </c>
      <c r="K32" t="s">
        <v>441</v>
      </c>
      <c r="L32" t="s">
        <v>216</v>
      </c>
      <c r="M32" t="s">
        <v>898</v>
      </c>
      <c r="N32" t="s">
        <v>898</v>
      </c>
      <c r="O32" t="s">
        <v>898</v>
      </c>
      <c r="P32" t="s">
        <v>898</v>
      </c>
      <c r="Q32" t="s">
        <v>898</v>
      </c>
      <c r="R32" t="s">
        <v>898</v>
      </c>
      <c r="S32" t="s">
        <v>898</v>
      </c>
      <c r="T32" t="s">
        <v>898</v>
      </c>
      <c r="U32" t="s">
        <v>898</v>
      </c>
      <c r="V32" t="s">
        <v>898</v>
      </c>
      <c r="W32" t="s">
        <v>898</v>
      </c>
      <c r="X32" t="s">
        <v>898</v>
      </c>
      <c r="Y32" t="e">
        <v>#REF!</v>
      </c>
      <c r="Z32" t="e">
        <v>#REF!</v>
      </c>
    </row>
    <row r="33">
      <c r="A33" t="s">
        <v>898</v>
      </c>
      <c r="B33" t="s">
        <v>898</v>
      </c>
      <c r="C33" t="s">
        <v>898</v>
      </c>
      <c r="D33" t="s">
        <v>898</v>
      </c>
      <c r="E33" t="s">
        <v>898</v>
      </c>
      <c r="F33" t="s">
        <v>898</v>
      </c>
      <c r="G33" t="s">
        <v>898</v>
      </c>
      <c r="H33" t="s">
        <v>898</v>
      </c>
      <c r="I33" t="s">
        <v>898</v>
      </c>
      <c r="J33" t="s">
        <v>898</v>
      </c>
      <c r="K33" t="s">
        <v>898</v>
      </c>
      <c r="L33" t="s">
        <v>898</v>
      </c>
      <c r="M33" t="s">
        <v>530</v>
      </c>
      <c r="N33" t="s">
        <v>173</v>
      </c>
      <c r="O33" t="s">
        <v>898</v>
      </c>
      <c r="P33" t="s">
        <v>898</v>
      </c>
      <c r="Q33" t="s">
        <v>898</v>
      </c>
      <c r="R33" t="s">
        <v>898</v>
      </c>
      <c r="S33" t="s">
        <v>898</v>
      </c>
      <c r="T33" t="s">
        <v>898</v>
      </c>
      <c r="U33" t="s">
        <v>898</v>
      </c>
      <c r="V33" t="s">
        <v>898</v>
      </c>
      <c r="W33" t="s">
        <v>898</v>
      </c>
      <c r="X33" t="s">
        <v>898</v>
      </c>
      <c r="Y33" t="e">
        <v>#REF!</v>
      </c>
      <c r="Z33" t="e">
        <v>#REF!</v>
      </c>
    </row>
    <row r="34">
      <c r="A34" t="s">
        <v>898</v>
      </c>
      <c r="B34" t="s">
        <v>898</v>
      </c>
      <c r="C34" t="s">
        <v>898</v>
      </c>
      <c r="D34" t="s">
        <v>898</v>
      </c>
      <c r="E34" t="s">
        <v>898</v>
      </c>
      <c r="F34" t="s">
        <v>898</v>
      </c>
      <c r="G34" t="s">
        <v>898</v>
      </c>
      <c r="H34" t="s">
        <v>898</v>
      </c>
      <c r="I34" t="s">
        <v>898</v>
      </c>
      <c r="J34" t="s">
        <v>898</v>
      </c>
      <c r="K34" t="s">
        <v>898</v>
      </c>
      <c r="L34" t="s">
        <v>898</v>
      </c>
      <c r="M34" t="s">
        <v>898</v>
      </c>
      <c r="N34" t="s">
        <v>898</v>
      </c>
      <c r="O34" t="s">
        <v>441</v>
      </c>
      <c r="P34" t="s">
        <v>220</v>
      </c>
      <c r="Q34" t="s">
        <v>898</v>
      </c>
      <c r="R34" t="s">
        <v>898</v>
      </c>
      <c r="S34" t="s">
        <v>898</v>
      </c>
      <c r="T34" t="s">
        <v>898</v>
      </c>
      <c r="U34" t="s">
        <v>898</v>
      </c>
      <c r="V34" t="s">
        <v>898</v>
      </c>
      <c r="W34" t="s">
        <v>898</v>
      </c>
      <c r="X34" t="s">
        <v>898</v>
      </c>
      <c r="Y34" t="e">
        <v>#REF!</v>
      </c>
      <c r="Z34" t="e">
        <v>#REF!</v>
      </c>
    </row>
    <row r="35">
      <c r="A35" t="s">
        <v>898</v>
      </c>
      <c r="B35" t="s">
        <v>898</v>
      </c>
      <c r="C35" t="s">
        <v>898</v>
      </c>
      <c r="D35" t="s">
        <v>898</v>
      </c>
      <c r="E35" t="s">
        <v>898</v>
      </c>
      <c r="F35" t="s">
        <v>898</v>
      </c>
      <c r="G35" t="s">
        <v>898</v>
      </c>
      <c r="H35" t="s">
        <v>898</v>
      </c>
      <c r="I35" t="s">
        <v>898</v>
      </c>
      <c r="J35" t="s">
        <v>898</v>
      </c>
      <c r="K35" t="s">
        <v>898</v>
      </c>
      <c r="L35" t="s">
        <v>898</v>
      </c>
      <c r="M35" t="s">
        <v>898</v>
      </c>
      <c r="N35" t="s">
        <v>898</v>
      </c>
      <c r="O35" t="s">
        <v>898</v>
      </c>
      <c r="P35" t="s">
        <v>898</v>
      </c>
      <c r="Q35" t="s">
        <v>407</v>
      </c>
      <c r="R35" t="s">
        <v>135</v>
      </c>
      <c r="S35" t="s">
        <v>898</v>
      </c>
      <c r="T35" t="s">
        <v>898</v>
      </c>
      <c r="U35" t="s">
        <v>898</v>
      </c>
      <c r="V35" t="s">
        <v>898</v>
      </c>
      <c r="W35" t="s">
        <v>898</v>
      </c>
      <c r="X35" t="s">
        <v>898</v>
      </c>
      <c r="Y35" t="e">
        <v>#REF!</v>
      </c>
      <c r="Z35" t="e">
        <v>#REF!</v>
      </c>
    </row>
    <row r="36">
      <c r="A36" t="s">
        <v>898</v>
      </c>
      <c r="B36" t="s">
        <v>898</v>
      </c>
      <c r="C36" t="s">
        <v>898</v>
      </c>
      <c r="D36" t="s">
        <v>898</v>
      </c>
      <c r="E36" t="s">
        <v>898</v>
      </c>
      <c r="F36" t="s">
        <v>898</v>
      </c>
      <c r="G36" t="s">
        <v>898</v>
      </c>
      <c r="H36" t="s">
        <v>898</v>
      </c>
      <c r="I36" t="s">
        <v>898</v>
      </c>
      <c r="J36" t="s">
        <v>898</v>
      </c>
      <c r="K36" t="s">
        <v>898</v>
      </c>
      <c r="L36" t="s">
        <v>898</v>
      </c>
      <c r="M36" t="s">
        <v>898</v>
      </c>
      <c r="N36" t="s">
        <v>898</v>
      </c>
      <c r="O36" t="s">
        <v>898</v>
      </c>
      <c r="P36" t="s">
        <v>898</v>
      </c>
      <c r="Q36" t="s">
        <v>898</v>
      </c>
      <c r="R36" t="s">
        <v>898</v>
      </c>
      <c r="S36" t="s">
        <v>535</v>
      </c>
      <c r="T36" t="s">
        <v>151</v>
      </c>
      <c r="U36" t="s">
        <v>898</v>
      </c>
      <c r="V36" t="s">
        <v>898</v>
      </c>
      <c r="W36" t="s">
        <v>898</v>
      </c>
      <c r="X36" t="s">
        <v>898</v>
      </c>
      <c r="Y36" t="e">
        <v>#REF!</v>
      </c>
      <c r="Z36" t="e">
        <v>#REF!</v>
      </c>
    </row>
    <row r="37">
      <c r="A37" t="s">
        <v>898</v>
      </c>
      <c r="B37" t="s">
        <v>898</v>
      </c>
      <c r="C37" t="s">
        <v>898</v>
      </c>
      <c r="D37" t="s">
        <v>898</v>
      </c>
      <c r="E37" t="s">
        <v>898</v>
      </c>
      <c r="F37" t="s">
        <v>898</v>
      </c>
      <c r="G37" t="s">
        <v>898</v>
      </c>
      <c r="H37" t="s">
        <v>898</v>
      </c>
      <c r="I37" t="s">
        <v>898</v>
      </c>
      <c r="J37" t="s">
        <v>898</v>
      </c>
      <c r="K37" t="s">
        <v>898</v>
      </c>
      <c r="L37" t="s">
        <v>898</v>
      </c>
      <c r="M37" t="s">
        <v>898</v>
      </c>
      <c r="N37" t="s">
        <v>898</v>
      </c>
      <c r="O37" t="s">
        <v>898</v>
      </c>
      <c r="P37" t="s">
        <v>898</v>
      </c>
      <c r="Q37" t="s">
        <v>898</v>
      </c>
      <c r="R37" t="s">
        <v>898</v>
      </c>
      <c r="S37" t="s">
        <v>898</v>
      </c>
      <c r="T37" t="s">
        <v>898</v>
      </c>
      <c r="U37" t="s">
        <v>361</v>
      </c>
      <c r="V37" t="s">
        <v>225</v>
      </c>
      <c r="W37" t="s">
        <v>898</v>
      </c>
      <c r="X37" t="s">
        <v>898</v>
      </c>
      <c r="Y37" t="e">
        <v>#REF!</v>
      </c>
      <c r="Z37" t="e">
        <v>#REF!</v>
      </c>
    </row>
    <row r="38">
      <c r="A38" t="s">
        <v>898</v>
      </c>
      <c r="B38" t="s">
        <v>898</v>
      </c>
      <c r="C38" t="s">
        <v>898</v>
      </c>
      <c r="D38" t="s">
        <v>898</v>
      </c>
      <c r="E38" t="s">
        <v>898</v>
      </c>
      <c r="F38" t="s">
        <v>898</v>
      </c>
      <c r="G38" t="s">
        <v>898</v>
      </c>
      <c r="H38" t="s">
        <v>898</v>
      </c>
      <c r="I38" t="s">
        <v>898</v>
      </c>
      <c r="J38" t="s">
        <v>898</v>
      </c>
      <c r="K38" t="s">
        <v>898</v>
      </c>
      <c r="L38" t="s">
        <v>898</v>
      </c>
      <c r="M38" t="s">
        <v>898</v>
      </c>
      <c r="N38" t="s">
        <v>898</v>
      </c>
      <c r="O38" t="s">
        <v>898</v>
      </c>
      <c r="P38" t="s">
        <v>898</v>
      </c>
      <c r="Q38" t="s">
        <v>898</v>
      </c>
      <c r="R38" t="s">
        <v>898</v>
      </c>
      <c r="S38" t="s">
        <v>898</v>
      </c>
      <c r="T38" t="s">
        <v>898</v>
      </c>
      <c r="U38" t="s">
        <v>898</v>
      </c>
      <c r="V38" t="s">
        <v>898</v>
      </c>
      <c r="W38" t="s">
        <v>407</v>
      </c>
      <c r="X38" t="s">
        <v>136</v>
      </c>
      <c r="Y38" t="e">
        <v>#REF!</v>
      </c>
      <c r="Z38" t="e">
        <v>#REF!</v>
      </c>
    </row>
    <row r="39">
      <c r="A39" t="s">
        <v>898</v>
      </c>
      <c r="B39" t="s">
        <v>898</v>
      </c>
      <c r="C39" t="s">
        <v>898</v>
      </c>
      <c r="D39" t="s">
        <v>898</v>
      </c>
      <c r="E39" t="s">
        <v>898</v>
      </c>
      <c r="F39" t="s">
        <v>898</v>
      </c>
      <c r="G39" t="s">
        <v>898</v>
      </c>
      <c r="H39" t="s">
        <v>898</v>
      </c>
      <c r="I39" t="s">
        <v>898</v>
      </c>
      <c r="J39" t="s">
        <v>898</v>
      </c>
      <c r="K39" t="s">
        <v>898</v>
      </c>
      <c r="L39" t="s">
        <v>898</v>
      </c>
      <c r="M39" t="s">
        <v>898</v>
      </c>
      <c r="N39" t="s">
        <v>898</v>
      </c>
      <c r="O39" t="s">
        <v>898</v>
      </c>
      <c r="P39" t="s">
        <v>898</v>
      </c>
      <c r="Q39" t="s">
        <v>898</v>
      </c>
      <c r="R39" t="s">
        <v>898</v>
      </c>
      <c r="S39" t="s">
        <v>898</v>
      </c>
      <c r="T39" t="s">
        <v>898</v>
      </c>
      <c r="U39" t="s">
        <v>898</v>
      </c>
      <c r="V39" t="s">
        <v>898</v>
      </c>
      <c r="W39" t="s">
        <v>317</v>
      </c>
      <c r="X39" t="s">
        <v>115</v>
      </c>
      <c r="Y39" t="e">
        <v>#REF!</v>
      </c>
      <c r="Z39" t="e">
        <v>#REF!</v>
      </c>
    </row>
    <row r="40">
      <c r="A40" t="s">
        <v>898</v>
      </c>
      <c r="B40" t="s">
        <v>898</v>
      </c>
      <c r="C40" t="s">
        <v>898</v>
      </c>
      <c r="D40" t="s">
        <v>898</v>
      </c>
      <c r="E40" t="s">
        <v>898</v>
      </c>
      <c r="F40" t="s">
        <v>898</v>
      </c>
      <c r="G40" t="s">
        <v>898</v>
      </c>
      <c r="H40" t="s">
        <v>898</v>
      </c>
      <c r="I40" t="s">
        <v>898</v>
      </c>
      <c r="J40" t="s">
        <v>898</v>
      </c>
      <c r="K40" t="s">
        <v>898</v>
      </c>
      <c r="L40" t="s">
        <v>898</v>
      </c>
      <c r="M40" t="s">
        <v>898</v>
      </c>
      <c r="N40" t="s">
        <v>898</v>
      </c>
      <c r="O40" t="s">
        <v>898</v>
      </c>
      <c r="P40" t="s">
        <v>898</v>
      </c>
      <c r="Q40" t="s">
        <v>898</v>
      </c>
      <c r="R40" t="s">
        <v>898</v>
      </c>
      <c r="S40" t="s">
        <v>898</v>
      </c>
      <c r="T40" t="s">
        <v>898</v>
      </c>
      <c r="U40" t="s">
        <v>525</v>
      </c>
      <c r="V40" t="s">
        <v>179</v>
      </c>
      <c r="W40" t="s">
        <v>898</v>
      </c>
      <c r="X40" t="s">
        <v>898</v>
      </c>
      <c r="Y40" t="e">
        <v>#REF!</v>
      </c>
      <c r="Z40" t="e">
        <v>#REF!</v>
      </c>
    </row>
    <row r="41">
      <c r="A41" t="s">
        <v>898</v>
      </c>
      <c r="B41" t="s">
        <v>898</v>
      </c>
      <c r="C41" t="s">
        <v>898</v>
      </c>
      <c r="D41" t="s">
        <v>898</v>
      </c>
      <c r="E41" t="s">
        <v>898</v>
      </c>
      <c r="F41" t="s">
        <v>898</v>
      </c>
      <c r="G41" t="s">
        <v>898</v>
      </c>
      <c r="H41" t="s">
        <v>898</v>
      </c>
      <c r="I41" t="s">
        <v>898</v>
      </c>
      <c r="J41" t="s">
        <v>898</v>
      </c>
      <c r="K41" t="s">
        <v>898</v>
      </c>
      <c r="L41" t="s">
        <v>898</v>
      </c>
      <c r="M41" t="s">
        <v>898</v>
      </c>
      <c r="N41" t="s">
        <v>898</v>
      </c>
      <c r="O41" t="s">
        <v>898</v>
      </c>
      <c r="P41" t="s">
        <v>898</v>
      </c>
      <c r="Q41" t="s">
        <v>898</v>
      </c>
      <c r="R41" t="s">
        <v>898</v>
      </c>
      <c r="S41" t="s">
        <v>556</v>
      </c>
      <c r="T41" t="s">
        <v>209</v>
      </c>
      <c r="U41" t="s">
        <v>898</v>
      </c>
      <c r="V41" t="s">
        <v>898</v>
      </c>
      <c r="W41" t="s">
        <v>898</v>
      </c>
      <c r="X41" t="s">
        <v>898</v>
      </c>
      <c r="Y41" t="e">
        <v>#REF!</v>
      </c>
      <c r="Z41" t="e">
        <v>#REF!</v>
      </c>
    </row>
    <row r="42">
      <c r="A42" t="s">
        <v>898</v>
      </c>
      <c r="B42" t="s">
        <v>898</v>
      </c>
      <c r="C42" t="s">
        <v>898</v>
      </c>
      <c r="D42" t="s">
        <v>898</v>
      </c>
      <c r="E42" t="s">
        <v>898</v>
      </c>
      <c r="F42" t="s">
        <v>898</v>
      </c>
      <c r="G42" t="s">
        <v>898</v>
      </c>
      <c r="H42" t="s">
        <v>898</v>
      </c>
      <c r="I42" t="s">
        <v>898</v>
      </c>
      <c r="J42" t="s">
        <v>898</v>
      </c>
      <c r="K42" t="s">
        <v>898</v>
      </c>
      <c r="L42" t="s">
        <v>898</v>
      </c>
      <c r="M42" t="s">
        <v>898</v>
      </c>
      <c r="N42" t="s">
        <v>898</v>
      </c>
      <c r="O42" t="s">
        <v>898</v>
      </c>
      <c r="P42" t="s">
        <v>898</v>
      </c>
      <c r="Q42" t="s">
        <v>361</v>
      </c>
      <c r="R42" t="s">
        <v>154</v>
      </c>
      <c r="S42" t="s">
        <v>898</v>
      </c>
      <c r="T42" t="s">
        <v>898</v>
      </c>
      <c r="U42" t="s">
        <v>898</v>
      </c>
      <c r="V42" t="s">
        <v>898</v>
      </c>
      <c r="W42" t="s">
        <v>898</v>
      </c>
      <c r="X42" t="s">
        <v>898</v>
      </c>
      <c r="Y42" t="e">
        <v>#REF!</v>
      </c>
      <c r="Z42" t="e">
        <v>#REF!</v>
      </c>
    </row>
    <row r="43">
      <c r="A43" t="s">
        <v>898</v>
      </c>
      <c r="B43" t="s">
        <v>898</v>
      </c>
      <c r="C43" t="s">
        <v>898</v>
      </c>
      <c r="D43" t="s">
        <v>898</v>
      </c>
      <c r="E43" t="s">
        <v>898</v>
      </c>
      <c r="F43" t="s">
        <v>898</v>
      </c>
      <c r="G43" t="s">
        <v>898</v>
      </c>
      <c r="H43" t="s">
        <v>898</v>
      </c>
      <c r="I43" t="s">
        <v>898</v>
      </c>
      <c r="J43" t="s">
        <v>898</v>
      </c>
      <c r="K43" t="s">
        <v>898</v>
      </c>
      <c r="L43" t="s">
        <v>898</v>
      </c>
      <c r="M43" t="s">
        <v>898</v>
      </c>
      <c r="N43" t="s">
        <v>898</v>
      </c>
      <c r="O43" t="s">
        <v>530</v>
      </c>
      <c r="P43" t="s">
        <v>548</v>
      </c>
      <c r="Q43" t="s">
        <v>898</v>
      </c>
      <c r="R43" t="s">
        <v>898</v>
      </c>
      <c r="S43" t="s">
        <v>898</v>
      </c>
      <c r="T43" t="s">
        <v>898</v>
      </c>
      <c r="U43" t="s">
        <v>898</v>
      </c>
      <c r="V43" t="s">
        <v>898</v>
      </c>
      <c r="W43" t="s">
        <v>898</v>
      </c>
      <c r="X43" t="s">
        <v>898</v>
      </c>
      <c r="Y43" t="e">
        <v>#REF!</v>
      </c>
      <c r="Z43" t="e">
        <v>#REF!</v>
      </c>
    </row>
    <row r="44">
      <c r="A44" t="s">
        <v>898</v>
      </c>
      <c r="B44" t="s">
        <v>898</v>
      </c>
      <c r="C44" t="s">
        <v>898</v>
      </c>
      <c r="D44" t="s">
        <v>898</v>
      </c>
      <c r="E44" t="s">
        <v>898</v>
      </c>
      <c r="F44" t="s">
        <v>898</v>
      </c>
      <c r="G44" t="s">
        <v>898</v>
      </c>
      <c r="H44" t="s">
        <v>898</v>
      </c>
      <c r="I44" t="s">
        <v>898</v>
      </c>
      <c r="J44" t="s">
        <v>898</v>
      </c>
      <c r="K44" t="s">
        <v>898</v>
      </c>
      <c r="L44" t="s">
        <v>898</v>
      </c>
      <c r="M44" t="s">
        <v>361</v>
      </c>
      <c r="N44" t="s">
        <v>105</v>
      </c>
      <c r="O44" t="s">
        <v>898</v>
      </c>
      <c r="P44" t="s">
        <v>898</v>
      </c>
      <c r="Q44" t="s">
        <v>898</v>
      </c>
      <c r="R44" t="s">
        <v>898</v>
      </c>
      <c r="S44" t="s">
        <v>898</v>
      </c>
      <c r="T44" t="s">
        <v>898</v>
      </c>
      <c r="U44" t="s">
        <v>898</v>
      </c>
      <c r="V44" t="s">
        <v>898</v>
      </c>
      <c r="W44" t="s">
        <v>898</v>
      </c>
      <c r="X44" t="s">
        <v>898</v>
      </c>
      <c r="Y44" t="e">
        <v>#REF!</v>
      </c>
      <c r="Z44" t="e">
        <v>#REF!</v>
      </c>
    </row>
    <row r="45">
      <c r="A45" t="s">
        <v>898</v>
      </c>
      <c r="B45" t="s">
        <v>898</v>
      </c>
      <c r="C45" t="s">
        <v>898</v>
      </c>
      <c r="D45" t="s">
        <v>898</v>
      </c>
      <c r="E45" t="s">
        <v>898</v>
      </c>
      <c r="F45" t="s">
        <v>898</v>
      </c>
      <c r="G45" t="s">
        <v>898</v>
      </c>
      <c r="H45" t="s">
        <v>898</v>
      </c>
      <c r="I45" t="s">
        <v>898</v>
      </c>
      <c r="J45" t="s">
        <v>898</v>
      </c>
      <c r="K45" t="s">
        <v>471</v>
      </c>
      <c r="L45" t="s">
        <v>226</v>
      </c>
      <c r="M45" t="s">
        <v>898</v>
      </c>
      <c r="N45" t="s">
        <v>898</v>
      </c>
      <c r="O45" t="s">
        <v>898</v>
      </c>
      <c r="P45" t="s">
        <v>898</v>
      </c>
      <c r="Q45" t="s">
        <v>898</v>
      </c>
      <c r="R45" t="s">
        <v>898</v>
      </c>
      <c r="S45" t="s">
        <v>898</v>
      </c>
      <c r="T45" t="s">
        <v>898</v>
      </c>
      <c r="U45" t="s">
        <v>898</v>
      </c>
      <c r="V45" t="s">
        <v>898</v>
      </c>
      <c r="W45" t="s">
        <v>898</v>
      </c>
      <c r="X45" t="s">
        <v>898</v>
      </c>
      <c r="Y45" t="e">
        <v>#REF!</v>
      </c>
      <c r="Z45" t="e">
        <v>#REF!</v>
      </c>
    </row>
    <row r="46">
      <c r="A46" t="s">
        <v>898</v>
      </c>
      <c r="B46" t="s">
        <v>898</v>
      </c>
      <c r="C46" t="s">
        <v>898</v>
      </c>
      <c r="D46" t="s">
        <v>898</v>
      </c>
      <c r="E46" t="s">
        <v>898</v>
      </c>
      <c r="F46" t="s">
        <v>898</v>
      </c>
      <c r="G46" t="s">
        <v>898</v>
      </c>
      <c r="H46" t="s">
        <v>898</v>
      </c>
      <c r="I46" t="s">
        <v>530</v>
      </c>
      <c r="J46" t="s">
        <v>172</v>
      </c>
      <c r="K46" t="s">
        <v>898</v>
      </c>
      <c r="L46" t="s">
        <v>898</v>
      </c>
      <c r="M46" t="s">
        <v>898</v>
      </c>
      <c r="N46" t="s">
        <v>898</v>
      </c>
      <c r="O46" t="s">
        <v>898</v>
      </c>
      <c r="P46" t="s">
        <v>898</v>
      </c>
      <c r="Q46" t="s">
        <v>898</v>
      </c>
      <c r="R46" t="s">
        <v>898</v>
      </c>
      <c r="S46" t="s">
        <v>898</v>
      </c>
      <c r="T46" t="s">
        <v>898</v>
      </c>
      <c r="U46" t="s">
        <v>898</v>
      </c>
      <c r="V46" t="s">
        <v>898</v>
      </c>
      <c r="W46" t="s">
        <v>898</v>
      </c>
      <c r="X46" t="s">
        <v>898</v>
      </c>
      <c r="Y46" t="e">
        <v>#REF!</v>
      </c>
      <c r="Z46" t="e">
        <v>#REF!</v>
      </c>
    </row>
    <row r="47">
      <c r="A47" t="s">
        <v>898</v>
      </c>
      <c r="B47" t="s">
        <v>898</v>
      </c>
      <c r="C47" t="s">
        <v>898</v>
      </c>
      <c r="D47" t="s">
        <v>898</v>
      </c>
      <c r="E47" t="s">
        <v>898</v>
      </c>
      <c r="F47" t="s">
        <v>898</v>
      </c>
      <c r="G47" t="s">
        <v>556</v>
      </c>
      <c r="H47" t="s">
        <v>211</v>
      </c>
      <c r="I47" t="s">
        <v>898</v>
      </c>
      <c r="J47" t="s">
        <v>898</v>
      </c>
      <c r="K47" t="s">
        <v>898</v>
      </c>
      <c r="L47" t="s">
        <v>898</v>
      </c>
      <c r="M47" t="s">
        <v>898</v>
      </c>
      <c r="N47" t="s">
        <v>898</v>
      </c>
      <c r="O47" t="s">
        <v>898</v>
      </c>
      <c r="P47" t="s">
        <v>898</v>
      </c>
      <c r="Q47" t="s">
        <v>898</v>
      </c>
      <c r="R47" t="s">
        <v>898</v>
      </c>
      <c r="S47" t="s">
        <v>898</v>
      </c>
      <c r="T47" t="s">
        <v>898</v>
      </c>
      <c r="U47" t="s">
        <v>898</v>
      </c>
      <c r="V47" t="s">
        <v>898</v>
      </c>
      <c r="W47" t="s">
        <v>898</v>
      </c>
      <c r="X47" t="s">
        <v>898</v>
      </c>
      <c r="Y47" t="e">
        <v>#REF!</v>
      </c>
      <c r="Z47" t="e">
        <v>#REF!</v>
      </c>
    </row>
    <row r="48">
      <c r="A48" t="s">
        <v>898</v>
      </c>
      <c r="B48" t="s">
        <v>898</v>
      </c>
      <c r="C48" t="s">
        <v>898</v>
      </c>
      <c r="D48" t="s">
        <v>898</v>
      </c>
      <c r="E48" t="s">
        <v>525</v>
      </c>
      <c r="F48" t="s">
        <v>178</v>
      </c>
      <c r="G48" t="s">
        <v>898</v>
      </c>
      <c r="H48" t="s">
        <v>898</v>
      </c>
      <c r="I48" t="s">
        <v>898</v>
      </c>
      <c r="J48" t="s">
        <v>898</v>
      </c>
      <c r="K48" t="s">
        <v>898</v>
      </c>
      <c r="L48" t="s">
        <v>898</v>
      </c>
      <c r="M48" t="s">
        <v>898</v>
      </c>
      <c r="N48" t="s">
        <v>898</v>
      </c>
      <c r="O48" t="s">
        <v>898</v>
      </c>
      <c r="P48" t="s">
        <v>898</v>
      </c>
      <c r="Q48" t="s">
        <v>898</v>
      </c>
      <c r="R48" t="s">
        <v>898</v>
      </c>
      <c r="S48" t="s">
        <v>898</v>
      </c>
      <c r="T48" t="s">
        <v>898</v>
      </c>
      <c r="U48" t="s">
        <v>898</v>
      </c>
      <c r="V48" t="s">
        <v>898</v>
      </c>
      <c r="W48" t="s">
        <v>898</v>
      </c>
      <c r="X48" t="s">
        <v>898</v>
      </c>
      <c r="Y48" t="e">
        <v>#REF!</v>
      </c>
      <c r="Z48" t="e">
        <v>#REF!</v>
      </c>
    </row>
    <row r="49">
      <c r="A49" t="s">
        <v>898</v>
      </c>
      <c r="B49" t="s">
        <v>898</v>
      </c>
      <c r="C49" t="s">
        <v>441</v>
      </c>
      <c r="D49" t="s">
        <v>221</v>
      </c>
      <c r="E49" t="s">
        <v>898</v>
      </c>
      <c r="F49" t="s">
        <v>898</v>
      </c>
      <c r="G49" t="s">
        <v>898</v>
      </c>
      <c r="H49" t="s">
        <v>898</v>
      </c>
      <c r="I49" t="s">
        <v>898</v>
      </c>
      <c r="J49" t="s">
        <v>898</v>
      </c>
      <c r="K49" t="s">
        <v>898</v>
      </c>
      <c r="L49" t="s">
        <v>898</v>
      </c>
      <c r="M49" t="s">
        <v>898</v>
      </c>
      <c r="N49" t="s">
        <v>898</v>
      </c>
      <c r="O49" t="s">
        <v>898</v>
      </c>
      <c r="P49" t="s">
        <v>898</v>
      </c>
      <c r="Q49" t="s">
        <v>898</v>
      </c>
      <c r="R49" t="s">
        <v>898</v>
      </c>
      <c r="S49" t="s">
        <v>898</v>
      </c>
      <c r="T49" t="s">
        <v>898</v>
      </c>
      <c r="U49" t="s">
        <v>898</v>
      </c>
      <c r="V49" t="s">
        <v>898</v>
      </c>
      <c r="W49" t="s">
        <v>898</v>
      </c>
      <c r="X49" t="s">
        <v>898</v>
      </c>
      <c r="Y49" t="e">
        <v>#REF!</v>
      </c>
      <c r="Z49" t="e">
        <v>#REF!</v>
      </c>
    </row>
    <row r="50">
      <c r="A50" t="s">
        <v>556</v>
      </c>
      <c r="B50" t="s">
        <v>45</v>
      </c>
      <c r="C50" t="s">
        <v>898</v>
      </c>
      <c r="D50" t="s">
        <v>898</v>
      </c>
      <c r="E50" t="s">
        <v>898</v>
      </c>
      <c r="F50" t="s">
        <v>898</v>
      </c>
      <c r="G50" t="s">
        <v>898</v>
      </c>
      <c r="H50" t="s">
        <v>898</v>
      </c>
      <c r="I50" t="s">
        <v>898</v>
      </c>
      <c r="J50" t="s">
        <v>898</v>
      </c>
      <c r="K50" t="s">
        <v>898</v>
      </c>
      <c r="L50" t="s">
        <v>898</v>
      </c>
      <c r="M50" t="s">
        <v>898</v>
      </c>
      <c r="N50" t="s">
        <v>898</v>
      </c>
      <c r="O50" t="s">
        <v>898</v>
      </c>
      <c r="P50" t="s">
        <v>898</v>
      </c>
      <c r="Q50" t="s">
        <v>898</v>
      </c>
      <c r="R50" t="s">
        <v>898</v>
      </c>
      <c r="S50" t="s">
        <v>898</v>
      </c>
      <c r="T50" t="s">
        <v>898</v>
      </c>
      <c r="U50" t="s">
        <v>898</v>
      </c>
      <c r="V50" t="s">
        <v>898</v>
      </c>
      <c r="W50" t="s">
        <v>898</v>
      </c>
      <c r="X50" t="s">
        <v>898</v>
      </c>
      <c r="Y50" t="e">
        <v>#REF!</v>
      </c>
      <c r="Z50" t="e">
        <v>#REF!</v>
      </c>
    </row>
    <row r="51">
      <c r="A51" t="s">
        <v>317</v>
      </c>
      <c r="B51" t="s">
        <v>118</v>
      </c>
      <c r="C51" t="s">
        <v>898</v>
      </c>
      <c r="D51" t="s">
        <v>898</v>
      </c>
      <c r="E51" t="s">
        <v>898</v>
      </c>
      <c r="F51" t="s">
        <v>898</v>
      </c>
      <c r="G51" t="s">
        <v>898</v>
      </c>
      <c r="H51" t="s">
        <v>898</v>
      </c>
      <c r="I51" t="s">
        <v>898</v>
      </c>
      <c r="J51" t="s">
        <v>898</v>
      </c>
      <c r="K51" t="s">
        <v>898</v>
      </c>
      <c r="L51" t="s">
        <v>898</v>
      </c>
      <c r="M51" t="s">
        <v>898</v>
      </c>
      <c r="N51" t="s">
        <v>898</v>
      </c>
      <c r="O51" t="s">
        <v>898</v>
      </c>
      <c r="P51" t="s">
        <v>898</v>
      </c>
      <c r="Q51" t="s">
        <v>898</v>
      </c>
      <c r="R51" t="s">
        <v>898</v>
      </c>
      <c r="S51" t="s">
        <v>898</v>
      </c>
      <c r="T51" t="s">
        <v>898</v>
      </c>
      <c r="U51" t="s">
        <v>898</v>
      </c>
      <c r="V51" t="s">
        <v>898</v>
      </c>
      <c r="W51" t="s">
        <v>898</v>
      </c>
      <c r="X51" t="s">
        <v>898</v>
      </c>
      <c r="Y51" t="e">
        <v>#REF!</v>
      </c>
      <c r="Z51" t="e">
        <v>#REF!</v>
      </c>
    </row>
    <row r="52">
      <c r="A52" t="s">
        <v>898</v>
      </c>
      <c r="B52" t="s">
        <v>898</v>
      </c>
      <c r="C52" t="s">
        <v>361</v>
      </c>
      <c r="D52" t="s">
        <v>100</v>
      </c>
      <c r="E52" t="s">
        <v>898</v>
      </c>
      <c r="F52" t="s">
        <v>898</v>
      </c>
      <c r="G52" t="s">
        <v>898</v>
      </c>
      <c r="H52" t="s">
        <v>898</v>
      </c>
      <c r="I52" t="s">
        <v>898</v>
      </c>
      <c r="J52" t="s">
        <v>898</v>
      </c>
      <c r="K52" t="s">
        <v>898</v>
      </c>
      <c r="L52" t="s">
        <v>898</v>
      </c>
      <c r="M52" t="s">
        <v>898</v>
      </c>
      <c r="N52" t="s">
        <v>898</v>
      </c>
      <c r="O52" t="s">
        <v>898</v>
      </c>
      <c r="P52" t="s">
        <v>898</v>
      </c>
      <c r="Q52" t="s">
        <v>898</v>
      </c>
      <c r="R52" t="s">
        <v>898</v>
      </c>
      <c r="S52" t="s">
        <v>898</v>
      </c>
      <c r="T52" t="s">
        <v>898</v>
      </c>
      <c r="U52" t="s">
        <v>898</v>
      </c>
      <c r="V52" t="s">
        <v>898</v>
      </c>
      <c r="W52" t="s">
        <v>898</v>
      </c>
      <c r="X52" t="s">
        <v>898</v>
      </c>
      <c r="Y52" t="e">
        <v>#REF!</v>
      </c>
      <c r="Z52" t="e">
        <v>#REF!</v>
      </c>
    </row>
    <row r="53">
      <c r="A53" t="s">
        <v>898</v>
      </c>
      <c r="B53" t="s">
        <v>898</v>
      </c>
      <c r="C53" t="s">
        <v>898</v>
      </c>
      <c r="D53" t="s">
        <v>898</v>
      </c>
      <c r="E53" t="s">
        <v>407</v>
      </c>
      <c r="F53" t="s">
        <v>199</v>
      </c>
      <c r="G53" t="s">
        <v>898</v>
      </c>
      <c r="H53" t="s">
        <v>898</v>
      </c>
      <c r="I53" t="s">
        <v>898</v>
      </c>
      <c r="J53" t="s">
        <v>898</v>
      </c>
      <c r="K53" t="s">
        <v>898</v>
      </c>
      <c r="L53" t="s">
        <v>898</v>
      </c>
      <c r="M53" t="s">
        <v>898</v>
      </c>
      <c r="N53" t="s">
        <v>898</v>
      </c>
      <c r="O53" t="s">
        <v>898</v>
      </c>
      <c r="P53" t="s">
        <v>898</v>
      </c>
      <c r="Q53" t="s">
        <v>898</v>
      </c>
      <c r="R53" t="s">
        <v>898</v>
      </c>
      <c r="S53" t="s">
        <v>898</v>
      </c>
      <c r="T53" t="s">
        <v>898</v>
      </c>
      <c r="U53" t="s">
        <v>898</v>
      </c>
      <c r="V53" t="s">
        <v>898</v>
      </c>
      <c r="W53" t="s">
        <v>898</v>
      </c>
      <c r="X53" t="s">
        <v>898</v>
      </c>
      <c r="Y53" t="e">
        <v>#REF!</v>
      </c>
      <c r="Z53" t="e">
        <v>#REF!</v>
      </c>
    </row>
    <row r="54">
      <c r="A54" t="s">
        <v>898</v>
      </c>
      <c r="B54" t="s">
        <v>898</v>
      </c>
      <c r="C54" t="s">
        <v>898</v>
      </c>
      <c r="D54" t="s">
        <v>898</v>
      </c>
      <c r="E54" t="s">
        <v>898</v>
      </c>
      <c r="F54" t="s">
        <v>898</v>
      </c>
      <c r="G54" t="s">
        <v>471</v>
      </c>
      <c r="H54" t="s">
        <v>126</v>
      </c>
      <c r="I54" t="s">
        <v>898</v>
      </c>
      <c r="J54" t="s">
        <v>898</v>
      </c>
      <c r="K54" t="s">
        <v>898</v>
      </c>
      <c r="L54" t="s">
        <v>898</v>
      </c>
      <c r="M54" t="s">
        <v>898</v>
      </c>
      <c r="N54" t="s">
        <v>898</v>
      </c>
      <c r="O54" t="s">
        <v>898</v>
      </c>
      <c r="P54" t="s">
        <v>898</v>
      </c>
      <c r="Q54" t="s">
        <v>898</v>
      </c>
      <c r="R54" t="s">
        <v>898</v>
      </c>
      <c r="S54" t="s">
        <v>898</v>
      </c>
      <c r="T54" t="s">
        <v>898</v>
      </c>
      <c r="U54" t="s">
        <v>898</v>
      </c>
      <c r="V54" t="s">
        <v>898</v>
      </c>
      <c r="W54" t="s">
        <v>898</v>
      </c>
      <c r="X54" t="s">
        <v>898</v>
      </c>
      <c r="Y54" t="e">
        <v>#REF!</v>
      </c>
      <c r="Z54" t="e">
        <v>#REF!</v>
      </c>
    </row>
    <row r="55">
      <c r="A55" t="s">
        <v>898</v>
      </c>
      <c r="B55" t="s">
        <v>898</v>
      </c>
      <c r="C55" t="s">
        <v>898</v>
      </c>
      <c r="D55" t="s">
        <v>898</v>
      </c>
      <c r="E55" t="s">
        <v>898</v>
      </c>
      <c r="F55" t="s">
        <v>898</v>
      </c>
      <c r="G55" t="s">
        <v>898</v>
      </c>
      <c r="H55" t="s">
        <v>898</v>
      </c>
      <c r="I55" t="s">
        <v>556</v>
      </c>
      <c r="J55" t="s">
        <v>206</v>
      </c>
      <c r="K55" t="s">
        <v>898</v>
      </c>
      <c r="L55" t="s">
        <v>898</v>
      </c>
      <c r="M55" t="s">
        <v>898</v>
      </c>
      <c r="N55" t="s">
        <v>898</v>
      </c>
      <c r="O55" t="s">
        <v>898</v>
      </c>
      <c r="P55" t="s">
        <v>898</v>
      </c>
      <c r="Q55" t="s">
        <v>898</v>
      </c>
      <c r="R55" t="s">
        <v>898</v>
      </c>
      <c r="S55" t="s">
        <v>898</v>
      </c>
      <c r="T55" t="s">
        <v>898</v>
      </c>
      <c r="U55" t="s">
        <v>898</v>
      </c>
      <c r="V55" t="s">
        <v>898</v>
      </c>
      <c r="W55" t="s">
        <v>898</v>
      </c>
      <c r="X55" t="s">
        <v>898</v>
      </c>
      <c r="Y55" t="e">
        <v>#REF!</v>
      </c>
      <c r="Z55" t="e">
        <v>#REF!</v>
      </c>
    </row>
    <row r="56">
      <c r="A56" t="s">
        <v>898</v>
      </c>
      <c r="B56" t="s">
        <v>898</v>
      </c>
      <c r="C56" t="s">
        <v>898</v>
      </c>
      <c r="D56" t="s">
        <v>898</v>
      </c>
      <c r="E56" t="s">
        <v>898</v>
      </c>
      <c r="F56" t="s">
        <v>898</v>
      </c>
      <c r="G56" t="s">
        <v>898</v>
      </c>
      <c r="H56" t="s">
        <v>898</v>
      </c>
      <c r="I56" t="s">
        <v>898</v>
      </c>
      <c r="J56" t="s">
        <v>898</v>
      </c>
      <c r="K56" t="s">
        <v>530</v>
      </c>
      <c r="L56" t="s">
        <v>166</v>
      </c>
      <c r="M56" t="s">
        <v>898</v>
      </c>
      <c r="N56" t="s">
        <v>898</v>
      </c>
      <c r="O56" t="s">
        <v>898</v>
      </c>
      <c r="P56" t="s">
        <v>898</v>
      </c>
      <c r="Q56" t="s">
        <v>898</v>
      </c>
      <c r="R56" t="s">
        <v>898</v>
      </c>
      <c r="S56" t="s">
        <v>898</v>
      </c>
      <c r="T56" t="s">
        <v>898</v>
      </c>
      <c r="U56" t="s">
        <v>898</v>
      </c>
      <c r="V56" t="s">
        <v>898</v>
      </c>
      <c r="W56" t="s">
        <v>898</v>
      </c>
      <c r="X56" t="s">
        <v>898</v>
      </c>
      <c r="Y56" t="e">
        <v>#REF!</v>
      </c>
      <c r="Z56" t="e">
        <v>#REF!</v>
      </c>
    </row>
    <row r="57">
      <c r="A57" t="s">
        <v>898</v>
      </c>
      <c r="B57" t="s">
        <v>898</v>
      </c>
      <c r="C57" t="s">
        <v>898</v>
      </c>
      <c r="D57" t="s">
        <v>898</v>
      </c>
      <c r="E57" t="s">
        <v>898</v>
      </c>
      <c r="F57" t="s">
        <v>898</v>
      </c>
      <c r="G57" t="s">
        <v>898</v>
      </c>
      <c r="H57" t="s">
        <v>898</v>
      </c>
      <c r="I57" t="s">
        <v>898</v>
      </c>
      <c r="J57" t="s">
        <v>898</v>
      </c>
      <c r="K57" t="s">
        <v>898</v>
      </c>
      <c r="L57" t="s">
        <v>898</v>
      </c>
      <c r="M57" t="s">
        <v>407</v>
      </c>
      <c r="N57" t="s">
        <v>142</v>
      </c>
      <c r="O57" t="s">
        <v>898</v>
      </c>
      <c r="P57" t="s">
        <v>898</v>
      </c>
      <c r="Q57" t="s">
        <v>898</v>
      </c>
      <c r="R57" t="s">
        <v>898</v>
      </c>
      <c r="S57" t="s">
        <v>898</v>
      </c>
      <c r="T57" t="s">
        <v>898</v>
      </c>
      <c r="U57" t="s">
        <v>898</v>
      </c>
      <c r="V57" t="s">
        <v>898</v>
      </c>
      <c r="W57" t="s">
        <v>898</v>
      </c>
      <c r="X57" t="s">
        <v>898</v>
      </c>
      <c r="Y57" t="e">
        <v>#REF!</v>
      </c>
      <c r="Z57" t="e">
        <v>#REF!</v>
      </c>
    </row>
    <row r="58">
      <c r="A58" t="s">
        <v>898</v>
      </c>
      <c r="B58" t="s">
        <v>898</v>
      </c>
      <c r="C58" t="s">
        <v>898</v>
      </c>
      <c r="D58" t="s">
        <v>898</v>
      </c>
      <c r="E58" t="s">
        <v>898</v>
      </c>
      <c r="F58" t="s">
        <v>898</v>
      </c>
      <c r="G58" t="s">
        <v>898</v>
      </c>
      <c r="H58" t="s">
        <v>898</v>
      </c>
      <c r="I58" t="s">
        <v>898</v>
      </c>
      <c r="J58" t="s">
        <v>898</v>
      </c>
      <c r="K58" t="s">
        <v>898</v>
      </c>
      <c r="L58" t="s">
        <v>898</v>
      </c>
      <c r="M58" t="s">
        <v>898</v>
      </c>
      <c r="N58" t="s">
        <v>898</v>
      </c>
      <c r="O58" t="s">
        <v>556</v>
      </c>
      <c r="P58" t="s">
        <v>539</v>
      </c>
      <c r="Q58" t="s">
        <v>898</v>
      </c>
      <c r="R58" t="s">
        <v>898</v>
      </c>
      <c r="S58" t="s">
        <v>898</v>
      </c>
      <c r="T58" t="s">
        <v>898</v>
      </c>
      <c r="U58" t="s">
        <v>898</v>
      </c>
      <c r="V58" t="s">
        <v>898</v>
      </c>
      <c r="W58" t="s">
        <v>898</v>
      </c>
      <c r="X58" t="s">
        <v>898</v>
      </c>
      <c r="Y58" t="e">
        <v>#REF!</v>
      </c>
      <c r="Z58" t="e">
        <v>#REF!</v>
      </c>
    </row>
    <row r="59">
      <c r="A59" t="s">
        <v>898</v>
      </c>
      <c r="B59" t="s">
        <v>898</v>
      </c>
      <c r="C59" t="s">
        <v>898</v>
      </c>
      <c r="D59" t="s">
        <v>898</v>
      </c>
      <c r="E59" t="s">
        <v>898</v>
      </c>
      <c r="F59" t="s">
        <v>898</v>
      </c>
      <c r="G59" t="s">
        <v>898</v>
      </c>
      <c r="H59" t="s">
        <v>898</v>
      </c>
      <c r="I59" t="s">
        <v>898</v>
      </c>
      <c r="J59" t="s">
        <v>898</v>
      </c>
      <c r="K59" t="s">
        <v>898</v>
      </c>
      <c r="L59" t="s">
        <v>898</v>
      </c>
      <c r="M59" t="s">
        <v>898</v>
      </c>
      <c r="N59" t="s">
        <v>898</v>
      </c>
      <c r="O59" t="s">
        <v>898</v>
      </c>
      <c r="P59" t="s">
        <v>898</v>
      </c>
      <c r="Q59" t="s">
        <v>535</v>
      </c>
      <c r="R59" t="s">
        <v>232</v>
      </c>
      <c r="S59" t="s">
        <v>898</v>
      </c>
      <c r="T59" t="s">
        <v>898</v>
      </c>
      <c r="U59" t="s">
        <v>898</v>
      </c>
      <c r="V59" t="s">
        <v>898</v>
      </c>
      <c r="W59" t="s">
        <v>898</v>
      </c>
      <c r="X59" t="s">
        <v>898</v>
      </c>
      <c r="Y59" t="e">
        <v>#REF!</v>
      </c>
      <c r="Z59" t="e">
        <v>#REF!</v>
      </c>
    </row>
    <row r="60">
      <c r="A60" t="s">
        <v>898</v>
      </c>
      <c r="B60" t="s">
        <v>898</v>
      </c>
      <c r="C60" t="s">
        <v>898</v>
      </c>
      <c r="D60" t="s">
        <v>898</v>
      </c>
      <c r="E60" t="s">
        <v>898</v>
      </c>
      <c r="F60" t="s">
        <v>898</v>
      </c>
      <c r="G60" t="s">
        <v>898</v>
      </c>
      <c r="H60" t="s">
        <v>898</v>
      </c>
      <c r="I60" t="s">
        <v>898</v>
      </c>
      <c r="J60" t="s">
        <v>898</v>
      </c>
      <c r="K60" t="s">
        <v>898</v>
      </c>
      <c r="L60" t="s">
        <v>898</v>
      </c>
      <c r="M60" t="s">
        <v>898</v>
      </c>
      <c r="N60" t="s">
        <v>898</v>
      </c>
      <c r="O60" t="s">
        <v>898</v>
      </c>
      <c r="P60" t="s">
        <v>898</v>
      </c>
      <c r="Q60" t="s">
        <v>898</v>
      </c>
      <c r="R60" t="s">
        <v>898</v>
      </c>
      <c r="S60" t="s">
        <v>471</v>
      </c>
      <c r="T60" t="s">
        <v>124</v>
      </c>
      <c r="U60" t="s">
        <v>898</v>
      </c>
      <c r="V60" t="s">
        <v>898</v>
      </c>
      <c r="W60" t="s">
        <v>898</v>
      </c>
      <c r="X60" t="s">
        <v>898</v>
      </c>
      <c r="Y60" t="e">
        <v>#REF!</v>
      </c>
      <c r="Z60" t="e">
        <v>#REF!</v>
      </c>
    </row>
    <row r="61">
      <c r="A61" t="s">
        <v>898</v>
      </c>
      <c r="B61" t="s">
        <v>898</v>
      </c>
      <c r="C61" t="s">
        <v>898</v>
      </c>
      <c r="D61" t="s">
        <v>898</v>
      </c>
      <c r="E61" t="s">
        <v>898</v>
      </c>
      <c r="F61" t="s">
        <v>898</v>
      </c>
      <c r="G61" t="s">
        <v>898</v>
      </c>
      <c r="H61" t="s">
        <v>898</v>
      </c>
      <c r="I61" t="s">
        <v>898</v>
      </c>
      <c r="J61" t="s">
        <v>898</v>
      </c>
      <c r="K61" t="s">
        <v>898</v>
      </c>
      <c r="L61" t="s">
        <v>898</v>
      </c>
      <c r="M61" t="s">
        <v>898</v>
      </c>
      <c r="N61" t="s">
        <v>898</v>
      </c>
      <c r="O61" t="s">
        <v>898</v>
      </c>
      <c r="P61" t="s">
        <v>898</v>
      </c>
      <c r="Q61" t="s">
        <v>898</v>
      </c>
      <c r="R61" t="s">
        <v>898</v>
      </c>
      <c r="S61" t="s">
        <v>898</v>
      </c>
      <c r="T61" t="s">
        <v>898</v>
      </c>
      <c r="U61" t="s">
        <v>317</v>
      </c>
      <c r="V61" t="s">
        <v>114</v>
      </c>
      <c r="W61" t="s">
        <v>898</v>
      </c>
      <c r="X61" t="s">
        <v>898</v>
      </c>
      <c r="Y61" t="e">
        <v>#REF!</v>
      </c>
      <c r="Z61" t="e">
        <v>#REF!</v>
      </c>
    </row>
    <row r="62">
      <c r="A62" t="s">
        <v>898</v>
      </c>
      <c r="B62" t="s">
        <v>898</v>
      </c>
      <c r="C62" t="s">
        <v>898</v>
      </c>
      <c r="D62" t="s">
        <v>898</v>
      </c>
      <c r="E62" t="s">
        <v>898</v>
      </c>
      <c r="F62" t="s">
        <v>898</v>
      </c>
      <c r="G62" t="s">
        <v>898</v>
      </c>
      <c r="H62" t="s">
        <v>898</v>
      </c>
      <c r="I62" t="s">
        <v>898</v>
      </c>
      <c r="J62" t="s">
        <v>898</v>
      </c>
      <c r="K62" t="s">
        <v>898</v>
      </c>
      <c r="L62" t="s">
        <v>898</v>
      </c>
      <c r="M62" t="s">
        <v>898</v>
      </c>
      <c r="N62" t="s">
        <v>898</v>
      </c>
      <c r="O62" t="s">
        <v>898</v>
      </c>
      <c r="P62" t="s">
        <v>898</v>
      </c>
      <c r="Q62" t="s">
        <v>898</v>
      </c>
      <c r="R62" t="s">
        <v>898</v>
      </c>
      <c r="S62" t="s">
        <v>898</v>
      </c>
      <c r="T62" t="s">
        <v>898</v>
      </c>
      <c r="U62" t="s">
        <v>898</v>
      </c>
      <c r="V62" t="s">
        <v>898</v>
      </c>
      <c r="W62" t="s">
        <v>530</v>
      </c>
      <c r="X62" t="s">
        <v>168</v>
      </c>
      <c r="Y62" t="e">
        <v>#REF!</v>
      </c>
      <c r="Z62" t="e">
        <v>#REF!</v>
      </c>
    </row>
    <row r="63">
      <c r="A63" t="s">
        <v>898</v>
      </c>
      <c r="B63" t="s">
        <v>898</v>
      </c>
      <c r="C63" t="s">
        <v>898</v>
      </c>
      <c r="D63" t="s">
        <v>898</v>
      </c>
      <c r="E63" t="s">
        <v>898</v>
      </c>
      <c r="F63" t="s">
        <v>898</v>
      </c>
      <c r="G63" t="s">
        <v>898</v>
      </c>
      <c r="H63" t="s">
        <v>898</v>
      </c>
      <c r="I63" t="s">
        <v>898</v>
      </c>
      <c r="J63" t="s">
        <v>898</v>
      </c>
      <c r="K63" t="s">
        <v>898</v>
      </c>
      <c r="L63" t="s">
        <v>898</v>
      </c>
      <c r="M63" t="s">
        <v>898</v>
      </c>
      <c r="N63" t="s">
        <v>898</v>
      </c>
      <c r="O63" t="s">
        <v>898</v>
      </c>
      <c r="P63" t="s">
        <v>898</v>
      </c>
      <c r="Q63" t="s">
        <v>898</v>
      </c>
      <c r="R63" t="s">
        <v>898</v>
      </c>
      <c r="S63" t="s">
        <v>898</v>
      </c>
      <c r="T63" t="s">
        <v>898</v>
      </c>
      <c r="U63" t="s">
        <v>898</v>
      </c>
      <c r="V63" t="s">
        <v>898</v>
      </c>
      <c r="W63" t="s">
        <v>556</v>
      </c>
      <c r="X63" t="s">
        <v>210</v>
      </c>
      <c r="Y63" t="e">
        <v>#REF!</v>
      </c>
      <c r="Z63" t="e">
        <v>#REF!</v>
      </c>
    </row>
    <row r="64">
      <c r="A64" t="s">
        <v>898</v>
      </c>
      <c r="B64" t="s">
        <v>898</v>
      </c>
      <c r="C64" t="s">
        <v>898</v>
      </c>
      <c r="D64" t="s">
        <v>898</v>
      </c>
      <c r="E64" t="s">
        <v>898</v>
      </c>
      <c r="F64" t="s">
        <v>898</v>
      </c>
      <c r="G64" t="s">
        <v>898</v>
      </c>
      <c r="H64" t="s">
        <v>898</v>
      </c>
      <c r="I64" t="s">
        <v>898</v>
      </c>
      <c r="J64" t="s">
        <v>898</v>
      </c>
      <c r="K64" t="s">
        <v>898</v>
      </c>
      <c r="L64" t="s">
        <v>898</v>
      </c>
      <c r="M64" t="s">
        <v>898</v>
      </c>
      <c r="N64" t="s">
        <v>898</v>
      </c>
      <c r="O64" t="s">
        <v>898</v>
      </c>
      <c r="P64" t="s">
        <v>898</v>
      </c>
      <c r="Q64" t="s">
        <v>898</v>
      </c>
      <c r="R64" t="s">
        <v>898</v>
      </c>
      <c r="S64" t="s">
        <v>898</v>
      </c>
      <c r="T64" t="s">
        <v>898</v>
      </c>
      <c r="U64" t="s">
        <v>530</v>
      </c>
      <c r="V64" t="s">
        <v>175</v>
      </c>
      <c r="W64" t="s">
        <v>898</v>
      </c>
      <c r="X64" t="s">
        <v>898</v>
      </c>
      <c r="Y64" t="e">
        <v>#REF!</v>
      </c>
      <c r="Z64" t="e">
        <v>#REF!</v>
      </c>
    </row>
    <row r="65">
      <c r="A65" t="s">
        <v>898</v>
      </c>
      <c r="B65" t="s">
        <v>898</v>
      </c>
      <c r="C65" t="s">
        <v>898</v>
      </c>
      <c r="D65" t="s">
        <v>898</v>
      </c>
      <c r="E65" t="s">
        <v>898</v>
      </c>
      <c r="F65" t="s">
        <v>898</v>
      </c>
      <c r="G65" t="s">
        <v>898</v>
      </c>
      <c r="H65" t="s">
        <v>898</v>
      </c>
      <c r="I65" t="s">
        <v>898</v>
      </c>
      <c r="J65" t="s">
        <v>898</v>
      </c>
      <c r="K65" t="s">
        <v>898</v>
      </c>
      <c r="L65" t="s">
        <v>898</v>
      </c>
      <c r="M65" t="s">
        <v>898</v>
      </c>
      <c r="N65" t="s">
        <v>898</v>
      </c>
      <c r="O65" t="s">
        <v>898</v>
      </c>
      <c r="P65" t="s">
        <v>898</v>
      </c>
      <c r="Q65" t="s">
        <v>898</v>
      </c>
      <c r="R65" t="s">
        <v>898</v>
      </c>
      <c r="S65" t="s">
        <v>407</v>
      </c>
      <c r="T65" t="s">
        <v>137</v>
      </c>
      <c r="U65" t="s">
        <v>898</v>
      </c>
      <c r="V65" t="s">
        <v>898</v>
      </c>
      <c r="W65" t="s">
        <v>898</v>
      </c>
      <c r="X65" t="s">
        <v>898</v>
      </c>
      <c r="Y65" t="e">
        <v>#REF!</v>
      </c>
      <c r="Z65" t="e">
        <v>#REF!</v>
      </c>
    </row>
    <row r="66">
      <c r="A66" t="s">
        <v>898</v>
      </c>
      <c r="B66" t="s">
        <v>898</v>
      </c>
      <c r="C66" t="s">
        <v>898</v>
      </c>
      <c r="D66" t="s">
        <v>898</v>
      </c>
      <c r="E66" t="s">
        <v>898</v>
      </c>
      <c r="F66" t="s">
        <v>898</v>
      </c>
      <c r="G66" t="s">
        <v>898</v>
      </c>
      <c r="H66" t="s">
        <v>898</v>
      </c>
      <c r="I66" t="s">
        <v>898</v>
      </c>
      <c r="J66" t="s">
        <v>898</v>
      </c>
      <c r="K66" t="s">
        <v>898</v>
      </c>
      <c r="L66" t="s">
        <v>898</v>
      </c>
      <c r="M66" t="s">
        <v>898</v>
      </c>
      <c r="N66" t="s">
        <v>898</v>
      </c>
      <c r="O66" t="s">
        <v>898</v>
      </c>
      <c r="P66" t="s">
        <v>898</v>
      </c>
      <c r="Q66" t="s">
        <v>556</v>
      </c>
      <c r="R66" t="s">
        <v>208</v>
      </c>
      <c r="S66" t="s">
        <v>898</v>
      </c>
      <c r="T66" t="s">
        <v>898</v>
      </c>
      <c r="U66" t="s">
        <v>898</v>
      </c>
      <c r="V66" t="s">
        <v>898</v>
      </c>
      <c r="W66" t="s">
        <v>898</v>
      </c>
      <c r="X66" t="s">
        <v>898</v>
      </c>
      <c r="Y66" t="e">
        <v>#REF!</v>
      </c>
      <c r="Z66" t="e">
        <v>#REF!</v>
      </c>
    </row>
    <row r="67">
      <c r="A67" t="s">
        <v>898</v>
      </c>
      <c r="B67" t="s">
        <v>898</v>
      </c>
      <c r="C67" t="s">
        <v>898</v>
      </c>
      <c r="D67" t="s">
        <v>898</v>
      </c>
      <c r="E67" t="s">
        <v>898</v>
      </c>
      <c r="F67" t="s">
        <v>898</v>
      </c>
      <c r="G67" t="s">
        <v>898</v>
      </c>
      <c r="H67" t="s">
        <v>898</v>
      </c>
      <c r="I67" t="s">
        <v>898</v>
      </c>
      <c r="J67" t="s">
        <v>898</v>
      </c>
      <c r="K67" t="s">
        <v>898</v>
      </c>
      <c r="L67" t="s">
        <v>898</v>
      </c>
      <c r="M67" t="s">
        <v>898</v>
      </c>
      <c r="N67" t="s">
        <v>898</v>
      </c>
      <c r="O67" t="s">
        <v>407</v>
      </c>
      <c r="P67" t="s">
        <v>141</v>
      </c>
      <c r="Q67" t="s">
        <v>898</v>
      </c>
      <c r="R67" t="s">
        <v>898</v>
      </c>
      <c r="S67" t="s">
        <v>898</v>
      </c>
      <c r="T67" t="s">
        <v>898</v>
      </c>
      <c r="U67" t="s">
        <v>898</v>
      </c>
      <c r="V67" t="s">
        <v>898</v>
      </c>
      <c r="W67" t="s">
        <v>898</v>
      </c>
      <c r="X67" t="s">
        <v>898</v>
      </c>
      <c r="Y67" t="e">
        <v>#REF!</v>
      </c>
      <c r="Z67" t="e">
        <v>#REF!</v>
      </c>
    </row>
    <row r="68">
      <c r="A68" t="s">
        <v>898</v>
      </c>
      <c r="B68" t="s">
        <v>898</v>
      </c>
      <c r="C68" t="s">
        <v>898</v>
      </c>
      <c r="D68" t="s">
        <v>898</v>
      </c>
      <c r="E68" t="s">
        <v>898</v>
      </c>
      <c r="F68" t="s">
        <v>898</v>
      </c>
      <c r="G68" t="s">
        <v>898</v>
      </c>
      <c r="H68" t="s">
        <v>898</v>
      </c>
      <c r="I68" t="s">
        <v>898</v>
      </c>
      <c r="J68" t="s">
        <v>898</v>
      </c>
      <c r="K68" t="s">
        <v>898</v>
      </c>
      <c r="L68" t="s">
        <v>898</v>
      </c>
      <c r="M68" t="s">
        <v>525</v>
      </c>
      <c r="N68" t="s">
        <v>536</v>
      </c>
      <c r="O68" t="s">
        <v>898</v>
      </c>
      <c r="P68" t="s">
        <v>898</v>
      </c>
      <c r="Q68" t="s">
        <v>898</v>
      </c>
      <c r="R68" t="s">
        <v>898</v>
      </c>
      <c r="S68" t="s">
        <v>898</v>
      </c>
      <c r="T68" t="s">
        <v>898</v>
      </c>
      <c r="U68" t="s">
        <v>898</v>
      </c>
      <c r="V68" t="s">
        <v>898</v>
      </c>
      <c r="W68" t="s">
        <v>898</v>
      </c>
      <c r="X68" t="s">
        <v>898</v>
      </c>
      <c r="Y68" t="e">
        <v>#REF!</v>
      </c>
      <c r="Z68" t="e">
        <v>#REF!</v>
      </c>
    </row>
    <row r="69">
      <c r="A69" t="s">
        <v>898</v>
      </c>
      <c r="B69" t="s">
        <v>898</v>
      </c>
      <c r="C69" t="s">
        <v>898</v>
      </c>
      <c r="D69" t="s">
        <v>898</v>
      </c>
      <c r="E69" t="s">
        <v>898</v>
      </c>
      <c r="F69" t="s">
        <v>898</v>
      </c>
      <c r="G69" t="s">
        <v>898</v>
      </c>
      <c r="H69" t="s">
        <v>898</v>
      </c>
      <c r="I69" t="s">
        <v>898</v>
      </c>
      <c r="J69" t="s">
        <v>898</v>
      </c>
      <c r="K69" t="s">
        <v>556</v>
      </c>
      <c r="L69" t="s">
        <v>203</v>
      </c>
      <c r="M69" t="s">
        <v>898</v>
      </c>
      <c r="N69" t="s">
        <v>898</v>
      </c>
      <c r="O69" t="s">
        <v>898</v>
      </c>
      <c r="P69" t="s">
        <v>898</v>
      </c>
      <c r="Q69" t="s">
        <v>898</v>
      </c>
      <c r="R69" t="s">
        <v>898</v>
      </c>
      <c r="S69" t="s">
        <v>898</v>
      </c>
      <c r="T69" t="s">
        <v>898</v>
      </c>
      <c r="U69" t="s">
        <v>898</v>
      </c>
      <c r="V69" t="s">
        <v>898</v>
      </c>
      <c r="W69" t="s">
        <v>898</v>
      </c>
      <c r="X69" t="s">
        <v>898</v>
      </c>
      <c r="Y69" t="e">
        <v>#REF!</v>
      </c>
      <c r="Z69" t="e">
        <v>#REF!</v>
      </c>
    </row>
    <row r="70">
      <c r="A70" t="s">
        <v>898</v>
      </c>
      <c r="B70" t="s">
        <v>898</v>
      </c>
      <c r="C70" t="s">
        <v>898</v>
      </c>
      <c r="D70" t="s">
        <v>898</v>
      </c>
      <c r="E70" t="s">
        <v>898</v>
      </c>
      <c r="F70" t="s">
        <v>898</v>
      </c>
      <c r="G70" t="s">
        <v>898</v>
      </c>
      <c r="H70" t="s">
        <v>898</v>
      </c>
      <c r="I70" t="s">
        <v>471</v>
      </c>
      <c r="J70" t="s">
        <v>125</v>
      </c>
      <c r="K70" t="s">
        <v>898</v>
      </c>
      <c r="L70" t="s">
        <v>898</v>
      </c>
      <c r="M70" t="s">
        <v>898</v>
      </c>
      <c r="N70" t="s">
        <v>898</v>
      </c>
      <c r="O70" t="s">
        <v>898</v>
      </c>
      <c r="P70" t="s">
        <v>898</v>
      </c>
      <c r="Q70" t="s">
        <v>898</v>
      </c>
      <c r="R70" t="s">
        <v>898</v>
      </c>
      <c r="S70" t="s">
        <v>898</v>
      </c>
      <c r="T70" t="s">
        <v>898</v>
      </c>
      <c r="U70" t="s">
        <v>898</v>
      </c>
      <c r="V70" t="s">
        <v>898</v>
      </c>
      <c r="W70" t="s">
        <v>898</v>
      </c>
      <c r="X70" t="s">
        <v>898</v>
      </c>
      <c r="Y70" t="e">
        <v>#REF!</v>
      </c>
      <c r="Z70" t="e">
        <v>#REF!</v>
      </c>
    </row>
    <row r="71">
      <c r="A71" t="s">
        <v>898</v>
      </c>
      <c r="B71" t="s">
        <v>898</v>
      </c>
      <c r="C71" t="s">
        <v>898</v>
      </c>
      <c r="D71" t="s">
        <v>898</v>
      </c>
      <c r="E71" t="s">
        <v>898</v>
      </c>
      <c r="F71" t="s">
        <v>898</v>
      </c>
      <c r="G71" t="s">
        <v>361</v>
      </c>
      <c r="H71" t="s">
        <v>150</v>
      </c>
      <c r="I71" t="s">
        <v>898</v>
      </c>
      <c r="J71" t="s">
        <v>898</v>
      </c>
      <c r="K71" t="s">
        <v>898</v>
      </c>
      <c r="L71" t="s">
        <v>898</v>
      </c>
      <c r="M71" t="s">
        <v>898</v>
      </c>
      <c r="N71" t="s">
        <v>898</v>
      </c>
      <c r="O71" t="s">
        <v>898</v>
      </c>
      <c r="P71" t="s">
        <v>898</v>
      </c>
      <c r="Q71" t="s">
        <v>898</v>
      </c>
      <c r="R71" t="s">
        <v>898</v>
      </c>
      <c r="S71" t="s">
        <v>898</v>
      </c>
      <c r="T71" t="s">
        <v>898</v>
      </c>
      <c r="U71" t="s">
        <v>898</v>
      </c>
      <c r="V71" t="s">
        <v>898</v>
      </c>
      <c r="W71" t="s">
        <v>898</v>
      </c>
      <c r="X71" t="s">
        <v>898</v>
      </c>
      <c r="Y71" t="e">
        <v>#REF!</v>
      </c>
      <c r="Z71" t="e">
        <v>#REF!</v>
      </c>
    </row>
    <row r="72">
      <c r="A72" t="s">
        <v>898</v>
      </c>
      <c r="B72" t="s">
        <v>898</v>
      </c>
      <c r="C72" t="s">
        <v>898</v>
      </c>
      <c r="D72" t="s">
        <v>898</v>
      </c>
      <c r="E72" t="s">
        <v>530</v>
      </c>
      <c r="F72" t="s">
        <v>304</v>
      </c>
      <c r="G72" t="s">
        <v>898</v>
      </c>
      <c r="H72" t="s">
        <v>898</v>
      </c>
      <c r="I72" t="s">
        <v>898</v>
      </c>
      <c r="J72" t="s">
        <v>898</v>
      </c>
      <c r="K72" t="s">
        <v>898</v>
      </c>
      <c r="L72" t="s">
        <v>898</v>
      </c>
      <c r="M72" t="s">
        <v>898</v>
      </c>
      <c r="N72" t="s">
        <v>898</v>
      </c>
      <c r="O72" t="s">
        <v>898</v>
      </c>
      <c r="P72" t="s">
        <v>898</v>
      </c>
      <c r="Q72" t="s">
        <v>898</v>
      </c>
      <c r="R72" t="s">
        <v>898</v>
      </c>
      <c r="S72" t="s">
        <v>898</v>
      </c>
      <c r="T72" t="s">
        <v>898</v>
      </c>
      <c r="U72" t="s">
        <v>898</v>
      </c>
      <c r="V72" t="s">
        <v>898</v>
      </c>
      <c r="W72" t="s">
        <v>898</v>
      </c>
      <c r="X72" t="s">
        <v>898</v>
      </c>
      <c r="Y72" t="e">
        <v>#REF!</v>
      </c>
      <c r="Z72" t="e">
        <v>#REF!</v>
      </c>
    </row>
    <row r="73">
      <c r="A73" t="s">
        <v>898</v>
      </c>
      <c r="B73" t="s">
        <v>898</v>
      </c>
      <c r="C73" t="s">
        <v>556</v>
      </c>
      <c r="D73" t="s">
        <v>128</v>
      </c>
      <c r="E73" t="s">
        <v>898</v>
      </c>
      <c r="F73" t="s">
        <v>898</v>
      </c>
      <c r="G73" t="s">
        <v>898</v>
      </c>
      <c r="H73" t="s">
        <v>898</v>
      </c>
      <c r="I73" t="s">
        <v>898</v>
      </c>
      <c r="J73" t="s">
        <v>898</v>
      </c>
      <c r="K73" t="s">
        <v>898</v>
      </c>
      <c r="L73" t="s">
        <v>898</v>
      </c>
      <c r="M73" t="s">
        <v>898</v>
      </c>
      <c r="N73" t="s">
        <v>898</v>
      </c>
      <c r="O73" t="s">
        <v>898</v>
      </c>
      <c r="P73" t="s">
        <v>898</v>
      </c>
      <c r="Q73" t="s">
        <v>898</v>
      </c>
      <c r="R73" t="s">
        <v>898</v>
      </c>
      <c r="S73" t="s">
        <v>898</v>
      </c>
      <c r="T73" t="s">
        <v>898</v>
      </c>
      <c r="U73" t="s">
        <v>898</v>
      </c>
      <c r="V73" t="s">
        <v>898</v>
      </c>
      <c r="W73" t="s">
        <v>898</v>
      </c>
      <c r="X73" t="s">
        <v>898</v>
      </c>
      <c r="Y73" t="e">
        <v>#REF!</v>
      </c>
      <c r="Z73" t="e">
        <v>#REF!</v>
      </c>
    </row>
    <row r="74">
      <c r="A74" t="s">
        <v>441</v>
      </c>
      <c r="B74" t="s">
        <v>422</v>
      </c>
      <c r="C74" t="s">
        <v>898</v>
      </c>
      <c r="D74" t="s">
        <v>898</v>
      </c>
      <c r="E74" t="s">
        <v>898</v>
      </c>
      <c r="F74" t="s">
        <v>898</v>
      </c>
      <c r="G74" t="s">
        <v>898</v>
      </c>
      <c r="H74" t="s">
        <v>898</v>
      </c>
      <c r="I74" t="s">
        <v>898</v>
      </c>
      <c r="J74" t="s">
        <v>898</v>
      </c>
      <c r="K74" t="s">
        <v>898</v>
      </c>
      <c r="L74" t="s">
        <v>898</v>
      </c>
      <c r="M74" t="s">
        <v>898</v>
      </c>
      <c r="N74" t="s">
        <v>898</v>
      </c>
      <c r="O74" t="s">
        <v>898</v>
      </c>
      <c r="P74" t="s">
        <v>898</v>
      </c>
      <c r="Q74" t="s">
        <v>898</v>
      </c>
      <c r="R74" t="s">
        <v>898</v>
      </c>
      <c r="S74" t="s">
        <v>898</v>
      </c>
      <c r="T74" t="s">
        <v>898</v>
      </c>
      <c r="U74" t="s">
        <v>898</v>
      </c>
      <c r="V74" t="s">
        <v>898</v>
      </c>
      <c r="W74" t="s">
        <v>898</v>
      </c>
      <c r="X74" t="s">
        <v>898</v>
      </c>
      <c r="Y74" t="e">
        <v>#REF!</v>
      </c>
      <c r="Z74" t="e">
        <v>#REF!</v>
      </c>
    </row>
    <row r="75">
      <c r="A75" t="s">
        <v>525</v>
      </c>
      <c r="B75" t="s">
        <v>176</v>
      </c>
      <c r="C75" t="s">
        <v>898</v>
      </c>
      <c r="D75" t="s">
        <v>898</v>
      </c>
      <c r="E75" t="s">
        <v>898</v>
      </c>
      <c r="F75" t="s">
        <v>898</v>
      </c>
      <c r="G75" t="s">
        <v>898</v>
      </c>
      <c r="H75" t="s">
        <v>898</v>
      </c>
      <c r="I75" t="s">
        <v>898</v>
      </c>
      <c r="J75" t="s">
        <v>898</v>
      </c>
      <c r="K75" t="s">
        <v>898</v>
      </c>
      <c r="L75" t="s">
        <v>898</v>
      </c>
      <c r="M75" t="s">
        <v>898</v>
      </c>
      <c r="N75" t="s">
        <v>898</v>
      </c>
      <c r="O75" t="s">
        <v>898</v>
      </c>
      <c r="P75" t="s">
        <v>898</v>
      </c>
      <c r="Q75" t="s">
        <v>898</v>
      </c>
      <c r="R75" t="s">
        <v>898</v>
      </c>
      <c r="S75" t="s">
        <v>898</v>
      </c>
      <c r="T75" t="s">
        <v>898</v>
      </c>
      <c r="U75" t="s">
        <v>898</v>
      </c>
      <c r="V75" t="s">
        <v>898</v>
      </c>
      <c r="W75" t="s">
        <v>898</v>
      </c>
      <c r="X75" t="s">
        <v>898</v>
      </c>
      <c r="Y75" t="e">
        <v>#REF!</v>
      </c>
      <c r="Z75" t="e">
        <v>#REF!</v>
      </c>
    </row>
    <row r="76">
      <c r="A76" t="s">
        <v>898</v>
      </c>
      <c r="B76" t="s">
        <v>898</v>
      </c>
      <c r="C76" t="s">
        <v>471</v>
      </c>
      <c r="D76" t="s">
        <v>130</v>
      </c>
      <c r="E76" t="s">
        <v>898</v>
      </c>
      <c r="F76" t="s">
        <v>898</v>
      </c>
      <c r="G76" t="s">
        <v>898</v>
      </c>
      <c r="H76" t="s">
        <v>898</v>
      </c>
      <c r="I76" t="s">
        <v>898</v>
      </c>
      <c r="J76" t="s">
        <v>898</v>
      </c>
      <c r="K76" t="s">
        <v>898</v>
      </c>
      <c r="L76" t="s">
        <v>898</v>
      </c>
      <c r="M76" t="s">
        <v>898</v>
      </c>
      <c r="N76" t="s">
        <v>898</v>
      </c>
      <c r="O76" t="s">
        <v>898</v>
      </c>
      <c r="P76" t="s">
        <v>898</v>
      </c>
      <c r="Q76" t="s">
        <v>898</v>
      </c>
      <c r="R76" t="s">
        <v>898</v>
      </c>
      <c r="S76" t="s">
        <v>898</v>
      </c>
      <c r="T76" t="s">
        <v>898</v>
      </c>
      <c r="U76" t="s">
        <v>898</v>
      </c>
      <c r="V76" t="s">
        <v>898</v>
      </c>
      <c r="W76" t="s">
        <v>898</v>
      </c>
      <c r="X76" t="s">
        <v>898</v>
      </c>
      <c r="Y76" t="e">
        <v>#REF!</v>
      </c>
      <c r="Z76" t="e">
        <v>#REF!</v>
      </c>
    </row>
    <row r="77">
      <c r="A77" t="s">
        <v>898</v>
      </c>
      <c r="B77" t="s">
        <v>898</v>
      </c>
      <c r="C77" t="s">
        <v>898</v>
      </c>
      <c r="D77" t="s">
        <v>898</v>
      </c>
      <c r="E77" t="s">
        <v>441</v>
      </c>
      <c r="F77" t="s">
        <v>155</v>
      </c>
      <c r="G77" t="s">
        <v>898</v>
      </c>
      <c r="H77" t="s">
        <v>898</v>
      </c>
      <c r="I77" t="s">
        <v>898</v>
      </c>
      <c r="J77" t="s">
        <v>898</v>
      </c>
      <c r="K77" t="s">
        <v>898</v>
      </c>
      <c r="L77" t="s">
        <v>898</v>
      </c>
      <c r="M77" t="s">
        <v>898</v>
      </c>
      <c r="N77" t="s">
        <v>898</v>
      </c>
      <c r="O77" t="s">
        <v>898</v>
      </c>
      <c r="P77" t="s">
        <v>898</v>
      </c>
      <c r="Q77" t="s">
        <v>898</v>
      </c>
      <c r="R77" t="s">
        <v>898</v>
      </c>
      <c r="S77" t="s">
        <v>898</v>
      </c>
      <c r="T77" t="s">
        <v>898</v>
      </c>
      <c r="U77" t="s">
        <v>898</v>
      </c>
      <c r="V77" t="s">
        <v>898</v>
      </c>
      <c r="W77" t="s">
        <v>898</v>
      </c>
      <c r="X77" t="s">
        <v>898</v>
      </c>
      <c r="Y77" t="e">
        <v>#REF!</v>
      </c>
      <c r="Z77" t="e">
        <v>#REF!</v>
      </c>
    </row>
    <row r="78">
      <c r="A78" t="s">
        <v>898</v>
      </c>
      <c r="B78" t="s">
        <v>898</v>
      </c>
      <c r="C78" t="s">
        <v>898</v>
      </c>
      <c r="D78" t="s">
        <v>898</v>
      </c>
      <c r="E78" t="s">
        <v>898</v>
      </c>
      <c r="F78" t="s">
        <v>898</v>
      </c>
      <c r="G78" t="s">
        <v>530</v>
      </c>
      <c r="H78" t="s">
        <v>164</v>
      </c>
      <c r="I78" t="s">
        <v>898</v>
      </c>
      <c r="J78" t="s">
        <v>898</v>
      </c>
      <c r="K78" t="s">
        <v>898</v>
      </c>
      <c r="L78" t="s">
        <v>898</v>
      </c>
      <c r="M78" t="s">
        <v>898</v>
      </c>
      <c r="N78" t="s">
        <v>898</v>
      </c>
      <c r="O78" t="s">
        <v>898</v>
      </c>
      <c r="P78" t="s">
        <v>898</v>
      </c>
      <c r="Q78" t="s">
        <v>898</v>
      </c>
      <c r="R78" t="s">
        <v>898</v>
      </c>
      <c r="S78" t="s">
        <v>898</v>
      </c>
      <c r="T78" t="s">
        <v>898</v>
      </c>
      <c r="U78" t="s">
        <v>898</v>
      </c>
      <c r="V78" t="s">
        <v>898</v>
      </c>
      <c r="W78" t="s">
        <v>898</v>
      </c>
      <c r="X78" t="s">
        <v>898</v>
      </c>
      <c r="Y78" t="e">
        <v>#REF!</v>
      </c>
      <c r="Z78" t="e">
        <v>#REF!</v>
      </c>
    </row>
    <row r="79">
      <c r="A79" t="s">
        <v>898</v>
      </c>
      <c r="B79" t="s">
        <v>898</v>
      </c>
      <c r="C79" t="s">
        <v>898</v>
      </c>
      <c r="D79" t="s">
        <v>898</v>
      </c>
      <c r="E79" t="s">
        <v>898</v>
      </c>
      <c r="F79" t="s">
        <v>898</v>
      </c>
      <c r="G79" t="s">
        <v>898</v>
      </c>
      <c r="H79" t="s">
        <v>898</v>
      </c>
      <c r="I79" t="s">
        <v>317</v>
      </c>
      <c r="J79" t="s">
        <v>122</v>
      </c>
      <c r="K79" t="s">
        <v>898</v>
      </c>
      <c r="L79" t="s">
        <v>898</v>
      </c>
      <c r="M79" t="s">
        <v>898</v>
      </c>
      <c r="N79" t="s">
        <v>898</v>
      </c>
      <c r="O79" t="s">
        <v>898</v>
      </c>
      <c r="P79" t="s">
        <v>898</v>
      </c>
      <c r="Q79" t="s">
        <v>898</v>
      </c>
      <c r="R79" t="s">
        <v>898</v>
      </c>
      <c r="S79" t="s">
        <v>898</v>
      </c>
      <c r="T79" t="s">
        <v>898</v>
      </c>
      <c r="U79" t="s">
        <v>898</v>
      </c>
      <c r="V79" t="s">
        <v>898</v>
      </c>
      <c r="W79" t="s">
        <v>898</v>
      </c>
      <c r="X79" t="s">
        <v>898</v>
      </c>
      <c r="Y79" t="e">
        <v>#REF!</v>
      </c>
      <c r="Z79" t="e">
        <v>#REF!</v>
      </c>
    </row>
    <row r="80">
      <c r="A80" t="s">
        <v>898</v>
      </c>
      <c r="B80" t="s">
        <v>898</v>
      </c>
      <c r="C80" t="s">
        <v>898</v>
      </c>
      <c r="D80" t="s">
        <v>898</v>
      </c>
      <c r="E80" t="s">
        <v>898</v>
      </c>
      <c r="F80" t="s">
        <v>898</v>
      </c>
      <c r="G80" t="s">
        <v>898</v>
      </c>
      <c r="H80" t="s">
        <v>898</v>
      </c>
      <c r="I80" t="s">
        <v>898</v>
      </c>
      <c r="J80" t="s">
        <v>898</v>
      </c>
      <c r="K80" t="s">
        <v>317</v>
      </c>
      <c r="L80" t="s">
        <v>113</v>
      </c>
      <c r="M80" t="s">
        <v>898</v>
      </c>
      <c r="N80" t="s">
        <v>898</v>
      </c>
      <c r="O80" t="s">
        <v>898</v>
      </c>
      <c r="P80" t="s">
        <v>898</v>
      </c>
      <c r="Q80" t="s">
        <v>898</v>
      </c>
      <c r="R80" t="s">
        <v>898</v>
      </c>
      <c r="S80" t="s">
        <v>898</v>
      </c>
      <c r="T80" t="s">
        <v>898</v>
      </c>
      <c r="U80" t="s">
        <v>898</v>
      </c>
      <c r="V80" t="s">
        <v>898</v>
      </c>
      <c r="W80" t="s">
        <v>898</v>
      </c>
      <c r="X80" t="s">
        <v>898</v>
      </c>
      <c r="Y80" t="e">
        <v>#REF!</v>
      </c>
      <c r="Z80" t="e">
        <v>#REF!</v>
      </c>
    </row>
    <row r="81">
      <c r="A81" t="s">
        <v>898</v>
      </c>
      <c r="B81" t="s">
        <v>898</v>
      </c>
      <c r="C81" t="s">
        <v>898</v>
      </c>
      <c r="D81" t="s">
        <v>898</v>
      </c>
      <c r="E81" t="s">
        <v>898</v>
      </c>
      <c r="F81" t="s">
        <v>898</v>
      </c>
      <c r="G81" t="s">
        <v>898</v>
      </c>
      <c r="H81" t="s">
        <v>898</v>
      </c>
      <c r="I81" t="s">
        <v>898</v>
      </c>
      <c r="J81" t="s">
        <v>898</v>
      </c>
      <c r="K81" t="s">
        <v>898</v>
      </c>
      <c r="L81" t="s">
        <v>898</v>
      </c>
      <c r="M81" t="s">
        <v>441</v>
      </c>
      <c r="N81" t="s">
        <v>222</v>
      </c>
      <c r="O81" t="s">
        <v>898</v>
      </c>
      <c r="P81" t="s">
        <v>898</v>
      </c>
      <c r="Q81" t="s">
        <v>898</v>
      </c>
      <c r="R81" t="s">
        <v>898</v>
      </c>
      <c r="S81" t="s">
        <v>898</v>
      </c>
      <c r="T81" t="s">
        <v>898</v>
      </c>
      <c r="U81" t="s">
        <v>898</v>
      </c>
      <c r="V81" t="s">
        <v>898</v>
      </c>
      <c r="W81" t="s">
        <v>898</v>
      </c>
      <c r="X81" t="s">
        <v>898</v>
      </c>
      <c r="Y81" t="e">
        <v>#REF!</v>
      </c>
      <c r="Z81" t="e">
        <v>#REF!</v>
      </c>
    </row>
    <row r="82">
      <c r="A82" t="s">
        <v>898</v>
      </c>
      <c r="B82" t="s">
        <v>898</v>
      </c>
      <c r="C82" t="s">
        <v>898</v>
      </c>
      <c r="D82" t="s">
        <v>898</v>
      </c>
      <c r="E82" t="s">
        <v>898</v>
      </c>
      <c r="F82" t="s">
        <v>898</v>
      </c>
      <c r="G82" t="s">
        <v>898</v>
      </c>
      <c r="H82" t="s">
        <v>898</v>
      </c>
      <c r="I82" t="s">
        <v>898</v>
      </c>
      <c r="J82" t="s">
        <v>898</v>
      </c>
      <c r="K82" t="s">
        <v>898</v>
      </c>
      <c r="L82" t="s">
        <v>898</v>
      </c>
      <c r="M82" t="s">
        <v>898</v>
      </c>
      <c r="N82" t="s">
        <v>898</v>
      </c>
      <c r="O82" t="s">
        <v>471</v>
      </c>
      <c r="P82" t="s">
        <v>98</v>
      </c>
      <c r="Q82" t="s">
        <v>898</v>
      </c>
      <c r="R82" t="s">
        <v>898</v>
      </c>
      <c r="S82" t="s">
        <v>898</v>
      </c>
      <c r="T82" t="s">
        <v>898</v>
      </c>
      <c r="U82" t="s">
        <v>898</v>
      </c>
      <c r="V82" t="s">
        <v>898</v>
      </c>
      <c r="W82" t="s">
        <v>898</v>
      </c>
      <c r="X82" t="s">
        <v>898</v>
      </c>
      <c r="Y82" t="e">
        <v>#REF!</v>
      </c>
      <c r="Z82" t="e">
        <v>#REF!</v>
      </c>
    </row>
    <row r="83">
      <c r="A83" t="s">
        <v>898</v>
      </c>
      <c r="B83" t="s">
        <v>898</v>
      </c>
      <c r="C83" t="s">
        <v>898</v>
      </c>
      <c r="D83" t="s">
        <v>898</v>
      </c>
      <c r="E83" t="s">
        <v>898</v>
      </c>
      <c r="F83" t="s">
        <v>898</v>
      </c>
      <c r="G83" t="s">
        <v>898</v>
      </c>
      <c r="H83" t="s">
        <v>898</v>
      </c>
      <c r="I83" t="s">
        <v>898</v>
      </c>
      <c r="J83" t="s">
        <v>898</v>
      </c>
      <c r="K83" t="s">
        <v>898</v>
      </c>
      <c r="L83" t="s">
        <v>898</v>
      </c>
      <c r="M83" t="s">
        <v>898</v>
      </c>
      <c r="N83" t="s">
        <v>898</v>
      </c>
      <c r="O83" t="s">
        <v>898</v>
      </c>
      <c r="P83" t="s">
        <v>898</v>
      </c>
      <c r="Q83" t="s">
        <v>471</v>
      </c>
      <c r="R83" t="s">
        <v>109</v>
      </c>
      <c r="S83" t="s">
        <v>898</v>
      </c>
      <c r="T83" t="s">
        <v>898</v>
      </c>
      <c r="U83" t="s">
        <v>898</v>
      </c>
      <c r="V83" t="s">
        <v>898</v>
      </c>
      <c r="W83" t="s">
        <v>898</v>
      </c>
      <c r="X83" t="s">
        <v>898</v>
      </c>
      <c r="Y83" t="e">
        <v>#REF!</v>
      </c>
      <c r="Z83" t="e">
        <v>#REF!</v>
      </c>
    </row>
    <row r="84">
      <c r="A84" t="s">
        <v>898</v>
      </c>
      <c r="B84" t="s">
        <v>898</v>
      </c>
      <c r="C84" t="s">
        <v>898</v>
      </c>
      <c r="D84" t="s">
        <v>898</v>
      </c>
      <c r="E84" t="s">
        <v>898</v>
      </c>
      <c r="F84" t="s">
        <v>898</v>
      </c>
      <c r="G84" t="s">
        <v>898</v>
      </c>
      <c r="H84" t="s">
        <v>898</v>
      </c>
      <c r="I84" t="s">
        <v>898</v>
      </c>
      <c r="J84" t="s">
        <v>898</v>
      </c>
      <c r="K84" t="s">
        <v>898</v>
      </c>
      <c r="L84" t="s">
        <v>898</v>
      </c>
      <c r="M84" t="s">
        <v>898</v>
      </c>
      <c r="N84" t="s">
        <v>898</v>
      </c>
      <c r="O84" t="s">
        <v>898</v>
      </c>
      <c r="P84" t="s">
        <v>898</v>
      </c>
      <c r="Q84" t="s">
        <v>898</v>
      </c>
      <c r="R84" t="s">
        <v>898</v>
      </c>
      <c r="S84" t="s">
        <v>317</v>
      </c>
      <c r="T84" t="s">
        <v>112</v>
      </c>
      <c r="U84" t="s">
        <v>898</v>
      </c>
      <c r="V84" t="s">
        <v>898</v>
      </c>
      <c r="W84" t="s">
        <v>898</v>
      </c>
      <c r="X84" t="s">
        <v>898</v>
      </c>
      <c r="Y84" t="e">
        <v>#REF!</v>
      </c>
      <c r="Z84" t="e">
        <v>#REF!</v>
      </c>
    </row>
    <row r="85">
      <c r="A85" t="s">
        <v>898</v>
      </c>
      <c r="B85" t="s">
        <v>898</v>
      </c>
      <c r="C85" t="s">
        <v>898</v>
      </c>
      <c r="D85" t="s">
        <v>898</v>
      </c>
      <c r="E85" t="s">
        <v>898</v>
      </c>
      <c r="F85" t="s">
        <v>898</v>
      </c>
      <c r="G85" t="s">
        <v>898</v>
      </c>
      <c r="H85" t="s">
        <v>898</v>
      </c>
      <c r="I85" t="s">
        <v>898</v>
      </c>
      <c r="J85" t="s">
        <v>898</v>
      </c>
      <c r="K85" t="s">
        <v>898</v>
      </c>
      <c r="L85" t="s">
        <v>898</v>
      </c>
      <c r="M85" t="s">
        <v>898</v>
      </c>
      <c r="N85" t="s">
        <v>898</v>
      </c>
      <c r="O85" t="s">
        <v>898</v>
      </c>
      <c r="P85" t="s">
        <v>898</v>
      </c>
      <c r="Q85" t="s">
        <v>898</v>
      </c>
      <c r="R85" t="s">
        <v>898</v>
      </c>
      <c r="S85" t="s">
        <v>898</v>
      </c>
      <c r="T85" t="s">
        <v>898</v>
      </c>
      <c r="U85" t="s">
        <v>725</v>
      </c>
      <c r="V85" t="s">
        <v>99</v>
      </c>
      <c r="W85" t="s">
        <v>898</v>
      </c>
      <c r="X85" t="s">
        <v>898</v>
      </c>
      <c r="Y85" t="e">
        <v>#REF!</v>
      </c>
      <c r="Z85" t="e">
        <v>#REF!</v>
      </c>
    </row>
    <row r="86">
      <c r="A86" t="s">
        <v>898</v>
      </c>
      <c r="B86" t="s">
        <v>898</v>
      </c>
      <c r="C86" t="s">
        <v>898</v>
      </c>
      <c r="D86" t="s">
        <v>898</v>
      </c>
      <c r="E86" t="s">
        <v>898</v>
      </c>
      <c r="F86" t="s">
        <v>898</v>
      </c>
      <c r="G86" t="s">
        <v>898</v>
      </c>
      <c r="H86" t="s">
        <v>898</v>
      </c>
      <c r="I86" t="s">
        <v>898</v>
      </c>
      <c r="J86" t="s">
        <v>898</v>
      </c>
      <c r="K86" t="s">
        <v>898</v>
      </c>
      <c r="L86" t="s">
        <v>898</v>
      </c>
      <c r="M86" t="s">
        <v>898</v>
      </c>
      <c r="N86" t="s">
        <v>898</v>
      </c>
      <c r="O86" t="s">
        <v>898</v>
      </c>
      <c r="P86" t="s">
        <v>898</v>
      </c>
      <c r="Q86" t="s">
        <v>898</v>
      </c>
      <c r="R86" t="s">
        <v>898</v>
      </c>
      <c r="S86" t="s">
        <v>898</v>
      </c>
      <c r="T86" t="s">
        <v>898</v>
      </c>
      <c r="U86" t="s">
        <v>898</v>
      </c>
      <c r="V86" t="s">
        <v>898</v>
      </c>
      <c r="W86" t="s">
        <v>535</v>
      </c>
      <c r="X86" t="s">
        <v>545</v>
      </c>
      <c r="Y86" t="e">
        <v>#REF!</v>
      </c>
      <c r="Z86" t="e">
        <v>#REF!</v>
      </c>
    </row>
    <row r="87">
      <c r="A87" t="s">
        <v>898</v>
      </c>
      <c r="B87" t="s">
        <v>898</v>
      </c>
      <c r="C87" t="s">
        <v>898</v>
      </c>
      <c r="D87" t="s">
        <v>898</v>
      </c>
      <c r="E87" t="s">
        <v>898</v>
      </c>
      <c r="F87" t="s">
        <v>898</v>
      </c>
      <c r="G87" t="s">
        <v>898</v>
      </c>
      <c r="H87" t="s">
        <v>898</v>
      </c>
      <c r="I87" t="s">
        <v>898</v>
      </c>
      <c r="J87" t="s">
        <v>898</v>
      </c>
      <c r="K87" t="s">
        <v>898</v>
      </c>
      <c r="L87" t="s">
        <v>898</v>
      </c>
      <c r="M87" t="s">
        <v>898</v>
      </c>
      <c r="N87" t="s">
        <v>898</v>
      </c>
      <c r="O87" t="s">
        <v>898</v>
      </c>
      <c r="P87" t="s">
        <v>898</v>
      </c>
      <c r="Q87" t="s">
        <v>898</v>
      </c>
      <c r="R87" t="s">
        <v>898</v>
      </c>
      <c r="S87" t="s">
        <v>898</v>
      </c>
      <c r="T87" t="s">
        <v>898</v>
      </c>
      <c r="U87" t="s">
        <v>898</v>
      </c>
      <c r="V87" t="s">
        <v>898</v>
      </c>
      <c r="W87" t="s">
        <v>525</v>
      </c>
      <c r="X87" t="s">
        <v>187</v>
      </c>
      <c r="Y87" t="e">
        <v>#REF!</v>
      </c>
      <c r="Z87" t="e">
        <v>#REF!</v>
      </c>
    </row>
    <row r="88">
      <c r="A88" t="s">
        <v>898</v>
      </c>
      <c r="B88" t="s">
        <v>898</v>
      </c>
      <c r="C88" t="s">
        <v>898</v>
      </c>
      <c r="D88" t="s">
        <v>898</v>
      </c>
      <c r="E88" t="s">
        <v>898</v>
      </c>
      <c r="F88" t="s">
        <v>898</v>
      </c>
      <c r="G88" t="s">
        <v>898</v>
      </c>
      <c r="H88" t="s">
        <v>898</v>
      </c>
      <c r="I88" t="s">
        <v>898</v>
      </c>
      <c r="J88" t="s">
        <v>898</v>
      </c>
      <c r="K88" t="s">
        <v>898</v>
      </c>
      <c r="L88" t="s">
        <v>898</v>
      </c>
      <c r="M88" t="s">
        <v>898</v>
      </c>
      <c r="N88" t="s">
        <v>898</v>
      </c>
      <c r="O88" t="s">
        <v>898</v>
      </c>
      <c r="P88" t="s">
        <v>898</v>
      </c>
      <c r="Q88" t="s">
        <v>898</v>
      </c>
      <c r="R88" t="s">
        <v>898</v>
      </c>
      <c r="S88" t="s">
        <v>898</v>
      </c>
      <c r="T88" t="s">
        <v>898</v>
      </c>
      <c r="U88" t="s">
        <v>471</v>
      </c>
      <c r="V88" t="s">
        <v>101</v>
      </c>
      <c r="W88" t="s">
        <v>898</v>
      </c>
      <c r="X88" t="s">
        <v>898</v>
      </c>
      <c r="Y88" t="e">
        <v>#REF!</v>
      </c>
      <c r="Z88" t="e">
        <v>#REF!</v>
      </c>
    </row>
    <row r="89">
      <c r="A89" t="s">
        <v>898</v>
      </c>
      <c r="B89" t="s">
        <v>898</v>
      </c>
      <c r="C89" t="s">
        <v>898</v>
      </c>
      <c r="D89" t="s">
        <v>898</v>
      </c>
      <c r="E89" t="s">
        <v>898</v>
      </c>
      <c r="F89" t="s">
        <v>898</v>
      </c>
      <c r="G89" t="s">
        <v>898</v>
      </c>
      <c r="H89" t="s">
        <v>898</v>
      </c>
      <c r="I89" t="s">
        <v>898</v>
      </c>
      <c r="J89" t="s">
        <v>898</v>
      </c>
      <c r="K89" t="s">
        <v>898</v>
      </c>
      <c r="L89" t="s">
        <v>898</v>
      </c>
      <c r="M89" t="s">
        <v>898</v>
      </c>
      <c r="N89" t="s">
        <v>898</v>
      </c>
      <c r="O89" t="s">
        <v>898</v>
      </c>
      <c r="P89" t="s">
        <v>898</v>
      </c>
      <c r="Q89" t="s">
        <v>898</v>
      </c>
      <c r="R89" t="s">
        <v>898</v>
      </c>
      <c r="S89" t="s">
        <v>525</v>
      </c>
      <c r="T89" t="s">
        <v>183</v>
      </c>
      <c r="U89" t="s">
        <v>898</v>
      </c>
      <c r="V89" t="s">
        <v>898</v>
      </c>
      <c r="W89" t="s">
        <v>898</v>
      </c>
      <c r="X89" t="s">
        <v>898</v>
      </c>
      <c r="Y89" t="e">
        <v>#REF!</v>
      </c>
      <c r="Z89" t="e">
        <v>#REF!</v>
      </c>
    </row>
    <row r="90">
      <c r="A90" t="s">
        <v>898</v>
      </c>
      <c r="B90" t="s">
        <v>898</v>
      </c>
      <c r="C90" t="s">
        <v>898</v>
      </c>
      <c r="D90" t="s">
        <v>898</v>
      </c>
      <c r="E90" t="s">
        <v>898</v>
      </c>
      <c r="F90" t="s">
        <v>898</v>
      </c>
      <c r="G90" t="s">
        <v>898</v>
      </c>
      <c r="H90" t="s">
        <v>898</v>
      </c>
      <c r="I90" t="s">
        <v>898</v>
      </c>
      <c r="J90" t="s">
        <v>898</v>
      </c>
      <c r="K90" t="s">
        <v>898</v>
      </c>
      <c r="L90" t="s">
        <v>898</v>
      </c>
      <c r="M90" t="s">
        <v>898</v>
      </c>
      <c r="N90" t="s">
        <v>898</v>
      </c>
      <c r="O90" t="s">
        <v>898</v>
      </c>
      <c r="P90" t="s">
        <v>898</v>
      </c>
      <c r="Q90" t="s">
        <v>441</v>
      </c>
      <c r="R90" t="s">
        <v>223</v>
      </c>
      <c r="S90" t="s">
        <v>898</v>
      </c>
      <c r="T90" t="s">
        <v>898</v>
      </c>
      <c r="U90" t="s">
        <v>898</v>
      </c>
      <c r="V90" t="s">
        <v>898</v>
      </c>
      <c r="W90" t="s">
        <v>898</v>
      </c>
      <c r="X90" t="s">
        <v>898</v>
      </c>
      <c r="Y90" t="e">
        <v>#REF!</v>
      </c>
      <c r="Z90" t="e">
        <v>#REF!</v>
      </c>
    </row>
    <row r="91">
      <c r="A91" t="s">
        <v>898</v>
      </c>
      <c r="B91" t="s">
        <v>898</v>
      </c>
      <c r="C91" t="s">
        <v>898</v>
      </c>
      <c r="D91" t="s">
        <v>898</v>
      </c>
      <c r="E91" t="s">
        <v>898</v>
      </c>
      <c r="F91" t="s">
        <v>898</v>
      </c>
      <c r="G91" t="s">
        <v>898</v>
      </c>
      <c r="H91" t="s">
        <v>898</v>
      </c>
      <c r="I91" t="s">
        <v>898</v>
      </c>
      <c r="J91" t="s">
        <v>898</v>
      </c>
      <c r="K91" t="s">
        <v>898</v>
      </c>
      <c r="L91" t="s">
        <v>898</v>
      </c>
      <c r="M91" t="s">
        <v>898</v>
      </c>
      <c r="N91" t="s">
        <v>898</v>
      </c>
      <c r="O91" t="s">
        <v>535</v>
      </c>
      <c r="P91" t="s">
        <v>160</v>
      </c>
      <c r="Q91" t="s">
        <v>898</v>
      </c>
      <c r="R91" t="s">
        <v>898</v>
      </c>
      <c r="S91" t="s">
        <v>898</v>
      </c>
      <c r="T91" t="s">
        <v>898</v>
      </c>
      <c r="U91" t="s">
        <v>898</v>
      </c>
      <c r="V91" t="s">
        <v>898</v>
      </c>
      <c r="W91" t="s">
        <v>898</v>
      </c>
      <c r="X91" t="s">
        <v>898</v>
      </c>
      <c r="Y91" t="e">
        <v>#REF!</v>
      </c>
      <c r="Z91" t="e">
        <v>#REF!</v>
      </c>
    </row>
    <row r="92">
      <c r="A92" t="s">
        <v>898</v>
      </c>
      <c r="B92" t="s">
        <v>898</v>
      </c>
      <c r="C92" t="s">
        <v>898</v>
      </c>
      <c r="D92" t="s">
        <v>898</v>
      </c>
      <c r="E92" t="s">
        <v>898</v>
      </c>
      <c r="F92" t="s">
        <v>898</v>
      </c>
      <c r="G92" t="s">
        <v>898</v>
      </c>
      <c r="H92" t="s">
        <v>898</v>
      </c>
      <c r="I92" t="s">
        <v>898</v>
      </c>
      <c r="J92" t="s">
        <v>898</v>
      </c>
      <c r="K92" t="s">
        <v>898</v>
      </c>
      <c r="L92" t="s">
        <v>898</v>
      </c>
      <c r="M92" t="s">
        <v>317</v>
      </c>
      <c r="N92" t="s">
        <v>121</v>
      </c>
      <c r="O92" t="s">
        <v>898</v>
      </c>
      <c r="P92" t="s">
        <v>898</v>
      </c>
      <c r="Q92" t="s">
        <v>898</v>
      </c>
      <c r="R92" t="s">
        <v>898</v>
      </c>
      <c r="S92" t="s">
        <v>898</v>
      </c>
      <c r="T92" t="s">
        <v>898</v>
      </c>
      <c r="U92" t="s">
        <v>898</v>
      </c>
      <c r="V92" t="s">
        <v>898</v>
      </c>
      <c r="W92" t="s">
        <v>898</v>
      </c>
      <c r="X92" t="s">
        <v>898</v>
      </c>
      <c r="Y92" t="e">
        <v>#REF!</v>
      </c>
      <c r="Z92" t="e">
        <v>#REF!</v>
      </c>
    </row>
    <row r="93">
      <c r="A93" t="s">
        <v>898</v>
      </c>
      <c r="B93" t="s">
        <v>898</v>
      </c>
      <c r="C93" t="s">
        <v>898</v>
      </c>
      <c r="D93" t="s">
        <v>898</v>
      </c>
      <c r="E93" t="s">
        <v>898</v>
      </c>
      <c r="F93" t="s">
        <v>898</v>
      </c>
      <c r="G93" t="s">
        <v>898</v>
      </c>
      <c r="H93" t="s">
        <v>898</v>
      </c>
      <c r="I93" t="s">
        <v>898</v>
      </c>
      <c r="J93" t="s">
        <v>898</v>
      </c>
      <c r="K93" t="s">
        <v>471</v>
      </c>
      <c r="L93" t="s">
        <v>191</v>
      </c>
      <c r="M93" t="s">
        <v>898</v>
      </c>
      <c r="N93" t="s">
        <v>898</v>
      </c>
      <c r="O93" t="s">
        <v>898</v>
      </c>
      <c r="P93" t="s">
        <v>898</v>
      </c>
      <c r="Q93" t="s">
        <v>898</v>
      </c>
      <c r="R93" t="s">
        <v>898</v>
      </c>
      <c r="S93" t="s">
        <v>898</v>
      </c>
      <c r="T93" t="s">
        <v>898</v>
      </c>
      <c r="U93" t="s">
        <v>898</v>
      </c>
      <c r="V93" t="s">
        <v>898</v>
      </c>
      <c r="W93" t="s">
        <v>898</v>
      </c>
      <c r="X93" t="s">
        <v>898</v>
      </c>
      <c r="Y93" t="e">
        <v>#REF!</v>
      </c>
      <c r="Z93" t="e">
        <v>#REF!</v>
      </c>
    </row>
    <row r="94">
      <c r="A94" t="s">
        <v>898</v>
      </c>
      <c r="B94" t="s">
        <v>898</v>
      </c>
      <c r="C94" t="s">
        <v>898</v>
      </c>
      <c r="D94" t="s">
        <v>898</v>
      </c>
      <c r="E94" t="s">
        <v>898</v>
      </c>
      <c r="F94" t="s">
        <v>898</v>
      </c>
      <c r="G94" t="s">
        <v>898</v>
      </c>
      <c r="H94" t="s">
        <v>898</v>
      </c>
      <c r="I94" t="s">
        <v>525</v>
      </c>
      <c r="J94" t="s">
        <v>186</v>
      </c>
      <c r="K94" t="s">
        <v>898</v>
      </c>
      <c r="L94" t="s">
        <v>898</v>
      </c>
      <c r="M94" t="s">
        <v>898</v>
      </c>
      <c r="N94" t="s">
        <v>898</v>
      </c>
      <c r="O94" t="s">
        <v>898</v>
      </c>
      <c r="P94" t="s">
        <v>898</v>
      </c>
      <c r="Q94" t="s">
        <v>898</v>
      </c>
      <c r="R94" t="s">
        <v>898</v>
      </c>
      <c r="S94" t="s">
        <v>898</v>
      </c>
      <c r="T94" t="s">
        <v>898</v>
      </c>
      <c r="U94" t="s">
        <v>898</v>
      </c>
      <c r="V94" t="s">
        <v>898</v>
      </c>
      <c r="W94" t="s">
        <v>898</v>
      </c>
      <c r="X94" t="s">
        <v>898</v>
      </c>
      <c r="Y94" t="e">
        <v>#REF!</v>
      </c>
      <c r="Z94" t="e">
        <v>#REF!</v>
      </c>
    </row>
    <row r="95">
      <c r="A95" t="s">
        <v>898</v>
      </c>
      <c r="B95" t="s">
        <v>898</v>
      </c>
      <c r="C95" t="s">
        <v>898</v>
      </c>
      <c r="D95" t="s">
        <v>898</v>
      </c>
      <c r="E95" t="s">
        <v>898</v>
      </c>
      <c r="F95" t="s">
        <v>898</v>
      </c>
      <c r="G95" t="s">
        <v>680</v>
      </c>
      <c r="H95" t="s">
        <v>194</v>
      </c>
      <c r="I95" t="s">
        <v>898</v>
      </c>
      <c r="J95" t="s">
        <v>898</v>
      </c>
      <c r="K95" t="s">
        <v>898</v>
      </c>
      <c r="L95" t="s">
        <v>898</v>
      </c>
      <c r="M95" t="s">
        <v>898</v>
      </c>
      <c r="N95" t="s">
        <v>898</v>
      </c>
      <c r="O95" t="s">
        <v>898</v>
      </c>
      <c r="P95" t="s">
        <v>898</v>
      </c>
      <c r="Q95" t="s">
        <v>898</v>
      </c>
      <c r="R95" t="s">
        <v>898</v>
      </c>
      <c r="S95" t="s">
        <v>898</v>
      </c>
      <c r="T95" t="s">
        <v>898</v>
      </c>
      <c r="U95" t="s">
        <v>898</v>
      </c>
      <c r="V95" t="s">
        <v>898</v>
      </c>
      <c r="W95" t="s">
        <v>898</v>
      </c>
      <c r="X95" t="s">
        <v>898</v>
      </c>
      <c r="Y95" t="e">
        <v>#REF!</v>
      </c>
      <c r="Z95" t="e">
        <v>#REF!</v>
      </c>
    </row>
    <row r="96">
      <c r="A96" t="s">
        <v>898</v>
      </c>
      <c r="B96" t="s">
        <v>898</v>
      </c>
      <c r="C96" t="s">
        <v>898</v>
      </c>
      <c r="D96" t="s">
        <v>898</v>
      </c>
      <c r="E96" t="s">
        <v>361</v>
      </c>
      <c r="F96" t="s">
        <v>163</v>
      </c>
      <c r="G96" t="s">
        <v>898</v>
      </c>
      <c r="H96" t="s">
        <v>898</v>
      </c>
      <c r="I96" t="s">
        <v>898</v>
      </c>
      <c r="J96" t="s">
        <v>898</v>
      </c>
      <c r="K96" t="s">
        <v>898</v>
      </c>
      <c r="L96" t="s">
        <v>898</v>
      </c>
      <c r="M96" t="s">
        <v>898</v>
      </c>
      <c r="N96" t="s">
        <v>898</v>
      </c>
      <c r="O96" t="s">
        <v>898</v>
      </c>
      <c r="P96" t="s">
        <v>898</v>
      </c>
      <c r="Q96" t="s">
        <v>898</v>
      </c>
      <c r="R96" t="s">
        <v>898</v>
      </c>
      <c r="S96" t="s">
        <v>898</v>
      </c>
      <c r="T96" t="s">
        <v>898</v>
      </c>
      <c r="U96" t="s">
        <v>898</v>
      </c>
      <c r="V96" t="s">
        <v>898</v>
      </c>
      <c r="W96" t="s">
        <v>898</v>
      </c>
      <c r="X96" t="s">
        <v>898</v>
      </c>
      <c r="Y96" t="e">
        <v>#REF!</v>
      </c>
      <c r="Z96" t="e">
        <v>#REF!</v>
      </c>
    </row>
    <row r="97">
      <c r="A97" t="s">
        <v>898</v>
      </c>
      <c r="B97" t="s">
        <v>898</v>
      </c>
      <c r="C97" t="s">
        <v>530</v>
      </c>
      <c r="D97" t="s">
        <v>165</v>
      </c>
      <c r="E97" t="s">
        <v>898</v>
      </c>
      <c r="F97" t="s">
        <v>898</v>
      </c>
      <c r="G97" t="s">
        <v>898</v>
      </c>
      <c r="H97" t="s">
        <v>898</v>
      </c>
      <c r="I97" t="s">
        <v>898</v>
      </c>
      <c r="J97" t="s">
        <v>898</v>
      </c>
      <c r="K97" t="s">
        <v>898</v>
      </c>
      <c r="L97" t="s">
        <v>898</v>
      </c>
      <c r="M97" t="s">
        <v>898</v>
      </c>
      <c r="N97" t="s">
        <v>898</v>
      </c>
      <c r="O97" t="s">
        <v>898</v>
      </c>
      <c r="P97" t="s">
        <v>898</v>
      </c>
      <c r="Q97" t="s">
        <v>898</v>
      </c>
      <c r="R97" t="s">
        <v>898</v>
      </c>
      <c r="S97" t="s">
        <v>898</v>
      </c>
      <c r="T97" t="s">
        <v>898</v>
      </c>
      <c r="U97" t="s">
        <v>898</v>
      </c>
      <c r="V97" t="s">
        <v>898</v>
      </c>
      <c r="W97" t="s">
        <v>898</v>
      </c>
      <c r="X97" t="s">
        <v>898</v>
      </c>
      <c r="Y97" t="e">
        <v>#REF!</v>
      </c>
      <c r="Z97" t="e">
        <v>#REF!</v>
      </c>
    </row>
    <row r="98">
      <c r="A98" t="s">
        <v>535</v>
      </c>
      <c r="B98" t="s">
        <v>228</v>
      </c>
      <c r="C98" t="s">
        <v>898</v>
      </c>
      <c r="D98" t="s">
        <v>898</v>
      </c>
      <c r="E98" t="s">
        <v>898</v>
      </c>
      <c r="F98" t="s">
        <v>898</v>
      </c>
      <c r="G98" t="s">
        <v>898</v>
      </c>
      <c r="H98" t="s">
        <v>898</v>
      </c>
      <c r="I98" t="s">
        <v>898</v>
      </c>
      <c r="J98" t="s">
        <v>898</v>
      </c>
      <c r="K98" t="s">
        <v>898</v>
      </c>
      <c r="L98" t="s">
        <v>898</v>
      </c>
      <c r="M98" t="s">
        <v>898</v>
      </c>
      <c r="N98" t="s">
        <v>898</v>
      </c>
      <c r="O98" t="s">
        <v>898</v>
      </c>
      <c r="P98" t="s">
        <v>898</v>
      </c>
      <c r="Q98" t="s">
        <v>898</v>
      </c>
      <c r="R98" t="s">
        <v>898</v>
      </c>
      <c r="S98" t="s">
        <v>898</v>
      </c>
      <c r="T98" t="s">
        <v>898</v>
      </c>
      <c r="U98" t="s">
        <v>898</v>
      </c>
      <c r="V98" t="s">
        <v>898</v>
      </c>
      <c r="W98" t="s">
        <v>898</v>
      </c>
      <c r="X98" t="s">
        <v>898</v>
      </c>
      <c r="Y98" t="e">
        <v>#REF!</v>
      </c>
      <c r="Z98" t="e">
        <v>#REF!</v>
      </c>
    </row>
    <row r="99">
      <c r="A99" t="s">
        <v>530</v>
      </c>
      <c r="B99" t="s">
        <v>527</v>
      </c>
      <c r="C99" t="s">
        <v>898</v>
      </c>
      <c r="D99" t="s">
        <v>898</v>
      </c>
      <c r="E99" t="s">
        <v>898</v>
      </c>
      <c r="F99" t="s">
        <v>898</v>
      </c>
      <c r="G99" t="s">
        <v>898</v>
      </c>
      <c r="H99" t="s">
        <v>898</v>
      </c>
      <c r="I99" t="s">
        <v>898</v>
      </c>
      <c r="J99" t="s">
        <v>898</v>
      </c>
      <c r="K99" t="s">
        <v>898</v>
      </c>
      <c r="L99" t="s">
        <v>898</v>
      </c>
      <c r="M99" t="s">
        <v>898</v>
      </c>
      <c r="N99" t="s">
        <v>898</v>
      </c>
      <c r="O99" t="s">
        <v>898</v>
      </c>
      <c r="P99" t="s">
        <v>898</v>
      </c>
      <c r="Q99" t="s">
        <v>898</v>
      </c>
      <c r="R99" t="s">
        <v>898</v>
      </c>
      <c r="S99" t="s">
        <v>898</v>
      </c>
      <c r="T99" t="s">
        <v>898</v>
      </c>
      <c r="U99" t="s">
        <v>898</v>
      </c>
      <c r="V99" t="s">
        <v>898</v>
      </c>
      <c r="W99" t="s">
        <v>898</v>
      </c>
      <c r="X99" t="s">
        <v>898</v>
      </c>
      <c r="Y99" t="e">
        <v>#REF!</v>
      </c>
      <c r="Z99" t="e">
        <v>#REF!</v>
      </c>
    </row>
    <row r="100">
      <c r="A100" t="s">
        <v>898</v>
      </c>
      <c r="B100" t="s">
        <v>898</v>
      </c>
      <c r="C100" t="s">
        <v>317</v>
      </c>
      <c r="D100" t="s">
        <v>117</v>
      </c>
      <c r="E100" t="s">
        <v>898</v>
      </c>
      <c r="F100" t="s">
        <v>898</v>
      </c>
      <c r="G100" t="s">
        <v>898</v>
      </c>
      <c r="H100" t="s">
        <v>898</v>
      </c>
      <c r="I100" t="s">
        <v>898</v>
      </c>
      <c r="J100" t="s">
        <v>898</v>
      </c>
      <c r="K100" t="s">
        <v>898</v>
      </c>
      <c r="L100" t="s">
        <v>898</v>
      </c>
      <c r="M100" t="s">
        <v>898</v>
      </c>
      <c r="N100" t="s">
        <v>898</v>
      </c>
      <c r="O100" t="s">
        <v>898</v>
      </c>
      <c r="P100" t="s">
        <v>898</v>
      </c>
      <c r="Q100" t="s">
        <v>898</v>
      </c>
      <c r="R100" t="s">
        <v>898</v>
      </c>
      <c r="S100" t="s">
        <v>898</v>
      </c>
      <c r="T100" t="s">
        <v>898</v>
      </c>
      <c r="U100" t="s">
        <v>898</v>
      </c>
      <c r="V100" t="s">
        <v>898</v>
      </c>
      <c r="W100" t="s">
        <v>898</v>
      </c>
      <c r="X100" t="s">
        <v>898</v>
      </c>
      <c r="Y100" t="e">
        <v>#REF!</v>
      </c>
      <c r="Z100" t="e">
        <v>#REF!</v>
      </c>
    </row>
    <row r="101">
      <c r="A101" t="s">
        <v>898</v>
      </c>
      <c r="B101" t="s">
        <v>898</v>
      </c>
      <c r="C101" t="s">
        <v>898</v>
      </c>
      <c r="D101" t="s">
        <v>898</v>
      </c>
      <c r="E101" t="s">
        <v>317</v>
      </c>
      <c r="F101" t="s">
        <v>190</v>
      </c>
      <c r="G101" t="s">
        <v>898</v>
      </c>
      <c r="H101" t="s">
        <v>898</v>
      </c>
      <c r="I101" t="s">
        <v>898</v>
      </c>
      <c r="J101" t="s">
        <v>898</v>
      </c>
      <c r="K101" t="s">
        <v>898</v>
      </c>
      <c r="L101" t="s">
        <v>898</v>
      </c>
      <c r="M101" t="s">
        <v>898</v>
      </c>
      <c r="N101" t="s">
        <v>898</v>
      </c>
      <c r="O101" t="s">
        <v>898</v>
      </c>
      <c r="P101" t="s">
        <v>898</v>
      </c>
      <c r="Q101" t="s">
        <v>898</v>
      </c>
      <c r="R101" t="s">
        <v>898</v>
      </c>
      <c r="S101" t="s">
        <v>898</v>
      </c>
      <c r="T101" t="s">
        <v>898</v>
      </c>
      <c r="U101" t="s">
        <v>898</v>
      </c>
      <c r="V101" t="s">
        <v>898</v>
      </c>
      <c r="W101" t="s">
        <v>898</v>
      </c>
      <c r="X101" t="s">
        <v>898</v>
      </c>
      <c r="Y101" t="e">
        <v>#REF!</v>
      </c>
      <c r="Z101" t="e">
        <v>#REF!</v>
      </c>
    </row>
    <row r="102">
      <c r="A102" t="s">
        <v>898</v>
      </c>
      <c r="B102" t="s">
        <v>898</v>
      </c>
      <c r="C102" t="s">
        <v>898</v>
      </c>
      <c r="D102" t="s">
        <v>898</v>
      </c>
      <c r="E102" t="s">
        <v>898</v>
      </c>
      <c r="F102" t="s">
        <v>898</v>
      </c>
      <c r="G102" t="s">
        <v>535</v>
      </c>
      <c r="H102" t="s">
        <v>236</v>
      </c>
      <c r="I102" t="s">
        <v>898</v>
      </c>
      <c r="J102" t="s">
        <v>898</v>
      </c>
      <c r="K102" t="s">
        <v>898</v>
      </c>
      <c r="L102" t="s">
        <v>898</v>
      </c>
      <c r="M102" t="s">
        <v>898</v>
      </c>
      <c r="N102" t="s">
        <v>898</v>
      </c>
      <c r="O102" t="s">
        <v>898</v>
      </c>
      <c r="P102" t="s">
        <v>898</v>
      </c>
      <c r="Q102" t="s">
        <v>898</v>
      </c>
      <c r="R102" t="s">
        <v>898</v>
      </c>
      <c r="S102" t="s">
        <v>898</v>
      </c>
      <c r="T102" t="s">
        <v>898</v>
      </c>
      <c r="U102" t="s">
        <v>898</v>
      </c>
      <c r="V102" t="s">
        <v>898</v>
      </c>
      <c r="W102" t="s">
        <v>898</v>
      </c>
      <c r="X102" t="s">
        <v>898</v>
      </c>
      <c r="Y102" t="e">
        <v>#REF!</v>
      </c>
      <c r="Z102" t="e">
        <v>#REF!</v>
      </c>
    </row>
    <row r="103">
      <c r="A103" t="s">
        <v>898</v>
      </c>
      <c r="B103" t="s">
        <v>898</v>
      </c>
      <c r="C103" t="s">
        <v>898</v>
      </c>
      <c r="D103" t="s">
        <v>898</v>
      </c>
      <c r="E103" t="s">
        <v>898</v>
      </c>
      <c r="F103" t="s">
        <v>898</v>
      </c>
      <c r="G103" t="s">
        <v>898</v>
      </c>
      <c r="H103" t="s">
        <v>898</v>
      </c>
      <c r="I103" t="s">
        <v>441</v>
      </c>
      <c r="J103" t="s">
        <v>152</v>
      </c>
      <c r="K103" t="s">
        <v>898</v>
      </c>
      <c r="L103" t="s">
        <v>898</v>
      </c>
      <c r="M103" t="s">
        <v>898</v>
      </c>
      <c r="N103" t="s">
        <v>898</v>
      </c>
      <c r="O103" t="s">
        <v>898</v>
      </c>
      <c r="P103" t="s">
        <v>898</v>
      </c>
      <c r="Q103" t="s">
        <v>898</v>
      </c>
      <c r="R103" t="s">
        <v>898</v>
      </c>
      <c r="S103" t="s">
        <v>898</v>
      </c>
      <c r="T103" t="s">
        <v>898</v>
      </c>
      <c r="U103" t="s">
        <v>898</v>
      </c>
      <c r="V103" t="s">
        <v>898</v>
      </c>
      <c r="W103" t="s">
        <v>898</v>
      </c>
      <c r="X103" t="s">
        <v>898</v>
      </c>
      <c r="Y103" t="e">
        <v>#REF!</v>
      </c>
      <c r="Z103" t="e">
        <v>#REF!</v>
      </c>
    </row>
    <row r="104">
      <c r="A104" t="s">
        <v>898</v>
      </c>
      <c r="B104" t="s">
        <v>898</v>
      </c>
      <c r="C104" t="s">
        <v>898</v>
      </c>
      <c r="D104" t="s">
        <v>898</v>
      </c>
      <c r="E104" t="s">
        <v>898</v>
      </c>
      <c r="F104" t="s">
        <v>898</v>
      </c>
      <c r="G104" t="s">
        <v>898</v>
      </c>
      <c r="H104" t="s">
        <v>898</v>
      </c>
      <c r="I104" t="s">
        <v>898</v>
      </c>
      <c r="J104" t="s">
        <v>898</v>
      </c>
      <c r="K104" t="s">
        <v>407</v>
      </c>
      <c r="L104" t="s">
        <v>140</v>
      </c>
      <c r="M104" t="s">
        <v>898</v>
      </c>
      <c r="N104" t="s">
        <v>898</v>
      </c>
      <c r="O104" t="s">
        <v>898</v>
      </c>
      <c r="P104" t="s">
        <v>898</v>
      </c>
      <c r="Q104" t="s">
        <v>898</v>
      </c>
      <c r="R104" t="s">
        <v>898</v>
      </c>
      <c r="S104" t="s">
        <v>898</v>
      </c>
      <c r="T104" t="s">
        <v>898</v>
      </c>
      <c r="U104" t="s">
        <v>898</v>
      </c>
      <c r="V104" t="s">
        <v>898</v>
      </c>
      <c r="W104" t="s">
        <v>898</v>
      </c>
      <c r="X104" t="s">
        <v>898</v>
      </c>
      <c r="Y104" t="e">
        <v>#REF!</v>
      </c>
      <c r="Z104" t="e">
        <v>#REF!</v>
      </c>
    </row>
    <row r="105">
      <c r="A105" t="s">
        <v>898</v>
      </c>
      <c r="B105" t="s">
        <v>898</v>
      </c>
      <c r="C105" t="s">
        <v>898</v>
      </c>
      <c r="D105" t="s">
        <v>898</v>
      </c>
      <c r="E105" t="s">
        <v>898</v>
      </c>
      <c r="F105" t="s">
        <v>898</v>
      </c>
      <c r="G105" t="s">
        <v>898</v>
      </c>
      <c r="H105" t="s">
        <v>898</v>
      </c>
      <c r="I105" t="s">
        <v>898</v>
      </c>
      <c r="J105" t="s">
        <v>898</v>
      </c>
      <c r="K105" t="s">
        <v>898</v>
      </c>
      <c r="L105" t="s">
        <v>898</v>
      </c>
      <c r="M105" t="s">
        <v>471</v>
      </c>
      <c r="N105" t="s">
        <v>129</v>
      </c>
      <c r="O105" t="s">
        <v>898</v>
      </c>
      <c r="P105" t="s">
        <v>898</v>
      </c>
      <c r="Q105" t="s">
        <v>898</v>
      </c>
      <c r="R105" t="s">
        <v>898</v>
      </c>
      <c r="S105" t="s">
        <v>898</v>
      </c>
      <c r="T105" t="s">
        <v>898</v>
      </c>
      <c r="U105" t="s">
        <v>898</v>
      </c>
      <c r="V105" t="s">
        <v>898</v>
      </c>
      <c r="W105" t="s">
        <v>898</v>
      </c>
      <c r="X105" t="s">
        <v>898</v>
      </c>
      <c r="Y105" t="e">
        <v>#REF!</v>
      </c>
      <c r="Z105" t="e">
        <v>#REF!</v>
      </c>
    </row>
    <row r="106">
      <c r="A106" t="s">
        <v>898</v>
      </c>
      <c r="B106" t="s">
        <v>898</v>
      </c>
      <c r="C106" t="s">
        <v>898</v>
      </c>
      <c r="D106" t="s">
        <v>898</v>
      </c>
      <c r="E106" t="s">
        <v>898</v>
      </c>
      <c r="F106" t="s">
        <v>898</v>
      </c>
      <c r="G106" t="s">
        <v>898</v>
      </c>
      <c r="H106" t="s">
        <v>898</v>
      </c>
      <c r="I106" t="s">
        <v>898</v>
      </c>
      <c r="J106" t="s">
        <v>898</v>
      </c>
      <c r="K106" t="s">
        <v>898</v>
      </c>
      <c r="L106" t="s">
        <v>898</v>
      </c>
      <c r="M106" t="s">
        <v>898</v>
      </c>
      <c r="N106" t="s">
        <v>898</v>
      </c>
      <c r="O106" t="s">
        <v>317</v>
      </c>
      <c r="P106" t="s">
        <v>119</v>
      </c>
      <c r="Q106" t="s">
        <v>898</v>
      </c>
      <c r="R106" t="s">
        <v>898</v>
      </c>
      <c r="S106" t="s">
        <v>898</v>
      </c>
      <c r="T106" t="s">
        <v>898</v>
      </c>
      <c r="U106" t="s">
        <v>898</v>
      </c>
      <c r="V106" t="s">
        <v>898</v>
      </c>
      <c r="W106" t="s">
        <v>898</v>
      </c>
      <c r="X106" t="s">
        <v>898</v>
      </c>
      <c r="Y106" t="e">
        <v>#REF!</v>
      </c>
      <c r="Z106" t="e">
        <v>#REF!</v>
      </c>
    </row>
    <row r="107">
      <c r="A107" t="s">
        <v>898</v>
      </c>
      <c r="B107" t="s">
        <v>898</v>
      </c>
      <c r="C107" t="s">
        <v>898</v>
      </c>
      <c r="D107" t="s">
        <v>898</v>
      </c>
      <c r="E107" t="s">
        <v>898</v>
      </c>
      <c r="F107" t="s">
        <v>898</v>
      </c>
      <c r="G107" t="s">
        <v>898</v>
      </c>
      <c r="H107" t="s">
        <v>898</v>
      </c>
      <c r="I107" t="s">
        <v>898</v>
      </c>
      <c r="J107" t="s">
        <v>898</v>
      </c>
      <c r="K107" t="s">
        <v>898</v>
      </c>
      <c r="L107" t="s">
        <v>898</v>
      </c>
      <c r="M107" t="s">
        <v>898</v>
      </c>
      <c r="N107" t="s">
        <v>898</v>
      </c>
      <c r="O107" t="s">
        <v>898</v>
      </c>
      <c r="P107" t="s">
        <v>898</v>
      </c>
      <c r="Q107" t="s">
        <v>556</v>
      </c>
      <c r="R107" t="s">
        <v>202</v>
      </c>
      <c r="S107" t="s">
        <v>898</v>
      </c>
      <c r="T107" t="s">
        <v>898</v>
      </c>
      <c r="U107" t="s">
        <v>898</v>
      </c>
      <c r="V107" t="s">
        <v>898</v>
      </c>
      <c r="W107" t="s">
        <v>898</v>
      </c>
      <c r="X107" t="s">
        <v>898</v>
      </c>
      <c r="Y107" t="e">
        <v>#REF!</v>
      </c>
      <c r="Z107" t="e">
        <v>#REF!</v>
      </c>
    </row>
    <row r="108">
      <c r="A108" t="s">
        <v>898</v>
      </c>
      <c r="B108" t="s">
        <v>898</v>
      </c>
      <c r="C108" t="s">
        <v>898</v>
      </c>
      <c r="D108" t="s">
        <v>898</v>
      </c>
      <c r="E108" t="s">
        <v>898</v>
      </c>
      <c r="F108" t="s">
        <v>898</v>
      </c>
      <c r="G108" t="s">
        <v>898</v>
      </c>
      <c r="H108" t="s">
        <v>898</v>
      </c>
      <c r="I108" t="s">
        <v>898</v>
      </c>
      <c r="J108" t="s">
        <v>898</v>
      </c>
      <c r="K108" t="s">
        <v>898</v>
      </c>
      <c r="L108" t="s">
        <v>898</v>
      </c>
      <c r="M108" t="s">
        <v>898</v>
      </c>
      <c r="N108" t="s">
        <v>898</v>
      </c>
      <c r="O108" t="s">
        <v>898</v>
      </c>
      <c r="P108" t="s">
        <v>898</v>
      </c>
      <c r="Q108" t="s">
        <v>898</v>
      </c>
      <c r="R108" t="s">
        <v>898</v>
      </c>
      <c r="S108" t="s">
        <v>361</v>
      </c>
      <c r="T108" t="s">
        <v>159</v>
      </c>
      <c r="U108" t="s">
        <v>898</v>
      </c>
      <c r="V108" t="s">
        <v>898</v>
      </c>
      <c r="W108" t="s">
        <v>898</v>
      </c>
      <c r="X108" t="s">
        <v>898</v>
      </c>
      <c r="Y108" t="e">
        <v>#REF!</v>
      </c>
      <c r="Z108" t="e">
        <v>#REF!</v>
      </c>
    </row>
    <row r="109">
      <c r="A109" t="s">
        <v>898</v>
      </c>
      <c r="B109" t="s">
        <v>898</v>
      </c>
      <c r="C109" t="s">
        <v>898</v>
      </c>
      <c r="D109" t="s">
        <v>898</v>
      </c>
      <c r="E109" t="s">
        <v>898</v>
      </c>
      <c r="F109" t="s">
        <v>898</v>
      </c>
      <c r="G109" t="s">
        <v>898</v>
      </c>
      <c r="H109" t="s">
        <v>898</v>
      </c>
      <c r="I109" t="s">
        <v>898</v>
      </c>
      <c r="J109" t="s">
        <v>898</v>
      </c>
      <c r="K109" t="s">
        <v>898</v>
      </c>
      <c r="L109" t="s">
        <v>898</v>
      </c>
      <c r="M109" t="s">
        <v>898</v>
      </c>
      <c r="N109" t="s">
        <v>898</v>
      </c>
      <c r="O109" t="s">
        <v>898</v>
      </c>
      <c r="P109" t="s">
        <v>898</v>
      </c>
      <c r="Q109" t="s">
        <v>898</v>
      </c>
      <c r="R109" t="s">
        <v>898</v>
      </c>
      <c r="S109" t="s">
        <v>898</v>
      </c>
      <c r="T109" t="s">
        <v>898</v>
      </c>
      <c r="U109" t="s">
        <v>407</v>
      </c>
      <c r="V109" t="s">
        <v>147</v>
      </c>
      <c r="W109" t="s">
        <v>898</v>
      </c>
      <c r="X109" t="s">
        <v>898</v>
      </c>
      <c r="Y109" t="e">
        <v>#REF!</v>
      </c>
      <c r="Z109" t="e">
        <v>#REF!</v>
      </c>
    </row>
    <row r="110">
      <c r="A110" t="s">
        <v>898</v>
      </c>
      <c r="B110" t="s">
        <v>898</v>
      </c>
      <c r="C110" t="s">
        <v>898</v>
      </c>
      <c r="D110" t="s">
        <v>898</v>
      </c>
      <c r="E110" t="s">
        <v>898</v>
      </c>
      <c r="F110" t="s">
        <v>898</v>
      </c>
      <c r="G110" t="s">
        <v>898</v>
      </c>
      <c r="H110" t="s">
        <v>898</v>
      </c>
      <c r="I110" t="s">
        <v>898</v>
      </c>
      <c r="J110" t="s">
        <v>898</v>
      </c>
      <c r="K110" t="s">
        <v>898</v>
      </c>
      <c r="L110" t="s">
        <v>898</v>
      </c>
      <c r="M110" t="s">
        <v>898</v>
      </c>
      <c r="N110" t="s">
        <v>898</v>
      </c>
      <c r="O110" t="s">
        <v>898</v>
      </c>
      <c r="P110" t="s">
        <v>898</v>
      </c>
      <c r="Q110" t="s">
        <v>898</v>
      </c>
      <c r="R110" t="s">
        <v>898</v>
      </c>
      <c r="S110" t="s">
        <v>898</v>
      </c>
      <c r="T110" t="s">
        <v>898</v>
      </c>
      <c r="U110" t="s">
        <v>898</v>
      </c>
      <c r="V110" t="s">
        <v>898</v>
      </c>
      <c r="W110" t="s">
        <v>441</v>
      </c>
      <c r="X110" t="s">
        <v>215</v>
      </c>
      <c r="Y110" t="e">
        <v>#REF!</v>
      </c>
      <c r="Z110" t="e">
        <v>#REF!</v>
      </c>
    </row>
    <row r="111">
      <c r="A111" t="s">
        <v>898</v>
      </c>
      <c r="B111" t="s">
        <v>898</v>
      </c>
      <c r="C111" t="s">
        <v>898</v>
      </c>
      <c r="D111" t="s">
        <v>898</v>
      </c>
      <c r="E111" t="s">
        <v>898</v>
      </c>
      <c r="F111" t="s">
        <v>898</v>
      </c>
      <c r="G111" t="s">
        <v>898</v>
      </c>
      <c r="H111" t="s">
        <v>898</v>
      </c>
      <c r="I111" t="s">
        <v>898</v>
      </c>
      <c r="J111" t="s">
        <v>898</v>
      </c>
      <c r="K111" t="s">
        <v>898</v>
      </c>
      <c r="L111" t="s">
        <v>898</v>
      </c>
      <c r="M111" t="s">
        <v>898</v>
      </c>
      <c r="N111" t="s">
        <v>898</v>
      </c>
      <c r="O111" t="s">
        <v>898</v>
      </c>
      <c r="P111" t="s">
        <v>898</v>
      </c>
      <c r="Q111" t="s">
        <v>898</v>
      </c>
      <c r="R111" t="s">
        <v>898</v>
      </c>
      <c r="S111" t="s">
        <v>898</v>
      </c>
      <c r="T111" t="s">
        <v>898</v>
      </c>
      <c r="U111" t="s">
        <v>898</v>
      </c>
      <c r="V111" t="s">
        <v>898</v>
      </c>
      <c r="W111" t="s">
        <v>471</v>
      </c>
      <c r="X111" t="s">
        <v>134</v>
      </c>
      <c r="Y111" t="e">
        <v>#REF!</v>
      </c>
      <c r="Z111" t="e">
        <v>#REF!</v>
      </c>
    </row>
    <row r="112">
      <c r="A112" t="s">
        <v>898</v>
      </c>
      <c r="B112" t="s">
        <v>898</v>
      </c>
      <c r="C112" t="s">
        <v>898</v>
      </c>
      <c r="D112" t="s">
        <v>898</v>
      </c>
      <c r="E112" t="s">
        <v>898</v>
      </c>
      <c r="F112" t="s">
        <v>898</v>
      </c>
      <c r="G112" t="s">
        <v>898</v>
      </c>
      <c r="H112" t="s">
        <v>898</v>
      </c>
      <c r="I112" t="s">
        <v>898</v>
      </c>
      <c r="J112" t="s">
        <v>898</v>
      </c>
      <c r="K112" t="s">
        <v>898</v>
      </c>
      <c r="L112" t="s">
        <v>898</v>
      </c>
      <c r="M112" t="s">
        <v>898</v>
      </c>
      <c r="N112" t="s">
        <v>898</v>
      </c>
      <c r="O112" t="s">
        <v>898</v>
      </c>
      <c r="P112" t="s">
        <v>898</v>
      </c>
      <c r="Q112" t="s">
        <v>898</v>
      </c>
      <c r="R112" t="s">
        <v>898</v>
      </c>
      <c r="S112" t="s">
        <v>898</v>
      </c>
      <c r="T112" t="s">
        <v>898</v>
      </c>
      <c r="U112" t="s">
        <v>556</v>
      </c>
      <c r="V112" t="s">
        <v>213</v>
      </c>
      <c r="W112" t="s">
        <v>898</v>
      </c>
      <c r="X112" t="s">
        <v>898</v>
      </c>
      <c r="Y112" t="e">
        <v>#REF!</v>
      </c>
      <c r="Z112" t="e">
        <v>#REF!</v>
      </c>
    </row>
    <row r="113">
      <c r="A113" t="s">
        <v>898</v>
      </c>
      <c r="B113" t="s">
        <v>898</v>
      </c>
      <c r="C113" t="s">
        <v>898</v>
      </c>
      <c r="D113" t="s">
        <v>898</v>
      </c>
      <c r="E113" t="s">
        <v>898</v>
      </c>
      <c r="F113" t="s">
        <v>898</v>
      </c>
      <c r="G113" t="s">
        <v>898</v>
      </c>
      <c r="H113" t="s">
        <v>898</v>
      </c>
      <c r="I113" t="s">
        <v>898</v>
      </c>
      <c r="J113" t="s">
        <v>898</v>
      </c>
      <c r="K113" t="s">
        <v>898</v>
      </c>
      <c r="L113" t="s">
        <v>898</v>
      </c>
      <c r="M113" t="s">
        <v>898</v>
      </c>
      <c r="N113" t="s">
        <v>898</v>
      </c>
      <c r="O113" t="s">
        <v>898</v>
      </c>
      <c r="P113" t="s">
        <v>898</v>
      </c>
      <c r="Q113" t="s">
        <v>898</v>
      </c>
      <c r="R113" t="s">
        <v>898</v>
      </c>
      <c r="S113" t="s">
        <v>441</v>
      </c>
      <c r="T113" t="s">
        <v>217</v>
      </c>
      <c r="U113" t="s">
        <v>898</v>
      </c>
      <c r="V113" t="s">
        <v>898</v>
      </c>
      <c r="W113" t="s">
        <v>898</v>
      </c>
      <c r="X113" t="s">
        <v>898</v>
      </c>
      <c r="Y113" t="e">
        <v>#REF!</v>
      </c>
      <c r="Z113" t="e">
        <v>#REF!</v>
      </c>
    </row>
    <row r="114">
      <c r="A114" t="s">
        <v>898</v>
      </c>
      <c r="B114" t="s">
        <v>898</v>
      </c>
      <c r="C114" t="s">
        <v>898</v>
      </c>
      <c r="D114" t="s">
        <v>898</v>
      </c>
      <c r="E114" t="s">
        <v>898</v>
      </c>
      <c r="F114" t="s">
        <v>898</v>
      </c>
      <c r="G114" t="s">
        <v>898</v>
      </c>
      <c r="H114" t="s">
        <v>898</v>
      </c>
      <c r="I114" t="s">
        <v>898</v>
      </c>
      <c r="J114" t="s">
        <v>898</v>
      </c>
      <c r="K114" t="s">
        <v>898</v>
      </c>
      <c r="L114" t="s">
        <v>898</v>
      </c>
      <c r="M114" t="s">
        <v>898</v>
      </c>
      <c r="N114" t="s">
        <v>898</v>
      </c>
      <c r="O114" t="s">
        <v>898</v>
      </c>
      <c r="P114" t="s">
        <v>898</v>
      </c>
      <c r="Q114" t="s">
        <v>525</v>
      </c>
      <c r="R114" t="s">
        <v>181</v>
      </c>
      <c r="S114" t="s">
        <v>898</v>
      </c>
      <c r="T114" t="s">
        <v>898</v>
      </c>
      <c r="U114" t="s">
        <v>898</v>
      </c>
      <c r="V114" t="s">
        <v>898</v>
      </c>
      <c r="W114" t="s">
        <v>898</v>
      </c>
      <c r="X114" t="s">
        <v>898</v>
      </c>
      <c r="Y114" t="e">
        <v>#REF!</v>
      </c>
      <c r="Z114" t="e">
        <v>#REF!</v>
      </c>
    </row>
    <row r="115">
      <c r="A115" t="s">
        <v>898</v>
      </c>
      <c r="B115" t="s">
        <v>898</v>
      </c>
      <c r="C115" t="s">
        <v>898</v>
      </c>
      <c r="D115" t="s">
        <v>898</v>
      </c>
      <c r="E115" t="s">
        <v>898</v>
      </c>
      <c r="F115" t="s">
        <v>898</v>
      </c>
      <c r="G115" t="s">
        <v>898</v>
      </c>
      <c r="H115" t="s">
        <v>898</v>
      </c>
      <c r="I115" t="s">
        <v>898</v>
      </c>
      <c r="J115" t="s">
        <v>898</v>
      </c>
      <c r="K115" t="s">
        <v>898</v>
      </c>
      <c r="L115" t="s">
        <v>898</v>
      </c>
      <c r="M115" t="s">
        <v>898</v>
      </c>
      <c r="N115" t="s">
        <v>898</v>
      </c>
      <c r="O115" t="s">
        <v>407</v>
      </c>
      <c r="P115" t="s">
        <v>148</v>
      </c>
      <c r="Q115" t="s">
        <v>898</v>
      </c>
      <c r="R115" t="s">
        <v>898</v>
      </c>
      <c r="S115" t="s">
        <v>898</v>
      </c>
      <c r="T115" t="s">
        <v>898</v>
      </c>
      <c r="U115" t="s">
        <v>898</v>
      </c>
      <c r="V115" t="s">
        <v>898</v>
      </c>
      <c r="W115" t="s">
        <v>898</v>
      </c>
      <c r="X115" t="s">
        <v>898</v>
      </c>
      <c r="Y115" t="e">
        <v>#REF!</v>
      </c>
      <c r="Z115" t="e">
        <v>#REF!</v>
      </c>
    </row>
    <row r="116">
      <c r="A116" t="s">
        <v>898</v>
      </c>
      <c r="B116" t="s">
        <v>898</v>
      </c>
      <c r="C116" t="s">
        <v>898</v>
      </c>
      <c r="D116" t="s">
        <v>898</v>
      </c>
      <c r="E116" t="s">
        <v>898</v>
      </c>
      <c r="F116" t="s">
        <v>898</v>
      </c>
      <c r="G116" t="s">
        <v>898</v>
      </c>
      <c r="H116" t="s">
        <v>898</v>
      </c>
      <c r="I116" t="s">
        <v>898</v>
      </c>
      <c r="J116" t="s">
        <v>898</v>
      </c>
      <c r="K116" t="s">
        <v>898</v>
      </c>
      <c r="L116" t="s">
        <v>898</v>
      </c>
      <c r="M116" t="s">
        <v>535</v>
      </c>
      <c r="N116" t="s">
        <v>153</v>
      </c>
      <c r="O116" t="s">
        <v>898</v>
      </c>
      <c r="P116" t="s">
        <v>898</v>
      </c>
      <c r="Q116" t="s">
        <v>898</v>
      </c>
      <c r="R116" t="s">
        <v>898</v>
      </c>
      <c r="S116" t="s">
        <v>898</v>
      </c>
      <c r="T116" t="s">
        <v>898</v>
      </c>
      <c r="U116" t="s">
        <v>898</v>
      </c>
      <c r="V116" t="s">
        <v>898</v>
      </c>
      <c r="W116" t="s">
        <v>898</v>
      </c>
      <c r="X116" t="s">
        <v>898</v>
      </c>
      <c r="Y116" t="e">
        <v>#REF!</v>
      </c>
      <c r="Z116" t="e">
        <v>#REF!</v>
      </c>
    </row>
    <row r="117">
      <c r="A117" t="s">
        <v>898</v>
      </c>
      <c r="B117" t="s">
        <v>898</v>
      </c>
      <c r="C117" t="s">
        <v>898</v>
      </c>
      <c r="D117" t="s">
        <v>898</v>
      </c>
      <c r="E117" t="s">
        <v>898</v>
      </c>
      <c r="F117" t="s">
        <v>898</v>
      </c>
      <c r="G117" t="s">
        <v>898</v>
      </c>
      <c r="H117" t="s">
        <v>898</v>
      </c>
      <c r="I117" t="s">
        <v>898</v>
      </c>
      <c r="J117" t="s">
        <v>898</v>
      </c>
      <c r="K117" t="s">
        <v>535</v>
      </c>
      <c r="L117" t="s">
        <v>235</v>
      </c>
      <c r="M117" t="s">
        <v>898</v>
      </c>
      <c r="N117" t="s">
        <v>898</v>
      </c>
      <c r="O117" t="s">
        <v>898</v>
      </c>
      <c r="P117" t="s">
        <v>898</v>
      </c>
      <c r="Q117" t="s">
        <v>898</v>
      </c>
      <c r="R117" t="s">
        <v>898</v>
      </c>
      <c r="S117" t="s">
        <v>898</v>
      </c>
      <c r="T117" t="s">
        <v>898</v>
      </c>
      <c r="U117" t="s">
        <v>898</v>
      </c>
      <c r="V117" t="s">
        <v>898</v>
      </c>
      <c r="W117" t="s">
        <v>898</v>
      </c>
      <c r="X117" t="s">
        <v>898</v>
      </c>
      <c r="Y117" t="e">
        <v>#REF!</v>
      </c>
      <c r="Z117" t="e">
        <v>#REF!</v>
      </c>
    </row>
    <row r="118">
      <c r="A118" t="s">
        <v>898</v>
      </c>
      <c r="B118" t="s">
        <v>898</v>
      </c>
      <c r="C118" t="s">
        <v>898</v>
      </c>
      <c r="D118" t="s">
        <v>898</v>
      </c>
      <c r="E118" t="s">
        <v>898</v>
      </c>
      <c r="F118" t="s">
        <v>898</v>
      </c>
      <c r="G118" t="s">
        <v>898</v>
      </c>
      <c r="H118" t="s">
        <v>898</v>
      </c>
      <c r="I118" t="s">
        <v>535</v>
      </c>
      <c r="J118" t="s">
        <v>234</v>
      </c>
      <c r="K118" t="s">
        <v>898</v>
      </c>
      <c r="L118" t="s">
        <v>898</v>
      </c>
      <c r="M118" t="s">
        <v>898</v>
      </c>
      <c r="N118" t="s">
        <v>898</v>
      </c>
      <c r="O118" t="s">
        <v>898</v>
      </c>
      <c r="P118" t="s">
        <v>898</v>
      </c>
      <c r="Q118" t="s">
        <v>898</v>
      </c>
      <c r="R118" t="s">
        <v>898</v>
      </c>
      <c r="S118" t="s">
        <v>898</v>
      </c>
      <c r="T118" t="s">
        <v>898</v>
      </c>
      <c r="U118" t="s">
        <v>898</v>
      </c>
      <c r="V118" t="s">
        <v>898</v>
      </c>
      <c r="W118" t="s">
        <v>898</v>
      </c>
      <c r="X118" t="s">
        <v>898</v>
      </c>
      <c r="Y118" t="e">
        <v>#REF!</v>
      </c>
      <c r="Z118" t="e">
        <v>#REF!</v>
      </c>
    </row>
    <row r="119">
      <c r="A119" t="s">
        <v>898</v>
      </c>
      <c r="B119" t="s">
        <v>898</v>
      </c>
      <c r="C119" t="s">
        <v>898</v>
      </c>
      <c r="D119" t="s">
        <v>898</v>
      </c>
      <c r="E119" t="s">
        <v>898</v>
      </c>
      <c r="F119" t="s">
        <v>898</v>
      </c>
      <c r="G119" t="s">
        <v>525</v>
      </c>
      <c r="H119" t="s">
        <v>182</v>
      </c>
      <c r="I119" t="s">
        <v>898</v>
      </c>
      <c r="J119" t="s">
        <v>898</v>
      </c>
      <c r="K119" t="s">
        <v>898</v>
      </c>
      <c r="L119" t="s">
        <v>898</v>
      </c>
      <c r="M119" t="s">
        <v>898</v>
      </c>
      <c r="N119" t="s">
        <v>898</v>
      </c>
      <c r="O119" t="s">
        <v>898</v>
      </c>
      <c r="P119" t="s">
        <v>898</v>
      </c>
      <c r="Q119" t="s">
        <v>898</v>
      </c>
      <c r="R119" t="s">
        <v>898</v>
      </c>
      <c r="S119" t="s">
        <v>898</v>
      </c>
      <c r="T119" t="s">
        <v>898</v>
      </c>
      <c r="U119" t="s">
        <v>898</v>
      </c>
      <c r="V119" t="s">
        <v>898</v>
      </c>
      <c r="W119" t="s">
        <v>898</v>
      </c>
      <c r="X119" t="s">
        <v>898</v>
      </c>
      <c r="Y119" t="e">
        <v>#REF!</v>
      </c>
      <c r="Z119" t="e">
        <v>#REF!</v>
      </c>
    </row>
    <row r="120">
      <c r="A120" t="s">
        <v>898</v>
      </c>
      <c r="B120" t="s">
        <v>898</v>
      </c>
      <c r="C120" t="s">
        <v>898</v>
      </c>
      <c r="D120" t="s">
        <v>898</v>
      </c>
      <c r="E120" t="s">
        <v>407</v>
      </c>
      <c r="F120" t="s">
        <v>196</v>
      </c>
      <c r="G120" t="s">
        <v>898</v>
      </c>
      <c r="H120" t="s">
        <v>898</v>
      </c>
      <c r="I120" t="s">
        <v>898</v>
      </c>
      <c r="J120" t="s">
        <v>898</v>
      </c>
      <c r="K120" t="s">
        <v>898</v>
      </c>
      <c r="L120" t="s">
        <v>898</v>
      </c>
      <c r="M120" t="s">
        <v>898</v>
      </c>
      <c r="N120" t="s">
        <v>898</v>
      </c>
      <c r="O120" t="s">
        <v>898</v>
      </c>
      <c r="P120" t="s">
        <v>898</v>
      </c>
      <c r="Q120" t="s">
        <v>898</v>
      </c>
      <c r="R120" t="s">
        <v>898</v>
      </c>
      <c r="S120" t="s">
        <v>898</v>
      </c>
      <c r="T120" t="s">
        <v>898</v>
      </c>
      <c r="U120" t="s">
        <v>898</v>
      </c>
      <c r="V120" t="s">
        <v>898</v>
      </c>
      <c r="W120" t="s">
        <v>898</v>
      </c>
      <c r="X120" t="s">
        <v>898</v>
      </c>
      <c r="Y120" t="e">
        <v>#REF!</v>
      </c>
      <c r="Z120" t="e">
        <v>#REF!</v>
      </c>
    </row>
    <row r="121">
      <c r="A121" t="s">
        <v>898</v>
      </c>
      <c r="B121" t="s">
        <v>898</v>
      </c>
      <c r="C121" t="s">
        <v>535</v>
      </c>
      <c r="D121" t="s">
        <v>233</v>
      </c>
      <c r="E121" t="s">
        <v>898</v>
      </c>
      <c r="F121" t="s">
        <v>898</v>
      </c>
      <c r="G121" t="s">
        <v>898</v>
      </c>
      <c r="H121" t="s">
        <v>898</v>
      </c>
      <c r="I121" t="s">
        <v>898</v>
      </c>
      <c r="J121" t="s">
        <v>898</v>
      </c>
      <c r="K121" t="s">
        <v>898</v>
      </c>
      <c r="L121" t="s">
        <v>898</v>
      </c>
      <c r="M121" t="s">
        <v>898</v>
      </c>
      <c r="N121" t="s">
        <v>898</v>
      </c>
      <c r="O121" t="s">
        <v>898</v>
      </c>
      <c r="P121" t="s">
        <v>898</v>
      </c>
      <c r="Q121" t="s">
        <v>898</v>
      </c>
      <c r="R121" t="s">
        <v>898</v>
      </c>
      <c r="S121" t="s">
        <v>898</v>
      </c>
      <c r="T121" t="s">
        <v>898</v>
      </c>
      <c r="U121" t="s">
        <v>898</v>
      </c>
      <c r="V121" t="s">
        <v>898</v>
      </c>
      <c r="W121" t="s">
        <v>898</v>
      </c>
      <c r="X121" t="s">
        <v>898</v>
      </c>
      <c r="Y121" t="e">
        <v>#REF!</v>
      </c>
      <c r="Z121" t="e">
        <v>#REF!</v>
      </c>
    </row>
    <row r="122">
      <c r="A122" t="s">
        <v>361</v>
      </c>
      <c r="B122" t="s">
        <v>157</v>
      </c>
      <c r="C122" t="s">
        <v>898</v>
      </c>
      <c r="D122" t="s">
        <v>898</v>
      </c>
      <c r="E122" t="s">
        <v>898</v>
      </c>
      <c r="F122" t="s">
        <v>898</v>
      </c>
      <c r="G122" t="s">
        <v>898</v>
      </c>
      <c r="H122" t="s">
        <v>898</v>
      </c>
      <c r="I122" t="s">
        <v>898</v>
      </c>
      <c r="J122" t="s">
        <v>898</v>
      </c>
      <c r="K122" t="s">
        <v>898</v>
      </c>
      <c r="L122" t="s">
        <v>898</v>
      </c>
      <c r="M122" t="s">
        <v>898</v>
      </c>
      <c r="N122" t="s">
        <v>898</v>
      </c>
      <c r="O122" t="s">
        <v>898</v>
      </c>
      <c r="P122" t="s">
        <v>898</v>
      </c>
      <c r="Q122" t="s">
        <v>898</v>
      </c>
      <c r="R122" t="s">
        <v>898</v>
      </c>
      <c r="S122" t="s">
        <v>898</v>
      </c>
      <c r="T122" t="s">
        <v>898</v>
      </c>
      <c r="U122" t="s">
        <v>898</v>
      </c>
      <c r="V122" t="s">
        <v>898</v>
      </c>
      <c r="W122" t="s">
        <v>898</v>
      </c>
      <c r="X122" t="s">
        <v>898</v>
      </c>
      <c r="Y122" t="e">
        <v>#REF!</v>
      </c>
      <c r="Z122" t="e">
        <v>#REF!</v>
      </c>
    </row>
    <row r="123">
      <c r="A123" t="s">
        <v>898</v>
      </c>
      <c r="B123" t="s">
        <v>898</v>
      </c>
      <c r="C123" t="s">
        <v>898</v>
      </c>
      <c r="D123" t="s">
        <v>898</v>
      </c>
      <c r="E123" t="s">
        <v>898</v>
      </c>
      <c r="F123" t="s">
        <v>898</v>
      </c>
      <c r="G123" t="s">
        <v>898</v>
      </c>
      <c r="H123" t="s">
        <v>898</v>
      </c>
      <c r="I123" t="s">
        <v>898</v>
      </c>
      <c r="J123" t="s">
        <v>898</v>
      </c>
      <c r="K123" t="s">
        <v>898</v>
      </c>
      <c r="L123" t="s">
        <v>898</v>
      </c>
      <c r="M123" t="s">
        <v>898</v>
      </c>
      <c r="N123" t="s">
        <v>898</v>
      </c>
      <c r="O123" t="s">
        <v>898</v>
      </c>
      <c r="P123" t="s">
        <v>898</v>
      </c>
      <c r="Q123" t="s">
        <v>898</v>
      </c>
      <c r="R123" t="s">
        <v>898</v>
      </c>
      <c r="S123" t="s">
        <v>898</v>
      </c>
      <c r="T123" t="s">
        <v>898</v>
      </c>
      <c r="U123" t="s">
        <v>898</v>
      </c>
      <c r="V123" t="s">
        <v>898</v>
      </c>
      <c r="W123" t="s">
        <v>898</v>
      </c>
      <c r="X123" t="s">
        <v>898</v>
      </c>
      <c r="Y123" t="e">
        <v>#REF!</v>
      </c>
      <c r="Z123" t="e">
        <v>#REF!</v>
      </c>
    </row>
    <row r="124">
      <c r="A124" t="s">
        <v>898</v>
      </c>
      <c r="B124" t="s">
        <v>898</v>
      </c>
      <c r="C124" t="s">
        <v>898</v>
      </c>
      <c r="D124" t="s">
        <v>898</v>
      </c>
      <c r="E124" t="s">
        <v>898</v>
      </c>
      <c r="F124" t="s">
        <v>898</v>
      </c>
      <c r="G124" t="s">
        <v>898</v>
      </c>
      <c r="H124" t="s">
        <v>898</v>
      </c>
      <c r="I124" t="s">
        <v>898</v>
      </c>
      <c r="J124" t="s">
        <v>898</v>
      </c>
      <c r="K124" t="s">
        <v>898</v>
      </c>
      <c r="L124" t="s">
        <v>898</v>
      </c>
      <c r="M124" t="s">
        <v>898</v>
      </c>
      <c r="N124" t="s">
        <v>898</v>
      </c>
      <c r="O124" t="s">
        <v>898</v>
      </c>
      <c r="P124" t="s">
        <v>898</v>
      </c>
      <c r="Q124" t="s">
        <v>898</v>
      </c>
      <c r="R124" t="s">
        <v>898</v>
      </c>
      <c r="S124" t="s">
        <v>898</v>
      </c>
      <c r="T124" t="s">
        <v>898</v>
      </c>
      <c r="U124" t="s">
        <v>898</v>
      </c>
      <c r="V124" t="s">
        <v>898</v>
      </c>
      <c r="W124" t="s">
        <v>898</v>
      </c>
      <c r="X124" t="s">
        <v>898</v>
      </c>
      <c r="Y124" t="e">
        <v>#REF!</v>
      </c>
      <c r="Z124" t="e">
        <v>#REF!</v>
      </c>
    </row>
    <row r="125">
      <c r="A125" t="s">
        <v>898</v>
      </c>
      <c r="B125" t="s">
        <v>898</v>
      </c>
      <c r="C125" t="s">
        <v>898</v>
      </c>
      <c r="D125" t="s">
        <v>898</v>
      </c>
      <c r="E125" t="s">
        <v>898</v>
      </c>
      <c r="F125" t="s">
        <v>898</v>
      </c>
      <c r="G125" t="s">
        <v>898</v>
      </c>
      <c r="H125" t="s">
        <v>898</v>
      </c>
      <c r="I125" t="s">
        <v>898</v>
      </c>
      <c r="J125" t="s">
        <v>898</v>
      </c>
      <c r="K125" t="s">
        <v>898</v>
      </c>
      <c r="L125" t="s">
        <v>898</v>
      </c>
      <c r="M125" t="s">
        <v>898</v>
      </c>
      <c r="N125" t="s">
        <v>898</v>
      </c>
      <c r="O125" t="s">
        <v>898</v>
      </c>
      <c r="P125" t="s">
        <v>898</v>
      </c>
      <c r="Q125" t="s">
        <v>898</v>
      </c>
      <c r="R125" t="s">
        <v>898</v>
      </c>
      <c r="S125" t="s">
        <v>898</v>
      </c>
      <c r="T125" t="s">
        <v>898</v>
      </c>
      <c r="U125" t="s">
        <v>898</v>
      </c>
      <c r="V125" t="s">
        <v>898</v>
      </c>
      <c r="W125" t="s">
        <v>898</v>
      </c>
      <c r="X125" t="s">
        <v>898</v>
      </c>
      <c r="Y125" t="e">
        <v>#REF!</v>
      </c>
      <c r="Z125" t="e">
        <v>#REF!</v>
      </c>
    </row>
    <row r="126">
      <c r="A126" t="s">
        <v>898</v>
      </c>
      <c r="B126" t="s">
        <v>898</v>
      </c>
      <c r="C126" t="s">
        <v>898</v>
      </c>
      <c r="D126" t="s">
        <v>898</v>
      </c>
      <c r="E126" t="s">
        <v>898</v>
      </c>
      <c r="F126" t="s">
        <v>898</v>
      </c>
      <c r="G126" t="s">
        <v>898</v>
      </c>
      <c r="H126" t="s">
        <v>898</v>
      </c>
      <c r="I126" t="s">
        <v>898</v>
      </c>
      <c r="J126" t="s">
        <v>898</v>
      </c>
      <c r="K126" t="s">
        <v>898</v>
      </c>
      <c r="L126" t="s">
        <v>898</v>
      </c>
      <c r="M126" t="s">
        <v>898</v>
      </c>
      <c r="N126" t="s">
        <v>898</v>
      </c>
      <c r="O126" t="s">
        <v>898</v>
      </c>
      <c r="P126" t="s">
        <v>898</v>
      </c>
      <c r="Q126" t="s">
        <v>898</v>
      </c>
      <c r="R126" t="s">
        <v>898</v>
      </c>
      <c r="S126" t="s">
        <v>898</v>
      </c>
      <c r="T126" t="s">
        <v>898</v>
      </c>
      <c r="U126" t="s">
        <v>898</v>
      </c>
      <c r="V126" t="s">
        <v>898</v>
      </c>
      <c r="W126" t="s">
        <v>898</v>
      </c>
      <c r="X126" t="s">
        <v>898</v>
      </c>
      <c r="Y126" t="e">
        <v>#REF!</v>
      </c>
      <c r="Z126" t="e">
        <v>#REF!</v>
      </c>
    </row>
    <row r="127">
      <c r="A127" t="s">
        <v>898</v>
      </c>
      <c r="B127" t="s">
        <v>898</v>
      </c>
      <c r="C127" t="s">
        <v>898</v>
      </c>
      <c r="D127" t="s">
        <v>898</v>
      </c>
      <c r="E127" t="s">
        <v>898</v>
      </c>
      <c r="F127" t="s">
        <v>898</v>
      </c>
      <c r="G127" t="s">
        <v>898</v>
      </c>
      <c r="H127" t="s">
        <v>898</v>
      </c>
      <c r="I127" t="s">
        <v>898</v>
      </c>
      <c r="J127" t="s">
        <v>898</v>
      </c>
      <c r="K127" t="s">
        <v>898</v>
      </c>
      <c r="L127" t="s">
        <v>898</v>
      </c>
      <c r="M127" t="s">
        <v>898</v>
      </c>
      <c r="N127" t="s">
        <v>898</v>
      </c>
      <c r="O127" t="s">
        <v>898</v>
      </c>
      <c r="P127" t="s">
        <v>898</v>
      </c>
      <c r="Q127" t="s">
        <v>898</v>
      </c>
      <c r="R127" t="s">
        <v>898</v>
      </c>
      <c r="S127" t="s">
        <v>898</v>
      </c>
      <c r="T127" t="s">
        <v>898</v>
      </c>
      <c r="U127" t="s">
        <v>898</v>
      </c>
      <c r="V127" t="s">
        <v>898</v>
      </c>
      <c r="W127" t="s">
        <v>898</v>
      </c>
      <c r="X127" t="s">
        <v>898</v>
      </c>
      <c r="Y127" t="e">
        <v>#REF!</v>
      </c>
      <c r="Z127" t="e">
        <v>#REF!</v>
      </c>
    </row>
    <row r="128">
      <c r="A128" t="s">
        <v>898</v>
      </c>
      <c r="B128" t="s">
        <v>898</v>
      </c>
      <c r="C128" t="s">
        <v>898</v>
      </c>
      <c r="D128" t="s">
        <v>898</v>
      </c>
      <c r="E128" t="s">
        <v>898</v>
      </c>
      <c r="F128" t="s">
        <v>898</v>
      </c>
      <c r="G128" t="s">
        <v>898</v>
      </c>
      <c r="H128" t="s">
        <v>898</v>
      </c>
      <c r="I128" t="s">
        <v>898</v>
      </c>
      <c r="J128" t="s">
        <v>898</v>
      </c>
      <c r="K128" t="s">
        <v>898</v>
      </c>
      <c r="L128" t="s">
        <v>898</v>
      </c>
      <c r="M128" t="s">
        <v>898</v>
      </c>
      <c r="N128" t="s">
        <v>898</v>
      </c>
      <c r="O128" t="s">
        <v>898</v>
      </c>
      <c r="P128" t="s">
        <v>898</v>
      </c>
      <c r="Q128" t="s">
        <v>898</v>
      </c>
      <c r="R128" t="s">
        <v>898</v>
      </c>
      <c r="S128" t="s">
        <v>898</v>
      </c>
      <c r="T128" t="s">
        <v>898</v>
      </c>
      <c r="U128" t="s">
        <v>898</v>
      </c>
      <c r="V128" t="s">
        <v>898</v>
      </c>
      <c r="W128" t="s">
        <v>898</v>
      </c>
      <c r="X128" t="s">
        <v>898</v>
      </c>
      <c r="Y128" t="e">
        <v>#REF!</v>
      </c>
      <c r="Z128" t="e">
        <v>#REF!</v>
      </c>
    </row>
    <row r="129">
      <c r="A129" t="s">
        <v>898</v>
      </c>
      <c r="B129" t="s">
        <v>898</v>
      </c>
      <c r="C129" t="s">
        <v>898</v>
      </c>
      <c r="D129" t="s">
        <v>898</v>
      </c>
      <c r="E129" t="s">
        <v>898</v>
      </c>
      <c r="F129" t="s">
        <v>898</v>
      </c>
      <c r="G129" t="s">
        <v>898</v>
      </c>
      <c r="H129" t="s">
        <v>898</v>
      </c>
      <c r="I129" t="s">
        <v>898</v>
      </c>
      <c r="J129" t="s">
        <v>898</v>
      </c>
      <c r="K129" t="s">
        <v>898</v>
      </c>
      <c r="L129" t="s">
        <v>898</v>
      </c>
      <c r="M129" t="s">
        <v>898</v>
      </c>
      <c r="N129" t="s">
        <v>898</v>
      </c>
      <c r="O129" t="s">
        <v>898</v>
      </c>
      <c r="P129" t="s">
        <v>898</v>
      </c>
      <c r="Q129" t="s">
        <v>898</v>
      </c>
      <c r="R129" t="s">
        <v>898</v>
      </c>
      <c r="S129" t="s">
        <v>898</v>
      </c>
      <c r="T129" t="s">
        <v>898</v>
      </c>
      <c r="U129" t="s">
        <v>898</v>
      </c>
      <c r="V129" t="s">
        <v>898</v>
      </c>
      <c r="W129" t="s">
        <v>898</v>
      </c>
      <c r="X129" t="s">
        <v>898</v>
      </c>
      <c r="Y129" t="e">
        <v>#REF!</v>
      </c>
      <c r="Z129" t="e">
        <v>#REF!</v>
      </c>
    </row>
    <row r="130">
      <c r="A130" t="s">
        <v>898</v>
      </c>
      <c r="B130" t="s">
        <v>898</v>
      </c>
      <c r="C130" t="s">
        <v>898</v>
      </c>
      <c r="D130" t="s">
        <v>898</v>
      </c>
      <c r="E130" t="s">
        <v>898</v>
      </c>
      <c r="F130" t="s">
        <v>898</v>
      </c>
      <c r="G130" t="s">
        <v>898</v>
      </c>
      <c r="H130" t="s">
        <v>898</v>
      </c>
      <c r="I130" t="s">
        <v>898</v>
      </c>
      <c r="J130" t="s">
        <v>898</v>
      </c>
      <c r="K130" t="s">
        <v>898</v>
      </c>
      <c r="L130" t="s">
        <v>898</v>
      </c>
      <c r="M130" t="s">
        <v>898</v>
      </c>
      <c r="N130" t="s">
        <v>898</v>
      </c>
      <c r="O130" t="s">
        <v>898</v>
      </c>
      <c r="P130" t="s">
        <v>898</v>
      </c>
      <c r="Q130" t="s">
        <v>898</v>
      </c>
      <c r="R130" t="s">
        <v>898</v>
      </c>
      <c r="S130" t="s">
        <v>898</v>
      </c>
      <c r="T130" t="s">
        <v>898</v>
      </c>
      <c r="U130" t="s">
        <v>898</v>
      </c>
      <c r="V130" t="s">
        <v>898</v>
      </c>
      <c r="W130" t="s">
        <v>898</v>
      </c>
      <c r="X130" t="s">
        <v>898</v>
      </c>
      <c r="Y130" t="e">
        <v>#REF!</v>
      </c>
      <c r="Z130" t="e">
        <v>#REF!</v>
      </c>
    </row>
    <row r="131">
      <c r="A131" t="s">
        <v>898</v>
      </c>
      <c r="B131" t="s">
        <v>898</v>
      </c>
      <c r="C131" t="s">
        <v>898</v>
      </c>
      <c r="D131" t="s">
        <v>898</v>
      </c>
      <c r="E131" t="s">
        <v>898</v>
      </c>
      <c r="F131" t="s">
        <v>898</v>
      </c>
      <c r="G131" t="s">
        <v>898</v>
      </c>
      <c r="H131" t="s">
        <v>898</v>
      </c>
      <c r="I131" t="s">
        <v>898</v>
      </c>
      <c r="J131" t="s">
        <v>898</v>
      </c>
      <c r="K131" t="s">
        <v>898</v>
      </c>
      <c r="L131" t="s">
        <v>898</v>
      </c>
      <c r="M131" t="s">
        <v>898</v>
      </c>
      <c r="N131" t="s">
        <v>898</v>
      </c>
      <c r="O131" t="s">
        <v>898</v>
      </c>
      <c r="P131" t="s">
        <v>898</v>
      </c>
      <c r="Q131" t="s">
        <v>898</v>
      </c>
      <c r="R131" t="s">
        <v>898</v>
      </c>
      <c r="S131" t="s">
        <v>898</v>
      </c>
      <c r="T131" t="s">
        <v>898</v>
      </c>
      <c r="U131" t="s">
        <v>898</v>
      </c>
      <c r="V131" t="s">
        <v>898</v>
      </c>
      <c r="W131" t="s">
        <v>898</v>
      </c>
      <c r="X131" t="s">
        <v>898</v>
      </c>
      <c r="Y131" t="e">
        <v>#REF!</v>
      </c>
      <c r="Z131" t="e">
        <v>#REF!</v>
      </c>
    </row>
    <row r="132">
      <c r="A132" t="s">
        <v>898</v>
      </c>
      <c r="B132" t="s">
        <v>898</v>
      </c>
      <c r="C132" t="s">
        <v>898</v>
      </c>
      <c r="D132" t="s">
        <v>898</v>
      </c>
      <c r="E132" t="s">
        <v>898</v>
      </c>
      <c r="F132" t="s">
        <v>898</v>
      </c>
      <c r="G132" t="s">
        <v>898</v>
      </c>
      <c r="H132" t="s">
        <v>898</v>
      </c>
      <c r="I132" t="s">
        <v>898</v>
      </c>
      <c r="J132" t="s">
        <v>898</v>
      </c>
      <c r="K132" t="s">
        <v>898</v>
      </c>
      <c r="L132" t="s">
        <v>898</v>
      </c>
      <c r="M132" t="s">
        <v>898</v>
      </c>
      <c r="N132" t="s">
        <v>898</v>
      </c>
      <c r="O132" t="s">
        <v>898</v>
      </c>
      <c r="P132" t="s">
        <v>898</v>
      </c>
      <c r="Q132" t="s">
        <v>898</v>
      </c>
      <c r="R132" t="s">
        <v>898</v>
      </c>
      <c r="S132" t="s">
        <v>898</v>
      </c>
      <c r="T132" t="s">
        <v>898</v>
      </c>
      <c r="U132" t="s">
        <v>898</v>
      </c>
      <c r="V132" t="s">
        <v>898</v>
      </c>
      <c r="W132" t="s">
        <v>898</v>
      </c>
      <c r="X132" t="s">
        <v>898</v>
      </c>
      <c r="Y132" t="e">
        <v>#REF!</v>
      </c>
      <c r="Z132" t="e">
        <v>#REF!</v>
      </c>
    </row>
    <row r="133">
      <c r="A133" t="s">
        <v>898</v>
      </c>
      <c r="B133" t="s">
        <v>898</v>
      </c>
      <c r="C133" t="s">
        <v>898</v>
      </c>
      <c r="D133" t="s">
        <v>898</v>
      </c>
      <c r="E133" t="s">
        <v>898</v>
      </c>
      <c r="F133" t="s">
        <v>898</v>
      </c>
      <c r="G133" t="s">
        <v>898</v>
      </c>
      <c r="H133" t="s">
        <v>898</v>
      </c>
      <c r="I133" t="s">
        <v>898</v>
      </c>
      <c r="J133" t="s">
        <v>898</v>
      </c>
      <c r="K133" t="s">
        <v>898</v>
      </c>
      <c r="L133" t="s">
        <v>898</v>
      </c>
      <c r="M133" t="s">
        <v>898</v>
      </c>
      <c r="N133" t="s">
        <v>898</v>
      </c>
      <c r="O133" t="s">
        <v>898</v>
      </c>
      <c r="P133" t="s">
        <v>898</v>
      </c>
      <c r="Q133" t="s">
        <v>898</v>
      </c>
      <c r="R133" t="s">
        <v>898</v>
      </c>
      <c r="S133" t="s">
        <v>898</v>
      </c>
      <c r="T133" t="s">
        <v>898</v>
      </c>
      <c r="U133" t="s">
        <v>898</v>
      </c>
      <c r="V133" t="s">
        <v>898</v>
      </c>
      <c r="W133" t="s">
        <v>898</v>
      </c>
      <c r="X133" t="s">
        <v>898</v>
      </c>
      <c r="Y133" t="e">
        <v>#REF!</v>
      </c>
      <c r="Z133" t="e">
        <v>#REF!</v>
      </c>
    </row>
    <row r="134">
      <c r="A134" t="s">
        <v>898</v>
      </c>
      <c r="B134" t="s">
        <v>898</v>
      </c>
      <c r="C134" t="s">
        <v>898</v>
      </c>
      <c r="D134" t="s">
        <v>898</v>
      </c>
      <c r="E134" t="s">
        <v>898</v>
      </c>
      <c r="F134" t="s">
        <v>898</v>
      </c>
      <c r="G134" t="s">
        <v>898</v>
      </c>
      <c r="H134" t="s">
        <v>898</v>
      </c>
      <c r="I134" t="s">
        <v>898</v>
      </c>
      <c r="J134" t="s">
        <v>898</v>
      </c>
      <c r="K134" t="s">
        <v>898</v>
      </c>
      <c r="L134" t="s">
        <v>898</v>
      </c>
      <c r="M134" t="s">
        <v>898</v>
      </c>
      <c r="N134" t="s">
        <v>898</v>
      </c>
      <c r="O134" t="s">
        <v>898</v>
      </c>
      <c r="P134" t="s">
        <v>898</v>
      </c>
      <c r="Q134" t="s">
        <v>898</v>
      </c>
      <c r="R134" t="s">
        <v>898</v>
      </c>
      <c r="S134" t="s">
        <v>898</v>
      </c>
      <c r="T134" t="s">
        <v>898</v>
      </c>
      <c r="U134" t="s">
        <v>898</v>
      </c>
      <c r="V134" t="s">
        <v>898</v>
      </c>
      <c r="W134" t="s">
        <v>898</v>
      </c>
      <c r="X134" t="s">
        <v>898</v>
      </c>
      <c r="Y134" t="e">
        <v>#REF!</v>
      </c>
      <c r="Z134" t="e">
        <v>#REF!</v>
      </c>
    </row>
    <row r="135">
      <c r="A135" t="s">
        <v>898</v>
      </c>
      <c r="B135" t="s">
        <v>898</v>
      </c>
      <c r="C135" t="s">
        <v>898</v>
      </c>
      <c r="D135" t="s">
        <v>898</v>
      </c>
      <c r="E135" t="s">
        <v>898</v>
      </c>
      <c r="F135" t="s">
        <v>898</v>
      </c>
      <c r="G135" t="s">
        <v>898</v>
      </c>
      <c r="H135" t="s">
        <v>898</v>
      </c>
      <c r="I135" t="s">
        <v>898</v>
      </c>
      <c r="J135" t="s">
        <v>898</v>
      </c>
      <c r="K135" t="s">
        <v>898</v>
      </c>
      <c r="L135" t="s">
        <v>898</v>
      </c>
      <c r="M135" t="s">
        <v>898</v>
      </c>
      <c r="N135" t="s">
        <v>898</v>
      </c>
      <c r="O135" t="s">
        <v>898</v>
      </c>
      <c r="P135" t="s">
        <v>898</v>
      </c>
      <c r="Q135" t="s">
        <v>898</v>
      </c>
      <c r="R135" t="s">
        <v>898</v>
      </c>
      <c r="S135" t="s">
        <v>898</v>
      </c>
      <c r="T135" t="s">
        <v>898</v>
      </c>
      <c r="U135" t="s">
        <v>898</v>
      </c>
      <c r="V135" t="s">
        <v>898</v>
      </c>
      <c r="W135" t="s">
        <v>898</v>
      </c>
      <c r="X135" t="s">
        <v>898</v>
      </c>
      <c r="Y135" t="e">
        <v>#REF!</v>
      </c>
      <c r="Z135" t="e">
        <v>#REF!</v>
      </c>
    </row>
    <row r="136">
      <c r="A136" t="s">
        <v>898</v>
      </c>
      <c r="B136" t="s">
        <v>898</v>
      </c>
      <c r="C136" t="s">
        <v>898</v>
      </c>
      <c r="D136" t="s">
        <v>898</v>
      </c>
      <c r="E136" t="s">
        <v>898</v>
      </c>
      <c r="F136" t="s">
        <v>898</v>
      </c>
      <c r="G136" t="s">
        <v>898</v>
      </c>
      <c r="H136" t="s">
        <v>898</v>
      </c>
      <c r="I136" t="s">
        <v>898</v>
      </c>
      <c r="J136" t="s">
        <v>898</v>
      </c>
      <c r="K136" t="s">
        <v>898</v>
      </c>
      <c r="L136" t="s">
        <v>898</v>
      </c>
      <c r="M136" t="s">
        <v>898</v>
      </c>
      <c r="N136" t="s">
        <v>898</v>
      </c>
      <c r="O136" t="s">
        <v>898</v>
      </c>
      <c r="P136" t="s">
        <v>898</v>
      </c>
      <c r="Q136" t="s">
        <v>898</v>
      </c>
      <c r="R136" t="s">
        <v>898</v>
      </c>
      <c r="S136" t="s">
        <v>898</v>
      </c>
      <c r="T136" t="s">
        <v>898</v>
      </c>
      <c r="U136" t="s">
        <v>898</v>
      </c>
      <c r="V136" t="s">
        <v>898</v>
      </c>
      <c r="W136" t="s">
        <v>898</v>
      </c>
      <c r="X136" t="s">
        <v>898</v>
      </c>
      <c r="Y136" t="e">
        <v>#REF!</v>
      </c>
      <c r="Z136" t="e">
        <v>#REF!</v>
      </c>
    </row>
    <row r="137">
      <c r="A137" t="s">
        <v>898</v>
      </c>
      <c r="B137" t="s">
        <v>898</v>
      </c>
      <c r="C137" t="s">
        <v>898</v>
      </c>
      <c r="D137" t="s">
        <v>898</v>
      </c>
      <c r="E137" t="s">
        <v>898</v>
      </c>
      <c r="F137" t="s">
        <v>898</v>
      </c>
      <c r="G137" t="s">
        <v>898</v>
      </c>
      <c r="H137" t="s">
        <v>898</v>
      </c>
      <c r="I137" t="s">
        <v>898</v>
      </c>
      <c r="J137" t="s">
        <v>898</v>
      </c>
      <c r="K137" t="s">
        <v>898</v>
      </c>
      <c r="L137" t="s">
        <v>898</v>
      </c>
      <c r="M137" t="s">
        <v>898</v>
      </c>
      <c r="N137" t="s">
        <v>898</v>
      </c>
      <c r="O137" t="s">
        <v>898</v>
      </c>
      <c r="P137" t="s">
        <v>898</v>
      </c>
      <c r="Q137" t="s">
        <v>898</v>
      </c>
      <c r="R137" t="s">
        <v>898</v>
      </c>
      <c r="S137" t="s">
        <v>898</v>
      </c>
      <c r="T137" t="s">
        <v>898</v>
      </c>
      <c r="U137" t="s">
        <v>898</v>
      </c>
      <c r="V137" t="s">
        <v>898</v>
      </c>
      <c r="W137" t="s">
        <v>898</v>
      </c>
      <c r="X137" t="s">
        <v>898</v>
      </c>
      <c r="Y137" t="e">
        <v>#REF!</v>
      </c>
      <c r="Z137" t="e">
        <v>#REF!</v>
      </c>
    </row>
    <row r="138">
      <c r="A138" t="s">
        <v>898</v>
      </c>
      <c r="B138" t="s">
        <v>898</v>
      </c>
      <c r="C138" t="s">
        <v>898</v>
      </c>
      <c r="D138" t="s">
        <v>898</v>
      </c>
      <c r="E138" t="s">
        <v>898</v>
      </c>
      <c r="F138" t="s">
        <v>898</v>
      </c>
      <c r="G138" t="s">
        <v>898</v>
      </c>
      <c r="H138" t="s">
        <v>898</v>
      </c>
      <c r="I138" t="s">
        <v>898</v>
      </c>
      <c r="J138" t="s">
        <v>898</v>
      </c>
      <c r="K138" t="s">
        <v>898</v>
      </c>
      <c r="L138" t="s">
        <v>898</v>
      </c>
      <c r="M138" t="s">
        <v>898</v>
      </c>
      <c r="N138" t="s">
        <v>898</v>
      </c>
      <c r="O138" t="s">
        <v>898</v>
      </c>
      <c r="P138" t="s">
        <v>898</v>
      </c>
      <c r="Q138" t="s">
        <v>898</v>
      </c>
      <c r="R138" t="s">
        <v>898</v>
      </c>
      <c r="S138" t="s">
        <v>898</v>
      </c>
      <c r="T138" t="s">
        <v>898</v>
      </c>
      <c r="U138" t="s">
        <v>898</v>
      </c>
      <c r="V138" t="s">
        <v>898</v>
      </c>
      <c r="W138" t="s">
        <v>898</v>
      </c>
      <c r="X138" t="s">
        <v>898</v>
      </c>
      <c r="Y138" t="e">
        <v>#REF!</v>
      </c>
      <c r="Z138" t="e">
        <v>#REF!</v>
      </c>
    </row>
    <row r="139">
      <c r="A139" t="s">
        <v>898</v>
      </c>
      <c r="B139" t="s">
        <v>898</v>
      </c>
      <c r="C139" t="s">
        <v>898</v>
      </c>
      <c r="D139" t="s">
        <v>898</v>
      </c>
      <c r="E139" t="s">
        <v>898</v>
      </c>
      <c r="F139" t="s">
        <v>898</v>
      </c>
      <c r="G139" t="s">
        <v>898</v>
      </c>
      <c r="H139" t="s">
        <v>898</v>
      </c>
      <c r="I139" t="s">
        <v>898</v>
      </c>
      <c r="J139" t="s">
        <v>898</v>
      </c>
      <c r="K139" t="s">
        <v>898</v>
      </c>
      <c r="L139" t="s">
        <v>898</v>
      </c>
      <c r="M139" t="s">
        <v>898</v>
      </c>
      <c r="N139" t="s">
        <v>898</v>
      </c>
      <c r="O139" t="s">
        <v>898</v>
      </c>
      <c r="P139" t="s">
        <v>898</v>
      </c>
      <c r="Q139" t="s">
        <v>898</v>
      </c>
      <c r="R139" t="s">
        <v>898</v>
      </c>
      <c r="S139" t="s">
        <v>898</v>
      </c>
      <c r="T139" t="s">
        <v>898</v>
      </c>
      <c r="U139" t="s">
        <v>898</v>
      </c>
      <c r="V139" t="s">
        <v>898</v>
      </c>
      <c r="W139" t="s">
        <v>898</v>
      </c>
      <c r="X139" t="s">
        <v>898</v>
      </c>
      <c r="Y139" t="e">
        <v>#REF!</v>
      </c>
      <c r="Z139" t="e">
        <v>#REF!</v>
      </c>
    </row>
    <row r="140">
      <c r="A140" t="s">
        <v>898</v>
      </c>
      <c r="B140" t="s">
        <v>898</v>
      </c>
      <c r="C140" t="s">
        <v>898</v>
      </c>
      <c r="D140" t="s">
        <v>898</v>
      </c>
      <c r="E140" t="s">
        <v>898</v>
      </c>
      <c r="F140" t="s">
        <v>898</v>
      </c>
      <c r="G140" t="s">
        <v>898</v>
      </c>
      <c r="H140" t="s">
        <v>898</v>
      </c>
      <c r="I140" t="s">
        <v>898</v>
      </c>
      <c r="J140" t="s">
        <v>898</v>
      </c>
      <c r="K140" t="s">
        <v>898</v>
      </c>
      <c r="L140" t="s">
        <v>898</v>
      </c>
      <c r="M140" t="s">
        <v>898</v>
      </c>
      <c r="N140" t="s">
        <v>898</v>
      </c>
      <c r="O140" t="s">
        <v>898</v>
      </c>
      <c r="P140" t="s">
        <v>898</v>
      </c>
      <c r="Q140" t="s">
        <v>898</v>
      </c>
      <c r="R140" t="s">
        <v>898</v>
      </c>
      <c r="S140" t="s">
        <v>898</v>
      </c>
      <c r="T140" t="s">
        <v>898</v>
      </c>
      <c r="U140" t="s">
        <v>898</v>
      </c>
      <c r="V140" t="s">
        <v>898</v>
      </c>
      <c r="W140" t="s">
        <v>898</v>
      </c>
      <c r="X140" t="s">
        <v>898</v>
      </c>
      <c r="Y140" t="e">
        <v>#REF!</v>
      </c>
      <c r="Z140" t="e">
        <v>#REF!</v>
      </c>
    </row>
    <row r="141">
      <c r="A141" t="s">
        <v>898</v>
      </c>
      <c r="B141" t="s">
        <v>898</v>
      </c>
      <c r="C141" t="s">
        <v>898</v>
      </c>
      <c r="D141" t="s">
        <v>898</v>
      </c>
      <c r="E141" t="s">
        <v>898</v>
      </c>
      <c r="F141" t="s">
        <v>898</v>
      </c>
      <c r="G141" t="s">
        <v>898</v>
      </c>
      <c r="H141" t="s">
        <v>898</v>
      </c>
      <c r="I141" t="s">
        <v>898</v>
      </c>
      <c r="J141" t="s">
        <v>898</v>
      </c>
      <c r="K141" t="s">
        <v>898</v>
      </c>
      <c r="L141" t="s">
        <v>898</v>
      </c>
      <c r="M141" t="s">
        <v>898</v>
      </c>
      <c r="N141" t="s">
        <v>898</v>
      </c>
      <c r="O141" t="s">
        <v>898</v>
      </c>
      <c r="P141" t="s">
        <v>898</v>
      </c>
      <c r="Q141" t="s">
        <v>898</v>
      </c>
      <c r="R141" t="s">
        <v>898</v>
      </c>
      <c r="S141" t="s">
        <v>898</v>
      </c>
      <c r="T141" t="s">
        <v>898</v>
      </c>
      <c r="U141" t="s">
        <v>898</v>
      </c>
      <c r="V141" t="s">
        <v>898</v>
      </c>
      <c r="W141" t="s">
        <v>898</v>
      </c>
      <c r="X141" t="s">
        <v>898</v>
      </c>
      <c r="Y141" t="e">
        <v>#REF!</v>
      </c>
      <c r="Z141" t="e">
        <v>#REF!</v>
      </c>
    </row>
    <row r="142">
      <c r="A142" t="s">
        <v>898</v>
      </c>
      <c r="B142" t="s">
        <v>898</v>
      </c>
      <c r="C142" t="s">
        <v>898</v>
      </c>
      <c r="D142" t="s">
        <v>898</v>
      </c>
      <c r="E142" t="s">
        <v>898</v>
      </c>
      <c r="F142" t="s">
        <v>898</v>
      </c>
      <c r="G142" t="s">
        <v>898</v>
      </c>
      <c r="H142" t="s">
        <v>898</v>
      </c>
      <c r="I142" t="s">
        <v>898</v>
      </c>
      <c r="J142" t="s">
        <v>898</v>
      </c>
      <c r="K142" t="s">
        <v>898</v>
      </c>
      <c r="L142" t="s">
        <v>898</v>
      </c>
      <c r="M142" t="s">
        <v>898</v>
      </c>
      <c r="N142" t="s">
        <v>898</v>
      </c>
      <c r="O142" t="s">
        <v>898</v>
      </c>
      <c r="P142" t="s">
        <v>898</v>
      </c>
      <c r="Q142" t="s">
        <v>898</v>
      </c>
      <c r="R142" t="s">
        <v>898</v>
      </c>
      <c r="S142" t="s">
        <v>898</v>
      </c>
      <c r="T142" t="s">
        <v>898</v>
      </c>
      <c r="U142" t="s">
        <v>898</v>
      </c>
      <c r="V142" t="s">
        <v>898</v>
      </c>
      <c r="W142" t="s">
        <v>898</v>
      </c>
      <c r="X142" t="s">
        <v>898</v>
      </c>
      <c r="Y142" t="e">
        <v>#REF!</v>
      </c>
      <c r="Z142" t="e">
        <v>#REF!</v>
      </c>
    </row>
    <row r="143">
      <c r="A143" t="s">
        <v>898</v>
      </c>
      <c r="B143" t="s">
        <v>898</v>
      </c>
      <c r="C143" t="s">
        <v>898</v>
      </c>
      <c r="D143" t="s">
        <v>898</v>
      </c>
      <c r="E143" t="s">
        <v>898</v>
      </c>
      <c r="F143" t="s">
        <v>898</v>
      </c>
      <c r="G143" t="s">
        <v>898</v>
      </c>
      <c r="H143" t="s">
        <v>898</v>
      </c>
      <c r="I143" t="s">
        <v>898</v>
      </c>
      <c r="J143" t="s">
        <v>898</v>
      </c>
      <c r="K143" t="s">
        <v>898</v>
      </c>
      <c r="L143" t="s">
        <v>898</v>
      </c>
      <c r="M143" t="s">
        <v>898</v>
      </c>
      <c r="N143" t="s">
        <v>898</v>
      </c>
      <c r="O143" t="s">
        <v>898</v>
      </c>
      <c r="P143" t="s">
        <v>898</v>
      </c>
      <c r="Q143" t="s">
        <v>898</v>
      </c>
      <c r="R143" t="s">
        <v>898</v>
      </c>
      <c r="S143" t="s">
        <v>898</v>
      </c>
      <c r="T143" t="s">
        <v>898</v>
      </c>
      <c r="U143" t="s">
        <v>898</v>
      </c>
      <c r="V143" t="s">
        <v>898</v>
      </c>
      <c r="W143" t="s">
        <v>898</v>
      </c>
      <c r="X143" t="s">
        <v>898</v>
      </c>
      <c r="Y143" t="e">
        <v>#REF!</v>
      </c>
      <c r="Z143" t="e">
        <v>#REF!</v>
      </c>
    </row>
    <row r="144">
      <c r="A144" t="s">
        <v>898</v>
      </c>
      <c r="B144" t="s">
        <v>898</v>
      </c>
      <c r="C144" t="s">
        <v>898</v>
      </c>
      <c r="D144" t="s">
        <v>898</v>
      </c>
      <c r="E144" t="s">
        <v>898</v>
      </c>
      <c r="F144" t="s">
        <v>898</v>
      </c>
      <c r="G144" t="s">
        <v>898</v>
      </c>
      <c r="H144" t="s">
        <v>898</v>
      </c>
      <c r="I144" t="s">
        <v>898</v>
      </c>
      <c r="J144" t="s">
        <v>898</v>
      </c>
      <c r="K144" t="s">
        <v>898</v>
      </c>
      <c r="L144" t="s">
        <v>898</v>
      </c>
      <c r="M144" t="s">
        <v>898</v>
      </c>
      <c r="N144" t="s">
        <v>898</v>
      </c>
      <c r="O144" t="s">
        <v>898</v>
      </c>
      <c r="P144" t="s">
        <v>898</v>
      </c>
      <c r="Q144" t="s">
        <v>898</v>
      </c>
      <c r="R144" t="s">
        <v>898</v>
      </c>
      <c r="S144" t="s">
        <v>898</v>
      </c>
      <c r="T144" t="s">
        <v>898</v>
      </c>
      <c r="U144" t="s">
        <v>898</v>
      </c>
      <c r="V144" t="s">
        <v>898</v>
      </c>
      <c r="W144" t="s">
        <v>898</v>
      </c>
      <c r="X144" t="s">
        <v>898</v>
      </c>
      <c r="Y144" t="e">
        <v>#REF!</v>
      </c>
      <c r="Z144" t="e">
        <v>#REF!</v>
      </c>
    </row>
    <row r="145">
      <c r="A145" t="s">
        <v>898</v>
      </c>
      <c r="B145" t="s">
        <v>898</v>
      </c>
      <c r="C145" t="s">
        <v>898</v>
      </c>
      <c r="D145" t="s">
        <v>898</v>
      </c>
      <c r="E145" t="s">
        <v>898</v>
      </c>
      <c r="F145" t="s">
        <v>898</v>
      </c>
      <c r="G145" t="s">
        <v>898</v>
      </c>
      <c r="H145" t="s">
        <v>898</v>
      </c>
      <c r="I145" t="s">
        <v>898</v>
      </c>
      <c r="J145" t="s">
        <v>898</v>
      </c>
      <c r="K145" t="s">
        <v>898</v>
      </c>
      <c r="L145" t="s">
        <v>898</v>
      </c>
      <c r="M145" t="s">
        <v>898</v>
      </c>
      <c r="N145" t="s">
        <v>898</v>
      </c>
      <c r="O145" t="s">
        <v>898</v>
      </c>
      <c r="P145" t="s">
        <v>898</v>
      </c>
      <c r="Q145" t="s">
        <v>898</v>
      </c>
      <c r="R145" t="s">
        <v>898</v>
      </c>
      <c r="S145" t="s">
        <v>898</v>
      </c>
      <c r="T145" t="s">
        <v>898</v>
      </c>
      <c r="U145" t="s">
        <v>898</v>
      </c>
      <c r="V145" t="s">
        <v>898</v>
      </c>
      <c r="W145" t="s">
        <v>898</v>
      </c>
      <c r="X145" t="s">
        <v>898</v>
      </c>
      <c r="Y145" t="e">
        <v>#REF!</v>
      </c>
      <c r="Z145" t="e">
        <v>#REF!</v>
      </c>
    </row>
    <row r="146">
      <c r="A146" t="s">
        <v>898</v>
      </c>
      <c r="B146" t="s">
        <v>898</v>
      </c>
      <c r="C146" t="s">
        <v>898</v>
      </c>
      <c r="D146" t="s">
        <v>898</v>
      </c>
      <c r="E146" t="s">
        <v>898</v>
      </c>
      <c r="F146" t="s">
        <v>898</v>
      </c>
      <c r="G146" t="s">
        <v>898</v>
      </c>
      <c r="H146" t="s">
        <v>898</v>
      </c>
      <c r="I146" t="s">
        <v>898</v>
      </c>
      <c r="J146" t="s">
        <v>898</v>
      </c>
      <c r="K146" t="s">
        <v>898</v>
      </c>
      <c r="L146" t="s">
        <v>898</v>
      </c>
      <c r="M146" t="s">
        <v>898</v>
      </c>
      <c r="N146" t="s">
        <v>898</v>
      </c>
      <c r="O146" t="s">
        <v>898</v>
      </c>
      <c r="P146" t="s">
        <v>898</v>
      </c>
      <c r="Q146" t="s">
        <v>898</v>
      </c>
      <c r="R146" t="s">
        <v>898</v>
      </c>
      <c r="S146" t="s">
        <v>898</v>
      </c>
      <c r="T146" t="s">
        <v>898</v>
      </c>
      <c r="U146" t="s">
        <v>898</v>
      </c>
      <c r="V146" t="s">
        <v>898</v>
      </c>
      <c r="W146" t="s">
        <v>898</v>
      </c>
      <c r="X146" t="s">
        <v>898</v>
      </c>
      <c r="Y146" t="e">
        <v>#REF!</v>
      </c>
      <c r="Z146" t="e">
        <v>#REF!</v>
      </c>
    </row>
    <row r="147">
      <c r="A147" t="s">
        <v>898</v>
      </c>
      <c r="B147" t="s">
        <v>898</v>
      </c>
      <c r="C147" t="s">
        <v>898</v>
      </c>
      <c r="D147" t="s">
        <v>898</v>
      </c>
      <c r="E147" t="s">
        <v>898</v>
      </c>
      <c r="F147" t="s">
        <v>898</v>
      </c>
      <c r="G147" t="s">
        <v>898</v>
      </c>
      <c r="H147" t="s">
        <v>898</v>
      </c>
      <c r="I147" t="s">
        <v>898</v>
      </c>
      <c r="J147" t="s">
        <v>898</v>
      </c>
      <c r="K147" t="s">
        <v>898</v>
      </c>
      <c r="L147" t="s">
        <v>898</v>
      </c>
      <c r="M147" t="s">
        <v>898</v>
      </c>
      <c r="N147" t="s">
        <v>898</v>
      </c>
      <c r="O147" t="s">
        <v>898</v>
      </c>
      <c r="P147" t="s">
        <v>898</v>
      </c>
      <c r="Q147" t="s">
        <v>898</v>
      </c>
      <c r="R147" t="s">
        <v>898</v>
      </c>
      <c r="S147" t="s">
        <v>898</v>
      </c>
      <c r="T147" t="s">
        <v>898</v>
      </c>
      <c r="U147" t="s">
        <v>898</v>
      </c>
      <c r="V147" t="s">
        <v>898</v>
      </c>
      <c r="W147" t="s">
        <v>898</v>
      </c>
      <c r="X147" t="s">
        <v>898</v>
      </c>
      <c r="Y147" t="e">
        <v>#REF!</v>
      </c>
      <c r="Z147" t="e">
        <v>#REF!</v>
      </c>
    </row>
    <row r="148">
      <c r="A148" t="s">
        <v>898</v>
      </c>
      <c r="B148" t="s">
        <v>898</v>
      </c>
      <c r="C148" t="s">
        <v>898</v>
      </c>
      <c r="D148" t="s">
        <v>898</v>
      </c>
      <c r="E148" t="s">
        <v>898</v>
      </c>
      <c r="F148" t="s">
        <v>898</v>
      </c>
      <c r="G148" t="s">
        <v>898</v>
      </c>
      <c r="H148" t="s">
        <v>898</v>
      </c>
      <c r="I148" t="s">
        <v>898</v>
      </c>
      <c r="J148" t="s">
        <v>898</v>
      </c>
      <c r="K148" t="s">
        <v>898</v>
      </c>
      <c r="L148" t="s">
        <v>898</v>
      </c>
      <c r="M148" t="s">
        <v>898</v>
      </c>
      <c r="N148" t="s">
        <v>898</v>
      </c>
      <c r="O148" t="s">
        <v>898</v>
      </c>
      <c r="P148" t="s">
        <v>898</v>
      </c>
      <c r="Q148" t="s">
        <v>898</v>
      </c>
      <c r="R148" t="s">
        <v>898</v>
      </c>
      <c r="S148" t="s">
        <v>898</v>
      </c>
      <c r="T148" t="s">
        <v>898</v>
      </c>
      <c r="U148" t="s">
        <v>898</v>
      </c>
      <c r="V148" t="s">
        <v>898</v>
      </c>
      <c r="W148" t="s">
        <v>898</v>
      </c>
      <c r="X148" t="s">
        <v>898</v>
      </c>
      <c r="Y148" t="e">
        <v>#REF!</v>
      </c>
      <c r="Z148" t="e">
        <v>#REF!</v>
      </c>
    </row>
    <row r="149">
      <c r="A149" t="s">
        <v>898</v>
      </c>
      <c r="B149" t="s">
        <v>898</v>
      </c>
      <c r="C149" t="s">
        <v>898</v>
      </c>
      <c r="D149" t="s">
        <v>898</v>
      </c>
      <c r="E149" t="s">
        <v>898</v>
      </c>
      <c r="F149" t="s">
        <v>898</v>
      </c>
      <c r="G149" t="s">
        <v>898</v>
      </c>
      <c r="H149" t="s">
        <v>898</v>
      </c>
      <c r="I149" t="s">
        <v>898</v>
      </c>
      <c r="J149" t="s">
        <v>898</v>
      </c>
      <c r="K149" t="s">
        <v>898</v>
      </c>
      <c r="L149" t="s">
        <v>898</v>
      </c>
      <c r="M149" t="s">
        <v>898</v>
      </c>
      <c r="N149" t="s">
        <v>898</v>
      </c>
      <c r="O149" t="s">
        <v>898</v>
      </c>
      <c r="P149" t="s">
        <v>898</v>
      </c>
      <c r="Q149" t="s">
        <v>898</v>
      </c>
      <c r="R149" t="s">
        <v>898</v>
      </c>
      <c r="S149" t="s">
        <v>898</v>
      </c>
      <c r="T149" t="s">
        <v>898</v>
      </c>
      <c r="U149" t="s">
        <v>898</v>
      </c>
      <c r="V149" t="s">
        <v>898</v>
      </c>
      <c r="W149" t="s">
        <v>898</v>
      </c>
      <c r="X149" t="s">
        <v>898</v>
      </c>
      <c r="Y149" t="e">
        <v>#REF!</v>
      </c>
      <c r="Z149" t="e">
        <v>#REF!</v>
      </c>
    </row>
    <row r="150">
      <c r="A150" t="s">
        <v>898</v>
      </c>
      <c r="B150" t="s">
        <v>898</v>
      </c>
      <c r="C150" t="s">
        <v>898</v>
      </c>
      <c r="D150" t="s">
        <v>898</v>
      </c>
      <c r="E150" t="s">
        <v>898</v>
      </c>
      <c r="F150" t="s">
        <v>898</v>
      </c>
      <c r="G150" t="s">
        <v>898</v>
      </c>
      <c r="H150" t="s">
        <v>898</v>
      </c>
      <c r="I150" t="s">
        <v>898</v>
      </c>
      <c r="J150" t="s">
        <v>898</v>
      </c>
      <c r="K150" t="s">
        <v>898</v>
      </c>
      <c r="L150" t="s">
        <v>898</v>
      </c>
      <c r="M150" t="s">
        <v>898</v>
      </c>
      <c r="N150" t="s">
        <v>898</v>
      </c>
      <c r="O150" t="s">
        <v>898</v>
      </c>
      <c r="P150" t="s">
        <v>898</v>
      </c>
      <c r="Q150" t="s">
        <v>898</v>
      </c>
      <c r="R150" t="s">
        <v>898</v>
      </c>
      <c r="S150" t="s">
        <v>898</v>
      </c>
      <c r="T150" t="s">
        <v>898</v>
      </c>
      <c r="U150" t="s">
        <v>898</v>
      </c>
      <c r="V150" t="s">
        <v>898</v>
      </c>
      <c r="W150" t="s">
        <v>898</v>
      </c>
      <c r="X150" t="s">
        <v>898</v>
      </c>
      <c r="Y150" t="e">
        <v>#REF!</v>
      </c>
      <c r="Z150" t="e">
        <v>#REF!</v>
      </c>
    </row>
    <row r="151">
      <c r="A151" t="s">
        <v>898</v>
      </c>
      <c r="B151" t="s">
        <v>898</v>
      </c>
      <c r="C151" t="s">
        <v>898</v>
      </c>
      <c r="D151" t="s">
        <v>898</v>
      </c>
      <c r="E151" t="s">
        <v>898</v>
      </c>
      <c r="F151" t="s">
        <v>898</v>
      </c>
      <c r="G151" t="s">
        <v>898</v>
      </c>
      <c r="H151" t="s">
        <v>898</v>
      </c>
      <c r="I151" t="s">
        <v>898</v>
      </c>
      <c r="J151" t="s">
        <v>898</v>
      </c>
      <c r="K151" t="s">
        <v>898</v>
      </c>
      <c r="L151" t="s">
        <v>898</v>
      </c>
      <c r="M151" t="s">
        <v>898</v>
      </c>
      <c r="N151" t="s">
        <v>898</v>
      </c>
      <c r="O151" t="s">
        <v>898</v>
      </c>
      <c r="P151" t="s">
        <v>898</v>
      </c>
      <c r="Q151" t="s">
        <v>898</v>
      </c>
      <c r="R151" t="s">
        <v>898</v>
      </c>
      <c r="S151" t="s">
        <v>898</v>
      </c>
      <c r="T151" t="s">
        <v>898</v>
      </c>
      <c r="U151" t="s">
        <v>898</v>
      </c>
      <c r="V151" t="s">
        <v>898</v>
      </c>
      <c r="W151" t="s">
        <v>898</v>
      </c>
      <c r="X151" t="s">
        <v>898</v>
      </c>
      <c r="Y151" t="e">
        <v>#REF!</v>
      </c>
      <c r="Z151" t="e">
        <v>#REF!</v>
      </c>
    </row>
    <row r="152">
      <c r="A152" t="s">
        <v>898</v>
      </c>
      <c r="B152" t="s">
        <v>898</v>
      </c>
      <c r="C152" t="s">
        <v>898</v>
      </c>
      <c r="D152" t="s">
        <v>898</v>
      </c>
      <c r="E152" t="s">
        <v>898</v>
      </c>
      <c r="F152" t="s">
        <v>898</v>
      </c>
      <c r="G152" t="s">
        <v>898</v>
      </c>
      <c r="H152" t="s">
        <v>898</v>
      </c>
      <c r="I152" t="s">
        <v>898</v>
      </c>
      <c r="J152" t="s">
        <v>898</v>
      </c>
      <c r="K152" t="s">
        <v>898</v>
      </c>
      <c r="L152" t="s">
        <v>898</v>
      </c>
      <c r="M152" t="s">
        <v>898</v>
      </c>
      <c r="N152" t="s">
        <v>898</v>
      </c>
      <c r="O152" t="s">
        <v>898</v>
      </c>
      <c r="P152" t="s">
        <v>898</v>
      </c>
      <c r="Q152" t="s">
        <v>898</v>
      </c>
      <c r="R152" t="s">
        <v>898</v>
      </c>
      <c r="S152" t="s">
        <v>898</v>
      </c>
      <c r="T152" t="s">
        <v>898</v>
      </c>
      <c r="U152" t="s">
        <v>898</v>
      </c>
      <c r="V152" t="s">
        <v>898</v>
      </c>
      <c r="W152" t="s">
        <v>898</v>
      </c>
      <c r="X152" t="s">
        <v>898</v>
      </c>
      <c r="Y152" t="e">
        <v>#REF!</v>
      </c>
      <c r="Z152" t="e">
        <v>#REF!</v>
      </c>
    </row>
    <row r="153">
      <c r="A153" t="s">
        <v>898</v>
      </c>
      <c r="B153" t="s">
        <v>898</v>
      </c>
      <c r="C153" t="s">
        <v>898</v>
      </c>
      <c r="D153" t="s">
        <v>898</v>
      </c>
      <c r="E153" t="s">
        <v>898</v>
      </c>
      <c r="F153" t="s">
        <v>898</v>
      </c>
      <c r="G153" t="s">
        <v>898</v>
      </c>
      <c r="H153" t="s">
        <v>898</v>
      </c>
      <c r="I153" t="s">
        <v>898</v>
      </c>
      <c r="J153" t="s">
        <v>898</v>
      </c>
      <c r="K153" t="s">
        <v>898</v>
      </c>
      <c r="L153" t="s">
        <v>898</v>
      </c>
      <c r="M153" t="s">
        <v>898</v>
      </c>
      <c r="N153" t="s">
        <v>898</v>
      </c>
      <c r="O153" t="s">
        <v>898</v>
      </c>
      <c r="P153" t="s">
        <v>898</v>
      </c>
      <c r="Q153" t="s">
        <v>898</v>
      </c>
      <c r="R153" t="s">
        <v>898</v>
      </c>
      <c r="S153" t="s">
        <v>898</v>
      </c>
      <c r="T153" t="s">
        <v>898</v>
      </c>
      <c r="U153" t="s">
        <v>898</v>
      </c>
      <c r="V153" t="s">
        <v>898</v>
      </c>
      <c r="W153" t="s">
        <v>898</v>
      </c>
      <c r="X153" t="s">
        <v>898</v>
      </c>
      <c r="Y153" t="e">
        <v>#REF!</v>
      </c>
      <c r="Z153" t="e">
        <v>#REF!</v>
      </c>
    </row>
    <row r="154">
      <c r="A154" t="s">
        <v>898</v>
      </c>
      <c r="B154" t="s">
        <v>898</v>
      </c>
      <c r="C154" t="s">
        <v>898</v>
      </c>
      <c r="D154" t="s">
        <v>898</v>
      </c>
      <c r="E154" t="s">
        <v>898</v>
      </c>
      <c r="F154" t="s">
        <v>898</v>
      </c>
      <c r="G154" t="s">
        <v>898</v>
      </c>
      <c r="H154" t="s">
        <v>898</v>
      </c>
      <c r="I154" t="s">
        <v>898</v>
      </c>
      <c r="J154" t="s">
        <v>898</v>
      </c>
      <c r="K154" t="s">
        <v>898</v>
      </c>
      <c r="L154" t="s">
        <v>898</v>
      </c>
      <c r="M154" t="s">
        <v>898</v>
      </c>
      <c r="N154" t="s">
        <v>898</v>
      </c>
      <c r="O154" t="s">
        <v>898</v>
      </c>
      <c r="P154" t="s">
        <v>898</v>
      </c>
      <c r="Q154" t="s">
        <v>898</v>
      </c>
      <c r="R154" t="s">
        <v>898</v>
      </c>
      <c r="S154" t="s">
        <v>898</v>
      </c>
      <c r="T154" t="s">
        <v>898</v>
      </c>
      <c r="U154" t="s">
        <v>898</v>
      </c>
      <c r="V154" t="s">
        <v>898</v>
      </c>
      <c r="W154" t="s">
        <v>898</v>
      </c>
      <c r="X154" t="s">
        <v>898</v>
      </c>
      <c r="Y154" t="e">
        <v>#REF!</v>
      </c>
      <c r="Z154" t="e">
        <v>#REF!</v>
      </c>
    </row>
    <row r="155">
      <c r="A155" t="s">
        <v>898</v>
      </c>
      <c r="B155" t="s">
        <v>898</v>
      </c>
      <c r="C155" t="s">
        <v>898</v>
      </c>
      <c r="D155" t="s">
        <v>898</v>
      </c>
      <c r="E155" t="s">
        <v>898</v>
      </c>
      <c r="F155" t="s">
        <v>898</v>
      </c>
      <c r="G155" t="s">
        <v>898</v>
      </c>
      <c r="H155" t="s">
        <v>898</v>
      </c>
      <c r="I155" t="s">
        <v>898</v>
      </c>
      <c r="J155" t="s">
        <v>898</v>
      </c>
      <c r="K155" t="s">
        <v>898</v>
      </c>
      <c r="L155" t="s">
        <v>898</v>
      </c>
      <c r="M155" t="s">
        <v>898</v>
      </c>
      <c r="N155" t="s">
        <v>898</v>
      </c>
      <c r="O155" t="s">
        <v>898</v>
      </c>
      <c r="P155" t="s">
        <v>898</v>
      </c>
      <c r="Q155" t="s">
        <v>898</v>
      </c>
      <c r="R155" t="s">
        <v>898</v>
      </c>
      <c r="S155" t="s">
        <v>898</v>
      </c>
      <c r="T155" t="s">
        <v>898</v>
      </c>
      <c r="U155" t="s">
        <v>898</v>
      </c>
      <c r="V155" t="s">
        <v>898</v>
      </c>
      <c r="W155" t="s">
        <v>898</v>
      </c>
      <c r="X155" t="s">
        <v>898</v>
      </c>
      <c r="Y155" t="e">
        <v>#REF!</v>
      </c>
      <c r="Z155" t="e">
        <v>#REF!</v>
      </c>
    </row>
    <row r="156">
      <c r="A156" t="s">
        <v>898</v>
      </c>
      <c r="B156" t="s">
        <v>898</v>
      </c>
      <c r="C156" t="s">
        <v>898</v>
      </c>
      <c r="D156" t="s">
        <v>898</v>
      </c>
      <c r="E156" t="s">
        <v>898</v>
      </c>
      <c r="F156" t="s">
        <v>898</v>
      </c>
      <c r="G156" t="s">
        <v>898</v>
      </c>
      <c r="H156" t="s">
        <v>898</v>
      </c>
      <c r="I156" t="s">
        <v>898</v>
      </c>
      <c r="J156" t="s">
        <v>898</v>
      </c>
      <c r="K156" t="s">
        <v>898</v>
      </c>
      <c r="L156" t="s">
        <v>898</v>
      </c>
      <c r="M156" t="s">
        <v>898</v>
      </c>
      <c r="N156" t="s">
        <v>898</v>
      </c>
      <c r="O156" t="s">
        <v>898</v>
      </c>
      <c r="P156" t="s">
        <v>898</v>
      </c>
      <c r="Q156" t="s">
        <v>898</v>
      </c>
      <c r="R156" t="s">
        <v>898</v>
      </c>
      <c r="S156" t="s">
        <v>898</v>
      </c>
      <c r="T156" t="s">
        <v>898</v>
      </c>
      <c r="U156" t="s">
        <v>898</v>
      </c>
      <c r="V156" t="s">
        <v>898</v>
      </c>
      <c r="W156" t="s">
        <v>898</v>
      </c>
      <c r="X156" t="s">
        <v>898</v>
      </c>
      <c r="Y156" t="e">
        <v>#REF!</v>
      </c>
      <c r="Z156" t="e">
        <v>#REF!</v>
      </c>
    </row>
    <row r="157">
      <c r="A157" t="s">
        <v>898</v>
      </c>
      <c r="B157" t="s">
        <v>898</v>
      </c>
      <c r="C157" t="s">
        <v>898</v>
      </c>
      <c r="D157" t="s">
        <v>898</v>
      </c>
      <c r="E157" t="s">
        <v>898</v>
      </c>
      <c r="F157" t="s">
        <v>898</v>
      </c>
      <c r="G157" t="s">
        <v>898</v>
      </c>
      <c r="H157" t="s">
        <v>898</v>
      </c>
      <c r="I157" t="s">
        <v>898</v>
      </c>
      <c r="J157" t="s">
        <v>898</v>
      </c>
      <c r="K157" t="s">
        <v>898</v>
      </c>
      <c r="L157" t="s">
        <v>898</v>
      </c>
      <c r="M157" t="s">
        <v>898</v>
      </c>
      <c r="N157" t="s">
        <v>898</v>
      </c>
      <c r="O157" t="s">
        <v>898</v>
      </c>
      <c r="P157" t="s">
        <v>898</v>
      </c>
      <c r="Q157" t="s">
        <v>898</v>
      </c>
      <c r="R157" t="s">
        <v>898</v>
      </c>
      <c r="S157" t="s">
        <v>898</v>
      </c>
      <c r="T157" t="s">
        <v>898</v>
      </c>
      <c r="U157" t="s">
        <v>898</v>
      </c>
      <c r="V157" t="s">
        <v>898</v>
      </c>
      <c r="W157" t="s">
        <v>898</v>
      </c>
      <c r="X157" t="s">
        <v>898</v>
      </c>
      <c r="Y157" t="e">
        <v>#REF!</v>
      </c>
      <c r="Z157" t="e">
        <v>#REF!</v>
      </c>
    </row>
    <row r="158">
      <c r="A158" t="s">
        <v>898</v>
      </c>
      <c r="B158" t="s">
        <v>898</v>
      </c>
      <c r="C158" t="s">
        <v>898</v>
      </c>
      <c r="D158" t="s">
        <v>898</v>
      </c>
      <c r="E158" t="s">
        <v>898</v>
      </c>
      <c r="F158" t="s">
        <v>898</v>
      </c>
      <c r="G158" t="s">
        <v>898</v>
      </c>
      <c r="H158" t="s">
        <v>898</v>
      </c>
      <c r="I158" t="s">
        <v>898</v>
      </c>
      <c r="J158" t="s">
        <v>898</v>
      </c>
      <c r="K158" t="s">
        <v>898</v>
      </c>
      <c r="L158" t="s">
        <v>898</v>
      </c>
      <c r="M158" t="s">
        <v>898</v>
      </c>
      <c r="N158" t="s">
        <v>898</v>
      </c>
      <c r="O158" t="s">
        <v>898</v>
      </c>
      <c r="P158" t="s">
        <v>898</v>
      </c>
      <c r="Q158" t="s">
        <v>898</v>
      </c>
      <c r="R158" t="s">
        <v>898</v>
      </c>
      <c r="S158" t="s">
        <v>898</v>
      </c>
      <c r="T158" t="s">
        <v>898</v>
      </c>
      <c r="U158" t="s">
        <v>898</v>
      </c>
      <c r="V158" t="s">
        <v>898</v>
      </c>
      <c r="W158" t="s">
        <v>898</v>
      </c>
      <c r="X158" t="s">
        <v>898</v>
      </c>
      <c r="Y158" t="e">
        <v>#REF!</v>
      </c>
      <c r="Z158" t="e">
        <v>#REF!</v>
      </c>
    </row>
    <row r="159">
      <c r="A159" t="s">
        <v>898</v>
      </c>
      <c r="B159" t="s">
        <v>898</v>
      </c>
      <c r="C159" t="s">
        <v>898</v>
      </c>
      <c r="D159" t="s">
        <v>898</v>
      </c>
      <c r="E159" t="s">
        <v>898</v>
      </c>
      <c r="F159" t="s">
        <v>898</v>
      </c>
      <c r="G159" t="s">
        <v>898</v>
      </c>
      <c r="H159" t="s">
        <v>898</v>
      </c>
      <c r="I159" t="s">
        <v>898</v>
      </c>
      <c r="J159" t="s">
        <v>898</v>
      </c>
      <c r="K159" t="s">
        <v>898</v>
      </c>
      <c r="L159" t="s">
        <v>898</v>
      </c>
      <c r="M159" t="s">
        <v>898</v>
      </c>
      <c r="N159" t="s">
        <v>898</v>
      </c>
      <c r="O159" t="s">
        <v>898</v>
      </c>
      <c r="P159" t="s">
        <v>898</v>
      </c>
      <c r="Q159" t="s">
        <v>898</v>
      </c>
      <c r="R159" t="s">
        <v>898</v>
      </c>
      <c r="S159" t="s">
        <v>898</v>
      </c>
      <c r="T159" t="s">
        <v>898</v>
      </c>
      <c r="U159" t="s">
        <v>898</v>
      </c>
      <c r="V159" t="s">
        <v>898</v>
      </c>
      <c r="W159" t="s">
        <v>898</v>
      </c>
      <c r="X159" t="s">
        <v>898</v>
      </c>
      <c r="Y159" t="e">
        <v>#REF!</v>
      </c>
      <c r="Z159" t="e">
        <v>#REF!</v>
      </c>
    </row>
    <row r="160">
      <c r="A160" t="s">
        <v>898</v>
      </c>
      <c r="B160" t="s">
        <v>898</v>
      </c>
      <c r="C160" t="s">
        <v>898</v>
      </c>
      <c r="D160" t="s">
        <v>898</v>
      </c>
      <c r="E160" t="s">
        <v>898</v>
      </c>
      <c r="F160" t="s">
        <v>898</v>
      </c>
      <c r="G160" t="s">
        <v>898</v>
      </c>
      <c r="H160" t="s">
        <v>898</v>
      </c>
      <c r="I160" t="s">
        <v>898</v>
      </c>
      <c r="J160" t="s">
        <v>898</v>
      </c>
      <c r="K160" t="s">
        <v>898</v>
      </c>
      <c r="L160" t="s">
        <v>898</v>
      </c>
      <c r="M160" t="s">
        <v>898</v>
      </c>
      <c r="N160" t="s">
        <v>898</v>
      </c>
      <c r="O160" t="s">
        <v>898</v>
      </c>
      <c r="P160" t="s">
        <v>898</v>
      </c>
      <c r="Q160" t="s">
        <v>898</v>
      </c>
      <c r="R160" t="s">
        <v>898</v>
      </c>
      <c r="S160" t="s">
        <v>898</v>
      </c>
      <c r="T160" t="s">
        <v>898</v>
      </c>
      <c r="U160" t="s">
        <v>898</v>
      </c>
      <c r="V160" t="s">
        <v>898</v>
      </c>
      <c r="W160" t="s">
        <v>898</v>
      </c>
      <c r="X160" t="s">
        <v>898</v>
      </c>
      <c r="Y160" t="e">
        <v>#REF!</v>
      </c>
      <c r="Z160" t="e">
        <v>#REF!</v>
      </c>
    </row>
    <row r="161">
      <c r="A161" t="s">
        <v>898</v>
      </c>
      <c r="B161" t="s">
        <v>898</v>
      </c>
      <c r="C161" t="s">
        <v>898</v>
      </c>
      <c r="D161" t="s">
        <v>898</v>
      </c>
      <c r="E161" t="s">
        <v>898</v>
      </c>
      <c r="F161" t="s">
        <v>898</v>
      </c>
      <c r="G161" t="s">
        <v>898</v>
      </c>
      <c r="H161" t="s">
        <v>898</v>
      </c>
      <c r="I161" t="s">
        <v>898</v>
      </c>
      <c r="J161" t="s">
        <v>898</v>
      </c>
      <c r="K161" t="s">
        <v>898</v>
      </c>
      <c r="L161" t="s">
        <v>898</v>
      </c>
      <c r="M161" t="s">
        <v>898</v>
      </c>
      <c r="N161" t="s">
        <v>898</v>
      </c>
      <c r="O161" t="s">
        <v>898</v>
      </c>
      <c r="P161" t="s">
        <v>898</v>
      </c>
      <c r="Q161" t="s">
        <v>898</v>
      </c>
      <c r="R161" t="s">
        <v>898</v>
      </c>
      <c r="S161" t="s">
        <v>898</v>
      </c>
      <c r="T161" t="s">
        <v>898</v>
      </c>
      <c r="U161" t="s">
        <v>898</v>
      </c>
      <c r="V161" t="s">
        <v>898</v>
      </c>
      <c r="W161" t="s">
        <v>898</v>
      </c>
      <c r="X161" t="s">
        <v>898</v>
      </c>
      <c r="Y161" t="e">
        <v>#REF!</v>
      </c>
      <c r="Z161" t="e">
        <v>#REF!</v>
      </c>
    </row>
    <row r="162">
      <c r="A162" t="s">
        <v>898</v>
      </c>
      <c r="B162" t="s">
        <v>898</v>
      </c>
      <c r="C162" t="s">
        <v>898</v>
      </c>
      <c r="D162" t="s">
        <v>898</v>
      </c>
      <c r="E162" t="s">
        <v>898</v>
      </c>
      <c r="F162" t="s">
        <v>898</v>
      </c>
      <c r="G162" t="s">
        <v>898</v>
      </c>
      <c r="H162" t="s">
        <v>898</v>
      </c>
      <c r="I162" t="s">
        <v>898</v>
      </c>
      <c r="J162" t="s">
        <v>898</v>
      </c>
      <c r="K162" t="s">
        <v>898</v>
      </c>
      <c r="L162" t="s">
        <v>898</v>
      </c>
      <c r="M162" t="s">
        <v>898</v>
      </c>
      <c r="N162" t="s">
        <v>898</v>
      </c>
      <c r="O162" t="s">
        <v>898</v>
      </c>
      <c r="P162" t="s">
        <v>898</v>
      </c>
      <c r="Q162" t="s">
        <v>898</v>
      </c>
      <c r="R162" t="s">
        <v>898</v>
      </c>
      <c r="S162" t="s">
        <v>898</v>
      </c>
      <c r="T162" t="s">
        <v>898</v>
      </c>
      <c r="U162" t="s">
        <v>898</v>
      </c>
      <c r="V162" t="s">
        <v>898</v>
      </c>
      <c r="W162" t="s">
        <v>898</v>
      </c>
      <c r="X162" t="s">
        <v>898</v>
      </c>
      <c r="Y162" t="e">
        <v>#REF!</v>
      </c>
      <c r="Z162" t="e">
        <v>#REF!</v>
      </c>
    </row>
    <row r="163">
      <c r="A163" t="s">
        <v>898</v>
      </c>
      <c r="B163" t="s">
        <v>898</v>
      </c>
      <c r="C163" t="s">
        <v>898</v>
      </c>
      <c r="D163" t="s">
        <v>898</v>
      </c>
      <c r="E163" t="s">
        <v>898</v>
      </c>
      <c r="F163" t="s">
        <v>898</v>
      </c>
      <c r="G163" t="s">
        <v>898</v>
      </c>
      <c r="H163" t="s">
        <v>898</v>
      </c>
      <c r="I163" t="s">
        <v>898</v>
      </c>
      <c r="J163" t="s">
        <v>898</v>
      </c>
      <c r="K163" t="s">
        <v>898</v>
      </c>
      <c r="L163" t="s">
        <v>898</v>
      </c>
      <c r="M163" t="s">
        <v>898</v>
      </c>
      <c r="N163" t="s">
        <v>898</v>
      </c>
      <c r="O163" t="s">
        <v>898</v>
      </c>
      <c r="P163" t="s">
        <v>898</v>
      </c>
      <c r="Q163" t="s">
        <v>898</v>
      </c>
      <c r="R163" t="s">
        <v>898</v>
      </c>
      <c r="S163" t="s">
        <v>898</v>
      </c>
      <c r="T163" t="s">
        <v>898</v>
      </c>
      <c r="U163" t="s">
        <v>898</v>
      </c>
      <c r="V163" t="s">
        <v>898</v>
      </c>
      <c r="W163" t="s">
        <v>898</v>
      </c>
      <c r="X163" t="s">
        <v>898</v>
      </c>
      <c r="Y163" t="e">
        <v>#REF!</v>
      </c>
      <c r="Z163" t="e">
        <v>#REF!</v>
      </c>
    </row>
    <row r="164">
      <c r="A164" t="s">
        <v>898</v>
      </c>
      <c r="B164" t="s">
        <v>898</v>
      </c>
      <c r="C164" t="s">
        <v>898</v>
      </c>
      <c r="D164" t="s">
        <v>898</v>
      </c>
      <c r="E164" t="s">
        <v>898</v>
      </c>
      <c r="F164" t="s">
        <v>898</v>
      </c>
      <c r="G164" t="s">
        <v>898</v>
      </c>
      <c r="H164" t="s">
        <v>898</v>
      </c>
      <c r="I164" t="s">
        <v>898</v>
      </c>
      <c r="J164" t="s">
        <v>898</v>
      </c>
      <c r="K164" t="s">
        <v>898</v>
      </c>
      <c r="L164" t="s">
        <v>898</v>
      </c>
      <c r="M164" t="s">
        <v>898</v>
      </c>
      <c r="N164" t="s">
        <v>898</v>
      </c>
      <c r="O164" t="s">
        <v>898</v>
      </c>
      <c r="P164" t="s">
        <v>898</v>
      </c>
      <c r="Q164" t="s">
        <v>898</v>
      </c>
      <c r="R164" t="s">
        <v>898</v>
      </c>
      <c r="S164" t="s">
        <v>898</v>
      </c>
      <c r="T164" t="s">
        <v>898</v>
      </c>
      <c r="U164" t="s">
        <v>898</v>
      </c>
      <c r="V164" t="s">
        <v>898</v>
      </c>
      <c r="W164" t="s">
        <v>898</v>
      </c>
      <c r="X164" t="s">
        <v>898</v>
      </c>
      <c r="Y164" t="e">
        <v>#REF!</v>
      </c>
      <c r="Z164" t="e">
        <v>#REF!</v>
      </c>
    </row>
    <row r="165">
      <c r="A165" t="s">
        <v>898</v>
      </c>
      <c r="B165" t="s">
        <v>898</v>
      </c>
      <c r="C165" t="s">
        <v>898</v>
      </c>
      <c r="D165" t="s">
        <v>898</v>
      </c>
      <c r="E165" t="s">
        <v>898</v>
      </c>
      <c r="F165" t="s">
        <v>898</v>
      </c>
      <c r="G165" t="s">
        <v>898</v>
      </c>
      <c r="H165" t="s">
        <v>898</v>
      </c>
      <c r="I165" t="s">
        <v>898</v>
      </c>
      <c r="J165" t="s">
        <v>898</v>
      </c>
      <c r="K165" t="s">
        <v>898</v>
      </c>
      <c r="L165" t="s">
        <v>898</v>
      </c>
      <c r="M165" t="s">
        <v>898</v>
      </c>
      <c r="N165" t="s">
        <v>898</v>
      </c>
      <c r="O165" t="s">
        <v>898</v>
      </c>
      <c r="P165" t="s">
        <v>898</v>
      </c>
      <c r="Q165" t="s">
        <v>898</v>
      </c>
      <c r="R165" t="s">
        <v>898</v>
      </c>
      <c r="S165" t="s">
        <v>898</v>
      </c>
      <c r="T165" t="s">
        <v>898</v>
      </c>
      <c r="U165" t="s">
        <v>898</v>
      </c>
      <c r="V165" t="s">
        <v>898</v>
      </c>
      <c r="W165" t="s">
        <v>898</v>
      </c>
      <c r="X165" t="s">
        <v>898</v>
      </c>
      <c r="Y165" t="e">
        <v>#REF!</v>
      </c>
      <c r="Z165" t="e">
        <v>#REF!</v>
      </c>
    </row>
    <row r="166">
      <c r="A166" t="s">
        <v>898</v>
      </c>
      <c r="B166" t="s">
        <v>898</v>
      </c>
      <c r="C166" t="s">
        <v>898</v>
      </c>
      <c r="D166" t="s">
        <v>898</v>
      </c>
      <c r="E166" t="s">
        <v>898</v>
      </c>
      <c r="F166" t="s">
        <v>898</v>
      </c>
      <c r="G166" t="s">
        <v>898</v>
      </c>
      <c r="H166" t="s">
        <v>898</v>
      </c>
      <c r="I166" t="s">
        <v>898</v>
      </c>
      <c r="J166" t="s">
        <v>898</v>
      </c>
      <c r="K166" t="s">
        <v>898</v>
      </c>
      <c r="L166" t="s">
        <v>898</v>
      </c>
      <c r="M166" t="s">
        <v>898</v>
      </c>
      <c r="N166" t="s">
        <v>898</v>
      </c>
      <c r="O166" t="s">
        <v>898</v>
      </c>
      <c r="P166" t="s">
        <v>898</v>
      </c>
      <c r="Q166" t="s">
        <v>898</v>
      </c>
      <c r="R166" t="s">
        <v>898</v>
      </c>
      <c r="S166" t="s">
        <v>898</v>
      </c>
      <c r="T166" t="s">
        <v>898</v>
      </c>
      <c r="U166" t="s">
        <v>898</v>
      </c>
      <c r="V166" t="s">
        <v>898</v>
      </c>
      <c r="W166" t="s">
        <v>898</v>
      </c>
      <c r="X166" t="s">
        <v>898</v>
      </c>
      <c r="Y166" t="e">
        <v>#REF!</v>
      </c>
      <c r="Z166" t="e">
        <v>#REF!</v>
      </c>
    </row>
    <row r="167">
      <c r="A167" t="s">
        <v>898</v>
      </c>
      <c r="B167" t="s">
        <v>898</v>
      </c>
      <c r="C167" t="s">
        <v>898</v>
      </c>
      <c r="D167" t="s">
        <v>898</v>
      </c>
      <c r="E167" t="s">
        <v>898</v>
      </c>
      <c r="F167" t="s">
        <v>898</v>
      </c>
      <c r="G167" t="s">
        <v>898</v>
      </c>
      <c r="H167" t="s">
        <v>898</v>
      </c>
      <c r="I167" t="s">
        <v>898</v>
      </c>
      <c r="J167" t="s">
        <v>898</v>
      </c>
      <c r="K167" t="s">
        <v>898</v>
      </c>
      <c r="L167" t="s">
        <v>898</v>
      </c>
      <c r="M167" t="s">
        <v>898</v>
      </c>
      <c r="N167" t="s">
        <v>898</v>
      </c>
      <c r="O167" t="s">
        <v>898</v>
      </c>
      <c r="P167" t="s">
        <v>898</v>
      </c>
      <c r="Q167" t="s">
        <v>898</v>
      </c>
      <c r="R167" t="s">
        <v>898</v>
      </c>
      <c r="S167" t="s">
        <v>898</v>
      </c>
      <c r="T167" t="s">
        <v>898</v>
      </c>
      <c r="U167" t="s">
        <v>898</v>
      </c>
      <c r="V167" t="s">
        <v>898</v>
      </c>
      <c r="W167" t="s">
        <v>898</v>
      </c>
      <c r="X167" t="s">
        <v>898</v>
      </c>
      <c r="Y167" t="e">
        <v>#REF!</v>
      </c>
      <c r="Z167" t="e">
        <v>#REF!</v>
      </c>
    </row>
    <row r="168">
      <c r="A168" t="s">
        <v>898</v>
      </c>
      <c r="B168" t="s">
        <v>898</v>
      </c>
      <c r="C168" t="s">
        <v>898</v>
      </c>
      <c r="D168" t="s">
        <v>898</v>
      </c>
      <c r="E168" t="s">
        <v>898</v>
      </c>
      <c r="F168" t="s">
        <v>898</v>
      </c>
      <c r="G168" t="s">
        <v>898</v>
      </c>
      <c r="H168" t="s">
        <v>898</v>
      </c>
      <c r="I168" t="s">
        <v>898</v>
      </c>
      <c r="J168" t="s">
        <v>898</v>
      </c>
      <c r="K168" t="s">
        <v>898</v>
      </c>
      <c r="L168" t="s">
        <v>898</v>
      </c>
      <c r="M168" t="s">
        <v>898</v>
      </c>
      <c r="N168" t="s">
        <v>898</v>
      </c>
      <c r="O168" t="s">
        <v>898</v>
      </c>
      <c r="P168" t="s">
        <v>898</v>
      </c>
      <c r="Q168" t="s">
        <v>898</v>
      </c>
      <c r="R168" t="s">
        <v>898</v>
      </c>
      <c r="S168" t="s">
        <v>898</v>
      </c>
      <c r="T168" t="s">
        <v>898</v>
      </c>
      <c r="U168" t="s">
        <v>898</v>
      </c>
      <c r="V168" t="s">
        <v>898</v>
      </c>
      <c r="W168" t="s">
        <v>898</v>
      </c>
      <c r="X168" t="s">
        <v>898</v>
      </c>
      <c r="Y168" t="e">
        <v>#REF!</v>
      </c>
      <c r="Z168" t="e">
        <v>#REF!</v>
      </c>
    </row>
    <row r="169">
      <c r="A169" t="s">
        <v>898</v>
      </c>
      <c r="B169" t="s">
        <v>898</v>
      </c>
      <c r="C169" t="s">
        <v>898</v>
      </c>
      <c r="D169" t="s">
        <v>898</v>
      </c>
      <c r="E169" t="s">
        <v>898</v>
      </c>
      <c r="F169" t="s">
        <v>898</v>
      </c>
      <c r="G169" t="s">
        <v>898</v>
      </c>
      <c r="H169" t="s">
        <v>898</v>
      </c>
      <c r="I169" t="s">
        <v>898</v>
      </c>
      <c r="J169" t="s">
        <v>898</v>
      </c>
      <c r="K169" t="s">
        <v>898</v>
      </c>
      <c r="L169" t="s">
        <v>898</v>
      </c>
      <c r="M169" t="s">
        <v>898</v>
      </c>
      <c r="N169" t="s">
        <v>898</v>
      </c>
      <c r="O169" t="s">
        <v>898</v>
      </c>
      <c r="P169" t="s">
        <v>898</v>
      </c>
      <c r="Q169" t="s">
        <v>898</v>
      </c>
      <c r="R169" t="s">
        <v>898</v>
      </c>
      <c r="S169" t="s">
        <v>898</v>
      </c>
      <c r="T169" t="s">
        <v>898</v>
      </c>
      <c r="U169" t="s">
        <v>898</v>
      </c>
      <c r="V169" t="s">
        <v>898</v>
      </c>
      <c r="W169" t="s">
        <v>898</v>
      </c>
      <c r="X169" t="s">
        <v>898</v>
      </c>
      <c r="Y169" t="e">
        <v>#REF!</v>
      </c>
      <c r="Z169" t="e">
        <v>#REF!</v>
      </c>
    </row>
    <row r="170">
      <c r="A170" t="s">
        <v>898</v>
      </c>
      <c r="B170" t="s">
        <v>898</v>
      </c>
      <c r="C170" t="s">
        <v>898</v>
      </c>
      <c r="D170" t="s">
        <v>898</v>
      </c>
      <c r="E170" t="s">
        <v>898</v>
      </c>
      <c r="F170" t="s">
        <v>898</v>
      </c>
      <c r="G170" t="s">
        <v>898</v>
      </c>
      <c r="H170" t="s">
        <v>898</v>
      </c>
      <c r="I170" t="s">
        <v>898</v>
      </c>
      <c r="J170" t="s">
        <v>898</v>
      </c>
      <c r="K170" t="s">
        <v>898</v>
      </c>
      <c r="L170" t="s">
        <v>898</v>
      </c>
      <c r="M170" t="s">
        <v>898</v>
      </c>
      <c r="N170" t="s">
        <v>898</v>
      </c>
      <c r="O170" t="s">
        <v>898</v>
      </c>
      <c r="P170" t="s">
        <v>898</v>
      </c>
      <c r="Q170" t="s">
        <v>898</v>
      </c>
      <c r="R170" t="s">
        <v>898</v>
      </c>
      <c r="S170" t="s">
        <v>898</v>
      </c>
      <c r="T170" t="s">
        <v>898</v>
      </c>
      <c r="U170" t="s">
        <v>898</v>
      </c>
      <c r="V170" t="s">
        <v>898</v>
      </c>
      <c r="W170" t="s">
        <v>898</v>
      </c>
      <c r="X170" t="s">
        <v>898</v>
      </c>
      <c r="Y170" t="e">
        <v>#REF!</v>
      </c>
      <c r="Z170" t="e">
        <v>#REF!</v>
      </c>
    </row>
    <row r="171">
      <c r="A171" t="s">
        <v>898</v>
      </c>
      <c r="B171" t="s">
        <v>898</v>
      </c>
      <c r="C171" t="s">
        <v>898</v>
      </c>
      <c r="D171" t="s">
        <v>898</v>
      </c>
      <c r="E171" t="s">
        <v>898</v>
      </c>
      <c r="F171" t="s">
        <v>898</v>
      </c>
      <c r="G171" t="s">
        <v>898</v>
      </c>
      <c r="H171" t="s">
        <v>898</v>
      </c>
      <c r="I171" t="s">
        <v>898</v>
      </c>
      <c r="J171" t="s">
        <v>898</v>
      </c>
      <c r="K171" t="s">
        <v>898</v>
      </c>
      <c r="L171" t="s">
        <v>898</v>
      </c>
      <c r="M171" t="s">
        <v>898</v>
      </c>
      <c r="N171" t="s">
        <v>898</v>
      </c>
      <c r="O171" t="s">
        <v>898</v>
      </c>
      <c r="P171" t="s">
        <v>898</v>
      </c>
      <c r="Q171" t="s">
        <v>898</v>
      </c>
      <c r="R171" t="s">
        <v>898</v>
      </c>
      <c r="S171" t="s">
        <v>898</v>
      </c>
      <c r="T171" t="s">
        <v>898</v>
      </c>
      <c r="U171" t="s">
        <v>898</v>
      </c>
      <c r="V171" t="s">
        <v>898</v>
      </c>
      <c r="W171" t="s">
        <v>898</v>
      </c>
      <c r="X171" t="s">
        <v>898</v>
      </c>
      <c r="Y171" t="e">
        <v>#REF!</v>
      </c>
      <c r="Z171" t="e">
        <v>#REF!</v>
      </c>
    </row>
    <row r="172">
      <c r="A172" t="s">
        <v>898</v>
      </c>
      <c r="B172" t="s">
        <v>898</v>
      </c>
      <c r="C172" t="s">
        <v>898</v>
      </c>
      <c r="D172" t="s">
        <v>898</v>
      </c>
      <c r="E172" t="s">
        <v>898</v>
      </c>
      <c r="F172" t="s">
        <v>898</v>
      </c>
      <c r="G172" t="s">
        <v>898</v>
      </c>
      <c r="H172" t="s">
        <v>898</v>
      </c>
      <c r="I172" t="s">
        <v>898</v>
      </c>
      <c r="J172" t="s">
        <v>898</v>
      </c>
      <c r="K172" t="s">
        <v>898</v>
      </c>
      <c r="L172" t="s">
        <v>898</v>
      </c>
      <c r="M172" t="s">
        <v>898</v>
      </c>
      <c r="N172" t="s">
        <v>898</v>
      </c>
      <c r="O172" t="s">
        <v>898</v>
      </c>
      <c r="P172" t="s">
        <v>898</v>
      </c>
      <c r="Q172" t="s">
        <v>898</v>
      </c>
      <c r="R172" t="s">
        <v>898</v>
      </c>
      <c r="S172" t="s">
        <v>898</v>
      </c>
      <c r="T172" t="s">
        <v>898</v>
      </c>
      <c r="U172" t="s">
        <v>898</v>
      </c>
      <c r="V172" t="s">
        <v>898</v>
      </c>
      <c r="W172" t="s">
        <v>898</v>
      </c>
      <c r="X172" t="s">
        <v>898</v>
      </c>
      <c r="Y172" t="e">
        <v>#REF!</v>
      </c>
      <c r="Z172" t="e">
        <v>#REF!</v>
      </c>
    </row>
    <row r="173">
      <c r="A173" t="s">
        <v>898</v>
      </c>
      <c r="B173" t="s">
        <v>898</v>
      </c>
      <c r="C173" t="s">
        <v>898</v>
      </c>
      <c r="D173" t="s">
        <v>898</v>
      </c>
      <c r="E173" t="s">
        <v>898</v>
      </c>
      <c r="F173" t="s">
        <v>898</v>
      </c>
      <c r="G173" t="s">
        <v>898</v>
      </c>
      <c r="H173" t="s">
        <v>898</v>
      </c>
      <c r="I173" t="s">
        <v>898</v>
      </c>
      <c r="J173" t="s">
        <v>898</v>
      </c>
      <c r="K173" t="s">
        <v>898</v>
      </c>
      <c r="L173" t="s">
        <v>898</v>
      </c>
      <c r="M173" t="s">
        <v>898</v>
      </c>
      <c r="N173" t="s">
        <v>898</v>
      </c>
      <c r="O173" t="s">
        <v>898</v>
      </c>
      <c r="P173" t="s">
        <v>898</v>
      </c>
      <c r="Q173" t="s">
        <v>898</v>
      </c>
      <c r="R173" t="s">
        <v>898</v>
      </c>
      <c r="S173" t="s">
        <v>898</v>
      </c>
      <c r="T173" t="s">
        <v>898</v>
      </c>
      <c r="U173" t="s">
        <v>898</v>
      </c>
      <c r="V173" t="s">
        <v>898</v>
      </c>
      <c r="W173" t="s">
        <v>898</v>
      </c>
      <c r="X173" t="s">
        <v>898</v>
      </c>
      <c r="Y173" t="e">
        <v>#REF!</v>
      </c>
      <c r="Z173" t="e">
        <v>#REF!</v>
      </c>
    </row>
    <row r="174">
      <c r="A174" t="s">
        <v>898</v>
      </c>
      <c r="B174" t="s">
        <v>898</v>
      </c>
      <c r="C174" t="s">
        <v>898</v>
      </c>
      <c r="D174" t="s">
        <v>898</v>
      </c>
      <c r="E174" t="s">
        <v>898</v>
      </c>
      <c r="F174" t="s">
        <v>898</v>
      </c>
      <c r="G174" t="s">
        <v>898</v>
      </c>
      <c r="H174" t="s">
        <v>898</v>
      </c>
      <c r="I174" t="s">
        <v>898</v>
      </c>
      <c r="J174" t="s">
        <v>898</v>
      </c>
      <c r="K174" t="s">
        <v>898</v>
      </c>
      <c r="L174" t="s">
        <v>898</v>
      </c>
      <c r="M174" t="s">
        <v>898</v>
      </c>
      <c r="N174" t="s">
        <v>898</v>
      </c>
      <c r="O174" t="s">
        <v>898</v>
      </c>
      <c r="P174" t="s">
        <v>898</v>
      </c>
      <c r="Q174" t="s">
        <v>898</v>
      </c>
      <c r="R174" t="s">
        <v>898</v>
      </c>
      <c r="S174" t="s">
        <v>898</v>
      </c>
      <c r="T174" t="s">
        <v>898</v>
      </c>
      <c r="U174" t="s">
        <v>898</v>
      </c>
      <c r="V174" t="s">
        <v>898</v>
      </c>
      <c r="W174" t="s">
        <v>898</v>
      </c>
      <c r="X174" t="s">
        <v>898</v>
      </c>
      <c r="Y174" t="e">
        <v>#REF!</v>
      </c>
      <c r="Z174" t="e">
        <v>#REF!</v>
      </c>
    </row>
    <row r="175">
      <c r="A175" t="s">
        <v>898</v>
      </c>
      <c r="B175" t="s">
        <v>898</v>
      </c>
      <c r="C175" t="s">
        <v>898</v>
      </c>
      <c r="D175" t="s">
        <v>898</v>
      </c>
      <c r="E175" t="s">
        <v>898</v>
      </c>
      <c r="F175" t="s">
        <v>898</v>
      </c>
      <c r="G175" t="s">
        <v>898</v>
      </c>
      <c r="H175" t="s">
        <v>898</v>
      </c>
      <c r="I175" t="s">
        <v>898</v>
      </c>
      <c r="J175" t="s">
        <v>898</v>
      </c>
      <c r="K175" t="s">
        <v>898</v>
      </c>
      <c r="L175" t="s">
        <v>898</v>
      </c>
      <c r="M175" t="s">
        <v>898</v>
      </c>
      <c r="N175" t="s">
        <v>898</v>
      </c>
      <c r="O175" t="s">
        <v>898</v>
      </c>
      <c r="P175" t="s">
        <v>898</v>
      </c>
      <c r="Q175" t="s">
        <v>898</v>
      </c>
      <c r="R175" t="s">
        <v>898</v>
      </c>
      <c r="S175" t="s">
        <v>898</v>
      </c>
      <c r="T175" t="s">
        <v>898</v>
      </c>
      <c r="U175" t="s">
        <v>898</v>
      </c>
      <c r="V175" t="s">
        <v>898</v>
      </c>
      <c r="W175" t="s">
        <v>898</v>
      </c>
      <c r="X175" t="s">
        <v>898</v>
      </c>
      <c r="Y175" t="e">
        <v>#REF!</v>
      </c>
      <c r="Z175" t="e">
        <v>#REF!</v>
      </c>
    </row>
    <row r="176">
      <c r="A176" t="s">
        <v>898</v>
      </c>
      <c r="B176" t="s">
        <v>898</v>
      </c>
      <c r="C176" t="s">
        <v>898</v>
      </c>
      <c r="D176" t="s">
        <v>898</v>
      </c>
      <c r="E176" t="s">
        <v>898</v>
      </c>
      <c r="F176" t="s">
        <v>898</v>
      </c>
      <c r="G176" t="s">
        <v>898</v>
      </c>
      <c r="H176" t="s">
        <v>898</v>
      </c>
      <c r="I176" t="s">
        <v>898</v>
      </c>
      <c r="J176" t="s">
        <v>898</v>
      </c>
      <c r="K176" t="s">
        <v>898</v>
      </c>
      <c r="L176" t="s">
        <v>898</v>
      </c>
      <c r="M176" t="s">
        <v>898</v>
      </c>
      <c r="N176" t="s">
        <v>898</v>
      </c>
      <c r="O176" t="s">
        <v>898</v>
      </c>
      <c r="P176" t="s">
        <v>898</v>
      </c>
      <c r="Q176" t="s">
        <v>898</v>
      </c>
      <c r="R176" t="s">
        <v>898</v>
      </c>
      <c r="S176" t="s">
        <v>898</v>
      </c>
      <c r="T176" t="s">
        <v>898</v>
      </c>
      <c r="U176" t="s">
        <v>898</v>
      </c>
      <c r="V176" t="s">
        <v>898</v>
      </c>
      <c r="W176" t="s">
        <v>898</v>
      </c>
      <c r="X176" t="s">
        <v>898</v>
      </c>
      <c r="Y176" t="e">
        <v>#REF!</v>
      </c>
      <c r="Z176" t="e">
        <v>#REF!</v>
      </c>
    </row>
    <row r="177">
      <c r="A177" t="s">
        <v>898</v>
      </c>
      <c r="B177" t="s">
        <v>898</v>
      </c>
      <c r="C177" t="s">
        <v>898</v>
      </c>
      <c r="D177" t="s">
        <v>898</v>
      </c>
      <c r="E177" t="s">
        <v>898</v>
      </c>
      <c r="F177" t="s">
        <v>898</v>
      </c>
      <c r="G177" t="s">
        <v>898</v>
      </c>
      <c r="H177" t="s">
        <v>898</v>
      </c>
      <c r="I177" t="s">
        <v>898</v>
      </c>
      <c r="J177" t="s">
        <v>898</v>
      </c>
      <c r="K177" t="s">
        <v>898</v>
      </c>
      <c r="L177" t="s">
        <v>898</v>
      </c>
      <c r="M177" t="s">
        <v>898</v>
      </c>
      <c r="N177" t="s">
        <v>898</v>
      </c>
      <c r="O177" t="s">
        <v>898</v>
      </c>
      <c r="P177" t="s">
        <v>898</v>
      </c>
      <c r="Q177" t="s">
        <v>898</v>
      </c>
      <c r="R177" t="s">
        <v>898</v>
      </c>
      <c r="S177" t="s">
        <v>898</v>
      </c>
      <c r="T177" t="s">
        <v>898</v>
      </c>
      <c r="U177" t="s">
        <v>898</v>
      </c>
      <c r="V177" t="s">
        <v>898</v>
      </c>
      <c r="W177" t="s">
        <v>898</v>
      </c>
      <c r="X177" t="s">
        <v>898</v>
      </c>
      <c r="Y177" t="e">
        <v>#REF!</v>
      </c>
      <c r="Z177" t="e">
        <v>#REF!</v>
      </c>
    </row>
    <row r="178">
      <c r="A178" t="s">
        <v>898</v>
      </c>
      <c r="B178" t="s">
        <v>898</v>
      </c>
      <c r="C178" t="s">
        <v>898</v>
      </c>
      <c r="D178" t="s">
        <v>898</v>
      </c>
      <c r="E178" t="s">
        <v>898</v>
      </c>
      <c r="F178" t="s">
        <v>898</v>
      </c>
      <c r="G178" t="s">
        <v>898</v>
      </c>
      <c r="H178" t="s">
        <v>898</v>
      </c>
      <c r="I178" t="s">
        <v>898</v>
      </c>
      <c r="J178" t="s">
        <v>898</v>
      </c>
      <c r="K178" t="s">
        <v>898</v>
      </c>
      <c r="L178" t="s">
        <v>898</v>
      </c>
      <c r="M178" t="s">
        <v>898</v>
      </c>
      <c r="N178" t="s">
        <v>898</v>
      </c>
      <c r="O178" t="s">
        <v>898</v>
      </c>
      <c r="P178" t="s">
        <v>898</v>
      </c>
      <c r="Q178" t="s">
        <v>898</v>
      </c>
      <c r="R178" t="s">
        <v>898</v>
      </c>
      <c r="S178" t="s">
        <v>898</v>
      </c>
      <c r="T178" t="s">
        <v>898</v>
      </c>
      <c r="U178" t="s">
        <v>898</v>
      </c>
      <c r="V178" t="s">
        <v>898</v>
      </c>
      <c r="W178" t="s">
        <v>898</v>
      </c>
      <c r="X178" t="s">
        <v>898</v>
      </c>
      <c r="Y178" t="e">
        <v>#REF!</v>
      </c>
      <c r="Z178" t="e">
        <v>#REF!</v>
      </c>
    </row>
    <row r="179">
      <c r="A179" t="s">
        <v>898</v>
      </c>
      <c r="B179" t="s">
        <v>898</v>
      </c>
      <c r="C179" t="s">
        <v>898</v>
      </c>
      <c r="D179" t="s">
        <v>898</v>
      </c>
      <c r="E179" t="s">
        <v>898</v>
      </c>
      <c r="F179" t="s">
        <v>898</v>
      </c>
      <c r="G179" t="s">
        <v>898</v>
      </c>
      <c r="H179" t="s">
        <v>898</v>
      </c>
      <c r="I179" t="s">
        <v>898</v>
      </c>
      <c r="J179" t="s">
        <v>898</v>
      </c>
      <c r="K179" t="s">
        <v>898</v>
      </c>
      <c r="L179" t="s">
        <v>898</v>
      </c>
      <c r="M179" t="s">
        <v>898</v>
      </c>
      <c r="N179" t="s">
        <v>898</v>
      </c>
      <c r="O179" t="s">
        <v>898</v>
      </c>
      <c r="P179" t="s">
        <v>898</v>
      </c>
      <c r="Q179" t="s">
        <v>898</v>
      </c>
      <c r="R179" t="s">
        <v>898</v>
      </c>
      <c r="S179" t="s">
        <v>898</v>
      </c>
      <c r="T179" t="s">
        <v>898</v>
      </c>
      <c r="U179" t="s">
        <v>898</v>
      </c>
      <c r="V179" t="s">
        <v>898</v>
      </c>
      <c r="W179" t="s">
        <v>898</v>
      </c>
      <c r="X179" t="s">
        <v>898</v>
      </c>
      <c r="Y179" t="e">
        <v>#REF!</v>
      </c>
      <c r="Z179" t="e">
        <v>#REF!</v>
      </c>
    </row>
    <row r="180">
      <c r="A180" t="s">
        <v>898</v>
      </c>
      <c r="B180" t="s">
        <v>898</v>
      </c>
      <c r="C180" t="s">
        <v>898</v>
      </c>
      <c r="D180" t="s">
        <v>898</v>
      </c>
      <c r="E180" t="s">
        <v>898</v>
      </c>
      <c r="F180" t="s">
        <v>898</v>
      </c>
      <c r="G180" t="s">
        <v>898</v>
      </c>
      <c r="H180" t="s">
        <v>898</v>
      </c>
      <c r="I180" t="s">
        <v>898</v>
      </c>
      <c r="J180" t="s">
        <v>898</v>
      </c>
      <c r="K180" t="s">
        <v>898</v>
      </c>
      <c r="L180" t="s">
        <v>898</v>
      </c>
      <c r="M180" t="s">
        <v>898</v>
      </c>
      <c r="N180" t="s">
        <v>898</v>
      </c>
      <c r="O180" t="s">
        <v>898</v>
      </c>
      <c r="P180" t="s">
        <v>898</v>
      </c>
      <c r="Q180" t="s">
        <v>898</v>
      </c>
      <c r="R180" t="s">
        <v>898</v>
      </c>
      <c r="S180" t="s">
        <v>898</v>
      </c>
      <c r="T180" t="s">
        <v>898</v>
      </c>
      <c r="U180" t="s">
        <v>898</v>
      </c>
      <c r="V180" t="s">
        <v>898</v>
      </c>
      <c r="W180" t="s">
        <v>898</v>
      </c>
      <c r="X180" t="s">
        <v>898</v>
      </c>
      <c r="Y180" t="e">
        <v>#REF!</v>
      </c>
      <c r="Z180" t="e">
        <v>#REF!</v>
      </c>
    </row>
    <row r="181">
      <c r="A181" t="s">
        <v>898</v>
      </c>
      <c r="B181" t="s">
        <v>898</v>
      </c>
      <c r="C181" t="s">
        <v>898</v>
      </c>
      <c r="D181" t="s">
        <v>898</v>
      </c>
      <c r="E181" t="s">
        <v>898</v>
      </c>
      <c r="F181" t="s">
        <v>898</v>
      </c>
      <c r="G181" t="s">
        <v>898</v>
      </c>
      <c r="H181" t="s">
        <v>898</v>
      </c>
      <c r="I181" t="s">
        <v>898</v>
      </c>
      <c r="J181" t="s">
        <v>898</v>
      </c>
      <c r="K181" t="s">
        <v>898</v>
      </c>
      <c r="L181" t="s">
        <v>898</v>
      </c>
      <c r="M181" t="s">
        <v>898</v>
      </c>
      <c r="N181" t="s">
        <v>898</v>
      </c>
      <c r="O181" t="s">
        <v>898</v>
      </c>
      <c r="P181" t="s">
        <v>898</v>
      </c>
      <c r="Q181" t="s">
        <v>898</v>
      </c>
      <c r="R181" t="s">
        <v>898</v>
      </c>
      <c r="S181" t="s">
        <v>898</v>
      </c>
      <c r="T181" t="s">
        <v>898</v>
      </c>
      <c r="U181" t="s">
        <v>898</v>
      </c>
      <c r="V181" t="s">
        <v>898</v>
      </c>
      <c r="W181" t="s">
        <v>898</v>
      </c>
      <c r="X181" t="s">
        <v>898</v>
      </c>
      <c r="Y181" t="e">
        <v>#REF!</v>
      </c>
      <c r="Z181" t="e">
        <v>#REF!</v>
      </c>
    </row>
    <row r="182">
      <c r="A182" t="s">
        <v>898</v>
      </c>
      <c r="B182" t="s">
        <v>898</v>
      </c>
      <c r="C182" t="s">
        <v>898</v>
      </c>
      <c r="D182" t="s">
        <v>898</v>
      </c>
      <c r="E182" t="s">
        <v>898</v>
      </c>
      <c r="F182" t="s">
        <v>898</v>
      </c>
      <c r="G182" t="s">
        <v>898</v>
      </c>
      <c r="H182" t="s">
        <v>898</v>
      </c>
      <c r="I182" t="s">
        <v>898</v>
      </c>
      <c r="J182" t="s">
        <v>898</v>
      </c>
      <c r="K182" t="s">
        <v>898</v>
      </c>
      <c r="L182" t="s">
        <v>898</v>
      </c>
      <c r="M182" t="s">
        <v>898</v>
      </c>
      <c r="N182" t="s">
        <v>898</v>
      </c>
      <c r="O182" t="s">
        <v>898</v>
      </c>
      <c r="P182" t="s">
        <v>898</v>
      </c>
      <c r="Q182" t="s">
        <v>898</v>
      </c>
      <c r="R182" t="s">
        <v>898</v>
      </c>
      <c r="S182" t="s">
        <v>898</v>
      </c>
      <c r="T182" t="s">
        <v>898</v>
      </c>
      <c r="U182" t="s">
        <v>898</v>
      </c>
      <c r="V182" t="s">
        <v>898</v>
      </c>
      <c r="W182" t="s">
        <v>898</v>
      </c>
      <c r="X182" t="s">
        <v>898</v>
      </c>
      <c r="Y182" t="e">
        <v>#REF!</v>
      </c>
      <c r="Z182" t="e">
        <v>#REF!</v>
      </c>
    </row>
    <row r="183">
      <c r="A183" t="s">
        <v>898</v>
      </c>
      <c r="B183" t="s">
        <v>898</v>
      </c>
      <c r="C183" t="s">
        <v>898</v>
      </c>
      <c r="D183" t="s">
        <v>898</v>
      </c>
      <c r="E183" t="s">
        <v>898</v>
      </c>
      <c r="F183" t="s">
        <v>898</v>
      </c>
      <c r="G183" t="s">
        <v>898</v>
      </c>
      <c r="H183" t="s">
        <v>898</v>
      </c>
      <c r="I183" t="s">
        <v>898</v>
      </c>
      <c r="J183" t="s">
        <v>898</v>
      </c>
      <c r="K183" t="s">
        <v>898</v>
      </c>
      <c r="L183" t="s">
        <v>898</v>
      </c>
      <c r="M183" t="s">
        <v>898</v>
      </c>
      <c r="N183" t="s">
        <v>898</v>
      </c>
      <c r="O183" t="s">
        <v>898</v>
      </c>
      <c r="P183" t="s">
        <v>898</v>
      </c>
      <c r="Q183" t="s">
        <v>898</v>
      </c>
      <c r="R183" t="s">
        <v>898</v>
      </c>
      <c r="S183" t="s">
        <v>898</v>
      </c>
      <c r="T183" t="s">
        <v>898</v>
      </c>
      <c r="U183" t="s">
        <v>898</v>
      </c>
      <c r="V183" t="s">
        <v>898</v>
      </c>
      <c r="W183" t="s">
        <v>898</v>
      </c>
      <c r="X183" t="s">
        <v>898</v>
      </c>
      <c r="Y183" t="e">
        <v>#REF!</v>
      </c>
      <c r="Z183" t="e">
        <v>#REF!</v>
      </c>
    </row>
    <row r="184">
      <c r="A184" t="s">
        <v>898</v>
      </c>
      <c r="B184" t="s">
        <v>898</v>
      </c>
      <c r="C184" t="s">
        <v>898</v>
      </c>
      <c r="D184" t="s">
        <v>898</v>
      </c>
      <c r="E184" t="s">
        <v>898</v>
      </c>
      <c r="F184" t="s">
        <v>898</v>
      </c>
      <c r="G184" t="s">
        <v>898</v>
      </c>
      <c r="H184" t="s">
        <v>898</v>
      </c>
      <c r="I184" t="s">
        <v>898</v>
      </c>
      <c r="J184" t="s">
        <v>898</v>
      </c>
      <c r="K184" t="s">
        <v>898</v>
      </c>
      <c r="L184" t="s">
        <v>898</v>
      </c>
      <c r="M184" t="s">
        <v>898</v>
      </c>
      <c r="N184" t="s">
        <v>898</v>
      </c>
      <c r="O184" t="s">
        <v>898</v>
      </c>
      <c r="P184" t="s">
        <v>898</v>
      </c>
      <c r="Q184" t="s">
        <v>898</v>
      </c>
      <c r="R184" t="s">
        <v>898</v>
      </c>
      <c r="S184" t="s">
        <v>898</v>
      </c>
      <c r="T184" t="s">
        <v>898</v>
      </c>
      <c r="U184" t="s">
        <v>898</v>
      </c>
      <c r="V184" t="s">
        <v>898</v>
      </c>
      <c r="W184" t="s">
        <v>898</v>
      </c>
      <c r="X184" t="s">
        <v>898</v>
      </c>
      <c r="Y184" t="e">
        <v>#REF!</v>
      </c>
      <c r="Z184" t="e">
        <v>#REF!</v>
      </c>
    </row>
    <row r="185">
      <c r="A185" t="s">
        <v>898</v>
      </c>
      <c r="B185" t="s">
        <v>898</v>
      </c>
      <c r="C185" t="s">
        <v>898</v>
      </c>
      <c r="D185" t="s">
        <v>898</v>
      </c>
      <c r="E185" t="s">
        <v>898</v>
      </c>
      <c r="F185" t="s">
        <v>898</v>
      </c>
      <c r="G185" t="s">
        <v>898</v>
      </c>
      <c r="H185" t="s">
        <v>898</v>
      </c>
      <c r="I185" t="s">
        <v>898</v>
      </c>
      <c r="J185" t="s">
        <v>898</v>
      </c>
      <c r="K185" t="s">
        <v>898</v>
      </c>
      <c r="L185" t="s">
        <v>898</v>
      </c>
      <c r="M185" t="s">
        <v>898</v>
      </c>
      <c r="N185" t="s">
        <v>898</v>
      </c>
      <c r="O185" t="s">
        <v>898</v>
      </c>
      <c r="P185" t="s">
        <v>898</v>
      </c>
      <c r="Q185" t="s">
        <v>898</v>
      </c>
      <c r="R185" t="s">
        <v>898</v>
      </c>
      <c r="S185" t="s">
        <v>898</v>
      </c>
      <c r="T185" t="s">
        <v>898</v>
      </c>
      <c r="U185" t="s">
        <v>898</v>
      </c>
      <c r="V185" t="s">
        <v>898</v>
      </c>
      <c r="W185" t="s">
        <v>898</v>
      </c>
      <c r="X185" t="s">
        <v>898</v>
      </c>
      <c r="Y185" t="e">
        <v>#REF!</v>
      </c>
      <c r="Z185" t="e">
        <v>#REF!</v>
      </c>
    </row>
    <row r="186">
      <c r="A186" t="s">
        <v>898</v>
      </c>
      <c r="B186" t="s">
        <v>898</v>
      </c>
      <c r="C186" t="s">
        <v>898</v>
      </c>
      <c r="D186" t="s">
        <v>898</v>
      </c>
      <c r="E186" t="s">
        <v>898</v>
      </c>
      <c r="F186" t="s">
        <v>898</v>
      </c>
      <c r="G186" t="s">
        <v>898</v>
      </c>
      <c r="H186" t="s">
        <v>898</v>
      </c>
      <c r="I186" t="s">
        <v>898</v>
      </c>
      <c r="J186" t="s">
        <v>898</v>
      </c>
      <c r="K186" t="s">
        <v>898</v>
      </c>
      <c r="L186" t="s">
        <v>898</v>
      </c>
      <c r="M186" t="s">
        <v>898</v>
      </c>
      <c r="N186" t="s">
        <v>898</v>
      </c>
      <c r="O186" t="s">
        <v>898</v>
      </c>
      <c r="P186" t="s">
        <v>898</v>
      </c>
      <c r="Q186" t="s">
        <v>898</v>
      </c>
      <c r="R186" t="s">
        <v>898</v>
      </c>
      <c r="S186" t="s">
        <v>898</v>
      </c>
      <c r="T186" t="s">
        <v>898</v>
      </c>
      <c r="U186" t="s">
        <v>898</v>
      </c>
      <c r="V186" t="s">
        <v>898</v>
      </c>
      <c r="W186" t="s">
        <v>898</v>
      </c>
      <c r="X186" t="s">
        <v>898</v>
      </c>
      <c r="Y186" t="e">
        <v>#REF!</v>
      </c>
      <c r="Z186" t="e">
        <v>#REF!</v>
      </c>
    </row>
    <row r="187">
      <c r="A187" t="s">
        <v>898</v>
      </c>
      <c r="B187" t="s">
        <v>898</v>
      </c>
      <c r="C187" t="s">
        <v>898</v>
      </c>
      <c r="D187" t="s">
        <v>898</v>
      </c>
      <c r="E187" t="s">
        <v>898</v>
      </c>
      <c r="F187" t="s">
        <v>898</v>
      </c>
      <c r="G187" t="s">
        <v>898</v>
      </c>
      <c r="H187" t="s">
        <v>898</v>
      </c>
      <c r="I187" t="s">
        <v>898</v>
      </c>
      <c r="J187" t="s">
        <v>898</v>
      </c>
      <c r="K187" t="s">
        <v>898</v>
      </c>
      <c r="L187" t="s">
        <v>898</v>
      </c>
      <c r="M187" t="s">
        <v>898</v>
      </c>
      <c r="N187" t="s">
        <v>898</v>
      </c>
      <c r="O187" t="s">
        <v>898</v>
      </c>
      <c r="P187" t="s">
        <v>898</v>
      </c>
      <c r="Q187" t="s">
        <v>898</v>
      </c>
      <c r="R187" t="s">
        <v>898</v>
      </c>
      <c r="S187" t="s">
        <v>898</v>
      </c>
      <c r="T187" t="s">
        <v>898</v>
      </c>
      <c r="U187" t="s">
        <v>898</v>
      </c>
      <c r="V187" t="s">
        <v>898</v>
      </c>
      <c r="W187" t="s">
        <v>898</v>
      </c>
      <c r="X187" t="s">
        <v>898</v>
      </c>
      <c r="Y187" t="e">
        <v>#REF!</v>
      </c>
      <c r="Z187" t="e">
        <v>#REF!</v>
      </c>
    </row>
    <row r="188">
      <c r="A188" t="s">
        <v>898</v>
      </c>
      <c r="B188" t="s">
        <v>898</v>
      </c>
      <c r="C188" t="s">
        <v>898</v>
      </c>
      <c r="D188" t="s">
        <v>898</v>
      </c>
      <c r="E188" t="s">
        <v>898</v>
      </c>
      <c r="F188" t="s">
        <v>898</v>
      </c>
      <c r="G188" t="s">
        <v>898</v>
      </c>
      <c r="H188" t="s">
        <v>898</v>
      </c>
      <c r="I188" t="s">
        <v>898</v>
      </c>
      <c r="J188" t="s">
        <v>898</v>
      </c>
      <c r="K188" t="s">
        <v>898</v>
      </c>
      <c r="L188" t="s">
        <v>898</v>
      </c>
      <c r="M188" t="s">
        <v>898</v>
      </c>
      <c r="N188" t="s">
        <v>898</v>
      </c>
      <c r="O188" t="s">
        <v>898</v>
      </c>
      <c r="P188" t="s">
        <v>898</v>
      </c>
      <c r="Q188" t="s">
        <v>898</v>
      </c>
      <c r="R188" t="s">
        <v>898</v>
      </c>
      <c r="S188" t="s">
        <v>898</v>
      </c>
      <c r="T188" t="s">
        <v>898</v>
      </c>
      <c r="U188" t="s">
        <v>898</v>
      </c>
      <c r="V188" t="s">
        <v>898</v>
      </c>
      <c r="W188" t="s">
        <v>898</v>
      </c>
      <c r="X188" t="s">
        <v>898</v>
      </c>
      <c r="Y188" t="e">
        <v>#REF!</v>
      </c>
      <c r="Z188" t="e">
        <v>#REF!</v>
      </c>
    </row>
    <row r="189">
      <c r="A189" t="s">
        <v>898</v>
      </c>
      <c r="B189" t="s">
        <v>898</v>
      </c>
      <c r="C189" t="s">
        <v>898</v>
      </c>
      <c r="D189" t="s">
        <v>898</v>
      </c>
      <c r="E189" t="s">
        <v>898</v>
      </c>
      <c r="F189" t="s">
        <v>898</v>
      </c>
      <c r="G189" t="s">
        <v>898</v>
      </c>
      <c r="H189" t="s">
        <v>898</v>
      </c>
      <c r="I189" t="s">
        <v>898</v>
      </c>
      <c r="J189" t="s">
        <v>898</v>
      </c>
      <c r="K189" t="s">
        <v>898</v>
      </c>
      <c r="L189" t="s">
        <v>898</v>
      </c>
      <c r="M189" t="s">
        <v>898</v>
      </c>
      <c r="N189" t="s">
        <v>898</v>
      </c>
      <c r="O189" t="s">
        <v>898</v>
      </c>
      <c r="P189" t="s">
        <v>898</v>
      </c>
      <c r="Q189" t="s">
        <v>898</v>
      </c>
      <c r="R189" t="s">
        <v>898</v>
      </c>
      <c r="S189" t="s">
        <v>898</v>
      </c>
      <c r="T189" t="s">
        <v>898</v>
      </c>
      <c r="U189" t="s">
        <v>898</v>
      </c>
      <c r="V189" t="s">
        <v>898</v>
      </c>
      <c r="W189" t="s">
        <v>898</v>
      </c>
      <c r="X189" t="s">
        <v>898</v>
      </c>
      <c r="Y189" t="e">
        <v>#REF!</v>
      </c>
      <c r="Z189" t="e">
        <v>#REF!</v>
      </c>
    </row>
    <row r="190">
      <c r="A190" t="s">
        <v>898</v>
      </c>
      <c r="B190" t="s">
        <v>898</v>
      </c>
      <c r="C190" t="s">
        <v>898</v>
      </c>
      <c r="D190" t="s">
        <v>898</v>
      </c>
      <c r="E190" t="s">
        <v>898</v>
      </c>
      <c r="F190" t="s">
        <v>898</v>
      </c>
      <c r="G190" t="s">
        <v>898</v>
      </c>
      <c r="H190" t="s">
        <v>898</v>
      </c>
      <c r="I190" t="s">
        <v>898</v>
      </c>
      <c r="J190" t="s">
        <v>898</v>
      </c>
      <c r="K190" t="s">
        <v>898</v>
      </c>
      <c r="L190" t="s">
        <v>898</v>
      </c>
      <c r="M190" t="s">
        <v>898</v>
      </c>
      <c r="N190" t="s">
        <v>898</v>
      </c>
      <c r="O190" t="s">
        <v>898</v>
      </c>
      <c r="P190" t="s">
        <v>898</v>
      </c>
      <c r="Q190" t="s">
        <v>898</v>
      </c>
      <c r="R190" t="s">
        <v>898</v>
      </c>
      <c r="S190" t="s">
        <v>898</v>
      </c>
      <c r="T190" t="s">
        <v>898</v>
      </c>
      <c r="U190" t="s">
        <v>898</v>
      </c>
      <c r="V190" t="s">
        <v>898</v>
      </c>
      <c r="W190" t="s">
        <v>898</v>
      </c>
      <c r="X190" t="s">
        <v>898</v>
      </c>
      <c r="Y190" t="e">
        <v>#REF!</v>
      </c>
      <c r="Z190" t="e">
        <v>#REF!</v>
      </c>
    </row>
    <row r="191">
      <c r="A191" t="s">
        <v>898</v>
      </c>
      <c r="B191" t="s">
        <v>898</v>
      </c>
      <c r="C191" t="s">
        <v>898</v>
      </c>
      <c r="D191" t="s">
        <v>898</v>
      </c>
      <c r="E191" t="s">
        <v>898</v>
      </c>
      <c r="F191" t="s">
        <v>898</v>
      </c>
      <c r="G191" t="s">
        <v>898</v>
      </c>
      <c r="H191" t="s">
        <v>898</v>
      </c>
      <c r="I191" t="s">
        <v>898</v>
      </c>
      <c r="J191" t="s">
        <v>898</v>
      </c>
      <c r="K191" t="s">
        <v>898</v>
      </c>
      <c r="L191" t="s">
        <v>898</v>
      </c>
      <c r="M191" t="s">
        <v>898</v>
      </c>
      <c r="N191" t="s">
        <v>898</v>
      </c>
      <c r="O191" t="s">
        <v>898</v>
      </c>
      <c r="P191" t="s">
        <v>898</v>
      </c>
      <c r="Q191" t="s">
        <v>898</v>
      </c>
      <c r="R191" t="s">
        <v>898</v>
      </c>
      <c r="S191" t="s">
        <v>898</v>
      </c>
      <c r="T191" t="s">
        <v>898</v>
      </c>
      <c r="U191" t="s">
        <v>898</v>
      </c>
      <c r="V191" t="s">
        <v>898</v>
      </c>
      <c r="W191" t="s">
        <v>898</v>
      </c>
      <c r="X191" t="s">
        <v>898</v>
      </c>
      <c r="Y191" t="e">
        <v>#REF!</v>
      </c>
      <c r="Z191" t="e">
        <v>#REF!</v>
      </c>
    </row>
    <row r="192">
      <c r="A192" t="s">
        <v>898</v>
      </c>
      <c r="B192" t="s">
        <v>898</v>
      </c>
      <c r="C192" t="s">
        <v>898</v>
      </c>
      <c r="D192" t="s">
        <v>898</v>
      </c>
      <c r="E192" t="s">
        <v>898</v>
      </c>
      <c r="F192" t="s">
        <v>898</v>
      </c>
      <c r="G192" t="s">
        <v>898</v>
      </c>
      <c r="H192" t="s">
        <v>898</v>
      </c>
      <c r="I192" t="s">
        <v>898</v>
      </c>
      <c r="J192" t="s">
        <v>898</v>
      </c>
      <c r="K192" t="s">
        <v>898</v>
      </c>
      <c r="L192" t="s">
        <v>898</v>
      </c>
      <c r="M192" t="s">
        <v>898</v>
      </c>
      <c r="N192" t="s">
        <v>898</v>
      </c>
      <c r="O192" t="s">
        <v>898</v>
      </c>
      <c r="P192" t="s">
        <v>898</v>
      </c>
      <c r="Q192" t="s">
        <v>898</v>
      </c>
      <c r="R192" t="s">
        <v>898</v>
      </c>
      <c r="S192" t="s">
        <v>898</v>
      </c>
      <c r="T192" t="s">
        <v>898</v>
      </c>
      <c r="U192" t="s">
        <v>898</v>
      </c>
      <c r="V192" t="s">
        <v>898</v>
      </c>
      <c r="W192" t="s">
        <v>898</v>
      </c>
      <c r="X192" t="s">
        <v>898</v>
      </c>
      <c r="Y192" t="e">
        <v>#REF!</v>
      </c>
      <c r="Z192" t="e">
        <v>#REF!</v>
      </c>
    </row>
    <row r="193">
      <c r="A193" t="s">
        <v>898</v>
      </c>
      <c r="B193" t="s">
        <v>898</v>
      </c>
      <c r="C193" t="s">
        <v>898</v>
      </c>
      <c r="D193" t="s">
        <v>898</v>
      </c>
      <c r="E193" t="s">
        <v>898</v>
      </c>
      <c r="F193" t="s">
        <v>898</v>
      </c>
      <c r="G193" t="s">
        <v>898</v>
      </c>
      <c r="H193" t="s">
        <v>898</v>
      </c>
      <c r="I193" t="s">
        <v>898</v>
      </c>
      <c r="J193" t="s">
        <v>898</v>
      </c>
      <c r="K193" t="s">
        <v>898</v>
      </c>
      <c r="L193" t="s">
        <v>898</v>
      </c>
      <c r="M193" t="s">
        <v>898</v>
      </c>
      <c r="N193" t="s">
        <v>898</v>
      </c>
      <c r="O193" t="s">
        <v>898</v>
      </c>
      <c r="P193" t="s">
        <v>898</v>
      </c>
      <c r="Q193" t="s">
        <v>898</v>
      </c>
      <c r="R193" t="s">
        <v>898</v>
      </c>
      <c r="S193" t="s">
        <v>898</v>
      </c>
      <c r="T193" t="s">
        <v>898</v>
      </c>
      <c r="U193" t="s">
        <v>898</v>
      </c>
      <c r="V193" t="s">
        <v>898</v>
      </c>
      <c r="W193" t="s">
        <v>898</v>
      </c>
      <c r="X193" t="s">
        <v>898</v>
      </c>
      <c r="Y193" t="e">
        <v>#REF!</v>
      </c>
      <c r="Z193" t="e">
        <v>#REF!</v>
      </c>
    </row>
    <row r="194">
      <c r="A194" t="s">
        <v>898</v>
      </c>
      <c r="B194" t="s">
        <v>898</v>
      </c>
      <c r="C194" t="s">
        <v>898</v>
      </c>
      <c r="D194" t="s">
        <v>898</v>
      </c>
      <c r="E194" t="s">
        <v>898</v>
      </c>
      <c r="F194" t="s">
        <v>898</v>
      </c>
      <c r="G194" t="s">
        <v>898</v>
      </c>
      <c r="H194" t="s">
        <v>898</v>
      </c>
      <c r="I194" t="s">
        <v>898</v>
      </c>
      <c r="J194" t="s">
        <v>898</v>
      </c>
      <c r="K194" t="s">
        <v>898</v>
      </c>
      <c r="L194" t="s">
        <v>898</v>
      </c>
      <c r="M194" t="s">
        <v>898</v>
      </c>
      <c r="N194" t="s">
        <v>898</v>
      </c>
      <c r="O194" t="s">
        <v>898</v>
      </c>
      <c r="P194" t="s">
        <v>898</v>
      </c>
      <c r="Q194" t="s">
        <v>898</v>
      </c>
      <c r="R194" t="s">
        <v>898</v>
      </c>
      <c r="S194" t="s">
        <v>898</v>
      </c>
      <c r="T194" t="s">
        <v>898</v>
      </c>
      <c r="U194" t="s">
        <v>898</v>
      </c>
      <c r="V194" t="s">
        <v>898</v>
      </c>
      <c r="W194" t="s">
        <v>898</v>
      </c>
      <c r="X194" t="s">
        <v>898</v>
      </c>
      <c r="Y194" t="e">
        <v>#REF!</v>
      </c>
      <c r="Z194" t="e">
        <v>#REF!</v>
      </c>
    </row>
    <row r="195">
      <c r="A195" t="s">
        <v>898</v>
      </c>
      <c r="B195" t="s">
        <v>898</v>
      </c>
      <c r="C195" t="s">
        <v>898</v>
      </c>
      <c r="D195" t="s">
        <v>898</v>
      </c>
      <c r="E195" t="s">
        <v>898</v>
      </c>
      <c r="F195" t="s">
        <v>898</v>
      </c>
      <c r="G195" t="s">
        <v>898</v>
      </c>
      <c r="H195" t="s">
        <v>898</v>
      </c>
      <c r="I195" t="s">
        <v>898</v>
      </c>
      <c r="J195" t="s">
        <v>898</v>
      </c>
      <c r="K195" t="s">
        <v>898</v>
      </c>
      <c r="L195" t="s">
        <v>898</v>
      </c>
      <c r="M195" t="s">
        <v>898</v>
      </c>
      <c r="N195" t="s">
        <v>898</v>
      </c>
      <c r="O195" t="s">
        <v>898</v>
      </c>
      <c r="P195" t="s">
        <v>898</v>
      </c>
      <c r="Q195" t="s">
        <v>898</v>
      </c>
      <c r="R195" t="s">
        <v>898</v>
      </c>
      <c r="S195" t="s">
        <v>898</v>
      </c>
      <c r="T195" t="s">
        <v>898</v>
      </c>
      <c r="U195" t="s">
        <v>898</v>
      </c>
      <c r="V195" t="s">
        <v>898</v>
      </c>
      <c r="W195" t="s">
        <v>898</v>
      </c>
      <c r="X195" t="s">
        <v>898</v>
      </c>
      <c r="Y195" t="e">
        <v>#REF!</v>
      </c>
      <c r="Z195" t="e">
        <v>#REF!</v>
      </c>
    </row>
    <row r="196">
      <c r="A196" t="s">
        <v>898</v>
      </c>
      <c r="B196" t="s">
        <v>898</v>
      </c>
      <c r="C196" t="s">
        <v>898</v>
      </c>
      <c r="D196" t="s">
        <v>898</v>
      </c>
      <c r="E196" t="s">
        <v>898</v>
      </c>
      <c r="F196" t="s">
        <v>898</v>
      </c>
      <c r="G196" t="s">
        <v>898</v>
      </c>
      <c r="H196" t="s">
        <v>898</v>
      </c>
      <c r="I196" t="s">
        <v>898</v>
      </c>
      <c r="J196" t="s">
        <v>898</v>
      </c>
      <c r="K196" t="s">
        <v>898</v>
      </c>
      <c r="L196" t="s">
        <v>898</v>
      </c>
      <c r="M196" t="s">
        <v>898</v>
      </c>
      <c r="N196" t="s">
        <v>898</v>
      </c>
      <c r="O196" t="s">
        <v>898</v>
      </c>
      <c r="P196" t="s">
        <v>898</v>
      </c>
      <c r="Q196" t="s">
        <v>898</v>
      </c>
      <c r="R196" t="s">
        <v>898</v>
      </c>
      <c r="S196" t="s">
        <v>898</v>
      </c>
      <c r="T196" t="s">
        <v>898</v>
      </c>
      <c r="U196" t="s">
        <v>898</v>
      </c>
      <c r="V196" t="s">
        <v>898</v>
      </c>
      <c r="W196" t="s">
        <v>898</v>
      </c>
      <c r="X196" t="s">
        <v>898</v>
      </c>
      <c r="Y196" t="e">
        <v>#REF!</v>
      </c>
      <c r="Z196" t="e">
        <v>#REF!</v>
      </c>
    </row>
    <row r="197">
      <c r="A197" t="s">
        <v>898</v>
      </c>
      <c r="B197" t="s">
        <v>898</v>
      </c>
      <c r="C197" t="s">
        <v>898</v>
      </c>
      <c r="D197" t="s">
        <v>898</v>
      </c>
      <c r="E197" t="s">
        <v>898</v>
      </c>
      <c r="F197" t="s">
        <v>898</v>
      </c>
      <c r="G197" t="s">
        <v>898</v>
      </c>
      <c r="H197" t="s">
        <v>898</v>
      </c>
      <c r="I197" t="s">
        <v>898</v>
      </c>
      <c r="J197" t="s">
        <v>898</v>
      </c>
      <c r="K197" t="s">
        <v>898</v>
      </c>
      <c r="L197" t="s">
        <v>898</v>
      </c>
      <c r="M197" t="s">
        <v>898</v>
      </c>
      <c r="N197" t="s">
        <v>898</v>
      </c>
      <c r="O197" t="s">
        <v>898</v>
      </c>
      <c r="P197" t="s">
        <v>898</v>
      </c>
      <c r="Q197" t="s">
        <v>898</v>
      </c>
      <c r="R197" t="s">
        <v>898</v>
      </c>
      <c r="S197" t="s">
        <v>898</v>
      </c>
      <c r="T197" t="s">
        <v>898</v>
      </c>
      <c r="U197" t="s">
        <v>898</v>
      </c>
      <c r="V197" t="s">
        <v>898</v>
      </c>
      <c r="W197" t="s">
        <v>898</v>
      </c>
      <c r="X197" t="s">
        <v>898</v>
      </c>
      <c r="Y197" t="e">
        <v>#REF!</v>
      </c>
      <c r="Z197" t="e">
        <v>#REF!</v>
      </c>
    </row>
    <row r="198">
      <c r="A198" t="s">
        <v>898</v>
      </c>
      <c r="B198" t="s">
        <v>898</v>
      </c>
      <c r="C198" t="s">
        <v>898</v>
      </c>
      <c r="D198" t="s">
        <v>898</v>
      </c>
      <c r="E198" t="s">
        <v>898</v>
      </c>
      <c r="F198" t="s">
        <v>898</v>
      </c>
      <c r="G198" t="s">
        <v>898</v>
      </c>
      <c r="H198" t="s">
        <v>898</v>
      </c>
      <c r="I198" t="s">
        <v>898</v>
      </c>
      <c r="J198" t="s">
        <v>898</v>
      </c>
      <c r="K198" t="s">
        <v>898</v>
      </c>
      <c r="L198" t="s">
        <v>898</v>
      </c>
      <c r="M198" t="s">
        <v>898</v>
      </c>
      <c r="N198" t="s">
        <v>898</v>
      </c>
      <c r="O198" t="s">
        <v>898</v>
      </c>
      <c r="P198" t="s">
        <v>898</v>
      </c>
      <c r="Q198" t="s">
        <v>898</v>
      </c>
      <c r="R198" t="s">
        <v>898</v>
      </c>
      <c r="S198" t="s">
        <v>898</v>
      </c>
      <c r="T198" t="s">
        <v>898</v>
      </c>
      <c r="U198" t="s">
        <v>898</v>
      </c>
      <c r="V198" t="s">
        <v>898</v>
      </c>
      <c r="W198" t="s">
        <v>898</v>
      </c>
      <c r="X198" t="s">
        <v>898</v>
      </c>
      <c r="Y198" t="e">
        <v>#REF!</v>
      </c>
      <c r="Z198" t="e">
        <v>#REF!</v>
      </c>
    </row>
    <row r="199">
      <c r="A199" t="s">
        <v>898</v>
      </c>
      <c r="B199" t="s">
        <v>898</v>
      </c>
      <c r="C199" t="s">
        <v>898</v>
      </c>
      <c r="D199" t="s">
        <v>898</v>
      </c>
      <c r="E199" t="s">
        <v>898</v>
      </c>
      <c r="F199" t="s">
        <v>898</v>
      </c>
      <c r="G199" t="s">
        <v>898</v>
      </c>
      <c r="H199" t="s">
        <v>898</v>
      </c>
      <c r="I199" t="s">
        <v>898</v>
      </c>
      <c r="J199" t="s">
        <v>898</v>
      </c>
      <c r="K199" t="s">
        <v>898</v>
      </c>
      <c r="L199" t="s">
        <v>898</v>
      </c>
      <c r="M199" t="s">
        <v>898</v>
      </c>
      <c r="N199" t="s">
        <v>898</v>
      </c>
      <c r="O199" t="s">
        <v>898</v>
      </c>
      <c r="P199" t="s">
        <v>898</v>
      </c>
      <c r="Q199" t="s">
        <v>898</v>
      </c>
      <c r="R199" t="s">
        <v>898</v>
      </c>
      <c r="S199" t="s">
        <v>898</v>
      </c>
      <c r="T199" t="s">
        <v>898</v>
      </c>
      <c r="U199" t="s">
        <v>898</v>
      </c>
      <c r="V199" t="s">
        <v>898</v>
      </c>
      <c r="W199" t="s">
        <v>898</v>
      </c>
      <c r="X199" t="s">
        <v>898</v>
      </c>
      <c r="Y199" t="e">
        <v>#REF!</v>
      </c>
      <c r="Z199" t="e">
        <v>#REF!</v>
      </c>
    </row>
    <row r="200">
      <c r="A200" t="s">
        <v>898</v>
      </c>
      <c r="B200" t="s">
        <v>898</v>
      </c>
      <c r="C200" t="s">
        <v>898</v>
      </c>
      <c r="D200" t="s">
        <v>898</v>
      </c>
      <c r="E200" t="s">
        <v>898</v>
      </c>
      <c r="F200" t="s">
        <v>898</v>
      </c>
      <c r="G200" t="s">
        <v>898</v>
      </c>
      <c r="H200" t="s">
        <v>898</v>
      </c>
      <c r="I200" t="s">
        <v>898</v>
      </c>
      <c r="J200" t="s">
        <v>898</v>
      </c>
      <c r="K200" t="s">
        <v>898</v>
      </c>
      <c r="L200" t="s">
        <v>898</v>
      </c>
      <c r="M200" t="s">
        <v>898</v>
      </c>
      <c r="N200" t="s">
        <v>898</v>
      </c>
      <c r="O200" t="s">
        <v>898</v>
      </c>
      <c r="P200" t="s">
        <v>898</v>
      </c>
      <c r="Q200" t="s">
        <v>898</v>
      </c>
      <c r="R200" t="s">
        <v>898</v>
      </c>
      <c r="S200" t="s">
        <v>898</v>
      </c>
      <c r="T200" t="s">
        <v>898</v>
      </c>
      <c r="U200" t="s">
        <v>898</v>
      </c>
      <c r="V200" t="s">
        <v>898</v>
      </c>
      <c r="W200" t="s">
        <v>898</v>
      </c>
      <c r="X200" t="s">
        <v>898</v>
      </c>
      <c r="Y200" t="e">
        <v>#REF!</v>
      </c>
      <c r="Z200" t="e">
        <v>#REF!</v>
      </c>
    </row>
    <row r="201">
      <c r="A201" t="s">
        <v>898</v>
      </c>
      <c r="B201" t="s">
        <v>898</v>
      </c>
      <c r="C201" t="s">
        <v>898</v>
      </c>
      <c r="D201" t="s">
        <v>898</v>
      </c>
      <c r="E201" t="s">
        <v>898</v>
      </c>
      <c r="F201" t="s">
        <v>898</v>
      </c>
      <c r="G201" t="s">
        <v>898</v>
      </c>
      <c r="H201" t="s">
        <v>898</v>
      </c>
      <c r="I201" t="s">
        <v>898</v>
      </c>
      <c r="J201" t="s">
        <v>898</v>
      </c>
      <c r="K201" t="s">
        <v>898</v>
      </c>
      <c r="L201" t="s">
        <v>898</v>
      </c>
      <c r="M201" t="s">
        <v>898</v>
      </c>
      <c r="N201" t="s">
        <v>898</v>
      </c>
      <c r="O201" t="s">
        <v>898</v>
      </c>
      <c r="P201" t="s">
        <v>898</v>
      </c>
      <c r="Q201" t="s">
        <v>898</v>
      </c>
      <c r="R201" t="s">
        <v>898</v>
      </c>
      <c r="S201" t="s">
        <v>898</v>
      </c>
      <c r="T201" t="s">
        <v>898</v>
      </c>
      <c r="U201" t="s">
        <v>898</v>
      </c>
      <c r="V201" t="s">
        <v>898</v>
      </c>
      <c r="W201" t="s">
        <v>898</v>
      </c>
      <c r="X201" t="s">
        <v>898</v>
      </c>
      <c r="Y201" t="e">
        <v>#REF!</v>
      </c>
      <c r="Z201" t="e">
        <v>#REF!</v>
      </c>
    </row>
    <row r="202">
      <c r="A202" t="s">
        <v>898</v>
      </c>
      <c r="B202" t="s">
        <v>898</v>
      </c>
      <c r="C202" t="s">
        <v>898</v>
      </c>
      <c r="D202" t="s">
        <v>898</v>
      </c>
      <c r="E202" t="s">
        <v>898</v>
      </c>
      <c r="F202" t="s">
        <v>898</v>
      </c>
      <c r="G202" t="s">
        <v>898</v>
      </c>
      <c r="H202" t="s">
        <v>898</v>
      </c>
      <c r="I202" t="s">
        <v>898</v>
      </c>
      <c r="J202" t="s">
        <v>898</v>
      </c>
      <c r="K202" t="s">
        <v>898</v>
      </c>
      <c r="L202" t="s">
        <v>898</v>
      </c>
      <c r="M202" t="s">
        <v>898</v>
      </c>
      <c r="N202" t="s">
        <v>898</v>
      </c>
      <c r="O202" t="s">
        <v>898</v>
      </c>
      <c r="P202" t="s">
        <v>898</v>
      </c>
      <c r="Q202" t="s">
        <v>898</v>
      </c>
      <c r="R202" t="s">
        <v>898</v>
      </c>
      <c r="S202" t="s">
        <v>898</v>
      </c>
      <c r="T202" t="s">
        <v>898</v>
      </c>
      <c r="U202" t="s">
        <v>898</v>
      </c>
      <c r="V202" t="s">
        <v>898</v>
      </c>
      <c r="W202" t="s">
        <v>898</v>
      </c>
      <c r="X202" t="s">
        <v>898</v>
      </c>
      <c r="Y202" t="e">
        <v>#REF!</v>
      </c>
      <c r="Z202" t="e">
        <v>#REF!</v>
      </c>
    </row>
    <row r="203">
      <c r="A203" t="s">
        <v>898</v>
      </c>
      <c r="B203" t="s">
        <v>898</v>
      </c>
      <c r="C203" t="s">
        <v>898</v>
      </c>
      <c r="D203" t="s">
        <v>898</v>
      </c>
      <c r="E203" t="s">
        <v>898</v>
      </c>
      <c r="F203" t="s">
        <v>898</v>
      </c>
      <c r="G203" t="s">
        <v>898</v>
      </c>
      <c r="H203" t="s">
        <v>898</v>
      </c>
      <c r="I203" t="s">
        <v>898</v>
      </c>
      <c r="J203" t="s">
        <v>898</v>
      </c>
      <c r="K203" t="s">
        <v>898</v>
      </c>
      <c r="L203" t="s">
        <v>898</v>
      </c>
      <c r="M203" t="s">
        <v>898</v>
      </c>
      <c r="N203" t="s">
        <v>898</v>
      </c>
      <c r="O203" t="s">
        <v>898</v>
      </c>
      <c r="P203" t="s">
        <v>898</v>
      </c>
      <c r="Q203" t="s">
        <v>898</v>
      </c>
      <c r="R203" t="s">
        <v>898</v>
      </c>
      <c r="S203" t="s">
        <v>898</v>
      </c>
      <c r="T203" t="s">
        <v>898</v>
      </c>
      <c r="U203" t="s">
        <v>898</v>
      </c>
      <c r="V203" t="s">
        <v>898</v>
      </c>
      <c r="W203" t="s">
        <v>898</v>
      </c>
      <c r="X203" t="s">
        <v>898</v>
      </c>
      <c r="Y203" t="e">
        <v>#REF!</v>
      </c>
      <c r="Z203" t="e">
        <v>#REF!</v>
      </c>
    </row>
    <row r="204">
      <c r="A204" t="s">
        <v>898</v>
      </c>
      <c r="B204" t="s">
        <v>898</v>
      </c>
      <c r="C204" t="s">
        <v>898</v>
      </c>
      <c r="D204" t="s">
        <v>898</v>
      </c>
      <c r="E204" t="s">
        <v>898</v>
      </c>
      <c r="F204" t="s">
        <v>898</v>
      </c>
      <c r="G204" t="s">
        <v>898</v>
      </c>
      <c r="H204" t="s">
        <v>898</v>
      </c>
      <c r="I204" t="s">
        <v>898</v>
      </c>
      <c r="J204" t="s">
        <v>898</v>
      </c>
      <c r="K204" t="s">
        <v>898</v>
      </c>
      <c r="L204" t="s">
        <v>898</v>
      </c>
      <c r="M204" t="s">
        <v>898</v>
      </c>
      <c r="N204" t="s">
        <v>898</v>
      </c>
      <c r="O204" t="s">
        <v>898</v>
      </c>
      <c r="P204" t="s">
        <v>898</v>
      </c>
      <c r="Q204" t="s">
        <v>898</v>
      </c>
      <c r="R204" t="s">
        <v>898</v>
      </c>
      <c r="S204" t="s">
        <v>898</v>
      </c>
      <c r="T204" t="s">
        <v>898</v>
      </c>
      <c r="U204" t="s">
        <v>898</v>
      </c>
      <c r="V204" t="s">
        <v>898</v>
      </c>
      <c r="W204" t="s">
        <v>898</v>
      </c>
      <c r="X204" t="s">
        <v>898</v>
      </c>
      <c r="Y204" t="e">
        <v>#REF!</v>
      </c>
      <c r="Z204" t="e">
        <v>#REF!</v>
      </c>
    </row>
    <row r="205">
      <c r="A205" t="s">
        <v>898</v>
      </c>
      <c r="B205" t="s">
        <v>898</v>
      </c>
      <c r="C205" t="s">
        <v>898</v>
      </c>
      <c r="D205" t="s">
        <v>898</v>
      </c>
      <c r="E205" t="s">
        <v>898</v>
      </c>
      <c r="F205" t="s">
        <v>898</v>
      </c>
      <c r="G205" t="s">
        <v>898</v>
      </c>
      <c r="H205" t="s">
        <v>898</v>
      </c>
      <c r="I205" t="s">
        <v>898</v>
      </c>
      <c r="J205" t="s">
        <v>898</v>
      </c>
      <c r="K205" t="s">
        <v>898</v>
      </c>
      <c r="L205" t="s">
        <v>898</v>
      </c>
      <c r="M205" t="s">
        <v>898</v>
      </c>
      <c r="N205" t="s">
        <v>898</v>
      </c>
      <c r="O205" t="s">
        <v>898</v>
      </c>
      <c r="P205" t="s">
        <v>898</v>
      </c>
      <c r="Q205" t="s">
        <v>898</v>
      </c>
      <c r="R205" t="s">
        <v>898</v>
      </c>
      <c r="S205" t="s">
        <v>898</v>
      </c>
      <c r="T205" t="s">
        <v>898</v>
      </c>
      <c r="U205" t="s">
        <v>898</v>
      </c>
      <c r="V205" t="s">
        <v>898</v>
      </c>
      <c r="W205" t="s">
        <v>898</v>
      </c>
      <c r="X205" t="s">
        <v>898</v>
      </c>
      <c r="Y205" t="e">
        <v>#REF!</v>
      </c>
      <c r="Z205" t="e">
        <v>#REF!</v>
      </c>
    </row>
    <row r="206">
      <c r="A206" t="s">
        <v>898</v>
      </c>
      <c r="B206" t="s">
        <v>898</v>
      </c>
      <c r="C206" t="s">
        <v>898</v>
      </c>
      <c r="D206" t="s">
        <v>898</v>
      </c>
      <c r="E206" t="s">
        <v>898</v>
      </c>
      <c r="F206" t="s">
        <v>898</v>
      </c>
      <c r="G206" t="s">
        <v>898</v>
      </c>
      <c r="H206" t="s">
        <v>898</v>
      </c>
      <c r="I206" t="s">
        <v>898</v>
      </c>
      <c r="J206" t="s">
        <v>898</v>
      </c>
      <c r="K206" t="s">
        <v>898</v>
      </c>
      <c r="L206" t="s">
        <v>898</v>
      </c>
      <c r="M206" t="s">
        <v>898</v>
      </c>
      <c r="N206" t="s">
        <v>898</v>
      </c>
      <c r="O206" t="s">
        <v>898</v>
      </c>
      <c r="P206" t="s">
        <v>898</v>
      </c>
      <c r="Q206" t="s">
        <v>898</v>
      </c>
      <c r="R206" t="s">
        <v>898</v>
      </c>
      <c r="S206" t="s">
        <v>898</v>
      </c>
      <c r="T206" t="s">
        <v>898</v>
      </c>
      <c r="U206" t="s">
        <v>898</v>
      </c>
      <c r="V206" t="s">
        <v>898</v>
      </c>
      <c r="W206" t="s">
        <v>898</v>
      </c>
      <c r="X206" t="s">
        <v>898</v>
      </c>
      <c r="Y206" t="e">
        <v>#REF!</v>
      </c>
      <c r="Z206" t="e">
        <v>#REF!</v>
      </c>
    </row>
    <row r="207">
      <c r="A207" t="s">
        <v>898</v>
      </c>
      <c r="B207" t="s">
        <v>898</v>
      </c>
      <c r="C207" t="s">
        <v>898</v>
      </c>
      <c r="D207" t="s">
        <v>898</v>
      </c>
      <c r="E207" t="s">
        <v>898</v>
      </c>
      <c r="F207" t="s">
        <v>898</v>
      </c>
      <c r="G207" t="s">
        <v>898</v>
      </c>
      <c r="H207" t="s">
        <v>898</v>
      </c>
      <c r="I207" t="s">
        <v>898</v>
      </c>
      <c r="J207" t="s">
        <v>898</v>
      </c>
      <c r="K207" t="s">
        <v>898</v>
      </c>
      <c r="L207" t="s">
        <v>898</v>
      </c>
      <c r="M207" t="s">
        <v>898</v>
      </c>
      <c r="N207" t="s">
        <v>898</v>
      </c>
      <c r="O207" t="s">
        <v>898</v>
      </c>
      <c r="P207" t="s">
        <v>898</v>
      </c>
      <c r="Q207" t="s">
        <v>898</v>
      </c>
      <c r="R207" t="s">
        <v>898</v>
      </c>
      <c r="S207" t="s">
        <v>898</v>
      </c>
      <c r="T207" t="s">
        <v>898</v>
      </c>
      <c r="U207" t="s">
        <v>898</v>
      </c>
      <c r="V207" t="s">
        <v>898</v>
      </c>
      <c r="W207" t="s">
        <v>898</v>
      </c>
      <c r="X207" t="s">
        <v>898</v>
      </c>
      <c r="Y207" t="e">
        <v>#REF!</v>
      </c>
      <c r="Z207" t="e">
        <v>#REF!</v>
      </c>
    </row>
    <row r="208">
      <c r="A208" t="s">
        <v>898</v>
      </c>
      <c r="B208" t="s">
        <v>898</v>
      </c>
      <c r="C208" t="s">
        <v>898</v>
      </c>
      <c r="D208" t="s">
        <v>898</v>
      </c>
      <c r="E208" t="s">
        <v>898</v>
      </c>
      <c r="F208" t="s">
        <v>898</v>
      </c>
      <c r="G208" t="s">
        <v>898</v>
      </c>
      <c r="H208" t="s">
        <v>898</v>
      </c>
      <c r="I208" t="s">
        <v>898</v>
      </c>
      <c r="J208" t="s">
        <v>898</v>
      </c>
      <c r="K208" t="s">
        <v>898</v>
      </c>
      <c r="L208" t="s">
        <v>898</v>
      </c>
      <c r="M208" t="s">
        <v>898</v>
      </c>
      <c r="N208" t="s">
        <v>898</v>
      </c>
      <c r="O208" t="s">
        <v>898</v>
      </c>
      <c r="P208" t="s">
        <v>898</v>
      </c>
      <c r="Q208" t="s">
        <v>898</v>
      </c>
      <c r="R208" t="s">
        <v>898</v>
      </c>
      <c r="S208" t="s">
        <v>898</v>
      </c>
      <c r="T208" t="s">
        <v>898</v>
      </c>
      <c r="U208" t="s">
        <v>898</v>
      </c>
      <c r="V208" t="s">
        <v>898</v>
      </c>
      <c r="W208" t="s">
        <v>898</v>
      </c>
      <c r="X208" t="s">
        <v>898</v>
      </c>
      <c r="Y208" t="e">
        <v>#REF!</v>
      </c>
      <c r="Z208" t="e">
        <v>#REF!</v>
      </c>
    </row>
    <row r="209">
      <c r="A209" t="s">
        <v>898</v>
      </c>
      <c r="B209" t="s">
        <v>898</v>
      </c>
      <c r="C209" t="s">
        <v>898</v>
      </c>
      <c r="D209" t="s">
        <v>898</v>
      </c>
      <c r="E209" t="s">
        <v>898</v>
      </c>
      <c r="F209" t="s">
        <v>898</v>
      </c>
      <c r="G209" t="s">
        <v>898</v>
      </c>
      <c r="H209" t="s">
        <v>898</v>
      </c>
      <c r="I209" t="s">
        <v>898</v>
      </c>
      <c r="J209" t="s">
        <v>898</v>
      </c>
      <c r="K209" t="s">
        <v>898</v>
      </c>
      <c r="L209" t="s">
        <v>898</v>
      </c>
      <c r="M209" t="s">
        <v>898</v>
      </c>
      <c r="N209" t="s">
        <v>898</v>
      </c>
      <c r="O209" t="s">
        <v>898</v>
      </c>
      <c r="P209" t="s">
        <v>898</v>
      </c>
      <c r="Q209" t="s">
        <v>898</v>
      </c>
      <c r="R209" t="s">
        <v>898</v>
      </c>
      <c r="S209" t="s">
        <v>898</v>
      </c>
      <c r="T209" t="s">
        <v>898</v>
      </c>
      <c r="U209" t="s">
        <v>898</v>
      </c>
      <c r="V209" t="s">
        <v>898</v>
      </c>
      <c r="W209" t="s">
        <v>898</v>
      </c>
      <c r="X209" t="s">
        <v>898</v>
      </c>
      <c r="Y209" t="e">
        <v>#REF!</v>
      </c>
      <c r="Z209" t="e">
        <v>#REF!</v>
      </c>
    </row>
    <row r="210">
      <c r="A210" t="s">
        <v>898</v>
      </c>
      <c r="B210" t="s">
        <v>898</v>
      </c>
      <c r="C210" t="s">
        <v>898</v>
      </c>
      <c r="D210" t="s">
        <v>898</v>
      </c>
      <c r="E210" t="s">
        <v>898</v>
      </c>
      <c r="F210" t="s">
        <v>898</v>
      </c>
      <c r="G210" t="s">
        <v>898</v>
      </c>
      <c r="H210" t="s">
        <v>898</v>
      </c>
      <c r="I210" t="s">
        <v>898</v>
      </c>
      <c r="J210" t="s">
        <v>898</v>
      </c>
      <c r="K210" t="s">
        <v>898</v>
      </c>
      <c r="L210" t="s">
        <v>898</v>
      </c>
      <c r="M210" t="s">
        <v>898</v>
      </c>
      <c r="N210" t="s">
        <v>898</v>
      </c>
      <c r="O210" t="s">
        <v>898</v>
      </c>
      <c r="P210" t="s">
        <v>898</v>
      </c>
      <c r="Q210" t="s">
        <v>898</v>
      </c>
      <c r="R210" t="s">
        <v>898</v>
      </c>
      <c r="S210" t="s">
        <v>898</v>
      </c>
      <c r="T210" t="s">
        <v>898</v>
      </c>
      <c r="U210" t="s">
        <v>898</v>
      </c>
      <c r="V210" t="s">
        <v>898</v>
      </c>
      <c r="W210" t="s">
        <v>898</v>
      </c>
      <c r="X210" t="s">
        <v>898</v>
      </c>
      <c r="Y210" t="e">
        <v>#REF!</v>
      </c>
      <c r="Z210" t="e">
        <v>#REF!</v>
      </c>
    </row>
    <row r="211">
      <c r="A211" t="s">
        <v>898</v>
      </c>
      <c r="B211" t="s">
        <v>898</v>
      </c>
      <c r="C211" t="s">
        <v>898</v>
      </c>
      <c r="D211" t="s">
        <v>898</v>
      </c>
      <c r="E211" t="s">
        <v>898</v>
      </c>
      <c r="F211" t="s">
        <v>898</v>
      </c>
      <c r="G211" t="s">
        <v>898</v>
      </c>
      <c r="H211" t="s">
        <v>898</v>
      </c>
      <c r="I211" t="s">
        <v>898</v>
      </c>
      <c r="J211" t="s">
        <v>898</v>
      </c>
      <c r="K211" t="s">
        <v>898</v>
      </c>
      <c r="L211" t="s">
        <v>898</v>
      </c>
      <c r="M211" t="s">
        <v>898</v>
      </c>
      <c r="N211" t="s">
        <v>898</v>
      </c>
      <c r="O211" t="s">
        <v>898</v>
      </c>
      <c r="P211" t="s">
        <v>898</v>
      </c>
      <c r="Q211" t="s">
        <v>898</v>
      </c>
      <c r="R211" t="s">
        <v>898</v>
      </c>
      <c r="S211" t="s">
        <v>898</v>
      </c>
      <c r="T211" t="s">
        <v>898</v>
      </c>
      <c r="U211" t="s">
        <v>898</v>
      </c>
      <c r="V211" t="s">
        <v>898</v>
      </c>
      <c r="W211" t="s">
        <v>898</v>
      </c>
      <c r="X211" t="s">
        <v>898</v>
      </c>
      <c r="Y211" t="e">
        <v>#REF!</v>
      </c>
      <c r="Z211" t="e">
        <v>#REF!</v>
      </c>
    </row>
    <row r="212">
      <c r="A212" t="s">
        <v>898</v>
      </c>
      <c r="B212" t="s">
        <v>898</v>
      </c>
      <c r="C212" t="s">
        <v>898</v>
      </c>
      <c r="D212" t="s">
        <v>898</v>
      </c>
      <c r="E212" t="s">
        <v>898</v>
      </c>
      <c r="F212" t="s">
        <v>898</v>
      </c>
      <c r="G212" t="s">
        <v>898</v>
      </c>
      <c r="H212" t="s">
        <v>898</v>
      </c>
      <c r="I212" t="s">
        <v>898</v>
      </c>
      <c r="J212" t="s">
        <v>898</v>
      </c>
      <c r="K212" t="s">
        <v>898</v>
      </c>
      <c r="L212" t="s">
        <v>898</v>
      </c>
      <c r="M212" t="s">
        <v>898</v>
      </c>
      <c r="N212" t="s">
        <v>898</v>
      </c>
      <c r="O212" t="s">
        <v>898</v>
      </c>
      <c r="P212" t="s">
        <v>898</v>
      </c>
      <c r="Q212" t="s">
        <v>898</v>
      </c>
      <c r="R212" t="s">
        <v>898</v>
      </c>
      <c r="S212" t="s">
        <v>898</v>
      </c>
      <c r="T212" t="s">
        <v>898</v>
      </c>
      <c r="U212" t="s">
        <v>898</v>
      </c>
      <c r="V212" t="s">
        <v>898</v>
      </c>
      <c r="W212" t="s">
        <v>898</v>
      </c>
      <c r="X212" t="s">
        <v>898</v>
      </c>
      <c r="Y212" t="e">
        <v>#REF!</v>
      </c>
      <c r="Z212" t="e">
        <v>#REF!</v>
      </c>
    </row>
    <row r="213">
      <c r="A213" t="s">
        <v>898</v>
      </c>
      <c r="B213" t="s">
        <v>898</v>
      </c>
      <c r="C213" t="s">
        <v>898</v>
      </c>
      <c r="D213" t="s">
        <v>898</v>
      </c>
      <c r="E213" t="s">
        <v>898</v>
      </c>
      <c r="F213" t="s">
        <v>898</v>
      </c>
      <c r="G213" t="s">
        <v>898</v>
      </c>
      <c r="H213" t="s">
        <v>898</v>
      </c>
      <c r="I213" t="s">
        <v>898</v>
      </c>
      <c r="J213" t="s">
        <v>898</v>
      </c>
      <c r="K213" t="s">
        <v>898</v>
      </c>
      <c r="L213" t="s">
        <v>898</v>
      </c>
      <c r="M213" t="s">
        <v>898</v>
      </c>
      <c r="N213" t="s">
        <v>898</v>
      </c>
      <c r="O213" t="s">
        <v>898</v>
      </c>
      <c r="P213" t="s">
        <v>898</v>
      </c>
      <c r="Q213" t="s">
        <v>898</v>
      </c>
      <c r="R213" t="s">
        <v>898</v>
      </c>
      <c r="S213" t="s">
        <v>898</v>
      </c>
      <c r="T213" t="s">
        <v>898</v>
      </c>
      <c r="U213" t="s">
        <v>898</v>
      </c>
      <c r="V213" t="s">
        <v>898</v>
      </c>
      <c r="W213" t="s">
        <v>898</v>
      </c>
      <c r="X213" t="s">
        <v>898</v>
      </c>
      <c r="Y213" t="e">
        <v>#REF!</v>
      </c>
      <c r="Z213" t="e">
        <v>#REF!</v>
      </c>
    </row>
    <row r="214">
      <c r="A214" t="s">
        <v>898</v>
      </c>
      <c r="B214" t="s">
        <v>898</v>
      </c>
      <c r="C214" t="s">
        <v>898</v>
      </c>
      <c r="D214" t="s">
        <v>898</v>
      </c>
      <c r="E214" t="s">
        <v>898</v>
      </c>
      <c r="F214" t="s">
        <v>898</v>
      </c>
      <c r="G214" t="s">
        <v>898</v>
      </c>
      <c r="H214" t="s">
        <v>898</v>
      </c>
      <c r="I214" t="s">
        <v>898</v>
      </c>
      <c r="J214" t="s">
        <v>898</v>
      </c>
      <c r="K214" t="s">
        <v>898</v>
      </c>
      <c r="L214" t="s">
        <v>898</v>
      </c>
      <c r="M214" t="s">
        <v>898</v>
      </c>
      <c r="N214" t="s">
        <v>898</v>
      </c>
      <c r="O214" t="s">
        <v>898</v>
      </c>
      <c r="P214" t="s">
        <v>898</v>
      </c>
      <c r="Q214" t="s">
        <v>898</v>
      </c>
      <c r="R214" t="s">
        <v>898</v>
      </c>
      <c r="S214" t="s">
        <v>898</v>
      </c>
      <c r="T214" t="s">
        <v>898</v>
      </c>
      <c r="U214" t="s">
        <v>898</v>
      </c>
      <c r="V214" t="s">
        <v>898</v>
      </c>
      <c r="W214" t="s">
        <v>898</v>
      </c>
      <c r="X214" t="s">
        <v>898</v>
      </c>
      <c r="Y214" t="e">
        <v>#REF!</v>
      </c>
      <c r="Z214" t="e">
        <v>#REF!</v>
      </c>
    </row>
    <row r="215">
      <c r="A215" t="s">
        <v>898</v>
      </c>
      <c r="B215" t="s">
        <v>898</v>
      </c>
      <c r="C215" t="s">
        <v>898</v>
      </c>
      <c r="D215" t="s">
        <v>898</v>
      </c>
      <c r="E215" t="s">
        <v>898</v>
      </c>
      <c r="F215" t="s">
        <v>898</v>
      </c>
      <c r="G215" t="s">
        <v>898</v>
      </c>
      <c r="H215" t="s">
        <v>898</v>
      </c>
      <c r="I215" t="s">
        <v>898</v>
      </c>
      <c r="J215" t="s">
        <v>898</v>
      </c>
      <c r="K215" t="s">
        <v>898</v>
      </c>
      <c r="L215" t="s">
        <v>898</v>
      </c>
      <c r="M215" t="s">
        <v>898</v>
      </c>
      <c r="N215" t="s">
        <v>898</v>
      </c>
      <c r="O215" t="s">
        <v>898</v>
      </c>
      <c r="P215" t="s">
        <v>898</v>
      </c>
      <c r="Q215" t="s">
        <v>898</v>
      </c>
      <c r="R215" t="s">
        <v>898</v>
      </c>
      <c r="S215" t="s">
        <v>898</v>
      </c>
      <c r="T215" t="s">
        <v>898</v>
      </c>
      <c r="U215" t="s">
        <v>898</v>
      </c>
      <c r="V215" t="s">
        <v>898</v>
      </c>
      <c r="W215" t="s">
        <v>898</v>
      </c>
      <c r="X215" t="s">
        <v>898</v>
      </c>
      <c r="Y215" t="e">
        <v>#REF!</v>
      </c>
      <c r="Z215" t="e">
        <v>#REF!</v>
      </c>
    </row>
    <row r="216">
      <c r="A216" t="s">
        <v>898</v>
      </c>
      <c r="B216" t="s">
        <v>898</v>
      </c>
      <c r="C216" t="s">
        <v>898</v>
      </c>
      <c r="D216" t="s">
        <v>898</v>
      </c>
      <c r="E216" t="s">
        <v>898</v>
      </c>
      <c r="F216" t="s">
        <v>898</v>
      </c>
      <c r="G216" t="s">
        <v>898</v>
      </c>
      <c r="H216" t="s">
        <v>898</v>
      </c>
      <c r="I216" t="s">
        <v>898</v>
      </c>
      <c r="J216" t="s">
        <v>898</v>
      </c>
      <c r="K216" t="s">
        <v>898</v>
      </c>
      <c r="L216" t="s">
        <v>898</v>
      </c>
      <c r="M216" t="s">
        <v>898</v>
      </c>
      <c r="N216" t="s">
        <v>898</v>
      </c>
      <c r="O216" t="s">
        <v>898</v>
      </c>
      <c r="P216" t="s">
        <v>898</v>
      </c>
      <c r="Q216" t="s">
        <v>898</v>
      </c>
      <c r="R216" t="s">
        <v>898</v>
      </c>
      <c r="S216" t="s">
        <v>898</v>
      </c>
      <c r="T216" t="s">
        <v>898</v>
      </c>
      <c r="U216" t="s">
        <v>898</v>
      </c>
      <c r="V216" t="s">
        <v>898</v>
      </c>
      <c r="W216" t="s">
        <v>898</v>
      </c>
      <c r="X216" t="s">
        <v>898</v>
      </c>
      <c r="Y216" t="e">
        <v>#REF!</v>
      </c>
      <c r="Z216" t="e">
        <v>#REF!</v>
      </c>
    </row>
    <row r="217">
      <c r="A217" t="s">
        <v>898</v>
      </c>
      <c r="B217" t="s">
        <v>898</v>
      </c>
      <c r="C217" t="s">
        <v>898</v>
      </c>
      <c r="D217" t="s">
        <v>898</v>
      </c>
      <c r="E217" t="s">
        <v>898</v>
      </c>
      <c r="F217" t="s">
        <v>898</v>
      </c>
      <c r="G217" t="s">
        <v>898</v>
      </c>
      <c r="H217" t="s">
        <v>898</v>
      </c>
      <c r="I217" t="s">
        <v>898</v>
      </c>
      <c r="J217" t="s">
        <v>898</v>
      </c>
      <c r="K217" t="s">
        <v>898</v>
      </c>
      <c r="L217" t="s">
        <v>898</v>
      </c>
      <c r="M217" t="s">
        <v>898</v>
      </c>
      <c r="N217" t="s">
        <v>898</v>
      </c>
      <c r="O217" t="s">
        <v>898</v>
      </c>
      <c r="P217" t="s">
        <v>898</v>
      </c>
      <c r="Q217" t="s">
        <v>898</v>
      </c>
      <c r="R217" t="s">
        <v>898</v>
      </c>
      <c r="S217" t="s">
        <v>898</v>
      </c>
      <c r="T217" t="s">
        <v>898</v>
      </c>
      <c r="U217" t="s">
        <v>898</v>
      </c>
      <c r="V217" t="s">
        <v>898</v>
      </c>
      <c r="W217" t="s">
        <v>898</v>
      </c>
      <c r="X217" t="s">
        <v>898</v>
      </c>
      <c r="Y217" t="e">
        <v>#REF!</v>
      </c>
      <c r="Z217" t="e">
        <v>#REF!</v>
      </c>
    </row>
    <row r="218">
      <c r="A218" t="s">
        <v>898</v>
      </c>
      <c r="B218" t="s">
        <v>898</v>
      </c>
      <c r="C218" t="s">
        <v>898</v>
      </c>
      <c r="D218" t="s">
        <v>898</v>
      </c>
      <c r="E218" t="s">
        <v>898</v>
      </c>
      <c r="F218" t="s">
        <v>898</v>
      </c>
      <c r="G218" t="s">
        <v>898</v>
      </c>
      <c r="H218" t="s">
        <v>898</v>
      </c>
      <c r="I218" t="s">
        <v>898</v>
      </c>
      <c r="J218" t="s">
        <v>898</v>
      </c>
      <c r="K218" t="s">
        <v>898</v>
      </c>
      <c r="L218" t="s">
        <v>898</v>
      </c>
      <c r="M218" t="s">
        <v>898</v>
      </c>
      <c r="N218" t="s">
        <v>898</v>
      </c>
      <c r="O218" t="s">
        <v>898</v>
      </c>
      <c r="P218" t="s">
        <v>898</v>
      </c>
      <c r="Q218" t="s">
        <v>898</v>
      </c>
      <c r="R218" t="s">
        <v>898</v>
      </c>
      <c r="S218" t="s">
        <v>898</v>
      </c>
      <c r="T218" t="s">
        <v>898</v>
      </c>
      <c r="U218" t="s">
        <v>898</v>
      </c>
      <c r="V218" t="s">
        <v>898</v>
      </c>
      <c r="W218" t="s">
        <v>898</v>
      </c>
      <c r="X218" t="s">
        <v>898</v>
      </c>
      <c r="Y218" t="e">
        <v>#REF!</v>
      </c>
      <c r="Z218" t="e">
        <v>#REF!</v>
      </c>
    </row>
    <row r="219">
      <c r="A219" t="s">
        <v>898</v>
      </c>
      <c r="B219" t="s">
        <v>898</v>
      </c>
      <c r="C219" t="s">
        <v>898</v>
      </c>
      <c r="D219" t="s">
        <v>898</v>
      </c>
      <c r="E219" t="s">
        <v>898</v>
      </c>
      <c r="F219" t="s">
        <v>898</v>
      </c>
      <c r="G219" t="s">
        <v>898</v>
      </c>
      <c r="H219" t="s">
        <v>898</v>
      </c>
      <c r="I219" t="s">
        <v>898</v>
      </c>
      <c r="J219" t="s">
        <v>898</v>
      </c>
      <c r="K219" t="s">
        <v>898</v>
      </c>
      <c r="L219" t="s">
        <v>898</v>
      </c>
      <c r="M219" t="s">
        <v>898</v>
      </c>
      <c r="N219" t="s">
        <v>898</v>
      </c>
      <c r="O219" t="s">
        <v>898</v>
      </c>
      <c r="P219" t="s">
        <v>898</v>
      </c>
      <c r="Q219" t="s">
        <v>898</v>
      </c>
      <c r="R219" t="s">
        <v>898</v>
      </c>
      <c r="S219" t="s">
        <v>898</v>
      </c>
      <c r="T219" t="s">
        <v>898</v>
      </c>
      <c r="U219" t="s">
        <v>898</v>
      </c>
      <c r="V219" t="s">
        <v>898</v>
      </c>
      <c r="W219" t="s">
        <v>898</v>
      </c>
      <c r="X219" t="s">
        <v>898</v>
      </c>
      <c r="Y219" t="e">
        <v>#REF!</v>
      </c>
      <c r="Z219" t="e">
        <v>#REF!</v>
      </c>
    </row>
    <row r="220">
      <c r="A220" t="s">
        <v>898</v>
      </c>
      <c r="B220" t="s">
        <v>898</v>
      </c>
      <c r="C220" t="s">
        <v>898</v>
      </c>
      <c r="D220" t="s">
        <v>898</v>
      </c>
      <c r="E220" t="s">
        <v>898</v>
      </c>
      <c r="F220" t="s">
        <v>898</v>
      </c>
      <c r="G220" t="s">
        <v>898</v>
      </c>
      <c r="H220" t="s">
        <v>898</v>
      </c>
      <c r="I220" t="s">
        <v>898</v>
      </c>
      <c r="J220" t="s">
        <v>898</v>
      </c>
      <c r="K220" t="s">
        <v>898</v>
      </c>
      <c r="L220" t="s">
        <v>898</v>
      </c>
      <c r="M220" t="s">
        <v>898</v>
      </c>
      <c r="N220" t="s">
        <v>898</v>
      </c>
      <c r="O220" t="s">
        <v>898</v>
      </c>
      <c r="P220" t="s">
        <v>898</v>
      </c>
      <c r="Q220" t="s">
        <v>898</v>
      </c>
      <c r="R220" t="s">
        <v>898</v>
      </c>
      <c r="S220" t="s">
        <v>898</v>
      </c>
      <c r="T220" t="s">
        <v>898</v>
      </c>
      <c r="U220" t="s">
        <v>898</v>
      </c>
      <c r="V220" t="s">
        <v>898</v>
      </c>
      <c r="W220" t="s">
        <v>898</v>
      </c>
      <c r="X220" t="s">
        <v>898</v>
      </c>
      <c r="Y220" t="e">
        <v>#REF!</v>
      </c>
      <c r="Z220" t="e">
        <v>#REF!</v>
      </c>
    </row>
    <row r="221">
      <c r="A221" t="s">
        <v>898</v>
      </c>
      <c r="B221" t="s">
        <v>898</v>
      </c>
      <c r="C221" t="s">
        <v>898</v>
      </c>
      <c r="D221" t="s">
        <v>898</v>
      </c>
      <c r="E221" t="s">
        <v>898</v>
      </c>
      <c r="F221" t="s">
        <v>898</v>
      </c>
      <c r="G221" t="s">
        <v>898</v>
      </c>
      <c r="H221" t="s">
        <v>898</v>
      </c>
      <c r="I221" t="s">
        <v>898</v>
      </c>
      <c r="J221" t="s">
        <v>898</v>
      </c>
      <c r="K221" t="s">
        <v>898</v>
      </c>
      <c r="L221" t="s">
        <v>898</v>
      </c>
      <c r="M221" t="s">
        <v>898</v>
      </c>
      <c r="N221" t="s">
        <v>898</v>
      </c>
      <c r="O221" t="s">
        <v>898</v>
      </c>
      <c r="P221" t="s">
        <v>898</v>
      </c>
      <c r="Q221" t="s">
        <v>898</v>
      </c>
      <c r="R221" t="s">
        <v>898</v>
      </c>
      <c r="S221" t="s">
        <v>898</v>
      </c>
      <c r="T221" t="s">
        <v>898</v>
      </c>
      <c r="U221" t="s">
        <v>898</v>
      </c>
      <c r="V221" t="s">
        <v>898</v>
      </c>
      <c r="W221" t="s">
        <v>898</v>
      </c>
      <c r="X221" t="s">
        <v>898</v>
      </c>
      <c r="Y221" t="e">
        <v>#REF!</v>
      </c>
      <c r="Z221" t="e">
        <v>#REF!</v>
      </c>
    </row>
    <row r="222">
      <c r="A222" t="s">
        <v>898</v>
      </c>
      <c r="B222" t="s">
        <v>898</v>
      </c>
      <c r="C222" t="s">
        <v>898</v>
      </c>
      <c r="D222" t="s">
        <v>898</v>
      </c>
      <c r="E222" t="s">
        <v>898</v>
      </c>
      <c r="F222" t="s">
        <v>898</v>
      </c>
      <c r="G222" t="s">
        <v>898</v>
      </c>
      <c r="H222" t="s">
        <v>898</v>
      </c>
      <c r="I222" t="s">
        <v>898</v>
      </c>
      <c r="J222" t="s">
        <v>898</v>
      </c>
      <c r="K222" t="s">
        <v>898</v>
      </c>
      <c r="L222" t="s">
        <v>898</v>
      </c>
      <c r="M222" t="s">
        <v>898</v>
      </c>
      <c r="N222" t="s">
        <v>898</v>
      </c>
      <c r="O222" t="s">
        <v>898</v>
      </c>
      <c r="P222" t="s">
        <v>898</v>
      </c>
      <c r="Q222" t="s">
        <v>898</v>
      </c>
      <c r="R222" t="s">
        <v>898</v>
      </c>
      <c r="S222" t="s">
        <v>898</v>
      </c>
      <c r="T222" t="s">
        <v>898</v>
      </c>
      <c r="U222" t="s">
        <v>898</v>
      </c>
      <c r="V222" t="s">
        <v>898</v>
      </c>
      <c r="W222" t="s">
        <v>898</v>
      </c>
      <c r="X222" t="s">
        <v>898</v>
      </c>
      <c r="Y222" t="e">
        <v>#REF!</v>
      </c>
      <c r="Z222" t="e">
        <v>#REF!</v>
      </c>
    </row>
    <row r="223">
      <c r="A223" t="s">
        <v>898</v>
      </c>
      <c r="B223" t="s">
        <v>898</v>
      </c>
      <c r="C223" t="s">
        <v>898</v>
      </c>
      <c r="D223" t="s">
        <v>898</v>
      </c>
      <c r="E223" t="s">
        <v>898</v>
      </c>
      <c r="F223" t="s">
        <v>898</v>
      </c>
      <c r="G223" t="s">
        <v>898</v>
      </c>
      <c r="H223" t="s">
        <v>898</v>
      </c>
      <c r="I223" t="s">
        <v>898</v>
      </c>
      <c r="J223" t="s">
        <v>898</v>
      </c>
      <c r="K223" t="s">
        <v>898</v>
      </c>
      <c r="L223" t="s">
        <v>898</v>
      </c>
      <c r="M223" t="s">
        <v>898</v>
      </c>
      <c r="N223" t="s">
        <v>898</v>
      </c>
      <c r="O223" t="s">
        <v>898</v>
      </c>
      <c r="P223" t="s">
        <v>898</v>
      </c>
      <c r="Q223" t="s">
        <v>898</v>
      </c>
      <c r="R223" t="s">
        <v>898</v>
      </c>
      <c r="S223" t="s">
        <v>898</v>
      </c>
      <c r="T223" t="s">
        <v>898</v>
      </c>
      <c r="U223" t="s">
        <v>898</v>
      </c>
      <c r="V223" t="s">
        <v>898</v>
      </c>
      <c r="W223" t="s">
        <v>898</v>
      </c>
      <c r="X223" t="s">
        <v>898</v>
      </c>
      <c r="Y223" t="e">
        <v>#REF!</v>
      </c>
      <c r="Z223" t="e">
        <v>#REF!</v>
      </c>
    </row>
    <row r="224">
      <c r="A224" t="s">
        <v>898</v>
      </c>
      <c r="B224" t="s">
        <v>898</v>
      </c>
      <c r="C224" t="s">
        <v>898</v>
      </c>
      <c r="D224" t="s">
        <v>898</v>
      </c>
      <c r="E224" t="s">
        <v>898</v>
      </c>
      <c r="F224" t="s">
        <v>898</v>
      </c>
      <c r="G224" t="s">
        <v>898</v>
      </c>
      <c r="H224" t="s">
        <v>898</v>
      </c>
      <c r="I224" t="s">
        <v>898</v>
      </c>
      <c r="J224" t="s">
        <v>898</v>
      </c>
      <c r="K224" t="s">
        <v>898</v>
      </c>
      <c r="L224" t="s">
        <v>898</v>
      </c>
      <c r="M224" t="s">
        <v>898</v>
      </c>
      <c r="N224" t="s">
        <v>898</v>
      </c>
      <c r="O224" t="s">
        <v>898</v>
      </c>
      <c r="P224" t="s">
        <v>898</v>
      </c>
      <c r="Q224" t="s">
        <v>898</v>
      </c>
      <c r="R224" t="s">
        <v>898</v>
      </c>
      <c r="S224" t="s">
        <v>898</v>
      </c>
      <c r="T224" t="s">
        <v>898</v>
      </c>
      <c r="U224" t="s">
        <v>898</v>
      </c>
      <c r="V224" t="s">
        <v>898</v>
      </c>
      <c r="W224" t="s">
        <v>898</v>
      </c>
      <c r="X224" t="s">
        <v>898</v>
      </c>
      <c r="Y224" t="e">
        <v>#REF!</v>
      </c>
      <c r="Z224" t="e">
        <v>#REF!</v>
      </c>
    </row>
    <row r="225">
      <c r="A225" t="s">
        <v>898</v>
      </c>
      <c r="B225" t="s">
        <v>898</v>
      </c>
      <c r="C225" t="s">
        <v>898</v>
      </c>
      <c r="D225" t="s">
        <v>898</v>
      </c>
      <c r="E225" t="s">
        <v>898</v>
      </c>
      <c r="F225" t="s">
        <v>898</v>
      </c>
      <c r="G225" t="s">
        <v>898</v>
      </c>
      <c r="H225" t="s">
        <v>898</v>
      </c>
      <c r="I225" t="s">
        <v>898</v>
      </c>
      <c r="J225" t="s">
        <v>898</v>
      </c>
      <c r="K225" t="s">
        <v>898</v>
      </c>
      <c r="L225" t="s">
        <v>898</v>
      </c>
      <c r="M225" t="s">
        <v>898</v>
      </c>
      <c r="N225" t="s">
        <v>898</v>
      </c>
      <c r="O225" t="s">
        <v>898</v>
      </c>
      <c r="P225" t="s">
        <v>898</v>
      </c>
      <c r="Q225" t="s">
        <v>898</v>
      </c>
      <c r="R225" t="s">
        <v>898</v>
      </c>
      <c r="S225" t="s">
        <v>898</v>
      </c>
      <c r="T225" t="s">
        <v>898</v>
      </c>
      <c r="U225" t="s">
        <v>898</v>
      </c>
      <c r="V225" t="s">
        <v>898</v>
      </c>
      <c r="W225" t="s">
        <v>898</v>
      </c>
      <c r="X225" t="s">
        <v>898</v>
      </c>
      <c r="Y225" t="e">
        <v>#REF!</v>
      </c>
      <c r="Z225" t="e">
        <v>#REF!</v>
      </c>
    </row>
    <row r="226">
      <c r="A226" t="s">
        <v>898</v>
      </c>
      <c r="B226" t="s">
        <v>898</v>
      </c>
      <c r="C226" t="s">
        <v>898</v>
      </c>
      <c r="D226" t="s">
        <v>898</v>
      </c>
      <c r="E226" t="s">
        <v>898</v>
      </c>
      <c r="F226" t="s">
        <v>898</v>
      </c>
      <c r="G226" t="s">
        <v>898</v>
      </c>
      <c r="H226" t="s">
        <v>898</v>
      </c>
      <c r="I226" t="s">
        <v>898</v>
      </c>
      <c r="J226" t="s">
        <v>898</v>
      </c>
      <c r="K226" t="s">
        <v>898</v>
      </c>
      <c r="L226" t="s">
        <v>898</v>
      </c>
      <c r="M226" t="s">
        <v>898</v>
      </c>
      <c r="N226" t="s">
        <v>898</v>
      </c>
      <c r="O226" t="s">
        <v>898</v>
      </c>
      <c r="P226" t="s">
        <v>898</v>
      </c>
      <c r="Q226" t="s">
        <v>898</v>
      </c>
      <c r="R226" t="s">
        <v>898</v>
      </c>
      <c r="S226" t="s">
        <v>898</v>
      </c>
      <c r="T226" t="s">
        <v>898</v>
      </c>
      <c r="U226" t="s">
        <v>898</v>
      </c>
      <c r="V226" t="s">
        <v>898</v>
      </c>
      <c r="W226" t="s">
        <v>898</v>
      </c>
      <c r="X226" t="s">
        <v>898</v>
      </c>
      <c r="Y226" t="e">
        <v>#REF!</v>
      </c>
      <c r="Z226" t="e">
        <v>#REF!</v>
      </c>
    </row>
    <row r="227">
      <c r="A227" t="s">
        <v>898</v>
      </c>
      <c r="B227" t="s">
        <v>898</v>
      </c>
      <c r="C227" t="s">
        <v>898</v>
      </c>
      <c r="D227" t="s">
        <v>898</v>
      </c>
      <c r="E227" t="s">
        <v>898</v>
      </c>
      <c r="F227" t="s">
        <v>898</v>
      </c>
      <c r="G227" t="s">
        <v>898</v>
      </c>
      <c r="H227" t="s">
        <v>898</v>
      </c>
      <c r="I227" t="s">
        <v>898</v>
      </c>
      <c r="J227" t="s">
        <v>898</v>
      </c>
      <c r="K227" t="s">
        <v>898</v>
      </c>
      <c r="L227" t="s">
        <v>898</v>
      </c>
      <c r="M227" t="s">
        <v>898</v>
      </c>
      <c r="N227" t="s">
        <v>898</v>
      </c>
      <c r="O227" t="s">
        <v>898</v>
      </c>
      <c r="P227" t="s">
        <v>898</v>
      </c>
      <c r="Q227" t="s">
        <v>898</v>
      </c>
      <c r="R227" t="s">
        <v>898</v>
      </c>
      <c r="S227" t="s">
        <v>898</v>
      </c>
      <c r="T227" t="s">
        <v>898</v>
      </c>
      <c r="U227" t="s">
        <v>898</v>
      </c>
      <c r="V227" t="s">
        <v>898</v>
      </c>
      <c r="W227" t="s">
        <v>898</v>
      </c>
      <c r="X227" t="s">
        <v>898</v>
      </c>
      <c r="Y227" t="e">
        <v>#REF!</v>
      </c>
      <c r="Z227" t="e">
        <v>#REF!</v>
      </c>
    </row>
    <row r="228">
      <c r="A228" t="s">
        <v>898</v>
      </c>
      <c r="B228" t="s">
        <v>898</v>
      </c>
      <c r="C228" t="s">
        <v>898</v>
      </c>
      <c r="D228" t="s">
        <v>898</v>
      </c>
      <c r="E228" t="s">
        <v>898</v>
      </c>
      <c r="F228" t="s">
        <v>898</v>
      </c>
      <c r="G228" t="s">
        <v>898</v>
      </c>
      <c r="H228" t="s">
        <v>898</v>
      </c>
      <c r="I228" t="s">
        <v>898</v>
      </c>
      <c r="J228" t="s">
        <v>898</v>
      </c>
      <c r="K228" t="s">
        <v>898</v>
      </c>
      <c r="L228" t="s">
        <v>898</v>
      </c>
      <c r="M228" t="s">
        <v>898</v>
      </c>
      <c r="N228" t="s">
        <v>898</v>
      </c>
      <c r="O228" t="s">
        <v>898</v>
      </c>
      <c r="P228" t="s">
        <v>898</v>
      </c>
      <c r="Q228" t="s">
        <v>898</v>
      </c>
      <c r="R228" t="s">
        <v>898</v>
      </c>
      <c r="S228" t="s">
        <v>898</v>
      </c>
      <c r="T228" t="s">
        <v>898</v>
      </c>
      <c r="U228" t="s">
        <v>898</v>
      </c>
      <c r="V228" t="s">
        <v>898</v>
      </c>
      <c r="W228" t="s">
        <v>898</v>
      </c>
      <c r="X228" t="s">
        <v>898</v>
      </c>
      <c r="Y228" t="e">
        <v>#REF!</v>
      </c>
      <c r="Z228" t="e">
        <v>#REF!</v>
      </c>
    </row>
    <row r="229">
      <c r="A229" t="s">
        <v>898</v>
      </c>
      <c r="B229" t="s">
        <v>898</v>
      </c>
      <c r="C229" t="s">
        <v>898</v>
      </c>
      <c r="D229" t="s">
        <v>898</v>
      </c>
      <c r="E229" t="s">
        <v>898</v>
      </c>
      <c r="F229" t="s">
        <v>898</v>
      </c>
      <c r="G229" t="s">
        <v>898</v>
      </c>
      <c r="H229" t="s">
        <v>898</v>
      </c>
      <c r="I229" t="s">
        <v>898</v>
      </c>
      <c r="J229" t="s">
        <v>898</v>
      </c>
      <c r="K229" t="s">
        <v>898</v>
      </c>
      <c r="L229" t="s">
        <v>898</v>
      </c>
      <c r="M229" t="s">
        <v>898</v>
      </c>
      <c r="N229" t="s">
        <v>898</v>
      </c>
      <c r="O229" t="s">
        <v>898</v>
      </c>
      <c r="P229" t="s">
        <v>898</v>
      </c>
      <c r="Q229" t="s">
        <v>898</v>
      </c>
      <c r="R229" t="s">
        <v>898</v>
      </c>
      <c r="S229" t="s">
        <v>898</v>
      </c>
      <c r="T229" t="s">
        <v>898</v>
      </c>
      <c r="U229" t="s">
        <v>898</v>
      </c>
      <c r="V229" t="s">
        <v>898</v>
      </c>
      <c r="W229" t="s">
        <v>898</v>
      </c>
      <c r="X229" t="s">
        <v>898</v>
      </c>
      <c r="Y229" t="e">
        <v>#REF!</v>
      </c>
      <c r="Z229" t="e">
        <v>#REF!</v>
      </c>
    </row>
    <row r="230">
      <c r="A230" t="s">
        <v>898</v>
      </c>
      <c r="B230" t="s">
        <v>898</v>
      </c>
      <c r="C230" t="s">
        <v>898</v>
      </c>
      <c r="D230" t="s">
        <v>898</v>
      </c>
      <c r="E230" t="s">
        <v>898</v>
      </c>
      <c r="F230" t="s">
        <v>898</v>
      </c>
      <c r="G230" t="s">
        <v>898</v>
      </c>
      <c r="H230" t="s">
        <v>898</v>
      </c>
      <c r="I230" t="s">
        <v>898</v>
      </c>
      <c r="J230" t="s">
        <v>898</v>
      </c>
      <c r="K230" t="s">
        <v>898</v>
      </c>
      <c r="L230" t="s">
        <v>898</v>
      </c>
      <c r="M230" t="s">
        <v>898</v>
      </c>
      <c r="N230" t="s">
        <v>898</v>
      </c>
      <c r="O230" t="s">
        <v>898</v>
      </c>
      <c r="P230" t="s">
        <v>898</v>
      </c>
      <c r="Q230" t="s">
        <v>898</v>
      </c>
      <c r="R230" t="s">
        <v>898</v>
      </c>
      <c r="S230" t="s">
        <v>898</v>
      </c>
      <c r="T230" t="s">
        <v>898</v>
      </c>
      <c r="U230" t="s">
        <v>898</v>
      </c>
      <c r="V230" t="s">
        <v>898</v>
      </c>
      <c r="W230" t="s">
        <v>898</v>
      </c>
      <c r="X230" t="s">
        <v>898</v>
      </c>
      <c r="Y230" t="e">
        <v>#REF!</v>
      </c>
      <c r="Z230" t="e">
        <v>#REF!</v>
      </c>
    </row>
    <row r="231">
      <c r="A231" t="s">
        <v>898</v>
      </c>
      <c r="B231" t="s">
        <v>898</v>
      </c>
      <c r="C231" t="s">
        <v>898</v>
      </c>
      <c r="D231" t="s">
        <v>898</v>
      </c>
      <c r="E231" t="s">
        <v>898</v>
      </c>
      <c r="F231" t="s">
        <v>898</v>
      </c>
      <c r="G231" t="s">
        <v>898</v>
      </c>
      <c r="H231" t="s">
        <v>898</v>
      </c>
      <c r="I231" t="s">
        <v>898</v>
      </c>
      <c r="J231" t="s">
        <v>898</v>
      </c>
      <c r="K231" t="s">
        <v>898</v>
      </c>
      <c r="L231" t="s">
        <v>898</v>
      </c>
      <c r="M231" t="s">
        <v>898</v>
      </c>
      <c r="N231" t="s">
        <v>898</v>
      </c>
      <c r="O231" t="s">
        <v>898</v>
      </c>
      <c r="P231" t="s">
        <v>898</v>
      </c>
      <c r="Q231" t="s">
        <v>898</v>
      </c>
      <c r="R231" t="s">
        <v>898</v>
      </c>
      <c r="S231" t="s">
        <v>898</v>
      </c>
      <c r="T231" t="s">
        <v>898</v>
      </c>
      <c r="U231" t="s">
        <v>898</v>
      </c>
      <c r="V231" t="s">
        <v>898</v>
      </c>
      <c r="W231" t="s">
        <v>898</v>
      </c>
      <c r="X231" t="s">
        <v>898</v>
      </c>
      <c r="Y231" t="e">
        <v>#REF!</v>
      </c>
      <c r="Z231" t="e">
        <v>#REF!</v>
      </c>
    </row>
    <row r="232">
      <c r="A232" t="s">
        <v>898</v>
      </c>
      <c r="B232" t="s">
        <v>898</v>
      </c>
      <c r="C232" t="s">
        <v>898</v>
      </c>
      <c r="D232" t="s">
        <v>898</v>
      </c>
      <c r="E232" t="s">
        <v>898</v>
      </c>
      <c r="F232" t="s">
        <v>898</v>
      </c>
      <c r="G232" t="s">
        <v>898</v>
      </c>
      <c r="H232" t="s">
        <v>898</v>
      </c>
      <c r="I232" t="s">
        <v>898</v>
      </c>
      <c r="J232" t="s">
        <v>898</v>
      </c>
      <c r="K232" t="s">
        <v>898</v>
      </c>
      <c r="L232" t="s">
        <v>898</v>
      </c>
      <c r="M232" t="s">
        <v>898</v>
      </c>
      <c r="N232" t="s">
        <v>898</v>
      </c>
      <c r="O232" t="s">
        <v>898</v>
      </c>
      <c r="P232" t="s">
        <v>898</v>
      </c>
      <c r="Q232" t="s">
        <v>898</v>
      </c>
      <c r="R232" t="s">
        <v>898</v>
      </c>
      <c r="S232" t="s">
        <v>898</v>
      </c>
      <c r="T232" t="s">
        <v>898</v>
      </c>
      <c r="U232" t="s">
        <v>898</v>
      </c>
      <c r="V232" t="s">
        <v>898</v>
      </c>
      <c r="W232" t="s">
        <v>898</v>
      </c>
      <c r="X232" t="s">
        <v>898</v>
      </c>
      <c r="Y232" t="e">
        <v>#REF!</v>
      </c>
      <c r="Z232" t="e">
        <v>#REF!</v>
      </c>
    </row>
    <row r="233">
      <c r="A233" t="s">
        <v>898</v>
      </c>
      <c r="B233" t="s">
        <v>898</v>
      </c>
      <c r="C233" t="s">
        <v>898</v>
      </c>
      <c r="D233" t="s">
        <v>898</v>
      </c>
      <c r="E233" t="s">
        <v>898</v>
      </c>
      <c r="F233" t="s">
        <v>898</v>
      </c>
      <c r="G233" t="s">
        <v>898</v>
      </c>
      <c r="H233" t="s">
        <v>898</v>
      </c>
      <c r="I233" t="s">
        <v>898</v>
      </c>
      <c r="J233" t="s">
        <v>898</v>
      </c>
      <c r="K233" t="s">
        <v>898</v>
      </c>
      <c r="L233" t="s">
        <v>898</v>
      </c>
      <c r="M233" t="s">
        <v>898</v>
      </c>
      <c r="N233" t="s">
        <v>898</v>
      </c>
      <c r="O233" t="s">
        <v>898</v>
      </c>
      <c r="P233" t="s">
        <v>898</v>
      </c>
      <c r="Q233" t="s">
        <v>898</v>
      </c>
      <c r="R233" t="s">
        <v>898</v>
      </c>
      <c r="S233" t="s">
        <v>898</v>
      </c>
      <c r="T233" t="s">
        <v>898</v>
      </c>
      <c r="U233" t="s">
        <v>898</v>
      </c>
      <c r="V233" t="s">
        <v>898</v>
      </c>
      <c r="W233" t="s">
        <v>898</v>
      </c>
      <c r="X233" t="s">
        <v>898</v>
      </c>
      <c r="Y233" t="e">
        <v>#REF!</v>
      </c>
      <c r="Z233" t="e">
        <v>#REF!</v>
      </c>
    </row>
    <row r="234">
      <c r="A234" t="s">
        <v>898</v>
      </c>
      <c r="B234" t="s">
        <v>898</v>
      </c>
      <c r="C234" t="s">
        <v>898</v>
      </c>
      <c r="D234" t="s">
        <v>898</v>
      </c>
      <c r="E234" t="s">
        <v>898</v>
      </c>
      <c r="F234" t="s">
        <v>898</v>
      </c>
      <c r="G234" t="s">
        <v>898</v>
      </c>
      <c r="H234" t="s">
        <v>898</v>
      </c>
      <c r="I234" t="s">
        <v>898</v>
      </c>
      <c r="J234" t="s">
        <v>898</v>
      </c>
      <c r="K234" t="s">
        <v>898</v>
      </c>
      <c r="L234" t="s">
        <v>898</v>
      </c>
      <c r="M234" t="s">
        <v>898</v>
      </c>
      <c r="N234" t="s">
        <v>898</v>
      </c>
      <c r="O234" t="s">
        <v>898</v>
      </c>
      <c r="P234" t="s">
        <v>898</v>
      </c>
      <c r="Q234" t="s">
        <v>898</v>
      </c>
      <c r="R234" t="s">
        <v>898</v>
      </c>
      <c r="S234" t="s">
        <v>898</v>
      </c>
      <c r="T234" t="s">
        <v>898</v>
      </c>
      <c r="U234" t="s">
        <v>898</v>
      </c>
      <c r="V234" t="s">
        <v>898</v>
      </c>
      <c r="W234" t="s">
        <v>898</v>
      </c>
      <c r="X234" t="s">
        <v>898</v>
      </c>
      <c r="Y234" t="e">
        <v>#REF!</v>
      </c>
      <c r="Z234" t="e">
        <v>#REF!</v>
      </c>
    </row>
    <row r="235">
      <c r="A235" t="s">
        <v>898</v>
      </c>
      <c r="B235" t="s">
        <v>898</v>
      </c>
      <c r="C235" t="s">
        <v>898</v>
      </c>
      <c r="D235" t="s">
        <v>898</v>
      </c>
      <c r="E235" t="s">
        <v>898</v>
      </c>
      <c r="F235" t="s">
        <v>898</v>
      </c>
      <c r="G235" t="s">
        <v>898</v>
      </c>
      <c r="H235" t="s">
        <v>898</v>
      </c>
      <c r="I235" t="s">
        <v>898</v>
      </c>
      <c r="J235" t="s">
        <v>898</v>
      </c>
      <c r="K235" t="s">
        <v>898</v>
      </c>
      <c r="L235" t="s">
        <v>898</v>
      </c>
      <c r="M235" t="s">
        <v>898</v>
      </c>
      <c r="N235" t="s">
        <v>898</v>
      </c>
      <c r="O235" t="s">
        <v>898</v>
      </c>
      <c r="P235" t="s">
        <v>898</v>
      </c>
      <c r="Q235" t="s">
        <v>898</v>
      </c>
      <c r="R235" t="s">
        <v>898</v>
      </c>
      <c r="S235" t="s">
        <v>898</v>
      </c>
      <c r="T235" t="s">
        <v>898</v>
      </c>
      <c r="U235" t="s">
        <v>898</v>
      </c>
      <c r="V235" t="s">
        <v>898</v>
      </c>
      <c r="W235" t="s">
        <v>898</v>
      </c>
      <c r="X235" t="s">
        <v>898</v>
      </c>
      <c r="Y235" t="e">
        <v>#REF!</v>
      </c>
      <c r="Z235" t="e">
        <v>#REF!</v>
      </c>
    </row>
    <row r="236">
      <c r="A236" t="s">
        <v>898</v>
      </c>
      <c r="B236" t="s">
        <v>898</v>
      </c>
      <c r="C236" t="s">
        <v>898</v>
      </c>
      <c r="D236" t="s">
        <v>898</v>
      </c>
      <c r="E236" t="s">
        <v>898</v>
      </c>
      <c r="F236" t="s">
        <v>898</v>
      </c>
      <c r="G236" t="s">
        <v>898</v>
      </c>
      <c r="H236" t="s">
        <v>898</v>
      </c>
      <c r="I236" t="s">
        <v>898</v>
      </c>
      <c r="J236" t="s">
        <v>898</v>
      </c>
      <c r="K236" t="s">
        <v>898</v>
      </c>
      <c r="L236" t="s">
        <v>898</v>
      </c>
      <c r="M236" t="s">
        <v>898</v>
      </c>
      <c r="N236" t="s">
        <v>898</v>
      </c>
      <c r="O236" t="s">
        <v>898</v>
      </c>
      <c r="P236" t="s">
        <v>898</v>
      </c>
      <c r="Q236" t="s">
        <v>898</v>
      </c>
      <c r="R236" t="s">
        <v>898</v>
      </c>
      <c r="S236" t="s">
        <v>898</v>
      </c>
      <c r="T236" t="s">
        <v>898</v>
      </c>
      <c r="U236" t="s">
        <v>898</v>
      </c>
      <c r="V236" t="s">
        <v>898</v>
      </c>
      <c r="W236" t="s">
        <v>898</v>
      </c>
      <c r="X236" t="s">
        <v>898</v>
      </c>
      <c r="Y236" t="e">
        <v>#REF!</v>
      </c>
      <c r="Z236" t="e">
        <v>#REF!</v>
      </c>
    </row>
    <row r="237">
      <c r="A237" t="s">
        <v>898</v>
      </c>
      <c r="B237" t="s">
        <v>898</v>
      </c>
      <c r="C237" t="s">
        <v>898</v>
      </c>
      <c r="D237" t="s">
        <v>898</v>
      </c>
      <c r="E237" t="s">
        <v>898</v>
      </c>
      <c r="F237" t="s">
        <v>898</v>
      </c>
      <c r="G237" t="s">
        <v>898</v>
      </c>
      <c r="H237" t="s">
        <v>898</v>
      </c>
      <c r="I237" t="s">
        <v>898</v>
      </c>
      <c r="J237" t="s">
        <v>898</v>
      </c>
      <c r="K237" t="s">
        <v>898</v>
      </c>
      <c r="L237" t="s">
        <v>898</v>
      </c>
      <c r="M237" t="s">
        <v>898</v>
      </c>
      <c r="N237" t="s">
        <v>898</v>
      </c>
      <c r="O237" t="s">
        <v>898</v>
      </c>
      <c r="P237" t="s">
        <v>898</v>
      </c>
      <c r="Q237" t="s">
        <v>898</v>
      </c>
      <c r="R237" t="s">
        <v>898</v>
      </c>
      <c r="S237" t="s">
        <v>898</v>
      </c>
      <c r="T237" t="s">
        <v>898</v>
      </c>
      <c r="U237" t="s">
        <v>898</v>
      </c>
      <c r="V237" t="s">
        <v>898</v>
      </c>
      <c r="W237" t="s">
        <v>898</v>
      </c>
      <c r="X237" t="s">
        <v>898</v>
      </c>
      <c r="Y237" t="e">
        <v>#REF!</v>
      </c>
      <c r="Z237" t="e">
        <v>#REF!</v>
      </c>
    </row>
    <row r="238">
      <c r="A238" t="s">
        <v>898</v>
      </c>
      <c r="B238" t="s">
        <v>898</v>
      </c>
      <c r="C238" t="s">
        <v>898</v>
      </c>
      <c r="D238" t="s">
        <v>898</v>
      </c>
      <c r="E238" t="s">
        <v>898</v>
      </c>
      <c r="F238" t="s">
        <v>898</v>
      </c>
      <c r="G238" t="s">
        <v>898</v>
      </c>
      <c r="H238" t="s">
        <v>898</v>
      </c>
      <c r="I238" t="s">
        <v>898</v>
      </c>
      <c r="J238" t="s">
        <v>898</v>
      </c>
      <c r="K238" t="s">
        <v>898</v>
      </c>
      <c r="L238" t="s">
        <v>898</v>
      </c>
      <c r="M238" t="s">
        <v>898</v>
      </c>
      <c r="N238" t="s">
        <v>898</v>
      </c>
      <c r="O238" t="s">
        <v>898</v>
      </c>
      <c r="P238" t="s">
        <v>898</v>
      </c>
      <c r="Q238" t="s">
        <v>898</v>
      </c>
      <c r="R238" t="s">
        <v>898</v>
      </c>
      <c r="S238" t="s">
        <v>898</v>
      </c>
      <c r="T238" t="s">
        <v>898</v>
      </c>
      <c r="U238" t="s">
        <v>898</v>
      </c>
      <c r="V238" t="s">
        <v>898</v>
      </c>
      <c r="W238" t="s">
        <v>898</v>
      </c>
      <c r="X238" t="s">
        <v>898</v>
      </c>
      <c r="Y238" t="e">
        <v>#REF!</v>
      </c>
      <c r="Z238" t="e">
        <v>#REF!</v>
      </c>
    </row>
    <row r="239">
      <c r="A239" t="s">
        <v>898</v>
      </c>
      <c r="B239" t="s">
        <v>898</v>
      </c>
      <c r="C239" t="s">
        <v>898</v>
      </c>
      <c r="D239" t="s">
        <v>898</v>
      </c>
      <c r="E239" t="s">
        <v>898</v>
      </c>
      <c r="F239" t="s">
        <v>898</v>
      </c>
      <c r="G239" t="s">
        <v>898</v>
      </c>
      <c r="H239" t="s">
        <v>898</v>
      </c>
      <c r="I239" t="s">
        <v>898</v>
      </c>
      <c r="J239" t="s">
        <v>898</v>
      </c>
      <c r="K239" t="s">
        <v>898</v>
      </c>
      <c r="L239" t="s">
        <v>898</v>
      </c>
      <c r="M239" t="s">
        <v>898</v>
      </c>
      <c r="N239" t="s">
        <v>898</v>
      </c>
      <c r="O239" t="s">
        <v>898</v>
      </c>
      <c r="P239" t="s">
        <v>898</v>
      </c>
      <c r="Q239" t="s">
        <v>898</v>
      </c>
      <c r="R239" t="s">
        <v>898</v>
      </c>
      <c r="S239" t="s">
        <v>898</v>
      </c>
      <c r="T239" t="s">
        <v>898</v>
      </c>
      <c r="U239" t="s">
        <v>898</v>
      </c>
      <c r="V239" t="s">
        <v>898</v>
      </c>
      <c r="W239" t="s">
        <v>898</v>
      </c>
      <c r="X239" t="s">
        <v>898</v>
      </c>
      <c r="Y239" t="e">
        <v>#REF!</v>
      </c>
      <c r="Z239" t="e">
        <v>#REF!</v>
      </c>
    </row>
    <row r="240">
      <c r="A240" t="s">
        <v>898</v>
      </c>
      <c r="B240" t="s">
        <v>898</v>
      </c>
      <c r="C240" t="s">
        <v>898</v>
      </c>
      <c r="D240" t="s">
        <v>898</v>
      </c>
      <c r="E240" t="s">
        <v>898</v>
      </c>
      <c r="F240" t="s">
        <v>898</v>
      </c>
      <c r="G240" t="s">
        <v>898</v>
      </c>
      <c r="H240" t="s">
        <v>898</v>
      </c>
      <c r="I240" t="s">
        <v>898</v>
      </c>
      <c r="J240" t="s">
        <v>898</v>
      </c>
      <c r="K240" t="s">
        <v>898</v>
      </c>
      <c r="L240" t="s">
        <v>898</v>
      </c>
      <c r="M240" t="s">
        <v>898</v>
      </c>
      <c r="N240" t="s">
        <v>898</v>
      </c>
      <c r="O240" t="s">
        <v>898</v>
      </c>
      <c r="P240" t="s">
        <v>898</v>
      </c>
      <c r="Q240" t="s">
        <v>898</v>
      </c>
      <c r="R240" t="s">
        <v>898</v>
      </c>
      <c r="S240" t="s">
        <v>898</v>
      </c>
      <c r="T240" t="s">
        <v>898</v>
      </c>
      <c r="U240" t="s">
        <v>898</v>
      </c>
      <c r="V240" t="s">
        <v>898</v>
      </c>
      <c r="W240" t="s">
        <v>898</v>
      </c>
      <c r="X240" t="s">
        <v>898</v>
      </c>
      <c r="Y240" t="e">
        <v>#REF!</v>
      </c>
      <c r="Z240" t="e">
        <v>#REF!</v>
      </c>
    </row>
    <row r="241">
      <c r="A241" t="s">
        <v>898</v>
      </c>
      <c r="B241" t="s">
        <v>898</v>
      </c>
      <c r="C241" t="s">
        <v>898</v>
      </c>
      <c r="D241" t="s">
        <v>898</v>
      </c>
      <c r="E241" t="s">
        <v>898</v>
      </c>
      <c r="F241" t="s">
        <v>898</v>
      </c>
      <c r="G241" t="s">
        <v>898</v>
      </c>
      <c r="H241" t="s">
        <v>898</v>
      </c>
      <c r="I241" t="s">
        <v>898</v>
      </c>
      <c r="J241" t="s">
        <v>898</v>
      </c>
      <c r="K241" t="s">
        <v>898</v>
      </c>
      <c r="L241" t="s">
        <v>898</v>
      </c>
      <c r="M241" t="s">
        <v>898</v>
      </c>
      <c r="N241" t="s">
        <v>898</v>
      </c>
      <c r="O241" t="s">
        <v>898</v>
      </c>
      <c r="P241" t="s">
        <v>898</v>
      </c>
      <c r="Q241" t="s">
        <v>898</v>
      </c>
      <c r="R241" t="s">
        <v>898</v>
      </c>
      <c r="S241" t="s">
        <v>898</v>
      </c>
      <c r="T241" t="s">
        <v>898</v>
      </c>
      <c r="U241" t="s">
        <v>898</v>
      </c>
      <c r="V241" t="s">
        <v>898</v>
      </c>
      <c r="W241" t="s">
        <v>898</v>
      </c>
      <c r="X241" t="s">
        <v>898</v>
      </c>
      <c r="Y241" t="e">
        <v>#REF!</v>
      </c>
      <c r="Z241" t="e">
        <v>#REF!</v>
      </c>
    </row>
    <row r="242">
      <c r="A242" t="s">
        <v>898</v>
      </c>
      <c r="B242" t="s">
        <v>898</v>
      </c>
      <c r="C242" t="s">
        <v>898</v>
      </c>
      <c r="D242" t="s">
        <v>898</v>
      </c>
      <c r="E242" t="s">
        <v>898</v>
      </c>
      <c r="F242" t="s">
        <v>898</v>
      </c>
      <c r="G242" t="s">
        <v>898</v>
      </c>
      <c r="H242" t="s">
        <v>898</v>
      </c>
      <c r="I242" t="s">
        <v>898</v>
      </c>
      <c r="J242" t="s">
        <v>898</v>
      </c>
      <c r="K242" t="s">
        <v>898</v>
      </c>
      <c r="L242" t="s">
        <v>898</v>
      </c>
      <c r="M242" t="s">
        <v>898</v>
      </c>
      <c r="N242" t="s">
        <v>898</v>
      </c>
      <c r="O242" t="s">
        <v>898</v>
      </c>
      <c r="P242" t="s">
        <v>898</v>
      </c>
      <c r="Q242" t="s">
        <v>898</v>
      </c>
      <c r="R242" t="s">
        <v>898</v>
      </c>
      <c r="S242" t="s">
        <v>898</v>
      </c>
      <c r="T242" t="s">
        <v>898</v>
      </c>
      <c r="U242" t="s">
        <v>898</v>
      </c>
      <c r="V242" t="s">
        <v>898</v>
      </c>
      <c r="W242" t="s">
        <v>898</v>
      </c>
      <c r="X242" t="s">
        <v>898</v>
      </c>
      <c r="Y242" t="e">
        <v>#REF!</v>
      </c>
      <c r="Z242" t="e">
        <v>#REF!</v>
      </c>
    </row>
    <row r="243">
      <c r="A243" t="s">
        <v>898</v>
      </c>
      <c r="B243" t="s">
        <v>898</v>
      </c>
      <c r="C243" t="s">
        <v>898</v>
      </c>
      <c r="D243" t="s">
        <v>898</v>
      </c>
      <c r="E243" t="s">
        <v>898</v>
      </c>
      <c r="F243" t="s">
        <v>898</v>
      </c>
      <c r="G243" t="s">
        <v>898</v>
      </c>
      <c r="H243" t="s">
        <v>898</v>
      </c>
      <c r="I243" t="s">
        <v>898</v>
      </c>
      <c r="J243" t="s">
        <v>898</v>
      </c>
      <c r="K243" t="s">
        <v>898</v>
      </c>
      <c r="L243" t="s">
        <v>898</v>
      </c>
      <c r="M243" t="s">
        <v>898</v>
      </c>
      <c r="N243" t="s">
        <v>898</v>
      </c>
      <c r="O243" t="s">
        <v>898</v>
      </c>
      <c r="P243" t="s">
        <v>898</v>
      </c>
      <c r="Q243" t="s">
        <v>898</v>
      </c>
      <c r="R243" t="s">
        <v>898</v>
      </c>
      <c r="S243" t="s">
        <v>898</v>
      </c>
      <c r="T243" t="s">
        <v>898</v>
      </c>
      <c r="U243" t="s">
        <v>898</v>
      </c>
      <c r="V243" t="s">
        <v>898</v>
      </c>
      <c r="W243" t="s">
        <v>898</v>
      </c>
      <c r="X243" t="s">
        <v>898</v>
      </c>
      <c r="Y243" t="e">
        <v>#REF!</v>
      </c>
      <c r="Z243" t="e">
        <v>#REF!</v>
      </c>
    </row>
    <row r="244">
      <c r="A244" t="s">
        <v>898</v>
      </c>
      <c r="B244" t="s">
        <v>898</v>
      </c>
      <c r="C244" t="s">
        <v>898</v>
      </c>
      <c r="D244" t="s">
        <v>898</v>
      </c>
      <c r="E244" t="s">
        <v>898</v>
      </c>
      <c r="F244" t="s">
        <v>898</v>
      </c>
      <c r="G244" t="s">
        <v>898</v>
      </c>
      <c r="H244" t="s">
        <v>898</v>
      </c>
      <c r="I244" t="s">
        <v>898</v>
      </c>
      <c r="J244" t="s">
        <v>898</v>
      </c>
      <c r="K244" t="s">
        <v>898</v>
      </c>
      <c r="L244" t="s">
        <v>898</v>
      </c>
      <c r="M244" t="s">
        <v>898</v>
      </c>
      <c r="N244" t="s">
        <v>898</v>
      </c>
      <c r="O244" t="s">
        <v>898</v>
      </c>
      <c r="P244" t="s">
        <v>898</v>
      </c>
      <c r="Q244" t="s">
        <v>898</v>
      </c>
      <c r="R244" t="s">
        <v>898</v>
      </c>
      <c r="S244" t="s">
        <v>898</v>
      </c>
      <c r="T244" t="s">
        <v>898</v>
      </c>
      <c r="U244" t="s">
        <v>898</v>
      </c>
      <c r="V244" t="s">
        <v>898</v>
      </c>
      <c r="W244" t="s">
        <v>898</v>
      </c>
      <c r="X244" t="s">
        <v>898</v>
      </c>
      <c r="Y244" t="e">
        <v>#REF!</v>
      </c>
      <c r="Z244" t="e">
        <v>#REF!</v>
      </c>
    </row>
    <row r="245">
      <c r="A245" t="s">
        <v>898</v>
      </c>
      <c r="B245" t="s">
        <v>898</v>
      </c>
      <c r="C245" t="s">
        <v>898</v>
      </c>
      <c r="D245" t="s">
        <v>898</v>
      </c>
      <c r="E245" t="s">
        <v>898</v>
      </c>
      <c r="F245" t="s">
        <v>898</v>
      </c>
      <c r="G245" t="s">
        <v>898</v>
      </c>
      <c r="H245" t="s">
        <v>898</v>
      </c>
      <c r="I245" t="s">
        <v>898</v>
      </c>
      <c r="J245" t="s">
        <v>898</v>
      </c>
      <c r="K245" t="s">
        <v>898</v>
      </c>
      <c r="L245" t="s">
        <v>898</v>
      </c>
      <c r="M245" t="s">
        <v>898</v>
      </c>
      <c r="N245" t="s">
        <v>898</v>
      </c>
      <c r="O245" t="s">
        <v>898</v>
      </c>
      <c r="P245" t="s">
        <v>898</v>
      </c>
      <c r="Q245" t="s">
        <v>898</v>
      </c>
      <c r="R245" t="s">
        <v>898</v>
      </c>
      <c r="S245" t="s">
        <v>898</v>
      </c>
      <c r="T245" t="s">
        <v>898</v>
      </c>
      <c r="U245" t="s">
        <v>898</v>
      </c>
      <c r="V245" t="s">
        <v>898</v>
      </c>
      <c r="W245" t="s">
        <v>898</v>
      </c>
      <c r="X245" t="s">
        <v>898</v>
      </c>
      <c r="Y245" t="e">
        <v>#REF!</v>
      </c>
      <c r="Z245" t="e">
        <v>#REF!</v>
      </c>
    </row>
    <row r="246">
      <c r="A246" t="s">
        <v>898</v>
      </c>
      <c r="B246" t="s">
        <v>898</v>
      </c>
      <c r="C246" t="s">
        <v>898</v>
      </c>
      <c r="D246" t="s">
        <v>898</v>
      </c>
      <c r="E246" t="s">
        <v>898</v>
      </c>
      <c r="F246" t="s">
        <v>898</v>
      </c>
      <c r="G246" t="s">
        <v>898</v>
      </c>
      <c r="H246" t="s">
        <v>898</v>
      </c>
      <c r="I246" t="s">
        <v>898</v>
      </c>
      <c r="J246" t="s">
        <v>898</v>
      </c>
      <c r="K246" t="s">
        <v>898</v>
      </c>
      <c r="L246" t="s">
        <v>898</v>
      </c>
      <c r="M246" t="s">
        <v>898</v>
      </c>
      <c r="N246" t="s">
        <v>898</v>
      </c>
      <c r="O246" t="s">
        <v>898</v>
      </c>
      <c r="P246" t="s">
        <v>898</v>
      </c>
      <c r="Q246" t="s">
        <v>898</v>
      </c>
      <c r="R246" t="s">
        <v>898</v>
      </c>
      <c r="S246" t="s">
        <v>898</v>
      </c>
      <c r="T246" t="s">
        <v>898</v>
      </c>
      <c r="U246" t="s">
        <v>898</v>
      </c>
      <c r="V246" t="s">
        <v>898</v>
      </c>
      <c r="W246" t="s">
        <v>898</v>
      </c>
      <c r="X246" t="s">
        <v>898</v>
      </c>
      <c r="Y246" t="e">
        <v>#REF!</v>
      </c>
      <c r="Z246" t="e">
        <v>#REF!</v>
      </c>
    </row>
    <row r="247">
      <c r="A247" t="s">
        <v>898</v>
      </c>
      <c r="B247" t="s">
        <v>898</v>
      </c>
      <c r="C247" t="s">
        <v>898</v>
      </c>
      <c r="D247" t="s">
        <v>898</v>
      </c>
      <c r="E247" t="s">
        <v>898</v>
      </c>
      <c r="F247" t="s">
        <v>898</v>
      </c>
      <c r="G247" t="s">
        <v>898</v>
      </c>
      <c r="H247" t="s">
        <v>898</v>
      </c>
      <c r="I247" t="s">
        <v>898</v>
      </c>
      <c r="J247" t="s">
        <v>898</v>
      </c>
      <c r="K247" t="s">
        <v>898</v>
      </c>
      <c r="L247" t="s">
        <v>898</v>
      </c>
      <c r="M247" t="s">
        <v>898</v>
      </c>
      <c r="N247" t="s">
        <v>898</v>
      </c>
      <c r="O247" t="s">
        <v>898</v>
      </c>
      <c r="P247" t="s">
        <v>898</v>
      </c>
      <c r="Q247" t="s">
        <v>898</v>
      </c>
      <c r="R247" t="s">
        <v>898</v>
      </c>
      <c r="S247" t="s">
        <v>898</v>
      </c>
      <c r="T247" t="s">
        <v>898</v>
      </c>
      <c r="U247" t="s">
        <v>898</v>
      </c>
      <c r="V247" t="s">
        <v>898</v>
      </c>
      <c r="W247" t="s">
        <v>898</v>
      </c>
      <c r="X247" t="s">
        <v>898</v>
      </c>
      <c r="Y247" t="e">
        <v>#REF!</v>
      </c>
      <c r="Z247" t="e">
        <v>#REF!</v>
      </c>
    </row>
    <row r="248">
      <c r="A248" t="s">
        <v>898</v>
      </c>
      <c r="B248" t="s">
        <v>898</v>
      </c>
      <c r="C248" t="s">
        <v>898</v>
      </c>
      <c r="D248" t="s">
        <v>898</v>
      </c>
      <c r="E248" t="s">
        <v>898</v>
      </c>
      <c r="F248" t="s">
        <v>898</v>
      </c>
      <c r="G248" t="s">
        <v>898</v>
      </c>
      <c r="H248" t="s">
        <v>898</v>
      </c>
      <c r="I248" t="s">
        <v>898</v>
      </c>
      <c r="J248" t="s">
        <v>898</v>
      </c>
      <c r="K248" t="s">
        <v>898</v>
      </c>
      <c r="L248" t="s">
        <v>898</v>
      </c>
      <c r="M248" t="s">
        <v>898</v>
      </c>
      <c r="N248" t="s">
        <v>898</v>
      </c>
      <c r="O248" t="s">
        <v>898</v>
      </c>
      <c r="P248" t="s">
        <v>898</v>
      </c>
      <c r="Q248" t="s">
        <v>898</v>
      </c>
      <c r="R248" t="s">
        <v>898</v>
      </c>
      <c r="S248" t="s">
        <v>898</v>
      </c>
      <c r="T248" t="s">
        <v>898</v>
      </c>
      <c r="U248" t="s">
        <v>898</v>
      </c>
      <c r="V248" t="s">
        <v>898</v>
      </c>
      <c r="W248" t="s">
        <v>898</v>
      </c>
      <c r="X248" t="s">
        <v>898</v>
      </c>
      <c r="Y248" t="e">
        <v>#REF!</v>
      </c>
      <c r="Z248" t="e">
        <v>#REF!</v>
      </c>
    </row>
    <row r="249">
      <c r="A249" t="s">
        <v>898</v>
      </c>
      <c r="B249" t="s">
        <v>898</v>
      </c>
      <c r="C249" t="s">
        <v>898</v>
      </c>
      <c r="D249" t="s">
        <v>898</v>
      </c>
      <c r="E249" t="s">
        <v>898</v>
      </c>
      <c r="F249" t="s">
        <v>898</v>
      </c>
      <c r="G249" t="s">
        <v>898</v>
      </c>
      <c r="H249" t="s">
        <v>898</v>
      </c>
      <c r="I249" t="s">
        <v>898</v>
      </c>
      <c r="J249" t="s">
        <v>898</v>
      </c>
      <c r="K249" t="s">
        <v>898</v>
      </c>
      <c r="L249" t="s">
        <v>898</v>
      </c>
      <c r="M249" t="s">
        <v>898</v>
      </c>
      <c r="N249" t="s">
        <v>898</v>
      </c>
      <c r="O249" t="s">
        <v>898</v>
      </c>
      <c r="P249" t="s">
        <v>898</v>
      </c>
      <c r="Q249" t="s">
        <v>898</v>
      </c>
      <c r="R249" t="s">
        <v>898</v>
      </c>
      <c r="S249" t="s">
        <v>898</v>
      </c>
      <c r="T249" t="s">
        <v>898</v>
      </c>
      <c r="U249" t="s">
        <v>898</v>
      </c>
      <c r="V249" t="s">
        <v>898</v>
      </c>
      <c r="W249" t="s">
        <v>898</v>
      </c>
      <c r="X249" t="s">
        <v>898</v>
      </c>
      <c r="Y249" t="e">
        <v>#REF!</v>
      </c>
      <c r="Z249" t="e">
        <v>#REF!</v>
      </c>
    </row>
    <row r="250">
      <c r="A250" t="s">
        <v>898</v>
      </c>
      <c r="B250" t="s">
        <v>898</v>
      </c>
      <c r="C250" t="s">
        <v>898</v>
      </c>
      <c r="D250" t="s">
        <v>898</v>
      </c>
      <c r="E250" t="s">
        <v>898</v>
      </c>
      <c r="F250" t="s">
        <v>898</v>
      </c>
      <c r="G250" t="s">
        <v>898</v>
      </c>
      <c r="H250" t="s">
        <v>898</v>
      </c>
      <c r="I250" t="s">
        <v>898</v>
      </c>
      <c r="J250" t="s">
        <v>898</v>
      </c>
      <c r="K250" t="s">
        <v>898</v>
      </c>
      <c r="L250" t="s">
        <v>898</v>
      </c>
      <c r="M250" t="s">
        <v>898</v>
      </c>
      <c r="N250" t="s">
        <v>898</v>
      </c>
      <c r="O250" t="s">
        <v>898</v>
      </c>
      <c r="P250" t="s">
        <v>898</v>
      </c>
      <c r="Q250" t="s">
        <v>898</v>
      </c>
      <c r="R250" t="s">
        <v>898</v>
      </c>
      <c r="S250" t="s">
        <v>898</v>
      </c>
      <c r="T250" t="s">
        <v>898</v>
      </c>
      <c r="U250" t="s">
        <v>898</v>
      </c>
      <c r="V250" t="s">
        <v>898</v>
      </c>
      <c r="W250" t="s">
        <v>898</v>
      </c>
      <c r="X250" t="s">
        <v>898</v>
      </c>
      <c r="Y250" t="e">
        <v>#REF!</v>
      </c>
      <c r="Z250" t="e">
        <v>#REF!</v>
      </c>
    </row>
    <row r="251">
      <c r="A251" t="s">
        <v>898</v>
      </c>
      <c r="B251" t="s">
        <v>898</v>
      </c>
      <c r="C251" t="s">
        <v>898</v>
      </c>
      <c r="D251" t="s">
        <v>898</v>
      </c>
      <c r="E251" t="s">
        <v>898</v>
      </c>
      <c r="F251" t="s">
        <v>898</v>
      </c>
      <c r="G251" t="s">
        <v>898</v>
      </c>
      <c r="H251" t="s">
        <v>898</v>
      </c>
      <c r="I251" t="s">
        <v>898</v>
      </c>
      <c r="J251" t="s">
        <v>898</v>
      </c>
      <c r="K251" t="s">
        <v>898</v>
      </c>
      <c r="L251" t="s">
        <v>898</v>
      </c>
      <c r="M251" t="s">
        <v>898</v>
      </c>
      <c r="N251" t="s">
        <v>898</v>
      </c>
      <c r="O251" t="s">
        <v>898</v>
      </c>
      <c r="P251" t="s">
        <v>898</v>
      </c>
      <c r="Q251" t="s">
        <v>898</v>
      </c>
      <c r="R251" t="s">
        <v>898</v>
      </c>
      <c r="S251" t="s">
        <v>898</v>
      </c>
      <c r="T251" t="s">
        <v>898</v>
      </c>
      <c r="U251" t="s">
        <v>898</v>
      </c>
      <c r="V251" t="s">
        <v>898</v>
      </c>
      <c r="W251" t="s">
        <v>898</v>
      </c>
      <c r="X251" t="s">
        <v>898</v>
      </c>
      <c r="Y251" t="e">
        <v>#REF!</v>
      </c>
      <c r="Z251" t="e">
        <v>#REF!</v>
      </c>
    </row>
    <row r="252">
      <c r="A252" t="s">
        <v>898</v>
      </c>
      <c r="B252" t="s">
        <v>898</v>
      </c>
      <c r="C252" t="s">
        <v>898</v>
      </c>
      <c r="D252" t="s">
        <v>898</v>
      </c>
      <c r="E252" t="s">
        <v>898</v>
      </c>
      <c r="F252" t="s">
        <v>898</v>
      </c>
      <c r="G252" t="s">
        <v>898</v>
      </c>
      <c r="H252" t="s">
        <v>898</v>
      </c>
      <c r="I252" t="s">
        <v>898</v>
      </c>
      <c r="J252" t="s">
        <v>898</v>
      </c>
      <c r="K252" t="s">
        <v>898</v>
      </c>
      <c r="L252" t="s">
        <v>898</v>
      </c>
      <c r="M252" t="s">
        <v>898</v>
      </c>
      <c r="N252" t="s">
        <v>898</v>
      </c>
      <c r="O252" t="s">
        <v>898</v>
      </c>
      <c r="P252" t="s">
        <v>898</v>
      </c>
      <c r="Q252" t="s">
        <v>898</v>
      </c>
      <c r="R252" t="s">
        <v>898</v>
      </c>
      <c r="S252" t="s">
        <v>898</v>
      </c>
      <c r="T252" t="s">
        <v>898</v>
      </c>
      <c r="U252" t="s">
        <v>898</v>
      </c>
      <c r="V252" t="s">
        <v>898</v>
      </c>
      <c r="W252" t="s">
        <v>898</v>
      </c>
      <c r="X252" t="s">
        <v>898</v>
      </c>
      <c r="Y252" t="e">
        <v>#REF!</v>
      </c>
      <c r="Z252" t="e">
        <v>#REF!</v>
      </c>
    </row>
    <row r="253">
      <c r="A253" t="s">
        <v>898</v>
      </c>
      <c r="B253" t="s">
        <v>898</v>
      </c>
      <c r="C253" t="s">
        <v>898</v>
      </c>
      <c r="D253" t="s">
        <v>898</v>
      </c>
      <c r="E253" t="s">
        <v>898</v>
      </c>
      <c r="F253" t="s">
        <v>898</v>
      </c>
      <c r="G253" t="s">
        <v>898</v>
      </c>
      <c r="H253" t="s">
        <v>898</v>
      </c>
      <c r="I253" t="s">
        <v>898</v>
      </c>
      <c r="J253" t="s">
        <v>898</v>
      </c>
      <c r="K253" t="s">
        <v>898</v>
      </c>
      <c r="L253" t="s">
        <v>898</v>
      </c>
      <c r="M253" t="s">
        <v>898</v>
      </c>
      <c r="N253" t="s">
        <v>898</v>
      </c>
      <c r="O253" t="s">
        <v>898</v>
      </c>
      <c r="P253" t="s">
        <v>898</v>
      </c>
      <c r="Q253" t="s">
        <v>898</v>
      </c>
      <c r="R253" t="s">
        <v>898</v>
      </c>
      <c r="S253" t="s">
        <v>898</v>
      </c>
      <c r="T253" t="s">
        <v>898</v>
      </c>
      <c r="U253" t="s">
        <v>898</v>
      </c>
      <c r="V253" t="s">
        <v>898</v>
      </c>
      <c r="W253" t="s">
        <v>898</v>
      </c>
      <c r="X253" t="s">
        <v>898</v>
      </c>
      <c r="Y253" t="e">
        <v>#REF!</v>
      </c>
      <c r="Z253" t="e">
        <v>#REF!</v>
      </c>
    </row>
    <row r="254">
      <c r="A254" t="s">
        <v>898</v>
      </c>
      <c r="B254" t="s">
        <v>898</v>
      </c>
      <c r="C254" t="s">
        <v>898</v>
      </c>
      <c r="D254" t="s">
        <v>898</v>
      </c>
      <c r="E254" t="s">
        <v>898</v>
      </c>
      <c r="F254" t="s">
        <v>898</v>
      </c>
      <c r="G254" t="s">
        <v>898</v>
      </c>
      <c r="H254" t="s">
        <v>898</v>
      </c>
      <c r="I254" t="s">
        <v>898</v>
      </c>
      <c r="J254" t="s">
        <v>898</v>
      </c>
      <c r="K254" t="s">
        <v>898</v>
      </c>
      <c r="L254" t="s">
        <v>898</v>
      </c>
      <c r="M254" t="s">
        <v>898</v>
      </c>
      <c r="N254" t="s">
        <v>898</v>
      </c>
      <c r="O254" t="s">
        <v>898</v>
      </c>
      <c r="P254" t="s">
        <v>898</v>
      </c>
      <c r="Q254" t="s">
        <v>898</v>
      </c>
      <c r="R254" t="s">
        <v>898</v>
      </c>
      <c r="S254" t="s">
        <v>898</v>
      </c>
      <c r="T254" t="s">
        <v>898</v>
      </c>
      <c r="U254" t="s">
        <v>898</v>
      </c>
      <c r="V254" t="s">
        <v>898</v>
      </c>
      <c r="W254" t="s">
        <v>898</v>
      </c>
      <c r="X254" t="s">
        <v>898</v>
      </c>
      <c r="Y254" t="e">
        <v>#REF!</v>
      </c>
      <c r="Z254" t="e">
        <v>#REF!</v>
      </c>
    </row>
    <row r="255">
      <c r="A255" t="s">
        <v>898</v>
      </c>
      <c r="B255" t="s">
        <v>898</v>
      </c>
      <c r="C255" t="s">
        <v>898</v>
      </c>
      <c r="D255" t="s">
        <v>898</v>
      </c>
      <c r="E255" t="s">
        <v>898</v>
      </c>
      <c r="F255" t="s">
        <v>898</v>
      </c>
      <c r="G255" t="s">
        <v>898</v>
      </c>
      <c r="H255" t="s">
        <v>898</v>
      </c>
      <c r="I255" t="s">
        <v>898</v>
      </c>
      <c r="J255" t="s">
        <v>898</v>
      </c>
      <c r="K255" t="s">
        <v>898</v>
      </c>
      <c r="L255" t="s">
        <v>898</v>
      </c>
      <c r="M255" t="s">
        <v>898</v>
      </c>
      <c r="N255" t="s">
        <v>898</v>
      </c>
      <c r="O255" t="s">
        <v>898</v>
      </c>
      <c r="P255" t="s">
        <v>898</v>
      </c>
      <c r="Q255" t="s">
        <v>898</v>
      </c>
      <c r="R255" t="s">
        <v>898</v>
      </c>
      <c r="S255" t="s">
        <v>898</v>
      </c>
      <c r="T255" t="s">
        <v>898</v>
      </c>
      <c r="U255" t="s">
        <v>898</v>
      </c>
      <c r="V255" t="s">
        <v>898</v>
      </c>
      <c r="W255" t="s">
        <v>898</v>
      </c>
      <c r="X255" t="s">
        <v>898</v>
      </c>
      <c r="Y255" t="e">
        <v>#REF!</v>
      </c>
      <c r="Z255" t="e">
        <v>#REF!</v>
      </c>
    </row>
    <row r="256">
      <c r="A256" t="s">
        <v>898</v>
      </c>
      <c r="B256" t="s">
        <v>898</v>
      </c>
      <c r="C256" t="s">
        <v>898</v>
      </c>
      <c r="D256" t="s">
        <v>898</v>
      </c>
      <c r="E256" t="s">
        <v>898</v>
      </c>
      <c r="F256" t="s">
        <v>898</v>
      </c>
      <c r="G256" t="s">
        <v>898</v>
      </c>
      <c r="H256" t="s">
        <v>898</v>
      </c>
      <c r="I256" t="s">
        <v>898</v>
      </c>
      <c r="J256" t="s">
        <v>898</v>
      </c>
      <c r="K256" t="s">
        <v>898</v>
      </c>
      <c r="L256" t="s">
        <v>898</v>
      </c>
      <c r="M256" t="s">
        <v>898</v>
      </c>
      <c r="N256" t="s">
        <v>898</v>
      </c>
      <c r="O256" t="s">
        <v>898</v>
      </c>
      <c r="P256" t="s">
        <v>898</v>
      </c>
      <c r="Q256" t="s">
        <v>898</v>
      </c>
      <c r="R256" t="s">
        <v>898</v>
      </c>
      <c r="S256" t="s">
        <v>898</v>
      </c>
      <c r="T256" t="s">
        <v>898</v>
      </c>
      <c r="U256" t="s">
        <v>898</v>
      </c>
      <c r="V256" t="s">
        <v>898</v>
      </c>
      <c r="W256" t="s">
        <v>898</v>
      </c>
      <c r="X256" t="s">
        <v>898</v>
      </c>
      <c r="Y256" t="e">
        <v>#REF!</v>
      </c>
      <c r="Z256" t="e">
        <v>#REF!</v>
      </c>
    </row>
    <row r="257">
      <c r="A257" t="s">
        <v>898</v>
      </c>
      <c r="B257" t="s">
        <v>898</v>
      </c>
      <c r="C257" t="s">
        <v>898</v>
      </c>
      <c r="D257" t="s">
        <v>898</v>
      </c>
      <c r="E257" t="s">
        <v>898</v>
      </c>
      <c r="F257" t="s">
        <v>898</v>
      </c>
      <c r="G257" t="s">
        <v>898</v>
      </c>
      <c r="H257" t="s">
        <v>898</v>
      </c>
      <c r="I257" t="s">
        <v>898</v>
      </c>
      <c r="J257" t="s">
        <v>898</v>
      </c>
      <c r="K257" t="s">
        <v>898</v>
      </c>
      <c r="L257" t="s">
        <v>898</v>
      </c>
      <c r="M257" t="s">
        <v>898</v>
      </c>
      <c r="N257" t="s">
        <v>898</v>
      </c>
      <c r="O257" t="s">
        <v>898</v>
      </c>
      <c r="P257" t="s">
        <v>898</v>
      </c>
      <c r="Q257" t="s">
        <v>898</v>
      </c>
      <c r="R257" t="s">
        <v>898</v>
      </c>
      <c r="S257" t="s">
        <v>898</v>
      </c>
      <c r="T257" t="s">
        <v>898</v>
      </c>
      <c r="U257" t="s">
        <v>898</v>
      </c>
      <c r="V257" t="s">
        <v>898</v>
      </c>
      <c r="W257" t="s">
        <v>898</v>
      </c>
      <c r="X257" t="s">
        <v>898</v>
      </c>
      <c r="Y257" t="e">
        <v>#REF!</v>
      </c>
      <c r="Z257" t="e">
        <v>#REF!</v>
      </c>
    </row>
    <row r="258">
      <c r="A258" t="s">
        <v>898</v>
      </c>
      <c r="B258" t="s">
        <v>898</v>
      </c>
      <c r="C258" t="s">
        <v>898</v>
      </c>
      <c r="D258" t="s">
        <v>898</v>
      </c>
      <c r="E258" t="s">
        <v>898</v>
      </c>
      <c r="F258" t="s">
        <v>898</v>
      </c>
      <c r="G258" t="s">
        <v>898</v>
      </c>
      <c r="H258" t="s">
        <v>898</v>
      </c>
      <c r="I258" t="s">
        <v>898</v>
      </c>
      <c r="J258" t="s">
        <v>898</v>
      </c>
      <c r="K258" t="s">
        <v>898</v>
      </c>
      <c r="L258" t="s">
        <v>898</v>
      </c>
      <c r="M258" t="s">
        <v>898</v>
      </c>
      <c r="N258" t="s">
        <v>898</v>
      </c>
      <c r="O258" t="s">
        <v>898</v>
      </c>
      <c r="P258" t="s">
        <v>898</v>
      </c>
      <c r="Q258" t="s">
        <v>898</v>
      </c>
      <c r="R258" t="s">
        <v>898</v>
      </c>
      <c r="S258" t="s">
        <v>898</v>
      </c>
      <c r="T258" t="s">
        <v>898</v>
      </c>
      <c r="U258" t="s">
        <v>898</v>
      </c>
      <c r="V258" t="s">
        <v>898</v>
      </c>
      <c r="W258" t="s">
        <v>898</v>
      </c>
      <c r="X258" t="s">
        <v>898</v>
      </c>
      <c r="Y258" t="e">
        <v>#REF!</v>
      </c>
      <c r="Z258" t="e">
        <v>#REF!</v>
      </c>
    </row>
    <row r="259">
      <c r="A259" t="s">
        <v>898</v>
      </c>
      <c r="B259" t="s">
        <v>898</v>
      </c>
      <c r="C259" t="s">
        <v>898</v>
      </c>
      <c r="D259" t="s">
        <v>898</v>
      </c>
      <c r="E259" t="s">
        <v>898</v>
      </c>
      <c r="F259" t="s">
        <v>898</v>
      </c>
      <c r="G259" t="s">
        <v>898</v>
      </c>
      <c r="H259" t="s">
        <v>898</v>
      </c>
      <c r="I259" t="s">
        <v>898</v>
      </c>
      <c r="J259" t="s">
        <v>898</v>
      </c>
      <c r="K259" t="s">
        <v>898</v>
      </c>
      <c r="L259" t="s">
        <v>898</v>
      </c>
      <c r="M259" t="s">
        <v>898</v>
      </c>
      <c r="N259" t="s">
        <v>898</v>
      </c>
      <c r="O259" t="s">
        <v>898</v>
      </c>
      <c r="P259" t="s">
        <v>898</v>
      </c>
      <c r="Q259" t="s">
        <v>898</v>
      </c>
      <c r="R259" t="s">
        <v>898</v>
      </c>
      <c r="S259" t="s">
        <v>898</v>
      </c>
      <c r="T259" t="s">
        <v>898</v>
      </c>
      <c r="U259" t="s">
        <v>898</v>
      </c>
      <c r="V259" t="s">
        <v>898</v>
      </c>
      <c r="W259" t="s">
        <v>898</v>
      </c>
      <c r="X259" t="s">
        <v>898</v>
      </c>
      <c r="Y259" t="e">
        <v>#REF!</v>
      </c>
      <c r="Z259" t="e">
        <v>#REF!</v>
      </c>
    </row>
    <row r="260">
      <c r="A260" t="s">
        <v>898</v>
      </c>
      <c r="B260" t="s">
        <v>898</v>
      </c>
      <c r="C260" t="s">
        <v>898</v>
      </c>
      <c r="D260" t="s">
        <v>898</v>
      </c>
      <c r="E260" t="s">
        <v>898</v>
      </c>
      <c r="F260" t="s">
        <v>898</v>
      </c>
      <c r="G260" t="s">
        <v>898</v>
      </c>
      <c r="H260" t="s">
        <v>898</v>
      </c>
      <c r="I260" t="s">
        <v>898</v>
      </c>
      <c r="J260" t="s">
        <v>898</v>
      </c>
      <c r="K260" t="s">
        <v>898</v>
      </c>
      <c r="L260" t="s">
        <v>898</v>
      </c>
      <c r="M260" t="s">
        <v>898</v>
      </c>
      <c r="N260" t="s">
        <v>898</v>
      </c>
      <c r="O260" t="s">
        <v>898</v>
      </c>
      <c r="P260" t="s">
        <v>898</v>
      </c>
      <c r="Q260" t="s">
        <v>898</v>
      </c>
      <c r="R260" t="s">
        <v>898</v>
      </c>
      <c r="S260" t="s">
        <v>898</v>
      </c>
      <c r="T260" t="s">
        <v>898</v>
      </c>
      <c r="U260" t="s">
        <v>898</v>
      </c>
      <c r="V260" t="s">
        <v>898</v>
      </c>
      <c r="W260" t="s">
        <v>898</v>
      </c>
      <c r="X260" t="s">
        <v>898</v>
      </c>
      <c r="Y260" t="e">
        <v>#REF!</v>
      </c>
      <c r="Z260" t="e">
        <v>#REF!</v>
      </c>
    </row>
    <row r="261">
      <c r="A261" t="s">
        <v>898</v>
      </c>
      <c r="B261" t="s">
        <v>898</v>
      </c>
      <c r="C261" t="s">
        <v>898</v>
      </c>
      <c r="D261" t="s">
        <v>898</v>
      </c>
      <c r="E261" t="s">
        <v>898</v>
      </c>
      <c r="F261" t="s">
        <v>898</v>
      </c>
      <c r="G261" t="s">
        <v>898</v>
      </c>
      <c r="H261" t="s">
        <v>898</v>
      </c>
      <c r="I261" t="s">
        <v>898</v>
      </c>
      <c r="J261" t="s">
        <v>898</v>
      </c>
      <c r="K261" t="s">
        <v>898</v>
      </c>
      <c r="L261" t="s">
        <v>898</v>
      </c>
      <c r="M261" t="s">
        <v>898</v>
      </c>
      <c r="N261" t="s">
        <v>898</v>
      </c>
      <c r="O261" t="s">
        <v>898</v>
      </c>
      <c r="P261" t="s">
        <v>898</v>
      </c>
      <c r="Q261" t="s">
        <v>898</v>
      </c>
      <c r="R261" t="s">
        <v>898</v>
      </c>
      <c r="S261" t="s">
        <v>898</v>
      </c>
      <c r="T261" t="s">
        <v>898</v>
      </c>
      <c r="U261" t="s">
        <v>898</v>
      </c>
      <c r="V261" t="s">
        <v>898</v>
      </c>
      <c r="W261" t="s">
        <v>898</v>
      </c>
      <c r="X261" t="s">
        <v>898</v>
      </c>
      <c r="Y261" t="e">
        <v>#REF!</v>
      </c>
      <c r="Z261" t="e">
        <v>#REF!</v>
      </c>
    </row>
    <row r="262">
      <c r="A262" t="s">
        <v>898</v>
      </c>
      <c r="B262" t="s">
        <v>898</v>
      </c>
      <c r="C262" t="s">
        <v>898</v>
      </c>
      <c r="D262" t="s">
        <v>898</v>
      </c>
      <c r="E262" t="s">
        <v>898</v>
      </c>
      <c r="F262" t="s">
        <v>898</v>
      </c>
      <c r="G262" t="s">
        <v>898</v>
      </c>
      <c r="H262" t="s">
        <v>898</v>
      </c>
      <c r="I262" t="s">
        <v>898</v>
      </c>
      <c r="J262" t="s">
        <v>898</v>
      </c>
      <c r="K262" t="s">
        <v>898</v>
      </c>
      <c r="L262" t="s">
        <v>898</v>
      </c>
      <c r="M262" t="s">
        <v>898</v>
      </c>
      <c r="N262" t="s">
        <v>898</v>
      </c>
      <c r="O262" t="s">
        <v>898</v>
      </c>
      <c r="P262" t="s">
        <v>898</v>
      </c>
      <c r="Q262" t="s">
        <v>898</v>
      </c>
      <c r="R262" t="s">
        <v>898</v>
      </c>
      <c r="S262" t="s">
        <v>898</v>
      </c>
      <c r="T262" t="s">
        <v>898</v>
      </c>
      <c r="U262" t="s">
        <v>898</v>
      </c>
      <c r="V262" t="s">
        <v>898</v>
      </c>
      <c r="W262" t="s">
        <v>898</v>
      </c>
      <c r="X262" t="s">
        <v>898</v>
      </c>
      <c r="Y262" t="e">
        <v>#REF!</v>
      </c>
      <c r="Z262" t="e">
        <v>#REF!</v>
      </c>
    </row>
    <row r="263">
      <c r="A263" t="s">
        <v>898</v>
      </c>
      <c r="B263" t="s">
        <v>898</v>
      </c>
      <c r="C263" t="s">
        <v>898</v>
      </c>
      <c r="D263" t="s">
        <v>898</v>
      </c>
      <c r="E263" t="s">
        <v>898</v>
      </c>
      <c r="F263" t="s">
        <v>898</v>
      </c>
      <c r="G263" t="s">
        <v>898</v>
      </c>
      <c r="H263" t="s">
        <v>898</v>
      </c>
      <c r="I263" t="s">
        <v>898</v>
      </c>
      <c r="J263" t="s">
        <v>898</v>
      </c>
      <c r="K263" t="s">
        <v>898</v>
      </c>
      <c r="L263" t="s">
        <v>898</v>
      </c>
      <c r="M263" t="s">
        <v>898</v>
      </c>
      <c r="N263" t="s">
        <v>898</v>
      </c>
      <c r="O263" t="s">
        <v>898</v>
      </c>
      <c r="P263" t="s">
        <v>898</v>
      </c>
      <c r="Q263" t="s">
        <v>898</v>
      </c>
      <c r="R263" t="s">
        <v>898</v>
      </c>
      <c r="S263" t="s">
        <v>898</v>
      </c>
      <c r="T263" t="s">
        <v>898</v>
      </c>
      <c r="U263" t="s">
        <v>898</v>
      </c>
      <c r="V263" t="s">
        <v>898</v>
      </c>
      <c r="W263" t="s">
        <v>898</v>
      </c>
      <c r="X263" t="s">
        <v>898</v>
      </c>
      <c r="Y263" t="e">
        <v>#REF!</v>
      </c>
      <c r="Z263" t="e">
        <v>#REF!</v>
      </c>
    </row>
    <row r="264">
      <c r="A264" t="s">
        <v>898</v>
      </c>
      <c r="B264" t="s">
        <v>898</v>
      </c>
      <c r="C264" t="s">
        <v>898</v>
      </c>
      <c r="D264" t="s">
        <v>898</v>
      </c>
      <c r="E264" t="s">
        <v>898</v>
      </c>
      <c r="F264" t="s">
        <v>898</v>
      </c>
      <c r="G264" t="s">
        <v>898</v>
      </c>
      <c r="H264" t="s">
        <v>898</v>
      </c>
      <c r="I264" t="s">
        <v>898</v>
      </c>
      <c r="J264" t="s">
        <v>898</v>
      </c>
      <c r="K264" t="s">
        <v>898</v>
      </c>
      <c r="L264" t="s">
        <v>898</v>
      </c>
      <c r="M264" t="s">
        <v>898</v>
      </c>
      <c r="N264" t="s">
        <v>898</v>
      </c>
      <c r="O264" t="s">
        <v>898</v>
      </c>
      <c r="P264" t="s">
        <v>898</v>
      </c>
      <c r="Q264" t="s">
        <v>898</v>
      </c>
      <c r="R264" t="s">
        <v>898</v>
      </c>
      <c r="S264" t="s">
        <v>898</v>
      </c>
      <c r="T264" t="s">
        <v>898</v>
      </c>
      <c r="U264" t="s">
        <v>898</v>
      </c>
      <c r="V264" t="s">
        <v>898</v>
      </c>
      <c r="W264" t="s">
        <v>898</v>
      </c>
      <c r="X264" t="s">
        <v>898</v>
      </c>
      <c r="Y264" t="e">
        <v>#REF!</v>
      </c>
      <c r="Z264" t="e">
        <v>#REF!</v>
      </c>
    </row>
    <row r="265">
      <c r="A265" t="s">
        <v>898</v>
      </c>
      <c r="B265" t="s">
        <v>898</v>
      </c>
      <c r="C265" t="s">
        <v>898</v>
      </c>
      <c r="D265" t="s">
        <v>898</v>
      </c>
      <c r="E265" t="s">
        <v>898</v>
      </c>
      <c r="F265" t="s">
        <v>898</v>
      </c>
      <c r="G265" t="s">
        <v>898</v>
      </c>
      <c r="H265" t="s">
        <v>898</v>
      </c>
      <c r="I265" t="s">
        <v>898</v>
      </c>
      <c r="J265" t="s">
        <v>898</v>
      </c>
      <c r="K265" t="s">
        <v>898</v>
      </c>
      <c r="L265" t="s">
        <v>898</v>
      </c>
      <c r="M265" t="s">
        <v>898</v>
      </c>
      <c r="N265" t="s">
        <v>898</v>
      </c>
      <c r="O265" t="s">
        <v>898</v>
      </c>
      <c r="P265" t="s">
        <v>898</v>
      </c>
      <c r="Q265" t="s">
        <v>898</v>
      </c>
      <c r="R265" t="s">
        <v>898</v>
      </c>
      <c r="S265" t="s">
        <v>898</v>
      </c>
      <c r="T265" t="s">
        <v>898</v>
      </c>
      <c r="U265" t="s">
        <v>898</v>
      </c>
      <c r="V265" t="s">
        <v>898</v>
      </c>
      <c r="W265" t="s">
        <v>898</v>
      </c>
      <c r="X265" t="s">
        <v>898</v>
      </c>
      <c r="Y265" t="e">
        <v>#REF!</v>
      </c>
      <c r="Z265" t="e">
        <v>#REF!</v>
      </c>
    </row>
    <row r="266">
      <c r="A266" t="s">
        <v>898</v>
      </c>
      <c r="B266" t="s">
        <v>898</v>
      </c>
      <c r="C266" t="s">
        <v>898</v>
      </c>
      <c r="D266" t="s">
        <v>898</v>
      </c>
      <c r="E266" t="s">
        <v>898</v>
      </c>
      <c r="F266" t="s">
        <v>898</v>
      </c>
      <c r="G266" t="s">
        <v>898</v>
      </c>
      <c r="H266" t="s">
        <v>898</v>
      </c>
      <c r="I266" t="s">
        <v>898</v>
      </c>
      <c r="J266" t="s">
        <v>898</v>
      </c>
      <c r="K266" t="s">
        <v>898</v>
      </c>
      <c r="L266" t="s">
        <v>898</v>
      </c>
      <c r="M266" t="s">
        <v>898</v>
      </c>
      <c r="N266" t="s">
        <v>898</v>
      </c>
      <c r="O266" t="s">
        <v>898</v>
      </c>
      <c r="P266" t="s">
        <v>898</v>
      </c>
      <c r="Q266" t="s">
        <v>898</v>
      </c>
      <c r="R266" t="s">
        <v>898</v>
      </c>
      <c r="S266" t="s">
        <v>898</v>
      </c>
      <c r="T266" t="s">
        <v>898</v>
      </c>
      <c r="U266" t="s">
        <v>898</v>
      </c>
      <c r="V266" t="s">
        <v>898</v>
      </c>
      <c r="W266" t="s">
        <v>898</v>
      </c>
      <c r="X266" t="s">
        <v>898</v>
      </c>
      <c r="Y266" t="e">
        <v>#REF!</v>
      </c>
      <c r="Z266" t="e">
        <v>#REF!</v>
      </c>
    </row>
    <row r="267">
      <c r="A267" t="s">
        <v>898</v>
      </c>
      <c r="B267" t="s">
        <v>898</v>
      </c>
      <c r="C267" t="s">
        <v>898</v>
      </c>
      <c r="D267" t="s">
        <v>898</v>
      </c>
      <c r="E267" t="s">
        <v>898</v>
      </c>
      <c r="F267" t="s">
        <v>898</v>
      </c>
      <c r="G267" t="s">
        <v>898</v>
      </c>
      <c r="H267" t="s">
        <v>898</v>
      </c>
      <c r="I267" t="s">
        <v>898</v>
      </c>
      <c r="J267" t="s">
        <v>898</v>
      </c>
      <c r="K267" t="s">
        <v>898</v>
      </c>
      <c r="L267" t="s">
        <v>898</v>
      </c>
      <c r="M267" t="s">
        <v>898</v>
      </c>
      <c r="N267" t="s">
        <v>898</v>
      </c>
      <c r="O267" t="s">
        <v>898</v>
      </c>
      <c r="P267" t="s">
        <v>898</v>
      </c>
      <c r="Q267" t="s">
        <v>898</v>
      </c>
      <c r="R267" t="s">
        <v>898</v>
      </c>
      <c r="S267" t="s">
        <v>898</v>
      </c>
      <c r="T267" t="s">
        <v>898</v>
      </c>
      <c r="U267" t="s">
        <v>898</v>
      </c>
      <c r="V267" t="s">
        <v>898</v>
      </c>
      <c r="W267" t="s">
        <v>898</v>
      </c>
      <c r="X267" t="s">
        <v>898</v>
      </c>
      <c r="Y267" t="e">
        <v>#REF!</v>
      </c>
      <c r="Z267" t="e">
        <v>#REF!</v>
      </c>
    </row>
    <row r="268">
      <c r="A268" t="s">
        <v>898</v>
      </c>
      <c r="B268" t="s">
        <v>898</v>
      </c>
      <c r="C268" t="s">
        <v>898</v>
      </c>
      <c r="D268" t="s">
        <v>898</v>
      </c>
      <c r="E268" t="s">
        <v>898</v>
      </c>
      <c r="F268" t="s">
        <v>898</v>
      </c>
      <c r="G268" t="s">
        <v>898</v>
      </c>
      <c r="H268" t="s">
        <v>898</v>
      </c>
      <c r="I268" t="s">
        <v>898</v>
      </c>
      <c r="J268" t="s">
        <v>898</v>
      </c>
      <c r="K268" t="s">
        <v>898</v>
      </c>
      <c r="L268" t="s">
        <v>898</v>
      </c>
      <c r="M268" t="s">
        <v>898</v>
      </c>
      <c r="N268" t="s">
        <v>898</v>
      </c>
      <c r="O268" t="s">
        <v>898</v>
      </c>
      <c r="P268" t="s">
        <v>898</v>
      </c>
      <c r="Q268" t="s">
        <v>898</v>
      </c>
      <c r="R268" t="s">
        <v>898</v>
      </c>
      <c r="S268" t="s">
        <v>898</v>
      </c>
      <c r="T268" t="s">
        <v>898</v>
      </c>
      <c r="U268" t="s">
        <v>898</v>
      </c>
      <c r="V268" t="s">
        <v>898</v>
      </c>
      <c r="W268" t="s">
        <v>898</v>
      </c>
      <c r="X268" t="s">
        <v>898</v>
      </c>
      <c r="Y268" t="e">
        <v>#REF!</v>
      </c>
      <c r="Z268" t="e">
        <v>#REF!</v>
      </c>
    </row>
    <row r="269">
      <c r="A269" t="s">
        <v>898</v>
      </c>
      <c r="B269" t="s">
        <v>898</v>
      </c>
      <c r="C269" t="s">
        <v>898</v>
      </c>
      <c r="D269" t="s">
        <v>898</v>
      </c>
      <c r="E269" t="s">
        <v>898</v>
      </c>
      <c r="F269" t="s">
        <v>898</v>
      </c>
      <c r="G269" t="s">
        <v>898</v>
      </c>
      <c r="H269" t="s">
        <v>898</v>
      </c>
      <c r="I269" t="s">
        <v>898</v>
      </c>
      <c r="J269" t="s">
        <v>898</v>
      </c>
      <c r="K269" t="s">
        <v>898</v>
      </c>
      <c r="L269" t="s">
        <v>898</v>
      </c>
      <c r="M269" t="s">
        <v>898</v>
      </c>
      <c r="N269" t="s">
        <v>898</v>
      </c>
      <c r="O269" t="s">
        <v>898</v>
      </c>
      <c r="P269" t="s">
        <v>898</v>
      </c>
      <c r="Q269" t="s">
        <v>898</v>
      </c>
      <c r="R269" t="s">
        <v>898</v>
      </c>
      <c r="S269" t="s">
        <v>898</v>
      </c>
      <c r="T269" t="s">
        <v>898</v>
      </c>
      <c r="U269" t="s">
        <v>898</v>
      </c>
      <c r="V269" t="s">
        <v>898</v>
      </c>
      <c r="W269" t="s">
        <v>898</v>
      </c>
      <c r="X269" t="s">
        <v>898</v>
      </c>
      <c r="Y269" t="e">
        <v>#REF!</v>
      </c>
      <c r="Z269" t="e">
        <v>#REF!</v>
      </c>
    </row>
    <row r="270">
      <c r="A270" t="s">
        <v>898</v>
      </c>
      <c r="B270" t="s">
        <v>898</v>
      </c>
      <c r="C270" t="s">
        <v>898</v>
      </c>
      <c r="D270" t="s">
        <v>898</v>
      </c>
      <c r="E270" t="s">
        <v>898</v>
      </c>
      <c r="F270" t="s">
        <v>898</v>
      </c>
      <c r="G270" t="s">
        <v>898</v>
      </c>
      <c r="H270" t="s">
        <v>898</v>
      </c>
      <c r="I270" t="s">
        <v>898</v>
      </c>
      <c r="J270" t="s">
        <v>898</v>
      </c>
      <c r="K270" t="s">
        <v>898</v>
      </c>
      <c r="L270" t="s">
        <v>898</v>
      </c>
      <c r="M270" t="s">
        <v>898</v>
      </c>
      <c r="N270" t="s">
        <v>898</v>
      </c>
      <c r="O270" t="s">
        <v>898</v>
      </c>
      <c r="P270" t="s">
        <v>898</v>
      </c>
      <c r="Q270" t="s">
        <v>898</v>
      </c>
      <c r="R270" t="s">
        <v>898</v>
      </c>
      <c r="S270" t="s">
        <v>898</v>
      </c>
      <c r="T270" t="s">
        <v>898</v>
      </c>
      <c r="U270" t="s">
        <v>898</v>
      </c>
      <c r="V270" t="s">
        <v>898</v>
      </c>
      <c r="W270" t="s">
        <v>898</v>
      </c>
      <c r="X270" t="s">
        <v>898</v>
      </c>
      <c r="Y270" t="e">
        <v>#REF!</v>
      </c>
      <c r="Z270" t="e">
        <v>#REF!</v>
      </c>
    </row>
    <row r="271">
      <c r="A271" t="s">
        <v>898</v>
      </c>
      <c r="B271" t="s">
        <v>898</v>
      </c>
      <c r="C271" t="s">
        <v>898</v>
      </c>
      <c r="D271" t="s">
        <v>898</v>
      </c>
      <c r="E271" t="s">
        <v>898</v>
      </c>
      <c r="F271" t="s">
        <v>898</v>
      </c>
      <c r="G271" t="s">
        <v>898</v>
      </c>
      <c r="H271" t="s">
        <v>898</v>
      </c>
      <c r="I271" t="s">
        <v>898</v>
      </c>
      <c r="J271" t="s">
        <v>898</v>
      </c>
      <c r="K271" t="s">
        <v>898</v>
      </c>
      <c r="L271" t="s">
        <v>898</v>
      </c>
      <c r="M271" t="s">
        <v>898</v>
      </c>
      <c r="N271" t="s">
        <v>898</v>
      </c>
      <c r="O271" t="s">
        <v>898</v>
      </c>
      <c r="P271" t="s">
        <v>898</v>
      </c>
      <c r="Q271" t="s">
        <v>898</v>
      </c>
      <c r="R271" t="s">
        <v>898</v>
      </c>
      <c r="S271" t="s">
        <v>898</v>
      </c>
      <c r="T271" t="s">
        <v>898</v>
      </c>
      <c r="U271" t="s">
        <v>898</v>
      </c>
      <c r="V271" t="s">
        <v>898</v>
      </c>
      <c r="W271" t="s">
        <v>898</v>
      </c>
      <c r="X271" t="s">
        <v>898</v>
      </c>
      <c r="Y271" t="e">
        <v>#REF!</v>
      </c>
      <c r="Z271" t="e">
        <v>#REF!</v>
      </c>
    </row>
    <row r="272">
      <c r="A272" t="s">
        <v>898</v>
      </c>
      <c r="B272" t="s">
        <v>898</v>
      </c>
      <c r="C272" t="s">
        <v>898</v>
      </c>
      <c r="D272" t="s">
        <v>898</v>
      </c>
      <c r="E272" t="s">
        <v>898</v>
      </c>
      <c r="F272" t="s">
        <v>898</v>
      </c>
      <c r="G272" t="s">
        <v>898</v>
      </c>
      <c r="H272" t="s">
        <v>898</v>
      </c>
      <c r="I272" t="s">
        <v>898</v>
      </c>
      <c r="J272" t="s">
        <v>898</v>
      </c>
      <c r="K272" t="s">
        <v>898</v>
      </c>
      <c r="L272" t="s">
        <v>898</v>
      </c>
      <c r="M272" t="s">
        <v>898</v>
      </c>
      <c r="N272" t="s">
        <v>898</v>
      </c>
      <c r="O272" t="s">
        <v>898</v>
      </c>
      <c r="P272" t="s">
        <v>898</v>
      </c>
      <c r="Q272" t="s">
        <v>898</v>
      </c>
      <c r="R272" t="s">
        <v>898</v>
      </c>
      <c r="S272" t="s">
        <v>898</v>
      </c>
      <c r="T272" t="s">
        <v>898</v>
      </c>
      <c r="U272" t="s">
        <v>898</v>
      </c>
      <c r="V272" t="s">
        <v>898</v>
      </c>
      <c r="W272" t="s">
        <v>898</v>
      </c>
      <c r="X272" t="s">
        <v>898</v>
      </c>
      <c r="Y272" t="e">
        <v>#REF!</v>
      </c>
      <c r="Z272" t="e">
        <v>#REF!</v>
      </c>
    </row>
    <row r="273">
      <c r="A273" t="s">
        <v>898</v>
      </c>
      <c r="B273" t="s">
        <v>898</v>
      </c>
      <c r="C273" t="s">
        <v>898</v>
      </c>
      <c r="D273" t="s">
        <v>898</v>
      </c>
      <c r="E273" t="s">
        <v>898</v>
      </c>
      <c r="F273" t="s">
        <v>898</v>
      </c>
      <c r="G273" t="s">
        <v>898</v>
      </c>
      <c r="H273" t="s">
        <v>898</v>
      </c>
      <c r="I273" t="s">
        <v>898</v>
      </c>
      <c r="J273" t="s">
        <v>898</v>
      </c>
      <c r="K273" t="s">
        <v>898</v>
      </c>
      <c r="L273" t="s">
        <v>898</v>
      </c>
      <c r="M273" t="s">
        <v>898</v>
      </c>
      <c r="N273" t="s">
        <v>898</v>
      </c>
      <c r="O273" t="s">
        <v>898</v>
      </c>
      <c r="P273" t="s">
        <v>898</v>
      </c>
      <c r="Q273" t="s">
        <v>898</v>
      </c>
      <c r="R273" t="s">
        <v>898</v>
      </c>
      <c r="S273" t="s">
        <v>898</v>
      </c>
      <c r="T273" t="s">
        <v>898</v>
      </c>
      <c r="U273" t="s">
        <v>898</v>
      </c>
      <c r="V273" t="s">
        <v>898</v>
      </c>
      <c r="W273" t="s">
        <v>898</v>
      </c>
      <c r="X273" t="s">
        <v>898</v>
      </c>
      <c r="Y273" t="e">
        <v>#REF!</v>
      </c>
      <c r="Z273" t="e">
        <v>#REF!</v>
      </c>
    </row>
    <row r="274">
      <c r="A274" t="s">
        <v>898</v>
      </c>
      <c r="B274" t="s">
        <v>898</v>
      </c>
      <c r="C274" t="s">
        <v>898</v>
      </c>
      <c r="D274" t="s">
        <v>898</v>
      </c>
      <c r="E274" t="s">
        <v>898</v>
      </c>
      <c r="F274" t="s">
        <v>898</v>
      </c>
      <c r="G274" t="s">
        <v>898</v>
      </c>
      <c r="H274" t="s">
        <v>898</v>
      </c>
      <c r="I274" t="s">
        <v>898</v>
      </c>
      <c r="J274" t="s">
        <v>898</v>
      </c>
      <c r="K274" t="s">
        <v>898</v>
      </c>
      <c r="L274" t="s">
        <v>898</v>
      </c>
      <c r="M274" t="s">
        <v>898</v>
      </c>
      <c r="N274" t="s">
        <v>898</v>
      </c>
      <c r="O274" t="s">
        <v>898</v>
      </c>
      <c r="P274" t="s">
        <v>898</v>
      </c>
      <c r="Q274" t="s">
        <v>898</v>
      </c>
      <c r="R274" t="s">
        <v>898</v>
      </c>
      <c r="S274" t="s">
        <v>898</v>
      </c>
      <c r="T274" t="s">
        <v>898</v>
      </c>
      <c r="U274" t="s">
        <v>898</v>
      </c>
      <c r="V274" t="s">
        <v>898</v>
      </c>
      <c r="W274" t="s">
        <v>898</v>
      </c>
      <c r="X274" t="s">
        <v>898</v>
      </c>
      <c r="Y274" t="e">
        <v>#REF!</v>
      </c>
      <c r="Z274" t="e">
        <v>#REF!</v>
      </c>
    </row>
    <row r="275">
      <c r="A275" t="s">
        <v>898</v>
      </c>
      <c r="B275" t="s">
        <v>898</v>
      </c>
      <c r="C275" t="s">
        <v>898</v>
      </c>
      <c r="D275" t="s">
        <v>898</v>
      </c>
      <c r="E275" t="s">
        <v>898</v>
      </c>
      <c r="F275" t="s">
        <v>898</v>
      </c>
      <c r="G275" t="s">
        <v>898</v>
      </c>
      <c r="H275" t="s">
        <v>898</v>
      </c>
      <c r="I275" t="s">
        <v>898</v>
      </c>
      <c r="J275" t="s">
        <v>898</v>
      </c>
      <c r="K275" t="s">
        <v>898</v>
      </c>
      <c r="L275" t="s">
        <v>898</v>
      </c>
      <c r="M275" t="s">
        <v>898</v>
      </c>
      <c r="N275" t="s">
        <v>898</v>
      </c>
      <c r="O275" t="s">
        <v>898</v>
      </c>
      <c r="P275" t="s">
        <v>898</v>
      </c>
      <c r="Q275" t="s">
        <v>898</v>
      </c>
      <c r="R275" t="s">
        <v>898</v>
      </c>
      <c r="S275" t="s">
        <v>898</v>
      </c>
      <c r="T275" t="s">
        <v>898</v>
      </c>
      <c r="U275" t="s">
        <v>898</v>
      </c>
      <c r="V275" t="s">
        <v>898</v>
      </c>
      <c r="W275" t="s">
        <v>898</v>
      </c>
      <c r="X275" t="s">
        <v>898</v>
      </c>
      <c r="Y275" t="e">
        <v>#REF!</v>
      </c>
      <c r="Z275" t="e">
        <v>#REF!</v>
      </c>
    </row>
    <row r="276">
      <c r="A276" t="s">
        <v>898</v>
      </c>
      <c r="B276" t="s">
        <v>898</v>
      </c>
      <c r="C276" t="s">
        <v>898</v>
      </c>
      <c r="D276" t="s">
        <v>898</v>
      </c>
      <c r="E276" t="s">
        <v>898</v>
      </c>
      <c r="F276" t="s">
        <v>898</v>
      </c>
      <c r="G276" t="s">
        <v>898</v>
      </c>
      <c r="H276" t="s">
        <v>898</v>
      </c>
      <c r="I276" t="s">
        <v>898</v>
      </c>
      <c r="J276" t="s">
        <v>898</v>
      </c>
      <c r="K276" t="s">
        <v>898</v>
      </c>
      <c r="L276" t="s">
        <v>898</v>
      </c>
      <c r="M276" t="s">
        <v>898</v>
      </c>
      <c r="N276" t="s">
        <v>898</v>
      </c>
      <c r="O276" t="s">
        <v>898</v>
      </c>
      <c r="P276" t="s">
        <v>898</v>
      </c>
      <c r="Q276" t="s">
        <v>898</v>
      </c>
      <c r="R276" t="s">
        <v>898</v>
      </c>
      <c r="S276" t="s">
        <v>898</v>
      </c>
      <c r="T276" t="s">
        <v>898</v>
      </c>
      <c r="U276" t="s">
        <v>898</v>
      </c>
      <c r="V276" t="s">
        <v>898</v>
      </c>
      <c r="W276" t="s">
        <v>898</v>
      </c>
      <c r="X276" t="s">
        <v>898</v>
      </c>
      <c r="Y276" t="e">
        <v>#REF!</v>
      </c>
      <c r="Z276" t="e">
        <v>#REF!</v>
      </c>
    </row>
    <row r="277">
      <c r="A277" t="s">
        <v>898</v>
      </c>
      <c r="B277" t="s">
        <v>898</v>
      </c>
      <c r="C277" t="s">
        <v>898</v>
      </c>
      <c r="D277" t="s">
        <v>898</v>
      </c>
      <c r="E277" t="s">
        <v>898</v>
      </c>
      <c r="F277" t="s">
        <v>898</v>
      </c>
      <c r="G277" t="s">
        <v>898</v>
      </c>
      <c r="H277" t="s">
        <v>898</v>
      </c>
      <c r="I277" t="s">
        <v>898</v>
      </c>
      <c r="J277" t="s">
        <v>898</v>
      </c>
      <c r="K277" t="s">
        <v>898</v>
      </c>
      <c r="L277" t="s">
        <v>898</v>
      </c>
      <c r="M277" t="s">
        <v>898</v>
      </c>
      <c r="N277" t="s">
        <v>898</v>
      </c>
      <c r="O277" t="s">
        <v>898</v>
      </c>
      <c r="P277" t="s">
        <v>898</v>
      </c>
      <c r="Q277" t="s">
        <v>898</v>
      </c>
      <c r="R277" t="s">
        <v>898</v>
      </c>
      <c r="S277" t="s">
        <v>898</v>
      </c>
      <c r="T277" t="s">
        <v>898</v>
      </c>
      <c r="U277" t="s">
        <v>898</v>
      </c>
      <c r="V277" t="s">
        <v>898</v>
      </c>
      <c r="W277" t="s">
        <v>898</v>
      </c>
      <c r="X277" t="s">
        <v>898</v>
      </c>
      <c r="Y277" t="e">
        <v>#REF!</v>
      </c>
      <c r="Z277" t="e">
        <v>#REF!</v>
      </c>
    </row>
    <row r="278">
      <c r="A278" t="s">
        <v>898</v>
      </c>
      <c r="B278" t="s">
        <v>898</v>
      </c>
      <c r="C278" t="s">
        <v>898</v>
      </c>
      <c r="D278" t="s">
        <v>898</v>
      </c>
      <c r="E278" t="s">
        <v>898</v>
      </c>
      <c r="F278" t="s">
        <v>898</v>
      </c>
      <c r="G278" t="s">
        <v>898</v>
      </c>
      <c r="H278" t="s">
        <v>898</v>
      </c>
      <c r="I278" t="s">
        <v>898</v>
      </c>
      <c r="J278" t="s">
        <v>898</v>
      </c>
      <c r="K278" t="s">
        <v>898</v>
      </c>
      <c r="L278" t="s">
        <v>898</v>
      </c>
      <c r="M278" t="s">
        <v>898</v>
      </c>
      <c r="N278" t="s">
        <v>898</v>
      </c>
      <c r="O278" t="s">
        <v>898</v>
      </c>
      <c r="P278" t="s">
        <v>898</v>
      </c>
      <c r="Q278" t="s">
        <v>898</v>
      </c>
      <c r="R278" t="s">
        <v>898</v>
      </c>
      <c r="S278" t="s">
        <v>898</v>
      </c>
      <c r="T278" t="s">
        <v>898</v>
      </c>
      <c r="U278" t="s">
        <v>898</v>
      </c>
      <c r="V278" t="s">
        <v>898</v>
      </c>
      <c r="W278" t="s">
        <v>898</v>
      </c>
      <c r="X278" t="s">
        <v>898</v>
      </c>
      <c r="Y278" t="e">
        <v>#REF!</v>
      </c>
      <c r="Z278" t="e">
        <v>#REF!</v>
      </c>
    </row>
    <row r="279">
      <c r="A279" t="s">
        <v>898</v>
      </c>
      <c r="B279" t="s">
        <v>898</v>
      </c>
      <c r="C279" t="s">
        <v>898</v>
      </c>
      <c r="D279" t="s">
        <v>898</v>
      </c>
      <c r="E279" t="s">
        <v>898</v>
      </c>
      <c r="F279" t="s">
        <v>898</v>
      </c>
      <c r="G279" t="s">
        <v>898</v>
      </c>
      <c r="H279" t="s">
        <v>898</v>
      </c>
      <c r="I279" t="s">
        <v>898</v>
      </c>
      <c r="J279" t="s">
        <v>898</v>
      </c>
      <c r="K279" t="s">
        <v>898</v>
      </c>
      <c r="L279" t="s">
        <v>898</v>
      </c>
      <c r="M279" t="s">
        <v>898</v>
      </c>
      <c r="N279" t="s">
        <v>898</v>
      </c>
      <c r="O279" t="s">
        <v>898</v>
      </c>
      <c r="P279" t="s">
        <v>898</v>
      </c>
      <c r="Q279" t="s">
        <v>898</v>
      </c>
      <c r="R279" t="s">
        <v>898</v>
      </c>
      <c r="S279" t="s">
        <v>898</v>
      </c>
      <c r="T279" t="s">
        <v>898</v>
      </c>
      <c r="U279" t="s">
        <v>898</v>
      </c>
      <c r="V279" t="s">
        <v>898</v>
      </c>
      <c r="W279" t="s">
        <v>898</v>
      </c>
      <c r="X279" t="s">
        <v>898</v>
      </c>
      <c r="Y279" t="e">
        <v>#REF!</v>
      </c>
      <c r="Z279" t="e">
        <v>#REF!</v>
      </c>
    </row>
    <row r="280">
      <c r="A280" t="s">
        <v>898</v>
      </c>
      <c r="B280" t="s">
        <v>898</v>
      </c>
      <c r="C280" t="s">
        <v>898</v>
      </c>
      <c r="D280" t="s">
        <v>898</v>
      </c>
      <c r="E280" t="s">
        <v>898</v>
      </c>
      <c r="F280" t="s">
        <v>898</v>
      </c>
      <c r="G280" t="s">
        <v>898</v>
      </c>
      <c r="H280" t="s">
        <v>898</v>
      </c>
      <c r="I280" t="s">
        <v>898</v>
      </c>
      <c r="J280" t="s">
        <v>898</v>
      </c>
      <c r="K280" t="s">
        <v>898</v>
      </c>
      <c r="L280" t="s">
        <v>898</v>
      </c>
      <c r="M280" t="s">
        <v>898</v>
      </c>
      <c r="N280" t="s">
        <v>898</v>
      </c>
      <c r="O280" t="s">
        <v>898</v>
      </c>
      <c r="P280" t="s">
        <v>898</v>
      </c>
      <c r="Q280" t="s">
        <v>898</v>
      </c>
      <c r="R280" t="s">
        <v>898</v>
      </c>
      <c r="S280" t="s">
        <v>898</v>
      </c>
      <c r="T280" t="s">
        <v>898</v>
      </c>
      <c r="U280" t="s">
        <v>898</v>
      </c>
      <c r="V280" t="s">
        <v>898</v>
      </c>
      <c r="W280" t="s">
        <v>898</v>
      </c>
      <c r="X280" t="s">
        <v>898</v>
      </c>
      <c r="Y280" t="e">
        <v>#REF!</v>
      </c>
      <c r="Z280" t="e">
        <v>#REF!</v>
      </c>
    </row>
    <row r="281">
      <c r="A281" t="s">
        <v>898</v>
      </c>
      <c r="B281" t="s">
        <v>898</v>
      </c>
      <c r="C281" t="s">
        <v>898</v>
      </c>
      <c r="D281" t="s">
        <v>898</v>
      </c>
      <c r="E281" t="s">
        <v>898</v>
      </c>
      <c r="F281" t="s">
        <v>898</v>
      </c>
      <c r="G281" t="s">
        <v>898</v>
      </c>
      <c r="H281" t="s">
        <v>898</v>
      </c>
      <c r="I281" t="s">
        <v>898</v>
      </c>
      <c r="J281" t="s">
        <v>898</v>
      </c>
      <c r="K281" t="s">
        <v>898</v>
      </c>
      <c r="L281" t="s">
        <v>898</v>
      </c>
      <c r="M281" t="s">
        <v>898</v>
      </c>
      <c r="N281" t="s">
        <v>898</v>
      </c>
      <c r="O281" t="s">
        <v>898</v>
      </c>
      <c r="P281" t="s">
        <v>898</v>
      </c>
      <c r="Q281" t="s">
        <v>898</v>
      </c>
      <c r="R281" t="s">
        <v>898</v>
      </c>
      <c r="S281" t="s">
        <v>898</v>
      </c>
      <c r="T281" t="s">
        <v>898</v>
      </c>
      <c r="U281" t="s">
        <v>898</v>
      </c>
      <c r="V281" t="s">
        <v>898</v>
      </c>
      <c r="W281" t="s">
        <v>898</v>
      </c>
      <c r="X281" t="s">
        <v>898</v>
      </c>
      <c r="Y281" t="e">
        <v>#REF!</v>
      </c>
      <c r="Z281" t="e">
        <v>#REF!</v>
      </c>
    </row>
    <row r="282">
      <c r="A282" t="s">
        <v>898</v>
      </c>
      <c r="B282" t="s">
        <v>898</v>
      </c>
      <c r="C282" t="s">
        <v>898</v>
      </c>
      <c r="D282" t="s">
        <v>898</v>
      </c>
      <c r="E282" t="s">
        <v>898</v>
      </c>
      <c r="F282" t="s">
        <v>898</v>
      </c>
      <c r="G282" t="s">
        <v>898</v>
      </c>
      <c r="H282" t="s">
        <v>898</v>
      </c>
      <c r="I282" t="s">
        <v>898</v>
      </c>
      <c r="J282" t="s">
        <v>898</v>
      </c>
      <c r="K282" t="s">
        <v>898</v>
      </c>
      <c r="L282" t="s">
        <v>898</v>
      </c>
      <c r="M282" t="s">
        <v>898</v>
      </c>
      <c r="N282" t="s">
        <v>898</v>
      </c>
      <c r="O282" t="s">
        <v>898</v>
      </c>
      <c r="P282" t="s">
        <v>898</v>
      </c>
      <c r="Q282" t="s">
        <v>898</v>
      </c>
      <c r="R282" t="s">
        <v>898</v>
      </c>
      <c r="S282" t="s">
        <v>898</v>
      </c>
      <c r="T282" t="s">
        <v>898</v>
      </c>
      <c r="U282" t="s">
        <v>898</v>
      </c>
      <c r="V282" t="s">
        <v>898</v>
      </c>
      <c r="W282" t="s">
        <v>898</v>
      </c>
      <c r="X282" t="s">
        <v>898</v>
      </c>
      <c r="Y282" t="e">
        <v>#REF!</v>
      </c>
      <c r="Z282" t="e">
        <v>#REF!</v>
      </c>
    </row>
    <row r="283">
      <c r="A283" t="s">
        <v>898</v>
      </c>
      <c r="B283" t="s">
        <v>898</v>
      </c>
      <c r="C283" t="s">
        <v>898</v>
      </c>
      <c r="D283" t="s">
        <v>898</v>
      </c>
      <c r="E283" t="s">
        <v>898</v>
      </c>
      <c r="F283" t="s">
        <v>898</v>
      </c>
      <c r="G283" t="s">
        <v>898</v>
      </c>
      <c r="H283" t="s">
        <v>898</v>
      </c>
      <c r="I283" t="s">
        <v>898</v>
      </c>
      <c r="J283" t="s">
        <v>898</v>
      </c>
      <c r="K283" t="s">
        <v>898</v>
      </c>
      <c r="L283" t="s">
        <v>898</v>
      </c>
      <c r="M283" t="s">
        <v>898</v>
      </c>
      <c r="N283" t="s">
        <v>898</v>
      </c>
      <c r="O283" t="s">
        <v>898</v>
      </c>
      <c r="P283" t="s">
        <v>898</v>
      </c>
      <c r="Q283" t="s">
        <v>898</v>
      </c>
      <c r="R283" t="s">
        <v>898</v>
      </c>
      <c r="S283" t="s">
        <v>898</v>
      </c>
      <c r="T283" t="s">
        <v>898</v>
      </c>
      <c r="U283" t="s">
        <v>898</v>
      </c>
      <c r="V283" t="s">
        <v>898</v>
      </c>
      <c r="W283" t="s">
        <v>898</v>
      </c>
      <c r="X283" t="s">
        <v>898</v>
      </c>
      <c r="Y283" t="e">
        <v>#REF!</v>
      </c>
      <c r="Z283" t="e">
        <v>#REF!</v>
      </c>
    </row>
    <row r="284">
      <c r="A284" t="s">
        <v>898</v>
      </c>
      <c r="B284" t="s">
        <v>898</v>
      </c>
      <c r="C284" t="s">
        <v>898</v>
      </c>
      <c r="D284" t="s">
        <v>898</v>
      </c>
      <c r="E284" t="s">
        <v>898</v>
      </c>
      <c r="F284" t="s">
        <v>898</v>
      </c>
      <c r="G284" t="s">
        <v>898</v>
      </c>
      <c r="H284" t="s">
        <v>898</v>
      </c>
      <c r="I284" t="s">
        <v>898</v>
      </c>
      <c r="J284" t="s">
        <v>898</v>
      </c>
      <c r="K284" t="s">
        <v>898</v>
      </c>
      <c r="L284" t="s">
        <v>898</v>
      </c>
      <c r="M284" t="s">
        <v>898</v>
      </c>
      <c r="N284" t="s">
        <v>898</v>
      </c>
      <c r="O284" t="s">
        <v>898</v>
      </c>
      <c r="P284" t="s">
        <v>898</v>
      </c>
      <c r="Q284" t="s">
        <v>898</v>
      </c>
      <c r="R284" t="s">
        <v>898</v>
      </c>
      <c r="S284" t="s">
        <v>898</v>
      </c>
      <c r="T284" t="s">
        <v>898</v>
      </c>
      <c r="U284" t="s">
        <v>898</v>
      </c>
      <c r="V284" t="s">
        <v>898</v>
      </c>
      <c r="W284" t="s">
        <v>898</v>
      </c>
      <c r="X284" t="s">
        <v>898</v>
      </c>
      <c r="Y284" t="e">
        <v>#REF!</v>
      </c>
      <c r="Z284" t="e">
        <v>#REF!</v>
      </c>
    </row>
    <row r="285">
      <c r="A285" t="s">
        <v>898</v>
      </c>
      <c r="B285" t="s">
        <v>898</v>
      </c>
      <c r="C285" t="s">
        <v>898</v>
      </c>
      <c r="D285" t="s">
        <v>898</v>
      </c>
      <c r="E285" t="s">
        <v>898</v>
      </c>
      <c r="F285" t="s">
        <v>898</v>
      </c>
      <c r="G285" t="s">
        <v>898</v>
      </c>
      <c r="H285" t="s">
        <v>898</v>
      </c>
      <c r="I285" t="s">
        <v>898</v>
      </c>
      <c r="J285" t="s">
        <v>898</v>
      </c>
      <c r="K285" t="s">
        <v>898</v>
      </c>
      <c r="L285" t="s">
        <v>898</v>
      </c>
      <c r="M285" t="s">
        <v>898</v>
      </c>
      <c r="N285" t="s">
        <v>898</v>
      </c>
      <c r="O285" t="s">
        <v>898</v>
      </c>
      <c r="P285" t="s">
        <v>898</v>
      </c>
      <c r="Q285" t="s">
        <v>898</v>
      </c>
      <c r="R285" t="s">
        <v>898</v>
      </c>
      <c r="S285" t="s">
        <v>898</v>
      </c>
      <c r="T285" t="s">
        <v>898</v>
      </c>
      <c r="U285" t="s">
        <v>898</v>
      </c>
      <c r="V285" t="s">
        <v>898</v>
      </c>
      <c r="W285" t="s">
        <v>898</v>
      </c>
      <c r="X285" t="s">
        <v>898</v>
      </c>
      <c r="Y285" t="e">
        <v>#REF!</v>
      </c>
      <c r="Z285" t="e">
        <v>#REF!</v>
      </c>
    </row>
    <row r="286">
      <c r="A286" t="s">
        <v>898</v>
      </c>
      <c r="B286" t="s">
        <v>898</v>
      </c>
      <c r="C286" t="s">
        <v>898</v>
      </c>
      <c r="D286" t="s">
        <v>898</v>
      </c>
      <c r="E286" t="s">
        <v>898</v>
      </c>
      <c r="F286" t="s">
        <v>898</v>
      </c>
      <c r="G286" t="s">
        <v>898</v>
      </c>
      <c r="H286" t="s">
        <v>898</v>
      </c>
      <c r="I286" t="s">
        <v>898</v>
      </c>
      <c r="J286" t="s">
        <v>898</v>
      </c>
      <c r="K286" t="s">
        <v>898</v>
      </c>
      <c r="L286" t="s">
        <v>898</v>
      </c>
      <c r="M286" t="s">
        <v>898</v>
      </c>
      <c r="N286" t="s">
        <v>898</v>
      </c>
      <c r="O286" t="s">
        <v>898</v>
      </c>
      <c r="P286" t="s">
        <v>898</v>
      </c>
      <c r="Q286" t="s">
        <v>898</v>
      </c>
      <c r="R286" t="s">
        <v>898</v>
      </c>
      <c r="S286" t="s">
        <v>898</v>
      </c>
      <c r="T286" t="s">
        <v>898</v>
      </c>
      <c r="U286" t="s">
        <v>898</v>
      </c>
      <c r="V286" t="s">
        <v>898</v>
      </c>
      <c r="W286" t="s">
        <v>898</v>
      </c>
      <c r="X286" t="s">
        <v>898</v>
      </c>
      <c r="Y286" t="e">
        <v>#REF!</v>
      </c>
      <c r="Z286" t="e">
        <v>#REF!</v>
      </c>
    </row>
    <row r="287">
      <c r="A287" t="s">
        <v>898</v>
      </c>
      <c r="B287" t="s">
        <v>898</v>
      </c>
      <c r="C287" t="s">
        <v>898</v>
      </c>
      <c r="D287" t="s">
        <v>898</v>
      </c>
      <c r="E287" t="s">
        <v>898</v>
      </c>
      <c r="F287" t="s">
        <v>898</v>
      </c>
      <c r="G287" t="s">
        <v>898</v>
      </c>
      <c r="H287" t="s">
        <v>898</v>
      </c>
      <c r="I287" t="s">
        <v>898</v>
      </c>
      <c r="J287" t="s">
        <v>898</v>
      </c>
      <c r="K287" t="s">
        <v>898</v>
      </c>
      <c r="L287" t="s">
        <v>898</v>
      </c>
      <c r="M287" t="s">
        <v>898</v>
      </c>
      <c r="N287" t="s">
        <v>898</v>
      </c>
      <c r="O287" t="s">
        <v>898</v>
      </c>
      <c r="P287" t="s">
        <v>898</v>
      </c>
      <c r="Q287" t="s">
        <v>898</v>
      </c>
      <c r="R287" t="s">
        <v>898</v>
      </c>
      <c r="S287" t="s">
        <v>898</v>
      </c>
      <c r="T287" t="s">
        <v>898</v>
      </c>
      <c r="U287" t="s">
        <v>898</v>
      </c>
      <c r="V287" t="s">
        <v>898</v>
      </c>
      <c r="W287" t="s">
        <v>898</v>
      </c>
      <c r="X287" t="s">
        <v>898</v>
      </c>
      <c r="Y287" t="e">
        <v>#REF!</v>
      </c>
      <c r="Z287" t="e">
        <v>#REF!</v>
      </c>
    </row>
    <row r="288">
      <c r="A288" t="s">
        <v>898</v>
      </c>
      <c r="B288" t="s">
        <v>898</v>
      </c>
      <c r="C288" t="s">
        <v>898</v>
      </c>
      <c r="D288" t="s">
        <v>898</v>
      </c>
      <c r="E288" t="s">
        <v>898</v>
      </c>
      <c r="F288" t="s">
        <v>898</v>
      </c>
      <c r="G288" t="s">
        <v>898</v>
      </c>
      <c r="H288" t="s">
        <v>898</v>
      </c>
      <c r="I288" t="s">
        <v>898</v>
      </c>
      <c r="J288" t="s">
        <v>898</v>
      </c>
      <c r="K288" t="s">
        <v>898</v>
      </c>
      <c r="L288" t="s">
        <v>898</v>
      </c>
      <c r="M288" t="s">
        <v>898</v>
      </c>
      <c r="N288" t="s">
        <v>898</v>
      </c>
      <c r="O288" t="s">
        <v>898</v>
      </c>
      <c r="P288" t="s">
        <v>898</v>
      </c>
      <c r="Q288" t="s">
        <v>898</v>
      </c>
      <c r="R288" t="s">
        <v>898</v>
      </c>
      <c r="S288" t="s">
        <v>898</v>
      </c>
      <c r="T288" t="s">
        <v>898</v>
      </c>
      <c r="U288" t="s">
        <v>898</v>
      </c>
      <c r="V288" t="s">
        <v>898</v>
      </c>
      <c r="W288" t="s">
        <v>898</v>
      </c>
      <c r="X288" t="s">
        <v>898</v>
      </c>
      <c r="Y288" t="e">
        <v>#REF!</v>
      </c>
      <c r="Z288" t="e">
        <v>#REF!</v>
      </c>
    </row>
    <row r="289">
      <c r="A289" t="s">
        <v>898</v>
      </c>
      <c r="B289" t="s">
        <v>898</v>
      </c>
      <c r="C289" t="s">
        <v>898</v>
      </c>
      <c r="D289" t="s">
        <v>898</v>
      </c>
      <c r="E289" t="s">
        <v>898</v>
      </c>
      <c r="F289" t="s">
        <v>898</v>
      </c>
      <c r="G289" t="s">
        <v>898</v>
      </c>
      <c r="H289" t="s">
        <v>898</v>
      </c>
      <c r="I289" t="s">
        <v>898</v>
      </c>
      <c r="J289" t="s">
        <v>898</v>
      </c>
      <c r="K289" t="s">
        <v>898</v>
      </c>
      <c r="L289" t="s">
        <v>898</v>
      </c>
      <c r="M289" t="s">
        <v>898</v>
      </c>
      <c r="N289" t="s">
        <v>898</v>
      </c>
      <c r="O289" t="s">
        <v>898</v>
      </c>
      <c r="P289" t="s">
        <v>898</v>
      </c>
      <c r="Q289" t="s">
        <v>898</v>
      </c>
      <c r="R289" t="s">
        <v>898</v>
      </c>
      <c r="S289" t="s">
        <v>898</v>
      </c>
      <c r="T289" t="s">
        <v>898</v>
      </c>
      <c r="U289" t="s">
        <v>898</v>
      </c>
      <c r="V289" t="s">
        <v>898</v>
      </c>
      <c r="W289" t="s">
        <v>898</v>
      </c>
      <c r="X289" t="s">
        <v>898</v>
      </c>
      <c r="Y289" t="e">
        <v>#REF!</v>
      </c>
      <c r="Z289" t="e">
        <v>#REF!</v>
      </c>
    </row>
    <row r="290">
      <c r="A290" t="s">
        <v>898</v>
      </c>
      <c r="B290" t="s">
        <v>898</v>
      </c>
      <c r="C290" t="s">
        <v>898</v>
      </c>
      <c r="D290" t="s">
        <v>898</v>
      </c>
      <c r="E290" t="s">
        <v>898</v>
      </c>
      <c r="F290" t="s">
        <v>898</v>
      </c>
      <c r="G290" t="s">
        <v>898</v>
      </c>
      <c r="H290" t="s">
        <v>898</v>
      </c>
      <c r="I290" t="s">
        <v>898</v>
      </c>
      <c r="J290" t="s">
        <v>898</v>
      </c>
      <c r="K290" t="s">
        <v>898</v>
      </c>
      <c r="L290" t="s">
        <v>898</v>
      </c>
      <c r="M290" t="s">
        <v>898</v>
      </c>
      <c r="N290" t="s">
        <v>898</v>
      </c>
      <c r="O290" t="s">
        <v>898</v>
      </c>
      <c r="P290" t="s">
        <v>898</v>
      </c>
      <c r="Q290" t="s">
        <v>898</v>
      </c>
      <c r="R290" t="s">
        <v>898</v>
      </c>
      <c r="S290" t="s">
        <v>898</v>
      </c>
      <c r="T290" t="s">
        <v>898</v>
      </c>
      <c r="U290" t="s">
        <v>898</v>
      </c>
      <c r="V290" t="s">
        <v>898</v>
      </c>
      <c r="W290" t="s">
        <v>898</v>
      </c>
      <c r="X290" t="s">
        <v>898</v>
      </c>
      <c r="Y290" t="e">
        <v>#REF!</v>
      </c>
      <c r="Z290" t="e">
        <v>#REF!</v>
      </c>
    </row>
    <row r="291">
      <c r="A291" t="s">
        <v>898</v>
      </c>
      <c r="B291" t="s">
        <v>898</v>
      </c>
      <c r="C291" t="s">
        <v>898</v>
      </c>
      <c r="D291" t="s">
        <v>898</v>
      </c>
      <c r="E291" t="s">
        <v>898</v>
      </c>
      <c r="F291" t="s">
        <v>898</v>
      </c>
      <c r="G291" t="s">
        <v>898</v>
      </c>
      <c r="H291" t="s">
        <v>898</v>
      </c>
      <c r="I291" t="s">
        <v>898</v>
      </c>
      <c r="J291" t="s">
        <v>898</v>
      </c>
      <c r="K291" t="s">
        <v>898</v>
      </c>
      <c r="L291" t="s">
        <v>898</v>
      </c>
      <c r="M291" t="s">
        <v>898</v>
      </c>
      <c r="N291" t="s">
        <v>898</v>
      </c>
      <c r="O291" t="s">
        <v>898</v>
      </c>
      <c r="P291" t="s">
        <v>898</v>
      </c>
      <c r="Q291" t="s">
        <v>898</v>
      </c>
      <c r="R291" t="s">
        <v>898</v>
      </c>
      <c r="S291" t="s">
        <v>898</v>
      </c>
      <c r="T291" t="s">
        <v>898</v>
      </c>
      <c r="U291" t="s">
        <v>898</v>
      </c>
      <c r="V291" t="s">
        <v>898</v>
      </c>
      <c r="W291" t="s">
        <v>898</v>
      </c>
      <c r="X291" t="s">
        <v>898</v>
      </c>
      <c r="Y291" t="e">
        <v>#REF!</v>
      </c>
      <c r="Z291" t="e">
        <v>#REF!</v>
      </c>
    </row>
    <row r="292">
      <c r="A292" t="s">
        <v>898</v>
      </c>
      <c r="B292" t="s">
        <v>898</v>
      </c>
      <c r="C292" t="s">
        <v>898</v>
      </c>
      <c r="D292" t="s">
        <v>898</v>
      </c>
      <c r="E292" t="s">
        <v>898</v>
      </c>
      <c r="F292" t="s">
        <v>898</v>
      </c>
      <c r="G292" t="s">
        <v>898</v>
      </c>
      <c r="H292" t="s">
        <v>898</v>
      </c>
      <c r="I292" t="s">
        <v>898</v>
      </c>
      <c r="J292" t="s">
        <v>898</v>
      </c>
      <c r="K292" t="s">
        <v>898</v>
      </c>
      <c r="L292" t="s">
        <v>898</v>
      </c>
      <c r="M292" t="s">
        <v>898</v>
      </c>
      <c r="N292" t="s">
        <v>898</v>
      </c>
      <c r="O292" t="s">
        <v>898</v>
      </c>
      <c r="P292" t="s">
        <v>898</v>
      </c>
      <c r="Q292" t="s">
        <v>898</v>
      </c>
      <c r="R292" t="s">
        <v>898</v>
      </c>
      <c r="S292" t="s">
        <v>898</v>
      </c>
      <c r="T292" t="s">
        <v>898</v>
      </c>
      <c r="U292" t="s">
        <v>898</v>
      </c>
      <c r="V292" t="s">
        <v>898</v>
      </c>
      <c r="W292" t="s">
        <v>898</v>
      </c>
      <c r="X292" t="s">
        <v>898</v>
      </c>
      <c r="Y292" t="e">
        <v>#REF!</v>
      </c>
      <c r="Z292" t="e">
        <v>#REF!</v>
      </c>
    </row>
    <row r="293">
      <c r="A293" t="s">
        <v>898</v>
      </c>
      <c r="B293" t="s">
        <v>898</v>
      </c>
      <c r="C293" t="s">
        <v>898</v>
      </c>
      <c r="D293" t="s">
        <v>898</v>
      </c>
      <c r="E293" t="s">
        <v>898</v>
      </c>
      <c r="F293" t="s">
        <v>898</v>
      </c>
      <c r="G293" t="s">
        <v>898</v>
      </c>
      <c r="H293" t="s">
        <v>898</v>
      </c>
      <c r="I293" t="s">
        <v>898</v>
      </c>
      <c r="J293" t="s">
        <v>898</v>
      </c>
      <c r="K293" t="s">
        <v>898</v>
      </c>
      <c r="L293" t="s">
        <v>898</v>
      </c>
      <c r="M293" t="s">
        <v>898</v>
      </c>
      <c r="N293" t="s">
        <v>898</v>
      </c>
      <c r="O293" t="s">
        <v>898</v>
      </c>
      <c r="P293" t="s">
        <v>898</v>
      </c>
      <c r="Q293" t="s">
        <v>898</v>
      </c>
      <c r="R293" t="s">
        <v>898</v>
      </c>
      <c r="S293" t="s">
        <v>898</v>
      </c>
      <c r="T293" t="s">
        <v>898</v>
      </c>
      <c r="U293" t="s">
        <v>898</v>
      </c>
      <c r="V293" t="s">
        <v>898</v>
      </c>
      <c r="W293" t="s">
        <v>898</v>
      </c>
      <c r="X293" t="s">
        <v>898</v>
      </c>
      <c r="Y293" t="e">
        <v>#REF!</v>
      </c>
      <c r="Z293" t="e">
        <v>#REF!</v>
      </c>
    </row>
    <row r="294">
      <c r="A294" t="s">
        <v>898</v>
      </c>
      <c r="B294" t="s">
        <v>898</v>
      </c>
      <c r="C294" t="s">
        <v>898</v>
      </c>
      <c r="D294" t="s">
        <v>898</v>
      </c>
      <c r="E294" t="s">
        <v>898</v>
      </c>
      <c r="F294" t="s">
        <v>898</v>
      </c>
      <c r="G294" t="s">
        <v>898</v>
      </c>
      <c r="H294" t="s">
        <v>898</v>
      </c>
      <c r="I294" t="s">
        <v>898</v>
      </c>
      <c r="J294" t="s">
        <v>898</v>
      </c>
      <c r="K294" t="s">
        <v>898</v>
      </c>
      <c r="L294" t="s">
        <v>898</v>
      </c>
      <c r="M294" t="s">
        <v>898</v>
      </c>
      <c r="N294" t="s">
        <v>898</v>
      </c>
      <c r="O294" t="s">
        <v>898</v>
      </c>
      <c r="P294" t="s">
        <v>898</v>
      </c>
      <c r="Q294" t="s">
        <v>898</v>
      </c>
      <c r="R294" t="s">
        <v>898</v>
      </c>
      <c r="S294" t="s">
        <v>898</v>
      </c>
      <c r="T294" t="s">
        <v>898</v>
      </c>
      <c r="U294" t="s">
        <v>898</v>
      </c>
      <c r="V294" t="s">
        <v>898</v>
      </c>
      <c r="W294" t="s">
        <v>898</v>
      </c>
      <c r="X294" t="s">
        <v>898</v>
      </c>
      <c r="Y294" t="e">
        <v>#REF!</v>
      </c>
      <c r="Z294" t="e">
        <v>#REF!</v>
      </c>
    </row>
    <row r="295">
      <c r="A295" t="s">
        <v>898</v>
      </c>
      <c r="B295" t="s">
        <v>898</v>
      </c>
      <c r="C295" t="s">
        <v>898</v>
      </c>
      <c r="D295" t="s">
        <v>898</v>
      </c>
      <c r="E295" t="s">
        <v>898</v>
      </c>
      <c r="F295" t="s">
        <v>898</v>
      </c>
      <c r="G295" t="s">
        <v>898</v>
      </c>
      <c r="H295" t="s">
        <v>898</v>
      </c>
      <c r="I295" t="s">
        <v>898</v>
      </c>
      <c r="J295" t="s">
        <v>898</v>
      </c>
      <c r="K295" t="s">
        <v>898</v>
      </c>
      <c r="L295" t="s">
        <v>898</v>
      </c>
      <c r="M295" t="s">
        <v>898</v>
      </c>
      <c r="N295" t="s">
        <v>898</v>
      </c>
      <c r="O295" t="s">
        <v>898</v>
      </c>
      <c r="P295" t="s">
        <v>898</v>
      </c>
      <c r="Q295" t="s">
        <v>898</v>
      </c>
      <c r="R295" t="s">
        <v>898</v>
      </c>
      <c r="S295" t="s">
        <v>898</v>
      </c>
      <c r="T295" t="s">
        <v>898</v>
      </c>
      <c r="U295" t="s">
        <v>898</v>
      </c>
      <c r="V295" t="s">
        <v>898</v>
      </c>
      <c r="W295" t="s">
        <v>898</v>
      </c>
      <c r="X295" t="s">
        <v>898</v>
      </c>
      <c r="Y295" t="e">
        <v>#REF!</v>
      </c>
      <c r="Z295" t="e">
        <v>#REF!</v>
      </c>
    </row>
    <row r="296">
      <c r="A296" t="s">
        <v>898</v>
      </c>
      <c r="B296" t="s">
        <v>898</v>
      </c>
      <c r="C296" t="s">
        <v>898</v>
      </c>
      <c r="D296" t="s">
        <v>898</v>
      </c>
      <c r="E296" t="s">
        <v>898</v>
      </c>
      <c r="F296" t="s">
        <v>898</v>
      </c>
      <c r="G296" t="s">
        <v>898</v>
      </c>
      <c r="H296" t="s">
        <v>898</v>
      </c>
      <c r="I296" t="s">
        <v>898</v>
      </c>
      <c r="J296" t="s">
        <v>898</v>
      </c>
      <c r="K296" t="s">
        <v>898</v>
      </c>
      <c r="L296" t="s">
        <v>898</v>
      </c>
      <c r="M296" t="s">
        <v>898</v>
      </c>
      <c r="N296" t="s">
        <v>898</v>
      </c>
      <c r="O296" t="s">
        <v>898</v>
      </c>
      <c r="P296" t="s">
        <v>898</v>
      </c>
      <c r="Q296" t="s">
        <v>898</v>
      </c>
      <c r="R296" t="s">
        <v>898</v>
      </c>
      <c r="S296" t="s">
        <v>898</v>
      </c>
      <c r="T296" t="s">
        <v>898</v>
      </c>
      <c r="U296" t="s">
        <v>898</v>
      </c>
      <c r="V296" t="s">
        <v>898</v>
      </c>
      <c r="W296" t="s">
        <v>898</v>
      </c>
      <c r="X296" t="s">
        <v>898</v>
      </c>
      <c r="Y296" t="e">
        <v>#REF!</v>
      </c>
      <c r="Z296" t="e">
        <v>#REF!</v>
      </c>
    </row>
    <row r="297">
      <c r="A297" t="s">
        <v>898</v>
      </c>
      <c r="B297" t="s">
        <v>898</v>
      </c>
      <c r="C297" t="s">
        <v>898</v>
      </c>
      <c r="D297" t="s">
        <v>898</v>
      </c>
      <c r="E297" t="s">
        <v>898</v>
      </c>
      <c r="F297" t="s">
        <v>898</v>
      </c>
      <c r="G297" t="s">
        <v>898</v>
      </c>
      <c r="H297" t="s">
        <v>898</v>
      </c>
      <c r="I297" t="s">
        <v>898</v>
      </c>
      <c r="J297" t="s">
        <v>898</v>
      </c>
      <c r="K297" t="s">
        <v>898</v>
      </c>
      <c r="L297" t="s">
        <v>898</v>
      </c>
      <c r="M297" t="s">
        <v>898</v>
      </c>
      <c r="N297" t="s">
        <v>898</v>
      </c>
      <c r="O297" t="s">
        <v>898</v>
      </c>
      <c r="P297" t="s">
        <v>898</v>
      </c>
      <c r="Q297" t="s">
        <v>898</v>
      </c>
      <c r="R297" t="s">
        <v>898</v>
      </c>
      <c r="S297" t="s">
        <v>898</v>
      </c>
      <c r="T297" t="s">
        <v>898</v>
      </c>
      <c r="U297" t="s">
        <v>898</v>
      </c>
      <c r="V297" t="s">
        <v>898</v>
      </c>
      <c r="W297" t="s">
        <v>898</v>
      </c>
      <c r="X297" t="s">
        <v>898</v>
      </c>
      <c r="Y297" t="e">
        <v>#REF!</v>
      </c>
      <c r="Z297" t="e">
        <v>#REF!</v>
      </c>
    </row>
    <row r="298">
      <c r="A298" t="s">
        <v>898</v>
      </c>
      <c r="B298" t="s">
        <v>898</v>
      </c>
      <c r="C298" t="s">
        <v>898</v>
      </c>
      <c r="D298" t="s">
        <v>898</v>
      </c>
      <c r="E298" t="s">
        <v>898</v>
      </c>
      <c r="F298" t="s">
        <v>898</v>
      </c>
      <c r="G298" t="s">
        <v>898</v>
      </c>
      <c r="H298" t="s">
        <v>898</v>
      </c>
      <c r="I298" t="s">
        <v>898</v>
      </c>
      <c r="J298" t="s">
        <v>898</v>
      </c>
      <c r="K298" t="s">
        <v>898</v>
      </c>
      <c r="L298" t="s">
        <v>898</v>
      </c>
      <c r="M298" t="s">
        <v>898</v>
      </c>
      <c r="N298" t="s">
        <v>898</v>
      </c>
      <c r="O298" t="s">
        <v>898</v>
      </c>
      <c r="P298" t="s">
        <v>898</v>
      </c>
      <c r="Q298" t="s">
        <v>898</v>
      </c>
      <c r="R298" t="s">
        <v>898</v>
      </c>
      <c r="S298" t="s">
        <v>898</v>
      </c>
      <c r="T298" t="s">
        <v>898</v>
      </c>
      <c r="U298" t="s">
        <v>898</v>
      </c>
      <c r="V298" t="s">
        <v>898</v>
      </c>
      <c r="W298" t="s">
        <v>898</v>
      </c>
      <c r="X298" t="s">
        <v>898</v>
      </c>
      <c r="Y298" t="e">
        <v>#REF!</v>
      </c>
      <c r="Z298" t="e">
        <v>#REF!</v>
      </c>
    </row>
    <row r="299">
      <c r="A299" t="s">
        <v>898</v>
      </c>
      <c r="B299" t="s">
        <v>898</v>
      </c>
      <c r="C299" t="s">
        <v>898</v>
      </c>
      <c r="D299" t="s">
        <v>898</v>
      </c>
      <c r="E299" t="s">
        <v>898</v>
      </c>
      <c r="F299" t="s">
        <v>898</v>
      </c>
      <c r="G299" t="s">
        <v>898</v>
      </c>
      <c r="H299" t="s">
        <v>898</v>
      </c>
      <c r="I299" t="s">
        <v>898</v>
      </c>
      <c r="J299" t="s">
        <v>898</v>
      </c>
      <c r="K299" t="s">
        <v>898</v>
      </c>
      <c r="L299" t="s">
        <v>898</v>
      </c>
      <c r="M299" t="s">
        <v>898</v>
      </c>
      <c r="N299" t="s">
        <v>898</v>
      </c>
      <c r="O299" t="s">
        <v>898</v>
      </c>
      <c r="P299" t="s">
        <v>898</v>
      </c>
      <c r="Q299" t="s">
        <v>898</v>
      </c>
      <c r="R299" t="s">
        <v>898</v>
      </c>
      <c r="S299" t="s">
        <v>898</v>
      </c>
      <c r="T299" t="s">
        <v>898</v>
      </c>
      <c r="U299" t="s">
        <v>898</v>
      </c>
      <c r="V299" t="s">
        <v>898</v>
      </c>
      <c r="W299" t="s">
        <v>898</v>
      </c>
      <c r="X299" t="s">
        <v>898</v>
      </c>
      <c r="Y299" t="e">
        <v>#REF!</v>
      </c>
      <c r="Z299" t="e">
        <v>#REF!</v>
      </c>
    </row>
    <row r="300">
      <c r="A300" t="s">
        <v>898</v>
      </c>
      <c r="B300" t="s">
        <v>898</v>
      </c>
      <c r="C300" t="s">
        <v>898</v>
      </c>
      <c r="D300" t="s">
        <v>898</v>
      </c>
      <c r="E300" t="s">
        <v>898</v>
      </c>
      <c r="F300" t="s">
        <v>898</v>
      </c>
      <c r="G300" t="s">
        <v>898</v>
      </c>
      <c r="H300" t="s">
        <v>898</v>
      </c>
      <c r="I300" t="s">
        <v>898</v>
      </c>
      <c r="J300" t="s">
        <v>898</v>
      </c>
      <c r="K300" t="s">
        <v>898</v>
      </c>
      <c r="L300" t="s">
        <v>898</v>
      </c>
      <c r="M300" t="s">
        <v>898</v>
      </c>
      <c r="N300" t="s">
        <v>898</v>
      </c>
      <c r="O300" t="s">
        <v>898</v>
      </c>
      <c r="P300" t="s">
        <v>898</v>
      </c>
      <c r="Q300" t="s">
        <v>898</v>
      </c>
      <c r="R300" t="s">
        <v>898</v>
      </c>
      <c r="S300" t="s">
        <v>898</v>
      </c>
      <c r="T300" t="s">
        <v>898</v>
      </c>
      <c r="U300" t="s">
        <v>898</v>
      </c>
      <c r="V300" t="s">
        <v>898</v>
      </c>
      <c r="W300" t="s">
        <v>898</v>
      </c>
      <c r="X300" t="s">
        <v>898</v>
      </c>
      <c r="Y300" t="e">
        <v>#REF!</v>
      </c>
      <c r="Z300" t="e">
        <v>#REF!</v>
      </c>
    </row>
    <row r="301">
      <c r="A301" t="s">
        <v>898</v>
      </c>
      <c r="B301" t="s">
        <v>898</v>
      </c>
      <c r="C301" t="s">
        <v>898</v>
      </c>
      <c r="D301" t="s">
        <v>898</v>
      </c>
      <c r="E301" t="s">
        <v>898</v>
      </c>
      <c r="F301" t="s">
        <v>898</v>
      </c>
      <c r="G301" t="s">
        <v>898</v>
      </c>
      <c r="H301" t="s">
        <v>898</v>
      </c>
      <c r="I301" t="s">
        <v>898</v>
      </c>
      <c r="J301" t="s">
        <v>898</v>
      </c>
      <c r="K301" t="s">
        <v>898</v>
      </c>
      <c r="L301" t="s">
        <v>898</v>
      </c>
      <c r="M301" t="s">
        <v>898</v>
      </c>
      <c r="N301" t="s">
        <v>898</v>
      </c>
      <c r="O301" t="s">
        <v>898</v>
      </c>
      <c r="P301" t="s">
        <v>898</v>
      </c>
      <c r="Q301" t="s">
        <v>898</v>
      </c>
      <c r="R301" t="s">
        <v>898</v>
      </c>
      <c r="S301" t="s">
        <v>898</v>
      </c>
      <c r="T301" t="s">
        <v>898</v>
      </c>
      <c r="U301" t="s">
        <v>898</v>
      </c>
      <c r="V301" t="s">
        <v>898</v>
      </c>
      <c r="W301" t="s">
        <v>898</v>
      </c>
      <c r="X301" t="s">
        <v>898</v>
      </c>
      <c r="Y301" t="e">
        <v>#REF!</v>
      </c>
      <c r="Z301" t="e">
        <v>#REF!</v>
      </c>
    </row>
    <row r="302">
      <c r="A302" t="s">
        <v>898</v>
      </c>
      <c r="B302" t="s">
        <v>898</v>
      </c>
      <c r="C302" t="s">
        <v>898</v>
      </c>
      <c r="D302" t="s">
        <v>898</v>
      </c>
      <c r="E302" t="s">
        <v>898</v>
      </c>
      <c r="F302" t="s">
        <v>898</v>
      </c>
      <c r="G302" t="s">
        <v>898</v>
      </c>
      <c r="H302" t="s">
        <v>898</v>
      </c>
      <c r="I302" t="s">
        <v>898</v>
      </c>
      <c r="J302" t="s">
        <v>898</v>
      </c>
      <c r="K302" t="s">
        <v>898</v>
      </c>
      <c r="L302" t="s">
        <v>898</v>
      </c>
      <c r="M302" t="s">
        <v>898</v>
      </c>
      <c r="N302" t="s">
        <v>898</v>
      </c>
      <c r="O302" t="s">
        <v>898</v>
      </c>
      <c r="P302" t="s">
        <v>898</v>
      </c>
      <c r="Q302" t="s">
        <v>898</v>
      </c>
      <c r="R302" t="s">
        <v>898</v>
      </c>
      <c r="S302" t="s">
        <v>898</v>
      </c>
      <c r="T302" t="s">
        <v>898</v>
      </c>
      <c r="U302" t="s">
        <v>898</v>
      </c>
      <c r="V302" t="s">
        <v>898</v>
      </c>
      <c r="W302" t="s">
        <v>898</v>
      </c>
      <c r="X302" t="s">
        <v>898</v>
      </c>
      <c r="Y302" t="e">
        <v>#REF!</v>
      </c>
      <c r="Z302" t="e">
        <v>#REF!</v>
      </c>
    </row>
    <row r="303">
      <c r="A303" t="s">
        <v>898</v>
      </c>
      <c r="B303" t="s">
        <v>898</v>
      </c>
      <c r="C303" t="s">
        <v>898</v>
      </c>
      <c r="D303" t="s">
        <v>898</v>
      </c>
      <c r="E303" t="s">
        <v>898</v>
      </c>
      <c r="F303" t="s">
        <v>898</v>
      </c>
      <c r="G303" t="s">
        <v>898</v>
      </c>
      <c r="H303" t="s">
        <v>898</v>
      </c>
      <c r="I303" t="s">
        <v>898</v>
      </c>
      <c r="J303" t="s">
        <v>898</v>
      </c>
      <c r="K303" t="s">
        <v>898</v>
      </c>
      <c r="L303" t="s">
        <v>898</v>
      </c>
      <c r="M303" t="s">
        <v>898</v>
      </c>
      <c r="N303" t="s">
        <v>898</v>
      </c>
      <c r="O303" t="s">
        <v>898</v>
      </c>
      <c r="P303" t="s">
        <v>898</v>
      </c>
      <c r="Q303" t="s">
        <v>898</v>
      </c>
      <c r="R303" t="s">
        <v>898</v>
      </c>
      <c r="S303" t="s">
        <v>898</v>
      </c>
      <c r="T303" t="s">
        <v>898</v>
      </c>
      <c r="U303" t="s">
        <v>898</v>
      </c>
      <c r="V303" t="s">
        <v>898</v>
      </c>
      <c r="W303" t="s">
        <v>898</v>
      </c>
      <c r="X303" t="s">
        <v>898</v>
      </c>
      <c r="Y303" t="e">
        <v>#REF!</v>
      </c>
      <c r="Z303" t="e">
        <v>#REF!</v>
      </c>
    </row>
    <row r="304">
      <c r="A304" t="s">
        <v>898</v>
      </c>
      <c r="B304" t="s">
        <v>898</v>
      </c>
      <c r="C304" t="s">
        <v>898</v>
      </c>
      <c r="D304" t="s">
        <v>898</v>
      </c>
      <c r="E304" t="s">
        <v>898</v>
      </c>
      <c r="F304" t="s">
        <v>898</v>
      </c>
      <c r="G304" t="s">
        <v>898</v>
      </c>
      <c r="H304" t="s">
        <v>898</v>
      </c>
      <c r="I304" t="s">
        <v>898</v>
      </c>
      <c r="J304" t="s">
        <v>898</v>
      </c>
      <c r="K304" t="s">
        <v>898</v>
      </c>
      <c r="L304" t="s">
        <v>898</v>
      </c>
      <c r="M304" t="s">
        <v>898</v>
      </c>
      <c r="N304" t="s">
        <v>898</v>
      </c>
      <c r="O304" t="s">
        <v>898</v>
      </c>
      <c r="P304" t="s">
        <v>898</v>
      </c>
      <c r="Q304" t="s">
        <v>898</v>
      </c>
      <c r="R304" t="s">
        <v>898</v>
      </c>
      <c r="S304" t="s">
        <v>898</v>
      </c>
      <c r="T304" t="s">
        <v>898</v>
      </c>
      <c r="U304" t="s">
        <v>898</v>
      </c>
      <c r="V304" t="s">
        <v>898</v>
      </c>
      <c r="W304" t="s">
        <v>898</v>
      </c>
      <c r="X304" t="s">
        <v>898</v>
      </c>
      <c r="Y304" t="e">
        <v>#REF!</v>
      </c>
      <c r="Z304" t="e">
        <v>#REF!</v>
      </c>
    </row>
    <row r="305">
      <c r="A305" t="s">
        <v>898</v>
      </c>
      <c r="B305" t="s">
        <v>898</v>
      </c>
      <c r="C305" t="s">
        <v>898</v>
      </c>
      <c r="D305" t="s">
        <v>898</v>
      </c>
      <c r="E305" t="s">
        <v>898</v>
      </c>
      <c r="F305" t="s">
        <v>898</v>
      </c>
      <c r="G305" t="s">
        <v>898</v>
      </c>
      <c r="H305" t="s">
        <v>898</v>
      </c>
      <c r="I305" t="s">
        <v>898</v>
      </c>
      <c r="J305" t="s">
        <v>898</v>
      </c>
      <c r="K305" t="s">
        <v>898</v>
      </c>
      <c r="L305" t="s">
        <v>898</v>
      </c>
      <c r="M305" t="s">
        <v>898</v>
      </c>
      <c r="N305" t="s">
        <v>898</v>
      </c>
      <c r="O305" t="s">
        <v>898</v>
      </c>
      <c r="P305" t="s">
        <v>898</v>
      </c>
      <c r="Q305" t="s">
        <v>898</v>
      </c>
      <c r="R305" t="s">
        <v>898</v>
      </c>
      <c r="S305" t="s">
        <v>898</v>
      </c>
      <c r="T305" t="s">
        <v>898</v>
      </c>
      <c r="U305" t="s">
        <v>898</v>
      </c>
      <c r="V305" t="s">
        <v>898</v>
      </c>
      <c r="W305" t="s">
        <v>898</v>
      </c>
      <c r="X305" t="s">
        <v>898</v>
      </c>
      <c r="Y305" t="e">
        <v>#REF!</v>
      </c>
      <c r="Z305" t="e">
        <v>#REF!</v>
      </c>
    </row>
    <row r="306">
      <c r="A306" t="s">
        <v>898</v>
      </c>
      <c r="B306" t="s">
        <v>898</v>
      </c>
      <c r="C306" t="s">
        <v>898</v>
      </c>
      <c r="D306" t="s">
        <v>898</v>
      </c>
      <c r="E306" t="s">
        <v>898</v>
      </c>
      <c r="F306" t="s">
        <v>898</v>
      </c>
      <c r="G306" t="s">
        <v>898</v>
      </c>
      <c r="H306" t="s">
        <v>898</v>
      </c>
      <c r="I306" t="s">
        <v>898</v>
      </c>
      <c r="J306" t="s">
        <v>898</v>
      </c>
      <c r="K306" t="s">
        <v>898</v>
      </c>
      <c r="L306" t="s">
        <v>898</v>
      </c>
      <c r="M306" t="s">
        <v>898</v>
      </c>
      <c r="N306" t="s">
        <v>898</v>
      </c>
      <c r="O306" t="s">
        <v>898</v>
      </c>
      <c r="P306" t="s">
        <v>898</v>
      </c>
      <c r="Q306" t="s">
        <v>898</v>
      </c>
      <c r="R306" t="s">
        <v>898</v>
      </c>
      <c r="S306" t="s">
        <v>898</v>
      </c>
      <c r="T306" t="s">
        <v>898</v>
      </c>
      <c r="U306" t="s">
        <v>898</v>
      </c>
      <c r="V306" t="s">
        <v>898</v>
      </c>
      <c r="W306" t="s">
        <v>898</v>
      </c>
      <c r="X306" t="s">
        <v>898</v>
      </c>
      <c r="Y306" t="e">
        <v>#REF!</v>
      </c>
      <c r="Z306" t="e">
        <v>#REF!</v>
      </c>
    </row>
    <row r="307">
      <c r="A307" t="s">
        <v>898</v>
      </c>
      <c r="B307" t="s">
        <v>898</v>
      </c>
      <c r="C307" t="s">
        <v>898</v>
      </c>
      <c r="D307" t="s">
        <v>898</v>
      </c>
      <c r="E307" t="s">
        <v>898</v>
      </c>
      <c r="F307" t="s">
        <v>898</v>
      </c>
      <c r="G307" t="s">
        <v>898</v>
      </c>
      <c r="H307" t="s">
        <v>898</v>
      </c>
      <c r="I307" t="s">
        <v>898</v>
      </c>
      <c r="J307" t="s">
        <v>898</v>
      </c>
      <c r="K307" t="s">
        <v>898</v>
      </c>
      <c r="L307" t="s">
        <v>898</v>
      </c>
      <c r="M307" t="s">
        <v>898</v>
      </c>
      <c r="N307" t="s">
        <v>898</v>
      </c>
      <c r="O307" t="s">
        <v>898</v>
      </c>
      <c r="P307" t="s">
        <v>898</v>
      </c>
      <c r="Q307" t="s">
        <v>898</v>
      </c>
      <c r="R307" t="s">
        <v>898</v>
      </c>
      <c r="S307" t="s">
        <v>898</v>
      </c>
      <c r="T307" t="s">
        <v>898</v>
      </c>
      <c r="U307" t="s">
        <v>898</v>
      </c>
      <c r="V307" t="s">
        <v>898</v>
      </c>
      <c r="W307" t="s">
        <v>898</v>
      </c>
      <c r="X307" t="s">
        <v>898</v>
      </c>
      <c r="Y307" t="e">
        <v>#REF!</v>
      </c>
      <c r="Z307" t="e">
        <v>#REF!</v>
      </c>
    </row>
    <row r="308">
      <c r="A308" t="s">
        <v>898</v>
      </c>
      <c r="B308" t="s">
        <v>898</v>
      </c>
      <c r="C308" t="s">
        <v>898</v>
      </c>
      <c r="D308" t="s">
        <v>898</v>
      </c>
      <c r="E308" t="s">
        <v>898</v>
      </c>
      <c r="F308" t="s">
        <v>898</v>
      </c>
      <c r="G308" t="s">
        <v>898</v>
      </c>
      <c r="H308" t="s">
        <v>898</v>
      </c>
      <c r="I308" t="s">
        <v>898</v>
      </c>
      <c r="J308" t="s">
        <v>898</v>
      </c>
      <c r="K308" t="s">
        <v>898</v>
      </c>
      <c r="L308" t="s">
        <v>898</v>
      </c>
      <c r="M308" t="s">
        <v>898</v>
      </c>
      <c r="N308" t="s">
        <v>898</v>
      </c>
      <c r="O308" t="s">
        <v>898</v>
      </c>
      <c r="P308" t="s">
        <v>898</v>
      </c>
      <c r="Q308" t="s">
        <v>898</v>
      </c>
      <c r="R308" t="s">
        <v>898</v>
      </c>
      <c r="S308" t="s">
        <v>898</v>
      </c>
      <c r="T308" t="s">
        <v>898</v>
      </c>
      <c r="U308" t="s">
        <v>898</v>
      </c>
      <c r="V308" t="s">
        <v>898</v>
      </c>
      <c r="W308" t="s">
        <v>898</v>
      </c>
      <c r="X308" t="s">
        <v>898</v>
      </c>
      <c r="Y308" t="e">
        <v>#REF!</v>
      </c>
      <c r="Z308" t="e">
        <v>#REF!</v>
      </c>
    </row>
    <row r="309">
      <c r="A309" t="s">
        <v>898</v>
      </c>
      <c r="B309" t="s">
        <v>898</v>
      </c>
      <c r="C309" t="s">
        <v>898</v>
      </c>
      <c r="D309" t="s">
        <v>898</v>
      </c>
      <c r="E309" t="s">
        <v>898</v>
      </c>
      <c r="F309" t="s">
        <v>898</v>
      </c>
      <c r="G309" t="s">
        <v>898</v>
      </c>
      <c r="H309" t="s">
        <v>898</v>
      </c>
      <c r="I309" t="s">
        <v>898</v>
      </c>
      <c r="J309" t="s">
        <v>898</v>
      </c>
      <c r="K309" t="s">
        <v>898</v>
      </c>
      <c r="L309" t="s">
        <v>898</v>
      </c>
      <c r="M309" t="s">
        <v>898</v>
      </c>
      <c r="N309" t="s">
        <v>898</v>
      </c>
      <c r="O309" t="s">
        <v>898</v>
      </c>
      <c r="P309" t="s">
        <v>898</v>
      </c>
      <c r="Q309" t="s">
        <v>898</v>
      </c>
      <c r="R309" t="s">
        <v>898</v>
      </c>
      <c r="S309" t="s">
        <v>898</v>
      </c>
      <c r="T309" t="s">
        <v>898</v>
      </c>
      <c r="U309" t="s">
        <v>898</v>
      </c>
      <c r="V309" t="s">
        <v>898</v>
      </c>
      <c r="W309" t="s">
        <v>898</v>
      </c>
      <c r="X309" t="s">
        <v>898</v>
      </c>
      <c r="Y309" t="e">
        <v>#REF!</v>
      </c>
      <c r="Z309" t="e">
        <v>#REF!</v>
      </c>
    </row>
    <row r="310">
      <c r="A310" t="s">
        <v>898</v>
      </c>
      <c r="B310" t="s">
        <v>898</v>
      </c>
      <c r="C310" t="s">
        <v>898</v>
      </c>
      <c r="D310" t="s">
        <v>898</v>
      </c>
      <c r="E310" t="s">
        <v>898</v>
      </c>
      <c r="F310" t="s">
        <v>898</v>
      </c>
      <c r="G310" t="s">
        <v>898</v>
      </c>
      <c r="H310" t="s">
        <v>898</v>
      </c>
      <c r="I310" t="s">
        <v>898</v>
      </c>
      <c r="J310" t="s">
        <v>898</v>
      </c>
      <c r="K310" t="s">
        <v>898</v>
      </c>
      <c r="L310" t="s">
        <v>898</v>
      </c>
      <c r="M310" t="s">
        <v>898</v>
      </c>
      <c r="N310" t="s">
        <v>898</v>
      </c>
      <c r="O310" t="s">
        <v>898</v>
      </c>
      <c r="P310" t="s">
        <v>898</v>
      </c>
      <c r="Q310" t="s">
        <v>898</v>
      </c>
      <c r="R310" t="s">
        <v>898</v>
      </c>
      <c r="S310" t="s">
        <v>898</v>
      </c>
      <c r="T310" t="s">
        <v>898</v>
      </c>
      <c r="U310" t="s">
        <v>898</v>
      </c>
      <c r="V310" t="s">
        <v>898</v>
      </c>
      <c r="W310" t="s">
        <v>898</v>
      </c>
      <c r="X310" t="s">
        <v>898</v>
      </c>
      <c r="Y310" t="e">
        <v>#REF!</v>
      </c>
      <c r="Z310" t="e">
        <v>#REF!</v>
      </c>
    </row>
    <row r="311">
      <c r="A311" t="s">
        <v>898</v>
      </c>
      <c r="B311" t="s">
        <v>898</v>
      </c>
      <c r="C311" t="s">
        <v>898</v>
      </c>
      <c r="D311" t="s">
        <v>898</v>
      </c>
      <c r="E311" t="s">
        <v>898</v>
      </c>
      <c r="F311" t="s">
        <v>898</v>
      </c>
      <c r="G311" t="s">
        <v>898</v>
      </c>
      <c r="H311" t="s">
        <v>898</v>
      </c>
      <c r="I311" t="s">
        <v>898</v>
      </c>
      <c r="J311" t="s">
        <v>898</v>
      </c>
      <c r="K311" t="s">
        <v>898</v>
      </c>
      <c r="L311" t="s">
        <v>898</v>
      </c>
      <c r="M311" t="s">
        <v>898</v>
      </c>
      <c r="N311" t="s">
        <v>898</v>
      </c>
      <c r="O311" t="s">
        <v>898</v>
      </c>
      <c r="P311" t="s">
        <v>898</v>
      </c>
      <c r="Q311" t="s">
        <v>898</v>
      </c>
      <c r="R311" t="s">
        <v>898</v>
      </c>
      <c r="S311" t="s">
        <v>898</v>
      </c>
      <c r="T311" t="s">
        <v>898</v>
      </c>
      <c r="U311" t="s">
        <v>898</v>
      </c>
      <c r="V311" t="s">
        <v>898</v>
      </c>
      <c r="W311" t="s">
        <v>898</v>
      </c>
      <c r="X311" t="s">
        <v>898</v>
      </c>
      <c r="Y311" t="e">
        <v>#REF!</v>
      </c>
      <c r="Z311" t="e">
        <v>#REF!</v>
      </c>
    </row>
    <row r="312">
      <c r="A312" t="s">
        <v>898</v>
      </c>
      <c r="B312" t="s">
        <v>898</v>
      </c>
      <c r="C312" t="s">
        <v>898</v>
      </c>
      <c r="D312" t="s">
        <v>898</v>
      </c>
      <c r="E312" t="s">
        <v>898</v>
      </c>
      <c r="F312" t="s">
        <v>898</v>
      </c>
      <c r="G312" t="s">
        <v>898</v>
      </c>
      <c r="H312" t="s">
        <v>898</v>
      </c>
      <c r="I312" t="s">
        <v>898</v>
      </c>
      <c r="J312" t="s">
        <v>898</v>
      </c>
      <c r="K312" t="s">
        <v>898</v>
      </c>
      <c r="L312" t="s">
        <v>898</v>
      </c>
      <c r="M312" t="s">
        <v>898</v>
      </c>
      <c r="N312" t="s">
        <v>898</v>
      </c>
      <c r="O312" t="s">
        <v>898</v>
      </c>
      <c r="P312" t="s">
        <v>898</v>
      </c>
      <c r="Q312" t="s">
        <v>898</v>
      </c>
      <c r="R312" t="s">
        <v>898</v>
      </c>
      <c r="S312" t="s">
        <v>898</v>
      </c>
      <c r="T312" t="s">
        <v>898</v>
      </c>
      <c r="U312" t="s">
        <v>898</v>
      </c>
      <c r="V312" t="s">
        <v>898</v>
      </c>
      <c r="W312" t="s">
        <v>898</v>
      </c>
      <c r="X312" t="s">
        <v>898</v>
      </c>
      <c r="Y312" t="e">
        <v>#REF!</v>
      </c>
      <c r="Z312" t="e">
        <v>#REF!</v>
      </c>
    </row>
    <row r="313">
      <c r="A313" t="s">
        <v>898</v>
      </c>
      <c r="B313" t="s">
        <v>898</v>
      </c>
      <c r="C313" t="s">
        <v>898</v>
      </c>
      <c r="D313" t="s">
        <v>898</v>
      </c>
      <c r="E313" t="s">
        <v>898</v>
      </c>
      <c r="F313" t="s">
        <v>898</v>
      </c>
      <c r="G313" t="s">
        <v>898</v>
      </c>
      <c r="H313" t="s">
        <v>898</v>
      </c>
      <c r="I313" t="s">
        <v>898</v>
      </c>
      <c r="J313" t="s">
        <v>898</v>
      </c>
      <c r="K313" t="s">
        <v>898</v>
      </c>
      <c r="L313" t="s">
        <v>898</v>
      </c>
      <c r="M313" t="s">
        <v>898</v>
      </c>
      <c r="N313" t="s">
        <v>898</v>
      </c>
      <c r="O313" t="s">
        <v>898</v>
      </c>
      <c r="P313" t="s">
        <v>898</v>
      </c>
      <c r="Q313" t="s">
        <v>898</v>
      </c>
      <c r="R313" t="s">
        <v>898</v>
      </c>
      <c r="S313" t="s">
        <v>898</v>
      </c>
      <c r="T313" t="s">
        <v>898</v>
      </c>
      <c r="U313" t="s">
        <v>898</v>
      </c>
      <c r="V313" t="s">
        <v>898</v>
      </c>
      <c r="W313" t="s">
        <v>898</v>
      </c>
      <c r="X313" t="s">
        <v>898</v>
      </c>
      <c r="Y313" t="e">
        <v>#REF!</v>
      </c>
      <c r="Z313" t="e">
        <v>#REF!</v>
      </c>
    </row>
    <row r="314">
      <c r="A314" t="s">
        <v>898</v>
      </c>
      <c r="B314" t="s">
        <v>898</v>
      </c>
      <c r="C314" t="s">
        <v>898</v>
      </c>
      <c r="D314" t="s">
        <v>898</v>
      </c>
      <c r="E314" t="s">
        <v>898</v>
      </c>
      <c r="F314" t="s">
        <v>898</v>
      </c>
      <c r="G314" t="s">
        <v>898</v>
      </c>
      <c r="H314" t="s">
        <v>898</v>
      </c>
      <c r="I314" t="s">
        <v>898</v>
      </c>
      <c r="J314" t="s">
        <v>898</v>
      </c>
      <c r="K314" t="s">
        <v>898</v>
      </c>
      <c r="L314" t="s">
        <v>898</v>
      </c>
      <c r="M314" t="s">
        <v>898</v>
      </c>
      <c r="N314" t="s">
        <v>898</v>
      </c>
      <c r="O314" t="s">
        <v>898</v>
      </c>
      <c r="P314" t="s">
        <v>898</v>
      </c>
      <c r="Q314" t="s">
        <v>898</v>
      </c>
      <c r="R314" t="s">
        <v>898</v>
      </c>
      <c r="S314" t="s">
        <v>898</v>
      </c>
      <c r="T314" t="s">
        <v>898</v>
      </c>
      <c r="U314" t="s">
        <v>898</v>
      </c>
      <c r="V314" t="s">
        <v>898</v>
      </c>
      <c r="W314" t="s">
        <v>898</v>
      </c>
      <c r="X314" t="s">
        <v>898</v>
      </c>
      <c r="Y314" t="e">
        <v>#REF!</v>
      </c>
      <c r="Z314" t="e">
        <v>#REF!</v>
      </c>
    </row>
    <row r="315">
      <c r="A315" t="s">
        <v>898</v>
      </c>
      <c r="B315" t="s">
        <v>898</v>
      </c>
      <c r="C315" t="s">
        <v>898</v>
      </c>
      <c r="D315" t="s">
        <v>898</v>
      </c>
      <c r="E315" t="s">
        <v>898</v>
      </c>
      <c r="F315" t="s">
        <v>898</v>
      </c>
      <c r="G315" t="s">
        <v>898</v>
      </c>
      <c r="H315" t="s">
        <v>898</v>
      </c>
      <c r="I315" t="s">
        <v>898</v>
      </c>
      <c r="J315" t="s">
        <v>898</v>
      </c>
      <c r="K315" t="s">
        <v>898</v>
      </c>
      <c r="L315" t="s">
        <v>898</v>
      </c>
      <c r="M315" t="s">
        <v>898</v>
      </c>
      <c r="N315" t="s">
        <v>898</v>
      </c>
      <c r="O315" t="s">
        <v>898</v>
      </c>
      <c r="P315" t="s">
        <v>898</v>
      </c>
      <c r="Q315" t="s">
        <v>898</v>
      </c>
      <c r="R315" t="s">
        <v>898</v>
      </c>
      <c r="S315" t="s">
        <v>898</v>
      </c>
      <c r="T315" t="s">
        <v>898</v>
      </c>
      <c r="U315" t="s">
        <v>898</v>
      </c>
      <c r="V315" t="s">
        <v>898</v>
      </c>
      <c r="W315" t="s">
        <v>898</v>
      </c>
      <c r="X315" t="s">
        <v>898</v>
      </c>
      <c r="Y315" t="e">
        <v>#REF!</v>
      </c>
      <c r="Z315" t="e">
        <v>#REF!</v>
      </c>
    </row>
    <row r="316">
      <c r="A316" t="s">
        <v>898</v>
      </c>
      <c r="B316" t="s">
        <v>898</v>
      </c>
      <c r="C316" t="s">
        <v>898</v>
      </c>
      <c r="D316" t="s">
        <v>898</v>
      </c>
      <c r="E316" t="s">
        <v>898</v>
      </c>
      <c r="F316" t="s">
        <v>898</v>
      </c>
      <c r="G316" t="s">
        <v>898</v>
      </c>
      <c r="H316" t="s">
        <v>898</v>
      </c>
      <c r="I316" t="s">
        <v>898</v>
      </c>
      <c r="J316" t="s">
        <v>898</v>
      </c>
      <c r="K316" t="s">
        <v>898</v>
      </c>
      <c r="L316" t="s">
        <v>898</v>
      </c>
      <c r="M316" t="s">
        <v>898</v>
      </c>
      <c r="N316" t="s">
        <v>898</v>
      </c>
      <c r="O316" t="s">
        <v>898</v>
      </c>
      <c r="P316" t="s">
        <v>898</v>
      </c>
      <c r="Q316" t="s">
        <v>898</v>
      </c>
      <c r="R316" t="s">
        <v>898</v>
      </c>
      <c r="S316" t="s">
        <v>898</v>
      </c>
      <c r="T316" t="s">
        <v>898</v>
      </c>
      <c r="U316" t="s">
        <v>898</v>
      </c>
      <c r="V316" t="s">
        <v>898</v>
      </c>
      <c r="W316" t="s">
        <v>898</v>
      </c>
      <c r="X316" t="s">
        <v>898</v>
      </c>
      <c r="Y316" t="e">
        <v>#REF!</v>
      </c>
      <c r="Z316" t="e">
        <v>#REF!</v>
      </c>
    </row>
    <row r="317">
      <c r="A317" t="s">
        <v>898</v>
      </c>
      <c r="B317" t="s">
        <v>898</v>
      </c>
      <c r="C317" t="s">
        <v>898</v>
      </c>
      <c r="D317" t="s">
        <v>898</v>
      </c>
      <c r="E317" t="s">
        <v>898</v>
      </c>
      <c r="F317" t="s">
        <v>898</v>
      </c>
      <c r="G317" t="s">
        <v>898</v>
      </c>
      <c r="H317" t="s">
        <v>898</v>
      </c>
      <c r="I317" t="s">
        <v>898</v>
      </c>
      <c r="J317" t="s">
        <v>898</v>
      </c>
      <c r="K317" t="s">
        <v>898</v>
      </c>
      <c r="L317" t="s">
        <v>898</v>
      </c>
      <c r="M317" t="s">
        <v>898</v>
      </c>
      <c r="N317" t="s">
        <v>898</v>
      </c>
      <c r="O317" t="s">
        <v>898</v>
      </c>
      <c r="P317" t="s">
        <v>898</v>
      </c>
      <c r="Q317" t="s">
        <v>898</v>
      </c>
      <c r="R317" t="s">
        <v>898</v>
      </c>
      <c r="S317" t="s">
        <v>898</v>
      </c>
      <c r="T317" t="s">
        <v>898</v>
      </c>
      <c r="U317" t="s">
        <v>898</v>
      </c>
      <c r="V317" t="s">
        <v>898</v>
      </c>
      <c r="W317" t="s">
        <v>898</v>
      </c>
      <c r="X317" t="s">
        <v>898</v>
      </c>
      <c r="Y317" t="e">
        <v>#REF!</v>
      </c>
      <c r="Z317" t="e">
        <v>#REF!</v>
      </c>
    </row>
    <row r="318">
      <c r="A318" t="s">
        <v>898</v>
      </c>
      <c r="B318" t="s">
        <v>898</v>
      </c>
      <c r="C318" t="s">
        <v>898</v>
      </c>
      <c r="D318" t="s">
        <v>898</v>
      </c>
      <c r="E318" t="s">
        <v>898</v>
      </c>
      <c r="F318" t="s">
        <v>898</v>
      </c>
      <c r="G318" t="s">
        <v>898</v>
      </c>
      <c r="H318" t="s">
        <v>898</v>
      </c>
      <c r="I318" t="s">
        <v>898</v>
      </c>
      <c r="J318" t="s">
        <v>898</v>
      </c>
      <c r="K318" t="s">
        <v>898</v>
      </c>
      <c r="L318" t="s">
        <v>898</v>
      </c>
      <c r="M318" t="s">
        <v>898</v>
      </c>
      <c r="N318" t="s">
        <v>898</v>
      </c>
      <c r="O318" t="s">
        <v>898</v>
      </c>
      <c r="P318" t="s">
        <v>898</v>
      </c>
      <c r="Q318" t="s">
        <v>898</v>
      </c>
      <c r="R318" t="s">
        <v>898</v>
      </c>
      <c r="S318" t="s">
        <v>898</v>
      </c>
      <c r="T318" t="s">
        <v>898</v>
      </c>
      <c r="U318" t="s">
        <v>898</v>
      </c>
      <c r="V318" t="s">
        <v>898</v>
      </c>
      <c r="W318" t="s">
        <v>898</v>
      </c>
      <c r="X318" t="s">
        <v>898</v>
      </c>
      <c r="Y318" t="e">
        <v>#REF!</v>
      </c>
      <c r="Z318" t="e">
        <v>#REF!</v>
      </c>
    </row>
    <row r="319">
      <c r="A319" t="s">
        <v>898</v>
      </c>
      <c r="B319" t="s">
        <v>898</v>
      </c>
      <c r="C319" t="s">
        <v>898</v>
      </c>
      <c r="D319" t="s">
        <v>898</v>
      </c>
      <c r="E319" t="s">
        <v>898</v>
      </c>
      <c r="F319" t="s">
        <v>898</v>
      </c>
      <c r="G319" t="s">
        <v>898</v>
      </c>
      <c r="H319" t="s">
        <v>898</v>
      </c>
      <c r="I319" t="s">
        <v>898</v>
      </c>
      <c r="J319" t="s">
        <v>898</v>
      </c>
      <c r="K319" t="s">
        <v>898</v>
      </c>
      <c r="L319" t="s">
        <v>898</v>
      </c>
      <c r="M319" t="s">
        <v>898</v>
      </c>
      <c r="N319" t="s">
        <v>898</v>
      </c>
      <c r="O319" t="s">
        <v>898</v>
      </c>
      <c r="P319" t="s">
        <v>898</v>
      </c>
      <c r="Q319" t="s">
        <v>898</v>
      </c>
      <c r="R319" t="s">
        <v>898</v>
      </c>
      <c r="S319" t="s">
        <v>898</v>
      </c>
      <c r="T319" t="s">
        <v>898</v>
      </c>
      <c r="U319" t="s">
        <v>898</v>
      </c>
      <c r="V319" t="s">
        <v>898</v>
      </c>
      <c r="W319" t="s">
        <v>898</v>
      </c>
      <c r="X319" t="s">
        <v>898</v>
      </c>
      <c r="Y319" t="e">
        <v>#REF!</v>
      </c>
      <c r="Z319" t="e">
        <v>#REF!</v>
      </c>
    </row>
    <row r="320">
      <c r="A320" t="s">
        <v>898</v>
      </c>
      <c r="B320" t="s">
        <v>898</v>
      </c>
      <c r="C320" t="s">
        <v>898</v>
      </c>
      <c r="D320" t="s">
        <v>898</v>
      </c>
      <c r="E320" t="s">
        <v>898</v>
      </c>
      <c r="F320" t="s">
        <v>898</v>
      </c>
      <c r="G320" t="s">
        <v>898</v>
      </c>
      <c r="H320" t="s">
        <v>898</v>
      </c>
      <c r="I320" t="s">
        <v>898</v>
      </c>
      <c r="J320" t="s">
        <v>898</v>
      </c>
      <c r="K320" t="s">
        <v>898</v>
      </c>
      <c r="L320" t="s">
        <v>898</v>
      </c>
      <c r="M320" t="s">
        <v>898</v>
      </c>
      <c r="N320" t="s">
        <v>898</v>
      </c>
      <c r="O320" t="s">
        <v>898</v>
      </c>
      <c r="P320" t="s">
        <v>898</v>
      </c>
      <c r="Q320" t="s">
        <v>898</v>
      </c>
      <c r="R320" t="s">
        <v>898</v>
      </c>
      <c r="S320" t="s">
        <v>898</v>
      </c>
      <c r="T320" t="s">
        <v>898</v>
      </c>
      <c r="U320" t="s">
        <v>898</v>
      </c>
      <c r="V320" t="s">
        <v>898</v>
      </c>
      <c r="W320" t="s">
        <v>898</v>
      </c>
      <c r="X320" t="s">
        <v>898</v>
      </c>
      <c r="Y320" t="e">
        <v>#REF!</v>
      </c>
      <c r="Z320" t="e">
        <v>#REF!</v>
      </c>
    </row>
    <row r="321">
      <c r="A321" t="s">
        <v>898</v>
      </c>
      <c r="B321" t="s">
        <v>898</v>
      </c>
      <c r="C321" t="s">
        <v>898</v>
      </c>
      <c r="D321" t="s">
        <v>898</v>
      </c>
      <c r="E321" t="s">
        <v>898</v>
      </c>
      <c r="F321" t="s">
        <v>898</v>
      </c>
      <c r="G321" t="s">
        <v>898</v>
      </c>
      <c r="H321" t="s">
        <v>898</v>
      </c>
      <c r="I321" t="s">
        <v>898</v>
      </c>
      <c r="J321" t="s">
        <v>898</v>
      </c>
      <c r="K321" t="s">
        <v>898</v>
      </c>
      <c r="L321" t="s">
        <v>898</v>
      </c>
      <c r="M321" t="s">
        <v>898</v>
      </c>
      <c r="N321" t="s">
        <v>898</v>
      </c>
      <c r="O321" t="s">
        <v>898</v>
      </c>
      <c r="P321" t="s">
        <v>898</v>
      </c>
      <c r="Q321" t="s">
        <v>898</v>
      </c>
      <c r="R321" t="s">
        <v>898</v>
      </c>
      <c r="S321" t="s">
        <v>898</v>
      </c>
      <c r="T321" t="s">
        <v>898</v>
      </c>
      <c r="U321" t="s">
        <v>898</v>
      </c>
      <c r="V321" t="s">
        <v>898</v>
      </c>
      <c r="W321" t="s">
        <v>898</v>
      </c>
      <c r="X321" t="s">
        <v>898</v>
      </c>
      <c r="Y321" t="e">
        <v>#REF!</v>
      </c>
      <c r="Z321" t="e">
        <v>#REF!</v>
      </c>
    </row>
    <row r="322">
      <c r="A322" t="s">
        <v>898</v>
      </c>
      <c r="B322" t="s">
        <v>898</v>
      </c>
      <c r="C322" t="s">
        <v>898</v>
      </c>
      <c r="D322" t="s">
        <v>898</v>
      </c>
      <c r="E322" t="s">
        <v>898</v>
      </c>
      <c r="F322" t="s">
        <v>898</v>
      </c>
      <c r="G322" t="s">
        <v>898</v>
      </c>
      <c r="H322" t="s">
        <v>898</v>
      </c>
      <c r="I322" t="s">
        <v>898</v>
      </c>
      <c r="J322" t="s">
        <v>898</v>
      </c>
      <c r="K322" t="s">
        <v>898</v>
      </c>
      <c r="L322" t="s">
        <v>898</v>
      </c>
      <c r="M322" t="s">
        <v>898</v>
      </c>
      <c r="N322" t="s">
        <v>898</v>
      </c>
      <c r="O322" t="s">
        <v>898</v>
      </c>
      <c r="P322" t="s">
        <v>898</v>
      </c>
      <c r="Q322" t="s">
        <v>898</v>
      </c>
      <c r="R322" t="s">
        <v>898</v>
      </c>
      <c r="S322" t="s">
        <v>898</v>
      </c>
      <c r="T322" t="s">
        <v>898</v>
      </c>
      <c r="U322" t="s">
        <v>898</v>
      </c>
      <c r="V322" t="s">
        <v>898</v>
      </c>
      <c r="W322" t="s">
        <v>898</v>
      </c>
      <c r="X322" t="s">
        <v>898</v>
      </c>
      <c r="Y322" t="e">
        <v>#REF!</v>
      </c>
      <c r="Z322" t="e">
        <v>#REF!</v>
      </c>
    </row>
    <row r="323">
      <c r="A323" t="s">
        <v>898</v>
      </c>
      <c r="B323" t="s">
        <v>898</v>
      </c>
      <c r="C323" t="s">
        <v>898</v>
      </c>
      <c r="D323" t="s">
        <v>898</v>
      </c>
      <c r="E323" t="s">
        <v>898</v>
      </c>
      <c r="F323" t="s">
        <v>898</v>
      </c>
      <c r="G323" t="s">
        <v>898</v>
      </c>
      <c r="H323" t="s">
        <v>898</v>
      </c>
      <c r="I323" t="s">
        <v>898</v>
      </c>
      <c r="J323" t="s">
        <v>898</v>
      </c>
      <c r="K323" t="s">
        <v>898</v>
      </c>
      <c r="L323" t="s">
        <v>898</v>
      </c>
      <c r="M323" t="s">
        <v>898</v>
      </c>
      <c r="N323" t="s">
        <v>898</v>
      </c>
      <c r="O323" t="s">
        <v>898</v>
      </c>
      <c r="P323" t="s">
        <v>898</v>
      </c>
      <c r="Q323" t="s">
        <v>898</v>
      </c>
      <c r="R323" t="s">
        <v>898</v>
      </c>
      <c r="S323" t="s">
        <v>898</v>
      </c>
      <c r="T323" t="s">
        <v>898</v>
      </c>
      <c r="U323" t="s">
        <v>898</v>
      </c>
      <c r="V323" t="s">
        <v>898</v>
      </c>
      <c r="W323" t="s">
        <v>898</v>
      </c>
      <c r="X323" t="s">
        <v>898</v>
      </c>
      <c r="Y323" t="e">
        <v>#REF!</v>
      </c>
      <c r="Z323" t="e">
        <v>#REF!</v>
      </c>
    </row>
    <row r="324">
      <c r="A324" t="s">
        <v>898</v>
      </c>
      <c r="B324" t="s">
        <v>898</v>
      </c>
      <c r="C324" t="s">
        <v>898</v>
      </c>
      <c r="D324" t="s">
        <v>898</v>
      </c>
      <c r="E324" t="s">
        <v>898</v>
      </c>
      <c r="F324" t="s">
        <v>898</v>
      </c>
      <c r="G324" t="s">
        <v>898</v>
      </c>
      <c r="H324" t="s">
        <v>898</v>
      </c>
      <c r="I324" t="s">
        <v>898</v>
      </c>
      <c r="J324" t="s">
        <v>898</v>
      </c>
      <c r="K324" t="s">
        <v>898</v>
      </c>
      <c r="L324" t="s">
        <v>898</v>
      </c>
      <c r="M324" t="s">
        <v>898</v>
      </c>
      <c r="N324" t="s">
        <v>898</v>
      </c>
      <c r="O324" t="s">
        <v>898</v>
      </c>
      <c r="P324" t="s">
        <v>898</v>
      </c>
      <c r="Q324" t="s">
        <v>898</v>
      </c>
      <c r="R324" t="s">
        <v>898</v>
      </c>
      <c r="S324" t="s">
        <v>898</v>
      </c>
      <c r="T324" t="s">
        <v>898</v>
      </c>
      <c r="U324" t="s">
        <v>898</v>
      </c>
      <c r="V324" t="s">
        <v>898</v>
      </c>
      <c r="W324" t="s">
        <v>898</v>
      </c>
      <c r="X324" t="s">
        <v>898</v>
      </c>
      <c r="Y324" t="e">
        <v>#REF!</v>
      </c>
      <c r="Z324" t="e">
        <v>#REF!</v>
      </c>
    </row>
    <row r="325">
      <c r="A325" t="s">
        <v>898</v>
      </c>
      <c r="B325" t="s">
        <v>898</v>
      </c>
      <c r="C325" t="s">
        <v>898</v>
      </c>
      <c r="D325" t="s">
        <v>898</v>
      </c>
      <c r="E325" t="s">
        <v>898</v>
      </c>
      <c r="F325" t="s">
        <v>898</v>
      </c>
      <c r="G325" t="s">
        <v>898</v>
      </c>
      <c r="H325" t="s">
        <v>898</v>
      </c>
      <c r="I325" t="s">
        <v>898</v>
      </c>
      <c r="J325" t="s">
        <v>898</v>
      </c>
      <c r="K325" t="s">
        <v>898</v>
      </c>
      <c r="L325" t="s">
        <v>898</v>
      </c>
      <c r="M325" t="s">
        <v>898</v>
      </c>
      <c r="N325" t="s">
        <v>898</v>
      </c>
      <c r="O325" t="s">
        <v>898</v>
      </c>
      <c r="P325" t="s">
        <v>898</v>
      </c>
      <c r="Q325" t="s">
        <v>898</v>
      </c>
      <c r="R325" t="s">
        <v>898</v>
      </c>
      <c r="S325" t="s">
        <v>898</v>
      </c>
      <c r="T325" t="s">
        <v>898</v>
      </c>
      <c r="U325" t="s">
        <v>898</v>
      </c>
      <c r="V325" t="s">
        <v>898</v>
      </c>
      <c r="W325" t="s">
        <v>898</v>
      </c>
      <c r="X325" t="s">
        <v>898</v>
      </c>
      <c r="Y325" t="e">
        <v>#REF!</v>
      </c>
      <c r="Z325" t="e">
        <v>#REF!</v>
      </c>
    </row>
    <row r="326">
      <c r="A326" t="s">
        <v>898</v>
      </c>
      <c r="B326" t="s">
        <v>898</v>
      </c>
      <c r="C326" t="s">
        <v>898</v>
      </c>
      <c r="D326" t="s">
        <v>898</v>
      </c>
      <c r="E326" t="s">
        <v>898</v>
      </c>
      <c r="F326" t="s">
        <v>898</v>
      </c>
      <c r="G326" t="s">
        <v>898</v>
      </c>
      <c r="H326" t="s">
        <v>898</v>
      </c>
      <c r="I326" t="s">
        <v>898</v>
      </c>
      <c r="J326" t="s">
        <v>898</v>
      </c>
      <c r="K326" t="s">
        <v>898</v>
      </c>
      <c r="L326" t="s">
        <v>898</v>
      </c>
      <c r="M326" t="s">
        <v>898</v>
      </c>
      <c r="N326" t="s">
        <v>898</v>
      </c>
      <c r="O326" t="s">
        <v>898</v>
      </c>
      <c r="P326" t="s">
        <v>898</v>
      </c>
      <c r="Q326" t="s">
        <v>898</v>
      </c>
      <c r="R326" t="s">
        <v>898</v>
      </c>
      <c r="S326" t="s">
        <v>898</v>
      </c>
      <c r="T326" t="s">
        <v>898</v>
      </c>
      <c r="U326" t="s">
        <v>898</v>
      </c>
      <c r="V326" t="s">
        <v>898</v>
      </c>
      <c r="W326" t="s">
        <v>898</v>
      </c>
      <c r="X326" t="s">
        <v>898</v>
      </c>
      <c r="Y326" t="e">
        <v>#REF!</v>
      </c>
      <c r="Z326" t="e">
        <v>#REF!</v>
      </c>
    </row>
    <row r="327">
      <c r="A327" t="s">
        <v>898</v>
      </c>
      <c r="B327" t="s">
        <v>898</v>
      </c>
      <c r="C327" t="s">
        <v>898</v>
      </c>
      <c r="D327" t="s">
        <v>898</v>
      </c>
      <c r="E327" t="s">
        <v>898</v>
      </c>
      <c r="F327" t="s">
        <v>898</v>
      </c>
      <c r="G327" t="s">
        <v>898</v>
      </c>
      <c r="H327" t="s">
        <v>898</v>
      </c>
      <c r="I327" t="s">
        <v>898</v>
      </c>
      <c r="J327" t="s">
        <v>898</v>
      </c>
      <c r="K327" t="s">
        <v>898</v>
      </c>
      <c r="L327" t="s">
        <v>898</v>
      </c>
      <c r="M327" t="s">
        <v>898</v>
      </c>
      <c r="N327" t="s">
        <v>898</v>
      </c>
      <c r="O327" t="s">
        <v>898</v>
      </c>
      <c r="P327" t="s">
        <v>898</v>
      </c>
      <c r="Q327" t="s">
        <v>898</v>
      </c>
      <c r="R327" t="s">
        <v>898</v>
      </c>
      <c r="S327" t="s">
        <v>898</v>
      </c>
      <c r="T327" t="s">
        <v>898</v>
      </c>
      <c r="U327" t="s">
        <v>898</v>
      </c>
      <c r="V327" t="s">
        <v>898</v>
      </c>
      <c r="W327" t="s">
        <v>898</v>
      </c>
      <c r="X327" t="s">
        <v>898</v>
      </c>
      <c r="Y327" t="e">
        <v>#REF!</v>
      </c>
      <c r="Z327" t="e">
        <v>#REF!</v>
      </c>
    </row>
    <row r="328">
      <c r="A328" t="s">
        <v>898</v>
      </c>
      <c r="B328" t="s">
        <v>898</v>
      </c>
      <c r="C328" t="s">
        <v>898</v>
      </c>
      <c r="D328" t="s">
        <v>898</v>
      </c>
      <c r="E328" t="s">
        <v>898</v>
      </c>
      <c r="F328" t="s">
        <v>898</v>
      </c>
      <c r="G328" t="s">
        <v>898</v>
      </c>
      <c r="H328" t="s">
        <v>898</v>
      </c>
      <c r="I328" t="s">
        <v>898</v>
      </c>
      <c r="J328" t="s">
        <v>898</v>
      </c>
      <c r="K328" t="s">
        <v>898</v>
      </c>
      <c r="L328" t="s">
        <v>898</v>
      </c>
      <c r="M328" t="s">
        <v>898</v>
      </c>
      <c r="N328" t="s">
        <v>898</v>
      </c>
      <c r="O328" t="s">
        <v>898</v>
      </c>
      <c r="P328" t="s">
        <v>898</v>
      </c>
      <c r="Q328" t="s">
        <v>898</v>
      </c>
      <c r="R328" t="s">
        <v>898</v>
      </c>
      <c r="S328" t="s">
        <v>898</v>
      </c>
      <c r="T328" t="s">
        <v>898</v>
      </c>
      <c r="U328" t="s">
        <v>898</v>
      </c>
      <c r="V328" t="s">
        <v>898</v>
      </c>
      <c r="W328" t="s">
        <v>898</v>
      </c>
      <c r="X328" t="s">
        <v>898</v>
      </c>
      <c r="Y328" t="e">
        <v>#REF!</v>
      </c>
      <c r="Z328" t="e">
        <v>#REF!</v>
      </c>
    </row>
    <row r="329">
      <c r="A329" t="s">
        <v>898</v>
      </c>
      <c r="B329" t="s">
        <v>898</v>
      </c>
      <c r="C329" t="s">
        <v>898</v>
      </c>
      <c r="D329" t="s">
        <v>898</v>
      </c>
      <c r="E329" t="s">
        <v>898</v>
      </c>
      <c r="F329" t="s">
        <v>898</v>
      </c>
      <c r="G329" t="s">
        <v>898</v>
      </c>
      <c r="H329" t="s">
        <v>898</v>
      </c>
      <c r="I329" t="s">
        <v>898</v>
      </c>
      <c r="J329" t="s">
        <v>898</v>
      </c>
      <c r="K329" t="s">
        <v>898</v>
      </c>
      <c r="L329" t="s">
        <v>898</v>
      </c>
      <c r="M329" t="s">
        <v>898</v>
      </c>
      <c r="N329" t="s">
        <v>898</v>
      </c>
      <c r="O329" t="s">
        <v>898</v>
      </c>
      <c r="P329" t="s">
        <v>898</v>
      </c>
      <c r="Q329" t="s">
        <v>898</v>
      </c>
      <c r="R329" t="s">
        <v>898</v>
      </c>
      <c r="S329" t="s">
        <v>898</v>
      </c>
      <c r="T329" t="s">
        <v>898</v>
      </c>
      <c r="U329" t="s">
        <v>898</v>
      </c>
      <c r="V329" t="s">
        <v>898</v>
      </c>
      <c r="W329" t="s">
        <v>898</v>
      </c>
      <c r="X329" t="s">
        <v>898</v>
      </c>
      <c r="Y329" t="e">
        <v>#REF!</v>
      </c>
      <c r="Z329" t="e">
        <v>#REF!</v>
      </c>
    </row>
    <row r="330">
      <c r="A330" t="s">
        <v>898</v>
      </c>
      <c r="B330" t="s">
        <v>898</v>
      </c>
      <c r="C330" t="s">
        <v>898</v>
      </c>
      <c r="D330" t="s">
        <v>898</v>
      </c>
      <c r="E330" t="s">
        <v>898</v>
      </c>
      <c r="F330" t="s">
        <v>898</v>
      </c>
      <c r="G330" t="s">
        <v>898</v>
      </c>
      <c r="H330" t="s">
        <v>898</v>
      </c>
      <c r="I330" t="s">
        <v>898</v>
      </c>
      <c r="J330" t="s">
        <v>898</v>
      </c>
      <c r="K330" t="s">
        <v>898</v>
      </c>
      <c r="L330" t="s">
        <v>898</v>
      </c>
      <c r="M330" t="s">
        <v>898</v>
      </c>
      <c r="N330" t="s">
        <v>898</v>
      </c>
      <c r="O330" t="s">
        <v>898</v>
      </c>
      <c r="P330" t="s">
        <v>898</v>
      </c>
      <c r="Q330" t="s">
        <v>898</v>
      </c>
      <c r="R330" t="s">
        <v>898</v>
      </c>
      <c r="S330" t="s">
        <v>898</v>
      </c>
      <c r="T330" t="s">
        <v>898</v>
      </c>
      <c r="U330" t="s">
        <v>898</v>
      </c>
      <c r="V330" t="s">
        <v>898</v>
      </c>
      <c r="W330" t="s">
        <v>898</v>
      </c>
      <c r="X330" t="s">
        <v>898</v>
      </c>
      <c r="Y330" t="e">
        <v>#REF!</v>
      </c>
      <c r="Z330" t="e">
        <v>#REF!</v>
      </c>
    </row>
    <row r="331">
      <c r="A331" t="s">
        <v>898</v>
      </c>
      <c r="B331" t="s">
        <v>898</v>
      </c>
      <c r="C331" t="s">
        <v>898</v>
      </c>
      <c r="D331" t="s">
        <v>898</v>
      </c>
      <c r="E331" t="s">
        <v>898</v>
      </c>
      <c r="F331" t="s">
        <v>898</v>
      </c>
      <c r="G331" t="s">
        <v>898</v>
      </c>
      <c r="H331" t="s">
        <v>898</v>
      </c>
      <c r="I331" t="s">
        <v>898</v>
      </c>
      <c r="J331" t="s">
        <v>898</v>
      </c>
      <c r="K331" t="s">
        <v>898</v>
      </c>
      <c r="L331" t="s">
        <v>898</v>
      </c>
      <c r="M331" t="s">
        <v>898</v>
      </c>
      <c r="N331" t="s">
        <v>898</v>
      </c>
      <c r="O331" t="s">
        <v>898</v>
      </c>
      <c r="P331" t="s">
        <v>898</v>
      </c>
      <c r="Q331" t="s">
        <v>898</v>
      </c>
      <c r="R331" t="s">
        <v>898</v>
      </c>
      <c r="S331" t="s">
        <v>898</v>
      </c>
      <c r="T331" t="s">
        <v>898</v>
      </c>
      <c r="U331" t="s">
        <v>898</v>
      </c>
      <c r="V331" t="s">
        <v>898</v>
      </c>
      <c r="W331" t="s">
        <v>898</v>
      </c>
      <c r="X331" t="s">
        <v>898</v>
      </c>
      <c r="Y331" t="e">
        <v>#REF!</v>
      </c>
      <c r="Z331" t="e">
        <v>#REF!</v>
      </c>
    </row>
    <row r="332">
      <c r="A332" t="s">
        <v>898</v>
      </c>
      <c r="B332" t="s">
        <v>898</v>
      </c>
      <c r="C332" t="s">
        <v>898</v>
      </c>
      <c r="D332" t="s">
        <v>898</v>
      </c>
      <c r="E332" t="s">
        <v>898</v>
      </c>
      <c r="F332" t="s">
        <v>898</v>
      </c>
      <c r="G332" t="s">
        <v>898</v>
      </c>
      <c r="H332" t="s">
        <v>898</v>
      </c>
      <c r="I332" t="s">
        <v>898</v>
      </c>
      <c r="J332" t="s">
        <v>898</v>
      </c>
      <c r="K332" t="s">
        <v>898</v>
      </c>
      <c r="L332" t="s">
        <v>898</v>
      </c>
      <c r="M332" t="s">
        <v>898</v>
      </c>
      <c r="N332" t="s">
        <v>898</v>
      </c>
      <c r="O332" t="s">
        <v>898</v>
      </c>
      <c r="P332" t="s">
        <v>898</v>
      </c>
      <c r="Q332" t="s">
        <v>898</v>
      </c>
      <c r="R332" t="s">
        <v>898</v>
      </c>
      <c r="S332" t="s">
        <v>898</v>
      </c>
      <c r="T332" t="s">
        <v>898</v>
      </c>
      <c r="U332" t="s">
        <v>898</v>
      </c>
      <c r="V332" t="s">
        <v>898</v>
      </c>
      <c r="W332" t="s">
        <v>898</v>
      </c>
      <c r="X332" t="s">
        <v>898</v>
      </c>
      <c r="Y332" t="e">
        <v>#REF!</v>
      </c>
      <c r="Z332" t="e">
        <v>#REF!</v>
      </c>
    </row>
    <row r="333">
      <c r="A333" t="s">
        <v>898</v>
      </c>
      <c r="B333" t="s">
        <v>898</v>
      </c>
      <c r="C333" t="s">
        <v>898</v>
      </c>
      <c r="D333" t="s">
        <v>898</v>
      </c>
      <c r="E333" t="s">
        <v>898</v>
      </c>
      <c r="F333" t="s">
        <v>898</v>
      </c>
      <c r="G333" t="s">
        <v>898</v>
      </c>
      <c r="H333" t="s">
        <v>898</v>
      </c>
      <c r="I333" t="s">
        <v>898</v>
      </c>
      <c r="J333" t="s">
        <v>898</v>
      </c>
      <c r="K333" t="s">
        <v>898</v>
      </c>
      <c r="L333" t="s">
        <v>898</v>
      </c>
      <c r="M333" t="s">
        <v>898</v>
      </c>
      <c r="N333" t="s">
        <v>898</v>
      </c>
      <c r="O333" t="s">
        <v>898</v>
      </c>
      <c r="P333" t="s">
        <v>898</v>
      </c>
      <c r="Q333" t="s">
        <v>898</v>
      </c>
      <c r="R333" t="s">
        <v>898</v>
      </c>
      <c r="S333" t="s">
        <v>898</v>
      </c>
      <c r="T333" t="s">
        <v>898</v>
      </c>
      <c r="U333" t="s">
        <v>898</v>
      </c>
      <c r="V333" t="s">
        <v>898</v>
      </c>
      <c r="W333" t="s">
        <v>898</v>
      </c>
      <c r="X333" t="s">
        <v>898</v>
      </c>
      <c r="Y333" t="e">
        <v>#REF!</v>
      </c>
      <c r="Z333" t="e">
        <v>#REF!</v>
      </c>
    </row>
    <row r="334">
      <c r="A334" t="s">
        <v>898</v>
      </c>
      <c r="B334" t="s">
        <v>898</v>
      </c>
      <c r="C334" t="s">
        <v>898</v>
      </c>
      <c r="D334" t="s">
        <v>898</v>
      </c>
      <c r="E334" t="s">
        <v>898</v>
      </c>
      <c r="F334" t="s">
        <v>898</v>
      </c>
      <c r="G334" t="s">
        <v>898</v>
      </c>
      <c r="H334" t="s">
        <v>898</v>
      </c>
      <c r="I334" t="s">
        <v>898</v>
      </c>
      <c r="J334" t="s">
        <v>898</v>
      </c>
      <c r="K334" t="s">
        <v>898</v>
      </c>
      <c r="L334" t="s">
        <v>898</v>
      </c>
      <c r="M334" t="s">
        <v>898</v>
      </c>
      <c r="N334" t="s">
        <v>898</v>
      </c>
      <c r="O334" t="s">
        <v>898</v>
      </c>
      <c r="P334" t="s">
        <v>898</v>
      </c>
      <c r="Q334" t="s">
        <v>898</v>
      </c>
      <c r="R334" t="s">
        <v>898</v>
      </c>
      <c r="S334" t="s">
        <v>898</v>
      </c>
      <c r="T334" t="s">
        <v>898</v>
      </c>
      <c r="U334" t="s">
        <v>898</v>
      </c>
      <c r="V334" t="s">
        <v>898</v>
      </c>
      <c r="W334" t="s">
        <v>898</v>
      </c>
      <c r="X334" t="s">
        <v>898</v>
      </c>
      <c r="Y334" t="e">
        <v>#REF!</v>
      </c>
      <c r="Z334" t="e">
        <v>#REF!</v>
      </c>
    </row>
    <row r="335">
      <c r="A335" t="s">
        <v>898</v>
      </c>
      <c r="B335" t="s">
        <v>898</v>
      </c>
      <c r="C335" t="s">
        <v>898</v>
      </c>
      <c r="D335" t="s">
        <v>898</v>
      </c>
      <c r="E335" t="s">
        <v>898</v>
      </c>
      <c r="F335" t="s">
        <v>898</v>
      </c>
      <c r="G335" t="s">
        <v>898</v>
      </c>
      <c r="H335" t="s">
        <v>898</v>
      </c>
      <c r="I335" t="s">
        <v>898</v>
      </c>
      <c r="J335" t="s">
        <v>898</v>
      </c>
      <c r="K335" t="s">
        <v>898</v>
      </c>
      <c r="L335" t="s">
        <v>898</v>
      </c>
      <c r="M335" t="s">
        <v>898</v>
      </c>
      <c r="N335" t="s">
        <v>898</v>
      </c>
      <c r="O335" t="s">
        <v>898</v>
      </c>
      <c r="P335" t="s">
        <v>898</v>
      </c>
      <c r="Q335" t="s">
        <v>898</v>
      </c>
      <c r="R335" t="s">
        <v>898</v>
      </c>
      <c r="S335" t="s">
        <v>898</v>
      </c>
      <c r="T335" t="s">
        <v>898</v>
      </c>
      <c r="U335" t="s">
        <v>898</v>
      </c>
      <c r="V335" t="s">
        <v>898</v>
      </c>
      <c r="W335" t="s">
        <v>898</v>
      </c>
      <c r="X335" t="s">
        <v>898</v>
      </c>
      <c r="Y335" t="e">
        <v>#REF!</v>
      </c>
      <c r="Z335" t="e">
        <v>#REF!</v>
      </c>
    </row>
    <row r="336">
      <c r="A336" t="s">
        <v>898</v>
      </c>
      <c r="B336" t="s">
        <v>898</v>
      </c>
      <c r="C336" t="s">
        <v>898</v>
      </c>
      <c r="D336" t="s">
        <v>898</v>
      </c>
      <c r="E336" t="s">
        <v>898</v>
      </c>
      <c r="F336" t="s">
        <v>898</v>
      </c>
      <c r="G336" t="s">
        <v>898</v>
      </c>
      <c r="H336" t="s">
        <v>898</v>
      </c>
      <c r="I336" t="s">
        <v>898</v>
      </c>
      <c r="J336" t="s">
        <v>898</v>
      </c>
      <c r="K336" t="s">
        <v>898</v>
      </c>
      <c r="L336" t="s">
        <v>898</v>
      </c>
      <c r="M336" t="s">
        <v>898</v>
      </c>
      <c r="N336" t="s">
        <v>898</v>
      </c>
      <c r="O336" t="s">
        <v>898</v>
      </c>
      <c r="P336" t="s">
        <v>898</v>
      </c>
      <c r="Q336" t="s">
        <v>898</v>
      </c>
      <c r="R336" t="s">
        <v>898</v>
      </c>
      <c r="S336" t="s">
        <v>898</v>
      </c>
      <c r="T336" t="s">
        <v>898</v>
      </c>
      <c r="U336" t="s">
        <v>898</v>
      </c>
      <c r="V336" t="s">
        <v>898</v>
      </c>
      <c r="W336" t="s">
        <v>898</v>
      </c>
      <c r="X336" t="s">
        <v>898</v>
      </c>
      <c r="Y336" t="e">
        <v>#REF!</v>
      </c>
      <c r="Z336" t="e">
        <v>#REF!</v>
      </c>
    </row>
    <row r="337">
      <c r="A337" t="s">
        <v>898</v>
      </c>
      <c r="B337" t="s">
        <v>898</v>
      </c>
      <c r="C337" t="s">
        <v>898</v>
      </c>
      <c r="D337" t="s">
        <v>898</v>
      </c>
      <c r="E337" t="s">
        <v>898</v>
      </c>
      <c r="F337" t="s">
        <v>898</v>
      </c>
      <c r="G337" t="s">
        <v>898</v>
      </c>
      <c r="H337" t="s">
        <v>898</v>
      </c>
      <c r="I337" t="s">
        <v>898</v>
      </c>
      <c r="J337" t="s">
        <v>898</v>
      </c>
      <c r="K337" t="s">
        <v>898</v>
      </c>
      <c r="L337" t="s">
        <v>898</v>
      </c>
      <c r="M337" t="s">
        <v>898</v>
      </c>
      <c r="N337" t="s">
        <v>898</v>
      </c>
      <c r="O337" t="s">
        <v>898</v>
      </c>
      <c r="P337" t="s">
        <v>898</v>
      </c>
      <c r="Q337" t="s">
        <v>898</v>
      </c>
      <c r="R337" t="s">
        <v>898</v>
      </c>
      <c r="S337" t="s">
        <v>898</v>
      </c>
      <c r="T337" t="s">
        <v>898</v>
      </c>
      <c r="U337" t="s">
        <v>898</v>
      </c>
      <c r="V337" t="s">
        <v>898</v>
      </c>
      <c r="W337" t="s">
        <v>898</v>
      </c>
      <c r="X337" t="s">
        <v>898</v>
      </c>
      <c r="Y337" t="e">
        <v>#REF!</v>
      </c>
      <c r="Z337" t="e">
        <v>#REF!</v>
      </c>
    </row>
    <row r="338">
      <c r="A338" t="s">
        <v>898</v>
      </c>
      <c r="B338" t="s">
        <v>898</v>
      </c>
      <c r="C338" t="s">
        <v>898</v>
      </c>
      <c r="D338" t="s">
        <v>898</v>
      </c>
      <c r="E338" t="s">
        <v>898</v>
      </c>
      <c r="F338" t="s">
        <v>898</v>
      </c>
      <c r="G338" t="s">
        <v>898</v>
      </c>
      <c r="H338" t="s">
        <v>898</v>
      </c>
      <c r="I338" t="s">
        <v>898</v>
      </c>
      <c r="J338" t="s">
        <v>898</v>
      </c>
      <c r="K338" t="s">
        <v>898</v>
      </c>
      <c r="L338" t="s">
        <v>898</v>
      </c>
      <c r="M338" t="s">
        <v>898</v>
      </c>
      <c r="N338" t="s">
        <v>898</v>
      </c>
      <c r="O338" t="s">
        <v>898</v>
      </c>
      <c r="P338" t="s">
        <v>898</v>
      </c>
      <c r="Q338" t="s">
        <v>898</v>
      </c>
      <c r="R338" t="s">
        <v>898</v>
      </c>
      <c r="S338" t="s">
        <v>898</v>
      </c>
      <c r="T338" t="s">
        <v>898</v>
      </c>
      <c r="U338" t="s">
        <v>898</v>
      </c>
      <c r="V338" t="s">
        <v>898</v>
      </c>
      <c r="W338" t="s">
        <v>898</v>
      </c>
      <c r="X338" t="s">
        <v>898</v>
      </c>
      <c r="Y338" t="e">
        <v>#REF!</v>
      </c>
      <c r="Z338" t="e">
        <v>#REF!</v>
      </c>
    </row>
    <row r="339">
      <c r="A339" t="s">
        <v>898</v>
      </c>
      <c r="B339" t="s">
        <v>898</v>
      </c>
      <c r="C339" t="s">
        <v>898</v>
      </c>
      <c r="D339" t="s">
        <v>898</v>
      </c>
      <c r="E339" t="s">
        <v>898</v>
      </c>
      <c r="F339" t="s">
        <v>898</v>
      </c>
      <c r="G339" t="s">
        <v>898</v>
      </c>
      <c r="H339" t="s">
        <v>898</v>
      </c>
      <c r="I339" t="s">
        <v>898</v>
      </c>
      <c r="J339" t="s">
        <v>898</v>
      </c>
      <c r="K339" t="s">
        <v>898</v>
      </c>
      <c r="L339" t="s">
        <v>898</v>
      </c>
      <c r="M339" t="s">
        <v>898</v>
      </c>
      <c r="N339" t="s">
        <v>898</v>
      </c>
      <c r="O339" t="s">
        <v>898</v>
      </c>
      <c r="P339" t="s">
        <v>898</v>
      </c>
      <c r="Q339" t="s">
        <v>898</v>
      </c>
      <c r="R339" t="s">
        <v>898</v>
      </c>
      <c r="S339" t="s">
        <v>898</v>
      </c>
      <c r="T339" t="s">
        <v>898</v>
      </c>
      <c r="U339" t="s">
        <v>898</v>
      </c>
      <c r="V339" t="s">
        <v>898</v>
      </c>
      <c r="W339" t="s">
        <v>898</v>
      </c>
      <c r="X339" t="s">
        <v>898</v>
      </c>
      <c r="Y339" t="e">
        <v>#REF!</v>
      </c>
      <c r="Z339" t="e">
        <v>#REF!</v>
      </c>
    </row>
    <row r="340">
      <c r="A340" t="s">
        <v>898</v>
      </c>
      <c r="B340" t="s">
        <v>898</v>
      </c>
      <c r="C340" t="s">
        <v>898</v>
      </c>
      <c r="D340" t="s">
        <v>898</v>
      </c>
      <c r="E340" t="s">
        <v>898</v>
      </c>
      <c r="F340" t="s">
        <v>898</v>
      </c>
      <c r="G340" t="s">
        <v>898</v>
      </c>
      <c r="H340" t="s">
        <v>898</v>
      </c>
      <c r="I340" t="s">
        <v>898</v>
      </c>
      <c r="J340" t="s">
        <v>898</v>
      </c>
      <c r="K340" t="s">
        <v>898</v>
      </c>
      <c r="L340" t="s">
        <v>898</v>
      </c>
      <c r="M340" t="s">
        <v>898</v>
      </c>
      <c r="N340" t="s">
        <v>898</v>
      </c>
      <c r="O340" t="s">
        <v>898</v>
      </c>
      <c r="P340" t="s">
        <v>898</v>
      </c>
      <c r="Q340" t="s">
        <v>898</v>
      </c>
      <c r="R340" t="s">
        <v>898</v>
      </c>
      <c r="S340" t="s">
        <v>898</v>
      </c>
      <c r="T340" t="s">
        <v>898</v>
      </c>
      <c r="U340" t="s">
        <v>898</v>
      </c>
      <c r="V340" t="s">
        <v>898</v>
      </c>
      <c r="W340" t="s">
        <v>898</v>
      </c>
      <c r="X340" t="s">
        <v>898</v>
      </c>
      <c r="Y340" t="e">
        <v>#REF!</v>
      </c>
      <c r="Z340" t="e">
        <v>#REF!</v>
      </c>
    </row>
    <row r="341">
      <c r="A341" t="s">
        <v>898</v>
      </c>
      <c r="B341" t="s">
        <v>898</v>
      </c>
      <c r="C341" t="s">
        <v>898</v>
      </c>
      <c r="D341" t="s">
        <v>898</v>
      </c>
      <c r="E341" t="s">
        <v>898</v>
      </c>
      <c r="F341" t="s">
        <v>898</v>
      </c>
      <c r="G341" t="s">
        <v>898</v>
      </c>
      <c r="H341" t="s">
        <v>898</v>
      </c>
      <c r="I341" t="s">
        <v>898</v>
      </c>
      <c r="J341" t="s">
        <v>898</v>
      </c>
      <c r="K341" t="s">
        <v>898</v>
      </c>
      <c r="L341" t="s">
        <v>898</v>
      </c>
      <c r="M341" t="s">
        <v>898</v>
      </c>
      <c r="N341" t="s">
        <v>898</v>
      </c>
      <c r="O341" t="s">
        <v>898</v>
      </c>
      <c r="P341" t="s">
        <v>898</v>
      </c>
      <c r="Q341" t="s">
        <v>898</v>
      </c>
      <c r="R341" t="s">
        <v>898</v>
      </c>
      <c r="S341" t="s">
        <v>898</v>
      </c>
      <c r="T341" t="s">
        <v>898</v>
      </c>
      <c r="U341" t="s">
        <v>898</v>
      </c>
      <c r="V341" t="s">
        <v>898</v>
      </c>
      <c r="W341" t="s">
        <v>898</v>
      </c>
      <c r="X341" t="s">
        <v>898</v>
      </c>
      <c r="Y341" t="e">
        <v>#REF!</v>
      </c>
      <c r="Z341" t="e">
        <v>#REF!</v>
      </c>
    </row>
    <row r="342">
      <c r="A342" t="s">
        <v>898</v>
      </c>
      <c r="B342" t="s">
        <v>898</v>
      </c>
      <c r="C342" t="s">
        <v>898</v>
      </c>
      <c r="D342" t="s">
        <v>898</v>
      </c>
      <c r="E342" t="s">
        <v>898</v>
      </c>
      <c r="F342" t="s">
        <v>898</v>
      </c>
      <c r="G342" t="s">
        <v>898</v>
      </c>
      <c r="H342" t="s">
        <v>898</v>
      </c>
      <c r="I342" t="s">
        <v>898</v>
      </c>
      <c r="J342" t="s">
        <v>898</v>
      </c>
      <c r="K342" t="s">
        <v>898</v>
      </c>
      <c r="L342" t="s">
        <v>898</v>
      </c>
      <c r="M342" t="s">
        <v>898</v>
      </c>
      <c r="N342" t="s">
        <v>898</v>
      </c>
      <c r="O342" t="s">
        <v>898</v>
      </c>
      <c r="P342" t="s">
        <v>898</v>
      </c>
      <c r="Q342" t="s">
        <v>898</v>
      </c>
      <c r="R342" t="s">
        <v>898</v>
      </c>
      <c r="S342" t="s">
        <v>898</v>
      </c>
      <c r="T342" t="s">
        <v>898</v>
      </c>
      <c r="U342" t="s">
        <v>898</v>
      </c>
      <c r="V342" t="s">
        <v>898</v>
      </c>
      <c r="W342" t="s">
        <v>898</v>
      </c>
      <c r="X342" t="s">
        <v>898</v>
      </c>
      <c r="Y342" t="e">
        <v>#REF!</v>
      </c>
      <c r="Z342" t="e">
        <v>#REF!</v>
      </c>
    </row>
    <row r="343">
      <c r="A343" t="s">
        <v>898</v>
      </c>
      <c r="B343" t="s">
        <v>898</v>
      </c>
      <c r="C343" t="s">
        <v>898</v>
      </c>
      <c r="D343" t="s">
        <v>898</v>
      </c>
      <c r="E343" t="s">
        <v>898</v>
      </c>
      <c r="F343" t="s">
        <v>898</v>
      </c>
      <c r="G343" t="s">
        <v>898</v>
      </c>
      <c r="H343" t="s">
        <v>898</v>
      </c>
      <c r="I343" t="s">
        <v>898</v>
      </c>
      <c r="J343" t="s">
        <v>898</v>
      </c>
      <c r="K343" t="s">
        <v>898</v>
      </c>
      <c r="L343" t="s">
        <v>898</v>
      </c>
      <c r="M343" t="s">
        <v>898</v>
      </c>
      <c r="N343" t="s">
        <v>898</v>
      </c>
      <c r="O343" t="s">
        <v>898</v>
      </c>
      <c r="P343" t="s">
        <v>898</v>
      </c>
      <c r="Q343" t="s">
        <v>898</v>
      </c>
      <c r="R343" t="s">
        <v>898</v>
      </c>
      <c r="S343" t="s">
        <v>898</v>
      </c>
      <c r="T343" t="s">
        <v>898</v>
      </c>
      <c r="U343" t="s">
        <v>898</v>
      </c>
      <c r="V343" t="s">
        <v>898</v>
      </c>
      <c r="W343" t="s">
        <v>898</v>
      </c>
      <c r="X343" t="s">
        <v>898</v>
      </c>
      <c r="Y343" t="e">
        <v>#REF!</v>
      </c>
      <c r="Z343" t="e">
        <v>#REF!</v>
      </c>
    </row>
    <row r="344">
      <c r="A344" t="s">
        <v>898</v>
      </c>
      <c r="B344" t="s">
        <v>898</v>
      </c>
      <c r="C344" t="s">
        <v>898</v>
      </c>
      <c r="D344" t="s">
        <v>898</v>
      </c>
      <c r="E344" t="s">
        <v>898</v>
      </c>
      <c r="F344" t="s">
        <v>898</v>
      </c>
      <c r="G344" t="s">
        <v>898</v>
      </c>
      <c r="H344" t="s">
        <v>898</v>
      </c>
      <c r="I344" t="s">
        <v>898</v>
      </c>
      <c r="J344" t="s">
        <v>898</v>
      </c>
      <c r="K344" t="s">
        <v>898</v>
      </c>
      <c r="L344" t="s">
        <v>898</v>
      </c>
      <c r="M344" t="s">
        <v>898</v>
      </c>
      <c r="N344" t="s">
        <v>898</v>
      </c>
      <c r="O344" t="s">
        <v>898</v>
      </c>
      <c r="P344" t="s">
        <v>898</v>
      </c>
      <c r="Q344" t="s">
        <v>898</v>
      </c>
      <c r="R344" t="s">
        <v>898</v>
      </c>
      <c r="S344" t="s">
        <v>898</v>
      </c>
      <c r="T344" t="s">
        <v>898</v>
      </c>
      <c r="U344" t="s">
        <v>898</v>
      </c>
      <c r="V344" t="s">
        <v>898</v>
      </c>
      <c r="W344" t="s">
        <v>898</v>
      </c>
      <c r="X344" t="s">
        <v>898</v>
      </c>
      <c r="Y344" t="e">
        <v>#REF!</v>
      </c>
      <c r="Z344" t="e">
        <v>#REF!</v>
      </c>
    </row>
    <row r="345">
      <c r="A345" t="s">
        <v>898</v>
      </c>
      <c r="B345" t="s">
        <v>898</v>
      </c>
      <c r="C345" t="s">
        <v>898</v>
      </c>
      <c r="D345" t="s">
        <v>898</v>
      </c>
      <c r="E345" t="s">
        <v>898</v>
      </c>
      <c r="F345" t="s">
        <v>898</v>
      </c>
      <c r="G345" t="s">
        <v>898</v>
      </c>
      <c r="H345" t="s">
        <v>898</v>
      </c>
      <c r="I345" t="s">
        <v>898</v>
      </c>
      <c r="J345" t="s">
        <v>898</v>
      </c>
      <c r="K345" t="s">
        <v>898</v>
      </c>
      <c r="L345" t="s">
        <v>898</v>
      </c>
      <c r="M345" t="s">
        <v>898</v>
      </c>
      <c r="N345" t="s">
        <v>898</v>
      </c>
      <c r="O345" t="s">
        <v>898</v>
      </c>
      <c r="P345" t="s">
        <v>898</v>
      </c>
      <c r="Q345" t="s">
        <v>898</v>
      </c>
      <c r="R345" t="s">
        <v>898</v>
      </c>
      <c r="S345" t="s">
        <v>898</v>
      </c>
      <c r="T345" t="s">
        <v>898</v>
      </c>
      <c r="U345" t="s">
        <v>898</v>
      </c>
      <c r="V345" t="s">
        <v>898</v>
      </c>
      <c r="W345" t="s">
        <v>898</v>
      </c>
      <c r="X345" t="s">
        <v>898</v>
      </c>
      <c r="Y345" t="e">
        <v>#REF!</v>
      </c>
      <c r="Z345" t="e">
        <v>#REF!</v>
      </c>
    </row>
    <row r="346">
      <c r="A346" t="s">
        <v>898</v>
      </c>
      <c r="B346" t="s">
        <v>898</v>
      </c>
      <c r="C346" t="s">
        <v>898</v>
      </c>
      <c r="D346" t="s">
        <v>898</v>
      </c>
      <c r="E346" t="s">
        <v>898</v>
      </c>
      <c r="F346" t="s">
        <v>898</v>
      </c>
      <c r="G346" t="s">
        <v>898</v>
      </c>
      <c r="H346" t="s">
        <v>898</v>
      </c>
      <c r="I346" t="s">
        <v>898</v>
      </c>
      <c r="J346" t="s">
        <v>898</v>
      </c>
      <c r="K346" t="s">
        <v>898</v>
      </c>
      <c r="L346" t="s">
        <v>898</v>
      </c>
      <c r="M346" t="s">
        <v>898</v>
      </c>
      <c r="N346" t="s">
        <v>898</v>
      </c>
      <c r="O346" t="s">
        <v>898</v>
      </c>
      <c r="P346" t="s">
        <v>898</v>
      </c>
      <c r="Q346" t="s">
        <v>898</v>
      </c>
      <c r="R346" t="s">
        <v>898</v>
      </c>
      <c r="S346" t="s">
        <v>898</v>
      </c>
      <c r="T346" t="s">
        <v>898</v>
      </c>
      <c r="U346" t="s">
        <v>898</v>
      </c>
      <c r="V346" t="s">
        <v>898</v>
      </c>
      <c r="W346" t="s">
        <v>898</v>
      </c>
      <c r="X346" t="s">
        <v>898</v>
      </c>
      <c r="Y346" t="e">
        <v>#REF!</v>
      </c>
      <c r="Z346" t="e">
        <v>#REF!</v>
      </c>
    </row>
    <row r="347">
      <c r="A347" t="s">
        <v>898</v>
      </c>
      <c r="B347" t="s">
        <v>898</v>
      </c>
      <c r="C347" t="s">
        <v>898</v>
      </c>
      <c r="D347" t="s">
        <v>898</v>
      </c>
      <c r="E347" t="s">
        <v>898</v>
      </c>
      <c r="F347" t="s">
        <v>898</v>
      </c>
      <c r="G347" t="s">
        <v>898</v>
      </c>
      <c r="H347" t="s">
        <v>898</v>
      </c>
      <c r="I347" t="s">
        <v>898</v>
      </c>
      <c r="J347" t="s">
        <v>898</v>
      </c>
      <c r="K347" t="s">
        <v>898</v>
      </c>
      <c r="L347" t="s">
        <v>898</v>
      </c>
      <c r="M347" t="s">
        <v>898</v>
      </c>
      <c r="N347" t="s">
        <v>898</v>
      </c>
      <c r="O347" t="s">
        <v>898</v>
      </c>
      <c r="P347" t="s">
        <v>898</v>
      </c>
      <c r="Q347" t="s">
        <v>898</v>
      </c>
      <c r="R347" t="s">
        <v>898</v>
      </c>
      <c r="S347" t="s">
        <v>898</v>
      </c>
      <c r="T347" t="s">
        <v>898</v>
      </c>
      <c r="U347" t="s">
        <v>898</v>
      </c>
      <c r="V347" t="s">
        <v>898</v>
      </c>
      <c r="W347" t="s">
        <v>898</v>
      </c>
      <c r="X347" t="s">
        <v>898</v>
      </c>
      <c r="Y347" t="e">
        <v>#REF!</v>
      </c>
      <c r="Z347" t="e">
        <v>#REF!</v>
      </c>
    </row>
    <row r="348">
      <c r="A348" t="s">
        <v>898</v>
      </c>
      <c r="B348" t="s">
        <v>898</v>
      </c>
      <c r="C348" t="s">
        <v>898</v>
      </c>
      <c r="D348" t="s">
        <v>898</v>
      </c>
      <c r="E348" t="s">
        <v>898</v>
      </c>
      <c r="F348" t="s">
        <v>898</v>
      </c>
      <c r="G348" t="s">
        <v>898</v>
      </c>
      <c r="H348" t="s">
        <v>898</v>
      </c>
      <c r="I348" t="s">
        <v>898</v>
      </c>
      <c r="J348" t="s">
        <v>898</v>
      </c>
      <c r="K348" t="s">
        <v>898</v>
      </c>
      <c r="L348" t="s">
        <v>898</v>
      </c>
      <c r="M348" t="s">
        <v>898</v>
      </c>
      <c r="N348" t="s">
        <v>898</v>
      </c>
      <c r="O348" t="s">
        <v>898</v>
      </c>
      <c r="P348" t="s">
        <v>898</v>
      </c>
      <c r="Q348" t="s">
        <v>898</v>
      </c>
      <c r="R348" t="s">
        <v>898</v>
      </c>
      <c r="S348" t="s">
        <v>898</v>
      </c>
      <c r="T348" t="s">
        <v>898</v>
      </c>
      <c r="U348" t="s">
        <v>898</v>
      </c>
      <c r="V348" t="s">
        <v>898</v>
      </c>
      <c r="W348" t="s">
        <v>898</v>
      </c>
      <c r="X348" t="s">
        <v>898</v>
      </c>
      <c r="Y348" t="e">
        <v>#REF!</v>
      </c>
      <c r="Z348" t="e">
        <v>#REF!</v>
      </c>
    </row>
    <row r="349">
      <c r="A349" t="s">
        <v>898</v>
      </c>
      <c r="B349" t="s">
        <v>898</v>
      </c>
      <c r="C349" t="s">
        <v>898</v>
      </c>
      <c r="D349" t="s">
        <v>898</v>
      </c>
      <c r="E349" t="s">
        <v>898</v>
      </c>
      <c r="F349" t="s">
        <v>898</v>
      </c>
      <c r="G349" t="s">
        <v>898</v>
      </c>
      <c r="H349" t="s">
        <v>898</v>
      </c>
      <c r="I349" t="s">
        <v>898</v>
      </c>
      <c r="J349" t="s">
        <v>898</v>
      </c>
      <c r="K349" t="s">
        <v>898</v>
      </c>
      <c r="L349" t="s">
        <v>898</v>
      </c>
      <c r="M349" t="s">
        <v>898</v>
      </c>
      <c r="N349" t="s">
        <v>898</v>
      </c>
      <c r="O349" t="s">
        <v>898</v>
      </c>
      <c r="P349" t="s">
        <v>898</v>
      </c>
      <c r="Q349" t="s">
        <v>898</v>
      </c>
      <c r="R349" t="s">
        <v>898</v>
      </c>
      <c r="S349" t="s">
        <v>898</v>
      </c>
      <c r="T349" t="s">
        <v>898</v>
      </c>
      <c r="U349" t="s">
        <v>898</v>
      </c>
      <c r="V349" t="s">
        <v>898</v>
      </c>
      <c r="W349" t="s">
        <v>898</v>
      </c>
      <c r="X349" t="s">
        <v>898</v>
      </c>
      <c r="Y349" t="e">
        <v>#REF!</v>
      </c>
      <c r="Z349" t="e">
        <v>#REF!</v>
      </c>
    </row>
    <row r="350">
      <c r="A350" t="s">
        <v>898</v>
      </c>
      <c r="B350" t="s">
        <v>898</v>
      </c>
      <c r="C350" t="s">
        <v>898</v>
      </c>
      <c r="D350" t="s">
        <v>898</v>
      </c>
      <c r="E350" t="s">
        <v>898</v>
      </c>
      <c r="F350" t="s">
        <v>898</v>
      </c>
      <c r="G350" t="s">
        <v>898</v>
      </c>
      <c r="H350" t="s">
        <v>898</v>
      </c>
      <c r="I350" t="s">
        <v>898</v>
      </c>
      <c r="J350" t="s">
        <v>898</v>
      </c>
      <c r="K350" t="s">
        <v>898</v>
      </c>
      <c r="L350" t="s">
        <v>898</v>
      </c>
      <c r="M350" t="s">
        <v>898</v>
      </c>
      <c r="N350" t="s">
        <v>898</v>
      </c>
      <c r="O350" t="s">
        <v>898</v>
      </c>
      <c r="P350" t="s">
        <v>898</v>
      </c>
      <c r="Q350" t="s">
        <v>898</v>
      </c>
      <c r="R350" t="s">
        <v>898</v>
      </c>
      <c r="S350" t="s">
        <v>898</v>
      </c>
      <c r="T350" t="s">
        <v>898</v>
      </c>
      <c r="U350" t="s">
        <v>898</v>
      </c>
      <c r="V350" t="s">
        <v>898</v>
      </c>
      <c r="W350" t="s">
        <v>898</v>
      </c>
      <c r="X350" t="s">
        <v>898</v>
      </c>
      <c r="Y350" t="e">
        <v>#REF!</v>
      </c>
      <c r="Z350" t="e">
        <v>#REF!</v>
      </c>
    </row>
    <row r="351">
      <c r="A351" t="s">
        <v>898</v>
      </c>
      <c r="B351" t="s">
        <v>898</v>
      </c>
      <c r="C351" t="s">
        <v>898</v>
      </c>
      <c r="D351" t="s">
        <v>898</v>
      </c>
      <c r="E351" t="s">
        <v>898</v>
      </c>
      <c r="F351" t="s">
        <v>898</v>
      </c>
      <c r="G351" t="s">
        <v>898</v>
      </c>
      <c r="H351" t="s">
        <v>898</v>
      </c>
      <c r="I351" t="s">
        <v>898</v>
      </c>
      <c r="J351" t="s">
        <v>898</v>
      </c>
      <c r="K351" t="s">
        <v>898</v>
      </c>
      <c r="L351" t="s">
        <v>898</v>
      </c>
      <c r="M351" t="s">
        <v>898</v>
      </c>
      <c r="N351" t="s">
        <v>898</v>
      </c>
      <c r="O351" t="s">
        <v>898</v>
      </c>
      <c r="P351" t="s">
        <v>898</v>
      </c>
      <c r="Q351" t="s">
        <v>898</v>
      </c>
      <c r="R351" t="s">
        <v>898</v>
      </c>
      <c r="S351" t="s">
        <v>898</v>
      </c>
      <c r="T351" t="s">
        <v>898</v>
      </c>
      <c r="U351" t="s">
        <v>898</v>
      </c>
      <c r="V351" t="s">
        <v>898</v>
      </c>
      <c r="W351" t="s">
        <v>898</v>
      </c>
      <c r="X351" t="s">
        <v>898</v>
      </c>
      <c r="Y351" t="e">
        <v>#REF!</v>
      </c>
      <c r="Z351" t="e">
        <v>#REF!</v>
      </c>
    </row>
    <row r="352">
      <c r="A352" t="s">
        <v>898</v>
      </c>
      <c r="B352" t="s">
        <v>898</v>
      </c>
      <c r="C352" t="s">
        <v>898</v>
      </c>
      <c r="D352" t="s">
        <v>898</v>
      </c>
      <c r="E352" t="s">
        <v>898</v>
      </c>
      <c r="F352" t="s">
        <v>898</v>
      </c>
      <c r="G352" t="s">
        <v>898</v>
      </c>
      <c r="H352" t="s">
        <v>898</v>
      </c>
      <c r="I352" t="s">
        <v>898</v>
      </c>
      <c r="J352" t="s">
        <v>898</v>
      </c>
      <c r="K352" t="s">
        <v>898</v>
      </c>
      <c r="L352" t="s">
        <v>898</v>
      </c>
      <c r="M352" t="s">
        <v>898</v>
      </c>
      <c r="N352" t="s">
        <v>898</v>
      </c>
      <c r="O352" t="s">
        <v>898</v>
      </c>
      <c r="P352" t="s">
        <v>898</v>
      </c>
      <c r="Q352" t="s">
        <v>898</v>
      </c>
      <c r="R352" t="s">
        <v>898</v>
      </c>
      <c r="S352" t="s">
        <v>898</v>
      </c>
      <c r="T352" t="s">
        <v>898</v>
      </c>
      <c r="U352" t="s">
        <v>898</v>
      </c>
      <c r="V352" t="s">
        <v>898</v>
      </c>
      <c r="W352" t="s">
        <v>898</v>
      </c>
      <c r="X352" t="s">
        <v>898</v>
      </c>
      <c r="Y352" t="e">
        <v>#REF!</v>
      </c>
      <c r="Z352" t="e">
        <v>#REF!</v>
      </c>
    </row>
    <row r="353">
      <c r="A353" t="s">
        <v>898</v>
      </c>
      <c r="B353" t="s">
        <v>898</v>
      </c>
      <c r="C353" t="s">
        <v>898</v>
      </c>
      <c r="D353" t="s">
        <v>898</v>
      </c>
      <c r="E353" t="s">
        <v>898</v>
      </c>
      <c r="F353" t="s">
        <v>898</v>
      </c>
      <c r="G353" t="s">
        <v>898</v>
      </c>
      <c r="H353" t="s">
        <v>898</v>
      </c>
      <c r="I353" t="s">
        <v>898</v>
      </c>
      <c r="J353" t="s">
        <v>898</v>
      </c>
      <c r="K353" t="s">
        <v>898</v>
      </c>
      <c r="L353" t="s">
        <v>898</v>
      </c>
      <c r="M353" t="s">
        <v>898</v>
      </c>
      <c r="N353" t="s">
        <v>898</v>
      </c>
      <c r="O353" t="s">
        <v>898</v>
      </c>
      <c r="P353" t="s">
        <v>898</v>
      </c>
      <c r="Q353" t="s">
        <v>898</v>
      </c>
      <c r="R353" t="s">
        <v>898</v>
      </c>
      <c r="S353" t="s">
        <v>898</v>
      </c>
      <c r="T353" t="s">
        <v>898</v>
      </c>
      <c r="U353" t="s">
        <v>898</v>
      </c>
      <c r="V353" t="s">
        <v>898</v>
      </c>
      <c r="W353" t="s">
        <v>898</v>
      </c>
      <c r="X353" t="s">
        <v>898</v>
      </c>
      <c r="Y353" t="e">
        <v>#REF!</v>
      </c>
      <c r="Z353" t="e">
        <v>#REF!</v>
      </c>
    </row>
    <row r="354">
      <c r="A354" t="s">
        <v>898</v>
      </c>
      <c r="B354" t="s">
        <v>898</v>
      </c>
      <c r="C354" t="s">
        <v>898</v>
      </c>
      <c r="D354" t="s">
        <v>898</v>
      </c>
      <c r="E354" t="s">
        <v>898</v>
      </c>
      <c r="F354" t="s">
        <v>898</v>
      </c>
      <c r="G354" t="s">
        <v>898</v>
      </c>
      <c r="H354" t="s">
        <v>898</v>
      </c>
      <c r="I354" t="s">
        <v>898</v>
      </c>
      <c r="J354" t="s">
        <v>898</v>
      </c>
      <c r="K354" t="s">
        <v>898</v>
      </c>
      <c r="L354" t="s">
        <v>898</v>
      </c>
      <c r="M354" t="s">
        <v>898</v>
      </c>
      <c r="N354" t="s">
        <v>898</v>
      </c>
      <c r="O354" t="s">
        <v>898</v>
      </c>
      <c r="P354" t="s">
        <v>898</v>
      </c>
      <c r="Q354" t="s">
        <v>898</v>
      </c>
      <c r="R354" t="s">
        <v>898</v>
      </c>
      <c r="S354" t="s">
        <v>898</v>
      </c>
      <c r="T354" t="s">
        <v>898</v>
      </c>
      <c r="U354" t="s">
        <v>898</v>
      </c>
      <c r="V354" t="s">
        <v>898</v>
      </c>
      <c r="W354" t="s">
        <v>898</v>
      </c>
      <c r="X354" t="s">
        <v>898</v>
      </c>
      <c r="Y354" t="e">
        <v>#REF!</v>
      </c>
      <c r="Z354" t="e">
        <v>#REF!</v>
      </c>
    </row>
    <row r="355">
      <c r="A355" t="s">
        <v>898</v>
      </c>
      <c r="B355" t="s">
        <v>898</v>
      </c>
      <c r="C355" t="s">
        <v>898</v>
      </c>
      <c r="D355" t="s">
        <v>898</v>
      </c>
      <c r="E355" t="s">
        <v>898</v>
      </c>
      <c r="F355" t="s">
        <v>898</v>
      </c>
      <c r="G355" t="s">
        <v>898</v>
      </c>
      <c r="H355" t="s">
        <v>898</v>
      </c>
      <c r="I355" t="s">
        <v>898</v>
      </c>
      <c r="J355" t="s">
        <v>898</v>
      </c>
      <c r="K355" t="s">
        <v>898</v>
      </c>
      <c r="L355" t="s">
        <v>898</v>
      </c>
      <c r="M355" t="s">
        <v>898</v>
      </c>
      <c r="N355" t="s">
        <v>898</v>
      </c>
      <c r="O355" t="s">
        <v>898</v>
      </c>
      <c r="P355" t="s">
        <v>898</v>
      </c>
      <c r="Q355" t="s">
        <v>898</v>
      </c>
      <c r="R355" t="s">
        <v>898</v>
      </c>
      <c r="S355" t="s">
        <v>898</v>
      </c>
      <c r="T355" t="s">
        <v>898</v>
      </c>
      <c r="U355" t="s">
        <v>898</v>
      </c>
      <c r="V355" t="s">
        <v>898</v>
      </c>
      <c r="W355" t="s">
        <v>898</v>
      </c>
      <c r="X355" t="s">
        <v>898</v>
      </c>
      <c r="Y355" t="e">
        <v>#REF!</v>
      </c>
      <c r="Z355" t="e">
        <v>#REF!</v>
      </c>
    </row>
    <row r="356">
      <c r="A356" t="s">
        <v>898</v>
      </c>
      <c r="B356" t="s">
        <v>898</v>
      </c>
      <c r="C356" t="s">
        <v>898</v>
      </c>
      <c r="D356" t="s">
        <v>898</v>
      </c>
      <c r="E356" t="s">
        <v>898</v>
      </c>
      <c r="F356" t="s">
        <v>898</v>
      </c>
      <c r="G356" t="s">
        <v>898</v>
      </c>
      <c r="H356" t="s">
        <v>898</v>
      </c>
      <c r="I356" t="s">
        <v>898</v>
      </c>
      <c r="J356" t="s">
        <v>898</v>
      </c>
      <c r="K356" t="s">
        <v>898</v>
      </c>
      <c r="L356" t="s">
        <v>898</v>
      </c>
      <c r="M356" t="s">
        <v>898</v>
      </c>
      <c r="N356" t="s">
        <v>898</v>
      </c>
      <c r="O356" t="s">
        <v>898</v>
      </c>
      <c r="P356" t="s">
        <v>898</v>
      </c>
      <c r="Q356" t="s">
        <v>898</v>
      </c>
      <c r="R356" t="s">
        <v>898</v>
      </c>
      <c r="S356" t="s">
        <v>898</v>
      </c>
      <c r="T356" t="s">
        <v>898</v>
      </c>
      <c r="U356" t="s">
        <v>898</v>
      </c>
      <c r="V356" t="s">
        <v>898</v>
      </c>
      <c r="W356" t="s">
        <v>898</v>
      </c>
      <c r="X356" t="s">
        <v>898</v>
      </c>
      <c r="Y356" t="e">
        <v>#REF!</v>
      </c>
      <c r="Z356" t="e">
        <v>#REF!</v>
      </c>
    </row>
    <row r="357">
      <c r="A357" t="s">
        <v>898</v>
      </c>
      <c r="B357" t="s">
        <v>898</v>
      </c>
      <c r="C357" t="s">
        <v>898</v>
      </c>
      <c r="D357" t="s">
        <v>898</v>
      </c>
      <c r="E357" t="s">
        <v>898</v>
      </c>
      <c r="F357" t="s">
        <v>898</v>
      </c>
      <c r="G357" t="s">
        <v>898</v>
      </c>
      <c r="H357" t="s">
        <v>898</v>
      </c>
      <c r="I357" t="s">
        <v>898</v>
      </c>
      <c r="J357" t="s">
        <v>898</v>
      </c>
      <c r="K357" t="s">
        <v>898</v>
      </c>
      <c r="L357" t="s">
        <v>898</v>
      </c>
      <c r="M357" t="s">
        <v>898</v>
      </c>
      <c r="N357" t="s">
        <v>898</v>
      </c>
      <c r="O357" t="s">
        <v>898</v>
      </c>
      <c r="P357" t="s">
        <v>898</v>
      </c>
      <c r="Q357" t="s">
        <v>898</v>
      </c>
      <c r="R357" t="s">
        <v>898</v>
      </c>
      <c r="S357" t="s">
        <v>898</v>
      </c>
      <c r="T357" t="s">
        <v>898</v>
      </c>
      <c r="U357" t="s">
        <v>898</v>
      </c>
      <c r="V357" t="s">
        <v>898</v>
      </c>
      <c r="W357" t="s">
        <v>898</v>
      </c>
      <c r="X357" t="s">
        <v>898</v>
      </c>
      <c r="Y357" t="e">
        <v>#REF!</v>
      </c>
      <c r="Z357" t="e">
        <v>#REF!</v>
      </c>
    </row>
    <row r="358">
      <c r="A358" t="s">
        <v>898</v>
      </c>
      <c r="B358" t="s">
        <v>898</v>
      </c>
      <c r="C358" t="s">
        <v>898</v>
      </c>
      <c r="D358" t="s">
        <v>898</v>
      </c>
      <c r="E358" t="s">
        <v>898</v>
      </c>
      <c r="F358" t="s">
        <v>898</v>
      </c>
      <c r="G358" t="s">
        <v>898</v>
      </c>
      <c r="H358" t="s">
        <v>898</v>
      </c>
      <c r="I358" t="s">
        <v>898</v>
      </c>
      <c r="J358" t="s">
        <v>898</v>
      </c>
      <c r="K358" t="s">
        <v>898</v>
      </c>
      <c r="L358" t="s">
        <v>898</v>
      </c>
      <c r="M358" t="s">
        <v>898</v>
      </c>
      <c r="N358" t="s">
        <v>898</v>
      </c>
      <c r="O358" t="s">
        <v>898</v>
      </c>
      <c r="P358" t="s">
        <v>898</v>
      </c>
      <c r="Q358" t="s">
        <v>898</v>
      </c>
      <c r="R358" t="s">
        <v>898</v>
      </c>
      <c r="S358" t="s">
        <v>898</v>
      </c>
      <c r="T358" t="s">
        <v>898</v>
      </c>
      <c r="U358" t="s">
        <v>898</v>
      </c>
      <c r="V358" t="s">
        <v>898</v>
      </c>
      <c r="W358" t="s">
        <v>898</v>
      </c>
      <c r="X358" t="s">
        <v>898</v>
      </c>
      <c r="Y358" t="e">
        <v>#REF!</v>
      </c>
      <c r="Z358" t="e">
        <v>#REF!</v>
      </c>
    </row>
    <row r="359">
      <c r="A359" t="s">
        <v>898</v>
      </c>
      <c r="B359" t="s">
        <v>898</v>
      </c>
      <c r="C359" t="s">
        <v>898</v>
      </c>
      <c r="D359" t="s">
        <v>898</v>
      </c>
      <c r="E359" t="s">
        <v>898</v>
      </c>
      <c r="F359" t="s">
        <v>898</v>
      </c>
      <c r="G359" t="s">
        <v>898</v>
      </c>
      <c r="H359" t="s">
        <v>898</v>
      </c>
      <c r="I359" t="s">
        <v>898</v>
      </c>
      <c r="J359" t="s">
        <v>898</v>
      </c>
      <c r="K359" t="s">
        <v>898</v>
      </c>
      <c r="L359" t="s">
        <v>898</v>
      </c>
      <c r="M359" t="s">
        <v>898</v>
      </c>
      <c r="N359" t="s">
        <v>898</v>
      </c>
      <c r="O359" t="s">
        <v>898</v>
      </c>
      <c r="P359" t="s">
        <v>898</v>
      </c>
      <c r="Q359" t="s">
        <v>898</v>
      </c>
      <c r="R359" t="s">
        <v>898</v>
      </c>
      <c r="S359" t="s">
        <v>898</v>
      </c>
      <c r="T359" t="s">
        <v>898</v>
      </c>
      <c r="U359" t="s">
        <v>898</v>
      </c>
      <c r="V359" t="s">
        <v>898</v>
      </c>
      <c r="W359" t="s">
        <v>898</v>
      </c>
      <c r="X359" t="s">
        <v>898</v>
      </c>
      <c r="Y359" t="e">
        <v>#REF!</v>
      </c>
      <c r="Z359" t="e">
        <v>#REF!</v>
      </c>
    </row>
    <row r="360">
      <c r="A360" t="s">
        <v>898</v>
      </c>
      <c r="B360" t="s">
        <v>898</v>
      </c>
      <c r="C360" t="s">
        <v>898</v>
      </c>
      <c r="D360" t="s">
        <v>898</v>
      </c>
      <c r="E360" t="s">
        <v>898</v>
      </c>
      <c r="F360" t="s">
        <v>898</v>
      </c>
      <c r="G360" t="s">
        <v>898</v>
      </c>
      <c r="H360" t="s">
        <v>898</v>
      </c>
      <c r="I360" t="s">
        <v>898</v>
      </c>
      <c r="J360" t="s">
        <v>898</v>
      </c>
      <c r="K360" t="s">
        <v>898</v>
      </c>
      <c r="L360" t="s">
        <v>898</v>
      </c>
      <c r="M360" t="s">
        <v>898</v>
      </c>
      <c r="N360" t="s">
        <v>898</v>
      </c>
      <c r="O360" t="s">
        <v>898</v>
      </c>
      <c r="P360" t="s">
        <v>898</v>
      </c>
      <c r="Q360" t="s">
        <v>898</v>
      </c>
      <c r="R360" t="s">
        <v>898</v>
      </c>
      <c r="S360" t="s">
        <v>898</v>
      </c>
      <c r="T360" t="s">
        <v>898</v>
      </c>
      <c r="U360" t="s">
        <v>898</v>
      </c>
      <c r="V360" t="s">
        <v>898</v>
      </c>
      <c r="W360" t="s">
        <v>898</v>
      </c>
      <c r="X360" t="s">
        <v>898</v>
      </c>
      <c r="Y360" t="e">
        <v>#REF!</v>
      </c>
      <c r="Z360" t="e">
        <v>#REF!</v>
      </c>
    </row>
    <row r="361">
      <c r="A361" t="s">
        <v>898</v>
      </c>
      <c r="B361" t="s">
        <v>898</v>
      </c>
      <c r="C361" t="s">
        <v>898</v>
      </c>
      <c r="D361" t="s">
        <v>898</v>
      </c>
      <c r="E361" t="s">
        <v>898</v>
      </c>
      <c r="F361" t="s">
        <v>898</v>
      </c>
      <c r="G361" t="s">
        <v>898</v>
      </c>
      <c r="H361" t="s">
        <v>898</v>
      </c>
      <c r="I361" t="s">
        <v>898</v>
      </c>
      <c r="J361" t="s">
        <v>898</v>
      </c>
      <c r="K361" t="s">
        <v>898</v>
      </c>
      <c r="L361" t="s">
        <v>898</v>
      </c>
      <c r="M361" t="s">
        <v>898</v>
      </c>
      <c r="N361" t="s">
        <v>898</v>
      </c>
      <c r="O361" t="s">
        <v>898</v>
      </c>
      <c r="P361" t="s">
        <v>898</v>
      </c>
      <c r="Q361" t="s">
        <v>898</v>
      </c>
      <c r="R361" t="s">
        <v>898</v>
      </c>
      <c r="S361" t="s">
        <v>898</v>
      </c>
      <c r="T361" t="s">
        <v>898</v>
      </c>
      <c r="U361" t="s">
        <v>898</v>
      </c>
      <c r="V361" t="s">
        <v>898</v>
      </c>
      <c r="W361" t="s">
        <v>898</v>
      </c>
      <c r="X361" t="s">
        <v>898</v>
      </c>
      <c r="Y361" t="e">
        <v>#REF!</v>
      </c>
      <c r="Z361" t="e">
        <v>#REF!</v>
      </c>
    </row>
    <row r="362">
      <c r="A362" t="s">
        <v>898</v>
      </c>
      <c r="B362" t="s">
        <v>898</v>
      </c>
      <c r="C362" t="s">
        <v>898</v>
      </c>
      <c r="D362" t="s">
        <v>898</v>
      </c>
      <c r="E362" t="s">
        <v>898</v>
      </c>
      <c r="F362" t="s">
        <v>898</v>
      </c>
      <c r="G362" t="s">
        <v>898</v>
      </c>
      <c r="H362" t="s">
        <v>898</v>
      </c>
      <c r="I362" t="s">
        <v>898</v>
      </c>
      <c r="J362" t="s">
        <v>898</v>
      </c>
      <c r="K362" t="s">
        <v>898</v>
      </c>
      <c r="L362" t="s">
        <v>898</v>
      </c>
      <c r="M362" t="s">
        <v>898</v>
      </c>
      <c r="N362" t="s">
        <v>898</v>
      </c>
      <c r="O362" t="s">
        <v>898</v>
      </c>
      <c r="P362" t="s">
        <v>898</v>
      </c>
      <c r="Q362" t="s">
        <v>898</v>
      </c>
      <c r="R362" t="s">
        <v>898</v>
      </c>
      <c r="S362" t="s">
        <v>898</v>
      </c>
      <c r="T362" t="s">
        <v>898</v>
      </c>
      <c r="U362" t="s">
        <v>898</v>
      </c>
      <c r="V362" t="s">
        <v>898</v>
      </c>
      <c r="W362" t="s">
        <v>898</v>
      </c>
      <c r="X362" t="s">
        <v>898</v>
      </c>
      <c r="Y362" t="e">
        <v>#REF!</v>
      </c>
      <c r="Z362" t="e">
        <v>#REF!</v>
      </c>
    </row>
    <row r="363">
      <c r="A363" t="s">
        <v>898</v>
      </c>
      <c r="B363" t="s">
        <v>898</v>
      </c>
      <c r="C363" t="s">
        <v>898</v>
      </c>
      <c r="D363" t="s">
        <v>898</v>
      </c>
      <c r="E363" t="s">
        <v>898</v>
      </c>
      <c r="F363" t="s">
        <v>898</v>
      </c>
      <c r="G363" t="s">
        <v>898</v>
      </c>
      <c r="H363" t="s">
        <v>898</v>
      </c>
      <c r="I363" t="s">
        <v>898</v>
      </c>
      <c r="J363" t="s">
        <v>898</v>
      </c>
      <c r="K363" t="s">
        <v>898</v>
      </c>
      <c r="L363" t="s">
        <v>898</v>
      </c>
      <c r="M363" t="s">
        <v>898</v>
      </c>
      <c r="N363" t="s">
        <v>898</v>
      </c>
      <c r="O363" t="s">
        <v>898</v>
      </c>
      <c r="P363" t="s">
        <v>898</v>
      </c>
      <c r="Q363" t="s">
        <v>898</v>
      </c>
      <c r="R363" t="s">
        <v>898</v>
      </c>
      <c r="S363" t="s">
        <v>898</v>
      </c>
      <c r="T363" t="s">
        <v>898</v>
      </c>
      <c r="U363" t="s">
        <v>898</v>
      </c>
      <c r="V363" t="s">
        <v>898</v>
      </c>
      <c r="W363" t="s">
        <v>898</v>
      </c>
      <c r="X363" t="s">
        <v>898</v>
      </c>
      <c r="Y363" t="e">
        <v>#REF!</v>
      </c>
      <c r="Z363" t="e">
        <v>#REF!</v>
      </c>
    </row>
    <row r="364">
      <c r="A364" t="s">
        <v>898</v>
      </c>
      <c r="B364" t="s">
        <v>898</v>
      </c>
      <c r="C364" t="s">
        <v>898</v>
      </c>
      <c r="D364" t="s">
        <v>898</v>
      </c>
      <c r="E364" t="s">
        <v>898</v>
      </c>
      <c r="F364" t="s">
        <v>898</v>
      </c>
      <c r="G364" t="s">
        <v>898</v>
      </c>
      <c r="H364" t="s">
        <v>898</v>
      </c>
      <c r="I364" t="s">
        <v>898</v>
      </c>
      <c r="J364" t="s">
        <v>898</v>
      </c>
      <c r="K364" t="s">
        <v>898</v>
      </c>
      <c r="L364" t="s">
        <v>898</v>
      </c>
      <c r="M364" t="s">
        <v>898</v>
      </c>
      <c r="N364" t="s">
        <v>898</v>
      </c>
      <c r="O364" t="s">
        <v>898</v>
      </c>
      <c r="P364" t="s">
        <v>898</v>
      </c>
      <c r="Q364" t="s">
        <v>898</v>
      </c>
      <c r="R364" t="s">
        <v>898</v>
      </c>
      <c r="S364" t="s">
        <v>898</v>
      </c>
      <c r="T364" t="s">
        <v>898</v>
      </c>
      <c r="U364" t="s">
        <v>898</v>
      </c>
      <c r="V364" t="s">
        <v>898</v>
      </c>
      <c r="W364" t="s">
        <v>898</v>
      </c>
      <c r="X364" t="s">
        <v>898</v>
      </c>
      <c r="Y364" t="e">
        <v>#REF!</v>
      </c>
      <c r="Z364" t="e">
        <v>#REF!</v>
      </c>
    </row>
    <row r="365">
      <c r="A365" t="s">
        <v>898</v>
      </c>
      <c r="B365" t="s">
        <v>898</v>
      </c>
      <c r="C365" t="s">
        <v>898</v>
      </c>
      <c r="D365" t="s">
        <v>898</v>
      </c>
      <c r="E365" t="s">
        <v>898</v>
      </c>
      <c r="F365" t="s">
        <v>898</v>
      </c>
      <c r="G365" t="s">
        <v>898</v>
      </c>
      <c r="H365" t="s">
        <v>898</v>
      </c>
      <c r="I365" t="s">
        <v>898</v>
      </c>
      <c r="J365" t="s">
        <v>898</v>
      </c>
      <c r="K365" t="s">
        <v>898</v>
      </c>
      <c r="L365" t="s">
        <v>898</v>
      </c>
      <c r="M365" t="s">
        <v>898</v>
      </c>
      <c r="N365" t="s">
        <v>898</v>
      </c>
      <c r="O365" t="s">
        <v>898</v>
      </c>
      <c r="P365" t="s">
        <v>898</v>
      </c>
      <c r="Q365" t="s">
        <v>898</v>
      </c>
      <c r="R365" t="s">
        <v>898</v>
      </c>
      <c r="S365" t="s">
        <v>898</v>
      </c>
      <c r="T365" t="s">
        <v>898</v>
      </c>
      <c r="U365" t="s">
        <v>898</v>
      </c>
      <c r="V365" t="s">
        <v>898</v>
      </c>
      <c r="W365" t="s">
        <v>898</v>
      </c>
      <c r="X365" t="s">
        <v>898</v>
      </c>
      <c r="Y365" t="e">
        <v>#REF!</v>
      </c>
      <c r="Z365" t="e">
        <v>#REF!</v>
      </c>
    </row>
    <row r="366">
      <c r="A366" t="s">
        <v>898</v>
      </c>
      <c r="B366" t="s">
        <v>898</v>
      </c>
      <c r="C366" t="s">
        <v>898</v>
      </c>
      <c r="D366" t="s">
        <v>898</v>
      </c>
      <c r="E366" t="s">
        <v>898</v>
      </c>
      <c r="F366" t="s">
        <v>898</v>
      </c>
      <c r="G366" t="s">
        <v>898</v>
      </c>
      <c r="H366" t="s">
        <v>898</v>
      </c>
      <c r="I366" t="s">
        <v>898</v>
      </c>
      <c r="J366" t="s">
        <v>898</v>
      </c>
      <c r="K366" t="s">
        <v>898</v>
      </c>
      <c r="L366" t="s">
        <v>898</v>
      </c>
      <c r="M366" t="s">
        <v>898</v>
      </c>
      <c r="N366" t="s">
        <v>898</v>
      </c>
      <c r="O366" t="s">
        <v>898</v>
      </c>
      <c r="P366" t="s">
        <v>898</v>
      </c>
      <c r="Q366" t="s">
        <v>898</v>
      </c>
      <c r="R366" t="s">
        <v>898</v>
      </c>
      <c r="S366" t="s">
        <v>898</v>
      </c>
      <c r="T366" t="s">
        <v>898</v>
      </c>
      <c r="U366" t="s">
        <v>898</v>
      </c>
      <c r="V366" t="s">
        <v>898</v>
      </c>
      <c r="W366" t="s">
        <v>898</v>
      </c>
      <c r="X366" t="s">
        <v>898</v>
      </c>
      <c r="Y366" t="e">
        <v>#REF!</v>
      </c>
      <c r="Z366" t="e">
        <v>#REF!</v>
      </c>
    </row>
    <row r="367">
      <c r="A367" t="s">
        <v>898</v>
      </c>
      <c r="B367" t="s">
        <v>898</v>
      </c>
      <c r="C367" t="s">
        <v>898</v>
      </c>
      <c r="D367" t="s">
        <v>898</v>
      </c>
      <c r="E367" t="s">
        <v>898</v>
      </c>
      <c r="F367" t="s">
        <v>898</v>
      </c>
      <c r="G367" t="s">
        <v>898</v>
      </c>
      <c r="H367" t="s">
        <v>898</v>
      </c>
      <c r="I367" t="s">
        <v>898</v>
      </c>
      <c r="J367" t="s">
        <v>898</v>
      </c>
      <c r="K367" t="s">
        <v>898</v>
      </c>
      <c r="L367" t="s">
        <v>898</v>
      </c>
      <c r="M367" t="s">
        <v>898</v>
      </c>
      <c r="N367" t="s">
        <v>898</v>
      </c>
      <c r="O367" t="s">
        <v>898</v>
      </c>
      <c r="P367" t="s">
        <v>898</v>
      </c>
      <c r="Q367" t="s">
        <v>898</v>
      </c>
      <c r="R367" t="s">
        <v>898</v>
      </c>
      <c r="S367" t="s">
        <v>898</v>
      </c>
      <c r="T367" t="s">
        <v>898</v>
      </c>
      <c r="U367" t="s">
        <v>898</v>
      </c>
      <c r="V367" t="s">
        <v>898</v>
      </c>
      <c r="W367" t="s">
        <v>898</v>
      </c>
      <c r="X367" t="s">
        <v>898</v>
      </c>
      <c r="Y367" t="e">
        <v>#REF!</v>
      </c>
      <c r="Z367" t="e">
        <v>#REF!</v>
      </c>
    </row>
    <row r="368">
      <c r="A368" t="s">
        <v>898</v>
      </c>
      <c r="B368" t="s">
        <v>898</v>
      </c>
      <c r="C368" t="s">
        <v>898</v>
      </c>
      <c r="D368" t="s">
        <v>898</v>
      </c>
      <c r="E368" t="s">
        <v>898</v>
      </c>
      <c r="F368" t="s">
        <v>898</v>
      </c>
      <c r="G368" t="s">
        <v>898</v>
      </c>
      <c r="H368" t="s">
        <v>898</v>
      </c>
      <c r="I368" t="s">
        <v>898</v>
      </c>
      <c r="J368" t="s">
        <v>898</v>
      </c>
      <c r="K368" t="s">
        <v>898</v>
      </c>
      <c r="L368" t="s">
        <v>898</v>
      </c>
      <c r="M368" t="s">
        <v>898</v>
      </c>
      <c r="N368" t="s">
        <v>898</v>
      </c>
      <c r="O368" t="s">
        <v>898</v>
      </c>
      <c r="P368" t="s">
        <v>898</v>
      </c>
      <c r="Q368" t="s">
        <v>898</v>
      </c>
      <c r="R368" t="s">
        <v>898</v>
      </c>
      <c r="S368" t="s">
        <v>898</v>
      </c>
      <c r="T368" t="s">
        <v>898</v>
      </c>
      <c r="U368" t="s">
        <v>898</v>
      </c>
      <c r="V368" t="s">
        <v>898</v>
      </c>
      <c r="W368" t="s">
        <v>898</v>
      </c>
      <c r="X368" t="s">
        <v>898</v>
      </c>
      <c r="Y368" t="e">
        <v>#REF!</v>
      </c>
      <c r="Z368" t="e">
        <v>#REF!</v>
      </c>
    </row>
    <row r="369">
      <c r="A369" t="s">
        <v>898</v>
      </c>
      <c r="B369" t="s">
        <v>898</v>
      </c>
      <c r="C369" t="s">
        <v>898</v>
      </c>
      <c r="D369" t="s">
        <v>898</v>
      </c>
      <c r="E369" t="s">
        <v>898</v>
      </c>
      <c r="F369" t="s">
        <v>898</v>
      </c>
      <c r="G369" t="s">
        <v>898</v>
      </c>
      <c r="H369" t="s">
        <v>898</v>
      </c>
      <c r="I369" t="s">
        <v>898</v>
      </c>
      <c r="J369" t="s">
        <v>898</v>
      </c>
      <c r="K369" t="s">
        <v>898</v>
      </c>
      <c r="L369" t="s">
        <v>898</v>
      </c>
      <c r="M369" t="s">
        <v>898</v>
      </c>
      <c r="N369" t="s">
        <v>898</v>
      </c>
      <c r="O369" t="s">
        <v>898</v>
      </c>
      <c r="P369" t="s">
        <v>898</v>
      </c>
      <c r="Q369" t="s">
        <v>898</v>
      </c>
      <c r="R369" t="s">
        <v>898</v>
      </c>
      <c r="S369" t="s">
        <v>898</v>
      </c>
      <c r="T369" t="s">
        <v>898</v>
      </c>
      <c r="U369" t="s">
        <v>898</v>
      </c>
      <c r="V369" t="s">
        <v>898</v>
      </c>
      <c r="W369" t="s">
        <v>898</v>
      </c>
      <c r="X369" t="s">
        <v>898</v>
      </c>
      <c r="Y369" t="e">
        <v>#REF!</v>
      </c>
      <c r="Z369" t="e">
        <v>#REF!</v>
      </c>
    </row>
    <row r="370">
      <c r="A370" t="s">
        <v>898</v>
      </c>
      <c r="B370" t="s">
        <v>898</v>
      </c>
      <c r="C370" t="s">
        <v>898</v>
      </c>
      <c r="D370" t="s">
        <v>898</v>
      </c>
      <c r="E370" t="s">
        <v>898</v>
      </c>
      <c r="F370" t="s">
        <v>898</v>
      </c>
      <c r="G370" t="s">
        <v>898</v>
      </c>
      <c r="H370" t="s">
        <v>898</v>
      </c>
      <c r="I370" t="s">
        <v>898</v>
      </c>
      <c r="J370" t="s">
        <v>898</v>
      </c>
      <c r="K370" t="s">
        <v>898</v>
      </c>
      <c r="L370" t="s">
        <v>898</v>
      </c>
      <c r="M370" t="s">
        <v>898</v>
      </c>
      <c r="N370" t="s">
        <v>898</v>
      </c>
      <c r="O370" t="s">
        <v>898</v>
      </c>
      <c r="P370" t="s">
        <v>898</v>
      </c>
      <c r="Q370" t="s">
        <v>898</v>
      </c>
      <c r="R370" t="s">
        <v>898</v>
      </c>
      <c r="S370" t="s">
        <v>898</v>
      </c>
      <c r="T370" t="s">
        <v>898</v>
      </c>
      <c r="U370" t="s">
        <v>898</v>
      </c>
      <c r="V370" t="s">
        <v>898</v>
      </c>
      <c r="W370" t="s">
        <v>898</v>
      </c>
      <c r="X370" t="s">
        <v>898</v>
      </c>
      <c r="Y370" t="e">
        <v>#REF!</v>
      </c>
      <c r="Z370" t="e">
        <v>#REF!</v>
      </c>
    </row>
    <row r="371">
      <c r="A371" t="s">
        <v>898</v>
      </c>
      <c r="B371" t="s">
        <v>898</v>
      </c>
      <c r="C371" t="s">
        <v>898</v>
      </c>
      <c r="D371" t="s">
        <v>898</v>
      </c>
      <c r="E371" t="s">
        <v>898</v>
      </c>
      <c r="F371" t="s">
        <v>898</v>
      </c>
      <c r="G371" t="s">
        <v>898</v>
      </c>
      <c r="H371" t="s">
        <v>898</v>
      </c>
      <c r="I371" t="s">
        <v>898</v>
      </c>
      <c r="J371" t="s">
        <v>898</v>
      </c>
      <c r="K371" t="s">
        <v>898</v>
      </c>
      <c r="L371" t="s">
        <v>898</v>
      </c>
      <c r="M371" t="s">
        <v>898</v>
      </c>
      <c r="N371" t="s">
        <v>898</v>
      </c>
      <c r="O371" t="s">
        <v>898</v>
      </c>
      <c r="P371" t="s">
        <v>898</v>
      </c>
      <c r="Q371" t="s">
        <v>898</v>
      </c>
      <c r="R371" t="s">
        <v>898</v>
      </c>
      <c r="S371" t="s">
        <v>898</v>
      </c>
      <c r="T371" t="s">
        <v>898</v>
      </c>
      <c r="U371" t="s">
        <v>898</v>
      </c>
      <c r="V371" t="s">
        <v>898</v>
      </c>
      <c r="W371" t="s">
        <v>898</v>
      </c>
      <c r="X371" t="s">
        <v>898</v>
      </c>
      <c r="Y371" t="e">
        <v>#REF!</v>
      </c>
      <c r="Z371" t="e">
        <v>#REF!</v>
      </c>
    </row>
    <row r="372">
      <c r="A372" t="s">
        <v>898</v>
      </c>
      <c r="B372" t="s">
        <v>898</v>
      </c>
      <c r="C372" t="s">
        <v>898</v>
      </c>
      <c r="D372" t="s">
        <v>898</v>
      </c>
      <c r="E372" t="s">
        <v>898</v>
      </c>
      <c r="F372" t="s">
        <v>898</v>
      </c>
      <c r="G372" t="s">
        <v>898</v>
      </c>
      <c r="H372" t="s">
        <v>898</v>
      </c>
      <c r="I372" t="s">
        <v>898</v>
      </c>
      <c r="J372" t="s">
        <v>898</v>
      </c>
      <c r="K372" t="s">
        <v>898</v>
      </c>
      <c r="L372" t="s">
        <v>898</v>
      </c>
      <c r="M372" t="s">
        <v>898</v>
      </c>
      <c r="N372" t="s">
        <v>898</v>
      </c>
      <c r="O372" t="s">
        <v>898</v>
      </c>
      <c r="P372" t="s">
        <v>898</v>
      </c>
      <c r="Q372" t="s">
        <v>898</v>
      </c>
      <c r="R372" t="s">
        <v>898</v>
      </c>
      <c r="S372" t="s">
        <v>898</v>
      </c>
      <c r="T372" t="s">
        <v>898</v>
      </c>
      <c r="U372" t="s">
        <v>898</v>
      </c>
      <c r="V372" t="s">
        <v>898</v>
      </c>
      <c r="W372" t="s">
        <v>898</v>
      </c>
      <c r="X372" t="s">
        <v>898</v>
      </c>
      <c r="Y372" t="e">
        <v>#REF!</v>
      </c>
      <c r="Z372" t="e">
        <v>#REF!</v>
      </c>
    </row>
    <row r="373">
      <c r="A373" t="s">
        <v>898</v>
      </c>
      <c r="B373" t="s">
        <v>898</v>
      </c>
      <c r="C373" t="s">
        <v>898</v>
      </c>
      <c r="D373" t="s">
        <v>898</v>
      </c>
      <c r="E373" t="s">
        <v>898</v>
      </c>
      <c r="F373" t="s">
        <v>898</v>
      </c>
      <c r="G373" t="s">
        <v>898</v>
      </c>
      <c r="H373" t="s">
        <v>898</v>
      </c>
      <c r="I373" t="s">
        <v>898</v>
      </c>
      <c r="J373" t="s">
        <v>898</v>
      </c>
      <c r="K373" t="s">
        <v>898</v>
      </c>
      <c r="L373" t="s">
        <v>898</v>
      </c>
      <c r="M373" t="s">
        <v>898</v>
      </c>
      <c r="N373" t="s">
        <v>898</v>
      </c>
      <c r="O373" t="s">
        <v>898</v>
      </c>
      <c r="P373" t="s">
        <v>898</v>
      </c>
      <c r="Q373" t="s">
        <v>898</v>
      </c>
      <c r="R373" t="s">
        <v>898</v>
      </c>
      <c r="S373" t="s">
        <v>898</v>
      </c>
      <c r="T373" t="s">
        <v>898</v>
      </c>
      <c r="U373" t="s">
        <v>898</v>
      </c>
      <c r="V373" t="s">
        <v>898</v>
      </c>
      <c r="W373" t="s">
        <v>898</v>
      </c>
      <c r="X373" t="s">
        <v>898</v>
      </c>
      <c r="Y373" t="e">
        <v>#REF!</v>
      </c>
      <c r="Z373" t="e">
        <v>#REF!</v>
      </c>
    </row>
    <row r="374">
      <c r="A374" t="s">
        <v>898</v>
      </c>
      <c r="B374" t="s">
        <v>898</v>
      </c>
      <c r="C374" t="s">
        <v>898</v>
      </c>
      <c r="D374" t="s">
        <v>898</v>
      </c>
      <c r="E374" t="s">
        <v>898</v>
      </c>
      <c r="F374" t="s">
        <v>898</v>
      </c>
      <c r="G374" t="s">
        <v>898</v>
      </c>
      <c r="H374" t="s">
        <v>898</v>
      </c>
      <c r="I374" t="s">
        <v>898</v>
      </c>
      <c r="J374" t="s">
        <v>898</v>
      </c>
      <c r="K374" t="s">
        <v>898</v>
      </c>
      <c r="L374" t="s">
        <v>898</v>
      </c>
      <c r="M374" t="s">
        <v>898</v>
      </c>
      <c r="N374" t="s">
        <v>898</v>
      </c>
      <c r="O374" t="s">
        <v>898</v>
      </c>
      <c r="P374" t="s">
        <v>898</v>
      </c>
      <c r="Q374" t="s">
        <v>898</v>
      </c>
      <c r="R374" t="s">
        <v>898</v>
      </c>
      <c r="S374" t="s">
        <v>898</v>
      </c>
      <c r="T374" t="s">
        <v>898</v>
      </c>
      <c r="U374" t="s">
        <v>898</v>
      </c>
      <c r="V374" t="s">
        <v>898</v>
      </c>
      <c r="W374" t="s">
        <v>898</v>
      </c>
      <c r="X374" t="s">
        <v>898</v>
      </c>
      <c r="Y374" t="e">
        <v>#REF!</v>
      </c>
      <c r="Z374" t="e">
        <v>#REF!</v>
      </c>
    </row>
    <row r="375">
      <c r="A375" t="s">
        <v>898</v>
      </c>
      <c r="B375" t="s">
        <v>898</v>
      </c>
      <c r="C375" t="s">
        <v>898</v>
      </c>
      <c r="D375" t="s">
        <v>898</v>
      </c>
      <c r="E375" t="s">
        <v>898</v>
      </c>
      <c r="F375" t="s">
        <v>898</v>
      </c>
      <c r="G375" t="s">
        <v>898</v>
      </c>
      <c r="H375" t="s">
        <v>898</v>
      </c>
      <c r="I375" t="s">
        <v>898</v>
      </c>
      <c r="J375" t="s">
        <v>898</v>
      </c>
      <c r="K375" t="s">
        <v>898</v>
      </c>
      <c r="L375" t="s">
        <v>898</v>
      </c>
      <c r="M375" t="s">
        <v>898</v>
      </c>
      <c r="N375" t="s">
        <v>898</v>
      </c>
      <c r="O375" t="s">
        <v>898</v>
      </c>
      <c r="P375" t="s">
        <v>898</v>
      </c>
      <c r="Q375" t="s">
        <v>898</v>
      </c>
      <c r="R375" t="s">
        <v>898</v>
      </c>
      <c r="S375" t="s">
        <v>898</v>
      </c>
      <c r="T375" t="s">
        <v>898</v>
      </c>
      <c r="U375" t="s">
        <v>898</v>
      </c>
      <c r="V375" t="s">
        <v>898</v>
      </c>
      <c r="W375" t="s">
        <v>898</v>
      </c>
      <c r="X375" t="s">
        <v>898</v>
      </c>
      <c r="Y375" t="e">
        <v>#REF!</v>
      </c>
      <c r="Z375" t="e">
        <v>#REF!</v>
      </c>
    </row>
    <row r="376">
      <c r="A376" t="s">
        <v>898</v>
      </c>
      <c r="B376" t="s">
        <v>898</v>
      </c>
      <c r="C376" t="s">
        <v>898</v>
      </c>
      <c r="D376" t="s">
        <v>898</v>
      </c>
      <c r="E376" t="s">
        <v>898</v>
      </c>
      <c r="F376" t="s">
        <v>898</v>
      </c>
      <c r="G376" t="s">
        <v>898</v>
      </c>
      <c r="H376" t="s">
        <v>898</v>
      </c>
      <c r="I376" t="s">
        <v>898</v>
      </c>
      <c r="J376" t="s">
        <v>898</v>
      </c>
      <c r="K376" t="s">
        <v>898</v>
      </c>
      <c r="L376" t="s">
        <v>898</v>
      </c>
      <c r="M376" t="s">
        <v>898</v>
      </c>
      <c r="N376" t="s">
        <v>898</v>
      </c>
      <c r="O376" t="s">
        <v>898</v>
      </c>
      <c r="P376" t="s">
        <v>898</v>
      </c>
      <c r="Q376" t="s">
        <v>898</v>
      </c>
      <c r="R376" t="s">
        <v>898</v>
      </c>
      <c r="S376" t="s">
        <v>898</v>
      </c>
      <c r="T376" t="s">
        <v>898</v>
      </c>
      <c r="U376" t="s">
        <v>898</v>
      </c>
      <c r="V376" t="s">
        <v>898</v>
      </c>
      <c r="W376" t="s">
        <v>898</v>
      </c>
      <c r="X376" t="s">
        <v>898</v>
      </c>
      <c r="Y376" t="e">
        <v>#REF!</v>
      </c>
      <c r="Z376" t="e">
        <v>#REF!</v>
      </c>
    </row>
    <row r="377">
      <c r="A377" t="s">
        <v>898</v>
      </c>
      <c r="B377" t="s">
        <v>898</v>
      </c>
      <c r="C377" t="s">
        <v>898</v>
      </c>
      <c r="D377" t="s">
        <v>898</v>
      </c>
      <c r="E377" t="s">
        <v>898</v>
      </c>
      <c r="F377" t="s">
        <v>898</v>
      </c>
      <c r="G377" t="s">
        <v>898</v>
      </c>
      <c r="H377" t="s">
        <v>898</v>
      </c>
      <c r="I377" t="s">
        <v>898</v>
      </c>
      <c r="J377" t="s">
        <v>898</v>
      </c>
      <c r="K377" t="s">
        <v>898</v>
      </c>
      <c r="L377" t="s">
        <v>898</v>
      </c>
      <c r="M377" t="s">
        <v>898</v>
      </c>
      <c r="N377" t="s">
        <v>898</v>
      </c>
      <c r="O377" t="s">
        <v>898</v>
      </c>
      <c r="P377" t="s">
        <v>898</v>
      </c>
      <c r="Q377" t="s">
        <v>898</v>
      </c>
      <c r="R377" t="s">
        <v>898</v>
      </c>
      <c r="S377" t="s">
        <v>898</v>
      </c>
      <c r="T377" t="s">
        <v>898</v>
      </c>
      <c r="U377" t="s">
        <v>898</v>
      </c>
      <c r="V377" t="s">
        <v>898</v>
      </c>
      <c r="W377" t="s">
        <v>898</v>
      </c>
      <c r="X377" t="s">
        <v>898</v>
      </c>
      <c r="Y377" t="e">
        <v>#REF!</v>
      </c>
      <c r="Z377" t="e">
        <v>#REF!</v>
      </c>
    </row>
    <row r="378">
      <c r="A378" t="s">
        <v>898</v>
      </c>
      <c r="B378" t="s">
        <v>898</v>
      </c>
      <c r="C378" t="s">
        <v>898</v>
      </c>
      <c r="D378" t="s">
        <v>898</v>
      </c>
      <c r="E378" t="s">
        <v>898</v>
      </c>
      <c r="F378" t="s">
        <v>898</v>
      </c>
      <c r="G378" t="s">
        <v>898</v>
      </c>
      <c r="H378" t="s">
        <v>898</v>
      </c>
      <c r="I378" t="s">
        <v>898</v>
      </c>
      <c r="J378" t="s">
        <v>898</v>
      </c>
      <c r="K378" t="s">
        <v>898</v>
      </c>
      <c r="L378" t="s">
        <v>898</v>
      </c>
      <c r="M378" t="s">
        <v>898</v>
      </c>
      <c r="N378" t="s">
        <v>898</v>
      </c>
      <c r="O378" t="s">
        <v>898</v>
      </c>
      <c r="P378" t="s">
        <v>898</v>
      </c>
      <c r="Q378" t="s">
        <v>898</v>
      </c>
      <c r="R378" t="s">
        <v>898</v>
      </c>
      <c r="S378" t="s">
        <v>898</v>
      </c>
      <c r="T378" t="s">
        <v>898</v>
      </c>
      <c r="U378" t="s">
        <v>898</v>
      </c>
      <c r="V378" t="s">
        <v>898</v>
      </c>
      <c r="W378" t="s">
        <v>898</v>
      </c>
      <c r="X378" t="s">
        <v>898</v>
      </c>
      <c r="Y378" t="e">
        <v>#REF!</v>
      </c>
      <c r="Z378" t="e">
        <v>#REF!</v>
      </c>
    </row>
    <row r="379">
      <c r="A379" t="s">
        <v>898</v>
      </c>
      <c r="B379" t="s">
        <v>898</v>
      </c>
      <c r="C379" t="s">
        <v>898</v>
      </c>
      <c r="D379" t="s">
        <v>898</v>
      </c>
      <c r="E379" t="s">
        <v>898</v>
      </c>
      <c r="F379" t="s">
        <v>898</v>
      </c>
      <c r="G379" t="s">
        <v>898</v>
      </c>
      <c r="H379" t="s">
        <v>898</v>
      </c>
      <c r="I379" t="s">
        <v>898</v>
      </c>
      <c r="J379" t="s">
        <v>898</v>
      </c>
      <c r="K379" t="s">
        <v>898</v>
      </c>
      <c r="L379" t="s">
        <v>898</v>
      </c>
      <c r="M379" t="s">
        <v>898</v>
      </c>
      <c r="N379" t="s">
        <v>898</v>
      </c>
      <c r="O379" t="s">
        <v>898</v>
      </c>
      <c r="P379" t="s">
        <v>898</v>
      </c>
      <c r="Q379" t="s">
        <v>898</v>
      </c>
      <c r="R379" t="s">
        <v>898</v>
      </c>
      <c r="S379" t="s">
        <v>898</v>
      </c>
      <c r="T379" t="s">
        <v>898</v>
      </c>
      <c r="U379" t="s">
        <v>898</v>
      </c>
      <c r="V379" t="s">
        <v>898</v>
      </c>
      <c r="W379" t="s">
        <v>898</v>
      </c>
      <c r="X379" t="s">
        <v>898</v>
      </c>
      <c r="Y379" t="e">
        <v>#REF!</v>
      </c>
      <c r="Z379" t="e">
        <v>#REF!</v>
      </c>
    </row>
    <row r="380">
      <c r="A380" t="s">
        <v>898</v>
      </c>
      <c r="B380" t="s">
        <v>898</v>
      </c>
      <c r="C380" t="s">
        <v>898</v>
      </c>
      <c r="D380" t="s">
        <v>898</v>
      </c>
      <c r="E380" t="s">
        <v>898</v>
      </c>
      <c r="F380" t="s">
        <v>898</v>
      </c>
      <c r="G380" t="s">
        <v>898</v>
      </c>
      <c r="H380" t="s">
        <v>898</v>
      </c>
      <c r="I380" t="s">
        <v>898</v>
      </c>
      <c r="J380" t="s">
        <v>898</v>
      </c>
      <c r="K380" t="s">
        <v>898</v>
      </c>
      <c r="L380" t="s">
        <v>898</v>
      </c>
      <c r="M380" t="s">
        <v>898</v>
      </c>
      <c r="N380" t="s">
        <v>898</v>
      </c>
      <c r="O380" t="s">
        <v>898</v>
      </c>
      <c r="P380" t="s">
        <v>898</v>
      </c>
      <c r="Q380" t="s">
        <v>898</v>
      </c>
      <c r="R380" t="s">
        <v>898</v>
      </c>
      <c r="S380" t="s">
        <v>898</v>
      </c>
      <c r="T380" t="s">
        <v>898</v>
      </c>
      <c r="U380" t="s">
        <v>898</v>
      </c>
      <c r="V380" t="s">
        <v>898</v>
      </c>
      <c r="W380" t="s">
        <v>898</v>
      </c>
      <c r="X380" t="s">
        <v>898</v>
      </c>
      <c r="Y380" t="e">
        <v>#REF!</v>
      </c>
      <c r="Z380" t="e">
        <v>#REF!</v>
      </c>
    </row>
    <row r="381">
      <c r="A381" t="s">
        <v>898</v>
      </c>
      <c r="B381" t="s">
        <v>898</v>
      </c>
      <c r="C381" t="s">
        <v>898</v>
      </c>
      <c r="D381" t="s">
        <v>898</v>
      </c>
      <c r="E381" t="s">
        <v>898</v>
      </c>
      <c r="F381" t="s">
        <v>898</v>
      </c>
      <c r="G381" t="s">
        <v>898</v>
      </c>
      <c r="H381" t="s">
        <v>898</v>
      </c>
      <c r="I381" t="s">
        <v>898</v>
      </c>
      <c r="J381" t="s">
        <v>898</v>
      </c>
      <c r="K381" t="s">
        <v>898</v>
      </c>
      <c r="L381" t="s">
        <v>898</v>
      </c>
      <c r="M381" t="s">
        <v>898</v>
      </c>
      <c r="N381" t="s">
        <v>898</v>
      </c>
      <c r="O381" t="s">
        <v>898</v>
      </c>
      <c r="P381" t="s">
        <v>898</v>
      </c>
      <c r="Q381" t="s">
        <v>898</v>
      </c>
      <c r="R381" t="s">
        <v>898</v>
      </c>
      <c r="S381" t="s">
        <v>898</v>
      </c>
      <c r="T381" t="s">
        <v>898</v>
      </c>
      <c r="U381" t="s">
        <v>898</v>
      </c>
      <c r="V381" t="s">
        <v>898</v>
      </c>
      <c r="W381" t="s">
        <v>898</v>
      </c>
      <c r="X381" t="s">
        <v>898</v>
      </c>
      <c r="Y381" t="e">
        <v>#REF!</v>
      </c>
      <c r="Z381" t="e">
        <v>#REF!</v>
      </c>
    </row>
    <row r="382">
      <c r="A382" t="s">
        <v>898</v>
      </c>
      <c r="B382" t="s">
        <v>898</v>
      </c>
      <c r="C382" t="s">
        <v>898</v>
      </c>
      <c r="D382" t="s">
        <v>898</v>
      </c>
      <c r="E382" t="s">
        <v>898</v>
      </c>
      <c r="F382" t="s">
        <v>898</v>
      </c>
      <c r="G382" t="s">
        <v>898</v>
      </c>
      <c r="H382" t="s">
        <v>898</v>
      </c>
      <c r="I382" t="s">
        <v>898</v>
      </c>
      <c r="J382" t="s">
        <v>898</v>
      </c>
      <c r="K382" t="s">
        <v>898</v>
      </c>
      <c r="L382" t="s">
        <v>898</v>
      </c>
      <c r="M382" t="s">
        <v>898</v>
      </c>
      <c r="N382" t="s">
        <v>898</v>
      </c>
      <c r="O382" t="s">
        <v>898</v>
      </c>
      <c r="P382" t="s">
        <v>898</v>
      </c>
      <c r="Q382" t="s">
        <v>898</v>
      </c>
      <c r="R382" t="s">
        <v>898</v>
      </c>
      <c r="S382" t="s">
        <v>898</v>
      </c>
      <c r="T382" t="s">
        <v>898</v>
      </c>
      <c r="U382" t="s">
        <v>898</v>
      </c>
      <c r="V382" t="s">
        <v>898</v>
      </c>
      <c r="W382" t="s">
        <v>898</v>
      </c>
      <c r="X382" t="s">
        <v>898</v>
      </c>
      <c r="Y382" t="e">
        <v>#REF!</v>
      </c>
      <c r="Z382" t="e">
        <v>#REF!</v>
      </c>
    </row>
    <row r="383">
      <c r="A383" t="s">
        <v>898</v>
      </c>
      <c r="B383" t="s">
        <v>898</v>
      </c>
      <c r="C383" t="s">
        <v>898</v>
      </c>
      <c r="D383" t="s">
        <v>898</v>
      </c>
      <c r="E383" t="s">
        <v>898</v>
      </c>
      <c r="F383" t="s">
        <v>898</v>
      </c>
      <c r="G383" t="s">
        <v>898</v>
      </c>
      <c r="H383" t="s">
        <v>898</v>
      </c>
      <c r="I383" t="s">
        <v>898</v>
      </c>
      <c r="J383" t="s">
        <v>898</v>
      </c>
      <c r="K383" t="s">
        <v>898</v>
      </c>
      <c r="L383" t="s">
        <v>898</v>
      </c>
      <c r="M383" t="s">
        <v>898</v>
      </c>
      <c r="N383" t="s">
        <v>898</v>
      </c>
      <c r="O383" t="s">
        <v>898</v>
      </c>
      <c r="P383" t="s">
        <v>898</v>
      </c>
      <c r="Q383" t="s">
        <v>898</v>
      </c>
      <c r="R383" t="s">
        <v>898</v>
      </c>
      <c r="S383" t="s">
        <v>898</v>
      </c>
      <c r="T383" t="s">
        <v>898</v>
      </c>
      <c r="U383" t="s">
        <v>898</v>
      </c>
      <c r="V383" t="s">
        <v>898</v>
      </c>
      <c r="W383" t="s">
        <v>898</v>
      </c>
      <c r="X383" t="s">
        <v>898</v>
      </c>
      <c r="Y383" t="e">
        <v>#REF!</v>
      </c>
      <c r="Z383" t="e">
        <v>#REF!</v>
      </c>
    </row>
    <row r="384">
      <c r="A384" t="s">
        <v>898</v>
      </c>
      <c r="B384" t="s">
        <v>898</v>
      </c>
      <c r="C384" t="s">
        <v>898</v>
      </c>
      <c r="D384" t="s">
        <v>898</v>
      </c>
      <c r="E384" t="s">
        <v>898</v>
      </c>
      <c r="F384" t="s">
        <v>898</v>
      </c>
      <c r="G384" t="s">
        <v>898</v>
      </c>
      <c r="H384" t="s">
        <v>898</v>
      </c>
      <c r="I384" t="s">
        <v>898</v>
      </c>
      <c r="J384" t="s">
        <v>898</v>
      </c>
      <c r="K384" t="s">
        <v>898</v>
      </c>
      <c r="L384" t="s">
        <v>898</v>
      </c>
      <c r="M384" t="s">
        <v>898</v>
      </c>
      <c r="N384" t="s">
        <v>898</v>
      </c>
      <c r="O384" t="s">
        <v>898</v>
      </c>
      <c r="P384" t="s">
        <v>898</v>
      </c>
      <c r="Q384" t="s">
        <v>898</v>
      </c>
      <c r="R384" t="s">
        <v>898</v>
      </c>
      <c r="S384" t="s">
        <v>898</v>
      </c>
      <c r="T384" t="s">
        <v>898</v>
      </c>
      <c r="U384" t="s">
        <v>898</v>
      </c>
      <c r="V384" t="s">
        <v>898</v>
      </c>
      <c r="W384" t="s">
        <v>898</v>
      </c>
      <c r="X384" t="s">
        <v>898</v>
      </c>
      <c r="Y384" t="e">
        <v>#REF!</v>
      </c>
      <c r="Z384" t="e">
        <v>#REF!</v>
      </c>
    </row>
    <row r="385">
      <c r="A385" t="s">
        <v>898</v>
      </c>
      <c r="B385" t="s">
        <v>898</v>
      </c>
      <c r="C385" t="s">
        <v>898</v>
      </c>
      <c r="D385" t="s">
        <v>898</v>
      </c>
      <c r="E385" t="s">
        <v>898</v>
      </c>
      <c r="F385" t="s">
        <v>898</v>
      </c>
      <c r="G385" t="s">
        <v>898</v>
      </c>
      <c r="H385" t="s">
        <v>898</v>
      </c>
      <c r="I385" t="s">
        <v>898</v>
      </c>
      <c r="J385" t="s">
        <v>898</v>
      </c>
      <c r="K385" t="s">
        <v>898</v>
      </c>
      <c r="L385" t="s">
        <v>898</v>
      </c>
      <c r="M385" t="s">
        <v>898</v>
      </c>
      <c r="N385" t="s">
        <v>898</v>
      </c>
      <c r="O385" t="s">
        <v>898</v>
      </c>
      <c r="P385" t="s">
        <v>898</v>
      </c>
      <c r="Q385" t="s">
        <v>898</v>
      </c>
      <c r="R385" t="s">
        <v>898</v>
      </c>
      <c r="S385" t="s">
        <v>898</v>
      </c>
      <c r="T385" t="s">
        <v>898</v>
      </c>
      <c r="U385" t="s">
        <v>898</v>
      </c>
      <c r="V385" t="s">
        <v>898</v>
      </c>
      <c r="W385" t="s">
        <v>898</v>
      </c>
      <c r="X385" t="s">
        <v>898</v>
      </c>
      <c r="Y385" t="e">
        <v>#REF!</v>
      </c>
      <c r="Z385" t="e">
        <v>#REF!</v>
      </c>
    </row>
    <row r="386">
      <c r="A386" t="s">
        <v>898</v>
      </c>
      <c r="B386" t="s">
        <v>898</v>
      </c>
      <c r="C386" t="s">
        <v>898</v>
      </c>
      <c r="D386" t="s">
        <v>898</v>
      </c>
      <c r="E386" t="s">
        <v>898</v>
      </c>
      <c r="F386" t="s">
        <v>898</v>
      </c>
      <c r="G386" t="s">
        <v>898</v>
      </c>
      <c r="H386" t="s">
        <v>898</v>
      </c>
      <c r="I386" t="s">
        <v>898</v>
      </c>
      <c r="J386" t="s">
        <v>898</v>
      </c>
      <c r="K386" t="s">
        <v>898</v>
      </c>
      <c r="L386" t="s">
        <v>898</v>
      </c>
      <c r="M386" t="s">
        <v>898</v>
      </c>
      <c r="N386" t="s">
        <v>898</v>
      </c>
      <c r="O386" t="s">
        <v>898</v>
      </c>
      <c r="P386" t="s">
        <v>898</v>
      </c>
      <c r="Q386" t="s">
        <v>898</v>
      </c>
      <c r="R386" t="s">
        <v>898</v>
      </c>
      <c r="S386" t="s">
        <v>898</v>
      </c>
      <c r="T386" t="s">
        <v>898</v>
      </c>
      <c r="U386" t="s">
        <v>898</v>
      </c>
      <c r="V386" t="s">
        <v>898</v>
      </c>
      <c r="W386" t="s">
        <v>898</v>
      </c>
      <c r="X386" t="s">
        <v>898</v>
      </c>
      <c r="Y386" t="e">
        <v>#REF!</v>
      </c>
      <c r="Z386" t="e">
        <v>#REF!</v>
      </c>
    </row>
    <row r="387">
      <c r="A387" t="s">
        <v>898</v>
      </c>
      <c r="B387" t="s">
        <v>898</v>
      </c>
      <c r="C387" t="s">
        <v>898</v>
      </c>
      <c r="D387" t="s">
        <v>898</v>
      </c>
      <c r="E387" t="s">
        <v>898</v>
      </c>
      <c r="F387" t="s">
        <v>898</v>
      </c>
      <c r="G387" t="s">
        <v>898</v>
      </c>
      <c r="H387" t="s">
        <v>898</v>
      </c>
      <c r="I387" t="s">
        <v>898</v>
      </c>
      <c r="J387" t="s">
        <v>898</v>
      </c>
      <c r="K387" t="s">
        <v>898</v>
      </c>
      <c r="L387" t="s">
        <v>898</v>
      </c>
      <c r="M387" t="s">
        <v>898</v>
      </c>
      <c r="N387" t="s">
        <v>898</v>
      </c>
      <c r="O387" t="s">
        <v>898</v>
      </c>
      <c r="P387" t="s">
        <v>898</v>
      </c>
      <c r="Q387" t="s">
        <v>898</v>
      </c>
      <c r="R387" t="s">
        <v>898</v>
      </c>
      <c r="S387" t="s">
        <v>898</v>
      </c>
      <c r="T387" t="s">
        <v>898</v>
      </c>
      <c r="U387" t="s">
        <v>898</v>
      </c>
      <c r="V387" t="s">
        <v>898</v>
      </c>
      <c r="W387" t="s">
        <v>898</v>
      </c>
      <c r="X387" t="s">
        <v>898</v>
      </c>
      <c r="Y387" t="e">
        <v>#REF!</v>
      </c>
      <c r="Z387" t="e">
        <v>#REF!</v>
      </c>
    </row>
    <row r="388">
      <c r="A388" t="s">
        <v>898</v>
      </c>
      <c r="B388" t="s">
        <v>898</v>
      </c>
      <c r="C388" t="s">
        <v>898</v>
      </c>
      <c r="D388" t="s">
        <v>898</v>
      </c>
      <c r="E388" t="s">
        <v>898</v>
      </c>
      <c r="F388" t="s">
        <v>898</v>
      </c>
      <c r="G388" t="s">
        <v>898</v>
      </c>
      <c r="H388" t="s">
        <v>898</v>
      </c>
      <c r="I388" t="s">
        <v>898</v>
      </c>
      <c r="J388" t="s">
        <v>898</v>
      </c>
      <c r="K388" t="s">
        <v>898</v>
      </c>
      <c r="L388" t="s">
        <v>898</v>
      </c>
      <c r="M388" t="s">
        <v>898</v>
      </c>
      <c r="N388" t="s">
        <v>898</v>
      </c>
      <c r="O388" t="s">
        <v>898</v>
      </c>
      <c r="P388" t="s">
        <v>898</v>
      </c>
      <c r="Q388" t="s">
        <v>898</v>
      </c>
      <c r="R388" t="s">
        <v>898</v>
      </c>
      <c r="S388" t="s">
        <v>898</v>
      </c>
      <c r="T388" t="s">
        <v>898</v>
      </c>
      <c r="U388" t="s">
        <v>898</v>
      </c>
      <c r="V388" t="s">
        <v>898</v>
      </c>
      <c r="W388" t="s">
        <v>898</v>
      </c>
      <c r="X388" t="s">
        <v>898</v>
      </c>
      <c r="Y388" t="e">
        <v>#REF!</v>
      </c>
      <c r="Z388" t="e">
        <v>#REF!</v>
      </c>
    </row>
    <row r="389">
      <c r="A389" t="s">
        <v>898</v>
      </c>
      <c r="B389" t="s">
        <v>898</v>
      </c>
      <c r="C389" t="s">
        <v>898</v>
      </c>
      <c r="D389" t="s">
        <v>898</v>
      </c>
      <c r="E389" t="s">
        <v>898</v>
      </c>
      <c r="F389" t="s">
        <v>898</v>
      </c>
      <c r="G389" t="s">
        <v>898</v>
      </c>
      <c r="H389" t="s">
        <v>898</v>
      </c>
      <c r="I389" t="s">
        <v>898</v>
      </c>
      <c r="J389" t="s">
        <v>898</v>
      </c>
      <c r="K389" t="s">
        <v>898</v>
      </c>
      <c r="L389" t="s">
        <v>898</v>
      </c>
      <c r="M389" t="s">
        <v>898</v>
      </c>
      <c r="N389" t="s">
        <v>898</v>
      </c>
      <c r="O389" t="s">
        <v>898</v>
      </c>
      <c r="P389" t="s">
        <v>898</v>
      </c>
      <c r="Q389" t="s">
        <v>898</v>
      </c>
      <c r="R389" t="s">
        <v>898</v>
      </c>
      <c r="S389" t="s">
        <v>898</v>
      </c>
      <c r="T389" t="s">
        <v>898</v>
      </c>
      <c r="U389" t="s">
        <v>898</v>
      </c>
      <c r="V389" t="s">
        <v>898</v>
      </c>
      <c r="W389" t="s">
        <v>898</v>
      </c>
      <c r="X389" t="s">
        <v>898</v>
      </c>
      <c r="Y389" t="e">
        <v>#REF!</v>
      </c>
      <c r="Z389" t="e">
        <v>#REF!</v>
      </c>
    </row>
    <row r="390">
      <c r="A390" t="s">
        <v>898</v>
      </c>
      <c r="B390" t="s">
        <v>898</v>
      </c>
      <c r="C390" t="s">
        <v>898</v>
      </c>
      <c r="D390" t="s">
        <v>898</v>
      </c>
      <c r="E390" t="s">
        <v>898</v>
      </c>
      <c r="F390" t="s">
        <v>898</v>
      </c>
      <c r="G390" t="s">
        <v>898</v>
      </c>
      <c r="H390" t="s">
        <v>898</v>
      </c>
      <c r="I390" t="s">
        <v>898</v>
      </c>
      <c r="J390" t="s">
        <v>898</v>
      </c>
      <c r="K390" t="s">
        <v>898</v>
      </c>
      <c r="L390" t="s">
        <v>898</v>
      </c>
      <c r="M390" t="s">
        <v>898</v>
      </c>
      <c r="N390" t="s">
        <v>898</v>
      </c>
      <c r="O390" t="s">
        <v>898</v>
      </c>
      <c r="P390" t="s">
        <v>898</v>
      </c>
      <c r="Q390" t="s">
        <v>898</v>
      </c>
      <c r="R390" t="s">
        <v>898</v>
      </c>
      <c r="S390" t="s">
        <v>898</v>
      </c>
      <c r="T390" t="s">
        <v>898</v>
      </c>
      <c r="U390" t="s">
        <v>898</v>
      </c>
      <c r="V390" t="s">
        <v>898</v>
      </c>
      <c r="W390" t="s">
        <v>898</v>
      </c>
      <c r="X390" t="s">
        <v>898</v>
      </c>
      <c r="Y390" t="e">
        <v>#REF!</v>
      </c>
      <c r="Z390" t="e">
        <v>#REF!</v>
      </c>
    </row>
    <row r="391">
      <c r="A391" t="s">
        <v>898</v>
      </c>
      <c r="B391" t="s">
        <v>898</v>
      </c>
      <c r="C391" t="s">
        <v>898</v>
      </c>
      <c r="D391" t="s">
        <v>898</v>
      </c>
      <c r="E391" t="s">
        <v>898</v>
      </c>
      <c r="F391" t="s">
        <v>898</v>
      </c>
      <c r="G391" t="s">
        <v>898</v>
      </c>
      <c r="H391" t="s">
        <v>898</v>
      </c>
      <c r="I391" t="s">
        <v>898</v>
      </c>
      <c r="J391" t="s">
        <v>898</v>
      </c>
      <c r="K391" t="s">
        <v>898</v>
      </c>
      <c r="L391" t="s">
        <v>898</v>
      </c>
      <c r="M391" t="s">
        <v>898</v>
      </c>
      <c r="N391" t="s">
        <v>898</v>
      </c>
      <c r="O391" t="s">
        <v>898</v>
      </c>
      <c r="P391" t="s">
        <v>898</v>
      </c>
      <c r="Q391" t="s">
        <v>898</v>
      </c>
      <c r="R391" t="s">
        <v>898</v>
      </c>
      <c r="S391" t="s">
        <v>898</v>
      </c>
      <c r="T391" t="s">
        <v>898</v>
      </c>
      <c r="U391" t="s">
        <v>898</v>
      </c>
      <c r="V391" t="s">
        <v>898</v>
      </c>
      <c r="W391" t="s">
        <v>898</v>
      </c>
      <c r="X391" t="s">
        <v>898</v>
      </c>
      <c r="Y391" t="e">
        <v>#REF!</v>
      </c>
      <c r="Z391" t="e">
        <v>#REF!</v>
      </c>
    </row>
    <row r="392">
      <c r="A392" t="s">
        <v>898</v>
      </c>
      <c r="B392" t="s">
        <v>898</v>
      </c>
      <c r="C392" t="s">
        <v>898</v>
      </c>
      <c r="D392" t="s">
        <v>898</v>
      </c>
      <c r="E392" t="s">
        <v>898</v>
      </c>
      <c r="F392" t="s">
        <v>898</v>
      </c>
      <c r="G392" t="s">
        <v>898</v>
      </c>
      <c r="H392" t="s">
        <v>898</v>
      </c>
      <c r="I392" t="s">
        <v>898</v>
      </c>
      <c r="J392" t="s">
        <v>898</v>
      </c>
      <c r="K392" t="s">
        <v>898</v>
      </c>
      <c r="L392" t="s">
        <v>898</v>
      </c>
      <c r="M392" t="s">
        <v>898</v>
      </c>
      <c r="N392" t="s">
        <v>898</v>
      </c>
      <c r="O392" t="s">
        <v>898</v>
      </c>
      <c r="P392" t="s">
        <v>898</v>
      </c>
      <c r="Q392" t="s">
        <v>898</v>
      </c>
      <c r="R392" t="s">
        <v>898</v>
      </c>
      <c r="S392" t="s">
        <v>898</v>
      </c>
      <c r="T392" t="s">
        <v>898</v>
      </c>
      <c r="U392" t="s">
        <v>898</v>
      </c>
      <c r="V392" t="s">
        <v>898</v>
      </c>
      <c r="W392" t="s">
        <v>898</v>
      </c>
      <c r="X392" t="s">
        <v>898</v>
      </c>
      <c r="Y392" t="e">
        <v>#REF!</v>
      </c>
      <c r="Z392" t="e">
        <v>#REF!</v>
      </c>
    </row>
    <row r="393">
      <c r="A393" t="s">
        <v>898</v>
      </c>
      <c r="B393" t="s">
        <v>898</v>
      </c>
      <c r="C393" t="s">
        <v>898</v>
      </c>
      <c r="D393" t="s">
        <v>898</v>
      </c>
      <c r="E393" t="s">
        <v>898</v>
      </c>
      <c r="F393" t="s">
        <v>898</v>
      </c>
      <c r="G393" t="s">
        <v>898</v>
      </c>
      <c r="H393" t="s">
        <v>898</v>
      </c>
      <c r="I393" t="s">
        <v>898</v>
      </c>
      <c r="J393" t="s">
        <v>898</v>
      </c>
      <c r="K393" t="s">
        <v>898</v>
      </c>
      <c r="L393" t="s">
        <v>898</v>
      </c>
      <c r="M393" t="s">
        <v>898</v>
      </c>
      <c r="N393" t="s">
        <v>898</v>
      </c>
      <c r="O393" t="s">
        <v>898</v>
      </c>
      <c r="P393" t="s">
        <v>898</v>
      </c>
      <c r="Q393" t="s">
        <v>898</v>
      </c>
      <c r="R393" t="s">
        <v>898</v>
      </c>
      <c r="S393" t="s">
        <v>898</v>
      </c>
      <c r="T393" t="s">
        <v>898</v>
      </c>
      <c r="U393" t="s">
        <v>898</v>
      </c>
      <c r="V393" t="s">
        <v>898</v>
      </c>
      <c r="W393" t="s">
        <v>898</v>
      </c>
      <c r="X393" t="s">
        <v>898</v>
      </c>
      <c r="Y393" t="e">
        <v>#REF!</v>
      </c>
      <c r="Z393" t="e">
        <v>#REF!</v>
      </c>
    </row>
    <row r="394">
      <c r="A394" t="s">
        <v>898</v>
      </c>
      <c r="B394" t="s">
        <v>898</v>
      </c>
      <c r="C394" t="s">
        <v>898</v>
      </c>
      <c r="D394" t="s">
        <v>898</v>
      </c>
      <c r="E394" t="s">
        <v>898</v>
      </c>
      <c r="F394" t="s">
        <v>898</v>
      </c>
      <c r="G394" t="s">
        <v>898</v>
      </c>
      <c r="H394" t="s">
        <v>898</v>
      </c>
      <c r="I394" t="s">
        <v>898</v>
      </c>
      <c r="J394" t="s">
        <v>898</v>
      </c>
      <c r="K394" t="s">
        <v>898</v>
      </c>
      <c r="L394" t="s">
        <v>898</v>
      </c>
      <c r="M394" t="s">
        <v>898</v>
      </c>
      <c r="N394" t="s">
        <v>898</v>
      </c>
      <c r="O394" t="s">
        <v>898</v>
      </c>
      <c r="P394" t="s">
        <v>898</v>
      </c>
      <c r="Q394" t="s">
        <v>898</v>
      </c>
      <c r="R394" t="s">
        <v>898</v>
      </c>
      <c r="S394" t="s">
        <v>898</v>
      </c>
      <c r="T394" t="s">
        <v>898</v>
      </c>
      <c r="U394" t="s">
        <v>898</v>
      </c>
      <c r="V394" t="s">
        <v>898</v>
      </c>
      <c r="W394" t="s">
        <v>898</v>
      </c>
      <c r="X394" t="s">
        <v>898</v>
      </c>
      <c r="Y394" t="e">
        <v>#REF!</v>
      </c>
      <c r="Z394" t="e">
        <v>#REF!</v>
      </c>
    </row>
    <row r="395">
      <c r="A395" t="s">
        <v>898</v>
      </c>
      <c r="B395" t="s">
        <v>898</v>
      </c>
      <c r="C395" t="s">
        <v>898</v>
      </c>
      <c r="D395" t="s">
        <v>898</v>
      </c>
      <c r="E395" t="s">
        <v>898</v>
      </c>
      <c r="F395" t="s">
        <v>898</v>
      </c>
      <c r="G395" t="s">
        <v>898</v>
      </c>
      <c r="H395" t="s">
        <v>898</v>
      </c>
      <c r="I395" t="s">
        <v>898</v>
      </c>
      <c r="J395" t="s">
        <v>898</v>
      </c>
      <c r="K395" t="s">
        <v>898</v>
      </c>
      <c r="L395" t="s">
        <v>898</v>
      </c>
      <c r="M395" t="s">
        <v>898</v>
      </c>
      <c r="N395" t="s">
        <v>898</v>
      </c>
      <c r="O395" t="s">
        <v>898</v>
      </c>
      <c r="P395" t="s">
        <v>898</v>
      </c>
      <c r="Q395" t="s">
        <v>898</v>
      </c>
      <c r="R395" t="s">
        <v>898</v>
      </c>
      <c r="S395" t="s">
        <v>898</v>
      </c>
      <c r="T395" t="s">
        <v>898</v>
      </c>
      <c r="U395" t="s">
        <v>898</v>
      </c>
      <c r="V395" t="s">
        <v>898</v>
      </c>
      <c r="W395" t="s">
        <v>898</v>
      </c>
      <c r="X395" t="s">
        <v>898</v>
      </c>
      <c r="Y395" t="e">
        <v>#REF!</v>
      </c>
      <c r="Z395" t="e">
        <v>#REF!</v>
      </c>
    </row>
    <row r="396">
      <c r="A396" t="s">
        <v>898</v>
      </c>
      <c r="B396" t="s">
        <v>898</v>
      </c>
      <c r="C396" t="s">
        <v>898</v>
      </c>
      <c r="D396" t="s">
        <v>898</v>
      </c>
      <c r="E396" t="s">
        <v>898</v>
      </c>
      <c r="F396" t="s">
        <v>898</v>
      </c>
      <c r="G396" t="s">
        <v>898</v>
      </c>
      <c r="H396" t="s">
        <v>898</v>
      </c>
      <c r="I396" t="s">
        <v>898</v>
      </c>
      <c r="J396" t="s">
        <v>898</v>
      </c>
      <c r="K396" t="s">
        <v>898</v>
      </c>
      <c r="L396" t="s">
        <v>898</v>
      </c>
      <c r="M396" t="s">
        <v>898</v>
      </c>
      <c r="N396" t="s">
        <v>898</v>
      </c>
      <c r="O396" t="s">
        <v>898</v>
      </c>
      <c r="P396" t="s">
        <v>898</v>
      </c>
      <c r="Q396" t="s">
        <v>898</v>
      </c>
      <c r="R396" t="s">
        <v>898</v>
      </c>
      <c r="S396" t="s">
        <v>898</v>
      </c>
      <c r="T396" t="s">
        <v>898</v>
      </c>
      <c r="U396" t="s">
        <v>898</v>
      </c>
      <c r="V396" t="s">
        <v>898</v>
      </c>
      <c r="W396" t="s">
        <v>898</v>
      </c>
      <c r="X396" t="s">
        <v>898</v>
      </c>
      <c r="Y396" t="e">
        <v>#REF!</v>
      </c>
      <c r="Z396" t="e">
        <v>#REF!</v>
      </c>
    </row>
    <row r="397">
      <c r="A397" t="s">
        <v>898</v>
      </c>
      <c r="B397" t="s">
        <v>898</v>
      </c>
      <c r="C397" t="s">
        <v>898</v>
      </c>
      <c r="D397" t="s">
        <v>898</v>
      </c>
      <c r="E397" t="s">
        <v>898</v>
      </c>
      <c r="F397" t="s">
        <v>898</v>
      </c>
      <c r="G397" t="s">
        <v>898</v>
      </c>
      <c r="H397" t="s">
        <v>898</v>
      </c>
      <c r="I397" t="s">
        <v>898</v>
      </c>
      <c r="J397" t="s">
        <v>898</v>
      </c>
      <c r="K397" t="s">
        <v>898</v>
      </c>
      <c r="L397" t="s">
        <v>898</v>
      </c>
      <c r="M397" t="s">
        <v>898</v>
      </c>
      <c r="N397" t="s">
        <v>898</v>
      </c>
      <c r="O397" t="s">
        <v>898</v>
      </c>
      <c r="P397" t="s">
        <v>898</v>
      </c>
      <c r="Q397" t="s">
        <v>898</v>
      </c>
      <c r="R397" t="s">
        <v>898</v>
      </c>
      <c r="S397" t="s">
        <v>898</v>
      </c>
      <c r="T397" t="s">
        <v>898</v>
      </c>
      <c r="U397" t="s">
        <v>898</v>
      </c>
      <c r="V397" t="s">
        <v>898</v>
      </c>
      <c r="W397" t="s">
        <v>898</v>
      </c>
      <c r="X397" t="s">
        <v>898</v>
      </c>
      <c r="Y397" t="e">
        <v>#REF!</v>
      </c>
      <c r="Z397" t="e">
        <v>#REF!</v>
      </c>
    </row>
    <row r="398">
      <c r="A398" t="s">
        <v>898</v>
      </c>
      <c r="B398" t="s">
        <v>898</v>
      </c>
      <c r="C398" t="s">
        <v>898</v>
      </c>
      <c r="D398" t="s">
        <v>898</v>
      </c>
      <c r="E398" t="s">
        <v>898</v>
      </c>
      <c r="F398" t="s">
        <v>898</v>
      </c>
      <c r="G398" t="s">
        <v>898</v>
      </c>
      <c r="H398" t="s">
        <v>898</v>
      </c>
      <c r="I398" t="s">
        <v>898</v>
      </c>
      <c r="J398" t="s">
        <v>898</v>
      </c>
      <c r="K398" t="s">
        <v>898</v>
      </c>
      <c r="L398" t="s">
        <v>898</v>
      </c>
      <c r="M398" t="s">
        <v>898</v>
      </c>
      <c r="N398" t="s">
        <v>898</v>
      </c>
      <c r="O398" t="s">
        <v>898</v>
      </c>
      <c r="P398" t="s">
        <v>898</v>
      </c>
      <c r="Q398" t="s">
        <v>898</v>
      </c>
      <c r="R398" t="s">
        <v>898</v>
      </c>
      <c r="S398" t="s">
        <v>898</v>
      </c>
      <c r="T398" t="s">
        <v>898</v>
      </c>
      <c r="U398" t="s">
        <v>898</v>
      </c>
      <c r="V398" t="s">
        <v>898</v>
      </c>
      <c r="W398" t="s">
        <v>898</v>
      </c>
      <c r="X398" t="s">
        <v>898</v>
      </c>
      <c r="Y398" t="e">
        <v>#REF!</v>
      </c>
      <c r="Z398" t="e">
        <v>#REF!</v>
      </c>
    </row>
    <row r="399">
      <c r="A399" t="s">
        <v>898</v>
      </c>
      <c r="B399" t="s">
        <v>898</v>
      </c>
      <c r="C399" t="s">
        <v>898</v>
      </c>
      <c r="D399" t="s">
        <v>898</v>
      </c>
      <c r="E399" t="s">
        <v>898</v>
      </c>
      <c r="F399" t="s">
        <v>898</v>
      </c>
      <c r="G399" t="s">
        <v>898</v>
      </c>
      <c r="H399" t="s">
        <v>898</v>
      </c>
      <c r="I399" t="s">
        <v>898</v>
      </c>
      <c r="J399" t="s">
        <v>898</v>
      </c>
      <c r="K399" t="s">
        <v>898</v>
      </c>
      <c r="L399" t="s">
        <v>898</v>
      </c>
      <c r="M399" t="s">
        <v>898</v>
      </c>
      <c r="N399" t="s">
        <v>898</v>
      </c>
      <c r="O399" t="s">
        <v>898</v>
      </c>
      <c r="P399" t="s">
        <v>898</v>
      </c>
      <c r="Q399" t="s">
        <v>898</v>
      </c>
      <c r="R399" t="s">
        <v>898</v>
      </c>
      <c r="S399" t="s">
        <v>898</v>
      </c>
      <c r="T399" t="s">
        <v>898</v>
      </c>
      <c r="U399" t="s">
        <v>898</v>
      </c>
      <c r="V399" t="s">
        <v>898</v>
      </c>
      <c r="W399" t="s">
        <v>898</v>
      </c>
      <c r="X399" t="s">
        <v>898</v>
      </c>
      <c r="Y399" t="e">
        <v>#REF!</v>
      </c>
      <c r="Z399" t="e">
        <v>#REF!</v>
      </c>
    </row>
    <row r="400">
      <c r="A400" t="s">
        <v>898</v>
      </c>
      <c r="B400" t="s">
        <v>898</v>
      </c>
      <c r="C400" t="s">
        <v>898</v>
      </c>
      <c r="D400" t="s">
        <v>898</v>
      </c>
      <c r="E400" t="s">
        <v>898</v>
      </c>
      <c r="F400" t="s">
        <v>898</v>
      </c>
      <c r="G400" t="s">
        <v>898</v>
      </c>
      <c r="H400" t="s">
        <v>898</v>
      </c>
      <c r="I400" t="s">
        <v>898</v>
      </c>
      <c r="J400" t="s">
        <v>898</v>
      </c>
      <c r="K400" t="s">
        <v>898</v>
      </c>
      <c r="L400" t="s">
        <v>898</v>
      </c>
      <c r="M400" t="s">
        <v>898</v>
      </c>
      <c r="N400" t="s">
        <v>898</v>
      </c>
      <c r="O400" t="s">
        <v>898</v>
      </c>
      <c r="P400" t="s">
        <v>898</v>
      </c>
      <c r="Q400" t="s">
        <v>898</v>
      </c>
      <c r="R400" t="s">
        <v>898</v>
      </c>
      <c r="S400" t="s">
        <v>898</v>
      </c>
      <c r="T400" t="s">
        <v>898</v>
      </c>
      <c r="U400" t="s">
        <v>898</v>
      </c>
      <c r="V400" t="s">
        <v>898</v>
      </c>
      <c r="W400" t="s">
        <v>898</v>
      </c>
      <c r="X400" t="s">
        <v>898</v>
      </c>
      <c r="Y400" t="e">
        <v>#REF!</v>
      </c>
      <c r="Z400" t="e">
        <v>#REF!</v>
      </c>
    </row>
    <row r="401">
      <c r="A401" t="s">
        <v>898</v>
      </c>
      <c r="B401" t="s">
        <v>898</v>
      </c>
      <c r="C401" t="s">
        <v>898</v>
      </c>
      <c r="D401" t="s">
        <v>898</v>
      </c>
      <c r="E401" t="s">
        <v>898</v>
      </c>
      <c r="F401" t="s">
        <v>898</v>
      </c>
      <c r="G401" t="s">
        <v>898</v>
      </c>
      <c r="H401" t="s">
        <v>898</v>
      </c>
      <c r="I401" t="s">
        <v>898</v>
      </c>
      <c r="J401" t="s">
        <v>898</v>
      </c>
      <c r="K401" t="s">
        <v>898</v>
      </c>
      <c r="L401" t="s">
        <v>898</v>
      </c>
      <c r="M401" t="s">
        <v>898</v>
      </c>
      <c r="N401" t="s">
        <v>898</v>
      </c>
      <c r="O401" t="s">
        <v>898</v>
      </c>
      <c r="P401" t="s">
        <v>898</v>
      </c>
      <c r="Q401" t="s">
        <v>898</v>
      </c>
      <c r="R401" t="s">
        <v>898</v>
      </c>
      <c r="S401" t="s">
        <v>898</v>
      </c>
      <c r="T401" t="s">
        <v>898</v>
      </c>
      <c r="U401" t="s">
        <v>898</v>
      </c>
      <c r="V401" t="s">
        <v>898</v>
      </c>
      <c r="W401" t="s">
        <v>898</v>
      </c>
      <c r="X401" t="s">
        <v>898</v>
      </c>
      <c r="Y401" t="e">
        <v>#REF!</v>
      </c>
      <c r="Z401" t="e">
        <v>#REF!</v>
      </c>
    </row>
    <row r="402">
      <c r="A402" t="s">
        <v>898</v>
      </c>
      <c r="B402" t="s">
        <v>898</v>
      </c>
      <c r="C402" t="s">
        <v>898</v>
      </c>
      <c r="D402" t="s">
        <v>898</v>
      </c>
      <c r="E402" t="s">
        <v>898</v>
      </c>
      <c r="F402" t="s">
        <v>898</v>
      </c>
      <c r="G402" t="s">
        <v>898</v>
      </c>
      <c r="H402" t="s">
        <v>898</v>
      </c>
      <c r="I402" t="s">
        <v>898</v>
      </c>
      <c r="J402" t="s">
        <v>898</v>
      </c>
      <c r="K402" t="s">
        <v>898</v>
      </c>
      <c r="L402" t="s">
        <v>898</v>
      </c>
      <c r="M402" t="s">
        <v>898</v>
      </c>
      <c r="N402" t="s">
        <v>898</v>
      </c>
      <c r="O402" t="s">
        <v>898</v>
      </c>
      <c r="P402" t="s">
        <v>898</v>
      </c>
      <c r="Q402" t="s">
        <v>898</v>
      </c>
      <c r="R402" t="s">
        <v>898</v>
      </c>
      <c r="S402" t="s">
        <v>898</v>
      </c>
      <c r="T402" t="s">
        <v>898</v>
      </c>
      <c r="U402" t="s">
        <v>898</v>
      </c>
      <c r="V402" t="s">
        <v>898</v>
      </c>
      <c r="W402" t="s">
        <v>898</v>
      </c>
      <c r="X402" t="s">
        <v>898</v>
      </c>
      <c r="Y402" t="e">
        <v>#REF!</v>
      </c>
      <c r="Z402" t="e">
        <v>#REF!</v>
      </c>
    </row>
    <row r="403">
      <c r="A403" t="s">
        <v>898</v>
      </c>
      <c r="B403" t="s">
        <v>898</v>
      </c>
      <c r="C403" t="s">
        <v>898</v>
      </c>
      <c r="D403" t="s">
        <v>898</v>
      </c>
      <c r="E403" t="s">
        <v>898</v>
      </c>
      <c r="F403" t="s">
        <v>898</v>
      </c>
      <c r="G403" t="s">
        <v>898</v>
      </c>
      <c r="H403" t="s">
        <v>898</v>
      </c>
      <c r="I403" t="s">
        <v>898</v>
      </c>
      <c r="J403" t="s">
        <v>898</v>
      </c>
      <c r="K403" t="s">
        <v>898</v>
      </c>
      <c r="L403" t="s">
        <v>898</v>
      </c>
      <c r="M403" t="s">
        <v>898</v>
      </c>
      <c r="N403" t="s">
        <v>898</v>
      </c>
      <c r="O403" t="s">
        <v>898</v>
      </c>
      <c r="P403" t="s">
        <v>898</v>
      </c>
      <c r="Q403" t="s">
        <v>898</v>
      </c>
      <c r="R403" t="s">
        <v>898</v>
      </c>
      <c r="S403" t="s">
        <v>898</v>
      </c>
      <c r="T403" t="s">
        <v>898</v>
      </c>
      <c r="U403" t="s">
        <v>898</v>
      </c>
      <c r="V403" t="s">
        <v>898</v>
      </c>
      <c r="W403" t="s">
        <v>898</v>
      </c>
      <c r="X403" t="s">
        <v>898</v>
      </c>
      <c r="Y403" t="e">
        <v>#REF!</v>
      </c>
      <c r="Z403" t="e">
        <v>#REF!</v>
      </c>
    </row>
    <row r="404">
      <c r="A404" t="s">
        <v>898</v>
      </c>
      <c r="B404" t="s">
        <v>898</v>
      </c>
      <c r="C404" t="s">
        <v>898</v>
      </c>
      <c r="D404" t="s">
        <v>898</v>
      </c>
      <c r="E404" t="s">
        <v>898</v>
      </c>
      <c r="F404" t="s">
        <v>898</v>
      </c>
      <c r="G404" t="s">
        <v>898</v>
      </c>
      <c r="H404" t="s">
        <v>898</v>
      </c>
      <c r="I404" t="s">
        <v>898</v>
      </c>
      <c r="J404" t="s">
        <v>898</v>
      </c>
      <c r="K404" t="s">
        <v>898</v>
      </c>
      <c r="L404" t="s">
        <v>898</v>
      </c>
      <c r="M404" t="s">
        <v>898</v>
      </c>
      <c r="N404" t="s">
        <v>898</v>
      </c>
      <c r="O404" t="s">
        <v>898</v>
      </c>
      <c r="P404" t="s">
        <v>898</v>
      </c>
      <c r="Q404" t="s">
        <v>898</v>
      </c>
      <c r="R404" t="s">
        <v>898</v>
      </c>
      <c r="S404" t="s">
        <v>898</v>
      </c>
      <c r="T404" t="s">
        <v>898</v>
      </c>
      <c r="U404" t="s">
        <v>898</v>
      </c>
      <c r="V404" t="s">
        <v>898</v>
      </c>
      <c r="W404" t="s">
        <v>898</v>
      </c>
      <c r="X404" t="s">
        <v>898</v>
      </c>
      <c r="Y404" t="e">
        <v>#REF!</v>
      </c>
      <c r="Z404" t="e">
        <v>#REF!</v>
      </c>
    </row>
    <row r="405">
      <c r="A405" t="s">
        <v>898</v>
      </c>
      <c r="B405" t="s">
        <v>898</v>
      </c>
      <c r="C405" t="s">
        <v>898</v>
      </c>
      <c r="D405" t="s">
        <v>898</v>
      </c>
      <c r="E405" t="s">
        <v>898</v>
      </c>
      <c r="F405" t="s">
        <v>898</v>
      </c>
      <c r="G405" t="s">
        <v>898</v>
      </c>
      <c r="H405" t="s">
        <v>898</v>
      </c>
      <c r="I405" t="s">
        <v>898</v>
      </c>
      <c r="J405" t="s">
        <v>898</v>
      </c>
      <c r="K405" t="s">
        <v>898</v>
      </c>
      <c r="L405" t="s">
        <v>898</v>
      </c>
      <c r="M405" t="s">
        <v>898</v>
      </c>
      <c r="N405" t="s">
        <v>898</v>
      </c>
      <c r="O405" t="s">
        <v>898</v>
      </c>
      <c r="P405" t="s">
        <v>898</v>
      </c>
      <c r="Q405" t="s">
        <v>898</v>
      </c>
      <c r="R405" t="s">
        <v>898</v>
      </c>
      <c r="S405" t="s">
        <v>898</v>
      </c>
      <c r="T405" t="s">
        <v>898</v>
      </c>
      <c r="U405" t="s">
        <v>898</v>
      </c>
      <c r="V405" t="s">
        <v>898</v>
      </c>
      <c r="W405" t="s">
        <v>898</v>
      </c>
      <c r="X405" t="s">
        <v>898</v>
      </c>
      <c r="Y405" t="e">
        <v>#REF!</v>
      </c>
      <c r="Z405" t="e">
        <v>#REF!</v>
      </c>
    </row>
    <row r="406">
      <c r="A406" t="s">
        <v>898</v>
      </c>
      <c r="B406" t="s">
        <v>898</v>
      </c>
      <c r="C406" t="s">
        <v>898</v>
      </c>
      <c r="D406" t="s">
        <v>898</v>
      </c>
      <c r="E406" t="s">
        <v>898</v>
      </c>
      <c r="F406" t="s">
        <v>898</v>
      </c>
      <c r="G406" t="s">
        <v>898</v>
      </c>
      <c r="H406" t="s">
        <v>898</v>
      </c>
      <c r="I406" t="s">
        <v>898</v>
      </c>
      <c r="J406" t="s">
        <v>898</v>
      </c>
      <c r="K406" t="s">
        <v>898</v>
      </c>
      <c r="L406" t="s">
        <v>898</v>
      </c>
      <c r="M406" t="s">
        <v>898</v>
      </c>
      <c r="N406" t="s">
        <v>898</v>
      </c>
      <c r="O406" t="s">
        <v>898</v>
      </c>
      <c r="P406" t="s">
        <v>898</v>
      </c>
      <c r="Q406" t="s">
        <v>898</v>
      </c>
      <c r="R406" t="s">
        <v>898</v>
      </c>
      <c r="S406" t="s">
        <v>898</v>
      </c>
      <c r="T406" t="s">
        <v>898</v>
      </c>
      <c r="U406" t="s">
        <v>898</v>
      </c>
      <c r="V406" t="s">
        <v>898</v>
      </c>
      <c r="W406" t="s">
        <v>898</v>
      </c>
      <c r="X406" t="s">
        <v>898</v>
      </c>
      <c r="Y406" t="e">
        <v>#REF!</v>
      </c>
      <c r="Z406" t="e">
        <v>#REF!</v>
      </c>
    </row>
    <row r="407">
      <c r="A407" t="s">
        <v>898</v>
      </c>
      <c r="B407" t="s">
        <v>898</v>
      </c>
      <c r="C407" t="s">
        <v>898</v>
      </c>
      <c r="D407" t="s">
        <v>898</v>
      </c>
      <c r="E407" t="s">
        <v>898</v>
      </c>
      <c r="F407" t="s">
        <v>898</v>
      </c>
      <c r="G407" t="s">
        <v>898</v>
      </c>
      <c r="H407" t="s">
        <v>898</v>
      </c>
      <c r="I407" t="s">
        <v>898</v>
      </c>
      <c r="J407" t="s">
        <v>898</v>
      </c>
      <c r="K407" t="s">
        <v>898</v>
      </c>
      <c r="L407" t="s">
        <v>898</v>
      </c>
      <c r="M407" t="s">
        <v>898</v>
      </c>
      <c r="N407" t="s">
        <v>898</v>
      </c>
      <c r="O407" t="s">
        <v>898</v>
      </c>
      <c r="P407" t="s">
        <v>898</v>
      </c>
      <c r="Q407" t="s">
        <v>898</v>
      </c>
      <c r="R407" t="s">
        <v>898</v>
      </c>
      <c r="S407" t="s">
        <v>898</v>
      </c>
      <c r="T407" t="s">
        <v>898</v>
      </c>
      <c r="U407" t="s">
        <v>898</v>
      </c>
      <c r="V407" t="s">
        <v>898</v>
      </c>
      <c r="W407" t="s">
        <v>898</v>
      </c>
      <c r="X407" t="s">
        <v>898</v>
      </c>
      <c r="Y407" t="e">
        <v>#REF!</v>
      </c>
      <c r="Z407" t="e">
        <v>#REF!</v>
      </c>
    </row>
    <row r="408">
      <c r="A408" t="s">
        <v>898</v>
      </c>
      <c r="B408" t="s">
        <v>898</v>
      </c>
      <c r="C408" t="s">
        <v>898</v>
      </c>
      <c r="D408" t="s">
        <v>898</v>
      </c>
      <c r="E408" t="s">
        <v>898</v>
      </c>
      <c r="F408" t="s">
        <v>898</v>
      </c>
      <c r="G408" t="s">
        <v>898</v>
      </c>
      <c r="H408" t="s">
        <v>898</v>
      </c>
      <c r="I408" t="s">
        <v>898</v>
      </c>
      <c r="J408" t="s">
        <v>898</v>
      </c>
      <c r="K408" t="s">
        <v>898</v>
      </c>
      <c r="L408" t="s">
        <v>898</v>
      </c>
      <c r="M408" t="s">
        <v>898</v>
      </c>
      <c r="N408" t="s">
        <v>898</v>
      </c>
      <c r="O408" t="s">
        <v>898</v>
      </c>
      <c r="P408" t="s">
        <v>898</v>
      </c>
      <c r="Q408" t="s">
        <v>898</v>
      </c>
      <c r="R408" t="s">
        <v>898</v>
      </c>
      <c r="S408" t="s">
        <v>898</v>
      </c>
      <c r="T408" t="s">
        <v>898</v>
      </c>
      <c r="U408" t="s">
        <v>898</v>
      </c>
      <c r="V408" t="s">
        <v>898</v>
      </c>
      <c r="W408" t="s">
        <v>898</v>
      </c>
      <c r="X408" t="s">
        <v>898</v>
      </c>
      <c r="Y408" t="e">
        <v>#REF!</v>
      </c>
      <c r="Z408" t="e">
        <v>#REF!</v>
      </c>
    </row>
    <row r="409">
      <c r="A409" t="s">
        <v>898</v>
      </c>
      <c r="B409" t="s">
        <v>898</v>
      </c>
      <c r="C409" t="s">
        <v>898</v>
      </c>
      <c r="D409" t="s">
        <v>898</v>
      </c>
      <c r="E409" t="s">
        <v>898</v>
      </c>
      <c r="F409" t="s">
        <v>898</v>
      </c>
      <c r="G409" t="s">
        <v>898</v>
      </c>
      <c r="H409" t="s">
        <v>898</v>
      </c>
      <c r="I409" t="s">
        <v>898</v>
      </c>
      <c r="J409" t="s">
        <v>898</v>
      </c>
      <c r="K409" t="s">
        <v>898</v>
      </c>
      <c r="L409" t="s">
        <v>898</v>
      </c>
      <c r="M409" t="s">
        <v>898</v>
      </c>
      <c r="N409" t="s">
        <v>898</v>
      </c>
      <c r="O409" t="s">
        <v>898</v>
      </c>
      <c r="P409" t="s">
        <v>898</v>
      </c>
      <c r="Q409" t="s">
        <v>898</v>
      </c>
      <c r="R409" t="s">
        <v>898</v>
      </c>
      <c r="S409" t="s">
        <v>898</v>
      </c>
      <c r="T409" t="s">
        <v>898</v>
      </c>
      <c r="U409" t="s">
        <v>898</v>
      </c>
      <c r="V409" t="s">
        <v>898</v>
      </c>
      <c r="W409" t="s">
        <v>898</v>
      </c>
      <c r="X409" t="s">
        <v>898</v>
      </c>
      <c r="Y409" t="e">
        <v>#REF!</v>
      </c>
      <c r="Z409" t="e">
        <v>#REF!</v>
      </c>
    </row>
    <row r="410">
      <c r="A410" t="s">
        <v>898</v>
      </c>
      <c r="B410" t="s">
        <v>898</v>
      </c>
      <c r="C410" t="s">
        <v>898</v>
      </c>
      <c r="D410" t="s">
        <v>898</v>
      </c>
      <c r="E410" t="s">
        <v>898</v>
      </c>
      <c r="F410" t="s">
        <v>898</v>
      </c>
      <c r="G410" t="s">
        <v>898</v>
      </c>
      <c r="H410" t="s">
        <v>898</v>
      </c>
      <c r="I410" t="s">
        <v>898</v>
      </c>
      <c r="J410" t="s">
        <v>898</v>
      </c>
      <c r="K410" t="s">
        <v>898</v>
      </c>
      <c r="L410" t="s">
        <v>898</v>
      </c>
      <c r="M410" t="s">
        <v>898</v>
      </c>
      <c r="N410" t="s">
        <v>898</v>
      </c>
      <c r="O410" t="s">
        <v>898</v>
      </c>
      <c r="P410" t="s">
        <v>898</v>
      </c>
      <c r="Q410" t="s">
        <v>898</v>
      </c>
      <c r="R410" t="s">
        <v>898</v>
      </c>
      <c r="S410" t="s">
        <v>898</v>
      </c>
      <c r="T410" t="s">
        <v>898</v>
      </c>
      <c r="U410" t="s">
        <v>898</v>
      </c>
      <c r="V410" t="s">
        <v>898</v>
      </c>
      <c r="W410" t="s">
        <v>898</v>
      </c>
      <c r="X410" t="s">
        <v>898</v>
      </c>
      <c r="Y410" t="e">
        <v>#REF!</v>
      </c>
      <c r="Z410" t="e">
        <v>#REF!</v>
      </c>
    </row>
    <row r="411">
      <c r="A411" t="s">
        <v>898</v>
      </c>
      <c r="B411" t="s">
        <v>898</v>
      </c>
      <c r="C411" t="s">
        <v>898</v>
      </c>
      <c r="D411" t="s">
        <v>898</v>
      </c>
      <c r="E411" t="s">
        <v>898</v>
      </c>
      <c r="F411" t="s">
        <v>898</v>
      </c>
      <c r="G411" t="s">
        <v>898</v>
      </c>
      <c r="H411" t="s">
        <v>898</v>
      </c>
      <c r="I411" t="s">
        <v>898</v>
      </c>
      <c r="J411" t="s">
        <v>898</v>
      </c>
      <c r="K411" t="s">
        <v>898</v>
      </c>
      <c r="L411" t="s">
        <v>898</v>
      </c>
      <c r="M411" t="s">
        <v>898</v>
      </c>
      <c r="N411" t="s">
        <v>898</v>
      </c>
      <c r="O411" t="s">
        <v>898</v>
      </c>
      <c r="P411" t="s">
        <v>898</v>
      </c>
      <c r="Q411" t="s">
        <v>898</v>
      </c>
      <c r="R411" t="s">
        <v>898</v>
      </c>
      <c r="S411" t="s">
        <v>898</v>
      </c>
      <c r="T411" t="s">
        <v>898</v>
      </c>
      <c r="U411" t="s">
        <v>898</v>
      </c>
      <c r="V411" t="s">
        <v>898</v>
      </c>
      <c r="W411" t="s">
        <v>898</v>
      </c>
      <c r="X411" t="s">
        <v>898</v>
      </c>
      <c r="Y411" t="e">
        <v>#REF!</v>
      </c>
      <c r="Z411" t="e">
        <v>#REF!</v>
      </c>
    </row>
    <row r="412">
      <c r="A412" t="s">
        <v>898</v>
      </c>
      <c r="B412" t="s">
        <v>898</v>
      </c>
      <c r="C412" t="s">
        <v>898</v>
      </c>
      <c r="D412" t="s">
        <v>898</v>
      </c>
      <c r="E412" t="s">
        <v>898</v>
      </c>
      <c r="F412" t="s">
        <v>898</v>
      </c>
      <c r="G412" t="s">
        <v>898</v>
      </c>
      <c r="H412" t="s">
        <v>898</v>
      </c>
      <c r="I412" t="s">
        <v>898</v>
      </c>
      <c r="J412" t="s">
        <v>898</v>
      </c>
      <c r="K412" t="s">
        <v>898</v>
      </c>
      <c r="L412" t="s">
        <v>898</v>
      </c>
      <c r="M412" t="s">
        <v>898</v>
      </c>
      <c r="N412" t="s">
        <v>898</v>
      </c>
      <c r="O412" t="s">
        <v>898</v>
      </c>
      <c r="P412" t="s">
        <v>898</v>
      </c>
      <c r="Q412" t="s">
        <v>898</v>
      </c>
      <c r="R412" t="s">
        <v>898</v>
      </c>
      <c r="S412" t="s">
        <v>898</v>
      </c>
      <c r="T412" t="s">
        <v>898</v>
      </c>
      <c r="U412" t="s">
        <v>898</v>
      </c>
      <c r="V412" t="s">
        <v>898</v>
      </c>
      <c r="W412" t="s">
        <v>898</v>
      </c>
      <c r="X412" t="s">
        <v>898</v>
      </c>
      <c r="Y412" t="e">
        <v>#REF!</v>
      </c>
      <c r="Z412" t="e">
        <v>#REF!</v>
      </c>
    </row>
    <row r="413">
      <c r="A413" t="s">
        <v>898</v>
      </c>
      <c r="B413" t="s">
        <v>898</v>
      </c>
      <c r="C413" t="s">
        <v>898</v>
      </c>
      <c r="D413" t="s">
        <v>898</v>
      </c>
      <c r="E413" t="s">
        <v>898</v>
      </c>
      <c r="F413" t="s">
        <v>898</v>
      </c>
      <c r="G413" t="s">
        <v>898</v>
      </c>
      <c r="H413" t="s">
        <v>898</v>
      </c>
      <c r="I413" t="s">
        <v>898</v>
      </c>
      <c r="J413" t="s">
        <v>898</v>
      </c>
      <c r="K413" t="s">
        <v>898</v>
      </c>
      <c r="L413" t="s">
        <v>898</v>
      </c>
      <c r="M413" t="s">
        <v>898</v>
      </c>
      <c r="N413" t="s">
        <v>898</v>
      </c>
      <c r="O413" t="s">
        <v>898</v>
      </c>
      <c r="P413" t="s">
        <v>898</v>
      </c>
      <c r="Q413" t="s">
        <v>898</v>
      </c>
      <c r="R413" t="s">
        <v>898</v>
      </c>
      <c r="S413" t="s">
        <v>898</v>
      </c>
      <c r="T413" t="s">
        <v>898</v>
      </c>
      <c r="U413" t="s">
        <v>898</v>
      </c>
      <c r="V413" t="s">
        <v>898</v>
      </c>
      <c r="W413" t="s">
        <v>898</v>
      </c>
      <c r="X413" t="s">
        <v>898</v>
      </c>
      <c r="Y413" t="e">
        <v>#REF!</v>
      </c>
      <c r="Z413" t="e">
        <v>#REF!</v>
      </c>
    </row>
    <row r="414">
      <c r="A414" t="s">
        <v>898</v>
      </c>
      <c r="B414" t="s">
        <v>898</v>
      </c>
      <c r="C414" t="s">
        <v>898</v>
      </c>
      <c r="D414" t="s">
        <v>898</v>
      </c>
      <c r="E414" t="s">
        <v>898</v>
      </c>
      <c r="F414" t="s">
        <v>898</v>
      </c>
      <c r="G414" t="s">
        <v>898</v>
      </c>
      <c r="H414" t="s">
        <v>898</v>
      </c>
      <c r="I414" t="s">
        <v>898</v>
      </c>
      <c r="J414" t="s">
        <v>898</v>
      </c>
      <c r="K414" t="s">
        <v>898</v>
      </c>
      <c r="L414" t="s">
        <v>898</v>
      </c>
      <c r="M414" t="s">
        <v>898</v>
      </c>
      <c r="N414" t="s">
        <v>898</v>
      </c>
      <c r="O414" t="s">
        <v>898</v>
      </c>
      <c r="P414" t="s">
        <v>898</v>
      </c>
      <c r="Q414" t="s">
        <v>898</v>
      </c>
      <c r="R414" t="s">
        <v>898</v>
      </c>
      <c r="S414" t="s">
        <v>898</v>
      </c>
      <c r="T414" t="s">
        <v>898</v>
      </c>
      <c r="U414" t="s">
        <v>898</v>
      </c>
      <c r="V414" t="s">
        <v>898</v>
      </c>
      <c r="W414" t="s">
        <v>898</v>
      </c>
      <c r="X414" t="s">
        <v>898</v>
      </c>
      <c r="Y414" t="e">
        <v>#REF!</v>
      </c>
      <c r="Z414" t="e">
        <v>#REF!</v>
      </c>
    </row>
    <row r="415">
      <c r="A415" t="s">
        <v>898</v>
      </c>
      <c r="B415" t="s">
        <v>898</v>
      </c>
      <c r="C415" t="s">
        <v>898</v>
      </c>
      <c r="D415" t="s">
        <v>898</v>
      </c>
      <c r="E415" t="s">
        <v>898</v>
      </c>
      <c r="F415" t="s">
        <v>898</v>
      </c>
      <c r="G415" t="s">
        <v>898</v>
      </c>
      <c r="H415" t="s">
        <v>898</v>
      </c>
      <c r="I415" t="s">
        <v>898</v>
      </c>
      <c r="J415" t="s">
        <v>898</v>
      </c>
      <c r="K415" t="s">
        <v>898</v>
      </c>
      <c r="L415" t="s">
        <v>898</v>
      </c>
      <c r="M415" t="s">
        <v>898</v>
      </c>
      <c r="N415" t="s">
        <v>898</v>
      </c>
      <c r="O415" t="s">
        <v>898</v>
      </c>
      <c r="P415" t="s">
        <v>898</v>
      </c>
      <c r="Q415" t="s">
        <v>898</v>
      </c>
      <c r="R415" t="s">
        <v>898</v>
      </c>
      <c r="S415" t="s">
        <v>898</v>
      </c>
      <c r="T415" t="s">
        <v>898</v>
      </c>
      <c r="U415" t="s">
        <v>898</v>
      </c>
      <c r="V415" t="s">
        <v>898</v>
      </c>
      <c r="W415" t="s">
        <v>898</v>
      </c>
      <c r="X415" t="s">
        <v>898</v>
      </c>
      <c r="Y415" t="e">
        <v>#REF!</v>
      </c>
      <c r="Z415" t="e">
        <v>#REF!</v>
      </c>
    </row>
    <row r="416">
      <c r="A416" t="s">
        <v>898</v>
      </c>
      <c r="B416" t="s">
        <v>898</v>
      </c>
      <c r="C416" t="s">
        <v>898</v>
      </c>
      <c r="D416" t="s">
        <v>898</v>
      </c>
      <c r="E416" t="s">
        <v>898</v>
      </c>
      <c r="F416" t="s">
        <v>898</v>
      </c>
      <c r="G416" t="s">
        <v>898</v>
      </c>
      <c r="H416" t="s">
        <v>898</v>
      </c>
      <c r="I416" t="s">
        <v>898</v>
      </c>
      <c r="J416" t="s">
        <v>898</v>
      </c>
      <c r="K416" t="s">
        <v>898</v>
      </c>
      <c r="L416" t="s">
        <v>898</v>
      </c>
      <c r="M416" t="s">
        <v>898</v>
      </c>
      <c r="N416" t="s">
        <v>898</v>
      </c>
      <c r="O416" t="s">
        <v>898</v>
      </c>
      <c r="P416" t="s">
        <v>898</v>
      </c>
      <c r="Q416" t="s">
        <v>898</v>
      </c>
      <c r="R416" t="s">
        <v>898</v>
      </c>
      <c r="S416" t="s">
        <v>898</v>
      </c>
      <c r="T416" t="s">
        <v>898</v>
      </c>
      <c r="U416" t="s">
        <v>898</v>
      </c>
      <c r="V416" t="s">
        <v>898</v>
      </c>
      <c r="W416" t="s">
        <v>898</v>
      </c>
      <c r="X416" t="s">
        <v>898</v>
      </c>
      <c r="Y416" t="e">
        <v>#REF!</v>
      </c>
      <c r="Z416" t="e">
        <v>#REF!</v>
      </c>
    </row>
    <row r="417">
      <c r="A417" t="s">
        <v>898</v>
      </c>
      <c r="B417" t="s">
        <v>898</v>
      </c>
      <c r="C417" t="s">
        <v>898</v>
      </c>
      <c r="D417" t="s">
        <v>898</v>
      </c>
      <c r="E417" t="s">
        <v>898</v>
      </c>
      <c r="F417" t="s">
        <v>898</v>
      </c>
      <c r="G417" t="s">
        <v>898</v>
      </c>
      <c r="H417" t="s">
        <v>898</v>
      </c>
      <c r="I417" t="s">
        <v>898</v>
      </c>
      <c r="J417" t="s">
        <v>898</v>
      </c>
      <c r="K417" t="s">
        <v>898</v>
      </c>
      <c r="L417" t="s">
        <v>898</v>
      </c>
      <c r="M417" t="s">
        <v>898</v>
      </c>
      <c r="N417" t="s">
        <v>898</v>
      </c>
      <c r="O417" t="s">
        <v>898</v>
      </c>
      <c r="P417" t="s">
        <v>898</v>
      </c>
      <c r="Q417" t="s">
        <v>898</v>
      </c>
      <c r="R417" t="s">
        <v>898</v>
      </c>
      <c r="S417" t="s">
        <v>898</v>
      </c>
      <c r="T417" t="s">
        <v>898</v>
      </c>
      <c r="U417" t="s">
        <v>898</v>
      </c>
      <c r="V417" t="s">
        <v>898</v>
      </c>
      <c r="W417" t="s">
        <v>898</v>
      </c>
      <c r="X417" t="s">
        <v>898</v>
      </c>
      <c r="Y417" t="e">
        <v>#REF!</v>
      </c>
      <c r="Z417" t="e">
        <v>#REF!</v>
      </c>
    </row>
    <row r="418">
      <c r="A418" t="s">
        <v>898</v>
      </c>
      <c r="B418" t="s">
        <v>898</v>
      </c>
      <c r="C418" t="s">
        <v>898</v>
      </c>
      <c r="D418" t="s">
        <v>898</v>
      </c>
      <c r="E418" t="s">
        <v>898</v>
      </c>
      <c r="F418" t="s">
        <v>898</v>
      </c>
      <c r="G418" t="s">
        <v>898</v>
      </c>
      <c r="H418" t="s">
        <v>898</v>
      </c>
      <c r="I418" t="s">
        <v>898</v>
      </c>
      <c r="J418" t="s">
        <v>898</v>
      </c>
      <c r="K418" t="s">
        <v>898</v>
      </c>
      <c r="L418" t="s">
        <v>898</v>
      </c>
      <c r="M418" t="s">
        <v>898</v>
      </c>
      <c r="N418" t="s">
        <v>898</v>
      </c>
      <c r="O418" t="s">
        <v>898</v>
      </c>
      <c r="P418" t="s">
        <v>898</v>
      </c>
      <c r="Q418" t="s">
        <v>898</v>
      </c>
      <c r="R418" t="s">
        <v>898</v>
      </c>
      <c r="S418" t="s">
        <v>898</v>
      </c>
      <c r="T418" t="s">
        <v>898</v>
      </c>
      <c r="U418" t="s">
        <v>898</v>
      </c>
      <c r="V418" t="s">
        <v>898</v>
      </c>
      <c r="W418" t="s">
        <v>898</v>
      </c>
      <c r="X418" t="s">
        <v>898</v>
      </c>
      <c r="Y418" t="e">
        <v>#REF!</v>
      </c>
      <c r="Z418" t="e">
        <v>#REF!</v>
      </c>
    </row>
    <row r="419">
      <c r="A419" t="s">
        <v>898</v>
      </c>
      <c r="B419" t="s">
        <v>898</v>
      </c>
      <c r="C419" t="s">
        <v>898</v>
      </c>
      <c r="D419" t="s">
        <v>898</v>
      </c>
      <c r="E419" t="s">
        <v>898</v>
      </c>
      <c r="F419" t="s">
        <v>898</v>
      </c>
      <c r="G419" t="s">
        <v>898</v>
      </c>
      <c r="H419" t="s">
        <v>898</v>
      </c>
      <c r="I419" t="s">
        <v>898</v>
      </c>
      <c r="J419" t="s">
        <v>898</v>
      </c>
      <c r="K419" t="s">
        <v>898</v>
      </c>
      <c r="L419" t="s">
        <v>898</v>
      </c>
      <c r="M419" t="s">
        <v>898</v>
      </c>
      <c r="N419" t="s">
        <v>898</v>
      </c>
      <c r="O419" t="s">
        <v>898</v>
      </c>
      <c r="P419" t="s">
        <v>898</v>
      </c>
      <c r="Q419" t="s">
        <v>898</v>
      </c>
      <c r="R419" t="s">
        <v>898</v>
      </c>
      <c r="S419" t="s">
        <v>898</v>
      </c>
      <c r="T419" t="s">
        <v>898</v>
      </c>
      <c r="U419" t="s">
        <v>898</v>
      </c>
      <c r="V419" t="s">
        <v>898</v>
      </c>
      <c r="W419" t="s">
        <v>898</v>
      </c>
      <c r="X419" t="s">
        <v>898</v>
      </c>
      <c r="Y419" t="e">
        <v>#REF!</v>
      </c>
      <c r="Z419" t="e">
        <v>#REF!</v>
      </c>
    </row>
    <row r="420">
      <c r="A420" t="s">
        <v>898</v>
      </c>
      <c r="B420" t="s">
        <v>898</v>
      </c>
      <c r="C420" t="s">
        <v>898</v>
      </c>
      <c r="D420" t="s">
        <v>898</v>
      </c>
      <c r="E420" t="s">
        <v>898</v>
      </c>
      <c r="F420" t="s">
        <v>898</v>
      </c>
      <c r="G420" t="s">
        <v>898</v>
      </c>
      <c r="H420" t="s">
        <v>898</v>
      </c>
      <c r="I420" t="s">
        <v>898</v>
      </c>
      <c r="J420" t="s">
        <v>898</v>
      </c>
      <c r="K420" t="s">
        <v>898</v>
      </c>
      <c r="L420" t="s">
        <v>898</v>
      </c>
      <c r="M420" t="s">
        <v>898</v>
      </c>
      <c r="N420" t="s">
        <v>898</v>
      </c>
      <c r="O420" t="s">
        <v>898</v>
      </c>
      <c r="P420" t="s">
        <v>898</v>
      </c>
      <c r="Q420" t="s">
        <v>898</v>
      </c>
      <c r="R420" t="s">
        <v>898</v>
      </c>
      <c r="S420" t="s">
        <v>898</v>
      </c>
      <c r="T420" t="s">
        <v>898</v>
      </c>
      <c r="U420" t="s">
        <v>898</v>
      </c>
      <c r="V420" t="s">
        <v>898</v>
      </c>
      <c r="W420" t="s">
        <v>898</v>
      </c>
      <c r="X420" t="s">
        <v>898</v>
      </c>
      <c r="Y420" t="e">
        <v>#REF!</v>
      </c>
      <c r="Z420" t="e">
        <v>#REF!</v>
      </c>
    </row>
    <row r="421">
      <c r="A421" t="s">
        <v>898</v>
      </c>
      <c r="B421" t="s">
        <v>898</v>
      </c>
      <c r="C421" t="s">
        <v>898</v>
      </c>
      <c r="D421" t="s">
        <v>898</v>
      </c>
      <c r="E421" t="s">
        <v>898</v>
      </c>
      <c r="F421" t="s">
        <v>898</v>
      </c>
      <c r="G421" t="s">
        <v>898</v>
      </c>
      <c r="H421" t="s">
        <v>898</v>
      </c>
      <c r="I421" t="s">
        <v>898</v>
      </c>
      <c r="J421" t="s">
        <v>898</v>
      </c>
      <c r="K421" t="s">
        <v>898</v>
      </c>
      <c r="L421" t="s">
        <v>898</v>
      </c>
      <c r="M421" t="s">
        <v>898</v>
      </c>
      <c r="N421" t="s">
        <v>898</v>
      </c>
      <c r="O421" t="s">
        <v>898</v>
      </c>
      <c r="P421" t="s">
        <v>898</v>
      </c>
      <c r="Q421" t="s">
        <v>898</v>
      </c>
      <c r="R421" t="s">
        <v>898</v>
      </c>
      <c r="S421" t="s">
        <v>898</v>
      </c>
      <c r="T421" t="s">
        <v>898</v>
      </c>
      <c r="U421" t="s">
        <v>898</v>
      </c>
      <c r="V421" t="s">
        <v>898</v>
      </c>
      <c r="W421" t="s">
        <v>898</v>
      </c>
      <c r="X421" t="s">
        <v>898</v>
      </c>
      <c r="Y421" t="e">
        <v>#REF!</v>
      </c>
      <c r="Z421" t="e">
        <v>#REF!</v>
      </c>
    </row>
    <row r="422">
      <c r="A422" t="s">
        <v>898</v>
      </c>
      <c r="B422" t="s">
        <v>898</v>
      </c>
      <c r="C422" t="s">
        <v>898</v>
      </c>
      <c r="D422" t="s">
        <v>898</v>
      </c>
      <c r="E422" t="s">
        <v>898</v>
      </c>
      <c r="F422" t="s">
        <v>898</v>
      </c>
      <c r="G422" t="s">
        <v>898</v>
      </c>
      <c r="H422" t="s">
        <v>898</v>
      </c>
      <c r="I422" t="s">
        <v>898</v>
      </c>
      <c r="J422" t="s">
        <v>898</v>
      </c>
      <c r="K422" t="s">
        <v>898</v>
      </c>
      <c r="L422" t="s">
        <v>898</v>
      </c>
      <c r="M422" t="s">
        <v>898</v>
      </c>
      <c r="N422" t="s">
        <v>898</v>
      </c>
      <c r="O422" t="s">
        <v>898</v>
      </c>
      <c r="P422" t="s">
        <v>898</v>
      </c>
      <c r="Q422" t="s">
        <v>898</v>
      </c>
      <c r="R422" t="s">
        <v>898</v>
      </c>
      <c r="S422" t="s">
        <v>898</v>
      </c>
      <c r="T422" t="s">
        <v>898</v>
      </c>
      <c r="U422" t="s">
        <v>898</v>
      </c>
      <c r="V422" t="s">
        <v>898</v>
      </c>
      <c r="W422" t="s">
        <v>898</v>
      </c>
      <c r="X422" t="s">
        <v>898</v>
      </c>
      <c r="Y422" t="e">
        <v>#REF!</v>
      </c>
      <c r="Z422" t="e">
        <v>#REF!</v>
      </c>
    </row>
    <row r="423">
      <c r="A423" t="s">
        <v>898</v>
      </c>
      <c r="B423" t="s">
        <v>898</v>
      </c>
      <c r="C423" t="s">
        <v>898</v>
      </c>
      <c r="D423" t="s">
        <v>898</v>
      </c>
      <c r="E423" t="s">
        <v>898</v>
      </c>
      <c r="F423" t="s">
        <v>898</v>
      </c>
      <c r="G423" t="s">
        <v>898</v>
      </c>
      <c r="H423" t="s">
        <v>898</v>
      </c>
      <c r="I423" t="s">
        <v>898</v>
      </c>
      <c r="J423" t="s">
        <v>898</v>
      </c>
      <c r="K423" t="s">
        <v>898</v>
      </c>
      <c r="L423" t="s">
        <v>898</v>
      </c>
      <c r="M423" t="s">
        <v>898</v>
      </c>
      <c r="N423" t="s">
        <v>898</v>
      </c>
      <c r="O423" t="s">
        <v>898</v>
      </c>
      <c r="P423" t="s">
        <v>898</v>
      </c>
      <c r="Q423" t="s">
        <v>898</v>
      </c>
      <c r="R423" t="s">
        <v>898</v>
      </c>
      <c r="S423" t="s">
        <v>898</v>
      </c>
      <c r="T423" t="s">
        <v>898</v>
      </c>
      <c r="U423" t="s">
        <v>898</v>
      </c>
      <c r="V423" t="s">
        <v>898</v>
      </c>
      <c r="W423" t="s">
        <v>898</v>
      </c>
      <c r="X423" t="s">
        <v>898</v>
      </c>
      <c r="Y423" t="e">
        <v>#REF!</v>
      </c>
      <c r="Z423" t="e">
        <v>#REF!</v>
      </c>
    </row>
    <row r="424">
      <c r="A424" t="s">
        <v>898</v>
      </c>
      <c r="B424" t="s">
        <v>898</v>
      </c>
      <c r="C424" t="s">
        <v>898</v>
      </c>
      <c r="D424" t="s">
        <v>898</v>
      </c>
      <c r="E424" t="s">
        <v>898</v>
      </c>
      <c r="F424" t="s">
        <v>898</v>
      </c>
      <c r="G424" t="s">
        <v>898</v>
      </c>
      <c r="H424" t="s">
        <v>898</v>
      </c>
      <c r="I424" t="s">
        <v>898</v>
      </c>
      <c r="J424" t="s">
        <v>898</v>
      </c>
      <c r="K424" t="s">
        <v>898</v>
      </c>
      <c r="L424" t="s">
        <v>898</v>
      </c>
      <c r="M424" t="s">
        <v>898</v>
      </c>
      <c r="N424" t="s">
        <v>898</v>
      </c>
      <c r="O424" t="s">
        <v>898</v>
      </c>
      <c r="P424" t="s">
        <v>898</v>
      </c>
      <c r="Q424" t="s">
        <v>898</v>
      </c>
      <c r="R424" t="s">
        <v>898</v>
      </c>
      <c r="S424" t="s">
        <v>898</v>
      </c>
      <c r="T424" t="s">
        <v>898</v>
      </c>
      <c r="U424" t="s">
        <v>898</v>
      </c>
      <c r="V424" t="s">
        <v>898</v>
      </c>
      <c r="W424" t="s">
        <v>898</v>
      </c>
      <c r="X424" t="s">
        <v>898</v>
      </c>
      <c r="Y424" t="e">
        <v>#REF!</v>
      </c>
      <c r="Z424" t="e">
        <v>#REF!</v>
      </c>
    </row>
    <row r="425">
      <c r="A425" t="s">
        <v>898</v>
      </c>
      <c r="B425" t="s">
        <v>898</v>
      </c>
      <c r="C425" t="s">
        <v>898</v>
      </c>
      <c r="D425" t="s">
        <v>898</v>
      </c>
      <c r="E425" t="s">
        <v>898</v>
      </c>
      <c r="F425" t="s">
        <v>898</v>
      </c>
      <c r="G425" t="s">
        <v>898</v>
      </c>
      <c r="H425" t="s">
        <v>898</v>
      </c>
      <c r="I425" t="s">
        <v>898</v>
      </c>
      <c r="J425" t="s">
        <v>898</v>
      </c>
      <c r="K425" t="s">
        <v>898</v>
      </c>
      <c r="L425" t="s">
        <v>898</v>
      </c>
      <c r="M425" t="s">
        <v>898</v>
      </c>
      <c r="N425" t="s">
        <v>898</v>
      </c>
      <c r="O425" t="s">
        <v>898</v>
      </c>
      <c r="P425" t="s">
        <v>898</v>
      </c>
      <c r="Q425" t="s">
        <v>898</v>
      </c>
      <c r="R425" t="s">
        <v>898</v>
      </c>
      <c r="S425" t="s">
        <v>898</v>
      </c>
      <c r="T425" t="s">
        <v>898</v>
      </c>
      <c r="U425" t="s">
        <v>898</v>
      </c>
      <c r="V425" t="s">
        <v>898</v>
      </c>
      <c r="W425" t="s">
        <v>898</v>
      </c>
      <c r="X425" t="s">
        <v>898</v>
      </c>
      <c r="Y425" t="e">
        <v>#REF!</v>
      </c>
      <c r="Z425" t="e">
        <v>#REF!</v>
      </c>
    </row>
    <row r="426">
      <c r="A426" t="s">
        <v>898</v>
      </c>
      <c r="B426" t="s">
        <v>898</v>
      </c>
      <c r="C426" t="s">
        <v>898</v>
      </c>
      <c r="D426" t="s">
        <v>898</v>
      </c>
      <c r="E426" t="s">
        <v>898</v>
      </c>
      <c r="F426" t="s">
        <v>898</v>
      </c>
      <c r="G426" t="s">
        <v>898</v>
      </c>
      <c r="H426" t="s">
        <v>898</v>
      </c>
      <c r="I426" t="s">
        <v>898</v>
      </c>
      <c r="J426" t="s">
        <v>898</v>
      </c>
      <c r="K426" t="s">
        <v>898</v>
      </c>
      <c r="L426" t="s">
        <v>898</v>
      </c>
      <c r="M426" t="s">
        <v>898</v>
      </c>
      <c r="N426" t="s">
        <v>898</v>
      </c>
      <c r="O426" t="s">
        <v>898</v>
      </c>
      <c r="P426" t="s">
        <v>898</v>
      </c>
      <c r="Q426" t="s">
        <v>898</v>
      </c>
      <c r="R426" t="s">
        <v>898</v>
      </c>
      <c r="S426" t="s">
        <v>898</v>
      </c>
      <c r="T426" t="s">
        <v>898</v>
      </c>
      <c r="U426" t="s">
        <v>898</v>
      </c>
      <c r="V426" t="s">
        <v>898</v>
      </c>
      <c r="W426" t="s">
        <v>898</v>
      </c>
      <c r="X426" t="s">
        <v>898</v>
      </c>
      <c r="Y426" t="e">
        <v>#REF!</v>
      </c>
      <c r="Z426" t="e">
        <v>#REF!</v>
      </c>
    </row>
    <row r="427">
      <c r="A427" t="s">
        <v>898</v>
      </c>
      <c r="B427" t="s">
        <v>898</v>
      </c>
      <c r="C427" t="s">
        <v>898</v>
      </c>
      <c r="D427" t="s">
        <v>898</v>
      </c>
      <c r="E427" t="s">
        <v>898</v>
      </c>
      <c r="F427" t="s">
        <v>898</v>
      </c>
      <c r="G427" t="s">
        <v>898</v>
      </c>
      <c r="H427" t="s">
        <v>898</v>
      </c>
      <c r="I427" t="s">
        <v>898</v>
      </c>
      <c r="J427" t="s">
        <v>898</v>
      </c>
      <c r="K427" t="s">
        <v>898</v>
      </c>
      <c r="L427" t="s">
        <v>898</v>
      </c>
      <c r="M427" t="s">
        <v>898</v>
      </c>
      <c r="N427" t="s">
        <v>898</v>
      </c>
      <c r="O427" t="s">
        <v>898</v>
      </c>
      <c r="P427" t="s">
        <v>898</v>
      </c>
      <c r="Q427" t="s">
        <v>898</v>
      </c>
      <c r="R427" t="s">
        <v>898</v>
      </c>
      <c r="S427" t="s">
        <v>898</v>
      </c>
      <c r="T427" t="s">
        <v>898</v>
      </c>
      <c r="U427" t="s">
        <v>898</v>
      </c>
      <c r="V427" t="s">
        <v>898</v>
      </c>
      <c r="W427" t="s">
        <v>898</v>
      </c>
      <c r="X427" t="s">
        <v>898</v>
      </c>
      <c r="Y427" t="e">
        <v>#REF!</v>
      </c>
      <c r="Z427" t="e">
        <v>#REF!</v>
      </c>
    </row>
    <row r="428">
      <c r="A428" t="s">
        <v>898</v>
      </c>
      <c r="B428" t="s">
        <v>898</v>
      </c>
      <c r="C428" t="s">
        <v>898</v>
      </c>
      <c r="D428" t="s">
        <v>898</v>
      </c>
      <c r="E428" t="s">
        <v>898</v>
      </c>
      <c r="F428" t="s">
        <v>898</v>
      </c>
      <c r="G428" t="s">
        <v>898</v>
      </c>
      <c r="H428" t="s">
        <v>898</v>
      </c>
      <c r="I428" t="s">
        <v>898</v>
      </c>
      <c r="J428" t="s">
        <v>898</v>
      </c>
      <c r="K428" t="s">
        <v>898</v>
      </c>
      <c r="L428" t="s">
        <v>898</v>
      </c>
      <c r="M428" t="s">
        <v>898</v>
      </c>
      <c r="N428" t="s">
        <v>898</v>
      </c>
      <c r="O428" t="s">
        <v>898</v>
      </c>
      <c r="P428" t="s">
        <v>898</v>
      </c>
      <c r="Q428" t="s">
        <v>898</v>
      </c>
      <c r="R428" t="s">
        <v>898</v>
      </c>
      <c r="S428" t="s">
        <v>898</v>
      </c>
      <c r="T428" t="s">
        <v>898</v>
      </c>
      <c r="U428" t="s">
        <v>898</v>
      </c>
      <c r="V428" t="s">
        <v>898</v>
      </c>
      <c r="W428" t="s">
        <v>898</v>
      </c>
      <c r="X428" t="s">
        <v>898</v>
      </c>
      <c r="Y428" t="e">
        <v>#REF!</v>
      </c>
      <c r="Z428" t="e">
        <v>#REF!</v>
      </c>
    </row>
    <row r="429">
      <c r="A429" t="s">
        <v>898</v>
      </c>
      <c r="B429" t="s">
        <v>898</v>
      </c>
      <c r="C429" t="s">
        <v>898</v>
      </c>
      <c r="D429" t="s">
        <v>898</v>
      </c>
      <c r="E429" t="s">
        <v>898</v>
      </c>
      <c r="F429" t="s">
        <v>898</v>
      </c>
      <c r="G429" t="s">
        <v>898</v>
      </c>
      <c r="H429" t="s">
        <v>898</v>
      </c>
      <c r="I429" t="s">
        <v>898</v>
      </c>
      <c r="J429" t="s">
        <v>898</v>
      </c>
      <c r="K429" t="s">
        <v>898</v>
      </c>
      <c r="L429" t="s">
        <v>898</v>
      </c>
      <c r="M429" t="s">
        <v>898</v>
      </c>
      <c r="N429" t="s">
        <v>898</v>
      </c>
      <c r="O429" t="s">
        <v>898</v>
      </c>
      <c r="P429" t="s">
        <v>898</v>
      </c>
      <c r="Q429" t="s">
        <v>898</v>
      </c>
      <c r="R429" t="s">
        <v>898</v>
      </c>
      <c r="S429" t="s">
        <v>898</v>
      </c>
      <c r="T429" t="s">
        <v>898</v>
      </c>
      <c r="U429" t="s">
        <v>898</v>
      </c>
      <c r="V429" t="s">
        <v>898</v>
      </c>
      <c r="W429" t="s">
        <v>898</v>
      </c>
      <c r="X429" t="s">
        <v>898</v>
      </c>
      <c r="Y429" t="e">
        <v>#REF!</v>
      </c>
      <c r="Z429" t="e">
        <v>#REF!</v>
      </c>
    </row>
    <row r="430">
      <c r="A430" t="s">
        <v>898</v>
      </c>
      <c r="B430" t="s">
        <v>898</v>
      </c>
      <c r="C430" t="s">
        <v>898</v>
      </c>
      <c r="D430" t="s">
        <v>898</v>
      </c>
      <c r="E430" t="s">
        <v>898</v>
      </c>
      <c r="F430" t="s">
        <v>898</v>
      </c>
      <c r="G430" t="s">
        <v>898</v>
      </c>
      <c r="H430" t="s">
        <v>898</v>
      </c>
      <c r="I430" t="s">
        <v>898</v>
      </c>
      <c r="J430" t="s">
        <v>898</v>
      </c>
      <c r="K430" t="s">
        <v>898</v>
      </c>
      <c r="L430" t="s">
        <v>898</v>
      </c>
      <c r="M430" t="s">
        <v>898</v>
      </c>
      <c r="N430" t="s">
        <v>898</v>
      </c>
      <c r="O430" t="s">
        <v>898</v>
      </c>
      <c r="P430" t="s">
        <v>898</v>
      </c>
      <c r="Q430" t="s">
        <v>898</v>
      </c>
      <c r="R430" t="s">
        <v>898</v>
      </c>
      <c r="S430" t="s">
        <v>898</v>
      </c>
      <c r="T430" t="s">
        <v>898</v>
      </c>
      <c r="U430" t="s">
        <v>898</v>
      </c>
      <c r="V430" t="s">
        <v>898</v>
      </c>
      <c r="W430" t="s">
        <v>898</v>
      </c>
      <c r="X430" t="s">
        <v>898</v>
      </c>
      <c r="Y430" t="e">
        <v>#REF!</v>
      </c>
      <c r="Z430" t="e">
        <v>#REF!</v>
      </c>
    </row>
    <row r="431">
      <c r="A431" t="s">
        <v>898</v>
      </c>
      <c r="B431" t="s">
        <v>898</v>
      </c>
      <c r="C431" t="s">
        <v>898</v>
      </c>
      <c r="D431" t="s">
        <v>898</v>
      </c>
      <c r="E431" t="s">
        <v>898</v>
      </c>
      <c r="F431" t="s">
        <v>898</v>
      </c>
      <c r="G431" t="s">
        <v>898</v>
      </c>
      <c r="H431" t="s">
        <v>898</v>
      </c>
      <c r="I431" t="s">
        <v>898</v>
      </c>
      <c r="J431" t="s">
        <v>898</v>
      </c>
      <c r="K431" t="s">
        <v>898</v>
      </c>
      <c r="L431" t="s">
        <v>898</v>
      </c>
      <c r="M431" t="s">
        <v>898</v>
      </c>
      <c r="N431" t="s">
        <v>898</v>
      </c>
      <c r="O431" t="s">
        <v>898</v>
      </c>
      <c r="P431" t="s">
        <v>898</v>
      </c>
      <c r="Q431" t="s">
        <v>898</v>
      </c>
      <c r="R431" t="s">
        <v>898</v>
      </c>
      <c r="S431" t="s">
        <v>898</v>
      </c>
      <c r="T431" t="s">
        <v>898</v>
      </c>
      <c r="U431" t="s">
        <v>898</v>
      </c>
      <c r="V431" t="s">
        <v>898</v>
      </c>
      <c r="W431" t="s">
        <v>898</v>
      </c>
      <c r="X431" t="s">
        <v>898</v>
      </c>
      <c r="Y431" t="e">
        <v>#REF!</v>
      </c>
      <c r="Z431" t="e">
        <v>#REF!</v>
      </c>
    </row>
    <row r="432">
      <c r="A432" t="s">
        <v>898</v>
      </c>
      <c r="B432" t="s">
        <v>898</v>
      </c>
      <c r="C432" t="s">
        <v>898</v>
      </c>
      <c r="D432" t="s">
        <v>898</v>
      </c>
      <c r="E432" t="s">
        <v>898</v>
      </c>
      <c r="F432" t="s">
        <v>898</v>
      </c>
      <c r="G432" t="s">
        <v>898</v>
      </c>
      <c r="H432" t="s">
        <v>898</v>
      </c>
      <c r="I432" t="s">
        <v>898</v>
      </c>
      <c r="J432" t="s">
        <v>898</v>
      </c>
      <c r="K432" t="s">
        <v>898</v>
      </c>
      <c r="L432" t="s">
        <v>898</v>
      </c>
      <c r="M432" t="s">
        <v>898</v>
      </c>
      <c r="N432" t="s">
        <v>898</v>
      </c>
      <c r="O432" t="s">
        <v>898</v>
      </c>
      <c r="P432" t="s">
        <v>898</v>
      </c>
      <c r="Q432" t="s">
        <v>898</v>
      </c>
      <c r="R432" t="s">
        <v>898</v>
      </c>
      <c r="S432" t="s">
        <v>898</v>
      </c>
      <c r="T432" t="s">
        <v>898</v>
      </c>
      <c r="U432" t="s">
        <v>898</v>
      </c>
      <c r="V432" t="s">
        <v>898</v>
      </c>
      <c r="W432" t="s">
        <v>898</v>
      </c>
      <c r="X432" t="s">
        <v>898</v>
      </c>
      <c r="Y432" t="e">
        <v>#REF!</v>
      </c>
      <c r="Z432" t="e">
        <v>#REF!</v>
      </c>
    </row>
    <row r="433">
      <c r="A433" t="s">
        <v>898</v>
      </c>
      <c r="B433" t="s">
        <v>898</v>
      </c>
      <c r="C433" t="s">
        <v>898</v>
      </c>
      <c r="D433" t="s">
        <v>898</v>
      </c>
      <c r="E433" t="s">
        <v>898</v>
      </c>
      <c r="F433" t="s">
        <v>898</v>
      </c>
      <c r="G433" t="s">
        <v>898</v>
      </c>
      <c r="H433" t="s">
        <v>898</v>
      </c>
      <c r="I433" t="s">
        <v>898</v>
      </c>
      <c r="J433" t="s">
        <v>898</v>
      </c>
      <c r="K433" t="s">
        <v>898</v>
      </c>
      <c r="L433" t="s">
        <v>898</v>
      </c>
      <c r="M433" t="s">
        <v>898</v>
      </c>
      <c r="N433" t="s">
        <v>898</v>
      </c>
      <c r="O433" t="s">
        <v>898</v>
      </c>
      <c r="P433" t="s">
        <v>898</v>
      </c>
      <c r="Q433" t="s">
        <v>898</v>
      </c>
      <c r="R433" t="s">
        <v>898</v>
      </c>
      <c r="S433" t="s">
        <v>898</v>
      </c>
      <c r="T433" t="s">
        <v>898</v>
      </c>
      <c r="U433" t="s">
        <v>898</v>
      </c>
      <c r="V433" t="s">
        <v>898</v>
      </c>
      <c r="W433" t="s">
        <v>898</v>
      </c>
      <c r="X433" t="s">
        <v>898</v>
      </c>
      <c r="Y433" t="e">
        <v>#REF!</v>
      </c>
      <c r="Z433" t="e">
        <v>#REF!</v>
      </c>
    </row>
    <row r="434">
      <c r="A434" t="s">
        <v>898</v>
      </c>
      <c r="B434" t="s">
        <v>898</v>
      </c>
      <c r="C434" t="s">
        <v>898</v>
      </c>
      <c r="D434" t="s">
        <v>898</v>
      </c>
      <c r="E434" t="s">
        <v>898</v>
      </c>
      <c r="F434" t="s">
        <v>898</v>
      </c>
      <c r="G434" t="s">
        <v>898</v>
      </c>
      <c r="H434" t="s">
        <v>898</v>
      </c>
      <c r="I434" t="s">
        <v>898</v>
      </c>
      <c r="J434" t="s">
        <v>898</v>
      </c>
      <c r="K434" t="s">
        <v>898</v>
      </c>
      <c r="L434" t="s">
        <v>898</v>
      </c>
      <c r="M434" t="s">
        <v>898</v>
      </c>
      <c r="N434" t="s">
        <v>898</v>
      </c>
      <c r="O434" t="s">
        <v>898</v>
      </c>
      <c r="P434" t="s">
        <v>898</v>
      </c>
      <c r="Q434" t="s">
        <v>898</v>
      </c>
      <c r="R434" t="s">
        <v>898</v>
      </c>
      <c r="S434" t="s">
        <v>898</v>
      </c>
      <c r="T434" t="s">
        <v>898</v>
      </c>
      <c r="U434" t="s">
        <v>898</v>
      </c>
      <c r="V434" t="s">
        <v>898</v>
      </c>
      <c r="W434" t="s">
        <v>898</v>
      </c>
      <c r="X434" t="s">
        <v>898</v>
      </c>
      <c r="Y434" t="e">
        <v>#REF!</v>
      </c>
      <c r="Z434" t="e">
        <v>#REF!</v>
      </c>
    </row>
    <row r="435">
      <c r="A435" t="s">
        <v>898</v>
      </c>
      <c r="B435" t="s">
        <v>898</v>
      </c>
      <c r="C435" t="s">
        <v>898</v>
      </c>
      <c r="D435" t="s">
        <v>898</v>
      </c>
      <c r="E435" t="s">
        <v>898</v>
      </c>
      <c r="F435" t="s">
        <v>898</v>
      </c>
      <c r="G435" t="s">
        <v>898</v>
      </c>
      <c r="H435" t="s">
        <v>898</v>
      </c>
      <c r="I435" t="s">
        <v>898</v>
      </c>
      <c r="J435" t="s">
        <v>898</v>
      </c>
      <c r="K435" t="s">
        <v>898</v>
      </c>
      <c r="L435" t="s">
        <v>898</v>
      </c>
      <c r="M435" t="s">
        <v>898</v>
      </c>
      <c r="N435" t="s">
        <v>898</v>
      </c>
      <c r="O435" t="s">
        <v>898</v>
      </c>
      <c r="P435" t="s">
        <v>898</v>
      </c>
      <c r="Q435" t="s">
        <v>898</v>
      </c>
      <c r="R435" t="s">
        <v>898</v>
      </c>
      <c r="S435" t="s">
        <v>898</v>
      </c>
      <c r="T435" t="s">
        <v>898</v>
      </c>
      <c r="U435" t="s">
        <v>898</v>
      </c>
      <c r="V435" t="s">
        <v>898</v>
      </c>
      <c r="W435" t="s">
        <v>898</v>
      </c>
      <c r="X435" t="s">
        <v>898</v>
      </c>
      <c r="Y435" t="e">
        <v>#REF!</v>
      </c>
      <c r="Z435" t="e">
        <v>#REF!</v>
      </c>
    </row>
    <row r="436">
      <c r="A436" t="s">
        <v>898</v>
      </c>
      <c r="B436" t="s">
        <v>898</v>
      </c>
      <c r="C436" t="s">
        <v>898</v>
      </c>
      <c r="D436" t="s">
        <v>898</v>
      </c>
      <c r="E436" t="s">
        <v>898</v>
      </c>
      <c r="F436" t="s">
        <v>898</v>
      </c>
      <c r="G436" t="s">
        <v>898</v>
      </c>
      <c r="H436" t="s">
        <v>898</v>
      </c>
      <c r="I436" t="s">
        <v>898</v>
      </c>
      <c r="J436" t="s">
        <v>898</v>
      </c>
      <c r="K436" t="s">
        <v>898</v>
      </c>
      <c r="L436" t="s">
        <v>898</v>
      </c>
      <c r="M436" t="s">
        <v>898</v>
      </c>
      <c r="N436" t="s">
        <v>898</v>
      </c>
      <c r="O436" t="s">
        <v>898</v>
      </c>
      <c r="P436" t="s">
        <v>898</v>
      </c>
      <c r="Q436" t="s">
        <v>898</v>
      </c>
      <c r="R436" t="s">
        <v>898</v>
      </c>
      <c r="S436" t="s">
        <v>898</v>
      </c>
      <c r="T436" t="s">
        <v>898</v>
      </c>
      <c r="U436" t="s">
        <v>898</v>
      </c>
      <c r="V436" t="s">
        <v>898</v>
      </c>
      <c r="W436" t="s">
        <v>898</v>
      </c>
      <c r="X436" t="s">
        <v>898</v>
      </c>
      <c r="Y436" t="e">
        <v>#REF!</v>
      </c>
      <c r="Z436" t="e">
        <v>#REF!</v>
      </c>
    </row>
    <row r="437">
      <c r="A437" t="s">
        <v>898</v>
      </c>
      <c r="B437" t="s">
        <v>898</v>
      </c>
      <c r="C437" t="s">
        <v>898</v>
      </c>
      <c r="D437" t="s">
        <v>898</v>
      </c>
      <c r="E437" t="s">
        <v>898</v>
      </c>
      <c r="F437" t="s">
        <v>898</v>
      </c>
      <c r="G437" t="s">
        <v>898</v>
      </c>
      <c r="H437" t="s">
        <v>898</v>
      </c>
      <c r="I437" t="s">
        <v>898</v>
      </c>
      <c r="J437" t="s">
        <v>898</v>
      </c>
      <c r="K437" t="s">
        <v>898</v>
      </c>
      <c r="L437" t="s">
        <v>898</v>
      </c>
      <c r="M437" t="s">
        <v>898</v>
      </c>
      <c r="N437" t="s">
        <v>898</v>
      </c>
      <c r="O437" t="s">
        <v>898</v>
      </c>
      <c r="P437" t="s">
        <v>898</v>
      </c>
      <c r="Q437" t="s">
        <v>898</v>
      </c>
      <c r="R437" t="s">
        <v>898</v>
      </c>
      <c r="S437" t="s">
        <v>898</v>
      </c>
      <c r="T437" t="s">
        <v>898</v>
      </c>
      <c r="U437" t="s">
        <v>898</v>
      </c>
      <c r="V437" t="s">
        <v>898</v>
      </c>
      <c r="W437" t="s">
        <v>898</v>
      </c>
      <c r="X437" t="s">
        <v>898</v>
      </c>
      <c r="Y437" t="e">
        <v>#REF!</v>
      </c>
      <c r="Z437" t="e">
        <v>#REF!</v>
      </c>
    </row>
    <row r="438">
      <c r="A438" t="s">
        <v>898</v>
      </c>
      <c r="B438" t="s">
        <v>898</v>
      </c>
      <c r="C438" t="s">
        <v>898</v>
      </c>
      <c r="D438" t="s">
        <v>898</v>
      </c>
      <c r="E438" t="s">
        <v>898</v>
      </c>
      <c r="F438" t="s">
        <v>898</v>
      </c>
      <c r="G438" t="s">
        <v>898</v>
      </c>
      <c r="H438" t="s">
        <v>898</v>
      </c>
      <c r="I438" t="s">
        <v>898</v>
      </c>
      <c r="J438" t="s">
        <v>898</v>
      </c>
      <c r="K438" t="s">
        <v>898</v>
      </c>
      <c r="L438" t="s">
        <v>898</v>
      </c>
      <c r="M438" t="s">
        <v>898</v>
      </c>
      <c r="N438" t="s">
        <v>898</v>
      </c>
      <c r="O438" t="s">
        <v>898</v>
      </c>
      <c r="P438" t="s">
        <v>898</v>
      </c>
      <c r="Q438" t="s">
        <v>898</v>
      </c>
      <c r="R438" t="s">
        <v>898</v>
      </c>
      <c r="S438" t="s">
        <v>898</v>
      </c>
      <c r="T438" t="s">
        <v>898</v>
      </c>
      <c r="U438" t="s">
        <v>898</v>
      </c>
      <c r="V438" t="s">
        <v>898</v>
      </c>
      <c r="W438" t="s">
        <v>898</v>
      </c>
      <c r="X438" t="s">
        <v>898</v>
      </c>
      <c r="Y438" t="e">
        <v>#REF!</v>
      </c>
      <c r="Z438" t="e">
        <v>#REF!</v>
      </c>
    </row>
    <row r="439">
      <c r="A439" t="s">
        <v>898</v>
      </c>
      <c r="B439" t="s">
        <v>898</v>
      </c>
      <c r="C439" t="s">
        <v>898</v>
      </c>
      <c r="D439" t="s">
        <v>898</v>
      </c>
      <c r="E439" t="s">
        <v>898</v>
      </c>
      <c r="F439" t="s">
        <v>898</v>
      </c>
      <c r="G439" t="s">
        <v>898</v>
      </c>
      <c r="H439" t="s">
        <v>898</v>
      </c>
      <c r="I439" t="s">
        <v>898</v>
      </c>
      <c r="J439" t="s">
        <v>898</v>
      </c>
      <c r="K439" t="s">
        <v>898</v>
      </c>
      <c r="L439" t="s">
        <v>898</v>
      </c>
      <c r="M439" t="s">
        <v>898</v>
      </c>
      <c r="N439" t="s">
        <v>898</v>
      </c>
      <c r="O439" t="s">
        <v>898</v>
      </c>
      <c r="P439" t="s">
        <v>898</v>
      </c>
      <c r="Q439" t="s">
        <v>898</v>
      </c>
      <c r="R439" t="s">
        <v>898</v>
      </c>
      <c r="S439" t="s">
        <v>898</v>
      </c>
      <c r="T439" t="s">
        <v>898</v>
      </c>
      <c r="U439" t="s">
        <v>898</v>
      </c>
      <c r="V439" t="s">
        <v>898</v>
      </c>
      <c r="W439" t="s">
        <v>898</v>
      </c>
      <c r="X439" t="s">
        <v>898</v>
      </c>
      <c r="Y439" t="e">
        <v>#REF!</v>
      </c>
      <c r="Z439" t="e">
        <v>#REF!</v>
      </c>
    </row>
    <row r="440">
      <c r="A440" t="s">
        <v>898</v>
      </c>
      <c r="B440" t="s">
        <v>898</v>
      </c>
      <c r="C440" t="s">
        <v>898</v>
      </c>
      <c r="D440" t="s">
        <v>898</v>
      </c>
      <c r="E440" t="s">
        <v>898</v>
      </c>
      <c r="F440" t="s">
        <v>898</v>
      </c>
      <c r="G440" t="s">
        <v>898</v>
      </c>
      <c r="H440" t="s">
        <v>898</v>
      </c>
      <c r="I440" t="s">
        <v>898</v>
      </c>
      <c r="J440" t="s">
        <v>898</v>
      </c>
      <c r="K440" t="s">
        <v>898</v>
      </c>
      <c r="L440" t="s">
        <v>898</v>
      </c>
      <c r="M440" t="s">
        <v>898</v>
      </c>
      <c r="N440" t="s">
        <v>898</v>
      </c>
      <c r="O440" t="s">
        <v>898</v>
      </c>
      <c r="P440" t="s">
        <v>898</v>
      </c>
      <c r="Q440" t="s">
        <v>898</v>
      </c>
      <c r="R440" t="s">
        <v>898</v>
      </c>
      <c r="S440" t="s">
        <v>898</v>
      </c>
      <c r="T440" t="s">
        <v>898</v>
      </c>
      <c r="U440" t="s">
        <v>898</v>
      </c>
      <c r="V440" t="s">
        <v>898</v>
      </c>
      <c r="W440" t="s">
        <v>898</v>
      </c>
      <c r="X440" t="s">
        <v>898</v>
      </c>
      <c r="Y440" t="e">
        <v>#REF!</v>
      </c>
      <c r="Z440" t="e">
        <v>#REF!</v>
      </c>
    </row>
    <row r="441">
      <c r="A441" t="s">
        <v>898</v>
      </c>
      <c r="B441" t="s">
        <v>898</v>
      </c>
      <c r="C441" t="s">
        <v>898</v>
      </c>
      <c r="D441" t="s">
        <v>898</v>
      </c>
      <c r="E441" t="s">
        <v>898</v>
      </c>
      <c r="F441" t="s">
        <v>898</v>
      </c>
      <c r="G441" t="s">
        <v>898</v>
      </c>
      <c r="H441" t="s">
        <v>898</v>
      </c>
      <c r="I441" t="s">
        <v>898</v>
      </c>
      <c r="J441" t="s">
        <v>898</v>
      </c>
      <c r="K441" t="s">
        <v>898</v>
      </c>
      <c r="L441" t="s">
        <v>898</v>
      </c>
      <c r="M441" t="s">
        <v>898</v>
      </c>
      <c r="N441" t="s">
        <v>898</v>
      </c>
      <c r="O441" t="s">
        <v>898</v>
      </c>
      <c r="P441" t="s">
        <v>898</v>
      </c>
      <c r="Q441" t="s">
        <v>898</v>
      </c>
      <c r="R441" t="s">
        <v>898</v>
      </c>
      <c r="S441" t="s">
        <v>898</v>
      </c>
      <c r="T441" t="s">
        <v>898</v>
      </c>
      <c r="U441" t="s">
        <v>898</v>
      </c>
      <c r="V441" t="s">
        <v>898</v>
      </c>
      <c r="W441" t="s">
        <v>898</v>
      </c>
      <c r="X441" t="s">
        <v>898</v>
      </c>
      <c r="Y441" t="e">
        <v>#REF!</v>
      </c>
      <c r="Z441" t="e">
        <v>#REF!</v>
      </c>
    </row>
    <row r="442">
      <c r="A442" t="s">
        <v>898</v>
      </c>
      <c r="B442" t="s">
        <v>898</v>
      </c>
      <c r="C442" t="s">
        <v>898</v>
      </c>
      <c r="D442" t="s">
        <v>898</v>
      </c>
      <c r="E442" t="s">
        <v>898</v>
      </c>
      <c r="F442" t="s">
        <v>898</v>
      </c>
      <c r="G442" t="s">
        <v>898</v>
      </c>
      <c r="H442" t="s">
        <v>898</v>
      </c>
      <c r="I442" t="s">
        <v>898</v>
      </c>
      <c r="J442" t="s">
        <v>898</v>
      </c>
      <c r="K442" t="s">
        <v>898</v>
      </c>
      <c r="L442" t="s">
        <v>898</v>
      </c>
      <c r="M442" t="s">
        <v>898</v>
      </c>
      <c r="N442" t="s">
        <v>898</v>
      </c>
      <c r="O442" t="s">
        <v>898</v>
      </c>
      <c r="P442" t="s">
        <v>898</v>
      </c>
      <c r="Q442" t="s">
        <v>898</v>
      </c>
      <c r="R442" t="s">
        <v>898</v>
      </c>
      <c r="S442" t="s">
        <v>898</v>
      </c>
      <c r="T442" t="s">
        <v>898</v>
      </c>
      <c r="U442" t="s">
        <v>898</v>
      </c>
      <c r="V442" t="s">
        <v>898</v>
      </c>
      <c r="W442" t="s">
        <v>898</v>
      </c>
      <c r="X442" t="s">
        <v>898</v>
      </c>
      <c r="Y442" t="e">
        <v>#REF!</v>
      </c>
      <c r="Z442" t="e">
        <v>#REF!</v>
      </c>
    </row>
    <row r="443">
      <c r="A443" t="s">
        <v>898</v>
      </c>
      <c r="B443" t="s">
        <v>898</v>
      </c>
      <c r="C443" t="s">
        <v>898</v>
      </c>
      <c r="D443" t="s">
        <v>898</v>
      </c>
      <c r="E443" t="s">
        <v>898</v>
      </c>
      <c r="F443" t="s">
        <v>898</v>
      </c>
      <c r="G443" t="s">
        <v>898</v>
      </c>
      <c r="H443" t="s">
        <v>898</v>
      </c>
      <c r="I443" t="s">
        <v>898</v>
      </c>
      <c r="J443" t="s">
        <v>898</v>
      </c>
      <c r="K443" t="s">
        <v>898</v>
      </c>
      <c r="L443" t="s">
        <v>898</v>
      </c>
      <c r="M443" t="s">
        <v>898</v>
      </c>
      <c r="N443" t="s">
        <v>898</v>
      </c>
      <c r="O443" t="s">
        <v>898</v>
      </c>
      <c r="P443" t="s">
        <v>898</v>
      </c>
      <c r="Q443" t="s">
        <v>898</v>
      </c>
      <c r="R443" t="s">
        <v>898</v>
      </c>
      <c r="S443" t="s">
        <v>898</v>
      </c>
      <c r="T443" t="s">
        <v>898</v>
      </c>
      <c r="U443" t="s">
        <v>898</v>
      </c>
      <c r="V443" t="s">
        <v>898</v>
      </c>
      <c r="W443" t="s">
        <v>898</v>
      </c>
      <c r="X443" t="s">
        <v>898</v>
      </c>
      <c r="Y443" t="e">
        <v>#REF!</v>
      </c>
      <c r="Z443" t="e">
        <v>#REF!</v>
      </c>
    </row>
    <row r="444">
      <c r="A444" t="s">
        <v>898</v>
      </c>
      <c r="B444" t="s">
        <v>898</v>
      </c>
      <c r="C444" t="s">
        <v>898</v>
      </c>
      <c r="D444" t="s">
        <v>898</v>
      </c>
      <c r="E444" t="s">
        <v>898</v>
      </c>
      <c r="F444" t="s">
        <v>898</v>
      </c>
      <c r="G444" t="s">
        <v>898</v>
      </c>
      <c r="H444" t="s">
        <v>898</v>
      </c>
      <c r="I444" t="s">
        <v>898</v>
      </c>
      <c r="J444" t="s">
        <v>898</v>
      </c>
      <c r="K444" t="s">
        <v>898</v>
      </c>
      <c r="L444" t="s">
        <v>898</v>
      </c>
      <c r="M444" t="s">
        <v>898</v>
      </c>
      <c r="N444" t="s">
        <v>898</v>
      </c>
      <c r="O444" t="s">
        <v>898</v>
      </c>
      <c r="P444" t="s">
        <v>898</v>
      </c>
      <c r="Q444" t="s">
        <v>898</v>
      </c>
      <c r="R444" t="s">
        <v>898</v>
      </c>
      <c r="S444" t="s">
        <v>898</v>
      </c>
      <c r="T444" t="s">
        <v>898</v>
      </c>
      <c r="U444" t="s">
        <v>898</v>
      </c>
      <c r="V444" t="s">
        <v>898</v>
      </c>
      <c r="W444" t="s">
        <v>898</v>
      </c>
      <c r="X444" t="s">
        <v>898</v>
      </c>
      <c r="Y444" t="e">
        <v>#REF!</v>
      </c>
      <c r="Z444" t="e">
        <v>#REF!</v>
      </c>
    </row>
    <row r="445">
      <c r="A445" t="s">
        <v>898</v>
      </c>
      <c r="B445" t="s">
        <v>898</v>
      </c>
      <c r="C445" t="s">
        <v>898</v>
      </c>
      <c r="D445" t="s">
        <v>898</v>
      </c>
      <c r="E445" t="s">
        <v>898</v>
      </c>
      <c r="F445" t="s">
        <v>898</v>
      </c>
      <c r="G445" t="s">
        <v>898</v>
      </c>
      <c r="H445" t="s">
        <v>898</v>
      </c>
      <c r="I445" t="s">
        <v>898</v>
      </c>
      <c r="J445" t="s">
        <v>898</v>
      </c>
      <c r="K445" t="s">
        <v>898</v>
      </c>
      <c r="L445" t="s">
        <v>898</v>
      </c>
      <c r="M445" t="s">
        <v>898</v>
      </c>
      <c r="N445" t="s">
        <v>898</v>
      </c>
      <c r="O445" t="s">
        <v>898</v>
      </c>
      <c r="P445" t="s">
        <v>898</v>
      </c>
      <c r="Q445" t="s">
        <v>898</v>
      </c>
      <c r="R445" t="s">
        <v>898</v>
      </c>
      <c r="S445" t="s">
        <v>898</v>
      </c>
      <c r="T445" t="s">
        <v>898</v>
      </c>
      <c r="U445" t="s">
        <v>898</v>
      </c>
      <c r="V445" t="s">
        <v>898</v>
      </c>
      <c r="W445" t="s">
        <v>898</v>
      </c>
      <c r="X445" t="s">
        <v>898</v>
      </c>
      <c r="Y445" t="e">
        <v>#REF!</v>
      </c>
      <c r="Z445" t="e">
        <v>#REF!</v>
      </c>
    </row>
    <row r="446">
      <c r="A446" t="s">
        <v>898</v>
      </c>
      <c r="B446" t="s">
        <v>898</v>
      </c>
      <c r="C446" t="s">
        <v>898</v>
      </c>
      <c r="D446" t="s">
        <v>898</v>
      </c>
      <c r="E446" t="s">
        <v>898</v>
      </c>
      <c r="F446" t="s">
        <v>898</v>
      </c>
      <c r="G446" t="s">
        <v>898</v>
      </c>
      <c r="H446" t="s">
        <v>898</v>
      </c>
      <c r="I446" t="s">
        <v>898</v>
      </c>
      <c r="J446" t="s">
        <v>898</v>
      </c>
      <c r="K446" t="s">
        <v>898</v>
      </c>
      <c r="L446" t="s">
        <v>898</v>
      </c>
      <c r="M446" t="s">
        <v>898</v>
      </c>
      <c r="N446" t="s">
        <v>898</v>
      </c>
      <c r="O446" t="s">
        <v>898</v>
      </c>
      <c r="P446" t="s">
        <v>898</v>
      </c>
      <c r="Q446" t="s">
        <v>898</v>
      </c>
      <c r="R446" t="s">
        <v>898</v>
      </c>
      <c r="S446" t="s">
        <v>898</v>
      </c>
      <c r="T446" t="s">
        <v>898</v>
      </c>
      <c r="U446" t="s">
        <v>898</v>
      </c>
      <c r="V446" t="s">
        <v>898</v>
      </c>
      <c r="W446" t="s">
        <v>898</v>
      </c>
      <c r="X446" t="s">
        <v>898</v>
      </c>
      <c r="Y446" t="e">
        <v>#REF!</v>
      </c>
      <c r="Z446" t="e">
        <v>#REF!</v>
      </c>
    </row>
    <row r="447">
      <c r="A447" t="s">
        <v>898</v>
      </c>
      <c r="B447" t="s">
        <v>898</v>
      </c>
      <c r="C447" t="s">
        <v>898</v>
      </c>
      <c r="D447" t="s">
        <v>898</v>
      </c>
      <c r="E447" t="s">
        <v>898</v>
      </c>
      <c r="F447" t="s">
        <v>898</v>
      </c>
      <c r="G447" t="s">
        <v>898</v>
      </c>
      <c r="H447" t="s">
        <v>898</v>
      </c>
      <c r="I447" t="s">
        <v>898</v>
      </c>
      <c r="J447" t="s">
        <v>898</v>
      </c>
      <c r="K447" t="s">
        <v>898</v>
      </c>
      <c r="L447" t="s">
        <v>898</v>
      </c>
      <c r="M447" t="s">
        <v>898</v>
      </c>
      <c r="N447" t="s">
        <v>898</v>
      </c>
      <c r="O447" t="s">
        <v>898</v>
      </c>
      <c r="P447" t="s">
        <v>898</v>
      </c>
      <c r="Q447" t="s">
        <v>898</v>
      </c>
      <c r="R447" t="s">
        <v>898</v>
      </c>
      <c r="S447" t="s">
        <v>898</v>
      </c>
      <c r="T447" t="s">
        <v>898</v>
      </c>
      <c r="U447" t="s">
        <v>898</v>
      </c>
      <c r="V447" t="s">
        <v>898</v>
      </c>
      <c r="W447" t="s">
        <v>898</v>
      </c>
      <c r="X447" t="s">
        <v>898</v>
      </c>
      <c r="Y447" t="e">
        <v>#REF!</v>
      </c>
      <c r="Z447" t="e">
        <v>#REF!</v>
      </c>
    </row>
    <row r="448">
      <c r="A448" t="s">
        <v>898</v>
      </c>
      <c r="B448" t="s">
        <v>898</v>
      </c>
      <c r="C448" t="s">
        <v>898</v>
      </c>
      <c r="D448" t="s">
        <v>898</v>
      </c>
      <c r="E448" t="s">
        <v>898</v>
      </c>
      <c r="F448" t="s">
        <v>898</v>
      </c>
      <c r="G448" t="s">
        <v>898</v>
      </c>
      <c r="H448" t="s">
        <v>898</v>
      </c>
      <c r="I448" t="s">
        <v>898</v>
      </c>
      <c r="J448" t="s">
        <v>898</v>
      </c>
      <c r="K448" t="s">
        <v>898</v>
      </c>
      <c r="L448" t="s">
        <v>898</v>
      </c>
      <c r="M448" t="s">
        <v>898</v>
      </c>
      <c r="N448" t="s">
        <v>898</v>
      </c>
      <c r="O448" t="s">
        <v>898</v>
      </c>
      <c r="P448" t="s">
        <v>898</v>
      </c>
      <c r="Q448" t="s">
        <v>898</v>
      </c>
      <c r="R448" t="s">
        <v>898</v>
      </c>
      <c r="S448" t="s">
        <v>898</v>
      </c>
      <c r="T448" t="s">
        <v>898</v>
      </c>
      <c r="U448" t="s">
        <v>898</v>
      </c>
      <c r="V448" t="s">
        <v>898</v>
      </c>
      <c r="W448" t="s">
        <v>898</v>
      </c>
      <c r="X448" t="s">
        <v>898</v>
      </c>
      <c r="Y448" t="e">
        <v>#REF!</v>
      </c>
      <c r="Z448" t="e">
        <v>#REF!</v>
      </c>
    </row>
    <row r="449">
      <c r="A449" t="s">
        <v>898</v>
      </c>
      <c r="B449" t="s">
        <v>898</v>
      </c>
      <c r="C449" t="s">
        <v>898</v>
      </c>
      <c r="D449" t="s">
        <v>898</v>
      </c>
      <c r="E449" t="s">
        <v>898</v>
      </c>
      <c r="F449" t="s">
        <v>898</v>
      </c>
      <c r="G449" t="s">
        <v>898</v>
      </c>
      <c r="H449" t="s">
        <v>898</v>
      </c>
      <c r="I449" t="s">
        <v>898</v>
      </c>
      <c r="J449" t="s">
        <v>898</v>
      </c>
      <c r="K449" t="s">
        <v>898</v>
      </c>
      <c r="L449" t="s">
        <v>898</v>
      </c>
      <c r="M449" t="s">
        <v>898</v>
      </c>
      <c r="N449" t="s">
        <v>898</v>
      </c>
      <c r="O449" t="s">
        <v>898</v>
      </c>
      <c r="P449" t="s">
        <v>898</v>
      </c>
      <c r="Q449" t="s">
        <v>898</v>
      </c>
      <c r="R449" t="s">
        <v>898</v>
      </c>
      <c r="S449" t="s">
        <v>898</v>
      </c>
      <c r="T449" t="s">
        <v>898</v>
      </c>
      <c r="U449" t="s">
        <v>898</v>
      </c>
      <c r="V449" t="s">
        <v>898</v>
      </c>
      <c r="W449" t="s">
        <v>898</v>
      </c>
      <c r="X449" t="s">
        <v>898</v>
      </c>
      <c r="Y449" t="e">
        <v>#REF!</v>
      </c>
      <c r="Z449" t="e">
        <v>#REF!</v>
      </c>
    </row>
    <row r="450">
      <c r="A450" t="s">
        <v>898</v>
      </c>
      <c r="B450" t="s">
        <v>898</v>
      </c>
      <c r="C450" t="s">
        <v>898</v>
      </c>
      <c r="D450" t="s">
        <v>898</v>
      </c>
      <c r="E450" t="s">
        <v>898</v>
      </c>
      <c r="F450" t="s">
        <v>898</v>
      </c>
      <c r="G450" t="s">
        <v>898</v>
      </c>
      <c r="H450" t="s">
        <v>898</v>
      </c>
      <c r="I450" t="s">
        <v>898</v>
      </c>
      <c r="J450" t="s">
        <v>898</v>
      </c>
      <c r="K450" t="s">
        <v>898</v>
      </c>
      <c r="L450" t="s">
        <v>898</v>
      </c>
      <c r="M450" t="s">
        <v>898</v>
      </c>
      <c r="N450" t="s">
        <v>898</v>
      </c>
      <c r="O450" t="s">
        <v>898</v>
      </c>
      <c r="P450" t="s">
        <v>898</v>
      </c>
      <c r="Q450" t="s">
        <v>898</v>
      </c>
      <c r="R450" t="s">
        <v>898</v>
      </c>
      <c r="S450" t="s">
        <v>898</v>
      </c>
      <c r="T450" t="s">
        <v>898</v>
      </c>
      <c r="U450" t="s">
        <v>898</v>
      </c>
      <c r="V450" t="s">
        <v>898</v>
      </c>
      <c r="W450" t="s">
        <v>898</v>
      </c>
      <c r="X450" t="s">
        <v>898</v>
      </c>
      <c r="Y450" t="e">
        <v>#REF!</v>
      </c>
      <c r="Z450" t="e">
        <v>#REF!</v>
      </c>
    </row>
    <row r="451">
      <c r="A451" t="s">
        <v>898</v>
      </c>
      <c r="B451" t="s">
        <v>898</v>
      </c>
      <c r="C451" t="s">
        <v>898</v>
      </c>
      <c r="D451" t="s">
        <v>898</v>
      </c>
      <c r="E451" t="s">
        <v>898</v>
      </c>
      <c r="F451" t="s">
        <v>898</v>
      </c>
      <c r="G451" t="s">
        <v>898</v>
      </c>
      <c r="H451" t="s">
        <v>898</v>
      </c>
      <c r="I451" t="s">
        <v>898</v>
      </c>
      <c r="J451" t="s">
        <v>898</v>
      </c>
      <c r="K451" t="s">
        <v>898</v>
      </c>
      <c r="L451" t="s">
        <v>898</v>
      </c>
      <c r="M451" t="s">
        <v>898</v>
      </c>
      <c r="N451" t="s">
        <v>898</v>
      </c>
      <c r="O451" t="s">
        <v>898</v>
      </c>
      <c r="P451" t="s">
        <v>898</v>
      </c>
      <c r="Q451" t="s">
        <v>898</v>
      </c>
      <c r="R451" t="s">
        <v>898</v>
      </c>
      <c r="S451" t="s">
        <v>898</v>
      </c>
      <c r="T451" t="s">
        <v>898</v>
      </c>
      <c r="U451" t="s">
        <v>898</v>
      </c>
      <c r="V451" t="s">
        <v>898</v>
      </c>
      <c r="W451" t="s">
        <v>898</v>
      </c>
      <c r="X451" t="s">
        <v>898</v>
      </c>
      <c r="Y451" t="e">
        <v>#REF!</v>
      </c>
      <c r="Z451" t="e">
        <v>#REF!</v>
      </c>
    </row>
    <row r="452">
      <c r="A452" t="s">
        <v>898</v>
      </c>
      <c r="B452" t="s">
        <v>898</v>
      </c>
      <c r="C452" t="s">
        <v>898</v>
      </c>
      <c r="D452" t="s">
        <v>898</v>
      </c>
      <c r="E452" t="s">
        <v>898</v>
      </c>
      <c r="F452" t="s">
        <v>898</v>
      </c>
      <c r="G452" t="s">
        <v>898</v>
      </c>
      <c r="H452" t="s">
        <v>898</v>
      </c>
      <c r="I452" t="s">
        <v>898</v>
      </c>
      <c r="J452" t="s">
        <v>898</v>
      </c>
      <c r="K452" t="s">
        <v>898</v>
      </c>
      <c r="L452" t="s">
        <v>898</v>
      </c>
      <c r="M452" t="s">
        <v>898</v>
      </c>
      <c r="N452" t="s">
        <v>898</v>
      </c>
      <c r="O452" t="s">
        <v>898</v>
      </c>
      <c r="P452" t="s">
        <v>898</v>
      </c>
      <c r="Q452" t="s">
        <v>898</v>
      </c>
      <c r="R452" t="s">
        <v>898</v>
      </c>
      <c r="S452" t="s">
        <v>898</v>
      </c>
      <c r="T452" t="s">
        <v>898</v>
      </c>
      <c r="U452" t="s">
        <v>898</v>
      </c>
      <c r="V452" t="s">
        <v>898</v>
      </c>
      <c r="W452" t="s">
        <v>898</v>
      </c>
      <c r="X452" t="s">
        <v>898</v>
      </c>
      <c r="Y452" t="e">
        <v>#REF!</v>
      </c>
      <c r="Z452" t="e">
        <v>#REF!</v>
      </c>
    </row>
    <row r="453">
      <c r="A453" t="s">
        <v>898</v>
      </c>
      <c r="B453" t="s">
        <v>898</v>
      </c>
      <c r="C453" t="s">
        <v>898</v>
      </c>
      <c r="D453" t="s">
        <v>898</v>
      </c>
      <c r="E453" t="s">
        <v>898</v>
      </c>
      <c r="F453" t="s">
        <v>898</v>
      </c>
      <c r="G453" t="s">
        <v>898</v>
      </c>
      <c r="H453" t="s">
        <v>898</v>
      </c>
      <c r="I453" t="s">
        <v>898</v>
      </c>
      <c r="J453" t="s">
        <v>898</v>
      </c>
      <c r="K453" t="s">
        <v>898</v>
      </c>
      <c r="L453" t="s">
        <v>898</v>
      </c>
      <c r="M453" t="s">
        <v>898</v>
      </c>
      <c r="N453" t="s">
        <v>898</v>
      </c>
      <c r="O453" t="s">
        <v>898</v>
      </c>
      <c r="P453" t="s">
        <v>898</v>
      </c>
      <c r="Q453" t="s">
        <v>898</v>
      </c>
      <c r="R453" t="s">
        <v>898</v>
      </c>
      <c r="S453" t="s">
        <v>898</v>
      </c>
      <c r="T453" t="s">
        <v>898</v>
      </c>
      <c r="U453" t="s">
        <v>898</v>
      </c>
      <c r="V453" t="s">
        <v>898</v>
      </c>
      <c r="W453" t="s">
        <v>898</v>
      </c>
      <c r="X453" t="s">
        <v>898</v>
      </c>
      <c r="Y453" t="e">
        <v>#REF!</v>
      </c>
      <c r="Z453" t="e">
        <v>#REF!</v>
      </c>
    </row>
    <row r="454">
      <c r="A454" t="s">
        <v>898</v>
      </c>
      <c r="B454" t="s">
        <v>898</v>
      </c>
      <c r="C454" t="s">
        <v>898</v>
      </c>
      <c r="D454" t="s">
        <v>898</v>
      </c>
      <c r="E454" t="s">
        <v>898</v>
      </c>
      <c r="F454" t="s">
        <v>898</v>
      </c>
      <c r="G454" t="s">
        <v>898</v>
      </c>
      <c r="H454" t="s">
        <v>898</v>
      </c>
      <c r="I454" t="s">
        <v>898</v>
      </c>
      <c r="J454" t="s">
        <v>898</v>
      </c>
      <c r="K454" t="s">
        <v>898</v>
      </c>
      <c r="L454" t="s">
        <v>898</v>
      </c>
      <c r="M454" t="s">
        <v>898</v>
      </c>
      <c r="N454" t="s">
        <v>898</v>
      </c>
      <c r="O454" t="s">
        <v>898</v>
      </c>
      <c r="P454" t="s">
        <v>898</v>
      </c>
      <c r="Q454" t="s">
        <v>898</v>
      </c>
      <c r="R454" t="s">
        <v>898</v>
      </c>
      <c r="S454" t="s">
        <v>898</v>
      </c>
      <c r="T454" t="s">
        <v>898</v>
      </c>
      <c r="U454" t="s">
        <v>898</v>
      </c>
      <c r="V454" t="s">
        <v>898</v>
      </c>
      <c r="W454" t="s">
        <v>898</v>
      </c>
      <c r="X454" t="s">
        <v>898</v>
      </c>
      <c r="Y454" t="e">
        <v>#REF!</v>
      </c>
      <c r="Z454" t="e">
        <v>#REF!</v>
      </c>
    </row>
    <row r="455">
      <c r="A455" t="s">
        <v>898</v>
      </c>
      <c r="B455" t="s">
        <v>898</v>
      </c>
      <c r="C455" t="s">
        <v>898</v>
      </c>
      <c r="D455" t="s">
        <v>898</v>
      </c>
      <c r="E455" t="s">
        <v>898</v>
      </c>
      <c r="F455" t="s">
        <v>898</v>
      </c>
      <c r="G455" t="s">
        <v>898</v>
      </c>
      <c r="H455" t="s">
        <v>898</v>
      </c>
      <c r="I455" t="s">
        <v>898</v>
      </c>
      <c r="J455" t="s">
        <v>898</v>
      </c>
      <c r="K455" t="s">
        <v>898</v>
      </c>
      <c r="L455" t="s">
        <v>898</v>
      </c>
      <c r="M455" t="s">
        <v>898</v>
      </c>
      <c r="N455" t="s">
        <v>898</v>
      </c>
      <c r="O455" t="s">
        <v>898</v>
      </c>
      <c r="P455" t="s">
        <v>898</v>
      </c>
      <c r="Q455" t="s">
        <v>898</v>
      </c>
      <c r="R455" t="s">
        <v>898</v>
      </c>
      <c r="S455" t="s">
        <v>898</v>
      </c>
      <c r="T455" t="s">
        <v>898</v>
      </c>
      <c r="U455" t="s">
        <v>898</v>
      </c>
      <c r="V455" t="s">
        <v>898</v>
      </c>
      <c r="W455" t="s">
        <v>898</v>
      </c>
      <c r="X455" t="s">
        <v>898</v>
      </c>
      <c r="Y455" t="e">
        <v>#REF!</v>
      </c>
      <c r="Z455" t="e">
        <v>#REF!</v>
      </c>
    </row>
    <row r="456">
      <c r="A456" t="s">
        <v>898</v>
      </c>
      <c r="B456" t="s">
        <v>898</v>
      </c>
      <c r="C456" t="s">
        <v>898</v>
      </c>
      <c r="D456" t="s">
        <v>898</v>
      </c>
      <c r="E456" t="s">
        <v>898</v>
      </c>
      <c r="F456" t="s">
        <v>898</v>
      </c>
      <c r="G456" t="s">
        <v>898</v>
      </c>
      <c r="H456" t="s">
        <v>898</v>
      </c>
      <c r="I456" t="s">
        <v>898</v>
      </c>
      <c r="J456" t="s">
        <v>898</v>
      </c>
      <c r="K456" t="s">
        <v>898</v>
      </c>
      <c r="L456" t="s">
        <v>898</v>
      </c>
      <c r="M456" t="s">
        <v>898</v>
      </c>
      <c r="N456" t="s">
        <v>898</v>
      </c>
      <c r="O456" t="s">
        <v>898</v>
      </c>
      <c r="P456" t="s">
        <v>898</v>
      </c>
      <c r="Q456" t="s">
        <v>898</v>
      </c>
      <c r="R456" t="s">
        <v>898</v>
      </c>
      <c r="S456" t="s">
        <v>898</v>
      </c>
      <c r="T456" t="s">
        <v>898</v>
      </c>
      <c r="U456" t="s">
        <v>898</v>
      </c>
      <c r="V456" t="s">
        <v>898</v>
      </c>
      <c r="W456" t="s">
        <v>898</v>
      </c>
      <c r="X456" t="s">
        <v>898</v>
      </c>
      <c r="Y456" t="e">
        <v>#REF!</v>
      </c>
      <c r="Z456" t="e">
        <v>#REF!</v>
      </c>
    </row>
    <row r="457">
      <c r="A457" t="s">
        <v>898</v>
      </c>
      <c r="B457" t="s">
        <v>898</v>
      </c>
      <c r="C457" t="s">
        <v>898</v>
      </c>
      <c r="D457" t="s">
        <v>898</v>
      </c>
      <c r="E457" t="s">
        <v>898</v>
      </c>
      <c r="F457" t="s">
        <v>898</v>
      </c>
      <c r="G457" t="s">
        <v>898</v>
      </c>
      <c r="H457" t="s">
        <v>898</v>
      </c>
      <c r="I457" t="s">
        <v>898</v>
      </c>
      <c r="J457" t="s">
        <v>898</v>
      </c>
      <c r="K457" t="s">
        <v>898</v>
      </c>
      <c r="L457" t="s">
        <v>898</v>
      </c>
      <c r="M457" t="s">
        <v>898</v>
      </c>
      <c r="N457" t="s">
        <v>898</v>
      </c>
      <c r="O457" t="s">
        <v>898</v>
      </c>
      <c r="P457" t="s">
        <v>898</v>
      </c>
      <c r="Q457" t="s">
        <v>898</v>
      </c>
      <c r="R457" t="s">
        <v>898</v>
      </c>
      <c r="S457" t="s">
        <v>898</v>
      </c>
      <c r="T457" t="s">
        <v>898</v>
      </c>
      <c r="U457" t="s">
        <v>898</v>
      </c>
      <c r="V457" t="s">
        <v>898</v>
      </c>
      <c r="W457" t="s">
        <v>898</v>
      </c>
      <c r="X457" t="s">
        <v>898</v>
      </c>
      <c r="Y457" t="e">
        <v>#REF!</v>
      </c>
      <c r="Z457" t="e">
        <v>#REF!</v>
      </c>
    </row>
    <row r="458">
      <c r="A458" t="s">
        <v>898</v>
      </c>
      <c r="B458" t="s">
        <v>898</v>
      </c>
      <c r="C458" t="s">
        <v>898</v>
      </c>
      <c r="D458" t="s">
        <v>898</v>
      </c>
      <c r="E458" t="s">
        <v>898</v>
      </c>
      <c r="F458" t="s">
        <v>898</v>
      </c>
      <c r="G458" t="s">
        <v>898</v>
      </c>
      <c r="H458" t="s">
        <v>898</v>
      </c>
      <c r="I458" t="s">
        <v>898</v>
      </c>
      <c r="J458" t="s">
        <v>898</v>
      </c>
      <c r="K458" t="s">
        <v>898</v>
      </c>
      <c r="L458" t="s">
        <v>898</v>
      </c>
      <c r="M458" t="s">
        <v>898</v>
      </c>
      <c r="N458" t="s">
        <v>898</v>
      </c>
      <c r="O458" t="s">
        <v>898</v>
      </c>
      <c r="P458" t="s">
        <v>898</v>
      </c>
      <c r="Q458" t="s">
        <v>898</v>
      </c>
      <c r="R458" t="s">
        <v>898</v>
      </c>
      <c r="S458" t="s">
        <v>898</v>
      </c>
      <c r="T458" t="s">
        <v>898</v>
      </c>
      <c r="U458" t="s">
        <v>898</v>
      </c>
      <c r="V458" t="s">
        <v>898</v>
      </c>
      <c r="W458" t="s">
        <v>898</v>
      </c>
      <c r="X458" t="s">
        <v>898</v>
      </c>
      <c r="Y458" t="e">
        <v>#REF!</v>
      </c>
      <c r="Z458" t="e">
        <v>#REF!</v>
      </c>
    </row>
    <row r="459">
      <c r="A459" t="s">
        <v>898</v>
      </c>
      <c r="B459" t="s">
        <v>898</v>
      </c>
      <c r="C459" t="s">
        <v>898</v>
      </c>
      <c r="D459" t="s">
        <v>898</v>
      </c>
      <c r="E459" t="s">
        <v>898</v>
      </c>
      <c r="F459" t="s">
        <v>898</v>
      </c>
      <c r="G459" t="s">
        <v>898</v>
      </c>
      <c r="H459" t="s">
        <v>898</v>
      </c>
      <c r="I459" t="s">
        <v>898</v>
      </c>
      <c r="J459" t="s">
        <v>898</v>
      </c>
      <c r="K459" t="s">
        <v>898</v>
      </c>
      <c r="L459" t="s">
        <v>898</v>
      </c>
      <c r="M459" t="s">
        <v>898</v>
      </c>
      <c r="N459" t="s">
        <v>898</v>
      </c>
      <c r="O459" t="s">
        <v>898</v>
      </c>
      <c r="P459" t="s">
        <v>898</v>
      </c>
      <c r="Q459" t="s">
        <v>898</v>
      </c>
      <c r="R459" t="s">
        <v>898</v>
      </c>
      <c r="S459" t="s">
        <v>898</v>
      </c>
      <c r="T459" t="s">
        <v>898</v>
      </c>
      <c r="U459" t="s">
        <v>898</v>
      </c>
      <c r="V459" t="s">
        <v>898</v>
      </c>
      <c r="W459" t="s">
        <v>898</v>
      </c>
      <c r="X459" t="s">
        <v>898</v>
      </c>
      <c r="Y459" t="e">
        <v>#REF!</v>
      </c>
      <c r="Z459" t="e">
        <v>#REF!</v>
      </c>
    </row>
    <row r="460">
      <c r="A460" t="s">
        <v>898</v>
      </c>
      <c r="B460" t="s">
        <v>898</v>
      </c>
      <c r="C460" t="s">
        <v>898</v>
      </c>
      <c r="D460" t="s">
        <v>898</v>
      </c>
      <c r="E460" t="s">
        <v>898</v>
      </c>
      <c r="F460" t="s">
        <v>898</v>
      </c>
      <c r="G460" t="s">
        <v>898</v>
      </c>
      <c r="H460" t="s">
        <v>898</v>
      </c>
      <c r="I460" t="s">
        <v>898</v>
      </c>
      <c r="J460" t="s">
        <v>898</v>
      </c>
      <c r="K460" t="s">
        <v>898</v>
      </c>
      <c r="L460" t="s">
        <v>898</v>
      </c>
      <c r="M460" t="s">
        <v>898</v>
      </c>
      <c r="N460" t="s">
        <v>898</v>
      </c>
      <c r="O460" t="s">
        <v>898</v>
      </c>
      <c r="P460" t="s">
        <v>898</v>
      </c>
      <c r="Q460" t="s">
        <v>898</v>
      </c>
      <c r="R460" t="s">
        <v>898</v>
      </c>
      <c r="S460" t="s">
        <v>898</v>
      </c>
      <c r="T460" t="s">
        <v>898</v>
      </c>
      <c r="U460" t="s">
        <v>898</v>
      </c>
      <c r="V460" t="s">
        <v>898</v>
      </c>
      <c r="W460" t="s">
        <v>898</v>
      </c>
      <c r="X460" t="s">
        <v>898</v>
      </c>
      <c r="Y460" t="e">
        <v>#REF!</v>
      </c>
      <c r="Z460" t="e">
        <v>#REF!</v>
      </c>
    </row>
    <row r="461">
      <c r="A461" t="s">
        <v>898</v>
      </c>
      <c r="B461" t="s">
        <v>898</v>
      </c>
      <c r="C461" t="s">
        <v>898</v>
      </c>
      <c r="D461" t="s">
        <v>898</v>
      </c>
      <c r="E461" t="s">
        <v>898</v>
      </c>
      <c r="F461" t="s">
        <v>898</v>
      </c>
      <c r="G461" t="s">
        <v>898</v>
      </c>
      <c r="H461" t="s">
        <v>898</v>
      </c>
      <c r="I461" t="s">
        <v>898</v>
      </c>
      <c r="J461" t="s">
        <v>898</v>
      </c>
      <c r="K461" t="s">
        <v>898</v>
      </c>
      <c r="L461" t="s">
        <v>898</v>
      </c>
      <c r="M461" t="s">
        <v>898</v>
      </c>
      <c r="N461" t="s">
        <v>898</v>
      </c>
      <c r="O461" t="s">
        <v>898</v>
      </c>
      <c r="P461" t="s">
        <v>898</v>
      </c>
      <c r="Q461" t="s">
        <v>898</v>
      </c>
      <c r="R461" t="s">
        <v>898</v>
      </c>
      <c r="S461" t="s">
        <v>898</v>
      </c>
      <c r="T461" t="s">
        <v>898</v>
      </c>
      <c r="U461" t="s">
        <v>898</v>
      </c>
      <c r="V461" t="s">
        <v>898</v>
      </c>
      <c r="W461" t="s">
        <v>898</v>
      </c>
      <c r="X461" t="s">
        <v>898</v>
      </c>
      <c r="Y461" t="e">
        <v>#REF!</v>
      </c>
      <c r="Z461" t="e">
        <v>#REF!</v>
      </c>
    </row>
    <row r="462">
      <c r="A462" t="s">
        <v>898</v>
      </c>
      <c r="B462" t="s">
        <v>898</v>
      </c>
      <c r="C462" t="s">
        <v>898</v>
      </c>
      <c r="D462" t="s">
        <v>898</v>
      </c>
      <c r="E462" t="s">
        <v>898</v>
      </c>
      <c r="F462" t="s">
        <v>898</v>
      </c>
      <c r="G462" t="s">
        <v>898</v>
      </c>
      <c r="H462" t="s">
        <v>898</v>
      </c>
      <c r="I462" t="s">
        <v>898</v>
      </c>
      <c r="J462" t="s">
        <v>898</v>
      </c>
      <c r="K462" t="s">
        <v>898</v>
      </c>
      <c r="L462" t="s">
        <v>898</v>
      </c>
      <c r="M462" t="s">
        <v>898</v>
      </c>
      <c r="N462" t="s">
        <v>898</v>
      </c>
      <c r="O462" t="s">
        <v>898</v>
      </c>
      <c r="P462" t="s">
        <v>898</v>
      </c>
      <c r="Q462" t="s">
        <v>898</v>
      </c>
      <c r="R462" t="s">
        <v>898</v>
      </c>
      <c r="S462" t="s">
        <v>898</v>
      </c>
      <c r="T462" t="s">
        <v>898</v>
      </c>
      <c r="U462" t="s">
        <v>898</v>
      </c>
      <c r="V462" t="s">
        <v>898</v>
      </c>
      <c r="W462" t="s">
        <v>898</v>
      </c>
      <c r="X462" t="s">
        <v>898</v>
      </c>
      <c r="Y462" t="e">
        <v>#REF!</v>
      </c>
      <c r="Z462" t="e">
        <v>#REF!</v>
      </c>
    </row>
    <row r="463">
      <c r="A463" t="s">
        <v>898</v>
      </c>
      <c r="B463" t="s">
        <v>898</v>
      </c>
      <c r="C463" t="s">
        <v>898</v>
      </c>
      <c r="D463" t="s">
        <v>898</v>
      </c>
      <c r="E463" t="s">
        <v>898</v>
      </c>
      <c r="F463" t="s">
        <v>898</v>
      </c>
      <c r="G463" t="s">
        <v>898</v>
      </c>
      <c r="H463" t="s">
        <v>898</v>
      </c>
      <c r="I463" t="s">
        <v>898</v>
      </c>
      <c r="J463" t="s">
        <v>898</v>
      </c>
      <c r="K463" t="s">
        <v>898</v>
      </c>
      <c r="L463" t="s">
        <v>898</v>
      </c>
      <c r="M463" t="s">
        <v>898</v>
      </c>
      <c r="N463" t="s">
        <v>898</v>
      </c>
      <c r="O463" t="s">
        <v>898</v>
      </c>
      <c r="P463" t="s">
        <v>898</v>
      </c>
      <c r="Q463" t="s">
        <v>898</v>
      </c>
      <c r="R463" t="s">
        <v>898</v>
      </c>
      <c r="S463" t="s">
        <v>898</v>
      </c>
      <c r="T463" t="s">
        <v>898</v>
      </c>
      <c r="U463" t="s">
        <v>898</v>
      </c>
      <c r="V463" t="s">
        <v>898</v>
      </c>
      <c r="W463" t="s">
        <v>898</v>
      </c>
      <c r="X463" t="s">
        <v>898</v>
      </c>
      <c r="Y463" t="e">
        <v>#REF!</v>
      </c>
      <c r="Z463" t="e">
        <v>#REF!</v>
      </c>
    </row>
    <row r="464">
      <c r="A464" t="s">
        <v>898</v>
      </c>
      <c r="B464" t="s">
        <v>898</v>
      </c>
      <c r="C464" t="s">
        <v>898</v>
      </c>
      <c r="D464" t="s">
        <v>898</v>
      </c>
      <c r="E464" t="s">
        <v>898</v>
      </c>
      <c r="F464" t="s">
        <v>898</v>
      </c>
      <c r="G464" t="s">
        <v>898</v>
      </c>
      <c r="H464" t="s">
        <v>898</v>
      </c>
      <c r="I464" t="s">
        <v>898</v>
      </c>
      <c r="J464" t="s">
        <v>898</v>
      </c>
      <c r="K464" t="s">
        <v>898</v>
      </c>
      <c r="L464" t="s">
        <v>898</v>
      </c>
      <c r="M464" t="s">
        <v>898</v>
      </c>
      <c r="N464" t="s">
        <v>898</v>
      </c>
      <c r="O464" t="s">
        <v>898</v>
      </c>
      <c r="P464" t="s">
        <v>898</v>
      </c>
      <c r="Q464" t="s">
        <v>898</v>
      </c>
      <c r="R464" t="s">
        <v>898</v>
      </c>
      <c r="S464" t="s">
        <v>898</v>
      </c>
      <c r="T464" t="s">
        <v>898</v>
      </c>
      <c r="U464" t="s">
        <v>898</v>
      </c>
      <c r="V464" t="s">
        <v>898</v>
      </c>
      <c r="W464" t="s">
        <v>898</v>
      </c>
      <c r="X464" t="s">
        <v>898</v>
      </c>
      <c r="Y464" t="e">
        <v>#REF!</v>
      </c>
      <c r="Z464" t="e">
        <v>#REF!</v>
      </c>
    </row>
    <row r="465">
      <c r="A465" t="s">
        <v>898</v>
      </c>
      <c r="B465" t="s">
        <v>898</v>
      </c>
      <c r="C465" t="s">
        <v>898</v>
      </c>
      <c r="D465" t="s">
        <v>898</v>
      </c>
      <c r="E465" t="s">
        <v>898</v>
      </c>
      <c r="F465" t="s">
        <v>898</v>
      </c>
      <c r="G465" t="s">
        <v>898</v>
      </c>
      <c r="H465" t="s">
        <v>898</v>
      </c>
      <c r="I465" t="s">
        <v>898</v>
      </c>
      <c r="J465" t="s">
        <v>898</v>
      </c>
      <c r="K465" t="s">
        <v>898</v>
      </c>
      <c r="L465" t="s">
        <v>898</v>
      </c>
      <c r="M465" t="s">
        <v>898</v>
      </c>
      <c r="N465" t="s">
        <v>898</v>
      </c>
      <c r="O465" t="s">
        <v>898</v>
      </c>
      <c r="P465" t="s">
        <v>898</v>
      </c>
      <c r="Q465" t="s">
        <v>898</v>
      </c>
      <c r="R465" t="s">
        <v>898</v>
      </c>
      <c r="S465" t="s">
        <v>898</v>
      </c>
      <c r="T465" t="s">
        <v>898</v>
      </c>
      <c r="U465" t="s">
        <v>898</v>
      </c>
      <c r="V465" t="s">
        <v>898</v>
      </c>
      <c r="W465" t="s">
        <v>898</v>
      </c>
      <c r="X465" t="s">
        <v>898</v>
      </c>
      <c r="Y465" t="e">
        <v>#REF!</v>
      </c>
      <c r="Z465" t="e">
        <v>#REF!</v>
      </c>
    </row>
    <row r="466">
      <c r="A466" t="s">
        <v>898</v>
      </c>
      <c r="B466" t="s">
        <v>898</v>
      </c>
      <c r="C466" t="s">
        <v>898</v>
      </c>
      <c r="D466" t="s">
        <v>898</v>
      </c>
      <c r="E466" t="s">
        <v>898</v>
      </c>
      <c r="F466" t="s">
        <v>898</v>
      </c>
      <c r="G466" t="s">
        <v>898</v>
      </c>
      <c r="H466" t="s">
        <v>898</v>
      </c>
      <c r="I466" t="s">
        <v>898</v>
      </c>
      <c r="J466" t="s">
        <v>898</v>
      </c>
      <c r="K466" t="s">
        <v>898</v>
      </c>
      <c r="L466" t="s">
        <v>898</v>
      </c>
      <c r="M466" t="s">
        <v>898</v>
      </c>
      <c r="N466" t="s">
        <v>898</v>
      </c>
      <c r="O466" t="s">
        <v>898</v>
      </c>
      <c r="P466" t="s">
        <v>898</v>
      </c>
      <c r="Q466" t="s">
        <v>898</v>
      </c>
      <c r="R466" t="s">
        <v>898</v>
      </c>
      <c r="S466" t="s">
        <v>898</v>
      </c>
      <c r="T466" t="s">
        <v>898</v>
      </c>
      <c r="U466" t="s">
        <v>898</v>
      </c>
      <c r="V466" t="s">
        <v>898</v>
      </c>
      <c r="W466" t="s">
        <v>898</v>
      </c>
      <c r="X466" t="s">
        <v>898</v>
      </c>
      <c r="Y466" t="e">
        <v>#REF!</v>
      </c>
      <c r="Z466" t="e">
        <v>#REF!</v>
      </c>
    </row>
    <row r="467">
      <c r="A467" t="s">
        <v>898</v>
      </c>
      <c r="B467" t="s">
        <v>898</v>
      </c>
      <c r="C467" t="s">
        <v>898</v>
      </c>
      <c r="D467" t="s">
        <v>898</v>
      </c>
      <c r="E467" t="s">
        <v>898</v>
      </c>
      <c r="F467" t="s">
        <v>898</v>
      </c>
      <c r="G467" t="s">
        <v>898</v>
      </c>
      <c r="H467" t="s">
        <v>898</v>
      </c>
      <c r="I467" t="s">
        <v>898</v>
      </c>
      <c r="J467" t="s">
        <v>898</v>
      </c>
      <c r="K467" t="s">
        <v>898</v>
      </c>
      <c r="L467" t="s">
        <v>898</v>
      </c>
      <c r="M467" t="s">
        <v>898</v>
      </c>
      <c r="N467" t="s">
        <v>898</v>
      </c>
      <c r="O467" t="s">
        <v>898</v>
      </c>
      <c r="P467" t="s">
        <v>898</v>
      </c>
      <c r="Q467" t="s">
        <v>898</v>
      </c>
      <c r="R467" t="s">
        <v>898</v>
      </c>
      <c r="S467" t="s">
        <v>898</v>
      </c>
      <c r="T467" t="s">
        <v>898</v>
      </c>
      <c r="U467" t="s">
        <v>898</v>
      </c>
      <c r="V467" t="s">
        <v>898</v>
      </c>
      <c r="W467" t="s">
        <v>898</v>
      </c>
      <c r="X467" t="s">
        <v>898</v>
      </c>
      <c r="Y467" t="e">
        <v>#REF!</v>
      </c>
      <c r="Z467" t="e">
        <v>#REF!</v>
      </c>
    </row>
    <row r="468">
      <c r="A468" t="s">
        <v>898</v>
      </c>
      <c r="B468" t="s">
        <v>898</v>
      </c>
      <c r="C468" t="s">
        <v>898</v>
      </c>
      <c r="D468" t="s">
        <v>898</v>
      </c>
      <c r="E468" t="s">
        <v>898</v>
      </c>
      <c r="F468" t="s">
        <v>898</v>
      </c>
      <c r="G468" t="s">
        <v>898</v>
      </c>
      <c r="H468" t="s">
        <v>898</v>
      </c>
      <c r="I468" t="s">
        <v>898</v>
      </c>
      <c r="J468" t="s">
        <v>898</v>
      </c>
      <c r="K468" t="s">
        <v>898</v>
      </c>
      <c r="L468" t="s">
        <v>898</v>
      </c>
      <c r="M468" t="s">
        <v>898</v>
      </c>
      <c r="N468" t="s">
        <v>898</v>
      </c>
      <c r="O468" t="s">
        <v>898</v>
      </c>
      <c r="P468" t="s">
        <v>898</v>
      </c>
      <c r="Q468" t="s">
        <v>898</v>
      </c>
      <c r="R468" t="s">
        <v>898</v>
      </c>
      <c r="S468" t="s">
        <v>898</v>
      </c>
      <c r="T468" t="s">
        <v>898</v>
      </c>
      <c r="U468" t="s">
        <v>898</v>
      </c>
      <c r="V468" t="s">
        <v>898</v>
      </c>
      <c r="W468" t="s">
        <v>898</v>
      </c>
      <c r="X468" t="s">
        <v>898</v>
      </c>
      <c r="Y468" t="e">
        <v>#REF!</v>
      </c>
      <c r="Z468" t="e">
        <v>#REF!</v>
      </c>
    </row>
    <row r="469">
      <c r="A469" t="s">
        <v>898</v>
      </c>
      <c r="B469" t="s">
        <v>898</v>
      </c>
      <c r="C469" t="s">
        <v>898</v>
      </c>
      <c r="D469" t="s">
        <v>898</v>
      </c>
      <c r="E469" t="s">
        <v>898</v>
      </c>
      <c r="F469" t="s">
        <v>898</v>
      </c>
      <c r="G469" t="s">
        <v>898</v>
      </c>
      <c r="H469" t="s">
        <v>898</v>
      </c>
      <c r="I469" t="s">
        <v>898</v>
      </c>
      <c r="J469" t="s">
        <v>898</v>
      </c>
      <c r="K469" t="s">
        <v>898</v>
      </c>
      <c r="L469" t="s">
        <v>898</v>
      </c>
      <c r="M469" t="s">
        <v>898</v>
      </c>
      <c r="N469" t="s">
        <v>898</v>
      </c>
      <c r="O469" t="s">
        <v>898</v>
      </c>
      <c r="P469" t="s">
        <v>898</v>
      </c>
      <c r="Q469" t="s">
        <v>898</v>
      </c>
      <c r="R469" t="s">
        <v>898</v>
      </c>
      <c r="S469" t="s">
        <v>898</v>
      </c>
      <c r="T469" t="s">
        <v>898</v>
      </c>
      <c r="U469" t="s">
        <v>898</v>
      </c>
      <c r="V469" t="s">
        <v>898</v>
      </c>
      <c r="W469" t="s">
        <v>898</v>
      </c>
      <c r="X469" t="s">
        <v>898</v>
      </c>
      <c r="Y469" t="e">
        <v>#REF!</v>
      </c>
      <c r="Z469" t="e">
        <v>#REF!</v>
      </c>
    </row>
    <row r="470">
      <c r="A470" t="s">
        <v>898</v>
      </c>
      <c r="B470" t="s">
        <v>898</v>
      </c>
      <c r="C470" t="s">
        <v>898</v>
      </c>
      <c r="D470" t="s">
        <v>898</v>
      </c>
      <c r="E470" t="s">
        <v>898</v>
      </c>
      <c r="F470" t="s">
        <v>898</v>
      </c>
      <c r="G470" t="s">
        <v>898</v>
      </c>
      <c r="H470" t="s">
        <v>898</v>
      </c>
      <c r="I470" t="s">
        <v>898</v>
      </c>
      <c r="J470" t="s">
        <v>898</v>
      </c>
      <c r="K470" t="s">
        <v>898</v>
      </c>
      <c r="L470" t="s">
        <v>898</v>
      </c>
      <c r="M470" t="s">
        <v>898</v>
      </c>
      <c r="N470" t="s">
        <v>898</v>
      </c>
      <c r="O470" t="s">
        <v>898</v>
      </c>
      <c r="P470" t="s">
        <v>898</v>
      </c>
      <c r="Q470" t="s">
        <v>898</v>
      </c>
      <c r="R470" t="s">
        <v>898</v>
      </c>
      <c r="S470" t="s">
        <v>898</v>
      </c>
      <c r="T470" t="s">
        <v>898</v>
      </c>
      <c r="U470" t="s">
        <v>898</v>
      </c>
      <c r="V470" t="s">
        <v>898</v>
      </c>
      <c r="W470" t="s">
        <v>898</v>
      </c>
      <c r="X470" t="s">
        <v>898</v>
      </c>
      <c r="Y470" t="e">
        <v>#REF!</v>
      </c>
      <c r="Z470" t="e">
        <v>#REF!</v>
      </c>
    </row>
    <row r="471">
      <c r="A471" t="s">
        <v>898</v>
      </c>
      <c r="B471" t="s">
        <v>898</v>
      </c>
      <c r="C471" t="s">
        <v>898</v>
      </c>
      <c r="D471" t="s">
        <v>898</v>
      </c>
      <c r="E471" t="s">
        <v>898</v>
      </c>
      <c r="F471" t="s">
        <v>898</v>
      </c>
      <c r="G471" t="s">
        <v>898</v>
      </c>
      <c r="H471" t="s">
        <v>898</v>
      </c>
      <c r="I471" t="s">
        <v>898</v>
      </c>
      <c r="J471" t="s">
        <v>898</v>
      </c>
      <c r="K471" t="s">
        <v>898</v>
      </c>
      <c r="L471" t="s">
        <v>898</v>
      </c>
      <c r="M471" t="s">
        <v>898</v>
      </c>
      <c r="N471" t="s">
        <v>898</v>
      </c>
      <c r="O471" t="s">
        <v>898</v>
      </c>
      <c r="P471" t="s">
        <v>898</v>
      </c>
      <c r="Q471" t="s">
        <v>898</v>
      </c>
      <c r="R471" t="s">
        <v>898</v>
      </c>
      <c r="S471" t="s">
        <v>898</v>
      </c>
      <c r="T471" t="s">
        <v>898</v>
      </c>
      <c r="U471" t="s">
        <v>898</v>
      </c>
      <c r="V471" t="s">
        <v>898</v>
      </c>
      <c r="W471" t="s">
        <v>898</v>
      </c>
      <c r="X471" t="s">
        <v>898</v>
      </c>
      <c r="Y471" t="e">
        <v>#REF!</v>
      </c>
      <c r="Z471" t="e">
        <v>#REF!</v>
      </c>
    </row>
    <row r="472">
      <c r="A472" t="s">
        <v>898</v>
      </c>
      <c r="B472" t="s">
        <v>898</v>
      </c>
      <c r="C472" t="s">
        <v>898</v>
      </c>
      <c r="D472" t="s">
        <v>898</v>
      </c>
      <c r="E472" t="s">
        <v>898</v>
      </c>
      <c r="F472" t="s">
        <v>898</v>
      </c>
      <c r="G472" t="s">
        <v>898</v>
      </c>
      <c r="H472" t="s">
        <v>898</v>
      </c>
      <c r="I472" t="s">
        <v>898</v>
      </c>
      <c r="J472" t="s">
        <v>898</v>
      </c>
      <c r="K472" t="s">
        <v>898</v>
      </c>
      <c r="L472" t="s">
        <v>898</v>
      </c>
      <c r="M472" t="s">
        <v>898</v>
      </c>
      <c r="N472" t="s">
        <v>898</v>
      </c>
      <c r="O472" t="s">
        <v>898</v>
      </c>
      <c r="P472" t="s">
        <v>898</v>
      </c>
      <c r="Q472" t="s">
        <v>898</v>
      </c>
      <c r="R472" t="s">
        <v>898</v>
      </c>
      <c r="S472" t="s">
        <v>898</v>
      </c>
      <c r="T472" t="s">
        <v>898</v>
      </c>
      <c r="U472" t="s">
        <v>898</v>
      </c>
      <c r="V472" t="s">
        <v>898</v>
      </c>
      <c r="W472" t="s">
        <v>898</v>
      </c>
      <c r="X472" t="s">
        <v>898</v>
      </c>
      <c r="Y472" t="e">
        <v>#REF!</v>
      </c>
      <c r="Z472" t="e">
        <v>#REF!</v>
      </c>
    </row>
    <row r="473">
      <c r="A473" t="s">
        <v>898</v>
      </c>
      <c r="B473" t="s">
        <v>898</v>
      </c>
      <c r="C473" t="s">
        <v>898</v>
      </c>
      <c r="D473" t="s">
        <v>898</v>
      </c>
      <c r="E473" t="s">
        <v>898</v>
      </c>
      <c r="F473" t="s">
        <v>898</v>
      </c>
      <c r="G473" t="s">
        <v>898</v>
      </c>
      <c r="H473" t="s">
        <v>898</v>
      </c>
      <c r="I473" t="s">
        <v>898</v>
      </c>
      <c r="J473" t="s">
        <v>898</v>
      </c>
      <c r="K473" t="s">
        <v>898</v>
      </c>
      <c r="L473" t="s">
        <v>898</v>
      </c>
      <c r="M473" t="s">
        <v>898</v>
      </c>
      <c r="N473" t="s">
        <v>898</v>
      </c>
      <c r="O473" t="s">
        <v>898</v>
      </c>
      <c r="P473" t="s">
        <v>898</v>
      </c>
      <c r="Q473" t="s">
        <v>898</v>
      </c>
      <c r="R473" t="s">
        <v>898</v>
      </c>
      <c r="S473" t="s">
        <v>898</v>
      </c>
      <c r="T473" t="s">
        <v>898</v>
      </c>
      <c r="U473" t="s">
        <v>898</v>
      </c>
      <c r="V473" t="s">
        <v>898</v>
      </c>
      <c r="W473" t="s">
        <v>898</v>
      </c>
      <c r="X473" t="s">
        <v>898</v>
      </c>
      <c r="Y473" t="e">
        <v>#REF!</v>
      </c>
      <c r="Z473" t="e">
        <v>#REF!</v>
      </c>
    </row>
    <row r="474">
      <c r="A474" t="s">
        <v>898</v>
      </c>
      <c r="B474" t="s">
        <v>898</v>
      </c>
      <c r="C474" t="s">
        <v>898</v>
      </c>
      <c r="D474" t="s">
        <v>898</v>
      </c>
      <c r="E474" t="s">
        <v>898</v>
      </c>
      <c r="F474" t="s">
        <v>898</v>
      </c>
      <c r="G474" t="s">
        <v>898</v>
      </c>
      <c r="H474" t="s">
        <v>898</v>
      </c>
      <c r="I474" t="s">
        <v>898</v>
      </c>
      <c r="J474" t="s">
        <v>898</v>
      </c>
      <c r="K474" t="s">
        <v>898</v>
      </c>
      <c r="L474" t="s">
        <v>898</v>
      </c>
      <c r="M474" t="s">
        <v>898</v>
      </c>
      <c r="N474" t="s">
        <v>898</v>
      </c>
      <c r="O474" t="s">
        <v>898</v>
      </c>
      <c r="P474" t="s">
        <v>898</v>
      </c>
      <c r="Q474" t="s">
        <v>898</v>
      </c>
      <c r="R474" t="s">
        <v>898</v>
      </c>
      <c r="S474" t="s">
        <v>898</v>
      </c>
      <c r="T474" t="s">
        <v>898</v>
      </c>
      <c r="U474" t="s">
        <v>898</v>
      </c>
      <c r="V474" t="s">
        <v>898</v>
      </c>
      <c r="W474" t="s">
        <v>898</v>
      </c>
      <c r="X474" t="s">
        <v>898</v>
      </c>
      <c r="Y474" t="e">
        <v>#REF!</v>
      </c>
      <c r="Z474" t="e">
        <v>#REF!</v>
      </c>
    </row>
    <row r="475">
      <c r="A475" t="s">
        <v>898</v>
      </c>
      <c r="B475" t="s">
        <v>898</v>
      </c>
      <c r="C475" t="s">
        <v>898</v>
      </c>
      <c r="D475" t="s">
        <v>898</v>
      </c>
      <c r="E475" t="s">
        <v>898</v>
      </c>
      <c r="F475" t="s">
        <v>898</v>
      </c>
      <c r="G475" t="s">
        <v>898</v>
      </c>
      <c r="H475" t="s">
        <v>898</v>
      </c>
      <c r="I475" t="s">
        <v>898</v>
      </c>
      <c r="J475" t="s">
        <v>898</v>
      </c>
      <c r="K475" t="s">
        <v>898</v>
      </c>
      <c r="L475" t="s">
        <v>898</v>
      </c>
      <c r="M475" t="s">
        <v>898</v>
      </c>
      <c r="N475" t="s">
        <v>898</v>
      </c>
      <c r="O475" t="s">
        <v>898</v>
      </c>
      <c r="P475" t="s">
        <v>898</v>
      </c>
      <c r="Q475" t="s">
        <v>898</v>
      </c>
      <c r="R475" t="s">
        <v>898</v>
      </c>
      <c r="S475" t="s">
        <v>898</v>
      </c>
      <c r="T475" t="s">
        <v>898</v>
      </c>
      <c r="U475" t="s">
        <v>898</v>
      </c>
      <c r="V475" t="s">
        <v>898</v>
      </c>
      <c r="W475" t="s">
        <v>898</v>
      </c>
      <c r="X475" t="s">
        <v>898</v>
      </c>
      <c r="Y475" t="e">
        <v>#REF!</v>
      </c>
      <c r="Z475" t="e">
        <v>#REF!</v>
      </c>
    </row>
    <row r="476">
      <c r="A476" t="s">
        <v>898</v>
      </c>
      <c r="B476" t="s">
        <v>898</v>
      </c>
      <c r="C476" t="s">
        <v>898</v>
      </c>
      <c r="D476" t="s">
        <v>898</v>
      </c>
      <c r="E476" t="s">
        <v>898</v>
      </c>
      <c r="F476" t="s">
        <v>898</v>
      </c>
      <c r="G476" t="s">
        <v>898</v>
      </c>
      <c r="H476" t="s">
        <v>898</v>
      </c>
      <c r="I476" t="s">
        <v>898</v>
      </c>
      <c r="J476" t="s">
        <v>898</v>
      </c>
      <c r="K476" t="s">
        <v>898</v>
      </c>
      <c r="L476" t="s">
        <v>898</v>
      </c>
      <c r="M476" t="s">
        <v>898</v>
      </c>
      <c r="N476" t="s">
        <v>898</v>
      </c>
      <c r="O476" t="s">
        <v>898</v>
      </c>
      <c r="P476" t="s">
        <v>898</v>
      </c>
      <c r="Q476" t="s">
        <v>898</v>
      </c>
      <c r="R476" t="s">
        <v>898</v>
      </c>
      <c r="S476" t="s">
        <v>898</v>
      </c>
      <c r="T476" t="s">
        <v>898</v>
      </c>
      <c r="U476" t="s">
        <v>898</v>
      </c>
      <c r="V476" t="s">
        <v>898</v>
      </c>
      <c r="W476" t="s">
        <v>898</v>
      </c>
      <c r="X476" t="s">
        <v>898</v>
      </c>
      <c r="Y476" t="e">
        <v>#REF!</v>
      </c>
      <c r="Z476" t="e">
        <v>#REF!</v>
      </c>
    </row>
    <row r="477">
      <c r="A477" t="s">
        <v>898</v>
      </c>
      <c r="B477" t="s">
        <v>898</v>
      </c>
      <c r="C477" t="s">
        <v>898</v>
      </c>
      <c r="D477" t="s">
        <v>898</v>
      </c>
      <c r="E477" t="s">
        <v>898</v>
      </c>
      <c r="F477" t="s">
        <v>898</v>
      </c>
      <c r="G477" t="s">
        <v>898</v>
      </c>
      <c r="H477" t="s">
        <v>898</v>
      </c>
      <c r="I477" t="s">
        <v>898</v>
      </c>
      <c r="J477" t="s">
        <v>898</v>
      </c>
      <c r="K477" t="s">
        <v>898</v>
      </c>
      <c r="L477" t="s">
        <v>898</v>
      </c>
      <c r="M477" t="s">
        <v>898</v>
      </c>
      <c r="N477" t="s">
        <v>898</v>
      </c>
      <c r="O477" t="s">
        <v>898</v>
      </c>
      <c r="P477" t="s">
        <v>898</v>
      </c>
      <c r="Q477" t="s">
        <v>898</v>
      </c>
      <c r="R477" t="s">
        <v>898</v>
      </c>
      <c r="S477" t="s">
        <v>898</v>
      </c>
      <c r="T477" t="s">
        <v>898</v>
      </c>
      <c r="U477" t="s">
        <v>898</v>
      </c>
      <c r="V477" t="s">
        <v>898</v>
      </c>
      <c r="W477" t="s">
        <v>898</v>
      </c>
      <c r="X477" t="s">
        <v>898</v>
      </c>
      <c r="Y477" t="e">
        <v>#REF!</v>
      </c>
      <c r="Z477" t="e">
        <v>#REF!</v>
      </c>
    </row>
    <row r="478">
      <c r="A478" t="s">
        <v>898</v>
      </c>
      <c r="B478" t="s">
        <v>898</v>
      </c>
      <c r="C478" t="s">
        <v>898</v>
      </c>
      <c r="D478" t="s">
        <v>898</v>
      </c>
      <c r="E478" t="s">
        <v>898</v>
      </c>
      <c r="F478" t="s">
        <v>898</v>
      </c>
      <c r="G478" t="s">
        <v>898</v>
      </c>
      <c r="H478" t="s">
        <v>898</v>
      </c>
      <c r="I478" t="s">
        <v>898</v>
      </c>
      <c r="J478" t="s">
        <v>898</v>
      </c>
      <c r="K478" t="s">
        <v>898</v>
      </c>
      <c r="L478" t="s">
        <v>898</v>
      </c>
      <c r="M478" t="s">
        <v>898</v>
      </c>
      <c r="N478" t="s">
        <v>898</v>
      </c>
      <c r="O478" t="s">
        <v>898</v>
      </c>
      <c r="P478" t="s">
        <v>898</v>
      </c>
      <c r="Q478" t="s">
        <v>898</v>
      </c>
      <c r="R478" t="s">
        <v>898</v>
      </c>
      <c r="S478" t="s">
        <v>898</v>
      </c>
      <c r="T478" t="s">
        <v>898</v>
      </c>
      <c r="U478" t="s">
        <v>898</v>
      </c>
      <c r="V478" t="s">
        <v>898</v>
      </c>
      <c r="W478" t="s">
        <v>898</v>
      </c>
      <c r="X478" t="s">
        <v>898</v>
      </c>
      <c r="Y478" t="e">
        <v>#REF!</v>
      </c>
      <c r="Z478" t="e">
        <v>#REF!</v>
      </c>
    </row>
    <row r="479">
      <c r="A479" t="s">
        <v>898</v>
      </c>
      <c r="B479" t="s">
        <v>898</v>
      </c>
      <c r="C479" t="s">
        <v>898</v>
      </c>
      <c r="D479" t="s">
        <v>898</v>
      </c>
      <c r="E479" t="s">
        <v>898</v>
      </c>
      <c r="F479" t="s">
        <v>898</v>
      </c>
      <c r="G479" t="s">
        <v>898</v>
      </c>
      <c r="H479" t="s">
        <v>898</v>
      </c>
      <c r="I479" t="s">
        <v>898</v>
      </c>
      <c r="J479" t="s">
        <v>898</v>
      </c>
      <c r="K479" t="s">
        <v>898</v>
      </c>
      <c r="L479" t="s">
        <v>898</v>
      </c>
      <c r="M479" t="s">
        <v>898</v>
      </c>
      <c r="N479" t="s">
        <v>898</v>
      </c>
      <c r="O479" t="s">
        <v>898</v>
      </c>
      <c r="P479" t="s">
        <v>898</v>
      </c>
      <c r="Q479" t="s">
        <v>898</v>
      </c>
      <c r="R479" t="s">
        <v>898</v>
      </c>
      <c r="S479" t="s">
        <v>898</v>
      </c>
      <c r="T479" t="s">
        <v>898</v>
      </c>
      <c r="U479" t="s">
        <v>898</v>
      </c>
      <c r="V479" t="s">
        <v>898</v>
      </c>
      <c r="W479" t="s">
        <v>898</v>
      </c>
      <c r="X479" t="s">
        <v>898</v>
      </c>
      <c r="Y479" t="e">
        <v>#REF!</v>
      </c>
      <c r="Z479" t="e">
        <v>#REF!</v>
      </c>
    </row>
    <row r="480">
      <c r="A480" t="s">
        <v>898</v>
      </c>
      <c r="B480" t="s">
        <v>898</v>
      </c>
      <c r="C480" t="s">
        <v>898</v>
      </c>
      <c r="D480" t="s">
        <v>898</v>
      </c>
      <c r="E480" t="s">
        <v>898</v>
      </c>
      <c r="F480" t="s">
        <v>898</v>
      </c>
      <c r="G480" t="s">
        <v>898</v>
      </c>
      <c r="H480" t="s">
        <v>898</v>
      </c>
      <c r="I480" t="s">
        <v>898</v>
      </c>
      <c r="J480" t="s">
        <v>898</v>
      </c>
      <c r="K480" t="s">
        <v>898</v>
      </c>
      <c r="L480" t="s">
        <v>898</v>
      </c>
      <c r="M480" t="s">
        <v>898</v>
      </c>
      <c r="N480" t="s">
        <v>898</v>
      </c>
      <c r="O480" t="s">
        <v>898</v>
      </c>
      <c r="P480" t="s">
        <v>898</v>
      </c>
      <c r="Q480" t="s">
        <v>898</v>
      </c>
      <c r="R480" t="s">
        <v>898</v>
      </c>
      <c r="S480" t="s">
        <v>898</v>
      </c>
      <c r="T480" t="s">
        <v>898</v>
      </c>
      <c r="U480" t="s">
        <v>898</v>
      </c>
      <c r="V480" t="s">
        <v>898</v>
      </c>
      <c r="W480" t="s">
        <v>898</v>
      </c>
      <c r="X480" t="s">
        <v>898</v>
      </c>
      <c r="Y480" t="e">
        <v>#REF!</v>
      </c>
      <c r="Z480" t="e">
        <v>#REF!</v>
      </c>
    </row>
    <row r="481">
      <c r="A481" t="s">
        <v>898</v>
      </c>
      <c r="B481" t="s">
        <v>898</v>
      </c>
      <c r="C481" t="s">
        <v>898</v>
      </c>
      <c r="D481" t="s">
        <v>898</v>
      </c>
      <c r="E481" t="s">
        <v>898</v>
      </c>
      <c r="F481" t="s">
        <v>898</v>
      </c>
      <c r="G481" t="s">
        <v>898</v>
      </c>
      <c r="H481" t="s">
        <v>898</v>
      </c>
      <c r="I481" t="s">
        <v>898</v>
      </c>
      <c r="J481" t="s">
        <v>898</v>
      </c>
      <c r="K481" t="s">
        <v>898</v>
      </c>
      <c r="L481" t="s">
        <v>898</v>
      </c>
      <c r="M481" t="s">
        <v>898</v>
      </c>
      <c r="N481" t="s">
        <v>898</v>
      </c>
      <c r="O481" t="s">
        <v>898</v>
      </c>
      <c r="P481" t="s">
        <v>898</v>
      </c>
      <c r="Q481" t="s">
        <v>898</v>
      </c>
      <c r="R481" t="s">
        <v>898</v>
      </c>
      <c r="S481" t="s">
        <v>898</v>
      </c>
      <c r="T481" t="s">
        <v>898</v>
      </c>
      <c r="U481" t="s">
        <v>898</v>
      </c>
      <c r="V481" t="s">
        <v>898</v>
      </c>
      <c r="W481" t="s">
        <v>898</v>
      </c>
      <c r="X481" t="s">
        <v>898</v>
      </c>
      <c r="Y481" t="e">
        <v>#REF!</v>
      </c>
      <c r="Z481" t="e">
        <v>#REF!</v>
      </c>
    </row>
    <row r="482">
      <c r="A482" t="s">
        <v>898</v>
      </c>
      <c r="B482" t="s">
        <v>898</v>
      </c>
      <c r="C482" t="s">
        <v>898</v>
      </c>
      <c r="D482" t="s">
        <v>898</v>
      </c>
      <c r="E482" t="s">
        <v>898</v>
      </c>
      <c r="F482" t="s">
        <v>898</v>
      </c>
      <c r="G482" t="s">
        <v>898</v>
      </c>
      <c r="H482" t="s">
        <v>898</v>
      </c>
      <c r="I482" t="s">
        <v>898</v>
      </c>
      <c r="J482" t="s">
        <v>898</v>
      </c>
      <c r="K482" t="s">
        <v>898</v>
      </c>
      <c r="L482" t="s">
        <v>898</v>
      </c>
      <c r="M482" t="s">
        <v>898</v>
      </c>
      <c r="N482" t="s">
        <v>898</v>
      </c>
      <c r="O482" t="s">
        <v>898</v>
      </c>
      <c r="P482" t="s">
        <v>898</v>
      </c>
      <c r="Q482" t="s">
        <v>898</v>
      </c>
      <c r="R482" t="s">
        <v>898</v>
      </c>
      <c r="S482" t="s">
        <v>898</v>
      </c>
      <c r="T482" t="s">
        <v>898</v>
      </c>
      <c r="U482" t="s">
        <v>898</v>
      </c>
      <c r="V482" t="s">
        <v>898</v>
      </c>
      <c r="W482" t="s">
        <v>898</v>
      </c>
      <c r="X482" t="s">
        <v>898</v>
      </c>
      <c r="Y482" t="e">
        <v>#REF!</v>
      </c>
      <c r="Z482" t="e">
        <v>#REF!</v>
      </c>
    </row>
    <row r="483">
      <c r="A483" t="s">
        <v>898</v>
      </c>
      <c r="B483" t="s">
        <v>898</v>
      </c>
      <c r="C483" t="s">
        <v>898</v>
      </c>
      <c r="D483" t="s">
        <v>898</v>
      </c>
      <c r="E483" t="s">
        <v>898</v>
      </c>
      <c r="F483" t="s">
        <v>898</v>
      </c>
      <c r="G483" t="s">
        <v>898</v>
      </c>
      <c r="H483" t="s">
        <v>898</v>
      </c>
      <c r="I483" t="s">
        <v>898</v>
      </c>
      <c r="J483" t="s">
        <v>898</v>
      </c>
      <c r="K483" t="s">
        <v>898</v>
      </c>
      <c r="L483" t="s">
        <v>898</v>
      </c>
      <c r="M483" t="s">
        <v>898</v>
      </c>
      <c r="N483" t="s">
        <v>898</v>
      </c>
      <c r="O483" t="s">
        <v>898</v>
      </c>
      <c r="P483" t="s">
        <v>898</v>
      </c>
      <c r="Q483" t="s">
        <v>898</v>
      </c>
      <c r="R483" t="s">
        <v>898</v>
      </c>
      <c r="S483" t="s">
        <v>898</v>
      </c>
      <c r="T483" t="s">
        <v>898</v>
      </c>
      <c r="U483" t="s">
        <v>898</v>
      </c>
      <c r="V483" t="s">
        <v>898</v>
      </c>
      <c r="W483" t="s">
        <v>898</v>
      </c>
      <c r="X483" t="s">
        <v>898</v>
      </c>
      <c r="Y483" t="e">
        <v>#REF!</v>
      </c>
      <c r="Z483" t="e">
        <v>#REF!</v>
      </c>
    </row>
    <row r="484">
      <c r="A484" t="s">
        <v>898</v>
      </c>
      <c r="B484" t="s">
        <v>898</v>
      </c>
      <c r="C484" t="s">
        <v>898</v>
      </c>
      <c r="D484" t="s">
        <v>898</v>
      </c>
      <c r="E484" t="s">
        <v>898</v>
      </c>
      <c r="F484" t="s">
        <v>898</v>
      </c>
      <c r="G484" t="s">
        <v>898</v>
      </c>
      <c r="H484" t="s">
        <v>898</v>
      </c>
      <c r="I484" t="s">
        <v>898</v>
      </c>
      <c r="J484" t="s">
        <v>898</v>
      </c>
      <c r="K484" t="s">
        <v>898</v>
      </c>
      <c r="L484" t="s">
        <v>898</v>
      </c>
      <c r="M484" t="s">
        <v>898</v>
      </c>
      <c r="N484" t="s">
        <v>898</v>
      </c>
      <c r="O484" t="s">
        <v>898</v>
      </c>
      <c r="P484" t="s">
        <v>898</v>
      </c>
      <c r="Q484" t="s">
        <v>898</v>
      </c>
      <c r="R484" t="s">
        <v>898</v>
      </c>
      <c r="S484" t="s">
        <v>898</v>
      </c>
      <c r="T484" t="s">
        <v>898</v>
      </c>
      <c r="U484" t="s">
        <v>898</v>
      </c>
      <c r="V484" t="s">
        <v>898</v>
      </c>
      <c r="W484" t="s">
        <v>898</v>
      </c>
      <c r="X484" t="s">
        <v>898</v>
      </c>
      <c r="Y484" t="e">
        <v>#REF!</v>
      </c>
      <c r="Z484" t="e">
        <v>#REF!</v>
      </c>
    </row>
    <row r="485">
      <c r="A485" t="s">
        <v>898</v>
      </c>
      <c r="B485" t="s">
        <v>898</v>
      </c>
      <c r="C485" t="s">
        <v>898</v>
      </c>
      <c r="D485" t="s">
        <v>898</v>
      </c>
      <c r="E485" t="s">
        <v>898</v>
      </c>
      <c r="F485" t="s">
        <v>898</v>
      </c>
      <c r="G485" t="s">
        <v>898</v>
      </c>
      <c r="H485" t="s">
        <v>898</v>
      </c>
      <c r="I485" t="s">
        <v>898</v>
      </c>
      <c r="J485" t="s">
        <v>898</v>
      </c>
      <c r="K485" t="s">
        <v>898</v>
      </c>
      <c r="L485" t="s">
        <v>898</v>
      </c>
      <c r="M485" t="s">
        <v>898</v>
      </c>
      <c r="N485" t="s">
        <v>898</v>
      </c>
      <c r="O485" t="s">
        <v>898</v>
      </c>
      <c r="P485" t="s">
        <v>898</v>
      </c>
      <c r="Q485" t="s">
        <v>898</v>
      </c>
      <c r="R485" t="s">
        <v>898</v>
      </c>
      <c r="S485" t="s">
        <v>898</v>
      </c>
      <c r="T485" t="s">
        <v>898</v>
      </c>
      <c r="U485" t="s">
        <v>898</v>
      </c>
      <c r="V485" t="s">
        <v>898</v>
      </c>
      <c r="W485" t="s">
        <v>898</v>
      </c>
      <c r="X485" t="s">
        <v>898</v>
      </c>
      <c r="Y485" t="e">
        <v>#REF!</v>
      </c>
      <c r="Z485" t="e">
        <v>#REF!</v>
      </c>
    </row>
    <row r="486">
      <c r="A486" t="s">
        <v>898</v>
      </c>
      <c r="B486" t="s">
        <v>898</v>
      </c>
      <c r="C486" t="s">
        <v>898</v>
      </c>
      <c r="D486" t="s">
        <v>898</v>
      </c>
      <c r="E486" t="s">
        <v>898</v>
      </c>
      <c r="F486" t="s">
        <v>898</v>
      </c>
      <c r="G486" t="s">
        <v>898</v>
      </c>
      <c r="H486" t="s">
        <v>898</v>
      </c>
      <c r="I486" t="s">
        <v>898</v>
      </c>
      <c r="J486" t="s">
        <v>898</v>
      </c>
      <c r="K486" t="s">
        <v>898</v>
      </c>
      <c r="L486" t="s">
        <v>898</v>
      </c>
      <c r="M486" t="s">
        <v>898</v>
      </c>
      <c r="N486" t="s">
        <v>898</v>
      </c>
      <c r="O486" t="s">
        <v>898</v>
      </c>
      <c r="P486" t="s">
        <v>898</v>
      </c>
      <c r="Q486" t="s">
        <v>898</v>
      </c>
      <c r="R486" t="s">
        <v>898</v>
      </c>
      <c r="S486" t="s">
        <v>898</v>
      </c>
      <c r="T486" t="s">
        <v>898</v>
      </c>
      <c r="U486" t="s">
        <v>898</v>
      </c>
      <c r="V486" t="s">
        <v>898</v>
      </c>
      <c r="W486" t="s">
        <v>898</v>
      </c>
      <c r="X486" t="s">
        <v>898</v>
      </c>
      <c r="Y486" t="e">
        <v>#REF!</v>
      </c>
      <c r="Z486" t="e">
        <v>#REF!</v>
      </c>
    </row>
    <row r="487">
      <c r="A487" t="s">
        <v>898</v>
      </c>
      <c r="B487" t="s">
        <v>898</v>
      </c>
      <c r="C487" t="s">
        <v>898</v>
      </c>
      <c r="D487" t="s">
        <v>898</v>
      </c>
      <c r="E487" t="s">
        <v>898</v>
      </c>
      <c r="F487" t="s">
        <v>898</v>
      </c>
      <c r="G487" t="s">
        <v>898</v>
      </c>
      <c r="H487" t="s">
        <v>898</v>
      </c>
      <c r="I487" t="s">
        <v>898</v>
      </c>
      <c r="J487" t="s">
        <v>898</v>
      </c>
      <c r="K487" t="s">
        <v>898</v>
      </c>
      <c r="L487" t="s">
        <v>898</v>
      </c>
      <c r="M487" t="s">
        <v>898</v>
      </c>
      <c r="N487" t="s">
        <v>898</v>
      </c>
      <c r="O487" t="s">
        <v>898</v>
      </c>
      <c r="P487" t="s">
        <v>898</v>
      </c>
      <c r="Q487" t="s">
        <v>898</v>
      </c>
      <c r="R487" t="s">
        <v>898</v>
      </c>
      <c r="S487" t="s">
        <v>898</v>
      </c>
      <c r="T487" t="s">
        <v>898</v>
      </c>
      <c r="U487" t="s">
        <v>898</v>
      </c>
      <c r="V487" t="s">
        <v>898</v>
      </c>
      <c r="W487" t="s">
        <v>898</v>
      </c>
      <c r="X487" t="s">
        <v>898</v>
      </c>
      <c r="Y487" t="e">
        <v>#REF!</v>
      </c>
      <c r="Z487" t="e">
        <v>#REF!</v>
      </c>
    </row>
    <row r="488">
      <c r="A488" t="s">
        <v>898</v>
      </c>
      <c r="B488" t="s">
        <v>898</v>
      </c>
      <c r="C488" t="s">
        <v>898</v>
      </c>
      <c r="D488" t="s">
        <v>898</v>
      </c>
      <c r="E488" t="s">
        <v>898</v>
      </c>
      <c r="F488" t="s">
        <v>898</v>
      </c>
      <c r="G488" t="s">
        <v>898</v>
      </c>
      <c r="H488" t="s">
        <v>898</v>
      </c>
      <c r="I488" t="s">
        <v>898</v>
      </c>
      <c r="J488" t="s">
        <v>898</v>
      </c>
      <c r="K488" t="s">
        <v>898</v>
      </c>
      <c r="L488" t="s">
        <v>898</v>
      </c>
      <c r="M488" t="s">
        <v>898</v>
      </c>
      <c r="N488" t="s">
        <v>898</v>
      </c>
      <c r="O488" t="s">
        <v>898</v>
      </c>
      <c r="P488" t="s">
        <v>898</v>
      </c>
      <c r="Q488" t="s">
        <v>898</v>
      </c>
      <c r="R488" t="s">
        <v>898</v>
      </c>
      <c r="S488" t="s">
        <v>898</v>
      </c>
      <c r="T488" t="s">
        <v>898</v>
      </c>
      <c r="U488" t="s">
        <v>898</v>
      </c>
      <c r="V488" t="s">
        <v>898</v>
      </c>
      <c r="W488" t="s">
        <v>898</v>
      </c>
      <c r="X488" t="s">
        <v>898</v>
      </c>
      <c r="Y488" t="e">
        <v>#REF!</v>
      </c>
      <c r="Z488" t="e">
        <v>#REF!</v>
      </c>
    </row>
    <row r="489">
      <c r="A489" t="s">
        <v>898</v>
      </c>
      <c r="B489" t="s">
        <v>898</v>
      </c>
      <c r="C489" t="s">
        <v>898</v>
      </c>
      <c r="D489" t="s">
        <v>898</v>
      </c>
      <c r="E489" t="s">
        <v>898</v>
      </c>
      <c r="F489" t="s">
        <v>898</v>
      </c>
      <c r="G489" t="s">
        <v>898</v>
      </c>
      <c r="H489" t="s">
        <v>898</v>
      </c>
      <c r="I489" t="s">
        <v>898</v>
      </c>
      <c r="J489" t="s">
        <v>898</v>
      </c>
      <c r="K489" t="s">
        <v>898</v>
      </c>
      <c r="L489" t="s">
        <v>898</v>
      </c>
      <c r="M489" t="s">
        <v>898</v>
      </c>
      <c r="N489" t="s">
        <v>898</v>
      </c>
      <c r="O489" t="s">
        <v>898</v>
      </c>
      <c r="P489" t="s">
        <v>898</v>
      </c>
      <c r="Q489" t="s">
        <v>898</v>
      </c>
      <c r="R489" t="s">
        <v>898</v>
      </c>
      <c r="S489" t="s">
        <v>898</v>
      </c>
      <c r="T489" t="s">
        <v>898</v>
      </c>
      <c r="U489" t="s">
        <v>898</v>
      </c>
      <c r="V489" t="s">
        <v>898</v>
      </c>
      <c r="W489" t="s">
        <v>898</v>
      </c>
      <c r="X489" t="s">
        <v>898</v>
      </c>
      <c r="Y489" t="e">
        <v>#REF!</v>
      </c>
      <c r="Z489" t="e">
        <v>#REF!</v>
      </c>
    </row>
    <row r="490">
      <c r="A490" t="s">
        <v>898</v>
      </c>
      <c r="B490" t="s">
        <v>898</v>
      </c>
      <c r="C490" t="s">
        <v>898</v>
      </c>
      <c r="D490" t="s">
        <v>898</v>
      </c>
      <c r="E490" t="s">
        <v>898</v>
      </c>
      <c r="F490" t="s">
        <v>898</v>
      </c>
      <c r="G490" t="s">
        <v>898</v>
      </c>
      <c r="H490" t="s">
        <v>898</v>
      </c>
      <c r="I490" t="s">
        <v>898</v>
      </c>
      <c r="J490" t="s">
        <v>898</v>
      </c>
      <c r="K490" t="s">
        <v>898</v>
      </c>
      <c r="L490" t="s">
        <v>898</v>
      </c>
      <c r="M490" t="s">
        <v>898</v>
      </c>
      <c r="N490" t="s">
        <v>898</v>
      </c>
      <c r="O490" t="s">
        <v>898</v>
      </c>
      <c r="P490" t="s">
        <v>898</v>
      </c>
      <c r="Q490" t="s">
        <v>898</v>
      </c>
      <c r="R490" t="s">
        <v>898</v>
      </c>
      <c r="S490" t="s">
        <v>898</v>
      </c>
      <c r="T490" t="s">
        <v>898</v>
      </c>
      <c r="U490" t="s">
        <v>898</v>
      </c>
      <c r="V490" t="s">
        <v>898</v>
      </c>
      <c r="W490" t="s">
        <v>898</v>
      </c>
      <c r="X490" t="s">
        <v>898</v>
      </c>
      <c r="Y490" t="e">
        <v>#REF!</v>
      </c>
      <c r="Z490" t="e">
        <v>#REF!</v>
      </c>
    </row>
    <row r="491">
      <c r="A491" t="s">
        <v>898</v>
      </c>
      <c r="B491" t="s">
        <v>898</v>
      </c>
      <c r="C491" t="s">
        <v>898</v>
      </c>
      <c r="D491" t="s">
        <v>898</v>
      </c>
      <c r="E491" t="s">
        <v>898</v>
      </c>
      <c r="F491" t="s">
        <v>898</v>
      </c>
      <c r="G491" t="s">
        <v>898</v>
      </c>
      <c r="H491" t="s">
        <v>898</v>
      </c>
      <c r="I491" t="s">
        <v>898</v>
      </c>
      <c r="J491" t="s">
        <v>898</v>
      </c>
      <c r="K491" t="s">
        <v>898</v>
      </c>
      <c r="L491" t="s">
        <v>898</v>
      </c>
      <c r="M491" t="s">
        <v>898</v>
      </c>
      <c r="N491" t="s">
        <v>898</v>
      </c>
      <c r="O491" t="s">
        <v>898</v>
      </c>
      <c r="P491" t="s">
        <v>898</v>
      </c>
      <c r="Q491" t="s">
        <v>898</v>
      </c>
      <c r="R491" t="s">
        <v>898</v>
      </c>
      <c r="S491" t="s">
        <v>898</v>
      </c>
      <c r="T491" t="s">
        <v>898</v>
      </c>
      <c r="U491" t="s">
        <v>898</v>
      </c>
      <c r="V491" t="s">
        <v>898</v>
      </c>
      <c r="W491" t="s">
        <v>898</v>
      </c>
      <c r="X491" t="s">
        <v>898</v>
      </c>
      <c r="Y491" t="e">
        <v>#REF!</v>
      </c>
      <c r="Z491" t="e">
        <v>#REF!</v>
      </c>
    </row>
    <row r="492">
      <c r="A492" t="s">
        <v>898</v>
      </c>
      <c r="B492" t="s">
        <v>898</v>
      </c>
      <c r="C492" t="s">
        <v>898</v>
      </c>
      <c r="D492" t="s">
        <v>898</v>
      </c>
      <c r="E492" t="s">
        <v>898</v>
      </c>
      <c r="F492" t="s">
        <v>898</v>
      </c>
      <c r="G492" t="s">
        <v>898</v>
      </c>
      <c r="H492" t="s">
        <v>898</v>
      </c>
      <c r="I492" t="s">
        <v>898</v>
      </c>
      <c r="J492" t="s">
        <v>898</v>
      </c>
      <c r="K492" t="s">
        <v>898</v>
      </c>
      <c r="L492" t="s">
        <v>898</v>
      </c>
      <c r="M492" t="s">
        <v>898</v>
      </c>
      <c r="N492" t="s">
        <v>898</v>
      </c>
      <c r="O492" t="s">
        <v>898</v>
      </c>
      <c r="P492" t="s">
        <v>898</v>
      </c>
      <c r="Q492" t="s">
        <v>898</v>
      </c>
      <c r="R492" t="s">
        <v>898</v>
      </c>
      <c r="S492" t="s">
        <v>898</v>
      </c>
      <c r="T492" t="s">
        <v>898</v>
      </c>
      <c r="U492" t="s">
        <v>898</v>
      </c>
      <c r="V492" t="s">
        <v>898</v>
      </c>
      <c r="W492" t="s">
        <v>898</v>
      </c>
      <c r="X492" t="s">
        <v>898</v>
      </c>
      <c r="Y492" t="e">
        <v>#REF!</v>
      </c>
      <c r="Z492" t="e">
        <v>#REF!</v>
      </c>
    </row>
    <row r="493">
      <c r="A493" t="s">
        <v>898</v>
      </c>
      <c r="B493" t="s">
        <v>898</v>
      </c>
      <c r="C493" t="s">
        <v>898</v>
      </c>
      <c r="D493" t="s">
        <v>898</v>
      </c>
      <c r="E493" t="s">
        <v>898</v>
      </c>
      <c r="F493" t="s">
        <v>898</v>
      </c>
      <c r="G493" t="s">
        <v>898</v>
      </c>
      <c r="H493" t="s">
        <v>898</v>
      </c>
      <c r="I493" t="s">
        <v>898</v>
      </c>
      <c r="J493" t="s">
        <v>898</v>
      </c>
      <c r="K493" t="s">
        <v>898</v>
      </c>
      <c r="L493" t="s">
        <v>898</v>
      </c>
      <c r="M493" t="s">
        <v>898</v>
      </c>
      <c r="N493" t="s">
        <v>898</v>
      </c>
      <c r="O493" t="s">
        <v>898</v>
      </c>
      <c r="P493" t="s">
        <v>898</v>
      </c>
      <c r="Q493" t="s">
        <v>898</v>
      </c>
      <c r="R493" t="s">
        <v>898</v>
      </c>
      <c r="S493" t="s">
        <v>898</v>
      </c>
      <c r="T493" t="s">
        <v>898</v>
      </c>
      <c r="U493" t="s">
        <v>898</v>
      </c>
      <c r="V493" t="s">
        <v>898</v>
      </c>
      <c r="W493" t="s">
        <v>898</v>
      </c>
      <c r="X493" t="s">
        <v>898</v>
      </c>
      <c r="Y493" t="e">
        <v>#REF!</v>
      </c>
      <c r="Z493" t="e">
        <v>#REF!</v>
      </c>
    </row>
    <row r="494">
      <c r="A494" t="s">
        <v>898</v>
      </c>
      <c r="B494" t="s">
        <v>898</v>
      </c>
      <c r="C494" t="s">
        <v>898</v>
      </c>
      <c r="D494" t="s">
        <v>898</v>
      </c>
      <c r="E494" t="s">
        <v>898</v>
      </c>
      <c r="F494" t="s">
        <v>898</v>
      </c>
      <c r="G494" t="s">
        <v>898</v>
      </c>
      <c r="H494" t="s">
        <v>898</v>
      </c>
      <c r="I494" t="s">
        <v>898</v>
      </c>
      <c r="J494" t="s">
        <v>898</v>
      </c>
      <c r="K494" t="s">
        <v>898</v>
      </c>
      <c r="L494" t="s">
        <v>898</v>
      </c>
      <c r="M494" t="s">
        <v>898</v>
      </c>
      <c r="N494" t="s">
        <v>898</v>
      </c>
      <c r="O494" t="s">
        <v>898</v>
      </c>
      <c r="P494" t="s">
        <v>898</v>
      </c>
      <c r="Q494" t="s">
        <v>898</v>
      </c>
      <c r="R494" t="s">
        <v>898</v>
      </c>
      <c r="S494" t="s">
        <v>898</v>
      </c>
      <c r="T494" t="s">
        <v>898</v>
      </c>
      <c r="U494" t="s">
        <v>898</v>
      </c>
      <c r="V494" t="s">
        <v>898</v>
      </c>
      <c r="W494" t="s">
        <v>898</v>
      </c>
      <c r="X494" t="s">
        <v>898</v>
      </c>
      <c r="Y494" t="e">
        <v>#REF!</v>
      </c>
      <c r="Z494" t="e">
        <v>#REF!</v>
      </c>
    </row>
    <row r="495">
      <c r="A495" t="s">
        <v>898</v>
      </c>
      <c r="B495" t="s">
        <v>898</v>
      </c>
      <c r="C495" t="s">
        <v>898</v>
      </c>
      <c r="D495" t="s">
        <v>898</v>
      </c>
      <c r="E495" t="s">
        <v>898</v>
      </c>
      <c r="F495" t="s">
        <v>898</v>
      </c>
      <c r="G495" t="s">
        <v>898</v>
      </c>
      <c r="H495" t="s">
        <v>898</v>
      </c>
      <c r="I495" t="s">
        <v>898</v>
      </c>
      <c r="J495" t="s">
        <v>898</v>
      </c>
      <c r="K495" t="s">
        <v>898</v>
      </c>
      <c r="L495" t="s">
        <v>898</v>
      </c>
      <c r="M495" t="s">
        <v>898</v>
      </c>
      <c r="N495" t="s">
        <v>898</v>
      </c>
      <c r="O495" t="s">
        <v>898</v>
      </c>
      <c r="P495" t="s">
        <v>898</v>
      </c>
      <c r="Q495" t="s">
        <v>898</v>
      </c>
      <c r="R495" t="s">
        <v>898</v>
      </c>
      <c r="S495" t="s">
        <v>898</v>
      </c>
      <c r="T495" t="s">
        <v>898</v>
      </c>
      <c r="U495" t="s">
        <v>898</v>
      </c>
      <c r="V495" t="s">
        <v>898</v>
      </c>
      <c r="W495" t="s">
        <v>898</v>
      </c>
      <c r="X495" t="s">
        <v>898</v>
      </c>
      <c r="Y495" t="e">
        <v>#REF!</v>
      </c>
      <c r="Z495" t="e">
        <v>#REF!</v>
      </c>
    </row>
    <row r="496">
      <c r="A496" t="s">
        <v>898</v>
      </c>
      <c r="B496" t="s">
        <v>898</v>
      </c>
      <c r="C496" t="s">
        <v>898</v>
      </c>
      <c r="D496" t="s">
        <v>898</v>
      </c>
      <c r="E496" t="s">
        <v>898</v>
      </c>
      <c r="F496" t="s">
        <v>898</v>
      </c>
      <c r="G496" t="s">
        <v>898</v>
      </c>
      <c r="H496" t="s">
        <v>898</v>
      </c>
      <c r="I496" t="s">
        <v>898</v>
      </c>
      <c r="J496" t="s">
        <v>898</v>
      </c>
      <c r="K496" t="s">
        <v>898</v>
      </c>
      <c r="L496" t="s">
        <v>898</v>
      </c>
      <c r="M496" t="s">
        <v>898</v>
      </c>
      <c r="N496" t="s">
        <v>898</v>
      </c>
      <c r="O496" t="s">
        <v>898</v>
      </c>
      <c r="P496" t="s">
        <v>898</v>
      </c>
      <c r="Q496" t="s">
        <v>898</v>
      </c>
      <c r="R496" t="s">
        <v>898</v>
      </c>
      <c r="S496" t="s">
        <v>898</v>
      </c>
      <c r="T496" t="s">
        <v>898</v>
      </c>
      <c r="U496" t="s">
        <v>898</v>
      </c>
      <c r="V496" t="s">
        <v>898</v>
      </c>
      <c r="W496" t="s">
        <v>898</v>
      </c>
      <c r="X496" t="s">
        <v>898</v>
      </c>
      <c r="Y496" t="e">
        <v>#REF!</v>
      </c>
      <c r="Z496" t="e">
        <v>#REF!</v>
      </c>
    </row>
    <row r="497">
      <c r="A497" t="s">
        <v>898</v>
      </c>
      <c r="B497" t="s">
        <v>898</v>
      </c>
      <c r="C497" t="s">
        <v>898</v>
      </c>
      <c r="D497" t="s">
        <v>898</v>
      </c>
      <c r="E497" t="s">
        <v>898</v>
      </c>
      <c r="F497" t="s">
        <v>898</v>
      </c>
      <c r="G497" t="s">
        <v>898</v>
      </c>
      <c r="H497" t="s">
        <v>898</v>
      </c>
      <c r="I497" t="s">
        <v>898</v>
      </c>
      <c r="J497" t="s">
        <v>898</v>
      </c>
      <c r="K497" t="s">
        <v>898</v>
      </c>
      <c r="L497" t="s">
        <v>898</v>
      </c>
      <c r="M497" t="s">
        <v>898</v>
      </c>
      <c r="N497" t="s">
        <v>898</v>
      </c>
      <c r="O497" t="s">
        <v>898</v>
      </c>
      <c r="P497" t="s">
        <v>898</v>
      </c>
      <c r="Q497" t="s">
        <v>898</v>
      </c>
      <c r="R497" t="s">
        <v>898</v>
      </c>
      <c r="S497" t="s">
        <v>898</v>
      </c>
      <c r="T497" t="s">
        <v>898</v>
      </c>
      <c r="U497" t="s">
        <v>898</v>
      </c>
      <c r="V497" t="s">
        <v>898</v>
      </c>
      <c r="W497" t="s">
        <v>898</v>
      </c>
      <c r="X497" t="s">
        <v>898</v>
      </c>
      <c r="Y497" t="e">
        <v>#REF!</v>
      </c>
      <c r="Z497" t="e">
        <v>#REF!</v>
      </c>
    </row>
    <row r="498">
      <c r="A498" t="s">
        <v>898</v>
      </c>
      <c r="B498" t="s">
        <v>898</v>
      </c>
      <c r="C498" t="s">
        <v>898</v>
      </c>
      <c r="D498" t="s">
        <v>898</v>
      </c>
      <c r="E498" t="s">
        <v>898</v>
      </c>
      <c r="F498" t="s">
        <v>898</v>
      </c>
      <c r="G498" t="s">
        <v>898</v>
      </c>
      <c r="H498" t="s">
        <v>898</v>
      </c>
      <c r="I498" t="s">
        <v>898</v>
      </c>
      <c r="J498" t="s">
        <v>898</v>
      </c>
      <c r="K498" t="s">
        <v>898</v>
      </c>
      <c r="L498" t="s">
        <v>898</v>
      </c>
      <c r="M498" t="s">
        <v>898</v>
      </c>
      <c r="N498" t="s">
        <v>898</v>
      </c>
      <c r="O498" t="s">
        <v>898</v>
      </c>
      <c r="P498" t="s">
        <v>898</v>
      </c>
      <c r="Q498" t="s">
        <v>898</v>
      </c>
      <c r="R498" t="s">
        <v>898</v>
      </c>
      <c r="S498" t="s">
        <v>898</v>
      </c>
      <c r="T498" t="s">
        <v>898</v>
      </c>
      <c r="U498" t="s">
        <v>898</v>
      </c>
      <c r="V498" t="s">
        <v>898</v>
      </c>
      <c r="W498" t="s">
        <v>898</v>
      </c>
      <c r="X498" t="s">
        <v>898</v>
      </c>
      <c r="Y498" t="e">
        <v>#REF!</v>
      </c>
      <c r="Z498" t="e">
        <v>#REF!</v>
      </c>
    </row>
    <row r="499">
      <c r="A499" t="s">
        <v>898</v>
      </c>
      <c r="B499" t="s">
        <v>898</v>
      </c>
      <c r="C499" t="s">
        <v>898</v>
      </c>
      <c r="D499" t="s">
        <v>898</v>
      </c>
      <c r="E499" t="s">
        <v>898</v>
      </c>
      <c r="F499" t="s">
        <v>898</v>
      </c>
      <c r="G499" t="s">
        <v>898</v>
      </c>
      <c r="H499" t="s">
        <v>898</v>
      </c>
      <c r="I499" t="s">
        <v>898</v>
      </c>
      <c r="J499" t="s">
        <v>898</v>
      </c>
      <c r="K499" t="s">
        <v>898</v>
      </c>
      <c r="L499" t="s">
        <v>898</v>
      </c>
      <c r="M499" t="s">
        <v>898</v>
      </c>
      <c r="N499" t="s">
        <v>898</v>
      </c>
      <c r="O499" t="s">
        <v>898</v>
      </c>
      <c r="P499" t="s">
        <v>898</v>
      </c>
      <c r="Q499" t="s">
        <v>898</v>
      </c>
      <c r="R499" t="s">
        <v>898</v>
      </c>
      <c r="S499" t="s">
        <v>898</v>
      </c>
      <c r="T499" t="s">
        <v>898</v>
      </c>
      <c r="U499" t="s">
        <v>898</v>
      </c>
      <c r="V499" t="s">
        <v>898</v>
      </c>
      <c r="W499" t="s">
        <v>898</v>
      </c>
      <c r="X499" t="s">
        <v>898</v>
      </c>
      <c r="Y499" t="e">
        <v>#REF!</v>
      </c>
      <c r="Z499" t="e">
        <v>#REF!</v>
      </c>
    </row>
    <row r="500">
      <c r="A500" t="s">
        <v>898</v>
      </c>
      <c r="B500" t="s">
        <v>898</v>
      </c>
      <c r="C500" t="s">
        <v>898</v>
      </c>
      <c r="D500" t="s">
        <v>898</v>
      </c>
      <c r="E500" t="s">
        <v>898</v>
      </c>
      <c r="F500" t="s">
        <v>898</v>
      </c>
      <c r="G500" t="s">
        <v>898</v>
      </c>
      <c r="H500" t="s">
        <v>898</v>
      </c>
      <c r="I500" t="s">
        <v>898</v>
      </c>
      <c r="J500" t="s">
        <v>898</v>
      </c>
      <c r="K500" t="s">
        <v>898</v>
      </c>
      <c r="L500" t="s">
        <v>898</v>
      </c>
      <c r="M500" t="s">
        <v>898</v>
      </c>
      <c r="N500" t="s">
        <v>898</v>
      </c>
      <c r="O500" t="s">
        <v>898</v>
      </c>
      <c r="P500" t="s">
        <v>898</v>
      </c>
      <c r="Q500" t="s">
        <v>898</v>
      </c>
      <c r="R500" t="s">
        <v>898</v>
      </c>
      <c r="S500" t="s">
        <v>898</v>
      </c>
      <c r="T500" t="s">
        <v>898</v>
      </c>
      <c r="U500" t="s">
        <v>898</v>
      </c>
      <c r="V500" t="s">
        <v>898</v>
      </c>
      <c r="W500" t="s">
        <v>898</v>
      </c>
      <c r="X500" t="s">
        <v>898</v>
      </c>
      <c r="Y500" t="e">
        <v>#REF!</v>
      </c>
      <c r="Z500" t="e">
        <v>#REF!</v>
      </c>
    </row>
    <row r="501">
      <c r="A501" t="s">
        <v>898</v>
      </c>
      <c r="B501" t="s">
        <v>898</v>
      </c>
      <c r="C501" t="s">
        <v>898</v>
      </c>
      <c r="D501" t="s">
        <v>898</v>
      </c>
      <c r="E501" t="s">
        <v>898</v>
      </c>
      <c r="F501" t="s">
        <v>898</v>
      </c>
      <c r="G501" t="s">
        <v>898</v>
      </c>
      <c r="H501" t="s">
        <v>898</v>
      </c>
      <c r="I501" t="s">
        <v>898</v>
      </c>
      <c r="J501" t="s">
        <v>898</v>
      </c>
      <c r="K501" t="s">
        <v>898</v>
      </c>
      <c r="L501" t="s">
        <v>898</v>
      </c>
      <c r="M501" t="s">
        <v>898</v>
      </c>
      <c r="N501" t="s">
        <v>898</v>
      </c>
      <c r="O501" t="s">
        <v>898</v>
      </c>
      <c r="P501" t="s">
        <v>898</v>
      </c>
      <c r="Q501" t="s">
        <v>898</v>
      </c>
      <c r="R501" t="s">
        <v>898</v>
      </c>
      <c r="S501" t="s">
        <v>898</v>
      </c>
      <c r="T501" t="s">
        <v>898</v>
      </c>
      <c r="U501" t="s">
        <v>898</v>
      </c>
      <c r="V501" t="s">
        <v>898</v>
      </c>
      <c r="W501" t="s">
        <v>898</v>
      </c>
      <c r="X501" t="s">
        <v>898</v>
      </c>
      <c r="Y501" t="e">
        <v>#REF!</v>
      </c>
      <c r="Z501" t="e">
        <v>#REF!</v>
      </c>
    </row>
    <row r="502">
      <c r="A502" t="s">
        <v>898</v>
      </c>
      <c r="B502" t="s">
        <v>898</v>
      </c>
      <c r="C502" t="s">
        <v>898</v>
      </c>
      <c r="D502" t="s">
        <v>898</v>
      </c>
      <c r="E502" t="s">
        <v>898</v>
      </c>
      <c r="F502" t="s">
        <v>898</v>
      </c>
      <c r="G502" t="s">
        <v>898</v>
      </c>
      <c r="H502" t="s">
        <v>898</v>
      </c>
      <c r="I502" t="s">
        <v>898</v>
      </c>
      <c r="J502" t="s">
        <v>898</v>
      </c>
      <c r="K502" t="s">
        <v>898</v>
      </c>
      <c r="L502" t="s">
        <v>898</v>
      </c>
      <c r="M502" t="s">
        <v>898</v>
      </c>
      <c r="N502" t="s">
        <v>898</v>
      </c>
      <c r="O502" t="s">
        <v>898</v>
      </c>
      <c r="P502" t="s">
        <v>898</v>
      </c>
      <c r="Q502" t="s">
        <v>898</v>
      </c>
      <c r="R502" t="s">
        <v>898</v>
      </c>
      <c r="S502" t="s">
        <v>898</v>
      </c>
      <c r="T502" t="s">
        <v>898</v>
      </c>
      <c r="U502" t="s">
        <v>898</v>
      </c>
      <c r="V502" t="s">
        <v>898</v>
      </c>
      <c r="W502" t="s">
        <v>898</v>
      </c>
      <c r="X502" t="s">
        <v>898</v>
      </c>
      <c r="Y502" t="e">
        <v>#REF!</v>
      </c>
      <c r="Z502" t="e">
        <v>#REF!</v>
      </c>
    </row>
    <row r="503">
      <c r="A503" t="s">
        <v>898</v>
      </c>
      <c r="B503" t="s">
        <v>898</v>
      </c>
      <c r="C503" t="s">
        <v>898</v>
      </c>
      <c r="D503" t="s">
        <v>898</v>
      </c>
      <c r="E503" t="s">
        <v>898</v>
      </c>
      <c r="F503" t="s">
        <v>898</v>
      </c>
      <c r="G503" t="s">
        <v>898</v>
      </c>
      <c r="H503" t="s">
        <v>898</v>
      </c>
      <c r="I503" t="s">
        <v>898</v>
      </c>
      <c r="J503" t="s">
        <v>898</v>
      </c>
      <c r="K503" t="s">
        <v>898</v>
      </c>
      <c r="L503" t="s">
        <v>898</v>
      </c>
      <c r="M503" t="s">
        <v>898</v>
      </c>
      <c r="N503" t="s">
        <v>898</v>
      </c>
      <c r="O503" t="s">
        <v>898</v>
      </c>
      <c r="P503" t="s">
        <v>898</v>
      </c>
      <c r="Q503" t="s">
        <v>898</v>
      </c>
      <c r="R503" t="s">
        <v>898</v>
      </c>
      <c r="S503" t="s">
        <v>898</v>
      </c>
      <c r="T503" t="s">
        <v>898</v>
      </c>
      <c r="U503" t="s">
        <v>898</v>
      </c>
      <c r="V503" t="s">
        <v>898</v>
      </c>
      <c r="W503" t="s">
        <v>898</v>
      </c>
      <c r="X503" t="s">
        <v>898</v>
      </c>
      <c r="Y503" t="e">
        <v>#REF!</v>
      </c>
      <c r="Z503" t="e">
        <v>#REF!</v>
      </c>
    </row>
    <row r="504">
      <c r="A504" t="s">
        <v>898</v>
      </c>
      <c r="B504" t="s">
        <v>898</v>
      </c>
      <c r="C504" t="s">
        <v>898</v>
      </c>
      <c r="D504" t="s">
        <v>898</v>
      </c>
      <c r="E504" t="s">
        <v>898</v>
      </c>
      <c r="F504" t="s">
        <v>898</v>
      </c>
      <c r="G504" t="s">
        <v>898</v>
      </c>
      <c r="H504" t="s">
        <v>898</v>
      </c>
      <c r="I504" t="s">
        <v>898</v>
      </c>
      <c r="J504" t="s">
        <v>898</v>
      </c>
      <c r="K504" t="s">
        <v>898</v>
      </c>
      <c r="L504" t="s">
        <v>898</v>
      </c>
      <c r="M504" t="s">
        <v>898</v>
      </c>
      <c r="N504" t="s">
        <v>898</v>
      </c>
      <c r="O504" t="s">
        <v>898</v>
      </c>
      <c r="P504" t="s">
        <v>898</v>
      </c>
      <c r="Q504" t="s">
        <v>898</v>
      </c>
      <c r="R504" t="s">
        <v>898</v>
      </c>
      <c r="S504" t="s">
        <v>898</v>
      </c>
      <c r="T504" t="s">
        <v>898</v>
      </c>
      <c r="U504" t="s">
        <v>898</v>
      </c>
      <c r="V504" t="s">
        <v>898</v>
      </c>
      <c r="W504" t="s">
        <v>898</v>
      </c>
      <c r="X504" t="s">
        <v>898</v>
      </c>
      <c r="Y504" t="e">
        <v>#REF!</v>
      </c>
      <c r="Z504" t="e">
        <v>#REF!</v>
      </c>
    </row>
    <row r="505">
      <c r="A505" t="s">
        <v>898</v>
      </c>
      <c r="B505" t="s">
        <v>898</v>
      </c>
      <c r="C505" t="s">
        <v>898</v>
      </c>
      <c r="D505" t="s">
        <v>898</v>
      </c>
      <c r="E505" t="s">
        <v>898</v>
      </c>
      <c r="F505" t="s">
        <v>898</v>
      </c>
      <c r="G505" t="s">
        <v>898</v>
      </c>
      <c r="H505" t="s">
        <v>898</v>
      </c>
      <c r="I505" t="s">
        <v>898</v>
      </c>
      <c r="J505" t="s">
        <v>898</v>
      </c>
      <c r="K505" t="s">
        <v>898</v>
      </c>
      <c r="L505" t="s">
        <v>898</v>
      </c>
      <c r="M505" t="s">
        <v>898</v>
      </c>
      <c r="N505" t="s">
        <v>898</v>
      </c>
      <c r="O505" t="s">
        <v>898</v>
      </c>
      <c r="P505" t="s">
        <v>898</v>
      </c>
      <c r="Q505" t="s">
        <v>898</v>
      </c>
      <c r="R505" t="s">
        <v>898</v>
      </c>
      <c r="S505" t="s">
        <v>898</v>
      </c>
      <c r="T505" t="s">
        <v>898</v>
      </c>
      <c r="U505" t="s">
        <v>898</v>
      </c>
      <c r="V505" t="s">
        <v>898</v>
      </c>
      <c r="W505" t="s">
        <v>898</v>
      </c>
      <c r="X505" t="s">
        <v>898</v>
      </c>
      <c r="Y505" t="e">
        <v>#REF!</v>
      </c>
      <c r="Z505" t="e">
        <v>#REF!</v>
      </c>
    </row>
    <row r="506">
      <c r="A506" t="s">
        <v>898</v>
      </c>
      <c r="B506" t="s">
        <v>898</v>
      </c>
      <c r="C506" t="s">
        <v>898</v>
      </c>
      <c r="D506" t="s">
        <v>898</v>
      </c>
      <c r="E506" t="s">
        <v>898</v>
      </c>
      <c r="F506" t="s">
        <v>898</v>
      </c>
      <c r="G506" t="s">
        <v>898</v>
      </c>
      <c r="H506" t="s">
        <v>898</v>
      </c>
      <c r="I506" t="s">
        <v>898</v>
      </c>
      <c r="J506" t="s">
        <v>898</v>
      </c>
      <c r="K506" t="s">
        <v>898</v>
      </c>
      <c r="L506" t="s">
        <v>898</v>
      </c>
      <c r="M506" t="s">
        <v>898</v>
      </c>
      <c r="N506" t="s">
        <v>898</v>
      </c>
      <c r="O506" t="s">
        <v>898</v>
      </c>
      <c r="P506" t="s">
        <v>898</v>
      </c>
      <c r="Q506" t="s">
        <v>898</v>
      </c>
      <c r="R506" t="s">
        <v>898</v>
      </c>
      <c r="S506" t="s">
        <v>898</v>
      </c>
      <c r="T506" t="s">
        <v>898</v>
      </c>
      <c r="U506" t="s">
        <v>898</v>
      </c>
      <c r="V506" t="s">
        <v>898</v>
      </c>
      <c r="W506" t="s">
        <v>898</v>
      </c>
      <c r="X506" t="s">
        <v>898</v>
      </c>
      <c r="Y506" t="e">
        <v>#REF!</v>
      </c>
      <c r="Z506" t="e">
        <v>#REF!</v>
      </c>
    </row>
    <row r="507">
      <c r="A507" t="s">
        <v>898</v>
      </c>
      <c r="B507" t="s">
        <v>898</v>
      </c>
      <c r="C507" t="s">
        <v>898</v>
      </c>
      <c r="D507" t="s">
        <v>898</v>
      </c>
      <c r="E507" t="s">
        <v>898</v>
      </c>
      <c r="F507" t="s">
        <v>898</v>
      </c>
      <c r="G507" t="s">
        <v>898</v>
      </c>
      <c r="H507" t="s">
        <v>898</v>
      </c>
      <c r="I507" t="s">
        <v>898</v>
      </c>
      <c r="J507" t="s">
        <v>898</v>
      </c>
      <c r="K507" t="s">
        <v>898</v>
      </c>
      <c r="L507" t="s">
        <v>898</v>
      </c>
      <c r="M507" t="s">
        <v>898</v>
      </c>
      <c r="N507" t="s">
        <v>898</v>
      </c>
      <c r="O507" t="s">
        <v>898</v>
      </c>
      <c r="P507" t="s">
        <v>898</v>
      </c>
      <c r="Q507" t="s">
        <v>898</v>
      </c>
      <c r="R507" t="s">
        <v>898</v>
      </c>
      <c r="S507" t="s">
        <v>898</v>
      </c>
      <c r="T507" t="s">
        <v>898</v>
      </c>
      <c r="U507" t="s">
        <v>898</v>
      </c>
      <c r="V507" t="s">
        <v>898</v>
      </c>
      <c r="W507" t="s">
        <v>898</v>
      </c>
      <c r="X507" t="s">
        <v>898</v>
      </c>
      <c r="Y507" t="e">
        <v>#REF!</v>
      </c>
      <c r="Z507" t="e">
        <v>#REF!</v>
      </c>
    </row>
    <row r="508">
      <c r="A508" t="s">
        <v>898</v>
      </c>
      <c r="B508" t="s">
        <v>898</v>
      </c>
      <c r="C508" t="s">
        <v>898</v>
      </c>
      <c r="D508" t="s">
        <v>898</v>
      </c>
      <c r="E508" t="s">
        <v>898</v>
      </c>
      <c r="F508" t="s">
        <v>898</v>
      </c>
      <c r="G508" t="s">
        <v>898</v>
      </c>
      <c r="H508" t="s">
        <v>898</v>
      </c>
      <c r="I508" t="s">
        <v>898</v>
      </c>
      <c r="J508" t="s">
        <v>898</v>
      </c>
      <c r="K508" t="s">
        <v>898</v>
      </c>
      <c r="L508" t="s">
        <v>898</v>
      </c>
      <c r="M508" t="s">
        <v>898</v>
      </c>
      <c r="N508" t="s">
        <v>898</v>
      </c>
      <c r="O508" t="s">
        <v>898</v>
      </c>
      <c r="P508" t="s">
        <v>898</v>
      </c>
      <c r="Q508" t="s">
        <v>898</v>
      </c>
      <c r="R508" t="s">
        <v>898</v>
      </c>
      <c r="S508" t="s">
        <v>898</v>
      </c>
      <c r="T508" t="s">
        <v>898</v>
      </c>
      <c r="U508" t="s">
        <v>898</v>
      </c>
      <c r="V508" t="s">
        <v>898</v>
      </c>
      <c r="W508" t="s">
        <v>898</v>
      </c>
      <c r="X508" t="s">
        <v>898</v>
      </c>
      <c r="Y508" t="e">
        <v>#REF!</v>
      </c>
      <c r="Z508" t="e">
        <v>#REF!</v>
      </c>
    </row>
    <row r="509">
      <c r="A509" t="s">
        <v>898</v>
      </c>
      <c r="B509" t="s">
        <v>898</v>
      </c>
      <c r="C509" t="s">
        <v>898</v>
      </c>
      <c r="D509" t="s">
        <v>898</v>
      </c>
      <c r="E509" t="s">
        <v>898</v>
      </c>
      <c r="F509" t="s">
        <v>898</v>
      </c>
      <c r="G509" t="s">
        <v>898</v>
      </c>
      <c r="H509" t="s">
        <v>898</v>
      </c>
      <c r="I509" t="s">
        <v>898</v>
      </c>
      <c r="J509" t="s">
        <v>898</v>
      </c>
      <c r="K509" t="s">
        <v>898</v>
      </c>
      <c r="L509" t="s">
        <v>898</v>
      </c>
      <c r="M509" t="s">
        <v>898</v>
      </c>
      <c r="N509" t="s">
        <v>898</v>
      </c>
      <c r="O509" t="s">
        <v>898</v>
      </c>
      <c r="P509" t="s">
        <v>898</v>
      </c>
      <c r="Q509" t="s">
        <v>898</v>
      </c>
      <c r="R509" t="s">
        <v>898</v>
      </c>
      <c r="S509" t="s">
        <v>898</v>
      </c>
      <c r="T509" t="s">
        <v>898</v>
      </c>
      <c r="U509" t="s">
        <v>898</v>
      </c>
      <c r="V509" t="s">
        <v>898</v>
      </c>
      <c r="W509" t="s">
        <v>898</v>
      </c>
      <c r="X509" t="s">
        <v>898</v>
      </c>
      <c r="Y509" t="e">
        <v>#REF!</v>
      </c>
      <c r="Z509" t="e">
        <v>#REF!</v>
      </c>
    </row>
    <row r="510">
      <c r="A510" t="s">
        <v>898</v>
      </c>
      <c r="B510" t="s">
        <v>898</v>
      </c>
      <c r="C510" t="s">
        <v>898</v>
      </c>
      <c r="D510" t="s">
        <v>898</v>
      </c>
      <c r="E510" t="s">
        <v>898</v>
      </c>
      <c r="F510" t="s">
        <v>898</v>
      </c>
      <c r="G510" t="s">
        <v>898</v>
      </c>
      <c r="H510" t="s">
        <v>898</v>
      </c>
      <c r="I510" t="s">
        <v>898</v>
      </c>
      <c r="J510" t="s">
        <v>898</v>
      </c>
      <c r="K510" t="s">
        <v>898</v>
      </c>
      <c r="L510" t="s">
        <v>898</v>
      </c>
      <c r="M510" t="s">
        <v>898</v>
      </c>
      <c r="N510" t="s">
        <v>898</v>
      </c>
      <c r="O510" t="s">
        <v>898</v>
      </c>
      <c r="P510" t="s">
        <v>898</v>
      </c>
      <c r="Q510" t="s">
        <v>898</v>
      </c>
      <c r="R510" t="s">
        <v>898</v>
      </c>
      <c r="S510" t="s">
        <v>898</v>
      </c>
      <c r="T510" t="s">
        <v>898</v>
      </c>
      <c r="U510" t="s">
        <v>898</v>
      </c>
      <c r="V510" t="s">
        <v>898</v>
      </c>
      <c r="W510" t="s">
        <v>898</v>
      </c>
      <c r="X510" t="s">
        <v>898</v>
      </c>
      <c r="Y510" t="e">
        <v>#REF!</v>
      </c>
      <c r="Z510" t="e">
        <v>#REF!</v>
      </c>
    </row>
    <row r="511">
      <c r="A511" t="s">
        <v>898</v>
      </c>
      <c r="B511" t="s">
        <v>898</v>
      </c>
      <c r="C511" t="s">
        <v>898</v>
      </c>
      <c r="D511" t="s">
        <v>898</v>
      </c>
      <c r="E511" t="s">
        <v>898</v>
      </c>
      <c r="F511" t="s">
        <v>898</v>
      </c>
      <c r="G511" t="s">
        <v>898</v>
      </c>
      <c r="H511" t="s">
        <v>898</v>
      </c>
      <c r="I511" t="s">
        <v>898</v>
      </c>
      <c r="J511" t="s">
        <v>898</v>
      </c>
      <c r="K511" t="s">
        <v>898</v>
      </c>
      <c r="L511" t="s">
        <v>898</v>
      </c>
      <c r="M511" t="s">
        <v>898</v>
      </c>
      <c r="N511" t="s">
        <v>898</v>
      </c>
      <c r="O511" t="s">
        <v>898</v>
      </c>
      <c r="P511" t="s">
        <v>898</v>
      </c>
      <c r="Q511" t="s">
        <v>898</v>
      </c>
      <c r="R511" t="s">
        <v>898</v>
      </c>
      <c r="S511" t="s">
        <v>898</v>
      </c>
      <c r="T511" t="s">
        <v>898</v>
      </c>
      <c r="U511" t="s">
        <v>898</v>
      </c>
      <c r="V511" t="s">
        <v>898</v>
      </c>
      <c r="W511" t="s">
        <v>898</v>
      </c>
      <c r="X511" t="s">
        <v>898</v>
      </c>
      <c r="Y511" t="e">
        <v>#REF!</v>
      </c>
      <c r="Z511" t="e">
        <v>#REF!</v>
      </c>
    </row>
    <row r="512">
      <c r="A512" t="s">
        <v>898</v>
      </c>
      <c r="B512" t="s">
        <v>898</v>
      </c>
      <c r="C512" t="s">
        <v>898</v>
      </c>
      <c r="D512" t="s">
        <v>898</v>
      </c>
      <c r="E512" t="s">
        <v>898</v>
      </c>
      <c r="F512" t="s">
        <v>898</v>
      </c>
      <c r="G512" t="s">
        <v>898</v>
      </c>
      <c r="H512" t="s">
        <v>898</v>
      </c>
      <c r="I512" t="s">
        <v>898</v>
      </c>
      <c r="J512" t="s">
        <v>898</v>
      </c>
      <c r="K512" t="s">
        <v>898</v>
      </c>
      <c r="L512" t="s">
        <v>898</v>
      </c>
      <c r="M512" t="s">
        <v>898</v>
      </c>
      <c r="N512" t="s">
        <v>898</v>
      </c>
      <c r="O512" t="s">
        <v>898</v>
      </c>
      <c r="P512" t="s">
        <v>898</v>
      </c>
      <c r="Q512" t="s">
        <v>898</v>
      </c>
      <c r="R512" t="s">
        <v>898</v>
      </c>
      <c r="S512" t="s">
        <v>898</v>
      </c>
      <c r="T512" t="s">
        <v>898</v>
      </c>
      <c r="U512" t="s">
        <v>898</v>
      </c>
      <c r="V512" t="s">
        <v>898</v>
      </c>
      <c r="W512" t="s">
        <v>898</v>
      </c>
      <c r="X512" t="s">
        <v>898</v>
      </c>
      <c r="Y512" t="e">
        <v>#REF!</v>
      </c>
      <c r="Z512" t="e">
        <v>#REF!</v>
      </c>
    </row>
    <row r="513">
      <c r="A513" t="s">
        <v>898</v>
      </c>
      <c r="B513" t="s">
        <v>898</v>
      </c>
      <c r="C513" t="s">
        <v>898</v>
      </c>
      <c r="D513" t="s">
        <v>898</v>
      </c>
      <c r="E513" t="s">
        <v>898</v>
      </c>
      <c r="F513" t="s">
        <v>898</v>
      </c>
      <c r="G513" t="s">
        <v>898</v>
      </c>
      <c r="H513" t="s">
        <v>898</v>
      </c>
      <c r="I513" t="s">
        <v>898</v>
      </c>
      <c r="J513" t="s">
        <v>898</v>
      </c>
      <c r="K513" t="s">
        <v>898</v>
      </c>
      <c r="L513" t="s">
        <v>898</v>
      </c>
      <c r="M513" t="s">
        <v>898</v>
      </c>
      <c r="N513" t="s">
        <v>898</v>
      </c>
      <c r="O513" t="s">
        <v>898</v>
      </c>
      <c r="P513" t="s">
        <v>898</v>
      </c>
      <c r="Q513" t="s">
        <v>898</v>
      </c>
      <c r="R513" t="s">
        <v>898</v>
      </c>
      <c r="S513" t="s">
        <v>898</v>
      </c>
      <c r="T513" t="s">
        <v>898</v>
      </c>
      <c r="U513" t="s">
        <v>898</v>
      </c>
      <c r="V513" t="s">
        <v>898</v>
      </c>
      <c r="W513" t="s">
        <v>898</v>
      </c>
      <c r="X513" t="s">
        <v>898</v>
      </c>
      <c r="Y513" t="e">
        <v>#REF!</v>
      </c>
      <c r="Z513" t="e">
        <v>#REF!</v>
      </c>
    </row>
    <row r="514">
      <c r="A514" t="s">
        <v>898</v>
      </c>
      <c r="B514" t="s">
        <v>898</v>
      </c>
      <c r="C514" t="s">
        <v>898</v>
      </c>
      <c r="D514" t="s">
        <v>898</v>
      </c>
      <c r="E514" t="s">
        <v>898</v>
      </c>
      <c r="F514" t="s">
        <v>898</v>
      </c>
      <c r="G514" t="s">
        <v>898</v>
      </c>
      <c r="H514" t="s">
        <v>898</v>
      </c>
      <c r="I514" t="s">
        <v>898</v>
      </c>
      <c r="J514" t="s">
        <v>898</v>
      </c>
      <c r="K514" t="s">
        <v>898</v>
      </c>
      <c r="L514" t="s">
        <v>898</v>
      </c>
      <c r="M514" t="s">
        <v>898</v>
      </c>
      <c r="N514" t="s">
        <v>898</v>
      </c>
      <c r="O514" t="s">
        <v>898</v>
      </c>
      <c r="P514" t="s">
        <v>898</v>
      </c>
      <c r="Q514" t="s">
        <v>898</v>
      </c>
      <c r="R514" t="s">
        <v>898</v>
      </c>
      <c r="S514" t="s">
        <v>898</v>
      </c>
      <c r="T514" t="s">
        <v>898</v>
      </c>
      <c r="U514" t="s">
        <v>898</v>
      </c>
      <c r="V514" t="s">
        <v>898</v>
      </c>
      <c r="W514" t="s">
        <v>898</v>
      </c>
      <c r="X514" t="s">
        <v>898</v>
      </c>
      <c r="Y514" t="e">
        <v>#REF!</v>
      </c>
      <c r="Z514" t="e">
        <v>#REF!</v>
      </c>
    </row>
    <row r="515">
      <c r="A515" t="s">
        <v>898</v>
      </c>
      <c r="B515" t="s">
        <v>898</v>
      </c>
      <c r="C515" t="s">
        <v>898</v>
      </c>
      <c r="D515" t="s">
        <v>898</v>
      </c>
      <c r="E515" t="s">
        <v>898</v>
      </c>
      <c r="F515" t="s">
        <v>898</v>
      </c>
      <c r="G515" t="s">
        <v>898</v>
      </c>
      <c r="H515" t="s">
        <v>898</v>
      </c>
      <c r="I515" t="s">
        <v>898</v>
      </c>
      <c r="J515" t="s">
        <v>898</v>
      </c>
      <c r="K515" t="s">
        <v>898</v>
      </c>
      <c r="L515" t="s">
        <v>898</v>
      </c>
      <c r="M515" t="s">
        <v>898</v>
      </c>
      <c r="N515" t="s">
        <v>898</v>
      </c>
      <c r="O515" t="s">
        <v>898</v>
      </c>
      <c r="P515" t="s">
        <v>898</v>
      </c>
      <c r="Q515" t="s">
        <v>898</v>
      </c>
      <c r="R515" t="s">
        <v>898</v>
      </c>
      <c r="S515" t="s">
        <v>898</v>
      </c>
      <c r="T515" t="s">
        <v>898</v>
      </c>
      <c r="U515" t="s">
        <v>898</v>
      </c>
      <c r="V515" t="s">
        <v>898</v>
      </c>
      <c r="W515" t="s">
        <v>898</v>
      </c>
      <c r="X515" t="s">
        <v>898</v>
      </c>
      <c r="Y515" t="e">
        <v>#REF!</v>
      </c>
      <c r="Z515" t="e">
        <v>#REF!</v>
      </c>
    </row>
    <row r="516">
      <c r="A516" t="s">
        <v>898</v>
      </c>
      <c r="B516" t="s">
        <v>898</v>
      </c>
      <c r="C516" t="s">
        <v>898</v>
      </c>
      <c r="D516" t="s">
        <v>898</v>
      </c>
      <c r="E516" t="s">
        <v>898</v>
      </c>
      <c r="F516" t="s">
        <v>898</v>
      </c>
      <c r="G516" t="s">
        <v>898</v>
      </c>
      <c r="H516" t="s">
        <v>898</v>
      </c>
      <c r="I516" t="s">
        <v>898</v>
      </c>
      <c r="J516" t="s">
        <v>898</v>
      </c>
      <c r="K516" t="s">
        <v>898</v>
      </c>
      <c r="L516" t="s">
        <v>898</v>
      </c>
      <c r="M516" t="s">
        <v>898</v>
      </c>
      <c r="N516" t="s">
        <v>898</v>
      </c>
      <c r="O516" t="s">
        <v>898</v>
      </c>
      <c r="P516" t="s">
        <v>898</v>
      </c>
      <c r="Q516" t="s">
        <v>898</v>
      </c>
      <c r="R516" t="s">
        <v>898</v>
      </c>
      <c r="S516" t="s">
        <v>898</v>
      </c>
      <c r="T516" t="s">
        <v>898</v>
      </c>
      <c r="U516" t="s">
        <v>898</v>
      </c>
      <c r="V516" t="s">
        <v>898</v>
      </c>
      <c r="W516" t="s">
        <v>898</v>
      </c>
      <c r="X516" t="s">
        <v>898</v>
      </c>
      <c r="Y516" t="e">
        <v>#REF!</v>
      </c>
      <c r="Z516" t="e">
        <v>#REF!</v>
      </c>
    </row>
    <row r="517">
      <c r="A517" t="s">
        <v>898</v>
      </c>
      <c r="B517" t="s">
        <v>898</v>
      </c>
      <c r="C517" t="s">
        <v>898</v>
      </c>
      <c r="D517" t="s">
        <v>898</v>
      </c>
      <c r="E517" t="s">
        <v>898</v>
      </c>
      <c r="F517" t="s">
        <v>898</v>
      </c>
      <c r="G517" t="s">
        <v>898</v>
      </c>
      <c r="H517" t="s">
        <v>898</v>
      </c>
      <c r="I517" t="s">
        <v>898</v>
      </c>
      <c r="J517" t="s">
        <v>898</v>
      </c>
      <c r="K517" t="s">
        <v>898</v>
      </c>
      <c r="L517" t="s">
        <v>898</v>
      </c>
      <c r="M517" t="s">
        <v>898</v>
      </c>
      <c r="N517" t="s">
        <v>898</v>
      </c>
      <c r="O517" t="s">
        <v>898</v>
      </c>
      <c r="P517" t="s">
        <v>898</v>
      </c>
      <c r="Q517" t="s">
        <v>898</v>
      </c>
      <c r="R517" t="s">
        <v>898</v>
      </c>
      <c r="S517" t="s">
        <v>898</v>
      </c>
      <c r="T517" t="s">
        <v>898</v>
      </c>
      <c r="U517" t="s">
        <v>898</v>
      </c>
      <c r="V517" t="s">
        <v>898</v>
      </c>
      <c r="W517" t="s">
        <v>898</v>
      </c>
      <c r="X517" t="s">
        <v>898</v>
      </c>
      <c r="Y517" t="e">
        <v>#REF!</v>
      </c>
      <c r="Z517" t="e">
        <v>#REF!</v>
      </c>
    </row>
    <row r="518">
      <c r="A518" t="s">
        <v>898</v>
      </c>
      <c r="B518" t="s">
        <v>898</v>
      </c>
      <c r="C518" t="s">
        <v>898</v>
      </c>
      <c r="D518" t="s">
        <v>898</v>
      </c>
      <c r="E518" t="s">
        <v>898</v>
      </c>
      <c r="F518" t="s">
        <v>898</v>
      </c>
      <c r="G518" t="s">
        <v>898</v>
      </c>
      <c r="H518" t="s">
        <v>898</v>
      </c>
      <c r="I518" t="s">
        <v>898</v>
      </c>
      <c r="J518" t="s">
        <v>898</v>
      </c>
      <c r="K518" t="s">
        <v>898</v>
      </c>
      <c r="L518" t="s">
        <v>898</v>
      </c>
      <c r="M518" t="s">
        <v>898</v>
      </c>
      <c r="N518" t="s">
        <v>898</v>
      </c>
      <c r="O518" t="s">
        <v>898</v>
      </c>
      <c r="P518" t="s">
        <v>898</v>
      </c>
      <c r="Q518" t="s">
        <v>898</v>
      </c>
      <c r="R518" t="s">
        <v>898</v>
      </c>
      <c r="S518" t="s">
        <v>898</v>
      </c>
      <c r="T518" t="s">
        <v>898</v>
      </c>
      <c r="U518" t="s">
        <v>898</v>
      </c>
      <c r="V518" t="s">
        <v>898</v>
      </c>
      <c r="W518" t="s">
        <v>898</v>
      </c>
      <c r="X518" t="s">
        <v>898</v>
      </c>
      <c r="Y518" t="e">
        <v>#REF!</v>
      </c>
      <c r="Z518" t="e">
        <v>#REF!</v>
      </c>
    </row>
    <row r="519">
      <c r="A519" t="s">
        <v>898</v>
      </c>
      <c r="B519" t="s">
        <v>898</v>
      </c>
      <c r="C519" t="s">
        <v>898</v>
      </c>
      <c r="D519" t="s">
        <v>898</v>
      </c>
      <c r="E519" t="s">
        <v>898</v>
      </c>
      <c r="F519" t="s">
        <v>898</v>
      </c>
      <c r="G519" t="s">
        <v>898</v>
      </c>
      <c r="H519" t="s">
        <v>898</v>
      </c>
      <c r="I519" t="s">
        <v>898</v>
      </c>
      <c r="J519" t="s">
        <v>898</v>
      </c>
      <c r="K519" t="s">
        <v>898</v>
      </c>
      <c r="L519" t="s">
        <v>898</v>
      </c>
      <c r="M519" t="s">
        <v>898</v>
      </c>
      <c r="N519" t="s">
        <v>898</v>
      </c>
      <c r="O519" t="s">
        <v>898</v>
      </c>
      <c r="P519" t="s">
        <v>898</v>
      </c>
      <c r="Q519" t="s">
        <v>898</v>
      </c>
      <c r="R519" t="s">
        <v>898</v>
      </c>
      <c r="S519" t="s">
        <v>898</v>
      </c>
      <c r="T519" t="s">
        <v>898</v>
      </c>
      <c r="U519" t="s">
        <v>898</v>
      </c>
      <c r="V519" t="s">
        <v>898</v>
      </c>
      <c r="W519" t="s">
        <v>898</v>
      </c>
      <c r="X519" t="s">
        <v>898</v>
      </c>
      <c r="Y519" t="e">
        <v>#REF!</v>
      </c>
      <c r="Z519" t="e">
        <v>#REF!</v>
      </c>
    </row>
    <row r="520">
      <c r="A520" t="s">
        <v>898</v>
      </c>
      <c r="B520" t="s">
        <v>898</v>
      </c>
      <c r="C520" t="s">
        <v>898</v>
      </c>
      <c r="D520" t="s">
        <v>898</v>
      </c>
      <c r="E520" t="s">
        <v>898</v>
      </c>
      <c r="F520" t="s">
        <v>898</v>
      </c>
      <c r="G520" t="s">
        <v>898</v>
      </c>
      <c r="H520" t="s">
        <v>898</v>
      </c>
      <c r="I520" t="s">
        <v>898</v>
      </c>
      <c r="J520" t="s">
        <v>898</v>
      </c>
      <c r="K520" t="s">
        <v>898</v>
      </c>
      <c r="L520" t="s">
        <v>898</v>
      </c>
      <c r="M520" t="s">
        <v>898</v>
      </c>
      <c r="N520" t="s">
        <v>898</v>
      </c>
      <c r="O520" t="s">
        <v>898</v>
      </c>
      <c r="P520" t="s">
        <v>898</v>
      </c>
      <c r="Q520" t="s">
        <v>898</v>
      </c>
      <c r="R520" t="s">
        <v>898</v>
      </c>
      <c r="S520" t="s">
        <v>898</v>
      </c>
      <c r="T520" t="s">
        <v>898</v>
      </c>
      <c r="U520" t="s">
        <v>898</v>
      </c>
      <c r="V520" t="s">
        <v>898</v>
      </c>
      <c r="W520" t="s">
        <v>898</v>
      </c>
      <c r="X520" t="s">
        <v>898</v>
      </c>
      <c r="Y520" t="e">
        <v>#REF!</v>
      </c>
      <c r="Z520" t="e">
        <v>#REF!</v>
      </c>
    </row>
    <row r="521">
      <c r="A521" t="s">
        <v>898</v>
      </c>
      <c r="B521" t="s">
        <v>898</v>
      </c>
      <c r="C521" t="s">
        <v>898</v>
      </c>
      <c r="D521" t="s">
        <v>898</v>
      </c>
      <c r="E521" t="s">
        <v>898</v>
      </c>
      <c r="F521" t="s">
        <v>898</v>
      </c>
      <c r="G521" t="s">
        <v>898</v>
      </c>
      <c r="H521" t="s">
        <v>898</v>
      </c>
      <c r="I521" t="s">
        <v>898</v>
      </c>
      <c r="J521" t="s">
        <v>898</v>
      </c>
      <c r="K521" t="s">
        <v>898</v>
      </c>
      <c r="L521" t="s">
        <v>898</v>
      </c>
      <c r="M521" t="s">
        <v>898</v>
      </c>
      <c r="N521" t="s">
        <v>898</v>
      </c>
      <c r="O521" t="s">
        <v>898</v>
      </c>
      <c r="P521" t="s">
        <v>898</v>
      </c>
      <c r="Q521" t="s">
        <v>898</v>
      </c>
      <c r="R521" t="s">
        <v>898</v>
      </c>
      <c r="S521" t="s">
        <v>898</v>
      </c>
      <c r="T521" t="s">
        <v>898</v>
      </c>
      <c r="U521" t="s">
        <v>898</v>
      </c>
      <c r="V521" t="s">
        <v>898</v>
      </c>
      <c r="W521" t="s">
        <v>898</v>
      </c>
      <c r="X521" t="s">
        <v>898</v>
      </c>
      <c r="Y521" t="e">
        <v>#REF!</v>
      </c>
      <c r="Z521" t="e">
        <v>#REF!</v>
      </c>
    </row>
    <row r="522">
      <c r="A522" t="s">
        <v>898</v>
      </c>
      <c r="B522" t="s">
        <v>898</v>
      </c>
      <c r="C522" t="s">
        <v>898</v>
      </c>
      <c r="D522" t="s">
        <v>898</v>
      </c>
      <c r="E522" t="s">
        <v>898</v>
      </c>
      <c r="F522" t="s">
        <v>898</v>
      </c>
      <c r="G522" t="s">
        <v>898</v>
      </c>
      <c r="H522" t="s">
        <v>898</v>
      </c>
      <c r="I522" t="s">
        <v>898</v>
      </c>
      <c r="J522" t="s">
        <v>898</v>
      </c>
      <c r="K522" t="s">
        <v>898</v>
      </c>
      <c r="L522" t="s">
        <v>898</v>
      </c>
      <c r="M522" t="s">
        <v>898</v>
      </c>
      <c r="N522" t="s">
        <v>898</v>
      </c>
      <c r="O522" t="s">
        <v>898</v>
      </c>
      <c r="P522" t="s">
        <v>898</v>
      </c>
      <c r="Q522" t="s">
        <v>898</v>
      </c>
      <c r="R522" t="s">
        <v>898</v>
      </c>
      <c r="S522" t="s">
        <v>898</v>
      </c>
      <c r="T522" t="s">
        <v>898</v>
      </c>
      <c r="U522" t="s">
        <v>898</v>
      </c>
      <c r="V522" t="s">
        <v>898</v>
      </c>
      <c r="W522" t="s">
        <v>898</v>
      </c>
      <c r="X522" t="s">
        <v>898</v>
      </c>
      <c r="Y522" t="e">
        <v>#REF!</v>
      </c>
      <c r="Z522" t="e">
        <v>#REF!</v>
      </c>
    </row>
    <row r="523">
      <c r="A523" t="s">
        <v>898</v>
      </c>
      <c r="B523" t="s">
        <v>898</v>
      </c>
      <c r="C523" t="s">
        <v>898</v>
      </c>
      <c r="D523" t="s">
        <v>898</v>
      </c>
      <c r="E523" t="s">
        <v>898</v>
      </c>
      <c r="F523" t="s">
        <v>898</v>
      </c>
      <c r="G523" t="s">
        <v>898</v>
      </c>
      <c r="H523" t="s">
        <v>898</v>
      </c>
      <c r="I523" t="s">
        <v>898</v>
      </c>
      <c r="J523" t="s">
        <v>898</v>
      </c>
      <c r="K523" t="s">
        <v>898</v>
      </c>
      <c r="L523" t="s">
        <v>898</v>
      </c>
      <c r="M523" t="s">
        <v>898</v>
      </c>
      <c r="N523" t="s">
        <v>898</v>
      </c>
      <c r="O523" t="s">
        <v>898</v>
      </c>
      <c r="P523" t="s">
        <v>898</v>
      </c>
      <c r="Q523" t="s">
        <v>898</v>
      </c>
      <c r="R523" t="s">
        <v>898</v>
      </c>
      <c r="S523" t="s">
        <v>898</v>
      </c>
      <c r="T523" t="s">
        <v>898</v>
      </c>
      <c r="U523" t="s">
        <v>898</v>
      </c>
      <c r="V523" t="s">
        <v>898</v>
      </c>
      <c r="W523" t="s">
        <v>898</v>
      </c>
      <c r="X523" t="s">
        <v>898</v>
      </c>
      <c r="Y523" t="e">
        <v>#REF!</v>
      </c>
      <c r="Z523" t="e">
        <v>#REF!</v>
      </c>
    </row>
    <row r="524">
      <c r="A524" t="s">
        <v>898</v>
      </c>
      <c r="B524" t="s">
        <v>898</v>
      </c>
      <c r="C524" t="s">
        <v>898</v>
      </c>
      <c r="D524" t="s">
        <v>898</v>
      </c>
      <c r="E524" t="s">
        <v>898</v>
      </c>
      <c r="F524" t="s">
        <v>898</v>
      </c>
      <c r="G524" t="s">
        <v>898</v>
      </c>
      <c r="H524" t="s">
        <v>898</v>
      </c>
      <c r="I524" t="s">
        <v>898</v>
      </c>
      <c r="J524" t="s">
        <v>898</v>
      </c>
      <c r="K524" t="s">
        <v>898</v>
      </c>
      <c r="L524" t="s">
        <v>898</v>
      </c>
      <c r="M524" t="s">
        <v>898</v>
      </c>
      <c r="N524" t="s">
        <v>898</v>
      </c>
      <c r="O524" t="s">
        <v>898</v>
      </c>
      <c r="P524" t="s">
        <v>898</v>
      </c>
      <c r="Q524" t="s">
        <v>898</v>
      </c>
      <c r="R524" t="s">
        <v>898</v>
      </c>
      <c r="S524" t="s">
        <v>898</v>
      </c>
      <c r="T524" t="s">
        <v>898</v>
      </c>
      <c r="U524" t="s">
        <v>898</v>
      </c>
      <c r="V524" t="s">
        <v>898</v>
      </c>
      <c r="W524" t="s">
        <v>898</v>
      </c>
      <c r="X524" t="s">
        <v>898</v>
      </c>
      <c r="Y524" t="e">
        <v>#REF!</v>
      </c>
      <c r="Z524" t="e">
        <v>#REF!</v>
      </c>
    </row>
    <row r="525">
      <c r="A525" t="s">
        <v>898</v>
      </c>
      <c r="B525" t="s">
        <v>898</v>
      </c>
      <c r="C525" t="s">
        <v>898</v>
      </c>
      <c r="D525" t="s">
        <v>898</v>
      </c>
      <c r="E525" t="s">
        <v>898</v>
      </c>
      <c r="F525" t="s">
        <v>898</v>
      </c>
      <c r="G525" t="s">
        <v>898</v>
      </c>
      <c r="H525" t="s">
        <v>898</v>
      </c>
      <c r="I525" t="s">
        <v>898</v>
      </c>
      <c r="J525" t="s">
        <v>898</v>
      </c>
      <c r="K525" t="s">
        <v>898</v>
      </c>
      <c r="L525" t="s">
        <v>898</v>
      </c>
      <c r="M525" t="s">
        <v>898</v>
      </c>
      <c r="N525" t="s">
        <v>898</v>
      </c>
      <c r="O525" t="s">
        <v>898</v>
      </c>
      <c r="P525" t="s">
        <v>898</v>
      </c>
      <c r="Q525" t="s">
        <v>898</v>
      </c>
      <c r="R525" t="s">
        <v>898</v>
      </c>
      <c r="S525" t="s">
        <v>898</v>
      </c>
      <c r="T525" t="s">
        <v>898</v>
      </c>
      <c r="U525" t="s">
        <v>898</v>
      </c>
      <c r="V525" t="s">
        <v>898</v>
      </c>
      <c r="W525" t="s">
        <v>898</v>
      </c>
      <c r="X525" t="s">
        <v>898</v>
      </c>
      <c r="Y525" t="e">
        <v>#REF!</v>
      </c>
      <c r="Z525" t="e">
        <v>#REF!</v>
      </c>
    </row>
    <row r="526">
      <c r="A526" t="s">
        <v>898</v>
      </c>
      <c r="B526" t="s">
        <v>898</v>
      </c>
      <c r="C526" t="s">
        <v>898</v>
      </c>
      <c r="D526" t="s">
        <v>898</v>
      </c>
      <c r="E526" t="s">
        <v>898</v>
      </c>
      <c r="F526" t="s">
        <v>898</v>
      </c>
      <c r="G526" t="s">
        <v>898</v>
      </c>
      <c r="H526" t="s">
        <v>898</v>
      </c>
      <c r="I526" t="s">
        <v>898</v>
      </c>
      <c r="J526" t="s">
        <v>898</v>
      </c>
      <c r="K526" t="s">
        <v>898</v>
      </c>
      <c r="L526" t="s">
        <v>898</v>
      </c>
      <c r="M526" t="s">
        <v>898</v>
      </c>
      <c r="N526" t="s">
        <v>898</v>
      </c>
      <c r="O526" t="s">
        <v>898</v>
      </c>
      <c r="P526" t="s">
        <v>898</v>
      </c>
      <c r="Q526" t="s">
        <v>898</v>
      </c>
      <c r="R526" t="s">
        <v>898</v>
      </c>
      <c r="S526" t="s">
        <v>898</v>
      </c>
      <c r="T526" t="s">
        <v>898</v>
      </c>
      <c r="U526" t="s">
        <v>898</v>
      </c>
      <c r="V526" t="s">
        <v>898</v>
      </c>
      <c r="W526" t="s">
        <v>898</v>
      </c>
      <c r="X526" t="s">
        <v>898</v>
      </c>
      <c r="Y526" t="e">
        <v>#REF!</v>
      </c>
      <c r="Z526" t="e">
        <v>#REF!</v>
      </c>
    </row>
    <row r="527">
      <c r="A527" t="s">
        <v>898</v>
      </c>
      <c r="B527" t="s">
        <v>898</v>
      </c>
      <c r="C527" t="s">
        <v>898</v>
      </c>
      <c r="D527" t="s">
        <v>898</v>
      </c>
      <c r="E527" t="s">
        <v>898</v>
      </c>
      <c r="F527" t="s">
        <v>898</v>
      </c>
      <c r="G527" t="s">
        <v>898</v>
      </c>
      <c r="H527" t="s">
        <v>898</v>
      </c>
      <c r="I527" t="s">
        <v>898</v>
      </c>
      <c r="J527" t="s">
        <v>898</v>
      </c>
      <c r="K527" t="s">
        <v>898</v>
      </c>
      <c r="L527" t="s">
        <v>898</v>
      </c>
      <c r="M527" t="s">
        <v>898</v>
      </c>
      <c r="N527" t="s">
        <v>898</v>
      </c>
      <c r="O527" t="s">
        <v>898</v>
      </c>
      <c r="P527" t="s">
        <v>898</v>
      </c>
      <c r="Q527" t="s">
        <v>898</v>
      </c>
      <c r="R527" t="s">
        <v>898</v>
      </c>
      <c r="S527" t="s">
        <v>898</v>
      </c>
      <c r="T527" t="s">
        <v>898</v>
      </c>
      <c r="U527" t="s">
        <v>898</v>
      </c>
      <c r="V527" t="s">
        <v>898</v>
      </c>
      <c r="W527" t="s">
        <v>898</v>
      </c>
      <c r="X527" t="s">
        <v>898</v>
      </c>
      <c r="Y527" t="e">
        <v>#REF!</v>
      </c>
      <c r="Z527" t="e">
        <v>#REF!</v>
      </c>
    </row>
    <row r="528">
      <c r="A528" t="s">
        <v>898</v>
      </c>
      <c r="B528" t="s">
        <v>898</v>
      </c>
      <c r="C528" t="s">
        <v>898</v>
      </c>
      <c r="D528" t="s">
        <v>898</v>
      </c>
      <c r="E528" t="s">
        <v>898</v>
      </c>
      <c r="F528" t="s">
        <v>898</v>
      </c>
      <c r="G528" t="s">
        <v>898</v>
      </c>
      <c r="H528" t="s">
        <v>898</v>
      </c>
      <c r="I528" t="s">
        <v>898</v>
      </c>
      <c r="J528" t="s">
        <v>898</v>
      </c>
      <c r="K528" t="s">
        <v>898</v>
      </c>
      <c r="L528" t="s">
        <v>898</v>
      </c>
      <c r="M528" t="s">
        <v>898</v>
      </c>
      <c r="N528" t="s">
        <v>898</v>
      </c>
      <c r="O528" t="s">
        <v>898</v>
      </c>
      <c r="P528" t="s">
        <v>898</v>
      </c>
      <c r="Q528" t="s">
        <v>898</v>
      </c>
      <c r="R528" t="s">
        <v>898</v>
      </c>
      <c r="S528" t="s">
        <v>898</v>
      </c>
      <c r="T528" t="s">
        <v>898</v>
      </c>
      <c r="U528" t="s">
        <v>898</v>
      </c>
      <c r="V528" t="s">
        <v>898</v>
      </c>
      <c r="W528" t="s">
        <v>898</v>
      </c>
      <c r="X528" t="s">
        <v>898</v>
      </c>
      <c r="Y528" t="e">
        <v>#REF!</v>
      </c>
      <c r="Z528" t="e">
        <v>#REF!</v>
      </c>
    </row>
    <row r="529">
      <c r="A529" t="s">
        <v>898</v>
      </c>
      <c r="B529" t="s">
        <v>898</v>
      </c>
      <c r="C529" t="s">
        <v>898</v>
      </c>
      <c r="D529" t="s">
        <v>898</v>
      </c>
      <c r="E529" t="s">
        <v>898</v>
      </c>
      <c r="F529" t="s">
        <v>898</v>
      </c>
      <c r="G529" t="s">
        <v>898</v>
      </c>
      <c r="H529" t="s">
        <v>898</v>
      </c>
      <c r="I529" t="s">
        <v>898</v>
      </c>
      <c r="J529" t="s">
        <v>898</v>
      </c>
      <c r="K529" t="s">
        <v>898</v>
      </c>
      <c r="L529" t="s">
        <v>898</v>
      </c>
      <c r="M529" t="s">
        <v>898</v>
      </c>
      <c r="N529" t="s">
        <v>898</v>
      </c>
      <c r="O529" t="s">
        <v>898</v>
      </c>
      <c r="P529" t="s">
        <v>898</v>
      </c>
      <c r="Q529" t="s">
        <v>898</v>
      </c>
      <c r="R529" t="s">
        <v>898</v>
      </c>
      <c r="S529" t="s">
        <v>898</v>
      </c>
      <c r="T529" t="s">
        <v>898</v>
      </c>
      <c r="U529" t="s">
        <v>898</v>
      </c>
      <c r="V529" t="s">
        <v>898</v>
      </c>
      <c r="W529" t="s">
        <v>898</v>
      </c>
      <c r="X529" t="s">
        <v>898</v>
      </c>
      <c r="Y529" t="e">
        <v>#REF!</v>
      </c>
      <c r="Z529" t="e">
        <v>#REF!</v>
      </c>
    </row>
    <row r="530">
      <c r="A530" t="s">
        <v>898</v>
      </c>
      <c r="B530" t="s">
        <v>898</v>
      </c>
      <c r="C530" t="s">
        <v>898</v>
      </c>
      <c r="D530" t="s">
        <v>898</v>
      </c>
      <c r="E530" t="s">
        <v>898</v>
      </c>
      <c r="F530" t="s">
        <v>898</v>
      </c>
      <c r="G530" t="s">
        <v>898</v>
      </c>
      <c r="H530" t="s">
        <v>898</v>
      </c>
      <c r="I530" t="s">
        <v>898</v>
      </c>
      <c r="J530" t="s">
        <v>898</v>
      </c>
      <c r="K530" t="s">
        <v>898</v>
      </c>
      <c r="L530" t="s">
        <v>898</v>
      </c>
      <c r="M530" t="s">
        <v>898</v>
      </c>
      <c r="N530" t="s">
        <v>898</v>
      </c>
      <c r="O530" t="s">
        <v>898</v>
      </c>
      <c r="P530" t="s">
        <v>898</v>
      </c>
      <c r="Q530" t="s">
        <v>898</v>
      </c>
      <c r="R530" t="s">
        <v>898</v>
      </c>
      <c r="S530" t="s">
        <v>898</v>
      </c>
      <c r="T530" t="s">
        <v>898</v>
      </c>
      <c r="U530" t="s">
        <v>898</v>
      </c>
      <c r="V530" t="s">
        <v>898</v>
      </c>
      <c r="W530" t="s">
        <v>898</v>
      </c>
      <c r="X530" t="s">
        <v>898</v>
      </c>
      <c r="Y530" t="e">
        <v>#REF!</v>
      </c>
      <c r="Z530" t="e">
        <v>#REF!</v>
      </c>
    </row>
    <row r="531">
      <c r="A531" t="s">
        <v>898</v>
      </c>
      <c r="B531" t="s">
        <v>898</v>
      </c>
      <c r="C531" t="s">
        <v>898</v>
      </c>
      <c r="D531" t="s">
        <v>898</v>
      </c>
      <c r="E531" t="s">
        <v>898</v>
      </c>
      <c r="F531" t="s">
        <v>898</v>
      </c>
      <c r="G531" t="s">
        <v>898</v>
      </c>
      <c r="H531" t="s">
        <v>898</v>
      </c>
      <c r="I531" t="s">
        <v>898</v>
      </c>
      <c r="J531" t="s">
        <v>898</v>
      </c>
      <c r="K531" t="s">
        <v>898</v>
      </c>
      <c r="L531" t="s">
        <v>898</v>
      </c>
      <c r="M531" t="s">
        <v>898</v>
      </c>
      <c r="N531" t="s">
        <v>898</v>
      </c>
      <c r="O531" t="s">
        <v>898</v>
      </c>
      <c r="P531" t="s">
        <v>898</v>
      </c>
      <c r="Q531" t="s">
        <v>898</v>
      </c>
      <c r="R531" t="s">
        <v>898</v>
      </c>
      <c r="S531" t="s">
        <v>898</v>
      </c>
      <c r="T531" t="s">
        <v>898</v>
      </c>
      <c r="U531" t="s">
        <v>898</v>
      </c>
      <c r="V531" t="s">
        <v>898</v>
      </c>
      <c r="W531" t="s">
        <v>898</v>
      </c>
      <c r="X531" t="s">
        <v>898</v>
      </c>
      <c r="Y531" t="e">
        <v>#REF!</v>
      </c>
      <c r="Z531" t="e">
        <v>#REF!</v>
      </c>
    </row>
    <row r="532">
      <c r="A532" t="s">
        <v>898</v>
      </c>
      <c r="B532" t="s">
        <v>898</v>
      </c>
      <c r="C532" t="s">
        <v>898</v>
      </c>
      <c r="D532" t="s">
        <v>898</v>
      </c>
      <c r="E532" t="s">
        <v>898</v>
      </c>
      <c r="F532" t="s">
        <v>898</v>
      </c>
      <c r="G532" t="s">
        <v>898</v>
      </c>
      <c r="H532" t="s">
        <v>898</v>
      </c>
      <c r="I532" t="s">
        <v>898</v>
      </c>
      <c r="J532" t="s">
        <v>898</v>
      </c>
      <c r="K532" t="s">
        <v>898</v>
      </c>
      <c r="L532" t="s">
        <v>898</v>
      </c>
      <c r="M532" t="s">
        <v>898</v>
      </c>
      <c r="N532" t="s">
        <v>898</v>
      </c>
      <c r="O532" t="s">
        <v>898</v>
      </c>
      <c r="P532" t="s">
        <v>898</v>
      </c>
      <c r="Q532" t="s">
        <v>898</v>
      </c>
      <c r="R532" t="s">
        <v>898</v>
      </c>
      <c r="S532" t="s">
        <v>898</v>
      </c>
      <c r="T532" t="s">
        <v>898</v>
      </c>
      <c r="U532" t="s">
        <v>898</v>
      </c>
      <c r="V532" t="s">
        <v>898</v>
      </c>
      <c r="W532" t="s">
        <v>898</v>
      </c>
      <c r="X532" t="s">
        <v>898</v>
      </c>
      <c r="Y532" t="e">
        <v>#REF!</v>
      </c>
      <c r="Z532" t="e">
        <v>#REF!</v>
      </c>
    </row>
    <row r="533">
      <c r="A533" t="s">
        <v>898</v>
      </c>
      <c r="B533" t="s">
        <v>898</v>
      </c>
      <c r="C533" t="s">
        <v>898</v>
      </c>
      <c r="D533" t="s">
        <v>898</v>
      </c>
      <c r="E533" t="s">
        <v>898</v>
      </c>
      <c r="F533" t="s">
        <v>898</v>
      </c>
      <c r="G533" t="s">
        <v>898</v>
      </c>
      <c r="H533" t="s">
        <v>898</v>
      </c>
      <c r="I533" t="s">
        <v>898</v>
      </c>
      <c r="J533" t="s">
        <v>898</v>
      </c>
      <c r="K533" t="s">
        <v>898</v>
      </c>
      <c r="L533" t="s">
        <v>898</v>
      </c>
      <c r="M533" t="s">
        <v>898</v>
      </c>
      <c r="N533" t="s">
        <v>898</v>
      </c>
      <c r="O533" t="s">
        <v>898</v>
      </c>
      <c r="P533" t="s">
        <v>898</v>
      </c>
      <c r="Q533" t="s">
        <v>898</v>
      </c>
      <c r="R533" t="s">
        <v>898</v>
      </c>
      <c r="S533" t="s">
        <v>898</v>
      </c>
      <c r="T533" t="s">
        <v>898</v>
      </c>
      <c r="U533" t="s">
        <v>898</v>
      </c>
      <c r="V533" t="s">
        <v>898</v>
      </c>
      <c r="W533" t="s">
        <v>898</v>
      </c>
      <c r="X533" t="s">
        <v>898</v>
      </c>
      <c r="Y533" t="e">
        <v>#REF!</v>
      </c>
      <c r="Z533" t="e">
        <v>#REF!</v>
      </c>
    </row>
    <row r="534">
      <c r="A534" t="s">
        <v>898</v>
      </c>
      <c r="B534" t="s">
        <v>898</v>
      </c>
      <c r="C534" t="s">
        <v>898</v>
      </c>
      <c r="D534" t="s">
        <v>898</v>
      </c>
      <c r="E534" t="s">
        <v>898</v>
      </c>
      <c r="F534" t="s">
        <v>898</v>
      </c>
      <c r="G534" t="s">
        <v>898</v>
      </c>
      <c r="H534" t="s">
        <v>898</v>
      </c>
      <c r="I534" t="s">
        <v>898</v>
      </c>
      <c r="J534" t="s">
        <v>898</v>
      </c>
      <c r="K534" t="s">
        <v>898</v>
      </c>
      <c r="L534" t="s">
        <v>898</v>
      </c>
      <c r="M534" t="s">
        <v>898</v>
      </c>
      <c r="N534" t="s">
        <v>898</v>
      </c>
      <c r="O534" t="s">
        <v>898</v>
      </c>
      <c r="P534" t="s">
        <v>898</v>
      </c>
      <c r="Q534" t="s">
        <v>898</v>
      </c>
      <c r="R534" t="s">
        <v>898</v>
      </c>
      <c r="S534" t="s">
        <v>898</v>
      </c>
      <c r="T534" t="s">
        <v>898</v>
      </c>
      <c r="U534" t="s">
        <v>898</v>
      </c>
      <c r="V534" t="s">
        <v>898</v>
      </c>
      <c r="W534" t="s">
        <v>898</v>
      </c>
      <c r="X534" t="s">
        <v>898</v>
      </c>
      <c r="Y534" t="e">
        <v>#REF!</v>
      </c>
      <c r="Z534" t="e">
        <v>#REF!</v>
      </c>
    </row>
    <row r="535">
      <c r="A535" t="s">
        <v>898</v>
      </c>
      <c r="B535" t="s">
        <v>898</v>
      </c>
      <c r="C535" t="s">
        <v>898</v>
      </c>
      <c r="D535" t="s">
        <v>898</v>
      </c>
      <c r="E535" t="s">
        <v>898</v>
      </c>
      <c r="F535" t="s">
        <v>898</v>
      </c>
      <c r="G535" t="s">
        <v>898</v>
      </c>
      <c r="H535" t="s">
        <v>898</v>
      </c>
      <c r="I535" t="s">
        <v>898</v>
      </c>
      <c r="J535" t="s">
        <v>898</v>
      </c>
      <c r="K535" t="s">
        <v>898</v>
      </c>
      <c r="L535" t="s">
        <v>898</v>
      </c>
      <c r="M535" t="s">
        <v>898</v>
      </c>
      <c r="N535" t="s">
        <v>898</v>
      </c>
      <c r="O535" t="s">
        <v>898</v>
      </c>
      <c r="P535" t="s">
        <v>898</v>
      </c>
      <c r="Q535" t="s">
        <v>898</v>
      </c>
      <c r="R535" t="s">
        <v>898</v>
      </c>
      <c r="S535" t="s">
        <v>898</v>
      </c>
      <c r="T535" t="s">
        <v>898</v>
      </c>
      <c r="U535" t="s">
        <v>898</v>
      </c>
      <c r="V535" t="s">
        <v>898</v>
      </c>
      <c r="W535" t="s">
        <v>898</v>
      </c>
      <c r="X535" t="s">
        <v>898</v>
      </c>
      <c r="Y535" t="e">
        <v>#REF!</v>
      </c>
      <c r="Z535" t="e">
        <v>#REF!</v>
      </c>
    </row>
    <row r="536">
      <c r="A536" t="s">
        <v>898</v>
      </c>
      <c r="B536" t="s">
        <v>898</v>
      </c>
      <c r="C536" t="s">
        <v>898</v>
      </c>
      <c r="D536" t="s">
        <v>898</v>
      </c>
      <c r="E536" t="s">
        <v>898</v>
      </c>
      <c r="F536" t="s">
        <v>898</v>
      </c>
      <c r="G536" t="s">
        <v>898</v>
      </c>
      <c r="H536" t="s">
        <v>898</v>
      </c>
      <c r="I536" t="s">
        <v>898</v>
      </c>
      <c r="J536" t="s">
        <v>898</v>
      </c>
      <c r="K536" t="s">
        <v>898</v>
      </c>
      <c r="L536" t="s">
        <v>898</v>
      </c>
      <c r="M536" t="s">
        <v>898</v>
      </c>
      <c r="N536" t="s">
        <v>898</v>
      </c>
      <c r="O536" t="s">
        <v>898</v>
      </c>
      <c r="P536" t="s">
        <v>898</v>
      </c>
      <c r="Q536" t="s">
        <v>898</v>
      </c>
      <c r="R536" t="s">
        <v>898</v>
      </c>
      <c r="S536" t="s">
        <v>898</v>
      </c>
      <c r="T536" t="s">
        <v>898</v>
      </c>
      <c r="U536" t="s">
        <v>898</v>
      </c>
      <c r="V536" t="s">
        <v>898</v>
      </c>
      <c r="W536" t="s">
        <v>898</v>
      </c>
      <c r="X536" t="s">
        <v>898</v>
      </c>
      <c r="Y536" t="e">
        <v>#REF!</v>
      </c>
      <c r="Z536" t="e">
        <v>#REF!</v>
      </c>
    </row>
    <row r="537">
      <c r="A537" t="s">
        <v>898</v>
      </c>
      <c r="B537" t="s">
        <v>898</v>
      </c>
      <c r="C537" t="s">
        <v>898</v>
      </c>
      <c r="D537" t="s">
        <v>898</v>
      </c>
      <c r="E537" t="s">
        <v>898</v>
      </c>
      <c r="F537" t="s">
        <v>898</v>
      </c>
      <c r="G537" t="s">
        <v>898</v>
      </c>
      <c r="H537" t="s">
        <v>898</v>
      </c>
      <c r="I537" t="s">
        <v>898</v>
      </c>
      <c r="J537" t="s">
        <v>898</v>
      </c>
      <c r="K537" t="s">
        <v>898</v>
      </c>
      <c r="L537" t="s">
        <v>898</v>
      </c>
      <c r="M537" t="s">
        <v>898</v>
      </c>
      <c r="N537" t="s">
        <v>898</v>
      </c>
      <c r="O537" t="s">
        <v>898</v>
      </c>
      <c r="P537" t="s">
        <v>898</v>
      </c>
      <c r="Q537" t="s">
        <v>898</v>
      </c>
      <c r="R537" t="s">
        <v>898</v>
      </c>
      <c r="S537" t="s">
        <v>898</v>
      </c>
      <c r="T537" t="s">
        <v>898</v>
      </c>
      <c r="U537" t="s">
        <v>898</v>
      </c>
      <c r="V537" t="s">
        <v>898</v>
      </c>
      <c r="W537" t="s">
        <v>898</v>
      </c>
      <c r="X537" t="s">
        <v>898</v>
      </c>
      <c r="Y537" t="e">
        <v>#REF!</v>
      </c>
      <c r="Z537" t="e">
        <v>#REF!</v>
      </c>
    </row>
    <row r="538">
      <c r="A538" t="s">
        <v>898</v>
      </c>
      <c r="B538" t="s">
        <v>898</v>
      </c>
      <c r="C538" t="s">
        <v>898</v>
      </c>
      <c r="D538" t="s">
        <v>898</v>
      </c>
      <c r="E538" t="s">
        <v>898</v>
      </c>
      <c r="F538" t="s">
        <v>898</v>
      </c>
      <c r="G538" t="s">
        <v>898</v>
      </c>
      <c r="H538" t="s">
        <v>898</v>
      </c>
      <c r="I538" t="s">
        <v>898</v>
      </c>
      <c r="J538" t="s">
        <v>898</v>
      </c>
      <c r="K538" t="s">
        <v>898</v>
      </c>
      <c r="L538" t="s">
        <v>898</v>
      </c>
      <c r="M538" t="s">
        <v>898</v>
      </c>
      <c r="N538" t="s">
        <v>898</v>
      </c>
      <c r="O538" t="s">
        <v>898</v>
      </c>
      <c r="P538" t="s">
        <v>898</v>
      </c>
      <c r="Q538" t="s">
        <v>898</v>
      </c>
      <c r="R538" t="s">
        <v>898</v>
      </c>
      <c r="S538" t="s">
        <v>898</v>
      </c>
      <c r="T538" t="s">
        <v>898</v>
      </c>
      <c r="U538" t="s">
        <v>898</v>
      </c>
      <c r="V538" t="s">
        <v>898</v>
      </c>
      <c r="W538" t="s">
        <v>898</v>
      </c>
      <c r="X538" t="s">
        <v>898</v>
      </c>
      <c r="Y538" t="e">
        <v>#REF!</v>
      </c>
      <c r="Z538" t="e">
        <v>#REF!</v>
      </c>
    </row>
    <row r="539">
      <c r="A539" t="s">
        <v>898</v>
      </c>
      <c r="B539" t="s">
        <v>898</v>
      </c>
      <c r="C539" t="s">
        <v>898</v>
      </c>
      <c r="D539" t="s">
        <v>898</v>
      </c>
      <c r="E539" t="s">
        <v>898</v>
      </c>
      <c r="F539" t="s">
        <v>898</v>
      </c>
      <c r="G539" t="s">
        <v>898</v>
      </c>
      <c r="H539" t="s">
        <v>898</v>
      </c>
      <c r="I539" t="s">
        <v>898</v>
      </c>
      <c r="J539" t="s">
        <v>898</v>
      </c>
      <c r="K539" t="s">
        <v>898</v>
      </c>
      <c r="L539" t="s">
        <v>898</v>
      </c>
      <c r="M539" t="s">
        <v>898</v>
      </c>
      <c r="N539" t="s">
        <v>898</v>
      </c>
      <c r="O539" t="s">
        <v>898</v>
      </c>
      <c r="P539" t="s">
        <v>898</v>
      </c>
      <c r="Q539" t="s">
        <v>898</v>
      </c>
      <c r="R539" t="s">
        <v>898</v>
      </c>
      <c r="S539" t="s">
        <v>898</v>
      </c>
      <c r="T539" t="s">
        <v>898</v>
      </c>
      <c r="U539" t="s">
        <v>898</v>
      </c>
      <c r="V539" t="s">
        <v>898</v>
      </c>
      <c r="W539" t="s">
        <v>898</v>
      </c>
      <c r="X539" t="s">
        <v>898</v>
      </c>
      <c r="Y539" t="e">
        <v>#REF!</v>
      </c>
      <c r="Z539" t="e">
        <v>#REF!</v>
      </c>
    </row>
    <row r="540">
      <c r="A540" t="s">
        <v>898</v>
      </c>
      <c r="B540" t="s">
        <v>898</v>
      </c>
      <c r="C540" t="s">
        <v>898</v>
      </c>
      <c r="D540" t="s">
        <v>898</v>
      </c>
      <c r="E540" t="s">
        <v>898</v>
      </c>
      <c r="F540" t="s">
        <v>898</v>
      </c>
      <c r="G540" t="s">
        <v>898</v>
      </c>
      <c r="H540" t="s">
        <v>898</v>
      </c>
      <c r="I540" t="s">
        <v>898</v>
      </c>
      <c r="J540" t="s">
        <v>898</v>
      </c>
      <c r="K540" t="s">
        <v>898</v>
      </c>
      <c r="L540" t="s">
        <v>898</v>
      </c>
      <c r="M540" t="s">
        <v>898</v>
      </c>
      <c r="N540" t="s">
        <v>898</v>
      </c>
      <c r="O540" t="s">
        <v>898</v>
      </c>
      <c r="P540" t="s">
        <v>898</v>
      </c>
      <c r="Q540" t="s">
        <v>898</v>
      </c>
      <c r="R540" t="s">
        <v>898</v>
      </c>
      <c r="S540" t="s">
        <v>898</v>
      </c>
      <c r="T540" t="s">
        <v>898</v>
      </c>
      <c r="U540" t="s">
        <v>898</v>
      </c>
      <c r="V540" t="s">
        <v>898</v>
      </c>
      <c r="W540" t="s">
        <v>898</v>
      </c>
      <c r="X540" t="s">
        <v>898</v>
      </c>
      <c r="Y540" t="e">
        <v>#REF!</v>
      </c>
      <c r="Z540" t="e">
        <v>#REF!</v>
      </c>
    </row>
    <row r="541">
      <c r="A541" t="s">
        <v>898</v>
      </c>
      <c r="B541" t="s">
        <v>898</v>
      </c>
      <c r="C541" t="s">
        <v>898</v>
      </c>
      <c r="D541" t="s">
        <v>898</v>
      </c>
      <c r="E541" t="s">
        <v>898</v>
      </c>
      <c r="F541" t="s">
        <v>898</v>
      </c>
      <c r="G541" t="s">
        <v>898</v>
      </c>
      <c r="H541" t="s">
        <v>898</v>
      </c>
      <c r="I541" t="s">
        <v>898</v>
      </c>
      <c r="J541" t="s">
        <v>898</v>
      </c>
      <c r="K541" t="s">
        <v>898</v>
      </c>
      <c r="L541" t="s">
        <v>898</v>
      </c>
      <c r="M541" t="s">
        <v>898</v>
      </c>
      <c r="N541" t="s">
        <v>898</v>
      </c>
      <c r="O541" t="s">
        <v>898</v>
      </c>
      <c r="P541" t="s">
        <v>898</v>
      </c>
      <c r="Q541" t="s">
        <v>898</v>
      </c>
      <c r="R541" t="s">
        <v>898</v>
      </c>
      <c r="S541" t="s">
        <v>898</v>
      </c>
      <c r="T541" t="s">
        <v>898</v>
      </c>
      <c r="U541" t="s">
        <v>898</v>
      </c>
      <c r="V541" t="s">
        <v>898</v>
      </c>
      <c r="W541" t="s">
        <v>898</v>
      </c>
      <c r="X541" t="s">
        <v>898</v>
      </c>
      <c r="Y541" t="e">
        <v>#REF!</v>
      </c>
      <c r="Z541" t="e">
        <v>#REF!</v>
      </c>
    </row>
    <row r="542">
      <c r="A542" t="s">
        <v>898</v>
      </c>
      <c r="B542" t="s">
        <v>898</v>
      </c>
      <c r="C542" t="s">
        <v>898</v>
      </c>
      <c r="D542" t="s">
        <v>898</v>
      </c>
      <c r="E542" t="s">
        <v>898</v>
      </c>
      <c r="F542" t="s">
        <v>898</v>
      </c>
      <c r="G542" t="s">
        <v>898</v>
      </c>
      <c r="H542" t="s">
        <v>898</v>
      </c>
      <c r="I542" t="s">
        <v>898</v>
      </c>
      <c r="J542" t="s">
        <v>898</v>
      </c>
      <c r="K542" t="s">
        <v>898</v>
      </c>
      <c r="L542" t="s">
        <v>898</v>
      </c>
      <c r="M542" t="s">
        <v>898</v>
      </c>
      <c r="N542" t="s">
        <v>898</v>
      </c>
      <c r="O542" t="s">
        <v>898</v>
      </c>
      <c r="P542" t="s">
        <v>898</v>
      </c>
      <c r="Q542" t="s">
        <v>898</v>
      </c>
      <c r="R542" t="s">
        <v>898</v>
      </c>
      <c r="S542" t="s">
        <v>898</v>
      </c>
      <c r="T542" t="s">
        <v>898</v>
      </c>
      <c r="U542" t="s">
        <v>898</v>
      </c>
      <c r="V542" t="s">
        <v>898</v>
      </c>
      <c r="W542" t="s">
        <v>898</v>
      </c>
      <c r="X542" t="s">
        <v>898</v>
      </c>
      <c r="Y542" t="e">
        <v>#REF!</v>
      </c>
      <c r="Z542" t="e">
        <v>#REF!</v>
      </c>
    </row>
    <row r="543">
      <c r="A543" t="s">
        <v>898</v>
      </c>
      <c r="B543" t="s">
        <v>898</v>
      </c>
      <c r="C543" t="s">
        <v>898</v>
      </c>
      <c r="D543" t="s">
        <v>898</v>
      </c>
      <c r="E543" t="s">
        <v>898</v>
      </c>
      <c r="F543" t="s">
        <v>898</v>
      </c>
      <c r="G543" t="s">
        <v>898</v>
      </c>
      <c r="H543" t="s">
        <v>898</v>
      </c>
      <c r="I543" t="s">
        <v>898</v>
      </c>
      <c r="J543" t="s">
        <v>898</v>
      </c>
      <c r="K543" t="s">
        <v>898</v>
      </c>
      <c r="L543" t="s">
        <v>898</v>
      </c>
      <c r="M543" t="s">
        <v>898</v>
      </c>
      <c r="N543" t="s">
        <v>898</v>
      </c>
      <c r="O543" t="s">
        <v>898</v>
      </c>
      <c r="P543" t="s">
        <v>898</v>
      </c>
      <c r="Q543" t="s">
        <v>898</v>
      </c>
      <c r="R543" t="s">
        <v>898</v>
      </c>
      <c r="S543" t="s">
        <v>898</v>
      </c>
      <c r="T543" t="s">
        <v>898</v>
      </c>
      <c r="U543" t="s">
        <v>898</v>
      </c>
      <c r="V543" t="s">
        <v>898</v>
      </c>
      <c r="W543" t="s">
        <v>898</v>
      </c>
      <c r="X543" t="s">
        <v>898</v>
      </c>
      <c r="Y543" t="e">
        <v>#REF!</v>
      </c>
      <c r="Z543" t="e">
        <v>#REF!</v>
      </c>
    </row>
    <row r="544">
      <c r="A544" t="s">
        <v>898</v>
      </c>
      <c r="B544" t="s">
        <v>898</v>
      </c>
      <c r="C544" t="s">
        <v>898</v>
      </c>
      <c r="D544" t="s">
        <v>898</v>
      </c>
      <c r="E544" t="s">
        <v>898</v>
      </c>
      <c r="F544" t="s">
        <v>898</v>
      </c>
      <c r="G544" t="s">
        <v>898</v>
      </c>
      <c r="H544" t="s">
        <v>898</v>
      </c>
      <c r="I544" t="s">
        <v>898</v>
      </c>
      <c r="J544" t="s">
        <v>898</v>
      </c>
      <c r="K544" t="s">
        <v>898</v>
      </c>
      <c r="L544" t="s">
        <v>898</v>
      </c>
      <c r="M544" t="s">
        <v>898</v>
      </c>
      <c r="N544" t="s">
        <v>898</v>
      </c>
      <c r="O544" t="s">
        <v>898</v>
      </c>
      <c r="P544" t="s">
        <v>898</v>
      </c>
      <c r="Q544" t="s">
        <v>898</v>
      </c>
      <c r="R544" t="s">
        <v>898</v>
      </c>
      <c r="S544" t="s">
        <v>898</v>
      </c>
      <c r="T544" t="s">
        <v>898</v>
      </c>
      <c r="U544" t="s">
        <v>898</v>
      </c>
      <c r="V544" t="s">
        <v>898</v>
      </c>
      <c r="W544" t="s">
        <v>898</v>
      </c>
      <c r="X544" t="s">
        <v>898</v>
      </c>
      <c r="Y544" t="e">
        <v>#REF!</v>
      </c>
      <c r="Z544" t="e">
        <v>#REF!</v>
      </c>
    </row>
    <row r="545">
      <c r="A545" t="s">
        <v>898</v>
      </c>
      <c r="B545" t="s">
        <v>898</v>
      </c>
      <c r="C545" t="s">
        <v>898</v>
      </c>
      <c r="D545" t="s">
        <v>898</v>
      </c>
      <c r="E545" t="s">
        <v>898</v>
      </c>
      <c r="F545" t="s">
        <v>898</v>
      </c>
      <c r="G545" t="s">
        <v>898</v>
      </c>
      <c r="H545" t="s">
        <v>898</v>
      </c>
      <c r="I545" t="s">
        <v>898</v>
      </c>
      <c r="J545" t="s">
        <v>898</v>
      </c>
      <c r="K545" t="s">
        <v>898</v>
      </c>
      <c r="L545" t="s">
        <v>898</v>
      </c>
      <c r="M545" t="s">
        <v>898</v>
      </c>
      <c r="N545" t="s">
        <v>898</v>
      </c>
      <c r="O545" t="s">
        <v>898</v>
      </c>
      <c r="P545" t="s">
        <v>898</v>
      </c>
      <c r="Q545" t="s">
        <v>898</v>
      </c>
      <c r="R545" t="s">
        <v>898</v>
      </c>
      <c r="S545" t="s">
        <v>898</v>
      </c>
      <c r="T545" t="s">
        <v>898</v>
      </c>
      <c r="U545" t="s">
        <v>898</v>
      </c>
      <c r="V545" t="s">
        <v>898</v>
      </c>
      <c r="W545" t="s">
        <v>898</v>
      </c>
      <c r="X545" t="s">
        <v>898</v>
      </c>
      <c r="Y545" t="e">
        <v>#REF!</v>
      </c>
      <c r="Z545" t="e">
        <v>#REF!</v>
      </c>
    </row>
    <row r="546">
      <c r="A546" t="s">
        <v>898</v>
      </c>
      <c r="B546" t="s">
        <v>898</v>
      </c>
      <c r="C546" t="s">
        <v>898</v>
      </c>
      <c r="D546" t="s">
        <v>898</v>
      </c>
      <c r="E546" t="s">
        <v>898</v>
      </c>
      <c r="F546" t="s">
        <v>898</v>
      </c>
      <c r="G546" t="s">
        <v>898</v>
      </c>
      <c r="H546" t="s">
        <v>898</v>
      </c>
      <c r="I546" t="s">
        <v>898</v>
      </c>
      <c r="J546" t="s">
        <v>898</v>
      </c>
      <c r="K546" t="s">
        <v>898</v>
      </c>
      <c r="L546" t="s">
        <v>898</v>
      </c>
      <c r="M546" t="s">
        <v>898</v>
      </c>
      <c r="N546" t="s">
        <v>898</v>
      </c>
      <c r="O546" t="s">
        <v>898</v>
      </c>
      <c r="P546" t="s">
        <v>898</v>
      </c>
      <c r="Q546" t="s">
        <v>898</v>
      </c>
      <c r="R546" t="s">
        <v>898</v>
      </c>
      <c r="S546" t="s">
        <v>898</v>
      </c>
      <c r="T546" t="s">
        <v>898</v>
      </c>
      <c r="U546" t="s">
        <v>898</v>
      </c>
      <c r="V546" t="s">
        <v>898</v>
      </c>
      <c r="W546" t="s">
        <v>898</v>
      </c>
      <c r="X546" t="s">
        <v>898</v>
      </c>
      <c r="Y546" t="e">
        <v>#REF!</v>
      </c>
      <c r="Z546" t="e">
        <v>#REF!</v>
      </c>
    </row>
    <row r="547">
      <c r="A547" t="s">
        <v>898</v>
      </c>
      <c r="B547" t="s">
        <v>898</v>
      </c>
      <c r="C547" t="s">
        <v>898</v>
      </c>
      <c r="D547" t="s">
        <v>898</v>
      </c>
      <c r="E547" t="s">
        <v>898</v>
      </c>
      <c r="F547" t="s">
        <v>898</v>
      </c>
      <c r="G547" t="s">
        <v>898</v>
      </c>
      <c r="H547" t="s">
        <v>898</v>
      </c>
      <c r="I547" t="s">
        <v>898</v>
      </c>
      <c r="J547" t="s">
        <v>898</v>
      </c>
      <c r="K547" t="s">
        <v>898</v>
      </c>
      <c r="L547" t="s">
        <v>898</v>
      </c>
      <c r="M547" t="s">
        <v>898</v>
      </c>
      <c r="N547" t="s">
        <v>898</v>
      </c>
      <c r="O547" t="s">
        <v>898</v>
      </c>
      <c r="P547" t="s">
        <v>898</v>
      </c>
      <c r="Q547" t="s">
        <v>898</v>
      </c>
      <c r="R547" t="s">
        <v>898</v>
      </c>
      <c r="S547" t="s">
        <v>898</v>
      </c>
      <c r="T547" t="s">
        <v>898</v>
      </c>
      <c r="U547" t="s">
        <v>898</v>
      </c>
      <c r="V547" t="s">
        <v>898</v>
      </c>
      <c r="W547" t="s">
        <v>898</v>
      </c>
      <c r="X547" t="s">
        <v>898</v>
      </c>
      <c r="Y547" t="e">
        <v>#REF!</v>
      </c>
      <c r="Z547" t="e">
        <v>#REF!</v>
      </c>
    </row>
    <row r="548">
      <c r="A548" t="s">
        <v>898</v>
      </c>
      <c r="B548" t="s">
        <v>898</v>
      </c>
      <c r="C548" t="s">
        <v>898</v>
      </c>
      <c r="D548" t="s">
        <v>898</v>
      </c>
      <c r="E548" t="s">
        <v>898</v>
      </c>
      <c r="F548" t="s">
        <v>898</v>
      </c>
      <c r="G548" t="s">
        <v>898</v>
      </c>
      <c r="H548" t="s">
        <v>898</v>
      </c>
      <c r="I548" t="s">
        <v>898</v>
      </c>
      <c r="J548" t="s">
        <v>898</v>
      </c>
      <c r="K548" t="s">
        <v>898</v>
      </c>
      <c r="L548" t="s">
        <v>898</v>
      </c>
      <c r="M548" t="s">
        <v>898</v>
      </c>
      <c r="N548" t="s">
        <v>898</v>
      </c>
      <c r="O548" t="s">
        <v>898</v>
      </c>
      <c r="P548" t="s">
        <v>898</v>
      </c>
      <c r="Q548" t="s">
        <v>898</v>
      </c>
      <c r="R548" t="s">
        <v>898</v>
      </c>
      <c r="S548" t="s">
        <v>898</v>
      </c>
      <c r="T548" t="s">
        <v>898</v>
      </c>
      <c r="U548" t="s">
        <v>898</v>
      </c>
      <c r="V548" t="s">
        <v>898</v>
      </c>
      <c r="W548" t="s">
        <v>898</v>
      </c>
      <c r="X548" t="s">
        <v>898</v>
      </c>
      <c r="Y548" t="e">
        <v>#REF!</v>
      </c>
      <c r="Z548" t="e">
        <v>#REF!</v>
      </c>
    </row>
    <row r="549">
      <c r="A549" t="s">
        <v>898</v>
      </c>
      <c r="B549" t="s">
        <v>898</v>
      </c>
      <c r="C549" t="s">
        <v>898</v>
      </c>
      <c r="D549" t="s">
        <v>898</v>
      </c>
      <c r="E549" t="s">
        <v>898</v>
      </c>
      <c r="F549" t="s">
        <v>898</v>
      </c>
      <c r="G549" t="s">
        <v>898</v>
      </c>
      <c r="H549" t="s">
        <v>898</v>
      </c>
      <c r="I549" t="s">
        <v>898</v>
      </c>
      <c r="J549" t="s">
        <v>898</v>
      </c>
      <c r="K549" t="s">
        <v>898</v>
      </c>
      <c r="L549" t="s">
        <v>898</v>
      </c>
      <c r="M549" t="s">
        <v>898</v>
      </c>
      <c r="N549" t="s">
        <v>898</v>
      </c>
      <c r="O549" t="s">
        <v>898</v>
      </c>
      <c r="P549" t="s">
        <v>898</v>
      </c>
      <c r="Q549" t="s">
        <v>898</v>
      </c>
      <c r="R549" t="s">
        <v>898</v>
      </c>
      <c r="S549" t="s">
        <v>898</v>
      </c>
      <c r="T549" t="s">
        <v>898</v>
      </c>
      <c r="U549" t="s">
        <v>898</v>
      </c>
      <c r="V549" t="s">
        <v>898</v>
      </c>
      <c r="W549" t="s">
        <v>898</v>
      </c>
      <c r="X549" t="s">
        <v>898</v>
      </c>
      <c r="Y549" t="e">
        <v>#REF!</v>
      </c>
      <c r="Z549" t="e">
        <v>#REF!</v>
      </c>
    </row>
    <row r="550">
      <c r="A550" t="s">
        <v>898</v>
      </c>
      <c r="B550" t="s">
        <v>898</v>
      </c>
      <c r="C550" t="s">
        <v>898</v>
      </c>
      <c r="D550" t="s">
        <v>898</v>
      </c>
      <c r="E550" t="s">
        <v>898</v>
      </c>
      <c r="F550" t="s">
        <v>898</v>
      </c>
      <c r="G550" t="s">
        <v>898</v>
      </c>
      <c r="H550" t="s">
        <v>898</v>
      </c>
      <c r="I550" t="s">
        <v>898</v>
      </c>
      <c r="J550" t="s">
        <v>898</v>
      </c>
      <c r="K550" t="s">
        <v>898</v>
      </c>
      <c r="L550" t="s">
        <v>898</v>
      </c>
      <c r="M550" t="s">
        <v>898</v>
      </c>
      <c r="N550" t="s">
        <v>898</v>
      </c>
      <c r="O550" t="s">
        <v>898</v>
      </c>
      <c r="P550" t="s">
        <v>898</v>
      </c>
      <c r="Q550" t="s">
        <v>898</v>
      </c>
      <c r="R550" t="s">
        <v>898</v>
      </c>
      <c r="S550" t="s">
        <v>898</v>
      </c>
      <c r="T550" t="s">
        <v>898</v>
      </c>
      <c r="U550" t="s">
        <v>898</v>
      </c>
      <c r="V550" t="s">
        <v>898</v>
      </c>
      <c r="W550" t="s">
        <v>898</v>
      </c>
      <c r="X550" t="s">
        <v>898</v>
      </c>
      <c r="Y550" t="e">
        <v>#REF!</v>
      </c>
      <c r="Z550" t="e">
        <v>#REF!</v>
      </c>
    </row>
    <row r="551">
      <c r="A551" t="s">
        <v>898</v>
      </c>
      <c r="B551" t="s">
        <v>898</v>
      </c>
      <c r="C551" t="s">
        <v>898</v>
      </c>
      <c r="D551" t="s">
        <v>898</v>
      </c>
      <c r="E551" t="s">
        <v>898</v>
      </c>
      <c r="F551" t="s">
        <v>898</v>
      </c>
      <c r="G551" t="s">
        <v>898</v>
      </c>
      <c r="H551" t="s">
        <v>898</v>
      </c>
      <c r="I551" t="s">
        <v>898</v>
      </c>
      <c r="J551" t="s">
        <v>898</v>
      </c>
      <c r="K551" t="s">
        <v>898</v>
      </c>
      <c r="L551" t="s">
        <v>898</v>
      </c>
      <c r="M551" t="s">
        <v>898</v>
      </c>
      <c r="N551" t="s">
        <v>898</v>
      </c>
      <c r="O551" t="s">
        <v>898</v>
      </c>
      <c r="P551" t="s">
        <v>898</v>
      </c>
      <c r="Q551" t="s">
        <v>898</v>
      </c>
      <c r="R551" t="s">
        <v>898</v>
      </c>
      <c r="S551" t="s">
        <v>898</v>
      </c>
      <c r="T551" t="s">
        <v>898</v>
      </c>
      <c r="U551" t="s">
        <v>898</v>
      </c>
      <c r="V551" t="s">
        <v>898</v>
      </c>
      <c r="W551" t="s">
        <v>898</v>
      </c>
      <c r="X551" t="s">
        <v>898</v>
      </c>
      <c r="Y551" t="e">
        <v>#REF!</v>
      </c>
      <c r="Z551" t="e">
        <v>#REF!</v>
      </c>
    </row>
    <row r="552">
      <c r="A552" t="s">
        <v>898</v>
      </c>
      <c r="B552" t="s">
        <v>898</v>
      </c>
      <c r="C552" t="s">
        <v>898</v>
      </c>
      <c r="D552" t="s">
        <v>898</v>
      </c>
      <c r="E552" t="s">
        <v>898</v>
      </c>
      <c r="F552" t="s">
        <v>898</v>
      </c>
      <c r="G552" t="s">
        <v>898</v>
      </c>
      <c r="H552" t="s">
        <v>898</v>
      </c>
      <c r="I552" t="s">
        <v>898</v>
      </c>
      <c r="J552" t="s">
        <v>898</v>
      </c>
      <c r="K552" t="s">
        <v>898</v>
      </c>
      <c r="L552" t="s">
        <v>898</v>
      </c>
      <c r="M552" t="s">
        <v>898</v>
      </c>
      <c r="N552" t="s">
        <v>898</v>
      </c>
      <c r="O552" t="s">
        <v>898</v>
      </c>
      <c r="P552" t="s">
        <v>898</v>
      </c>
      <c r="Q552" t="s">
        <v>898</v>
      </c>
      <c r="R552" t="s">
        <v>898</v>
      </c>
      <c r="S552" t="s">
        <v>898</v>
      </c>
      <c r="T552" t="s">
        <v>898</v>
      </c>
      <c r="U552" t="s">
        <v>898</v>
      </c>
      <c r="V552" t="s">
        <v>898</v>
      </c>
      <c r="W552" t="s">
        <v>898</v>
      </c>
      <c r="X552" t="s">
        <v>898</v>
      </c>
      <c r="Y552" t="e">
        <v>#REF!</v>
      </c>
      <c r="Z552" t="e">
        <v>#REF!</v>
      </c>
    </row>
    <row r="553">
      <c r="A553" t="s">
        <v>898</v>
      </c>
      <c r="B553" t="s">
        <v>898</v>
      </c>
      <c r="C553" t="s">
        <v>898</v>
      </c>
      <c r="D553" t="s">
        <v>898</v>
      </c>
      <c r="E553" t="s">
        <v>898</v>
      </c>
      <c r="F553" t="s">
        <v>898</v>
      </c>
      <c r="G553" t="s">
        <v>898</v>
      </c>
      <c r="H553" t="s">
        <v>898</v>
      </c>
      <c r="I553" t="s">
        <v>898</v>
      </c>
      <c r="J553" t="s">
        <v>898</v>
      </c>
      <c r="K553" t="s">
        <v>898</v>
      </c>
      <c r="L553" t="s">
        <v>898</v>
      </c>
      <c r="M553" t="s">
        <v>898</v>
      </c>
      <c r="N553" t="s">
        <v>898</v>
      </c>
      <c r="O553" t="s">
        <v>898</v>
      </c>
      <c r="P553" t="s">
        <v>898</v>
      </c>
      <c r="Q553" t="s">
        <v>898</v>
      </c>
      <c r="R553" t="s">
        <v>898</v>
      </c>
      <c r="S553" t="s">
        <v>898</v>
      </c>
      <c r="T553" t="s">
        <v>898</v>
      </c>
      <c r="U553" t="s">
        <v>898</v>
      </c>
      <c r="V553" t="s">
        <v>898</v>
      </c>
      <c r="W553" t="s">
        <v>898</v>
      </c>
      <c r="X553" t="s">
        <v>898</v>
      </c>
      <c r="Y553" t="e">
        <v>#REF!</v>
      </c>
      <c r="Z553" t="e">
        <v>#REF!</v>
      </c>
    </row>
    <row r="554">
      <c r="A554" t="s">
        <v>898</v>
      </c>
      <c r="B554" t="s">
        <v>898</v>
      </c>
      <c r="C554" t="s">
        <v>898</v>
      </c>
      <c r="D554" t="s">
        <v>898</v>
      </c>
      <c r="E554" t="s">
        <v>898</v>
      </c>
      <c r="F554" t="s">
        <v>898</v>
      </c>
      <c r="G554" t="s">
        <v>898</v>
      </c>
      <c r="H554" t="s">
        <v>898</v>
      </c>
      <c r="I554" t="s">
        <v>898</v>
      </c>
      <c r="J554" t="s">
        <v>898</v>
      </c>
      <c r="K554" t="s">
        <v>898</v>
      </c>
      <c r="L554" t="s">
        <v>898</v>
      </c>
      <c r="M554" t="s">
        <v>898</v>
      </c>
      <c r="N554" t="s">
        <v>898</v>
      </c>
      <c r="O554" t="s">
        <v>898</v>
      </c>
      <c r="P554" t="s">
        <v>898</v>
      </c>
      <c r="Q554" t="s">
        <v>898</v>
      </c>
      <c r="R554" t="s">
        <v>898</v>
      </c>
      <c r="S554" t="s">
        <v>898</v>
      </c>
      <c r="T554" t="s">
        <v>898</v>
      </c>
      <c r="U554" t="s">
        <v>898</v>
      </c>
      <c r="V554" t="s">
        <v>898</v>
      </c>
      <c r="W554" t="s">
        <v>898</v>
      </c>
      <c r="X554" t="s">
        <v>898</v>
      </c>
      <c r="Y554" t="e">
        <v>#REF!</v>
      </c>
      <c r="Z554" t="e">
        <v>#REF!</v>
      </c>
    </row>
    <row r="555">
      <c r="A555" t="s">
        <v>898</v>
      </c>
      <c r="B555" t="s">
        <v>898</v>
      </c>
      <c r="C555" t="s">
        <v>898</v>
      </c>
      <c r="D555" t="s">
        <v>898</v>
      </c>
      <c r="E555" t="s">
        <v>898</v>
      </c>
      <c r="F555" t="s">
        <v>898</v>
      </c>
      <c r="G555" t="s">
        <v>898</v>
      </c>
      <c r="H555" t="s">
        <v>898</v>
      </c>
      <c r="I555" t="s">
        <v>898</v>
      </c>
      <c r="J555" t="s">
        <v>898</v>
      </c>
      <c r="K555" t="s">
        <v>898</v>
      </c>
      <c r="L555" t="s">
        <v>898</v>
      </c>
      <c r="M555" t="s">
        <v>898</v>
      </c>
      <c r="N555" t="s">
        <v>898</v>
      </c>
      <c r="O555" t="s">
        <v>898</v>
      </c>
      <c r="P555" t="s">
        <v>898</v>
      </c>
      <c r="Q555" t="s">
        <v>898</v>
      </c>
      <c r="R555" t="s">
        <v>898</v>
      </c>
      <c r="S555" t="s">
        <v>898</v>
      </c>
      <c r="T555" t="s">
        <v>898</v>
      </c>
      <c r="U555" t="s">
        <v>898</v>
      </c>
      <c r="V555" t="s">
        <v>898</v>
      </c>
      <c r="W555" t="s">
        <v>898</v>
      </c>
      <c r="X555" t="s">
        <v>898</v>
      </c>
      <c r="Y555" t="e">
        <v>#REF!</v>
      </c>
      <c r="Z555" t="e">
        <v>#REF!</v>
      </c>
    </row>
    <row r="556">
      <c r="A556" t="s">
        <v>898</v>
      </c>
      <c r="B556" t="s">
        <v>898</v>
      </c>
      <c r="C556" t="s">
        <v>898</v>
      </c>
      <c r="D556" t="s">
        <v>898</v>
      </c>
      <c r="E556" t="s">
        <v>898</v>
      </c>
      <c r="F556" t="s">
        <v>898</v>
      </c>
      <c r="G556" t="s">
        <v>898</v>
      </c>
      <c r="H556" t="s">
        <v>898</v>
      </c>
      <c r="I556" t="s">
        <v>898</v>
      </c>
      <c r="J556" t="s">
        <v>898</v>
      </c>
      <c r="K556" t="s">
        <v>898</v>
      </c>
      <c r="L556" t="s">
        <v>898</v>
      </c>
      <c r="M556" t="s">
        <v>898</v>
      </c>
      <c r="N556" t="s">
        <v>898</v>
      </c>
      <c r="O556" t="s">
        <v>898</v>
      </c>
      <c r="P556" t="s">
        <v>898</v>
      </c>
      <c r="Q556" t="s">
        <v>898</v>
      </c>
      <c r="R556" t="s">
        <v>898</v>
      </c>
      <c r="S556" t="s">
        <v>898</v>
      </c>
      <c r="T556" t="s">
        <v>898</v>
      </c>
      <c r="U556" t="s">
        <v>898</v>
      </c>
      <c r="V556" t="s">
        <v>898</v>
      </c>
      <c r="W556" t="s">
        <v>898</v>
      </c>
      <c r="X556" t="s">
        <v>898</v>
      </c>
      <c r="Y556" t="e">
        <v>#REF!</v>
      </c>
      <c r="Z556" t="e">
        <v>#REF!</v>
      </c>
    </row>
    <row r="557">
      <c r="A557" t="s">
        <v>898</v>
      </c>
      <c r="B557" t="s">
        <v>898</v>
      </c>
      <c r="C557" t="s">
        <v>898</v>
      </c>
      <c r="D557" t="s">
        <v>898</v>
      </c>
      <c r="E557" t="s">
        <v>898</v>
      </c>
      <c r="F557" t="s">
        <v>898</v>
      </c>
      <c r="G557" t="s">
        <v>898</v>
      </c>
      <c r="H557" t="s">
        <v>898</v>
      </c>
      <c r="I557" t="s">
        <v>898</v>
      </c>
      <c r="J557" t="s">
        <v>898</v>
      </c>
      <c r="K557" t="s">
        <v>898</v>
      </c>
      <c r="L557" t="s">
        <v>898</v>
      </c>
      <c r="M557" t="s">
        <v>898</v>
      </c>
      <c r="N557" t="s">
        <v>898</v>
      </c>
      <c r="O557" t="s">
        <v>898</v>
      </c>
      <c r="P557" t="s">
        <v>898</v>
      </c>
      <c r="Q557" t="s">
        <v>898</v>
      </c>
      <c r="R557" t="s">
        <v>898</v>
      </c>
      <c r="S557" t="s">
        <v>898</v>
      </c>
      <c r="T557" t="s">
        <v>898</v>
      </c>
      <c r="U557" t="s">
        <v>898</v>
      </c>
      <c r="V557" t="s">
        <v>898</v>
      </c>
      <c r="W557" t="s">
        <v>898</v>
      </c>
      <c r="X557" t="s">
        <v>898</v>
      </c>
      <c r="Y557" t="e">
        <v>#REF!</v>
      </c>
      <c r="Z557" t="e">
        <v>#REF!</v>
      </c>
    </row>
    <row r="558">
      <c r="A558" t="s">
        <v>898</v>
      </c>
      <c r="B558" t="s">
        <v>898</v>
      </c>
      <c r="C558" t="s">
        <v>898</v>
      </c>
      <c r="D558" t="s">
        <v>898</v>
      </c>
      <c r="E558" t="s">
        <v>898</v>
      </c>
      <c r="F558" t="s">
        <v>898</v>
      </c>
      <c r="G558" t="s">
        <v>898</v>
      </c>
      <c r="H558" t="s">
        <v>898</v>
      </c>
      <c r="I558" t="s">
        <v>898</v>
      </c>
      <c r="J558" t="s">
        <v>898</v>
      </c>
      <c r="K558" t="s">
        <v>898</v>
      </c>
      <c r="L558" t="s">
        <v>898</v>
      </c>
      <c r="M558" t="s">
        <v>898</v>
      </c>
      <c r="N558" t="s">
        <v>898</v>
      </c>
      <c r="O558" t="s">
        <v>898</v>
      </c>
      <c r="P558" t="s">
        <v>898</v>
      </c>
      <c r="Q558" t="s">
        <v>898</v>
      </c>
      <c r="R558" t="s">
        <v>898</v>
      </c>
      <c r="S558" t="s">
        <v>898</v>
      </c>
      <c r="T558" t="s">
        <v>898</v>
      </c>
      <c r="U558" t="s">
        <v>898</v>
      </c>
      <c r="V558" t="s">
        <v>898</v>
      </c>
      <c r="W558" t="s">
        <v>898</v>
      </c>
      <c r="X558" t="s">
        <v>898</v>
      </c>
      <c r="Y558" t="e">
        <v>#REF!</v>
      </c>
      <c r="Z558" t="e">
        <v>#REF!</v>
      </c>
    </row>
    <row r="559">
      <c r="A559" t="s">
        <v>898</v>
      </c>
      <c r="B559" t="s">
        <v>898</v>
      </c>
      <c r="C559" t="s">
        <v>898</v>
      </c>
      <c r="D559" t="s">
        <v>898</v>
      </c>
      <c r="E559" t="s">
        <v>898</v>
      </c>
      <c r="F559" t="s">
        <v>898</v>
      </c>
      <c r="G559" t="s">
        <v>898</v>
      </c>
      <c r="H559" t="s">
        <v>898</v>
      </c>
      <c r="I559" t="s">
        <v>898</v>
      </c>
      <c r="J559" t="s">
        <v>898</v>
      </c>
      <c r="K559" t="s">
        <v>898</v>
      </c>
      <c r="L559" t="s">
        <v>898</v>
      </c>
      <c r="M559" t="s">
        <v>898</v>
      </c>
      <c r="N559" t="s">
        <v>898</v>
      </c>
      <c r="O559" t="s">
        <v>898</v>
      </c>
      <c r="P559" t="s">
        <v>898</v>
      </c>
      <c r="Q559" t="s">
        <v>898</v>
      </c>
      <c r="R559" t="s">
        <v>898</v>
      </c>
      <c r="S559" t="s">
        <v>898</v>
      </c>
      <c r="T559" t="s">
        <v>898</v>
      </c>
      <c r="U559" t="s">
        <v>898</v>
      </c>
      <c r="V559" t="s">
        <v>898</v>
      </c>
      <c r="W559" t="s">
        <v>898</v>
      </c>
      <c r="X559" t="s">
        <v>898</v>
      </c>
      <c r="Y559" t="e">
        <v>#REF!</v>
      </c>
      <c r="Z559" t="e">
        <v>#REF!</v>
      </c>
    </row>
    <row r="560">
      <c r="A560" t="s">
        <v>898</v>
      </c>
      <c r="B560" t="s">
        <v>898</v>
      </c>
      <c r="C560" t="s">
        <v>898</v>
      </c>
      <c r="D560" t="s">
        <v>898</v>
      </c>
      <c r="E560" t="s">
        <v>898</v>
      </c>
      <c r="F560" t="s">
        <v>898</v>
      </c>
      <c r="G560" t="s">
        <v>898</v>
      </c>
      <c r="H560" t="s">
        <v>898</v>
      </c>
      <c r="I560" t="s">
        <v>898</v>
      </c>
      <c r="J560" t="s">
        <v>898</v>
      </c>
      <c r="K560" t="s">
        <v>898</v>
      </c>
      <c r="L560" t="s">
        <v>898</v>
      </c>
      <c r="M560" t="s">
        <v>898</v>
      </c>
      <c r="N560" t="s">
        <v>898</v>
      </c>
      <c r="O560" t="s">
        <v>898</v>
      </c>
      <c r="P560" t="s">
        <v>898</v>
      </c>
      <c r="Q560" t="s">
        <v>898</v>
      </c>
      <c r="R560" t="s">
        <v>898</v>
      </c>
      <c r="S560" t="s">
        <v>898</v>
      </c>
      <c r="T560" t="s">
        <v>898</v>
      </c>
      <c r="U560" t="s">
        <v>898</v>
      </c>
      <c r="V560" t="s">
        <v>898</v>
      </c>
      <c r="W560" t="s">
        <v>898</v>
      </c>
      <c r="X560" t="s">
        <v>898</v>
      </c>
      <c r="Y560" t="e">
        <v>#REF!</v>
      </c>
      <c r="Z560" t="e">
        <v>#REF!</v>
      </c>
    </row>
    <row r="561">
      <c r="A561" t="s">
        <v>898</v>
      </c>
      <c r="B561" t="s">
        <v>898</v>
      </c>
      <c r="C561" t="s">
        <v>898</v>
      </c>
      <c r="D561" t="s">
        <v>898</v>
      </c>
      <c r="E561" t="s">
        <v>898</v>
      </c>
      <c r="F561" t="s">
        <v>898</v>
      </c>
      <c r="G561" t="s">
        <v>898</v>
      </c>
      <c r="H561" t="s">
        <v>898</v>
      </c>
      <c r="I561" t="s">
        <v>898</v>
      </c>
      <c r="J561" t="s">
        <v>898</v>
      </c>
      <c r="K561" t="s">
        <v>898</v>
      </c>
      <c r="L561" t="s">
        <v>898</v>
      </c>
      <c r="M561" t="s">
        <v>898</v>
      </c>
      <c r="N561" t="s">
        <v>898</v>
      </c>
      <c r="O561" t="s">
        <v>898</v>
      </c>
      <c r="P561" t="s">
        <v>898</v>
      </c>
      <c r="Q561" t="s">
        <v>898</v>
      </c>
      <c r="R561" t="s">
        <v>898</v>
      </c>
      <c r="S561" t="s">
        <v>898</v>
      </c>
      <c r="T561" t="s">
        <v>898</v>
      </c>
      <c r="U561" t="s">
        <v>898</v>
      </c>
      <c r="V561" t="s">
        <v>898</v>
      </c>
      <c r="W561" t="s">
        <v>898</v>
      </c>
      <c r="X561" t="s">
        <v>898</v>
      </c>
      <c r="Y561" t="e">
        <v>#REF!</v>
      </c>
      <c r="Z561" t="e">
        <v>#REF!</v>
      </c>
    </row>
    <row r="562">
      <c r="A562" t="s">
        <v>898</v>
      </c>
      <c r="B562" t="s">
        <v>898</v>
      </c>
      <c r="C562" t="s">
        <v>898</v>
      </c>
      <c r="D562" t="s">
        <v>898</v>
      </c>
      <c r="E562" t="s">
        <v>898</v>
      </c>
      <c r="F562" t="s">
        <v>898</v>
      </c>
      <c r="G562" t="s">
        <v>898</v>
      </c>
      <c r="H562" t="s">
        <v>898</v>
      </c>
      <c r="I562" t="s">
        <v>898</v>
      </c>
      <c r="J562" t="s">
        <v>898</v>
      </c>
      <c r="K562" t="s">
        <v>898</v>
      </c>
      <c r="L562" t="s">
        <v>898</v>
      </c>
      <c r="M562" t="s">
        <v>898</v>
      </c>
      <c r="N562" t="s">
        <v>898</v>
      </c>
      <c r="O562" t="s">
        <v>898</v>
      </c>
      <c r="P562" t="s">
        <v>898</v>
      </c>
      <c r="Q562" t="s">
        <v>898</v>
      </c>
      <c r="R562" t="s">
        <v>898</v>
      </c>
      <c r="S562" t="s">
        <v>898</v>
      </c>
      <c r="T562" t="s">
        <v>898</v>
      </c>
      <c r="U562" t="s">
        <v>898</v>
      </c>
      <c r="V562" t="s">
        <v>898</v>
      </c>
      <c r="W562" t="s">
        <v>898</v>
      </c>
      <c r="X562" t="s">
        <v>898</v>
      </c>
      <c r="Y562" t="e">
        <v>#REF!</v>
      </c>
      <c r="Z562" t="e">
        <v>#REF!</v>
      </c>
    </row>
    <row r="563">
      <c r="A563" t="s">
        <v>898</v>
      </c>
      <c r="B563" t="s">
        <v>898</v>
      </c>
      <c r="C563" t="s">
        <v>898</v>
      </c>
      <c r="D563" t="s">
        <v>898</v>
      </c>
      <c r="E563" t="s">
        <v>898</v>
      </c>
      <c r="F563" t="s">
        <v>898</v>
      </c>
      <c r="G563" t="s">
        <v>898</v>
      </c>
      <c r="H563" t="s">
        <v>898</v>
      </c>
      <c r="I563" t="s">
        <v>898</v>
      </c>
      <c r="J563" t="s">
        <v>898</v>
      </c>
      <c r="K563" t="s">
        <v>898</v>
      </c>
      <c r="L563" t="s">
        <v>898</v>
      </c>
      <c r="M563" t="s">
        <v>898</v>
      </c>
      <c r="N563" t="s">
        <v>898</v>
      </c>
      <c r="O563" t="s">
        <v>898</v>
      </c>
      <c r="P563" t="s">
        <v>898</v>
      </c>
      <c r="Q563" t="s">
        <v>898</v>
      </c>
      <c r="R563" t="s">
        <v>898</v>
      </c>
      <c r="S563" t="s">
        <v>898</v>
      </c>
      <c r="T563" t="s">
        <v>898</v>
      </c>
      <c r="U563" t="s">
        <v>898</v>
      </c>
      <c r="V563" t="s">
        <v>898</v>
      </c>
      <c r="W563" t="s">
        <v>898</v>
      </c>
      <c r="X563" t="s">
        <v>898</v>
      </c>
      <c r="Y563" t="e">
        <v>#REF!</v>
      </c>
      <c r="Z563" t="e">
        <v>#REF!</v>
      </c>
    </row>
    <row r="564">
      <c r="A564" t="s">
        <v>898</v>
      </c>
      <c r="B564" t="s">
        <v>898</v>
      </c>
      <c r="C564" t="s">
        <v>898</v>
      </c>
      <c r="D564" t="s">
        <v>898</v>
      </c>
      <c r="E564" t="s">
        <v>898</v>
      </c>
      <c r="F564" t="s">
        <v>898</v>
      </c>
      <c r="G564" t="s">
        <v>898</v>
      </c>
      <c r="H564" t="s">
        <v>898</v>
      </c>
      <c r="I564" t="s">
        <v>898</v>
      </c>
      <c r="J564" t="s">
        <v>898</v>
      </c>
      <c r="K564" t="s">
        <v>898</v>
      </c>
      <c r="L564" t="s">
        <v>898</v>
      </c>
      <c r="M564" t="s">
        <v>898</v>
      </c>
      <c r="N564" t="s">
        <v>898</v>
      </c>
      <c r="O564" t="s">
        <v>898</v>
      </c>
      <c r="P564" t="s">
        <v>898</v>
      </c>
      <c r="Q564" t="s">
        <v>898</v>
      </c>
      <c r="R564" t="s">
        <v>898</v>
      </c>
      <c r="S564" t="s">
        <v>898</v>
      </c>
      <c r="T564" t="s">
        <v>898</v>
      </c>
      <c r="U564" t="s">
        <v>898</v>
      </c>
      <c r="V564" t="s">
        <v>898</v>
      </c>
      <c r="W564" t="s">
        <v>898</v>
      </c>
      <c r="X564" t="s">
        <v>898</v>
      </c>
      <c r="Y564" t="e">
        <v>#REF!</v>
      </c>
      <c r="Z564" t="e">
        <v>#REF!</v>
      </c>
    </row>
    <row r="565">
      <c r="A565" t="s">
        <v>898</v>
      </c>
      <c r="B565" t="s">
        <v>898</v>
      </c>
      <c r="C565" t="s">
        <v>898</v>
      </c>
      <c r="D565" t="s">
        <v>898</v>
      </c>
      <c r="E565" t="s">
        <v>898</v>
      </c>
      <c r="F565" t="s">
        <v>898</v>
      </c>
      <c r="G565" t="s">
        <v>898</v>
      </c>
      <c r="H565" t="s">
        <v>898</v>
      </c>
      <c r="I565" t="s">
        <v>898</v>
      </c>
      <c r="J565" t="s">
        <v>898</v>
      </c>
      <c r="K565" t="s">
        <v>898</v>
      </c>
      <c r="L565" t="s">
        <v>898</v>
      </c>
      <c r="M565" t="s">
        <v>898</v>
      </c>
      <c r="N565" t="s">
        <v>898</v>
      </c>
      <c r="O565" t="s">
        <v>898</v>
      </c>
      <c r="P565" t="s">
        <v>898</v>
      </c>
      <c r="Q565" t="s">
        <v>898</v>
      </c>
      <c r="R565" t="s">
        <v>898</v>
      </c>
      <c r="S565" t="s">
        <v>898</v>
      </c>
      <c r="T565" t="s">
        <v>898</v>
      </c>
      <c r="U565" t="s">
        <v>898</v>
      </c>
      <c r="V565" t="s">
        <v>898</v>
      </c>
      <c r="W565" t="s">
        <v>898</v>
      </c>
      <c r="X565" t="s">
        <v>898</v>
      </c>
      <c r="Y565" t="e">
        <v>#REF!</v>
      </c>
      <c r="Z565" t="e">
        <v>#REF!</v>
      </c>
    </row>
    <row r="566">
      <c r="A566" t="s">
        <v>898</v>
      </c>
      <c r="B566" t="s">
        <v>898</v>
      </c>
      <c r="C566" t="s">
        <v>898</v>
      </c>
      <c r="D566" t="s">
        <v>898</v>
      </c>
      <c r="E566" t="s">
        <v>898</v>
      </c>
      <c r="F566" t="s">
        <v>898</v>
      </c>
      <c r="G566" t="s">
        <v>898</v>
      </c>
      <c r="H566" t="s">
        <v>898</v>
      </c>
      <c r="I566" t="s">
        <v>898</v>
      </c>
      <c r="J566" t="s">
        <v>898</v>
      </c>
      <c r="K566" t="s">
        <v>898</v>
      </c>
      <c r="L566" t="s">
        <v>898</v>
      </c>
      <c r="M566" t="s">
        <v>898</v>
      </c>
      <c r="N566" t="s">
        <v>898</v>
      </c>
      <c r="O566" t="s">
        <v>898</v>
      </c>
      <c r="P566" t="s">
        <v>898</v>
      </c>
      <c r="Q566" t="s">
        <v>898</v>
      </c>
      <c r="R566" t="s">
        <v>898</v>
      </c>
      <c r="S566" t="s">
        <v>898</v>
      </c>
      <c r="T566" t="s">
        <v>898</v>
      </c>
      <c r="U566" t="s">
        <v>898</v>
      </c>
      <c r="V566" t="s">
        <v>898</v>
      </c>
      <c r="W566" t="s">
        <v>898</v>
      </c>
      <c r="X566" t="s">
        <v>898</v>
      </c>
      <c r="Y566" t="e">
        <v>#REF!</v>
      </c>
      <c r="Z566" t="e">
        <v>#REF!</v>
      </c>
    </row>
    <row r="567">
      <c r="A567" t="s">
        <v>898</v>
      </c>
      <c r="B567" t="s">
        <v>898</v>
      </c>
      <c r="C567" t="s">
        <v>898</v>
      </c>
      <c r="D567" t="s">
        <v>898</v>
      </c>
      <c r="E567" t="s">
        <v>898</v>
      </c>
      <c r="F567" t="s">
        <v>898</v>
      </c>
      <c r="G567" t="s">
        <v>898</v>
      </c>
      <c r="H567" t="s">
        <v>898</v>
      </c>
      <c r="I567" t="s">
        <v>898</v>
      </c>
      <c r="J567" t="s">
        <v>898</v>
      </c>
      <c r="K567" t="s">
        <v>898</v>
      </c>
      <c r="L567" t="s">
        <v>898</v>
      </c>
      <c r="M567" t="s">
        <v>898</v>
      </c>
      <c r="N567" t="s">
        <v>898</v>
      </c>
      <c r="O567" t="s">
        <v>898</v>
      </c>
      <c r="P567" t="s">
        <v>898</v>
      </c>
      <c r="Q567" t="s">
        <v>898</v>
      </c>
      <c r="R567" t="s">
        <v>898</v>
      </c>
      <c r="S567" t="s">
        <v>898</v>
      </c>
      <c r="T567" t="s">
        <v>898</v>
      </c>
      <c r="U567" t="s">
        <v>898</v>
      </c>
      <c r="V567" t="s">
        <v>898</v>
      </c>
      <c r="W567" t="s">
        <v>898</v>
      </c>
      <c r="X567" t="s">
        <v>898</v>
      </c>
      <c r="Y567" t="e">
        <v>#REF!</v>
      </c>
      <c r="Z567" t="e">
        <v>#REF!</v>
      </c>
    </row>
    <row r="568">
      <c r="A568" t="s">
        <v>898</v>
      </c>
      <c r="B568" t="s">
        <v>898</v>
      </c>
      <c r="C568" t="s">
        <v>898</v>
      </c>
      <c r="D568" t="s">
        <v>898</v>
      </c>
      <c r="E568" t="s">
        <v>898</v>
      </c>
      <c r="F568" t="s">
        <v>898</v>
      </c>
      <c r="G568" t="s">
        <v>898</v>
      </c>
      <c r="H568" t="s">
        <v>898</v>
      </c>
      <c r="I568" t="s">
        <v>898</v>
      </c>
      <c r="J568" t="s">
        <v>898</v>
      </c>
      <c r="K568" t="s">
        <v>898</v>
      </c>
      <c r="L568" t="s">
        <v>898</v>
      </c>
      <c r="M568" t="s">
        <v>898</v>
      </c>
      <c r="N568" t="s">
        <v>898</v>
      </c>
      <c r="O568" t="s">
        <v>898</v>
      </c>
      <c r="P568" t="s">
        <v>898</v>
      </c>
      <c r="Q568" t="s">
        <v>898</v>
      </c>
      <c r="R568" t="s">
        <v>898</v>
      </c>
      <c r="S568" t="s">
        <v>898</v>
      </c>
      <c r="T568" t="s">
        <v>898</v>
      </c>
      <c r="U568" t="s">
        <v>898</v>
      </c>
      <c r="V568" t="s">
        <v>898</v>
      </c>
      <c r="W568" t="s">
        <v>898</v>
      </c>
      <c r="X568" t="s">
        <v>898</v>
      </c>
      <c r="Y568" t="e">
        <v>#REF!</v>
      </c>
      <c r="Z568" t="e">
        <v>#REF!</v>
      </c>
    </row>
    <row r="569">
      <c r="A569" t="s">
        <v>898</v>
      </c>
      <c r="B569" t="s">
        <v>898</v>
      </c>
      <c r="C569" t="s">
        <v>898</v>
      </c>
      <c r="D569" t="s">
        <v>898</v>
      </c>
      <c r="E569" t="s">
        <v>898</v>
      </c>
      <c r="F569" t="s">
        <v>898</v>
      </c>
      <c r="G569" t="s">
        <v>898</v>
      </c>
      <c r="H569" t="s">
        <v>898</v>
      </c>
      <c r="I569" t="s">
        <v>898</v>
      </c>
      <c r="J569" t="s">
        <v>898</v>
      </c>
      <c r="K569" t="s">
        <v>898</v>
      </c>
      <c r="L569" t="s">
        <v>898</v>
      </c>
      <c r="M569" t="s">
        <v>898</v>
      </c>
      <c r="N569" t="s">
        <v>898</v>
      </c>
      <c r="O569" t="s">
        <v>898</v>
      </c>
      <c r="P569" t="s">
        <v>898</v>
      </c>
      <c r="Q569" t="s">
        <v>898</v>
      </c>
      <c r="R569" t="s">
        <v>898</v>
      </c>
      <c r="S569" t="s">
        <v>898</v>
      </c>
      <c r="T569" t="s">
        <v>898</v>
      </c>
      <c r="U569" t="s">
        <v>898</v>
      </c>
      <c r="V569" t="s">
        <v>898</v>
      </c>
      <c r="W569" t="s">
        <v>898</v>
      </c>
      <c r="X569" t="s">
        <v>898</v>
      </c>
      <c r="Y569" t="e">
        <v>#REF!</v>
      </c>
      <c r="Z569" t="e">
        <v>#REF!</v>
      </c>
    </row>
    <row r="570">
      <c r="A570" t="s">
        <v>898</v>
      </c>
      <c r="B570" t="s">
        <v>898</v>
      </c>
      <c r="C570" t="s">
        <v>898</v>
      </c>
      <c r="D570" t="s">
        <v>898</v>
      </c>
      <c r="E570" t="s">
        <v>898</v>
      </c>
      <c r="F570" t="s">
        <v>898</v>
      </c>
      <c r="G570" t="s">
        <v>898</v>
      </c>
      <c r="H570" t="s">
        <v>898</v>
      </c>
      <c r="I570" t="s">
        <v>898</v>
      </c>
      <c r="J570" t="s">
        <v>898</v>
      </c>
      <c r="K570" t="s">
        <v>898</v>
      </c>
      <c r="L570" t="s">
        <v>898</v>
      </c>
      <c r="M570" t="s">
        <v>898</v>
      </c>
      <c r="N570" t="s">
        <v>898</v>
      </c>
      <c r="O570" t="s">
        <v>898</v>
      </c>
      <c r="P570" t="s">
        <v>898</v>
      </c>
      <c r="Q570" t="s">
        <v>898</v>
      </c>
      <c r="R570" t="s">
        <v>898</v>
      </c>
      <c r="S570" t="s">
        <v>898</v>
      </c>
      <c r="T570" t="s">
        <v>898</v>
      </c>
      <c r="U570" t="s">
        <v>898</v>
      </c>
      <c r="V570" t="s">
        <v>898</v>
      </c>
      <c r="W570" t="s">
        <v>898</v>
      </c>
      <c r="X570" t="s">
        <v>898</v>
      </c>
      <c r="Y570" t="e">
        <v>#REF!</v>
      </c>
      <c r="Z570" t="e">
        <v>#REF!</v>
      </c>
    </row>
    <row r="571">
      <c r="A571" t="s">
        <v>898</v>
      </c>
      <c r="B571" t="s">
        <v>898</v>
      </c>
      <c r="C571" t="s">
        <v>898</v>
      </c>
      <c r="D571" t="s">
        <v>898</v>
      </c>
      <c r="E571" t="s">
        <v>898</v>
      </c>
      <c r="F571" t="s">
        <v>898</v>
      </c>
      <c r="G571" t="s">
        <v>898</v>
      </c>
      <c r="H571" t="s">
        <v>898</v>
      </c>
      <c r="I571" t="s">
        <v>898</v>
      </c>
      <c r="J571" t="s">
        <v>898</v>
      </c>
      <c r="K571" t="s">
        <v>898</v>
      </c>
      <c r="L571" t="s">
        <v>898</v>
      </c>
      <c r="M571" t="s">
        <v>898</v>
      </c>
      <c r="N571" t="s">
        <v>898</v>
      </c>
      <c r="O571" t="s">
        <v>898</v>
      </c>
      <c r="P571" t="s">
        <v>898</v>
      </c>
      <c r="Q571" t="s">
        <v>898</v>
      </c>
      <c r="R571" t="s">
        <v>898</v>
      </c>
      <c r="S571" t="s">
        <v>898</v>
      </c>
      <c r="T571" t="s">
        <v>898</v>
      </c>
      <c r="U571" t="s">
        <v>898</v>
      </c>
      <c r="V571" t="s">
        <v>898</v>
      </c>
      <c r="W571" t="s">
        <v>898</v>
      </c>
      <c r="X571" t="s">
        <v>898</v>
      </c>
      <c r="Y571" t="e">
        <v>#REF!</v>
      </c>
      <c r="Z571" t="e">
        <v>#REF!</v>
      </c>
    </row>
    <row r="572">
      <c r="A572" t="s">
        <v>898</v>
      </c>
      <c r="B572" t="s">
        <v>898</v>
      </c>
      <c r="C572" t="s">
        <v>898</v>
      </c>
      <c r="D572" t="s">
        <v>898</v>
      </c>
      <c r="E572" t="s">
        <v>898</v>
      </c>
      <c r="F572" t="s">
        <v>898</v>
      </c>
      <c r="G572" t="s">
        <v>898</v>
      </c>
      <c r="H572" t="s">
        <v>898</v>
      </c>
      <c r="I572" t="s">
        <v>898</v>
      </c>
      <c r="J572" t="s">
        <v>898</v>
      </c>
      <c r="K572" t="s">
        <v>898</v>
      </c>
      <c r="L572" t="s">
        <v>898</v>
      </c>
      <c r="M572" t="s">
        <v>898</v>
      </c>
      <c r="N572" t="s">
        <v>898</v>
      </c>
      <c r="O572" t="s">
        <v>898</v>
      </c>
      <c r="P572" t="s">
        <v>898</v>
      </c>
      <c r="Q572" t="s">
        <v>898</v>
      </c>
      <c r="R572" t="s">
        <v>898</v>
      </c>
      <c r="S572" t="s">
        <v>898</v>
      </c>
      <c r="T572" t="s">
        <v>898</v>
      </c>
      <c r="U572" t="s">
        <v>898</v>
      </c>
      <c r="V572" t="s">
        <v>898</v>
      </c>
      <c r="W572" t="s">
        <v>898</v>
      </c>
      <c r="X572" t="s">
        <v>898</v>
      </c>
      <c r="Y572" t="e">
        <v>#REF!</v>
      </c>
      <c r="Z572" t="e">
        <v>#REF!</v>
      </c>
    </row>
    <row r="573">
      <c r="A573" t="s">
        <v>898</v>
      </c>
      <c r="B573" t="s">
        <v>898</v>
      </c>
      <c r="C573" t="s">
        <v>898</v>
      </c>
      <c r="D573" t="s">
        <v>898</v>
      </c>
      <c r="E573" t="s">
        <v>898</v>
      </c>
      <c r="F573" t="s">
        <v>898</v>
      </c>
      <c r="G573" t="s">
        <v>898</v>
      </c>
      <c r="H573" t="s">
        <v>898</v>
      </c>
      <c r="I573" t="s">
        <v>898</v>
      </c>
      <c r="J573" t="s">
        <v>898</v>
      </c>
      <c r="K573" t="s">
        <v>898</v>
      </c>
      <c r="L573" t="s">
        <v>898</v>
      </c>
      <c r="M573" t="s">
        <v>898</v>
      </c>
      <c r="N573" t="s">
        <v>898</v>
      </c>
      <c r="O573" t="s">
        <v>898</v>
      </c>
      <c r="P573" t="s">
        <v>898</v>
      </c>
      <c r="Q573" t="s">
        <v>898</v>
      </c>
      <c r="R573" t="s">
        <v>898</v>
      </c>
      <c r="S573" t="s">
        <v>898</v>
      </c>
      <c r="T573" t="s">
        <v>898</v>
      </c>
      <c r="U573" t="s">
        <v>898</v>
      </c>
      <c r="V573" t="s">
        <v>898</v>
      </c>
      <c r="W573" t="s">
        <v>898</v>
      </c>
      <c r="X573" t="s">
        <v>898</v>
      </c>
      <c r="Y573" t="e">
        <v>#REF!</v>
      </c>
      <c r="Z573" t="e">
        <v>#REF!</v>
      </c>
    </row>
    <row r="574">
      <c r="A574" t="s">
        <v>898</v>
      </c>
      <c r="B574" t="s">
        <v>898</v>
      </c>
      <c r="C574" t="s">
        <v>898</v>
      </c>
      <c r="D574" t="s">
        <v>898</v>
      </c>
      <c r="E574" t="s">
        <v>898</v>
      </c>
      <c r="F574" t="s">
        <v>898</v>
      </c>
      <c r="G574" t="s">
        <v>898</v>
      </c>
      <c r="H574" t="s">
        <v>898</v>
      </c>
      <c r="I574" t="s">
        <v>898</v>
      </c>
      <c r="J574" t="s">
        <v>898</v>
      </c>
      <c r="K574" t="s">
        <v>898</v>
      </c>
      <c r="L574" t="s">
        <v>898</v>
      </c>
      <c r="M574" t="s">
        <v>898</v>
      </c>
      <c r="N574" t="s">
        <v>898</v>
      </c>
      <c r="O574" t="s">
        <v>898</v>
      </c>
      <c r="P574" t="s">
        <v>898</v>
      </c>
      <c r="Q574" t="s">
        <v>898</v>
      </c>
      <c r="R574" t="s">
        <v>898</v>
      </c>
      <c r="S574" t="s">
        <v>898</v>
      </c>
      <c r="T574" t="s">
        <v>898</v>
      </c>
      <c r="U574" t="s">
        <v>898</v>
      </c>
      <c r="V574" t="s">
        <v>898</v>
      </c>
      <c r="W574" t="s">
        <v>898</v>
      </c>
      <c r="X574" t="s">
        <v>898</v>
      </c>
      <c r="Y574" t="e">
        <v>#REF!</v>
      </c>
      <c r="Z574" t="e">
        <v>#REF!</v>
      </c>
    </row>
    <row r="575">
      <c r="A575" t="s">
        <v>898</v>
      </c>
      <c r="B575" t="s">
        <v>898</v>
      </c>
      <c r="C575" t="s">
        <v>898</v>
      </c>
      <c r="D575" t="s">
        <v>898</v>
      </c>
      <c r="E575" t="s">
        <v>898</v>
      </c>
      <c r="F575" t="s">
        <v>898</v>
      </c>
      <c r="G575" t="s">
        <v>898</v>
      </c>
      <c r="H575" t="s">
        <v>898</v>
      </c>
      <c r="I575" t="s">
        <v>898</v>
      </c>
      <c r="J575" t="s">
        <v>898</v>
      </c>
      <c r="K575" t="s">
        <v>898</v>
      </c>
      <c r="L575" t="s">
        <v>898</v>
      </c>
      <c r="M575" t="s">
        <v>898</v>
      </c>
      <c r="N575" t="s">
        <v>898</v>
      </c>
      <c r="O575" t="s">
        <v>898</v>
      </c>
      <c r="P575" t="s">
        <v>898</v>
      </c>
      <c r="Q575" t="s">
        <v>898</v>
      </c>
      <c r="R575" t="s">
        <v>898</v>
      </c>
      <c r="S575" t="s">
        <v>898</v>
      </c>
      <c r="T575" t="s">
        <v>898</v>
      </c>
      <c r="U575" t="s">
        <v>898</v>
      </c>
      <c r="V575" t="s">
        <v>898</v>
      </c>
      <c r="W575" t="s">
        <v>898</v>
      </c>
      <c r="X575" t="s">
        <v>898</v>
      </c>
      <c r="Y575" t="e">
        <v>#REF!</v>
      </c>
      <c r="Z575" t="e">
        <v>#REF!</v>
      </c>
    </row>
    <row r="576">
      <c r="A576" t="s">
        <v>898</v>
      </c>
      <c r="B576" t="s">
        <v>898</v>
      </c>
      <c r="C576" t="s">
        <v>898</v>
      </c>
      <c r="D576" t="s">
        <v>898</v>
      </c>
      <c r="E576" t="s">
        <v>898</v>
      </c>
      <c r="F576" t="s">
        <v>898</v>
      </c>
      <c r="G576" t="s">
        <v>898</v>
      </c>
      <c r="H576" t="s">
        <v>898</v>
      </c>
      <c r="I576" t="s">
        <v>898</v>
      </c>
      <c r="J576" t="s">
        <v>898</v>
      </c>
      <c r="K576" t="s">
        <v>898</v>
      </c>
      <c r="L576" t="s">
        <v>898</v>
      </c>
      <c r="M576" t="s">
        <v>898</v>
      </c>
      <c r="N576" t="s">
        <v>898</v>
      </c>
      <c r="O576" t="s">
        <v>898</v>
      </c>
      <c r="P576" t="s">
        <v>898</v>
      </c>
      <c r="Q576" t="s">
        <v>898</v>
      </c>
      <c r="R576" t="s">
        <v>898</v>
      </c>
      <c r="S576" t="s">
        <v>898</v>
      </c>
      <c r="T576" t="s">
        <v>898</v>
      </c>
      <c r="U576" t="s">
        <v>898</v>
      </c>
      <c r="V576" t="s">
        <v>898</v>
      </c>
      <c r="W576" t="s">
        <v>898</v>
      </c>
      <c r="X576" t="s">
        <v>898</v>
      </c>
      <c r="Y576" t="e">
        <v>#REF!</v>
      </c>
      <c r="Z576" t="e">
        <v>#REF!</v>
      </c>
    </row>
    <row r="577">
      <c r="A577" t="s">
        <v>898</v>
      </c>
      <c r="B577" t="s">
        <v>898</v>
      </c>
      <c r="C577" t="s">
        <v>898</v>
      </c>
      <c r="D577" t="s">
        <v>898</v>
      </c>
      <c r="E577" t="s">
        <v>898</v>
      </c>
      <c r="F577" t="s">
        <v>898</v>
      </c>
      <c r="G577" t="s">
        <v>898</v>
      </c>
      <c r="H577" t="s">
        <v>898</v>
      </c>
      <c r="I577" t="s">
        <v>898</v>
      </c>
      <c r="J577" t="s">
        <v>898</v>
      </c>
      <c r="K577" t="s">
        <v>898</v>
      </c>
      <c r="L577" t="s">
        <v>898</v>
      </c>
      <c r="M577" t="s">
        <v>898</v>
      </c>
      <c r="N577" t="s">
        <v>898</v>
      </c>
      <c r="O577" t="s">
        <v>898</v>
      </c>
      <c r="P577" t="s">
        <v>898</v>
      </c>
      <c r="Q577" t="s">
        <v>898</v>
      </c>
      <c r="R577" t="s">
        <v>898</v>
      </c>
      <c r="S577" t="s">
        <v>898</v>
      </c>
      <c r="T577" t="s">
        <v>898</v>
      </c>
      <c r="U577" t="s">
        <v>898</v>
      </c>
      <c r="V577" t="s">
        <v>898</v>
      </c>
      <c r="W577" t="s">
        <v>898</v>
      </c>
      <c r="X577" t="s">
        <v>898</v>
      </c>
      <c r="Y577" t="e">
        <v>#REF!</v>
      </c>
      <c r="Z577" t="e">
        <v>#REF!</v>
      </c>
    </row>
    <row r="578">
      <c r="A578" t="s">
        <v>898</v>
      </c>
      <c r="B578" t="s">
        <v>898</v>
      </c>
      <c r="C578" t="s">
        <v>898</v>
      </c>
      <c r="D578" t="s">
        <v>898</v>
      </c>
      <c r="E578" t="s">
        <v>898</v>
      </c>
      <c r="F578" t="s">
        <v>898</v>
      </c>
      <c r="G578" t="s">
        <v>898</v>
      </c>
      <c r="H578" t="s">
        <v>898</v>
      </c>
      <c r="I578" t="s">
        <v>898</v>
      </c>
      <c r="J578" t="s">
        <v>898</v>
      </c>
      <c r="K578" t="s">
        <v>898</v>
      </c>
      <c r="L578" t="s">
        <v>898</v>
      </c>
      <c r="M578" t="s">
        <v>898</v>
      </c>
      <c r="N578" t="s">
        <v>898</v>
      </c>
      <c r="O578" t="s">
        <v>898</v>
      </c>
      <c r="P578" t="s">
        <v>898</v>
      </c>
      <c r="Q578" t="s">
        <v>898</v>
      </c>
      <c r="R578" t="s">
        <v>898</v>
      </c>
      <c r="S578" t="s">
        <v>898</v>
      </c>
      <c r="T578" t="s">
        <v>898</v>
      </c>
      <c r="U578" t="s">
        <v>898</v>
      </c>
      <c r="V578" t="s">
        <v>898</v>
      </c>
      <c r="W578" t="s">
        <v>898</v>
      </c>
      <c r="X578" t="s">
        <v>898</v>
      </c>
      <c r="Y578" t="e">
        <v>#REF!</v>
      </c>
      <c r="Z578" t="e">
        <v>#REF!</v>
      </c>
    </row>
    <row r="579">
      <c r="A579" t="s">
        <v>898</v>
      </c>
      <c r="B579" t="s">
        <v>898</v>
      </c>
      <c r="C579" t="s">
        <v>898</v>
      </c>
      <c r="D579" t="s">
        <v>898</v>
      </c>
      <c r="E579" t="s">
        <v>898</v>
      </c>
      <c r="F579" t="s">
        <v>898</v>
      </c>
      <c r="G579" t="s">
        <v>898</v>
      </c>
      <c r="H579" t="s">
        <v>898</v>
      </c>
      <c r="I579" t="s">
        <v>898</v>
      </c>
      <c r="J579" t="s">
        <v>898</v>
      </c>
      <c r="K579" t="s">
        <v>898</v>
      </c>
      <c r="L579" t="s">
        <v>898</v>
      </c>
      <c r="M579" t="s">
        <v>898</v>
      </c>
      <c r="N579" t="s">
        <v>898</v>
      </c>
      <c r="O579" t="s">
        <v>898</v>
      </c>
      <c r="P579" t="s">
        <v>898</v>
      </c>
      <c r="Q579" t="s">
        <v>898</v>
      </c>
      <c r="R579" t="s">
        <v>898</v>
      </c>
      <c r="S579" t="s">
        <v>898</v>
      </c>
      <c r="T579" t="s">
        <v>898</v>
      </c>
      <c r="U579" t="s">
        <v>898</v>
      </c>
      <c r="V579" t="s">
        <v>898</v>
      </c>
      <c r="W579" t="s">
        <v>898</v>
      </c>
      <c r="X579" t="s">
        <v>898</v>
      </c>
      <c r="Y579" t="e">
        <v>#REF!</v>
      </c>
      <c r="Z579" t="e">
        <v>#REF!</v>
      </c>
    </row>
    <row r="580">
      <c r="A580" t="s">
        <v>898</v>
      </c>
      <c r="B580" t="s">
        <v>898</v>
      </c>
      <c r="C580" t="s">
        <v>898</v>
      </c>
      <c r="D580" t="s">
        <v>898</v>
      </c>
      <c r="E580" t="s">
        <v>898</v>
      </c>
      <c r="F580" t="s">
        <v>898</v>
      </c>
      <c r="G580" t="s">
        <v>898</v>
      </c>
      <c r="H580" t="s">
        <v>898</v>
      </c>
      <c r="I580" t="s">
        <v>898</v>
      </c>
      <c r="J580" t="s">
        <v>898</v>
      </c>
      <c r="K580" t="s">
        <v>898</v>
      </c>
      <c r="L580" t="s">
        <v>898</v>
      </c>
      <c r="M580" t="s">
        <v>898</v>
      </c>
      <c r="N580" t="s">
        <v>898</v>
      </c>
      <c r="O580" t="s">
        <v>898</v>
      </c>
      <c r="P580" t="s">
        <v>898</v>
      </c>
      <c r="Q580" t="s">
        <v>898</v>
      </c>
      <c r="R580" t="s">
        <v>898</v>
      </c>
      <c r="S580" t="s">
        <v>898</v>
      </c>
      <c r="T580" t="s">
        <v>898</v>
      </c>
      <c r="U580" t="s">
        <v>898</v>
      </c>
      <c r="V580" t="s">
        <v>898</v>
      </c>
      <c r="W580" t="s">
        <v>898</v>
      </c>
      <c r="X580" t="s">
        <v>898</v>
      </c>
      <c r="Y580" t="e">
        <v>#REF!</v>
      </c>
      <c r="Z580" t="e">
        <v>#REF!</v>
      </c>
    </row>
    <row r="581">
      <c r="A581" t="s">
        <v>898</v>
      </c>
      <c r="B581" t="s">
        <v>898</v>
      </c>
      <c r="C581" t="s">
        <v>898</v>
      </c>
      <c r="D581" t="s">
        <v>898</v>
      </c>
      <c r="E581" t="s">
        <v>898</v>
      </c>
      <c r="F581" t="s">
        <v>898</v>
      </c>
      <c r="G581" t="s">
        <v>898</v>
      </c>
      <c r="H581" t="s">
        <v>898</v>
      </c>
      <c r="I581" t="s">
        <v>898</v>
      </c>
      <c r="J581" t="s">
        <v>898</v>
      </c>
      <c r="K581" t="s">
        <v>898</v>
      </c>
      <c r="L581" t="s">
        <v>898</v>
      </c>
      <c r="M581" t="s">
        <v>898</v>
      </c>
      <c r="N581" t="s">
        <v>898</v>
      </c>
      <c r="O581" t="s">
        <v>898</v>
      </c>
      <c r="P581" t="s">
        <v>898</v>
      </c>
      <c r="Q581" t="s">
        <v>898</v>
      </c>
      <c r="R581" t="s">
        <v>898</v>
      </c>
      <c r="S581" t="s">
        <v>898</v>
      </c>
      <c r="T581" t="s">
        <v>898</v>
      </c>
      <c r="U581" t="s">
        <v>898</v>
      </c>
      <c r="V581" t="s">
        <v>898</v>
      </c>
      <c r="W581" t="s">
        <v>898</v>
      </c>
      <c r="X581" t="s">
        <v>898</v>
      </c>
      <c r="Y581" t="e">
        <v>#REF!</v>
      </c>
      <c r="Z581" t="e">
        <v>#REF!</v>
      </c>
    </row>
    <row r="582">
      <c r="A582" t="s">
        <v>898</v>
      </c>
      <c r="B582" t="s">
        <v>898</v>
      </c>
      <c r="C582" t="s">
        <v>898</v>
      </c>
      <c r="D582" t="s">
        <v>898</v>
      </c>
      <c r="E582" t="s">
        <v>898</v>
      </c>
      <c r="F582" t="s">
        <v>898</v>
      </c>
      <c r="G582" t="s">
        <v>898</v>
      </c>
      <c r="H582" t="s">
        <v>898</v>
      </c>
      <c r="I582" t="s">
        <v>898</v>
      </c>
      <c r="J582" t="s">
        <v>898</v>
      </c>
      <c r="K582" t="s">
        <v>898</v>
      </c>
      <c r="L582" t="s">
        <v>898</v>
      </c>
      <c r="M582" t="s">
        <v>898</v>
      </c>
      <c r="N582" t="s">
        <v>898</v>
      </c>
      <c r="O582" t="s">
        <v>898</v>
      </c>
      <c r="P582" t="s">
        <v>898</v>
      </c>
      <c r="Q582" t="s">
        <v>898</v>
      </c>
      <c r="R582" t="s">
        <v>898</v>
      </c>
      <c r="S582" t="s">
        <v>898</v>
      </c>
      <c r="T582" t="s">
        <v>898</v>
      </c>
      <c r="U582" t="s">
        <v>898</v>
      </c>
      <c r="V582" t="s">
        <v>898</v>
      </c>
      <c r="W582" t="s">
        <v>898</v>
      </c>
      <c r="X582" t="s">
        <v>898</v>
      </c>
      <c r="Y582" t="e">
        <v>#REF!</v>
      </c>
      <c r="Z582" t="e">
        <v>#REF!</v>
      </c>
    </row>
    <row r="583">
      <c r="A583" t="s">
        <v>898</v>
      </c>
      <c r="B583" t="s">
        <v>898</v>
      </c>
      <c r="C583" t="s">
        <v>898</v>
      </c>
      <c r="D583" t="s">
        <v>898</v>
      </c>
      <c r="E583" t="s">
        <v>898</v>
      </c>
      <c r="F583" t="s">
        <v>898</v>
      </c>
      <c r="G583" t="s">
        <v>898</v>
      </c>
      <c r="H583" t="s">
        <v>898</v>
      </c>
      <c r="I583" t="s">
        <v>898</v>
      </c>
      <c r="J583" t="s">
        <v>898</v>
      </c>
      <c r="K583" t="s">
        <v>898</v>
      </c>
      <c r="L583" t="s">
        <v>898</v>
      </c>
      <c r="M583" t="s">
        <v>898</v>
      </c>
      <c r="N583" t="s">
        <v>898</v>
      </c>
      <c r="O583" t="s">
        <v>898</v>
      </c>
      <c r="P583" t="s">
        <v>898</v>
      </c>
      <c r="Q583" t="s">
        <v>898</v>
      </c>
      <c r="R583" t="s">
        <v>898</v>
      </c>
      <c r="S583" t="s">
        <v>898</v>
      </c>
      <c r="T583" t="s">
        <v>898</v>
      </c>
      <c r="U583" t="s">
        <v>898</v>
      </c>
      <c r="V583" t="s">
        <v>898</v>
      </c>
      <c r="W583" t="s">
        <v>898</v>
      </c>
      <c r="X583" t="s">
        <v>898</v>
      </c>
      <c r="Y583" t="e">
        <v>#REF!</v>
      </c>
      <c r="Z583" t="e">
        <v>#REF!</v>
      </c>
    </row>
    <row r="584">
      <c r="A584" t="s">
        <v>898</v>
      </c>
      <c r="B584" t="s">
        <v>898</v>
      </c>
      <c r="C584" t="s">
        <v>898</v>
      </c>
      <c r="D584" t="s">
        <v>898</v>
      </c>
      <c r="E584" t="s">
        <v>898</v>
      </c>
      <c r="F584" t="s">
        <v>898</v>
      </c>
      <c r="G584" t="s">
        <v>898</v>
      </c>
      <c r="H584" t="s">
        <v>898</v>
      </c>
      <c r="I584" t="s">
        <v>898</v>
      </c>
      <c r="J584" t="s">
        <v>898</v>
      </c>
      <c r="K584" t="s">
        <v>898</v>
      </c>
      <c r="L584" t="s">
        <v>898</v>
      </c>
      <c r="M584" t="s">
        <v>898</v>
      </c>
      <c r="N584" t="s">
        <v>898</v>
      </c>
      <c r="O584" t="s">
        <v>898</v>
      </c>
      <c r="P584" t="s">
        <v>898</v>
      </c>
      <c r="Q584" t="s">
        <v>898</v>
      </c>
      <c r="R584" t="s">
        <v>898</v>
      </c>
      <c r="S584" t="s">
        <v>898</v>
      </c>
      <c r="T584" t="s">
        <v>898</v>
      </c>
      <c r="U584" t="s">
        <v>898</v>
      </c>
      <c r="V584" t="s">
        <v>898</v>
      </c>
      <c r="W584" t="s">
        <v>898</v>
      </c>
      <c r="X584" t="s">
        <v>898</v>
      </c>
      <c r="Y584" t="e">
        <v>#REF!</v>
      </c>
      <c r="Z584" t="e">
        <v>#REF!</v>
      </c>
    </row>
    <row r="585">
      <c r="A585" t="s">
        <v>898</v>
      </c>
      <c r="B585" t="s">
        <v>898</v>
      </c>
      <c r="C585" t="s">
        <v>898</v>
      </c>
      <c r="D585" t="s">
        <v>898</v>
      </c>
      <c r="E585" t="s">
        <v>898</v>
      </c>
      <c r="F585" t="s">
        <v>898</v>
      </c>
      <c r="G585" t="s">
        <v>898</v>
      </c>
      <c r="H585" t="s">
        <v>898</v>
      </c>
      <c r="I585" t="s">
        <v>898</v>
      </c>
      <c r="J585" t="s">
        <v>898</v>
      </c>
      <c r="K585" t="s">
        <v>898</v>
      </c>
      <c r="L585" t="s">
        <v>898</v>
      </c>
      <c r="M585" t="s">
        <v>898</v>
      </c>
      <c r="N585" t="s">
        <v>898</v>
      </c>
      <c r="O585" t="s">
        <v>898</v>
      </c>
      <c r="P585" t="s">
        <v>898</v>
      </c>
      <c r="Q585" t="s">
        <v>898</v>
      </c>
      <c r="R585" t="s">
        <v>898</v>
      </c>
      <c r="S585" t="s">
        <v>898</v>
      </c>
      <c r="T585" t="s">
        <v>898</v>
      </c>
      <c r="U585" t="s">
        <v>898</v>
      </c>
      <c r="V585" t="s">
        <v>898</v>
      </c>
      <c r="W585" t="s">
        <v>898</v>
      </c>
      <c r="X585" t="s">
        <v>898</v>
      </c>
      <c r="Y585" t="e">
        <v>#REF!</v>
      </c>
      <c r="Z585" t="e">
        <v>#REF!</v>
      </c>
    </row>
    <row r="586">
      <c r="A586" t="s">
        <v>898</v>
      </c>
      <c r="B586" t="s">
        <v>898</v>
      </c>
      <c r="C586" t="s">
        <v>898</v>
      </c>
      <c r="D586" t="s">
        <v>898</v>
      </c>
      <c r="E586" t="s">
        <v>898</v>
      </c>
      <c r="F586" t="s">
        <v>898</v>
      </c>
      <c r="G586" t="s">
        <v>898</v>
      </c>
      <c r="H586" t="s">
        <v>898</v>
      </c>
      <c r="I586" t="s">
        <v>898</v>
      </c>
      <c r="J586" t="s">
        <v>898</v>
      </c>
      <c r="K586" t="s">
        <v>898</v>
      </c>
      <c r="L586" t="s">
        <v>898</v>
      </c>
      <c r="M586" t="s">
        <v>898</v>
      </c>
      <c r="N586" t="s">
        <v>898</v>
      </c>
      <c r="O586" t="s">
        <v>898</v>
      </c>
      <c r="P586" t="s">
        <v>898</v>
      </c>
      <c r="Q586" t="s">
        <v>898</v>
      </c>
      <c r="R586" t="s">
        <v>898</v>
      </c>
      <c r="S586" t="s">
        <v>898</v>
      </c>
      <c r="T586" t="s">
        <v>898</v>
      </c>
      <c r="U586" t="s">
        <v>898</v>
      </c>
      <c r="V586" t="s">
        <v>898</v>
      </c>
      <c r="W586" t="s">
        <v>898</v>
      </c>
      <c r="X586" t="s">
        <v>898</v>
      </c>
      <c r="Y586" t="e">
        <v>#REF!</v>
      </c>
      <c r="Z586" t="e">
        <v>#REF!</v>
      </c>
    </row>
    <row r="587">
      <c r="A587" t="s">
        <v>898</v>
      </c>
      <c r="B587" t="s">
        <v>898</v>
      </c>
      <c r="C587" t="s">
        <v>898</v>
      </c>
      <c r="D587" t="s">
        <v>898</v>
      </c>
      <c r="E587" t="s">
        <v>898</v>
      </c>
      <c r="F587" t="s">
        <v>898</v>
      </c>
      <c r="G587" t="s">
        <v>898</v>
      </c>
      <c r="H587" t="s">
        <v>898</v>
      </c>
      <c r="I587" t="s">
        <v>898</v>
      </c>
      <c r="J587" t="s">
        <v>898</v>
      </c>
      <c r="K587" t="s">
        <v>898</v>
      </c>
      <c r="L587" t="s">
        <v>898</v>
      </c>
      <c r="M587" t="s">
        <v>898</v>
      </c>
      <c r="N587" t="s">
        <v>898</v>
      </c>
      <c r="O587" t="s">
        <v>898</v>
      </c>
      <c r="P587" t="s">
        <v>898</v>
      </c>
      <c r="Q587" t="s">
        <v>898</v>
      </c>
      <c r="R587" t="s">
        <v>898</v>
      </c>
      <c r="S587" t="s">
        <v>898</v>
      </c>
      <c r="T587" t="s">
        <v>898</v>
      </c>
      <c r="U587" t="s">
        <v>898</v>
      </c>
      <c r="V587" t="s">
        <v>898</v>
      </c>
      <c r="W587" t="s">
        <v>898</v>
      </c>
      <c r="X587" t="s">
        <v>898</v>
      </c>
      <c r="Y587" t="e">
        <v>#REF!</v>
      </c>
      <c r="Z587" t="e">
        <v>#REF!</v>
      </c>
    </row>
    <row r="588">
      <c r="A588" t="s">
        <v>898</v>
      </c>
      <c r="B588" t="s">
        <v>898</v>
      </c>
      <c r="C588" t="s">
        <v>898</v>
      </c>
      <c r="D588" t="s">
        <v>898</v>
      </c>
      <c r="E588" t="s">
        <v>898</v>
      </c>
      <c r="F588" t="s">
        <v>898</v>
      </c>
      <c r="G588" t="s">
        <v>898</v>
      </c>
      <c r="H588" t="s">
        <v>898</v>
      </c>
      <c r="I588" t="s">
        <v>898</v>
      </c>
      <c r="J588" t="s">
        <v>898</v>
      </c>
      <c r="K588" t="s">
        <v>898</v>
      </c>
      <c r="L588" t="s">
        <v>898</v>
      </c>
      <c r="M588" t="s">
        <v>898</v>
      </c>
      <c r="N588" t="s">
        <v>898</v>
      </c>
      <c r="O588" t="s">
        <v>898</v>
      </c>
      <c r="P588" t="s">
        <v>898</v>
      </c>
      <c r="Q588" t="s">
        <v>898</v>
      </c>
      <c r="R588" t="s">
        <v>898</v>
      </c>
      <c r="S588" t="s">
        <v>898</v>
      </c>
      <c r="T588" t="s">
        <v>898</v>
      </c>
      <c r="U588" t="s">
        <v>898</v>
      </c>
      <c r="V588" t="s">
        <v>898</v>
      </c>
      <c r="W588" t="s">
        <v>898</v>
      </c>
      <c r="X588" t="s">
        <v>898</v>
      </c>
      <c r="Y588" t="e">
        <v>#REF!</v>
      </c>
      <c r="Z588" t="e">
        <v>#REF!</v>
      </c>
    </row>
    <row r="589">
      <c r="A589" t="s">
        <v>898</v>
      </c>
      <c r="B589" t="s">
        <v>898</v>
      </c>
      <c r="C589" t="s">
        <v>898</v>
      </c>
      <c r="D589" t="s">
        <v>898</v>
      </c>
      <c r="E589" t="s">
        <v>898</v>
      </c>
      <c r="F589" t="s">
        <v>898</v>
      </c>
      <c r="G589" t="s">
        <v>898</v>
      </c>
      <c r="H589" t="s">
        <v>898</v>
      </c>
      <c r="I589" t="s">
        <v>898</v>
      </c>
      <c r="J589" t="s">
        <v>898</v>
      </c>
      <c r="K589" t="s">
        <v>898</v>
      </c>
      <c r="L589" t="s">
        <v>898</v>
      </c>
      <c r="M589" t="s">
        <v>898</v>
      </c>
      <c r="N589" t="s">
        <v>898</v>
      </c>
      <c r="O589" t="s">
        <v>898</v>
      </c>
      <c r="P589" t="s">
        <v>898</v>
      </c>
      <c r="Q589" t="s">
        <v>898</v>
      </c>
      <c r="R589" t="s">
        <v>898</v>
      </c>
      <c r="S589" t="s">
        <v>898</v>
      </c>
      <c r="T589" t="s">
        <v>898</v>
      </c>
      <c r="U589" t="s">
        <v>898</v>
      </c>
      <c r="V589" t="s">
        <v>898</v>
      </c>
      <c r="W589" t="s">
        <v>898</v>
      </c>
      <c r="X589" t="s">
        <v>898</v>
      </c>
      <c r="Y589" t="e">
        <v>#REF!</v>
      </c>
      <c r="Z589" t="e">
        <v>#REF!</v>
      </c>
    </row>
    <row r="590">
      <c r="A590" t="s">
        <v>898</v>
      </c>
      <c r="B590" t="s">
        <v>898</v>
      </c>
      <c r="C590" t="s">
        <v>898</v>
      </c>
      <c r="D590" t="s">
        <v>898</v>
      </c>
      <c r="E590" t="s">
        <v>898</v>
      </c>
      <c r="F590" t="s">
        <v>898</v>
      </c>
      <c r="G590" t="s">
        <v>898</v>
      </c>
      <c r="H590" t="s">
        <v>898</v>
      </c>
      <c r="I590" t="s">
        <v>898</v>
      </c>
      <c r="J590" t="s">
        <v>898</v>
      </c>
      <c r="K590" t="s">
        <v>898</v>
      </c>
      <c r="L590" t="s">
        <v>898</v>
      </c>
      <c r="M590" t="s">
        <v>898</v>
      </c>
      <c r="N590" t="s">
        <v>898</v>
      </c>
      <c r="O590" t="s">
        <v>898</v>
      </c>
      <c r="P590" t="s">
        <v>898</v>
      </c>
      <c r="Q590" t="s">
        <v>898</v>
      </c>
      <c r="R590" t="s">
        <v>898</v>
      </c>
      <c r="S590" t="s">
        <v>898</v>
      </c>
      <c r="T590" t="s">
        <v>898</v>
      </c>
      <c r="U590" t="s">
        <v>898</v>
      </c>
      <c r="V590" t="s">
        <v>898</v>
      </c>
      <c r="W590" t="s">
        <v>898</v>
      </c>
      <c r="X590" t="s">
        <v>898</v>
      </c>
      <c r="Y590" t="e">
        <v>#REF!</v>
      </c>
      <c r="Z590" t="e">
        <v>#REF!</v>
      </c>
    </row>
    <row r="591">
      <c r="A591" t="s">
        <v>898</v>
      </c>
      <c r="B591" t="s">
        <v>898</v>
      </c>
      <c r="C591" t="s">
        <v>898</v>
      </c>
      <c r="D591" t="s">
        <v>898</v>
      </c>
      <c r="E591" t="s">
        <v>898</v>
      </c>
      <c r="F591" t="s">
        <v>898</v>
      </c>
      <c r="G591" t="s">
        <v>898</v>
      </c>
      <c r="H591" t="s">
        <v>898</v>
      </c>
      <c r="I591" t="s">
        <v>898</v>
      </c>
      <c r="J591" t="s">
        <v>898</v>
      </c>
      <c r="K591" t="s">
        <v>898</v>
      </c>
      <c r="L591" t="s">
        <v>898</v>
      </c>
      <c r="M591" t="s">
        <v>898</v>
      </c>
      <c r="N591" t="s">
        <v>898</v>
      </c>
      <c r="O591" t="s">
        <v>898</v>
      </c>
      <c r="P591" t="s">
        <v>898</v>
      </c>
      <c r="Q591" t="s">
        <v>898</v>
      </c>
      <c r="R591" t="s">
        <v>898</v>
      </c>
      <c r="S591" t="s">
        <v>898</v>
      </c>
      <c r="T591" t="s">
        <v>898</v>
      </c>
      <c r="U591" t="s">
        <v>898</v>
      </c>
      <c r="V591" t="s">
        <v>898</v>
      </c>
      <c r="W591" t="s">
        <v>898</v>
      </c>
      <c r="X591" t="s">
        <v>898</v>
      </c>
      <c r="Y591" t="e">
        <v>#REF!</v>
      </c>
      <c r="Z591" t="e">
        <v>#REF!</v>
      </c>
    </row>
    <row r="592">
      <c r="A592" t="s">
        <v>898</v>
      </c>
      <c r="B592" t="s">
        <v>898</v>
      </c>
      <c r="C592" t="s">
        <v>898</v>
      </c>
      <c r="D592" t="s">
        <v>898</v>
      </c>
      <c r="E592" t="s">
        <v>898</v>
      </c>
      <c r="F592" t="s">
        <v>898</v>
      </c>
      <c r="G592" t="s">
        <v>898</v>
      </c>
      <c r="H592" t="s">
        <v>898</v>
      </c>
      <c r="I592" t="s">
        <v>898</v>
      </c>
      <c r="J592" t="s">
        <v>898</v>
      </c>
      <c r="K592" t="s">
        <v>898</v>
      </c>
      <c r="L592" t="s">
        <v>898</v>
      </c>
      <c r="M592" t="s">
        <v>898</v>
      </c>
      <c r="N592" t="s">
        <v>898</v>
      </c>
      <c r="O592" t="s">
        <v>898</v>
      </c>
      <c r="P592" t="s">
        <v>898</v>
      </c>
      <c r="Q592" t="s">
        <v>898</v>
      </c>
      <c r="R592" t="s">
        <v>898</v>
      </c>
      <c r="S592" t="s">
        <v>898</v>
      </c>
      <c r="T592" t="s">
        <v>898</v>
      </c>
      <c r="U592" t="s">
        <v>898</v>
      </c>
      <c r="V592" t="s">
        <v>898</v>
      </c>
      <c r="W592" t="s">
        <v>898</v>
      </c>
      <c r="X592" t="s">
        <v>898</v>
      </c>
      <c r="Y592" t="e">
        <v>#REF!</v>
      </c>
      <c r="Z592" t="e">
        <v>#REF!</v>
      </c>
    </row>
    <row r="593">
      <c r="A593" t="s">
        <v>898</v>
      </c>
      <c r="B593" t="s">
        <v>898</v>
      </c>
      <c r="C593" t="s">
        <v>898</v>
      </c>
      <c r="D593" t="s">
        <v>898</v>
      </c>
      <c r="E593" t="s">
        <v>898</v>
      </c>
      <c r="F593" t="s">
        <v>898</v>
      </c>
      <c r="G593" t="s">
        <v>898</v>
      </c>
      <c r="H593" t="s">
        <v>898</v>
      </c>
      <c r="I593" t="s">
        <v>898</v>
      </c>
      <c r="J593" t="s">
        <v>898</v>
      </c>
      <c r="K593" t="s">
        <v>898</v>
      </c>
      <c r="L593" t="s">
        <v>898</v>
      </c>
      <c r="M593" t="s">
        <v>898</v>
      </c>
      <c r="N593" t="s">
        <v>898</v>
      </c>
      <c r="O593" t="s">
        <v>898</v>
      </c>
      <c r="P593" t="s">
        <v>898</v>
      </c>
      <c r="Q593" t="s">
        <v>898</v>
      </c>
      <c r="R593" t="s">
        <v>898</v>
      </c>
      <c r="S593" t="s">
        <v>898</v>
      </c>
      <c r="T593" t="s">
        <v>898</v>
      </c>
      <c r="U593" t="s">
        <v>898</v>
      </c>
      <c r="V593" t="s">
        <v>898</v>
      </c>
      <c r="W593" t="s">
        <v>898</v>
      </c>
      <c r="X593" t="s">
        <v>898</v>
      </c>
      <c r="Y593" t="e">
        <v>#REF!</v>
      </c>
      <c r="Z593" t="e">
        <v>#REF!</v>
      </c>
    </row>
    <row r="594">
      <c r="A594" t="s">
        <v>898</v>
      </c>
      <c r="B594" t="s">
        <v>898</v>
      </c>
      <c r="C594" t="s">
        <v>898</v>
      </c>
      <c r="D594" t="s">
        <v>898</v>
      </c>
      <c r="E594" t="s">
        <v>898</v>
      </c>
      <c r="F594" t="s">
        <v>898</v>
      </c>
      <c r="G594" t="s">
        <v>898</v>
      </c>
      <c r="H594" t="s">
        <v>898</v>
      </c>
      <c r="I594" t="s">
        <v>898</v>
      </c>
      <c r="J594" t="s">
        <v>898</v>
      </c>
      <c r="K594" t="s">
        <v>898</v>
      </c>
      <c r="L594" t="s">
        <v>898</v>
      </c>
      <c r="M594" t="s">
        <v>898</v>
      </c>
      <c r="N594" t="s">
        <v>898</v>
      </c>
      <c r="O594" t="s">
        <v>898</v>
      </c>
      <c r="P594" t="s">
        <v>898</v>
      </c>
      <c r="Q594" t="s">
        <v>898</v>
      </c>
      <c r="R594" t="s">
        <v>898</v>
      </c>
      <c r="S594" t="s">
        <v>898</v>
      </c>
      <c r="T594" t="s">
        <v>898</v>
      </c>
      <c r="U594" t="s">
        <v>898</v>
      </c>
      <c r="V594" t="s">
        <v>898</v>
      </c>
      <c r="W594" t="s">
        <v>898</v>
      </c>
      <c r="X594" t="s">
        <v>898</v>
      </c>
      <c r="Y594" t="e">
        <v>#REF!</v>
      </c>
      <c r="Z594" t="e">
        <v>#REF!</v>
      </c>
    </row>
    <row r="595">
      <c r="A595" t="s">
        <v>898</v>
      </c>
      <c r="B595" t="s">
        <v>898</v>
      </c>
      <c r="C595" t="s">
        <v>898</v>
      </c>
      <c r="D595" t="s">
        <v>898</v>
      </c>
      <c r="E595" t="s">
        <v>898</v>
      </c>
      <c r="F595" t="s">
        <v>898</v>
      </c>
      <c r="G595" t="s">
        <v>898</v>
      </c>
      <c r="H595" t="s">
        <v>898</v>
      </c>
      <c r="I595" t="s">
        <v>898</v>
      </c>
      <c r="J595" t="s">
        <v>898</v>
      </c>
      <c r="K595" t="s">
        <v>898</v>
      </c>
      <c r="L595" t="s">
        <v>898</v>
      </c>
      <c r="M595" t="s">
        <v>898</v>
      </c>
      <c r="N595" t="s">
        <v>898</v>
      </c>
      <c r="O595" t="s">
        <v>898</v>
      </c>
      <c r="P595" t="s">
        <v>898</v>
      </c>
      <c r="Q595" t="s">
        <v>898</v>
      </c>
      <c r="R595" t="s">
        <v>898</v>
      </c>
      <c r="S595" t="s">
        <v>898</v>
      </c>
      <c r="T595" t="s">
        <v>898</v>
      </c>
      <c r="U595" t="s">
        <v>898</v>
      </c>
      <c r="V595" t="s">
        <v>898</v>
      </c>
      <c r="W595" t="s">
        <v>898</v>
      </c>
      <c r="X595" t="s">
        <v>898</v>
      </c>
      <c r="Y595" t="e">
        <v>#REF!</v>
      </c>
      <c r="Z595" t="e">
        <v>#REF!</v>
      </c>
    </row>
    <row r="596">
      <c r="A596" t="s">
        <v>898</v>
      </c>
      <c r="B596" t="s">
        <v>898</v>
      </c>
      <c r="C596" t="s">
        <v>898</v>
      </c>
      <c r="D596" t="s">
        <v>898</v>
      </c>
      <c r="E596" t="s">
        <v>898</v>
      </c>
      <c r="F596" t="s">
        <v>898</v>
      </c>
      <c r="G596" t="s">
        <v>898</v>
      </c>
      <c r="H596" t="s">
        <v>898</v>
      </c>
      <c r="I596" t="s">
        <v>898</v>
      </c>
      <c r="J596" t="s">
        <v>898</v>
      </c>
      <c r="K596" t="s">
        <v>898</v>
      </c>
      <c r="L596" t="s">
        <v>898</v>
      </c>
      <c r="M596" t="s">
        <v>898</v>
      </c>
      <c r="N596" t="s">
        <v>898</v>
      </c>
      <c r="O596" t="s">
        <v>898</v>
      </c>
      <c r="P596" t="s">
        <v>898</v>
      </c>
      <c r="Q596" t="s">
        <v>898</v>
      </c>
      <c r="R596" t="s">
        <v>898</v>
      </c>
      <c r="S596" t="s">
        <v>898</v>
      </c>
      <c r="T596" t="s">
        <v>898</v>
      </c>
      <c r="U596" t="s">
        <v>898</v>
      </c>
      <c r="V596" t="s">
        <v>898</v>
      </c>
      <c r="W596" t="s">
        <v>898</v>
      </c>
      <c r="X596" t="s">
        <v>898</v>
      </c>
      <c r="Y596" t="e">
        <v>#REF!</v>
      </c>
      <c r="Z596" t="e">
        <v>#REF!</v>
      </c>
    </row>
    <row r="597">
      <c r="A597" t="s">
        <v>898</v>
      </c>
      <c r="B597" t="s">
        <v>898</v>
      </c>
      <c r="C597" t="s">
        <v>898</v>
      </c>
      <c r="D597" t="s">
        <v>898</v>
      </c>
      <c r="E597" t="s">
        <v>898</v>
      </c>
      <c r="F597" t="s">
        <v>898</v>
      </c>
      <c r="G597" t="s">
        <v>898</v>
      </c>
      <c r="H597" t="s">
        <v>898</v>
      </c>
      <c r="I597" t="s">
        <v>898</v>
      </c>
      <c r="J597" t="s">
        <v>898</v>
      </c>
      <c r="K597" t="s">
        <v>898</v>
      </c>
      <c r="L597" t="s">
        <v>898</v>
      </c>
      <c r="M597" t="s">
        <v>898</v>
      </c>
      <c r="N597" t="s">
        <v>898</v>
      </c>
      <c r="O597" t="s">
        <v>898</v>
      </c>
      <c r="P597" t="s">
        <v>898</v>
      </c>
      <c r="Q597" t="s">
        <v>898</v>
      </c>
      <c r="R597" t="s">
        <v>898</v>
      </c>
      <c r="S597" t="s">
        <v>898</v>
      </c>
      <c r="T597" t="s">
        <v>898</v>
      </c>
      <c r="U597" t="s">
        <v>898</v>
      </c>
      <c r="V597" t="s">
        <v>898</v>
      </c>
      <c r="W597" t="s">
        <v>898</v>
      </c>
      <c r="X597" t="s">
        <v>898</v>
      </c>
      <c r="Y597" t="e">
        <v>#REF!</v>
      </c>
      <c r="Z597" t="e">
        <v>#REF!</v>
      </c>
    </row>
    <row r="598">
      <c r="A598" t="s">
        <v>898</v>
      </c>
      <c r="B598" t="s">
        <v>898</v>
      </c>
      <c r="C598" t="s">
        <v>898</v>
      </c>
      <c r="D598" t="s">
        <v>898</v>
      </c>
      <c r="E598" t="s">
        <v>898</v>
      </c>
      <c r="F598" t="s">
        <v>898</v>
      </c>
      <c r="G598" t="s">
        <v>898</v>
      </c>
      <c r="H598" t="s">
        <v>898</v>
      </c>
      <c r="I598" t="s">
        <v>898</v>
      </c>
      <c r="J598" t="s">
        <v>898</v>
      </c>
      <c r="K598" t="s">
        <v>898</v>
      </c>
      <c r="L598" t="s">
        <v>898</v>
      </c>
      <c r="M598" t="s">
        <v>898</v>
      </c>
      <c r="N598" t="s">
        <v>898</v>
      </c>
      <c r="O598" t="s">
        <v>898</v>
      </c>
      <c r="P598" t="s">
        <v>898</v>
      </c>
      <c r="Q598" t="s">
        <v>898</v>
      </c>
      <c r="R598" t="s">
        <v>898</v>
      </c>
      <c r="S598" t="s">
        <v>898</v>
      </c>
      <c r="T598" t="s">
        <v>898</v>
      </c>
      <c r="U598" t="s">
        <v>898</v>
      </c>
      <c r="V598" t="s">
        <v>898</v>
      </c>
      <c r="W598" t="s">
        <v>898</v>
      </c>
      <c r="X598" t="s">
        <v>898</v>
      </c>
      <c r="Y598" t="e">
        <v>#REF!</v>
      </c>
      <c r="Z598" t="e">
        <v>#REF!</v>
      </c>
    </row>
    <row r="599">
      <c r="A599" t="s">
        <v>898</v>
      </c>
      <c r="B599" t="s">
        <v>898</v>
      </c>
      <c r="C599" t="s">
        <v>898</v>
      </c>
      <c r="D599" t="s">
        <v>898</v>
      </c>
      <c r="E599" t="s">
        <v>898</v>
      </c>
      <c r="F599" t="s">
        <v>898</v>
      </c>
      <c r="G599" t="s">
        <v>898</v>
      </c>
      <c r="H599" t="s">
        <v>898</v>
      </c>
      <c r="I599" t="s">
        <v>898</v>
      </c>
      <c r="J599" t="s">
        <v>898</v>
      </c>
      <c r="K599" t="s">
        <v>898</v>
      </c>
      <c r="L599" t="s">
        <v>898</v>
      </c>
      <c r="M599" t="s">
        <v>898</v>
      </c>
      <c r="N599" t="s">
        <v>898</v>
      </c>
      <c r="O599" t="s">
        <v>898</v>
      </c>
      <c r="P599" t="s">
        <v>898</v>
      </c>
      <c r="Q599" t="s">
        <v>898</v>
      </c>
      <c r="R599" t="s">
        <v>898</v>
      </c>
      <c r="S599" t="s">
        <v>898</v>
      </c>
      <c r="T599" t="s">
        <v>898</v>
      </c>
      <c r="U599" t="s">
        <v>898</v>
      </c>
      <c r="V599" t="s">
        <v>898</v>
      </c>
      <c r="W599" t="s">
        <v>898</v>
      </c>
      <c r="X599" t="s">
        <v>898</v>
      </c>
      <c r="Y599" t="e">
        <v>#REF!</v>
      </c>
      <c r="Z599" t="e">
        <v>#REF!</v>
      </c>
    </row>
    <row r="600">
      <c r="A600" t="s">
        <v>898</v>
      </c>
      <c r="B600" t="s">
        <v>898</v>
      </c>
      <c r="C600" t="s">
        <v>898</v>
      </c>
      <c r="D600" t="s">
        <v>898</v>
      </c>
      <c r="E600" t="s">
        <v>898</v>
      </c>
      <c r="F600" t="s">
        <v>898</v>
      </c>
      <c r="G600" t="s">
        <v>898</v>
      </c>
      <c r="H600" t="s">
        <v>898</v>
      </c>
      <c r="I600" t="s">
        <v>898</v>
      </c>
      <c r="J600" t="s">
        <v>898</v>
      </c>
      <c r="K600" t="s">
        <v>898</v>
      </c>
      <c r="L600" t="s">
        <v>898</v>
      </c>
      <c r="M600" t="s">
        <v>898</v>
      </c>
      <c r="N600" t="s">
        <v>898</v>
      </c>
      <c r="O600" t="s">
        <v>898</v>
      </c>
      <c r="P600" t="s">
        <v>898</v>
      </c>
      <c r="Q600" t="s">
        <v>898</v>
      </c>
      <c r="R600" t="s">
        <v>898</v>
      </c>
      <c r="S600" t="s">
        <v>898</v>
      </c>
      <c r="T600" t="s">
        <v>898</v>
      </c>
      <c r="U600" t="s">
        <v>898</v>
      </c>
      <c r="V600" t="s">
        <v>898</v>
      </c>
      <c r="W600" t="s">
        <v>898</v>
      </c>
      <c r="X600" t="s">
        <v>898</v>
      </c>
      <c r="Y600" t="e">
        <v>#REF!</v>
      </c>
      <c r="Z600" t="e">
        <v>#REF!</v>
      </c>
    </row>
    <row r="601">
      <c r="A601" t="s">
        <v>898</v>
      </c>
      <c r="B601" t="s">
        <v>898</v>
      </c>
      <c r="C601" t="s">
        <v>898</v>
      </c>
      <c r="D601" t="s">
        <v>898</v>
      </c>
      <c r="E601" t="s">
        <v>898</v>
      </c>
      <c r="F601" t="s">
        <v>898</v>
      </c>
      <c r="G601" t="s">
        <v>898</v>
      </c>
      <c r="H601" t="s">
        <v>898</v>
      </c>
      <c r="I601" t="s">
        <v>898</v>
      </c>
      <c r="J601" t="s">
        <v>898</v>
      </c>
      <c r="K601" t="s">
        <v>898</v>
      </c>
      <c r="L601" t="s">
        <v>898</v>
      </c>
      <c r="M601" t="s">
        <v>898</v>
      </c>
      <c r="N601" t="s">
        <v>898</v>
      </c>
      <c r="O601" t="s">
        <v>898</v>
      </c>
      <c r="P601" t="s">
        <v>898</v>
      </c>
      <c r="Q601" t="s">
        <v>898</v>
      </c>
      <c r="R601" t="s">
        <v>898</v>
      </c>
      <c r="S601" t="s">
        <v>898</v>
      </c>
      <c r="T601" t="s">
        <v>898</v>
      </c>
      <c r="U601" t="s">
        <v>898</v>
      </c>
      <c r="V601" t="s">
        <v>898</v>
      </c>
      <c r="W601" t="s">
        <v>898</v>
      </c>
      <c r="X601" t="s">
        <v>898</v>
      </c>
      <c r="Y601" t="e">
        <v>#REF!</v>
      </c>
      <c r="Z601" t="e">
        <v>#REF!</v>
      </c>
    </row>
    <row r="602">
      <c r="A602" t="s">
        <v>898</v>
      </c>
      <c r="B602" t="s">
        <v>898</v>
      </c>
      <c r="C602" t="s">
        <v>898</v>
      </c>
      <c r="D602" t="s">
        <v>898</v>
      </c>
      <c r="E602" t="s">
        <v>898</v>
      </c>
      <c r="F602" t="s">
        <v>898</v>
      </c>
      <c r="G602" t="s">
        <v>898</v>
      </c>
      <c r="H602" t="s">
        <v>898</v>
      </c>
      <c r="I602" t="s">
        <v>898</v>
      </c>
      <c r="J602" t="s">
        <v>898</v>
      </c>
      <c r="K602" t="s">
        <v>898</v>
      </c>
      <c r="L602" t="s">
        <v>898</v>
      </c>
      <c r="M602" t="s">
        <v>898</v>
      </c>
      <c r="N602" t="s">
        <v>898</v>
      </c>
      <c r="O602" t="s">
        <v>898</v>
      </c>
      <c r="P602" t="s">
        <v>898</v>
      </c>
      <c r="Q602" t="s">
        <v>898</v>
      </c>
      <c r="R602" t="s">
        <v>898</v>
      </c>
      <c r="S602" t="s">
        <v>898</v>
      </c>
      <c r="T602" t="s">
        <v>898</v>
      </c>
      <c r="U602" t="s">
        <v>898</v>
      </c>
      <c r="V602" t="s">
        <v>898</v>
      </c>
      <c r="W602" t="s">
        <v>898</v>
      </c>
      <c r="X602" t="s">
        <v>898</v>
      </c>
      <c r="Y602" t="e">
        <v>#REF!</v>
      </c>
      <c r="Z602" t="e">
        <v>#REF!</v>
      </c>
    </row>
    <row r="603">
      <c r="A603" t="s">
        <v>898</v>
      </c>
      <c r="B603" t="s">
        <v>898</v>
      </c>
      <c r="C603" t="s">
        <v>898</v>
      </c>
      <c r="D603" t="s">
        <v>898</v>
      </c>
      <c r="E603" t="s">
        <v>898</v>
      </c>
      <c r="F603" t="s">
        <v>898</v>
      </c>
      <c r="G603" t="s">
        <v>898</v>
      </c>
      <c r="H603" t="s">
        <v>898</v>
      </c>
      <c r="I603" t="s">
        <v>898</v>
      </c>
      <c r="J603" t="s">
        <v>898</v>
      </c>
      <c r="K603" t="s">
        <v>898</v>
      </c>
      <c r="L603" t="s">
        <v>898</v>
      </c>
      <c r="M603" t="s">
        <v>898</v>
      </c>
      <c r="N603" t="s">
        <v>898</v>
      </c>
      <c r="O603" t="s">
        <v>898</v>
      </c>
      <c r="P603" t="s">
        <v>898</v>
      </c>
      <c r="Q603" t="s">
        <v>898</v>
      </c>
      <c r="R603" t="s">
        <v>898</v>
      </c>
      <c r="S603" t="s">
        <v>898</v>
      </c>
      <c r="T603" t="s">
        <v>898</v>
      </c>
      <c r="U603" t="s">
        <v>898</v>
      </c>
      <c r="V603" t="s">
        <v>898</v>
      </c>
      <c r="W603" t="s">
        <v>898</v>
      </c>
      <c r="X603" t="s">
        <v>898</v>
      </c>
      <c r="Y603" t="e">
        <v>#REF!</v>
      </c>
      <c r="Z603" t="e">
        <v>#REF!</v>
      </c>
    </row>
    <row r="604">
      <c r="A604" t="s">
        <v>898</v>
      </c>
      <c r="B604" t="s">
        <v>898</v>
      </c>
      <c r="C604" t="s">
        <v>898</v>
      </c>
      <c r="D604" t="s">
        <v>898</v>
      </c>
      <c r="E604" t="s">
        <v>898</v>
      </c>
      <c r="F604" t="s">
        <v>898</v>
      </c>
      <c r="G604" t="s">
        <v>898</v>
      </c>
      <c r="H604" t="s">
        <v>898</v>
      </c>
      <c r="I604" t="s">
        <v>898</v>
      </c>
      <c r="J604" t="s">
        <v>898</v>
      </c>
      <c r="K604" t="s">
        <v>898</v>
      </c>
      <c r="L604" t="s">
        <v>898</v>
      </c>
      <c r="M604" t="s">
        <v>898</v>
      </c>
      <c r="N604" t="s">
        <v>898</v>
      </c>
      <c r="O604" t="s">
        <v>898</v>
      </c>
      <c r="P604" t="s">
        <v>898</v>
      </c>
      <c r="Q604" t="s">
        <v>898</v>
      </c>
      <c r="R604" t="s">
        <v>898</v>
      </c>
      <c r="S604" t="s">
        <v>898</v>
      </c>
      <c r="T604" t="s">
        <v>898</v>
      </c>
      <c r="U604" t="s">
        <v>898</v>
      </c>
      <c r="V604" t="s">
        <v>898</v>
      </c>
      <c r="W604" t="s">
        <v>898</v>
      </c>
      <c r="X604" t="s">
        <v>898</v>
      </c>
      <c r="Y604" t="e">
        <v>#REF!</v>
      </c>
      <c r="Z604" t="e">
        <v>#REF!</v>
      </c>
    </row>
    <row r="605">
      <c r="A605" t="s">
        <v>898</v>
      </c>
      <c r="B605" t="s">
        <v>898</v>
      </c>
      <c r="C605" t="s">
        <v>898</v>
      </c>
      <c r="D605" t="s">
        <v>898</v>
      </c>
      <c r="E605" t="s">
        <v>898</v>
      </c>
      <c r="F605" t="s">
        <v>898</v>
      </c>
      <c r="G605" t="s">
        <v>898</v>
      </c>
      <c r="H605" t="s">
        <v>898</v>
      </c>
      <c r="I605" t="s">
        <v>898</v>
      </c>
      <c r="J605" t="s">
        <v>898</v>
      </c>
      <c r="K605" t="s">
        <v>898</v>
      </c>
      <c r="L605" t="s">
        <v>898</v>
      </c>
      <c r="M605" t="s">
        <v>898</v>
      </c>
      <c r="N605" t="s">
        <v>898</v>
      </c>
      <c r="O605" t="s">
        <v>898</v>
      </c>
      <c r="P605" t="s">
        <v>898</v>
      </c>
      <c r="Q605" t="s">
        <v>898</v>
      </c>
      <c r="R605" t="s">
        <v>898</v>
      </c>
      <c r="S605" t="s">
        <v>898</v>
      </c>
      <c r="T605" t="s">
        <v>898</v>
      </c>
      <c r="U605" t="s">
        <v>898</v>
      </c>
      <c r="V605" t="s">
        <v>898</v>
      </c>
      <c r="W605" t="s">
        <v>898</v>
      </c>
      <c r="X605" t="s">
        <v>898</v>
      </c>
      <c r="Y605" t="e">
        <v>#REF!</v>
      </c>
      <c r="Z605" t="e">
        <v>#REF!</v>
      </c>
    </row>
    <row r="606">
      <c r="A606" t="s">
        <v>898</v>
      </c>
      <c r="B606" t="s">
        <v>898</v>
      </c>
      <c r="C606" t="s">
        <v>898</v>
      </c>
      <c r="D606" t="s">
        <v>898</v>
      </c>
      <c r="E606" t="s">
        <v>898</v>
      </c>
      <c r="F606" t="s">
        <v>898</v>
      </c>
      <c r="G606" t="s">
        <v>898</v>
      </c>
      <c r="H606" t="s">
        <v>898</v>
      </c>
      <c r="I606" t="s">
        <v>898</v>
      </c>
      <c r="J606" t="s">
        <v>898</v>
      </c>
      <c r="K606" t="s">
        <v>898</v>
      </c>
      <c r="L606" t="s">
        <v>898</v>
      </c>
      <c r="M606" t="s">
        <v>898</v>
      </c>
      <c r="N606" t="s">
        <v>898</v>
      </c>
      <c r="O606" t="s">
        <v>898</v>
      </c>
      <c r="P606" t="s">
        <v>898</v>
      </c>
      <c r="Q606" t="s">
        <v>898</v>
      </c>
      <c r="R606" t="s">
        <v>898</v>
      </c>
      <c r="S606" t="s">
        <v>898</v>
      </c>
      <c r="T606" t="s">
        <v>898</v>
      </c>
      <c r="U606" t="s">
        <v>898</v>
      </c>
      <c r="V606" t="s">
        <v>898</v>
      </c>
      <c r="W606" t="s">
        <v>898</v>
      </c>
      <c r="X606" t="s">
        <v>898</v>
      </c>
      <c r="Y606" t="e">
        <v>#REF!</v>
      </c>
      <c r="Z606" t="e">
        <v>#REF!</v>
      </c>
    </row>
    <row r="607">
      <c r="A607" t="s">
        <v>898</v>
      </c>
      <c r="B607" t="s">
        <v>898</v>
      </c>
      <c r="C607" t="s">
        <v>898</v>
      </c>
      <c r="D607" t="s">
        <v>898</v>
      </c>
      <c r="E607" t="s">
        <v>898</v>
      </c>
      <c r="F607" t="s">
        <v>898</v>
      </c>
      <c r="G607" t="s">
        <v>898</v>
      </c>
      <c r="H607" t="s">
        <v>898</v>
      </c>
      <c r="I607" t="s">
        <v>898</v>
      </c>
      <c r="J607" t="s">
        <v>898</v>
      </c>
      <c r="K607" t="s">
        <v>898</v>
      </c>
      <c r="L607" t="s">
        <v>898</v>
      </c>
      <c r="M607" t="s">
        <v>898</v>
      </c>
      <c r="N607" t="s">
        <v>898</v>
      </c>
      <c r="O607" t="s">
        <v>898</v>
      </c>
      <c r="P607" t="s">
        <v>898</v>
      </c>
      <c r="Q607" t="s">
        <v>898</v>
      </c>
      <c r="R607" t="s">
        <v>898</v>
      </c>
      <c r="S607" t="s">
        <v>898</v>
      </c>
      <c r="T607" t="s">
        <v>898</v>
      </c>
      <c r="U607" t="s">
        <v>898</v>
      </c>
      <c r="V607" t="s">
        <v>898</v>
      </c>
      <c r="W607" t="s">
        <v>898</v>
      </c>
      <c r="X607" t="s">
        <v>898</v>
      </c>
      <c r="Y607" t="e">
        <v>#REF!</v>
      </c>
      <c r="Z607" t="e">
        <v>#REF!</v>
      </c>
    </row>
    <row r="608">
      <c r="A608" t="s">
        <v>898</v>
      </c>
      <c r="B608" t="s">
        <v>898</v>
      </c>
      <c r="C608" t="s">
        <v>898</v>
      </c>
      <c r="D608" t="s">
        <v>898</v>
      </c>
      <c r="E608" t="s">
        <v>898</v>
      </c>
      <c r="F608" t="s">
        <v>898</v>
      </c>
      <c r="G608" t="s">
        <v>898</v>
      </c>
      <c r="H608" t="s">
        <v>898</v>
      </c>
      <c r="I608" t="s">
        <v>898</v>
      </c>
      <c r="J608" t="s">
        <v>898</v>
      </c>
      <c r="K608" t="s">
        <v>898</v>
      </c>
      <c r="L608" t="s">
        <v>898</v>
      </c>
      <c r="M608" t="s">
        <v>898</v>
      </c>
      <c r="N608" t="s">
        <v>898</v>
      </c>
      <c r="O608" t="s">
        <v>898</v>
      </c>
      <c r="P608" t="s">
        <v>898</v>
      </c>
      <c r="Q608" t="s">
        <v>898</v>
      </c>
      <c r="R608" t="s">
        <v>898</v>
      </c>
      <c r="S608" t="s">
        <v>898</v>
      </c>
      <c r="T608" t="s">
        <v>898</v>
      </c>
      <c r="U608" t="s">
        <v>898</v>
      </c>
      <c r="V608" t="s">
        <v>898</v>
      </c>
      <c r="W608" t="s">
        <v>898</v>
      </c>
      <c r="X608" t="s">
        <v>898</v>
      </c>
      <c r="Y608" t="e">
        <v>#REF!</v>
      </c>
      <c r="Z608" t="e">
        <v>#REF!</v>
      </c>
    </row>
    <row r="609">
      <c r="A609" t="s">
        <v>898</v>
      </c>
      <c r="B609" t="s">
        <v>898</v>
      </c>
      <c r="C609" t="s">
        <v>898</v>
      </c>
      <c r="D609" t="s">
        <v>898</v>
      </c>
      <c r="E609" t="s">
        <v>898</v>
      </c>
      <c r="F609" t="s">
        <v>898</v>
      </c>
      <c r="G609" t="s">
        <v>898</v>
      </c>
      <c r="H609" t="s">
        <v>898</v>
      </c>
      <c r="I609" t="s">
        <v>898</v>
      </c>
      <c r="J609" t="s">
        <v>898</v>
      </c>
      <c r="K609" t="s">
        <v>898</v>
      </c>
      <c r="L609" t="s">
        <v>898</v>
      </c>
      <c r="M609" t="s">
        <v>898</v>
      </c>
      <c r="N609" t="s">
        <v>898</v>
      </c>
      <c r="O609" t="s">
        <v>898</v>
      </c>
      <c r="P609" t="s">
        <v>898</v>
      </c>
      <c r="Q609" t="s">
        <v>898</v>
      </c>
      <c r="R609" t="s">
        <v>898</v>
      </c>
      <c r="S609" t="s">
        <v>898</v>
      </c>
      <c r="T609" t="s">
        <v>898</v>
      </c>
      <c r="U609" t="s">
        <v>898</v>
      </c>
      <c r="V609" t="s">
        <v>898</v>
      </c>
      <c r="W609" t="s">
        <v>898</v>
      </c>
      <c r="X609" t="s">
        <v>898</v>
      </c>
      <c r="Y609" t="e">
        <v>#REF!</v>
      </c>
      <c r="Z609" t="e">
        <v>#REF!</v>
      </c>
    </row>
    <row r="610">
      <c r="A610" t="s">
        <v>898</v>
      </c>
      <c r="B610" t="s">
        <v>898</v>
      </c>
      <c r="C610" t="s">
        <v>898</v>
      </c>
      <c r="D610" t="s">
        <v>898</v>
      </c>
      <c r="E610" t="s">
        <v>898</v>
      </c>
      <c r="F610" t="s">
        <v>898</v>
      </c>
      <c r="G610" t="s">
        <v>898</v>
      </c>
      <c r="H610" t="s">
        <v>898</v>
      </c>
      <c r="I610" t="s">
        <v>898</v>
      </c>
      <c r="J610" t="s">
        <v>898</v>
      </c>
      <c r="K610" t="s">
        <v>898</v>
      </c>
      <c r="L610" t="s">
        <v>898</v>
      </c>
      <c r="M610" t="s">
        <v>898</v>
      </c>
      <c r="N610" t="s">
        <v>898</v>
      </c>
      <c r="O610" t="s">
        <v>898</v>
      </c>
      <c r="P610" t="s">
        <v>898</v>
      </c>
      <c r="Q610" t="s">
        <v>898</v>
      </c>
      <c r="R610" t="s">
        <v>898</v>
      </c>
      <c r="S610" t="s">
        <v>898</v>
      </c>
      <c r="T610" t="s">
        <v>898</v>
      </c>
      <c r="U610" t="s">
        <v>898</v>
      </c>
      <c r="V610" t="s">
        <v>898</v>
      </c>
      <c r="W610" t="s">
        <v>898</v>
      </c>
      <c r="X610" t="s">
        <v>898</v>
      </c>
      <c r="Y610" t="e">
        <v>#REF!</v>
      </c>
      <c r="Z610" t="e">
        <v>#REF!</v>
      </c>
    </row>
    <row r="611">
      <c r="A611" t="s">
        <v>898</v>
      </c>
      <c r="B611" t="s">
        <v>898</v>
      </c>
      <c r="C611" t="s">
        <v>898</v>
      </c>
      <c r="D611" t="s">
        <v>898</v>
      </c>
      <c r="E611" t="s">
        <v>898</v>
      </c>
      <c r="F611" t="s">
        <v>898</v>
      </c>
      <c r="G611" t="s">
        <v>898</v>
      </c>
      <c r="H611" t="s">
        <v>898</v>
      </c>
      <c r="I611" t="s">
        <v>898</v>
      </c>
      <c r="J611" t="s">
        <v>898</v>
      </c>
      <c r="K611" t="s">
        <v>898</v>
      </c>
      <c r="L611" t="s">
        <v>898</v>
      </c>
      <c r="M611" t="s">
        <v>898</v>
      </c>
      <c r="N611" t="s">
        <v>898</v>
      </c>
      <c r="O611" t="s">
        <v>898</v>
      </c>
      <c r="P611" t="s">
        <v>898</v>
      </c>
      <c r="Q611" t="s">
        <v>898</v>
      </c>
      <c r="R611" t="s">
        <v>898</v>
      </c>
      <c r="S611" t="s">
        <v>898</v>
      </c>
      <c r="T611" t="s">
        <v>898</v>
      </c>
      <c r="U611" t="s">
        <v>898</v>
      </c>
      <c r="V611" t="s">
        <v>898</v>
      </c>
      <c r="W611" t="s">
        <v>898</v>
      </c>
      <c r="X611" t="s">
        <v>898</v>
      </c>
      <c r="Y611" t="e">
        <v>#REF!</v>
      </c>
      <c r="Z611" t="e">
        <v>#REF!</v>
      </c>
    </row>
    <row r="612">
      <c r="A612" t="s">
        <v>898</v>
      </c>
      <c r="B612" t="s">
        <v>898</v>
      </c>
      <c r="C612" t="s">
        <v>898</v>
      </c>
      <c r="D612" t="s">
        <v>898</v>
      </c>
      <c r="E612" t="s">
        <v>898</v>
      </c>
      <c r="F612" t="s">
        <v>898</v>
      </c>
      <c r="G612" t="s">
        <v>898</v>
      </c>
      <c r="H612" t="s">
        <v>898</v>
      </c>
      <c r="I612" t="s">
        <v>898</v>
      </c>
      <c r="J612" t="s">
        <v>898</v>
      </c>
      <c r="K612" t="s">
        <v>898</v>
      </c>
      <c r="L612" t="s">
        <v>898</v>
      </c>
      <c r="M612" t="s">
        <v>898</v>
      </c>
      <c r="N612" t="s">
        <v>898</v>
      </c>
      <c r="O612" t="s">
        <v>898</v>
      </c>
      <c r="P612" t="s">
        <v>898</v>
      </c>
      <c r="Q612" t="s">
        <v>898</v>
      </c>
      <c r="R612" t="s">
        <v>898</v>
      </c>
      <c r="S612" t="s">
        <v>898</v>
      </c>
      <c r="T612" t="s">
        <v>898</v>
      </c>
      <c r="U612" t="s">
        <v>898</v>
      </c>
      <c r="V612" t="s">
        <v>898</v>
      </c>
      <c r="W612" t="s">
        <v>898</v>
      </c>
      <c r="X612" t="s">
        <v>898</v>
      </c>
      <c r="Y612" t="e">
        <v>#REF!</v>
      </c>
      <c r="Z612" t="e">
        <v>#REF!</v>
      </c>
    </row>
    <row r="613">
      <c r="A613" t="s">
        <v>898</v>
      </c>
      <c r="B613" t="s">
        <v>898</v>
      </c>
      <c r="C613" t="s">
        <v>898</v>
      </c>
      <c r="D613" t="s">
        <v>898</v>
      </c>
      <c r="E613" t="s">
        <v>898</v>
      </c>
      <c r="F613" t="s">
        <v>898</v>
      </c>
      <c r="G613" t="s">
        <v>898</v>
      </c>
      <c r="H613" t="s">
        <v>898</v>
      </c>
      <c r="I613" t="s">
        <v>898</v>
      </c>
      <c r="J613" t="s">
        <v>898</v>
      </c>
      <c r="K613" t="s">
        <v>898</v>
      </c>
      <c r="L613" t="s">
        <v>898</v>
      </c>
      <c r="M613" t="s">
        <v>898</v>
      </c>
      <c r="N613" t="s">
        <v>898</v>
      </c>
      <c r="O613" t="s">
        <v>898</v>
      </c>
      <c r="P613" t="s">
        <v>898</v>
      </c>
      <c r="Q613" t="s">
        <v>898</v>
      </c>
      <c r="R613" t="s">
        <v>898</v>
      </c>
      <c r="S613" t="s">
        <v>898</v>
      </c>
      <c r="T613" t="s">
        <v>898</v>
      </c>
      <c r="U613" t="s">
        <v>898</v>
      </c>
      <c r="V613" t="s">
        <v>898</v>
      </c>
      <c r="W613" t="s">
        <v>898</v>
      </c>
      <c r="X613" t="s">
        <v>898</v>
      </c>
      <c r="Y613" t="e">
        <v>#REF!</v>
      </c>
      <c r="Z613" t="e">
        <v>#REF!</v>
      </c>
    </row>
    <row r="614">
      <c r="A614" t="s">
        <v>898</v>
      </c>
      <c r="B614" t="s">
        <v>898</v>
      </c>
      <c r="C614" t="s">
        <v>898</v>
      </c>
      <c r="D614" t="s">
        <v>898</v>
      </c>
      <c r="E614" t="s">
        <v>898</v>
      </c>
      <c r="F614" t="s">
        <v>898</v>
      </c>
      <c r="G614" t="s">
        <v>898</v>
      </c>
      <c r="H614" t="s">
        <v>898</v>
      </c>
      <c r="I614" t="s">
        <v>898</v>
      </c>
      <c r="J614" t="s">
        <v>898</v>
      </c>
      <c r="K614" t="s">
        <v>898</v>
      </c>
      <c r="L614" t="s">
        <v>898</v>
      </c>
      <c r="M614" t="s">
        <v>898</v>
      </c>
      <c r="N614" t="s">
        <v>898</v>
      </c>
      <c r="O614" t="s">
        <v>898</v>
      </c>
      <c r="P614" t="s">
        <v>898</v>
      </c>
      <c r="Q614" t="s">
        <v>898</v>
      </c>
      <c r="R614" t="s">
        <v>898</v>
      </c>
      <c r="S614" t="s">
        <v>898</v>
      </c>
      <c r="T614" t="s">
        <v>898</v>
      </c>
      <c r="U614" t="s">
        <v>898</v>
      </c>
      <c r="V614" t="s">
        <v>898</v>
      </c>
      <c r="W614" t="s">
        <v>898</v>
      </c>
      <c r="X614" t="s">
        <v>898</v>
      </c>
      <c r="Y614" t="e">
        <v>#REF!</v>
      </c>
      <c r="Z614" t="e">
        <v>#REF!</v>
      </c>
    </row>
    <row r="615">
      <c r="A615" t="s">
        <v>898</v>
      </c>
      <c r="B615" t="s">
        <v>898</v>
      </c>
      <c r="C615" t="s">
        <v>898</v>
      </c>
      <c r="D615" t="s">
        <v>898</v>
      </c>
      <c r="E615" t="s">
        <v>898</v>
      </c>
      <c r="F615" t="s">
        <v>898</v>
      </c>
      <c r="G615" t="s">
        <v>898</v>
      </c>
      <c r="H615" t="s">
        <v>898</v>
      </c>
      <c r="I615" t="s">
        <v>898</v>
      </c>
      <c r="J615" t="s">
        <v>898</v>
      </c>
      <c r="K615" t="s">
        <v>898</v>
      </c>
      <c r="L615" t="s">
        <v>898</v>
      </c>
      <c r="M615" t="s">
        <v>898</v>
      </c>
      <c r="N615" t="s">
        <v>898</v>
      </c>
      <c r="O615" t="s">
        <v>898</v>
      </c>
      <c r="P615" t="s">
        <v>898</v>
      </c>
      <c r="Q615" t="s">
        <v>898</v>
      </c>
      <c r="R615" t="s">
        <v>898</v>
      </c>
      <c r="S615" t="s">
        <v>898</v>
      </c>
      <c r="T615" t="s">
        <v>898</v>
      </c>
      <c r="U615" t="s">
        <v>898</v>
      </c>
      <c r="V615" t="s">
        <v>898</v>
      </c>
      <c r="W615" t="s">
        <v>898</v>
      </c>
      <c r="X615" t="s">
        <v>898</v>
      </c>
      <c r="Y615" t="e">
        <v>#REF!</v>
      </c>
      <c r="Z615" t="e">
        <v>#REF!</v>
      </c>
    </row>
    <row r="616">
      <c r="A616" t="s">
        <v>898</v>
      </c>
      <c r="B616" t="s">
        <v>898</v>
      </c>
      <c r="C616" t="s">
        <v>898</v>
      </c>
      <c r="D616" t="s">
        <v>898</v>
      </c>
      <c r="E616" t="s">
        <v>898</v>
      </c>
      <c r="F616" t="s">
        <v>898</v>
      </c>
      <c r="G616" t="s">
        <v>898</v>
      </c>
      <c r="H616" t="s">
        <v>898</v>
      </c>
      <c r="I616" t="s">
        <v>898</v>
      </c>
      <c r="J616" t="s">
        <v>898</v>
      </c>
      <c r="K616" t="s">
        <v>898</v>
      </c>
      <c r="L616" t="s">
        <v>898</v>
      </c>
      <c r="M616" t="s">
        <v>898</v>
      </c>
      <c r="N616" t="s">
        <v>898</v>
      </c>
      <c r="O616" t="s">
        <v>898</v>
      </c>
      <c r="P616" t="s">
        <v>898</v>
      </c>
      <c r="Q616" t="s">
        <v>898</v>
      </c>
      <c r="R616" t="s">
        <v>898</v>
      </c>
      <c r="S616" t="s">
        <v>898</v>
      </c>
      <c r="T616" t="s">
        <v>898</v>
      </c>
      <c r="U616" t="s">
        <v>898</v>
      </c>
      <c r="V616" t="s">
        <v>898</v>
      </c>
      <c r="W616" t="s">
        <v>898</v>
      </c>
      <c r="X616" t="s">
        <v>898</v>
      </c>
      <c r="Y616" t="e">
        <v>#REF!</v>
      </c>
      <c r="Z616" t="e">
        <v>#REF!</v>
      </c>
    </row>
    <row r="617">
      <c r="A617" t="s">
        <v>898</v>
      </c>
      <c r="B617" t="s">
        <v>898</v>
      </c>
      <c r="C617" t="s">
        <v>898</v>
      </c>
      <c r="D617" t="s">
        <v>898</v>
      </c>
      <c r="E617" t="s">
        <v>898</v>
      </c>
      <c r="F617" t="s">
        <v>898</v>
      </c>
      <c r="G617" t="s">
        <v>898</v>
      </c>
      <c r="H617" t="s">
        <v>898</v>
      </c>
      <c r="I617" t="s">
        <v>898</v>
      </c>
      <c r="J617" t="s">
        <v>898</v>
      </c>
      <c r="K617" t="s">
        <v>898</v>
      </c>
      <c r="L617" t="s">
        <v>898</v>
      </c>
      <c r="M617" t="s">
        <v>898</v>
      </c>
      <c r="N617" t="s">
        <v>898</v>
      </c>
      <c r="O617" t="s">
        <v>898</v>
      </c>
      <c r="P617" t="s">
        <v>898</v>
      </c>
      <c r="Q617" t="s">
        <v>898</v>
      </c>
      <c r="R617" t="s">
        <v>898</v>
      </c>
      <c r="S617" t="s">
        <v>898</v>
      </c>
      <c r="T617" t="s">
        <v>898</v>
      </c>
      <c r="U617" t="s">
        <v>898</v>
      </c>
      <c r="V617" t="s">
        <v>898</v>
      </c>
      <c r="W617" t="s">
        <v>898</v>
      </c>
      <c r="X617" t="s">
        <v>898</v>
      </c>
      <c r="Y617" t="e">
        <v>#REF!</v>
      </c>
      <c r="Z617" t="e">
        <v>#REF!</v>
      </c>
    </row>
    <row r="618">
      <c r="A618" t="s">
        <v>898</v>
      </c>
      <c r="B618" t="s">
        <v>898</v>
      </c>
      <c r="C618" t="s">
        <v>898</v>
      </c>
      <c r="D618" t="s">
        <v>898</v>
      </c>
      <c r="E618" t="s">
        <v>898</v>
      </c>
      <c r="F618" t="s">
        <v>898</v>
      </c>
      <c r="G618" t="s">
        <v>898</v>
      </c>
      <c r="H618" t="s">
        <v>898</v>
      </c>
      <c r="I618" t="s">
        <v>898</v>
      </c>
      <c r="J618" t="s">
        <v>898</v>
      </c>
      <c r="K618" t="s">
        <v>898</v>
      </c>
      <c r="L618" t="s">
        <v>898</v>
      </c>
      <c r="M618" t="s">
        <v>898</v>
      </c>
      <c r="N618" t="s">
        <v>898</v>
      </c>
      <c r="O618" t="s">
        <v>898</v>
      </c>
      <c r="P618" t="s">
        <v>898</v>
      </c>
      <c r="Q618" t="s">
        <v>898</v>
      </c>
      <c r="R618" t="s">
        <v>898</v>
      </c>
      <c r="S618" t="s">
        <v>898</v>
      </c>
      <c r="T618" t="s">
        <v>898</v>
      </c>
      <c r="U618" t="s">
        <v>898</v>
      </c>
      <c r="V618" t="s">
        <v>898</v>
      </c>
      <c r="W618" t="s">
        <v>898</v>
      </c>
      <c r="X618" t="s">
        <v>898</v>
      </c>
      <c r="Y618" t="e">
        <v>#REF!</v>
      </c>
      <c r="Z618" t="e">
        <v>#REF!</v>
      </c>
    </row>
    <row r="619">
      <c r="A619" t="s">
        <v>898</v>
      </c>
      <c r="B619" t="s">
        <v>898</v>
      </c>
      <c r="C619" t="s">
        <v>898</v>
      </c>
      <c r="D619" t="s">
        <v>898</v>
      </c>
      <c r="E619" t="s">
        <v>898</v>
      </c>
      <c r="F619" t="s">
        <v>898</v>
      </c>
      <c r="G619" t="s">
        <v>898</v>
      </c>
      <c r="H619" t="s">
        <v>898</v>
      </c>
      <c r="I619" t="s">
        <v>898</v>
      </c>
      <c r="J619" t="s">
        <v>898</v>
      </c>
      <c r="K619" t="s">
        <v>898</v>
      </c>
      <c r="L619" t="s">
        <v>898</v>
      </c>
      <c r="M619" t="s">
        <v>898</v>
      </c>
      <c r="N619" t="s">
        <v>898</v>
      </c>
      <c r="O619" t="s">
        <v>898</v>
      </c>
      <c r="P619" t="s">
        <v>898</v>
      </c>
      <c r="Q619" t="s">
        <v>898</v>
      </c>
      <c r="R619" t="s">
        <v>898</v>
      </c>
      <c r="S619" t="s">
        <v>898</v>
      </c>
      <c r="T619" t="s">
        <v>898</v>
      </c>
      <c r="U619" t="s">
        <v>898</v>
      </c>
      <c r="V619" t="s">
        <v>898</v>
      </c>
      <c r="W619" t="s">
        <v>898</v>
      </c>
      <c r="X619" t="s">
        <v>898</v>
      </c>
      <c r="Y619" t="e">
        <v>#REF!</v>
      </c>
      <c r="Z619" t="e">
        <v>#REF!</v>
      </c>
    </row>
    <row r="620">
      <c r="A620" t="s">
        <v>898</v>
      </c>
      <c r="B620" t="s">
        <v>898</v>
      </c>
      <c r="C620" t="s">
        <v>898</v>
      </c>
      <c r="D620" t="s">
        <v>898</v>
      </c>
      <c r="E620" t="s">
        <v>898</v>
      </c>
      <c r="F620" t="s">
        <v>898</v>
      </c>
      <c r="G620" t="s">
        <v>898</v>
      </c>
      <c r="H620" t="s">
        <v>898</v>
      </c>
      <c r="I620" t="s">
        <v>898</v>
      </c>
      <c r="J620" t="s">
        <v>898</v>
      </c>
      <c r="K620" t="s">
        <v>898</v>
      </c>
      <c r="L620" t="s">
        <v>898</v>
      </c>
      <c r="M620" t="s">
        <v>898</v>
      </c>
      <c r="N620" t="s">
        <v>898</v>
      </c>
      <c r="O620" t="s">
        <v>898</v>
      </c>
      <c r="P620" t="s">
        <v>898</v>
      </c>
      <c r="Q620" t="s">
        <v>898</v>
      </c>
      <c r="R620" t="s">
        <v>898</v>
      </c>
      <c r="S620" t="s">
        <v>898</v>
      </c>
      <c r="T620" t="s">
        <v>898</v>
      </c>
      <c r="U620" t="s">
        <v>898</v>
      </c>
      <c r="V620" t="s">
        <v>898</v>
      </c>
      <c r="W620" t="s">
        <v>898</v>
      </c>
      <c r="X620" t="s">
        <v>898</v>
      </c>
      <c r="Y620" t="e">
        <v>#REF!</v>
      </c>
      <c r="Z620" t="e">
        <v>#REF!</v>
      </c>
    </row>
    <row r="621">
      <c r="A621" t="s">
        <v>898</v>
      </c>
      <c r="B621" t="s">
        <v>898</v>
      </c>
      <c r="C621" t="s">
        <v>898</v>
      </c>
      <c r="D621" t="s">
        <v>898</v>
      </c>
      <c r="E621" t="s">
        <v>898</v>
      </c>
      <c r="F621" t="s">
        <v>898</v>
      </c>
      <c r="G621" t="s">
        <v>898</v>
      </c>
      <c r="H621" t="s">
        <v>898</v>
      </c>
      <c r="I621" t="s">
        <v>898</v>
      </c>
      <c r="J621" t="s">
        <v>898</v>
      </c>
      <c r="K621" t="s">
        <v>898</v>
      </c>
      <c r="L621" t="s">
        <v>898</v>
      </c>
      <c r="M621" t="s">
        <v>898</v>
      </c>
      <c r="N621" t="s">
        <v>898</v>
      </c>
      <c r="O621" t="s">
        <v>898</v>
      </c>
      <c r="P621" t="s">
        <v>898</v>
      </c>
      <c r="Q621" t="s">
        <v>898</v>
      </c>
      <c r="R621" t="s">
        <v>898</v>
      </c>
      <c r="S621" t="s">
        <v>898</v>
      </c>
      <c r="T621" t="s">
        <v>898</v>
      </c>
      <c r="U621" t="s">
        <v>898</v>
      </c>
      <c r="V621" t="s">
        <v>898</v>
      </c>
      <c r="W621" t="s">
        <v>898</v>
      </c>
      <c r="X621" t="s">
        <v>898</v>
      </c>
      <c r="Y621" t="e">
        <v>#REF!</v>
      </c>
      <c r="Z621" t="e">
        <v>#REF!</v>
      </c>
    </row>
    <row r="622">
      <c r="A622" t="s">
        <v>898</v>
      </c>
      <c r="B622" t="s">
        <v>898</v>
      </c>
      <c r="C622" t="s">
        <v>898</v>
      </c>
      <c r="D622" t="s">
        <v>898</v>
      </c>
      <c r="E622" t="s">
        <v>898</v>
      </c>
      <c r="F622" t="s">
        <v>898</v>
      </c>
      <c r="G622" t="s">
        <v>898</v>
      </c>
      <c r="H622" t="s">
        <v>898</v>
      </c>
      <c r="I622" t="s">
        <v>898</v>
      </c>
      <c r="J622" t="s">
        <v>898</v>
      </c>
      <c r="K622" t="s">
        <v>898</v>
      </c>
      <c r="L622" t="s">
        <v>898</v>
      </c>
      <c r="M622" t="s">
        <v>898</v>
      </c>
      <c r="N622" t="s">
        <v>898</v>
      </c>
      <c r="O622" t="s">
        <v>898</v>
      </c>
      <c r="P622" t="s">
        <v>898</v>
      </c>
      <c r="Q622" t="s">
        <v>898</v>
      </c>
      <c r="R622" t="s">
        <v>898</v>
      </c>
      <c r="S622" t="s">
        <v>898</v>
      </c>
      <c r="T622" t="s">
        <v>898</v>
      </c>
      <c r="U622" t="s">
        <v>898</v>
      </c>
      <c r="V622" t="s">
        <v>898</v>
      </c>
      <c r="W622" t="s">
        <v>898</v>
      </c>
      <c r="X622" t="s">
        <v>898</v>
      </c>
      <c r="Y622" t="e">
        <v>#REF!</v>
      </c>
      <c r="Z622" t="e">
        <v>#REF!</v>
      </c>
    </row>
    <row r="623">
      <c r="A623" t="s">
        <v>898</v>
      </c>
      <c r="B623" t="s">
        <v>898</v>
      </c>
      <c r="C623" t="s">
        <v>898</v>
      </c>
      <c r="D623" t="s">
        <v>898</v>
      </c>
      <c r="E623" t="s">
        <v>898</v>
      </c>
      <c r="F623" t="s">
        <v>898</v>
      </c>
      <c r="G623" t="s">
        <v>898</v>
      </c>
      <c r="H623" t="s">
        <v>898</v>
      </c>
      <c r="I623" t="s">
        <v>898</v>
      </c>
      <c r="J623" t="s">
        <v>898</v>
      </c>
      <c r="K623" t="s">
        <v>898</v>
      </c>
      <c r="L623" t="s">
        <v>898</v>
      </c>
      <c r="M623" t="s">
        <v>898</v>
      </c>
      <c r="N623" t="s">
        <v>898</v>
      </c>
      <c r="O623" t="s">
        <v>898</v>
      </c>
      <c r="P623" t="s">
        <v>898</v>
      </c>
      <c r="Q623" t="s">
        <v>898</v>
      </c>
      <c r="R623" t="s">
        <v>898</v>
      </c>
      <c r="S623" t="s">
        <v>898</v>
      </c>
      <c r="T623" t="s">
        <v>898</v>
      </c>
      <c r="U623" t="s">
        <v>898</v>
      </c>
      <c r="V623" t="s">
        <v>898</v>
      </c>
      <c r="W623" t="s">
        <v>898</v>
      </c>
      <c r="X623" t="s">
        <v>898</v>
      </c>
      <c r="Y623" t="e">
        <v>#REF!</v>
      </c>
      <c r="Z623" t="e">
        <v>#REF!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t="str">
        <f>IFERROR(__xludf.DUMMYFUNCTION("ARRAYFORMULA(filter('ESPN rankings import'!N4:P150,'ESPN rankings import'!N4:N150&lt;&gt;""""))"),"Team")</f>
        <v>Team</v>
      </c>
      <c r="B1" t="str">
        <f>IFERROR(__xludf.DUMMYFUNCTION("""COMPUTED_VALUE"""),"CONF")</f>
        <v>CONF</v>
      </c>
      <c r="C1" t="str">
        <f>IFERROR(__xludf.DUMMYFUNCTION("""COMPUTED_VALUE"""),"Proj W")</f>
        <v>Proj W</v>
      </c>
      <c r="D1" s="1" t="s">
        <v>13</v>
      </c>
      <c r="E1" s="1" t="s">
        <v>2046</v>
      </c>
      <c r="I1" s="1" t="s">
        <v>13</v>
      </c>
      <c r="J1" s="1" t="s">
        <v>2047</v>
      </c>
      <c r="K1" s="1" t="s">
        <v>2048</v>
      </c>
    </row>
    <row r="2">
      <c r="A2" t="str">
        <f>IFERROR(__xludf.DUMMYFUNCTION("""COMPUTED_VALUE"""),"Ohio State Buckeyes")</f>
        <v>Ohio State Buckeyes</v>
      </c>
      <c r="B2" t="str">
        <f>IFERROR(__xludf.DUMMYFUNCTION("""COMPUTED_VALUE"""),"Big Ten")</f>
        <v>Big Ten</v>
      </c>
      <c r="C2" s="227">
        <f>IFERROR(__xludf.DUMMYFUNCTION("""COMPUTED_VALUE"""),9.812)</f>
        <v>9.812</v>
      </c>
      <c r="D2" s="1" t="s">
        <v>424</v>
      </c>
      <c r="E2" s="1" t="s">
        <v>407</v>
      </c>
      <c r="F2">
        <f t="shared" ref="F2:F134" si="1">match(D2,H:H,0)</f>
        <v>78</v>
      </c>
      <c r="H2" t="s">
        <v>458</v>
      </c>
      <c r="I2" t="str">
        <f>offset(Translation!$A$5,0,match($H2,Translation!$A$6:$FK$6,0)-1)</f>
        <v>Air Force</v>
      </c>
      <c r="J2">
        <f t="shared" ref="J2:J134" si="2">iferror(vlookup(H2,A:C,3,0),vlookup(H2,D:E,2,0))</f>
        <v>7.1</v>
      </c>
      <c r="K2" t="str">
        <f>iferror(offset(DraftTracker!D$1,match(I2,DraftTracker!F:F,0)-1,0),"undrafted")</f>
        <v>Nick G.</v>
      </c>
    </row>
    <row r="3">
      <c r="A3" t="str">
        <f>IFERROR(__xludf.DUMMYFUNCTION("""COMPUTED_VALUE"""),"Texas Longhorns")</f>
        <v>Texas Longhorns</v>
      </c>
      <c r="B3" t="str">
        <f>IFERROR(__xludf.DUMMYFUNCTION("""COMPUTED_VALUE"""),"SEC")</f>
        <v>SEC</v>
      </c>
      <c r="C3" s="227">
        <f>IFERROR(__xludf.DUMMYFUNCTION("""COMPUTED_VALUE"""),9.503)</f>
        <v>9.503</v>
      </c>
      <c r="D3" s="1" t="s">
        <v>415</v>
      </c>
      <c r="E3" s="1" t="s">
        <v>407</v>
      </c>
      <c r="F3">
        <f t="shared" si="1"/>
        <v>42</v>
      </c>
      <c r="H3" t="s">
        <v>445</v>
      </c>
      <c r="I3" t="str">
        <f>offset(Translation!$A$5,0,match($H3,Translation!$A$6:$FK$6,0)-1)</f>
        <v>Akron</v>
      </c>
      <c r="J3">
        <f t="shared" si="2"/>
        <v>4.384</v>
      </c>
      <c r="K3" t="str">
        <f>iferror(offset(DraftTracker!D$1,match(I3,DraftTracker!F:F,0)-1,0),"undrafted")</f>
        <v>Nick A.</v>
      </c>
    </row>
    <row r="4">
      <c r="A4" t="str">
        <f>IFERROR(__xludf.DUMMYFUNCTION("""COMPUTED_VALUE"""),"Notre Dame Fighting Irish")</f>
        <v>Notre Dame Fighting Irish</v>
      </c>
      <c r="B4" t="str">
        <f>IFERROR(__xludf.DUMMYFUNCTION("""COMPUTED_VALUE"""),"FBS Indep.")</f>
        <v>FBS Indep.</v>
      </c>
      <c r="C4" s="227">
        <f>IFERROR(__xludf.DUMMYFUNCTION("""COMPUTED_VALUE"""),10.7)</f>
        <v>10.7</v>
      </c>
      <c r="D4" s="1" t="s">
        <v>515</v>
      </c>
      <c r="E4" s="1" t="s">
        <v>2049</v>
      </c>
      <c r="F4">
        <f t="shared" si="1"/>
        <v>76</v>
      </c>
      <c r="H4" t="s">
        <v>484</v>
      </c>
      <c r="I4" t="str">
        <f>offset(Translation!$A$5,0,match($H4,Translation!$A$6:$FK$6,0)-1)</f>
        <v>Alabama</v>
      </c>
      <c r="J4">
        <f t="shared" si="2"/>
        <v>8.497</v>
      </c>
      <c r="K4" t="str">
        <f>iferror(offset(DraftTracker!D$1,match(I4,DraftTracker!F:F,0)-1,0),"undrafted")</f>
        <v>Vu</v>
      </c>
    </row>
    <row r="5">
      <c r="A5" t="str">
        <f>IFERROR(__xludf.DUMMYFUNCTION("""COMPUTED_VALUE"""),"Oregon Ducks")</f>
        <v>Oregon Ducks</v>
      </c>
      <c r="B5" t="str">
        <f>IFERROR(__xludf.DUMMYFUNCTION("""COMPUTED_VALUE"""),"Big Ten")</f>
        <v>Big Ten</v>
      </c>
      <c r="C5" s="227">
        <f>IFERROR(__xludf.DUMMYFUNCTION("""COMPUTED_VALUE"""),9.957999999999998)</f>
        <v>9.958</v>
      </c>
      <c r="D5" s="1" t="s">
        <v>476</v>
      </c>
      <c r="E5" s="1" t="s">
        <v>407</v>
      </c>
      <c r="F5">
        <f t="shared" si="1"/>
        <v>83</v>
      </c>
      <c r="H5" t="s">
        <v>500</v>
      </c>
      <c r="I5" t="str">
        <f>offset(Translation!$A$5,0,match($H5,Translation!$A$6:$FK$6,0)-1)</f>
        <v>#N/A</v>
      </c>
      <c r="J5" t="str">
        <f t="shared" si="2"/>
        <v>#N/A</v>
      </c>
      <c r="K5" t="str">
        <f>iferror(offset(DraftTracker!D$1,match(I5,DraftTracker!F:F,0)-1,0),"undrafted")</f>
        <v>undrafted</v>
      </c>
    </row>
    <row r="6">
      <c r="A6" t="str">
        <f>IFERROR(__xludf.DUMMYFUNCTION("""COMPUTED_VALUE"""),"Georgia Bulldogs")</f>
        <v>Georgia Bulldogs</v>
      </c>
      <c r="B6" t="str">
        <f>IFERROR(__xludf.DUMMYFUNCTION("""COMPUTED_VALUE"""),"SEC")</f>
        <v>SEC</v>
      </c>
      <c r="C6" s="227">
        <f>IFERROR(__xludf.DUMMYFUNCTION("""COMPUTED_VALUE"""),9.667)</f>
        <v>9.667</v>
      </c>
      <c r="D6" s="1" t="s">
        <v>412</v>
      </c>
      <c r="E6" s="1" t="s">
        <v>471</v>
      </c>
      <c r="F6">
        <f t="shared" si="1"/>
        <v>105</v>
      </c>
      <c r="H6" t="s">
        <v>473</v>
      </c>
      <c r="I6" t="str">
        <f>offset(Translation!$A$5,0,match($H6,Translation!$A$6:$FK$6,0)-1)</f>
        <v>Arizona State</v>
      </c>
      <c r="J6">
        <f t="shared" si="2"/>
        <v>5.977</v>
      </c>
      <c r="K6" t="str">
        <f>iferror(offset(DraftTracker!D$1,match(I6,DraftTracker!F:F,0)-1,0),"undrafted")</f>
        <v>Nick G.</v>
      </c>
    </row>
    <row r="7">
      <c r="A7" t="str">
        <f>IFERROR(__xludf.DUMMYFUNCTION("""COMPUTED_VALUE"""),"Indiana Hoosiers")</f>
        <v>Indiana Hoosiers</v>
      </c>
      <c r="B7" t="str">
        <f>IFERROR(__xludf.DUMMYFUNCTION("""COMPUTED_VALUE"""),"Big Ten")</f>
        <v>Big Ten</v>
      </c>
      <c r="C7" s="227">
        <f>IFERROR(__xludf.DUMMYFUNCTION("""COMPUTED_VALUE"""),9.913)</f>
        <v>9.913</v>
      </c>
      <c r="D7" s="1" t="s">
        <v>484</v>
      </c>
      <c r="E7" s="1" t="s">
        <v>556</v>
      </c>
      <c r="F7">
        <f t="shared" si="1"/>
        <v>4</v>
      </c>
      <c r="H7" t="s">
        <v>472</v>
      </c>
      <c r="I7" t="str">
        <f>offset(Translation!$A$5,0,match($H7,Translation!$A$6:$FK$6,0)-1)</f>
        <v>Arizona</v>
      </c>
      <c r="J7">
        <f t="shared" si="2"/>
        <v>7.258</v>
      </c>
      <c r="K7" t="str">
        <f>iferror(offset(DraftTracker!D$1,match(I7,DraftTracker!F:F,0)-1,0),"undrafted")</f>
        <v>Undrafted</v>
      </c>
    </row>
    <row r="8">
      <c r="A8" t="str">
        <f>IFERROR(__xludf.DUMMYFUNCTION("""COMPUTED_VALUE"""),"Miami Hurricanes")</f>
        <v>Miami Hurricanes</v>
      </c>
      <c r="B8" t="str">
        <f>IFERROR(__xludf.DUMMYFUNCTION("""COMPUTED_VALUE"""),"ACC")</f>
        <v>ACC</v>
      </c>
      <c r="C8" s="227">
        <f>IFERROR(__xludf.DUMMYFUNCTION("""COMPUTED_VALUE"""),9.897)</f>
        <v>9.897</v>
      </c>
      <c r="D8" s="1" t="s">
        <v>394</v>
      </c>
      <c r="E8" s="1" t="s">
        <v>317</v>
      </c>
      <c r="F8">
        <f t="shared" si="1"/>
        <v>59</v>
      </c>
      <c r="H8" t="s">
        <v>485</v>
      </c>
      <c r="I8" t="str">
        <f>offset(Translation!$A$5,0,match($H8,Translation!$A$6:$FK$6,0)-1)</f>
        <v>Arkansas</v>
      </c>
      <c r="J8">
        <f t="shared" si="2"/>
        <v>4.299</v>
      </c>
      <c r="K8" t="str">
        <f>iferror(offset(DraftTracker!D$1,match(I8,DraftTracker!F:F,0)-1,0),"undrafted")</f>
        <v>Brad</v>
      </c>
    </row>
    <row r="9">
      <c r="A9" t="str">
        <f>IFERROR(__xludf.DUMMYFUNCTION("""COMPUTED_VALUE"""),"Alabama Crimson Tide")</f>
        <v>Alabama Crimson Tide</v>
      </c>
      <c r="B9" t="str">
        <f>IFERROR(__xludf.DUMMYFUNCTION("""COMPUTED_VALUE"""),"SEC")</f>
        <v>SEC</v>
      </c>
      <c r="C9" s="227">
        <f>IFERROR(__xludf.DUMMYFUNCTION("""COMPUTED_VALUE"""),8.497)</f>
        <v>8.497</v>
      </c>
      <c r="D9" s="1" t="s">
        <v>488</v>
      </c>
      <c r="E9" s="1" t="s">
        <v>556</v>
      </c>
      <c r="F9">
        <f t="shared" si="1"/>
        <v>35</v>
      </c>
      <c r="H9" t="s">
        <v>501</v>
      </c>
      <c r="I9" t="str">
        <f>offset(Translation!$A$5,0,match($H9,Translation!$A$6:$FK$6,0)-1)</f>
        <v>Arkansas State</v>
      </c>
      <c r="J9">
        <f t="shared" si="2"/>
        <v>6.139</v>
      </c>
      <c r="K9" t="str">
        <f>iferror(offset(DraftTracker!D$1,match(I9,DraftTracker!F:F,0)-1,0),"undrafted")</f>
        <v>Nico</v>
      </c>
    </row>
    <row r="10">
      <c r="A10" t="str">
        <f>IFERROR(__xludf.DUMMYFUNCTION("""COMPUTED_VALUE"""),"LSU Tigers")</f>
        <v>LSU Tigers</v>
      </c>
      <c r="B10" t="str">
        <f>IFERROR(__xludf.DUMMYFUNCTION("""COMPUTED_VALUE"""),"SEC")</f>
        <v>SEC</v>
      </c>
      <c r="C10" s="227">
        <f>IFERROR(__xludf.DUMMYFUNCTION("""COMPUTED_VALUE"""),8.312000000000001)</f>
        <v>8.312</v>
      </c>
      <c r="D10" s="1" t="s">
        <v>481</v>
      </c>
      <c r="E10" s="1" t="s">
        <v>471</v>
      </c>
      <c r="F10">
        <f t="shared" si="1"/>
        <v>119</v>
      </c>
      <c r="H10" t="s">
        <v>511</v>
      </c>
      <c r="I10" t="str">
        <f>offset(Translation!$A$5,0,match($H10,Translation!$A$6:$FK$6,0)-1)</f>
        <v>Army</v>
      </c>
      <c r="J10">
        <f t="shared" si="2"/>
        <v>6.35</v>
      </c>
      <c r="K10" t="str">
        <f>iferror(offset(DraftTracker!D$1,match(I10,DraftTracker!F:F,0)-1,0),"undrafted")</f>
        <v>Dan</v>
      </c>
    </row>
    <row r="11">
      <c r="A11" t="str">
        <f>IFERROR(__xludf.DUMMYFUNCTION("""COMPUTED_VALUE"""),"Texas Tech Red Raiders")</f>
        <v>Texas Tech Red Raiders</v>
      </c>
      <c r="B11" t="str">
        <f>IFERROR(__xludf.DUMMYFUNCTION("""COMPUTED_VALUE"""),"Big 12")</f>
        <v>Big 12</v>
      </c>
      <c r="C11" s="227">
        <f>IFERROR(__xludf.DUMMYFUNCTION("""COMPUTED_VALUE"""),10.341000000000001)</f>
        <v>10.341</v>
      </c>
      <c r="D11" s="1" t="s">
        <v>498</v>
      </c>
      <c r="E11" s="1" t="s">
        <v>556</v>
      </c>
      <c r="F11">
        <f t="shared" si="1"/>
        <v>102</v>
      </c>
      <c r="H11" t="s">
        <v>486</v>
      </c>
      <c r="I11" t="str">
        <f>offset(Translation!$A$5,0,match($H11,Translation!$A$6:$FK$6,0)-1)</f>
        <v>Auburn</v>
      </c>
      <c r="J11">
        <f t="shared" si="2"/>
        <v>6.586</v>
      </c>
      <c r="K11" t="str">
        <f>iferror(offset(DraftTracker!D$1,match(I11,DraftTracker!F:F,0)-1,0),"undrafted")</f>
        <v>Nick G.</v>
      </c>
    </row>
    <row r="12">
      <c r="A12" t="str">
        <f>IFERROR(__xludf.DUMMYFUNCTION("""COMPUTED_VALUE"""),"Texas A&amp;M Aggies")</f>
        <v>Texas A&amp;M Aggies</v>
      </c>
      <c r="B12" t="str">
        <f>IFERROR(__xludf.DUMMYFUNCTION("""COMPUTED_VALUE"""),"SEC")</f>
        <v>SEC</v>
      </c>
      <c r="C12" s="227">
        <f>IFERROR(__xludf.DUMMYFUNCTION("""COMPUTED_VALUE"""),8.316)</f>
        <v>8.316</v>
      </c>
      <c r="D12" s="1" t="s">
        <v>480</v>
      </c>
      <c r="E12" s="1" t="s">
        <v>407</v>
      </c>
      <c r="F12">
        <f t="shared" si="1"/>
        <v>117</v>
      </c>
      <c r="H12" t="s">
        <v>446</v>
      </c>
      <c r="I12" t="str">
        <f>offset(Translation!$A$5,0,match($H12,Translation!$A$6:$FK$6,0)-1)</f>
        <v>Ball State</v>
      </c>
      <c r="J12" t="str">
        <f t="shared" si="2"/>
        <v/>
      </c>
      <c r="K12" t="str">
        <f>iferror(offset(DraftTracker!D$1,match(I12,DraftTracker!F:F,0)-1,0),"undrafted")</f>
        <v>Gary</v>
      </c>
    </row>
    <row r="13">
      <c r="A13" t="str">
        <f>IFERROR(__xludf.DUMMYFUNCTION("""COMPUTED_VALUE"""),"Oklahoma Sooners")</f>
        <v>Oklahoma Sooners</v>
      </c>
      <c r="B13" t="str">
        <f>IFERROR(__xludf.DUMMYFUNCTION("""COMPUTED_VALUE"""),"SEC")</f>
        <v>SEC</v>
      </c>
      <c r="C13" s="227">
        <f>IFERROR(__xludf.DUMMYFUNCTION("""COMPUTED_VALUE"""),7.446)</f>
        <v>7.446</v>
      </c>
      <c r="D13" s="1" t="s">
        <v>495</v>
      </c>
      <c r="E13" s="1" t="s">
        <v>556</v>
      </c>
      <c r="F13">
        <f t="shared" si="1"/>
        <v>82</v>
      </c>
      <c r="H13" t="s">
        <v>403</v>
      </c>
      <c r="I13" t="str">
        <f>offset(Translation!$A$5,0,match($H13,Translation!$A$6:$FK$6,0)-1)</f>
        <v>Baylor</v>
      </c>
      <c r="J13">
        <f t="shared" si="2"/>
        <v>6.568</v>
      </c>
      <c r="K13" t="str">
        <f>iferror(offset(DraftTracker!D$1,match(I13,DraftTracker!F:F,0)-1,0),"undrafted")</f>
        <v>Masa</v>
      </c>
    </row>
    <row r="14">
      <c r="A14" t="str">
        <f>IFERROR(__xludf.DUMMYFUNCTION("""COMPUTED_VALUE"""),"USC Trojans")</f>
        <v>USC Trojans</v>
      </c>
      <c r="B14" t="str">
        <f>IFERROR(__xludf.DUMMYFUNCTION("""COMPUTED_VALUE"""),"Big Ten")</f>
        <v>Big Ten</v>
      </c>
      <c r="C14" s="227">
        <f>IFERROR(__xludf.DUMMYFUNCTION("""COMPUTED_VALUE"""),8.149)</f>
        <v>8.149</v>
      </c>
      <c r="D14" s="1" t="s">
        <v>411</v>
      </c>
      <c r="E14" s="1" t="s">
        <v>556</v>
      </c>
      <c r="F14">
        <f t="shared" si="1"/>
        <v>103</v>
      </c>
      <c r="H14" t="s">
        <v>459</v>
      </c>
      <c r="I14" t="str">
        <f>offset(Translation!$A$5,0,match($H14,Translation!$A$6:$FK$6,0)-1)</f>
        <v>Boise State</v>
      </c>
      <c r="J14">
        <f t="shared" si="2"/>
        <v>7.436</v>
      </c>
      <c r="K14" t="str">
        <f>iferror(offset(DraftTracker!D$1,match(I14,DraftTracker!F:F,0)-1,0),"undrafted")</f>
        <v>Gary</v>
      </c>
    </row>
    <row r="15">
      <c r="A15" t="str">
        <f>IFERROR(__xludf.DUMMYFUNCTION("""COMPUTED_VALUE"""),"Ole Miss Rebels")</f>
        <v>Ole Miss Rebels</v>
      </c>
      <c r="B15" t="str">
        <f>IFERROR(__xludf.DUMMYFUNCTION("""COMPUTED_VALUE"""),"SEC")</f>
        <v>SEC</v>
      </c>
      <c r="C15" s="227">
        <f>IFERROR(__xludf.DUMMYFUNCTION("""COMPUTED_VALUE"""),7.263)</f>
        <v>7.263</v>
      </c>
      <c r="D15" s="1" t="s">
        <v>499</v>
      </c>
      <c r="E15" s="1" t="s">
        <v>556</v>
      </c>
      <c r="F15">
        <f t="shared" si="1"/>
        <v>122</v>
      </c>
      <c r="H15" t="s">
        <v>387</v>
      </c>
      <c r="I15" t="str">
        <f>offset(Translation!$A$5,0,match($H15,Translation!$A$6:$FK$6,0)-1)</f>
        <v>Boston College</v>
      </c>
      <c r="J15">
        <f t="shared" si="2"/>
        <v>3.999</v>
      </c>
      <c r="K15" t="str">
        <f>iferror(offset(DraftTracker!D$1,match(I15,DraftTracker!F:F,0)-1,0),"undrafted")</f>
        <v>Undrafted</v>
      </c>
    </row>
    <row r="16">
      <c r="A16" t="str">
        <f>IFERROR(__xludf.DUMMYFUNCTION("""COMPUTED_VALUE"""),"Michigan Wolverines")</f>
        <v>Michigan Wolverines</v>
      </c>
      <c r="B16" t="str">
        <f>IFERROR(__xludf.DUMMYFUNCTION("""COMPUTED_VALUE"""),"Big Ten")</f>
        <v>Big Ten</v>
      </c>
      <c r="C16" s="227">
        <f>IFERROR(__xludf.DUMMYFUNCTION("""COMPUTED_VALUE"""),7.762)</f>
        <v>7.762</v>
      </c>
      <c r="D16" s="1" t="s">
        <v>512</v>
      </c>
      <c r="E16" s="1" t="s">
        <v>471</v>
      </c>
      <c r="F16">
        <f t="shared" si="1"/>
        <v>18</v>
      </c>
      <c r="H16" t="s">
        <v>447</v>
      </c>
      <c r="I16" t="str">
        <f>offset(Translation!$A$5,0,match($H16,Translation!$A$6:$FK$6,0)-1)</f>
        <v>Bowling Green</v>
      </c>
      <c r="J16">
        <f t="shared" si="2"/>
        <v>4.67</v>
      </c>
      <c r="K16" t="str">
        <f>iferror(offset(DraftTracker!D$1,match(I16,DraftTracker!F:F,0)-1,0),"undrafted")</f>
        <v>Justin</v>
      </c>
    </row>
    <row r="17">
      <c r="A17" t="str">
        <f>IFERROR(__xludf.DUMMYFUNCTION("""COMPUTED_VALUE"""),"Tennessee Volunteers")</f>
        <v>Tennessee Volunteers</v>
      </c>
      <c r="B17" t="str">
        <f>IFERROR(__xludf.DUMMYFUNCTION("""COMPUTED_VALUE"""),"SEC")</f>
        <v>SEC</v>
      </c>
      <c r="C17" s="227">
        <f>IFERROR(__xludf.DUMMYFUNCTION("""COMPUTED_VALUE"""),7.269)</f>
        <v>7.269</v>
      </c>
      <c r="D17" s="1" t="s">
        <v>408</v>
      </c>
      <c r="E17" s="1" t="s">
        <v>556</v>
      </c>
      <c r="F17">
        <f t="shared" si="1"/>
        <v>79</v>
      </c>
      <c r="H17" t="s">
        <v>448</v>
      </c>
      <c r="I17" t="str">
        <f>offset(Translation!$A$5,0,match($H17,Translation!$A$6:$FK$6,0)-1)</f>
        <v>Buffalo</v>
      </c>
      <c r="J17">
        <f t="shared" si="2"/>
        <v>6.541</v>
      </c>
      <c r="K17" t="str">
        <f>iferror(offset(DraftTracker!D$1,match(I17,DraftTracker!F:F,0)-1,0),"undrafted")</f>
        <v>Masa</v>
      </c>
    </row>
    <row r="18">
      <c r="A18" t="str">
        <f>IFERROR(__xludf.DUMMYFUNCTION("""COMPUTED_VALUE"""),"Penn State Nittany Lions")</f>
        <v>Penn State Nittany Lions</v>
      </c>
      <c r="B18" t="str">
        <f>IFERROR(__xludf.DUMMYFUNCTION("""COMPUTED_VALUE"""),"Big Ten")</f>
        <v>Big Ten</v>
      </c>
      <c r="C18" s="227">
        <f>IFERROR(__xludf.DUMMYFUNCTION("""COMPUTED_VALUE"""),8.955)</f>
        <v>8.955</v>
      </c>
      <c r="D18" s="1" t="s">
        <v>425</v>
      </c>
      <c r="E18" s="1" t="s">
        <v>407</v>
      </c>
      <c r="F18">
        <f t="shared" si="1"/>
        <v>85</v>
      </c>
      <c r="H18" t="s">
        <v>512</v>
      </c>
      <c r="I18" t="str">
        <f>offset(Translation!$A$5,0,match($H18,Translation!$A$6:$FK$6,0)-1)</f>
        <v>BYU</v>
      </c>
      <c r="J18">
        <f t="shared" si="2"/>
        <v>8.535</v>
      </c>
      <c r="K18" t="str">
        <f>iferror(offset(DraftTracker!D$1,match(I18,DraftTracker!F:F,0)-1,0),"undrafted")</f>
        <v>Justin</v>
      </c>
    </row>
    <row r="19">
      <c r="A19" t="str">
        <f>IFERROR(__xludf.DUMMYFUNCTION("""COMPUTED_VALUE"""),"Florida Gators")</f>
        <v>Florida Gators</v>
      </c>
      <c r="B19" t="str">
        <f>IFERROR(__xludf.DUMMYFUNCTION("""COMPUTED_VALUE"""),"SEC")</f>
        <v>SEC</v>
      </c>
      <c r="C19" s="227">
        <f>IFERROR(__xludf.DUMMYFUNCTION("""COMPUTED_VALUE"""),6.680000000000001)</f>
        <v>6.68</v>
      </c>
      <c r="D19" s="1" t="s">
        <v>497</v>
      </c>
      <c r="E19" s="1" t="s">
        <v>556</v>
      </c>
      <c r="F19">
        <f t="shared" si="1"/>
        <v>101</v>
      </c>
      <c r="H19" t="s">
        <v>474</v>
      </c>
      <c r="I19" t="str">
        <f>offset(Translation!$A$5,0,match($H19,Translation!$A$6:$FK$6,0)-1)</f>
        <v>California</v>
      </c>
      <c r="J19">
        <f t="shared" si="2"/>
        <v>5.595</v>
      </c>
      <c r="K19" t="str">
        <f>iferror(offset(DraftTracker!D$1,match(I19,DraftTracker!F:F,0)-1,0),"undrafted")</f>
        <v>Vu</v>
      </c>
    </row>
    <row r="20">
      <c r="A20" t="str">
        <f>IFERROR(__xludf.DUMMYFUNCTION("""COMPUTED_VALUE"""),"Clemson Tigers")</f>
        <v>Clemson Tigers</v>
      </c>
      <c r="B20" t="str">
        <f>IFERROR(__xludf.DUMMYFUNCTION("""COMPUTED_VALUE"""),"ACC")</f>
        <v>ACC</v>
      </c>
      <c r="C20" s="227">
        <f>IFERROR(__xludf.DUMMYFUNCTION("""COMPUTED_VALUE"""),7.981)</f>
        <v>7.981</v>
      </c>
      <c r="D20" s="1" t="s">
        <v>418</v>
      </c>
      <c r="E20" s="1" t="s">
        <v>407</v>
      </c>
      <c r="F20">
        <f t="shared" si="1"/>
        <v>61</v>
      </c>
      <c r="H20" t="s">
        <v>449</v>
      </c>
      <c r="I20" t="str">
        <f>offset(Translation!$A$5,0,match($H20,Translation!$A$6:$FK$6,0)-1)</f>
        <v>Central Michigan</v>
      </c>
      <c r="J20">
        <f t="shared" si="2"/>
        <v>5.555</v>
      </c>
      <c r="K20" t="str">
        <f>iferror(offset(DraftTracker!D$1,match(I20,DraftTracker!F:F,0)-1,0),"undrafted")</f>
        <v>Nico</v>
      </c>
    </row>
    <row r="21">
      <c r="A21" t="str">
        <f>IFERROR(__xludf.DUMMYFUNCTION("""COMPUTED_VALUE"""),"BYU Cougars")</f>
        <v>BYU Cougars</v>
      </c>
      <c r="B21" t="str">
        <f>IFERROR(__xludf.DUMMYFUNCTION("""COMPUTED_VALUE"""),"Big 12")</f>
        <v>Big 12</v>
      </c>
      <c r="C21" s="227">
        <f>IFERROR(__xludf.DUMMYFUNCTION("""COMPUTED_VALUE"""),8.535)</f>
        <v>8.535</v>
      </c>
      <c r="D21" s="1" t="s">
        <v>416</v>
      </c>
      <c r="E21" s="1" t="s">
        <v>407</v>
      </c>
      <c r="F21">
        <f t="shared" si="1"/>
        <v>43</v>
      </c>
      <c r="H21" t="s">
        <v>439</v>
      </c>
      <c r="I21" t="str">
        <f>offset(Translation!$A$5,0,match($H21,Translation!$A$6:$FK$6,0)-1)</f>
        <v>Charlotte</v>
      </c>
      <c r="J21">
        <f t="shared" si="2"/>
        <v>3.896</v>
      </c>
      <c r="K21" t="str">
        <f>iferror(offset(DraftTracker!D$1,match(I21,DraftTracker!F:F,0)-1,0),"undrafted")</f>
        <v>Masa</v>
      </c>
    </row>
    <row r="22">
      <c r="A22" t="str">
        <f>IFERROR(__xludf.DUMMYFUNCTION("""COMPUTED_VALUE"""),"Missouri Tigers")</f>
        <v>Missouri Tigers</v>
      </c>
      <c r="B22" t="str">
        <f>IFERROR(__xludf.DUMMYFUNCTION("""COMPUTED_VALUE"""),"SEC")</f>
        <v>SEC</v>
      </c>
      <c r="C22" s="227">
        <f>IFERROR(__xludf.DUMMYFUNCTION("""COMPUTED_VALUE"""),6.6850000000000005)</f>
        <v>6.685</v>
      </c>
      <c r="D22" s="1" t="s">
        <v>494</v>
      </c>
      <c r="E22" s="1" t="s">
        <v>556</v>
      </c>
      <c r="F22">
        <f t="shared" si="1"/>
        <v>65</v>
      </c>
      <c r="H22" t="s">
        <v>375</v>
      </c>
      <c r="I22" t="str">
        <f>offset(Translation!$A$5,0,match($H22,Translation!$A$6:$FK$6,0)-1)</f>
        <v>Cincinnati</v>
      </c>
      <c r="J22">
        <f t="shared" si="2"/>
        <v>6.379</v>
      </c>
      <c r="K22" t="str">
        <f>iferror(offset(DraftTracker!D$1,match(I22,DraftTracker!F:F,0)-1,0),"undrafted")</f>
        <v>Mike</v>
      </c>
    </row>
    <row r="23">
      <c r="A23" t="str">
        <f>IFERROR(__xludf.DUMMYFUNCTION("""COMPUTED_VALUE"""),"Auburn Tigers")</f>
        <v>Auburn Tigers</v>
      </c>
      <c r="B23" t="str">
        <f>IFERROR(__xludf.DUMMYFUNCTION("""COMPUTED_VALUE"""),"SEC")</f>
        <v>SEC</v>
      </c>
      <c r="C23" s="227">
        <f>IFERROR(__xludf.DUMMYFUNCTION("""COMPUTED_VALUE"""),6.585999999999999)</f>
        <v>6.586</v>
      </c>
      <c r="D23" s="1" t="s">
        <v>482</v>
      </c>
      <c r="E23" s="1" t="s">
        <v>407</v>
      </c>
      <c r="F23">
        <f t="shared" si="1"/>
        <v>126</v>
      </c>
      <c r="H23" t="s">
        <v>388</v>
      </c>
      <c r="I23" t="str">
        <f>offset(Translation!$A$5,0,match($H23,Translation!$A$6:$FK$6,0)-1)</f>
        <v>Clemson</v>
      </c>
      <c r="J23">
        <f t="shared" si="2"/>
        <v>7.981</v>
      </c>
      <c r="K23" t="str">
        <f>iferror(offset(DraftTracker!D$1,match(I23,DraftTracker!F:F,0)-1,0),"undrafted")</f>
        <v>Masa</v>
      </c>
    </row>
    <row r="24">
      <c r="A24" t="str">
        <f>IFERROR(__xludf.DUMMYFUNCTION("""COMPUTED_VALUE"""),"South Carolina Gamecocks")</f>
        <v>South Carolina Gamecocks</v>
      </c>
      <c r="B24" t="str">
        <f>IFERROR(__xludf.DUMMYFUNCTION("""COMPUTED_VALUE"""),"SEC")</f>
        <v>SEC</v>
      </c>
      <c r="C24" s="227">
        <f>IFERROR(__xludf.DUMMYFUNCTION("""COMPUTED_VALUE"""),6.3870000000000005)</f>
        <v>6.387</v>
      </c>
      <c r="D24" s="1" t="s">
        <v>382</v>
      </c>
      <c r="E24" s="1" t="s">
        <v>2051</v>
      </c>
      <c r="F24">
        <f t="shared" si="1"/>
        <v>95</v>
      </c>
      <c r="H24" t="s">
        <v>510</v>
      </c>
      <c r="I24" t="str">
        <f>offset(Translation!$A$5,0,match($H24,Translation!$A$6:$FK$6,0)-1)</f>
        <v>Coastal Carolina</v>
      </c>
      <c r="J24">
        <f t="shared" si="2"/>
        <v>5.176</v>
      </c>
      <c r="K24" t="str">
        <f>iferror(offset(DraftTracker!D$1,match(I24,DraftTracker!F:F,0)-1,0),"undrafted")</f>
        <v>Brad</v>
      </c>
    </row>
    <row r="25">
      <c r="A25" t="str">
        <f>IFERROR(__xludf.DUMMYFUNCTION("""COMPUTED_VALUE"""),"SMU Mustangs")</f>
        <v>SMU Mustangs</v>
      </c>
      <c r="B25" t="str">
        <f>IFERROR(__xludf.DUMMYFUNCTION("""COMPUTED_VALUE"""),"ACC")</f>
        <v>ACC</v>
      </c>
      <c r="C25" s="227">
        <f>IFERROR(__xludf.DUMMYFUNCTION("""COMPUTED_VALUE"""),8.197000000000001)</f>
        <v>8.197</v>
      </c>
      <c r="D25" s="1" t="s">
        <v>381</v>
      </c>
      <c r="E25" s="1" t="s">
        <v>317</v>
      </c>
      <c r="F25">
        <f t="shared" si="1"/>
        <v>92</v>
      </c>
      <c r="H25" t="s">
        <v>475</v>
      </c>
      <c r="I25" t="str">
        <f>offset(Translation!$A$5,0,match($H25,Translation!$A$6:$FK$6,0)-1)</f>
        <v>Colorado</v>
      </c>
      <c r="J25">
        <f t="shared" si="2"/>
        <v>5.975</v>
      </c>
      <c r="K25" t="str">
        <f>iferror(offset(DraftTracker!D$1,match(I25,DraftTracker!F:F,0)-1,0),"undrafted")</f>
        <v>Justin</v>
      </c>
    </row>
    <row r="26">
      <c r="A26" t="str">
        <f>IFERROR(__xludf.DUMMYFUNCTION("""COMPUTED_VALUE"""),"Iowa Hawkeyes")</f>
        <v>Iowa Hawkeyes</v>
      </c>
      <c r="B26" t="str">
        <f>IFERROR(__xludf.DUMMYFUNCTION("""COMPUTED_VALUE"""),"Big Ten")</f>
        <v>Big Ten</v>
      </c>
      <c r="C26" s="227">
        <f>IFERROR(__xludf.DUMMYFUNCTION("""COMPUTED_VALUE"""),7.582999999999999)</f>
        <v>7.583</v>
      </c>
      <c r="D26" s="1" t="s">
        <v>491</v>
      </c>
      <c r="E26" s="1" t="s">
        <v>556</v>
      </c>
      <c r="F26">
        <f t="shared" si="1"/>
        <v>54</v>
      </c>
      <c r="H26" t="s">
        <v>460</v>
      </c>
      <c r="I26" t="str">
        <f>offset(Translation!$A$5,0,match($H26,Translation!$A$6:$FK$6,0)-1)</f>
        <v>Colorado State</v>
      </c>
      <c r="J26">
        <f t="shared" si="2"/>
        <v>3.587</v>
      </c>
      <c r="K26" t="str">
        <f>iferror(offset(DraftTracker!D$1,match(I26,DraftTracker!F:F,0)-1,0),"undrafted")</f>
        <v>Vu</v>
      </c>
    </row>
    <row r="27">
      <c r="A27" t="str">
        <f>IFERROR(__xludf.DUMMYFUNCTION("""COMPUTED_VALUE"""),"Washington Huskies")</f>
        <v>Washington Huskies</v>
      </c>
      <c r="B27" t="str">
        <f>IFERROR(__xludf.DUMMYFUNCTION("""COMPUTED_VALUE"""),"Big Ten")</f>
        <v>Big Ten</v>
      </c>
      <c r="C27" s="227">
        <f>IFERROR(__xludf.DUMMYFUNCTION("""COMPUTED_VALUE"""),6.99)</f>
        <v>6.99</v>
      </c>
      <c r="D27" s="1" t="s">
        <v>486</v>
      </c>
      <c r="E27" s="1" t="s">
        <v>556</v>
      </c>
      <c r="F27">
        <f t="shared" si="1"/>
        <v>11</v>
      </c>
      <c r="H27" t="s">
        <v>389</v>
      </c>
      <c r="I27" t="str">
        <f>offset(Translation!$A$5,0,match($H27,Translation!$A$6:$FK$6,0)-1)</f>
        <v>Duke</v>
      </c>
      <c r="J27">
        <f t="shared" si="2"/>
        <v>5.988</v>
      </c>
      <c r="K27" t="str">
        <f>iferror(offset(DraftTracker!D$1,match(I27,DraftTracker!F:F,0)-1,0),"undrafted")</f>
        <v>Masa</v>
      </c>
    </row>
    <row r="28">
      <c r="A28" t="str">
        <f>IFERROR(__xludf.DUMMYFUNCTION("""COMPUTED_VALUE"""),"Louisville Cardinals")</f>
        <v>Louisville Cardinals</v>
      </c>
      <c r="B28" t="str">
        <f>IFERROR(__xludf.DUMMYFUNCTION("""COMPUTED_VALUE"""),"ACC")</f>
        <v>ACC</v>
      </c>
      <c r="C28" s="227">
        <f>IFERROR(__xludf.DUMMYFUNCTION("""COMPUTED_VALUE"""),7.529999999999999)</f>
        <v>7.53</v>
      </c>
      <c r="D28" s="1" t="s">
        <v>472</v>
      </c>
      <c r="E28" s="1" t="s">
        <v>471</v>
      </c>
      <c r="F28">
        <f t="shared" si="1"/>
        <v>7</v>
      </c>
      <c r="H28" t="s">
        <v>377</v>
      </c>
      <c r="I28" t="str">
        <f>offset(Translation!$A$5,0,match($H28,Translation!$A$6:$FK$6,0)-1)</f>
        <v>East Carolina</v>
      </c>
      <c r="J28">
        <f t="shared" si="2"/>
        <v>7.841</v>
      </c>
      <c r="K28" t="str">
        <f>iferror(offset(DraftTracker!D$1,match(I28,DraftTracker!F:F,0)-1,0),"undrafted")</f>
        <v>Gary</v>
      </c>
    </row>
    <row r="29">
      <c r="A29" t="str">
        <f>IFERROR(__xludf.DUMMYFUNCTION("""COMPUTED_VALUE"""),"Florida State Seminoles")</f>
        <v>Florida State Seminoles</v>
      </c>
      <c r="B29" t="str">
        <f>IFERROR(__xludf.DUMMYFUNCTION("""COMPUTED_VALUE"""),"ACC")</f>
        <v>ACC</v>
      </c>
      <c r="C29" s="227">
        <f>IFERROR(__xludf.DUMMYFUNCTION("""COMPUTED_VALUE"""),6.658)</f>
        <v>6.658</v>
      </c>
      <c r="D29" s="1" t="s">
        <v>517</v>
      </c>
      <c r="E29" s="1" t="s">
        <v>441</v>
      </c>
      <c r="F29">
        <f t="shared" si="1"/>
        <v>45</v>
      </c>
      <c r="H29" t="s">
        <v>450</v>
      </c>
      <c r="I29" t="str">
        <f>offset(Translation!$A$5,0,match($H29,Translation!$A$6:$FK$6,0)-1)</f>
        <v>EMU</v>
      </c>
      <c r="J29">
        <f t="shared" si="2"/>
        <v>4.784</v>
      </c>
      <c r="K29" t="str">
        <f>iferror(offset(DraftTracker!D$1,match(I29,DraftTracker!F:F,0)-1,0),"undrafted")</f>
        <v>Vu</v>
      </c>
    </row>
    <row r="30">
      <c r="A30" t="str">
        <f>IFERROR(__xludf.DUMMYFUNCTION("""COMPUTED_VALUE"""),"Vanderbilt Commodores")</f>
        <v>Vanderbilt Commodores</v>
      </c>
      <c r="B30" t="str">
        <f>IFERROR(__xludf.DUMMYFUNCTION("""COMPUTED_VALUE"""),"SEC")</f>
        <v>SEC</v>
      </c>
      <c r="C30" s="227">
        <f>IFERROR(__xludf.DUMMYFUNCTION("""COMPUTED_VALUE"""),6.1930000000000005)</f>
        <v>6.193</v>
      </c>
      <c r="D30" s="1" t="s">
        <v>393</v>
      </c>
      <c r="E30" s="1" t="s">
        <v>317</v>
      </c>
      <c r="F30">
        <f t="shared" si="1"/>
        <v>53</v>
      </c>
      <c r="H30" t="s">
        <v>431</v>
      </c>
      <c r="I30" t="str">
        <f>offset(Translation!$A$5,0,match($H30,Translation!$A$6:$FK$6,0)-1)</f>
        <v>Florida Atlantic</v>
      </c>
      <c r="J30">
        <f t="shared" si="2"/>
        <v>5.089</v>
      </c>
      <c r="K30" t="str">
        <f>iferror(offset(DraftTracker!D$1,match(I30,DraftTracker!F:F,0)-1,0),"undrafted")</f>
        <v>Nick A.</v>
      </c>
    </row>
    <row r="31">
      <c r="A31" t="str">
        <f>IFERROR(__xludf.DUMMYFUNCTION("""COMPUTED_VALUE"""),"Nebraska Cornhuskers")</f>
        <v>Nebraska Cornhuskers</v>
      </c>
      <c r="B31" t="str">
        <f>IFERROR(__xludf.DUMMYFUNCTION("""COMPUTED_VALUE"""),"Big Ten")</f>
        <v>Big Ten</v>
      </c>
      <c r="C31" s="227">
        <f>IFERROR(__xludf.DUMMYFUNCTION("""COMPUTED_VALUE"""),6.6930000000000005)</f>
        <v>6.693</v>
      </c>
      <c r="D31" s="1" t="s">
        <v>388</v>
      </c>
      <c r="E31" s="1" t="s">
        <v>317</v>
      </c>
      <c r="F31">
        <f t="shared" si="1"/>
        <v>23</v>
      </c>
      <c r="H31" t="s">
        <v>487</v>
      </c>
      <c r="I31" t="str">
        <f>offset(Translation!$A$5,0,match($H31,Translation!$A$6:$FK$6,0)-1)</f>
        <v>Florida</v>
      </c>
      <c r="J31">
        <f t="shared" si="2"/>
        <v>6.68</v>
      </c>
      <c r="K31" t="str">
        <f>iferror(offset(DraftTracker!D$1,match(I31,DraftTracker!F:F,0)-1,0),"undrafted")</f>
        <v>Justin</v>
      </c>
    </row>
    <row r="32">
      <c r="A32" t="str">
        <f>IFERROR(__xludf.DUMMYFUNCTION("""COMPUTED_VALUE"""),"Utah Utes")</f>
        <v>Utah Utes</v>
      </c>
      <c r="B32" t="str">
        <f>IFERROR(__xludf.DUMMYFUNCTION("""COMPUTED_VALUE"""),"Big 12")</f>
        <v>Big 12</v>
      </c>
      <c r="C32" s="227">
        <f>IFERROR(__xludf.DUMMYFUNCTION("""COMPUTED_VALUE"""),7.641)</f>
        <v>7.641</v>
      </c>
      <c r="D32" s="1" t="s">
        <v>496</v>
      </c>
      <c r="E32" s="1" t="s">
        <v>556</v>
      </c>
      <c r="F32">
        <f t="shared" si="1"/>
        <v>94</v>
      </c>
      <c r="H32" t="s">
        <v>430</v>
      </c>
      <c r="I32" t="str">
        <f>offset(Translation!$A$5,0,match($H32,Translation!$A$6:$FK$6,0)-1)</f>
        <v>Florida Intl</v>
      </c>
      <c r="J32">
        <f t="shared" si="2"/>
        <v>5.948</v>
      </c>
      <c r="K32" t="str">
        <f>iferror(offset(DraftTracker!D$1,match(I32,DraftTracker!F:F,0)-1,0),"undrafted")</f>
        <v>Nico</v>
      </c>
    </row>
    <row r="33">
      <c r="A33" t="str">
        <f>IFERROR(__xludf.DUMMYFUNCTION("""COMPUTED_VALUE"""),"Virginia Cavaliers")</f>
        <v>Virginia Cavaliers</v>
      </c>
      <c r="B33" t="str">
        <f>IFERROR(__xludf.DUMMYFUNCTION("""COMPUTED_VALUE"""),"ACC")</f>
        <v>ACC</v>
      </c>
      <c r="C33" s="227">
        <f>IFERROR(__xludf.DUMMYFUNCTION("""COMPUTED_VALUE"""),7.662)</f>
        <v>7.662</v>
      </c>
      <c r="D33" s="1" t="s">
        <v>414</v>
      </c>
      <c r="E33" s="1" t="s">
        <v>407</v>
      </c>
      <c r="F33">
        <f t="shared" si="1"/>
        <v>41</v>
      </c>
      <c r="H33" t="s">
        <v>390</v>
      </c>
      <c r="I33" t="str">
        <f>offset(Translation!$A$5,0,match($H33,Translation!$A$6:$FK$6,0)-1)</f>
        <v>Florida State</v>
      </c>
      <c r="J33">
        <f t="shared" si="2"/>
        <v>6.658</v>
      </c>
      <c r="K33" t="str">
        <f>iferror(offset(DraftTracker!D$1,match(I33,DraftTracker!F:F,0)-1,0),"undrafted")</f>
        <v>Justin</v>
      </c>
    </row>
    <row r="34">
      <c r="A34" t="str">
        <f>IFERROR(__xludf.DUMMYFUNCTION("""COMPUTED_VALUE"""),"Virginia Tech Hokies")</f>
        <v>Virginia Tech Hokies</v>
      </c>
      <c r="B34" t="str">
        <f>IFERROR(__xludf.DUMMYFUNCTION("""COMPUTED_VALUE"""),"ACC")</f>
        <v>ACC</v>
      </c>
      <c r="C34" s="227">
        <f>IFERROR(__xludf.DUMMYFUNCTION("""COMPUTED_VALUE"""),6.972)</f>
        <v>6.972</v>
      </c>
      <c r="D34" s="1" t="s">
        <v>390</v>
      </c>
      <c r="E34" s="1" t="s">
        <v>317</v>
      </c>
      <c r="F34">
        <f t="shared" si="1"/>
        <v>33</v>
      </c>
      <c r="H34" t="s">
        <v>462</v>
      </c>
      <c r="I34" t="str">
        <f>offset(Translation!$A$5,0,match($H34,Translation!$A$6:$FK$6,0)-1)</f>
        <v>Fresno State</v>
      </c>
      <c r="J34">
        <f t="shared" si="2"/>
        <v>6.086</v>
      </c>
      <c r="K34" t="str">
        <f>iferror(offset(DraftTracker!D$1,match(I34,DraftTracker!F:F,0)-1,0),"undrafted")</f>
        <v>Dan</v>
      </c>
    </row>
    <row r="35">
      <c r="A35" t="str">
        <f>IFERROR(__xludf.DUMMYFUNCTION("""COMPUTED_VALUE"""),"Arizona Wildcats")</f>
        <v>Arizona Wildcats</v>
      </c>
      <c r="B35" t="str">
        <f>IFERROR(__xludf.DUMMYFUNCTION("""COMPUTED_VALUE"""),"Big 12")</f>
        <v>Big 12</v>
      </c>
      <c r="C35" s="227">
        <f>IFERROR(__xludf.DUMMYFUNCTION("""COMPUTED_VALUE"""),7.258)</f>
        <v>7.258</v>
      </c>
      <c r="D35" s="1" t="s">
        <v>410</v>
      </c>
      <c r="E35" s="1" t="s">
        <v>471</v>
      </c>
      <c r="F35">
        <f t="shared" si="1"/>
        <v>99</v>
      </c>
      <c r="H35" t="s">
        <v>488</v>
      </c>
      <c r="I35" t="str">
        <f>offset(Translation!$A$5,0,match($H35,Translation!$A$6:$FK$6,0)-1)</f>
        <v>Georgia</v>
      </c>
      <c r="J35">
        <f t="shared" si="2"/>
        <v>9.667</v>
      </c>
      <c r="K35" t="str">
        <f>iferror(offset(DraftTracker!D$1,match(I35,DraftTracker!F:F,0)-1,0),"undrafted")</f>
        <v>Josh</v>
      </c>
    </row>
    <row r="36">
      <c r="A36" t="str">
        <f>IFERROR(__xludf.DUMMYFUNCTION("""COMPUTED_VALUE"""),"Houston Cougars")</f>
        <v>Houston Cougars</v>
      </c>
      <c r="B36" t="str">
        <f>IFERROR(__xludf.DUMMYFUNCTION("""COMPUTED_VALUE"""),"Big 12")</f>
        <v>Big 12</v>
      </c>
      <c r="C36" s="227">
        <f>IFERROR(__xludf.DUMMYFUNCTION("""COMPUTED_VALUE"""),7.359)</f>
        <v>7.359</v>
      </c>
      <c r="D36" s="1" t="s">
        <v>404</v>
      </c>
      <c r="E36" s="1" t="s">
        <v>471</v>
      </c>
      <c r="F36">
        <f t="shared" si="1"/>
        <v>44</v>
      </c>
      <c r="H36" t="s">
        <v>502</v>
      </c>
      <c r="I36" t="str">
        <f>offset(Translation!$A$5,0,match($H36,Translation!$A$6:$FK$6,0)-1)</f>
        <v>Georgia Southern</v>
      </c>
      <c r="J36">
        <f t="shared" si="2"/>
        <v>5.64</v>
      </c>
      <c r="K36" t="str">
        <f>iferror(offset(DraftTracker!D$1,match(I36,DraftTracker!F:F,0)-1,0),"undrafted")</f>
        <v>Justin</v>
      </c>
    </row>
    <row r="37">
      <c r="A37" t="str">
        <f>IFERROR(__xludf.DUMMYFUNCTION("""COMPUTED_VALUE"""),"Pittsburgh Panthers")</f>
        <v>Pittsburgh Panthers</v>
      </c>
      <c r="B37" t="str">
        <f>IFERROR(__xludf.DUMMYFUNCTION("""COMPUTED_VALUE"""),"ACC")</f>
        <v>ACC</v>
      </c>
      <c r="C37" s="227">
        <f>IFERROR(__xludf.DUMMYFUNCTION("""COMPUTED_VALUE"""),7.077)</f>
        <v>7.077</v>
      </c>
      <c r="D37" s="1" t="s">
        <v>487</v>
      </c>
      <c r="E37" s="1" t="s">
        <v>556</v>
      </c>
      <c r="F37">
        <f t="shared" si="1"/>
        <v>31</v>
      </c>
      <c r="H37" t="s">
        <v>503</v>
      </c>
      <c r="I37" t="str">
        <f>offset(Translation!$A$5,0,match($H37,Translation!$A$6:$FK$6,0)-1)</f>
        <v>Georgia State</v>
      </c>
      <c r="J37">
        <f t="shared" si="2"/>
        <v>4.589</v>
      </c>
      <c r="K37" t="str">
        <f>iferror(offset(DraftTracker!D$1,match(I37,DraftTracker!F:F,0)-1,0),"undrafted")</f>
        <v>Masa</v>
      </c>
    </row>
    <row r="38">
      <c r="A38" t="str">
        <f>IFERROR(__xludf.DUMMYFUNCTION("""COMPUTED_VALUE"""),"Baylor Bears")</f>
        <v>Baylor Bears</v>
      </c>
      <c r="B38" t="str">
        <f>IFERROR(__xludf.DUMMYFUNCTION("""COMPUTED_VALUE"""),"Big 12")</f>
        <v>Big 12</v>
      </c>
      <c r="C38" s="227">
        <f>IFERROR(__xludf.DUMMYFUNCTION("""COMPUTED_VALUE"""),6.568)</f>
        <v>6.568</v>
      </c>
      <c r="D38" s="1" t="s">
        <v>435</v>
      </c>
      <c r="E38" s="1" t="s">
        <v>2051</v>
      </c>
      <c r="F38">
        <f t="shared" si="1"/>
        <v>73</v>
      </c>
      <c r="H38" t="s">
        <v>391</v>
      </c>
      <c r="I38" t="str">
        <f>offset(Translation!$A$5,0,match($H38,Translation!$A$6:$FK$6,0)-1)</f>
        <v>Georgia Tech</v>
      </c>
      <c r="J38">
        <f t="shared" si="2"/>
        <v>5.786</v>
      </c>
      <c r="K38" t="str">
        <f>iferror(offset(DraftTracker!D$1,match(I38,DraftTracker!F:F,0)-1,0),"undrafted")</f>
        <v>Dan</v>
      </c>
    </row>
    <row r="39">
      <c r="A39" t="str">
        <f>IFERROR(__xludf.DUMMYFUNCTION("""COMPUTED_VALUE"""),"TCU Horned Frogs")</f>
        <v>TCU Horned Frogs</v>
      </c>
      <c r="B39" t="str">
        <f>IFERROR(__xludf.DUMMYFUNCTION("""COMPUTED_VALUE"""),"Big 12")</f>
        <v>Big 12</v>
      </c>
      <c r="C39" s="227">
        <f>IFERROR(__xludf.DUMMYFUNCTION("""COMPUTED_VALUE"""),6.76)</f>
        <v>6.76</v>
      </c>
      <c r="D39" s="1" t="s">
        <v>398</v>
      </c>
      <c r="E39" s="1" t="s">
        <v>317</v>
      </c>
      <c r="F39">
        <f t="shared" si="1"/>
        <v>86</v>
      </c>
      <c r="H39" t="s">
        <v>562</v>
      </c>
      <c r="I39" t="str">
        <f>offset(Translation!$A$5,0,match($H39,Translation!$A$6:$FK$6,0)-1)</f>
        <v>Hawaii</v>
      </c>
      <c r="J39">
        <f t="shared" si="2"/>
        <v>7.68</v>
      </c>
      <c r="K39" t="str">
        <f>iferror(offset(DraftTracker!D$1,match(I39,DraftTracker!F:F,0)-1,0),"undrafted")</f>
        <v>Josh</v>
      </c>
    </row>
    <row r="40">
      <c r="A40" t="str">
        <f>IFERROR(__xludf.DUMMYFUNCTION("""COMPUTED_VALUE"""),"Illinois Fighting Illini")</f>
        <v>Illinois Fighting Illini</v>
      </c>
      <c r="B40" t="str">
        <f>IFERROR(__xludf.DUMMYFUNCTION("""COMPUTED_VALUE"""),"Big Ten")</f>
        <v>Big Ten</v>
      </c>
      <c r="C40" s="227">
        <f>IFERROR(__xludf.DUMMYFUNCTION("""COMPUTED_VALUE"""),6.695)</f>
        <v>6.695</v>
      </c>
      <c r="D40" s="1" t="s">
        <v>406</v>
      </c>
      <c r="E40" s="1" t="s">
        <v>471</v>
      </c>
      <c r="F40">
        <f t="shared" si="1"/>
        <v>47</v>
      </c>
      <c r="H40" t="s">
        <v>378</v>
      </c>
      <c r="I40" t="str">
        <f>offset(Translation!$A$5,0,match($H40,Translation!$A$6:$FK$6,0)-1)</f>
        <v>Houston</v>
      </c>
      <c r="J40">
        <f t="shared" si="2"/>
        <v>7.359</v>
      </c>
      <c r="K40" t="str">
        <f>iferror(offset(DraftTracker!D$1,match(I40,DraftTracker!F:F,0)-1,0),"undrafted")</f>
        <v>Dan</v>
      </c>
    </row>
    <row r="41">
      <c r="A41" t="str">
        <f>IFERROR(__xludf.DUMMYFUNCTION("""COMPUTED_VALUE"""),"Kentucky Wildcats")</f>
        <v>Kentucky Wildcats</v>
      </c>
      <c r="B41" t="str">
        <f>IFERROR(__xludf.DUMMYFUNCTION("""COMPUTED_VALUE"""),"SEC")</f>
        <v>SEC</v>
      </c>
      <c r="C41" s="227">
        <f>IFERROR(__xludf.DUMMYFUNCTION("""COMPUTED_VALUE"""),4.598)</f>
        <v>4.598</v>
      </c>
      <c r="D41" s="1" t="s">
        <v>400</v>
      </c>
      <c r="E41" s="1" t="s">
        <v>317</v>
      </c>
      <c r="F41">
        <f t="shared" si="1"/>
        <v>123</v>
      </c>
      <c r="H41" t="s">
        <v>414</v>
      </c>
      <c r="I41" t="str">
        <f>offset(Translation!$A$5,0,match($H41,Translation!$A$6:$FK$6,0)-1)</f>
        <v>Illinois</v>
      </c>
      <c r="J41">
        <f t="shared" si="2"/>
        <v>6.695</v>
      </c>
      <c r="K41" t="str">
        <f>iferror(offset(DraftTracker!D$1,match(I41,DraftTracker!F:F,0)-1,0),"undrafted")</f>
        <v>Brad</v>
      </c>
    </row>
    <row r="42">
      <c r="A42" t="str">
        <f>IFERROR(__xludf.DUMMYFUNCTION("""COMPUTED_VALUE"""),"Kansas State Wildcats")</f>
        <v>Kansas State Wildcats</v>
      </c>
      <c r="B42" t="str">
        <f>IFERROR(__xludf.DUMMYFUNCTION("""COMPUTED_VALUE"""),"Big 12")</f>
        <v>Big 12</v>
      </c>
      <c r="C42" s="227">
        <f>IFERROR(__xludf.DUMMYFUNCTION("""COMPUTED_VALUE"""),6.969)</f>
        <v>6.969</v>
      </c>
      <c r="D42" s="1" t="s">
        <v>485</v>
      </c>
      <c r="E42" s="1" t="s">
        <v>556</v>
      </c>
      <c r="F42">
        <f t="shared" si="1"/>
        <v>8</v>
      </c>
      <c r="H42" t="s">
        <v>415</v>
      </c>
      <c r="I42" t="str">
        <f>offset(Translation!$A$5,0,match($H42,Translation!$A$6:$FK$6,0)-1)</f>
        <v>Indiana</v>
      </c>
      <c r="J42">
        <f t="shared" si="2"/>
        <v>9.913</v>
      </c>
      <c r="K42" t="str">
        <f>iferror(offset(DraftTracker!D$1,match(I42,DraftTracker!F:F,0)-1,0),"undrafted")</f>
        <v>Nico</v>
      </c>
    </row>
    <row r="43">
      <c r="A43" t="str">
        <f>IFERROR(__xludf.DUMMYFUNCTION("""COMPUTED_VALUE"""),"North Carolina Tar Heels")</f>
        <v>North Carolina Tar Heels</v>
      </c>
      <c r="B43" t="str">
        <f>IFERROR(__xludf.DUMMYFUNCTION("""COMPUTED_VALUE"""),"ACC")</f>
        <v>ACC</v>
      </c>
      <c r="C43" s="227">
        <f>IFERROR(__xludf.DUMMYFUNCTION("""COMPUTED_VALUE"""),5.785)</f>
        <v>5.785</v>
      </c>
      <c r="D43" s="1" t="s">
        <v>391</v>
      </c>
      <c r="E43" s="1" t="s">
        <v>317</v>
      </c>
      <c r="F43">
        <f t="shared" si="1"/>
        <v>38</v>
      </c>
      <c r="H43" t="s">
        <v>416</v>
      </c>
      <c r="I43" t="str">
        <f>offset(Translation!$A$5,0,match($H43,Translation!$A$6:$FK$6,0)-1)</f>
        <v>Iowa</v>
      </c>
      <c r="J43">
        <f t="shared" si="2"/>
        <v>7.583</v>
      </c>
      <c r="K43" t="str">
        <f>iferror(offset(DraftTracker!D$1,match(I43,DraftTracker!F:F,0)-1,0),"undrafted")</f>
        <v>Masa</v>
      </c>
    </row>
    <row r="44">
      <c r="A44" t="str">
        <f>IFERROR(__xludf.DUMMYFUNCTION("""COMPUTED_VALUE"""),"Wisconsin Badgers")</f>
        <v>Wisconsin Badgers</v>
      </c>
      <c r="B44" t="str">
        <f>IFERROR(__xludf.DUMMYFUNCTION("""COMPUTED_VALUE"""),"Big Ten")</f>
        <v>Big Ten</v>
      </c>
      <c r="C44" s="227">
        <f>IFERROR(__xludf.DUMMYFUNCTION("""COMPUTED_VALUE"""),6.494)</f>
        <v>6.494</v>
      </c>
      <c r="D44" s="1" t="s">
        <v>473</v>
      </c>
      <c r="E44" s="1" t="s">
        <v>471</v>
      </c>
      <c r="F44">
        <f t="shared" si="1"/>
        <v>6</v>
      </c>
      <c r="H44" t="s">
        <v>404</v>
      </c>
      <c r="I44" t="str">
        <f>offset(Translation!$A$5,0,match($H44,Translation!$A$6:$FK$6,0)-1)</f>
        <v>Iowa State</v>
      </c>
      <c r="J44">
        <f t="shared" si="2"/>
        <v>5.095</v>
      </c>
      <c r="K44" t="str">
        <f>iferror(offset(DraftTracker!D$1,match(I44,DraftTracker!F:F,0)-1,0),"undrafted")</f>
        <v>Jeannine</v>
      </c>
    </row>
    <row r="45">
      <c r="A45" t="str">
        <f>IFERROR(__xludf.DUMMYFUNCTION("""COMPUTED_VALUE"""),"Arizona State Sun Devils")</f>
        <v>Arizona State Sun Devils</v>
      </c>
      <c r="B45" t="str">
        <f>IFERROR(__xludf.DUMMYFUNCTION("""COMPUTED_VALUE"""),"Big 12")</f>
        <v>Big 12</v>
      </c>
      <c r="C45" s="227">
        <f>IFERROR(__xludf.DUMMYFUNCTION("""COMPUTED_VALUE"""),5.977)</f>
        <v>5.977</v>
      </c>
      <c r="D45" s="1" t="s">
        <v>421</v>
      </c>
      <c r="E45" s="1" t="s">
        <v>407</v>
      </c>
      <c r="F45">
        <f t="shared" si="1"/>
        <v>68</v>
      </c>
      <c r="H45" t="s">
        <v>517</v>
      </c>
      <c r="I45" t="str">
        <f>offset(Translation!$A$5,0,match($H45,Translation!$A$6:$FK$6,0)-1)</f>
        <v>James Madison</v>
      </c>
      <c r="J45">
        <f t="shared" si="2"/>
        <v>8.001</v>
      </c>
      <c r="K45" t="str">
        <f>iferror(offset(DraftTracker!D$1,match(I45,DraftTracker!F:F,0)-1,0),"undrafted")</f>
        <v>Dan</v>
      </c>
    </row>
    <row r="46">
      <c r="A46" t="str">
        <f>IFERROR(__xludf.DUMMYFUNCTION("""COMPUTED_VALUE"""),"Colorado Buffaloes")</f>
        <v>Colorado Buffaloes</v>
      </c>
      <c r="B46" t="str">
        <f>IFERROR(__xludf.DUMMYFUNCTION("""COMPUTED_VALUE"""),"Big 12")</f>
        <v>Big 12</v>
      </c>
      <c r="C46" s="227">
        <f>IFERROR(__xludf.DUMMYFUNCTION("""COMPUTED_VALUE"""),5.975)</f>
        <v>5.975</v>
      </c>
      <c r="D46" s="1" t="s">
        <v>375</v>
      </c>
      <c r="E46" s="1" t="s">
        <v>471</v>
      </c>
      <c r="F46">
        <f t="shared" si="1"/>
        <v>22</v>
      </c>
      <c r="H46" t="s">
        <v>405</v>
      </c>
      <c r="I46" t="str">
        <f>offset(Translation!$A$5,0,match($H46,Translation!$A$6:$FK$6,0)-1)</f>
        <v>Kansas</v>
      </c>
      <c r="J46">
        <f t="shared" si="2"/>
        <v>5.985</v>
      </c>
      <c r="K46" t="str">
        <f>iferror(offset(DraftTracker!D$1,match(I46,DraftTracker!F:F,0)-1,0),"undrafted")</f>
        <v>Nick A.</v>
      </c>
    </row>
    <row r="47">
      <c r="A47" t="str">
        <f>IFERROR(__xludf.DUMMYFUNCTION("""COMPUTED_VALUE"""),"Cincinnati Bearcats")</f>
        <v>Cincinnati Bearcats</v>
      </c>
      <c r="B47" t="str">
        <f>IFERROR(__xludf.DUMMYFUNCTION("""COMPUTED_VALUE"""),"Big 12")</f>
        <v>Big 12</v>
      </c>
      <c r="C47" s="227">
        <f>IFERROR(__xludf.DUMMYFUNCTION("""COMPUTED_VALUE"""),6.3790000000000004)</f>
        <v>6.379</v>
      </c>
      <c r="D47" s="1" t="s">
        <v>389</v>
      </c>
      <c r="E47" s="1" t="s">
        <v>317</v>
      </c>
      <c r="F47">
        <f t="shared" si="1"/>
        <v>27</v>
      </c>
      <c r="H47" t="s">
        <v>406</v>
      </c>
      <c r="I47" t="str">
        <f>offset(Translation!$A$5,0,match($H47,Translation!$A$6:$FK$6,0)-1)</f>
        <v>Kansas State</v>
      </c>
      <c r="J47">
        <f t="shared" si="2"/>
        <v>6.969</v>
      </c>
      <c r="K47" t="str">
        <f>iferror(offset(DraftTracker!D$1,match(I47,DraftTracker!F:F,0)-1,0),"undrafted")</f>
        <v>Vu</v>
      </c>
    </row>
    <row r="48">
      <c r="A48" t="str">
        <f>IFERROR(__xludf.DUMMYFUNCTION("""COMPUTED_VALUE"""),"Arkansas Razorbacks")</f>
        <v>Arkansas Razorbacks</v>
      </c>
      <c r="B48" t="str">
        <f>IFERROR(__xludf.DUMMYFUNCTION("""COMPUTED_VALUE"""),"SEC")</f>
        <v>SEC</v>
      </c>
      <c r="C48" s="227">
        <f>IFERROR(__xludf.DUMMYFUNCTION("""COMPUTED_VALUE"""),4.2989999999999995)</f>
        <v>4.299</v>
      </c>
      <c r="D48" s="1" t="s">
        <v>489</v>
      </c>
      <c r="E48" s="1" t="s">
        <v>556</v>
      </c>
      <c r="F48">
        <f t="shared" si="1"/>
        <v>49</v>
      </c>
      <c r="H48" t="s">
        <v>451</v>
      </c>
      <c r="I48" t="str">
        <f>offset(Translation!$A$5,0,match($H48,Translation!$A$6:$FK$6,0)-1)</f>
        <v>Kent State</v>
      </c>
      <c r="J48" t="str">
        <f t="shared" si="2"/>
        <v/>
      </c>
      <c r="K48" t="str">
        <f>iferror(offset(DraftTracker!D$1,match(I48,DraftTracker!F:F,0)-1,0),"undrafted")</f>
        <v>Undrafted</v>
      </c>
    </row>
    <row r="49">
      <c r="A49" t="str">
        <f>IFERROR(__xludf.DUMMYFUNCTION("""COMPUTED_VALUE"""),"Georgia Tech Yellow Jackets")</f>
        <v>Georgia Tech Yellow Jackets</v>
      </c>
      <c r="B49" t="str">
        <f>IFERROR(__xludf.DUMMYFUNCTION("""COMPUTED_VALUE"""),"ACC")</f>
        <v>ACC</v>
      </c>
      <c r="C49" s="227">
        <f>IFERROR(__xludf.DUMMYFUNCTION("""COMPUTED_VALUE"""),5.786)</f>
        <v>5.786</v>
      </c>
      <c r="D49" s="1" t="s">
        <v>379</v>
      </c>
      <c r="E49" s="1" t="s">
        <v>2051</v>
      </c>
      <c r="F49">
        <f t="shared" si="1"/>
        <v>57</v>
      </c>
      <c r="H49" t="s">
        <v>489</v>
      </c>
      <c r="I49" t="str">
        <f>offset(Translation!$A$5,0,match($H49,Translation!$A$6:$FK$6,0)-1)</f>
        <v>Kentucky</v>
      </c>
      <c r="J49">
        <f t="shared" si="2"/>
        <v>4.598</v>
      </c>
      <c r="K49" t="str">
        <f>iferror(offset(DraftTracker!D$1,match(I49,DraftTracker!F:F,0)-1,0),"undrafted")</f>
        <v>Undrafted</v>
      </c>
    </row>
    <row r="50">
      <c r="A50" t="str">
        <f>IFERROR(__xludf.DUMMYFUNCTION("""COMPUTED_VALUE"""),"Mississippi State Bulldogs")</f>
        <v>Mississippi State Bulldogs</v>
      </c>
      <c r="B50" t="str">
        <f>IFERROR(__xludf.DUMMYFUNCTION("""COMPUTED_VALUE"""),"SEC")</f>
        <v>SEC</v>
      </c>
      <c r="C50" s="227">
        <f>IFERROR(__xludf.DUMMYFUNCTION("""COMPUTED_VALUE"""),4.598999999999999)</f>
        <v>4.599</v>
      </c>
      <c r="D50" s="1" t="s">
        <v>492</v>
      </c>
      <c r="E50" s="1" t="s">
        <v>556</v>
      </c>
      <c r="F50">
        <f t="shared" si="1"/>
        <v>64</v>
      </c>
      <c r="H50" t="s">
        <v>513</v>
      </c>
      <c r="I50" t="str">
        <f>offset(Translation!$A$5,0,match($H50,Translation!$A$6:$FK$6,0)-1)</f>
        <v>Liberty</v>
      </c>
      <c r="J50">
        <f t="shared" si="2"/>
        <v>7.252</v>
      </c>
      <c r="K50" t="str">
        <f>iferror(offset(DraftTracker!D$1,match(I50,DraftTracker!F:F,0)-1,0),"undrafted")</f>
        <v>Vu</v>
      </c>
    </row>
    <row r="51">
      <c r="A51" t="str">
        <f>IFERROR(__xludf.DUMMYFUNCTION("""COMPUTED_VALUE"""),"Boise State Broncos")</f>
        <v>Boise State Broncos</v>
      </c>
      <c r="B51" t="str">
        <f>IFERROR(__xludf.DUMMYFUNCTION("""COMPUTED_VALUE"""),"Pac-12")</f>
        <v>Pac-12</v>
      </c>
      <c r="C51" s="227">
        <f>IFERROR(__xludf.DUMMYFUNCTION("""COMPUTED_VALUE"""),7.436)</f>
        <v>7.436</v>
      </c>
      <c r="D51" s="1" t="s">
        <v>405</v>
      </c>
      <c r="E51" s="1" t="s">
        <v>471</v>
      </c>
      <c r="F51">
        <f t="shared" si="1"/>
        <v>46</v>
      </c>
      <c r="H51" t="s">
        <v>567</v>
      </c>
      <c r="I51" t="str">
        <f>offset(Translation!$A$5,0,match($H51,Translation!$A$6:$FK$6,0)-1)</f>
        <v>UL Lafayette</v>
      </c>
      <c r="J51">
        <f t="shared" si="2"/>
        <v>6.817</v>
      </c>
      <c r="K51" t="str">
        <f>iferror(offset(DraftTracker!D$1,match(I51,DraftTracker!F:F,0)-1,0),"undrafted")</f>
        <v>Nick A.</v>
      </c>
    </row>
    <row r="52">
      <c r="A52" t="str">
        <f>IFERROR(__xludf.DUMMYFUNCTION("""COMPUTED_VALUE"""),"NC State Wolfpack")</f>
        <v>NC State Wolfpack</v>
      </c>
      <c r="B52" t="str">
        <f>IFERROR(__xludf.DUMMYFUNCTION("""COMPUTED_VALUE"""),"ACC")</f>
        <v>ACC</v>
      </c>
      <c r="C52" s="227">
        <f>IFERROR(__xludf.DUMMYFUNCTION("""COMPUTED_VALUE"""),6.6850000000000005)</f>
        <v>6.685</v>
      </c>
      <c r="D52" s="1" t="s">
        <v>459</v>
      </c>
      <c r="E52" s="1" t="s">
        <v>2057</v>
      </c>
      <c r="F52">
        <f t="shared" si="1"/>
        <v>14</v>
      </c>
      <c r="H52" t="s">
        <v>432</v>
      </c>
      <c r="I52" t="str">
        <f>offset(Translation!$A$5,0,match($H52,Translation!$A$6:$FK$6,0)-1)</f>
        <v>Louisiana Tech</v>
      </c>
      <c r="J52">
        <f t="shared" si="2"/>
        <v>5.547</v>
      </c>
      <c r="K52" t="str">
        <f>iferror(offset(DraftTracker!D$1,match(I52,DraftTracker!F:F,0)-1,0),"undrafted")</f>
        <v>Masa</v>
      </c>
    </row>
    <row r="53">
      <c r="A53" t="str">
        <f>IFERROR(__xludf.DUMMYFUNCTION("""COMPUTED_VALUE"""),"Duke Blue Devils")</f>
        <v>Duke Blue Devils</v>
      </c>
      <c r="B53" t="str">
        <f>IFERROR(__xludf.DUMMYFUNCTION("""COMPUTED_VALUE"""),"ACC")</f>
        <v>ACC</v>
      </c>
      <c r="C53" s="227">
        <f>IFERROR(__xludf.DUMMYFUNCTION("""COMPUTED_VALUE"""),5.988)</f>
        <v>5.988</v>
      </c>
      <c r="D53" s="1" t="s">
        <v>377</v>
      </c>
      <c r="E53" s="1" t="s">
        <v>2051</v>
      </c>
      <c r="F53">
        <f t="shared" si="1"/>
        <v>28</v>
      </c>
      <c r="H53" t="s">
        <v>393</v>
      </c>
      <c r="I53" t="str">
        <f>offset(Translation!$A$5,0,match($H53,Translation!$A$6:$FK$6,0)-1)</f>
        <v>Louisville</v>
      </c>
      <c r="J53">
        <f t="shared" si="2"/>
        <v>7.53</v>
      </c>
      <c r="K53" t="str">
        <f>iferror(offset(DraftTracker!D$1,match(I53,DraftTracker!F:F,0)-1,0),"undrafted")</f>
        <v>Nico</v>
      </c>
    </row>
    <row r="54">
      <c r="A54" t="str">
        <f>IFERROR(__xludf.DUMMYFUNCTION("""COMPUTED_VALUE"""),"Wake Forest Demon Deacons")</f>
        <v>Wake Forest Demon Deacons</v>
      </c>
      <c r="B54" t="str">
        <f>IFERROR(__xludf.DUMMYFUNCTION("""COMPUTED_VALUE"""),"ACC")</f>
        <v>ACC</v>
      </c>
      <c r="C54" s="227">
        <f>IFERROR(__xludf.DUMMYFUNCTION("""COMPUTED_VALUE"""),6.29)</f>
        <v>6.29</v>
      </c>
      <c r="D54" s="1" t="s">
        <v>455</v>
      </c>
      <c r="E54" s="1" t="s">
        <v>530</v>
      </c>
      <c r="F54">
        <f t="shared" si="1"/>
        <v>106</v>
      </c>
      <c r="H54" t="s">
        <v>491</v>
      </c>
      <c r="I54" t="str">
        <f>offset(Translation!$A$5,0,match($H54,Translation!$A$6:$FK$6,0)-1)</f>
        <v>LSU</v>
      </c>
      <c r="J54">
        <f t="shared" si="2"/>
        <v>8.312</v>
      </c>
      <c r="K54" t="str">
        <f>iferror(offset(DraftTracker!D$1,match(I54,DraftTracker!F:F,0)-1,0),"undrafted")</f>
        <v>Jeannine</v>
      </c>
    </row>
    <row r="55">
      <c r="A55" t="str">
        <f>IFERROR(__xludf.DUMMYFUNCTION("""COMPUTED_VALUE"""),"Oklahoma State Cowboys")</f>
        <v>Oklahoma State Cowboys</v>
      </c>
      <c r="B55" t="str">
        <f>IFERROR(__xludf.DUMMYFUNCTION("""COMPUTED_VALUE"""),"Big 12")</f>
        <v>Big 12</v>
      </c>
      <c r="C55" s="227">
        <f>IFERROR(__xludf.DUMMYFUNCTION("""COMPUTED_VALUE"""),5.981)</f>
        <v>5.981</v>
      </c>
      <c r="D55" s="1" t="s">
        <v>378</v>
      </c>
      <c r="E55" s="1" t="s">
        <v>471</v>
      </c>
      <c r="F55">
        <f t="shared" si="1"/>
        <v>40</v>
      </c>
      <c r="H55" t="s">
        <v>433</v>
      </c>
      <c r="I55" t="str">
        <f>offset(Translation!$A$5,0,match($H55,Translation!$A$6:$FK$6,0)-1)</f>
        <v>Marshall</v>
      </c>
      <c r="J55">
        <f t="shared" si="2"/>
        <v>6.439</v>
      </c>
      <c r="K55" t="str">
        <f>iferror(offset(DraftTracker!D$1,match(I55,DraftTracker!F:F,0)-1,0),"undrafted")</f>
        <v>Jeannine</v>
      </c>
    </row>
    <row r="56">
      <c r="A56" t="str">
        <f>IFERROR(__xludf.DUMMYFUNCTION("""COMPUTED_VALUE"""),"Kansas Jayhawks")</f>
        <v>Kansas Jayhawks</v>
      </c>
      <c r="B56" t="str">
        <f>IFERROR(__xludf.DUMMYFUNCTION("""COMPUTED_VALUE"""),"Big 12")</f>
        <v>Big 12</v>
      </c>
      <c r="C56" s="227">
        <f>IFERROR(__xludf.DUMMYFUNCTION("""COMPUTED_VALUE"""),5.985)</f>
        <v>5.985</v>
      </c>
      <c r="D56" s="1" t="s">
        <v>436</v>
      </c>
      <c r="E56" s="1" t="s">
        <v>441</v>
      </c>
      <c r="F56">
        <f t="shared" si="1"/>
        <v>81</v>
      </c>
      <c r="H56" t="s">
        <v>417</v>
      </c>
      <c r="I56" t="str">
        <f>offset(Translation!$A$5,0,match($H56,Translation!$A$6:$FK$6,0)-1)</f>
        <v>Maryland</v>
      </c>
      <c r="J56">
        <f t="shared" si="2"/>
        <v>5.399</v>
      </c>
      <c r="K56" t="str">
        <f>iferror(offset(DraftTracker!D$1,match(I56,DraftTracker!F:F,0)-1,0),"undrafted")</f>
        <v>Undrafted</v>
      </c>
    </row>
    <row r="57">
      <c r="A57" t="str">
        <f>IFERROR(__xludf.DUMMYFUNCTION("""COMPUTED_VALUE"""),"Tulane Green Wave")</f>
        <v>Tulane Green Wave</v>
      </c>
      <c r="B57" t="str">
        <f>IFERROR(__xludf.DUMMYFUNCTION("""COMPUTED_VALUE"""),"American")</f>
        <v>American</v>
      </c>
      <c r="C57" s="227">
        <f>IFERROR(__xludf.DUMMYFUNCTION("""COMPUTED_VALUE"""),7.981999999999999)</f>
        <v>7.982</v>
      </c>
      <c r="D57" s="1" t="s">
        <v>396</v>
      </c>
      <c r="E57" s="1" t="s">
        <v>317</v>
      </c>
      <c r="F57">
        <f t="shared" si="1"/>
        <v>67</v>
      </c>
      <c r="H57" t="s">
        <v>379</v>
      </c>
      <c r="I57" t="str">
        <f>offset(Translation!$A$5,0,match($H57,Translation!$A$6:$FK$6,0)-1)</f>
        <v>Memphis</v>
      </c>
      <c r="J57">
        <f t="shared" si="2"/>
        <v>6.907</v>
      </c>
      <c r="K57" t="str">
        <f>iferror(offset(DraftTracker!D$1,match(I57,DraftTracker!F:F,0)-1,0),"undrafted")</f>
        <v>Mike</v>
      </c>
    </row>
    <row r="58">
      <c r="A58" t="str">
        <f>IFERROR(__xludf.DUMMYFUNCTION("""COMPUTED_VALUE"""),"UCF Knights")</f>
        <v>UCF Knights</v>
      </c>
      <c r="B58" t="str">
        <f>IFERROR(__xludf.DUMMYFUNCTION("""COMPUTED_VALUE"""),"Big 12")</f>
        <v>Big 12</v>
      </c>
      <c r="C58" s="227">
        <f>IFERROR(__xludf.DUMMYFUNCTION("""COMPUTED_VALUE"""),6.082999999999999)</f>
        <v>6.083</v>
      </c>
      <c r="D58" s="1" t="s">
        <v>384</v>
      </c>
      <c r="E58" s="1" t="s">
        <v>2051</v>
      </c>
      <c r="F58">
        <f t="shared" si="1"/>
        <v>108</v>
      </c>
      <c r="H58" t="s">
        <v>452</v>
      </c>
      <c r="I58" t="str">
        <f>offset(Translation!$A$5,0,match($H58,Translation!$A$6:$FK$6,0)-1)</f>
        <v>Miami-OH</v>
      </c>
      <c r="J58">
        <f t="shared" si="2"/>
        <v>7.062</v>
      </c>
      <c r="K58" t="str">
        <f>iferror(offset(DraftTracker!D$1,match(I58,DraftTracker!F:F,0)-1,0),"undrafted")</f>
        <v>Mike</v>
      </c>
    </row>
    <row r="59">
      <c r="A59" t="str">
        <f>IFERROR(__xludf.DUMMYFUNCTION("""COMPUTED_VALUE"""),"UNLV Rebels")</f>
        <v>UNLV Rebels</v>
      </c>
      <c r="B59" t="str">
        <f>IFERROR(__xludf.DUMMYFUNCTION("""COMPUTED_VALUE"""),"Mountain West")</f>
        <v>Mountain West</v>
      </c>
      <c r="C59" s="227">
        <f>IFERROR(__xludf.DUMMYFUNCTION("""COMPUTED_VALUE"""),8.646)</f>
        <v>8.646</v>
      </c>
      <c r="D59" s="1" t="s">
        <v>403</v>
      </c>
      <c r="E59" s="1" t="s">
        <v>471</v>
      </c>
      <c r="F59">
        <f t="shared" si="1"/>
        <v>13</v>
      </c>
      <c r="H59" t="s">
        <v>394</v>
      </c>
      <c r="I59" t="str">
        <f>offset(Translation!$A$5,0,match($H59,Translation!$A$6:$FK$6,0)-1)</f>
        <v>Miami</v>
      </c>
      <c r="J59">
        <f t="shared" si="2"/>
        <v>9.897</v>
      </c>
      <c r="K59" t="str">
        <f>iferror(offset(DraftTracker!D$1,match(I59,DraftTracker!F:F,0)-1,0),"undrafted")</f>
        <v>Brad</v>
      </c>
    </row>
    <row r="60">
      <c r="A60" t="str">
        <f>IFERROR(__xludf.DUMMYFUNCTION("""COMPUTED_VALUE"""),"San Diego State Aztecs")</f>
        <v>San Diego State Aztecs</v>
      </c>
      <c r="B60" t="str">
        <f>IFERROR(__xludf.DUMMYFUNCTION("""COMPUTED_VALUE"""),"Pac-12")</f>
        <v>Pac-12</v>
      </c>
      <c r="C60" s="227">
        <f>IFERROR(__xludf.DUMMYFUNCTION("""COMPUTED_VALUE"""),7.249)</f>
        <v>7.249</v>
      </c>
      <c r="D60" s="1" t="s">
        <v>423</v>
      </c>
      <c r="E60" s="1" t="s">
        <v>407</v>
      </c>
      <c r="F60">
        <f t="shared" si="1"/>
        <v>75</v>
      </c>
      <c r="H60" t="s">
        <v>419</v>
      </c>
      <c r="I60" t="str">
        <f>offset(Translation!$A$5,0,match($H60,Translation!$A$6:$FK$6,0)-1)</f>
        <v>Michigan State</v>
      </c>
      <c r="J60">
        <f t="shared" si="2"/>
        <v>4.599</v>
      </c>
      <c r="K60" t="str">
        <f>iferror(offset(DraftTracker!D$1,match(I60,DraftTracker!F:F,0)-1,0),"undrafted")</f>
        <v>Justin</v>
      </c>
    </row>
    <row r="61">
      <c r="A61" t="str">
        <f>IFERROR(__xludf.DUMMYFUNCTION("""COMPUTED_VALUE"""),"Northwestern Wildcats")</f>
        <v>Northwestern Wildcats</v>
      </c>
      <c r="B61" t="str">
        <f>IFERROR(__xludf.DUMMYFUNCTION("""COMPUTED_VALUE"""),"Big Ten")</f>
        <v>Big Ten</v>
      </c>
      <c r="C61" s="227">
        <f>IFERROR(__xludf.DUMMYFUNCTION("""COMPUTED_VALUE"""),4.899)</f>
        <v>4.899</v>
      </c>
      <c r="D61" s="1" t="s">
        <v>429</v>
      </c>
      <c r="E61" s="1" t="s">
        <v>407</v>
      </c>
      <c r="F61">
        <f t="shared" si="1"/>
        <v>131</v>
      </c>
      <c r="H61" t="s">
        <v>418</v>
      </c>
      <c r="I61" t="str">
        <f>offset(Translation!$A$5,0,match($H61,Translation!$A$6:$FK$6,0)-1)</f>
        <v>Michigan</v>
      </c>
      <c r="J61">
        <f t="shared" si="2"/>
        <v>7.762</v>
      </c>
      <c r="K61" t="str">
        <f>iferror(offset(DraftTracker!D$1,match(I61,DraftTracker!F:F,0)-1,0),"undrafted")</f>
        <v>Jeannine</v>
      </c>
    </row>
    <row r="62">
      <c r="A62" t="str">
        <f>IFERROR(__xludf.DUMMYFUNCTION("""COMPUTED_VALUE"""),"Maryland Terrapins")</f>
        <v>Maryland Terrapins</v>
      </c>
      <c r="B62" t="str">
        <f>IFERROR(__xludf.DUMMYFUNCTION("""COMPUTED_VALUE"""),"Big Ten")</f>
        <v>Big Ten</v>
      </c>
      <c r="C62" s="227">
        <f>IFERROR(__xludf.DUMMYFUNCTION("""COMPUTED_VALUE"""),5.399)</f>
        <v>5.399</v>
      </c>
      <c r="D62" s="1" t="s">
        <v>468</v>
      </c>
      <c r="E62" s="1" t="s">
        <v>2057</v>
      </c>
      <c r="F62">
        <f t="shared" si="1"/>
        <v>116</v>
      </c>
      <c r="H62" t="s">
        <v>434</v>
      </c>
      <c r="I62" t="str">
        <f>offset(Translation!$A$5,0,match($H62,Translation!$A$6:$FK$6,0)-1)</f>
        <v>Middle Tennessee</v>
      </c>
      <c r="J62">
        <f t="shared" si="2"/>
        <v>4.677</v>
      </c>
      <c r="K62" t="str">
        <f>iferror(offset(DraftTracker!D$1,match(I62,DraftTracker!F:F,0)-1,0),"undrafted")</f>
        <v>Josh</v>
      </c>
    </row>
    <row r="63">
      <c r="A63" t="str">
        <f>IFERROR(__xludf.DUMMYFUNCTION("""COMPUTED_VALUE"""),"California Golden Bears")</f>
        <v>California Golden Bears</v>
      </c>
      <c r="B63" t="str">
        <f>IFERROR(__xludf.DUMMYFUNCTION("""COMPUTED_VALUE"""),"ACC")</f>
        <v>ACC</v>
      </c>
      <c r="C63" s="227">
        <f>IFERROR(__xludf.DUMMYFUNCTION("""COMPUTED_VALUE"""),5.595)</f>
        <v>5.595</v>
      </c>
      <c r="D63" s="1" t="s">
        <v>428</v>
      </c>
      <c r="E63" s="1" t="s">
        <v>407</v>
      </c>
      <c r="F63">
        <f t="shared" si="1"/>
        <v>89</v>
      </c>
      <c r="H63" t="s">
        <v>420</v>
      </c>
      <c r="I63" t="str">
        <f>offset(Translation!$A$5,0,match($H63,Translation!$A$6:$FK$6,0)-1)</f>
        <v>Minnesota</v>
      </c>
      <c r="J63">
        <f t="shared" si="2"/>
        <v>5.299</v>
      </c>
      <c r="K63" t="str">
        <f>iferror(offset(DraftTracker!D$1,match(I63,DraftTracker!F:F,0)-1,0),"undrafted")</f>
        <v>Mike</v>
      </c>
    </row>
    <row r="64">
      <c r="A64" t="str">
        <f>IFERROR(__xludf.DUMMYFUNCTION("""COMPUTED_VALUE"""),"Minnesota Golden Gophers")</f>
        <v>Minnesota Golden Gophers</v>
      </c>
      <c r="B64" t="str">
        <f>IFERROR(__xludf.DUMMYFUNCTION("""COMPUTED_VALUE"""),"Big Ten")</f>
        <v>Big Ten</v>
      </c>
      <c r="C64" s="227">
        <f>IFERROR(__xludf.DUMMYFUNCTION("""COMPUTED_VALUE"""),5.2989999999999995)</f>
        <v>5.299</v>
      </c>
      <c r="D64" s="1" t="s">
        <v>420</v>
      </c>
      <c r="E64" s="1" t="s">
        <v>407</v>
      </c>
      <c r="F64">
        <f t="shared" si="1"/>
        <v>63</v>
      </c>
      <c r="H64" t="s">
        <v>492</v>
      </c>
      <c r="I64" t="str">
        <f>offset(Translation!$A$5,0,match($H64,Translation!$A$6:$FK$6,0)-1)</f>
        <v>Mississippi State</v>
      </c>
      <c r="J64">
        <f t="shared" si="2"/>
        <v>4.599</v>
      </c>
      <c r="K64" t="str">
        <f>iferror(offset(DraftTracker!D$1,match(I64,DraftTracker!F:F,0)-1,0),"undrafted")</f>
        <v>Undrafted</v>
      </c>
    </row>
    <row r="65">
      <c r="A65" t="str">
        <f>IFERROR(__xludf.DUMMYFUNCTION("""COMPUTED_VALUE"""),"UCLA Bruins")</f>
        <v>UCLA Bruins</v>
      </c>
      <c r="B65" t="str">
        <f>IFERROR(__xludf.DUMMYFUNCTION("""COMPUTED_VALUE"""),"Big Ten")</f>
        <v>Big Ten</v>
      </c>
      <c r="C65" s="227">
        <f>IFERROR(__xludf.DUMMYFUNCTION("""COMPUTED_VALUE"""),5.098999999999999)</f>
        <v>5.099</v>
      </c>
      <c r="D65" s="1" t="s">
        <v>419</v>
      </c>
      <c r="E65" s="1" t="s">
        <v>407</v>
      </c>
      <c r="F65">
        <f t="shared" si="1"/>
        <v>60</v>
      </c>
      <c r="H65" t="s">
        <v>494</v>
      </c>
      <c r="I65" t="str">
        <f>offset(Translation!$A$5,0,match($H65,Translation!$A$6:$FK$6,0)-1)</f>
        <v>Missouri</v>
      </c>
      <c r="J65">
        <f t="shared" si="2"/>
        <v>6.685</v>
      </c>
      <c r="K65" t="str">
        <f>iferror(offset(DraftTracker!D$1,match(I65,DraftTracker!F:F,0)-1,0),"undrafted")</f>
        <v>Brad</v>
      </c>
    </row>
    <row r="66">
      <c r="A66" t="str">
        <f>IFERROR(__xludf.DUMMYFUNCTION("""COMPUTED_VALUE"""),"Michigan State Spartans")</f>
        <v>Michigan State Spartans</v>
      </c>
      <c r="B66" t="str">
        <f>IFERROR(__xludf.DUMMYFUNCTION("""COMPUTED_VALUE"""),"Big Ten")</f>
        <v>Big Ten</v>
      </c>
      <c r="C66" s="227">
        <f>IFERROR(__xludf.DUMMYFUNCTION("""COMPUTED_VALUE"""),4.598999999999999)</f>
        <v>4.599</v>
      </c>
      <c r="D66" s="1" t="s">
        <v>483</v>
      </c>
      <c r="E66" s="1" t="s">
        <v>2058</v>
      </c>
      <c r="F66">
        <f t="shared" si="1"/>
        <v>127</v>
      </c>
      <c r="H66" t="s">
        <v>380</v>
      </c>
      <c r="I66" t="str">
        <f>offset(Translation!$A$5,0,match($H66,Translation!$A$6:$FK$6,0)-1)</f>
        <v>Navy</v>
      </c>
      <c r="J66">
        <f t="shared" si="2"/>
        <v>7.711</v>
      </c>
      <c r="K66" t="str">
        <f>iferror(offset(DraftTracker!D$1,match(I66,DraftTracker!F:F,0)-1,0),"undrafted")</f>
        <v>Justin</v>
      </c>
    </row>
    <row r="67">
      <c r="A67" t="str">
        <f>IFERROR(__xludf.DUMMYFUNCTION("""COMPUTED_VALUE"""),"West Virginia Mountaineers")</f>
        <v>West Virginia Mountaineers</v>
      </c>
      <c r="B67" t="str">
        <f>IFERROR(__xludf.DUMMYFUNCTION("""COMPUTED_VALUE"""),"Big 12")</f>
        <v>Big 12</v>
      </c>
      <c r="C67" s="227">
        <f>IFERROR(__xludf.DUMMYFUNCTION("""COMPUTED_VALUE"""),5.393000000000001)</f>
        <v>5.393</v>
      </c>
      <c r="D67" s="1" t="s">
        <v>402</v>
      </c>
      <c r="E67" s="1" t="s">
        <v>317</v>
      </c>
      <c r="F67">
        <f t="shared" si="1"/>
        <v>125</v>
      </c>
      <c r="H67" t="s">
        <v>396</v>
      </c>
      <c r="I67" t="str">
        <f>offset(Translation!$A$5,0,match($H67,Translation!$A$6:$FK$6,0)-1)</f>
        <v>NC State</v>
      </c>
      <c r="J67">
        <f t="shared" si="2"/>
        <v>6.685</v>
      </c>
      <c r="K67" t="str">
        <f>iferror(offset(DraftTracker!D$1,match(I67,DraftTracker!F:F,0)-1,0),"undrafted")</f>
        <v>Gary</v>
      </c>
    </row>
    <row r="68">
      <c r="A68" t="str">
        <f>IFERROR(__xludf.DUMMYFUNCTION("""COMPUTED_VALUE"""),"Rutgers Scarlet Knights")</f>
        <v>Rutgers Scarlet Knights</v>
      </c>
      <c r="B68" t="str">
        <f>IFERROR(__xludf.DUMMYFUNCTION("""COMPUTED_VALUE"""),"Big Ten")</f>
        <v>Big Ten</v>
      </c>
      <c r="C68" s="227">
        <f>IFERROR(__xludf.DUMMYFUNCTION("""COMPUTED_VALUE"""),5.098999999999999)</f>
        <v>5.099</v>
      </c>
      <c r="D68" s="1" t="s">
        <v>466</v>
      </c>
      <c r="E68" s="1" t="s">
        <v>2057</v>
      </c>
      <c r="F68">
        <f t="shared" si="1"/>
        <v>90</v>
      </c>
      <c r="H68" t="s">
        <v>421</v>
      </c>
      <c r="I68" t="str">
        <f>offset(Translation!$A$5,0,match($H68,Translation!$A$6:$FK$6,0)-1)</f>
        <v>Nebraska</v>
      </c>
      <c r="J68">
        <f t="shared" si="2"/>
        <v>6.693</v>
      </c>
      <c r="K68" t="str">
        <f>iferror(offset(DraftTracker!D$1,match(I68,DraftTracker!F:F,0)-1,0),"undrafted")</f>
        <v>Josh</v>
      </c>
    </row>
    <row r="69">
      <c r="A69" t="str">
        <f>IFERROR(__xludf.DUMMYFUNCTION("""COMPUTED_VALUE"""),"East Carolina Pirates")</f>
        <v>East Carolina Pirates</v>
      </c>
      <c r="B69" t="str">
        <f>IFERROR(__xludf.DUMMYFUNCTION("""COMPUTED_VALUE"""),"American")</f>
        <v>American</v>
      </c>
      <c r="C69" s="227">
        <f>IFERROR(__xludf.DUMMYFUNCTION("""COMPUTED_VALUE"""),7.841)</f>
        <v>7.841</v>
      </c>
      <c r="D69" s="1" t="s">
        <v>442</v>
      </c>
      <c r="E69" s="1" t="s">
        <v>2051</v>
      </c>
      <c r="F69">
        <f t="shared" si="1"/>
        <v>121</v>
      </c>
      <c r="H69" t="s">
        <v>464</v>
      </c>
      <c r="I69" t="str">
        <f>offset(Translation!$A$5,0,match($H69,Translation!$A$6:$FK$6,0)-1)</f>
        <v>Nevada</v>
      </c>
      <c r="J69">
        <f t="shared" si="2"/>
        <v>4.772</v>
      </c>
      <c r="K69" t="str">
        <f>iferror(offset(DraftTracker!D$1,match(I69,DraftTracker!F:F,0)-1,0),"undrafted")</f>
        <v>Brad</v>
      </c>
    </row>
    <row r="70">
      <c r="A70" t="str">
        <f>IFERROR(__xludf.DUMMYFUNCTION("""COMPUTED_VALUE"""),"Navy Midshipmen")</f>
        <v>Navy Midshipmen</v>
      </c>
      <c r="B70" t="str">
        <f>IFERROR(__xludf.DUMMYFUNCTION("""COMPUTED_VALUE"""),"American")</f>
        <v>American</v>
      </c>
      <c r="C70" s="227">
        <f>IFERROR(__xludf.DUMMYFUNCTION("""COMPUTED_VALUE"""),7.711)</f>
        <v>7.711</v>
      </c>
      <c r="D70" s="1" t="s">
        <v>386</v>
      </c>
      <c r="E70" s="1" t="s">
        <v>471</v>
      </c>
      <c r="F70">
        <f t="shared" si="1"/>
        <v>111</v>
      </c>
      <c r="H70" t="s">
        <v>465</v>
      </c>
      <c r="I70" t="str">
        <f>offset(Translation!$A$5,0,match($H70,Translation!$A$6:$FK$6,0)-1)</f>
        <v>New Mexico</v>
      </c>
      <c r="J70">
        <f t="shared" si="2"/>
        <v>7.535</v>
      </c>
      <c r="K70" t="str">
        <f>iferror(offset(DraftTracker!D$1,match(I70,DraftTracker!F:F,0)-1,0),"undrafted")</f>
        <v>Nick A.</v>
      </c>
    </row>
    <row r="71">
      <c r="A71" t="str">
        <f>IFERROR(__xludf.DUMMYFUNCTION("""COMPUTED_VALUE"""),"Syracuse Orange")</f>
        <v>Syracuse Orange</v>
      </c>
      <c r="B71" t="str">
        <f>IFERROR(__xludf.DUMMYFUNCTION("""COMPUTED_VALUE"""),"ACC")</f>
        <v>ACC</v>
      </c>
      <c r="C71" s="227">
        <f>IFERROR(__xludf.DUMMYFUNCTION("""COMPUTED_VALUE"""),4.796)</f>
        <v>4.796</v>
      </c>
      <c r="D71" s="1" t="s">
        <v>380</v>
      </c>
      <c r="E71" s="1" t="s">
        <v>2051</v>
      </c>
      <c r="F71">
        <f t="shared" si="1"/>
        <v>66</v>
      </c>
      <c r="H71" t="s">
        <v>514</v>
      </c>
      <c r="I71" t="str">
        <f>offset(Translation!$A$5,0,match($H71,Translation!$A$6:$FK$6,0)-1)</f>
        <v>New Mexico State</v>
      </c>
      <c r="J71">
        <f t="shared" si="2"/>
        <v>4.372</v>
      </c>
      <c r="K71" t="str">
        <f>iferror(offset(DraftTracker!D$1,match(I71,DraftTracker!F:F,0)-1,0),"undrafted")</f>
        <v>Nick G.</v>
      </c>
    </row>
    <row r="72">
      <c r="A72" t="str">
        <f>IFERROR(__xludf.DUMMYFUNCTION("""COMPUTED_VALUE"""),"Purdue Boilermakers")</f>
        <v>Purdue Boilermakers</v>
      </c>
      <c r="B72" t="str">
        <f>IFERROR(__xludf.DUMMYFUNCTION("""COMPUTED_VALUE"""),"Big Ten")</f>
        <v>Big Ten</v>
      </c>
      <c r="C72" s="227">
        <f>IFERROR(__xludf.DUMMYFUNCTION("""COMPUTED_VALUE"""),4.2989999999999995)</f>
        <v>4.299</v>
      </c>
      <c r="D72" s="1" t="s">
        <v>376</v>
      </c>
      <c r="E72" s="1" t="s">
        <v>2049</v>
      </c>
      <c r="F72">
        <f t="shared" si="1"/>
        <v>113</v>
      </c>
      <c r="H72" t="s">
        <v>397</v>
      </c>
      <c r="I72" t="str">
        <f>offset(Translation!$A$5,0,match($H72,Translation!$A$6:$FK$6,0)-1)</f>
        <v>North Carolina</v>
      </c>
      <c r="J72">
        <f t="shared" si="2"/>
        <v>5.785</v>
      </c>
      <c r="K72" t="str">
        <f>iferror(offset(DraftTracker!D$1,match(I72,DraftTracker!F:F,0)-1,0),"undrafted")</f>
        <v>Nick G.</v>
      </c>
    </row>
    <row r="73">
      <c r="A73" t="str">
        <f>IFERROR(__xludf.DUMMYFUNCTION("""COMPUTED_VALUE"""),"Iowa State Cyclones")</f>
        <v>Iowa State Cyclones</v>
      </c>
      <c r="B73" t="str">
        <f>IFERROR(__xludf.DUMMYFUNCTION("""COMPUTED_VALUE"""),"Big 12")</f>
        <v>Big 12</v>
      </c>
      <c r="C73" s="227">
        <f>IFERROR(__xludf.DUMMYFUNCTION("""COMPUTED_VALUE"""),5.095)</f>
        <v>5.095</v>
      </c>
      <c r="D73" s="1" t="s">
        <v>401</v>
      </c>
      <c r="E73" s="1" t="s">
        <v>317</v>
      </c>
      <c r="F73">
        <f t="shared" si="1"/>
        <v>124</v>
      </c>
      <c r="H73" t="s">
        <v>435</v>
      </c>
      <c r="I73" t="str">
        <f>offset(Translation!$A$5,0,match($H73,Translation!$A$6:$FK$6,0)-1)</f>
        <v>North Texas</v>
      </c>
      <c r="J73">
        <f t="shared" si="2"/>
        <v>6.155</v>
      </c>
      <c r="K73" t="str">
        <f>iferror(offset(DraftTracker!D$1,match(I73,DraftTracker!F:F,0)-1,0),"undrafted")</f>
        <v>Brad</v>
      </c>
    </row>
    <row r="74">
      <c r="A74" t="str">
        <f>IFERROR(__xludf.DUMMYFUNCTION("""COMPUTED_VALUE"""),"South Florida Bulls")</f>
        <v>South Florida Bulls</v>
      </c>
      <c r="B74" t="str">
        <f>IFERROR(__xludf.DUMMYFUNCTION("""COMPUTED_VALUE"""),"American")</f>
        <v>American</v>
      </c>
      <c r="C74" s="227">
        <f>IFERROR(__xludf.DUMMYFUNCTION("""COMPUTED_VALUE"""),8.280000000000001)</f>
        <v>8.28</v>
      </c>
      <c r="D74" s="1" t="s">
        <v>417</v>
      </c>
      <c r="E74" s="1" t="s">
        <v>407</v>
      </c>
      <c r="F74">
        <f t="shared" si="1"/>
        <v>56</v>
      </c>
      <c r="H74" t="s">
        <v>453</v>
      </c>
      <c r="I74" t="str">
        <f>offset(Translation!$A$5,0,match($H74,Translation!$A$6:$FK$6,0)-1)</f>
        <v>Northern Illinois</v>
      </c>
      <c r="J74">
        <f t="shared" si="2"/>
        <v>4.284</v>
      </c>
      <c r="K74" t="str">
        <f>iferror(offset(DraftTracker!D$1,match(I74,DraftTracker!F:F,0)-1,0),"undrafted")</f>
        <v>Jeannine</v>
      </c>
    </row>
    <row r="75">
      <c r="A75" t="str">
        <f>IFERROR(__xludf.DUMMYFUNCTION("""COMPUTED_VALUE"""),"Memphis Tigers")</f>
        <v>Memphis Tigers</v>
      </c>
      <c r="B75" t="str">
        <f>IFERROR(__xludf.DUMMYFUNCTION("""COMPUTED_VALUE"""),"American")</f>
        <v>American</v>
      </c>
      <c r="C75" s="227">
        <f>IFERROR(__xludf.DUMMYFUNCTION("""COMPUTED_VALUE"""),6.907)</f>
        <v>6.907</v>
      </c>
      <c r="D75" s="1" t="s">
        <v>469</v>
      </c>
      <c r="E75" s="1" t="s">
        <v>2057</v>
      </c>
      <c r="F75">
        <f t="shared" si="1"/>
        <v>118</v>
      </c>
      <c r="H75" t="s">
        <v>423</v>
      </c>
      <c r="I75" t="str">
        <f>offset(Translation!$A$5,0,match($H75,Translation!$A$6:$FK$6,0)-1)</f>
        <v>Northwestern</v>
      </c>
      <c r="J75">
        <f t="shared" si="2"/>
        <v>4.899</v>
      </c>
      <c r="K75" t="str">
        <f>iferror(offset(DraftTracker!D$1,match(I75,DraftTracker!F:F,0)-1,0),"undrafted")</f>
        <v>Undrafted</v>
      </c>
    </row>
    <row r="76">
      <c r="A76" t="str">
        <f>IFERROR(__xludf.DUMMYFUNCTION("""COMPUTED_VALUE"""),"James Madison Dukes")</f>
        <v>James Madison Dukes</v>
      </c>
      <c r="B76" t="str">
        <f>IFERROR(__xludf.DUMMYFUNCTION("""COMPUTED_VALUE"""),"Sun Belt")</f>
        <v>Sun Belt</v>
      </c>
      <c r="C76" s="227">
        <f>IFERROR(__xludf.DUMMYFUNCTION("""COMPUTED_VALUE"""),8.001)</f>
        <v>8.001</v>
      </c>
      <c r="D76" s="1" t="s">
        <v>465</v>
      </c>
      <c r="E76" s="1" t="s">
        <v>2057</v>
      </c>
      <c r="F76">
        <f t="shared" si="1"/>
        <v>70</v>
      </c>
      <c r="H76" t="s">
        <v>515</v>
      </c>
      <c r="I76" t="str">
        <f>offset(Translation!$A$5,0,match($H76,Translation!$A$6:$FK$6,0)-1)</f>
        <v>Notre Dame</v>
      </c>
      <c r="J76">
        <f t="shared" si="2"/>
        <v>10.7</v>
      </c>
      <c r="K76" t="str">
        <f>iferror(offset(DraftTracker!D$1,match(I76,DraftTracker!F:F,0)-1,0),"undrafted")</f>
        <v>Josh</v>
      </c>
    </row>
    <row r="77">
      <c r="A77" t="str">
        <f>IFERROR(__xludf.DUMMYFUNCTION("""COMPUTED_VALUE"""),"Hawai'i Rainbow Warriors")</f>
        <v>Hawai'i Rainbow Warriors</v>
      </c>
      <c r="B77" t="str">
        <f>IFERROR(__xludf.DUMMYFUNCTION("""COMPUTED_VALUE"""),"Mountain West")</f>
        <v>Mountain West</v>
      </c>
      <c r="C77" s="227">
        <f>IFERROR(__xludf.DUMMYFUNCTION("""COMPUTED_VALUE"""),7.680000000000001)</f>
        <v>7.68</v>
      </c>
      <c r="D77" s="1" t="s">
        <v>508</v>
      </c>
      <c r="E77" s="1" t="s">
        <v>441</v>
      </c>
      <c r="F77">
        <f t="shared" si="1"/>
        <v>104</v>
      </c>
      <c r="H77" t="s">
        <v>454</v>
      </c>
      <c r="I77" t="str">
        <f>offset(Translation!$A$5,0,match($H77,Translation!$A$6:$FK$6,0)-1)</f>
        <v>Ohio</v>
      </c>
      <c r="J77">
        <f t="shared" si="2"/>
        <v>6.986</v>
      </c>
      <c r="K77" t="str">
        <f>iferror(offset(DraftTracker!D$1,match(I77,DraftTracker!F:F,0)-1,0),"undrafted")</f>
        <v>Josh</v>
      </c>
    </row>
    <row r="78">
      <c r="A78" t="str">
        <f>IFERROR(__xludf.DUMMYFUNCTION("""COMPUTED_VALUE"""),"Fresno State Bulldogs")</f>
        <v>Fresno State Bulldogs</v>
      </c>
      <c r="B78" t="str">
        <f>IFERROR(__xludf.DUMMYFUNCTION("""COMPUTED_VALUE"""),"Pac-12")</f>
        <v>Pac-12</v>
      </c>
      <c r="C78" s="227">
        <f>IFERROR(__xludf.DUMMYFUNCTION("""COMPUTED_VALUE"""),6.086)</f>
        <v>6.086</v>
      </c>
      <c r="D78" s="1" t="s">
        <v>479</v>
      </c>
      <c r="E78" s="1" t="s">
        <v>407</v>
      </c>
      <c r="F78">
        <f t="shared" si="1"/>
        <v>112</v>
      </c>
      <c r="H78" t="s">
        <v>424</v>
      </c>
      <c r="I78" t="str">
        <f>offset(Translation!$A$5,0,match($H78,Translation!$A$6:$FK$6,0)-1)</f>
        <v>Ohio State</v>
      </c>
      <c r="J78">
        <f t="shared" si="2"/>
        <v>9.812</v>
      </c>
      <c r="K78" t="str">
        <f>iferror(offset(DraftTracker!D$1,match(I78,DraftTracker!F:F,0)-1,0),"undrafted")</f>
        <v>Nick A.</v>
      </c>
    </row>
    <row r="79">
      <c r="A79" t="str">
        <f>IFERROR(__xludf.DUMMYFUNCTION("""COMPUTED_VALUE"""),"Boston College Eagles")</f>
        <v>Boston College Eagles</v>
      </c>
      <c r="B79" t="str">
        <f>IFERROR(__xludf.DUMMYFUNCTION("""COMPUTED_VALUE"""),"ACC")</f>
        <v>ACC</v>
      </c>
      <c r="C79" s="227">
        <f>IFERROR(__xludf.DUMMYFUNCTION("""COMPUTED_VALUE"""),3.999)</f>
        <v>3.999</v>
      </c>
      <c r="D79" s="1" t="s">
        <v>475</v>
      </c>
      <c r="E79" s="1" t="s">
        <v>471</v>
      </c>
      <c r="F79">
        <f t="shared" si="1"/>
        <v>25</v>
      </c>
      <c r="H79" t="s">
        <v>408</v>
      </c>
      <c r="I79" t="str">
        <f>offset(Translation!$A$5,0,match($H79,Translation!$A$6:$FK$6,0)-1)</f>
        <v>Oklahoma</v>
      </c>
      <c r="J79">
        <f t="shared" si="2"/>
        <v>7.446</v>
      </c>
      <c r="K79" t="str">
        <f>iferror(offset(DraftTracker!D$1,match(I79,DraftTracker!F:F,0)-1,0),"undrafted")</f>
        <v>Gary</v>
      </c>
    </row>
    <row r="80">
      <c r="A80" t="str">
        <f>IFERROR(__xludf.DUMMYFUNCTION("""COMPUTED_VALUE"""),"Toledo Rockets")</f>
        <v>Toledo Rockets</v>
      </c>
      <c r="B80" t="str">
        <f>IFERROR(__xludf.DUMMYFUNCTION("""COMPUTED_VALUE"""),"MAC")</f>
        <v>MAC</v>
      </c>
      <c r="C80" s="227">
        <f>IFERROR(__xludf.DUMMYFUNCTION("""COMPUTED_VALUE"""),8.237)</f>
        <v>8.237</v>
      </c>
      <c r="D80" s="1" t="s">
        <v>454</v>
      </c>
      <c r="E80" s="1" t="s">
        <v>530</v>
      </c>
      <c r="F80">
        <f t="shared" si="1"/>
        <v>77</v>
      </c>
      <c r="H80" t="s">
        <v>409</v>
      </c>
      <c r="I80" t="str">
        <f>offset(Translation!$A$5,0,match($H80,Translation!$A$6:$FK$6,0)-1)</f>
        <v>Oklahoma State</v>
      </c>
      <c r="J80">
        <f t="shared" si="2"/>
        <v>5.981</v>
      </c>
      <c r="K80" t="str">
        <f>iferror(offset(DraftTracker!D$1,match(I80,DraftTracker!F:F,0)-1,0),"undrafted")</f>
        <v>Josh</v>
      </c>
    </row>
    <row r="81">
      <c r="A81" t="str">
        <f>IFERROR(__xludf.DUMMYFUNCTION("""COMPUTED_VALUE"""),"Stanford Cardinal")</f>
        <v>Stanford Cardinal</v>
      </c>
      <c r="B81" t="str">
        <f>IFERROR(__xludf.DUMMYFUNCTION("""COMPUTED_VALUE"""),"ACC")</f>
        <v>ACC</v>
      </c>
      <c r="C81" s="227">
        <f>IFERROR(__xludf.DUMMYFUNCTION("""COMPUTED_VALUE"""),3.899)</f>
        <v>3.899</v>
      </c>
      <c r="D81" s="1" t="s">
        <v>474</v>
      </c>
      <c r="E81" s="1" t="s">
        <v>317</v>
      </c>
      <c r="F81">
        <f t="shared" si="1"/>
        <v>19</v>
      </c>
      <c r="H81" t="s">
        <v>436</v>
      </c>
      <c r="I81" t="str">
        <f>offset(Translation!$A$5,0,match($H81,Translation!$A$6:$FK$6,0)-1)</f>
        <v>Old Dominion</v>
      </c>
      <c r="J81">
        <f t="shared" si="2"/>
        <v>7.16</v>
      </c>
      <c r="K81" t="str">
        <f>iferror(offset(DraftTracker!D$1,match(I81,DraftTracker!F:F,0)-1,0),"undrafted")</f>
        <v>Vu</v>
      </c>
    </row>
    <row r="82">
      <c r="A82" t="str">
        <f>IFERROR(__xludf.DUMMYFUNCTION("""COMPUTED_VALUE"""),"New Mexico Lobos")</f>
        <v>New Mexico Lobos</v>
      </c>
      <c r="B82" t="str">
        <f>IFERROR(__xludf.DUMMYFUNCTION("""COMPUTED_VALUE"""),"Mountain West")</f>
        <v>Mountain West</v>
      </c>
      <c r="C82" s="227">
        <f>IFERROR(__xludf.DUMMYFUNCTION("""COMPUTED_VALUE"""),7.535)</f>
        <v>7.535</v>
      </c>
      <c r="D82" s="1" t="s">
        <v>478</v>
      </c>
      <c r="E82" s="1" t="s">
        <v>317</v>
      </c>
      <c r="F82">
        <f t="shared" si="1"/>
        <v>97</v>
      </c>
      <c r="H82" t="s">
        <v>495</v>
      </c>
      <c r="I82" t="str">
        <f>offset(Translation!$A$5,0,match($H82,Translation!$A$6:$FK$6,0)-1)</f>
        <v>Ole Miss</v>
      </c>
      <c r="J82">
        <f t="shared" si="2"/>
        <v>7.263</v>
      </c>
      <c r="K82" t="str">
        <f>iferror(offset(DraftTracker!D$1,match(I82,DraftTracker!F:F,0)-1,0),"undrafted")</f>
        <v>Masa</v>
      </c>
    </row>
    <row r="83">
      <c r="A83" t="str">
        <f>IFERROR(__xludf.DUMMYFUNCTION("""COMPUTED_VALUE"""),"Western Michigan Broncos")</f>
        <v>Western Michigan Broncos</v>
      </c>
      <c r="B83" t="str">
        <f>IFERROR(__xludf.DUMMYFUNCTION("""COMPUTED_VALUE"""),"MAC")</f>
        <v>MAC</v>
      </c>
      <c r="C83" s="227">
        <f>IFERROR(__xludf.DUMMYFUNCTION("""COMPUTED_VALUE"""),7.484)</f>
        <v>7.484</v>
      </c>
      <c r="D83" s="1" t="s">
        <v>413</v>
      </c>
      <c r="E83" s="1" t="s">
        <v>471</v>
      </c>
      <c r="F83">
        <f t="shared" si="1"/>
        <v>128</v>
      </c>
      <c r="H83" t="s">
        <v>476</v>
      </c>
      <c r="I83" t="str">
        <f>offset(Translation!$A$5,0,match($H83,Translation!$A$6:$FK$6,0)-1)</f>
        <v>Oregon</v>
      </c>
      <c r="J83">
        <f t="shared" si="2"/>
        <v>9.958</v>
      </c>
      <c r="K83" t="str">
        <f>iferror(offset(DraftTracker!D$1,match(I83,DraftTracker!F:F,0)-1,0),"undrafted")</f>
        <v>Jeannine</v>
      </c>
    </row>
    <row r="84">
      <c r="A84" t="str">
        <f>IFERROR(__xludf.DUMMYFUNCTION("""COMPUTED_VALUE"""),"Washington State Cougars")</f>
        <v>Washington State Cougars</v>
      </c>
      <c r="B84" t="str">
        <f>IFERROR(__xludf.DUMMYFUNCTION("""COMPUTED_VALUE"""),"Pac-12")</f>
        <v>Pac-12</v>
      </c>
      <c r="C84" s="227">
        <f>IFERROR(__xludf.DUMMYFUNCTION("""COMPUTED_VALUE"""),5.0169999999999995)</f>
        <v>5.017</v>
      </c>
      <c r="D84" s="1" t="s">
        <v>452</v>
      </c>
      <c r="E84" s="1" t="s">
        <v>530</v>
      </c>
      <c r="F84">
        <f t="shared" si="1"/>
        <v>58</v>
      </c>
      <c r="H84" t="s">
        <v>477</v>
      </c>
      <c r="I84" t="str">
        <f>offset(Translation!$A$5,0,match($H84,Translation!$A$6:$FK$6,0)-1)</f>
        <v>Oregon State</v>
      </c>
      <c r="J84">
        <f t="shared" si="2"/>
        <v>4.358</v>
      </c>
      <c r="K84" t="str">
        <f>iferror(offset(DraftTracker!D$1,match(I84,DraftTracker!F:F,0)-1,0),"undrafted")</f>
        <v>Nick A.</v>
      </c>
    </row>
    <row r="85">
      <c r="A85" t="str">
        <f>IFERROR(__xludf.DUMMYFUNCTION("""COMPUTED_VALUE"""),"Texas State Bobcats")</f>
        <v>Texas State Bobcats</v>
      </c>
      <c r="B85" t="str">
        <f>IFERROR(__xludf.DUMMYFUNCTION("""COMPUTED_VALUE"""),"Pac-12")</f>
        <v>Pac-12</v>
      </c>
      <c r="C85" s="227">
        <f>IFERROR(__xludf.DUMMYFUNCTION("""COMPUTED_VALUE"""),5.513999999999999)</f>
        <v>5.514</v>
      </c>
      <c r="D85" s="1" t="s">
        <v>511</v>
      </c>
      <c r="E85" s="1" t="s">
        <v>2051</v>
      </c>
      <c r="F85">
        <f t="shared" si="1"/>
        <v>10</v>
      </c>
      <c r="H85" t="s">
        <v>425</v>
      </c>
      <c r="I85" t="str">
        <f>offset(Translation!$A$5,0,match($H85,Translation!$A$6:$FK$6,0)-1)</f>
        <v>Penn State</v>
      </c>
      <c r="J85">
        <f t="shared" si="2"/>
        <v>8.955</v>
      </c>
      <c r="K85" t="str">
        <f>iferror(offset(DraftTracker!D$1,match(I85,DraftTracker!F:F,0)-1,0),"undrafted")</f>
        <v>Nick G.</v>
      </c>
    </row>
    <row r="86">
      <c r="A86" t="str">
        <f>IFERROR(__xludf.DUMMYFUNCTION("""COMPUTED_VALUE"""),"Old Dominion Monarchs")</f>
        <v>Old Dominion Monarchs</v>
      </c>
      <c r="B86" t="str">
        <f>IFERROR(__xludf.DUMMYFUNCTION("""COMPUTED_VALUE"""),"Sun Belt")</f>
        <v>Sun Belt</v>
      </c>
      <c r="C86" s="227">
        <f>IFERROR(__xludf.DUMMYFUNCTION("""COMPUTED_VALUE"""),7.16)</f>
        <v>7.16</v>
      </c>
      <c r="D86" s="1" t="s">
        <v>456</v>
      </c>
      <c r="E86" s="1" t="s">
        <v>530</v>
      </c>
      <c r="F86">
        <f t="shared" si="1"/>
        <v>130</v>
      </c>
      <c r="H86" t="s">
        <v>398</v>
      </c>
      <c r="I86" t="str">
        <f>offset(Translation!$A$5,0,match($H86,Translation!$A$6:$FK$6,0)-1)</f>
        <v>Pittsburgh</v>
      </c>
      <c r="J86">
        <f t="shared" si="2"/>
        <v>7.077</v>
      </c>
      <c r="K86" t="str">
        <f>iferror(offset(DraftTracker!D$1,match(I86,DraftTracker!F:F,0)-1,0),"undrafted")</f>
        <v>Mike</v>
      </c>
    </row>
    <row r="87">
      <c r="A87" t="str">
        <f>IFERROR(__xludf.DUMMYFUNCTION("""COMPUTED_VALUE"""),"Western Kentucky Hilltoppers")</f>
        <v>Western Kentucky Hilltoppers</v>
      </c>
      <c r="B87" t="str">
        <f>IFERROR(__xludf.DUMMYFUNCTION("""COMPUTED_VALUE"""),"CUSA")</f>
        <v>CUSA</v>
      </c>
      <c r="C87" s="227">
        <f>IFERROR(__xludf.DUMMYFUNCTION("""COMPUTED_VALUE"""),6.851999999999999)</f>
        <v>6.852</v>
      </c>
      <c r="D87" s="1" t="s">
        <v>426</v>
      </c>
      <c r="E87" s="1" t="s">
        <v>407</v>
      </c>
      <c r="F87">
        <f t="shared" si="1"/>
        <v>87</v>
      </c>
      <c r="H87" t="s">
        <v>426</v>
      </c>
      <c r="I87" t="str">
        <f>offset(Translation!$A$5,0,match($H87,Translation!$A$6:$FK$6,0)-1)</f>
        <v>Purdue</v>
      </c>
      <c r="J87">
        <f t="shared" si="2"/>
        <v>4.299</v>
      </c>
      <c r="K87" t="str">
        <f>iferror(offset(DraftTracker!D$1,match(I87,DraftTracker!F:F,0)-1,0),"undrafted")</f>
        <v>Undrafted</v>
      </c>
    </row>
    <row r="88">
      <c r="A88" t="str">
        <f>IFERROR(__xludf.DUMMYFUNCTION("""COMPUTED_VALUE"""),"Southern Miss Golden Eagles")</f>
        <v>Southern Miss Golden Eagles</v>
      </c>
      <c r="B88" t="str">
        <f>IFERROR(__xludf.DUMMYFUNCTION("""COMPUTED_VALUE"""),"Sun Belt")</f>
        <v>Sun Belt</v>
      </c>
      <c r="C88" s="227">
        <f>IFERROR(__xludf.DUMMYFUNCTION("""COMPUTED_VALUE"""),6.774)</f>
        <v>6.774</v>
      </c>
      <c r="D88" s="1" t="s">
        <v>562</v>
      </c>
      <c r="E88" s="1" t="s">
        <v>2057</v>
      </c>
      <c r="F88">
        <f t="shared" si="1"/>
        <v>39</v>
      </c>
      <c r="H88" t="s">
        <v>437</v>
      </c>
      <c r="I88" t="str">
        <f>offset(Translation!$A$5,0,match($H88,Translation!$A$6:$FK$6,0)-1)</f>
        <v>Rice</v>
      </c>
      <c r="J88">
        <f t="shared" si="2"/>
        <v>3.995</v>
      </c>
      <c r="K88" t="str">
        <f>iferror(offset(DraftTracker!D$1,match(I88,DraftTracker!F:F,0)-1,0),"undrafted")</f>
        <v>Nick G.</v>
      </c>
    </row>
    <row r="89">
      <c r="A89" t="str">
        <f>IFERROR(__xludf.DUMMYFUNCTION("""COMPUTED_VALUE"""),"UTSA Roadrunners")</f>
        <v>UTSA Roadrunners</v>
      </c>
      <c r="B89" t="str">
        <f>IFERROR(__xludf.DUMMYFUNCTION("""COMPUTED_VALUE"""),"American")</f>
        <v>American</v>
      </c>
      <c r="C89" s="227">
        <f>IFERROR(__xludf.DUMMYFUNCTION("""COMPUTED_VALUE"""),6.341)</f>
        <v>6.341</v>
      </c>
      <c r="D89" s="1" t="s">
        <v>387</v>
      </c>
      <c r="E89" s="1" t="s">
        <v>317</v>
      </c>
      <c r="F89">
        <f t="shared" si="1"/>
        <v>15</v>
      </c>
      <c r="H89" t="s">
        <v>428</v>
      </c>
      <c r="I89" t="str">
        <f>offset(Translation!$A$5,0,match($H89,Translation!$A$6:$FK$6,0)-1)</f>
        <v>Rutgers</v>
      </c>
      <c r="J89">
        <f t="shared" si="2"/>
        <v>5.099</v>
      </c>
      <c r="K89" t="str">
        <f>iferror(offset(DraftTracker!D$1,match(I89,DraftTracker!F:F,0)-1,0),"undrafted")</f>
        <v>Dan</v>
      </c>
    </row>
    <row r="90">
      <c r="A90" t="str">
        <f>IFERROR(__xludf.DUMMYFUNCTION("""COMPUTED_VALUE"""),"Army Black Knights")</f>
        <v>Army Black Knights</v>
      </c>
      <c r="B90" t="str">
        <f>IFERROR(__xludf.DUMMYFUNCTION("""COMPUTED_VALUE"""),"American")</f>
        <v>American</v>
      </c>
      <c r="C90" s="227">
        <f>IFERROR(__xludf.DUMMYFUNCTION("""COMPUTED_VALUE"""),6.3500000000000005)</f>
        <v>6.35</v>
      </c>
      <c r="D90" s="1" t="s">
        <v>462</v>
      </c>
      <c r="E90" s="1" t="s">
        <v>2057</v>
      </c>
      <c r="F90">
        <f t="shared" si="1"/>
        <v>34</v>
      </c>
      <c r="H90" t="s">
        <v>466</v>
      </c>
      <c r="I90" t="str">
        <f>offset(Translation!$A$5,0,match($H90,Translation!$A$6:$FK$6,0)-1)</f>
        <v>San Diego State</v>
      </c>
      <c r="J90">
        <f t="shared" si="2"/>
        <v>7.249</v>
      </c>
      <c r="K90" t="str">
        <f>iferror(offset(DraftTracker!D$1,match(I90,DraftTracker!F:F,0)-1,0),"undrafted")</f>
        <v>Masa</v>
      </c>
    </row>
    <row r="91">
      <c r="A91" t="str">
        <f>IFERROR(__xludf.DUMMYFUNCTION("""COMPUTED_VALUE"""),"North Texas Mean Green")</f>
        <v>North Texas Mean Green</v>
      </c>
      <c r="B91" t="str">
        <f>IFERROR(__xludf.DUMMYFUNCTION("""COMPUTED_VALUE"""),"American")</f>
        <v>American</v>
      </c>
      <c r="C91" s="227">
        <f>IFERROR(__xludf.DUMMYFUNCTION("""COMPUTED_VALUE"""),6.155)</f>
        <v>6.155</v>
      </c>
      <c r="D91" s="1" t="s">
        <v>432</v>
      </c>
      <c r="E91" s="1" t="s">
        <v>535</v>
      </c>
      <c r="F91">
        <f t="shared" si="1"/>
        <v>52</v>
      </c>
      <c r="H91" t="s">
        <v>563</v>
      </c>
      <c r="I91" t="str">
        <f>offset(Translation!$A$5,0,match($H91,Translation!$A$6:$FK$6,0)-1)</f>
        <v>San José State</v>
      </c>
      <c r="J91">
        <f t="shared" si="2"/>
        <v>4.979</v>
      </c>
      <c r="K91" t="str">
        <f>iferror(offset(DraftTracker!D$1,match(I91,DraftTracker!F:F,0)-1,0),"undrafted")</f>
        <v>Mike</v>
      </c>
    </row>
    <row r="92">
      <c r="A92" t="str">
        <f>IFERROR(__xludf.DUMMYFUNCTION("""COMPUTED_VALUE"""),"Delaware Blue Hens")</f>
        <v>Delaware Blue Hens</v>
      </c>
      <c r="B92" t="str">
        <f>IFERROR(__xludf.DUMMYFUNCTION("""COMPUTED_VALUE"""),"CUSA")</f>
        <v>CUSA</v>
      </c>
      <c r="C92" s="227">
        <f>IFERROR(__xludf.DUMMYFUNCTION("""COMPUTED_VALUE"""),6.732)</f>
        <v>6.732</v>
      </c>
      <c r="D92" s="1" t="s">
        <v>433</v>
      </c>
      <c r="E92" s="1" t="s">
        <v>441</v>
      </c>
      <c r="F92">
        <f t="shared" si="1"/>
        <v>55</v>
      </c>
      <c r="H92" t="s">
        <v>381</v>
      </c>
      <c r="I92" t="str">
        <f>offset(Translation!$A$5,0,match($H92,Translation!$A$6:$FK$6,0)-1)</f>
        <v>SMU</v>
      </c>
      <c r="J92">
        <f t="shared" si="2"/>
        <v>8.197</v>
      </c>
      <c r="K92" t="str">
        <f>iferror(offset(DraftTracker!D$1,match(I92,DraftTracker!F:F,0)-1,0),"undrafted")</f>
        <v>Nick A.</v>
      </c>
    </row>
    <row r="93">
      <c r="A93" t="str">
        <f>IFERROR(__xludf.DUMMYFUNCTION("""COMPUTED_VALUE"""),"Utah State Aggies")</f>
        <v>Utah State Aggies</v>
      </c>
      <c r="B93" t="str">
        <f>IFERROR(__xludf.DUMMYFUNCTION("""COMPUTED_VALUE"""),"Pac-12")</f>
        <v>Pac-12</v>
      </c>
      <c r="C93" s="227">
        <f>IFERROR(__xludf.DUMMYFUNCTION("""COMPUTED_VALUE"""),4.6530000000000005)</f>
        <v>4.653</v>
      </c>
      <c r="D93" s="1" t="s">
        <v>397</v>
      </c>
      <c r="E93" s="1" t="s">
        <v>317</v>
      </c>
      <c r="F93">
        <f t="shared" si="1"/>
        <v>72</v>
      </c>
      <c r="H93" t="s">
        <v>507</v>
      </c>
      <c r="I93" t="str">
        <f>offset(Translation!$A$5,0,match($H93,Translation!$A$6:$FK$6,0)-1)</f>
        <v>South Alabama</v>
      </c>
      <c r="J93">
        <f t="shared" si="2"/>
        <v>5.355</v>
      </c>
      <c r="K93" t="str">
        <f>iferror(offset(DraftTracker!D$1,match(I93,DraftTracker!F:F,0)-1,0),"undrafted")</f>
        <v>Mike</v>
      </c>
    </row>
    <row r="94">
      <c r="A94" t="str">
        <f>IFERROR(__xludf.DUMMYFUNCTION("""COMPUTED_VALUE"""),"Air Force Falcons")</f>
        <v>Air Force Falcons</v>
      </c>
      <c r="B94" t="str">
        <f>IFERROR(__xludf.DUMMYFUNCTION("""COMPUTED_VALUE"""),"Mountain West")</f>
        <v>Mountain West</v>
      </c>
      <c r="C94" s="227">
        <f>IFERROR(__xludf.DUMMYFUNCTION("""COMPUTED_VALUE"""),7.1000000000000005)</f>
        <v>7.1</v>
      </c>
      <c r="D94" s="1" t="s">
        <v>509</v>
      </c>
      <c r="E94" s="1" t="s">
        <v>441</v>
      </c>
      <c r="F94">
        <f t="shared" si="1"/>
        <v>107</v>
      </c>
      <c r="H94" t="s">
        <v>496</v>
      </c>
      <c r="I94" t="str">
        <f>offset(Translation!$A$5,0,match($H94,Translation!$A$6:$FK$6,0)-1)</f>
        <v>South Carolina</v>
      </c>
      <c r="J94">
        <f t="shared" si="2"/>
        <v>6.387</v>
      </c>
      <c r="K94" t="str">
        <f>iferror(offset(DraftTracker!D$1,match(I94,DraftTracker!F:F,0)-1,0),"undrafted")</f>
        <v>Nico</v>
      </c>
    </row>
    <row r="95">
      <c r="A95" t="str">
        <f>IFERROR(__xludf.DUMMYFUNCTION("""COMPUTED_VALUE"""),"Miami (OH) RedHawks")</f>
        <v>Miami (OH) RedHawks</v>
      </c>
      <c r="B95" t="str">
        <f>IFERROR(__xludf.DUMMYFUNCTION("""COMPUTED_VALUE"""),"MAC")</f>
        <v>MAC</v>
      </c>
      <c r="C95" s="227">
        <f>IFERROR(__xludf.DUMMYFUNCTION("""COMPUTED_VALUE"""),7.062)</f>
        <v>7.062</v>
      </c>
      <c r="D95" s="1" t="s">
        <v>520</v>
      </c>
      <c r="E95" s="1" t="s">
        <v>535</v>
      </c>
      <c r="F95" t="str">
        <f t="shared" si="1"/>
        <v>#N/A</v>
      </c>
      <c r="H95" t="s">
        <v>382</v>
      </c>
      <c r="I95" t="str">
        <f>offset(Translation!$A$5,0,match($H95,Translation!$A$6:$FK$6,0)-1)</f>
        <v>South Florida</v>
      </c>
      <c r="J95">
        <f t="shared" si="2"/>
        <v>8.28</v>
      </c>
      <c r="K95" t="str">
        <f>iferror(offset(DraftTracker!D$1,match(I95,DraftTracker!F:F,0)-1,0),"undrafted")</f>
        <v>Josh</v>
      </c>
    </row>
    <row r="96">
      <c r="A96" t="str">
        <f>IFERROR(__xludf.DUMMYFUNCTION("""COMPUTED_VALUE"""),"Troy Trojans")</f>
        <v>Troy Trojans</v>
      </c>
      <c r="B96" t="str">
        <f>IFERROR(__xludf.DUMMYFUNCTION("""COMPUTED_VALUE"""),"Sun Belt")</f>
        <v>Sun Belt</v>
      </c>
      <c r="C96" s="227">
        <f>IFERROR(__xludf.DUMMYFUNCTION("""COMPUTED_VALUE"""),6.518)</f>
        <v>6.518</v>
      </c>
      <c r="D96" s="1" t="s">
        <v>443</v>
      </c>
      <c r="E96" s="1" t="s">
        <v>535</v>
      </c>
      <c r="F96">
        <f t="shared" si="1"/>
        <v>129</v>
      </c>
      <c r="H96" t="s">
        <v>559</v>
      </c>
      <c r="I96" t="str">
        <f>offset(Translation!$A$5,0,match($H96,Translation!$A$6:$FK$6,0)-1)</f>
        <v>Southern Mississippi</v>
      </c>
      <c r="J96">
        <f t="shared" si="2"/>
        <v>6.774</v>
      </c>
      <c r="K96" t="str">
        <f>iferror(offset(DraftTracker!D$1,match(I96,DraftTracker!F:F,0)-1,0),"undrafted")</f>
        <v>Undrafted</v>
      </c>
    </row>
    <row r="97">
      <c r="A97" t="str">
        <f>IFERROR(__xludf.DUMMYFUNCTION("""COMPUTED_VALUE"""),"Liberty Flames")</f>
        <v>Liberty Flames</v>
      </c>
      <c r="B97" t="str">
        <f>IFERROR(__xludf.DUMMYFUNCTION("""COMPUTED_VALUE"""),"CUSA")</f>
        <v>CUSA</v>
      </c>
      <c r="C97" s="227">
        <f>IFERROR(__xludf.DUMMYFUNCTION("""COMPUTED_VALUE"""),7.252000000000001)</f>
        <v>7.252</v>
      </c>
      <c r="D97" s="1" t="s">
        <v>559</v>
      </c>
      <c r="E97" s="1" t="s">
        <v>441</v>
      </c>
      <c r="F97">
        <f t="shared" si="1"/>
        <v>96</v>
      </c>
      <c r="H97" t="s">
        <v>478</v>
      </c>
      <c r="I97" t="str">
        <f>offset(Translation!$A$5,0,match($H97,Translation!$A$6:$FK$6,0)-1)</f>
        <v>Stanford</v>
      </c>
      <c r="J97">
        <f t="shared" si="2"/>
        <v>3.899</v>
      </c>
      <c r="K97" t="str">
        <f>iferror(offset(DraftTracker!D$1,match(I97,DraftTracker!F:F,0)-1,0),"undrafted")</f>
        <v>Undrafted</v>
      </c>
    </row>
    <row r="98">
      <c r="A98" t="str">
        <f>IFERROR(__xludf.DUMMYFUNCTION("""COMPUTED_VALUE"""),"Ohio Bobcats")</f>
        <v>Ohio Bobcats</v>
      </c>
      <c r="B98" t="str">
        <f>IFERROR(__xludf.DUMMYFUNCTION("""COMPUTED_VALUE"""),"MAC")</f>
        <v>MAC</v>
      </c>
      <c r="C98" s="227">
        <f>IFERROR(__xludf.DUMMYFUNCTION("""COMPUTED_VALUE"""),6.986)</f>
        <v>6.986</v>
      </c>
      <c r="D98" s="1" t="s">
        <v>458</v>
      </c>
      <c r="E98" s="1" t="s">
        <v>2057</v>
      </c>
      <c r="F98">
        <f t="shared" si="1"/>
        <v>2</v>
      </c>
      <c r="H98" t="s">
        <v>399</v>
      </c>
      <c r="I98" t="str">
        <f>offset(Translation!$A$5,0,match($H98,Translation!$A$6:$FK$6,0)-1)</f>
        <v>Syracuse</v>
      </c>
      <c r="J98">
        <f t="shared" si="2"/>
        <v>4.796</v>
      </c>
      <c r="K98" t="str">
        <f>iferror(offset(DraftTracker!D$1,match(I98,DraftTracker!F:F,0)-1,0),"undrafted")</f>
        <v>Undrafted</v>
      </c>
    </row>
    <row r="99">
      <c r="A99" t="str">
        <f>IFERROR(__xludf.DUMMYFUNCTION("""COMPUTED_VALUE"""),"Oregon State Beavers")</f>
        <v>Oregon State Beavers</v>
      </c>
      <c r="B99" t="str">
        <f>IFERROR(__xludf.DUMMYFUNCTION("""COMPUTED_VALUE"""),"Pac-12")</f>
        <v>Pac-12</v>
      </c>
      <c r="C99" s="227">
        <f>IFERROR(__xludf.DUMMYFUNCTION("""COMPUTED_VALUE"""),4.3580000000000005)</f>
        <v>4.358</v>
      </c>
      <c r="D99" s="1" t="s">
        <v>383</v>
      </c>
      <c r="E99" s="1" t="s">
        <v>2051</v>
      </c>
      <c r="F99">
        <f t="shared" si="1"/>
        <v>100</v>
      </c>
      <c r="H99" t="s">
        <v>410</v>
      </c>
      <c r="I99" t="str">
        <f>offset(Translation!$A$5,0,match($H99,Translation!$A$6:$FK$6,0)-1)</f>
        <v>TCU</v>
      </c>
      <c r="J99">
        <f t="shared" si="2"/>
        <v>6.76</v>
      </c>
      <c r="K99" t="str">
        <f>iferror(offset(DraftTracker!D$1,match(I99,DraftTracker!F:F,0)-1,0),"undrafted")</f>
        <v>Gary</v>
      </c>
    </row>
    <row r="100">
      <c r="A100" t="str">
        <f>IFERROR(__xludf.DUMMYFUNCTION("""COMPUTED_VALUE"""),"Louisiana Ragin' Cajuns")</f>
        <v>Louisiana Ragin' Cajuns</v>
      </c>
      <c r="B100" t="str">
        <f>IFERROR(__xludf.DUMMYFUNCTION("""COMPUTED_VALUE"""),"Sun Belt")</f>
        <v>Sun Belt</v>
      </c>
      <c r="C100" s="227">
        <f>IFERROR(__xludf.DUMMYFUNCTION("""COMPUTED_VALUE"""),6.817)</f>
        <v>6.817</v>
      </c>
      <c r="D100" s="1" t="s">
        <v>519</v>
      </c>
      <c r="E100" s="1" t="s">
        <v>535</v>
      </c>
      <c r="F100">
        <f t="shared" si="1"/>
        <v>134</v>
      </c>
      <c r="H100" t="s">
        <v>383</v>
      </c>
      <c r="I100" t="str">
        <f>offset(Translation!$A$5,0,match($H100,Translation!$A$6:$FK$6,0)-1)</f>
        <v>Temple</v>
      </c>
      <c r="J100">
        <f t="shared" si="2"/>
        <v>5.479</v>
      </c>
      <c r="K100" t="str">
        <f>iferror(offset(DraftTracker!D$1,match(I100,DraftTracker!F:F,0)-1,0),"undrafted")</f>
        <v>Undrafted</v>
      </c>
    </row>
    <row r="101">
      <c r="A101" t="str">
        <f>IFERROR(__xludf.DUMMYFUNCTION("""COMPUTED_VALUE"""),"North Dakota State Bison")</f>
        <v>North Dakota State Bison</v>
      </c>
      <c r="B101" t="str">
        <f>IFERROR(__xludf.DUMMYFUNCTION("""COMPUTED_VALUE"""),"Mountain West")</f>
        <v>Mountain West</v>
      </c>
      <c r="C101" s="227">
        <f>IFERROR(__xludf.DUMMYFUNCTION("""COMPUTED_VALUE"""),6.536)</f>
        <v>6.536</v>
      </c>
      <c r="D101" s="1" t="s">
        <v>430</v>
      </c>
      <c r="E101" s="1" t="s">
        <v>535</v>
      </c>
      <c r="F101">
        <f t="shared" si="1"/>
        <v>32</v>
      </c>
      <c r="H101" t="s">
        <v>497</v>
      </c>
      <c r="I101" t="str">
        <f>offset(Translation!$A$5,0,match($H101,Translation!$A$6:$FK$6,0)-1)</f>
        <v>Tennessee</v>
      </c>
      <c r="J101">
        <f t="shared" si="2"/>
        <v>7.269</v>
      </c>
      <c r="K101" t="str">
        <f>iferror(offset(DraftTracker!D$1,match(I101,DraftTracker!F:F,0)-1,0),"undrafted")</f>
        <v>Nick A.</v>
      </c>
    </row>
    <row r="102">
      <c r="A102" t="str">
        <f>IFERROR(__xludf.DUMMYFUNCTION("""COMPUTED_VALUE"""),"Jacksonville State Gamecocks")</f>
        <v>Jacksonville State Gamecocks</v>
      </c>
      <c r="B102" t="str">
        <f>IFERROR(__xludf.DUMMYFUNCTION("""COMPUTED_VALUE"""),"CUSA")</f>
        <v>CUSA</v>
      </c>
      <c r="C102" s="227">
        <f>IFERROR(__xludf.DUMMYFUNCTION("""COMPUTED_VALUE"""),6.875)</f>
        <v>6.875</v>
      </c>
      <c r="D102" s="1" t="s">
        <v>399</v>
      </c>
      <c r="E102" s="1" t="s">
        <v>317</v>
      </c>
      <c r="F102">
        <f t="shared" si="1"/>
        <v>98</v>
      </c>
      <c r="H102" t="s">
        <v>498</v>
      </c>
      <c r="I102" t="str">
        <f>offset(Translation!$A$5,0,match($H102,Translation!$A$6:$FK$6,0)-1)</f>
        <v>Texas A&amp;M</v>
      </c>
      <c r="J102">
        <f t="shared" si="2"/>
        <v>8.316</v>
      </c>
      <c r="K102" t="str">
        <f>iferror(offset(DraftTracker!D$1,match(I102,DraftTracker!F:F,0)-1,0),"undrafted")</f>
        <v>Mike</v>
      </c>
    </row>
    <row r="103">
      <c r="A103" t="str">
        <f>IFERROR(__xludf.DUMMYFUNCTION("""COMPUTED_VALUE"""),"Temple Owls")</f>
        <v>Temple Owls</v>
      </c>
      <c r="B103" t="str">
        <f>IFERROR(__xludf.DUMMYFUNCTION("""COMPUTED_VALUE"""),"American")</f>
        <v>American</v>
      </c>
      <c r="C103" s="227">
        <f>IFERROR(__xludf.DUMMYFUNCTION("""COMPUTED_VALUE"""),5.479)</f>
        <v>5.479</v>
      </c>
      <c r="D103" s="1" t="s">
        <v>501</v>
      </c>
      <c r="E103" s="1" t="s">
        <v>441</v>
      </c>
      <c r="F103">
        <f t="shared" si="1"/>
        <v>9</v>
      </c>
      <c r="H103" t="s">
        <v>411</v>
      </c>
      <c r="I103" t="str">
        <f>offset(Translation!$A$5,0,match($H103,Translation!$A$6:$FK$6,0)-1)</f>
        <v>Texas</v>
      </c>
      <c r="J103">
        <f t="shared" si="2"/>
        <v>9.503</v>
      </c>
      <c r="K103" t="str">
        <f>iferror(offset(DraftTracker!D$1,match(I103,DraftTracker!F:F,0)-1,0),"undrafted")</f>
        <v>Nico</v>
      </c>
    </row>
    <row r="104">
      <c r="A104" t="str">
        <f>IFERROR(__xludf.DUMMYFUNCTION("""COMPUTED_VALUE"""),"Georgia Southern Eagles")</f>
        <v>Georgia Southern Eagles</v>
      </c>
      <c r="B104" t="str">
        <f>IFERROR(__xludf.DUMMYFUNCTION("""COMPUTED_VALUE"""),"Sun Belt")</f>
        <v>Sun Belt</v>
      </c>
      <c r="C104" s="227">
        <f>IFERROR(__xludf.DUMMYFUNCTION("""COMPUTED_VALUE"""),5.640000000000001)</f>
        <v>5.64</v>
      </c>
      <c r="D104" s="1" t="s">
        <v>567</v>
      </c>
      <c r="E104" s="1" t="s">
        <v>441</v>
      </c>
      <c r="F104">
        <f t="shared" si="1"/>
        <v>51</v>
      </c>
      <c r="H104" t="s">
        <v>508</v>
      </c>
      <c r="I104" t="str">
        <f>offset(Translation!$A$5,0,match($H104,Translation!$A$6:$FK$6,0)-1)</f>
        <v>Texas State</v>
      </c>
      <c r="J104">
        <f t="shared" si="2"/>
        <v>5.514</v>
      </c>
      <c r="K104" t="str">
        <f>iferror(offset(DraftTracker!D$1,match(I104,DraftTracker!F:F,0)-1,0),"undrafted")</f>
        <v>Gary</v>
      </c>
    </row>
    <row r="105">
      <c r="A105" t="str">
        <f>IFERROR(__xludf.DUMMYFUNCTION("""COMPUTED_VALUE"""),"Marshall Thundering Herd")</f>
        <v>Marshall Thundering Herd</v>
      </c>
      <c r="B105" t="str">
        <f>IFERROR(__xludf.DUMMYFUNCTION("""COMPUTED_VALUE"""),"Sun Belt")</f>
        <v>Sun Belt</v>
      </c>
      <c r="C105" s="227">
        <f>IFERROR(__xludf.DUMMYFUNCTION("""COMPUTED_VALUE"""),6.439)</f>
        <v>6.439</v>
      </c>
      <c r="D105" s="1" t="s">
        <v>507</v>
      </c>
      <c r="E105" s="1" t="s">
        <v>441</v>
      </c>
      <c r="F105">
        <f t="shared" si="1"/>
        <v>93</v>
      </c>
      <c r="H105" t="s">
        <v>412</v>
      </c>
      <c r="I105" t="str">
        <f>offset(Translation!$A$5,0,match($H105,Translation!$A$6:$FK$6,0)-1)</f>
        <v>Texas Tech</v>
      </c>
      <c r="J105">
        <f t="shared" si="2"/>
        <v>10.341</v>
      </c>
      <c r="K105" t="str">
        <f>iferror(offset(DraftTracker!D$1,match(I105,DraftTracker!F:F,0)-1,0),"undrafted")</f>
        <v>Nick G.</v>
      </c>
    </row>
    <row r="106">
      <c r="A106" t="str">
        <f>IFERROR(__xludf.DUMMYFUNCTION("""COMPUTED_VALUE"""),"Tulsa Golden Hurricane")</f>
        <v>Tulsa Golden Hurricane</v>
      </c>
      <c r="B106" t="str">
        <f>IFERROR(__xludf.DUMMYFUNCTION("""COMPUTED_VALUE"""),"American")</f>
        <v>American</v>
      </c>
      <c r="C106" s="227">
        <f>IFERROR(__xludf.DUMMYFUNCTION("""COMPUTED_VALUE"""),5.678)</f>
        <v>5.678</v>
      </c>
      <c r="D106" s="1" t="s">
        <v>513</v>
      </c>
      <c r="E106" s="1" t="s">
        <v>535</v>
      </c>
      <c r="F106">
        <f t="shared" si="1"/>
        <v>50</v>
      </c>
      <c r="H106" t="s">
        <v>455</v>
      </c>
      <c r="I106" t="str">
        <f>offset(Translation!$A$5,0,match($H106,Translation!$A$6:$FK$6,0)-1)</f>
        <v>Toledo</v>
      </c>
      <c r="J106">
        <f t="shared" si="2"/>
        <v>8.237</v>
      </c>
      <c r="K106" t="str">
        <f>iferror(offset(DraftTracker!D$1,match(I106,DraftTracker!F:F,0)-1,0),"undrafted")</f>
        <v>Brad</v>
      </c>
    </row>
    <row r="107">
      <c r="A107" t="str">
        <f>IFERROR(__xludf.DUMMYFUNCTION("""COMPUTED_VALUE"""),"Kennesaw State Owls")</f>
        <v>Kennesaw State Owls</v>
      </c>
      <c r="B107" t="str">
        <f>IFERROR(__xludf.DUMMYFUNCTION("""COMPUTED_VALUE"""),"CUSA")</f>
        <v>CUSA</v>
      </c>
      <c r="C107" s="227">
        <f>IFERROR(__xludf.DUMMYFUNCTION("""COMPUTED_VALUE"""),6.387)</f>
        <v>6.387</v>
      </c>
      <c r="D107" s="1" t="s">
        <v>449</v>
      </c>
      <c r="E107" s="1" t="s">
        <v>530</v>
      </c>
      <c r="F107">
        <f t="shared" si="1"/>
        <v>20</v>
      </c>
      <c r="H107" t="s">
        <v>509</v>
      </c>
      <c r="I107" t="str">
        <f>offset(Translation!$A$5,0,match($H107,Translation!$A$6:$FK$6,0)-1)</f>
        <v>Troy</v>
      </c>
      <c r="J107">
        <f t="shared" si="2"/>
        <v>6.518</v>
      </c>
      <c r="K107" t="str">
        <f>iferror(offset(DraftTracker!D$1,match(I107,DraftTracker!F:F,0)-1,0),"undrafted")</f>
        <v>Josh</v>
      </c>
    </row>
    <row r="108">
      <c r="A108" t="str">
        <f>IFERROR(__xludf.DUMMYFUNCTION("""COMPUTED_VALUE"""),"Arkansas State Red Wolves")</f>
        <v>Arkansas State Red Wolves</v>
      </c>
      <c r="B108" t="str">
        <f>IFERROR(__xludf.DUMMYFUNCTION("""COMPUTED_VALUE"""),"Sun Belt")</f>
        <v>Sun Belt</v>
      </c>
      <c r="C108" s="227">
        <f>IFERROR(__xludf.DUMMYFUNCTION("""COMPUTED_VALUE"""),6.139)</f>
        <v>6.139</v>
      </c>
      <c r="D108" s="1" t="s">
        <v>502</v>
      </c>
      <c r="E108" s="1" t="s">
        <v>441</v>
      </c>
      <c r="F108">
        <f t="shared" si="1"/>
        <v>36</v>
      </c>
      <c r="H108" t="s">
        <v>384</v>
      </c>
      <c r="I108" t="str">
        <f>offset(Translation!$A$5,0,match($H108,Translation!$A$6:$FK$6,0)-1)</f>
        <v>Tulane</v>
      </c>
      <c r="J108">
        <f t="shared" si="2"/>
        <v>7.982</v>
      </c>
      <c r="K108" t="str">
        <f>iferror(offset(DraftTracker!D$1,match(I108,DraftTracker!F:F,0)-1,0),"undrafted")</f>
        <v>Nico</v>
      </c>
    </row>
    <row r="109">
      <c r="A109" t="str">
        <f>IFERROR(__xludf.DUMMYFUNCTION("""COMPUTED_VALUE"""),"Louisiana Tech Bulldogs")</f>
        <v>Louisiana Tech Bulldogs</v>
      </c>
      <c r="B109" t="str">
        <f>IFERROR(__xludf.DUMMYFUNCTION("""COMPUTED_VALUE"""),"Sun Belt")</f>
        <v>Sun Belt</v>
      </c>
      <c r="C109" s="227">
        <f>IFERROR(__xludf.DUMMYFUNCTION("""COMPUTED_VALUE"""),5.547)</f>
        <v>5.547</v>
      </c>
      <c r="D109" s="1" t="s">
        <v>523</v>
      </c>
      <c r="E109" s="1" t="s">
        <v>535</v>
      </c>
      <c r="F109" t="str">
        <f t="shared" si="1"/>
        <v>#N/A</v>
      </c>
      <c r="H109" t="s">
        <v>385</v>
      </c>
      <c r="I109" t="str">
        <f>offset(Translation!$A$5,0,match($H109,Translation!$A$6:$FK$6,0)-1)</f>
        <v>Tulsa</v>
      </c>
      <c r="J109">
        <f t="shared" si="2"/>
        <v>5.678</v>
      </c>
      <c r="K109" t="str">
        <f>iferror(offset(DraftTracker!D$1,match(I109,DraftTracker!F:F,0)-1,0),"undrafted")</f>
        <v>Undrafted</v>
      </c>
    </row>
    <row r="110">
      <c r="A110" t="str">
        <f>IFERROR(__xludf.DUMMYFUNCTION("""COMPUTED_VALUE"""),"App State Mountaineers")</f>
        <v>App State Mountaineers</v>
      </c>
      <c r="B110" t="str">
        <f>IFERROR(__xludf.DUMMYFUNCTION("""COMPUTED_VALUE"""),"Sun Belt")</f>
        <v>Sun Belt</v>
      </c>
      <c r="C110" s="227">
        <f>IFERROR(__xludf.DUMMYFUNCTION("""COMPUTED_VALUE"""),6.0489999999999995)</f>
        <v>6.049</v>
      </c>
      <c r="D110" s="1" t="s">
        <v>431</v>
      </c>
      <c r="E110" s="1" t="s">
        <v>2051</v>
      </c>
      <c r="F110">
        <f t="shared" si="1"/>
        <v>30</v>
      </c>
      <c r="H110" t="s">
        <v>444</v>
      </c>
      <c r="I110" t="str">
        <f>offset(Translation!$A$5,0,match($H110,Translation!$A$6:$FK$6,0)-1)</f>
        <v>UAB</v>
      </c>
      <c r="J110">
        <f t="shared" si="2"/>
        <v>3.997</v>
      </c>
      <c r="K110" t="str">
        <f>iferror(offset(DraftTracker!D$1,match(I110,DraftTracker!F:F,0)-1,0),"undrafted")</f>
        <v>Vu</v>
      </c>
    </row>
    <row r="111">
      <c r="A111" t="str">
        <f>IFERROR(__xludf.DUMMYFUNCTION("""COMPUTED_VALUE"""),"Missouri State Bears")</f>
        <v>Missouri State Bears</v>
      </c>
      <c r="B111" t="str">
        <f>IFERROR(__xludf.DUMMYFUNCTION("""COMPUTED_VALUE"""),"CUSA")</f>
        <v>CUSA</v>
      </c>
      <c r="C111" s="227">
        <f>IFERROR(__xludf.DUMMYFUNCTION("""COMPUTED_VALUE"""),5.617)</f>
        <v>5.617</v>
      </c>
      <c r="D111" s="1" t="s">
        <v>470</v>
      </c>
      <c r="E111" s="1" t="s">
        <v>2057</v>
      </c>
      <c r="F111">
        <f t="shared" si="1"/>
        <v>132</v>
      </c>
      <c r="H111" t="s">
        <v>386</v>
      </c>
      <c r="I111" t="str">
        <f>offset(Translation!$A$5,0,match($H111,Translation!$A$6:$FK$6,0)-1)</f>
        <v>UCF</v>
      </c>
      <c r="J111">
        <f t="shared" si="2"/>
        <v>6.083</v>
      </c>
      <c r="K111" t="str">
        <f>iferror(offset(DraftTracker!D$1,match(I111,DraftTracker!F:F,0)-1,0),"undrafted")</f>
        <v>Brad</v>
      </c>
    </row>
    <row r="112">
      <c r="A112" t="str">
        <f>IFERROR(__xludf.DUMMYFUNCTION("""COMPUTED_VALUE"""),"Sacramento State Hornets")</f>
        <v>Sacramento State Hornets</v>
      </c>
      <c r="B112" t="str">
        <f>IFERROR(__xludf.DUMMYFUNCTION("""COMPUTED_VALUE"""),"MAC")</f>
        <v>MAC</v>
      </c>
      <c r="C112" s="227">
        <f>IFERROR(__xludf.DUMMYFUNCTION("""COMPUTED_VALUE"""),6.625)</f>
        <v>6.625</v>
      </c>
      <c r="D112" s="1" t="s">
        <v>447</v>
      </c>
      <c r="E112" s="1" t="s">
        <v>530</v>
      </c>
      <c r="F112">
        <f t="shared" si="1"/>
        <v>16</v>
      </c>
      <c r="H112" t="s">
        <v>479</v>
      </c>
      <c r="I112" t="str">
        <f>offset(Translation!$A$5,0,match($H112,Translation!$A$6:$FK$6,0)-1)</f>
        <v>UCLA</v>
      </c>
      <c r="J112">
        <f t="shared" si="2"/>
        <v>5.099</v>
      </c>
      <c r="K112" t="str">
        <f>iferror(offset(DraftTracker!D$1,match(I112,DraftTracker!F:F,0)-1,0),"undrafted")</f>
        <v>Vu</v>
      </c>
    </row>
    <row r="113">
      <c r="A113" t="str">
        <f>IFERROR(__xludf.DUMMYFUNCTION("""COMPUTED_VALUE"""),"South Alabama Jaguars")</f>
        <v>South Alabama Jaguars</v>
      </c>
      <c r="B113" t="str">
        <f>IFERROR(__xludf.DUMMYFUNCTION("""COMPUTED_VALUE"""),"Sun Belt")</f>
        <v>Sun Belt</v>
      </c>
      <c r="C113" s="227">
        <f>IFERROR(__xludf.DUMMYFUNCTION("""COMPUTED_VALUE"""),5.355)</f>
        <v>5.355</v>
      </c>
      <c r="D113" s="1" t="s">
        <v>477</v>
      </c>
      <c r="E113" s="1" t="s">
        <v>2058</v>
      </c>
      <c r="F113">
        <f t="shared" si="1"/>
        <v>84</v>
      </c>
      <c r="H113" t="s">
        <v>376</v>
      </c>
      <c r="I113" t="str">
        <f>offset(Translation!$A$5,0,match($H113,Translation!$A$6:$FK$6,0)-1)</f>
        <v>UConn</v>
      </c>
      <c r="J113">
        <f t="shared" si="2"/>
        <v>4.8</v>
      </c>
      <c r="K113" t="str">
        <f>iferror(offset(DraftTracker!D$1,match(I113,DraftTracker!F:F,0)-1,0),"undrafted")</f>
        <v>Dan</v>
      </c>
    </row>
    <row r="114">
      <c r="A114" t="str">
        <f>IFERROR(__xludf.DUMMYFUNCTION("""COMPUTED_VALUE"""),"Buffalo Bulls")</f>
        <v>Buffalo Bulls</v>
      </c>
      <c r="B114" t="str">
        <f>IFERROR(__xludf.DUMMYFUNCTION("""COMPUTED_VALUE"""),"MAC")</f>
        <v>MAC</v>
      </c>
      <c r="C114" s="227">
        <f>IFERROR(__xludf.DUMMYFUNCTION("""COMPUTED_VALUE"""),6.5409999999999995)</f>
        <v>6.541</v>
      </c>
      <c r="D114" s="1" t="s">
        <v>409</v>
      </c>
      <c r="E114" s="1" t="s">
        <v>471</v>
      </c>
      <c r="F114">
        <f t="shared" si="1"/>
        <v>80</v>
      </c>
      <c r="H114" t="s">
        <v>506</v>
      </c>
      <c r="I114" t="str">
        <f>offset(Translation!$A$5,0,match($H114,Translation!$A$6:$FK$6,0)-1)</f>
        <v>UL Monroe</v>
      </c>
      <c r="J114" t="str">
        <f t="shared" si="2"/>
        <v/>
      </c>
      <c r="K114" t="str">
        <f>iferror(offset(DraftTracker!D$1,match(I114,DraftTracker!F:F,0)-1,0),"undrafted")</f>
        <v>Undrafted</v>
      </c>
    </row>
    <row r="115">
      <c r="A115" t="str">
        <f>IFERROR(__xludf.DUMMYFUNCTION("""COMPUTED_VALUE"""),"UConn Huskies")</f>
        <v>UConn Huskies</v>
      </c>
      <c r="B115" t="str">
        <f>IFERROR(__xludf.DUMMYFUNCTION("""COMPUTED_VALUE"""),"FBS Indep.")</f>
        <v>FBS Indep.</v>
      </c>
      <c r="C115" s="227">
        <f>IFERROR(__xludf.DUMMYFUNCTION("""COMPUTED_VALUE"""),4.8)</f>
        <v>4.8</v>
      </c>
      <c r="D115" s="1" t="s">
        <v>566</v>
      </c>
      <c r="E115" s="1" t="s">
        <v>441</v>
      </c>
      <c r="F115" t="str">
        <f t="shared" si="1"/>
        <v>#N/A</v>
      </c>
      <c r="H115" s="1" t="s">
        <v>568</v>
      </c>
      <c r="I115" t="str">
        <f>offset(Translation!$A$5,0,match($H115,Translation!$A$6:$FK$6,0)-1)</f>
        <v>UMASS</v>
      </c>
      <c r="J115" t="str">
        <f t="shared" si="2"/>
        <v/>
      </c>
      <c r="K115" t="str">
        <f>iferror(offset(DraftTracker!D$1,match(I115,DraftTracker!F:F,0)-1,0),"undrafted")</f>
        <v>Nick G.</v>
      </c>
    </row>
    <row r="116">
      <c r="A116" t="str">
        <f>IFERROR(__xludf.DUMMYFUNCTION("""COMPUTED_VALUE"""),"Florida Atlantic Owls")</f>
        <v>Florida Atlantic Owls</v>
      </c>
      <c r="B116" t="str">
        <f>IFERROR(__xludf.DUMMYFUNCTION("""COMPUTED_VALUE"""),"American")</f>
        <v>American</v>
      </c>
      <c r="C116" s="227">
        <f>IFERROR(__xludf.DUMMYFUNCTION("""COMPUTED_VALUE"""),5.0889999999999995)</f>
        <v>5.089</v>
      </c>
      <c r="D116" s="1" t="s">
        <v>448</v>
      </c>
      <c r="E116" s="1" t="s">
        <v>530</v>
      </c>
      <c r="F116">
        <f t="shared" si="1"/>
        <v>17</v>
      </c>
      <c r="H116" t="s">
        <v>468</v>
      </c>
      <c r="I116" t="str">
        <f>offset(Translation!$A$5,0,match($H116,Translation!$A$6:$FK$6,0)-1)</f>
        <v>UNLV</v>
      </c>
      <c r="J116">
        <f t="shared" si="2"/>
        <v>8.646</v>
      </c>
      <c r="K116" t="str">
        <f>iferror(offset(DraftTracker!D$1,match(I116,DraftTracker!F:F,0)-1,0),"undrafted")</f>
        <v>Justin</v>
      </c>
    </row>
    <row r="117">
      <c r="A117" t="str">
        <f>IFERROR(__xludf.DUMMYFUNCTION("""COMPUTED_VALUE"""),"Nevada Wolf Pack")</f>
        <v>Nevada Wolf Pack</v>
      </c>
      <c r="B117" t="str">
        <f>IFERROR(__xludf.DUMMYFUNCTION("""COMPUTED_VALUE"""),"Mountain West")</f>
        <v>Mountain West</v>
      </c>
      <c r="C117" s="227">
        <f>IFERROR(__xludf.DUMMYFUNCTION("""COMPUTED_VALUE"""),4.772)</f>
        <v>4.772</v>
      </c>
      <c r="D117" s="1" t="s">
        <v>460</v>
      </c>
      <c r="E117" s="1" t="s">
        <v>2057</v>
      </c>
      <c r="F117">
        <f t="shared" si="1"/>
        <v>26</v>
      </c>
      <c r="H117" t="s">
        <v>480</v>
      </c>
      <c r="I117" t="str">
        <f>offset(Translation!$A$5,0,match($H117,Translation!$A$6:$FK$6,0)-1)</f>
        <v>USC</v>
      </c>
      <c r="J117">
        <f t="shared" si="2"/>
        <v>8.149</v>
      </c>
      <c r="K117" t="str">
        <f>iferror(offset(DraftTracker!D$1,match(I117,DraftTracker!F:F,0)-1,0),"undrafted")</f>
        <v>Gary</v>
      </c>
    </row>
    <row r="118">
      <c r="A118" t="str">
        <f>IFERROR(__xludf.DUMMYFUNCTION("""COMPUTED_VALUE"""),"Coastal Carolina Chanticleers")</f>
        <v>Coastal Carolina Chanticleers</v>
      </c>
      <c r="B118" t="str">
        <f>IFERROR(__xludf.DUMMYFUNCTION("""COMPUTED_VALUE"""),"Sun Belt")</f>
        <v>Sun Belt</v>
      </c>
      <c r="C118" s="227">
        <f>IFERROR(__xludf.DUMMYFUNCTION("""COMPUTED_VALUE"""),5.176)</f>
        <v>5.176</v>
      </c>
      <c r="D118" s="1" t="s">
        <v>571</v>
      </c>
      <c r="E118" s="1" t="s">
        <v>535</v>
      </c>
      <c r="F118" t="str">
        <f t="shared" si="1"/>
        <v>#N/A</v>
      </c>
      <c r="H118" t="s">
        <v>469</v>
      </c>
      <c r="I118" t="str">
        <f>offset(Translation!$A$5,0,match($H118,Translation!$A$6:$FK$6,0)-1)</f>
        <v>Utah State</v>
      </c>
      <c r="J118">
        <f t="shared" si="2"/>
        <v>4.653</v>
      </c>
      <c r="K118" t="str">
        <f>iferror(offset(DraftTracker!D$1,match(I118,DraftTracker!F:F,0)-1,0),"undrafted")</f>
        <v>Jeannine</v>
      </c>
    </row>
    <row r="119">
      <c r="A119" t="str">
        <f>IFERROR(__xludf.DUMMYFUNCTION("""COMPUTED_VALUE"""),"Colorado State Rams")</f>
        <v>Colorado State Rams</v>
      </c>
      <c r="B119" t="str">
        <f>IFERROR(__xludf.DUMMYFUNCTION("""COMPUTED_VALUE"""),"Pac-12")</f>
        <v>Pac-12</v>
      </c>
      <c r="C119" s="227">
        <f>IFERROR(__xludf.DUMMYFUNCTION("""COMPUTED_VALUE"""),3.587)</f>
        <v>3.587</v>
      </c>
      <c r="D119" s="1" t="s">
        <v>450</v>
      </c>
      <c r="E119" s="1" t="s">
        <v>530</v>
      </c>
      <c r="F119">
        <f t="shared" si="1"/>
        <v>29</v>
      </c>
      <c r="H119" t="s">
        <v>481</v>
      </c>
      <c r="I119" t="str">
        <f>offset(Translation!$A$5,0,match($H119,Translation!$A$6:$FK$6,0)-1)</f>
        <v>Utah</v>
      </c>
      <c r="J119">
        <f t="shared" si="2"/>
        <v>7.641</v>
      </c>
      <c r="K119" t="str">
        <f>iferror(offset(DraftTracker!D$1,match(I119,DraftTracker!F:F,0)-1,0),"undrafted")</f>
        <v>Gary</v>
      </c>
    </row>
    <row r="120">
      <c r="A120" t="str">
        <f>IFERROR(__xludf.DUMMYFUNCTION("""COMPUTED_VALUE"""),"Florida International Panthers")</f>
        <v>Florida International Panthers</v>
      </c>
      <c r="B120" t="str">
        <f>IFERROR(__xludf.DUMMYFUNCTION("""COMPUTED_VALUE"""),"CUSA")</f>
        <v>CUSA</v>
      </c>
      <c r="C120" s="227">
        <f>IFERROR(__xludf.DUMMYFUNCTION("""COMPUTED_VALUE"""),5.948)</f>
        <v>5.948</v>
      </c>
      <c r="D120" s="1" t="s">
        <v>563</v>
      </c>
      <c r="E120" s="1" t="s">
        <v>2057</v>
      </c>
      <c r="F120">
        <f t="shared" si="1"/>
        <v>91</v>
      </c>
      <c r="H120" t="s">
        <v>440</v>
      </c>
      <c r="I120" t="str">
        <f>offset(Translation!$A$5,0,match($H120,Translation!$A$6:$FK$6,0)-1)</f>
        <v>UTEP</v>
      </c>
      <c r="J120">
        <f t="shared" si="2"/>
        <v>4.091</v>
      </c>
      <c r="K120" t="str">
        <f>iferror(offset(DraftTracker!D$1,match(I120,DraftTracker!F:F,0)-1,0),"undrafted")</f>
        <v>Mike</v>
      </c>
    </row>
    <row r="121">
      <c r="A121" t="str">
        <f>IFERROR(__xludf.DUMMYFUNCTION("""COMPUTED_VALUE"""),"Central Michigan Chippewas")</f>
        <v>Central Michigan Chippewas</v>
      </c>
      <c r="B121" t="str">
        <f>IFERROR(__xludf.DUMMYFUNCTION("""COMPUTED_VALUE"""),"MAC")</f>
        <v>MAC</v>
      </c>
      <c r="C121" s="227">
        <f>IFERROR(__xludf.DUMMYFUNCTION("""COMPUTED_VALUE"""),5.555)</f>
        <v>5.555</v>
      </c>
      <c r="D121" s="1" t="s">
        <v>385</v>
      </c>
      <c r="E121" s="1" t="s">
        <v>2051</v>
      </c>
      <c r="F121">
        <f t="shared" si="1"/>
        <v>109</v>
      </c>
      <c r="H121" t="s">
        <v>442</v>
      </c>
      <c r="I121" t="str">
        <f>offset(Translation!$A$5,0,match($H121,Translation!$A$6:$FK$6,0)-1)</f>
        <v>UTSA</v>
      </c>
      <c r="J121">
        <f t="shared" si="2"/>
        <v>6.341</v>
      </c>
      <c r="K121" t="str">
        <f>iferror(offset(DraftTracker!D$1,match(I121,DraftTracker!F:F,0)-1,0),"undrafted")</f>
        <v>Jeannine</v>
      </c>
    </row>
    <row r="122">
      <c r="A122" t="str">
        <f>IFERROR(__xludf.DUMMYFUNCTION("""COMPUTED_VALUE"""),"Wyoming Cowboys")</f>
        <v>Wyoming Cowboys</v>
      </c>
      <c r="B122" t="str">
        <f>IFERROR(__xludf.DUMMYFUNCTION("""COMPUTED_VALUE"""),"Mountain West")</f>
        <v>Mountain West</v>
      </c>
      <c r="C122" s="227">
        <f>IFERROR(__xludf.DUMMYFUNCTION("""COMPUTED_VALUE"""),5.377000000000001)</f>
        <v>5.377</v>
      </c>
      <c r="D122" s="1" t="s">
        <v>464</v>
      </c>
      <c r="E122" s="1" t="s">
        <v>2057</v>
      </c>
      <c r="F122">
        <f t="shared" si="1"/>
        <v>69</v>
      </c>
      <c r="H122" t="s">
        <v>499</v>
      </c>
      <c r="I122" t="str">
        <f>offset(Translation!$A$5,0,match($H122,Translation!$A$6:$FK$6,0)-1)</f>
        <v>Vanderbilt</v>
      </c>
      <c r="J122">
        <f t="shared" si="2"/>
        <v>6.193</v>
      </c>
      <c r="K122" t="str">
        <f>iferror(offset(DraftTracker!D$1,match(I122,DraftTracker!F:F,0)-1,0),"undrafted")</f>
        <v>Dan</v>
      </c>
    </row>
    <row r="123">
      <c r="A123" t="str">
        <f>IFERROR(__xludf.DUMMYFUNCTION("""COMPUTED_VALUE"""),"Rice Owls")</f>
        <v>Rice Owls</v>
      </c>
      <c r="B123" t="str">
        <f>IFERROR(__xludf.DUMMYFUNCTION("""COMPUTED_VALUE"""),"American")</f>
        <v>American</v>
      </c>
      <c r="C123" s="227">
        <f>IFERROR(__xludf.DUMMYFUNCTION("""COMPUTED_VALUE"""),3.995)</f>
        <v>3.995</v>
      </c>
      <c r="D123" s="1" t="s">
        <v>453</v>
      </c>
      <c r="E123" s="1" t="s">
        <v>530</v>
      </c>
      <c r="F123">
        <f t="shared" si="1"/>
        <v>74</v>
      </c>
      <c r="H123" t="s">
        <v>400</v>
      </c>
      <c r="I123" t="str">
        <f>offset(Translation!$A$5,0,match($H123,Translation!$A$6:$FK$6,0)-1)</f>
        <v>Virginia</v>
      </c>
      <c r="J123">
        <f t="shared" si="2"/>
        <v>7.662</v>
      </c>
      <c r="K123" t="str">
        <f>iferror(offset(DraftTracker!D$1,match(I123,DraftTracker!F:F,0)-1,0),"undrafted")</f>
        <v>Josh</v>
      </c>
    </row>
    <row r="124">
      <c r="A124" t="str">
        <f>IFERROR(__xludf.DUMMYFUNCTION("""COMPUTED_VALUE"""),"Bowling Green Falcons")</f>
        <v>Bowling Green Falcons</v>
      </c>
      <c r="B124" t="str">
        <f>IFERROR(__xludf.DUMMYFUNCTION("""COMPUTED_VALUE"""),"MAC")</f>
        <v>MAC</v>
      </c>
      <c r="C124" s="227">
        <f>IFERROR(__xludf.DUMMYFUNCTION("""COMPUTED_VALUE"""),4.67)</f>
        <v>4.67</v>
      </c>
      <c r="D124" s="1" t="s">
        <v>510</v>
      </c>
      <c r="E124" s="1" t="s">
        <v>441</v>
      </c>
      <c r="F124">
        <f t="shared" si="1"/>
        <v>24</v>
      </c>
      <c r="H124" t="s">
        <v>401</v>
      </c>
      <c r="I124" t="str">
        <f>offset(Translation!$A$5,0,match($H124,Translation!$A$6:$FK$6,0)-1)</f>
        <v>Virginia Tech</v>
      </c>
      <c r="J124">
        <f t="shared" si="2"/>
        <v>6.972</v>
      </c>
      <c r="K124" t="str">
        <f>iferror(offset(DraftTracker!D$1,match(I124,DraftTracker!F:F,0)-1,0),"undrafted")</f>
        <v>Jeannine</v>
      </c>
    </row>
    <row r="125">
      <c r="A125" t="str">
        <f>IFERROR(__xludf.DUMMYFUNCTION("""COMPUTED_VALUE"""),"San José State Spartans")</f>
        <v>San José State Spartans</v>
      </c>
      <c r="B125" t="str">
        <f>IFERROR(__xludf.DUMMYFUNCTION("""COMPUTED_VALUE"""),"Mountain West")</f>
        <v>Mountain West</v>
      </c>
      <c r="C125" s="227">
        <f>IFERROR(__xludf.DUMMYFUNCTION("""COMPUTED_VALUE"""),4.979)</f>
        <v>4.979</v>
      </c>
      <c r="D125" s="1" t="s">
        <v>444</v>
      </c>
      <c r="E125" s="1" t="s">
        <v>2051</v>
      </c>
      <c r="F125">
        <f t="shared" si="1"/>
        <v>110</v>
      </c>
      <c r="H125" t="s">
        <v>402</v>
      </c>
      <c r="I125" t="str">
        <f>offset(Translation!$A$5,0,match($H125,Translation!$A$6:$FK$6,0)-1)</f>
        <v>Wake Forest</v>
      </c>
      <c r="J125">
        <f t="shared" si="2"/>
        <v>6.29</v>
      </c>
      <c r="K125" t="str">
        <f>iferror(offset(DraftTracker!D$1,match(I125,DraftTracker!F:F,0)-1,0),"undrafted")</f>
        <v>Undrafted</v>
      </c>
    </row>
    <row r="126">
      <c r="A126" t="str">
        <f>IFERROR(__xludf.DUMMYFUNCTION("""COMPUTED_VALUE"""),"Northern Illinois Huskies")</f>
        <v>Northern Illinois Huskies</v>
      </c>
      <c r="B126" t="str">
        <f>IFERROR(__xludf.DUMMYFUNCTION("""COMPUTED_VALUE"""),"Mountain West")</f>
        <v>Mountain West</v>
      </c>
      <c r="C126" s="227">
        <f>IFERROR(__xludf.DUMMYFUNCTION("""COMPUTED_VALUE"""),4.284)</f>
        <v>4.284</v>
      </c>
      <c r="D126" s="1" t="s">
        <v>440</v>
      </c>
      <c r="E126" s="1" t="s">
        <v>535</v>
      </c>
      <c r="F126">
        <f t="shared" si="1"/>
        <v>120</v>
      </c>
      <c r="H126" t="s">
        <v>482</v>
      </c>
      <c r="I126" t="str">
        <f>offset(Translation!$A$5,0,match($H126,Translation!$A$6:$FK$6,0)-1)</f>
        <v>Washington</v>
      </c>
      <c r="J126">
        <f t="shared" si="2"/>
        <v>6.99</v>
      </c>
      <c r="K126" t="str">
        <f>iferror(offset(DraftTracker!D$1,match(I126,DraftTracker!F:F,0)-1,0),"undrafted")</f>
        <v>Vu</v>
      </c>
    </row>
    <row r="127">
      <c r="A127" t="str">
        <f>IFERROR(__xludf.DUMMYFUNCTION("""COMPUTED_VALUE"""),"Charlotte 49ers")</f>
        <v>Charlotte 49ers</v>
      </c>
      <c r="B127" t="str">
        <f>IFERROR(__xludf.DUMMYFUNCTION("""COMPUTED_VALUE"""),"American")</f>
        <v>American</v>
      </c>
      <c r="C127" s="227">
        <f>IFERROR(__xludf.DUMMYFUNCTION("""COMPUTED_VALUE"""),3.896)</f>
        <v>3.896</v>
      </c>
      <c r="D127" s="1" t="s">
        <v>437</v>
      </c>
      <c r="E127" s="1" t="s">
        <v>2051</v>
      </c>
      <c r="F127">
        <f t="shared" si="1"/>
        <v>88</v>
      </c>
      <c r="H127" t="s">
        <v>483</v>
      </c>
      <c r="I127" t="str">
        <f>offset(Translation!$A$5,0,match($H127,Translation!$A$6:$FK$6,0)-1)</f>
        <v>Washington State</v>
      </c>
      <c r="J127">
        <f t="shared" si="2"/>
        <v>5.017</v>
      </c>
      <c r="K127" t="str">
        <f>iferror(offset(DraftTracker!D$1,match(I127,DraftTracker!F:F,0)-1,0),"undrafted")</f>
        <v>Undrafted</v>
      </c>
    </row>
    <row r="128">
      <c r="A128" t="str">
        <f>IFERROR(__xludf.DUMMYFUNCTION("""COMPUTED_VALUE"""),"Georgia State Panthers")</f>
        <v>Georgia State Panthers</v>
      </c>
      <c r="B128" t="str">
        <f>IFERROR(__xludf.DUMMYFUNCTION("""COMPUTED_VALUE"""),"Sun Belt")</f>
        <v>Sun Belt</v>
      </c>
      <c r="C128" s="227">
        <f>IFERROR(__xludf.DUMMYFUNCTION("""COMPUTED_VALUE"""),4.5889999999999995)</f>
        <v>4.589</v>
      </c>
      <c r="D128" s="1" t="s">
        <v>514</v>
      </c>
      <c r="E128" s="1" t="s">
        <v>535</v>
      </c>
      <c r="F128">
        <f t="shared" si="1"/>
        <v>71</v>
      </c>
      <c r="H128" t="s">
        <v>413</v>
      </c>
      <c r="I128" t="str">
        <f>offset(Translation!$A$5,0,match($H128,Translation!$A$6:$FK$6,0)-1)</f>
        <v>West Virginia</v>
      </c>
      <c r="J128">
        <f t="shared" si="2"/>
        <v>5.393</v>
      </c>
      <c r="K128" t="str">
        <f>iferror(offset(DraftTracker!D$1,match(I128,DraftTracker!F:F,0)-1,0),"undrafted")</f>
        <v>Nico</v>
      </c>
    </row>
    <row r="129">
      <c r="A129" t="str">
        <f>IFERROR(__xludf.DUMMYFUNCTION("""COMPUTED_VALUE"""),"UAB Blazers")</f>
        <v>UAB Blazers</v>
      </c>
      <c r="B129" t="str">
        <f>IFERROR(__xludf.DUMMYFUNCTION("""COMPUTED_VALUE"""),"American")</f>
        <v>American</v>
      </c>
      <c r="C129" s="227">
        <f>IFERROR(__xludf.DUMMYFUNCTION("""COMPUTED_VALUE"""),3.997)</f>
        <v>3.997</v>
      </c>
      <c r="D129" s="1" t="s">
        <v>445</v>
      </c>
      <c r="E129" s="1" t="s">
        <v>530</v>
      </c>
      <c r="F129">
        <f t="shared" si="1"/>
        <v>3</v>
      </c>
      <c r="H129" t="s">
        <v>443</v>
      </c>
      <c r="I129" t="str">
        <f>offset(Translation!$A$5,0,match($H129,Translation!$A$6:$FK$6,0)-1)</f>
        <v>Western Kentucky</v>
      </c>
      <c r="J129">
        <f t="shared" si="2"/>
        <v>6.852</v>
      </c>
      <c r="K129" t="str">
        <f>iferror(offset(DraftTracker!D$1,match(I129,DraftTracker!F:F,0)-1,0),"undrafted")</f>
        <v>Dan</v>
      </c>
    </row>
    <row r="130">
      <c r="A130" t="str">
        <f>IFERROR(__xludf.DUMMYFUNCTION("""COMPUTED_VALUE"""),"New Mexico State Aggies")</f>
        <v>New Mexico State Aggies</v>
      </c>
      <c r="B130" t="str">
        <f>IFERROR(__xludf.DUMMYFUNCTION("""COMPUTED_VALUE"""),"CUSA")</f>
        <v>CUSA</v>
      </c>
      <c r="C130" s="227">
        <f>IFERROR(__xludf.DUMMYFUNCTION("""COMPUTED_VALUE"""),4.372000000000001)</f>
        <v>4.372</v>
      </c>
      <c r="D130" s="1" t="s">
        <v>503</v>
      </c>
      <c r="E130" s="1" t="s">
        <v>441</v>
      </c>
      <c r="F130">
        <f t="shared" si="1"/>
        <v>37</v>
      </c>
      <c r="H130" t="s">
        <v>456</v>
      </c>
      <c r="I130" t="str">
        <f>offset(Translation!$A$5,0,match($H130,Translation!$A$6:$FK$6,0)-1)</f>
        <v>Western Michigan</v>
      </c>
      <c r="J130">
        <f t="shared" si="2"/>
        <v>7.484</v>
      </c>
      <c r="K130" t="str">
        <f>iferror(offset(DraftTracker!D$1,match(I130,DraftTracker!F:F,0)-1,0),"undrafted")</f>
        <v>Dan</v>
      </c>
    </row>
    <row r="131">
      <c r="A131" t="str">
        <f>IFERROR(__xludf.DUMMYFUNCTION("""COMPUTED_VALUE"""),"Middle Tennessee Blue Raiders")</f>
        <v>Middle Tennessee Blue Raiders</v>
      </c>
      <c r="B131" t="str">
        <f>IFERROR(__xludf.DUMMYFUNCTION("""COMPUTED_VALUE"""),"CUSA")</f>
        <v>CUSA</v>
      </c>
      <c r="C131" s="227">
        <f>IFERROR(__xludf.DUMMYFUNCTION("""COMPUTED_VALUE"""),4.6770000000000005)</f>
        <v>4.677</v>
      </c>
      <c r="D131" s="1" t="s">
        <v>434</v>
      </c>
      <c r="E131" s="1" t="s">
        <v>535</v>
      </c>
      <c r="F131">
        <f t="shared" si="1"/>
        <v>62</v>
      </c>
      <c r="H131" t="s">
        <v>429</v>
      </c>
      <c r="I131" t="str">
        <f>offset(Translation!$A$5,0,match($H131,Translation!$A$6:$FK$6,0)-1)</f>
        <v>Wisconsin</v>
      </c>
      <c r="J131">
        <f t="shared" si="2"/>
        <v>6.494</v>
      </c>
      <c r="K131" t="str">
        <f>iferror(offset(DraftTracker!D$1,match(I131,DraftTracker!F:F,0)-1,0),"undrafted")</f>
        <v>Mike</v>
      </c>
    </row>
    <row r="132">
      <c r="A132" t="str">
        <f>IFERROR(__xludf.DUMMYFUNCTION("""COMPUTED_VALUE"""),"Eastern Michigan Eagles")</f>
        <v>Eastern Michigan Eagles</v>
      </c>
      <c r="B132" t="str">
        <f>IFERROR(__xludf.DUMMYFUNCTION("""COMPUTED_VALUE"""),"MAC")</f>
        <v>MAC</v>
      </c>
      <c r="C132" s="227">
        <f>IFERROR(__xludf.DUMMYFUNCTION("""COMPUTED_VALUE"""),4.784)</f>
        <v>4.784</v>
      </c>
      <c r="D132" s="1" t="s">
        <v>446</v>
      </c>
      <c r="E132" s="1" t="s">
        <v>530</v>
      </c>
      <c r="F132">
        <f t="shared" si="1"/>
        <v>12</v>
      </c>
      <c r="H132" t="s">
        <v>470</v>
      </c>
      <c r="I132" t="str">
        <f>offset(Translation!$A$5,0,match($H132,Translation!$A$6:$FK$6,0)-1)</f>
        <v>Wyoming</v>
      </c>
      <c r="J132">
        <f t="shared" si="2"/>
        <v>5.377</v>
      </c>
      <c r="K132" t="str">
        <f>iferror(offset(DraftTracker!D$1,match(I132,DraftTracker!F:F,0)-1,0),"undrafted")</f>
        <v>Nico</v>
      </c>
    </row>
    <row r="133">
      <c r="A133" t="str">
        <f>IFERROR(__xludf.DUMMYFUNCTION("""COMPUTED_VALUE"""),"UTEP Miners")</f>
        <v>UTEP Miners</v>
      </c>
      <c r="B133" t="str">
        <f>IFERROR(__xludf.DUMMYFUNCTION("""COMPUTED_VALUE"""),"Mountain West")</f>
        <v>Mountain West</v>
      </c>
      <c r="C133" s="227">
        <f>IFERROR(__xludf.DUMMYFUNCTION("""COMPUTED_VALUE"""),4.090999999999999)</f>
        <v>4.091</v>
      </c>
      <c r="D133" s="1" t="s">
        <v>506</v>
      </c>
      <c r="E133" s="1" t="s">
        <v>441</v>
      </c>
      <c r="F133">
        <f t="shared" si="1"/>
        <v>114</v>
      </c>
      <c r="H133" s="1" t="s">
        <v>569</v>
      </c>
      <c r="I133" t="str">
        <f>offset(Translation!$A$5,0,match($H133,Translation!$A$6:$FK$6,0)-1)</f>
        <v>Sam Houston</v>
      </c>
      <c r="J133" t="str">
        <f t="shared" si="2"/>
        <v/>
      </c>
      <c r="K133" t="str">
        <f>iferror(offset(DraftTracker!D$1,match(I133,DraftTracker!F:F,0)-1,0),"undrafted")</f>
        <v>Jeannine</v>
      </c>
    </row>
    <row r="134">
      <c r="A134" t="str">
        <f>IFERROR(__xludf.DUMMYFUNCTION("""COMPUTED_VALUE"""),"Akron Zips")</f>
        <v>Akron Zips</v>
      </c>
      <c r="B134" t="str">
        <f>IFERROR(__xludf.DUMMYFUNCTION("""COMPUTED_VALUE"""),"MAC")</f>
        <v>MAC</v>
      </c>
      <c r="C134" s="227">
        <f>IFERROR(__xludf.DUMMYFUNCTION("""COMPUTED_VALUE"""),4.384)</f>
        <v>4.384</v>
      </c>
      <c r="D134" s="1" t="s">
        <v>451</v>
      </c>
      <c r="E134" s="1" t="s">
        <v>530</v>
      </c>
      <c r="F134">
        <f t="shared" si="1"/>
        <v>48</v>
      </c>
      <c r="H134" s="1" t="s">
        <v>519</v>
      </c>
      <c r="I134" t="str">
        <f>offset(Translation!$A$5,0,match($H134,Translation!$A$6:$FK$6,0)-1)</f>
        <v>Jacksonville State</v>
      </c>
      <c r="J134">
        <f t="shared" si="2"/>
        <v>6.875</v>
      </c>
      <c r="K134" t="str">
        <f>iferror(offset(DraftTracker!D$1,match(I134,DraftTracker!F:F,0)-1,0),"undrafted")</f>
        <v>Brad</v>
      </c>
    </row>
    <row r="135">
      <c r="A135" t="str">
        <f>IFERROR(__xludf.DUMMYFUNCTION("""COMPUTED_VALUE"""),"Ball State Cardinals")</f>
        <v>Ball State Cardinals</v>
      </c>
      <c r="B135" t="str">
        <f>IFERROR(__xludf.DUMMYFUNCTION("""COMPUTED_VALUE"""),"MAC")</f>
        <v>MAC</v>
      </c>
      <c r="C135" s="227"/>
      <c r="D135" s="1" t="s">
        <v>439</v>
      </c>
      <c r="E135" s="1" t="s">
        <v>2051</v>
      </c>
      <c r="H135" s="1"/>
    </row>
    <row r="136">
      <c r="A136" t="str">
        <f>IFERROR(__xludf.DUMMYFUNCTION("""COMPUTED_VALUE"""),"Kent State Golden Flashes")</f>
        <v>Kent State Golden Flashes</v>
      </c>
      <c r="B136" t="str">
        <f>IFERROR(__xludf.DUMMYFUNCTION("""COMPUTED_VALUE"""),"MAC")</f>
        <v>MAC</v>
      </c>
      <c r="C136" s="227"/>
      <c r="D136" s="1" t="s">
        <v>569</v>
      </c>
      <c r="E136" s="1" t="s">
        <v>535</v>
      </c>
      <c r="H136" s="1"/>
    </row>
    <row r="137">
      <c r="A137" t="str">
        <f>IFERROR(__xludf.DUMMYFUNCTION("""COMPUTED_VALUE"""),"Sam Houston Bearkats")</f>
        <v>Sam Houston Bearkats</v>
      </c>
      <c r="B137" t="str">
        <f>IFERROR(__xludf.DUMMYFUNCTION("""COMPUTED_VALUE"""),"CUSA")</f>
        <v>CUSA</v>
      </c>
      <c r="C137" s="227"/>
      <c r="D137" s="1" t="s">
        <v>568</v>
      </c>
      <c r="E137" s="1" t="s">
        <v>530</v>
      </c>
      <c r="H137" s="1"/>
    </row>
    <row r="138">
      <c r="A138" t="str">
        <f>IFERROR(__xludf.DUMMYFUNCTION("""COMPUTED_VALUE"""),"Massachusetts Minutemen")</f>
        <v>Massachusetts Minutemen</v>
      </c>
      <c r="B138" t="str">
        <f>IFERROR(__xludf.DUMMYFUNCTION("""COMPUTED_VALUE"""),"MAC")</f>
        <v>MAC</v>
      </c>
      <c r="C138" s="227"/>
      <c r="D138" s="1"/>
      <c r="E138" s="1"/>
      <c r="H138" s="1"/>
    </row>
    <row r="139">
      <c r="A139" t="str">
        <f>IFERROR(__xludf.DUMMYFUNCTION("""COMPUTED_VALUE"""),"UL Monroe Warhawks")</f>
        <v>UL Monroe Warhawks</v>
      </c>
      <c r="B139" t="str">
        <f>IFERROR(__xludf.DUMMYFUNCTION("""COMPUTED_VALUE"""),"Sun Belt")</f>
        <v>Sun Belt</v>
      </c>
      <c r="C139" s="227"/>
      <c r="D139" s="1"/>
      <c r="E139" s="1"/>
      <c r="H139" s="1"/>
    </row>
    <row r="140">
      <c r="D140" s="1"/>
      <c r="E140" s="1"/>
      <c r="H140" s="1"/>
    </row>
    <row r="141">
      <c r="D141" s="1"/>
      <c r="E141" s="1"/>
      <c r="H141" s="1"/>
    </row>
    <row r="142">
      <c r="D142" s="1"/>
      <c r="E142" s="1"/>
      <c r="H142" s="1"/>
    </row>
    <row r="143">
      <c r="D143" s="1"/>
      <c r="E143" s="1"/>
      <c r="H143" s="1"/>
    </row>
    <row r="144">
      <c r="D144" s="1"/>
      <c r="E144" s="1"/>
      <c r="H144" s="1"/>
    </row>
    <row r="145">
      <c r="D145" s="1"/>
      <c r="E145" s="1"/>
      <c r="H145" s="1"/>
    </row>
    <row r="146">
      <c r="D146" s="1"/>
      <c r="E146" s="1"/>
      <c r="H146" s="1"/>
    </row>
    <row r="147">
      <c r="D147" s="1"/>
      <c r="E147" s="1"/>
      <c r="H147" s="1"/>
    </row>
    <row r="148">
      <c r="D148" s="1"/>
      <c r="E148" s="1"/>
      <c r="H148" s="1"/>
    </row>
    <row r="149">
      <c r="D149" s="1"/>
      <c r="E149" s="1"/>
      <c r="H149" s="1"/>
    </row>
    <row r="150">
      <c r="D150" s="1"/>
      <c r="E150" s="1"/>
      <c r="H150" s="1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914</v>
      </c>
      <c r="B1" s="1" t="s">
        <v>13</v>
      </c>
      <c r="C1" s="1" t="s">
        <v>2047</v>
      </c>
      <c r="D1" s="1" t="s">
        <v>2048</v>
      </c>
    </row>
    <row r="2">
      <c r="A2" s="1" t="s">
        <v>914</v>
      </c>
      <c r="B2" s="1" t="s">
        <v>13</v>
      </c>
      <c r="C2" s="1" t="s">
        <v>2047</v>
      </c>
      <c r="D2" s="1" t="s">
        <v>2048</v>
      </c>
    </row>
    <row r="3">
      <c r="A3" s="253">
        <v>45902.61792826389</v>
      </c>
      <c r="B3" s="1" t="s">
        <v>176</v>
      </c>
      <c r="C3" s="203">
        <v>5.1930000000000005</v>
      </c>
      <c r="D3" s="1" t="s">
        <v>43</v>
      </c>
    </row>
    <row r="4">
      <c r="A4" s="253">
        <v>45902.61792826389</v>
      </c>
      <c r="B4" s="1" t="s">
        <v>164</v>
      </c>
      <c r="C4" s="203">
        <v>4.5</v>
      </c>
      <c r="D4" s="1" t="s">
        <v>193</v>
      </c>
    </row>
    <row r="5">
      <c r="A5" s="253">
        <v>45902.61792826389</v>
      </c>
      <c r="B5" s="1" t="s">
        <v>201</v>
      </c>
      <c r="C5" s="203">
        <v>6.778</v>
      </c>
      <c r="D5" s="1" t="s">
        <v>62</v>
      </c>
    </row>
    <row r="6">
      <c r="A6" s="253">
        <v>45902.61792826389</v>
      </c>
      <c r="B6" s="1" t="e">
        <v>#N/A</v>
      </c>
      <c r="C6" s="1" t="e">
        <v>#N/A</v>
      </c>
      <c r="D6" s="1" t="s">
        <v>2050</v>
      </c>
    </row>
    <row r="7">
      <c r="A7" s="253">
        <v>45902.61792826389</v>
      </c>
      <c r="B7" s="1" t="s">
        <v>189</v>
      </c>
      <c r="C7" s="203">
        <v>7.628</v>
      </c>
      <c r="D7" s="1" t="s">
        <v>43</v>
      </c>
    </row>
    <row r="8">
      <c r="A8" s="253">
        <v>45902.61792826389</v>
      </c>
      <c r="B8" s="1" t="s">
        <v>188</v>
      </c>
      <c r="C8" s="203">
        <v>6.289</v>
      </c>
      <c r="D8" s="1" t="s">
        <v>493</v>
      </c>
    </row>
    <row r="9">
      <c r="A9" s="253">
        <v>45902.61792826389</v>
      </c>
      <c r="B9" s="1" t="s">
        <v>202</v>
      </c>
      <c r="C9" s="203">
        <v>5.498</v>
      </c>
      <c r="D9" s="1" t="s">
        <v>156</v>
      </c>
    </row>
    <row r="10">
      <c r="A10" s="253">
        <v>45902.61792826389</v>
      </c>
      <c r="B10" s="1" t="s">
        <v>215</v>
      </c>
      <c r="C10" s="203">
        <v>5.863</v>
      </c>
      <c r="D10" s="1" t="s">
        <v>132</v>
      </c>
    </row>
    <row r="11">
      <c r="A11" s="253">
        <v>45902.61792826389</v>
      </c>
      <c r="B11" s="1" t="s">
        <v>225</v>
      </c>
      <c r="C11" s="203">
        <v>4.499</v>
      </c>
      <c r="D11" s="1" t="s">
        <v>395</v>
      </c>
    </row>
    <row r="12">
      <c r="A12" s="253">
        <v>45902.61792826389</v>
      </c>
      <c r="B12" s="1" t="s">
        <v>45</v>
      </c>
      <c r="C12" s="203">
        <v>8.279</v>
      </c>
      <c r="D12" s="1" t="s">
        <v>43</v>
      </c>
    </row>
    <row r="13">
      <c r="A13" s="253">
        <v>45902.61792826389</v>
      </c>
      <c r="B13" s="1" t="s">
        <v>165</v>
      </c>
      <c r="C13" s="203">
        <v>3.398</v>
      </c>
      <c r="D13" s="1" t="s">
        <v>95</v>
      </c>
    </row>
    <row r="14">
      <c r="A14" s="253">
        <v>45902.61792826389</v>
      </c>
      <c r="B14" s="1" t="s">
        <v>124</v>
      </c>
      <c r="C14" s="203">
        <v>5.87</v>
      </c>
      <c r="D14" s="1" t="s">
        <v>249</v>
      </c>
    </row>
    <row r="15">
      <c r="A15" s="253">
        <v>45902.61792826389</v>
      </c>
      <c r="B15" s="1" t="s">
        <v>177</v>
      </c>
      <c r="C15" s="203">
        <v>7.518</v>
      </c>
      <c r="D15" s="1" t="s">
        <v>95</v>
      </c>
    </row>
    <row r="16">
      <c r="A16" s="253">
        <v>45902.61792826389</v>
      </c>
      <c r="B16" s="1" t="s">
        <v>110</v>
      </c>
      <c r="C16" s="203">
        <v>6.577</v>
      </c>
      <c r="D16" s="1" t="s">
        <v>493</v>
      </c>
    </row>
    <row r="17">
      <c r="A17" s="253">
        <v>45902.61792826389</v>
      </c>
      <c r="B17" s="1" t="s">
        <v>166</v>
      </c>
      <c r="C17" s="203">
        <v>6.247</v>
      </c>
      <c r="D17" s="1" t="s">
        <v>224</v>
      </c>
    </row>
    <row r="18">
      <c r="A18" s="253">
        <v>45902.61792826389</v>
      </c>
      <c r="B18" s="1" t="s">
        <v>167</v>
      </c>
      <c r="C18" s="203">
        <v>6.351</v>
      </c>
      <c r="D18" s="1" t="s">
        <v>249</v>
      </c>
    </row>
    <row r="19">
      <c r="A19" s="253">
        <v>45902.61792826389</v>
      </c>
      <c r="B19" s="1" t="s">
        <v>226</v>
      </c>
      <c r="C19" s="203">
        <v>8.711</v>
      </c>
      <c r="D19" s="1" t="s">
        <v>224</v>
      </c>
    </row>
    <row r="20">
      <c r="A20" s="253">
        <v>45902.61792826389</v>
      </c>
      <c r="B20" s="1" t="s">
        <v>190</v>
      </c>
      <c r="C20" s="203">
        <v>6.894</v>
      </c>
      <c r="D20" s="1" t="s">
        <v>62</v>
      </c>
    </row>
    <row r="21">
      <c r="A21" s="253">
        <v>45902.61792826389</v>
      </c>
      <c r="B21" s="1" t="s">
        <v>168</v>
      </c>
      <c r="C21" s="203">
        <v>6.758</v>
      </c>
      <c r="D21" s="1" t="s">
        <v>132</v>
      </c>
    </row>
    <row r="22">
      <c r="A22" s="253">
        <v>45902.61792826389</v>
      </c>
      <c r="B22" s="1" t="s">
        <v>159</v>
      </c>
      <c r="C22" s="203">
        <v>2.8</v>
      </c>
      <c r="D22" s="1" t="s">
        <v>249</v>
      </c>
    </row>
    <row r="23">
      <c r="A23" s="253">
        <v>45902.61792826389</v>
      </c>
      <c r="B23" s="1" t="s">
        <v>98</v>
      </c>
      <c r="C23" s="203">
        <v>5.491</v>
      </c>
      <c r="D23" s="1" t="s">
        <v>238</v>
      </c>
    </row>
    <row r="24">
      <c r="A24" s="253">
        <v>45902.61792826389</v>
      </c>
      <c r="B24" s="1" t="s">
        <v>111</v>
      </c>
      <c r="C24" s="203">
        <v>7.7</v>
      </c>
      <c r="D24" s="1" t="s">
        <v>249</v>
      </c>
    </row>
    <row r="25">
      <c r="A25" s="253">
        <v>45902.61792826389</v>
      </c>
      <c r="B25" s="1" t="s">
        <v>223</v>
      </c>
      <c r="C25" s="203">
        <v>3.7969999999999997</v>
      </c>
      <c r="D25" s="1" t="s">
        <v>156</v>
      </c>
    </row>
    <row r="26">
      <c r="A26" s="253">
        <v>45902.61792826389</v>
      </c>
      <c r="B26" s="1" t="s">
        <v>191</v>
      </c>
      <c r="C26" s="203">
        <v>4.996</v>
      </c>
      <c r="D26" s="1" t="s">
        <v>224</v>
      </c>
    </row>
    <row r="27">
      <c r="A27" s="253">
        <v>45902.61792826389</v>
      </c>
      <c r="B27" s="1" t="s">
        <v>178</v>
      </c>
      <c r="C27" s="203">
        <v>6.26</v>
      </c>
      <c r="D27" s="1" t="s">
        <v>62</v>
      </c>
    </row>
    <row r="28">
      <c r="A28" s="253">
        <v>45902.61792826389</v>
      </c>
      <c r="B28" s="1" t="s">
        <v>112</v>
      </c>
      <c r="C28" s="203">
        <v>7.068</v>
      </c>
      <c r="D28" s="1" t="s">
        <v>249</v>
      </c>
    </row>
    <row r="29">
      <c r="A29" s="253">
        <v>45902.61792826389</v>
      </c>
      <c r="B29" s="1" t="s">
        <v>100</v>
      </c>
      <c r="C29" s="203">
        <v>6.3790000000000004</v>
      </c>
      <c r="D29" s="1" t="s">
        <v>95</v>
      </c>
    </row>
    <row r="30">
      <c r="A30" s="253">
        <v>45902.61792826389</v>
      </c>
      <c r="B30" s="1" t="s">
        <v>304</v>
      </c>
      <c r="C30" s="203">
        <v>4.49</v>
      </c>
      <c r="D30" s="1" t="s">
        <v>62</v>
      </c>
    </row>
    <row r="31">
      <c r="A31" s="253">
        <v>45902.61792826389</v>
      </c>
      <c r="B31" s="1" t="s">
        <v>150</v>
      </c>
      <c r="C31" s="203">
        <v>4.598999999999999</v>
      </c>
      <c r="D31" s="1" t="s">
        <v>193</v>
      </c>
    </row>
    <row r="32">
      <c r="A32" s="253">
        <v>45902.61792826389</v>
      </c>
      <c r="B32" s="1" t="s">
        <v>203</v>
      </c>
      <c r="C32" s="203">
        <v>6.782</v>
      </c>
      <c r="D32" s="1" t="s">
        <v>224</v>
      </c>
    </row>
    <row r="33">
      <c r="A33" s="253">
        <v>45902.61792826389</v>
      </c>
      <c r="B33" s="1" t="s">
        <v>545</v>
      </c>
      <c r="C33" s="203">
        <v>6.414</v>
      </c>
      <c r="D33" s="1" t="s">
        <v>132</v>
      </c>
    </row>
    <row r="34">
      <c r="A34" s="253">
        <v>45902.61792826389</v>
      </c>
      <c r="B34" s="1" t="s">
        <v>113</v>
      </c>
      <c r="C34" s="203">
        <v>7.652</v>
      </c>
      <c r="D34" s="1" t="s">
        <v>224</v>
      </c>
    </row>
    <row r="35">
      <c r="A35" s="253">
        <v>45902.61792826389</v>
      </c>
      <c r="B35" s="1" t="s">
        <v>179</v>
      </c>
      <c r="C35" s="203">
        <v>7.949999999999999</v>
      </c>
      <c r="D35" s="1" t="s">
        <v>395</v>
      </c>
    </row>
    <row r="36">
      <c r="A36" s="253">
        <v>45902.61792826389</v>
      </c>
      <c r="B36" s="1" t="s">
        <v>204</v>
      </c>
      <c r="C36" s="203">
        <v>9.626000000000001</v>
      </c>
      <c r="D36" s="1" t="s">
        <v>96</v>
      </c>
    </row>
    <row r="37">
      <c r="A37" s="253">
        <v>45902.61792826389</v>
      </c>
      <c r="B37" s="1" t="s">
        <v>216</v>
      </c>
      <c r="C37" s="203">
        <v>5.085</v>
      </c>
      <c r="D37" s="1" t="s">
        <v>224</v>
      </c>
    </row>
    <row r="38">
      <c r="A38" s="253">
        <v>45902.61792826389</v>
      </c>
      <c r="B38" s="1" t="s">
        <v>217</v>
      </c>
      <c r="C38" s="203">
        <v>3.991</v>
      </c>
      <c r="D38" s="1" t="s">
        <v>249</v>
      </c>
    </row>
    <row r="39">
      <c r="A39" s="253">
        <v>45902.61792826389</v>
      </c>
      <c r="B39" s="1" t="s">
        <v>114</v>
      </c>
      <c r="C39" s="203">
        <v>8.196000000000002</v>
      </c>
      <c r="D39" s="1" t="s">
        <v>395</v>
      </c>
    </row>
    <row r="40">
      <c r="A40" s="253">
        <v>45902.61792826389</v>
      </c>
      <c r="B40" s="1" t="s">
        <v>536</v>
      </c>
      <c r="C40" s="203">
        <v>5.496</v>
      </c>
      <c r="D40" s="1" t="s">
        <v>96</v>
      </c>
    </row>
    <row r="41">
      <c r="A41" s="253">
        <v>45902.61792826389</v>
      </c>
      <c r="B41" s="1" t="s">
        <v>101</v>
      </c>
      <c r="C41" s="203">
        <v>5.398000000000001</v>
      </c>
      <c r="D41" s="1" t="s">
        <v>395</v>
      </c>
    </row>
    <row r="42">
      <c r="A42" s="253">
        <v>45902.61792826389</v>
      </c>
      <c r="B42" s="1" t="s">
        <v>135</v>
      </c>
      <c r="C42" s="203">
        <v>6.997</v>
      </c>
      <c r="D42" s="1" t="s">
        <v>156</v>
      </c>
    </row>
    <row r="43">
      <c r="A43" s="253">
        <v>45902.61792826389</v>
      </c>
      <c r="B43" s="1" t="s">
        <v>136</v>
      </c>
      <c r="C43" s="203">
        <v>7.894</v>
      </c>
      <c r="D43" s="1" t="s">
        <v>132</v>
      </c>
    </row>
    <row r="44">
      <c r="A44" s="253">
        <v>45902.61792826389</v>
      </c>
      <c r="B44" s="1" t="s">
        <v>137</v>
      </c>
      <c r="C44" s="203">
        <v>6.198</v>
      </c>
      <c r="D44" s="1" t="s">
        <v>249</v>
      </c>
    </row>
    <row r="45">
      <c r="A45" s="253">
        <v>45902.61792826389</v>
      </c>
      <c r="B45" s="1" t="s">
        <v>125</v>
      </c>
      <c r="C45" s="203">
        <v>8.261000000000001</v>
      </c>
      <c r="D45" s="1" t="s">
        <v>311</v>
      </c>
    </row>
    <row r="46">
      <c r="A46" s="253">
        <v>45902.61792826389</v>
      </c>
      <c r="B46" s="1" t="s">
        <v>231</v>
      </c>
      <c r="C46" s="203">
        <v>7.816</v>
      </c>
      <c r="D46" s="1" t="s">
        <v>395</v>
      </c>
    </row>
    <row r="47">
      <c r="A47" s="253">
        <v>45902.61792826389</v>
      </c>
      <c r="B47" s="1" t="s">
        <v>126</v>
      </c>
      <c r="C47" s="203">
        <v>7.902</v>
      </c>
      <c r="D47" s="1" t="s">
        <v>193</v>
      </c>
    </row>
    <row r="48">
      <c r="A48" s="253">
        <v>45902.61792826389</v>
      </c>
      <c r="B48" s="1" t="s">
        <v>127</v>
      </c>
      <c r="C48" s="203">
        <v>6.868</v>
      </c>
      <c r="D48" s="1" t="s">
        <v>62</v>
      </c>
    </row>
    <row r="49">
      <c r="A49" s="253">
        <v>45902.61792826389</v>
      </c>
      <c r="B49" s="1" t="s">
        <v>170</v>
      </c>
      <c r="D49" s="1" t="s">
        <v>493</v>
      </c>
    </row>
    <row r="50">
      <c r="A50" s="253">
        <v>45902.61792826389</v>
      </c>
      <c r="B50" s="1" t="s">
        <v>205</v>
      </c>
      <c r="C50" s="203">
        <v>5.0</v>
      </c>
      <c r="D50" s="1" t="s">
        <v>493</v>
      </c>
    </row>
    <row r="51">
      <c r="A51" s="253">
        <v>45902.61792826389</v>
      </c>
      <c r="B51" s="1" t="s">
        <v>227</v>
      </c>
      <c r="C51" s="203">
        <v>7.756</v>
      </c>
      <c r="D51" s="1" t="s">
        <v>62</v>
      </c>
    </row>
    <row r="52">
      <c r="A52" s="253">
        <v>45902.61792826389</v>
      </c>
      <c r="B52" s="1" t="s">
        <v>552</v>
      </c>
      <c r="C52" s="203">
        <v>5.459</v>
      </c>
      <c r="D52" s="1" t="s">
        <v>193</v>
      </c>
    </row>
    <row r="53">
      <c r="A53" s="253">
        <v>45902.61792826389</v>
      </c>
      <c r="B53" s="1" t="s">
        <v>151</v>
      </c>
      <c r="C53" s="203">
        <v>6.3340000000000005</v>
      </c>
      <c r="D53" s="1" t="s">
        <v>249</v>
      </c>
    </row>
    <row r="54">
      <c r="A54" s="253">
        <v>45902.61792826389</v>
      </c>
      <c r="B54" s="1" t="s">
        <v>115</v>
      </c>
      <c r="C54" s="203">
        <v>7.1690000000000005</v>
      </c>
      <c r="D54" s="1" t="s">
        <v>132</v>
      </c>
    </row>
    <row r="55">
      <c r="A55" s="253">
        <v>45902.61792826389</v>
      </c>
      <c r="B55" s="1" t="s">
        <v>206</v>
      </c>
      <c r="C55" s="203">
        <v>8.462</v>
      </c>
      <c r="D55" s="1" t="s">
        <v>311</v>
      </c>
    </row>
    <row r="56">
      <c r="A56" s="253">
        <v>45902.61792826389</v>
      </c>
      <c r="B56" s="1" t="s">
        <v>152</v>
      </c>
      <c r="C56" s="203">
        <v>6.558999999999999</v>
      </c>
      <c r="D56" s="1" t="s">
        <v>311</v>
      </c>
    </row>
    <row r="57">
      <c r="A57" s="253">
        <v>45902.61792826389</v>
      </c>
      <c r="B57" s="1" t="s">
        <v>138</v>
      </c>
      <c r="C57" s="203">
        <v>6.699</v>
      </c>
      <c r="D57" s="1" t="s">
        <v>493</v>
      </c>
    </row>
    <row r="58">
      <c r="A58" s="253">
        <v>45902.61792826389</v>
      </c>
      <c r="B58" s="1" t="s">
        <v>102</v>
      </c>
      <c r="C58" s="203">
        <v>8.847999999999999</v>
      </c>
      <c r="D58" s="1" t="s">
        <v>238</v>
      </c>
    </row>
    <row r="59">
      <c r="A59" s="253">
        <v>45902.61792826389</v>
      </c>
      <c r="B59" s="1" t="s">
        <v>548</v>
      </c>
      <c r="C59" s="203">
        <v>6.651</v>
      </c>
      <c r="D59" s="1" t="s">
        <v>238</v>
      </c>
    </row>
    <row r="60">
      <c r="A60" s="253">
        <v>45902.61792826389</v>
      </c>
      <c r="B60" s="1" t="s">
        <v>116</v>
      </c>
      <c r="C60" s="203">
        <v>9.468</v>
      </c>
      <c r="D60" s="1" t="s">
        <v>156</v>
      </c>
    </row>
    <row r="61">
      <c r="A61" s="253">
        <v>45902.61792826389</v>
      </c>
      <c r="B61" s="1" t="s">
        <v>140</v>
      </c>
      <c r="C61" s="203">
        <v>5.2</v>
      </c>
      <c r="D61" s="1" t="s">
        <v>224</v>
      </c>
    </row>
    <row r="62">
      <c r="A62" s="253">
        <v>45902.61792826389</v>
      </c>
      <c r="B62" s="1" t="s">
        <v>139</v>
      </c>
      <c r="C62" s="203">
        <v>8.071</v>
      </c>
      <c r="D62" s="1" t="s">
        <v>311</v>
      </c>
    </row>
    <row r="63">
      <c r="A63" s="253">
        <v>45902.61792826389</v>
      </c>
      <c r="B63" s="1" t="s">
        <v>153</v>
      </c>
      <c r="D63" s="1" t="s">
        <v>96</v>
      </c>
    </row>
    <row r="64">
      <c r="A64" s="253">
        <v>45902.61792826389</v>
      </c>
      <c r="B64" s="1" t="s">
        <v>141</v>
      </c>
      <c r="C64" s="203">
        <v>6.598999999999999</v>
      </c>
      <c r="D64" s="1" t="s">
        <v>238</v>
      </c>
    </row>
    <row r="65">
      <c r="A65" s="253">
        <v>45902.61792826389</v>
      </c>
      <c r="B65" s="1" t="s">
        <v>207</v>
      </c>
      <c r="C65" s="203">
        <v>4.8</v>
      </c>
      <c r="D65" s="1" t="s">
        <v>493</v>
      </c>
    </row>
    <row r="66">
      <c r="A66" s="253">
        <v>45902.61792826389</v>
      </c>
      <c r="B66" s="1" t="s">
        <v>208</v>
      </c>
      <c r="C66" s="203">
        <v>7.982</v>
      </c>
      <c r="D66" s="1" t="s">
        <v>156</v>
      </c>
    </row>
    <row r="67">
      <c r="A67" s="253">
        <v>45902.61792826389</v>
      </c>
      <c r="B67" s="1" t="s">
        <v>103</v>
      </c>
      <c r="C67" s="203">
        <v>7.641</v>
      </c>
      <c r="D67" s="1" t="s">
        <v>224</v>
      </c>
    </row>
    <row r="68">
      <c r="A68" s="253">
        <v>45902.61792826389</v>
      </c>
      <c r="B68" s="1" t="s">
        <v>117</v>
      </c>
      <c r="C68" s="203">
        <v>6.1930000000000005</v>
      </c>
      <c r="D68" s="1" t="s">
        <v>95</v>
      </c>
    </row>
    <row r="69">
      <c r="A69" s="253">
        <v>45902.61792826389</v>
      </c>
      <c r="B69" s="1" t="s">
        <v>142</v>
      </c>
      <c r="C69" s="203">
        <v>7.893000000000001</v>
      </c>
      <c r="D69" s="1" t="s">
        <v>96</v>
      </c>
    </row>
    <row r="70">
      <c r="A70" s="253">
        <v>45902.61792826389</v>
      </c>
      <c r="B70" s="1" t="s">
        <v>181</v>
      </c>
      <c r="C70" s="203">
        <v>4.098999999999999</v>
      </c>
      <c r="D70" s="1" t="s">
        <v>156</v>
      </c>
    </row>
    <row r="71">
      <c r="A71" s="253">
        <v>45902.61792826389</v>
      </c>
      <c r="B71" s="1" t="s">
        <v>182</v>
      </c>
      <c r="C71" s="203">
        <v>5.1930000000000005</v>
      </c>
      <c r="D71" s="1" t="s">
        <v>193</v>
      </c>
    </row>
    <row r="72">
      <c r="A72" s="253">
        <v>45902.61792826389</v>
      </c>
      <c r="B72" s="1" t="s">
        <v>228</v>
      </c>
      <c r="C72" s="203">
        <v>4.5969999999999995</v>
      </c>
      <c r="D72" s="1" t="s">
        <v>43</v>
      </c>
    </row>
    <row r="73">
      <c r="A73" s="253">
        <v>45902.61792826389</v>
      </c>
      <c r="B73" s="1" t="s">
        <v>118</v>
      </c>
      <c r="C73" s="203">
        <v>4.2</v>
      </c>
      <c r="D73" s="1" t="s">
        <v>43</v>
      </c>
    </row>
    <row r="74">
      <c r="A74" s="253">
        <v>45902.61792826389</v>
      </c>
      <c r="B74" s="1" t="s">
        <v>154</v>
      </c>
      <c r="C74" s="203">
        <v>6.884</v>
      </c>
      <c r="D74" s="1" t="s">
        <v>156</v>
      </c>
    </row>
    <row r="75">
      <c r="A75" s="253">
        <v>45902.61792826389</v>
      </c>
      <c r="B75" s="1" t="s">
        <v>172</v>
      </c>
      <c r="C75" s="203">
        <v>6.553</v>
      </c>
      <c r="D75" s="1" t="s">
        <v>311</v>
      </c>
    </row>
    <row r="76">
      <c r="A76" s="253">
        <v>45902.61792826389</v>
      </c>
      <c r="B76" s="1" t="s">
        <v>143</v>
      </c>
      <c r="C76" s="203">
        <v>4.0</v>
      </c>
      <c r="D76" s="1" t="s">
        <v>493</v>
      </c>
    </row>
    <row r="77">
      <c r="A77" s="253">
        <v>45902.61792826389</v>
      </c>
      <c r="B77" s="1" t="s">
        <v>229</v>
      </c>
      <c r="C77" s="203">
        <v>9.0</v>
      </c>
      <c r="D77" s="1" t="s">
        <v>96</v>
      </c>
    </row>
    <row r="78">
      <c r="A78" s="253">
        <v>45902.61792826389</v>
      </c>
      <c r="B78" s="1" t="s">
        <v>173</v>
      </c>
      <c r="C78" s="203">
        <v>7.6899999999999995</v>
      </c>
      <c r="D78" s="1" t="s">
        <v>96</v>
      </c>
    </row>
    <row r="79">
      <c r="A79" s="253">
        <v>45902.61792826389</v>
      </c>
      <c r="B79" s="1" t="s">
        <v>144</v>
      </c>
      <c r="C79" s="203">
        <v>10.454</v>
      </c>
      <c r="D79" s="1" t="s">
        <v>193</v>
      </c>
    </row>
    <row r="80">
      <c r="A80" s="253">
        <v>45902.61792826389</v>
      </c>
      <c r="B80" s="1" t="s">
        <v>128</v>
      </c>
      <c r="C80" s="203">
        <v>5.996</v>
      </c>
      <c r="D80" s="1" t="s">
        <v>95</v>
      </c>
    </row>
    <row r="81">
      <c r="A81" s="253">
        <v>45902.61792826389</v>
      </c>
      <c r="B81" s="1" t="s">
        <v>129</v>
      </c>
      <c r="C81" s="203">
        <v>5.198</v>
      </c>
      <c r="D81" s="1" t="s">
        <v>96</v>
      </c>
    </row>
    <row r="82">
      <c r="A82" s="253">
        <v>45902.61792826389</v>
      </c>
      <c r="B82" s="1" t="s">
        <v>155</v>
      </c>
      <c r="C82" s="203">
        <v>6.577</v>
      </c>
      <c r="D82" s="1" t="s">
        <v>62</v>
      </c>
    </row>
    <row r="83">
      <c r="A83" s="253">
        <v>45902.61792826389</v>
      </c>
      <c r="B83" s="1" t="s">
        <v>209</v>
      </c>
      <c r="C83" s="203">
        <v>9.629000000000001</v>
      </c>
      <c r="D83" s="1" t="s">
        <v>249</v>
      </c>
    </row>
    <row r="84">
      <c r="A84" s="253">
        <v>45902.61792826389</v>
      </c>
      <c r="B84" s="1" t="s">
        <v>192</v>
      </c>
      <c r="C84" s="203">
        <v>9.641</v>
      </c>
      <c r="D84" s="1" t="s">
        <v>311</v>
      </c>
    </row>
    <row r="85">
      <c r="A85" s="253">
        <v>45902.61792826389</v>
      </c>
      <c r="B85" s="1" t="s">
        <v>194</v>
      </c>
      <c r="C85" s="203">
        <v>5.0</v>
      </c>
      <c r="D85" s="1" t="s">
        <v>193</v>
      </c>
    </row>
    <row r="86">
      <c r="A86" s="253">
        <v>45902.61792826389</v>
      </c>
      <c r="B86" s="1" t="s">
        <v>145</v>
      </c>
      <c r="C86" s="203">
        <v>10.067</v>
      </c>
      <c r="D86" s="1" t="s">
        <v>43</v>
      </c>
    </row>
    <row r="87">
      <c r="A87" s="253">
        <v>45902.61792826389</v>
      </c>
      <c r="B87" s="1" t="s">
        <v>119</v>
      </c>
      <c r="C87" s="203">
        <v>5.892</v>
      </c>
      <c r="D87" s="1" t="s">
        <v>238</v>
      </c>
    </row>
    <row r="88">
      <c r="A88" s="253">
        <v>45902.61792826389</v>
      </c>
      <c r="B88" s="1" t="s">
        <v>146</v>
      </c>
      <c r="C88" s="203">
        <v>3.9</v>
      </c>
      <c r="D88" s="1" t="s">
        <v>493</v>
      </c>
    </row>
    <row r="89">
      <c r="A89" s="253">
        <v>45902.61792826389</v>
      </c>
      <c r="B89" s="1" t="s">
        <v>157</v>
      </c>
      <c r="C89" s="203">
        <v>6.096</v>
      </c>
      <c r="D89" s="1" t="s">
        <v>43</v>
      </c>
    </row>
    <row r="90">
      <c r="A90" s="253">
        <v>45902.61792826389</v>
      </c>
      <c r="B90" s="1" t="s">
        <v>147</v>
      </c>
      <c r="C90" s="203">
        <v>6.1</v>
      </c>
      <c r="D90" s="1" t="s">
        <v>395</v>
      </c>
    </row>
    <row r="91">
      <c r="A91" s="253">
        <v>45902.61792826389</v>
      </c>
      <c r="B91" s="1" t="s">
        <v>183</v>
      </c>
      <c r="C91" s="203">
        <v>5.686</v>
      </c>
      <c r="D91" s="1" t="s">
        <v>249</v>
      </c>
    </row>
    <row r="92">
      <c r="A92" s="253">
        <v>45902.61792826389</v>
      </c>
      <c r="B92" s="1" t="s">
        <v>549</v>
      </c>
      <c r="C92" s="203">
        <v>5.085</v>
      </c>
      <c r="D92" s="1" t="s">
        <v>238</v>
      </c>
    </row>
    <row r="93">
      <c r="A93" s="253">
        <v>45902.61792826389</v>
      </c>
      <c r="B93" s="1" t="s">
        <v>104</v>
      </c>
      <c r="C93" s="203">
        <v>8.277000000000001</v>
      </c>
      <c r="D93" s="1" t="s">
        <v>193</v>
      </c>
    </row>
    <row r="94">
      <c r="A94" s="253">
        <v>45902.61792826389</v>
      </c>
      <c r="B94" s="1" t="s">
        <v>220</v>
      </c>
      <c r="C94" s="203">
        <v>6.117</v>
      </c>
      <c r="D94" s="1" t="s">
        <v>238</v>
      </c>
    </row>
    <row r="95">
      <c r="A95" s="253">
        <v>45902.61792826389</v>
      </c>
      <c r="B95" s="1" t="s">
        <v>210</v>
      </c>
      <c r="C95" s="203">
        <v>8.358</v>
      </c>
      <c r="D95" s="1" t="s">
        <v>132</v>
      </c>
    </row>
    <row r="96">
      <c r="A96" s="253">
        <v>45902.61792826389</v>
      </c>
      <c r="B96" s="1" t="s">
        <v>105</v>
      </c>
      <c r="C96" s="203">
        <v>8.207</v>
      </c>
      <c r="D96" s="1" t="s">
        <v>96</v>
      </c>
    </row>
    <row r="97">
      <c r="A97" s="253">
        <v>45902.61792826389</v>
      </c>
      <c r="B97" s="1" t="s">
        <v>546</v>
      </c>
      <c r="C97" s="203">
        <v>4.491</v>
      </c>
      <c r="D97" s="1" t="s">
        <v>493</v>
      </c>
    </row>
    <row r="98">
      <c r="A98" s="253">
        <v>45902.61792826389</v>
      </c>
      <c r="B98" s="1" t="s">
        <v>195</v>
      </c>
      <c r="C98" s="203">
        <v>3.399</v>
      </c>
      <c r="D98" s="1" t="s">
        <v>493</v>
      </c>
    </row>
    <row r="99">
      <c r="A99" s="253">
        <v>45902.61792826389</v>
      </c>
      <c r="B99" s="1" t="s">
        <v>120</v>
      </c>
      <c r="C99" s="203">
        <v>4.498</v>
      </c>
      <c r="D99" s="1" t="s">
        <v>493</v>
      </c>
    </row>
    <row r="100">
      <c r="A100" s="253">
        <v>45902.61792826389</v>
      </c>
      <c r="B100" s="1" t="s">
        <v>130</v>
      </c>
      <c r="C100" s="203">
        <v>8.699</v>
      </c>
      <c r="D100" s="1" t="s">
        <v>95</v>
      </c>
    </row>
    <row r="101">
      <c r="A101" s="253">
        <v>45902.61792826389</v>
      </c>
      <c r="B101" s="1" t="s">
        <v>106</v>
      </c>
      <c r="C101" s="203">
        <v>6.09</v>
      </c>
      <c r="D101" s="1" t="s">
        <v>493</v>
      </c>
    </row>
    <row r="102">
      <c r="A102" s="253">
        <v>45902.61792826389</v>
      </c>
      <c r="B102" s="1" t="s">
        <v>211</v>
      </c>
      <c r="C102" s="203">
        <v>9.41</v>
      </c>
      <c r="D102" s="1" t="s">
        <v>193</v>
      </c>
    </row>
    <row r="103">
      <c r="A103" s="253">
        <v>45902.61792826389</v>
      </c>
      <c r="B103" s="1" t="s">
        <v>539</v>
      </c>
      <c r="C103" s="203">
        <v>7.475</v>
      </c>
      <c r="D103" s="1" t="s">
        <v>238</v>
      </c>
    </row>
    <row r="104">
      <c r="A104" s="253">
        <v>45902.61792826389</v>
      </c>
      <c r="B104" s="1" t="s">
        <v>131</v>
      </c>
      <c r="C104" s="203">
        <v>9.226</v>
      </c>
      <c r="D104" s="1" t="s">
        <v>132</v>
      </c>
    </row>
    <row r="105">
      <c r="A105" s="253">
        <v>45902.61792826389</v>
      </c>
      <c r="B105" s="1" t="s">
        <v>221</v>
      </c>
      <c r="C105" s="203">
        <v>7.848999999999999</v>
      </c>
      <c r="D105" s="1" t="s">
        <v>95</v>
      </c>
    </row>
    <row r="106">
      <c r="A106" s="253">
        <v>45902.61792826389</v>
      </c>
      <c r="B106" s="1" t="s">
        <v>133</v>
      </c>
      <c r="C106" s="203">
        <v>7.563</v>
      </c>
      <c r="D106" s="1" t="s">
        <v>43</v>
      </c>
    </row>
    <row r="107">
      <c r="A107" s="253">
        <v>45902.61792826389</v>
      </c>
      <c r="B107" s="1" t="s">
        <v>174</v>
      </c>
      <c r="C107" s="203">
        <v>7.879</v>
      </c>
      <c r="D107" s="1" t="s">
        <v>156</v>
      </c>
    </row>
    <row r="108">
      <c r="A108" s="253">
        <v>45902.61792826389</v>
      </c>
      <c r="B108" s="1" t="s">
        <v>222</v>
      </c>
      <c r="C108" s="203">
        <v>6.0409999999999995</v>
      </c>
      <c r="D108" s="1" t="s">
        <v>96</v>
      </c>
    </row>
    <row r="109">
      <c r="A109" s="253">
        <v>45902.61792826389</v>
      </c>
      <c r="B109" s="1" t="s">
        <v>107</v>
      </c>
      <c r="C109" s="203">
        <v>8.994</v>
      </c>
      <c r="D109" s="1" t="s">
        <v>132</v>
      </c>
    </row>
    <row r="110">
      <c r="A110" s="253">
        <v>45902.61792826389</v>
      </c>
      <c r="B110" s="1" t="s">
        <v>108</v>
      </c>
      <c r="C110" s="203">
        <v>4.4</v>
      </c>
      <c r="D110" s="1" t="s">
        <v>493</v>
      </c>
    </row>
    <row r="111">
      <c r="A111" s="253">
        <v>45902.61792826389</v>
      </c>
      <c r="B111" s="1" t="s">
        <v>163</v>
      </c>
      <c r="C111" s="203">
        <v>4.1</v>
      </c>
      <c r="D111" s="1" t="s">
        <v>62</v>
      </c>
    </row>
    <row r="112">
      <c r="A112" s="253">
        <v>45902.61792826389</v>
      </c>
      <c r="B112" s="1" t="s">
        <v>109</v>
      </c>
      <c r="C112" s="203">
        <v>6.69</v>
      </c>
      <c r="D112" s="1" t="s">
        <v>156</v>
      </c>
    </row>
    <row r="113">
      <c r="A113" s="253">
        <v>45902.61792826389</v>
      </c>
      <c r="B113" s="1" t="s">
        <v>196</v>
      </c>
      <c r="C113" s="203">
        <v>2.9</v>
      </c>
      <c r="D113" s="1" t="s">
        <v>62</v>
      </c>
    </row>
    <row r="114">
      <c r="A114" s="253">
        <v>45902.61792826389</v>
      </c>
      <c r="B114" s="1" t="s">
        <v>99</v>
      </c>
      <c r="C114" s="203">
        <v>7.6</v>
      </c>
      <c r="D114" s="1" t="s">
        <v>395</v>
      </c>
    </row>
    <row r="115">
      <c r="A115" s="253">
        <v>45902.61792826389</v>
      </c>
      <c r="B115" s="1" t="s">
        <v>219</v>
      </c>
      <c r="C115" s="203">
        <v>5.181</v>
      </c>
      <c r="D115" s="1" t="s">
        <v>493</v>
      </c>
    </row>
    <row r="116">
      <c r="A116" s="253">
        <v>45902.61792826389</v>
      </c>
      <c r="B116" s="1" t="s">
        <v>527</v>
      </c>
      <c r="D116" s="1" t="s">
        <v>43</v>
      </c>
    </row>
    <row r="117">
      <c r="A117" s="253">
        <v>45902.61792826389</v>
      </c>
      <c r="B117" s="1" t="s">
        <v>185</v>
      </c>
      <c r="C117" s="203">
        <v>9.547</v>
      </c>
      <c r="D117" s="1" t="s">
        <v>224</v>
      </c>
    </row>
    <row r="118">
      <c r="A118" s="253">
        <v>45902.61792826389</v>
      </c>
      <c r="B118" s="1" t="s">
        <v>197</v>
      </c>
      <c r="C118" s="203">
        <v>9.794</v>
      </c>
      <c r="D118" s="1" t="s">
        <v>95</v>
      </c>
    </row>
    <row r="119">
      <c r="A119" s="253">
        <v>45902.61792826389</v>
      </c>
      <c r="B119" s="1" t="s">
        <v>186</v>
      </c>
      <c r="C119" s="203">
        <v>5.5889999999999995</v>
      </c>
      <c r="D119" s="1" t="s">
        <v>311</v>
      </c>
    </row>
    <row r="120">
      <c r="A120" s="253">
        <v>45902.61792826389</v>
      </c>
      <c r="B120" s="1" t="s">
        <v>198</v>
      </c>
      <c r="C120" s="203">
        <v>8.737</v>
      </c>
      <c r="D120" s="1" t="s">
        <v>95</v>
      </c>
    </row>
    <row r="121">
      <c r="A121" s="253">
        <v>45902.61792826389</v>
      </c>
      <c r="B121" s="1" t="s">
        <v>160</v>
      </c>
      <c r="C121" s="203">
        <v>4.49</v>
      </c>
      <c r="D121" s="1" t="s">
        <v>238</v>
      </c>
    </row>
    <row r="122">
      <c r="A122" s="253">
        <v>45902.61792826389</v>
      </c>
      <c r="B122" s="1" t="s">
        <v>161</v>
      </c>
      <c r="C122" s="203">
        <v>6.664000000000001</v>
      </c>
      <c r="D122" s="1" t="s">
        <v>311</v>
      </c>
    </row>
    <row r="123">
      <c r="A123" s="253">
        <v>45902.61792826389</v>
      </c>
      <c r="B123" s="1" t="s">
        <v>213</v>
      </c>
      <c r="C123" s="203">
        <v>5.2</v>
      </c>
      <c r="D123" s="1" t="s">
        <v>395</v>
      </c>
    </row>
    <row r="124">
      <c r="A124" s="253">
        <v>45902.61792826389</v>
      </c>
      <c r="B124" s="1" t="s">
        <v>121</v>
      </c>
      <c r="C124" s="203">
        <v>8.071</v>
      </c>
      <c r="D124" s="1" t="s">
        <v>96</v>
      </c>
    </row>
    <row r="125">
      <c r="A125" s="253">
        <v>45902.61792826389</v>
      </c>
      <c r="B125" s="1" t="s">
        <v>122</v>
      </c>
      <c r="C125" s="203">
        <v>6.947</v>
      </c>
      <c r="D125" s="1" t="s">
        <v>311</v>
      </c>
    </row>
    <row r="126">
      <c r="A126" s="253">
        <v>45902.61792826389</v>
      </c>
      <c r="B126" s="1" t="s">
        <v>123</v>
      </c>
      <c r="C126" s="203">
        <v>4.6</v>
      </c>
      <c r="D126" s="1" t="s">
        <v>493</v>
      </c>
    </row>
    <row r="127">
      <c r="A127" s="253">
        <v>45902.61792826389</v>
      </c>
      <c r="B127" s="1" t="s">
        <v>199</v>
      </c>
      <c r="C127" s="203">
        <v>7.396000000000001</v>
      </c>
      <c r="D127" s="1" t="s">
        <v>62</v>
      </c>
    </row>
    <row r="128">
      <c r="A128" s="253">
        <v>45902.61792826389</v>
      </c>
      <c r="B128" s="1" t="s">
        <v>200</v>
      </c>
      <c r="C128" s="203">
        <v>4.8</v>
      </c>
      <c r="D128" s="1" t="s">
        <v>493</v>
      </c>
    </row>
    <row r="129">
      <c r="A129" s="253">
        <v>45902.61792826389</v>
      </c>
      <c r="B129" s="1" t="s">
        <v>134</v>
      </c>
      <c r="C129" s="203">
        <v>5.098</v>
      </c>
      <c r="D129" s="1" t="s">
        <v>132</v>
      </c>
    </row>
    <row r="130">
      <c r="A130" s="253">
        <v>45902.61792826389</v>
      </c>
      <c r="B130" s="1" t="s">
        <v>162</v>
      </c>
      <c r="C130" s="203">
        <v>7.9990000000000006</v>
      </c>
      <c r="D130" s="1" t="s">
        <v>395</v>
      </c>
    </row>
    <row r="131">
      <c r="A131" s="253">
        <v>45902.61792826389</v>
      </c>
      <c r="B131" s="1" t="s">
        <v>175</v>
      </c>
      <c r="C131" s="203">
        <v>4.984</v>
      </c>
      <c r="D131" s="1" t="s">
        <v>395</v>
      </c>
    </row>
    <row r="132">
      <c r="A132" s="253">
        <v>45902.61792826389</v>
      </c>
      <c r="B132" s="1" t="s">
        <v>148</v>
      </c>
      <c r="C132" s="203">
        <v>6.0969999999999995</v>
      </c>
      <c r="D132" s="1" t="s">
        <v>238</v>
      </c>
    </row>
    <row r="133">
      <c r="A133" s="253">
        <v>45902.61792826389</v>
      </c>
      <c r="B133" s="1" t="s">
        <v>187</v>
      </c>
      <c r="C133" s="203">
        <v>5.784</v>
      </c>
      <c r="D133" s="1" t="s">
        <v>132</v>
      </c>
    </row>
    <row r="134">
      <c r="A134" s="253">
        <v>45902.61792826389</v>
      </c>
      <c r="B134" s="1" t="s">
        <v>234</v>
      </c>
      <c r="C134" s="203">
        <v>4.189</v>
      </c>
      <c r="D134" s="1" t="s">
        <v>311</v>
      </c>
    </row>
    <row r="135">
      <c r="A135" s="253">
        <v>45902.61792826389</v>
      </c>
      <c r="B135" s="1" t="s">
        <v>232</v>
      </c>
      <c r="C135" s="203">
        <v>7.453</v>
      </c>
      <c r="D135" s="1" t="s">
        <v>156</v>
      </c>
    </row>
    <row r="136">
      <c r="A136" s="253">
        <v>45902.61792826389</v>
      </c>
    </row>
    <row r="137">
      <c r="A137" s="253">
        <v>45902.61792826389</v>
      </c>
    </row>
    <row r="138">
      <c r="A138" s="253">
        <v>45902.61792826389</v>
      </c>
    </row>
    <row r="139">
      <c r="A139" s="1" t="s">
        <v>914</v>
      </c>
      <c r="B139" s="1" t="s">
        <v>13</v>
      </c>
      <c r="C139" s="1" t="s">
        <v>2047</v>
      </c>
      <c r="D139" s="1" t="s">
        <v>2048</v>
      </c>
    </row>
    <row r="140">
      <c r="A140" s="253">
        <v>45909.06845365741</v>
      </c>
      <c r="B140" s="1" t="s">
        <v>176</v>
      </c>
      <c r="C140" s="203">
        <v>5.093999999999999</v>
      </c>
      <c r="D140" s="1" t="s">
        <v>43</v>
      </c>
    </row>
    <row r="141">
      <c r="A141" s="253">
        <v>45909.06845365741</v>
      </c>
      <c r="B141" s="1" t="s">
        <v>164</v>
      </c>
      <c r="D141" s="1" t="s">
        <v>193</v>
      </c>
    </row>
    <row r="142">
      <c r="A142" s="253">
        <v>45909.06845365741</v>
      </c>
      <c r="B142" s="1" t="s">
        <v>201</v>
      </c>
      <c r="C142" s="203">
        <v>8.331</v>
      </c>
      <c r="D142" s="1" t="s">
        <v>62</v>
      </c>
    </row>
    <row r="143">
      <c r="A143" s="253">
        <v>45909.06845365741</v>
      </c>
      <c r="B143" s="1" t="e">
        <v>#N/A</v>
      </c>
      <c r="C143" s="1" t="e">
        <v>#N/A</v>
      </c>
      <c r="D143" s="1" t="s">
        <v>2050</v>
      </c>
    </row>
    <row r="144">
      <c r="A144" s="253">
        <v>45909.06845365741</v>
      </c>
      <c r="B144" s="1" t="s">
        <v>189</v>
      </c>
      <c r="C144" s="203">
        <v>6.364000000000001</v>
      </c>
      <c r="D144" s="1" t="s">
        <v>43</v>
      </c>
    </row>
    <row r="145">
      <c r="A145" s="253">
        <v>45909.06845365741</v>
      </c>
      <c r="B145" s="1" t="s">
        <v>188</v>
      </c>
      <c r="C145" s="203">
        <v>7.069999999999999</v>
      </c>
      <c r="D145" s="1" t="s">
        <v>493</v>
      </c>
    </row>
    <row r="146">
      <c r="A146" s="253">
        <v>45909.06845365741</v>
      </c>
      <c r="B146" s="1" t="s">
        <v>202</v>
      </c>
      <c r="C146" s="203">
        <v>6.686</v>
      </c>
      <c r="D146" s="1" t="s">
        <v>156</v>
      </c>
    </row>
    <row r="147">
      <c r="A147" s="253">
        <v>45909.06845365741</v>
      </c>
      <c r="B147" s="1" t="s">
        <v>215</v>
      </c>
      <c r="C147" s="203">
        <v>5.093</v>
      </c>
      <c r="D147" s="1" t="s">
        <v>132</v>
      </c>
    </row>
    <row r="148">
      <c r="A148" s="253">
        <v>45909.06845365741</v>
      </c>
      <c r="B148" s="1" t="s">
        <v>225</v>
      </c>
      <c r="C148" s="203">
        <v>6.391</v>
      </c>
      <c r="D148" s="1" t="s">
        <v>395</v>
      </c>
    </row>
    <row r="149">
      <c r="A149" s="253">
        <v>45909.06845365741</v>
      </c>
      <c r="B149" s="1" t="s">
        <v>45</v>
      </c>
      <c r="C149" s="203">
        <v>8.07</v>
      </c>
      <c r="D149" s="1" t="s">
        <v>43</v>
      </c>
    </row>
    <row r="150">
      <c r="A150" s="253">
        <v>45909.06845365741</v>
      </c>
      <c r="B150" s="1" t="s">
        <v>165</v>
      </c>
      <c r="C150" s="203">
        <v>3.399</v>
      </c>
      <c r="D150" s="1" t="s">
        <v>95</v>
      </c>
    </row>
    <row r="151">
      <c r="A151" s="253">
        <v>45909.06845365741</v>
      </c>
      <c r="B151" s="1" t="s">
        <v>124</v>
      </c>
      <c r="C151" s="203">
        <v>7.146</v>
      </c>
      <c r="D151" s="1" t="s">
        <v>249</v>
      </c>
    </row>
    <row r="152">
      <c r="A152" s="253">
        <v>45909.06845365741</v>
      </c>
      <c r="B152" s="1" t="s">
        <v>177</v>
      </c>
      <c r="C152" s="203">
        <v>8.264999999999999</v>
      </c>
      <c r="D152" s="1" t="s">
        <v>95</v>
      </c>
    </row>
    <row r="153">
      <c r="A153" s="253">
        <v>45909.06845365741</v>
      </c>
      <c r="B153" s="1" t="s">
        <v>110</v>
      </c>
      <c r="C153" s="203">
        <v>6.069999999999999</v>
      </c>
      <c r="D153" s="1" t="s">
        <v>493</v>
      </c>
    </row>
    <row r="154">
      <c r="A154" s="253">
        <v>45909.06845365741</v>
      </c>
      <c r="B154" s="1" t="s">
        <v>166</v>
      </c>
      <c r="C154" s="203">
        <v>6.829000000000001</v>
      </c>
      <c r="D154" s="1" t="s">
        <v>224</v>
      </c>
    </row>
    <row r="155">
      <c r="A155" s="253">
        <v>45909.06845365741</v>
      </c>
      <c r="B155" s="1" t="s">
        <v>167</v>
      </c>
      <c r="C155" s="203">
        <v>6.945</v>
      </c>
      <c r="D155" s="1" t="s">
        <v>249</v>
      </c>
    </row>
    <row r="156">
      <c r="A156" s="253">
        <v>45909.06845365741</v>
      </c>
      <c r="B156" s="1" t="s">
        <v>226</v>
      </c>
      <c r="C156" s="203">
        <v>8.63</v>
      </c>
      <c r="D156" s="1" t="s">
        <v>224</v>
      </c>
    </row>
    <row r="157">
      <c r="A157" s="253">
        <v>45909.06845365741</v>
      </c>
      <c r="B157" s="1" t="s">
        <v>190</v>
      </c>
      <c r="C157" s="203">
        <v>6.993</v>
      </c>
      <c r="D157" s="1" t="s">
        <v>62</v>
      </c>
    </row>
    <row r="158">
      <c r="A158" s="253">
        <v>45909.06845365741</v>
      </c>
      <c r="B158" s="1" t="s">
        <v>168</v>
      </c>
      <c r="C158" s="203">
        <v>6.383</v>
      </c>
      <c r="D158" s="1" t="s">
        <v>132</v>
      </c>
    </row>
    <row r="159">
      <c r="A159" s="253">
        <v>45909.06845365741</v>
      </c>
      <c r="B159" s="1" t="s">
        <v>159</v>
      </c>
      <c r="C159" s="203">
        <v>2.1</v>
      </c>
      <c r="D159" s="1" t="s">
        <v>249</v>
      </c>
    </row>
    <row r="160">
      <c r="A160" s="253">
        <v>45909.06845365741</v>
      </c>
      <c r="B160" s="1" t="s">
        <v>98</v>
      </c>
      <c r="C160" s="203">
        <v>5.7909999999999995</v>
      </c>
      <c r="D160" s="1" t="s">
        <v>238</v>
      </c>
    </row>
    <row r="161">
      <c r="A161" s="253">
        <v>45909.06845365741</v>
      </c>
      <c r="B161" s="1" t="s">
        <v>111</v>
      </c>
      <c r="C161" s="203">
        <v>7.373</v>
      </c>
      <c r="D161" s="1" t="s">
        <v>249</v>
      </c>
    </row>
    <row r="162">
      <c r="A162" s="253">
        <v>45909.06845365741</v>
      </c>
      <c r="B162" s="1" t="s">
        <v>223</v>
      </c>
      <c r="C162" s="203">
        <v>3.997</v>
      </c>
      <c r="D162" s="1" t="s">
        <v>156</v>
      </c>
    </row>
    <row r="163">
      <c r="A163" s="253">
        <v>45909.06845365741</v>
      </c>
      <c r="B163" s="1" t="s">
        <v>191</v>
      </c>
      <c r="C163" s="203">
        <v>5.197</v>
      </c>
      <c r="D163" s="1" t="s">
        <v>224</v>
      </c>
    </row>
    <row r="164">
      <c r="A164" s="253">
        <v>45909.06845365741</v>
      </c>
      <c r="B164" s="1" t="s">
        <v>178</v>
      </c>
      <c r="C164" s="203">
        <v>5.877000000000001</v>
      </c>
      <c r="D164" s="1" t="s">
        <v>62</v>
      </c>
    </row>
    <row r="165">
      <c r="A165" s="253">
        <v>45909.06845365741</v>
      </c>
      <c r="B165" s="1" t="s">
        <v>112</v>
      </c>
      <c r="C165" s="203">
        <v>5.592</v>
      </c>
      <c r="D165" s="1" t="s">
        <v>249</v>
      </c>
    </row>
    <row r="166">
      <c r="A166" s="253">
        <v>45909.06845365741</v>
      </c>
      <c r="B166" s="1" t="s">
        <v>100</v>
      </c>
      <c r="C166" s="203">
        <v>6.774</v>
      </c>
      <c r="D166" s="1" t="s">
        <v>95</v>
      </c>
    </row>
    <row r="167">
      <c r="A167" s="253">
        <v>45909.06845365741</v>
      </c>
      <c r="B167" s="1" t="s">
        <v>304</v>
      </c>
      <c r="C167" s="203">
        <v>3.097</v>
      </c>
      <c r="D167" s="1" t="s">
        <v>62</v>
      </c>
    </row>
    <row r="168">
      <c r="A168" s="253">
        <v>45909.06845365741</v>
      </c>
      <c r="B168" s="1" t="s">
        <v>150</v>
      </c>
      <c r="C168" s="203">
        <v>5.098999999999999</v>
      </c>
      <c r="D168" s="1" t="s">
        <v>193</v>
      </c>
    </row>
    <row r="169">
      <c r="A169" s="253">
        <v>45909.06845365741</v>
      </c>
      <c r="B169" s="1" t="s">
        <v>203</v>
      </c>
      <c r="C169" s="203">
        <v>5.194</v>
      </c>
      <c r="D169" s="1" t="s">
        <v>224</v>
      </c>
    </row>
    <row r="170">
      <c r="A170" s="253">
        <v>45909.06845365741</v>
      </c>
      <c r="B170" s="1" t="s">
        <v>545</v>
      </c>
      <c r="C170" s="203">
        <v>6.319</v>
      </c>
      <c r="D170" s="1" t="s">
        <v>132</v>
      </c>
    </row>
    <row r="171">
      <c r="A171" s="253">
        <v>45909.06845365741</v>
      </c>
      <c r="B171" s="1" t="s">
        <v>113</v>
      </c>
      <c r="C171" s="203">
        <v>8.747</v>
      </c>
      <c r="D171" s="1" t="s">
        <v>224</v>
      </c>
    </row>
    <row r="172">
      <c r="A172" s="253">
        <v>45909.06845365741</v>
      </c>
      <c r="B172" s="1" t="s">
        <v>179</v>
      </c>
      <c r="C172" s="203">
        <v>8.193000000000001</v>
      </c>
      <c r="D172" s="1" t="s">
        <v>395</v>
      </c>
    </row>
    <row r="173">
      <c r="A173" s="253">
        <v>45909.06845365741</v>
      </c>
      <c r="B173" s="1" t="s">
        <v>204</v>
      </c>
      <c r="C173" s="203">
        <v>8.857</v>
      </c>
      <c r="D173" s="1" t="s">
        <v>96</v>
      </c>
    </row>
    <row r="174">
      <c r="A174" s="253">
        <v>45909.06845365741</v>
      </c>
      <c r="B174" s="1" t="s">
        <v>216</v>
      </c>
      <c r="C174" s="203">
        <v>5.0889999999999995</v>
      </c>
      <c r="D174" s="1" t="s">
        <v>224</v>
      </c>
    </row>
    <row r="175">
      <c r="A175" s="253">
        <v>45909.06845365741</v>
      </c>
      <c r="B175" s="1" t="s">
        <v>217</v>
      </c>
      <c r="C175" s="203">
        <v>3.496</v>
      </c>
      <c r="D175" s="1" t="s">
        <v>249</v>
      </c>
    </row>
    <row r="176">
      <c r="A176" s="253">
        <v>45909.06845365741</v>
      </c>
      <c r="B176" s="1" t="s">
        <v>114</v>
      </c>
      <c r="C176" s="203">
        <v>8.636000000000001</v>
      </c>
      <c r="D176" s="1" t="s">
        <v>395</v>
      </c>
    </row>
    <row r="177">
      <c r="A177" s="253">
        <v>45909.06845365741</v>
      </c>
      <c r="B177" s="1" t="s">
        <v>536</v>
      </c>
      <c r="C177" s="203">
        <v>6.293</v>
      </c>
      <c r="D177" s="1" t="s">
        <v>96</v>
      </c>
    </row>
    <row r="178">
      <c r="A178" s="253">
        <v>45909.06845365741</v>
      </c>
      <c r="B178" s="1" t="s">
        <v>101</v>
      </c>
      <c r="C178" s="203">
        <v>6.891</v>
      </c>
      <c r="D178" s="1" t="s">
        <v>395</v>
      </c>
    </row>
    <row r="179">
      <c r="A179" s="253">
        <v>45909.06845365741</v>
      </c>
      <c r="B179" s="1" t="s">
        <v>135</v>
      </c>
      <c r="C179" s="203">
        <v>8.187999999999999</v>
      </c>
      <c r="D179" s="1" t="s">
        <v>156</v>
      </c>
    </row>
    <row r="180">
      <c r="A180" s="253">
        <v>45909.06845365741</v>
      </c>
      <c r="B180" s="1" t="s">
        <v>136</v>
      </c>
      <c r="C180" s="203">
        <v>8.683</v>
      </c>
      <c r="D180" s="1" t="s">
        <v>132</v>
      </c>
    </row>
    <row r="181">
      <c r="A181" s="253">
        <v>45909.06845365741</v>
      </c>
      <c r="B181" s="1" t="s">
        <v>137</v>
      </c>
      <c r="C181" s="203">
        <v>5.199</v>
      </c>
      <c r="D181" s="1" t="s">
        <v>249</v>
      </c>
    </row>
    <row r="182">
      <c r="A182" s="253">
        <v>45909.06845365741</v>
      </c>
      <c r="B182" s="1" t="s">
        <v>125</v>
      </c>
      <c r="C182" s="203">
        <v>8.509</v>
      </c>
      <c r="D182" s="1" t="s">
        <v>311</v>
      </c>
    </row>
    <row r="183">
      <c r="A183" s="253">
        <v>45909.06845365741</v>
      </c>
      <c r="B183" s="1" t="s">
        <v>231</v>
      </c>
      <c r="C183" s="203">
        <v>7.481999999999999</v>
      </c>
      <c r="D183" s="1" t="s">
        <v>395</v>
      </c>
    </row>
    <row r="184">
      <c r="A184" s="253">
        <v>45909.06845365741</v>
      </c>
      <c r="B184" s="1" t="s">
        <v>126</v>
      </c>
      <c r="C184" s="203">
        <v>7.236</v>
      </c>
      <c r="D184" s="1" t="s">
        <v>193</v>
      </c>
    </row>
    <row r="185">
      <c r="A185" s="253">
        <v>45909.06845365741</v>
      </c>
      <c r="B185" s="1" t="s">
        <v>127</v>
      </c>
      <c r="C185" s="203">
        <v>5.192</v>
      </c>
      <c r="D185" s="1" t="s">
        <v>62</v>
      </c>
    </row>
    <row r="186">
      <c r="A186" s="253">
        <v>45909.06845365741</v>
      </c>
      <c r="B186" s="1" t="s">
        <v>170</v>
      </c>
      <c r="D186" s="1" t="s">
        <v>493</v>
      </c>
    </row>
    <row r="187">
      <c r="A187" s="253">
        <v>45909.06845365741</v>
      </c>
      <c r="B187" s="1" t="s">
        <v>205</v>
      </c>
      <c r="C187" s="203">
        <v>5.1</v>
      </c>
      <c r="D187" s="1" t="s">
        <v>493</v>
      </c>
    </row>
    <row r="188">
      <c r="A188" s="253">
        <v>45909.06845365741</v>
      </c>
      <c r="B188" s="1" t="s">
        <v>227</v>
      </c>
      <c r="C188" s="203">
        <v>6.897</v>
      </c>
      <c r="D188" s="1" t="s">
        <v>62</v>
      </c>
    </row>
    <row r="189">
      <c r="A189" s="253">
        <v>45909.06845365741</v>
      </c>
      <c r="B189" s="1" t="s">
        <v>552</v>
      </c>
      <c r="C189" s="203">
        <v>5.772</v>
      </c>
      <c r="D189" s="1" t="s">
        <v>193</v>
      </c>
    </row>
    <row r="190">
      <c r="A190" s="253">
        <v>45909.06845365741</v>
      </c>
      <c r="B190" s="1" t="s">
        <v>151</v>
      </c>
      <c r="C190" s="203">
        <v>7.05</v>
      </c>
      <c r="D190" s="1" t="s">
        <v>249</v>
      </c>
    </row>
    <row r="191">
      <c r="A191" s="253">
        <v>45909.06845365741</v>
      </c>
      <c r="B191" s="1" t="s">
        <v>115</v>
      </c>
      <c r="C191" s="203">
        <v>7.558</v>
      </c>
      <c r="D191" s="1" t="s">
        <v>132</v>
      </c>
    </row>
    <row r="192">
      <c r="A192" s="253">
        <v>45909.06845365741</v>
      </c>
      <c r="B192" s="1" t="s">
        <v>206</v>
      </c>
      <c r="C192" s="203">
        <v>7.6850000000000005</v>
      </c>
      <c r="D192" s="1" t="s">
        <v>311</v>
      </c>
    </row>
    <row r="193">
      <c r="A193" s="253">
        <v>45909.06845365741</v>
      </c>
      <c r="B193" s="1" t="s">
        <v>152</v>
      </c>
      <c r="C193" s="203">
        <v>4.6930000000000005</v>
      </c>
      <c r="D193" s="1" t="s">
        <v>311</v>
      </c>
    </row>
    <row r="194">
      <c r="A194" s="253">
        <v>45909.06845365741</v>
      </c>
      <c r="B194" s="1" t="s">
        <v>138</v>
      </c>
      <c r="C194" s="203">
        <v>6.2</v>
      </c>
      <c r="D194" s="1" t="s">
        <v>493</v>
      </c>
    </row>
    <row r="195">
      <c r="A195" s="253">
        <v>45909.06845365741</v>
      </c>
      <c r="B195" s="1" t="s">
        <v>102</v>
      </c>
      <c r="C195" s="203">
        <v>9.051</v>
      </c>
      <c r="D195" s="1" t="s">
        <v>238</v>
      </c>
    </row>
    <row r="196">
      <c r="A196" s="253">
        <v>45909.06845365741</v>
      </c>
      <c r="B196" s="1" t="s">
        <v>548</v>
      </c>
      <c r="C196" s="203">
        <v>6.039</v>
      </c>
      <c r="D196" s="1" t="s">
        <v>238</v>
      </c>
    </row>
    <row r="197">
      <c r="A197" s="253">
        <v>45909.06845365741</v>
      </c>
      <c r="B197" s="1" t="s">
        <v>116</v>
      </c>
      <c r="C197" s="203">
        <v>9.125</v>
      </c>
      <c r="D197" s="1" t="s">
        <v>156</v>
      </c>
    </row>
    <row r="198">
      <c r="A198" s="253">
        <v>45909.06845365741</v>
      </c>
      <c r="B198" s="1" t="s">
        <v>140</v>
      </c>
      <c r="C198" s="203">
        <v>5.5</v>
      </c>
      <c r="D198" s="1" t="s">
        <v>224</v>
      </c>
    </row>
    <row r="199">
      <c r="A199" s="253">
        <v>45909.06845365741</v>
      </c>
      <c r="B199" s="1" t="s">
        <v>139</v>
      </c>
      <c r="C199" s="203">
        <v>6.894</v>
      </c>
      <c r="D199" s="1" t="s">
        <v>311</v>
      </c>
    </row>
    <row r="200">
      <c r="A200" s="253">
        <v>45909.06845365741</v>
      </c>
      <c r="B200" s="1" t="s">
        <v>153</v>
      </c>
      <c r="C200" s="203">
        <v>2.998</v>
      </c>
      <c r="D200" s="1" t="s">
        <v>96</v>
      </c>
    </row>
    <row r="201">
      <c r="A201" s="253">
        <v>45909.06845365741</v>
      </c>
      <c r="B201" s="1" t="s">
        <v>141</v>
      </c>
      <c r="C201" s="203">
        <v>6.598999999999999</v>
      </c>
      <c r="D201" s="1" t="s">
        <v>238</v>
      </c>
    </row>
    <row r="202">
      <c r="A202" s="253">
        <v>45909.06845365741</v>
      </c>
      <c r="B202" s="1" t="s">
        <v>207</v>
      </c>
      <c r="C202" s="203">
        <v>5.4</v>
      </c>
      <c r="D202" s="1" t="s">
        <v>493</v>
      </c>
    </row>
    <row r="203">
      <c r="A203" s="253">
        <v>45909.06845365741</v>
      </c>
      <c r="B203" s="1" t="s">
        <v>208</v>
      </c>
      <c r="C203" s="203">
        <v>8.173</v>
      </c>
      <c r="D203" s="1" t="s">
        <v>156</v>
      </c>
    </row>
    <row r="204">
      <c r="A204" s="253">
        <v>45909.06845365741</v>
      </c>
      <c r="B204" s="1" t="s">
        <v>103</v>
      </c>
      <c r="C204" s="203">
        <v>7.655</v>
      </c>
      <c r="D204" s="1" t="s">
        <v>224</v>
      </c>
    </row>
    <row r="205">
      <c r="A205" s="253">
        <v>45909.06845365741</v>
      </c>
      <c r="B205" s="1" t="s">
        <v>117</v>
      </c>
      <c r="C205" s="203">
        <v>6.986</v>
      </c>
      <c r="D205" s="1" t="s">
        <v>95</v>
      </c>
    </row>
    <row r="206">
      <c r="A206" s="253">
        <v>45909.06845365741</v>
      </c>
      <c r="B206" s="1" t="s">
        <v>142</v>
      </c>
      <c r="C206" s="203">
        <v>9.161999999999999</v>
      </c>
      <c r="D206" s="1" t="s">
        <v>96</v>
      </c>
    </row>
    <row r="207">
      <c r="A207" s="253">
        <v>45909.06845365741</v>
      </c>
      <c r="B207" s="1" t="s">
        <v>181</v>
      </c>
      <c r="C207" s="203">
        <v>4.498</v>
      </c>
      <c r="D207" s="1" t="s">
        <v>156</v>
      </c>
    </row>
    <row r="208">
      <c r="A208" s="253">
        <v>45909.06845365741</v>
      </c>
      <c r="B208" s="1" t="s">
        <v>182</v>
      </c>
      <c r="C208" s="203">
        <v>4.899</v>
      </c>
      <c r="D208" s="1" t="s">
        <v>193</v>
      </c>
    </row>
    <row r="209">
      <c r="A209" s="253">
        <v>45909.06845365741</v>
      </c>
      <c r="B209" s="1" t="s">
        <v>228</v>
      </c>
      <c r="C209" s="203">
        <v>5.592</v>
      </c>
      <c r="D209" s="1" t="s">
        <v>43</v>
      </c>
    </row>
    <row r="210">
      <c r="A210" s="253">
        <v>45909.06845365741</v>
      </c>
      <c r="B210" s="1" t="s">
        <v>118</v>
      </c>
      <c r="C210" s="203">
        <v>4.899</v>
      </c>
      <c r="D210" s="1" t="s">
        <v>43</v>
      </c>
    </row>
    <row r="211">
      <c r="A211" s="253">
        <v>45909.06845365741</v>
      </c>
      <c r="B211" s="1" t="s">
        <v>154</v>
      </c>
      <c r="C211" s="203">
        <v>7.284</v>
      </c>
      <c r="D211" s="1" t="s">
        <v>156</v>
      </c>
    </row>
    <row r="212">
      <c r="A212" s="253">
        <v>45909.06845365741</v>
      </c>
      <c r="B212" s="1" t="s">
        <v>172</v>
      </c>
      <c r="C212" s="203">
        <v>6.753</v>
      </c>
      <c r="D212" s="1" t="s">
        <v>311</v>
      </c>
    </row>
    <row r="213">
      <c r="A213" s="253">
        <v>45909.06845365741</v>
      </c>
      <c r="B213" s="1" t="s">
        <v>143</v>
      </c>
      <c r="C213" s="203">
        <v>3.9</v>
      </c>
      <c r="D213" s="1" t="s">
        <v>493</v>
      </c>
    </row>
    <row r="214">
      <c r="A214" s="253">
        <v>45909.06845365741</v>
      </c>
      <c r="B214" s="1" t="s">
        <v>229</v>
      </c>
      <c r="C214" s="203">
        <v>8.8</v>
      </c>
      <c r="D214" s="1" t="s">
        <v>96</v>
      </c>
    </row>
    <row r="215">
      <c r="A215" s="253">
        <v>45909.06845365741</v>
      </c>
      <c r="B215" s="1" t="s">
        <v>173</v>
      </c>
      <c r="C215" s="203">
        <v>8.402000000000001</v>
      </c>
      <c r="D215" s="1" t="s">
        <v>96</v>
      </c>
    </row>
    <row r="216">
      <c r="A216" s="253">
        <v>45909.06845365741</v>
      </c>
      <c r="B216" s="1" t="s">
        <v>144</v>
      </c>
      <c r="C216" s="203">
        <v>10.501000000000001</v>
      </c>
      <c r="D216" s="1" t="s">
        <v>193</v>
      </c>
    </row>
    <row r="217">
      <c r="A217" s="253">
        <v>45909.06845365741</v>
      </c>
      <c r="B217" s="1" t="s">
        <v>128</v>
      </c>
      <c r="C217" s="203">
        <v>6.893000000000001</v>
      </c>
      <c r="D217" s="1" t="s">
        <v>95</v>
      </c>
    </row>
    <row r="218">
      <c r="A218" s="253">
        <v>45909.06845365741</v>
      </c>
      <c r="B218" s="1" t="s">
        <v>129</v>
      </c>
      <c r="C218" s="203">
        <v>3.3</v>
      </c>
      <c r="D218" s="1" t="s">
        <v>96</v>
      </c>
    </row>
    <row r="219">
      <c r="A219" s="253">
        <v>45909.06845365741</v>
      </c>
      <c r="B219" s="1" t="s">
        <v>155</v>
      </c>
      <c r="C219" s="203">
        <v>7.933999999999999</v>
      </c>
      <c r="D219" s="1" t="s">
        <v>62</v>
      </c>
    </row>
    <row r="220">
      <c r="A220" s="253">
        <v>45909.06845365741</v>
      </c>
      <c r="B220" s="1" t="s">
        <v>209</v>
      </c>
      <c r="C220" s="203">
        <v>9.735000000000001</v>
      </c>
      <c r="D220" s="1" t="s">
        <v>249</v>
      </c>
    </row>
    <row r="221">
      <c r="A221" s="253">
        <v>45909.06845365741</v>
      </c>
      <c r="B221" s="1" t="s">
        <v>192</v>
      </c>
      <c r="C221" s="203">
        <v>10.357</v>
      </c>
      <c r="D221" s="1" t="s">
        <v>311</v>
      </c>
    </row>
    <row r="222">
      <c r="A222" s="253">
        <v>45909.06845365741</v>
      </c>
      <c r="B222" s="1" t="s">
        <v>194</v>
      </c>
      <c r="C222" s="203">
        <v>4.5</v>
      </c>
      <c r="D222" s="1" t="s">
        <v>193</v>
      </c>
    </row>
    <row r="223">
      <c r="A223" s="253">
        <v>45909.06845365741</v>
      </c>
      <c r="B223" s="1" t="s">
        <v>145</v>
      </c>
      <c r="C223" s="203">
        <v>9.571</v>
      </c>
      <c r="D223" s="1" t="s">
        <v>43</v>
      </c>
    </row>
    <row r="224">
      <c r="A224" s="253">
        <v>45909.06845365741</v>
      </c>
      <c r="B224" s="1" t="s">
        <v>119</v>
      </c>
      <c r="C224" s="203">
        <v>6.774</v>
      </c>
      <c r="D224" s="1" t="s">
        <v>238</v>
      </c>
    </row>
    <row r="225">
      <c r="A225" s="253">
        <v>45909.06845365741</v>
      </c>
      <c r="B225" s="1" t="s">
        <v>146</v>
      </c>
      <c r="C225" s="203">
        <v>3.7</v>
      </c>
      <c r="D225" s="1" t="s">
        <v>493</v>
      </c>
    </row>
    <row r="226">
      <c r="A226" s="253">
        <v>45909.06845365741</v>
      </c>
      <c r="B226" s="1" t="s">
        <v>157</v>
      </c>
      <c r="C226" s="203">
        <v>4.9</v>
      </c>
      <c r="D226" s="1" t="s">
        <v>43</v>
      </c>
    </row>
    <row r="227">
      <c r="A227" s="253">
        <v>45909.06845365741</v>
      </c>
      <c r="B227" s="1" t="s">
        <v>147</v>
      </c>
      <c r="C227" s="203">
        <v>6.499</v>
      </c>
      <c r="D227" s="1" t="s">
        <v>395</v>
      </c>
    </row>
    <row r="228">
      <c r="A228" s="253">
        <v>45909.06845365741</v>
      </c>
      <c r="B228" s="1" t="s">
        <v>183</v>
      </c>
      <c r="C228" s="203">
        <v>4.398000000000001</v>
      </c>
      <c r="D228" s="1" t="s">
        <v>249</v>
      </c>
    </row>
    <row r="229">
      <c r="A229" s="253">
        <v>45909.06845365741</v>
      </c>
      <c r="B229" s="1" t="s">
        <v>549</v>
      </c>
      <c r="C229" s="203">
        <v>5.383</v>
      </c>
      <c r="D229" s="1" t="s">
        <v>238</v>
      </c>
    </row>
    <row r="230">
      <c r="A230" s="253">
        <v>45909.06845365741</v>
      </c>
      <c r="B230" s="1" t="s">
        <v>104</v>
      </c>
      <c r="C230" s="203">
        <v>7.401</v>
      </c>
      <c r="D230" s="1" t="s">
        <v>193</v>
      </c>
    </row>
    <row r="231">
      <c r="A231" s="253">
        <v>45909.06845365741</v>
      </c>
      <c r="B231" s="1" t="s">
        <v>220</v>
      </c>
      <c r="C231" s="203">
        <v>6.596</v>
      </c>
      <c r="D231" s="1" t="s">
        <v>238</v>
      </c>
    </row>
    <row r="232">
      <c r="A232" s="253">
        <v>45909.06845365741</v>
      </c>
      <c r="B232" s="1" t="s">
        <v>210</v>
      </c>
      <c r="C232" s="203">
        <v>7.3870000000000005</v>
      </c>
      <c r="D232" s="1" t="s">
        <v>132</v>
      </c>
    </row>
    <row r="233">
      <c r="A233" s="253">
        <v>45909.06845365741</v>
      </c>
      <c r="B233" s="1" t="s">
        <v>105</v>
      </c>
      <c r="C233" s="203">
        <v>9.716</v>
      </c>
      <c r="D233" s="1" t="s">
        <v>96</v>
      </c>
    </row>
    <row r="234">
      <c r="A234" s="253">
        <v>45909.06845365741</v>
      </c>
      <c r="B234" s="1" t="s">
        <v>546</v>
      </c>
      <c r="C234" s="203">
        <v>4.992</v>
      </c>
      <c r="D234" s="1" t="s">
        <v>493</v>
      </c>
    </row>
    <row r="235">
      <c r="A235" s="253">
        <v>45909.06845365741</v>
      </c>
      <c r="B235" s="1" t="s">
        <v>195</v>
      </c>
      <c r="C235" s="203">
        <v>2.999</v>
      </c>
      <c r="D235" s="1" t="s">
        <v>493</v>
      </c>
    </row>
    <row r="236">
      <c r="A236" s="253">
        <v>45909.06845365741</v>
      </c>
      <c r="B236" s="1" t="s">
        <v>120</v>
      </c>
      <c r="C236" s="203">
        <v>4.897</v>
      </c>
      <c r="D236" s="1" t="s">
        <v>493</v>
      </c>
    </row>
    <row r="237">
      <c r="A237" s="253">
        <v>45909.06845365741</v>
      </c>
      <c r="B237" s="1" t="s">
        <v>130</v>
      </c>
      <c r="C237" s="203">
        <v>8.801</v>
      </c>
      <c r="D237" s="1" t="s">
        <v>95</v>
      </c>
    </row>
    <row r="238">
      <c r="A238" s="253">
        <v>45909.06845365741</v>
      </c>
      <c r="B238" s="1" t="s">
        <v>106</v>
      </c>
      <c r="C238" s="203">
        <v>6.390000000000001</v>
      </c>
      <c r="D238" s="1" t="s">
        <v>493</v>
      </c>
    </row>
    <row r="239">
      <c r="A239" s="253">
        <v>45909.06845365741</v>
      </c>
      <c r="B239" s="1" t="s">
        <v>211</v>
      </c>
      <c r="C239" s="203">
        <v>9.378</v>
      </c>
      <c r="D239" s="1" t="s">
        <v>193</v>
      </c>
    </row>
    <row r="240">
      <c r="A240" s="253">
        <v>45909.06845365741</v>
      </c>
      <c r="B240" s="1" t="s">
        <v>539</v>
      </c>
      <c r="C240" s="203">
        <v>7.382000000000001</v>
      </c>
      <c r="D240" s="1" t="s">
        <v>238</v>
      </c>
    </row>
    <row r="241">
      <c r="A241" s="253">
        <v>45909.06845365741</v>
      </c>
      <c r="B241" s="1" t="s">
        <v>131</v>
      </c>
      <c r="C241" s="203">
        <v>9.132</v>
      </c>
      <c r="D241" s="1" t="s">
        <v>132</v>
      </c>
    </row>
    <row r="242">
      <c r="A242" s="253">
        <v>45909.06845365741</v>
      </c>
      <c r="B242" s="1" t="s">
        <v>221</v>
      </c>
      <c r="C242" s="203">
        <v>9.173</v>
      </c>
      <c r="D242" s="1" t="s">
        <v>95</v>
      </c>
    </row>
    <row r="243">
      <c r="A243" s="253">
        <v>45909.06845365741</v>
      </c>
      <c r="B243" s="1" t="s">
        <v>133</v>
      </c>
      <c r="C243" s="203">
        <v>8.411</v>
      </c>
      <c r="D243" s="1" t="s">
        <v>43</v>
      </c>
    </row>
    <row r="244">
      <c r="A244" s="253">
        <v>45909.06845365741</v>
      </c>
      <c r="B244" s="1" t="s">
        <v>174</v>
      </c>
      <c r="C244" s="203">
        <v>8.864999999999998</v>
      </c>
      <c r="D244" s="1" t="s">
        <v>156</v>
      </c>
    </row>
    <row r="245">
      <c r="A245" s="253">
        <v>45909.06845365741</v>
      </c>
      <c r="B245" s="1" t="s">
        <v>222</v>
      </c>
      <c r="C245" s="203">
        <v>6.532</v>
      </c>
      <c r="D245" s="1" t="s">
        <v>96</v>
      </c>
    </row>
    <row r="246">
      <c r="A246" s="253">
        <v>45909.06845365741</v>
      </c>
      <c r="B246" s="1" t="s">
        <v>107</v>
      </c>
      <c r="C246" s="203">
        <v>8.949</v>
      </c>
      <c r="D246" s="1" t="s">
        <v>132</v>
      </c>
    </row>
    <row r="247">
      <c r="A247" s="253">
        <v>45909.06845365741</v>
      </c>
      <c r="B247" s="1" t="s">
        <v>108</v>
      </c>
      <c r="C247" s="203">
        <v>3.4</v>
      </c>
      <c r="D247" s="1" t="s">
        <v>493</v>
      </c>
    </row>
    <row r="248">
      <c r="A248" s="253">
        <v>45909.06845365741</v>
      </c>
      <c r="B248" s="1" t="s">
        <v>163</v>
      </c>
      <c r="C248" s="203">
        <v>4.1</v>
      </c>
      <c r="D248" s="1" t="s">
        <v>62</v>
      </c>
    </row>
    <row r="249">
      <c r="A249" s="253">
        <v>45909.06845365741</v>
      </c>
      <c r="B249" s="1" t="s">
        <v>109</v>
      </c>
      <c r="C249" s="203">
        <v>7.186</v>
      </c>
      <c r="D249" s="1" t="s">
        <v>156</v>
      </c>
    </row>
    <row r="250">
      <c r="A250" s="253">
        <v>45909.06845365741</v>
      </c>
      <c r="B250" s="1" t="s">
        <v>196</v>
      </c>
      <c r="C250" s="203">
        <v>2.6</v>
      </c>
      <c r="D250" s="1" t="s">
        <v>62</v>
      </c>
    </row>
    <row r="251">
      <c r="A251" s="253">
        <v>45909.06845365741</v>
      </c>
      <c r="B251" s="1" t="s">
        <v>99</v>
      </c>
      <c r="C251" s="203">
        <v>7.4</v>
      </c>
      <c r="D251" s="1" t="s">
        <v>395</v>
      </c>
    </row>
    <row r="252">
      <c r="A252" s="253">
        <v>45909.06845365741</v>
      </c>
      <c r="B252" s="1" t="s">
        <v>219</v>
      </c>
      <c r="C252" s="203">
        <v>3.1</v>
      </c>
      <c r="D252" s="1" t="s">
        <v>493</v>
      </c>
    </row>
    <row r="253">
      <c r="A253" s="253">
        <v>45909.06845365741</v>
      </c>
      <c r="B253" s="1" t="s">
        <v>527</v>
      </c>
      <c r="D253" s="1" t="s">
        <v>43</v>
      </c>
    </row>
    <row r="254">
      <c r="A254" s="253">
        <v>45909.06845365741</v>
      </c>
      <c r="B254" s="1" t="s">
        <v>185</v>
      </c>
      <c r="C254" s="203">
        <v>9.722999999999999</v>
      </c>
      <c r="D254" s="1" t="s">
        <v>224</v>
      </c>
    </row>
    <row r="255">
      <c r="A255" s="253">
        <v>45909.06845365741</v>
      </c>
      <c r="B255" s="1" t="s">
        <v>197</v>
      </c>
      <c r="C255" s="203">
        <v>9.651000000000002</v>
      </c>
      <c r="D255" s="1" t="s">
        <v>95</v>
      </c>
    </row>
    <row r="256">
      <c r="A256" s="253">
        <v>45909.06845365741</v>
      </c>
      <c r="B256" s="1" t="s">
        <v>186</v>
      </c>
      <c r="C256" s="203">
        <v>5.687</v>
      </c>
      <c r="D256" s="1" t="s">
        <v>311</v>
      </c>
    </row>
    <row r="257">
      <c r="A257" s="253">
        <v>45909.06845365741</v>
      </c>
      <c r="B257" s="1" t="s">
        <v>198</v>
      </c>
      <c r="C257" s="203">
        <v>9.175</v>
      </c>
      <c r="D257" s="1" t="s">
        <v>95</v>
      </c>
    </row>
    <row r="258">
      <c r="A258" s="253">
        <v>45909.06845365741</v>
      </c>
      <c r="B258" s="1" t="s">
        <v>160</v>
      </c>
      <c r="C258" s="203">
        <v>5.471</v>
      </c>
      <c r="D258" s="1" t="s">
        <v>238</v>
      </c>
    </row>
    <row r="259">
      <c r="A259" s="253">
        <v>45909.06845365741</v>
      </c>
      <c r="B259" s="1" t="s">
        <v>161</v>
      </c>
      <c r="C259" s="203">
        <v>5.59</v>
      </c>
      <c r="D259" s="1" t="s">
        <v>311</v>
      </c>
    </row>
    <row r="260">
      <c r="A260" s="253">
        <v>45909.06845365741</v>
      </c>
      <c r="B260" s="1" t="s">
        <v>213</v>
      </c>
      <c r="C260" s="203">
        <v>6.797</v>
      </c>
      <c r="D260" s="1" t="s">
        <v>395</v>
      </c>
    </row>
    <row r="261">
      <c r="A261" s="253">
        <v>45909.06845365741</v>
      </c>
      <c r="B261" s="1" t="s">
        <v>121</v>
      </c>
      <c r="C261" s="203">
        <v>7.657</v>
      </c>
      <c r="D261" s="1" t="s">
        <v>96</v>
      </c>
    </row>
    <row r="262">
      <c r="A262" s="253">
        <v>45909.06845365741</v>
      </c>
      <c r="B262" s="1" t="s">
        <v>122</v>
      </c>
      <c r="C262" s="203">
        <v>5.09</v>
      </c>
      <c r="D262" s="1" t="s">
        <v>311</v>
      </c>
    </row>
    <row r="263">
      <c r="A263" s="253">
        <v>45909.06845365741</v>
      </c>
      <c r="B263" s="1" t="s">
        <v>123</v>
      </c>
      <c r="C263" s="203">
        <v>4.8</v>
      </c>
      <c r="D263" s="1" t="s">
        <v>493</v>
      </c>
    </row>
    <row r="264">
      <c r="A264" s="253">
        <v>45909.06845365741</v>
      </c>
      <c r="B264" s="1" t="s">
        <v>199</v>
      </c>
      <c r="C264" s="203">
        <v>7.495</v>
      </c>
      <c r="D264" s="1" t="s">
        <v>62</v>
      </c>
    </row>
    <row r="265">
      <c r="A265" s="253">
        <v>45909.06845365741</v>
      </c>
      <c r="B265" s="1" t="s">
        <v>200</v>
      </c>
      <c r="C265" s="203">
        <v>5.8</v>
      </c>
      <c r="D265" s="1" t="s">
        <v>493</v>
      </c>
    </row>
    <row r="266">
      <c r="A266" s="253">
        <v>45909.06845365741</v>
      </c>
      <c r="B266" s="1" t="s">
        <v>134</v>
      </c>
      <c r="C266" s="203">
        <v>3.6990000000000003</v>
      </c>
      <c r="D266" s="1" t="s">
        <v>132</v>
      </c>
    </row>
    <row r="267">
      <c r="A267" s="253">
        <v>45909.06845365741</v>
      </c>
      <c r="B267" s="1" t="s">
        <v>162</v>
      </c>
      <c r="C267" s="203">
        <v>6.874</v>
      </c>
      <c r="D267" s="1" t="s">
        <v>395</v>
      </c>
    </row>
    <row r="268">
      <c r="A268" s="253">
        <v>45909.06845365741</v>
      </c>
      <c r="B268" s="1" t="s">
        <v>175</v>
      </c>
      <c r="C268" s="203">
        <v>4.587</v>
      </c>
      <c r="D268" s="1" t="s">
        <v>395</v>
      </c>
    </row>
    <row r="269">
      <c r="A269" s="253">
        <v>45909.06845365741</v>
      </c>
      <c r="B269" s="1" t="s">
        <v>148</v>
      </c>
      <c r="C269" s="203">
        <v>5.598999999999999</v>
      </c>
      <c r="D269" s="1" t="s">
        <v>238</v>
      </c>
    </row>
    <row r="270">
      <c r="A270" s="253">
        <v>45909.06845365741</v>
      </c>
      <c r="B270" s="1" t="s">
        <v>187</v>
      </c>
      <c r="C270" s="203">
        <v>5.789</v>
      </c>
      <c r="D270" s="1" t="s">
        <v>132</v>
      </c>
    </row>
    <row r="271">
      <c r="A271" s="253">
        <v>45909.06845365741</v>
      </c>
      <c r="B271" s="1" t="s">
        <v>234</v>
      </c>
      <c r="C271" s="203">
        <v>3.1950000000000003</v>
      </c>
      <c r="D271" s="1" t="s">
        <v>311</v>
      </c>
    </row>
    <row r="272">
      <c r="A272" s="253">
        <v>45909.06845365741</v>
      </c>
      <c r="B272" s="1" t="s">
        <v>232</v>
      </c>
      <c r="C272" s="203">
        <v>8.507</v>
      </c>
      <c r="D272" s="1" t="s">
        <v>156</v>
      </c>
    </row>
    <row r="273">
      <c r="A273" s="253">
        <v>45909.06845365741</v>
      </c>
    </row>
    <row r="274">
      <c r="A274" s="253">
        <v>45909.06845365741</v>
      </c>
    </row>
    <row r="275">
      <c r="A275" s="253">
        <v>45909.06845365741</v>
      </c>
    </row>
    <row r="276">
      <c r="A276" s="1" t="s">
        <v>914</v>
      </c>
      <c r="B276" s="1" t="s">
        <v>13</v>
      </c>
      <c r="C276" s="1" t="s">
        <v>2047</v>
      </c>
      <c r="D276" s="1" t="s">
        <v>2048</v>
      </c>
    </row>
    <row r="277">
      <c r="A277" s="253">
        <v>45916.06849857639</v>
      </c>
      <c r="B277" s="1" t="s">
        <v>176</v>
      </c>
      <c r="C277" s="203">
        <v>4.199</v>
      </c>
      <c r="D277" s="1" t="s">
        <v>43</v>
      </c>
    </row>
    <row r="278">
      <c r="A278" s="253">
        <v>45916.06849857639</v>
      </c>
      <c r="B278" s="1" t="s">
        <v>164</v>
      </c>
      <c r="D278" s="1" t="s">
        <v>193</v>
      </c>
    </row>
    <row r="279">
      <c r="A279" s="253">
        <v>45916.06849857639</v>
      </c>
      <c r="B279" s="1" t="s">
        <v>201</v>
      </c>
      <c r="C279" s="203">
        <v>8.407</v>
      </c>
      <c r="D279" s="1" t="s">
        <v>62</v>
      </c>
    </row>
    <row r="280">
      <c r="A280" s="253">
        <v>45916.06849857639</v>
      </c>
      <c r="B280" s="1" t="e">
        <v>#N/A</v>
      </c>
      <c r="C280" s="1" t="e">
        <v>#N/A</v>
      </c>
      <c r="D280" s="1" t="s">
        <v>2050</v>
      </c>
    </row>
    <row r="281">
      <c r="A281" s="253">
        <v>45916.06849857639</v>
      </c>
      <c r="B281" s="1" t="s">
        <v>189</v>
      </c>
      <c r="C281" s="203">
        <v>6.853000000000001</v>
      </c>
      <c r="D281" s="1" t="s">
        <v>43</v>
      </c>
    </row>
    <row r="282">
      <c r="A282" s="253">
        <v>45916.06849857639</v>
      </c>
      <c r="B282" s="1" t="s">
        <v>188</v>
      </c>
      <c r="C282" s="203">
        <v>7.671</v>
      </c>
      <c r="D282" s="1" t="s">
        <v>493</v>
      </c>
    </row>
    <row r="283">
      <c r="A283" s="253">
        <v>45916.06849857639</v>
      </c>
      <c r="B283" s="1" t="s">
        <v>202</v>
      </c>
      <c r="C283" s="203">
        <v>6.295</v>
      </c>
      <c r="D283" s="1" t="s">
        <v>156</v>
      </c>
    </row>
    <row r="284">
      <c r="A284" s="253">
        <v>45916.06849857639</v>
      </c>
      <c r="B284" s="1" t="s">
        <v>215</v>
      </c>
      <c r="C284" s="203">
        <v>5.293</v>
      </c>
      <c r="D284" s="1" t="s">
        <v>132</v>
      </c>
    </row>
    <row r="285">
      <c r="A285" s="253">
        <v>45916.06849857639</v>
      </c>
      <c r="B285" s="1" t="s">
        <v>225</v>
      </c>
      <c r="C285" s="203">
        <v>6.391</v>
      </c>
      <c r="D285" s="1" t="s">
        <v>395</v>
      </c>
    </row>
    <row r="286">
      <c r="A286" s="253">
        <v>45916.06849857639</v>
      </c>
      <c r="B286" s="1" t="s">
        <v>45</v>
      </c>
      <c r="C286" s="203">
        <v>7.487</v>
      </c>
      <c r="D286" s="1" t="s">
        <v>43</v>
      </c>
    </row>
    <row r="287">
      <c r="A287" s="253">
        <v>45916.06849857639</v>
      </c>
      <c r="B287" s="1" t="s">
        <v>165</v>
      </c>
      <c r="C287" s="203">
        <v>3.7</v>
      </c>
      <c r="D287" s="1" t="s">
        <v>95</v>
      </c>
    </row>
    <row r="288">
      <c r="A288" s="253">
        <v>45916.06849857639</v>
      </c>
      <c r="B288" s="1" t="s">
        <v>124</v>
      </c>
      <c r="C288" s="203">
        <v>6.861000000000001</v>
      </c>
      <c r="D288" s="1" t="s">
        <v>249</v>
      </c>
    </row>
    <row r="289">
      <c r="A289" s="253">
        <v>45916.06849857639</v>
      </c>
      <c r="B289" s="1" t="s">
        <v>177</v>
      </c>
      <c r="C289" s="203">
        <v>8.036</v>
      </c>
      <c r="D289" s="1" t="s">
        <v>95</v>
      </c>
    </row>
    <row r="290">
      <c r="A290" s="253">
        <v>45916.06849857639</v>
      </c>
      <c r="B290" s="1" t="s">
        <v>110</v>
      </c>
      <c r="C290" s="203">
        <v>4.898000000000001</v>
      </c>
      <c r="D290" s="1" t="s">
        <v>493</v>
      </c>
    </row>
    <row r="291">
      <c r="A291" s="253">
        <v>45916.06849857639</v>
      </c>
      <c r="B291" s="1" t="s">
        <v>166</v>
      </c>
      <c r="C291" s="203">
        <v>7.604</v>
      </c>
      <c r="D291" s="1" t="s">
        <v>224</v>
      </c>
    </row>
    <row r="292">
      <c r="A292" s="253">
        <v>45916.06849857639</v>
      </c>
      <c r="B292" s="1" t="s">
        <v>167</v>
      </c>
      <c r="C292" s="203">
        <v>6.967</v>
      </c>
      <c r="D292" s="1" t="s">
        <v>249</v>
      </c>
    </row>
    <row r="293">
      <c r="A293" s="253">
        <v>45916.06849857639</v>
      </c>
      <c r="B293" s="1" t="s">
        <v>226</v>
      </c>
      <c r="C293" s="203">
        <v>8.712</v>
      </c>
      <c r="D293" s="1" t="s">
        <v>224</v>
      </c>
    </row>
    <row r="294">
      <c r="A294" s="253">
        <v>45916.06849857639</v>
      </c>
      <c r="B294" s="1" t="s">
        <v>190</v>
      </c>
      <c r="C294" s="203">
        <v>7.891</v>
      </c>
      <c r="D294" s="1" t="s">
        <v>62</v>
      </c>
    </row>
    <row r="295">
      <c r="A295" s="253">
        <v>45916.06849857639</v>
      </c>
      <c r="B295" s="1" t="s">
        <v>168</v>
      </c>
      <c r="C295" s="203">
        <v>5.199</v>
      </c>
      <c r="D295" s="1" t="s">
        <v>132</v>
      </c>
    </row>
    <row r="296">
      <c r="A296" s="253">
        <v>45916.06849857639</v>
      </c>
      <c r="B296" s="1" t="s">
        <v>159</v>
      </c>
      <c r="C296" s="203">
        <v>2.3</v>
      </c>
      <c r="D296" s="1" t="s">
        <v>249</v>
      </c>
    </row>
    <row r="297">
      <c r="A297" s="253">
        <v>45916.06849857639</v>
      </c>
      <c r="B297" s="1" t="s">
        <v>98</v>
      </c>
      <c r="C297" s="203">
        <v>6.281</v>
      </c>
      <c r="D297" s="1" t="s">
        <v>238</v>
      </c>
    </row>
    <row r="298">
      <c r="A298" s="253">
        <v>45916.06849857639</v>
      </c>
      <c r="B298" s="1" t="s">
        <v>111</v>
      </c>
      <c r="C298" s="203">
        <v>7.149</v>
      </c>
      <c r="D298" s="1" t="s">
        <v>249</v>
      </c>
    </row>
    <row r="299">
      <c r="A299" s="253">
        <v>45916.06849857639</v>
      </c>
      <c r="B299" s="1" t="s">
        <v>223</v>
      </c>
      <c r="C299" s="203">
        <v>3.1</v>
      </c>
      <c r="D299" s="1" t="s">
        <v>156</v>
      </c>
    </row>
    <row r="300">
      <c r="A300" s="253">
        <v>45916.06849857639</v>
      </c>
      <c r="B300" s="1" t="s">
        <v>191</v>
      </c>
      <c r="C300" s="203">
        <v>4.499</v>
      </c>
      <c r="D300" s="1" t="s">
        <v>224</v>
      </c>
    </row>
    <row r="301">
      <c r="A301" s="253">
        <v>45916.06849857639</v>
      </c>
      <c r="B301" s="1" t="s">
        <v>178</v>
      </c>
      <c r="C301" s="203">
        <v>6.077999999999999</v>
      </c>
      <c r="D301" s="1" t="s">
        <v>62</v>
      </c>
    </row>
    <row r="302">
      <c r="A302" s="253">
        <v>45916.06849857639</v>
      </c>
      <c r="B302" s="1" t="s">
        <v>112</v>
      </c>
      <c r="C302" s="203">
        <v>5.489</v>
      </c>
      <c r="D302" s="1" t="s">
        <v>249</v>
      </c>
    </row>
    <row r="303">
      <c r="A303" s="253">
        <v>45916.06849857639</v>
      </c>
      <c r="B303" s="1" t="s">
        <v>100</v>
      </c>
      <c r="C303" s="203">
        <v>7.906</v>
      </c>
      <c r="D303" s="1" t="s">
        <v>95</v>
      </c>
    </row>
    <row r="304">
      <c r="A304" s="253">
        <v>45916.06849857639</v>
      </c>
      <c r="B304" s="1" t="s">
        <v>304</v>
      </c>
      <c r="C304" s="203">
        <v>3.298</v>
      </c>
      <c r="D304" s="1" t="s">
        <v>62</v>
      </c>
    </row>
    <row r="305">
      <c r="A305" s="253">
        <v>45916.06849857639</v>
      </c>
      <c r="B305" s="1" t="s">
        <v>150</v>
      </c>
      <c r="C305" s="203">
        <v>4.2989999999999995</v>
      </c>
      <c r="D305" s="1" t="s">
        <v>193</v>
      </c>
    </row>
    <row r="306">
      <c r="A306" s="253">
        <v>45916.06849857639</v>
      </c>
      <c r="B306" s="1" t="s">
        <v>203</v>
      </c>
      <c r="C306" s="203">
        <v>4.199</v>
      </c>
      <c r="D306" s="1" t="s">
        <v>224</v>
      </c>
    </row>
    <row r="307">
      <c r="A307" s="253">
        <v>45916.06849857639</v>
      </c>
      <c r="B307" s="1" t="s">
        <v>545</v>
      </c>
      <c r="C307" s="203">
        <v>7.268000000000001</v>
      </c>
      <c r="D307" s="1" t="s">
        <v>132</v>
      </c>
    </row>
    <row r="308">
      <c r="A308" s="253">
        <v>45916.06849857639</v>
      </c>
      <c r="B308" s="1" t="s">
        <v>113</v>
      </c>
      <c r="C308" s="203">
        <v>8.788</v>
      </c>
      <c r="D308" s="1" t="s">
        <v>224</v>
      </c>
    </row>
    <row r="309">
      <c r="A309" s="253">
        <v>45916.06849857639</v>
      </c>
      <c r="B309" s="1" t="s">
        <v>179</v>
      </c>
      <c r="C309" s="203">
        <v>8.347</v>
      </c>
      <c r="D309" s="1" t="s">
        <v>395</v>
      </c>
    </row>
    <row r="310">
      <c r="A310" s="253">
        <v>45916.06849857639</v>
      </c>
      <c r="B310" s="1" t="s">
        <v>204</v>
      </c>
      <c r="C310" s="203">
        <v>9.814</v>
      </c>
      <c r="D310" s="1" t="s">
        <v>96</v>
      </c>
    </row>
    <row r="311">
      <c r="A311" s="253">
        <v>45916.06849857639</v>
      </c>
      <c r="B311" s="1" t="s">
        <v>216</v>
      </c>
      <c r="C311" s="203">
        <v>5.79</v>
      </c>
      <c r="D311" s="1" t="s">
        <v>224</v>
      </c>
    </row>
    <row r="312">
      <c r="A312" s="253">
        <v>45916.06849857639</v>
      </c>
      <c r="B312" s="1" t="s">
        <v>217</v>
      </c>
      <c r="C312" s="203">
        <v>3.5980000000000003</v>
      </c>
      <c r="D312" s="1" t="s">
        <v>249</v>
      </c>
    </row>
    <row r="313">
      <c r="A313" s="253">
        <v>45916.06849857639</v>
      </c>
      <c r="B313" s="1" t="s">
        <v>114</v>
      </c>
      <c r="C313" s="203">
        <v>9.138</v>
      </c>
      <c r="D313" s="1" t="s">
        <v>395</v>
      </c>
    </row>
    <row r="314">
      <c r="A314" s="253">
        <v>45916.06849857639</v>
      </c>
      <c r="B314" s="1" t="s">
        <v>536</v>
      </c>
      <c r="C314" s="203">
        <v>6.391</v>
      </c>
      <c r="D314" s="1" t="s">
        <v>96</v>
      </c>
    </row>
    <row r="315">
      <c r="A315" s="253">
        <v>45916.06849857639</v>
      </c>
      <c r="B315" s="1" t="s">
        <v>101</v>
      </c>
      <c r="C315" s="203">
        <v>7.574999999999999</v>
      </c>
      <c r="D315" s="1" t="s">
        <v>395</v>
      </c>
    </row>
    <row r="316">
      <c r="A316" s="253">
        <v>45916.06849857639</v>
      </c>
      <c r="B316" s="1" t="s">
        <v>135</v>
      </c>
      <c r="C316" s="203">
        <v>8.578999999999999</v>
      </c>
      <c r="D316" s="1" t="s">
        <v>156</v>
      </c>
    </row>
    <row r="317">
      <c r="A317" s="253">
        <v>45916.06849857639</v>
      </c>
      <c r="B317" s="1" t="s">
        <v>136</v>
      </c>
      <c r="C317" s="203">
        <v>9.168999999999999</v>
      </c>
      <c r="D317" s="1" t="s">
        <v>132</v>
      </c>
    </row>
    <row r="318">
      <c r="A318" s="253">
        <v>45916.06849857639</v>
      </c>
      <c r="B318" s="1" t="s">
        <v>137</v>
      </c>
      <c r="C318" s="203">
        <v>5.399</v>
      </c>
      <c r="D318" s="1" t="s">
        <v>249</v>
      </c>
    </row>
    <row r="319">
      <c r="A319" s="253">
        <v>45916.06849857639</v>
      </c>
      <c r="B319" s="1" t="s">
        <v>125</v>
      </c>
      <c r="C319" s="203">
        <v>8.336</v>
      </c>
      <c r="D319" s="1" t="s">
        <v>311</v>
      </c>
    </row>
    <row r="320">
      <c r="A320" s="253">
        <v>45916.06849857639</v>
      </c>
      <c r="B320" s="1" t="s">
        <v>231</v>
      </c>
      <c r="C320" s="203">
        <v>7.701</v>
      </c>
      <c r="D320" s="1" t="s">
        <v>395</v>
      </c>
    </row>
    <row r="321">
      <c r="A321" s="253">
        <v>45916.06849857639</v>
      </c>
      <c r="B321" s="1" t="s">
        <v>126</v>
      </c>
      <c r="C321" s="203">
        <v>7.234999999999999</v>
      </c>
      <c r="D321" s="1" t="s">
        <v>193</v>
      </c>
    </row>
    <row r="322">
      <c r="A322" s="253">
        <v>45916.06849857639</v>
      </c>
      <c r="B322" s="1" t="s">
        <v>127</v>
      </c>
      <c r="C322" s="203">
        <v>4.595</v>
      </c>
      <c r="D322" s="1" t="s">
        <v>62</v>
      </c>
    </row>
    <row r="323">
      <c r="A323" s="253">
        <v>45916.06849857639</v>
      </c>
      <c r="B323" s="1" t="s">
        <v>170</v>
      </c>
      <c r="D323" s="1" t="s">
        <v>493</v>
      </c>
    </row>
    <row r="324">
      <c r="A324" s="253">
        <v>45916.06849857639</v>
      </c>
      <c r="B324" s="1" t="s">
        <v>205</v>
      </c>
      <c r="C324" s="203">
        <v>5.4</v>
      </c>
      <c r="D324" s="1" t="s">
        <v>493</v>
      </c>
    </row>
    <row r="325">
      <c r="A325" s="253">
        <v>45916.06849857639</v>
      </c>
      <c r="B325" s="1" t="s">
        <v>227</v>
      </c>
      <c r="C325" s="203">
        <v>5.668</v>
      </c>
      <c r="D325" s="1" t="s">
        <v>62</v>
      </c>
    </row>
    <row r="326">
      <c r="A326" s="253">
        <v>45916.06849857639</v>
      </c>
      <c r="B326" s="1" t="s">
        <v>552</v>
      </c>
      <c r="C326" s="203">
        <v>4.894</v>
      </c>
      <c r="D326" s="1" t="s">
        <v>193</v>
      </c>
    </row>
    <row r="327">
      <c r="A327" s="253">
        <v>45916.06849857639</v>
      </c>
      <c r="B327" s="1" t="s">
        <v>151</v>
      </c>
      <c r="C327" s="203">
        <v>8.14</v>
      </c>
      <c r="D327" s="1" t="s">
        <v>249</v>
      </c>
    </row>
    <row r="328">
      <c r="A328" s="253">
        <v>45916.06849857639</v>
      </c>
      <c r="B328" s="1" t="s">
        <v>115</v>
      </c>
      <c r="C328" s="203">
        <v>7.67</v>
      </c>
      <c r="D328" s="1" t="s">
        <v>132</v>
      </c>
    </row>
    <row r="329">
      <c r="A329" s="253">
        <v>45916.06849857639</v>
      </c>
      <c r="B329" s="1" t="s">
        <v>206</v>
      </c>
      <c r="C329" s="203">
        <v>8.08</v>
      </c>
      <c r="D329" s="1" t="s">
        <v>311</v>
      </c>
    </row>
    <row r="330">
      <c r="A330" s="253">
        <v>45916.06849857639</v>
      </c>
      <c r="B330" s="1" t="s">
        <v>152</v>
      </c>
      <c r="C330" s="203">
        <v>5.391</v>
      </c>
      <c r="D330" s="1" t="s">
        <v>311</v>
      </c>
    </row>
    <row r="331">
      <c r="A331" s="253">
        <v>45916.06849857639</v>
      </c>
      <c r="B331" s="1" t="s">
        <v>138</v>
      </c>
      <c r="C331" s="203">
        <v>6.1</v>
      </c>
      <c r="D331" s="1" t="s">
        <v>493</v>
      </c>
    </row>
    <row r="332">
      <c r="A332" s="253">
        <v>45916.06849857639</v>
      </c>
      <c r="B332" s="1" t="s">
        <v>102</v>
      </c>
      <c r="C332" s="203">
        <v>9.74</v>
      </c>
      <c r="D332" s="1" t="s">
        <v>238</v>
      </c>
    </row>
    <row r="333">
      <c r="A333" s="253">
        <v>45916.06849857639</v>
      </c>
      <c r="B333" s="1" t="s">
        <v>548</v>
      </c>
      <c r="C333" s="203">
        <v>5.951</v>
      </c>
      <c r="D333" s="1" t="s">
        <v>238</v>
      </c>
    </row>
    <row r="334">
      <c r="A334" s="253">
        <v>45916.06849857639</v>
      </c>
      <c r="B334" s="1" t="s">
        <v>116</v>
      </c>
      <c r="C334" s="203">
        <v>10.294</v>
      </c>
      <c r="D334" s="1" t="s">
        <v>156</v>
      </c>
    </row>
    <row r="335">
      <c r="A335" s="253">
        <v>45916.06849857639</v>
      </c>
      <c r="B335" s="1" t="s">
        <v>140</v>
      </c>
      <c r="C335" s="203">
        <v>5.4</v>
      </c>
      <c r="D335" s="1" t="s">
        <v>224</v>
      </c>
    </row>
    <row r="336">
      <c r="A336" s="253">
        <v>45916.06849857639</v>
      </c>
      <c r="B336" s="1" t="s">
        <v>139</v>
      </c>
      <c r="C336" s="203">
        <v>8.343</v>
      </c>
      <c r="D336" s="1" t="s">
        <v>311</v>
      </c>
    </row>
    <row r="337">
      <c r="A337" s="253">
        <v>45916.06849857639</v>
      </c>
      <c r="B337" s="1" t="s">
        <v>153</v>
      </c>
      <c r="C337" s="203">
        <v>4.096</v>
      </c>
      <c r="D337" s="1" t="s">
        <v>96</v>
      </c>
    </row>
    <row r="338">
      <c r="A338" s="253">
        <v>45916.06849857639</v>
      </c>
      <c r="B338" s="1" t="s">
        <v>141</v>
      </c>
      <c r="C338" s="203">
        <v>5.7</v>
      </c>
      <c r="D338" s="1" t="s">
        <v>238</v>
      </c>
    </row>
    <row r="339">
      <c r="A339" s="253">
        <v>45916.06849857639</v>
      </c>
      <c r="B339" s="1" t="s">
        <v>207</v>
      </c>
      <c r="C339" s="203">
        <v>5.7</v>
      </c>
      <c r="D339" s="1" t="s">
        <v>493</v>
      </c>
    </row>
    <row r="340">
      <c r="A340" s="253">
        <v>45916.06849857639</v>
      </c>
      <c r="B340" s="1" t="s">
        <v>208</v>
      </c>
      <c r="C340" s="203">
        <v>8.652</v>
      </c>
      <c r="D340" s="1" t="s">
        <v>156</v>
      </c>
    </row>
    <row r="341">
      <c r="A341" s="253">
        <v>45916.06849857639</v>
      </c>
      <c r="B341" s="1" t="s">
        <v>103</v>
      </c>
      <c r="C341" s="203">
        <v>8.141</v>
      </c>
      <c r="D341" s="1" t="s">
        <v>224</v>
      </c>
    </row>
    <row r="342">
      <c r="A342" s="253">
        <v>45916.06849857639</v>
      </c>
      <c r="B342" s="1" t="s">
        <v>117</v>
      </c>
      <c r="C342" s="203">
        <v>7.479</v>
      </c>
      <c r="D342" s="1" t="s">
        <v>95</v>
      </c>
    </row>
    <row r="343">
      <c r="A343" s="253">
        <v>45916.06849857639</v>
      </c>
      <c r="B343" s="1" t="s">
        <v>142</v>
      </c>
      <c r="C343" s="203">
        <v>9.16</v>
      </c>
      <c r="D343" s="1" t="s">
        <v>96</v>
      </c>
    </row>
    <row r="344">
      <c r="A344" s="253">
        <v>45916.06849857639</v>
      </c>
      <c r="B344" s="1" t="s">
        <v>181</v>
      </c>
      <c r="C344" s="203">
        <v>3.2</v>
      </c>
      <c r="D344" s="1" t="s">
        <v>156</v>
      </c>
    </row>
    <row r="345">
      <c r="A345" s="253">
        <v>45916.06849857639</v>
      </c>
      <c r="B345" s="1" t="s">
        <v>182</v>
      </c>
      <c r="C345" s="203">
        <v>7.444</v>
      </c>
      <c r="D345" s="1" t="s">
        <v>193</v>
      </c>
    </row>
    <row r="346">
      <c r="A346" s="253">
        <v>45916.06849857639</v>
      </c>
      <c r="B346" s="1" t="s">
        <v>228</v>
      </c>
      <c r="C346" s="203">
        <v>4.4</v>
      </c>
      <c r="D346" s="1" t="s">
        <v>43</v>
      </c>
    </row>
    <row r="347">
      <c r="A347" s="253">
        <v>45916.06849857639</v>
      </c>
      <c r="B347" s="1" t="s">
        <v>118</v>
      </c>
      <c r="C347" s="203">
        <v>4.899</v>
      </c>
      <c r="D347" s="1" t="s">
        <v>43</v>
      </c>
    </row>
    <row r="348">
      <c r="A348" s="253">
        <v>45916.06849857639</v>
      </c>
      <c r="B348" s="1" t="s">
        <v>154</v>
      </c>
      <c r="C348" s="203">
        <v>9.357</v>
      </c>
      <c r="D348" s="1" t="s">
        <v>156</v>
      </c>
    </row>
    <row r="349">
      <c r="A349" s="253">
        <v>45916.06849857639</v>
      </c>
      <c r="B349" s="1" t="s">
        <v>172</v>
      </c>
      <c r="C349" s="203">
        <v>6.76</v>
      </c>
      <c r="D349" s="1" t="s">
        <v>311</v>
      </c>
    </row>
    <row r="350">
      <c r="A350" s="253">
        <v>45916.06849857639</v>
      </c>
      <c r="B350" s="1" t="s">
        <v>143</v>
      </c>
      <c r="C350" s="203">
        <v>4.0</v>
      </c>
      <c r="D350" s="1" t="s">
        <v>493</v>
      </c>
    </row>
    <row r="351">
      <c r="A351" s="253">
        <v>45916.06849857639</v>
      </c>
      <c r="B351" s="1" t="s">
        <v>229</v>
      </c>
      <c r="C351" s="203">
        <v>8.0</v>
      </c>
      <c r="D351" s="1" t="s">
        <v>96</v>
      </c>
    </row>
    <row r="352">
      <c r="A352" s="253">
        <v>45916.06849857639</v>
      </c>
      <c r="B352" s="1" t="s">
        <v>173</v>
      </c>
      <c r="C352" s="203">
        <v>8.357</v>
      </c>
      <c r="D352" s="1" t="s">
        <v>96</v>
      </c>
    </row>
    <row r="353">
      <c r="A353" s="253">
        <v>45916.06849857639</v>
      </c>
      <c r="B353" s="1" t="s">
        <v>144</v>
      </c>
      <c r="C353" s="203">
        <v>10.355</v>
      </c>
      <c r="D353" s="1" t="s">
        <v>193</v>
      </c>
    </row>
    <row r="354">
      <c r="A354" s="253">
        <v>45916.06849857639</v>
      </c>
      <c r="B354" s="1" t="s">
        <v>128</v>
      </c>
      <c r="C354" s="203">
        <v>8.06</v>
      </c>
      <c r="D354" s="1" t="s">
        <v>95</v>
      </c>
    </row>
    <row r="355">
      <c r="A355" s="253">
        <v>45916.06849857639</v>
      </c>
      <c r="B355" s="1" t="s">
        <v>129</v>
      </c>
      <c r="C355" s="203">
        <v>3.3</v>
      </c>
      <c r="D355" s="1" t="s">
        <v>96</v>
      </c>
    </row>
    <row r="356">
      <c r="A356" s="253">
        <v>45916.06849857639</v>
      </c>
      <c r="B356" s="1" t="s">
        <v>155</v>
      </c>
      <c r="C356" s="203">
        <v>9.413</v>
      </c>
      <c r="D356" s="1" t="s">
        <v>62</v>
      </c>
    </row>
    <row r="357">
      <c r="A357" s="253">
        <v>45916.06849857639</v>
      </c>
      <c r="B357" s="1" t="s">
        <v>209</v>
      </c>
      <c r="C357" s="203">
        <v>9.828</v>
      </c>
      <c r="D357" s="1" t="s">
        <v>249</v>
      </c>
    </row>
    <row r="358">
      <c r="A358" s="253">
        <v>45916.06849857639</v>
      </c>
      <c r="B358" s="1" t="s">
        <v>192</v>
      </c>
      <c r="C358" s="203">
        <v>10.37</v>
      </c>
      <c r="D358" s="1" t="s">
        <v>311</v>
      </c>
    </row>
    <row r="359">
      <c r="A359" s="253">
        <v>45916.06849857639</v>
      </c>
      <c r="B359" s="1" t="s">
        <v>194</v>
      </c>
      <c r="C359" s="203">
        <v>4.9</v>
      </c>
      <c r="D359" s="1" t="s">
        <v>193</v>
      </c>
    </row>
    <row r="360">
      <c r="A360" s="253">
        <v>45916.06849857639</v>
      </c>
      <c r="B360" s="1" t="s">
        <v>145</v>
      </c>
      <c r="C360" s="203">
        <v>9.578999999999999</v>
      </c>
      <c r="D360" s="1" t="s">
        <v>43</v>
      </c>
    </row>
    <row r="361">
      <c r="A361" s="253">
        <v>45916.06849857639</v>
      </c>
      <c r="B361" s="1" t="s">
        <v>119</v>
      </c>
      <c r="C361" s="203">
        <v>5.3950000000000005</v>
      </c>
      <c r="D361" s="1" t="s">
        <v>238</v>
      </c>
    </row>
    <row r="362">
      <c r="A362" s="253">
        <v>45916.06849857639</v>
      </c>
      <c r="B362" s="1" t="s">
        <v>146</v>
      </c>
      <c r="C362" s="203">
        <v>3.6</v>
      </c>
      <c r="D362" s="1" t="s">
        <v>493</v>
      </c>
    </row>
    <row r="363">
      <c r="A363" s="253">
        <v>45916.06849857639</v>
      </c>
      <c r="B363" s="1" t="s">
        <v>157</v>
      </c>
      <c r="C363" s="203">
        <v>4.7</v>
      </c>
      <c r="D363" s="1" t="s">
        <v>43</v>
      </c>
    </row>
    <row r="364">
      <c r="A364" s="253">
        <v>45916.06849857639</v>
      </c>
      <c r="B364" s="1" t="s">
        <v>147</v>
      </c>
      <c r="C364" s="203">
        <v>6.4</v>
      </c>
      <c r="D364" s="1" t="s">
        <v>395</v>
      </c>
    </row>
    <row r="365">
      <c r="A365" s="253">
        <v>45916.06849857639</v>
      </c>
      <c r="B365" s="1" t="s">
        <v>183</v>
      </c>
      <c r="C365" s="203">
        <v>3.999</v>
      </c>
      <c r="D365" s="1" t="s">
        <v>249</v>
      </c>
    </row>
    <row r="366">
      <c r="A366" s="253">
        <v>45916.06849857639</v>
      </c>
      <c r="B366" s="1" t="s">
        <v>549</v>
      </c>
      <c r="C366" s="203">
        <v>4.692</v>
      </c>
      <c r="D366" s="1" t="s">
        <v>238</v>
      </c>
    </row>
    <row r="367">
      <c r="A367" s="253">
        <v>45916.06849857639</v>
      </c>
      <c r="B367" s="1" t="s">
        <v>104</v>
      </c>
      <c r="C367" s="203">
        <v>7.244</v>
      </c>
      <c r="D367" s="1" t="s">
        <v>193</v>
      </c>
    </row>
    <row r="368">
      <c r="A368" s="253">
        <v>45916.06849857639</v>
      </c>
      <c r="B368" s="1" t="s">
        <v>220</v>
      </c>
      <c r="C368" s="203">
        <v>6.675</v>
      </c>
      <c r="D368" s="1" t="s">
        <v>238</v>
      </c>
    </row>
    <row r="369">
      <c r="A369" s="253">
        <v>45916.06849857639</v>
      </c>
      <c r="B369" s="1" t="s">
        <v>210</v>
      </c>
      <c r="C369" s="203">
        <v>5.4</v>
      </c>
      <c r="D369" s="1" t="s">
        <v>132</v>
      </c>
    </row>
    <row r="370">
      <c r="A370" s="253">
        <v>45916.06849857639</v>
      </c>
      <c r="B370" s="1" t="s">
        <v>105</v>
      </c>
      <c r="C370" s="203">
        <v>8.59</v>
      </c>
      <c r="D370" s="1" t="s">
        <v>96</v>
      </c>
    </row>
    <row r="371">
      <c r="A371" s="253">
        <v>45916.06849857639</v>
      </c>
      <c r="B371" s="1" t="s">
        <v>546</v>
      </c>
      <c r="C371" s="203">
        <v>6.368</v>
      </c>
      <c r="D371" s="1" t="s">
        <v>493</v>
      </c>
    </row>
    <row r="372">
      <c r="A372" s="253">
        <v>45916.06849857639</v>
      </c>
      <c r="B372" s="1" t="s">
        <v>195</v>
      </c>
      <c r="C372" s="203">
        <v>4.098999999999999</v>
      </c>
      <c r="D372" s="1" t="s">
        <v>493</v>
      </c>
    </row>
    <row r="373">
      <c r="A373" s="253">
        <v>45916.06849857639</v>
      </c>
      <c r="B373" s="1" t="s">
        <v>120</v>
      </c>
      <c r="C373" s="203">
        <v>4.997</v>
      </c>
      <c r="D373" s="1" t="s">
        <v>493</v>
      </c>
    </row>
    <row r="374">
      <c r="A374" s="253">
        <v>45916.06849857639</v>
      </c>
      <c r="B374" s="1" t="s">
        <v>130</v>
      </c>
      <c r="C374" s="203">
        <v>8.463</v>
      </c>
      <c r="D374" s="1" t="s">
        <v>95</v>
      </c>
    </row>
    <row r="375">
      <c r="A375" s="253">
        <v>45916.06849857639</v>
      </c>
      <c r="B375" s="1" t="s">
        <v>106</v>
      </c>
      <c r="C375" s="203">
        <v>4.999</v>
      </c>
      <c r="D375" s="1" t="s">
        <v>493</v>
      </c>
    </row>
    <row r="376">
      <c r="A376" s="253">
        <v>45916.06849857639</v>
      </c>
      <c r="B376" s="1" t="s">
        <v>211</v>
      </c>
      <c r="C376" s="203">
        <v>8.664</v>
      </c>
      <c r="D376" s="1" t="s">
        <v>193</v>
      </c>
    </row>
    <row r="377">
      <c r="A377" s="253">
        <v>45916.06849857639</v>
      </c>
      <c r="B377" s="1" t="s">
        <v>539</v>
      </c>
      <c r="C377" s="203">
        <v>8.762</v>
      </c>
      <c r="D377" s="1" t="s">
        <v>238</v>
      </c>
    </row>
    <row r="378">
      <c r="A378" s="253">
        <v>45916.06849857639</v>
      </c>
      <c r="B378" s="1" t="s">
        <v>131</v>
      </c>
      <c r="C378" s="203">
        <v>8.372</v>
      </c>
      <c r="D378" s="1" t="s">
        <v>132</v>
      </c>
    </row>
    <row r="379">
      <c r="A379" s="253">
        <v>45916.06849857639</v>
      </c>
      <c r="B379" s="1" t="s">
        <v>221</v>
      </c>
      <c r="C379" s="203">
        <v>8.709</v>
      </c>
      <c r="D379" s="1" t="s">
        <v>95</v>
      </c>
    </row>
    <row r="380">
      <c r="A380" s="253">
        <v>45916.06849857639</v>
      </c>
      <c r="B380" s="1" t="s">
        <v>133</v>
      </c>
      <c r="C380" s="203">
        <v>8.773</v>
      </c>
      <c r="D380" s="1" t="s">
        <v>43</v>
      </c>
    </row>
    <row r="381">
      <c r="A381" s="253">
        <v>45916.06849857639</v>
      </c>
      <c r="B381" s="1" t="s">
        <v>174</v>
      </c>
      <c r="C381" s="203">
        <v>9.472</v>
      </c>
      <c r="D381" s="1" t="s">
        <v>156</v>
      </c>
    </row>
    <row r="382">
      <c r="A382" s="253">
        <v>45916.06849857639</v>
      </c>
      <c r="B382" s="1" t="s">
        <v>222</v>
      </c>
      <c r="C382" s="203">
        <v>5.675</v>
      </c>
      <c r="D382" s="1" t="s">
        <v>96</v>
      </c>
    </row>
    <row r="383">
      <c r="A383" s="253">
        <v>45916.06849857639</v>
      </c>
      <c r="B383" s="1" t="s">
        <v>107</v>
      </c>
      <c r="C383" s="203">
        <v>9.185</v>
      </c>
      <c r="D383" s="1" t="s">
        <v>132</v>
      </c>
    </row>
    <row r="384">
      <c r="A384" s="253">
        <v>45916.06849857639</v>
      </c>
      <c r="B384" s="1" t="s">
        <v>108</v>
      </c>
      <c r="C384" s="203">
        <v>2.9</v>
      </c>
      <c r="D384" s="1" t="s">
        <v>493</v>
      </c>
    </row>
    <row r="385">
      <c r="A385" s="253">
        <v>45916.06849857639</v>
      </c>
      <c r="B385" s="1" t="s">
        <v>163</v>
      </c>
      <c r="C385" s="203">
        <v>4.0</v>
      </c>
      <c r="D385" s="1" t="s">
        <v>62</v>
      </c>
    </row>
    <row r="386">
      <c r="A386" s="253">
        <v>45916.06849857639</v>
      </c>
      <c r="B386" s="1" t="s">
        <v>109</v>
      </c>
      <c r="C386" s="203">
        <v>6.991</v>
      </c>
      <c r="D386" s="1" t="s">
        <v>156</v>
      </c>
    </row>
    <row r="387">
      <c r="A387" s="253">
        <v>45916.06849857639</v>
      </c>
      <c r="B387" s="1" t="s">
        <v>196</v>
      </c>
      <c r="C387" s="203">
        <v>1.2</v>
      </c>
      <c r="D387" s="1" t="s">
        <v>62</v>
      </c>
    </row>
    <row r="388">
      <c r="A388" s="253">
        <v>45916.06849857639</v>
      </c>
      <c r="B388" s="1" t="s">
        <v>99</v>
      </c>
      <c r="C388" s="203">
        <v>6.6</v>
      </c>
      <c r="D388" s="1" t="s">
        <v>395</v>
      </c>
    </row>
    <row r="389">
      <c r="A389" s="253">
        <v>45916.06849857639</v>
      </c>
      <c r="B389" s="1" t="s">
        <v>219</v>
      </c>
      <c r="C389" s="203">
        <v>3.1</v>
      </c>
      <c r="D389" s="1" t="s">
        <v>493</v>
      </c>
    </row>
    <row r="390">
      <c r="A390" s="253">
        <v>45916.06849857639</v>
      </c>
      <c r="B390" s="1" t="s">
        <v>527</v>
      </c>
      <c r="D390" s="1" t="s">
        <v>43</v>
      </c>
    </row>
    <row r="391">
      <c r="A391" s="253">
        <v>45916.06849857639</v>
      </c>
      <c r="B391" s="1" t="s">
        <v>185</v>
      </c>
      <c r="C391" s="203">
        <v>9.474</v>
      </c>
      <c r="D391" s="1" t="s">
        <v>224</v>
      </c>
    </row>
    <row r="392">
      <c r="A392" s="253">
        <v>45916.06849857639</v>
      </c>
      <c r="B392" s="1" t="s">
        <v>197</v>
      </c>
      <c r="C392" s="203">
        <v>9.648000000000001</v>
      </c>
      <c r="D392" s="1" t="s">
        <v>95</v>
      </c>
    </row>
    <row r="393">
      <c r="A393" s="253">
        <v>45916.06849857639</v>
      </c>
      <c r="B393" s="1" t="s">
        <v>186</v>
      </c>
      <c r="C393" s="203">
        <v>6.548</v>
      </c>
      <c r="D393" s="1" t="s">
        <v>311</v>
      </c>
    </row>
    <row r="394">
      <c r="A394" s="253">
        <v>45916.06849857639</v>
      </c>
      <c r="B394" s="1" t="s">
        <v>198</v>
      </c>
      <c r="C394" s="203">
        <v>9.254</v>
      </c>
      <c r="D394" s="1" t="s">
        <v>95</v>
      </c>
    </row>
    <row r="395">
      <c r="A395" s="253">
        <v>45916.06849857639</v>
      </c>
      <c r="B395" s="1" t="s">
        <v>160</v>
      </c>
      <c r="C395" s="203">
        <v>6.414</v>
      </c>
      <c r="D395" s="1" t="s">
        <v>238</v>
      </c>
    </row>
    <row r="396">
      <c r="A396" s="253">
        <v>45916.06849857639</v>
      </c>
      <c r="B396" s="1" t="s">
        <v>161</v>
      </c>
      <c r="C396" s="203">
        <v>5.79</v>
      </c>
      <c r="D396" s="1" t="s">
        <v>311</v>
      </c>
    </row>
    <row r="397">
      <c r="A397" s="253">
        <v>45916.06849857639</v>
      </c>
      <c r="B397" s="1" t="s">
        <v>213</v>
      </c>
      <c r="C397" s="203">
        <v>8.18</v>
      </c>
      <c r="D397" s="1" t="s">
        <v>395</v>
      </c>
    </row>
    <row r="398">
      <c r="A398" s="253">
        <v>45916.06849857639</v>
      </c>
      <c r="B398" s="1" t="s">
        <v>121</v>
      </c>
      <c r="C398" s="203">
        <v>7.671</v>
      </c>
      <c r="D398" s="1" t="s">
        <v>96</v>
      </c>
    </row>
    <row r="399">
      <c r="A399" s="253">
        <v>45916.06849857639</v>
      </c>
      <c r="B399" s="1" t="s">
        <v>122</v>
      </c>
      <c r="C399" s="203">
        <v>3.6980000000000004</v>
      </c>
      <c r="D399" s="1" t="s">
        <v>311</v>
      </c>
    </row>
    <row r="400">
      <c r="A400" s="253">
        <v>45916.06849857639</v>
      </c>
      <c r="B400" s="1" t="s">
        <v>123</v>
      </c>
      <c r="C400" s="203">
        <v>4.4</v>
      </c>
      <c r="D400" s="1" t="s">
        <v>493</v>
      </c>
    </row>
    <row r="401">
      <c r="A401" s="253">
        <v>45916.06849857639</v>
      </c>
      <c r="B401" s="1" t="s">
        <v>199</v>
      </c>
      <c r="C401" s="203">
        <v>7.497</v>
      </c>
      <c r="D401" s="1" t="s">
        <v>62</v>
      </c>
    </row>
    <row r="402">
      <c r="A402" s="253">
        <v>45916.06849857639</v>
      </c>
      <c r="B402" s="1" t="s">
        <v>200</v>
      </c>
      <c r="C402" s="203">
        <v>3.9</v>
      </c>
      <c r="D402" s="1" t="s">
        <v>493</v>
      </c>
    </row>
    <row r="403">
      <c r="A403" s="253">
        <v>45916.06849857639</v>
      </c>
      <c r="B403" s="1" t="s">
        <v>134</v>
      </c>
      <c r="C403" s="203">
        <v>4.598999999999999</v>
      </c>
      <c r="D403" s="1" t="s">
        <v>132</v>
      </c>
    </row>
    <row r="404">
      <c r="A404" s="253">
        <v>45916.06849857639</v>
      </c>
      <c r="B404" s="1" t="s">
        <v>162</v>
      </c>
      <c r="C404" s="203">
        <v>6.788</v>
      </c>
      <c r="D404" s="1" t="s">
        <v>395</v>
      </c>
    </row>
    <row r="405">
      <c r="A405" s="253">
        <v>45916.06849857639</v>
      </c>
      <c r="B405" s="1" t="s">
        <v>175</v>
      </c>
      <c r="C405" s="203">
        <v>4.592</v>
      </c>
      <c r="D405" s="1" t="s">
        <v>395</v>
      </c>
    </row>
    <row r="406">
      <c r="A406" s="253">
        <v>45916.06849857639</v>
      </c>
      <c r="B406" s="1" t="s">
        <v>148</v>
      </c>
      <c r="C406" s="203">
        <v>5.2</v>
      </c>
      <c r="D406" s="1" t="s">
        <v>238</v>
      </c>
    </row>
    <row r="407">
      <c r="A407" s="253">
        <v>45916.06849857639</v>
      </c>
      <c r="B407" s="1" t="s">
        <v>187</v>
      </c>
      <c r="C407" s="203">
        <v>5.7909999999999995</v>
      </c>
      <c r="D407" s="1" t="s">
        <v>132</v>
      </c>
    </row>
    <row r="408">
      <c r="A408" s="253">
        <v>45916.06849857639</v>
      </c>
      <c r="B408" s="1" t="s">
        <v>234</v>
      </c>
      <c r="C408" s="203">
        <v>2.998</v>
      </c>
      <c r="D408" s="1" t="s">
        <v>311</v>
      </c>
    </row>
    <row r="409">
      <c r="A409" s="253">
        <v>45916.06849857639</v>
      </c>
      <c r="B409" s="1" t="s">
        <v>232</v>
      </c>
      <c r="C409" s="203">
        <v>7.334</v>
      </c>
      <c r="D409" s="1" t="s">
        <v>156</v>
      </c>
    </row>
    <row r="410">
      <c r="A410" s="253">
        <v>45916.06849857639</v>
      </c>
    </row>
    <row r="411">
      <c r="A411" s="253">
        <v>45916.06849857639</v>
      </c>
    </row>
    <row r="412">
      <c r="A412" s="253">
        <v>45916.06849857639</v>
      </c>
    </row>
    <row r="413">
      <c r="A413" s="1" t="s">
        <v>914</v>
      </c>
      <c r="B413" s="1" t="s">
        <v>13</v>
      </c>
      <c r="C413" s="1" t="s">
        <v>2047</v>
      </c>
      <c r="D413" s="1" t="s">
        <v>2048</v>
      </c>
    </row>
    <row r="414">
      <c r="A414" s="253">
        <v>45923.06845153935</v>
      </c>
      <c r="B414" s="1" t="s">
        <v>176</v>
      </c>
      <c r="C414" s="203">
        <v>4.2</v>
      </c>
      <c r="D414" s="1" t="s">
        <v>43</v>
      </c>
    </row>
    <row r="415">
      <c r="A415" s="253">
        <v>45923.06845153935</v>
      </c>
      <c r="B415" s="1" t="s">
        <v>164</v>
      </c>
      <c r="C415" s="203">
        <v>4.1</v>
      </c>
      <c r="D415" s="1" t="s">
        <v>193</v>
      </c>
    </row>
    <row r="416">
      <c r="A416" s="253">
        <v>45923.06845153935</v>
      </c>
      <c r="B416" s="1" t="s">
        <v>201</v>
      </c>
      <c r="C416" s="203">
        <v>8.424999999999999</v>
      </c>
      <c r="D416" s="1" t="s">
        <v>62</v>
      </c>
    </row>
    <row r="417">
      <c r="A417" s="253">
        <v>45923.06845153935</v>
      </c>
      <c r="B417" s="1" t="e">
        <v>#N/A</v>
      </c>
      <c r="C417" s="1" t="e">
        <v>#N/A</v>
      </c>
      <c r="D417" s="1" t="s">
        <v>2050</v>
      </c>
    </row>
    <row r="418">
      <c r="A418" s="253">
        <v>45923.06845153935</v>
      </c>
      <c r="B418" s="1" t="s">
        <v>189</v>
      </c>
      <c r="C418" s="203">
        <v>7.619</v>
      </c>
      <c r="D418" s="1" t="s">
        <v>43</v>
      </c>
    </row>
    <row r="419">
      <c r="A419" s="253">
        <v>45923.06845153935</v>
      </c>
      <c r="B419" s="1" t="s">
        <v>188</v>
      </c>
      <c r="C419" s="203">
        <v>7.48</v>
      </c>
      <c r="D419" s="1" t="s">
        <v>493</v>
      </c>
    </row>
    <row r="420">
      <c r="A420" s="253">
        <v>45923.06845153935</v>
      </c>
      <c r="B420" s="1" t="s">
        <v>202</v>
      </c>
      <c r="C420" s="203">
        <v>5.397</v>
      </c>
      <c r="D420" s="1" t="s">
        <v>156</v>
      </c>
    </row>
    <row r="421">
      <c r="A421" s="253">
        <v>45923.06845153935</v>
      </c>
      <c r="B421" s="1" t="s">
        <v>215</v>
      </c>
      <c r="C421" s="203">
        <v>4.3950000000000005</v>
      </c>
      <c r="D421" s="1" t="s">
        <v>132</v>
      </c>
    </row>
    <row r="422">
      <c r="A422" s="253">
        <v>45923.06845153935</v>
      </c>
      <c r="B422" s="1" t="s">
        <v>225</v>
      </c>
      <c r="C422" s="203">
        <v>5.7989999999999995</v>
      </c>
      <c r="D422" s="1" t="s">
        <v>395</v>
      </c>
    </row>
    <row r="423">
      <c r="A423" s="253">
        <v>45923.06845153935</v>
      </c>
      <c r="B423" s="1" t="s">
        <v>45</v>
      </c>
      <c r="C423" s="203">
        <v>6.996</v>
      </c>
      <c r="D423" s="1" t="s">
        <v>43</v>
      </c>
    </row>
    <row r="424">
      <c r="A424" s="253">
        <v>45923.06845153935</v>
      </c>
      <c r="B424" s="1" t="s">
        <v>165</v>
      </c>
      <c r="C424" s="203">
        <v>3.898</v>
      </c>
      <c r="D424" s="1" t="s">
        <v>95</v>
      </c>
    </row>
    <row r="425">
      <c r="A425" s="253">
        <v>45923.06845153935</v>
      </c>
      <c r="B425" s="1" t="s">
        <v>124</v>
      </c>
      <c r="C425" s="203">
        <v>6.192</v>
      </c>
      <c r="D425" s="1" t="s">
        <v>249</v>
      </c>
    </row>
    <row r="426">
      <c r="A426" s="253">
        <v>45923.06845153935</v>
      </c>
      <c r="B426" s="1" t="s">
        <v>177</v>
      </c>
      <c r="C426" s="203">
        <v>8.117</v>
      </c>
      <c r="D426" s="1" t="s">
        <v>95</v>
      </c>
    </row>
    <row r="427">
      <c r="A427" s="253">
        <v>45923.06845153935</v>
      </c>
      <c r="B427" s="1" t="s">
        <v>110</v>
      </c>
      <c r="C427" s="203">
        <v>4.999</v>
      </c>
      <c r="D427" s="1" t="s">
        <v>493</v>
      </c>
    </row>
    <row r="428">
      <c r="A428" s="253">
        <v>45923.06845153935</v>
      </c>
      <c r="B428" s="1" t="s">
        <v>166</v>
      </c>
      <c r="C428" s="203">
        <v>7.4719999999999995</v>
      </c>
      <c r="D428" s="1" t="s">
        <v>224</v>
      </c>
    </row>
    <row r="429">
      <c r="A429" s="253">
        <v>45923.06845153935</v>
      </c>
      <c r="B429" s="1" t="s">
        <v>167</v>
      </c>
      <c r="C429" s="203">
        <v>6.159</v>
      </c>
      <c r="D429" s="1" t="s">
        <v>249</v>
      </c>
    </row>
    <row r="430">
      <c r="A430" s="253">
        <v>45923.06845153935</v>
      </c>
      <c r="B430" s="1" t="s">
        <v>226</v>
      </c>
      <c r="C430" s="203">
        <v>9.347</v>
      </c>
      <c r="D430" s="1" t="s">
        <v>224</v>
      </c>
    </row>
    <row r="431">
      <c r="A431" s="253">
        <v>45923.06845153935</v>
      </c>
      <c r="B431" s="1" t="s">
        <v>190</v>
      </c>
      <c r="C431" s="203">
        <v>5.899</v>
      </c>
      <c r="D431" s="1" t="s">
        <v>62</v>
      </c>
    </row>
    <row r="432">
      <c r="A432" s="253">
        <v>45923.06845153935</v>
      </c>
      <c r="B432" s="1" t="s">
        <v>168</v>
      </c>
      <c r="C432" s="203">
        <v>5.494</v>
      </c>
      <c r="D432" s="1" t="s">
        <v>132</v>
      </c>
    </row>
    <row r="433">
      <c r="A433" s="253">
        <v>45923.06845153935</v>
      </c>
      <c r="B433" s="1" t="s">
        <v>159</v>
      </c>
      <c r="C433" s="203">
        <v>1.8</v>
      </c>
      <c r="D433" s="1" t="s">
        <v>249</v>
      </c>
    </row>
    <row r="434">
      <c r="A434" s="253">
        <v>45923.06845153935</v>
      </c>
      <c r="B434" s="1" t="s">
        <v>98</v>
      </c>
      <c r="C434" s="203">
        <v>6.188000000000001</v>
      </c>
      <c r="D434" s="1" t="s">
        <v>238</v>
      </c>
    </row>
    <row r="435">
      <c r="A435" s="253">
        <v>45923.06845153935</v>
      </c>
      <c r="B435" s="1" t="s">
        <v>111</v>
      </c>
      <c r="C435" s="203">
        <v>5.697</v>
      </c>
      <c r="D435" s="1" t="s">
        <v>249</v>
      </c>
    </row>
    <row r="436">
      <c r="A436" s="253">
        <v>45923.06845153935</v>
      </c>
      <c r="B436" s="1" t="s">
        <v>223</v>
      </c>
      <c r="C436" s="203">
        <v>4.596</v>
      </c>
      <c r="D436" s="1" t="s">
        <v>156</v>
      </c>
    </row>
    <row r="437">
      <c r="A437" s="253">
        <v>45923.06845153935</v>
      </c>
      <c r="B437" s="1" t="s">
        <v>191</v>
      </c>
      <c r="C437" s="203">
        <v>4.899</v>
      </c>
      <c r="D437" s="1" t="s">
        <v>224</v>
      </c>
    </row>
    <row r="438">
      <c r="A438" s="253">
        <v>45923.06845153935</v>
      </c>
      <c r="B438" s="1" t="s">
        <v>178</v>
      </c>
      <c r="C438" s="203">
        <v>5.58</v>
      </c>
      <c r="D438" s="1" t="s">
        <v>62</v>
      </c>
    </row>
    <row r="439">
      <c r="A439" s="253">
        <v>45923.06845153935</v>
      </c>
      <c r="B439" s="1" t="s">
        <v>112</v>
      </c>
      <c r="C439" s="203">
        <v>6.085999999999999</v>
      </c>
      <c r="D439" s="1" t="s">
        <v>249</v>
      </c>
    </row>
    <row r="440">
      <c r="A440" s="253">
        <v>45923.06845153935</v>
      </c>
      <c r="B440" s="1" t="s">
        <v>100</v>
      </c>
      <c r="C440" s="203">
        <v>7.438</v>
      </c>
      <c r="D440" s="1" t="s">
        <v>95</v>
      </c>
    </row>
    <row r="441">
      <c r="A441" s="253">
        <v>45923.06845153935</v>
      </c>
      <c r="B441" s="1" t="s">
        <v>304</v>
      </c>
      <c r="C441" s="203">
        <v>3.995</v>
      </c>
      <c r="D441" s="1" t="s">
        <v>62</v>
      </c>
    </row>
    <row r="442">
      <c r="A442" s="253">
        <v>45923.06845153935</v>
      </c>
      <c r="B442" s="1" t="s">
        <v>150</v>
      </c>
      <c r="C442" s="203">
        <v>4.1</v>
      </c>
      <c r="D442" s="1" t="s">
        <v>193</v>
      </c>
    </row>
    <row r="443">
      <c r="A443" s="253">
        <v>45923.06845153935</v>
      </c>
      <c r="B443" s="1" t="s">
        <v>203</v>
      </c>
      <c r="C443" s="203">
        <v>3.5</v>
      </c>
      <c r="D443" s="1" t="s">
        <v>224</v>
      </c>
    </row>
    <row r="444">
      <c r="A444" s="253">
        <v>45923.06845153935</v>
      </c>
      <c r="B444" s="1" t="s">
        <v>545</v>
      </c>
      <c r="C444" s="203">
        <v>5.777</v>
      </c>
      <c r="D444" s="1" t="s">
        <v>132</v>
      </c>
    </row>
    <row r="445">
      <c r="A445" s="253">
        <v>45923.06845153935</v>
      </c>
      <c r="B445" s="1" t="s">
        <v>113</v>
      </c>
      <c r="C445" s="203">
        <v>9.519</v>
      </c>
      <c r="D445" s="1" t="s">
        <v>224</v>
      </c>
    </row>
    <row r="446">
      <c r="A446" s="253">
        <v>45923.06845153935</v>
      </c>
      <c r="B446" s="1" t="s">
        <v>179</v>
      </c>
      <c r="C446" s="203">
        <v>8.542</v>
      </c>
      <c r="D446" s="1" t="s">
        <v>395</v>
      </c>
    </row>
    <row r="447">
      <c r="A447" s="253">
        <v>45923.06845153935</v>
      </c>
      <c r="B447" s="1" t="s">
        <v>204</v>
      </c>
      <c r="C447" s="203">
        <v>9.651</v>
      </c>
      <c r="D447" s="1" t="s">
        <v>96</v>
      </c>
    </row>
    <row r="448">
      <c r="A448" s="253">
        <v>45923.06845153935</v>
      </c>
      <c r="B448" s="1" t="s">
        <v>216</v>
      </c>
      <c r="C448" s="203">
        <v>5.792</v>
      </c>
      <c r="D448" s="1" t="s">
        <v>224</v>
      </c>
    </row>
    <row r="449">
      <c r="A449" s="253">
        <v>45923.06845153935</v>
      </c>
      <c r="B449" s="1" t="s">
        <v>217</v>
      </c>
      <c r="C449" s="203">
        <v>3.099</v>
      </c>
      <c r="D449" s="1" t="s">
        <v>249</v>
      </c>
    </row>
    <row r="450">
      <c r="A450" s="253">
        <v>45923.06845153935</v>
      </c>
      <c r="B450" s="1" t="s">
        <v>114</v>
      </c>
      <c r="C450" s="203">
        <v>9.178</v>
      </c>
      <c r="D450" s="1" t="s">
        <v>395</v>
      </c>
    </row>
    <row r="451">
      <c r="A451" s="253">
        <v>45923.06845153935</v>
      </c>
      <c r="B451" s="1" t="s">
        <v>536</v>
      </c>
      <c r="C451" s="203">
        <v>5.699</v>
      </c>
      <c r="D451" s="1" t="s">
        <v>96</v>
      </c>
    </row>
    <row r="452">
      <c r="A452" s="253">
        <v>45923.06845153935</v>
      </c>
      <c r="B452" s="1" t="s">
        <v>101</v>
      </c>
      <c r="C452" s="203">
        <v>7.679</v>
      </c>
      <c r="D452" s="1" t="s">
        <v>395</v>
      </c>
    </row>
    <row r="453">
      <c r="A453" s="253">
        <v>45923.06845153935</v>
      </c>
      <c r="B453" s="1" t="s">
        <v>135</v>
      </c>
      <c r="C453" s="203">
        <v>7.199</v>
      </c>
      <c r="D453" s="1" t="s">
        <v>156</v>
      </c>
    </row>
    <row r="454">
      <c r="A454" s="253">
        <v>45923.06845153935</v>
      </c>
      <c r="B454" s="1" t="s">
        <v>136</v>
      </c>
      <c r="C454" s="203">
        <v>10.245000000000001</v>
      </c>
      <c r="D454" s="1" t="s">
        <v>132</v>
      </c>
    </row>
    <row r="455">
      <c r="A455" s="253">
        <v>45923.06845153935</v>
      </c>
      <c r="B455" s="1" t="s">
        <v>137</v>
      </c>
      <c r="C455" s="203">
        <v>6.198</v>
      </c>
      <c r="D455" s="1" t="s">
        <v>249</v>
      </c>
    </row>
    <row r="456">
      <c r="A456" s="253">
        <v>45923.06845153935</v>
      </c>
      <c r="B456" s="1" t="s">
        <v>125</v>
      </c>
      <c r="C456" s="203">
        <v>8.155999999999999</v>
      </c>
      <c r="D456" s="1" t="s">
        <v>311</v>
      </c>
    </row>
    <row r="457">
      <c r="A457" s="253">
        <v>45923.06845153935</v>
      </c>
      <c r="B457" s="1" t="s">
        <v>231</v>
      </c>
      <c r="C457" s="203">
        <v>8.527</v>
      </c>
      <c r="D457" s="1" t="s">
        <v>395</v>
      </c>
    </row>
    <row r="458">
      <c r="A458" s="253">
        <v>45923.06845153935</v>
      </c>
      <c r="B458" s="1" t="s">
        <v>126</v>
      </c>
      <c r="C458" s="203">
        <v>7.894</v>
      </c>
      <c r="D458" s="1" t="s">
        <v>193</v>
      </c>
    </row>
    <row r="459">
      <c r="A459" s="253">
        <v>45923.06845153935</v>
      </c>
      <c r="B459" s="1" t="s">
        <v>127</v>
      </c>
      <c r="C459" s="203">
        <v>4.5969999999999995</v>
      </c>
      <c r="D459" s="1" t="s">
        <v>62</v>
      </c>
    </row>
    <row r="460">
      <c r="A460" s="253">
        <v>45923.06845153935</v>
      </c>
      <c r="B460" s="1" t="s">
        <v>170</v>
      </c>
      <c r="D460" s="1" t="s">
        <v>493</v>
      </c>
    </row>
    <row r="461">
      <c r="A461" s="253">
        <v>45923.06845153935</v>
      </c>
      <c r="B461" s="1" t="s">
        <v>205</v>
      </c>
      <c r="C461" s="203">
        <v>5.3</v>
      </c>
      <c r="D461" s="1" t="s">
        <v>493</v>
      </c>
    </row>
    <row r="462">
      <c r="A462" s="253">
        <v>45923.06845153935</v>
      </c>
      <c r="B462" s="1" t="s">
        <v>227</v>
      </c>
      <c r="C462" s="203">
        <v>4.784</v>
      </c>
      <c r="D462" s="1" t="s">
        <v>62</v>
      </c>
    </row>
    <row r="463">
      <c r="A463" s="253">
        <v>45923.06845153935</v>
      </c>
      <c r="B463" s="1" t="s">
        <v>552</v>
      </c>
      <c r="C463" s="203">
        <v>4.1930000000000005</v>
      </c>
      <c r="D463" s="1" t="s">
        <v>193</v>
      </c>
    </row>
    <row r="464">
      <c r="A464" s="253">
        <v>45923.06845153935</v>
      </c>
      <c r="B464" s="1" t="s">
        <v>151</v>
      </c>
      <c r="C464" s="203">
        <v>8.556</v>
      </c>
      <c r="D464" s="1" t="s">
        <v>249</v>
      </c>
    </row>
    <row r="465">
      <c r="A465" s="253">
        <v>45923.06845153935</v>
      </c>
      <c r="B465" s="1" t="s">
        <v>115</v>
      </c>
      <c r="C465" s="203">
        <v>8.168</v>
      </c>
      <c r="D465" s="1" t="s">
        <v>132</v>
      </c>
    </row>
    <row r="466">
      <c r="A466" s="253">
        <v>45923.06845153935</v>
      </c>
      <c r="B466" s="1" t="s">
        <v>206</v>
      </c>
      <c r="C466" s="203">
        <v>8.083</v>
      </c>
      <c r="D466" s="1" t="s">
        <v>311</v>
      </c>
    </row>
    <row r="467">
      <c r="A467" s="253">
        <v>45923.06845153935</v>
      </c>
      <c r="B467" s="1" t="s">
        <v>152</v>
      </c>
      <c r="C467" s="203">
        <v>5.787</v>
      </c>
      <c r="D467" s="1" t="s">
        <v>311</v>
      </c>
    </row>
    <row r="468">
      <c r="A468" s="253">
        <v>45923.06845153935</v>
      </c>
      <c r="B468" s="1" t="s">
        <v>138</v>
      </c>
      <c r="C468" s="203">
        <v>7.199</v>
      </c>
      <c r="D468" s="1" t="s">
        <v>493</v>
      </c>
    </row>
    <row r="469">
      <c r="A469" s="253">
        <v>45923.06845153935</v>
      </c>
      <c r="B469" s="1" t="s">
        <v>102</v>
      </c>
      <c r="C469" s="203">
        <v>10.373000000000001</v>
      </c>
      <c r="D469" s="1" t="s">
        <v>238</v>
      </c>
    </row>
    <row r="470">
      <c r="A470" s="253">
        <v>45923.06845153935</v>
      </c>
      <c r="B470" s="1" t="s">
        <v>548</v>
      </c>
      <c r="C470" s="203">
        <v>5.619</v>
      </c>
      <c r="D470" s="1" t="s">
        <v>238</v>
      </c>
    </row>
    <row r="471">
      <c r="A471" s="253">
        <v>45923.06845153935</v>
      </c>
      <c r="B471" s="1" t="s">
        <v>116</v>
      </c>
      <c r="C471" s="203">
        <v>10.593</v>
      </c>
      <c r="D471" s="1" t="s">
        <v>156</v>
      </c>
    </row>
    <row r="472">
      <c r="A472" s="253">
        <v>45923.06845153935</v>
      </c>
      <c r="B472" s="1" t="s">
        <v>140</v>
      </c>
      <c r="C472" s="203">
        <v>5.5</v>
      </c>
      <c r="D472" s="1" t="s">
        <v>224</v>
      </c>
    </row>
    <row r="473">
      <c r="A473" s="253">
        <v>45923.06845153935</v>
      </c>
      <c r="B473" s="1" t="s">
        <v>139</v>
      </c>
      <c r="C473" s="203">
        <v>8.881</v>
      </c>
      <c r="D473" s="1" t="s">
        <v>311</v>
      </c>
    </row>
    <row r="474">
      <c r="A474" s="253">
        <v>45923.06845153935</v>
      </c>
      <c r="B474" s="1" t="s">
        <v>153</v>
      </c>
      <c r="D474" s="1" t="s">
        <v>96</v>
      </c>
    </row>
    <row r="475">
      <c r="A475" s="253">
        <v>45923.06845153935</v>
      </c>
      <c r="B475" s="1" t="s">
        <v>141</v>
      </c>
      <c r="C475" s="203">
        <v>5.6</v>
      </c>
      <c r="D475" s="1" t="s">
        <v>238</v>
      </c>
    </row>
    <row r="476">
      <c r="A476" s="253">
        <v>45923.06845153935</v>
      </c>
      <c r="B476" s="1" t="s">
        <v>207</v>
      </c>
      <c r="C476" s="203">
        <v>6.1</v>
      </c>
      <c r="D476" s="1" t="s">
        <v>493</v>
      </c>
    </row>
    <row r="477">
      <c r="A477" s="253">
        <v>45923.06845153935</v>
      </c>
      <c r="B477" s="1" t="s">
        <v>208</v>
      </c>
      <c r="C477" s="203">
        <v>8.757000000000001</v>
      </c>
      <c r="D477" s="1" t="s">
        <v>156</v>
      </c>
    </row>
    <row r="478">
      <c r="A478" s="253">
        <v>45923.06845153935</v>
      </c>
      <c r="B478" s="1" t="s">
        <v>103</v>
      </c>
      <c r="C478" s="203">
        <v>8.231</v>
      </c>
      <c r="D478" s="1" t="s">
        <v>224</v>
      </c>
    </row>
    <row r="479">
      <c r="A479" s="253">
        <v>45923.06845153935</v>
      </c>
      <c r="B479" s="1" t="s">
        <v>117</v>
      </c>
      <c r="C479" s="203">
        <v>6.697</v>
      </c>
      <c r="D479" s="1" t="s">
        <v>95</v>
      </c>
    </row>
    <row r="480">
      <c r="A480" s="253">
        <v>45923.06845153935</v>
      </c>
      <c r="B480" s="1" t="s">
        <v>142</v>
      </c>
      <c r="C480" s="203">
        <v>8.592</v>
      </c>
      <c r="D480" s="1" t="s">
        <v>96</v>
      </c>
    </row>
    <row r="481">
      <c r="A481" s="253">
        <v>45923.06845153935</v>
      </c>
      <c r="B481" s="1" t="s">
        <v>181</v>
      </c>
      <c r="C481" s="203">
        <v>2.6</v>
      </c>
      <c r="D481" s="1" t="s">
        <v>156</v>
      </c>
    </row>
    <row r="482">
      <c r="A482" s="253">
        <v>45923.06845153935</v>
      </c>
      <c r="B482" s="1" t="s">
        <v>182</v>
      </c>
      <c r="C482" s="203">
        <v>7.346</v>
      </c>
      <c r="D482" s="1" t="s">
        <v>193</v>
      </c>
    </row>
    <row r="483">
      <c r="A483" s="253">
        <v>45923.06845153935</v>
      </c>
      <c r="B483" s="1" t="s">
        <v>228</v>
      </c>
      <c r="C483" s="203">
        <v>4.598</v>
      </c>
      <c r="D483" s="1" t="s">
        <v>43</v>
      </c>
    </row>
    <row r="484">
      <c r="A484" s="253">
        <v>45923.06845153935</v>
      </c>
      <c r="B484" s="1" t="s">
        <v>118</v>
      </c>
      <c r="C484" s="203">
        <v>4.5</v>
      </c>
      <c r="D484" s="1" t="s">
        <v>43</v>
      </c>
    </row>
    <row r="485">
      <c r="A485" s="253">
        <v>45923.06845153935</v>
      </c>
      <c r="B485" s="1" t="s">
        <v>154</v>
      </c>
      <c r="C485" s="203">
        <v>10.085</v>
      </c>
      <c r="D485" s="1" t="s">
        <v>156</v>
      </c>
    </row>
    <row r="486">
      <c r="A486" s="253">
        <v>45923.06845153935</v>
      </c>
      <c r="B486" s="1" t="s">
        <v>172</v>
      </c>
      <c r="C486" s="203">
        <v>6.25</v>
      </c>
      <c r="D486" s="1" t="s">
        <v>311</v>
      </c>
    </row>
    <row r="487">
      <c r="A487" s="253">
        <v>45923.06845153935</v>
      </c>
      <c r="B487" s="1" t="s">
        <v>143</v>
      </c>
      <c r="C487" s="203">
        <v>4.0</v>
      </c>
      <c r="D487" s="1" t="s">
        <v>493</v>
      </c>
    </row>
    <row r="488">
      <c r="A488" s="253">
        <v>45923.06845153935</v>
      </c>
      <c r="B488" s="1" t="s">
        <v>229</v>
      </c>
      <c r="C488" s="203">
        <v>8.2</v>
      </c>
      <c r="D488" s="1" t="s">
        <v>96</v>
      </c>
    </row>
    <row r="489">
      <c r="A489" s="253">
        <v>45923.06845153935</v>
      </c>
      <c r="B489" s="1" t="s">
        <v>173</v>
      </c>
      <c r="C489" s="203">
        <v>8.192</v>
      </c>
      <c r="D489" s="1" t="s">
        <v>96</v>
      </c>
    </row>
    <row r="490">
      <c r="A490" s="253">
        <v>45923.06845153935</v>
      </c>
      <c r="B490" s="1" t="s">
        <v>144</v>
      </c>
      <c r="C490" s="203">
        <v>10.463999999999999</v>
      </c>
      <c r="D490" s="1" t="s">
        <v>193</v>
      </c>
    </row>
    <row r="491">
      <c r="A491" s="253">
        <v>45923.06845153935</v>
      </c>
      <c r="B491" s="1" t="s">
        <v>128</v>
      </c>
      <c r="C491" s="203">
        <v>8.165999999999999</v>
      </c>
      <c r="D491" s="1" t="s">
        <v>95</v>
      </c>
    </row>
    <row r="492">
      <c r="A492" s="253">
        <v>45923.06845153935</v>
      </c>
      <c r="B492" s="1" t="s">
        <v>129</v>
      </c>
      <c r="C492" s="203">
        <v>2.1</v>
      </c>
      <c r="D492" s="1" t="s">
        <v>96</v>
      </c>
    </row>
    <row r="493">
      <c r="A493" s="253">
        <v>45923.06845153935</v>
      </c>
      <c r="B493" s="1" t="s">
        <v>155</v>
      </c>
      <c r="C493" s="203">
        <v>9.423</v>
      </c>
      <c r="D493" s="1" t="s">
        <v>62</v>
      </c>
    </row>
    <row r="494">
      <c r="A494" s="253">
        <v>45923.06845153935</v>
      </c>
      <c r="B494" s="1" t="s">
        <v>209</v>
      </c>
      <c r="C494" s="203">
        <v>10.189</v>
      </c>
      <c r="D494" s="1" t="s">
        <v>249</v>
      </c>
    </row>
    <row r="495">
      <c r="A495" s="253">
        <v>45923.06845153935</v>
      </c>
      <c r="B495" s="1" t="s">
        <v>192</v>
      </c>
      <c r="C495" s="203">
        <v>10.14</v>
      </c>
      <c r="D495" s="1" t="s">
        <v>311</v>
      </c>
    </row>
    <row r="496">
      <c r="A496" s="253">
        <v>45923.06845153935</v>
      </c>
      <c r="B496" s="1" t="s">
        <v>194</v>
      </c>
      <c r="C496" s="203">
        <v>4.8</v>
      </c>
      <c r="D496" s="1" t="s">
        <v>193</v>
      </c>
    </row>
    <row r="497">
      <c r="A497" s="253">
        <v>45923.06845153935</v>
      </c>
      <c r="B497" s="1" t="s">
        <v>145</v>
      </c>
      <c r="C497" s="203">
        <v>9.22</v>
      </c>
      <c r="D497" s="1" t="s">
        <v>43</v>
      </c>
    </row>
    <row r="498">
      <c r="A498" s="253">
        <v>45923.06845153935</v>
      </c>
      <c r="B498" s="1" t="s">
        <v>119</v>
      </c>
      <c r="C498" s="203">
        <v>5.197</v>
      </c>
      <c r="D498" s="1" t="s">
        <v>238</v>
      </c>
    </row>
    <row r="499">
      <c r="A499" s="253">
        <v>45923.06845153935</v>
      </c>
      <c r="B499" s="1" t="s">
        <v>146</v>
      </c>
      <c r="C499" s="203">
        <v>3.6</v>
      </c>
      <c r="D499" s="1" t="s">
        <v>493</v>
      </c>
    </row>
    <row r="500">
      <c r="A500" s="253">
        <v>45923.06845153935</v>
      </c>
      <c r="B500" s="1" t="s">
        <v>157</v>
      </c>
      <c r="C500" s="203">
        <v>5.3</v>
      </c>
      <c r="D500" s="1" t="s">
        <v>43</v>
      </c>
    </row>
    <row r="501">
      <c r="A501" s="253">
        <v>45923.06845153935</v>
      </c>
      <c r="B501" s="1" t="s">
        <v>147</v>
      </c>
      <c r="C501" s="203">
        <v>5.6</v>
      </c>
      <c r="D501" s="1" t="s">
        <v>395</v>
      </c>
    </row>
    <row r="502">
      <c r="A502" s="253">
        <v>45923.06845153935</v>
      </c>
      <c r="B502" s="1" t="s">
        <v>183</v>
      </c>
      <c r="C502" s="203">
        <v>6.281</v>
      </c>
      <c r="D502" s="1" t="s">
        <v>249</v>
      </c>
    </row>
    <row r="503">
      <c r="A503" s="253">
        <v>45923.06845153935</v>
      </c>
      <c r="B503" s="1" t="s">
        <v>549</v>
      </c>
      <c r="C503" s="203">
        <v>4.893000000000001</v>
      </c>
      <c r="D503" s="1" t="s">
        <v>238</v>
      </c>
    </row>
    <row r="504">
      <c r="A504" s="253">
        <v>45923.06845153935</v>
      </c>
      <c r="B504" s="1" t="s">
        <v>104</v>
      </c>
      <c r="C504" s="203">
        <v>6.959</v>
      </c>
      <c r="D504" s="1" t="s">
        <v>193</v>
      </c>
    </row>
    <row r="505">
      <c r="A505" s="253">
        <v>45923.06845153935</v>
      </c>
      <c r="B505" s="1" t="s">
        <v>220</v>
      </c>
      <c r="C505" s="203">
        <v>4.786</v>
      </c>
      <c r="D505" s="1" t="s">
        <v>238</v>
      </c>
    </row>
    <row r="506">
      <c r="A506" s="253">
        <v>45923.06845153935</v>
      </c>
      <c r="B506" s="1" t="s">
        <v>210</v>
      </c>
      <c r="C506" s="203">
        <v>5.3</v>
      </c>
      <c r="D506" s="1" t="s">
        <v>132</v>
      </c>
    </row>
    <row r="507">
      <c r="A507" s="253">
        <v>45923.06845153935</v>
      </c>
      <c r="B507" s="1" t="s">
        <v>105</v>
      </c>
      <c r="C507" s="203">
        <v>8.682</v>
      </c>
      <c r="D507" s="1" t="s">
        <v>96</v>
      </c>
    </row>
    <row r="508">
      <c r="A508" s="253">
        <v>45923.06845153935</v>
      </c>
      <c r="B508" s="1" t="s">
        <v>546</v>
      </c>
      <c r="C508" s="203">
        <v>6.159</v>
      </c>
      <c r="D508" s="1" t="s">
        <v>493</v>
      </c>
    </row>
    <row r="509">
      <c r="A509" s="253">
        <v>45923.06845153935</v>
      </c>
      <c r="B509" s="1" t="s">
        <v>195</v>
      </c>
      <c r="C509" s="203">
        <v>3.7</v>
      </c>
      <c r="D509" s="1" t="s">
        <v>493</v>
      </c>
    </row>
    <row r="510">
      <c r="A510" s="253">
        <v>45923.06845153935</v>
      </c>
      <c r="B510" s="1" t="s">
        <v>120</v>
      </c>
      <c r="C510" s="203">
        <v>6.485</v>
      </c>
      <c r="D510" s="1" t="s">
        <v>493</v>
      </c>
    </row>
    <row r="511">
      <c r="A511" s="253">
        <v>45923.06845153935</v>
      </c>
      <c r="B511" s="1" t="s">
        <v>130</v>
      </c>
      <c r="C511" s="203">
        <v>8.871</v>
      </c>
      <c r="D511" s="1" t="s">
        <v>95</v>
      </c>
    </row>
    <row r="512">
      <c r="A512" s="253">
        <v>45923.06845153935</v>
      </c>
      <c r="B512" s="1" t="s">
        <v>106</v>
      </c>
      <c r="C512" s="203">
        <v>4.999</v>
      </c>
      <c r="D512" s="1" t="s">
        <v>493</v>
      </c>
    </row>
    <row r="513">
      <c r="A513" s="253">
        <v>45923.06845153935</v>
      </c>
      <c r="B513" s="1" t="s">
        <v>211</v>
      </c>
      <c r="C513" s="203">
        <v>8.57</v>
      </c>
      <c r="D513" s="1" t="s">
        <v>193</v>
      </c>
    </row>
    <row r="514">
      <c r="A514" s="253">
        <v>45923.06845153935</v>
      </c>
      <c r="B514" s="1" t="s">
        <v>539</v>
      </c>
      <c r="C514" s="203">
        <v>8.668999999999999</v>
      </c>
      <c r="D514" s="1" t="s">
        <v>238</v>
      </c>
    </row>
    <row r="515">
      <c r="A515" s="253">
        <v>45923.06845153935</v>
      </c>
      <c r="B515" s="1" t="s">
        <v>131</v>
      </c>
      <c r="C515" s="203">
        <v>8.636000000000001</v>
      </c>
      <c r="D515" s="1" t="s">
        <v>132</v>
      </c>
    </row>
    <row r="516">
      <c r="A516" s="253">
        <v>45923.06845153935</v>
      </c>
      <c r="B516" s="1" t="s">
        <v>221</v>
      </c>
      <c r="C516" s="203">
        <v>8.879</v>
      </c>
      <c r="D516" s="1" t="s">
        <v>95</v>
      </c>
    </row>
    <row r="517">
      <c r="A517" s="253">
        <v>45923.06845153935</v>
      </c>
      <c r="B517" s="1" t="s">
        <v>133</v>
      </c>
      <c r="C517" s="203">
        <v>9.714</v>
      </c>
      <c r="D517" s="1" t="s">
        <v>43</v>
      </c>
    </row>
    <row r="518">
      <c r="A518" s="253">
        <v>45923.06845153935</v>
      </c>
      <c r="B518" s="1" t="s">
        <v>174</v>
      </c>
      <c r="C518" s="203">
        <v>8.373</v>
      </c>
      <c r="D518" s="1" t="s">
        <v>156</v>
      </c>
    </row>
    <row r="519">
      <c r="A519" s="253">
        <v>45923.06845153935</v>
      </c>
      <c r="B519" s="1" t="s">
        <v>222</v>
      </c>
      <c r="C519" s="203">
        <v>6.268</v>
      </c>
      <c r="D519" s="1" t="s">
        <v>96</v>
      </c>
    </row>
    <row r="520">
      <c r="A520" s="253">
        <v>45923.06845153935</v>
      </c>
      <c r="B520" s="1" t="s">
        <v>107</v>
      </c>
      <c r="C520" s="203">
        <v>8.606</v>
      </c>
      <c r="D520" s="1" t="s">
        <v>132</v>
      </c>
    </row>
    <row r="521">
      <c r="A521" s="253">
        <v>45923.06845153935</v>
      </c>
      <c r="B521" s="1" t="s">
        <v>108</v>
      </c>
      <c r="C521" s="203">
        <v>4.2</v>
      </c>
      <c r="D521" s="1" t="s">
        <v>493</v>
      </c>
    </row>
    <row r="522">
      <c r="A522" s="253">
        <v>45923.06845153935</v>
      </c>
      <c r="B522" s="1" t="s">
        <v>163</v>
      </c>
      <c r="C522" s="203">
        <v>4.1</v>
      </c>
      <c r="D522" s="1" t="s">
        <v>62</v>
      </c>
    </row>
    <row r="523">
      <c r="A523" s="253">
        <v>45923.06845153935</v>
      </c>
      <c r="B523" s="1" t="s">
        <v>109</v>
      </c>
      <c r="C523" s="203">
        <v>7.585999999999999</v>
      </c>
      <c r="D523" s="1" t="s">
        <v>156</v>
      </c>
    </row>
    <row r="524">
      <c r="A524" s="253">
        <v>45923.06845153935</v>
      </c>
      <c r="B524" s="1" t="s">
        <v>196</v>
      </c>
      <c r="C524" s="203">
        <v>1.0</v>
      </c>
      <c r="D524" s="1" t="s">
        <v>62</v>
      </c>
    </row>
    <row r="525">
      <c r="A525" s="253">
        <v>45923.06845153935</v>
      </c>
      <c r="B525" s="1" t="s">
        <v>99</v>
      </c>
      <c r="C525" s="203">
        <v>6.7</v>
      </c>
      <c r="D525" s="1" t="s">
        <v>395</v>
      </c>
    </row>
    <row r="526">
      <c r="A526" s="253">
        <v>45923.06845153935</v>
      </c>
      <c r="B526" s="1" t="s">
        <v>219</v>
      </c>
      <c r="C526" s="203">
        <v>4.399</v>
      </c>
      <c r="D526" s="1" t="s">
        <v>493</v>
      </c>
    </row>
    <row r="527">
      <c r="A527" s="253">
        <v>45923.06845153935</v>
      </c>
      <c r="B527" s="1" t="s">
        <v>527</v>
      </c>
      <c r="D527" s="1" t="s">
        <v>43</v>
      </c>
    </row>
    <row r="528">
      <c r="A528" s="253">
        <v>45923.06845153935</v>
      </c>
      <c r="B528" s="1" t="s">
        <v>185</v>
      </c>
      <c r="C528" s="203">
        <v>9.619</v>
      </c>
      <c r="D528" s="1" t="s">
        <v>224</v>
      </c>
    </row>
    <row r="529">
      <c r="A529" s="253">
        <v>45923.06845153935</v>
      </c>
      <c r="B529" s="1" t="s">
        <v>197</v>
      </c>
      <c r="C529" s="203">
        <v>9.575</v>
      </c>
      <c r="D529" s="1" t="s">
        <v>95</v>
      </c>
    </row>
    <row r="530">
      <c r="A530" s="253">
        <v>45923.06845153935</v>
      </c>
      <c r="B530" s="1" t="s">
        <v>186</v>
      </c>
      <c r="C530" s="203">
        <v>6.829000000000001</v>
      </c>
      <c r="D530" s="1" t="s">
        <v>311</v>
      </c>
    </row>
    <row r="531">
      <c r="A531" s="253">
        <v>45923.06845153935</v>
      </c>
      <c r="B531" s="1" t="s">
        <v>198</v>
      </c>
      <c r="C531" s="203">
        <v>7.678</v>
      </c>
      <c r="D531" s="1" t="s">
        <v>95</v>
      </c>
    </row>
    <row r="532">
      <c r="A532" s="253">
        <v>45923.06845153935</v>
      </c>
      <c r="B532" s="1" t="s">
        <v>160</v>
      </c>
      <c r="C532" s="203">
        <v>5.055</v>
      </c>
      <c r="D532" s="1" t="s">
        <v>238</v>
      </c>
    </row>
    <row r="533">
      <c r="A533" s="253">
        <v>45923.06845153935</v>
      </c>
      <c r="B533" s="1" t="s">
        <v>161</v>
      </c>
      <c r="C533" s="203">
        <v>6.3870000000000005</v>
      </c>
      <c r="D533" s="1" t="s">
        <v>311</v>
      </c>
    </row>
    <row r="534">
      <c r="A534" s="253">
        <v>45923.06845153935</v>
      </c>
      <c r="B534" s="1" t="s">
        <v>213</v>
      </c>
      <c r="C534" s="203">
        <v>8.561</v>
      </c>
      <c r="D534" s="1" t="s">
        <v>395</v>
      </c>
    </row>
    <row r="535">
      <c r="A535" s="253">
        <v>45923.06845153935</v>
      </c>
      <c r="B535" s="1" t="s">
        <v>121</v>
      </c>
      <c r="C535" s="203">
        <v>8.625</v>
      </c>
      <c r="D535" s="1" t="s">
        <v>96</v>
      </c>
    </row>
    <row r="536">
      <c r="A536" s="253">
        <v>45923.06845153935</v>
      </c>
      <c r="B536" s="1" t="s">
        <v>122</v>
      </c>
      <c r="C536" s="203">
        <v>3.799</v>
      </c>
      <c r="D536" s="1" t="s">
        <v>311</v>
      </c>
    </row>
    <row r="537">
      <c r="A537" s="253">
        <v>45923.06845153935</v>
      </c>
      <c r="B537" s="1" t="s">
        <v>123</v>
      </c>
      <c r="C537" s="203">
        <v>4.3</v>
      </c>
      <c r="D537" s="1" t="s">
        <v>493</v>
      </c>
    </row>
    <row r="538">
      <c r="A538" s="253">
        <v>45923.06845153935</v>
      </c>
      <c r="B538" s="1" t="s">
        <v>199</v>
      </c>
      <c r="C538" s="203">
        <v>8.487</v>
      </c>
      <c r="D538" s="1" t="s">
        <v>62</v>
      </c>
    </row>
    <row r="539">
      <c r="A539" s="253">
        <v>45923.06845153935</v>
      </c>
      <c r="B539" s="1" t="s">
        <v>200</v>
      </c>
      <c r="C539" s="203">
        <v>3.7</v>
      </c>
      <c r="D539" s="1" t="s">
        <v>493</v>
      </c>
    </row>
    <row r="540">
      <c r="A540" s="253">
        <v>45923.06845153935</v>
      </c>
      <c r="B540" s="1" t="s">
        <v>134</v>
      </c>
      <c r="C540" s="203">
        <v>3.8</v>
      </c>
      <c r="D540" s="1" t="s">
        <v>132</v>
      </c>
    </row>
    <row r="541">
      <c r="A541" s="253">
        <v>45923.06845153935</v>
      </c>
      <c r="B541" s="1" t="s">
        <v>162</v>
      </c>
      <c r="C541" s="203">
        <v>6.965</v>
      </c>
      <c r="D541" s="1" t="s">
        <v>395</v>
      </c>
    </row>
    <row r="542">
      <c r="A542" s="253">
        <v>45923.06845153935</v>
      </c>
      <c r="B542" s="1" t="s">
        <v>175</v>
      </c>
      <c r="C542" s="203">
        <v>5.548</v>
      </c>
      <c r="D542" s="1" t="s">
        <v>395</v>
      </c>
    </row>
    <row r="543">
      <c r="A543" s="253">
        <v>45923.06845153935</v>
      </c>
      <c r="B543" s="1" t="s">
        <v>148</v>
      </c>
      <c r="C543" s="203">
        <v>3.9</v>
      </c>
      <c r="D543" s="1" t="s">
        <v>238</v>
      </c>
    </row>
    <row r="544">
      <c r="A544" s="253">
        <v>45923.06845153935</v>
      </c>
      <c r="B544" s="1" t="s">
        <v>187</v>
      </c>
      <c r="C544" s="203">
        <v>5.393000000000001</v>
      </c>
      <c r="D544" s="1" t="s">
        <v>132</v>
      </c>
    </row>
    <row r="545">
      <c r="A545" s="253">
        <v>45923.06845153935</v>
      </c>
      <c r="B545" s="1" t="s">
        <v>234</v>
      </c>
      <c r="C545" s="203">
        <v>2.599</v>
      </c>
      <c r="D545" s="1" t="s">
        <v>311</v>
      </c>
    </row>
    <row r="546">
      <c r="A546" s="253">
        <v>45923.06845153935</v>
      </c>
      <c r="B546" s="1" t="s">
        <v>232</v>
      </c>
      <c r="C546" s="203">
        <v>7.3870000000000005</v>
      </c>
      <c r="D546" s="1" t="s">
        <v>156</v>
      </c>
    </row>
    <row r="547">
      <c r="A547" s="253">
        <v>45923.06845153935</v>
      </c>
    </row>
    <row r="548">
      <c r="A548" s="253">
        <v>45923.06845153935</v>
      </c>
    </row>
    <row r="549">
      <c r="A549" s="253">
        <v>45923.06845153935</v>
      </c>
    </row>
    <row r="550">
      <c r="A550" s="1" t="s">
        <v>914</v>
      </c>
      <c r="B550" s="1" t="s">
        <v>13</v>
      </c>
      <c r="C550" s="1" t="s">
        <v>2047</v>
      </c>
      <c r="D550" s="1" t="s">
        <v>2048</v>
      </c>
    </row>
    <row r="551">
      <c r="A551" s="253">
        <v>45930.06847215278</v>
      </c>
      <c r="B551" s="1" t="s">
        <v>176</v>
      </c>
      <c r="C551" s="203">
        <v>3.5</v>
      </c>
      <c r="D551" s="1" t="s">
        <v>43</v>
      </c>
    </row>
    <row r="552">
      <c r="A552" s="253">
        <v>45930.06847215278</v>
      </c>
      <c r="B552" s="1" t="s">
        <v>164</v>
      </c>
      <c r="D552" s="1" t="s">
        <v>193</v>
      </c>
    </row>
    <row r="553">
      <c r="A553" s="253">
        <v>45930.06847215278</v>
      </c>
      <c r="B553" s="1" t="s">
        <v>201</v>
      </c>
      <c r="C553" s="203">
        <v>9.063</v>
      </c>
      <c r="D553" s="1" t="s">
        <v>62</v>
      </c>
    </row>
    <row r="554">
      <c r="A554" s="253">
        <v>45930.06847215278</v>
      </c>
      <c r="B554" s="1" t="e">
        <v>#N/A</v>
      </c>
      <c r="C554" s="1" t="e">
        <v>#N/A</v>
      </c>
      <c r="D554" s="1" t="s">
        <v>2050</v>
      </c>
    </row>
    <row r="555">
      <c r="A555" s="253">
        <v>45930.06847215278</v>
      </c>
      <c r="B555" s="1" t="s">
        <v>189</v>
      </c>
      <c r="C555" s="203">
        <v>8.087</v>
      </c>
      <c r="D555" s="1" t="s">
        <v>43</v>
      </c>
    </row>
    <row r="556">
      <c r="A556" s="253">
        <v>45930.06847215278</v>
      </c>
      <c r="B556" s="1" t="s">
        <v>188</v>
      </c>
      <c r="C556" s="203">
        <v>6.598</v>
      </c>
      <c r="D556" s="1" t="s">
        <v>493</v>
      </c>
    </row>
    <row r="557">
      <c r="A557" s="253">
        <v>45930.06847215278</v>
      </c>
      <c r="B557" s="1" t="s">
        <v>202</v>
      </c>
      <c r="C557" s="203">
        <v>4.1</v>
      </c>
      <c r="D557" s="1" t="s">
        <v>156</v>
      </c>
    </row>
    <row r="558">
      <c r="A558" s="253">
        <v>45930.06847215278</v>
      </c>
      <c r="B558" s="1" t="s">
        <v>215</v>
      </c>
      <c r="C558" s="203">
        <v>3.599</v>
      </c>
      <c r="D558" s="1" t="s">
        <v>132</v>
      </c>
    </row>
    <row r="559">
      <c r="A559" s="253">
        <v>45930.06847215278</v>
      </c>
      <c r="B559" s="1" t="s">
        <v>225</v>
      </c>
      <c r="C559" s="203">
        <v>5.3</v>
      </c>
      <c r="D559" s="1" t="s">
        <v>395</v>
      </c>
    </row>
    <row r="560">
      <c r="A560" s="253">
        <v>45930.06847215278</v>
      </c>
      <c r="B560" s="1" t="s">
        <v>45</v>
      </c>
      <c r="C560" s="203">
        <v>6.8</v>
      </c>
      <c r="D560" s="1" t="s">
        <v>43</v>
      </c>
    </row>
    <row r="561">
      <c r="A561" s="253">
        <v>45930.06847215278</v>
      </c>
      <c r="B561" s="1" t="s">
        <v>165</v>
      </c>
      <c r="C561" s="203">
        <v>3.998</v>
      </c>
      <c r="D561" s="1" t="s">
        <v>95</v>
      </c>
    </row>
    <row r="562">
      <c r="A562" s="253">
        <v>45930.06847215278</v>
      </c>
      <c r="B562" s="1" t="s">
        <v>124</v>
      </c>
      <c r="C562" s="203">
        <v>6.491</v>
      </c>
      <c r="D562" s="1" t="s">
        <v>249</v>
      </c>
    </row>
    <row r="563">
      <c r="A563" s="253">
        <v>45930.06847215278</v>
      </c>
      <c r="B563" s="1" t="s">
        <v>177</v>
      </c>
      <c r="C563" s="203">
        <v>8.526</v>
      </c>
      <c r="D563" s="1" t="s">
        <v>95</v>
      </c>
    </row>
    <row r="564">
      <c r="A564" s="253">
        <v>45930.06847215278</v>
      </c>
      <c r="B564" s="1" t="s">
        <v>110</v>
      </c>
      <c r="C564" s="203">
        <v>4.1</v>
      </c>
      <c r="D564" s="1" t="s">
        <v>493</v>
      </c>
    </row>
    <row r="565">
      <c r="A565" s="253">
        <v>45930.06847215278</v>
      </c>
      <c r="B565" s="1" t="s">
        <v>166</v>
      </c>
      <c r="C565" s="203">
        <v>6.963</v>
      </c>
      <c r="D565" s="1" t="s">
        <v>224</v>
      </c>
    </row>
    <row r="566">
      <c r="A566" s="253">
        <v>45930.06847215278</v>
      </c>
      <c r="B566" s="1" t="s">
        <v>167</v>
      </c>
      <c r="C566" s="203">
        <v>5.774</v>
      </c>
      <c r="D566" s="1" t="s">
        <v>249</v>
      </c>
    </row>
    <row r="567">
      <c r="A567" s="253">
        <v>45930.06847215278</v>
      </c>
      <c r="B567" s="1" t="s">
        <v>226</v>
      </c>
      <c r="C567" s="203">
        <v>9.539000000000001</v>
      </c>
      <c r="D567" s="1" t="s">
        <v>224</v>
      </c>
    </row>
    <row r="568">
      <c r="A568" s="253">
        <v>45930.06847215278</v>
      </c>
      <c r="B568" s="1" t="s">
        <v>190</v>
      </c>
      <c r="C568" s="203">
        <v>6.798</v>
      </c>
      <c r="D568" s="1" t="s">
        <v>62</v>
      </c>
    </row>
    <row r="569">
      <c r="A569" s="253">
        <v>45930.06847215278</v>
      </c>
      <c r="B569" s="1" t="s">
        <v>168</v>
      </c>
      <c r="C569" s="203">
        <v>6.192</v>
      </c>
      <c r="D569" s="1" t="s">
        <v>132</v>
      </c>
    </row>
    <row r="570">
      <c r="A570" s="253">
        <v>45930.06847215278</v>
      </c>
      <c r="B570" s="1" t="s">
        <v>159</v>
      </c>
      <c r="C570" s="203">
        <v>1.8</v>
      </c>
      <c r="D570" s="1" t="s">
        <v>249</v>
      </c>
    </row>
    <row r="571">
      <c r="A571" s="253">
        <v>45930.06847215278</v>
      </c>
      <c r="B571" s="1" t="s">
        <v>98</v>
      </c>
      <c r="C571" s="203">
        <v>7.265</v>
      </c>
      <c r="D571" s="1" t="s">
        <v>238</v>
      </c>
    </row>
    <row r="572">
      <c r="A572" s="253">
        <v>45930.06847215278</v>
      </c>
      <c r="B572" s="1" t="s">
        <v>111</v>
      </c>
      <c r="C572" s="203">
        <v>5.398000000000001</v>
      </c>
      <c r="D572" s="1" t="s">
        <v>249</v>
      </c>
    </row>
    <row r="573">
      <c r="A573" s="253">
        <v>45930.06847215278</v>
      </c>
      <c r="B573" s="1" t="s">
        <v>223</v>
      </c>
      <c r="C573" s="203">
        <v>4.694</v>
      </c>
      <c r="D573" s="1" t="s">
        <v>156</v>
      </c>
    </row>
    <row r="574">
      <c r="A574" s="253">
        <v>45930.06847215278</v>
      </c>
      <c r="B574" s="1" t="s">
        <v>191</v>
      </c>
      <c r="C574" s="203">
        <v>4.699</v>
      </c>
      <c r="D574" s="1" t="s">
        <v>224</v>
      </c>
    </row>
    <row r="575">
      <c r="A575" s="253">
        <v>45930.06847215278</v>
      </c>
      <c r="B575" s="1" t="s">
        <v>178</v>
      </c>
      <c r="C575" s="203">
        <v>3.898</v>
      </c>
      <c r="D575" s="1" t="s">
        <v>62</v>
      </c>
    </row>
    <row r="576">
      <c r="A576" s="253">
        <v>45930.06847215278</v>
      </c>
      <c r="B576" s="1" t="s">
        <v>112</v>
      </c>
      <c r="C576" s="203">
        <v>7.705</v>
      </c>
      <c r="D576" s="1" t="s">
        <v>249</v>
      </c>
    </row>
    <row r="577">
      <c r="A577" s="253">
        <v>45930.06847215278</v>
      </c>
      <c r="B577" s="1" t="s">
        <v>100</v>
      </c>
      <c r="C577" s="203">
        <v>7.999</v>
      </c>
      <c r="D577" s="1" t="s">
        <v>95</v>
      </c>
    </row>
    <row r="578">
      <c r="A578" s="253">
        <v>45930.06847215278</v>
      </c>
      <c r="B578" s="1" t="s">
        <v>304</v>
      </c>
      <c r="C578" s="203">
        <v>3.1990000000000003</v>
      </c>
      <c r="D578" s="1" t="s">
        <v>62</v>
      </c>
    </row>
    <row r="579">
      <c r="A579" s="253">
        <v>45930.06847215278</v>
      </c>
      <c r="B579" s="1" t="s">
        <v>150</v>
      </c>
      <c r="C579" s="203">
        <v>3.7</v>
      </c>
      <c r="D579" s="1" t="s">
        <v>193</v>
      </c>
    </row>
    <row r="580">
      <c r="A580" s="253">
        <v>45930.06847215278</v>
      </c>
      <c r="B580" s="1" t="s">
        <v>203</v>
      </c>
      <c r="C580" s="203">
        <v>3.799</v>
      </c>
      <c r="D580" s="1" t="s">
        <v>224</v>
      </c>
    </row>
    <row r="581">
      <c r="A581" s="253">
        <v>45930.06847215278</v>
      </c>
      <c r="B581" s="1" t="s">
        <v>545</v>
      </c>
      <c r="C581" s="203">
        <v>5.880000000000001</v>
      </c>
      <c r="D581" s="1" t="s">
        <v>132</v>
      </c>
    </row>
    <row r="582">
      <c r="A582" s="253">
        <v>45930.06847215278</v>
      </c>
      <c r="B582" s="1" t="s">
        <v>113</v>
      </c>
      <c r="C582" s="203">
        <v>8.75</v>
      </c>
      <c r="D582" s="1" t="s">
        <v>224</v>
      </c>
    </row>
    <row r="583">
      <c r="A583" s="253">
        <v>45930.06847215278</v>
      </c>
      <c r="B583" s="1" t="s">
        <v>179</v>
      </c>
      <c r="C583" s="203">
        <v>8.484</v>
      </c>
      <c r="D583" s="1" t="s">
        <v>395</v>
      </c>
    </row>
    <row r="584">
      <c r="A584" s="253">
        <v>45930.06847215278</v>
      </c>
      <c r="B584" s="1" t="s">
        <v>204</v>
      </c>
      <c r="C584" s="203">
        <v>9.106</v>
      </c>
      <c r="D584" s="1" t="s">
        <v>96</v>
      </c>
    </row>
    <row r="585">
      <c r="A585" s="253">
        <v>45930.06847215278</v>
      </c>
      <c r="B585" s="1" t="s">
        <v>216</v>
      </c>
      <c r="C585" s="203">
        <v>5.2989999999999995</v>
      </c>
      <c r="D585" s="1" t="s">
        <v>224</v>
      </c>
    </row>
    <row r="586">
      <c r="A586" s="253">
        <v>45930.06847215278</v>
      </c>
      <c r="B586" s="1" t="s">
        <v>217</v>
      </c>
      <c r="C586" s="203">
        <v>3.2</v>
      </c>
      <c r="D586" s="1" t="s">
        <v>249</v>
      </c>
    </row>
    <row r="587">
      <c r="A587" s="253">
        <v>45930.06847215278</v>
      </c>
      <c r="B587" s="1" t="s">
        <v>114</v>
      </c>
      <c r="C587" s="203">
        <v>9.03</v>
      </c>
      <c r="D587" s="1" t="s">
        <v>395</v>
      </c>
    </row>
    <row r="588">
      <c r="A588" s="253">
        <v>45930.06847215278</v>
      </c>
      <c r="B588" s="1" t="s">
        <v>536</v>
      </c>
      <c r="C588" s="203">
        <v>6.396000000000001</v>
      </c>
      <c r="D588" s="1" t="s">
        <v>96</v>
      </c>
    </row>
    <row r="589">
      <c r="A589" s="253">
        <v>45930.06847215278</v>
      </c>
      <c r="B589" s="1" t="s">
        <v>101</v>
      </c>
      <c r="C589" s="203">
        <v>7.884</v>
      </c>
      <c r="D589" s="1" t="s">
        <v>395</v>
      </c>
    </row>
    <row r="590">
      <c r="A590" s="253">
        <v>45930.06847215278</v>
      </c>
      <c r="B590" s="1" t="s">
        <v>135</v>
      </c>
      <c r="C590" s="203">
        <v>8.296000000000001</v>
      </c>
      <c r="D590" s="1" t="s">
        <v>156</v>
      </c>
    </row>
    <row r="591">
      <c r="A591" s="253">
        <v>45930.06847215278</v>
      </c>
      <c r="B591" s="1" t="s">
        <v>136</v>
      </c>
      <c r="C591" s="203">
        <v>10.436</v>
      </c>
      <c r="D591" s="1" t="s">
        <v>132</v>
      </c>
    </row>
    <row r="592">
      <c r="A592" s="253">
        <v>45930.06847215278</v>
      </c>
      <c r="B592" s="1" t="s">
        <v>137</v>
      </c>
      <c r="C592" s="203">
        <v>6.199</v>
      </c>
      <c r="D592" s="1" t="s">
        <v>249</v>
      </c>
    </row>
    <row r="593">
      <c r="A593" s="253">
        <v>45930.06847215278</v>
      </c>
      <c r="B593" s="1" t="s">
        <v>125</v>
      </c>
      <c r="C593" s="203">
        <v>8.993</v>
      </c>
      <c r="D593" s="1" t="s">
        <v>311</v>
      </c>
    </row>
    <row r="594">
      <c r="A594" s="253">
        <v>45930.06847215278</v>
      </c>
      <c r="B594" s="1" t="s">
        <v>231</v>
      </c>
      <c r="C594" s="203">
        <v>9.044</v>
      </c>
      <c r="D594" s="1" t="s">
        <v>395</v>
      </c>
    </row>
    <row r="595">
      <c r="A595" s="253">
        <v>45930.06847215278</v>
      </c>
      <c r="B595" s="1" t="s">
        <v>126</v>
      </c>
      <c r="C595" s="203">
        <v>6.978</v>
      </c>
      <c r="D595" s="1" t="s">
        <v>193</v>
      </c>
    </row>
    <row r="596">
      <c r="A596" s="253">
        <v>45930.06847215278</v>
      </c>
      <c r="B596" s="1" t="s">
        <v>127</v>
      </c>
      <c r="C596" s="203">
        <v>5.195</v>
      </c>
      <c r="D596" s="1" t="s">
        <v>62</v>
      </c>
    </row>
    <row r="597">
      <c r="A597" s="253">
        <v>45930.06847215278</v>
      </c>
      <c r="B597" s="1" t="s">
        <v>170</v>
      </c>
      <c r="D597" s="1" t="s">
        <v>493</v>
      </c>
    </row>
    <row r="598">
      <c r="A598" s="253">
        <v>45930.06847215278</v>
      </c>
      <c r="B598" s="1" t="s">
        <v>205</v>
      </c>
      <c r="C598" s="203">
        <v>4.5</v>
      </c>
      <c r="D598" s="1" t="s">
        <v>493</v>
      </c>
    </row>
    <row r="599">
      <c r="A599" s="253">
        <v>45930.06847215278</v>
      </c>
      <c r="B599" s="1" t="s">
        <v>227</v>
      </c>
      <c r="C599" s="203">
        <v>4.689</v>
      </c>
      <c r="D599" s="1" t="s">
        <v>62</v>
      </c>
    </row>
    <row r="600">
      <c r="A600" s="253">
        <v>45930.06847215278</v>
      </c>
      <c r="B600" s="1" t="s">
        <v>552</v>
      </c>
      <c r="C600" s="203">
        <v>4.691</v>
      </c>
      <c r="D600" s="1" t="s">
        <v>193</v>
      </c>
    </row>
    <row r="601">
      <c r="A601" s="253">
        <v>45930.06847215278</v>
      </c>
      <c r="B601" s="1" t="s">
        <v>151</v>
      </c>
      <c r="C601" s="203">
        <v>9.007</v>
      </c>
      <c r="D601" s="1" t="s">
        <v>249</v>
      </c>
    </row>
    <row r="602">
      <c r="A602" s="253">
        <v>45930.06847215278</v>
      </c>
      <c r="B602" s="1" t="s">
        <v>115</v>
      </c>
      <c r="C602" s="203">
        <v>8.741000000000001</v>
      </c>
      <c r="D602" s="1" t="s">
        <v>132</v>
      </c>
    </row>
    <row r="603">
      <c r="A603" s="253">
        <v>45930.06847215278</v>
      </c>
      <c r="B603" s="1" t="s">
        <v>206</v>
      </c>
      <c r="C603" s="203">
        <v>7.891</v>
      </c>
      <c r="D603" s="1" t="s">
        <v>311</v>
      </c>
    </row>
    <row r="604">
      <c r="A604" s="253">
        <v>45930.06847215278</v>
      </c>
      <c r="B604" s="1" t="s">
        <v>152</v>
      </c>
      <c r="C604" s="203">
        <v>5.394</v>
      </c>
      <c r="D604" s="1" t="s">
        <v>311</v>
      </c>
    </row>
    <row r="605">
      <c r="A605" s="253">
        <v>45930.06847215278</v>
      </c>
      <c r="B605" s="1" t="s">
        <v>138</v>
      </c>
      <c r="C605" s="203">
        <v>7.2</v>
      </c>
      <c r="D605" s="1" t="s">
        <v>493</v>
      </c>
    </row>
    <row r="606">
      <c r="A606" s="253">
        <v>45930.06847215278</v>
      </c>
      <c r="B606" s="1" t="s">
        <v>102</v>
      </c>
      <c r="C606" s="203">
        <v>10.589</v>
      </c>
      <c r="D606" s="1" t="s">
        <v>238</v>
      </c>
    </row>
    <row r="607">
      <c r="A607" s="253">
        <v>45930.06847215278</v>
      </c>
      <c r="B607" s="1" t="s">
        <v>548</v>
      </c>
      <c r="C607" s="203">
        <v>5.821000000000001</v>
      </c>
      <c r="D607" s="1" t="s">
        <v>238</v>
      </c>
    </row>
    <row r="608">
      <c r="A608" s="253">
        <v>45930.06847215278</v>
      </c>
      <c r="B608" s="1" t="s">
        <v>116</v>
      </c>
      <c r="C608" s="203">
        <v>10.759</v>
      </c>
      <c r="D608" s="1" t="s">
        <v>156</v>
      </c>
    </row>
    <row r="609">
      <c r="A609" s="253">
        <v>45930.06847215278</v>
      </c>
      <c r="B609" s="1" t="s">
        <v>140</v>
      </c>
      <c r="C609" s="203">
        <v>5.4</v>
      </c>
      <c r="D609" s="1" t="s">
        <v>224</v>
      </c>
    </row>
    <row r="610">
      <c r="A610" s="253">
        <v>45930.06847215278</v>
      </c>
      <c r="B610" s="1" t="s">
        <v>139</v>
      </c>
      <c r="C610" s="203">
        <v>8.997</v>
      </c>
      <c r="D610" s="1" t="s">
        <v>311</v>
      </c>
    </row>
    <row r="611">
      <c r="A611" s="253">
        <v>45930.06847215278</v>
      </c>
      <c r="B611" s="1" t="s">
        <v>153</v>
      </c>
      <c r="C611" s="203">
        <v>3.1990000000000003</v>
      </c>
      <c r="D611" s="1" t="s">
        <v>96</v>
      </c>
    </row>
    <row r="612">
      <c r="A612" s="253">
        <v>45930.06847215278</v>
      </c>
      <c r="B612" s="1" t="s">
        <v>141</v>
      </c>
      <c r="C612" s="203">
        <v>6.1</v>
      </c>
      <c r="D612" s="1" t="s">
        <v>238</v>
      </c>
    </row>
    <row r="613">
      <c r="A613" s="253">
        <v>45930.06847215278</v>
      </c>
      <c r="B613" s="1" t="s">
        <v>207</v>
      </c>
      <c r="C613" s="203">
        <v>5.9</v>
      </c>
      <c r="D613" s="1" t="s">
        <v>493</v>
      </c>
    </row>
    <row r="614">
      <c r="A614" s="253">
        <v>45930.06847215278</v>
      </c>
      <c r="B614" s="1" t="s">
        <v>208</v>
      </c>
      <c r="C614" s="203">
        <v>8.762</v>
      </c>
      <c r="D614" s="1" t="s">
        <v>156</v>
      </c>
    </row>
    <row r="615">
      <c r="A615" s="253">
        <v>45930.06847215278</v>
      </c>
      <c r="B615" s="1" t="s">
        <v>103</v>
      </c>
      <c r="C615" s="203">
        <v>8.061</v>
      </c>
      <c r="D615" s="1" t="s">
        <v>224</v>
      </c>
    </row>
    <row r="616">
      <c r="A616" s="253">
        <v>45930.06847215278</v>
      </c>
      <c r="B616" s="1" t="s">
        <v>117</v>
      </c>
      <c r="C616" s="203">
        <v>6.2</v>
      </c>
      <c r="D616" s="1" t="s">
        <v>95</v>
      </c>
    </row>
    <row r="617">
      <c r="A617" s="253">
        <v>45930.06847215278</v>
      </c>
      <c r="B617" s="1" t="s">
        <v>142</v>
      </c>
      <c r="C617" s="203">
        <v>8.593</v>
      </c>
      <c r="D617" s="1" t="s">
        <v>96</v>
      </c>
    </row>
    <row r="618">
      <c r="A618" s="253">
        <v>45930.06847215278</v>
      </c>
      <c r="B618" s="1" t="s">
        <v>181</v>
      </c>
      <c r="C618" s="203">
        <v>2.5</v>
      </c>
      <c r="D618" s="1" t="s">
        <v>156</v>
      </c>
    </row>
    <row r="619">
      <c r="A619" s="253">
        <v>45930.06847215278</v>
      </c>
      <c r="B619" s="1" t="s">
        <v>182</v>
      </c>
      <c r="C619" s="203">
        <v>7.458</v>
      </c>
      <c r="D619" s="1" t="s">
        <v>193</v>
      </c>
    </row>
    <row r="620">
      <c r="A620" s="253">
        <v>45930.06847215278</v>
      </c>
      <c r="B620" s="1" t="s">
        <v>228</v>
      </c>
      <c r="C620" s="203">
        <v>4.499</v>
      </c>
      <c r="D620" s="1" t="s">
        <v>43</v>
      </c>
    </row>
    <row r="621">
      <c r="A621" s="253">
        <v>45930.06847215278</v>
      </c>
      <c r="B621" s="1" t="s">
        <v>118</v>
      </c>
      <c r="C621" s="203">
        <v>4.3</v>
      </c>
      <c r="D621" s="1" t="s">
        <v>43</v>
      </c>
    </row>
    <row r="622">
      <c r="A622" s="253">
        <v>45930.06847215278</v>
      </c>
      <c r="B622" s="1" t="s">
        <v>154</v>
      </c>
      <c r="C622" s="203">
        <v>10.284</v>
      </c>
      <c r="D622" s="1" t="s">
        <v>156</v>
      </c>
    </row>
    <row r="623">
      <c r="A623" s="253">
        <v>45930.06847215278</v>
      </c>
      <c r="B623" s="1" t="s">
        <v>172</v>
      </c>
      <c r="C623" s="203">
        <v>5.377000000000001</v>
      </c>
      <c r="D623" s="1" t="s">
        <v>311</v>
      </c>
    </row>
    <row r="624">
      <c r="A624" s="253">
        <v>45930.06847215278</v>
      </c>
      <c r="B624" s="1" t="s">
        <v>143</v>
      </c>
      <c r="C624" s="203">
        <v>4.1</v>
      </c>
      <c r="D624" s="1" t="s">
        <v>493</v>
      </c>
    </row>
    <row r="625">
      <c r="A625" s="253">
        <v>45930.06847215278</v>
      </c>
      <c r="B625" s="1" t="s">
        <v>229</v>
      </c>
      <c r="C625" s="203">
        <v>9.1</v>
      </c>
      <c r="D625" s="1" t="s">
        <v>96</v>
      </c>
    </row>
    <row r="626">
      <c r="A626" s="253">
        <v>45930.06847215278</v>
      </c>
      <c r="B626" s="1" t="s">
        <v>173</v>
      </c>
      <c r="C626" s="203">
        <v>8.543</v>
      </c>
      <c r="D626" s="1" t="s">
        <v>96</v>
      </c>
    </row>
    <row r="627">
      <c r="A627" s="253">
        <v>45930.06847215278</v>
      </c>
      <c r="B627" s="1" t="s">
        <v>144</v>
      </c>
      <c r="C627" s="203">
        <v>10.807</v>
      </c>
      <c r="D627" s="1" t="s">
        <v>193</v>
      </c>
    </row>
    <row r="628">
      <c r="A628" s="253">
        <v>45930.06847215278</v>
      </c>
      <c r="B628" s="1" t="s">
        <v>128</v>
      </c>
      <c r="C628" s="203">
        <v>8.265</v>
      </c>
      <c r="D628" s="1" t="s">
        <v>95</v>
      </c>
    </row>
    <row r="629">
      <c r="A629" s="253">
        <v>45930.06847215278</v>
      </c>
      <c r="B629" s="1" t="s">
        <v>129</v>
      </c>
      <c r="C629" s="203">
        <v>1.8</v>
      </c>
      <c r="D629" s="1" t="s">
        <v>96</v>
      </c>
    </row>
    <row r="630">
      <c r="A630" s="253">
        <v>45930.06847215278</v>
      </c>
      <c r="B630" s="1" t="s">
        <v>155</v>
      </c>
      <c r="C630" s="203">
        <v>9.565</v>
      </c>
      <c r="D630" s="1" t="s">
        <v>62</v>
      </c>
    </row>
    <row r="631">
      <c r="A631" s="253">
        <v>45930.06847215278</v>
      </c>
      <c r="B631" s="1" t="s">
        <v>209</v>
      </c>
      <c r="C631" s="203">
        <v>10.309</v>
      </c>
      <c r="D631" s="1" t="s">
        <v>249</v>
      </c>
    </row>
    <row r="632">
      <c r="A632" s="253">
        <v>45930.06847215278</v>
      </c>
      <c r="B632" s="1" t="s">
        <v>192</v>
      </c>
      <c r="C632" s="203">
        <v>10.821</v>
      </c>
      <c r="D632" s="1" t="s">
        <v>311</v>
      </c>
    </row>
    <row r="633">
      <c r="A633" s="253">
        <v>45930.06847215278</v>
      </c>
      <c r="B633" s="1" t="s">
        <v>194</v>
      </c>
      <c r="C633" s="203">
        <v>4.7</v>
      </c>
      <c r="D633" s="1" t="s">
        <v>193</v>
      </c>
    </row>
    <row r="634">
      <c r="A634" s="253">
        <v>45930.06847215278</v>
      </c>
      <c r="B634" s="1" t="s">
        <v>145</v>
      </c>
      <c r="C634" s="203">
        <v>8.676</v>
      </c>
      <c r="D634" s="1" t="s">
        <v>43</v>
      </c>
    </row>
    <row r="635">
      <c r="A635" s="253">
        <v>45930.06847215278</v>
      </c>
      <c r="B635" s="1" t="s">
        <v>119</v>
      </c>
      <c r="C635" s="203">
        <v>4.7989999999999995</v>
      </c>
      <c r="D635" s="1" t="s">
        <v>238</v>
      </c>
    </row>
    <row r="636">
      <c r="A636" s="253">
        <v>45930.06847215278</v>
      </c>
      <c r="B636" s="1" t="s">
        <v>146</v>
      </c>
      <c r="C636" s="203">
        <v>3.7</v>
      </c>
      <c r="D636" s="1" t="s">
        <v>493</v>
      </c>
    </row>
    <row r="637">
      <c r="A637" s="253">
        <v>45930.06847215278</v>
      </c>
      <c r="B637" s="1" t="s">
        <v>157</v>
      </c>
      <c r="C637" s="203">
        <v>5.4</v>
      </c>
      <c r="D637" s="1" t="s">
        <v>43</v>
      </c>
    </row>
    <row r="638">
      <c r="A638" s="253">
        <v>45930.06847215278</v>
      </c>
      <c r="B638" s="1" t="s">
        <v>147</v>
      </c>
      <c r="C638" s="203">
        <v>5.2</v>
      </c>
      <c r="D638" s="1" t="s">
        <v>395</v>
      </c>
    </row>
    <row r="639">
      <c r="A639" s="253">
        <v>45930.06847215278</v>
      </c>
      <c r="B639" s="1" t="s">
        <v>183</v>
      </c>
      <c r="C639" s="203">
        <v>7.172000000000001</v>
      </c>
      <c r="D639" s="1" t="s">
        <v>249</v>
      </c>
    </row>
    <row r="640">
      <c r="A640" s="253">
        <v>45930.06847215278</v>
      </c>
      <c r="B640" s="1" t="s">
        <v>549</v>
      </c>
      <c r="C640" s="203">
        <v>4.99</v>
      </c>
      <c r="D640" s="1" t="s">
        <v>238</v>
      </c>
    </row>
    <row r="641">
      <c r="A641" s="253">
        <v>45930.06847215278</v>
      </c>
      <c r="B641" s="1" t="s">
        <v>104</v>
      </c>
      <c r="C641" s="203">
        <v>6.968</v>
      </c>
      <c r="D641" s="1" t="s">
        <v>193</v>
      </c>
    </row>
    <row r="642">
      <c r="A642" s="253">
        <v>45930.06847215278</v>
      </c>
      <c r="B642" s="1" t="s">
        <v>220</v>
      </c>
      <c r="C642" s="203">
        <v>4.585999999999999</v>
      </c>
      <c r="D642" s="1" t="s">
        <v>238</v>
      </c>
    </row>
    <row r="643">
      <c r="A643" s="253">
        <v>45930.06847215278</v>
      </c>
      <c r="B643" s="1" t="s">
        <v>210</v>
      </c>
      <c r="C643" s="203">
        <v>6.1</v>
      </c>
      <c r="D643" s="1" t="s">
        <v>132</v>
      </c>
    </row>
    <row r="644">
      <c r="A644" s="253">
        <v>45930.06847215278</v>
      </c>
      <c r="B644" s="1" t="s">
        <v>105</v>
      </c>
      <c r="C644" s="203">
        <v>8.878</v>
      </c>
      <c r="D644" s="1" t="s">
        <v>96</v>
      </c>
    </row>
    <row r="645">
      <c r="A645" s="253">
        <v>45930.06847215278</v>
      </c>
      <c r="B645" s="1" t="s">
        <v>546</v>
      </c>
      <c r="C645" s="203">
        <v>7.036</v>
      </c>
      <c r="D645" s="1" t="s">
        <v>493</v>
      </c>
    </row>
    <row r="646">
      <c r="A646" s="253">
        <v>45930.06847215278</v>
      </c>
      <c r="B646" s="1" t="s">
        <v>195</v>
      </c>
      <c r="C646" s="203">
        <v>3.8</v>
      </c>
      <c r="D646" s="1" t="s">
        <v>493</v>
      </c>
    </row>
    <row r="647">
      <c r="A647" s="253">
        <v>45930.06847215278</v>
      </c>
      <c r="B647" s="1" t="s">
        <v>120</v>
      </c>
      <c r="C647" s="203">
        <v>5.2</v>
      </c>
      <c r="D647" s="1" t="s">
        <v>493</v>
      </c>
    </row>
    <row r="648">
      <c r="A648" s="253">
        <v>45930.06847215278</v>
      </c>
      <c r="B648" s="1" t="s">
        <v>130</v>
      </c>
      <c r="C648" s="203">
        <v>8.157</v>
      </c>
      <c r="D648" s="1" t="s">
        <v>95</v>
      </c>
    </row>
    <row r="649">
      <c r="A649" s="253">
        <v>45930.06847215278</v>
      </c>
      <c r="B649" s="1" t="s">
        <v>106</v>
      </c>
      <c r="C649" s="203">
        <v>5.0</v>
      </c>
      <c r="D649" s="1" t="s">
        <v>493</v>
      </c>
    </row>
    <row r="650">
      <c r="A650" s="253">
        <v>45930.06847215278</v>
      </c>
      <c r="B650" s="1" t="s">
        <v>211</v>
      </c>
      <c r="C650" s="203">
        <v>8.865</v>
      </c>
      <c r="D650" s="1" t="s">
        <v>193</v>
      </c>
    </row>
    <row r="651">
      <c r="A651" s="253">
        <v>45930.06847215278</v>
      </c>
      <c r="B651" s="1" t="s">
        <v>539</v>
      </c>
      <c r="C651" s="203">
        <v>9.154</v>
      </c>
      <c r="D651" s="1" t="s">
        <v>238</v>
      </c>
    </row>
    <row r="652">
      <c r="A652" s="253">
        <v>45930.06847215278</v>
      </c>
      <c r="B652" s="1" t="s">
        <v>131</v>
      </c>
      <c r="C652" s="203">
        <v>8.828</v>
      </c>
      <c r="D652" s="1" t="s">
        <v>132</v>
      </c>
    </row>
    <row r="653">
      <c r="A653" s="253">
        <v>45930.06847215278</v>
      </c>
      <c r="B653" s="1" t="s">
        <v>221</v>
      </c>
      <c r="C653" s="203">
        <v>8.718</v>
      </c>
      <c r="D653" s="1" t="s">
        <v>95</v>
      </c>
    </row>
    <row r="654">
      <c r="A654" s="253">
        <v>45930.06847215278</v>
      </c>
      <c r="B654" s="1" t="s">
        <v>133</v>
      </c>
      <c r="C654" s="203">
        <v>9.883999999999999</v>
      </c>
      <c r="D654" s="1" t="s">
        <v>43</v>
      </c>
    </row>
    <row r="655">
      <c r="A655" s="253">
        <v>45930.06847215278</v>
      </c>
      <c r="B655" s="1" t="s">
        <v>174</v>
      </c>
      <c r="C655" s="203">
        <v>8.798</v>
      </c>
      <c r="D655" s="1" t="s">
        <v>156</v>
      </c>
    </row>
    <row r="656">
      <c r="A656" s="253">
        <v>45930.06847215278</v>
      </c>
      <c r="B656" s="1" t="s">
        <v>222</v>
      </c>
      <c r="C656" s="203">
        <v>6.1770000000000005</v>
      </c>
      <c r="D656" s="1" t="s">
        <v>96</v>
      </c>
    </row>
    <row r="657">
      <c r="A657" s="253">
        <v>45930.06847215278</v>
      </c>
      <c r="B657" s="1" t="s">
        <v>107</v>
      </c>
      <c r="C657" s="203">
        <v>8.897</v>
      </c>
      <c r="D657" s="1" t="s">
        <v>132</v>
      </c>
    </row>
    <row r="658">
      <c r="A658" s="253">
        <v>45930.06847215278</v>
      </c>
      <c r="B658" s="1" t="s">
        <v>108</v>
      </c>
      <c r="C658" s="203">
        <v>3.9</v>
      </c>
      <c r="D658" s="1" t="s">
        <v>493</v>
      </c>
    </row>
    <row r="659">
      <c r="A659" s="253">
        <v>45930.06847215278</v>
      </c>
      <c r="B659" s="1" t="s">
        <v>163</v>
      </c>
      <c r="C659" s="203">
        <v>4.1</v>
      </c>
      <c r="D659" s="1" t="s">
        <v>62</v>
      </c>
    </row>
    <row r="660">
      <c r="A660" s="253">
        <v>45930.06847215278</v>
      </c>
      <c r="B660" s="1" t="s">
        <v>109</v>
      </c>
      <c r="C660" s="203">
        <v>6.798</v>
      </c>
      <c r="D660" s="1" t="s">
        <v>156</v>
      </c>
    </row>
    <row r="661">
      <c r="A661" s="253">
        <v>45930.06847215278</v>
      </c>
      <c r="B661" s="1" t="s">
        <v>196</v>
      </c>
      <c r="C661" s="203">
        <v>0.8</v>
      </c>
      <c r="D661" s="1" t="s">
        <v>62</v>
      </c>
    </row>
    <row r="662">
      <c r="A662" s="253">
        <v>45930.06847215278</v>
      </c>
      <c r="B662" s="1" t="s">
        <v>99</v>
      </c>
      <c r="C662" s="203">
        <v>7.0</v>
      </c>
      <c r="D662" s="1" t="s">
        <v>395</v>
      </c>
    </row>
    <row r="663">
      <c r="A663" s="253">
        <v>45930.06847215278</v>
      </c>
      <c r="B663" s="1" t="s">
        <v>219</v>
      </c>
      <c r="C663" s="203">
        <v>5.297</v>
      </c>
      <c r="D663" s="1" t="s">
        <v>493</v>
      </c>
    </row>
    <row r="664">
      <c r="A664" s="253">
        <v>45930.06847215278</v>
      </c>
      <c r="B664" s="1" t="s">
        <v>527</v>
      </c>
      <c r="D664" s="1" t="s">
        <v>43</v>
      </c>
    </row>
    <row r="665">
      <c r="A665" s="253">
        <v>45930.06847215278</v>
      </c>
      <c r="B665" s="1" t="s">
        <v>185</v>
      </c>
      <c r="C665" s="203">
        <v>9.734</v>
      </c>
      <c r="D665" s="1" t="s">
        <v>224</v>
      </c>
    </row>
    <row r="666">
      <c r="A666" s="253">
        <v>45930.06847215278</v>
      </c>
      <c r="B666" s="1" t="s">
        <v>197</v>
      </c>
      <c r="C666" s="203">
        <v>8.576</v>
      </c>
      <c r="D666" s="1" t="s">
        <v>95</v>
      </c>
    </row>
    <row r="667">
      <c r="A667" s="253">
        <v>45930.06847215278</v>
      </c>
      <c r="B667" s="1" t="s">
        <v>186</v>
      </c>
      <c r="C667" s="203">
        <v>6.7459999999999996</v>
      </c>
      <c r="D667" s="1" t="s">
        <v>311</v>
      </c>
    </row>
    <row r="668">
      <c r="A668" s="253">
        <v>45930.06847215278</v>
      </c>
      <c r="B668" s="1" t="s">
        <v>198</v>
      </c>
      <c r="C668" s="203">
        <v>8.431</v>
      </c>
      <c r="D668" s="1" t="s">
        <v>95</v>
      </c>
    </row>
    <row r="669">
      <c r="A669" s="253">
        <v>45930.06847215278</v>
      </c>
      <c r="B669" s="1" t="s">
        <v>160</v>
      </c>
      <c r="C669" s="203">
        <v>4.789</v>
      </c>
      <c r="D669" s="1" t="s">
        <v>238</v>
      </c>
    </row>
    <row r="670">
      <c r="A670" s="253">
        <v>45930.06847215278</v>
      </c>
      <c r="B670" s="1" t="s">
        <v>161</v>
      </c>
      <c r="C670" s="203">
        <v>6.1930000000000005</v>
      </c>
      <c r="D670" s="1" t="s">
        <v>311</v>
      </c>
    </row>
    <row r="671">
      <c r="A671" s="253">
        <v>45930.06847215278</v>
      </c>
      <c r="B671" s="1" t="s">
        <v>213</v>
      </c>
      <c r="C671" s="203">
        <v>8.658</v>
      </c>
      <c r="D671" s="1" t="s">
        <v>395</v>
      </c>
    </row>
    <row r="672">
      <c r="A672" s="253">
        <v>45930.06847215278</v>
      </c>
      <c r="B672" s="1" t="s">
        <v>121</v>
      </c>
      <c r="C672" s="203">
        <v>9.058</v>
      </c>
      <c r="D672" s="1" t="s">
        <v>96</v>
      </c>
    </row>
    <row r="673">
      <c r="A673" s="253">
        <v>45930.06847215278</v>
      </c>
      <c r="B673" s="1" t="s">
        <v>122</v>
      </c>
      <c r="C673" s="203">
        <v>4.694</v>
      </c>
      <c r="D673" s="1" t="s">
        <v>311</v>
      </c>
    </row>
    <row r="674">
      <c r="A674" s="253">
        <v>45930.06847215278</v>
      </c>
      <c r="B674" s="1" t="s">
        <v>123</v>
      </c>
      <c r="C674" s="203">
        <v>4.4</v>
      </c>
      <c r="D674" s="1" t="s">
        <v>493</v>
      </c>
    </row>
    <row r="675">
      <c r="A675" s="253">
        <v>45930.06847215278</v>
      </c>
      <c r="B675" s="1" t="s">
        <v>199</v>
      </c>
      <c r="C675" s="203">
        <v>7.598</v>
      </c>
      <c r="D675" s="1" t="s">
        <v>62</v>
      </c>
    </row>
    <row r="676">
      <c r="A676" s="253">
        <v>45930.06847215278</v>
      </c>
      <c r="B676" s="1" t="s">
        <v>200</v>
      </c>
      <c r="C676" s="203">
        <v>4.7</v>
      </c>
      <c r="D676" s="1" t="s">
        <v>493</v>
      </c>
    </row>
    <row r="677">
      <c r="A677" s="253">
        <v>45930.06847215278</v>
      </c>
      <c r="B677" s="1" t="s">
        <v>134</v>
      </c>
      <c r="C677" s="203">
        <v>3.2</v>
      </c>
      <c r="D677" s="1" t="s">
        <v>132</v>
      </c>
    </row>
    <row r="678">
      <c r="A678" s="253">
        <v>45930.06847215278</v>
      </c>
      <c r="B678" s="1" t="s">
        <v>162</v>
      </c>
      <c r="C678" s="203">
        <v>7.601999999999999</v>
      </c>
      <c r="D678" s="1" t="s">
        <v>395</v>
      </c>
    </row>
    <row r="679">
      <c r="A679" s="253">
        <v>45930.06847215278</v>
      </c>
      <c r="B679" s="1" t="s">
        <v>175</v>
      </c>
      <c r="C679" s="203">
        <v>6.034999999999999</v>
      </c>
      <c r="D679" s="1" t="s">
        <v>395</v>
      </c>
    </row>
    <row r="680">
      <c r="A680" s="253">
        <v>45930.06847215278</v>
      </c>
      <c r="B680" s="1" t="s">
        <v>148</v>
      </c>
      <c r="C680" s="203">
        <v>3.9</v>
      </c>
      <c r="D680" s="1" t="s">
        <v>238</v>
      </c>
    </row>
    <row r="681">
      <c r="A681" s="253">
        <v>45930.06847215278</v>
      </c>
      <c r="B681" s="1" t="s">
        <v>187</v>
      </c>
      <c r="C681" s="203">
        <v>5.396000000000001</v>
      </c>
      <c r="D681" s="1" t="s">
        <v>132</v>
      </c>
    </row>
    <row r="682">
      <c r="A682" s="253">
        <v>45930.06847215278</v>
      </c>
      <c r="B682" s="1" t="s">
        <v>234</v>
      </c>
      <c r="C682" s="203">
        <v>2.6990000000000003</v>
      </c>
      <c r="D682" s="1" t="s">
        <v>311</v>
      </c>
    </row>
    <row r="683">
      <c r="A683" s="253">
        <v>45930.06847215278</v>
      </c>
      <c r="B683" s="1" t="s">
        <v>232</v>
      </c>
      <c r="C683" s="203">
        <v>6.359</v>
      </c>
      <c r="D683" s="1" t="s">
        <v>156</v>
      </c>
    </row>
    <row r="684">
      <c r="A684" s="253">
        <v>45930.06847215278</v>
      </c>
    </row>
    <row r="685">
      <c r="A685" s="253">
        <v>45930.06847215278</v>
      </c>
    </row>
    <row r="686">
      <c r="A686" s="253">
        <v>45930.06847215278</v>
      </c>
    </row>
    <row r="687">
      <c r="A687" s="1" t="s">
        <v>914</v>
      </c>
      <c r="B687" s="1" t="s">
        <v>13</v>
      </c>
      <c r="C687" s="1" t="s">
        <v>2047</v>
      </c>
      <c r="D687" s="1" t="s">
        <v>2048</v>
      </c>
    </row>
    <row r="688">
      <c r="A688" s="253">
        <v>45937.06845290509</v>
      </c>
      <c r="B688" s="1" t="s">
        <v>176</v>
      </c>
      <c r="C688" s="203">
        <v>3.6</v>
      </c>
      <c r="D688" s="1" t="s">
        <v>43</v>
      </c>
    </row>
    <row r="689">
      <c r="A689" s="253">
        <v>45937.06845290509</v>
      </c>
      <c r="B689" s="1" t="s">
        <v>164</v>
      </c>
      <c r="C689" s="203">
        <v>4.1</v>
      </c>
      <c r="D689" s="1" t="s">
        <v>193</v>
      </c>
    </row>
    <row r="690">
      <c r="A690" s="253">
        <v>45937.06845290509</v>
      </c>
      <c r="B690" s="1" t="s">
        <v>201</v>
      </c>
      <c r="C690" s="203">
        <v>9.366000000000001</v>
      </c>
      <c r="D690" s="1" t="s">
        <v>62</v>
      </c>
    </row>
    <row r="691">
      <c r="A691" s="253">
        <v>45937.06845290509</v>
      </c>
      <c r="B691" s="1" t="e">
        <v>#N/A</v>
      </c>
      <c r="C691" s="1" t="e">
        <v>#N/A</v>
      </c>
      <c r="D691" s="1" t="s">
        <v>2050</v>
      </c>
    </row>
    <row r="692">
      <c r="A692" s="253">
        <v>45937.06845290509</v>
      </c>
      <c r="B692" s="1" t="s">
        <v>189</v>
      </c>
      <c r="C692" s="203">
        <v>8.02</v>
      </c>
      <c r="D692" s="1" t="s">
        <v>43</v>
      </c>
    </row>
    <row r="693">
      <c r="A693" s="253">
        <v>45937.06845290509</v>
      </c>
      <c r="B693" s="1" t="s">
        <v>188</v>
      </c>
      <c r="C693" s="203">
        <v>6.997</v>
      </c>
      <c r="D693" s="1" t="s">
        <v>493</v>
      </c>
    </row>
    <row r="694">
      <c r="A694" s="253">
        <v>45937.06845290509</v>
      </c>
      <c r="B694" s="1" t="s">
        <v>202</v>
      </c>
      <c r="C694" s="203">
        <v>4.2</v>
      </c>
      <c r="D694" s="1" t="s">
        <v>156</v>
      </c>
    </row>
    <row r="695">
      <c r="A695" s="253">
        <v>45937.06845290509</v>
      </c>
      <c r="B695" s="1" t="s">
        <v>215</v>
      </c>
      <c r="C695" s="203">
        <v>4.494</v>
      </c>
      <c r="D695" s="1" t="s">
        <v>132</v>
      </c>
    </row>
    <row r="696">
      <c r="A696" s="253">
        <v>45937.06845290509</v>
      </c>
      <c r="B696" s="1" t="s">
        <v>225</v>
      </c>
      <c r="C696" s="203">
        <v>5.9</v>
      </c>
      <c r="D696" s="1" t="s">
        <v>395</v>
      </c>
    </row>
    <row r="697">
      <c r="A697" s="253">
        <v>45937.06845290509</v>
      </c>
      <c r="B697" s="1" t="s">
        <v>45</v>
      </c>
      <c r="C697" s="203">
        <v>6.7989999999999995</v>
      </c>
      <c r="D697" s="1" t="s">
        <v>43</v>
      </c>
    </row>
    <row r="698">
      <c r="A698" s="253">
        <v>45937.06845290509</v>
      </c>
      <c r="B698" s="1" t="s">
        <v>165</v>
      </c>
      <c r="C698" s="203">
        <v>5.085</v>
      </c>
      <c r="D698" s="1" t="s">
        <v>95</v>
      </c>
    </row>
    <row r="699">
      <c r="A699" s="253">
        <v>45937.06845290509</v>
      </c>
      <c r="B699" s="1" t="s">
        <v>124</v>
      </c>
      <c r="C699" s="203">
        <v>6.890000000000001</v>
      </c>
      <c r="D699" s="1" t="s">
        <v>249</v>
      </c>
    </row>
    <row r="700">
      <c r="A700" s="253">
        <v>45937.06845290509</v>
      </c>
      <c r="B700" s="1" t="s">
        <v>177</v>
      </c>
      <c r="C700" s="203">
        <v>8.449</v>
      </c>
      <c r="D700" s="1" t="s">
        <v>95</v>
      </c>
    </row>
    <row r="701">
      <c r="A701" s="253">
        <v>45937.06845290509</v>
      </c>
      <c r="B701" s="1" t="s">
        <v>110</v>
      </c>
      <c r="C701" s="203">
        <v>2.8</v>
      </c>
      <c r="D701" s="1" t="s">
        <v>493</v>
      </c>
    </row>
    <row r="702">
      <c r="A702" s="253">
        <v>45937.06845290509</v>
      </c>
      <c r="B702" s="1" t="s">
        <v>166</v>
      </c>
      <c r="C702" s="203">
        <v>6.954</v>
      </c>
      <c r="D702" s="1" t="s">
        <v>224</v>
      </c>
    </row>
    <row r="703">
      <c r="A703" s="253">
        <v>45937.06845290509</v>
      </c>
      <c r="B703" s="1" t="s">
        <v>167</v>
      </c>
      <c r="C703" s="203">
        <v>6.058</v>
      </c>
      <c r="D703" s="1" t="s">
        <v>249</v>
      </c>
    </row>
    <row r="704">
      <c r="A704" s="253">
        <v>45937.06845290509</v>
      </c>
      <c r="B704" s="1" t="s">
        <v>226</v>
      </c>
      <c r="C704" s="203">
        <v>9.323</v>
      </c>
      <c r="D704" s="1" t="s">
        <v>224</v>
      </c>
    </row>
    <row r="705">
      <c r="A705" s="253">
        <v>45937.06845290509</v>
      </c>
      <c r="B705" s="1" t="s">
        <v>190</v>
      </c>
      <c r="C705" s="203">
        <v>6.2</v>
      </c>
      <c r="D705" s="1" t="s">
        <v>62</v>
      </c>
    </row>
    <row r="706">
      <c r="A706" s="253">
        <v>45937.06845290509</v>
      </c>
      <c r="B706" s="1" t="s">
        <v>168</v>
      </c>
      <c r="C706" s="203">
        <v>5.596</v>
      </c>
      <c r="D706" s="1" t="s">
        <v>132</v>
      </c>
    </row>
    <row r="707">
      <c r="A707" s="253">
        <v>45937.06845290509</v>
      </c>
      <c r="B707" s="1" t="s">
        <v>159</v>
      </c>
      <c r="C707" s="203">
        <v>1.6</v>
      </c>
      <c r="D707" s="1" t="s">
        <v>249</v>
      </c>
    </row>
    <row r="708">
      <c r="A708" s="253">
        <v>45937.06845290509</v>
      </c>
      <c r="B708" s="1" t="s">
        <v>98</v>
      </c>
      <c r="C708" s="203">
        <v>7.93</v>
      </c>
      <c r="D708" s="1" t="s">
        <v>238</v>
      </c>
    </row>
    <row r="709">
      <c r="A709" s="253">
        <v>45937.06845290509</v>
      </c>
      <c r="B709" s="1" t="s">
        <v>111</v>
      </c>
      <c r="C709" s="203">
        <v>5.999</v>
      </c>
      <c r="D709" s="1" t="s">
        <v>249</v>
      </c>
    </row>
    <row r="710">
      <c r="A710" s="253">
        <v>45937.06845290509</v>
      </c>
      <c r="B710" s="1" t="s">
        <v>223</v>
      </c>
      <c r="C710" s="203">
        <v>4.2989999999999995</v>
      </c>
      <c r="D710" s="1" t="s">
        <v>156</v>
      </c>
    </row>
    <row r="711">
      <c r="A711" s="253">
        <v>45937.06845290509</v>
      </c>
      <c r="B711" s="1" t="s">
        <v>191</v>
      </c>
      <c r="C711" s="203">
        <v>4.3</v>
      </c>
      <c r="D711" s="1" t="s">
        <v>224</v>
      </c>
    </row>
    <row r="712">
      <c r="A712" s="253">
        <v>45937.06845290509</v>
      </c>
      <c r="B712" s="1" t="s">
        <v>178</v>
      </c>
      <c r="C712" s="203">
        <v>3.399</v>
      </c>
      <c r="D712" s="1" t="s">
        <v>62</v>
      </c>
    </row>
    <row r="713">
      <c r="A713" s="253">
        <v>45937.06845290509</v>
      </c>
      <c r="B713" s="1" t="s">
        <v>112</v>
      </c>
      <c r="C713" s="203">
        <v>8.32</v>
      </c>
      <c r="D713" s="1" t="s">
        <v>249</v>
      </c>
    </row>
    <row r="714">
      <c r="A714" s="253">
        <v>45937.06845290509</v>
      </c>
      <c r="B714" s="1" t="s">
        <v>100</v>
      </c>
      <c r="C714" s="203">
        <v>8.009</v>
      </c>
      <c r="D714" s="1" t="s">
        <v>95</v>
      </c>
    </row>
    <row r="715">
      <c r="A715" s="253">
        <v>45937.06845290509</v>
      </c>
      <c r="B715" s="1" t="s">
        <v>304</v>
      </c>
      <c r="C715" s="203">
        <v>2.999</v>
      </c>
      <c r="D715" s="1" t="s">
        <v>62</v>
      </c>
    </row>
    <row r="716">
      <c r="A716" s="253">
        <v>45937.06845290509</v>
      </c>
      <c r="B716" s="1" t="s">
        <v>150</v>
      </c>
      <c r="C716" s="203">
        <v>4.3</v>
      </c>
      <c r="D716" s="1" t="s">
        <v>193</v>
      </c>
    </row>
    <row r="717">
      <c r="A717" s="253">
        <v>45937.06845290509</v>
      </c>
      <c r="B717" s="1" t="s">
        <v>203</v>
      </c>
      <c r="C717" s="203">
        <v>4.899</v>
      </c>
      <c r="D717" s="1" t="s">
        <v>224</v>
      </c>
    </row>
    <row r="718">
      <c r="A718" s="253">
        <v>45937.06845290509</v>
      </c>
      <c r="B718" s="1" t="s">
        <v>545</v>
      </c>
      <c r="C718" s="203">
        <v>4.698</v>
      </c>
      <c r="D718" s="1" t="s">
        <v>132</v>
      </c>
    </row>
    <row r="719">
      <c r="A719" s="253">
        <v>45937.06845290509</v>
      </c>
      <c r="B719" s="1" t="s">
        <v>113</v>
      </c>
      <c r="C719" s="203">
        <v>8.194999999999999</v>
      </c>
      <c r="D719" s="1" t="s">
        <v>224</v>
      </c>
    </row>
    <row r="720">
      <c r="A720" s="253">
        <v>45937.06845290509</v>
      </c>
      <c r="B720" s="1" t="s">
        <v>179</v>
      </c>
      <c r="C720" s="203">
        <v>8.313</v>
      </c>
      <c r="D720" s="1" t="s">
        <v>395</v>
      </c>
    </row>
    <row r="721">
      <c r="A721" s="253">
        <v>45937.06845290509</v>
      </c>
      <c r="B721" s="1" t="s">
        <v>204</v>
      </c>
      <c r="C721" s="203">
        <v>9.195</v>
      </c>
      <c r="D721" s="1" t="s">
        <v>96</v>
      </c>
    </row>
    <row r="722">
      <c r="A722" s="253">
        <v>45937.06845290509</v>
      </c>
      <c r="B722" s="1" t="s">
        <v>216</v>
      </c>
      <c r="C722" s="203">
        <v>5.199</v>
      </c>
      <c r="D722" s="1" t="s">
        <v>224</v>
      </c>
    </row>
    <row r="723">
      <c r="A723" s="253">
        <v>45937.06845290509</v>
      </c>
      <c r="B723" s="1" t="s">
        <v>217</v>
      </c>
      <c r="C723" s="203">
        <v>3.2</v>
      </c>
      <c r="D723" s="1" t="s">
        <v>249</v>
      </c>
    </row>
    <row r="724">
      <c r="A724" s="253">
        <v>45937.06845290509</v>
      </c>
      <c r="B724" s="1" t="s">
        <v>114</v>
      </c>
      <c r="C724" s="203">
        <v>9.043</v>
      </c>
      <c r="D724" s="1" t="s">
        <v>395</v>
      </c>
    </row>
    <row r="725">
      <c r="A725" s="253">
        <v>45937.06845290509</v>
      </c>
      <c r="B725" s="1" t="s">
        <v>536</v>
      </c>
      <c r="C725" s="203">
        <v>6.397</v>
      </c>
      <c r="D725" s="1" t="s">
        <v>96</v>
      </c>
    </row>
    <row r="726">
      <c r="A726" s="253">
        <v>45937.06845290509</v>
      </c>
      <c r="B726" s="1" t="s">
        <v>101</v>
      </c>
      <c r="C726" s="203">
        <v>7.199</v>
      </c>
      <c r="D726" s="1" t="s">
        <v>395</v>
      </c>
    </row>
    <row r="727">
      <c r="A727" s="253">
        <v>45937.06845290509</v>
      </c>
      <c r="B727" s="1" t="s">
        <v>135</v>
      </c>
      <c r="C727" s="203">
        <v>8.496</v>
      </c>
      <c r="D727" s="1" t="s">
        <v>156</v>
      </c>
    </row>
    <row r="728">
      <c r="A728" s="253">
        <v>45937.06845290509</v>
      </c>
      <c r="B728" s="1" t="s">
        <v>136</v>
      </c>
      <c r="C728" s="203">
        <v>10.537999999999998</v>
      </c>
      <c r="D728" s="1" t="s">
        <v>132</v>
      </c>
    </row>
    <row r="729">
      <c r="A729" s="253">
        <v>45937.06845290509</v>
      </c>
      <c r="B729" s="1" t="s">
        <v>137</v>
      </c>
      <c r="C729" s="203">
        <v>6.2</v>
      </c>
      <c r="D729" s="1" t="s">
        <v>249</v>
      </c>
    </row>
    <row r="730">
      <c r="A730" s="253">
        <v>45937.06845290509</v>
      </c>
      <c r="B730" s="1" t="s">
        <v>125</v>
      </c>
      <c r="C730" s="203">
        <v>8.554</v>
      </c>
      <c r="D730" s="1" t="s">
        <v>311</v>
      </c>
    </row>
    <row r="731">
      <c r="A731" s="253">
        <v>45937.06845290509</v>
      </c>
      <c r="B731" s="1" t="s">
        <v>231</v>
      </c>
      <c r="C731" s="203">
        <v>9.085</v>
      </c>
      <c r="D731" s="1" t="s">
        <v>395</v>
      </c>
    </row>
    <row r="732">
      <c r="A732" s="253">
        <v>45937.06845290509</v>
      </c>
      <c r="B732" s="1" t="s">
        <v>126</v>
      </c>
      <c r="C732" s="203">
        <v>7.37</v>
      </c>
      <c r="D732" s="1" t="s">
        <v>193</v>
      </c>
    </row>
    <row r="733">
      <c r="A733" s="253">
        <v>45937.06845290509</v>
      </c>
      <c r="B733" s="1" t="s">
        <v>127</v>
      </c>
      <c r="C733" s="203">
        <v>4.798</v>
      </c>
      <c r="D733" s="1" t="s">
        <v>62</v>
      </c>
    </row>
    <row r="734">
      <c r="A734" s="253">
        <v>45937.06845290509</v>
      </c>
      <c r="B734" s="1" t="s">
        <v>170</v>
      </c>
      <c r="D734" s="1" t="s">
        <v>493</v>
      </c>
    </row>
    <row r="735">
      <c r="A735" s="253">
        <v>45937.06845290509</v>
      </c>
      <c r="B735" s="1" t="s">
        <v>205</v>
      </c>
      <c r="C735" s="203">
        <v>4.4</v>
      </c>
      <c r="D735" s="1" t="s">
        <v>493</v>
      </c>
    </row>
    <row r="736">
      <c r="A736" s="253">
        <v>45937.06845290509</v>
      </c>
      <c r="B736" s="1" t="s">
        <v>227</v>
      </c>
      <c r="C736" s="203">
        <v>4.792</v>
      </c>
      <c r="D736" s="1" t="s">
        <v>62</v>
      </c>
    </row>
    <row r="737">
      <c r="A737" s="253">
        <v>45937.06845290509</v>
      </c>
      <c r="B737" s="1" t="s">
        <v>552</v>
      </c>
      <c r="C737" s="203">
        <v>4.79</v>
      </c>
      <c r="D737" s="1" t="s">
        <v>193</v>
      </c>
    </row>
    <row r="738">
      <c r="A738" s="253">
        <v>45937.06845290509</v>
      </c>
      <c r="B738" s="1" t="s">
        <v>151</v>
      </c>
      <c r="C738" s="203">
        <v>9.122</v>
      </c>
      <c r="D738" s="1" t="s">
        <v>249</v>
      </c>
    </row>
    <row r="739">
      <c r="A739" s="253">
        <v>45937.06845290509</v>
      </c>
      <c r="B739" s="1" t="s">
        <v>115</v>
      </c>
      <c r="C739" s="203">
        <v>8.287</v>
      </c>
      <c r="D739" s="1" t="s">
        <v>132</v>
      </c>
    </row>
    <row r="740">
      <c r="A740" s="253">
        <v>45937.06845290509</v>
      </c>
      <c r="B740" s="1" t="s">
        <v>206</v>
      </c>
      <c r="C740" s="203">
        <v>7.985</v>
      </c>
      <c r="D740" s="1" t="s">
        <v>311</v>
      </c>
    </row>
    <row r="741">
      <c r="A741" s="253">
        <v>45937.06845290509</v>
      </c>
      <c r="B741" s="1" t="s">
        <v>152</v>
      </c>
      <c r="C741" s="203">
        <v>5.396000000000001</v>
      </c>
      <c r="D741" s="1" t="s">
        <v>311</v>
      </c>
    </row>
    <row r="742">
      <c r="A742" s="253">
        <v>45937.06845290509</v>
      </c>
      <c r="B742" s="1" t="s">
        <v>138</v>
      </c>
      <c r="C742" s="203">
        <v>6.5</v>
      </c>
      <c r="D742" s="1" t="s">
        <v>493</v>
      </c>
    </row>
    <row r="743">
      <c r="A743" s="253">
        <v>45937.06845290509</v>
      </c>
      <c r="B743" s="1" t="s">
        <v>102</v>
      </c>
      <c r="C743" s="203">
        <v>10.741</v>
      </c>
      <c r="D743" s="1" t="s">
        <v>238</v>
      </c>
    </row>
    <row r="744">
      <c r="A744" s="253">
        <v>45937.06845290509</v>
      </c>
      <c r="B744" s="1" t="s">
        <v>548</v>
      </c>
      <c r="C744" s="203">
        <v>6.509</v>
      </c>
      <c r="D744" s="1" t="s">
        <v>238</v>
      </c>
    </row>
    <row r="745">
      <c r="A745" s="253">
        <v>45937.06845290509</v>
      </c>
      <c r="B745" s="1" t="s">
        <v>116</v>
      </c>
      <c r="C745" s="203">
        <v>11.046</v>
      </c>
      <c r="D745" s="1" t="s">
        <v>156</v>
      </c>
    </row>
    <row r="746">
      <c r="A746" s="253">
        <v>45937.06845290509</v>
      </c>
      <c r="B746" s="1" t="s">
        <v>140</v>
      </c>
      <c r="C746" s="203">
        <v>5.4</v>
      </c>
      <c r="D746" s="1" t="s">
        <v>224</v>
      </c>
    </row>
    <row r="747">
      <c r="A747" s="253">
        <v>45937.06845290509</v>
      </c>
      <c r="B747" s="1" t="s">
        <v>139</v>
      </c>
      <c r="C747" s="203">
        <v>8.924</v>
      </c>
      <c r="D747" s="1" t="s">
        <v>311</v>
      </c>
    </row>
    <row r="748">
      <c r="A748" s="253">
        <v>45937.06845290509</v>
      </c>
      <c r="B748" s="1" t="s">
        <v>153</v>
      </c>
      <c r="C748" s="203">
        <v>3.499</v>
      </c>
      <c r="D748" s="1" t="s">
        <v>96</v>
      </c>
    </row>
    <row r="749">
      <c r="A749" s="253">
        <v>45937.06845290509</v>
      </c>
      <c r="B749" s="1" t="s">
        <v>141</v>
      </c>
      <c r="C749" s="203">
        <v>5.6</v>
      </c>
      <c r="D749" s="1" t="s">
        <v>238</v>
      </c>
    </row>
    <row r="750">
      <c r="A750" s="253">
        <v>45937.06845290509</v>
      </c>
      <c r="B750" s="1" t="s">
        <v>207</v>
      </c>
      <c r="C750" s="203">
        <v>5.5</v>
      </c>
      <c r="D750" s="1" t="s">
        <v>493</v>
      </c>
    </row>
    <row r="751">
      <c r="A751" s="253">
        <v>45937.06845290509</v>
      </c>
      <c r="B751" s="1" t="s">
        <v>208</v>
      </c>
      <c r="C751" s="203">
        <v>8.760000000000002</v>
      </c>
      <c r="D751" s="1" t="s">
        <v>156</v>
      </c>
    </row>
    <row r="752">
      <c r="A752" s="253">
        <v>45937.06845290509</v>
      </c>
      <c r="B752" s="1" t="s">
        <v>103</v>
      </c>
      <c r="C752" s="203">
        <v>7.784</v>
      </c>
      <c r="D752" s="1" t="s">
        <v>224</v>
      </c>
    </row>
    <row r="753">
      <c r="A753" s="253">
        <v>45937.06845290509</v>
      </c>
      <c r="B753" s="1" t="s">
        <v>117</v>
      </c>
      <c r="C753" s="203">
        <v>6.2</v>
      </c>
      <c r="D753" s="1" t="s">
        <v>95</v>
      </c>
    </row>
    <row r="754">
      <c r="A754" s="253">
        <v>45937.06845290509</v>
      </c>
      <c r="B754" s="1" t="s">
        <v>142</v>
      </c>
      <c r="C754" s="203">
        <v>8.594999999999999</v>
      </c>
      <c r="D754" s="1" t="s">
        <v>96</v>
      </c>
    </row>
    <row r="755">
      <c r="A755" s="253">
        <v>45937.06845290509</v>
      </c>
      <c r="B755" s="1" t="s">
        <v>181</v>
      </c>
      <c r="C755" s="203">
        <v>2.5</v>
      </c>
      <c r="D755" s="1" t="s">
        <v>156</v>
      </c>
    </row>
    <row r="756">
      <c r="A756" s="253">
        <v>45937.06845290509</v>
      </c>
      <c r="B756" s="1" t="s">
        <v>182</v>
      </c>
      <c r="C756" s="203">
        <v>6.884</v>
      </c>
      <c r="D756" s="1" t="s">
        <v>193</v>
      </c>
    </row>
    <row r="757">
      <c r="A757" s="253">
        <v>45937.06845290509</v>
      </c>
      <c r="B757" s="1" t="s">
        <v>228</v>
      </c>
      <c r="C757" s="203">
        <v>5.297</v>
      </c>
      <c r="D757" s="1" t="s">
        <v>43</v>
      </c>
    </row>
    <row r="758">
      <c r="A758" s="253">
        <v>45937.06845290509</v>
      </c>
      <c r="B758" s="1" t="s">
        <v>118</v>
      </c>
      <c r="C758" s="203">
        <v>3.7</v>
      </c>
      <c r="D758" s="1" t="s">
        <v>43</v>
      </c>
    </row>
    <row r="759">
      <c r="A759" s="253">
        <v>45937.06845290509</v>
      </c>
      <c r="B759" s="1" t="s">
        <v>154</v>
      </c>
      <c r="C759" s="203">
        <v>10.487</v>
      </c>
      <c r="D759" s="1" t="s">
        <v>156</v>
      </c>
    </row>
    <row r="760">
      <c r="A760" s="253">
        <v>45937.06845290509</v>
      </c>
      <c r="B760" s="1" t="s">
        <v>172</v>
      </c>
      <c r="C760" s="203">
        <v>4.595</v>
      </c>
      <c r="D760" s="1" t="s">
        <v>311</v>
      </c>
    </row>
    <row r="761">
      <c r="A761" s="253">
        <v>45937.06845290509</v>
      </c>
      <c r="B761" s="1" t="s">
        <v>143</v>
      </c>
      <c r="C761" s="203">
        <v>4.7</v>
      </c>
      <c r="D761" s="1" t="s">
        <v>493</v>
      </c>
    </row>
    <row r="762">
      <c r="A762" s="253">
        <v>45937.06845290509</v>
      </c>
      <c r="B762" s="1" t="s">
        <v>229</v>
      </c>
      <c r="C762" s="203">
        <v>9.2</v>
      </c>
      <c r="D762" s="1" t="s">
        <v>96</v>
      </c>
    </row>
    <row r="763">
      <c r="A763" s="253">
        <v>45937.06845290509</v>
      </c>
      <c r="B763" s="1" t="s">
        <v>173</v>
      </c>
      <c r="C763" s="203">
        <v>7.4910000000000005</v>
      </c>
      <c r="D763" s="1" t="s">
        <v>96</v>
      </c>
    </row>
    <row r="764">
      <c r="A764" s="253">
        <v>45937.06845290509</v>
      </c>
      <c r="B764" s="1" t="s">
        <v>144</v>
      </c>
      <c r="C764" s="203">
        <v>11.115</v>
      </c>
      <c r="D764" s="1" t="s">
        <v>193</v>
      </c>
    </row>
    <row r="765">
      <c r="A765" s="253">
        <v>45937.06845290509</v>
      </c>
      <c r="B765" s="1" t="s">
        <v>128</v>
      </c>
      <c r="C765" s="203">
        <v>8.265</v>
      </c>
      <c r="D765" s="1" t="s">
        <v>95</v>
      </c>
    </row>
    <row r="766">
      <c r="A766" s="253">
        <v>45937.06845290509</v>
      </c>
      <c r="B766" s="1" t="s">
        <v>129</v>
      </c>
      <c r="C766" s="203">
        <v>1.7</v>
      </c>
      <c r="D766" s="1" t="s">
        <v>96</v>
      </c>
    </row>
    <row r="767">
      <c r="A767" s="253">
        <v>45937.06845290509</v>
      </c>
      <c r="B767" s="1" t="s">
        <v>155</v>
      </c>
      <c r="C767" s="203">
        <v>9.848</v>
      </c>
      <c r="D767" s="1" t="s">
        <v>62</v>
      </c>
    </row>
    <row r="768">
      <c r="A768" s="253">
        <v>45937.06845290509</v>
      </c>
      <c r="B768" s="1" t="s">
        <v>209</v>
      </c>
      <c r="C768" s="203">
        <v>10.389999999999999</v>
      </c>
      <c r="D768" s="1" t="s">
        <v>249</v>
      </c>
    </row>
    <row r="769">
      <c r="A769" s="253">
        <v>45937.06845290509</v>
      </c>
      <c r="B769" s="1" t="s">
        <v>192</v>
      </c>
      <c r="C769" s="203">
        <v>10.863</v>
      </c>
      <c r="D769" s="1" t="s">
        <v>311</v>
      </c>
    </row>
    <row r="770">
      <c r="A770" s="253">
        <v>45937.06845290509</v>
      </c>
      <c r="B770" s="1" t="s">
        <v>194</v>
      </c>
      <c r="C770" s="203">
        <v>4.1</v>
      </c>
      <c r="D770" s="1" t="s">
        <v>193</v>
      </c>
    </row>
    <row r="771">
      <c r="A771" s="253">
        <v>45937.06845290509</v>
      </c>
      <c r="B771" s="1" t="s">
        <v>145</v>
      </c>
      <c r="C771" s="203">
        <v>7.199</v>
      </c>
      <c r="D771" s="1" t="s">
        <v>43</v>
      </c>
    </row>
    <row r="772">
      <c r="A772" s="253">
        <v>45937.06845290509</v>
      </c>
      <c r="B772" s="1" t="s">
        <v>119</v>
      </c>
      <c r="C772" s="203">
        <v>5.898000000000001</v>
      </c>
      <c r="D772" s="1" t="s">
        <v>238</v>
      </c>
    </row>
    <row r="773">
      <c r="A773" s="253">
        <v>45937.06845290509</v>
      </c>
      <c r="B773" s="1" t="s">
        <v>146</v>
      </c>
      <c r="C773" s="203">
        <v>3.4</v>
      </c>
      <c r="D773" s="1" t="s">
        <v>493</v>
      </c>
    </row>
    <row r="774">
      <c r="A774" s="253">
        <v>45937.06845290509</v>
      </c>
      <c r="B774" s="1" t="s">
        <v>157</v>
      </c>
      <c r="C774" s="203">
        <v>4.6</v>
      </c>
      <c r="D774" s="1" t="s">
        <v>43</v>
      </c>
    </row>
    <row r="775">
      <c r="A775" s="253">
        <v>45937.06845290509</v>
      </c>
      <c r="B775" s="1" t="s">
        <v>147</v>
      </c>
      <c r="C775" s="203">
        <v>5.2</v>
      </c>
      <c r="D775" s="1" t="s">
        <v>395</v>
      </c>
    </row>
    <row r="776">
      <c r="A776" s="253">
        <v>45937.06845290509</v>
      </c>
      <c r="B776" s="1" t="s">
        <v>183</v>
      </c>
      <c r="C776" s="203">
        <v>7.76</v>
      </c>
      <c r="D776" s="1" t="s">
        <v>249</v>
      </c>
    </row>
    <row r="777">
      <c r="A777" s="253">
        <v>45937.06845290509</v>
      </c>
      <c r="B777" s="1" t="s">
        <v>549</v>
      </c>
      <c r="C777" s="203">
        <v>5.682</v>
      </c>
      <c r="D777" s="1" t="s">
        <v>238</v>
      </c>
    </row>
    <row r="778">
      <c r="A778" s="253">
        <v>45937.06845290509</v>
      </c>
      <c r="B778" s="1" t="s">
        <v>104</v>
      </c>
      <c r="C778" s="203">
        <v>7.3660000000000005</v>
      </c>
      <c r="D778" s="1" t="s">
        <v>193</v>
      </c>
    </row>
    <row r="779">
      <c r="A779" s="253">
        <v>45937.06845290509</v>
      </c>
      <c r="B779" s="1" t="s">
        <v>220</v>
      </c>
      <c r="C779" s="203">
        <v>4.194</v>
      </c>
      <c r="D779" s="1" t="s">
        <v>238</v>
      </c>
    </row>
    <row r="780">
      <c r="A780" s="253">
        <v>45937.06845290509</v>
      </c>
      <c r="B780" s="1" t="s">
        <v>210</v>
      </c>
      <c r="C780" s="203">
        <v>5.9</v>
      </c>
      <c r="D780" s="1" t="s">
        <v>132</v>
      </c>
    </row>
    <row r="781">
      <c r="A781" s="253">
        <v>45937.06845290509</v>
      </c>
      <c r="B781" s="1" t="s">
        <v>105</v>
      </c>
      <c r="C781" s="203">
        <v>8.977</v>
      </c>
      <c r="D781" s="1" t="s">
        <v>96</v>
      </c>
    </row>
    <row r="782">
      <c r="A782" s="253">
        <v>45937.06845290509</v>
      </c>
      <c r="B782" s="1" t="s">
        <v>546</v>
      </c>
      <c r="C782" s="203">
        <v>7.127</v>
      </c>
      <c r="D782" s="1" t="s">
        <v>493</v>
      </c>
    </row>
    <row r="783">
      <c r="A783" s="253">
        <v>45937.06845290509</v>
      </c>
      <c r="B783" s="1" t="s">
        <v>195</v>
      </c>
      <c r="C783" s="203">
        <v>3.7</v>
      </c>
      <c r="D783" s="1" t="s">
        <v>493</v>
      </c>
    </row>
    <row r="784">
      <c r="A784" s="253">
        <v>45937.06845290509</v>
      </c>
      <c r="B784" s="1" t="s">
        <v>120</v>
      </c>
      <c r="C784" s="203">
        <v>5.1</v>
      </c>
      <c r="D784" s="1" t="s">
        <v>493</v>
      </c>
    </row>
    <row r="785">
      <c r="A785" s="253">
        <v>45937.06845290509</v>
      </c>
      <c r="B785" s="1" t="s">
        <v>130</v>
      </c>
      <c r="C785" s="203">
        <v>8.458</v>
      </c>
      <c r="D785" s="1" t="s">
        <v>95</v>
      </c>
    </row>
    <row r="786">
      <c r="A786" s="253">
        <v>45937.06845290509</v>
      </c>
      <c r="B786" s="1" t="s">
        <v>106</v>
      </c>
      <c r="C786" s="203">
        <v>5.899</v>
      </c>
      <c r="D786" s="1" t="s">
        <v>493</v>
      </c>
    </row>
    <row r="787">
      <c r="A787" s="253">
        <v>45937.06845290509</v>
      </c>
      <c r="B787" s="1" t="s">
        <v>211</v>
      </c>
      <c r="C787" s="203">
        <v>8.768</v>
      </c>
      <c r="D787" s="1" t="s">
        <v>193</v>
      </c>
    </row>
    <row r="788">
      <c r="A788" s="253">
        <v>45937.06845290509</v>
      </c>
      <c r="B788" s="1" t="s">
        <v>539</v>
      </c>
      <c r="C788" s="203">
        <v>9.43</v>
      </c>
      <c r="D788" s="1" t="s">
        <v>238</v>
      </c>
    </row>
    <row r="789">
      <c r="A789" s="253">
        <v>45937.06845290509</v>
      </c>
      <c r="B789" s="1" t="s">
        <v>131</v>
      </c>
      <c r="C789" s="203">
        <v>7.761</v>
      </c>
      <c r="D789" s="1" t="s">
        <v>132</v>
      </c>
    </row>
    <row r="790">
      <c r="A790" s="253">
        <v>45937.06845290509</v>
      </c>
      <c r="B790" s="1" t="s">
        <v>221</v>
      </c>
      <c r="C790" s="203">
        <v>7.718</v>
      </c>
      <c r="D790" s="1" t="s">
        <v>95</v>
      </c>
    </row>
    <row r="791">
      <c r="A791" s="253">
        <v>45937.06845290509</v>
      </c>
      <c r="B791" s="1" t="s">
        <v>133</v>
      </c>
      <c r="C791" s="203">
        <v>10.443</v>
      </c>
      <c r="D791" s="1" t="s">
        <v>43</v>
      </c>
    </row>
    <row r="792">
      <c r="A792" s="253">
        <v>45937.06845290509</v>
      </c>
      <c r="B792" s="1" t="s">
        <v>174</v>
      </c>
      <c r="C792" s="203">
        <v>8.728</v>
      </c>
      <c r="D792" s="1" t="s">
        <v>156</v>
      </c>
    </row>
    <row r="793">
      <c r="A793" s="253">
        <v>45937.06845290509</v>
      </c>
      <c r="B793" s="1" t="s">
        <v>222</v>
      </c>
      <c r="C793" s="203">
        <v>6.654</v>
      </c>
      <c r="D793" s="1" t="s">
        <v>96</v>
      </c>
    </row>
    <row r="794">
      <c r="A794" s="253">
        <v>45937.06845290509</v>
      </c>
      <c r="B794" s="1" t="s">
        <v>107</v>
      </c>
      <c r="C794" s="203">
        <v>8.903</v>
      </c>
      <c r="D794" s="1" t="s">
        <v>132</v>
      </c>
    </row>
    <row r="795">
      <c r="A795" s="253">
        <v>45937.06845290509</v>
      </c>
      <c r="B795" s="1" t="s">
        <v>108</v>
      </c>
      <c r="C795" s="203">
        <v>3.7</v>
      </c>
      <c r="D795" s="1" t="s">
        <v>493</v>
      </c>
    </row>
    <row r="796">
      <c r="A796" s="253">
        <v>45937.06845290509</v>
      </c>
      <c r="B796" s="1" t="s">
        <v>163</v>
      </c>
      <c r="C796" s="203">
        <v>3.5</v>
      </c>
      <c r="D796" s="1" t="s">
        <v>62</v>
      </c>
    </row>
    <row r="797">
      <c r="A797" s="253">
        <v>45937.06845290509</v>
      </c>
      <c r="B797" s="1" t="s">
        <v>109</v>
      </c>
      <c r="C797" s="203">
        <v>6.2</v>
      </c>
      <c r="D797" s="1" t="s">
        <v>156</v>
      </c>
    </row>
    <row r="798">
      <c r="A798" s="253">
        <v>45937.06845290509</v>
      </c>
      <c r="B798" s="1" t="s">
        <v>196</v>
      </c>
      <c r="C798" s="203">
        <v>2.1</v>
      </c>
      <c r="D798" s="1" t="s">
        <v>62</v>
      </c>
    </row>
    <row r="799">
      <c r="A799" s="253">
        <v>45937.06845290509</v>
      </c>
      <c r="B799" s="1" t="s">
        <v>99</v>
      </c>
      <c r="C799" s="203">
        <v>7.8</v>
      </c>
      <c r="D799" s="1" t="s">
        <v>395</v>
      </c>
    </row>
    <row r="800">
      <c r="A800" s="253">
        <v>45937.06845290509</v>
      </c>
      <c r="B800" s="1" t="s">
        <v>219</v>
      </c>
      <c r="C800" s="203">
        <v>4.898000000000001</v>
      </c>
      <c r="D800" s="1" t="s">
        <v>493</v>
      </c>
    </row>
    <row r="801">
      <c r="A801" s="253">
        <v>45937.06845290509</v>
      </c>
      <c r="B801" s="1" t="s">
        <v>527</v>
      </c>
      <c r="D801" s="1" t="s">
        <v>43</v>
      </c>
    </row>
    <row r="802">
      <c r="A802" s="253">
        <v>45937.06845290509</v>
      </c>
      <c r="B802" s="1" t="s">
        <v>185</v>
      </c>
      <c r="C802" s="203">
        <v>10.062000000000001</v>
      </c>
      <c r="D802" s="1" t="s">
        <v>224</v>
      </c>
    </row>
    <row r="803">
      <c r="A803" s="253">
        <v>45937.06845290509</v>
      </c>
      <c r="B803" s="1" t="s">
        <v>197</v>
      </c>
      <c r="C803" s="203">
        <v>8.572</v>
      </c>
      <c r="D803" s="1" t="s">
        <v>95</v>
      </c>
    </row>
    <row r="804">
      <c r="A804" s="253">
        <v>45937.06845290509</v>
      </c>
      <c r="B804" s="1" t="s">
        <v>186</v>
      </c>
      <c r="C804" s="203">
        <v>6.654</v>
      </c>
      <c r="D804" s="1" t="s">
        <v>311</v>
      </c>
    </row>
    <row r="805">
      <c r="A805" s="253">
        <v>45937.06845290509</v>
      </c>
      <c r="B805" s="1" t="s">
        <v>198</v>
      </c>
      <c r="C805" s="203">
        <v>8.617999999999999</v>
      </c>
      <c r="D805" s="1" t="s">
        <v>95</v>
      </c>
    </row>
    <row r="806">
      <c r="A806" s="253">
        <v>45937.06845290509</v>
      </c>
      <c r="B806" s="1" t="s">
        <v>160</v>
      </c>
      <c r="C806" s="203">
        <v>4.694</v>
      </c>
      <c r="D806" s="1" t="s">
        <v>238</v>
      </c>
    </row>
    <row r="807">
      <c r="A807" s="253">
        <v>45937.06845290509</v>
      </c>
      <c r="B807" s="1" t="s">
        <v>161</v>
      </c>
      <c r="C807" s="203">
        <v>5.2989999999999995</v>
      </c>
      <c r="D807" s="1" t="s">
        <v>311</v>
      </c>
    </row>
    <row r="808">
      <c r="A808" s="253">
        <v>45937.06845290509</v>
      </c>
      <c r="B808" s="1" t="s">
        <v>213</v>
      </c>
      <c r="C808" s="203">
        <v>8.383000000000001</v>
      </c>
      <c r="D808" s="1" t="s">
        <v>395</v>
      </c>
    </row>
    <row r="809">
      <c r="A809" s="253">
        <v>45937.06845290509</v>
      </c>
      <c r="B809" s="1" t="s">
        <v>121</v>
      </c>
      <c r="C809" s="203">
        <v>9.646</v>
      </c>
      <c r="D809" s="1" t="s">
        <v>96</v>
      </c>
    </row>
    <row r="810">
      <c r="A810" s="253">
        <v>45937.06845290509</v>
      </c>
      <c r="B810" s="1" t="s">
        <v>122</v>
      </c>
      <c r="C810" s="203">
        <v>3.7</v>
      </c>
      <c r="D810" s="1" t="s">
        <v>311</v>
      </c>
    </row>
    <row r="811">
      <c r="A811" s="253">
        <v>45937.06845290509</v>
      </c>
      <c r="B811" s="1" t="s">
        <v>123</v>
      </c>
      <c r="C811" s="203">
        <v>5.6</v>
      </c>
      <c r="D811" s="1" t="s">
        <v>493</v>
      </c>
    </row>
    <row r="812">
      <c r="A812" s="253">
        <v>45937.06845290509</v>
      </c>
      <c r="B812" s="1" t="s">
        <v>199</v>
      </c>
      <c r="C812" s="203">
        <v>8.097999999999999</v>
      </c>
      <c r="D812" s="1" t="s">
        <v>62</v>
      </c>
    </row>
    <row r="813">
      <c r="A813" s="253">
        <v>45937.06845290509</v>
      </c>
      <c r="B813" s="1" t="s">
        <v>200</v>
      </c>
      <c r="C813" s="203">
        <v>4.7</v>
      </c>
      <c r="D813" s="1" t="s">
        <v>493</v>
      </c>
    </row>
    <row r="814">
      <c r="A814" s="253">
        <v>45937.06845290509</v>
      </c>
      <c r="B814" s="1" t="s">
        <v>134</v>
      </c>
      <c r="C814" s="203">
        <v>3.4</v>
      </c>
      <c r="D814" s="1" t="s">
        <v>132</v>
      </c>
    </row>
    <row r="815">
      <c r="A815" s="253">
        <v>45937.06845290509</v>
      </c>
      <c r="B815" s="1" t="s">
        <v>162</v>
      </c>
      <c r="C815" s="203">
        <v>8.255</v>
      </c>
      <c r="D815" s="1" t="s">
        <v>395</v>
      </c>
    </row>
    <row r="816">
      <c r="A816" s="253">
        <v>45937.06845290509</v>
      </c>
      <c r="B816" s="1" t="s">
        <v>175</v>
      </c>
      <c r="C816" s="203">
        <v>6.384</v>
      </c>
      <c r="D816" s="1" t="s">
        <v>395</v>
      </c>
    </row>
    <row r="817">
      <c r="A817" s="253">
        <v>45937.06845290509</v>
      </c>
      <c r="B817" s="1" t="s">
        <v>148</v>
      </c>
      <c r="C817" s="203">
        <v>3.9</v>
      </c>
      <c r="D817" s="1" t="s">
        <v>238</v>
      </c>
    </row>
    <row r="818">
      <c r="A818" s="253">
        <v>45937.06845290509</v>
      </c>
      <c r="B818" s="1" t="s">
        <v>187</v>
      </c>
      <c r="C818" s="203">
        <v>4.999</v>
      </c>
      <c r="D818" s="1" t="s">
        <v>132</v>
      </c>
    </row>
    <row r="819">
      <c r="A819" s="253">
        <v>45937.06845290509</v>
      </c>
      <c r="B819" s="1" t="s">
        <v>234</v>
      </c>
      <c r="D819" s="1" t="s">
        <v>311</v>
      </c>
    </row>
    <row r="820">
      <c r="A820" s="253">
        <v>45937.06845290509</v>
      </c>
      <c r="B820" s="1" t="s">
        <v>232</v>
      </c>
      <c r="C820" s="203">
        <v>6.566</v>
      </c>
      <c r="D820" s="1" t="s">
        <v>156</v>
      </c>
    </row>
    <row r="821">
      <c r="A821" s="253">
        <v>45937.06845290509</v>
      </c>
    </row>
    <row r="822">
      <c r="A822" s="253">
        <v>45937.06845290509</v>
      </c>
    </row>
    <row r="823">
      <c r="A823" s="253">
        <v>45937.06845290509</v>
      </c>
    </row>
    <row r="824">
      <c r="A824" s="1" t="s">
        <v>914</v>
      </c>
      <c r="B824" s="1" t="s">
        <v>13</v>
      </c>
      <c r="C824" s="1" t="s">
        <v>2047</v>
      </c>
      <c r="D824" s="1" t="s">
        <v>2048</v>
      </c>
    </row>
    <row r="825">
      <c r="A825" s="253">
        <v>45944.06859804398</v>
      </c>
      <c r="B825" s="1" t="s">
        <v>176</v>
      </c>
      <c r="C825" s="203">
        <v>3.5</v>
      </c>
      <c r="D825" s="1" t="s">
        <v>43</v>
      </c>
    </row>
    <row r="826">
      <c r="A826" s="253">
        <v>45944.06859804398</v>
      </c>
      <c r="B826" s="1" t="s">
        <v>164</v>
      </c>
      <c r="D826" s="1" t="s">
        <v>193</v>
      </c>
    </row>
    <row r="827">
      <c r="A827" s="253">
        <v>45944.06859804398</v>
      </c>
      <c r="B827" s="1" t="s">
        <v>201</v>
      </c>
      <c r="C827" s="203">
        <v>9.797</v>
      </c>
      <c r="D827" s="1" t="s">
        <v>62</v>
      </c>
    </row>
    <row r="828">
      <c r="A828" s="253">
        <v>45944.06859804398</v>
      </c>
      <c r="B828" s="1" t="e">
        <v>#N/A</v>
      </c>
      <c r="C828" s="1" t="e">
        <v>#N/A</v>
      </c>
      <c r="D828" s="1" t="s">
        <v>2050</v>
      </c>
    </row>
    <row r="829">
      <c r="A829" s="253">
        <v>45944.06859804398</v>
      </c>
      <c r="B829" s="1" t="s">
        <v>189</v>
      </c>
      <c r="C829" s="203">
        <v>7.188000000000001</v>
      </c>
      <c r="D829" s="1" t="s">
        <v>43</v>
      </c>
    </row>
    <row r="830">
      <c r="A830" s="253">
        <v>45944.06859804398</v>
      </c>
      <c r="B830" s="1" t="s">
        <v>188</v>
      </c>
      <c r="C830" s="203">
        <v>6.7</v>
      </c>
      <c r="D830" s="1" t="s">
        <v>493</v>
      </c>
    </row>
    <row r="831">
      <c r="A831" s="253">
        <v>45944.06859804398</v>
      </c>
      <c r="B831" s="1" t="s">
        <v>202</v>
      </c>
      <c r="C831" s="203">
        <v>4.2</v>
      </c>
      <c r="D831" s="1" t="s">
        <v>156</v>
      </c>
    </row>
    <row r="832">
      <c r="A832" s="253">
        <v>45944.06859804398</v>
      </c>
      <c r="B832" s="1" t="s">
        <v>215</v>
      </c>
      <c r="C832" s="203">
        <v>4.494</v>
      </c>
      <c r="D832" s="1" t="s">
        <v>132</v>
      </c>
    </row>
    <row r="833">
      <c r="A833" s="253">
        <v>45944.06859804398</v>
      </c>
      <c r="B833" s="1" t="s">
        <v>225</v>
      </c>
      <c r="C833" s="203">
        <v>5.8</v>
      </c>
      <c r="D833" s="1" t="s">
        <v>395</v>
      </c>
    </row>
    <row r="834">
      <c r="A834" s="253">
        <v>45944.06859804398</v>
      </c>
      <c r="B834" s="1" t="s">
        <v>45</v>
      </c>
      <c r="C834" s="203">
        <v>6.3</v>
      </c>
      <c r="D834" s="1" t="s">
        <v>43</v>
      </c>
    </row>
    <row r="835">
      <c r="A835" s="253">
        <v>45944.06859804398</v>
      </c>
      <c r="B835" s="1" t="s">
        <v>165</v>
      </c>
      <c r="C835" s="203">
        <v>4.198</v>
      </c>
      <c r="D835" s="1" t="s">
        <v>95</v>
      </c>
    </row>
    <row r="836">
      <c r="A836" s="253">
        <v>45944.06859804398</v>
      </c>
      <c r="B836" s="1" t="s">
        <v>124</v>
      </c>
      <c r="C836" s="203">
        <v>6.692</v>
      </c>
      <c r="D836" s="1" t="s">
        <v>249</v>
      </c>
    </row>
    <row r="837">
      <c r="A837" s="253">
        <v>45944.06859804398</v>
      </c>
      <c r="B837" s="1" t="s">
        <v>177</v>
      </c>
      <c r="C837" s="203">
        <v>8.761000000000001</v>
      </c>
      <c r="D837" s="1" t="s">
        <v>95</v>
      </c>
    </row>
    <row r="838">
      <c r="A838" s="253">
        <v>45944.06859804398</v>
      </c>
      <c r="B838" s="1" t="s">
        <v>110</v>
      </c>
      <c r="C838" s="203">
        <v>2.2</v>
      </c>
      <c r="D838" s="1" t="s">
        <v>493</v>
      </c>
    </row>
    <row r="839">
      <c r="A839" s="253">
        <v>45944.06859804398</v>
      </c>
      <c r="B839" s="1" t="s">
        <v>166</v>
      </c>
      <c r="C839" s="203">
        <v>7.748</v>
      </c>
      <c r="D839" s="1" t="s">
        <v>224</v>
      </c>
    </row>
    <row r="840">
      <c r="A840" s="253">
        <v>45944.06859804398</v>
      </c>
      <c r="B840" s="1" t="s">
        <v>167</v>
      </c>
      <c r="C840" s="203">
        <v>6.142</v>
      </c>
      <c r="D840" s="1" t="s">
        <v>249</v>
      </c>
    </row>
    <row r="841">
      <c r="A841" s="253">
        <v>45944.06859804398</v>
      </c>
      <c r="B841" s="1" t="s">
        <v>226</v>
      </c>
      <c r="C841" s="203">
        <v>9.624</v>
      </c>
      <c r="D841" s="1" t="s">
        <v>224</v>
      </c>
    </row>
    <row r="842">
      <c r="A842" s="253">
        <v>45944.06859804398</v>
      </c>
      <c r="B842" s="1" t="s">
        <v>190</v>
      </c>
      <c r="C842" s="203">
        <v>6.2</v>
      </c>
      <c r="D842" s="1" t="s">
        <v>62</v>
      </c>
    </row>
    <row r="843">
      <c r="A843" s="253">
        <v>45944.06859804398</v>
      </c>
      <c r="B843" s="1" t="s">
        <v>168</v>
      </c>
      <c r="C843" s="203">
        <v>5.497</v>
      </c>
      <c r="D843" s="1" t="s">
        <v>132</v>
      </c>
    </row>
    <row r="844">
      <c r="A844" s="253">
        <v>45944.06859804398</v>
      </c>
      <c r="B844" s="1" t="s">
        <v>159</v>
      </c>
      <c r="C844" s="203">
        <v>1.5</v>
      </c>
      <c r="D844" s="1" t="s">
        <v>249</v>
      </c>
    </row>
    <row r="845">
      <c r="A845" s="253">
        <v>45944.06859804398</v>
      </c>
      <c r="B845" s="1" t="s">
        <v>98</v>
      </c>
      <c r="C845" s="203">
        <v>8.246</v>
      </c>
      <c r="D845" s="1" t="s">
        <v>238</v>
      </c>
    </row>
    <row r="846">
      <c r="A846" s="253">
        <v>45944.06859804398</v>
      </c>
      <c r="B846" s="1" t="s">
        <v>111</v>
      </c>
      <c r="C846" s="203">
        <v>6.698</v>
      </c>
      <c r="D846" s="1" t="s">
        <v>249</v>
      </c>
    </row>
    <row r="847">
      <c r="A847" s="253">
        <v>45944.06859804398</v>
      </c>
      <c r="B847" s="1" t="s">
        <v>223</v>
      </c>
      <c r="C847" s="203">
        <v>4.797</v>
      </c>
      <c r="D847" s="1" t="s">
        <v>156</v>
      </c>
    </row>
    <row r="848">
      <c r="A848" s="253">
        <v>45944.06859804398</v>
      </c>
      <c r="B848" s="1" t="s">
        <v>191</v>
      </c>
      <c r="C848" s="203">
        <v>5.1</v>
      </c>
      <c r="D848" s="1" t="s">
        <v>224</v>
      </c>
    </row>
    <row r="849">
      <c r="A849" s="253">
        <v>45944.06859804398</v>
      </c>
      <c r="B849" s="1" t="s">
        <v>178</v>
      </c>
      <c r="C849" s="203">
        <v>4.6930000000000005</v>
      </c>
      <c r="D849" s="1" t="s">
        <v>62</v>
      </c>
    </row>
    <row r="850">
      <c r="A850" s="253">
        <v>45944.06859804398</v>
      </c>
      <c r="B850" s="1" t="s">
        <v>112</v>
      </c>
      <c r="C850" s="203">
        <v>8.132000000000001</v>
      </c>
      <c r="D850" s="1" t="s">
        <v>249</v>
      </c>
    </row>
    <row r="851">
      <c r="A851" s="253">
        <v>45944.06859804398</v>
      </c>
      <c r="B851" s="1" t="s">
        <v>100</v>
      </c>
      <c r="C851" s="203">
        <v>7.384</v>
      </c>
      <c r="D851" s="1" t="s">
        <v>95</v>
      </c>
    </row>
    <row r="852">
      <c r="A852" s="253">
        <v>45944.06859804398</v>
      </c>
      <c r="B852" s="1" t="s">
        <v>304</v>
      </c>
      <c r="C852" s="203">
        <v>3.599</v>
      </c>
      <c r="D852" s="1" t="s">
        <v>62</v>
      </c>
    </row>
    <row r="853">
      <c r="A853" s="253">
        <v>45944.06859804398</v>
      </c>
      <c r="B853" s="1" t="s">
        <v>150</v>
      </c>
      <c r="C853" s="203">
        <v>4.7</v>
      </c>
      <c r="D853" s="1" t="s">
        <v>193</v>
      </c>
    </row>
    <row r="854">
      <c r="A854" s="253">
        <v>45944.06859804398</v>
      </c>
      <c r="B854" s="1" t="s">
        <v>203</v>
      </c>
      <c r="C854" s="203">
        <v>4.699</v>
      </c>
      <c r="D854" s="1" t="s">
        <v>224</v>
      </c>
    </row>
    <row r="855">
      <c r="A855" s="253">
        <v>45944.06859804398</v>
      </c>
      <c r="B855" s="1" t="s">
        <v>545</v>
      </c>
      <c r="C855" s="203">
        <v>4.596</v>
      </c>
      <c r="D855" s="1" t="s">
        <v>132</v>
      </c>
    </row>
    <row r="856">
      <c r="A856" s="253">
        <v>45944.06859804398</v>
      </c>
      <c r="B856" s="1" t="s">
        <v>113</v>
      </c>
      <c r="C856" s="203">
        <v>7.1</v>
      </c>
      <c r="D856" s="1" t="s">
        <v>224</v>
      </c>
    </row>
    <row r="857">
      <c r="A857" s="253">
        <v>45944.06859804398</v>
      </c>
      <c r="B857" s="1" t="s">
        <v>179</v>
      </c>
      <c r="C857" s="203">
        <v>7.19</v>
      </c>
      <c r="D857" s="1" t="s">
        <v>395</v>
      </c>
    </row>
    <row r="858">
      <c r="A858" s="253">
        <v>45944.06859804398</v>
      </c>
      <c r="B858" s="1" t="s">
        <v>204</v>
      </c>
      <c r="C858" s="203">
        <v>9.738</v>
      </c>
      <c r="D858" s="1" t="s">
        <v>96</v>
      </c>
    </row>
    <row r="859">
      <c r="A859" s="253">
        <v>45944.06859804398</v>
      </c>
      <c r="B859" s="1" t="s">
        <v>216</v>
      </c>
      <c r="C859" s="203">
        <v>4.6</v>
      </c>
      <c r="D859" s="1" t="s">
        <v>224</v>
      </c>
    </row>
    <row r="860">
      <c r="A860" s="253">
        <v>45944.06859804398</v>
      </c>
      <c r="B860" s="1" t="s">
        <v>217</v>
      </c>
      <c r="C860" s="203">
        <v>2.3</v>
      </c>
      <c r="D860" s="1" t="s">
        <v>249</v>
      </c>
    </row>
    <row r="861">
      <c r="A861" s="253">
        <v>45944.06859804398</v>
      </c>
      <c r="B861" s="1" t="s">
        <v>114</v>
      </c>
      <c r="C861" s="203">
        <v>9.491999999999999</v>
      </c>
      <c r="D861" s="1" t="s">
        <v>395</v>
      </c>
    </row>
    <row r="862">
      <c r="A862" s="253">
        <v>45944.06859804398</v>
      </c>
      <c r="B862" s="1" t="s">
        <v>536</v>
      </c>
      <c r="C862" s="203">
        <v>6.8950000000000005</v>
      </c>
      <c r="D862" s="1" t="s">
        <v>96</v>
      </c>
    </row>
    <row r="863">
      <c r="A863" s="253">
        <v>45944.06859804398</v>
      </c>
      <c r="B863" s="1" t="s">
        <v>101</v>
      </c>
      <c r="C863" s="203">
        <v>7.698</v>
      </c>
      <c r="D863" s="1" t="s">
        <v>395</v>
      </c>
    </row>
    <row r="864">
      <c r="A864" s="253">
        <v>45944.06859804398</v>
      </c>
      <c r="B864" s="1" t="s">
        <v>135</v>
      </c>
      <c r="C864" s="203">
        <v>8.399000000000001</v>
      </c>
      <c r="D864" s="1" t="s">
        <v>156</v>
      </c>
    </row>
    <row r="865">
      <c r="A865" s="253">
        <v>45944.06859804398</v>
      </c>
      <c r="B865" s="1" t="s">
        <v>136</v>
      </c>
      <c r="C865" s="203">
        <v>11.428</v>
      </c>
      <c r="D865" s="1" t="s">
        <v>132</v>
      </c>
    </row>
    <row r="866">
      <c r="A866" s="253">
        <v>45944.06859804398</v>
      </c>
      <c r="B866" s="1" t="s">
        <v>137</v>
      </c>
      <c r="C866" s="203">
        <v>7.098999999999999</v>
      </c>
      <c r="D866" s="1" t="s">
        <v>249</v>
      </c>
    </row>
    <row r="867">
      <c r="A867" s="253">
        <v>45944.06859804398</v>
      </c>
      <c r="B867" s="1" t="s">
        <v>125</v>
      </c>
      <c r="C867" s="203">
        <v>7.991</v>
      </c>
      <c r="D867" s="1" t="s">
        <v>311</v>
      </c>
    </row>
    <row r="868">
      <c r="A868" s="253">
        <v>45944.06859804398</v>
      </c>
      <c r="B868" s="1" t="s">
        <v>231</v>
      </c>
      <c r="C868" s="203">
        <v>8.947</v>
      </c>
      <c r="D868" s="1" t="s">
        <v>395</v>
      </c>
    </row>
    <row r="869">
      <c r="A869" s="253">
        <v>45944.06859804398</v>
      </c>
      <c r="B869" s="1" t="s">
        <v>126</v>
      </c>
      <c r="C869" s="203">
        <v>6.797</v>
      </c>
      <c r="D869" s="1" t="s">
        <v>193</v>
      </c>
    </row>
    <row r="870">
      <c r="A870" s="253">
        <v>45944.06859804398</v>
      </c>
      <c r="B870" s="1" t="s">
        <v>127</v>
      </c>
      <c r="C870" s="203">
        <v>5.497</v>
      </c>
      <c r="D870" s="1" t="s">
        <v>62</v>
      </c>
    </row>
    <row r="871">
      <c r="A871" s="253">
        <v>45944.06859804398</v>
      </c>
      <c r="B871" s="1" t="s">
        <v>170</v>
      </c>
      <c r="D871" s="1" t="s">
        <v>493</v>
      </c>
    </row>
    <row r="872">
      <c r="A872" s="253">
        <v>45944.06859804398</v>
      </c>
      <c r="B872" s="1" t="s">
        <v>205</v>
      </c>
      <c r="C872" s="203">
        <v>4.4</v>
      </c>
      <c r="D872" s="1" t="s">
        <v>493</v>
      </c>
    </row>
    <row r="873">
      <c r="A873" s="253">
        <v>45944.06859804398</v>
      </c>
      <c r="B873" s="1" t="s">
        <v>227</v>
      </c>
      <c r="C873" s="203">
        <v>5.373</v>
      </c>
      <c r="D873" s="1" t="s">
        <v>62</v>
      </c>
    </row>
    <row r="874">
      <c r="A874" s="253">
        <v>45944.06859804398</v>
      </c>
      <c r="B874" s="1" t="s">
        <v>552</v>
      </c>
      <c r="C874" s="203">
        <v>4.689</v>
      </c>
      <c r="D874" s="1" t="s">
        <v>193</v>
      </c>
    </row>
    <row r="875">
      <c r="A875" s="253">
        <v>45944.06859804398</v>
      </c>
      <c r="B875" s="1" t="s">
        <v>151</v>
      </c>
      <c r="C875" s="203">
        <v>7.695</v>
      </c>
      <c r="D875" s="1" t="s">
        <v>249</v>
      </c>
    </row>
    <row r="876">
      <c r="A876" s="253">
        <v>45944.06859804398</v>
      </c>
      <c r="B876" s="1" t="s">
        <v>115</v>
      </c>
      <c r="C876" s="203">
        <v>8.187</v>
      </c>
      <c r="D876" s="1" t="s">
        <v>132</v>
      </c>
    </row>
    <row r="877">
      <c r="A877" s="253">
        <v>45944.06859804398</v>
      </c>
      <c r="B877" s="1" t="s">
        <v>206</v>
      </c>
      <c r="C877" s="203">
        <v>8.184999999999999</v>
      </c>
      <c r="D877" s="1" t="s">
        <v>311</v>
      </c>
    </row>
    <row r="878">
      <c r="A878" s="253">
        <v>45944.06859804398</v>
      </c>
      <c r="B878" s="1" t="s">
        <v>152</v>
      </c>
      <c r="C878" s="203">
        <v>6.914</v>
      </c>
      <c r="D878" s="1" t="s">
        <v>311</v>
      </c>
    </row>
    <row r="879">
      <c r="A879" s="253">
        <v>45944.06859804398</v>
      </c>
      <c r="B879" s="1" t="s">
        <v>138</v>
      </c>
      <c r="C879" s="203">
        <v>6.3</v>
      </c>
      <c r="D879" s="1" t="s">
        <v>493</v>
      </c>
    </row>
    <row r="880">
      <c r="A880" s="253">
        <v>45944.06859804398</v>
      </c>
      <c r="B880" s="1" t="s">
        <v>102</v>
      </c>
      <c r="C880" s="203">
        <v>10.738</v>
      </c>
      <c r="D880" s="1" t="s">
        <v>238</v>
      </c>
    </row>
    <row r="881">
      <c r="A881" s="253">
        <v>45944.06859804398</v>
      </c>
      <c r="B881" s="1" t="s">
        <v>548</v>
      </c>
      <c r="C881" s="203">
        <v>6.595</v>
      </c>
      <c r="D881" s="1" t="s">
        <v>238</v>
      </c>
    </row>
    <row r="882">
      <c r="A882" s="253">
        <v>45944.06859804398</v>
      </c>
      <c r="B882" s="1" t="s">
        <v>116</v>
      </c>
      <c r="C882" s="203">
        <v>11.061</v>
      </c>
      <c r="D882" s="1" t="s">
        <v>156</v>
      </c>
    </row>
    <row r="883">
      <c r="A883" s="253">
        <v>45944.06859804398</v>
      </c>
      <c r="B883" s="1" t="s">
        <v>140</v>
      </c>
      <c r="C883" s="203">
        <v>4.2</v>
      </c>
      <c r="D883" s="1" t="s">
        <v>224</v>
      </c>
    </row>
    <row r="884">
      <c r="A884" s="253">
        <v>45944.06859804398</v>
      </c>
      <c r="B884" s="1" t="s">
        <v>139</v>
      </c>
      <c r="C884" s="203">
        <v>8.281</v>
      </c>
      <c r="D884" s="1" t="s">
        <v>311</v>
      </c>
    </row>
    <row r="885">
      <c r="A885" s="253">
        <v>45944.06859804398</v>
      </c>
      <c r="B885" s="1" t="s">
        <v>153</v>
      </c>
      <c r="C885" s="203">
        <v>3.1</v>
      </c>
      <c r="D885" s="1" t="s">
        <v>96</v>
      </c>
    </row>
    <row r="886">
      <c r="A886" s="253">
        <v>45944.06859804398</v>
      </c>
      <c r="B886" s="1" t="s">
        <v>141</v>
      </c>
      <c r="C886" s="203">
        <v>6.1</v>
      </c>
      <c r="D886" s="1" t="s">
        <v>238</v>
      </c>
    </row>
    <row r="887">
      <c r="A887" s="253">
        <v>45944.06859804398</v>
      </c>
      <c r="B887" s="1" t="s">
        <v>207</v>
      </c>
      <c r="C887" s="203">
        <v>5.4</v>
      </c>
      <c r="D887" s="1" t="s">
        <v>493</v>
      </c>
    </row>
    <row r="888">
      <c r="A888" s="253">
        <v>45944.06859804398</v>
      </c>
      <c r="B888" s="1" t="s">
        <v>208</v>
      </c>
      <c r="C888" s="203">
        <v>8.389000000000001</v>
      </c>
      <c r="D888" s="1" t="s">
        <v>156</v>
      </c>
    </row>
    <row r="889">
      <c r="A889" s="253">
        <v>45944.06859804398</v>
      </c>
      <c r="B889" s="1" t="s">
        <v>103</v>
      </c>
      <c r="C889" s="203">
        <v>8.084</v>
      </c>
      <c r="D889" s="1" t="s">
        <v>224</v>
      </c>
    </row>
    <row r="890">
      <c r="A890" s="253">
        <v>45944.06859804398</v>
      </c>
      <c r="B890" s="1" t="s">
        <v>117</v>
      </c>
      <c r="C890" s="203">
        <v>6.0</v>
      </c>
      <c r="D890" s="1" t="s">
        <v>95</v>
      </c>
    </row>
    <row r="891">
      <c r="A891" s="253">
        <v>45944.06859804398</v>
      </c>
      <c r="B891" s="1" t="s">
        <v>142</v>
      </c>
      <c r="C891" s="203">
        <v>8.596</v>
      </c>
      <c r="D891" s="1" t="s">
        <v>96</v>
      </c>
    </row>
    <row r="892">
      <c r="A892" s="253">
        <v>45944.06859804398</v>
      </c>
      <c r="B892" s="1" t="s">
        <v>181</v>
      </c>
      <c r="C892" s="203">
        <v>1.9</v>
      </c>
      <c r="D892" s="1" t="s">
        <v>156</v>
      </c>
    </row>
    <row r="893">
      <c r="A893" s="253">
        <v>45944.06859804398</v>
      </c>
      <c r="B893" s="1" t="s">
        <v>182</v>
      </c>
      <c r="C893" s="203">
        <v>6.495</v>
      </c>
      <c r="D893" s="1" t="s">
        <v>193</v>
      </c>
    </row>
    <row r="894">
      <c r="A894" s="253">
        <v>45944.06859804398</v>
      </c>
      <c r="B894" s="1" t="s">
        <v>228</v>
      </c>
      <c r="C894" s="203">
        <v>5.194</v>
      </c>
      <c r="D894" s="1" t="s">
        <v>43</v>
      </c>
    </row>
    <row r="895">
      <c r="A895" s="253">
        <v>45944.06859804398</v>
      </c>
      <c r="B895" s="1" t="s">
        <v>118</v>
      </c>
      <c r="C895" s="203">
        <v>3.6</v>
      </c>
      <c r="D895" s="1" t="s">
        <v>43</v>
      </c>
    </row>
    <row r="896">
      <c r="A896" s="253">
        <v>45944.06859804398</v>
      </c>
      <c r="B896" s="1" t="s">
        <v>154</v>
      </c>
      <c r="C896" s="203">
        <v>9.737</v>
      </c>
      <c r="D896" s="1" t="s">
        <v>156</v>
      </c>
    </row>
    <row r="897">
      <c r="A897" s="253">
        <v>45944.06859804398</v>
      </c>
      <c r="B897" s="1" t="s">
        <v>172</v>
      </c>
      <c r="C897" s="203">
        <v>4.098999999999999</v>
      </c>
      <c r="D897" s="1" t="s">
        <v>311</v>
      </c>
    </row>
    <row r="898">
      <c r="A898" s="253">
        <v>45944.06859804398</v>
      </c>
      <c r="B898" s="1" t="s">
        <v>143</v>
      </c>
      <c r="C898" s="203">
        <v>6.0</v>
      </c>
      <c r="D898" s="1" t="s">
        <v>493</v>
      </c>
    </row>
    <row r="899">
      <c r="A899" s="253">
        <v>45944.06859804398</v>
      </c>
      <c r="B899" s="1" t="s">
        <v>229</v>
      </c>
      <c r="C899" s="203">
        <v>9.3</v>
      </c>
      <c r="D899" s="1" t="s">
        <v>96</v>
      </c>
    </row>
    <row r="900">
      <c r="A900" s="253">
        <v>45944.06859804398</v>
      </c>
      <c r="B900" s="1" t="s">
        <v>173</v>
      </c>
      <c r="C900" s="203">
        <v>7.3709999999999996</v>
      </c>
      <c r="D900" s="1" t="s">
        <v>96</v>
      </c>
    </row>
    <row r="901">
      <c r="A901" s="253">
        <v>45944.06859804398</v>
      </c>
      <c r="B901" s="1" t="s">
        <v>144</v>
      </c>
      <c r="C901" s="203">
        <v>11.481</v>
      </c>
      <c r="D901" s="1" t="s">
        <v>193</v>
      </c>
    </row>
    <row r="902">
      <c r="A902" s="253">
        <v>45944.06859804398</v>
      </c>
      <c r="B902" s="1" t="s">
        <v>128</v>
      </c>
      <c r="C902" s="203">
        <v>7.69</v>
      </c>
      <c r="D902" s="1" t="s">
        <v>95</v>
      </c>
    </row>
    <row r="903">
      <c r="A903" s="253">
        <v>45944.06859804398</v>
      </c>
      <c r="B903" s="1" t="s">
        <v>129</v>
      </c>
      <c r="C903" s="203">
        <v>1.4</v>
      </c>
      <c r="D903" s="1" t="s">
        <v>96</v>
      </c>
    </row>
    <row r="904">
      <c r="A904" s="253">
        <v>45944.06859804398</v>
      </c>
      <c r="B904" s="1" t="s">
        <v>155</v>
      </c>
      <c r="C904" s="203">
        <v>8.898</v>
      </c>
      <c r="D904" s="1" t="s">
        <v>62</v>
      </c>
    </row>
    <row r="905">
      <c r="A905" s="253">
        <v>45944.06859804398</v>
      </c>
      <c r="B905" s="1" t="s">
        <v>209</v>
      </c>
      <c r="C905" s="203">
        <v>10.096</v>
      </c>
      <c r="D905" s="1" t="s">
        <v>249</v>
      </c>
    </row>
    <row r="906">
      <c r="A906" s="253">
        <v>45944.06859804398</v>
      </c>
      <c r="B906" s="1" t="s">
        <v>192</v>
      </c>
      <c r="C906" s="203">
        <v>9.841000000000001</v>
      </c>
      <c r="D906" s="1" t="s">
        <v>311</v>
      </c>
    </row>
    <row r="907">
      <c r="A907" s="253">
        <v>45944.06859804398</v>
      </c>
      <c r="B907" s="1" t="s">
        <v>194</v>
      </c>
      <c r="C907" s="203">
        <v>3.1</v>
      </c>
      <c r="D907" s="1" t="s">
        <v>193</v>
      </c>
    </row>
    <row r="908">
      <c r="A908" s="253">
        <v>45944.06859804398</v>
      </c>
      <c r="B908" s="1" t="s">
        <v>145</v>
      </c>
      <c r="C908" s="203">
        <v>6.0</v>
      </c>
      <c r="D908" s="1" t="s">
        <v>43</v>
      </c>
    </row>
    <row r="909">
      <c r="A909" s="253">
        <v>45944.06859804398</v>
      </c>
      <c r="B909" s="1" t="s">
        <v>119</v>
      </c>
      <c r="C909" s="203">
        <v>6.692</v>
      </c>
      <c r="D909" s="1" t="s">
        <v>238</v>
      </c>
    </row>
    <row r="910">
      <c r="A910" s="253">
        <v>45944.06859804398</v>
      </c>
      <c r="B910" s="1" t="s">
        <v>146</v>
      </c>
      <c r="C910" s="203">
        <v>3.0</v>
      </c>
      <c r="D910" s="1" t="s">
        <v>493</v>
      </c>
    </row>
    <row r="911">
      <c r="A911" s="253">
        <v>45944.06859804398</v>
      </c>
      <c r="B911" s="1" t="s">
        <v>157</v>
      </c>
      <c r="C911" s="203">
        <v>4.1</v>
      </c>
      <c r="D911" s="1" t="s">
        <v>43</v>
      </c>
    </row>
    <row r="912">
      <c r="A912" s="253">
        <v>45944.06859804398</v>
      </c>
      <c r="B912" s="1" t="s">
        <v>147</v>
      </c>
      <c r="C912" s="203">
        <v>4.9</v>
      </c>
      <c r="D912" s="1" t="s">
        <v>395</v>
      </c>
    </row>
    <row r="913">
      <c r="A913" s="253">
        <v>45944.06859804398</v>
      </c>
      <c r="B913" s="1" t="s">
        <v>183</v>
      </c>
      <c r="C913" s="203">
        <v>8.664000000000001</v>
      </c>
      <c r="D913" s="1" t="s">
        <v>249</v>
      </c>
    </row>
    <row r="914">
      <c r="A914" s="253">
        <v>45944.06859804398</v>
      </c>
      <c r="B914" s="1" t="s">
        <v>549</v>
      </c>
      <c r="C914" s="203">
        <v>5.096</v>
      </c>
      <c r="D914" s="1" t="s">
        <v>238</v>
      </c>
    </row>
    <row r="915">
      <c r="A915" s="253">
        <v>45944.06859804398</v>
      </c>
      <c r="B915" s="1" t="s">
        <v>104</v>
      </c>
      <c r="C915" s="203">
        <v>7.3660000000000005</v>
      </c>
      <c r="D915" s="1" t="s">
        <v>193</v>
      </c>
    </row>
    <row r="916">
      <c r="A916" s="253">
        <v>45944.06859804398</v>
      </c>
      <c r="B916" s="1" t="s">
        <v>220</v>
      </c>
      <c r="C916" s="203">
        <v>4.297</v>
      </c>
      <c r="D916" s="1" t="s">
        <v>238</v>
      </c>
    </row>
    <row r="917">
      <c r="A917" s="253">
        <v>45944.06859804398</v>
      </c>
      <c r="B917" s="1" t="s">
        <v>210</v>
      </c>
      <c r="C917" s="203">
        <v>5.7</v>
      </c>
      <c r="D917" s="1" t="s">
        <v>132</v>
      </c>
    </row>
    <row r="918">
      <c r="A918" s="253">
        <v>45944.06859804398</v>
      </c>
      <c r="B918" s="1" t="s">
        <v>105</v>
      </c>
      <c r="C918" s="203">
        <v>9.786999999999999</v>
      </c>
      <c r="D918" s="1" t="s">
        <v>96</v>
      </c>
    </row>
    <row r="919">
      <c r="A919" s="253">
        <v>45944.06859804398</v>
      </c>
      <c r="B919" s="1" t="s">
        <v>546</v>
      </c>
      <c r="C919" s="203">
        <v>7.47</v>
      </c>
      <c r="D919" s="1" t="s">
        <v>493</v>
      </c>
    </row>
    <row r="920">
      <c r="A920" s="253">
        <v>45944.06859804398</v>
      </c>
      <c r="B920" s="1" t="s">
        <v>195</v>
      </c>
      <c r="C920" s="203">
        <v>3.5</v>
      </c>
      <c r="D920" s="1" t="s">
        <v>493</v>
      </c>
    </row>
    <row r="921">
      <c r="A921" s="253">
        <v>45944.06859804398</v>
      </c>
      <c r="B921" s="1" t="s">
        <v>120</v>
      </c>
      <c r="C921" s="203">
        <v>5.1</v>
      </c>
      <c r="D921" s="1" t="s">
        <v>493</v>
      </c>
    </row>
    <row r="922">
      <c r="A922" s="253">
        <v>45944.06859804398</v>
      </c>
      <c r="B922" s="1" t="s">
        <v>130</v>
      </c>
      <c r="C922" s="203">
        <v>7.592</v>
      </c>
      <c r="D922" s="1" t="s">
        <v>95</v>
      </c>
    </row>
    <row r="923">
      <c r="A923" s="253">
        <v>45944.06859804398</v>
      </c>
      <c r="B923" s="1" t="s">
        <v>106</v>
      </c>
      <c r="C923" s="203">
        <v>5.6</v>
      </c>
      <c r="D923" s="1" t="s">
        <v>493</v>
      </c>
    </row>
    <row r="924">
      <c r="A924" s="253">
        <v>45944.06859804398</v>
      </c>
      <c r="B924" s="1" t="s">
        <v>211</v>
      </c>
      <c r="C924" s="203">
        <v>8.877</v>
      </c>
      <c r="D924" s="1" t="s">
        <v>193</v>
      </c>
    </row>
    <row r="925">
      <c r="A925" s="253">
        <v>45944.06859804398</v>
      </c>
      <c r="B925" s="1" t="s">
        <v>539</v>
      </c>
      <c r="C925" s="203">
        <v>9.81</v>
      </c>
      <c r="D925" s="1" t="s">
        <v>238</v>
      </c>
    </row>
    <row r="926">
      <c r="A926" s="253">
        <v>45944.06859804398</v>
      </c>
      <c r="B926" s="1" t="s">
        <v>131</v>
      </c>
      <c r="C926" s="203">
        <v>8.331</v>
      </c>
      <c r="D926" s="1" t="s">
        <v>132</v>
      </c>
    </row>
    <row r="927">
      <c r="A927" s="253">
        <v>45944.06859804398</v>
      </c>
      <c r="B927" s="1" t="s">
        <v>221</v>
      </c>
      <c r="C927" s="203">
        <v>6.787</v>
      </c>
      <c r="D927" s="1" t="s">
        <v>95</v>
      </c>
    </row>
    <row r="928">
      <c r="A928" s="253">
        <v>45944.06859804398</v>
      </c>
      <c r="B928" s="1" t="s">
        <v>133</v>
      </c>
      <c r="C928" s="203">
        <v>10.92</v>
      </c>
      <c r="D928" s="1" t="s">
        <v>43</v>
      </c>
    </row>
    <row r="929">
      <c r="A929" s="253">
        <v>45944.06859804398</v>
      </c>
      <c r="B929" s="1" t="s">
        <v>174</v>
      </c>
      <c r="C929" s="203">
        <v>7.793</v>
      </c>
      <c r="D929" s="1" t="s">
        <v>156</v>
      </c>
    </row>
    <row r="930">
      <c r="A930" s="253">
        <v>45944.06859804398</v>
      </c>
      <c r="B930" s="1" t="s">
        <v>222</v>
      </c>
      <c r="C930" s="203">
        <v>7.814</v>
      </c>
      <c r="D930" s="1" t="s">
        <v>96</v>
      </c>
    </row>
    <row r="931">
      <c r="A931" s="253">
        <v>45944.06859804398</v>
      </c>
      <c r="B931" s="1" t="s">
        <v>107</v>
      </c>
      <c r="C931" s="203">
        <v>9.271</v>
      </c>
      <c r="D931" s="1" t="s">
        <v>132</v>
      </c>
    </row>
    <row r="932">
      <c r="A932" s="253">
        <v>45944.06859804398</v>
      </c>
      <c r="B932" s="1" t="s">
        <v>108</v>
      </c>
      <c r="C932" s="203">
        <v>3.8</v>
      </c>
      <c r="D932" s="1" t="s">
        <v>493</v>
      </c>
    </row>
    <row r="933">
      <c r="A933" s="253">
        <v>45944.06859804398</v>
      </c>
      <c r="B933" s="1" t="s">
        <v>163</v>
      </c>
      <c r="C933" s="203">
        <v>3.2</v>
      </c>
      <c r="D933" s="1" t="s">
        <v>62</v>
      </c>
    </row>
    <row r="934">
      <c r="A934" s="253">
        <v>45944.06859804398</v>
      </c>
      <c r="B934" s="1" t="s">
        <v>109</v>
      </c>
      <c r="C934" s="203">
        <v>5.8</v>
      </c>
      <c r="D934" s="1" t="s">
        <v>156</v>
      </c>
    </row>
    <row r="935">
      <c r="A935" s="253">
        <v>45944.06859804398</v>
      </c>
      <c r="B935" s="1" t="s">
        <v>196</v>
      </c>
      <c r="C935" s="203">
        <v>3.1</v>
      </c>
      <c r="D935" s="1" t="s">
        <v>62</v>
      </c>
    </row>
    <row r="936">
      <c r="A936" s="253">
        <v>45944.06859804398</v>
      </c>
      <c r="B936" s="1" t="s">
        <v>99</v>
      </c>
      <c r="C936" s="203">
        <v>7.9</v>
      </c>
      <c r="D936" s="1" t="s">
        <v>395</v>
      </c>
    </row>
    <row r="937">
      <c r="A937" s="253">
        <v>45944.06859804398</v>
      </c>
      <c r="B937" s="1" t="s">
        <v>219</v>
      </c>
      <c r="C937" s="203">
        <v>4.2</v>
      </c>
      <c r="D937" s="1" t="s">
        <v>493</v>
      </c>
    </row>
    <row r="938">
      <c r="A938" s="253">
        <v>45944.06859804398</v>
      </c>
      <c r="B938" s="1" t="s">
        <v>527</v>
      </c>
      <c r="D938" s="1" t="s">
        <v>43</v>
      </c>
    </row>
    <row r="939">
      <c r="A939" s="253">
        <v>45944.06859804398</v>
      </c>
      <c r="B939" s="1" t="s">
        <v>185</v>
      </c>
      <c r="C939" s="203">
        <v>10.116</v>
      </c>
      <c r="D939" s="1" t="s">
        <v>224</v>
      </c>
    </row>
    <row r="940">
      <c r="A940" s="253">
        <v>45944.06859804398</v>
      </c>
      <c r="B940" s="1" t="s">
        <v>197</v>
      </c>
      <c r="C940" s="203">
        <v>8.979</v>
      </c>
      <c r="D940" s="1" t="s">
        <v>95</v>
      </c>
    </row>
    <row r="941">
      <c r="A941" s="253">
        <v>45944.06859804398</v>
      </c>
      <c r="B941" s="1" t="s">
        <v>186</v>
      </c>
      <c r="C941" s="203">
        <v>5.99</v>
      </c>
      <c r="D941" s="1" t="s">
        <v>311</v>
      </c>
    </row>
    <row r="942">
      <c r="A942" s="253">
        <v>45944.06859804398</v>
      </c>
      <c r="B942" s="1" t="s">
        <v>198</v>
      </c>
      <c r="C942" s="203">
        <v>9.353</v>
      </c>
      <c r="D942" s="1" t="s">
        <v>95</v>
      </c>
    </row>
    <row r="943">
      <c r="A943" s="253">
        <v>45944.06859804398</v>
      </c>
      <c r="B943" s="1" t="s">
        <v>160</v>
      </c>
      <c r="C943" s="203">
        <v>3.6990000000000003</v>
      </c>
      <c r="D943" s="1" t="s">
        <v>238</v>
      </c>
    </row>
    <row r="944">
      <c r="A944" s="253">
        <v>45944.06859804398</v>
      </c>
      <c r="B944" s="1" t="s">
        <v>161</v>
      </c>
      <c r="C944" s="203">
        <v>6.098</v>
      </c>
      <c r="D944" s="1" t="s">
        <v>311</v>
      </c>
    </row>
    <row r="945">
      <c r="A945" s="253">
        <v>45944.06859804398</v>
      </c>
      <c r="B945" s="1" t="s">
        <v>213</v>
      </c>
      <c r="C945" s="203">
        <v>8.388</v>
      </c>
      <c r="D945" s="1" t="s">
        <v>395</v>
      </c>
    </row>
    <row r="946">
      <c r="A946" s="253">
        <v>45944.06859804398</v>
      </c>
      <c r="B946" s="1" t="s">
        <v>121</v>
      </c>
      <c r="C946" s="203">
        <v>9.572</v>
      </c>
      <c r="D946" s="1" t="s">
        <v>96</v>
      </c>
    </row>
    <row r="947">
      <c r="A947" s="253">
        <v>45944.06859804398</v>
      </c>
      <c r="B947" s="1" t="s">
        <v>122</v>
      </c>
      <c r="C947" s="203">
        <v>3.5</v>
      </c>
      <c r="D947" s="1" t="s">
        <v>311</v>
      </c>
    </row>
    <row r="948">
      <c r="A948" s="253">
        <v>45944.06859804398</v>
      </c>
      <c r="B948" s="1" t="s">
        <v>123</v>
      </c>
      <c r="C948" s="203">
        <v>6.5</v>
      </c>
      <c r="D948" s="1" t="s">
        <v>493</v>
      </c>
    </row>
    <row r="949">
      <c r="A949" s="253">
        <v>45944.06859804398</v>
      </c>
      <c r="B949" s="1" t="s">
        <v>199</v>
      </c>
      <c r="C949" s="203">
        <v>8.696</v>
      </c>
      <c r="D949" s="1" t="s">
        <v>62</v>
      </c>
    </row>
    <row r="950">
      <c r="A950" s="253">
        <v>45944.06859804398</v>
      </c>
      <c r="B950" s="1" t="s">
        <v>200</v>
      </c>
      <c r="C950" s="203">
        <v>5.6</v>
      </c>
      <c r="D950" s="1" t="s">
        <v>493</v>
      </c>
    </row>
    <row r="951">
      <c r="A951" s="253">
        <v>45944.06859804398</v>
      </c>
      <c r="B951" s="1" t="s">
        <v>134</v>
      </c>
      <c r="C951" s="203">
        <v>3.4</v>
      </c>
      <c r="D951" s="1" t="s">
        <v>132</v>
      </c>
    </row>
    <row r="952">
      <c r="A952" s="253">
        <v>45944.06859804398</v>
      </c>
      <c r="B952" s="1" t="s">
        <v>162</v>
      </c>
      <c r="C952" s="203">
        <v>8.351999999999999</v>
      </c>
      <c r="D952" s="1" t="s">
        <v>395</v>
      </c>
    </row>
    <row r="953">
      <c r="A953" s="253">
        <v>45944.06859804398</v>
      </c>
      <c r="B953" s="1" t="s">
        <v>175</v>
      </c>
      <c r="C953" s="203">
        <v>6.957</v>
      </c>
      <c r="D953" s="1" t="s">
        <v>395</v>
      </c>
    </row>
    <row r="954">
      <c r="A954" s="253">
        <v>45944.06859804398</v>
      </c>
      <c r="B954" s="1" t="s">
        <v>148</v>
      </c>
      <c r="C954" s="203">
        <v>3.0</v>
      </c>
      <c r="D954" s="1" t="s">
        <v>238</v>
      </c>
    </row>
    <row r="955">
      <c r="A955" s="253">
        <v>45944.06859804398</v>
      </c>
      <c r="B955" s="1" t="s">
        <v>187</v>
      </c>
      <c r="C955" s="203">
        <v>5.498</v>
      </c>
      <c r="D955" s="1" t="s">
        <v>132</v>
      </c>
    </row>
    <row r="956">
      <c r="A956" s="253">
        <v>45944.06859804398</v>
      </c>
      <c r="B956" s="1" t="s">
        <v>234</v>
      </c>
      <c r="C956" s="203">
        <v>1.9</v>
      </c>
      <c r="D956" s="1" t="s">
        <v>311</v>
      </c>
    </row>
    <row r="957">
      <c r="A957" s="253">
        <v>45944.06859804398</v>
      </c>
      <c r="B957" s="1" t="s">
        <v>232</v>
      </c>
      <c r="C957" s="203">
        <v>6.617999999999999</v>
      </c>
      <c r="D957" s="1" t="s">
        <v>156</v>
      </c>
    </row>
    <row r="958">
      <c r="A958" s="253">
        <v>45944.06859804398</v>
      </c>
    </row>
    <row r="959">
      <c r="A959" s="253">
        <v>45944.06859804398</v>
      </c>
    </row>
    <row r="960">
      <c r="A960" s="253">
        <v>45944.06859804398</v>
      </c>
    </row>
    <row r="961">
      <c r="A961" s="1" t="s">
        <v>914</v>
      </c>
      <c r="B961" s="1" t="s">
        <v>13</v>
      </c>
      <c r="C961" s="1" t="s">
        <v>2047</v>
      </c>
      <c r="D961" s="1" t="s">
        <v>2048</v>
      </c>
    </row>
    <row r="962">
      <c r="A962" s="253">
        <v>45951.06845711806</v>
      </c>
      <c r="B962" s="1" t="s">
        <v>176</v>
      </c>
      <c r="C962" s="203">
        <v>3.9</v>
      </c>
      <c r="D962" s="1" t="s">
        <v>43</v>
      </c>
    </row>
    <row r="963">
      <c r="A963" s="253">
        <v>45951.06845711806</v>
      </c>
      <c r="B963" s="1" t="s">
        <v>164</v>
      </c>
      <c r="C963" s="203">
        <v>3.7</v>
      </c>
      <c r="D963" s="1" t="s">
        <v>193</v>
      </c>
    </row>
    <row r="964">
      <c r="A964" s="253">
        <v>45951.06845711806</v>
      </c>
      <c r="B964" s="1" t="s">
        <v>201</v>
      </c>
      <c r="C964" s="203">
        <v>10.128</v>
      </c>
      <c r="D964" s="1" t="s">
        <v>62</v>
      </c>
    </row>
    <row r="965">
      <c r="A965" s="253">
        <v>45951.06845711806</v>
      </c>
      <c r="B965" s="1" t="e">
        <v>#N/A</v>
      </c>
      <c r="C965" s="1" t="e">
        <v>#N/A</v>
      </c>
      <c r="D965" s="1" t="s">
        <v>2050</v>
      </c>
    </row>
    <row r="966">
      <c r="A966" s="253">
        <v>45951.06845711806</v>
      </c>
      <c r="B966" s="1" t="s">
        <v>189</v>
      </c>
      <c r="C966" s="203">
        <v>8.045</v>
      </c>
      <c r="D966" s="1" t="s">
        <v>43</v>
      </c>
    </row>
    <row r="967">
      <c r="A967" s="253">
        <v>45951.06845711806</v>
      </c>
      <c r="B967" s="1" t="s">
        <v>188</v>
      </c>
      <c r="C967" s="203">
        <v>6.2</v>
      </c>
      <c r="D967" s="1" t="s">
        <v>493</v>
      </c>
    </row>
    <row r="968">
      <c r="A968" s="253">
        <v>45951.06845711806</v>
      </c>
      <c r="B968" s="1" t="s">
        <v>202</v>
      </c>
      <c r="C968" s="203">
        <v>4.0</v>
      </c>
      <c r="D968" s="1" t="s">
        <v>156</v>
      </c>
    </row>
    <row r="969">
      <c r="A969" s="253">
        <v>45951.06845711806</v>
      </c>
      <c r="B969" s="1" t="s">
        <v>215</v>
      </c>
      <c r="C969" s="203">
        <v>5.1930000000000005</v>
      </c>
      <c r="D969" s="1" t="s">
        <v>132</v>
      </c>
    </row>
    <row r="970">
      <c r="A970" s="253">
        <v>45951.06845711806</v>
      </c>
      <c r="B970" s="1" t="s">
        <v>225</v>
      </c>
      <c r="C970" s="203">
        <v>5.8</v>
      </c>
      <c r="D970" s="1" t="s">
        <v>395</v>
      </c>
    </row>
    <row r="971">
      <c r="A971" s="253">
        <v>45951.06845711806</v>
      </c>
      <c r="B971" s="1" t="s">
        <v>45</v>
      </c>
      <c r="C971" s="203">
        <v>5.7</v>
      </c>
      <c r="D971" s="1" t="s">
        <v>43</v>
      </c>
    </row>
    <row r="972">
      <c r="A972" s="253">
        <v>45951.06845711806</v>
      </c>
      <c r="B972" s="1" t="s">
        <v>165</v>
      </c>
      <c r="C972" s="203">
        <v>4.798</v>
      </c>
      <c r="D972" s="1" t="s">
        <v>95</v>
      </c>
    </row>
    <row r="973">
      <c r="A973" s="253">
        <v>45951.06845711806</v>
      </c>
      <c r="B973" s="1" t="s">
        <v>124</v>
      </c>
      <c r="C973" s="203">
        <v>6.2989999999999995</v>
      </c>
      <c r="D973" s="1" t="s">
        <v>249</v>
      </c>
    </row>
    <row r="974">
      <c r="A974" s="253">
        <v>45951.06845711806</v>
      </c>
      <c r="B974" s="1" t="s">
        <v>177</v>
      </c>
      <c r="C974" s="203">
        <v>9.186</v>
      </c>
      <c r="D974" s="1" t="s">
        <v>95</v>
      </c>
    </row>
    <row r="975">
      <c r="A975" s="253">
        <v>45951.06845711806</v>
      </c>
      <c r="B975" s="1" t="s">
        <v>110</v>
      </c>
      <c r="C975" s="203">
        <v>1.7</v>
      </c>
      <c r="D975" s="1" t="s">
        <v>493</v>
      </c>
    </row>
    <row r="976">
      <c r="A976" s="253">
        <v>45951.06845711806</v>
      </c>
      <c r="B976" s="1" t="s">
        <v>166</v>
      </c>
      <c r="C976" s="203">
        <v>6.781</v>
      </c>
      <c r="D976" s="1" t="s">
        <v>224</v>
      </c>
    </row>
    <row r="977">
      <c r="A977" s="253">
        <v>45951.06845711806</v>
      </c>
      <c r="B977" s="1" t="s">
        <v>167</v>
      </c>
      <c r="C977" s="203">
        <v>6.242999999999999</v>
      </c>
      <c r="D977" s="1" t="s">
        <v>249</v>
      </c>
    </row>
    <row r="978">
      <c r="A978" s="253">
        <v>45951.06845711806</v>
      </c>
      <c r="B978" s="1" t="s">
        <v>226</v>
      </c>
      <c r="C978" s="203">
        <v>10.076</v>
      </c>
      <c r="D978" s="1" t="s">
        <v>224</v>
      </c>
    </row>
    <row r="979">
      <c r="A979" s="253">
        <v>45951.06845711806</v>
      </c>
      <c r="B979" s="1" t="s">
        <v>190</v>
      </c>
      <c r="C979" s="203">
        <v>6.3</v>
      </c>
      <c r="D979" s="1" t="s">
        <v>62</v>
      </c>
    </row>
    <row r="980">
      <c r="A980" s="253">
        <v>45951.06845711806</v>
      </c>
      <c r="B980" s="1" t="s">
        <v>168</v>
      </c>
      <c r="C980" s="203">
        <v>6.6690000000000005</v>
      </c>
      <c r="D980" s="1" t="s">
        <v>132</v>
      </c>
    </row>
    <row r="981">
      <c r="A981" s="253">
        <v>45951.06845711806</v>
      </c>
      <c r="B981" s="1" t="s">
        <v>159</v>
      </c>
      <c r="D981" s="1" t="s">
        <v>249</v>
      </c>
    </row>
    <row r="982">
      <c r="A982" s="253">
        <v>45951.06845711806</v>
      </c>
      <c r="B982" s="1" t="s">
        <v>98</v>
      </c>
      <c r="C982" s="203">
        <v>8.496</v>
      </c>
      <c r="D982" s="1" t="s">
        <v>238</v>
      </c>
    </row>
    <row r="983">
      <c r="A983" s="253">
        <v>45951.06845711806</v>
      </c>
      <c r="B983" s="1" t="s">
        <v>111</v>
      </c>
      <c r="C983" s="203">
        <v>5.9</v>
      </c>
      <c r="D983" s="1" t="s">
        <v>249</v>
      </c>
    </row>
    <row r="984">
      <c r="A984" s="253">
        <v>45951.06845711806</v>
      </c>
      <c r="B984" s="1" t="s">
        <v>223</v>
      </c>
      <c r="C984" s="203">
        <v>5.49</v>
      </c>
      <c r="D984" s="1" t="s">
        <v>156</v>
      </c>
    </row>
    <row r="985">
      <c r="A985" s="253">
        <v>45951.06845711806</v>
      </c>
      <c r="B985" s="1" t="s">
        <v>191</v>
      </c>
      <c r="C985" s="203">
        <v>5.1</v>
      </c>
      <c r="D985" s="1" t="s">
        <v>224</v>
      </c>
    </row>
    <row r="986">
      <c r="A986" s="253">
        <v>45951.06845711806</v>
      </c>
      <c r="B986" s="1" t="s">
        <v>178</v>
      </c>
      <c r="C986" s="203">
        <v>3.799</v>
      </c>
      <c r="D986" s="1" t="s">
        <v>62</v>
      </c>
    </row>
    <row r="987">
      <c r="A987" s="253">
        <v>45951.06845711806</v>
      </c>
      <c r="B987" s="1" t="s">
        <v>112</v>
      </c>
      <c r="C987" s="203">
        <v>7.351</v>
      </c>
      <c r="D987" s="1" t="s">
        <v>249</v>
      </c>
    </row>
    <row r="988">
      <c r="A988" s="253">
        <v>45951.06845711806</v>
      </c>
      <c r="B988" s="1" t="s">
        <v>100</v>
      </c>
      <c r="C988" s="203">
        <v>7.485</v>
      </c>
      <c r="D988" s="1" t="s">
        <v>95</v>
      </c>
    </row>
    <row r="989">
      <c r="A989" s="253">
        <v>45951.06845711806</v>
      </c>
      <c r="B989" s="1" t="s">
        <v>304</v>
      </c>
      <c r="C989" s="203">
        <v>3.4</v>
      </c>
      <c r="D989" s="1" t="s">
        <v>62</v>
      </c>
    </row>
    <row r="990">
      <c r="A990" s="253">
        <v>45951.06845711806</v>
      </c>
      <c r="B990" s="1" t="s">
        <v>150</v>
      </c>
      <c r="C990" s="203">
        <v>4.5</v>
      </c>
      <c r="D990" s="1" t="s">
        <v>193</v>
      </c>
    </row>
    <row r="991">
      <c r="A991" s="253">
        <v>45951.06845711806</v>
      </c>
      <c r="B991" s="1" t="s">
        <v>203</v>
      </c>
      <c r="C991" s="203">
        <v>4.899</v>
      </c>
      <c r="D991" s="1" t="s">
        <v>224</v>
      </c>
    </row>
    <row r="992">
      <c r="A992" s="253">
        <v>45951.06845711806</v>
      </c>
      <c r="B992" s="1" t="s">
        <v>545</v>
      </c>
      <c r="C992" s="203">
        <v>5.965</v>
      </c>
      <c r="D992" s="1" t="s">
        <v>132</v>
      </c>
    </row>
    <row r="993">
      <c r="A993" s="253">
        <v>45951.06845711806</v>
      </c>
      <c r="B993" s="1" t="s">
        <v>113</v>
      </c>
      <c r="C993" s="203">
        <v>6.2</v>
      </c>
      <c r="D993" s="1" t="s">
        <v>224</v>
      </c>
    </row>
    <row r="994">
      <c r="A994" s="253">
        <v>45951.06845711806</v>
      </c>
      <c r="B994" s="1" t="s">
        <v>179</v>
      </c>
      <c r="C994" s="203">
        <v>7.09</v>
      </c>
      <c r="D994" s="1" t="s">
        <v>395</v>
      </c>
    </row>
    <row r="995">
      <c r="A995" s="253">
        <v>45951.06845711806</v>
      </c>
      <c r="B995" s="1" t="s">
        <v>204</v>
      </c>
      <c r="C995" s="203">
        <v>10.011999999999999</v>
      </c>
      <c r="D995" s="1" t="s">
        <v>96</v>
      </c>
    </row>
    <row r="996">
      <c r="A996" s="253">
        <v>45951.06845711806</v>
      </c>
      <c r="B996" s="1" t="s">
        <v>216</v>
      </c>
      <c r="C996" s="203">
        <v>5.1</v>
      </c>
      <c r="D996" s="1" t="s">
        <v>224</v>
      </c>
    </row>
    <row r="997">
      <c r="A997" s="253">
        <v>45951.06845711806</v>
      </c>
      <c r="B997" s="1" t="s">
        <v>217</v>
      </c>
      <c r="C997" s="203">
        <v>2.0</v>
      </c>
      <c r="D997" s="1" t="s">
        <v>249</v>
      </c>
    </row>
    <row r="998">
      <c r="A998" s="253">
        <v>45951.06845711806</v>
      </c>
      <c r="B998" s="1" t="s">
        <v>114</v>
      </c>
      <c r="C998" s="203">
        <v>10.262</v>
      </c>
      <c r="D998" s="1" t="s">
        <v>395</v>
      </c>
    </row>
    <row r="999">
      <c r="A999" s="253">
        <v>45951.06845711806</v>
      </c>
      <c r="B999" s="1" t="s">
        <v>536</v>
      </c>
      <c r="C999" s="203">
        <v>7.779</v>
      </c>
      <c r="D999" s="1" t="s">
        <v>96</v>
      </c>
    </row>
    <row r="1000">
      <c r="A1000" s="253">
        <v>45951.06845711806</v>
      </c>
      <c r="B1000" s="1" t="s">
        <v>101</v>
      </c>
      <c r="C1000" s="203">
        <v>8.193</v>
      </c>
      <c r="D1000" s="1" t="s">
        <v>395</v>
      </c>
    </row>
    <row r="1001">
      <c r="A1001" s="253">
        <v>45951.06845711806</v>
      </c>
      <c r="B1001" s="1" t="s">
        <v>135</v>
      </c>
      <c r="C1001" s="203">
        <v>8.5</v>
      </c>
      <c r="D1001" s="1" t="s">
        <v>156</v>
      </c>
    </row>
    <row r="1002">
      <c r="A1002" s="253">
        <v>45951.06845711806</v>
      </c>
      <c r="B1002" s="1" t="s">
        <v>136</v>
      </c>
      <c r="C1002" s="203">
        <v>11.471</v>
      </c>
      <c r="D1002" s="1" t="s">
        <v>132</v>
      </c>
    </row>
    <row r="1003">
      <c r="A1003" s="253">
        <v>45951.06845711806</v>
      </c>
      <c r="B1003" s="1" t="s">
        <v>137</v>
      </c>
      <c r="C1003" s="203">
        <v>7.598</v>
      </c>
      <c r="D1003" s="1" t="s">
        <v>249</v>
      </c>
    </row>
    <row r="1004">
      <c r="A1004" s="253">
        <v>45951.06845711806</v>
      </c>
      <c r="B1004" s="1" t="s">
        <v>125</v>
      </c>
      <c r="C1004" s="203">
        <v>7.985</v>
      </c>
      <c r="D1004" s="1" t="s">
        <v>311</v>
      </c>
    </row>
    <row r="1005">
      <c r="A1005" s="253">
        <v>45951.06845711806</v>
      </c>
      <c r="B1005" s="1" t="s">
        <v>231</v>
      </c>
      <c r="C1005" s="203">
        <v>9.869</v>
      </c>
      <c r="D1005" s="1" t="s">
        <v>395</v>
      </c>
    </row>
    <row r="1006">
      <c r="A1006" s="253">
        <v>45951.06845711806</v>
      </c>
      <c r="B1006" s="1" t="s">
        <v>126</v>
      </c>
      <c r="C1006" s="203">
        <v>6.797</v>
      </c>
      <c r="D1006" s="1" t="s">
        <v>193</v>
      </c>
    </row>
    <row r="1007">
      <c r="A1007" s="253">
        <v>45951.06845711806</v>
      </c>
      <c r="B1007" s="1" t="s">
        <v>127</v>
      </c>
      <c r="C1007" s="203">
        <v>5.5969999999999995</v>
      </c>
      <c r="D1007" s="1" t="s">
        <v>62</v>
      </c>
    </row>
    <row r="1008">
      <c r="A1008" s="253">
        <v>45951.06845711806</v>
      </c>
      <c r="B1008" s="1" t="s">
        <v>170</v>
      </c>
      <c r="D1008" s="1" t="s">
        <v>493</v>
      </c>
    </row>
    <row r="1009">
      <c r="A1009" s="253">
        <v>45951.06845711806</v>
      </c>
      <c r="B1009" s="1" t="s">
        <v>205</v>
      </c>
      <c r="C1009" s="203">
        <v>4.4</v>
      </c>
      <c r="D1009" s="1" t="s">
        <v>493</v>
      </c>
    </row>
    <row r="1010">
      <c r="A1010" s="253">
        <v>45951.06845711806</v>
      </c>
      <c r="B1010" s="1" t="s">
        <v>227</v>
      </c>
      <c r="C1010" s="203">
        <v>5.3740000000000006</v>
      </c>
      <c r="D1010" s="1" t="s">
        <v>62</v>
      </c>
    </row>
    <row r="1011">
      <c r="A1011" s="253">
        <v>45951.06845711806</v>
      </c>
      <c r="B1011" s="1" t="s">
        <v>552</v>
      </c>
      <c r="C1011" s="203">
        <v>4.098999999999999</v>
      </c>
      <c r="D1011" s="1" t="s">
        <v>193</v>
      </c>
    </row>
    <row r="1012">
      <c r="A1012" s="253">
        <v>45951.06845711806</v>
      </c>
      <c r="B1012" s="1" t="s">
        <v>151</v>
      </c>
      <c r="C1012" s="203">
        <v>7.906</v>
      </c>
      <c r="D1012" s="1" t="s">
        <v>249</v>
      </c>
    </row>
    <row r="1013">
      <c r="A1013" s="253">
        <v>45951.06845711806</v>
      </c>
      <c r="B1013" s="1" t="s">
        <v>115</v>
      </c>
      <c r="C1013" s="203">
        <v>9.31</v>
      </c>
      <c r="D1013" s="1" t="s">
        <v>132</v>
      </c>
    </row>
    <row r="1014">
      <c r="A1014" s="253">
        <v>45951.06845711806</v>
      </c>
      <c r="B1014" s="1" t="s">
        <v>206</v>
      </c>
      <c r="C1014" s="203">
        <v>7.796</v>
      </c>
      <c r="D1014" s="1" t="s">
        <v>311</v>
      </c>
    </row>
    <row r="1015">
      <c r="A1015" s="253">
        <v>45951.06845711806</v>
      </c>
      <c r="B1015" s="1" t="s">
        <v>152</v>
      </c>
      <c r="C1015" s="203">
        <v>7.226999999999999</v>
      </c>
      <c r="D1015" s="1" t="s">
        <v>311</v>
      </c>
    </row>
    <row r="1016">
      <c r="A1016" s="253">
        <v>45951.06845711806</v>
      </c>
      <c r="B1016" s="1" t="s">
        <v>138</v>
      </c>
      <c r="C1016" s="203">
        <v>5.7</v>
      </c>
      <c r="D1016" s="1" t="s">
        <v>493</v>
      </c>
    </row>
    <row r="1017">
      <c r="A1017" s="253">
        <v>45951.06845711806</v>
      </c>
      <c r="B1017" s="1" t="s">
        <v>102</v>
      </c>
      <c r="C1017" s="203">
        <v>9.475999999999999</v>
      </c>
      <c r="D1017" s="1" t="s">
        <v>238</v>
      </c>
    </row>
    <row r="1018">
      <c r="A1018" s="253">
        <v>45951.06845711806</v>
      </c>
      <c r="B1018" s="1" t="s">
        <v>548</v>
      </c>
      <c r="C1018" s="203">
        <v>6.609</v>
      </c>
      <c r="D1018" s="1" t="s">
        <v>238</v>
      </c>
    </row>
    <row r="1019">
      <c r="A1019" s="253">
        <v>45951.06845711806</v>
      </c>
      <c r="B1019" s="1" t="s">
        <v>116</v>
      </c>
      <c r="C1019" s="203">
        <v>10.001</v>
      </c>
      <c r="D1019" s="1" t="s">
        <v>156</v>
      </c>
    </row>
    <row r="1020">
      <c r="A1020" s="253">
        <v>45951.06845711806</v>
      </c>
      <c r="B1020" s="1" t="s">
        <v>140</v>
      </c>
      <c r="C1020" s="203">
        <v>4.1</v>
      </c>
      <c r="D1020" s="1" t="s">
        <v>224</v>
      </c>
    </row>
    <row r="1021">
      <c r="A1021" s="253">
        <v>45951.06845711806</v>
      </c>
      <c r="B1021" s="1" t="s">
        <v>139</v>
      </c>
      <c r="C1021" s="203">
        <v>8.68</v>
      </c>
      <c r="D1021" s="1" t="s">
        <v>311</v>
      </c>
    </row>
    <row r="1022">
      <c r="A1022" s="253">
        <v>45951.06845711806</v>
      </c>
      <c r="B1022" s="1" t="s">
        <v>153</v>
      </c>
      <c r="C1022" s="203">
        <v>3.1</v>
      </c>
      <c r="D1022" s="1" t="s">
        <v>96</v>
      </c>
    </row>
    <row r="1023">
      <c r="A1023" s="253">
        <v>45951.06845711806</v>
      </c>
      <c r="B1023" s="1" t="s">
        <v>141</v>
      </c>
      <c r="C1023" s="203">
        <v>7.0</v>
      </c>
      <c r="D1023" s="1" t="s">
        <v>238</v>
      </c>
    </row>
    <row r="1024">
      <c r="A1024" s="253">
        <v>45951.06845711806</v>
      </c>
      <c r="B1024" s="1" t="s">
        <v>207</v>
      </c>
      <c r="C1024" s="203">
        <v>5.2</v>
      </c>
      <c r="D1024" s="1" t="s">
        <v>493</v>
      </c>
    </row>
    <row r="1025">
      <c r="A1025" s="253">
        <v>45951.06845711806</v>
      </c>
      <c r="B1025" s="1" t="s">
        <v>208</v>
      </c>
      <c r="C1025" s="203">
        <v>8.883000000000001</v>
      </c>
      <c r="D1025" s="1" t="s">
        <v>156</v>
      </c>
    </row>
    <row r="1026">
      <c r="A1026" s="253">
        <v>45951.06845711806</v>
      </c>
      <c r="B1026" s="1" t="s">
        <v>103</v>
      </c>
      <c r="C1026" s="203">
        <v>8.078</v>
      </c>
      <c r="D1026" s="1" t="s">
        <v>224</v>
      </c>
    </row>
    <row r="1027">
      <c r="A1027" s="253">
        <v>45951.06845711806</v>
      </c>
      <c r="B1027" s="1" t="s">
        <v>117</v>
      </c>
      <c r="C1027" s="203">
        <v>6.0</v>
      </c>
      <c r="D1027" s="1" t="s">
        <v>95</v>
      </c>
    </row>
    <row r="1028">
      <c r="A1028" s="253">
        <v>45951.06845711806</v>
      </c>
      <c r="B1028" s="1" t="s">
        <v>142</v>
      </c>
      <c r="C1028" s="203">
        <v>7.5</v>
      </c>
      <c r="D1028" s="1" t="s">
        <v>96</v>
      </c>
    </row>
    <row r="1029">
      <c r="A1029" s="253">
        <v>45951.06845711806</v>
      </c>
      <c r="B1029" s="1" t="s">
        <v>181</v>
      </c>
      <c r="C1029" s="203">
        <v>1.8</v>
      </c>
      <c r="D1029" s="1" t="s">
        <v>156</v>
      </c>
    </row>
    <row r="1030">
      <c r="A1030" s="253">
        <v>45951.06845711806</v>
      </c>
      <c r="B1030" s="1" t="s">
        <v>182</v>
      </c>
      <c r="C1030" s="203">
        <v>6.595</v>
      </c>
      <c r="D1030" s="1" t="s">
        <v>193</v>
      </c>
    </row>
    <row r="1031">
      <c r="A1031" s="253">
        <v>45951.06845711806</v>
      </c>
      <c r="B1031" s="1" t="s">
        <v>228</v>
      </c>
      <c r="C1031" s="203">
        <v>5.098</v>
      </c>
      <c r="D1031" s="1" t="s">
        <v>43</v>
      </c>
    </row>
    <row r="1032">
      <c r="A1032" s="253">
        <v>45951.06845711806</v>
      </c>
      <c r="B1032" s="1" t="s">
        <v>118</v>
      </c>
      <c r="C1032" s="203">
        <v>3.5</v>
      </c>
      <c r="D1032" s="1" t="s">
        <v>43</v>
      </c>
    </row>
    <row r="1033">
      <c r="A1033" s="253">
        <v>45951.06845711806</v>
      </c>
      <c r="B1033" s="1" t="s">
        <v>154</v>
      </c>
      <c r="C1033" s="203">
        <v>10.298</v>
      </c>
      <c r="D1033" s="1" t="s">
        <v>156</v>
      </c>
    </row>
    <row r="1034">
      <c r="A1034" s="253">
        <v>45951.06845711806</v>
      </c>
      <c r="B1034" s="1" t="s">
        <v>172</v>
      </c>
      <c r="C1034" s="203">
        <v>3.7</v>
      </c>
      <c r="D1034" s="1" t="s">
        <v>311</v>
      </c>
    </row>
    <row r="1035">
      <c r="A1035" s="253">
        <v>45951.06845711806</v>
      </c>
      <c r="B1035" s="1" t="s">
        <v>143</v>
      </c>
      <c r="C1035" s="203">
        <v>6.4</v>
      </c>
      <c r="D1035" s="1" t="s">
        <v>493</v>
      </c>
    </row>
    <row r="1036">
      <c r="A1036" s="253">
        <v>45951.06845711806</v>
      </c>
      <c r="B1036" s="1" t="s">
        <v>229</v>
      </c>
      <c r="C1036" s="203">
        <v>9.7</v>
      </c>
      <c r="D1036" s="1" t="s">
        <v>96</v>
      </c>
    </row>
    <row r="1037">
      <c r="A1037" s="253">
        <v>45951.06845711806</v>
      </c>
      <c r="B1037" s="1" t="s">
        <v>173</v>
      </c>
      <c r="C1037" s="203">
        <v>7.713</v>
      </c>
      <c r="D1037" s="1" t="s">
        <v>96</v>
      </c>
    </row>
    <row r="1038">
      <c r="A1038" s="253">
        <v>45951.06845711806</v>
      </c>
      <c r="B1038" s="1" t="s">
        <v>144</v>
      </c>
      <c r="C1038" s="203">
        <v>11.549999999999999</v>
      </c>
      <c r="D1038" s="1" t="s">
        <v>193</v>
      </c>
    </row>
    <row r="1039">
      <c r="A1039" s="253">
        <v>45951.06845711806</v>
      </c>
      <c r="B1039" s="1" t="s">
        <v>128</v>
      </c>
      <c r="C1039" s="203">
        <v>8.48</v>
      </c>
      <c r="D1039" s="1" t="s">
        <v>95</v>
      </c>
    </row>
    <row r="1040">
      <c r="A1040" s="253">
        <v>45951.06845711806</v>
      </c>
      <c r="B1040" s="1" t="s">
        <v>129</v>
      </c>
      <c r="C1040" s="203">
        <v>1.3</v>
      </c>
      <c r="D1040" s="1" t="s">
        <v>96</v>
      </c>
    </row>
    <row r="1041">
      <c r="A1041" s="253">
        <v>45951.06845711806</v>
      </c>
      <c r="B1041" s="1" t="s">
        <v>155</v>
      </c>
      <c r="C1041" s="203">
        <v>8.094999999999999</v>
      </c>
      <c r="D1041" s="1" t="s">
        <v>62</v>
      </c>
    </row>
    <row r="1042">
      <c r="A1042" s="253">
        <v>45951.06845711806</v>
      </c>
      <c r="B1042" s="1" t="s">
        <v>209</v>
      </c>
      <c r="C1042" s="203">
        <v>9.765</v>
      </c>
      <c r="D1042" s="1" t="s">
        <v>249</v>
      </c>
    </row>
    <row r="1043">
      <c r="A1043" s="253">
        <v>45951.06845711806</v>
      </c>
      <c r="B1043" s="1" t="s">
        <v>192</v>
      </c>
      <c r="C1043" s="203">
        <v>10.218</v>
      </c>
      <c r="D1043" s="1" t="s">
        <v>311</v>
      </c>
    </row>
    <row r="1044">
      <c r="A1044" s="253">
        <v>45951.06845711806</v>
      </c>
      <c r="B1044" s="1" t="s">
        <v>194</v>
      </c>
      <c r="C1044" s="203">
        <v>3.2</v>
      </c>
      <c r="D1044" s="1" t="s">
        <v>193</v>
      </c>
    </row>
    <row r="1045">
      <c r="A1045" s="253">
        <v>45951.06845711806</v>
      </c>
      <c r="B1045" s="1" t="s">
        <v>145</v>
      </c>
      <c r="C1045" s="203">
        <v>5.7</v>
      </c>
      <c r="D1045" s="1" t="s">
        <v>43</v>
      </c>
    </row>
    <row r="1046">
      <c r="A1046" s="253">
        <v>45951.06845711806</v>
      </c>
      <c r="B1046" s="1" t="s">
        <v>119</v>
      </c>
      <c r="C1046" s="203">
        <v>7.179</v>
      </c>
      <c r="D1046" s="1" t="s">
        <v>238</v>
      </c>
    </row>
    <row r="1047">
      <c r="A1047" s="253">
        <v>45951.06845711806</v>
      </c>
      <c r="B1047" s="1" t="s">
        <v>146</v>
      </c>
      <c r="C1047" s="203">
        <v>2.7</v>
      </c>
      <c r="D1047" s="1" t="s">
        <v>493</v>
      </c>
    </row>
    <row r="1048">
      <c r="A1048" s="253">
        <v>45951.06845711806</v>
      </c>
      <c r="B1048" s="1" t="s">
        <v>157</v>
      </c>
      <c r="C1048" s="203">
        <v>3.9</v>
      </c>
      <c r="D1048" s="1" t="s">
        <v>43</v>
      </c>
    </row>
    <row r="1049">
      <c r="A1049" s="253">
        <v>45951.06845711806</v>
      </c>
      <c r="B1049" s="1" t="s">
        <v>147</v>
      </c>
      <c r="C1049" s="203">
        <v>4.4</v>
      </c>
      <c r="D1049" s="1" t="s">
        <v>395</v>
      </c>
    </row>
    <row r="1050">
      <c r="A1050" s="253">
        <v>45951.06845711806</v>
      </c>
      <c r="B1050" s="1" t="s">
        <v>183</v>
      </c>
      <c r="C1050" s="203">
        <v>8.498999999999999</v>
      </c>
      <c r="D1050" s="1" t="s">
        <v>249</v>
      </c>
    </row>
    <row r="1051">
      <c r="A1051" s="253">
        <v>45951.06845711806</v>
      </c>
      <c r="B1051" s="1" t="s">
        <v>549</v>
      </c>
      <c r="C1051" s="203">
        <v>4.798</v>
      </c>
      <c r="D1051" s="1" t="s">
        <v>238</v>
      </c>
    </row>
    <row r="1052">
      <c r="A1052" s="253">
        <v>45951.06845711806</v>
      </c>
      <c r="B1052" s="1" t="s">
        <v>104</v>
      </c>
      <c r="C1052" s="203">
        <v>8.25</v>
      </c>
      <c r="D1052" s="1" t="s">
        <v>193</v>
      </c>
    </row>
    <row r="1053">
      <c r="A1053" s="253">
        <v>45951.06845711806</v>
      </c>
      <c r="B1053" s="1" t="s">
        <v>220</v>
      </c>
      <c r="C1053" s="203">
        <v>3.6</v>
      </c>
      <c r="D1053" s="1" t="s">
        <v>238</v>
      </c>
    </row>
    <row r="1054">
      <c r="A1054" s="253">
        <v>45951.06845711806</v>
      </c>
      <c r="B1054" s="1" t="s">
        <v>210</v>
      </c>
      <c r="C1054" s="203">
        <v>5.1</v>
      </c>
      <c r="D1054" s="1" t="s">
        <v>132</v>
      </c>
    </row>
    <row r="1055">
      <c r="A1055" s="253">
        <v>45951.06845711806</v>
      </c>
      <c r="B1055" s="1" t="s">
        <v>105</v>
      </c>
      <c r="C1055" s="203">
        <v>10.018</v>
      </c>
      <c r="D1055" s="1" t="s">
        <v>96</v>
      </c>
    </row>
    <row r="1056">
      <c r="A1056" s="253">
        <v>45951.06845711806</v>
      </c>
      <c r="B1056" s="1" t="s">
        <v>546</v>
      </c>
      <c r="C1056" s="203">
        <v>8.114</v>
      </c>
      <c r="D1056" s="1" t="s">
        <v>493</v>
      </c>
    </row>
    <row r="1057">
      <c r="A1057" s="253">
        <v>45951.06845711806</v>
      </c>
      <c r="B1057" s="1" t="s">
        <v>195</v>
      </c>
      <c r="C1057" s="203">
        <v>4.5</v>
      </c>
      <c r="D1057" s="1" t="s">
        <v>493</v>
      </c>
    </row>
    <row r="1058">
      <c r="A1058" s="253">
        <v>45951.06845711806</v>
      </c>
      <c r="B1058" s="1" t="s">
        <v>120</v>
      </c>
      <c r="C1058" s="203">
        <v>4.7</v>
      </c>
      <c r="D1058" s="1" t="s">
        <v>493</v>
      </c>
    </row>
    <row r="1059">
      <c r="A1059" s="253">
        <v>45951.06845711806</v>
      </c>
      <c r="B1059" s="1" t="s">
        <v>130</v>
      </c>
      <c r="C1059" s="203">
        <v>7.978</v>
      </c>
      <c r="D1059" s="1" t="s">
        <v>95</v>
      </c>
    </row>
    <row r="1060">
      <c r="A1060" s="253">
        <v>45951.06845711806</v>
      </c>
      <c r="B1060" s="1" t="s">
        <v>106</v>
      </c>
      <c r="C1060" s="203">
        <v>6.0</v>
      </c>
      <c r="D1060" s="1" t="s">
        <v>493</v>
      </c>
    </row>
    <row r="1061">
      <c r="A1061" s="253">
        <v>45951.06845711806</v>
      </c>
      <c r="B1061" s="1" t="s">
        <v>211</v>
      </c>
      <c r="C1061" s="203">
        <v>8.497</v>
      </c>
      <c r="D1061" s="1" t="s">
        <v>193</v>
      </c>
    </row>
    <row r="1062">
      <c r="A1062" s="253">
        <v>45951.06845711806</v>
      </c>
      <c r="B1062" s="1" t="s">
        <v>539</v>
      </c>
      <c r="C1062" s="203">
        <v>10.113</v>
      </c>
      <c r="D1062" s="1" t="s">
        <v>238</v>
      </c>
    </row>
    <row r="1063">
      <c r="A1063" s="253">
        <v>45951.06845711806</v>
      </c>
      <c r="B1063" s="1" t="s">
        <v>131</v>
      </c>
      <c r="C1063" s="203">
        <v>8.437</v>
      </c>
      <c r="D1063" s="1" t="s">
        <v>132</v>
      </c>
    </row>
    <row r="1064">
      <c r="A1064" s="253">
        <v>45951.06845711806</v>
      </c>
      <c r="B1064" s="1" t="s">
        <v>221</v>
      </c>
      <c r="C1064" s="203">
        <v>6.199</v>
      </c>
      <c r="D1064" s="1" t="s">
        <v>95</v>
      </c>
    </row>
    <row r="1065">
      <c r="A1065" s="253">
        <v>45951.06845711806</v>
      </c>
      <c r="B1065" s="1" t="s">
        <v>133</v>
      </c>
      <c r="C1065" s="203">
        <v>9.999</v>
      </c>
      <c r="D1065" s="1" t="s">
        <v>43</v>
      </c>
    </row>
    <row r="1066">
      <c r="A1066" s="253">
        <v>45951.06845711806</v>
      </c>
      <c r="B1066" s="1" t="s">
        <v>174</v>
      </c>
      <c r="C1066" s="203">
        <v>7.847</v>
      </c>
      <c r="D1066" s="1" t="s">
        <v>156</v>
      </c>
    </row>
    <row r="1067">
      <c r="A1067" s="253">
        <v>45951.06845711806</v>
      </c>
      <c r="B1067" s="1" t="s">
        <v>222</v>
      </c>
      <c r="C1067" s="203">
        <v>8.112</v>
      </c>
      <c r="D1067" s="1" t="s">
        <v>96</v>
      </c>
    </row>
    <row r="1068">
      <c r="A1068" s="253">
        <v>45951.06845711806</v>
      </c>
      <c r="B1068" s="1" t="s">
        <v>107</v>
      </c>
      <c r="C1068" s="203">
        <v>9.445</v>
      </c>
      <c r="D1068" s="1" t="s">
        <v>132</v>
      </c>
    </row>
    <row r="1069">
      <c r="A1069" s="253">
        <v>45951.06845711806</v>
      </c>
      <c r="B1069" s="1" t="s">
        <v>108</v>
      </c>
      <c r="C1069" s="203">
        <v>3.6</v>
      </c>
      <c r="D1069" s="1" t="s">
        <v>493</v>
      </c>
    </row>
    <row r="1070">
      <c r="A1070" s="253">
        <v>45951.06845711806</v>
      </c>
      <c r="B1070" s="1" t="s">
        <v>163</v>
      </c>
      <c r="C1070" s="203">
        <v>4.3</v>
      </c>
      <c r="D1070" s="1" t="s">
        <v>62</v>
      </c>
    </row>
    <row r="1071">
      <c r="A1071" s="253">
        <v>45951.06845711806</v>
      </c>
      <c r="B1071" s="1" t="s">
        <v>109</v>
      </c>
      <c r="C1071" s="203">
        <v>6.3</v>
      </c>
      <c r="D1071" s="1" t="s">
        <v>156</v>
      </c>
    </row>
    <row r="1072">
      <c r="A1072" s="253">
        <v>45951.06845711806</v>
      </c>
      <c r="B1072" s="1" t="s">
        <v>196</v>
      </c>
      <c r="C1072" s="203">
        <v>3.7</v>
      </c>
      <c r="D1072" s="1" t="s">
        <v>62</v>
      </c>
    </row>
    <row r="1073">
      <c r="A1073" s="253">
        <v>45951.06845711806</v>
      </c>
      <c r="B1073" s="1" t="s">
        <v>99</v>
      </c>
      <c r="C1073" s="203">
        <v>8.5</v>
      </c>
      <c r="D1073" s="1" t="s">
        <v>395</v>
      </c>
    </row>
    <row r="1074">
      <c r="A1074" s="253">
        <v>45951.06845711806</v>
      </c>
      <c r="B1074" s="1" t="s">
        <v>219</v>
      </c>
      <c r="C1074" s="203">
        <v>4.0</v>
      </c>
      <c r="D1074" s="1" t="s">
        <v>493</v>
      </c>
    </row>
    <row r="1075">
      <c r="A1075" s="253">
        <v>45951.06845711806</v>
      </c>
      <c r="B1075" s="1" t="s">
        <v>527</v>
      </c>
      <c r="D1075" s="1" t="s">
        <v>43</v>
      </c>
    </row>
    <row r="1076">
      <c r="A1076" s="253">
        <v>45951.06845711806</v>
      </c>
      <c r="B1076" s="1" t="s">
        <v>185</v>
      </c>
      <c r="C1076" s="203">
        <v>9.664000000000001</v>
      </c>
      <c r="D1076" s="1" t="s">
        <v>224</v>
      </c>
    </row>
    <row r="1077">
      <c r="A1077" s="253">
        <v>45951.06845711806</v>
      </c>
      <c r="B1077" s="1" t="s">
        <v>197</v>
      </c>
      <c r="C1077" s="203">
        <v>8.683</v>
      </c>
      <c r="D1077" s="1" t="s">
        <v>95</v>
      </c>
    </row>
    <row r="1078">
      <c r="A1078" s="253">
        <v>45951.06845711806</v>
      </c>
      <c r="B1078" s="1" t="s">
        <v>186</v>
      </c>
      <c r="C1078" s="203">
        <v>6.289</v>
      </c>
      <c r="D1078" s="1" t="s">
        <v>311</v>
      </c>
    </row>
    <row r="1079">
      <c r="A1079" s="253">
        <v>45951.06845711806</v>
      </c>
      <c r="B1079" s="1" t="s">
        <v>198</v>
      </c>
      <c r="C1079" s="203">
        <v>8.736</v>
      </c>
      <c r="D1079" s="1" t="s">
        <v>95</v>
      </c>
    </row>
    <row r="1080">
      <c r="A1080" s="253">
        <v>45951.06845711806</v>
      </c>
      <c r="B1080" s="1" t="s">
        <v>160</v>
      </c>
      <c r="C1080" s="203">
        <v>4.196000000000001</v>
      </c>
      <c r="D1080" s="1" t="s">
        <v>238</v>
      </c>
    </row>
    <row r="1081">
      <c r="A1081" s="253">
        <v>45951.06845711806</v>
      </c>
      <c r="B1081" s="1" t="s">
        <v>161</v>
      </c>
      <c r="C1081" s="203">
        <v>5.4</v>
      </c>
      <c r="D1081" s="1" t="s">
        <v>311</v>
      </c>
    </row>
    <row r="1082">
      <c r="A1082" s="253">
        <v>45951.06845711806</v>
      </c>
      <c r="B1082" s="1" t="s">
        <v>213</v>
      </c>
      <c r="C1082" s="203">
        <v>8.788</v>
      </c>
      <c r="D1082" s="1" t="s">
        <v>395</v>
      </c>
    </row>
    <row r="1083">
      <c r="A1083" s="253">
        <v>45951.06845711806</v>
      </c>
      <c r="B1083" s="1" t="s">
        <v>121</v>
      </c>
      <c r="C1083" s="203">
        <v>9.546</v>
      </c>
      <c r="D1083" s="1" t="s">
        <v>96</v>
      </c>
    </row>
    <row r="1084">
      <c r="A1084" s="253">
        <v>45951.06845711806</v>
      </c>
      <c r="B1084" s="1" t="s">
        <v>122</v>
      </c>
      <c r="C1084" s="203">
        <v>3.5</v>
      </c>
      <c r="D1084" s="1" t="s">
        <v>311</v>
      </c>
    </row>
    <row r="1085">
      <c r="A1085" s="253">
        <v>45951.06845711806</v>
      </c>
      <c r="B1085" s="1" t="s">
        <v>123</v>
      </c>
      <c r="C1085" s="203">
        <v>6.5</v>
      </c>
      <c r="D1085" s="1" t="s">
        <v>493</v>
      </c>
    </row>
    <row r="1086">
      <c r="A1086" s="253">
        <v>45951.06845711806</v>
      </c>
      <c r="B1086" s="1" t="s">
        <v>199</v>
      </c>
      <c r="C1086" s="203">
        <v>8.2</v>
      </c>
      <c r="D1086" s="1" t="s">
        <v>62</v>
      </c>
    </row>
    <row r="1087">
      <c r="A1087" s="253">
        <v>45951.06845711806</v>
      </c>
      <c r="B1087" s="1" t="s">
        <v>200</v>
      </c>
      <c r="C1087" s="203">
        <v>5.6</v>
      </c>
      <c r="D1087" s="1" t="s">
        <v>493</v>
      </c>
    </row>
    <row r="1088">
      <c r="A1088" s="253">
        <v>45951.06845711806</v>
      </c>
      <c r="B1088" s="1" t="s">
        <v>134</v>
      </c>
      <c r="C1088" s="203">
        <v>2.9</v>
      </c>
      <c r="D1088" s="1" t="s">
        <v>132</v>
      </c>
    </row>
    <row r="1089">
      <c r="A1089" s="253">
        <v>45951.06845711806</v>
      </c>
      <c r="B1089" s="1" t="s">
        <v>162</v>
      </c>
      <c r="C1089" s="203">
        <v>7.1979999999999995</v>
      </c>
      <c r="D1089" s="1" t="s">
        <v>395</v>
      </c>
    </row>
    <row r="1090">
      <c r="A1090" s="253">
        <v>45951.06845711806</v>
      </c>
      <c r="B1090" s="1" t="s">
        <v>175</v>
      </c>
      <c r="C1090" s="203">
        <v>7.0409999999999995</v>
      </c>
      <c r="D1090" s="1" t="s">
        <v>395</v>
      </c>
    </row>
    <row r="1091">
      <c r="A1091" s="253">
        <v>45951.06845711806</v>
      </c>
      <c r="B1091" s="1" t="s">
        <v>148</v>
      </c>
      <c r="C1091" s="203">
        <v>2.9</v>
      </c>
      <c r="D1091" s="1" t="s">
        <v>238</v>
      </c>
    </row>
    <row r="1092">
      <c r="A1092" s="253">
        <v>45951.06845711806</v>
      </c>
      <c r="B1092" s="1" t="s">
        <v>187</v>
      </c>
      <c r="C1092" s="203">
        <v>5.1</v>
      </c>
      <c r="D1092" s="1" t="s">
        <v>132</v>
      </c>
    </row>
    <row r="1093">
      <c r="A1093" s="253">
        <v>45951.06845711806</v>
      </c>
      <c r="B1093" s="1" t="s">
        <v>234</v>
      </c>
      <c r="C1093" s="203">
        <v>1.2</v>
      </c>
      <c r="D1093" s="1" t="s">
        <v>311</v>
      </c>
    </row>
    <row r="1094">
      <c r="A1094" s="253">
        <v>45951.06845711806</v>
      </c>
      <c r="B1094" s="1" t="s">
        <v>232</v>
      </c>
      <c r="C1094" s="203">
        <v>7.098000000000001</v>
      </c>
      <c r="D1094" s="1" t="s">
        <v>156</v>
      </c>
    </row>
    <row r="1095">
      <c r="A1095" s="253">
        <v>45951.06845711806</v>
      </c>
    </row>
    <row r="1096">
      <c r="A1096" s="253">
        <v>45951.06845711806</v>
      </c>
    </row>
    <row r="1097">
      <c r="A1097" s="253">
        <v>45951.06845711806</v>
      </c>
    </row>
    <row r="1098">
      <c r="A1098" s="1" t="s">
        <v>914</v>
      </c>
      <c r="B1098" s="1" t="s">
        <v>13</v>
      </c>
      <c r="C1098" s="1" t="s">
        <v>2047</v>
      </c>
      <c r="D1098" s="1" t="s">
        <v>2048</v>
      </c>
    </row>
    <row r="1099">
      <c r="A1099" s="253">
        <v>45958.06845685185</v>
      </c>
      <c r="B1099" s="1" t="s">
        <v>176</v>
      </c>
      <c r="C1099" s="203">
        <v>3.9</v>
      </c>
      <c r="D1099" s="1" t="s">
        <v>43</v>
      </c>
    </row>
    <row r="1100">
      <c r="A1100" s="253">
        <v>45958.06845685185</v>
      </c>
      <c r="B1100" s="1" t="s">
        <v>164</v>
      </c>
      <c r="C1100" s="203">
        <v>4.6</v>
      </c>
      <c r="D1100" s="1" t="s">
        <v>193</v>
      </c>
    </row>
    <row r="1101">
      <c r="A1101" s="253">
        <v>45958.06845685185</v>
      </c>
      <c r="B1101" s="1" t="s">
        <v>201</v>
      </c>
      <c r="C1101" s="203">
        <v>10.331</v>
      </c>
      <c r="D1101" s="1" t="s">
        <v>62</v>
      </c>
    </row>
    <row r="1102">
      <c r="A1102" s="253">
        <v>45958.06845685185</v>
      </c>
      <c r="B1102" s="1" t="e">
        <v>#N/A</v>
      </c>
      <c r="C1102" s="1" t="e">
        <v>#N/A</v>
      </c>
      <c r="D1102" s="1" t="s">
        <v>2050</v>
      </c>
    </row>
    <row r="1103">
      <c r="A1103" s="253">
        <v>45958.06845685185</v>
      </c>
      <c r="B1103" s="1" t="s">
        <v>189</v>
      </c>
      <c r="C1103" s="203">
        <v>7.296</v>
      </c>
      <c r="D1103" s="1" t="s">
        <v>43</v>
      </c>
    </row>
    <row r="1104">
      <c r="A1104" s="253">
        <v>45958.06845685185</v>
      </c>
      <c r="B1104" s="1" t="s">
        <v>188</v>
      </c>
      <c r="C1104" s="203">
        <v>6.5</v>
      </c>
      <c r="D1104" s="1" t="s">
        <v>493</v>
      </c>
    </row>
    <row r="1105">
      <c r="A1105" s="253">
        <v>45958.06845685185</v>
      </c>
      <c r="B1105" s="1" t="s">
        <v>202</v>
      </c>
      <c r="C1105" s="203">
        <v>3.5</v>
      </c>
      <c r="D1105" s="1" t="s">
        <v>156</v>
      </c>
    </row>
    <row r="1106">
      <c r="A1106" s="253">
        <v>45958.06845685185</v>
      </c>
      <c r="B1106" s="1" t="s">
        <v>215</v>
      </c>
      <c r="C1106" s="203">
        <v>5.590999999999999</v>
      </c>
      <c r="D1106" s="1" t="s">
        <v>132</v>
      </c>
    </row>
    <row r="1107">
      <c r="A1107" s="253">
        <v>45958.06845685185</v>
      </c>
      <c r="B1107" s="1" t="s">
        <v>225</v>
      </c>
      <c r="C1107" s="203">
        <v>5.8</v>
      </c>
      <c r="D1107" s="1" t="s">
        <v>395</v>
      </c>
    </row>
    <row r="1108">
      <c r="A1108" s="253">
        <v>45958.06845685185</v>
      </c>
      <c r="B1108" s="1" t="s">
        <v>45</v>
      </c>
      <c r="C1108" s="203">
        <v>6.3</v>
      </c>
      <c r="D1108" s="1" t="s">
        <v>43</v>
      </c>
    </row>
    <row r="1109">
      <c r="A1109" s="253">
        <v>45958.06845685185</v>
      </c>
      <c r="B1109" s="1" t="s">
        <v>165</v>
      </c>
      <c r="C1109" s="203">
        <v>4.399</v>
      </c>
      <c r="D1109" s="1" t="s">
        <v>95</v>
      </c>
    </row>
    <row r="1110">
      <c r="A1110" s="253">
        <v>45958.06845685185</v>
      </c>
      <c r="B1110" s="1" t="s">
        <v>124</v>
      </c>
      <c r="C1110" s="203">
        <v>5.7</v>
      </c>
      <c r="D1110" s="1" t="s">
        <v>249</v>
      </c>
    </row>
    <row r="1111">
      <c r="A1111" s="253">
        <v>45958.06845685185</v>
      </c>
      <c r="B1111" s="1" t="s">
        <v>177</v>
      </c>
      <c r="C1111" s="203">
        <v>9.314</v>
      </c>
      <c r="D1111" s="1" t="s">
        <v>95</v>
      </c>
    </row>
    <row r="1112">
      <c r="A1112" s="253">
        <v>45958.06845685185</v>
      </c>
      <c r="B1112" s="1" t="s">
        <v>110</v>
      </c>
      <c r="C1112" s="203">
        <v>1.6</v>
      </c>
      <c r="D1112" s="1" t="s">
        <v>493</v>
      </c>
    </row>
    <row r="1113">
      <c r="A1113" s="253">
        <v>45958.06845685185</v>
      </c>
      <c r="B1113" s="1" t="s">
        <v>166</v>
      </c>
      <c r="C1113" s="203">
        <v>5.9</v>
      </c>
      <c r="D1113" s="1" t="s">
        <v>224</v>
      </c>
    </row>
    <row r="1114">
      <c r="A1114" s="253">
        <v>45958.06845685185</v>
      </c>
      <c r="B1114" s="1" t="s">
        <v>167</v>
      </c>
      <c r="C1114" s="203">
        <v>5.184</v>
      </c>
      <c r="D1114" s="1" t="s">
        <v>249</v>
      </c>
    </row>
    <row r="1115">
      <c r="A1115" s="253">
        <v>45958.06845685185</v>
      </c>
      <c r="B1115" s="1" t="s">
        <v>226</v>
      </c>
      <c r="C1115" s="203">
        <v>10.598</v>
      </c>
      <c r="D1115" s="1" t="s">
        <v>224</v>
      </c>
    </row>
    <row r="1116">
      <c r="A1116" s="253">
        <v>45958.06845685185</v>
      </c>
      <c r="B1116" s="1" t="s">
        <v>190</v>
      </c>
      <c r="C1116" s="203">
        <v>6.1</v>
      </c>
      <c r="D1116" s="1" t="s">
        <v>62</v>
      </c>
    </row>
    <row r="1117">
      <c r="A1117" s="253">
        <v>45958.06845685185</v>
      </c>
      <c r="B1117" s="1" t="s">
        <v>168</v>
      </c>
      <c r="C1117" s="203">
        <v>6.958</v>
      </c>
      <c r="D1117" s="1" t="s">
        <v>132</v>
      </c>
    </row>
    <row r="1118">
      <c r="A1118" s="253">
        <v>45958.06845685185</v>
      </c>
      <c r="B1118" s="1" t="s">
        <v>159</v>
      </c>
      <c r="D1118" s="1" t="s">
        <v>249</v>
      </c>
    </row>
    <row r="1119">
      <c r="A1119" s="253">
        <v>45958.06845685185</v>
      </c>
      <c r="B1119" s="1" t="s">
        <v>98</v>
      </c>
      <c r="C1119" s="203">
        <v>8.779</v>
      </c>
      <c r="D1119" s="1" t="s">
        <v>238</v>
      </c>
    </row>
    <row r="1120">
      <c r="A1120" s="253">
        <v>45958.06845685185</v>
      </c>
      <c r="B1120" s="1" t="s">
        <v>111</v>
      </c>
      <c r="C1120" s="203">
        <v>5.9</v>
      </c>
      <c r="D1120" s="1" t="s">
        <v>249</v>
      </c>
    </row>
    <row r="1121">
      <c r="A1121" s="253">
        <v>45958.06845685185</v>
      </c>
      <c r="B1121" s="1" t="s">
        <v>223</v>
      </c>
      <c r="C1121" s="203">
        <v>5.491</v>
      </c>
      <c r="D1121" s="1" t="s">
        <v>156</v>
      </c>
    </row>
    <row r="1122">
      <c r="A1122" s="253">
        <v>45958.06845685185</v>
      </c>
      <c r="B1122" s="1" t="s">
        <v>191</v>
      </c>
      <c r="C1122" s="203">
        <v>4.7</v>
      </c>
      <c r="D1122" s="1" t="s">
        <v>224</v>
      </c>
    </row>
    <row r="1123">
      <c r="A1123" s="253">
        <v>45958.06845685185</v>
      </c>
      <c r="B1123" s="1" t="s">
        <v>178</v>
      </c>
      <c r="C1123" s="203">
        <v>3.1</v>
      </c>
      <c r="D1123" s="1" t="s">
        <v>62</v>
      </c>
    </row>
    <row r="1124">
      <c r="A1124" s="253">
        <v>45958.06845685185</v>
      </c>
      <c r="B1124" s="1" t="s">
        <v>112</v>
      </c>
      <c r="C1124" s="203">
        <v>7.354</v>
      </c>
      <c r="D1124" s="1" t="s">
        <v>249</v>
      </c>
    </row>
    <row r="1125">
      <c r="A1125" s="253">
        <v>45958.06845685185</v>
      </c>
      <c r="B1125" s="1" t="s">
        <v>100</v>
      </c>
      <c r="C1125" s="203">
        <v>7.582</v>
      </c>
      <c r="D1125" s="1" t="s">
        <v>95</v>
      </c>
    </row>
    <row r="1126">
      <c r="A1126" s="253">
        <v>45958.06845685185</v>
      </c>
      <c r="B1126" s="1" t="s">
        <v>304</v>
      </c>
      <c r="C1126" s="203">
        <v>3.3</v>
      </c>
      <c r="D1126" s="1" t="s">
        <v>62</v>
      </c>
    </row>
    <row r="1127">
      <c r="A1127" s="253">
        <v>45958.06845685185</v>
      </c>
      <c r="B1127" s="1" t="s">
        <v>150</v>
      </c>
      <c r="C1127" s="203">
        <v>4.3</v>
      </c>
      <c r="D1127" s="1" t="s">
        <v>193</v>
      </c>
    </row>
    <row r="1128">
      <c r="A1128" s="253">
        <v>45958.06845685185</v>
      </c>
      <c r="B1128" s="1" t="s">
        <v>203</v>
      </c>
      <c r="C1128" s="203">
        <v>4.999</v>
      </c>
      <c r="D1128" s="1" t="s">
        <v>224</v>
      </c>
    </row>
    <row r="1129">
      <c r="A1129" s="253">
        <v>45958.06845685185</v>
      </c>
      <c r="B1129" s="1" t="s">
        <v>545</v>
      </c>
      <c r="C1129" s="203">
        <v>5.296</v>
      </c>
      <c r="D1129" s="1" t="s">
        <v>132</v>
      </c>
    </row>
    <row r="1130">
      <c r="A1130" s="253">
        <v>45958.06845685185</v>
      </c>
      <c r="B1130" s="1" t="s">
        <v>113</v>
      </c>
      <c r="C1130" s="203">
        <v>6.2</v>
      </c>
      <c r="D1130" s="1" t="s">
        <v>224</v>
      </c>
    </row>
    <row r="1131">
      <c r="A1131" s="253">
        <v>45958.06845685185</v>
      </c>
      <c r="B1131" s="1" t="s">
        <v>179</v>
      </c>
      <c r="C1131" s="203">
        <v>6.4</v>
      </c>
      <c r="D1131" s="1" t="s">
        <v>395</v>
      </c>
    </row>
    <row r="1132">
      <c r="A1132" s="253">
        <v>45958.06845685185</v>
      </c>
      <c r="B1132" s="1" t="s">
        <v>204</v>
      </c>
      <c r="C1132" s="203">
        <v>9.946</v>
      </c>
      <c r="D1132" s="1" t="s">
        <v>96</v>
      </c>
    </row>
    <row r="1133">
      <c r="A1133" s="253">
        <v>45958.06845685185</v>
      </c>
      <c r="B1133" s="1" t="s">
        <v>216</v>
      </c>
      <c r="C1133" s="203">
        <v>4.6</v>
      </c>
      <c r="D1133" s="1" t="s">
        <v>224</v>
      </c>
    </row>
    <row r="1134">
      <c r="A1134" s="253">
        <v>45958.06845685185</v>
      </c>
      <c r="B1134" s="1" t="s">
        <v>217</v>
      </c>
      <c r="C1134" s="203">
        <v>1.7</v>
      </c>
      <c r="D1134" s="1" t="s">
        <v>249</v>
      </c>
    </row>
    <row r="1135">
      <c r="A1135" s="253">
        <v>45958.06845685185</v>
      </c>
      <c r="B1135" s="1" t="s">
        <v>114</v>
      </c>
      <c r="C1135" s="203">
        <v>10.457</v>
      </c>
      <c r="D1135" s="1" t="s">
        <v>395</v>
      </c>
    </row>
    <row r="1136">
      <c r="A1136" s="253">
        <v>45958.06845685185</v>
      </c>
      <c r="B1136" s="1" t="s">
        <v>536</v>
      </c>
      <c r="C1136" s="203">
        <v>7.5889999999999995</v>
      </c>
      <c r="D1136" s="1" t="s">
        <v>96</v>
      </c>
    </row>
    <row r="1137">
      <c r="A1137" s="253">
        <v>45958.06845685185</v>
      </c>
      <c r="B1137" s="1" t="s">
        <v>101</v>
      </c>
      <c r="C1137" s="203">
        <v>9.086</v>
      </c>
      <c r="D1137" s="1" t="s">
        <v>395</v>
      </c>
    </row>
    <row r="1138">
      <c r="A1138" s="253">
        <v>45958.06845685185</v>
      </c>
      <c r="B1138" s="1" t="s">
        <v>135</v>
      </c>
      <c r="C1138" s="203">
        <v>8.0</v>
      </c>
      <c r="D1138" s="1" t="s">
        <v>156</v>
      </c>
    </row>
    <row r="1139">
      <c r="A1139" s="253">
        <v>45958.06845685185</v>
      </c>
      <c r="B1139" s="1" t="s">
        <v>136</v>
      </c>
      <c r="C1139" s="203">
        <v>11.582</v>
      </c>
      <c r="D1139" s="1" t="s">
        <v>132</v>
      </c>
    </row>
    <row r="1140">
      <c r="A1140" s="253">
        <v>45958.06845685185</v>
      </c>
      <c r="B1140" s="1" t="s">
        <v>137</v>
      </c>
      <c r="C1140" s="203">
        <v>7.997</v>
      </c>
      <c r="D1140" s="1" t="s">
        <v>249</v>
      </c>
    </row>
    <row r="1141">
      <c r="A1141" s="253">
        <v>45958.06845685185</v>
      </c>
      <c r="B1141" s="1" t="s">
        <v>125</v>
      </c>
      <c r="C1141" s="203">
        <v>7.6</v>
      </c>
      <c r="D1141" s="1" t="s">
        <v>311</v>
      </c>
    </row>
    <row r="1142">
      <c r="A1142" s="253">
        <v>45958.06845685185</v>
      </c>
      <c r="B1142" s="1" t="s">
        <v>231</v>
      </c>
      <c r="C1142" s="203">
        <v>9.693999999999999</v>
      </c>
      <c r="D1142" s="1" t="s">
        <v>395</v>
      </c>
    </row>
    <row r="1143">
      <c r="A1143" s="253">
        <v>45958.06845685185</v>
      </c>
      <c r="B1143" s="1" t="s">
        <v>126</v>
      </c>
      <c r="C1143" s="203">
        <v>5.9</v>
      </c>
      <c r="D1143" s="1" t="s">
        <v>193</v>
      </c>
    </row>
    <row r="1144">
      <c r="A1144" s="253">
        <v>45958.06845685185</v>
      </c>
      <c r="B1144" s="1" t="s">
        <v>127</v>
      </c>
      <c r="C1144" s="203">
        <v>6.29</v>
      </c>
      <c r="D1144" s="1" t="s">
        <v>62</v>
      </c>
    </row>
    <row r="1145">
      <c r="A1145" s="253">
        <v>45958.06845685185</v>
      </c>
      <c r="B1145" s="1" t="s">
        <v>170</v>
      </c>
      <c r="C1145" s="203">
        <v>4.1</v>
      </c>
      <c r="D1145" s="1" t="s">
        <v>493</v>
      </c>
    </row>
    <row r="1146">
      <c r="A1146" s="253">
        <v>45958.06845685185</v>
      </c>
      <c r="B1146" s="1" t="s">
        <v>205</v>
      </c>
      <c r="C1146" s="203">
        <v>4.0</v>
      </c>
      <c r="D1146" s="1" t="s">
        <v>493</v>
      </c>
    </row>
    <row r="1147">
      <c r="A1147" s="253">
        <v>45958.06845685185</v>
      </c>
      <c r="B1147" s="1" t="s">
        <v>227</v>
      </c>
      <c r="C1147" s="203">
        <v>5.2829999999999995</v>
      </c>
      <c r="D1147" s="1" t="s">
        <v>62</v>
      </c>
    </row>
    <row r="1148">
      <c r="A1148" s="253">
        <v>45958.06845685185</v>
      </c>
      <c r="B1148" s="1" t="s">
        <v>552</v>
      </c>
      <c r="C1148" s="203">
        <v>3.8</v>
      </c>
      <c r="D1148" s="1" t="s">
        <v>193</v>
      </c>
    </row>
    <row r="1149">
      <c r="A1149" s="253">
        <v>45958.06845685185</v>
      </c>
      <c r="B1149" s="1" t="s">
        <v>151</v>
      </c>
      <c r="C1149" s="203">
        <v>7.063</v>
      </c>
      <c r="D1149" s="1" t="s">
        <v>249</v>
      </c>
    </row>
    <row r="1150">
      <c r="A1150" s="253">
        <v>45958.06845685185</v>
      </c>
      <c r="B1150" s="1" t="s">
        <v>115</v>
      </c>
      <c r="C1150" s="203">
        <v>9.412</v>
      </c>
      <c r="D1150" s="1" t="s">
        <v>132</v>
      </c>
    </row>
    <row r="1151">
      <c r="A1151" s="253">
        <v>45958.06845685185</v>
      </c>
      <c r="B1151" s="1" t="s">
        <v>206</v>
      </c>
      <c r="C1151" s="203">
        <v>7.1</v>
      </c>
      <c r="D1151" s="1" t="s">
        <v>311</v>
      </c>
    </row>
    <row r="1152">
      <c r="A1152" s="253">
        <v>45958.06845685185</v>
      </c>
      <c r="B1152" s="1" t="s">
        <v>152</v>
      </c>
      <c r="C1152" s="203">
        <v>7.228</v>
      </c>
      <c r="D1152" s="1" t="s">
        <v>311</v>
      </c>
    </row>
    <row r="1153">
      <c r="A1153" s="253">
        <v>45958.06845685185</v>
      </c>
      <c r="B1153" s="1" t="s">
        <v>138</v>
      </c>
      <c r="C1153" s="203">
        <v>5.7</v>
      </c>
      <c r="D1153" s="1" t="s">
        <v>493</v>
      </c>
    </row>
    <row r="1154">
      <c r="A1154" s="253">
        <v>45958.06845685185</v>
      </c>
      <c r="B1154" s="1" t="s">
        <v>102</v>
      </c>
      <c r="C1154" s="203">
        <v>9.987</v>
      </c>
      <c r="D1154" s="1" t="s">
        <v>238</v>
      </c>
    </row>
    <row r="1155">
      <c r="A1155" s="253">
        <v>45958.06845685185</v>
      </c>
      <c r="B1155" s="1" t="s">
        <v>548</v>
      </c>
      <c r="C1155" s="203">
        <v>7.2589999999999995</v>
      </c>
      <c r="D1155" s="1" t="s">
        <v>238</v>
      </c>
    </row>
    <row r="1156">
      <c r="A1156" s="253">
        <v>45958.06845685185</v>
      </c>
      <c r="B1156" s="1" t="s">
        <v>116</v>
      </c>
      <c r="C1156" s="203">
        <v>10.187000000000001</v>
      </c>
      <c r="D1156" s="1" t="s">
        <v>156</v>
      </c>
    </row>
    <row r="1157">
      <c r="A1157" s="253">
        <v>45958.06845685185</v>
      </c>
      <c r="B1157" s="1" t="s">
        <v>140</v>
      </c>
      <c r="C1157" s="203">
        <v>4.1</v>
      </c>
      <c r="D1157" s="1" t="s">
        <v>224</v>
      </c>
    </row>
    <row r="1158">
      <c r="A1158" s="253">
        <v>45958.06845685185</v>
      </c>
      <c r="B1158" s="1" t="s">
        <v>139</v>
      </c>
      <c r="C1158" s="203">
        <v>8.779</v>
      </c>
      <c r="D1158" s="1" t="s">
        <v>311</v>
      </c>
    </row>
    <row r="1159">
      <c r="A1159" s="253">
        <v>45958.06845685185</v>
      </c>
      <c r="B1159" s="1" t="s">
        <v>153</v>
      </c>
      <c r="C1159" s="203">
        <v>3.1</v>
      </c>
      <c r="D1159" s="1" t="s">
        <v>96</v>
      </c>
    </row>
    <row r="1160">
      <c r="A1160" s="253">
        <v>45958.06845685185</v>
      </c>
      <c r="B1160" s="1" t="s">
        <v>141</v>
      </c>
      <c r="C1160" s="203">
        <v>6.6</v>
      </c>
      <c r="D1160" s="1" t="s">
        <v>238</v>
      </c>
    </row>
    <row r="1161">
      <c r="A1161" s="253">
        <v>45958.06845685185</v>
      </c>
      <c r="B1161" s="1" t="s">
        <v>207</v>
      </c>
      <c r="C1161" s="203">
        <v>5.0</v>
      </c>
      <c r="D1161" s="1" t="s">
        <v>493</v>
      </c>
    </row>
    <row r="1162">
      <c r="A1162" s="253">
        <v>45958.06845685185</v>
      </c>
      <c r="B1162" s="1" t="s">
        <v>208</v>
      </c>
      <c r="C1162" s="203">
        <v>8.3</v>
      </c>
      <c r="D1162" s="1" t="s">
        <v>156</v>
      </c>
    </row>
    <row r="1163">
      <c r="A1163" s="253">
        <v>45958.06845685185</v>
      </c>
      <c r="B1163" s="1" t="s">
        <v>103</v>
      </c>
      <c r="C1163" s="203">
        <v>8.174999999999999</v>
      </c>
      <c r="D1163" s="1" t="s">
        <v>224</v>
      </c>
    </row>
    <row r="1164">
      <c r="A1164" s="253">
        <v>45958.06845685185</v>
      </c>
      <c r="B1164" s="1" t="s">
        <v>117</v>
      </c>
      <c r="C1164" s="203">
        <v>5.5</v>
      </c>
      <c r="D1164" s="1" t="s">
        <v>95</v>
      </c>
    </row>
    <row r="1165">
      <c r="A1165" s="253">
        <v>45958.06845685185</v>
      </c>
      <c r="B1165" s="1" t="s">
        <v>142</v>
      </c>
      <c r="C1165" s="203">
        <v>7.7</v>
      </c>
      <c r="D1165" s="1" t="s">
        <v>96</v>
      </c>
    </row>
    <row r="1166">
      <c r="A1166" s="253">
        <v>45958.06845685185</v>
      </c>
      <c r="B1166" s="1" t="s">
        <v>181</v>
      </c>
      <c r="C1166" s="203">
        <v>1.8</v>
      </c>
      <c r="D1166" s="1" t="s">
        <v>156</v>
      </c>
    </row>
    <row r="1167">
      <c r="A1167" s="253">
        <v>45958.06845685185</v>
      </c>
      <c r="B1167" s="1" t="s">
        <v>182</v>
      </c>
      <c r="C1167" s="203">
        <v>7.093</v>
      </c>
      <c r="D1167" s="1" t="s">
        <v>193</v>
      </c>
    </row>
    <row r="1168">
      <c r="A1168" s="253">
        <v>45958.06845685185</v>
      </c>
      <c r="B1168" s="1" t="s">
        <v>228</v>
      </c>
      <c r="C1168" s="203">
        <v>4.499</v>
      </c>
      <c r="D1168" s="1" t="s">
        <v>43</v>
      </c>
    </row>
    <row r="1169">
      <c r="A1169" s="253">
        <v>45958.06845685185</v>
      </c>
      <c r="B1169" s="1" t="s">
        <v>118</v>
      </c>
      <c r="C1169" s="203">
        <v>3.5</v>
      </c>
      <c r="D1169" s="1" t="s">
        <v>43</v>
      </c>
    </row>
    <row r="1170">
      <c r="A1170" s="253">
        <v>45958.06845685185</v>
      </c>
      <c r="B1170" s="1" t="s">
        <v>154</v>
      </c>
      <c r="C1170" s="203">
        <v>10.427</v>
      </c>
      <c r="D1170" s="1" t="s">
        <v>156</v>
      </c>
    </row>
    <row r="1171">
      <c r="A1171" s="253">
        <v>45958.06845685185</v>
      </c>
      <c r="B1171" s="1" t="s">
        <v>172</v>
      </c>
      <c r="C1171" s="203">
        <v>4.1</v>
      </c>
      <c r="D1171" s="1" t="s">
        <v>311</v>
      </c>
    </row>
    <row r="1172">
      <c r="A1172" s="253">
        <v>45958.06845685185</v>
      </c>
      <c r="B1172" s="1" t="s">
        <v>143</v>
      </c>
      <c r="C1172" s="203">
        <v>6.2</v>
      </c>
      <c r="D1172" s="1" t="s">
        <v>493</v>
      </c>
    </row>
    <row r="1173">
      <c r="A1173" s="253">
        <v>45958.06845685185</v>
      </c>
      <c r="B1173" s="1" t="s">
        <v>229</v>
      </c>
      <c r="C1173" s="203">
        <v>9.6</v>
      </c>
      <c r="D1173" s="1" t="s">
        <v>96</v>
      </c>
    </row>
    <row r="1174">
      <c r="A1174" s="253">
        <v>45958.06845685185</v>
      </c>
      <c r="B1174" s="1" t="s">
        <v>173</v>
      </c>
      <c r="C1174" s="203">
        <v>7.958000000000001</v>
      </c>
      <c r="D1174" s="1" t="s">
        <v>96</v>
      </c>
    </row>
    <row r="1175">
      <c r="A1175" s="253">
        <v>45958.06845685185</v>
      </c>
      <c r="B1175" s="1" t="s">
        <v>144</v>
      </c>
      <c r="C1175" s="203">
        <v>11.518</v>
      </c>
      <c r="D1175" s="1" t="s">
        <v>193</v>
      </c>
    </row>
    <row r="1176">
      <c r="A1176" s="253">
        <v>45958.06845685185</v>
      </c>
      <c r="B1176" s="1" t="s">
        <v>128</v>
      </c>
      <c r="C1176" s="203">
        <v>7.899</v>
      </c>
      <c r="D1176" s="1" t="s">
        <v>95</v>
      </c>
    </row>
    <row r="1177">
      <c r="A1177" s="253">
        <v>45958.06845685185</v>
      </c>
      <c r="B1177" s="1" t="s">
        <v>129</v>
      </c>
      <c r="C1177" s="203">
        <v>1.2</v>
      </c>
      <c r="D1177" s="1" t="s">
        <v>96</v>
      </c>
    </row>
    <row r="1178">
      <c r="A1178" s="253">
        <v>45958.06845685185</v>
      </c>
      <c r="B1178" s="1" t="s">
        <v>155</v>
      </c>
      <c r="C1178" s="203">
        <v>8.193999999999999</v>
      </c>
      <c r="D1178" s="1" t="s">
        <v>62</v>
      </c>
    </row>
    <row r="1179">
      <c r="A1179" s="253">
        <v>45958.06845685185</v>
      </c>
      <c r="B1179" s="1" t="s">
        <v>209</v>
      </c>
      <c r="C1179" s="203">
        <v>10.355</v>
      </c>
      <c r="D1179" s="1" t="s">
        <v>249</v>
      </c>
    </row>
    <row r="1180">
      <c r="A1180" s="253">
        <v>45958.06845685185</v>
      </c>
      <c r="B1180" s="1" t="s">
        <v>192</v>
      </c>
      <c r="C1180" s="203">
        <v>10.139999999999999</v>
      </c>
      <c r="D1180" s="1" t="s">
        <v>311</v>
      </c>
    </row>
    <row r="1181">
      <c r="A1181" s="253">
        <v>45958.06845685185</v>
      </c>
      <c r="B1181" s="1" t="s">
        <v>194</v>
      </c>
      <c r="C1181" s="203">
        <v>3.0</v>
      </c>
      <c r="D1181" s="1" t="s">
        <v>193</v>
      </c>
    </row>
    <row r="1182">
      <c r="A1182" s="253">
        <v>45958.06845685185</v>
      </c>
      <c r="B1182" s="1" t="s">
        <v>145</v>
      </c>
      <c r="C1182" s="203">
        <v>5.6</v>
      </c>
      <c r="D1182" s="1" t="s">
        <v>43</v>
      </c>
    </row>
    <row r="1183">
      <c r="A1183" s="253">
        <v>45958.06845685185</v>
      </c>
      <c r="B1183" s="1" t="s">
        <v>119</v>
      </c>
      <c r="C1183" s="203">
        <v>7.566</v>
      </c>
      <c r="D1183" s="1" t="s">
        <v>238</v>
      </c>
    </row>
    <row r="1184">
      <c r="A1184" s="253">
        <v>45958.06845685185</v>
      </c>
      <c r="B1184" s="1" t="s">
        <v>146</v>
      </c>
      <c r="C1184" s="203">
        <v>2.2</v>
      </c>
      <c r="D1184" s="1" t="s">
        <v>493</v>
      </c>
    </row>
    <row r="1185">
      <c r="A1185" s="253">
        <v>45958.06845685185</v>
      </c>
      <c r="B1185" s="1" t="s">
        <v>157</v>
      </c>
      <c r="C1185" s="203">
        <v>4.8</v>
      </c>
      <c r="D1185" s="1" t="s">
        <v>43</v>
      </c>
    </row>
    <row r="1186">
      <c r="A1186" s="253">
        <v>45958.06845685185</v>
      </c>
      <c r="B1186" s="1" t="s">
        <v>147</v>
      </c>
      <c r="C1186" s="203">
        <v>5.0</v>
      </c>
      <c r="D1186" s="1" t="s">
        <v>395</v>
      </c>
    </row>
    <row r="1187">
      <c r="A1187" s="253">
        <v>45958.06845685185</v>
      </c>
      <c r="B1187" s="1" t="s">
        <v>183</v>
      </c>
      <c r="C1187" s="203">
        <v>9.13</v>
      </c>
      <c r="D1187" s="1" t="s">
        <v>249</v>
      </c>
    </row>
    <row r="1188">
      <c r="A1188" s="253">
        <v>45958.06845685185</v>
      </c>
      <c r="B1188" s="1" t="s">
        <v>549</v>
      </c>
      <c r="C1188" s="203">
        <v>4.899</v>
      </c>
      <c r="D1188" s="1" t="s">
        <v>238</v>
      </c>
    </row>
    <row r="1189">
      <c r="A1189" s="253">
        <v>45958.06845685185</v>
      </c>
      <c r="B1189" s="1" t="s">
        <v>104</v>
      </c>
      <c r="C1189" s="203">
        <v>7.476</v>
      </c>
      <c r="D1189" s="1" t="s">
        <v>193</v>
      </c>
    </row>
    <row r="1190">
      <c r="A1190" s="253">
        <v>45958.06845685185</v>
      </c>
      <c r="B1190" s="1" t="s">
        <v>220</v>
      </c>
      <c r="C1190" s="203">
        <v>4.0</v>
      </c>
      <c r="D1190" s="1" t="s">
        <v>238</v>
      </c>
    </row>
    <row r="1191">
      <c r="A1191" s="253">
        <v>45958.06845685185</v>
      </c>
      <c r="B1191" s="1" t="s">
        <v>210</v>
      </c>
      <c r="C1191" s="203">
        <v>4.9</v>
      </c>
      <c r="D1191" s="1" t="s">
        <v>132</v>
      </c>
    </row>
    <row r="1192">
      <c r="A1192" s="253">
        <v>45958.06845685185</v>
      </c>
      <c r="B1192" s="1" t="s">
        <v>105</v>
      </c>
      <c r="C1192" s="203">
        <v>9.511000000000001</v>
      </c>
      <c r="D1192" s="1" t="s">
        <v>96</v>
      </c>
    </row>
    <row r="1193">
      <c r="A1193" s="253">
        <v>45958.06845685185</v>
      </c>
      <c r="B1193" s="1" t="s">
        <v>546</v>
      </c>
      <c r="C1193" s="203">
        <v>8.385</v>
      </c>
      <c r="D1193" s="1" t="s">
        <v>493</v>
      </c>
    </row>
    <row r="1194">
      <c r="A1194" s="253">
        <v>45958.06845685185</v>
      </c>
      <c r="B1194" s="1" t="s">
        <v>195</v>
      </c>
      <c r="C1194" s="203">
        <v>4.3</v>
      </c>
      <c r="D1194" s="1" t="s">
        <v>493</v>
      </c>
    </row>
    <row r="1195">
      <c r="A1195" s="253">
        <v>45958.06845685185</v>
      </c>
      <c r="B1195" s="1" t="s">
        <v>120</v>
      </c>
      <c r="C1195" s="203">
        <v>4.4</v>
      </c>
      <c r="D1195" s="1" t="s">
        <v>493</v>
      </c>
    </row>
    <row r="1196">
      <c r="A1196" s="253">
        <v>45958.06845685185</v>
      </c>
      <c r="B1196" s="1" t="s">
        <v>130</v>
      </c>
      <c r="C1196" s="203">
        <v>7.987</v>
      </c>
      <c r="D1196" s="1" t="s">
        <v>95</v>
      </c>
    </row>
    <row r="1197">
      <c r="A1197" s="253">
        <v>45958.06845685185</v>
      </c>
      <c r="B1197" s="1" t="s">
        <v>106</v>
      </c>
      <c r="C1197" s="203">
        <v>6.2</v>
      </c>
      <c r="D1197" s="1" t="s">
        <v>493</v>
      </c>
    </row>
    <row r="1198">
      <c r="A1198" s="253">
        <v>45958.06845685185</v>
      </c>
      <c r="B1198" s="1" t="s">
        <v>211</v>
      </c>
      <c r="C1198" s="203">
        <v>8.897</v>
      </c>
      <c r="D1198" s="1" t="s">
        <v>193</v>
      </c>
    </row>
    <row r="1199">
      <c r="A1199" s="253">
        <v>45958.06845685185</v>
      </c>
      <c r="B1199" s="1" t="s">
        <v>539</v>
      </c>
      <c r="C1199" s="203">
        <v>10.832</v>
      </c>
      <c r="D1199" s="1" t="s">
        <v>238</v>
      </c>
    </row>
    <row r="1200">
      <c r="A1200" s="253">
        <v>45958.06845685185</v>
      </c>
      <c r="B1200" s="1" t="s">
        <v>131</v>
      </c>
      <c r="C1200" s="203">
        <v>8.556</v>
      </c>
      <c r="D1200" s="1" t="s">
        <v>132</v>
      </c>
    </row>
    <row r="1201">
      <c r="A1201" s="253">
        <v>45958.06845685185</v>
      </c>
      <c r="B1201" s="1" t="s">
        <v>221</v>
      </c>
      <c r="C1201" s="203">
        <v>6.2</v>
      </c>
      <c r="D1201" s="1" t="s">
        <v>95</v>
      </c>
    </row>
    <row r="1202">
      <c r="A1202" s="253">
        <v>45958.06845685185</v>
      </c>
      <c r="B1202" s="1" t="s">
        <v>133</v>
      </c>
      <c r="C1202" s="203">
        <v>9.948</v>
      </c>
      <c r="D1202" s="1" t="s">
        <v>43</v>
      </c>
    </row>
    <row r="1203">
      <c r="A1203" s="253">
        <v>45958.06845685185</v>
      </c>
      <c r="B1203" s="1" t="s">
        <v>174</v>
      </c>
      <c r="C1203" s="203">
        <v>7.065</v>
      </c>
      <c r="D1203" s="1" t="s">
        <v>156</v>
      </c>
    </row>
    <row r="1204">
      <c r="A1204" s="253">
        <v>45958.06845685185</v>
      </c>
      <c r="B1204" s="1" t="s">
        <v>222</v>
      </c>
      <c r="C1204" s="203">
        <v>8.317</v>
      </c>
      <c r="D1204" s="1" t="s">
        <v>96</v>
      </c>
    </row>
    <row r="1205">
      <c r="A1205" s="253">
        <v>45958.06845685185</v>
      </c>
      <c r="B1205" s="1" t="s">
        <v>107</v>
      </c>
      <c r="C1205" s="203">
        <v>9.517</v>
      </c>
      <c r="D1205" s="1" t="s">
        <v>132</v>
      </c>
    </row>
    <row r="1206">
      <c r="A1206" s="253">
        <v>45958.06845685185</v>
      </c>
      <c r="B1206" s="1" t="s">
        <v>108</v>
      </c>
      <c r="C1206" s="203">
        <v>3.4</v>
      </c>
      <c r="D1206" s="1" t="s">
        <v>493</v>
      </c>
    </row>
    <row r="1207">
      <c r="A1207" s="253">
        <v>45958.06845685185</v>
      </c>
      <c r="B1207" s="1" t="s">
        <v>163</v>
      </c>
      <c r="C1207" s="203">
        <v>4.3</v>
      </c>
      <c r="D1207" s="1" t="s">
        <v>62</v>
      </c>
    </row>
    <row r="1208">
      <c r="A1208" s="253">
        <v>45958.06845685185</v>
      </c>
      <c r="B1208" s="1" t="s">
        <v>109</v>
      </c>
      <c r="C1208" s="203">
        <v>6.4</v>
      </c>
      <c r="D1208" s="1" t="s">
        <v>156</v>
      </c>
    </row>
    <row r="1209">
      <c r="A1209" s="253">
        <v>45958.06845685185</v>
      </c>
      <c r="B1209" s="1" t="s">
        <v>196</v>
      </c>
      <c r="C1209" s="203">
        <v>3.6</v>
      </c>
      <c r="D1209" s="1" t="s">
        <v>62</v>
      </c>
    </row>
    <row r="1210">
      <c r="A1210" s="253">
        <v>45958.06845685185</v>
      </c>
      <c r="B1210" s="1" t="s">
        <v>99</v>
      </c>
      <c r="C1210" s="203">
        <v>7.5</v>
      </c>
      <c r="D1210" s="1" t="s">
        <v>395</v>
      </c>
    </row>
    <row r="1211">
      <c r="A1211" s="253">
        <v>45958.06845685185</v>
      </c>
      <c r="B1211" s="1" t="s">
        <v>219</v>
      </c>
      <c r="C1211" s="203">
        <v>3.8</v>
      </c>
      <c r="D1211" s="1" t="s">
        <v>493</v>
      </c>
    </row>
    <row r="1212">
      <c r="A1212" s="253">
        <v>45958.06845685185</v>
      </c>
      <c r="B1212" s="1" t="s">
        <v>527</v>
      </c>
      <c r="D1212" s="1" t="s">
        <v>43</v>
      </c>
    </row>
    <row r="1213">
      <c r="A1213" s="253">
        <v>45958.06845685185</v>
      </c>
      <c r="B1213" s="1" t="s">
        <v>185</v>
      </c>
      <c r="C1213" s="203">
        <v>9.778</v>
      </c>
      <c r="D1213" s="1" t="s">
        <v>224</v>
      </c>
    </row>
    <row r="1214">
      <c r="A1214" s="253">
        <v>45958.06845685185</v>
      </c>
      <c r="B1214" s="1" t="s">
        <v>197</v>
      </c>
      <c r="C1214" s="203">
        <v>8.584</v>
      </c>
      <c r="D1214" s="1" t="s">
        <v>95</v>
      </c>
    </row>
    <row r="1215">
      <c r="A1215" s="253">
        <v>45958.06845685185</v>
      </c>
      <c r="B1215" s="1" t="s">
        <v>186</v>
      </c>
      <c r="C1215" s="203">
        <v>5.898000000000001</v>
      </c>
      <c r="D1215" s="1" t="s">
        <v>311</v>
      </c>
    </row>
    <row r="1216">
      <c r="A1216" s="253">
        <v>45958.06845685185</v>
      </c>
      <c r="B1216" s="1" t="s">
        <v>198</v>
      </c>
      <c r="C1216" s="203">
        <v>9.217</v>
      </c>
      <c r="D1216" s="1" t="s">
        <v>95</v>
      </c>
    </row>
    <row r="1217">
      <c r="A1217" s="253">
        <v>45958.06845685185</v>
      </c>
      <c r="B1217" s="1" t="s">
        <v>160</v>
      </c>
      <c r="C1217" s="203">
        <v>4.098</v>
      </c>
      <c r="D1217" s="1" t="s">
        <v>238</v>
      </c>
    </row>
    <row r="1218">
      <c r="A1218" s="253">
        <v>45958.06845685185</v>
      </c>
      <c r="B1218" s="1" t="s">
        <v>161</v>
      </c>
      <c r="C1218" s="203">
        <v>5.4</v>
      </c>
      <c r="D1218" s="1" t="s">
        <v>311</v>
      </c>
    </row>
    <row r="1219">
      <c r="A1219" s="253">
        <v>45958.06845685185</v>
      </c>
      <c r="B1219" s="1" t="s">
        <v>213</v>
      </c>
      <c r="C1219" s="203">
        <v>9.184999999999999</v>
      </c>
      <c r="D1219" s="1" t="s">
        <v>395</v>
      </c>
    </row>
    <row r="1220">
      <c r="A1220" s="253">
        <v>45958.06845685185</v>
      </c>
      <c r="B1220" s="1" t="s">
        <v>121</v>
      </c>
      <c r="C1220" s="203">
        <v>9.549999999999999</v>
      </c>
      <c r="D1220" s="1" t="s">
        <v>96</v>
      </c>
    </row>
    <row r="1221">
      <c r="A1221" s="253">
        <v>45958.06845685185</v>
      </c>
      <c r="B1221" s="1" t="s">
        <v>122</v>
      </c>
      <c r="C1221" s="203">
        <v>3.8</v>
      </c>
      <c r="D1221" s="1" t="s">
        <v>311</v>
      </c>
    </row>
    <row r="1222">
      <c r="A1222" s="253">
        <v>45958.06845685185</v>
      </c>
      <c r="B1222" s="1" t="s">
        <v>123</v>
      </c>
      <c r="C1222" s="203">
        <v>7.3</v>
      </c>
      <c r="D1222" s="1" t="s">
        <v>493</v>
      </c>
    </row>
    <row r="1223">
      <c r="A1223" s="253">
        <v>45958.06845685185</v>
      </c>
      <c r="B1223" s="1" t="s">
        <v>199</v>
      </c>
      <c r="C1223" s="203">
        <v>8.7</v>
      </c>
      <c r="D1223" s="1" t="s">
        <v>62</v>
      </c>
    </row>
    <row r="1224">
      <c r="A1224" s="253">
        <v>45958.06845685185</v>
      </c>
      <c r="B1224" s="1" t="s">
        <v>200</v>
      </c>
      <c r="C1224" s="203">
        <v>6.4</v>
      </c>
      <c r="D1224" s="1" t="s">
        <v>493</v>
      </c>
    </row>
    <row r="1225">
      <c r="A1225" s="253">
        <v>45958.06845685185</v>
      </c>
      <c r="B1225" s="1" t="s">
        <v>134</v>
      </c>
      <c r="C1225" s="203">
        <v>2.8</v>
      </c>
      <c r="D1225" s="1" t="s">
        <v>132</v>
      </c>
    </row>
    <row r="1226">
      <c r="A1226" s="253">
        <v>45958.06845685185</v>
      </c>
      <c r="B1226" s="1" t="s">
        <v>162</v>
      </c>
      <c r="C1226" s="203">
        <v>7.970999999999999</v>
      </c>
      <c r="D1226" s="1" t="s">
        <v>395</v>
      </c>
    </row>
    <row r="1227">
      <c r="A1227" s="253">
        <v>45958.06845685185</v>
      </c>
      <c r="B1227" s="1" t="s">
        <v>175</v>
      </c>
      <c r="C1227" s="203">
        <v>6.376</v>
      </c>
      <c r="D1227" s="1" t="s">
        <v>395</v>
      </c>
    </row>
    <row r="1228">
      <c r="A1228" s="253">
        <v>45958.06845685185</v>
      </c>
      <c r="B1228" s="1" t="s">
        <v>148</v>
      </c>
      <c r="C1228" s="203">
        <v>3.0</v>
      </c>
      <c r="D1228" s="1" t="s">
        <v>238</v>
      </c>
    </row>
    <row r="1229">
      <c r="A1229" s="253">
        <v>45958.06845685185</v>
      </c>
      <c r="B1229" s="1" t="s">
        <v>187</v>
      </c>
      <c r="C1229" s="203">
        <v>5.899</v>
      </c>
      <c r="D1229" s="1" t="s">
        <v>132</v>
      </c>
    </row>
    <row r="1230">
      <c r="A1230" s="253">
        <v>45958.06845685185</v>
      </c>
      <c r="B1230" s="1" t="s">
        <v>234</v>
      </c>
      <c r="D1230" s="1" t="s">
        <v>311</v>
      </c>
    </row>
    <row r="1231">
      <c r="A1231" s="253">
        <v>45958.06845685185</v>
      </c>
      <c r="B1231" s="1" t="s">
        <v>232</v>
      </c>
      <c r="C1231" s="203">
        <v>7.013999999999999</v>
      </c>
      <c r="D1231" s="1" t="s">
        <v>156</v>
      </c>
    </row>
    <row r="1232">
      <c r="A1232" s="253">
        <v>45958.06845685185</v>
      </c>
    </row>
    <row r="1233">
      <c r="A1233" s="253">
        <v>45958.06845685185</v>
      </c>
    </row>
    <row r="1234">
      <c r="A1234" s="253">
        <v>45958.06845685185</v>
      </c>
    </row>
    <row r="1235">
      <c r="A1235" s="1" t="s">
        <v>914</v>
      </c>
      <c r="B1235" s="1" t="s">
        <v>13</v>
      </c>
      <c r="C1235" s="1" t="s">
        <v>2047</v>
      </c>
      <c r="D1235" s="1" t="s">
        <v>2048</v>
      </c>
    </row>
    <row r="1236">
      <c r="A1236" s="253">
        <v>45965.06850043981</v>
      </c>
      <c r="B1236" s="1" t="s">
        <v>176</v>
      </c>
      <c r="C1236" s="203">
        <v>3.3</v>
      </c>
      <c r="D1236" s="1" t="s">
        <v>43</v>
      </c>
    </row>
    <row r="1237">
      <c r="A1237" s="253">
        <v>45965.06850043981</v>
      </c>
      <c r="B1237" s="1" t="s">
        <v>164</v>
      </c>
      <c r="C1237" s="203">
        <v>4.6</v>
      </c>
      <c r="D1237" s="1" t="s">
        <v>193</v>
      </c>
    </row>
    <row r="1238">
      <c r="A1238" s="253">
        <v>45965.06850043981</v>
      </c>
      <c r="B1238" s="1" t="s">
        <v>201</v>
      </c>
      <c r="C1238" s="203">
        <v>10.358</v>
      </c>
      <c r="D1238" s="1" t="s">
        <v>62</v>
      </c>
    </row>
    <row r="1239">
      <c r="A1239" s="253">
        <v>45965.06850043981</v>
      </c>
      <c r="B1239" s="1" t="e">
        <v>#N/A</v>
      </c>
      <c r="C1239" s="1" t="e">
        <v>#N/A</v>
      </c>
      <c r="D1239" s="1" t="s">
        <v>2050</v>
      </c>
    </row>
    <row r="1240">
      <c r="A1240" s="253">
        <v>45965.06850043981</v>
      </c>
      <c r="B1240" s="1" t="s">
        <v>189</v>
      </c>
      <c r="C1240" s="203">
        <v>8.083</v>
      </c>
      <c r="D1240" s="1" t="s">
        <v>43</v>
      </c>
    </row>
    <row r="1241">
      <c r="A1241" s="253">
        <v>45965.06850043981</v>
      </c>
      <c r="B1241" s="1" t="s">
        <v>188</v>
      </c>
      <c r="C1241" s="203">
        <v>7.0</v>
      </c>
      <c r="D1241" s="1" t="s">
        <v>493</v>
      </c>
    </row>
    <row r="1242">
      <c r="A1242" s="253">
        <v>45965.06850043981</v>
      </c>
      <c r="B1242" s="1" t="s">
        <v>202</v>
      </c>
      <c r="C1242" s="203">
        <v>2.8</v>
      </c>
      <c r="D1242" s="1" t="s">
        <v>156</v>
      </c>
    </row>
    <row r="1243">
      <c r="A1243" s="253">
        <v>45965.06850043981</v>
      </c>
      <c r="B1243" s="1" t="s">
        <v>215</v>
      </c>
      <c r="C1243" s="203">
        <v>6.469</v>
      </c>
      <c r="D1243" s="1" t="s">
        <v>132</v>
      </c>
    </row>
    <row r="1244">
      <c r="A1244" s="253">
        <v>45965.06850043981</v>
      </c>
      <c r="B1244" s="1" t="s">
        <v>225</v>
      </c>
      <c r="C1244" s="203">
        <v>6.3</v>
      </c>
      <c r="D1244" s="1" t="s">
        <v>395</v>
      </c>
    </row>
    <row r="1245">
      <c r="A1245" s="253">
        <v>45965.06850043981</v>
      </c>
      <c r="B1245" s="1" t="s">
        <v>45</v>
      </c>
      <c r="C1245" s="203">
        <v>5.5</v>
      </c>
      <c r="D1245" s="1" t="s">
        <v>43</v>
      </c>
    </row>
    <row r="1246">
      <c r="A1246" s="253">
        <v>45965.06850043981</v>
      </c>
      <c r="B1246" s="1" t="s">
        <v>165</v>
      </c>
      <c r="C1246" s="203">
        <v>4.399</v>
      </c>
      <c r="D1246" s="1" t="s">
        <v>95</v>
      </c>
    </row>
    <row r="1247">
      <c r="A1247" s="253">
        <v>45965.06850043981</v>
      </c>
      <c r="B1247" s="1" t="s">
        <v>124</v>
      </c>
      <c r="C1247" s="203">
        <v>6.3</v>
      </c>
      <c r="D1247" s="1" t="s">
        <v>249</v>
      </c>
    </row>
    <row r="1248">
      <c r="A1248" s="253">
        <v>45965.06850043981</v>
      </c>
      <c r="B1248" s="1" t="s">
        <v>177</v>
      </c>
      <c r="C1248" s="203">
        <v>8.171</v>
      </c>
      <c r="D1248" s="1" t="s">
        <v>95</v>
      </c>
    </row>
    <row r="1249">
      <c r="A1249" s="253">
        <v>45965.06850043981</v>
      </c>
      <c r="B1249" s="1" t="s">
        <v>110</v>
      </c>
      <c r="C1249" s="203">
        <v>1.8</v>
      </c>
      <c r="D1249" s="1" t="s">
        <v>493</v>
      </c>
    </row>
    <row r="1250">
      <c r="A1250" s="253">
        <v>45965.06850043981</v>
      </c>
      <c r="B1250" s="1" t="s">
        <v>166</v>
      </c>
      <c r="C1250" s="203">
        <v>5.1</v>
      </c>
      <c r="D1250" s="1" t="s">
        <v>224</v>
      </c>
    </row>
    <row r="1251">
      <c r="A1251" s="253">
        <v>45965.06850043981</v>
      </c>
      <c r="B1251" s="1" t="s">
        <v>167</v>
      </c>
      <c r="C1251" s="203">
        <v>6.0409999999999995</v>
      </c>
      <c r="D1251" s="1" t="s">
        <v>249</v>
      </c>
    </row>
    <row r="1252">
      <c r="A1252" s="253">
        <v>45965.06850043981</v>
      </c>
      <c r="B1252" s="1" t="s">
        <v>226</v>
      </c>
      <c r="C1252" s="203">
        <v>10.644</v>
      </c>
      <c r="D1252" s="1" t="s">
        <v>224</v>
      </c>
    </row>
    <row r="1253">
      <c r="A1253" s="253">
        <v>45965.06850043981</v>
      </c>
      <c r="B1253" s="1" t="s">
        <v>190</v>
      </c>
      <c r="C1253" s="203">
        <v>5.7</v>
      </c>
      <c r="D1253" s="1" t="s">
        <v>62</v>
      </c>
    </row>
    <row r="1254">
      <c r="A1254" s="253">
        <v>45965.06850043981</v>
      </c>
      <c r="B1254" s="1" t="s">
        <v>168</v>
      </c>
      <c r="C1254" s="203">
        <v>6.59</v>
      </c>
      <c r="D1254" s="1" t="s">
        <v>132</v>
      </c>
    </row>
    <row r="1255">
      <c r="A1255" s="253">
        <v>45965.06850043981</v>
      </c>
      <c r="B1255" s="1" t="s">
        <v>159</v>
      </c>
      <c r="D1255" s="1" t="s">
        <v>249</v>
      </c>
    </row>
    <row r="1256">
      <c r="A1256" s="253">
        <v>45965.06850043981</v>
      </c>
      <c r="B1256" s="1" t="s">
        <v>98</v>
      </c>
      <c r="C1256" s="203">
        <v>8.455</v>
      </c>
      <c r="D1256" s="1" t="s">
        <v>238</v>
      </c>
    </row>
    <row r="1257">
      <c r="A1257" s="253">
        <v>45965.06850043981</v>
      </c>
      <c r="B1257" s="1" t="s">
        <v>111</v>
      </c>
      <c r="C1257" s="203">
        <v>5.2</v>
      </c>
      <c r="D1257" s="1" t="s">
        <v>249</v>
      </c>
    </row>
    <row r="1258">
      <c r="A1258" s="253">
        <v>45965.06850043981</v>
      </c>
      <c r="B1258" s="1" t="s">
        <v>223</v>
      </c>
      <c r="C1258" s="203">
        <v>6.281</v>
      </c>
      <c r="D1258" s="1" t="s">
        <v>156</v>
      </c>
    </row>
    <row r="1259">
      <c r="A1259" s="253">
        <v>45965.06850043981</v>
      </c>
      <c r="B1259" s="1" t="s">
        <v>191</v>
      </c>
      <c r="C1259" s="203">
        <v>4.0</v>
      </c>
      <c r="D1259" s="1" t="s">
        <v>224</v>
      </c>
    </row>
    <row r="1260">
      <c r="A1260" s="253">
        <v>45965.06850043981</v>
      </c>
      <c r="B1260" s="1" t="s">
        <v>178</v>
      </c>
      <c r="C1260" s="203">
        <v>3.3</v>
      </c>
      <c r="D1260" s="1" t="s">
        <v>62</v>
      </c>
    </row>
    <row r="1261">
      <c r="A1261" s="253">
        <v>45965.06850043981</v>
      </c>
      <c r="B1261" s="1" t="s">
        <v>112</v>
      </c>
      <c r="C1261" s="203">
        <v>7.842</v>
      </c>
      <c r="D1261" s="1" t="s">
        <v>249</v>
      </c>
    </row>
    <row r="1262">
      <c r="A1262" s="253">
        <v>45965.06850043981</v>
      </c>
      <c r="B1262" s="1" t="s">
        <v>100</v>
      </c>
      <c r="C1262" s="203">
        <v>7.943</v>
      </c>
      <c r="D1262" s="1" t="s">
        <v>95</v>
      </c>
    </row>
    <row r="1263">
      <c r="A1263" s="253">
        <v>45965.06850043981</v>
      </c>
      <c r="B1263" s="1" t="s">
        <v>304</v>
      </c>
      <c r="C1263" s="203">
        <v>3.4</v>
      </c>
      <c r="D1263" s="1" t="s">
        <v>62</v>
      </c>
    </row>
    <row r="1264">
      <c r="A1264" s="253">
        <v>45965.06850043981</v>
      </c>
      <c r="B1264" s="1" t="s">
        <v>150</v>
      </c>
      <c r="C1264" s="203">
        <v>4.3</v>
      </c>
      <c r="D1264" s="1" t="s">
        <v>193</v>
      </c>
    </row>
    <row r="1265">
      <c r="A1265" s="253">
        <v>45965.06850043981</v>
      </c>
      <c r="B1265" s="1" t="s">
        <v>203</v>
      </c>
      <c r="C1265" s="203">
        <v>4.8</v>
      </c>
      <c r="D1265" s="1" t="s">
        <v>224</v>
      </c>
    </row>
    <row r="1266">
      <c r="A1266" s="253">
        <v>45965.06850043981</v>
      </c>
      <c r="B1266" s="1" t="s">
        <v>545</v>
      </c>
      <c r="C1266" s="203">
        <v>4.9</v>
      </c>
      <c r="D1266" s="1" t="s">
        <v>132</v>
      </c>
    </row>
    <row r="1267">
      <c r="A1267" s="253">
        <v>45965.06850043981</v>
      </c>
      <c r="B1267" s="1" t="s">
        <v>113</v>
      </c>
      <c r="C1267" s="203">
        <v>6.5</v>
      </c>
      <c r="D1267" s="1" t="s">
        <v>224</v>
      </c>
    </row>
    <row r="1268">
      <c r="A1268" s="253">
        <v>45965.06850043981</v>
      </c>
      <c r="B1268" s="1" t="s">
        <v>179</v>
      </c>
      <c r="C1268" s="203">
        <v>7.577999999999999</v>
      </c>
      <c r="D1268" s="1" t="s">
        <v>395</v>
      </c>
    </row>
    <row r="1269">
      <c r="A1269" s="253">
        <v>45965.06850043981</v>
      </c>
      <c r="B1269" s="1" t="s">
        <v>204</v>
      </c>
      <c r="C1269" s="203">
        <v>10.131</v>
      </c>
      <c r="D1269" s="1" t="s">
        <v>96</v>
      </c>
    </row>
    <row r="1270">
      <c r="A1270" s="253">
        <v>45965.06850043981</v>
      </c>
      <c r="B1270" s="1" t="s">
        <v>216</v>
      </c>
      <c r="C1270" s="203">
        <v>4.6</v>
      </c>
      <c r="D1270" s="1" t="s">
        <v>224</v>
      </c>
    </row>
    <row r="1271">
      <c r="A1271" s="253">
        <v>45965.06850043981</v>
      </c>
      <c r="B1271" s="1" t="s">
        <v>217</v>
      </c>
      <c r="C1271" s="203">
        <v>1.7</v>
      </c>
      <c r="D1271" s="1" t="s">
        <v>249</v>
      </c>
    </row>
    <row r="1272">
      <c r="A1272" s="253">
        <v>45965.06850043981</v>
      </c>
      <c r="B1272" s="1" t="s">
        <v>114</v>
      </c>
      <c r="C1272" s="203">
        <v>9.587000000000002</v>
      </c>
      <c r="D1272" s="1" t="s">
        <v>395</v>
      </c>
    </row>
    <row r="1273">
      <c r="A1273" s="253">
        <v>45965.06850043981</v>
      </c>
      <c r="B1273" s="1" t="s">
        <v>536</v>
      </c>
      <c r="C1273" s="203">
        <v>7.284</v>
      </c>
      <c r="D1273" s="1" t="s">
        <v>96</v>
      </c>
    </row>
    <row r="1274">
      <c r="A1274" s="253">
        <v>45965.06850043981</v>
      </c>
      <c r="B1274" s="1" t="s">
        <v>101</v>
      </c>
      <c r="C1274" s="203">
        <v>8.1</v>
      </c>
      <c r="D1274" s="1" t="s">
        <v>395</v>
      </c>
    </row>
    <row r="1275">
      <c r="A1275" s="253">
        <v>45965.06850043981</v>
      </c>
      <c r="B1275" s="1" t="s">
        <v>135</v>
      </c>
      <c r="C1275" s="203">
        <v>8.3</v>
      </c>
      <c r="D1275" s="1" t="s">
        <v>156</v>
      </c>
    </row>
    <row r="1276">
      <c r="A1276" s="253">
        <v>45965.06850043981</v>
      </c>
      <c r="B1276" s="1" t="s">
        <v>136</v>
      </c>
      <c r="C1276" s="203">
        <v>11.754999999999999</v>
      </c>
      <c r="D1276" s="1" t="s">
        <v>132</v>
      </c>
    </row>
    <row r="1277">
      <c r="A1277" s="253">
        <v>45965.06850043981</v>
      </c>
      <c r="B1277" s="1" t="s">
        <v>137</v>
      </c>
      <c r="C1277" s="203">
        <v>7.999</v>
      </c>
      <c r="D1277" s="1" t="s">
        <v>249</v>
      </c>
    </row>
    <row r="1278">
      <c r="A1278" s="253">
        <v>45965.06850043981</v>
      </c>
      <c r="B1278" s="1" t="s">
        <v>125</v>
      </c>
      <c r="C1278" s="203">
        <v>6.9</v>
      </c>
      <c r="D1278" s="1" t="s">
        <v>311</v>
      </c>
    </row>
    <row r="1279">
      <c r="A1279" s="253">
        <v>45965.06850043981</v>
      </c>
      <c r="B1279" s="1" t="s">
        <v>231</v>
      </c>
      <c r="C1279" s="203">
        <v>10.389</v>
      </c>
      <c r="D1279" s="1" t="s">
        <v>395</v>
      </c>
    </row>
    <row r="1280">
      <c r="A1280" s="253">
        <v>45965.06850043981</v>
      </c>
      <c r="B1280" s="1" t="s">
        <v>126</v>
      </c>
      <c r="C1280" s="203">
        <v>5.9</v>
      </c>
      <c r="D1280" s="1" t="s">
        <v>193</v>
      </c>
    </row>
    <row r="1281">
      <c r="A1281" s="253">
        <v>45965.06850043981</v>
      </c>
      <c r="B1281" s="1" t="s">
        <v>127</v>
      </c>
      <c r="C1281" s="203">
        <v>5.9</v>
      </c>
      <c r="D1281" s="1" t="s">
        <v>62</v>
      </c>
    </row>
    <row r="1282">
      <c r="A1282" s="253">
        <v>45965.06850043981</v>
      </c>
      <c r="B1282" s="1" t="s">
        <v>170</v>
      </c>
      <c r="C1282" s="203">
        <v>4.2</v>
      </c>
      <c r="D1282" s="1" t="s">
        <v>493</v>
      </c>
    </row>
    <row r="1283">
      <c r="A1283" s="253">
        <v>45965.06850043981</v>
      </c>
      <c r="B1283" s="1" t="s">
        <v>205</v>
      </c>
      <c r="C1283" s="203">
        <v>4.8</v>
      </c>
      <c r="D1283" s="1" t="s">
        <v>493</v>
      </c>
    </row>
    <row r="1284">
      <c r="A1284" s="253">
        <v>45965.06850043981</v>
      </c>
      <c r="B1284" s="1" t="s">
        <v>227</v>
      </c>
      <c r="C1284" s="203">
        <v>5.976</v>
      </c>
      <c r="D1284" s="1" t="s">
        <v>62</v>
      </c>
    </row>
    <row r="1285">
      <c r="A1285" s="253">
        <v>45965.06850043981</v>
      </c>
      <c r="B1285" s="1" t="s">
        <v>552</v>
      </c>
      <c r="C1285" s="203">
        <v>4.6</v>
      </c>
      <c r="D1285" s="1" t="s">
        <v>193</v>
      </c>
    </row>
    <row r="1286">
      <c r="A1286" s="253">
        <v>45965.06850043981</v>
      </c>
      <c r="B1286" s="1" t="s">
        <v>151</v>
      </c>
      <c r="C1286" s="203">
        <v>7.46</v>
      </c>
      <c r="D1286" s="1" t="s">
        <v>249</v>
      </c>
    </row>
    <row r="1287">
      <c r="A1287" s="253">
        <v>45965.06850043981</v>
      </c>
      <c r="B1287" s="1" t="s">
        <v>115</v>
      </c>
      <c r="C1287" s="203">
        <v>9.711</v>
      </c>
      <c r="D1287" s="1" t="s">
        <v>132</v>
      </c>
    </row>
    <row r="1288">
      <c r="A1288" s="253">
        <v>45965.06850043981</v>
      </c>
      <c r="B1288" s="1" t="s">
        <v>206</v>
      </c>
      <c r="C1288" s="203">
        <v>7.2</v>
      </c>
      <c r="D1288" s="1" t="s">
        <v>311</v>
      </c>
    </row>
    <row r="1289">
      <c r="A1289" s="253">
        <v>45965.06850043981</v>
      </c>
      <c r="B1289" s="1" t="s">
        <v>152</v>
      </c>
      <c r="C1289" s="203">
        <v>6.198</v>
      </c>
      <c r="D1289" s="1" t="s">
        <v>311</v>
      </c>
    </row>
    <row r="1290">
      <c r="A1290" s="253">
        <v>45965.06850043981</v>
      </c>
      <c r="B1290" s="1" t="s">
        <v>138</v>
      </c>
      <c r="C1290" s="203">
        <v>5.4</v>
      </c>
      <c r="D1290" s="1" t="s">
        <v>493</v>
      </c>
    </row>
    <row r="1291">
      <c r="A1291" s="253">
        <v>45965.06850043981</v>
      </c>
      <c r="B1291" s="1" t="s">
        <v>102</v>
      </c>
      <c r="C1291" s="203">
        <v>10.071000000000002</v>
      </c>
      <c r="D1291" s="1" t="s">
        <v>238</v>
      </c>
    </row>
    <row r="1292">
      <c r="A1292" s="253">
        <v>45965.06850043981</v>
      </c>
      <c r="B1292" s="1" t="s">
        <v>548</v>
      </c>
      <c r="C1292" s="203">
        <v>7.263999999999999</v>
      </c>
      <c r="D1292" s="1" t="s">
        <v>238</v>
      </c>
    </row>
    <row r="1293">
      <c r="A1293" s="253">
        <v>45965.06850043981</v>
      </c>
      <c r="B1293" s="1" t="s">
        <v>116</v>
      </c>
      <c r="C1293" s="203">
        <v>9.384</v>
      </c>
      <c r="D1293" s="1" t="s">
        <v>156</v>
      </c>
    </row>
    <row r="1294">
      <c r="A1294" s="253">
        <v>45965.06850043981</v>
      </c>
      <c r="B1294" s="1" t="s">
        <v>140</v>
      </c>
      <c r="C1294" s="203">
        <v>3.8</v>
      </c>
      <c r="D1294" s="1" t="s">
        <v>224</v>
      </c>
    </row>
    <row r="1295">
      <c r="A1295" s="253">
        <v>45965.06850043981</v>
      </c>
      <c r="B1295" s="1" t="s">
        <v>139</v>
      </c>
      <c r="C1295" s="203">
        <v>8.789000000000001</v>
      </c>
      <c r="D1295" s="1" t="s">
        <v>311</v>
      </c>
    </row>
    <row r="1296">
      <c r="A1296" s="253">
        <v>45965.06850043981</v>
      </c>
      <c r="B1296" s="1" t="s">
        <v>153</v>
      </c>
      <c r="C1296" s="203">
        <v>2.8</v>
      </c>
      <c r="D1296" s="1" t="s">
        <v>96</v>
      </c>
    </row>
    <row r="1297">
      <c r="A1297" s="253">
        <v>45965.06850043981</v>
      </c>
      <c r="B1297" s="1" t="s">
        <v>141</v>
      </c>
      <c r="C1297" s="203">
        <v>7.0</v>
      </c>
      <c r="D1297" s="1" t="s">
        <v>238</v>
      </c>
    </row>
    <row r="1298">
      <c r="A1298" s="253">
        <v>45965.06850043981</v>
      </c>
      <c r="B1298" s="1" t="s">
        <v>207</v>
      </c>
      <c r="C1298" s="203">
        <v>5.7</v>
      </c>
      <c r="D1298" s="1" t="s">
        <v>493</v>
      </c>
    </row>
    <row r="1299">
      <c r="A1299" s="253">
        <v>45965.06850043981</v>
      </c>
      <c r="B1299" s="1" t="s">
        <v>208</v>
      </c>
      <c r="C1299" s="203">
        <v>8.3</v>
      </c>
      <c r="D1299" s="1" t="s">
        <v>156</v>
      </c>
    </row>
    <row r="1300">
      <c r="A1300" s="253">
        <v>45965.06850043981</v>
      </c>
      <c r="B1300" s="1" t="s">
        <v>103</v>
      </c>
      <c r="C1300" s="203">
        <v>7.893000000000001</v>
      </c>
      <c r="D1300" s="1" t="s">
        <v>224</v>
      </c>
    </row>
    <row r="1301">
      <c r="A1301" s="253">
        <v>45965.06850043981</v>
      </c>
      <c r="B1301" s="1" t="s">
        <v>117</v>
      </c>
      <c r="C1301" s="203">
        <v>6.2</v>
      </c>
      <c r="D1301" s="1" t="s">
        <v>95</v>
      </c>
    </row>
    <row r="1302">
      <c r="A1302" s="253">
        <v>45965.06850043981</v>
      </c>
      <c r="B1302" s="1" t="s">
        <v>142</v>
      </c>
      <c r="C1302" s="203">
        <v>7.5</v>
      </c>
      <c r="D1302" s="1" t="s">
        <v>96</v>
      </c>
    </row>
    <row r="1303">
      <c r="A1303" s="253">
        <v>45965.06850043981</v>
      </c>
      <c r="B1303" s="1" t="s">
        <v>181</v>
      </c>
      <c r="C1303" s="203">
        <v>1.8</v>
      </c>
      <c r="D1303" s="1" t="s">
        <v>156</v>
      </c>
    </row>
    <row r="1304">
      <c r="A1304" s="253">
        <v>45965.06850043981</v>
      </c>
      <c r="B1304" s="1" t="s">
        <v>182</v>
      </c>
      <c r="C1304" s="203">
        <v>7.854</v>
      </c>
      <c r="D1304" s="1" t="s">
        <v>193</v>
      </c>
    </row>
    <row r="1305">
      <c r="A1305" s="253">
        <v>45965.06850043981</v>
      </c>
      <c r="B1305" s="1" t="s">
        <v>228</v>
      </c>
      <c r="C1305" s="203">
        <v>4.2</v>
      </c>
      <c r="D1305" s="1" t="s">
        <v>43</v>
      </c>
    </row>
    <row r="1306">
      <c r="A1306" s="253">
        <v>45965.06850043981</v>
      </c>
      <c r="B1306" s="1" t="s">
        <v>118</v>
      </c>
      <c r="C1306" s="203">
        <v>4.4</v>
      </c>
      <c r="D1306" s="1" t="s">
        <v>43</v>
      </c>
    </row>
    <row r="1307">
      <c r="A1307" s="253">
        <v>45965.06850043981</v>
      </c>
      <c r="B1307" s="1" t="s">
        <v>154</v>
      </c>
      <c r="C1307" s="203">
        <v>10.619</v>
      </c>
      <c r="D1307" s="1" t="s">
        <v>156</v>
      </c>
    </row>
    <row r="1308">
      <c r="A1308" s="253">
        <v>45965.06850043981</v>
      </c>
      <c r="B1308" s="1" t="s">
        <v>172</v>
      </c>
      <c r="C1308" s="203">
        <v>4.1</v>
      </c>
      <c r="D1308" s="1" t="s">
        <v>311</v>
      </c>
    </row>
    <row r="1309">
      <c r="A1309" s="253">
        <v>45965.06850043981</v>
      </c>
      <c r="B1309" s="1" t="s">
        <v>143</v>
      </c>
      <c r="C1309" s="203">
        <v>6.2</v>
      </c>
      <c r="D1309" s="1" t="s">
        <v>493</v>
      </c>
    </row>
    <row r="1310">
      <c r="A1310" s="253">
        <v>45965.06850043981</v>
      </c>
      <c r="B1310" s="1" t="s">
        <v>229</v>
      </c>
      <c r="C1310" s="203">
        <v>9.6</v>
      </c>
      <c r="D1310" s="1" t="s">
        <v>96</v>
      </c>
    </row>
    <row r="1311">
      <c r="A1311" s="253">
        <v>45965.06850043981</v>
      </c>
      <c r="B1311" s="1" t="s">
        <v>173</v>
      </c>
      <c r="C1311" s="203">
        <v>7.866999999999999</v>
      </c>
      <c r="D1311" s="1" t="s">
        <v>96</v>
      </c>
    </row>
    <row r="1312">
      <c r="A1312" s="253">
        <v>45965.06850043981</v>
      </c>
      <c r="B1312" s="1" t="s">
        <v>144</v>
      </c>
      <c r="C1312" s="203">
        <v>11.697999999999999</v>
      </c>
      <c r="D1312" s="1" t="s">
        <v>193</v>
      </c>
    </row>
    <row r="1313">
      <c r="A1313" s="253">
        <v>45965.06850043981</v>
      </c>
      <c r="B1313" s="1" t="s">
        <v>128</v>
      </c>
      <c r="C1313" s="203">
        <v>8.497</v>
      </c>
      <c r="D1313" s="1" t="s">
        <v>95</v>
      </c>
    </row>
    <row r="1314">
      <c r="A1314" s="253">
        <v>45965.06850043981</v>
      </c>
      <c r="B1314" s="1" t="s">
        <v>129</v>
      </c>
      <c r="C1314" s="203">
        <v>1.2</v>
      </c>
      <c r="D1314" s="1" t="s">
        <v>96</v>
      </c>
    </row>
    <row r="1315">
      <c r="A1315" s="253">
        <v>45965.06850043981</v>
      </c>
      <c r="B1315" s="1" t="s">
        <v>155</v>
      </c>
      <c r="C1315" s="203">
        <v>8.397</v>
      </c>
      <c r="D1315" s="1" t="s">
        <v>62</v>
      </c>
    </row>
    <row r="1316">
      <c r="A1316" s="253">
        <v>45965.06850043981</v>
      </c>
      <c r="B1316" s="1" t="s">
        <v>209</v>
      </c>
      <c r="C1316" s="203">
        <v>10.441</v>
      </c>
      <c r="D1316" s="1" t="s">
        <v>249</v>
      </c>
    </row>
    <row r="1317">
      <c r="A1317" s="253">
        <v>45965.06850043981</v>
      </c>
      <c r="B1317" s="1" t="s">
        <v>192</v>
      </c>
      <c r="C1317" s="203">
        <v>10.17</v>
      </c>
      <c r="D1317" s="1" t="s">
        <v>311</v>
      </c>
    </row>
    <row r="1318">
      <c r="A1318" s="253">
        <v>45965.06850043981</v>
      </c>
      <c r="B1318" s="1" t="s">
        <v>194</v>
      </c>
      <c r="C1318" s="203">
        <v>3.7</v>
      </c>
      <c r="D1318" s="1" t="s">
        <v>193</v>
      </c>
    </row>
    <row r="1319">
      <c r="A1319" s="253">
        <v>45965.06850043981</v>
      </c>
      <c r="B1319" s="1" t="s">
        <v>145</v>
      </c>
      <c r="C1319" s="203">
        <v>5.4</v>
      </c>
      <c r="D1319" s="1" t="s">
        <v>43</v>
      </c>
    </row>
    <row r="1320">
      <c r="A1320" s="253">
        <v>45965.06850043981</v>
      </c>
      <c r="B1320" s="1" t="s">
        <v>119</v>
      </c>
      <c r="C1320" s="203">
        <v>7.963</v>
      </c>
      <c r="D1320" s="1" t="s">
        <v>238</v>
      </c>
    </row>
    <row r="1321">
      <c r="A1321" s="253">
        <v>45965.06850043981</v>
      </c>
      <c r="B1321" s="1" t="s">
        <v>146</v>
      </c>
      <c r="C1321" s="203">
        <v>2.2</v>
      </c>
      <c r="D1321" s="1" t="s">
        <v>493</v>
      </c>
    </row>
    <row r="1322">
      <c r="A1322" s="253">
        <v>45965.06850043981</v>
      </c>
      <c r="B1322" s="1" t="s">
        <v>157</v>
      </c>
      <c r="C1322" s="203">
        <v>4.7</v>
      </c>
      <c r="D1322" s="1" t="s">
        <v>43</v>
      </c>
    </row>
    <row r="1323">
      <c r="A1323" s="253">
        <v>45965.06850043981</v>
      </c>
      <c r="B1323" s="1" t="s">
        <v>147</v>
      </c>
      <c r="C1323" s="203">
        <v>4.8</v>
      </c>
      <c r="D1323" s="1" t="s">
        <v>395</v>
      </c>
    </row>
    <row r="1324">
      <c r="A1324" s="253">
        <v>45965.06850043981</v>
      </c>
      <c r="B1324" s="1" t="s">
        <v>183</v>
      </c>
      <c r="C1324" s="203">
        <v>9.485000000000001</v>
      </c>
      <c r="D1324" s="1" t="s">
        <v>249</v>
      </c>
    </row>
    <row r="1325">
      <c r="A1325" s="253">
        <v>45965.06850043981</v>
      </c>
      <c r="B1325" s="1" t="s">
        <v>549</v>
      </c>
      <c r="C1325" s="203">
        <v>5.195</v>
      </c>
      <c r="D1325" s="1" t="s">
        <v>238</v>
      </c>
    </row>
    <row r="1326">
      <c r="A1326" s="253">
        <v>45965.06850043981</v>
      </c>
      <c r="B1326" s="1" t="s">
        <v>104</v>
      </c>
      <c r="C1326" s="203">
        <v>8.229000000000001</v>
      </c>
      <c r="D1326" s="1" t="s">
        <v>193</v>
      </c>
    </row>
    <row r="1327">
      <c r="A1327" s="253">
        <v>45965.06850043981</v>
      </c>
      <c r="B1327" s="1" t="s">
        <v>220</v>
      </c>
      <c r="C1327" s="203">
        <v>3.3</v>
      </c>
      <c r="D1327" s="1" t="s">
        <v>238</v>
      </c>
    </row>
    <row r="1328">
      <c r="A1328" s="253">
        <v>45965.06850043981</v>
      </c>
      <c r="B1328" s="1" t="s">
        <v>210</v>
      </c>
      <c r="C1328" s="203">
        <v>4.7</v>
      </c>
      <c r="D1328" s="1" t="s">
        <v>132</v>
      </c>
    </row>
    <row r="1329">
      <c r="A1329" s="253">
        <v>45965.06850043981</v>
      </c>
      <c r="B1329" s="1" t="s">
        <v>105</v>
      </c>
      <c r="C1329" s="203">
        <v>9.518</v>
      </c>
      <c r="D1329" s="1" t="s">
        <v>96</v>
      </c>
    </row>
    <row r="1330">
      <c r="A1330" s="253">
        <v>45965.06850043981</v>
      </c>
      <c r="B1330" s="1" t="s">
        <v>546</v>
      </c>
      <c r="C1330" s="203">
        <v>8.517999999999999</v>
      </c>
      <c r="D1330" s="1" t="s">
        <v>493</v>
      </c>
    </row>
    <row r="1331">
      <c r="A1331" s="253">
        <v>45965.06850043981</v>
      </c>
      <c r="B1331" s="1" t="s">
        <v>195</v>
      </c>
      <c r="C1331" s="203">
        <v>4.0</v>
      </c>
      <c r="D1331" s="1" t="s">
        <v>493</v>
      </c>
    </row>
    <row r="1332">
      <c r="A1332" s="253">
        <v>45965.06850043981</v>
      </c>
      <c r="B1332" s="1" t="s">
        <v>120</v>
      </c>
      <c r="C1332" s="203">
        <v>3.6</v>
      </c>
      <c r="D1332" s="1" t="s">
        <v>493</v>
      </c>
    </row>
    <row r="1333">
      <c r="A1333" s="253">
        <v>45965.06850043981</v>
      </c>
      <c r="B1333" s="1" t="s">
        <v>130</v>
      </c>
      <c r="C1333" s="203">
        <v>8.187</v>
      </c>
      <c r="D1333" s="1" t="s">
        <v>95</v>
      </c>
    </row>
    <row r="1334">
      <c r="A1334" s="253">
        <v>45965.06850043981</v>
      </c>
      <c r="B1334" s="1" t="s">
        <v>106</v>
      </c>
      <c r="C1334" s="203">
        <v>5.8</v>
      </c>
      <c r="D1334" s="1" t="s">
        <v>493</v>
      </c>
    </row>
    <row r="1335">
      <c r="A1335" s="253">
        <v>45965.06850043981</v>
      </c>
      <c r="B1335" s="1" t="s">
        <v>211</v>
      </c>
      <c r="C1335" s="203">
        <v>8.2</v>
      </c>
      <c r="D1335" s="1" t="s">
        <v>193</v>
      </c>
    </row>
    <row r="1336">
      <c r="A1336" s="253">
        <v>45965.06850043981</v>
      </c>
      <c r="B1336" s="1" t="s">
        <v>539</v>
      </c>
      <c r="C1336" s="203">
        <v>10.84</v>
      </c>
      <c r="D1336" s="1" t="s">
        <v>238</v>
      </c>
    </row>
    <row r="1337">
      <c r="A1337" s="253">
        <v>45965.06850043981</v>
      </c>
      <c r="B1337" s="1" t="s">
        <v>131</v>
      </c>
      <c r="C1337" s="203">
        <v>8.833</v>
      </c>
      <c r="D1337" s="1" t="s">
        <v>132</v>
      </c>
    </row>
    <row r="1338">
      <c r="A1338" s="253">
        <v>45965.06850043981</v>
      </c>
      <c r="B1338" s="1" t="s">
        <v>221</v>
      </c>
      <c r="C1338" s="203">
        <v>5.6</v>
      </c>
      <c r="D1338" s="1" t="s">
        <v>95</v>
      </c>
    </row>
    <row r="1339">
      <c r="A1339" s="253">
        <v>45965.06850043981</v>
      </c>
      <c r="B1339" s="1" t="s">
        <v>133</v>
      </c>
      <c r="C1339" s="203">
        <v>10.44</v>
      </c>
      <c r="D1339" s="1" t="s">
        <v>43</v>
      </c>
    </row>
    <row r="1340">
      <c r="A1340" s="253">
        <v>45965.06850043981</v>
      </c>
      <c r="B1340" s="1" t="s">
        <v>174</v>
      </c>
      <c r="C1340" s="203">
        <v>7.09</v>
      </c>
      <c r="D1340" s="1" t="s">
        <v>156</v>
      </c>
    </row>
    <row r="1341">
      <c r="A1341" s="253">
        <v>45965.06850043981</v>
      </c>
      <c r="B1341" s="1" t="s">
        <v>222</v>
      </c>
      <c r="C1341" s="203">
        <v>7.449</v>
      </c>
      <c r="D1341" s="1" t="s">
        <v>96</v>
      </c>
    </row>
    <row r="1342">
      <c r="A1342" s="253">
        <v>45965.06850043981</v>
      </c>
      <c r="B1342" s="1" t="s">
        <v>107</v>
      </c>
      <c r="C1342" s="203">
        <v>8.756</v>
      </c>
      <c r="D1342" s="1" t="s">
        <v>132</v>
      </c>
    </row>
    <row r="1343">
      <c r="A1343" s="253">
        <v>45965.06850043981</v>
      </c>
      <c r="B1343" s="1" t="s">
        <v>108</v>
      </c>
      <c r="C1343" s="203">
        <v>3.4</v>
      </c>
      <c r="D1343" s="1" t="s">
        <v>493</v>
      </c>
    </row>
    <row r="1344">
      <c r="A1344" s="253">
        <v>45965.06850043981</v>
      </c>
      <c r="B1344" s="1" t="s">
        <v>163</v>
      </c>
      <c r="C1344" s="203">
        <v>4.1</v>
      </c>
      <c r="D1344" s="1" t="s">
        <v>62</v>
      </c>
    </row>
    <row r="1345">
      <c r="A1345" s="253">
        <v>45965.06850043981</v>
      </c>
      <c r="B1345" s="1" t="s">
        <v>109</v>
      </c>
      <c r="C1345" s="203">
        <v>5.7</v>
      </c>
      <c r="D1345" s="1" t="s">
        <v>156</v>
      </c>
    </row>
    <row r="1346">
      <c r="A1346" s="253">
        <v>45965.06850043981</v>
      </c>
      <c r="B1346" s="1" t="s">
        <v>196</v>
      </c>
      <c r="C1346" s="203">
        <v>3.6</v>
      </c>
      <c r="D1346" s="1" t="s">
        <v>62</v>
      </c>
    </row>
    <row r="1347">
      <c r="A1347" s="253">
        <v>45965.06850043981</v>
      </c>
      <c r="B1347" s="1" t="s">
        <v>99</v>
      </c>
      <c r="C1347" s="203">
        <v>7.8</v>
      </c>
      <c r="D1347" s="1" t="s">
        <v>395</v>
      </c>
    </row>
    <row r="1348">
      <c r="A1348" s="253">
        <v>45965.06850043981</v>
      </c>
      <c r="B1348" s="1" t="s">
        <v>219</v>
      </c>
      <c r="C1348" s="203">
        <v>3.6</v>
      </c>
      <c r="D1348" s="1" t="s">
        <v>493</v>
      </c>
    </row>
    <row r="1349">
      <c r="A1349" s="253">
        <v>45965.06850043981</v>
      </c>
      <c r="B1349" s="1" t="s">
        <v>527</v>
      </c>
      <c r="D1349" s="1" t="s">
        <v>43</v>
      </c>
    </row>
    <row r="1350">
      <c r="A1350" s="253">
        <v>45965.06850043981</v>
      </c>
      <c r="B1350" s="1" t="s">
        <v>185</v>
      </c>
      <c r="C1350" s="203">
        <v>8.84</v>
      </c>
      <c r="D1350" s="1" t="s">
        <v>224</v>
      </c>
    </row>
    <row r="1351">
      <c r="A1351" s="253">
        <v>45965.06850043981</v>
      </c>
      <c r="B1351" s="1" t="s">
        <v>197</v>
      </c>
      <c r="C1351" s="203">
        <v>8.889000000000001</v>
      </c>
      <c r="D1351" s="1" t="s">
        <v>95</v>
      </c>
    </row>
    <row r="1352">
      <c r="A1352" s="253">
        <v>45965.06850043981</v>
      </c>
      <c r="B1352" s="1" t="s">
        <v>186</v>
      </c>
      <c r="C1352" s="203">
        <v>5.893000000000001</v>
      </c>
      <c r="D1352" s="1" t="s">
        <v>311</v>
      </c>
    </row>
    <row r="1353">
      <c r="A1353" s="253">
        <v>45965.06850043981</v>
      </c>
      <c r="B1353" s="1" t="s">
        <v>198</v>
      </c>
      <c r="C1353" s="203">
        <v>9.491</v>
      </c>
      <c r="D1353" s="1" t="s">
        <v>95</v>
      </c>
    </row>
    <row r="1354">
      <c r="A1354" s="253">
        <v>45965.06850043981</v>
      </c>
      <c r="B1354" s="1" t="s">
        <v>160</v>
      </c>
      <c r="C1354" s="203">
        <v>4.0</v>
      </c>
      <c r="D1354" s="1" t="s">
        <v>238</v>
      </c>
    </row>
    <row r="1355">
      <c r="A1355" s="253">
        <v>45965.06850043981</v>
      </c>
      <c r="B1355" s="1" t="s">
        <v>161</v>
      </c>
      <c r="C1355" s="203">
        <v>6.098999999999999</v>
      </c>
      <c r="D1355" s="1" t="s">
        <v>311</v>
      </c>
    </row>
    <row r="1356">
      <c r="A1356" s="253">
        <v>45965.06850043981</v>
      </c>
      <c r="B1356" s="1" t="s">
        <v>213</v>
      </c>
      <c r="C1356" s="203">
        <v>9.0</v>
      </c>
      <c r="D1356" s="1" t="s">
        <v>395</v>
      </c>
    </row>
    <row r="1357">
      <c r="A1357" s="253">
        <v>45965.06850043981</v>
      </c>
      <c r="B1357" s="1" t="s">
        <v>121</v>
      </c>
      <c r="C1357" s="203">
        <v>9.984</v>
      </c>
      <c r="D1357" s="1" t="s">
        <v>96</v>
      </c>
    </row>
    <row r="1358">
      <c r="A1358" s="253">
        <v>45965.06850043981</v>
      </c>
      <c r="B1358" s="1" t="s">
        <v>122</v>
      </c>
      <c r="C1358" s="203">
        <v>3.5</v>
      </c>
      <c r="D1358" s="1" t="s">
        <v>311</v>
      </c>
    </row>
    <row r="1359">
      <c r="A1359" s="253">
        <v>45965.06850043981</v>
      </c>
      <c r="B1359" s="1" t="s">
        <v>123</v>
      </c>
      <c r="C1359" s="203">
        <v>7.0</v>
      </c>
      <c r="D1359" s="1" t="s">
        <v>493</v>
      </c>
    </row>
    <row r="1360">
      <c r="A1360" s="253">
        <v>45965.06850043981</v>
      </c>
      <c r="B1360" s="1" t="s">
        <v>199</v>
      </c>
      <c r="C1360" s="203">
        <v>8.7</v>
      </c>
      <c r="D1360" s="1" t="s">
        <v>62</v>
      </c>
    </row>
    <row r="1361">
      <c r="A1361" s="253">
        <v>45965.06850043981</v>
      </c>
      <c r="B1361" s="1" t="s">
        <v>200</v>
      </c>
      <c r="C1361" s="203">
        <v>5.6</v>
      </c>
      <c r="D1361" s="1" t="s">
        <v>493</v>
      </c>
    </row>
    <row r="1362">
      <c r="A1362" s="253">
        <v>45965.06850043981</v>
      </c>
      <c r="B1362" s="1" t="s">
        <v>134</v>
      </c>
      <c r="C1362" s="203">
        <v>3.8</v>
      </c>
      <c r="D1362" s="1" t="s">
        <v>132</v>
      </c>
    </row>
    <row r="1363">
      <c r="A1363" s="253">
        <v>45965.06850043981</v>
      </c>
      <c r="B1363" s="1" t="s">
        <v>162</v>
      </c>
      <c r="C1363" s="203">
        <v>8.263</v>
      </c>
      <c r="D1363" s="1" t="s">
        <v>395</v>
      </c>
    </row>
    <row r="1364">
      <c r="A1364" s="253">
        <v>45965.06850043981</v>
      </c>
      <c r="B1364" s="1" t="s">
        <v>175</v>
      </c>
      <c r="C1364" s="203">
        <v>6.75</v>
      </c>
      <c r="D1364" s="1" t="s">
        <v>395</v>
      </c>
    </row>
    <row r="1365">
      <c r="A1365" s="253">
        <v>45965.06850043981</v>
      </c>
      <c r="B1365" s="1" t="s">
        <v>148</v>
      </c>
      <c r="C1365" s="203">
        <v>3.0</v>
      </c>
      <c r="D1365" s="1" t="s">
        <v>238</v>
      </c>
    </row>
    <row r="1366">
      <c r="A1366" s="253">
        <v>45965.06850043981</v>
      </c>
      <c r="B1366" s="1" t="s">
        <v>187</v>
      </c>
      <c r="C1366" s="203">
        <v>5.5</v>
      </c>
      <c r="D1366" s="1" t="s">
        <v>132</v>
      </c>
    </row>
    <row r="1367">
      <c r="A1367" s="253">
        <v>45965.06850043981</v>
      </c>
      <c r="B1367" s="1" t="s">
        <v>234</v>
      </c>
      <c r="D1367" s="1" t="s">
        <v>311</v>
      </c>
    </row>
    <row r="1368">
      <c r="A1368" s="253">
        <v>45965.06850043981</v>
      </c>
      <c r="B1368" s="1" t="s">
        <v>232</v>
      </c>
      <c r="C1368" s="203">
        <v>7.248</v>
      </c>
      <c r="D1368" s="1" t="s">
        <v>156</v>
      </c>
    </row>
    <row r="1369">
      <c r="A1369" s="253">
        <v>45965.06850043981</v>
      </c>
    </row>
    <row r="1370">
      <c r="A1370" s="253">
        <v>45965.06850043981</v>
      </c>
    </row>
    <row r="1371">
      <c r="A1371" s="253">
        <v>45965.06850043981</v>
      </c>
    </row>
    <row r="1372">
      <c r="A1372" s="1" t="s">
        <v>914</v>
      </c>
      <c r="B1372" s="1" t="s">
        <v>13</v>
      </c>
      <c r="C1372" s="1" t="s">
        <v>2047</v>
      </c>
      <c r="D1372" s="1" t="s">
        <v>2048</v>
      </c>
    </row>
    <row r="1373">
      <c r="A1373" s="253">
        <v>45972.068451053245</v>
      </c>
      <c r="B1373" s="1" t="s">
        <v>176</v>
      </c>
      <c r="C1373" s="203">
        <v>4.2</v>
      </c>
      <c r="D1373" s="1" t="s">
        <v>43</v>
      </c>
    </row>
    <row r="1374">
      <c r="A1374" s="253">
        <v>45972.068451053245</v>
      </c>
      <c r="B1374" s="1" t="s">
        <v>164</v>
      </c>
      <c r="C1374" s="203">
        <v>5.0</v>
      </c>
      <c r="D1374" s="1" t="s">
        <v>193</v>
      </c>
    </row>
    <row r="1375">
      <c r="A1375" s="253">
        <v>45972.068451053245</v>
      </c>
      <c r="B1375" s="1" t="s">
        <v>201</v>
      </c>
      <c r="C1375" s="203">
        <v>10.468</v>
      </c>
      <c r="D1375" s="1" t="s">
        <v>62</v>
      </c>
    </row>
    <row r="1376">
      <c r="A1376" s="253">
        <v>45972.068451053245</v>
      </c>
      <c r="B1376" s="1" t="e">
        <v>#N/A</v>
      </c>
      <c r="C1376" s="1" t="e">
        <v>#N/A</v>
      </c>
      <c r="D1376" s="1" t="s">
        <v>2050</v>
      </c>
    </row>
    <row r="1377">
      <c r="A1377" s="253">
        <v>45972.068451053245</v>
      </c>
      <c r="B1377" s="1" t="s">
        <v>189</v>
      </c>
      <c r="C1377" s="203">
        <v>8.084999999999999</v>
      </c>
      <c r="D1377" s="1" t="s">
        <v>43</v>
      </c>
    </row>
    <row r="1378">
      <c r="A1378" s="253">
        <v>45972.068451053245</v>
      </c>
      <c r="B1378" s="1" t="s">
        <v>188</v>
      </c>
      <c r="C1378" s="203">
        <v>7.4</v>
      </c>
      <c r="D1378" s="1" t="s">
        <v>493</v>
      </c>
    </row>
    <row r="1379">
      <c r="A1379" s="253">
        <v>45972.068451053245</v>
      </c>
      <c r="B1379" s="1" t="s">
        <v>202</v>
      </c>
      <c r="C1379" s="203">
        <v>2.8</v>
      </c>
      <c r="D1379" s="1" t="s">
        <v>156</v>
      </c>
    </row>
    <row r="1380">
      <c r="A1380" s="253">
        <v>45972.068451053245</v>
      </c>
      <c r="B1380" s="1" t="s">
        <v>215</v>
      </c>
      <c r="C1380" s="203">
        <v>6.098999999999999</v>
      </c>
      <c r="D1380" s="1" t="s">
        <v>132</v>
      </c>
    </row>
    <row r="1381">
      <c r="A1381" s="253">
        <v>45972.068451053245</v>
      </c>
      <c r="B1381" s="1" t="s">
        <v>225</v>
      </c>
      <c r="C1381" s="203">
        <v>6.7</v>
      </c>
      <c r="D1381" s="1" t="s">
        <v>395</v>
      </c>
    </row>
    <row r="1382">
      <c r="A1382" s="253">
        <v>45972.068451053245</v>
      </c>
      <c r="B1382" s="1" t="s">
        <v>45</v>
      </c>
      <c r="C1382" s="203">
        <v>5.2</v>
      </c>
      <c r="D1382" s="1" t="s">
        <v>43</v>
      </c>
    </row>
    <row r="1383">
      <c r="A1383" s="253">
        <v>45972.068451053245</v>
      </c>
      <c r="B1383" s="1" t="s">
        <v>165</v>
      </c>
      <c r="C1383" s="203">
        <v>4.7</v>
      </c>
      <c r="D1383" s="1" t="s">
        <v>95</v>
      </c>
    </row>
    <row r="1384">
      <c r="A1384" s="253">
        <v>45972.068451053245</v>
      </c>
      <c r="B1384" s="1" t="s">
        <v>124</v>
      </c>
      <c r="C1384" s="203">
        <v>6.3</v>
      </c>
      <c r="D1384" s="1" t="s">
        <v>249</v>
      </c>
    </row>
    <row r="1385">
      <c r="A1385" s="253">
        <v>45972.068451053245</v>
      </c>
      <c r="B1385" s="1" t="s">
        <v>177</v>
      </c>
      <c r="C1385" s="203">
        <v>8.213</v>
      </c>
      <c r="D1385" s="1" t="s">
        <v>95</v>
      </c>
    </row>
    <row r="1386">
      <c r="A1386" s="253">
        <v>45972.068451053245</v>
      </c>
      <c r="B1386" s="1" t="s">
        <v>110</v>
      </c>
      <c r="C1386" s="203">
        <v>1.5</v>
      </c>
      <c r="D1386" s="1" t="s">
        <v>493</v>
      </c>
    </row>
    <row r="1387">
      <c r="A1387" s="253">
        <v>45972.068451053245</v>
      </c>
      <c r="B1387" s="1" t="s">
        <v>166</v>
      </c>
      <c r="C1387" s="203">
        <v>4.6</v>
      </c>
      <c r="D1387" s="1" t="s">
        <v>224</v>
      </c>
    </row>
    <row r="1388">
      <c r="A1388" s="253">
        <v>45972.068451053245</v>
      </c>
      <c r="B1388" s="1" t="s">
        <v>167</v>
      </c>
      <c r="C1388" s="203">
        <v>6.045</v>
      </c>
      <c r="D1388" s="1" t="s">
        <v>249</v>
      </c>
    </row>
    <row r="1389">
      <c r="A1389" s="253">
        <v>45972.068451053245</v>
      </c>
      <c r="B1389" s="1" t="s">
        <v>226</v>
      </c>
      <c r="C1389" s="203">
        <v>10.217</v>
      </c>
      <c r="D1389" s="1" t="s">
        <v>224</v>
      </c>
    </row>
    <row r="1390">
      <c r="A1390" s="253">
        <v>45972.068451053245</v>
      </c>
      <c r="B1390" s="1" t="s">
        <v>190</v>
      </c>
      <c r="C1390" s="203">
        <v>6.7</v>
      </c>
      <c r="D1390" s="1" t="s">
        <v>62</v>
      </c>
    </row>
    <row r="1391">
      <c r="A1391" s="253">
        <v>45972.068451053245</v>
      </c>
      <c r="B1391" s="1" t="s">
        <v>168</v>
      </c>
      <c r="C1391" s="203">
        <v>6.590999999999999</v>
      </c>
      <c r="D1391" s="1" t="s">
        <v>132</v>
      </c>
    </row>
    <row r="1392">
      <c r="A1392" s="253">
        <v>45972.068451053245</v>
      </c>
      <c r="B1392" s="1" t="s">
        <v>159</v>
      </c>
      <c r="D1392" s="1" t="s">
        <v>249</v>
      </c>
    </row>
    <row r="1393">
      <c r="A1393" s="253">
        <v>45972.068451053245</v>
      </c>
      <c r="B1393" s="1" t="s">
        <v>98</v>
      </c>
      <c r="C1393" s="203">
        <v>8.465</v>
      </c>
      <c r="D1393" s="1" t="s">
        <v>238</v>
      </c>
    </row>
    <row r="1394">
      <c r="A1394" s="253">
        <v>45972.068451053245</v>
      </c>
      <c r="B1394" s="1" t="s">
        <v>111</v>
      </c>
      <c r="C1394" s="203">
        <v>5.9</v>
      </c>
      <c r="D1394" s="1" t="s">
        <v>249</v>
      </c>
    </row>
    <row r="1395">
      <c r="A1395" s="253">
        <v>45972.068451053245</v>
      </c>
      <c r="B1395" s="1" t="s">
        <v>223</v>
      </c>
      <c r="C1395" s="203">
        <v>6.577999999999999</v>
      </c>
      <c r="D1395" s="1" t="s">
        <v>156</v>
      </c>
    </row>
    <row r="1396">
      <c r="A1396" s="253">
        <v>45972.068451053245</v>
      </c>
      <c r="B1396" s="1" t="s">
        <v>191</v>
      </c>
      <c r="C1396" s="203">
        <v>3.5</v>
      </c>
      <c r="D1396" s="1" t="s">
        <v>224</v>
      </c>
    </row>
    <row r="1397">
      <c r="A1397" s="253">
        <v>45972.068451053245</v>
      </c>
      <c r="B1397" s="1" t="s">
        <v>178</v>
      </c>
      <c r="C1397" s="203">
        <v>2.7</v>
      </c>
      <c r="D1397" s="1" t="s">
        <v>62</v>
      </c>
    </row>
    <row r="1398">
      <c r="A1398" s="253">
        <v>45972.068451053245</v>
      </c>
      <c r="B1398" s="1" t="s">
        <v>112</v>
      </c>
      <c r="C1398" s="203">
        <v>7.101</v>
      </c>
      <c r="D1398" s="1" t="s">
        <v>249</v>
      </c>
    </row>
    <row r="1399">
      <c r="A1399" s="253">
        <v>45972.068451053245</v>
      </c>
      <c r="B1399" s="1" t="s">
        <v>100</v>
      </c>
      <c r="C1399" s="203">
        <v>7.979</v>
      </c>
      <c r="D1399" s="1" t="s">
        <v>95</v>
      </c>
    </row>
    <row r="1400">
      <c r="A1400" s="253">
        <v>45972.068451053245</v>
      </c>
      <c r="B1400" s="1" t="s">
        <v>304</v>
      </c>
      <c r="C1400" s="203">
        <v>3.9</v>
      </c>
      <c r="D1400" s="1" t="s">
        <v>62</v>
      </c>
    </row>
    <row r="1401">
      <c r="A1401" s="253">
        <v>45972.068451053245</v>
      </c>
      <c r="B1401" s="1" t="s">
        <v>150</v>
      </c>
      <c r="C1401" s="203">
        <v>4.6</v>
      </c>
      <c r="D1401" s="1" t="s">
        <v>193</v>
      </c>
    </row>
    <row r="1402">
      <c r="A1402" s="253">
        <v>45972.068451053245</v>
      </c>
      <c r="B1402" s="1" t="s">
        <v>203</v>
      </c>
      <c r="C1402" s="203">
        <v>4.0</v>
      </c>
      <c r="D1402" s="1" t="s">
        <v>224</v>
      </c>
    </row>
    <row r="1403">
      <c r="A1403" s="253">
        <v>45972.068451053245</v>
      </c>
      <c r="B1403" s="1" t="s">
        <v>545</v>
      </c>
      <c r="C1403" s="203">
        <v>5.6</v>
      </c>
      <c r="D1403" s="1" t="s">
        <v>132</v>
      </c>
    </row>
    <row r="1404">
      <c r="A1404" s="253">
        <v>45972.068451053245</v>
      </c>
      <c r="B1404" s="1" t="s">
        <v>113</v>
      </c>
      <c r="C1404" s="203">
        <v>6.0</v>
      </c>
      <c r="D1404" s="1" t="s">
        <v>224</v>
      </c>
    </row>
    <row r="1405">
      <c r="A1405" s="253">
        <v>45972.068451053245</v>
      </c>
      <c r="B1405" s="1" t="s">
        <v>179</v>
      </c>
      <c r="C1405" s="203">
        <v>7.483</v>
      </c>
      <c r="D1405" s="1" t="s">
        <v>395</v>
      </c>
    </row>
    <row r="1406">
      <c r="A1406" s="253">
        <v>45972.068451053245</v>
      </c>
      <c r="B1406" s="1" t="s">
        <v>204</v>
      </c>
      <c r="C1406" s="203">
        <v>10.427</v>
      </c>
      <c r="D1406" s="1" t="s">
        <v>96</v>
      </c>
    </row>
    <row r="1407">
      <c r="A1407" s="253">
        <v>45972.068451053245</v>
      </c>
      <c r="B1407" s="1" t="s">
        <v>216</v>
      </c>
      <c r="C1407" s="203">
        <v>5.2</v>
      </c>
      <c r="D1407" s="1" t="s">
        <v>224</v>
      </c>
    </row>
    <row r="1408">
      <c r="A1408" s="253">
        <v>45972.068451053245</v>
      </c>
      <c r="B1408" s="1" t="s">
        <v>217</v>
      </c>
      <c r="C1408" s="203">
        <v>1.4</v>
      </c>
      <c r="D1408" s="1" t="s">
        <v>249</v>
      </c>
    </row>
    <row r="1409">
      <c r="A1409" s="253">
        <v>45972.068451053245</v>
      </c>
      <c r="B1409" s="1" t="s">
        <v>114</v>
      </c>
      <c r="C1409" s="203">
        <v>9.649</v>
      </c>
      <c r="D1409" s="1" t="s">
        <v>395</v>
      </c>
    </row>
    <row r="1410">
      <c r="A1410" s="253">
        <v>45972.068451053245</v>
      </c>
      <c r="B1410" s="1" t="s">
        <v>536</v>
      </c>
      <c r="C1410" s="203">
        <v>8.04</v>
      </c>
      <c r="D1410" s="1" t="s">
        <v>96</v>
      </c>
    </row>
    <row r="1411">
      <c r="A1411" s="253">
        <v>45972.068451053245</v>
      </c>
      <c r="B1411" s="1" t="s">
        <v>101</v>
      </c>
      <c r="C1411" s="203">
        <v>8.799000000000001</v>
      </c>
      <c r="D1411" s="1" t="s">
        <v>395</v>
      </c>
    </row>
    <row r="1412">
      <c r="A1412" s="253">
        <v>45972.068451053245</v>
      </c>
      <c r="B1412" s="1" t="s">
        <v>135</v>
      </c>
      <c r="C1412" s="203">
        <v>8.3</v>
      </c>
      <c r="D1412" s="1" t="s">
        <v>156</v>
      </c>
    </row>
    <row r="1413">
      <c r="A1413" s="253">
        <v>45972.068451053245</v>
      </c>
      <c r="B1413" s="1" t="s">
        <v>136</v>
      </c>
      <c r="C1413" s="203">
        <v>11.941</v>
      </c>
      <c r="D1413" s="1" t="s">
        <v>132</v>
      </c>
    </row>
    <row r="1414">
      <c r="A1414" s="253">
        <v>45972.068451053245</v>
      </c>
      <c r="B1414" s="1" t="s">
        <v>137</v>
      </c>
      <c r="C1414" s="203">
        <v>7.7</v>
      </c>
      <c r="D1414" s="1" t="s">
        <v>249</v>
      </c>
    </row>
    <row r="1415">
      <c r="A1415" s="253">
        <v>45972.068451053245</v>
      </c>
      <c r="B1415" s="1" t="s">
        <v>125</v>
      </c>
      <c r="C1415" s="203">
        <v>7.6</v>
      </c>
      <c r="D1415" s="1" t="s">
        <v>311</v>
      </c>
    </row>
    <row r="1416">
      <c r="A1416" s="253">
        <v>45972.068451053245</v>
      </c>
      <c r="B1416" s="1" t="s">
        <v>231</v>
      </c>
      <c r="C1416" s="203">
        <v>10.637</v>
      </c>
      <c r="D1416" s="1" t="s">
        <v>395</v>
      </c>
    </row>
    <row r="1417">
      <c r="A1417" s="253">
        <v>45972.068451053245</v>
      </c>
      <c r="B1417" s="1" t="s">
        <v>126</v>
      </c>
      <c r="C1417" s="203">
        <v>5.5</v>
      </c>
      <c r="D1417" s="1" t="s">
        <v>193</v>
      </c>
    </row>
    <row r="1418">
      <c r="A1418" s="253">
        <v>45972.068451053245</v>
      </c>
      <c r="B1418" s="1" t="s">
        <v>127</v>
      </c>
      <c r="C1418" s="203">
        <v>5.9</v>
      </c>
      <c r="D1418" s="1" t="s">
        <v>62</v>
      </c>
    </row>
    <row r="1419">
      <c r="A1419" s="253">
        <v>45972.068451053245</v>
      </c>
      <c r="B1419" s="1" t="s">
        <v>170</v>
      </c>
      <c r="C1419" s="203">
        <v>3.8</v>
      </c>
      <c r="D1419" s="1" t="s">
        <v>493</v>
      </c>
    </row>
    <row r="1420">
      <c r="A1420" s="253">
        <v>45972.068451053245</v>
      </c>
      <c r="B1420" s="1" t="s">
        <v>205</v>
      </c>
      <c r="C1420" s="203">
        <v>5.6</v>
      </c>
      <c r="D1420" s="1" t="s">
        <v>493</v>
      </c>
    </row>
    <row r="1421">
      <c r="A1421" s="253">
        <v>45972.068451053245</v>
      </c>
      <c r="B1421" s="1" t="s">
        <v>227</v>
      </c>
      <c r="C1421" s="203">
        <v>5.198</v>
      </c>
      <c r="D1421" s="1" t="s">
        <v>62</v>
      </c>
    </row>
    <row r="1422">
      <c r="A1422" s="253">
        <v>45972.068451053245</v>
      </c>
      <c r="B1422" s="1" t="s">
        <v>552</v>
      </c>
      <c r="C1422" s="203">
        <v>5.2</v>
      </c>
      <c r="D1422" s="1" t="s">
        <v>193</v>
      </c>
    </row>
    <row r="1423">
      <c r="A1423" s="253">
        <v>45972.068451053245</v>
      </c>
      <c r="B1423" s="1" t="s">
        <v>151</v>
      </c>
      <c r="C1423" s="203">
        <v>6.7</v>
      </c>
      <c r="D1423" s="1" t="s">
        <v>249</v>
      </c>
    </row>
    <row r="1424">
      <c r="A1424" s="253">
        <v>45972.068451053245</v>
      </c>
      <c r="B1424" s="1" t="s">
        <v>115</v>
      </c>
      <c r="C1424" s="203">
        <v>8.462</v>
      </c>
      <c r="D1424" s="1" t="s">
        <v>132</v>
      </c>
    </row>
    <row r="1425">
      <c r="A1425" s="253">
        <v>45972.068451053245</v>
      </c>
      <c r="B1425" s="1" t="s">
        <v>206</v>
      </c>
      <c r="C1425" s="203">
        <v>7.0</v>
      </c>
      <c r="D1425" s="1" t="s">
        <v>311</v>
      </c>
    </row>
    <row r="1426">
      <c r="A1426" s="253">
        <v>45972.068451053245</v>
      </c>
      <c r="B1426" s="1" t="s">
        <v>152</v>
      </c>
      <c r="C1426" s="203">
        <v>6.0</v>
      </c>
      <c r="D1426" s="1" t="s">
        <v>311</v>
      </c>
    </row>
    <row r="1427">
      <c r="A1427" s="253">
        <v>45972.068451053245</v>
      </c>
      <c r="B1427" s="1" t="s">
        <v>138</v>
      </c>
      <c r="C1427" s="203">
        <v>4.8</v>
      </c>
      <c r="D1427" s="1" t="s">
        <v>493</v>
      </c>
    </row>
    <row r="1428">
      <c r="A1428" s="253">
        <v>45972.068451053245</v>
      </c>
      <c r="B1428" s="1" t="s">
        <v>102</v>
      </c>
      <c r="C1428" s="203">
        <v>9.370000000000001</v>
      </c>
      <c r="D1428" s="1" t="s">
        <v>238</v>
      </c>
    </row>
    <row r="1429">
      <c r="A1429" s="253">
        <v>45972.068451053245</v>
      </c>
      <c r="B1429" s="1" t="s">
        <v>548</v>
      </c>
      <c r="C1429" s="203">
        <v>6.867</v>
      </c>
      <c r="D1429" s="1" t="s">
        <v>238</v>
      </c>
    </row>
    <row r="1430">
      <c r="A1430" s="253">
        <v>45972.068451053245</v>
      </c>
      <c r="B1430" s="1" t="s">
        <v>116</v>
      </c>
      <c r="C1430" s="203">
        <v>9.464</v>
      </c>
      <c r="D1430" s="1" t="s">
        <v>156</v>
      </c>
    </row>
    <row r="1431">
      <c r="A1431" s="253">
        <v>45972.068451053245</v>
      </c>
      <c r="B1431" s="1" t="s">
        <v>140</v>
      </c>
      <c r="C1431" s="203">
        <v>3.8</v>
      </c>
      <c r="D1431" s="1" t="s">
        <v>224</v>
      </c>
    </row>
    <row r="1432">
      <c r="A1432" s="253">
        <v>45972.068451053245</v>
      </c>
      <c r="B1432" s="1" t="s">
        <v>139</v>
      </c>
      <c r="C1432" s="203">
        <v>8.793000000000001</v>
      </c>
      <c r="D1432" s="1" t="s">
        <v>311</v>
      </c>
    </row>
    <row r="1433">
      <c r="A1433" s="253">
        <v>45972.068451053245</v>
      </c>
      <c r="B1433" s="1" t="s">
        <v>153</v>
      </c>
      <c r="C1433" s="203">
        <v>2.1</v>
      </c>
      <c r="D1433" s="1" t="s">
        <v>96</v>
      </c>
    </row>
    <row r="1434">
      <c r="A1434" s="253">
        <v>45972.068451053245</v>
      </c>
      <c r="B1434" s="1" t="s">
        <v>141</v>
      </c>
      <c r="C1434" s="203">
        <v>7.0</v>
      </c>
      <c r="D1434" s="1" t="s">
        <v>238</v>
      </c>
    </row>
    <row r="1435">
      <c r="A1435" s="253">
        <v>45972.068451053245</v>
      </c>
      <c r="B1435" s="1" t="s">
        <v>207</v>
      </c>
      <c r="C1435" s="203">
        <v>5.5</v>
      </c>
      <c r="D1435" s="1" t="s">
        <v>493</v>
      </c>
    </row>
    <row r="1436">
      <c r="A1436" s="253">
        <v>45972.068451053245</v>
      </c>
      <c r="B1436" s="1" t="s">
        <v>208</v>
      </c>
      <c r="C1436" s="203">
        <v>7.7</v>
      </c>
      <c r="D1436" s="1" t="s">
        <v>156</v>
      </c>
    </row>
    <row r="1437">
      <c r="A1437" s="253">
        <v>45972.068451053245</v>
      </c>
      <c r="B1437" s="1" t="s">
        <v>103</v>
      </c>
      <c r="C1437" s="203">
        <v>7.896000000000001</v>
      </c>
      <c r="D1437" s="1" t="s">
        <v>224</v>
      </c>
    </row>
    <row r="1438">
      <c r="A1438" s="253">
        <v>45972.068451053245</v>
      </c>
      <c r="B1438" s="1" t="s">
        <v>117</v>
      </c>
      <c r="C1438" s="203">
        <v>6.2</v>
      </c>
      <c r="D1438" s="1" t="s">
        <v>95</v>
      </c>
    </row>
    <row r="1439">
      <c r="A1439" s="253">
        <v>45972.068451053245</v>
      </c>
      <c r="B1439" s="1" t="s">
        <v>142</v>
      </c>
      <c r="C1439" s="203">
        <v>7.7</v>
      </c>
      <c r="D1439" s="1" t="s">
        <v>96</v>
      </c>
    </row>
    <row r="1440">
      <c r="A1440" s="253">
        <v>45972.068451053245</v>
      </c>
      <c r="B1440" s="1" t="s">
        <v>181</v>
      </c>
      <c r="C1440" s="203">
        <v>1.5</v>
      </c>
      <c r="D1440" s="1" t="s">
        <v>156</v>
      </c>
    </row>
    <row r="1441">
      <c r="A1441" s="253">
        <v>45972.068451053245</v>
      </c>
      <c r="B1441" s="1" t="s">
        <v>182</v>
      </c>
      <c r="C1441" s="203">
        <v>7.918</v>
      </c>
      <c r="D1441" s="1" t="s">
        <v>193</v>
      </c>
    </row>
    <row r="1442">
      <c r="A1442" s="253">
        <v>45972.068451053245</v>
      </c>
      <c r="B1442" s="1" t="s">
        <v>228</v>
      </c>
      <c r="C1442" s="203">
        <v>4.0</v>
      </c>
      <c r="D1442" s="1" t="s">
        <v>43</v>
      </c>
    </row>
    <row r="1443">
      <c r="A1443" s="253">
        <v>45972.068451053245</v>
      </c>
      <c r="B1443" s="1" t="s">
        <v>118</v>
      </c>
      <c r="C1443" s="203">
        <v>4.8</v>
      </c>
      <c r="D1443" s="1" t="s">
        <v>43</v>
      </c>
    </row>
    <row r="1444">
      <c r="A1444" s="253">
        <v>45972.068451053245</v>
      </c>
      <c r="B1444" s="1" t="s">
        <v>154</v>
      </c>
      <c r="C1444" s="203">
        <v>10.623</v>
      </c>
      <c r="D1444" s="1" t="s">
        <v>156</v>
      </c>
    </row>
    <row r="1445">
      <c r="A1445" s="253">
        <v>45972.068451053245</v>
      </c>
      <c r="B1445" s="1" t="s">
        <v>172</v>
      </c>
      <c r="C1445" s="203">
        <v>3.8</v>
      </c>
      <c r="D1445" s="1" t="s">
        <v>311</v>
      </c>
    </row>
    <row r="1446">
      <c r="A1446" s="253">
        <v>45972.068451053245</v>
      </c>
      <c r="B1446" s="1" t="s">
        <v>143</v>
      </c>
      <c r="C1446" s="203">
        <v>6.1</v>
      </c>
      <c r="D1446" s="1" t="s">
        <v>493</v>
      </c>
    </row>
    <row r="1447">
      <c r="A1447" s="253">
        <v>45972.068451053245</v>
      </c>
      <c r="B1447" s="1" t="s">
        <v>229</v>
      </c>
      <c r="C1447" s="203">
        <v>9.7</v>
      </c>
      <c r="D1447" s="1" t="s">
        <v>96</v>
      </c>
    </row>
    <row r="1448">
      <c r="A1448" s="253">
        <v>45972.068451053245</v>
      </c>
      <c r="B1448" s="1" t="s">
        <v>173</v>
      </c>
      <c r="C1448" s="203">
        <v>8.211</v>
      </c>
      <c r="D1448" s="1" t="s">
        <v>96</v>
      </c>
    </row>
    <row r="1449">
      <c r="A1449" s="253">
        <v>45972.068451053245</v>
      </c>
      <c r="B1449" s="1" t="s">
        <v>144</v>
      </c>
      <c r="C1449" s="203">
        <v>11.709999999999999</v>
      </c>
      <c r="D1449" s="1" t="s">
        <v>193</v>
      </c>
    </row>
    <row r="1450">
      <c r="A1450" s="253">
        <v>45972.068451053245</v>
      </c>
      <c r="B1450" s="1" t="s">
        <v>128</v>
      </c>
      <c r="C1450" s="203">
        <v>8.6</v>
      </c>
      <c r="D1450" s="1" t="s">
        <v>95</v>
      </c>
    </row>
    <row r="1451">
      <c r="A1451" s="253">
        <v>45972.068451053245</v>
      </c>
      <c r="B1451" s="1" t="s">
        <v>129</v>
      </c>
      <c r="C1451" s="203">
        <v>1.2</v>
      </c>
      <c r="D1451" s="1" t="s">
        <v>96</v>
      </c>
    </row>
    <row r="1452">
      <c r="A1452" s="253">
        <v>45972.068451053245</v>
      </c>
      <c r="B1452" s="1" t="s">
        <v>155</v>
      </c>
      <c r="C1452" s="203">
        <v>8.4</v>
      </c>
      <c r="D1452" s="1" t="s">
        <v>62</v>
      </c>
    </row>
    <row r="1453">
      <c r="A1453" s="253">
        <v>45972.068451053245</v>
      </c>
      <c r="B1453" s="1" t="s">
        <v>209</v>
      </c>
      <c r="C1453" s="203">
        <v>10.567</v>
      </c>
      <c r="D1453" s="1" t="s">
        <v>249</v>
      </c>
    </row>
    <row r="1454">
      <c r="A1454" s="253">
        <v>45972.068451053245</v>
      </c>
      <c r="B1454" s="1" t="s">
        <v>192</v>
      </c>
      <c r="C1454" s="203">
        <v>10.465</v>
      </c>
      <c r="D1454" s="1" t="s">
        <v>311</v>
      </c>
    </row>
    <row r="1455">
      <c r="A1455" s="253">
        <v>45972.068451053245</v>
      </c>
      <c r="B1455" s="1" t="s">
        <v>194</v>
      </c>
      <c r="C1455" s="203">
        <v>2.8</v>
      </c>
      <c r="D1455" s="1" t="s">
        <v>193</v>
      </c>
    </row>
    <row r="1456">
      <c r="A1456" s="253">
        <v>45972.068451053245</v>
      </c>
      <c r="B1456" s="1" t="s">
        <v>145</v>
      </c>
      <c r="C1456" s="203">
        <v>5.2</v>
      </c>
      <c r="D1456" s="1" t="s">
        <v>43</v>
      </c>
    </row>
    <row r="1457">
      <c r="A1457" s="253">
        <v>45972.068451053245</v>
      </c>
      <c r="B1457" s="1" t="s">
        <v>119</v>
      </c>
      <c r="C1457" s="203">
        <v>7.955</v>
      </c>
      <c r="D1457" s="1" t="s">
        <v>238</v>
      </c>
    </row>
    <row r="1458">
      <c r="A1458" s="253">
        <v>45972.068451053245</v>
      </c>
      <c r="B1458" s="1" t="s">
        <v>146</v>
      </c>
      <c r="C1458" s="203">
        <v>2.1</v>
      </c>
      <c r="D1458" s="1" t="s">
        <v>493</v>
      </c>
    </row>
    <row r="1459">
      <c r="A1459" s="253">
        <v>45972.068451053245</v>
      </c>
      <c r="B1459" s="1" t="s">
        <v>157</v>
      </c>
      <c r="C1459" s="203">
        <v>5.1</v>
      </c>
      <c r="D1459" s="1" t="s">
        <v>43</v>
      </c>
    </row>
    <row r="1460">
      <c r="A1460" s="253">
        <v>45972.068451053245</v>
      </c>
      <c r="B1460" s="1" t="s">
        <v>147</v>
      </c>
      <c r="C1460" s="203">
        <v>5.3</v>
      </c>
      <c r="D1460" s="1" t="s">
        <v>395</v>
      </c>
    </row>
    <row r="1461">
      <c r="A1461" s="253">
        <v>45972.068451053245</v>
      </c>
      <c r="B1461" s="1" t="s">
        <v>183</v>
      </c>
      <c r="C1461" s="203">
        <v>8.527</v>
      </c>
      <c r="D1461" s="1" t="s">
        <v>249</v>
      </c>
    </row>
    <row r="1462">
      <c r="A1462" s="253">
        <v>45972.068451053245</v>
      </c>
      <c r="B1462" s="1" t="s">
        <v>549</v>
      </c>
      <c r="C1462" s="203">
        <v>4.6</v>
      </c>
      <c r="D1462" s="1" t="s">
        <v>238</v>
      </c>
    </row>
    <row r="1463">
      <c r="A1463" s="253">
        <v>45972.068451053245</v>
      </c>
      <c r="B1463" s="1" t="s">
        <v>104</v>
      </c>
      <c r="C1463" s="203">
        <v>8.505999999999998</v>
      </c>
      <c r="D1463" s="1" t="s">
        <v>193</v>
      </c>
    </row>
    <row r="1464">
      <c r="A1464" s="253">
        <v>45972.068451053245</v>
      </c>
      <c r="B1464" s="1" t="s">
        <v>220</v>
      </c>
      <c r="C1464" s="203">
        <v>3.3</v>
      </c>
      <c r="D1464" s="1" t="s">
        <v>238</v>
      </c>
    </row>
    <row r="1465">
      <c r="A1465" s="253">
        <v>45972.068451053245</v>
      </c>
      <c r="B1465" s="1" t="s">
        <v>210</v>
      </c>
      <c r="C1465" s="203">
        <v>4.6</v>
      </c>
      <c r="D1465" s="1" t="s">
        <v>132</v>
      </c>
    </row>
    <row r="1466">
      <c r="A1466" s="253">
        <v>45972.068451053245</v>
      </c>
      <c r="B1466" s="1" t="s">
        <v>105</v>
      </c>
      <c r="C1466" s="203">
        <v>9.686</v>
      </c>
      <c r="D1466" s="1" t="s">
        <v>96</v>
      </c>
    </row>
    <row r="1467">
      <c r="A1467" s="253">
        <v>45972.068451053245</v>
      </c>
      <c r="B1467" s="1" t="s">
        <v>546</v>
      </c>
      <c r="C1467" s="203">
        <v>8.949</v>
      </c>
      <c r="D1467" s="1" t="s">
        <v>493</v>
      </c>
    </row>
    <row r="1468">
      <c r="A1468" s="253">
        <v>45972.068451053245</v>
      </c>
      <c r="B1468" s="1" t="s">
        <v>195</v>
      </c>
      <c r="C1468" s="203">
        <v>3.6</v>
      </c>
      <c r="D1468" s="1" t="s">
        <v>493</v>
      </c>
    </row>
    <row r="1469">
      <c r="A1469" s="253">
        <v>45972.068451053245</v>
      </c>
      <c r="B1469" s="1" t="s">
        <v>120</v>
      </c>
      <c r="C1469" s="203">
        <v>3.6</v>
      </c>
      <c r="D1469" s="1" t="s">
        <v>493</v>
      </c>
    </row>
    <row r="1470">
      <c r="A1470" s="253">
        <v>45972.068451053245</v>
      </c>
      <c r="B1470" s="1" t="s">
        <v>130</v>
      </c>
      <c r="C1470" s="203">
        <v>7.5</v>
      </c>
      <c r="D1470" s="1" t="s">
        <v>95</v>
      </c>
    </row>
    <row r="1471">
      <c r="A1471" s="253">
        <v>45972.068451053245</v>
      </c>
      <c r="B1471" s="1" t="s">
        <v>106</v>
      </c>
      <c r="C1471" s="203">
        <v>5.5</v>
      </c>
      <c r="D1471" s="1" t="s">
        <v>493</v>
      </c>
    </row>
    <row r="1472">
      <c r="A1472" s="253">
        <v>45972.068451053245</v>
      </c>
      <c r="B1472" s="1" t="s">
        <v>211</v>
      </c>
      <c r="C1472" s="203">
        <v>8.2</v>
      </c>
      <c r="D1472" s="1" t="s">
        <v>193</v>
      </c>
    </row>
    <row r="1473">
      <c r="A1473" s="253">
        <v>45972.068451053245</v>
      </c>
      <c r="B1473" s="1" t="s">
        <v>539</v>
      </c>
      <c r="C1473" s="203">
        <v>11.285</v>
      </c>
      <c r="D1473" s="1" t="s">
        <v>238</v>
      </c>
    </row>
    <row r="1474">
      <c r="A1474" s="253">
        <v>45972.068451053245</v>
      </c>
      <c r="B1474" s="1" t="s">
        <v>131</v>
      </c>
      <c r="C1474" s="203">
        <v>8.753</v>
      </c>
      <c r="D1474" s="1" t="s">
        <v>132</v>
      </c>
    </row>
    <row r="1475">
      <c r="A1475" s="253">
        <v>45972.068451053245</v>
      </c>
      <c r="B1475" s="1" t="s">
        <v>221</v>
      </c>
      <c r="C1475" s="203">
        <v>5.0</v>
      </c>
      <c r="D1475" s="1" t="s">
        <v>95</v>
      </c>
    </row>
    <row r="1476">
      <c r="A1476" s="253">
        <v>45972.068451053245</v>
      </c>
      <c r="B1476" s="1" t="s">
        <v>133</v>
      </c>
      <c r="C1476" s="203">
        <v>10.803</v>
      </c>
      <c r="D1476" s="1" t="s">
        <v>43</v>
      </c>
    </row>
    <row r="1477">
      <c r="A1477" s="253">
        <v>45972.068451053245</v>
      </c>
      <c r="B1477" s="1" t="s">
        <v>174</v>
      </c>
      <c r="C1477" s="203">
        <v>7.337</v>
      </c>
      <c r="D1477" s="1" t="s">
        <v>156</v>
      </c>
    </row>
    <row r="1478">
      <c r="A1478" s="253">
        <v>45972.068451053245</v>
      </c>
      <c r="B1478" s="1" t="s">
        <v>222</v>
      </c>
      <c r="C1478" s="203">
        <v>7.536</v>
      </c>
      <c r="D1478" s="1" t="s">
        <v>96</v>
      </c>
    </row>
    <row r="1479">
      <c r="A1479" s="253">
        <v>45972.068451053245</v>
      </c>
      <c r="B1479" s="1" t="s">
        <v>107</v>
      </c>
      <c r="C1479" s="203">
        <v>9.546</v>
      </c>
      <c r="D1479" s="1" t="s">
        <v>132</v>
      </c>
    </row>
    <row r="1480">
      <c r="A1480" s="253">
        <v>45972.068451053245</v>
      </c>
      <c r="B1480" s="1" t="s">
        <v>108</v>
      </c>
      <c r="C1480" s="203">
        <v>3.0</v>
      </c>
      <c r="D1480" s="1" t="s">
        <v>493</v>
      </c>
    </row>
    <row r="1481">
      <c r="A1481" s="253">
        <v>45972.068451053245</v>
      </c>
      <c r="B1481" s="1" t="s">
        <v>163</v>
      </c>
      <c r="C1481" s="203">
        <v>3.7</v>
      </c>
      <c r="D1481" s="1" t="s">
        <v>62</v>
      </c>
    </row>
    <row r="1482">
      <c r="A1482" s="253">
        <v>45972.068451053245</v>
      </c>
      <c r="B1482" s="1" t="s">
        <v>109</v>
      </c>
      <c r="C1482" s="203">
        <v>5.1</v>
      </c>
      <c r="D1482" s="1" t="s">
        <v>156</v>
      </c>
    </row>
    <row r="1483">
      <c r="A1483" s="253">
        <v>45972.068451053245</v>
      </c>
      <c r="B1483" s="1" t="s">
        <v>196</v>
      </c>
      <c r="C1483" s="203">
        <v>3.3</v>
      </c>
      <c r="D1483" s="1" t="s">
        <v>62</v>
      </c>
    </row>
    <row r="1484">
      <c r="A1484" s="253">
        <v>45972.068451053245</v>
      </c>
      <c r="B1484" s="1" t="s">
        <v>99</v>
      </c>
      <c r="C1484" s="203">
        <v>8.4</v>
      </c>
      <c r="D1484" s="1" t="s">
        <v>395</v>
      </c>
    </row>
    <row r="1485">
      <c r="A1485" s="253">
        <v>45972.068451053245</v>
      </c>
      <c r="B1485" s="1" t="s">
        <v>219</v>
      </c>
      <c r="C1485" s="203">
        <v>3.6</v>
      </c>
      <c r="D1485" s="1" t="s">
        <v>493</v>
      </c>
    </row>
    <row r="1486">
      <c r="A1486" s="253">
        <v>45972.068451053245</v>
      </c>
      <c r="B1486" s="1" t="s">
        <v>527</v>
      </c>
      <c r="D1486" s="1" t="s">
        <v>43</v>
      </c>
    </row>
    <row r="1487">
      <c r="A1487" s="253">
        <v>45972.068451053245</v>
      </c>
      <c r="B1487" s="1" t="s">
        <v>185</v>
      </c>
      <c r="C1487" s="203">
        <v>9.333</v>
      </c>
      <c r="D1487" s="1" t="s">
        <v>224</v>
      </c>
    </row>
    <row r="1488">
      <c r="A1488" s="253">
        <v>45972.068451053245</v>
      </c>
      <c r="B1488" s="1" t="s">
        <v>197</v>
      </c>
      <c r="C1488" s="203">
        <v>8.992</v>
      </c>
      <c r="D1488" s="1" t="s">
        <v>95</v>
      </c>
    </row>
    <row r="1489">
      <c r="A1489" s="253">
        <v>45972.068451053245</v>
      </c>
      <c r="B1489" s="1" t="s">
        <v>186</v>
      </c>
      <c r="C1489" s="203">
        <v>6.1850000000000005</v>
      </c>
      <c r="D1489" s="1" t="s">
        <v>311</v>
      </c>
    </row>
    <row r="1490">
      <c r="A1490" s="253">
        <v>45972.068451053245</v>
      </c>
      <c r="B1490" s="1" t="s">
        <v>198</v>
      </c>
      <c r="C1490" s="203">
        <v>9.431</v>
      </c>
      <c r="D1490" s="1" t="s">
        <v>95</v>
      </c>
    </row>
    <row r="1491">
      <c r="A1491" s="253">
        <v>45972.068451053245</v>
      </c>
      <c r="B1491" s="1" t="s">
        <v>160</v>
      </c>
      <c r="C1491" s="203">
        <v>3.4</v>
      </c>
      <c r="D1491" s="1" t="s">
        <v>238</v>
      </c>
    </row>
    <row r="1492">
      <c r="A1492" s="253">
        <v>45972.068451053245</v>
      </c>
      <c r="B1492" s="1" t="s">
        <v>161</v>
      </c>
      <c r="C1492" s="203">
        <v>5.9</v>
      </c>
      <c r="D1492" s="1" t="s">
        <v>311</v>
      </c>
    </row>
    <row r="1493">
      <c r="A1493" s="253">
        <v>45972.068451053245</v>
      </c>
      <c r="B1493" s="1" t="s">
        <v>213</v>
      </c>
      <c r="C1493" s="203">
        <v>9.2</v>
      </c>
      <c r="D1493" s="1" t="s">
        <v>395</v>
      </c>
    </row>
    <row r="1494">
      <c r="A1494" s="253">
        <v>45972.068451053245</v>
      </c>
      <c r="B1494" s="1" t="s">
        <v>121</v>
      </c>
      <c r="C1494" s="203">
        <v>9.164000000000001</v>
      </c>
      <c r="D1494" s="1" t="s">
        <v>96</v>
      </c>
    </row>
    <row r="1495">
      <c r="A1495" s="253">
        <v>45972.068451053245</v>
      </c>
      <c r="B1495" s="1" t="s">
        <v>122</v>
      </c>
      <c r="C1495" s="203">
        <v>3.5</v>
      </c>
      <c r="D1495" s="1" t="s">
        <v>311</v>
      </c>
    </row>
    <row r="1496">
      <c r="A1496" s="253">
        <v>45972.068451053245</v>
      </c>
      <c r="B1496" s="1" t="s">
        <v>123</v>
      </c>
      <c r="C1496" s="203">
        <v>7.8</v>
      </c>
      <c r="D1496" s="1" t="s">
        <v>493</v>
      </c>
    </row>
    <row r="1497">
      <c r="A1497" s="253">
        <v>45972.068451053245</v>
      </c>
      <c r="B1497" s="1" t="s">
        <v>199</v>
      </c>
      <c r="C1497" s="203">
        <v>7.8</v>
      </c>
      <c r="D1497" s="1" t="s">
        <v>62</v>
      </c>
    </row>
    <row r="1498">
      <c r="A1498" s="253">
        <v>45972.068451053245</v>
      </c>
      <c r="B1498" s="1" t="s">
        <v>200</v>
      </c>
      <c r="C1498" s="203">
        <v>5.6</v>
      </c>
      <c r="D1498" s="1" t="s">
        <v>493</v>
      </c>
    </row>
    <row r="1499">
      <c r="A1499" s="253">
        <v>45972.068451053245</v>
      </c>
      <c r="B1499" s="1" t="s">
        <v>134</v>
      </c>
      <c r="C1499" s="203">
        <v>4.2</v>
      </c>
      <c r="D1499" s="1" t="s">
        <v>132</v>
      </c>
    </row>
    <row r="1500">
      <c r="A1500" s="253">
        <v>45972.068451053245</v>
      </c>
      <c r="B1500" s="1" t="s">
        <v>162</v>
      </c>
      <c r="C1500" s="203">
        <v>8.282</v>
      </c>
      <c r="D1500" s="1" t="s">
        <v>395</v>
      </c>
    </row>
    <row r="1501">
      <c r="A1501" s="253">
        <v>45972.068451053245</v>
      </c>
      <c r="B1501" s="1" t="s">
        <v>175</v>
      </c>
      <c r="C1501" s="203">
        <v>6.7490000000000006</v>
      </c>
      <c r="D1501" s="1" t="s">
        <v>395</v>
      </c>
    </row>
    <row r="1502">
      <c r="A1502" s="253">
        <v>45972.068451053245</v>
      </c>
      <c r="B1502" s="1" t="s">
        <v>148</v>
      </c>
      <c r="C1502" s="203">
        <v>3.7</v>
      </c>
      <c r="D1502" s="1" t="s">
        <v>238</v>
      </c>
    </row>
    <row r="1503">
      <c r="A1503" s="253">
        <v>45972.068451053245</v>
      </c>
      <c r="B1503" s="1" t="s">
        <v>187</v>
      </c>
      <c r="C1503" s="203">
        <v>5.5</v>
      </c>
      <c r="D1503" s="1" t="s">
        <v>132</v>
      </c>
    </row>
    <row r="1504">
      <c r="A1504" s="253">
        <v>45972.068451053245</v>
      </c>
      <c r="B1504" s="1" t="s">
        <v>234</v>
      </c>
      <c r="D1504" s="1" t="s">
        <v>311</v>
      </c>
    </row>
    <row r="1505">
      <c r="A1505" s="253">
        <v>45972.068451053245</v>
      </c>
      <c r="B1505" s="1" t="s">
        <v>232</v>
      </c>
      <c r="C1505" s="203">
        <v>7.674</v>
      </c>
      <c r="D1505" s="1" t="s">
        <v>156</v>
      </c>
    </row>
    <row r="1506">
      <c r="A1506" s="253">
        <v>45972.068451053245</v>
      </c>
    </row>
    <row r="1507">
      <c r="A1507" s="253">
        <v>45972.068451053245</v>
      </c>
    </row>
    <row r="1508">
      <c r="A1508" s="253">
        <v>45972.068451053245</v>
      </c>
    </row>
    <row r="1509">
      <c r="A1509" s="1" t="s">
        <v>914</v>
      </c>
      <c r="B1509" s="1" t="s">
        <v>13</v>
      </c>
      <c r="C1509" s="1" t="s">
        <v>2047</v>
      </c>
      <c r="D1509" s="1" t="s">
        <v>2048</v>
      </c>
    </row>
    <row r="1510">
      <c r="A1510" s="253">
        <v>45979.06848104167</v>
      </c>
      <c r="B1510" s="1" t="s">
        <v>176</v>
      </c>
      <c r="C1510" s="203">
        <v>3.9</v>
      </c>
      <c r="D1510" s="1" t="s">
        <v>43</v>
      </c>
    </row>
    <row r="1511">
      <c r="A1511" s="253">
        <v>45979.06848104167</v>
      </c>
      <c r="B1511" s="1" t="s">
        <v>164</v>
      </c>
      <c r="C1511" s="203">
        <v>4.3</v>
      </c>
      <c r="D1511" s="1" t="s">
        <v>193</v>
      </c>
    </row>
    <row r="1512">
      <c r="A1512" s="253">
        <v>45979.06848104167</v>
      </c>
      <c r="B1512" s="1" t="s">
        <v>201</v>
      </c>
      <c r="C1512" s="203">
        <v>9.745</v>
      </c>
      <c r="D1512" s="1" t="s">
        <v>62</v>
      </c>
    </row>
    <row r="1513">
      <c r="A1513" s="253">
        <v>45979.06848104167</v>
      </c>
      <c r="B1513" s="1" t="e">
        <v>#N/A</v>
      </c>
      <c r="C1513" s="1" t="e">
        <v>#N/A</v>
      </c>
      <c r="D1513" s="1" t="s">
        <v>2050</v>
      </c>
    </row>
    <row r="1514">
      <c r="A1514" s="253">
        <v>45979.06848104167</v>
      </c>
      <c r="B1514" s="1" t="s">
        <v>189</v>
      </c>
      <c r="C1514" s="203">
        <v>8.187999999999999</v>
      </c>
      <c r="D1514" s="1" t="s">
        <v>43</v>
      </c>
    </row>
    <row r="1515">
      <c r="A1515" s="253">
        <v>45979.06848104167</v>
      </c>
      <c r="B1515" s="1" t="s">
        <v>188</v>
      </c>
      <c r="C1515" s="203">
        <v>8.2</v>
      </c>
      <c r="D1515" s="1" t="s">
        <v>493</v>
      </c>
    </row>
    <row r="1516">
      <c r="A1516" s="253">
        <v>45979.06848104167</v>
      </c>
      <c r="B1516" s="1" t="s">
        <v>202</v>
      </c>
      <c r="C1516" s="203">
        <v>2.5</v>
      </c>
      <c r="D1516" s="1" t="s">
        <v>156</v>
      </c>
    </row>
    <row r="1517">
      <c r="A1517" s="253">
        <v>45979.06848104167</v>
      </c>
      <c r="B1517" s="1" t="s">
        <v>215</v>
      </c>
      <c r="C1517" s="203">
        <v>6.096</v>
      </c>
      <c r="D1517" s="1" t="s">
        <v>132</v>
      </c>
    </row>
    <row r="1518">
      <c r="A1518" s="253">
        <v>45979.06848104167</v>
      </c>
      <c r="B1518" s="1" t="s">
        <v>225</v>
      </c>
      <c r="C1518" s="203">
        <v>6.6</v>
      </c>
      <c r="D1518" s="1" t="s">
        <v>395</v>
      </c>
    </row>
    <row r="1519">
      <c r="A1519" s="253">
        <v>45979.06848104167</v>
      </c>
      <c r="B1519" s="1" t="s">
        <v>45</v>
      </c>
      <c r="C1519" s="203">
        <v>5.2</v>
      </c>
      <c r="D1519" s="1" t="s">
        <v>43</v>
      </c>
    </row>
    <row r="1520">
      <c r="A1520" s="253">
        <v>45979.06848104167</v>
      </c>
      <c r="B1520" s="1" t="s">
        <v>165</v>
      </c>
      <c r="C1520" s="203">
        <v>4.2</v>
      </c>
      <c r="D1520" s="1" t="s">
        <v>95</v>
      </c>
    </row>
    <row r="1521">
      <c r="A1521" s="253">
        <v>45979.06848104167</v>
      </c>
      <c r="B1521" s="1" t="s">
        <v>124</v>
      </c>
      <c r="C1521" s="203">
        <v>5.9</v>
      </c>
      <c r="D1521" s="1" t="s">
        <v>249</v>
      </c>
    </row>
    <row r="1522">
      <c r="A1522" s="253">
        <v>45979.06848104167</v>
      </c>
      <c r="B1522" s="1" t="s">
        <v>177</v>
      </c>
      <c r="C1522" s="203">
        <v>7.508</v>
      </c>
      <c r="D1522" s="1" t="s">
        <v>95</v>
      </c>
    </row>
    <row r="1523">
      <c r="A1523" s="253">
        <v>45979.06848104167</v>
      </c>
      <c r="B1523" s="1" t="s">
        <v>110</v>
      </c>
      <c r="C1523" s="203">
        <v>1.4</v>
      </c>
      <c r="D1523" s="1" t="s">
        <v>493</v>
      </c>
    </row>
    <row r="1524">
      <c r="A1524" s="253">
        <v>45979.06848104167</v>
      </c>
      <c r="B1524" s="1" t="s">
        <v>166</v>
      </c>
      <c r="C1524" s="203">
        <v>4.6</v>
      </c>
      <c r="D1524" s="1" t="s">
        <v>224</v>
      </c>
    </row>
    <row r="1525">
      <c r="A1525" s="253">
        <v>45979.06848104167</v>
      </c>
      <c r="B1525" s="1" t="s">
        <v>167</v>
      </c>
      <c r="C1525" s="203">
        <v>5.689</v>
      </c>
      <c r="D1525" s="1" t="s">
        <v>249</v>
      </c>
    </row>
    <row r="1526">
      <c r="A1526" s="253">
        <v>45979.06848104167</v>
      </c>
      <c r="B1526" s="1" t="s">
        <v>226</v>
      </c>
      <c r="C1526" s="203">
        <v>10.556000000000001</v>
      </c>
      <c r="D1526" s="1" t="s">
        <v>224</v>
      </c>
    </row>
    <row r="1527">
      <c r="A1527" s="253">
        <v>45979.06848104167</v>
      </c>
      <c r="B1527" s="1" t="s">
        <v>190</v>
      </c>
      <c r="C1527" s="203">
        <v>6.7</v>
      </c>
      <c r="D1527" s="1" t="s">
        <v>62</v>
      </c>
    </row>
    <row r="1528">
      <c r="A1528" s="253">
        <v>45979.06848104167</v>
      </c>
      <c r="B1528" s="1" t="s">
        <v>168</v>
      </c>
      <c r="C1528" s="203">
        <v>6.8790000000000004</v>
      </c>
      <c r="D1528" s="1" t="s">
        <v>132</v>
      </c>
    </row>
    <row r="1529">
      <c r="A1529" s="253">
        <v>45979.06848104167</v>
      </c>
      <c r="B1529" s="1" t="s">
        <v>159</v>
      </c>
      <c r="D1529" s="1" t="s">
        <v>249</v>
      </c>
    </row>
    <row r="1530">
      <c r="A1530" s="253">
        <v>45979.06848104167</v>
      </c>
      <c r="B1530" s="1" t="s">
        <v>98</v>
      </c>
      <c r="C1530" s="203">
        <v>7.699</v>
      </c>
      <c r="D1530" s="1" t="s">
        <v>238</v>
      </c>
    </row>
    <row r="1531">
      <c r="A1531" s="253">
        <v>45979.06848104167</v>
      </c>
      <c r="B1531" s="1" t="s">
        <v>111</v>
      </c>
      <c r="C1531" s="203">
        <v>6.4</v>
      </c>
      <c r="D1531" s="1" t="s">
        <v>249</v>
      </c>
    </row>
    <row r="1532">
      <c r="A1532" s="253">
        <v>45979.06848104167</v>
      </c>
      <c r="B1532" s="1" t="s">
        <v>223</v>
      </c>
      <c r="C1532" s="203">
        <v>6.1</v>
      </c>
      <c r="D1532" s="1" t="s">
        <v>156</v>
      </c>
    </row>
    <row r="1533">
      <c r="A1533" s="253">
        <v>45979.06848104167</v>
      </c>
      <c r="B1533" s="1" t="s">
        <v>191</v>
      </c>
      <c r="C1533" s="203">
        <v>3.6</v>
      </c>
      <c r="D1533" s="1" t="s">
        <v>224</v>
      </c>
    </row>
    <row r="1534">
      <c r="A1534" s="253">
        <v>45979.06848104167</v>
      </c>
      <c r="B1534" s="1" t="s">
        <v>178</v>
      </c>
      <c r="C1534" s="203">
        <v>2.6</v>
      </c>
      <c r="D1534" s="1" t="s">
        <v>62</v>
      </c>
    </row>
    <row r="1535">
      <c r="A1535" s="253">
        <v>45979.06848104167</v>
      </c>
      <c r="B1535" s="1" t="s">
        <v>112</v>
      </c>
      <c r="C1535" s="203">
        <v>6.462</v>
      </c>
      <c r="D1535" s="1" t="s">
        <v>249</v>
      </c>
    </row>
    <row r="1536">
      <c r="A1536" s="253">
        <v>45979.06848104167</v>
      </c>
      <c r="B1536" s="1" t="s">
        <v>100</v>
      </c>
      <c r="C1536" s="203">
        <v>8.412</v>
      </c>
      <c r="D1536" s="1" t="s">
        <v>95</v>
      </c>
    </row>
    <row r="1537">
      <c r="A1537" s="253">
        <v>45979.06848104167</v>
      </c>
      <c r="B1537" s="1" t="s">
        <v>304</v>
      </c>
      <c r="C1537" s="203">
        <v>4.4</v>
      </c>
      <c r="D1537" s="1" t="s">
        <v>62</v>
      </c>
    </row>
    <row r="1538">
      <c r="A1538" s="253">
        <v>45979.06848104167</v>
      </c>
      <c r="B1538" s="1" t="s">
        <v>150</v>
      </c>
      <c r="C1538" s="203">
        <v>4.5</v>
      </c>
      <c r="D1538" s="1" t="s">
        <v>193</v>
      </c>
    </row>
    <row r="1539">
      <c r="A1539" s="253">
        <v>45979.06848104167</v>
      </c>
      <c r="B1539" s="1" t="s">
        <v>203</v>
      </c>
      <c r="C1539" s="203">
        <v>3.8</v>
      </c>
      <c r="D1539" s="1" t="s">
        <v>224</v>
      </c>
    </row>
    <row r="1540">
      <c r="A1540" s="253">
        <v>45979.06848104167</v>
      </c>
      <c r="B1540" s="1" t="s">
        <v>545</v>
      </c>
      <c r="C1540" s="203">
        <v>6.1</v>
      </c>
      <c r="D1540" s="1" t="s">
        <v>132</v>
      </c>
    </row>
    <row r="1541">
      <c r="A1541" s="253">
        <v>45979.06848104167</v>
      </c>
      <c r="B1541" s="1" t="s">
        <v>113</v>
      </c>
      <c r="C1541" s="203">
        <v>6.2</v>
      </c>
      <c r="D1541" s="1" t="s">
        <v>224</v>
      </c>
    </row>
    <row r="1542">
      <c r="A1542" s="253">
        <v>45979.06848104167</v>
      </c>
      <c r="B1542" s="1" t="s">
        <v>179</v>
      </c>
      <c r="C1542" s="203">
        <v>8.165</v>
      </c>
      <c r="D1542" s="1" t="s">
        <v>395</v>
      </c>
    </row>
    <row r="1543">
      <c r="A1543" s="253">
        <v>45979.06848104167</v>
      </c>
      <c r="B1543" s="1" t="s">
        <v>204</v>
      </c>
      <c r="C1543" s="203">
        <v>10.835999999999999</v>
      </c>
      <c r="D1543" s="1" t="s">
        <v>96</v>
      </c>
    </row>
    <row r="1544">
      <c r="A1544" s="253">
        <v>45979.06848104167</v>
      </c>
      <c r="B1544" s="1" t="s">
        <v>216</v>
      </c>
      <c r="C1544" s="203">
        <v>5.5</v>
      </c>
      <c r="D1544" s="1" t="s">
        <v>224</v>
      </c>
    </row>
    <row r="1545">
      <c r="A1545" s="253">
        <v>45979.06848104167</v>
      </c>
      <c r="B1545" s="1" t="s">
        <v>217</v>
      </c>
      <c r="C1545" s="203">
        <v>1.2</v>
      </c>
      <c r="D1545" s="1" t="s">
        <v>249</v>
      </c>
    </row>
    <row r="1546">
      <c r="A1546" s="253">
        <v>45979.06848104167</v>
      </c>
      <c r="B1546" s="1" t="s">
        <v>114</v>
      </c>
      <c r="C1546" s="203">
        <v>9.743</v>
      </c>
      <c r="D1546" s="1" t="s">
        <v>395</v>
      </c>
    </row>
    <row r="1547">
      <c r="A1547" s="253">
        <v>45979.06848104167</v>
      </c>
      <c r="B1547" s="1" t="s">
        <v>536</v>
      </c>
      <c r="C1547" s="203">
        <v>8.033</v>
      </c>
      <c r="D1547" s="1" t="s">
        <v>96</v>
      </c>
    </row>
    <row r="1548">
      <c r="A1548" s="253">
        <v>45979.06848104167</v>
      </c>
      <c r="B1548" s="1" t="s">
        <v>101</v>
      </c>
      <c r="C1548" s="203">
        <v>8.9</v>
      </c>
      <c r="D1548" s="1" t="s">
        <v>395</v>
      </c>
    </row>
    <row r="1549">
      <c r="A1549" s="253">
        <v>45979.06848104167</v>
      </c>
      <c r="B1549" s="1" t="s">
        <v>135</v>
      </c>
      <c r="C1549" s="203">
        <v>8.5</v>
      </c>
      <c r="D1549" s="1" t="s">
        <v>156</v>
      </c>
    </row>
    <row r="1550">
      <c r="A1550" s="253">
        <v>45979.06848104167</v>
      </c>
      <c r="B1550" s="1" t="s">
        <v>136</v>
      </c>
      <c r="C1550" s="203">
        <v>11.967</v>
      </c>
      <c r="D1550" s="1" t="s">
        <v>132</v>
      </c>
    </row>
    <row r="1551">
      <c r="A1551" s="253">
        <v>45979.06848104167</v>
      </c>
      <c r="B1551" s="1" t="s">
        <v>137</v>
      </c>
      <c r="C1551" s="203">
        <v>7.5</v>
      </c>
      <c r="D1551" s="1" t="s">
        <v>249</v>
      </c>
    </row>
    <row r="1552">
      <c r="A1552" s="253">
        <v>45979.06848104167</v>
      </c>
      <c r="B1552" s="1" t="s">
        <v>125</v>
      </c>
      <c r="C1552" s="203">
        <v>7.6</v>
      </c>
      <c r="D1552" s="1" t="s">
        <v>311</v>
      </c>
    </row>
    <row r="1553">
      <c r="A1553" s="253">
        <v>45979.06848104167</v>
      </c>
      <c r="B1553" s="1" t="s">
        <v>231</v>
      </c>
      <c r="C1553" s="203">
        <v>10.782</v>
      </c>
      <c r="D1553" s="1" t="s">
        <v>395</v>
      </c>
    </row>
    <row r="1554">
      <c r="A1554" s="253">
        <v>45979.06848104167</v>
      </c>
      <c r="B1554" s="1" t="s">
        <v>126</v>
      </c>
      <c r="C1554" s="203">
        <v>5.5</v>
      </c>
      <c r="D1554" s="1" t="s">
        <v>193</v>
      </c>
    </row>
    <row r="1555">
      <c r="A1555" s="253">
        <v>45979.06848104167</v>
      </c>
      <c r="B1555" s="1" t="s">
        <v>127</v>
      </c>
      <c r="C1555" s="203">
        <v>5.9</v>
      </c>
      <c r="D1555" s="1" t="s">
        <v>62</v>
      </c>
    </row>
    <row r="1556">
      <c r="A1556" s="253">
        <v>45979.06848104167</v>
      </c>
      <c r="B1556" s="1" t="s">
        <v>170</v>
      </c>
      <c r="C1556" s="203">
        <v>4.5</v>
      </c>
      <c r="D1556" s="1" t="s">
        <v>493</v>
      </c>
    </row>
    <row r="1557">
      <c r="A1557" s="253">
        <v>45979.06848104167</v>
      </c>
      <c r="B1557" s="1" t="s">
        <v>205</v>
      </c>
      <c r="C1557" s="203">
        <v>5.7</v>
      </c>
      <c r="D1557" s="1" t="s">
        <v>493</v>
      </c>
    </row>
    <row r="1558">
      <c r="A1558" s="253">
        <v>45979.06848104167</v>
      </c>
      <c r="B1558" s="1" t="s">
        <v>227</v>
      </c>
      <c r="C1558" s="203">
        <v>4.7</v>
      </c>
      <c r="D1558" s="1" t="s">
        <v>62</v>
      </c>
    </row>
    <row r="1559">
      <c r="A1559" s="253">
        <v>45979.06848104167</v>
      </c>
      <c r="B1559" s="1" t="s">
        <v>552</v>
      </c>
      <c r="C1559" s="203">
        <v>5.3</v>
      </c>
      <c r="D1559" s="1" t="s">
        <v>193</v>
      </c>
    </row>
    <row r="1560">
      <c r="A1560" s="253">
        <v>45979.06848104167</v>
      </c>
      <c r="B1560" s="1" t="s">
        <v>151</v>
      </c>
      <c r="C1560" s="203">
        <v>6.3</v>
      </c>
      <c r="D1560" s="1" t="s">
        <v>249</v>
      </c>
    </row>
    <row r="1561">
      <c r="A1561" s="253">
        <v>45979.06848104167</v>
      </c>
      <c r="B1561" s="1" t="s">
        <v>115</v>
      </c>
      <c r="C1561" s="203">
        <v>7.9</v>
      </c>
      <c r="D1561" s="1" t="s">
        <v>132</v>
      </c>
    </row>
    <row r="1562">
      <c r="A1562" s="253">
        <v>45979.06848104167</v>
      </c>
      <c r="B1562" s="1" t="s">
        <v>206</v>
      </c>
      <c r="C1562" s="203">
        <v>7.3</v>
      </c>
      <c r="D1562" s="1" t="s">
        <v>311</v>
      </c>
    </row>
    <row r="1563">
      <c r="A1563" s="253">
        <v>45979.06848104167</v>
      </c>
      <c r="B1563" s="1" t="s">
        <v>152</v>
      </c>
      <c r="C1563" s="203">
        <v>6.4</v>
      </c>
      <c r="D1563" s="1" t="s">
        <v>311</v>
      </c>
    </row>
    <row r="1564">
      <c r="A1564" s="253">
        <v>45979.06848104167</v>
      </c>
      <c r="B1564" s="1" t="s">
        <v>138</v>
      </c>
      <c r="C1564" s="203">
        <v>4.7</v>
      </c>
      <c r="D1564" s="1" t="s">
        <v>493</v>
      </c>
    </row>
    <row r="1565">
      <c r="A1565" s="253">
        <v>45979.06848104167</v>
      </c>
      <c r="B1565" s="1" t="s">
        <v>102</v>
      </c>
      <c r="C1565" s="203">
        <v>8.8</v>
      </c>
      <c r="D1565" s="1" t="s">
        <v>238</v>
      </c>
    </row>
    <row r="1566">
      <c r="A1566" s="253">
        <v>45979.06848104167</v>
      </c>
      <c r="B1566" s="1" t="s">
        <v>548</v>
      </c>
      <c r="C1566" s="203">
        <v>6.476999999999999</v>
      </c>
      <c r="D1566" s="1" t="s">
        <v>238</v>
      </c>
    </row>
    <row r="1567">
      <c r="A1567" s="253">
        <v>45979.06848104167</v>
      </c>
      <c r="B1567" s="1" t="s">
        <v>116</v>
      </c>
      <c r="C1567" s="203">
        <v>9.649</v>
      </c>
      <c r="D1567" s="1" t="s">
        <v>156</v>
      </c>
    </row>
    <row r="1568">
      <c r="A1568" s="253">
        <v>45979.06848104167</v>
      </c>
      <c r="B1568" s="1" t="s">
        <v>140</v>
      </c>
      <c r="C1568" s="203">
        <v>3.6</v>
      </c>
      <c r="D1568" s="1" t="s">
        <v>224</v>
      </c>
    </row>
    <row r="1569">
      <c r="A1569" s="253">
        <v>45979.06848104167</v>
      </c>
      <c r="B1569" s="1" t="s">
        <v>139</v>
      </c>
      <c r="C1569" s="203">
        <v>8.996</v>
      </c>
      <c r="D1569" s="1" t="s">
        <v>311</v>
      </c>
    </row>
    <row r="1570">
      <c r="A1570" s="253">
        <v>45979.06848104167</v>
      </c>
      <c r="B1570" s="1" t="s">
        <v>153</v>
      </c>
      <c r="C1570" s="203">
        <v>1.9</v>
      </c>
      <c r="D1570" s="1" t="s">
        <v>96</v>
      </c>
    </row>
    <row r="1571">
      <c r="A1571" s="253">
        <v>45979.06848104167</v>
      </c>
      <c r="B1571" s="1" t="s">
        <v>141</v>
      </c>
      <c r="C1571" s="203">
        <v>6.9</v>
      </c>
      <c r="D1571" s="1" t="s">
        <v>238</v>
      </c>
    </row>
    <row r="1572">
      <c r="A1572" s="253">
        <v>45979.06848104167</v>
      </c>
      <c r="B1572" s="1" t="s">
        <v>207</v>
      </c>
      <c r="C1572" s="203">
        <v>5.2</v>
      </c>
      <c r="D1572" s="1" t="s">
        <v>493</v>
      </c>
    </row>
    <row r="1573">
      <c r="A1573" s="253">
        <v>45979.06848104167</v>
      </c>
      <c r="B1573" s="1" t="s">
        <v>208</v>
      </c>
      <c r="C1573" s="203">
        <v>8.0</v>
      </c>
      <c r="D1573" s="1" t="s">
        <v>156</v>
      </c>
    </row>
    <row r="1574">
      <c r="A1574" s="253">
        <v>45979.06848104167</v>
      </c>
      <c r="B1574" s="1" t="s">
        <v>103</v>
      </c>
      <c r="C1574" s="203">
        <v>8.780000000000001</v>
      </c>
      <c r="D1574" s="1" t="s">
        <v>224</v>
      </c>
    </row>
    <row r="1575">
      <c r="A1575" s="253">
        <v>45979.06848104167</v>
      </c>
      <c r="B1575" s="1" t="s">
        <v>117</v>
      </c>
      <c r="C1575" s="203">
        <v>6.1</v>
      </c>
      <c r="D1575" s="1" t="s">
        <v>95</v>
      </c>
    </row>
    <row r="1576">
      <c r="A1576" s="253">
        <v>45979.06848104167</v>
      </c>
      <c r="B1576" s="1" t="s">
        <v>142</v>
      </c>
      <c r="C1576" s="203">
        <v>7.7</v>
      </c>
      <c r="D1576" s="1" t="s">
        <v>96</v>
      </c>
    </row>
    <row r="1577">
      <c r="A1577" s="253">
        <v>45979.06848104167</v>
      </c>
      <c r="B1577" s="1" t="s">
        <v>181</v>
      </c>
      <c r="C1577" s="203">
        <v>2.4</v>
      </c>
      <c r="D1577" s="1" t="s">
        <v>156</v>
      </c>
    </row>
    <row r="1578">
      <c r="A1578" s="253">
        <v>45979.06848104167</v>
      </c>
      <c r="B1578" s="1" t="s">
        <v>182</v>
      </c>
      <c r="C1578" s="203">
        <v>8.014</v>
      </c>
      <c r="D1578" s="1" t="s">
        <v>193</v>
      </c>
    </row>
    <row r="1579">
      <c r="A1579" s="253">
        <v>45979.06848104167</v>
      </c>
      <c r="B1579" s="1" t="s">
        <v>228</v>
      </c>
      <c r="C1579" s="203">
        <v>4.1</v>
      </c>
      <c r="D1579" s="1" t="s">
        <v>43</v>
      </c>
    </row>
    <row r="1580">
      <c r="A1580" s="253">
        <v>45979.06848104167</v>
      </c>
      <c r="B1580" s="1" t="s">
        <v>118</v>
      </c>
      <c r="C1580" s="203">
        <v>4.5</v>
      </c>
      <c r="D1580" s="1" t="s">
        <v>43</v>
      </c>
    </row>
    <row r="1581">
      <c r="A1581" s="253">
        <v>45979.06848104167</v>
      </c>
      <c r="B1581" s="1" t="s">
        <v>154</v>
      </c>
      <c r="C1581" s="203">
        <v>10.781</v>
      </c>
      <c r="D1581" s="1" t="s">
        <v>156</v>
      </c>
    </row>
    <row r="1582">
      <c r="A1582" s="253">
        <v>45979.06848104167</v>
      </c>
      <c r="B1582" s="1" t="s">
        <v>172</v>
      </c>
      <c r="C1582" s="203">
        <v>4.2</v>
      </c>
      <c r="D1582" s="1" t="s">
        <v>311</v>
      </c>
    </row>
    <row r="1583">
      <c r="A1583" s="253">
        <v>45979.06848104167</v>
      </c>
      <c r="B1583" s="1" t="s">
        <v>143</v>
      </c>
      <c r="C1583" s="203">
        <v>5.9</v>
      </c>
      <c r="D1583" s="1" t="s">
        <v>493</v>
      </c>
    </row>
    <row r="1584">
      <c r="A1584" s="253">
        <v>45979.06848104167</v>
      </c>
      <c r="B1584" s="1" t="s">
        <v>229</v>
      </c>
      <c r="C1584" s="203">
        <v>9.9</v>
      </c>
      <c r="D1584" s="1" t="s">
        <v>96</v>
      </c>
    </row>
    <row r="1585">
      <c r="A1585" s="253">
        <v>45979.06848104167</v>
      </c>
      <c r="B1585" s="1" t="s">
        <v>173</v>
      </c>
      <c r="C1585" s="203">
        <v>7.6979999999999995</v>
      </c>
      <c r="D1585" s="1" t="s">
        <v>96</v>
      </c>
    </row>
    <row r="1586">
      <c r="A1586" s="253">
        <v>45979.06848104167</v>
      </c>
      <c r="B1586" s="1" t="s">
        <v>144</v>
      </c>
      <c r="C1586" s="203">
        <v>11.779</v>
      </c>
      <c r="D1586" s="1" t="s">
        <v>193</v>
      </c>
    </row>
    <row r="1587">
      <c r="A1587" s="253">
        <v>45979.06848104167</v>
      </c>
      <c r="B1587" s="1" t="s">
        <v>128</v>
      </c>
      <c r="C1587" s="203">
        <v>9.4</v>
      </c>
      <c r="D1587" s="1" t="s">
        <v>95</v>
      </c>
    </row>
    <row r="1588">
      <c r="A1588" s="253">
        <v>45979.06848104167</v>
      </c>
      <c r="B1588" s="1" t="s">
        <v>129</v>
      </c>
      <c r="C1588" s="203">
        <v>1.2</v>
      </c>
      <c r="D1588" s="1" t="s">
        <v>96</v>
      </c>
    </row>
    <row r="1589">
      <c r="A1589" s="253">
        <v>45979.06848104167</v>
      </c>
      <c r="B1589" s="1" t="s">
        <v>155</v>
      </c>
      <c r="C1589" s="203">
        <v>8.7</v>
      </c>
      <c r="D1589" s="1" t="s">
        <v>62</v>
      </c>
    </row>
    <row r="1590">
      <c r="A1590" s="253">
        <v>45979.06848104167</v>
      </c>
      <c r="B1590" s="1" t="s">
        <v>209</v>
      </c>
      <c r="C1590" s="203">
        <v>10.774000000000001</v>
      </c>
      <c r="D1590" s="1" t="s">
        <v>249</v>
      </c>
    </row>
    <row r="1591">
      <c r="A1591" s="253">
        <v>45979.06848104167</v>
      </c>
      <c r="B1591" s="1" t="s">
        <v>192</v>
      </c>
      <c r="C1591" s="203">
        <v>10.468</v>
      </c>
      <c r="D1591" s="1" t="s">
        <v>311</v>
      </c>
    </row>
    <row r="1592">
      <c r="A1592" s="253">
        <v>45979.06848104167</v>
      </c>
      <c r="B1592" s="1" t="s">
        <v>194</v>
      </c>
      <c r="C1592" s="203">
        <v>2.2</v>
      </c>
      <c r="D1592" s="1" t="s">
        <v>193</v>
      </c>
    </row>
    <row r="1593">
      <c r="A1593" s="253">
        <v>45979.06848104167</v>
      </c>
      <c r="B1593" s="1" t="s">
        <v>145</v>
      </c>
      <c r="C1593" s="203">
        <v>5.5</v>
      </c>
      <c r="D1593" s="1" t="s">
        <v>43</v>
      </c>
    </row>
    <row r="1594">
      <c r="A1594" s="253">
        <v>45979.06848104167</v>
      </c>
      <c r="B1594" s="1" t="s">
        <v>119</v>
      </c>
      <c r="C1594" s="203">
        <v>7.6690000000000005</v>
      </c>
      <c r="D1594" s="1" t="s">
        <v>238</v>
      </c>
    </row>
    <row r="1595">
      <c r="A1595" s="253">
        <v>45979.06848104167</v>
      </c>
      <c r="B1595" s="1" t="s">
        <v>146</v>
      </c>
      <c r="C1595" s="203">
        <v>2.0</v>
      </c>
      <c r="D1595" s="1" t="s">
        <v>493</v>
      </c>
    </row>
    <row r="1596">
      <c r="A1596" s="253">
        <v>45979.06848104167</v>
      </c>
      <c r="B1596" s="1" t="s">
        <v>157</v>
      </c>
      <c r="C1596" s="203">
        <v>5.1</v>
      </c>
      <c r="D1596" s="1" t="s">
        <v>43</v>
      </c>
    </row>
    <row r="1597">
      <c r="A1597" s="253">
        <v>45979.06848104167</v>
      </c>
      <c r="B1597" s="1" t="s">
        <v>147</v>
      </c>
      <c r="C1597" s="203">
        <v>5.2</v>
      </c>
      <c r="D1597" s="1" t="s">
        <v>395</v>
      </c>
    </row>
    <row r="1598">
      <c r="A1598" s="253">
        <v>45979.06848104167</v>
      </c>
      <c r="B1598" s="1" t="s">
        <v>183</v>
      </c>
      <c r="C1598" s="203">
        <v>9.44</v>
      </c>
      <c r="D1598" s="1" t="s">
        <v>249</v>
      </c>
    </row>
    <row r="1599">
      <c r="A1599" s="253">
        <v>45979.06848104167</v>
      </c>
      <c r="B1599" s="1" t="s">
        <v>549</v>
      </c>
      <c r="C1599" s="203">
        <v>3.5</v>
      </c>
      <c r="D1599" s="1" t="s">
        <v>238</v>
      </c>
    </row>
    <row r="1600">
      <c r="A1600" s="253">
        <v>45979.06848104167</v>
      </c>
      <c r="B1600" s="1" t="s">
        <v>104</v>
      </c>
      <c r="C1600" s="203">
        <v>8.498</v>
      </c>
      <c r="D1600" s="1" t="s">
        <v>193</v>
      </c>
    </row>
    <row r="1601">
      <c r="A1601" s="253">
        <v>45979.06848104167</v>
      </c>
      <c r="B1601" s="1" t="s">
        <v>220</v>
      </c>
      <c r="C1601" s="203">
        <v>3.7</v>
      </c>
      <c r="D1601" s="1" t="s">
        <v>238</v>
      </c>
    </row>
    <row r="1602">
      <c r="A1602" s="253">
        <v>45979.06848104167</v>
      </c>
      <c r="B1602" s="1" t="s">
        <v>210</v>
      </c>
      <c r="C1602" s="203">
        <v>4.5</v>
      </c>
      <c r="D1602" s="1" t="s">
        <v>132</v>
      </c>
    </row>
    <row r="1603">
      <c r="A1603" s="253">
        <v>45979.06848104167</v>
      </c>
      <c r="B1603" s="1" t="s">
        <v>105</v>
      </c>
      <c r="C1603" s="203">
        <v>8.868</v>
      </c>
      <c r="D1603" s="1" t="s">
        <v>96</v>
      </c>
    </row>
    <row r="1604">
      <c r="A1604" s="253">
        <v>45979.06848104167</v>
      </c>
      <c r="B1604" s="1" t="s">
        <v>546</v>
      </c>
      <c r="C1604" s="203">
        <v>8.180000000000001</v>
      </c>
      <c r="D1604" s="1" t="s">
        <v>493</v>
      </c>
    </row>
    <row r="1605">
      <c r="A1605" s="253">
        <v>45979.06848104167</v>
      </c>
      <c r="B1605" s="1" t="s">
        <v>195</v>
      </c>
      <c r="C1605" s="203">
        <v>3.6</v>
      </c>
      <c r="D1605" s="1" t="s">
        <v>493</v>
      </c>
    </row>
    <row r="1606">
      <c r="A1606" s="253">
        <v>45979.06848104167</v>
      </c>
      <c r="B1606" s="1" t="s">
        <v>120</v>
      </c>
      <c r="C1606" s="203">
        <v>3.6</v>
      </c>
      <c r="D1606" s="1" t="s">
        <v>493</v>
      </c>
    </row>
    <row r="1607">
      <c r="A1607" s="253">
        <v>45979.06848104167</v>
      </c>
      <c r="B1607" s="1" t="s">
        <v>130</v>
      </c>
      <c r="C1607" s="203">
        <v>7.1</v>
      </c>
      <c r="D1607" s="1" t="s">
        <v>95</v>
      </c>
    </row>
    <row r="1608">
      <c r="A1608" s="253">
        <v>45979.06848104167</v>
      </c>
      <c r="B1608" s="1" t="s">
        <v>106</v>
      </c>
      <c r="C1608" s="203">
        <v>5.5</v>
      </c>
      <c r="D1608" s="1" t="s">
        <v>493</v>
      </c>
    </row>
    <row r="1609">
      <c r="A1609" s="253">
        <v>45979.06848104167</v>
      </c>
      <c r="B1609" s="1" t="s">
        <v>211</v>
      </c>
      <c r="C1609" s="203">
        <v>8.2</v>
      </c>
      <c r="D1609" s="1" t="s">
        <v>193</v>
      </c>
    </row>
    <row r="1610">
      <c r="A1610" s="253">
        <v>45979.06848104167</v>
      </c>
      <c r="B1610" s="1" t="s">
        <v>539</v>
      </c>
      <c r="C1610" s="203">
        <v>11.444999999999999</v>
      </c>
      <c r="D1610" s="1" t="s">
        <v>238</v>
      </c>
    </row>
    <row r="1611">
      <c r="A1611" s="253">
        <v>45979.06848104167</v>
      </c>
      <c r="B1611" s="1" t="s">
        <v>131</v>
      </c>
      <c r="C1611" s="203">
        <v>8.4</v>
      </c>
      <c r="D1611" s="1" t="s">
        <v>132</v>
      </c>
    </row>
    <row r="1612">
      <c r="A1612" s="253">
        <v>45979.06848104167</v>
      </c>
      <c r="B1612" s="1" t="s">
        <v>221</v>
      </c>
      <c r="C1612" s="203">
        <v>5.7</v>
      </c>
      <c r="D1612" s="1" t="s">
        <v>95</v>
      </c>
    </row>
    <row r="1613">
      <c r="A1613" s="253">
        <v>45979.06848104167</v>
      </c>
      <c r="B1613" s="1" t="s">
        <v>133</v>
      </c>
      <c r="C1613" s="203">
        <v>10.905</v>
      </c>
      <c r="D1613" s="1" t="s">
        <v>43</v>
      </c>
    </row>
    <row r="1614">
      <c r="A1614" s="253">
        <v>45979.06848104167</v>
      </c>
      <c r="B1614" s="1" t="s">
        <v>174</v>
      </c>
      <c r="C1614" s="203">
        <v>7.746999999999999</v>
      </c>
      <c r="D1614" s="1" t="s">
        <v>156</v>
      </c>
    </row>
    <row r="1615">
      <c r="A1615" s="253">
        <v>45979.06848104167</v>
      </c>
      <c r="B1615" s="1" t="s">
        <v>222</v>
      </c>
      <c r="C1615" s="203">
        <v>7.242</v>
      </c>
      <c r="D1615" s="1" t="s">
        <v>96</v>
      </c>
    </row>
    <row r="1616">
      <c r="A1616" s="253">
        <v>45979.06848104167</v>
      </c>
      <c r="B1616" s="1" t="s">
        <v>107</v>
      </c>
      <c r="C1616" s="203">
        <v>9.658000000000001</v>
      </c>
      <c r="D1616" s="1" t="s">
        <v>132</v>
      </c>
    </row>
    <row r="1617">
      <c r="A1617" s="253">
        <v>45979.06848104167</v>
      </c>
      <c r="B1617" s="1" t="s">
        <v>108</v>
      </c>
      <c r="C1617" s="203">
        <v>3.7</v>
      </c>
      <c r="D1617" s="1" t="s">
        <v>493</v>
      </c>
    </row>
    <row r="1618">
      <c r="A1618" s="253">
        <v>45979.06848104167</v>
      </c>
      <c r="B1618" s="1" t="s">
        <v>163</v>
      </c>
      <c r="C1618" s="203">
        <v>3.5</v>
      </c>
      <c r="D1618" s="1" t="s">
        <v>62</v>
      </c>
    </row>
    <row r="1619">
      <c r="A1619" s="253">
        <v>45979.06848104167</v>
      </c>
      <c r="B1619" s="1" t="s">
        <v>109</v>
      </c>
      <c r="C1619" s="203">
        <v>5.0</v>
      </c>
      <c r="D1619" s="1" t="s">
        <v>156</v>
      </c>
    </row>
    <row r="1620">
      <c r="A1620" s="253">
        <v>45979.06848104167</v>
      </c>
      <c r="B1620" s="1" t="s">
        <v>196</v>
      </c>
      <c r="C1620" s="203">
        <v>3.3</v>
      </c>
      <c r="D1620" s="1" t="s">
        <v>62</v>
      </c>
    </row>
    <row r="1621">
      <c r="A1621" s="253">
        <v>45979.06848104167</v>
      </c>
      <c r="B1621" s="1" t="s">
        <v>99</v>
      </c>
      <c r="C1621" s="203">
        <v>8.7</v>
      </c>
      <c r="D1621" s="1" t="s">
        <v>395</v>
      </c>
    </row>
    <row r="1622">
      <c r="A1622" s="253">
        <v>45979.06848104167</v>
      </c>
      <c r="B1622" s="1" t="s">
        <v>219</v>
      </c>
      <c r="C1622" s="203">
        <v>3.2</v>
      </c>
      <c r="D1622" s="1" t="s">
        <v>493</v>
      </c>
    </row>
    <row r="1623">
      <c r="A1623" s="253">
        <v>45979.06848104167</v>
      </c>
      <c r="B1623" s="1" t="s">
        <v>527</v>
      </c>
      <c r="D1623" s="1" t="s">
        <v>43</v>
      </c>
    </row>
    <row r="1624">
      <c r="A1624" s="253">
        <v>45979.06848104167</v>
      </c>
      <c r="B1624" s="1" t="s">
        <v>185</v>
      </c>
      <c r="C1624" s="203">
        <v>9.539000000000001</v>
      </c>
      <c r="D1624" s="1" t="s">
        <v>224</v>
      </c>
    </row>
    <row r="1625">
      <c r="A1625" s="253">
        <v>45979.06848104167</v>
      </c>
      <c r="B1625" s="1" t="s">
        <v>197</v>
      </c>
      <c r="C1625" s="203">
        <v>9.19</v>
      </c>
      <c r="D1625" s="1" t="s">
        <v>95</v>
      </c>
    </row>
    <row r="1626">
      <c r="A1626" s="253">
        <v>45979.06848104167</v>
      </c>
      <c r="B1626" s="1" t="s">
        <v>186</v>
      </c>
      <c r="C1626" s="203">
        <v>5.8</v>
      </c>
      <c r="D1626" s="1" t="s">
        <v>311</v>
      </c>
    </row>
    <row r="1627">
      <c r="A1627" s="253">
        <v>45979.06848104167</v>
      </c>
      <c r="B1627" s="1" t="s">
        <v>198</v>
      </c>
      <c r="C1627" s="203">
        <v>9.753</v>
      </c>
      <c r="D1627" s="1" t="s">
        <v>95</v>
      </c>
    </row>
    <row r="1628">
      <c r="A1628" s="253">
        <v>45979.06848104167</v>
      </c>
      <c r="B1628" s="1" t="s">
        <v>160</v>
      </c>
      <c r="C1628" s="203">
        <v>3.0</v>
      </c>
      <c r="D1628" s="1" t="s">
        <v>238</v>
      </c>
    </row>
    <row r="1629">
      <c r="A1629" s="253">
        <v>45979.06848104167</v>
      </c>
      <c r="B1629" s="1" t="s">
        <v>161</v>
      </c>
      <c r="C1629" s="203">
        <v>6.0</v>
      </c>
      <c r="D1629" s="1" t="s">
        <v>311</v>
      </c>
    </row>
    <row r="1630">
      <c r="A1630" s="253">
        <v>45979.06848104167</v>
      </c>
      <c r="B1630" s="1" t="s">
        <v>213</v>
      </c>
      <c r="C1630" s="203">
        <v>9.2</v>
      </c>
      <c r="D1630" s="1" t="s">
        <v>395</v>
      </c>
    </row>
    <row r="1631">
      <c r="A1631" s="253">
        <v>45979.06848104167</v>
      </c>
      <c r="B1631" s="1" t="s">
        <v>121</v>
      </c>
      <c r="C1631" s="203">
        <v>9.779</v>
      </c>
      <c r="D1631" s="1" t="s">
        <v>96</v>
      </c>
    </row>
    <row r="1632">
      <c r="A1632" s="253">
        <v>45979.06848104167</v>
      </c>
      <c r="B1632" s="1" t="s">
        <v>122</v>
      </c>
      <c r="C1632" s="203">
        <v>3.3</v>
      </c>
      <c r="D1632" s="1" t="s">
        <v>311</v>
      </c>
    </row>
    <row r="1633">
      <c r="A1633" s="253">
        <v>45979.06848104167</v>
      </c>
      <c r="B1633" s="1" t="s">
        <v>123</v>
      </c>
      <c r="C1633" s="203">
        <v>8.2</v>
      </c>
      <c r="D1633" s="1" t="s">
        <v>493</v>
      </c>
    </row>
    <row r="1634">
      <c r="A1634" s="253">
        <v>45979.06848104167</v>
      </c>
      <c r="B1634" s="1" t="s">
        <v>199</v>
      </c>
      <c r="C1634" s="203">
        <v>8.0</v>
      </c>
      <c r="D1634" s="1" t="s">
        <v>62</v>
      </c>
    </row>
    <row r="1635">
      <c r="A1635" s="253">
        <v>45979.06848104167</v>
      </c>
      <c r="B1635" s="1" t="s">
        <v>200</v>
      </c>
      <c r="C1635" s="203">
        <v>5.9</v>
      </c>
      <c r="D1635" s="1" t="s">
        <v>493</v>
      </c>
    </row>
    <row r="1636">
      <c r="A1636" s="253">
        <v>45979.06848104167</v>
      </c>
      <c r="B1636" s="1" t="s">
        <v>134</v>
      </c>
      <c r="C1636" s="203">
        <v>4.1</v>
      </c>
      <c r="D1636" s="1" t="s">
        <v>132</v>
      </c>
    </row>
    <row r="1637">
      <c r="A1637" s="253">
        <v>45979.06848104167</v>
      </c>
      <c r="B1637" s="1" t="s">
        <v>162</v>
      </c>
      <c r="C1637" s="203">
        <v>8.478000000000002</v>
      </c>
      <c r="D1637" s="1" t="s">
        <v>395</v>
      </c>
    </row>
    <row r="1638">
      <c r="A1638" s="253">
        <v>45979.06848104167</v>
      </c>
      <c r="B1638" s="1" t="s">
        <v>175</v>
      </c>
      <c r="C1638" s="203">
        <v>7.209</v>
      </c>
      <c r="D1638" s="1" t="s">
        <v>395</v>
      </c>
    </row>
    <row r="1639">
      <c r="A1639" s="253">
        <v>45979.06848104167</v>
      </c>
      <c r="B1639" s="1" t="s">
        <v>148</v>
      </c>
      <c r="C1639" s="203">
        <v>3.7</v>
      </c>
      <c r="D1639" s="1" t="s">
        <v>238</v>
      </c>
    </row>
    <row r="1640">
      <c r="A1640" s="253">
        <v>45979.06848104167</v>
      </c>
      <c r="B1640" s="1" t="s">
        <v>187</v>
      </c>
      <c r="C1640" s="203">
        <v>4.9</v>
      </c>
      <c r="D1640" s="1" t="s">
        <v>132</v>
      </c>
    </row>
    <row r="1641">
      <c r="A1641" s="253">
        <v>45979.06848104167</v>
      </c>
      <c r="B1641" s="1" t="s">
        <v>234</v>
      </c>
      <c r="D1641" s="1" t="s">
        <v>311</v>
      </c>
    </row>
    <row r="1642">
      <c r="A1642" s="253">
        <v>45979.06848104167</v>
      </c>
      <c r="B1642" s="1" t="s">
        <v>232</v>
      </c>
      <c r="C1642" s="203">
        <v>8.152</v>
      </c>
      <c r="D1642" s="1" t="s">
        <v>156</v>
      </c>
    </row>
    <row r="1643">
      <c r="A1643" s="253">
        <v>45979.06848104167</v>
      </c>
    </row>
    <row r="1644">
      <c r="A1644" s="253">
        <v>45979.06848104167</v>
      </c>
    </row>
    <row r="1645">
      <c r="A1645" s="253">
        <v>45979.06848104167</v>
      </c>
    </row>
    <row r="1646">
      <c r="A1646" s="1" t="s">
        <v>914</v>
      </c>
      <c r="B1646" s="1" t="s">
        <v>13</v>
      </c>
      <c r="C1646" s="1" t="s">
        <v>2047</v>
      </c>
      <c r="D1646" s="1" t="s">
        <v>2048</v>
      </c>
    </row>
    <row r="1647">
      <c r="A1647" s="253">
        <v>45986.06845535879</v>
      </c>
      <c r="B1647" s="1" t="s">
        <v>176</v>
      </c>
      <c r="C1647" s="203">
        <v>3.5</v>
      </c>
      <c r="D1647" s="1" t="s">
        <v>43</v>
      </c>
    </row>
    <row r="1648">
      <c r="A1648" s="253">
        <v>45986.06845535879</v>
      </c>
      <c r="B1648" s="1" t="s">
        <v>164</v>
      </c>
      <c r="C1648" s="203">
        <v>5.0</v>
      </c>
      <c r="D1648" s="1" t="s">
        <v>193</v>
      </c>
    </row>
    <row r="1649">
      <c r="A1649" s="253">
        <v>45986.06845535879</v>
      </c>
      <c r="B1649" s="1" t="s">
        <v>201</v>
      </c>
      <c r="C1649" s="203">
        <v>9.705</v>
      </c>
      <c r="D1649" s="1" t="s">
        <v>62</v>
      </c>
    </row>
    <row r="1650">
      <c r="A1650" s="253">
        <v>45986.06845535879</v>
      </c>
      <c r="B1650" s="1" t="e">
        <v>#N/A</v>
      </c>
      <c r="C1650" s="1" t="e">
        <v>#N/A</v>
      </c>
      <c r="D1650" s="1" t="s">
        <v>2050</v>
      </c>
    </row>
    <row r="1651">
      <c r="A1651" s="253">
        <v>45986.06845535879</v>
      </c>
      <c r="B1651" s="1" t="s">
        <v>189</v>
      </c>
      <c r="C1651" s="203">
        <v>8.494</v>
      </c>
      <c r="D1651" s="1" t="s">
        <v>43</v>
      </c>
    </row>
    <row r="1652">
      <c r="A1652" s="253">
        <v>45986.06845535879</v>
      </c>
      <c r="B1652" s="1" t="s">
        <v>188</v>
      </c>
      <c r="C1652" s="203">
        <v>8.5</v>
      </c>
      <c r="D1652" s="1" t="s">
        <v>493</v>
      </c>
    </row>
    <row r="1653">
      <c r="A1653" s="253">
        <v>45986.06845535879</v>
      </c>
      <c r="B1653" s="1" t="s">
        <v>202</v>
      </c>
      <c r="C1653" s="203">
        <v>2.4</v>
      </c>
      <c r="D1653" s="1" t="s">
        <v>156</v>
      </c>
    </row>
    <row r="1654">
      <c r="A1654" s="253">
        <v>45986.06845535879</v>
      </c>
      <c r="B1654" s="1" t="s">
        <v>215</v>
      </c>
      <c r="C1654" s="203">
        <v>5.5</v>
      </c>
      <c r="D1654" s="1" t="s">
        <v>132</v>
      </c>
    </row>
    <row r="1655">
      <c r="A1655" s="253">
        <v>45986.06845535879</v>
      </c>
      <c r="B1655" s="1" t="s">
        <v>225</v>
      </c>
      <c r="C1655" s="203">
        <v>5.6</v>
      </c>
      <c r="D1655" s="1" t="s">
        <v>395</v>
      </c>
    </row>
    <row r="1656">
      <c r="A1656" s="253">
        <v>45986.06845535879</v>
      </c>
      <c r="B1656" s="1" t="s">
        <v>45</v>
      </c>
      <c r="C1656" s="203">
        <v>5.3</v>
      </c>
      <c r="D1656" s="1" t="s">
        <v>43</v>
      </c>
    </row>
    <row r="1657">
      <c r="A1657" s="253">
        <v>45986.06845535879</v>
      </c>
      <c r="B1657" s="1" t="s">
        <v>165</v>
      </c>
      <c r="C1657" s="203">
        <v>4.1</v>
      </c>
      <c r="D1657" s="1" t="s">
        <v>95</v>
      </c>
    </row>
    <row r="1658">
      <c r="A1658" s="253">
        <v>45986.06845535879</v>
      </c>
      <c r="B1658" s="1" t="s">
        <v>124</v>
      </c>
      <c r="C1658" s="203">
        <v>5.6</v>
      </c>
      <c r="D1658" s="1" t="s">
        <v>249</v>
      </c>
    </row>
    <row r="1659">
      <c r="A1659" s="253">
        <v>45986.06845535879</v>
      </c>
      <c r="B1659" s="1" t="s">
        <v>177</v>
      </c>
      <c r="C1659" s="203">
        <v>7.637</v>
      </c>
      <c r="D1659" s="1" t="s">
        <v>95</v>
      </c>
    </row>
    <row r="1660">
      <c r="A1660" s="253">
        <v>45986.06845535879</v>
      </c>
      <c r="B1660" s="1" t="s">
        <v>110</v>
      </c>
      <c r="C1660" s="203">
        <v>1.5</v>
      </c>
      <c r="D1660" s="1" t="s">
        <v>493</v>
      </c>
    </row>
    <row r="1661">
      <c r="A1661" s="253">
        <v>45986.06845535879</v>
      </c>
      <c r="B1661" s="1" t="s">
        <v>166</v>
      </c>
      <c r="C1661" s="203">
        <v>3.9</v>
      </c>
      <c r="D1661" s="1" t="s">
        <v>224</v>
      </c>
    </row>
    <row r="1662">
      <c r="A1662" s="253">
        <v>45986.06845535879</v>
      </c>
      <c r="B1662" s="1" t="s">
        <v>167</v>
      </c>
      <c r="C1662" s="203">
        <v>5.3</v>
      </c>
      <c r="D1662" s="1" t="s">
        <v>249</v>
      </c>
    </row>
    <row r="1663">
      <c r="A1663" s="253">
        <v>45986.06845535879</v>
      </c>
      <c r="B1663" s="1" t="s">
        <v>226</v>
      </c>
      <c r="C1663" s="203">
        <v>10.901</v>
      </c>
      <c r="D1663" s="1" t="s">
        <v>224</v>
      </c>
    </row>
    <row r="1664">
      <c r="A1664" s="253">
        <v>45986.06845535879</v>
      </c>
      <c r="B1664" s="1" t="s">
        <v>190</v>
      </c>
      <c r="C1664" s="203">
        <v>6.1</v>
      </c>
      <c r="D1664" s="1" t="s">
        <v>62</v>
      </c>
    </row>
    <row r="1665">
      <c r="A1665" s="253">
        <v>45986.06845535879</v>
      </c>
      <c r="B1665" s="1" t="s">
        <v>168</v>
      </c>
      <c r="C1665" s="203">
        <v>7.189</v>
      </c>
      <c r="D1665" s="1" t="s">
        <v>132</v>
      </c>
    </row>
    <row r="1666">
      <c r="A1666" s="253">
        <v>45986.06845535879</v>
      </c>
      <c r="B1666" s="1" t="s">
        <v>159</v>
      </c>
      <c r="D1666" s="1" t="s">
        <v>249</v>
      </c>
    </row>
    <row r="1667">
      <c r="A1667" s="253">
        <v>45986.06845535879</v>
      </c>
      <c r="B1667" s="1" t="s">
        <v>98</v>
      </c>
      <c r="C1667" s="203">
        <v>7.4</v>
      </c>
      <c r="D1667" s="1" t="s">
        <v>238</v>
      </c>
    </row>
    <row r="1668">
      <c r="A1668" s="253">
        <v>45986.06845535879</v>
      </c>
      <c r="B1668" s="1" t="s">
        <v>111</v>
      </c>
      <c r="C1668" s="203">
        <v>6.4</v>
      </c>
      <c r="D1668" s="1" t="s">
        <v>249</v>
      </c>
    </row>
    <row r="1669">
      <c r="A1669" s="253">
        <v>45986.06845535879</v>
      </c>
      <c r="B1669" s="1" t="s">
        <v>223</v>
      </c>
      <c r="C1669" s="203">
        <v>6.1</v>
      </c>
      <c r="D1669" s="1" t="s">
        <v>156</v>
      </c>
    </row>
    <row r="1670">
      <c r="A1670" s="253">
        <v>45986.06845535879</v>
      </c>
      <c r="B1670" s="1" t="s">
        <v>191</v>
      </c>
      <c r="C1670" s="203">
        <v>3.2</v>
      </c>
      <c r="D1670" s="1" t="s">
        <v>224</v>
      </c>
    </row>
    <row r="1671">
      <c r="A1671" s="253">
        <v>45986.06845535879</v>
      </c>
      <c r="B1671" s="1" t="s">
        <v>178</v>
      </c>
      <c r="C1671" s="203">
        <v>2.5</v>
      </c>
      <c r="D1671" s="1" t="s">
        <v>62</v>
      </c>
    </row>
    <row r="1672">
      <c r="A1672" s="253">
        <v>45986.06845535879</v>
      </c>
      <c r="B1672" s="1" t="s">
        <v>112</v>
      </c>
      <c r="C1672" s="203">
        <v>6.675</v>
      </c>
      <c r="D1672" s="1" t="s">
        <v>249</v>
      </c>
    </row>
    <row r="1673">
      <c r="A1673" s="253">
        <v>45986.06845535879</v>
      </c>
      <c r="B1673" s="1" t="s">
        <v>100</v>
      </c>
      <c r="C1673" s="203">
        <v>7.8</v>
      </c>
      <c r="D1673" s="1" t="s">
        <v>95</v>
      </c>
    </row>
    <row r="1674">
      <c r="A1674" s="253">
        <v>45986.06845535879</v>
      </c>
      <c r="B1674" s="1" t="s">
        <v>304</v>
      </c>
      <c r="C1674" s="203">
        <v>4.3</v>
      </c>
      <c r="D1674" s="1" t="s">
        <v>62</v>
      </c>
    </row>
    <row r="1675">
      <c r="A1675" s="253">
        <v>45986.06845535879</v>
      </c>
      <c r="B1675" s="1" t="s">
        <v>150</v>
      </c>
      <c r="C1675" s="203">
        <v>4.2</v>
      </c>
      <c r="D1675" s="1" t="s">
        <v>193</v>
      </c>
    </row>
    <row r="1676">
      <c r="A1676" s="253">
        <v>45986.06845535879</v>
      </c>
      <c r="B1676" s="1" t="s">
        <v>203</v>
      </c>
      <c r="C1676" s="203">
        <v>3.5</v>
      </c>
      <c r="D1676" s="1" t="s">
        <v>224</v>
      </c>
    </row>
    <row r="1677">
      <c r="A1677" s="253">
        <v>45986.06845535879</v>
      </c>
      <c r="B1677" s="1" t="s">
        <v>545</v>
      </c>
      <c r="C1677" s="203">
        <v>6.7</v>
      </c>
      <c r="D1677" s="1" t="s">
        <v>132</v>
      </c>
    </row>
    <row r="1678">
      <c r="A1678" s="253">
        <v>45986.06845535879</v>
      </c>
      <c r="B1678" s="1" t="s">
        <v>113</v>
      </c>
      <c r="C1678" s="203">
        <v>5.5</v>
      </c>
      <c r="D1678" s="1" t="s">
        <v>224</v>
      </c>
    </row>
    <row r="1679">
      <c r="A1679" s="253">
        <v>45986.06845535879</v>
      </c>
      <c r="B1679" s="1" t="s">
        <v>179</v>
      </c>
      <c r="C1679" s="203">
        <v>7.6</v>
      </c>
      <c r="D1679" s="1" t="s">
        <v>395</v>
      </c>
    </row>
    <row r="1680">
      <c r="A1680" s="253">
        <v>45986.06845535879</v>
      </c>
      <c r="B1680" s="1" t="s">
        <v>204</v>
      </c>
      <c r="C1680" s="203">
        <v>10.898</v>
      </c>
      <c r="D1680" s="1" t="s">
        <v>96</v>
      </c>
    </row>
    <row r="1681">
      <c r="A1681" s="253">
        <v>45986.06845535879</v>
      </c>
      <c r="B1681" s="1" t="s">
        <v>216</v>
      </c>
      <c r="C1681" s="203">
        <v>5.3</v>
      </c>
      <c r="D1681" s="1" t="s">
        <v>224</v>
      </c>
    </row>
    <row r="1682">
      <c r="A1682" s="253">
        <v>45986.06845535879</v>
      </c>
      <c r="B1682" s="1" t="s">
        <v>217</v>
      </c>
      <c r="C1682" s="203">
        <v>1.0</v>
      </c>
      <c r="D1682" s="1" t="s">
        <v>249</v>
      </c>
    </row>
    <row r="1683">
      <c r="A1683" s="253">
        <v>45986.06845535879</v>
      </c>
      <c r="B1683" s="1" t="s">
        <v>114</v>
      </c>
      <c r="C1683" s="203">
        <v>9.096</v>
      </c>
      <c r="D1683" s="1" t="s">
        <v>395</v>
      </c>
    </row>
    <row r="1684">
      <c r="A1684" s="253">
        <v>45986.06845535879</v>
      </c>
      <c r="B1684" s="1" t="s">
        <v>536</v>
      </c>
      <c r="C1684" s="203">
        <v>7.8</v>
      </c>
      <c r="D1684" s="1" t="s">
        <v>96</v>
      </c>
    </row>
    <row r="1685">
      <c r="A1685" s="253">
        <v>45986.06845535879</v>
      </c>
      <c r="B1685" s="1" t="s">
        <v>101</v>
      </c>
      <c r="C1685" s="203">
        <v>8.4</v>
      </c>
      <c r="D1685" s="1" t="s">
        <v>395</v>
      </c>
    </row>
    <row r="1686">
      <c r="A1686" s="253">
        <v>45986.06845535879</v>
      </c>
      <c r="B1686" s="1" t="s">
        <v>135</v>
      </c>
      <c r="C1686" s="203">
        <v>7.7</v>
      </c>
      <c r="D1686" s="1" t="s">
        <v>156</v>
      </c>
    </row>
    <row r="1687">
      <c r="A1687" s="253">
        <v>45986.06845535879</v>
      </c>
      <c r="B1687" s="1" t="s">
        <v>136</v>
      </c>
      <c r="C1687" s="203">
        <v>11.966000000000001</v>
      </c>
      <c r="D1687" s="1" t="s">
        <v>132</v>
      </c>
    </row>
    <row r="1688">
      <c r="A1688" s="253">
        <v>45986.06845535879</v>
      </c>
      <c r="B1688" s="1" t="s">
        <v>137</v>
      </c>
      <c r="C1688" s="203">
        <v>7.6</v>
      </c>
      <c r="D1688" s="1" t="s">
        <v>249</v>
      </c>
    </row>
    <row r="1689">
      <c r="A1689" s="253">
        <v>45986.06845535879</v>
      </c>
      <c r="B1689" s="1" t="s">
        <v>125</v>
      </c>
      <c r="C1689" s="203">
        <v>7.9</v>
      </c>
      <c r="D1689" s="1" t="s">
        <v>311</v>
      </c>
    </row>
    <row r="1690">
      <c r="A1690" s="253">
        <v>45986.06845535879</v>
      </c>
      <c r="B1690" s="1" t="s">
        <v>231</v>
      </c>
      <c r="C1690" s="203">
        <v>10.914</v>
      </c>
      <c r="D1690" s="1" t="s">
        <v>395</v>
      </c>
    </row>
    <row r="1691">
      <c r="A1691" s="253">
        <v>45986.06845535879</v>
      </c>
      <c r="B1691" s="1" t="s">
        <v>126</v>
      </c>
      <c r="C1691" s="203">
        <v>5.2</v>
      </c>
      <c r="D1691" s="1" t="s">
        <v>193</v>
      </c>
    </row>
    <row r="1692">
      <c r="A1692" s="253">
        <v>45986.06845535879</v>
      </c>
      <c r="B1692" s="1" t="s">
        <v>127</v>
      </c>
      <c r="C1692" s="203">
        <v>5.8</v>
      </c>
      <c r="D1692" s="1" t="s">
        <v>62</v>
      </c>
    </row>
    <row r="1693">
      <c r="A1693" s="253">
        <v>45986.06845535879</v>
      </c>
      <c r="B1693" s="1" t="s">
        <v>170</v>
      </c>
      <c r="C1693" s="203">
        <v>4.2</v>
      </c>
      <c r="D1693" s="1" t="s">
        <v>493</v>
      </c>
    </row>
    <row r="1694">
      <c r="A1694" s="253">
        <v>45986.06845535879</v>
      </c>
      <c r="B1694" s="1" t="s">
        <v>205</v>
      </c>
      <c r="C1694" s="203">
        <v>5.5</v>
      </c>
      <c r="D1694" s="1" t="s">
        <v>493</v>
      </c>
    </row>
    <row r="1695">
      <c r="A1695" s="253">
        <v>45986.06845535879</v>
      </c>
      <c r="B1695" s="1" t="s">
        <v>227</v>
      </c>
      <c r="C1695" s="203">
        <v>4.5</v>
      </c>
      <c r="D1695" s="1" t="s">
        <v>62</v>
      </c>
    </row>
    <row r="1696">
      <c r="A1696" s="253">
        <v>45986.06845535879</v>
      </c>
      <c r="B1696" s="1" t="s">
        <v>552</v>
      </c>
      <c r="C1696" s="203">
        <v>5.8</v>
      </c>
      <c r="D1696" s="1" t="s">
        <v>193</v>
      </c>
    </row>
    <row r="1697">
      <c r="A1697" s="253">
        <v>45986.06845535879</v>
      </c>
      <c r="B1697" s="1" t="s">
        <v>151</v>
      </c>
      <c r="C1697" s="203">
        <v>6.5</v>
      </c>
      <c r="D1697" s="1" t="s">
        <v>249</v>
      </c>
    </row>
    <row r="1698">
      <c r="A1698" s="253">
        <v>45986.06845535879</v>
      </c>
      <c r="B1698" s="1" t="s">
        <v>115</v>
      </c>
      <c r="C1698" s="203">
        <v>7.5</v>
      </c>
      <c r="D1698" s="1" t="s">
        <v>132</v>
      </c>
    </row>
    <row r="1699">
      <c r="A1699" s="253">
        <v>45986.06845535879</v>
      </c>
      <c r="B1699" s="1" t="s">
        <v>206</v>
      </c>
      <c r="C1699" s="203">
        <v>7.3</v>
      </c>
      <c r="D1699" s="1" t="s">
        <v>311</v>
      </c>
    </row>
    <row r="1700">
      <c r="A1700" s="253">
        <v>45986.06845535879</v>
      </c>
      <c r="B1700" s="1" t="s">
        <v>152</v>
      </c>
      <c r="C1700" s="203">
        <v>5.7</v>
      </c>
      <c r="D1700" s="1" t="s">
        <v>311</v>
      </c>
    </row>
    <row r="1701">
      <c r="A1701" s="253">
        <v>45986.06845535879</v>
      </c>
      <c r="B1701" s="1" t="s">
        <v>138</v>
      </c>
      <c r="C1701" s="203">
        <v>4.5</v>
      </c>
      <c r="D1701" s="1" t="s">
        <v>493</v>
      </c>
    </row>
    <row r="1702">
      <c r="A1702" s="253">
        <v>45986.06845535879</v>
      </c>
      <c r="B1702" s="1" t="s">
        <v>102</v>
      </c>
      <c r="C1702" s="203">
        <v>8.8</v>
      </c>
      <c r="D1702" s="1" t="s">
        <v>238</v>
      </c>
    </row>
    <row r="1703">
      <c r="A1703" s="253">
        <v>45986.06845535879</v>
      </c>
      <c r="B1703" s="1" t="s">
        <v>548</v>
      </c>
      <c r="C1703" s="203">
        <v>6.879</v>
      </c>
      <c r="D1703" s="1" t="s">
        <v>238</v>
      </c>
    </row>
    <row r="1704">
      <c r="A1704" s="253">
        <v>45986.06845535879</v>
      </c>
      <c r="B1704" s="1" t="s">
        <v>116</v>
      </c>
      <c r="C1704" s="203">
        <v>9.716000000000001</v>
      </c>
      <c r="D1704" s="1" t="s">
        <v>156</v>
      </c>
    </row>
    <row r="1705">
      <c r="A1705" s="253">
        <v>45986.06845535879</v>
      </c>
      <c r="B1705" s="1" t="s">
        <v>140</v>
      </c>
      <c r="C1705" s="203">
        <v>3.5</v>
      </c>
      <c r="D1705" s="1" t="s">
        <v>224</v>
      </c>
    </row>
    <row r="1706">
      <c r="A1706" s="253">
        <v>45986.06845535879</v>
      </c>
      <c r="B1706" s="1" t="s">
        <v>139</v>
      </c>
      <c r="C1706" s="203">
        <v>9.189</v>
      </c>
      <c r="D1706" s="1" t="s">
        <v>311</v>
      </c>
    </row>
    <row r="1707">
      <c r="A1707" s="253">
        <v>45986.06845535879</v>
      </c>
      <c r="B1707" s="1" t="s">
        <v>153</v>
      </c>
      <c r="C1707" s="203">
        <v>2.3</v>
      </c>
      <c r="D1707" s="1" t="s">
        <v>96</v>
      </c>
    </row>
    <row r="1708">
      <c r="A1708" s="253">
        <v>45986.06845535879</v>
      </c>
      <c r="B1708" s="1" t="s">
        <v>141</v>
      </c>
      <c r="C1708" s="203">
        <v>6.5</v>
      </c>
      <c r="D1708" s="1" t="s">
        <v>238</v>
      </c>
    </row>
    <row r="1709">
      <c r="A1709" s="253">
        <v>45986.06845535879</v>
      </c>
      <c r="B1709" s="1" t="s">
        <v>207</v>
      </c>
      <c r="C1709" s="203">
        <v>5.2</v>
      </c>
      <c r="D1709" s="1" t="s">
        <v>493</v>
      </c>
    </row>
    <row r="1710">
      <c r="A1710" s="253">
        <v>45986.06845535879</v>
      </c>
      <c r="B1710" s="1" t="s">
        <v>208</v>
      </c>
      <c r="C1710" s="203">
        <v>7.6</v>
      </c>
      <c r="D1710" s="1" t="s">
        <v>156</v>
      </c>
    </row>
    <row r="1711">
      <c r="A1711" s="253">
        <v>45986.06845535879</v>
      </c>
      <c r="B1711" s="1" t="s">
        <v>103</v>
      </c>
      <c r="C1711" s="203">
        <v>8.795</v>
      </c>
      <c r="D1711" s="1" t="s">
        <v>224</v>
      </c>
    </row>
    <row r="1712">
      <c r="A1712" s="253">
        <v>45986.06845535879</v>
      </c>
      <c r="B1712" s="1" t="s">
        <v>117</v>
      </c>
      <c r="C1712" s="203">
        <v>6.8</v>
      </c>
      <c r="D1712" s="1" t="s">
        <v>95</v>
      </c>
    </row>
    <row r="1713">
      <c r="A1713" s="253">
        <v>45986.06845535879</v>
      </c>
      <c r="B1713" s="1" t="s">
        <v>142</v>
      </c>
      <c r="C1713" s="203">
        <v>7.4</v>
      </c>
      <c r="D1713" s="1" t="s">
        <v>96</v>
      </c>
    </row>
    <row r="1714">
      <c r="A1714" s="253">
        <v>45986.06845535879</v>
      </c>
      <c r="B1714" s="1" t="s">
        <v>181</v>
      </c>
      <c r="C1714" s="203">
        <v>3.2</v>
      </c>
      <c r="D1714" s="1" t="s">
        <v>156</v>
      </c>
    </row>
    <row r="1715">
      <c r="A1715" s="253">
        <v>45986.06845535879</v>
      </c>
      <c r="B1715" s="1" t="s">
        <v>182</v>
      </c>
      <c r="C1715" s="203">
        <v>8.5</v>
      </c>
      <c r="D1715" s="1" t="s">
        <v>193</v>
      </c>
    </row>
    <row r="1716">
      <c r="A1716" s="253">
        <v>45986.06845535879</v>
      </c>
      <c r="B1716" s="1" t="s">
        <v>228</v>
      </c>
      <c r="C1716" s="203">
        <v>4.7</v>
      </c>
      <c r="D1716" s="1" t="s">
        <v>43</v>
      </c>
    </row>
    <row r="1717">
      <c r="A1717" s="253">
        <v>45986.06845535879</v>
      </c>
      <c r="B1717" s="1" t="s">
        <v>118</v>
      </c>
      <c r="C1717" s="203">
        <v>4.2</v>
      </c>
      <c r="D1717" s="1" t="s">
        <v>43</v>
      </c>
    </row>
    <row r="1718">
      <c r="A1718" s="253">
        <v>45986.06845535879</v>
      </c>
      <c r="B1718" s="1" t="s">
        <v>154</v>
      </c>
      <c r="C1718" s="203">
        <v>10.916</v>
      </c>
      <c r="D1718" s="1" t="s">
        <v>156</v>
      </c>
    </row>
    <row r="1719">
      <c r="A1719" s="253">
        <v>45986.06845535879</v>
      </c>
      <c r="B1719" s="1" t="s">
        <v>172</v>
      </c>
      <c r="C1719" s="203">
        <v>3.8</v>
      </c>
      <c r="D1719" s="1" t="s">
        <v>311</v>
      </c>
    </row>
    <row r="1720">
      <c r="A1720" s="253">
        <v>45986.06845535879</v>
      </c>
      <c r="B1720" s="1" t="s">
        <v>143</v>
      </c>
      <c r="C1720" s="203">
        <v>6.3</v>
      </c>
      <c r="D1720" s="1" t="s">
        <v>493</v>
      </c>
    </row>
    <row r="1721">
      <c r="A1721" s="253">
        <v>45986.06845535879</v>
      </c>
      <c r="B1721" s="1" t="s">
        <v>229</v>
      </c>
      <c r="C1721" s="203">
        <v>10.0</v>
      </c>
      <c r="D1721" s="1" t="s">
        <v>96</v>
      </c>
    </row>
    <row r="1722">
      <c r="A1722" s="253">
        <v>45986.06845535879</v>
      </c>
      <c r="B1722" s="1" t="s">
        <v>173</v>
      </c>
      <c r="C1722" s="203">
        <v>7.778</v>
      </c>
      <c r="D1722" s="1" t="s">
        <v>96</v>
      </c>
    </row>
    <row r="1723">
      <c r="A1723" s="253">
        <v>45986.06845535879</v>
      </c>
      <c r="B1723" s="1" t="s">
        <v>144</v>
      </c>
      <c r="C1723" s="203">
        <v>11.791</v>
      </c>
      <c r="D1723" s="1" t="s">
        <v>193</v>
      </c>
    </row>
    <row r="1724">
      <c r="A1724" s="253">
        <v>45986.06845535879</v>
      </c>
      <c r="B1724" s="1" t="s">
        <v>128</v>
      </c>
      <c r="C1724" s="203">
        <v>9.7</v>
      </c>
      <c r="D1724" s="1" t="s">
        <v>95</v>
      </c>
    </row>
    <row r="1725">
      <c r="A1725" s="253">
        <v>45986.06845535879</v>
      </c>
      <c r="B1725" s="1" t="s">
        <v>129</v>
      </c>
      <c r="C1725" s="203">
        <v>1.1</v>
      </c>
      <c r="D1725" s="1" t="s">
        <v>96</v>
      </c>
    </row>
    <row r="1726">
      <c r="A1726" s="253">
        <v>45986.06845535879</v>
      </c>
      <c r="B1726" s="1" t="s">
        <v>155</v>
      </c>
      <c r="C1726" s="203">
        <v>9.0</v>
      </c>
      <c r="D1726" s="1" t="s">
        <v>62</v>
      </c>
    </row>
    <row r="1727">
      <c r="A1727" s="253">
        <v>45986.06845535879</v>
      </c>
      <c r="B1727" s="1" t="s">
        <v>209</v>
      </c>
      <c r="C1727" s="203">
        <v>10.770000000000001</v>
      </c>
      <c r="D1727" s="1" t="s">
        <v>249</v>
      </c>
    </row>
    <row r="1728">
      <c r="A1728" s="253">
        <v>45986.06845535879</v>
      </c>
      <c r="B1728" s="1" t="s">
        <v>192</v>
      </c>
      <c r="C1728" s="203">
        <v>10.754000000000001</v>
      </c>
      <c r="D1728" s="1" t="s">
        <v>311</v>
      </c>
    </row>
    <row r="1729">
      <c r="A1729" s="253">
        <v>45986.06845535879</v>
      </c>
      <c r="B1729" s="1" t="s">
        <v>194</v>
      </c>
      <c r="C1729" s="203">
        <v>2.2</v>
      </c>
      <c r="D1729" s="1" t="s">
        <v>193</v>
      </c>
    </row>
    <row r="1730">
      <c r="A1730" s="253">
        <v>45986.06845535879</v>
      </c>
      <c r="B1730" s="1" t="s">
        <v>145</v>
      </c>
      <c r="C1730" s="203">
        <v>5.8</v>
      </c>
      <c r="D1730" s="1" t="s">
        <v>43</v>
      </c>
    </row>
    <row r="1731">
      <c r="A1731" s="253">
        <v>45986.06845535879</v>
      </c>
      <c r="B1731" s="1" t="s">
        <v>119</v>
      </c>
      <c r="C1731" s="203">
        <v>8.262</v>
      </c>
      <c r="D1731" s="1" t="s">
        <v>238</v>
      </c>
    </row>
    <row r="1732">
      <c r="A1732" s="253">
        <v>45986.06845535879</v>
      </c>
      <c r="B1732" s="1" t="s">
        <v>146</v>
      </c>
      <c r="C1732" s="203">
        <v>2.0</v>
      </c>
      <c r="D1732" s="1" t="s">
        <v>493</v>
      </c>
    </row>
    <row r="1733">
      <c r="A1733" s="253">
        <v>45986.06845535879</v>
      </c>
      <c r="B1733" s="1" t="s">
        <v>157</v>
      </c>
      <c r="C1733" s="203">
        <v>5.0</v>
      </c>
      <c r="D1733" s="1" t="s">
        <v>43</v>
      </c>
    </row>
    <row r="1734">
      <c r="A1734" s="253">
        <v>45986.06845535879</v>
      </c>
      <c r="B1734" s="1" t="s">
        <v>147</v>
      </c>
      <c r="C1734" s="203">
        <v>5.2</v>
      </c>
      <c r="D1734" s="1" t="s">
        <v>395</v>
      </c>
    </row>
    <row r="1735">
      <c r="A1735" s="253">
        <v>45986.06845535879</v>
      </c>
      <c r="B1735" s="1" t="s">
        <v>183</v>
      </c>
      <c r="C1735" s="203">
        <v>9.48</v>
      </c>
      <c r="D1735" s="1" t="s">
        <v>249</v>
      </c>
    </row>
    <row r="1736">
      <c r="A1736" s="253">
        <v>45986.06845535879</v>
      </c>
      <c r="B1736" s="1" t="s">
        <v>549</v>
      </c>
      <c r="C1736" s="203">
        <v>3.4</v>
      </c>
      <c r="D1736" s="1" t="s">
        <v>238</v>
      </c>
    </row>
    <row r="1737">
      <c r="A1737" s="253">
        <v>45986.06845535879</v>
      </c>
      <c r="B1737" s="1" t="s">
        <v>104</v>
      </c>
      <c r="C1737" s="203">
        <v>8.843</v>
      </c>
      <c r="D1737" s="1" t="s">
        <v>193</v>
      </c>
    </row>
    <row r="1738">
      <c r="A1738" s="253">
        <v>45986.06845535879</v>
      </c>
      <c r="B1738" s="1" t="s">
        <v>220</v>
      </c>
      <c r="C1738" s="203">
        <v>4.3</v>
      </c>
      <c r="D1738" s="1" t="s">
        <v>238</v>
      </c>
    </row>
    <row r="1739">
      <c r="A1739" s="253">
        <v>45986.06845535879</v>
      </c>
      <c r="B1739" s="1" t="s">
        <v>210</v>
      </c>
      <c r="C1739" s="203">
        <v>4.6</v>
      </c>
      <c r="D1739" s="1" t="s">
        <v>132</v>
      </c>
    </row>
    <row r="1740">
      <c r="A1740" s="253">
        <v>45986.06845535879</v>
      </c>
      <c r="B1740" s="1" t="s">
        <v>105</v>
      </c>
      <c r="C1740" s="203">
        <v>8.995</v>
      </c>
      <c r="D1740" s="1" t="s">
        <v>96</v>
      </c>
    </row>
    <row r="1741">
      <c r="A1741" s="253">
        <v>45986.06845535879</v>
      </c>
      <c r="B1741" s="1" t="s">
        <v>546</v>
      </c>
      <c r="C1741" s="203">
        <v>7.582</v>
      </c>
      <c r="D1741" s="1" t="s">
        <v>493</v>
      </c>
    </row>
    <row r="1742">
      <c r="A1742" s="253">
        <v>45986.06845535879</v>
      </c>
      <c r="B1742" s="1" t="s">
        <v>195</v>
      </c>
      <c r="C1742" s="203">
        <v>4.0</v>
      </c>
      <c r="D1742" s="1" t="s">
        <v>493</v>
      </c>
    </row>
    <row r="1743">
      <c r="A1743" s="253">
        <v>45986.06845535879</v>
      </c>
      <c r="B1743" s="1" t="s">
        <v>120</v>
      </c>
      <c r="C1743" s="203">
        <v>3.5</v>
      </c>
      <c r="D1743" s="1" t="s">
        <v>493</v>
      </c>
    </row>
    <row r="1744">
      <c r="A1744" s="253">
        <v>45986.06845535879</v>
      </c>
      <c r="B1744" s="1" t="s">
        <v>130</v>
      </c>
      <c r="C1744" s="203">
        <v>7.6</v>
      </c>
      <c r="D1744" s="1" t="s">
        <v>95</v>
      </c>
    </row>
    <row r="1745">
      <c r="A1745" s="253">
        <v>45986.06845535879</v>
      </c>
      <c r="B1745" s="1" t="s">
        <v>106</v>
      </c>
      <c r="C1745" s="203">
        <v>5.1</v>
      </c>
      <c r="D1745" s="1" t="s">
        <v>493</v>
      </c>
    </row>
    <row r="1746">
      <c r="A1746" s="253">
        <v>45986.06845535879</v>
      </c>
      <c r="B1746" s="1" t="s">
        <v>211</v>
      </c>
      <c r="C1746" s="203">
        <v>8.6</v>
      </c>
      <c r="D1746" s="1" t="s">
        <v>193</v>
      </c>
    </row>
    <row r="1747">
      <c r="A1747" s="253">
        <v>45986.06845535879</v>
      </c>
      <c r="B1747" s="1" t="s">
        <v>539</v>
      </c>
      <c r="C1747" s="203">
        <v>11.527000000000001</v>
      </c>
      <c r="D1747" s="1" t="s">
        <v>238</v>
      </c>
    </row>
    <row r="1748">
      <c r="A1748" s="253">
        <v>45986.06845535879</v>
      </c>
      <c r="B1748" s="1" t="s">
        <v>131</v>
      </c>
      <c r="C1748" s="203">
        <v>8.5</v>
      </c>
      <c r="D1748" s="1" t="s">
        <v>132</v>
      </c>
    </row>
    <row r="1749">
      <c r="A1749" s="253">
        <v>45986.06845535879</v>
      </c>
      <c r="B1749" s="1" t="s">
        <v>221</v>
      </c>
      <c r="C1749" s="203">
        <v>5.8</v>
      </c>
      <c r="D1749" s="1" t="s">
        <v>95</v>
      </c>
    </row>
    <row r="1750">
      <c r="A1750" s="253">
        <v>45986.06845535879</v>
      </c>
      <c r="B1750" s="1" t="s">
        <v>133</v>
      </c>
      <c r="C1750" s="203">
        <v>10.92</v>
      </c>
      <c r="D1750" s="1" t="s">
        <v>43</v>
      </c>
    </row>
    <row r="1751">
      <c r="A1751" s="253">
        <v>45986.06845535879</v>
      </c>
      <c r="B1751" s="1" t="s">
        <v>174</v>
      </c>
      <c r="C1751" s="203">
        <v>7.843999999999999</v>
      </c>
      <c r="D1751" s="1" t="s">
        <v>156</v>
      </c>
    </row>
    <row r="1752">
      <c r="A1752" s="253">
        <v>45986.06845535879</v>
      </c>
      <c r="B1752" s="1" t="s">
        <v>222</v>
      </c>
      <c r="C1752" s="203">
        <v>7.404</v>
      </c>
      <c r="D1752" s="1" t="s">
        <v>96</v>
      </c>
    </row>
    <row r="1753">
      <c r="A1753" s="253">
        <v>45986.06845535879</v>
      </c>
      <c r="B1753" s="1" t="s">
        <v>107</v>
      </c>
      <c r="C1753" s="203">
        <v>9.993</v>
      </c>
      <c r="D1753" s="1" t="s">
        <v>132</v>
      </c>
    </row>
    <row r="1754">
      <c r="A1754" s="253">
        <v>45986.06845535879</v>
      </c>
      <c r="B1754" s="1" t="s">
        <v>108</v>
      </c>
      <c r="C1754" s="203">
        <v>4.6</v>
      </c>
      <c r="D1754" s="1" t="s">
        <v>493</v>
      </c>
    </row>
    <row r="1755">
      <c r="A1755" s="253">
        <v>45986.06845535879</v>
      </c>
      <c r="B1755" s="1" t="s">
        <v>163</v>
      </c>
      <c r="C1755" s="203">
        <v>3.4</v>
      </c>
      <c r="D1755" s="1" t="s">
        <v>62</v>
      </c>
    </row>
    <row r="1756">
      <c r="A1756" s="253">
        <v>45986.06845535879</v>
      </c>
      <c r="B1756" s="1" t="s">
        <v>109</v>
      </c>
      <c r="C1756" s="203">
        <v>5.1</v>
      </c>
      <c r="D1756" s="1" t="s">
        <v>156</v>
      </c>
    </row>
    <row r="1757">
      <c r="A1757" s="253">
        <v>45986.06845535879</v>
      </c>
      <c r="B1757" s="1" t="s">
        <v>196</v>
      </c>
      <c r="C1757" s="203">
        <v>3.1</v>
      </c>
      <c r="D1757" s="1" t="s">
        <v>62</v>
      </c>
    </row>
    <row r="1758">
      <c r="A1758" s="253">
        <v>45986.06845535879</v>
      </c>
      <c r="B1758" s="1" t="s">
        <v>99</v>
      </c>
      <c r="C1758" s="203">
        <v>9.0</v>
      </c>
      <c r="D1758" s="1" t="s">
        <v>395</v>
      </c>
    </row>
    <row r="1759">
      <c r="A1759" s="253">
        <v>45986.06845535879</v>
      </c>
      <c r="B1759" s="1" t="s">
        <v>219</v>
      </c>
      <c r="C1759" s="203">
        <v>3.2</v>
      </c>
      <c r="D1759" s="1" t="s">
        <v>493</v>
      </c>
    </row>
    <row r="1760">
      <c r="A1760" s="253">
        <v>45986.06845535879</v>
      </c>
      <c r="B1760" s="1" t="s">
        <v>527</v>
      </c>
      <c r="D1760" s="1" t="s">
        <v>43</v>
      </c>
    </row>
    <row r="1761">
      <c r="A1761" s="253">
        <v>45986.06845535879</v>
      </c>
      <c r="B1761" s="1" t="s">
        <v>185</v>
      </c>
      <c r="C1761" s="203">
        <v>9.780999999999999</v>
      </c>
      <c r="D1761" s="1" t="s">
        <v>224</v>
      </c>
    </row>
    <row r="1762">
      <c r="A1762" s="253">
        <v>45986.06845535879</v>
      </c>
      <c r="B1762" s="1" t="s">
        <v>197</v>
      </c>
      <c r="C1762" s="203">
        <v>8.9</v>
      </c>
      <c r="D1762" s="1" t="s">
        <v>95</v>
      </c>
    </row>
    <row r="1763">
      <c r="A1763" s="253">
        <v>45986.06845535879</v>
      </c>
      <c r="B1763" s="1" t="s">
        <v>186</v>
      </c>
      <c r="C1763" s="203">
        <v>6.3</v>
      </c>
      <c r="D1763" s="1" t="s">
        <v>311</v>
      </c>
    </row>
    <row r="1764">
      <c r="A1764" s="253">
        <v>45986.06845535879</v>
      </c>
      <c r="B1764" s="1" t="s">
        <v>198</v>
      </c>
      <c r="C1764" s="203">
        <v>9.785</v>
      </c>
      <c r="D1764" s="1" t="s">
        <v>95</v>
      </c>
    </row>
    <row r="1765">
      <c r="A1765" s="253">
        <v>45986.06845535879</v>
      </c>
      <c r="B1765" s="1" t="s">
        <v>160</v>
      </c>
      <c r="C1765" s="203">
        <v>2.4</v>
      </c>
      <c r="D1765" s="1" t="s">
        <v>238</v>
      </c>
    </row>
    <row r="1766">
      <c r="A1766" s="253">
        <v>45986.06845535879</v>
      </c>
      <c r="B1766" s="1" t="s">
        <v>161</v>
      </c>
      <c r="C1766" s="203">
        <v>6.8</v>
      </c>
      <c r="D1766" s="1" t="s">
        <v>311</v>
      </c>
    </row>
    <row r="1767">
      <c r="A1767" s="253">
        <v>45986.06845535879</v>
      </c>
      <c r="B1767" s="1" t="s">
        <v>213</v>
      </c>
      <c r="C1767" s="203">
        <v>9.4</v>
      </c>
      <c r="D1767" s="1" t="s">
        <v>395</v>
      </c>
    </row>
    <row r="1768">
      <c r="A1768" s="253">
        <v>45986.06845535879</v>
      </c>
      <c r="B1768" s="1" t="s">
        <v>121</v>
      </c>
      <c r="C1768" s="203">
        <v>9.808</v>
      </c>
      <c r="D1768" s="1" t="s">
        <v>96</v>
      </c>
    </row>
    <row r="1769">
      <c r="A1769" s="253">
        <v>45986.06845535879</v>
      </c>
      <c r="B1769" s="1" t="s">
        <v>122</v>
      </c>
      <c r="C1769" s="203">
        <v>3.2</v>
      </c>
      <c r="D1769" s="1" t="s">
        <v>311</v>
      </c>
    </row>
    <row r="1770">
      <c r="A1770" s="253">
        <v>45986.06845535879</v>
      </c>
      <c r="B1770" s="1" t="s">
        <v>123</v>
      </c>
      <c r="C1770" s="203">
        <v>8.3</v>
      </c>
      <c r="D1770" s="1" t="s">
        <v>493</v>
      </c>
    </row>
    <row r="1771">
      <c r="A1771" s="253">
        <v>45986.06845535879</v>
      </c>
      <c r="B1771" s="1" t="s">
        <v>199</v>
      </c>
      <c r="C1771" s="203">
        <v>8.3</v>
      </c>
      <c r="D1771" s="1" t="s">
        <v>62</v>
      </c>
    </row>
    <row r="1772">
      <c r="A1772" s="253">
        <v>45986.06845535879</v>
      </c>
      <c r="B1772" s="1" t="s">
        <v>200</v>
      </c>
      <c r="C1772" s="203">
        <v>5.8</v>
      </c>
      <c r="D1772" s="1" t="s">
        <v>493</v>
      </c>
    </row>
    <row r="1773">
      <c r="A1773" s="253">
        <v>45986.06845535879</v>
      </c>
      <c r="B1773" s="1" t="s">
        <v>134</v>
      </c>
      <c r="C1773" s="203">
        <v>4.1</v>
      </c>
      <c r="D1773" s="1" t="s">
        <v>132</v>
      </c>
    </row>
    <row r="1774">
      <c r="A1774" s="253">
        <v>45986.06845535879</v>
      </c>
      <c r="B1774" s="1" t="s">
        <v>162</v>
      </c>
      <c r="C1774" s="203">
        <v>8.486</v>
      </c>
      <c r="D1774" s="1" t="s">
        <v>395</v>
      </c>
    </row>
    <row r="1775">
      <c r="A1775" s="253">
        <v>45986.06845535879</v>
      </c>
      <c r="B1775" s="1" t="s">
        <v>175</v>
      </c>
      <c r="C1775" s="203">
        <v>7.609</v>
      </c>
      <c r="D1775" s="1" t="s">
        <v>395</v>
      </c>
    </row>
    <row r="1776">
      <c r="A1776" s="253">
        <v>45986.06845535879</v>
      </c>
      <c r="B1776" s="1" t="s">
        <v>148</v>
      </c>
      <c r="C1776" s="203">
        <v>4.5</v>
      </c>
      <c r="D1776" s="1" t="s">
        <v>238</v>
      </c>
    </row>
    <row r="1777">
      <c r="A1777" s="253">
        <v>45986.06845535879</v>
      </c>
      <c r="B1777" s="1" t="s">
        <v>187</v>
      </c>
      <c r="C1777" s="203">
        <v>4.2</v>
      </c>
      <c r="D1777" s="1" t="s">
        <v>132</v>
      </c>
    </row>
    <row r="1778">
      <c r="A1778" s="253">
        <v>45986.06845535879</v>
      </c>
      <c r="B1778" s="1" t="s">
        <v>234</v>
      </c>
      <c r="D1778" s="1" t="s">
        <v>311</v>
      </c>
    </row>
    <row r="1779">
      <c r="A1779" s="253">
        <v>45986.06845535879</v>
      </c>
      <c r="B1779" s="1" t="s">
        <v>232</v>
      </c>
      <c r="C1779" s="203">
        <v>7.539000000000001</v>
      </c>
      <c r="D1779" s="1" t="s">
        <v>156</v>
      </c>
    </row>
    <row r="1780">
      <c r="A1780" s="253">
        <v>45986.06845535879</v>
      </c>
    </row>
    <row r="1781">
      <c r="A1781" s="253">
        <v>45986.06845535879</v>
      </c>
    </row>
    <row r="1782">
      <c r="A1782" s="253">
        <v>45986.06845535879</v>
      </c>
    </row>
    <row r="1783">
      <c r="A1783" s="1" t="s">
        <v>914</v>
      </c>
      <c r="B1783" s="1" t="s">
        <v>13</v>
      </c>
      <c r="C1783" s="1" t="s">
        <v>2047</v>
      </c>
      <c r="D1783" s="1" t="s">
        <v>2048</v>
      </c>
    </row>
    <row r="1784">
      <c r="A1784" s="253">
        <v>45993.06845158565</v>
      </c>
      <c r="B1784" s="1" t="s">
        <v>176</v>
      </c>
      <c r="C1784" s="203">
        <v>4.0</v>
      </c>
      <c r="D1784" s="1" t="s">
        <v>43</v>
      </c>
    </row>
    <row r="1785">
      <c r="A1785" s="253">
        <v>45993.06845158565</v>
      </c>
      <c r="B1785" s="1" t="s">
        <v>164</v>
      </c>
      <c r="C1785" s="203">
        <v>5.0</v>
      </c>
      <c r="D1785" s="1" t="s">
        <v>193</v>
      </c>
    </row>
    <row r="1786">
      <c r="A1786" s="253">
        <v>45993.06845158565</v>
      </c>
      <c r="B1786" s="1" t="s">
        <v>201</v>
      </c>
      <c r="C1786" s="203">
        <v>9.982</v>
      </c>
      <c r="D1786" s="1" t="s">
        <v>62</v>
      </c>
    </row>
    <row r="1787">
      <c r="A1787" s="253">
        <v>45993.06845158565</v>
      </c>
      <c r="B1787" s="1" t="e">
        <v>#N/A</v>
      </c>
      <c r="C1787" s="1" t="e">
        <v>#N/A</v>
      </c>
      <c r="D1787" s="1" t="s">
        <v>2050</v>
      </c>
    </row>
    <row r="1788">
      <c r="A1788" s="253">
        <v>45993.06845158565</v>
      </c>
      <c r="B1788" s="1" t="s">
        <v>189</v>
      </c>
      <c r="C1788" s="203">
        <v>8.0</v>
      </c>
      <c r="D1788" s="1" t="s">
        <v>43</v>
      </c>
    </row>
    <row r="1789">
      <c r="A1789" s="253">
        <v>45993.06845158565</v>
      </c>
      <c r="B1789" s="1" t="s">
        <v>188</v>
      </c>
      <c r="C1789" s="203">
        <v>9.0</v>
      </c>
      <c r="D1789" s="1" t="s">
        <v>493</v>
      </c>
    </row>
    <row r="1790">
      <c r="A1790" s="253">
        <v>45993.06845158565</v>
      </c>
      <c r="B1790" s="1" t="s">
        <v>202</v>
      </c>
      <c r="C1790" s="203">
        <v>2.0</v>
      </c>
      <c r="D1790" s="1" t="s">
        <v>156</v>
      </c>
    </row>
    <row r="1791">
      <c r="A1791" s="253">
        <v>45993.06845158565</v>
      </c>
      <c r="B1791" s="1" t="s">
        <v>215</v>
      </c>
      <c r="C1791" s="203">
        <v>6.0</v>
      </c>
      <c r="D1791" s="1" t="s">
        <v>132</v>
      </c>
    </row>
    <row r="1792">
      <c r="A1792" s="253">
        <v>45993.06845158565</v>
      </c>
      <c r="B1792" s="1" t="s">
        <v>225</v>
      </c>
      <c r="C1792" s="203">
        <v>6.4</v>
      </c>
      <c r="D1792" s="1" t="s">
        <v>395</v>
      </c>
    </row>
    <row r="1793">
      <c r="A1793" s="253">
        <v>45993.06845158565</v>
      </c>
      <c r="B1793" s="1" t="s">
        <v>45</v>
      </c>
      <c r="C1793" s="203">
        <v>5.0</v>
      </c>
      <c r="D1793" s="1" t="s">
        <v>43</v>
      </c>
    </row>
    <row r="1794">
      <c r="A1794" s="253">
        <v>45993.06845158565</v>
      </c>
      <c r="B1794" s="1" t="s">
        <v>165</v>
      </c>
      <c r="C1794" s="203">
        <v>4.0</v>
      </c>
      <c r="D1794" s="1" t="s">
        <v>95</v>
      </c>
    </row>
    <row r="1795">
      <c r="A1795" s="253">
        <v>45993.06845158565</v>
      </c>
      <c r="B1795" s="1" t="s">
        <v>124</v>
      </c>
      <c r="C1795" s="203">
        <v>5.0</v>
      </c>
      <c r="D1795" s="1" t="s">
        <v>249</v>
      </c>
    </row>
    <row r="1796">
      <c r="A1796" s="253">
        <v>45993.06845158565</v>
      </c>
      <c r="B1796" s="1" t="s">
        <v>177</v>
      </c>
      <c r="C1796" s="203">
        <v>8.037999999999998</v>
      </c>
      <c r="D1796" s="1" t="s">
        <v>95</v>
      </c>
    </row>
    <row r="1797">
      <c r="A1797" s="253">
        <v>45993.06845158565</v>
      </c>
      <c r="B1797" s="1" t="s">
        <v>110</v>
      </c>
      <c r="C1797" s="203">
        <v>2.0</v>
      </c>
      <c r="D1797" s="1" t="s">
        <v>493</v>
      </c>
    </row>
    <row r="1798">
      <c r="A1798" s="253">
        <v>45993.06845158565</v>
      </c>
      <c r="B1798" s="1" t="s">
        <v>166</v>
      </c>
      <c r="C1798" s="203">
        <v>4.0</v>
      </c>
      <c r="D1798" s="1" t="s">
        <v>224</v>
      </c>
    </row>
    <row r="1799">
      <c r="A1799" s="253">
        <v>45993.06845158565</v>
      </c>
      <c r="B1799" s="1" t="s">
        <v>167</v>
      </c>
      <c r="C1799" s="203">
        <v>5.0</v>
      </c>
      <c r="D1799" s="1" t="s">
        <v>249</v>
      </c>
    </row>
    <row r="1800">
      <c r="A1800" s="253">
        <v>45993.06845158565</v>
      </c>
      <c r="B1800" s="1" t="s">
        <v>226</v>
      </c>
      <c r="C1800" s="203">
        <v>10.963000000000001</v>
      </c>
      <c r="D1800" s="1" t="s">
        <v>224</v>
      </c>
    </row>
    <row r="1801">
      <c r="A1801" s="253">
        <v>45993.06845158565</v>
      </c>
      <c r="B1801" s="1" t="s">
        <v>190</v>
      </c>
      <c r="C1801" s="203">
        <v>7.0</v>
      </c>
      <c r="D1801" s="1" t="s">
        <v>62</v>
      </c>
    </row>
    <row r="1802">
      <c r="A1802" s="253">
        <v>45993.06845158565</v>
      </c>
      <c r="B1802" s="1" t="s">
        <v>168</v>
      </c>
      <c r="C1802" s="203">
        <v>7.0</v>
      </c>
      <c r="D1802" s="1" t="s">
        <v>132</v>
      </c>
    </row>
    <row r="1803">
      <c r="A1803" s="253">
        <v>45993.06845158565</v>
      </c>
      <c r="B1803" s="1" t="s">
        <v>159</v>
      </c>
      <c r="D1803" s="1" t="s">
        <v>249</v>
      </c>
    </row>
    <row r="1804">
      <c r="A1804" s="253">
        <v>45993.06845158565</v>
      </c>
      <c r="B1804" s="1" t="s">
        <v>98</v>
      </c>
      <c r="C1804" s="203">
        <v>7.0</v>
      </c>
      <c r="D1804" s="1" t="s">
        <v>238</v>
      </c>
    </row>
    <row r="1805">
      <c r="A1805" s="253">
        <v>45993.06845158565</v>
      </c>
      <c r="B1805" s="1" t="s">
        <v>111</v>
      </c>
      <c r="C1805" s="203">
        <v>7.0</v>
      </c>
      <c r="D1805" s="1" t="s">
        <v>249</v>
      </c>
    </row>
    <row r="1806">
      <c r="A1806" s="253">
        <v>45993.06845158565</v>
      </c>
      <c r="B1806" s="1" t="s">
        <v>223</v>
      </c>
      <c r="C1806" s="203">
        <v>6.0</v>
      </c>
      <c r="D1806" s="1" t="s">
        <v>156</v>
      </c>
    </row>
    <row r="1807">
      <c r="A1807" s="253">
        <v>45993.06845158565</v>
      </c>
      <c r="B1807" s="1" t="s">
        <v>191</v>
      </c>
      <c r="C1807" s="203">
        <v>3.0</v>
      </c>
      <c r="D1807" s="1" t="s">
        <v>224</v>
      </c>
    </row>
    <row r="1808">
      <c r="A1808" s="253">
        <v>45993.06845158565</v>
      </c>
      <c r="B1808" s="1" t="s">
        <v>178</v>
      </c>
      <c r="C1808" s="203">
        <v>2.0</v>
      </c>
      <c r="D1808" s="1" t="s">
        <v>62</v>
      </c>
    </row>
    <row r="1809">
      <c r="A1809" s="253">
        <v>45993.06845158565</v>
      </c>
      <c r="B1809" s="1" t="s">
        <v>112</v>
      </c>
      <c r="C1809" s="203">
        <v>6.961</v>
      </c>
      <c r="D1809" s="1" t="s">
        <v>249</v>
      </c>
    </row>
    <row r="1810">
      <c r="A1810" s="253">
        <v>45993.06845158565</v>
      </c>
      <c r="B1810" s="1" t="s">
        <v>100</v>
      </c>
      <c r="C1810" s="203">
        <v>8.0</v>
      </c>
      <c r="D1810" s="1" t="s">
        <v>95</v>
      </c>
    </row>
    <row r="1811">
      <c r="A1811" s="253">
        <v>45993.06845158565</v>
      </c>
      <c r="B1811" s="1" t="s">
        <v>304</v>
      </c>
      <c r="C1811" s="203">
        <v>4.0</v>
      </c>
      <c r="D1811" s="1" t="s">
        <v>62</v>
      </c>
    </row>
    <row r="1812">
      <c r="A1812" s="253">
        <v>45993.06845158565</v>
      </c>
      <c r="B1812" s="1" t="s">
        <v>150</v>
      </c>
      <c r="C1812" s="203">
        <v>4.0</v>
      </c>
      <c r="D1812" s="1" t="s">
        <v>193</v>
      </c>
    </row>
    <row r="1813">
      <c r="A1813" s="253">
        <v>45993.06845158565</v>
      </c>
      <c r="B1813" s="1" t="s">
        <v>203</v>
      </c>
      <c r="C1813" s="203">
        <v>4.0</v>
      </c>
      <c r="D1813" s="1" t="s">
        <v>224</v>
      </c>
    </row>
    <row r="1814">
      <c r="A1814" s="253">
        <v>45993.06845158565</v>
      </c>
      <c r="B1814" s="1" t="s">
        <v>545</v>
      </c>
      <c r="C1814" s="203">
        <v>7.0</v>
      </c>
      <c r="D1814" s="1" t="s">
        <v>132</v>
      </c>
    </row>
    <row r="1815">
      <c r="A1815" s="253">
        <v>45993.06845158565</v>
      </c>
      <c r="B1815" s="1" t="s">
        <v>113</v>
      </c>
      <c r="C1815" s="203">
        <v>5.0</v>
      </c>
      <c r="D1815" s="1" t="s">
        <v>224</v>
      </c>
    </row>
    <row r="1816">
      <c r="A1816" s="253">
        <v>45993.06845158565</v>
      </c>
      <c r="B1816" s="1" t="s">
        <v>179</v>
      </c>
      <c r="C1816" s="203">
        <v>8.0</v>
      </c>
      <c r="D1816" s="1" t="s">
        <v>395</v>
      </c>
    </row>
    <row r="1817">
      <c r="A1817" s="253">
        <v>45993.06845158565</v>
      </c>
      <c r="B1817" s="1" t="s">
        <v>204</v>
      </c>
      <c r="C1817" s="203">
        <v>11.018</v>
      </c>
      <c r="D1817" s="1" t="s">
        <v>96</v>
      </c>
    </row>
    <row r="1818">
      <c r="A1818" s="253">
        <v>45993.06845158565</v>
      </c>
      <c r="B1818" s="1" t="s">
        <v>216</v>
      </c>
      <c r="C1818" s="203">
        <v>6.0</v>
      </c>
      <c r="D1818" s="1" t="s">
        <v>224</v>
      </c>
    </row>
    <row r="1819">
      <c r="A1819" s="253">
        <v>45993.06845158565</v>
      </c>
      <c r="B1819" s="1" t="s">
        <v>217</v>
      </c>
      <c r="C1819" s="203">
        <v>1.0</v>
      </c>
      <c r="D1819" s="1" t="s">
        <v>249</v>
      </c>
    </row>
    <row r="1820">
      <c r="A1820" s="253">
        <v>45993.06845158565</v>
      </c>
      <c r="B1820" s="1" t="s">
        <v>114</v>
      </c>
      <c r="C1820" s="203">
        <v>9.0</v>
      </c>
      <c r="D1820" s="1" t="s">
        <v>395</v>
      </c>
    </row>
    <row r="1821">
      <c r="A1821" s="253">
        <v>45993.06845158565</v>
      </c>
      <c r="B1821" s="1" t="s">
        <v>536</v>
      </c>
      <c r="C1821" s="203">
        <v>8.0</v>
      </c>
      <c r="D1821" s="1" t="s">
        <v>96</v>
      </c>
    </row>
    <row r="1822">
      <c r="A1822" s="253">
        <v>45993.06845158565</v>
      </c>
      <c r="B1822" s="1" t="s">
        <v>101</v>
      </c>
      <c r="C1822" s="203">
        <v>9.0</v>
      </c>
      <c r="D1822" s="1" t="s">
        <v>395</v>
      </c>
    </row>
    <row r="1823">
      <c r="A1823" s="253">
        <v>45993.06845158565</v>
      </c>
      <c r="B1823" s="1" t="s">
        <v>135</v>
      </c>
      <c r="C1823" s="203">
        <v>8.0</v>
      </c>
      <c r="D1823" s="1" t="s">
        <v>156</v>
      </c>
    </row>
    <row r="1824">
      <c r="A1824" s="253">
        <v>45993.06845158565</v>
      </c>
      <c r="B1824" s="1" t="s">
        <v>136</v>
      </c>
      <c r="C1824" s="203">
        <v>11.996</v>
      </c>
      <c r="D1824" s="1" t="s">
        <v>132</v>
      </c>
    </row>
    <row r="1825">
      <c r="A1825" s="253">
        <v>45993.06845158565</v>
      </c>
      <c r="B1825" s="1" t="s">
        <v>137</v>
      </c>
      <c r="C1825" s="203">
        <v>8.0</v>
      </c>
      <c r="D1825" s="1" t="s">
        <v>249</v>
      </c>
    </row>
    <row r="1826">
      <c r="A1826" s="253">
        <v>45993.06845158565</v>
      </c>
      <c r="B1826" s="1" t="s">
        <v>125</v>
      </c>
      <c r="C1826" s="203">
        <v>8.0</v>
      </c>
      <c r="D1826" s="1" t="s">
        <v>311</v>
      </c>
    </row>
    <row r="1827">
      <c r="A1827" s="253">
        <v>45993.06845158565</v>
      </c>
      <c r="B1827" s="1" t="s">
        <v>231</v>
      </c>
      <c r="C1827" s="203">
        <v>10.983</v>
      </c>
      <c r="D1827" s="1" t="s">
        <v>395</v>
      </c>
    </row>
    <row r="1828">
      <c r="A1828" s="253">
        <v>45993.06845158565</v>
      </c>
      <c r="B1828" s="1" t="s">
        <v>126</v>
      </c>
      <c r="C1828" s="203">
        <v>5.0</v>
      </c>
      <c r="D1828" s="1" t="s">
        <v>193</v>
      </c>
    </row>
    <row r="1829">
      <c r="A1829" s="253">
        <v>45993.06845158565</v>
      </c>
      <c r="B1829" s="1" t="s">
        <v>127</v>
      </c>
      <c r="C1829" s="203">
        <v>6.0</v>
      </c>
      <c r="D1829" s="1" t="s">
        <v>62</v>
      </c>
    </row>
    <row r="1830">
      <c r="A1830" s="253">
        <v>45993.06845158565</v>
      </c>
      <c r="B1830" s="1" t="s">
        <v>170</v>
      </c>
      <c r="C1830" s="203">
        <v>5.0</v>
      </c>
      <c r="D1830" s="1" t="s">
        <v>493</v>
      </c>
    </row>
    <row r="1831">
      <c r="A1831" s="253">
        <v>45993.06845158565</v>
      </c>
      <c r="B1831" s="1" t="s">
        <v>205</v>
      </c>
      <c r="C1831" s="203">
        <v>5.0</v>
      </c>
      <c r="D1831" s="1" t="s">
        <v>493</v>
      </c>
    </row>
    <row r="1832">
      <c r="A1832" s="253">
        <v>45993.06845158565</v>
      </c>
      <c r="B1832" s="1" t="s">
        <v>227</v>
      </c>
      <c r="C1832" s="203">
        <v>4.0</v>
      </c>
      <c r="D1832" s="1" t="s">
        <v>62</v>
      </c>
    </row>
    <row r="1833">
      <c r="A1833" s="253">
        <v>45993.06845158565</v>
      </c>
      <c r="B1833" s="1" t="s">
        <v>552</v>
      </c>
      <c r="C1833" s="203">
        <v>6.0</v>
      </c>
      <c r="D1833" s="1" t="s">
        <v>193</v>
      </c>
    </row>
    <row r="1834">
      <c r="A1834" s="253">
        <v>45993.06845158565</v>
      </c>
      <c r="B1834" s="1" t="s">
        <v>151</v>
      </c>
      <c r="C1834" s="203">
        <v>7.0</v>
      </c>
      <c r="D1834" s="1" t="s">
        <v>249</v>
      </c>
    </row>
    <row r="1835">
      <c r="A1835" s="253">
        <v>45993.06845158565</v>
      </c>
      <c r="B1835" s="1" t="s">
        <v>115</v>
      </c>
      <c r="C1835" s="203">
        <v>8.0</v>
      </c>
      <c r="D1835" s="1" t="s">
        <v>132</v>
      </c>
    </row>
    <row r="1836">
      <c r="A1836" s="253">
        <v>45993.06845158565</v>
      </c>
      <c r="B1836" s="1" t="s">
        <v>206</v>
      </c>
      <c r="C1836" s="203">
        <v>7.0</v>
      </c>
      <c r="D1836" s="1" t="s">
        <v>311</v>
      </c>
    </row>
    <row r="1837">
      <c r="A1837" s="253">
        <v>45993.06845158565</v>
      </c>
      <c r="B1837" s="1" t="s">
        <v>152</v>
      </c>
      <c r="C1837" s="203">
        <v>5.0</v>
      </c>
      <c r="D1837" s="1" t="s">
        <v>311</v>
      </c>
    </row>
    <row r="1838">
      <c r="A1838" s="253">
        <v>45993.06845158565</v>
      </c>
      <c r="B1838" s="1" t="s">
        <v>138</v>
      </c>
      <c r="C1838" s="203">
        <v>4.0</v>
      </c>
      <c r="D1838" s="1" t="s">
        <v>493</v>
      </c>
    </row>
    <row r="1839">
      <c r="A1839" s="253">
        <v>45993.06845158565</v>
      </c>
      <c r="B1839" s="1" t="s">
        <v>102</v>
      </c>
      <c r="C1839" s="203">
        <v>8.0</v>
      </c>
      <c r="D1839" s="1" t="s">
        <v>238</v>
      </c>
    </row>
    <row r="1840">
      <c r="A1840" s="253">
        <v>45993.06845158565</v>
      </c>
      <c r="B1840" s="1" t="s">
        <v>548</v>
      </c>
      <c r="C1840" s="203">
        <v>7.005</v>
      </c>
      <c r="D1840" s="1" t="s">
        <v>238</v>
      </c>
    </row>
    <row r="1841">
      <c r="A1841" s="253">
        <v>45993.06845158565</v>
      </c>
      <c r="B1841" s="1" t="s">
        <v>116</v>
      </c>
      <c r="C1841" s="203">
        <v>10.0</v>
      </c>
      <c r="D1841" s="1" t="s">
        <v>156</v>
      </c>
    </row>
    <row r="1842">
      <c r="A1842" s="253">
        <v>45993.06845158565</v>
      </c>
      <c r="B1842" s="1" t="s">
        <v>140</v>
      </c>
      <c r="C1842" s="203">
        <v>4.0</v>
      </c>
      <c r="D1842" s="1" t="s">
        <v>224</v>
      </c>
    </row>
    <row r="1843">
      <c r="A1843" s="253">
        <v>45993.06845158565</v>
      </c>
      <c r="B1843" s="1" t="s">
        <v>139</v>
      </c>
      <c r="C1843" s="203">
        <v>9.0</v>
      </c>
      <c r="D1843" s="1" t="s">
        <v>311</v>
      </c>
    </row>
    <row r="1844">
      <c r="A1844" s="253">
        <v>45993.06845158565</v>
      </c>
      <c r="B1844" s="1" t="s">
        <v>153</v>
      </c>
      <c r="C1844" s="203">
        <v>3.0</v>
      </c>
      <c r="D1844" s="1" t="s">
        <v>96</v>
      </c>
    </row>
    <row r="1845">
      <c r="A1845" s="253">
        <v>45993.06845158565</v>
      </c>
      <c r="B1845" s="1" t="s">
        <v>141</v>
      </c>
      <c r="C1845" s="203">
        <v>7.0</v>
      </c>
      <c r="D1845" s="1" t="s">
        <v>238</v>
      </c>
    </row>
    <row r="1846">
      <c r="A1846" s="253">
        <v>45993.06845158565</v>
      </c>
      <c r="B1846" s="1" t="s">
        <v>207</v>
      </c>
      <c r="C1846" s="203">
        <v>5.0</v>
      </c>
      <c r="D1846" s="1" t="s">
        <v>493</v>
      </c>
    </row>
    <row r="1847">
      <c r="A1847" s="253">
        <v>45993.06845158565</v>
      </c>
      <c r="B1847" s="1" t="s">
        <v>208</v>
      </c>
      <c r="C1847" s="203">
        <v>8.0</v>
      </c>
      <c r="D1847" s="1" t="s">
        <v>156</v>
      </c>
    </row>
    <row r="1848">
      <c r="A1848" s="253">
        <v>45993.06845158565</v>
      </c>
      <c r="B1848" s="1" t="s">
        <v>103</v>
      </c>
      <c r="C1848" s="203">
        <v>9.6</v>
      </c>
      <c r="D1848" s="1" t="s">
        <v>224</v>
      </c>
    </row>
    <row r="1849">
      <c r="A1849" s="253">
        <v>45993.06845158565</v>
      </c>
      <c r="B1849" s="1" t="s">
        <v>117</v>
      </c>
      <c r="C1849" s="203">
        <v>7.0</v>
      </c>
      <c r="D1849" s="1" t="s">
        <v>95</v>
      </c>
    </row>
    <row r="1850">
      <c r="A1850" s="253">
        <v>45993.06845158565</v>
      </c>
      <c r="B1850" s="1" t="s">
        <v>142</v>
      </c>
      <c r="C1850" s="203">
        <v>7.0</v>
      </c>
      <c r="D1850" s="1" t="s">
        <v>96</v>
      </c>
    </row>
    <row r="1851">
      <c r="A1851" s="253">
        <v>45993.06845158565</v>
      </c>
      <c r="B1851" s="1" t="s">
        <v>181</v>
      </c>
      <c r="C1851" s="203">
        <v>3.0</v>
      </c>
      <c r="D1851" s="1" t="s">
        <v>156</v>
      </c>
    </row>
    <row r="1852">
      <c r="A1852" s="253">
        <v>45993.06845158565</v>
      </c>
      <c r="B1852" s="1" t="s">
        <v>182</v>
      </c>
      <c r="C1852" s="203">
        <v>9.0</v>
      </c>
      <c r="D1852" s="1" t="s">
        <v>193</v>
      </c>
    </row>
    <row r="1853">
      <c r="A1853" s="253">
        <v>45993.06845158565</v>
      </c>
      <c r="B1853" s="1" t="s">
        <v>228</v>
      </c>
      <c r="C1853" s="203">
        <v>4.0</v>
      </c>
      <c r="D1853" s="1" t="s">
        <v>43</v>
      </c>
    </row>
    <row r="1854">
      <c r="A1854" s="253">
        <v>45993.06845158565</v>
      </c>
      <c r="B1854" s="1" t="s">
        <v>118</v>
      </c>
      <c r="C1854" s="203">
        <v>4.0</v>
      </c>
      <c r="D1854" s="1" t="s">
        <v>43</v>
      </c>
    </row>
    <row r="1855">
      <c r="A1855" s="253">
        <v>45993.06845158565</v>
      </c>
      <c r="B1855" s="1" t="s">
        <v>154</v>
      </c>
      <c r="C1855" s="203">
        <v>11.014</v>
      </c>
      <c r="D1855" s="1" t="s">
        <v>156</v>
      </c>
    </row>
    <row r="1856">
      <c r="A1856" s="253">
        <v>45993.06845158565</v>
      </c>
      <c r="B1856" s="1" t="s">
        <v>172</v>
      </c>
      <c r="C1856" s="203">
        <v>3.0</v>
      </c>
      <c r="D1856" s="1" t="s">
        <v>311</v>
      </c>
    </row>
    <row r="1857">
      <c r="A1857" s="253">
        <v>45993.06845158565</v>
      </c>
      <c r="B1857" s="1" t="s">
        <v>143</v>
      </c>
      <c r="C1857" s="203">
        <v>6.0</v>
      </c>
      <c r="D1857" s="1" t="s">
        <v>493</v>
      </c>
    </row>
    <row r="1858">
      <c r="A1858" s="253">
        <v>45993.06845158565</v>
      </c>
      <c r="B1858" s="1" t="s">
        <v>229</v>
      </c>
      <c r="C1858" s="203">
        <v>10.0</v>
      </c>
      <c r="D1858" s="1" t="s">
        <v>96</v>
      </c>
    </row>
    <row r="1859">
      <c r="A1859" s="253">
        <v>45993.06845158565</v>
      </c>
      <c r="B1859" s="1" t="s">
        <v>173</v>
      </c>
      <c r="C1859" s="203">
        <v>8.0</v>
      </c>
      <c r="D1859" s="1" t="s">
        <v>96</v>
      </c>
    </row>
    <row r="1860">
      <c r="A1860" s="253">
        <v>45993.06845158565</v>
      </c>
      <c r="B1860" s="1" t="s">
        <v>144</v>
      </c>
      <c r="C1860" s="203">
        <v>12.004</v>
      </c>
      <c r="D1860" s="1" t="s">
        <v>193</v>
      </c>
    </row>
    <row r="1861">
      <c r="A1861" s="253">
        <v>45993.06845158565</v>
      </c>
      <c r="B1861" s="1" t="s">
        <v>128</v>
      </c>
      <c r="C1861" s="203">
        <v>10.0</v>
      </c>
      <c r="D1861" s="1" t="s">
        <v>95</v>
      </c>
    </row>
    <row r="1862">
      <c r="A1862" s="253">
        <v>45993.06845158565</v>
      </c>
      <c r="B1862" s="1" t="s">
        <v>129</v>
      </c>
      <c r="C1862" s="203">
        <v>1.0</v>
      </c>
      <c r="D1862" s="1" t="s">
        <v>96</v>
      </c>
    </row>
    <row r="1863">
      <c r="A1863" s="253">
        <v>45993.06845158565</v>
      </c>
      <c r="B1863" s="1" t="s">
        <v>155</v>
      </c>
      <c r="C1863" s="203">
        <v>9.0</v>
      </c>
      <c r="D1863" s="1" t="s">
        <v>62</v>
      </c>
    </row>
    <row r="1864">
      <c r="A1864" s="253">
        <v>45993.06845158565</v>
      </c>
      <c r="B1864" s="1" t="s">
        <v>209</v>
      </c>
      <c r="C1864" s="203">
        <v>11.0</v>
      </c>
      <c r="D1864" s="1" t="s">
        <v>249</v>
      </c>
    </row>
    <row r="1865">
      <c r="A1865" s="253">
        <v>45993.06845158565</v>
      </c>
      <c r="B1865" s="1" t="s">
        <v>192</v>
      </c>
      <c r="C1865" s="203">
        <v>11.0</v>
      </c>
      <c r="D1865" s="1" t="s">
        <v>311</v>
      </c>
    </row>
    <row r="1866">
      <c r="A1866" s="253">
        <v>45993.06845158565</v>
      </c>
      <c r="B1866" s="1" t="s">
        <v>194</v>
      </c>
      <c r="C1866" s="203">
        <v>2.0</v>
      </c>
      <c r="D1866" s="1" t="s">
        <v>193</v>
      </c>
    </row>
    <row r="1867">
      <c r="A1867" s="253">
        <v>45993.06845158565</v>
      </c>
      <c r="B1867" s="1" t="s">
        <v>145</v>
      </c>
      <c r="C1867" s="203">
        <v>6.0</v>
      </c>
      <c r="D1867" s="1" t="s">
        <v>43</v>
      </c>
    </row>
    <row r="1868">
      <c r="A1868" s="253">
        <v>45993.06845158565</v>
      </c>
      <c r="B1868" s="1" t="s">
        <v>119</v>
      </c>
      <c r="C1868" s="203">
        <v>8.0</v>
      </c>
      <c r="D1868" s="1" t="s">
        <v>238</v>
      </c>
    </row>
    <row r="1869">
      <c r="A1869" s="253">
        <v>45993.06845158565</v>
      </c>
      <c r="B1869" s="1" t="s">
        <v>146</v>
      </c>
      <c r="C1869" s="203">
        <v>2.0</v>
      </c>
      <c r="D1869" s="1" t="s">
        <v>493</v>
      </c>
    </row>
    <row r="1870">
      <c r="A1870" s="253">
        <v>45993.06845158565</v>
      </c>
      <c r="B1870" s="1" t="s">
        <v>157</v>
      </c>
      <c r="C1870" s="203">
        <v>5.0</v>
      </c>
      <c r="D1870" s="1" t="s">
        <v>43</v>
      </c>
    </row>
    <row r="1871">
      <c r="A1871" s="253">
        <v>45993.06845158565</v>
      </c>
      <c r="B1871" s="1" t="s">
        <v>147</v>
      </c>
      <c r="C1871" s="203">
        <v>5.0</v>
      </c>
      <c r="D1871" s="1" t="s">
        <v>395</v>
      </c>
    </row>
    <row r="1872">
      <c r="A1872" s="253">
        <v>45993.06845158565</v>
      </c>
      <c r="B1872" s="1" t="s">
        <v>183</v>
      </c>
      <c r="C1872" s="203">
        <v>9.0</v>
      </c>
      <c r="D1872" s="1" t="s">
        <v>249</v>
      </c>
    </row>
    <row r="1873">
      <c r="A1873" s="253">
        <v>45993.06845158565</v>
      </c>
      <c r="B1873" s="1" t="s">
        <v>549</v>
      </c>
      <c r="C1873" s="203">
        <v>3.0</v>
      </c>
      <c r="D1873" s="1" t="s">
        <v>238</v>
      </c>
    </row>
    <row r="1874">
      <c r="A1874" s="253">
        <v>45993.06845158565</v>
      </c>
      <c r="B1874" s="1" t="s">
        <v>104</v>
      </c>
      <c r="C1874" s="203">
        <v>8.0</v>
      </c>
      <c r="D1874" s="1" t="s">
        <v>193</v>
      </c>
    </row>
    <row r="1875">
      <c r="A1875" s="253">
        <v>45993.06845158565</v>
      </c>
      <c r="B1875" s="1" t="s">
        <v>220</v>
      </c>
      <c r="C1875" s="203">
        <v>4.0</v>
      </c>
      <c r="D1875" s="1" t="s">
        <v>238</v>
      </c>
    </row>
    <row r="1876">
      <c r="A1876" s="253">
        <v>45993.06845158565</v>
      </c>
      <c r="B1876" s="1" t="s">
        <v>210</v>
      </c>
      <c r="C1876" s="203">
        <v>4.0</v>
      </c>
      <c r="D1876" s="1" t="s">
        <v>132</v>
      </c>
    </row>
    <row r="1877">
      <c r="A1877" s="253">
        <v>45993.06845158565</v>
      </c>
      <c r="B1877" s="1" t="s">
        <v>105</v>
      </c>
      <c r="C1877" s="203">
        <v>9.0</v>
      </c>
      <c r="D1877" s="1" t="s">
        <v>96</v>
      </c>
    </row>
    <row r="1878">
      <c r="A1878" s="253">
        <v>45993.06845158565</v>
      </c>
      <c r="B1878" s="1" t="s">
        <v>546</v>
      </c>
      <c r="C1878" s="203">
        <v>7.0</v>
      </c>
      <c r="D1878" s="1" t="s">
        <v>493</v>
      </c>
    </row>
    <row r="1879">
      <c r="A1879" s="253">
        <v>45993.06845158565</v>
      </c>
      <c r="B1879" s="1" t="s">
        <v>195</v>
      </c>
      <c r="C1879" s="203">
        <v>4.0</v>
      </c>
      <c r="D1879" s="1" t="s">
        <v>493</v>
      </c>
    </row>
    <row r="1880">
      <c r="A1880" s="253">
        <v>45993.06845158565</v>
      </c>
      <c r="B1880" s="1" t="s">
        <v>120</v>
      </c>
      <c r="C1880" s="203">
        <v>3.0</v>
      </c>
      <c r="D1880" s="1" t="s">
        <v>493</v>
      </c>
    </row>
    <row r="1881">
      <c r="A1881" s="253">
        <v>45993.06845158565</v>
      </c>
      <c r="B1881" s="1" t="s">
        <v>130</v>
      </c>
      <c r="C1881" s="203">
        <v>8.0</v>
      </c>
      <c r="D1881" s="1" t="s">
        <v>95</v>
      </c>
    </row>
    <row r="1882">
      <c r="A1882" s="253">
        <v>45993.06845158565</v>
      </c>
      <c r="B1882" s="1" t="s">
        <v>106</v>
      </c>
      <c r="C1882" s="203">
        <v>5.0</v>
      </c>
      <c r="D1882" s="1" t="s">
        <v>493</v>
      </c>
    </row>
    <row r="1883">
      <c r="A1883" s="253">
        <v>45993.06845158565</v>
      </c>
      <c r="B1883" s="1" t="s">
        <v>211</v>
      </c>
      <c r="C1883" s="203">
        <v>8.0</v>
      </c>
      <c r="D1883" s="1" t="s">
        <v>193</v>
      </c>
    </row>
    <row r="1884">
      <c r="A1884" s="253">
        <v>45993.06845158565</v>
      </c>
      <c r="B1884" s="1" t="s">
        <v>539</v>
      </c>
      <c r="C1884" s="203">
        <v>11.0</v>
      </c>
      <c r="D1884" s="1" t="s">
        <v>238</v>
      </c>
    </row>
    <row r="1885">
      <c r="A1885" s="253">
        <v>45993.06845158565</v>
      </c>
      <c r="B1885" s="1" t="s">
        <v>131</v>
      </c>
      <c r="C1885" s="203">
        <v>9.0</v>
      </c>
      <c r="D1885" s="1" t="s">
        <v>132</v>
      </c>
    </row>
    <row r="1886">
      <c r="A1886" s="253">
        <v>45993.06845158565</v>
      </c>
      <c r="B1886" s="1" t="s">
        <v>221</v>
      </c>
      <c r="C1886" s="203">
        <v>6.0</v>
      </c>
      <c r="D1886" s="1" t="s">
        <v>95</v>
      </c>
    </row>
    <row r="1887">
      <c r="A1887" s="253">
        <v>45993.06845158565</v>
      </c>
      <c r="B1887" s="1" t="s">
        <v>133</v>
      </c>
      <c r="C1887" s="203">
        <v>11.036</v>
      </c>
      <c r="D1887" s="1" t="s">
        <v>43</v>
      </c>
    </row>
    <row r="1888">
      <c r="A1888" s="253">
        <v>45993.06845158565</v>
      </c>
      <c r="B1888" s="1" t="s">
        <v>174</v>
      </c>
      <c r="C1888" s="203">
        <v>8.0</v>
      </c>
      <c r="D1888" s="1" t="s">
        <v>156</v>
      </c>
    </row>
    <row r="1889">
      <c r="A1889" s="253">
        <v>45993.06845158565</v>
      </c>
      <c r="B1889" s="1" t="s">
        <v>222</v>
      </c>
      <c r="C1889" s="203">
        <v>8.017</v>
      </c>
      <c r="D1889" s="1" t="s">
        <v>96</v>
      </c>
    </row>
    <row r="1890">
      <c r="A1890" s="253">
        <v>45993.06845158565</v>
      </c>
      <c r="B1890" s="1" t="s">
        <v>107</v>
      </c>
      <c r="C1890" s="203">
        <v>9.986</v>
      </c>
      <c r="D1890" s="1" t="s">
        <v>132</v>
      </c>
    </row>
    <row r="1891">
      <c r="A1891" s="253">
        <v>45993.06845158565</v>
      </c>
      <c r="B1891" s="1" t="s">
        <v>108</v>
      </c>
      <c r="C1891" s="203">
        <v>4.0</v>
      </c>
      <c r="D1891" s="1" t="s">
        <v>493</v>
      </c>
    </row>
    <row r="1892">
      <c r="A1892" s="253">
        <v>45993.06845158565</v>
      </c>
      <c r="B1892" s="1" t="s">
        <v>163</v>
      </c>
      <c r="C1892" s="203">
        <v>4.0</v>
      </c>
      <c r="D1892" s="1" t="s">
        <v>62</v>
      </c>
    </row>
    <row r="1893">
      <c r="A1893" s="253">
        <v>45993.06845158565</v>
      </c>
      <c r="B1893" s="1" t="s">
        <v>109</v>
      </c>
      <c r="C1893" s="203">
        <v>5.0</v>
      </c>
      <c r="D1893" s="1" t="s">
        <v>156</v>
      </c>
    </row>
    <row r="1894">
      <c r="A1894" s="253">
        <v>45993.06845158565</v>
      </c>
      <c r="B1894" s="1" t="s">
        <v>196</v>
      </c>
      <c r="C1894" s="203">
        <v>3.0</v>
      </c>
      <c r="D1894" s="1" t="s">
        <v>62</v>
      </c>
    </row>
    <row r="1895">
      <c r="A1895" s="253">
        <v>45993.06845158565</v>
      </c>
      <c r="B1895" s="1" t="s">
        <v>99</v>
      </c>
      <c r="C1895" s="203">
        <v>9.0</v>
      </c>
      <c r="D1895" s="1" t="s">
        <v>395</v>
      </c>
    </row>
    <row r="1896">
      <c r="A1896" s="253">
        <v>45993.06845158565</v>
      </c>
      <c r="B1896" s="1" t="s">
        <v>219</v>
      </c>
      <c r="C1896" s="203">
        <v>3.0</v>
      </c>
      <c r="D1896" s="1" t="s">
        <v>493</v>
      </c>
    </row>
    <row r="1897">
      <c r="A1897" s="253">
        <v>45993.06845158565</v>
      </c>
      <c r="B1897" s="1" t="s">
        <v>527</v>
      </c>
      <c r="D1897" s="1" t="s">
        <v>43</v>
      </c>
    </row>
    <row r="1898">
      <c r="A1898" s="253">
        <v>45993.06845158565</v>
      </c>
      <c r="B1898" s="1" t="s">
        <v>185</v>
      </c>
      <c r="C1898" s="203">
        <v>9.962000000000002</v>
      </c>
      <c r="D1898" s="1" t="s">
        <v>224</v>
      </c>
    </row>
    <row r="1899">
      <c r="A1899" s="253">
        <v>45993.06845158565</v>
      </c>
      <c r="B1899" s="1" t="s">
        <v>197</v>
      </c>
      <c r="C1899" s="203">
        <v>9.0</v>
      </c>
      <c r="D1899" s="1" t="s">
        <v>95</v>
      </c>
    </row>
    <row r="1900">
      <c r="A1900" s="253">
        <v>45993.06845158565</v>
      </c>
      <c r="B1900" s="1" t="s">
        <v>186</v>
      </c>
      <c r="C1900" s="203">
        <v>6.0</v>
      </c>
      <c r="D1900" s="1" t="s">
        <v>311</v>
      </c>
    </row>
    <row r="1901">
      <c r="A1901" s="253">
        <v>45993.06845158565</v>
      </c>
      <c r="B1901" s="1" t="s">
        <v>198</v>
      </c>
      <c r="C1901" s="203">
        <v>10.0</v>
      </c>
      <c r="D1901" s="1" t="s">
        <v>95</v>
      </c>
    </row>
    <row r="1902">
      <c r="A1902" s="253">
        <v>45993.06845158565</v>
      </c>
      <c r="B1902" s="1" t="s">
        <v>160</v>
      </c>
      <c r="C1902" s="203">
        <v>2.0</v>
      </c>
      <c r="D1902" s="1" t="s">
        <v>238</v>
      </c>
    </row>
    <row r="1903">
      <c r="A1903" s="253">
        <v>45993.06845158565</v>
      </c>
      <c r="B1903" s="1" t="s">
        <v>161</v>
      </c>
      <c r="C1903" s="203">
        <v>6.0</v>
      </c>
      <c r="D1903" s="1" t="s">
        <v>311</v>
      </c>
    </row>
    <row r="1904">
      <c r="A1904" s="253">
        <v>45993.06845158565</v>
      </c>
      <c r="B1904" s="1" t="s">
        <v>213</v>
      </c>
      <c r="C1904" s="203">
        <v>10.0</v>
      </c>
      <c r="D1904" s="1" t="s">
        <v>395</v>
      </c>
    </row>
    <row r="1905">
      <c r="A1905" s="253">
        <v>45993.06845158565</v>
      </c>
      <c r="B1905" s="1" t="s">
        <v>121</v>
      </c>
      <c r="C1905" s="203">
        <v>10.039</v>
      </c>
      <c r="D1905" s="1" t="s">
        <v>96</v>
      </c>
    </row>
    <row r="1906">
      <c r="A1906" s="253">
        <v>45993.06845158565</v>
      </c>
      <c r="B1906" s="1" t="s">
        <v>122</v>
      </c>
      <c r="C1906" s="203">
        <v>3.0</v>
      </c>
      <c r="D1906" s="1" t="s">
        <v>311</v>
      </c>
    </row>
    <row r="1907">
      <c r="A1907" s="253">
        <v>45993.06845158565</v>
      </c>
      <c r="B1907" s="1" t="s">
        <v>123</v>
      </c>
      <c r="C1907" s="203">
        <v>8.0</v>
      </c>
      <c r="D1907" s="1" t="s">
        <v>493</v>
      </c>
    </row>
    <row r="1908">
      <c r="A1908" s="253">
        <v>45993.06845158565</v>
      </c>
      <c r="B1908" s="1" t="s">
        <v>199</v>
      </c>
      <c r="C1908" s="203">
        <v>8.0</v>
      </c>
      <c r="D1908" s="1" t="s">
        <v>62</v>
      </c>
    </row>
    <row r="1909">
      <c r="A1909" s="253">
        <v>45993.06845158565</v>
      </c>
      <c r="B1909" s="1" t="s">
        <v>200</v>
      </c>
      <c r="C1909" s="203">
        <v>6.0</v>
      </c>
      <c r="D1909" s="1" t="s">
        <v>493</v>
      </c>
    </row>
    <row r="1910">
      <c r="A1910" s="253">
        <v>45993.06845158565</v>
      </c>
      <c r="B1910" s="1" t="s">
        <v>134</v>
      </c>
      <c r="C1910" s="203">
        <v>4.0</v>
      </c>
      <c r="D1910" s="1" t="s">
        <v>132</v>
      </c>
    </row>
    <row r="1911">
      <c r="A1911" s="253">
        <v>45993.06845158565</v>
      </c>
      <c r="B1911" s="1" t="s">
        <v>162</v>
      </c>
      <c r="C1911" s="203">
        <v>8.0</v>
      </c>
      <c r="D1911" s="1" t="s">
        <v>395</v>
      </c>
    </row>
    <row r="1912">
      <c r="A1912" s="253">
        <v>45993.06845158565</v>
      </c>
      <c r="B1912" s="1" t="s">
        <v>175</v>
      </c>
      <c r="C1912" s="203">
        <v>7.995</v>
      </c>
      <c r="D1912" s="1" t="s">
        <v>395</v>
      </c>
    </row>
    <row r="1913">
      <c r="A1913" s="253">
        <v>45993.06845158565</v>
      </c>
      <c r="B1913" s="1" t="s">
        <v>148</v>
      </c>
      <c r="C1913" s="203">
        <v>4.0</v>
      </c>
      <c r="D1913" s="1" t="s">
        <v>238</v>
      </c>
    </row>
    <row r="1914">
      <c r="A1914" s="253">
        <v>45993.06845158565</v>
      </c>
      <c r="B1914" s="1" t="s">
        <v>187</v>
      </c>
      <c r="C1914" s="203">
        <v>4.0</v>
      </c>
      <c r="D1914" s="1" t="s">
        <v>132</v>
      </c>
    </row>
    <row r="1915">
      <c r="A1915" s="253">
        <v>45993.06845158565</v>
      </c>
      <c r="B1915" s="1" t="s">
        <v>234</v>
      </c>
      <c r="D1915" s="1" t="s">
        <v>311</v>
      </c>
    </row>
    <row r="1916">
      <c r="A1916" s="253">
        <v>45993.06845158565</v>
      </c>
      <c r="B1916" s="1" t="s">
        <v>232</v>
      </c>
      <c r="C1916" s="203">
        <v>8.019</v>
      </c>
      <c r="D1916" s="1" t="s">
        <v>156</v>
      </c>
    </row>
    <row r="1917">
      <c r="A1917" s="253">
        <v>45993.06845158565</v>
      </c>
    </row>
    <row r="1918">
      <c r="A1918" s="253">
        <v>45993.06845158565</v>
      </c>
    </row>
    <row r="1919">
      <c r="A1919" s="253">
        <v>45993.06845158565</v>
      </c>
    </row>
  </sheetData>
  <autoFilter ref="$A$1:$D$1919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36</v>
      </c>
      <c r="B1" s="1" t="s">
        <v>2052</v>
      </c>
    </row>
    <row r="2">
      <c r="A2" t="s">
        <v>361</v>
      </c>
      <c r="B2" s="1" t="s">
        <v>2053</v>
      </c>
    </row>
    <row r="3">
      <c r="A3" t="s">
        <v>1807</v>
      </c>
      <c r="B3" s="1" t="s">
        <v>2053</v>
      </c>
    </row>
    <row r="4">
      <c r="A4" t="s">
        <v>317</v>
      </c>
      <c r="B4" s="1" t="s">
        <v>2054</v>
      </c>
    </row>
    <row r="5">
      <c r="A5" t="s">
        <v>471</v>
      </c>
      <c r="B5" s="1" t="s">
        <v>2054</v>
      </c>
    </row>
    <row r="6">
      <c r="A6" t="s">
        <v>407</v>
      </c>
      <c r="B6" s="1" t="s">
        <v>2054</v>
      </c>
    </row>
    <row r="7">
      <c r="A7" t="s">
        <v>535</v>
      </c>
      <c r="B7" s="1" t="s">
        <v>2053</v>
      </c>
    </row>
    <row r="8">
      <c r="A8" t="s">
        <v>530</v>
      </c>
      <c r="B8" s="1" t="s">
        <v>2053</v>
      </c>
    </row>
    <row r="9">
      <c r="A9" t="s">
        <v>525</v>
      </c>
      <c r="B9" s="1" t="s">
        <v>2053</v>
      </c>
    </row>
    <row r="10">
      <c r="A10" t="s">
        <v>680</v>
      </c>
      <c r="B10" s="1" t="s">
        <v>2055</v>
      </c>
    </row>
    <row r="11">
      <c r="A11" t="s">
        <v>556</v>
      </c>
      <c r="B11" s="1" t="s">
        <v>2054</v>
      </c>
    </row>
    <row r="12">
      <c r="A12" t="s">
        <v>441</v>
      </c>
      <c r="B12" s="1" t="s">
        <v>2053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636</v>
      </c>
      <c r="B1" s="1" t="s">
        <v>36</v>
      </c>
      <c r="C1" s="1" t="s">
        <v>2056</v>
      </c>
      <c r="D1" s="1" t="s">
        <v>2052</v>
      </c>
    </row>
    <row r="2">
      <c r="A2" t="str">
        <f t="array" ref="A2:B137">substitute('Teams-Conference'!A2:B142,"zI","I")</f>
        <v>Army</v>
      </c>
      <c r="B2" t="s">
        <v>361</v>
      </c>
      <c r="C2">
        <f>iferror(if(VLOOKUP(B2,P5G5!A:B,2,0)="Group of 5",4,if(A2="Oregon",1,if(B2="Pac12",2,3))),"")</f>
        <v>3</v>
      </c>
      <c r="D2" t="str">
        <f>if(A2="","",if(A2="Oregon","FEE123",iferror(substitute(UPPER(VLOOKUP(B2,'Conf-Color'!A:B,2,0)),"#",""),"")))</f>
        <v>E1DDCF</v>
      </c>
    </row>
    <row r="3">
      <c r="A3" t="s">
        <v>159</v>
      </c>
      <c r="B3" t="s">
        <v>361</v>
      </c>
      <c r="C3">
        <f>iferror(if(VLOOKUP(B3,P5G5!A:B,2,0)="Group of 5",4,if(A3="Oregon",1,if(B3="Pac12",2,3))),"")</f>
        <v>3</v>
      </c>
      <c r="D3" t="str">
        <f>if(A3="","",if(A3="Oregon","FEE123",iferror(substitute(UPPER(VLOOKUP(B3,'Conf-Color'!A:B,2,0)),"#",""),"")))</f>
        <v>E1DDCF</v>
      </c>
    </row>
    <row r="4">
      <c r="A4" t="s">
        <v>100</v>
      </c>
      <c r="B4" t="s">
        <v>361</v>
      </c>
      <c r="C4">
        <f>iferror(if(VLOOKUP(B4,P5G5!A:B,2,0)="Group of 5",4,if(A4="Oregon",1,if(B4="Pac12",2,3))),"")</f>
        <v>3</v>
      </c>
      <c r="D4" t="str">
        <f>if(A4="","",if(A4="Oregon","FEE123",iferror(substitute(UPPER(VLOOKUP(B4,'Conf-Color'!A:B,2,0)),"#",""),"")))</f>
        <v>E1DDCF</v>
      </c>
    </row>
    <row r="5">
      <c r="A5" t="s">
        <v>150</v>
      </c>
      <c r="B5" t="s">
        <v>361</v>
      </c>
      <c r="C5">
        <f>iferror(if(VLOOKUP(B5,P5G5!A:B,2,0)="Group of 5",4,if(A5="Oregon",1,if(B5="Pac12",2,3))),"")</f>
        <v>3</v>
      </c>
      <c r="D5" t="str">
        <f>if(A5="","",if(A5="Oregon","FEE123",iferror(substitute(UPPER(VLOOKUP(B5,'Conf-Color'!A:B,2,0)),"#",""),"")))</f>
        <v>E1DDCF</v>
      </c>
    </row>
    <row r="6">
      <c r="A6" t="s">
        <v>102</v>
      </c>
      <c r="B6" t="s">
        <v>361</v>
      </c>
      <c r="C6">
        <f>iferror(if(VLOOKUP(B6,P5G5!A:B,2,0)="Group of 5",4,if(A6="Oregon",1,if(B6="Pac12",2,3))),"")</f>
        <v>3</v>
      </c>
      <c r="D6" t="str">
        <f>if(A6="","",if(A6="Oregon","FEE123",iferror(substitute(UPPER(VLOOKUP(B6,'Conf-Color'!A:B,2,0)),"#",""),"")))</f>
        <v>E1DDCF</v>
      </c>
    </row>
    <row r="7">
      <c r="A7" t="s">
        <v>103</v>
      </c>
      <c r="B7" t="s">
        <v>361</v>
      </c>
      <c r="C7">
        <f>iferror(if(VLOOKUP(B7,P5G5!A:B,2,0)="Group of 5",4,if(A7="Oregon",1,if(B7="Pac12",2,3))),"")</f>
        <v>3</v>
      </c>
      <c r="D7" t="str">
        <f>if(A7="","",if(A7="Oregon","FEE123",iferror(substitute(UPPER(VLOOKUP(B7,'Conf-Color'!A:B,2,0)),"#",""),"")))</f>
        <v>E1DDCF</v>
      </c>
    </row>
    <row r="8">
      <c r="A8" t="s">
        <v>154</v>
      </c>
      <c r="B8" t="s">
        <v>361</v>
      </c>
      <c r="C8">
        <f>iferror(if(VLOOKUP(B8,P5G5!A:B,2,0)="Group of 5",4,if(A8="Oregon",1,if(B8="Pac12",2,3))),"")</f>
        <v>3</v>
      </c>
      <c r="D8" t="str">
        <f>if(A8="","",if(A8="Oregon","FEE123",iferror(substitute(UPPER(VLOOKUP(B8,'Conf-Color'!A:B,2,0)),"#",""),"")))</f>
        <v>E1DDCF</v>
      </c>
    </row>
    <row r="9">
      <c r="A9" t="s">
        <v>157</v>
      </c>
      <c r="B9" t="s">
        <v>361</v>
      </c>
      <c r="C9">
        <f>iferror(if(VLOOKUP(B9,P5G5!A:B,2,0)="Group of 5",4,if(A9="Oregon",1,if(B9="Pac12",2,3))),"")</f>
        <v>3</v>
      </c>
      <c r="D9" t="str">
        <f>if(A9="","",if(A9="Oregon","FEE123",iferror(substitute(UPPER(VLOOKUP(B9,'Conf-Color'!A:B,2,0)),"#",""),"")))</f>
        <v>E1DDCF</v>
      </c>
    </row>
    <row r="10">
      <c r="A10" t="s">
        <v>105</v>
      </c>
      <c r="B10" t="s">
        <v>361</v>
      </c>
      <c r="C10">
        <f>iferror(if(VLOOKUP(B10,P5G5!A:B,2,0)="Group of 5",4,if(A10="Oregon",1,if(B10="Pac12",2,3))),"")</f>
        <v>3</v>
      </c>
      <c r="D10" t="str">
        <f>if(A10="","",if(A10="Oregon","FEE123",iferror(substitute(UPPER(VLOOKUP(B10,'Conf-Color'!A:B,2,0)),"#",""),"")))</f>
        <v>E1DDCF</v>
      </c>
    </row>
    <row r="11">
      <c r="A11" t="s">
        <v>106</v>
      </c>
      <c r="B11" t="s">
        <v>361</v>
      </c>
      <c r="C11">
        <f>iferror(if(VLOOKUP(B11,P5G5!A:B,2,0)="Group of 5",4,if(A11="Oregon",1,if(B11="Pac12",2,3))),"")</f>
        <v>3</v>
      </c>
      <c r="D11" t="str">
        <f>if(A11="","",if(A11="Oregon","FEE123",iferror(substitute(UPPER(VLOOKUP(B11,'Conf-Color'!A:B,2,0)),"#",""),"")))</f>
        <v>E1DDCF</v>
      </c>
    </row>
    <row r="12">
      <c r="A12" t="s">
        <v>107</v>
      </c>
      <c r="B12" t="s">
        <v>361</v>
      </c>
      <c r="C12">
        <f>iferror(if(VLOOKUP(B12,P5G5!A:B,2,0)="Group of 5",4,if(A12="Oregon",1,if(B12="Pac12",2,3))),"")</f>
        <v>3</v>
      </c>
      <c r="D12" t="str">
        <f>if(A12="","",if(A12="Oregon","FEE123",iferror(substitute(UPPER(VLOOKUP(B12,'Conf-Color'!A:B,2,0)),"#",""),"")))</f>
        <v>E1DDCF</v>
      </c>
    </row>
    <row r="13">
      <c r="A13" t="s">
        <v>108</v>
      </c>
      <c r="B13" t="s">
        <v>361</v>
      </c>
      <c r="C13">
        <f>iferror(if(VLOOKUP(B13,P5G5!A:B,2,0)="Group of 5",4,if(A13="Oregon",1,if(B13="Pac12",2,3))),"")</f>
        <v>3</v>
      </c>
      <c r="D13" t="str">
        <f>if(A13="","",if(A13="Oregon","FEE123",iferror(substitute(UPPER(VLOOKUP(B13,'Conf-Color'!A:B,2,0)),"#",""),"")))</f>
        <v>E1DDCF</v>
      </c>
    </row>
    <row r="14">
      <c r="A14" t="s">
        <v>163</v>
      </c>
      <c r="B14" t="s">
        <v>361</v>
      </c>
      <c r="C14">
        <f>iferror(if(VLOOKUP(B14,P5G5!A:B,2,0)="Group of 5",4,if(A14="Oregon",1,if(B14="Pac12",2,3))),"")</f>
        <v>3</v>
      </c>
      <c r="D14" t="str">
        <f>if(A14="","",if(A14="Oregon","FEE123",iferror(substitute(UPPER(VLOOKUP(B14,'Conf-Color'!A:B,2,0)),"#",""),"")))</f>
        <v>E1DDCF</v>
      </c>
    </row>
    <row r="15">
      <c r="A15" t="s">
        <v>161</v>
      </c>
      <c r="B15" t="s">
        <v>361</v>
      </c>
      <c r="C15">
        <f>iferror(if(VLOOKUP(B15,P5G5!A:B,2,0)="Group of 5",4,if(A15="Oregon",1,if(B15="Pac12",2,3))),"")</f>
        <v>3</v>
      </c>
      <c r="D15" t="str">
        <f>if(A15="","",if(A15="Oregon","FEE123",iferror(substitute(UPPER(VLOOKUP(B15,'Conf-Color'!A:B,2,0)),"#",""),"")))</f>
        <v>E1DDCF</v>
      </c>
    </row>
    <row r="16">
      <c r="A16" t="s">
        <v>110</v>
      </c>
      <c r="B16" t="s">
        <v>317</v>
      </c>
      <c r="C16">
        <f>iferror(if(VLOOKUP(B16,P5G5!A:B,2,0)="Group of 5",4,if(A16="Oregon",1,if(B16="Pac12",2,3))),"")</f>
        <v>3</v>
      </c>
      <c r="D16" t="str">
        <f>if(A16="","",if(A16="Oregon","FEE123",iferror(substitute(UPPER(VLOOKUP(B16,'Conf-Color'!A:B,2,0)),"#",""),"")))</f>
        <v>FFCC99</v>
      </c>
    </row>
    <row r="17">
      <c r="A17" t="s">
        <v>190</v>
      </c>
      <c r="B17" t="s">
        <v>317</v>
      </c>
      <c r="C17">
        <f>iferror(if(VLOOKUP(B17,P5G5!A:B,2,0)="Group of 5",4,if(A17="Oregon",1,if(B17="Pac12",2,3))),"")</f>
        <v>3</v>
      </c>
      <c r="D17" t="str">
        <f>if(A17="","",if(A17="Oregon","FEE123",iferror(substitute(UPPER(VLOOKUP(B17,'Conf-Color'!A:B,2,0)),"#",""),"")))</f>
        <v>FFCC99</v>
      </c>
    </row>
    <row r="18">
      <c r="A18" t="s">
        <v>111</v>
      </c>
      <c r="B18" t="s">
        <v>317</v>
      </c>
      <c r="C18">
        <f>iferror(if(VLOOKUP(B18,P5G5!A:B,2,0)="Group of 5",4,if(A18="Oregon",1,if(B18="Pac12",2,3))),"")</f>
        <v>3</v>
      </c>
      <c r="D18" t="str">
        <f>if(A18="","",if(A18="Oregon","FEE123",iferror(substitute(UPPER(VLOOKUP(B18,'Conf-Color'!A:B,2,0)),"#",""),"")))</f>
        <v>FFCC99</v>
      </c>
    </row>
    <row r="19">
      <c r="A19" t="s">
        <v>112</v>
      </c>
      <c r="B19" t="s">
        <v>317</v>
      </c>
      <c r="C19">
        <f>iferror(if(VLOOKUP(B19,P5G5!A:B,2,0)="Group of 5",4,if(A19="Oregon",1,if(B19="Pac12",2,3))),"")</f>
        <v>3</v>
      </c>
      <c r="D19" t="str">
        <f>if(A19="","",if(A19="Oregon","FEE123",iferror(substitute(UPPER(VLOOKUP(B19,'Conf-Color'!A:B,2,0)),"#",""),"")))</f>
        <v>FFCC99</v>
      </c>
    </row>
    <row r="20">
      <c r="A20" t="s">
        <v>113</v>
      </c>
      <c r="B20" t="s">
        <v>317</v>
      </c>
      <c r="C20">
        <f>iferror(if(VLOOKUP(B20,P5G5!A:B,2,0)="Group of 5",4,if(A20="Oregon",1,if(B20="Pac12",2,3))),"")</f>
        <v>3</v>
      </c>
      <c r="D20" t="str">
        <f>if(A20="","",if(A20="Oregon","FEE123",iferror(substitute(UPPER(VLOOKUP(B20,'Conf-Color'!A:B,2,0)),"#",""),"")))</f>
        <v>FFCC99</v>
      </c>
    </row>
    <row r="21">
      <c r="A21" t="s">
        <v>114</v>
      </c>
      <c r="B21" t="s">
        <v>317</v>
      </c>
      <c r="C21">
        <f>iferror(if(VLOOKUP(B21,P5G5!A:B,2,0)="Group of 5",4,if(A21="Oregon",1,if(B21="Pac12",2,3))),"")</f>
        <v>3</v>
      </c>
      <c r="D21" t="str">
        <f>if(A21="","",if(A21="Oregon","FEE123",iferror(substitute(UPPER(VLOOKUP(B21,'Conf-Color'!A:B,2,0)),"#",""),"")))</f>
        <v>FFCC99</v>
      </c>
    </row>
    <row r="22">
      <c r="A22" t="s">
        <v>115</v>
      </c>
      <c r="B22" t="s">
        <v>317</v>
      </c>
      <c r="C22">
        <f>iferror(if(VLOOKUP(B22,P5G5!A:B,2,0)="Group of 5",4,if(A22="Oregon",1,if(B22="Pac12",2,3))),"")</f>
        <v>3</v>
      </c>
      <c r="D22" t="str">
        <f>if(A22="","",if(A22="Oregon","FEE123",iferror(substitute(UPPER(VLOOKUP(B22,'Conf-Color'!A:B,2,0)),"#",""),"")))</f>
        <v>FFCC99</v>
      </c>
    </row>
    <row r="23">
      <c r="A23" t="s">
        <v>116</v>
      </c>
      <c r="B23" t="s">
        <v>317</v>
      </c>
      <c r="C23">
        <f>iferror(if(VLOOKUP(B23,P5G5!A:B,2,0)="Group of 5",4,if(A23="Oregon",1,if(B23="Pac12",2,3))),"")</f>
        <v>3</v>
      </c>
      <c r="D23" t="str">
        <f>if(A23="","",if(A23="Oregon","FEE123",iferror(substitute(UPPER(VLOOKUP(B23,'Conf-Color'!A:B,2,0)),"#",""),"")))</f>
        <v>FFCC99</v>
      </c>
    </row>
    <row r="24">
      <c r="A24" t="s">
        <v>117</v>
      </c>
      <c r="B24" t="s">
        <v>317</v>
      </c>
      <c r="C24">
        <f>iferror(if(VLOOKUP(B24,P5G5!A:B,2,0)="Group of 5",4,if(A24="Oregon",1,if(B24="Pac12",2,3))),"")</f>
        <v>3</v>
      </c>
      <c r="D24" t="str">
        <f>if(A24="","",if(A24="Oregon","FEE123",iferror(substitute(UPPER(VLOOKUP(B24,'Conf-Color'!A:B,2,0)),"#",""),"")))</f>
        <v>FFCC99</v>
      </c>
    </row>
    <row r="25">
      <c r="A25" t="s">
        <v>118</v>
      </c>
      <c r="B25" t="s">
        <v>317</v>
      </c>
      <c r="C25">
        <f>iferror(if(VLOOKUP(B25,P5G5!A:B,2,0)="Group of 5",4,if(A25="Oregon",1,if(B25="Pac12",2,3))),"")</f>
        <v>3</v>
      </c>
      <c r="D25" t="str">
        <f>if(A25="","",if(A25="Oregon","FEE123",iferror(substitute(UPPER(VLOOKUP(B25,'Conf-Color'!A:B,2,0)),"#",""),"")))</f>
        <v>FFCC99</v>
      </c>
    </row>
    <row r="26">
      <c r="A26" t="s">
        <v>119</v>
      </c>
      <c r="B26" t="s">
        <v>317</v>
      </c>
      <c r="C26">
        <f>iferror(if(VLOOKUP(B26,P5G5!A:B,2,0)="Group of 5",4,if(A26="Oregon",1,if(B26="Pac12",2,3))),"")</f>
        <v>3</v>
      </c>
      <c r="D26" t="str">
        <f>if(A26="","",if(A26="Oregon","FEE123",iferror(substitute(UPPER(VLOOKUP(B26,'Conf-Color'!A:B,2,0)),"#",""),"")))</f>
        <v>FFCC99</v>
      </c>
    </row>
    <row r="27">
      <c r="A27" t="s">
        <v>104</v>
      </c>
      <c r="B27" t="s">
        <v>317</v>
      </c>
      <c r="C27">
        <f>iferror(if(VLOOKUP(B27,P5G5!A:B,2,0)="Group of 5",4,if(A27="Oregon",1,if(B27="Pac12",2,3))),"")</f>
        <v>3</v>
      </c>
      <c r="D27" t="str">
        <f>if(A27="","",if(A27="Oregon","FEE123",iferror(substitute(UPPER(VLOOKUP(B27,'Conf-Color'!A:B,2,0)),"#",""),"")))</f>
        <v>FFCC99</v>
      </c>
    </row>
    <row r="28">
      <c r="A28" t="s">
        <v>195</v>
      </c>
      <c r="B28" t="s">
        <v>317</v>
      </c>
      <c r="C28">
        <f>iferror(if(VLOOKUP(B28,P5G5!A:B,2,0)="Group of 5",4,if(A28="Oregon",1,if(B28="Pac12",2,3))),"")</f>
        <v>3</v>
      </c>
      <c r="D28" t="str">
        <f>if(A28="","",if(A28="Oregon","FEE123",iferror(substitute(UPPER(VLOOKUP(B28,'Conf-Color'!A:B,2,0)),"#",""),"")))</f>
        <v>FFCC99</v>
      </c>
    </row>
    <row r="29">
      <c r="A29" t="s">
        <v>120</v>
      </c>
      <c r="B29" t="s">
        <v>317</v>
      </c>
      <c r="C29">
        <f>iferror(if(VLOOKUP(B29,P5G5!A:B,2,0)="Group of 5",4,if(A29="Oregon",1,if(B29="Pac12",2,3))),"")</f>
        <v>3</v>
      </c>
      <c r="D29" t="str">
        <f>if(A29="","",if(A29="Oregon","FEE123",iferror(substitute(UPPER(VLOOKUP(B29,'Conf-Color'!A:B,2,0)),"#",""),"")))</f>
        <v>FFCC99</v>
      </c>
    </row>
    <row r="30">
      <c r="A30" t="s">
        <v>121</v>
      </c>
      <c r="B30" t="s">
        <v>317</v>
      </c>
      <c r="C30">
        <f>iferror(if(VLOOKUP(B30,P5G5!A:B,2,0)="Group of 5",4,if(A30="Oregon",1,if(B30="Pac12",2,3))),"")</f>
        <v>3</v>
      </c>
      <c r="D30" t="str">
        <f>if(A30="","",if(A30="Oregon","FEE123",iferror(substitute(UPPER(VLOOKUP(B30,'Conf-Color'!A:B,2,0)),"#",""),"")))</f>
        <v>FFCC99</v>
      </c>
    </row>
    <row r="31">
      <c r="A31" t="s">
        <v>122</v>
      </c>
      <c r="B31" t="s">
        <v>317</v>
      </c>
      <c r="C31">
        <f>iferror(if(VLOOKUP(B31,P5G5!A:B,2,0)="Group of 5",4,if(A31="Oregon",1,if(B31="Pac12",2,3))),"")</f>
        <v>3</v>
      </c>
      <c r="D31" t="str">
        <f>if(A31="","",if(A31="Oregon","FEE123",iferror(substitute(UPPER(VLOOKUP(B31,'Conf-Color'!A:B,2,0)),"#",""),"")))</f>
        <v>FFCC99</v>
      </c>
    </row>
    <row r="32">
      <c r="A32" t="s">
        <v>123</v>
      </c>
      <c r="B32" t="s">
        <v>317</v>
      </c>
      <c r="C32">
        <f>iferror(if(VLOOKUP(B32,P5G5!A:B,2,0)="Group of 5",4,if(A32="Oregon",1,if(B32="Pac12",2,3))),"")</f>
        <v>3</v>
      </c>
      <c r="D32" t="str">
        <f>if(A32="","",if(A32="Oregon","FEE123",iferror(substitute(UPPER(VLOOKUP(B32,'Conf-Color'!A:B,2,0)),"#",""),"")))</f>
        <v>FFCC99</v>
      </c>
    </row>
    <row r="33">
      <c r="A33" t="s">
        <v>188</v>
      </c>
      <c r="B33" t="s">
        <v>471</v>
      </c>
      <c r="C33">
        <f>iferror(if(VLOOKUP(B33,P5G5!A:B,2,0)="Group of 5",4,if(A33="Oregon",1,if(B33="Pac12",2,3))),"")</f>
        <v>3</v>
      </c>
      <c r="D33" t="str">
        <f>if(A33="","",if(A33="Oregon","FEE123",iferror(substitute(UPPER(VLOOKUP(B33,'Conf-Color'!A:B,2,0)),"#",""),"")))</f>
        <v>FFCC99</v>
      </c>
    </row>
    <row r="34">
      <c r="A34" t="s">
        <v>189</v>
      </c>
      <c r="B34" t="s">
        <v>471</v>
      </c>
      <c r="C34">
        <f>iferror(if(VLOOKUP(B34,P5G5!A:B,2,0)="Group of 5",4,if(A34="Oregon",1,if(B34="Pac12",2,3))),"")</f>
        <v>3</v>
      </c>
      <c r="D34" t="str">
        <f>if(A34="","",if(A34="Oregon","FEE123",iferror(substitute(UPPER(VLOOKUP(B34,'Conf-Color'!A:B,2,0)),"#",""),"")))</f>
        <v>FFCC99</v>
      </c>
    </row>
    <row r="35">
      <c r="A35" t="s">
        <v>124</v>
      </c>
      <c r="B35" t="s">
        <v>471</v>
      </c>
      <c r="C35">
        <f>iferror(if(VLOOKUP(B35,P5G5!A:B,2,0)="Group of 5",4,if(A35="Oregon",1,if(B35="Pac12",2,3))),"")</f>
        <v>3</v>
      </c>
      <c r="D35" t="str">
        <f>if(A35="","",if(A35="Oregon","FEE123",iferror(substitute(UPPER(VLOOKUP(B35,'Conf-Color'!A:B,2,0)),"#",""),"")))</f>
        <v>FFCC99</v>
      </c>
    </row>
    <row r="36">
      <c r="A36" t="s">
        <v>226</v>
      </c>
      <c r="B36" t="s">
        <v>471</v>
      </c>
      <c r="C36">
        <f>iferror(if(VLOOKUP(B36,P5G5!A:B,2,0)="Group of 5",4,if(A36="Oregon",1,if(B36="Pac12",2,3))),"")</f>
        <v>3</v>
      </c>
      <c r="D36" t="str">
        <f>if(A36="","",if(A36="Oregon","FEE123",iferror(substitute(UPPER(VLOOKUP(B36,'Conf-Color'!A:B,2,0)),"#",""),"")))</f>
        <v>FFCC99</v>
      </c>
    </row>
    <row r="37">
      <c r="A37" t="s">
        <v>98</v>
      </c>
      <c r="B37" t="s">
        <v>471</v>
      </c>
      <c r="C37">
        <f>iferror(if(VLOOKUP(B37,P5G5!A:B,2,0)="Group of 5",4,if(A37="Oregon",1,if(B37="Pac12",2,3))),"")</f>
        <v>3</v>
      </c>
      <c r="D37" t="str">
        <f>if(A37="","",if(A37="Oregon","FEE123",iferror(substitute(UPPER(VLOOKUP(B37,'Conf-Color'!A:B,2,0)),"#",""),"")))</f>
        <v>FFCC99</v>
      </c>
    </row>
    <row r="38">
      <c r="A38" t="s">
        <v>191</v>
      </c>
      <c r="B38" t="s">
        <v>471</v>
      </c>
      <c r="C38">
        <f>iferror(if(VLOOKUP(B38,P5G5!A:B,2,0)="Group of 5",4,if(A38="Oregon",1,if(B38="Pac12",2,3))),"")</f>
        <v>3</v>
      </c>
      <c r="D38" t="str">
        <f>if(A38="","",if(A38="Oregon","FEE123",iferror(substitute(UPPER(VLOOKUP(B38,'Conf-Color'!A:B,2,0)),"#",""),"")))</f>
        <v>FFCC99</v>
      </c>
    </row>
    <row r="39">
      <c r="A39" t="s">
        <v>101</v>
      </c>
      <c r="B39" t="s">
        <v>471</v>
      </c>
      <c r="C39">
        <f>iferror(if(VLOOKUP(B39,P5G5!A:B,2,0)="Group of 5",4,if(A39="Oregon",1,if(B39="Pac12",2,3))),"")</f>
        <v>3</v>
      </c>
      <c r="D39" t="str">
        <f>if(A39="","",if(A39="Oregon","FEE123",iferror(substitute(UPPER(VLOOKUP(B39,'Conf-Color'!A:B,2,0)),"#",""),"")))</f>
        <v>FFCC99</v>
      </c>
    </row>
    <row r="40">
      <c r="A40" t="s">
        <v>125</v>
      </c>
      <c r="B40" t="s">
        <v>471</v>
      </c>
      <c r="C40">
        <f>iferror(if(VLOOKUP(B40,P5G5!A:B,2,0)="Group of 5",4,if(A40="Oregon",1,if(B40="Pac12",2,3))),"")</f>
        <v>3</v>
      </c>
      <c r="D40" t="str">
        <f>if(A40="","",if(A40="Oregon","FEE123",iferror(substitute(UPPER(VLOOKUP(B40,'Conf-Color'!A:B,2,0)),"#",""),"")))</f>
        <v>FFCC99</v>
      </c>
    </row>
    <row r="41">
      <c r="A41" t="s">
        <v>126</v>
      </c>
      <c r="B41" t="s">
        <v>471</v>
      </c>
      <c r="C41">
        <f>iferror(if(VLOOKUP(B41,P5G5!A:B,2,0)="Group of 5",4,if(A41="Oregon",1,if(B41="Pac12",2,3))),"")</f>
        <v>3</v>
      </c>
      <c r="D41" t="str">
        <f>if(A41="","",if(A41="Oregon","FEE123",iferror(substitute(UPPER(VLOOKUP(B41,'Conf-Color'!A:B,2,0)),"#",""),"")))</f>
        <v>FFCC99</v>
      </c>
    </row>
    <row r="42">
      <c r="A42" t="s">
        <v>127</v>
      </c>
      <c r="B42" t="s">
        <v>471</v>
      </c>
      <c r="C42">
        <f>iferror(if(VLOOKUP(B42,P5G5!A:B,2,0)="Group of 5",4,if(A42="Oregon",1,if(B42="Pac12",2,3))),"")</f>
        <v>3</v>
      </c>
      <c r="D42" t="str">
        <f>if(A42="","",if(A42="Oregon","FEE123",iferror(substitute(UPPER(VLOOKUP(B42,'Conf-Color'!A:B,2,0)),"#",""),"")))</f>
        <v>FFCC99</v>
      </c>
    </row>
    <row r="43">
      <c r="A43" t="s">
        <v>129</v>
      </c>
      <c r="B43" t="s">
        <v>471</v>
      </c>
      <c r="C43">
        <f>iferror(if(VLOOKUP(B43,P5G5!A:B,2,0)="Group of 5",4,if(A43="Oregon",1,if(B43="Pac12",2,3))),"")</f>
        <v>3</v>
      </c>
      <c r="D43" t="str">
        <f>if(A43="","",if(A43="Oregon","FEE123",iferror(substitute(UPPER(VLOOKUP(B43,'Conf-Color'!A:B,2,0)),"#",""),"")))</f>
        <v>FFCC99</v>
      </c>
    </row>
    <row r="44">
      <c r="A44" t="s">
        <v>130</v>
      </c>
      <c r="B44" t="s">
        <v>471</v>
      </c>
      <c r="C44">
        <f>iferror(if(VLOOKUP(B44,P5G5!A:B,2,0)="Group of 5",4,if(A44="Oregon",1,if(B44="Pac12",2,3))),"")</f>
        <v>3</v>
      </c>
      <c r="D44" t="str">
        <f>if(A44="","",if(A44="Oregon","FEE123",iferror(substitute(UPPER(VLOOKUP(B44,'Conf-Color'!A:B,2,0)),"#",""),"")))</f>
        <v>FFCC99</v>
      </c>
    </row>
    <row r="45">
      <c r="A45" t="s">
        <v>133</v>
      </c>
      <c r="B45" t="s">
        <v>471</v>
      </c>
      <c r="C45">
        <f>iferror(if(VLOOKUP(B45,P5G5!A:B,2,0)="Group of 5",4,if(A45="Oregon",1,if(B45="Pac12",2,3))),"")</f>
        <v>3</v>
      </c>
      <c r="D45" t="str">
        <f>if(A45="","",if(A45="Oregon","FEE123",iferror(substitute(UPPER(VLOOKUP(B45,'Conf-Color'!A:B,2,0)),"#",""),"")))</f>
        <v>FFCC99</v>
      </c>
    </row>
    <row r="46">
      <c r="A46" t="s">
        <v>109</v>
      </c>
      <c r="B46" t="s">
        <v>471</v>
      </c>
      <c r="C46">
        <f>iferror(if(VLOOKUP(B46,P5G5!A:B,2,0)="Group of 5",4,if(A46="Oregon",1,if(B46="Pac12",2,3))),"")</f>
        <v>3</v>
      </c>
      <c r="D46" t="str">
        <f>if(A46="","",if(A46="Oregon","FEE123",iferror(substitute(UPPER(VLOOKUP(B46,'Conf-Color'!A:B,2,0)),"#",""),"")))</f>
        <v>FFCC99</v>
      </c>
    </row>
    <row r="47">
      <c r="A47" t="s">
        <v>198</v>
      </c>
      <c r="B47" t="s">
        <v>471</v>
      </c>
      <c r="C47">
        <f>iferror(if(VLOOKUP(B47,P5G5!A:B,2,0)="Group of 5",4,if(A47="Oregon",1,if(B47="Pac12",2,3))),"")</f>
        <v>3</v>
      </c>
      <c r="D47" t="str">
        <f>if(A47="","",if(A47="Oregon","FEE123",iferror(substitute(UPPER(VLOOKUP(B47,'Conf-Color'!A:B,2,0)),"#",""),"")))</f>
        <v>FFCC99</v>
      </c>
    </row>
    <row r="48">
      <c r="A48" t="s">
        <v>134</v>
      </c>
      <c r="B48" t="s">
        <v>471</v>
      </c>
      <c r="C48">
        <f>iferror(if(VLOOKUP(B48,P5G5!A:B,2,0)="Group of 5",4,if(A48="Oregon",1,if(B48="Pac12",2,3))),"")</f>
        <v>3</v>
      </c>
      <c r="D48" t="str">
        <f>if(A48="","",if(A48="Oregon","FEE123",iferror(substitute(UPPER(VLOOKUP(B48,'Conf-Color'!A:B,2,0)),"#",""),"")))</f>
        <v>FFCC99</v>
      </c>
    </row>
    <row r="49">
      <c r="A49" t="s">
        <v>135</v>
      </c>
      <c r="B49" t="s">
        <v>407</v>
      </c>
      <c r="C49">
        <f>iferror(if(VLOOKUP(B49,P5G5!A:B,2,0)="Group of 5",4,if(A49="Oregon",1,if(B49="Pac12",2,3))),"")</f>
        <v>3</v>
      </c>
      <c r="D49" t="str">
        <f>if(A49="","",if(A49="Oregon","FEE123",iferror(substitute(UPPER(VLOOKUP(B49,'Conf-Color'!A:B,2,0)),"#",""),"")))</f>
        <v>FFCC99</v>
      </c>
    </row>
    <row r="50">
      <c r="A50" t="s">
        <v>136</v>
      </c>
      <c r="B50" t="s">
        <v>407</v>
      </c>
      <c r="C50">
        <f>iferror(if(VLOOKUP(B50,P5G5!A:B,2,0)="Group of 5",4,if(A50="Oregon",1,if(B50="Pac12",2,3))),"")</f>
        <v>3</v>
      </c>
      <c r="D50" t="str">
        <f>if(A50="","",if(A50="Oregon","FEE123",iferror(substitute(UPPER(VLOOKUP(B50,'Conf-Color'!A:B,2,0)),"#",""),"")))</f>
        <v>FFCC99</v>
      </c>
    </row>
    <row r="51">
      <c r="A51" t="s">
        <v>137</v>
      </c>
      <c r="B51" t="s">
        <v>407</v>
      </c>
      <c r="C51">
        <f>iferror(if(VLOOKUP(B51,P5G5!A:B,2,0)="Group of 5",4,if(A51="Oregon",1,if(B51="Pac12",2,3))),"")</f>
        <v>3</v>
      </c>
      <c r="D51" t="str">
        <f>if(A51="","",if(A51="Oregon","FEE123",iferror(substitute(UPPER(VLOOKUP(B51,'Conf-Color'!A:B,2,0)),"#",""),"")))</f>
        <v>FFCC99</v>
      </c>
    </row>
    <row r="52">
      <c r="A52" t="s">
        <v>138</v>
      </c>
      <c r="B52" t="s">
        <v>407</v>
      </c>
      <c r="C52">
        <f>iferror(if(VLOOKUP(B52,P5G5!A:B,2,0)="Group of 5",4,if(A52="Oregon",1,if(B52="Pac12",2,3))),"")</f>
        <v>3</v>
      </c>
      <c r="D52" t="str">
        <f>if(A52="","",if(A52="Oregon","FEE123",iferror(substitute(UPPER(VLOOKUP(B52,'Conf-Color'!A:B,2,0)),"#",""),"")))</f>
        <v>FFCC99</v>
      </c>
    </row>
    <row r="53">
      <c r="A53" t="s">
        <v>139</v>
      </c>
      <c r="B53" t="s">
        <v>407</v>
      </c>
      <c r="C53">
        <f>iferror(if(VLOOKUP(B53,P5G5!A:B,2,0)="Group of 5",4,if(A53="Oregon",1,if(B53="Pac12",2,3))),"")</f>
        <v>3</v>
      </c>
      <c r="D53" t="str">
        <f>if(A53="","",if(A53="Oregon","FEE123",iferror(substitute(UPPER(VLOOKUP(B53,'Conf-Color'!A:B,2,0)),"#",""),"")))</f>
        <v>FFCC99</v>
      </c>
    </row>
    <row r="54">
      <c r="A54" t="s">
        <v>140</v>
      </c>
      <c r="B54" t="s">
        <v>407</v>
      </c>
      <c r="C54">
        <f>iferror(if(VLOOKUP(B54,P5G5!A:B,2,0)="Group of 5",4,if(A54="Oregon",1,if(B54="Pac12",2,3))),"")</f>
        <v>3</v>
      </c>
      <c r="D54" t="str">
        <f>if(A54="","",if(A54="Oregon","FEE123",iferror(substitute(UPPER(VLOOKUP(B54,'Conf-Color'!A:B,2,0)),"#",""),"")))</f>
        <v>FFCC99</v>
      </c>
    </row>
    <row r="55">
      <c r="A55" t="s">
        <v>141</v>
      </c>
      <c r="B55" t="s">
        <v>407</v>
      </c>
      <c r="C55">
        <f>iferror(if(VLOOKUP(B55,P5G5!A:B,2,0)="Group of 5",4,if(A55="Oregon",1,if(B55="Pac12",2,3))),"")</f>
        <v>3</v>
      </c>
      <c r="D55" t="str">
        <f>if(A55="","",if(A55="Oregon","FEE123",iferror(substitute(UPPER(VLOOKUP(B55,'Conf-Color'!A:B,2,0)),"#",""),"")))</f>
        <v>FFCC99</v>
      </c>
    </row>
    <row r="56">
      <c r="A56" t="s">
        <v>142</v>
      </c>
      <c r="B56" t="s">
        <v>407</v>
      </c>
      <c r="C56">
        <f>iferror(if(VLOOKUP(B56,P5G5!A:B,2,0)="Group of 5",4,if(A56="Oregon",1,if(B56="Pac12",2,3))),"")</f>
        <v>3</v>
      </c>
      <c r="D56" t="str">
        <f>if(A56="","",if(A56="Oregon","FEE123",iferror(substitute(UPPER(VLOOKUP(B56,'Conf-Color'!A:B,2,0)),"#",""),"")))</f>
        <v>FFCC99</v>
      </c>
    </row>
    <row r="57">
      <c r="A57" t="s">
        <v>143</v>
      </c>
      <c r="B57" t="s">
        <v>407</v>
      </c>
      <c r="C57">
        <f>iferror(if(VLOOKUP(B57,P5G5!A:B,2,0)="Group of 5",4,if(A57="Oregon",1,if(B57="Pac12",2,3))),"")</f>
        <v>3</v>
      </c>
      <c r="D57" t="str">
        <f>if(A57="","",if(A57="Oregon","FEE123",iferror(substitute(UPPER(VLOOKUP(B57,'Conf-Color'!A:B,2,0)),"#",""),"")))</f>
        <v>FFCC99</v>
      </c>
    </row>
    <row r="58">
      <c r="A58" t="s">
        <v>144</v>
      </c>
      <c r="B58" t="s">
        <v>407</v>
      </c>
      <c r="C58">
        <f>iferror(if(VLOOKUP(B58,P5G5!A:B,2,0)="Group of 5",4,if(A58="Oregon",1,if(B58="Pac12",2,3))),"")</f>
        <v>3</v>
      </c>
      <c r="D58" t="str">
        <f>if(A58="","",if(A58="Oregon","FEE123",iferror(substitute(UPPER(VLOOKUP(B58,'Conf-Color'!A:B,2,0)),"#",""),"")))</f>
        <v>FFCC99</v>
      </c>
    </row>
    <row r="59">
      <c r="A59" t="s">
        <v>192</v>
      </c>
      <c r="B59" t="s">
        <v>407</v>
      </c>
      <c r="C59">
        <f>iferror(if(VLOOKUP(B59,P5G5!A:B,2,0)="Group of 5",4,if(A59="Oregon",1,if(B59="Pac12",2,3))),"")</f>
        <v>1</v>
      </c>
      <c r="D59" t="str">
        <f>if(A59="","",if(A59="Oregon","FEE123",iferror(substitute(UPPER(VLOOKUP(B59,'Conf-Color'!A:B,2,0)),"#",""),"")))</f>
        <v>FEE123</v>
      </c>
    </row>
    <row r="60">
      <c r="A60" t="s">
        <v>145</v>
      </c>
      <c r="B60" t="s">
        <v>407</v>
      </c>
      <c r="C60">
        <f>iferror(if(VLOOKUP(B60,P5G5!A:B,2,0)="Group of 5",4,if(A60="Oregon",1,if(B60="Pac12",2,3))),"")</f>
        <v>3</v>
      </c>
      <c r="D60" t="str">
        <f>if(A60="","",if(A60="Oregon","FEE123",iferror(substitute(UPPER(VLOOKUP(B60,'Conf-Color'!A:B,2,0)),"#",""),"")))</f>
        <v>FFCC99</v>
      </c>
    </row>
    <row r="61">
      <c r="A61" t="s">
        <v>146</v>
      </c>
      <c r="B61" t="s">
        <v>407</v>
      </c>
      <c r="C61">
        <f>iferror(if(VLOOKUP(B61,P5G5!A:B,2,0)="Group of 5",4,if(A61="Oregon",1,if(B61="Pac12",2,3))),"")</f>
        <v>3</v>
      </c>
      <c r="D61" t="str">
        <f>if(A61="","",if(A61="Oregon","FEE123",iferror(substitute(UPPER(VLOOKUP(B61,'Conf-Color'!A:B,2,0)),"#",""),"")))</f>
        <v>FFCC99</v>
      </c>
    </row>
    <row r="62">
      <c r="A62" t="s">
        <v>147</v>
      </c>
      <c r="B62" t="s">
        <v>407</v>
      </c>
      <c r="C62">
        <f>iferror(if(VLOOKUP(B62,P5G5!A:B,2,0)="Group of 5",4,if(A62="Oregon",1,if(B62="Pac12",2,3))),"")</f>
        <v>3</v>
      </c>
      <c r="D62" t="str">
        <f>if(A62="","",if(A62="Oregon","FEE123",iferror(substitute(UPPER(VLOOKUP(B62,'Conf-Color'!A:B,2,0)),"#",""),"")))</f>
        <v>FFCC99</v>
      </c>
    </row>
    <row r="63">
      <c r="A63" t="s">
        <v>196</v>
      </c>
      <c r="B63" t="s">
        <v>407</v>
      </c>
      <c r="C63">
        <f>iferror(if(VLOOKUP(B63,P5G5!A:B,2,0)="Group of 5",4,if(A63="Oregon",1,if(B63="Pac12",2,3))),"")</f>
        <v>3</v>
      </c>
      <c r="D63" t="str">
        <f>if(A63="","",if(A63="Oregon","FEE123",iferror(substitute(UPPER(VLOOKUP(B63,'Conf-Color'!A:B,2,0)),"#",""),"")))</f>
        <v>FFCC99</v>
      </c>
    </row>
    <row r="64">
      <c r="A64" t="s">
        <v>197</v>
      </c>
      <c r="B64" t="s">
        <v>407</v>
      </c>
      <c r="C64">
        <f>iferror(if(VLOOKUP(B64,P5G5!A:B,2,0)="Group of 5",4,if(A64="Oregon",1,if(B64="Pac12",2,3))),"")</f>
        <v>3</v>
      </c>
      <c r="D64" t="str">
        <f>if(A64="","",if(A64="Oregon","FEE123",iferror(substitute(UPPER(VLOOKUP(B64,'Conf-Color'!A:B,2,0)),"#",""),"")))</f>
        <v>FFCC99</v>
      </c>
    </row>
    <row r="65">
      <c r="A65" t="s">
        <v>199</v>
      </c>
      <c r="B65" t="s">
        <v>407</v>
      </c>
      <c r="C65">
        <f>iferror(if(VLOOKUP(B65,P5G5!A:B,2,0)="Group of 5",4,if(A65="Oregon",1,if(B65="Pac12",2,3))),"")</f>
        <v>3</v>
      </c>
      <c r="D65" t="str">
        <f>if(A65="","",if(A65="Oregon","FEE123",iferror(substitute(UPPER(VLOOKUP(B65,'Conf-Color'!A:B,2,0)),"#",""),"")))</f>
        <v>FFCC99</v>
      </c>
    </row>
    <row r="66">
      <c r="A66" t="s">
        <v>148</v>
      </c>
      <c r="B66" t="s">
        <v>407</v>
      </c>
      <c r="C66">
        <f>iferror(if(VLOOKUP(B66,P5G5!A:B,2,0)="Group of 5",4,if(A66="Oregon",1,if(B66="Pac12",2,3))),"")</f>
        <v>3</v>
      </c>
      <c r="D66" t="str">
        <f>if(A66="","",if(A66="Oregon","FEE123",iferror(substitute(UPPER(VLOOKUP(B66,'Conf-Color'!A:B,2,0)),"#",""),"")))</f>
        <v>FFCC99</v>
      </c>
    </row>
    <row r="67">
      <c r="A67" t="s">
        <v>235</v>
      </c>
      <c r="B67" t="s">
        <v>535</v>
      </c>
      <c r="C67">
        <f>iferror(if(VLOOKUP(B67,P5G5!A:B,2,0)="Group of 5",4,if(A67="Oregon",1,if(B67="Pac12",2,3))),"")</f>
        <v>3</v>
      </c>
      <c r="D67" t="str">
        <f>if(A67="","",if(A67="Oregon","FEE123",iferror(substitute(UPPER(VLOOKUP(B67,'Conf-Color'!A:B,2,0)),"#",""),"")))</f>
        <v>E1DDCF</v>
      </c>
    </row>
    <row r="68">
      <c r="A68" t="s">
        <v>545</v>
      </c>
      <c r="B68" t="s">
        <v>535</v>
      </c>
      <c r="C68">
        <f>iferror(if(VLOOKUP(B68,P5G5!A:B,2,0)="Group of 5",4,if(A68="Oregon",1,if(B68="Pac12",2,3))),"")</f>
        <v>3</v>
      </c>
      <c r="D68" t="str">
        <f>if(A68="","",if(A68="Oregon","FEE123",iferror(substitute(UPPER(VLOOKUP(B68,'Conf-Color'!A:B,2,0)),"#",""),"")))</f>
        <v>E1DDCF</v>
      </c>
    </row>
    <row r="69">
      <c r="A69" t="s">
        <v>232</v>
      </c>
      <c r="B69" t="s">
        <v>535</v>
      </c>
      <c r="C69">
        <f>iferror(if(VLOOKUP(B69,P5G5!A:B,2,0)="Group of 5",4,if(A69="Oregon",1,if(B69="Pac12",2,3))),"")</f>
        <v>3</v>
      </c>
      <c r="D69" t="str">
        <f>if(A69="","",if(A69="Oregon","FEE123",iferror(substitute(UPPER(VLOOKUP(B69,'Conf-Color'!A:B,2,0)),"#",""),"")))</f>
        <v>E1DDCF</v>
      </c>
    </row>
    <row r="70">
      <c r="A70" t="s">
        <v>233</v>
      </c>
      <c r="B70" t="s">
        <v>535</v>
      </c>
      <c r="C70">
        <f>iferror(if(VLOOKUP(B70,P5G5!A:B,2,0)="Group of 5",4,if(A70="Oregon",1,if(B70="Pac12",2,3))),"")</f>
        <v>3</v>
      </c>
      <c r="D70" t="str">
        <f>if(A70="","",if(A70="Oregon","FEE123",iferror(substitute(UPPER(VLOOKUP(B70,'Conf-Color'!A:B,2,0)),"#",""),"")))</f>
        <v>E1DDCF</v>
      </c>
    </row>
    <row r="71">
      <c r="A71" t="s">
        <v>227</v>
      </c>
      <c r="B71" t="s">
        <v>535</v>
      </c>
      <c r="C71">
        <f>iferror(if(VLOOKUP(B71,P5G5!A:B,2,0)="Group of 5",4,if(A71="Oregon",1,if(B71="Pac12",2,3))),"")</f>
        <v>3</v>
      </c>
      <c r="D71" t="str">
        <f>if(A71="","",if(A71="Oregon","FEE123",iferror(substitute(UPPER(VLOOKUP(B71,'Conf-Color'!A:B,2,0)),"#",""),"")))</f>
        <v>E1DDCF</v>
      </c>
    </row>
    <row r="72">
      <c r="A72" t="s">
        <v>151</v>
      </c>
      <c r="B72" t="s">
        <v>535</v>
      </c>
      <c r="C72">
        <f>iferror(if(VLOOKUP(B72,P5G5!A:B,2,0)="Group of 5",4,if(A72="Oregon",1,if(B72="Pac12",2,3))),"")</f>
        <v>3</v>
      </c>
      <c r="D72" t="str">
        <f>if(A72="","",if(A72="Oregon","FEE123",iferror(substitute(UPPER(VLOOKUP(B72,'Conf-Color'!A:B,2,0)),"#",""),"")))</f>
        <v>E1DDCF</v>
      </c>
    </row>
    <row r="73">
      <c r="A73" t="s">
        <v>153</v>
      </c>
      <c r="B73" t="s">
        <v>535</v>
      </c>
      <c r="C73">
        <f>iferror(if(VLOOKUP(B73,P5G5!A:B,2,0)="Group of 5",4,if(A73="Oregon",1,if(B73="Pac12",2,3))),"")</f>
        <v>3</v>
      </c>
      <c r="D73" t="str">
        <f>if(A73="","",if(A73="Oregon","FEE123",iferror(substitute(UPPER(VLOOKUP(B73,'Conf-Color'!A:B,2,0)),"#",""),"")))</f>
        <v>E1DDCF</v>
      </c>
    </row>
    <row r="74">
      <c r="A74" t="s">
        <v>236</v>
      </c>
      <c r="B74" t="s">
        <v>535</v>
      </c>
      <c r="C74">
        <f>iferror(if(VLOOKUP(B74,P5G5!A:B,2,0)="Group of 5",4,if(A74="Oregon",1,if(B74="Pac12",2,3))),"")</f>
        <v>3</v>
      </c>
      <c r="D74" t="str">
        <f>if(A74="","",if(A74="Oregon","FEE123",iferror(substitute(UPPER(VLOOKUP(B74,'Conf-Color'!A:B,2,0)),"#",""),"")))</f>
        <v>E1DDCF</v>
      </c>
    </row>
    <row r="75">
      <c r="A75" t="s">
        <v>228</v>
      </c>
      <c r="B75" t="s">
        <v>535</v>
      </c>
      <c r="C75">
        <f>iferror(if(VLOOKUP(B75,P5G5!A:B,2,0)="Group of 5",4,if(A75="Oregon",1,if(B75="Pac12",2,3))),"")</f>
        <v>3</v>
      </c>
      <c r="D75" t="str">
        <f>if(A75="","",if(A75="Oregon","FEE123",iferror(substitute(UPPER(VLOOKUP(B75,'Conf-Color'!A:B,2,0)),"#",""),"")))</f>
        <v>E1DDCF</v>
      </c>
    </row>
    <row r="76">
      <c r="A76" t="s">
        <v>234</v>
      </c>
      <c r="B76" t="s">
        <v>535</v>
      </c>
      <c r="C76">
        <f>iferror(if(VLOOKUP(B76,P5G5!A:B,2,0)="Group of 5",4,if(A76="Oregon",1,if(B76="Pac12",2,3))),"")</f>
        <v>3</v>
      </c>
      <c r="D76" t="str">
        <f>if(A76="","",if(A76="Oregon","FEE123",iferror(substitute(UPPER(VLOOKUP(B76,'Conf-Color'!A:B,2,0)),"#",""),"")))</f>
        <v>E1DDCF</v>
      </c>
    </row>
    <row r="77">
      <c r="A77" t="s">
        <v>160</v>
      </c>
      <c r="B77" t="s">
        <v>535</v>
      </c>
      <c r="C77">
        <f>iferror(if(VLOOKUP(B77,P5G5!A:B,2,0)="Group of 5",4,if(A77="Oregon",1,if(B77="Pac12",2,3))),"")</f>
        <v>3</v>
      </c>
      <c r="D77" t="str">
        <f>if(A77="","",if(A77="Oregon","FEE123",iferror(substitute(UPPER(VLOOKUP(B77,'Conf-Color'!A:B,2,0)),"#",""),"")))</f>
        <v>E1DDCF</v>
      </c>
    </row>
    <row r="78">
      <c r="A78" t="s">
        <v>162</v>
      </c>
      <c r="B78" t="s">
        <v>535</v>
      </c>
      <c r="C78">
        <f>iferror(if(VLOOKUP(B78,P5G5!A:B,2,0)="Group of 5",4,if(A78="Oregon",1,if(B78="Pac12",2,3))),"")</f>
        <v>3</v>
      </c>
      <c r="D78" t="str">
        <f>if(A78="","",if(A78="Oregon","FEE123",iferror(substitute(UPPER(VLOOKUP(B78,'Conf-Color'!A:B,2,0)),"#",""),"")))</f>
        <v>E1DDCF</v>
      </c>
    </row>
    <row r="79">
      <c r="A79" t="s">
        <v>164</v>
      </c>
      <c r="B79" t="s">
        <v>530</v>
      </c>
      <c r="C79">
        <f>iferror(if(VLOOKUP(B79,P5G5!A:B,2,0)="Group of 5",4,if(A79="Oregon",1,if(B79="Pac12",2,3))),"")</f>
        <v>3</v>
      </c>
      <c r="D79" t="str">
        <f>if(A79="","",if(A79="Oregon","FEE123",iferror(substitute(UPPER(VLOOKUP(B79,'Conf-Color'!A:B,2,0)),"#",""),"")))</f>
        <v>E1DDCF</v>
      </c>
    </row>
    <row r="80">
      <c r="A80" t="s">
        <v>165</v>
      </c>
      <c r="B80" t="s">
        <v>530</v>
      </c>
      <c r="C80">
        <f>iferror(if(VLOOKUP(B80,P5G5!A:B,2,0)="Group of 5",4,if(A80="Oregon",1,if(B80="Pac12",2,3))),"")</f>
        <v>3</v>
      </c>
      <c r="D80" t="str">
        <f>if(A80="","",if(A80="Oregon","FEE123",iferror(substitute(UPPER(VLOOKUP(B80,'Conf-Color'!A:B,2,0)),"#",""),"")))</f>
        <v>E1DDCF</v>
      </c>
    </row>
    <row r="81">
      <c r="A81" t="s">
        <v>166</v>
      </c>
      <c r="B81" t="s">
        <v>530</v>
      </c>
      <c r="C81">
        <f>iferror(if(VLOOKUP(B81,P5G5!A:B,2,0)="Group of 5",4,if(A81="Oregon",1,if(B81="Pac12",2,3))),"")</f>
        <v>3</v>
      </c>
      <c r="D81" t="str">
        <f>if(A81="","",if(A81="Oregon","FEE123",iferror(substitute(UPPER(VLOOKUP(B81,'Conf-Color'!A:B,2,0)),"#",""),"")))</f>
        <v>E1DDCF</v>
      </c>
    </row>
    <row r="82">
      <c r="A82" t="s">
        <v>167</v>
      </c>
      <c r="B82" t="s">
        <v>530</v>
      </c>
      <c r="C82">
        <f>iferror(if(VLOOKUP(B82,P5G5!A:B,2,0)="Group of 5",4,if(A82="Oregon",1,if(B82="Pac12",2,3))),"")</f>
        <v>3</v>
      </c>
      <c r="D82" t="str">
        <f>if(A82="","",if(A82="Oregon","FEE123",iferror(substitute(UPPER(VLOOKUP(B82,'Conf-Color'!A:B,2,0)),"#",""),"")))</f>
        <v>E1DDCF</v>
      </c>
    </row>
    <row r="83">
      <c r="A83" t="s">
        <v>168</v>
      </c>
      <c r="B83" t="s">
        <v>530</v>
      </c>
      <c r="C83">
        <f>iferror(if(VLOOKUP(B83,P5G5!A:B,2,0)="Group of 5",4,if(A83="Oregon",1,if(B83="Pac12",2,3))),"")</f>
        <v>3</v>
      </c>
      <c r="D83" t="str">
        <f>if(A83="","",if(A83="Oregon","FEE123",iferror(substitute(UPPER(VLOOKUP(B83,'Conf-Color'!A:B,2,0)),"#",""),"")))</f>
        <v>E1DDCF</v>
      </c>
    </row>
    <row r="84">
      <c r="A84" t="s">
        <v>304</v>
      </c>
      <c r="B84" t="s">
        <v>530</v>
      </c>
      <c r="C84">
        <f>iferror(if(VLOOKUP(B84,P5G5!A:B,2,0)="Group of 5",4,if(A84="Oregon",1,if(B84="Pac12",2,3))),"")</f>
        <v>3</v>
      </c>
      <c r="D84" t="str">
        <f>if(A84="","",if(A84="Oregon","FEE123",iferror(substitute(UPPER(VLOOKUP(B84,'Conf-Color'!A:B,2,0)),"#",""),"")))</f>
        <v>E1DDCF</v>
      </c>
    </row>
    <row r="85">
      <c r="A85" t="s">
        <v>170</v>
      </c>
      <c r="B85" t="s">
        <v>530</v>
      </c>
      <c r="C85">
        <f>iferror(if(VLOOKUP(B85,P5G5!A:B,2,0)="Group of 5",4,if(A85="Oregon",1,if(B85="Pac12",2,3))),"")</f>
        <v>3</v>
      </c>
      <c r="D85" t="str">
        <f>if(A85="","",if(A85="Oregon","FEE123",iferror(substitute(UPPER(VLOOKUP(B85,'Conf-Color'!A:B,2,0)),"#",""),"")))</f>
        <v>E1DDCF</v>
      </c>
    </row>
    <row r="86">
      <c r="A86" t="s">
        <v>548</v>
      </c>
      <c r="B86" t="s">
        <v>530</v>
      </c>
      <c r="C86">
        <f>iferror(if(VLOOKUP(B86,P5G5!A:B,2,0)="Group of 5",4,if(A86="Oregon",1,if(B86="Pac12",2,3))),"")</f>
        <v>3</v>
      </c>
      <c r="D86" t="str">
        <f>if(A86="","",if(A86="Oregon","FEE123",iferror(substitute(UPPER(VLOOKUP(B86,'Conf-Color'!A:B,2,0)),"#",""),"")))</f>
        <v>E1DDCF</v>
      </c>
    </row>
    <row r="87">
      <c r="A87" t="s">
        <v>172</v>
      </c>
      <c r="B87" t="s">
        <v>530</v>
      </c>
      <c r="C87">
        <f>iferror(if(VLOOKUP(B87,P5G5!A:B,2,0)="Group of 5",4,if(A87="Oregon",1,if(B87="Pac12",2,3))),"")</f>
        <v>3</v>
      </c>
      <c r="D87" t="str">
        <f>if(A87="","",if(A87="Oregon","FEE123",iferror(substitute(UPPER(VLOOKUP(B87,'Conf-Color'!A:B,2,0)),"#",""),"")))</f>
        <v>E1DDCF</v>
      </c>
    </row>
    <row r="88">
      <c r="A88" t="s">
        <v>173</v>
      </c>
      <c r="B88" t="s">
        <v>530</v>
      </c>
      <c r="C88">
        <f>iferror(if(VLOOKUP(B88,P5G5!A:B,2,0)="Group of 5",4,if(A88="Oregon",1,if(B88="Pac12",2,3))),"")</f>
        <v>3</v>
      </c>
      <c r="D88" t="str">
        <f>if(A88="","",if(A88="Oregon","FEE123",iferror(substitute(UPPER(VLOOKUP(B88,'Conf-Color'!A:B,2,0)),"#",""),"")))</f>
        <v>E1DDCF</v>
      </c>
    </row>
    <row r="89">
      <c r="A89" t="s">
        <v>174</v>
      </c>
      <c r="B89" t="s">
        <v>530</v>
      </c>
      <c r="C89">
        <f>iferror(if(VLOOKUP(B89,P5G5!A:B,2,0)="Group of 5",4,if(A89="Oregon",1,if(B89="Pac12",2,3))),"")</f>
        <v>3</v>
      </c>
      <c r="D89" t="str">
        <f>if(A89="","",if(A89="Oregon","FEE123",iferror(substitute(UPPER(VLOOKUP(B89,'Conf-Color'!A:B,2,0)),"#",""),"")))</f>
        <v>E1DDCF</v>
      </c>
    </row>
    <row r="90">
      <c r="A90" t="s">
        <v>527</v>
      </c>
      <c r="B90" t="s">
        <v>530</v>
      </c>
      <c r="C90">
        <f>iferror(if(VLOOKUP(B90,P5G5!A:B,2,0)="Group of 5",4,if(A90="Oregon",1,if(B90="Pac12",2,3))),"")</f>
        <v>3</v>
      </c>
      <c r="D90" t="str">
        <f>if(A90="","",if(A90="Oregon","FEE123",iferror(substitute(UPPER(VLOOKUP(B90,'Conf-Color'!A:B,2,0)),"#",""),"")))</f>
        <v>E1DDCF</v>
      </c>
    </row>
    <row r="91">
      <c r="A91" t="s">
        <v>175</v>
      </c>
      <c r="B91" t="s">
        <v>530</v>
      </c>
      <c r="C91">
        <f>iferror(if(VLOOKUP(B91,P5G5!A:B,2,0)="Group of 5",4,if(A91="Oregon",1,if(B91="Pac12",2,3))),"")</f>
        <v>3</v>
      </c>
      <c r="D91" t="str">
        <f>if(A91="","",if(A91="Oregon","FEE123",iferror(substitute(UPPER(VLOOKUP(B91,'Conf-Color'!A:B,2,0)),"#",""),"")))</f>
        <v>E1DDCF</v>
      </c>
    </row>
    <row r="92">
      <c r="A92" t="s">
        <v>176</v>
      </c>
      <c r="B92" t="s">
        <v>525</v>
      </c>
      <c r="C92">
        <f>iferror(if(VLOOKUP(B92,P5G5!A:B,2,0)="Group of 5",4,if(A92="Oregon",1,if(B92="Pac12",2,3))),"")</f>
        <v>3</v>
      </c>
      <c r="D92" t="str">
        <f>if(A92="","",if(A92="Oregon","FEE123",iferror(substitute(UPPER(VLOOKUP(B92,'Conf-Color'!A:B,2,0)),"#",""),"")))</f>
        <v>E1DDCF</v>
      </c>
    </row>
    <row r="93">
      <c r="A93" t="s">
        <v>177</v>
      </c>
      <c r="B93" t="s">
        <v>525</v>
      </c>
      <c r="C93">
        <f>iferror(if(VLOOKUP(B93,P5G5!A:B,2,0)="Group of 5",4,if(A93="Oregon",1,if(B93="Pac12",2,3))),"")</f>
        <v>3</v>
      </c>
      <c r="D93" t="str">
        <f>if(A93="","",if(A93="Oregon","FEE123",iferror(substitute(UPPER(VLOOKUP(B93,'Conf-Color'!A:B,2,0)),"#",""),"")))</f>
        <v>E1DDCF</v>
      </c>
    </row>
    <row r="94">
      <c r="A94" t="s">
        <v>178</v>
      </c>
      <c r="B94" t="s">
        <v>525</v>
      </c>
      <c r="C94">
        <f>iferror(if(VLOOKUP(B94,P5G5!A:B,2,0)="Group of 5",4,if(A94="Oregon",1,if(B94="Pac12",2,3))),"")</f>
        <v>3</v>
      </c>
      <c r="D94" t="str">
        <f>if(A94="","",if(A94="Oregon","FEE123",iferror(substitute(UPPER(VLOOKUP(B94,'Conf-Color'!A:B,2,0)),"#",""),"")))</f>
        <v>E1DDCF</v>
      </c>
    </row>
    <row r="95">
      <c r="A95" t="s">
        <v>179</v>
      </c>
      <c r="B95" t="s">
        <v>525</v>
      </c>
      <c r="C95">
        <f>iferror(if(VLOOKUP(B95,P5G5!A:B,2,0)="Group of 5",4,if(A95="Oregon",1,if(B95="Pac12",2,3))),"")</f>
        <v>3</v>
      </c>
      <c r="D95" t="str">
        <f>if(A95="","",if(A95="Oregon","FEE123",iferror(substitute(UPPER(VLOOKUP(B95,'Conf-Color'!A:B,2,0)),"#",""),"")))</f>
        <v>E1DDCF</v>
      </c>
    </row>
    <row r="96">
      <c r="A96" t="s">
        <v>536</v>
      </c>
      <c r="B96" t="s">
        <v>525</v>
      </c>
      <c r="C96">
        <f>iferror(if(VLOOKUP(B96,P5G5!A:B,2,0)="Group of 5",4,if(A96="Oregon",1,if(B96="Pac12",2,3))),"")</f>
        <v>3</v>
      </c>
      <c r="D96" t="str">
        <f>if(A96="","",if(A96="Oregon","FEE123",iferror(substitute(UPPER(VLOOKUP(B96,'Conf-Color'!A:B,2,0)),"#",""),"")))</f>
        <v>E1DDCF</v>
      </c>
    </row>
    <row r="97">
      <c r="A97" t="s">
        <v>181</v>
      </c>
      <c r="B97" t="s">
        <v>525</v>
      </c>
      <c r="C97">
        <f>iferror(if(VLOOKUP(B97,P5G5!A:B,2,0)="Group of 5",4,if(A97="Oregon",1,if(B97="Pac12",2,3))),"")</f>
        <v>3</v>
      </c>
      <c r="D97" t="str">
        <f>if(A97="","",if(A97="Oregon","FEE123",iferror(substitute(UPPER(VLOOKUP(B97,'Conf-Color'!A:B,2,0)),"#",""),"")))</f>
        <v>E1DDCF</v>
      </c>
    </row>
    <row r="98">
      <c r="A98" t="s">
        <v>182</v>
      </c>
      <c r="B98" t="s">
        <v>525</v>
      </c>
      <c r="C98">
        <f>iferror(if(VLOOKUP(B98,P5G5!A:B,2,0)="Group of 5",4,if(A98="Oregon",1,if(B98="Pac12",2,3))),"")</f>
        <v>3</v>
      </c>
      <c r="D98" t="str">
        <f>if(A98="","",if(A98="Oregon","FEE123",iferror(substitute(UPPER(VLOOKUP(B98,'Conf-Color'!A:B,2,0)),"#",""),"")))</f>
        <v>E1DDCF</v>
      </c>
    </row>
    <row r="99">
      <c r="A99" t="s">
        <v>183</v>
      </c>
      <c r="B99" t="s">
        <v>525</v>
      </c>
      <c r="C99">
        <f>iferror(if(VLOOKUP(B99,P5G5!A:B,2,0)="Group of 5",4,if(A99="Oregon",1,if(B99="Pac12",2,3))),"")</f>
        <v>3</v>
      </c>
      <c r="D99" t="str">
        <f>if(A99="","",if(A99="Oregon","FEE123",iferror(substitute(UPPER(VLOOKUP(B99,'Conf-Color'!A:B,2,0)),"#",""),"")))</f>
        <v>E1DDCF</v>
      </c>
    </row>
    <row r="100">
      <c r="A100" t="s">
        <v>549</v>
      </c>
      <c r="B100" t="s">
        <v>525</v>
      </c>
      <c r="C100">
        <f>iferror(if(VLOOKUP(B100,P5G5!A:B,2,0)="Group of 5",4,if(A100="Oregon",1,if(B100="Pac12",2,3))),"")</f>
        <v>3</v>
      </c>
      <c r="D100" t="str">
        <f>if(A100="","",if(A100="Oregon","FEE123",iferror(substitute(UPPER(VLOOKUP(B100,'Conf-Color'!A:B,2,0)),"#",""),"")))</f>
        <v>E1DDCF</v>
      </c>
    </row>
    <row r="101">
      <c r="A101" t="s">
        <v>185</v>
      </c>
      <c r="B101" t="s">
        <v>525</v>
      </c>
      <c r="C101">
        <f>iferror(if(VLOOKUP(B101,P5G5!A:B,2,0)="Group of 5",4,if(A101="Oregon",1,if(B101="Pac12",2,3))),"")</f>
        <v>3</v>
      </c>
      <c r="D101" t="str">
        <f>if(A101="","",if(A101="Oregon","FEE123",iferror(substitute(UPPER(VLOOKUP(B101,'Conf-Color'!A:B,2,0)),"#",""),"")))</f>
        <v>E1DDCF</v>
      </c>
    </row>
    <row r="102">
      <c r="A102" t="s">
        <v>186</v>
      </c>
      <c r="B102" t="s">
        <v>525</v>
      </c>
      <c r="C102">
        <f>iferror(if(VLOOKUP(B102,P5G5!A:B,2,0)="Group of 5",4,if(A102="Oregon",1,if(B102="Pac12",2,3))),"")</f>
        <v>3</v>
      </c>
      <c r="D102" t="str">
        <f>if(A102="","",if(A102="Oregon","FEE123",iferror(substitute(UPPER(VLOOKUP(B102,'Conf-Color'!A:B,2,0)),"#",""),"")))</f>
        <v>E1DDCF</v>
      </c>
    </row>
    <row r="103">
      <c r="A103" t="s">
        <v>187</v>
      </c>
      <c r="B103" t="s">
        <v>525</v>
      </c>
      <c r="C103">
        <f>iferror(if(VLOOKUP(B103,P5G5!A:B,2,0)="Group of 5",4,if(A103="Oregon",1,if(B103="Pac12",2,3))),"")</f>
        <v>3</v>
      </c>
      <c r="D103" t="str">
        <f>if(A103="","",if(A103="Oregon","FEE123",iferror(substitute(UPPER(VLOOKUP(B103,'Conf-Color'!A:B,2,0)),"#",""),"")))</f>
        <v>E1DDCF</v>
      </c>
    </row>
    <row r="104">
      <c r="A104" t="s">
        <v>194</v>
      </c>
      <c r="B104" t="s">
        <v>680</v>
      </c>
      <c r="C104">
        <f>iferror(if(VLOOKUP(B104,P5G5!A:B,2,0)="Group of 5",4,if(A104="Oregon",1,if(B104="Pac12",2,3))),"")</f>
        <v>2</v>
      </c>
      <c r="D104" t="str">
        <f>if(A104="","",if(A104="Oregon","FEE123",iferror(substitute(UPPER(VLOOKUP(B104,'Conf-Color'!A:B,2,0)),"#",""),"")))</f>
        <v>2CEFFF</v>
      </c>
    </row>
    <row r="105">
      <c r="A105" t="s">
        <v>200</v>
      </c>
      <c r="B105" t="s">
        <v>680</v>
      </c>
      <c r="C105">
        <f>iferror(if(VLOOKUP(B105,P5G5!A:B,2,0)="Group of 5",4,if(A105="Oregon",1,if(B105="Pac12",2,3))),"")</f>
        <v>2</v>
      </c>
      <c r="D105" t="str">
        <f>if(A105="","",if(A105="Oregon","FEE123",iferror(substitute(UPPER(VLOOKUP(B105,'Conf-Color'!A:B,2,0)),"#",""),"")))</f>
        <v>2CEFFF</v>
      </c>
    </row>
    <row r="106">
      <c r="A106" t="s">
        <v>201</v>
      </c>
      <c r="B106" t="s">
        <v>556</v>
      </c>
      <c r="C106">
        <f>iferror(if(VLOOKUP(B106,P5G5!A:B,2,0)="Group of 5",4,if(A106="Oregon",1,if(B106="Pac12",2,3))),"")</f>
        <v>3</v>
      </c>
      <c r="D106" t="str">
        <f>if(A106="","",if(A106="Oregon","FEE123",iferror(substitute(UPPER(VLOOKUP(B106,'Conf-Color'!A:B,2,0)),"#",""),"")))</f>
        <v>FFCC99</v>
      </c>
    </row>
    <row r="107">
      <c r="A107" t="s">
        <v>202</v>
      </c>
      <c r="B107" t="s">
        <v>556</v>
      </c>
      <c r="C107">
        <f>iferror(if(VLOOKUP(B107,P5G5!A:B,2,0)="Group of 5",4,if(A107="Oregon",1,if(B107="Pac12",2,3))),"")</f>
        <v>3</v>
      </c>
      <c r="D107" t="str">
        <f>if(A107="","",if(A107="Oregon","FEE123",iferror(substitute(UPPER(VLOOKUP(B107,'Conf-Color'!A:B,2,0)),"#",""),"")))</f>
        <v>FFCC99</v>
      </c>
    </row>
    <row r="108">
      <c r="A108" t="s">
        <v>45</v>
      </c>
      <c r="B108" t="s">
        <v>556</v>
      </c>
      <c r="C108">
        <f>iferror(if(VLOOKUP(B108,P5G5!A:B,2,0)="Group of 5",4,if(A108="Oregon",1,if(B108="Pac12",2,3))),"")</f>
        <v>3</v>
      </c>
      <c r="D108" t="str">
        <f>if(A108="","",if(A108="Oregon","FEE123",iferror(substitute(UPPER(VLOOKUP(B108,'Conf-Color'!A:B,2,0)),"#",""),"")))</f>
        <v>FFCC99</v>
      </c>
    </row>
    <row r="109">
      <c r="A109" t="s">
        <v>203</v>
      </c>
      <c r="B109" t="s">
        <v>556</v>
      </c>
      <c r="C109">
        <f>iferror(if(VLOOKUP(B109,P5G5!A:B,2,0)="Group of 5",4,if(A109="Oregon",1,if(B109="Pac12",2,3))),"")</f>
        <v>3</v>
      </c>
      <c r="D109" t="str">
        <f>if(A109="","",if(A109="Oregon","FEE123",iferror(substitute(UPPER(VLOOKUP(B109,'Conf-Color'!A:B,2,0)),"#",""),"")))</f>
        <v>FFCC99</v>
      </c>
    </row>
    <row r="110">
      <c r="A110" t="s">
        <v>204</v>
      </c>
      <c r="B110" t="s">
        <v>556</v>
      </c>
      <c r="C110">
        <f>iferror(if(VLOOKUP(B110,P5G5!A:B,2,0)="Group of 5",4,if(A110="Oregon",1,if(B110="Pac12",2,3))),"")</f>
        <v>3</v>
      </c>
      <c r="D110" t="str">
        <f>if(A110="","",if(A110="Oregon","FEE123",iferror(substitute(UPPER(VLOOKUP(B110,'Conf-Color'!A:B,2,0)),"#",""),"")))</f>
        <v>FFCC99</v>
      </c>
    </row>
    <row r="111">
      <c r="A111" t="s">
        <v>205</v>
      </c>
      <c r="B111" t="s">
        <v>556</v>
      </c>
      <c r="C111">
        <f>iferror(if(VLOOKUP(B111,P5G5!A:B,2,0)="Group of 5",4,if(A111="Oregon",1,if(B111="Pac12",2,3))),"")</f>
        <v>3</v>
      </c>
      <c r="D111" t="str">
        <f>if(A111="","",if(A111="Oregon","FEE123",iferror(substitute(UPPER(VLOOKUP(B111,'Conf-Color'!A:B,2,0)),"#",""),"")))</f>
        <v>FFCC99</v>
      </c>
    </row>
    <row r="112">
      <c r="A112" t="s">
        <v>206</v>
      </c>
      <c r="B112" t="s">
        <v>556</v>
      </c>
      <c r="C112">
        <f>iferror(if(VLOOKUP(B112,P5G5!A:B,2,0)="Group of 5",4,if(A112="Oregon",1,if(B112="Pac12",2,3))),"")</f>
        <v>3</v>
      </c>
      <c r="D112" t="str">
        <f>if(A112="","",if(A112="Oregon","FEE123",iferror(substitute(UPPER(VLOOKUP(B112,'Conf-Color'!A:B,2,0)),"#",""),"")))</f>
        <v>FFCC99</v>
      </c>
    </row>
    <row r="113">
      <c r="A113" t="s">
        <v>207</v>
      </c>
      <c r="B113" t="s">
        <v>556</v>
      </c>
      <c r="C113">
        <f>iferror(if(VLOOKUP(B113,P5G5!A:B,2,0)="Group of 5",4,if(A113="Oregon",1,if(B113="Pac12",2,3))),"")</f>
        <v>3</v>
      </c>
      <c r="D113" t="str">
        <f>if(A113="","",if(A113="Oregon","FEE123",iferror(substitute(UPPER(VLOOKUP(B113,'Conf-Color'!A:B,2,0)),"#",""),"")))</f>
        <v>FFCC99</v>
      </c>
    </row>
    <row r="114">
      <c r="A114" t="s">
        <v>208</v>
      </c>
      <c r="B114" t="s">
        <v>556</v>
      </c>
      <c r="C114">
        <f>iferror(if(VLOOKUP(B114,P5G5!A:B,2,0)="Group of 5",4,if(A114="Oregon",1,if(B114="Pac12",2,3))),"")</f>
        <v>3</v>
      </c>
      <c r="D114" t="str">
        <f>if(A114="","",if(A114="Oregon","FEE123",iferror(substitute(UPPER(VLOOKUP(B114,'Conf-Color'!A:B,2,0)),"#",""),"")))</f>
        <v>FFCC99</v>
      </c>
    </row>
    <row r="115">
      <c r="A115" t="s">
        <v>128</v>
      </c>
      <c r="B115" t="s">
        <v>556</v>
      </c>
      <c r="C115">
        <f>iferror(if(VLOOKUP(B115,P5G5!A:B,2,0)="Group of 5",4,if(A115="Oregon",1,if(B115="Pac12",2,3))),"")</f>
        <v>3</v>
      </c>
      <c r="D115" t="str">
        <f>if(A115="","",if(A115="Oregon","FEE123",iferror(substitute(UPPER(VLOOKUP(B115,'Conf-Color'!A:B,2,0)),"#",""),"")))</f>
        <v>FFCC99</v>
      </c>
    </row>
    <row r="116">
      <c r="A116" t="s">
        <v>209</v>
      </c>
      <c r="B116" t="s">
        <v>556</v>
      </c>
      <c r="C116">
        <f>iferror(if(VLOOKUP(B116,P5G5!A:B,2,0)="Group of 5",4,if(A116="Oregon",1,if(B116="Pac12",2,3))),"")</f>
        <v>3</v>
      </c>
      <c r="D116" t="str">
        <f>if(A116="","",if(A116="Oregon","FEE123",iferror(substitute(UPPER(VLOOKUP(B116,'Conf-Color'!A:B,2,0)),"#",""),"")))</f>
        <v>FFCC99</v>
      </c>
    </row>
    <row r="117">
      <c r="A117" t="s">
        <v>210</v>
      </c>
      <c r="B117" t="s">
        <v>556</v>
      </c>
      <c r="C117">
        <f>iferror(if(VLOOKUP(B117,P5G5!A:B,2,0)="Group of 5",4,if(A117="Oregon",1,if(B117="Pac12",2,3))),"")</f>
        <v>3</v>
      </c>
      <c r="D117" t="str">
        <f>if(A117="","",if(A117="Oregon","FEE123",iferror(substitute(UPPER(VLOOKUP(B117,'Conf-Color'!A:B,2,0)),"#",""),"")))</f>
        <v>FFCC99</v>
      </c>
    </row>
    <row r="118">
      <c r="A118" t="s">
        <v>211</v>
      </c>
      <c r="B118" t="s">
        <v>556</v>
      </c>
      <c r="C118">
        <f>iferror(if(VLOOKUP(B118,P5G5!A:B,2,0)="Group of 5",4,if(A118="Oregon",1,if(B118="Pac12",2,3))),"")</f>
        <v>3</v>
      </c>
      <c r="D118" t="str">
        <f>if(A118="","",if(A118="Oregon","FEE123",iferror(substitute(UPPER(VLOOKUP(B118,'Conf-Color'!A:B,2,0)),"#",""),"")))</f>
        <v>FFCC99</v>
      </c>
    </row>
    <row r="119">
      <c r="A119" t="s">
        <v>131</v>
      </c>
      <c r="B119" t="s">
        <v>556</v>
      </c>
      <c r="C119">
        <f>iferror(if(VLOOKUP(B119,P5G5!A:B,2,0)="Group of 5",4,if(A119="Oregon",1,if(B119="Pac12",2,3))),"")</f>
        <v>3</v>
      </c>
      <c r="D119" t="str">
        <f>if(A119="","",if(A119="Oregon","FEE123",iferror(substitute(UPPER(VLOOKUP(B119,'Conf-Color'!A:B,2,0)),"#",""),"")))</f>
        <v>FFCC99</v>
      </c>
    </row>
    <row r="120">
      <c r="A120" t="s">
        <v>539</v>
      </c>
      <c r="B120" t="s">
        <v>556</v>
      </c>
      <c r="C120">
        <f>iferror(if(VLOOKUP(B120,P5G5!A:B,2,0)="Group of 5",4,if(A120="Oregon",1,if(B120="Pac12",2,3))),"")</f>
        <v>3</v>
      </c>
      <c r="D120" t="str">
        <f>if(A120="","",if(A120="Oregon","FEE123",iferror(substitute(UPPER(VLOOKUP(B120,'Conf-Color'!A:B,2,0)),"#",""),"")))</f>
        <v>FFCC99</v>
      </c>
    </row>
    <row r="121">
      <c r="A121" t="s">
        <v>213</v>
      </c>
      <c r="B121" t="s">
        <v>556</v>
      </c>
      <c r="C121">
        <f>iferror(if(VLOOKUP(B121,P5G5!A:B,2,0)="Group of 5",4,if(A121="Oregon",1,if(B121="Pac12",2,3))),"")</f>
        <v>3</v>
      </c>
      <c r="D121" t="str">
        <f>if(A121="","",if(A121="Oregon","FEE123",iferror(substitute(UPPER(VLOOKUP(B121,'Conf-Color'!A:B,2,0)),"#",""),"")))</f>
        <v>FFCC99</v>
      </c>
    </row>
    <row r="122">
      <c r="A122" t="s">
        <v>422</v>
      </c>
      <c r="B122" t="s">
        <v>441</v>
      </c>
      <c r="C122">
        <f>iferror(if(VLOOKUP(B122,P5G5!A:B,2,0)="Group of 5",4,if(A122="Oregon",1,if(B122="Pac12",2,3))),"")</f>
        <v>3</v>
      </c>
      <c r="D122" t="str">
        <f>if(A122="","",if(A122="Oregon","FEE123",iferror(substitute(UPPER(VLOOKUP(B122,'Conf-Color'!A:B,2,0)),"#",""),"")))</f>
        <v>E1DDCF</v>
      </c>
    </row>
    <row r="123">
      <c r="A123" t="s">
        <v>215</v>
      </c>
      <c r="B123" t="s">
        <v>441</v>
      </c>
      <c r="C123">
        <f>iferror(if(VLOOKUP(B123,P5G5!A:B,2,0)="Group of 5",4,if(A123="Oregon",1,if(B123="Pac12",2,3))),"")</f>
        <v>3</v>
      </c>
      <c r="D123" t="str">
        <f>if(A123="","",if(A123="Oregon","FEE123",iferror(substitute(UPPER(VLOOKUP(B123,'Conf-Color'!A:B,2,0)),"#",""),"")))</f>
        <v>E1DDCF</v>
      </c>
    </row>
    <row r="124">
      <c r="A124" t="s">
        <v>223</v>
      </c>
      <c r="B124" t="s">
        <v>441</v>
      </c>
      <c r="C124">
        <f>iferror(if(VLOOKUP(B124,P5G5!A:B,2,0)="Group of 5",4,if(A124="Oregon",1,if(B124="Pac12",2,3))),"")</f>
        <v>3</v>
      </c>
      <c r="D124" t="str">
        <f>if(A124="","",if(A124="Oregon","FEE123",iferror(substitute(UPPER(VLOOKUP(B124,'Conf-Color'!A:B,2,0)),"#",""),"")))</f>
        <v>E1DDCF</v>
      </c>
    </row>
    <row r="125">
      <c r="A125" t="s">
        <v>216</v>
      </c>
      <c r="B125" t="s">
        <v>441</v>
      </c>
      <c r="C125">
        <f>iferror(if(VLOOKUP(B125,P5G5!A:B,2,0)="Group of 5",4,if(A125="Oregon",1,if(B125="Pac12",2,3))),"")</f>
        <v>3</v>
      </c>
      <c r="D125" t="str">
        <f>if(A125="","",if(A125="Oregon","FEE123",iferror(substitute(UPPER(VLOOKUP(B125,'Conf-Color'!A:B,2,0)),"#",""),"")))</f>
        <v>E1DDCF</v>
      </c>
    </row>
    <row r="126">
      <c r="A126" t="s">
        <v>217</v>
      </c>
      <c r="B126" t="s">
        <v>441</v>
      </c>
      <c r="C126">
        <f>iferror(if(VLOOKUP(B126,P5G5!A:B,2,0)="Group of 5",4,if(A126="Oregon",1,if(B126="Pac12",2,3))),"")</f>
        <v>3</v>
      </c>
      <c r="D126" t="str">
        <f>if(A126="","",if(A126="Oregon","FEE123",iferror(substitute(UPPER(VLOOKUP(B126,'Conf-Color'!A:B,2,0)),"#",""),"")))</f>
        <v>E1DDCF</v>
      </c>
    </row>
    <row r="127">
      <c r="A127" t="s">
        <v>231</v>
      </c>
      <c r="B127" t="s">
        <v>441</v>
      </c>
      <c r="C127">
        <f>iferror(if(VLOOKUP(B127,P5G5!A:B,2,0)="Group of 5",4,if(A127="Oregon",1,if(B127="Pac12",2,3))),"")</f>
        <v>3</v>
      </c>
      <c r="D127" t="str">
        <f>if(A127="","",if(A127="Oregon","FEE123",iferror(substitute(UPPER(VLOOKUP(B127,'Conf-Color'!A:B,2,0)),"#",""),"")))</f>
        <v>E1DDCF</v>
      </c>
    </row>
    <row r="128">
      <c r="A128" t="s">
        <v>152</v>
      </c>
      <c r="B128" t="s">
        <v>441</v>
      </c>
      <c r="C128">
        <f>iferror(if(VLOOKUP(B128,P5G5!A:B,2,0)="Group of 5",4,if(A128="Oregon",1,if(B128="Pac12",2,3))),"")</f>
        <v>3</v>
      </c>
      <c r="D128" t="str">
        <f>if(A128="","",if(A128="Oregon","FEE123",iferror(substitute(UPPER(VLOOKUP(B128,'Conf-Color'!A:B,2,0)),"#",""),"")))</f>
        <v>E1DDCF</v>
      </c>
    </row>
    <row r="129">
      <c r="A129" t="s">
        <v>155</v>
      </c>
      <c r="B129" t="s">
        <v>441</v>
      </c>
      <c r="C129">
        <f>iferror(if(VLOOKUP(B129,P5G5!A:B,2,0)="Group of 5",4,if(A129="Oregon",1,if(B129="Pac12",2,3))),"")</f>
        <v>3</v>
      </c>
      <c r="D129" t="str">
        <f>if(A129="","",if(A129="Oregon","FEE123",iferror(substitute(UPPER(VLOOKUP(B129,'Conf-Color'!A:B,2,0)),"#",""),"")))</f>
        <v>E1DDCF</v>
      </c>
    </row>
    <row r="130">
      <c r="A130" t="s">
        <v>220</v>
      </c>
      <c r="B130" t="s">
        <v>441</v>
      </c>
      <c r="C130">
        <f>iferror(if(VLOOKUP(B130,P5G5!A:B,2,0)="Group of 5",4,if(A130="Oregon",1,if(B130="Pac12",2,3))),"")</f>
        <v>3</v>
      </c>
      <c r="D130" t="str">
        <f>if(A130="","",if(A130="Oregon","FEE123",iferror(substitute(UPPER(VLOOKUP(B130,'Conf-Color'!A:B,2,0)),"#",""),"")))</f>
        <v>E1DDCF</v>
      </c>
    </row>
    <row r="131">
      <c r="A131" t="s">
        <v>546</v>
      </c>
      <c r="B131" t="s">
        <v>441</v>
      </c>
      <c r="C131">
        <f>iferror(if(VLOOKUP(B131,P5G5!A:B,2,0)="Group of 5",4,if(A131="Oregon",1,if(B131="Pac12",2,3))),"")</f>
        <v>3</v>
      </c>
      <c r="D131" t="str">
        <f>if(A131="","",if(A131="Oregon","FEE123",iferror(substitute(UPPER(VLOOKUP(B131,'Conf-Color'!A:B,2,0)),"#",""),"")))</f>
        <v>E1DDCF</v>
      </c>
    </row>
    <row r="132">
      <c r="A132" t="s">
        <v>221</v>
      </c>
      <c r="B132" t="s">
        <v>441</v>
      </c>
      <c r="C132">
        <f>iferror(if(VLOOKUP(B132,P5G5!A:B,2,0)="Group of 5",4,if(A132="Oregon",1,if(B132="Pac12",2,3))),"")</f>
        <v>3</v>
      </c>
      <c r="D132" t="str">
        <f>if(A132="","",if(A132="Oregon","FEE123",iferror(substitute(UPPER(VLOOKUP(B132,'Conf-Color'!A:B,2,0)),"#",""),"")))</f>
        <v>E1DDCF</v>
      </c>
    </row>
    <row r="133">
      <c r="A133" t="s">
        <v>222</v>
      </c>
      <c r="B133" t="s">
        <v>441</v>
      </c>
      <c r="C133">
        <f>iferror(if(VLOOKUP(B133,P5G5!A:B,2,0)="Group of 5",4,if(A133="Oregon",1,if(B133="Pac12",2,3))),"")</f>
        <v>3</v>
      </c>
      <c r="D133" t="str">
        <f>if(A133="","",if(A133="Oregon","FEE123",iferror(substitute(UPPER(VLOOKUP(B133,'Conf-Color'!A:B,2,0)),"#",""),"")))</f>
        <v>E1DDCF</v>
      </c>
    </row>
    <row r="134">
      <c r="A134" t="s">
        <v>552</v>
      </c>
      <c r="B134" t="s">
        <v>441</v>
      </c>
      <c r="C134">
        <f>iferror(if(VLOOKUP(B134,P5G5!A:B,2,0)="Group of 5",4,if(A134="Oregon",1,if(B134="Pac12",2,3))),"")</f>
        <v>3</v>
      </c>
      <c r="D134" t="str">
        <f>if(A134="","",if(A134="Oregon","FEE123",iferror(substitute(UPPER(VLOOKUP(B134,'Conf-Color'!A:B,2,0)),"#",""),"")))</f>
        <v>E1DDCF</v>
      </c>
    </row>
    <row r="135">
      <c r="A135" t="s">
        <v>219</v>
      </c>
      <c r="B135" t="s">
        <v>441</v>
      </c>
      <c r="C135">
        <f>iferror(if(VLOOKUP(B135,P5G5!A:B,2,0)="Group of 5",4,if(A135="Oregon",1,if(B135="Pac12",2,3))),"")</f>
        <v>3</v>
      </c>
      <c r="D135" t="str">
        <f>if(A135="","",if(A135="Oregon","FEE123",iferror(substitute(UPPER(VLOOKUP(B135,'Conf-Color'!A:B,2,0)),"#",""),"")))</f>
        <v>E1DDCF</v>
      </c>
    </row>
    <row r="136">
      <c r="A136" t="s">
        <v>229</v>
      </c>
      <c r="B136" t="s">
        <v>1807</v>
      </c>
      <c r="C136">
        <f>iferror(if(VLOOKUP(B136,P5G5!A:B,2,0)="Group of 5",4,if(A136="Oregon",1,if(B136="Pac12",2,3))),"")</f>
        <v>3</v>
      </c>
      <c r="D136" t="str">
        <f>if(A136="","",if(A136="Oregon","FEE123",iferror(substitute(UPPER(VLOOKUP(B136,'Conf-Color'!A:B,2,0)),"#",""),"")))</f>
        <v>E1DDCF</v>
      </c>
    </row>
    <row r="137">
      <c r="A137" t="s">
        <v>99</v>
      </c>
      <c r="B137" t="s">
        <v>1807</v>
      </c>
      <c r="C137">
        <f>iferror(if(VLOOKUP(B137,P5G5!A:B,2,0)="Group of 5",4,if(A137="Oregon",1,if(B137="Pac12",2,3))),"")</f>
        <v>3</v>
      </c>
      <c r="D137" t="str">
        <f>if(A137="","",if(A137="Oregon","FEE123",iferror(substitute(UPPER(VLOOKUP(B137,'Conf-Color'!A:B,2,0)),"#",""),"")))</f>
        <v>E1DDCF</v>
      </c>
    </row>
    <row r="138">
      <c r="C138" t="str">
        <f>iferror(if(VLOOKUP(B138,P5G5!A:B,2,0)="Group of 5",4,if(A138="Oregon",1,if(B138="Pac12",2,3))),"")</f>
        <v/>
      </c>
      <c r="D138" t="str">
        <f>if(A138="","",if(A138="Oregon","FEE123",iferror(substitute(UPPER(VLOOKUP(B138,'Conf-Color'!A:B,2,0)),"#",""),"")))</f>
        <v/>
      </c>
    </row>
    <row r="139">
      <c r="C139" t="str">
        <f>iferror(if(VLOOKUP(B139,P5G5!A:B,2,0)="Group of 5",4,if(A139="Oregon",1,if(B139="Pac12",2,3))),"")</f>
        <v/>
      </c>
      <c r="D139" t="str">
        <f>if(A139="","",if(A139="Oregon","FEE123",iferror(substitute(UPPER(VLOOKUP(B139,'Conf-Color'!A:B,2,0)),"#",""),"")))</f>
        <v/>
      </c>
    </row>
    <row r="140">
      <c r="C140" t="str">
        <f>iferror(if(VLOOKUP(B140,P5G5!A:B,2,0)="Group of 5",4,if(A140="Oregon",1,if(B140="Pac12",2,3))),"")</f>
        <v/>
      </c>
      <c r="D140" t="str">
        <f>if(A140="","",if(A140="Oregon","FEE123",iferror(substitute(UPPER(VLOOKUP(B140,'Conf-Color'!A:B,2,0)),"#",""),"")))</f>
        <v/>
      </c>
    </row>
    <row r="141">
      <c r="C141" t="str">
        <f>iferror(if(VLOOKUP(B141,P5G5!A:B,2,0)="Group of 5",4,if(A141="Oregon",1,if(B141="Pac12",2,3))),"")</f>
        <v/>
      </c>
      <c r="D141" t="str">
        <f>if(A141="","",if(A141="Oregon","FEE123",iferror(substitute(UPPER(VLOOKUP(B141,'Conf-Color'!A:B,2,0)),"#",""),"")))</f>
        <v/>
      </c>
    </row>
    <row r="142">
      <c r="C142" t="str">
        <f>iferror(if(VLOOKUP(B142,P5G5!A:B,2,0)="Group of 5",4,if(A142="Oregon",1,if(B142="Pac12",2,3))),"")</f>
        <v/>
      </c>
      <c r="D142" t="str">
        <f>if(A142="","",if(A142="Oregon","FEE123",iferror(substitute(UPPER(VLOOKUP(B142,'Conf-Color'!A:B,2,0)),"#",""),"")))</f>
        <v/>
      </c>
    </row>
  </sheetData>
  <autoFilter ref="$A$1:$D$142">
    <sortState ref="A1:D142">
      <sortCondition ref="B1:B142"/>
      <sortCondition ref="A1:A142"/>
    </sortState>
  </autoFil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891</v>
      </c>
      <c r="B1" s="1" t="s">
        <v>2059</v>
      </c>
    </row>
    <row r="2">
      <c r="A2" s="203" t="s">
        <v>939</v>
      </c>
      <c r="B2" s="203">
        <v>1.0</v>
      </c>
    </row>
    <row r="3">
      <c r="A3" s="203" t="s">
        <v>977</v>
      </c>
      <c r="B3" s="1">
        <v>2.0</v>
      </c>
    </row>
    <row r="4">
      <c r="A4" s="1" t="s">
        <v>2060</v>
      </c>
      <c r="B4" s="1">
        <v>2.0</v>
      </c>
    </row>
    <row r="5">
      <c r="A5" s="203" t="s">
        <v>969</v>
      </c>
      <c r="B5" s="1">
        <v>3.0</v>
      </c>
    </row>
    <row r="6">
      <c r="A6" s="1" t="s">
        <v>983</v>
      </c>
      <c r="B6" s="1">
        <v>4.0</v>
      </c>
    </row>
    <row r="7">
      <c r="A7" s="203" t="s">
        <v>948</v>
      </c>
      <c r="B7" s="1">
        <v>5.0</v>
      </c>
    </row>
    <row r="8">
      <c r="A8" s="203" t="s">
        <v>933</v>
      </c>
      <c r="B8" s="1">
        <v>6.0</v>
      </c>
    </row>
    <row r="9">
      <c r="A9" s="1" t="s">
        <v>2061</v>
      </c>
      <c r="B9" s="1">
        <v>6.0</v>
      </c>
    </row>
    <row r="10">
      <c r="A10" s="203" t="s">
        <v>929</v>
      </c>
      <c r="B10" s="203">
        <v>7.0</v>
      </c>
    </row>
    <row r="11">
      <c r="A11" s="203" t="s">
        <v>924</v>
      </c>
      <c r="B11" s="1">
        <v>8.0</v>
      </c>
    </row>
    <row r="12">
      <c r="A12" s="203" t="s">
        <v>2062</v>
      </c>
      <c r="B12" s="1">
        <v>9.0</v>
      </c>
    </row>
    <row r="13">
      <c r="A13" s="254" t="s">
        <v>974</v>
      </c>
      <c r="B13" s="1">
        <v>9.0</v>
      </c>
    </row>
    <row r="14">
      <c r="A14" s="1" t="s">
        <v>991</v>
      </c>
      <c r="B14" s="1">
        <v>9.0</v>
      </c>
    </row>
    <row r="15">
      <c r="A15" s="1" t="s">
        <v>952</v>
      </c>
      <c r="B15" s="1">
        <v>10.0</v>
      </c>
    </row>
    <row r="16">
      <c r="A16" s="203" t="s">
        <v>926</v>
      </c>
      <c r="B16" s="1">
        <v>11.0</v>
      </c>
    </row>
    <row r="17">
      <c r="A17" s="254" t="s">
        <v>2063</v>
      </c>
      <c r="B17" s="1">
        <v>14.0</v>
      </c>
    </row>
    <row r="18">
      <c r="A18" s="203" t="s">
        <v>943</v>
      </c>
      <c r="B18" s="1">
        <v>12.0</v>
      </c>
    </row>
    <row r="19">
      <c r="A19" s="1" t="s">
        <v>962</v>
      </c>
      <c r="B19" s="1">
        <v>12.0</v>
      </c>
    </row>
    <row r="20">
      <c r="A20" s="1" t="s">
        <v>2064</v>
      </c>
      <c r="B20" s="1">
        <v>13.0</v>
      </c>
    </row>
    <row r="21">
      <c r="A21" s="254" t="s">
        <v>2065</v>
      </c>
      <c r="B21" s="1">
        <v>13.0</v>
      </c>
    </row>
    <row r="22">
      <c r="A22" s="1" t="s">
        <v>2066</v>
      </c>
      <c r="B22" s="1">
        <v>13.0</v>
      </c>
    </row>
    <row r="23">
      <c r="A23" s="203" t="s">
        <v>2067</v>
      </c>
      <c r="B23" s="1">
        <v>14.0</v>
      </c>
    </row>
    <row r="24">
      <c r="A24" s="1" t="s">
        <v>2068</v>
      </c>
      <c r="B24" s="1">
        <v>14.0</v>
      </c>
    </row>
    <row r="25">
      <c r="A25" s="1" t="s">
        <v>2069</v>
      </c>
      <c r="B25" s="1">
        <v>14.0</v>
      </c>
    </row>
    <row r="26">
      <c r="A26" s="1" t="s">
        <v>2070</v>
      </c>
      <c r="B26" s="1">
        <v>15.0</v>
      </c>
    </row>
    <row r="27">
      <c r="A27" s="203" t="s">
        <v>2071</v>
      </c>
      <c r="B27" s="1">
        <v>15.0</v>
      </c>
    </row>
    <row r="28">
      <c r="A28" s="203" t="s">
        <v>2058</v>
      </c>
      <c r="B28" s="1">
        <v>15.0</v>
      </c>
    </row>
    <row r="29">
      <c r="A29" s="1" t="s">
        <v>2072</v>
      </c>
      <c r="B29" s="1">
        <v>15.0</v>
      </c>
    </row>
    <row r="30">
      <c r="A30" s="254" t="s">
        <v>2073</v>
      </c>
      <c r="B30" s="1">
        <v>16.0</v>
      </c>
    </row>
    <row r="31">
      <c r="A31" s="1" t="s">
        <v>920</v>
      </c>
      <c r="B31" s="1">
        <v>16.0</v>
      </c>
    </row>
    <row r="32">
      <c r="A32" s="203" t="s">
        <v>2074</v>
      </c>
      <c r="B32" s="1">
        <v>16.0</v>
      </c>
    </row>
    <row r="33">
      <c r="A33" s="1" t="s">
        <v>2075</v>
      </c>
      <c r="B33" s="1">
        <v>16.0</v>
      </c>
    </row>
    <row r="34">
      <c r="A34" s="203" t="s">
        <v>2076</v>
      </c>
      <c r="B34" s="1">
        <v>16.0</v>
      </c>
    </row>
    <row r="35">
      <c r="A35" s="1" t="s">
        <v>931</v>
      </c>
      <c r="B35" s="1">
        <v>17.0</v>
      </c>
    </row>
    <row r="36">
      <c r="A36" s="1" t="s">
        <v>2077</v>
      </c>
      <c r="B36" s="1">
        <v>99.0</v>
      </c>
    </row>
    <row r="37">
      <c r="A37" s="203" t="s">
        <v>2078</v>
      </c>
      <c r="B37" s="203">
        <v>99.0</v>
      </c>
    </row>
    <row r="38">
      <c r="A38" s="1" t="s">
        <v>2079</v>
      </c>
      <c r="B38" s="1">
        <v>99.0</v>
      </c>
    </row>
    <row r="39">
      <c r="A39" s="1" t="s">
        <v>2080</v>
      </c>
      <c r="B39" s="1">
        <v>99.0</v>
      </c>
    </row>
    <row r="40">
      <c r="A40" s="203" t="s">
        <v>2081</v>
      </c>
      <c r="B40" s="203">
        <v>99.0</v>
      </c>
    </row>
    <row r="41">
      <c r="A41" s="203" t="s">
        <v>2082</v>
      </c>
      <c r="B41" s="203">
        <v>99.0</v>
      </c>
    </row>
    <row r="42">
      <c r="A42" s="203" t="s">
        <v>2083</v>
      </c>
      <c r="B42" s="203">
        <v>999.0</v>
      </c>
    </row>
  </sheetData>
  <autoFilter ref="$A$1:$B$42">
    <sortState ref="A1:B42">
      <sortCondition ref="B1:B42"/>
      <sortCondition ref="A1:A42"/>
    </sortState>
  </autoFil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C137">'team colors'!A:C</f>
        <v>Team</v>
      </c>
      <c r="B1" t="s">
        <v>1823</v>
      </c>
      <c r="C1" t="s">
        <v>1824</v>
      </c>
    </row>
    <row r="2">
      <c r="A2" t="s">
        <v>176</v>
      </c>
      <c r="B2" t="s">
        <v>1825</v>
      </c>
      <c r="C2" t="s">
        <v>1826</v>
      </c>
    </row>
    <row r="3">
      <c r="A3" t="s">
        <v>164</v>
      </c>
      <c r="B3" t="s">
        <v>1827</v>
      </c>
      <c r="C3" t="s">
        <v>1828</v>
      </c>
    </row>
    <row r="4">
      <c r="A4" t="s">
        <v>201</v>
      </c>
      <c r="B4" t="s">
        <v>1829</v>
      </c>
      <c r="C4" t="s">
        <v>1830</v>
      </c>
    </row>
    <row r="5">
      <c r="A5" t="s">
        <v>422</v>
      </c>
      <c r="B5" t="s">
        <v>1831</v>
      </c>
      <c r="C5" t="s">
        <v>1832</v>
      </c>
    </row>
    <row r="6">
      <c r="A6" t="s">
        <v>188</v>
      </c>
      <c r="B6" t="s">
        <v>1833</v>
      </c>
      <c r="C6" t="s">
        <v>1834</v>
      </c>
    </row>
    <row r="7">
      <c r="A7" t="s">
        <v>189</v>
      </c>
      <c r="B7" t="s">
        <v>1835</v>
      </c>
      <c r="C7" t="s">
        <v>1836</v>
      </c>
    </row>
    <row r="8">
      <c r="A8" t="s">
        <v>202</v>
      </c>
      <c r="B8" t="s">
        <v>1829</v>
      </c>
      <c r="C8" t="s">
        <v>1830</v>
      </c>
    </row>
    <row r="9">
      <c r="A9" t="s">
        <v>215</v>
      </c>
      <c r="B9" t="s">
        <v>1837</v>
      </c>
      <c r="C9" t="s">
        <v>1832</v>
      </c>
    </row>
    <row r="10">
      <c r="A10" t="s">
        <v>225</v>
      </c>
      <c r="B10" t="s">
        <v>1838</v>
      </c>
      <c r="C10" t="s">
        <v>1832</v>
      </c>
    </row>
    <row r="11">
      <c r="A11" t="s">
        <v>45</v>
      </c>
      <c r="B11" t="s">
        <v>1840</v>
      </c>
      <c r="C11" t="s">
        <v>1841</v>
      </c>
    </row>
    <row r="12">
      <c r="A12" t="s">
        <v>165</v>
      </c>
      <c r="B12" t="s">
        <v>1842</v>
      </c>
      <c r="C12" t="s">
        <v>1832</v>
      </c>
    </row>
    <row r="13">
      <c r="A13" t="s">
        <v>124</v>
      </c>
      <c r="B13" t="s">
        <v>1843</v>
      </c>
      <c r="C13" t="s">
        <v>1844</v>
      </c>
    </row>
    <row r="14">
      <c r="A14" t="s">
        <v>177</v>
      </c>
      <c r="B14" t="s">
        <v>1825</v>
      </c>
      <c r="C14" t="s">
        <v>1841</v>
      </c>
    </row>
    <row r="15">
      <c r="A15" t="s">
        <v>110</v>
      </c>
      <c r="B15" t="s">
        <v>1845</v>
      </c>
      <c r="C15" t="s">
        <v>1846</v>
      </c>
    </row>
    <row r="16">
      <c r="A16" t="s">
        <v>166</v>
      </c>
      <c r="B16" t="s">
        <v>1847</v>
      </c>
      <c r="C16" t="s">
        <v>1848</v>
      </c>
    </row>
    <row r="17">
      <c r="A17" t="s">
        <v>167</v>
      </c>
      <c r="B17" t="s">
        <v>1849</v>
      </c>
      <c r="C17" t="s">
        <v>1830</v>
      </c>
    </row>
    <row r="18">
      <c r="A18" t="s">
        <v>226</v>
      </c>
      <c r="B18" t="s">
        <v>1850</v>
      </c>
      <c r="C18" t="s">
        <v>1851</v>
      </c>
    </row>
    <row r="19">
      <c r="A19" t="s">
        <v>190</v>
      </c>
      <c r="B19" t="s">
        <v>1852</v>
      </c>
      <c r="C19" t="s">
        <v>1853</v>
      </c>
    </row>
    <row r="20">
      <c r="A20" t="s">
        <v>168</v>
      </c>
      <c r="B20" t="s">
        <v>1854</v>
      </c>
      <c r="C20" t="s">
        <v>1853</v>
      </c>
    </row>
    <row r="21">
      <c r="A21" t="s">
        <v>159</v>
      </c>
      <c r="B21" t="s">
        <v>1855</v>
      </c>
      <c r="C21" t="s">
        <v>1856</v>
      </c>
    </row>
    <row r="22">
      <c r="A22" t="s">
        <v>98</v>
      </c>
      <c r="B22" t="s">
        <v>1857</v>
      </c>
      <c r="C22" t="s">
        <v>1832</v>
      </c>
    </row>
    <row r="23">
      <c r="A23" t="s">
        <v>111</v>
      </c>
      <c r="B23" t="s">
        <v>1858</v>
      </c>
      <c r="C23" t="s">
        <v>1859</v>
      </c>
    </row>
    <row r="24">
      <c r="A24" t="s">
        <v>223</v>
      </c>
      <c r="B24" t="s">
        <v>1860</v>
      </c>
      <c r="C24" t="s">
        <v>1861</v>
      </c>
    </row>
    <row r="25">
      <c r="A25" t="s">
        <v>191</v>
      </c>
      <c r="B25" t="s">
        <v>1862</v>
      </c>
      <c r="C25" t="s">
        <v>1832</v>
      </c>
    </row>
    <row r="26">
      <c r="A26" t="s">
        <v>178</v>
      </c>
      <c r="B26" t="s">
        <v>1863</v>
      </c>
      <c r="C26" t="s">
        <v>1864</v>
      </c>
    </row>
    <row r="27">
      <c r="A27" t="s">
        <v>235</v>
      </c>
      <c r="B27" t="s">
        <v>1865</v>
      </c>
      <c r="C27" t="s">
        <v>1866</v>
      </c>
    </row>
    <row r="28">
      <c r="A28" t="s">
        <v>112</v>
      </c>
      <c r="B28" t="s">
        <v>1867</v>
      </c>
      <c r="C28" t="s">
        <v>1830</v>
      </c>
    </row>
    <row r="29">
      <c r="A29" t="s">
        <v>100</v>
      </c>
      <c r="B29" t="s">
        <v>1868</v>
      </c>
      <c r="C29" t="s">
        <v>1869</v>
      </c>
    </row>
    <row r="30">
      <c r="A30" t="s">
        <v>304</v>
      </c>
      <c r="B30" t="s">
        <v>1870</v>
      </c>
      <c r="C30" t="s">
        <v>1832</v>
      </c>
    </row>
    <row r="31">
      <c r="A31" t="s">
        <v>203</v>
      </c>
      <c r="B31" t="s">
        <v>1871</v>
      </c>
      <c r="C31" t="s">
        <v>1872</v>
      </c>
    </row>
    <row r="32">
      <c r="A32" t="s">
        <v>150</v>
      </c>
      <c r="B32" t="s">
        <v>1834</v>
      </c>
      <c r="C32" t="s">
        <v>1873</v>
      </c>
    </row>
    <row r="33">
      <c r="A33" t="s">
        <v>545</v>
      </c>
      <c r="B33" t="s">
        <v>1874</v>
      </c>
      <c r="C33" t="s">
        <v>1875</v>
      </c>
    </row>
    <row r="34">
      <c r="A34" t="s">
        <v>113</v>
      </c>
      <c r="B34" t="s">
        <v>1876</v>
      </c>
      <c r="C34" t="s">
        <v>1877</v>
      </c>
    </row>
    <row r="35">
      <c r="A35" t="s">
        <v>179</v>
      </c>
      <c r="B35" t="s">
        <v>1878</v>
      </c>
      <c r="C35" t="s">
        <v>1879</v>
      </c>
    </row>
    <row r="36">
      <c r="A36" t="s">
        <v>204</v>
      </c>
      <c r="B36" t="s">
        <v>1880</v>
      </c>
      <c r="C36" t="s">
        <v>1881</v>
      </c>
    </row>
    <row r="37">
      <c r="A37" t="s">
        <v>216</v>
      </c>
      <c r="B37" t="s">
        <v>1882</v>
      </c>
      <c r="C37" t="s">
        <v>1864</v>
      </c>
    </row>
    <row r="38">
      <c r="A38" t="s">
        <v>217</v>
      </c>
      <c r="B38" t="s">
        <v>1883</v>
      </c>
      <c r="C38" t="s">
        <v>1830</v>
      </c>
    </row>
    <row r="39">
      <c r="A39" t="s">
        <v>114</v>
      </c>
      <c r="B39" t="s">
        <v>1884</v>
      </c>
      <c r="C39" t="s">
        <v>1885</v>
      </c>
    </row>
    <row r="40">
      <c r="A40" t="s">
        <v>536</v>
      </c>
      <c r="B40" t="s">
        <v>1886</v>
      </c>
      <c r="C40" t="s">
        <v>1887</v>
      </c>
    </row>
    <row r="41">
      <c r="A41" t="s">
        <v>101</v>
      </c>
      <c r="B41" t="s">
        <v>1873</v>
      </c>
      <c r="C41" t="s">
        <v>1830</v>
      </c>
    </row>
    <row r="42">
      <c r="A42" t="s">
        <v>135</v>
      </c>
      <c r="B42" t="s">
        <v>1852</v>
      </c>
      <c r="C42" t="s">
        <v>1888</v>
      </c>
    </row>
    <row r="43">
      <c r="A43" t="s">
        <v>136</v>
      </c>
      <c r="B43" t="s">
        <v>1829</v>
      </c>
      <c r="C43" t="s">
        <v>1830</v>
      </c>
    </row>
    <row r="44">
      <c r="A44" t="s">
        <v>137</v>
      </c>
      <c r="B44" t="s">
        <v>1889</v>
      </c>
      <c r="C44" t="s">
        <v>1832</v>
      </c>
    </row>
    <row r="45">
      <c r="A45" t="s">
        <v>125</v>
      </c>
      <c r="B45" t="s">
        <v>1890</v>
      </c>
      <c r="C45" t="s">
        <v>1891</v>
      </c>
    </row>
    <row r="46">
      <c r="A46" t="s">
        <v>232</v>
      </c>
      <c r="B46" t="s">
        <v>1892</v>
      </c>
      <c r="C46" t="s">
        <v>1830</v>
      </c>
    </row>
    <row r="47">
      <c r="A47" t="s">
        <v>231</v>
      </c>
      <c r="B47" t="s">
        <v>1893</v>
      </c>
      <c r="C47" t="s">
        <v>1894</v>
      </c>
    </row>
    <row r="48">
      <c r="A48" t="s">
        <v>126</v>
      </c>
      <c r="B48" t="s">
        <v>1895</v>
      </c>
      <c r="C48" t="s">
        <v>1896</v>
      </c>
    </row>
    <row r="49">
      <c r="A49" t="s">
        <v>127</v>
      </c>
      <c r="B49" t="s">
        <v>1897</v>
      </c>
      <c r="C49" t="s">
        <v>1898</v>
      </c>
    </row>
    <row r="50">
      <c r="A50" t="s">
        <v>233</v>
      </c>
      <c r="B50" t="s">
        <v>1899</v>
      </c>
      <c r="C50" t="s">
        <v>1900</v>
      </c>
    </row>
    <row r="51">
      <c r="A51" t="s">
        <v>170</v>
      </c>
      <c r="B51" t="s">
        <v>1901</v>
      </c>
      <c r="C51" t="s">
        <v>1902</v>
      </c>
    </row>
    <row r="52">
      <c r="A52" t="s">
        <v>205</v>
      </c>
      <c r="B52" t="s">
        <v>1883</v>
      </c>
      <c r="C52" t="s">
        <v>1830</v>
      </c>
    </row>
    <row r="53">
      <c r="A53" t="s">
        <v>227</v>
      </c>
      <c r="B53" t="s">
        <v>1903</v>
      </c>
      <c r="C53" t="s">
        <v>1904</v>
      </c>
    </row>
    <row r="54">
      <c r="A54" t="s">
        <v>151</v>
      </c>
      <c r="B54" t="s">
        <v>1905</v>
      </c>
      <c r="C54" t="s">
        <v>1906</v>
      </c>
    </row>
    <row r="55">
      <c r="A55" t="s">
        <v>115</v>
      </c>
      <c r="B55" t="s">
        <v>1907</v>
      </c>
      <c r="C55" t="s">
        <v>1832</v>
      </c>
    </row>
    <row r="56">
      <c r="A56" t="s">
        <v>206</v>
      </c>
      <c r="B56" t="s">
        <v>1908</v>
      </c>
      <c r="C56" t="s">
        <v>1909</v>
      </c>
    </row>
    <row r="57">
      <c r="A57" t="s">
        <v>152</v>
      </c>
      <c r="B57" t="s">
        <v>1910</v>
      </c>
      <c r="C57" t="s">
        <v>1832</v>
      </c>
    </row>
    <row r="58">
      <c r="A58" t="s">
        <v>138</v>
      </c>
      <c r="B58" t="s">
        <v>1911</v>
      </c>
      <c r="C58" t="s">
        <v>1912</v>
      </c>
    </row>
    <row r="59">
      <c r="A59" t="s">
        <v>102</v>
      </c>
      <c r="B59" t="s">
        <v>1913</v>
      </c>
      <c r="C59" t="s">
        <v>1914</v>
      </c>
    </row>
    <row r="60">
      <c r="A60" t="s">
        <v>116</v>
      </c>
      <c r="B60" t="s">
        <v>1915</v>
      </c>
      <c r="C60" t="s">
        <v>1916</v>
      </c>
    </row>
    <row r="61">
      <c r="A61" t="s">
        <v>548</v>
      </c>
      <c r="B61" t="s">
        <v>1911</v>
      </c>
      <c r="C61" t="s">
        <v>1917</v>
      </c>
    </row>
    <row r="62">
      <c r="A62" t="s">
        <v>139</v>
      </c>
      <c r="B62" t="s">
        <v>1918</v>
      </c>
      <c r="C62" t="s">
        <v>1919</v>
      </c>
    </row>
    <row r="63">
      <c r="A63" t="s">
        <v>140</v>
      </c>
      <c r="B63" t="s">
        <v>1920</v>
      </c>
      <c r="C63" t="s">
        <v>1830</v>
      </c>
    </row>
    <row r="64">
      <c r="A64" t="s">
        <v>153</v>
      </c>
      <c r="B64" t="s">
        <v>1921</v>
      </c>
      <c r="C64" t="s">
        <v>1922</v>
      </c>
    </row>
    <row r="65">
      <c r="A65" t="s">
        <v>141</v>
      </c>
      <c r="B65" t="s">
        <v>1923</v>
      </c>
      <c r="C65" t="s">
        <v>1924</v>
      </c>
    </row>
    <row r="66">
      <c r="A66" t="s">
        <v>207</v>
      </c>
      <c r="B66" t="s">
        <v>1925</v>
      </c>
      <c r="C66" t="s">
        <v>1830</v>
      </c>
    </row>
    <row r="67">
      <c r="A67" t="s">
        <v>208</v>
      </c>
      <c r="B67" t="s">
        <v>1927</v>
      </c>
      <c r="C67" t="s">
        <v>1832</v>
      </c>
    </row>
    <row r="68">
      <c r="A68" t="s">
        <v>236</v>
      </c>
      <c r="B68" t="s">
        <v>1928</v>
      </c>
      <c r="C68" t="s">
        <v>1830</v>
      </c>
    </row>
    <row r="69">
      <c r="A69" t="s">
        <v>103</v>
      </c>
      <c r="B69" t="s">
        <v>1929</v>
      </c>
      <c r="C69" t="s">
        <v>1930</v>
      </c>
    </row>
    <row r="70">
      <c r="A70" t="s">
        <v>117</v>
      </c>
      <c r="B70" t="s">
        <v>1931</v>
      </c>
      <c r="C70" t="s">
        <v>1832</v>
      </c>
    </row>
    <row r="71">
      <c r="A71" t="s">
        <v>142</v>
      </c>
      <c r="B71" t="s">
        <v>1911</v>
      </c>
      <c r="C71" t="s">
        <v>1830</v>
      </c>
    </row>
    <row r="72">
      <c r="A72" t="s">
        <v>181</v>
      </c>
      <c r="B72" t="s">
        <v>1834</v>
      </c>
      <c r="C72" t="s">
        <v>1932</v>
      </c>
    </row>
    <row r="73">
      <c r="A73" t="s">
        <v>182</v>
      </c>
      <c r="B73" t="s">
        <v>1933</v>
      </c>
      <c r="C73" t="s">
        <v>1934</v>
      </c>
    </row>
    <row r="74">
      <c r="A74" t="s">
        <v>228</v>
      </c>
      <c r="B74" t="s">
        <v>1935</v>
      </c>
      <c r="C74" t="s">
        <v>1830</v>
      </c>
    </row>
    <row r="75">
      <c r="A75" t="s">
        <v>118</v>
      </c>
      <c r="B75" t="s">
        <v>1936</v>
      </c>
      <c r="C75" t="s">
        <v>1830</v>
      </c>
    </row>
    <row r="76">
      <c r="A76" t="s">
        <v>154</v>
      </c>
      <c r="B76" t="s">
        <v>1937</v>
      </c>
      <c r="C76" t="s">
        <v>1830</v>
      </c>
    </row>
    <row r="77">
      <c r="A77" t="s">
        <v>172</v>
      </c>
      <c r="B77" t="s">
        <v>1873</v>
      </c>
      <c r="C77" t="s">
        <v>1938</v>
      </c>
    </row>
    <row r="78">
      <c r="A78" t="s">
        <v>143</v>
      </c>
      <c r="B78" t="s">
        <v>1939</v>
      </c>
      <c r="C78" t="s">
        <v>1830</v>
      </c>
    </row>
    <row r="79">
      <c r="A79" t="s">
        <v>229</v>
      </c>
      <c r="B79" t="s">
        <v>1940</v>
      </c>
      <c r="C79" t="s">
        <v>1941</v>
      </c>
    </row>
    <row r="80">
      <c r="A80" t="s">
        <v>173</v>
      </c>
      <c r="B80" t="s">
        <v>1943</v>
      </c>
      <c r="C80" t="s">
        <v>1832</v>
      </c>
    </row>
    <row r="81">
      <c r="A81" t="s">
        <v>144</v>
      </c>
      <c r="B81" t="s">
        <v>1944</v>
      </c>
      <c r="C81" t="s">
        <v>1945</v>
      </c>
    </row>
    <row r="82">
      <c r="A82" t="s">
        <v>128</v>
      </c>
      <c r="B82" t="s">
        <v>1946</v>
      </c>
      <c r="C82" t="s">
        <v>1830</v>
      </c>
    </row>
    <row r="83">
      <c r="A83" t="s">
        <v>129</v>
      </c>
      <c r="B83" t="s">
        <v>1947</v>
      </c>
      <c r="C83" t="s">
        <v>1948</v>
      </c>
    </row>
    <row r="84">
      <c r="A84" t="s">
        <v>155</v>
      </c>
      <c r="B84" t="s">
        <v>1949</v>
      </c>
      <c r="C84" t="s">
        <v>1826</v>
      </c>
    </row>
    <row r="85">
      <c r="A85" t="s">
        <v>209</v>
      </c>
      <c r="B85" t="s">
        <v>1950</v>
      </c>
      <c r="C85" t="s">
        <v>1951</v>
      </c>
    </row>
    <row r="86">
      <c r="A86" t="s">
        <v>192</v>
      </c>
      <c r="B86" t="s">
        <v>1952</v>
      </c>
      <c r="C86" t="s">
        <v>1953</v>
      </c>
    </row>
    <row r="87">
      <c r="A87" t="s">
        <v>194</v>
      </c>
      <c r="B87" t="s">
        <v>1954</v>
      </c>
      <c r="C87" t="s">
        <v>1832</v>
      </c>
    </row>
    <row r="88">
      <c r="A88" t="s">
        <v>145</v>
      </c>
      <c r="B88" t="s">
        <v>1955</v>
      </c>
      <c r="C88" t="s">
        <v>1830</v>
      </c>
    </row>
    <row r="89">
      <c r="A89" t="s">
        <v>119</v>
      </c>
      <c r="B89" t="s">
        <v>1956</v>
      </c>
      <c r="C89" t="s">
        <v>1957</v>
      </c>
    </row>
    <row r="90">
      <c r="A90" t="s">
        <v>146</v>
      </c>
      <c r="B90" t="s">
        <v>1864</v>
      </c>
      <c r="C90" t="s">
        <v>1917</v>
      </c>
    </row>
    <row r="91">
      <c r="A91" t="s">
        <v>157</v>
      </c>
      <c r="B91" t="s">
        <v>1879</v>
      </c>
      <c r="C91" t="s">
        <v>1958</v>
      </c>
    </row>
    <row r="92">
      <c r="A92" t="s">
        <v>147</v>
      </c>
      <c r="B92" t="s">
        <v>1960</v>
      </c>
      <c r="C92" t="s">
        <v>1961</v>
      </c>
    </row>
    <row r="93">
      <c r="A93" t="s">
        <v>234</v>
      </c>
      <c r="B93" t="s">
        <v>1962</v>
      </c>
      <c r="C93" t="s">
        <v>1830</v>
      </c>
    </row>
    <row r="94">
      <c r="A94" t="s">
        <v>183</v>
      </c>
      <c r="B94" t="s">
        <v>1963</v>
      </c>
      <c r="C94" t="s">
        <v>1862</v>
      </c>
    </row>
    <row r="95">
      <c r="A95" t="s">
        <v>549</v>
      </c>
      <c r="B95" t="s">
        <v>1964</v>
      </c>
      <c r="C95" t="s">
        <v>1965</v>
      </c>
    </row>
    <row r="96">
      <c r="A96" t="s">
        <v>104</v>
      </c>
      <c r="B96" t="s">
        <v>1966</v>
      </c>
      <c r="C96" t="s">
        <v>1967</v>
      </c>
    </row>
    <row r="97">
      <c r="A97" t="s">
        <v>220</v>
      </c>
      <c r="B97" t="s">
        <v>1968</v>
      </c>
      <c r="C97" t="s">
        <v>1969</v>
      </c>
    </row>
    <row r="98">
      <c r="A98" t="s">
        <v>210</v>
      </c>
      <c r="B98" t="s">
        <v>1970</v>
      </c>
      <c r="C98" t="s">
        <v>1832</v>
      </c>
    </row>
    <row r="99">
      <c r="A99" t="s">
        <v>105</v>
      </c>
      <c r="B99" t="s">
        <v>1971</v>
      </c>
      <c r="C99" t="s">
        <v>1972</v>
      </c>
    </row>
    <row r="100">
      <c r="A100" t="s">
        <v>546</v>
      </c>
      <c r="B100" t="s">
        <v>1973</v>
      </c>
      <c r="C100" t="s">
        <v>1832</v>
      </c>
    </row>
    <row r="101">
      <c r="A101" t="s">
        <v>195</v>
      </c>
      <c r="B101" t="s">
        <v>1974</v>
      </c>
      <c r="C101" t="s">
        <v>1975</v>
      </c>
    </row>
    <row r="102">
      <c r="A102" t="s">
        <v>120</v>
      </c>
      <c r="B102" t="s">
        <v>1976</v>
      </c>
      <c r="C102" t="s">
        <v>1977</v>
      </c>
    </row>
    <row r="103">
      <c r="A103" t="s">
        <v>130</v>
      </c>
      <c r="B103" t="s">
        <v>1978</v>
      </c>
      <c r="C103" t="s">
        <v>1830</v>
      </c>
    </row>
    <row r="104">
      <c r="A104" t="s">
        <v>106</v>
      </c>
      <c r="B104" t="s">
        <v>1979</v>
      </c>
      <c r="C104" t="s">
        <v>1830</v>
      </c>
    </row>
    <row r="105">
      <c r="A105" t="s">
        <v>211</v>
      </c>
      <c r="B105" t="s">
        <v>1980</v>
      </c>
      <c r="C105" t="s">
        <v>1830</v>
      </c>
    </row>
    <row r="106">
      <c r="A106" t="s">
        <v>131</v>
      </c>
      <c r="B106" t="s">
        <v>1981</v>
      </c>
      <c r="C106" t="s">
        <v>1830</v>
      </c>
    </row>
    <row r="107">
      <c r="A107" t="s">
        <v>539</v>
      </c>
      <c r="B107" t="s">
        <v>1982</v>
      </c>
      <c r="C107" t="s">
        <v>1983</v>
      </c>
    </row>
    <row r="108">
      <c r="A108" t="s">
        <v>221</v>
      </c>
      <c r="B108" t="s">
        <v>1984</v>
      </c>
      <c r="C108" t="s">
        <v>1985</v>
      </c>
    </row>
    <row r="109">
      <c r="A109" t="s">
        <v>133</v>
      </c>
      <c r="B109" t="s">
        <v>1873</v>
      </c>
      <c r="C109" t="s">
        <v>1832</v>
      </c>
    </row>
    <row r="110">
      <c r="A110" t="s">
        <v>174</v>
      </c>
      <c r="B110" t="s">
        <v>1986</v>
      </c>
      <c r="C110" t="s">
        <v>1831</v>
      </c>
    </row>
    <row r="111">
      <c r="A111" t="s">
        <v>222</v>
      </c>
      <c r="B111" t="s">
        <v>1987</v>
      </c>
      <c r="C111" t="s">
        <v>1988</v>
      </c>
    </row>
    <row r="112">
      <c r="A112" t="s">
        <v>107</v>
      </c>
      <c r="B112" t="s">
        <v>1989</v>
      </c>
      <c r="C112" t="s">
        <v>1990</v>
      </c>
    </row>
    <row r="113">
      <c r="A113" t="s">
        <v>108</v>
      </c>
      <c r="B113" t="s">
        <v>1991</v>
      </c>
      <c r="C113" t="s">
        <v>1992</v>
      </c>
    </row>
    <row r="114">
      <c r="A114" t="s">
        <v>163</v>
      </c>
      <c r="B114" t="s">
        <v>1993</v>
      </c>
      <c r="C114" t="s">
        <v>1994</v>
      </c>
    </row>
    <row r="115">
      <c r="A115" t="s">
        <v>109</v>
      </c>
      <c r="B115" t="s">
        <v>1864</v>
      </c>
      <c r="C115" t="s">
        <v>1832</v>
      </c>
    </row>
    <row r="116">
      <c r="A116" t="s">
        <v>196</v>
      </c>
      <c r="B116" t="s">
        <v>1995</v>
      </c>
      <c r="C116" t="s">
        <v>1853</v>
      </c>
    </row>
    <row r="117">
      <c r="A117" t="s">
        <v>99</v>
      </c>
      <c r="B117" t="s">
        <v>1996</v>
      </c>
      <c r="C117" t="s">
        <v>1997</v>
      </c>
    </row>
    <row r="118">
      <c r="A118" t="s">
        <v>552</v>
      </c>
      <c r="B118" t="s">
        <v>1998</v>
      </c>
      <c r="C118" t="s">
        <v>1999</v>
      </c>
    </row>
    <row r="119">
      <c r="A119" t="s">
        <v>219</v>
      </c>
      <c r="B119" t="s">
        <v>2000</v>
      </c>
      <c r="C119" t="s">
        <v>1864</v>
      </c>
    </row>
    <row r="120">
      <c r="A120" t="s">
        <v>527</v>
      </c>
      <c r="B120" t="s">
        <v>2000</v>
      </c>
      <c r="C120" t="s">
        <v>1830</v>
      </c>
    </row>
    <row r="121">
      <c r="A121" t="s">
        <v>185</v>
      </c>
      <c r="B121" t="s">
        <v>1931</v>
      </c>
      <c r="C121" t="s">
        <v>2001</v>
      </c>
    </row>
    <row r="122">
      <c r="A122" t="s">
        <v>197</v>
      </c>
      <c r="B122" t="s">
        <v>1903</v>
      </c>
      <c r="C122" t="s">
        <v>2002</v>
      </c>
    </row>
    <row r="123">
      <c r="A123" t="s">
        <v>198</v>
      </c>
      <c r="B123" t="s">
        <v>1873</v>
      </c>
      <c r="C123" t="s">
        <v>1832</v>
      </c>
    </row>
    <row r="124">
      <c r="A124" t="s">
        <v>186</v>
      </c>
      <c r="B124" t="s">
        <v>2003</v>
      </c>
      <c r="C124" t="s">
        <v>2004</v>
      </c>
    </row>
    <row r="125">
      <c r="A125" t="s">
        <v>160</v>
      </c>
      <c r="B125" t="s">
        <v>2005</v>
      </c>
      <c r="C125" t="s">
        <v>2006</v>
      </c>
    </row>
    <row r="126">
      <c r="A126" t="s">
        <v>161</v>
      </c>
      <c r="B126" t="s">
        <v>2007</v>
      </c>
      <c r="C126" t="s">
        <v>1916</v>
      </c>
    </row>
    <row r="127">
      <c r="A127" t="s">
        <v>213</v>
      </c>
      <c r="B127" t="s">
        <v>2008</v>
      </c>
      <c r="C127" t="s">
        <v>1832</v>
      </c>
    </row>
    <row r="128">
      <c r="A128" t="s">
        <v>121</v>
      </c>
      <c r="B128" t="s">
        <v>2009</v>
      </c>
      <c r="C128" t="s">
        <v>2010</v>
      </c>
    </row>
    <row r="129">
      <c r="A129" t="s">
        <v>122</v>
      </c>
      <c r="B129" t="s">
        <v>1925</v>
      </c>
      <c r="C129" t="s">
        <v>2011</v>
      </c>
    </row>
    <row r="130">
      <c r="A130" t="s">
        <v>123</v>
      </c>
      <c r="B130" t="s">
        <v>2012</v>
      </c>
      <c r="C130" t="s">
        <v>1832</v>
      </c>
    </row>
    <row r="131">
      <c r="A131" t="s">
        <v>199</v>
      </c>
      <c r="B131" t="s">
        <v>2013</v>
      </c>
      <c r="C131" t="s">
        <v>2014</v>
      </c>
    </row>
    <row r="132">
      <c r="A132" t="s">
        <v>200</v>
      </c>
      <c r="B132" t="s">
        <v>2015</v>
      </c>
      <c r="C132" t="s">
        <v>2016</v>
      </c>
    </row>
    <row r="133">
      <c r="A133" t="s">
        <v>134</v>
      </c>
      <c r="B133" t="s">
        <v>2017</v>
      </c>
      <c r="C133" t="s">
        <v>2018</v>
      </c>
    </row>
    <row r="134">
      <c r="A134" t="s">
        <v>162</v>
      </c>
      <c r="B134" t="s">
        <v>2019</v>
      </c>
      <c r="C134" t="s">
        <v>1832</v>
      </c>
    </row>
    <row r="135">
      <c r="A135" t="s">
        <v>175</v>
      </c>
      <c r="B135" t="s">
        <v>2020</v>
      </c>
      <c r="C135" t="s">
        <v>2021</v>
      </c>
    </row>
    <row r="136">
      <c r="A136" t="s">
        <v>148</v>
      </c>
      <c r="B136" t="s">
        <v>2022</v>
      </c>
      <c r="C136" t="s">
        <v>1830</v>
      </c>
    </row>
    <row r="137">
      <c r="A137" t="s">
        <v>187</v>
      </c>
      <c r="B137" t="s">
        <v>2023</v>
      </c>
      <c r="C137" t="s">
        <v>2024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635</v>
      </c>
      <c r="B1" s="203" t="s">
        <v>1823</v>
      </c>
      <c r="C1" s="203" t="s">
        <v>1824</v>
      </c>
    </row>
    <row r="2">
      <c r="A2" t="s">
        <v>471</v>
      </c>
      <c r="B2" s="1" t="s">
        <v>2026</v>
      </c>
      <c r="C2" s="1" t="s">
        <v>2027</v>
      </c>
    </row>
    <row r="3">
      <c r="A3" t="s">
        <v>317</v>
      </c>
      <c r="B3" s="1" t="s">
        <v>2028</v>
      </c>
      <c r="C3" s="1" t="s">
        <v>2029</v>
      </c>
    </row>
    <row r="4">
      <c r="A4" t="s">
        <v>361</v>
      </c>
      <c r="B4" s="1" t="s">
        <v>2030</v>
      </c>
      <c r="C4" s="1" t="s">
        <v>2031</v>
      </c>
    </row>
    <row r="5">
      <c r="A5" t="s">
        <v>441</v>
      </c>
      <c r="B5" s="1" t="s">
        <v>2032</v>
      </c>
      <c r="C5" s="1" t="s">
        <v>2033</v>
      </c>
    </row>
    <row r="6">
      <c r="A6" t="s">
        <v>535</v>
      </c>
      <c r="B6" s="1" t="s">
        <v>2034</v>
      </c>
      <c r="C6" s="1" t="s">
        <v>2035</v>
      </c>
    </row>
    <row r="7">
      <c r="A7" t="s">
        <v>530</v>
      </c>
      <c r="B7" s="1" t="s">
        <v>2036</v>
      </c>
      <c r="C7" s="1" t="s">
        <v>2037</v>
      </c>
    </row>
    <row r="8">
      <c r="A8" t="s">
        <v>407</v>
      </c>
      <c r="B8" s="1" t="s">
        <v>2038</v>
      </c>
      <c r="C8" s="1" t="s">
        <v>1832</v>
      </c>
    </row>
    <row r="9">
      <c r="A9" t="s">
        <v>556</v>
      </c>
      <c r="B9" s="1" t="s">
        <v>2039</v>
      </c>
      <c r="C9" s="1" t="s">
        <v>2040</v>
      </c>
    </row>
    <row r="10">
      <c r="A10" t="s">
        <v>525</v>
      </c>
      <c r="B10" s="1" t="s">
        <v>2041</v>
      </c>
      <c r="C10" s="1" t="s">
        <v>2042</v>
      </c>
    </row>
    <row r="11">
      <c r="A11" t="s">
        <v>680</v>
      </c>
      <c r="B11" s="1" t="s">
        <v>2043</v>
      </c>
      <c r="C11" s="1" t="s">
        <v>2044</v>
      </c>
    </row>
  </sheetData>
  <drawing r:id="rId1"/>
</worksheet>
</file>